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Tube Results" sheetId="1" r:id="rId4"/>
    <sheet state="visible" name="Weekly" sheetId="2" r:id="rId5"/>
    <sheet state="visible" name="Runs Compare" sheetId="3" r:id="rId6"/>
    <sheet state="visible" name="Run Reconcile" sheetId="4" r:id="rId7"/>
    <sheet state="visible" name="RFR Data - preExcl" sheetId="5" r:id="rId8"/>
    <sheet state="visible" name="APS Tubes IMPORT" sheetId="6" r:id="rId9"/>
    <sheet state="visible" name="APS Tubes by Date IMPORT" sheetId="7" r:id="rId10"/>
    <sheet state="visible" name="ARF Tubes" sheetId="8" r:id="rId11"/>
    <sheet state="visible" name="Tube Reactions" sheetId="9" r:id="rId12"/>
    <sheet state="visible" name="Process Ref" sheetId="10" r:id="rId13"/>
  </sheets>
  <definedNames>
    <definedName hidden="1" localSheetId="4" name="Z_5E2C804B_7CE3_46BA_96DA_62CA86AC24EA_.wvu.FilterData">'RFR Data - preExcl'!$AW$1:$AW$196</definedName>
    <definedName hidden="1" localSheetId="4" name="Z_8C524EAE_C5A8_4433_B469_1A68F92A5D1D_.wvu.FilterData">'RFR Data - preExcl'!$AM$1:$AM$259</definedName>
    <definedName hidden="1" localSheetId="4" name="Z_B738B5A2_1BCA_4826_A0E0_9963A1B9A9C7_.wvu.FilterData">'RFR Data - preExcl'!$A$1:$AZ$195</definedName>
  </definedNames>
  <calcPr/>
  <customWorkbookViews>
    <customWorkbookView activeSheetId="0" maximized="1" windowHeight="0" windowWidth="0" guid="{5E2C804B-7CE3-46BA-96DA-62CA86AC24EA}" name="Filter 2"/>
    <customWorkbookView activeSheetId="0" maximized="1" windowHeight="0" windowWidth="0" guid="{B738B5A2-1BCA-4826-A0E0-9963A1B9A9C7}" name="Filter 3"/>
    <customWorkbookView activeSheetId="0" maximized="1" windowHeight="0" windowWidth="0" guid="{8C524EAE-C5A8-4433-B469-1A68F92A5D1D}"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 num means Inconclusive in ALL Results (Appivo Final + ARF) but not RFR Audit (preExcl) 
- num means Inconclusive in RFR Audit (preExcl) but not ALL Results (Appivo Final + ARF)</t>
      </text>
    </comment>
    <comment authorId="0" ref="AE2">
      <text>
        <t xml:space="preserve">used for lookup in column A (RUN ID INTERNAL)
FORMULA:
=IFNA(MATCH(A9,'RFR Data - preExcl'!A$2:A,0))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=SORT(UNIQUE(R2:S),2,TRUE)</t>
      </text>
    </comment>
    <comment authorId="0" ref="H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L1">
      <text>
        <t xml:space="preserve">=IF(ISBLANK(BN2),IFERROR(0/0),BG2)
final starts as RFR Audit Num Collect Tubes
changes in yellow, usually when 2 initial runs in one day</t>
      </text>
    </comment>
    <comment authorId="0" ref="N1">
      <text>
        <t xml:space="preserve">0   Same Audit RFR: APS Collect = APS Result = RFR
0.1 same as above except Null &gt; Neg
0.2 All same with APS Collect on previous days
1 Same Audit RFR: APS Collect = RFR (disregard Result Count)
1.1 same as above except Null &gt; Neg
2 Same Audit RFR: Extra tubes in RFR not in Appivo
2.1 same as above except Null &gt; Neg
3 Same Audit RFR : Delete Null Tube
4 Same Audit RFR: extra tube in Appivo not in LUM marked for delete
4.5 Run with No RFR
4.6 RFR Raw Num Samples Gform = APS Collect
BELOW CODES HAVE MANUAL RUN ASSIGNMENT IN PASS2
5 Multiple Initial runs on same day - final count is sum of RFR Audit = APS Collect
5.1 same as above except NULL is deleted
6 Same Audit RFR - nets out with next or prev day
7 Same Audit RFR - all tubes assigned to 2nd initial run of day
7.1 same as above but with Extra tubes in RFR not in Appivo
8 Tube in Appivo not in RFR
9 Tube in RFR not in Appivo
highlighting shows which rows need entries in delta col
blue gets + num
red gets - num
green gets +/- num depending</t>
      </text>
    </comment>
    <comment authorId="0" ref="O1">
      <text>
        <t xml:space="preserve">=IF(ISBLANK(BO2),IFERROR(0/0),IF($BN2&lt;=3,TRUE,IFERROR(0/0)))</t>
      </text>
    </comment>
    <comment authorId="0" ref="P1">
      <text>
        <t xml:space="preserve">FORMULA:
=IF(ISBLANK(N2),IFERROR(0/0),IFERROR(VLOOKUP(N2, 'Process Ref'!$A$76:$D$120, 2, FALSE), IFERROR(0/0)))
Adjust, process, ref tab, absolute, row numbers to match</t>
      </text>
    </comment>
    <comment authorId="0" ref="W1">
      <text>
        <t xml:space="preserve">Starts with hardcoded 1 in blue cell and increments below</t>
      </text>
    </comment>
    <comment authorId="0" ref="T243">
      <text>
        <t xml:space="preserve">Only populate this cell with an APS run ID if there is not a corresponding initial RFR run, meaning if there's a date in column U and if the APS run number hasn't been manually blanked out during the run reconciliation process.
FORMULA:
=IF(AND(NOT(ISBLANK(U53)),NOT(ISBLANK(V53)),NOT(ISBLANK(W53))),CONCATENATE("RUN_",TEXT(V53,"YYYY-MM-DD"),"_APS-",TEXT(W53,"000")),IFERROR(0/0))</t>
      </text>
    </comment>
    <comment authorId="0" ref="U243">
      <text>
        <t xml:space="preserve">Propagate APS Collection Date from right if that date is not present above in the RFR run dates
FORMULA:
=IF(COUNTIF(U$2:U$52,V53)=0,V53,IFERROR(0/0))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Highlighted are dates to get RUN ID assignment on Pass2</t>
      </text>
    </comment>
    <comment authorId="0" ref="E1">
      <text>
        <t xml:space="preserve">"Samples" should be Collection Tubes but the form was made a long time ago</t>
      </text>
    </comment>
    <comment authorId="0" ref="G1">
      <text>
        <t xml:space="preserve">Duplicate link to photo of run form for re-runs. Conditional formatting light blue if duplicated link (= cell above), but fix if there are delete rows.</t>
      </text>
    </comment>
    <comment authorId="0" ref="I1">
      <text>
        <t xml:space="preserve">Results photos must correspond to the run. Don't duplicate initial run results photos for rerun if they don't apply. If it's one photo of both initial and rerun, then duplicate it and indicate which conclude are which in notes. Or screenshot and separate.
Conditional formatting light blue if duplicated link (= cell above)</t>
      </text>
    </comment>
    <comment authorId="0" ref="J1">
      <text>
        <t xml:space="preserve">don't duplicate for added rerun</t>
      </text>
    </comment>
    <comment authorId="0" ref="K1">
      <text>
        <t xml:space="preserve">duplicate for added rerun if applies</t>
      </text>
    </comment>
    <comment authorId="0" ref="L1">
      <text>
        <t xml:space="preserve">1	Date Not In Range
2	Note Indicates Test
3	Email Indicates Test
4	Duplicate Entry
5	Development Run
6	Contrived Positive / Validation Run
7	Non standard run (add note)
8	Invalid run from control fail (add note)
9      Other (add note)</t>
      </text>
    </comment>
    <comment authorId="0" ref="M1">
      <text>
        <t xml:space="preserve">1     Added Entry
1.1	Gform - Num Samples incorrect or missing
1.2	RunForm - Num Rxns incl cntrl incorrect or missing
1.3	Gform - Incorrect Date or missing
1.4	RunForm - Incorrect Date or missing
1.5	Extra pink rxn in image, conclude empty
1.6	Tubes from GForm or RunForm not in Appivo
1.7	Number of control rxns not definitive
1.8	Combination of multiple, use RFR Correct Notes
1.9	No Run Form Photo or no Result Photo</t>
      </text>
    </comment>
    <comment authorId="0" ref="N1">
      <text>
        <t xml:space="preserve">2.1	GForm InitIncl I -&gt; N
2.2	GForm InitIncl I -&gt; P
2.3	GForm InitIncl N -&gt; I
2.4	GForm InitIncl P -&gt; I
2.5	GForm InitIncl N -&gt; P
2.6	GForm InitIncl P -&gt; N
3.1	Notes ...
4.1	Both ...
6	Other - enter notes</t>
      </text>
    </comment>
    <comment authorId="0" ref="P1">
      <text>
        <t xml:space="preserve">N2&gt;=2</t>
      </text>
    </comment>
    <comment authorId="0" ref="Q1">
      <text>
        <t xml:space="preserve">Use when either the run is invalid (if it was logged separately) or if this is the valid run but it had an invalid run associated with it. If the run itself is invalid, mark for deletion so it does not corrupt the stats. Summarizing invalid runs needs to be done with the pre delete version.</t>
      </text>
    </comment>
    <comment authorId="0" ref="S1">
      <text>
        <t xml:space="preserve">Only mark daughter (can be rerun or initial)</t>
      </text>
    </comment>
    <comment authorId="0" ref="V1">
      <text>
        <t xml:space="preserve">don't leave blank, estimate based on when gform is logged if no time on run form</t>
      </text>
    </comment>
    <comment authorId="0" ref="W1">
      <text>
        <t xml:space="preserve">Initial = first time tubes are run
Re-run = subsequent times tubes are run
Xclude = remove for CD (use Xclude instead of Exclude so it shows up at end on sort)
Use the term "repeat" for when an initial run is repeated because of a problem and the first run is rejected</t>
      </text>
    </comment>
    <comment authorId="0" ref="Y1">
      <text>
        <t xml:space="preserve">Only TRUE if explicit indication of inconclusive or positive. It can still be resulted  Incl/Pos in Appivo though FALSE here</t>
      </text>
    </comment>
    <comment authorId="0" ref="AA1">
      <text>
        <t xml:space="preserve">Z2-E2</t>
      </text>
    </comment>
    <comment authorId="0" ref="AB1">
      <text>
        <t xml:space="preserve">IF(AA2 = 2,FALSE,TRUE)</t>
      </text>
    </comment>
    <comment authorId="0" ref="AF1">
      <text>
        <t xml:space="preserve">Resulting Decision Chart v1.2
https://docs.google.com/spreadsheets/d/1hSqrQPAmpFeEcgxNxtFhQyBI904lUhvz1yx7GcAbefo</t>
      </text>
    </comment>
    <comment authorId="0" ref="AI1">
      <text>
        <t xml:space="preserve">put same entry for initial and all reruns</t>
      </text>
    </comment>
    <comment authorId="0" ref="AJ1">
      <text>
        <t xml:space="preserve">this is a rerun that is not in triplicate</t>
      </text>
    </comment>
    <comment authorId="0" ref="AL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AM1">
      <text>
        <t xml:space="preserve">=IF(EXACT(W2,"Initial"),"Audit","")
Only for Initial runs</t>
      </text>
    </comment>
    <comment authorId="0" ref="AN1">
      <text>
        <t xml:space="preserve">=IFNA(VLOOKUP($A2,'Tube Result Table Draft'!$I$2:$J,2,FALSE))</t>
      </text>
    </comment>
    <comment authorId="0" ref="AO1">
      <text>
        <t xml:space="preserve">=IF(AND(AN2&gt;0,AN2&lt;&gt;AO2),"NOT EQUAL","")</t>
      </text>
    </comment>
    <comment authorId="0" ref="AR1">
      <text>
        <t xml:space="preserve">=ROW(AR2)-1</t>
      </text>
    </comment>
    <comment authorId="0" ref="AT1">
      <text>
        <t xml:space="preserve">replace PII with initials, names, firstname, lastname</t>
      </text>
    </comment>
    <comment authorId="0" ref="AX1">
      <text>
        <t xml:space="preserve">=IF(OR(AND(AL2=0,AW2),AND(AL2&lt;&gt;0,NOT(AW2))),TRUE,FALSE)
</t>
      </text>
    </comment>
    <comment authorId="0" ref="BA1">
      <text>
        <t xml:space="preserve">=IF(AND(U2&lt;&gt;U3,U2&lt;&gt;U1),TRUE,FALSE)
MUST BE SORTED BY Run Date
PASTE AS VALUES after so can sort again</t>
      </text>
    </comment>
    <comment authorId="0" ref="BK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BP1">
      <text>
        <t xml:space="preserve">=IF(ISBLANK(BN2),IFERROR(0/0),BG2)
final starts as RFR Audit Num Collect Tubes
changes in yellow, usually when 2 initial runs in one day</t>
      </text>
    </comment>
    <comment authorId="0" ref="BR1">
      <text>
        <t xml:space="preserve">0   Same Audit RFR: APS Collect = APS Result = RFR
0.1 same as above except Null &gt; Neg
1 Same Audit RFR: APS Collect = RFR (disregard Result Count)
1.1 same as above except Null &gt; Neg
2 Same Audit RFR - Extra tubes in RFR not in Appivo
2.1 same as above except Null &gt; Neg
3 Same Audit RFR - Delete Null Tube
4 Same Audit RFR - extra tube in Appivo not in LUM marked for delete
BELOW CODES HAVE MANUAL RUN ASSIGNMENT IN PASS2
5 Multiple Initial runs on same day - final count is sum of RFR Audit = APS Collect
5.1 same as above except NULL is deleted
6 Same Audit RFR - nets out with next or prev day
7 Same Audit RFR - all tubes assigned to 2nd initial run of day
7.1 same as above but with Extra tubes in RFR not in Appivo
highlighting shows which rows need entries in delta col
blue gets + num
red gets - num
green gets +/- num depending</t>
      </text>
    </comment>
    <comment authorId="0" ref="BS1">
      <text>
        <t xml:space="preserve">=IF(ISBLANK(BO2),IFERROR(0/0),IF($BN2&lt;=3,TRUE,IFERROR(0/0)))</t>
      </text>
    </comment>
    <comment authorId="0" ref="BL2">
      <text>
        <t xml:space="preserve">1st row is different formula</t>
      </text>
    </comment>
    <comment authorId="0" ref="AK10">
      <text>
        <t xml:space="preserve">Run form says each tube had 3 rxn</t>
      </text>
    </comment>
    <comment authorId="0" ref="U14">
      <text>
        <t xml:space="preserve">paper Run Form had incorrect date</t>
      </text>
    </comment>
    <comment authorId="0" ref="W88">
      <text>
        <t xml:space="preserve">2 initial runs on same day with one person collecting in 2 different tubes and one NULL that was recollected</t>
      </text>
    </comment>
    <comment authorId="0" ref="W89">
      <text>
        <t xml:space="preserve">2 initial runs on same day with one person collecting in 2 different tubes and one NULL that was recollected</t>
      </text>
    </comment>
    <comment authorId="0" ref="T104">
      <text>
        <t xml:space="preserve">deciding how to set these for combo runs, see Date Notes 1-8</t>
      </text>
    </comment>
    <comment authorId="0" ref="AK104">
      <text>
        <t xml:space="preserve">from LUM only 2 tubes were run, then were repeated in the 2nd run that day but not because of any inconcl or pos initial results</t>
      </text>
    </comment>
    <comment authorId="0" ref="W105">
      <text>
        <t xml:space="preserve">this was a combo run where tubes from the previous run were run again but not because of any pos or inconcl results</t>
      </text>
    </comment>
    <comment authorId="0" ref="T106">
      <text>
        <t xml:space="preserve">was not technically a re-run because the people resampled, ie collected in new tubes</t>
      </text>
    </comment>
    <comment authorId="0" ref="W108">
      <text>
        <t xml:space="preserve">Resample of 2 people in previous rerun and an extra safe check</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
      <text>
        <t xml:space="preserve">=CONCATENATE(P2,Q2)</t>
      </text>
    </comment>
    <comment authorId="0" ref="W1">
      <text>
        <t xml:space="preserve">=IF(P2,$A2,IFERROR(0/0))
</t>
      </text>
    </comment>
    <comment authorId="0" ref="X1">
      <text>
        <t xml:space="preserve">=IF(Q2,$A2,IFERROR(0/0))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The difference of 770 APS COLLECT - 766 APS RESULT tubes is 4 that are Null called Neg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Manually paste TRUE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=CONCATENATE("TUNKPROG",TEXT(G2,"000"))
Replace PROG above with 4CHAR</t>
      </text>
    </comment>
    <comment authorId="0" ref="C1">
      <text>
        <t xml:space="preserve">Has to be a reference
Use $ for the row so the cell can be cut and pasted
='RFR Data - preExcl'!A$5</t>
      </text>
    </comment>
    <comment authorId="0" ref="D1">
      <text>
        <t xml:space="preserve">1	APS
2.1	RForm LUM
2.2	RForm Notes
2.3	GForm Notes
3	RTR
4	Unknown - assigned</t>
      </text>
    </comment>
    <comment authorId="0" ref="E1">
      <text>
        <t xml:space="preserve">Tube Result Codes	Initial	Session	Rerun 1			Rerun 2		
  Initial Session  Rerun 1 Rerun 2								
1	N	N	no rerun					
1.1	N	N	N	N	N	initially call I but corrected to N		
1.2	N	N	I/N/P	N	N	rerun even though initial N		
2	I	N	N	N	N			
2.1	I	N	I	N	N			
2.2	I	N	I/N/P	I/N/P	I/N/P	N	N	N
2.3	INN	N	no rerun					
2.4	I	N	non-triplicate I/N/P rerun					
3	I	I	no rerun					
3.1	I	I	I/N	I/N	I/N			
3.2	I	I	I/N/P	I/N/P	I/N/P			
3.3	I	I	I/N/P	I/N/P	I/N/P	I/N/P	I/N/P	I/N/P
4	I	P	I/N/P	I/N/P	I/N/P			
4.1	I	P	I/N/P	I/N/P	I/N/P	I/N/P	I/N/P	I/N/P
5	P	N	N	N	N			
5.1	P	N	N	rerun singlet				
5.2	P	N	N	N	N	N	N	N
5.3  P      N     contam run
6.1	P	I	I/N/P	I/N/P	I/N/P	I/N/P	I/N/P	I/N/P
7	P	P	no rerun					
7.1	P	P	P	P	P			
7.2	P	P	P	P	I			
7.3	P	P	P	P	N			
7.4	P	P	I/N/P	I/N/P	I/N/P			
7.5	PPP	P	no rerun					
7.7	P	P	non-3 replicates all P					
7.8	P	P	P	Rerun Singlet				
8	P	N	non-triplicate I/N/P rerun					
9	specify in Tube Result Notes							
								</t>
      </text>
    </comment>
    <comment authorId="0" ref="H1">
      <text>
        <t xml:space="preserve">=IF(MAX(G2:G)=COUNTUNIQUE(G2:G),MAX(G2:G)+1,"ERROR")
TUNK Index (for Unknown Tubes)
insert new rows
numbers must be consecutive and values (not formulas)
If ERROR - past all nums as vals in new col and sort to find error</t>
      </text>
    </comment>
    <comment authorId="0" ref="I1">
      <text>
        <t xml:space="preserve">=VALUE(MID(B2,8,3))</t>
      </text>
    </comment>
    <comment authorId="0" ref="J1">
      <text>
        <t xml:space="preserve">=IF(B2&lt;&gt;B1,B2,"")</t>
      </text>
    </comment>
    <comment authorId="0" ref="K1">
      <text>
        <t xml:space="preserve">=COUNTIF($B$2:$B,$I2)</t>
      </text>
    </comment>
  </commentList>
</comments>
</file>

<file path=xl/sharedStrings.xml><?xml version="1.0" encoding="utf-8"?>
<sst xmlns="http://schemas.openxmlformats.org/spreadsheetml/2006/main" count="4434" uniqueCount="1612">
  <si>
    <t>Week Start Date</t>
  </si>
  <si>
    <t>Week End Date</t>
  </si>
  <si>
    <t>% Positive</t>
  </si>
  <si>
    <t>ALL Tube RESULTS by Run ID</t>
  </si>
  <si>
    <t>Run Reconciled RESULTS</t>
  </si>
  <si>
    <t>RFR Data - PreExcl RESULTS</t>
  </si>
  <si>
    <t>APS Final RESULTS by Reconciled Run ID</t>
  </si>
  <si>
    <t>APS Final RESULTS by Collect Date</t>
  </si>
  <si>
    <t>Run ID</t>
  </si>
  <si>
    <t>Run Date</t>
  </si>
  <si>
    <t>Number of Tubes</t>
  </si>
  <si>
    <t>Negative</t>
  </si>
  <si>
    <t>Positive</t>
  </si>
  <si>
    <t>Inconclusive</t>
  </si>
  <si>
    <t>Delta to Run Reconciled Results</t>
  </si>
  <si>
    <t>T</t>
  </si>
  <si>
    <t>P</t>
  </si>
  <si>
    <t>I</t>
  </si>
  <si>
    <t>Delta to RFR preExcl Audit Num Run Tubes</t>
  </si>
  <si>
    <t>Delta to RFR preExcl Audit Num Positives</t>
  </si>
  <si>
    <t>Delta to RFR preExcl Audit Num Inconclusives</t>
  </si>
  <si>
    <t>Delta to APS</t>
  </si>
  <si>
    <t>Reconciled Tube Run Count</t>
  </si>
  <si>
    <t>Exact Run ID Match to ALL Tube Results (Col A)</t>
  </si>
  <si>
    <t>Run ID - RFR Initial Only</t>
  </si>
  <si>
    <t>Calculated Negs</t>
  </si>
  <si>
    <t>preExcl Match Row</t>
  </si>
  <si>
    <t>Final Assigned Run ID</t>
  </si>
  <si>
    <t>Null</t>
  </si>
  <si>
    <t>RUN-ABRM_2022-09-06_RFR-002</t>
  </si>
  <si>
    <t>RUN-ABRM_2022-09-07_RFR-003</t>
  </si>
  <si>
    <t>RUN-ABRM_2022-09-08_RFR-004</t>
  </si>
  <si>
    <t>RUN-ABRM_2022-09-09_RFR-006</t>
  </si>
  <si>
    <t>RUN-ABRM_2022-09-10_RFR-009</t>
  </si>
  <si>
    <t>RUN-ABRM_2022-09-12_RFR-010</t>
  </si>
  <si>
    <t>RUN-ABRM_2022-09-13_RFR-011</t>
  </si>
  <si>
    <t>RUN-ABRM_2022-09-14_RFR-013</t>
  </si>
  <si>
    <t>RUN-ABRM_2022-09-15_RFR-014</t>
  </si>
  <si>
    <t>RUN-ABRM_2022-09-16_RFR-015</t>
  </si>
  <si>
    <t>RUN-ABRM_2022-09-19_RFR-017</t>
  </si>
  <si>
    <t>RUN-ABRM_2022-09-20_RFR-018</t>
  </si>
  <si>
    <t>RUN-ABRM_2022-09-21_RFR-019</t>
  </si>
  <si>
    <t>RUN-ABRM_2022-09-22_RFR-021</t>
  </si>
  <si>
    <t>RUN-ABRM_2022-09-23_RFR-022</t>
  </si>
  <si>
    <t>RUN-ABRM_2022-09-26_RFR-023</t>
  </si>
  <si>
    <t>RUN-ABRM_2022-09-27_RFR-025</t>
  </si>
  <si>
    <t>RUN-ABRM_2022-09-28_RFR-026</t>
  </si>
  <si>
    <t>RUN-ABRM_2022-09-29_RFR-028</t>
  </si>
  <si>
    <t>RUN-ABRM_2022-09-30_RFR-030</t>
  </si>
  <si>
    <t>RUN-ABRM_2022-10-03_RFR-032</t>
  </si>
  <si>
    <t>RUN-ABRM_2022-10-04_RFR-033</t>
  </si>
  <si>
    <t>RUN-ABRM_2022-10-05_RFR-034</t>
  </si>
  <si>
    <t>RUN-ABRM_2022-10-06_RFR-036</t>
  </si>
  <si>
    <t>RUN-ABRM_2022-10-07_RFR-037</t>
  </si>
  <si>
    <t>RUN-ABRM_2022-10-10_RFR-038</t>
  </si>
  <si>
    <t>RUN-ABRM_2022-10-11_RFR-041</t>
  </si>
  <si>
    <t>RUN-ABRM_2022-10-12_RFR-043</t>
  </si>
  <si>
    <t>RUN-ABRM_2022-10-13_RFR-044</t>
  </si>
  <si>
    <t>RUN-ABRM_2022-10-17_RFR-045</t>
  </si>
  <si>
    <t>RUN-ABRM_2022-10-18_RFR-046</t>
  </si>
  <si>
    <t>RUN-ABRM_2022-10-19_RFR-048</t>
  </si>
  <si>
    <t>RUN-ABRM_2022-10-20_RFR-049</t>
  </si>
  <si>
    <t>RUN-ABRM_2022-10-21_RFR-050</t>
  </si>
  <si>
    <t>RUN-ABRM_2022-10-24_RFR-051</t>
  </si>
  <si>
    <t>RUN-ABRM_2022-10-25_RFR-052</t>
  </si>
  <si>
    <t>RUN-ABRM_2022-10-26_RFR-054</t>
  </si>
  <si>
    <t>RUN-ABRM_2022-10-27_RFR-055</t>
  </si>
  <si>
    <t>RUN-ABRM_2022-10-28_RFR-057</t>
  </si>
  <si>
    <t>RUN-ABRM_2022-10-31_RFR-060</t>
  </si>
  <si>
    <t>RUN-ABRM_2022-11-01_RFR-061</t>
  </si>
  <si>
    <t>RUN-ABRM_2022-11-02_RFR-062</t>
  </si>
  <si>
    <t>RUN-ABRM_2022-11-03_RFR-063</t>
  </si>
  <si>
    <t>RUN-ABRM_2022-11-04_RFR-064</t>
  </si>
  <si>
    <t>RUN-ABRM_2022-11-07_RFR-066</t>
  </si>
  <si>
    <t>RUN-ABRM_2022-11-08_RFR-068</t>
  </si>
  <si>
    <t>RUN-ABRM_2022-11-09_RFR-069</t>
  </si>
  <si>
    <t>RUN-ABRM_2022-11-10_RFR-072</t>
  </si>
  <si>
    <t>RUN-ABRM_2022-11-11_RFR-073</t>
  </si>
  <si>
    <t>RUN-ABRM_2022-11-14_RFR-075</t>
  </si>
  <si>
    <t>RUN-ABRM_2022-11-15_RFR-076</t>
  </si>
  <si>
    <t>RUN-ABRM_2022-11-16_RFR-078</t>
  </si>
  <si>
    <t>RUN-ABRM_2022-11-17_RFR-079</t>
  </si>
  <si>
    <t>RUN-ABRM_2022-11-18_RFR-081</t>
  </si>
  <si>
    <t>RUN-ABRM_2022-11-19_RFR-082</t>
  </si>
  <si>
    <t>RUN-ABRM_2022-11-20_RFR-084</t>
  </si>
  <si>
    <t>RUN-ABRM_2022-11-21_RFR-087</t>
  </si>
  <si>
    <t>RUN-ABRM_2022-11-21_RFR-088</t>
  </si>
  <si>
    <t>RUN-ABRM_2022-11-22_RFR-089</t>
  </si>
  <si>
    <t>RUN-ABRM_2022-11-25_RFR-090</t>
  </si>
  <si>
    <t>RUN-ABRM_2022-11-27_RFR-091</t>
  </si>
  <si>
    <t>RUN-ABRM_2022-11-28_RFR-092</t>
  </si>
  <si>
    <t>RUN-ABRM_2022-11-29_RFR-093</t>
  </si>
  <si>
    <t>RUN-ABRM_2022-11-30_RFR-094</t>
  </si>
  <si>
    <t>RUN-ABRM_2022-12-01_RFR-095</t>
  </si>
  <si>
    <t>RUN-ABRM_2022-12-02_RFR-097</t>
  </si>
  <si>
    <t>RUN-ABRM_2022-12-05_RFR-098</t>
  </si>
  <si>
    <t>RUN-ABRM_2022-12-06_RFR-099</t>
  </si>
  <si>
    <t>RUN-ABRM_2022-12-07_RFR-100</t>
  </si>
  <si>
    <t>RUN-ABRM_2022-12-08_RFR-101</t>
  </si>
  <si>
    <t>RUN-ABRM_2022-12-09_RFR-104</t>
  </si>
  <si>
    <t>RUN-ABRM_2022-12-12_RFR-105</t>
  </si>
  <si>
    <t>RUN-ABRM_2022-12-12_RFR-107</t>
  </si>
  <si>
    <t>RUN-ABRM_2022-12-13_RFR-108</t>
  </si>
  <si>
    <t>RUN-ABRM_2022-12-16_RFR-109</t>
  </si>
  <si>
    <t>RUN-ABRM_2022-12-19_RFR-110</t>
  </si>
  <si>
    <t>RUN-ABRM_2022-12-20_RFR-112</t>
  </si>
  <si>
    <t>RUN-ABRM_2022-12-21_APS-001</t>
  </si>
  <si>
    <t>RUN-ABRM_2022-12-21_RFR-113</t>
  </si>
  <si>
    <t>RUN-ABRM_2022-12-22_RFR-114</t>
  </si>
  <si>
    <t>RUN-ABRM_2023-01-02_RFR-117</t>
  </si>
  <si>
    <t>RUN-ABRM_2023-01-03_RFR-118</t>
  </si>
  <si>
    <t>RUN-ABRM_2023-01-04_RFR-120</t>
  </si>
  <si>
    <t>RUN-ABRM_2023-01-05_RFR-121</t>
  </si>
  <si>
    <t>RUN-ABRM_2023-01-06_RFR-123</t>
  </si>
  <si>
    <t>RUN-ABRM_2023-01-09_RFR-125</t>
  </si>
  <si>
    <t>RUN-ABRM_2023-01-10_RFR-126</t>
  </si>
  <si>
    <t>RUN-ABRM_2023-01-11_RFR-128</t>
  </si>
  <si>
    <t>RUN-ABRM_2023-01-12_RFR-129</t>
  </si>
  <si>
    <t>RUN-ABRM_2023-01-13_RFR-131</t>
  </si>
  <si>
    <t>RUN-ABRM_2023-01-16_RFR-133</t>
  </si>
  <si>
    <t>RUN-ABRM_2023-01-17_RFR-135</t>
  </si>
  <si>
    <t>RUN-ABRM_2023-01-18_RFR-136</t>
  </si>
  <si>
    <t>RUN-ABRM_2023-01-19_RFR-137</t>
  </si>
  <si>
    <t>RUN-ABRM_2023-01-20_RFR-139</t>
  </si>
  <si>
    <t>RUN-ABRM_2023-01-23_APS-002</t>
  </si>
  <si>
    <t>RUN-ABRM_2023-01-23_RFR-140</t>
  </si>
  <si>
    <t>RUN-ABRM_2023-01-25_RFR-143</t>
  </si>
  <si>
    <t>RUN-ABRM_2023-01-26_RFR-145</t>
  </si>
  <si>
    <t>RUN-ABRM_2023-01-27_APS-003</t>
  </si>
  <si>
    <t>RUN-ABRM_2023-01-27_RFR-147</t>
  </si>
  <si>
    <t>RUN-ABRM_2023-01-30_RFR-149</t>
  </si>
  <si>
    <t>RUN-ABRM_2023-02-06_RFR-150</t>
  </si>
  <si>
    <t>RUN-ABRM_2023-02-07_APS-004</t>
  </si>
  <si>
    <t>RUN-ABRM_2023-02-08_RFR-151</t>
  </si>
  <si>
    <t>RUN-ABRM_2023-02-09_RFR-153</t>
  </si>
  <si>
    <t>RUN-ABRM_2023-02-10_RFR-154</t>
  </si>
  <si>
    <t>RUN-ABRM_2023-02-13_RFR-156</t>
  </si>
  <si>
    <t>RUN-ABRM_2023-02-14_RFR-158</t>
  </si>
  <si>
    <t>RUN-ABRM_2023-02-15_RFR-160</t>
  </si>
  <si>
    <t>RUN-ABRM_2023-02-16_RFR-161</t>
  </si>
  <si>
    <t>RUN-ABRM_2023-02-17_RFR-162</t>
  </si>
  <si>
    <t>RUN-ABRM_2023-02-20_RFR-163</t>
  </si>
  <si>
    <t>RUN-ABRM_2023-02-21_RFR-164</t>
  </si>
  <si>
    <t>RUN-ABRM_2023-02-22_RFR-166</t>
  </si>
  <si>
    <t>RUN-ABRM_2023-02-23_RFR-167</t>
  </si>
  <si>
    <t>RUN-ABRM_2023-02-24_RFR-169</t>
  </si>
  <si>
    <t>RUN-ABRM_2023-02-27_RFR-171</t>
  </si>
  <si>
    <t>RUN-ABRM_2023-02-28_RFR-173</t>
  </si>
  <si>
    <t>RUN-ABRM_2023-03-01_RFR-175</t>
  </si>
  <si>
    <t>RUN-ABRM_2023-03-02_RFR-177</t>
  </si>
  <si>
    <t>RUN-ABRM_2023-03-03_APS-005</t>
  </si>
  <si>
    <t>RUN-ABRM_2023-03-06_RFR-179</t>
  </si>
  <si>
    <t>RUN-ABRM_2023-03-07_RFR-181</t>
  </si>
  <si>
    <t>RUN-ABRM_2023-03-08_RFR-182</t>
  </si>
  <si>
    <t>RUN-ABRM_2023-03-09_RFR-184</t>
  </si>
  <si>
    <t>RUN-ABRM_2023-03-10_RFR-186</t>
  </si>
  <si>
    <t>RUN-ABRM_2023-03-21_RFR-187</t>
  </si>
  <si>
    <t>RUN-ABRM_2023-03-22_RFR-189</t>
  </si>
  <si>
    <t>RUN-ABRM_2023-03-23_RFR-191</t>
  </si>
  <si>
    <t>RUN-ABRM_2023-03-24_RFR-193</t>
  </si>
  <si>
    <t>RUN-ABRM_2023-03-27_RFR-194</t>
  </si>
  <si>
    <t>RUN-ABRM_2023-03-28_RFR-195</t>
  </si>
  <si>
    <t>RUN-ABRM_2023-03-29_RFR-196</t>
  </si>
  <si>
    <t>RUN-ABRM_2023-03-30_RFR-197</t>
  </si>
  <si>
    <t>RUN-ABRM_2023-03-31_RFR-199</t>
  </si>
  <si>
    <t>RUN-ABRM_2023-04-03_RFR-200</t>
  </si>
  <si>
    <t>RUN-ABRM_2023-04-04_RFR-201</t>
  </si>
  <si>
    <t>RUN-ABRM_2023-04-05_APS-006</t>
  </si>
  <si>
    <t>RUN-ABRM_2023-04-05_RFR-203</t>
  </si>
  <si>
    <t>RUN-ABRM_2023-04-06_RFR-204</t>
  </si>
  <si>
    <t>RUN-ABRM_2023-04-07_RFR-206</t>
  </si>
  <si>
    <t>RUN-ABRM_2023-04-10_RFR-207</t>
  </si>
  <si>
    <t>RUN-ABRM_2023-04-11_RFR-208</t>
  </si>
  <si>
    <t>RUN-ABRM_2023-04-12_APS-007</t>
  </si>
  <si>
    <t>RUN-ABRM_2023-04-13_APS-008</t>
  </si>
  <si>
    <t>RUN-ABRM_2023-04-14_RFR-212</t>
  </si>
  <si>
    <t>RUN-ABRM_2023-04-17_RFR-213</t>
  </si>
  <si>
    <t>RUN-ABRM_2023-04-18_APS-009</t>
  </si>
  <si>
    <t>RUN-ABRM_2023-04-18_RFR-214</t>
  </si>
  <si>
    <t>RUN-ABRM_2023-04-19_RFR-215</t>
  </si>
  <si>
    <t>RUN-ABRM_2023-04-20_RFR-216</t>
  </si>
  <si>
    <t>RUN-ABRM_2023-04-21_RFR-217</t>
  </si>
  <si>
    <t>RUN-ABRM_2023-04-24_RFR-219</t>
  </si>
  <si>
    <t>RUN-ABRM_2023-04-25_APS-010</t>
  </si>
  <si>
    <t>RUN-ABRM_2023-04-26_APS-011</t>
  </si>
  <si>
    <t>RUN-ABRM_2023-04-27_APS-012</t>
  </si>
  <si>
    <t>RUN-ABRM_2023-04-28_RFR-221</t>
  </si>
  <si>
    <t>RUN-ABRM_2023-05-02_APS-013</t>
  </si>
  <si>
    <t>RUN-ABRM_2023-05-03_APS-014</t>
  </si>
  <si>
    <t>RUN-ABRM_2023-05-04_APS-015</t>
  </si>
  <si>
    <t>RUN-ABRM_2023-05-05_APS-016</t>
  </si>
  <si>
    <t>RUN-ABRM_2023-05-08_RFR-223</t>
  </si>
  <si>
    <t>RUN-ABRM_2023-05-09_APS-017</t>
  </si>
  <si>
    <t>RUN-ABRM_2023-05-10_APS-018</t>
  </si>
  <si>
    <t>RUN-ABRM_2023-05-11_RFR-224</t>
  </si>
  <si>
    <t>RUN-ABRM_2023-05-12_APS-019</t>
  </si>
  <si>
    <t>RUN-ABRM_2023-05-15_APS-020</t>
  </si>
  <si>
    <t>RUN-ABRM_2023-05-16_APS-021</t>
  </si>
  <si>
    <t>RUN-ABRM_2023-05-17_RFR-225</t>
  </si>
  <si>
    <t>RUN-ABRM_2023-05-18_RFR-226</t>
  </si>
  <si>
    <t>RUN-ABRM_2023-05-19_RFR-227</t>
  </si>
  <si>
    <t>RUN-ABRM_2023-05-22_RFR-228</t>
  </si>
  <si>
    <t>RUN-ABRM_2023-05-23_RFR-231</t>
  </si>
  <si>
    <t>RUN-ABRM_2023-05-24_RFR-232</t>
  </si>
  <si>
    <t>RUN-ABRM_2023-05-25_APS-022</t>
  </si>
  <si>
    <t>RUN-ABRM_2023-05-25_RFR-234</t>
  </si>
  <si>
    <t>RUN-ABRM_2023-05-26_RFR-235</t>
  </si>
  <si>
    <t>RUN-ABRM_2023-05-29_RFR-236</t>
  </si>
  <si>
    <t>RUN-ABRM_2023-05-30_RFR-237</t>
  </si>
  <si>
    <t>RUN-ABRM_2023-05-31_RFR-239</t>
  </si>
  <si>
    <t>RUN-ABRM_2023-06-01_RFR-240</t>
  </si>
  <si>
    <t>RUN-ABRM_2023-06-02_APS-023</t>
  </si>
  <si>
    <t>RUN ID</t>
  </si>
  <si>
    <t>RUN DATE</t>
  </si>
  <si>
    <t>Run with No RFR?</t>
  </si>
  <si>
    <t>PHOTO RESULTS Num rxn  
(excl ctrls)</t>
  </si>
  <si>
    <t>Run Code</t>
  </si>
  <si>
    <t>APS
NUM COLLECT
TUBES</t>
  </si>
  <si>
    <t>Day Delta (Final Num - APS Collect Num Tubes)</t>
  </si>
  <si>
    <t>Tube Run Count Reconcile Code</t>
  </si>
  <si>
    <t>Assign Run ID by Collect Date</t>
  </si>
  <si>
    <t>RUN COUNT RECONCILE CODE REASON - Process Ref tab</t>
  </si>
  <si>
    <t>Count Reconcile Notes</t>
  </si>
  <si>
    <t>STACKED RUN ID</t>
  </si>
  <si>
    <t>STACKED RFR AND COLLECT RUN DATE</t>
  </si>
  <si>
    <t>RFR MAX RUN ID INDEX &gt;&gt;
(BELOW) COLLECT DATE</t>
  </si>
  <si>
    <t>APS Run Number</t>
  </si>
  <si>
    <t>Run ID - Reruns</t>
  </si>
  <si>
    <t>Num rxn  
(excl ctrls)</t>
  </si>
  <si>
    <t>RFR Audit
Num
Run Tubes</t>
  </si>
  <si>
    <t>APS Only Runs</t>
  </si>
  <si>
    <t>NULL &gt; NEG</t>
  </si>
  <si>
    <t>Delete NULL</t>
  </si>
  <si>
    <t>realized photo was from prev day so deleted</t>
  </si>
  <si>
    <t>next day has LUM that says 1 tube was run next day AH7153</t>
  </si>
  <si>
    <t>in LUM, has tube with previous days date AH7153</t>
  </si>
  <si>
    <t>extra tube in Appivo not in LUM marked for Delete</t>
  </si>
  <si>
    <t>RFR Audit Count = Collect, change Null to Neg</t>
  </si>
  <si>
    <t>NULL &gt; NEG, Response Notes says 2 tubes did not scan, add these 2 to DT Tubes</t>
  </si>
  <si>
    <t>2 Initial runs on same day and one NULL deleted</t>
  </si>
  <si>
    <t>NULL &gt; NEG, one tube missing from Appivo - confusing because of other earlier run of 2 tubes that were also included in this run</t>
  </si>
  <si>
    <t>2 initial runs on same day due to reruns and a resampling of 2 people</t>
  </si>
  <si>
    <t>assign to same Run ID but APS RFR count is off by 1</t>
  </si>
  <si>
    <t>they reran another tube, but that wasnt put in an rfr, also Delete NULL</t>
  </si>
  <si>
    <t>Complex because there's a resample swab with a name that's noted and I assume that was run in one of the reruns along with the original initial sample and in this initial run it looks like there were two false positives that were session called negative after two reruns.</t>
  </si>
  <si>
    <t>reswab, and another run was done, APS is accurate, and so is RFR</t>
  </si>
  <si>
    <t>Rerun included a triplicate initial</t>
  </si>
  <si>
    <t>OLD NOTE THINK IS INCORRECT - Normal run in APS. no evidence in RFR</t>
  </si>
  <si>
    <t>Null to neg + ??</t>
  </si>
  <si>
    <t xml:space="preserve">Change the NULL from negative to DELETE and mark this run as a rerun and create an APS run OLD COMMENT: RFR shows only one person was run in triplicate. This suggests that it was a rerun that was logged, but not the initial run. </t>
  </si>
  <si>
    <t>Conclude same Situation is the day before where only the rerun was logged with the RFR. Correct the Appivo result as inconclusive, because the rerun showed the tube to be negative in triplicate, so I think it should have had a session call of negative.</t>
  </si>
  <si>
    <t>Everything is fine, I don't knwo why theres a second row. the</t>
  </si>
  <si>
    <t>Strange Tube AR1332 It shows that it was collected on 5/25 but resulted on 5/24. Not sure how that's possible. Looks like a glitch in Appivo. But, just these net out between the two days.</t>
  </si>
  <si>
    <t>Manually copy blank white cells over numbers to remove APS run</t>
  </si>
  <si>
    <t>Timestamp</t>
  </si>
  <si>
    <t>Email Address</t>
  </si>
  <si>
    <t>Location</t>
  </si>
  <si>
    <t>RAW Num of Samples (Gform)</t>
  </si>
  <si>
    <t>Sample Batch ID (from App)</t>
  </si>
  <si>
    <t>Photo of Run Sheet Printout</t>
  </si>
  <si>
    <t>Photo of Run Look Up</t>
  </si>
  <si>
    <t>Photo of Results</t>
  </si>
  <si>
    <t>RAW Number of Initial Inconclusives (if any)</t>
  </si>
  <si>
    <t>Response Notes</t>
  </si>
  <si>
    <t>OVERALL SECTION
Exclude Code</t>
  </si>
  <si>
    <t>RFR Misc Audit Code</t>
  </si>
  <si>
    <t>RFR Results Audit Code</t>
  </si>
  <si>
    <t>RFR Audit Code Notes</t>
  </si>
  <si>
    <t>Audit Corrected Call?</t>
  </si>
  <si>
    <t>Control Fail Invalid Run?</t>
  </si>
  <si>
    <t>Invalid Notes</t>
  </si>
  <si>
    <t>Daughter Row?</t>
  </si>
  <si>
    <t>Is/Has Re Run?</t>
  </si>
  <si>
    <t>RUN FORM SECTION
Audit
Run Date</t>
  </si>
  <si>
    <t>Audit
Run Time</t>
  </si>
  <si>
    <t>Run Type</t>
  </si>
  <si>
    <t>Run Form Photo Note</t>
  </si>
  <si>
    <t>Inc/Pos in Note?</t>
  </si>
  <si>
    <t>Num Rxn Including Controls (from paper form)</t>
  </si>
  <si>
    <t>Audit Num Rxns - Run Form Num Samples</t>
  </si>
  <si>
    <t>Discrepant Num Rxns or Samples?</t>
  </si>
  <si>
    <t>RESULTS PHOTO SECTION
Num rxn  
(excl ctrls)</t>
  </si>
  <si>
    <t>Audit
Inc Rxns
(excl ctrls)</t>
  </si>
  <si>
    <t>Audit
Inc Run Calls</t>
  </si>
  <si>
    <t>Audit
Inc Session Calls</t>
  </si>
  <si>
    <t>Audit
Pos Rxns
(excl ctrls)</t>
  </si>
  <si>
    <t xml:space="preserve">Audit
Pos Run
Calls </t>
  </si>
  <si>
    <t>Audit
Pos Session
Calls</t>
  </si>
  <si>
    <t>Non Triplicate Re-Run Flag</t>
  </si>
  <si>
    <t>RUN CODE SECTION
Run Code</t>
  </si>
  <si>
    <t># of Tube Result Table Rows created</t>
  </si>
  <si>
    <t>TRT # Tubes</t>
  </si>
  <si>
    <t>Lookup Map Status</t>
  </si>
  <si>
    <t>Enter Tube ID from LUM?</t>
  </si>
  <si>
    <t>Index (For Run ID Creation)</t>
  </si>
  <si>
    <t>NOTES</t>
  </si>
  <si>
    <t>NOTES w PHI</t>
  </si>
  <si>
    <t>Initials &amp; Date</t>
  </si>
  <si>
    <t>Num PCR Tubes in Results Photo</t>
  </si>
  <si>
    <t>Only Upper Left Yellow?</t>
  </si>
  <si>
    <t>Run Code=0 Check</t>
  </si>
  <si>
    <t>Diff PCR Tube Check</t>
  </si>
  <si>
    <t>Diff Check Notes</t>
  </si>
  <si>
    <t>Unique Run Date?</t>
  </si>
  <si>
    <t>Unique Run Date is Initial?</t>
  </si>
  <si>
    <t>Run Code 0?</t>
  </si>
  <si>
    <t xml:space="preserve">RECONCILE
&gt;&gt;
</t>
  </si>
  <si>
    <t>INITIAL ONLY 
&gt;&gt;&gt;&gt;&gt;&gt;
AUDIT
RUN DATE</t>
  </si>
  <si>
    <t>APS
COLLECT DATE</t>
  </si>
  <si>
    <t>APS Collect Num = Result Num?</t>
  </si>
  <si>
    <t>Final Tube Run Count</t>
  </si>
  <si>
    <t>Final Num - APS Collect Num Tubes</t>
  </si>
  <si>
    <t>Assign Run ID by Collection Date</t>
  </si>
  <si>
    <t>Abrome</t>
  </si>
  <si>
    <t>2209005-1</t>
  </si>
  <si>
    <t>https://drive.google.com/open?id=1yu89iqcgyiipvy_DiarRNIzmqDOgUpC2</t>
  </si>
  <si>
    <t>https://drive.google.com/open?id=1Asnkgz_KOFajynlJCw-AeigTYa7K8fBg</t>
  </si>
  <si>
    <t>https://drive.google.com/open?id=1R9KUtO68mISMKCsEtBU3dsH_QHi3FNt0</t>
  </si>
  <si>
    <t>First time we ran it the positive control did not turn yellow. We re-ran it with a fresh positive control from the freezer and it turned yellow. No positives.</t>
  </si>
  <si>
    <t>First run had PC fail</t>
  </si>
  <si>
    <t>Initial</t>
  </si>
  <si>
    <t>BS 12/19</t>
  </si>
  <si>
    <t>220906-1</t>
  </si>
  <si>
    <t>https://drive.google.com/open?id=1KmTJaadvuPrImvXlf3u0omla6535OF2o</t>
  </si>
  <si>
    <t>https://drive.google.com/open?id=1cYBl0xDnTTC7Ui2lxWh6eQzlF5gotmtA</t>
  </si>
  <si>
    <t>https://drive.google.com/open?id=1hZkE3NtmGGscpQd0gpQ2eRTcQyL3VONw</t>
  </si>
  <si>
    <t>Seven vials were “no such barcode exist.“ I circled the ones that said no such barcode exists. We also ran out of an activation saline solution and I went to a second bottle so I wrote both on the run form.</t>
  </si>
  <si>
    <t>220907-1</t>
  </si>
  <si>
    <t>https://drive.google.com/open?id=1YSVpwUAuJJK0zBuUTV_e2f3aeTnbtrRM</t>
  </si>
  <si>
    <t>https://drive.google.com/open?id=14zlSjT1BnNkyoEkMnVePp7itkB4mq-0n</t>
  </si>
  <si>
    <t>https://drive.google.com/open?id=1Hh1NydrgEe02Ppo-40FZ-RAfo7NG9C2e</t>
  </si>
  <si>
    <t>I did not turn on the bath early enough so I had to waste time waiting for the tub to heat up after adding inactivation saline solution. And then i did inactivation for five minutes too long before I realize I did not remove from the tub. Also I later lost time because I did not have the amp fully heated up after adding sample to the reaction. I personally added 5 vials on the app that we’re not scanned in properly</t>
  </si>
  <si>
    <t>220908-1</t>
  </si>
  <si>
    <t>https://drive.google.com/open?id=1hIudV702Ie8hFjZLX2HgKppdChKAv88S</t>
  </si>
  <si>
    <t>https://drive.google.com/open?id=1-PEiU_VlCP_3o75W1wKmJ3XTihSpaLsw</t>
  </si>
  <si>
    <t>https://drive.google.com/open?id=1BkB5Rd_9DnpWAlJU6BPsURP3kcr6EFnq</t>
  </si>
  <si>
    <t>XXX has updated us that she is congested, has a bad headache, and is achy. The sample initially ran inconclusive. Then negative on retest.</t>
  </si>
  <si>
    <t>k</t>
  </si>
  <si>
    <t>see initial above</t>
  </si>
  <si>
    <t>Re-run</t>
  </si>
  <si>
    <t>220909-1</t>
  </si>
  <si>
    <t>https://drive.google.com/open?id=1Aq90mFzC_fG1KxAoUIlUYhQyFdNabSYV</t>
  </si>
  <si>
    <t>https://drive.google.com/open?id=1gBHlLT5jS8IZkSKxOE1SnJOIXwTyjtd0</t>
  </si>
  <si>
    <t>https://drive.google.com/open?id=190cwh7mnC5hyBOw0Xi2fVV9lgW6UrUzT</t>
  </si>
  <si>
    <t>The same household that was initially inconclusive yesterday was inconclusive, again. But on the rerun they were negative, again. They will quarantine and we will re-run the test tomorrow. I included both reruns with the initial run for the picture upload. In the future I will break out any reruns.</t>
  </si>
  <si>
    <t>220910-1</t>
  </si>
  <si>
    <t>https://drive.google.com/open?id=1d-0Wfl8cM5QLb8-zyV7XNyjiyzQm_2m9</t>
  </si>
  <si>
    <t>https://drive.google.com/open?id=16xtWC-xCj51s4kumCBZQ2EGgbHxGMPe9</t>
  </si>
  <si>
    <t>none</t>
  </si>
  <si>
    <t>each sample contained throat and nasal swabs, each sample had 3 reactions</t>
  </si>
  <si>
    <t>Throat and Nose Swab</t>
  </si>
  <si>
    <t>220912-1</t>
  </si>
  <si>
    <t>https://drive.google.com/open?id=1nb6hBXp3C3Qor2A9bYCPVGKqOCTYx7QM</t>
  </si>
  <si>
    <t>https://drive.google.com/open?id=1alMt90ucWKIKFkZaDafbWZXnqr8P6Ogr</t>
  </si>
  <si>
    <t>https://drive.google.com/open?id=1KYeIzRF7wIAHgGQPAI6r201lY0EnujrU</t>
  </si>
  <si>
    <t>220913-1</t>
  </si>
  <si>
    <t>https://drive.google.com/open?id=1JywtYy4GTMZc-VvZawGdvOCPw1ghk6dx</t>
  </si>
  <si>
    <t>https://drive.google.com/open?id=11_gPKkeZUgDzUdmav8EJbj9PndS19OKg</t>
  </si>
  <si>
    <t>https://drive.google.com/open?id=1XR5-RuAC9Yyo3JkVNaH_VmPuJoP8TOg1</t>
  </si>
  <si>
    <t>The activation bath heater sounded like it was about to break after I did the water change. Once it got past 80°C it was not making so much noise. We had an inconclusive results on the first run but that household came back for a negative on the rerun.</t>
  </si>
  <si>
    <t>no results photo</t>
  </si>
  <si>
    <t>220914-1</t>
  </si>
  <si>
    <t>https://drive.google.com/open?id=10s8SPbaA9d1zkZ0zSE3dgmOpl46h4Lk7</t>
  </si>
  <si>
    <t>https://drive.google.com/open?id=1xzQtX2v2ZRwu_beO74lQ1CgXhDZPTkMF</t>
  </si>
  <si>
    <t>https://drive.google.com/open?id=1vAqRRrbdAL5Qh87oCOWXLUsKff0vl2Py</t>
  </si>
  <si>
    <t>1.2  &amp; 1.4</t>
  </si>
  <si>
    <t>220915-1</t>
  </si>
  <si>
    <t>https://drive.google.com/open?id=1B2Ew3dIXP0nlicJ41pyTxSWkwRtdIrEo</t>
  </si>
  <si>
    <t>https://drive.google.com/open?id=12Bl9zYEwi9EzChL9exinDoW0rDuD4gOU</t>
  </si>
  <si>
    <t>no results photo - prev day mistakenly uploaded</t>
  </si>
  <si>
    <t>Notes from yesterday. I had the wrong date, the 13th instead of 14, and I only circled frozen for the reaction mix but I did both frozen and fresh. I also didn’t write down the number of reactions. Notes for today. I ran to runs because I was worried about the quality of the reaction mix that I made yesterday.</t>
  </si>
  <si>
    <t>No results photo, gform matches run form matches appivo</t>
  </si>
  <si>
    <t>220916-1</t>
  </si>
  <si>
    <t>https://drive.google.com/open?id=1_v9f4UFQoa4uiNqhCAayOvPiRoRb5Gr3</t>
  </si>
  <si>
    <t>https://drive.google.com/open?id=1o0Ic4awKi-WupjTTxKVYAyj02_1KKF0i</t>
  </si>
  <si>
    <t>https://drive.google.com/open?id=1JhC_Deat2_UtOlBUvb6ehCWU0NCeVRMQ</t>
  </si>
  <si>
    <t>First run had 1 inconclusive, negative on second run</t>
  </si>
  <si>
    <t>OK</t>
  </si>
  <si>
    <t>220919-1</t>
  </si>
  <si>
    <t>https://drive.google.com/open?id=1xlULpoYKM_8w-JtnoTUND-feYcFMSTA0</t>
  </si>
  <si>
    <t>https://drive.google.com/open?id=1a0-oCDmQfsrIrhnmm2QuQoQMRrFf9u88</t>
  </si>
  <si>
    <t>https://drive.google.com/open?id=1gQTBbQ0gYuKsNhWC4GnRkPNXbN0vIqHr</t>
  </si>
  <si>
    <t>May have messed up reaction mix on one of 2-16 rxn, It produced 24 rxns but I used exact same amount of PGS + CLAMP in each. Used</t>
  </si>
  <si>
    <t>Almost out of 200uL tips</t>
  </si>
  <si>
    <t>BS 12/20</t>
  </si>
  <si>
    <t>220920-1</t>
  </si>
  <si>
    <t>https://drive.google.com/open?id=1VKLrWbs_oU2YH4Y98mH3FP6J4yuFK7tN</t>
  </si>
  <si>
    <t>https://drive.google.com/open?id=1c_9zm5Is-8MLNHXYz6pxUDdmwnCQxT0P</t>
  </si>
  <si>
    <t>https://drive.google.com/open?id=1c3M3XhluGTN7Pu_dwFJ6ihUGco3cDYAE</t>
  </si>
  <si>
    <t>220921-1</t>
  </si>
  <si>
    <t>https://drive.google.com/open?id=1Mj80lpvvllIo5bDHvFzpFBPkBSqL4Ut_</t>
  </si>
  <si>
    <t>https://drive.google.com/open?id=1b8WyTzhCV55HMhLW-5mQ29mgeyc7QhEv</t>
  </si>
  <si>
    <t>https://drive.google.com/open?id=1YMrTsJ_XDJVC-sGgDl32TPWAc_KwWKcY</t>
  </si>
  <si>
    <t>Result was negative on re-run.</t>
  </si>
  <si>
    <t>Edge Neg</t>
  </si>
  <si>
    <t>220922-1</t>
  </si>
  <si>
    <t>https://drive.google.com/open?id=1yJBOFp6b7eQsf-E5DON0N_5EmQ1mQhpU</t>
  </si>
  <si>
    <t>https://drive.google.com/open?id=1zBLhOx6wKp6l8Bbvp1hOOqDqe8D7AR-S</t>
  </si>
  <si>
    <t>https://drive.google.com/open?id=1C0FnpftvgT2Xfk1vNRvAiYEBx-Kzf8-Y</t>
  </si>
  <si>
    <r>
      <rPr>
        <rFont val="Arial"/>
      </rPr>
      <t xml:space="preserve">Internal </t>
    </r>
    <r>
      <rPr>
        <rFont val="Arial"/>
        <color rgb="FF1155CC"/>
        <u/>
      </rPr>
      <t>notes.XXX</t>
    </r>
    <r>
      <rPr>
        <rFont val="Arial"/>
      </rPr>
      <t xml:space="preserve"> family is not scanning or writing who is in the sample. XXX family is not providing samples. I need to follow up with both.</t>
    </r>
  </si>
  <si>
    <t>220923-1</t>
  </si>
  <si>
    <t>https://drive.google.com/open?id=1MNx5bYE9zFchxojkzxX1xZPGkTeexM-p</t>
  </si>
  <si>
    <t>https://drive.google.com/open?id=1fFzu4y5uZj_3e9HZFbNOw62HNj-D44JS</t>
  </si>
  <si>
    <t>https://drive.google.com/open?id=1sAo98izXjerlPWCRQlNrUJ_WGIn69mjP</t>
  </si>
  <si>
    <t>I need to make more inactivation solution and reaction mix this weekend or on Monday.</t>
  </si>
  <si>
    <t>220926-1</t>
  </si>
  <si>
    <t>https://drive.google.com/open?id=1wm_RHZoyVJPLQKqYcmMWcEtK7JNA5wmO</t>
  </si>
  <si>
    <t>https://drive.google.com/open?id=1oSHl55CP8873WU4PYt_mYAkf7JNBXXkE</t>
  </si>
  <si>
    <t>https://drive.google.com/open?id=1HWnfzFJep1SLguOrM-LHBX4ktK58rtNs</t>
  </si>
  <si>
    <t>All Neg on Rerun</t>
  </si>
  <si>
    <t>220927-1</t>
  </si>
  <si>
    <t>https://drive.google.com/open?id=13mTJfhb_LSVwRbjXcbEZFar_cLxgSfmQ</t>
  </si>
  <si>
    <t>https://drive.google.com/open?id=1pYpDOKosIqO8B1oXPdQ7Sa3NPTGvDYJY</t>
  </si>
  <si>
    <t>https://drive.google.com/open?id=1aGS8jufYUiR0nQSND9-xo0yQ3TZzB7ag</t>
  </si>
  <si>
    <t>220928-1</t>
  </si>
  <si>
    <t>https://drive.google.com/open?id=1BDOMJLyKHpzvulbOSoziHqji5g2Vctx4</t>
  </si>
  <si>
    <t>https://drive.google.com/open?id=15PUqMUY-m3WE9mNDWWeHwS2QLSeaVp2s</t>
  </si>
  <si>
    <t>https://drive.google.com/open?id=1enSduR8LwOS07dnAOk_k6_Y3RLjhCr-M</t>
  </si>
  <si>
    <t>I didn’t turn on the inactivation heater early enough so it delayed how long it took me to finish. That coupled with the inconclusive means that it took me two hours and 15 minutes to finish. I had one inconclusive but all three of that household were negative on the rerun.</t>
  </si>
  <si>
    <t>220929-1</t>
  </si>
  <si>
    <t>https://drive.google.com/open?id=1ai5yd-JLiaHxwsIumK18GvRuTnewNlYd</t>
  </si>
  <si>
    <t>https://drive.google.com/open?id=1T8XmYNx4UvIuD2oTMfSJRL1dp0k_ogcY</t>
  </si>
  <si>
    <t>https://drive.google.com/open?id=1zvvfWPKFID0QSfawhdCzQyeomGmmPkHi</t>
  </si>
  <si>
    <t>Today we pulled out a new TPC. Made 48 reactions of reaction mix. And made a new inactivation solution of 50 mL. There was one inconclusive but it was negative on the rerun.</t>
  </si>
  <si>
    <t>220930-1</t>
  </si>
  <si>
    <t>https://drive.google.com/open?id=1-Ni_oUSIu3MpfhBqC_O21p4q2ebfKubq</t>
  </si>
  <si>
    <t>https://drive.google.com/open?id=1u_wguQ4SyD-u-tq-vSapl331txum1910</t>
  </si>
  <si>
    <t>https://drive.google.com/open?id=105HEIx1hPFgcLiQJAFR9YIgrgr_R4oaf</t>
  </si>
  <si>
    <t>Negative on re-run</t>
  </si>
  <si>
    <t>Run Form says Negative on rerun so conclude run in triplicate</t>
  </si>
  <si>
    <t>221003-1</t>
  </si>
  <si>
    <t>https://drive.google.com/open?id=1FzRRfvMb5PcoXj4Ek2UD5TmAeBhJyhz6</t>
  </si>
  <si>
    <t>https://drive.google.com/open?id=1EZm8jP9xch-PswfsZSZ28b9g5JFtgMTg</t>
  </si>
  <si>
    <t>https://drive.google.com/open?id=13AeRRJXTUIydLcAkuuQDfRfNxwqq0-7w</t>
  </si>
  <si>
    <t>221004-1</t>
  </si>
  <si>
    <t>https://drive.google.com/open?id=159zIFfy8apo2UMHxNyXfv5vu0i0LxRA-</t>
  </si>
  <si>
    <t>https://drive.google.com/open?id=1h9fs66eC5HhhnTq8m-gANLtq4C5EXqbk</t>
  </si>
  <si>
    <t>https://drive.google.com/open?id=17MOXW26m7TFMab3PSokmwdbxM6bo6ZGc</t>
  </si>
  <si>
    <t>221005-1</t>
  </si>
  <si>
    <t>https://drive.google.com/open?id=1NjXuJIRmGGDgAwrv9QN_9nlIhCrgTy73</t>
  </si>
  <si>
    <t>https://drive.google.com/open?id=1TmiTCgA_38oexeZcL44TscpLDV4IFlhJ</t>
  </si>
  <si>
    <t>https://drive.google.com/open?id=1THP6z5koeIapwH7Lv_QsUft6rmog5_6a</t>
  </si>
  <si>
    <t>I made more inactivation solution and 24 more reactions of reaction mix. The inconclusive was negative on the rerun.</t>
  </si>
  <si>
    <t>221006-1</t>
  </si>
  <si>
    <t>https://drive.google.com/open?id=1SvfCSekyVC1ASppxr0Q5tGiM1RQRJMRa</t>
  </si>
  <si>
    <t>https://drive.google.com/open?id=19SjC2cLuAAGDbYxcHphRN-36IKfh4mDX</t>
  </si>
  <si>
    <t>https://drive.google.com/open?id=14DzHwH1YJUzJbi8BmkcH_ZWP9NH3WoLv</t>
  </si>
  <si>
    <t>more bubbles than usual in the tubes after adding sample to rm, hand was a little shaky</t>
  </si>
  <si>
    <t>221007-1</t>
  </si>
  <si>
    <t>https://drive.google.com/open?id=1vJrVYLqQVH8pDwK6pVUFaF0RYZcQiPsz</t>
  </si>
  <si>
    <t>https://drive.google.com/open?id=18_KwGLJF1D5rx_hdEtoZGCPq0ZBK2RK_</t>
  </si>
  <si>
    <t>https://drive.google.com/open?id=1hnNT83-vS3X5mYX2_glqcRv3UPrj_k4k</t>
  </si>
  <si>
    <t>Amp was beeping for a few seconds during first run and there were 3 inconclusives, including the positive control. I reset the amp, ran all of them again, and got appropriate positive for the control and negatives for the rest</t>
  </si>
  <si>
    <t>221010-1</t>
  </si>
  <si>
    <t>https://drive.google.com/open?id=1r_3jIrPzggblGBvmZ1ACrGh9if0fYCom</t>
  </si>
  <si>
    <t>https://drive.google.com/open?id=1R2-NzRwjsbfWZIs8AIUko7MxA6lwjKIt</t>
  </si>
  <si>
    <t>https://drive.google.com/open?id=1zXiDbHAR4x7Hoqo-ecSEpNKMwc9BurfK</t>
  </si>
  <si>
    <t>One inconclusive and seemingly five positive</t>
  </si>
  <si>
    <t>This seem like a bad run because of five positives. Highly improbable that there would be that many positives having never had one. I contacted FloodLAMP and re-ran it and also ran triplicates of those that seemed positive. Ultimately returned all negatives on both re-runs.</t>
  </si>
  <si>
    <t>contamination</t>
  </si>
  <si>
    <t>Contamination</t>
  </si>
  <si>
    <t>https://drive.google.com/open?id=1rXsr79y3VQ21SximtNrihBSb0R3vuelM</t>
  </si>
  <si>
    <t>https://drive.google.com/open?id=1ORS9TYPSoh8Y_mYnsoAOlKs9532FZMfB</t>
  </si>
  <si>
    <t>https://drive.google.com/open?id=11fUX51v_SyFynrGUGgMbIAByy1JzKaGW</t>
  </si>
  <si>
    <t>All samples came back negative but the negative control looked compromised. As per protocols I then reran triplicates for all that were possibly positive from the first run.</t>
  </si>
  <si>
    <t>NC inconcl</t>
  </si>
  <si>
    <t>https://drive.google.com/open?id=1vJnEFhRdsuVz-y7aREExnp_DNqsAOEFV</t>
  </si>
  <si>
    <t>https://drive.google.com/open?id=1PoEO4GTmuEbxhRIV3zta9Fk1Mu9MqxQz</t>
  </si>
  <si>
    <t>https://drive.google.com/open?id=1o-nj8kbMZQWaU7eRiCqy-6bRzk6id4Kw</t>
  </si>
  <si>
    <t>All negative on the rerun.</t>
  </si>
  <si>
    <t>221011-1</t>
  </si>
  <si>
    <t>https://drive.google.com/open?id=1YycYxTc6pdIH8aSlI69ElQwAVJ4f9q-i</t>
  </si>
  <si>
    <t>https://drive.google.com/open?id=1AiOTY5YoLvL8gZM0yGYDTrFLPlayOSwi</t>
  </si>
  <si>
    <t>https://drive.google.com/open?id=1MDf8wK2etokQpu8mVgpnbovDPtFUvyqM</t>
  </si>
  <si>
    <t>There was one seemingly positive result and two border negatives. I reran all three samples in triplicate</t>
  </si>
  <si>
    <t>https://drive.google.com/open?id=1xUyKSxG1xfHropk2WAvWq6L5jxdho_aI</t>
  </si>
  <si>
    <t>https://drive.google.com/open?id=1Z6f3CsI9ojTzvhxs3VKzIs_O-0qFAvy6</t>
  </si>
  <si>
    <t>https://drive.google.com/open?id=1KpSOiGUkgsbPcKN9-TCC4_5ZWHA41EzM</t>
  </si>
  <si>
    <t>All negative ok rerun</t>
  </si>
  <si>
    <t>221012-1</t>
  </si>
  <si>
    <t>https://drive.google.com/open?id=1nsYYKvBStRlrgIHd4wZUoWR0PLAoSVUm</t>
  </si>
  <si>
    <t>https://drive.google.com/open?id=1FWCQdrIsMRsasg0SIDgUyb7ihfyejr-K</t>
  </si>
  <si>
    <t>https://drive.google.com/open?id=1T8Ow0IrfDA6js0Y-ut6D-_gi1x6Xn5Ux</t>
  </si>
  <si>
    <t>Made new inactivation solution and 24 reactions of reaction mix.</t>
  </si>
  <si>
    <t>221013-1</t>
  </si>
  <si>
    <t>https://drive.google.com/open?id=17Rxk6glmI9kyhuO2vNd44I_TRHoCOqHJ</t>
  </si>
  <si>
    <t>https://drive.google.com/open?id=1VZj3GVEWD26RYhC4x9G1nA9lygTV5Plk</t>
  </si>
  <si>
    <t>https://drive.google.com/open?id=1qHtuaUCDMmQIu2LJ-t-Er0uBzTLRBoxT</t>
  </si>
  <si>
    <t>221017-1</t>
  </si>
  <si>
    <t>https://drive.google.com/open?id=13vkumLIE4Vma6j4k2lPFnv_iXqdOdMVG</t>
  </si>
  <si>
    <t>https://drive.google.com/open?id=1vVpUASgn3NiGlN1VTfOK_bNyGobbNZP0</t>
  </si>
  <si>
    <t>https://drive.google.com/open?id=1UAFTQrASxraSEBUNMssMP-De4kEz04nW</t>
  </si>
  <si>
    <t>221018-1</t>
  </si>
  <si>
    <t>https://drive.google.com/open?id=1qkz_6qrYVwyUOJ4Cx2h4-GtTcVG49uE0</t>
  </si>
  <si>
    <t>https://drive.google.com/open?id=1n35AU5LD6YlwMPf6jhL2U6PG_9j5w_v9</t>
  </si>
  <si>
    <t>https://drive.google.com/open?id=1XSAL57SUBN-Miu0MARnj-t9gOdwGJ7Cy</t>
  </si>
  <si>
    <t>Sample was retested in triplicate and came out negative</t>
  </si>
  <si>
    <t>https://drive.google.com/open?id=1HO0uzDjbpRY7-Ht_1DiC5Hcjqhx9umCW</t>
  </si>
  <si>
    <t>https://drive.google.com/open?id=1XcOIhp2Hzy4XXV2zdZj76eXH6CyKU1iX</t>
  </si>
  <si>
    <t>https://drive.google.com/open?id=1uVYrF_tbLVKiapYA3GOkj8sHWHbYFqV6</t>
  </si>
  <si>
    <t>This was a rerun that resulted in negative ( two negative and one edge negative )</t>
  </si>
  <si>
    <t>221019-1</t>
  </si>
  <si>
    <t>https://drive.google.com/open?id=1KrykFr9HPMbnfpNJmUf1iJViL5h1wbgS</t>
  </si>
  <si>
    <t>https://drive.google.com/open?id=1__DosFi2AvDHyo1B4FbcWzbuCWWV-T1u</t>
  </si>
  <si>
    <t>https://drive.google.com/open?id=1vd0fuw4K2QSQNMHb3yxcXnxYepny5UXA</t>
  </si>
  <si>
    <t>Made 48 rxns of reaction mix</t>
  </si>
  <si>
    <t>221020-1</t>
  </si>
  <si>
    <t>https://drive.google.com/open?id=1LME1TIpj5xAVqGjwFfV0ZgiDPVuYzJ5O</t>
  </si>
  <si>
    <t>https://drive.google.com/open?id=1GiYMc-oNWvEvZ62PgDNEkhDcQSjZlXaH</t>
  </si>
  <si>
    <t>https://drive.google.com/open?id=1ADIERq3knY58A_1eYxCCjpf0DKkTKQ1G</t>
  </si>
  <si>
    <t>Made new inactivation solution.</t>
  </si>
  <si>
    <t>221021-1</t>
  </si>
  <si>
    <t>https://drive.google.com/open?id=1UoP4w3M7cc49lD5V3aiEZ9SLrPVhKyr5</t>
  </si>
  <si>
    <t>https://drive.google.com/open?id=1SL1XJ0SAENGlEvTjsVG0qeT-H22Ws7KE</t>
  </si>
  <si>
    <t>https://drive.google.com/open?id=1r_iAbVcJWVK8VrZTSeVxKUKv4nZbmqHU</t>
  </si>
  <si>
    <t>One edge negative</t>
  </si>
  <si>
    <t>one edge Neg</t>
  </si>
  <si>
    <t>221024-1</t>
  </si>
  <si>
    <t>https://drive.google.com/open?id=1aSBN6fLM3krqgmHw-E7cXS6Ihy0tn8Qq</t>
  </si>
  <si>
    <t>https://drive.google.com/open?id=1EUjdOHc59GJqe6Sgoi75qg1p3kqByUg3</t>
  </si>
  <si>
    <t>https://drive.google.com/open?id=1e-2kOAzu9Tq810_jQ2L-jEC-40-13vVg</t>
  </si>
  <si>
    <t>221025-1</t>
  </si>
  <si>
    <t>https://drive.google.com/open?id=1COtLzC356jdWksFAv2OvGXCHdeOa-hFP</t>
  </si>
  <si>
    <t>https://drive.google.com/open?id=1spkoD7WkwzLoH_nRF9nX949hCwj-JLgL</t>
  </si>
  <si>
    <t>https://drive.google.com/open?id=19UjMX5rdRmzMsUx4dYHvIydZFWHmEbBa</t>
  </si>
  <si>
    <t>1 inconclusive, negative on rerun</t>
  </si>
  <si>
    <t>221026-1</t>
  </si>
  <si>
    <t>https://drive.google.com/open?id=1BZZFw12DSSzAWdDjx_yfAeIS9Xp4z8c-</t>
  </si>
  <si>
    <t>https://drive.google.com/open?id=1KEPTCmCQa3UOGbWixIasP22vlcFwLHWa</t>
  </si>
  <si>
    <t>https://drive.google.com/open?id=1-o5_WIW-IX_3mjmRFswMoRtMYwCxHxQ6</t>
  </si>
  <si>
    <t>221027-1</t>
  </si>
  <si>
    <t>https://drive.google.com/open?id=1dIvH4qEjmBK_t4IJnCOtxc7fKM6kVgOD</t>
  </si>
  <si>
    <t>https://drive.google.com/open?id=1EdRQ_DV45nVfv-hDXFMx4xUWy76A5uYJ</t>
  </si>
  <si>
    <t>https://drive.google.com/open?id=1cKC1QX1kpuIQwbRyfFaht17GDXYerFAB</t>
  </si>
  <si>
    <t>Made more inactivation solution and 16 rxns of reaction mix.</t>
  </si>
  <si>
    <t>edge positive in initial run that reran all neg</t>
  </si>
  <si>
    <t>https://drive.google.com/open?id=1BaaTAG2PPh77Y5Lust-6Kje-rGa5XvzE</t>
  </si>
  <si>
    <t>https://drive.google.com/open?id=1o5wn2mzWJAA3nsqY2sFQg78zOdIJZUdX</t>
  </si>
  <si>
    <t>https://drive.google.com/open?id=1FyURLDe9Zku1fWBvNv_ZSB7kIlKTLV27</t>
  </si>
  <si>
    <t>This was a rerun. All negative.</t>
  </si>
  <si>
    <t>221028-1</t>
  </si>
  <si>
    <t>https://drive.google.com/open?id=1p7QzFoCBIXzZglWkTqd64MlERnDHr4ax</t>
  </si>
  <si>
    <t>https://drive.google.com/open?id=1lfdELae5hu3LI8raJnSgZ-VB8el0YD9C</t>
  </si>
  <si>
    <t>https://drive.google.com/open?id=1eYnYVGXMwkwVKUWeGfw1ziXha7PZVkNF</t>
  </si>
  <si>
    <t>There were two inconclusive so I reran them in triplicates. Also made a new reaction mix of 24 rxns.</t>
  </si>
  <si>
    <t>tube collected on the previous day AH7153</t>
  </si>
  <si>
    <t>one tube collected on the previous day AH7153 - marked in photo</t>
  </si>
  <si>
    <t>https://drive.google.com/open?id=1cOOJwD-v0SU2Slh438-ITymsYVl6uFac</t>
  </si>
  <si>
    <t>https://drive.google.com/open?id=1i04K_dL7NUl-eoEZZ0AeVV17B9cM8UQD</t>
  </si>
  <si>
    <t>https://drive.google.com/open?id=1Obzl5OF75g3EpAvHOT-RRE38UI1LbAx3</t>
  </si>
  <si>
    <t>Henri run there was an edge positive. Running again.</t>
  </si>
  <si>
    <t>https://drive.google.com/open?id=1fZuQytUkePhmBj5aKO943yVi6jFVyRCL</t>
  </si>
  <si>
    <t>https://drive.google.com/open?id=1oiHenJvYzR8VgfkCsk03CcUdFT4RigoE</t>
  </si>
  <si>
    <t>https://drive.google.com/open?id=170pVg6VO_aide6uRElNDowCruH0kHU85</t>
  </si>
  <si>
    <t>All negative</t>
  </si>
  <si>
    <t>221031-1</t>
  </si>
  <si>
    <t>https://drive.google.com/open?id=1AnYhALfngtQKjuaFE9V0cmMYMLyUJfGq</t>
  </si>
  <si>
    <t>https://drive.google.com/open?id=1ZAi5-fqb8S22EcN-bwsqur9JRYy_g3D-</t>
  </si>
  <si>
    <t>https://drive.google.com/open?id=1SDtM86nIeZ4R3YV8i4M-OvpgL5uimzAM</t>
  </si>
  <si>
    <t>Made 32 rxns of RM</t>
  </si>
  <si>
    <t>??</t>
  </si>
  <si>
    <t>221101-1</t>
  </si>
  <si>
    <t>https://drive.google.com/open?id=1MRo7mveC1PoEA3lbflmvlsoOHYRK9yn4</t>
  </si>
  <si>
    <t>https://drive.google.com/open?id=1v_RfM-iyiFdoJTunxZto5Vb3UBXW_bj3</t>
  </si>
  <si>
    <t>https://drive.google.com/open?id=1_DuTOaxG3TyJPHdj9BFLln0yjPzHoPR7</t>
  </si>
  <si>
    <t>221102-1</t>
  </si>
  <si>
    <t>https://drive.google.com/open?id=14KPgZ0ijT7OUl3Wybjw9SjytCOO0e84X</t>
  </si>
  <si>
    <t>https://drive.google.com/open?id=1qMNw1kjs1HaVcozDIjqFUQQ35gyQFhjk</t>
  </si>
  <si>
    <t>https://drive.google.com/open?id=1jBipDfVKRCGAVMngnqX0MI6LbGBPX3wI</t>
  </si>
  <si>
    <t>221103-1</t>
  </si>
  <si>
    <t>https://drive.google.com/open?id=1xlVoifoA1yEtNa6pyYdk8aRpkt7tsl69</t>
  </si>
  <si>
    <t>https://drive.google.com/open?id=1AD_UiAuQyunGy8rcc9zfxfmTkTq_14Pi</t>
  </si>
  <si>
    <t>https://drive.google.com/open?id=1hSGGenPl9pm3ew0SfSd0KcwDuEdiWzUE</t>
  </si>
  <si>
    <t>Pulled out another positive control.</t>
  </si>
  <si>
    <t>221104-1</t>
  </si>
  <si>
    <t>https://drive.google.com/open?id=1rveec2nZg20Iob9psmy3YQWFjBCTvtJf</t>
  </si>
  <si>
    <t>https://drive.google.com/open?id=1Th_aIGqiqPSk-AiMaMybRlebiPFbzbcZ</t>
  </si>
  <si>
    <t>https://drive.google.com/open?id=1xtYbv1INkzUaof8chw-MPNiBjNAyW3ex</t>
  </si>
  <si>
    <t>One inconclusive, reran in triplicate. Made new RM 16rxns</t>
  </si>
  <si>
    <t>https://drive.google.com/open?id=1XKpzUzVlwJxDu4mWpgENXYqdFTwlw0jH</t>
  </si>
  <si>
    <t>https://drive.google.com/open?id=1d9mWWwJZYQwe1ABQnPuU3JijNwQyBu6Z</t>
  </si>
  <si>
    <t>https://drive.google.com/open?id=1v5Kcyui5dCjhRXF2ic2fPJQKZQM349JI</t>
  </si>
  <si>
    <t>Rerun, all negative</t>
  </si>
  <si>
    <t>221107-1</t>
  </si>
  <si>
    <t>https://drive.google.com/open?id=1QhHqXET_QeaLGmwaocDKesWD6CUAZxs1</t>
  </si>
  <si>
    <t>https://drive.google.com/open?id=1fZ-o1G5sLevJJ97Ig4VOemEYfoGkKoJC</t>
  </si>
  <si>
    <t>https://drive.google.com/open?id=1uHRfuuBf9KQFOlfaXww-jz7TLlRDq3-U</t>
  </si>
  <si>
    <t xml:space="preserve">1 edge negative. NEG control also came out “inconclusive”. Re ran in triplicate.  Made new reaction mix, inactivation solution, and replaced water on heater. </t>
  </si>
  <si>
    <t>correct I -&gt; N (edge neg)</t>
  </si>
  <si>
    <t>1 inc</t>
  </si>
  <si>
    <t>https://drive.google.com/open?id=1fl0kJ4Z7mKsVn_CDwGGDV8iNeKQj6k92</t>
  </si>
  <si>
    <t>https://drive.google.com/open?id=1OXfJr6H-1kpuxAHAeDsbsRrt705GOK7h</t>
  </si>
  <si>
    <t>https://drive.google.com/open?id=1o7OQzbrjGRO_3aE_T4B6HIVNL7941G1c</t>
  </si>
  <si>
    <t>This was a rerun</t>
  </si>
  <si>
    <t>221108-1</t>
  </si>
  <si>
    <t>https://drive.google.com/open?id=1UStMfdtxRGom2f_wBH5gRDSC9OoJkrP2</t>
  </si>
  <si>
    <t>https://drive.google.com/open?id=1kynkAYILC71-Fg9SBIMTbIXTFMKjhmb9</t>
  </si>
  <si>
    <t>https://drive.google.com/open?id=1P0fyKV5RtzUVQwGddnUPZeuUsODPSKvR</t>
  </si>
  <si>
    <t>Made 16 rxns of RM</t>
  </si>
  <si>
    <t>221109-1</t>
  </si>
  <si>
    <t>https://drive.google.com/open?id=1rO2I0XXw3DJrJ0SqF-nBJxl9A7gSaW0e</t>
  </si>
  <si>
    <t>https://drive.google.com/open?id=16GwX35d92u4lyVc3uIRCK1OTGvnU1rDx</t>
  </si>
  <si>
    <t>https://drive.google.com/open?id=1d-PoUCR-KAsxj-0duZhAnT01FPV19jhw</t>
  </si>
  <si>
    <t>Negative on rerun.  Made more inactivation solution and 48 rxns of RM.  Neglected to include one sample to the batch that was actually run with this batch, do I created batch 221109-2 but it was actually included in this run H 8 - 1</t>
  </si>
  <si>
    <t>https://drive.google.com/open?id=1TkXLZSOhIyMioaaGt-AjM_QPNbZX0aCA</t>
  </si>
  <si>
    <t>https://drive.google.com/open?id=1EwaV5yA6Pnv6v3X0SH2GWAHVVF-QFucZ</t>
  </si>
  <si>
    <t>https://drive.google.com/open?id=1HqnFFZtlm8ueYCju4GnghWF2rRwVcxfE</t>
  </si>
  <si>
    <t>221109-2</t>
  </si>
  <si>
    <t>https://drive.google.com/open?id=1fiI5xC3LAElJuwXs5jfF3F1xzQGnux09</t>
  </si>
  <si>
    <t>https://drive.google.com/open?id=1PpBMJCSuJ-p4WZXR0y2eOp4Wa6iu9Erm</t>
  </si>
  <si>
    <t>https://drive.google.com/open?id=1J3KaYhZ-vOwyVhbCmlyHowX7ocX4SrKj</t>
  </si>
  <si>
    <t>I neglected to upload the sample to the batch in the app and could not do so later, so created batch 221109-2 to make sure the sample was added to the database.</t>
  </si>
  <si>
    <t>same pic as first logged run this day which was initial run - conclude to exclude (delete) this row</t>
  </si>
  <si>
    <t>Exclude</t>
  </si>
  <si>
    <t>221110-1</t>
  </si>
  <si>
    <t>https://drive.google.com/open?id=1iluqcIqhTiRnH2WBJ60QVTOJvdxgQtKm</t>
  </si>
  <si>
    <t>https://drive.google.com/open?id=1mijXyqJdhkpN3mG4gcdPkbdxvoWMQQe-</t>
  </si>
  <si>
    <t>https://drive.google.com/open?id=1NmB9-tZ22T2GNU1QH_9xlhCn-MqtbW3H</t>
  </si>
  <si>
    <t>221111-1</t>
  </si>
  <si>
    <t>https://drive.google.com/open?id=14RIRTXxzMDg2Nr8wrMlN0F1b967rhPiu</t>
  </si>
  <si>
    <t>https://drive.google.com/open?id=1eQHpVX-a8QOc7HsxA5O56uLtJGHp-Atk</t>
  </si>
  <si>
    <t>https://drive.google.com/open?id=1u6Pp80P_cCMhzd8XjEd-mStD3d8VRaSt</t>
  </si>
  <si>
    <t>An edge Neg</t>
  </si>
  <si>
    <t>https://drive.google.com/open?id=1EsCN1fcH8q7ksk8TwfqbOuEgJWUkIHKY</t>
  </si>
  <si>
    <t>https://drive.google.com/open?id=1ggAuDFwtOf0cKk9uMJewM0EfhzmEOvx9</t>
  </si>
  <si>
    <t>https://drive.google.com/open?id=1mSS_lISDKy-1Afg39VVGDXH6gAcNrLQy</t>
  </si>
  <si>
    <t>Perhaps one edge negative. This was a rerun as a precaution.</t>
  </si>
  <si>
    <t>Precaution for edge neg</t>
  </si>
  <si>
    <t>221114-1</t>
  </si>
  <si>
    <t>https://drive.google.com/open?id=1IemeSdvh2UjUwQptnoTWGsPlEC_neKTP</t>
  </si>
  <si>
    <t>https://drive.google.com/open?id=1z6iOYbOc6kDITwpB1JNJZ1SM9jIIS5--</t>
  </si>
  <si>
    <t>https://drive.google.com/open?id=1lYksZg0KrlR-_NyqKK1aLX9d2YDPTbP-</t>
  </si>
  <si>
    <t>221115-1</t>
  </si>
  <si>
    <t>https://drive.google.com/open?id=1ZL9l0FXDz0yc8u0gBzimqbZibTJVZEmg</t>
  </si>
  <si>
    <t>https://drive.google.com/open?id=1e-8G_L2FyBFL5A-JQJ3c_Oq5MD_MjA0G</t>
  </si>
  <si>
    <t>https://drive.google.com/open?id=1YckKJ3SR72O86Mpulj_LcY1vxp2-A8z7</t>
  </si>
  <si>
    <t>1 edge positive, 1 edge negative. both negative on rerun</t>
  </si>
  <si>
    <t>https://drive.google.com/open?id=16ETgtM2-w974_fxJLQu5qTG43U28T_Wc</t>
  </si>
  <si>
    <t>https://drive.google.com/open?id=1O-7Ldq6WSwC9GupNrxtQvl0AGJ3B0QgX</t>
  </si>
  <si>
    <t>https://drive.google.com/open?id=1vZSuJGVkgNXk6nDZpwxC4PZOPMUyX2EK</t>
  </si>
  <si>
    <t>this was a rerun, all negative</t>
  </si>
  <si>
    <t>221116-1</t>
  </si>
  <si>
    <t>https://drive.google.com/open?id=1ntPYui53jUI5AJ-sX1rLHsrJAFdG23P1</t>
  </si>
  <si>
    <t>https://drive.google.com/open?id=1OOIyzlkAfNC_Sko8D1xuWpsW1GgEpdy4</t>
  </si>
  <si>
    <t>https://drive.google.com/open?id=1d03dvVLmV63fHj3OaAUMQknS6pLNFQ9I</t>
  </si>
  <si>
    <t>221117-1</t>
  </si>
  <si>
    <t>https://drive.google.com/open?id=1LgWH6d7gMkOpKnCmGwW8C0wG7EHObcjm</t>
  </si>
  <si>
    <t>https://drive.google.com/open?id=1I4wL5AA19RgOylu4j3ne9T94FHoeKZbH</t>
  </si>
  <si>
    <t>https://drive.google.com/open?id=1Rz0RgUWsyixKSfaYmKQ78L8mlQtZ259B</t>
  </si>
  <si>
    <t>AG1845 (XXX) and AH9032 (XXX) wouldn't scan. One edge positive inconclusive, negative on rerun</t>
  </si>
  <si>
    <t>https://drive.google.com/open?id=1VK07fWhSJ5ffKJT8NRMpL5qJiLrA_pzJ</t>
  </si>
  <si>
    <t>https://drive.google.com/open?id=1XLENScc7kIapxrRthvxfjzAbATfHGIy-</t>
  </si>
  <si>
    <t>https://drive.google.com/open?id=1fFDUmR_tUAUacsbKAJcntpO0ZjVSohcG</t>
  </si>
  <si>
    <t>This was a rerun, all negative</t>
  </si>
  <si>
    <t>221118-1</t>
  </si>
  <si>
    <t>https://drive.google.com/open?id=1f0v1vkhBCZm5TOxWJue3mEbRvnFd7rfF</t>
  </si>
  <si>
    <t>https://drive.google.com/open?id=1WF1DZBiPIvAqrl6ugQhxpGOLsy0C8bJ4</t>
  </si>
  <si>
    <t>https://drive.google.com/open?id=17y4XzHaVolbdKtFmRzurayxBVR1VgVyL</t>
  </si>
  <si>
    <t>221119-1</t>
  </si>
  <si>
    <t>https://drive.google.com/open?id=14DRQ6azHIW8-d2UVqP3xpFQ1-XVm1bY1</t>
  </si>
  <si>
    <t>https://drive.google.com/open?id=1phdEgyXNKibUTrIqObpivVDsMp4oGqhO</t>
  </si>
  <si>
    <t>https://drive.google.com/open?id=1EBRwgGPyW73FNHhS1pwCJj0z0hkBDJ3y</t>
  </si>
  <si>
    <t>https://drive.google.com/open?id=1qEkUPQd-kg1-2qSOHY7lRumMHcAbWPSe</t>
  </si>
  <si>
    <t>https://drive.google.com/open?id=1YxD7fA3ZD7uDFWZ8Tdi3CeC0M7IJ9PvM</t>
  </si>
  <si>
    <t>https://drive.google.com/open?id=1eQ3r0uyBQLjT-ukAKwjrSBZzMS4-eYYt</t>
  </si>
  <si>
    <t>This was a rerun of an inconclusive in triplicate. Negative.</t>
  </si>
  <si>
    <t>221120-1</t>
  </si>
  <si>
    <t>https://drive.google.com/open?id=13WN1mV9sMU9h8vf3URL86xIplvX5JaZs</t>
  </si>
  <si>
    <t>https://drive.google.com/open?id=1DU3ykcpZIum7PrE7VdsT0NU30oogz2l8</t>
  </si>
  <si>
    <t>https://drive.google.com/open?id=1ze4CErSFkdadjmqXc-MRkKp2UgCfz5_r</t>
  </si>
  <si>
    <t>https://drive.google.com/open?id=1_DXWl9JtACv7sPNAYW3pw5qgfBtwH49X</t>
  </si>
  <si>
    <t>https://drive.google.com/open?id=1yKRCktjYeTCoJzbzJmhtm3wis3g8tiCC</t>
  </si>
  <si>
    <t>https://drive.google.com/open?id=1WYFc7Ci1ZPMUtIlxg9TyxMWnrPcZkWqj</t>
  </si>
  <si>
    <t>This was a rerun of an inconclusive. 2/3 inconclusive so the final is inconclusive.</t>
  </si>
  <si>
    <t>https://drive.google.com/open?id=1g8oZ9Q2YP8Nn6WPxGxbZ2bGUEApPzOtn</t>
  </si>
  <si>
    <t>https://drive.google.com/open?id=1pP2OPqpKNWW0ekRBphlPyV18ER-mAre0</t>
  </si>
  <si>
    <t>https://drive.google.com/open?id=18tyuKKp8XMOrWljsAgkzct2epmHft_MY</t>
  </si>
  <si>
    <t>This was the second re-run of an inconclusive. All negative.</t>
  </si>
  <si>
    <t>221121-1</t>
  </si>
  <si>
    <t>https://drive.google.com/open?id=1E04Nci7_d52d8torctBNFOqNWvdzz-ZV</t>
  </si>
  <si>
    <t>https://drive.google.com/open?id=1c3KpQx6YZ87P1R0ZhuFYeDLzxlyKLPk3</t>
  </si>
  <si>
    <t>https://drive.google.com/open?id=1iTrcNYAce24Cp9IXyFeEkBZS18nO8sSS</t>
  </si>
  <si>
    <t>221121-2</t>
  </si>
  <si>
    <t>https://drive.google.com/open?id=16lQFBfmj3388SPWzCJgxjYfBJ-fYWbKB</t>
  </si>
  <si>
    <t>https://drive.google.com/open?id=1T8-cvePP7lf8CJSHw5yrEzoM--t9V6T0</t>
  </si>
  <si>
    <t>https://drive.google.com/open?id=1oxtLpW5jM2OSmbVmVaR6GATnmS-1nGN6</t>
  </si>
  <si>
    <t>221122-1</t>
  </si>
  <si>
    <t>https://drive.google.com/open?id=1sqSREbQUg67VphQuYlwr1ISIo47BKkJJ</t>
  </si>
  <si>
    <t>https://drive.google.com/open?id=1XTyHr0f9F_RP-sL-hDTliT1HWUx88ZEF</t>
  </si>
  <si>
    <t>https://drive.google.com/open?id=1_bJ2EuppuxIn6WMRBvKV6WgLjrTzajEX</t>
  </si>
  <si>
    <t>1 edge negative</t>
  </si>
  <si>
    <t>221125-1</t>
  </si>
  <si>
    <t>https://drive.google.com/open?id=1iYsxY2CQQhKNG6nV89uBuGBr0gtqHUcY</t>
  </si>
  <si>
    <t>https://drive.google.com/open?id=1G3HPyCcvrJ2H0yF52GZpdF71bkuRridJ</t>
  </si>
  <si>
    <t>https://drive.google.com/open?id=1U2UrV2bNqefvGNt-zv63hEKi-x20vNKj</t>
  </si>
  <si>
    <t>221127-1</t>
  </si>
  <si>
    <t>https://drive.google.com/open?id=1qLWaA8uZVvpaRvbgljjLmysgwRRgHjnY</t>
  </si>
  <si>
    <t>https://drive.google.com/open?id=1KuGrQLkUGpwlKjg1xgMLIVoeCm4fZzcm</t>
  </si>
  <si>
    <t>https://drive.google.com/open?id=1FsBGz5velKUkhUoghjkZ01YuvVGS76IU</t>
  </si>
  <si>
    <t>Make 40 RXNS of RM</t>
  </si>
  <si>
    <t>Made 48 rxn RM</t>
  </si>
  <si>
    <t>221128-1</t>
  </si>
  <si>
    <t>https://drive.google.com/open?id=196AJGb2YfxAEEuSsUULT7lTVCM0AxAXj</t>
  </si>
  <si>
    <t>https://drive.google.com/open?id=1yu65edbh2N46grkgiNa39vQ7OR02po4B</t>
  </si>
  <si>
    <t>https://drive.google.com/open?id=1qes_Tjr5erUPrJRcwKMYWFmD40cac-y-</t>
  </si>
  <si>
    <t>Post thanksgiving. All good!</t>
  </si>
  <si>
    <t>221129-1</t>
  </si>
  <si>
    <t>https://drive.google.com/open?id=13CWREnwM517H9y3Z_RiDjUVCHZl8gSjj</t>
  </si>
  <si>
    <t>https://drive.google.com/open?id=1YGMvqV1pNb64h2gvj7vmTp7Gqs4kN7Fm</t>
  </si>
  <si>
    <t>https://drive.google.com/open?id=1S92SRkb_g7GYKtegcQmqo0v0DIJ1mAP9</t>
  </si>
  <si>
    <t>Made more inactivation solution.</t>
  </si>
  <si>
    <t>221130-1</t>
  </si>
  <si>
    <t>https://drive.google.com/open?id=1VE8BCLa-eT0eqeglCreobEd-VTqSuVNG</t>
  </si>
  <si>
    <t>https://drive.google.com/open?id=1fzQ5-qVUGCQI2jCQ0eRLApcO7fuvWJqC</t>
  </si>
  <si>
    <t>https://drive.google.com/open?id=1dsQ2_sO3KFwHx2meuA65kxg7hXV9xizx</t>
  </si>
  <si>
    <t>Made 24 rxns of RM</t>
  </si>
  <si>
    <t>221201-1</t>
  </si>
  <si>
    <t>https://drive.google.com/open?id=1NBa528Us7mpGRUx9yLX8Ok32zGCdHvPA</t>
  </si>
  <si>
    <t>https://drive.google.com/open?id=12yshJbAG5GA4FE2ndqir1vrnPlsA4wrB</t>
  </si>
  <si>
    <t>https://drive.google.com/open?id=1MN7Nzcl2rpy5m8biwghhkzBcaedREVXd</t>
  </si>
  <si>
    <t>https://drive.google.com/open?id=1PFxpA6YG9Qk4M-pWGJwvhqF5BJ7Kw5oO</t>
  </si>
  <si>
    <t>https://drive.google.com/open?id=1qizbOORnqdVdvawkR9c7TT-q_Xw-Q6Tf</t>
  </si>
  <si>
    <t>https://drive.google.com/open?id=1gSgEzbsS4WERaceA-_yYpFG7CqiP2EuF</t>
  </si>
  <si>
    <t>This was a rerun in triplicate</t>
  </si>
  <si>
    <t>221202-1</t>
  </si>
  <si>
    <t>https://drive.google.com/open?id=1x4sSXnnqtfB5BUzvA2QnK5KlCESorGsn</t>
  </si>
  <si>
    <t>https://drive.google.com/open?id=1Q9LONVoBzxoqnEQ7Vesepet2XelQVUi4</t>
  </si>
  <si>
    <t>https://drive.google.com/open?id=12Vs4Guqdy05teMQuXgJbbRG3foymeL6S</t>
  </si>
  <si>
    <t>221205-1</t>
  </si>
  <si>
    <t>https://drive.google.com/open?id=14EKiOyR5jNGUttoOSVYZL2tvj7p45Axw</t>
  </si>
  <si>
    <t>https://drive.google.com/open?id=16-oBTmCbTTSJl05SSl6p7O0FZ59_04fO</t>
  </si>
  <si>
    <t>https://drive.google.com/open?id=12kRPyL8SVJZJyhE5o-gjTQYEI1e3rCCN</t>
  </si>
  <si>
    <t>221206-1</t>
  </si>
  <si>
    <t>https://drive.google.com/open?id=1Xz7iaKtKYdeB_35hjlxREIjVynsMbJG3</t>
  </si>
  <si>
    <t>https://drive.google.com/open?id=1PpnGE5181oIkxnrf4IE6uCo2R1jwgyg6</t>
  </si>
  <si>
    <t>https://drive.google.com/open?id=1jiEv-SQGITo37Bnn9bqfNcp1zTxD-tn5</t>
  </si>
  <si>
    <t>221207-1</t>
  </si>
  <si>
    <t>https://drive.google.com/open?id=1rvJ30Al6qxNqe2b0WAI1yPr5DbTLuiTy</t>
  </si>
  <si>
    <t>https://drive.google.com/open?id=1hRSggdTu2XIe6VR1LdKWXzw_O5D02ix0</t>
  </si>
  <si>
    <t>https://drive.google.com/open?id=1KROSwLe4Vrme-yI81Kvub1Bdm3YNCupp</t>
  </si>
  <si>
    <t>221208-1</t>
  </si>
  <si>
    <t>https://drive.google.com/open?id=1CuBpT_Ty26S9LQemu8bZmdyEEohlMoYa</t>
  </si>
  <si>
    <t>https://drive.google.com/open?id=15wJgmWglSBIJBnO7RqkD1uXhfj2HZfem</t>
  </si>
  <si>
    <t>https://drive.google.com/open?id=1uoXQTt5olmZWZVX8QTCDdrho9A29veDx</t>
  </si>
  <si>
    <t>One initial positive. Rerunning.</t>
  </si>
  <si>
    <t>https://drive.google.com/open?id=1qRu4M2aeQA3RnyN_AzXjEyZJrX_2iG0U</t>
  </si>
  <si>
    <t>https://drive.google.com/open?id=1J_GOrnoODSkN0f23IlKi2GHeAtYrdaNS</t>
  </si>
  <si>
    <t>https://drive.google.com/open?id=1WDgxp5k5XMd2TgtywAM0HpXDQ3TiICZR</t>
  </si>
  <si>
    <t>This was a rerun. Final result is positive. Aaron confirmed that he is positive after PCR.</t>
  </si>
  <si>
    <t>221209-1</t>
  </si>
  <si>
    <t>https://drive.google.com/open?id=1P9pXeNzkqhKcXT62ut44JtZ7C4XXgCHB</t>
  </si>
  <si>
    <t>https://drive.google.com/open?id=1SlXA_U10PzmIa4xhluLIaQZK9a-CtWgb</t>
  </si>
  <si>
    <t>https://drive.google.com/open?id=14QfP4Lc-a5IHBbCCIZz8xO6T5TSEviSD</t>
  </si>
  <si>
    <t>221209-2</t>
  </si>
  <si>
    <t>https://drive.google.com/open?id=1HyYzRmH7aM8BH_rRUmA7g-xfEQGSb8bG</t>
  </si>
  <si>
    <t>https://drive.google.com/open?id=1oCAEk6TTLx_RtgaSY8oo0TKotRt3uHwO</t>
  </si>
  <si>
    <t>https://drive.google.com/open?id=18kn5hMvRcSfvVehadennZMfPS-j3XrGW</t>
  </si>
  <si>
    <t>Added the two samples from 221209-1 just for a double check.</t>
  </si>
  <si>
    <t>221212-1</t>
  </si>
  <si>
    <t>https://drive.google.com/open?id=10s3dwAAZH5OOZul52348Pczu7VPDCX9J</t>
  </si>
  <si>
    <t>https://drive.google.com/open?id=1c3aNQdozX1olDWYsnD_hdH6ljkHBBcYj</t>
  </si>
  <si>
    <t>https://drive.google.com/open?id=1HwmLZ3itjXjnZIIS1-ctidJJ38SBKFbq</t>
  </si>
  <si>
    <t>problems - volumes off, multple orange</t>
  </si>
  <si>
    <t>https://drive.google.com/open?id=1Fn-GcI6NO_ya0k06LNYDOL7qtfXgTwbC</t>
  </si>
  <si>
    <t>https://drive.google.com/open?id=1dxuombpaX6ZSNUehfIP5NPJw-xG4Cxh_</t>
  </si>
  <si>
    <t>https://drive.google.com/open?id=1JqT2Eeq97JhUpS-uABjEu89TcrhC2TZT</t>
  </si>
  <si>
    <t>221212-2</t>
  </si>
  <si>
    <t>https://drive.google.com/open?id=1sEbGiMmUL6Y2QTN1RgS791xeSBNWIbKH</t>
  </si>
  <si>
    <t>https://drive.google.com/open?id=1uI0WAdh24O49MCdQxWV4D5k4HVep_i3C</t>
  </si>
  <si>
    <t>https://drive.google.com/open?id=1Emif_VGhgGxjtAmn9ZYALASamhvqhVBZ</t>
  </si>
  <si>
    <t>Re-run with new swabs of two participants just to be sure.</t>
  </si>
  <si>
    <t>221213-1</t>
  </si>
  <si>
    <t>https://drive.google.com/open?id=1EFirtUyI68W_Szlk6PNaodinUXHQYyOm</t>
  </si>
  <si>
    <t>https://drive.google.com/open?id=1BFukUVerlqgNK6VJqXDP35HNvOtF-urX</t>
  </si>
  <si>
    <t>https://drive.google.com/open?id=1sC0XKmxaxiGZbwvesLd90lDSXruq523Y</t>
  </si>
  <si>
    <t>221216-1</t>
  </si>
  <si>
    <t>https://drive.google.com/open?id=1P41748rsB5C-yDbdIKM1_PdGy9TN9JbJ</t>
  </si>
  <si>
    <t>https://drive.google.com/open?id=16Ir1-oCjz522z27CZ5hPRB1PiNITF4xm</t>
  </si>
  <si>
    <t>https://drive.google.com/open?id=1QF629s8icx55H9byx-bUUxKxD1VCcR9j</t>
  </si>
  <si>
    <t>BS 04/12</t>
  </si>
  <si>
    <t>221219-1</t>
  </si>
  <si>
    <t>https://drive.google.com/open?id=1sFKXNP9DccyWQKl2eUWU6pvY5-TCbgo_</t>
  </si>
  <si>
    <t>https://drive.google.com/open?id=1Dxf_Si9qzsCgFz_UclrOZ9u0QBsF5fLs</t>
  </si>
  <si>
    <t>https://drive.google.com/open?id=1ISdT3lmQohdGKBoXLEcFwaDrJdh3aWdw</t>
  </si>
  <si>
    <t>https://drive.google.com/open?id=1P4vIAXIN84JM5s9khybmG5S4iiDo4ILJ</t>
  </si>
  <si>
    <t>https://drive.google.com/open?id=1WciOB6fGG3gXJho1K6DioojwJf16zCDG</t>
  </si>
  <si>
    <t>https://drive.google.com/open?id=1i68T0O2QoKo2qnfSKFAlI70KThv7eFP_</t>
  </si>
  <si>
    <t>221220-1</t>
  </si>
  <si>
    <t>https://drive.google.com/open?id=13b-hkIJVpsA0VYPxNTpKS-TOCcjiBZtX</t>
  </si>
  <si>
    <t>https://drive.google.com/open?id=17sxQ_GWW2LkBGlMatK98kineHJ1iKiF7</t>
  </si>
  <si>
    <t>https://drive.google.com/open?id=15A_-PbWmqpPEeIetm9xTV3sCtPC2oOyU</t>
  </si>
  <si>
    <t>Two positives were know. positives of two members isolating</t>
  </si>
  <si>
    <t>Known Positives Already in Isolation</t>
  </si>
  <si>
    <t>221221-1</t>
  </si>
  <si>
    <t>https://drive.google.com/open?id=1-N_LArE4BtCVrzAZxGf82ptlXuto3rXm</t>
  </si>
  <si>
    <t>https://drive.google.com/open?id=1a9sltHYfwcIXg2YDLDt1igURRW4l2RmI</t>
  </si>
  <si>
    <t>https://drive.google.com/open?id=1_GMXJ72uF0nzY8z5YRDT-T6e1vPKjbMr</t>
  </si>
  <si>
    <t>BS 05/16</t>
  </si>
  <si>
    <t>221222-1</t>
  </si>
  <si>
    <t>https://drive.google.com/open?id=1Eb2uENW9TK_Q8yF2yVxVZ52KXQKqjvud</t>
  </si>
  <si>
    <t>https://drive.google.com/open?id=1jAbeB36RlPtFQqzTY_c3aYNKXc6gsoEi</t>
  </si>
  <si>
    <t>https://drive.google.com/open?id=1MLMVGSJ6qhf5zHPlzHO3TTDr_lfdeWiL</t>
  </si>
  <si>
    <t xml:space="preserve">1 edge negative.  </t>
  </si>
  <si>
    <t>1 Edge Negative</t>
  </si>
  <si>
    <t>2 re-runs, 1st was + - -, 2nd was - - I, think 2nd was resample Because there were two tubes with this same name in a PEO and both were resulted as inconclusive, corrected those to negative based on these reruns.</t>
  </si>
  <si>
    <t>https://drive.google.com/open?id=1gtcu41Ng50-RDwFoXgcYusGnFg4nXpsT</t>
  </si>
  <si>
    <t>https://drive.google.com/open?id=1FbHiSBCU0xkuSHYUE5IkjjoE7-_R6H1z</t>
  </si>
  <si>
    <t>https://drive.google.com/open?id=10E6vjLONdqmLAahnRzf_0A8aM-Y3L2sc</t>
  </si>
  <si>
    <t>Final inconclusive</t>
  </si>
  <si>
    <t xml:space="preserve">This was a rerun in triplicate from an initial inconclusive </t>
  </si>
  <si>
    <t>221222-2</t>
  </si>
  <si>
    <t>https://drive.google.com/open?id=15Czxulec9fROQ8-ygAb9qwgJ0oBsEL1n</t>
  </si>
  <si>
    <t>https://drive.google.com/open?id=1AYt8q2L5YBSnp0Nym65p-w1loBjNFs9k</t>
  </si>
  <si>
    <t>https://drive.google.com/open?id=11FlSgaiOBTR8I1IREh8PnsMWFKL6EJC3</t>
  </si>
  <si>
    <t xml:space="preserve">New triplicate run based off of inconclusive. Also inconclusive.  </t>
  </si>
  <si>
    <t>230102-1</t>
  </si>
  <si>
    <t>https://drive.google.com/open?id=1LHopSc_3EJMC8jm9gRdBHGvQU6IUrY1x</t>
  </si>
  <si>
    <t>https://drive.google.com/open?id=1xdeEUKXXTID_z_jq6E9Pb5t1tQ5Y538J</t>
  </si>
  <si>
    <t>https://drive.google.com/open?id=19ZoQHfRGY54c1WC7yU1I9AGks--3e_5k</t>
  </si>
  <si>
    <t>First run since winter break!</t>
  </si>
  <si>
    <t>First Run back from Winter Break!</t>
  </si>
  <si>
    <t>230103-1</t>
  </si>
  <si>
    <t>https://drive.google.com/open?id=1zFgsJykqawybIquAEJNxBbGzgWzeehpf</t>
  </si>
  <si>
    <t>https://drive.google.com/open?id=1FU_gEOu4KOkhOyp_f45R198I94ag_wao</t>
  </si>
  <si>
    <t>https://drive.google.com/open?id=1SXfxMlU2wTZyuf7kVAL6uOfBNaoeLUFu</t>
  </si>
  <si>
    <t>https://drive.google.com/open?id=1dNOqI4SKpizvC2eoOGz0QJEU7VvQJ7nZ</t>
  </si>
  <si>
    <t>https://drive.google.com/open?id=1P42C2MVblnZBwcQ_vk6KMhjvkl_NVijk</t>
  </si>
  <si>
    <t>https://drive.google.com/open?id=1L6dy-_ogdj83z8maPCCfgzP7S_OTVzkk</t>
  </si>
  <si>
    <t>230104-1</t>
  </si>
  <si>
    <t>https://drive.google.com/open?id=1FForF6Ng572DdrK0QILzmlCk2X7h5LDu</t>
  </si>
  <si>
    <t>https://drive.google.com/open?id=1EH_LagOCWjGyY3DX-VLwbxaxBX5V_f1_</t>
  </si>
  <si>
    <t>https://drive.google.com/open?id=1Ygv-R2m2aXTXa_oJmuB81fVK4st2mKtM</t>
  </si>
  <si>
    <t>230105-1</t>
  </si>
  <si>
    <t>https://drive.google.com/open?id=1mABUk8_BAtUKbjqwfDoYXgM_rofC3lfi</t>
  </si>
  <si>
    <t>https://drive.google.com/open?id=1GDj51sf-3CKqNODKvV4esSlH4Ww21Dvq</t>
  </si>
  <si>
    <t>https://drive.google.com/open?id=1fF0p9wBrOb2zokVQwqdoRVhzkG8X6eWG</t>
  </si>
  <si>
    <t>https://drive.google.com/open?id=1sXuF-HQTtPDIcZCDCKaXJbvfzxymdyTD</t>
  </si>
  <si>
    <t>https://drive.google.com/open?id=1jUoOu3Kj7y5S3w6rLMbefFqYLbvX9oKo</t>
  </si>
  <si>
    <t>https://drive.google.com/open?id=1Zhq8nkTC8IUgPKDsrlQ1obxONmlSTuWs</t>
  </si>
  <si>
    <t xml:space="preserve">Rerun in triplicate </t>
  </si>
  <si>
    <t>Re-run in triplicate</t>
  </si>
  <si>
    <t>230106-1</t>
  </si>
  <si>
    <t>https://drive.google.com/open?id=1-jYNTQ_Eb_DgLqisEudubI0zsRhwKccJ</t>
  </si>
  <si>
    <t>https://drive.google.com/open?id=1Q-1z8BCHdPO6RScCF0KIAc6DVBzUKf3H</t>
  </si>
  <si>
    <t>https://drive.google.com/open?id=1a1H4LZNquP0O4GuvjiIu1aYkCAvt2U_t</t>
  </si>
  <si>
    <t>1 inconclusive (#8) and 1 edge positive (#7)</t>
  </si>
  <si>
    <t>1 Inconclusive and 1 Edge Positive</t>
  </si>
  <si>
    <t>https://drive.google.com/open?id=1PtpYP-6KAzUI3oapqVk72IM-OifqetEE</t>
  </si>
  <si>
    <t>https://drive.google.com/open?id=1CigtGXPiS8IufYDXynEAX1B-yYDB9ejm</t>
  </si>
  <si>
    <t>https://drive.google.com/open?id=1msqpC4hEDMRAisKbTM_qitVRzrSGnJiG</t>
  </si>
  <si>
    <t>230109-1</t>
  </si>
  <si>
    <t>https://drive.google.com/open?id=1pAZ0IyS6Y4lFih2WNoWJvWA1V8xTTeS9</t>
  </si>
  <si>
    <t>https://drive.google.com/open?id=1BTjZnqmVVL7XZHp9os-Ttd65MU5ivWMz</t>
  </si>
  <si>
    <t>https://drive.google.com/open?id=1FzwXAqwHnawpN-WLMPL6wQxQqm4OwcK4</t>
  </si>
  <si>
    <t>230110-1</t>
  </si>
  <si>
    <t>https://drive.google.com/open?id=1ys8ZJwTjASSGbxF0GwCmfp-QvlRp6zhr</t>
  </si>
  <si>
    <t>https://drive.google.com/open?id=18-l1zSyNgydgWpsny_LA0u8zcE950y72</t>
  </si>
  <si>
    <t>https://drive.google.com/open?id=1oPpmj_hNTCy0q1euWTT4UBsOAluSRqRQ</t>
  </si>
  <si>
    <t xml:space="preserve">1 inconclusive and 1 edge positive. Rerunning. </t>
  </si>
  <si>
    <t>https://drive.google.com/open?id=1N2kRoYwNQ1ItTWFq8GK43PrwwUSkI97u</t>
  </si>
  <si>
    <t>https://drive.google.com/open?id=1rhNnU3SIs9iNdhF_xboWo45-WfRqqGhl</t>
  </si>
  <si>
    <t>https://drive.google.com/open?id=104TAUKKzhNam57X0rEt2ji3LZApr0y9z</t>
  </si>
  <si>
    <t>230111-1</t>
  </si>
  <si>
    <t>https://drive.google.com/open?id=1HbiAeJJEM2m6-FWzNQUWzQCOPg7D6V4C</t>
  </si>
  <si>
    <t>https://drive.google.com/open?id=12aupkmJpQHmUjRNv-SS7bCfsOGAU1TmD</t>
  </si>
  <si>
    <t>https://drive.google.com/open?id=1iGTgeianBHn_6qzgAI-uZJap_GybX5Ry</t>
  </si>
  <si>
    <t>230112-1</t>
  </si>
  <si>
    <t>https://drive.google.com/open?id=1vfmXn88Q_c35Ncnh--039Nx0xgOvfTCw</t>
  </si>
  <si>
    <t>https://drive.google.com/open?id=1ytAhKegs47X1dGJZFMehg_wHS3ScRKxQ</t>
  </si>
  <si>
    <t>https://drive.google.com/open?id=18m-4nikeC075ELVLv6EgGZXl--EgMtnb</t>
  </si>
  <si>
    <t>https://drive.google.com/open?id=1Q6KYJxxcFoRgc26P5dvgwshHU_7iFm8y</t>
  </si>
  <si>
    <t>https://drive.google.com/open?id=1Rk6QbenYvWs2Z4VDJmygaDFR_3z9sM_x</t>
  </si>
  <si>
    <t>https://drive.google.com/open?id=17chR2BSLTGJZ0cgWzv7Kz9atMypTC5KH</t>
  </si>
  <si>
    <t>Inconclusive on rerun for one of four pools</t>
  </si>
  <si>
    <t>230113-1</t>
  </si>
  <si>
    <t>https://drive.google.com/open?id=1KPoPiNvvJZl9g4s7k4A4QN2Om3T3zFIs</t>
  </si>
  <si>
    <t>https://drive.google.com/open?id=1jupeQ84tcdK0QRyg9pDfZnkPdyI7fM27</t>
  </si>
  <si>
    <t>https://drive.google.com/open?id=1l6IoStMPyfJ4KK-oLiYlB0LvQ_PPkx9m</t>
  </si>
  <si>
    <t>https://drive.google.com/open?id=1PfUyced0DUWe0pZlSMyoat3Qp5s36ygK</t>
  </si>
  <si>
    <t>https://drive.google.com/open?id=19krUmiFE2jEtwhGlXT2qY6Co9O0Tcz2r</t>
  </si>
  <si>
    <t>https://drive.google.com/open?id=1zTLHs77DaIW0uvnGbGOmQLUY9JbN6Nun</t>
  </si>
  <si>
    <t>Final inconclusive on rerun in triplicate. (+) (-) (inc)</t>
  </si>
  <si>
    <t>Final Inconclusive</t>
  </si>
  <si>
    <t>230116-1</t>
  </si>
  <si>
    <t>https://drive.google.com/open?id=1DBeXg4A6ze7RFsPdMY-du1DZRAfXJqfg</t>
  </si>
  <si>
    <t>https://drive.google.com/open?id=1mIlMDD7zjjihUqredihgnq31EhvkhTkh</t>
  </si>
  <si>
    <t>https://drive.google.com/open?id=1PH48RfBPrVIWeamPObTndC2KOa9B6t-k</t>
  </si>
  <si>
    <t xml:space="preserve">Running again in triplicate. </t>
  </si>
  <si>
    <t>Running again in trip</t>
  </si>
  <si>
    <t>https://drive.google.com/open?id=1LQ2kEU3EPYXC_1dy_lsBsECO0sFicjiT</t>
  </si>
  <si>
    <t>https://drive.google.com/open?id=19n3nclpLqdmwaPzYkbzaDu905UY5NKqI</t>
  </si>
  <si>
    <t>https://drive.google.com/open?id=1n-UPrHn_t2DdX3zzdW4fVvWbj1lWP66n</t>
  </si>
  <si>
    <t xml:space="preserve">Final inconclusive. </t>
  </si>
  <si>
    <t>230117-1</t>
  </si>
  <si>
    <t>https://drive.google.com/open?id=1aXF6Gmasn9f2iFGOyOiYqfPjexnXiBS9</t>
  </si>
  <si>
    <t>https://drive.google.com/open?id=1W7fIkHfDIZrDD6tkaKAtUQtZD1g1EHuI</t>
  </si>
  <si>
    <t>https://drive.google.com/open?id=11Rz3zDmCulaslrUA22ScdABVHcRyCt9e</t>
  </si>
  <si>
    <t>230118-1</t>
  </si>
  <si>
    <t>https://drive.google.com/open?id=1Y8nFbz8wsFLyJf5PiA0obOVQcEZV15Kd</t>
  </si>
  <si>
    <t>https://drive.google.com/open?id=1vYpSJDCAsyX7Ok4Gu_U29M7FSMXZBekK</t>
  </si>
  <si>
    <t>https://drive.google.com/open?id=16OthYlHJehjcFepb5NcOG_aSg3idB8ZV</t>
  </si>
  <si>
    <t>230119-1</t>
  </si>
  <si>
    <t>https://drive.google.com/open?id=1bnY4-wmCEag8KVv5VEQrFqVjGiOCxFoI</t>
  </si>
  <si>
    <t>https://drive.google.com/open?id=1k1bIjGOb9dfXo-oSRyVJtf4NoprG_eVx</t>
  </si>
  <si>
    <t>https://drive.google.com/open?id=1ETmsKW2J5JvRZ3h1a3AcVxmyhyAXYgxU</t>
  </si>
  <si>
    <t xml:space="preserve">1 edge positive. Rerunning. </t>
  </si>
  <si>
    <t>One Edge Positive, Rerunning</t>
  </si>
  <si>
    <t>https://drive.google.com/open?id=1GBna5xQaCA41wtVacHCzk33f0xKh7C5W</t>
  </si>
  <si>
    <t>https://drive.google.com/open?id=1hLqhNZ6wHTlpMllip64rrlpQPYqMwhgP</t>
  </si>
  <si>
    <t>https://drive.google.com/open?id=1QR9X0x-7CghsVSSo_XQLLLl8ghewlgw7</t>
  </si>
  <si>
    <t>230120-1</t>
  </si>
  <si>
    <t>https://drive.google.com/open?id=1LTD6yo680mNR148zhZQFC1kO564dXMPU</t>
  </si>
  <si>
    <t>https://drive.google.com/open?id=1nItFVCHhho2ucEiRi03SiK0dXy93WREg</t>
  </si>
  <si>
    <t>https://drive.google.com/open?id=1FVtx6cB1OdsFqMTdmPRVrv4yzSxUc861</t>
  </si>
  <si>
    <t xml:space="preserve">One inconclusive, one edge negative. Rerunning. </t>
  </si>
  <si>
    <t>1 Inc, one Edge Neg, Rerunning</t>
  </si>
  <si>
    <t>RT Jan26 - photo and LUM show Incl call</t>
  </si>
  <si>
    <t>230123-1</t>
  </si>
  <si>
    <t>https://drive.google.com/open?id=1uym5A5krTRJ-FUsarlBNQaOMAjWQZJMK</t>
  </si>
  <si>
    <t>https://drive.google.com/open?id=1_nJ_0tpWDAmzx-R9QBI7tI0X0u4lUycf</t>
  </si>
  <si>
    <t>https://drive.google.com/open?id=1HxrDkv5af3UriJFXSD4ApCPGQQkhN-jT</t>
  </si>
  <si>
    <t xml:space="preserve">Two initial edge positives and one borderline inconclusive.  Rerunning all three samples in triplicate. </t>
  </si>
  <si>
    <t>2 Edge Pos, one Inc, rerunning</t>
  </si>
  <si>
    <t>https://drive.google.com/open?id=1_Bp6v05kJ4q86PKbLA4MBVUa_YreMcKp</t>
  </si>
  <si>
    <t>https://drive.google.com/open?id=15Sut1M-dO-ly_L1ZpT2aZM32DBP0aYfx</t>
  </si>
  <si>
    <t>https://drive.google.com/open?id=1FbCz-2QgvvzP9qsy8nwcJkupSOMtfs6d</t>
  </si>
  <si>
    <t xml:space="preserve">Rerun of positive was inconclusive based on (+)(-)(-). Rerunning. </t>
  </si>
  <si>
    <t>Rerun of positive was inconclusive, rerunning</t>
  </si>
  <si>
    <t>230123-1 &amp; 230123-2</t>
  </si>
  <si>
    <t>https://drive.google.com/open?id=1jrzdXyiaiKo_jdWUFnRgfUW7CNhURvxF</t>
  </si>
  <si>
    <t>https://drive.google.com/open?id=1ssa_I6qnA_Y-82109G60W4x0EfT6vqjX</t>
  </si>
  <si>
    <t>https://drive.google.com/open?id=1MwMyLFlW1hqGShh4jaOtlIiTN4N8eLbb</t>
  </si>
  <si>
    <t>Final negative!!</t>
  </si>
  <si>
    <t>Final Negative!</t>
  </si>
  <si>
    <t>BS 04/13</t>
  </si>
  <si>
    <t>230125-1</t>
  </si>
  <si>
    <t>https://drive.google.com/open?id=1O4Ci3AxI15XlJeB9dUMzMwEvZ1U0Qto6</t>
  </si>
  <si>
    <t>https://drive.google.com/open?id=1hsu-KDkOfmBJiLWDOSngu5GK1bWAvks4</t>
  </si>
  <si>
    <t>https://drive.google.com/open?id=1cYdZnFgWk7H-awak7Y1p9aesWG2rOx3r</t>
  </si>
  <si>
    <t xml:space="preserve">Rerunning inconclusive in triplicate </t>
  </si>
  <si>
    <t>Rerunning Inconclusive in Triplicate</t>
  </si>
  <si>
    <t>https://drive.google.com/open?id=1MzVmN3lu6br54vAQCvZnKqvHqxVtLZnt</t>
  </si>
  <si>
    <t>https://drive.google.com/open?id=1bbmcZ_MkJ5yqv9e8eRtu6Af3Qr7otaSo</t>
  </si>
  <si>
    <t>https://drive.google.com/open?id=1zcty5JmfmqSvHPZDq8n5S37WAzw9E9mA</t>
  </si>
  <si>
    <t>230126-1</t>
  </si>
  <si>
    <t>https://drive.google.com/open?id=1P_fIzU6e67eqastJbvvIcXp-S1x4d6ap</t>
  </si>
  <si>
    <t>https://drive.google.com/open?id=1HhK3QTT9MQ3K7muI63TPGf-uzqhWgvVb</t>
  </si>
  <si>
    <t>https://drive.google.com/open?id=1Usm9ZZbMbP1V2Un17wQ4vnIoRP9JrXT6</t>
  </si>
  <si>
    <t xml:space="preserve">Edge negatives, barely perceptible difference from negative,  but rerunning out of an abundance of caution. </t>
  </si>
  <si>
    <t>Knowingly reran negatives</t>
  </si>
  <si>
    <t>https://drive.google.com/open?id=1EYl1UdDTgLVTQ3FakVjE0AazA9uRU5Hz</t>
  </si>
  <si>
    <t>https://drive.google.com/open?id=1MGzL6a14z28qaD1A6A_g8hgz2DxB8uE3</t>
  </si>
  <si>
    <t>https://drive.google.com/open?id=1ghdYnits8uofbgGAeu-CEKl8QemoPUbt</t>
  </si>
  <si>
    <t>230127-1</t>
  </si>
  <si>
    <t>https://drive.google.com/open?id=1n10w9_SsUoTQtbuheArxOW16YajEKQld</t>
  </si>
  <si>
    <t>https://drive.google.com/open?id=1dfis3Iw4n2Cs94lz69qgVJs9NowNkerW</t>
  </si>
  <si>
    <t>https://drive.google.com/open?id=1ffBV3MKoYz0M6feA6xFCSLN7luFLmpDQ</t>
  </si>
  <si>
    <t xml:space="preserve">230128-2 </t>
  </si>
  <si>
    <t>https://drive.google.com/open?id=1NfY5-ql-qLzyUjGiQxAZoLlpmUcACLyt</t>
  </si>
  <si>
    <t>https://drive.google.com/open?id=1X4zLKxPpoiTqaLw2V1g6TTVhIn2s6Ukk</t>
  </si>
  <si>
    <t>https://drive.google.com/open?id=1FQD1mjZYJsBXmroCy6AP5_4pZwuA8LtT</t>
  </si>
  <si>
    <t>Rerun triplicate of one sample and initial triplicate because shortage of time (all negative)</t>
  </si>
  <si>
    <t>Both rerun and Initial  run</t>
  </si>
  <si>
    <t>230130-1</t>
  </si>
  <si>
    <t>https://drive.google.com/open?id=17P_KtlVhOka-9q4h2JdQiKf-GnELMkrG</t>
  </si>
  <si>
    <t>https://drive.google.com/open?id=1uCZBpWHm6Wm-M_E5V6UJ6QhvCbu2pBtc</t>
  </si>
  <si>
    <t>https://drive.google.com/open?id=1KYjMdxqf0fDWjy4_ZFKyo7aQ7in6E0s9</t>
  </si>
  <si>
    <t>230206-1</t>
  </si>
  <si>
    <t>https://drive.google.com/open?id=1nM-PpYPDAvuMI7NERdW6iwVGzUxNre5M</t>
  </si>
  <si>
    <t>https://drive.google.com/open?id=1xjgDRsFkznYMKh_-zgsGWKEaSBVm3Miv</t>
  </si>
  <si>
    <t>https://drive.google.com/open?id=1hqqRR6XOd7FvbE2GTOdhKAL8mnHbP7op</t>
  </si>
  <si>
    <t>First run post-freeze!</t>
  </si>
  <si>
    <t>230208-1</t>
  </si>
  <si>
    <t>https://drive.google.com/open?id=1TGdLwiu1f7Q2aWka5CqiBqQUyoR7t7cJ</t>
  </si>
  <si>
    <t>https://drive.google.com/open?id=1rFr4VzbYdszRxMgs5Cvgfqf21pSLn_nK</t>
  </si>
  <si>
    <t>https://drive.google.com/open?id=10DDvYy8S_ku4biUwlh9uIx6T6CYNGpc-</t>
  </si>
  <si>
    <t>https://drive.google.com/open?id=1dYM45ObSp7icwCr_yKg1t63kBjq0GZ6d</t>
  </si>
  <si>
    <t>https://drive.google.com/open?id=1NpGiWdZ-4_4E_bwiuhnIBevH2CzTP3g5</t>
  </si>
  <si>
    <t>https://drive.google.com/open?id=1cDXeNHChGAflARiH-HzEY1GnV4EuNzPy</t>
  </si>
  <si>
    <t xml:space="preserve">This was a rerun in triplicate. All negative. </t>
  </si>
  <si>
    <t>230209-1</t>
  </si>
  <si>
    <t>https://drive.google.com/open?id=1s9rmbXf5KvsBJbB0jzE6EXiBqI6eDyzc</t>
  </si>
  <si>
    <t>https://drive.google.com/open?id=1hmtsiTmG5hTT4fEAcJFFuScRGLfdKgqR</t>
  </si>
  <si>
    <t>https://drive.google.com/open?id=1ofFo7RCSg_lrc1QJghnPmzk81lffrMSk</t>
  </si>
  <si>
    <t>230210-1</t>
  </si>
  <si>
    <t>https://drive.google.com/open?id=1BVs5L3g6_XlpLd0lhSllrgfKhK5ox5Ys</t>
  </si>
  <si>
    <t>https://drive.google.com/open?id=1fHfaCVv1o58HGefwdUMBxbu6CQ_FTZoP</t>
  </si>
  <si>
    <t>https://drive.google.com/open?id=1hvuHQyGqWWnx6nVQeEj-8lwhziEh8yBQ</t>
  </si>
  <si>
    <t>https://drive.google.com/open?id=13ECSzNsGHirKxLBIh2IReV2RKhtY8kaa</t>
  </si>
  <si>
    <t>https://drive.google.com/open?id=1CvFsaLARYahLtQe22FLbo6V6FqzKS7bk</t>
  </si>
  <si>
    <t>https://drive.google.com/open?id=1dB3dzYwMgIRrFDPaPJLyMSOTe1C34Sk4</t>
  </si>
  <si>
    <t xml:space="preserve">Rerun in triplicate. </t>
  </si>
  <si>
    <t>230213-1</t>
  </si>
  <si>
    <t>https://drive.google.com/open?id=1nChpZDhy0Ko1R355oYZswvHsv2kwvJYj</t>
  </si>
  <si>
    <t>https://drive.google.com/open?id=1ABc_dMLutyUV1VO8wWQ8K7rV8-x_A5gd</t>
  </si>
  <si>
    <t>https://drive.google.com/open?id=1NXeSlj1JerDwcQAn62sJsxx0t9-oBQre</t>
  </si>
  <si>
    <t>https://drive.google.com/open?id=1qxhu2K4FKAkPnwJLe49_8zxbGYEyfLfA</t>
  </si>
  <si>
    <t>https://drive.google.com/open?id=1wrbFLh6mw-MdDSOL8JHPN7lL2bb6XSbd</t>
  </si>
  <si>
    <t>https://drive.google.com/open?id=1AezYriECCGMzRSQSinEaoCYqA6tZpMp7</t>
  </si>
  <si>
    <t xml:space="preserve">Rerun of inconclusive in triplicate. all negative. </t>
  </si>
  <si>
    <t>230214-1</t>
  </si>
  <si>
    <t>https://drive.google.com/open?id=138duNTpaca_ckkSyinrVzMX2jSFe1BgL</t>
  </si>
  <si>
    <t>https://drive.google.com/open?id=1nrA1HXXpysnoxpEkZhOyl_MethO3HOjc</t>
  </si>
  <si>
    <t>https://drive.google.com/open?id=14NvzR5BXPyEGBU6ipwlVdVux-EyZVqDC</t>
  </si>
  <si>
    <t xml:space="preserve">Positive control did not turn yellow. Not sure if it the positive sample, a bad reaction mix, or user error. Rerunning inconclusive in triplicate. </t>
  </si>
  <si>
    <t>PC failure</t>
  </si>
  <si>
    <t>https://drive.google.com/open?id=1go7htY0_qucRtggr2jzFF4JARSSseDtU</t>
  </si>
  <si>
    <t>https://drive.google.com/open?id=1ZtC37Kox4-aKgfiQd-8UPdacq4CXPVoO</t>
  </si>
  <si>
    <t>https://drive.google.com/open?id=1dUEc2OocWy5vlRbyRwCdI9D5Md1_f7Ti</t>
  </si>
  <si>
    <t>Just gonna say, this was a rerun of a seeming inconclusive, but I just didn’t keep p.m. This in the original are all negative.</t>
  </si>
  <si>
    <t>230215-1</t>
  </si>
  <si>
    <t>https://drive.google.com/open?id=1sRGmmXUR4iXdh5iV1Byz61KpQikD0Weh</t>
  </si>
  <si>
    <t>https://drive.google.com/open?id=1_f6p12TShUZEtdn1ymjgBj80PhivrzRg</t>
  </si>
  <si>
    <t>https://drive.google.com/open?id=1oz71h22BgBzNSqvtRkcRmK3FQSGswqTL</t>
  </si>
  <si>
    <t>230216-1</t>
  </si>
  <si>
    <t>https://drive.google.com/open?id=1NljitvCi7cgmoCgJf0ItuyFq6d0VDSGj</t>
  </si>
  <si>
    <t>https://drive.google.com/open?id=1GN1cvG1jcy9TVSdZ8fmzGSpJTkhUHj3T</t>
  </si>
  <si>
    <t>https://drive.google.com/open?id=1tBcJP9vTgIDrBm_f0xBSUPtZgy4aVZiS</t>
  </si>
  <si>
    <t>230217-1</t>
  </si>
  <si>
    <t>https://drive.google.com/open?id=1ShIpqY71WryVtEiebtYSvJOP9dAUyjfy</t>
  </si>
  <si>
    <t>https://drive.google.com/open?id=1Zjp_3AvwExYw7sf0O-zezcgPzMkv3gSv</t>
  </si>
  <si>
    <t>https://drive.google.com/open?id=1g2M22ONw4z3Y0y8dLKFWDv63rqrsdHJH</t>
  </si>
  <si>
    <t>230220-1</t>
  </si>
  <si>
    <t>https://drive.google.com/open?id=1X3iRSUm2tk8gTCb6J6nR_rlRKzFicbJo</t>
  </si>
  <si>
    <t>https://drive.google.com/open?id=105jzP8j3ToeuHUwywnv4l1acvlQjhyL-</t>
  </si>
  <si>
    <t>https://drive.google.com/open?id=1IZDPE8dOLz0SC2rDKPVq7wH4tFQioByV</t>
  </si>
  <si>
    <t>230221-1</t>
  </si>
  <si>
    <t>https://drive.google.com/open?id=1Wrv48klLJkgYh1dSInAWjK7szDzTFeM0</t>
  </si>
  <si>
    <t>https://drive.google.com/open?id=13yUYhFX3h4DgKC_EUuNrb-_v_M1D6bRZ</t>
  </si>
  <si>
    <t>https://drive.google.com/open?id=1IBaELiTRKJ75b0jU4RuQu7_-ntQI64d4</t>
  </si>
  <si>
    <t>https://drive.google.com/open?id=1KHO_Jauzypk3sJg7vmLlzgNe6e0JI3-L</t>
  </si>
  <si>
    <t>https://drive.google.com/open?id=1-PxbWlrWayxhd4wPzG0kASRbNmkYUycJ</t>
  </si>
  <si>
    <t>https://drive.google.com/open?id=1Mbso5Mt2gqlnSAvfeRk4OBxpIjJY1Qp7</t>
  </si>
  <si>
    <t>230222-1</t>
  </si>
  <si>
    <t>https://drive.google.com/open?id=1ucsUBhU3w07bQJev11QX9wzJlN2PEgQ2</t>
  </si>
  <si>
    <t>https://drive.google.com/open?id=1HSocbt_uC96olj-1tkv_XU_j67LbndYn</t>
  </si>
  <si>
    <t>https://drive.google.com/open?id=1knDsTZDlCCULeErnxprN8vx-iaW2f52F</t>
  </si>
  <si>
    <t>230223-1</t>
  </si>
  <si>
    <t>https://drive.google.com/open?id=18b2BA0td9-6HV-heRBCK6pOCvJi8ViWF</t>
  </si>
  <si>
    <t>https://drive.google.com/open?id=1HZNqvDOHTq7j9TfbstMOJf6bG8n9q6Tr</t>
  </si>
  <si>
    <t>https://drive.google.com/open?id=11rjcw9rX4UJSuKRrPH95oIdYgwfVmBiX</t>
  </si>
  <si>
    <t>https://drive.google.com/open?id=1X9s_YXs1BoyJDbLp6WZlCnUrNweTv1CM</t>
  </si>
  <si>
    <t>https://drive.google.com/open?id=1cq2X-M83hvoJDHepe8Cv8O5fyPyteNmw</t>
  </si>
  <si>
    <t>https://drive.google.com/open?id=1DTlQlng-6IDKiWPFp7_-1jK2GwXfenfO</t>
  </si>
  <si>
    <t>https://drive.google.com/open?id=1lIeqQgNuUJEcEiCUsPaXjtt5T5v0J1XR</t>
  </si>
  <si>
    <t>https://drive.google.com/open?id=1LveIZ_KmuFZ9tN33z8Y7te7dWiAfWVga</t>
  </si>
  <si>
    <t>https://drive.google.com/open?id=19CLlcl7NfPLkOX2761S7cAX-DgMhYCQm</t>
  </si>
  <si>
    <t xml:space="preserve">One edge positive. Rerunning.  </t>
  </si>
  <si>
    <t>230224-1</t>
  </si>
  <si>
    <t>https://drive.google.com/open?id=1cBx7nWsvwq-AxCPNWpzwOmF3WtASXtlT</t>
  </si>
  <si>
    <t>https://drive.google.com/open?id=1UMJJxfXWFOMvFGo-Z_566Trf1bBN8SfY</t>
  </si>
  <si>
    <t>https://drive.google.com/open?id=1r1-J2OOVHpQHyaPYdFJuqPCAD3pmEFVL</t>
  </si>
  <si>
    <t>230227-1</t>
  </si>
  <si>
    <t>https://drive.google.com/open?id=1Cch7XU_AS-NMz3i3cYussm5OhJmmJK-N</t>
  </si>
  <si>
    <t>https://drive.google.com/open?id=1iburHBfbMP7dajOnVHv_az-xMErN2-hL</t>
  </si>
  <si>
    <t>https://drive.google.com/open?id=19XXwm-w-1vzXQuhwKB6AxLdtadwg7xTy</t>
  </si>
  <si>
    <t>https://drive.google.com/open?id=1HZ8Qc1N3ivmI6178BtV1RyN1x3xxJNnY</t>
  </si>
  <si>
    <t>https://drive.google.com/open?id=1PGygWv2pk-tvk183sVz6iaK5ofQCpEn_</t>
  </si>
  <si>
    <t>https://drive.google.com/open?id=1x0BYn9pxNFwq_Tr0cmxDD14i02_m8Dqy</t>
  </si>
  <si>
    <t xml:space="preserve">This was a rerun in triplicate. </t>
  </si>
  <si>
    <t>230228-1</t>
  </si>
  <si>
    <t>https://drive.google.com/open?id=1I4aEQ507qJb3S5mOU8DTmu00_sOxlg3g</t>
  </si>
  <si>
    <t>https://drive.google.com/open?id=1RVENElQJcmQczYuQC3WTQRQ8gOJXrFj1</t>
  </si>
  <si>
    <t>https://drive.google.com/open?id=1Y7_M5xpEn1W5p7Ms80c-2fjABeLsNt16</t>
  </si>
  <si>
    <t xml:space="preserve">One edge positive. </t>
  </si>
  <si>
    <t>One Edge Positive</t>
  </si>
  <si>
    <t>https://drive.google.com/open?id=1ZJ9V17EYvHwJcxg37bQNOOSwtgqENTrv</t>
  </si>
  <si>
    <t>https://drive.google.com/open?id=1vvkAie3weuvUk2IIHsG4HPaDpnqsTYFS</t>
  </si>
  <si>
    <t>https://drive.google.com/open?id=1oaCrtc-C6QZmi-JAscG9pPMAKaFPxSw-</t>
  </si>
  <si>
    <t>230301-1</t>
  </si>
  <si>
    <t>https://drive.google.com/open?id=1_J8NnAZ_cYAWsHKwdsXi0Mz8Swu4GlC7</t>
  </si>
  <si>
    <t>https://drive.google.com/open?id=15FoDcbvFSIMfUw_b3cc15ipqsZFclnYH</t>
  </si>
  <si>
    <t>https://drive.google.com/open?id=1lU0VPdfHF3wxAkJpxyMEt4Od-LG1xjgo</t>
  </si>
  <si>
    <t xml:space="preserve">One inconclusive and one edge negative. </t>
  </si>
  <si>
    <t>https://drive.google.com/open?id=1KnMXPjHfy5mXFn8k2oTmTXHNEib4AYip</t>
  </si>
  <si>
    <t>https://drive.google.com/open?id=1878PbueHmBvNTkTPa_Geki-zXd-JFR8G</t>
  </si>
  <si>
    <t>https://drive.google.com/open?id=1Rffat6OAYCS0pv0iyyW5n3G3z9qvFjho</t>
  </si>
  <si>
    <t>230302-1</t>
  </si>
  <si>
    <t>https://drive.google.com/open?id=1nVguIJw1HJECNxtfaU5MyR8-3uvS6c4R</t>
  </si>
  <si>
    <t>https://drive.google.com/open?id=1E5sagZFV20VaHja5f9r5EES74bqn0MCQ</t>
  </si>
  <si>
    <t>https://drive.google.com/open?id=1fpUhQ1CrTpcZyBKWluni5-SiyjpLiN9w</t>
  </si>
  <si>
    <t>230303-1</t>
  </si>
  <si>
    <t>https://drive.google.com/open?id=16CnMdlHILFs31B0lIEVVS6QRiPlqrpqh</t>
  </si>
  <si>
    <t>https://drive.google.com/open?id=10dW5ji4uoIiAdMQ0-JxOSCVQDs65Yj9E</t>
  </si>
  <si>
    <t>https://drive.google.com/open?id=1J7JkMLSwl0Txu6RKhGgHiF-EQc6gc0k1</t>
  </si>
  <si>
    <t>Pretty sure this is a rerun that happened the next day</t>
  </si>
  <si>
    <t>230306-1</t>
  </si>
  <si>
    <t>https://drive.google.com/open?id=1pbCSDyHMGTXZAGJ48tH5Vo9VRMm1WQi-</t>
  </si>
  <si>
    <t>https://drive.google.com/open?id=1XmPMzA8aRb1BDdXQPbD1BODSK3Uegsie</t>
  </si>
  <si>
    <t>https://drive.google.com/open?id=19YviT9eyLHIX3AbvokxXbXWm9IuUWkwk</t>
  </si>
  <si>
    <t xml:space="preserve">One edge positive </t>
  </si>
  <si>
    <t>They identified Positive in notes, but recorded 2 inconclusives. Determined that one of the 2 incs in their count is the positive that was explicitly refrenced in the note</t>
  </si>
  <si>
    <t>https://drive.google.com/open?id=129yEcjTEZn5CWjQR_BqTJlZyv3VO67gz</t>
  </si>
  <si>
    <t>https://drive.google.com/open?id=1YDd4vroNFxll7XytnhbIzq-nQrZALBnY</t>
  </si>
  <si>
    <t>https://drive.google.com/open?id=1JzhHqs3uZAq8DkfUv1_J8PEQXil8rZoY</t>
  </si>
  <si>
    <t>230307-1</t>
  </si>
  <si>
    <t>https://drive.google.com/open?id=1g_ILwRzWavbfIS5H_mZSEYEwGrxrKTzs</t>
  </si>
  <si>
    <t>https://drive.google.com/open?id=16DbWmiNQ1y2AZxcbQlphH49LVdUUzo2I</t>
  </si>
  <si>
    <t>https://drive.google.com/open?id=11xaID65lM27ThJp_bZhGP1Fp-IsPeBYi</t>
  </si>
  <si>
    <t>230308-1</t>
  </si>
  <si>
    <t>https://drive.google.com/open?id=1nYBq-rkAWPQh8ELFkmn0xKzSDoGJ5pYX</t>
  </si>
  <si>
    <t>https://drive.google.com/open?id=101na_VRXxhlIe1lpeLVEpFouDKuTNQh6</t>
  </si>
  <si>
    <t>https://drive.google.com/open?id=1OLIMrxXucaWr7cphGIejBaYjW_Cxz1gt</t>
  </si>
  <si>
    <t>both incs corrected to Neg</t>
  </si>
  <si>
    <t>https://drive.google.com/open?id=1rO81QhuvQ6MAjM4kGhI8paRlOa3BFZd3</t>
  </si>
  <si>
    <t>https://drive.google.com/open?id=1TPYgaMsMjLv_i9xspGkd3wINVp_dSF63</t>
  </si>
  <si>
    <t>https://drive.google.com/open?id=1e11pa2JwjP07cEwloeUBjsznB9efbckm</t>
  </si>
  <si>
    <t>230309-1</t>
  </si>
  <si>
    <t>https://drive.google.com/open?id=1Kw71URcRLaEtTWm9CFTMsPiMfjACn0is</t>
  </si>
  <si>
    <t>https://drive.google.com/open?id=1BX4U4aiyym5oZRnA-Sgbe_UvoEXYyEeA</t>
  </si>
  <si>
    <t>https://drive.google.com/open?id=1KHs-itSzPfFBE1jNIMDug9BQrBD1R86i</t>
  </si>
  <si>
    <t>https://drive.google.com/open?id=1swsszl9_2UMAaf8K0SWOkucMrkW4uDXR</t>
  </si>
  <si>
    <t>https://drive.google.com/open?id=1RYyR6LvPLos0PSnrmk7n3q7p0by7rE4q</t>
  </si>
  <si>
    <t>https://drive.google.com/open?id=1ZwW3WJ64mzediTLfM_OMaZZ9xTqDdNRh</t>
  </si>
  <si>
    <t>https://drive.google.com/open?id=1hXaFyxEQosMj-gfwSmRHzk_cWCG4ze4K</t>
  </si>
  <si>
    <t>https://drive.google.com/open?id=1dObCE3JCxlzkqkqkVVg8DCY_KWp4mfvL</t>
  </si>
  <si>
    <t>https://drive.google.com/open?id=1wfUhyD70YTxQb8hIpaIZKUuchtIqiDwy</t>
  </si>
  <si>
    <t>https://drive.google.com/open?id=1Cne1s2FYPeCNXdr-5keDca2YCOqUqOIE</t>
  </si>
  <si>
    <t>https://drive.google.com/open?id=1RuhzzE_oWf6Ey3FxnGp7QZFdNgKfYBI4</t>
  </si>
  <si>
    <t>https://drive.google.com/open?id=1M_5y2esDTEG6YevIlxDoUwTjIXyzyAZQ</t>
  </si>
  <si>
    <t>2303021-1</t>
  </si>
  <si>
    <t>https://drive.google.com/open?id=1u_2dWhRhVMLM8tY1E0cG5cjYO6dtCxFn</t>
  </si>
  <si>
    <t>https://drive.google.com/open?id=1bcZE8otMfQIH8NyXDpOO0c3lHNl7xeId</t>
  </si>
  <si>
    <t>https://drive.google.com/open?id=17kOk4iBfiXBAaq_fBivUq0X25gFZf_mh</t>
  </si>
  <si>
    <t>230322-1</t>
  </si>
  <si>
    <t>https://drive.google.com/open?id=15m6n1BeSRaLnuZ-ygM3L7SgHKm_J49dD</t>
  </si>
  <si>
    <t>https://drive.google.com/open?id=1zg952sYRXgH66X7_nfmMh2cpJhqSF0s7</t>
  </si>
  <si>
    <t>https://drive.google.com/open?id=1YfriLy_ngPrOHH_EvP35Vy6DkuF6qcci</t>
  </si>
  <si>
    <t>https://drive.google.com/open?id=1QbqH9pMeM5wANENpiJk2p8HtyB4xmlP0</t>
  </si>
  <si>
    <t>https://drive.google.com/open?id=15YH2FuPN7eUUS6VDE8YP3VvSMptMR6X5</t>
  </si>
  <si>
    <t>https://drive.google.com/open?id=1AAQpDdHoiT7r5SdJIgwMF3o4DGfpZVR-</t>
  </si>
  <si>
    <t>https://drive.google.com/open?id=13Zj-wiaE3I-kdbF3UsoW7S6v76FFfYKH</t>
  </si>
  <si>
    <t>https://drive.google.com/open?id=1gidD3AsEcjz5I-AuVJrM2rTHwoLN3tcO</t>
  </si>
  <si>
    <t>https://drive.google.com/open?id=1lqTC3R6ZSH-4UyeJm5mrcCcVejkZWzx8</t>
  </si>
  <si>
    <t>Edge negative</t>
  </si>
  <si>
    <t>230323-1</t>
  </si>
  <si>
    <t>https://drive.google.com/open?id=1KUZKOmLHGbu5-TYc1gWv3URi8Ap7QLmv</t>
  </si>
  <si>
    <t>https://drive.google.com/open?id=19WerP6clrhEhLzSDcQbi8PxH6Ep6CHER</t>
  </si>
  <si>
    <t>https://drive.google.com/open?id=1uPqzsP_Whs6zMBkctAjRGRauBlTQ7knQ</t>
  </si>
  <si>
    <t>230324-1</t>
  </si>
  <si>
    <t>https://drive.google.com/open?id=1ig-7MOO5_Sy-JfLz5jXtjjl1YJfirl84</t>
  </si>
  <si>
    <t>https://drive.google.com/open?id=1mcnFAjPTMyzoQF8qZWkAIliy3x1xjiuW</t>
  </si>
  <si>
    <t>https://drive.google.com/open?id=13WSJVSEGYWxooprOKQlA2f1rV3UdBSnO</t>
  </si>
  <si>
    <t>https://drive.google.com/open?id=1c62vz_8g_AFZOz8ujd1goiOzEubkPy52</t>
  </si>
  <si>
    <t>https://drive.google.com/open?id=1Y1hY_5tiMGFWk9Vs0DCWbbfuWknQ3MzU</t>
  </si>
  <si>
    <t>https://drive.google.com/open?id=1qHo8Rk0p7db1x3wWmX1TzHsY9eWt-gUu</t>
  </si>
  <si>
    <t>23-03-28-1</t>
  </si>
  <si>
    <t>https://drive.google.com/open?id=1WxkIGZhbcQbR1aTaG-DnvITmxz5NsepU</t>
  </si>
  <si>
    <t>https://drive.google.com/open?id=1ylHA1QzEdYQyiVrjCzu7CwhnMZ8S_g5B</t>
  </si>
  <si>
    <t>https://drive.google.com/open?id=17lS2b9P0uqJBso_6gVnS_I7OMNqOgD8Y</t>
  </si>
  <si>
    <t>230329-1</t>
  </si>
  <si>
    <t>https://drive.google.com/open?id=1vKvkCsLWNCahYf1C-ArXcsZyCYYV85wX</t>
  </si>
  <si>
    <t>https://drive.google.com/open?id=1yn4uEC8K6Aui-8j02eHXqzW99H93QnPe</t>
  </si>
  <si>
    <t>https://drive.google.com/open?id=1YT7lUyN62IXmUA9p-nFu3qFlr514IeEb</t>
  </si>
  <si>
    <t>230330-1</t>
  </si>
  <si>
    <t>https://drive.google.com/open?id=1PyZx0IU05kzuyIiSquioTlDi7_CHR-lc</t>
  </si>
  <si>
    <t>https://drive.google.com/open?id=1LPMzTyVayd05Y1_jQVKRvJUQAJ7ph1bW</t>
  </si>
  <si>
    <t>https://drive.google.com/open?id=1c1ZCxWIDMwQ7AKpjnlWOygn_IIWCzITM</t>
  </si>
  <si>
    <t xml:space="preserve">One initial positive. Rerunning. </t>
  </si>
  <si>
    <t>One initial Positive, Rerunning</t>
  </si>
  <si>
    <t>https://drive.google.com/open?id=15QdN4eyYJ9Y8GFZmaHyat7-ZAIg4B77O</t>
  </si>
  <si>
    <t>https://drive.google.com/open?id=1QyoBtuES6escR68OFJMMmHAfgmIEdIVy</t>
  </si>
  <si>
    <t>https://drive.google.com/open?id=1E4I8PQETE8az0Hg0o0WWq2ptkt57ynH9</t>
  </si>
  <si>
    <t xml:space="preserve">All positive. Rerun in triplicate. </t>
  </si>
  <si>
    <t>ALL POSITIVE!</t>
  </si>
  <si>
    <t>230331-1</t>
  </si>
  <si>
    <t>https://drive.google.com/open?id=19e3TvYLNLI8nHbh99pS9On9ghzQCmVso</t>
  </si>
  <si>
    <t>https://drive.google.com/open?id=1PzciMAmdBYThyxKxQ03DfGrxSEWRVn_4</t>
  </si>
  <si>
    <t>https://drive.google.com/open?id=1FgvvtObY_pX0LA65VTq6XY6uC9bvUR-a</t>
  </si>
  <si>
    <t xml:space="preserve">1 of 3 of a triplicate run. </t>
  </si>
  <si>
    <t>230403-1</t>
  </si>
  <si>
    <t>https://drive.google.com/open?id=1yCpRHobmX2v0FCJ7ykqxma7xqfkuLoM9</t>
  </si>
  <si>
    <t>https://drive.google.com/open?id=1jtzgs3Q0cFmySGNnHtSq0eW1AAGEjTFQ</t>
  </si>
  <si>
    <t>https://drive.google.com/open?id=1yzWLW1vbFu6XdLwknlExlYoflubRNZNn</t>
  </si>
  <si>
    <t>BS 10/10</t>
  </si>
  <si>
    <t>230404-1</t>
  </si>
  <si>
    <t>https://drive.google.com/open?id=1-DCPTMxkcrelYfjmhwNSsvCh3758rdsS</t>
  </si>
  <si>
    <t>https://drive.google.com/open?id=1LktqDI3mup_lsQKG5rDD13B2T0E7co6W</t>
  </si>
  <si>
    <t>https://drive.google.com/open?id=1q-_Yj39MQxarN0RQubfGgPPw51JqnVDX</t>
  </si>
  <si>
    <t>https://drive.google.com/open?id=1EgnhXvsQywAAt7tP_C1E4OOfYT46V88L</t>
  </si>
  <si>
    <t>https://drive.google.com/open?id=1YuEFwVWTxqgDW3SlHP6NNnHeBy1BLJlj</t>
  </si>
  <si>
    <t>https://drive.google.com/open?id=1J9bSRHPXDI1DLBF3by2sassYFBTnNaTg</t>
  </si>
  <si>
    <t>230405-1</t>
  </si>
  <si>
    <t>https://drive.google.com/open?id=18MzsN_AENXf1uT5BAfQF6JYywUwcF7RQ</t>
  </si>
  <si>
    <t>https://drive.google.com/open?id=1u0yeyyLVRZg9GQsv61z20DYB8MsIs_as</t>
  </si>
  <si>
    <t>https://drive.google.com/open?id=1qnDF8YS4ZE_ARRpOA6WQu8gKF35H_eP3</t>
  </si>
  <si>
    <t>230406-1</t>
  </si>
  <si>
    <t>https://drive.google.com/open?id=13ZGEI9l7KaIFto4bvA-OCa4_Xdz9cjGc</t>
  </si>
  <si>
    <t>https://drive.google.com/open?id=11aD1_SIwbax20IsahEIealpfaxNY3uuz</t>
  </si>
  <si>
    <t>https://drive.google.com/open?id=1m64IREWn4_49NdXMAInw7yXA9rhSKZbB</t>
  </si>
  <si>
    <t xml:space="preserve">Edge positive or positive unclear </t>
  </si>
  <si>
    <t>https://drive.google.com/open?id=1dzUnmijr46kmD29RO8t4BiIpXcuom1Sm</t>
  </si>
  <si>
    <t>https://drive.google.com/open?id=1D1jkv_5FAvPJVqhlba8pg0gIkE4RbsG2</t>
  </si>
  <si>
    <t>https://drive.google.com/open?id=1S4UTEztBFLHCtVkAhD4edRxVe5KB7SWj</t>
  </si>
  <si>
    <t>230407-1</t>
  </si>
  <si>
    <t>https://drive.google.com/open?id=1LygB01lf2JMmwBGjuC4r-ew4pvI4IxTq</t>
  </si>
  <si>
    <t>https://drive.google.com/open?id=1JCRmQmfP1c0G_tQxXjIK-a4M9j09WMID</t>
  </si>
  <si>
    <t>https://drive.google.com/open?id=1CnmcqHHKSCviZJ411AOxj_IHHvqfqbnX</t>
  </si>
  <si>
    <t>230410-1</t>
  </si>
  <si>
    <t>https://drive.google.com/open?id=1LttHUWCDbVOurfXsKWa1lqbg8QHz4Jia</t>
  </si>
  <si>
    <t>https://drive.google.com/open?id=1n8E3P9hMhUSPjTppyEVKBhxZl2YCmA7x</t>
  </si>
  <si>
    <t>https://drive.google.com/open?id=1gvcGz1R8JEi-lOZGOc3Qiuu4c3XyZ7-K</t>
  </si>
  <si>
    <t>230411-1</t>
  </si>
  <si>
    <t>https://drive.google.com/open?id=1WISd22k59OkyUxHgRuc6N-Az2smLLP-T</t>
  </si>
  <si>
    <t>https://drive.google.com/open?id=1DhKuT4lu7QXeQytDHQw6EqH-UIrj7q4d</t>
  </si>
  <si>
    <t>https://drive.google.com/open?id=1iCy0lmJQydkxug26W0c42xAW_xO_KcnN</t>
  </si>
  <si>
    <t>BS 10/11</t>
  </si>
  <si>
    <t>https://drive.google.com/open?id=1Qjcw27qbIm1HdVSiuRmXm0yU-DSiEWEe</t>
  </si>
  <si>
    <t>https://drive.google.com/open?id=1I2tbKapVkmEHdH9MvNE9u_COHCo9zeuL</t>
  </si>
  <si>
    <t>https://drive.google.com/open?id=1RIljxorLPKrUPnXd-eCqodO43Ayjq63c</t>
  </si>
  <si>
    <t>230412-1</t>
  </si>
  <si>
    <t>https://drive.google.com/open?id=1WZva3fCl402vFq1vMt-s5wfAyQehdMZz</t>
  </si>
  <si>
    <t>https://drive.google.com/open?id=1hXcTQGUta7zF5GuwndgQ0mATS6vk9ctd</t>
  </si>
  <si>
    <t>https://drive.google.com/open?id=1MCbLuoFY6pi2gr8nC1ga-cMZRUk7YZSi</t>
  </si>
  <si>
    <t>Lookup map suggests Antonios pool was ran 4 times</t>
  </si>
  <si>
    <t>230413-1</t>
  </si>
  <si>
    <t>https://drive.google.com/open?id=1OyCoMBqlsbKYcBFAV6AFLGMjEwBZvBe8</t>
  </si>
  <si>
    <t>https://drive.google.com/open?id=1x4To9r3IXvIGb12t593P3OF-ubb2TJeU</t>
  </si>
  <si>
    <t>https://drive.google.com/open?id=15HbMbgBlkduBTGoNNTzBvlEMbjh_wDwC</t>
  </si>
  <si>
    <t>There isnt enough tubes here to cover all the APS tubes collected and resulted between the 11th and 13th</t>
  </si>
  <si>
    <t>230414-1</t>
  </si>
  <si>
    <t>https://drive.google.com/open?id=1UT948Tf2MN2qvi_21b4l_qKMpGhYmCoD</t>
  </si>
  <si>
    <t>https://drive.google.com/open?id=1LQvHyxBYw0BnhCF-2xbT-u4LIaWbkpJH</t>
  </si>
  <si>
    <t>https://drive.google.com/open?id=1BLp0cZx2ieGqM9KSFQHiLmhwdY3jwu0h</t>
  </si>
  <si>
    <t>230417-1</t>
  </si>
  <si>
    <t>https://drive.google.com/open?id=1ArfX4KTgMnOOPCuOF6YlqjY9GAlpE15V</t>
  </si>
  <si>
    <t>https://drive.google.com/open?id=1sMhPJ1IMwJiurUCYS2xIFzsOiOl_QSWs</t>
  </si>
  <si>
    <t>https://drive.google.com/open?id=1M-Wq0YsmtQUpUIgvnROnGRMwanZgzHxg</t>
  </si>
  <si>
    <t>230418-1</t>
  </si>
  <si>
    <t>https://drive.google.com/open?id=1HByMxDMNMj63zzXurWjZbS2rFKUg8TCw</t>
  </si>
  <si>
    <t>https://drive.google.com/open?id=17KAKML2ZM1QfHJu1aVl1xYhrhdvKhoAM</t>
  </si>
  <si>
    <t>https://drive.google.com/open?id=1cZY4g8CTgfwRr73i0BWvkQTGTuyWo53t</t>
  </si>
  <si>
    <t>230419-1</t>
  </si>
  <si>
    <t>https://drive.google.com/open?id=1TbppCN39BVyTrsQEWO7BV3Z7v2X9ICR3</t>
  </si>
  <si>
    <t>https://drive.google.com/open?id=1KJ4waQpgG5Ygzxg3VfYTNd8OvFpe4Ybi</t>
  </si>
  <si>
    <t>https://drive.google.com/open?id=1UuXB7wWZ7kgH1CLqxQsaBmInnvTa7GpU</t>
  </si>
  <si>
    <t>230420-1</t>
  </si>
  <si>
    <t>https://drive.google.com/open?id=1xPJ8EUTck7dF32peDK5FdUYqwEUPSeOd</t>
  </si>
  <si>
    <t>https://drive.google.com/open?id=18w5sjxw5hutxYpTIw_0_fZdnKLu9sFka</t>
  </si>
  <si>
    <t>https://drive.google.com/open?id=1iX2ubuVe2q83wOdUASQP7cBpaVddUyTu</t>
  </si>
  <si>
    <t>I think they were confused. They said there was an inconclusive, but wrote edge positive. I'm marking as inc with no correction</t>
  </si>
  <si>
    <t>Edge Pos</t>
  </si>
  <si>
    <t>https://drive.google.com/open?id=1fe6fIlqDR5njBDziFa5sDdUl2p4K3c-e</t>
  </si>
  <si>
    <t>https://drive.google.com/open?id=1QhR9cvHKPNx5q5Hrw-hQqAwUyv4SMpED</t>
  </si>
  <si>
    <t>https://drive.google.com/open?id=1uMi65zu8WHZXzUWnF4Yuv79uNpI7SJqC</t>
  </si>
  <si>
    <t xml:space="preserve">Edge negative </t>
  </si>
  <si>
    <t>1 Edge Neg</t>
  </si>
  <si>
    <t>230421-1</t>
  </si>
  <si>
    <t>https://drive.google.com/open?id=1cbMa01v5ciWfD3I9GzmHqBtXvaBzGj0G</t>
  </si>
  <si>
    <t>https://drive.google.com/open?id=1QAW8oj3EPIe7xqnpy8WLVpnaxZRSuu5C</t>
  </si>
  <si>
    <t>https://drive.google.com/open?id=19jcVxAO7RZfwHxBT8XLTU0ZK-SNVO47U</t>
  </si>
  <si>
    <t>230424-1</t>
  </si>
  <si>
    <t>https://drive.google.com/open?id=1ys55oCGv7lHuNcTqfX9Y0uCLqEYhQBSA</t>
  </si>
  <si>
    <t>https://drive.google.com/open?id=1o_6uCBi7R5BX0nC62sG4Ru8YIjVHeRih</t>
  </si>
  <si>
    <t>https://drive.google.com/open?id=1JsdJRuRTihV1u4LXQZ2gIZMqsMZqGtkd</t>
  </si>
  <si>
    <t>https://drive.google.com/open?id=1gTPap8U_SkFuqUonTz5T8q9b4-4uwj_c</t>
  </si>
  <si>
    <t>https://drive.google.com/open?id=1AqyUVxTC9JNCngtcfhqM-h-qgH812qdI</t>
  </si>
  <si>
    <t>https://drive.google.com/open?id=1DoLVxtvP7aBZitxez1Po7s9xm93g7hoZ</t>
  </si>
  <si>
    <t>unnessesary rerun</t>
  </si>
  <si>
    <t>230428-1</t>
  </si>
  <si>
    <t>https://drive.google.com/open?id=1ruwcW5aEAHMGvH_h5wXuTpCYEwiBqi84</t>
  </si>
  <si>
    <t>https://drive.google.com/open?id=1WnepmvcfvQZhr_yXGJd4OmzcyPMTVepq</t>
  </si>
  <si>
    <t>https://drive.google.com/open?id=1d-6A1ckiMfJhnuOcQi3ybh3k8-jbJfqb</t>
  </si>
  <si>
    <t>I-&gt;Edge Neg</t>
  </si>
  <si>
    <t>https://drive.google.com/open?id=1F10Y0OqgEQrIxcTl0PonIasp2mZQuOyQ</t>
  </si>
  <si>
    <t>https://drive.google.com/open?id=1f6_T0EwGhVQjGlfBDl8JGdo_uhJlafuV</t>
  </si>
  <si>
    <t>https://drive.google.com/open?id=1SbY3rSju5hiHFvvcuYoFUE1wT7TgStXo</t>
  </si>
  <si>
    <t>230508-1</t>
  </si>
  <si>
    <t>https://drive.google.com/open?id=17OqRvC3JSmX-t_vJCz3jCY9SsTAa75Zn</t>
  </si>
  <si>
    <t>https://drive.google.com/open?id=18-9sdvZzcSQDdreKk2Am1mA6EB4O89ay</t>
  </si>
  <si>
    <t>https://drive.google.com/open?id=1hVkV6r_Z72K8aJfn8R56RXdStBuaYc3n</t>
  </si>
  <si>
    <t>230511-1</t>
  </si>
  <si>
    <t>https://drive.google.com/open?id=1QmRRWfvll2j7gt1SCN1Qv-7x-8eEFcuB</t>
  </si>
  <si>
    <t>https://drive.google.com/open?id=1cZ8vbafCtaCx2d6LvSvMuAZN_adaGnfM</t>
  </si>
  <si>
    <t>https://drive.google.com/open?id=1fJZu_XEuXBLCq4-SAMZi3xrfCz7VKHx5</t>
  </si>
  <si>
    <t>230517-1</t>
  </si>
  <si>
    <t>https://drive.google.com/open?id=1E3LFlLIoxq8aF4rQEDkx1cLOMcl-cMCw</t>
  </si>
  <si>
    <t>https://drive.google.com/open?id=1RGXY9btC14SEZ12IOuxPTnCGeI3Mfhmk</t>
  </si>
  <si>
    <t>https://drive.google.com/open?id=1p1kfK_hMJtJvBROxKZJogBbUKX2WEbF9</t>
  </si>
  <si>
    <t>230518-1</t>
  </si>
  <si>
    <t>https://drive.google.com/open?id=1mg7DlwZJR-dPg8VgVDe6h6vWUk1iDBTp</t>
  </si>
  <si>
    <t>https://drive.google.com/open?id=1HjascHa70dFgzgE7-jOlDRpTW8mMAhyn</t>
  </si>
  <si>
    <t>https://drive.google.com/open?id=1k2Vkl3eV8cJIoWjW7ZrhqejlzwilC0hf</t>
  </si>
  <si>
    <t>230519-1</t>
  </si>
  <si>
    <t>https://drive.google.com/open?id=11AVrv3e_gJtqSZRauMUdfnEnZnUa8xGW</t>
  </si>
  <si>
    <t>https://drive.google.com/open?id=14_pOY3q4ZDrNl3ZLSh1Nl9BcFUohT0Cd</t>
  </si>
  <si>
    <t>https://drive.google.com/open?id=1TkOQzdSAo2kHpuGlPdh9SK2B6cQFhwEW</t>
  </si>
  <si>
    <t>Edge positive 1</t>
  </si>
  <si>
    <t>No rerun positive</t>
  </si>
  <si>
    <t>1 Edge Positive</t>
  </si>
  <si>
    <t>230522-1</t>
  </si>
  <si>
    <t>https://drive.google.com/open?id=1qIYnifXsLa3Xk7QlyMoH3GjXexkLo_rH</t>
  </si>
  <si>
    <t>https://drive.google.com/open?id=1YIS-NRVFtnLImC94UFpwZoU-nrlf5zgF</t>
  </si>
  <si>
    <t>https://drive.google.com/open?id=1q4Q430fukAhKxvO3ROF_BJxGJaujYyIf</t>
  </si>
  <si>
    <t>https://drive.google.com/open?id=1j8ceFYCJlmZwtXJCxyDxhEoW-nYLMO81</t>
  </si>
  <si>
    <t>https://drive.google.com/open?id=1-c727YrTO4byCK_u7Bm4VtyCbovnUphx</t>
  </si>
  <si>
    <t>https://drive.google.com/open?id=1ktp3GqY7Qb7saz3j5nwS1We3cJ012DvK</t>
  </si>
  <si>
    <t xml:space="preserve">This was a rerun in triplicate. 1 edge positive. Must rerun again.  </t>
  </si>
  <si>
    <t>https://drive.google.com/open?id=1AxaZh7_875U9725srqkPIXJ3i93HTly5</t>
  </si>
  <si>
    <t>https://drive.google.com/open?id=1qVxGc761ioCyMzgsUgFqecyyLdecj2p9</t>
  </si>
  <si>
    <t>https://drive.google.com/open?id=1F2ZwHmfXR8peU8_v9LHrHYBuZdTnQ0Wf</t>
  </si>
  <si>
    <t>This was a secondary rerun in triplicate. One edge negative. Final negative.</t>
  </si>
  <si>
    <t>230523-1</t>
  </si>
  <si>
    <t>https://drive.google.com/open?id=1IQLveV5LEUOIoqoL0klEZ2DKSt-MJ5TG</t>
  </si>
  <si>
    <t>https://drive.google.com/open?id=18umklw5UezCn5l51Ae-Dga-27ndI7xnO</t>
  </si>
  <si>
    <t>https://drive.google.com/open?id=1w5PM0VuGfLfmaoJBd0oRL5htSWgLzqGI</t>
  </si>
  <si>
    <t xml:space="preserve">4 positives are already known. One is the household and then the three individuals.  They were already isolating and did not come into abrome infected.  </t>
  </si>
  <si>
    <t>4 Positives were known</t>
  </si>
  <si>
    <t>230524-1</t>
  </si>
  <si>
    <t>https://drive.google.com/open?id=1e8T-x87_8QJKGY4JQLJ-C4vmgOYXgYq7</t>
  </si>
  <si>
    <t>https://drive.google.com/open?id=1Opyy0KGlQXoQzqeqxDwANRF0pqaBh8Tq</t>
  </si>
  <si>
    <t>https://drive.google.com/open?id=14xOAiSYzHHDvKnhPHSPO-76BD0UlFE7c</t>
  </si>
  <si>
    <t xml:space="preserve">Inconclusive is edge negative. </t>
  </si>
  <si>
    <t>Inc is edge neg</t>
  </si>
  <si>
    <t>https://drive.google.com/open?id=1h04nEG1ulijHYJ6W_WYu2mT8Hnr2ZgVs</t>
  </si>
  <si>
    <t>https://drive.google.com/open?id=16egwSM5lRoTeJrl86ywA_EiWz4CZ4Zd0</t>
  </si>
  <si>
    <t>https://drive.google.com/open?id=1aW7kZmvfsZVSbbPpdHqc4H6az8f3Nvic</t>
  </si>
  <si>
    <t>230525-1</t>
  </si>
  <si>
    <t>https://drive.google.com/open?id=1IgWErb1eJb1x83IfMxf-jBb5W9TEWmn7</t>
  </si>
  <si>
    <t>https://drive.google.com/open?id=1HiPyEyVIjMBnh9qgdV_VgpFgATxO_DgS</t>
  </si>
  <si>
    <t>https://drive.google.com/open?id=18HSWhOsdyXNDhrBGFT3Wl7adSbcqcvcV</t>
  </si>
  <si>
    <t>230526-1</t>
  </si>
  <si>
    <t>https://drive.google.com/open?id=1HqswkFYdCN9oCQ1vrZIWqtA6uzK9_9HN</t>
  </si>
  <si>
    <t>https://drive.google.com/open?id=1eUvPDSWieW0WyfpHl_KwZAegODpjOHhY</t>
  </si>
  <si>
    <t>https://drive.google.com/open?id=1Mlsb3OKWa2-GIq3OjkJYCfa974wmngIU</t>
  </si>
  <si>
    <t>230529-1</t>
  </si>
  <si>
    <t>https://drive.google.com/open?id=1WDiQ4lp2f4oGXihPpxdG6oVaIKb7qwic</t>
  </si>
  <si>
    <t>https://drive.google.com/open?id=1dKuBPoi2xNIIA1h2EDqMEAtWcuaTQES4</t>
  </si>
  <si>
    <t>https://drive.google.com/open?id=1UJ6vIO8zaHbxWPMcWodEyC4Rngb9G2lC</t>
  </si>
  <si>
    <t>230530-1</t>
  </si>
  <si>
    <t>https://drive.google.com/open?id=1Fg82_yQRj5PgK2IsS65afqe4deBzqjhP</t>
  </si>
  <si>
    <t>https://drive.google.com/open?id=1pf4K6q-7r3e2CtT-KYBKVHaJBJdDFc7A</t>
  </si>
  <si>
    <t>https://drive.google.com/open?id=12t34aDezyqpbUKqH-i2GiJvbqdfzHa0C</t>
  </si>
  <si>
    <t>https://drive.google.com/open?id=1vJmpN1ToWVJAIe6nTpQsGZeE3qMoXuH0</t>
  </si>
  <si>
    <t>https://drive.google.com/open?id=1xNuWjMln7qCIn1SO0irz5Bh_g9XhpESt</t>
  </si>
  <si>
    <t>https://drive.google.com/open?id=1hg3Yz8NZ63JyfYfIyynWjlfVZwJ8DpIQ</t>
  </si>
  <si>
    <t>230531-1</t>
  </si>
  <si>
    <t>https://drive.google.com/open?id=1JAkI11caNWFQo_HUp0cKqBqZMmd3oZgF</t>
  </si>
  <si>
    <t>https://drive.google.com/open?id=12uwo0vv5HjjosZHXQHB84sxtZuvNsXef</t>
  </si>
  <si>
    <t>https://drive.google.com/open?id=1wS5eQfNeuYYQXjm7PrZ37OX57Sggng1v</t>
  </si>
  <si>
    <t>230601-1</t>
  </si>
  <si>
    <t>https://drive.google.com/open?id=1yEwV0JPwYWoZ_SCJka7qaJd0SjkFhThd</t>
  </si>
  <si>
    <t>https://drive.google.com/open?id=1Exxikn9GTopFVy2vb4bO8E6xorrIuZh7</t>
  </si>
  <si>
    <t>https://drive.google.com/open?id=1AJH3gNzRYHoXPYlStZbJPz5GLBc-O67f</t>
  </si>
  <si>
    <t>First Row of Collection Date</t>
  </si>
  <si>
    <t>AUTO ASSIGN RUN ID?</t>
  </si>
  <si>
    <t>PASS1 ASSIGNED
RUN ID</t>
  </si>
  <si>
    <t>TUBE RUN DAY AFTER COLLECT?</t>
  </si>
  <si>
    <t>TUBE RUN IN 2ND RUN OF SAME DAY?</t>
  </si>
  <si>
    <t>PASS2 ASSIGNED
RUN ID</t>
  </si>
  <si>
    <t>FINAL
ASSIGNED RUN ID</t>
  </si>
  <si>
    <t>TUBE ID RUN DAY AFTER COLLECT</t>
  </si>
  <si>
    <t>TUBE ID RUN IN 2ND RUN OF SAME DAY</t>
  </si>
  <si>
    <t>RUN INDEX DELTA</t>
  </si>
  <si>
    <t>COMBINED VLOOKUP</t>
  </si>
  <si>
    <t>DAY AFTER VLOOKUP</t>
  </si>
  <si>
    <t>2ND RUN VLOOKUP</t>
  </si>
  <si>
    <t>PREV PASTED VALUES 
FINAL
ASSIGNED RUN ID</t>
  </si>
  <si>
    <t>RUN-ABRM_2022-09-05_RFR-001</t>
  </si>
  <si>
    <t>AH7153</t>
  </si>
  <si>
    <t>AG255</t>
  </si>
  <si>
    <t>AJ4785</t>
  </si>
  <si>
    <t>AH8784</t>
  </si>
  <si>
    <t>AH621</t>
  </si>
  <si>
    <t>AH189</t>
  </si>
  <si>
    <t>AG465</t>
  </si>
  <si>
    <t>AG628</t>
  </si>
  <si>
    <t>AJ9495</t>
  </si>
  <si>
    <t>AH6935</t>
  </si>
  <si>
    <t>AJ8746</t>
  </si>
  <si>
    <t>AH7660</t>
  </si>
  <si>
    <t>AJ9662</t>
  </si>
  <si>
    <t>AH7310</t>
  </si>
  <si>
    <t>AH364</t>
  </si>
  <si>
    <t>RUN-ABRM_2023-02-07_APS-002</t>
  </si>
  <si>
    <t>RUN-ABRM_2023-03-03_APS-003</t>
  </si>
  <si>
    <t>AR1142</t>
  </si>
  <si>
    <t>RUN-ABRM_2023-04-12_APS-004</t>
  </si>
  <si>
    <t>RUN-ABRM_2023-04-13_APS-005</t>
  </si>
  <si>
    <t>AR253</t>
  </si>
  <si>
    <t>AR625</t>
  </si>
  <si>
    <t>AR1790</t>
  </si>
  <si>
    <t>RUN-ABRM_2023-04-25_APS-006</t>
  </si>
  <si>
    <t>RUN-ABRM_2023-04-26_APS-007</t>
  </si>
  <si>
    <t>RUN-ABRM_2023-04-27_APS-008</t>
  </si>
  <si>
    <t>RUN-ABRM_2023-05-02_APS-009</t>
  </si>
  <si>
    <t>RUN-ABRM_2023-05-03_APS-010</t>
  </si>
  <si>
    <t>RUN-ABRM_2023-05-04_APS-011</t>
  </si>
  <si>
    <t>RUN-ABRM_2023-05-05_APS-012</t>
  </si>
  <si>
    <t>RUN-ABRM_2023-05-09_APS-013</t>
  </si>
  <si>
    <t>RUN-ABRM_2023-05-10_APS-014</t>
  </si>
  <si>
    <t>RUN-ABRM_2023-05-12_APS-015</t>
  </si>
  <si>
    <t>RUN-ABRM_2023-05-15_APS-016</t>
  </si>
  <si>
    <t>RUN-ABRM_2023-05-16_APS-017</t>
  </si>
  <si>
    <t>AR1332</t>
  </si>
  <si>
    <t>AR1823</t>
  </si>
  <si>
    <t>delete these last 4 booleans because this last run assignment was missing from the prev version and should have been there</t>
  </si>
  <si>
    <t>IMPORTS &gt;&gt;
URL link below</t>
  </si>
  <si>
    <t>Manually Reassign Result Date</t>
  </si>
  <si>
    <t>ABRM_APS_deID_PUB</t>
  </si>
  <si>
    <t>RUN ID INTERNAL</t>
  </si>
  <si>
    <t>Final Num - APS Num Tubes</t>
  </si>
  <si>
    <t>Run not in Appivo at All?</t>
  </si>
  <si>
    <t>RFR Audit
Pos Session
Calls</t>
  </si>
  <si>
    <t>RFR Audit
Inc Session
Calls</t>
  </si>
  <si>
    <t>APS Final Results Positives</t>
  </si>
  <si>
    <t>APS Final Results Inconclusives</t>
  </si>
  <si>
    <t>Delta Positives</t>
  </si>
  <si>
    <t>Delta Inconclusives</t>
  </si>
  <si>
    <t>Both Deltas Zero</t>
  </si>
  <si>
    <t>ARF Suffix</t>
  </si>
  <si>
    <t>ARF Tube ID</t>
  </si>
  <si>
    <t>APS Run ID</t>
  </si>
  <si>
    <t>Determined from RFR Audit RESULT</t>
  </si>
  <si>
    <t>ARF Result Call Comment</t>
  </si>
  <si>
    <t>ARFABRM002</t>
  </si>
  <si>
    <t>ARFABRM003</t>
  </si>
  <si>
    <t>ARFABRM004</t>
  </si>
  <si>
    <t>ARFABRM005</t>
  </si>
  <si>
    <t>ARFABRM006</t>
  </si>
  <si>
    <t>ARFABRM007</t>
  </si>
  <si>
    <t>ARFABRM008</t>
  </si>
  <si>
    <t>ARFABRM009</t>
  </si>
  <si>
    <t>ARFABRM010</t>
  </si>
  <si>
    <t>ARFABRM011</t>
  </si>
  <si>
    <t>ARFABRM012</t>
  </si>
  <si>
    <t>ARFABRM013</t>
  </si>
  <si>
    <t>Audited images - C is circled as edge positive</t>
  </si>
  <si>
    <t>ARFABRM014</t>
  </si>
  <si>
    <t>ARFABRM015</t>
  </si>
  <si>
    <t>ARFABRM016</t>
  </si>
  <si>
    <t>ARFABRM017</t>
  </si>
  <si>
    <t>ARFABRM018</t>
  </si>
  <si>
    <t>ARFABRM019</t>
  </si>
  <si>
    <t>ARFABRM020</t>
  </si>
  <si>
    <t>ARFABRM021</t>
  </si>
  <si>
    <t>ARFABRM022</t>
  </si>
  <si>
    <t>TUBE ID</t>
  </si>
  <si>
    <t>NEW RUN ID</t>
  </si>
  <si>
    <t>OLD INITIAL RUN ID</t>
  </si>
  <si>
    <t>TUBE ID SOURCE CODE</t>
  </si>
  <si>
    <t>TUBE RESULT CODE</t>
  </si>
  <si>
    <t>NUM RXNS (for tube in complete session)</t>
  </si>
  <si>
    <t>TUBE RESULT NOTES</t>
  </si>
  <si>
    <t>RUN INDEX</t>
  </si>
  <si>
    <t>UNIQUE RUN ID</t>
  </si>
  <si>
    <t>COUNT CHECK</t>
  </si>
  <si>
    <t>WHOLE TAB MUST BE SORTED BY INITIAL RUN ID FOR THIS TO WORK</t>
  </si>
  <si>
    <t>AJ9638</t>
  </si>
  <si>
    <t>R_ABRM-004</t>
  </si>
  <si>
    <t>R_ABRM-006</t>
  </si>
  <si>
    <t>R_ABRM-011</t>
  </si>
  <si>
    <t>R_ABRM-015</t>
  </si>
  <si>
    <t>R_ABRM-019</t>
  </si>
  <si>
    <t>R_ABRM-023</t>
  </si>
  <si>
    <t>R_ABRM-026</t>
  </si>
  <si>
    <t>R_ABRM-028</t>
  </si>
  <si>
    <t>R_ABRM-030</t>
  </si>
  <si>
    <t>R_ABRM-034</t>
  </si>
  <si>
    <t>R_ABRM-038</t>
  </si>
  <si>
    <t>contaminated run, on rerun was Neg</t>
  </si>
  <si>
    <t>R_ABRM-041</t>
  </si>
  <si>
    <t>N -&gt; I N N (Re ran because orig edge neg and wanted to be safe)</t>
  </si>
  <si>
    <t>R_ABRM-046</t>
  </si>
  <si>
    <t>R_ABRM-052</t>
  </si>
  <si>
    <t>Initial Inc -&gt; Neg Singlet Rerun</t>
  </si>
  <si>
    <t>R_ABRM-055</t>
  </si>
  <si>
    <t>R_ABRM-057</t>
  </si>
  <si>
    <t>Pos rxn in first rerun.</t>
  </si>
  <si>
    <t>R_ABRM-064</t>
  </si>
  <si>
    <t>Corrected to Positive</t>
  </si>
  <si>
    <t>R_ABRM-066</t>
  </si>
  <si>
    <t>Corrected from I -&gt; N (rerun NNN)</t>
  </si>
  <si>
    <t>R_ABRM-069</t>
  </si>
  <si>
    <t>R_ABRM-076</t>
  </si>
  <si>
    <t>Corrected from Edge Pos to Inconclusive</t>
  </si>
  <si>
    <t>R_ABRM-079</t>
  </si>
  <si>
    <t>R_ABRM-082</t>
  </si>
  <si>
    <t>R_ABRM-084</t>
  </si>
  <si>
    <t>R_ABRM-095</t>
  </si>
  <si>
    <t>R_ABRM-101</t>
  </si>
  <si>
    <t>R_ABRM-105</t>
  </si>
  <si>
    <t>R_ABRM-110</t>
  </si>
  <si>
    <t>R_ABRM-114</t>
  </si>
  <si>
    <t>N -&gt; PNN -&gt; PNN</t>
  </si>
  <si>
    <t>R_ABRM-119</t>
  </si>
  <si>
    <t>R_ABRM-121</t>
  </si>
  <si>
    <t>R_ABRM-123</t>
  </si>
  <si>
    <t>False Positive</t>
  </si>
  <si>
    <t>R_ABRM-125</t>
  </si>
  <si>
    <t>Corrected from Inc to Neg</t>
  </si>
  <si>
    <t>R_ABRM-126</t>
  </si>
  <si>
    <t>R_ABRM-129</t>
  </si>
  <si>
    <t>R_ABRM-147</t>
  </si>
  <si>
    <t>R_ABRM-131</t>
  </si>
  <si>
    <t>R_ABRM-133</t>
  </si>
  <si>
    <t>R_ABRM-137</t>
  </si>
  <si>
    <t>R_ABRM-139</t>
  </si>
  <si>
    <t>R_ABRM-143</t>
  </si>
  <si>
    <t>R_ABRM-154</t>
  </si>
  <si>
    <t>R_ABRM-156</t>
  </si>
  <si>
    <t>R_ABRM-171</t>
  </si>
  <si>
    <t>R_ABRM-177</t>
  </si>
  <si>
    <t>Rerun was next day</t>
  </si>
  <si>
    <t>R_ABRM-197</t>
  </si>
  <si>
    <t>ABRM</t>
  </si>
  <si>
    <t>SETUP</t>
  </si>
  <si>
    <t>Loom Video link</t>
  </si>
  <si>
    <t>Make a copy of the RFR audit Template and name it the appropriate file name in the deployment folder: &lt;PRGMCODE&gt;_RFR_&lt;YYYY_MM_DD&gt;_CDwPHI_WIP</t>
  </si>
  <si>
    <t xml:space="preserve">Copy and paste the raw data into the template. </t>
  </si>
  <si>
    <t>Only paste the from the first entry down, preserving the headers in the template</t>
  </si>
  <si>
    <t>Update below with the 4 character program label (for run ID generation)</t>
  </si>
  <si>
    <t>Program Code:</t>
  </si>
  <si>
    <t>FOR EACH ROW</t>
  </si>
  <si>
    <t>Open the Run Form Image and eval for combined entries needing splitting</t>
  </si>
  <si>
    <t>If rerun is mentioned in notes but subsequent runs are not logged, split the run</t>
  </si>
  <si>
    <t>Eval for any apparent required flags (Invalid Run, Split Run, Is/Has Rerun)</t>
  </si>
  <si>
    <t>Complete Run Form section with information from the image</t>
  </si>
  <si>
    <t>If Tube IDs written in RForm Notes, then check to see if it exists in APS and matches date</t>
  </si>
  <si>
    <t>If it's not then enter it in Tube Result Table Draft and assign Tube ID Source Code 2.2</t>
  </si>
  <si>
    <t xml:space="preserve">Open the Results Image and fill in the Results section </t>
  </si>
  <si>
    <t>If the calculated results from the inc run calls is a non integer, or is marked as needing correction, rectify using results image</t>
  </si>
  <si>
    <t>Eval for any apparent required flags (RFR Misc Correct Code, RFR Results Correct Code, RFR Correct Notes)</t>
  </si>
  <si>
    <t>Eval for needed splits</t>
  </si>
  <si>
    <t>Extra reactions off to side are a red flag for a combined entry</t>
  </si>
  <si>
    <t>Situations with improper reruns are common, use best judgement to asess what took place</t>
  </si>
  <si>
    <t>Assign Run Code based on info from Run Form Image and Results Image (and accompanying initial/rerun, if applicable)</t>
  </si>
  <si>
    <t>Open the Lookup map if not absent, mark as "Complete" if completely filled in with tube ID's, otherwise mark as "Incomplete"</t>
  </si>
  <si>
    <t>Refer below for Data Table creation instructions</t>
  </si>
  <si>
    <t>SPLITTING A RUN</t>
  </si>
  <si>
    <t>Insert a row below and copy/paste its parent row</t>
  </si>
  <si>
    <t xml:space="preserve">Fix Images, Note, Initial inconclusives, and Number of Samples </t>
  </si>
  <si>
    <t>Mark as a split run, select Run Type = Re-run (if case)</t>
  </si>
  <si>
    <t>Audit each row as a separate run, splitting according to the available information and your best judgement
(Increment rerun time by 1 hour)</t>
  </si>
  <si>
    <t>Verify that parent and child rows have independent, correct data</t>
  </si>
  <si>
    <t>TUBE RESULT TABLE DRAFT CREATION (add to table with each row in RFR audit)</t>
  </si>
  <si>
    <t>Add one entry for each tube that matches the criteria for inclusion in the Reaction Table Draft (for more detailed criteria see Data Notes)</t>
  </si>
  <si>
    <r>
      <rPr>
        <rFont val="Arial"/>
        <color theme="1"/>
      </rPr>
      <t xml:space="preserve">Enter </t>
    </r>
    <r>
      <rPr>
        <rFont val="Arial"/>
        <b/>
        <color theme="1"/>
      </rPr>
      <t>Tube ID, Initial Run ID, Tube ID Source Code, Tube Result Code, Num Rxns (for that tube in that session), Tube Result Notes</t>
    </r>
  </si>
  <si>
    <t>REACTION TABLE DRAFT CREATION (either with each row or after RFR audit is complete)</t>
  </si>
  <si>
    <t>Add one entry for each reaction for which anywhere in the re-run chain exists a valid positive or inconclusive result by the original call or audit call (for more detailed criteria see Data Notes)</t>
  </si>
  <si>
    <r>
      <rPr>
        <rFont val="Arial"/>
        <color theme="1"/>
        <sz val="11.0"/>
      </rPr>
      <t xml:space="preserve">Copy and paste the </t>
    </r>
    <r>
      <rPr>
        <rFont val="Arial"/>
        <b/>
        <color theme="1"/>
        <sz val="11.0"/>
      </rPr>
      <t>Run ID</t>
    </r>
  </si>
  <si>
    <r>
      <rPr>
        <rFont val="Arial"/>
        <b/>
        <color theme="1"/>
        <sz val="11.0"/>
      </rPr>
      <t>Reaction ID</t>
    </r>
    <r>
      <rPr>
        <rFont val="Arial"/>
        <b/>
        <color theme="1"/>
        <sz val="11.0"/>
      </rPr>
      <t xml:space="preserve"> is generated automatically, </t>
    </r>
    <r>
      <rPr>
        <rFont val="Arial"/>
        <b/>
        <color theme="1"/>
        <sz val="11.0"/>
      </rPr>
      <t>Run Type</t>
    </r>
    <r>
      <rPr>
        <rFont val="Arial"/>
        <b/>
        <color theme="1"/>
        <sz val="11.0"/>
      </rPr>
      <t xml:space="preserve"> is matched from RFR</t>
    </r>
  </si>
  <si>
    <r>
      <rPr>
        <rFont val="Arial"/>
        <color theme="1"/>
        <sz val="11.0"/>
      </rPr>
      <t>Enter or verify the</t>
    </r>
    <r>
      <rPr>
        <rFont val="Arial"/>
        <b/>
        <color theme="1"/>
        <sz val="11.0"/>
      </rPr>
      <t xml:space="preserve"> Audit Reaction Result</t>
    </r>
    <r>
      <rPr>
        <rFont val="Arial"/>
        <color theme="1"/>
        <sz val="11.0"/>
      </rPr>
      <t xml:space="preserve">, </t>
    </r>
    <r>
      <rPr>
        <rFont val="Arial"/>
        <b/>
        <color theme="1"/>
        <sz val="11.0"/>
      </rPr>
      <t>Audit Run Call Result</t>
    </r>
    <r>
      <rPr>
        <rFont val="Arial"/>
        <color theme="1"/>
        <sz val="11.0"/>
      </rPr>
      <t xml:space="preserve">, and </t>
    </r>
    <r>
      <rPr>
        <rFont val="Arial"/>
        <b/>
        <color theme="1"/>
        <sz val="11.0"/>
      </rPr>
      <t>Audit Session Call Result</t>
    </r>
    <r>
      <rPr>
        <rFont val="Arial"/>
        <color theme="1"/>
        <sz val="11.0"/>
      </rPr>
      <t xml:space="preserve"> as follows: </t>
    </r>
  </si>
  <si>
    <t>Reaction Result is made on the individual-tube basis and is judged from the final color of the reaction in that tube</t>
  </si>
  <si>
    <r>
      <rPr>
        <rFont val="Arial"/>
        <b/>
        <color theme="1"/>
        <sz val="11.0"/>
      </rPr>
      <t>Run Call Result</t>
    </r>
    <r>
      <rPr>
        <rFont val="Arial"/>
        <b/>
        <color theme="1"/>
        <sz val="11.0"/>
      </rPr>
      <t xml:space="preserve"> for a reaction = </t>
    </r>
    <r>
      <rPr>
        <rFont val="Arial"/>
        <b/>
        <color theme="1"/>
        <sz val="11.0"/>
      </rPr>
      <t xml:space="preserve">Run Call Result </t>
    </r>
    <r>
      <rPr>
        <rFont val="Arial"/>
        <b/>
        <color theme="1"/>
        <sz val="11.0"/>
      </rPr>
      <t>for its respective tube in that run - This value is auto-generated and should be verified</t>
    </r>
  </si>
  <si>
    <r>
      <rPr>
        <rFont val="Arial"/>
        <b/>
        <color theme="1"/>
        <sz val="11.0"/>
      </rPr>
      <t>Session Call Result</t>
    </r>
    <r>
      <rPr>
        <rFont val="Arial"/>
        <b/>
        <color theme="1"/>
        <sz val="11.0"/>
      </rPr>
      <t xml:space="preserve"> for a reaction  = </t>
    </r>
    <r>
      <rPr>
        <rFont val="Arial"/>
        <b/>
        <color theme="1"/>
        <sz val="11.0"/>
      </rPr>
      <t>Session Call Result</t>
    </r>
    <r>
      <rPr>
        <rFont val="Arial"/>
        <b/>
        <color theme="1"/>
        <sz val="11.0"/>
      </rPr>
      <t xml:space="preserve"> for its respective tube in that session</t>
    </r>
  </si>
  <si>
    <r>
      <rPr>
        <rFont val="Arial"/>
        <color theme="1"/>
        <sz val="11.0"/>
      </rPr>
      <t xml:space="preserve">For any runs with </t>
    </r>
    <r>
      <rPr>
        <rFont val="Arial"/>
        <b/>
        <color theme="1"/>
        <sz val="11.0"/>
      </rPr>
      <t>Enter Tube ID from LUM?</t>
    </r>
    <r>
      <rPr>
        <rFont val="Arial"/>
        <color theme="1"/>
        <sz val="11.0"/>
      </rPr>
      <t xml:space="preserve"> = TRUE, read the file and add the </t>
    </r>
    <r>
      <rPr>
        <rFont val="Arial"/>
        <b/>
        <color theme="1"/>
        <sz val="11.0"/>
      </rPr>
      <t>Tube IDs</t>
    </r>
    <r>
      <rPr>
        <rFont val="Arial"/>
        <color theme="1"/>
        <sz val="11.0"/>
      </rPr>
      <t xml:space="preserve"> to their respective reactions</t>
    </r>
  </si>
  <si>
    <r>
      <rPr>
        <rFont val="Arial"/>
        <color theme="1"/>
        <sz val="11.0"/>
      </rPr>
      <t xml:space="preserve">If LUM is incomplete, use </t>
    </r>
    <r>
      <rPr>
        <rFont val="Arial"/>
        <b/>
        <color theme="1"/>
        <sz val="11.0"/>
      </rPr>
      <t>Note</t>
    </r>
    <r>
      <rPr>
        <rFont val="Arial"/>
        <color theme="1"/>
        <sz val="11.0"/>
      </rPr>
      <t xml:space="preserve"> field to add whatever identifying information is avalible </t>
    </r>
  </si>
  <si>
    <t>For Unknown Tube IDs w reruns, apply the same Unknown Tube ID to rerun rxns as initial rxns by referencing the rerun rxn cells in “Index Unknown Tube ID”</t>
  </si>
  <si>
    <t>CREATE CD RFR, MOVE COPY TO MAIN &gt; DATA</t>
  </si>
  <si>
    <t>Duplicate the "Corrected RFR Data - preDel" tab, name as "Corrected RFR Data - postDel", delete marked rows</t>
  </si>
  <si>
    <t>Copy/paste column data AS VALUES from the "Corrected RFR Data - postDel" tab to the respective columns of the "CD RFR" tab</t>
  </si>
  <si>
    <t>De-identify any PHI from the Notes columns using the DeID Key from the APS/APT CD files from the same deployment</t>
  </si>
  <si>
    <r>
      <rPr>
        <rFont val="Arial"/>
        <color theme="1"/>
        <sz val="11.0"/>
      </rPr>
      <t xml:space="preserve">Check Notes Collumns for PII, Replace with </t>
    </r>
    <r>
      <rPr>
        <rFont val="Arial"/>
        <b/>
        <color theme="1"/>
        <sz val="11.0"/>
      </rPr>
      <t xml:space="preserve">Person ID </t>
    </r>
    <r>
      <rPr>
        <rFont val="Arial"/>
        <color theme="1"/>
        <sz val="11.0"/>
      </rPr>
      <t>from the APS DEID key. For "Johns family", us "Person ID Family"</t>
    </r>
  </si>
  <si>
    <t>Move a copy of the CD RFR tab to a new Gsheet in the deployment's deidentified Data folder</t>
  </si>
  <si>
    <r>
      <rPr>
        <rFont val="Arial"/>
        <color theme="1"/>
        <sz val="11.0"/>
      </rPr>
      <t xml:space="preserve">Copy/paste the Reaction Table Draft into a second tab of the CD RFR file in the Data folder - paste </t>
    </r>
    <r>
      <rPr>
        <rFont val="Arial"/>
        <i/>
        <color theme="1"/>
        <sz val="11.0"/>
      </rPr>
      <t>AS VALUES</t>
    </r>
  </si>
  <si>
    <t>RUN COUNT RECONCILE CODES:</t>
  </si>
  <si>
    <t>OLD Codes (copied from note in Run Reconcile column N 'Tube Run Count Reconcile Code')</t>
  </si>
  <si>
    <t>ALL 3 COUNTS SAME meaning APS Collect = APS Result = RFR</t>
  </si>
  <si>
    <t>0   Same Audit RFR: APS Collect = APS Result = RFR</t>
  </si>
  <si>
    <t>ALL 3 COUNTS SAME after Null called Neg</t>
  </si>
  <si>
    <t>0.1 same as above except Null &gt; Neg</t>
  </si>
  <si>
    <t>ALL 3 COUNTS SAME with APS Collect on previous days</t>
  </si>
  <si>
    <t>0.2 All same with APS Collect on previous days</t>
  </si>
  <si>
    <t>ALL 3 COUNTS SAME after Null called Neg with APS Collect on previous days</t>
  </si>
  <si>
    <t>1 Same Audit RFR: APS Collect = RFR (disregard Result Count)</t>
  </si>
  <si>
    <t>ALL 3 COUNTS SAME but GFORM Num of Samples is different</t>
  </si>
  <si>
    <t>1.1 same as above except Null &gt; Neg</t>
  </si>
  <si>
    <t>Use APS Collect = RFR (diff APS Result count but nets out)</t>
  </si>
  <si>
    <t>2 Same Audit RFR: Extra tubes in RFR not in Appivo</t>
  </si>
  <si>
    <t>Use APS Collect = RFR (diff APS Result count but nets out) after Null called Neg</t>
  </si>
  <si>
    <t>2.1 same as above except Null &gt; Neg</t>
  </si>
  <si>
    <t>Use APS Collect = RFR Audit (ignore APS Result and GFORM Num samples is different)</t>
  </si>
  <si>
    <t>3 Same Audit RFR : Delete Null Tube</t>
  </si>
  <si>
    <t>Use Audit RFR count (extra tubes in RFR not in Appivo)</t>
  </si>
  <si>
    <t>4 Same Audit RFR: extra tube in Appivo not in LUM marked for delete</t>
  </si>
  <si>
    <t>Use Audit RFR count (extra tubes in RFR not in Appivo) after Null called Neg</t>
  </si>
  <si>
    <t>4.5 Run with No RFR</t>
  </si>
  <si>
    <t>ALL 3 COUNTS SAME after Null deleted</t>
  </si>
  <si>
    <t>4.6 RFR Raw Num Samples Gform = APS Collect</t>
  </si>
  <si>
    <t>Use APS Collect = RFR (diff APS Result count but nets out) after Null deleted</t>
  </si>
  <si>
    <t>Add Run from APS with no RFR (assume run on same day as Collect, ignore Result day)</t>
  </si>
  <si>
    <t>Add Run from APS with no RFR (extra APS tube and conclude done in sep run with no RFR)</t>
  </si>
  <si>
    <t>RFR Raw Num Samples Gform = APS Collect</t>
  </si>
  <si>
    <t>BELOW CODES HAVE MANUAL RUN ASSIGNMENT IN PASS2</t>
  </si>
  <si>
    <t>Same Audit RFR: extra tube in Appivo not in LUM marked for delete</t>
  </si>
  <si>
    <t>5 Multiple Initial runs on same day - final count is sum of RFR Audit = APS Collect</t>
  </si>
  <si>
    <t>5.1 same as above except NULL is deleted</t>
  </si>
  <si>
    <t>6 Same Audit RFR - nets out with next or prev day</t>
  </si>
  <si>
    <t>RFR Raw Num Samples Gform = APS Collect sum of different days so need Manual Run assign</t>
  </si>
  <si>
    <t>7 Same Audit RFR - all tubes assigned to 2nd initial run of day</t>
  </si>
  <si>
    <t>Use GFORM Raw Num of Samples because nets out with surrounding days</t>
  </si>
  <si>
    <t>7.1 same as above but with Extra tubes in RFR not in Appivo</t>
  </si>
  <si>
    <t>Multiple Initial runs on same day - final count is sum of RFR Audit = APS Collect</t>
  </si>
  <si>
    <t>8 Tube in Appivo not in RFR</t>
  </si>
  <si>
    <t>Multiple Initial runs on same day - final count is sum of RFR Audit = APS Collect (NULL is deleted)</t>
  </si>
  <si>
    <t>9 Tube in RFR not in Appivo</t>
  </si>
  <si>
    <t>Use Audit RFR - nets out with next or prev day</t>
  </si>
  <si>
    <t>No Run - APS Collect run next day</t>
  </si>
  <si>
    <t>highlighting shows which rows need entries in delta col</t>
  </si>
  <si>
    <t>No Run - APS Collect run 2 or more days later</t>
  </si>
  <si>
    <t>blue gets + num</t>
  </si>
  <si>
    <t>Use Audit RFR - all tubes assigned to 2nd initial run of day</t>
  </si>
  <si>
    <t>red gets - num</t>
  </si>
  <si>
    <t>Use Audit RFR - all tubes assigned to 2nd initial run of day but with Extra tubes in RFR not in Appivo</t>
  </si>
  <si>
    <t>green gets +/- num depending</t>
  </si>
  <si>
    <t>Use Audit RFR count (tube in Appivo not in RFR)</t>
  </si>
  <si>
    <t>Use APS Collect count != RFR Audit</t>
  </si>
  <si>
    <t>Use APS Collect count != RFR Audit (with different Collect days)</t>
  </si>
  <si>
    <t>Entire run in RFR not in Appivo</t>
  </si>
  <si>
    <t>Tube was in Appivo but not RFR and concluded never run so delete in APS preDel with code 9.4</t>
  </si>
  <si>
    <t>see Notes for reason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</si>
</sst>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0.0%"/>
    <numFmt numFmtId="166" formatCode="h:mm am/pm"/>
    <numFmt numFmtId="167" formatCode="m/d/yyyy h:mm:ss"/>
    <numFmt numFmtId="168" formatCode="0.0"/>
  </numFmts>
  <fonts count="32">
    <font>
      <sz val="10.0"/>
      <color rgb="FF000000"/>
      <name val="Arial"/>
      <scheme val="minor"/>
    </font>
    <font>
      <b/>
      <color theme="1"/>
      <name val="Arial"/>
      <scheme val="minor"/>
    </font>
    <font>
      <b/>
      <color theme="1"/>
      <name val="Arial"/>
    </font>
    <font>
      <color theme="1"/>
      <name val="Arial"/>
      <scheme val="minor"/>
    </font>
    <font>
      <color theme="1"/>
      <name val="Arial"/>
    </font>
    <font>
      <b/>
      <sz val="10.0"/>
      <color theme="1"/>
      <name val="Arial"/>
    </font>
    <font>
      <sz val="9.0"/>
      <color rgb="FF000000"/>
      <name val="&quot;Google Sans Mono&quot;"/>
    </font>
    <font>
      <b/>
      <sz val="10.0"/>
      <color theme="1"/>
      <name val="Arial"/>
      <scheme val="minor"/>
    </font>
    <font>
      <b/>
      <sz val="10.0"/>
      <color rgb="FFFFFFFF"/>
      <name val="Arial"/>
    </font>
    <font>
      <u/>
      <color rgb="FF1155CC"/>
      <name val="Arial"/>
    </font>
    <font>
      <u/>
      <color rgb="FF1155CC"/>
      <name val="Arial"/>
    </font>
    <font>
      <sz val="10.0"/>
      <color theme="1"/>
      <name val="Arial"/>
      <scheme val="minor"/>
    </font>
    <font>
      <sz val="10.0"/>
      <color theme="1"/>
      <name val="Arial"/>
    </font>
    <font>
      <color rgb="FFFFFFFF"/>
      <name val="Arial"/>
      <scheme val="minor"/>
    </font>
    <font>
      <sz val="10.0"/>
      <color rgb="FF000000"/>
      <name val="Arial"/>
    </font>
    <font>
      <color rgb="FF000000"/>
      <name val="Arial"/>
    </font>
    <font>
      <u/>
      <color rgb="FF1155CC"/>
      <name val="Arial"/>
    </font>
    <font>
      <u/>
      <color rgb="FF0000FF"/>
      <name val="Arial"/>
    </font>
    <font>
      <u/>
      <color rgb="FF1155CC"/>
      <name val="Arial"/>
    </font>
    <font>
      <u/>
      <color rgb="FF1155CC"/>
      <name val="Arial"/>
    </font>
    <font>
      <u/>
      <color rgb="FF1155CC"/>
      <name val="Arial"/>
    </font>
    <font>
      <u/>
      <color rgb="FF0000FF"/>
      <name val="Arial"/>
    </font>
    <font>
      <u/>
      <color rgb="FF1155CC"/>
      <name val="Arial"/>
    </font>
    <font>
      <u/>
      <color rgb="FF1155CC"/>
      <name val="Arial"/>
    </font>
    <font>
      <i/>
      <color theme="1"/>
      <name val="Arial"/>
      <scheme val="minor"/>
    </font>
    <font>
      <u/>
      <color rgb="FF1155CC"/>
      <name val="Arial"/>
    </font>
    <font>
      <b/>
      <sz val="14.0"/>
      <color rgb="FFFFFFFF"/>
      <name val="Arial"/>
    </font>
    <font>
      <b/>
      <color rgb="FFFF0000"/>
      <name val="Arial"/>
      <scheme val="minor"/>
    </font>
    <font>
      <b/>
      <sz val="14.0"/>
      <color theme="1"/>
      <name val="Arial"/>
    </font>
    <font>
      <sz val="11.0"/>
      <color theme="1"/>
      <name val="Arial"/>
    </font>
    <font>
      <sz val="11.0"/>
      <color rgb="FF000000"/>
      <name val="Arial"/>
    </font>
    <font>
      <b/>
      <sz val="11.0"/>
      <color theme="1"/>
      <name val="Arial"/>
    </font>
  </fonts>
  <fills count="35">
    <fill>
      <patternFill patternType="none"/>
    </fill>
    <fill>
      <patternFill patternType="lightGray"/>
    </fill>
    <fill>
      <patternFill patternType="solid">
        <fgColor rgb="FFD5A6BD"/>
        <bgColor rgb="FFD5A6BD"/>
      </patternFill>
    </fill>
    <fill>
      <patternFill patternType="solid">
        <fgColor rgb="FFEAD1DC"/>
        <bgColor rgb="FFEAD1DC"/>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00FF00"/>
        <bgColor rgb="FF00FF00"/>
      </patternFill>
    </fill>
    <fill>
      <patternFill patternType="solid">
        <fgColor rgb="FF434343"/>
        <bgColor rgb="FF434343"/>
      </patternFill>
    </fill>
    <fill>
      <patternFill patternType="solid">
        <fgColor rgb="FFB6D7A8"/>
        <bgColor rgb="FFB6D7A8"/>
      </patternFill>
    </fill>
    <fill>
      <patternFill patternType="solid">
        <fgColor rgb="FFFFE599"/>
        <bgColor rgb="FFFFE599"/>
      </patternFill>
    </fill>
    <fill>
      <patternFill patternType="solid">
        <fgColor rgb="FFF9CB9C"/>
        <bgColor rgb="FFF9CB9C"/>
      </patternFill>
    </fill>
    <fill>
      <patternFill patternType="solid">
        <fgColor rgb="FFEFEFEF"/>
        <bgColor rgb="FFEFEFEF"/>
      </patternFill>
    </fill>
    <fill>
      <patternFill patternType="solid">
        <fgColor rgb="FFC27BA0"/>
        <bgColor rgb="FFC27BA0"/>
      </patternFill>
    </fill>
    <fill>
      <patternFill patternType="solid">
        <fgColor rgb="FFFF00FF"/>
        <bgColor rgb="FFFF00FF"/>
      </patternFill>
    </fill>
    <fill>
      <patternFill patternType="solid">
        <fgColor rgb="FF9900FF"/>
        <bgColor rgb="FF9900FF"/>
      </patternFill>
    </fill>
    <fill>
      <patternFill patternType="solid">
        <fgColor rgb="FF4A86E8"/>
        <bgColor rgb="FF4A86E8"/>
      </patternFill>
    </fill>
    <fill>
      <patternFill patternType="solid">
        <fgColor rgb="FFFFFFFF"/>
        <bgColor rgb="FFFFFFFF"/>
      </patternFill>
    </fill>
    <fill>
      <patternFill patternType="solid">
        <fgColor rgb="FFD9EAD3"/>
        <bgColor rgb="FFD9EAD3"/>
      </patternFill>
    </fill>
    <fill>
      <patternFill patternType="solid">
        <fgColor rgb="FFBF9000"/>
        <bgColor rgb="FFBF9000"/>
      </patternFill>
    </fill>
    <fill>
      <patternFill patternType="solid">
        <fgColor rgb="FFFFF2CC"/>
        <bgColor rgb="FFFFF2CC"/>
      </patternFill>
    </fill>
    <fill>
      <patternFill patternType="solid">
        <fgColor theme="7"/>
        <bgColor theme="7"/>
      </patternFill>
    </fill>
    <fill>
      <patternFill patternType="solid">
        <fgColor rgb="FFAD4467"/>
        <bgColor rgb="FFAD4467"/>
      </patternFill>
    </fill>
    <fill>
      <patternFill patternType="solid">
        <fgColor rgb="FFFF0000"/>
        <bgColor rgb="FFFF0000"/>
      </patternFill>
    </fill>
    <fill>
      <patternFill patternType="solid">
        <fgColor rgb="FFCC0000"/>
        <bgColor rgb="FFCC0000"/>
      </patternFill>
    </fill>
    <fill>
      <patternFill patternType="solid">
        <fgColor rgb="FF00FFFF"/>
        <bgColor rgb="FF00FFFF"/>
      </patternFill>
    </fill>
    <fill>
      <patternFill patternType="solid">
        <fgColor rgb="FFFF9900"/>
        <bgColor rgb="FFFF9900"/>
      </patternFill>
    </fill>
    <fill>
      <patternFill patternType="solid">
        <fgColor rgb="FFFCE5CD"/>
        <bgColor rgb="FFFCE5CD"/>
      </patternFill>
    </fill>
    <fill>
      <patternFill patternType="solid">
        <fgColor rgb="FFEA9999"/>
        <bgColor rgb="FFEA9999"/>
      </patternFill>
    </fill>
    <fill>
      <patternFill patternType="solid">
        <fgColor rgb="FFA2C4C9"/>
        <bgColor rgb="FFA2C4C9"/>
      </patternFill>
    </fill>
    <fill>
      <patternFill patternType="solid">
        <fgColor rgb="FF93C47D"/>
        <bgColor rgb="FF93C47D"/>
      </patternFill>
    </fill>
    <fill>
      <patternFill patternType="solid">
        <fgColor rgb="FFFFFF00"/>
        <bgColor rgb="FFFFFF00"/>
      </patternFill>
    </fill>
    <fill>
      <patternFill patternType="solid">
        <fgColor rgb="FFB7B7B7"/>
        <bgColor rgb="FFB7B7B7"/>
      </patternFill>
    </fill>
    <fill>
      <patternFill patternType="solid">
        <fgColor rgb="FF45818E"/>
        <bgColor rgb="FF45818E"/>
      </patternFill>
    </fill>
  </fills>
  <borders count="19">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right style="thick">
        <color rgb="FF000000"/>
      </right>
      <top style="thick">
        <color rgb="FF000000"/>
      </top>
    </border>
    <border>
      <left style="thick">
        <color rgb="FF000000"/>
      </left>
      <right style="thick">
        <color rgb="FF000000"/>
      </right>
      <bottom style="thick">
        <color rgb="FF000000"/>
      </bottom>
    </border>
    <border>
      <right style="thick">
        <color rgb="FF000000"/>
      </right>
      <bottom style="thick">
        <color rgb="FF000000"/>
      </bottom>
    </border>
    <border>
      <top style="thin">
        <color rgb="FF000000"/>
      </top>
    </border>
    <border>
      <top style="thick">
        <color rgb="FF000000"/>
      </top>
    </border>
    <border>
      <right style="medium">
        <color rgb="FF000000"/>
      </right>
    </border>
    <border>
      <left style="thick">
        <color rgb="FF000000"/>
      </left>
    </border>
    <border>
      <right style="thick">
        <color rgb="FF000000"/>
      </right>
    </border>
    <border>
      <left style="medium">
        <color rgb="FF000000"/>
      </left>
    </border>
    <border>
      <left style="thick">
        <color rgb="FF000000"/>
      </left>
      <top style="thin">
        <color rgb="FF000000"/>
      </top>
    </border>
    <border>
      <right style="medium">
        <color rgb="FF000000"/>
      </right>
      <top style="thin">
        <color rgb="FF000000"/>
      </top>
    </border>
    <border>
      <right style="thick">
        <color rgb="FF000000"/>
      </right>
      <top style="thin">
        <color rgb="FF000000"/>
      </top>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0" fillId="2" fontId="1" numFmtId="0" xfId="0" applyAlignment="1" applyFill="1" applyFont="1">
      <alignment shrinkToFit="0" wrapText="1"/>
    </xf>
    <xf borderId="0" fillId="3" fontId="2" numFmtId="0" xfId="0" applyAlignment="1" applyFill="1" applyFont="1">
      <alignment shrinkToFit="0" vertical="bottom" wrapText="1"/>
    </xf>
    <xf borderId="0" fillId="4" fontId="1" numFmtId="0" xfId="0" applyAlignment="1" applyFill="1" applyFont="1">
      <alignment shrinkToFit="0" wrapText="1"/>
    </xf>
    <xf borderId="0" fillId="4" fontId="2" numFmtId="0" xfId="0" applyAlignment="1" applyFont="1">
      <alignment shrinkToFit="0" vertical="bottom" wrapText="1"/>
    </xf>
    <xf borderId="0" fillId="3" fontId="1" numFmtId="0" xfId="0" applyAlignment="1" applyFont="1">
      <alignment shrinkToFit="0" wrapText="1"/>
    </xf>
    <xf borderId="0" fillId="0" fontId="1" numFmtId="0" xfId="0" applyAlignment="1" applyFont="1">
      <alignment shrinkToFit="0" wrapText="1"/>
    </xf>
    <xf borderId="0" fillId="0" fontId="3" numFmtId="0" xfId="0" applyFont="1"/>
    <xf borderId="0" fillId="3" fontId="4" numFmtId="164" xfId="0" applyAlignment="1" applyFont="1" applyNumberFormat="1">
      <alignment horizontal="right" vertical="bottom"/>
    </xf>
    <xf borderId="0" fillId="2" fontId="3" numFmtId="164" xfId="0" applyFont="1" applyNumberFormat="1"/>
    <xf borderId="0" fillId="2" fontId="4" numFmtId="21" xfId="0" applyAlignment="1" applyFont="1" applyNumberFormat="1">
      <alignment horizontal="right" vertical="bottom"/>
    </xf>
    <xf borderId="0" fillId="2" fontId="3" numFmtId="0" xfId="0" applyFont="1"/>
    <xf borderId="0" fillId="0" fontId="3" numFmtId="164" xfId="0" applyFont="1" applyNumberFormat="1"/>
    <xf borderId="0" fillId="0" fontId="3" numFmtId="21" xfId="0" applyFont="1" applyNumberFormat="1"/>
    <xf borderId="0" fillId="0" fontId="4" numFmtId="164" xfId="0" applyAlignment="1" applyFont="1" applyNumberFormat="1">
      <alignment horizontal="right" vertical="bottom"/>
    </xf>
    <xf borderId="0" fillId="0" fontId="1" numFmtId="0" xfId="0" applyAlignment="1" applyFont="1">
      <alignment readingOrder="0" shrinkToFit="0" wrapText="1"/>
    </xf>
    <xf borderId="0" fillId="5" fontId="3" numFmtId="164" xfId="0" applyFill="1" applyFont="1" applyNumberFormat="1"/>
    <xf borderId="0" fillId="6" fontId="3" numFmtId="164" xfId="0" applyFill="1" applyFont="1" applyNumberFormat="1"/>
    <xf borderId="0" fillId="3" fontId="3" numFmtId="0" xfId="0" applyFont="1"/>
    <xf borderId="0" fillId="3" fontId="3" numFmtId="165" xfId="0" applyFont="1" applyNumberFormat="1"/>
    <xf borderId="0" fillId="7" fontId="3" numFmtId="164" xfId="0" applyFill="1" applyFont="1" applyNumberFormat="1"/>
    <xf borderId="0" fillId="0" fontId="3" numFmtId="165" xfId="0" applyFont="1" applyNumberFormat="1"/>
    <xf borderId="0" fillId="8" fontId="1" numFmtId="0" xfId="0" applyAlignment="1" applyFill="1" applyFont="1">
      <alignment readingOrder="0" shrinkToFit="0" wrapText="1"/>
    </xf>
    <xf borderId="0" fillId="8" fontId="1" numFmtId="0" xfId="0" applyAlignment="1" applyFont="1">
      <alignment horizontal="center"/>
    </xf>
    <xf borderId="0" fillId="8" fontId="4" numFmtId="0" xfId="0" applyAlignment="1" applyFont="1">
      <alignment vertical="bottom"/>
    </xf>
    <xf borderId="0" fillId="8" fontId="2" numFmtId="0" xfId="0" applyAlignment="1" applyFont="1">
      <alignment horizontal="center" vertical="bottom"/>
    </xf>
    <xf borderId="0" fillId="9" fontId="1" numFmtId="0" xfId="0" applyAlignment="1" applyFill="1" applyFont="1">
      <alignment readingOrder="0"/>
    </xf>
    <xf borderId="0" fillId="10" fontId="1" numFmtId="0" xfId="0" applyAlignment="1" applyFill="1" applyFont="1">
      <alignment readingOrder="0"/>
    </xf>
    <xf borderId="0" fillId="10" fontId="1" numFmtId="0" xfId="0" applyAlignment="1" applyFont="1">
      <alignment readingOrder="0" shrinkToFit="0" wrapText="1"/>
    </xf>
    <xf borderId="0" fillId="10" fontId="1" numFmtId="0" xfId="0" applyAlignment="1" applyFont="1">
      <alignment horizontal="center"/>
    </xf>
    <xf borderId="0" fillId="10" fontId="2" numFmtId="0" xfId="0" applyAlignment="1" applyFont="1">
      <alignment horizontal="center" vertical="bottom"/>
    </xf>
    <xf borderId="0" fillId="9" fontId="5" numFmtId="0" xfId="0" applyAlignment="1" applyFont="1">
      <alignment horizontal="left" readingOrder="0" shrinkToFit="0" vertical="bottom" wrapText="1"/>
    </xf>
    <xf borderId="0" fillId="11" fontId="1" numFmtId="0" xfId="0" applyAlignment="1" applyFill="1" applyFont="1">
      <alignment readingOrder="0"/>
    </xf>
    <xf borderId="0" fillId="11" fontId="1" numFmtId="0" xfId="0" applyAlignment="1" applyFont="1">
      <alignment horizontal="center"/>
    </xf>
    <xf borderId="0" fillId="4" fontId="1" numFmtId="0" xfId="0" applyAlignment="1" applyFont="1">
      <alignment readingOrder="0" shrinkToFit="0" wrapText="1"/>
    </xf>
    <xf borderId="0" fillId="4" fontId="1" numFmtId="0" xfId="0" applyAlignment="1" applyFont="1">
      <alignment horizontal="center" readingOrder="0" shrinkToFit="0" wrapText="1"/>
    </xf>
    <xf borderId="0" fillId="12" fontId="1" numFmtId="0" xfId="0" applyAlignment="1" applyFill="1" applyFont="1">
      <alignment readingOrder="0" shrinkToFit="0" wrapText="1"/>
    </xf>
    <xf borderId="0" fillId="12" fontId="1" numFmtId="0" xfId="0" applyAlignment="1" applyFont="1">
      <alignment horizontal="center"/>
    </xf>
    <xf borderId="0" fillId="0" fontId="2" numFmtId="0" xfId="0" applyAlignment="1" applyFont="1">
      <alignment readingOrder="0" shrinkToFit="0" vertical="bottom" wrapText="1"/>
    </xf>
    <xf borderId="0" fillId="8" fontId="2" numFmtId="0" xfId="0" applyAlignment="1" applyFont="1">
      <alignment readingOrder="0" shrinkToFit="0" vertical="bottom" wrapText="1"/>
    </xf>
    <xf borderId="0" fillId="11" fontId="2" numFmtId="0" xfId="0" applyAlignment="1" applyFont="1">
      <alignment shrinkToFit="0" vertical="bottom" wrapText="1"/>
    </xf>
    <xf borderId="0" fillId="9" fontId="1" numFmtId="0" xfId="0" applyAlignment="1" applyFont="1">
      <alignment readingOrder="0" shrinkToFit="0" wrapText="1"/>
    </xf>
    <xf borderId="0" fillId="0" fontId="2" numFmtId="0" xfId="0" applyAlignment="1" applyFont="1">
      <alignment shrinkToFit="0" vertical="bottom" wrapText="1"/>
    </xf>
    <xf borderId="0" fillId="9" fontId="3" numFmtId="0" xfId="0" applyFont="1"/>
    <xf borderId="0" fillId="11" fontId="1" numFmtId="0" xfId="0" applyAlignment="1" applyFont="1">
      <alignment readingOrder="0" shrinkToFit="0" wrapText="1"/>
    </xf>
    <xf borderId="0" fillId="13" fontId="1" numFmtId="0" xfId="0" applyAlignment="1" applyFill="1" applyFont="1">
      <alignment readingOrder="0" shrinkToFit="0" wrapText="1"/>
    </xf>
    <xf borderId="0" fillId="0" fontId="3" numFmtId="164" xfId="0" applyAlignment="1" applyFont="1" applyNumberFormat="1">
      <alignment horizontal="center"/>
    </xf>
    <xf borderId="0" fillId="8" fontId="3" numFmtId="0" xfId="0" applyAlignment="1" applyFont="1">
      <alignment horizontal="center"/>
    </xf>
    <xf borderId="0" fillId="3" fontId="3" numFmtId="0" xfId="0" applyAlignment="1" applyFont="1">
      <alignment horizontal="center"/>
    </xf>
    <xf borderId="0" fillId="10" fontId="3" numFmtId="0" xfId="0" applyAlignment="1" applyFont="1">
      <alignment horizontal="center"/>
    </xf>
    <xf borderId="0" fillId="11" fontId="3" numFmtId="0" xfId="0" applyAlignment="1" applyFont="1">
      <alignment horizontal="center"/>
    </xf>
    <xf borderId="0" fillId="11" fontId="4" numFmtId="0" xfId="0" applyAlignment="1" applyFont="1">
      <alignment horizontal="center" vertical="bottom"/>
    </xf>
    <xf borderId="0" fillId="4" fontId="3" numFmtId="0" xfId="0" applyAlignment="1" applyFont="1">
      <alignment horizontal="center" readingOrder="0" shrinkToFit="0" wrapText="1"/>
    </xf>
    <xf borderId="0" fillId="14" fontId="3" numFmtId="0" xfId="0" applyFill="1" applyFont="1"/>
    <xf borderId="0" fillId="0" fontId="3" numFmtId="0" xfId="0" applyAlignment="1" applyFont="1">
      <alignment horizontal="center"/>
    </xf>
    <xf borderId="0" fillId="0" fontId="4" numFmtId="0" xfId="0" applyAlignment="1" applyFont="1">
      <alignment vertical="bottom"/>
    </xf>
    <xf borderId="0" fillId="13" fontId="0" numFmtId="0" xfId="0" applyAlignment="1" applyFont="1">
      <alignment horizontal="center" readingOrder="0"/>
    </xf>
    <xf borderId="0" fillId="14" fontId="3" numFmtId="166" xfId="0" applyFont="1" applyNumberFormat="1"/>
    <xf borderId="0" fillId="0" fontId="3" numFmtId="166" xfId="0" applyFont="1" applyNumberFormat="1"/>
    <xf borderId="0" fillId="15" fontId="4" numFmtId="0" xfId="0" applyAlignment="1" applyFill="1" applyFont="1">
      <alignment horizontal="center" vertical="bottom"/>
    </xf>
    <xf borderId="0" fillId="8" fontId="4" numFmtId="0" xfId="0" applyAlignment="1" applyFont="1">
      <alignment horizontal="center" vertical="bottom"/>
    </xf>
    <xf borderId="0" fillId="16" fontId="4" numFmtId="0" xfId="0" applyAlignment="1" applyFill="1" applyFont="1">
      <alignment horizontal="center" vertical="bottom"/>
    </xf>
    <xf borderId="0" fillId="3" fontId="5" numFmtId="0" xfId="0" applyAlignment="1" applyFont="1">
      <alignment horizontal="left" readingOrder="0"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0" fontId="5" numFmtId="0" xfId="0" applyAlignment="1" applyFont="1">
      <alignment horizontal="left" readingOrder="0" shrinkToFit="0" vertical="bottom" wrapText="1"/>
    </xf>
    <xf borderId="0" fillId="5" fontId="5" numFmtId="0" xfId="0" applyAlignment="1" applyFont="1">
      <alignment horizontal="left" readingOrder="0" shrinkToFit="0" vertical="bottom" wrapText="1"/>
    </xf>
    <xf borderId="0" fillId="0" fontId="2" numFmtId="0" xfId="0" applyAlignment="1" applyFont="1">
      <alignment vertical="bottom"/>
    </xf>
    <xf borderId="0" fillId="3" fontId="1" numFmtId="0" xfId="0" applyAlignment="1" applyFont="1">
      <alignment readingOrder="0" shrinkToFit="0" wrapText="1"/>
    </xf>
    <xf borderId="0" fillId="5" fontId="1" numFmtId="0" xfId="0" applyAlignment="1" applyFont="1">
      <alignment readingOrder="0" shrinkToFit="0" wrapText="1"/>
    </xf>
    <xf borderId="0" fillId="9" fontId="4" numFmtId="0" xfId="0" applyAlignment="1" applyFont="1">
      <alignment vertical="bottom"/>
    </xf>
    <xf borderId="0" fillId="0" fontId="1" numFmtId="0" xfId="0" applyAlignment="1" applyFont="1">
      <alignment horizontal="center" readingOrder="0" shrinkToFit="0" wrapText="1"/>
    </xf>
    <xf borderId="0" fillId="3" fontId="2" numFmtId="0" xfId="0" applyAlignment="1" applyFont="1">
      <alignment horizontal="center" shrinkToFit="0" vertical="bottom" wrapText="1"/>
    </xf>
    <xf borderId="0" fillId="3" fontId="4" numFmtId="0" xfId="0" applyAlignment="1" applyFont="1">
      <alignment horizontal="center" vertical="bottom"/>
    </xf>
    <xf borderId="0" fillId="5" fontId="3" numFmtId="0" xfId="0" applyAlignment="1" applyFont="1">
      <alignment horizontal="center"/>
    </xf>
    <xf borderId="0" fillId="17" fontId="4" numFmtId="0" xfId="0" applyAlignment="1" applyFill="1" applyFont="1">
      <alignment horizontal="center" vertical="bottom"/>
    </xf>
    <xf borderId="0" fillId="3" fontId="4" numFmtId="164" xfId="0" applyAlignment="1" applyFont="1" applyNumberFormat="1">
      <alignment horizontal="center" vertical="bottom"/>
    </xf>
    <xf borderId="0" fillId="0" fontId="4" numFmtId="164" xfId="0" applyAlignment="1" applyFont="1" applyNumberFormat="1">
      <alignment vertical="bottom"/>
    </xf>
    <xf borderId="0" fillId="18" fontId="0" numFmtId="0" xfId="0" applyAlignment="1" applyFill="1" applyFont="1">
      <alignment horizontal="center" readingOrder="0"/>
    </xf>
    <xf borderId="0" fillId="3" fontId="3" numFmtId="164" xfId="0" applyFont="1" applyNumberFormat="1"/>
    <xf borderId="0" fillId="9" fontId="4" numFmtId="0" xfId="0" applyAlignment="1" applyFont="1">
      <alignment vertical="bottom"/>
    </xf>
    <xf borderId="0" fillId="14" fontId="4" numFmtId="0" xfId="0" applyAlignment="1" applyFont="1">
      <alignment vertical="bottom"/>
    </xf>
    <xf borderId="0" fillId="19" fontId="4" numFmtId="167" xfId="0" applyAlignment="1" applyFill="1" applyFont="1" applyNumberFormat="1">
      <alignment horizontal="center" vertical="bottom"/>
    </xf>
    <xf borderId="0" fillId="3" fontId="4" numFmtId="0" xfId="0" applyAlignment="1" applyFont="1">
      <alignment horizontal="center" vertical="bottom"/>
    </xf>
    <xf borderId="0" fillId="19" fontId="3" numFmtId="0" xfId="0" applyFont="1"/>
    <xf borderId="0" fillId="8" fontId="4" numFmtId="0" xfId="0" applyAlignment="1" applyFont="1">
      <alignment horizontal="center" readingOrder="0" vertical="bottom"/>
    </xf>
    <xf borderId="0" fillId="8" fontId="4" numFmtId="0" xfId="0" applyAlignment="1" applyFont="1">
      <alignment horizontal="center" vertical="bottom"/>
    </xf>
    <xf borderId="1" fillId="0" fontId="3" numFmtId="0" xfId="0" applyAlignment="1" applyBorder="1" applyFont="1">
      <alignment horizontal="center"/>
    </xf>
    <xf borderId="1" fillId="5" fontId="3" numFmtId="0" xfId="0" applyAlignment="1" applyBorder="1" applyFont="1">
      <alignment horizontal="center"/>
    </xf>
    <xf borderId="0" fillId="0" fontId="3" numFmtId="0" xfId="0" applyAlignment="1" applyFont="1">
      <alignment horizontal="center" readingOrder="0"/>
    </xf>
    <xf borderId="0" fillId="20" fontId="4" numFmtId="0" xfId="0" applyAlignment="1" applyFill="1" applyFont="1">
      <alignment horizontal="center" vertical="bottom"/>
    </xf>
    <xf borderId="0" fillId="21" fontId="4" numFmtId="164" xfId="0" applyAlignment="1" applyFill="1" applyFont="1" applyNumberFormat="1">
      <alignment vertical="bottom"/>
    </xf>
    <xf borderId="0" fillId="0" fontId="4" numFmtId="0" xfId="0" applyAlignment="1" applyFont="1">
      <alignment vertical="bottom"/>
    </xf>
    <xf borderId="2" fillId="5" fontId="3" numFmtId="0" xfId="0" applyAlignment="1" applyBorder="1" applyFont="1">
      <alignment horizontal="center"/>
    </xf>
    <xf borderId="3" fillId="0" fontId="3" numFmtId="0" xfId="0" applyAlignment="1" applyBorder="1" applyFont="1">
      <alignment horizontal="center"/>
    </xf>
    <xf borderId="3" fillId="5" fontId="3" numFmtId="0" xfId="0" applyAlignment="1" applyBorder="1" applyFont="1">
      <alignment horizontal="center"/>
    </xf>
    <xf borderId="4" fillId="5" fontId="3" numFmtId="0" xfId="0" applyAlignment="1" applyBorder="1" applyFont="1">
      <alignment horizontal="center"/>
    </xf>
    <xf borderId="0" fillId="22" fontId="4" numFmtId="0" xfId="0" applyAlignment="1" applyFill="1" applyFont="1">
      <alignment horizontal="center" vertical="bottom"/>
    </xf>
    <xf borderId="5" fillId="0" fontId="3" numFmtId="0" xfId="0" applyAlignment="1" applyBorder="1" applyFont="1">
      <alignment horizontal="center"/>
    </xf>
    <xf borderId="6" fillId="5" fontId="3" numFmtId="0" xfId="0" applyAlignment="1" applyBorder="1" applyFont="1">
      <alignment horizontal="center"/>
    </xf>
    <xf borderId="0" fillId="23" fontId="4" numFmtId="0" xfId="0" applyAlignment="1" applyFill="1" applyFont="1">
      <alignment horizontal="center" vertical="bottom"/>
    </xf>
    <xf borderId="7" fillId="5" fontId="3" numFmtId="0" xfId="0" applyAlignment="1" applyBorder="1" applyFont="1">
      <alignment horizontal="center"/>
    </xf>
    <xf borderId="0" fillId="23" fontId="3" numFmtId="0" xfId="0" applyFont="1"/>
    <xf borderId="0" fillId="23" fontId="3" numFmtId="164" xfId="0" applyFont="1" applyNumberFormat="1"/>
    <xf borderId="8" fillId="5" fontId="3" numFmtId="0" xfId="0" applyAlignment="1" applyBorder="1" applyFont="1">
      <alignment horizontal="center"/>
    </xf>
    <xf borderId="9" fillId="5" fontId="3" numFmtId="0" xfId="0" applyAlignment="1" applyBorder="1" applyFont="1">
      <alignment horizontal="center"/>
    </xf>
    <xf borderId="0" fillId="24" fontId="3" numFmtId="0" xfId="0" applyFill="1" applyFont="1"/>
    <xf borderId="0" fillId="24" fontId="3" numFmtId="164" xfId="0" applyFont="1" applyNumberFormat="1"/>
    <xf borderId="0" fillId="25" fontId="4" numFmtId="0" xfId="0" applyAlignment="1" applyFill="1" applyFont="1">
      <alignment horizontal="center" vertical="bottom"/>
    </xf>
    <xf borderId="0" fillId="26" fontId="4" numFmtId="164" xfId="0" applyAlignment="1" applyFill="1" applyFont="1" applyNumberFormat="1">
      <alignment horizontal="center" vertical="bottom"/>
    </xf>
    <xf borderId="0" fillId="0" fontId="4" numFmtId="0" xfId="0" applyAlignment="1" applyFont="1">
      <alignment readingOrder="0" vertical="bottom"/>
    </xf>
    <xf borderId="0" fillId="26" fontId="3" numFmtId="0" xfId="0" applyAlignment="1" applyFont="1">
      <alignment horizontal="center"/>
    </xf>
    <xf borderId="0" fillId="26" fontId="3" numFmtId="0" xfId="0" applyAlignment="1" applyFont="1">
      <alignment horizontal="center" readingOrder="0"/>
    </xf>
    <xf borderId="0" fillId="26" fontId="4" numFmtId="164" xfId="0" applyAlignment="1" applyFont="1" applyNumberFormat="1">
      <alignment vertical="bottom"/>
    </xf>
    <xf borderId="0" fillId="3" fontId="4" numFmtId="0" xfId="0" applyAlignment="1" applyFont="1">
      <alignment vertical="bottom"/>
    </xf>
    <xf borderId="0" fillId="27" fontId="3" numFmtId="0" xfId="0" applyAlignment="1" applyFill="1" applyFont="1">
      <alignment horizontal="center" readingOrder="0"/>
    </xf>
    <xf borderId="0" fillId="8" fontId="3" numFmtId="0" xfId="0" applyAlignment="1" applyFont="1">
      <alignment horizontal="center" readingOrder="0"/>
    </xf>
    <xf borderId="0" fillId="0" fontId="4" numFmtId="0" xfId="0" applyFont="1"/>
    <xf borderId="0" fillId="0" fontId="4" numFmtId="0" xfId="0" applyAlignment="1" applyFont="1">
      <alignment readingOrder="0"/>
    </xf>
    <xf borderId="0" fillId="24" fontId="3" numFmtId="0" xfId="0" applyAlignment="1" applyFont="1">
      <alignment horizontal="center"/>
    </xf>
    <xf borderId="10" fillId="0" fontId="3" numFmtId="0" xfId="0" applyBorder="1" applyFont="1"/>
    <xf borderId="10" fillId="0" fontId="3" numFmtId="164" xfId="0" applyBorder="1" applyFont="1" applyNumberFormat="1"/>
    <xf borderId="10" fillId="3" fontId="4" numFmtId="0" xfId="0" applyAlignment="1" applyBorder="1" applyFont="1">
      <alignment horizontal="center" vertical="bottom"/>
    </xf>
    <xf borderId="10" fillId="0" fontId="3" numFmtId="0" xfId="0" applyAlignment="1" applyBorder="1" applyFont="1">
      <alignment horizontal="center"/>
    </xf>
    <xf borderId="10" fillId="18" fontId="0" numFmtId="0" xfId="0" applyAlignment="1" applyBorder="1" applyFont="1">
      <alignment horizontal="center" readingOrder="0"/>
    </xf>
    <xf borderId="10" fillId="9" fontId="3" numFmtId="0" xfId="0" applyBorder="1" applyFont="1"/>
    <xf borderId="10" fillId="5" fontId="3" numFmtId="0" xfId="0" applyAlignment="1" applyBorder="1" applyFont="1">
      <alignment horizontal="center"/>
    </xf>
    <xf borderId="10" fillId="0" fontId="3" numFmtId="0" xfId="0" applyAlignment="1" applyBorder="1" applyFont="1">
      <alignment horizontal="center" readingOrder="0"/>
    </xf>
    <xf borderId="10" fillId="8" fontId="3" numFmtId="0" xfId="0" applyAlignment="1" applyBorder="1" applyFont="1">
      <alignment horizontal="center" readingOrder="0"/>
    </xf>
    <xf borderId="10" fillId="0" fontId="4" numFmtId="164" xfId="0" applyAlignment="1" applyBorder="1" applyFont="1" applyNumberFormat="1">
      <alignment vertical="bottom"/>
    </xf>
    <xf borderId="10" fillId="0" fontId="4" numFmtId="0" xfId="0" applyAlignment="1" applyBorder="1" applyFont="1">
      <alignment readingOrder="0" vertical="bottom"/>
    </xf>
    <xf borderId="0" fillId="0" fontId="4" numFmtId="0" xfId="0" applyAlignment="1" applyFont="1">
      <alignment horizontal="center" vertical="bottom"/>
    </xf>
    <xf borderId="0" fillId="10" fontId="4" numFmtId="0" xfId="0" applyAlignment="1" applyFont="1">
      <alignment horizontal="center" vertical="bottom"/>
    </xf>
    <xf borderId="10" fillId="17" fontId="4" numFmtId="0" xfId="0" applyAlignment="1" applyBorder="1" applyFont="1">
      <alignment horizontal="center" readingOrder="0" vertical="bottom"/>
    </xf>
    <xf borderId="0" fillId="17" fontId="4" numFmtId="0" xfId="0" applyAlignment="1" applyFont="1">
      <alignment horizontal="center" readingOrder="0" vertical="bottom"/>
    </xf>
    <xf borderId="0" fillId="0" fontId="0" numFmtId="0" xfId="0" applyAlignment="1" applyFont="1">
      <alignment horizontal="center" readingOrder="0"/>
    </xf>
    <xf borderId="0" fillId="17" fontId="4" numFmtId="0" xfId="0" applyAlignment="1" applyFont="1">
      <alignment horizontal="center" vertical="bottom"/>
    </xf>
    <xf borderId="11" fillId="3" fontId="4" numFmtId="0" xfId="0" applyAlignment="1" applyBorder="1" applyFont="1">
      <alignment vertical="bottom"/>
    </xf>
    <xf borderId="11" fillId="3" fontId="4" numFmtId="164" xfId="0" applyAlignment="1" applyBorder="1" applyFont="1" applyNumberFormat="1">
      <alignment horizontal="right" vertical="bottom"/>
    </xf>
    <xf borderId="11" fillId="14" fontId="4" numFmtId="164" xfId="0" applyAlignment="1" applyBorder="1" applyFont="1" applyNumberFormat="1">
      <alignment horizontal="right" vertical="bottom"/>
    </xf>
    <xf borderId="11" fillId="5" fontId="4" numFmtId="0" xfId="0" applyAlignment="1" applyBorder="1" applyFont="1">
      <alignment horizontal="center"/>
    </xf>
    <xf borderId="0" fillId="0" fontId="4" numFmtId="164" xfId="0" applyFont="1" applyNumberFormat="1"/>
    <xf borderId="0" fillId="5" fontId="4" numFmtId="0" xfId="0" applyAlignment="1" applyFont="1">
      <alignment horizontal="center"/>
    </xf>
    <xf borderId="0" fillId="0" fontId="4" numFmtId="0" xfId="0" applyAlignment="1" applyFont="1">
      <alignment horizontal="center"/>
    </xf>
    <xf borderId="0" fillId="18" fontId="6" numFmtId="0" xfId="0" applyFont="1"/>
    <xf borderId="0" fillId="0" fontId="2" numFmtId="0" xfId="0" applyAlignment="1" applyFont="1">
      <alignment shrinkToFit="0" vertical="bottom" wrapText="1"/>
    </xf>
    <xf borderId="12" fillId="0" fontId="2" numFmtId="0" xfId="0" applyAlignment="1" applyBorder="1" applyFont="1">
      <alignment shrinkToFit="0" vertical="bottom" wrapText="0"/>
    </xf>
    <xf borderId="0" fillId="0" fontId="2" numFmtId="0" xfId="0" applyAlignment="1" applyFont="1">
      <alignment horizontal="left" shrinkToFit="0" vertical="bottom" wrapText="1"/>
    </xf>
    <xf borderId="0" fillId="5" fontId="2" numFmtId="0" xfId="0" applyAlignment="1" applyFont="1">
      <alignment readingOrder="0" shrinkToFit="0" vertical="bottom" wrapText="1"/>
    </xf>
    <xf borderId="12" fillId="0" fontId="2" numFmtId="0" xfId="0" applyAlignment="1" applyBorder="1" applyFont="1">
      <alignment shrinkToFit="0" vertical="bottom" wrapText="1"/>
    </xf>
    <xf borderId="12" fillId="3" fontId="2" numFmtId="0" xfId="0" applyAlignment="1" applyBorder="1" applyFont="1">
      <alignment shrinkToFit="0" vertical="bottom" wrapText="1"/>
    </xf>
    <xf borderId="0" fillId="28" fontId="2" numFmtId="0" xfId="0" applyAlignment="1" applyFill="1" applyFont="1">
      <alignment readingOrder="0" shrinkToFit="0" vertical="bottom" wrapText="1"/>
    </xf>
    <xf borderId="0" fillId="12" fontId="2" numFmtId="0" xfId="0" applyAlignment="1" applyFont="1">
      <alignment readingOrder="0" shrinkToFit="0" vertical="bottom" wrapText="1"/>
    </xf>
    <xf borderId="0" fillId="6" fontId="2" numFmtId="0" xfId="0" applyAlignment="1" applyFont="1">
      <alignment readingOrder="0" shrinkToFit="0" vertical="bottom" wrapText="1"/>
    </xf>
    <xf borderId="0" fillId="29" fontId="2" numFmtId="0" xfId="0" applyAlignment="1" applyFill="1" applyFont="1">
      <alignment readingOrder="0" shrinkToFit="0" vertical="bottom" wrapText="1"/>
    </xf>
    <xf borderId="12" fillId="0" fontId="5" numFmtId="0" xfId="0" applyAlignment="1" applyBorder="1" applyFont="1">
      <alignment readingOrder="0" shrinkToFit="0" vertical="bottom" wrapText="1"/>
    </xf>
    <xf borderId="0" fillId="3" fontId="7" numFmtId="0" xfId="0" applyAlignment="1" applyFont="1">
      <alignment shrinkToFit="0" vertical="bottom" wrapText="1"/>
    </xf>
    <xf borderId="0" fillId="3" fontId="5" numFmtId="0" xfId="0" applyAlignment="1" applyFont="1">
      <alignment shrinkToFit="0" vertical="bottom" wrapText="1"/>
    </xf>
    <xf borderId="0" fillId="5" fontId="7" numFmtId="0" xfId="0" applyAlignment="1" applyFont="1">
      <alignment shrinkToFit="0" vertical="bottom" wrapText="1"/>
    </xf>
    <xf borderId="0" fillId="30" fontId="2" numFmtId="0" xfId="0" applyAlignment="1" applyFill="1" applyFont="1">
      <alignment shrinkToFit="0" vertical="bottom" wrapText="1"/>
    </xf>
    <xf borderId="0" fillId="11" fontId="2" numFmtId="0" xfId="0" applyAlignment="1" applyFont="1">
      <alignment vertical="bottom"/>
    </xf>
    <xf borderId="0" fillId="0" fontId="5" numFmtId="0" xfId="0" applyAlignment="1" applyFont="1">
      <alignment horizontal="left" shrinkToFit="0" vertical="bottom" wrapText="1"/>
    </xf>
    <xf borderId="0" fillId="5" fontId="5" numFmtId="0" xfId="0" applyAlignment="1" applyFont="1">
      <alignment horizontal="left" shrinkToFit="0" vertical="bottom" wrapText="1"/>
    </xf>
    <xf borderId="0" fillId="3" fontId="5" numFmtId="0" xfId="0" applyAlignment="1" applyFont="1">
      <alignment horizontal="left" shrinkToFit="0" vertical="bottom" wrapText="1"/>
    </xf>
    <xf borderId="13" fillId="27" fontId="5" numFmtId="0" xfId="0" applyAlignment="1" applyBorder="1" applyFont="1">
      <alignment horizontal="left" readingOrder="0" shrinkToFit="0" vertical="bottom" wrapText="1"/>
    </xf>
    <xf borderId="0" fillId="16" fontId="8" numFmtId="0" xfId="0" applyAlignment="1" applyFont="1">
      <alignment horizontal="left" readingOrder="0" shrinkToFit="0" vertical="bottom" wrapText="1"/>
    </xf>
    <xf borderId="0" fillId="8" fontId="2" numFmtId="0" xfId="0" applyAlignment="1" applyFont="1">
      <alignment shrinkToFit="0" vertical="bottom" wrapText="1"/>
    </xf>
    <xf borderId="0" fillId="5" fontId="2" numFmtId="0" xfId="0" applyAlignment="1" applyFont="1">
      <alignment shrinkToFit="0" vertical="bottom" wrapText="1"/>
    </xf>
    <xf borderId="0" fillId="0" fontId="4" numFmtId="167" xfId="0" applyAlignment="1" applyFont="1" applyNumberFormat="1">
      <alignment horizontal="right" readingOrder="0" vertical="bottom"/>
    </xf>
    <xf borderId="0" fillId="0" fontId="4" numFmtId="0" xfId="0" applyAlignment="1" applyFont="1">
      <alignment horizontal="center" readingOrder="0" vertical="bottom"/>
    </xf>
    <xf borderId="0" fillId="0" fontId="9" numFmtId="0" xfId="0" applyAlignment="1" applyFont="1">
      <alignment horizontal="right" readingOrder="0" shrinkToFit="0" vertical="bottom" wrapText="0"/>
    </xf>
    <xf borderId="0" fillId="0" fontId="10" numFmtId="0" xfId="0" applyAlignment="1" applyFont="1">
      <alignment readingOrder="0" shrinkToFit="0" vertical="bottom" wrapText="0"/>
    </xf>
    <xf borderId="0" fillId="0" fontId="4" numFmtId="0" xfId="0" applyAlignment="1" applyFont="1">
      <alignment horizontal="center" vertical="bottom"/>
    </xf>
    <xf borderId="12" fillId="0" fontId="4" numFmtId="0" xfId="0" applyAlignment="1" applyBorder="1" applyFont="1">
      <alignment readingOrder="0" shrinkToFit="0" vertical="bottom" wrapText="0"/>
    </xf>
    <xf borderId="0" fillId="0" fontId="4" numFmtId="168" xfId="0" applyAlignment="1" applyFont="1" applyNumberFormat="1">
      <alignment horizontal="center" vertical="bottom"/>
    </xf>
    <xf borderId="0" fillId="0" fontId="4" numFmtId="168" xfId="0" applyAlignment="1" applyFont="1" applyNumberFormat="1">
      <alignment horizontal="left" vertical="bottom"/>
    </xf>
    <xf borderId="0" fillId="0" fontId="3" numFmtId="0" xfId="0" applyAlignment="1" applyFont="1">
      <alignment readingOrder="0"/>
    </xf>
    <xf borderId="12" fillId="0" fontId="4" numFmtId="0" xfId="0" applyAlignment="1" applyBorder="1" applyFont="1">
      <alignment readingOrder="0"/>
    </xf>
    <xf borderId="0" fillId="0" fontId="4" numFmtId="164" xfId="0" applyAlignment="1" applyFont="1" applyNumberFormat="1">
      <alignment horizontal="right" readingOrder="0" vertical="bottom"/>
    </xf>
    <xf borderId="0" fillId="0" fontId="4" numFmtId="166" xfId="0" applyAlignment="1" applyFont="1" applyNumberFormat="1">
      <alignment horizontal="right" readingOrder="0" vertical="bottom"/>
    </xf>
    <xf borderId="0" fillId="0" fontId="4" numFmtId="0" xfId="0" applyAlignment="1" applyFont="1">
      <alignment shrinkToFit="0" vertical="bottom" wrapText="0"/>
    </xf>
    <xf borderId="12" fillId="3" fontId="4" numFmtId="0" xfId="0" applyBorder="1" applyFont="1"/>
    <xf borderId="0" fillId="0" fontId="4" numFmtId="0" xfId="0" applyAlignment="1" applyFont="1">
      <alignment horizontal="center" readingOrder="0"/>
    </xf>
    <xf borderId="14" fillId="0" fontId="4" numFmtId="0" xfId="0" applyAlignment="1" applyBorder="1" applyFont="1">
      <alignment horizontal="center" readingOrder="0" vertical="bottom"/>
    </xf>
    <xf borderId="0" fillId="3" fontId="11" numFmtId="0" xfId="0" applyAlignment="1" applyFont="1">
      <alignment horizontal="center" vertical="bottom"/>
    </xf>
    <xf borderId="0" fillId="3" fontId="12" numFmtId="0" xfId="0" applyAlignment="1" applyFont="1">
      <alignment vertical="bottom"/>
    </xf>
    <xf borderId="0" fillId="5" fontId="0" numFmtId="0" xfId="0" applyAlignment="1" applyFont="1">
      <alignment horizontal="left"/>
    </xf>
    <xf borderId="0" fillId="3" fontId="4" numFmtId="0" xfId="0" applyFont="1"/>
    <xf borderId="0" fillId="30" fontId="4" numFmtId="0" xfId="0" applyAlignment="1" applyFont="1">
      <alignment horizontal="center" vertical="bottom"/>
    </xf>
    <xf borderId="0" fillId="11" fontId="4" numFmtId="0" xfId="0" applyAlignment="1" applyFont="1">
      <alignment readingOrder="0" shrinkToFit="0" vertical="bottom" wrapText="0"/>
    </xf>
    <xf borderId="0" fillId="5" fontId="3" numFmtId="0" xfId="0" applyFont="1"/>
    <xf borderId="13" fillId="0" fontId="4" numFmtId="0" xfId="0" applyAlignment="1" applyBorder="1" applyFont="1">
      <alignment horizontal="center" readingOrder="0" vertical="bottom"/>
    </xf>
    <xf borderId="0" fillId="16" fontId="13" numFmtId="0" xfId="0" applyFont="1"/>
    <xf borderId="0" fillId="31" fontId="4" numFmtId="0" xfId="0" applyAlignment="1" applyFill="1" applyFont="1">
      <alignment horizontal="center" vertical="bottom"/>
    </xf>
    <xf borderId="0" fillId="5" fontId="4" numFmtId="164" xfId="0" applyAlignment="1" applyFont="1" applyNumberFormat="1">
      <alignment vertical="bottom"/>
    </xf>
    <xf borderId="0" fillId="0" fontId="12" numFmtId="164" xfId="0" applyAlignment="1" applyFont="1" applyNumberFormat="1">
      <alignment vertical="bottom"/>
    </xf>
    <xf borderId="0" fillId="3" fontId="4" numFmtId="0" xfId="0" applyAlignment="1" applyFont="1">
      <alignment horizontal="center" readingOrder="0" vertical="bottom"/>
    </xf>
    <xf borderId="12" fillId="3" fontId="4" numFmtId="0" xfId="0" applyAlignment="1" applyBorder="1" applyFont="1">
      <alignment readingOrder="0"/>
    </xf>
    <xf borderId="0" fillId="3" fontId="0" numFmtId="0" xfId="0" applyAlignment="1" applyFont="1">
      <alignment horizontal="center"/>
    </xf>
    <xf borderId="0" fillId="3" fontId="14" numFmtId="0" xfId="0" applyAlignment="1" applyFont="1">
      <alignment horizontal="left"/>
    </xf>
    <xf borderId="0" fillId="3" fontId="12" numFmtId="164" xfId="0" applyAlignment="1" applyFont="1" applyNumberFormat="1">
      <alignment horizontal="right" vertical="bottom"/>
    </xf>
    <xf borderId="12" fillId="32" fontId="4" numFmtId="0" xfId="0" applyAlignment="1" applyBorder="1" applyFill="1" applyFont="1">
      <alignment readingOrder="0" shrinkToFit="0" vertical="bottom"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12" fillId="0" fontId="4" numFmtId="0" xfId="0" applyAlignment="1" applyBorder="1" applyFont="1">
      <alignment shrinkToFit="0" vertical="bottom" wrapText="0"/>
    </xf>
    <xf borderId="0" fillId="0" fontId="4" numFmtId="0" xfId="0" applyAlignment="1" applyFont="1">
      <alignment horizontal="center" readingOrder="0" vertical="bottom"/>
    </xf>
    <xf borderId="0" fillId="3" fontId="14" numFmtId="0" xfId="0" applyAlignment="1" applyFont="1">
      <alignment horizontal="left" readingOrder="0"/>
    </xf>
    <xf borderId="12" fillId="0" fontId="4" numFmtId="0" xfId="0" applyAlignment="1" applyBorder="1" applyFont="1">
      <alignment shrinkToFit="0" vertical="bottom" wrapText="0"/>
    </xf>
    <xf borderId="0" fillId="0" fontId="15" numFmtId="0" xfId="0" applyAlignment="1" applyFont="1">
      <alignment horizontal="left" readingOrder="0" shrinkToFit="0" vertical="bottom" wrapText="0"/>
    </xf>
    <xf borderId="0" fillId="0" fontId="4" numFmtId="168" xfId="0" applyAlignment="1" applyFont="1" applyNumberFormat="1">
      <alignment horizontal="center" readingOrder="0" vertical="bottom"/>
    </xf>
    <xf borderId="0" fillId="0" fontId="4" numFmtId="168" xfId="0" applyAlignment="1" applyFont="1" applyNumberFormat="1">
      <alignment horizontal="left" readingOrder="0" vertical="bottom"/>
    </xf>
    <xf borderId="0" fillId="19" fontId="4" numFmtId="0" xfId="0" applyAlignment="1" applyFont="1">
      <alignment horizontal="center" readingOrder="0" vertical="bottom"/>
    </xf>
    <xf borderId="0" fillId="5" fontId="3" numFmtId="0" xfId="0" applyAlignment="1" applyFont="1">
      <alignment readingOrder="0"/>
    </xf>
    <xf borderId="0" fillId="0" fontId="16" numFmtId="0" xfId="0" applyAlignment="1" applyFont="1">
      <alignment shrinkToFit="0" vertical="bottom" wrapText="0"/>
    </xf>
    <xf borderId="0" fillId="21" fontId="4" numFmtId="0" xfId="0" applyAlignment="1" applyFont="1">
      <alignment horizontal="center" readingOrder="0" vertical="bottom"/>
    </xf>
    <xf borderId="12" fillId="32" fontId="17" numFmtId="0" xfId="0" applyAlignment="1" applyBorder="1" applyFont="1">
      <alignment readingOrder="0" shrinkToFit="0" vertical="bottom" wrapText="0"/>
    </xf>
    <xf borderId="0" fillId="11" fontId="4" numFmtId="0" xfId="0" applyAlignment="1" applyFont="1">
      <alignment shrinkToFit="0" vertical="bottom" wrapText="0"/>
    </xf>
    <xf borderId="0" fillId="8" fontId="18" numFmtId="0" xfId="0" applyAlignment="1" applyFont="1">
      <alignment horizontal="right" readingOrder="0" shrinkToFit="0" vertical="bottom" wrapText="0"/>
    </xf>
    <xf borderId="0" fillId="5" fontId="0" numFmtId="0" xfId="0" applyAlignment="1" applyFont="1">
      <alignment horizontal="left" readingOrder="0"/>
    </xf>
    <xf borderId="0" fillId="33" fontId="3" numFmtId="0" xfId="0" applyFill="1" applyFont="1"/>
    <xf borderId="0" fillId="33" fontId="4" numFmtId="167" xfId="0" applyAlignment="1" applyFont="1" applyNumberFormat="1">
      <alignment horizontal="right" readingOrder="0" vertical="bottom"/>
    </xf>
    <xf borderId="0" fillId="33" fontId="4" numFmtId="0" xfId="0" applyAlignment="1" applyFont="1">
      <alignment readingOrder="0" vertical="bottom"/>
    </xf>
    <xf borderId="0" fillId="33" fontId="4" numFmtId="0" xfId="0" applyAlignment="1" applyFont="1">
      <alignment horizontal="center" readingOrder="0" vertical="bottom"/>
    </xf>
    <xf borderId="0" fillId="33" fontId="19" numFmtId="0" xfId="0" applyAlignment="1" applyFont="1">
      <alignment horizontal="right" readingOrder="0" shrinkToFit="0" vertical="bottom" wrapText="0"/>
    </xf>
    <xf borderId="0" fillId="33" fontId="4" numFmtId="0" xfId="0" applyAlignment="1" applyFont="1">
      <alignment horizontal="center" vertical="bottom"/>
    </xf>
    <xf borderId="12" fillId="33" fontId="4" numFmtId="0" xfId="0" applyAlignment="1" applyBorder="1" applyFont="1">
      <alignment shrinkToFit="0" vertical="bottom" wrapText="0"/>
    </xf>
    <xf borderId="0" fillId="33" fontId="4" numFmtId="0" xfId="0" applyAlignment="1" applyFont="1">
      <alignment horizontal="center" vertical="bottom"/>
    </xf>
    <xf borderId="0" fillId="33" fontId="4" numFmtId="168" xfId="0" applyAlignment="1" applyFont="1" applyNumberFormat="1">
      <alignment horizontal="center" vertical="bottom"/>
    </xf>
    <xf borderId="0" fillId="33" fontId="4" numFmtId="168" xfId="0" applyAlignment="1" applyFont="1" applyNumberFormat="1">
      <alignment horizontal="left" readingOrder="0" vertical="bottom"/>
    </xf>
    <xf borderId="0" fillId="33" fontId="4" numFmtId="0" xfId="0" applyAlignment="1" applyFont="1">
      <alignment readingOrder="0"/>
    </xf>
    <xf borderId="0" fillId="33" fontId="3" numFmtId="0" xfId="0" applyAlignment="1" applyFont="1">
      <alignment readingOrder="0"/>
    </xf>
    <xf borderId="0" fillId="33" fontId="4" numFmtId="0" xfId="0" applyAlignment="1" applyFont="1">
      <alignment vertical="bottom"/>
    </xf>
    <xf borderId="12" fillId="33" fontId="4" numFmtId="0" xfId="0" applyAlignment="1" applyBorder="1" applyFont="1">
      <alignment readingOrder="0"/>
    </xf>
    <xf borderId="0" fillId="33" fontId="4" numFmtId="164" xfId="0" applyAlignment="1" applyFont="1" applyNumberFormat="1">
      <alignment horizontal="right" readingOrder="0" vertical="bottom"/>
    </xf>
    <xf borderId="0" fillId="33" fontId="4" numFmtId="166" xfId="0" applyAlignment="1" applyFont="1" applyNumberFormat="1">
      <alignment horizontal="right" readingOrder="0" vertical="bottom"/>
    </xf>
    <xf borderId="0" fillId="33" fontId="4" numFmtId="0" xfId="0" applyAlignment="1" applyFont="1">
      <alignment shrinkToFit="0" vertical="bottom" wrapText="0"/>
    </xf>
    <xf borderId="0" fillId="33" fontId="4" numFmtId="0" xfId="0" applyAlignment="1" applyFont="1">
      <alignment horizontal="center" readingOrder="0"/>
    </xf>
    <xf borderId="14" fillId="33" fontId="4" numFmtId="0" xfId="0" applyAlignment="1" applyBorder="1" applyFont="1">
      <alignment horizontal="center" readingOrder="0" vertical="bottom"/>
    </xf>
    <xf borderId="0" fillId="33" fontId="4" numFmtId="0" xfId="0" applyAlignment="1" applyFont="1">
      <alignment vertical="bottom"/>
    </xf>
    <xf borderId="0" fillId="33" fontId="12" numFmtId="0" xfId="0" applyAlignment="1" applyFont="1">
      <alignment vertical="bottom"/>
    </xf>
    <xf borderId="0" fillId="33" fontId="4" numFmtId="0" xfId="0" applyAlignment="1" applyFont="1">
      <alignment readingOrder="0" shrinkToFit="0" vertical="bottom" wrapText="0"/>
    </xf>
    <xf borderId="0" fillId="33" fontId="3" numFmtId="0" xfId="0" applyAlignment="1" applyFont="1">
      <alignment horizontal="center"/>
    </xf>
    <xf borderId="13" fillId="33" fontId="4" numFmtId="0" xfId="0" applyAlignment="1" applyBorder="1" applyFont="1">
      <alignment horizontal="center" readingOrder="0" vertical="bottom"/>
    </xf>
    <xf borderId="0" fillId="33" fontId="13" numFmtId="0" xfId="0" applyFont="1"/>
    <xf borderId="0" fillId="33" fontId="12" numFmtId="164" xfId="0" applyAlignment="1" applyFont="1" applyNumberFormat="1">
      <alignment vertical="bottom"/>
    </xf>
    <xf borderId="0" fillId="32" fontId="4" numFmtId="0" xfId="0" applyAlignment="1" applyFont="1">
      <alignment readingOrder="0" vertical="bottom"/>
    </xf>
    <xf borderId="13" fillId="0" fontId="4" numFmtId="0" xfId="0" applyAlignment="1" applyBorder="1" applyFont="1">
      <alignment horizontal="center" vertical="bottom"/>
    </xf>
    <xf borderId="15" fillId="0" fontId="4" numFmtId="0" xfId="0" applyAlignment="1" applyBorder="1" applyFont="1">
      <alignment horizontal="center" readingOrder="0" vertical="bottom"/>
    </xf>
    <xf borderId="0" fillId="0" fontId="3" numFmtId="0" xfId="0" applyAlignment="1" applyFont="1">
      <alignment readingOrder="0" shrinkToFit="0" wrapText="0"/>
    </xf>
    <xf borderId="0" fillId="0" fontId="4" numFmtId="164" xfId="0" applyAlignment="1" applyFont="1" applyNumberFormat="1">
      <alignment horizontal="left" readingOrder="0" shrinkToFit="0" vertical="bottom" wrapText="0"/>
    </xf>
    <xf borderId="12" fillId="32" fontId="4" numFmtId="0" xfId="0" applyAlignment="1" applyBorder="1" applyFont="1">
      <alignment readingOrder="0"/>
    </xf>
    <xf borderId="0" fillId="0" fontId="4" numFmtId="167" xfId="0" applyAlignment="1" applyFont="1" applyNumberFormat="1">
      <alignment horizontal="right" vertical="bottom"/>
    </xf>
    <xf borderId="0" fillId="0" fontId="20" numFmtId="0" xfId="0" applyAlignment="1" applyFont="1">
      <alignment horizontal="right" shrinkToFit="0" vertical="bottom" wrapText="0"/>
    </xf>
    <xf borderId="0" fillId="0" fontId="21" numFmtId="0" xfId="0" applyAlignment="1" applyFont="1">
      <alignment horizontal="right" readingOrder="0" shrinkToFit="0" vertical="bottom" wrapText="0"/>
    </xf>
    <xf borderId="0" fillId="3" fontId="0" numFmtId="0" xfId="0" applyAlignment="1" applyFont="1">
      <alignment horizontal="center" readingOrder="0"/>
    </xf>
    <xf borderId="0" fillId="0" fontId="4" numFmtId="0" xfId="0" applyAlignment="1" applyFont="1">
      <alignment horizontal="left" readingOrder="0" shrinkToFit="0" vertical="bottom" wrapText="0"/>
    </xf>
    <xf borderId="0" fillId="0" fontId="4" numFmtId="164" xfId="0" applyAlignment="1" applyFont="1" applyNumberFormat="1">
      <alignment horizontal="right" readingOrder="0" shrinkToFit="0" vertical="bottom" wrapText="0"/>
    </xf>
    <xf borderId="0" fillId="0" fontId="4" numFmtId="0" xfId="0" applyAlignment="1" applyFont="1">
      <alignment horizontal="right" vertical="bottom"/>
    </xf>
    <xf borderId="0" fillId="32" fontId="4" numFmtId="0" xfId="0" applyAlignment="1" applyFont="1">
      <alignment vertical="bottom"/>
    </xf>
    <xf borderId="0" fillId="32" fontId="4" numFmtId="0" xfId="0" applyAlignment="1" applyFont="1">
      <alignment horizontal="center" vertical="bottom"/>
    </xf>
    <xf borderId="0" fillId="32" fontId="22" numFmtId="0" xfId="0" applyAlignment="1" applyFont="1">
      <alignment horizontal="right" shrinkToFit="0" vertical="bottom" wrapText="0"/>
    </xf>
    <xf borderId="0" fillId="30" fontId="4" numFmtId="0" xfId="0" applyAlignment="1" applyFont="1">
      <alignment vertical="bottom"/>
    </xf>
    <xf borderId="0" fillId="0" fontId="4" numFmtId="0" xfId="0" applyAlignment="1" applyFont="1">
      <alignment horizontal="right" vertical="bottom"/>
    </xf>
    <xf borderId="10" fillId="3" fontId="3" numFmtId="0" xfId="0" applyBorder="1" applyFont="1"/>
    <xf borderId="10" fillId="0" fontId="4" numFmtId="167" xfId="0" applyAlignment="1" applyBorder="1" applyFont="1" applyNumberFormat="1">
      <alignment horizontal="right" vertical="bottom"/>
    </xf>
    <xf borderId="10" fillId="0" fontId="4" numFmtId="0" xfId="0" applyAlignment="1" applyBorder="1" applyFont="1">
      <alignment vertical="bottom"/>
    </xf>
    <xf borderId="10" fillId="0" fontId="4" numFmtId="0" xfId="0" applyAlignment="1" applyBorder="1" applyFont="1">
      <alignment horizontal="center" vertical="bottom"/>
    </xf>
    <xf borderId="10" fillId="0" fontId="23" numFmtId="0" xfId="0" applyAlignment="1" applyBorder="1" applyFont="1">
      <alignment horizontal="right" shrinkToFit="0" vertical="bottom" wrapText="0"/>
    </xf>
    <xf borderId="10" fillId="0" fontId="4" numFmtId="0" xfId="0" applyAlignment="1" applyBorder="1" applyFont="1">
      <alignment vertical="bottom"/>
    </xf>
    <xf borderId="10" fillId="0" fontId="4" numFmtId="0" xfId="0" applyAlignment="1" applyBorder="1" applyFont="1">
      <alignment shrinkToFit="0" vertical="bottom" wrapText="0"/>
    </xf>
    <xf borderId="16" fillId="0" fontId="4" numFmtId="0" xfId="0" applyAlignment="1" applyBorder="1" applyFont="1">
      <alignment horizontal="center" vertical="bottom"/>
    </xf>
    <xf borderId="10" fillId="0" fontId="4" numFmtId="168" xfId="0" applyAlignment="1" applyBorder="1" applyFont="1" applyNumberFormat="1">
      <alignment horizontal="center" vertical="bottom"/>
    </xf>
    <xf borderId="10" fillId="0" fontId="4" numFmtId="168" xfId="0" applyAlignment="1" applyBorder="1" applyFont="1" applyNumberFormat="1">
      <alignment horizontal="left" vertical="bottom"/>
    </xf>
    <xf borderId="10" fillId="0" fontId="4" numFmtId="0" xfId="0" applyAlignment="1" applyBorder="1" applyFont="1">
      <alignment readingOrder="0"/>
    </xf>
    <xf borderId="17" fillId="0" fontId="4" numFmtId="0" xfId="0" applyAlignment="1" applyBorder="1" applyFont="1">
      <alignment readingOrder="0"/>
    </xf>
    <xf borderId="10" fillId="0" fontId="4" numFmtId="164" xfId="0" applyAlignment="1" applyBorder="1" applyFont="1" applyNumberFormat="1">
      <alignment horizontal="right" readingOrder="0" vertical="bottom"/>
    </xf>
    <xf borderId="10" fillId="0" fontId="4" numFmtId="166" xfId="0" applyAlignment="1" applyBorder="1" applyFont="1" applyNumberFormat="1">
      <alignment horizontal="right" readingOrder="0" vertical="bottom"/>
    </xf>
    <xf borderId="10" fillId="0" fontId="4" numFmtId="0" xfId="0" applyAlignment="1" applyBorder="1" applyFont="1">
      <alignment shrinkToFit="0" vertical="bottom" wrapText="0"/>
    </xf>
    <xf borderId="10" fillId="0" fontId="4" numFmtId="0" xfId="0" applyAlignment="1" applyBorder="1" applyFont="1">
      <alignment horizontal="center" readingOrder="0" vertical="bottom"/>
    </xf>
    <xf borderId="10" fillId="3" fontId="4" numFmtId="0" xfId="0" applyAlignment="1" applyBorder="1" applyFont="1">
      <alignment horizontal="center" readingOrder="0" vertical="bottom"/>
    </xf>
    <xf borderId="17" fillId="3" fontId="4" numFmtId="0" xfId="0" applyAlignment="1" applyBorder="1" applyFont="1">
      <alignment readingOrder="0"/>
    </xf>
    <xf borderId="10" fillId="0" fontId="4" numFmtId="0" xfId="0" applyAlignment="1" applyBorder="1" applyFont="1">
      <alignment horizontal="center" readingOrder="0"/>
    </xf>
    <xf borderId="18" fillId="0" fontId="4" numFmtId="0" xfId="0" applyAlignment="1" applyBorder="1" applyFont="1">
      <alignment horizontal="center" readingOrder="0" vertical="bottom"/>
    </xf>
    <xf borderId="10" fillId="0" fontId="4" numFmtId="0" xfId="0" applyAlignment="1" applyBorder="1" applyFont="1">
      <alignment horizontal="center" vertical="bottom"/>
    </xf>
    <xf borderId="10" fillId="3" fontId="0" numFmtId="0" xfId="0" applyAlignment="1" applyBorder="1" applyFont="1">
      <alignment horizontal="center"/>
    </xf>
    <xf borderId="10" fillId="3" fontId="14" numFmtId="0" xfId="0" applyAlignment="1" applyBorder="1" applyFont="1">
      <alignment horizontal="left"/>
    </xf>
    <xf borderId="10" fillId="5" fontId="0" numFmtId="0" xfId="0" applyAlignment="1" applyBorder="1" applyFont="1">
      <alignment horizontal="left"/>
    </xf>
    <xf borderId="10" fillId="3" fontId="4" numFmtId="0" xfId="0" applyBorder="1" applyFont="1"/>
    <xf borderId="10" fillId="30" fontId="4" numFmtId="0" xfId="0" applyAlignment="1" applyBorder="1" applyFont="1">
      <alignment horizontal="center" vertical="bottom"/>
    </xf>
    <xf borderId="10" fillId="11" fontId="4" numFmtId="0" xfId="0" applyAlignment="1" applyBorder="1" applyFont="1">
      <alignment readingOrder="0" shrinkToFit="0" vertical="bottom" wrapText="0"/>
    </xf>
    <xf borderId="10" fillId="5" fontId="3" numFmtId="0" xfId="0" applyBorder="1" applyFont="1"/>
    <xf borderId="10" fillId="3" fontId="3" numFmtId="0" xfId="0" applyAlignment="1" applyBorder="1" applyFont="1">
      <alignment horizontal="center"/>
    </xf>
    <xf borderId="10" fillId="16" fontId="13" numFmtId="0" xfId="0" applyBorder="1" applyFont="1"/>
    <xf borderId="10" fillId="3" fontId="4" numFmtId="164" xfId="0" applyAlignment="1" applyBorder="1" applyFont="1" applyNumberFormat="1">
      <alignment horizontal="center" vertical="bottom"/>
    </xf>
    <xf borderId="10" fillId="3" fontId="4" numFmtId="0" xfId="0" applyAlignment="1" applyBorder="1" applyFont="1">
      <alignment vertical="bottom"/>
    </xf>
    <xf borderId="10" fillId="3" fontId="4" numFmtId="0" xfId="0" applyAlignment="1" applyBorder="1" applyFont="1">
      <alignment horizontal="center" vertical="bottom"/>
    </xf>
    <xf borderId="10" fillId="3" fontId="12" numFmtId="164" xfId="0" applyAlignment="1" applyBorder="1" applyFont="1" applyNumberFormat="1">
      <alignment horizontal="right" vertical="bottom"/>
    </xf>
    <xf borderId="10" fillId="31" fontId="4" numFmtId="0" xfId="0" applyAlignment="1" applyBorder="1" applyFont="1">
      <alignment horizontal="center" vertical="bottom"/>
    </xf>
    <xf borderId="10" fillId="5" fontId="4" numFmtId="164" xfId="0" applyAlignment="1" applyBorder="1" applyFont="1" applyNumberFormat="1">
      <alignment vertical="bottom"/>
    </xf>
    <xf borderId="10" fillId="0" fontId="4" numFmtId="164" xfId="0" applyAlignment="1" applyBorder="1" applyFont="1" applyNumberFormat="1">
      <alignment horizontal="right" readingOrder="0" shrinkToFit="0" vertical="bottom" wrapText="0"/>
    </xf>
    <xf borderId="0" fillId="32" fontId="4" numFmtId="167" xfId="0" applyAlignment="1" applyFont="1" applyNumberFormat="1">
      <alignment horizontal="right" vertical="bottom"/>
    </xf>
    <xf borderId="0" fillId="32" fontId="4" numFmtId="164" xfId="0" applyAlignment="1" applyFont="1" applyNumberFormat="1">
      <alignment horizontal="right" readingOrder="0" vertical="bottom"/>
    </xf>
    <xf borderId="0" fillId="14" fontId="2" numFmtId="0" xfId="0" applyAlignment="1" applyFont="1">
      <alignment readingOrder="0" shrinkToFit="0" vertical="bottom" wrapText="1"/>
    </xf>
    <xf borderId="0" fillId="14" fontId="2" numFmtId="0" xfId="0" applyAlignment="1" applyFont="1">
      <alignment horizontal="left" readingOrder="0" shrinkToFit="0" vertical="bottom" wrapText="1"/>
    </xf>
    <xf borderId="0" fillId="14" fontId="2" numFmtId="0" xfId="0" applyAlignment="1" applyFont="1">
      <alignment shrinkToFit="0" vertical="bottom" wrapText="1"/>
    </xf>
    <xf borderId="0" fillId="0" fontId="24" numFmtId="0" xfId="0" applyAlignment="1" applyFont="1">
      <alignment horizontal="center" shrinkToFit="0" vertical="center" wrapText="1"/>
    </xf>
    <xf borderId="0" fillId="0" fontId="2" numFmtId="0" xfId="0" applyAlignment="1" applyFont="1">
      <alignment horizontal="center" shrinkToFit="0" vertical="bottom" wrapText="1"/>
    </xf>
    <xf borderId="0" fillId="0" fontId="4" numFmtId="164" xfId="0" applyAlignment="1" applyFont="1" applyNumberFormat="1">
      <alignment horizontal="left" vertical="bottom"/>
    </xf>
    <xf borderId="0" fillId="0" fontId="3" numFmtId="164" xfId="0" applyAlignment="1" applyFont="1" applyNumberFormat="1">
      <alignment horizontal="right"/>
    </xf>
    <xf borderId="0" fillId="0" fontId="3" numFmtId="21" xfId="0" applyAlignment="1" applyFont="1" applyNumberFormat="1">
      <alignment horizontal="right"/>
    </xf>
    <xf borderId="0" fillId="0" fontId="3" numFmtId="0" xfId="0" applyAlignment="1" applyFont="1">
      <alignment horizontal="left"/>
    </xf>
    <xf borderId="0" fillId="0" fontId="3" numFmtId="21" xfId="0" applyAlignment="1" applyFont="1" applyNumberFormat="1">
      <alignment horizontal="center"/>
    </xf>
    <xf borderId="0" fillId="0" fontId="4" numFmtId="0" xfId="0" applyAlignment="1" applyFont="1">
      <alignment horizontal="left" vertical="bottom"/>
    </xf>
    <xf borderId="0" fillId="19" fontId="4" numFmtId="3" xfId="0" applyAlignment="1" applyFont="1" applyNumberFormat="1">
      <alignment horizontal="center" vertical="bottom"/>
    </xf>
    <xf borderId="0" fillId="3" fontId="4" numFmtId="3" xfId="0" applyAlignment="1" applyFont="1" applyNumberFormat="1">
      <alignment vertical="bottom"/>
    </xf>
    <xf borderId="0" fillId="3" fontId="4" numFmtId="0" xfId="0" applyAlignment="1" applyFont="1">
      <alignment vertical="bottom"/>
    </xf>
    <xf borderId="0" fillId="3" fontId="4" numFmtId="166" xfId="0" applyAlignment="1" applyFont="1" applyNumberFormat="1">
      <alignment vertical="bottom"/>
    </xf>
    <xf borderId="0" fillId="5" fontId="4" numFmtId="0" xfId="0" applyAlignment="1" applyFont="1">
      <alignment horizontal="center" vertical="bottom"/>
    </xf>
    <xf borderId="0" fillId="0" fontId="4" numFmtId="166" xfId="0" applyAlignment="1" applyFont="1" applyNumberFormat="1">
      <alignment vertical="bottom"/>
    </xf>
    <xf borderId="0" fillId="0" fontId="3" numFmtId="0" xfId="0" applyAlignment="1" applyFont="1">
      <alignment horizontal="right"/>
    </xf>
    <xf borderId="10" fillId="0" fontId="3" numFmtId="164" xfId="0" applyAlignment="1" applyBorder="1" applyFont="1" applyNumberFormat="1">
      <alignment horizontal="right"/>
    </xf>
    <xf borderId="10" fillId="0" fontId="3" numFmtId="21" xfId="0" applyAlignment="1" applyBorder="1" applyFont="1" applyNumberFormat="1">
      <alignment horizontal="right"/>
    </xf>
    <xf borderId="10" fillId="0" fontId="3" numFmtId="0" xfId="0" applyAlignment="1" applyBorder="1" applyFont="1">
      <alignment horizontal="left"/>
    </xf>
    <xf borderId="10" fillId="0" fontId="3" numFmtId="0" xfId="0" applyAlignment="1" applyBorder="1" applyFont="1">
      <alignment horizontal="right"/>
    </xf>
    <xf borderId="10" fillId="0" fontId="3" numFmtId="21" xfId="0" applyAlignment="1" applyBorder="1" applyFont="1" applyNumberFormat="1">
      <alignment horizontal="center"/>
    </xf>
    <xf borderId="10" fillId="0" fontId="4" numFmtId="0" xfId="0" applyAlignment="1" applyBorder="1" applyFont="1">
      <alignment horizontal="left" vertical="bottom"/>
    </xf>
    <xf borderId="10" fillId="19" fontId="4" numFmtId="3" xfId="0" applyAlignment="1" applyBorder="1" applyFont="1" applyNumberFormat="1">
      <alignment horizontal="center" vertical="bottom"/>
    </xf>
    <xf borderId="10" fillId="3" fontId="4" numFmtId="3" xfId="0" applyAlignment="1" applyBorder="1" applyFont="1" applyNumberFormat="1">
      <alignment vertical="bottom"/>
    </xf>
    <xf borderId="10" fillId="3" fontId="4" numFmtId="0" xfId="0" applyAlignment="1" applyBorder="1" applyFont="1">
      <alignment vertical="bottom"/>
    </xf>
    <xf borderId="10" fillId="3" fontId="4" numFmtId="166" xfId="0" applyAlignment="1" applyBorder="1" applyFont="1" applyNumberFormat="1">
      <alignment vertical="bottom"/>
    </xf>
    <xf borderId="10" fillId="0" fontId="3" numFmtId="166" xfId="0" applyBorder="1" applyFont="1" applyNumberFormat="1"/>
    <xf borderId="0" fillId="32" fontId="3" numFmtId="0" xfId="0" applyFont="1"/>
    <xf borderId="0" fillId="32" fontId="3" numFmtId="164" xfId="0" applyAlignment="1" applyFont="1" applyNumberFormat="1">
      <alignment horizontal="right"/>
    </xf>
    <xf borderId="0" fillId="32" fontId="3" numFmtId="21" xfId="0" applyAlignment="1" applyFont="1" applyNumberFormat="1">
      <alignment horizontal="right"/>
    </xf>
    <xf borderId="10" fillId="5" fontId="4" numFmtId="0" xfId="0" applyAlignment="1" applyBorder="1" applyFont="1">
      <alignment horizontal="center" vertical="bottom"/>
    </xf>
    <xf borderId="0" fillId="32" fontId="4" numFmtId="0" xfId="0" applyAlignment="1" applyFont="1">
      <alignment vertical="bottom"/>
    </xf>
    <xf borderId="0" fillId="32" fontId="3" numFmtId="0" xfId="0" applyAlignment="1" applyFont="1">
      <alignment readingOrder="0"/>
    </xf>
    <xf borderId="0" fillId="3" fontId="4" numFmtId="3" xfId="0" applyAlignment="1" applyFont="1" applyNumberFormat="1">
      <alignment horizontal="center" vertical="bottom"/>
    </xf>
    <xf borderId="0" fillId="28" fontId="2" numFmtId="0" xfId="0" applyAlignment="1" applyFont="1">
      <alignment horizontal="center" vertical="bottom"/>
    </xf>
    <xf borderId="0" fillId="2" fontId="2" numFmtId="0" xfId="0" applyAlignment="1" applyFont="1">
      <alignment readingOrder="0" shrinkToFit="0" vertical="bottom" wrapText="1"/>
    </xf>
    <xf borderId="0" fillId="26" fontId="2" numFmtId="0" xfId="0" applyAlignment="1" applyFont="1">
      <alignment readingOrder="0" shrinkToFit="0" vertical="bottom" wrapText="1"/>
    </xf>
    <xf borderId="0" fillId="2" fontId="2" numFmtId="0" xfId="0" applyAlignment="1" applyFont="1">
      <alignment shrinkToFit="0" vertical="bottom" wrapText="1"/>
    </xf>
    <xf borderId="0" fillId="15" fontId="2" numFmtId="0" xfId="0" applyAlignment="1" applyFont="1">
      <alignment shrinkToFit="0" vertical="bottom" wrapText="1"/>
    </xf>
    <xf borderId="0" fillId="32" fontId="2" numFmtId="0" xfId="0" applyAlignment="1" applyFont="1">
      <alignment shrinkToFit="0" vertical="bottom" wrapText="1"/>
    </xf>
    <xf borderId="0" fillId="15" fontId="2" numFmtId="0" xfId="0" applyAlignment="1" applyFont="1">
      <alignment shrinkToFit="0" vertical="bottom" wrapText="1"/>
    </xf>
    <xf borderId="0" fillId="26" fontId="25" numFmtId="0" xfId="0" applyAlignment="1" applyFont="1">
      <alignment readingOrder="0" vertical="bottom"/>
    </xf>
    <xf borderId="0" fillId="32" fontId="4" numFmtId="0" xfId="0" applyAlignment="1" applyFont="1">
      <alignment horizontal="center" vertical="bottom"/>
    </xf>
    <xf borderId="0" fillId="0" fontId="3" numFmtId="4" xfId="0" applyFont="1" applyNumberFormat="1"/>
    <xf borderId="0" fillId="0" fontId="1" numFmtId="0" xfId="0" applyAlignment="1" applyFont="1">
      <alignment readingOrder="0"/>
    </xf>
    <xf borderId="0" fillId="0" fontId="2" numFmtId="0" xfId="0" applyAlignment="1" applyFont="1">
      <alignment vertical="bottom"/>
    </xf>
    <xf borderId="0" fillId="10" fontId="3" numFmtId="0" xfId="0" applyFont="1"/>
    <xf borderId="0" fillId="10" fontId="4" numFmtId="164" xfId="0" applyAlignment="1" applyFont="1" applyNumberFormat="1">
      <alignment horizontal="right" vertical="bottom"/>
    </xf>
    <xf borderId="0" fillId="27" fontId="4" numFmtId="0" xfId="0" applyAlignment="1" applyFont="1">
      <alignment horizontal="center" vertical="bottom"/>
    </xf>
    <xf borderId="0" fillId="27" fontId="4" numFmtId="0" xfId="0" applyAlignment="1" applyFont="1">
      <alignment readingOrder="0" vertical="bottom"/>
    </xf>
    <xf borderId="0" fillId="27" fontId="3" numFmtId="0" xfId="0" applyAlignment="1" applyFont="1">
      <alignment readingOrder="0"/>
    </xf>
    <xf borderId="0" fillId="26" fontId="3" numFmtId="0" xfId="0" applyFont="1"/>
    <xf borderId="0" fillId="26" fontId="3" numFmtId="164" xfId="0" applyFont="1" applyNumberFormat="1"/>
    <xf borderId="0" fillId="16" fontId="26" numFmtId="0" xfId="0" applyAlignment="1" applyFont="1">
      <alignment horizontal="center" vertical="bottom"/>
    </xf>
    <xf borderId="0" fillId="0" fontId="27" numFmtId="0" xfId="0" applyAlignment="1" applyFont="1">
      <alignment readingOrder="0"/>
    </xf>
    <xf borderId="0" fillId="0" fontId="3" numFmtId="0" xfId="0" applyAlignment="1" applyFont="1">
      <alignment horizontal="left"/>
    </xf>
    <xf borderId="0" fillId="19" fontId="3" numFmtId="0" xfId="0" applyAlignment="1" applyFont="1">
      <alignment horizontal="center" readingOrder="0"/>
    </xf>
    <xf borderId="0" fillId="21" fontId="3" numFmtId="0" xfId="0" applyAlignment="1" applyFont="1">
      <alignment horizontal="center" readingOrder="0"/>
    </xf>
    <xf borderId="0" fillId="5" fontId="4" numFmtId="0" xfId="0" applyAlignment="1" applyFont="1">
      <alignment horizontal="center" readingOrder="0" vertical="bottom"/>
    </xf>
    <xf borderId="0" fillId="31" fontId="3" numFmtId="0" xfId="0" applyAlignment="1" applyFont="1">
      <alignment horizontal="center" readingOrder="0"/>
    </xf>
    <xf borderId="0" fillId="0" fontId="3" numFmtId="0" xfId="0" applyFont="1"/>
    <xf borderId="0" fillId="0" fontId="3" numFmtId="0" xfId="0" applyAlignment="1" applyFont="1">
      <alignment readingOrder="0"/>
    </xf>
    <xf borderId="0" fillId="19" fontId="3" numFmtId="0" xfId="0" applyAlignment="1" applyFont="1">
      <alignment horizontal="center"/>
    </xf>
    <xf borderId="0" fillId="0" fontId="28" numFmtId="0" xfId="0" applyAlignment="1" applyFont="1">
      <alignment vertical="bottom"/>
    </xf>
    <xf borderId="0" fillId="0" fontId="4" numFmtId="0" xfId="0" applyFont="1"/>
    <xf borderId="0" fillId="0" fontId="29" numFmtId="0" xfId="0" applyAlignment="1" applyFont="1">
      <alignment readingOrder="0" shrinkToFit="0" vertical="bottom" wrapText="0"/>
    </xf>
    <xf borderId="0" fillId="0" fontId="29" numFmtId="0" xfId="0" applyAlignment="1" applyFont="1">
      <alignment vertical="bottom"/>
    </xf>
    <xf borderId="0" fillId="0" fontId="29" numFmtId="0" xfId="0" applyAlignment="1" applyFont="1">
      <alignment shrinkToFit="0" vertical="bottom" wrapText="0"/>
    </xf>
    <xf borderId="0" fillId="0" fontId="29" numFmtId="0" xfId="0" applyAlignment="1" applyFont="1">
      <alignment shrinkToFit="0" vertical="bottom" wrapText="0"/>
    </xf>
    <xf borderId="0" fillId="0" fontId="29" numFmtId="0" xfId="0" applyAlignment="1" applyFont="1">
      <alignment vertical="bottom"/>
    </xf>
    <xf borderId="0" fillId="19" fontId="29" numFmtId="0" xfId="0" applyAlignment="1" applyFont="1">
      <alignment readingOrder="0" vertical="bottom"/>
    </xf>
    <xf borderId="0" fillId="0" fontId="28" numFmtId="0" xfId="0" applyAlignment="1" applyFont="1">
      <alignment shrinkToFit="0" vertical="bottom" wrapText="0"/>
    </xf>
    <xf borderId="0" fillId="0" fontId="29" numFmtId="0" xfId="0" applyAlignment="1" applyFont="1">
      <alignment readingOrder="0" vertical="bottom"/>
    </xf>
    <xf borderId="0" fillId="0" fontId="30" numFmtId="0" xfId="0" applyAlignment="1" applyFont="1">
      <alignment readingOrder="0" shrinkToFit="0" vertical="bottom" wrapText="0"/>
    </xf>
    <xf borderId="0" fillId="0" fontId="28" numFmtId="0" xfId="0" applyAlignment="1" applyFont="1">
      <alignment readingOrder="0" shrinkToFit="0" vertical="bottom" wrapText="0"/>
    </xf>
    <xf borderId="0" fillId="0" fontId="30" numFmtId="0" xfId="0" applyAlignment="1" applyFont="1">
      <alignment readingOrder="0"/>
    </xf>
    <xf borderId="0" fillId="0" fontId="29" numFmtId="0" xfId="0" applyAlignment="1" applyFont="1">
      <alignment readingOrder="0" shrinkToFit="0" vertical="bottom" wrapText="1"/>
    </xf>
    <xf borderId="0" fillId="0" fontId="31" numFmtId="0" xfId="0" applyAlignment="1" applyFont="1">
      <alignment shrinkToFit="0" vertical="bottom" wrapText="0"/>
    </xf>
    <xf borderId="0" fillId="0" fontId="31" numFmtId="0" xfId="0" applyAlignment="1" applyFont="1">
      <alignment readingOrder="0" shrinkToFit="0" vertical="bottom" wrapText="0"/>
    </xf>
    <xf borderId="0" fillId="0" fontId="4" numFmtId="0" xfId="0" applyAlignment="1" applyFont="1">
      <alignment shrinkToFit="0" vertical="bottom" wrapText="0"/>
    </xf>
    <xf borderId="0" fillId="0" fontId="2" numFmtId="0" xfId="0" applyAlignment="1" applyFont="1">
      <alignment readingOrder="0" vertical="bottom"/>
    </xf>
    <xf borderId="0" fillId="8" fontId="4" numFmtId="0" xfId="0" applyAlignment="1" applyFont="1">
      <alignment vertical="bottom"/>
    </xf>
    <xf borderId="0" fillId="0" fontId="4" numFmtId="0" xfId="0" applyAlignment="1" applyFont="1">
      <alignment readingOrder="0" shrinkToFit="0" vertical="bottom" wrapText="0"/>
    </xf>
    <xf borderId="0" fillId="10" fontId="4" numFmtId="0" xfId="0" applyAlignment="1" applyFont="1">
      <alignment horizontal="center" vertical="bottom"/>
    </xf>
    <xf borderId="0" fillId="10" fontId="4" numFmtId="0" xfId="0" applyAlignment="1" applyFont="1">
      <alignment vertical="bottom"/>
    </xf>
    <xf borderId="0" fillId="17" fontId="4" numFmtId="0" xfId="0" applyAlignment="1" applyFont="1">
      <alignment vertical="bottom"/>
    </xf>
    <xf borderId="0" fillId="8" fontId="4" numFmtId="0" xfId="0" applyAlignment="1" applyFont="1">
      <alignment readingOrder="0" vertical="bottom"/>
    </xf>
    <xf borderId="0" fillId="0" fontId="4" numFmtId="164" xfId="0" applyAlignment="1" applyFont="1" applyNumberFormat="1">
      <alignment shrinkToFit="0" vertical="bottom" wrapText="0"/>
    </xf>
    <xf borderId="0" fillId="26" fontId="4" numFmtId="0" xfId="0" applyAlignment="1" applyFont="1">
      <alignment horizontal="center" vertical="bottom"/>
    </xf>
    <xf borderId="0" fillId="26" fontId="4" numFmtId="0" xfId="0" applyAlignment="1" applyFont="1">
      <alignment vertical="bottom"/>
    </xf>
    <xf borderId="0" fillId="27" fontId="4" numFmtId="0" xfId="0" applyAlignment="1" applyFont="1">
      <alignment vertical="bottom"/>
    </xf>
    <xf borderId="0" fillId="22" fontId="4" numFmtId="0" xfId="0" applyAlignment="1" applyFont="1">
      <alignment horizontal="center" vertical="bottom"/>
    </xf>
    <xf borderId="0" fillId="22" fontId="4" numFmtId="0" xfId="0" applyAlignment="1" applyFont="1">
      <alignment readingOrder="0" vertical="bottom"/>
    </xf>
    <xf borderId="0" fillId="16" fontId="4" numFmtId="0" xfId="0" applyAlignment="1" applyFont="1">
      <alignment vertical="bottom"/>
    </xf>
    <xf borderId="0" fillId="15" fontId="4" numFmtId="0" xfId="0" applyAlignment="1" applyFont="1">
      <alignment vertical="bottom"/>
    </xf>
    <xf borderId="0" fillId="23" fontId="4" numFmtId="0" xfId="0" applyAlignment="1" applyFont="1">
      <alignment horizontal="center" vertical="bottom"/>
    </xf>
    <xf borderId="0" fillId="23" fontId="4" numFmtId="0" xfId="0" applyAlignment="1" applyFont="1">
      <alignment vertical="bottom"/>
    </xf>
    <xf borderId="0" fillId="23" fontId="4" numFmtId="0" xfId="0" applyAlignment="1" applyFont="1">
      <alignment readingOrder="0" vertical="bottom"/>
    </xf>
    <xf borderId="0" fillId="20" fontId="4" numFmtId="0" xfId="0" applyAlignment="1" applyFont="1">
      <alignment horizontal="center" vertical="bottom"/>
    </xf>
    <xf borderId="0" fillId="20" fontId="4" numFmtId="0" xfId="0" applyAlignment="1" applyFont="1">
      <alignment vertical="bottom"/>
    </xf>
    <xf borderId="0" fillId="25" fontId="4" numFmtId="0" xfId="0" applyAlignment="1" applyFont="1">
      <alignment horizontal="center" vertical="bottom"/>
    </xf>
    <xf borderId="0" fillId="25" fontId="4" numFmtId="0" xfId="0" applyAlignment="1" applyFont="1">
      <alignment vertical="bottom"/>
    </xf>
    <xf borderId="0" fillId="34" fontId="4" numFmtId="0" xfId="0" applyAlignment="1" applyFill="1" applyFont="1">
      <alignment horizontal="center" vertical="bottom"/>
    </xf>
    <xf borderId="0" fillId="34" fontId="4" numFmtId="0" xfId="0" applyAlignment="1" applyFont="1">
      <alignment vertical="bottom"/>
    </xf>
  </cellXfs>
  <cellStyles count="1">
    <cellStyle xfId="0" name="Normal" builtinId="0"/>
  </cellStyles>
  <dxfs count="18">
    <dxf>
      <font/>
      <fill>
        <patternFill patternType="solid">
          <fgColor rgb="FFFF0000"/>
          <bgColor rgb="FFFF0000"/>
        </patternFill>
      </fill>
      <border/>
    </dxf>
    <dxf>
      <font/>
      <fill>
        <patternFill patternType="solid">
          <fgColor rgb="FF00FF00"/>
          <bgColor rgb="FF00FF00"/>
        </patternFill>
      </fill>
      <border/>
    </dxf>
    <dxf>
      <font/>
      <fill>
        <patternFill patternType="solid">
          <fgColor rgb="FFA4C2F4"/>
          <bgColor rgb="FFA4C2F4"/>
        </patternFill>
      </fill>
      <border/>
    </dxf>
    <dxf>
      <font/>
      <fill>
        <patternFill patternType="solid">
          <fgColor rgb="FF00FFFF"/>
          <bgColor rgb="FF00FFFF"/>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FCE5CD"/>
          <bgColor rgb="FFFCE5CD"/>
        </patternFill>
      </fill>
      <border/>
    </dxf>
    <dxf>
      <font/>
      <fill>
        <patternFill patternType="solid">
          <fgColor rgb="FFF9CB9C"/>
          <bgColor rgb="FFF9CB9C"/>
        </patternFill>
      </fill>
      <border/>
    </dxf>
    <dxf>
      <font/>
      <fill>
        <patternFill patternType="solid">
          <fgColor rgb="FFFFF2CC"/>
          <bgColor rgb="FFFFF2CC"/>
        </patternFill>
      </fill>
      <border/>
    </dxf>
    <dxf>
      <font/>
      <fill>
        <patternFill patternType="solid">
          <fgColor rgb="FF9FC5E8"/>
          <bgColor rgb="FF9FC5E8"/>
        </patternFill>
      </fill>
      <border/>
    </dxf>
    <dxf>
      <font/>
      <fill>
        <patternFill patternType="solid">
          <fgColor rgb="FFE06666"/>
          <bgColor rgb="FFE06666"/>
        </patternFill>
      </fill>
      <border/>
    </dxf>
    <dxf>
      <font/>
      <fill>
        <patternFill patternType="solid">
          <fgColor rgb="FFCFE2F3"/>
          <bgColor rgb="FFCFE2F3"/>
        </patternFill>
      </fill>
      <border/>
    </dxf>
    <dxf>
      <font/>
      <fill>
        <patternFill patternType="solid">
          <fgColor rgb="FFEA9999"/>
          <bgColor rgb="FFEA9999"/>
        </patternFill>
      </fill>
      <border/>
    </dxf>
    <dxf>
      <font/>
      <fill>
        <patternFill patternType="solid">
          <fgColor rgb="FFC9DAF8"/>
          <bgColor rgb="FFC9DAF8"/>
        </patternFill>
      </fill>
      <border/>
    </dxf>
    <dxf>
      <font>
        <b/>
      </font>
      <fill>
        <patternFill patternType="solid">
          <fgColor rgb="FF00FF00"/>
          <bgColor rgb="FF00FF00"/>
        </patternFill>
      </fill>
      <border/>
    </dxf>
    <dxf>
      <font/>
      <fill>
        <patternFill patternType="solid">
          <fgColor rgb="FFB7B7B7"/>
          <bgColor rgb="FFB7B7B7"/>
        </patternFill>
      </fill>
      <border/>
    </dxf>
    <dxf>
      <font/>
      <fill>
        <patternFill patternType="solid">
          <fgColor rgb="FFB4A7D6"/>
          <bgColor rgb="FFB4A7D6"/>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90" Type="http://schemas.openxmlformats.org/officeDocument/2006/relationships/hyperlink" Target="https://drive.google.com/open?id=1iluqcIqhTiRnH2WBJ60QVTOJvdxgQtKm" TargetMode="External"/><Relationship Id="rId194" Type="http://schemas.openxmlformats.org/officeDocument/2006/relationships/hyperlink" Target="https://drive.google.com/open?id=1eQHpVX-a8QOc7HsxA5O56uLtJGHp-Atk" TargetMode="External"/><Relationship Id="rId193" Type="http://schemas.openxmlformats.org/officeDocument/2006/relationships/hyperlink" Target="https://drive.google.com/open?id=14RIRTXxzMDg2Nr8wrMlN0F1b967rhPiu" TargetMode="External"/><Relationship Id="rId192" Type="http://schemas.openxmlformats.org/officeDocument/2006/relationships/hyperlink" Target="https://drive.google.com/open?id=1NmB9-tZ22T2GNU1QH_9xlhCn-MqtbW3H" TargetMode="External"/><Relationship Id="rId191" Type="http://schemas.openxmlformats.org/officeDocument/2006/relationships/hyperlink" Target="https://drive.google.com/open?id=1mijXyqJdhkpN3mG4gcdPkbdxvoWMQQe-" TargetMode="External"/><Relationship Id="rId187" Type="http://schemas.openxmlformats.org/officeDocument/2006/relationships/hyperlink" Target="https://drive.google.com/open?id=1fiI5xC3LAElJuwXs5jfF3F1xzQGnux09" TargetMode="External"/><Relationship Id="rId186" Type="http://schemas.openxmlformats.org/officeDocument/2006/relationships/hyperlink" Target="https://drive.google.com/open?id=1HqnFFZtlm8ueYCju4GnghWF2rRwVcxfE" TargetMode="External"/><Relationship Id="rId185" Type="http://schemas.openxmlformats.org/officeDocument/2006/relationships/hyperlink" Target="https://drive.google.com/open?id=1EwaV5yA6Pnv6v3X0SH2GWAHVVF-QFucZ" TargetMode="External"/><Relationship Id="rId184" Type="http://schemas.openxmlformats.org/officeDocument/2006/relationships/hyperlink" Target="https://drive.google.com/open?id=1TkXLZSOhIyMioaaGt-AjM_QPNbZX0aCA" TargetMode="External"/><Relationship Id="rId189" Type="http://schemas.openxmlformats.org/officeDocument/2006/relationships/hyperlink" Target="https://drive.google.com/open?id=1J3KaYhZ-vOwyVhbCmlyHowX7ocX4SrKj" TargetMode="External"/><Relationship Id="rId188" Type="http://schemas.openxmlformats.org/officeDocument/2006/relationships/hyperlink" Target="https://drive.google.com/open?id=1PpBMJCSuJ-p4WZXR0y2eOp4Wa6iu9Erm" TargetMode="External"/><Relationship Id="rId183" Type="http://schemas.openxmlformats.org/officeDocument/2006/relationships/hyperlink" Target="https://drive.google.com/open?id=1d-PoUCR-KAsxj-0duZhAnT01FPV19jhw" TargetMode="External"/><Relationship Id="rId182" Type="http://schemas.openxmlformats.org/officeDocument/2006/relationships/hyperlink" Target="https://drive.google.com/open?id=16GwX35d92u4lyVc3uIRCK1OTGvnU1rDx" TargetMode="External"/><Relationship Id="rId181" Type="http://schemas.openxmlformats.org/officeDocument/2006/relationships/hyperlink" Target="https://drive.google.com/open?id=1rO2I0XXw3DJrJ0SqF-nBJxl9A7gSaW0e" TargetMode="External"/><Relationship Id="rId180" Type="http://schemas.openxmlformats.org/officeDocument/2006/relationships/hyperlink" Target="https://drive.google.com/open?id=1P0fyKV5RtzUVQwGddnUPZeuUsODPSKvR" TargetMode="External"/><Relationship Id="rId176" Type="http://schemas.openxmlformats.org/officeDocument/2006/relationships/hyperlink" Target="https://drive.google.com/open?id=1OXfJr6H-1kpuxAHAeDsbsRrt705GOK7h" TargetMode="External"/><Relationship Id="rId297" Type="http://schemas.openxmlformats.org/officeDocument/2006/relationships/hyperlink" Target="https://drive.google.com/open?id=1Emif_VGhgGxjtAmn9ZYALASamhvqhVBZ" TargetMode="External"/><Relationship Id="rId175" Type="http://schemas.openxmlformats.org/officeDocument/2006/relationships/hyperlink" Target="https://drive.google.com/open?id=1fl0kJ4Z7mKsVn_CDwGGDV8iNeKQj6k92" TargetMode="External"/><Relationship Id="rId296" Type="http://schemas.openxmlformats.org/officeDocument/2006/relationships/hyperlink" Target="https://drive.google.com/open?id=1uI0WAdh24O49MCdQxWV4D5k4HVep_i3C" TargetMode="External"/><Relationship Id="rId174" Type="http://schemas.openxmlformats.org/officeDocument/2006/relationships/hyperlink" Target="https://drive.google.com/open?id=1uHRfuuBf9KQFOlfaXww-jz7TLlRDq3-U" TargetMode="External"/><Relationship Id="rId295" Type="http://schemas.openxmlformats.org/officeDocument/2006/relationships/hyperlink" Target="https://drive.google.com/open?id=1sEbGiMmUL6Y2QTN1RgS791xeSBNWIbKH" TargetMode="External"/><Relationship Id="rId173" Type="http://schemas.openxmlformats.org/officeDocument/2006/relationships/hyperlink" Target="https://drive.google.com/open?id=1fZ-o1G5sLevJJ97Ig4VOemEYfoGkKoJC" TargetMode="External"/><Relationship Id="rId294" Type="http://schemas.openxmlformats.org/officeDocument/2006/relationships/hyperlink" Target="https://drive.google.com/open?id=1JqT2Eeq97JhUpS-uABjEu89TcrhC2TZT" TargetMode="External"/><Relationship Id="rId179" Type="http://schemas.openxmlformats.org/officeDocument/2006/relationships/hyperlink" Target="https://drive.google.com/open?id=1kynkAYILC71-Fg9SBIMTbIXTFMKjhmb9" TargetMode="External"/><Relationship Id="rId178" Type="http://schemas.openxmlformats.org/officeDocument/2006/relationships/hyperlink" Target="https://drive.google.com/open?id=1UStMfdtxRGom2f_wBH5gRDSC9OoJkrP2" TargetMode="External"/><Relationship Id="rId299" Type="http://schemas.openxmlformats.org/officeDocument/2006/relationships/hyperlink" Target="https://drive.google.com/open?id=1BFukUVerlqgNK6VJqXDP35HNvOtF-urX" TargetMode="External"/><Relationship Id="rId177" Type="http://schemas.openxmlformats.org/officeDocument/2006/relationships/hyperlink" Target="https://drive.google.com/open?id=1o7OQzbrjGRO_3aE_T4B6HIVNL7941G1c" TargetMode="External"/><Relationship Id="rId298" Type="http://schemas.openxmlformats.org/officeDocument/2006/relationships/hyperlink" Target="https://drive.google.com/open?id=1EFirtUyI68W_Szlk6PNaodinUXHQYyOm" TargetMode="External"/><Relationship Id="rId198" Type="http://schemas.openxmlformats.org/officeDocument/2006/relationships/hyperlink" Target="https://drive.google.com/open?id=1mSS_lISDKy-1Afg39VVGDXH6gAcNrLQy" TargetMode="External"/><Relationship Id="rId197" Type="http://schemas.openxmlformats.org/officeDocument/2006/relationships/hyperlink" Target="https://drive.google.com/open?id=1ggAuDFwtOf0cKk9uMJewM0EfhzmEOvx9" TargetMode="External"/><Relationship Id="rId196" Type="http://schemas.openxmlformats.org/officeDocument/2006/relationships/hyperlink" Target="https://drive.google.com/open?id=1EsCN1fcH8q7ksk8TwfqbOuEgJWUkIHKY" TargetMode="External"/><Relationship Id="rId195" Type="http://schemas.openxmlformats.org/officeDocument/2006/relationships/hyperlink" Target="https://drive.google.com/open?id=1u6Pp80P_cCMhzd8XjEd-mStD3d8VRaSt" TargetMode="External"/><Relationship Id="rId199" Type="http://schemas.openxmlformats.org/officeDocument/2006/relationships/hyperlink" Target="https://drive.google.com/open?id=1IemeSdvh2UjUwQptnoTWGsPlEC_neKTP" TargetMode="External"/><Relationship Id="rId150" Type="http://schemas.openxmlformats.org/officeDocument/2006/relationships/hyperlink" Target="https://drive.google.com/open?id=1Obzl5OF75g3EpAvHOT-RRE38UI1LbAx3" TargetMode="External"/><Relationship Id="rId271" Type="http://schemas.openxmlformats.org/officeDocument/2006/relationships/hyperlink" Target="https://drive.google.com/open?id=1Xz7iaKtKYdeB_35hjlxREIjVynsMbJG3" TargetMode="External"/><Relationship Id="rId392" Type="http://schemas.openxmlformats.org/officeDocument/2006/relationships/hyperlink" Target="https://drive.google.com/open?id=1nItFVCHhho2ucEiRi03SiK0dXy93WREg" TargetMode="External"/><Relationship Id="rId270" Type="http://schemas.openxmlformats.org/officeDocument/2006/relationships/hyperlink" Target="https://drive.google.com/open?id=12kRPyL8SVJZJyhE5o-gjTQYEI1e3rCCN" TargetMode="External"/><Relationship Id="rId391" Type="http://schemas.openxmlformats.org/officeDocument/2006/relationships/hyperlink" Target="https://drive.google.com/open?id=1LTD6yo680mNR148zhZQFC1kO564dXMPU" TargetMode="External"/><Relationship Id="rId390" Type="http://schemas.openxmlformats.org/officeDocument/2006/relationships/hyperlink" Target="https://drive.google.com/open?id=1QR9X0x-7CghsVSSo_XQLLLl8ghewlgw7" TargetMode="External"/><Relationship Id="rId1" Type="http://schemas.openxmlformats.org/officeDocument/2006/relationships/comments" Target="../comments3.xml"/><Relationship Id="rId2" Type="http://schemas.openxmlformats.org/officeDocument/2006/relationships/hyperlink" Target="https://drive.google.com/open?id=1yu89iqcgyiipvy_DiarRNIzmqDOgUpC2" TargetMode="External"/><Relationship Id="rId3" Type="http://schemas.openxmlformats.org/officeDocument/2006/relationships/hyperlink" Target="https://drive.google.com/open?id=1Asnkgz_KOFajynlJCw-AeigTYa7K8fBg" TargetMode="External"/><Relationship Id="rId149" Type="http://schemas.openxmlformats.org/officeDocument/2006/relationships/hyperlink" Target="https://drive.google.com/open?id=1i04K_dL7NUl-eoEZZ0AeVV17B9cM8UQD" TargetMode="External"/><Relationship Id="rId4" Type="http://schemas.openxmlformats.org/officeDocument/2006/relationships/hyperlink" Target="https://drive.google.com/open?id=1R9KUtO68mISMKCsEtBU3dsH_QHi3FNt0" TargetMode="External"/><Relationship Id="rId148" Type="http://schemas.openxmlformats.org/officeDocument/2006/relationships/hyperlink" Target="https://drive.google.com/open?id=1cOOJwD-v0SU2Slh438-ITymsYVl6uFac" TargetMode="External"/><Relationship Id="rId269" Type="http://schemas.openxmlformats.org/officeDocument/2006/relationships/hyperlink" Target="https://drive.google.com/open?id=16-oBTmCbTTSJl05SSl6p7O0FZ59_04fO" TargetMode="External"/><Relationship Id="rId9" Type="http://schemas.openxmlformats.org/officeDocument/2006/relationships/hyperlink" Target="https://drive.google.com/open?id=14zlSjT1BnNkyoEkMnVePp7itkB4mq-0n" TargetMode="External"/><Relationship Id="rId143" Type="http://schemas.openxmlformats.org/officeDocument/2006/relationships/hyperlink" Target="https://drive.google.com/open?id=1o5wn2mzWJAA3nsqY2sFQg78zOdIJZUdX" TargetMode="External"/><Relationship Id="rId264" Type="http://schemas.openxmlformats.org/officeDocument/2006/relationships/hyperlink" Target="https://drive.google.com/open?id=1gSgEzbsS4WERaceA-_yYpFG7CqiP2EuF" TargetMode="External"/><Relationship Id="rId385" Type="http://schemas.openxmlformats.org/officeDocument/2006/relationships/hyperlink" Target="https://drive.google.com/open?id=1bnY4-wmCEag8KVv5VEQrFqVjGiOCxFoI" TargetMode="External"/><Relationship Id="rId142" Type="http://schemas.openxmlformats.org/officeDocument/2006/relationships/hyperlink" Target="https://drive.google.com/open?id=1BaaTAG2PPh77Y5Lust-6Kje-rGa5XvzE" TargetMode="External"/><Relationship Id="rId263" Type="http://schemas.openxmlformats.org/officeDocument/2006/relationships/hyperlink" Target="https://drive.google.com/open?id=1qizbOORnqdVdvawkR9c7TT-q_Xw-Q6Tf" TargetMode="External"/><Relationship Id="rId384" Type="http://schemas.openxmlformats.org/officeDocument/2006/relationships/hyperlink" Target="https://drive.google.com/open?id=16OthYlHJehjcFepb5NcOG_aSg3idB8ZV" TargetMode="External"/><Relationship Id="rId141" Type="http://schemas.openxmlformats.org/officeDocument/2006/relationships/hyperlink" Target="https://drive.google.com/open?id=1cKC1QX1kpuIQwbRyfFaht17GDXYerFAB" TargetMode="External"/><Relationship Id="rId262" Type="http://schemas.openxmlformats.org/officeDocument/2006/relationships/hyperlink" Target="https://drive.google.com/open?id=1PFxpA6YG9Qk4M-pWGJwvhqF5BJ7Kw5oO" TargetMode="External"/><Relationship Id="rId383" Type="http://schemas.openxmlformats.org/officeDocument/2006/relationships/hyperlink" Target="https://drive.google.com/open?id=1vYpSJDCAsyX7Ok4Gu_U29M7FSMXZBekK" TargetMode="External"/><Relationship Id="rId140" Type="http://schemas.openxmlformats.org/officeDocument/2006/relationships/hyperlink" Target="https://drive.google.com/open?id=1EdRQ_DV45nVfv-hDXFMx4xUWy76A5uYJ" TargetMode="External"/><Relationship Id="rId261" Type="http://schemas.openxmlformats.org/officeDocument/2006/relationships/hyperlink" Target="https://drive.google.com/open?id=1MN7Nzcl2rpy5m8biwghhkzBcaedREVXd" TargetMode="External"/><Relationship Id="rId382" Type="http://schemas.openxmlformats.org/officeDocument/2006/relationships/hyperlink" Target="https://drive.google.com/open?id=1Y8nFbz8wsFLyJf5PiA0obOVQcEZV15Kd" TargetMode="External"/><Relationship Id="rId5" Type="http://schemas.openxmlformats.org/officeDocument/2006/relationships/hyperlink" Target="https://drive.google.com/open?id=1KmTJaadvuPrImvXlf3u0omla6535OF2o" TargetMode="External"/><Relationship Id="rId147" Type="http://schemas.openxmlformats.org/officeDocument/2006/relationships/hyperlink" Target="https://drive.google.com/open?id=1eYnYVGXMwkwVKUWeGfw1ziXha7PZVkNF" TargetMode="External"/><Relationship Id="rId268" Type="http://schemas.openxmlformats.org/officeDocument/2006/relationships/hyperlink" Target="https://drive.google.com/open?id=14EKiOyR5jNGUttoOSVYZL2tvj7p45Axw" TargetMode="External"/><Relationship Id="rId389" Type="http://schemas.openxmlformats.org/officeDocument/2006/relationships/hyperlink" Target="https://drive.google.com/open?id=1hLqhNZ6wHTlpMllip64rrlpQPYqMwhgP" TargetMode="External"/><Relationship Id="rId6" Type="http://schemas.openxmlformats.org/officeDocument/2006/relationships/hyperlink" Target="https://drive.google.com/open?id=1cYBl0xDnTTC7Ui2lxWh6eQzlF5gotmtA" TargetMode="External"/><Relationship Id="rId146" Type="http://schemas.openxmlformats.org/officeDocument/2006/relationships/hyperlink" Target="https://drive.google.com/open?id=1lfdELae5hu3LI8raJnSgZ-VB8el0YD9C" TargetMode="External"/><Relationship Id="rId267" Type="http://schemas.openxmlformats.org/officeDocument/2006/relationships/hyperlink" Target="https://drive.google.com/open?id=12Vs4Guqdy05teMQuXgJbbRG3foymeL6S" TargetMode="External"/><Relationship Id="rId388" Type="http://schemas.openxmlformats.org/officeDocument/2006/relationships/hyperlink" Target="https://drive.google.com/open?id=1GBna5xQaCA41wtVacHCzk33f0xKh7C5W" TargetMode="External"/><Relationship Id="rId7" Type="http://schemas.openxmlformats.org/officeDocument/2006/relationships/hyperlink" Target="https://drive.google.com/open?id=1hZkE3NtmGGscpQd0gpQ2eRTcQyL3VONw" TargetMode="External"/><Relationship Id="rId145" Type="http://schemas.openxmlformats.org/officeDocument/2006/relationships/hyperlink" Target="https://drive.google.com/open?id=1p7QzFoCBIXzZglWkTqd64MlERnDHr4ax" TargetMode="External"/><Relationship Id="rId266" Type="http://schemas.openxmlformats.org/officeDocument/2006/relationships/hyperlink" Target="https://drive.google.com/open?id=1Q9LONVoBzxoqnEQ7Vesepet2XelQVUi4" TargetMode="External"/><Relationship Id="rId387" Type="http://schemas.openxmlformats.org/officeDocument/2006/relationships/hyperlink" Target="https://drive.google.com/open?id=1ETmsKW2J5JvRZ3h1a3AcVxmyhyAXYgxU" TargetMode="External"/><Relationship Id="rId8" Type="http://schemas.openxmlformats.org/officeDocument/2006/relationships/hyperlink" Target="https://drive.google.com/open?id=1YSVpwUAuJJK0zBuUTV_e2f3aeTnbtrRM" TargetMode="External"/><Relationship Id="rId144" Type="http://schemas.openxmlformats.org/officeDocument/2006/relationships/hyperlink" Target="https://drive.google.com/open?id=1FyURLDe9Zku1fWBvNv_ZSB7kIlKTLV27" TargetMode="External"/><Relationship Id="rId265" Type="http://schemas.openxmlformats.org/officeDocument/2006/relationships/hyperlink" Target="https://drive.google.com/open?id=1x4sSXnnqtfB5BUzvA2QnK5KlCESorGsn" TargetMode="External"/><Relationship Id="rId386" Type="http://schemas.openxmlformats.org/officeDocument/2006/relationships/hyperlink" Target="https://drive.google.com/open?id=1k1bIjGOb9dfXo-oSRyVJtf4NoprG_eVx" TargetMode="External"/><Relationship Id="rId260" Type="http://schemas.openxmlformats.org/officeDocument/2006/relationships/hyperlink" Target="https://drive.google.com/open?id=12yshJbAG5GA4FE2ndqir1vrnPlsA4wrB" TargetMode="External"/><Relationship Id="rId381" Type="http://schemas.openxmlformats.org/officeDocument/2006/relationships/hyperlink" Target="https://drive.google.com/open?id=11Rz3zDmCulaslrUA22ScdABVHcRyCt9e" TargetMode="External"/><Relationship Id="rId380" Type="http://schemas.openxmlformats.org/officeDocument/2006/relationships/hyperlink" Target="https://drive.google.com/open?id=1W7fIkHfDIZrDD6tkaKAtUQtZD1g1EHuI" TargetMode="External"/><Relationship Id="rId139" Type="http://schemas.openxmlformats.org/officeDocument/2006/relationships/hyperlink" Target="https://drive.google.com/open?id=1dIvH4qEjmBK_t4IJnCOtxc7fKM6kVgOD" TargetMode="External"/><Relationship Id="rId138" Type="http://schemas.openxmlformats.org/officeDocument/2006/relationships/hyperlink" Target="https://drive.google.com/open?id=1-o5_WIW-IX_3mjmRFswMoRtMYwCxHxQ6" TargetMode="External"/><Relationship Id="rId259" Type="http://schemas.openxmlformats.org/officeDocument/2006/relationships/hyperlink" Target="https://drive.google.com/open?id=1NBa528Us7mpGRUx9yLX8Ok32zGCdHvPA" TargetMode="External"/><Relationship Id="rId137" Type="http://schemas.openxmlformats.org/officeDocument/2006/relationships/hyperlink" Target="https://drive.google.com/open?id=1KEPTCmCQa3UOGbWixIasP22vlcFwLHWa" TargetMode="External"/><Relationship Id="rId258" Type="http://schemas.openxmlformats.org/officeDocument/2006/relationships/hyperlink" Target="https://drive.google.com/open?id=1dsQ2_sO3KFwHx2meuA65kxg7hXV9xizx" TargetMode="External"/><Relationship Id="rId379" Type="http://schemas.openxmlformats.org/officeDocument/2006/relationships/hyperlink" Target="https://drive.google.com/open?id=1aXF6Gmasn9f2iFGOyOiYqfPjexnXiBS9" TargetMode="External"/><Relationship Id="rId132" Type="http://schemas.openxmlformats.org/officeDocument/2006/relationships/hyperlink" Target="https://drive.google.com/open?id=1COtLzC356jdWksFAv2OvGXCHdeOa-hFP" TargetMode="External"/><Relationship Id="rId253" Type="http://schemas.openxmlformats.org/officeDocument/2006/relationships/hyperlink" Target="https://drive.google.com/open?id=13CWREnwM517H9y3Z_RiDjUVCHZl8gSjj" TargetMode="External"/><Relationship Id="rId374" Type="http://schemas.openxmlformats.org/officeDocument/2006/relationships/hyperlink" Target="https://drive.google.com/open?id=1mIlMDD7zjjihUqredihgnq31EhvkhTkh" TargetMode="External"/><Relationship Id="rId495" Type="http://schemas.openxmlformats.org/officeDocument/2006/relationships/hyperlink" Target="https://drive.google.com/open?id=1Y7_M5xpEn1W5p7Ms80c-2fjABeLsNt16" TargetMode="External"/><Relationship Id="rId131" Type="http://schemas.openxmlformats.org/officeDocument/2006/relationships/hyperlink" Target="https://drive.google.com/open?id=1e-2kOAzu9Tq810_jQ2L-jEC-40-13vVg" TargetMode="External"/><Relationship Id="rId252" Type="http://schemas.openxmlformats.org/officeDocument/2006/relationships/hyperlink" Target="https://drive.google.com/open?id=1qes_Tjr5erUPrJRcwKMYWFmD40cac-y-" TargetMode="External"/><Relationship Id="rId373" Type="http://schemas.openxmlformats.org/officeDocument/2006/relationships/hyperlink" Target="https://drive.google.com/open?id=1DBeXg4A6ze7RFsPdMY-du1DZRAfXJqfg" TargetMode="External"/><Relationship Id="rId494" Type="http://schemas.openxmlformats.org/officeDocument/2006/relationships/hyperlink" Target="https://drive.google.com/open?id=1RVENElQJcmQczYuQC3WTQRQ8gOJXrFj1" TargetMode="External"/><Relationship Id="rId130" Type="http://schemas.openxmlformats.org/officeDocument/2006/relationships/hyperlink" Target="https://drive.google.com/open?id=1EUjdOHc59GJqe6Sgoi75qg1p3kqByUg3" TargetMode="External"/><Relationship Id="rId251" Type="http://schemas.openxmlformats.org/officeDocument/2006/relationships/hyperlink" Target="https://drive.google.com/open?id=1yu65edbh2N46grkgiNa39vQ7OR02po4B" TargetMode="External"/><Relationship Id="rId372" Type="http://schemas.openxmlformats.org/officeDocument/2006/relationships/hyperlink" Target="https://drive.google.com/open?id=1zTLHs77DaIW0uvnGbGOmQLUY9JbN6Nun" TargetMode="External"/><Relationship Id="rId493" Type="http://schemas.openxmlformats.org/officeDocument/2006/relationships/hyperlink" Target="https://drive.google.com/open?id=1I4aEQ507qJb3S5mOU8DTmu00_sOxlg3g" TargetMode="External"/><Relationship Id="rId250" Type="http://schemas.openxmlformats.org/officeDocument/2006/relationships/hyperlink" Target="https://drive.google.com/open?id=196AJGb2YfxAEEuSsUULT7lTVCM0AxAXj" TargetMode="External"/><Relationship Id="rId371" Type="http://schemas.openxmlformats.org/officeDocument/2006/relationships/hyperlink" Target="https://drive.google.com/open?id=19krUmiFE2jEtwhGlXT2qY6Co9O0Tcz2r" TargetMode="External"/><Relationship Id="rId492" Type="http://schemas.openxmlformats.org/officeDocument/2006/relationships/hyperlink" Target="https://drive.google.com/open?id=1x0BYn9pxNFwq_Tr0cmxDD14i02_m8Dqy" TargetMode="External"/><Relationship Id="rId136" Type="http://schemas.openxmlformats.org/officeDocument/2006/relationships/hyperlink" Target="https://drive.google.com/open?id=1BZZFw12DSSzAWdDjx_yfAeIS9Xp4z8c-" TargetMode="External"/><Relationship Id="rId257" Type="http://schemas.openxmlformats.org/officeDocument/2006/relationships/hyperlink" Target="https://drive.google.com/open?id=1fzQ5-qVUGCQI2jCQ0eRLApcO7fuvWJqC" TargetMode="External"/><Relationship Id="rId378" Type="http://schemas.openxmlformats.org/officeDocument/2006/relationships/hyperlink" Target="https://drive.google.com/open?id=1n-UPrHn_t2DdX3zzdW4fVvWbj1lWP66n" TargetMode="External"/><Relationship Id="rId499" Type="http://schemas.openxmlformats.org/officeDocument/2006/relationships/hyperlink" Target="https://drive.google.com/open?id=1_J8NnAZ_cYAWsHKwdsXi0Mz8Swu4GlC7" TargetMode="External"/><Relationship Id="rId135" Type="http://schemas.openxmlformats.org/officeDocument/2006/relationships/hyperlink" Target="https://drive.google.com/open?id=1COtLzC356jdWksFAv2OvGXCHdeOa-hFP" TargetMode="External"/><Relationship Id="rId256" Type="http://schemas.openxmlformats.org/officeDocument/2006/relationships/hyperlink" Target="https://drive.google.com/open?id=1VE8BCLa-eT0eqeglCreobEd-VTqSuVNG" TargetMode="External"/><Relationship Id="rId377" Type="http://schemas.openxmlformats.org/officeDocument/2006/relationships/hyperlink" Target="https://drive.google.com/open?id=19n3nclpLqdmwaPzYkbzaDu905UY5NKqI" TargetMode="External"/><Relationship Id="rId498" Type="http://schemas.openxmlformats.org/officeDocument/2006/relationships/hyperlink" Target="https://drive.google.com/open?id=1oaCrtc-C6QZmi-JAscG9pPMAKaFPxSw-" TargetMode="External"/><Relationship Id="rId134" Type="http://schemas.openxmlformats.org/officeDocument/2006/relationships/hyperlink" Target="https://drive.google.com/open?id=19UjMX5rdRmzMsUx4dYHvIydZFWHmEbBa" TargetMode="External"/><Relationship Id="rId255" Type="http://schemas.openxmlformats.org/officeDocument/2006/relationships/hyperlink" Target="https://drive.google.com/open?id=1S92SRkb_g7GYKtegcQmqo0v0DIJ1mAP9" TargetMode="External"/><Relationship Id="rId376" Type="http://schemas.openxmlformats.org/officeDocument/2006/relationships/hyperlink" Target="https://drive.google.com/open?id=1LQ2kEU3EPYXC_1dy_lsBsECO0sFicjiT" TargetMode="External"/><Relationship Id="rId497" Type="http://schemas.openxmlformats.org/officeDocument/2006/relationships/hyperlink" Target="https://drive.google.com/open?id=1vvkAie3weuvUk2IIHsG4HPaDpnqsTYFS" TargetMode="External"/><Relationship Id="rId133" Type="http://schemas.openxmlformats.org/officeDocument/2006/relationships/hyperlink" Target="https://drive.google.com/open?id=1spkoD7WkwzLoH_nRF9nX949hCwj-JLgL" TargetMode="External"/><Relationship Id="rId254" Type="http://schemas.openxmlformats.org/officeDocument/2006/relationships/hyperlink" Target="https://drive.google.com/open?id=1YGMvqV1pNb64h2gvj7vmTp7Gqs4kN7Fm" TargetMode="External"/><Relationship Id="rId375" Type="http://schemas.openxmlformats.org/officeDocument/2006/relationships/hyperlink" Target="https://drive.google.com/open?id=1PH48RfBPrVIWeamPObTndC2KOa9B6t-k" TargetMode="External"/><Relationship Id="rId496" Type="http://schemas.openxmlformats.org/officeDocument/2006/relationships/hyperlink" Target="https://drive.google.com/open?id=1ZJ9V17EYvHwJcxg37bQNOOSwtgqENTrv" TargetMode="External"/><Relationship Id="rId172" Type="http://schemas.openxmlformats.org/officeDocument/2006/relationships/hyperlink" Target="https://drive.google.com/open?id=1QhHqXET_QeaLGmwaocDKesWD6CUAZxs1" TargetMode="External"/><Relationship Id="rId293" Type="http://schemas.openxmlformats.org/officeDocument/2006/relationships/hyperlink" Target="https://drive.google.com/open?id=1dxuombpaX6ZSNUehfIP5NPJw-xG4Cxh_" TargetMode="External"/><Relationship Id="rId171" Type="http://schemas.openxmlformats.org/officeDocument/2006/relationships/hyperlink" Target="https://drive.google.com/open?id=1v5Kcyui5dCjhRXF2ic2fPJQKZQM349JI" TargetMode="External"/><Relationship Id="rId292" Type="http://schemas.openxmlformats.org/officeDocument/2006/relationships/hyperlink" Target="https://drive.google.com/open?id=1Fn-GcI6NO_ya0k06LNYDOL7qtfXgTwbC" TargetMode="External"/><Relationship Id="rId170" Type="http://schemas.openxmlformats.org/officeDocument/2006/relationships/hyperlink" Target="https://drive.google.com/open?id=1d9mWWwJZYQwe1ABQnPuU3JijNwQyBu6Z" TargetMode="External"/><Relationship Id="rId291" Type="http://schemas.openxmlformats.org/officeDocument/2006/relationships/hyperlink" Target="https://drive.google.com/open?id=1HwmLZ3itjXjnZIIS1-ctidJJ38SBKFbq" TargetMode="External"/><Relationship Id="rId290" Type="http://schemas.openxmlformats.org/officeDocument/2006/relationships/hyperlink" Target="https://drive.google.com/open?id=1c3aNQdozX1olDWYsnD_hdH6ljkHBBcYj" TargetMode="External"/><Relationship Id="rId165" Type="http://schemas.openxmlformats.org/officeDocument/2006/relationships/hyperlink" Target="https://drive.google.com/open?id=1hSGGenPl9pm3ew0SfSd0KcwDuEdiWzUE" TargetMode="External"/><Relationship Id="rId286" Type="http://schemas.openxmlformats.org/officeDocument/2006/relationships/hyperlink" Target="https://drive.google.com/open?id=1HyYzRmH7aM8BH_rRUmA7g-xfEQGSb8bG" TargetMode="External"/><Relationship Id="rId164" Type="http://schemas.openxmlformats.org/officeDocument/2006/relationships/hyperlink" Target="https://drive.google.com/open?id=1AD_UiAuQyunGy8rcc9zfxfmTkTq_14Pi" TargetMode="External"/><Relationship Id="rId285" Type="http://schemas.openxmlformats.org/officeDocument/2006/relationships/hyperlink" Target="https://drive.google.com/open?id=14QfP4Lc-a5IHBbCCIZz8xO6T5TSEviSD" TargetMode="External"/><Relationship Id="rId163" Type="http://schemas.openxmlformats.org/officeDocument/2006/relationships/hyperlink" Target="https://drive.google.com/open?id=1xlVoifoA1yEtNa6pyYdk8aRpkt7tsl69" TargetMode="External"/><Relationship Id="rId284" Type="http://schemas.openxmlformats.org/officeDocument/2006/relationships/hyperlink" Target="https://drive.google.com/open?id=1SlXA_U10PzmIa4xhluLIaQZK9a-CtWgb" TargetMode="External"/><Relationship Id="rId162" Type="http://schemas.openxmlformats.org/officeDocument/2006/relationships/hyperlink" Target="https://drive.google.com/open?id=1jBipDfVKRCGAVMngnqX0MI6LbGBPX3wI" TargetMode="External"/><Relationship Id="rId283" Type="http://schemas.openxmlformats.org/officeDocument/2006/relationships/hyperlink" Target="https://drive.google.com/open?id=1P9pXeNzkqhKcXT62ut44JtZ7C4XXgCHB" TargetMode="External"/><Relationship Id="rId169" Type="http://schemas.openxmlformats.org/officeDocument/2006/relationships/hyperlink" Target="https://drive.google.com/open?id=1XKpzUzVlwJxDu4mWpgENXYqdFTwlw0jH" TargetMode="External"/><Relationship Id="rId168" Type="http://schemas.openxmlformats.org/officeDocument/2006/relationships/hyperlink" Target="https://drive.google.com/open?id=1xtYbv1INkzUaof8chw-MPNiBjNAyW3ex" TargetMode="External"/><Relationship Id="rId289" Type="http://schemas.openxmlformats.org/officeDocument/2006/relationships/hyperlink" Target="https://drive.google.com/open?id=10s3dwAAZH5OOZul52348Pczu7VPDCX9J" TargetMode="External"/><Relationship Id="rId167" Type="http://schemas.openxmlformats.org/officeDocument/2006/relationships/hyperlink" Target="https://drive.google.com/open?id=1Th_aIGqiqPSk-AiMaMybRlebiPFbzbcZ" TargetMode="External"/><Relationship Id="rId288" Type="http://schemas.openxmlformats.org/officeDocument/2006/relationships/hyperlink" Target="https://drive.google.com/open?id=18kn5hMvRcSfvVehadennZMfPS-j3XrGW" TargetMode="External"/><Relationship Id="rId166" Type="http://schemas.openxmlformats.org/officeDocument/2006/relationships/hyperlink" Target="https://drive.google.com/open?id=1rveec2nZg20Iob9psmy3YQWFjBCTvtJf" TargetMode="External"/><Relationship Id="rId287" Type="http://schemas.openxmlformats.org/officeDocument/2006/relationships/hyperlink" Target="https://drive.google.com/open?id=1oCAEk6TTLx_RtgaSY8oo0TKotRt3uHwO" TargetMode="External"/><Relationship Id="rId161" Type="http://schemas.openxmlformats.org/officeDocument/2006/relationships/hyperlink" Target="https://drive.google.com/open?id=1qMNw1kjs1HaVcozDIjqFUQQ35gyQFhjk" TargetMode="External"/><Relationship Id="rId282" Type="http://schemas.openxmlformats.org/officeDocument/2006/relationships/hyperlink" Target="https://drive.google.com/open?id=1WDgxp5k5XMd2TgtywAM0HpXDQ3TiICZR" TargetMode="External"/><Relationship Id="rId160" Type="http://schemas.openxmlformats.org/officeDocument/2006/relationships/hyperlink" Target="https://drive.google.com/open?id=14KPgZ0ijT7OUl3Wybjw9SjytCOO0e84X" TargetMode="External"/><Relationship Id="rId281" Type="http://schemas.openxmlformats.org/officeDocument/2006/relationships/hyperlink" Target="https://drive.google.com/open?id=1J_GOrnoODSkN0f23IlKi2GHeAtYrdaNS" TargetMode="External"/><Relationship Id="rId280" Type="http://schemas.openxmlformats.org/officeDocument/2006/relationships/hyperlink" Target="https://drive.google.com/open?id=1qRu4M2aeQA3RnyN_AzXjEyZJrX_2iG0U" TargetMode="External"/><Relationship Id="rId159" Type="http://schemas.openxmlformats.org/officeDocument/2006/relationships/hyperlink" Target="https://drive.google.com/open?id=1_DuTOaxG3TyJPHdj9BFLln0yjPzHoPR7" TargetMode="External"/><Relationship Id="rId154" Type="http://schemas.openxmlformats.org/officeDocument/2006/relationships/hyperlink" Target="https://drive.google.com/open?id=1AnYhALfngtQKjuaFE9V0cmMYMLyUJfGq" TargetMode="External"/><Relationship Id="rId275" Type="http://schemas.openxmlformats.org/officeDocument/2006/relationships/hyperlink" Target="https://drive.google.com/open?id=1hRSggdTu2XIe6VR1LdKWXzw_O5D02ix0" TargetMode="External"/><Relationship Id="rId396" Type="http://schemas.openxmlformats.org/officeDocument/2006/relationships/hyperlink" Target="https://drive.google.com/open?id=1HxrDkv5af3UriJFXSD4ApCPGQQkhN-jT" TargetMode="External"/><Relationship Id="rId153" Type="http://schemas.openxmlformats.org/officeDocument/2006/relationships/hyperlink" Target="https://drive.google.com/open?id=170pVg6VO_aide6uRElNDowCruH0kHU85" TargetMode="External"/><Relationship Id="rId274" Type="http://schemas.openxmlformats.org/officeDocument/2006/relationships/hyperlink" Target="https://drive.google.com/open?id=1rvJ30Al6qxNqe2b0WAI1yPr5DbTLuiTy" TargetMode="External"/><Relationship Id="rId395" Type="http://schemas.openxmlformats.org/officeDocument/2006/relationships/hyperlink" Target="https://drive.google.com/open?id=1_nJ_0tpWDAmzx-R9QBI7tI0X0u4lUycf" TargetMode="External"/><Relationship Id="rId152" Type="http://schemas.openxmlformats.org/officeDocument/2006/relationships/hyperlink" Target="https://drive.google.com/open?id=1oiHenJvYzR8VgfkCsk03CcUdFT4RigoE" TargetMode="External"/><Relationship Id="rId273" Type="http://schemas.openxmlformats.org/officeDocument/2006/relationships/hyperlink" Target="https://drive.google.com/open?id=1jiEv-SQGITo37Bnn9bqfNcp1zTxD-tn5" TargetMode="External"/><Relationship Id="rId394" Type="http://schemas.openxmlformats.org/officeDocument/2006/relationships/hyperlink" Target="https://drive.google.com/open?id=1uym5A5krTRJ-FUsarlBNQaOMAjWQZJMK" TargetMode="External"/><Relationship Id="rId151" Type="http://schemas.openxmlformats.org/officeDocument/2006/relationships/hyperlink" Target="https://drive.google.com/open?id=1fZuQytUkePhmBj5aKO943yVi6jFVyRCL" TargetMode="External"/><Relationship Id="rId272" Type="http://schemas.openxmlformats.org/officeDocument/2006/relationships/hyperlink" Target="https://drive.google.com/open?id=1PpnGE5181oIkxnrf4IE6uCo2R1jwgyg6" TargetMode="External"/><Relationship Id="rId393" Type="http://schemas.openxmlformats.org/officeDocument/2006/relationships/hyperlink" Target="https://drive.google.com/open?id=1FVtx6cB1OdsFqMTdmPRVrv4yzSxUc861" TargetMode="External"/><Relationship Id="rId158" Type="http://schemas.openxmlformats.org/officeDocument/2006/relationships/hyperlink" Target="https://drive.google.com/open?id=1v_RfM-iyiFdoJTunxZto5Vb3UBXW_bj3" TargetMode="External"/><Relationship Id="rId279" Type="http://schemas.openxmlformats.org/officeDocument/2006/relationships/hyperlink" Target="https://drive.google.com/open?id=1uoXQTt5olmZWZVX8QTCDdrho9A29veDx" TargetMode="External"/><Relationship Id="rId157" Type="http://schemas.openxmlformats.org/officeDocument/2006/relationships/hyperlink" Target="https://drive.google.com/open?id=1MRo7mveC1PoEA3lbflmvlsoOHYRK9yn4" TargetMode="External"/><Relationship Id="rId278" Type="http://schemas.openxmlformats.org/officeDocument/2006/relationships/hyperlink" Target="https://drive.google.com/open?id=15wJgmWglSBIJBnO7RqkD1uXhfj2HZfem" TargetMode="External"/><Relationship Id="rId399" Type="http://schemas.openxmlformats.org/officeDocument/2006/relationships/hyperlink" Target="https://drive.google.com/open?id=1FbCz-2QgvvzP9qsy8nwcJkupSOMtfs6d" TargetMode="External"/><Relationship Id="rId156" Type="http://schemas.openxmlformats.org/officeDocument/2006/relationships/hyperlink" Target="https://drive.google.com/open?id=1SDtM86nIeZ4R3YV8i4M-OvpgL5uimzAM" TargetMode="External"/><Relationship Id="rId277" Type="http://schemas.openxmlformats.org/officeDocument/2006/relationships/hyperlink" Target="https://drive.google.com/open?id=1CuBpT_Ty26S9LQemu8bZmdyEEohlMoYa" TargetMode="External"/><Relationship Id="rId398" Type="http://schemas.openxmlformats.org/officeDocument/2006/relationships/hyperlink" Target="https://drive.google.com/open?id=15Sut1M-dO-ly_L1ZpT2aZM32DBP0aYfx" TargetMode="External"/><Relationship Id="rId155" Type="http://schemas.openxmlformats.org/officeDocument/2006/relationships/hyperlink" Target="https://drive.google.com/open?id=1ZAi5-fqb8S22EcN-bwsqur9JRYy_g3D-" TargetMode="External"/><Relationship Id="rId276" Type="http://schemas.openxmlformats.org/officeDocument/2006/relationships/hyperlink" Target="https://drive.google.com/open?id=1KROSwLe4Vrme-yI81Kvub1Bdm3YNCupp" TargetMode="External"/><Relationship Id="rId397" Type="http://schemas.openxmlformats.org/officeDocument/2006/relationships/hyperlink" Target="https://drive.google.com/open?id=1_Bp6v05kJ4q86PKbLA4MBVUa_YreMcKp" TargetMode="External"/><Relationship Id="rId40" Type="http://schemas.openxmlformats.org/officeDocument/2006/relationships/hyperlink" Target="https://drive.google.com/open?id=1gQTBbQ0gYuKsNhWC4GnRkPNXbN0vIqHr" TargetMode="External"/><Relationship Id="rId42" Type="http://schemas.openxmlformats.org/officeDocument/2006/relationships/hyperlink" Target="https://drive.google.com/open?id=1c_9zm5Is-8MLNHXYz6pxUDdmwnCQxT0P" TargetMode="External"/><Relationship Id="rId41" Type="http://schemas.openxmlformats.org/officeDocument/2006/relationships/hyperlink" Target="https://drive.google.com/open?id=1VKLrWbs_oU2YH4Y98mH3FP6J4yuFK7tN" TargetMode="External"/><Relationship Id="rId44" Type="http://schemas.openxmlformats.org/officeDocument/2006/relationships/hyperlink" Target="https://drive.google.com/open?id=1Mj80lpvvllIo5bDHvFzpFBPkBSqL4Ut_" TargetMode="External"/><Relationship Id="rId43" Type="http://schemas.openxmlformats.org/officeDocument/2006/relationships/hyperlink" Target="https://drive.google.com/open?id=1c3M3XhluGTN7Pu_dwFJ6ihUGco3cDYAE" TargetMode="External"/><Relationship Id="rId46" Type="http://schemas.openxmlformats.org/officeDocument/2006/relationships/hyperlink" Target="https://drive.google.com/open?id=1YMrTsJ_XDJVC-sGgDl32TPWAc_KwWKcY" TargetMode="External"/><Relationship Id="rId45" Type="http://schemas.openxmlformats.org/officeDocument/2006/relationships/hyperlink" Target="https://drive.google.com/open?id=1b8WyTzhCV55HMhLW-5mQ29mgeyc7QhEv" TargetMode="External"/><Relationship Id="rId509" Type="http://schemas.openxmlformats.org/officeDocument/2006/relationships/hyperlink" Target="https://drive.google.com/open?id=10dW5ji4uoIiAdMQ0-JxOSCVQDs65Yj9E" TargetMode="External"/><Relationship Id="rId508" Type="http://schemas.openxmlformats.org/officeDocument/2006/relationships/hyperlink" Target="https://drive.google.com/open?id=16CnMdlHILFs31B0lIEVVS6QRiPlqrpqh" TargetMode="External"/><Relationship Id="rId629" Type="http://schemas.openxmlformats.org/officeDocument/2006/relationships/hyperlink" Target="https://drive.google.com/open?id=1QAW8oj3EPIe7xqnpy8WLVpnaxZRSuu5C" TargetMode="External"/><Relationship Id="rId503" Type="http://schemas.openxmlformats.org/officeDocument/2006/relationships/hyperlink" Target="https://drive.google.com/open?id=1878PbueHmBvNTkTPa_Geki-zXd-JFR8G" TargetMode="External"/><Relationship Id="rId624" Type="http://schemas.openxmlformats.org/officeDocument/2006/relationships/hyperlink" Target="https://drive.google.com/open?id=1iX2ubuVe2q83wOdUASQP7cBpaVddUyTu" TargetMode="External"/><Relationship Id="rId502" Type="http://schemas.openxmlformats.org/officeDocument/2006/relationships/hyperlink" Target="https://drive.google.com/open?id=1KnMXPjHfy5mXFn8k2oTmTXHNEib4AYip" TargetMode="External"/><Relationship Id="rId623" Type="http://schemas.openxmlformats.org/officeDocument/2006/relationships/hyperlink" Target="https://drive.google.com/open?id=18w5sjxw5hutxYpTIw_0_fZdnKLu9sFka" TargetMode="External"/><Relationship Id="rId501" Type="http://schemas.openxmlformats.org/officeDocument/2006/relationships/hyperlink" Target="https://drive.google.com/open?id=1lU0VPdfHF3wxAkJpxyMEt4Od-LG1xjgo" TargetMode="External"/><Relationship Id="rId622" Type="http://schemas.openxmlformats.org/officeDocument/2006/relationships/hyperlink" Target="https://drive.google.com/open?id=1xPJ8EUTck7dF32peDK5FdUYqwEUPSeOd" TargetMode="External"/><Relationship Id="rId500" Type="http://schemas.openxmlformats.org/officeDocument/2006/relationships/hyperlink" Target="https://drive.google.com/open?id=15FoDcbvFSIMfUw_b3cc15ipqsZFclnYH" TargetMode="External"/><Relationship Id="rId621" Type="http://schemas.openxmlformats.org/officeDocument/2006/relationships/hyperlink" Target="https://drive.google.com/open?id=1UuXB7wWZ7kgH1CLqxQsaBmInnvTa7GpU" TargetMode="External"/><Relationship Id="rId507" Type="http://schemas.openxmlformats.org/officeDocument/2006/relationships/hyperlink" Target="https://drive.google.com/open?id=1fpUhQ1CrTpcZyBKWluni5-SiyjpLiN9w" TargetMode="External"/><Relationship Id="rId628" Type="http://schemas.openxmlformats.org/officeDocument/2006/relationships/hyperlink" Target="https://drive.google.com/open?id=1cbMa01v5ciWfD3I9GzmHqBtXvaBzGj0G" TargetMode="External"/><Relationship Id="rId506" Type="http://schemas.openxmlformats.org/officeDocument/2006/relationships/hyperlink" Target="https://drive.google.com/open?id=1E5sagZFV20VaHja5f9r5EES74bqn0MCQ" TargetMode="External"/><Relationship Id="rId627" Type="http://schemas.openxmlformats.org/officeDocument/2006/relationships/hyperlink" Target="https://drive.google.com/open?id=1uMi65zu8WHZXzUWnF4Yuv79uNpI7SJqC" TargetMode="External"/><Relationship Id="rId505" Type="http://schemas.openxmlformats.org/officeDocument/2006/relationships/hyperlink" Target="https://drive.google.com/open?id=1nVguIJw1HJECNxtfaU5MyR8-3uvS6c4R" TargetMode="External"/><Relationship Id="rId626" Type="http://schemas.openxmlformats.org/officeDocument/2006/relationships/hyperlink" Target="https://drive.google.com/open?id=1QhR9cvHKPNx5q5Hrw-hQqAwUyv4SMpED" TargetMode="External"/><Relationship Id="rId504" Type="http://schemas.openxmlformats.org/officeDocument/2006/relationships/hyperlink" Target="https://drive.google.com/open?id=1Rffat6OAYCS0pv0iyyW5n3G3z9qvFjho" TargetMode="External"/><Relationship Id="rId625" Type="http://schemas.openxmlformats.org/officeDocument/2006/relationships/hyperlink" Target="https://drive.google.com/open?id=1fe6fIlqDR5njBDziFa5sDdUl2p4K3c-e" TargetMode="External"/><Relationship Id="rId48" Type="http://schemas.openxmlformats.org/officeDocument/2006/relationships/hyperlink" Target="https://drive.google.com/open?id=1yJBOFp6b7eQsf-E5DON0N_5EmQ1mQhpU" TargetMode="External"/><Relationship Id="rId47" Type="http://schemas.openxmlformats.org/officeDocument/2006/relationships/hyperlink" Target="https://drive.google.com/open?id=1Mj80lpvvllIo5bDHvFzpFBPkBSqL4Ut_" TargetMode="External"/><Relationship Id="rId49" Type="http://schemas.openxmlformats.org/officeDocument/2006/relationships/hyperlink" Target="https://drive.google.com/open?id=1zBLhOx6wKp6l8Bbvp1hOOqDqe8D7AR-S" TargetMode="External"/><Relationship Id="rId620" Type="http://schemas.openxmlformats.org/officeDocument/2006/relationships/hyperlink" Target="https://drive.google.com/open?id=1KJ4waQpgG5Ygzxg3VfYTNd8OvFpe4Ybi" TargetMode="External"/><Relationship Id="rId31" Type="http://schemas.openxmlformats.org/officeDocument/2006/relationships/hyperlink" Target="https://drive.google.com/open?id=1vAqRRrbdAL5Qh87oCOWXLUsKff0vl2Py" TargetMode="External"/><Relationship Id="rId30" Type="http://schemas.openxmlformats.org/officeDocument/2006/relationships/hyperlink" Target="https://drive.google.com/open?id=1xzQtX2v2ZRwu_beO74lQ1CgXhDZPTkMF" TargetMode="External"/><Relationship Id="rId33" Type="http://schemas.openxmlformats.org/officeDocument/2006/relationships/hyperlink" Target="https://drive.google.com/open?id=12Bl9zYEwi9EzChL9exinDoW0rDuD4gOU" TargetMode="External"/><Relationship Id="rId32" Type="http://schemas.openxmlformats.org/officeDocument/2006/relationships/hyperlink" Target="https://drive.google.com/open?id=1B2Ew3dIXP0nlicJ41pyTxSWkwRtdIrEo" TargetMode="External"/><Relationship Id="rId35" Type="http://schemas.openxmlformats.org/officeDocument/2006/relationships/hyperlink" Target="https://drive.google.com/open?id=1o0Ic4awKi-WupjTTxKVYAyj02_1KKF0i" TargetMode="External"/><Relationship Id="rId34" Type="http://schemas.openxmlformats.org/officeDocument/2006/relationships/hyperlink" Target="https://drive.google.com/open?id=1_v9f4UFQoa4uiNqhCAayOvPiRoRb5Gr3" TargetMode="External"/><Relationship Id="rId619" Type="http://schemas.openxmlformats.org/officeDocument/2006/relationships/hyperlink" Target="https://drive.google.com/open?id=1TbppCN39BVyTrsQEWO7BV3Z7v2X9ICR3" TargetMode="External"/><Relationship Id="rId618" Type="http://schemas.openxmlformats.org/officeDocument/2006/relationships/hyperlink" Target="https://drive.google.com/open?id=1cZY4g8CTgfwRr73i0BWvkQTGTuyWo53t" TargetMode="External"/><Relationship Id="rId613" Type="http://schemas.openxmlformats.org/officeDocument/2006/relationships/hyperlink" Target="https://drive.google.com/open?id=1ArfX4KTgMnOOPCuOF6YlqjY9GAlpE15V" TargetMode="External"/><Relationship Id="rId612" Type="http://schemas.openxmlformats.org/officeDocument/2006/relationships/hyperlink" Target="https://drive.google.com/open?id=1BLp0cZx2ieGqM9KSFQHiLmhwdY3jwu0h" TargetMode="External"/><Relationship Id="rId611" Type="http://schemas.openxmlformats.org/officeDocument/2006/relationships/hyperlink" Target="https://drive.google.com/open?id=1LQvHyxBYw0BnhCF-2xbT-u4LIaWbkpJH" TargetMode="External"/><Relationship Id="rId610" Type="http://schemas.openxmlformats.org/officeDocument/2006/relationships/hyperlink" Target="https://drive.google.com/open?id=1UT948Tf2MN2qvi_21b4l_qKMpGhYmCoD" TargetMode="External"/><Relationship Id="rId617" Type="http://schemas.openxmlformats.org/officeDocument/2006/relationships/hyperlink" Target="https://drive.google.com/open?id=17KAKML2ZM1QfHJu1aVl1xYhrhdvKhoAM" TargetMode="External"/><Relationship Id="rId616" Type="http://schemas.openxmlformats.org/officeDocument/2006/relationships/hyperlink" Target="https://drive.google.com/open?id=1HByMxDMNMj63zzXurWjZbS2rFKUg8TCw" TargetMode="External"/><Relationship Id="rId615" Type="http://schemas.openxmlformats.org/officeDocument/2006/relationships/hyperlink" Target="https://drive.google.com/open?id=1M-Wq0YsmtQUpUIgvnROnGRMwanZgzHxg" TargetMode="External"/><Relationship Id="rId614" Type="http://schemas.openxmlformats.org/officeDocument/2006/relationships/hyperlink" Target="https://drive.google.com/open?id=1sMhPJ1IMwJiurUCYS2xIFzsOiOl_QSWs" TargetMode="External"/><Relationship Id="rId37" Type="http://schemas.openxmlformats.org/officeDocument/2006/relationships/hyperlink" Target="https://drive.google.com/open?id=1_v9f4UFQoa4uiNqhCAayOvPiRoRb5Gr3" TargetMode="External"/><Relationship Id="rId36" Type="http://schemas.openxmlformats.org/officeDocument/2006/relationships/hyperlink" Target="https://drive.google.com/open?id=1JhC_Deat2_UtOlBUvb6ehCWU0NCeVRMQ" TargetMode="External"/><Relationship Id="rId39" Type="http://schemas.openxmlformats.org/officeDocument/2006/relationships/hyperlink" Target="https://drive.google.com/open?id=1a0-oCDmQfsrIrhnmm2QuQoQMRrFf9u88" TargetMode="External"/><Relationship Id="rId38" Type="http://schemas.openxmlformats.org/officeDocument/2006/relationships/hyperlink" Target="https://drive.google.com/open?id=1xlULpoYKM_8w-JtnoTUND-feYcFMSTA0" TargetMode="External"/><Relationship Id="rId20" Type="http://schemas.openxmlformats.org/officeDocument/2006/relationships/hyperlink" Target="https://drive.google.com/open?id=1d-0Wfl8cM5QLb8-zyV7XNyjiyzQm_2m9" TargetMode="External"/><Relationship Id="rId22" Type="http://schemas.openxmlformats.org/officeDocument/2006/relationships/hyperlink" Target="https://drive.google.com/open?id=1nb6hBXp3C3Qor2A9bYCPVGKqOCTYx7QM" TargetMode="External"/><Relationship Id="rId21" Type="http://schemas.openxmlformats.org/officeDocument/2006/relationships/hyperlink" Target="https://drive.google.com/open?id=16xtWC-xCj51s4kumCBZQ2EGgbHxGMPe9" TargetMode="External"/><Relationship Id="rId24" Type="http://schemas.openxmlformats.org/officeDocument/2006/relationships/hyperlink" Target="https://drive.google.com/open?id=1KYeIzRF7wIAHgGQPAI6r201lY0EnujrU" TargetMode="External"/><Relationship Id="rId23" Type="http://schemas.openxmlformats.org/officeDocument/2006/relationships/hyperlink" Target="https://drive.google.com/open?id=1alMt90ucWKIKFkZaDafbWZXnqr8P6Ogr" TargetMode="External"/><Relationship Id="rId409" Type="http://schemas.openxmlformats.org/officeDocument/2006/relationships/hyperlink" Target="https://drive.google.com/open?id=1P_fIzU6e67eqastJbvvIcXp-S1x4d6ap" TargetMode="External"/><Relationship Id="rId404" Type="http://schemas.openxmlformats.org/officeDocument/2006/relationships/hyperlink" Target="https://drive.google.com/open?id=1hsu-KDkOfmBJiLWDOSngu5GK1bWAvks4" TargetMode="External"/><Relationship Id="rId525" Type="http://schemas.openxmlformats.org/officeDocument/2006/relationships/hyperlink" Target="https://drive.google.com/open?id=1e11pa2JwjP07cEwloeUBjsznB9efbckm" TargetMode="External"/><Relationship Id="rId646" Type="http://schemas.openxmlformats.org/officeDocument/2006/relationships/hyperlink" Target="https://drive.google.com/open?id=1QmRRWfvll2j7gt1SCN1Qv-7x-8eEFcuB" TargetMode="External"/><Relationship Id="rId403" Type="http://schemas.openxmlformats.org/officeDocument/2006/relationships/hyperlink" Target="https://drive.google.com/open?id=1O4Ci3AxI15XlJeB9dUMzMwEvZ1U0Qto6" TargetMode="External"/><Relationship Id="rId524" Type="http://schemas.openxmlformats.org/officeDocument/2006/relationships/hyperlink" Target="https://drive.google.com/open?id=1TPYgaMsMjLv_i9xspGkd3wINVp_dSF63" TargetMode="External"/><Relationship Id="rId645" Type="http://schemas.openxmlformats.org/officeDocument/2006/relationships/hyperlink" Target="https://drive.google.com/open?id=1hVkV6r_Z72K8aJfn8R56RXdStBuaYc3n" TargetMode="External"/><Relationship Id="rId402" Type="http://schemas.openxmlformats.org/officeDocument/2006/relationships/hyperlink" Target="https://drive.google.com/open?id=1MwMyLFlW1hqGShh4jaOtlIiTN4N8eLbb" TargetMode="External"/><Relationship Id="rId523" Type="http://schemas.openxmlformats.org/officeDocument/2006/relationships/hyperlink" Target="https://drive.google.com/open?id=1rO81QhuvQ6MAjM4kGhI8paRlOa3BFZd3" TargetMode="External"/><Relationship Id="rId644" Type="http://schemas.openxmlformats.org/officeDocument/2006/relationships/hyperlink" Target="https://drive.google.com/open?id=18-9sdvZzcSQDdreKk2Am1mA6EB4O89ay" TargetMode="External"/><Relationship Id="rId401" Type="http://schemas.openxmlformats.org/officeDocument/2006/relationships/hyperlink" Target="https://drive.google.com/open?id=1ssa_I6qnA_Y-82109G60W4x0EfT6vqjX" TargetMode="External"/><Relationship Id="rId522" Type="http://schemas.openxmlformats.org/officeDocument/2006/relationships/hyperlink" Target="https://drive.google.com/open?id=1OLIMrxXucaWr7cphGIejBaYjW_Cxz1gt" TargetMode="External"/><Relationship Id="rId643" Type="http://schemas.openxmlformats.org/officeDocument/2006/relationships/hyperlink" Target="https://drive.google.com/open?id=17OqRvC3JSmX-t_vJCz3jCY9SsTAa75Zn" TargetMode="External"/><Relationship Id="rId408" Type="http://schemas.openxmlformats.org/officeDocument/2006/relationships/hyperlink" Target="https://drive.google.com/open?id=1zcty5JmfmqSvHPZDq8n5S37WAzw9E9mA" TargetMode="External"/><Relationship Id="rId529" Type="http://schemas.openxmlformats.org/officeDocument/2006/relationships/hyperlink" Target="https://drive.google.com/open?id=1swsszl9_2UMAaf8K0SWOkucMrkW4uDXR" TargetMode="External"/><Relationship Id="rId407" Type="http://schemas.openxmlformats.org/officeDocument/2006/relationships/hyperlink" Target="https://drive.google.com/open?id=1bbmcZ_MkJ5yqv9e8eRtu6Af3Qr7otaSo" TargetMode="External"/><Relationship Id="rId528" Type="http://schemas.openxmlformats.org/officeDocument/2006/relationships/hyperlink" Target="https://drive.google.com/open?id=1KHs-itSzPfFBE1jNIMDug9BQrBD1R86i" TargetMode="External"/><Relationship Id="rId649" Type="http://schemas.openxmlformats.org/officeDocument/2006/relationships/hyperlink" Target="https://drive.google.com/open?id=1E3LFlLIoxq8aF4rQEDkx1cLOMcl-cMCw" TargetMode="External"/><Relationship Id="rId406" Type="http://schemas.openxmlformats.org/officeDocument/2006/relationships/hyperlink" Target="https://drive.google.com/open?id=1MzVmN3lu6br54vAQCvZnKqvHqxVtLZnt" TargetMode="External"/><Relationship Id="rId527" Type="http://schemas.openxmlformats.org/officeDocument/2006/relationships/hyperlink" Target="https://drive.google.com/open?id=1BX4U4aiyym5oZRnA-Sgbe_UvoEXYyEeA" TargetMode="External"/><Relationship Id="rId648" Type="http://schemas.openxmlformats.org/officeDocument/2006/relationships/hyperlink" Target="https://drive.google.com/open?id=1fJZu_XEuXBLCq4-SAMZi3xrfCz7VKHx5" TargetMode="External"/><Relationship Id="rId405" Type="http://schemas.openxmlformats.org/officeDocument/2006/relationships/hyperlink" Target="https://drive.google.com/open?id=1cYdZnFgWk7H-awak7Y1p9aesWG2rOx3r" TargetMode="External"/><Relationship Id="rId526" Type="http://schemas.openxmlformats.org/officeDocument/2006/relationships/hyperlink" Target="https://drive.google.com/open?id=1Kw71URcRLaEtTWm9CFTMsPiMfjACn0is" TargetMode="External"/><Relationship Id="rId647" Type="http://schemas.openxmlformats.org/officeDocument/2006/relationships/hyperlink" Target="https://drive.google.com/open?id=1cZ8vbafCtaCx2d6LvSvMuAZN_adaGnfM" TargetMode="External"/><Relationship Id="rId26" Type="http://schemas.openxmlformats.org/officeDocument/2006/relationships/hyperlink" Target="https://drive.google.com/open?id=11_gPKkeZUgDzUdmav8EJbj9PndS19OKg" TargetMode="External"/><Relationship Id="rId25" Type="http://schemas.openxmlformats.org/officeDocument/2006/relationships/hyperlink" Target="https://drive.google.com/open?id=1JywtYy4GTMZc-VvZawGdvOCPw1ghk6dx" TargetMode="External"/><Relationship Id="rId28" Type="http://schemas.openxmlformats.org/officeDocument/2006/relationships/hyperlink" Target="https://drive.google.com/open?id=1JywtYy4GTMZc-VvZawGdvOCPw1ghk6dx" TargetMode="External"/><Relationship Id="rId27" Type="http://schemas.openxmlformats.org/officeDocument/2006/relationships/hyperlink" Target="https://drive.google.com/open?id=1XR5-RuAC9Yyo3JkVNaH_VmPuJoP8TOg1" TargetMode="External"/><Relationship Id="rId400" Type="http://schemas.openxmlformats.org/officeDocument/2006/relationships/hyperlink" Target="https://drive.google.com/open?id=1jrzdXyiaiKo_jdWUFnRgfUW7CNhURvxF" TargetMode="External"/><Relationship Id="rId521" Type="http://schemas.openxmlformats.org/officeDocument/2006/relationships/hyperlink" Target="https://drive.google.com/open?id=101na_VRXxhlIe1lpeLVEpFouDKuTNQh6" TargetMode="External"/><Relationship Id="rId642" Type="http://schemas.openxmlformats.org/officeDocument/2006/relationships/hyperlink" Target="https://drive.google.com/open?id=1SbY3rSju5hiHFvvcuYoFUE1wT7TgStXo" TargetMode="External"/><Relationship Id="rId29" Type="http://schemas.openxmlformats.org/officeDocument/2006/relationships/hyperlink" Target="https://drive.google.com/open?id=10s8SPbaA9d1zkZ0zSE3dgmOpl46h4Lk7" TargetMode="External"/><Relationship Id="rId520" Type="http://schemas.openxmlformats.org/officeDocument/2006/relationships/hyperlink" Target="https://drive.google.com/open?id=1nYBq-rkAWPQh8ELFkmn0xKzSDoGJ5pYX" TargetMode="External"/><Relationship Id="rId641" Type="http://schemas.openxmlformats.org/officeDocument/2006/relationships/hyperlink" Target="https://drive.google.com/open?id=1f6_T0EwGhVQjGlfBDl8JGdo_uhJlafuV" TargetMode="External"/><Relationship Id="rId640" Type="http://schemas.openxmlformats.org/officeDocument/2006/relationships/hyperlink" Target="https://drive.google.com/open?id=1F10Y0OqgEQrIxcTl0PonIasp2mZQuOyQ" TargetMode="External"/><Relationship Id="rId11" Type="http://schemas.openxmlformats.org/officeDocument/2006/relationships/hyperlink" Target="https://drive.google.com/open?id=1hIudV702Ie8hFjZLX2HgKppdChKAv88S" TargetMode="External"/><Relationship Id="rId10" Type="http://schemas.openxmlformats.org/officeDocument/2006/relationships/hyperlink" Target="https://drive.google.com/open?id=1Hh1NydrgEe02Ppo-40FZ-RAfo7NG9C2e" TargetMode="External"/><Relationship Id="rId13" Type="http://schemas.openxmlformats.org/officeDocument/2006/relationships/hyperlink" Target="https://drive.google.com/open?id=1BkB5Rd_9DnpWAlJU6BPsURP3kcr6EFnq" TargetMode="External"/><Relationship Id="rId12" Type="http://schemas.openxmlformats.org/officeDocument/2006/relationships/hyperlink" Target="https://drive.google.com/open?id=1-PEiU_VlCP_3o75W1wKmJ3XTihSpaLsw" TargetMode="External"/><Relationship Id="rId519" Type="http://schemas.openxmlformats.org/officeDocument/2006/relationships/hyperlink" Target="https://drive.google.com/open?id=11xaID65lM27ThJp_bZhGP1Fp-IsPeBYi" TargetMode="External"/><Relationship Id="rId514" Type="http://schemas.openxmlformats.org/officeDocument/2006/relationships/hyperlink" Target="https://drive.google.com/open?id=129yEcjTEZn5CWjQR_BqTJlZyv3VO67gz" TargetMode="External"/><Relationship Id="rId635" Type="http://schemas.openxmlformats.org/officeDocument/2006/relationships/hyperlink" Target="https://drive.google.com/open?id=1AqyUVxTC9JNCngtcfhqM-h-qgH812qdI" TargetMode="External"/><Relationship Id="rId513" Type="http://schemas.openxmlformats.org/officeDocument/2006/relationships/hyperlink" Target="https://drive.google.com/open?id=19YviT9eyLHIX3AbvokxXbXWm9IuUWkwk" TargetMode="External"/><Relationship Id="rId634" Type="http://schemas.openxmlformats.org/officeDocument/2006/relationships/hyperlink" Target="https://drive.google.com/open?id=1gTPap8U_SkFuqUonTz5T8q9b4-4uwj_c" TargetMode="External"/><Relationship Id="rId512" Type="http://schemas.openxmlformats.org/officeDocument/2006/relationships/hyperlink" Target="https://drive.google.com/open?id=1XmPMzA8aRb1BDdXQPbD1BODSK3Uegsie" TargetMode="External"/><Relationship Id="rId633" Type="http://schemas.openxmlformats.org/officeDocument/2006/relationships/hyperlink" Target="https://drive.google.com/open?id=1JsdJRuRTihV1u4LXQZ2gIZMqsMZqGtkd" TargetMode="External"/><Relationship Id="rId511" Type="http://schemas.openxmlformats.org/officeDocument/2006/relationships/hyperlink" Target="https://drive.google.com/open?id=1pbCSDyHMGTXZAGJ48tH5Vo9VRMm1WQi-" TargetMode="External"/><Relationship Id="rId632" Type="http://schemas.openxmlformats.org/officeDocument/2006/relationships/hyperlink" Target="https://drive.google.com/open?id=1o_6uCBi7R5BX0nC62sG4Ru8YIjVHeRih" TargetMode="External"/><Relationship Id="rId518" Type="http://schemas.openxmlformats.org/officeDocument/2006/relationships/hyperlink" Target="https://drive.google.com/open?id=16DbWmiNQ1y2AZxcbQlphH49LVdUUzo2I" TargetMode="External"/><Relationship Id="rId639" Type="http://schemas.openxmlformats.org/officeDocument/2006/relationships/hyperlink" Target="https://drive.google.com/open?id=1d-6A1ckiMfJhnuOcQi3ybh3k8-jbJfqb" TargetMode="External"/><Relationship Id="rId517" Type="http://schemas.openxmlformats.org/officeDocument/2006/relationships/hyperlink" Target="https://drive.google.com/open?id=1g_ILwRzWavbfIS5H_mZSEYEwGrxrKTzs" TargetMode="External"/><Relationship Id="rId638" Type="http://schemas.openxmlformats.org/officeDocument/2006/relationships/hyperlink" Target="https://drive.google.com/open?id=1WnepmvcfvQZhr_yXGJd4OmzcyPMTVepq" TargetMode="External"/><Relationship Id="rId516" Type="http://schemas.openxmlformats.org/officeDocument/2006/relationships/hyperlink" Target="https://drive.google.com/open?id=1JzhHqs3uZAq8DkfUv1_J8PEQXil8rZoY" TargetMode="External"/><Relationship Id="rId637" Type="http://schemas.openxmlformats.org/officeDocument/2006/relationships/hyperlink" Target="https://drive.google.com/open?id=1ruwcW5aEAHMGvH_h5wXuTpCYEwiBqi84" TargetMode="External"/><Relationship Id="rId515" Type="http://schemas.openxmlformats.org/officeDocument/2006/relationships/hyperlink" Target="https://drive.google.com/open?id=1YDd4vroNFxll7XytnhbIzq-nQrZALBnY" TargetMode="External"/><Relationship Id="rId636" Type="http://schemas.openxmlformats.org/officeDocument/2006/relationships/hyperlink" Target="https://drive.google.com/open?id=1DoLVxtvP7aBZitxez1Po7s9xm93g7hoZ" TargetMode="External"/><Relationship Id="rId15" Type="http://schemas.openxmlformats.org/officeDocument/2006/relationships/hyperlink" Target="https://drive.google.com/open?id=1Aq90mFzC_fG1KxAoUIlUYhQyFdNabSYV" TargetMode="External"/><Relationship Id="rId14" Type="http://schemas.openxmlformats.org/officeDocument/2006/relationships/hyperlink" Target="https://drive.google.com/open?id=1hIudV702Ie8hFjZLX2HgKppdChKAv88S" TargetMode="External"/><Relationship Id="rId17" Type="http://schemas.openxmlformats.org/officeDocument/2006/relationships/hyperlink" Target="https://drive.google.com/open?id=190cwh7mnC5hyBOw0Xi2fVV9lgW6UrUzT" TargetMode="External"/><Relationship Id="rId16" Type="http://schemas.openxmlformats.org/officeDocument/2006/relationships/hyperlink" Target="https://drive.google.com/open?id=1gBHlLT5jS8IZkSKxOE1SnJOIXwTyjtd0" TargetMode="External"/><Relationship Id="rId19" Type="http://schemas.openxmlformats.org/officeDocument/2006/relationships/hyperlink" Target="https://drive.google.com/open?id=1Aq90mFzC_fG1KxAoUIlUYhQyFdNabSYV" TargetMode="External"/><Relationship Id="rId510" Type="http://schemas.openxmlformats.org/officeDocument/2006/relationships/hyperlink" Target="https://drive.google.com/open?id=1J7JkMLSwl0Txu6RKhGgHiF-EQc6gc0k1" TargetMode="External"/><Relationship Id="rId631" Type="http://schemas.openxmlformats.org/officeDocument/2006/relationships/hyperlink" Target="https://drive.google.com/open?id=1ys55oCGv7lHuNcTqfX9Y0uCLqEYhQBSA" TargetMode="External"/><Relationship Id="rId18" Type="http://schemas.openxmlformats.org/officeDocument/2006/relationships/hyperlink" Target="https://drive.google.com/open?id=1Aq90mFzC_fG1KxAoUIlUYhQyFdNabSYV" TargetMode="External"/><Relationship Id="rId630" Type="http://schemas.openxmlformats.org/officeDocument/2006/relationships/hyperlink" Target="https://drive.google.com/open?id=19jcVxAO7RZfwHxBT8XLTU0ZK-SNVO47U" TargetMode="External"/><Relationship Id="rId84" Type="http://schemas.openxmlformats.org/officeDocument/2006/relationships/hyperlink" Target="https://drive.google.com/open?id=1SvfCSekyVC1ASppxr0Q5tGiM1RQRJMRa" TargetMode="External"/><Relationship Id="rId83" Type="http://schemas.openxmlformats.org/officeDocument/2006/relationships/hyperlink" Target="https://drive.google.com/open?id=1NjXuJIRmGGDgAwrv9QN_9nlIhCrgTy73" TargetMode="External"/><Relationship Id="rId86" Type="http://schemas.openxmlformats.org/officeDocument/2006/relationships/hyperlink" Target="https://drive.google.com/open?id=14DzHwH1YJUzJbi8BmkcH_ZWP9NH3WoLv" TargetMode="External"/><Relationship Id="rId85" Type="http://schemas.openxmlformats.org/officeDocument/2006/relationships/hyperlink" Target="https://drive.google.com/open?id=19SjC2cLuAAGDbYxcHphRN-36IKfh4mDX" TargetMode="External"/><Relationship Id="rId88" Type="http://schemas.openxmlformats.org/officeDocument/2006/relationships/hyperlink" Target="https://drive.google.com/open?id=18_KwGLJF1D5rx_hdEtoZGCPq0ZBK2RK_" TargetMode="External"/><Relationship Id="rId87" Type="http://schemas.openxmlformats.org/officeDocument/2006/relationships/hyperlink" Target="https://drive.google.com/open?id=1vJrVYLqQVH8pDwK6pVUFaF0RYZcQiPsz" TargetMode="External"/><Relationship Id="rId89" Type="http://schemas.openxmlformats.org/officeDocument/2006/relationships/hyperlink" Target="https://drive.google.com/open?id=1hnNT83-vS3X5mYX2_glqcRv3UPrj_k4k" TargetMode="External"/><Relationship Id="rId80" Type="http://schemas.openxmlformats.org/officeDocument/2006/relationships/hyperlink" Target="https://drive.google.com/open?id=1NjXuJIRmGGDgAwrv9QN_9nlIhCrgTy73" TargetMode="External"/><Relationship Id="rId82" Type="http://schemas.openxmlformats.org/officeDocument/2006/relationships/hyperlink" Target="https://drive.google.com/open?id=1THP6z5koeIapwH7Lv_QsUft6rmog5_6a" TargetMode="External"/><Relationship Id="rId81" Type="http://schemas.openxmlformats.org/officeDocument/2006/relationships/hyperlink" Target="https://drive.google.com/open?id=1TmiTCgA_38oexeZcL44TscpLDV4IFlhJ" TargetMode="External"/><Relationship Id="rId73" Type="http://schemas.openxmlformats.org/officeDocument/2006/relationships/hyperlink" Target="https://drive.google.com/open?id=1-Ni_oUSIu3MpfhBqC_O21p4q2ebfKubq" TargetMode="External"/><Relationship Id="rId72" Type="http://schemas.openxmlformats.org/officeDocument/2006/relationships/hyperlink" Target="https://drive.google.com/open?id=105HEIx1hPFgcLiQJAFR9YIgrgr_R4oaf" TargetMode="External"/><Relationship Id="rId75" Type="http://schemas.openxmlformats.org/officeDocument/2006/relationships/hyperlink" Target="https://drive.google.com/open?id=1EZm8jP9xch-PswfsZSZ28b9g5JFtgMTg" TargetMode="External"/><Relationship Id="rId74" Type="http://schemas.openxmlformats.org/officeDocument/2006/relationships/hyperlink" Target="https://drive.google.com/open?id=1FzRRfvMb5PcoXj4Ek2UD5TmAeBhJyhz6" TargetMode="External"/><Relationship Id="rId77" Type="http://schemas.openxmlformats.org/officeDocument/2006/relationships/hyperlink" Target="https://drive.google.com/open?id=159zIFfy8apo2UMHxNyXfv5vu0i0LxRA-" TargetMode="External"/><Relationship Id="rId76" Type="http://schemas.openxmlformats.org/officeDocument/2006/relationships/hyperlink" Target="https://drive.google.com/open?id=13AeRRJXTUIydLcAkuuQDfRfNxwqq0-7w" TargetMode="External"/><Relationship Id="rId79" Type="http://schemas.openxmlformats.org/officeDocument/2006/relationships/hyperlink" Target="https://drive.google.com/open?id=17MOXW26m7TFMab3PSokmwdbxM6bo6ZGc" TargetMode="External"/><Relationship Id="rId78" Type="http://schemas.openxmlformats.org/officeDocument/2006/relationships/hyperlink" Target="https://drive.google.com/open?id=1h9fs66eC5HhhnTq8m-gANLtq4C5EXqbk" TargetMode="External"/><Relationship Id="rId71" Type="http://schemas.openxmlformats.org/officeDocument/2006/relationships/hyperlink" Target="https://drive.google.com/open?id=1u_wguQ4SyD-u-tq-vSapl331txum1910" TargetMode="External"/><Relationship Id="rId70" Type="http://schemas.openxmlformats.org/officeDocument/2006/relationships/hyperlink" Target="https://drive.google.com/open?id=1-Ni_oUSIu3MpfhBqC_O21p4q2ebfKubq" TargetMode="External"/><Relationship Id="rId62" Type="http://schemas.openxmlformats.org/officeDocument/2006/relationships/hyperlink" Target="https://drive.google.com/open?id=1BDOMJLyKHpzvulbOSoziHqji5g2Vctx4" TargetMode="External"/><Relationship Id="rId61" Type="http://schemas.openxmlformats.org/officeDocument/2006/relationships/hyperlink" Target="https://drive.google.com/open?id=1aGS8jufYUiR0nQSND9-xo0yQ3TZzB7ag" TargetMode="External"/><Relationship Id="rId64" Type="http://schemas.openxmlformats.org/officeDocument/2006/relationships/hyperlink" Target="https://drive.google.com/open?id=1enSduR8LwOS07dnAOk_k6_Y3RLjhCr-M" TargetMode="External"/><Relationship Id="rId63" Type="http://schemas.openxmlformats.org/officeDocument/2006/relationships/hyperlink" Target="https://drive.google.com/open?id=15PUqMUY-m3WE9mNDWWeHwS2QLSeaVp2s" TargetMode="External"/><Relationship Id="rId66" Type="http://schemas.openxmlformats.org/officeDocument/2006/relationships/hyperlink" Target="https://drive.google.com/open?id=1ai5yd-JLiaHxwsIumK18GvRuTnewNlYd" TargetMode="External"/><Relationship Id="rId65" Type="http://schemas.openxmlformats.org/officeDocument/2006/relationships/hyperlink" Target="https://drive.google.com/open?id=1BDOMJLyKHpzvulbOSoziHqji5g2Vctx4" TargetMode="External"/><Relationship Id="rId68" Type="http://schemas.openxmlformats.org/officeDocument/2006/relationships/hyperlink" Target="https://drive.google.com/open?id=1zvvfWPKFID0QSfawhdCzQyeomGmmPkHi" TargetMode="External"/><Relationship Id="rId67" Type="http://schemas.openxmlformats.org/officeDocument/2006/relationships/hyperlink" Target="https://drive.google.com/open?id=1T8XmYNx4UvIuD2oTMfSJRL1dp0k_ogcY" TargetMode="External"/><Relationship Id="rId609" Type="http://schemas.openxmlformats.org/officeDocument/2006/relationships/hyperlink" Target="https://drive.google.com/open?id=15HbMbgBlkduBTGoNNTzBvlEMbjh_wDwC" TargetMode="External"/><Relationship Id="rId608" Type="http://schemas.openxmlformats.org/officeDocument/2006/relationships/hyperlink" Target="https://drive.google.com/open?id=1x4To9r3IXvIGb12t593P3OF-ubb2TJeU" TargetMode="External"/><Relationship Id="rId607" Type="http://schemas.openxmlformats.org/officeDocument/2006/relationships/hyperlink" Target="https://drive.google.com/open?id=1OyCoMBqlsbKYcBFAV6AFLGMjEwBZvBe8" TargetMode="External"/><Relationship Id="rId60" Type="http://schemas.openxmlformats.org/officeDocument/2006/relationships/hyperlink" Target="https://drive.google.com/open?id=1pYpDOKosIqO8B1oXPdQ7Sa3NPTGvDYJY" TargetMode="External"/><Relationship Id="rId602" Type="http://schemas.openxmlformats.org/officeDocument/2006/relationships/hyperlink" Target="https://drive.google.com/open?id=1I2tbKapVkmEHdH9MvNE9u_COHCo9zeuL" TargetMode="External"/><Relationship Id="rId601" Type="http://schemas.openxmlformats.org/officeDocument/2006/relationships/hyperlink" Target="https://drive.google.com/open?id=1Qjcw27qbIm1HdVSiuRmXm0yU-DSiEWEe" TargetMode="External"/><Relationship Id="rId600" Type="http://schemas.openxmlformats.org/officeDocument/2006/relationships/hyperlink" Target="https://drive.google.com/open?id=1iCy0lmJQydkxug26W0c42xAW_xO_KcnN" TargetMode="External"/><Relationship Id="rId606" Type="http://schemas.openxmlformats.org/officeDocument/2006/relationships/hyperlink" Target="https://drive.google.com/open?id=1MCbLuoFY6pi2gr8nC1ga-cMZRUk7YZSi" TargetMode="External"/><Relationship Id="rId605" Type="http://schemas.openxmlformats.org/officeDocument/2006/relationships/hyperlink" Target="https://drive.google.com/open?id=1hXcTQGUta7zF5GuwndgQ0mATS6vk9ctd" TargetMode="External"/><Relationship Id="rId604" Type="http://schemas.openxmlformats.org/officeDocument/2006/relationships/hyperlink" Target="https://drive.google.com/open?id=1WZva3fCl402vFq1vMt-s5wfAyQehdMZz" TargetMode="External"/><Relationship Id="rId603" Type="http://schemas.openxmlformats.org/officeDocument/2006/relationships/hyperlink" Target="https://drive.google.com/open?id=1RIljxorLPKrUPnXd-eCqodO43Ayjq63c" TargetMode="External"/><Relationship Id="rId69" Type="http://schemas.openxmlformats.org/officeDocument/2006/relationships/hyperlink" Target="https://drive.google.com/open?id=1ai5yd-JLiaHxwsIumK18GvRuTnewNlYd" TargetMode="External"/><Relationship Id="rId51" Type="http://schemas.openxmlformats.org/officeDocument/2006/relationships/hyperlink" Target="http://notes.xxx/" TargetMode="External"/><Relationship Id="rId50" Type="http://schemas.openxmlformats.org/officeDocument/2006/relationships/hyperlink" Target="https://drive.google.com/open?id=1C0FnpftvgT2Xfk1vNRvAiYEBx-Kzf8-Y" TargetMode="External"/><Relationship Id="rId53" Type="http://schemas.openxmlformats.org/officeDocument/2006/relationships/hyperlink" Target="https://drive.google.com/open?id=1fFzu4y5uZj_3e9HZFbNOw62HNj-D44JS" TargetMode="External"/><Relationship Id="rId52" Type="http://schemas.openxmlformats.org/officeDocument/2006/relationships/hyperlink" Target="https://drive.google.com/open?id=1MNx5bYE9zFchxojkzxX1xZPGkTeexM-p" TargetMode="External"/><Relationship Id="rId55" Type="http://schemas.openxmlformats.org/officeDocument/2006/relationships/hyperlink" Target="https://drive.google.com/open?id=1wm_RHZoyVJPLQKqYcmMWcEtK7JNA5wmO" TargetMode="External"/><Relationship Id="rId54" Type="http://schemas.openxmlformats.org/officeDocument/2006/relationships/hyperlink" Target="https://drive.google.com/open?id=1sAo98izXjerlPWCRQlNrUJ_WGIn69mjP" TargetMode="External"/><Relationship Id="rId57" Type="http://schemas.openxmlformats.org/officeDocument/2006/relationships/hyperlink" Target="https://drive.google.com/open?id=1HWnfzFJep1SLguOrM-LHBX4ktK58rtNs" TargetMode="External"/><Relationship Id="rId56" Type="http://schemas.openxmlformats.org/officeDocument/2006/relationships/hyperlink" Target="https://drive.google.com/open?id=1oSHl55CP8873WU4PYt_mYAkf7JNBXXkE" TargetMode="External"/><Relationship Id="rId59" Type="http://schemas.openxmlformats.org/officeDocument/2006/relationships/hyperlink" Target="https://drive.google.com/open?id=13mTJfhb_LSVwRbjXcbEZFar_cLxgSfmQ" TargetMode="External"/><Relationship Id="rId58" Type="http://schemas.openxmlformats.org/officeDocument/2006/relationships/hyperlink" Target="https://drive.google.com/open?id=1wm_RHZoyVJPLQKqYcmMWcEtK7JNA5wmO" TargetMode="External"/><Relationship Id="rId590" Type="http://schemas.openxmlformats.org/officeDocument/2006/relationships/hyperlink" Target="https://drive.google.com/open?id=1D1jkv_5FAvPJVqhlba8pg0gIkE4RbsG2" TargetMode="External"/><Relationship Id="rId107" Type="http://schemas.openxmlformats.org/officeDocument/2006/relationships/hyperlink" Target="https://drive.google.com/open?id=1T8Ow0IrfDA6js0Y-ut6D-_gi1x6Xn5Ux" TargetMode="External"/><Relationship Id="rId228" Type="http://schemas.openxmlformats.org/officeDocument/2006/relationships/hyperlink" Target="https://drive.google.com/open?id=1ze4CErSFkdadjmqXc-MRkKp2UgCfz5_r" TargetMode="External"/><Relationship Id="rId349" Type="http://schemas.openxmlformats.org/officeDocument/2006/relationships/hyperlink" Target="https://drive.google.com/open?id=1pAZ0IyS6Y4lFih2WNoWJvWA1V8xTTeS9" TargetMode="External"/><Relationship Id="rId106" Type="http://schemas.openxmlformats.org/officeDocument/2006/relationships/hyperlink" Target="https://drive.google.com/open?id=1FWCQdrIsMRsasg0SIDgUyb7ihfyejr-K" TargetMode="External"/><Relationship Id="rId227" Type="http://schemas.openxmlformats.org/officeDocument/2006/relationships/hyperlink" Target="https://drive.google.com/open?id=1DU3ykcpZIum7PrE7VdsT0NU30oogz2l8" TargetMode="External"/><Relationship Id="rId348" Type="http://schemas.openxmlformats.org/officeDocument/2006/relationships/hyperlink" Target="https://drive.google.com/open?id=1msqpC4hEDMRAisKbTM_qitVRzrSGnJiG" TargetMode="External"/><Relationship Id="rId469" Type="http://schemas.openxmlformats.org/officeDocument/2006/relationships/hyperlink" Target="https://drive.google.com/open?id=1KHO_Jauzypk3sJg7vmLlzgNe6e0JI3-L" TargetMode="External"/><Relationship Id="rId105" Type="http://schemas.openxmlformats.org/officeDocument/2006/relationships/hyperlink" Target="https://drive.google.com/open?id=1nsYYKvBStRlrgIHd4wZUoWR0PLAoSVUm" TargetMode="External"/><Relationship Id="rId226" Type="http://schemas.openxmlformats.org/officeDocument/2006/relationships/hyperlink" Target="https://drive.google.com/open?id=13WN1mV9sMU9h8vf3URL86xIplvX5JaZs" TargetMode="External"/><Relationship Id="rId347" Type="http://schemas.openxmlformats.org/officeDocument/2006/relationships/hyperlink" Target="https://drive.google.com/open?id=1CigtGXPiS8IufYDXynEAX1B-yYDB9ejm" TargetMode="External"/><Relationship Id="rId468" Type="http://schemas.openxmlformats.org/officeDocument/2006/relationships/hyperlink" Target="https://drive.google.com/open?id=1IBaELiTRKJ75b0jU4RuQu7_-ntQI64d4" TargetMode="External"/><Relationship Id="rId589" Type="http://schemas.openxmlformats.org/officeDocument/2006/relationships/hyperlink" Target="https://drive.google.com/open?id=1dzUnmijr46kmD29RO8t4BiIpXcuom1Sm" TargetMode="External"/><Relationship Id="rId104" Type="http://schemas.openxmlformats.org/officeDocument/2006/relationships/hyperlink" Target="https://drive.google.com/open?id=1KpSOiGUkgsbPcKN9-TCC4_5ZWHA41EzM" TargetMode="External"/><Relationship Id="rId225" Type="http://schemas.openxmlformats.org/officeDocument/2006/relationships/hyperlink" Target="https://drive.google.com/open?id=1eQ3r0uyBQLjT-ukAKwjrSBZzMS4-eYYt" TargetMode="External"/><Relationship Id="rId346" Type="http://schemas.openxmlformats.org/officeDocument/2006/relationships/hyperlink" Target="https://drive.google.com/open?id=1PtpYP-6KAzUI3oapqVk72IM-OifqetEE" TargetMode="External"/><Relationship Id="rId467" Type="http://schemas.openxmlformats.org/officeDocument/2006/relationships/hyperlink" Target="https://drive.google.com/open?id=13yUYhFX3h4DgKC_EUuNrb-_v_M1D6bRZ" TargetMode="External"/><Relationship Id="rId588" Type="http://schemas.openxmlformats.org/officeDocument/2006/relationships/hyperlink" Target="https://drive.google.com/open?id=1m64IREWn4_49NdXMAInw7yXA9rhSKZbB" TargetMode="External"/><Relationship Id="rId109" Type="http://schemas.openxmlformats.org/officeDocument/2006/relationships/hyperlink" Target="https://drive.google.com/open?id=1VZj3GVEWD26RYhC4x9G1nA9lygTV5Plk" TargetMode="External"/><Relationship Id="rId108" Type="http://schemas.openxmlformats.org/officeDocument/2006/relationships/hyperlink" Target="https://drive.google.com/open?id=17Rxk6glmI9kyhuO2vNd44I_TRHoCOqHJ" TargetMode="External"/><Relationship Id="rId229" Type="http://schemas.openxmlformats.org/officeDocument/2006/relationships/hyperlink" Target="https://drive.google.com/open?id=1_DXWl9JtACv7sPNAYW3pw5qgfBtwH49X" TargetMode="External"/><Relationship Id="rId220" Type="http://schemas.openxmlformats.org/officeDocument/2006/relationships/hyperlink" Target="https://drive.google.com/open?id=14DRQ6azHIW8-d2UVqP3xpFQ1-XVm1bY1" TargetMode="External"/><Relationship Id="rId341" Type="http://schemas.openxmlformats.org/officeDocument/2006/relationships/hyperlink" Target="https://drive.google.com/open?id=1jUoOu3Kj7y5S3w6rLMbefFqYLbvX9oKo" TargetMode="External"/><Relationship Id="rId462" Type="http://schemas.openxmlformats.org/officeDocument/2006/relationships/hyperlink" Target="https://drive.google.com/open?id=1g2M22ONw4z3Y0y8dLKFWDv63rqrsdHJH" TargetMode="External"/><Relationship Id="rId583" Type="http://schemas.openxmlformats.org/officeDocument/2006/relationships/hyperlink" Target="https://drive.google.com/open?id=18MzsN_AENXf1uT5BAfQF6JYywUwcF7RQ" TargetMode="External"/><Relationship Id="rId340" Type="http://schemas.openxmlformats.org/officeDocument/2006/relationships/hyperlink" Target="https://drive.google.com/open?id=1sXuF-HQTtPDIcZCDCKaXJbvfzxymdyTD" TargetMode="External"/><Relationship Id="rId461" Type="http://schemas.openxmlformats.org/officeDocument/2006/relationships/hyperlink" Target="https://drive.google.com/open?id=1Zjp_3AvwExYw7sf0O-zezcgPzMkv3gSv" TargetMode="External"/><Relationship Id="rId582" Type="http://schemas.openxmlformats.org/officeDocument/2006/relationships/hyperlink" Target="https://drive.google.com/open?id=1J9bSRHPXDI1DLBF3by2sassYFBTnNaTg" TargetMode="External"/><Relationship Id="rId460" Type="http://schemas.openxmlformats.org/officeDocument/2006/relationships/hyperlink" Target="https://drive.google.com/open?id=1ShIpqY71WryVtEiebtYSvJOP9dAUyjfy" TargetMode="External"/><Relationship Id="rId581" Type="http://schemas.openxmlformats.org/officeDocument/2006/relationships/hyperlink" Target="https://drive.google.com/open?id=1YuEFwVWTxqgDW3SlHP6NNnHeBy1BLJlj" TargetMode="External"/><Relationship Id="rId580" Type="http://schemas.openxmlformats.org/officeDocument/2006/relationships/hyperlink" Target="https://drive.google.com/open?id=1EgnhXvsQywAAt7tP_C1E4OOfYT46V88L" TargetMode="External"/><Relationship Id="rId103" Type="http://schemas.openxmlformats.org/officeDocument/2006/relationships/hyperlink" Target="https://drive.google.com/open?id=1Z6f3CsI9ojTzvhxs3VKzIs_O-0qFAvy6" TargetMode="External"/><Relationship Id="rId224" Type="http://schemas.openxmlformats.org/officeDocument/2006/relationships/hyperlink" Target="https://drive.google.com/open?id=1YxD7fA3ZD7uDFWZ8Tdi3CeC0M7IJ9PvM" TargetMode="External"/><Relationship Id="rId345" Type="http://schemas.openxmlformats.org/officeDocument/2006/relationships/hyperlink" Target="https://drive.google.com/open?id=1a1H4LZNquP0O4GuvjiIu1aYkCAvt2U_t" TargetMode="External"/><Relationship Id="rId466" Type="http://schemas.openxmlformats.org/officeDocument/2006/relationships/hyperlink" Target="https://drive.google.com/open?id=1Wrv48klLJkgYh1dSInAWjK7szDzTFeM0" TargetMode="External"/><Relationship Id="rId587" Type="http://schemas.openxmlformats.org/officeDocument/2006/relationships/hyperlink" Target="https://drive.google.com/open?id=11aD1_SIwbax20IsahEIealpfaxNY3uuz" TargetMode="External"/><Relationship Id="rId102" Type="http://schemas.openxmlformats.org/officeDocument/2006/relationships/hyperlink" Target="https://drive.google.com/open?id=1xUyKSxG1xfHropk2WAvWq6L5jxdho_aI" TargetMode="External"/><Relationship Id="rId223" Type="http://schemas.openxmlformats.org/officeDocument/2006/relationships/hyperlink" Target="https://drive.google.com/open?id=1qEkUPQd-kg1-2qSOHY7lRumMHcAbWPSe" TargetMode="External"/><Relationship Id="rId344" Type="http://schemas.openxmlformats.org/officeDocument/2006/relationships/hyperlink" Target="https://drive.google.com/open?id=1Q-1z8BCHdPO6RScCF0KIAc6DVBzUKf3H" TargetMode="External"/><Relationship Id="rId465" Type="http://schemas.openxmlformats.org/officeDocument/2006/relationships/hyperlink" Target="https://drive.google.com/open?id=1IZDPE8dOLz0SC2rDKPVq7wH4tFQioByV" TargetMode="External"/><Relationship Id="rId586" Type="http://schemas.openxmlformats.org/officeDocument/2006/relationships/hyperlink" Target="https://drive.google.com/open?id=13ZGEI9l7KaIFto4bvA-OCa4_Xdz9cjGc" TargetMode="External"/><Relationship Id="rId101" Type="http://schemas.openxmlformats.org/officeDocument/2006/relationships/hyperlink" Target="https://drive.google.com/open?id=1MDf8wK2etokQpu8mVgpnbovDPtFUvyqM" TargetMode="External"/><Relationship Id="rId222" Type="http://schemas.openxmlformats.org/officeDocument/2006/relationships/hyperlink" Target="https://drive.google.com/open?id=1EBRwgGPyW73FNHhS1pwCJj0z0hkBDJ3y" TargetMode="External"/><Relationship Id="rId343" Type="http://schemas.openxmlformats.org/officeDocument/2006/relationships/hyperlink" Target="https://drive.google.com/open?id=1-jYNTQ_Eb_DgLqisEudubI0zsRhwKccJ" TargetMode="External"/><Relationship Id="rId464" Type="http://schemas.openxmlformats.org/officeDocument/2006/relationships/hyperlink" Target="https://drive.google.com/open?id=105jzP8j3ToeuHUwywnv4l1acvlQjhyL-" TargetMode="External"/><Relationship Id="rId585" Type="http://schemas.openxmlformats.org/officeDocument/2006/relationships/hyperlink" Target="https://drive.google.com/open?id=1qnDF8YS4ZE_ARRpOA6WQu8gKF35H_eP3" TargetMode="External"/><Relationship Id="rId100" Type="http://schemas.openxmlformats.org/officeDocument/2006/relationships/hyperlink" Target="https://drive.google.com/open?id=1AiOTY5YoLvL8gZM0yGYDTrFLPlayOSwi" TargetMode="External"/><Relationship Id="rId221" Type="http://schemas.openxmlformats.org/officeDocument/2006/relationships/hyperlink" Target="https://drive.google.com/open?id=1phdEgyXNKibUTrIqObpivVDsMp4oGqhO" TargetMode="External"/><Relationship Id="rId342" Type="http://schemas.openxmlformats.org/officeDocument/2006/relationships/hyperlink" Target="https://drive.google.com/open?id=1Zhq8nkTC8IUgPKDsrlQ1obxONmlSTuWs" TargetMode="External"/><Relationship Id="rId463" Type="http://schemas.openxmlformats.org/officeDocument/2006/relationships/hyperlink" Target="https://drive.google.com/open?id=1X3iRSUm2tk8gTCb6J6nR_rlRKzFicbJo" TargetMode="External"/><Relationship Id="rId584" Type="http://schemas.openxmlformats.org/officeDocument/2006/relationships/hyperlink" Target="https://drive.google.com/open?id=1u0yeyyLVRZg9GQsv61z20DYB8MsIs_as" TargetMode="External"/><Relationship Id="rId217" Type="http://schemas.openxmlformats.org/officeDocument/2006/relationships/hyperlink" Target="https://drive.google.com/open?id=1f0v1vkhBCZm5TOxWJue3mEbRvnFd7rfF" TargetMode="External"/><Relationship Id="rId338" Type="http://schemas.openxmlformats.org/officeDocument/2006/relationships/hyperlink" Target="https://drive.google.com/open?id=1GDj51sf-3CKqNODKvV4esSlH4Ww21Dvq" TargetMode="External"/><Relationship Id="rId459" Type="http://schemas.openxmlformats.org/officeDocument/2006/relationships/hyperlink" Target="https://drive.google.com/open?id=1tBcJP9vTgIDrBm_f0xBSUPtZgy4aVZiS" TargetMode="External"/><Relationship Id="rId216" Type="http://schemas.openxmlformats.org/officeDocument/2006/relationships/hyperlink" Target="https://drive.google.com/open?id=1fFDUmR_tUAUacsbKAJcntpO0ZjVSohcG" TargetMode="External"/><Relationship Id="rId337" Type="http://schemas.openxmlformats.org/officeDocument/2006/relationships/hyperlink" Target="https://drive.google.com/open?id=1mABUk8_BAtUKbjqwfDoYXgM_rofC3lfi" TargetMode="External"/><Relationship Id="rId458" Type="http://schemas.openxmlformats.org/officeDocument/2006/relationships/hyperlink" Target="https://drive.google.com/open?id=1GN1cvG1jcy9TVSdZ8fmzGSpJTkhUHj3T" TargetMode="External"/><Relationship Id="rId579" Type="http://schemas.openxmlformats.org/officeDocument/2006/relationships/hyperlink" Target="https://drive.google.com/open?id=1q-_Yj39MQxarN0RQubfGgPPw51JqnVDX" TargetMode="External"/><Relationship Id="rId215" Type="http://schemas.openxmlformats.org/officeDocument/2006/relationships/hyperlink" Target="https://drive.google.com/open?id=1XLENScc7kIapxrRthvxfjzAbATfHGIy-" TargetMode="External"/><Relationship Id="rId336" Type="http://schemas.openxmlformats.org/officeDocument/2006/relationships/hyperlink" Target="https://drive.google.com/open?id=1Ygv-R2m2aXTXa_oJmuB81fVK4st2mKtM" TargetMode="External"/><Relationship Id="rId457" Type="http://schemas.openxmlformats.org/officeDocument/2006/relationships/hyperlink" Target="https://drive.google.com/open?id=1NljitvCi7cgmoCgJf0ItuyFq6d0VDSGj" TargetMode="External"/><Relationship Id="rId578" Type="http://schemas.openxmlformats.org/officeDocument/2006/relationships/hyperlink" Target="https://drive.google.com/open?id=1LktqDI3mup_lsQKG5rDD13B2T0E7co6W" TargetMode="External"/><Relationship Id="rId214" Type="http://schemas.openxmlformats.org/officeDocument/2006/relationships/hyperlink" Target="https://drive.google.com/open?id=1VK07fWhSJ5ffKJT8NRMpL5qJiLrA_pzJ" TargetMode="External"/><Relationship Id="rId335" Type="http://schemas.openxmlformats.org/officeDocument/2006/relationships/hyperlink" Target="https://drive.google.com/open?id=1EH_LagOCWjGyY3DX-VLwbxaxBX5V_f1_" TargetMode="External"/><Relationship Id="rId456" Type="http://schemas.openxmlformats.org/officeDocument/2006/relationships/hyperlink" Target="https://drive.google.com/open?id=1oz71h22BgBzNSqvtRkcRmK3FQSGswqTL" TargetMode="External"/><Relationship Id="rId577" Type="http://schemas.openxmlformats.org/officeDocument/2006/relationships/hyperlink" Target="https://drive.google.com/open?id=1-DCPTMxkcrelYfjmhwNSsvCh3758rdsS" TargetMode="External"/><Relationship Id="rId698" Type="http://schemas.openxmlformats.org/officeDocument/2006/relationships/vmlDrawing" Target="../drawings/vmlDrawing3.vml"/><Relationship Id="rId219" Type="http://schemas.openxmlformats.org/officeDocument/2006/relationships/hyperlink" Target="https://drive.google.com/open?id=17y4XzHaVolbdKtFmRzurayxBVR1VgVyL" TargetMode="External"/><Relationship Id="rId218" Type="http://schemas.openxmlformats.org/officeDocument/2006/relationships/hyperlink" Target="https://drive.google.com/open?id=1WF1DZBiPIvAqrl6ugQhxpGOLsy0C8bJ4" TargetMode="External"/><Relationship Id="rId339" Type="http://schemas.openxmlformats.org/officeDocument/2006/relationships/hyperlink" Target="https://drive.google.com/open?id=1fF0p9wBrOb2zokVQwqdoRVhzkG8X6eWG" TargetMode="External"/><Relationship Id="rId330" Type="http://schemas.openxmlformats.org/officeDocument/2006/relationships/hyperlink" Target="https://drive.google.com/open?id=1SXfxMlU2wTZyuf7kVAL6uOfBNaoeLUFu" TargetMode="External"/><Relationship Id="rId451" Type="http://schemas.openxmlformats.org/officeDocument/2006/relationships/hyperlink" Target="https://drive.google.com/open?id=1go7htY0_qucRtggr2jzFF4JARSSseDtU" TargetMode="External"/><Relationship Id="rId572" Type="http://schemas.openxmlformats.org/officeDocument/2006/relationships/hyperlink" Target="https://drive.google.com/open?id=1PzciMAmdBYThyxKxQ03DfGrxSEWRVn_4" TargetMode="External"/><Relationship Id="rId693" Type="http://schemas.openxmlformats.org/officeDocument/2006/relationships/hyperlink" Target="https://drive.google.com/open?id=1wS5eQfNeuYYQXjm7PrZ37OX57Sggng1v" TargetMode="External"/><Relationship Id="rId450" Type="http://schemas.openxmlformats.org/officeDocument/2006/relationships/hyperlink" Target="https://drive.google.com/open?id=14NvzR5BXPyEGBU6ipwlVdVux-EyZVqDC" TargetMode="External"/><Relationship Id="rId571" Type="http://schemas.openxmlformats.org/officeDocument/2006/relationships/hyperlink" Target="https://drive.google.com/open?id=19e3TvYLNLI8nHbh99pS9On9ghzQCmVso" TargetMode="External"/><Relationship Id="rId692" Type="http://schemas.openxmlformats.org/officeDocument/2006/relationships/hyperlink" Target="https://drive.google.com/open?id=12uwo0vv5HjjosZHXQHB84sxtZuvNsXef" TargetMode="External"/><Relationship Id="rId570" Type="http://schemas.openxmlformats.org/officeDocument/2006/relationships/hyperlink" Target="https://drive.google.com/open?id=1E4I8PQETE8az0Hg0o0WWq2ptkt57ynH9" TargetMode="External"/><Relationship Id="rId691" Type="http://schemas.openxmlformats.org/officeDocument/2006/relationships/hyperlink" Target="https://drive.google.com/open?id=1JAkI11caNWFQo_HUp0cKqBqZMmd3oZgF" TargetMode="External"/><Relationship Id="rId690" Type="http://schemas.openxmlformats.org/officeDocument/2006/relationships/hyperlink" Target="https://drive.google.com/open?id=1hg3Yz8NZ63JyfYfIyynWjlfVZwJ8DpIQ" TargetMode="External"/><Relationship Id="rId213" Type="http://schemas.openxmlformats.org/officeDocument/2006/relationships/hyperlink" Target="https://drive.google.com/open?id=1Rz0RgUWsyixKSfaYmKQ78L8mlQtZ259B" TargetMode="External"/><Relationship Id="rId334" Type="http://schemas.openxmlformats.org/officeDocument/2006/relationships/hyperlink" Target="https://drive.google.com/open?id=1FForF6Ng572DdrK0QILzmlCk2X7h5LDu" TargetMode="External"/><Relationship Id="rId455" Type="http://schemas.openxmlformats.org/officeDocument/2006/relationships/hyperlink" Target="https://drive.google.com/open?id=1_f6p12TShUZEtdn1ymjgBj80PhivrzRg" TargetMode="External"/><Relationship Id="rId576" Type="http://schemas.openxmlformats.org/officeDocument/2006/relationships/hyperlink" Target="https://drive.google.com/open?id=1yzWLW1vbFu6XdLwknlExlYoflubRNZNn" TargetMode="External"/><Relationship Id="rId697" Type="http://schemas.openxmlformats.org/officeDocument/2006/relationships/drawing" Target="../drawings/drawing5.xml"/><Relationship Id="rId212" Type="http://schemas.openxmlformats.org/officeDocument/2006/relationships/hyperlink" Target="https://drive.google.com/open?id=1I4wL5AA19RgOylu4j3ne9T94FHoeKZbH" TargetMode="External"/><Relationship Id="rId333" Type="http://schemas.openxmlformats.org/officeDocument/2006/relationships/hyperlink" Target="https://drive.google.com/open?id=1L6dy-_ogdj83z8maPCCfgzP7S_OTVzkk" TargetMode="External"/><Relationship Id="rId454" Type="http://schemas.openxmlformats.org/officeDocument/2006/relationships/hyperlink" Target="https://drive.google.com/open?id=1sRGmmXUR4iXdh5iV1Byz61KpQikD0Weh" TargetMode="External"/><Relationship Id="rId575" Type="http://schemas.openxmlformats.org/officeDocument/2006/relationships/hyperlink" Target="https://drive.google.com/open?id=1jtzgs3Q0cFmySGNnHtSq0eW1AAGEjTFQ" TargetMode="External"/><Relationship Id="rId696" Type="http://schemas.openxmlformats.org/officeDocument/2006/relationships/hyperlink" Target="https://drive.google.com/open?id=1AJH3gNzRYHoXPYlStZbJPz5GLBc-O67f" TargetMode="External"/><Relationship Id="rId211" Type="http://schemas.openxmlformats.org/officeDocument/2006/relationships/hyperlink" Target="https://drive.google.com/open?id=1LgWH6d7gMkOpKnCmGwW8C0wG7EHObcjm" TargetMode="External"/><Relationship Id="rId332" Type="http://schemas.openxmlformats.org/officeDocument/2006/relationships/hyperlink" Target="https://drive.google.com/open?id=1P42C2MVblnZBwcQ_vk6KMhjvkl_NVijk" TargetMode="External"/><Relationship Id="rId453" Type="http://schemas.openxmlformats.org/officeDocument/2006/relationships/hyperlink" Target="https://drive.google.com/open?id=1dUEc2OocWy5vlRbyRwCdI9D5Md1_f7Ti" TargetMode="External"/><Relationship Id="rId574" Type="http://schemas.openxmlformats.org/officeDocument/2006/relationships/hyperlink" Target="https://drive.google.com/open?id=1yCpRHobmX2v0FCJ7ykqxma7xqfkuLoM9" TargetMode="External"/><Relationship Id="rId695" Type="http://schemas.openxmlformats.org/officeDocument/2006/relationships/hyperlink" Target="https://drive.google.com/open?id=1Exxikn9GTopFVy2vb4bO8E6xorrIuZh7" TargetMode="External"/><Relationship Id="rId210" Type="http://schemas.openxmlformats.org/officeDocument/2006/relationships/hyperlink" Target="https://drive.google.com/open?id=1d03dvVLmV63fHj3OaAUMQknS6pLNFQ9I" TargetMode="External"/><Relationship Id="rId331" Type="http://schemas.openxmlformats.org/officeDocument/2006/relationships/hyperlink" Target="https://drive.google.com/open?id=1dNOqI4SKpizvC2eoOGz0QJEU7VvQJ7nZ" TargetMode="External"/><Relationship Id="rId452" Type="http://schemas.openxmlformats.org/officeDocument/2006/relationships/hyperlink" Target="https://drive.google.com/open?id=1ZtC37Kox4-aKgfiQd-8UPdacq4CXPVoO" TargetMode="External"/><Relationship Id="rId573" Type="http://schemas.openxmlformats.org/officeDocument/2006/relationships/hyperlink" Target="https://drive.google.com/open?id=1FgvvtObY_pX0LA65VTq6XY6uC9bvUR-a" TargetMode="External"/><Relationship Id="rId694" Type="http://schemas.openxmlformats.org/officeDocument/2006/relationships/hyperlink" Target="https://drive.google.com/open?id=1yEwV0JPwYWoZ_SCJka7qaJd0SjkFhThd" TargetMode="External"/><Relationship Id="rId370" Type="http://schemas.openxmlformats.org/officeDocument/2006/relationships/hyperlink" Target="https://drive.google.com/open?id=1PfUyced0DUWe0pZlSMyoat3Qp5s36ygK" TargetMode="External"/><Relationship Id="rId491" Type="http://schemas.openxmlformats.org/officeDocument/2006/relationships/hyperlink" Target="https://drive.google.com/open?id=1PGygWv2pk-tvk183sVz6iaK5ofQCpEn_" TargetMode="External"/><Relationship Id="rId490" Type="http://schemas.openxmlformats.org/officeDocument/2006/relationships/hyperlink" Target="https://drive.google.com/open?id=1HZ8Qc1N3ivmI6178BtV1RyN1x3xxJNnY" TargetMode="External"/><Relationship Id="rId129" Type="http://schemas.openxmlformats.org/officeDocument/2006/relationships/hyperlink" Target="https://drive.google.com/open?id=1aSBN6fLM3krqgmHw-E7cXS6Ihy0tn8Qq" TargetMode="External"/><Relationship Id="rId128" Type="http://schemas.openxmlformats.org/officeDocument/2006/relationships/hyperlink" Target="https://drive.google.com/open?id=1r_iAbVcJWVK8VrZTSeVxKUKv4nZbmqHU" TargetMode="External"/><Relationship Id="rId249" Type="http://schemas.openxmlformats.org/officeDocument/2006/relationships/hyperlink" Target="https://drive.google.com/open?id=1FsBGz5velKUkhUoghjkZ01YuvVGS76IU" TargetMode="External"/><Relationship Id="rId127" Type="http://schemas.openxmlformats.org/officeDocument/2006/relationships/hyperlink" Target="https://drive.google.com/open?id=1SL1XJ0SAENGlEvTjsVG0qeT-H22Ws7KE" TargetMode="External"/><Relationship Id="rId248" Type="http://schemas.openxmlformats.org/officeDocument/2006/relationships/hyperlink" Target="https://drive.google.com/open?id=1KuGrQLkUGpwlKjg1xgMLIVoeCm4fZzcm" TargetMode="External"/><Relationship Id="rId369" Type="http://schemas.openxmlformats.org/officeDocument/2006/relationships/hyperlink" Target="https://drive.google.com/open?id=1l6IoStMPyfJ4KK-oLiYlB0LvQ_PPkx9m" TargetMode="External"/><Relationship Id="rId126" Type="http://schemas.openxmlformats.org/officeDocument/2006/relationships/hyperlink" Target="https://drive.google.com/open?id=1UoP4w3M7cc49lD5V3aiEZ9SLrPVhKyr5" TargetMode="External"/><Relationship Id="rId247" Type="http://schemas.openxmlformats.org/officeDocument/2006/relationships/hyperlink" Target="https://drive.google.com/open?id=1qLWaA8uZVvpaRvbgljjLmysgwRRgHjnY" TargetMode="External"/><Relationship Id="rId368" Type="http://schemas.openxmlformats.org/officeDocument/2006/relationships/hyperlink" Target="https://drive.google.com/open?id=1jupeQ84tcdK0QRyg9pDfZnkPdyI7fM27" TargetMode="External"/><Relationship Id="rId489" Type="http://schemas.openxmlformats.org/officeDocument/2006/relationships/hyperlink" Target="https://drive.google.com/open?id=19XXwm-w-1vzXQuhwKB6AxLdtadwg7xTy" TargetMode="External"/><Relationship Id="rId121" Type="http://schemas.openxmlformats.org/officeDocument/2006/relationships/hyperlink" Target="https://drive.google.com/open?id=1__DosFi2AvDHyo1B4FbcWzbuCWWV-T1u" TargetMode="External"/><Relationship Id="rId242" Type="http://schemas.openxmlformats.org/officeDocument/2006/relationships/hyperlink" Target="https://drive.google.com/open?id=1XTyHr0f9F_RP-sL-hDTliT1HWUx88ZEF" TargetMode="External"/><Relationship Id="rId363" Type="http://schemas.openxmlformats.org/officeDocument/2006/relationships/hyperlink" Target="https://drive.google.com/open?id=18m-4nikeC075ELVLv6EgGZXl--EgMtnb" TargetMode="External"/><Relationship Id="rId484" Type="http://schemas.openxmlformats.org/officeDocument/2006/relationships/hyperlink" Target="https://drive.google.com/open?id=1cBx7nWsvwq-AxCPNWpzwOmF3WtASXtlT" TargetMode="External"/><Relationship Id="rId120" Type="http://schemas.openxmlformats.org/officeDocument/2006/relationships/hyperlink" Target="https://drive.google.com/open?id=1KrykFr9HPMbnfpNJmUf1iJViL5h1wbgS" TargetMode="External"/><Relationship Id="rId241" Type="http://schemas.openxmlformats.org/officeDocument/2006/relationships/hyperlink" Target="https://drive.google.com/open?id=1sqSREbQUg67VphQuYlwr1ISIo47BKkJJ" TargetMode="External"/><Relationship Id="rId362" Type="http://schemas.openxmlformats.org/officeDocument/2006/relationships/hyperlink" Target="https://drive.google.com/open?id=1ytAhKegs47X1dGJZFMehg_wHS3ScRKxQ" TargetMode="External"/><Relationship Id="rId483" Type="http://schemas.openxmlformats.org/officeDocument/2006/relationships/hyperlink" Target="https://drive.google.com/open?id=19CLlcl7NfPLkOX2761S7cAX-DgMhYCQm" TargetMode="External"/><Relationship Id="rId240" Type="http://schemas.openxmlformats.org/officeDocument/2006/relationships/hyperlink" Target="https://drive.google.com/open?id=1oxtLpW5jM2OSmbVmVaR6GATnmS-1nGN6" TargetMode="External"/><Relationship Id="rId361" Type="http://schemas.openxmlformats.org/officeDocument/2006/relationships/hyperlink" Target="https://drive.google.com/open?id=1vfmXn88Q_c35Ncnh--039Nx0xgOvfTCw" TargetMode="External"/><Relationship Id="rId482" Type="http://schemas.openxmlformats.org/officeDocument/2006/relationships/hyperlink" Target="https://drive.google.com/open?id=1LveIZ_KmuFZ9tN33z8Y7te7dWiAfWVga" TargetMode="External"/><Relationship Id="rId360" Type="http://schemas.openxmlformats.org/officeDocument/2006/relationships/hyperlink" Target="https://drive.google.com/open?id=1iGTgeianBHn_6qzgAI-uZJap_GybX5Ry" TargetMode="External"/><Relationship Id="rId481" Type="http://schemas.openxmlformats.org/officeDocument/2006/relationships/hyperlink" Target="https://drive.google.com/open?id=1lIeqQgNuUJEcEiCUsPaXjtt5T5v0J1XR" TargetMode="External"/><Relationship Id="rId125" Type="http://schemas.openxmlformats.org/officeDocument/2006/relationships/hyperlink" Target="https://drive.google.com/open?id=1ADIERq3knY58A_1eYxCCjpf0DKkTKQ1G" TargetMode="External"/><Relationship Id="rId246" Type="http://schemas.openxmlformats.org/officeDocument/2006/relationships/hyperlink" Target="https://drive.google.com/open?id=1U2UrV2bNqefvGNt-zv63hEKi-x20vNKj" TargetMode="External"/><Relationship Id="rId367" Type="http://schemas.openxmlformats.org/officeDocument/2006/relationships/hyperlink" Target="https://drive.google.com/open?id=1KPoPiNvvJZl9g4s7k4A4QN2Om3T3zFIs" TargetMode="External"/><Relationship Id="rId488" Type="http://schemas.openxmlformats.org/officeDocument/2006/relationships/hyperlink" Target="https://drive.google.com/open?id=1iburHBfbMP7dajOnVHv_az-xMErN2-hL" TargetMode="External"/><Relationship Id="rId124" Type="http://schemas.openxmlformats.org/officeDocument/2006/relationships/hyperlink" Target="https://drive.google.com/open?id=1GiYMc-oNWvEvZ62PgDNEkhDcQSjZlXaH" TargetMode="External"/><Relationship Id="rId245" Type="http://schemas.openxmlformats.org/officeDocument/2006/relationships/hyperlink" Target="https://drive.google.com/open?id=1G3HPyCcvrJ2H0yF52GZpdF71bkuRridJ" TargetMode="External"/><Relationship Id="rId366" Type="http://schemas.openxmlformats.org/officeDocument/2006/relationships/hyperlink" Target="https://drive.google.com/open?id=17chR2BSLTGJZ0cgWzv7Kz9atMypTC5KH" TargetMode="External"/><Relationship Id="rId487" Type="http://schemas.openxmlformats.org/officeDocument/2006/relationships/hyperlink" Target="https://drive.google.com/open?id=1Cch7XU_AS-NMz3i3cYussm5OhJmmJK-N" TargetMode="External"/><Relationship Id="rId123" Type="http://schemas.openxmlformats.org/officeDocument/2006/relationships/hyperlink" Target="https://drive.google.com/open?id=1LME1TIpj5xAVqGjwFfV0ZgiDPVuYzJ5O" TargetMode="External"/><Relationship Id="rId244" Type="http://schemas.openxmlformats.org/officeDocument/2006/relationships/hyperlink" Target="https://drive.google.com/open?id=1iYsxY2CQQhKNG6nV89uBuGBr0gtqHUcY" TargetMode="External"/><Relationship Id="rId365" Type="http://schemas.openxmlformats.org/officeDocument/2006/relationships/hyperlink" Target="https://drive.google.com/open?id=1Rk6QbenYvWs2Z4VDJmygaDFR_3z9sM_x" TargetMode="External"/><Relationship Id="rId486" Type="http://schemas.openxmlformats.org/officeDocument/2006/relationships/hyperlink" Target="https://drive.google.com/open?id=1r1-J2OOVHpQHyaPYdFJuqPCAD3pmEFVL" TargetMode="External"/><Relationship Id="rId122" Type="http://schemas.openxmlformats.org/officeDocument/2006/relationships/hyperlink" Target="https://drive.google.com/open?id=1vd0fuw4K2QSQNMHb3yxcXnxYepny5UXA" TargetMode="External"/><Relationship Id="rId243" Type="http://schemas.openxmlformats.org/officeDocument/2006/relationships/hyperlink" Target="https://drive.google.com/open?id=1_bJ2EuppuxIn6WMRBvKV6WgLjrTzajEX" TargetMode="External"/><Relationship Id="rId364" Type="http://schemas.openxmlformats.org/officeDocument/2006/relationships/hyperlink" Target="https://drive.google.com/open?id=1Q6KYJxxcFoRgc26P5dvgwshHU_7iFm8y" TargetMode="External"/><Relationship Id="rId485" Type="http://schemas.openxmlformats.org/officeDocument/2006/relationships/hyperlink" Target="https://drive.google.com/open?id=1UMJJxfXWFOMvFGo-Z_566Trf1bBN8SfY" TargetMode="External"/><Relationship Id="rId95" Type="http://schemas.openxmlformats.org/officeDocument/2006/relationships/hyperlink" Target="https://drive.google.com/open?id=11fUX51v_SyFynrGUGgMbIAByy1JzKaGW" TargetMode="External"/><Relationship Id="rId94" Type="http://schemas.openxmlformats.org/officeDocument/2006/relationships/hyperlink" Target="https://drive.google.com/open?id=1ORS9TYPSoh8Y_mYnsoAOlKs9532FZMfB" TargetMode="External"/><Relationship Id="rId97" Type="http://schemas.openxmlformats.org/officeDocument/2006/relationships/hyperlink" Target="https://drive.google.com/open?id=1PoEO4GTmuEbxhRIV3zta9Fk1Mu9MqxQz" TargetMode="External"/><Relationship Id="rId96" Type="http://schemas.openxmlformats.org/officeDocument/2006/relationships/hyperlink" Target="https://drive.google.com/open?id=1vJnEFhRdsuVz-y7aREExnp_DNqsAOEFV" TargetMode="External"/><Relationship Id="rId99" Type="http://schemas.openxmlformats.org/officeDocument/2006/relationships/hyperlink" Target="https://drive.google.com/open?id=1YycYxTc6pdIH8aSlI69ElQwAVJ4f9q-i" TargetMode="External"/><Relationship Id="rId480" Type="http://schemas.openxmlformats.org/officeDocument/2006/relationships/hyperlink" Target="https://drive.google.com/open?id=1DTlQlng-6IDKiWPFp7_-1jK2GwXfenfO" TargetMode="External"/><Relationship Id="rId98" Type="http://schemas.openxmlformats.org/officeDocument/2006/relationships/hyperlink" Target="https://drive.google.com/open?id=1o-nj8kbMZQWaU7eRiCqy-6bRzk6id4Kw" TargetMode="External"/><Relationship Id="rId91" Type="http://schemas.openxmlformats.org/officeDocument/2006/relationships/hyperlink" Target="https://drive.google.com/open?id=1R2-NzRwjsbfWZIs8AIUko7MxA6lwjKIt" TargetMode="External"/><Relationship Id="rId90" Type="http://schemas.openxmlformats.org/officeDocument/2006/relationships/hyperlink" Target="https://drive.google.com/open?id=1r_3jIrPzggblGBvmZ1ACrGh9if0fYCom" TargetMode="External"/><Relationship Id="rId93" Type="http://schemas.openxmlformats.org/officeDocument/2006/relationships/hyperlink" Target="https://drive.google.com/open?id=1rXsr79y3VQ21SximtNrihBSb0R3vuelM" TargetMode="External"/><Relationship Id="rId92" Type="http://schemas.openxmlformats.org/officeDocument/2006/relationships/hyperlink" Target="https://drive.google.com/open?id=1zXiDbHAR4x7Hoqo-ecSEpNKMwc9BurfK" TargetMode="External"/><Relationship Id="rId118" Type="http://schemas.openxmlformats.org/officeDocument/2006/relationships/hyperlink" Target="https://drive.google.com/open?id=1XcOIhp2Hzy4XXV2zdZj76eXH6CyKU1iX" TargetMode="External"/><Relationship Id="rId239" Type="http://schemas.openxmlformats.org/officeDocument/2006/relationships/hyperlink" Target="https://drive.google.com/open?id=1T8-cvePP7lf8CJSHw5yrEzoM--t9V6T0" TargetMode="External"/><Relationship Id="rId117" Type="http://schemas.openxmlformats.org/officeDocument/2006/relationships/hyperlink" Target="https://drive.google.com/open?id=1HO0uzDjbpRY7-Ht_1DiC5Hcjqhx9umCW" TargetMode="External"/><Relationship Id="rId238" Type="http://schemas.openxmlformats.org/officeDocument/2006/relationships/hyperlink" Target="https://drive.google.com/open?id=16lQFBfmj3388SPWzCJgxjYfBJ-fYWbKB" TargetMode="External"/><Relationship Id="rId359" Type="http://schemas.openxmlformats.org/officeDocument/2006/relationships/hyperlink" Target="https://drive.google.com/open?id=12aupkmJpQHmUjRNv-SS7bCfsOGAU1TmD" TargetMode="External"/><Relationship Id="rId116" Type="http://schemas.openxmlformats.org/officeDocument/2006/relationships/hyperlink" Target="https://drive.google.com/open?id=1XSAL57SUBN-Miu0MARnj-t9gOdwGJ7Cy" TargetMode="External"/><Relationship Id="rId237" Type="http://schemas.openxmlformats.org/officeDocument/2006/relationships/hyperlink" Target="https://drive.google.com/open?id=1iTrcNYAce24Cp9IXyFeEkBZS18nO8sSS" TargetMode="External"/><Relationship Id="rId358" Type="http://schemas.openxmlformats.org/officeDocument/2006/relationships/hyperlink" Target="https://drive.google.com/open?id=1HbiAeJJEM2m6-FWzNQUWzQCOPg7D6V4C" TargetMode="External"/><Relationship Id="rId479" Type="http://schemas.openxmlformats.org/officeDocument/2006/relationships/hyperlink" Target="https://drive.google.com/open?id=1cq2X-M83hvoJDHepe8Cv8O5fyPyteNmw" TargetMode="External"/><Relationship Id="rId115" Type="http://schemas.openxmlformats.org/officeDocument/2006/relationships/hyperlink" Target="https://drive.google.com/open?id=1n35AU5LD6YlwMPf6jhL2U6PG_9j5w_v9" TargetMode="External"/><Relationship Id="rId236" Type="http://schemas.openxmlformats.org/officeDocument/2006/relationships/hyperlink" Target="https://drive.google.com/open?id=1c3KpQx6YZ87P1R0ZhuFYeDLzxlyKLPk3" TargetMode="External"/><Relationship Id="rId357" Type="http://schemas.openxmlformats.org/officeDocument/2006/relationships/hyperlink" Target="https://drive.google.com/open?id=104TAUKKzhNam57X0rEt2ji3LZApr0y9z" TargetMode="External"/><Relationship Id="rId478" Type="http://schemas.openxmlformats.org/officeDocument/2006/relationships/hyperlink" Target="https://drive.google.com/open?id=1X9s_YXs1BoyJDbLp6WZlCnUrNweTv1CM" TargetMode="External"/><Relationship Id="rId599" Type="http://schemas.openxmlformats.org/officeDocument/2006/relationships/hyperlink" Target="https://drive.google.com/open?id=1DhKuT4lu7QXeQytDHQw6EqH-UIrj7q4d" TargetMode="External"/><Relationship Id="rId119" Type="http://schemas.openxmlformats.org/officeDocument/2006/relationships/hyperlink" Target="https://drive.google.com/open?id=1uVYrF_tbLVKiapYA3GOkj8sHWHbYFqV6" TargetMode="External"/><Relationship Id="rId110" Type="http://schemas.openxmlformats.org/officeDocument/2006/relationships/hyperlink" Target="https://drive.google.com/open?id=1qHtuaUCDMmQIu2LJ-t-Er0uBzTLRBoxT" TargetMode="External"/><Relationship Id="rId231" Type="http://schemas.openxmlformats.org/officeDocument/2006/relationships/hyperlink" Target="https://drive.google.com/open?id=1WYFc7Ci1ZPMUtIlxg9TyxMWnrPcZkWqj" TargetMode="External"/><Relationship Id="rId352" Type="http://schemas.openxmlformats.org/officeDocument/2006/relationships/hyperlink" Target="https://drive.google.com/open?id=1ys8ZJwTjASSGbxF0GwCmfp-QvlRp6zhr" TargetMode="External"/><Relationship Id="rId473" Type="http://schemas.openxmlformats.org/officeDocument/2006/relationships/hyperlink" Target="https://drive.google.com/open?id=1HSocbt_uC96olj-1tkv_XU_j67LbndYn" TargetMode="External"/><Relationship Id="rId594" Type="http://schemas.openxmlformats.org/officeDocument/2006/relationships/hyperlink" Target="https://drive.google.com/open?id=1CnmcqHHKSCviZJ411AOxj_IHHvqfqbnX" TargetMode="External"/><Relationship Id="rId230" Type="http://schemas.openxmlformats.org/officeDocument/2006/relationships/hyperlink" Target="https://drive.google.com/open?id=1yKRCktjYeTCoJzbzJmhtm3wis3g8tiCC" TargetMode="External"/><Relationship Id="rId351" Type="http://schemas.openxmlformats.org/officeDocument/2006/relationships/hyperlink" Target="https://drive.google.com/open?id=1FzwXAqwHnawpN-WLMPL6wQxQqm4OwcK4" TargetMode="External"/><Relationship Id="rId472" Type="http://schemas.openxmlformats.org/officeDocument/2006/relationships/hyperlink" Target="https://drive.google.com/open?id=1ucsUBhU3w07bQJev11QX9wzJlN2PEgQ2" TargetMode="External"/><Relationship Id="rId593" Type="http://schemas.openxmlformats.org/officeDocument/2006/relationships/hyperlink" Target="https://drive.google.com/open?id=1JCRmQmfP1c0G_tQxXjIK-a4M9j09WMID" TargetMode="External"/><Relationship Id="rId350" Type="http://schemas.openxmlformats.org/officeDocument/2006/relationships/hyperlink" Target="https://drive.google.com/open?id=1BTjZnqmVVL7XZHp9os-Ttd65MU5ivWMz" TargetMode="External"/><Relationship Id="rId471" Type="http://schemas.openxmlformats.org/officeDocument/2006/relationships/hyperlink" Target="https://drive.google.com/open?id=1Mbso5Mt2gqlnSAvfeRk4OBxpIjJY1Qp7" TargetMode="External"/><Relationship Id="rId592" Type="http://schemas.openxmlformats.org/officeDocument/2006/relationships/hyperlink" Target="https://drive.google.com/open?id=1LygB01lf2JMmwBGjuC4r-ew4pvI4IxTq" TargetMode="External"/><Relationship Id="rId470" Type="http://schemas.openxmlformats.org/officeDocument/2006/relationships/hyperlink" Target="https://drive.google.com/open?id=1-PxbWlrWayxhd4wPzG0kASRbNmkYUycJ" TargetMode="External"/><Relationship Id="rId591" Type="http://schemas.openxmlformats.org/officeDocument/2006/relationships/hyperlink" Target="https://drive.google.com/open?id=1S4UTEztBFLHCtVkAhD4edRxVe5KB7SWj" TargetMode="External"/><Relationship Id="rId114" Type="http://schemas.openxmlformats.org/officeDocument/2006/relationships/hyperlink" Target="https://drive.google.com/open?id=1qkz_6qrYVwyUOJ4Cx2h4-GtTcVG49uE0" TargetMode="External"/><Relationship Id="rId235" Type="http://schemas.openxmlformats.org/officeDocument/2006/relationships/hyperlink" Target="https://drive.google.com/open?id=1E04Nci7_d52d8torctBNFOqNWvdzz-ZV" TargetMode="External"/><Relationship Id="rId356" Type="http://schemas.openxmlformats.org/officeDocument/2006/relationships/hyperlink" Target="https://drive.google.com/open?id=1rhNnU3SIs9iNdhF_xboWo45-WfRqqGhl" TargetMode="External"/><Relationship Id="rId477" Type="http://schemas.openxmlformats.org/officeDocument/2006/relationships/hyperlink" Target="https://drive.google.com/open?id=11rjcw9rX4UJSuKRrPH95oIdYgwfVmBiX" TargetMode="External"/><Relationship Id="rId598" Type="http://schemas.openxmlformats.org/officeDocument/2006/relationships/hyperlink" Target="https://drive.google.com/open?id=1WISd22k59OkyUxHgRuc6N-Az2smLLP-T" TargetMode="External"/><Relationship Id="rId113" Type="http://schemas.openxmlformats.org/officeDocument/2006/relationships/hyperlink" Target="https://drive.google.com/open?id=1UAFTQrASxraSEBUNMssMP-De4kEz04nW" TargetMode="External"/><Relationship Id="rId234" Type="http://schemas.openxmlformats.org/officeDocument/2006/relationships/hyperlink" Target="https://drive.google.com/open?id=18tyuKKp8XMOrWljsAgkzct2epmHft_MY" TargetMode="External"/><Relationship Id="rId355" Type="http://schemas.openxmlformats.org/officeDocument/2006/relationships/hyperlink" Target="https://drive.google.com/open?id=1N2kRoYwNQ1ItTWFq8GK43PrwwUSkI97u" TargetMode="External"/><Relationship Id="rId476" Type="http://schemas.openxmlformats.org/officeDocument/2006/relationships/hyperlink" Target="https://drive.google.com/open?id=1HZNqvDOHTq7j9TfbstMOJf6bG8n9q6Tr" TargetMode="External"/><Relationship Id="rId597" Type="http://schemas.openxmlformats.org/officeDocument/2006/relationships/hyperlink" Target="https://drive.google.com/open?id=1gvcGz1R8JEi-lOZGOc3Qiuu4c3XyZ7-K" TargetMode="External"/><Relationship Id="rId112" Type="http://schemas.openxmlformats.org/officeDocument/2006/relationships/hyperlink" Target="https://drive.google.com/open?id=1vVpUASgn3NiGlN1VTfOK_bNyGobbNZP0" TargetMode="External"/><Relationship Id="rId233" Type="http://schemas.openxmlformats.org/officeDocument/2006/relationships/hyperlink" Target="https://drive.google.com/open?id=1pP2OPqpKNWW0ekRBphlPyV18ER-mAre0" TargetMode="External"/><Relationship Id="rId354" Type="http://schemas.openxmlformats.org/officeDocument/2006/relationships/hyperlink" Target="https://drive.google.com/open?id=1oPpmj_hNTCy0q1euWTT4UBsOAluSRqRQ" TargetMode="External"/><Relationship Id="rId475" Type="http://schemas.openxmlformats.org/officeDocument/2006/relationships/hyperlink" Target="https://drive.google.com/open?id=18b2BA0td9-6HV-heRBCK6pOCvJi8ViWF" TargetMode="External"/><Relationship Id="rId596" Type="http://schemas.openxmlformats.org/officeDocument/2006/relationships/hyperlink" Target="https://drive.google.com/open?id=1n8E3P9hMhUSPjTppyEVKBhxZl2YCmA7x" TargetMode="External"/><Relationship Id="rId111" Type="http://schemas.openxmlformats.org/officeDocument/2006/relationships/hyperlink" Target="https://drive.google.com/open?id=13vkumLIE4Vma6j4k2lPFnv_iXqdOdMVG" TargetMode="External"/><Relationship Id="rId232" Type="http://schemas.openxmlformats.org/officeDocument/2006/relationships/hyperlink" Target="https://drive.google.com/open?id=1g8oZ9Q2YP8Nn6WPxGxbZ2bGUEApPzOtn" TargetMode="External"/><Relationship Id="rId353" Type="http://schemas.openxmlformats.org/officeDocument/2006/relationships/hyperlink" Target="https://drive.google.com/open?id=18-l1zSyNgydgWpsny_LA0u8zcE950y72" TargetMode="External"/><Relationship Id="rId474" Type="http://schemas.openxmlformats.org/officeDocument/2006/relationships/hyperlink" Target="https://drive.google.com/open?id=1knDsTZDlCCULeErnxprN8vx-iaW2f52F" TargetMode="External"/><Relationship Id="rId595" Type="http://schemas.openxmlformats.org/officeDocument/2006/relationships/hyperlink" Target="https://drive.google.com/open?id=1LttHUWCDbVOurfXsKWa1lqbg8QHz4Jia" TargetMode="External"/><Relationship Id="rId305" Type="http://schemas.openxmlformats.org/officeDocument/2006/relationships/hyperlink" Target="https://drive.google.com/open?id=1Dxf_Si9qzsCgFz_UclrOZ9u0QBsF5fLs" TargetMode="External"/><Relationship Id="rId426" Type="http://schemas.openxmlformats.org/officeDocument/2006/relationships/hyperlink" Target="https://drive.google.com/open?id=1hqqRR6XOd7FvbE2GTOdhKAL8mnHbP7op" TargetMode="External"/><Relationship Id="rId547" Type="http://schemas.openxmlformats.org/officeDocument/2006/relationships/hyperlink" Target="https://drive.google.com/open?id=13Zj-wiaE3I-kdbF3UsoW7S6v76FFfYKH" TargetMode="External"/><Relationship Id="rId668" Type="http://schemas.openxmlformats.org/officeDocument/2006/relationships/hyperlink" Target="https://drive.google.com/open?id=18umklw5UezCn5l51Ae-Dga-27ndI7xnO" TargetMode="External"/><Relationship Id="rId304" Type="http://schemas.openxmlformats.org/officeDocument/2006/relationships/hyperlink" Target="https://drive.google.com/open?id=1sFKXNP9DccyWQKl2eUWU6pvY5-TCbgo_" TargetMode="External"/><Relationship Id="rId425" Type="http://schemas.openxmlformats.org/officeDocument/2006/relationships/hyperlink" Target="https://drive.google.com/open?id=1xjgDRsFkznYMKh_-zgsGWKEaSBVm3Miv" TargetMode="External"/><Relationship Id="rId546" Type="http://schemas.openxmlformats.org/officeDocument/2006/relationships/hyperlink" Target="https://drive.google.com/open?id=1AAQpDdHoiT7r5SdJIgwMF3o4DGfpZVR-" TargetMode="External"/><Relationship Id="rId667" Type="http://schemas.openxmlformats.org/officeDocument/2006/relationships/hyperlink" Target="https://drive.google.com/open?id=1IQLveV5LEUOIoqoL0klEZ2DKSt-MJ5TG" TargetMode="External"/><Relationship Id="rId303" Type="http://schemas.openxmlformats.org/officeDocument/2006/relationships/hyperlink" Target="https://drive.google.com/open?id=1QF629s8icx55H9byx-bUUxKxD1VCcR9j" TargetMode="External"/><Relationship Id="rId424" Type="http://schemas.openxmlformats.org/officeDocument/2006/relationships/hyperlink" Target="https://drive.google.com/open?id=1nM-PpYPDAvuMI7NERdW6iwVGzUxNre5M" TargetMode="External"/><Relationship Id="rId545" Type="http://schemas.openxmlformats.org/officeDocument/2006/relationships/hyperlink" Target="https://drive.google.com/open?id=15YH2FuPN7eUUS6VDE8YP3VvSMptMR6X5" TargetMode="External"/><Relationship Id="rId666" Type="http://schemas.openxmlformats.org/officeDocument/2006/relationships/hyperlink" Target="https://drive.google.com/open?id=1F2ZwHmfXR8peU8_v9LHrHYBuZdTnQ0Wf" TargetMode="External"/><Relationship Id="rId302" Type="http://schemas.openxmlformats.org/officeDocument/2006/relationships/hyperlink" Target="https://drive.google.com/open?id=16Ir1-oCjz522z27CZ5hPRB1PiNITF4xm" TargetMode="External"/><Relationship Id="rId423" Type="http://schemas.openxmlformats.org/officeDocument/2006/relationships/hyperlink" Target="https://drive.google.com/open?id=1KYjMdxqf0fDWjy4_ZFKyo7aQ7in6E0s9" TargetMode="External"/><Relationship Id="rId544" Type="http://schemas.openxmlformats.org/officeDocument/2006/relationships/hyperlink" Target="https://drive.google.com/open?id=1QbqH9pMeM5wANENpiJk2p8HtyB4xmlP0" TargetMode="External"/><Relationship Id="rId665" Type="http://schemas.openxmlformats.org/officeDocument/2006/relationships/hyperlink" Target="https://drive.google.com/open?id=1qVxGc761ioCyMzgsUgFqecyyLdecj2p9" TargetMode="External"/><Relationship Id="rId309" Type="http://schemas.openxmlformats.org/officeDocument/2006/relationships/hyperlink" Target="https://drive.google.com/open?id=1i68T0O2QoKo2qnfSKFAlI70KThv7eFP_" TargetMode="External"/><Relationship Id="rId308" Type="http://schemas.openxmlformats.org/officeDocument/2006/relationships/hyperlink" Target="https://drive.google.com/open?id=1WciOB6fGG3gXJho1K6DioojwJf16zCDG" TargetMode="External"/><Relationship Id="rId429" Type="http://schemas.openxmlformats.org/officeDocument/2006/relationships/hyperlink" Target="https://drive.google.com/open?id=10DDvYy8S_ku4biUwlh9uIx6T6CYNGpc-" TargetMode="External"/><Relationship Id="rId307" Type="http://schemas.openxmlformats.org/officeDocument/2006/relationships/hyperlink" Target="https://drive.google.com/open?id=1P4vIAXIN84JM5s9khybmG5S4iiDo4ILJ" TargetMode="External"/><Relationship Id="rId428" Type="http://schemas.openxmlformats.org/officeDocument/2006/relationships/hyperlink" Target="https://drive.google.com/open?id=1rFr4VzbYdszRxMgs5Cvgfqf21pSLn_nK" TargetMode="External"/><Relationship Id="rId549" Type="http://schemas.openxmlformats.org/officeDocument/2006/relationships/hyperlink" Target="https://drive.google.com/open?id=1lqTC3R6ZSH-4UyeJm5mrcCcVejkZWzx8" TargetMode="External"/><Relationship Id="rId306" Type="http://schemas.openxmlformats.org/officeDocument/2006/relationships/hyperlink" Target="https://drive.google.com/open?id=1ISdT3lmQohdGKBoXLEcFwaDrJdh3aWdw" TargetMode="External"/><Relationship Id="rId427" Type="http://schemas.openxmlformats.org/officeDocument/2006/relationships/hyperlink" Target="https://drive.google.com/open?id=1TGdLwiu1f7Q2aWka5CqiBqQUyoR7t7cJ" TargetMode="External"/><Relationship Id="rId548" Type="http://schemas.openxmlformats.org/officeDocument/2006/relationships/hyperlink" Target="https://drive.google.com/open?id=1gidD3AsEcjz5I-AuVJrM2rTHwoLN3tcO" TargetMode="External"/><Relationship Id="rId669" Type="http://schemas.openxmlformats.org/officeDocument/2006/relationships/hyperlink" Target="https://drive.google.com/open?id=1w5PM0VuGfLfmaoJBd0oRL5htSWgLzqGI" TargetMode="External"/><Relationship Id="rId660" Type="http://schemas.openxmlformats.org/officeDocument/2006/relationships/hyperlink" Target="https://drive.google.com/open?id=1q4Q430fukAhKxvO3ROF_BJxGJaujYyIf" TargetMode="External"/><Relationship Id="rId301" Type="http://schemas.openxmlformats.org/officeDocument/2006/relationships/hyperlink" Target="https://drive.google.com/open?id=1P41748rsB5C-yDbdIKM1_PdGy9TN9JbJ" TargetMode="External"/><Relationship Id="rId422" Type="http://schemas.openxmlformats.org/officeDocument/2006/relationships/hyperlink" Target="https://drive.google.com/open?id=1uCZBpWHm6Wm-M_E5V6UJ6QhvCbu2pBtc" TargetMode="External"/><Relationship Id="rId543" Type="http://schemas.openxmlformats.org/officeDocument/2006/relationships/hyperlink" Target="https://drive.google.com/open?id=1YfriLy_ngPrOHH_EvP35Vy6DkuF6qcci" TargetMode="External"/><Relationship Id="rId664" Type="http://schemas.openxmlformats.org/officeDocument/2006/relationships/hyperlink" Target="https://drive.google.com/open?id=1AxaZh7_875U9725srqkPIXJ3i93HTly5" TargetMode="External"/><Relationship Id="rId300" Type="http://schemas.openxmlformats.org/officeDocument/2006/relationships/hyperlink" Target="https://drive.google.com/open?id=1sC0XKmxaxiGZbwvesLd90lDSXruq523Y" TargetMode="External"/><Relationship Id="rId421" Type="http://schemas.openxmlformats.org/officeDocument/2006/relationships/hyperlink" Target="https://drive.google.com/open?id=17P_KtlVhOka-9q4h2JdQiKf-GnELMkrG" TargetMode="External"/><Relationship Id="rId542" Type="http://schemas.openxmlformats.org/officeDocument/2006/relationships/hyperlink" Target="https://drive.google.com/open?id=1zg952sYRXgH66X7_nfmMh2cpJhqSF0s7" TargetMode="External"/><Relationship Id="rId663" Type="http://schemas.openxmlformats.org/officeDocument/2006/relationships/hyperlink" Target="https://drive.google.com/open?id=1ktp3GqY7Qb7saz3j5nwS1We3cJ012DvK" TargetMode="External"/><Relationship Id="rId420" Type="http://schemas.openxmlformats.org/officeDocument/2006/relationships/hyperlink" Target="https://drive.google.com/open?id=1FQD1mjZYJsBXmroCy6AP5_4pZwuA8LtT" TargetMode="External"/><Relationship Id="rId541" Type="http://schemas.openxmlformats.org/officeDocument/2006/relationships/hyperlink" Target="https://drive.google.com/open?id=15m6n1BeSRaLnuZ-ygM3L7SgHKm_J49dD" TargetMode="External"/><Relationship Id="rId662" Type="http://schemas.openxmlformats.org/officeDocument/2006/relationships/hyperlink" Target="https://drive.google.com/open?id=1-c727YrTO4byCK_u7Bm4VtyCbovnUphx" TargetMode="External"/><Relationship Id="rId540" Type="http://schemas.openxmlformats.org/officeDocument/2006/relationships/hyperlink" Target="https://drive.google.com/open?id=17kOk4iBfiXBAaq_fBivUq0X25gFZf_mh" TargetMode="External"/><Relationship Id="rId661" Type="http://schemas.openxmlformats.org/officeDocument/2006/relationships/hyperlink" Target="https://drive.google.com/open?id=1j8ceFYCJlmZwtXJCxyDxhEoW-nYLMO81" TargetMode="External"/><Relationship Id="rId415" Type="http://schemas.openxmlformats.org/officeDocument/2006/relationships/hyperlink" Target="https://drive.google.com/open?id=1n10w9_SsUoTQtbuheArxOW16YajEKQld" TargetMode="External"/><Relationship Id="rId536" Type="http://schemas.openxmlformats.org/officeDocument/2006/relationships/hyperlink" Target="https://drive.google.com/open?id=1RuhzzE_oWf6Ey3FxnGp7QZFdNgKfYBI4" TargetMode="External"/><Relationship Id="rId657" Type="http://schemas.openxmlformats.org/officeDocument/2006/relationships/hyperlink" Target="https://drive.google.com/open?id=1TkOQzdSAo2kHpuGlPdh9SK2B6cQFhwEW" TargetMode="External"/><Relationship Id="rId414" Type="http://schemas.openxmlformats.org/officeDocument/2006/relationships/hyperlink" Target="https://drive.google.com/open?id=1ghdYnits8uofbgGAeu-CEKl8QemoPUbt" TargetMode="External"/><Relationship Id="rId535" Type="http://schemas.openxmlformats.org/officeDocument/2006/relationships/hyperlink" Target="https://drive.google.com/open?id=1Cne1s2FYPeCNXdr-5keDca2YCOqUqOIE" TargetMode="External"/><Relationship Id="rId656" Type="http://schemas.openxmlformats.org/officeDocument/2006/relationships/hyperlink" Target="https://drive.google.com/open?id=14_pOY3q4ZDrNl3ZLSh1Nl9BcFUohT0Cd" TargetMode="External"/><Relationship Id="rId413" Type="http://schemas.openxmlformats.org/officeDocument/2006/relationships/hyperlink" Target="https://drive.google.com/open?id=1MGzL6a14z28qaD1A6A_g8hgz2DxB8uE3" TargetMode="External"/><Relationship Id="rId534" Type="http://schemas.openxmlformats.org/officeDocument/2006/relationships/hyperlink" Target="https://drive.google.com/open?id=1wfUhyD70YTxQb8hIpaIZKUuchtIqiDwy" TargetMode="External"/><Relationship Id="rId655" Type="http://schemas.openxmlformats.org/officeDocument/2006/relationships/hyperlink" Target="https://drive.google.com/open?id=11AVrv3e_gJtqSZRauMUdfnEnZnUa8xGW" TargetMode="External"/><Relationship Id="rId412" Type="http://schemas.openxmlformats.org/officeDocument/2006/relationships/hyperlink" Target="https://drive.google.com/open?id=1EYl1UdDTgLVTQ3FakVjE0AazA9uRU5Hz" TargetMode="External"/><Relationship Id="rId533" Type="http://schemas.openxmlformats.org/officeDocument/2006/relationships/hyperlink" Target="https://drive.google.com/open?id=1dObCE3JCxlzkqkqkVVg8DCY_KWp4mfvL" TargetMode="External"/><Relationship Id="rId654" Type="http://schemas.openxmlformats.org/officeDocument/2006/relationships/hyperlink" Target="https://drive.google.com/open?id=1k2Vkl3eV8cJIoWjW7ZrhqejlzwilC0hf" TargetMode="External"/><Relationship Id="rId419" Type="http://schemas.openxmlformats.org/officeDocument/2006/relationships/hyperlink" Target="https://drive.google.com/open?id=1X4zLKxPpoiTqaLw2V1g6TTVhIn2s6Ukk" TargetMode="External"/><Relationship Id="rId418" Type="http://schemas.openxmlformats.org/officeDocument/2006/relationships/hyperlink" Target="https://drive.google.com/open?id=1NfY5-ql-qLzyUjGiQxAZoLlpmUcACLyt" TargetMode="External"/><Relationship Id="rId539" Type="http://schemas.openxmlformats.org/officeDocument/2006/relationships/hyperlink" Target="https://drive.google.com/open?id=1bcZE8otMfQIH8NyXDpOO0c3lHNl7xeId" TargetMode="External"/><Relationship Id="rId417" Type="http://schemas.openxmlformats.org/officeDocument/2006/relationships/hyperlink" Target="https://drive.google.com/open?id=1ffBV3MKoYz0M6feA6xFCSLN7luFLmpDQ" TargetMode="External"/><Relationship Id="rId538" Type="http://schemas.openxmlformats.org/officeDocument/2006/relationships/hyperlink" Target="https://drive.google.com/open?id=1u_2dWhRhVMLM8tY1E0cG5cjYO6dtCxFn" TargetMode="External"/><Relationship Id="rId659" Type="http://schemas.openxmlformats.org/officeDocument/2006/relationships/hyperlink" Target="https://drive.google.com/open?id=1YIS-NRVFtnLImC94UFpwZoU-nrlf5zgF" TargetMode="External"/><Relationship Id="rId416" Type="http://schemas.openxmlformats.org/officeDocument/2006/relationships/hyperlink" Target="https://drive.google.com/open?id=1dfis3Iw4n2Cs94lz69qgVJs9NowNkerW" TargetMode="External"/><Relationship Id="rId537" Type="http://schemas.openxmlformats.org/officeDocument/2006/relationships/hyperlink" Target="https://drive.google.com/open?id=1M_5y2esDTEG6YevIlxDoUwTjIXyzyAZQ" TargetMode="External"/><Relationship Id="rId658" Type="http://schemas.openxmlformats.org/officeDocument/2006/relationships/hyperlink" Target="https://drive.google.com/open?id=1qIYnifXsLa3Xk7QlyMoH3GjXexkLo_rH" TargetMode="External"/><Relationship Id="rId411" Type="http://schemas.openxmlformats.org/officeDocument/2006/relationships/hyperlink" Target="https://drive.google.com/open?id=1Usm9ZZbMbP1V2Un17wQ4vnIoRP9JrXT6" TargetMode="External"/><Relationship Id="rId532" Type="http://schemas.openxmlformats.org/officeDocument/2006/relationships/hyperlink" Target="https://drive.google.com/open?id=1hXaFyxEQosMj-gfwSmRHzk_cWCG4ze4K" TargetMode="External"/><Relationship Id="rId653" Type="http://schemas.openxmlformats.org/officeDocument/2006/relationships/hyperlink" Target="https://drive.google.com/open?id=1HjascHa70dFgzgE7-jOlDRpTW8mMAhyn" TargetMode="External"/><Relationship Id="rId410" Type="http://schemas.openxmlformats.org/officeDocument/2006/relationships/hyperlink" Target="https://drive.google.com/open?id=1HhK3QTT9MQ3K7muI63TPGf-uzqhWgvVb" TargetMode="External"/><Relationship Id="rId531" Type="http://schemas.openxmlformats.org/officeDocument/2006/relationships/hyperlink" Target="https://drive.google.com/open?id=1ZwW3WJ64mzediTLfM_OMaZZ9xTqDdNRh" TargetMode="External"/><Relationship Id="rId652" Type="http://schemas.openxmlformats.org/officeDocument/2006/relationships/hyperlink" Target="https://drive.google.com/open?id=1mg7DlwZJR-dPg8VgVDe6h6vWUk1iDBTp" TargetMode="External"/><Relationship Id="rId530" Type="http://schemas.openxmlformats.org/officeDocument/2006/relationships/hyperlink" Target="https://drive.google.com/open?id=1RYyR6LvPLos0PSnrmk7n3q7p0by7rE4q" TargetMode="External"/><Relationship Id="rId651" Type="http://schemas.openxmlformats.org/officeDocument/2006/relationships/hyperlink" Target="https://drive.google.com/open?id=1p1kfK_hMJtJvBROxKZJogBbUKX2WEbF9" TargetMode="External"/><Relationship Id="rId650" Type="http://schemas.openxmlformats.org/officeDocument/2006/relationships/hyperlink" Target="https://drive.google.com/open?id=1RGXY9btC14SEZ12IOuxPTnCGeI3Mfhmk" TargetMode="External"/><Relationship Id="rId206" Type="http://schemas.openxmlformats.org/officeDocument/2006/relationships/hyperlink" Target="https://drive.google.com/open?id=1O-7Ldq6WSwC9GupNrxtQvl0AGJ3B0QgX" TargetMode="External"/><Relationship Id="rId327" Type="http://schemas.openxmlformats.org/officeDocument/2006/relationships/hyperlink" Target="https://drive.google.com/open?id=19ZoQHfRGY54c1WC7yU1I9AGks--3e_5k" TargetMode="External"/><Relationship Id="rId448" Type="http://schemas.openxmlformats.org/officeDocument/2006/relationships/hyperlink" Target="https://drive.google.com/open?id=138duNTpaca_ckkSyinrVzMX2jSFe1BgL" TargetMode="External"/><Relationship Id="rId569" Type="http://schemas.openxmlformats.org/officeDocument/2006/relationships/hyperlink" Target="https://drive.google.com/open?id=1QyoBtuES6escR68OFJMMmHAfgmIEdIVy" TargetMode="External"/><Relationship Id="rId205" Type="http://schemas.openxmlformats.org/officeDocument/2006/relationships/hyperlink" Target="https://drive.google.com/open?id=16ETgtM2-w974_fxJLQu5qTG43U28T_Wc" TargetMode="External"/><Relationship Id="rId326" Type="http://schemas.openxmlformats.org/officeDocument/2006/relationships/hyperlink" Target="https://drive.google.com/open?id=1xdeEUKXXTID_z_jq6E9Pb5t1tQ5Y538J" TargetMode="External"/><Relationship Id="rId447" Type="http://schemas.openxmlformats.org/officeDocument/2006/relationships/hyperlink" Target="https://drive.google.com/open?id=1AezYriECCGMzRSQSinEaoCYqA6tZpMp7" TargetMode="External"/><Relationship Id="rId568" Type="http://schemas.openxmlformats.org/officeDocument/2006/relationships/hyperlink" Target="https://drive.google.com/open?id=15QdN4eyYJ9Y8GFZmaHyat7-ZAIg4B77O" TargetMode="External"/><Relationship Id="rId689" Type="http://schemas.openxmlformats.org/officeDocument/2006/relationships/hyperlink" Target="https://drive.google.com/open?id=1xNuWjMln7qCIn1SO0irz5Bh_g9XhpESt" TargetMode="External"/><Relationship Id="rId204" Type="http://schemas.openxmlformats.org/officeDocument/2006/relationships/hyperlink" Target="https://drive.google.com/open?id=1YckKJ3SR72O86Mpulj_LcY1vxp2-A8z7" TargetMode="External"/><Relationship Id="rId325" Type="http://schemas.openxmlformats.org/officeDocument/2006/relationships/hyperlink" Target="https://drive.google.com/open?id=1LHopSc_3EJMC8jm9gRdBHGvQU6IUrY1x" TargetMode="External"/><Relationship Id="rId446" Type="http://schemas.openxmlformats.org/officeDocument/2006/relationships/hyperlink" Target="https://drive.google.com/open?id=1wrbFLh6mw-MdDSOL8JHPN7lL2bb6XSbd" TargetMode="External"/><Relationship Id="rId567" Type="http://schemas.openxmlformats.org/officeDocument/2006/relationships/hyperlink" Target="https://drive.google.com/open?id=1c1ZCxWIDMwQ7AKpjnlWOygn_IIWCzITM" TargetMode="External"/><Relationship Id="rId688" Type="http://schemas.openxmlformats.org/officeDocument/2006/relationships/hyperlink" Target="https://drive.google.com/open?id=1vJmpN1ToWVJAIe6nTpQsGZeE3qMoXuH0" TargetMode="External"/><Relationship Id="rId203" Type="http://schemas.openxmlformats.org/officeDocument/2006/relationships/hyperlink" Target="https://drive.google.com/open?id=1e-8G_L2FyBFL5A-JQJ3c_Oq5MD_MjA0G" TargetMode="External"/><Relationship Id="rId324" Type="http://schemas.openxmlformats.org/officeDocument/2006/relationships/hyperlink" Target="https://drive.google.com/open?id=11FlSgaiOBTR8I1IREh8PnsMWFKL6EJC3" TargetMode="External"/><Relationship Id="rId445" Type="http://schemas.openxmlformats.org/officeDocument/2006/relationships/hyperlink" Target="https://drive.google.com/open?id=1qxhu2K4FKAkPnwJLe49_8zxbGYEyfLfA" TargetMode="External"/><Relationship Id="rId566" Type="http://schemas.openxmlformats.org/officeDocument/2006/relationships/hyperlink" Target="https://drive.google.com/open?id=1LPMzTyVayd05Y1_jQVKRvJUQAJ7ph1bW" TargetMode="External"/><Relationship Id="rId687" Type="http://schemas.openxmlformats.org/officeDocument/2006/relationships/hyperlink" Target="https://drive.google.com/open?id=12t34aDezyqpbUKqH-i2GiJvbqdfzHa0C" TargetMode="External"/><Relationship Id="rId209" Type="http://schemas.openxmlformats.org/officeDocument/2006/relationships/hyperlink" Target="https://drive.google.com/open?id=1OOIyzlkAfNC_Sko8D1xuWpsW1GgEpdy4" TargetMode="External"/><Relationship Id="rId208" Type="http://schemas.openxmlformats.org/officeDocument/2006/relationships/hyperlink" Target="https://drive.google.com/open?id=1ntPYui53jUI5AJ-sX1rLHsrJAFdG23P1" TargetMode="External"/><Relationship Id="rId329" Type="http://schemas.openxmlformats.org/officeDocument/2006/relationships/hyperlink" Target="https://drive.google.com/open?id=1FU_gEOu4KOkhOyp_f45R198I94ag_wao" TargetMode="External"/><Relationship Id="rId207" Type="http://schemas.openxmlformats.org/officeDocument/2006/relationships/hyperlink" Target="https://drive.google.com/open?id=1vZSuJGVkgNXk6nDZpwxC4PZOPMUyX2EK" TargetMode="External"/><Relationship Id="rId328" Type="http://schemas.openxmlformats.org/officeDocument/2006/relationships/hyperlink" Target="https://drive.google.com/open?id=1zFgsJykqawybIquAEJNxBbGzgWzeehpf" TargetMode="External"/><Relationship Id="rId449" Type="http://schemas.openxmlformats.org/officeDocument/2006/relationships/hyperlink" Target="https://drive.google.com/open?id=1nrA1HXXpysnoxpEkZhOyl_MethO3HOjc" TargetMode="External"/><Relationship Id="rId440" Type="http://schemas.openxmlformats.org/officeDocument/2006/relationships/hyperlink" Target="https://drive.google.com/open?id=1CvFsaLARYahLtQe22FLbo6V6FqzKS7bk" TargetMode="External"/><Relationship Id="rId561" Type="http://schemas.openxmlformats.org/officeDocument/2006/relationships/hyperlink" Target="https://drive.google.com/open?id=17lS2b9P0uqJBso_6gVnS_I7OMNqOgD8Y" TargetMode="External"/><Relationship Id="rId682" Type="http://schemas.openxmlformats.org/officeDocument/2006/relationships/hyperlink" Target="https://drive.google.com/open?id=1WDiQ4lp2f4oGXihPpxdG6oVaIKb7qwic" TargetMode="External"/><Relationship Id="rId560" Type="http://schemas.openxmlformats.org/officeDocument/2006/relationships/hyperlink" Target="https://drive.google.com/open?id=1ylHA1QzEdYQyiVrjCzu7CwhnMZ8S_g5B" TargetMode="External"/><Relationship Id="rId681" Type="http://schemas.openxmlformats.org/officeDocument/2006/relationships/hyperlink" Target="https://drive.google.com/open?id=1Mlsb3OKWa2-GIq3OjkJYCfa974wmngIU" TargetMode="External"/><Relationship Id="rId680" Type="http://schemas.openxmlformats.org/officeDocument/2006/relationships/hyperlink" Target="https://drive.google.com/open?id=1eUvPDSWieW0WyfpHl_KwZAegODpjOHhY" TargetMode="External"/><Relationship Id="rId202" Type="http://schemas.openxmlformats.org/officeDocument/2006/relationships/hyperlink" Target="https://drive.google.com/open?id=1ZL9l0FXDz0yc8u0gBzimqbZibTJVZEmg" TargetMode="External"/><Relationship Id="rId323" Type="http://schemas.openxmlformats.org/officeDocument/2006/relationships/hyperlink" Target="https://drive.google.com/open?id=1AYt8q2L5YBSnp0Nym65p-w1loBjNFs9k" TargetMode="External"/><Relationship Id="rId444" Type="http://schemas.openxmlformats.org/officeDocument/2006/relationships/hyperlink" Target="https://drive.google.com/open?id=1NXeSlj1JerDwcQAn62sJsxx0t9-oBQre" TargetMode="External"/><Relationship Id="rId565" Type="http://schemas.openxmlformats.org/officeDocument/2006/relationships/hyperlink" Target="https://drive.google.com/open?id=1PyZx0IU05kzuyIiSquioTlDi7_CHR-lc" TargetMode="External"/><Relationship Id="rId686" Type="http://schemas.openxmlformats.org/officeDocument/2006/relationships/hyperlink" Target="https://drive.google.com/open?id=1pf4K6q-7r3e2CtT-KYBKVHaJBJdDFc7A" TargetMode="External"/><Relationship Id="rId201" Type="http://schemas.openxmlformats.org/officeDocument/2006/relationships/hyperlink" Target="https://drive.google.com/open?id=1lYksZg0KrlR-_NyqKK1aLX9d2YDPTbP-" TargetMode="External"/><Relationship Id="rId322" Type="http://schemas.openxmlformats.org/officeDocument/2006/relationships/hyperlink" Target="https://drive.google.com/open?id=15Czxulec9fROQ8-ygAb9qwgJ0oBsEL1n" TargetMode="External"/><Relationship Id="rId443" Type="http://schemas.openxmlformats.org/officeDocument/2006/relationships/hyperlink" Target="https://drive.google.com/open?id=1ABc_dMLutyUV1VO8wWQ8K7rV8-x_A5gd" TargetMode="External"/><Relationship Id="rId564" Type="http://schemas.openxmlformats.org/officeDocument/2006/relationships/hyperlink" Target="https://drive.google.com/open?id=1YT7lUyN62IXmUA9p-nFu3qFlr514IeEb" TargetMode="External"/><Relationship Id="rId685" Type="http://schemas.openxmlformats.org/officeDocument/2006/relationships/hyperlink" Target="https://drive.google.com/open?id=1Fg82_yQRj5PgK2IsS65afqe4deBzqjhP" TargetMode="External"/><Relationship Id="rId200" Type="http://schemas.openxmlformats.org/officeDocument/2006/relationships/hyperlink" Target="https://drive.google.com/open?id=1z6iOYbOc6kDITwpB1JNJZ1SM9jIIS5--" TargetMode="External"/><Relationship Id="rId321" Type="http://schemas.openxmlformats.org/officeDocument/2006/relationships/hyperlink" Target="https://drive.google.com/open?id=10E6vjLONdqmLAahnRzf_0A8aM-Y3L2sc" TargetMode="External"/><Relationship Id="rId442" Type="http://schemas.openxmlformats.org/officeDocument/2006/relationships/hyperlink" Target="https://drive.google.com/open?id=1nChpZDhy0Ko1R355oYZswvHsv2kwvJYj" TargetMode="External"/><Relationship Id="rId563" Type="http://schemas.openxmlformats.org/officeDocument/2006/relationships/hyperlink" Target="https://drive.google.com/open?id=1yn4uEC8K6Aui-8j02eHXqzW99H93QnPe" TargetMode="External"/><Relationship Id="rId684" Type="http://schemas.openxmlformats.org/officeDocument/2006/relationships/hyperlink" Target="https://drive.google.com/open?id=1UJ6vIO8zaHbxWPMcWodEyC4Rngb9G2lC" TargetMode="External"/><Relationship Id="rId320" Type="http://schemas.openxmlformats.org/officeDocument/2006/relationships/hyperlink" Target="https://drive.google.com/open?id=1FbHiSBCU0xkuSHYUE5IkjjoE7-_R6H1z" TargetMode="External"/><Relationship Id="rId441" Type="http://schemas.openxmlformats.org/officeDocument/2006/relationships/hyperlink" Target="https://drive.google.com/open?id=1dB3dzYwMgIRrFDPaPJLyMSOTe1C34Sk4" TargetMode="External"/><Relationship Id="rId562" Type="http://schemas.openxmlformats.org/officeDocument/2006/relationships/hyperlink" Target="https://drive.google.com/open?id=1vKvkCsLWNCahYf1C-ArXcsZyCYYV85wX" TargetMode="External"/><Relationship Id="rId683" Type="http://schemas.openxmlformats.org/officeDocument/2006/relationships/hyperlink" Target="https://drive.google.com/open?id=1dKuBPoi2xNIIA1h2EDqMEAtWcuaTQES4" TargetMode="External"/><Relationship Id="rId316" Type="http://schemas.openxmlformats.org/officeDocument/2006/relationships/hyperlink" Target="https://drive.google.com/open?id=1Eb2uENW9TK_Q8yF2yVxVZ52KXQKqjvud" TargetMode="External"/><Relationship Id="rId437" Type="http://schemas.openxmlformats.org/officeDocument/2006/relationships/hyperlink" Target="https://drive.google.com/open?id=1fHfaCVv1o58HGefwdUMBxbu6CQ_FTZoP" TargetMode="External"/><Relationship Id="rId558" Type="http://schemas.openxmlformats.org/officeDocument/2006/relationships/hyperlink" Target="https://drive.google.com/open?id=1qHo8Rk0p7db1x3wWmX1TzHsY9eWt-gUu" TargetMode="External"/><Relationship Id="rId679" Type="http://schemas.openxmlformats.org/officeDocument/2006/relationships/hyperlink" Target="https://drive.google.com/open?id=1HqswkFYdCN9oCQ1vrZIWqtA6uzK9_9HN" TargetMode="External"/><Relationship Id="rId315" Type="http://schemas.openxmlformats.org/officeDocument/2006/relationships/hyperlink" Target="https://drive.google.com/open?id=1_GMXJ72uF0nzY8z5YRDT-T6e1vPKjbMr" TargetMode="External"/><Relationship Id="rId436" Type="http://schemas.openxmlformats.org/officeDocument/2006/relationships/hyperlink" Target="https://drive.google.com/open?id=1BVs5L3g6_XlpLd0lhSllrgfKhK5ox5Ys" TargetMode="External"/><Relationship Id="rId557" Type="http://schemas.openxmlformats.org/officeDocument/2006/relationships/hyperlink" Target="https://drive.google.com/open?id=1Y1hY_5tiMGFWk9Vs0DCWbbfuWknQ3MzU" TargetMode="External"/><Relationship Id="rId678" Type="http://schemas.openxmlformats.org/officeDocument/2006/relationships/hyperlink" Target="https://drive.google.com/open?id=18HSWhOsdyXNDhrBGFT3Wl7adSbcqcvcV" TargetMode="External"/><Relationship Id="rId314" Type="http://schemas.openxmlformats.org/officeDocument/2006/relationships/hyperlink" Target="https://drive.google.com/open?id=1a9sltHYfwcIXg2YDLDt1igURRW4l2RmI" TargetMode="External"/><Relationship Id="rId435" Type="http://schemas.openxmlformats.org/officeDocument/2006/relationships/hyperlink" Target="https://drive.google.com/open?id=1ofFo7RCSg_lrc1QJghnPmzk81lffrMSk" TargetMode="External"/><Relationship Id="rId556" Type="http://schemas.openxmlformats.org/officeDocument/2006/relationships/hyperlink" Target="https://drive.google.com/open?id=1c62vz_8g_AFZOz8ujd1goiOzEubkPy52" TargetMode="External"/><Relationship Id="rId677" Type="http://schemas.openxmlformats.org/officeDocument/2006/relationships/hyperlink" Target="https://drive.google.com/open?id=1HiPyEyVIjMBnh9qgdV_VgpFgATxO_DgS" TargetMode="External"/><Relationship Id="rId313" Type="http://schemas.openxmlformats.org/officeDocument/2006/relationships/hyperlink" Target="https://drive.google.com/open?id=1-N_LArE4BtCVrzAZxGf82ptlXuto3rXm" TargetMode="External"/><Relationship Id="rId434" Type="http://schemas.openxmlformats.org/officeDocument/2006/relationships/hyperlink" Target="https://drive.google.com/open?id=1hmtsiTmG5hTT4fEAcJFFuScRGLfdKgqR" TargetMode="External"/><Relationship Id="rId555" Type="http://schemas.openxmlformats.org/officeDocument/2006/relationships/hyperlink" Target="https://drive.google.com/open?id=13WSJVSEGYWxooprOKQlA2f1rV3UdBSnO" TargetMode="External"/><Relationship Id="rId676" Type="http://schemas.openxmlformats.org/officeDocument/2006/relationships/hyperlink" Target="https://drive.google.com/open?id=1IgWErb1eJb1x83IfMxf-jBb5W9TEWmn7" TargetMode="External"/><Relationship Id="rId319" Type="http://schemas.openxmlformats.org/officeDocument/2006/relationships/hyperlink" Target="https://drive.google.com/open?id=1gtcu41Ng50-RDwFoXgcYusGnFg4nXpsT" TargetMode="External"/><Relationship Id="rId318" Type="http://schemas.openxmlformats.org/officeDocument/2006/relationships/hyperlink" Target="https://drive.google.com/open?id=1MLMVGSJ6qhf5zHPlzHO3TTDr_lfdeWiL" TargetMode="External"/><Relationship Id="rId439" Type="http://schemas.openxmlformats.org/officeDocument/2006/relationships/hyperlink" Target="https://drive.google.com/open?id=13ECSzNsGHirKxLBIh2IReV2RKhtY8kaa" TargetMode="External"/><Relationship Id="rId317" Type="http://schemas.openxmlformats.org/officeDocument/2006/relationships/hyperlink" Target="https://drive.google.com/open?id=1jAbeB36RlPtFQqzTY_c3aYNKXc6gsoEi" TargetMode="External"/><Relationship Id="rId438" Type="http://schemas.openxmlformats.org/officeDocument/2006/relationships/hyperlink" Target="https://drive.google.com/open?id=1hvuHQyGqWWnx6nVQeEj-8lwhziEh8yBQ" TargetMode="External"/><Relationship Id="rId559" Type="http://schemas.openxmlformats.org/officeDocument/2006/relationships/hyperlink" Target="https://drive.google.com/open?id=1WxkIGZhbcQbR1aTaG-DnvITmxz5NsepU" TargetMode="External"/><Relationship Id="rId550" Type="http://schemas.openxmlformats.org/officeDocument/2006/relationships/hyperlink" Target="https://drive.google.com/open?id=1KUZKOmLHGbu5-TYc1gWv3URi8Ap7QLmv" TargetMode="External"/><Relationship Id="rId671" Type="http://schemas.openxmlformats.org/officeDocument/2006/relationships/hyperlink" Target="https://drive.google.com/open?id=1Opyy0KGlQXoQzqeqxDwANRF0pqaBh8Tq" TargetMode="External"/><Relationship Id="rId670" Type="http://schemas.openxmlformats.org/officeDocument/2006/relationships/hyperlink" Target="https://drive.google.com/open?id=1e8T-x87_8QJKGY4JQLJ-C4vmgOYXgYq7" TargetMode="External"/><Relationship Id="rId312" Type="http://schemas.openxmlformats.org/officeDocument/2006/relationships/hyperlink" Target="https://drive.google.com/open?id=15A_-PbWmqpPEeIetm9xTV3sCtPC2oOyU" TargetMode="External"/><Relationship Id="rId433" Type="http://schemas.openxmlformats.org/officeDocument/2006/relationships/hyperlink" Target="https://drive.google.com/open?id=1s9rmbXf5KvsBJbB0jzE6EXiBqI6eDyzc" TargetMode="External"/><Relationship Id="rId554" Type="http://schemas.openxmlformats.org/officeDocument/2006/relationships/hyperlink" Target="https://drive.google.com/open?id=1mcnFAjPTMyzoQF8qZWkAIliy3x1xjiuW" TargetMode="External"/><Relationship Id="rId675" Type="http://schemas.openxmlformats.org/officeDocument/2006/relationships/hyperlink" Target="https://drive.google.com/open?id=1aW7kZmvfsZVSbbPpdHqc4H6az8f3Nvic" TargetMode="External"/><Relationship Id="rId311" Type="http://schemas.openxmlformats.org/officeDocument/2006/relationships/hyperlink" Target="https://drive.google.com/open?id=17sxQ_GWW2LkBGlMatK98kineHJ1iKiF7" TargetMode="External"/><Relationship Id="rId432" Type="http://schemas.openxmlformats.org/officeDocument/2006/relationships/hyperlink" Target="https://drive.google.com/open?id=1cDXeNHChGAflARiH-HzEY1GnV4EuNzPy" TargetMode="External"/><Relationship Id="rId553" Type="http://schemas.openxmlformats.org/officeDocument/2006/relationships/hyperlink" Target="https://drive.google.com/open?id=1ig-7MOO5_Sy-JfLz5jXtjjl1YJfirl84" TargetMode="External"/><Relationship Id="rId674" Type="http://schemas.openxmlformats.org/officeDocument/2006/relationships/hyperlink" Target="https://drive.google.com/open?id=16egwSM5lRoTeJrl86ywA_EiWz4CZ4Zd0" TargetMode="External"/><Relationship Id="rId310" Type="http://schemas.openxmlformats.org/officeDocument/2006/relationships/hyperlink" Target="https://drive.google.com/open?id=13b-hkIJVpsA0VYPxNTpKS-TOCcjiBZtX" TargetMode="External"/><Relationship Id="rId431" Type="http://schemas.openxmlformats.org/officeDocument/2006/relationships/hyperlink" Target="https://drive.google.com/open?id=1NpGiWdZ-4_4E_bwiuhnIBevH2CzTP3g5" TargetMode="External"/><Relationship Id="rId552" Type="http://schemas.openxmlformats.org/officeDocument/2006/relationships/hyperlink" Target="https://drive.google.com/open?id=1uPqzsP_Whs6zMBkctAjRGRauBlTQ7knQ" TargetMode="External"/><Relationship Id="rId673" Type="http://schemas.openxmlformats.org/officeDocument/2006/relationships/hyperlink" Target="https://drive.google.com/open?id=1h04nEG1ulijHYJ6W_WYu2mT8Hnr2ZgVs" TargetMode="External"/><Relationship Id="rId430" Type="http://schemas.openxmlformats.org/officeDocument/2006/relationships/hyperlink" Target="https://drive.google.com/open?id=1dYM45ObSp7icwCr_yKg1t63kBjq0GZ6d" TargetMode="External"/><Relationship Id="rId551" Type="http://schemas.openxmlformats.org/officeDocument/2006/relationships/hyperlink" Target="https://drive.google.com/open?id=19WerP6clrhEhLzSDcQbi8PxH6Ep6CHER" TargetMode="External"/><Relationship Id="rId672" Type="http://schemas.openxmlformats.org/officeDocument/2006/relationships/hyperlink" Target="https://drive.google.com/open?id=14xOAiSYzHHDvKnhPHSPO-76BD0UlFE7c"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40IAw1sI2nPQztTAXY9-XJxd4lPpOhpeXb-IXXnWUZk/edit?usp=sharing" TargetMode="External"/><Relationship Id="rId3" Type="http://schemas.openxmlformats.org/officeDocument/2006/relationships/drawing" Target="../drawings/drawing7.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38"/>
  </cols>
  <sheetData>
    <row r="1" ht="41.25" customHeight="1">
      <c r="A1" s="1" t="str">
        <f>IFERROR(__xludf.DUMMYFUNCTION("QUERY({
  'APS Tubes IMPORT'!A1:A3212; 
  'ARF Tubes'!M2:M3212
}, 
""SELECT Col1 WHERE Col1 IS NOT NULL"", 0)"),"TUBE ID")</f>
        <v>TUBE ID</v>
      </c>
      <c r="B1" s="1" t="str">
        <f>IFERROR(__xludf.DUMMYFUNCTION("QUERY({
  'APS Tubes IMPORT'!V1:V3212; 
  'ARF Tubes'!N2:N3212
}, 
""SELECT Col1 WHERE Col1 IS NOT NULL"", 0)"),"FINAL
ASSIGNED RUN ID")</f>
        <v>FINAL
ASSIGNED RUN ID</v>
      </c>
      <c r="C1" s="2" t="str">
        <f>'Run Reconcile'!B1</f>
        <v>RUN DATE</v>
      </c>
      <c r="D1" s="3" t="str">
        <f>'APS Tubes IMPORT'!B1</f>
        <v>COLLECTION DATE</v>
      </c>
      <c r="E1" s="4" t="str">
        <f>'APS Tubes IMPORT'!C1</f>
        <v>COLLECTION TIME</v>
      </c>
      <c r="F1" s="1" t="str">
        <f>IFERROR(__xludf.DUMMYFUNCTION("QUERY({
  'APS Tubes IMPORT'!H1:H3212; 
  'ARF Tubes'!P2:P3212
}, 
""SELECT Col1 WHERE Col1 IS NOT NULL"", 0)"),"FINAL RESULT")</f>
        <v>FINAL RESULT</v>
      </c>
      <c r="G1" s="5" t="str">
        <f>'APS Tubes IMPORT'!N1</f>
        <v>NUM SAMPLES (Pool Level)</v>
      </c>
      <c r="H1" s="6"/>
      <c r="I1" s="6"/>
      <c r="J1" s="6"/>
      <c r="K1" s="6"/>
      <c r="L1" s="6"/>
      <c r="M1" s="6"/>
      <c r="N1" s="6"/>
      <c r="O1" s="6"/>
      <c r="P1" s="6"/>
      <c r="Q1" s="6"/>
      <c r="R1" s="6"/>
      <c r="S1" s="6"/>
      <c r="T1" s="6"/>
      <c r="U1" s="6"/>
      <c r="V1" s="6"/>
      <c r="W1" s="6"/>
      <c r="X1" s="6"/>
      <c r="Y1" s="6"/>
      <c r="Z1" s="6"/>
    </row>
    <row r="2">
      <c r="A2" s="7" t="str">
        <f>IFERROR(__xludf.DUMMYFUNCTION("""COMPUTED_VALUE"""),"AH7429")</f>
        <v>AH7429</v>
      </c>
      <c r="B2" s="7" t="str">
        <f>IFERROR(__xludf.DUMMYFUNCTION("""COMPUTED_VALUE"""),"RUN-ABRM_2022-09-05_RFR-001")</f>
        <v>RUN-ABRM_2022-09-05_RFR-001</v>
      </c>
      <c r="C2" s="8">
        <f>VLOOKUP(B2,'Run Reconcile'!A$2:B3212,2,FALSE)</f>
        <v>44809</v>
      </c>
      <c r="D2" s="9">
        <f>IFERROR(__xludf.DUMMYFUNCTION("QUERY({
  'APS Tubes IMPORT'!B2:B3212 
}, 
""SELECT Col1 WHERE Col1 IS NOT NULL"", 0)"),44809.0)</f>
        <v>44809</v>
      </c>
      <c r="E2" s="10">
        <f>IFERROR(__xludf.DUMMYFUNCTION("QUERY({
  'APS Tubes IMPORT'!C2:C3212; 
  'ARF Tubes'!P2:P3212
}, 
""SELECT Col1 WHERE Col1 IS NOT NULL"", 0)"),0.301898148147302)</f>
        <v>0.3018981481</v>
      </c>
      <c r="F2" s="7" t="str">
        <f>IFERROR(__xludf.DUMMYFUNCTION("""COMPUTED_VALUE"""),"Negative")</f>
        <v>Negative</v>
      </c>
      <c r="G2" s="11">
        <f>IFERROR(__xludf.DUMMYFUNCTION("QUERY({
  'APS Tubes IMPORT'!N2:N3212 
}, 
""SELECT Col1 WHERE Col1 IS NOT NULL"", 0)"),2.0)</f>
        <v>2</v>
      </c>
    </row>
    <row r="3">
      <c r="A3" s="7" t="str">
        <f>IFERROR(__xludf.DUMMYFUNCTION("""COMPUTED_VALUE"""),"AG448")</f>
        <v>AG448</v>
      </c>
      <c r="B3" s="7" t="str">
        <f>IFERROR(__xludf.DUMMYFUNCTION("""COMPUTED_VALUE"""),"RUN-ABRM_2022-09-05_RFR-001")</f>
        <v>RUN-ABRM_2022-09-05_RFR-001</v>
      </c>
      <c r="C3" s="8">
        <f>VLOOKUP(B3,'Run Reconcile'!A$2:B3212,2,FALSE)</f>
        <v>44809</v>
      </c>
      <c r="D3" s="12">
        <f>IFERROR(__xludf.DUMMYFUNCTION("""COMPUTED_VALUE"""),44809.0)</f>
        <v>44809</v>
      </c>
      <c r="E3" s="13">
        <f>IFERROR(__xludf.DUMMYFUNCTION("""COMPUTED_VALUE"""),0.35114583333415794)</f>
        <v>0.3511458333</v>
      </c>
      <c r="F3" s="7" t="str">
        <f>IFERROR(__xludf.DUMMYFUNCTION("""COMPUTED_VALUE"""),"Negative")</f>
        <v>Negative</v>
      </c>
      <c r="G3" s="7">
        <f>IFERROR(__xludf.DUMMYFUNCTION("""COMPUTED_VALUE"""),4.0)</f>
        <v>4</v>
      </c>
    </row>
    <row r="4">
      <c r="A4" s="7" t="str">
        <f>IFERROR(__xludf.DUMMYFUNCTION("""COMPUTED_VALUE"""),"AJ8004")</f>
        <v>AJ8004</v>
      </c>
      <c r="B4" s="7" t="str">
        <f>IFERROR(__xludf.DUMMYFUNCTION("""COMPUTED_VALUE"""),"RUN-ABRM_2022-09-05_RFR-001")</f>
        <v>RUN-ABRM_2022-09-05_RFR-001</v>
      </c>
      <c r="C4" s="8">
        <f>VLOOKUP(B4,'Run Reconcile'!A$2:B3212,2,FALSE)</f>
        <v>44809</v>
      </c>
      <c r="D4" s="12">
        <f>IFERROR(__xludf.DUMMYFUNCTION("""COMPUTED_VALUE"""),44809.0)</f>
        <v>44809</v>
      </c>
      <c r="E4" s="13">
        <f>IFERROR(__xludf.DUMMYFUNCTION("""COMPUTED_VALUE"""),0.375138888888614)</f>
        <v>0.3751388889</v>
      </c>
      <c r="F4" s="7" t="str">
        <f>IFERROR(__xludf.DUMMYFUNCTION("""COMPUTED_VALUE"""),"Negative")</f>
        <v>Negative</v>
      </c>
      <c r="G4" s="7">
        <f>IFERROR(__xludf.DUMMYFUNCTION("""COMPUTED_VALUE"""),3.0)</f>
        <v>3</v>
      </c>
    </row>
    <row r="5">
      <c r="A5" s="7" t="str">
        <f>IFERROR(__xludf.DUMMYFUNCTION("""COMPUTED_VALUE"""),"AH8068")</f>
        <v>AH8068</v>
      </c>
      <c r="B5" s="7" t="str">
        <f>IFERROR(__xludf.DUMMYFUNCTION("""COMPUTED_VALUE"""),"RUN-ABRM_2022-09-05_RFR-001")</f>
        <v>RUN-ABRM_2022-09-05_RFR-001</v>
      </c>
      <c r="C5" s="8">
        <f>VLOOKUP(B5,'Run Reconcile'!A$2:B3212,2,FALSE)</f>
        <v>44809</v>
      </c>
      <c r="D5" s="12">
        <f>IFERROR(__xludf.DUMMYFUNCTION("""COMPUTED_VALUE"""),44809.0)</f>
        <v>44809</v>
      </c>
      <c r="E5" s="13">
        <f>IFERROR(__xludf.DUMMYFUNCTION("""COMPUTED_VALUE"""),0.39384259259168175)</f>
        <v>0.3938425926</v>
      </c>
      <c r="F5" s="7" t="str">
        <f>IFERROR(__xludf.DUMMYFUNCTION("""COMPUTED_VALUE"""),"Negative")</f>
        <v>Negative</v>
      </c>
      <c r="G5" s="7">
        <f>IFERROR(__xludf.DUMMYFUNCTION("""COMPUTED_VALUE"""),2.0)</f>
        <v>2</v>
      </c>
    </row>
    <row r="6">
      <c r="A6" s="7" t="str">
        <f>IFERROR(__xludf.DUMMYFUNCTION("""COMPUTED_VALUE"""),"AH9257")</f>
        <v>AH9257</v>
      </c>
      <c r="B6" s="7" t="str">
        <f>IFERROR(__xludf.DUMMYFUNCTION("""COMPUTED_VALUE"""),"RUN-ABRM_2022-09-05_RFR-001")</f>
        <v>RUN-ABRM_2022-09-05_RFR-001</v>
      </c>
      <c r="C6" s="8">
        <f>VLOOKUP(B6,'Run Reconcile'!A$2:B3212,2,FALSE)</f>
        <v>44809</v>
      </c>
      <c r="D6" s="12">
        <f>IFERROR(__xludf.DUMMYFUNCTION("""COMPUTED_VALUE"""),44809.0)</f>
        <v>44809</v>
      </c>
      <c r="E6" s="13">
        <f>IFERROR(__xludf.DUMMYFUNCTION("""COMPUTED_VALUE"""),0.40921296296437504)</f>
        <v>0.409212963</v>
      </c>
      <c r="F6" s="7" t="str">
        <f>IFERROR(__xludf.DUMMYFUNCTION("""COMPUTED_VALUE"""),"Negative")</f>
        <v>Negative</v>
      </c>
      <c r="G6" s="7">
        <f>IFERROR(__xludf.DUMMYFUNCTION("""COMPUTED_VALUE"""),2.0)</f>
        <v>2</v>
      </c>
    </row>
    <row r="7">
      <c r="A7" s="7" t="str">
        <f>IFERROR(__xludf.DUMMYFUNCTION("""COMPUTED_VALUE"""),"AG1276")</f>
        <v>AG1276</v>
      </c>
      <c r="B7" s="7" t="str">
        <f>IFERROR(__xludf.DUMMYFUNCTION("""COMPUTED_VALUE"""),"RUN-ABRM_2022-09-05_RFR-001")</f>
        <v>RUN-ABRM_2022-09-05_RFR-001</v>
      </c>
      <c r="C7" s="8">
        <f>VLOOKUP(B7,'Run Reconcile'!A$2:B3212,2,FALSE)</f>
        <v>44809</v>
      </c>
      <c r="D7" s="12">
        <f>IFERROR(__xludf.DUMMYFUNCTION("""COMPUTED_VALUE"""),44809.0)</f>
        <v>44809</v>
      </c>
      <c r="E7" s="13">
        <f>IFERROR(__xludf.DUMMYFUNCTION("""COMPUTED_VALUE"""),0.4484374999992724)</f>
        <v>0.4484375</v>
      </c>
      <c r="F7" s="7" t="str">
        <f>IFERROR(__xludf.DUMMYFUNCTION("""COMPUTED_VALUE"""),"Negative")</f>
        <v>Negative</v>
      </c>
      <c r="G7" s="7">
        <f>IFERROR(__xludf.DUMMYFUNCTION("""COMPUTED_VALUE"""),2.0)</f>
        <v>2</v>
      </c>
    </row>
    <row r="8">
      <c r="A8" s="7" t="str">
        <f>IFERROR(__xludf.DUMMYFUNCTION("""COMPUTED_VALUE"""),"AG1434")</f>
        <v>AG1434</v>
      </c>
      <c r="B8" s="7" t="str">
        <f>IFERROR(__xludf.DUMMYFUNCTION("""COMPUTED_VALUE"""),"RUN-ABRM_2022-09-05_RFR-001")</f>
        <v>RUN-ABRM_2022-09-05_RFR-001</v>
      </c>
      <c r="C8" s="8">
        <f>VLOOKUP(B8,'Run Reconcile'!A$2:B3212,2,FALSE)</f>
        <v>44809</v>
      </c>
      <c r="D8" s="12">
        <f>IFERROR(__xludf.DUMMYFUNCTION("""COMPUTED_VALUE"""),44809.0)</f>
        <v>44809</v>
      </c>
      <c r="E8" s="13">
        <f>IFERROR(__xludf.DUMMYFUNCTION("""COMPUTED_VALUE"""),0.5504513888881775)</f>
        <v>0.5504513889</v>
      </c>
      <c r="F8" s="7" t="str">
        <f>IFERROR(__xludf.DUMMYFUNCTION("""COMPUTED_VALUE"""),"Negative")</f>
        <v>Negative</v>
      </c>
      <c r="G8" s="7">
        <f>IFERROR(__xludf.DUMMYFUNCTION("""COMPUTED_VALUE"""),1.0)</f>
        <v>1</v>
      </c>
    </row>
    <row r="9">
      <c r="A9" s="7" t="str">
        <f>IFERROR(__xludf.DUMMYFUNCTION("""COMPUTED_VALUE"""),"AG2096")</f>
        <v>AG2096</v>
      </c>
      <c r="B9" s="7" t="str">
        <f>IFERROR(__xludf.DUMMYFUNCTION("""COMPUTED_VALUE"""),"RUN-ABRM_2022-09-05_RFR-001")</f>
        <v>RUN-ABRM_2022-09-05_RFR-001</v>
      </c>
      <c r="C9" s="8">
        <f>VLOOKUP(B9,'Run Reconcile'!A$2:B3212,2,FALSE)</f>
        <v>44809</v>
      </c>
      <c r="D9" s="12">
        <f>IFERROR(__xludf.DUMMYFUNCTION("""COMPUTED_VALUE"""),44809.0)</f>
        <v>44809</v>
      </c>
      <c r="E9" s="13">
        <f>IFERROR(__xludf.DUMMYFUNCTION("""COMPUTED_VALUE"""),0.5509837962963502)</f>
        <v>0.5509837963</v>
      </c>
      <c r="F9" s="7" t="str">
        <f>IFERROR(__xludf.DUMMYFUNCTION("""COMPUTED_VALUE"""),"Negative")</f>
        <v>Negative</v>
      </c>
      <c r="G9" s="7">
        <f>IFERROR(__xludf.DUMMYFUNCTION("""COMPUTED_VALUE"""),1.0)</f>
        <v>1</v>
      </c>
    </row>
    <row r="10">
      <c r="A10" s="7" t="str">
        <f>IFERROR(__xludf.DUMMYFUNCTION("""COMPUTED_VALUE"""),"AH8397")</f>
        <v>AH8397</v>
      </c>
      <c r="B10" s="7" t="str">
        <f>IFERROR(__xludf.DUMMYFUNCTION("""COMPUTED_VALUE"""),"RUN-ABRM_2022-09-05_RFR-001")</f>
        <v>RUN-ABRM_2022-09-05_RFR-001</v>
      </c>
      <c r="C10" s="8">
        <f>VLOOKUP(B10,'Run Reconcile'!A$2:B3212,2,FALSE)</f>
        <v>44809</v>
      </c>
      <c r="D10" s="12">
        <f>IFERROR(__xludf.DUMMYFUNCTION("""COMPUTED_VALUE"""),44809.0)</f>
        <v>44809</v>
      </c>
      <c r="E10" s="13">
        <f>IFERROR(__xludf.DUMMYFUNCTION("""COMPUTED_VALUE"""),0.5515625000007276)</f>
        <v>0.5515625</v>
      </c>
      <c r="F10" s="7" t="str">
        <f>IFERROR(__xludf.DUMMYFUNCTION("""COMPUTED_VALUE"""),"Negative")</f>
        <v>Negative</v>
      </c>
      <c r="G10" s="7">
        <f>IFERROR(__xludf.DUMMYFUNCTION("""COMPUTED_VALUE"""),2.0)</f>
        <v>2</v>
      </c>
    </row>
    <row r="11">
      <c r="A11" s="7" t="str">
        <f>IFERROR(__xludf.DUMMYFUNCTION("""COMPUTED_VALUE"""),"AG1056")</f>
        <v>AG1056</v>
      </c>
      <c r="B11" s="7" t="str">
        <f>IFERROR(__xludf.DUMMYFUNCTION("""COMPUTED_VALUE"""),"RUN-ABRM_2022-09-05_RFR-001")</f>
        <v>RUN-ABRM_2022-09-05_RFR-001</v>
      </c>
      <c r="C11" s="8">
        <f>VLOOKUP(B11,'Run Reconcile'!A$2:B3212,2,FALSE)</f>
        <v>44809</v>
      </c>
      <c r="D11" s="12">
        <f>IFERROR(__xludf.DUMMYFUNCTION("""COMPUTED_VALUE"""),44809.0)</f>
        <v>44809</v>
      </c>
      <c r="E11" s="13">
        <f>IFERROR(__xludf.DUMMYFUNCTION("""COMPUTED_VALUE"""),0.5518518518510973)</f>
        <v>0.5518518519</v>
      </c>
      <c r="F11" s="7" t="str">
        <f>IFERROR(__xludf.DUMMYFUNCTION("""COMPUTED_VALUE"""),"Negative")</f>
        <v>Negative</v>
      </c>
      <c r="G11" s="7">
        <f>IFERROR(__xludf.DUMMYFUNCTION("""COMPUTED_VALUE"""),4.0)</f>
        <v>4</v>
      </c>
    </row>
    <row r="12">
      <c r="A12" s="7" t="str">
        <f>IFERROR(__xludf.DUMMYFUNCTION("""COMPUTED_VALUE"""),"AH8238")</f>
        <v>AH8238</v>
      </c>
      <c r="B12" s="7" t="str">
        <f>IFERROR(__xludf.DUMMYFUNCTION("""COMPUTED_VALUE"""),"RUN-ABRM_2022-09-05_RFR-001")</f>
        <v>RUN-ABRM_2022-09-05_RFR-001</v>
      </c>
      <c r="C12" s="8">
        <f>VLOOKUP(B12,'Run Reconcile'!A$2:B3212,2,FALSE)</f>
        <v>44809</v>
      </c>
      <c r="D12" s="12">
        <f>IFERROR(__xludf.DUMMYFUNCTION("""COMPUTED_VALUE"""),44809.0)</f>
        <v>44809</v>
      </c>
      <c r="E12" s="13">
        <f>IFERROR(__xludf.DUMMYFUNCTION("""COMPUTED_VALUE"""),0.6387152777788287)</f>
        <v>0.6387152778</v>
      </c>
      <c r="F12" s="7" t="str">
        <f>IFERROR(__xludf.DUMMYFUNCTION("""COMPUTED_VALUE"""),"Negative")</f>
        <v>Negative</v>
      </c>
      <c r="G12" s="7">
        <f>IFERROR(__xludf.DUMMYFUNCTION("""COMPUTED_VALUE"""),1.0)</f>
        <v>1</v>
      </c>
    </row>
    <row r="13">
      <c r="A13" s="7" t="str">
        <f>IFERROR(__xludf.DUMMYFUNCTION("""COMPUTED_VALUE"""),"AH7722")</f>
        <v>AH7722</v>
      </c>
      <c r="B13" s="7" t="str">
        <f>IFERROR(__xludf.DUMMYFUNCTION("""COMPUTED_VALUE"""),"RUN-ABRM_2022-09-06_RFR-002")</f>
        <v>RUN-ABRM_2022-09-06_RFR-002</v>
      </c>
      <c r="C13" s="8">
        <f>VLOOKUP(B13,'Run Reconcile'!A$2:B3212,2,FALSE)</f>
        <v>44810</v>
      </c>
      <c r="D13" s="12">
        <f>IFERROR(__xludf.DUMMYFUNCTION("""COMPUTED_VALUE"""),44810.0)</f>
        <v>44810</v>
      </c>
      <c r="E13" s="13">
        <f>IFERROR(__xludf.DUMMYFUNCTION("""COMPUTED_VALUE"""),0.20773148148145992)</f>
        <v>0.2077314815</v>
      </c>
      <c r="F13" s="7" t="str">
        <f>IFERROR(__xludf.DUMMYFUNCTION("""COMPUTED_VALUE"""),"Negative")</f>
        <v>Negative</v>
      </c>
      <c r="G13" s="7">
        <f>IFERROR(__xludf.DUMMYFUNCTION("""COMPUTED_VALUE"""),2.0)</f>
        <v>2</v>
      </c>
    </row>
    <row r="14">
      <c r="A14" s="7" t="str">
        <f>IFERROR(__xludf.DUMMYFUNCTION("""COMPUTED_VALUE"""),"AH8567")</f>
        <v>AH8567</v>
      </c>
      <c r="B14" s="7" t="str">
        <f>IFERROR(__xludf.DUMMYFUNCTION("""COMPUTED_VALUE"""),"RUN-ABRM_2022-09-06_RFR-002")</f>
        <v>RUN-ABRM_2022-09-06_RFR-002</v>
      </c>
      <c r="C14" s="8">
        <f>VLOOKUP(B14,'Run Reconcile'!A$2:B3212,2,FALSE)</f>
        <v>44810</v>
      </c>
      <c r="D14" s="12">
        <f>IFERROR(__xludf.DUMMYFUNCTION("""COMPUTED_VALUE"""),44810.0)</f>
        <v>44810</v>
      </c>
      <c r="E14" s="13">
        <f>IFERROR(__xludf.DUMMYFUNCTION("""COMPUTED_VALUE"""),0.28258101851679385)</f>
        <v>0.2825810185</v>
      </c>
      <c r="F14" s="7" t="str">
        <f>IFERROR(__xludf.DUMMYFUNCTION("""COMPUTED_VALUE"""),"Negative")</f>
        <v>Negative</v>
      </c>
      <c r="G14" s="7">
        <f>IFERROR(__xludf.DUMMYFUNCTION("""COMPUTED_VALUE"""),3.0)</f>
        <v>3</v>
      </c>
    </row>
    <row r="15">
      <c r="A15" s="7" t="str">
        <f>IFERROR(__xludf.DUMMYFUNCTION("""COMPUTED_VALUE"""),"AH8614")</f>
        <v>AH8614</v>
      </c>
      <c r="B15" s="7" t="str">
        <f>IFERROR(__xludf.DUMMYFUNCTION("""COMPUTED_VALUE"""),"RUN-ABRM_2022-09-06_RFR-002")</f>
        <v>RUN-ABRM_2022-09-06_RFR-002</v>
      </c>
      <c r="C15" s="8">
        <f>VLOOKUP(B15,'Run Reconcile'!A$2:B3212,2,FALSE)</f>
        <v>44810</v>
      </c>
      <c r="D15" s="12">
        <f>IFERROR(__xludf.DUMMYFUNCTION("""COMPUTED_VALUE"""),44810.0)</f>
        <v>44810</v>
      </c>
      <c r="E15" s="13">
        <f>IFERROR(__xludf.DUMMYFUNCTION("""COMPUTED_VALUE"""),0.29910879629460396)</f>
        <v>0.2991087963</v>
      </c>
      <c r="F15" s="7" t="str">
        <f>IFERROR(__xludf.DUMMYFUNCTION("""COMPUTED_VALUE"""),"Negative")</f>
        <v>Negative</v>
      </c>
      <c r="G15" s="7">
        <f>IFERROR(__xludf.DUMMYFUNCTION("""COMPUTED_VALUE"""),2.0)</f>
        <v>2</v>
      </c>
    </row>
    <row r="16">
      <c r="A16" s="7" t="str">
        <f>IFERROR(__xludf.DUMMYFUNCTION("""COMPUTED_VALUE"""),"AK5855")</f>
        <v>AK5855</v>
      </c>
      <c r="B16" s="7" t="str">
        <f>IFERROR(__xludf.DUMMYFUNCTION("""COMPUTED_VALUE"""),"RUN-ABRM_2022-09-06_RFR-002")</f>
        <v>RUN-ABRM_2022-09-06_RFR-002</v>
      </c>
      <c r="C16" s="8">
        <f>VLOOKUP(B16,'Run Reconcile'!A$2:B3212,2,FALSE)</f>
        <v>44810</v>
      </c>
      <c r="D16" s="12">
        <f>IFERROR(__xludf.DUMMYFUNCTION("""COMPUTED_VALUE"""),44810.0)</f>
        <v>44810</v>
      </c>
      <c r="E16" s="13">
        <f>IFERROR(__xludf.DUMMYFUNCTION("""COMPUTED_VALUE"""),0.30761574074131204)</f>
        <v>0.3076157407</v>
      </c>
      <c r="F16" s="7" t="str">
        <f>IFERROR(__xludf.DUMMYFUNCTION("""COMPUTED_VALUE"""),"Negative")</f>
        <v>Negative</v>
      </c>
      <c r="G16" s="7">
        <f>IFERROR(__xludf.DUMMYFUNCTION("""COMPUTED_VALUE"""),4.0)</f>
        <v>4</v>
      </c>
    </row>
    <row r="17">
      <c r="A17" s="7" t="str">
        <f>IFERROR(__xludf.DUMMYFUNCTION("""COMPUTED_VALUE"""),"AG1798")</f>
        <v>AG1798</v>
      </c>
      <c r="B17" s="7" t="str">
        <f>IFERROR(__xludf.DUMMYFUNCTION("""COMPUTED_VALUE"""),"RUN-ABRM_2022-09-06_RFR-002")</f>
        <v>RUN-ABRM_2022-09-06_RFR-002</v>
      </c>
      <c r="C17" s="8">
        <f>VLOOKUP(B17,'Run Reconcile'!A$2:B3212,2,FALSE)</f>
        <v>44810</v>
      </c>
      <c r="D17" s="12">
        <f>IFERROR(__xludf.DUMMYFUNCTION("""COMPUTED_VALUE"""),44810.0)</f>
        <v>44810</v>
      </c>
      <c r="E17" s="13">
        <f>IFERROR(__xludf.DUMMYFUNCTION("""COMPUTED_VALUE"""),0.3100694444437977)</f>
        <v>0.3100694444</v>
      </c>
      <c r="F17" s="7" t="str">
        <f>IFERROR(__xludf.DUMMYFUNCTION("""COMPUTED_VALUE"""),"Negative")</f>
        <v>Negative</v>
      </c>
      <c r="G17" s="7">
        <f>IFERROR(__xludf.DUMMYFUNCTION("""COMPUTED_VALUE"""),2.0)</f>
        <v>2</v>
      </c>
    </row>
    <row r="18">
      <c r="A18" s="7" t="str">
        <f>IFERROR(__xludf.DUMMYFUNCTION("""COMPUTED_VALUE"""),"AH9538")</f>
        <v>AH9538</v>
      </c>
      <c r="B18" s="7" t="str">
        <f>IFERROR(__xludf.DUMMYFUNCTION("""COMPUTED_VALUE"""),"RUN-ABRM_2022-09-06_RFR-002")</f>
        <v>RUN-ABRM_2022-09-06_RFR-002</v>
      </c>
      <c r="C18" s="8">
        <f>VLOOKUP(B18,'Run Reconcile'!A$2:B3212,2,FALSE)</f>
        <v>44810</v>
      </c>
      <c r="D18" s="12">
        <f>IFERROR(__xludf.DUMMYFUNCTION("""COMPUTED_VALUE"""),44810.0)</f>
        <v>44810</v>
      </c>
      <c r="E18" s="13">
        <f>IFERROR(__xludf.DUMMYFUNCTION("""COMPUTED_VALUE"""),0.31447916666729725)</f>
        <v>0.3144791667</v>
      </c>
      <c r="F18" s="7" t="str">
        <f>IFERROR(__xludf.DUMMYFUNCTION("""COMPUTED_VALUE"""),"Negative")</f>
        <v>Negative</v>
      </c>
      <c r="G18" s="7">
        <f>IFERROR(__xludf.DUMMYFUNCTION("""COMPUTED_VALUE"""),1.0)</f>
        <v>1</v>
      </c>
    </row>
    <row r="19">
      <c r="A19" s="7" t="str">
        <f>IFERROR(__xludf.DUMMYFUNCTION("""COMPUTED_VALUE"""),"AH7857")</f>
        <v>AH7857</v>
      </c>
      <c r="B19" s="7" t="str">
        <f>IFERROR(__xludf.DUMMYFUNCTION("""COMPUTED_VALUE"""),"RUN-ABRM_2022-09-06_RFR-002")</f>
        <v>RUN-ABRM_2022-09-06_RFR-002</v>
      </c>
      <c r="C19" s="8">
        <f>VLOOKUP(B19,'Run Reconcile'!A$2:B3212,2,FALSE)</f>
        <v>44810</v>
      </c>
      <c r="D19" s="12">
        <f>IFERROR(__xludf.DUMMYFUNCTION("""COMPUTED_VALUE"""),44810.0)</f>
        <v>44810</v>
      </c>
      <c r="E19" s="13">
        <f>IFERROR(__xludf.DUMMYFUNCTION("""COMPUTED_VALUE"""),0.31672453703868086)</f>
        <v>0.316724537</v>
      </c>
      <c r="F19" s="7" t="str">
        <f>IFERROR(__xludf.DUMMYFUNCTION("""COMPUTED_VALUE"""),"Negative")</f>
        <v>Negative</v>
      </c>
      <c r="G19" s="7">
        <f>IFERROR(__xludf.DUMMYFUNCTION("""COMPUTED_VALUE"""),1.0)</f>
        <v>1</v>
      </c>
    </row>
    <row r="20">
      <c r="A20" s="7" t="str">
        <f>IFERROR(__xludf.DUMMYFUNCTION("""COMPUTED_VALUE"""),"AH9830")</f>
        <v>AH9830</v>
      </c>
      <c r="B20" s="7" t="str">
        <f>IFERROR(__xludf.DUMMYFUNCTION("""COMPUTED_VALUE"""),"RUN-ABRM_2022-09-07_RFR-003")</f>
        <v>RUN-ABRM_2022-09-07_RFR-003</v>
      </c>
      <c r="C20" s="8">
        <f>VLOOKUP(B20,'Run Reconcile'!A$2:B3212,2,FALSE)</f>
        <v>44811</v>
      </c>
      <c r="D20" s="12">
        <f>IFERROR(__xludf.DUMMYFUNCTION("""COMPUTED_VALUE"""),44811.0)</f>
        <v>44811</v>
      </c>
      <c r="E20" s="13">
        <f>IFERROR(__xludf.DUMMYFUNCTION("""COMPUTED_VALUE"""),0.23423611111138598)</f>
        <v>0.2342361111</v>
      </c>
      <c r="F20" s="7" t="str">
        <f>IFERROR(__xludf.DUMMYFUNCTION("""COMPUTED_VALUE"""),"Negative")</f>
        <v>Negative</v>
      </c>
      <c r="G20" s="7">
        <f>IFERROR(__xludf.DUMMYFUNCTION("""COMPUTED_VALUE"""),3.0)</f>
        <v>3</v>
      </c>
    </row>
    <row r="21">
      <c r="A21" s="7" t="str">
        <f>IFERROR(__xludf.DUMMYFUNCTION("""COMPUTED_VALUE"""),"AH8447")</f>
        <v>AH8447</v>
      </c>
      <c r="B21" s="7" t="str">
        <f>IFERROR(__xludf.DUMMYFUNCTION("""COMPUTED_VALUE"""),"RUN-ABRM_2022-09-07_RFR-003")</f>
        <v>RUN-ABRM_2022-09-07_RFR-003</v>
      </c>
      <c r="C21" s="8">
        <f>VLOOKUP(B21,'Run Reconcile'!A$2:B3212,2,FALSE)</f>
        <v>44811</v>
      </c>
      <c r="D21" s="12">
        <f>IFERROR(__xludf.DUMMYFUNCTION("""COMPUTED_VALUE"""),44811.0)</f>
        <v>44811</v>
      </c>
      <c r="E21" s="13">
        <f>IFERROR(__xludf.DUMMYFUNCTION("""COMPUTED_VALUE"""),0.2401504629633564)</f>
        <v>0.240150463</v>
      </c>
      <c r="F21" s="7" t="str">
        <f>IFERROR(__xludf.DUMMYFUNCTION("""COMPUTED_VALUE"""),"Negative")</f>
        <v>Negative</v>
      </c>
      <c r="G21" s="7">
        <f>IFERROR(__xludf.DUMMYFUNCTION("""COMPUTED_VALUE"""),3.0)</f>
        <v>3</v>
      </c>
    </row>
    <row r="22">
      <c r="A22" s="7" t="str">
        <f>IFERROR(__xludf.DUMMYFUNCTION("""COMPUTED_VALUE"""),"AK6001")</f>
        <v>AK6001</v>
      </c>
      <c r="B22" s="7" t="str">
        <f>IFERROR(__xludf.DUMMYFUNCTION("""COMPUTED_VALUE"""),"RUN-ABRM_2022-09-07_RFR-003")</f>
        <v>RUN-ABRM_2022-09-07_RFR-003</v>
      </c>
      <c r="C22" s="8">
        <f>VLOOKUP(B22,'Run Reconcile'!A$2:B3212,2,FALSE)</f>
        <v>44811</v>
      </c>
      <c r="D22" s="12">
        <f>IFERROR(__xludf.DUMMYFUNCTION("""COMPUTED_VALUE"""),44811.0)</f>
        <v>44811</v>
      </c>
      <c r="E22" s="13">
        <f>IFERROR(__xludf.DUMMYFUNCTION("""COMPUTED_VALUE"""),0.2798032407408755)</f>
        <v>0.2798032407</v>
      </c>
      <c r="F22" s="7" t="str">
        <f>IFERROR(__xludf.DUMMYFUNCTION("""COMPUTED_VALUE"""),"Negative")</f>
        <v>Negative</v>
      </c>
      <c r="G22" s="7">
        <f>IFERROR(__xludf.DUMMYFUNCTION("""COMPUTED_VALUE"""),3.0)</f>
        <v>3</v>
      </c>
    </row>
    <row r="23">
      <c r="A23" s="7" t="str">
        <f>IFERROR(__xludf.DUMMYFUNCTION("""COMPUTED_VALUE"""),"AG1741")</f>
        <v>AG1741</v>
      </c>
      <c r="B23" s="7" t="str">
        <f>IFERROR(__xludf.DUMMYFUNCTION("""COMPUTED_VALUE"""),"RUN-ABRM_2022-09-07_RFR-003")</f>
        <v>RUN-ABRM_2022-09-07_RFR-003</v>
      </c>
      <c r="C23" s="8">
        <f>VLOOKUP(B23,'Run Reconcile'!A$2:B3212,2,FALSE)</f>
        <v>44811</v>
      </c>
      <c r="D23" s="12">
        <f>IFERROR(__xludf.DUMMYFUNCTION("""COMPUTED_VALUE"""),44811.0)</f>
        <v>44811</v>
      </c>
      <c r="E23" s="13">
        <f>IFERROR(__xludf.DUMMYFUNCTION("""COMPUTED_VALUE"""),0.29594907407226856)</f>
        <v>0.2959490741</v>
      </c>
      <c r="F23" s="7" t="str">
        <f>IFERROR(__xludf.DUMMYFUNCTION("""COMPUTED_VALUE"""),"Negative")</f>
        <v>Negative</v>
      </c>
      <c r="G23" s="7">
        <f>IFERROR(__xludf.DUMMYFUNCTION("""COMPUTED_VALUE"""),1.0)</f>
        <v>1</v>
      </c>
    </row>
    <row r="24">
      <c r="A24" s="7" t="str">
        <f>IFERROR(__xludf.DUMMYFUNCTION("""COMPUTED_VALUE"""),"AG1355")</f>
        <v>AG1355</v>
      </c>
      <c r="B24" s="7" t="str">
        <f>IFERROR(__xludf.DUMMYFUNCTION("""COMPUTED_VALUE"""),"RUN-ABRM_2022-09-07_RFR-003")</f>
        <v>RUN-ABRM_2022-09-07_RFR-003</v>
      </c>
      <c r="C24" s="8">
        <f>VLOOKUP(B24,'Run Reconcile'!A$2:B3212,2,FALSE)</f>
        <v>44811</v>
      </c>
      <c r="D24" s="12">
        <f>IFERROR(__xludf.DUMMYFUNCTION("""COMPUTED_VALUE"""),44811.0)</f>
        <v>44811</v>
      </c>
      <c r="E24" s="13">
        <f>IFERROR(__xludf.DUMMYFUNCTION("""COMPUTED_VALUE"""),0.3039351851839456)</f>
        <v>0.3039351852</v>
      </c>
      <c r="F24" s="7" t="str">
        <f>IFERROR(__xludf.DUMMYFUNCTION("""COMPUTED_VALUE"""),"Negative")</f>
        <v>Negative</v>
      </c>
      <c r="G24" s="7">
        <f>IFERROR(__xludf.DUMMYFUNCTION("""COMPUTED_VALUE"""),2.0)</f>
        <v>2</v>
      </c>
    </row>
    <row r="25">
      <c r="A25" s="7" t="str">
        <f>IFERROR(__xludf.DUMMYFUNCTION("""COMPUTED_VALUE"""),"AH8245")</f>
        <v>AH8245</v>
      </c>
      <c r="B25" s="7" t="str">
        <f>IFERROR(__xludf.DUMMYFUNCTION("""COMPUTED_VALUE"""),"RUN-ABRM_2022-09-07_RFR-003")</f>
        <v>RUN-ABRM_2022-09-07_RFR-003</v>
      </c>
      <c r="C25" s="8">
        <f>VLOOKUP(B25,'Run Reconcile'!A$2:B3212,2,FALSE)</f>
        <v>44811</v>
      </c>
      <c r="D25" s="12">
        <f>IFERROR(__xludf.DUMMYFUNCTION("""COMPUTED_VALUE"""),44811.0)</f>
        <v>44811</v>
      </c>
      <c r="E25" s="13">
        <f>IFERROR(__xludf.DUMMYFUNCTION("""COMPUTED_VALUE"""),0.3564236111124046)</f>
        <v>0.3564236111</v>
      </c>
      <c r="F25" s="7" t="str">
        <f>IFERROR(__xludf.DUMMYFUNCTION("""COMPUTED_VALUE"""),"Negative")</f>
        <v>Negative</v>
      </c>
      <c r="G25" s="7">
        <f>IFERROR(__xludf.DUMMYFUNCTION("""COMPUTED_VALUE"""),1.0)</f>
        <v>1</v>
      </c>
    </row>
    <row r="26">
      <c r="A26" s="7" t="str">
        <f>IFERROR(__xludf.DUMMYFUNCTION("""COMPUTED_VALUE"""),"AH1291")</f>
        <v>AH1291</v>
      </c>
      <c r="B26" s="7" t="str">
        <f>IFERROR(__xludf.DUMMYFUNCTION("""COMPUTED_VALUE"""),"RUN-ABRM_2022-09-07_RFR-003")</f>
        <v>RUN-ABRM_2022-09-07_RFR-003</v>
      </c>
      <c r="C26" s="8">
        <f>VLOOKUP(B26,'Run Reconcile'!A$2:B3212,2,FALSE)</f>
        <v>44811</v>
      </c>
      <c r="D26" s="12">
        <f>IFERROR(__xludf.DUMMYFUNCTION("""COMPUTED_VALUE"""),44811.0)</f>
        <v>44811</v>
      </c>
      <c r="E26" s="13">
        <f>IFERROR(__xludf.DUMMYFUNCTION("""COMPUTED_VALUE"""),0.416782407406572)</f>
        <v>0.4167824074</v>
      </c>
      <c r="F26" s="7" t="str">
        <f>IFERROR(__xludf.DUMMYFUNCTION("""COMPUTED_VALUE"""),"Negative")</f>
        <v>Negative</v>
      </c>
      <c r="G26" s="7">
        <f>IFERROR(__xludf.DUMMYFUNCTION("""COMPUTED_VALUE"""),1.0)</f>
        <v>1</v>
      </c>
    </row>
    <row r="27">
      <c r="A27" s="7" t="str">
        <f>IFERROR(__xludf.DUMMYFUNCTION("""COMPUTED_VALUE"""),"AH8513")</f>
        <v>AH8513</v>
      </c>
      <c r="B27" s="7" t="str">
        <f>IFERROR(__xludf.DUMMYFUNCTION("""COMPUTED_VALUE"""),"RUN-ABRM_2022-09-07_RFR-003")</f>
        <v>RUN-ABRM_2022-09-07_RFR-003</v>
      </c>
      <c r="C27" s="8">
        <f>VLOOKUP(B27,'Run Reconcile'!A$2:B3212,2,FALSE)</f>
        <v>44811</v>
      </c>
      <c r="D27" s="12">
        <f>IFERROR(__xludf.DUMMYFUNCTION("""COMPUTED_VALUE"""),44811.0)</f>
        <v>44811</v>
      </c>
      <c r="E27" s="13">
        <f>IFERROR(__xludf.DUMMYFUNCTION("""COMPUTED_VALUE"""),0.4171990740724141)</f>
        <v>0.4171990741</v>
      </c>
      <c r="F27" s="7" t="str">
        <f>IFERROR(__xludf.DUMMYFUNCTION("""COMPUTED_VALUE"""),"Negative")</f>
        <v>Negative</v>
      </c>
      <c r="G27" s="7">
        <f>IFERROR(__xludf.DUMMYFUNCTION("""COMPUTED_VALUE"""),2.0)</f>
        <v>2</v>
      </c>
    </row>
    <row r="28">
      <c r="A28" s="7" t="str">
        <f>IFERROR(__xludf.DUMMYFUNCTION("""COMPUTED_VALUE"""),"AH7993")</f>
        <v>AH7993</v>
      </c>
      <c r="B28" s="7" t="str">
        <f>IFERROR(__xludf.DUMMYFUNCTION("""COMPUTED_VALUE"""),"RUN-ABRM_2022-09-07_RFR-003")</f>
        <v>RUN-ABRM_2022-09-07_RFR-003</v>
      </c>
      <c r="C28" s="8">
        <f>VLOOKUP(B28,'Run Reconcile'!A$2:B3212,2,FALSE)</f>
        <v>44811</v>
      </c>
      <c r="D28" s="12">
        <f>IFERROR(__xludf.DUMMYFUNCTION("""COMPUTED_VALUE"""),44811.0)</f>
        <v>44811</v>
      </c>
      <c r="E28" s="13">
        <f>IFERROR(__xludf.DUMMYFUNCTION("""COMPUTED_VALUE"""),0.4176967592575238)</f>
        <v>0.4176967593</v>
      </c>
      <c r="F28" s="7" t="str">
        <f>IFERROR(__xludf.DUMMYFUNCTION("""COMPUTED_VALUE"""),"Negative")</f>
        <v>Negative</v>
      </c>
      <c r="G28" s="7">
        <f>IFERROR(__xludf.DUMMYFUNCTION("""COMPUTED_VALUE"""),3.0)</f>
        <v>3</v>
      </c>
    </row>
    <row r="29">
      <c r="A29" s="7" t="str">
        <f>IFERROR(__xludf.DUMMYFUNCTION("""COMPUTED_VALUE"""),"AH7395")</f>
        <v>AH7395</v>
      </c>
      <c r="B29" s="7" t="str">
        <f>IFERROR(__xludf.DUMMYFUNCTION("""COMPUTED_VALUE"""),"RUN-ABRM_2022-09-07_RFR-003")</f>
        <v>RUN-ABRM_2022-09-07_RFR-003</v>
      </c>
      <c r="C29" s="8">
        <f>VLOOKUP(B29,'Run Reconcile'!A$2:B3212,2,FALSE)</f>
        <v>44811</v>
      </c>
      <c r="D29" s="12">
        <f>IFERROR(__xludf.DUMMYFUNCTION("""COMPUTED_VALUE"""),44811.0)</f>
        <v>44811</v>
      </c>
      <c r="E29" s="13">
        <f>IFERROR(__xludf.DUMMYFUNCTION("""COMPUTED_VALUE"""),0.41811342592700385)</f>
        <v>0.4181134259</v>
      </c>
      <c r="F29" s="7" t="str">
        <f>IFERROR(__xludf.DUMMYFUNCTION("""COMPUTED_VALUE"""),"Negative")</f>
        <v>Negative</v>
      </c>
      <c r="G29" s="7">
        <f>IFERROR(__xludf.DUMMYFUNCTION("""COMPUTED_VALUE"""),1.0)</f>
        <v>1</v>
      </c>
    </row>
    <row r="30">
      <c r="A30" s="7" t="str">
        <f>IFERROR(__xludf.DUMMYFUNCTION("""COMPUTED_VALUE"""),"AH9075")</f>
        <v>AH9075</v>
      </c>
      <c r="B30" s="7" t="str">
        <f>IFERROR(__xludf.DUMMYFUNCTION("""COMPUTED_VALUE"""),"RUN-ABRM_2022-09-07_RFR-003")</f>
        <v>RUN-ABRM_2022-09-07_RFR-003</v>
      </c>
      <c r="C30" s="8">
        <f>VLOOKUP(B30,'Run Reconcile'!A$2:B3212,2,FALSE)</f>
        <v>44811</v>
      </c>
      <c r="D30" s="12">
        <f>IFERROR(__xludf.DUMMYFUNCTION("""COMPUTED_VALUE"""),44811.0)</f>
        <v>44811</v>
      </c>
      <c r="E30" s="13">
        <f>IFERROR(__xludf.DUMMYFUNCTION("""COMPUTED_VALUE"""),0.41879629629693227)</f>
        <v>0.4187962963</v>
      </c>
      <c r="F30" s="7" t="str">
        <f>IFERROR(__xludf.DUMMYFUNCTION("""COMPUTED_VALUE"""),"Negative")</f>
        <v>Negative</v>
      </c>
      <c r="G30" s="7">
        <f>IFERROR(__xludf.DUMMYFUNCTION("""COMPUTED_VALUE"""),5.0)</f>
        <v>5</v>
      </c>
    </row>
    <row r="31">
      <c r="A31" s="7" t="str">
        <f>IFERROR(__xludf.DUMMYFUNCTION("""COMPUTED_VALUE"""),"AJ9638")</f>
        <v>AJ9638</v>
      </c>
      <c r="B31" s="7" t="str">
        <f>IFERROR(__xludf.DUMMYFUNCTION("""COMPUTED_VALUE"""),"RUN-ABRM_2022-09-08_RFR-004")</f>
        <v>RUN-ABRM_2022-09-08_RFR-004</v>
      </c>
      <c r="C31" s="8">
        <f>VLOOKUP(B31,'Run Reconcile'!A$2:B3212,2,FALSE)</f>
        <v>44812</v>
      </c>
      <c r="D31" s="12">
        <f>IFERROR(__xludf.DUMMYFUNCTION("""COMPUTED_VALUE"""),44812.0)</f>
        <v>44812</v>
      </c>
      <c r="E31" s="13">
        <f>IFERROR(__xludf.DUMMYFUNCTION("""COMPUTED_VALUE"""),0.23843750000014552)</f>
        <v>0.2384375</v>
      </c>
      <c r="F31" s="7" t="str">
        <f>IFERROR(__xludf.DUMMYFUNCTION("""COMPUTED_VALUE"""),"Negative")</f>
        <v>Negative</v>
      </c>
      <c r="G31" s="7">
        <f>IFERROR(__xludf.DUMMYFUNCTION("""COMPUTED_VALUE"""),1.0)</f>
        <v>1</v>
      </c>
    </row>
    <row r="32">
      <c r="A32" s="7" t="str">
        <f>IFERROR(__xludf.DUMMYFUNCTION("""COMPUTED_VALUE"""),"AH9869")</f>
        <v>AH9869</v>
      </c>
      <c r="B32" s="7" t="str">
        <f>IFERROR(__xludf.DUMMYFUNCTION("""COMPUTED_VALUE"""),"RUN-ABRM_2022-09-08_RFR-004")</f>
        <v>RUN-ABRM_2022-09-08_RFR-004</v>
      </c>
      <c r="C32" s="8">
        <f>VLOOKUP(B32,'Run Reconcile'!A$2:B3212,2,FALSE)</f>
        <v>44812</v>
      </c>
      <c r="D32" s="12">
        <f>IFERROR(__xludf.DUMMYFUNCTION("""COMPUTED_VALUE"""),44812.0)</f>
        <v>44812</v>
      </c>
      <c r="E32" s="13">
        <f>IFERROR(__xludf.DUMMYFUNCTION("""COMPUTED_VALUE"""),0.2650694444455439)</f>
        <v>0.2650694444</v>
      </c>
      <c r="F32" s="7" t="str">
        <f>IFERROR(__xludf.DUMMYFUNCTION("""COMPUTED_VALUE"""),"Negative")</f>
        <v>Negative</v>
      </c>
      <c r="G32" s="7">
        <f>IFERROR(__xludf.DUMMYFUNCTION("""COMPUTED_VALUE"""),3.0)</f>
        <v>3</v>
      </c>
    </row>
    <row r="33">
      <c r="A33" s="7" t="str">
        <f>IFERROR(__xludf.DUMMYFUNCTION("""COMPUTED_VALUE"""),"AH8928")</f>
        <v>AH8928</v>
      </c>
      <c r="B33" s="7" t="str">
        <f>IFERROR(__xludf.DUMMYFUNCTION("""COMPUTED_VALUE"""),"RUN-ABRM_2022-09-08_RFR-004")</f>
        <v>RUN-ABRM_2022-09-08_RFR-004</v>
      </c>
      <c r="C33" s="8">
        <f>VLOOKUP(B33,'Run Reconcile'!A$2:B3212,2,FALSE)</f>
        <v>44812</v>
      </c>
      <c r="D33" s="12">
        <f>IFERROR(__xludf.DUMMYFUNCTION("""COMPUTED_VALUE"""),44812.0)</f>
        <v>44812</v>
      </c>
      <c r="E33" s="13">
        <f>IFERROR(__xludf.DUMMYFUNCTION("""COMPUTED_VALUE"""),0.2744097222239361)</f>
        <v>0.2744097222</v>
      </c>
      <c r="F33" s="7" t="str">
        <f>IFERROR(__xludf.DUMMYFUNCTION("""COMPUTED_VALUE"""),"Negative")</f>
        <v>Negative</v>
      </c>
      <c r="G33" s="7">
        <f>IFERROR(__xludf.DUMMYFUNCTION("""COMPUTED_VALUE"""),2.0)</f>
        <v>2</v>
      </c>
    </row>
    <row r="34">
      <c r="A34" s="7" t="str">
        <f>IFERROR(__xludf.DUMMYFUNCTION("""COMPUTED_VALUE"""),"AH9456")</f>
        <v>AH9456</v>
      </c>
      <c r="B34" s="7" t="str">
        <f>IFERROR(__xludf.DUMMYFUNCTION("""COMPUTED_VALUE"""),"RUN-ABRM_2022-09-08_RFR-004")</f>
        <v>RUN-ABRM_2022-09-08_RFR-004</v>
      </c>
      <c r="C34" s="8">
        <f>VLOOKUP(B34,'Run Reconcile'!A$2:B3212,2,FALSE)</f>
        <v>44812</v>
      </c>
      <c r="D34" s="12">
        <f>IFERROR(__xludf.DUMMYFUNCTION("""COMPUTED_VALUE"""),44812.0)</f>
        <v>44812</v>
      </c>
      <c r="E34" s="13">
        <f>IFERROR(__xludf.DUMMYFUNCTION("""COMPUTED_VALUE"""),0.2965046296303626)</f>
        <v>0.2965046296</v>
      </c>
      <c r="F34" s="7" t="str">
        <f>IFERROR(__xludf.DUMMYFUNCTION("""COMPUTED_VALUE"""),"Negative")</f>
        <v>Negative</v>
      </c>
      <c r="G34" s="7">
        <f>IFERROR(__xludf.DUMMYFUNCTION("""COMPUTED_VALUE"""),2.0)</f>
        <v>2</v>
      </c>
    </row>
    <row r="35">
      <c r="A35" s="7" t="str">
        <f>IFERROR(__xludf.DUMMYFUNCTION("""COMPUTED_VALUE"""),"AG1602")</f>
        <v>AG1602</v>
      </c>
      <c r="B35" s="7" t="str">
        <f>IFERROR(__xludf.DUMMYFUNCTION("""COMPUTED_VALUE"""),"RUN-ABRM_2022-09-08_RFR-004")</f>
        <v>RUN-ABRM_2022-09-08_RFR-004</v>
      </c>
      <c r="C35" s="8">
        <f>VLOOKUP(B35,'Run Reconcile'!A$2:B3212,2,FALSE)</f>
        <v>44812</v>
      </c>
      <c r="D35" s="12">
        <f>IFERROR(__xludf.DUMMYFUNCTION("""COMPUTED_VALUE"""),44812.0)</f>
        <v>44812</v>
      </c>
      <c r="E35" s="13">
        <f>IFERROR(__xludf.DUMMYFUNCTION("""COMPUTED_VALUE"""),0.299629629629635)</f>
        <v>0.2996296296</v>
      </c>
      <c r="F35" s="7" t="str">
        <f>IFERROR(__xludf.DUMMYFUNCTION("""COMPUTED_VALUE"""),"Negative")</f>
        <v>Negative</v>
      </c>
      <c r="G35" s="7">
        <f>IFERROR(__xludf.DUMMYFUNCTION("""COMPUTED_VALUE"""),3.0)</f>
        <v>3</v>
      </c>
    </row>
    <row r="36">
      <c r="A36" s="7" t="str">
        <f>IFERROR(__xludf.DUMMYFUNCTION("""COMPUTED_VALUE"""),"AH8945")</f>
        <v>AH8945</v>
      </c>
      <c r="B36" s="7" t="str">
        <f>IFERROR(__xludf.DUMMYFUNCTION("""COMPUTED_VALUE"""),"RUN-ABRM_2022-09-08_RFR-004")</f>
        <v>RUN-ABRM_2022-09-08_RFR-004</v>
      </c>
      <c r="C36" s="8">
        <f>VLOOKUP(B36,'Run Reconcile'!A$2:B3212,2,FALSE)</f>
        <v>44812</v>
      </c>
      <c r="D36" s="12">
        <f>IFERROR(__xludf.DUMMYFUNCTION("""COMPUTED_VALUE"""),44812.0)</f>
        <v>44812</v>
      </c>
      <c r="E36" s="13">
        <f>IFERROR(__xludf.DUMMYFUNCTION("""COMPUTED_VALUE"""),0.3060416666667152)</f>
        <v>0.3060416667</v>
      </c>
      <c r="F36" s="7" t="str">
        <f>IFERROR(__xludf.DUMMYFUNCTION("""COMPUTED_VALUE"""),"Negative")</f>
        <v>Negative</v>
      </c>
      <c r="G36" s="7">
        <f>IFERROR(__xludf.DUMMYFUNCTION("""COMPUTED_VALUE"""),3.0)</f>
        <v>3</v>
      </c>
    </row>
    <row r="37">
      <c r="A37" s="7" t="str">
        <f>IFERROR(__xludf.DUMMYFUNCTION("""COMPUTED_VALUE"""),"AG2192")</f>
        <v>AG2192</v>
      </c>
      <c r="B37" s="7" t="str">
        <f>IFERROR(__xludf.DUMMYFUNCTION("""COMPUTED_VALUE"""),"RUN-ABRM_2022-09-08_RFR-004")</f>
        <v>RUN-ABRM_2022-09-08_RFR-004</v>
      </c>
      <c r="C37" s="8">
        <f>VLOOKUP(B37,'Run Reconcile'!A$2:B3212,2,FALSE)</f>
        <v>44812</v>
      </c>
      <c r="D37" s="12">
        <f>IFERROR(__xludf.DUMMYFUNCTION("""COMPUTED_VALUE"""),44812.0)</f>
        <v>44812</v>
      </c>
      <c r="E37" s="13">
        <f>IFERROR(__xludf.DUMMYFUNCTION("""COMPUTED_VALUE"""),0.3097337962972233)</f>
        <v>0.3097337963</v>
      </c>
      <c r="F37" s="7" t="str">
        <f>IFERROR(__xludf.DUMMYFUNCTION("""COMPUTED_VALUE"""),"Negative")</f>
        <v>Negative</v>
      </c>
      <c r="G37" s="7">
        <f>IFERROR(__xludf.DUMMYFUNCTION("""COMPUTED_VALUE"""),2.0)</f>
        <v>2</v>
      </c>
    </row>
    <row r="38">
      <c r="A38" s="7" t="str">
        <f>IFERROR(__xludf.DUMMYFUNCTION("""COMPUTED_VALUE"""),"AH8930")</f>
        <v>AH8930</v>
      </c>
      <c r="B38" s="7" t="str">
        <f>IFERROR(__xludf.DUMMYFUNCTION("""COMPUTED_VALUE"""),"RUN-ABRM_2022-09-08_RFR-004")</f>
        <v>RUN-ABRM_2022-09-08_RFR-004</v>
      </c>
      <c r="C38" s="8">
        <f>VLOOKUP(B38,'Run Reconcile'!A$2:B3212,2,FALSE)</f>
        <v>44812</v>
      </c>
      <c r="D38" s="12">
        <f>IFERROR(__xludf.DUMMYFUNCTION("""COMPUTED_VALUE"""),44812.0)</f>
        <v>44812</v>
      </c>
      <c r="E38" s="13">
        <f>IFERROR(__xludf.DUMMYFUNCTION("""COMPUTED_VALUE"""),0.3197337962956226)</f>
        <v>0.3197337963</v>
      </c>
      <c r="F38" s="7" t="str">
        <f>IFERROR(__xludf.DUMMYFUNCTION("""COMPUTED_VALUE"""),"Negative")</f>
        <v>Negative</v>
      </c>
      <c r="G38" s="7">
        <f>IFERROR(__xludf.DUMMYFUNCTION("""COMPUTED_VALUE"""),1.0)</f>
        <v>1</v>
      </c>
    </row>
    <row r="39">
      <c r="A39" s="7" t="str">
        <f>IFERROR(__xludf.DUMMYFUNCTION("""COMPUTED_VALUE"""),"AH8554")</f>
        <v>AH8554</v>
      </c>
      <c r="B39" s="7" t="str">
        <f>IFERROR(__xludf.DUMMYFUNCTION("""COMPUTED_VALUE"""),"RUN-ABRM_2022-09-08_RFR-004")</f>
        <v>RUN-ABRM_2022-09-08_RFR-004</v>
      </c>
      <c r="C39" s="8">
        <f>VLOOKUP(B39,'Run Reconcile'!A$2:B3212,2,FALSE)</f>
        <v>44812</v>
      </c>
      <c r="D39" s="12">
        <f>IFERROR(__xludf.DUMMYFUNCTION("""COMPUTED_VALUE"""),44812.0)</f>
        <v>44812</v>
      </c>
      <c r="E39" s="13">
        <f>IFERROR(__xludf.DUMMYFUNCTION("""COMPUTED_VALUE"""),0.3210416666661331)</f>
        <v>0.3210416667</v>
      </c>
      <c r="F39" s="7" t="str">
        <f>IFERROR(__xludf.DUMMYFUNCTION("""COMPUTED_VALUE"""),"Negative")</f>
        <v>Negative</v>
      </c>
      <c r="G39" s="7">
        <f>IFERROR(__xludf.DUMMYFUNCTION("""COMPUTED_VALUE"""),2.0)</f>
        <v>2</v>
      </c>
    </row>
    <row r="40">
      <c r="A40" s="7" t="str">
        <f>IFERROR(__xludf.DUMMYFUNCTION("""COMPUTED_VALUE"""),"AG1115")</f>
        <v>AG1115</v>
      </c>
      <c r="B40" s="7" t="str">
        <f>IFERROR(__xludf.DUMMYFUNCTION("""COMPUTED_VALUE"""),"RUN-ABRM_2022-09-08_RFR-004")</f>
        <v>RUN-ABRM_2022-09-08_RFR-004</v>
      </c>
      <c r="C40" s="8">
        <f>VLOOKUP(B40,'Run Reconcile'!A$2:B3212,2,FALSE)</f>
        <v>44812</v>
      </c>
      <c r="D40" s="12">
        <f>IFERROR(__xludf.DUMMYFUNCTION("""COMPUTED_VALUE"""),44812.0)</f>
        <v>44812</v>
      </c>
      <c r="E40" s="13">
        <f>IFERROR(__xludf.DUMMYFUNCTION("""COMPUTED_VALUE"""),0.41913194444350665)</f>
        <v>0.4191319444</v>
      </c>
      <c r="F40" s="7" t="str">
        <f>IFERROR(__xludf.DUMMYFUNCTION("""COMPUTED_VALUE"""),"Negative")</f>
        <v>Negative</v>
      </c>
      <c r="G40" s="7">
        <f>IFERROR(__xludf.DUMMYFUNCTION("""COMPUTED_VALUE"""),1.0)</f>
        <v>1</v>
      </c>
    </row>
    <row r="41">
      <c r="A41" s="7" t="str">
        <f>IFERROR(__xludf.DUMMYFUNCTION("""COMPUTED_VALUE"""),"AG1508")</f>
        <v>AG1508</v>
      </c>
      <c r="B41" s="7" t="str">
        <f>IFERROR(__xludf.DUMMYFUNCTION("""COMPUTED_VALUE"""),"RUN-ABRM_2022-09-08_RFR-004")</f>
        <v>RUN-ABRM_2022-09-08_RFR-004</v>
      </c>
      <c r="C41" s="8">
        <f>VLOOKUP(B41,'Run Reconcile'!A$2:B3212,2,FALSE)</f>
        <v>44812</v>
      </c>
      <c r="D41" s="12">
        <f>IFERROR(__xludf.DUMMYFUNCTION("""COMPUTED_VALUE"""),44812.0)</f>
        <v>44812</v>
      </c>
      <c r="E41" s="13">
        <f>IFERROR(__xludf.DUMMYFUNCTION("""COMPUTED_VALUE"""),0.4196180555554747)</f>
        <v>0.4196180556</v>
      </c>
      <c r="F41" s="7" t="str">
        <f>IFERROR(__xludf.DUMMYFUNCTION("""COMPUTED_VALUE"""),"Negative")</f>
        <v>Negative</v>
      </c>
      <c r="G41" s="7">
        <f>IFERROR(__xludf.DUMMYFUNCTION("""COMPUTED_VALUE"""),2.0)</f>
        <v>2</v>
      </c>
    </row>
    <row r="42">
      <c r="A42" s="7" t="str">
        <f>IFERROR(__xludf.DUMMYFUNCTION("""COMPUTED_VALUE"""),"AG805")</f>
        <v>AG805</v>
      </c>
      <c r="B42" s="7" t="str">
        <f>IFERROR(__xludf.DUMMYFUNCTION("""COMPUTED_VALUE"""),"RUN-ABRM_2022-09-08_RFR-004")</f>
        <v>RUN-ABRM_2022-09-08_RFR-004</v>
      </c>
      <c r="C42" s="8">
        <f>VLOOKUP(B42,'Run Reconcile'!A$2:B3212,2,FALSE)</f>
        <v>44812</v>
      </c>
      <c r="D42" s="12">
        <f>IFERROR(__xludf.DUMMYFUNCTION("""COMPUTED_VALUE"""),44812.0)</f>
        <v>44812</v>
      </c>
      <c r="E42" s="13">
        <f>IFERROR(__xludf.DUMMYFUNCTION("""COMPUTED_VALUE"""),0.42003472222131677)</f>
        <v>0.4200347222</v>
      </c>
      <c r="F42" s="7" t="str">
        <f>IFERROR(__xludf.DUMMYFUNCTION("""COMPUTED_VALUE"""),"Negative")</f>
        <v>Negative</v>
      </c>
      <c r="G42" s="7">
        <f>IFERROR(__xludf.DUMMYFUNCTION("""COMPUTED_VALUE"""),2.0)</f>
        <v>2</v>
      </c>
    </row>
    <row r="43">
      <c r="A43" s="7" t="str">
        <f>IFERROR(__xludf.DUMMYFUNCTION("""COMPUTED_VALUE"""),"AG763")</f>
        <v>AG763</v>
      </c>
      <c r="B43" s="7" t="str">
        <f>IFERROR(__xludf.DUMMYFUNCTION("""COMPUTED_VALUE"""),"RUN-ABRM_2022-09-09_RFR-006")</f>
        <v>RUN-ABRM_2022-09-09_RFR-006</v>
      </c>
      <c r="C43" s="8">
        <f>VLOOKUP(B43,'Run Reconcile'!A$2:B3212,2,FALSE)</f>
        <v>44813</v>
      </c>
      <c r="D43" s="12">
        <f>IFERROR(__xludf.DUMMYFUNCTION("""COMPUTED_VALUE"""),44813.0)</f>
        <v>44813</v>
      </c>
      <c r="E43" s="13">
        <f>IFERROR(__xludf.DUMMYFUNCTION("""COMPUTED_VALUE"""),0.23739583333372138)</f>
        <v>0.2373958333</v>
      </c>
      <c r="F43" s="7" t="str">
        <f>IFERROR(__xludf.DUMMYFUNCTION("""COMPUTED_VALUE"""),"Negative")</f>
        <v>Negative</v>
      </c>
      <c r="G43" s="7">
        <f>IFERROR(__xludf.DUMMYFUNCTION("""COMPUTED_VALUE"""),3.0)</f>
        <v>3</v>
      </c>
    </row>
    <row r="44">
      <c r="A44" s="7" t="str">
        <f>IFERROR(__xludf.DUMMYFUNCTION("""COMPUTED_VALUE"""),"AG1200")</f>
        <v>AG1200</v>
      </c>
      <c r="B44" s="7" t="str">
        <f>IFERROR(__xludf.DUMMYFUNCTION("""COMPUTED_VALUE"""),"RUN-ABRM_2022-09-09_RFR-006")</f>
        <v>RUN-ABRM_2022-09-09_RFR-006</v>
      </c>
      <c r="C44" s="8">
        <f>VLOOKUP(B44,'Run Reconcile'!A$2:B3212,2,FALSE)</f>
        <v>44813</v>
      </c>
      <c r="D44" s="12">
        <f>IFERROR(__xludf.DUMMYFUNCTION("""COMPUTED_VALUE"""),44813.0)</f>
        <v>44813</v>
      </c>
      <c r="E44" s="13">
        <f>IFERROR(__xludf.DUMMYFUNCTION("""COMPUTED_VALUE"""),0.2857291666659876)</f>
        <v>0.2857291667</v>
      </c>
      <c r="F44" s="7" t="str">
        <f>IFERROR(__xludf.DUMMYFUNCTION("""COMPUTED_VALUE"""),"Negative")</f>
        <v>Negative</v>
      </c>
      <c r="G44" s="7">
        <f>IFERROR(__xludf.DUMMYFUNCTION("""COMPUTED_VALUE"""),3.0)</f>
        <v>3</v>
      </c>
    </row>
    <row r="45">
      <c r="A45" s="7" t="str">
        <f>IFERROR(__xludf.DUMMYFUNCTION("""COMPUTED_VALUE"""),"AG1215")</f>
        <v>AG1215</v>
      </c>
      <c r="B45" s="7" t="str">
        <f>IFERROR(__xludf.DUMMYFUNCTION("""COMPUTED_VALUE"""),"RUN-ABRM_2022-09-09_RFR-006")</f>
        <v>RUN-ABRM_2022-09-09_RFR-006</v>
      </c>
      <c r="C45" s="8">
        <f>VLOOKUP(B45,'Run Reconcile'!A$2:B3212,2,FALSE)</f>
        <v>44813</v>
      </c>
      <c r="D45" s="12">
        <f>IFERROR(__xludf.DUMMYFUNCTION("""COMPUTED_VALUE"""),44813.0)</f>
        <v>44813</v>
      </c>
      <c r="E45" s="13">
        <f>IFERROR(__xludf.DUMMYFUNCTION("""COMPUTED_VALUE"""),0.28711805555576575)</f>
        <v>0.2871180556</v>
      </c>
      <c r="F45" s="7" t="str">
        <f>IFERROR(__xludf.DUMMYFUNCTION("""COMPUTED_VALUE"""),"Negative")</f>
        <v>Negative</v>
      </c>
      <c r="G45" s="7">
        <f>IFERROR(__xludf.DUMMYFUNCTION("""COMPUTED_VALUE"""),3.0)</f>
        <v>3</v>
      </c>
    </row>
    <row r="46">
      <c r="A46" s="7" t="str">
        <f>IFERROR(__xludf.DUMMYFUNCTION("""COMPUTED_VALUE"""),"AG2189")</f>
        <v>AG2189</v>
      </c>
      <c r="B46" s="7" t="str">
        <f>IFERROR(__xludf.DUMMYFUNCTION("""COMPUTED_VALUE"""),"RUN-ABRM_2022-09-09_RFR-006")</f>
        <v>RUN-ABRM_2022-09-09_RFR-006</v>
      </c>
      <c r="C46" s="8">
        <f>VLOOKUP(B46,'Run Reconcile'!A$2:B3212,2,FALSE)</f>
        <v>44813</v>
      </c>
      <c r="D46" s="12">
        <f>IFERROR(__xludf.DUMMYFUNCTION("""COMPUTED_VALUE"""),44813.0)</f>
        <v>44813</v>
      </c>
      <c r="E46" s="13">
        <f>IFERROR(__xludf.DUMMYFUNCTION("""COMPUTED_VALUE"""),0.29245370370335877)</f>
        <v>0.2924537037</v>
      </c>
      <c r="F46" s="7" t="str">
        <f>IFERROR(__xludf.DUMMYFUNCTION("""COMPUTED_VALUE"""),"Negative")</f>
        <v>Negative</v>
      </c>
      <c r="G46" s="7">
        <f>IFERROR(__xludf.DUMMYFUNCTION("""COMPUTED_VALUE"""),3.0)</f>
        <v>3</v>
      </c>
    </row>
    <row r="47">
      <c r="A47" s="7" t="str">
        <f>IFERROR(__xludf.DUMMYFUNCTION("""COMPUTED_VALUE"""),"AG304")</f>
        <v>AG304</v>
      </c>
      <c r="B47" s="7" t="str">
        <f>IFERROR(__xludf.DUMMYFUNCTION("""COMPUTED_VALUE"""),"RUN-ABRM_2022-09-09_RFR-006")</f>
        <v>RUN-ABRM_2022-09-09_RFR-006</v>
      </c>
      <c r="C47" s="8">
        <f>VLOOKUP(B47,'Run Reconcile'!A$2:B3212,2,FALSE)</f>
        <v>44813</v>
      </c>
      <c r="D47" s="12">
        <f>IFERROR(__xludf.DUMMYFUNCTION("""COMPUTED_VALUE"""),44813.0)</f>
        <v>44813</v>
      </c>
      <c r="E47" s="13">
        <f>IFERROR(__xludf.DUMMYFUNCTION("""COMPUTED_VALUE"""),0.3120254629611736)</f>
        <v>0.312025463</v>
      </c>
      <c r="F47" s="7" t="str">
        <f>IFERROR(__xludf.DUMMYFUNCTION("""COMPUTED_VALUE"""),"Negative")</f>
        <v>Negative</v>
      </c>
      <c r="G47" s="7">
        <f>IFERROR(__xludf.DUMMYFUNCTION("""COMPUTED_VALUE"""),1.0)</f>
        <v>1</v>
      </c>
    </row>
    <row r="48">
      <c r="A48" s="7" t="str">
        <f>IFERROR(__xludf.DUMMYFUNCTION("""COMPUTED_VALUE"""),"AK5961")</f>
        <v>AK5961</v>
      </c>
      <c r="B48" s="7" t="str">
        <f>IFERROR(__xludf.DUMMYFUNCTION("""COMPUTED_VALUE"""),"RUN-ABRM_2022-09-09_RFR-006")</f>
        <v>RUN-ABRM_2022-09-09_RFR-006</v>
      </c>
      <c r="C48" s="8">
        <f>VLOOKUP(B48,'Run Reconcile'!A$2:B3212,2,FALSE)</f>
        <v>44813</v>
      </c>
      <c r="D48" s="12">
        <f>IFERROR(__xludf.DUMMYFUNCTION("""COMPUTED_VALUE"""),44813.0)</f>
        <v>44813</v>
      </c>
      <c r="E48" s="13">
        <f>IFERROR(__xludf.DUMMYFUNCTION("""COMPUTED_VALUE"""),0.31451388889036025)</f>
        <v>0.3145138889</v>
      </c>
      <c r="F48" s="7" t="str">
        <f>IFERROR(__xludf.DUMMYFUNCTION("""COMPUTED_VALUE"""),"Negative")</f>
        <v>Negative</v>
      </c>
      <c r="G48" s="7">
        <f>IFERROR(__xludf.DUMMYFUNCTION("""COMPUTED_VALUE"""),1.0)</f>
        <v>1</v>
      </c>
    </row>
    <row r="49">
      <c r="A49" s="7" t="str">
        <f>IFERROR(__xludf.DUMMYFUNCTION("""COMPUTED_VALUE"""),"AG2194")</f>
        <v>AG2194</v>
      </c>
      <c r="B49" s="7" t="str">
        <f>IFERROR(__xludf.DUMMYFUNCTION("""COMPUTED_VALUE"""),"RUN-ABRM_2022-09-09_RFR-006")</f>
        <v>RUN-ABRM_2022-09-09_RFR-006</v>
      </c>
      <c r="C49" s="8">
        <f>VLOOKUP(B49,'Run Reconcile'!A$2:B3212,2,FALSE)</f>
        <v>44813</v>
      </c>
      <c r="D49" s="12">
        <f>IFERROR(__xludf.DUMMYFUNCTION("""COMPUTED_VALUE"""),44813.0)</f>
        <v>44813</v>
      </c>
      <c r="E49" s="13">
        <f>IFERROR(__xludf.DUMMYFUNCTION("""COMPUTED_VALUE"""),0.3168287037042319)</f>
        <v>0.3168287037</v>
      </c>
      <c r="F49" s="7" t="str">
        <f>IFERROR(__xludf.DUMMYFUNCTION("""COMPUTED_VALUE"""),"Negative")</f>
        <v>Negative</v>
      </c>
      <c r="G49" s="7">
        <f>IFERROR(__xludf.DUMMYFUNCTION("""COMPUTED_VALUE"""),1.0)</f>
        <v>1</v>
      </c>
    </row>
    <row r="50">
      <c r="A50" s="7" t="str">
        <f>IFERROR(__xludf.DUMMYFUNCTION("""COMPUTED_VALUE"""),"AH9650")</f>
        <v>AH9650</v>
      </c>
      <c r="B50" s="7" t="str">
        <f>IFERROR(__xludf.DUMMYFUNCTION("""COMPUTED_VALUE"""),"RUN-ABRM_2022-09-09_RFR-006")</f>
        <v>RUN-ABRM_2022-09-09_RFR-006</v>
      </c>
      <c r="C50" s="8">
        <f>VLOOKUP(B50,'Run Reconcile'!A$2:B3212,2,FALSE)</f>
        <v>44813</v>
      </c>
      <c r="D50" s="12">
        <f>IFERROR(__xludf.DUMMYFUNCTION("""COMPUTED_VALUE"""),44813.0)</f>
        <v>44813</v>
      </c>
      <c r="E50" s="13">
        <f>IFERROR(__xludf.DUMMYFUNCTION("""COMPUTED_VALUE"""),0.3387731481489027)</f>
        <v>0.3387731481</v>
      </c>
      <c r="F50" s="7" t="str">
        <f>IFERROR(__xludf.DUMMYFUNCTION("""COMPUTED_VALUE"""),"Negative")</f>
        <v>Negative</v>
      </c>
      <c r="G50" s="7">
        <f>IFERROR(__xludf.DUMMYFUNCTION("""COMPUTED_VALUE"""),2.0)</f>
        <v>2</v>
      </c>
    </row>
    <row r="51">
      <c r="A51" s="7" t="str">
        <f>IFERROR(__xludf.DUMMYFUNCTION("""COMPUTED_VALUE"""),"AH7760")</f>
        <v>AH7760</v>
      </c>
      <c r="B51" s="7" t="str">
        <f>IFERROR(__xludf.DUMMYFUNCTION("""COMPUTED_VALUE"""),"RUN-ABRM_2022-09-09_RFR-006")</f>
        <v>RUN-ABRM_2022-09-09_RFR-006</v>
      </c>
      <c r="C51" s="8">
        <f>VLOOKUP(B51,'Run Reconcile'!A$2:B3212,2,FALSE)</f>
        <v>44813</v>
      </c>
      <c r="D51" s="12">
        <f>IFERROR(__xludf.DUMMYFUNCTION("""COMPUTED_VALUE"""),44813.0)</f>
        <v>44813</v>
      </c>
      <c r="E51" s="13">
        <f>IFERROR(__xludf.DUMMYFUNCTION("""COMPUTED_VALUE"""),0.37788194444510737)</f>
        <v>0.3778819444</v>
      </c>
      <c r="F51" s="7" t="str">
        <f>IFERROR(__xludf.DUMMYFUNCTION("""COMPUTED_VALUE"""),"Negative")</f>
        <v>Negative</v>
      </c>
      <c r="G51" s="7">
        <f>IFERROR(__xludf.DUMMYFUNCTION("""COMPUTED_VALUE"""),3.0)</f>
        <v>3</v>
      </c>
    </row>
    <row r="52">
      <c r="A52" s="7" t="str">
        <f>IFERROR(__xludf.DUMMYFUNCTION("""COMPUTED_VALUE"""),"AG1883")</f>
        <v>AG1883</v>
      </c>
      <c r="B52" s="7" t="str">
        <f>IFERROR(__xludf.DUMMYFUNCTION("""COMPUTED_VALUE"""),"RUN-ABRM_2022-09-09_RFR-006")</f>
        <v>RUN-ABRM_2022-09-09_RFR-006</v>
      </c>
      <c r="C52" s="8">
        <f>VLOOKUP(B52,'Run Reconcile'!A$2:B3212,2,FALSE)</f>
        <v>44813</v>
      </c>
      <c r="D52" s="12">
        <f>IFERROR(__xludf.DUMMYFUNCTION("""COMPUTED_VALUE"""),44813.0)</f>
        <v>44813</v>
      </c>
      <c r="E52" s="13">
        <f>IFERROR(__xludf.DUMMYFUNCTION("""COMPUTED_VALUE"""),0.3783449074071541)</f>
        <v>0.3783449074</v>
      </c>
      <c r="F52" s="7" t="str">
        <f>IFERROR(__xludf.DUMMYFUNCTION("""COMPUTED_VALUE"""),"Negative")</f>
        <v>Negative</v>
      </c>
      <c r="G52" s="7">
        <f>IFERROR(__xludf.DUMMYFUNCTION("""COMPUTED_VALUE"""),2.0)</f>
        <v>2</v>
      </c>
    </row>
    <row r="53">
      <c r="A53" s="7" t="str">
        <f>IFERROR(__xludf.DUMMYFUNCTION("""COMPUTED_VALUE"""),"AG2204")</f>
        <v>AG2204</v>
      </c>
      <c r="B53" s="7" t="str">
        <f>IFERROR(__xludf.DUMMYFUNCTION("""COMPUTED_VALUE"""),"RUN-ABRM_2022-09-09_RFR-006")</f>
        <v>RUN-ABRM_2022-09-09_RFR-006</v>
      </c>
      <c r="C53" s="8">
        <f>VLOOKUP(B53,'Run Reconcile'!A$2:B3212,2,FALSE)</f>
        <v>44813</v>
      </c>
      <c r="D53" s="12">
        <f>IFERROR(__xludf.DUMMYFUNCTION("""COMPUTED_VALUE"""),44813.0)</f>
        <v>44813</v>
      </c>
      <c r="E53" s="13">
        <f>IFERROR(__xludf.DUMMYFUNCTION("""COMPUTED_VALUE"""),0.37862268518438214)</f>
        <v>0.3786226852</v>
      </c>
      <c r="F53" s="7" t="str">
        <f>IFERROR(__xludf.DUMMYFUNCTION("""COMPUTED_VALUE"""),"Negative")</f>
        <v>Negative</v>
      </c>
      <c r="G53" s="7">
        <f>IFERROR(__xludf.DUMMYFUNCTION("""COMPUTED_VALUE"""),1.0)</f>
        <v>1</v>
      </c>
    </row>
    <row r="54">
      <c r="A54" s="7" t="str">
        <f>IFERROR(__xludf.DUMMYFUNCTION("""COMPUTED_VALUE"""),"AG1074")</f>
        <v>AG1074</v>
      </c>
      <c r="B54" s="7" t="str">
        <f>IFERROR(__xludf.DUMMYFUNCTION("""COMPUTED_VALUE"""),"RUN-ABRM_2022-09-10_RFR-009")</f>
        <v>RUN-ABRM_2022-09-10_RFR-009</v>
      </c>
      <c r="C54" s="8">
        <f>VLOOKUP(B54,'Run Reconcile'!A$2:B3212,2,FALSE)</f>
        <v>44814</v>
      </c>
      <c r="D54" s="12">
        <f>IFERROR(__xludf.DUMMYFUNCTION("""COMPUTED_VALUE"""),44814.0)</f>
        <v>44814</v>
      </c>
      <c r="E54" s="13">
        <f>IFERROR(__xludf.DUMMYFUNCTION("""COMPUTED_VALUE"""),0.22677083333474002)</f>
        <v>0.2267708333</v>
      </c>
      <c r="F54" s="7" t="str">
        <f>IFERROR(__xludf.DUMMYFUNCTION("""COMPUTED_VALUE"""),"Negative")</f>
        <v>Negative</v>
      </c>
      <c r="G54" s="7">
        <f>IFERROR(__xludf.DUMMYFUNCTION("""COMPUTED_VALUE"""),1.0)</f>
        <v>1</v>
      </c>
    </row>
    <row r="55">
      <c r="A55" s="7" t="str">
        <f>IFERROR(__xludf.DUMMYFUNCTION("""COMPUTED_VALUE"""),"AH8609")</f>
        <v>AH8609</v>
      </c>
      <c r="B55" s="7" t="str">
        <f>IFERROR(__xludf.DUMMYFUNCTION("""COMPUTED_VALUE"""),"RUN-ABRM_2022-09-10_RFR-009")</f>
        <v>RUN-ABRM_2022-09-10_RFR-009</v>
      </c>
      <c r="C55" s="8">
        <f>VLOOKUP(B55,'Run Reconcile'!A$2:B3212,2,FALSE)</f>
        <v>44814</v>
      </c>
      <c r="D55" s="12">
        <f>IFERROR(__xludf.DUMMYFUNCTION("""COMPUTED_VALUE"""),44814.0)</f>
        <v>44814</v>
      </c>
      <c r="E55" s="13">
        <f>IFERROR(__xludf.DUMMYFUNCTION("""COMPUTED_VALUE"""),0.22719907407372375)</f>
        <v>0.2271990741</v>
      </c>
      <c r="F55" s="7" t="str">
        <f>IFERROR(__xludf.DUMMYFUNCTION("""COMPUTED_VALUE"""),"Negative")</f>
        <v>Negative</v>
      </c>
      <c r="G55" s="7">
        <f>IFERROR(__xludf.DUMMYFUNCTION("""COMPUTED_VALUE"""),1.0)</f>
        <v>1</v>
      </c>
    </row>
    <row r="56">
      <c r="A56" s="7" t="str">
        <f>IFERROR(__xludf.DUMMYFUNCTION("""COMPUTED_VALUE"""),"AJ9653")</f>
        <v>AJ9653</v>
      </c>
      <c r="B56" s="7" t="str">
        <f>IFERROR(__xludf.DUMMYFUNCTION("""COMPUTED_VALUE"""),"RUN-ABRM_2022-09-12_RFR-010")</f>
        <v>RUN-ABRM_2022-09-12_RFR-010</v>
      </c>
      <c r="C56" s="8">
        <f>VLOOKUP(B56,'Run Reconcile'!A$2:B3212,2,FALSE)</f>
        <v>44816</v>
      </c>
      <c r="D56" s="12">
        <f>IFERROR(__xludf.DUMMYFUNCTION("""COMPUTED_VALUE"""),44816.0)</f>
        <v>44816</v>
      </c>
      <c r="E56" s="13">
        <f>IFERROR(__xludf.DUMMYFUNCTION("""COMPUTED_VALUE"""),0.2184606481496303)</f>
        <v>0.2184606481</v>
      </c>
      <c r="F56" s="7" t="str">
        <f>IFERROR(__xludf.DUMMYFUNCTION("""COMPUTED_VALUE"""),"Negative")</f>
        <v>Negative</v>
      </c>
      <c r="G56" s="7">
        <f>IFERROR(__xludf.DUMMYFUNCTION("""COMPUTED_VALUE"""),1.0)</f>
        <v>1</v>
      </c>
    </row>
    <row r="57">
      <c r="A57" s="7" t="str">
        <f>IFERROR(__xludf.DUMMYFUNCTION("""COMPUTED_VALUE"""),"AH7736")</f>
        <v>AH7736</v>
      </c>
      <c r="B57" s="7" t="str">
        <f>IFERROR(__xludf.DUMMYFUNCTION("""COMPUTED_VALUE"""),"RUN-ABRM_2022-09-12_RFR-010")</f>
        <v>RUN-ABRM_2022-09-12_RFR-010</v>
      </c>
      <c r="C57" s="8">
        <f>VLOOKUP(B57,'Run Reconcile'!A$2:B3212,2,FALSE)</f>
        <v>44816</v>
      </c>
      <c r="D57" s="12">
        <f>IFERROR(__xludf.DUMMYFUNCTION("""COMPUTED_VALUE"""),44816.0)</f>
        <v>44816</v>
      </c>
      <c r="E57" s="13">
        <f>IFERROR(__xludf.DUMMYFUNCTION("""COMPUTED_VALUE"""),0.2359027777783922)</f>
        <v>0.2359027778</v>
      </c>
      <c r="F57" s="7" t="str">
        <f>IFERROR(__xludf.DUMMYFUNCTION("""COMPUTED_VALUE"""),"Negative")</f>
        <v>Negative</v>
      </c>
      <c r="G57" s="7">
        <f>IFERROR(__xludf.DUMMYFUNCTION("""COMPUTED_VALUE"""),3.0)</f>
        <v>3</v>
      </c>
    </row>
    <row r="58">
      <c r="A58" s="7" t="str">
        <f>IFERROR(__xludf.DUMMYFUNCTION("""COMPUTED_VALUE"""),"AG603")</f>
        <v>AG603</v>
      </c>
      <c r="B58" s="7" t="str">
        <f>IFERROR(__xludf.DUMMYFUNCTION("""COMPUTED_VALUE"""),"RUN-ABRM_2022-09-12_RFR-010")</f>
        <v>RUN-ABRM_2022-09-12_RFR-010</v>
      </c>
      <c r="C58" s="8">
        <f>VLOOKUP(B58,'Run Reconcile'!A$2:B3212,2,FALSE)</f>
        <v>44816</v>
      </c>
      <c r="D58" s="12">
        <f>IFERROR(__xludf.DUMMYFUNCTION("""COMPUTED_VALUE"""),44816.0)</f>
        <v>44816</v>
      </c>
      <c r="E58" s="13">
        <f>IFERROR(__xludf.DUMMYFUNCTION("""COMPUTED_VALUE"""),0.29853009259386454)</f>
        <v>0.2985300926</v>
      </c>
      <c r="F58" s="7" t="str">
        <f>IFERROR(__xludf.DUMMYFUNCTION("""COMPUTED_VALUE"""),"Negative")</f>
        <v>Negative</v>
      </c>
      <c r="G58" s="7">
        <f>IFERROR(__xludf.DUMMYFUNCTION("""COMPUTED_VALUE"""),4.0)</f>
        <v>4</v>
      </c>
    </row>
    <row r="59">
      <c r="A59" s="7" t="str">
        <f>IFERROR(__xludf.DUMMYFUNCTION("""COMPUTED_VALUE"""),"AJ8560")</f>
        <v>AJ8560</v>
      </c>
      <c r="B59" s="7" t="str">
        <f>IFERROR(__xludf.DUMMYFUNCTION("""COMPUTED_VALUE"""),"RUN-ABRM_2022-09-12_RFR-010")</f>
        <v>RUN-ABRM_2022-09-12_RFR-010</v>
      </c>
      <c r="C59" s="8">
        <f>VLOOKUP(B59,'Run Reconcile'!A$2:B3212,2,FALSE)</f>
        <v>44816</v>
      </c>
      <c r="D59" s="12">
        <f>IFERROR(__xludf.DUMMYFUNCTION("""COMPUTED_VALUE"""),44816.0)</f>
        <v>44816</v>
      </c>
      <c r="E59" s="13">
        <f>IFERROR(__xludf.DUMMYFUNCTION("""COMPUTED_VALUE"""),0.29921296296379296)</f>
        <v>0.299212963</v>
      </c>
      <c r="F59" s="7" t="str">
        <f>IFERROR(__xludf.DUMMYFUNCTION("""COMPUTED_VALUE"""),"Negative")</f>
        <v>Negative</v>
      </c>
      <c r="G59" s="7">
        <f>IFERROR(__xludf.DUMMYFUNCTION("""COMPUTED_VALUE"""),2.0)</f>
        <v>2</v>
      </c>
    </row>
    <row r="60">
      <c r="A60" s="7" t="str">
        <f>IFERROR(__xludf.DUMMYFUNCTION("""COMPUTED_VALUE"""),"AH7777")</f>
        <v>AH7777</v>
      </c>
      <c r="B60" s="7" t="str">
        <f>IFERROR(__xludf.DUMMYFUNCTION("""COMPUTED_VALUE"""),"RUN-ABRM_2022-09-12_RFR-010")</f>
        <v>RUN-ABRM_2022-09-12_RFR-010</v>
      </c>
      <c r="C60" s="8">
        <f>VLOOKUP(B60,'Run Reconcile'!A$2:B3212,2,FALSE)</f>
        <v>44816</v>
      </c>
      <c r="D60" s="12">
        <f>IFERROR(__xludf.DUMMYFUNCTION("""COMPUTED_VALUE"""),44816.0)</f>
        <v>44816</v>
      </c>
      <c r="E60" s="13">
        <f>IFERROR(__xludf.DUMMYFUNCTION("""COMPUTED_VALUE"""),0.2995023148141627)</f>
        <v>0.2995023148</v>
      </c>
      <c r="F60" s="7" t="str">
        <f>IFERROR(__xludf.DUMMYFUNCTION("""COMPUTED_VALUE"""),"Negative")</f>
        <v>Negative</v>
      </c>
      <c r="G60" s="7">
        <f>IFERROR(__xludf.DUMMYFUNCTION("""COMPUTED_VALUE"""),3.0)</f>
        <v>3</v>
      </c>
    </row>
    <row r="61">
      <c r="A61" s="7" t="str">
        <f>IFERROR(__xludf.DUMMYFUNCTION("""COMPUTED_VALUE"""),"AG2029")</f>
        <v>AG2029</v>
      </c>
      <c r="B61" s="7" t="str">
        <f>IFERROR(__xludf.DUMMYFUNCTION("""COMPUTED_VALUE"""),"RUN-ABRM_2022-09-12_RFR-010")</f>
        <v>RUN-ABRM_2022-09-12_RFR-010</v>
      </c>
      <c r="C61" s="8">
        <f>VLOOKUP(B61,'Run Reconcile'!A$2:B3212,2,FALSE)</f>
        <v>44816</v>
      </c>
      <c r="D61" s="12">
        <f>IFERROR(__xludf.DUMMYFUNCTION("""COMPUTED_VALUE"""),44816.0)</f>
        <v>44816</v>
      </c>
      <c r="E61" s="13">
        <f>IFERROR(__xludf.DUMMYFUNCTION("""COMPUTED_VALUE"""),0.29976851851824904)</f>
        <v>0.2997685185</v>
      </c>
      <c r="F61" s="7" t="str">
        <f>IFERROR(__xludf.DUMMYFUNCTION("""COMPUTED_VALUE"""),"Negative")</f>
        <v>Negative</v>
      </c>
      <c r="G61" s="7">
        <f>IFERROR(__xludf.DUMMYFUNCTION("""COMPUTED_VALUE"""),4.0)</f>
        <v>4</v>
      </c>
    </row>
    <row r="62">
      <c r="A62" s="7" t="str">
        <f>IFERROR(__xludf.DUMMYFUNCTION("""COMPUTED_VALUE"""),"AG314")</f>
        <v>AG314</v>
      </c>
      <c r="B62" s="7" t="str">
        <f>IFERROR(__xludf.DUMMYFUNCTION("""COMPUTED_VALUE"""),"RUN-ABRM_2022-09-12_RFR-010")</f>
        <v>RUN-ABRM_2022-09-12_RFR-010</v>
      </c>
      <c r="C62" s="8">
        <f>VLOOKUP(B62,'Run Reconcile'!A$2:B3212,2,FALSE)</f>
        <v>44816</v>
      </c>
      <c r="D62" s="12">
        <f>IFERROR(__xludf.DUMMYFUNCTION("""COMPUTED_VALUE"""),44816.0)</f>
        <v>44816</v>
      </c>
      <c r="E62" s="13">
        <f>IFERROR(__xludf.DUMMYFUNCTION("""COMPUTED_VALUE"""),0.31299768518510973)</f>
        <v>0.3129976852</v>
      </c>
      <c r="F62" s="7" t="str">
        <f>IFERROR(__xludf.DUMMYFUNCTION("""COMPUTED_VALUE"""),"Negative")</f>
        <v>Negative</v>
      </c>
      <c r="G62" s="7">
        <f>IFERROR(__xludf.DUMMYFUNCTION("""COMPUTED_VALUE"""),2.0)</f>
        <v>2</v>
      </c>
    </row>
    <row r="63">
      <c r="A63" s="7" t="str">
        <f>IFERROR(__xludf.DUMMYFUNCTION("""COMPUTED_VALUE"""),"AG1519")</f>
        <v>AG1519</v>
      </c>
      <c r="B63" s="7" t="str">
        <f>IFERROR(__xludf.DUMMYFUNCTION("""COMPUTED_VALUE"""),"RUN-ABRM_2022-09-12_RFR-010")</f>
        <v>RUN-ABRM_2022-09-12_RFR-010</v>
      </c>
      <c r="C63" s="8">
        <f>VLOOKUP(B63,'Run Reconcile'!A$2:B3212,2,FALSE)</f>
        <v>44816</v>
      </c>
      <c r="D63" s="12">
        <f>IFERROR(__xludf.DUMMYFUNCTION("""COMPUTED_VALUE"""),44816.0)</f>
        <v>44816</v>
      </c>
      <c r="E63" s="13">
        <f>IFERROR(__xludf.DUMMYFUNCTION("""COMPUTED_VALUE"""),0.31520833333343035)</f>
        <v>0.3152083333</v>
      </c>
      <c r="F63" s="7" t="str">
        <f>IFERROR(__xludf.DUMMYFUNCTION("""COMPUTED_VALUE"""),"Negative")</f>
        <v>Negative</v>
      </c>
      <c r="G63" s="7">
        <f>IFERROR(__xludf.DUMMYFUNCTION("""COMPUTED_VALUE"""),3.0)</f>
        <v>3</v>
      </c>
    </row>
    <row r="64">
      <c r="A64" s="7" t="str">
        <f>IFERROR(__xludf.DUMMYFUNCTION("""COMPUTED_VALUE"""),"AG1274")</f>
        <v>AG1274</v>
      </c>
      <c r="B64" s="7" t="str">
        <f>IFERROR(__xludf.DUMMYFUNCTION("""COMPUTED_VALUE"""),"RUN-ABRM_2022-09-12_RFR-010")</f>
        <v>RUN-ABRM_2022-09-12_RFR-010</v>
      </c>
      <c r="C64" s="8">
        <f>VLOOKUP(B64,'Run Reconcile'!A$2:B3212,2,FALSE)</f>
        <v>44816</v>
      </c>
      <c r="D64" s="12">
        <f>IFERROR(__xludf.DUMMYFUNCTION("""COMPUTED_VALUE"""),44816.0)</f>
        <v>44816</v>
      </c>
      <c r="E64" s="13">
        <f>IFERROR(__xludf.DUMMYFUNCTION("""COMPUTED_VALUE"""),0.3163078703692008)</f>
        <v>0.3163078704</v>
      </c>
      <c r="F64" s="7" t="str">
        <f>IFERROR(__xludf.DUMMYFUNCTION("""COMPUTED_VALUE"""),"Negative")</f>
        <v>Negative</v>
      </c>
      <c r="G64" s="7">
        <f>IFERROR(__xludf.DUMMYFUNCTION("""COMPUTED_VALUE"""),1.0)</f>
        <v>1</v>
      </c>
    </row>
    <row r="65">
      <c r="A65" s="7" t="str">
        <f>IFERROR(__xludf.DUMMYFUNCTION("""COMPUTED_VALUE"""),"AH7409")</f>
        <v>AH7409</v>
      </c>
      <c r="B65" s="7" t="str">
        <f>IFERROR(__xludf.DUMMYFUNCTION("""COMPUTED_VALUE"""),"RUN-ABRM_2022-09-12_RFR-010")</f>
        <v>RUN-ABRM_2022-09-12_RFR-010</v>
      </c>
      <c r="C65" s="8">
        <f>VLOOKUP(B65,'Run Reconcile'!A$2:B3212,2,FALSE)</f>
        <v>44816</v>
      </c>
      <c r="D65" s="12">
        <f>IFERROR(__xludf.DUMMYFUNCTION("""COMPUTED_VALUE"""),44816.0)</f>
        <v>44816</v>
      </c>
      <c r="E65" s="13">
        <f>IFERROR(__xludf.DUMMYFUNCTION("""COMPUTED_VALUE"""),0.38988425926072523)</f>
        <v>0.3898842593</v>
      </c>
      <c r="F65" s="7" t="str">
        <f>IFERROR(__xludf.DUMMYFUNCTION("""COMPUTED_VALUE"""),"Negative")</f>
        <v>Negative</v>
      </c>
      <c r="G65" s="7">
        <f>IFERROR(__xludf.DUMMYFUNCTION("""COMPUTED_VALUE"""),1.0)</f>
        <v>1</v>
      </c>
    </row>
    <row r="66">
      <c r="A66" s="7" t="str">
        <f>IFERROR(__xludf.DUMMYFUNCTION("""COMPUTED_VALUE"""),"AH9849")</f>
        <v>AH9849</v>
      </c>
      <c r="B66" s="7" t="str">
        <f>IFERROR(__xludf.DUMMYFUNCTION("""COMPUTED_VALUE"""),"RUN-ABRM_2022-09-12_RFR-010")</f>
        <v>RUN-ABRM_2022-09-12_RFR-010</v>
      </c>
      <c r="C66" s="8">
        <f>VLOOKUP(B66,'Run Reconcile'!A$2:B3212,2,FALSE)</f>
        <v>44816</v>
      </c>
      <c r="D66" s="12">
        <f>IFERROR(__xludf.DUMMYFUNCTION("""COMPUTED_VALUE"""),44816.0)</f>
        <v>44816</v>
      </c>
      <c r="E66" s="13">
        <f>IFERROR(__xludf.DUMMYFUNCTION("""COMPUTED_VALUE"""),0.39071759259240935)</f>
        <v>0.3907175926</v>
      </c>
      <c r="F66" s="7" t="str">
        <f>IFERROR(__xludf.DUMMYFUNCTION("""COMPUTED_VALUE"""),"Negative")</f>
        <v>Negative</v>
      </c>
      <c r="G66" s="7">
        <f>IFERROR(__xludf.DUMMYFUNCTION("""COMPUTED_VALUE"""),3.0)</f>
        <v>3</v>
      </c>
    </row>
    <row r="67">
      <c r="A67" s="7" t="str">
        <f>IFERROR(__xludf.DUMMYFUNCTION("""COMPUTED_VALUE"""),"AH7778")</f>
        <v>AH7778</v>
      </c>
      <c r="B67" s="7" t="str">
        <f>IFERROR(__xludf.DUMMYFUNCTION("""COMPUTED_VALUE"""),"RUN-ABRM_2022-09-12_RFR-010")</f>
        <v>RUN-ABRM_2022-09-12_RFR-010</v>
      </c>
      <c r="C67" s="8">
        <f>VLOOKUP(B67,'Run Reconcile'!A$2:B3212,2,FALSE)</f>
        <v>44816</v>
      </c>
      <c r="D67" s="12">
        <f>IFERROR(__xludf.DUMMYFUNCTION("""COMPUTED_VALUE"""),44816.0)</f>
        <v>44816</v>
      </c>
      <c r="E67" s="13">
        <f>IFERROR(__xludf.DUMMYFUNCTION("""COMPUTED_VALUE"""),0.3910300925927004)</f>
        <v>0.3910300926</v>
      </c>
      <c r="F67" s="7" t="str">
        <f>IFERROR(__xludf.DUMMYFUNCTION("""COMPUTED_VALUE"""),"Negative")</f>
        <v>Negative</v>
      </c>
      <c r="G67" s="7">
        <f>IFERROR(__xludf.DUMMYFUNCTION("""COMPUTED_VALUE"""),3.0)</f>
        <v>3</v>
      </c>
    </row>
    <row r="68">
      <c r="A68" s="7" t="str">
        <f>IFERROR(__xludf.DUMMYFUNCTION("""COMPUTED_VALUE"""),"AH8950")</f>
        <v>AH8950</v>
      </c>
      <c r="B68" s="7" t="str">
        <f>IFERROR(__xludf.DUMMYFUNCTION("""COMPUTED_VALUE"""),"RUN-ABRM_2022-09-13_RFR-011")</f>
        <v>RUN-ABRM_2022-09-13_RFR-011</v>
      </c>
      <c r="C68" s="8">
        <f>VLOOKUP(B68,'Run Reconcile'!A$2:B3212,2,FALSE)</f>
        <v>44817</v>
      </c>
      <c r="D68" s="12">
        <f>IFERROR(__xludf.DUMMYFUNCTION("""COMPUTED_VALUE"""),44817.0)</f>
        <v>44817</v>
      </c>
      <c r="E68" s="13">
        <f>IFERROR(__xludf.DUMMYFUNCTION("""COMPUTED_VALUE"""),0.23276620370234014)</f>
        <v>0.2327662037</v>
      </c>
      <c r="F68" s="7" t="str">
        <f>IFERROR(__xludf.DUMMYFUNCTION("""COMPUTED_VALUE"""),"Negative")</f>
        <v>Negative</v>
      </c>
      <c r="G68" s="7">
        <f>IFERROR(__xludf.DUMMYFUNCTION("""COMPUTED_VALUE"""),3.0)</f>
        <v>3</v>
      </c>
    </row>
    <row r="69">
      <c r="A69" s="7" t="str">
        <f>IFERROR(__xludf.DUMMYFUNCTION("""COMPUTED_VALUE"""),"AJ8497")</f>
        <v>AJ8497</v>
      </c>
      <c r="B69" s="7" t="str">
        <f>IFERROR(__xludf.DUMMYFUNCTION("""COMPUTED_VALUE"""),"RUN-ABRM_2022-09-13_RFR-011")</f>
        <v>RUN-ABRM_2022-09-13_RFR-011</v>
      </c>
      <c r="C69" s="8">
        <f>VLOOKUP(B69,'Run Reconcile'!A$2:B3212,2,FALSE)</f>
        <v>44817</v>
      </c>
      <c r="D69" s="12">
        <f>IFERROR(__xludf.DUMMYFUNCTION("""COMPUTED_VALUE"""),44817.0)</f>
        <v>44817</v>
      </c>
      <c r="E69" s="13">
        <f>IFERROR(__xludf.DUMMYFUNCTION("""COMPUTED_VALUE"""),0.2521412037021946)</f>
        <v>0.2521412037</v>
      </c>
      <c r="F69" s="7" t="str">
        <f>IFERROR(__xludf.DUMMYFUNCTION("""COMPUTED_VALUE"""),"Negative")</f>
        <v>Negative</v>
      </c>
      <c r="G69" s="7">
        <f>IFERROR(__xludf.DUMMYFUNCTION("""COMPUTED_VALUE"""),1.0)</f>
        <v>1</v>
      </c>
    </row>
    <row r="70">
      <c r="A70" s="7" t="str">
        <f>IFERROR(__xludf.DUMMYFUNCTION("""COMPUTED_VALUE"""),"AG1299")</f>
        <v>AG1299</v>
      </c>
      <c r="B70" s="7" t="str">
        <f>IFERROR(__xludf.DUMMYFUNCTION("""COMPUTED_VALUE"""),"RUN-ABRM_2022-09-13_RFR-011")</f>
        <v>RUN-ABRM_2022-09-13_RFR-011</v>
      </c>
      <c r="C70" s="8">
        <f>VLOOKUP(B70,'Run Reconcile'!A$2:B3212,2,FALSE)</f>
        <v>44817</v>
      </c>
      <c r="D70" s="12">
        <f>IFERROR(__xludf.DUMMYFUNCTION("""COMPUTED_VALUE"""),44817.0)</f>
        <v>44817</v>
      </c>
      <c r="E70" s="13">
        <f>IFERROR(__xludf.DUMMYFUNCTION("""COMPUTED_VALUE"""),0.28467592592642177)</f>
        <v>0.2846759259</v>
      </c>
      <c r="F70" s="7" t="str">
        <f>IFERROR(__xludf.DUMMYFUNCTION("""COMPUTED_VALUE"""),"Negative")</f>
        <v>Negative</v>
      </c>
      <c r="G70" s="7">
        <f>IFERROR(__xludf.DUMMYFUNCTION("""COMPUTED_VALUE"""),3.0)</f>
        <v>3</v>
      </c>
    </row>
    <row r="71">
      <c r="A71" s="7" t="str">
        <f>IFERROR(__xludf.DUMMYFUNCTION("""COMPUTED_VALUE"""),"AG745")</f>
        <v>AG745</v>
      </c>
      <c r="B71" s="7" t="str">
        <f>IFERROR(__xludf.DUMMYFUNCTION("""COMPUTED_VALUE"""),"RUN-ABRM_2022-09-13_RFR-011")</f>
        <v>RUN-ABRM_2022-09-13_RFR-011</v>
      </c>
      <c r="C71" s="8">
        <f>VLOOKUP(B71,'Run Reconcile'!A$2:B3212,2,FALSE)</f>
        <v>44817</v>
      </c>
      <c r="D71" s="12">
        <f>IFERROR(__xludf.DUMMYFUNCTION("""COMPUTED_VALUE"""),44817.0)</f>
        <v>44817</v>
      </c>
      <c r="E71" s="13">
        <f>IFERROR(__xludf.DUMMYFUNCTION("""COMPUTED_VALUE"""),0.29765046296233777)</f>
        <v>0.297650463</v>
      </c>
      <c r="F71" s="7" t="str">
        <f>IFERROR(__xludf.DUMMYFUNCTION("""COMPUTED_VALUE"""),"Negative")</f>
        <v>Negative</v>
      </c>
      <c r="G71" s="7">
        <f>IFERROR(__xludf.DUMMYFUNCTION("""COMPUTED_VALUE"""),3.0)</f>
        <v>3</v>
      </c>
    </row>
    <row r="72">
      <c r="A72" s="7" t="str">
        <f>IFERROR(__xludf.DUMMYFUNCTION("""COMPUTED_VALUE"""),"AG970")</f>
        <v>AG970</v>
      </c>
      <c r="B72" s="7" t="str">
        <f>IFERROR(__xludf.DUMMYFUNCTION("""COMPUTED_VALUE"""),"RUN-ABRM_2022-09-13_RFR-011")</f>
        <v>RUN-ABRM_2022-09-13_RFR-011</v>
      </c>
      <c r="C72" s="8">
        <f>VLOOKUP(B72,'Run Reconcile'!A$2:B3212,2,FALSE)</f>
        <v>44817</v>
      </c>
      <c r="D72" s="12">
        <f>IFERROR(__xludf.DUMMYFUNCTION("""COMPUTED_VALUE"""),44817.0)</f>
        <v>44817</v>
      </c>
      <c r="E72" s="13">
        <f>IFERROR(__xludf.DUMMYFUNCTION("""COMPUTED_VALUE"""),0.3003240740727051)</f>
        <v>0.3003240741</v>
      </c>
      <c r="F72" s="7" t="str">
        <f>IFERROR(__xludf.DUMMYFUNCTION("""COMPUTED_VALUE"""),"Negative")</f>
        <v>Negative</v>
      </c>
      <c r="G72" s="7">
        <f>IFERROR(__xludf.DUMMYFUNCTION("""COMPUTED_VALUE"""),2.0)</f>
        <v>2</v>
      </c>
    </row>
    <row r="73">
      <c r="A73" s="7" t="str">
        <f>IFERROR(__xludf.DUMMYFUNCTION("""COMPUTED_VALUE"""),"AG1601")</f>
        <v>AG1601</v>
      </c>
      <c r="B73" s="7" t="str">
        <f>IFERROR(__xludf.DUMMYFUNCTION("""COMPUTED_VALUE"""),"RUN-ABRM_2022-09-13_RFR-011")</f>
        <v>RUN-ABRM_2022-09-13_RFR-011</v>
      </c>
      <c r="C73" s="8">
        <f>VLOOKUP(B73,'Run Reconcile'!A$2:B3212,2,FALSE)</f>
        <v>44817</v>
      </c>
      <c r="D73" s="12">
        <f>IFERROR(__xludf.DUMMYFUNCTION("""COMPUTED_VALUE"""),44817.0)</f>
        <v>44817</v>
      </c>
      <c r="E73" s="13">
        <f>IFERROR(__xludf.DUMMYFUNCTION("""COMPUTED_VALUE"""),0.3117013888877409)</f>
        <v>0.3117013889</v>
      </c>
      <c r="F73" s="7" t="str">
        <f>IFERROR(__xludf.DUMMYFUNCTION("""COMPUTED_VALUE"""),"Negative")</f>
        <v>Negative</v>
      </c>
      <c r="G73" s="7">
        <f>IFERROR(__xludf.DUMMYFUNCTION("""COMPUTED_VALUE"""),4.0)</f>
        <v>4</v>
      </c>
    </row>
    <row r="74">
      <c r="A74" s="7" t="str">
        <f>IFERROR(__xludf.DUMMYFUNCTION("""COMPUTED_VALUE"""),"AH8280")</f>
        <v>AH8280</v>
      </c>
      <c r="B74" s="7" t="str">
        <f>IFERROR(__xludf.DUMMYFUNCTION("""COMPUTED_VALUE"""),"RUN-ABRM_2022-09-13_RFR-011")</f>
        <v>RUN-ABRM_2022-09-13_RFR-011</v>
      </c>
      <c r="C74" s="8">
        <f>VLOOKUP(B74,'Run Reconcile'!A$2:B3212,2,FALSE)</f>
        <v>44817</v>
      </c>
      <c r="D74" s="12">
        <f>IFERROR(__xludf.DUMMYFUNCTION("""COMPUTED_VALUE"""),44817.0)</f>
        <v>44817</v>
      </c>
      <c r="E74" s="13">
        <f>IFERROR(__xludf.DUMMYFUNCTION("""COMPUTED_VALUE"""),0.3117708333338669)</f>
        <v>0.3117708333</v>
      </c>
      <c r="F74" s="7" t="str">
        <f>IFERROR(__xludf.DUMMYFUNCTION("""COMPUTED_VALUE"""),"Negative")</f>
        <v>Negative</v>
      </c>
      <c r="G74" s="7">
        <f>IFERROR(__xludf.DUMMYFUNCTION("""COMPUTED_VALUE"""),2.0)</f>
        <v>2</v>
      </c>
    </row>
    <row r="75">
      <c r="A75" s="7" t="str">
        <f>IFERROR(__xludf.DUMMYFUNCTION("""COMPUTED_VALUE"""),"AH8811")</f>
        <v>AH8811</v>
      </c>
      <c r="B75" s="7" t="str">
        <f>IFERROR(__xludf.DUMMYFUNCTION("""COMPUTED_VALUE"""),"RUN-ABRM_2022-09-13_RFR-011")</f>
        <v>RUN-ABRM_2022-09-13_RFR-011</v>
      </c>
      <c r="C75" s="8">
        <f>VLOOKUP(B75,'Run Reconcile'!A$2:B3212,2,FALSE)</f>
        <v>44817</v>
      </c>
      <c r="D75" s="12">
        <f>IFERROR(__xludf.DUMMYFUNCTION("""COMPUTED_VALUE"""),44817.0)</f>
        <v>44817</v>
      </c>
      <c r="E75" s="13">
        <f>IFERROR(__xludf.DUMMYFUNCTION("""COMPUTED_VALUE"""),0.31484953703693463)</f>
        <v>0.314849537</v>
      </c>
      <c r="F75" s="7" t="str">
        <f>IFERROR(__xludf.DUMMYFUNCTION("""COMPUTED_VALUE"""),"Negative")</f>
        <v>Negative</v>
      </c>
      <c r="G75" s="7">
        <f>IFERROR(__xludf.DUMMYFUNCTION("""COMPUTED_VALUE"""),2.0)</f>
        <v>2</v>
      </c>
    </row>
    <row r="76">
      <c r="A76" s="7" t="str">
        <f>IFERROR(__xludf.DUMMYFUNCTION("""COMPUTED_VALUE"""),"AH9221")</f>
        <v>AH9221</v>
      </c>
      <c r="B76" s="7" t="str">
        <f>IFERROR(__xludf.DUMMYFUNCTION("""COMPUTED_VALUE"""),"RUN-ABRM_2022-09-13_RFR-011")</f>
        <v>RUN-ABRM_2022-09-13_RFR-011</v>
      </c>
      <c r="C76" s="8">
        <f>VLOOKUP(B76,'Run Reconcile'!A$2:B3212,2,FALSE)</f>
        <v>44817</v>
      </c>
      <c r="D76" s="12">
        <f>IFERROR(__xludf.DUMMYFUNCTION("""COMPUTED_VALUE"""),44817.0)</f>
        <v>44817</v>
      </c>
      <c r="E76" s="13">
        <f>IFERROR(__xludf.DUMMYFUNCTION("""COMPUTED_VALUE"""),0.3152662037027767)</f>
        <v>0.3152662037</v>
      </c>
      <c r="F76" s="7" t="str">
        <f>IFERROR(__xludf.DUMMYFUNCTION("""COMPUTED_VALUE"""),"Negative")</f>
        <v>Negative</v>
      </c>
      <c r="G76" s="7">
        <f>IFERROR(__xludf.DUMMYFUNCTION("""COMPUTED_VALUE"""),1.0)</f>
        <v>1</v>
      </c>
    </row>
    <row r="77">
      <c r="A77" s="7" t="str">
        <f>IFERROR(__xludf.DUMMYFUNCTION("""COMPUTED_VALUE"""),"AH9740")</f>
        <v>AH9740</v>
      </c>
      <c r="B77" s="7" t="str">
        <f>IFERROR(__xludf.DUMMYFUNCTION("""COMPUTED_VALUE"""),"RUN-ABRM_2022-09-13_RFR-011")</f>
        <v>RUN-ABRM_2022-09-13_RFR-011</v>
      </c>
      <c r="C77" s="8">
        <f>VLOOKUP(B77,'Run Reconcile'!A$2:B3212,2,FALSE)</f>
        <v>44817</v>
      </c>
      <c r="D77" s="12">
        <f>IFERROR(__xludf.DUMMYFUNCTION("""COMPUTED_VALUE"""),44817.0)</f>
        <v>44817</v>
      </c>
      <c r="E77" s="13">
        <f>IFERROR(__xludf.DUMMYFUNCTION("""COMPUTED_VALUE"""),0.36761574073898373)</f>
        <v>0.3676157407</v>
      </c>
      <c r="F77" s="7" t="str">
        <f>IFERROR(__xludf.DUMMYFUNCTION("""COMPUTED_VALUE"""),"Negative")</f>
        <v>Negative</v>
      </c>
      <c r="G77" s="7">
        <f>IFERROR(__xludf.DUMMYFUNCTION("""COMPUTED_VALUE"""),4.0)</f>
        <v>4</v>
      </c>
    </row>
    <row r="78">
      <c r="A78" s="7" t="str">
        <f>IFERROR(__xludf.DUMMYFUNCTION("""COMPUTED_VALUE"""),"AH9305")</f>
        <v>AH9305</v>
      </c>
      <c r="B78" s="7" t="str">
        <f>IFERROR(__xludf.DUMMYFUNCTION("""COMPUTED_VALUE"""),"RUN-ABRM_2022-09-13_RFR-011")</f>
        <v>RUN-ABRM_2022-09-13_RFR-011</v>
      </c>
      <c r="C78" s="8">
        <f>VLOOKUP(B78,'Run Reconcile'!A$2:B3212,2,FALSE)</f>
        <v>44817</v>
      </c>
      <c r="D78" s="12">
        <f>IFERROR(__xludf.DUMMYFUNCTION("""COMPUTED_VALUE"""),44817.0)</f>
        <v>44817</v>
      </c>
      <c r="E78" s="13">
        <f>IFERROR(__xludf.DUMMYFUNCTION("""COMPUTED_VALUE"""),0.3679513888891961)</f>
        <v>0.3679513889</v>
      </c>
      <c r="F78" s="7" t="str">
        <f>IFERROR(__xludf.DUMMYFUNCTION("""COMPUTED_VALUE"""),"Negative")</f>
        <v>Negative</v>
      </c>
      <c r="G78" s="7">
        <f>IFERROR(__xludf.DUMMYFUNCTION("""COMPUTED_VALUE"""),1.0)</f>
        <v>1</v>
      </c>
    </row>
    <row r="79">
      <c r="A79" s="7" t="str">
        <f>IFERROR(__xludf.DUMMYFUNCTION("""COMPUTED_VALUE"""),"AH8338")</f>
        <v>AH8338</v>
      </c>
      <c r="B79" s="7" t="str">
        <f>IFERROR(__xludf.DUMMYFUNCTION("""COMPUTED_VALUE"""),"RUN-ABRM_2022-09-13_RFR-011")</f>
        <v>RUN-ABRM_2022-09-13_RFR-011</v>
      </c>
      <c r="C79" s="8">
        <f>VLOOKUP(B79,'Run Reconcile'!A$2:B3212,2,FALSE)</f>
        <v>44817</v>
      </c>
      <c r="D79" s="12">
        <f>IFERROR(__xludf.DUMMYFUNCTION("""COMPUTED_VALUE"""),44817.0)</f>
        <v>44817</v>
      </c>
      <c r="E79" s="13">
        <f>IFERROR(__xludf.DUMMYFUNCTION("""COMPUTED_VALUE"""),0.3685648148129985)</f>
        <v>0.3685648148</v>
      </c>
      <c r="F79" s="7" t="str">
        <f>IFERROR(__xludf.DUMMYFUNCTION("""COMPUTED_VALUE"""),"Negative")</f>
        <v>Negative</v>
      </c>
      <c r="G79" s="7">
        <f>IFERROR(__xludf.DUMMYFUNCTION("""COMPUTED_VALUE"""),5.0)</f>
        <v>5</v>
      </c>
    </row>
    <row r="80">
      <c r="A80" s="7" t="str">
        <f>IFERROR(__xludf.DUMMYFUNCTION("""COMPUTED_VALUE"""),"AH7549")</f>
        <v>AH7549</v>
      </c>
      <c r="B80" s="7" t="str">
        <f>IFERROR(__xludf.DUMMYFUNCTION("""COMPUTED_VALUE"""),"RUN-ABRM_2022-09-13_RFR-011")</f>
        <v>RUN-ABRM_2022-09-13_RFR-011</v>
      </c>
      <c r="C80" s="8">
        <f>VLOOKUP(B80,'Run Reconcile'!A$2:B3212,2,FALSE)</f>
        <v>44817</v>
      </c>
      <c r="D80" s="12">
        <f>IFERROR(__xludf.DUMMYFUNCTION("""COMPUTED_VALUE"""),44817.0)</f>
        <v>44817</v>
      </c>
      <c r="E80" s="13">
        <f>IFERROR(__xludf.DUMMYFUNCTION("""COMPUTED_VALUE"""),0.36899305555562023)</f>
        <v>0.3689930556</v>
      </c>
      <c r="F80" s="7" t="str">
        <f>IFERROR(__xludf.DUMMYFUNCTION("""COMPUTED_VALUE"""),"Negative")</f>
        <v>Negative</v>
      </c>
      <c r="G80" s="7">
        <f>IFERROR(__xludf.DUMMYFUNCTION("""COMPUTED_VALUE"""),5.0)</f>
        <v>5</v>
      </c>
    </row>
    <row r="81">
      <c r="A81" s="7" t="str">
        <f>IFERROR(__xludf.DUMMYFUNCTION("""COMPUTED_VALUE"""),"AG493")</f>
        <v>AG493</v>
      </c>
      <c r="B81" s="7" t="str">
        <f>IFERROR(__xludf.DUMMYFUNCTION("""COMPUTED_VALUE"""),"RUN-ABRM_2022-09-14_RFR-013")</f>
        <v>RUN-ABRM_2022-09-14_RFR-013</v>
      </c>
      <c r="C81" s="8">
        <f>VLOOKUP(B81,'Run Reconcile'!A$2:B3212,2,FALSE)</f>
        <v>44818</v>
      </c>
      <c r="D81" s="12">
        <f>IFERROR(__xludf.DUMMYFUNCTION("""COMPUTED_VALUE"""),44818.0)</f>
        <v>44818</v>
      </c>
      <c r="E81" s="13">
        <f>IFERROR(__xludf.DUMMYFUNCTION("""COMPUTED_VALUE"""),0.21755787037182017)</f>
        <v>0.2175578704</v>
      </c>
      <c r="F81" s="7" t="str">
        <f>IFERROR(__xludf.DUMMYFUNCTION("""COMPUTED_VALUE"""),"Negative")</f>
        <v>Negative</v>
      </c>
      <c r="G81" s="7">
        <f>IFERROR(__xludf.DUMMYFUNCTION("""COMPUTED_VALUE"""),3.0)</f>
        <v>3</v>
      </c>
    </row>
    <row r="82">
      <c r="A82" s="7" t="str">
        <f>IFERROR(__xludf.DUMMYFUNCTION("""COMPUTED_VALUE"""),"AG357")</f>
        <v>AG357</v>
      </c>
      <c r="B82" s="7" t="str">
        <f>IFERROR(__xludf.DUMMYFUNCTION("""COMPUTED_VALUE"""),"RUN-ABRM_2022-09-14_RFR-013")</f>
        <v>RUN-ABRM_2022-09-14_RFR-013</v>
      </c>
      <c r="C82" s="8">
        <f>VLOOKUP(B82,'Run Reconcile'!A$2:B3212,2,FALSE)</f>
        <v>44818</v>
      </c>
      <c r="D82" s="12">
        <f>IFERROR(__xludf.DUMMYFUNCTION("""COMPUTED_VALUE"""),44818.0)</f>
        <v>44818</v>
      </c>
      <c r="E82" s="13">
        <f>IFERROR(__xludf.DUMMYFUNCTION("""COMPUTED_VALUE"""),0.24834490740613546)</f>
        <v>0.2483449074</v>
      </c>
      <c r="F82" s="7" t="str">
        <f>IFERROR(__xludf.DUMMYFUNCTION("""COMPUTED_VALUE"""),"Negative")</f>
        <v>Negative</v>
      </c>
      <c r="G82" s="7">
        <f>IFERROR(__xludf.DUMMYFUNCTION("""COMPUTED_VALUE"""),1.0)</f>
        <v>1</v>
      </c>
    </row>
    <row r="83">
      <c r="A83" s="7" t="str">
        <f>IFERROR(__xludf.DUMMYFUNCTION("""COMPUTED_VALUE"""),"AG743")</f>
        <v>AG743</v>
      </c>
      <c r="B83" s="7" t="str">
        <f>IFERROR(__xludf.DUMMYFUNCTION("""COMPUTED_VALUE"""),"RUN-ABRM_2022-09-14_RFR-013")</f>
        <v>RUN-ABRM_2022-09-14_RFR-013</v>
      </c>
      <c r="C83" s="8">
        <f>VLOOKUP(B83,'Run Reconcile'!A$2:B3212,2,FALSE)</f>
        <v>44818</v>
      </c>
      <c r="D83" s="12">
        <f>IFERROR(__xludf.DUMMYFUNCTION("""COMPUTED_VALUE"""),44818.0)</f>
        <v>44818</v>
      </c>
      <c r="E83" s="13">
        <f>IFERROR(__xludf.DUMMYFUNCTION("""COMPUTED_VALUE"""),0.24957175926101627)</f>
        <v>0.2495717593</v>
      </c>
      <c r="F83" s="7" t="str">
        <f>IFERROR(__xludf.DUMMYFUNCTION("""COMPUTED_VALUE"""),"Negative")</f>
        <v>Negative</v>
      </c>
      <c r="G83" s="7">
        <f>IFERROR(__xludf.DUMMYFUNCTION("""COMPUTED_VALUE"""),2.0)</f>
        <v>2</v>
      </c>
    </row>
    <row r="84">
      <c r="A84" s="7" t="str">
        <f>IFERROR(__xludf.DUMMYFUNCTION("""COMPUTED_VALUE"""),"AG97")</f>
        <v>AG97</v>
      </c>
      <c r="B84" s="7" t="str">
        <f>IFERROR(__xludf.DUMMYFUNCTION("""COMPUTED_VALUE"""),"RUN-ABRM_2022-09-14_RFR-013")</f>
        <v>RUN-ABRM_2022-09-14_RFR-013</v>
      </c>
      <c r="C84" s="8">
        <f>VLOOKUP(B84,'Run Reconcile'!A$2:B3212,2,FALSE)</f>
        <v>44818</v>
      </c>
      <c r="D84" s="12">
        <f>IFERROR(__xludf.DUMMYFUNCTION("""COMPUTED_VALUE"""),44818.0)</f>
        <v>44818</v>
      </c>
      <c r="E84" s="13">
        <f>IFERROR(__xludf.DUMMYFUNCTION("""COMPUTED_VALUE"""),0.28548611111182254)</f>
        <v>0.2854861111</v>
      </c>
      <c r="F84" s="7" t="str">
        <f>IFERROR(__xludf.DUMMYFUNCTION("""COMPUTED_VALUE"""),"Negative")</f>
        <v>Negative</v>
      </c>
      <c r="G84" s="7">
        <f>IFERROR(__xludf.DUMMYFUNCTION("""COMPUTED_VALUE"""),3.0)</f>
        <v>3</v>
      </c>
    </row>
    <row r="85">
      <c r="A85" s="7" t="str">
        <f>IFERROR(__xludf.DUMMYFUNCTION("""COMPUTED_VALUE"""),"AG430")</f>
        <v>AG430</v>
      </c>
      <c r="B85" s="7" t="str">
        <f>IFERROR(__xludf.DUMMYFUNCTION("""COMPUTED_VALUE"""),"RUN-ABRM_2022-09-14_RFR-013")</f>
        <v>RUN-ABRM_2022-09-14_RFR-013</v>
      </c>
      <c r="C85" s="8">
        <f>VLOOKUP(B85,'Run Reconcile'!A$2:B3212,2,FALSE)</f>
        <v>44818</v>
      </c>
      <c r="D85" s="12">
        <f>IFERROR(__xludf.DUMMYFUNCTION("""COMPUTED_VALUE"""),44818.0)</f>
        <v>44818</v>
      </c>
      <c r="E85" s="13">
        <f>IFERROR(__xludf.DUMMYFUNCTION("""COMPUTED_VALUE"""),0.3194328703721112)</f>
        <v>0.3194328704</v>
      </c>
      <c r="F85" s="7" t="str">
        <f>IFERROR(__xludf.DUMMYFUNCTION("""COMPUTED_VALUE"""),"Negative")</f>
        <v>Negative</v>
      </c>
      <c r="G85" s="7">
        <f>IFERROR(__xludf.DUMMYFUNCTION("""COMPUTED_VALUE"""),2.0)</f>
        <v>2</v>
      </c>
    </row>
    <row r="86">
      <c r="A86" s="7" t="str">
        <f>IFERROR(__xludf.DUMMYFUNCTION("""COMPUTED_VALUE"""),"AH8149")</f>
        <v>AH8149</v>
      </c>
      <c r="B86" s="7" t="str">
        <f>IFERROR(__xludf.DUMMYFUNCTION("""COMPUTED_VALUE"""),"RUN-ABRM_2022-09-14_RFR-013")</f>
        <v>RUN-ABRM_2022-09-14_RFR-013</v>
      </c>
      <c r="C86" s="8">
        <f>VLOOKUP(B86,'Run Reconcile'!A$2:B3212,2,FALSE)</f>
        <v>44818</v>
      </c>
      <c r="D86" s="12">
        <f>IFERROR(__xludf.DUMMYFUNCTION("""COMPUTED_VALUE"""),44818.0)</f>
        <v>44818</v>
      </c>
      <c r="E86" s="13">
        <f>IFERROR(__xludf.DUMMYFUNCTION("""COMPUTED_VALUE"""),0.38315972222335404)</f>
        <v>0.3831597222</v>
      </c>
      <c r="F86" s="7" t="str">
        <f>IFERROR(__xludf.DUMMYFUNCTION("""COMPUTED_VALUE"""),"Negative")</f>
        <v>Negative</v>
      </c>
      <c r="G86" s="7">
        <f>IFERROR(__xludf.DUMMYFUNCTION("""COMPUTED_VALUE"""),4.0)</f>
        <v>4</v>
      </c>
    </row>
    <row r="87">
      <c r="A87" s="7" t="str">
        <f>IFERROR(__xludf.DUMMYFUNCTION("""COMPUTED_VALUE"""),"AH8887")</f>
        <v>AH8887</v>
      </c>
      <c r="B87" s="7" t="str">
        <f>IFERROR(__xludf.DUMMYFUNCTION("""COMPUTED_VALUE"""),"RUN-ABRM_2022-09-14_RFR-013")</f>
        <v>RUN-ABRM_2022-09-14_RFR-013</v>
      </c>
      <c r="C87" s="8">
        <f>VLOOKUP(B87,'Run Reconcile'!A$2:B3212,2,FALSE)</f>
        <v>44818</v>
      </c>
      <c r="D87" s="12">
        <f>IFERROR(__xludf.DUMMYFUNCTION("""COMPUTED_VALUE"""),44818.0)</f>
        <v>44818</v>
      </c>
      <c r="E87" s="13">
        <f>IFERROR(__xludf.DUMMYFUNCTION("""COMPUTED_VALUE"""),0.38351851851984975)</f>
        <v>0.3835185185</v>
      </c>
      <c r="F87" s="7" t="str">
        <f>IFERROR(__xludf.DUMMYFUNCTION("""COMPUTED_VALUE"""),"Negative")</f>
        <v>Negative</v>
      </c>
      <c r="G87" s="7">
        <f>IFERROR(__xludf.DUMMYFUNCTION("""COMPUTED_VALUE"""),2.0)</f>
        <v>2</v>
      </c>
    </row>
    <row r="88">
      <c r="A88" s="7" t="str">
        <f>IFERROR(__xludf.DUMMYFUNCTION("""COMPUTED_VALUE"""),"AG1461")</f>
        <v>AG1461</v>
      </c>
      <c r="B88" s="7" t="str">
        <f>IFERROR(__xludf.DUMMYFUNCTION("""COMPUTED_VALUE"""),"RUN-ABRM_2022-09-14_RFR-013")</f>
        <v>RUN-ABRM_2022-09-14_RFR-013</v>
      </c>
      <c r="C88" s="8">
        <f>VLOOKUP(B88,'Run Reconcile'!A$2:B3212,2,FALSE)</f>
        <v>44818</v>
      </c>
      <c r="D88" s="12">
        <f>IFERROR(__xludf.DUMMYFUNCTION("""COMPUTED_VALUE"""),44818.0)</f>
        <v>44818</v>
      </c>
      <c r="E88" s="13">
        <f>IFERROR(__xludf.DUMMYFUNCTION("""COMPUTED_VALUE"""),0.3839120370357705)</f>
        <v>0.383912037</v>
      </c>
      <c r="F88" s="7" t="str">
        <f>IFERROR(__xludf.DUMMYFUNCTION("""COMPUTED_VALUE"""),"Negative")</f>
        <v>Negative</v>
      </c>
      <c r="G88" s="7">
        <f>IFERROR(__xludf.DUMMYFUNCTION("""COMPUTED_VALUE"""),3.0)</f>
        <v>3</v>
      </c>
    </row>
    <row r="89">
      <c r="A89" s="7" t="str">
        <f>IFERROR(__xludf.DUMMYFUNCTION("""COMPUTED_VALUE"""),"AH9111")</f>
        <v>AH9111</v>
      </c>
      <c r="B89" s="7" t="str">
        <f>IFERROR(__xludf.DUMMYFUNCTION("""COMPUTED_VALUE"""),"RUN-ABRM_2022-09-14_RFR-013")</f>
        <v>RUN-ABRM_2022-09-14_RFR-013</v>
      </c>
      <c r="C89" s="8">
        <f>VLOOKUP(B89,'Run Reconcile'!A$2:B3212,2,FALSE)</f>
        <v>44818</v>
      </c>
      <c r="D89" s="12">
        <f>IFERROR(__xludf.DUMMYFUNCTION("""COMPUTED_VALUE"""),44818.0)</f>
        <v>44818</v>
      </c>
      <c r="E89" s="13">
        <f>IFERROR(__xludf.DUMMYFUNCTION("""COMPUTED_VALUE"""),0.3842708333322662)</f>
        <v>0.3842708333</v>
      </c>
      <c r="F89" s="7" t="str">
        <f>IFERROR(__xludf.DUMMYFUNCTION("""COMPUTED_VALUE"""),"Negative")</f>
        <v>Negative</v>
      </c>
      <c r="G89" s="7">
        <f>IFERROR(__xludf.DUMMYFUNCTION("""COMPUTED_VALUE"""),3.0)</f>
        <v>3</v>
      </c>
    </row>
    <row r="90">
      <c r="A90" s="7" t="str">
        <f>IFERROR(__xludf.DUMMYFUNCTION("""COMPUTED_VALUE"""),"AH8913")</f>
        <v>AH8913</v>
      </c>
      <c r="B90" s="7" t="str">
        <f>IFERROR(__xludf.DUMMYFUNCTION("""COMPUTED_VALUE"""),"RUN-ABRM_2022-09-15_RFR-014")</f>
        <v>RUN-ABRM_2022-09-15_RFR-014</v>
      </c>
      <c r="C90" s="8">
        <f>VLOOKUP(B90,'Run Reconcile'!A$2:B3212,2,FALSE)</f>
        <v>44819</v>
      </c>
      <c r="D90" s="12">
        <f>IFERROR(__xludf.DUMMYFUNCTION("""COMPUTED_VALUE"""),44819.0)</f>
        <v>44819</v>
      </c>
      <c r="E90" s="13">
        <f>IFERROR(__xludf.DUMMYFUNCTION("""COMPUTED_VALUE"""),0.2295023148144537)</f>
        <v>0.2295023148</v>
      </c>
      <c r="F90" s="7" t="str">
        <f>IFERROR(__xludf.DUMMYFUNCTION("""COMPUTED_VALUE"""),"Negative")</f>
        <v>Negative</v>
      </c>
      <c r="G90" s="7">
        <f>IFERROR(__xludf.DUMMYFUNCTION("""COMPUTED_VALUE"""),1.0)</f>
        <v>1</v>
      </c>
    </row>
    <row r="91">
      <c r="A91" s="7" t="str">
        <f>IFERROR(__xludf.DUMMYFUNCTION("""COMPUTED_VALUE"""),"AG1470")</f>
        <v>AG1470</v>
      </c>
      <c r="B91" s="7" t="str">
        <f>IFERROR(__xludf.DUMMYFUNCTION("""COMPUTED_VALUE"""),"RUN-ABRM_2022-09-15_RFR-014")</f>
        <v>RUN-ABRM_2022-09-15_RFR-014</v>
      </c>
      <c r="C91" s="8">
        <f>VLOOKUP(B91,'Run Reconcile'!A$2:B3212,2,FALSE)</f>
        <v>44819</v>
      </c>
      <c r="D91" s="12">
        <f>IFERROR(__xludf.DUMMYFUNCTION("""COMPUTED_VALUE"""),44819.0)</f>
        <v>44819</v>
      </c>
      <c r="E91" s="13">
        <f>IFERROR(__xludf.DUMMYFUNCTION("""COMPUTED_VALUE"""),0.2955787037026312)</f>
        <v>0.2955787037</v>
      </c>
      <c r="F91" s="7" t="str">
        <f>IFERROR(__xludf.DUMMYFUNCTION("""COMPUTED_VALUE"""),"Negative")</f>
        <v>Negative</v>
      </c>
      <c r="G91" s="7">
        <f>IFERROR(__xludf.DUMMYFUNCTION("""COMPUTED_VALUE"""),2.0)</f>
        <v>2</v>
      </c>
    </row>
    <row r="92">
      <c r="A92" s="7" t="str">
        <f>IFERROR(__xludf.DUMMYFUNCTION("""COMPUTED_VALUE"""),"AH8807")</f>
        <v>AH8807</v>
      </c>
      <c r="B92" s="7" t="str">
        <f>IFERROR(__xludf.DUMMYFUNCTION("""COMPUTED_VALUE"""),"RUN-ABRM_2022-09-15_RFR-014")</f>
        <v>RUN-ABRM_2022-09-15_RFR-014</v>
      </c>
      <c r="C92" s="8">
        <f>VLOOKUP(B92,'Run Reconcile'!A$2:B3212,2,FALSE)</f>
        <v>44819</v>
      </c>
      <c r="D92" s="12">
        <f>IFERROR(__xludf.DUMMYFUNCTION("""COMPUTED_VALUE"""),44819.0)</f>
        <v>44819</v>
      </c>
      <c r="E92" s="13">
        <f>IFERROR(__xludf.DUMMYFUNCTION("""COMPUTED_VALUE"""),0.30060185185357113)</f>
        <v>0.3006018519</v>
      </c>
      <c r="F92" s="7" t="str">
        <f>IFERROR(__xludf.DUMMYFUNCTION("""COMPUTED_VALUE"""),"Negative")</f>
        <v>Negative</v>
      </c>
      <c r="G92" s="7">
        <f>IFERROR(__xludf.DUMMYFUNCTION("""COMPUTED_VALUE"""),3.0)</f>
        <v>3</v>
      </c>
    </row>
    <row r="93">
      <c r="A93" s="7" t="str">
        <f>IFERROR(__xludf.DUMMYFUNCTION("""COMPUTED_VALUE"""),"AK6338")</f>
        <v>AK6338</v>
      </c>
      <c r="B93" s="7" t="str">
        <f>IFERROR(__xludf.DUMMYFUNCTION("""COMPUTED_VALUE"""),"RUN-ABRM_2022-09-15_RFR-014")</f>
        <v>RUN-ABRM_2022-09-15_RFR-014</v>
      </c>
      <c r="C93" s="8">
        <f>VLOOKUP(B93,'Run Reconcile'!A$2:B3212,2,FALSE)</f>
        <v>44819</v>
      </c>
      <c r="D93" s="12">
        <f>IFERROR(__xludf.DUMMYFUNCTION("""COMPUTED_VALUE"""),44819.0)</f>
        <v>44819</v>
      </c>
      <c r="E93" s="13">
        <f>IFERROR(__xludf.DUMMYFUNCTION("""COMPUTED_VALUE"""),0.3016319444432156)</f>
        <v>0.3016319444</v>
      </c>
      <c r="F93" s="7" t="str">
        <f>IFERROR(__xludf.DUMMYFUNCTION("""COMPUTED_VALUE"""),"Negative")</f>
        <v>Negative</v>
      </c>
      <c r="G93" s="7">
        <f>IFERROR(__xludf.DUMMYFUNCTION("""COMPUTED_VALUE"""),3.0)</f>
        <v>3</v>
      </c>
    </row>
    <row r="94">
      <c r="A94" s="7" t="str">
        <f>IFERROR(__xludf.DUMMYFUNCTION("""COMPUTED_VALUE"""),"AH7854")</f>
        <v>AH7854</v>
      </c>
      <c r="B94" s="7" t="str">
        <f>IFERROR(__xludf.DUMMYFUNCTION("""COMPUTED_VALUE"""),"RUN-ABRM_2022-09-15_RFR-014")</f>
        <v>RUN-ABRM_2022-09-15_RFR-014</v>
      </c>
      <c r="C94" s="8">
        <f>VLOOKUP(B94,'Run Reconcile'!A$2:B3212,2,FALSE)</f>
        <v>44819</v>
      </c>
      <c r="D94" s="12">
        <f>IFERROR(__xludf.DUMMYFUNCTION("""COMPUTED_VALUE"""),44819.0)</f>
        <v>44819</v>
      </c>
      <c r="E94" s="13">
        <f>IFERROR(__xludf.DUMMYFUNCTION("""COMPUTED_VALUE"""),0.3032060185178125)</f>
        <v>0.3032060185</v>
      </c>
      <c r="F94" s="7" t="str">
        <f>IFERROR(__xludf.DUMMYFUNCTION("""COMPUTED_VALUE"""),"Negative")</f>
        <v>Negative</v>
      </c>
      <c r="G94" s="7">
        <f>IFERROR(__xludf.DUMMYFUNCTION("""COMPUTED_VALUE"""),1.0)</f>
        <v>1</v>
      </c>
    </row>
    <row r="95">
      <c r="A95" s="7" t="str">
        <f>IFERROR(__xludf.DUMMYFUNCTION("""COMPUTED_VALUE"""),"AH9085")</f>
        <v>AH9085</v>
      </c>
      <c r="B95" s="7" t="str">
        <f>IFERROR(__xludf.DUMMYFUNCTION("""COMPUTED_VALUE"""),"RUN-ABRM_2022-09-15_RFR-014")</f>
        <v>RUN-ABRM_2022-09-15_RFR-014</v>
      </c>
      <c r="C95" s="8">
        <f>VLOOKUP(B95,'Run Reconcile'!A$2:B3212,2,FALSE)</f>
        <v>44819</v>
      </c>
      <c r="D95" s="12">
        <f>IFERROR(__xludf.DUMMYFUNCTION("""COMPUTED_VALUE"""),44819.0)</f>
        <v>44819</v>
      </c>
      <c r="E95" s="13">
        <f>IFERROR(__xludf.DUMMYFUNCTION("""COMPUTED_VALUE"""),0.32207175925941556)</f>
        <v>0.3220717593</v>
      </c>
      <c r="F95" s="7" t="str">
        <f>IFERROR(__xludf.DUMMYFUNCTION("""COMPUTED_VALUE"""),"Negative")</f>
        <v>Negative</v>
      </c>
      <c r="G95" s="7">
        <f>IFERROR(__xludf.DUMMYFUNCTION("""COMPUTED_VALUE"""),2.0)</f>
        <v>2</v>
      </c>
    </row>
    <row r="96">
      <c r="A96" s="7" t="str">
        <f>IFERROR(__xludf.DUMMYFUNCTION("""COMPUTED_VALUE"""),"AG1324")</f>
        <v>AG1324</v>
      </c>
      <c r="B96" s="7" t="str">
        <f>IFERROR(__xludf.DUMMYFUNCTION("""COMPUTED_VALUE"""),"RUN-ABRM_2022-09-15_RFR-014")</f>
        <v>RUN-ABRM_2022-09-15_RFR-014</v>
      </c>
      <c r="C96" s="8">
        <f>VLOOKUP(B96,'Run Reconcile'!A$2:B3212,2,FALSE)</f>
        <v>44819</v>
      </c>
      <c r="D96" s="12">
        <f>IFERROR(__xludf.DUMMYFUNCTION("""COMPUTED_VALUE"""),44819.0)</f>
        <v>44819</v>
      </c>
      <c r="E96" s="13">
        <f>IFERROR(__xludf.DUMMYFUNCTION("""COMPUTED_VALUE"""),0.3709027777767915)</f>
        <v>0.3709027778</v>
      </c>
      <c r="F96" s="7" t="str">
        <f>IFERROR(__xludf.DUMMYFUNCTION("""COMPUTED_VALUE"""),"Negative")</f>
        <v>Negative</v>
      </c>
      <c r="G96" s="7">
        <f>IFERROR(__xludf.DUMMYFUNCTION("""COMPUTED_VALUE"""),1.0)</f>
        <v>1</v>
      </c>
    </row>
    <row r="97">
      <c r="A97" s="7" t="str">
        <f>IFERROR(__xludf.DUMMYFUNCTION("""COMPUTED_VALUE"""),"AH8537")</f>
        <v>AH8537</v>
      </c>
      <c r="B97" s="7" t="str">
        <f>IFERROR(__xludf.DUMMYFUNCTION("""COMPUTED_VALUE"""),"RUN-ABRM_2022-09-15_RFR-014")</f>
        <v>RUN-ABRM_2022-09-15_RFR-014</v>
      </c>
      <c r="C97" s="8">
        <f>VLOOKUP(B97,'Run Reconcile'!A$2:B3212,2,FALSE)</f>
        <v>44819</v>
      </c>
      <c r="D97" s="12">
        <f>IFERROR(__xludf.DUMMYFUNCTION("""COMPUTED_VALUE"""),44819.0)</f>
        <v>44819</v>
      </c>
      <c r="E97" s="13">
        <f>IFERROR(__xludf.DUMMYFUNCTION("""COMPUTED_VALUE"""),0.3712962962963502)</f>
        <v>0.3712962963</v>
      </c>
      <c r="F97" s="7" t="str">
        <f>IFERROR(__xludf.DUMMYFUNCTION("""COMPUTED_VALUE"""),"Negative")</f>
        <v>Negative</v>
      </c>
      <c r="G97" s="7">
        <f>IFERROR(__xludf.DUMMYFUNCTION("""COMPUTED_VALUE"""),3.0)</f>
        <v>3</v>
      </c>
    </row>
    <row r="98">
      <c r="A98" s="7" t="str">
        <f>IFERROR(__xludf.DUMMYFUNCTION("""COMPUTED_VALUE"""),"AH8654")</f>
        <v>AH8654</v>
      </c>
      <c r="B98" s="7" t="str">
        <f>IFERROR(__xludf.DUMMYFUNCTION("""COMPUTED_VALUE"""),"RUN-ABRM_2022-09-15_RFR-014")</f>
        <v>RUN-ABRM_2022-09-15_RFR-014</v>
      </c>
      <c r="C98" s="8">
        <f>VLOOKUP(B98,'Run Reconcile'!A$2:B3212,2,FALSE)</f>
        <v>44819</v>
      </c>
      <c r="D98" s="12">
        <f>IFERROR(__xludf.DUMMYFUNCTION("""COMPUTED_VALUE"""),44819.0)</f>
        <v>44819</v>
      </c>
      <c r="E98" s="13">
        <f>IFERROR(__xludf.DUMMYFUNCTION("""COMPUTED_VALUE"""),0.37167824073912925)</f>
        <v>0.3716782407</v>
      </c>
      <c r="F98" s="7" t="str">
        <f>IFERROR(__xludf.DUMMYFUNCTION("""COMPUTED_VALUE"""),"Negative")</f>
        <v>Negative</v>
      </c>
      <c r="G98" s="7">
        <f>IFERROR(__xludf.DUMMYFUNCTION("""COMPUTED_VALUE"""),3.0)</f>
        <v>3</v>
      </c>
    </row>
    <row r="99">
      <c r="A99" s="7" t="str">
        <f>IFERROR(__xludf.DUMMYFUNCTION("""COMPUTED_VALUE"""),"AH7689")</f>
        <v>AH7689</v>
      </c>
      <c r="B99" s="7" t="str">
        <f>IFERROR(__xludf.DUMMYFUNCTION("""COMPUTED_VALUE"""),"RUN-ABRM_2022-09-15_RFR-014")</f>
        <v>RUN-ABRM_2022-09-15_RFR-014</v>
      </c>
      <c r="C99" s="8">
        <f>VLOOKUP(B99,'Run Reconcile'!A$2:B3212,2,FALSE)</f>
        <v>44819</v>
      </c>
      <c r="D99" s="12">
        <f>IFERROR(__xludf.DUMMYFUNCTION("""COMPUTED_VALUE"""),44819.0)</f>
        <v>44819</v>
      </c>
      <c r="E99" s="13">
        <f>IFERROR(__xludf.DUMMYFUNCTION("""COMPUTED_VALUE"""),0.37196759259313694)</f>
        <v>0.3719675926</v>
      </c>
      <c r="F99" s="7" t="str">
        <f>IFERROR(__xludf.DUMMYFUNCTION("""COMPUTED_VALUE"""),"Negative")</f>
        <v>Negative</v>
      </c>
      <c r="G99" s="7">
        <f>IFERROR(__xludf.DUMMYFUNCTION("""COMPUTED_VALUE"""),3.0)</f>
        <v>3</v>
      </c>
    </row>
    <row r="100">
      <c r="A100" s="7" t="str">
        <f>IFERROR(__xludf.DUMMYFUNCTION("""COMPUTED_VALUE"""),"AG1697")</f>
        <v>AG1697</v>
      </c>
      <c r="B100" s="7" t="str">
        <f>IFERROR(__xludf.DUMMYFUNCTION("""COMPUTED_VALUE"""),"RUN-ABRM_2022-09-16_RFR-015")</f>
        <v>RUN-ABRM_2022-09-16_RFR-015</v>
      </c>
      <c r="C100" s="8">
        <f>VLOOKUP(B100,'Run Reconcile'!A$2:B3212,2,FALSE)</f>
        <v>44820</v>
      </c>
      <c r="D100" s="12">
        <f>IFERROR(__xludf.DUMMYFUNCTION("""COMPUTED_VALUE"""),44820.0)</f>
        <v>44820</v>
      </c>
      <c r="E100" s="13">
        <f>IFERROR(__xludf.DUMMYFUNCTION("""COMPUTED_VALUE"""),0.2615162037036498)</f>
        <v>0.2615162037</v>
      </c>
      <c r="F100" s="7" t="str">
        <f>IFERROR(__xludf.DUMMYFUNCTION("""COMPUTED_VALUE"""),"Negative")</f>
        <v>Negative</v>
      </c>
      <c r="G100" s="7">
        <f>IFERROR(__xludf.DUMMYFUNCTION("""COMPUTED_VALUE"""),3.0)</f>
        <v>3</v>
      </c>
    </row>
    <row r="101">
      <c r="A101" s="7" t="str">
        <f>IFERROR(__xludf.DUMMYFUNCTION("""COMPUTED_VALUE"""),"AG2142")</f>
        <v>AG2142</v>
      </c>
      <c r="B101" s="7" t="str">
        <f>IFERROR(__xludf.DUMMYFUNCTION("""COMPUTED_VALUE"""),"RUN-ABRM_2022-09-16_RFR-015")</f>
        <v>RUN-ABRM_2022-09-16_RFR-015</v>
      </c>
      <c r="C101" s="8">
        <f>VLOOKUP(B101,'Run Reconcile'!A$2:B3212,2,FALSE)</f>
        <v>44820</v>
      </c>
      <c r="D101" s="12">
        <f>IFERROR(__xludf.DUMMYFUNCTION("""COMPUTED_VALUE"""),44820.0)</f>
        <v>44820</v>
      </c>
      <c r="E101" s="13">
        <f>IFERROR(__xludf.DUMMYFUNCTION("""COMPUTED_VALUE"""),0.2686805555567844)</f>
        <v>0.2686805556</v>
      </c>
      <c r="F101" s="7" t="str">
        <f>IFERROR(__xludf.DUMMYFUNCTION("""COMPUTED_VALUE"""),"Negative")</f>
        <v>Negative</v>
      </c>
      <c r="G101" s="7">
        <f>IFERROR(__xludf.DUMMYFUNCTION("""COMPUTED_VALUE"""),3.0)</f>
        <v>3</v>
      </c>
    </row>
    <row r="102">
      <c r="A102" s="7" t="str">
        <f>IFERROR(__xludf.DUMMYFUNCTION("""COMPUTED_VALUE"""),"AH7967")</f>
        <v>AH7967</v>
      </c>
      <c r="B102" s="7" t="str">
        <f>IFERROR(__xludf.DUMMYFUNCTION("""COMPUTED_VALUE"""),"RUN-ABRM_2022-09-16_RFR-015")</f>
        <v>RUN-ABRM_2022-09-16_RFR-015</v>
      </c>
      <c r="C102" s="8">
        <f>VLOOKUP(B102,'Run Reconcile'!A$2:B3212,2,FALSE)</f>
        <v>44820</v>
      </c>
      <c r="D102" s="12">
        <f>IFERROR(__xludf.DUMMYFUNCTION("""COMPUTED_VALUE"""),44820.0)</f>
        <v>44820</v>
      </c>
      <c r="E102" s="13">
        <f>IFERROR(__xludf.DUMMYFUNCTION("""COMPUTED_VALUE"""),0.29620370370321325)</f>
        <v>0.2962037037</v>
      </c>
      <c r="F102" s="7" t="str">
        <f>IFERROR(__xludf.DUMMYFUNCTION("""COMPUTED_VALUE"""),"Negative")</f>
        <v>Negative</v>
      </c>
      <c r="G102" s="7">
        <f>IFERROR(__xludf.DUMMYFUNCTION("""COMPUTED_VALUE"""),2.0)</f>
        <v>2</v>
      </c>
    </row>
    <row r="103">
      <c r="A103" s="7" t="str">
        <f>IFERROR(__xludf.DUMMYFUNCTION("""COMPUTED_VALUE"""),"AG1800")</f>
        <v>AG1800</v>
      </c>
      <c r="B103" s="7" t="str">
        <f>IFERROR(__xludf.DUMMYFUNCTION("""COMPUTED_VALUE"""),"RUN-ABRM_2022-09-16_RFR-015")</f>
        <v>RUN-ABRM_2022-09-16_RFR-015</v>
      </c>
      <c r="C103" s="8">
        <f>VLOOKUP(B103,'Run Reconcile'!A$2:B3212,2,FALSE)</f>
        <v>44820</v>
      </c>
      <c r="D103" s="12">
        <f>IFERROR(__xludf.DUMMYFUNCTION("""COMPUTED_VALUE"""),44820.0)</f>
        <v>44820</v>
      </c>
      <c r="E103" s="13">
        <f>IFERROR(__xludf.DUMMYFUNCTION("""COMPUTED_VALUE"""),0.3036689814798592)</f>
        <v>0.3036689815</v>
      </c>
      <c r="F103" s="7" t="str">
        <f>IFERROR(__xludf.DUMMYFUNCTION("""COMPUTED_VALUE"""),"Negative")</f>
        <v>Negative</v>
      </c>
      <c r="G103" s="7">
        <f>IFERROR(__xludf.DUMMYFUNCTION("""COMPUTED_VALUE"""),2.0)</f>
        <v>2</v>
      </c>
    </row>
    <row r="104">
      <c r="A104" s="7" t="str">
        <f>IFERROR(__xludf.DUMMYFUNCTION("""COMPUTED_VALUE"""),"AH8666")</f>
        <v>AH8666</v>
      </c>
      <c r="B104" s="7" t="str">
        <f>IFERROR(__xludf.DUMMYFUNCTION("""COMPUTED_VALUE"""),"RUN-ABRM_2022-09-16_RFR-015")</f>
        <v>RUN-ABRM_2022-09-16_RFR-015</v>
      </c>
      <c r="C104" s="8">
        <f>VLOOKUP(B104,'Run Reconcile'!A$2:B3212,2,FALSE)</f>
        <v>44820</v>
      </c>
      <c r="D104" s="12">
        <f>IFERROR(__xludf.DUMMYFUNCTION("""COMPUTED_VALUE"""),44820.0)</f>
        <v>44820</v>
      </c>
      <c r="E104" s="13">
        <f>IFERROR(__xludf.DUMMYFUNCTION("""COMPUTED_VALUE"""),0.30619212962847087)</f>
        <v>0.3061921296</v>
      </c>
      <c r="F104" s="7" t="str">
        <f>IFERROR(__xludf.DUMMYFUNCTION("""COMPUTED_VALUE"""),"Negative")</f>
        <v>Negative</v>
      </c>
      <c r="G104" s="7">
        <f>IFERROR(__xludf.DUMMYFUNCTION("""COMPUTED_VALUE"""),1.0)</f>
        <v>1</v>
      </c>
    </row>
    <row r="105">
      <c r="A105" s="7" t="str">
        <f>IFERROR(__xludf.DUMMYFUNCTION("""COMPUTED_VALUE"""),"AG2055")</f>
        <v>AG2055</v>
      </c>
      <c r="B105" s="7" t="str">
        <f>IFERROR(__xludf.DUMMYFUNCTION("""COMPUTED_VALUE"""),"RUN-ABRM_2022-09-16_RFR-015")</f>
        <v>RUN-ABRM_2022-09-16_RFR-015</v>
      </c>
      <c r="C105" s="8">
        <f>VLOOKUP(B105,'Run Reconcile'!A$2:B3212,2,FALSE)</f>
        <v>44820</v>
      </c>
      <c r="D105" s="12">
        <f>IFERROR(__xludf.DUMMYFUNCTION("""COMPUTED_VALUE"""),44820.0)</f>
        <v>44820</v>
      </c>
      <c r="E105" s="13">
        <f>IFERROR(__xludf.DUMMYFUNCTION("""COMPUTED_VALUE"""),0.41942129629751435)</f>
        <v>0.4194212963</v>
      </c>
      <c r="F105" s="7" t="str">
        <f>IFERROR(__xludf.DUMMYFUNCTION("""COMPUTED_VALUE"""),"Negative")</f>
        <v>Negative</v>
      </c>
      <c r="G105" s="7">
        <f>IFERROR(__xludf.DUMMYFUNCTION("""COMPUTED_VALUE"""),3.0)</f>
        <v>3</v>
      </c>
    </row>
    <row r="106">
      <c r="A106" s="7" t="str">
        <f>IFERROR(__xludf.DUMMYFUNCTION("""COMPUTED_VALUE"""),"AG361")</f>
        <v>AG361</v>
      </c>
      <c r="B106" s="7" t="str">
        <f>IFERROR(__xludf.DUMMYFUNCTION("""COMPUTED_VALUE"""),"RUN-ABRM_2022-09-16_RFR-015")</f>
        <v>RUN-ABRM_2022-09-16_RFR-015</v>
      </c>
      <c r="C106" s="8">
        <f>VLOOKUP(B106,'Run Reconcile'!A$2:B3212,2,FALSE)</f>
        <v>44820</v>
      </c>
      <c r="D106" s="12">
        <f>IFERROR(__xludf.DUMMYFUNCTION("""COMPUTED_VALUE"""),44820.0)</f>
        <v>44820</v>
      </c>
      <c r="E106" s="13">
        <f>IFERROR(__xludf.DUMMYFUNCTION("""COMPUTED_VALUE"""),0.4236226851862739)</f>
        <v>0.4236226852</v>
      </c>
      <c r="F106" s="7" t="str">
        <f>IFERROR(__xludf.DUMMYFUNCTION("""COMPUTED_VALUE"""),"Negative")</f>
        <v>Negative</v>
      </c>
      <c r="G106" s="7">
        <f>IFERROR(__xludf.DUMMYFUNCTION("""COMPUTED_VALUE"""),4.0)</f>
        <v>4</v>
      </c>
    </row>
    <row r="107">
      <c r="A107" s="7" t="str">
        <f>IFERROR(__xludf.DUMMYFUNCTION("""COMPUTED_VALUE"""),"AH9150")</f>
        <v>AH9150</v>
      </c>
      <c r="B107" s="7" t="str">
        <f>IFERROR(__xludf.DUMMYFUNCTION("""COMPUTED_VALUE"""),"RUN-ABRM_2022-09-16_RFR-015")</f>
        <v>RUN-ABRM_2022-09-16_RFR-015</v>
      </c>
      <c r="C107" s="8">
        <f>VLOOKUP(B107,'Run Reconcile'!A$2:B3212,2,FALSE)</f>
        <v>44820</v>
      </c>
      <c r="D107" s="12">
        <f>IFERROR(__xludf.DUMMYFUNCTION("""COMPUTED_VALUE"""),44820.0)</f>
        <v>44820</v>
      </c>
      <c r="E107" s="13">
        <f>IFERROR(__xludf.DUMMYFUNCTION("""COMPUTED_VALUE"""),0.4239814814827696)</f>
        <v>0.4239814815</v>
      </c>
      <c r="F107" s="7" t="str">
        <f>IFERROR(__xludf.DUMMYFUNCTION("""COMPUTED_VALUE"""),"Negative")</f>
        <v>Negative</v>
      </c>
      <c r="G107" s="7">
        <f>IFERROR(__xludf.DUMMYFUNCTION("""COMPUTED_VALUE"""),1.0)</f>
        <v>1</v>
      </c>
    </row>
    <row r="108">
      <c r="A108" s="7" t="str">
        <f>IFERROR(__xludf.DUMMYFUNCTION("""COMPUTED_VALUE"""),"AG1563")</f>
        <v>AG1563</v>
      </c>
      <c r="B108" s="7" t="str">
        <f>IFERROR(__xludf.DUMMYFUNCTION("""COMPUTED_VALUE"""),"RUN-ABRM_2022-09-19_RFR-017")</f>
        <v>RUN-ABRM_2022-09-19_RFR-017</v>
      </c>
      <c r="C108" s="8">
        <f>VLOOKUP(B108,'Run Reconcile'!A$2:B3212,2,FALSE)</f>
        <v>44823</v>
      </c>
      <c r="D108" s="12">
        <f>IFERROR(__xludf.DUMMYFUNCTION("""COMPUTED_VALUE"""),44823.0)</f>
        <v>44823</v>
      </c>
      <c r="E108" s="13">
        <f>IFERROR(__xludf.DUMMYFUNCTION("""COMPUTED_VALUE"""),0.17574074074218515)</f>
        <v>0.1757407407</v>
      </c>
      <c r="F108" s="7" t="str">
        <f>IFERROR(__xludf.DUMMYFUNCTION("""COMPUTED_VALUE"""),"Negative")</f>
        <v>Negative</v>
      </c>
      <c r="G108" s="7">
        <f>IFERROR(__xludf.DUMMYFUNCTION("""COMPUTED_VALUE"""),1.0)</f>
        <v>1</v>
      </c>
    </row>
    <row r="109">
      <c r="A109" s="7" t="str">
        <f>IFERROR(__xludf.DUMMYFUNCTION("""COMPUTED_VALUE"""),"AH8234")</f>
        <v>AH8234</v>
      </c>
      <c r="B109" s="7" t="str">
        <f>IFERROR(__xludf.DUMMYFUNCTION("""COMPUTED_VALUE"""),"RUN-ABRM_2022-09-19_RFR-017")</f>
        <v>RUN-ABRM_2022-09-19_RFR-017</v>
      </c>
      <c r="C109" s="8">
        <f>VLOOKUP(B109,'Run Reconcile'!A$2:B3212,2,FALSE)</f>
        <v>44823</v>
      </c>
      <c r="D109" s="12">
        <f>IFERROR(__xludf.DUMMYFUNCTION("""COMPUTED_VALUE"""),44823.0)</f>
        <v>44823</v>
      </c>
      <c r="E109" s="13">
        <f>IFERROR(__xludf.DUMMYFUNCTION("""COMPUTED_VALUE"""),0.28667824074000237)</f>
        <v>0.2866782407</v>
      </c>
      <c r="F109" s="7" t="str">
        <f>IFERROR(__xludf.DUMMYFUNCTION("""COMPUTED_VALUE"""),"Negative")</f>
        <v>Negative</v>
      </c>
      <c r="G109" s="7">
        <f>IFERROR(__xludf.DUMMYFUNCTION("""COMPUTED_VALUE"""),2.0)</f>
        <v>2</v>
      </c>
    </row>
    <row r="110">
      <c r="A110" s="7" t="str">
        <f>IFERROR(__xludf.DUMMYFUNCTION("""COMPUTED_VALUE"""),"AH9099")</f>
        <v>AH9099</v>
      </c>
      <c r="B110" s="7" t="str">
        <f>IFERROR(__xludf.DUMMYFUNCTION("""COMPUTED_VALUE"""),"RUN-ABRM_2022-09-19_RFR-017")</f>
        <v>RUN-ABRM_2022-09-19_RFR-017</v>
      </c>
      <c r="C110" s="8">
        <f>VLOOKUP(B110,'Run Reconcile'!A$2:B3212,2,FALSE)</f>
        <v>44823</v>
      </c>
      <c r="D110" s="12">
        <f>IFERROR(__xludf.DUMMYFUNCTION("""COMPUTED_VALUE"""),44823.0)</f>
        <v>44823</v>
      </c>
      <c r="E110" s="13">
        <f>IFERROR(__xludf.DUMMYFUNCTION("""COMPUTED_VALUE"""),0.29093750000174623)</f>
        <v>0.2909375</v>
      </c>
      <c r="F110" s="7" t="str">
        <f>IFERROR(__xludf.DUMMYFUNCTION("""COMPUTED_VALUE"""),"Negative")</f>
        <v>Negative</v>
      </c>
      <c r="G110" s="7">
        <f>IFERROR(__xludf.DUMMYFUNCTION("""COMPUTED_VALUE"""),3.0)</f>
        <v>3</v>
      </c>
    </row>
    <row r="111">
      <c r="A111" s="7" t="str">
        <f>IFERROR(__xludf.DUMMYFUNCTION("""COMPUTED_VALUE"""),"AK7288")</f>
        <v>AK7288</v>
      </c>
      <c r="B111" s="7" t="str">
        <f>IFERROR(__xludf.DUMMYFUNCTION("""COMPUTED_VALUE"""),"RUN-ABRM_2022-09-19_RFR-017")</f>
        <v>RUN-ABRM_2022-09-19_RFR-017</v>
      </c>
      <c r="C111" s="8">
        <f>VLOOKUP(B111,'Run Reconcile'!A$2:B3212,2,FALSE)</f>
        <v>44823</v>
      </c>
      <c r="D111" s="12">
        <f>IFERROR(__xludf.DUMMYFUNCTION("""COMPUTED_VALUE"""),44823.0)</f>
        <v>44823</v>
      </c>
      <c r="E111" s="13">
        <f>IFERROR(__xludf.DUMMYFUNCTION("""COMPUTED_VALUE"""),0.30143518518525525)</f>
        <v>0.3014351852</v>
      </c>
      <c r="F111" s="7" t="str">
        <f>IFERROR(__xludf.DUMMYFUNCTION("""COMPUTED_VALUE"""),"Negative")</f>
        <v>Negative</v>
      </c>
      <c r="G111" s="7">
        <f>IFERROR(__xludf.DUMMYFUNCTION("""COMPUTED_VALUE"""),3.0)</f>
        <v>3</v>
      </c>
    </row>
    <row r="112">
      <c r="A112" s="7" t="str">
        <f>IFERROR(__xludf.DUMMYFUNCTION("""COMPUTED_VALUE"""),"AG1172")</f>
        <v>AG1172</v>
      </c>
      <c r="B112" s="7" t="str">
        <f>IFERROR(__xludf.DUMMYFUNCTION("""COMPUTED_VALUE"""),"RUN-ABRM_2022-09-19_RFR-017")</f>
        <v>RUN-ABRM_2022-09-19_RFR-017</v>
      </c>
      <c r="C112" s="8">
        <f>VLOOKUP(B112,'Run Reconcile'!A$2:B3212,2,FALSE)</f>
        <v>44823</v>
      </c>
      <c r="D112" s="12">
        <f>IFERROR(__xludf.DUMMYFUNCTION("""COMPUTED_VALUE"""),44823.0)</f>
        <v>44823</v>
      </c>
      <c r="E112" s="13">
        <f>IFERROR(__xludf.DUMMYFUNCTION("""COMPUTED_VALUE"""),0.30398148148015025)</f>
        <v>0.3039814815</v>
      </c>
      <c r="F112" s="7" t="str">
        <f>IFERROR(__xludf.DUMMYFUNCTION("""COMPUTED_VALUE"""),"Negative")</f>
        <v>Negative</v>
      </c>
      <c r="G112" s="7">
        <f>IFERROR(__xludf.DUMMYFUNCTION("""COMPUTED_VALUE"""),3.0)</f>
        <v>3</v>
      </c>
    </row>
    <row r="113">
      <c r="A113" s="7" t="str">
        <f>IFERROR(__xludf.DUMMYFUNCTION("""COMPUTED_VALUE"""),"AH8433")</f>
        <v>AH8433</v>
      </c>
      <c r="B113" s="7" t="str">
        <f>IFERROR(__xludf.DUMMYFUNCTION("""COMPUTED_VALUE"""),"RUN-ABRM_2022-09-19_RFR-017")</f>
        <v>RUN-ABRM_2022-09-19_RFR-017</v>
      </c>
      <c r="C113" s="8">
        <f>VLOOKUP(B113,'Run Reconcile'!A$2:B3212,2,FALSE)</f>
        <v>44823</v>
      </c>
      <c r="D113" s="12">
        <f>IFERROR(__xludf.DUMMYFUNCTION("""COMPUTED_VALUE"""),44823.0)</f>
        <v>44823</v>
      </c>
      <c r="E113" s="13">
        <f>IFERROR(__xludf.DUMMYFUNCTION("""COMPUTED_VALUE"""),0.3143865740748879)</f>
        <v>0.3143865741</v>
      </c>
      <c r="F113" s="7" t="str">
        <f>IFERROR(__xludf.DUMMYFUNCTION("""COMPUTED_VALUE"""),"Negative")</f>
        <v>Negative</v>
      </c>
      <c r="G113" s="7">
        <f>IFERROR(__xludf.DUMMYFUNCTION("""COMPUTED_VALUE"""),2.0)</f>
        <v>2</v>
      </c>
    </row>
    <row r="114">
      <c r="A114" s="7" t="str">
        <f>IFERROR(__xludf.DUMMYFUNCTION("""COMPUTED_VALUE"""),"AH8386")</f>
        <v>AH8386</v>
      </c>
      <c r="B114" s="7" t="str">
        <f>IFERROR(__xludf.DUMMYFUNCTION("""COMPUTED_VALUE"""),"RUN-ABRM_2022-09-19_RFR-017")</f>
        <v>RUN-ABRM_2022-09-19_RFR-017</v>
      </c>
      <c r="C114" s="8">
        <f>VLOOKUP(B114,'Run Reconcile'!A$2:B3212,2,FALSE)</f>
        <v>44823</v>
      </c>
      <c r="D114" s="12">
        <f>IFERROR(__xludf.DUMMYFUNCTION("""COMPUTED_VALUE"""),44823.0)</f>
        <v>44823</v>
      </c>
      <c r="E114" s="13">
        <f>IFERROR(__xludf.DUMMYFUNCTION("""COMPUTED_VALUE"""),0.32185185185153387)</f>
        <v>0.3218518519</v>
      </c>
      <c r="F114" s="7" t="str">
        <f>IFERROR(__xludf.DUMMYFUNCTION("""COMPUTED_VALUE"""),"Negative")</f>
        <v>Negative</v>
      </c>
      <c r="G114" s="7">
        <f>IFERROR(__xludf.DUMMYFUNCTION("""COMPUTED_VALUE"""),2.0)</f>
        <v>2</v>
      </c>
    </row>
    <row r="115">
      <c r="A115" s="7" t="str">
        <f>IFERROR(__xludf.DUMMYFUNCTION("""COMPUTED_VALUE"""),"AK5187")</f>
        <v>AK5187</v>
      </c>
      <c r="B115" s="7" t="str">
        <f>IFERROR(__xludf.DUMMYFUNCTION("""COMPUTED_VALUE"""),"RUN-ABRM_2022-09-19_RFR-017")</f>
        <v>RUN-ABRM_2022-09-19_RFR-017</v>
      </c>
      <c r="C115" s="8">
        <f>VLOOKUP(B115,'Run Reconcile'!A$2:B3212,2,FALSE)</f>
        <v>44823</v>
      </c>
      <c r="D115" s="12">
        <f>IFERROR(__xludf.DUMMYFUNCTION("""COMPUTED_VALUE"""),44823.0)</f>
        <v>44823</v>
      </c>
      <c r="E115" s="13">
        <f>IFERROR(__xludf.DUMMYFUNCTION("""COMPUTED_VALUE"""),0.33577546296146465)</f>
        <v>0.335775463</v>
      </c>
      <c r="F115" s="7" t="str">
        <f>IFERROR(__xludf.DUMMYFUNCTION("""COMPUTED_VALUE"""),"Negative")</f>
        <v>Negative</v>
      </c>
      <c r="G115" s="7">
        <f>IFERROR(__xludf.DUMMYFUNCTION("""COMPUTED_VALUE"""),4.0)</f>
        <v>4</v>
      </c>
    </row>
    <row r="116">
      <c r="A116" s="7" t="str">
        <f>IFERROR(__xludf.DUMMYFUNCTION("""COMPUTED_VALUE"""),"AH8734")</f>
        <v>AH8734</v>
      </c>
      <c r="B116" s="7" t="str">
        <f>IFERROR(__xludf.DUMMYFUNCTION("""COMPUTED_VALUE"""),"RUN-ABRM_2022-09-19_RFR-017")</f>
        <v>RUN-ABRM_2022-09-19_RFR-017</v>
      </c>
      <c r="C116" s="8">
        <f>VLOOKUP(B116,'Run Reconcile'!A$2:B3212,2,FALSE)</f>
        <v>44823</v>
      </c>
      <c r="D116" s="12">
        <f>IFERROR(__xludf.DUMMYFUNCTION("""COMPUTED_VALUE"""),44823.0)</f>
        <v>44823</v>
      </c>
      <c r="E116" s="13">
        <f>IFERROR(__xludf.DUMMYFUNCTION("""COMPUTED_VALUE"""),0.3476273148153268)</f>
        <v>0.3476273148</v>
      </c>
      <c r="F116" s="7" t="str">
        <f>IFERROR(__xludf.DUMMYFUNCTION("""COMPUTED_VALUE"""),"Negative")</f>
        <v>Negative</v>
      </c>
      <c r="G116" s="7">
        <f>IFERROR(__xludf.DUMMYFUNCTION("""COMPUTED_VALUE"""),3.0)</f>
        <v>3</v>
      </c>
    </row>
    <row r="117">
      <c r="A117" s="7" t="str">
        <f>IFERROR(__xludf.DUMMYFUNCTION("""COMPUTED_VALUE"""),"AH7825")</f>
        <v>AH7825</v>
      </c>
      <c r="B117" s="7" t="str">
        <f>IFERROR(__xludf.DUMMYFUNCTION("""COMPUTED_VALUE"""),"RUN-ABRM_2022-09-19_RFR-017")</f>
        <v>RUN-ABRM_2022-09-19_RFR-017</v>
      </c>
      <c r="C117" s="8">
        <f>VLOOKUP(B117,'Run Reconcile'!A$2:B3212,2,FALSE)</f>
        <v>44823</v>
      </c>
      <c r="D117" s="12">
        <f>IFERROR(__xludf.DUMMYFUNCTION("""COMPUTED_VALUE"""),44823.0)</f>
        <v>44823</v>
      </c>
      <c r="E117" s="13">
        <f>IFERROR(__xludf.DUMMYFUNCTION("""COMPUTED_VALUE"""),0.3553819444459805)</f>
        <v>0.3553819444</v>
      </c>
      <c r="F117" s="7" t="str">
        <f>IFERROR(__xludf.DUMMYFUNCTION("""COMPUTED_VALUE"""),"Negative")</f>
        <v>Negative</v>
      </c>
      <c r="G117" s="7">
        <f>IFERROR(__xludf.DUMMYFUNCTION("""COMPUTED_VALUE"""),2.0)</f>
        <v>2</v>
      </c>
    </row>
    <row r="118">
      <c r="A118" s="7" t="str">
        <f>IFERROR(__xludf.DUMMYFUNCTION("""COMPUTED_VALUE"""),"AG674")</f>
        <v>AG674</v>
      </c>
      <c r="B118" s="7" t="str">
        <f>IFERROR(__xludf.DUMMYFUNCTION("""COMPUTED_VALUE"""),"RUN-ABRM_2022-09-20_RFR-018")</f>
        <v>RUN-ABRM_2022-09-20_RFR-018</v>
      </c>
      <c r="C118" s="8">
        <f>VLOOKUP(B118,'Run Reconcile'!A$2:B3212,2,FALSE)</f>
        <v>44824</v>
      </c>
      <c r="D118" s="12">
        <f>IFERROR(__xludf.DUMMYFUNCTION("""COMPUTED_VALUE"""),44824.0)</f>
        <v>44824</v>
      </c>
      <c r="E118" s="13">
        <f>IFERROR(__xludf.DUMMYFUNCTION("""COMPUTED_VALUE"""),0.20699074074218515)</f>
        <v>0.2069907407</v>
      </c>
      <c r="F118" s="7" t="str">
        <f>IFERROR(__xludf.DUMMYFUNCTION("""COMPUTED_VALUE"""),"Negative")</f>
        <v>Negative</v>
      </c>
      <c r="G118" s="7">
        <f>IFERROR(__xludf.DUMMYFUNCTION("""COMPUTED_VALUE"""),1.0)</f>
        <v>1</v>
      </c>
    </row>
    <row r="119">
      <c r="A119" s="7" t="str">
        <f>IFERROR(__xludf.DUMMYFUNCTION("""COMPUTED_VALUE"""),"AG1711")</f>
        <v>AG1711</v>
      </c>
      <c r="B119" s="7" t="str">
        <f>IFERROR(__xludf.DUMMYFUNCTION("""COMPUTED_VALUE"""),"RUN-ABRM_2022-09-20_RFR-018")</f>
        <v>RUN-ABRM_2022-09-20_RFR-018</v>
      </c>
      <c r="C119" s="8">
        <f>VLOOKUP(B119,'Run Reconcile'!A$2:B3212,2,FALSE)</f>
        <v>44824</v>
      </c>
      <c r="D119" s="12">
        <f>IFERROR(__xludf.DUMMYFUNCTION("""COMPUTED_VALUE"""),44824.0)</f>
        <v>44824</v>
      </c>
      <c r="E119" s="13">
        <f>IFERROR(__xludf.DUMMYFUNCTION("""COMPUTED_VALUE"""),0.20975694444496185)</f>
        <v>0.2097569444</v>
      </c>
      <c r="F119" s="7" t="str">
        <f>IFERROR(__xludf.DUMMYFUNCTION("""COMPUTED_VALUE"""),"Negative")</f>
        <v>Negative</v>
      </c>
      <c r="G119" s="7">
        <f>IFERROR(__xludf.DUMMYFUNCTION("""COMPUTED_VALUE"""),3.0)</f>
        <v>3</v>
      </c>
    </row>
    <row r="120">
      <c r="A120" s="7" t="str">
        <f>IFERROR(__xludf.DUMMYFUNCTION("""COMPUTED_VALUE"""),"AJ9427")</f>
        <v>AJ9427</v>
      </c>
      <c r="B120" s="7" t="str">
        <f>IFERROR(__xludf.DUMMYFUNCTION("""COMPUTED_VALUE"""),"RUN-ABRM_2022-09-20_RFR-018")</f>
        <v>RUN-ABRM_2022-09-20_RFR-018</v>
      </c>
      <c r="C120" s="8">
        <f>VLOOKUP(B120,'Run Reconcile'!A$2:B3212,2,FALSE)</f>
        <v>44824</v>
      </c>
      <c r="D120" s="12">
        <f>IFERROR(__xludf.DUMMYFUNCTION("""COMPUTED_VALUE"""),44824.0)</f>
        <v>44824</v>
      </c>
      <c r="E120" s="13">
        <f>IFERROR(__xludf.DUMMYFUNCTION("""COMPUTED_VALUE"""),0.26648148148160544)</f>
        <v>0.2664814815</v>
      </c>
      <c r="F120" s="7" t="str">
        <f>IFERROR(__xludf.DUMMYFUNCTION("""COMPUTED_VALUE"""),"Negative")</f>
        <v>Negative</v>
      </c>
      <c r="G120" s="7">
        <f>IFERROR(__xludf.DUMMYFUNCTION("""COMPUTED_VALUE"""),2.0)</f>
        <v>2</v>
      </c>
    </row>
    <row r="121">
      <c r="A121" s="7" t="str">
        <f>IFERROR(__xludf.DUMMYFUNCTION("""COMPUTED_VALUE"""),"AH9128")</f>
        <v>AH9128</v>
      </c>
      <c r="B121" s="7" t="str">
        <f>IFERROR(__xludf.DUMMYFUNCTION("""COMPUTED_VALUE"""),"RUN-ABRM_2022-09-20_RFR-018")</f>
        <v>RUN-ABRM_2022-09-20_RFR-018</v>
      </c>
      <c r="C121" s="8">
        <f>VLOOKUP(B121,'Run Reconcile'!A$2:B3212,2,FALSE)</f>
        <v>44824</v>
      </c>
      <c r="D121" s="12">
        <f>IFERROR(__xludf.DUMMYFUNCTION("""COMPUTED_VALUE"""),44824.0)</f>
        <v>44824</v>
      </c>
      <c r="E121" s="13">
        <f>IFERROR(__xludf.DUMMYFUNCTION("""COMPUTED_VALUE"""),0.28392361111036735)</f>
        <v>0.2839236111</v>
      </c>
      <c r="F121" s="7" t="str">
        <f>IFERROR(__xludf.DUMMYFUNCTION("""COMPUTED_VALUE"""),"Negative")</f>
        <v>Negative</v>
      </c>
      <c r="G121" s="7">
        <f>IFERROR(__xludf.DUMMYFUNCTION("""COMPUTED_VALUE"""),3.0)</f>
        <v>3</v>
      </c>
    </row>
    <row r="122">
      <c r="A122" s="7" t="str">
        <f>IFERROR(__xludf.DUMMYFUNCTION("""COMPUTED_VALUE"""),"AH9490")</f>
        <v>AH9490</v>
      </c>
      <c r="B122" s="7" t="str">
        <f>IFERROR(__xludf.DUMMYFUNCTION("""COMPUTED_VALUE"""),"RUN-ABRM_2022-09-20_RFR-018")</f>
        <v>RUN-ABRM_2022-09-20_RFR-018</v>
      </c>
      <c r="C122" s="8">
        <f>VLOOKUP(B122,'Run Reconcile'!A$2:B3212,2,FALSE)</f>
        <v>44824</v>
      </c>
      <c r="D122" s="12">
        <f>IFERROR(__xludf.DUMMYFUNCTION("""COMPUTED_VALUE"""),44824.0)</f>
        <v>44824</v>
      </c>
      <c r="E122" s="13">
        <f>IFERROR(__xludf.DUMMYFUNCTION("""COMPUTED_VALUE"""),0.2980439814818965)</f>
        <v>0.2980439815</v>
      </c>
      <c r="F122" s="7" t="str">
        <f>IFERROR(__xludf.DUMMYFUNCTION("""COMPUTED_VALUE"""),"Negative")</f>
        <v>Negative</v>
      </c>
      <c r="G122" s="7">
        <f>IFERROR(__xludf.DUMMYFUNCTION("""COMPUTED_VALUE"""),3.0)</f>
        <v>3</v>
      </c>
    </row>
    <row r="123">
      <c r="A123" s="7" t="str">
        <f>IFERROR(__xludf.DUMMYFUNCTION("""COMPUTED_VALUE"""),"AG397")</f>
        <v>AG397</v>
      </c>
      <c r="B123" s="7" t="str">
        <f>IFERROR(__xludf.DUMMYFUNCTION("""COMPUTED_VALUE"""),"RUN-ABRM_2022-09-20_RFR-018")</f>
        <v>RUN-ABRM_2022-09-20_RFR-018</v>
      </c>
      <c r="C123" s="8">
        <f>VLOOKUP(B123,'Run Reconcile'!A$2:B3212,2,FALSE)</f>
        <v>44824</v>
      </c>
      <c r="D123" s="12">
        <f>IFERROR(__xludf.DUMMYFUNCTION("""COMPUTED_VALUE"""),44824.0)</f>
        <v>44824</v>
      </c>
      <c r="E123" s="13">
        <f>IFERROR(__xludf.DUMMYFUNCTION("""COMPUTED_VALUE"""),0.2992708333331393)</f>
        <v>0.2992708333</v>
      </c>
      <c r="F123" s="7" t="str">
        <f>IFERROR(__xludf.DUMMYFUNCTION("""COMPUTED_VALUE"""),"Negative")</f>
        <v>Negative</v>
      </c>
      <c r="G123" s="7">
        <f>IFERROR(__xludf.DUMMYFUNCTION("""COMPUTED_VALUE"""),2.0)</f>
        <v>2</v>
      </c>
    </row>
    <row r="124">
      <c r="A124" s="7" t="str">
        <f>IFERROR(__xludf.DUMMYFUNCTION("""COMPUTED_VALUE"""),"AH7780")</f>
        <v>AH7780</v>
      </c>
      <c r="B124" s="7" t="str">
        <f>IFERROR(__xludf.DUMMYFUNCTION("""COMPUTED_VALUE"""),"RUN-ABRM_2022-09-20_RFR-018")</f>
        <v>RUN-ABRM_2022-09-20_RFR-018</v>
      </c>
      <c r="C124" s="8">
        <f>VLOOKUP(B124,'Run Reconcile'!A$2:B3212,2,FALSE)</f>
        <v>44824</v>
      </c>
      <c r="D124" s="12">
        <f>IFERROR(__xludf.DUMMYFUNCTION("""COMPUTED_VALUE"""),44824.0)</f>
        <v>44824</v>
      </c>
      <c r="E124" s="13">
        <f>IFERROR(__xludf.DUMMYFUNCTION("""COMPUTED_VALUE"""),0.30495370370408637)</f>
        <v>0.3049537037</v>
      </c>
      <c r="F124" s="7" t="str">
        <f>IFERROR(__xludf.DUMMYFUNCTION("""COMPUTED_VALUE"""),"Negative")</f>
        <v>Negative</v>
      </c>
      <c r="G124" s="7">
        <f>IFERROR(__xludf.DUMMYFUNCTION("""COMPUTED_VALUE"""),3.0)</f>
        <v>3</v>
      </c>
    </row>
    <row r="125">
      <c r="A125" s="7" t="str">
        <f>IFERROR(__xludf.DUMMYFUNCTION("""COMPUTED_VALUE"""),"AH6851")</f>
        <v>AH6851</v>
      </c>
      <c r="B125" s="7" t="str">
        <f>IFERROR(__xludf.DUMMYFUNCTION("""COMPUTED_VALUE"""),"RUN-ABRM_2022-09-20_RFR-018")</f>
        <v>RUN-ABRM_2022-09-20_RFR-018</v>
      </c>
      <c r="C125" s="8">
        <f>VLOOKUP(B125,'Run Reconcile'!A$2:B3212,2,FALSE)</f>
        <v>44824</v>
      </c>
      <c r="D125" s="12">
        <f>IFERROR(__xludf.DUMMYFUNCTION("""COMPUTED_VALUE"""),44824.0)</f>
        <v>44824</v>
      </c>
      <c r="E125" s="13">
        <f>IFERROR(__xludf.DUMMYFUNCTION("""COMPUTED_VALUE"""),0.31298611111196806)</f>
        <v>0.3129861111</v>
      </c>
      <c r="F125" s="7" t="str">
        <f>IFERROR(__xludf.DUMMYFUNCTION("""COMPUTED_VALUE"""),"Negative")</f>
        <v>Negative</v>
      </c>
      <c r="G125" s="7">
        <f>IFERROR(__xludf.DUMMYFUNCTION("""COMPUTED_VALUE"""),1.0)</f>
        <v>1</v>
      </c>
    </row>
    <row r="126">
      <c r="A126" s="7" t="str">
        <f>IFERROR(__xludf.DUMMYFUNCTION("""COMPUTED_VALUE"""),"AH8599")</f>
        <v>AH8599</v>
      </c>
      <c r="B126" s="7" t="str">
        <f>IFERROR(__xludf.DUMMYFUNCTION("""COMPUTED_VALUE"""),"RUN-ABRM_2022-09-20_RFR-018")</f>
        <v>RUN-ABRM_2022-09-20_RFR-018</v>
      </c>
      <c r="C126" s="8">
        <f>VLOOKUP(B126,'Run Reconcile'!A$2:B3212,2,FALSE)</f>
        <v>44824</v>
      </c>
      <c r="D126" s="12">
        <f>IFERROR(__xludf.DUMMYFUNCTION("""COMPUTED_VALUE"""),44824.0)</f>
        <v>44824</v>
      </c>
      <c r="E126" s="13">
        <f>IFERROR(__xludf.DUMMYFUNCTION("""COMPUTED_VALUE"""),0.3292824074087548)</f>
        <v>0.3292824074</v>
      </c>
      <c r="F126" s="7" t="str">
        <f>IFERROR(__xludf.DUMMYFUNCTION("""COMPUTED_VALUE"""),"Negative")</f>
        <v>Negative</v>
      </c>
      <c r="G126" s="7">
        <f>IFERROR(__xludf.DUMMYFUNCTION("""COMPUTED_VALUE"""),1.0)</f>
        <v>1</v>
      </c>
    </row>
    <row r="127">
      <c r="A127" s="7" t="str">
        <f>IFERROR(__xludf.DUMMYFUNCTION("""COMPUTED_VALUE"""),"AH7932")</f>
        <v>AH7932</v>
      </c>
      <c r="B127" s="7" t="str">
        <f>IFERROR(__xludf.DUMMYFUNCTION("""COMPUTED_VALUE"""),"RUN-ABRM_2022-09-20_RFR-018")</f>
        <v>RUN-ABRM_2022-09-20_RFR-018</v>
      </c>
      <c r="C127" s="8">
        <f>VLOOKUP(B127,'Run Reconcile'!A$2:B3212,2,FALSE)</f>
        <v>44824</v>
      </c>
      <c r="D127" s="12">
        <f>IFERROR(__xludf.DUMMYFUNCTION("""COMPUTED_VALUE"""),44824.0)</f>
        <v>44824</v>
      </c>
      <c r="E127" s="13">
        <f>IFERROR(__xludf.DUMMYFUNCTION("""COMPUTED_VALUE"""),0.34028935185051523)</f>
        <v>0.3402893519</v>
      </c>
      <c r="F127" s="7" t="str">
        <f>IFERROR(__xludf.DUMMYFUNCTION("""COMPUTED_VALUE"""),"Negative")</f>
        <v>Negative</v>
      </c>
      <c r="G127" s="7">
        <f>IFERROR(__xludf.DUMMYFUNCTION("""COMPUTED_VALUE"""),2.0)</f>
        <v>2</v>
      </c>
    </row>
    <row r="128">
      <c r="A128" s="7" t="str">
        <f>IFERROR(__xludf.DUMMYFUNCTION("""COMPUTED_VALUE"""),"AH8960")</f>
        <v>AH8960</v>
      </c>
      <c r="B128" s="7" t="str">
        <f>IFERROR(__xludf.DUMMYFUNCTION("""COMPUTED_VALUE"""),"RUN-ABRM_2022-09-20_RFR-018")</f>
        <v>RUN-ABRM_2022-09-20_RFR-018</v>
      </c>
      <c r="C128" s="8">
        <f>VLOOKUP(B128,'Run Reconcile'!A$2:B3212,2,FALSE)</f>
        <v>44824</v>
      </c>
      <c r="D128" s="12">
        <f>IFERROR(__xludf.DUMMYFUNCTION("""COMPUTED_VALUE"""),44824.0)</f>
        <v>44824</v>
      </c>
      <c r="E128" s="13">
        <f>IFERROR(__xludf.DUMMYFUNCTION("""COMPUTED_VALUE"""),0.42137731481489027)</f>
        <v>0.4213773148</v>
      </c>
      <c r="F128" s="7" t="str">
        <f>IFERROR(__xludf.DUMMYFUNCTION("""COMPUTED_VALUE"""),"Negative")</f>
        <v>Negative</v>
      </c>
      <c r="G128" s="7">
        <f>IFERROR(__xludf.DUMMYFUNCTION("""COMPUTED_VALUE"""),1.0)</f>
        <v>1</v>
      </c>
    </row>
    <row r="129">
      <c r="A129" s="7" t="str">
        <f>IFERROR(__xludf.DUMMYFUNCTION("""COMPUTED_VALUE"""),"AG739")</f>
        <v>AG739</v>
      </c>
      <c r="B129" s="7" t="str">
        <f>IFERROR(__xludf.DUMMYFUNCTION("""COMPUTED_VALUE"""),"RUN-ABRM_2022-09-20_RFR-018")</f>
        <v>RUN-ABRM_2022-09-20_RFR-018</v>
      </c>
      <c r="C129" s="8">
        <f>VLOOKUP(B129,'Run Reconcile'!A$2:B3212,2,FALSE)</f>
        <v>44824</v>
      </c>
      <c r="D129" s="12">
        <f>IFERROR(__xludf.DUMMYFUNCTION("""COMPUTED_VALUE"""),44824.0)</f>
        <v>44824</v>
      </c>
      <c r="E129" s="13">
        <f>IFERROR(__xludf.DUMMYFUNCTION("""COMPUTED_VALUE"""),0.4219560185192677)</f>
        <v>0.4219560185</v>
      </c>
      <c r="F129" s="7" t="str">
        <f>IFERROR(__xludf.DUMMYFUNCTION("""COMPUTED_VALUE"""),"Negative")</f>
        <v>Negative</v>
      </c>
      <c r="G129" s="7">
        <f>IFERROR(__xludf.DUMMYFUNCTION("""COMPUTED_VALUE"""),4.0)</f>
        <v>4</v>
      </c>
    </row>
    <row r="130">
      <c r="A130" s="7" t="str">
        <f>IFERROR(__xludf.DUMMYFUNCTION("""COMPUTED_VALUE"""),"AH9433")</f>
        <v>AH9433</v>
      </c>
      <c r="B130" s="7" t="str">
        <f>IFERROR(__xludf.DUMMYFUNCTION("""COMPUTED_VALUE"""),"RUN-ABRM_2022-09-21_RFR-019")</f>
        <v>RUN-ABRM_2022-09-21_RFR-019</v>
      </c>
      <c r="C130" s="8">
        <f>VLOOKUP(B130,'Run Reconcile'!A$2:B3212,2,FALSE)</f>
        <v>44825</v>
      </c>
      <c r="D130" s="12">
        <f>IFERROR(__xludf.DUMMYFUNCTION("""COMPUTED_VALUE"""),44825.0)</f>
        <v>44825</v>
      </c>
      <c r="E130" s="13">
        <f>IFERROR(__xludf.DUMMYFUNCTION("""COMPUTED_VALUE"""),0.22491898148291511)</f>
        <v>0.2249189815</v>
      </c>
      <c r="F130" s="7" t="str">
        <f>IFERROR(__xludf.DUMMYFUNCTION("""COMPUTED_VALUE"""),"Negative")</f>
        <v>Negative</v>
      </c>
      <c r="G130" s="7">
        <f>IFERROR(__xludf.DUMMYFUNCTION("""COMPUTED_VALUE"""),3.0)</f>
        <v>3</v>
      </c>
    </row>
    <row r="131">
      <c r="A131" s="7" t="str">
        <f>IFERROR(__xludf.DUMMYFUNCTION("""COMPUTED_VALUE"""),"AG1420")</f>
        <v>AG1420</v>
      </c>
      <c r="B131" s="7" t="str">
        <f>IFERROR(__xludf.DUMMYFUNCTION("""COMPUTED_VALUE"""),"RUN-ABRM_2022-09-21_RFR-019")</f>
        <v>RUN-ABRM_2022-09-21_RFR-019</v>
      </c>
      <c r="C131" s="8">
        <f>VLOOKUP(B131,'Run Reconcile'!A$2:B3212,2,FALSE)</f>
        <v>44825</v>
      </c>
      <c r="D131" s="12">
        <f>IFERROR(__xludf.DUMMYFUNCTION("""COMPUTED_VALUE"""),44825.0)</f>
        <v>44825</v>
      </c>
      <c r="E131" s="13">
        <f>IFERROR(__xludf.DUMMYFUNCTION("""COMPUTED_VALUE"""),0.24837962962919846)</f>
        <v>0.2483796296</v>
      </c>
      <c r="F131" s="7" t="str">
        <f>IFERROR(__xludf.DUMMYFUNCTION("""COMPUTED_VALUE"""),"Negative")</f>
        <v>Negative</v>
      </c>
      <c r="G131" s="7">
        <f>IFERROR(__xludf.DUMMYFUNCTION("""COMPUTED_VALUE"""),2.0)</f>
        <v>2</v>
      </c>
    </row>
    <row r="132">
      <c r="A132" s="7" t="str">
        <f>IFERROR(__xludf.DUMMYFUNCTION("""COMPUTED_VALUE"""),"AG1971")</f>
        <v>AG1971</v>
      </c>
      <c r="B132" s="7" t="str">
        <f>IFERROR(__xludf.DUMMYFUNCTION("""COMPUTED_VALUE"""),"RUN-ABRM_2022-09-21_RFR-019")</f>
        <v>RUN-ABRM_2022-09-21_RFR-019</v>
      </c>
      <c r="C132" s="8">
        <f>VLOOKUP(B132,'Run Reconcile'!A$2:B3212,2,FALSE)</f>
        <v>44825</v>
      </c>
      <c r="D132" s="12">
        <f>IFERROR(__xludf.DUMMYFUNCTION("""COMPUTED_VALUE"""),44825.0)</f>
        <v>44825</v>
      </c>
      <c r="E132" s="13">
        <f>IFERROR(__xludf.DUMMYFUNCTION("""COMPUTED_VALUE"""),0.2616666666654055)</f>
        <v>0.2616666667</v>
      </c>
      <c r="F132" s="7" t="str">
        <f>IFERROR(__xludf.DUMMYFUNCTION("""COMPUTED_VALUE"""),"Negative")</f>
        <v>Negative</v>
      </c>
      <c r="G132" s="7">
        <f>IFERROR(__xludf.DUMMYFUNCTION("""COMPUTED_VALUE"""),3.0)</f>
        <v>3</v>
      </c>
    </row>
    <row r="133">
      <c r="A133" s="7" t="str">
        <f>IFERROR(__xludf.DUMMYFUNCTION("""COMPUTED_VALUE"""),"AG1567")</f>
        <v>AG1567</v>
      </c>
      <c r="B133" s="7" t="str">
        <f>IFERROR(__xludf.DUMMYFUNCTION("""COMPUTED_VALUE"""),"RUN-ABRM_2022-09-21_RFR-019")</f>
        <v>RUN-ABRM_2022-09-21_RFR-019</v>
      </c>
      <c r="C133" s="8">
        <f>VLOOKUP(B133,'Run Reconcile'!A$2:B3212,2,FALSE)</f>
        <v>44825</v>
      </c>
      <c r="D133" s="12">
        <f>IFERROR(__xludf.DUMMYFUNCTION("""COMPUTED_VALUE"""),44825.0)</f>
        <v>44825</v>
      </c>
      <c r="E133" s="13">
        <f>IFERROR(__xludf.DUMMYFUNCTION("""COMPUTED_VALUE"""),0.2901157407395658)</f>
        <v>0.2901157407</v>
      </c>
      <c r="F133" s="7" t="str">
        <f>IFERROR(__xludf.DUMMYFUNCTION("""COMPUTED_VALUE"""),"Negative")</f>
        <v>Negative</v>
      </c>
      <c r="G133" s="7">
        <f>IFERROR(__xludf.DUMMYFUNCTION("""COMPUTED_VALUE"""),2.0)</f>
        <v>2</v>
      </c>
    </row>
    <row r="134">
      <c r="A134" s="7" t="str">
        <f>IFERROR(__xludf.DUMMYFUNCTION("""COMPUTED_VALUE"""),"AH9409")</f>
        <v>AH9409</v>
      </c>
      <c r="B134" s="7" t="str">
        <f>IFERROR(__xludf.DUMMYFUNCTION("""COMPUTED_VALUE"""),"RUN-ABRM_2022-09-21_RFR-019")</f>
        <v>RUN-ABRM_2022-09-21_RFR-019</v>
      </c>
      <c r="C134" s="8">
        <f>VLOOKUP(B134,'Run Reconcile'!A$2:B3212,2,FALSE)</f>
        <v>44825</v>
      </c>
      <c r="D134" s="12">
        <f>IFERROR(__xludf.DUMMYFUNCTION("""COMPUTED_VALUE"""),44825.0)</f>
        <v>44825</v>
      </c>
      <c r="E134" s="13">
        <f>IFERROR(__xludf.DUMMYFUNCTION("""COMPUTED_VALUE"""),0.3094097222237906)</f>
        <v>0.3094097222</v>
      </c>
      <c r="F134" s="7" t="str">
        <f>IFERROR(__xludf.DUMMYFUNCTION("""COMPUTED_VALUE"""),"Negative")</f>
        <v>Negative</v>
      </c>
      <c r="G134" s="7">
        <f>IFERROR(__xludf.DUMMYFUNCTION("""COMPUTED_VALUE"""),4.0)</f>
        <v>4</v>
      </c>
    </row>
    <row r="135">
      <c r="A135" s="7" t="str">
        <f>IFERROR(__xludf.DUMMYFUNCTION("""COMPUTED_VALUE"""),"AJ8976")</f>
        <v>AJ8976</v>
      </c>
      <c r="B135" s="7" t="str">
        <f>IFERROR(__xludf.DUMMYFUNCTION("""COMPUTED_VALUE"""),"RUN-ABRM_2022-09-21_RFR-019")</f>
        <v>RUN-ABRM_2022-09-21_RFR-019</v>
      </c>
      <c r="C135" s="8">
        <f>VLOOKUP(B135,'Run Reconcile'!A$2:B3212,2,FALSE)</f>
        <v>44825</v>
      </c>
      <c r="D135" s="12">
        <f>IFERROR(__xludf.DUMMYFUNCTION("""COMPUTED_VALUE"""),44825.0)</f>
        <v>44825</v>
      </c>
      <c r="E135" s="13">
        <f>IFERROR(__xludf.DUMMYFUNCTION("""COMPUTED_VALUE"""),0.31016203703620704)</f>
        <v>0.310162037</v>
      </c>
      <c r="F135" s="7" t="str">
        <f>IFERROR(__xludf.DUMMYFUNCTION("""COMPUTED_VALUE"""),"Negative")</f>
        <v>Negative</v>
      </c>
      <c r="G135" s="7">
        <f>IFERROR(__xludf.DUMMYFUNCTION("""COMPUTED_VALUE"""),2.0)</f>
        <v>2</v>
      </c>
    </row>
    <row r="136">
      <c r="A136" s="7" t="str">
        <f>IFERROR(__xludf.DUMMYFUNCTION("""COMPUTED_VALUE"""),"AH580")</f>
        <v>AH580</v>
      </c>
      <c r="B136" s="7" t="str">
        <f>IFERROR(__xludf.DUMMYFUNCTION("""COMPUTED_VALUE"""),"RUN-ABRM_2022-09-21_RFR-019")</f>
        <v>RUN-ABRM_2022-09-21_RFR-019</v>
      </c>
      <c r="C136" s="8">
        <f>VLOOKUP(B136,'Run Reconcile'!A$2:B3212,2,FALSE)</f>
        <v>44825</v>
      </c>
      <c r="D136" s="12">
        <f>IFERROR(__xludf.DUMMYFUNCTION("""COMPUTED_VALUE"""),44825.0)</f>
        <v>44825</v>
      </c>
      <c r="E136" s="13">
        <f>IFERROR(__xludf.DUMMYFUNCTION("""COMPUTED_VALUE"""),0.33431712962919846)</f>
        <v>0.3343171296</v>
      </c>
      <c r="F136" s="7" t="str">
        <f>IFERROR(__xludf.DUMMYFUNCTION("""COMPUTED_VALUE"""),"Negative")</f>
        <v>Negative</v>
      </c>
      <c r="G136" s="7">
        <f>IFERROR(__xludf.DUMMYFUNCTION("""COMPUTED_VALUE"""),2.0)</f>
        <v>2</v>
      </c>
    </row>
    <row r="137">
      <c r="A137" s="7" t="str">
        <f>IFERROR(__xludf.DUMMYFUNCTION("""COMPUTED_VALUE"""),"AH9028")</f>
        <v>AH9028</v>
      </c>
      <c r="B137" s="7" t="str">
        <f>IFERROR(__xludf.DUMMYFUNCTION("""COMPUTED_VALUE"""),"RUN-ABRM_2022-09-21_RFR-019")</f>
        <v>RUN-ABRM_2022-09-21_RFR-019</v>
      </c>
      <c r="C137" s="8">
        <f>VLOOKUP(B137,'Run Reconcile'!A$2:B3212,2,FALSE)</f>
        <v>44825</v>
      </c>
      <c r="D137" s="12">
        <f>IFERROR(__xludf.DUMMYFUNCTION("""COMPUTED_VALUE"""),44825.0)</f>
        <v>44825</v>
      </c>
      <c r="E137" s="13">
        <f>IFERROR(__xludf.DUMMYFUNCTION("""COMPUTED_VALUE"""),0.39031249999970896)</f>
        <v>0.3903125</v>
      </c>
      <c r="F137" s="7" t="str">
        <f>IFERROR(__xludf.DUMMYFUNCTION("""COMPUTED_VALUE"""),"Negative")</f>
        <v>Negative</v>
      </c>
      <c r="G137" s="7">
        <f>IFERROR(__xludf.DUMMYFUNCTION("""COMPUTED_VALUE"""),1.0)</f>
        <v>1</v>
      </c>
    </row>
    <row r="138">
      <c r="A138" s="7" t="str">
        <f>IFERROR(__xludf.DUMMYFUNCTION("""COMPUTED_VALUE"""),"AG1422")</f>
        <v>AG1422</v>
      </c>
      <c r="B138" s="7" t="str">
        <f>IFERROR(__xludf.DUMMYFUNCTION("""COMPUTED_VALUE"""),"RUN-ABRM_2022-09-21_RFR-019")</f>
        <v>RUN-ABRM_2022-09-21_RFR-019</v>
      </c>
      <c r="C138" s="8">
        <f>VLOOKUP(B138,'Run Reconcile'!A$2:B3212,2,FALSE)</f>
        <v>44825</v>
      </c>
      <c r="D138" s="12">
        <f>IFERROR(__xludf.DUMMYFUNCTION("""COMPUTED_VALUE"""),44825.0)</f>
        <v>44825</v>
      </c>
      <c r="E138" s="13">
        <f>IFERROR(__xludf.DUMMYFUNCTION("""COMPUTED_VALUE"""),0.390625)</f>
        <v>0.390625</v>
      </c>
      <c r="F138" s="7" t="str">
        <f>IFERROR(__xludf.DUMMYFUNCTION("""COMPUTED_VALUE"""),"Negative")</f>
        <v>Negative</v>
      </c>
      <c r="G138" s="7">
        <f>IFERROR(__xludf.DUMMYFUNCTION("""COMPUTED_VALUE"""),1.0)</f>
        <v>1</v>
      </c>
    </row>
    <row r="139">
      <c r="A139" s="7" t="str">
        <f>IFERROR(__xludf.DUMMYFUNCTION("""COMPUTED_VALUE"""),"AG779")</f>
        <v>AG779</v>
      </c>
      <c r="B139" s="7" t="str">
        <f>IFERROR(__xludf.DUMMYFUNCTION("""COMPUTED_VALUE"""),"RUN-ABRM_2022-09-21_RFR-019")</f>
        <v>RUN-ABRM_2022-09-21_RFR-019</v>
      </c>
      <c r="C139" s="8">
        <f>VLOOKUP(B139,'Run Reconcile'!A$2:B3212,2,FALSE)</f>
        <v>44825</v>
      </c>
      <c r="D139" s="12">
        <f>IFERROR(__xludf.DUMMYFUNCTION("""COMPUTED_VALUE"""),44825.0)</f>
        <v>44825</v>
      </c>
      <c r="E139" s="13">
        <f>IFERROR(__xludf.DUMMYFUNCTION("""COMPUTED_VALUE"""),0.3912731481468654)</f>
        <v>0.3912731481</v>
      </c>
      <c r="F139" s="7" t="str">
        <f>IFERROR(__xludf.DUMMYFUNCTION("""COMPUTED_VALUE"""),"Negative")</f>
        <v>Negative</v>
      </c>
      <c r="G139" s="7">
        <f>IFERROR(__xludf.DUMMYFUNCTION("""COMPUTED_VALUE"""),2.0)</f>
        <v>2</v>
      </c>
    </row>
    <row r="140">
      <c r="A140" s="7" t="str">
        <f>IFERROR(__xludf.DUMMYFUNCTION("""COMPUTED_VALUE"""),"AH8989")</f>
        <v>AH8989</v>
      </c>
      <c r="B140" s="7" t="str">
        <f>IFERROR(__xludf.DUMMYFUNCTION("""COMPUTED_VALUE"""),"RUN-ABRM_2022-09-22_RFR-021")</f>
        <v>RUN-ABRM_2022-09-22_RFR-021</v>
      </c>
      <c r="C140" s="8">
        <f>VLOOKUP(B140,'Run Reconcile'!A$2:B3212,2,FALSE)</f>
        <v>44826</v>
      </c>
      <c r="D140" s="12">
        <f>IFERROR(__xludf.DUMMYFUNCTION("""COMPUTED_VALUE"""),44826.0)</f>
        <v>44826</v>
      </c>
      <c r="E140" s="13">
        <f>IFERROR(__xludf.DUMMYFUNCTION("""COMPUTED_VALUE"""),0.22993055555707542)</f>
        <v>0.2299305556</v>
      </c>
      <c r="F140" s="7" t="str">
        <f>IFERROR(__xludf.DUMMYFUNCTION("""COMPUTED_VALUE"""),"Negative")</f>
        <v>Negative</v>
      </c>
      <c r="G140" s="7">
        <f>IFERROR(__xludf.DUMMYFUNCTION("""COMPUTED_VALUE"""),1.0)</f>
        <v>1</v>
      </c>
    </row>
    <row r="141">
      <c r="A141" s="7" t="str">
        <f>IFERROR(__xludf.DUMMYFUNCTION("""COMPUTED_VALUE"""),"AG789")</f>
        <v>AG789</v>
      </c>
      <c r="B141" s="7" t="str">
        <f>IFERROR(__xludf.DUMMYFUNCTION("""COMPUTED_VALUE"""),"RUN-ABRM_2022-09-22_RFR-021")</f>
        <v>RUN-ABRM_2022-09-22_RFR-021</v>
      </c>
      <c r="C141" s="8">
        <f>VLOOKUP(B141,'Run Reconcile'!A$2:B3212,2,FALSE)</f>
        <v>44826</v>
      </c>
      <c r="D141" s="12">
        <f>IFERROR(__xludf.DUMMYFUNCTION("""COMPUTED_VALUE"""),44826.0)</f>
        <v>44826</v>
      </c>
      <c r="E141" s="13">
        <f>IFERROR(__xludf.DUMMYFUNCTION("""COMPUTED_VALUE"""),0.2388078703697829)</f>
        <v>0.2388078704</v>
      </c>
      <c r="F141" s="7" t="str">
        <f>IFERROR(__xludf.DUMMYFUNCTION("""COMPUTED_VALUE"""),"Negative")</f>
        <v>Negative</v>
      </c>
      <c r="G141" s="7">
        <f>IFERROR(__xludf.DUMMYFUNCTION("""COMPUTED_VALUE"""),2.0)</f>
        <v>2</v>
      </c>
    </row>
    <row r="142">
      <c r="A142" s="7" t="str">
        <f>IFERROR(__xludf.DUMMYFUNCTION("""COMPUTED_VALUE"""),"AH8533")</f>
        <v>AH8533</v>
      </c>
      <c r="B142" s="7" t="str">
        <f>IFERROR(__xludf.DUMMYFUNCTION("""COMPUTED_VALUE"""),"RUN-ABRM_2022-09-22_RFR-021")</f>
        <v>RUN-ABRM_2022-09-22_RFR-021</v>
      </c>
      <c r="C142" s="8">
        <f>VLOOKUP(B142,'Run Reconcile'!A$2:B3212,2,FALSE)</f>
        <v>44826</v>
      </c>
      <c r="D142" s="12">
        <f>IFERROR(__xludf.DUMMYFUNCTION("""COMPUTED_VALUE"""),44826.0)</f>
        <v>44826</v>
      </c>
      <c r="E142" s="13">
        <f>IFERROR(__xludf.DUMMYFUNCTION("""COMPUTED_VALUE"""),0.29148148148306063)</f>
        <v>0.2914814815</v>
      </c>
      <c r="F142" s="7" t="str">
        <f>IFERROR(__xludf.DUMMYFUNCTION("""COMPUTED_VALUE"""),"Negative")</f>
        <v>Negative</v>
      </c>
      <c r="G142" s="7">
        <f>IFERROR(__xludf.DUMMYFUNCTION("""COMPUTED_VALUE"""),3.0)</f>
        <v>3</v>
      </c>
    </row>
    <row r="143">
      <c r="A143" s="7" t="str">
        <f>IFERROR(__xludf.DUMMYFUNCTION("""COMPUTED_VALUE"""),"AG1022")</f>
        <v>AG1022</v>
      </c>
      <c r="B143" s="7" t="str">
        <f>IFERROR(__xludf.DUMMYFUNCTION("""COMPUTED_VALUE"""),"RUN-ABRM_2022-09-22_RFR-021")</f>
        <v>RUN-ABRM_2022-09-22_RFR-021</v>
      </c>
      <c r="C143" s="8">
        <f>VLOOKUP(B143,'Run Reconcile'!A$2:B3212,2,FALSE)</f>
        <v>44826</v>
      </c>
      <c r="D143" s="12">
        <f>IFERROR(__xludf.DUMMYFUNCTION("""COMPUTED_VALUE"""),44826.0)</f>
        <v>44826</v>
      </c>
      <c r="E143" s="13">
        <f>IFERROR(__xludf.DUMMYFUNCTION("""COMPUTED_VALUE"""),0.30219907407445135)</f>
        <v>0.3021990741</v>
      </c>
      <c r="F143" s="7" t="str">
        <f>IFERROR(__xludf.DUMMYFUNCTION("""COMPUTED_VALUE"""),"Negative")</f>
        <v>Negative</v>
      </c>
      <c r="G143" s="7">
        <f>IFERROR(__xludf.DUMMYFUNCTION("""COMPUTED_VALUE"""),4.0)</f>
        <v>4</v>
      </c>
    </row>
    <row r="144">
      <c r="A144" s="7" t="str">
        <f>IFERROR(__xludf.DUMMYFUNCTION("""COMPUTED_VALUE"""),"AG2006")</f>
        <v>AG2006</v>
      </c>
      <c r="B144" s="7" t="str">
        <f>IFERROR(__xludf.DUMMYFUNCTION("""COMPUTED_VALUE"""),"RUN-ABRM_2022-09-22_RFR-021")</f>
        <v>RUN-ABRM_2022-09-22_RFR-021</v>
      </c>
      <c r="C144" s="8">
        <f>VLOOKUP(B144,'Run Reconcile'!A$2:B3212,2,FALSE)</f>
        <v>44826</v>
      </c>
      <c r="D144" s="12">
        <f>IFERROR(__xludf.DUMMYFUNCTION("""COMPUTED_VALUE"""),44826.0)</f>
        <v>44826</v>
      </c>
      <c r="E144" s="13">
        <f>IFERROR(__xludf.DUMMYFUNCTION("""COMPUTED_VALUE"""),0.3982175925921183)</f>
        <v>0.3982175926</v>
      </c>
      <c r="F144" s="7" t="str">
        <f>IFERROR(__xludf.DUMMYFUNCTION("""COMPUTED_VALUE"""),"Negative")</f>
        <v>Negative</v>
      </c>
      <c r="G144" s="7">
        <f>IFERROR(__xludf.DUMMYFUNCTION("""COMPUTED_VALUE"""),2.0)</f>
        <v>2</v>
      </c>
    </row>
    <row r="145">
      <c r="A145" s="7" t="str">
        <f>IFERROR(__xludf.DUMMYFUNCTION("""COMPUTED_VALUE"""),"AG1197")</f>
        <v>AG1197</v>
      </c>
      <c r="B145" s="7" t="str">
        <f>IFERROR(__xludf.DUMMYFUNCTION("""COMPUTED_VALUE"""),"RUN-ABRM_2022-09-22_RFR-021")</f>
        <v>RUN-ABRM_2022-09-22_RFR-021</v>
      </c>
      <c r="C145" s="8">
        <f>VLOOKUP(B145,'Run Reconcile'!A$2:B3212,2,FALSE)</f>
        <v>44826</v>
      </c>
      <c r="D145" s="12">
        <f>IFERROR(__xludf.DUMMYFUNCTION("""COMPUTED_VALUE"""),44826.0)</f>
        <v>44826</v>
      </c>
      <c r="E145" s="13">
        <f>IFERROR(__xludf.DUMMYFUNCTION("""COMPUTED_VALUE"""),0.3995601851856918)</f>
        <v>0.3995601852</v>
      </c>
      <c r="F145" s="7" t="str">
        <f>IFERROR(__xludf.DUMMYFUNCTION("""COMPUTED_VALUE"""),"Negative")</f>
        <v>Negative</v>
      </c>
      <c r="G145" s="7">
        <f>IFERROR(__xludf.DUMMYFUNCTION("""COMPUTED_VALUE"""),1.0)</f>
        <v>1</v>
      </c>
    </row>
    <row r="146">
      <c r="A146" s="7" t="str">
        <f>IFERROR(__xludf.DUMMYFUNCTION("""COMPUTED_VALUE"""),"AG1788")</f>
        <v>AG1788</v>
      </c>
      <c r="B146" s="7" t="str">
        <f>IFERROR(__xludf.DUMMYFUNCTION("""COMPUTED_VALUE"""),"RUN-ABRM_2022-09-22_RFR-021")</f>
        <v>RUN-ABRM_2022-09-22_RFR-021</v>
      </c>
      <c r="C146" s="8">
        <f>VLOOKUP(B146,'Run Reconcile'!A$2:B3212,2,FALSE)</f>
        <v>44826</v>
      </c>
      <c r="D146" s="12">
        <f>IFERROR(__xludf.DUMMYFUNCTION("""COMPUTED_VALUE"""),44826.0)</f>
        <v>44826</v>
      </c>
      <c r="E146" s="13">
        <f>IFERROR(__xludf.DUMMYFUNCTION("""COMPUTED_VALUE"""),0.4007638888906513)</f>
        <v>0.4007638889</v>
      </c>
      <c r="F146" s="7" t="str">
        <f>IFERROR(__xludf.DUMMYFUNCTION("""COMPUTED_VALUE"""),"Negative")</f>
        <v>Negative</v>
      </c>
      <c r="G146" s="7">
        <f>IFERROR(__xludf.DUMMYFUNCTION("""COMPUTED_VALUE"""),2.0)</f>
        <v>2</v>
      </c>
    </row>
    <row r="147">
      <c r="A147" s="7" t="str">
        <f>IFERROR(__xludf.DUMMYFUNCTION("""COMPUTED_VALUE"""),"AG786")</f>
        <v>AG786</v>
      </c>
      <c r="B147" s="7" t="str">
        <f>IFERROR(__xludf.DUMMYFUNCTION("""COMPUTED_VALUE"""),"RUN-ABRM_2022-09-23_RFR-022")</f>
        <v>RUN-ABRM_2022-09-23_RFR-022</v>
      </c>
      <c r="C147" s="8">
        <f>VLOOKUP(B147,'Run Reconcile'!A$2:B3212,2,FALSE)</f>
        <v>44827</v>
      </c>
      <c r="D147" s="12">
        <f>IFERROR(__xludf.DUMMYFUNCTION("""COMPUTED_VALUE"""),44827.0)</f>
        <v>44827</v>
      </c>
      <c r="E147" s="13">
        <f>IFERROR(__xludf.DUMMYFUNCTION("""COMPUTED_VALUE"""),0.20046296296277433)</f>
        <v>0.200462963</v>
      </c>
      <c r="F147" s="7" t="str">
        <f>IFERROR(__xludf.DUMMYFUNCTION("""COMPUTED_VALUE"""),"Negative")</f>
        <v>Negative</v>
      </c>
      <c r="G147" s="7">
        <f>IFERROR(__xludf.DUMMYFUNCTION("""COMPUTED_VALUE"""),2.0)</f>
        <v>2</v>
      </c>
    </row>
    <row r="148">
      <c r="A148" s="7" t="str">
        <f>IFERROR(__xludf.DUMMYFUNCTION("""COMPUTED_VALUE"""),"AJ7842")</f>
        <v>AJ7842</v>
      </c>
      <c r="B148" s="7" t="str">
        <f>IFERROR(__xludf.DUMMYFUNCTION("""COMPUTED_VALUE"""),"RUN-ABRM_2022-09-23_RFR-022")</f>
        <v>RUN-ABRM_2022-09-23_RFR-022</v>
      </c>
      <c r="C148" s="8">
        <f>VLOOKUP(B148,'Run Reconcile'!A$2:B3212,2,FALSE)</f>
        <v>44827</v>
      </c>
      <c r="D148" s="12">
        <f>IFERROR(__xludf.DUMMYFUNCTION("""COMPUTED_VALUE"""),44827.0)</f>
        <v>44827</v>
      </c>
      <c r="E148" s="13">
        <f>IFERROR(__xludf.DUMMYFUNCTION("""COMPUTED_VALUE"""),0.22210648148029577)</f>
        <v>0.2221064815</v>
      </c>
      <c r="F148" s="7" t="str">
        <f>IFERROR(__xludf.DUMMYFUNCTION("""COMPUTED_VALUE"""),"Negative")</f>
        <v>Negative</v>
      </c>
      <c r="G148" s="7">
        <f>IFERROR(__xludf.DUMMYFUNCTION("""COMPUTED_VALUE"""),1.0)</f>
        <v>1</v>
      </c>
    </row>
    <row r="149">
      <c r="A149" s="7" t="str">
        <f>IFERROR(__xludf.DUMMYFUNCTION("""COMPUTED_VALUE"""),"AK7094")</f>
        <v>AK7094</v>
      </c>
      <c r="B149" s="7" t="str">
        <f>IFERROR(__xludf.DUMMYFUNCTION("""COMPUTED_VALUE"""),"RUN-ABRM_2022-09-23_RFR-022")</f>
        <v>RUN-ABRM_2022-09-23_RFR-022</v>
      </c>
      <c r="C149" s="8">
        <f>VLOOKUP(B149,'Run Reconcile'!A$2:B3212,2,FALSE)</f>
        <v>44827</v>
      </c>
      <c r="D149" s="12">
        <f>IFERROR(__xludf.DUMMYFUNCTION("""COMPUTED_VALUE"""),44827.0)</f>
        <v>44827</v>
      </c>
      <c r="E149" s="13">
        <f>IFERROR(__xludf.DUMMYFUNCTION("""COMPUTED_VALUE"""),0.28283564814773854)</f>
        <v>0.2828356481</v>
      </c>
      <c r="F149" s="7" t="str">
        <f>IFERROR(__xludf.DUMMYFUNCTION("""COMPUTED_VALUE"""),"Negative")</f>
        <v>Negative</v>
      </c>
      <c r="G149" s="7">
        <f>IFERROR(__xludf.DUMMYFUNCTION("""COMPUTED_VALUE"""),2.0)</f>
        <v>2</v>
      </c>
    </row>
    <row r="150">
      <c r="A150" s="7" t="str">
        <f>IFERROR(__xludf.DUMMYFUNCTION("""COMPUTED_VALUE"""),"AG1923")</f>
        <v>AG1923</v>
      </c>
      <c r="B150" s="7" t="str">
        <f>IFERROR(__xludf.DUMMYFUNCTION("""COMPUTED_VALUE"""),"RUN-ABRM_2022-09-23_RFR-022")</f>
        <v>RUN-ABRM_2022-09-23_RFR-022</v>
      </c>
      <c r="C150" s="8">
        <f>VLOOKUP(B150,'Run Reconcile'!A$2:B3212,2,FALSE)</f>
        <v>44827</v>
      </c>
      <c r="D150" s="12">
        <f>IFERROR(__xludf.DUMMYFUNCTION("""COMPUTED_VALUE"""),44827.0)</f>
        <v>44827</v>
      </c>
      <c r="E150" s="13">
        <f>IFERROR(__xludf.DUMMYFUNCTION("""COMPUTED_VALUE"""),0.28835648148015025)</f>
        <v>0.2883564815</v>
      </c>
      <c r="F150" s="7" t="str">
        <f>IFERROR(__xludf.DUMMYFUNCTION("""COMPUTED_VALUE"""),"Negative")</f>
        <v>Negative</v>
      </c>
      <c r="G150" s="7">
        <f>IFERROR(__xludf.DUMMYFUNCTION("""COMPUTED_VALUE"""),3.0)</f>
        <v>3</v>
      </c>
    </row>
    <row r="151">
      <c r="A151" s="7" t="str">
        <f>IFERROR(__xludf.DUMMYFUNCTION("""COMPUTED_VALUE"""),"AG1897")</f>
        <v>AG1897</v>
      </c>
      <c r="B151" s="7" t="str">
        <f>IFERROR(__xludf.DUMMYFUNCTION("""COMPUTED_VALUE"""),"RUN-ABRM_2022-09-23_RFR-022")</f>
        <v>RUN-ABRM_2022-09-23_RFR-022</v>
      </c>
      <c r="C151" s="8">
        <f>VLOOKUP(B151,'Run Reconcile'!A$2:B3212,2,FALSE)</f>
        <v>44827</v>
      </c>
      <c r="D151" s="12">
        <f>IFERROR(__xludf.DUMMYFUNCTION("""COMPUTED_VALUE"""),44827.0)</f>
        <v>44827</v>
      </c>
      <c r="E151" s="13">
        <f>IFERROR(__xludf.DUMMYFUNCTION("""COMPUTED_VALUE"""),0.2956481481487572)</f>
        <v>0.2956481481</v>
      </c>
      <c r="F151" s="7" t="str">
        <f>IFERROR(__xludf.DUMMYFUNCTION("""COMPUTED_VALUE"""),"Negative")</f>
        <v>Negative</v>
      </c>
      <c r="G151" s="7">
        <f>IFERROR(__xludf.DUMMYFUNCTION("""COMPUTED_VALUE"""),3.0)</f>
        <v>3</v>
      </c>
    </row>
    <row r="152">
      <c r="A152" s="7" t="str">
        <f>IFERROR(__xludf.DUMMYFUNCTION("""COMPUTED_VALUE"""),"AJ8969")</f>
        <v>AJ8969</v>
      </c>
      <c r="B152" s="7" t="str">
        <f>IFERROR(__xludf.DUMMYFUNCTION("""COMPUTED_VALUE"""),"RUN-ABRM_2022-09-23_RFR-022")</f>
        <v>RUN-ABRM_2022-09-23_RFR-022</v>
      </c>
      <c r="C152" s="8">
        <f>VLOOKUP(B152,'Run Reconcile'!A$2:B3212,2,FALSE)</f>
        <v>44827</v>
      </c>
      <c r="D152" s="12">
        <f>IFERROR(__xludf.DUMMYFUNCTION("""COMPUTED_VALUE"""),44827.0)</f>
        <v>44827</v>
      </c>
      <c r="E152" s="13">
        <f>IFERROR(__xludf.DUMMYFUNCTION("""COMPUTED_VALUE"""),0.3016666666662786)</f>
        <v>0.3016666667</v>
      </c>
      <c r="F152" s="7" t="str">
        <f>IFERROR(__xludf.DUMMYFUNCTION("""COMPUTED_VALUE"""),"Negative")</f>
        <v>Negative</v>
      </c>
      <c r="G152" s="7">
        <f>IFERROR(__xludf.DUMMYFUNCTION("""COMPUTED_VALUE"""),3.0)</f>
        <v>3</v>
      </c>
    </row>
    <row r="153">
      <c r="A153" s="7" t="str">
        <f>IFERROR(__xludf.DUMMYFUNCTION("""COMPUTED_VALUE"""),"AH7758")</f>
        <v>AH7758</v>
      </c>
      <c r="B153" s="7" t="str">
        <f>IFERROR(__xludf.DUMMYFUNCTION("""COMPUTED_VALUE"""),"RUN-ABRM_2022-09-23_RFR-022")</f>
        <v>RUN-ABRM_2022-09-23_RFR-022</v>
      </c>
      <c r="C153" s="8">
        <f>VLOOKUP(B153,'Run Reconcile'!A$2:B3212,2,FALSE)</f>
        <v>44827</v>
      </c>
      <c r="D153" s="12">
        <f>IFERROR(__xludf.DUMMYFUNCTION("""COMPUTED_VALUE"""),44827.0)</f>
        <v>44827</v>
      </c>
      <c r="E153" s="13">
        <f>IFERROR(__xludf.DUMMYFUNCTION("""COMPUTED_VALUE"""),0.3108680555560568)</f>
        <v>0.3108680556</v>
      </c>
      <c r="F153" s="7" t="str">
        <f>IFERROR(__xludf.DUMMYFUNCTION("""COMPUTED_VALUE"""),"Negative")</f>
        <v>Negative</v>
      </c>
      <c r="G153" s="7">
        <f>IFERROR(__xludf.DUMMYFUNCTION("""COMPUTED_VALUE"""),2.0)</f>
        <v>2</v>
      </c>
    </row>
    <row r="154">
      <c r="A154" s="7" t="str">
        <f>IFERROR(__xludf.DUMMYFUNCTION("""COMPUTED_VALUE"""),"AH8740")</f>
        <v>AH8740</v>
      </c>
      <c r="B154" s="7" t="str">
        <f>IFERROR(__xludf.DUMMYFUNCTION("""COMPUTED_VALUE"""),"RUN-ABRM_2022-09-23_RFR-022")</f>
        <v>RUN-ABRM_2022-09-23_RFR-022</v>
      </c>
      <c r="C154" s="8">
        <f>VLOOKUP(B154,'Run Reconcile'!A$2:B3212,2,FALSE)</f>
        <v>44827</v>
      </c>
      <c r="D154" s="12">
        <f>IFERROR(__xludf.DUMMYFUNCTION("""COMPUTED_VALUE"""),44827.0)</f>
        <v>44827</v>
      </c>
      <c r="E154" s="13">
        <f>IFERROR(__xludf.DUMMYFUNCTION("""COMPUTED_VALUE"""),0.3404745370353339)</f>
        <v>0.340474537</v>
      </c>
      <c r="F154" s="7" t="str">
        <f>IFERROR(__xludf.DUMMYFUNCTION("""COMPUTED_VALUE"""),"Negative")</f>
        <v>Negative</v>
      </c>
      <c r="G154" s="7">
        <f>IFERROR(__xludf.DUMMYFUNCTION("""COMPUTED_VALUE"""),2.0)</f>
        <v>2</v>
      </c>
    </row>
    <row r="155">
      <c r="A155" s="7" t="str">
        <f>IFERROR(__xludf.DUMMYFUNCTION("""COMPUTED_VALUE"""),"AH8027")</f>
        <v>AH8027</v>
      </c>
      <c r="B155" s="7" t="str">
        <f>IFERROR(__xludf.DUMMYFUNCTION("""COMPUTED_VALUE"""),"RUN-ABRM_2022-09-23_RFR-022")</f>
        <v>RUN-ABRM_2022-09-23_RFR-022</v>
      </c>
      <c r="C155" s="8">
        <f>VLOOKUP(B155,'Run Reconcile'!A$2:B3212,2,FALSE)</f>
        <v>44827</v>
      </c>
      <c r="D155" s="12">
        <f>IFERROR(__xludf.DUMMYFUNCTION("""COMPUTED_VALUE"""),44827.0)</f>
        <v>44827</v>
      </c>
      <c r="E155" s="13">
        <f>IFERROR(__xludf.DUMMYFUNCTION("""COMPUTED_VALUE"""),0.3416435185172304)</f>
        <v>0.3416435185</v>
      </c>
      <c r="F155" s="7" t="str">
        <f>IFERROR(__xludf.DUMMYFUNCTION("""COMPUTED_VALUE"""),"Negative")</f>
        <v>Negative</v>
      </c>
      <c r="G155" s="7">
        <f>IFERROR(__xludf.DUMMYFUNCTION("""COMPUTED_VALUE"""),2.0)</f>
        <v>2</v>
      </c>
    </row>
    <row r="156">
      <c r="A156" s="7" t="str">
        <f>IFERROR(__xludf.DUMMYFUNCTION("""COMPUTED_VALUE"""),"AG740")</f>
        <v>AG740</v>
      </c>
      <c r="B156" s="7" t="str">
        <f>IFERROR(__xludf.DUMMYFUNCTION("""COMPUTED_VALUE"""),"RUN-ABRM_2022-09-26_RFR-023")</f>
        <v>RUN-ABRM_2022-09-26_RFR-023</v>
      </c>
      <c r="C156" s="8">
        <f>VLOOKUP(B156,'Run Reconcile'!A$2:B3212,2,FALSE)</f>
        <v>44830</v>
      </c>
      <c r="D156" s="12">
        <f>IFERROR(__xludf.DUMMYFUNCTION("""COMPUTED_VALUE"""),44830.0)</f>
        <v>44830</v>
      </c>
      <c r="E156" s="13">
        <f>IFERROR(__xludf.DUMMYFUNCTION("""COMPUTED_VALUE"""),0.2368402777792653)</f>
        <v>0.2368402778</v>
      </c>
      <c r="F156" s="7" t="str">
        <f>IFERROR(__xludf.DUMMYFUNCTION("""COMPUTED_VALUE"""),"Negative")</f>
        <v>Negative</v>
      </c>
      <c r="G156" s="7">
        <f>IFERROR(__xludf.DUMMYFUNCTION("""COMPUTED_VALUE"""),2.0)</f>
        <v>2</v>
      </c>
    </row>
    <row r="157">
      <c r="A157" s="7" t="str">
        <f>IFERROR(__xludf.DUMMYFUNCTION("""COMPUTED_VALUE"""),"AH7281")</f>
        <v>AH7281</v>
      </c>
      <c r="B157" s="7" t="str">
        <f>IFERROR(__xludf.DUMMYFUNCTION("""COMPUTED_VALUE"""),"RUN-ABRM_2022-09-26_RFR-023")</f>
        <v>RUN-ABRM_2022-09-26_RFR-023</v>
      </c>
      <c r="C157" s="8">
        <f>VLOOKUP(B157,'Run Reconcile'!A$2:B3212,2,FALSE)</f>
        <v>44830</v>
      </c>
      <c r="D157" s="12">
        <f>IFERROR(__xludf.DUMMYFUNCTION("""COMPUTED_VALUE"""),44830.0)</f>
        <v>44830</v>
      </c>
      <c r="E157" s="13">
        <f>IFERROR(__xludf.DUMMYFUNCTION("""COMPUTED_VALUE"""),0.24347222222058917)</f>
        <v>0.2434722222</v>
      </c>
      <c r="F157" s="7" t="str">
        <f>IFERROR(__xludf.DUMMYFUNCTION("""COMPUTED_VALUE"""),"Negative")</f>
        <v>Negative</v>
      </c>
      <c r="G157" s="7">
        <f>IFERROR(__xludf.DUMMYFUNCTION("""COMPUTED_VALUE"""),3.0)</f>
        <v>3</v>
      </c>
    </row>
    <row r="158">
      <c r="A158" s="7" t="str">
        <f>IFERROR(__xludf.DUMMYFUNCTION("""COMPUTED_VALUE"""),"AH9014")</f>
        <v>AH9014</v>
      </c>
      <c r="B158" s="7" t="str">
        <f>IFERROR(__xludf.DUMMYFUNCTION("""COMPUTED_VALUE"""),"RUN-ABRM_2022-09-26_RFR-023")</f>
        <v>RUN-ABRM_2022-09-26_RFR-023</v>
      </c>
      <c r="C158" s="8">
        <f>VLOOKUP(B158,'Run Reconcile'!A$2:B3212,2,FALSE)</f>
        <v>44830</v>
      </c>
      <c r="D158" s="12">
        <f>IFERROR(__xludf.DUMMYFUNCTION("""COMPUTED_VALUE"""),44830.0)</f>
        <v>44830</v>
      </c>
      <c r="E158" s="13">
        <f>IFERROR(__xludf.DUMMYFUNCTION("""COMPUTED_VALUE"""),0.24487268518350902)</f>
        <v>0.2448726852</v>
      </c>
      <c r="F158" s="7" t="str">
        <f>IFERROR(__xludf.DUMMYFUNCTION("""COMPUTED_VALUE"""),"Negative")</f>
        <v>Negative</v>
      </c>
      <c r="G158" s="7">
        <f>IFERROR(__xludf.DUMMYFUNCTION("""COMPUTED_VALUE"""),3.0)</f>
        <v>3</v>
      </c>
    </row>
    <row r="159">
      <c r="A159" s="7" t="str">
        <f>IFERROR(__xludf.DUMMYFUNCTION("""COMPUTED_VALUE"""),"AH8841")</f>
        <v>AH8841</v>
      </c>
      <c r="B159" s="7" t="str">
        <f>IFERROR(__xludf.DUMMYFUNCTION("""COMPUTED_VALUE"""),"RUN-ABRM_2022-09-26_RFR-023")</f>
        <v>RUN-ABRM_2022-09-26_RFR-023</v>
      </c>
      <c r="C159" s="8">
        <f>VLOOKUP(B159,'Run Reconcile'!A$2:B3212,2,FALSE)</f>
        <v>44830</v>
      </c>
      <c r="D159" s="12">
        <f>IFERROR(__xludf.DUMMYFUNCTION("""COMPUTED_VALUE"""),44830.0)</f>
        <v>44830</v>
      </c>
      <c r="E159" s="13">
        <f>IFERROR(__xludf.DUMMYFUNCTION("""COMPUTED_VALUE"""),0.2813310185192677)</f>
        <v>0.2813310185</v>
      </c>
      <c r="F159" s="7" t="str">
        <f>IFERROR(__xludf.DUMMYFUNCTION("""COMPUTED_VALUE"""),"Negative")</f>
        <v>Negative</v>
      </c>
      <c r="G159" s="7">
        <f>IFERROR(__xludf.DUMMYFUNCTION("""COMPUTED_VALUE"""),3.0)</f>
        <v>3</v>
      </c>
    </row>
    <row r="160">
      <c r="A160" s="7" t="str">
        <f>IFERROR(__xludf.DUMMYFUNCTION("""COMPUTED_VALUE"""),"AG316")</f>
        <v>AG316</v>
      </c>
      <c r="B160" s="7" t="str">
        <f>IFERROR(__xludf.DUMMYFUNCTION("""COMPUTED_VALUE"""),"RUN-ABRM_2022-09-26_RFR-023")</f>
        <v>RUN-ABRM_2022-09-26_RFR-023</v>
      </c>
      <c r="C160" s="8">
        <f>VLOOKUP(B160,'Run Reconcile'!A$2:B3212,2,FALSE)</f>
        <v>44830</v>
      </c>
      <c r="D160" s="12">
        <f>IFERROR(__xludf.DUMMYFUNCTION("""COMPUTED_VALUE"""),44830.0)</f>
        <v>44830</v>
      </c>
      <c r="E160" s="13">
        <f>IFERROR(__xludf.DUMMYFUNCTION("""COMPUTED_VALUE"""),0.2925810185188311)</f>
        <v>0.2925810185</v>
      </c>
      <c r="F160" s="7" t="str">
        <f>IFERROR(__xludf.DUMMYFUNCTION("""COMPUTED_VALUE"""),"Negative")</f>
        <v>Negative</v>
      </c>
      <c r="G160" s="7">
        <f>IFERROR(__xludf.DUMMYFUNCTION("""COMPUTED_VALUE"""),2.0)</f>
        <v>2</v>
      </c>
    </row>
    <row r="161">
      <c r="A161" s="7" t="str">
        <f>IFERROR(__xludf.DUMMYFUNCTION("""COMPUTED_VALUE"""),"AH831")</f>
        <v>AH831</v>
      </c>
      <c r="B161" s="7" t="str">
        <f>IFERROR(__xludf.DUMMYFUNCTION("""COMPUTED_VALUE"""),"RUN-ABRM_2022-09-26_RFR-023")</f>
        <v>RUN-ABRM_2022-09-26_RFR-023</v>
      </c>
      <c r="C161" s="8">
        <f>VLOOKUP(B161,'Run Reconcile'!A$2:B3212,2,FALSE)</f>
        <v>44830</v>
      </c>
      <c r="D161" s="12">
        <f>IFERROR(__xludf.DUMMYFUNCTION("""COMPUTED_VALUE"""),44830.0)</f>
        <v>44830</v>
      </c>
      <c r="E161" s="13">
        <f>IFERROR(__xludf.DUMMYFUNCTION("""COMPUTED_VALUE"""),0.3006249999998545)</f>
        <v>0.300625</v>
      </c>
      <c r="F161" s="7" t="str">
        <f>IFERROR(__xludf.DUMMYFUNCTION("""COMPUTED_VALUE"""),"Negative")</f>
        <v>Negative</v>
      </c>
      <c r="G161" s="7">
        <f>IFERROR(__xludf.DUMMYFUNCTION("""COMPUTED_VALUE"""),3.0)</f>
        <v>3</v>
      </c>
    </row>
    <row r="162">
      <c r="A162" s="7" t="str">
        <f>IFERROR(__xludf.DUMMYFUNCTION("""COMPUTED_VALUE"""),"AG1615")</f>
        <v>AG1615</v>
      </c>
      <c r="B162" s="7" t="str">
        <f>IFERROR(__xludf.DUMMYFUNCTION("""COMPUTED_VALUE"""),"RUN-ABRM_2022-09-26_RFR-023")</f>
        <v>RUN-ABRM_2022-09-26_RFR-023</v>
      </c>
      <c r="C162" s="8">
        <f>VLOOKUP(B162,'Run Reconcile'!A$2:B3212,2,FALSE)</f>
        <v>44830</v>
      </c>
      <c r="D162" s="12">
        <f>IFERROR(__xludf.DUMMYFUNCTION("""COMPUTED_VALUE"""),44830.0)</f>
        <v>44830</v>
      </c>
      <c r="E162" s="13">
        <f>IFERROR(__xludf.DUMMYFUNCTION("""COMPUTED_VALUE"""),0.3246412037042319)</f>
        <v>0.3246412037</v>
      </c>
      <c r="F162" s="7" t="str">
        <f>IFERROR(__xludf.DUMMYFUNCTION("""COMPUTED_VALUE"""),"Negative")</f>
        <v>Negative</v>
      </c>
      <c r="G162" s="7">
        <f>IFERROR(__xludf.DUMMYFUNCTION("""COMPUTED_VALUE"""),3.0)</f>
        <v>3</v>
      </c>
    </row>
    <row r="163">
      <c r="A163" s="7" t="str">
        <f>IFERROR(__xludf.DUMMYFUNCTION("""COMPUTED_VALUE"""),"AH9717")</f>
        <v>AH9717</v>
      </c>
      <c r="B163" s="7" t="str">
        <f>IFERROR(__xludf.DUMMYFUNCTION("""COMPUTED_VALUE"""),"RUN-ABRM_2022-09-26_RFR-023")</f>
        <v>RUN-ABRM_2022-09-26_RFR-023</v>
      </c>
      <c r="C163" s="8">
        <f>VLOOKUP(B163,'Run Reconcile'!A$2:B3212,2,FALSE)</f>
        <v>44830</v>
      </c>
      <c r="D163" s="12">
        <f>IFERROR(__xludf.DUMMYFUNCTION("""COMPUTED_VALUE"""),44830.0)</f>
        <v>44830</v>
      </c>
      <c r="E163" s="13">
        <f>IFERROR(__xludf.DUMMYFUNCTION("""COMPUTED_VALUE"""),0.34122685185138835)</f>
        <v>0.3412268519</v>
      </c>
      <c r="F163" s="7" t="str">
        <f>IFERROR(__xludf.DUMMYFUNCTION("""COMPUTED_VALUE"""),"Negative")</f>
        <v>Negative</v>
      </c>
      <c r="G163" s="7">
        <f>IFERROR(__xludf.DUMMYFUNCTION("""COMPUTED_VALUE"""),1.0)</f>
        <v>1</v>
      </c>
    </row>
    <row r="164">
      <c r="A164" s="7" t="str">
        <f>IFERROR(__xludf.DUMMYFUNCTION("""COMPUTED_VALUE"""),"AH8352")</f>
        <v>AH8352</v>
      </c>
      <c r="B164" s="7" t="str">
        <f>IFERROR(__xludf.DUMMYFUNCTION("""COMPUTED_VALUE"""),"RUN-ABRM_2022-09-26_RFR-023")</f>
        <v>RUN-ABRM_2022-09-26_RFR-023</v>
      </c>
      <c r="C164" s="8">
        <f>VLOOKUP(B164,'Run Reconcile'!A$2:B3212,2,FALSE)</f>
        <v>44830</v>
      </c>
      <c r="D164" s="12">
        <f>IFERROR(__xludf.DUMMYFUNCTION("""COMPUTED_VALUE"""),44830.0)</f>
        <v>44830</v>
      </c>
      <c r="E164" s="13">
        <f>IFERROR(__xludf.DUMMYFUNCTION("""COMPUTED_VALUE"""),0.3417592592595611)</f>
        <v>0.3417592593</v>
      </c>
      <c r="F164" s="7" t="str">
        <f>IFERROR(__xludf.DUMMYFUNCTION("""COMPUTED_VALUE"""),"Negative")</f>
        <v>Negative</v>
      </c>
      <c r="G164" s="7">
        <f>IFERROR(__xludf.DUMMYFUNCTION("""COMPUTED_VALUE"""),4.0)</f>
        <v>4</v>
      </c>
    </row>
    <row r="165">
      <c r="A165" s="7" t="str">
        <f>IFERROR(__xludf.DUMMYFUNCTION("""COMPUTED_VALUE"""),"AG1148")</f>
        <v>AG1148</v>
      </c>
      <c r="B165" s="7" t="str">
        <f>IFERROR(__xludf.DUMMYFUNCTION("""COMPUTED_VALUE"""),"RUN-ABRM_2022-09-26_RFR-023")</f>
        <v>RUN-ABRM_2022-09-26_RFR-023</v>
      </c>
      <c r="C165" s="8">
        <f>VLOOKUP(B165,'Run Reconcile'!A$2:B3212,2,FALSE)</f>
        <v>44830</v>
      </c>
      <c r="D165" s="12">
        <f>IFERROR(__xludf.DUMMYFUNCTION("""COMPUTED_VALUE"""),44830.0)</f>
        <v>44830</v>
      </c>
      <c r="E165" s="13">
        <f>IFERROR(__xludf.DUMMYFUNCTION("""COMPUTED_VALUE"""),0.3420717592598521)</f>
        <v>0.3420717593</v>
      </c>
      <c r="F165" s="7" t="str">
        <f>IFERROR(__xludf.DUMMYFUNCTION("""COMPUTED_VALUE"""),"Negative")</f>
        <v>Negative</v>
      </c>
      <c r="G165" s="7">
        <f>IFERROR(__xludf.DUMMYFUNCTION("""COMPUTED_VALUE"""),1.0)</f>
        <v>1</v>
      </c>
    </row>
    <row r="166">
      <c r="A166" s="7" t="str">
        <f>IFERROR(__xludf.DUMMYFUNCTION("""COMPUTED_VALUE"""),"AH8086")</f>
        <v>AH8086</v>
      </c>
      <c r="B166" s="7" t="str">
        <f>IFERROR(__xludf.DUMMYFUNCTION("""COMPUTED_VALUE"""),"RUN-ABRM_2022-09-26_RFR-023")</f>
        <v>RUN-ABRM_2022-09-26_RFR-023</v>
      </c>
      <c r="C166" s="8">
        <f>VLOOKUP(B166,'Run Reconcile'!A$2:B3212,2,FALSE)</f>
        <v>44830</v>
      </c>
      <c r="D166" s="12">
        <f>IFERROR(__xludf.DUMMYFUNCTION("""COMPUTED_VALUE"""),44830.0)</f>
        <v>44830</v>
      </c>
      <c r="E166" s="13">
        <f>IFERROR(__xludf.DUMMYFUNCTION("""COMPUTED_VALUE"""),0.3424652777794108)</f>
        <v>0.3424652778</v>
      </c>
      <c r="F166" s="7" t="str">
        <f>IFERROR(__xludf.DUMMYFUNCTION("""COMPUTED_VALUE"""),"Negative")</f>
        <v>Negative</v>
      </c>
      <c r="G166" s="7">
        <f>IFERROR(__xludf.DUMMYFUNCTION("""COMPUTED_VALUE"""),2.0)</f>
        <v>2</v>
      </c>
    </row>
    <row r="167">
      <c r="A167" s="7" t="str">
        <f>IFERROR(__xludf.DUMMYFUNCTION("""COMPUTED_VALUE"""),"AJ8997")</f>
        <v>AJ8997</v>
      </c>
      <c r="B167" s="7" t="str">
        <f>IFERROR(__xludf.DUMMYFUNCTION("""COMPUTED_VALUE"""),"RUN-ABRM_2022-09-26_RFR-023")</f>
        <v>RUN-ABRM_2022-09-26_RFR-023</v>
      </c>
      <c r="C167" s="8">
        <f>VLOOKUP(B167,'Run Reconcile'!A$2:B3212,2,FALSE)</f>
        <v>44830</v>
      </c>
      <c r="D167" s="12">
        <f>IFERROR(__xludf.DUMMYFUNCTION("""COMPUTED_VALUE"""),44830.0)</f>
        <v>44830</v>
      </c>
      <c r="E167" s="13">
        <f>IFERROR(__xludf.DUMMYFUNCTION("""COMPUTED_VALUE"""),0.34282407407226856)</f>
        <v>0.3428240741</v>
      </c>
      <c r="F167" s="7" t="str">
        <f>IFERROR(__xludf.DUMMYFUNCTION("""COMPUTED_VALUE"""),"Negative")</f>
        <v>Negative</v>
      </c>
      <c r="G167" s="7">
        <f>IFERROR(__xludf.DUMMYFUNCTION("""COMPUTED_VALUE"""),2.0)</f>
        <v>2</v>
      </c>
    </row>
    <row r="168">
      <c r="A168" s="7" t="str">
        <f>IFERROR(__xludf.DUMMYFUNCTION("""COMPUTED_VALUE"""),"AH9746")</f>
        <v>AH9746</v>
      </c>
      <c r="B168" s="7" t="str">
        <f>IFERROR(__xludf.DUMMYFUNCTION("""COMPUTED_VALUE"""),"RUN-ABRM_2022-09-27_RFR-025")</f>
        <v>RUN-ABRM_2022-09-27_RFR-025</v>
      </c>
      <c r="C168" s="8">
        <f>VLOOKUP(B168,'Run Reconcile'!A$2:B3212,2,FALSE)</f>
        <v>44831</v>
      </c>
      <c r="D168" s="12">
        <f>IFERROR(__xludf.DUMMYFUNCTION("""COMPUTED_VALUE"""),44831.0)</f>
        <v>44831</v>
      </c>
      <c r="E168" s="13">
        <f>IFERROR(__xludf.DUMMYFUNCTION("""COMPUTED_VALUE"""),0.21390046296437504)</f>
        <v>0.213900463</v>
      </c>
      <c r="F168" s="7" t="str">
        <f>IFERROR(__xludf.DUMMYFUNCTION("""COMPUTED_VALUE"""),"Negative")</f>
        <v>Negative</v>
      </c>
      <c r="G168" s="7">
        <f>IFERROR(__xludf.DUMMYFUNCTION("""COMPUTED_VALUE"""),2.0)</f>
        <v>2</v>
      </c>
    </row>
    <row r="169">
      <c r="A169" s="7" t="str">
        <f>IFERROR(__xludf.DUMMYFUNCTION("""COMPUTED_VALUE"""),"AG313")</f>
        <v>AG313</v>
      </c>
      <c r="B169" s="7" t="str">
        <f>IFERROR(__xludf.DUMMYFUNCTION("""COMPUTED_VALUE"""),"RUN-ABRM_2022-09-27_RFR-025")</f>
        <v>RUN-ABRM_2022-09-27_RFR-025</v>
      </c>
      <c r="C169" s="8">
        <f>VLOOKUP(B169,'Run Reconcile'!A$2:B3212,2,FALSE)</f>
        <v>44831</v>
      </c>
      <c r="D169" s="12">
        <f>IFERROR(__xludf.DUMMYFUNCTION("""COMPUTED_VALUE"""),44831.0)</f>
        <v>44831</v>
      </c>
      <c r="E169" s="13">
        <f>IFERROR(__xludf.DUMMYFUNCTION("""COMPUTED_VALUE"""),0.24915509259153623)</f>
        <v>0.2491550926</v>
      </c>
      <c r="F169" s="7" t="str">
        <f>IFERROR(__xludf.DUMMYFUNCTION("""COMPUTED_VALUE"""),"Negative")</f>
        <v>Negative</v>
      </c>
      <c r="G169" s="7">
        <f>IFERROR(__xludf.DUMMYFUNCTION("""COMPUTED_VALUE"""),1.0)</f>
        <v>1</v>
      </c>
    </row>
    <row r="170">
      <c r="A170" s="7" t="str">
        <f>IFERROR(__xludf.DUMMYFUNCTION("""COMPUTED_VALUE"""),"AH9673")</f>
        <v>AH9673</v>
      </c>
      <c r="B170" s="7" t="str">
        <f>IFERROR(__xludf.DUMMYFUNCTION("""COMPUTED_VALUE"""),"RUN-ABRM_2022-09-27_RFR-025")</f>
        <v>RUN-ABRM_2022-09-27_RFR-025</v>
      </c>
      <c r="C170" s="8">
        <f>VLOOKUP(B170,'Run Reconcile'!A$2:B3212,2,FALSE)</f>
        <v>44831</v>
      </c>
      <c r="D170" s="12">
        <f>IFERROR(__xludf.DUMMYFUNCTION("""COMPUTED_VALUE"""),44831.0)</f>
        <v>44831</v>
      </c>
      <c r="E170" s="13">
        <f>IFERROR(__xludf.DUMMYFUNCTION("""COMPUTED_VALUE"""),0.25873842592773144)</f>
        <v>0.2587384259</v>
      </c>
      <c r="F170" s="7" t="str">
        <f>IFERROR(__xludf.DUMMYFUNCTION("""COMPUTED_VALUE"""),"Negative")</f>
        <v>Negative</v>
      </c>
      <c r="G170" s="7">
        <f>IFERROR(__xludf.DUMMYFUNCTION("""COMPUTED_VALUE"""),3.0)</f>
        <v>3</v>
      </c>
    </row>
    <row r="171">
      <c r="A171" s="7" t="str">
        <f>IFERROR(__xludf.DUMMYFUNCTION("""COMPUTED_VALUE"""),"AH8879")</f>
        <v>AH8879</v>
      </c>
      <c r="B171" s="7" t="str">
        <f>IFERROR(__xludf.DUMMYFUNCTION("""COMPUTED_VALUE"""),"RUN-ABRM_2022-09-27_RFR-025")</f>
        <v>RUN-ABRM_2022-09-27_RFR-025</v>
      </c>
      <c r="C171" s="8">
        <f>VLOOKUP(B171,'Run Reconcile'!A$2:B3212,2,FALSE)</f>
        <v>44831</v>
      </c>
      <c r="D171" s="12">
        <f>IFERROR(__xludf.DUMMYFUNCTION("""COMPUTED_VALUE"""),44831.0)</f>
        <v>44831</v>
      </c>
      <c r="E171" s="13">
        <f>IFERROR(__xludf.DUMMYFUNCTION("""COMPUTED_VALUE"""),0.26854166666817036)</f>
        <v>0.2685416667</v>
      </c>
      <c r="F171" s="7" t="str">
        <f>IFERROR(__xludf.DUMMYFUNCTION("""COMPUTED_VALUE"""),"Negative")</f>
        <v>Negative</v>
      </c>
      <c r="G171" s="7">
        <f>IFERROR(__xludf.DUMMYFUNCTION("""COMPUTED_VALUE"""),3.0)</f>
        <v>3</v>
      </c>
    </row>
    <row r="172">
      <c r="A172" s="7" t="str">
        <f>IFERROR(__xludf.DUMMYFUNCTION("""COMPUTED_VALUE"""),"AH8017")</f>
        <v>AH8017</v>
      </c>
      <c r="B172" s="7" t="str">
        <f>IFERROR(__xludf.DUMMYFUNCTION("""COMPUTED_VALUE"""),"RUN-ABRM_2022-09-27_RFR-025")</f>
        <v>RUN-ABRM_2022-09-27_RFR-025</v>
      </c>
      <c r="C172" s="8">
        <f>VLOOKUP(B172,'Run Reconcile'!A$2:B3212,2,FALSE)</f>
        <v>44831</v>
      </c>
      <c r="D172" s="12">
        <f>IFERROR(__xludf.DUMMYFUNCTION("""COMPUTED_VALUE"""),44831.0)</f>
        <v>44831</v>
      </c>
      <c r="E172" s="13">
        <f>IFERROR(__xludf.DUMMYFUNCTION("""COMPUTED_VALUE"""),0.26905092592642177)</f>
        <v>0.2690509259</v>
      </c>
      <c r="F172" s="7" t="str">
        <f>IFERROR(__xludf.DUMMYFUNCTION("""COMPUTED_VALUE"""),"Negative")</f>
        <v>Negative</v>
      </c>
      <c r="G172" s="7">
        <f>IFERROR(__xludf.DUMMYFUNCTION("""COMPUTED_VALUE"""),1.0)</f>
        <v>1</v>
      </c>
    </row>
    <row r="173">
      <c r="A173" s="7" t="str">
        <f>IFERROR(__xludf.DUMMYFUNCTION("""COMPUTED_VALUE"""),"AG1199")</f>
        <v>AG1199</v>
      </c>
      <c r="B173" s="7" t="str">
        <f>IFERROR(__xludf.DUMMYFUNCTION("""COMPUTED_VALUE"""),"RUN-ABRM_2022-09-27_RFR-025")</f>
        <v>RUN-ABRM_2022-09-27_RFR-025</v>
      </c>
      <c r="C173" s="8">
        <f>VLOOKUP(B173,'Run Reconcile'!A$2:B3212,2,FALSE)</f>
        <v>44831</v>
      </c>
      <c r="D173" s="12">
        <f>IFERROR(__xludf.DUMMYFUNCTION("""COMPUTED_VALUE"""),44831.0)</f>
        <v>44831</v>
      </c>
      <c r="E173" s="13">
        <f>IFERROR(__xludf.DUMMYFUNCTION("""COMPUTED_VALUE"""),0.2994791666678793)</f>
        <v>0.2994791667</v>
      </c>
      <c r="F173" s="7" t="str">
        <f>IFERROR(__xludf.DUMMYFUNCTION("""COMPUTED_VALUE"""),"Negative")</f>
        <v>Negative</v>
      </c>
      <c r="G173" s="7">
        <f>IFERROR(__xludf.DUMMYFUNCTION("""COMPUTED_VALUE"""),3.0)</f>
        <v>3</v>
      </c>
    </row>
    <row r="174">
      <c r="A174" s="7" t="str">
        <f>IFERROR(__xludf.DUMMYFUNCTION("""COMPUTED_VALUE"""),"AH8881")</f>
        <v>AH8881</v>
      </c>
      <c r="B174" s="7" t="str">
        <f>IFERROR(__xludf.DUMMYFUNCTION("""COMPUTED_VALUE"""),"RUN-ABRM_2022-09-27_RFR-025")</f>
        <v>RUN-ABRM_2022-09-27_RFR-025</v>
      </c>
      <c r="C174" s="8">
        <f>VLOOKUP(B174,'Run Reconcile'!A$2:B3212,2,FALSE)</f>
        <v>44831</v>
      </c>
      <c r="D174" s="12">
        <f>IFERROR(__xludf.DUMMYFUNCTION("""COMPUTED_VALUE"""),44831.0)</f>
        <v>44831</v>
      </c>
      <c r="E174" s="13">
        <f>IFERROR(__xludf.DUMMYFUNCTION("""COMPUTED_VALUE"""),0.3200925925921183)</f>
        <v>0.3200925926</v>
      </c>
      <c r="F174" s="7" t="str">
        <f>IFERROR(__xludf.DUMMYFUNCTION("""COMPUTED_VALUE"""),"Negative")</f>
        <v>Negative</v>
      </c>
      <c r="G174" s="7">
        <f>IFERROR(__xludf.DUMMYFUNCTION("""COMPUTED_VALUE"""),2.0)</f>
        <v>2</v>
      </c>
    </row>
    <row r="175">
      <c r="A175" s="7" t="str">
        <f>IFERROR(__xludf.DUMMYFUNCTION("""COMPUTED_VALUE"""),"AH9156")</f>
        <v>AH9156</v>
      </c>
      <c r="B175" s="7" t="str">
        <f>IFERROR(__xludf.DUMMYFUNCTION("""COMPUTED_VALUE"""),"RUN-ABRM_2022-09-27_RFR-025")</f>
        <v>RUN-ABRM_2022-09-27_RFR-025</v>
      </c>
      <c r="C175" s="8">
        <f>VLOOKUP(B175,'Run Reconcile'!A$2:B3212,2,FALSE)</f>
        <v>44831</v>
      </c>
      <c r="D175" s="12">
        <f>IFERROR(__xludf.DUMMYFUNCTION("""COMPUTED_VALUE"""),44831.0)</f>
        <v>44831</v>
      </c>
      <c r="E175" s="13">
        <f>IFERROR(__xludf.DUMMYFUNCTION("""COMPUTED_VALUE"""),0.3209375000005821)</f>
        <v>0.3209375</v>
      </c>
      <c r="F175" s="7" t="str">
        <f>IFERROR(__xludf.DUMMYFUNCTION("""COMPUTED_VALUE"""),"Negative")</f>
        <v>Negative</v>
      </c>
      <c r="G175" s="7">
        <f>IFERROR(__xludf.DUMMYFUNCTION("""COMPUTED_VALUE"""),3.0)</f>
        <v>3</v>
      </c>
    </row>
    <row r="176">
      <c r="A176" s="7" t="str">
        <f>IFERROR(__xludf.DUMMYFUNCTION("""COMPUTED_VALUE"""),"AG931")</f>
        <v>AG931</v>
      </c>
      <c r="B176" s="7" t="str">
        <f>IFERROR(__xludf.DUMMYFUNCTION("""COMPUTED_VALUE"""),"RUN-ABRM_2022-09-27_RFR-025")</f>
        <v>RUN-ABRM_2022-09-27_RFR-025</v>
      </c>
      <c r="C176" s="8">
        <f>VLOOKUP(B176,'Run Reconcile'!A$2:B3212,2,FALSE)</f>
        <v>44831</v>
      </c>
      <c r="D176" s="12">
        <f>IFERROR(__xludf.DUMMYFUNCTION("""COMPUTED_VALUE"""),44831.0)</f>
        <v>44831</v>
      </c>
      <c r="E176" s="13">
        <f>IFERROR(__xludf.DUMMYFUNCTION("""COMPUTED_VALUE"""),0.32741898148015025)</f>
        <v>0.3274189815</v>
      </c>
      <c r="F176" s="7" t="str">
        <f>IFERROR(__xludf.DUMMYFUNCTION("""COMPUTED_VALUE"""),"Negative")</f>
        <v>Negative</v>
      </c>
      <c r="G176" s="7">
        <f>IFERROR(__xludf.DUMMYFUNCTION("""COMPUTED_VALUE"""),1.0)</f>
        <v>1</v>
      </c>
    </row>
    <row r="177">
      <c r="A177" s="7" t="str">
        <f>IFERROR(__xludf.DUMMYFUNCTION("""COMPUTED_VALUE"""),"AH1430")</f>
        <v>AH1430</v>
      </c>
      <c r="B177" s="7" t="str">
        <f>IFERROR(__xludf.DUMMYFUNCTION("""COMPUTED_VALUE"""),"RUN-ABRM_2022-09-27_RFR-025")</f>
        <v>RUN-ABRM_2022-09-27_RFR-025</v>
      </c>
      <c r="C177" s="8">
        <f>VLOOKUP(B177,'Run Reconcile'!A$2:B3212,2,FALSE)</f>
        <v>44831</v>
      </c>
      <c r="D177" s="12">
        <f>IFERROR(__xludf.DUMMYFUNCTION("""COMPUTED_VALUE"""),44831.0)</f>
        <v>44831</v>
      </c>
      <c r="E177" s="13">
        <f>IFERROR(__xludf.DUMMYFUNCTION("""COMPUTED_VALUE"""),0.34729166666511446)</f>
        <v>0.3472916667</v>
      </c>
      <c r="F177" s="7" t="str">
        <f>IFERROR(__xludf.DUMMYFUNCTION("""COMPUTED_VALUE"""),"Negative")</f>
        <v>Negative</v>
      </c>
      <c r="G177" s="7">
        <f>IFERROR(__xludf.DUMMYFUNCTION("""COMPUTED_VALUE"""),3.0)</f>
        <v>3</v>
      </c>
    </row>
    <row r="178">
      <c r="A178" s="7" t="str">
        <f>IFERROR(__xludf.DUMMYFUNCTION("""COMPUTED_VALUE"""),"AJ7927")</f>
        <v>AJ7927</v>
      </c>
      <c r="B178" s="7" t="str">
        <f>IFERROR(__xludf.DUMMYFUNCTION("""COMPUTED_VALUE"""),"RUN-ABRM_2022-09-27_RFR-025")</f>
        <v>RUN-ABRM_2022-09-27_RFR-025</v>
      </c>
      <c r="C178" s="8">
        <f>VLOOKUP(B178,'Run Reconcile'!A$2:B3212,2,FALSE)</f>
        <v>44831</v>
      </c>
      <c r="D178" s="12">
        <f>IFERROR(__xludf.DUMMYFUNCTION("""COMPUTED_VALUE"""),44831.0)</f>
        <v>44831</v>
      </c>
      <c r="E178" s="13">
        <f>IFERROR(__xludf.DUMMYFUNCTION("""COMPUTED_VALUE"""),0.34805555555431056)</f>
        <v>0.3480555556</v>
      </c>
      <c r="F178" s="7" t="str">
        <f>IFERROR(__xludf.DUMMYFUNCTION("""COMPUTED_VALUE"""),"Negative")</f>
        <v>Negative</v>
      </c>
      <c r="G178" s="7">
        <f>IFERROR(__xludf.DUMMYFUNCTION("""COMPUTED_VALUE"""),4.0)</f>
        <v>4</v>
      </c>
    </row>
    <row r="179">
      <c r="A179" s="7" t="str">
        <f>IFERROR(__xludf.DUMMYFUNCTION("""COMPUTED_VALUE"""),"AH8196")</f>
        <v>AH8196</v>
      </c>
      <c r="B179" s="7" t="str">
        <f>IFERROR(__xludf.DUMMYFUNCTION("""COMPUTED_VALUE"""),"RUN-ABRM_2022-09-27_RFR-025")</f>
        <v>RUN-ABRM_2022-09-27_RFR-025</v>
      </c>
      <c r="C179" s="8">
        <f>VLOOKUP(B179,'Run Reconcile'!A$2:B3212,2,FALSE)</f>
        <v>44831</v>
      </c>
      <c r="D179" s="12">
        <f>IFERROR(__xludf.DUMMYFUNCTION("""COMPUTED_VALUE"""),44831.0)</f>
        <v>44831</v>
      </c>
      <c r="E179" s="13">
        <f>IFERROR(__xludf.DUMMYFUNCTION("""COMPUTED_VALUE"""),0.3497337962980964)</f>
        <v>0.3497337963</v>
      </c>
      <c r="F179" s="7" t="str">
        <f>IFERROR(__xludf.DUMMYFUNCTION("""COMPUTED_VALUE"""),"Negative")</f>
        <v>Negative</v>
      </c>
      <c r="G179" s="7">
        <f>IFERROR(__xludf.DUMMYFUNCTION("""COMPUTED_VALUE"""),3.0)</f>
        <v>3</v>
      </c>
    </row>
    <row r="180">
      <c r="A180" s="7" t="str">
        <f>IFERROR(__xludf.DUMMYFUNCTION("""COMPUTED_VALUE"""),"AH8825")</f>
        <v>AH8825</v>
      </c>
      <c r="B180" s="7" t="str">
        <f>IFERROR(__xludf.DUMMYFUNCTION("""COMPUTED_VALUE"""),"RUN-ABRM_2022-09-28_RFR-026")</f>
        <v>RUN-ABRM_2022-09-28_RFR-026</v>
      </c>
      <c r="C180" s="8">
        <f>VLOOKUP(B180,'Run Reconcile'!A$2:B3212,2,FALSE)</f>
        <v>44832</v>
      </c>
      <c r="D180" s="12">
        <f>IFERROR(__xludf.DUMMYFUNCTION("""COMPUTED_VALUE"""),44832.0)</f>
        <v>44832</v>
      </c>
      <c r="E180" s="13">
        <f>IFERROR(__xludf.DUMMYFUNCTION("""COMPUTED_VALUE"""),0.2202777777783922)</f>
        <v>0.2202777778</v>
      </c>
      <c r="F180" s="7" t="str">
        <f>IFERROR(__xludf.DUMMYFUNCTION("""COMPUTED_VALUE"""),"Negative")</f>
        <v>Negative</v>
      </c>
      <c r="G180" s="7">
        <f>IFERROR(__xludf.DUMMYFUNCTION("""COMPUTED_VALUE"""),3.0)</f>
        <v>3</v>
      </c>
    </row>
    <row r="181">
      <c r="A181" s="7" t="str">
        <f>IFERROR(__xludf.DUMMYFUNCTION("""COMPUTED_VALUE"""),"AJ9072")</f>
        <v>AJ9072</v>
      </c>
      <c r="B181" s="7" t="str">
        <f>IFERROR(__xludf.DUMMYFUNCTION("""COMPUTED_VALUE"""),"RUN-ABRM_2022-09-28_RFR-026")</f>
        <v>RUN-ABRM_2022-09-28_RFR-026</v>
      </c>
      <c r="C181" s="8">
        <f>VLOOKUP(B181,'Run Reconcile'!A$2:B3212,2,FALSE)</f>
        <v>44832</v>
      </c>
      <c r="D181" s="12">
        <f>IFERROR(__xludf.DUMMYFUNCTION("""COMPUTED_VALUE"""),44832.0)</f>
        <v>44832</v>
      </c>
      <c r="E181" s="13">
        <f>IFERROR(__xludf.DUMMYFUNCTION("""COMPUTED_VALUE"""),0.255231481482042)</f>
        <v>0.2552314815</v>
      </c>
      <c r="F181" s="7" t="str">
        <f>IFERROR(__xludf.DUMMYFUNCTION("""COMPUTED_VALUE"""),"Negative")</f>
        <v>Negative</v>
      </c>
      <c r="G181" s="7">
        <f>IFERROR(__xludf.DUMMYFUNCTION("""COMPUTED_VALUE"""),1.0)</f>
        <v>1</v>
      </c>
    </row>
    <row r="182">
      <c r="A182" s="7" t="str">
        <f>IFERROR(__xludf.DUMMYFUNCTION("""COMPUTED_VALUE"""),"AH7899")</f>
        <v>AH7899</v>
      </c>
      <c r="B182" s="7" t="str">
        <f>IFERROR(__xludf.DUMMYFUNCTION("""COMPUTED_VALUE"""),"RUN-ABRM_2022-09-28_RFR-026")</f>
        <v>RUN-ABRM_2022-09-28_RFR-026</v>
      </c>
      <c r="C182" s="8">
        <f>VLOOKUP(B182,'Run Reconcile'!A$2:B3212,2,FALSE)</f>
        <v>44832</v>
      </c>
      <c r="D182" s="12">
        <f>IFERROR(__xludf.DUMMYFUNCTION("""COMPUTED_VALUE"""),44832.0)</f>
        <v>44832</v>
      </c>
      <c r="E182" s="13">
        <f>IFERROR(__xludf.DUMMYFUNCTION("""COMPUTED_VALUE"""),0.2626851851855463)</f>
        <v>0.2626851852</v>
      </c>
      <c r="F182" s="7" t="str">
        <f>IFERROR(__xludf.DUMMYFUNCTION("""COMPUTED_VALUE"""),"Negative")</f>
        <v>Negative</v>
      </c>
      <c r="G182" s="7">
        <f>IFERROR(__xludf.DUMMYFUNCTION("""COMPUTED_VALUE"""),2.0)</f>
        <v>2</v>
      </c>
    </row>
    <row r="183">
      <c r="A183" s="7" t="str">
        <f>IFERROR(__xludf.DUMMYFUNCTION("""COMPUTED_VALUE"""),"AH7830")</f>
        <v>AH7830</v>
      </c>
      <c r="B183" s="7" t="str">
        <f>IFERROR(__xludf.DUMMYFUNCTION("""COMPUTED_VALUE"""),"RUN-ABRM_2022-09-28_RFR-026")</f>
        <v>RUN-ABRM_2022-09-28_RFR-026</v>
      </c>
      <c r="C183" s="8">
        <f>VLOOKUP(B183,'Run Reconcile'!A$2:B3212,2,FALSE)</f>
        <v>44832</v>
      </c>
      <c r="D183" s="12">
        <f>IFERROR(__xludf.DUMMYFUNCTION("""COMPUTED_VALUE"""),44832.0)</f>
        <v>44832</v>
      </c>
      <c r="E183" s="13">
        <f>IFERROR(__xludf.DUMMYFUNCTION("""COMPUTED_VALUE"""),0.28130787036934635)</f>
        <v>0.2813078704</v>
      </c>
      <c r="F183" s="7" t="str">
        <f>IFERROR(__xludf.DUMMYFUNCTION("""COMPUTED_VALUE"""),"Negative")</f>
        <v>Negative</v>
      </c>
      <c r="G183" s="7">
        <f>IFERROR(__xludf.DUMMYFUNCTION("""COMPUTED_VALUE"""),3.0)</f>
        <v>3</v>
      </c>
    </row>
    <row r="184">
      <c r="A184" s="7" t="str">
        <f>IFERROR(__xludf.DUMMYFUNCTION("""COMPUTED_VALUE"""),"AG1194")</f>
        <v>AG1194</v>
      </c>
      <c r="B184" s="7" t="str">
        <f>IFERROR(__xludf.DUMMYFUNCTION("""COMPUTED_VALUE"""),"RUN-ABRM_2022-09-28_RFR-026")</f>
        <v>RUN-ABRM_2022-09-28_RFR-026</v>
      </c>
      <c r="C184" s="8">
        <f>VLOOKUP(B184,'Run Reconcile'!A$2:B3212,2,FALSE)</f>
        <v>44832</v>
      </c>
      <c r="D184" s="12">
        <f>IFERROR(__xludf.DUMMYFUNCTION("""COMPUTED_VALUE"""),44832.0)</f>
        <v>44832</v>
      </c>
      <c r="E184" s="13">
        <f>IFERROR(__xludf.DUMMYFUNCTION("""COMPUTED_VALUE"""),0.29533564814846613)</f>
        <v>0.2953356481</v>
      </c>
      <c r="F184" s="7" t="str">
        <f>IFERROR(__xludf.DUMMYFUNCTION("""COMPUTED_VALUE"""),"Negative")</f>
        <v>Negative</v>
      </c>
      <c r="G184" s="7">
        <f>IFERROR(__xludf.DUMMYFUNCTION("""COMPUTED_VALUE"""),1.0)</f>
        <v>1</v>
      </c>
    </row>
    <row r="185">
      <c r="A185" s="7" t="str">
        <f>IFERROR(__xludf.DUMMYFUNCTION("""COMPUTED_VALUE"""),"AH6953")</f>
        <v>AH6953</v>
      </c>
      <c r="B185" s="7" t="str">
        <f>IFERROR(__xludf.DUMMYFUNCTION("""COMPUTED_VALUE"""),"RUN-ABRM_2022-09-28_RFR-026")</f>
        <v>RUN-ABRM_2022-09-28_RFR-026</v>
      </c>
      <c r="C185" s="8">
        <f>VLOOKUP(B185,'Run Reconcile'!A$2:B3212,2,FALSE)</f>
        <v>44832</v>
      </c>
      <c r="D185" s="12">
        <f>IFERROR(__xludf.DUMMYFUNCTION("""COMPUTED_VALUE"""),44832.0)</f>
        <v>44832</v>
      </c>
      <c r="E185" s="13">
        <f>IFERROR(__xludf.DUMMYFUNCTION("""COMPUTED_VALUE"""),0.3026273148134351)</f>
        <v>0.3026273148</v>
      </c>
      <c r="F185" s="7" t="str">
        <f>IFERROR(__xludf.DUMMYFUNCTION("""COMPUTED_VALUE"""),"Negative")</f>
        <v>Negative</v>
      </c>
      <c r="G185" s="7">
        <f>IFERROR(__xludf.DUMMYFUNCTION("""COMPUTED_VALUE"""),2.0)</f>
        <v>2</v>
      </c>
    </row>
    <row r="186">
      <c r="A186" s="7" t="str">
        <f>IFERROR(__xludf.DUMMYFUNCTION("""COMPUTED_VALUE"""),"AG1099")</f>
        <v>AG1099</v>
      </c>
      <c r="B186" s="7" t="str">
        <f>IFERROR(__xludf.DUMMYFUNCTION("""COMPUTED_VALUE"""),"RUN-ABRM_2022-09-28_RFR-026")</f>
        <v>RUN-ABRM_2022-09-28_RFR-026</v>
      </c>
      <c r="C186" s="8">
        <f>VLOOKUP(B186,'Run Reconcile'!A$2:B3212,2,FALSE)</f>
        <v>44832</v>
      </c>
      <c r="D186" s="12">
        <f>IFERROR(__xludf.DUMMYFUNCTION("""COMPUTED_VALUE"""),44832.0)</f>
        <v>44832</v>
      </c>
      <c r="E186" s="13">
        <f>IFERROR(__xludf.DUMMYFUNCTION("""COMPUTED_VALUE"""),0.30292824074058444)</f>
        <v>0.3029282407</v>
      </c>
      <c r="F186" s="7" t="str">
        <f>IFERROR(__xludf.DUMMYFUNCTION("""COMPUTED_VALUE"""),"Negative")</f>
        <v>Negative</v>
      </c>
      <c r="G186" s="7">
        <f>IFERROR(__xludf.DUMMYFUNCTION("""COMPUTED_VALUE"""),3.0)</f>
        <v>3</v>
      </c>
    </row>
    <row r="187">
      <c r="A187" s="7" t="str">
        <f>IFERROR(__xludf.DUMMYFUNCTION("""COMPUTED_VALUE"""),"AG2099")</f>
        <v>AG2099</v>
      </c>
      <c r="B187" s="7" t="str">
        <f>IFERROR(__xludf.DUMMYFUNCTION("""COMPUTED_VALUE"""),"RUN-ABRM_2022-09-28_RFR-026")</f>
        <v>RUN-ABRM_2022-09-28_RFR-026</v>
      </c>
      <c r="C187" s="8">
        <f>VLOOKUP(B187,'Run Reconcile'!A$2:B3212,2,FALSE)</f>
        <v>44832</v>
      </c>
      <c r="D187" s="12">
        <f>IFERROR(__xludf.DUMMYFUNCTION("""COMPUTED_VALUE"""),44832.0)</f>
        <v>44832</v>
      </c>
      <c r="E187" s="13">
        <f>IFERROR(__xludf.DUMMYFUNCTION("""COMPUTED_VALUE"""),0.30583333333197515)</f>
        <v>0.3058333333</v>
      </c>
      <c r="F187" s="7" t="str">
        <f>IFERROR(__xludf.DUMMYFUNCTION("""COMPUTED_VALUE"""),"Negative")</f>
        <v>Negative</v>
      </c>
      <c r="G187" s="7">
        <f>IFERROR(__xludf.DUMMYFUNCTION("""COMPUTED_VALUE"""),3.0)</f>
        <v>3</v>
      </c>
    </row>
    <row r="188">
      <c r="A188" s="7" t="str">
        <f>IFERROR(__xludf.DUMMYFUNCTION("""COMPUTED_VALUE"""),"AH8652")</f>
        <v>AH8652</v>
      </c>
      <c r="B188" s="7" t="str">
        <f>IFERROR(__xludf.DUMMYFUNCTION("""COMPUTED_VALUE"""),"RUN-ABRM_2022-09-28_RFR-026")</f>
        <v>RUN-ABRM_2022-09-28_RFR-026</v>
      </c>
      <c r="C188" s="8">
        <f>VLOOKUP(B188,'Run Reconcile'!A$2:B3212,2,FALSE)</f>
        <v>44832</v>
      </c>
      <c r="D188" s="12">
        <f>IFERROR(__xludf.DUMMYFUNCTION("""COMPUTED_VALUE"""),44832.0)</f>
        <v>44832</v>
      </c>
      <c r="E188" s="13">
        <f>IFERROR(__xludf.DUMMYFUNCTION("""COMPUTED_VALUE"""),0.32247685185211594)</f>
        <v>0.3224768519</v>
      </c>
      <c r="F188" s="7" t="str">
        <f>IFERROR(__xludf.DUMMYFUNCTION("""COMPUTED_VALUE"""),"Negative")</f>
        <v>Negative</v>
      </c>
      <c r="G188" s="7">
        <f>IFERROR(__xludf.DUMMYFUNCTION("""COMPUTED_VALUE"""),2.0)</f>
        <v>2</v>
      </c>
    </row>
    <row r="189">
      <c r="A189" s="7" t="str">
        <f>IFERROR(__xludf.DUMMYFUNCTION("""COMPUTED_VALUE"""),"AG568")</f>
        <v>AG568</v>
      </c>
      <c r="B189" s="7" t="str">
        <f>IFERROR(__xludf.DUMMYFUNCTION("""COMPUTED_VALUE"""),"RUN-ABRM_2022-09-28_RFR-026")</f>
        <v>RUN-ABRM_2022-09-28_RFR-026</v>
      </c>
      <c r="C189" s="8">
        <f>VLOOKUP(B189,'Run Reconcile'!A$2:B3212,2,FALSE)</f>
        <v>44832</v>
      </c>
      <c r="D189" s="12">
        <f>IFERROR(__xludf.DUMMYFUNCTION("""COMPUTED_VALUE"""),44832.0)</f>
        <v>44832</v>
      </c>
      <c r="E189" s="13">
        <f>IFERROR(__xludf.DUMMYFUNCTION("""COMPUTED_VALUE"""),0.33049768518685596)</f>
        <v>0.3304976852</v>
      </c>
      <c r="F189" s="7" t="str">
        <f>IFERROR(__xludf.DUMMYFUNCTION("""COMPUTED_VALUE"""),"Negative")</f>
        <v>Negative</v>
      </c>
      <c r="G189" s="7">
        <f>IFERROR(__xludf.DUMMYFUNCTION("""COMPUTED_VALUE"""),3.0)</f>
        <v>3</v>
      </c>
    </row>
    <row r="190">
      <c r="A190" s="7" t="str">
        <f>IFERROR(__xludf.DUMMYFUNCTION("""COMPUTED_VALUE"""),"AG584")</f>
        <v>AG584</v>
      </c>
      <c r="B190" s="7" t="str">
        <f>IFERROR(__xludf.DUMMYFUNCTION("""COMPUTED_VALUE"""),"RUN-ABRM_2022-09-28_RFR-026")</f>
        <v>RUN-ABRM_2022-09-28_RFR-026</v>
      </c>
      <c r="C190" s="8">
        <f>VLOOKUP(B190,'Run Reconcile'!A$2:B3212,2,FALSE)</f>
        <v>44832</v>
      </c>
      <c r="D190" s="12">
        <f>IFERROR(__xludf.DUMMYFUNCTION("""COMPUTED_VALUE"""),44832.0)</f>
        <v>44832</v>
      </c>
      <c r="E190" s="13">
        <f>IFERROR(__xludf.DUMMYFUNCTION("""COMPUTED_VALUE"""),0.330706018517958)</f>
        <v>0.3307060185</v>
      </c>
      <c r="F190" s="7" t="str">
        <f>IFERROR(__xludf.DUMMYFUNCTION("""COMPUTED_VALUE"""),"Negative")</f>
        <v>Negative</v>
      </c>
      <c r="G190" s="7">
        <f>IFERROR(__xludf.DUMMYFUNCTION("""COMPUTED_VALUE"""),1.0)</f>
        <v>1</v>
      </c>
    </row>
    <row r="191">
      <c r="A191" s="7" t="str">
        <f>IFERROR(__xludf.DUMMYFUNCTION("""COMPUTED_VALUE"""),"AH7935")</f>
        <v>AH7935</v>
      </c>
      <c r="B191" s="7" t="str">
        <f>IFERROR(__xludf.DUMMYFUNCTION("""COMPUTED_VALUE"""),"RUN-ABRM_2022-09-28_RFR-026")</f>
        <v>RUN-ABRM_2022-09-28_RFR-026</v>
      </c>
      <c r="C191" s="8">
        <f>VLOOKUP(B191,'Run Reconcile'!A$2:B3212,2,FALSE)</f>
        <v>44832</v>
      </c>
      <c r="D191" s="12">
        <f>IFERROR(__xludf.DUMMYFUNCTION("""COMPUTED_VALUE"""),44832.0)</f>
        <v>44832</v>
      </c>
      <c r="E191" s="13">
        <f>IFERROR(__xludf.DUMMYFUNCTION("""COMPUTED_VALUE"""),0.341307870370656)</f>
        <v>0.3413078704</v>
      </c>
      <c r="F191" s="7" t="str">
        <f>IFERROR(__xludf.DUMMYFUNCTION("""COMPUTED_VALUE"""),"Negative")</f>
        <v>Negative</v>
      </c>
      <c r="G191" s="7">
        <f>IFERROR(__xludf.DUMMYFUNCTION("""COMPUTED_VALUE"""),4.0)</f>
        <v>4</v>
      </c>
    </row>
    <row r="192">
      <c r="A192" s="7" t="str">
        <f>IFERROR(__xludf.DUMMYFUNCTION("""COMPUTED_VALUE"""),"AG1626")</f>
        <v>AG1626</v>
      </c>
      <c r="B192" s="7" t="str">
        <f>IFERROR(__xludf.DUMMYFUNCTION("""COMPUTED_VALUE"""),"RUN-ABRM_2022-09-29_RFR-028")</f>
        <v>RUN-ABRM_2022-09-29_RFR-028</v>
      </c>
      <c r="C192" s="8">
        <f>VLOOKUP(B192,'Run Reconcile'!A$2:B3212,2,FALSE)</f>
        <v>44833</v>
      </c>
      <c r="D192" s="12">
        <f>IFERROR(__xludf.DUMMYFUNCTION("""COMPUTED_VALUE"""),44833.0)</f>
        <v>44833</v>
      </c>
      <c r="E192" s="13">
        <f>IFERROR(__xludf.DUMMYFUNCTION("""COMPUTED_VALUE"""),0.23843750000014552)</f>
        <v>0.2384375</v>
      </c>
      <c r="F192" s="7" t="str">
        <f>IFERROR(__xludf.DUMMYFUNCTION("""COMPUTED_VALUE"""),"Negative")</f>
        <v>Negative</v>
      </c>
      <c r="G192" s="7">
        <f>IFERROR(__xludf.DUMMYFUNCTION("""COMPUTED_VALUE"""),3.0)</f>
        <v>3</v>
      </c>
    </row>
    <row r="193">
      <c r="A193" s="7" t="str">
        <f>IFERROR(__xludf.DUMMYFUNCTION("""COMPUTED_VALUE"""),"AG1681")</f>
        <v>AG1681</v>
      </c>
      <c r="B193" s="7" t="str">
        <f>IFERROR(__xludf.DUMMYFUNCTION("""COMPUTED_VALUE"""),"RUN-ABRM_2022-09-29_RFR-028")</f>
        <v>RUN-ABRM_2022-09-29_RFR-028</v>
      </c>
      <c r="C193" s="8">
        <f>VLOOKUP(B193,'Run Reconcile'!A$2:B3212,2,FALSE)</f>
        <v>44833</v>
      </c>
      <c r="D193" s="12">
        <f>IFERROR(__xludf.DUMMYFUNCTION("""COMPUTED_VALUE"""),44833.0)</f>
        <v>44833</v>
      </c>
      <c r="E193" s="13">
        <f>IFERROR(__xludf.DUMMYFUNCTION("""COMPUTED_VALUE"""),0.2385185185194132)</f>
        <v>0.2385185185</v>
      </c>
      <c r="F193" s="7" t="str">
        <f>IFERROR(__xludf.DUMMYFUNCTION("""COMPUTED_VALUE"""),"Negative")</f>
        <v>Negative</v>
      </c>
      <c r="G193" s="7">
        <f>IFERROR(__xludf.DUMMYFUNCTION("""COMPUTED_VALUE"""),2.0)</f>
        <v>2</v>
      </c>
    </row>
    <row r="194">
      <c r="A194" s="7" t="str">
        <f>IFERROR(__xludf.DUMMYFUNCTION("""COMPUTED_VALUE"""),"AG405")</f>
        <v>AG405</v>
      </c>
      <c r="B194" s="7" t="str">
        <f>IFERROR(__xludf.DUMMYFUNCTION("""COMPUTED_VALUE"""),"RUN-ABRM_2022-09-29_RFR-028")</f>
        <v>RUN-ABRM_2022-09-29_RFR-028</v>
      </c>
      <c r="C194" s="8">
        <f>VLOOKUP(B194,'Run Reconcile'!A$2:B3212,2,FALSE)</f>
        <v>44833</v>
      </c>
      <c r="D194" s="12">
        <f>IFERROR(__xludf.DUMMYFUNCTION("""COMPUTED_VALUE"""),44833.0)</f>
        <v>44833</v>
      </c>
      <c r="E194" s="13">
        <f>IFERROR(__xludf.DUMMYFUNCTION("""COMPUTED_VALUE"""),0.25493055555489263)</f>
        <v>0.2549305556</v>
      </c>
      <c r="F194" s="7" t="str">
        <f>IFERROR(__xludf.DUMMYFUNCTION("""COMPUTED_VALUE"""),"Negative")</f>
        <v>Negative</v>
      </c>
      <c r="G194" s="7">
        <f>IFERROR(__xludf.DUMMYFUNCTION("""COMPUTED_VALUE"""),3.0)</f>
        <v>3</v>
      </c>
    </row>
    <row r="195">
      <c r="A195" s="7" t="str">
        <f>IFERROR(__xludf.DUMMYFUNCTION("""COMPUTED_VALUE"""),"AG1706")</f>
        <v>AG1706</v>
      </c>
      <c r="B195" s="7" t="str">
        <f>IFERROR(__xludf.DUMMYFUNCTION("""COMPUTED_VALUE"""),"RUN-ABRM_2022-09-29_RFR-028")</f>
        <v>RUN-ABRM_2022-09-29_RFR-028</v>
      </c>
      <c r="C195" s="8">
        <f>VLOOKUP(B195,'Run Reconcile'!A$2:B3212,2,FALSE)</f>
        <v>44833</v>
      </c>
      <c r="D195" s="12">
        <f>IFERROR(__xludf.DUMMYFUNCTION("""COMPUTED_VALUE"""),44833.0)</f>
        <v>44833</v>
      </c>
      <c r="E195" s="13">
        <f>IFERROR(__xludf.DUMMYFUNCTION("""COMPUTED_VALUE"""),0.2610879629646661)</f>
        <v>0.261087963</v>
      </c>
      <c r="F195" s="7" t="str">
        <f>IFERROR(__xludf.DUMMYFUNCTION("""COMPUTED_VALUE"""),"Negative")</f>
        <v>Negative</v>
      </c>
      <c r="G195" s="7">
        <f>IFERROR(__xludf.DUMMYFUNCTION("""COMPUTED_VALUE"""),1.0)</f>
        <v>1</v>
      </c>
    </row>
    <row r="196">
      <c r="A196" s="7" t="str">
        <f>IFERROR(__xludf.DUMMYFUNCTION("""COMPUTED_VALUE"""),"AH7948")</f>
        <v>AH7948</v>
      </c>
      <c r="B196" s="7" t="str">
        <f>IFERROR(__xludf.DUMMYFUNCTION("""COMPUTED_VALUE"""),"RUN-ABRM_2022-09-29_RFR-028")</f>
        <v>RUN-ABRM_2022-09-29_RFR-028</v>
      </c>
      <c r="C196" s="8">
        <f>VLOOKUP(B196,'Run Reconcile'!A$2:B3212,2,FALSE)</f>
        <v>44833</v>
      </c>
      <c r="D196" s="12">
        <f>IFERROR(__xludf.DUMMYFUNCTION("""COMPUTED_VALUE"""),44833.0)</f>
        <v>44833</v>
      </c>
      <c r="E196" s="13">
        <f>IFERROR(__xludf.DUMMYFUNCTION("""COMPUTED_VALUE"""),0.29133101851766696)</f>
        <v>0.2913310185</v>
      </c>
      <c r="F196" s="7" t="str">
        <f>IFERROR(__xludf.DUMMYFUNCTION("""COMPUTED_VALUE"""),"Negative")</f>
        <v>Negative</v>
      </c>
      <c r="G196" s="7">
        <f>IFERROR(__xludf.DUMMYFUNCTION("""COMPUTED_VALUE"""),3.0)</f>
        <v>3</v>
      </c>
    </row>
    <row r="197">
      <c r="A197" s="7" t="str">
        <f>IFERROR(__xludf.DUMMYFUNCTION("""COMPUTED_VALUE"""),"AH9858")</f>
        <v>AH9858</v>
      </c>
      <c r="B197" s="7" t="str">
        <f>IFERROR(__xludf.DUMMYFUNCTION("""COMPUTED_VALUE"""),"RUN-ABRM_2022-09-29_RFR-028")</f>
        <v>RUN-ABRM_2022-09-29_RFR-028</v>
      </c>
      <c r="C197" s="8">
        <f>VLOOKUP(B197,'Run Reconcile'!A$2:B3212,2,FALSE)</f>
        <v>44833</v>
      </c>
      <c r="D197" s="12">
        <f>IFERROR(__xludf.DUMMYFUNCTION("""COMPUTED_VALUE"""),44833.0)</f>
        <v>44833</v>
      </c>
      <c r="E197" s="13">
        <f>IFERROR(__xludf.DUMMYFUNCTION("""COMPUTED_VALUE"""),0.29158564814861165)</f>
        <v>0.2915856481</v>
      </c>
      <c r="F197" s="7" t="str">
        <f>IFERROR(__xludf.DUMMYFUNCTION("""COMPUTED_VALUE"""),"Negative")</f>
        <v>Negative</v>
      </c>
      <c r="G197" s="7">
        <f>IFERROR(__xludf.DUMMYFUNCTION("""COMPUTED_VALUE"""),2.0)</f>
        <v>2</v>
      </c>
    </row>
    <row r="198">
      <c r="A198" s="7" t="str">
        <f>IFERROR(__xludf.DUMMYFUNCTION("""COMPUTED_VALUE"""),"AH9755")</f>
        <v>AH9755</v>
      </c>
      <c r="B198" s="7" t="str">
        <f>IFERROR(__xludf.DUMMYFUNCTION("""COMPUTED_VALUE"""),"RUN-ABRM_2022-09-29_RFR-028")</f>
        <v>RUN-ABRM_2022-09-29_RFR-028</v>
      </c>
      <c r="C198" s="8">
        <f>VLOOKUP(B198,'Run Reconcile'!A$2:B3212,2,FALSE)</f>
        <v>44833</v>
      </c>
      <c r="D198" s="12">
        <f>IFERROR(__xludf.DUMMYFUNCTION("""COMPUTED_VALUE"""),44833.0)</f>
        <v>44833</v>
      </c>
      <c r="E198" s="13">
        <f>IFERROR(__xludf.DUMMYFUNCTION("""COMPUTED_VALUE"""),0.2935763888890506)</f>
        <v>0.2935763889</v>
      </c>
      <c r="F198" s="7" t="str">
        <f>IFERROR(__xludf.DUMMYFUNCTION("""COMPUTED_VALUE"""),"Negative")</f>
        <v>Negative</v>
      </c>
      <c r="G198" s="7">
        <f>IFERROR(__xludf.DUMMYFUNCTION("""COMPUTED_VALUE"""),2.0)</f>
        <v>2</v>
      </c>
    </row>
    <row r="199">
      <c r="A199" s="7" t="str">
        <f>IFERROR(__xludf.DUMMYFUNCTION("""COMPUTED_VALUE"""),"AG1253")</f>
        <v>AG1253</v>
      </c>
      <c r="B199" s="7" t="str">
        <f>IFERROR(__xludf.DUMMYFUNCTION("""COMPUTED_VALUE"""),"RUN-ABRM_2022-09-29_RFR-028")</f>
        <v>RUN-ABRM_2022-09-29_RFR-028</v>
      </c>
      <c r="C199" s="8">
        <f>VLOOKUP(B199,'Run Reconcile'!A$2:B3212,2,FALSE)</f>
        <v>44833</v>
      </c>
      <c r="D199" s="12">
        <f>IFERROR(__xludf.DUMMYFUNCTION("""COMPUTED_VALUE"""),44833.0)</f>
        <v>44833</v>
      </c>
      <c r="E199" s="13">
        <f>IFERROR(__xludf.DUMMYFUNCTION("""COMPUTED_VALUE"""),0.2961805555569299)</f>
        <v>0.2961805556</v>
      </c>
      <c r="F199" s="7" t="str">
        <f>IFERROR(__xludf.DUMMYFUNCTION("""COMPUTED_VALUE"""),"Negative")</f>
        <v>Negative</v>
      </c>
      <c r="G199" s="7">
        <f>IFERROR(__xludf.DUMMYFUNCTION("""COMPUTED_VALUE"""),3.0)</f>
        <v>3</v>
      </c>
    </row>
    <row r="200">
      <c r="A200" s="7" t="str">
        <f>IFERROR(__xludf.DUMMYFUNCTION("""COMPUTED_VALUE"""),"AG1757")</f>
        <v>AG1757</v>
      </c>
      <c r="B200" s="7" t="str">
        <f>IFERROR(__xludf.DUMMYFUNCTION("""COMPUTED_VALUE"""),"RUN-ABRM_2022-09-29_RFR-028")</f>
        <v>RUN-ABRM_2022-09-29_RFR-028</v>
      </c>
      <c r="C200" s="8">
        <f>VLOOKUP(B200,'Run Reconcile'!A$2:B3212,2,FALSE)</f>
        <v>44833</v>
      </c>
      <c r="D200" s="12">
        <f>IFERROR(__xludf.DUMMYFUNCTION("""COMPUTED_VALUE"""),44833.0)</f>
        <v>44833</v>
      </c>
      <c r="E200" s="13">
        <f>IFERROR(__xludf.DUMMYFUNCTION("""COMPUTED_VALUE"""),0.3052662037043774)</f>
        <v>0.3052662037</v>
      </c>
      <c r="F200" s="7" t="str">
        <f>IFERROR(__xludf.DUMMYFUNCTION("""COMPUTED_VALUE"""),"Negative")</f>
        <v>Negative</v>
      </c>
      <c r="G200" s="7">
        <f>IFERROR(__xludf.DUMMYFUNCTION("""COMPUTED_VALUE"""),3.0)</f>
        <v>3</v>
      </c>
    </row>
    <row r="201">
      <c r="A201" s="7" t="str">
        <f>IFERROR(__xludf.DUMMYFUNCTION("""COMPUTED_VALUE"""),"AG1619")</f>
        <v>AG1619</v>
      </c>
      <c r="B201" s="7" t="str">
        <f>IFERROR(__xludf.DUMMYFUNCTION("""COMPUTED_VALUE"""),"RUN-ABRM_2022-09-29_RFR-028")</f>
        <v>RUN-ABRM_2022-09-29_RFR-028</v>
      </c>
      <c r="C201" s="8">
        <f>VLOOKUP(B201,'Run Reconcile'!A$2:B3212,2,FALSE)</f>
        <v>44833</v>
      </c>
      <c r="D201" s="12">
        <f>IFERROR(__xludf.DUMMYFUNCTION("""COMPUTED_VALUE"""),44833.0)</f>
        <v>44833</v>
      </c>
      <c r="E201" s="13">
        <f>IFERROR(__xludf.DUMMYFUNCTION("""COMPUTED_VALUE"""),0.31673611111182254)</f>
        <v>0.3167361111</v>
      </c>
      <c r="F201" s="7" t="str">
        <f>IFERROR(__xludf.DUMMYFUNCTION("""COMPUTED_VALUE"""),"Negative")</f>
        <v>Negative</v>
      </c>
      <c r="G201" s="7">
        <f>IFERROR(__xludf.DUMMYFUNCTION("""COMPUTED_VALUE"""),2.0)</f>
        <v>2</v>
      </c>
    </row>
    <row r="202">
      <c r="A202" s="7" t="str">
        <f>IFERROR(__xludf.DUMMYFUNCTION("""COMPUTED_VALUE"""),"AG1803")</f>
        <v>AG1803</v>
      </c>
      <c r="B202" s="7" t="str">
        <f>IFERROR(__xludf.DUMMYFUNCTION("""COMPUTED_VALUE"""),"RUN-ABRM_2022-09-29_RFR-028")</f>
        <v>RUN-ABRM_2022-09-29_RFR-028</v>
      </c>
      <c r="C202" s="8">
        <f>VLOOKUP(B202,'Run Reconcile'!A$2:B3212,2,FALSE)</f>
        <v>44833</v>
      </c>
      <c r="D202" s="12">
        <f>IFERROR(__xludf.DUMMYFUNCTION("""COMPUTED_VALUE"""),44833.0)</f>
        <v>44833</v>
      </c>
      <c r="E202" s="13">
        <f>IFERROR(__xludf.DUMMYFUNCTION("""COMPUTED_VALUE"""),0.3167824074080272)</f>
        <v>0.3167824074</v>
      </c>
      <c r="F202" s="7" t="str">
        <f>IFERROR(__xludf.DUMMYFUNCTION("""COMPUTED_VALUE"""),"Negative")</f>
        <v>Negative</v>
      </c>
      <c r="G202" s="7">
        <f>IFERROR(__xludf.DUMMYFUNCTION("""COMPUTED_VALUE"""),3.0)</f>
        <v>3</v>
      </c>
    </row>
    <row r="203">
      <c r="A203" s="7" t="str">
        <f>IFERROR(__xludf.DUMMYFUNCTION("""COMPUTED_VALUE"""),"AH8880")</f>
        <v>AH8880</v>
      </c>
      <c r="B203" s="7" t="str">
        <f>IFERROR(__xludf.DUMMYFUNCTION("""COMPUTED_VALUE"""),"RUN-ABRM_2022-09-29_RFR-028")</f>
        <v>RUN-ABRM_2022-09-29_RFR-028</v>
      </c>
      <c r="C203" s="8">
        <f>VLOOKUP(B203,'Run Reconcile'!A$2:B3212,2,FALSE)</f>
        <v>44833</v>
      </c>
      <c r="D203" s="12">
        <f>IFERROR(__xludf.DUMMYFUNCTION("""COMPUTED_VALUE"""),44833.0)</f>
        <v>44833</v>
      </c>
      <c r="E203" s="13">
        <f>IFERROR(__xludf.DUMMYFUNCTION("""COMPUTED_VALUE"""),0.3292824074087548)</f>
        <v>0.3292824074</v>
      </c>
      <c r="F203" s="7" t="str">
        <f>IFERROR(__xludf.DUMMYFUNCTION("""COMPUTED_VALUE"""),"Negative")</f>
        <v>Negative</v>
      </c>
      <c r="G203" s="7">
        <f>IFERROR(__xludf.DUMMYFUNCTION("""COMPUTED_VALUE"""),1.0)</f>
        <v>1</v>
      </c>
    </row>
    <row r="204">
      <c r="A204" s="7" t="str">
        <f>IFERROR(__xludf.DUMMYFUNCTION("""COMPUTED_VALUE"""),"AG461")</f>
        <v>AG461</v>
      </c>
      <c r="B204" s="7" t="str">
        <f>IFERROR(__xludf.DUMMYFUNCTION("""COMPUTED_VALUE"""),"RUN-ABRM_2022-09-29_RFR-028")</f>
        <v>RUN-ABRM_2022-09-29_RFR-028</v>
      </c>
      <c r="C204" s="8">
        <f>VLOOKUP(B204,'Run Reconcile'!A$2:B3212,2,FALSE)</f>
        <v>44833</v>
      </c>
      <c r="D204" s="12">
        <f>IFERROR(__xludf.DUMMYFUNCTION("""COMPUTED_VALUE"""),44833.0)</f>
        <v>44833</v>
      </c>
      <c r="E204" s="13">
        <f>IFERROR(__xludf.DUMMYFUNCTION("""COMPUTED_VALUE"""),0.3374537037052505)</f>
        <v>0.3374537037</v>
      </c>
      <c r="F204" s="7" t="str">
        <f>IFERROR(__xludf.DUMMYFUNCTION("""COMPUTED_VALUE"""),"Negative")</f>
        <v>Negative</v>
      </c>
      <c r="G204" s="7">
        <f>IFERROR(__xludf.DUMMYFUNCTION("""COMPUTED_VALUE"""),4.0)</f>
        <v>4</v>
      </c>
    </row>
    <row r="205">
      <c r="A205" s="7" t="str">
        <f>IFERROR(__xludf.DUMMYFUNCTION("""COMPUTED_VALUE"""),"AG2205")</f>
        <v>AG2205</v>
      </c>
      <c r="B205" s="7" t="str">
        <f>IFERROR(__xludf.DUMMYFUNCTION("""COMPUTED_VALUE"""),"RUN-ABRM_2022-09-30_RFR-030")</f>
        <v>RUN-ABRM_2022-09-30_RFR-030</v>
      </c>
      <c r="C205" s="8">
        <f>VLOOKUP(B205,'Run Reconcile'!A$2:B3212,2,FALSE)</f>
        <v>44834</v>
      </c>
      <c r="D205" s="12">
        <f>IFERROR(__xludf.DUMMYFUNCTION("""COMPUTED_VALUE"""),44834.0)</f>
        <v>44834</v>
      </c>
      <c r="E205" s="13">
        <f>IFERROR(__xludf.DUMMYFUNCTION("""COMPUTED_VALUE"""),0.20560185185240698)</f>
        <v>0.2056018519</v>
      </c>
      <c r="F205" s="7" t="str">
        <f>IFERROR(__xludf.DUMMYFUNCTION("""COMPUTED_VALUE"""),"Negative")</f>
        <v>Negative</v>
      </c>
      <c r="G205" s="7">
        <f>IFERROR(__xludf.DUMMYFUNCTION("""COMPUTED_VALUE"""),2.0)</f>
        <v>2</v>
      </c>
    </row>
    <row r="206">
      <c r="A206" s="7" t="str">
        <f>IFERROR(__xludf.DUMMYFUNCTION("""COMPUTED_VALUE"""),"AG451")</f>
        <v>AG451</v>
      </c>
      <c r="B206" s="7" t="str">
        <f>IFERROR(__xludf.DUMMYFUNCTION("""COMPUTED_VALUE"""),"RUN-ABRM_2022-09-30_RFR-030")</f>
        <v>RUN-ABRM_2022-09-30_RFR-030</v>
      </c>
      <c r="C206" s="8">
        <f>VLOOKUP(B206,'Run Reconcile'!A$2:B3212,2,FALSE)</f>
        <v>44834</v>
      </c>
      <c r="D206" s="12">
        <f>IFERROR(__xludf.DUMMYFUNCTION("""COMPUTED_VALUE"""),44834.0)</f>
        <v>44834</v>
      </c>
      <c r="E206" s="13">
        <f>IFERROR(__xludf.DUMMYFUNCTION("""COMPUTED_VALUE"""),0.2431365740740148)</f>
        <v>0.2431365741</v>
      </c>
      <c r="F206" s="7" t="str">
        <f>IFERROR(__xludf.DUMMYFUNCTION("""COMPUTED_VALUE"""),"Negative")</f>
        <v>Negative</v>
      </c>
      <c r="G206" s="7">
        <f>IFERROR(__xludf.DUMMYFUNCTION("""COMPUTED_VALUE"""),1.0)</f>
        <v>1</v>
      </c>
    </row>
    <row r="207">
      <c r="A207" s="7" t="str">
        <f>IFERROR(__xludf.DUMMYFUNCTION("""COMPUTED_VALUE"""),"AG1503")</f>
        <v>AG1503</v>
      </c>
      <c r="B207" s="7" t="str">
        <f>IFERROR(__xludf.DUMMYFUNCTION("""COMPUTED_VALUE"""),"RUN-ABRM_2022-09-30_RFR-030")</f>
        <v>RUN-ABRM_2022-09-30_RFR-030</v>
      </c>
      <c r="C207" s="8">
        <f>VLOOKUP(B207,'Run Reconcile'!A$2:B3212,2,FALSE)</f>
        <v>44834</v>
      </c>
      <c r="D207" s="12">
        <f>IFERROR(__xludf.DUMMYFUNCTION("""COMPUTED_VALUE"""),44834.0)</f>
        <v>44834</v>
      </c>
      <c r="E207" s="13">
        <f>IFERROR(__xludf.DUMMYFUNCTION("""COMPUTED_VALUE"""),0.27131944444408873)</f>
        <v>0.2713194444</v>
      </c>
      <c r="F207" s="7" t="str">
        <f>IFERROR(__xludf.DUMMYFUNCTION("""COMPUTED_VALUE"""),"Negative")</f>
        <v>Negative</v>
      </c>
      <c r="G207" s="7">
        <f>IFERROR(__xludf.DUMMYFUNCTION("""COMPUTED_VALUE"""),3.0)</f>
        <v>3</v>
      </c>
    </row>
    <row r="208">
      <c r="A208" s="7" t="str">
        <f>IFERROR(__xludf.DUMMYFUNCTION("""COMPUTED_VALUE"""),"AH7824")</f>
        <v>AH7824</v>
      </c>
      <c r="B208" s="7" t="str">
        <f>IFERROR(__xludf.DUMMYFUNCTION("""COMPUTED_VALUE"""),"RUN-ABRM_2022-09-30_RFR-030")</f>
        <v>RUN-ABRM_2022-09-30_RFR-030</v>
      </c>
      <c r="C208" s="8">
        <f>VLOOKUP(B208,'Run Reconcile'!A$2:B3212,2,FALSE)</f>
        <v>44834</v>
      </c>
      <c r="D208" s="12">
        <f>IFERROR(__xludf.DUMMYFUNCTION("""COMPUTED_VALUE"""),44834.0)</f>
        <v>44834</v>
      </c>
      <c r="E208" s="13">
        <f>IFERROR(__xludf.DUMMYFUNCTION("""COMPUTED_VALUE"""),0.2910185185173759)</f>
        <v>0.2910185185</v>
      </c>
      <c r="F208" s="7" t="str">
        <f>IFERROR(__xludf.DUMMYFUNCTION("""COMPUTED_VALUE"""),"Negative")</f>
        <v>Negative</v>
      </c>
      <c r="G208" s="7">
        <f>IFERROR(__xludf.DUMMYFUNCTION("""COMPUTED_VALUE"""),3.0)</f>
        <v>3</v>
      </c>
    </row>
    <row r="209">
      <c r="A209" s="7" t="str">
        <f>IFERROR(__xludf.DUMMYFUNCTION("""COMPUTED_VALUE"""),"AJ9299")</f>
        <v>AJ9299</v>
      </c>
      <c r="B209" s="7" t="str">
        <f>IFERROR(__xludf.DUMMYFUNCTION("""COMPUTED_VALUE"""),"RUN-ABRM_2022-09-30_RFR-030")</f>
        <v>RUN-ABRM_2022-09-30_RFR-030</v>
      </c>
      <c r="C209" s="8">
        <f>VLOOKUP(B209,'Run Reconcile'!A$2:B3212,2,FALSE)</f>
        <v>44834</v>
      </c>
      <c r="D209" s="12">
        <f>IFERROR(__xludf.DUMMYFUNCTION("""COMPUTED_VALUE"""),44834.0)</f>
        <v>44834</v>
      </c>
      <c r="E209" s="13">
        <f>IFERROR(__xludf.DUMMYFUNCTION("""COMPUTED_VALUE"""),0.2946875000016007)</f>
        <v>0.2946875</v>
      </c>
      <c r="F209" s="7" t="str">
        <f>IFERROR(__xludf.DUMMYFUNCTION("""COMPUTED_VALUE"""),"Negative")</f>
        <v>Negative</v>
      </c>
      <c r="G209" s="7">
        <f>IFERROR(__xludf.DUMMYFUNCTION("""COMPUTED_VALUE"""),2.0)</f>
        <v>2</v>
      </c>
    </row>
    <row r="210">
      <c r="A210" s="7" t="str">
        <f>IFERROR(__xludf.DUMMYFUNCTION("""COMPUTED_VALUE"""),"AG333")</f>
        <v>AG333</v>
      </c>
      <c r="B210" s="7" t="str">
        <f>IFERROR(__xludf.DUMMYFUNCTION("""COMPUTED_VALUE"""),"RUN-ABRM_2022-09-30_RFR-030")</f>
        <v>RUN-ABRM_2022-09-30_RFR-030</v>
      </c>
      <c r="C210" s="8">
        <f>VLOOKUP(B210,'Run Reconcile'!A$2:B3212,2,FALSE)</f>
        <v>44834</v>
      </c>
      <c r="D210" s="12">
        <f>IFERROR(__xludf.DUMMYFUNCTION("""COMPUTED_VALUE"""),44834.0)</f>
        <v>44834</v>
      </c>
      <c r="E210" s="13">
        <f>IFERROR(__xludf.DUMMYFUNCTION("""COMPUTED_VALUE"""),0.2967939814807323)</f>
        <v>0.2967939815</v>
      </c>
      <c r="F210" s="7" t="str">
        <f>IFERROR(__xludf.DUMMYFUNCTION("""COMPUTED_VALUE"""),"Negative")</f>
        <v>Negative</v>
      </c>
      <c r="G210" s="7">
        <f>IFERROR(__xludf.DUMMYFUNCTION("""COMPUTED_VALUE"""),3.0)</f>
        <v>3</v>
      </c>
    </row>
    <row r="211">
      <c r="A211" s="7" t="str">
        <f>IFERROR(__xludf.DUMMYFUNCTION("""COMPUTED_VALUE"""),"AH9196")</f>
        <v>AH9196</v>
      </c>
      <c r="B211" s="7" t="str">
        <f>IFERROR(__xludf.DUMMYFUNCTION("""COMPUTED_VALUE"""),"RUN-ABRM_2022-09-30_RFR-030")</f>
        <v>RUN-ABRM_2022-09-30_RFR-030</v>
      </c>
      <c r="C211" s="8">
        <f>VLOOKUP(B211,'Run Reconcile'!A$2:B3212,2,FALSE)</f>
        <v>44834</v>
      </c>
      <c r="D211" s="12">
        <f>IFERROR(__xludf.DUMMYFUNCTION("""COMPUTED_VALUE"""),44834.0)</f>
        <v>44834</v>
      </c>
      <c r="E211" s="13">
        <f>IFERROR(__xludf.DUMMYFUNCTION("""COMPUTED_VALUE"""),0.29868055555562023)</f>
        <v>0.2986805556</v>
      </c>
      <c r="F211" s="7" t="str">
        <f>IFERROR(__xludf.DUMMYFUNCTION("""COMPUTED_VALUE"""),"Negative")</f>
        <v>Negative</v>
      </c>
      <c r="G211" s="7">
        <f>IFERROR(__xludf.DUMMYFUNCTION("""COMPUTED_VALUE"""),2.0)</f>
        <v>2</v>
      </c>
    </row>
    <row r="212">
      <c r="A212" s="7" t="str">
        <f>IFERROR(__xludf.DUMMYFUNCTION("""COMPUTED_VALUE"""),"AH9683")</f>
        <v>AH9683</v>
      </c>
      <c r="B212" s="7" t="str">
        <f>IFERROR(__xludf.DUMMYFUNCTION("""COMPUTED_VALUE"""),"RUN-ABRM_2022-09-30_RFR-030")</f>
        <v>RUN-ABRM_2022-09-30_RFR-030</v>
      </c>
      <c r="C212" s="8">
        <f>VLOOKUP(B212,'Run Reconcile'!A$2:B3212,2,FALSE)</f>
        <v>44834</v>
      </c>
      <c r="D212" s="12">
        <f>IFERROR(__xludf.DUMMYFUNCTION("""COMPUTED_VALUE"""),44834.0)</f>
        <v>44834</v>
      </c>
      <c r="E212" s="13">
        <f>IFERROR(__xludf.DUMMYFUNCTION("""COMPUTED_VALUE"""),0.2990972222214623)</f>
        <v>0.2990972222</v>
      </c>
      <c r="F212" s="7" t="str">
        <f>IFERROR(__xludf.DUMMYFUNCTION("""COMPUTED_VALUE"""),"Negative")</f>
        <v>Negative</v>
      </c>
      <c r="G212" s="7">
        <f>IFERROR(__xludf.DUMMYFUNCTION("""COMPUTED_VALUE"""),3.0)</f>
        <v>3</v>
      </c>
    </row>
    <row r="213">
      <c r="A213" s="7" t="str">
        <f>IFERROR(__xludf.DUMMYFUNCTION("""COMPUTED_VALUE"""),"AH8935")</f>
        <v>AH8935</v>
      </c>
      <c r="B213" s="7" t="str">
        <f>IFERROR(__xludf.DUMMYFUNCTION("""COMPUTED_VALUE"""),"RUN-ABRM_2022-09-30_RFR-030")</f>
        <v>RUN-ABRM_2022-09-30_RFR-030</v>
      </c>
      <c r="C213" s="8">
        <f>VLOOKUP(B213,'Run Reconcile'!A$2:B3212,2,FALSE)</f>
        <v>44834</v>
      </c>
      <c r="D213" s="12">
        <f>IFERROR(__xludf.DUMMYFUNCTION("""COMPUTED_VALUE"""),44834.0)</f>
        <v>44834</v>
      </c>
      <c r="E213" s="13">
        <f>IFERROR(__xludf.DUMMYFUNCTION("""COMPUTED_VALUE"""),0.3351851851839456)</f>
        <v>0.3351851852</v>
      </c>
      <c r="F213" s="7" t="str">
        <f>IFERROR(__xludf.DUMMYFUNCTION("""COMPUTED_VALUE"""),"Negative")</f>
        <v>Negative</v>
      </c>
      <c r="G213" s="7">
        <f>IFERROR(__xludf.DUMMYFUNCTION("""COMPUTED_VALUE"""),1.0)</f>
        <v>1</v>
      </c>
    </row>
    <row r="214">
      <c r="A214" s="7" t="str">
        <f>IFERROR(__xludf.DUMMYFUNCTION("""COMPUTED_VALUE"""),"AG2187")</f>
        <v>AG2187</v>
      </c>
      <c r="B214" s="7" t="str">
        <f>IFERROR(__xludf.DUMMYFUNCTION("""COMPUTED_VALUE"""),"RUN-ABRM_2022-09-30_RFR-030")</f>
        <v>RUN-ABRM_2022-09-30_RFR-030</v>
      </c>
      <c r="C214" s="8">
        <f>VLOOKUP(B214,'Run Reconcile'!A$2:B3212,2,FALSE)</f>
        <v>44834</v>
      </c>
      <c r="D214" s="12">
        <f>IFERROR(__xludf.DUMMYFUNCTION("""COMPUTED_VALUE"""),44834.0)</f>
        <v>44834</v>
      </c>
      <c r="E214" s="13">
        <f>IFERROR(__xludf.DUMMYFUNCTION("""COMPUTED_VALUE"""),0.3720949074086093)</f>
        <v>0.3720949074</v>
      </c>
      <c r="F214" s="7" t="str">
        <f>IFERROR(__xludf.DUMMYFUNCTION("""COMPUTED_VALUE"""),"Negative")</f>
        <v>Negative</v>
      </c>
      <c r="G214" s="7">
        <f>IFERROR(__xludf.DUMMYFUNCTION("""COMPUTED_VALUE"""),1.0)</f>
        <v>1</v>
      </c>
    </row>
    <row r="215">
      <c r="A215" s="7" t="str">
        <f>IFERROR(__xludf.DUMMYFUNCTION("""COMPUTED_VALUE"""),"AG818")</f>
        <v>AG818</v>
      </c>
      <c r="B215" s="7" t="str">
        <f>IFERROR(__xludf.DUMMYFUNCTION("""COMPUTED_VALUE"""),"RUN-ABRM_2022-10-03_RFR-032")</f>
        <v>RUN-ABRM_2022-10-03_RFR-032</v>
      </c>
      <c r="C215" s="8">
        <f>VLOOKUP(B215,'Run Reconcile'!A$2:B3212,2,FALSE)</f>
        <v>44837</v>
      </c>
      <c r="D215" s="12">
        <f>IFERROR(__xludf.DUMMYFUNCTION("""COMPUTED_VALUE"""),44837.0)</f>
        <v>44837</v>
      </c>
      <c r="E215" s="13">
        <f>IFERROR(__xludf.DUMMYFUNCTION("""COMPUTED_VALUE"""),0.2224189814805868)</f>
        <v>0.2224189815</v>
      </c>
      <c r="F215" s="7" t="str">
        <f>IFERROR(__xludf.DUMMYFUNCTION("""COMPUTED_VALUE"""),"Negative")</f>
        <v>Negative</v>
      </c>
      <c r="G215" s="7">
        <f>IFERROR(__xludf.DUMMYFUNCTION("""COMPUTED_VALUE"""),2.0)</f>
        <v>2</v>
      </c>
    </row>
    <row r="216">
      <c r="A216" s="7" t="str">
        <f>IFERROR(__xludf.DUMMYFUNCTION("""COMPUTED_VALUE"""),"AG652")</f>
        <v>AG652</v>
      </c>
      <c r="B216" s="7" t="str">
        <f>IFERROR(__xludf.DUMMYFUNCTION("""COMPUTED_VALUE"""),"RUN-ABRM_2022-10-03_RFR-032")</f>
        <v>RUN-ABRM_2022-10-03_RFR-032</v>
      </c>
      <c r="C216" s="8">
        <f>VLOOKUP(B216,'Run Reconcile'!A$2:B3212,2,FALSE)</f>
        <v>44837</v>
      </c>
      <c r="D216" s="12">
        <f>IFERROR(__xludf.DUMMYFUNCTION("""COMPUTED_VALUE"""),44837.0)</f>
        <v>44837</v>
      </c>
      <c r="E216" s="13">
        <f>IFERROR(__xludf.DUMMYFUNCTION("""COMPUTED_VALUE"""),0.2656018518500787)</f>
        <v>0.2656018519</v>
      </c>
      <c r="F216" s="7" t="str">
        <f>IFERROR(__xludf.DUMMYFUNCTION("""COMPUTED_VALUE"""),"Negative")</f>
        <v>Negative</v>
      </c>
      <c r="G216" s="7">
        <f>IFERROR(__xludf.DUMMYFUNCTION("""COMPUTED_VALUE"""),1.0)</f>
        <v>1</v>
      </c>
    </row>
    <row r="217">
      <c r="A217" s="7" t="str">
        <f>IFERROR(__xludf.DUMMYFUNCTION("""COMPUTED_VALUE"""),"AG274")</f>
        <v>AG274</v>
      </c>
      <c r="B217" s="7" t="str">
        <f>IFERROR(__xludf.DUMMYFUNCTION("""COMPUTED_VALUE"""),"RUN-ABRM_2022-10-03_RFR-032")</f>
        <v>RUN-ABRM_2022-10-03_RFR-032</v>
      </c>
      <c r="C217" s="8">
        <f>VLOOKUP(B217,'Run Reconcile'!A$2:B3212,2,FALSE)</f>
        <v>44837</v>
      </c>
      <c r="D217" s="12">
        <f>IFERROR(__xludf.DUMMYFUNCTION("""COMPUTED_VALUE"""),44837.0)</f>
        <v>44837</v>
      </c>
      <c r="E217" s="13">
        <f>IFERROR(__xludf.DUMMYFUNCTION("""COMPUTED_VALUE"""),0.27305555555722094)</f>
        <v>0.2730555556</v>
      </c>
      <c r="F217" s="7" t="str">
        <f>IFERROR(__xludf.DUMMYFUNCTION("""COMPUTED_VALUE"""),"Negative")</f>
        <v>Negative</v>
      </c>
      <c r="G217" s="7">
        <f>IFERROR(__xludf.DUMMYFUNCTION("""COMPUTED_VALUE"""),3.0)</f>
        <v>3</v>
      </c>
    </row>
    <row r="218">
      <c r="A218" s="7" t="str">
        <f>IFERROR(__xludf.DUMMYFUNCTION("""COMPUTED_VALUE"""),"AH9171")</f>
        <v>AH9171</v>
      </c>
      <c r="B218" s="7" t="str">
        <f>IFERROR(__xludf.DUMMYFUNCTION("""COMPUTED_VALUE"""),"RUN-ABRM_2022-10-03_RFR-032")</f>
        <v>RUN-ABRM_2022-10-03_RFR-032</v>
      </c>
      <c r="C218" s="8">
        <f>VLOOKUP(B218,'Run Reconcile'!A$2:B3212,2,FALSE)</f>
        <v>44837</v>
      </c>
      <c r="D218" s="12">
        <f>IFERROR(__xludf.DUMMYFUNCTION("""COMPUTED_VALUE"""),44837.0)</f>
        <v>44837</v>
      </c>
      <c r="E218" s="13">
        <f>IFERROR(__xludf.DUMMYFUNCTION("""COMPUTED_VALUE"""),0.2751851851862739)</f>
        <v>0.2751851852</v>
      </c>
      <c r="F218" s="7" t="str">
        <f>IFERROR(__xludf.DUMMYFUNCTION("""COMPUTED_VALUE"""),"Negative")</f>
        <v>Negative</v>
      </c>
      <c r="G218" s="7">
        <f>IFERROR(__xludf.DUMMYFUNCTION("""COMPUTED_VALUE"""),3.0)</f>
        <v>3</v>
      </c>
    </row>
    <row r="219">
      <c r="A219" s="7" t="str">
        <f>IFERROR(__xludf.DUMMYFUNCTION("""COMPUTED_VALUE"""),"AG2236")</f>
        <v>AG2236</v>
      </c>
      <c r="B219" s="7" t="str">
        <f>IFERROR(__xludf.DUMMYFUNCTION("""COMPUTED_VALUE"""),"RUN-ABRM_2022-10-03_RFR-032")</f>
        <v>RUN-ABRM_2022-10-03_RFR-032</v>
      </c>
      <c r="C219" s="8">
        <f>VLOOKUP(B219,'Run Reconcile'!A$2:B3212,2,FALSE)</f>
        <v>44837</v>
      </c>
      <c r="D219" s="12">
        <f>IFERROR(__xludf.DUMMYFUNCTION("""COMPUTED_VALUE"""),44837.0)</f>
        <v>44837</v>
      </c>
      <c r="E219" s="13">
        <f>IFERROR(__xludf.DUMMYFUNCTION("""COMPUTED_VALUE"""),0.2892824074078817)</f>
        <v>0.2892824074</v>
      </c>
      <c r="F219" s="7" t="str">
        <f>IFERROR(__xludf.DUMMYFUNCTION("""COMPUTED_VALUE"""),"Negative")</f>
        <v>Negative</v>
      </c>
      <c r="G219" s="7">
        <f>IFERROR(__xludf.DUMMYFUNCTION("""COMPUTED_VALUE"""),3.0)</f>
        <v>3</v>
      </c>
    </row>
    <row r="220">
      <c r="A220" s="7" t="str">
        <f>IFERROR(__xludf.DUMMYFUNCTION("""COMPUTED_VALUE"""),"AG1450")</f>
        <v>AG1450</v>
      </c>
      <c r="B220" s="7" t="str">
        <f>IFERROR(__xludf.DUMMYFUNCTION("""COMPUTED_VALUE"""),"RUN-ABRM_2022-10-03_RFR-032")</f>
        <v>RUN-ABRM_2022-10-03_RFR-032</v>
      </c>
      <c r="C220" s="8">
        <f>VLOOKUP(B220,'Run Reconcile'!A$2:B3212,2,FALSE)</f>
        <v>44837</v>
      </c>
      <c r="D220" s="12">
        <f>IFERROR(__xludf.DUMMYFUNCTION("""COMPUTED_VALUE"""),44837.0)</f>
        <v>44837</v>
      </c>
      <c r="E220" s="13">
        <f>IFERROR(__xludf.DUMMYFUNCTION("""COMPUTED_VALUE"""),0.3071527777792653)</f>
        <v>0.3071527778</v>
      </c>
      <c r="F220" s="7" t="str">
        <f>IFERROR(__xludf.DUMMYFUNCTION("""COMPUTED_VALUE"""),"Negative")</f>
        <v>Negative</v>
      </c>
      <c r="G220" s="7">
        <f>IFERROR(__xludf.DUMMYFUNCTION("""COMPUTED_VALUE"""),1.0)</f>
        <v>1</v>
      </c>
    </row>
    <row r="221">
      <c r="A221" s="7" t="str">
        <f>IFERROR(__xludf.DUMMYFUNCTION("""COMPUTED_VALUE"""),"AH8716")</f>
        <v>AH8716</v>
      </c>
      <c r="B221" s="7" t="str">
        <f>IFERROR(__xludf.DUMMYFUNCTION("""COMPUTED_VALUE"""),"RUN-ABRM_2022-10-03_RFR-032")</f>
        <v>RUN-ABRM_2022-10-03_RFR-032</v>
      </c>
      <c r="C221" s="8">
        <f>VLOOKUP(B221,'Run Reconcile'!A$2:B3212,2,FALSE)</f>
        <v>44837</v>
      </c>
      <c r="D221" s="12">
        <f>IFERROR(__xludf.DUMMYFUNCTION("""COMPUTED_VALUE"""),44837.0)</f>
        <v>44837</v>
      </c>
      <c r="E221" s="13">
        <f>IFERROR(__xludf.DUMMYFUNCTION("""COMPUTED_VALUE"""),0.31019675925927004)</f>
        <v>0.3101967593</v>
      </c>
      <c r="F221" s="7" t="str">
        <f>IFERROR(__xludf.DUMMYFUNCTION("""COMPUTED_VALUE"""),"Negative")</f>
        <v>Negative</v>
      </c>
      <c r="G221" s="7">
        <f>IFERROR(__xludf.DUMMYFUNCTION("""COMPUTED_VALUE"""),3.0)</f>
        <v>3</v>
      </c>
    </row>
    <row r="222">
      <c r="A222" s="7" t="str">
        <f>IFERROR(__xludf.DUMMYFUNCTION("""COMPUTED_VALUE"""),"AG137")</f>
        <v>AG137</v>
      </c>
      <c r="B222" s="7" t="str">
        <f>IFERROR(__xludf.DUMMYFUNCTION("""COMPUTED_VALUE"""),"RUN-ABRM_2022-10-03_RFR-032")</f>
        <v>RUN-ABRM_2022-10-03_RFR-032</v>
      </c>
      <c r="C222" s="8">
        <f>VLOOKUP(B222,'Run Reconcile'!A$2:B3212,2,FALSE)</f>
        <v>44837</v>
      </c>
      <c r="D222" s="12">
        <f>IFERROR(__xludf.DUMMYFUNCTION("""COMPUTED_VALUE"""),44837.0)</f>
        <v>44837</v>
      </c>
      <c r="E222" s="13">
        <f>IFERROR(__xludf.DUMMYFUNCTION("""COMPUTED_VALUE"""),0.3302662037021946)</f>
        <v>0.3302662037</v>
      </c>
      <c r="F222" s="7" t="str">
        <f>IFERROR(__xludf.DUMMYFUNCTION("""COMPUTED_VALUE"""),"Negative")</f>
        <v>Negative</v>
      </c>
      <c r="G222" s="7">
        <f>IFERROR(__xludf.DUMMYFUNCTION("""COMPUTED_VALUE"""),3.0)</f>
        <v>3</v>
      </c>
    </row>
    <row r="223">
      <c r="A223" s="7" t="str">
        <f>IFERROR(__xludf.DUMMYFUNCTION("""COMPUTED_VALUE"""),"AG1702")</f>
        <v>AG1702</v>
      </c>
      <c r="B223" s="7" t="str">
        <f>IFERROR(__xludf.DUMMYFUNCTION("""COMPUTED_VALUE"""),"RUN-ABRM_2022-10-03_RFR-032")</f>
        <v>RUN-ABRM_2022-10-03_RFR-032</v>
      </c>
      <c r="C223" s="8">
        <f>VLOOKUP(B223,'Run Reconcile'!A$2:B3212,2,FALSE)</f>
        <v>44837</v>
      </c>
      <c r="D223" s="12">
        <f>IFERROR(__xludf.DUMMYFUNCTION("""COMPUTED_VALUE"""),44837.0)</f>
        <v>44837</v>
      </c>
      <c r="E223" s="13">
        <f>IFERROR(__xludf.DUMMYFUNCTION("""COMPUTED_VALUE"""),0.3308912037027767)</f>
        <v>0.3308912037</v>
      </c>
      <c r="F223" s="7" t="str">
        <f>IFERROR(__xludf.DUMMYFUNCTION("""COMPUTED_VALUE"""),"Negative")</f>
        <v>Negative</v>
      </c>
      <c r="G223" s="7">
        <f>IFERROR(__xludf.DUMMYFUNCTION("""COMPUTED_VALUE"""),4.0)</f>
        <v>4</v>
      </c>
    </row>
    <row r="224">
      <c r="A224" s="7" t="str">
        <f>IFERROR(__xludf.DUMMYFUNCTION("""COMPUTED_VALUE"""),"AH9110")</f>
        <v>AH9110</v>
      </c>
      <c r="B224" s="7" t="str">
        <f>IFERROR(__xludf.DUMMYFUNCTION("""COMPUTED_VALUE"""),"RUN-ABRM_2022-10-03_RFR-032")</f>
        <v>RUN-ABRM_2022-10-03_RFR-032</v>
      </c>
      <c r="C224" s="8">
        <f>VLOOKUP(B224,'Run Reconcile'!A$2:B3212,2,FALSE)</f>
        <v>44837</v>
      </c>
      <c r="D224" s="12">
        <f>IFERROR(__xludf.DUMMYFUNCTION("""COMPUTED_VALUE"""),44837.0)</f>
        <v>44837</v>
      </c>
      <c r="E224" s="13">
        <f>IFERROR(__xludf.DUMMYFUNCTION("""COMPUTED_VALUE"""),0.33119212962992606)</f>
        <v>0.3311921296</v>
      </c>
      <c r="F224" s="7" t="str">
        <f>IFERROR(__xludf.DUMMYFUNCTION("""COMPUTED_VALUE"""),"Negative")</f>
        <v>Negative</v>
      </c>
      <c r="G224" s="7">
        <f>IFERROR(__xludf.DUMMYFUNCTION("""COMPUTED_VALUE"""),2.0)</f>
        <v>2</v>
      </c>
    </row>
    <row r="225">
      <c r="A225" s="7" t="str">
        <f>IFERROR(__xludf.DUMMYFUNCTION("""COMPUTED_VALUE"""),"AH7793")</f>
        <v>AH7793</v>
      </c>
      <c r="B225" s="7" t="str">
        <f>IFERROR(__xludf.DUMMYFUNCTION("""COMPUTED_VALUE"""),"RUN-ABRM_2022-10-03_RFR-032")</f>
        <v>RUN-ABRM_2022-10-03_RFR-032</v>
      </c>
      <c r="C225" s="8">
        <f>VLOOKUP(B225,'Run Reconcile'!A$2:B3212,2,FALSE)</f>
        <v>44837</v>
      </c>
      <c r="D225" s="12">
        <f>IFERROR(__xludf.DUMMYFUNCTION("""COMPUTED_VALUE"""),44837.0)</f>
        <v>44837</v>
      </c>
      <c r="E225" s="13">
        <f>IFERROR(__xludf.DUMMYFUNCTION("""COMPUTED_VALUE"""),0.3314236111109494)</f>
        <v>0.3314236111</v>
      </c>
      <c r="F225" s="7" t="str">
        <f>IFERROR(__xludf.DUMMYFUNCTION("""COMPUTED_VALUE"""),"Negative")</f>
        <v>Negative</v>
      </c>
      <c r="G225" s="7">
        <f>IFERROR(__xludf.DUMMYFUNCTION("""COMPUTED_VALUE"""),2.0)</f>
        <v>2</v>
      </c>
    </row>
    <row r="226">
      <c r="A226" s="7" t="str">
        <f>IFERROR(__xludf.DUMMYFUNCTION("""COMPUTED_VALUE"""),"AH7341")</f>
        <v>AH7341</v>
      </c>
      <c r="B226" s="7" t="str">
        <f>IFERROR(__xludf.DUMMYFUNCTION("""COMPUTED_VALUE"""),"RUN-ABRM_2022-10-04_RFR-033")</f>
        <v>RUN-ABRM_2022-10-04_RFR-033</v>
      </c>
      <c r="C226" s="8">
        <f>VLOOKUP(B226,'Run Reconcile'!A$2:B3212,2,FALSE)</f>
        <v>44838</v>
      </c>
      <c r="D226" s="12">
        <f>IFERROR(__xludf.DUMMYFUNCTION("""COMPUTED_VALUE"""),44838.0)</f>
        <v>44838</v>
      </c>
      <c r="E226" s="13">
        <f>IFERROR(__xludf.DUMMYFUNCTION("""COMPUTED_VALUE"""),0.26332175925927004)</f>
        <v>0.2633217593</v>
      </c>
      <c r="F226" s="7" t="str">
        <f>IFERROR(__xludf.DUMMYFUNCTION("""COMPUTED_VALUE"""),"Negative")</f>
        <v>Negative</v>
      </c>
      <c r="G226" s="7">
        <f>IFERROR(__xludf.DUMMYFUNCTION("""COMPUTED_VALUE"""),1.0)</f>
        <v>1</v>
      </c>
    </row>
    <row r="227">
      <c r="A227" s="7" t="str">
        <f>IFERROR(__xludf.DUMMYFUNCTION("""COMPUTED_VALUE"""),"AJ9321")</f>
        <v>AJ9321</v>
      </c>
      <c r="B227" s="7" t="str">
        <f>IFERROR(__xludf.DUMMYFUNCTION("""COMPUTED_VALUE"""),"RUN-ABRM_2022-10-04_RFR-033")</f>
        <v>RUN-ABRM_2022-10-04_RFR-033</v>
      </c>
      <c r="C227" s="8">
        <f>VLOOKUP(B227,'Run Reconcile'!A$2:B3212,2,FALSE)</f>
        <v>44838</v>
      </c>
      <c r="D227" s="12">
        <f>IFERROR(__xludf.DUMMYFUNCTION("""COMPUTED_VALUE"""),44838.0)</f>
        <v>44838</v>
      </c>
      <c r="E227" s="13">
        <f>IFERROR(__xludf.DUMMYFUNCTION("""COMPUTED_VALUE"""),0.27643518518380006)</f>
        <v>0.2764351852</v>
      </c>
      <c r="F227" s="7" t="str">
        <f>IFERROR(__xludf.DUMMYFUNCTION("""COMPUTED_VALUE"""),"Negative")</f>
        <v>Negative</v>
      </c>
      <c r="G227" s="7">
        <f>IFERROR(__xludf.DUMMYFUNCTION("""COMPUTED_VALUE"""),3.0)</f>
        <v>3</v>
      </c>
    </row>
    <row r="228">
      <c r="A228" s="7" t="str">
        <f>IFERROR(__xludf.DUMMYFUNCTION("""COMPUTED_VALUE"""),"AH8559")</f>
        <v>AH8559</v>
      </c>
      <c r="B228" s="7" t="str">
        <f>IFERROR(__xludf.DUMMYFUNCTION("""COMPUTED_VALUE"""),"RUN-ABRM_2022-10-04_RFR-033")</f>
        <v>RUN-ABRM_2022-10-04_RFR-033</v>
      </c>
      <c r="C228" s="8">
        <f>VLOOKUP(B228,'Run Reconcile'!A$2:B3212,2,FALSE)</f>
        <v>44838</v>
      </c>
      <c r="D228" s="12">
        <f>IFERROR(__xludf.DUMMYFUNCTION("""COMPUTED_VALUE"""),44838.0)</f>
        <v>44838</v>
      </c>
      <c r="E228" s="13">
        <f>IFERROR(__xludf.DUMMYFUNCTION("""COMPUTED_VALUE"""),0.2847800925919728)</f>
        <v>0.2847800926</v>
      </c>
      <c r="F228" s="7" t="str">
        <f>IFERROR(__xludf.DUMMYFUNCTION("""COMPUTED_VALUE"""),"Negative")</f>
        <v>Negative</v>
      </c>
      <c r="G228" s="7">
        <f>IFERROR(__xludf.DUMMYFUNCTION("""COMPUTED_VALUE"""),3.0)</f>
        <v>3</v>
      </c>
    </row>
    <row r="229">
      <c r="A229" s="7" t="str">
        <f>IFERROR(__xludf.DUMMYFUNCTION("""COMPUTED_VALUE"""),"AG1072")</f>
        <v>AG1072</v>
      </c>
      <c r="B229" s="7" t="str">
        <f>IFERROR(__xludf.DUMMYFUNCTION("""COMPUTED_VALUE"""),"RUN-ABRM_2022-10-04_RFR-033")</f>
        <v>RUN-ABRM_2022-10-04_RFR-033</v>
      </c>
      <c r="C229" s="8">
        <f>VLOOKUP(B229,'Run Reconcile'!A$2:B3212,2,FALSE)</f>
        <v>44838</v>
      </c>
      <c r="D229" s="12">
        <f>IFERROR(__xludf.DUMMYFUNCTION("""COMPUTED_VALUE"""),44838.0)</f>
        <v>44838</v>
      </c>
      <c r="E229" s="13">
        <f>IFERROR(__xludf.DUMMYFUNCTION("""COMPUTED_VALUE"""),0.2858912037045229)</f>
        <v>0.2858912037</v>
      </c>
      <c r="F229" s="7" t="str">
        <f>IFERROR(__xludf.DUMMYFUNCTION("""COMPUTED_VALUE"""),"Negative")</f>
        <v>Negative</v>
      </c>
      <c r="G229" s="7">
        <f>IFERROR(__xludf.DUMMYFUNCTION("""COMPUTED_VALUE"""),2.0)</f>
        <v>2</v>
      </c>
    </row>
    <row r="230">
      <c r="A230" s="7" t="str">
        <f>IFERROR(__xludf.DUMMYFUNCTION("""COMPUTED_VALUE"""),"AH8854")</f>
        <v>AH8854</v>
      </c>
      <c r="B230" s="7" t="str">
        <f>IFERROR(__xludf.DUMMYFUNCTION("""COMPUTED_VALUE"""),"RUN-ABRM_2022-10-04_RFR-033")</f>
        <v>RUN-ABRM_2022-10-04_RFR-033</v>
      </c>
      <c r="C230" s="8">
        <f>VLOOKUP(B230,'Run Reconcile'!A$2:B3212,2,FALSE)</f>
        <v>44838</v>
      </c>
      <c r="D230" s="12">
        <f>IFERROR(__xludf.DUMMYFUNCTION("""COMPUTED_VALUE"""),44838.0)</f>
        <v>44838</v>
      </c>
      <c r="E230" s="13">
        <f>IFERROR(__xludf.DUMMYFUNCTION("""COMPUTED_VALUE"""),0.29866898148247856)</f>
        <v>0.2986689815</v>
      </c>
      <c r="F230" s="7" t="str">
        <f>IFERROR(__xludf.DUMMYFUNCTION("""COMPUTED_VALUE"""),"Negative")</f>
        <v>Negative</v>
      </c>
      <c r="G230" s="7">
        <f>IFERROR(__xludf.DUMMYFUNCTION("""COMPUTED_VALUE"""),3.0)</f>
        <v>3</v>
      </c>
    </row>
    <row r="231">
      <c r="A231" s="7" t="str">
        <f>IFERROR(__xludf.DUMMYFUNCTION("""COMPUTED_VALUE"""),"AH8331")</f>
        <v>AH8331</v>
      </c>
      <c r="B231" s="7" t="str">
        <f>IFERROR(__xludf.DUMMYFUNCTION("""COMPUTED_VALUE"""),"RUN-ABRM_2022-10-04_RFR-033")</f>
        <v>RUN-ABRM_2022-10-04_RFR-033</v>
      </c>
      <c r="C231" s="8">
        <f>VLOOKUP(B231,'Run Reconcile'!A$2:B3212,2,FALSE)</f>
        <v>44838</v>
      </c>
      <c r="D231" s="12">
        <f>IFERROR(__xludf.DUMMYFUNCTION("""COMPUTED_VALUE"""),44838.0)</f>
        <v>44838</v>
      </c>
      <c r="E231" s="13">
        <f>IFERROR(__xludf.DUMMYFUNCTION("""COMPUTED_VALUE"""),0.3065046296287619)</f>
        <v>0.3065046296</v>
      </c>
      <c r="F231" s="7" t="str">
        <f>IFERROR(__xludf.DUMMYFUNCTION("""COMPUTED_VALUE"""),"Negative")</f>
        <v>Negative</v>
      </c>
      <c r="G231" s="7">
        <f>IFERROR(__xludf.DUMMYFUNCTION("""COMPUTED_VALUE"""),1.0)</f>
        <v>1</v>
      </c>
    </row>
    <row r="232">
      <c r="A232" s="7" t="str">
        <f>IFERROR(__xludf.DUMMYFUNCTION("""COMPUTED_VALUE"""),"AH8799")</f>
        <v>AH8799</v>
      </c>
      <c r="B232" s="7" t="str">
        <f>IFERROR(__xludf.DUMMYFUNCTION("""COMPUTED_VALUE"""),"RUN-ABRM_2022-10-04_RFR-033")</f>
        <v>RUN-ABRM_2022-10-04_RFR-033</v>
      </c>
      <c r="C232" s="8">
        <f>VLOOKUP(B232,'Run Reconcile'!A$2:B3212,2,FALSE)</f>
        <v>44838</v>
      </c>
      <c r="D232" s="12">
        <f>IFERROR(__xludf.DUMMYFUNCTION("""COMPUTED_VALUE"""),44838.0)</f>
        <v>44838</v>
      </c>
      <c r="E232" s="13">
        <f>IFERROR(__xludf.DUMMYFUNCTION("""COMPUTED_VALUE"""),0.3186805555560568)</f>
        <v>0.3186805556</v>
      </c>
      <c r="F232" s="7" t="str">
        <f>IFERROR(__xludf.DUMMYFUNCTION("""COMPUTED_VALUE"""),"Negative")</f>
        <v>Negative</v>
      </c>
      <c r="G232" s="7">
        <f>IFERROR(__xludf.DUMMYFUNCTION("""COMPUTED_VALUE"""),2.0)</f>
        <v>2</v>
      </c>
    </row>
    <row r="233">
      <c r="A233" s="7" t="str">
        <f>IFERROR(__xludf.DUMMYFUNCTION("""COMPUTED_VALUE"""),"AG1371")</f>
        <v>AG1371</v>
      </c>
      <c r="B233" s="7" t="str">
        <f>IFERROR(__xludf.DUMMYFUNCTION("""COMPUTED_VALUE"""),"RUN-ABRM_2022-10-04_RFR-033")</f>
        <v>RUN-ABRM_2022-10-04_RFR-033</v>
      </c>
      <c r="C233" s="8">
        <f>VLOOKUP(B233,'Run Reconcile'!A$2:B3212,2,FALSE)</f>
        <v>44838</v>
      </c>
      <c r="D233" s="12">
        <f>IFERROR(__xludf.DUMMYFUNCTION("""COMPUTED_VALUE"""),44838.0)</f>
        <v>44838</v>
      </c>
      <c r="E233" s="13">
        <f>IFERROR(__xludf.DUMMYFUNCTION("""COMPUTED_VALUE"""),0.31964120370321325)</f>
        <v>0.3196412037</v>
      </c>
      <c r="F233" s="7" t="str">
        <f>IFERROR(__xludf.DUMMYFUNCTION("""COMPUTED_VALUE"""),"Negative")</f>
        <v>Negative</v>
      </c>
      <c r="G233" s="7">
        <f>IFERROR(__xludf.DUMMYFUNCTION("""COMPUTED_VALUE"""),2.0)</f>
        <v>2</v>
      </c>
    </row>
    <row r="234">
      <c r="A234" s="7" t="str">
        <f>IFERROR(__xludf.DUMMYFUNCTION("""COMPUTED_VALUE"""),"AH7853")</f>
        <v>AH7853</v>
      </c>
      <c r="B234" s="7" t="str">
        <f>IFERROR(__xludf.DUMMYFUNCTION("""COMPUTED_VALUE"""),"RUN-ABRM_2022-10-04_RFR-033")</f>
        <v>RUN-ABRM_2022-10-04_RFR-033</v>
      </c>
      <c r="C234" s="8">
        <f>VLOOKUP(B234,'Run Reconcile'!A$2:B3212,2,FALSE)</f>
        <v>44838</v>
      </c>
      <c r="D234" s="12">
        <f>IFERROR(__xludf.DUMMYFUNCTION("""COMPUTED_VALUE"""),44838.0)</f>
        <v>44838</v>
      </c>
      <c r="E234" s="13">
        <f>IFERROR(__xludf.DUMMYFUNCTION("""COMPUTED_VALUE"""),0.3268055555563478)</f>
        <v>0.3268055556</v>
      </c>
      <c r="F234" s="7" t="str">
        <f>IFERROR(__xludf.DUMMYFUNCTION("""COMPUTED_VALUE"""),"Negative")</f>
        <v>Negative</v>
      </c>
      <c r="G234" s="7">
        <f>IFERROR(__xludf.DUMMYFUNCTION("""COMPUTED_VALUE"""),4.0)</f>
        <v>4</v>
      </c>
    </row>
    <row r="235">
      <c r="A235" s="7" t="str">
        <f>IFERROR(__xludf.DUMMYFUNCTION("""COMPUTED_VALUE"""),"AH8844")</f>
        <v>AH8844</v>
      </c>
      <c r="B235" s="7" t="str">
        <f>IFERROR(__xludf.DUMMYFUNCTION("""COMPUTED_VALUE"""),"RUN-ABRM_2022-10-04_RFR-033")</f>
        <v>RUN-ABRM_2022-10-04_RFR-033</v>
      </c>
      <c r="C235" s="8">
        <f>VLOOKUP(B235,'Run Reconcile'!A$2:B3212,2,FALSE)</f>
        <v>44838</v>
      </c>
      <c r="D235" s="12">
        <f>IFERROR(__xludf.DUMMYFUNCTION("""COMPUTED_VALUE"""),44838.0)</f>
        <v>44838</v>
      </c>
      <c r="E235" s="13">
        <f>IFERROR(__xludf.DUMMYFUNCTION("""COMPUTED_VALUE"""),0.3311805555567844)</f>
        <v>0.3311805556</v>
      </c>
      <c r="F235" s="7" t="str">
        <f>IFERROR(__xludf.DUMMYFUNCTION("""COMPUTED_VALUE"""),"Negative")</f>
        <v>Negative</v>
      </c>
      <c r="G235" s="7">
        <f>IFERROR(__xludf.DUMMYFUNCTION("""COMPUTED_VALUE"""),1.0)</f>
        <v>1</v>
      </c>
    </row>
    <row r="236">
      <c r="A236" s="7" t="str">
        <f>IFERROR(__xludf.DUMMYFUNCTION("""COMPUTED_VALUE"""),"AH8873")</f>
        <v>AH8873</v>
      </c>
      <c r="B236" s="7" t="str">
        <f>IFERROR(__xludf.DUMMYFUNCTION("""COMPUTED_VALUE"""),"RUN-ABRM_2022-10-04_RFR-033")</f>
        <v>RUN-ABRM_2022-10-04_RFR-033</v>
      </c>
      <c r="C236" s="8">
        <f>VLOOKUP(B236,'Run Reconcile'!A$2:B3212,2,FALSE)</f>
        <v>44838</v>
      </c>
      <c r="D236" s="12">
        <f>IFERROR(__xludf.DUMMYFUNCTION("""COMPUTED_VALUE"""),44838.0)</f>
        <v>44838</v>
      </c>
      <c r="E236" s="13">
        <f>IFERROR(__xludf.DUMMYFUNCTION("""COMPUTED_VALUE"""),0.3408796296280343)</f>
        <v>0.3408796296</v>
      </c>
      <c r="F236" s="7" t="str">
        <f>IFERROR(__xludf.DUMMYFUNCTION("""COMPUTED_VALUE"""),"Negative")</f>
        <v>Negative</v>
      </c>
      <c r="G236" s="7">
        <f>IFERROR(__xludf.DUMMYFUNCTION("""COMPUTED_VALUE"""),2.0)</f>
        <v>2</v>
      </c>
    </row>
    <row r="237">
      <c r="A237" s="7" t="str">
        <f>IFERROR(__xludf.DUMMYFUNCTION("""COMPUTED_VALUE"""),"AG1212")</f>
        <v>AG1212</v>
      </c>
      <c r="B237" s="7" t="str">
        <f>IFERROR(__xludf.DUMMYFUNCTION("""COMPUTED_VALUE"""),"RUN-ABRM_2022-10-05_RFR-034")</f>
        <v>RUN-ABRM_2022-10-05_RFR-034</v>
      </c>
      <c r="C237" s="8">
        <f>VLOOKUP(B237,'Run Reconcile'!A$2:B3212,2,FALSE)</f>
        <v>44839</v>
      </c>
      <c r="D237" s="12">
        <f>IFERROR(__xludf.DUMMYFUNCTION("""COMPUTED_VALUE"""),44839.0)</f>
        <v>44839</v>
      </c>
      <c r="E237" s="13">
        <f>IFERROR(__xludf.DUMMYFUNCTION("""COMPUTED_VALUE"""),0.20187499999883585)</f>
        <v>0.201875</v>
      </c>
      <c r="F237" s="7" t="str">
        <f>IFERROR(__xludf.DUMMYFUNCTION("""COMPUTED_VALUE"""),"Negative")</f>
        <v>Negative</v>
      </c>
      <c r="G237" s="7">
        <f>IFERROR(__xludf.DUMMYFUNCTION("""COMPUTED_VALUE"""),1.0)</f>
        <v>1</v>
      </c>
    </row>
    <row r="238">
      <c r="A238" s="7" t="str">
        <f>IFERROR(__xludf.DUMMYFUNCTION("""COMPUTED_VALUE"""),"AG893")</f>
        <v>AG893</v>
      </c>
      <c r="B238" s="7" t="str">
        <f>IFERROR(__xludf.DUMMYFUNCTION("""COMPUTED_VALUE"""),"RUN-ABRM_2022-10-05_RFR-034")</f>
        <v>RUN-ABRM_2022-10-05_RFR-034</v>
      </c>
      <c r="C238" s="8">
        <f>VLOOKUP(B238,'Run Reconcile'!A$2:B3212,2,FALSE)</f>
        <v>44839</v>
      </c>
      <c r="D238" s="12">
        <f>IFERROR(__xludf.DUMMYFUNCTION("""COMPUTED_VALUE"""),44839.0)</f>
        <v>44839</v>
      </c>
      <c r="E238" s="13">
        <f>IFERROR(__xludf.DUMMYFUNCTION("""COMPUTED_VALUE"""),0.22679398148102337)</f>
        <v>0.2267939815</v>
      </c>
      <c r="F238" s="7" t="str">
        <f>IFERROR(__xludf.DUMMYFUNCTION("""COMPUTED_VALUE"""),"Negative")</f>
        <v>Negative</v>
      </c>
      <c r="G238" s="7">
        <f>IFERROR(__xludf.DUMMYFUNCTION("""COMPUTED_VALUE"""),3.0)</f>
        <v>3</v>
      </c>
    </row>
    <row r="239">
      <c r="A239" s="7" t="str">
        <f>IFERROR(__xludf.DUMMYFUNCTION("""COMPUTED_VALUE"""),"AH8503")</f>
        <v>AH8503</v>
      </c>
      <c r="B239" s="7" t="str">
        <f>IFERROR(__xludf.DUMMYFUNCTION("""COMPUTED_VALUE"""),"RUN-ABRM_2022-10-05_RFR-034")</f>
        <v>RUN-ABRM_2022-10-05_RFR-034</v>
      </c>
      <c r="C239" s="8">
        <f>VLOOKUP(B239,'Run Reconcile'!A$2:B3212,2,FALSE)</f>
        <v>44839</v>
      </c>
      <c r="D239" s="12">
        <f>IFERROR(__xludf.DUMMYFUNCTION("""COMPUTED_VALUE"""),44839.0)</f>
        <v>44839</v>
      </c>
      <c r="E239" s="13">
        <f>IFERROR(__xludf.DUMMYFUNCTION("""COMPUTED_VALUE"""),0.23453703703853535)</f>
        <v>0.234537037</v>
      </c>
      <c r="F239" s="7" t="str">
        <f>IFERROR(__xludf.DUMMYFUNCTION("""COMPUTED_VALUE"""),"Negative")</f>
        <v>Negative</v>
      </c>
      <c r="G239" s="7">
        <f>IFERROR(__xludf.DUMMYFUNCTION("""COMPUTED_VALUE"""),2.0)</f>
        <v>2</v>
      </c>
    </row>
    <row r="240">
      <c r="A240" s="7" t="str">
        <f>IFERROR(__xludf.DUMMYFUNCTION("""COMPUTED_VALUE"""),"AG1387")</f>
        <v>AG1387</v>
      </c>
      <c r="B240" s="7" t="str">
        <f>IFERROR(__xludf.DUMMYFUNCTION("""COMPUTED_VALUE"""),"RUN-ABRM_2022-10-05_RFR-034")</f>
        <v>RUN-ABRM_2022-10-05_RFR-034</v>
      </c>
      <c r="C240" s="8">
        <f>VLOOKUP(B240,'Run Reconcile'!A$2:B3212,2,FALSE)</f>
        <v>44839</v>
      </c>
      <c r="D240" s="12">
        <f>IFERROR(__xludf.DUMMYFUNCTION("""COMPUTED_VALUE"""),44839.0)</f>
        <v>44839</v>
      </c>
      <c r="E240" s="13">
        <f>IFERROR(__xludf.DUMMYFUNCTION("""COMPUTED_VALUE"""),0.278634259258979)</f>
        <v>0.2786342593</v>
      </c>
      <c r="F240" s="7" t="str">
        <f>IFERROR(__xludf.DUMMYFUNCTION("""COMPUTED_VALUE"""),"Negative")</f>
        <v>Negative</v>
      </c>
      <c r="G240" s="7">
        <f>IFERROR(__xludf.DUMMYFUNCTION("""COMPUTED_VALUE"""),3.0)</f>
        <v>3</v>
      </c>
    </row>
    <row r="241">
      <c r="A241" s="7" t="str">
        <f>IFERROR(__xludf.DUMMYFUNCTION("""COMPUTED_VALUE"""),"AH7903")</f>
        <v>AH7903</v>
      </c>
      <c r="B241" s="7" t="str">
        <f>IFERROR(__xludf.DUMMYFUNCTION("""COMPUTED_VALUE"""),"RUN-ABRM_2022-10-05_RFR-034")</f>
        <v>RUN-ABRM_2022-10-05_RFR-034</v>
      </c>
      <c r="C241" s="8">
        <f>VLOOKUP(B241,'Run Reconcile'!A$2:B3212,2,FALSE)</f>
        <v>44839</v>
      </c>
      <c r="D241" s="12">
        <f>IFERROR(__xludf.DUMMYFUNCTION("""COMPUTED_VALUE"""),44839.0)</f>
        <v>44839</v>
      </c>
      <c r="E241" s="13">
        <f>IFERROR(__xludf.DUMMYFUNCTION("""COMPUTED_VALUE"""),0.2870601851864194)</f>
        <v>0.2870601852</v>
      </c>
      <c r="F241" s="7" t="str">
        <f>IFERROR(__xludf.DUMMYFUNCTION("""COMPUTED_VALUE"""),"Negative")</f>
        <v>Negative</v>
      </c>
      <c r="G241" s="7">
        <f>IFERROR(__xludf.DUMMYFUNCTION("""COMPUTED_VALUE"""),3.0)</f>
        <v>3</v>
      </c>
    </row>
    <row r="242">
      <c r="A242" s="7" t="str">
        <f>IFERROR(__xludf.DUMMYFUNCTION("""COMPUTED_VALUE"""),"AG845")</f>
        <v>AG845</v>
      </c>
      <c r="B242" s="7" t="str">
        <f>IFERROR(__xludf.DUMMYFUNCTION("""COMPUTED_VALUE"""),"RUN-ABRM_2022-10-05_RFR-034")</f>
        <v>RUN-ABRM_2022-10-05_RFR-034</v>
      </c>
      <c r="C242" s="8">
        <f>VLOOKUP(B242,'Run Reconcile'!A$2:B3212,2,FALSE)</f>
        <v>44839</v>
      </c>
      <c r="D242" s="12">
        <f>IFERROR(__xludf.DUMMYFUNCTION("""COMPUTED_VALUE"""),44839.0)</f>
        <v>44839</v>
      </c>
      <c r="E242" s="13">
        <f>IFERROR(__xludf.DUMMYFUNCTION("""COMPUTED_VALUE"""),0.2962615740725596)</f>
        <v>0.2962615741</v>
      </c>
      <c r="F242" s="7" t="str">
        <f>IFERROR(__xludf.DUMMYFUNCTION("""COMPUTED_VALUE"""),"Negative")</f>
        <v>Negative</v>
      </c>
      <c r="G242" s="7">
        <f>IFERROR(__xludf.DUMMYFUNCTION("""COMPUTED_VALUE"""),3.0)</f>
        <v>3</v>
      </c>
    </row>
    <row r="243">
      <c r="A243" s="7" t="str">
        <f>IFERROR(__xludf.DUMMYFUNCTION("""COMPUTED_VALUE"""),"AG816")</f>
        <v>AG816</v>
      </c>
      <c r="B243" s="7" t="str">
        <f>IFERROR(__xludf.DUMMYFUNCTION("""COMPUTED_VALUE"""),"RUN-ABRM_2022-10-05_RFR-034")</f>
        <v>RUN-ABRM_2022-10-05_RFR-034</v>
      </c>
      <c r="C243" s="8">
        <f>VLOOKUP(B243,'Run Reconcile'!A$2:B3212,2,FALSE)</f>
        <v>44839</v>
      </c>
      <c r="D243" s="12">
        <f>IFERROR(__xludf.DUMMYFUNCTION("""COMPUTED_VALUE"""),44839.0)</f>
        <v>44839</v>
      </c>
      <c r="E243" s="13">
        <f>IFERROR(__xludf.DUMMYFUNCTION("""COMPUTED_VALUE"""),0.2992013888906513)</f>
        <v>0.2992013889</v>
      </c>
      <c r="F243" s="7" t="str">
        <f>IFERROR(__xludf.DUMMYFUNCTION("""COMPUTED_VALUE"""),"Negative")</f>
        <v>Negative</v>
      </c>
      <c r="G243" s="7">
        <f>IFERROR(__xludf.DUMMYFUNCTION("""COMPUTED_VALUE"""),3.0)</f>
        <v>3</v>
      </c>
    </row>
    <row r="244">
      <c r="A244" s="7" t="str">
        <f>IFERROR(__xludf.DUMMYFUNCTION("""COMPUTED_VALUE"""),"AK5407")</f>
        <v>AK5407</v>
      </c>
      <c r="B244" s="7" t="str">
        <f>IFERROR(__xludf.DUMMYFUNCTION("""COMPUTED_VALUE"""),"RUN-ABRM_2022-10-05_RFR-034")</f>
        <v>RUN-ABRM_2022-10-05_RFR-034</v>
      </c>
      <c r="C244" s="8">
        <f>VLOOKUP(B244,'Run Reconcile'!A$2:B3212,2,FALSE)</f>
        <v>44839</v>
      </c>
      <c r="D244" s="12">
        <f>IFERROR(__xludf.DUMMYFUNCTION("""COMPUTED_VALUE"""),44839.0)</f>
        <v>44839</v>
      </c>
      <c r="E244" s="13">
        <f>IFERROR(__xludf.DUMMYFUNCTION("""COMPUTED_VALUE"""),0.3199074074072996)</f>
        <v>0.3199074074</v>
      </c>
      <c r="F244" s="7" t="str">
        <f>IFERROR(__xludf.DUMMYFUNCTION("""COMPUTED_VALUE"""),"Negative")</f>
        <v>Negative</v>
      </c>
      <c r="G244" s="7">
        <f>IFERROR(__xludf.DUMMYFUNCTION("""COMPUTED_VALUE"""),1.0)</f>
        <v>1</v>
      </c>
    </row>
    <row r="245">
      <c r="A245" s="7" t="str">
        <f>IFERROR(__xludf.DUMMYFUNCTION("""COMPUTED_VALUE"""),"AH8379")</f>
        <v>AH8379</v>
      </c>
      <c r="B245" s="7" t="str">
        <f>IFERROR(__xludf.DUMMYFUNCTION("""COMPUTED_VALUE"""),"RUN-ABRM_2022-10-05_RFR-034")</f>
        <v>RUN-ABRM_2022-10-05_RFR-034</v>
      </c>
      <c r="C245" s="8">
        <f>VLOOKUP(B245,'Run Reconcile'!A$2:B3212,2,FALSE)</f>
        <v>44839</v>
      </c>
      <c r="D245" s="12">
        <f>IFERROR(__xludf.DUMMYFUNCTION("""COMPUTED_VALUE"""),44839.0)</f>
        <v>44839</v>
      </c>
      <c r="E245" s="13">
        <f>IFERROR(__xludf.DUMMYFUNCTION("""COMPUTED_VALUE"""),0.4159259259249666)</f>
        <v>0.4159259259</v>
      </c>
      <c r="F245" s="7" t="str">
        <f>IFERROR(__xludf.DUMMYFUNCTION("""COMPUTED_VALUE"""),"Negative")</f>
        <v>Negative</v>
      </c>
      <c r="G245" s="7">
        <f>IFERROR(__xludf.DUMMYFUNCTION("""COMPUTED_VALUE"""),2.0)</f>
        <v>2</v>
      </c>
    </row>
    <row r="246">
      <c r="A246" s="7" t="str">
        <f>IFERROR(__xludf.DUMMYFUNCTION("""COMPUTED_VALUE"""),"AG1091")</f>
        <v>AG1091</v>
      </c>
      <c r="B246" s="7" t="str">
        <f>IFERROR(__xludf.DUMMYFUNCTION("""COMPUTED_VALUE"""),"RUN-ABRM_2022-10-05_RFR-034")</f>
        <v>RUN-ABRM_2022-10-05_RFR-034</v>
      </c>
      <c r="C246" s="8">
        <f>VLOOKUP(B246,'Run Reconcile'!A$2:B3212,2,FALSE)</f>
        <v>44839</v>
      </c>
      <c r="D246" s="12">
        <f>IFERROR(__xludf.DUMMYFUNCTION("""COMPUTED_VALUE"""),44839.0)</f>
        <v>44839</v>
      </c>
      <c r="E246" s="13">
        <f>IFERROR(__xludf.DUMMYFUNCTION("""COMPUTED_VALUE"""),0.4162037037021946)</f>
        <v>0.4162037037</v>
      </c>
      <c r="F246" s="7" t="str">
        <f>IFERROR(__xludf.DUMMYFUNCTION("""COMPUTED_VALUE"""),"Negative")</f>
        <v>Negative</v>
      </c>
      <c r="G246" s="7">
        <f>IFERROR(__xludf.DUMMYFUNCTION("""COMPUTED_VALUE"""),3.0)</f>
        <v>3</v>
      </c>
    </row>
    <row r="247">
      <c r="A247" s="7" t="str">
        <f>IFERROR(__xludf.DUMMYFUNCTION("""COMPUTED_VALUE"""),"AG994")</f>
        <v>AG994</v>
      </c>
      <c r="B247" s="7" t="str">
        <f>IFERROR(__xludf.DUMMYFUNCTION("""COMPUTED_VALUE"""),"RUN-ABRM_2022-10-05_RFR-034")</f>
        <v>RUN-ABRM_2022-10-05_RFR-034</v>
      </c>
      <c r="C247" s="8">
        <f>VLOOKUP(B247,'Run Reconcile'!A$2:B3212,2,FALSE)</f>
        <v>44839</v>
      </c>
      <c r="D247" s="12">
        <f>IFERROR(__xludf.DUMMYFUNCTION("""COMPUTED_VALUE"""),44839.0)</f>
        <v>44839</v>
      </c>
      <c r="E247" s="13">
        <f>IFERROR(__xludf.DUMMYFUNCTION("""COMPUTED_VALUE"""),0.416469907406281)</f>
        <v>0.4164699074</v>
      </c>
      <c r="F247" s="7" t="str">
        <f>IFERROR(__xludf.DUMMYFUNCTION("""COMPUTED_VALUE"""),"Negative")</f>
        <v>Negative</v>
      </c>
      <c r="G247" s="7">
        <f>IFERROR(__xludf.DUMMYFUNCTION("""COMPUTED_VALUE"""),2.0)</f>
        <v>2</v>
      </c>
    </row>
    <row r="248">
      <c r="A248" s="7" t="str">
        <f>IFERROR(__xludf.DUMMYFUNCTION("""COMPUTED_VALUE"""),"AG1814")</f>
        <v>AG1814</v>
      </c>
      <c r="B248" s="7" t="str">
        <f>IFERROR(__xludf.DUMMYFUNCTION("""COMPUTED_VALUE"""),"RUN-ABRM_2022-10-05_RFR-034")</f>
        <v>RUN-ABRM_2022-10-05_RFR-034</v>
      </c>
      <c r="C248" s="8">
        <f>VLOOKUP(B248,'Run Reconcile'!A$2:B3212,2,FALSE)</f>
        <v>44839</v>
      </c>
      <c r="D248" s="12">
        <f>IFERROR(__xludf.DUMMYFUNCTION("""COMPUTED_VALUE"""),44839.0)</f>
        <v>44839</v>
      </c>
      <c r="E248" s="13">
        <f>IFERROR(__xludf.DUMMYFUNCTION("""COMPUTED_VALUE"""),0.4168981481489027)</f>
        <v>0.4168981481</v>
      </c>
      <c r="F248" s="7" t="str">
        <f>IFERROR(__xludf.DUMMYFUNCTION("""COMPUTED_VALUE"""),"Negative")</f>
        <v>Negative</v>
      </c>
      <c r="G248" s="7">
        <f>IFERROR(__xludf.DUMMYFUNCTION("""COMPUTED_VALUE"""),4.0)</f>
        <v>4</v>
      </c>
    </row>
    <row r="249">
      <c r="A249" s="7" t="str">
        <f>IFERROR(__xludf.DUMMYFUNCTION("""COMPUTED_VALUE"""),"AG1588")</f>
        <v>AG1588</v>
      </c>
      <c r="B249" s="7" t="str">
        <f>IFERROR(__xludf.DUMMYFUNCTION("""COMPUTED_VALUE"""),"RUN-ABRM_2022-10-05_RFR-034")</f>
        <v>RUN-ABRM_2022-10-05_RFR-034</v>
      </c>
      <c r="C249" s="8">
        <f>VLOOKUP(B249,'Run Reconcile'!A$2:B3212,2,FALSE)</f>
        <v>44839</v>
      </c>
      <c r="D249" s="12">
        <f>IFERROR(__xludf.DUMMYFUNCTION("""COMPUTED_VALUE"""),44839.0)</f>
        <v>44839</v>
      </c>
      <c r="E249" s="13">
        <f>IFERROR(__xludf.DUMMYFUNCTION("""COMPUTED_VALUE"""),0.41822916666569654)</f>
        <v>0.4182291667</v>
      </c>
      <c r="F249" s="7" t="str">
        <f>IFERROR(__xludf.DUMMYFUNCTION("""COMPUTED_VALUE"""),"Negative")</f>
        <v>Negative</v>
      </c>
      <c r="G249" s="7">
        <f>IFERROR(__xludf.DUMMYFUNCTION("""COMPUTED_VALUE"""),1.0)</f>
        <v>1</v>
      </c>
    </row>
    <row r="250">
      <c r="A250" s="7" t="str">
        <f>IFERROR(__xludf.DUMMYFUNCTION("""COMPUTED_VALUE"""),"AG1694")</f>
        <v>AG1694</v>
      </c>
      <c r="B250" s="7" t="str">
        <f>IFERROR(__xludf.DUMMYFUNCTION("""COMPUTED_VALUE"""),"RUN-ABRM_2022-10-06_RFR-036")</f>
        <v>RUN-ABRM_2022-10-06_RFR-036</v>
      </c>
      <c r="C250" s="8">
        <f>VLOOKUP(B250,'Run Reconcile'!A$2:B3212,2,FALSE)</f>
        <v>44840</v>
      </c>
      <c r="D250" s="12">
        <f>IFERROR(__xludf.DUMMYFUNCTION("""COMPUTED_VALUE"""),44840.0)</f>
        <v>44840</v>
      </c>
      <c r="E250" s="13">
        <f>IFERROR(__xludf.DUMMYFUNCTION("""COMPUTED_VALUE"""),0.2560648148137261)</f>
        <v>0.2560648148</v>
      </c>
      <c r="F250" s="7" t="str">
        <f>IFERROR(__xludf.DUMMYFUNCTION("""COMPUTED_VALUE"""),"Negative")</f>
        <v>Negative</v>
      </c>
      <c r="G250" s="7">
        <f>IFERROR(__xludf.DUMMYFUNCTION("""COMPUTED_VALUE"""),1.0)</f>
        <v>1</v>
      </c>
    </row>
    <row r="251">
      <c r="A251" s="7" t="str">
        <f>IFERROR(__xludf.DUMMYFUNCTION("""COMPUTED_VALUE"""),"AH9775")</f>
        <v>AH9775</v>
      </c>
      <c r="B251" s="7" t="str">
        <f>IFERROR(__xludf.DUMMYFUNCTION("""COMPUTED_VALUE"""),"RUN-ABRM_2022-10-06_RFR-036")</f>
        <v>RUN-ABRM_2022-10-06_RFR-036</v>
      </c>
      <c r="C251" s="8">
        <f>VLOOKUP(B251,'Run Reconcile'!A$2:B3212,2,FALSE)</f>
        <v>44840</v>
      </c>
      <c r="D251" s="12">
        <f>IFERROR(__xludf.DUMMYFUNCTION("""COMPUTED_VALUE"""),44840.0)</f>
        <v>44840</v>
      </c>
      <c r="E251" s="13">
        <f>IFERROR(__xludf.DUMMYFUNCTION("""COMPUTED_VALUE"""),0.2703009259275859)</f>
        <v>0.2703009259</v>
      </c>
      <c r="F251" s="7" t="str">
        <f>IFERROR(__xludf.DUMMYFUNCTION("""COMPUTED_VALUE"""),"Negative")</f>
        <v>Negative</v>
      </c>
      <c r="G251" s="7">
        <f>IFERROR(__xludf.DUMMYFUNCTION("""COMPUTED_VALUE"""),2.0)</f>
        <v>2</v>
      </c>
    </row>
    <row r="252">
      <c r="A252" s="7" t="str">
        <f>IFERROR(__xludf.DUMMYFUNCTION("""COMPUTED_VALUE"""),"AG1672")</f>
        <v>AG1672</v>
      </c>
      <c r="B252" s="7" t="str">
        <f>IFERROR(__xludf.DUMMYFUNCTION("""COMPUTED_VALUE"""),"RUN-ABRM_2022-10-06_RFR-036")</f>
        <v>RUN-ABRM_2022-10-06_RFR-036</v>
      </c>
      <c r="C252" s="8">
        <f>VLOOKUP(B252,'Run Reconcile'!A$2:B3212,2,FALSE)</f>
        <v>44840</v>
      </c>
      <c r="D252" s="12">
        <f>IFERROR(__xludf.DUMMYFUNCTION("""COMPUTED_VALUE"""),44840.0)</f>
        <v>44840</v>
      </c>
      <c r="E252" s="13">
        <f>IFERROR(__xludf.DUMMYFUNCTION("""COMPUTED_VALUE"""),0.28043981481459923)</f>
        <v>0.2804398148</v>
      </c>
      <c r="F252" s="7" t="str">
        <f>IFERROR(__xludf.DUMMYFUNCTION("""COMPUTED_VALUE"""),"Negative")</f>
        <v>Negative</v>
      </c>
      <c r="G252" s="7">
        <f>IFERROR(__xludf.DUMMYFUNCTION("""COMPUTED_VALUE"""),4.0)</f>
        <v>4</v>
      </c>
    </row>
    <row r="253">
      <c r="A253" s="7" t="str">
        <f>IFERROR(__xludf.DUMMYFUNCTION("""COMPUTED_VALUE"""),"AG2171")</f>
        <v>AG2171</v>
      </c>
      <c r="B253" s="7" t="str">
        <f>IFERROR(__xludf.DUMMYFUNCTION("""COMPUTED_VALUE"""),"RUN-ABRM_2022-10-06_RFR-036")</f>
        <v>RUN-ABRM_2022-10-06_RFR-036</v>
      </c>
      <c r="C253" s="8">
        <f>VLOOKUP(B253,'Run Reconcile'!A$2:B3212,2,FALSE)</f>
        <v>44840</v>
      </c>
      <c r="D253" s="12">
        <f>IFERROR(__xludf.DUMMYFUNCTION("""COMPUTED_VALUE"""),44840.0)</f>
        <v>44840</v>
      </c>
      <c r="E253" s="13">
        <f>IFERROR(__xludf.DUMMYFUNCTION("""COMPUTED_VALUE"""),0.2910648148135806)</f>
        <v>0.2910648148</v>
      </c>
      <c r="F253" s="7" t="str">
        <f>IFERROR(__xludf.DUMMYFUNCTION("""COMPUTED_VALUE"""),"Negative")</f>
        <v>Negative</v>
      </c>
      <c r="G253" s="7">
        <f>IFERROR(__xludf.DUMMYFUNCTION("""COMPUTED_VALUE"""),3.0)</f>
        <v>3</v>
      </c>
    </row>
    <row r="254">
      <c r="A254" s="7" t="str">
        <f>IFERROR(__xludf.DUMMYFUNCTION("""COMPUTED_VALUE"""),"AG437")</f>
        <v>AG437</v>
      </c>
      <c r="B254" s="7" t="str">
        <f>IFERROR(__xludf.DUMMYFUNCTION("""COMPUTED_VALUE"""),"RUN-ABRM_2022-10-06_RFR-036")</f>
        <v>RUN-ABRM_2022-10-06_RFR-036</v>
      </c>
      <c r="C254" s="8">
        <f>VLOOKUP(B254,'Run Reconcile'!A$2:B3212,2,FALSE)</f>
        <v>44840</v>
      </c>
      <c r="D254" s="12">
        <f>IFERROR(__xludf.DUMMYFUNCTION("""COMPUTED_VALUE"""),44840.0)</f>
        <v>44840</v>
      </c>
      <c r="E254" s="13">
        <f>IFERROR(__xludf.DUMMYFUNCTION("""COMPUTED_VALUE"""),0.29289351851912215)</f>
        <v>0.2928935185</v>
      </c>
      <c r="F254" s="7" t="str">
        <f>IFERROR(__xludf.DUMMYFUNCTION("""COMPUTED_VALUE"""),"Negative")</f>
        <v>Negative</v>
      </c>
      <c r="G254" s="7">
        <f>IFERROR(__xludf.DUMMYFUNCTION("""COMPUTED_VALUE"""),3.0)</f>
        <v>3</v>
      </c>
    </row>
    <row r="255">
      <c r="A255" s="7" t="str">
        <f>IFERROR(__xludf.DUMMYFUNCTION("""COMPUTED_VALUE"""),"AH8855")</f>
        <v>AH8855</v>
      </c>
      <c r="B255" s="7" t="str">
        <f>IFERROR(__xludf.DUMMYFUNCTION("""COMPUTED_VALUE"""),"RUN-ABRM_2022-10-06_RFR-036")</f>
        <v>RUN-ABRM_2022-10-06_RFR-036</v>
      </c>
      <c r="C255" s="8">
        <f>VLOOKUP(B255,'Run Reconcile'!A$2:B3212,2,FALSE)</f>
        <v>44840</v>
      </c>
      <c r="D255" s="12">
        <f>IFERROR(__xludf.DUMMYFUNCTION("""COMPUTED_VALUE"""),44840.0)</f>
        <v>44840</v>
      </c>
      <c r="E255" s="13">
        <f>IFERROR(__xludf.DUMMYFUNCTION("""COMPUTED_VALUE"""),0.29416666666656965)</f>
        <v>0.2941666667</v>
      </c>
      <c r="F255" s="7" t="str">
        <f>IFERROR(__xludf.DUMMYFUNCTION("""COMPUTED_VALUE"""),"Negative")</f>
        <v>Negative</v>
      </c>
      <c r="G255" s="7">
        <f>IFERROR(__xludf.DUMMYFUNCTION("""COMPUTED_VALUE"""),2.0)</f>
        <v>2</v>
      </c>
    </row>
    <row r="256">
      <c r="A256" s="7" t="str">
        <f>IFERROR(__xludf.DUMMYFUNCTION("""COMPUTED_VALUE"""),"AH9065")</f>
        <v>AH9065</v>
      </c>
      <c r="B256" s="7" t="str">
        <f>IFERROR(__xludf.DUMMYFUNCTION("""COMPUTED_VALUE"""),"RUN-ABRM_2022-10-06_RFR-036")</f>
        <v>RUN-ABRM_2022-10-06_RFR-036</v>
      </c>
      <c r="C256" s="8">
        <f>VLOOKUP(B256,'Run Reconcile'!A$2:B3212,2,FALSE)</f>
        <v>44840</v>
      </c>
      <c r="D256" s="12">
        <f>IFERROR(__xludf.DUMMYFUNCTION("""COMPUTED_VALUE"""),44840.0)</f>
        <v>44840</v>
      </c>
      <c r="E256" s="13">
        <f>IFERROR(__xludf.DUMMYFUNCTION("""COMPUTED_VALUE"""),0.3004745370380988)</f>
        <v>0.300474537</v>
      </c>
      <c r="F256" s="7" t="str">
        <f>IFERROR(__xludf.DUMMYFUNCTION("""COMPUTED_VALUE"""),"Negative")</f>
        <v>Negative</v>
      </c>
      <c r="G256" s="7">
        <f>IFERROR(__xludf.DUMMYFUNCTION("""COMPUTED_VALUE"""),1.0)</f>
        <v>1</v>
      </c>
    </row>
    <row r="257">
      <c r="A257" s="7" t="str">
        <f>IFERROR(__xludf.DUMMYFUNCTION("""COMPUTED_VALUE"""),"AG218")</f>
        <v>AG218</v>
      </c>
      <c r="B257" s="7" t="str">
        <f>IFERROR(__xludf.DUMMYFUNCTION("""COMPUTED_VALUE"""),"RUN-ABRM_2022-10-06_RFR-036")</f>
        <v>RUN-ABRM_2022-10-06_RFR-036</v>
      </c>
      <c r="C257" s="8">
        <f>VLOOKUP(B257,'Run Reconcile'!A$2:B3212,2,FALSE)</f>
        <v>44840</v>
      </c>
      <c r="D257" s="12">
        <f>IFERROR(__xludf.DUMMYFUNCTION("""COMPUTED_VALUE"""),44840.0)</f>
        <v>44840</v>
      </c>
      <c r="E257" s="13">
        <f>IFERROR(__xludf.DUMMYFUNCTION("""COMPUTED_VALUE"""),0.31207175926101627)</f>
        <v>0.3120717593</v>
      </c>
      <c r="F257" s="7" t="str">
        <f>IFERROR(__xludf.DUMMYFUNCTION("""COMPUTED_VALUE"""),"Negative")</f>
        <v>Negative</v>
      </c>
      <c r="G257" s="7">
        <f>IFERROR(__xludf.DUMMYFUNCTION("""COMPUTED_VALUE"""),2.0)</f>
        <v>2</v>
      </c>
    </row>
    <row r="258">
      <c r="A258" s="7" t="str">
        <f>IFERROR(__xludf.DUMMYFUNCTION("""COMPUTED_VALUE"""),"AG959")</f>
        <v>AG959</v>
      </c>
      <c r="B258" s="7" t="str">
        <f>IFERROR(__xludf.DUMMYFUNCTION("""COMPUTED_VALUE"""),"RUN-ABRM_2022-10-06_RFR-036")</f>
        <v>RUN-ABRM_2022-10-06_RFR-036</v>
      </c>
      <c r="C258" s="8">
        <f>VLOOKUP(B258,'Run Reconcile'!A$2:B3212,2,FALSE)</f>
        <v>44840</v>
      </c>
      <c r="D258" s="12">
        <f>IFERROR(__xludf.DUMMYFUNCTION("""COMPUTED_VALUE"""),44840.0)</f>
        <v>44840</v>
      </c>
      <c r="E258" s="13">
        <f>IFERROR(__xludf.DUMMYFUNCTION("""COMPUTED_VALUE"""),0.3223032407404389)</f>
        <v>0.3223032407</v>
      </c>
      <c r="F258" s="7" t="str">
        <f>IFERROR(__xludf.DUMMYFUNCTION("""COMPUTED_VALUE"""),"Negative")</f>
        <v>Negative</v>
      </c>
      <c r="G258" s="7">
        <f>IFERROR(__xludf.DUMMYFUNCTION("""COMPUTED_VALUE"""),2.0)</f>
        <v>2</v>
      </c>
    </row>
    <row r="259">
      <c r="A259" s="7" t="str">
        <f>IFERROR(__xludf.DUMMYFUNCTION("""COMPUTED_VALUE"""),"AH9711")</f>
        <v>AH9711</v>
      </c>
      <c r="B259" s="7" t="str">
        <f>IFERROR(__xludf.DUMMYFUNCTION("""COMPUTED_VALUE"""),"RUN-ABRM_2022-10-06_RFR-036")</f>
        <v>RUN-ABRM_2022-10-06_RFR-036</v>
      </c>
      <c r="C259" s="8">
        <f>VLOOKUP(B259,'Run Reconcile'!A$2:B3212,2,FALSE)</f>
        <v>44840</v>
      </c>
      <c r="D259" s="12">
        <f>IFERROR(__xludf.DUMMYFUNCTION("""COMPUTED_VALUE"""),44840.0)</f>
        <v>44840</v>
      </c>
      <c r="E259" s="13">
        <f>IFERROR(__xludf.DUMMYFUNCTION("""COMPUTED_VALUE"""),0.32581018518612836)</f>
        <v>0.3258101852</v>
      </c>
      <c r="F259" s="7" t="str">
        <f>IFERROR(__xludf.DUMMYFUNCTION("""COMPUTED_VALUE"""),"Negative")</f>
        <v>Negative</v>
      </c>
      <c r="G259" s="7">
        <f>IFERROR(__xludf.DUMMYFUNCTION("""COMPUTED_VALUE"""),3.0)</f>
        <v>3</v>
      </c>
    </row>
    <row r="260">
      <c r="A260" s="7" t="str">
        <f>IFERROR(__xludf.DUMMYFUNCTION("""COMPUTED_VALUE"""),"AG1838")</f>
        <v>AG1838</v>
      </c>
      <c r="B260" s="7" t="str">
        <f>IFERROR(__xludf.DUMMYFUNCTION("""COMPUTED_VALUE"""),"RUN-ABRM_2022-10-06_RFR-036")</f>
        <v>RUN-ABRM_2022-10-06_RFR-036</v>
      </c>
      <c r="C260" s="8">
        <f>VLOOKUP(B260,'Run Reconcile'!A$2:B3212,2,FALSE)</f>
        <v>44840</v>
      </c>
      <c r="D260" s="12">
        <f>IFERROR(__xludf.DUMMYFUNCTION("""COMPUTED_VALUE"""),44840.0)</f>
        <v>44840</v>
      </c>
      <c r="E260" s="13">
        <f>IFERROR(__xludf.DUMMYFUNCTION("""COMPUTED_VALUE"""),0.3262384259251121)</f>
        <v>0.3262384259</v>
      </c>
      <c r="F260" s="7" t="str">
        <f>IFERROR(__xludf.DUMMYFUNCTION("""COMPUTED_VALUE"""),"Negative")</f>
        <v>Negative</v>
      </c>
      <c r="G260" s="7">
        <f>IFERROR(__xludf.DUMMYFUNCTION("""COMPUTED_VALUE"""),2.0)</f>
        <v>2</v>
      </c>
    </row>
    <row r="261">
      <c r="A261" s="7" t="str">
        <f>IFERROR(__xludf.DUMMYFUNCTION("""COMPUTED_VALUE"""),"AG1674")</f>
        <v>AG1674</v>
      </c>
      <c r="B261" s="7" t="str">
        <f>IFERROR(__xludf.DUMMYFUNCTION("""COMPUTED_VALUE"""),"RUN-ABRM_2022-10-06_RFR-036")</f>
        <v>RUN-ABRM_2022-10-06_RFR-036</v>
      </c>
      <c r="C261" s="8">
        <f>VLOOKUP(B261,'Run Reconcile'!A$2:B3212,2,FALSE)</f>
        <v>44840</v>
      </c>
      <c r="D261" s="12">
        <f>IFERROR(__xludf.DUMMYFUNCTION("""COMPUTED_VALUE"""),44840.0)</f>
        <v>44840</v>
      </c>
      <c r="E261" s="13">
        <f>IFERROR(__xludf.DUMMYFUNCTION("""COMPUTED_VALUE"""),0.34034722222349956)</f>
        <v>0.3403472222</v>
      </c>
      <c r="F261" s="7" t="str">
        <f>IFERROR(__xludf.DUMMYFUNCTION("""COMPUTED_VALUE"""),"Negative")</f>
        <v>Negative</v>
      </c>
      <c r="G261" s="7">
        <f>IFERROR(__xludf.DUMMYFUNCTION("""COMPUTED_VALUE"""),3.0)</f>
        <v>3</v>
      </c>
    </row>
    <row r="262">
      <c r="A262" s="7" t="str">
        <f>IFERROR(__xludf.DUMMYFUNCTION("""COMPUTED_VALUE"""),"AG613")</f>
        <v>AG613</v>
      </c>
      <c r="B262" s="7" t="str">
        <f>IFERROR(__xludf.DUMMYFUNCTION("""COMPUTED_VALUE"""),"RUN-ABRM_2022-10-07_RFR-037")</f>
        <v>RUN-ABRM_2022-10-07_RFR-037</v>
      </c>
      <c r="C262" s="8">
        <f>VLOOKUP(B262,'Run Reconcile'!A$2:B3212,2,FALSE)</f>
        <v>44841</v>
      </c>
      <c r="D262" s="12">
        <f>IFERROR(__xludf.DUMMYFUNCTION("""COMPUTED_VALUE"""),44841.0)</f>
        <v>44841</v>
      </c>
      <c r="E262" s="13">
        <f>IFERROR(__xludf.DUMMYFUNCTION("""COMPUTED_VALUE"""),0.21240740740904585)</f>
        <v>0.2124074074</v>
      </c>
      <c r="F262" s="7" t="str">
        <f>IFERROR(__xludf.DUMMYFUNCTION("""COMPUTED_VALUE"""),"Negative")</f>
        <v>Negative</v>
      </c>
      <c r="G262" s="7">
        <f>IFERROR(__xludf.DUMMYFUNCTION("""COMPUTED_VALUE"""),1.0)</f>
        <v>1</v>
      </c>
    </row>
    <row r="263">
      <c r="A263" s="7" t="str">
        <f>IFERROR(__xludf.DUMMYFUNCTION("""COMPUTED_VALUE"""),"AG2071")</f>
        <v>AG2071</v>
      </c>
      <c r="B263" s="7" t="str">
        <f>IFERROR(__xludf.DUMMYFUNCTION("""COMPUTED_VALUE"""),"RUN-ABRM_2022-10-07_RFR-037")</f>
        <v>RUN-ABRM_2022-10-07_RFR-037</v>
      </c>
      <c r="C263" s="8">
        <f>VLOOKUP(B263,'Run Reconcile'!A$2:B3212,2,FALSE)</f>
        <v>44841</v>
      </c>
      <c r="D263" s="12">
        <f>IFERROR(__xludf.DUMMYFUNCTION("""COMPUTED_VALUE"""),44841.0)</f>
        <v>44841</v>
      </c>
      <c r="E263" s="13">
        <f>IFERROR(__xludf.DUMMYFUNCTION("""COMPUTED_VALUE"""),0.24499999999898137)</f>
        <v>0.245</v>
      </c>
      <c r="F263" s="7" t="str">
        <f>IFERROR(__xludf.DUMMYFUNCTION("""COMPUTED_VALUE"""),"Negative")</f>
        <v>Negative</v>
      </c>
      <c r="G263" s="7">
        <f>IFERROR(__xludf.DUMMYFUNCTION("""COMPUTED_VALUE"""),2.0)</f>
        <v>2</v>
      </c>
    </row>
    <row r="264">
      <c r="A264" s="7" t="str">
        <f>IFERROR(__xludf.DUMMYFUNCTION("""COMPUTED_VALUE"""),"AG1147")</f>
        <v>AG1147</v>
      </c>
      <c r="B264" s="7" t="str">
        <f>IFERROR(__xludf.DUMMYFUNCTION("""COMPUTED_VALUE"""),"RUN-ABRM_2022-10-07_RFR-037")</f>
        <v>RUN-ABRM_2022-10-07_RFR-037</v>
      </c>
      <c r="C264" s="8">
        <f>VLOOKUP(B264,'Run Reconcile'!A$2:B3212,2,FALSE)</f>
        <v>44841</v>
      </c>
      <c r="D264" s="12">
        <f>IFERROR(__xludf.DUMMYFUNCTION("""COMPUTED_VALUE"""),44841.0)</f>
        <v>44841</v>
      </c>
      <c r="E264" s="13">
        <f>IFERROR(__xludf.DUMMYFUNCTION("""COMPUTED_VALUE"""),0.2543634259272949)</f>
        <v>0.2543634259</v>
      </c>
      <c r="F264" s="7" t="str">
        <f>IFERROR(__xludf.DUMMYFUNCTION("""COMPUTED_VALUE"""),"Negative")</f>
        <v>Negative</v>
      </c>
      <c r="G264" s="7">
        <f>IFERROR(__xludf.DUMMYFUNCTION("""COMPUTED_VALUE"""),3.0)</f>
        <v>3</v>
      </c>
    </row>
    <row r="265">
      <c r="A265" s="7" t="str">
        <f>IFERROR(__xludf.DUMMYFUNCTION("""COMPUTED_VALUE"""),"AG1926")</f>
        <v>AG1926</v>
      </c>
      <c r="B265" s="7" t="str">
        <f>IFERROR(__xludf.DUMMYFUNCTION("""COMPUTED_VALUE"""),"RUN-ABRM_2022-10-07_RFR-037")</f>
        <v>RUN-ABRM_2022-10-07_RFR-037</v>
      </c>
      <c r="C265" s="8">
        <f>VLOOKUP(B265,'Run Reconcile'!A$2:B3212,2,FALSE)</f>
        <v>44841</v>
      </c>
      <c r="D265" s="12">
        <f>IFERROR(__xludf.DUMMYFUNCTION("""COMPUTED_VALUE"""),44841.0)</f>
        <v>44841</v>
      </c>
      <c r="E265" s="13">
        <f>IFERROR(__xludf.DUMMYFUNCTION("""COMPUTED_VALUE"""),0.2558449074058444)</f>
        <v>0.2558449074</v>
      </c>
      <c r="F265" s="7" t="str">
        <f>IFERROR(__xludf.DUMMYFUNCTION("""COMPUTED_VALUE"""),"Negative")</f>
        <v>Negative</v>
      </c>
      <c r="G265" s="7">
        <f>IFERROR(__xludf.DUMMYFUNCTION("""COMPUTED_VALUE"""),3.0)</f>
        <v>3</v>
      </c>
    </row>
    <row r="266">
      <c r="A266" s="7" t="str">
        <f>IFERROR(__xludf.DUMMYFUNCTION("""COMPUTED_VALUE"""),"AH9002")</f>
        <v>AH9002</v>
      </c>
      <c r="B266" s="7" t="str">
        <f>IFERROR(__xludf.DUMMYFUNCTION("""COMPUTED_VALUE"""),"RUN-ABRM_2022-10-07_RFR-037")</f>
        <v>RUN-ABRM_2022-10-07_RFR-037</v>
      </c>
      <c r="C266" s="8">
        <f>VLOOKUP(B266,'Run Reconcile'!A$2:B3212,2,FALSE)</f>
        <v>44841</v>
      </c>
      <c r="D266" s="12">
        <f>IFERROR(__xludf.DUMMYFUNCTION("""COMPUTED_VALUE"""),44841.0)</f>
        <v>44841</v>
      </c>
      <c r="E266" s="13">
        <f>IFERROR(__xludf.DUMMYFUNCTION("""COMPUTED_VALUE"""),0.260219907406281)</f>
        <v>0.2602199074</v>
      </c>
      <c r="F266" s="7" t="str">
        <f>IFERROR(__xludf.DUMMYFUNCTION("""COMPUTED_VALUE"""),"Negative")</f>
        <v>Negative</v>
      </c>
      <c r="G266" s="7">
        <f>IFERROR(__xludf.DUMMYFUNCTION("""COMPUTED_VALUE"""),3.0)</f>
        <v>3</v>
      </c>
    </row>
    <row r="267">
      <c r="A267" s="7" t="str">
        <f>IFERROR(__xludf.DUMMYFUNCTION("""COMPUTED_VALUE"""),"AK5791")</f>
        <v>AK5791</v>
      </c>
      <c r="B267" s="7" t="str">
        <f>IFERROR(__xludf.DUMMYFUNCTION("""COMPUTED_VALUE"""),"RUN-ABRM_2022-10-07_RFR-037")</f>
        <v>RUN-ABRM_2022-10-07_RFR-037</v>
      </c>
      <c r="C267" s="8">
        <f>VLOOKUP(B267,'Run Reconcile'!A$2:B3212,2,FALSE)</f>
        <v>44841</v>
      </c>
      <c r="D267" s="12">
        <f>IFERROR(__xludf.DUMMYFUNCTION("""COMPUTED_VALUE"""),44841.0)</f>
        <v>44841</v>
      </c>
      <c r="E267" s="13">
        <f>IFERROR(__xludf.DUMMYFUNCTION("""COMPUTED_VALUE"""),0.2695601851846732)</f>
        <v>0.2695601852</v>
      </c>
      <c r="F267" s="7" t="str">
        <f>IFERROR(__xludf.DUMMYFUNCTION("""COMPUTED_VALUE"""),"Negative")</f>
        <v>Negative</v>
      </c>
      <c r="G267" s="7">
        <f>IFERROR(__xludf.DUMMYFUNCTION("""COMPUTED_VALUE"""),3.0)</f>
        <v>3</v>
      </c>
    </row>
    <row r="268">
      <c r="A268" s="7" t="str">
        <f>IFERROR(__xludf.DUMMYFUNCTION("""COMPUTED_VALUE"""),"AG1555")</f>
        <v>AG1555</v>
      </c>
      <c r="B268" s="7" t="str">
        <f>IFERROR(__xludf.DUMMYFUNCTION("""COMPUTED_VALUE"""),"RUN-ABRM_2022-10-07_RFR-037")</f>
        <v>RUN-ABRM_2022-10-07_RFR-037</v>
      </c>
      <c r="C268" s="8">
        <f>VLOOKUP(B268,'Run Reconcile'!A$2:B3212,2,FALSE)</f>
        <v>44841</v>
      </c>
      <c r="D268" s="12">
        <f>IFERROR(__xludf.DUMMYFUNCTION("""COMPUTED_VALUE"""),44841.0)</f>
        <v>44841</v>
      </c>
      <c r="E268" s="13">
        <f>IFERROR(__xludf.DUMMYFUNCTION("""COMPUTED_VALUE"""),0.2848842592575238)</f>
        <v>0.2848842593</v>
      </c>
      <c r="F268" s="7" t="str">
        <f>IFERROR(__xludf.DUMMYFUNCTION("""COMPUTED_VALUE"""),"Negative")</f>
        <v>Negative</v>
      </c>
      <c r="G268" s="7">
        <f>IFERROR(__xludf.DUMMYFUNCTION("""COMPUTED_VALUE"""),2.0)</f>
        <v>2</v>
      </c>
    </row>
    <row r="269">
      <c r="A269" s="7" t="str">
        <f>IFERROR(__xludf.DUMMYFUNCTION("""COMPUTED_VALUE"""),"AH9909")</f>
        <v>AH9909</v>
      </c>
      <c r="B269" s="7" t="str">
        <f>IFERROR(__xludf.DUMMYFUNCTION("""COMPUTED_VALUE"""),"RUN-ABRM_2022-10-07_RFR-037")</f>
        <v>RUN-ABRM_2022-10-07_RFR-037</v>
      </c>
      <c r="C269" s="8">
        <f>VLOOKUP(B269,'Run Reconcile'!A$2:B3212,2,FALSE)</f>
        <v>44841</v>
      </c>
      <c r="D269" s="12">
        <f>IFERROR(__xludf.DUMMYFUNCTION("""COMPUTED_VALUE"""),44841.0)</f>
        <v>44841</v>
      </c>
      <c r="E269" s="13">
        <f>IFERROR(__xludf.DUMMYFUNCTION("""COMPUTED_VALUE"""),0.2905092592591245)</f>
        <v>0.2905092593</v>
      </c>
      <c r="F269" s="7" t="str">
        <f>IFERROR(__xludf.DUMMYFUNCTION("""COMPUTED_VALUE"""),"Negative")</f>
        <v>Negative</v>
      </c>
      <c r="G269" s="7">
        <f>IFERROR(__xludf.DUMMYFUNCTION("""COMPUTED_VALUE"""),2.0)</f>
        <v>2</v>
      </c>
    </row>
    <row r="270">
      <c r="A270" s="7" t="str">
        <f>IFERROR(__xludf.DUMMYFUNCTION("""COMPUTED_VALUE"""),"AG478")</f>
        <v>AG478</v>
      </c>
      <c r="B270" s="7" t="str">
        <f>IFERROR(__xludf.DUMMYFUNCTION("""COMPUTED_VALUE"""),"RUN-ABRM_2022-10-07_RFR-037")</f>
        <v>RUN-ABRM_2022-10-07_RFR-037</v>
      </c>
      <c r="C270" s="8">
        <f>VLOOKUP(B270,'Run Reconcile'!A$2:B3212,2,FALSE)</f>
        <v>44841</v>
      </c>
      <c r="D270" s="12">
        <f>IFERROR(__xludf.DUMMYFUNCTION("""COMPUTED_VALUE"""),44841.0)</f>
        <v>44841</v>
      </c>
      <c r="E270" s="13">
        <f>IFERROR(__xludf.DUMMYFUNCTION("""COMPUTED_VALUE"""),0.31008101851693937)</f>
        <v>0.3100810185</v>
      </c>
      <c r="F270" s="7" t="str">
        <f>IFERROR(__xludf.DUMMYFUNCTION("""COMPUTED_VALUE"""),"Negative")</f>
        <v>Negative</v>
      </c>
      <c r="G270" s="7">
        <f>IFERROR(__xludf.DUMMYFUNCTION("""COMPUTED_VALUE"""),4.0)</f>
        <v>4</v>
      </c>
    </row>
    <row r="271">
      <c r="A271" s="7" t="str">
        <f>IFERROR(__xludf.DUMMYFUNCTION("""COMPUTED_VALUE"""),"AH8169")</f>
        <v>AH8169</v>
      </c>
      <c r="B271" s="7" t="str">
        <f>IFERROR(__xludf.DUMMYFUNCTION("""COMPUTED_VALUE"""),"RUN-ABRM_2022-10-07_RFR-037")</f>
        <v>RUN-ABRM_2022-10-07_RFR-037</v>
      </c>
      <c r="C271" s="8">
        <f>VLOOKUP(B271,'Run Reconcile'!A$2:B3212,2,FALSE)</f>
        <v>44841</v>
      </c>
      <c r="D271" s="12">
        <f>IFERROR(__xludf.DUMMYFUNCTION("""COMPUTED_VALUE"""),44841.0)</f>
        <v>44841</v>
      </c>
      <c r="E271" s="13">
        <f>IFERROR(__xludf.DUMMYFUNCTION("""COMPUTED_VALUE"""),0.3103935185172304)</f>
        <v>0.3103935185</v>
      </c>
      <c r="F271" s="7" t="str">
        <f>IFERROR(__xludf.DUMMYFUNCTION("""COMPUTED_VALUE"""),"Negative")</f>
        <v>Negative</v>
      </c>
      <c r="G271" s="7">
        <f>IFERROR(__xludf.DUMMYFUNCTION("""COMPUTED_VALUE"""),1.0)</f>
        <v>1</v>
      </c>
    </row>
    <row r="272">
      <c r="A272" s="7" t="str">
        <f>IFERROR(__xludf.DUMMYFUNCTION("""COMPUTED_VALUE"""),"AG2111")</f>
        <v>AG2111</v>
      </c>
      <c r="B272" s="7" t="str">
        <f>IFERROR(__xludf.DUMMYFUNCTION("""COMPUTED_VALUE"""),"RUN-ABRM_2022-10-07_RFR-037")</f>
        <v>RUN-ABRM_2022-10-07_RFR-037</v>
      </c>
      <c r="C272" s="8">
        <f>VLOOKUP(B272,'Run Reconcile'!A$2:B3212,2,FALSE)</f>
        <v>44841</v>
      </c>
      <c r="D272" s="12">
        <f>IFERROR(__xludf.DUMMYFUNCTION("""COMPUTED_VALUE"""),44841.0)</f>
        <v>44841</v>
      </c>
      <c r="E272" s="13">
        <f>IFERROR(__xludf.DUMMYFUNCTION("""COMPUTED_VALUE"""),0.3282060185192677)</f>
        <v>0.3282060185</v>
      </c>
      <c r="F272" s="7" t="str">
        <f>IFERROR(__xludf.DUMMYFUNCTION("""COMPUTED_VALUE"""),"Negative")</f>
        <v>Negative</v>
      </c>
      <c r="G272" s="7">
        <f>IFERROR(__xludf.DUMMYFUNCTION("""COMPUTED_VALUE"""),3.0)</f>
        <v>3</v>
      </c>
    </row>
    <row r="273">
      <c r="A273" s="7" t="str">
        <f>IFERROR(__xludf.DUMMYFUNCTION("""COMPUTED_VALUE"""),"AG237")</f>
        <v>AG237</v>
      </c>
      <c r="B273" s="7" t="str">
        <f>IFERROR(__xludf.DUMMYFUNCTION("""COMPUTED_VALUE"""),"RUN-ABRM_2022-10-07_RFR-037")</f>
        <v>RUN-ABRM_2022-10-07_RFR-037</v>
      </c>
      <c r="C273" s="8">
        <f>VLOOKUP(B273,'Run Reconcile'!A$2:B3212,2,FALSE)</f>
        <v>44841</v>
      </c>
      <c r="D273" s="12">
        <f>IFERROR(__xludf.DUMMYFUNCTION("""COMPUTED_VALUE"""),44841.0)</f>
        <v>44841</v>
      </c>
      <c r="E273" s="13">
        <f>IFERROR(__xludf.DUMMYFUNCTION("""COMPUTED_VALUE"""),0.3294791666667152)</f>
        <v>0.3294791667</v>
      </c>
      <c r="F273" s="7" t="str">
        <f>IFERROR(__xludf.DUMMYFUNCTION("""COMPUTED_VALUE"""),"Negative")</f>
        <v>Negative</v>
      </c>
      <c r="G273" s="7">
        <f>IFERROR(__xludf.DUMMYFUNCTION("""COMPUTED_VALUE"""),1.0)</f>
        <v>1</v>
      </c>
    </row>
    <row r="274">
      <c r="A274" s="7" t="str">
        <f>IFERROR(__xludf.DUMMYFUNCTION("""COMPUTED_VALUE"""),"AG665")</f>
        <v>AG665</v>
      </c>
      <c r="B274" s="7" t="str">
        <f>IFERROR(__xludf.DUMMYFUNCTION("""COMPUTED_VALUE"""),"RUN-ABRM_2022-10-10_RFR-038")</f>
        <v>RUN-ABRM_2022-10-10_RFR-038</v>
      </c>
      <c r="C274" s="8">
        <f>VLOOKUP(B274,'Run Reconcile'!A$2:B3212,2,FALSE)</f>
        <v>44844</v>
      </c>
      <c r="D274" s="12">
        <f>IFERROR(__xludf.DUMMYFUNCTION("""COMPUTED_VALUE"""),44844.0)</f>
        <v>44844</v>
      </c>
      <c r="E274" s="13">
        <f>IFERROR(__xludf.DUMMYFUNCTION("""COMPUTED_VALUE"""),0.2520601851865649)</f>
        <v>0.2520601852</v>
      </c>
      <c r="F274" s="7" t="str">
        <f>IFERROR(__xludf.DUMMYFUNCTION("""COMPUTED_VALUE"""),"Negative")</f>
        <v>Negative</v>
      </c>
      <c r="G274" s="7">
        <f>IFERROR(__xludf.DUMMYFUNCTION("""COMPUTED_VALUE"""),3.0)</f>
        <v>3</v>
      </c>
    </row>
    <row r="275">
      <c r="A275" s="7" t="str">
        <f>IFERROR(__xludf.DUMMYFUNCTION("""COMPUTED_VALUE"""),"AH7982")</f>
        <v>AH7982</v>
      </c>
      <c r="B275" s="7" t="str">
        <f>IFERROR(__xludf.DUMMYFUNCTION("""COMPUTED_VALUE"""),"RUN-ABRM_2022-10-10_RFR-038")</f>
        <v>RUN-ABRM_2022-10-10_RFR-038</v>
      </c>
      <c r="C275" s="8">
        <f>VLOOKUP(B275,'Run Reconcile'!A$2:B3212,2,FALSE)</f>
        <v>44844</v>
      </c>
      <c r="D275" s="12">
        <f>IFERROR(__xludf.DUMMYFUNCTION("""COMPUTED_VALUE"""),44844.0)</f>
        <v>44844</v>
      </c>
      <c r="E275" s="13">
        <f>IFERROR(__xludf.DUMMYFUNCTION("""COMPUTED_VALUE"""),0.27461805555503815)</f>
        <v>0.2746180556</v>
      </c>
      <c r="F275" s="7" t="str">
        <f>IFERROR(__xludf.DUMMYFUNCTION("""COMPUTED_VALUE"""),"Negative")</f>
        <v>Negative</v>
      </c>
      <c r="G275" s="7">
        <f>IFERROR(__xludf.DUMMYFUNCTION("""COMPUTED_VALUE"""),2.0)</f>
        <v>2</v>
      </c>
    </row>
    <row r="276">
      <c r="A276" s="7" t="str">
        <f>IFERROR(__xludf.DUMMYFUNCTION("""COMPUTED_VALUE"""),"AJ9297")</f>
        <v>AJ9297</v>
      </c>
      <c r="B276" s="7" t="str">
        <f>IFERROR(__xludf.DUMMYFUNCTION("""COMPUTED_VALUE"""),"RUN-ABRM_2022-10-10_RFR-038")</f>
        <v>RUN-ABRM_2022-10-10_RFR-038</v>
      </c>
      <c r="C276" s="8">
        <f>VLOOKUP(B276,'Run Reconcile'!A$2:B3212,2,FALSE)</f>
        <v>44844</v>
      </c>
      <c r="D276" s="12">
        <f>IFERROR(__xludf.DUMMYFUNCTION("""COMPUTED_VALUE"""),44844.0)</f>
        <v>44844</v>
      </c>
      <c r="E276" s="13">
        <f>IFERROR(__xludf.DUMMYFUNCTION("""COMPUTED_VALUE"""),0.2746296296281798)</f>
        <v>0.2746296296</v>
      </c>
      <c r="F276" s="7" t="str">
        <f>IFERROR(__xludf.DUMMYFUNCTION("""COMPUTED_VALUE"""),"Negative")</f>
        <v>Negative</v>
      </c>
      <c r="G276" s="7">
        <f>IFERROR(__xludf.DUMMYFUNCTION("""COMPUTED_VALUE"""),1.0)</f>
        <v>1</v>
      </c>
    </row>
    <row r="277">
      <c r="A277" s="7" t="str">
        <f>IFERROR(__xludf.DUMMYFUNCTION("""COMPUTED_VALUE"""),"AG1693")</f>
        <v>AG1693</v>
      </c>
      <c r="B277" s="7" t="str">
        <f>IFERROR(__xludf.DUMMYFUNCTION("""COMPUTED_VALUE"""),"RUN-ABRM_2022-10-10_RFR-038")</f>
        <v>RUN-ABRM_2022-10-10_RFR-038</v>
      </c>
      <c r="C277" s="8">
        <f>VLOOKUP(B277,'Run Reconcile'!A$2:B3212,2,FALSE)</f>
        <v>44844</v>
      </c>
      <c r="D277" s="12">
        <f>IFERROR(__xludf.DUMMYFUNCTION("""COMPUTED_VALUE"""),44844.0)</f>
        <v>44844</v>
      </c>
      <c r="E277" s="13">
        <f>IFERROR(__xludf.DUMMYFUNCTION("""COMPUTED_VALUE"""),0.2919675925913907)</f>
        <v>0.2919675926</v>
      </c>
      <c r="F277" s="7" t="str">
        <f>IFERROR(__xludf.DUMMYFUNCTION("""COMPUTED_VALUE"""),"Negative")</f>
        <v>Negative</v>
      </c>
      <c r="G277" s="7">
        <f>IFERROR(__xludf.DUMMYFUNCTION("""COMPUTED_VALUE"""),2.0)</f>
        <v>2</v>
      </c>
    </row>
    <row r="278">
      <c r="A278" s="7" t="str">
        <f>IFERROR(__xludf.DUMMYFUNCTION("""COMPUTED_VALUE"""),"AH9194")</f>
        <v>AH9194</v>
      </c>
      <c r="B278" s="7" t="str">
        <f>IFERROR(__xludf.DUMMYFUNCTION("""COMPUTED_VALUE"""),"RUN-ABRM_2022-10-10_RFR-038")</f>
        <v>RUN-ABRM_2022-10-10_RFR-038</v>
      </c>
      <c r="C278" s="8">
        <f>VLOOKUP(B278,'Run Reconcile'!A$2:B3212,2,FALSE)</f>
        <v>44844</v>
      </c>
      <c r="D278" s="12">
        <f>IFERROR(__xludf.DUMMYFUNCTION("""COMPUTED_VALUE"""),44844.0)</f>
        <v>44844</v>
      </c>
      <c r="E278" s="13">
        <f>IFERROR(__xludf.DUMMYFUNCTION("""COMPUTED_VALUE"""),0.3008333333345945)</f>
        <v>0.3008333333</v>
      </c>
      <c r="F278" s="7" t="str">
        <f>IFERROR(__xludf.DUMMYFUNCTION("""COMPUTED_VALUE"""),"Negative")</f>
        <v>Negative</v>
      </c>
      <c r="G278" s="7">
        <f>IFERROR(__xludf.DUMMYFUNCTION("""COMPUTED_VALUE"""),2.0)</f>
        <v>2</v>
      </c>
    </row>
    <row r="279">
      <c r="A279" s="7" t="str">
        <f>IFERROR(__xludf.DUMMYFUNCTION("""COMPUTED_VALUE"""),"AG2172")</f>
        <v>AG2172</v>
      </c>
      <c r="B279" s="7" t="str">
        <f>IFERROR(__xludf.DUMMYFUNCTION("""COMPUTED_VALUE"""),"RUN-ABRM_2022-10-10_RFR-038")</f>
        <v>RUN-ABRM_2022-10-10_RFR-038</v>
      </c>
      <c r="C279" s="8">
        <f>VLOOKUP(B279,'Run Reconcile'!A$2:B3212,2,FALSE)</f>
        <v>44844</v>
      </c>
      <c r="D279" s="12">
        <f>IFERROR(__xludf.DUMMYFUNCTION("""COMPUTED_VALUE"""),44844.0)</f>
        <v>44844</v>
      </c>
      <c r="E279" s="13">
        <f>IFERROR(__xludf.DUMMYFUNCTION("""COMPUTED_VALUE"""),0.3158333333340124)</f>
        <v>0.3158333333</v>
      </c>
      <c r="F279" s="7" t="str">
        <f>IFERROR(__xludf.DUMMYFUNCTION("""COMPUTED_VALUE"""),"Negative")</f>
        <v>Negative</v>
      </c>
      <c r="G279" s="7">
        <f>IFERROR(__xludf.DUMMYFUNCTION("""COMPUTED_VALUE"""),2.0)</f>
        <v>2</v>
      </c>
    </row>
    <row r="280">
      <c r="A280" s="7" t="str">
        <f>IFERROR(__xludf.DUMMYFUNCTION("""COMPUTED_VALUE"""),"AH6963")</f>
        <v>AH6963</v>
      </c>
      <c r="B280" s="7" t="str">
        <f>IFERROR(__xludf.DUMMYFUNCTION("""COMPUTED_VALUE"""),"RUN-ABRM_2022-10-10_RFR-038")</f>
        <v>RUN-ABRM_2022-10-10_RFR-038</v>
      </c>
      <c r="C280" s="8">
        <f>VLOOKUP(B280,'Run Reconcile'!A$2:B3212,2,FALSE)</f>
        <v>44844</v>
      </c>
      <c r="D280" s="12">
        <f>IFERROR(__xludf.DUMMYFUNCTION("""COMPUTED_VALUE"""),44844.0)</f>
        <v>44844</v>
      </c>
      <c r="E280" s="13">
        <f>IFERROR(__xludf.DUMMYFUNCTION("""COMPUTED_VALUE"""),0.31843749999825377)</f>
        <v>0.3184375</v>
      </c>
      <c r="F280" s="7" t="str">
        <f>IFERROR(__xludf.DUMMYFUNCTION("""COMPUTED_VALUE"""),"Negative")</f>
        <v>Negative</v>
      </c>
      <c r="G280" s="7">
        <f>IFERROR(__xludf.DUMMYFUNCTION("""COMPUTED_VALUE"""),1.0)</f>
        <v>1</v>
      </c>
    </row>
    <row r="281">
      <c r="A281" s="7" t="str">
        <f>IFERROR(__xludf.DUMMYFUNCTION("""COMPUTED_VALUE"""),"AG827")</f>
        <v>AG827</v>
      </c>
      <c r="B281" s="7" t="str">
        <f>IFERROR(__xludf.DUMMYFUNCTION("""COMPUTED_VALUE"""),"RUN-ABRM_2022-10-10_RFR-038")</f>
        <v>RUN-ABRM_2022-10-10_RFR-038</v>
      </c>
      <c r="C281" s="8">
        <f>VLOOKUP(B281,'Run Reconcile'!A$2:B3212,2,FALSE)</f>
        <v>44844</v>
      </c>
      <c r="D281" s="12">
        <f>IFERROR(__xludf.DUMMYFUNCTION("""COMPUTED_VALUE"""),44844.0)</f>
        <v>44844</v>
      </c>
      <c r="E281" s="13">
        <f>IFERROR(__xludf.DUMMYFUNCTION("""COMPUTED_VALUE"""),0.3192939814798592)</f>
        <v>0.3192939815</v>
      </c>
      <c r="F281" s="7" t="str">
        <f>IFERROR(__xludf.DUMMYFUNCTION("""COMPUTED_VALUE"""),"Negative")</f>
        <v>Negative</v>
      </c>
      <c r="G281" s="7">
        <f>IFERROR(__xludf.DUMMYFUNCTION("""COMPUTED_VALUE"""),1.0)</f>
        <v>1</v>
      </c>
    </row>
    <row r="282">
      <c r="A282" s="7" t="str">
        <f>IFERROR(__xludf.DUMMYFUNCTION("""COMPUTED_VALUE"""),"AJ8171")</f>
        <v>AJ8171</v>
      </c>
      <c r="B282" s="7" t="str">
        <f>IFERROR(__xludf.DUMMYFUNCTION("""COMPUTED_VALUE"""),"RUN-ABRM_2022-10-10_RFR-038")</f>
        <v>RUN-ABRM_2022-10-10_RFR-038</v>
      </c>
      <c r="C282" s="8">
        <f>VLOOKUP(B282,'Run Reconcile'!A$2:B3212,2,FALSE)</f>
        <v>44844</v>
      </c>
      <c r="D282" s="12">
        <f>IFERROR(__xludf.DUMMYFUNCTION("""COMPUTED_VALUE"""),44844.0)</f>
        <v>44844</v>
      </c>
      <c r="E282" s="13">
        <f>IFERROR(__xludf.DUMMYFUNCTION("""COMPUTED_VALUE"""),0.3301851851865649)</f>
        <v>0.3301851852</v>
      </c>
      <c r="F282" s="7" t="str">
        <f>IFERROR(__xludf.DUMMYFUNCTION("""COMPUTED_VALUE"""),"Negative")</f>
        <v>Negative</v>
      </c>
      <c r="G282" s="7">
        <f>IFERROR(__xludf.DUMMYFUNCTION("""COMPUTED_VALUE"""),1.0)</f>
        <v>1</v>
      </c>
    </row>
    <row r="283">
      <c r="A283" s="7" t="str">
        <f>IFERROR(__xludf.DUMMYFUNCTION("""COMPUTED_VALUE"""),"AG2113")</f>
        <v>AG2113</v>
      </c>
      <c r="B283" s="7" t="str">
        <f>IFERROR(__xludf.DUMMYFUNCTION("""COMPUTED_VALUE"""),"RUN-ABRM_2022-10-10_RFR-038")</f>
        <v>RUN-ABRM_2022-10-10_RFR-038</v>
      </c>
      <c r="C283" s="8">
        <f>VLOOKUP(B283,'Run Reconcile'!A$2:B3212,2,FALSE)</f>
        <v>44844</v>
      </c>
      <c r="D283" s="12">
        <f>IFERROR(__xludf.DUMMYFUNCTION("""COMPUTED_VALUE"""),44844.0)</f>
        <v>44844</v>
      </c>
      <c r="E283" s="13">
        <f>IFERROR(__xludf.DUMMYFUNCTION("""COMPUTED_VALUE"""),0.3307870370372257)</f>
        <v>0.330787037</v>
      </c>
      <c r="F283" s="7" t="str">
        <f>IFERROR(__xludf.DUMMYFUNCTION("""COMPUTED_VALUE"""),"Negative")</f>
        <v>Negative</v>
      </c>
      <c r="G283" s="7">
        <f>IFERROR(__xludf.DUMMYFUNCTION("""COMPUTED_VALUE"""),4.0)</f>
        <v>4</v>
      </c>
    </row>
    <row r="284">
      <c r="A284" s="7" t="str">
        <f>IFERROR(__xludf.DUMMYFUNCTION("""COMPUTED_VALUE"""),"AH8477")</f>
        <v>AH8477</v>
      </c>
      <c r="B284" s="7" t="str">
        <f>IFERROR(__xludf.DUMMYFUNCTION("""COMPUTED_VALUE"""),"RUN-ABRM_2022-10-10_RFR-038")</f>
        <v>RUN-ABRM_2022-10-10_RFR-038</v>
      </c>
      <c r="C284" s="8">
        <f>VLOOKUP(B284,'Run Reconcile'!A$2:B3212,2,FALSE)</f>
        <v>44844</v>
      </c>
      <c r="D284" s="12">
        <f>IFERROR(__xludf.DUMMYFUNCTION("""COMPUTED_VALUE"""),44844.0)</f>
        <v>44844</v>
      </c>
      <c r="E284" s="13">
        <f>IFERROR(__xludf.DUMMYFUNCTION("""COMPUTED_VALUE"""),0.37086805555736646)</f>
        <v>0.3708680556</v>
      </c>
      <c r="F284" s="7" t="str">
        <f>IFERROR(__xludf.DUMMYFUNCTION("""COMPUTED_VALUE"""),"Negative")</f>
        <v>Negative</v>
      </c>
      <c r="G284" s="7">
        <f>IFERROR(__xludf.DUMMYFUNCTION("""COMPUTED_VALUE"""),4.0)</f>
        <v>4</v>
      </c>
    </row>
    <row r="285">
      <c r="A285" s="7" t="str">
        <f>IFERROR(__xludf.DUMMYFUNCTION("""COMPUTED_VALUE"""),"AG812")</f>
        <v>AG812</v>
      </c>
      <c r="B285" s="7" t="str">
        <f>IFERROR(__xludf.DUMMYFUNCTION("""COMPUTED_VALUE"""),"RUN-ABRM_2022-10-10_RFR-038")</f>
        <v>RUN-ABRM_2022-10-10_RFR-038</v>
      </c>
      <c r="C285" s="8">
        <f>VLOOKUP(B285,'Run Reconcile'!A$2:B3212,2,FALSE)</f>
        <v>44844</v>
      </c>
      <c r="D285" s="12">
        <f>IFERROR(__xludf.DUMMYFUNCTION("""COMPUTED_VALUE"""),44844.0)</f>
        <v>44844</v>
      </c>
      <c r="E285" s="13">
        <f>IFERROR(__xludf.DUMMYFUNCTION("""COMPUTED_VALUE"""),0.3711574074077362)</f>
        <v>0.3711574074</v>
      </c>
      <c r="F285" s="7" t="str">
        <f>IFERROR(__xludf.DUMMYFUNCTION("""COMPUTED_VALUE"""),"Negative")</f>
        <v>Negative</v>
      </c>
      <c r="G285" s="7">
        <f>IFERROR(__xludf.DUMMYFUNCTION("""COMPUTED_VALUE"""),3.0)</f>
        <v>3</v>
      </c>
    </row>
    <row r="286">
      <c r="A286" s="7" t="str">
        <f>IFERROR(__xludf.DUMMYFUNCTION("""COMPUTED_VALUE"""),"AH9026")</f>
        <v>AH9026</v>
      </c>
      <c r="B286" s="7" t="str">
        <f>IFERROR(__xludf.DUMMYFUNCTION("""COMPUTED_VALUE"""),"RUN-ABRM_2022-10-10_RFR-038")</f>
        <v>RUN-ABRM_2022-10-10_RFR-038</v>
      </c>
      <c r="C286" s="8">
        <f>VLOOKUP(B286,'Run Reconcile'!A$2:B3212,2,FALSE)</f>
        <v>44844</v>
      </c>
      <c r="D286" s="12">
        <f>IFERROR(__xludf.DUMMYFUNCTION("""COMPUTED_VALUE"""),44844.0)</f>
        <v>44844</v>
      </c>
      <c r="E286" s="13">
        <f>IFERROR(__xludf.DUMMYFUNCTION("""COMPUTED_VALUE"""),0.37157407407357823)</f>
        <v>0.3715740741</v>
      </c>
      <c r="F286" s="7" t="str">
        <f>IFERROR(__xludf.DUMMYFUNCTION("""COMPUTED_VALUE"""),"Negative")</f>
        <v>Negative</v>
      </c>
      <c r="G286" s="7">
        <f>IFERROR(__xludf.DUMMYFUNCTION("""COMPUTED_VALUE"""),3.0)</f>
        <v>3</v>
      </c>
    </row>
    <row r="287">
      <c r="A287" s="7" t="str">
        <f>IFERROR(__xludf.DUMMYFUNCTION("""COMPUTED_VALUE"""),"AH8706")</f>
        <v>AH8706</v>
      </c>
      <c r="B287" s="7" t="str">
        <f>IFERROR(__xludf.DUMMYFUNCTION("""COMPUTED_VALUE"""),"RUN-ABRM_2022-10-11_RFR-041")</f>
        <v>RUN-ABRM_2022-10-11_RFR-041</v>
      </c>
      <c r="C287" s="8">
        <f>VLOOKUP(B287,'Run Reconcile'!A$2:B3212,2,FALSE)</f>
        <v>44845</v>
      </c>
      <c r="D287" s="12">
        <f>IFERROR(__xludf.DUMMYFUNCTION("""COMPUTED_VALUE"""),44845.0)</f>
        <v>44845</v>
      </c>
      <c r="E287" s="13">
        <f>IFERROR(__xludf.DUMMYFUNCTION("""COMPUTED_VALUE"""),0.2492708333338669)</f>
        <v>0.2492708333</v>
      </c>
      <c r="F287" s="7" t="str">
        <f>IFERROR(__xludf.DUMMYFUNCTION("""COMPUTED_VALUE"""),"Negative")</f>
        <v>Negative</v>
      </c>
      <c r="G287" s="7">
        <f>IFERROR(__xludf.DUMMYFUNCTION("""COMPUTED_VALUE"""),1.0)</f>
        <v>1</v>
      </c>
    </row>
    <row r="288">
      <c r="A288" s="7" t="str">
        <f>IFERROR(__xludf.DUMMYFUNCTION("""COMPUTED_VALUE"""),"AG2135")</f>
        <v>AG2135</v>
      </c>
      <c r="B288" s="7" t="str">
        <f>IFERROR(__xludf.DUMMYFUNCTION("""COMPUTED_VALUE"""),"RUN-ABRM_2022-10-11_RFR-041")</f>
        <v>RUN-ABRM_2022-10-11_RFR-041</v>
      </c>
      <c r="C288" s="8">
        <f>VLOOKUP(B288,'Run Reconcile'!A$2:B3212,2,FALSE)</f>
        <v>44845</v>
      </c>
      <c r="D288" s="12">
        <f>IFERROR(__xludf.DUMMYFUNCTION("""COMPUTED_VALUE"""),44845.0)</f>
        <v>44845</v>
      </c>
      <c r="E288" s="13">
        <f>IFERROR(__xludf.DUMMYFUNCTION("""COMPUTED_VALUE"""),0.28414351851824904)</f>
        <v>0.2841435185</v>
      </c>
      <c r="F288" s="7" t="str">
        <f>IFERROR(__xludf.DUMMYFUNCTION("""COMPUTED_VALUE"""),"Negative")</f>
        <v>Negative</v>
      </c>
      <c r="G288" s="7">
        <f>IFERROR(__xludf.DUMMYFUNCTION("""COMPUTED_VALUE"""),3.0)</f>
        <v>3</v>
      </c>
    </row>
    <row r="289">
      <c r="A289" s="7" t="str">
        <f>IFERROR(__xludf.DUMMYFUNCTION("""COMPUTED_VALUE"""),"AG1118")</f>
        <v>AG1118</v>
      </c>
      <c r="B289" s="7" t="str">
        <f>IFERROR(__xludf.DUMMYFUNCTION("""COMPUTED_VALUE"""),"RUN-ABRM_2022-10-11_RFR-041")</f>
        <v>RUN-ABRM_2022-10-11_RFR-041</v>
      </c>
      <c r="C289" s="8">
        <f>VLOOKUP(B289,'Run Reconcile'!A$2:B3212,2,FALSE)</f>
        <v>44845</v>
      </c>
      <c r="D289" s="12">
        <f>IFERROR(__xludf.DUMMYFUNCTION("""COMPUTED_VALUE"""),44845.0)</f>
        <v>44845</v>
      </c>
      <c r="E289" s="13">
        <f>IFERROR(__xludf.DUMMYFUNCTION("""COMPUTED_VALUE"""),0.29543981481401715)</f>
        <v>0.2954398148</v>
      </c>
      <c r="F289" s="7" t="str">
        <f>IFERROR(__xludf.DUMMYFUNCTION("""COMPUTED_VALUE"""),"Negative")</f>
        <v>Negative</v>
      </c>
      <c r="G289" s="7">
        <f>IFERROR(__xludf.DUMMYFUNCTION("""COMPUTED_VALUE"""),2.0)</f>
        <v>2</v>
      </c>
    </row>
    <row r="290">
      <c r="A290" s="7" t="str">
        <f>IFERROR(__xludf.DUMMYFUNCTION("""COMPUTED_VALUE"""),"AG2087")</f>
        <v>AG2087</v>
      </c>
      <c r="B290" s="7" t="str">
        <f>IFERROR(__xludf.DUMMYFUNCTION("""COMPUTED_VALUE"""),"RUN-ABRM_2022-10-11_RFR-041")</f>
        <v>RUN-ABRM_2022-10-11_RFR-041</v>
      </c>
      <c r="C290" s="8">
        <f>VLOOKUP(B290,'Run Reconcile'!A$2:B3212,2,FALSE)</f>
        <v>44845</v>
      </c>
      <c r="D290" s="12">
        <f>IFERROR(__xludf.DUMMYFUNCTION("""COMPUTED_VALUE"""),44845.0)</f>
        <v>44845</v>
      </c>
      <c r="E290" s="13">
        <f>IFERROR(__xludf.DUMMYFUNCTION("""COMPUTED_VALUE"""),0.3030092592598521)</f>
        <v>0.3030092593</v>
      </c>
      <c r="F290" s="7" t="str">
        <f>IFERROR(__xludf.DUMMYFUNCTION("""COMPUTED_VALUE"""),"Negative")</f>
        <v>Negative</v>
      </c>
      <c r="G290" s="7">
        <f>IFERROR(__xludf.DUMMYFUNCTION("""COMPUTED_VALUE"""),4.0)</f>
        <v>4</v>
      </c>
    </row>
    <row r="291">
      <c r="A291" s="7" t="str">
        <f>IFERROR(__xludf.DUMMYFUNCTION("""COMPUTED_VALUE"""),"AG597")</f>
        <v>AG597</v>
      </c>
      <c r="B291" s="7" t="str">
        <f>IFERROR(__xludf.DUMMYFUNCTION("""COMPUTED_VALUE"""),"RUN-ABRM_2022-10-11_RFR-041")</f>
        <v>RUN-ABRM_2022-10-11_RFR-041</v>
      </c>
      <c r="C291" s="8">
        <f>VLOOKUP(B291,'Run Reconcile'!A$2:B3212,2,FALSE)</f>
        <v>44845</v>
      </c>
      <c r="D291" s="12">
        <f>IFERROR(__xludf.DUMMYFUNCTION("""COMPUTED_VALUE"""),44845.0)</f>
        <v>44845</v>
      </c>
      <c r="E291" s="13">
        <f>IFERROR(__xludf.DUMMYFUNCTION("""COMPUTED_VALUE"""),0.3037499999991269)</f>
        <v>0.30375</v>
      </c>
      <c r="F291" s="7" t="str">
        <f>IFERROR(__xludf.DUMMYFUNCTION("""COMPUTED_VALUE"""),"Negative")</f>
        <v>Negative</v>
      </c>
      <c r="G291" s="7">
        <f>IFERROR(__xludf.DUMMYFUNCTION("""COMPUTED_VALUE"""),2.0)</f>
        <v>2</v>
      </c>
    </row>
    <row r="292">
      <c r="A292" s="7" t="str">
        <f>IFERROR(__xludf.DUMMYFUNCTION("""COMPUTED_VALUE"""),"AG675")</f>
        <v>AG675</v>
      </c>
      <c r="B292" s="7" t="str">
        <f>IFERROR(__xludf.DUMMYFUNCTION("""COMPUTED_VALUE"""),"RUN-ABRM_2022-10-11_RFR-041")</f>
        <v>RUN-ABRM_2022-10-11_RFR-041</v>
      </c>
      <c r="C292" s="8">
        <f>VLOOKUP(B292,'Run Reconcile'!A$2:B3212,2,FALSE)</f>
        <v>44845</v>
      </c>
      <c r="D292" s="12">
        <f>IFERROR(__xludf.DUMMYFUNCTION("""COMPUTED_VALUE"""),44845.0)</f>
        <v>44845</v>
      </c>
      <c r="E292" s="13">
        <f>IFERROR(__xludf.DUMMYFUNCTION("""COMPUTED_VALUE"""),0.3118055555569299)</f>
        <v>0.3118055556</v>
      </c>
      <c r="F292" s="7" t="str">
        <f>IFERROR(__xludf.DUMMYFUNCTION("""COMPUTED_VALUE"""),"Negative")</f>
        <v>Negative</v>
      </c>
      <c r="G292" s="7">
        <f>IFERROR(__xludf.DUMMYFUNCTION("""COMPUTED_VALUE"""),1.0)</f>
        <v>1</v>
      </c>
    </row>
    <row r="293">
      <c r="A293" s="7" t="str">
        <f>IFERROR(__xludf.DUMMYFUNCTION("""COMPUTED_VALUE"""),"AH9163")</f>
        <v>AH9163</v>
      </c>
      <c r="B293" s="7" t="str">
        <f>IFERROR(__xludf.DUMMYFUNCTION("""COMPUTED_VALUE"""),"RUN-ABRM_2022-10-11_RFR-041")</f>
        <v>RUN-ABRM_2022-10-11_RFR-041</v>
      </c>
      <c r="C293" s="8">
        <f>VLOOKUP(B293,'Run Reconcile'!A$2:B3212,2,FALSE)</f>
        <v>44845</v>
      </c>
      <c r="D293" s="12">
        <f>IFERROR(__xludf.DUMMYFUNCTION("""COMPUTED_VALUE"""),44845.0)</f>
        <v>44845</v>
      </c>
      <c r="E293" s="13">
        <f>IFERROR(__xludf.DUMMYFUNCTION("""COMPUTED_VALUE"""),0.3137037037049595)</f>
        <v>0.3137037037</v>
      </c>
      <c r="F293" s="7" t="str">
        <f>IFERROR(__xludf.DUMMYFUNCTION("""COMPUTED_VALUE"""),"Negative")</f>
        <v>Negative</v>
      </c>
      <c r="G293" s="7">
        <f>IFERROR(__xludf.DUMMYFUNCTION("""COMPUTED_VALUE"""),2.0)</f>
        <v>2</v>
      </c>
    </row>
    <row r="294">
      <c r="A294" s="7" t="str">
        <f>IFERROR(__xludf.DUMMYFUNCTION("""COMPUTED_VALUE"""),"AH802")</f>
        <v>AH802</v>
      </c>
      <c r="B294" s="7" t="str">
        <f>IFERROR(__xludf.DUMMYFUNCTION("""COMPUTED_VALUE"""),"RUN-ABRM_2022-10-11_RFR-041")</f>
        <v>RUN-ABRM_2022-10-11_RFR-041</v>
      </c>
      <c r="C294" s="8">
        <f>VLOOKUP(B294,'Run Reconcile'!A$2:B3212,2,FALSE)</f>
        <v>44845</v>
      </c>
      <c r="D294" s="12">
        <f>IFERROR(__xludf.DUMMYFUNCTION("""COMPUTED_VALUE"""),44845.0)</f>
        <v>44845</v>
      </c>
      <c r="E294" s="13">
        <f>IFERROR(__xludf.DUMMYFUNCTION("""COMPUTED_VALUE"""),0.3674768518503697)</f>
        <v>0.3674768519</v>
      </c>
      <c r="F294" s="7" t="str">
        <f>IFERROR(__xludf.DUMMYFUNCTION("""COMPUTED_VALUE"""),"Negative")</f>
        <v>Negative</v>
      </c>
      <c r="G294" s="7">
        <f>IFERROR(__xludf.DUMMYFUNCTION("""COMPUTED_VALUE"""),2.0)</f>
        <v>2</v>
      </c>
    </row>
    <row r="295">
      <c r="A295" s="7" t="str">
        <f>IFERROR(__xludf.DUMMYFUNCTION("""COMPUTED_VALUE"""),"AH8955")</f>
        <v>AH8955</v>
      </c>
      <c r="B295" s="7" t="str">
        <f>IFERROR(__xludf.DUMMYFUNCTION("""COMPUTED_VALUE"""),"RUN-ABRM_2022-10-11_RFR-041")</f>
        <v>RUN-ABRM_2022-10-11_RFR-041</v>
      </c>
      <c r="C295" s="8">
        <f>VLOOKUP(B295,'Run Reconcile'!A$2:B3212,2,FALSE)</f>
        <v>44845</v>
      </c>
      <c r="D295" s="12">
        <f>IFERROR(__xludf.DUMMYFUNCTION("""COMPUTED_VALUE"""),44845.0)</f>
        <v>44845</v>
      </c>
      <c r="E295" s="13">
        <f>IFERROR(__xludf.DUMMYFUNCTION("""COMPUTED_VALUE"""),0.36782407407372375)</f>
        <v>0.3678240741</v>
      </c>
      <c r="F295" s="7" t="str">
        <f>IFERROR(__xludf.DUMMYFUNCTION("""COMPUTED_VALUE"""),"Negative")</f>
        <v>Negative</v>
      </c>
      <c r="G295" s="7">
        <f>IFERROR(__xludf.DUMMYFUNCTION("""COMPUTED_VALUE"""),3.0)</f>
        <v>3</v>
      </c>
    </row>
    <row r="296">
      <c r="A296" s="7" t="str">
        <f>IFERROR(__xludf.DUMMYFUNCTION("""COMPUTED_VALUE"""),"AK6831")</f>
        <v>AK6831</v>
      </c>
      <c r="B296" s="7" t="str">
        <f>IFERROR(__xludf.DUMMYFUNCTION("""COMPUTED_VALUE"""),"RUN-ABRM_2022-10-11_RFR-041")</f>
        <v>RUN-ABRM_2022-10-11_RFR-041</v>
      </c>
      <c r="C296" s="8">
        <f>VLOOKUP(B296,'Run Reconcile'!A$2:B3212,2,FALSE)</f>
        <v>44845</v>
      </c>
      <c r="D296" s="12">
        <f>IFERROR(__xludf.DUMMYFUNCTION("""COMPUTED_VALUE"""),44845.0)</f>
        <v>44845</v>
      </c>
      <c r="E296" s="13">
        <f>IFERROR(__xludf.DUMMYFUNCTION("""COMPUTED_VALUE"""),0.3681250000008731)</f>
        <v>0.368125</v>
      </c>
      <c r="F296" s="7" t="str">
        <f>IFERROR(__xludf.DUMMYFUNCTION("""COMPUTED_VALUE"""),"Negative")</f>
        <v>Negative</v>
      </c>
      <c r="G296" s="7">
        <f>IFERROR(__xludf.DUMMYFUNCTION("""COMPUTED_VALUE"""),1.0)</f>
        <v>1</v>
      </c>
    </row>
    <row r="297">
      <c r="A297" s="7" t="str">
        <f>IFERROR(__xludf.DUMMYFUNCTION("""COMPUTED_VALUE"""),"AG1624")</f>
        <v>AG1624</v>
      </c>
      <c r="B297" s="7" t="str">
        <f>IFERROR(__xludf.DUMMYFUNCTION("""COMPUTED_VALUE"""),"RUN-ABRM_2022-10-11_RFR-041")</f>
        <v>RUN-ABRM_2022-10-11_RFR-041</v>
      </c>
      <c r="C297" s="8">
        <f>VLOOKUP(B297,'Run Reconcile'!A$2:B3212,2,FALSE)</f>
        <v>44845</v>
      </c>
      <c r="D297" s="12">
        <f>IFERROR(__xludf.DUMMYFUNCTION("""COMPUTED_VALUE"""),44845.0)</f>
        <v>44845</v>
      </c>
      <c r="E297" s="13">
        <f>IFERROR(__xludf.DUMMYFUNCTION("""COMPUTED_VALUE"""),0.3695486111100763)</f>
        <v>0.3695486111</v>
      </c>
      <c r="F297" s="7" t="str">
        <f>IFERROR(__xludf.DUMMYFUNCTION("""COMPUTED_VALUE"""),"Negative")</f>
        <v>Negative</v>
      </c>
      <c r="G297" s="7">
        <f>IFERROR(__xludf.DUMMYFUNCTION("""COMPUTED_VALUE"""),3.0)</f>
        <v>3</v>
      </c>
    </row>
    <row r="298">
      <c r="A298" s="7" t="str">
        <f>IFERROR(__xludf.DUMMYFUNCTION("""COMPUTED_VALUE"""),"AH9710")</f>
        <v>AH9710</v>
      </c>
      <c r="B298" s="7" t="str">
        <f>IFERROR(__xludf.DUMMYFUNCTION("""COMPUTED_VALUE"""),"RUN-ABRM_2022-10-11_RFR-041")</f>
        <v>RUN-ABRM_2022-10-11_RFR-041</v>
      </c>
      <c r="C298" s="8">
        <f>VLOOKUP(B298,'Run Reconcile'!A$2:B3212,2,FALSE)</f>
        <v>44845</v>
      </c>
      <c r="D298" s="12">
        <f>IFERROR(__xludf.DUMMYFUNCTION("""COMPUTED_VALUE"""),44845.0)</f>
        <v>44845</v>
      </c>
      <c r="E298" s="13">
        <f>IFERROR(__xludf.DUMMYFUNCTION("""COMPUTED_VALUE"""),0.36999999999898137)</f>
        <v>0.37</v>
      </c>
      <c r="F298" s="7" t="str">
        <f>IFERROR(__xludf.DUMMYFUNCTION("""COMPUTED_VALUE"""),"Negative")</f>
        <v>Negative</v>
      </c>
      <c r="G298" s="7">
        <f>IFERROR(__xludf.DUMMYFUNCTION("""COMPUTED_VALUE"""),4.0)</f>
        <v>4</v>
      </c>
    </row>
    <row r="299">
      <c r="A299" s="7" t="str">
        <f>IFERROR(__xludf.DUMMYFUNCTION("""COMPUTED_VALUE"""),"AG1836")</f>
        <v>AG1836</v>
      </c>
      <c r="B299" s="7" t="str">
        <f>IFERROR(__xludf.DUMMYFUNCTION("""COMPUTED_VALUE"""),"RUN-ABRM_2022-10-12_RFR-043")</f>
        <v>RUN-ABRM_2022-10-12_RFR-043</v>
      </c>
      <c r="C299" s="8">
        <f>VLOOKUP(B299,'Run Reconcile'!A$2:B3212,2,FALSE)</f>
        <v>44846</v>
      </c>
      <c r="D299" s="12">
        <f>IFERROR(__xludf.DUMMYFUNCTION("""COMPUTED_VALUE"""),44846.0)</f>
        <v>44846</v>
      </c>
      <c r="E299" s="13">
        <f>IFERROR(__xludf.DUMMYFUNCTION("""COMPUTED_VALUE"""),0.21174768518540077)</f>
        <v>0.2117476852</v>
      </c>
      <c r="F299" s="7" t="str">
        <f>IFERROR(__xludf.DUMMYFUNCTION("""COMPUTED_VALUE"""),"Negative")</f>
        <v>Negative</v>
      </c>
      <c r="G299" s="7">
        <f>IFERROR(__xludf.DUMMYFUNCTION("""COMPUTED_VALUE"""),3.0)</f>
        <v>3</v>
      </c>
    </row>
    <row r="300">
      <c r="A300" s="7" t="str">
        <f>IFERROR(__xludf.DUMMYFUNCTION("""COMPUTED_VALUE"""),"AG507")</f>
        <v>AG507</v>
      </c>
      <c r="B300" s="7" t="str">
        <f>IFERROR(__xludf.DUMMYFUNCTION("""COMPUTED_VALUE"""),"RUN-ABRM_2022-10-12_RFR-043")</f>
        <v>RUN-ABRM_2022-10-12_RFR-043</v>
      </c>
      <c r="C300" s="8">
        <f>VLOOKUP(B300,'Run Reconcile'!A$2:B3212,2,FALSE)</f>
        <v>44846</v>
      </c>
      <c r="D300" s="12">
        <f>IFERROR(__xludf.DUMMYFUNCTION("""COMPUTED_VALUE"""),44846.0)</f>
        <v>44846</v>
      </c>
      <c r="E300" s="13">
        <f>IFERROR(__xludf.DUMMYFUNCTION("""COMPUTED_VALUE"""),0.221331018517958)</f>
        <v>0.2213310185</v>
      </c>
      <c r="F300" s="7" t="str">
        <f>IFERROR(__xludf.DUMMYFUNCTION("""COMPUTED_VALUE"""),"Negative")</f>
        <v>Negative</v>
      </c>
      <c r="G300" s="7">
        <f>IFERROR(__xludf.DUMMYFUNCTION("""COMPUTED_VALUE"""),2.0)</f>
        <v>2</v>
      </c>
    </row>
    <row r="301">
      <c r="A301" s="7" t="str">
        <f>IFERROR(__xludf.DUMMYFUNCTION("""COMPUTED_VALUE"""),"AH8102")</f>
        <v>AH8102</v>
      </c>
      <c r="B301" s="7" t="str">
        <f>IFERROR(__xludf.DUMMYFUNCTION("""COMPUTED_VALUE"""),"RUN-ABRM_2022-10-12_RFR-043")</f>
        <v>RUN-ABRM_2022-10-12_RFR-043</v>
      </c>
      <c r="C301" s="8">
        <f>VLOOKUP(B301,'Run Reconcile'!A$2:B3212,2,FALSE)</f>
        <v>44846</v>
      </c>
      <c r="D301" s="12">
        <f>IFERROR(__xludf.DUMMYFUNCTION("""COMPUTED_VALUE"""),44846.0)</f>
        <v>44846</v>
      </c>
      <c r="E301" s="13">
        <f>IFERROR(__xludf.DUMMYFUNCTION("""COMPUTED_VALUE"""),0.22273148148087785)</f>
        <v>0.2227314815</v>
      </c>
      <c r="F301" s="7" t="str">
        <f>IFERROR(__xludf.DUMMYFUNCTION("""COMPUTED_VALUE"""),"Negative")</f>
        <v>Negative</v>
      </c>
      <c r="G301" s="7">
        <f>IFERROR(__xludf.DUMMYFUNCTION("""COMPUTED_VALUE"""),1.0)</f>
        <v>1</v>
      </c>
    </row>
    <row r="302">
      <c r="A302" s="7" t="str">
        <f>IFERROR(__xludf.DUMMYFUNCTION("""COMPUTED_VALUE"""),"AG1391")</f>
        <v>AG1391</v>
      </c>
      <c r="B302" s="7" t="str">
        <f>IFERROR(__xludf.DUMMYFUNCTION("""COMPUTED_VALUE"""),"RUN-ABRM_2022-10-12_RFR-043")</f>
        <v>RUN-ABRM_2022-10-12_RFR-043</v>
      </c>
      <c r="C302" s="8">
        <f>VLOOKUP(B302,'Run Reconcile'!A$2:B3212,2,FALSE)</f>
        <v>44846</v>
      </c>
      <c r="D302" s="12">
        <f>IFERROR(__xludf.DUMMYFUNCTION("""COMPUTED_VALUE"""),44846.0)</f>
        <v>44846</v>
      </c>
      <c r="E302" s="13">
        <f>IFERROR(__xludf.DUMMYFUNCTION("""COMPUTED_VALUE"""),0.2628587962972233)</f>
        <v>0.2628587963</v>
      </c>
      <c r="F302" s="7" t="str">
        <f>IFERROR(__xludf.DUMMYFUNCTION("""COMPUTED_VALUE"""),"Negative")</f>
        <v>Negative</v>
      </c>
      <c r="G302" s="7">
        <f>IFERROR(__xludf.DUMMYFUNCTION("""COMPUTED_VALUE"""),3.0)</f>
        <v>3</v>
      </c>
    </row>
    <row r="303">
      <c r="A303" s="7" t="str">
        <f>IFERROR(__xludf.DUMMYFUNCTION("""COMPUTED_VALUE"""),"AG1322")</f>
        <v>AG1322</v>
      </c>
      <c r="B303" s="7" t="str">
        <f>IFERROR(__xludf.DUMMYFUNCTION("""COMPUTED_VALUE"""),"RUN-ABRM_2022-10-12_RFR-043")</f>
        <v>RUN-ABRM_2022-10-12_RFR-043</v>
      </c>
      <c r="C303" s="8">
        <f>VLOOKUP(B303,'Run Reconcile'!A$2:B3212,2,FALSE)</f>
        <v>44846</v>
      </c>
      <c r="D303" s="12">
        <f>IFERROR(__xludf.DUMMYFUNCTION("""COMPUTED_VALUE"""),44846.0)</f>
        <v>44846</v>
      </c>
      <c r="E303" s="13">
        <f>IFERROR(__xludf.DUMMYFUNCTION("""COMPUTED_VALUE"""),0.2831365740748879)</f>
        <v>0.2831365741</v>
      </c>
      <c r="F303" s="7" t="str">
        <f>IFERROR(__xludf.DUMMYFUNCTION("""COMPUTED_VALUE"""),"Negative")</f>
        <v>Negative</v>
      </c>
      <c r="G303" s="7">
        <f>IFERROR(__xludf.DUMMYFUNCTION("""COMPUTED_VALUE"""),3.0)</f>
        <v>3</v>
      </c>
    </row>
    <row r="304">
      <c r="A304" s="7" t="str">
        <f>IFERROR(__xludf.DUMMYFUNCTION("""COMPUTED_VALUE"""),"AG732")</f>
        <v>AG732</v>
      </c>
      <c r="B304" s="7" t="str">
        <f>IFERROR(__xludf.DUMMYFUNCTION("""COMPUTED_VALUE"""),"RUN-ABRM_2022-10-12_RFR-043")</f>
        <v>RUN-ABRM_2022-10-12_RFR-043</v>
      </c>
      <c r="C304" s="8">
        <f>VLOOKUP(B304,'Run Reconcile'!A$2:B3212,2,FALSE)</f>
        <v>44846</v>
      </c>
      <c r="D304" s="12">
        <f>IFERROR(__xludf.DUMMYFUNCTION("""COMPUTED_VALUE"""),44846.0)</f>
        <v>44846</v>
      </c>
      <c r="E304" s="13">
        <f>IFERROR(__xludf.DUMMYFUNCTION("""COMPUTED_VALUE"""),0.2833101851865649)</f>
        <v>0.2833101852</v>
      </c>
      <c r="F304" s="7" t="str">
        <f>IFERROR(__xludf.DUMMYFUNCTION("""COMPUTED_VALUE"""),"Negative")</f>
        <v>Negative</v>
      </c>
      <c r="G304" s="7">
        <f>IFERROR(__xludf.DUMMYFUNCTION("""COMPUTED_VALUE"""),3.0)</f>
        <v>3</v>
      </c>
    </row>
    <row r="305">
      <c r="A305" s="7" t="str">
        <f>IFERROR(__xludf.DUMMYFUNCTION("""COMPUTED_VALUE"""),"AG796")</f>
        <v>AG796</v>
      </c>
      <c r="B305" s="7" t="str">
        <f>IFERROR(__xludf.DUMMYFUNCTION("""COMPUTED_VALUE"""),"RUN-ABRM_2022-10-12_RFR-043")</f>
        <v>RUN-ABRM_2022-10-12_RFR-043</v>
      </c>
      <c r="C305" s="8">
        <f>VLOOKUP(B305,'Run Reconcile'!A$2:B3212,2,FALSE)</f>
        <v>44846</v>
      </c>
      <c r="D305" s="12">
        <f>IFERROR(__xludf.DUMMYFUNCTION("""COMPUTED_VALUE"""),44846.0)</f>
        <v>44846</v>
      </c>
      <c r="E305" s="13">
        <f>IFERROR(__xludf.DUMMYFUNCTION("""COMPUTED_VALUE"""),0.31412037037080154)</f>
        <v>0.3141203704</v>
      </c>
      <c r="F305" s="7" t="str">
        <f>IFERROR(__xludf.DUMMYFUNCTION("""COMPUTED_VALUE"""),"Negative")</f>
        <v>Negative</v>
      </c>
      <c r="G305" s="7">
        <f>IFERROR(__xludf.DUMMYFUNCTION("""COMPUTED_VALUE"""),3.0)</f>
        <v>3</v>
      </c>
    </row>
    <row r="306">
      <c r="A306" s="7" t="str">
        <f>IFERROR(__xludf.DUMMYFUNCTION("""COMPUTED_VALUE"""),"AH98")</f>
        <v>AH98</v>
      </c>
      <c r="B306" s="7" t="str">
        <f>IFERROR(__xludf.DUMMYFUNCTION("""COMPUTED_VALUE"""),"RUN-ABRM_2022-10-12_RFR-043")</f>
        <v>RUN-ABRM_2022-10-12_RFR-043</v>
      </c>
      <c r="C306" s="8">
        <f>VLOOKUP(B306,'Run Reconcile'!A$2:B3212,2,FALSE)</f>
        <v>44846</v>
      </c>
      <c r="D306" s="12">
        <f>IFERROR(__xludf.DUMMYFUNCTION("""COMPUTED_VALUE"""),44846.0)</f>
        <v>44846</v>
      </c>
      <c r="E306" s="13">
        <f>IFERROR(__xludf.DUMMYFUNCTION("""COMPUTED_VALUE"""),0.31425925925941556)</f>
        <v>0.3142592593</v>
      </c>
      <c r="F306" s="7" t="str">
        <f>IFERROR(__xludf.DUMMYFUNCTION("""COMPUTED_VALUE"""),"Negative")</f>
        <v>Negative</v>
      </c>
      <c r="G306" s="7">
        <f>IFERROR(__xludf.DUMMYFUNCTION("""COMPUTED_VALUE"""),2.0)</f>
        <v>2</v>
      </c>
    </row>
    <row r="307">
      <c r="A307" s="7" t="str">
        <f>IFERROR(__xludf.DUMMYFUNCTION("""COMPUTED_VALUE"""),"AK5653")</f>
        <v>AK5653</v>
      </c>
      <c r="B307" s="7" t="str">
        <f>IFERROR(__xludf.DUMMYFUNCTION("""COMPUTED_VALUE"""),"RUN-ABRM_2022-10-12_RFR-043")</f>
        <v>RUN-ABRM_2022-10-12_RFR-043</v>
      </c>
      <c r="C307" s="8">
        <f>VLOOKUP(B307,'Run Reconcile'!A$2:B3212,2,FALSE)</f>
        <v>44846</v>
      </c>
      <c r="D307" s="12">
        <f>IFERROR(__xludf.DUMMYFUNCTION("""COMPUTED_VALUE"""),44846.0)</f>
        <v>44846</v>
      </c>
      <c r="E307" s="13">
        <f>IFERROR(__xludf.DUMMYFUNCTION("""COMPUTED_VALUE"""),0.33116898148000473)</f>
        <v>0.3311689815</v>
      </c>
      <c r="F307" s="7" t="str">
        <f>IFERROR(__xludf.DUMMYFUNCTION("""COMPUTED_VALUE"""),"Negative")</f>
        <v>Negative</v>
      </c>
      <c r="G307" s="7">
        <f>IFERROR(__xludf.DUMMYFUNCTION("""COMPUTED_VALUE"""),1.0)</f>
        <v>1</v>
      </c>
    </row>
    <row r="308">
      <c r="A308" s="7" t="str">
        <f>IFERROR(__xludf.DUMMYFUNCTION("""COMPUTED_VALUE"""),"AG876")</f>
        <v>AG876</v>
      </c>
      <c r="B308" s="7" t="str">
        <f>IFERROR(__xludf.DUMMYFUNCTION("""COMPUTED_VALUE"""),"RUN-ABRM_2022-10-12_RFR-043")</f>
        <v>RUN-ABRM_2022-10-12_RFR-043</v>
      </c>
      <c r="C308" s="8">
        <f>VLOOKUP(B308,'Run Reconcile'!A$2:B3212,2,FALSE)</f>
        <v>44846</v>
      </c>
      <c r="D308" s="12">
        <f>IFERROR(__xludf.DUMMYFUNCTION("""COMPUTED_VALUE"""),44846.0)</f>
        <v>44846</v>
      </c>
      <c r="E308" s="13">
        <f>IFERROR(__xludf.DUMMYFUNCTION("""COMPUTED_VALUE"""),0.36916666666729725)</f>
        <v>0.3691666667</v>
      </c>
      <c r="F308" s="7" t="str">
        <f>IFERROR(__xludf.DUMMYFUNCTION("""COMPUTED_VALUE"""),"Negative")</f>
        <v>Negative</v>
      </c>
      <c r="G308" s="7">
        <f>IFERROR(__xludf.DUMMYFUNCTION("""COMPUTED_VALUE"""),4.0)</f>
        <v>4</v>
      </c>
    </row>
    <row r="309">
      <c r="A309" s="7" t="str">
        <f>IFERROR(__xludf.DUMMYFUNCTION("""COMPUTED_VALUE"""),"AH9165")</f>
        <v>AH9165</v>
      </c>
      <c r="B309" s="7" t="str">
        <f>IFERROR(__xludf.DUMMYFUNCTION("""COMPUTED_VALUE"""),"RUN-ABRM_2022-10-13_RFR-044")</f>
        <v>RUN-ABRM_2022-10-13_RFR-044</v>
      </c>
      <c r="C309" s="8">
        <f>VLOOKUP(B309,'Run Reconcile'!A$2:B3212,2,FALSE)</f>
        <v>44847</v>
      </c>
      <c r="D309" s="12">
        <f>IFERROR(__xludf.DUMMYFUNCTION("""COMPUTED_VALUE"""),44847.0)</f>
        <v>44847</v>
      </c>
      <c r="E309" s="13">
        <f>IFERROR(__xludf.DUMMYFUNCTION("""COMPUTED_VALUE"""),0.20601851851824904)</f>
        <v>0.2060185185</v>
      </c>
      <c r="F309" s="7" t="str">
        <f>IFERROR(__xludf.DUMMYFUNCTION("""COMPUTED_VALUE"""),"Negative")</f>
        <v>Negative</v>
      </c>
      <c r="G309" s="7">
        <f>IFERROR(__xludf.DUMMYFUNCTION("""COMPUTED_VALUE"""),3.0)</f>
        <v>3</v>
      </c>
    </row>
    <row r="310">
      <c r="A310" s="7" t="str">
        <f>IFERROR(__xludf.DUMMYFUNCTION("""COMPUTED_VALUE"""),"AG667")</f>
        <v>AG667</v>
      </c>
      <c r="B310" s="7" t="str">
        <f>IFERROR(__xludf.DUMMYFUNCTION("""COMPUTED_VALUE"""),"RUN-ABRM_2022-10-13_RFR-044")</f>
        <v>RUN-ABRM_2022-10-13_RFR-044</v>
      </c>
      <c r="C310" s="8">
        <f>VLOOKUP(B310,'Run Reconcile'!A$2:B3212,2,FALSE)</f>
        <v>44847</v>
      </c>
      <c r="D310" s="12">
        <f>IFERROR(__xludf.DUMMYFUNCTION("""COMPUTED_VALUE"""),44847.0)</f>
        <v>44847</v>
      </c>
      <c r="E310" s="13">
        <f>IFERROR(__xludf.DUMMYFUNCTION("""COMPUTED_VALUE"""),0.2717708333329938)</f>
        <v>0.2717708333</v>
      </c>
      <c r="F310" s="7" t="str">
        <f>IFERROR(__xludf.DUMMYFUNCTION("""COMPUTED_VALUE"""),"Negative")</f>
        <v>Negative</v>
      </c>
      <c r="G310" s="7">
        <f>IFERROR(__xludf.DUMMYFUNCTION("""COMPUTED_VALUE"""),3.0)</f>
        <v>3</v>
      </c>
    </row>
    <row r="311">
      <c r="A311" s="7" t="str">
        <f>IFERROR(__xludf.DUMMYFUNCTION("""COMPUTED_VALUE"""),"AG406")</f>
        <v>AG406</v>
      </c>
      <c r="B311" s="7" t="str">
        <f>IFERROR(__xludf.DUMMYFUNCTION("""COMPUTED_VALUE"""),"RUN-ABRM_2022-10-13_RFR-044")</f>
        <v>RUN-ABRM_2022-10-13_RFR-044</v>
      </c>
      <c r="C311" s="8">
        <f>VLOOKUP(B311,'Run Reconcile'!A$2:B3212,2,FALSE)</f>
        <v>44847</v>
      </c>
      <c r="D311" s="12">
        <f>IFERROR(__xludf.DUMMYFUNCTION("""COMPUTED_VALUE"""),44847.0)</f>
        <v>44847</v>
      </c>
      <c r="E311" s="13">
        <f>IFERROR(__xludf.DUMMYFUNCTION("""COMPUTED_VALUE"""),0.2912499999983993)</f>
        <v>0.29125</v>
      </c>
      <c r="F311" s="7" t="str">
        <f>IFERROR(__xludf.DUMMYFUNCTION("""COMPUTED_VALUE"""),"Negative")</f>
        <v>Negative</v>
      </c>
      <c r="G311" s="7">
        <f>IFERROR(__xludf.DUMMYFUNCTION("""COMPUTED_VALUE"""),3.0)</f>
        <v>3</v>
      </c>
    </row>
    <row r="312">
      <c r="A312" s="7" t="str">
        <f>IFERROR(__xludf.DUMMYFUNCTION("""COMPUTED_VALUE"""),"AH8777")</f>
        <v>AH8777</v>
      </c>
      <c r="B312" s="7" t="str">
        <f>IFERROR(__xludf.DUMMYFUNCTION("""COMPUTED_VALUE"""),"RUN-ABRM_2022-10-13_RFR-044")</f>
        <v>RUN-ABRM_2022-10-13_RFR-044</v>
      </c>
      <c r="C312" s="8">
        <f>VLOOKUP(B312,'Run Reconcile'!A$2:B3212,2,FALSE)</f>
        <v>44847</v>
      </c>
      <c r="D312" s="12">
        <f>IFERROR(__xludf.DUMMYFUNCTION("""COMPUTED_VALUE"""),44847.0)</f>
        <v>44847</v>
      </c>
      <c r="E312" s="13">
        <f>IFERROR(__xludf.DUMMYFUNCTION("""COMPUTED_VALUE"""),0.2977893518509518)</f>
        <v>0.2977893519</v>
      </c>
      <c r="F312" s="7" t="str">
        <f>IFERROR(__xludf.DUMMYFUNCTION("""COMPUTED_VALUE"""),"Negative")</f>
        <v>Negative</v>
      </c>
      <c r="G312" s="7">
        <f>IFERROR(__xludf.DUMMYFUNCTION("""COMPUTED_VALUE"""),2.0)</f>
        <v>2</v>
      </c>
    </row>
    <row r="313">
      <c r="A313" s="7" t="str">
        <f>IFERROR(__xludf.DUMMYFUNCTION("""COMPUTED_VALUE"""),"AG655")</f>
        <v>AG655</v>
      </c>
      <c r="B313" s="7" t="str">
        <f>IFERROR(__xludf.DUMMYFUNCTION("""COMPUTED_VALUE"""),"RUN-ABRM_2022-10-13_RFR-044")</f>
        <v>RUN-ABRM_2022-10-13_RFR-044</v>
      </c>
      <c r="C313" s="8">
        <f>VLOOKUP(B313,'Run Reconcile'!A$2:B3212,2,FALSE)</f>
        <v>44847</v>
      </c>
      <c r="D313" s="12">
        <f>IFERROR(__xludf.DUMMYFUNCTION("""COMPUTED_VALUE"""),44847.0)</f>
        <v>44847</v>
      </c>
      <c r="E313" s="13">
        <f>IFERROR(__xludf.DUMMYFUNCTION("""COMPUTED_VALUE"""),0.3042939814804413)</f>
        <v>0.3042939815</v>
      </c>
      <c r="F313" s="7" t="str">
        <f>IFERROR(__xludf.DUMMYFUNCTION("""COMPUTED_VALUE"""),"Negative")</f>
        <v>Negative</v>
      </c>
      <c r="G313" s="7">
        <f>IFERROR(__xludf.DUMMYFUNCTION("""COMPUTED_VALUE"""),3.0)</f>
        <v>3</v>
      </c>
    </row>
    <row r="314">
      <c r="A314" s="7" t="str">
        <f>IFERROR(__xludf.DUMMYFUNCTION("""COMPUTED_VALUE"""),"AH8456")</f>
        <v>AH8456</v>
      </c>
      <c r="B314" s="7" t="str">
        <f>IFERROR(__xludf.DUMMYFUNCTION("""COMPUTED_VALUE"""),"RUN-ABRM_2022-10-13_RFR-044")</f>
        <v>RUN-ABRM_2022-10-13_RFR-044</v>
      </c>
      <c r="C314" s="8">
        <f>VLOOKUP(B314,'Run Reconcile'!A$2:B3212,2,FALSE)</f>
        <v>44847</v>
      </c>
      <c r="D314" s="12">
        <f>IFERROR(__xludf.DUMMYFUNCTION("""COMPUTED_VALUE"""),44847.0)</f>
        <v>44847</v>
      </c>
      <c r="E314" s="13">
        <f>IFERROR(__xludf.DUMMYFUNCTION("""COMPUTED_VALUE"""),0.3124537037037953)</f>
        <v>0.3124537037</v>
      </c>
      <c r="F314" s="7" t="str">
        <f>IFERROR(__xludf.DUMMYFUNCTION("""COMPUTED_VALUE"""),"Negative")</f>
        <v>Negative</v>
      </c>
      <c r="G314" s="7">
        <f>IFERROR(__xludf.DUMMYFUNCTION("""COMPUTED_VALUE"""),2.0)</f>
        <v>2</v>
      </c>
    </row>
    <row r="315">
      <c r="A315" s="7" t="str">
        <f>IFERROR(__xludf.DUMMYFUNCTION("""COMPUTED_VALUE"""),"AG1740")</f>
        <v>AG1740</v>
      </c>
      <c r="B315" s="7" t="str">
        <f>IFERROR(__xludf.DUMMYFUNCTION("""COMPUTED_VALUE"""),"RUN-ABRM_2022-10-13_RFR-044")</f>
        <v>RUN-ABRM_2022-10-13_RFR-044</v>
      </c>
      <c r="C315" s="8">
        <f>VLOOKUP(B315,'Run Reconcile'!A$2:B3212,2,FALSE)</f>
        <v>44847</v>
      </c>
      <c r="D315" s="12">
        <f>IFERROR(__xludf.DUMMYFUNCTION("""COMPUTED_VALUE"""),44847.0)</f>
        <v>44847</v>
      </c>
      <c r="E315" s="13">
        <f>IFERROR(__xludf.DUMMYFUNCTION("""COMPUTED_VALUE"""),0.3199074074072996)</f>
        <v>0.3199074074</v>
      </c>
      <c r="F315" s="7" t="str">
        <f>IFERROR(__xludf.DUMMYFUNCTION("""COMPUTED_VALUE"""),"Negative")</f>
        <v>Negative</v>
      </c>
      <c r="G315" s="7">
        <f>IFERROR(__xludf.DUMMYFUNCTION("""COMPUTED_VALUE"""),2.0)</f>
        <v>2</v>
      </c>
    </row>
    <row r="316">
      <c r="A316" s="7" t="str">
        <f>IFERROR(__xludf.DUMMYFUNCTION("""COMPUTED_VALUE"""),"AJ8726")</f>
        <v>AJ8726</v>
      </c>
      <c r="B316" s="7" t="str">
        <f>IFERROR(__xludf.DUMMYFUNCTION("""COMPUTED_VALUE"""),"RUN-ABRM_2022-10-13_RFR-044")</f>
        <v>RUN-ABRM_2022-10-13_RFR-044</v>
      </c>
      <c r="C316" s="8">
        <f>VLOOKUP(B316,'Run Reconcile'!A$2:B3212,2,FALSE)</f>
        <v>44847</v>
      </c>
      <c r="D316" s="12">
        <f>IFERROR(__xludf.DUMMYFUNCTION("""COMPUTED_VALUE"""),44847.0)</f>
        <v>44847</v>
      </c>
      <c r="E316" s="13">
        <f>IFERROR(__xludf.DUMMYFUNCTION("""COMPUTED_VALUE"""),0.3219444444439432)</f>
        <v>0.3219444444</v>
      </c>
      <c r="F316" s="7" t="str">
        <f>IFERROR(__xludf.DUMMYFUNCTION("""COMPUTED_VALUE"""),"Negative")</f>
        <v>Negative</v>
      </c>
      <c r="G316" s="7">
        <f>IFERROR(__xludf.DUMMYFUNCTION("""COMPUTED_VALUE"""),1.0)</f>
        <v>1</v>
      </c>
    </row>
    <row r="317">
      <c r="A317" s="7" t="str">
        <f>IFERROR(__xludf.DUMMYFUNCTION("""COMPUTED_VALUE"""),"AJ8832")</f>
        <v>AJ8832</v>
      </c>
      <c r="B317" s="7" t="str">
        <f>IFERROR(__xludf.DUMMYFUNCTION("""COMPUTED_VALUE"""),"RUN-ABRM_2022-10-13_RFR-044")</f>
        <v>RUN-ABRM_2022-10-13_RFR-044</v>
      </c>
      <c r="C317" s="8">
        <f>VLOOKUP(B317,'Run Reconcile'!A$2:B3212,2,FALSE)</f>
        <v>44847</v>
      </c>
      <c r="D317" s="12">
        <f>IFERROR(__xludf.DUMMYFUNCTION("""COMPUTED_VALUE"""),44847.0)</f>
        <v>44847</v>
      </c>
      <c r="E317" s="13">
        <f>IFERROR(__xludf.DUMMYFUNCTION("""COMPUTED_VALUE"""),0.3295138888897782)</f>
        <v>0.3295138889</v>
      </c>
      <c r="F317" s="7" t="str">
        <f>IFERROR(__xludf.DUMMYFUNCTION("""COMPUTED_VALUE"""),"Negative")</f>
        <v>Negative</v>
      </c>
      <c r="G317" s="7">
        <f>IFERROR(__xludf.DUMMYFUNCTION("""COMPUTED_VALUE"""),2.0)</f>
        <v>2</v>
      </c>
    </row>
    <row r="318">
      <c r="A318" s="7" t="str">
        <f>IFERROR(__xludf.DUMMYFUNCTION("""COMPUTED_VALUE"""),"AG2148")</f>
        <v>AG2148</v>
      </c>
      <c r="B318" s="7" t="str">
        <f>IFERROR(__xludf.DUMMYFUNCTION("""COMPUTED_VALUE"""),"RUN-ABRM_2022-10-13_RFR-044")</f>
        <v>RUN-ABRM_2022-10-13_RFR-044</v>
      </c>
      <c r="C318" s="8">
        <f>VLOOKUP(B318,'Run Reconcile'!A$2:B3212,2,FALSE)</f>
        <v>44847</v>
      </c>
      <c r="D318" s="12">
        <f>IFERROR(__xludf.DUMMYFUNCTION("""COMPUTED_VALUE"""),44847.0)</f>
        <v>44847</v>
      </c>
      <c r="E318" s="13">
        <f>IFERROR(__xludf.DUMMYFUNCTION("""COMPUTED_VALUE"""),0.3310300925913907)</f>
        <v>0.3310300926</v>
      </c>
      <c r="F318" s="7" t="str">
        <f>IFERROR(__xludf.DUMMYFUNCTION("""COMPUTED_VALUE"""),"Negative")</f>
        <v>Negative</v>
      </c>
      <c r="G318" s="7">
        <f>IFERROR(__xludf.DUMMYFUNCTION("""COMPUTED_VALUE"""),1.0)</f>
        <v>1</v>
      </c>
    </row>
    <row r="319">
      <c r="A319" s="7" t="str">
        <f>IFERROR(__xludf.DUMMYFUNCTION("""COMPUTED_VALUE"""),"AH7811")</f>
        <v>AH7811</v>
      </c>
      <c r="B319" s="7" t="str">
        <f>IFERROR(__xludf.DUMMYFUNCTION("""COMPUTED_VALUE"""),"RUN-ABRM_2022-10-13_RFR-044")</f>
        <v>RUN-ABRM_2022-10-13_RFR-044</v>
      </c>
      <c r="C319" s="8">
        <f>VLOOKUP(B319,'Run Reconcile'!A$2:B3212,2,FALSE)</f>
        <v>44847</v>
      </c>
      <c r="D319" s="12">
        <f>IFERROR(__xludf.DUMMYFUNCTION("""COMPUTED_VALUE"""),44847.0)</f>
        <v>44847</v>
      </c>
      <c r="E319" s="13">
        <f>IFERROR(__xludf.DUMMYFUNCTION("""COMPUTED_VALUE"""),0.3312847222223354)</f>
        <v>0.3312847222</v>
      </c>
      <c r="F319" s="7" t="str">
        <f>IFERROR(__xludf.DUMMYFUNCTION("""COMPUTED_VALUE"""),"Negative")</f>
        <v>Negative</v>
      </c>
      <c r="G319" s="7">
        <f>IFERROR(__xludf.DUMMYFUNCTION("""COMPUTED_VALUE"""),2.0)</f>
        <v>2</v>
      </c>
    </row>
    <row r="320">
      <c r="A320" s="7" t="str">
        <f>IFERROR(__xludf.DUMMYFUNCTION("""COMPUTED_VALUE"""),"AG1187")</f>
        <v>AG1187</v>
      </c>
      <c r="B320" s="7" t="str">
        <f>IFERROR(__xludf.DUMMYFUNCTION("""COMPUTED_VALUE"""),"RUN-ABRM_2022-10-17_RFR-045")</f>
        <v>RUN-ABRM_2022-10-17_RFR-045</v>
      </c>
      <c r="C320" s="8">
        <f>VLOOKUP(B320,'Run Reconcile'!A$2:B3212,2,FALSE)</f>
        <v>44851</v>
      </c>
      <c r="D320" s="12">
        <f>IFERROR(__xludf.DUMMYFUNCTION("""COMPUTED_VALUE"""),44851.0)</f>
        <v>44851</v>
      </c>
      <c r="E320" s="13">
        <f>IFERROR(__xludf.DUMMYFUNCTION("""COMPUTED_VALUE"""),0.23785879629576812)</f>
        <v>0.2378587963</v>
      </c>
      <c r="F320" s="7" t="str">
        <f>IFERROR(__xludf.DUMMYFUNCTION("""COMPUTED_VALUE"""),"Negative")</f>
        <v>Negative</v>
      </c>
      <c r="G320" s="7">
        <f>IFERROR(__xludf.DUMMYFUNCTION("""COMPUTED_VALUE"""),1.0)</f>
        <v>1</v>
      </c>
    </row>
    <row r="321">
      <c r="A321" s="7" t="str">
        <f>IFERROR(__xludf.DUMMYFUNCTION("""COMPUTED_VALUE"""),"AJ9870")</f>
        <v>AJ9870</v>
      </c>
      <c r="B321" s="7" t="str">
        <f>IFERROR(__xludf.DUMMYFUNCTION("""COMPUTED_VALUE"""),"RUN-ABRM_2022-10-17_RFR-045")</f>
        <v>RUN-ABRM_2022-10-17_RFR-045</v>
      </c>
      <c r="C321" s="8">
        <f>VLOOKUP(B321,'Run Reconcile'!A$2:B3212,2,FALSE)</f>
        <v>44851</v>
      </c>
      <c r="D321" s="12">
        <f>IFERROR(__xludf.DUMMYFUNCTION("""COMPUTED_VALUE"""),44851.0)</f>
        <v>44851</v>
      </c>
      <c r="E321" s="13">
        <f>IFERROR(__xludf.DUMMYFUNCTION("""COMPUTED_VALUE"""),0.2853587962963502)</f>
        <v>0.2853587963</v>
      </c>
      <c r="F321" s="7" t="str">
        <f>IFERROR(__xludf.DUMMYFUNCTION("""COMPUTED_VALUE"""),"Negative")</f>
        <v>Negative</v>
      </c>
      <c r="G321" s="7">
        <f>IFERROR(__xludf.DUMMYFUNCTION("""COMPUTED_VALUE"""),2.0)</f>
        <v>2</v>
      </c>
    </row>
    <row r="322">
      <c r="A322" s="7" t="str">
        <f>IFERROR(__xludf.DUMMYFUNCTION("""COMPUTED_VALUE"""),"AH8387")</f>
        <v>AH8387</v>
      </c>
      <c r="B322" s="7" t="str">
        <f>IFERROR(__xludf.DUMMYFUNCTION("""COMPUTED_VALUE"""),"RUN-ABRM_2022-10-17_RFR-045")</f>
        <v>RUN-ABRM_2022-10-17_RFR-045</v>
      </c>
      <c r="C322" s="8">
        <f>VLOOKUP(B322,'Run Reconcile'!A$2:B3212,2,FALSE)</f>
        <v>44851</v>
      </c>
      <c r="D322" s="12">
        <f>IFERROR(__xludf.DUMMYFUNCTION("""COMPUTED_VALUE"""),44851.0)</f>
        <v>44851</v>
      </c>
      <c r="E322" s="13">
        <f>IFERROR(__xludf.DUMMYFUNCTION("""COMPUTED_VALUE"""),0.28929398148102337)</f>
        <v>0.2892939815</v>
      </c>
      <c r="F322" s="7" t="str">
        <f>IFERROR(__xludf.DUMMYFUNCTION("""COMPUTED_VALUE"""),"Negative")</f>
        <v>Negative</v>
      </c>
      <c r="G322" s="7">
        <f>IFERROR(__xludf.DUMMYFUNCTION("""COMPUTED_VALUE"""),3.0)</f>
        <v>3</v>
      </c>
    </row>
    <row r="323">
      <c r="A323" s="7" t="str">
        <f>IFERROR(__xludf.DUMMYFUNCTION("""COMPUTED_VALUE"""),"AH9497")</f>
        <v>AH9497</v>
      </c>
      <c r="B323" s="7" t="str">
        <f>IFERROR(__xludf.DUMMYFUNCTION("""COMPUTED_VALUE"""),"RUN-ABRM_2022-10-17_RFR-045")</f>
        <v>RUN-ABRM_2022-10-17_RFR-045</v>
      </c>
      <c r="C323" s="8">
        <f>VLOOKUP(B323,'Run Reconcile'!A$2:B3212,2,FALSE)</f>
        <v>44851</v>
      </c>
      <c r="D323" s="12">
        <f>IFERROR(__xludf.DUMMYFUNCTION("""COMPUTED_VALUE"""),44851.0)</f>
        <v>44851</v>
      </c>
      <c r="E323" s="13">
        <f>IFERROR(__xludf.DUMMYFUNCTION("""COMPUTED_VALUE"""),0.29917824074072996)</f>
        <v>0.2991782407</v>
      </c>
      <c r="F323" s="7" t="str">
        <f>IFERROR(__xludf.DUMMYFUNCTION("""COMPUTED_VALUE"""),"Negative")</f>
        <v>Negative</v>
      </c>
      <c r="G323" s="7">
        <f>IFERROR(__xludf.DUMMYFUNCTION("""COMPUTED_VALUE"""),2.0)</f>
        <v>2</v>
      </c>
    </row>
    <row r="324">
      <c r="A324" s="7" t="str">
        <f>IFERROR(__xludf.DUMMYFUNCTION("""COMPUTED_VALUE"""),"AG1946")</f>
        <v>AG1946</v>
      </c>
      <c r="B324" s="7" t="str">
        <f>IFERROR(__xludf.DUMMYFUNCTION("""COMPUTED_VALUE"""),"RUN-ABRM_2022-10-17_RFR-045")</f>
        <v>RUN-ABRM_2022-10-17_RFR-045</v>
      </c>
      <c r="C324" s="8">
        <f>VLOOKUP(B324,'Run Reconcile'!A$2:B3212,2,FALSE)</f>
        <v>44851</v>
      </c>
      <c r="D324" s="12">
        <f>IFERROR(__xludf.DUMMYFUNCTION("""COMPUTED_VALUE"""),44851.0)</f>
        <v>44851</v>
      </c>
      <c r="E324" s="13">
        <f>IFERROR(__xludf.DUMMYFUNCTION("""COMPUTED_VALUE"""),0.29994212962992606)</f>
        <v>0.2999421296</v>
      </c>
      <c r="F324" s="7" t="str">
        <f>IFERROR(__xludf.DUMMYFUNCTION("""COMPUTED_VALUE"""),"Negative")</f>
        <v>Negative</v>
      </c>
      <c r="G324" s="7">
        <f>IFERROR(__xludf.DUMMYFUNCTION("""COMPUTED_VALUE"""),2.0)</f>
        <v>2</v>
      </c>
    </row>
    <row r="325">
      <c r="A325" s="7" t="str">
        <f>IFERROR(__xludf.DUMMYFUNCTION("""COMPUTED_VALUE"""),"AH9451")</f>
        <v>AH9451</v>
      </c>
      <c r="B325" s="7" t="str">
        <f>IFERROR(__xludf.DUMMYFUNCTION("""COMPUTED_VALUE"""),"RUN-ABRM_2022-10-17_RFR-045")</f>
        <v>RUN-ABRM_2022-10-17_RFR-045</v>
      </c>
      <c r="C325" s="8">
        <f>VLOOKUP(B325,'Run Reconcile'!A$2:B3212,2,FALSE)</f>
        <v>44851</v>
      </c>
      <c r="D325" s="12">
        <f>IFERROR(__xludf.DUMMYFUNCTION("""COMPUTED_VALUE"""),44851.0)</f>
        <v>44851</v>
      </c>
      <c r="E325" s="13">
        <f>IFERROR(__xludf.DUMMYFUNCTION("""COMPUTED_VALUE"""),0.3033680555563478)</f>
        <v>0.3033680556</v>
      </c>
      <c r="F325" s="7" t="str">
        <f>IFERROR(__xludf.DUMMYFUNCTION("""COMPUTED_VALUE"""),"Negative")</f>
        <v>Negative</v>
      </c>
      <c r="G325" s="7">
        <f>IFERROR(__xludf.DUMMYFUNCTION("""COMPUTED_VALUE"""),4.0)</f>
        <v>4</v>
      </c>
    </row>
    <row r="326">
      <c r="A326" s="7" t="str">
        <f>IFERROR(__xludf.DUMMYFUNCTION("""COMPUTED_VALUE"""),"AG2130")</f>
        <v>AG2130</v>
      </c>
      <c r="B326" s="7" t="str">
        <f>IFERROR(__xludf.DUMMYFUNCTION("""COMPUTED_VALUE"""),"RUN-ABRM_2022-10-17_RFR-045")</f>
        <v>RUN-ABRM_2022-10-17_RFR-045</v>
      </c>
      <c r="C326" s="8">
        <f>VLOOKUP(B326,'Run Reconcile'!A$2:B3212,2,FALSE)</f>
        <v>44851</v>
      </c>
      <c r="D326" s="12">
        <f>IFERROR(__xludf.DUMMYFUNCTION("""COMPUTED_VALUE"""),44851.0)</f>
        <v>44851</v>
      </c>
      <c r="E326" s="13">
        <f>IFERROR(__xludf.DUMMYFUNCTION("""COMPUTED_VALUE"""),0.3170023148159089)</f>
        <v>0.3170023148</v>
      </c>
      <c r="F326" s="7" t="str">
        <f>IFERROR(__xludf.DUMMYFUNCTION("""COMPUTED_VALUE"""),"Negative")</f>
        <v>Negative</v>
      </c>
      <c r="G326" s="7">
        <f>IFERROR(__xludf.DUMMYFUNCTION("""COMPUTED_VALUE"""),2.0)</f>
        <v>2</v>
      </c>
    </row>
    <row r="327">
      <c r="A327" s="7" t="str">
        <f>IFERROR(__xludf.DUMMYFUNCTION("""COMPUTED_VALUE"""),"AG170")</f>
        <v>AG170</v>
      </c>
      <c r="B327" s="7" t="str">
        <f>IFERROR(__xludf.DUMMYFUNCTION("""COMPUTED_VALUE"""),"RUN-ABRM_2022-10-17_RFR-045")</f>
        <v>RUN-ABRM_2022-10-17_RFR-045</v>
      </c>
      <c r="C327" s="8">
        <f>VLOOKUP(B327,'Run Reconcile'!A$2:B3212,2,FALSE)</f>
        <v>44851</v>
      </c>
      <c r="D327" s="12">
        <f>IFERROR(__xludf.DUMMYFUNCTION("""COMPUTED_VALUE"""),44851.0)</f>
        <v>44851</v>
      </c>
      <c r="E327" s="13">
        <f>IFERROR(__xludf.DUMMYFUNCTION("""COMPUTED_VALUE"""),0.32247685185211594)</f>
        <v>0.3224768519</v>
      </c>
      <c r="F327" s="7" t="str">
        <f>IFERROR(__xludf.DUMMYFUNCTION("""COMPUTED_VALUE"""),"Negative")</f>
        <v>Negative</v>
      </c>
      <c r="G327" s="7">
        <f>IFERROR(__xludf.DUMMYFUNCTION("""COMPUTED_VALUE"""),2.0)</f>
        <v>2</v>
      </c>
    </row>
    <row r="328">
      <c r="A328" s="7" t="str">
        <f>IFERROR(__xludf.DUMMYFUNCTION("""COMPUTED_VALUE"""),"AG851")</f>
        <v>AG851</v>
      </c>
      <c r="B328" s="7" t="str">
        <f>IFERROR(__xludf.DUMMYFUNCTION("""COMPUTED_VALUE"""),"RUN-ABRM_2022-10-17_RFR-045")</f>
        <v>RUN-ABRM_2022-10-17_RFR-045</v>
      </c>
      <c r="C328" s="8">
        <f>VLOOKUP(B328,'Run Reconcile'!A$2:B3212,2,FALSE)</f>
        <v>44851</v>
      </c>
      <c r="D328" s="12">
        <f>IFERROR(__xludf.DUMMYFUNCTION("""COMPUTED_VALUE"""),44851.0)</f>
        <v>44851</v>
      </c>
      <c r="E328" s="13">
        <f>IFERROR(__xludf.DUMMYFUNCTION("""COMPUTED_VALUE"""),0.3231828703719657)</f>
        <v>0.3231828704</v>
      </c>
      <c r="F328" s="7" t="str">
        <f>IFERROR(__xludf.DUMMYFUNCTION("""COMPUTED_VALUE"""),"Negative")</f>
        <v>Negative</v>
      </c>
      <c r="G328" s="7">
        <f>IFERROR(__xludf.DUMMYFUNCTION("""COMPUTED_VALUE"""),3.0)</f>
        <v>3</v>
      </c>
    </row>
    <row r="329">
      <c r="A329" s="7" t="str">
        <f>IFERROR(__xludf.DUMMYFUNCTION("""COMPUTED_VALUE"""),"AH1199")</f>
        <v>AH1199</v>
      </c>
      <c r="B329" s="7" t="str">
        <f>IFERROR(__xludf.DUMMYFUNCTION("""COMPUTED_VALUE"""),"RUN-ABRM_2022-10-17_RFR-045")</f>
        <v>RUN-ABRM_2022-10-17_RFR-045</v>
      </c>
      <c r="C329" s="8">
        <f>VLOOKUP(B329,'Run Reconcile'!A$2:B3212,2,FALSE)</f>
        <v>44851</v>
      </c>
      <c r="D329" s="12">
        <f>IFERROR(__xludf.DUMMYFUNCTION("""COMPUTED_VALUE"""),44851.0)</f>
        <v>44851</v>
      </c>
      <c r="E329" s="13">
        <f>IFERROR(__xludf.DUMMYFUNCTION("""COMPUTED_VALUE"""),0.33603009259240935)</f>
        <v>0.3360300926</v>
      </c>
      <c r="F329" s="7" t="str">
        <f>IFERROR(__xludf.DUMMYFUNCTION("""COMPUTED_VALUE"""),"Negative")</f>
        <v>Negative</v>
      </c>
      <c r="G329" s="7">
        <f>IFERROR(__xludf.DUMMYFUNCTION("""COMPUTED_VALUE"""),1.0)</f>
        <v>1</v>
      </c>
    </row>
    <row r="330">
      <c r="A330" s="7" t="str">
        <f>IFERROR(__xludf.DUMMYFUNCTION("""COMPUTED_VALUE"""),"AJ9673")</f>
        <v>AJ9673</v>
      </c>
      <c r="B330" s="7" t="str">
        <f>IFERROR(__xludf.DUMMYFUNCTION("""COMPUTED_VALUE"""),"RUN-ABRM_2022-10-17_RFR-045")</f>
        <v>RUN-ABRM_2022-10-17_RFR-045</v>
      </c>
      <c r="C330" s="8">
        <f>VLOOKUP(B330,'Run Reconcile'!A$2:B3212,2,FALSE)</f>
        <v>44851</v>
      </c>
      <c r="D330" s="12">
        <f>IFERROR(__xludf.DUMMYFUNCTION("""COMPUTED_VALUE"""),44851.0)</f>
        <v>44851</v>
      </c>
      <c r="E330" s="13">
        <f>IFERROR(__xludf.DUMMYFUNCTION("""COMPUTED_VALUE"""),0.33631944444277906)</f>
        <v>0.3363194444</v>
      </c>
      <c r="F330" s="7" t="str">
        <f>IFERROR(__xludf.DUMMYFUNCTION("""COMPUTED_VALUE"""),"Negative")</f>
        <v>Negative</v>
      </c>
      <c r="G330" s="7">
        <f>IFERROR(__xludf.DUMMYFUNCTION("""COMPUTED_VALUE"""),2.0)</f>
        <v>2</v>
      </c>
    </row>
    <row r="331">
      <c r="A331" s="7" t="str">
        <f>IFERROR(__xludf.DUMMYFUNCTION("""COMPUTED_VALUE"""),"AG174")</f>
        <v>AG174</v>
      </c>
      <c r="B331" s="7" t="str">
        <f>IFERROR(__xludf.DUMMYFUNCTION("""COMPUTED_VALUE"""),"RUN-ABRM_2022-10-18_RFR-046")</f>
        <v>RUN-ABRM_2022-10-18_RFR-046</v>
      </c>
      <c r="C331" s="8">
        <f>VLOOKUP(B331,'Run Reconcile'!A$2:B3212,2,FALSE)</f>
        <v>44852</v>
      </c>
      <c r="D331" s="12">
        <f>IFERROR(__xludf.DUMMYFUNCTION("""COMPUTED_VALUE"""),44852.0)</f>
        <v>44852</v>
      </c>
      <c r="E331" s="13">
        <f>IFERROR(__xludf.DUMMYFUNCTION("""COMPUTED_VALUE"""),0.26009259259080864)</f>
        <v>0.2600925926</v>
      </c>
      <c r="F331" s="7" t="str">
        <f>IFERROR(__xludf.DUMMYFUNCTION("""COMPUTED_VALUE"""),"Negative")</f>
        <v>Negative</v>
      </c>
      <c r="G331" s="7">
        <f>IFERROR(__xludf.DUMMYFUNCTION("""COMPUTED_VALUE"""),1.0)</f>
        <v>1</v>
      </c>
    </row>
    <row r="332">
      <c r="A332" s="7" t="str">
        <f>IFERROR(__xludf.DUMMYFUNCTION("""COMPUTED_VALUE"""),"AG1438")</f>
        <v>AG1438</v>
      </c>
      <c r="B332" s="7" t="str">
        <f>IFERROR(__xludf.DUMMYFUNCTION("""COMPUTED_VALUE"""),"RUN-ABRM_2022-10-18_RFR-046")</f>
        <v>RUN-ABRM_2022-10-18_RFR-046</v>
      </c>
      <c r="C332" s="8">
        <f>VLOOKUP(B332,'Run Reconcile'!A$2:B3212,2,FALSE)</f>
        <v>44852</v>
      </c>
      <c r="D332" s="12">
        <f>IFERROR(__xludf.DUMMYFUNCTION("""COMPUTED_VALUE"""),44852.0)</f>
        <v>44852</v>
      </c>
      <c r="E332" s="13">
        <f>IFERROR(__xludf.DUMMYFUNCTION("""COMPUTED_VALUE"""),0.297048611111677)</f>
        <v>0.2970486111</v>
      </c>
      <c r="F332" s="7" t="str">
        <f>IFERROR(__xludf.DUMMYFUNCTION("""COMPUTED_VALUE"""),"Negative")</f>
        <v>Negative</v>
      </c>
      <c r="G332" s="7">
        <f>IFERROR(__xludf.DUMMYFUNCTION("""COMPUTED_VALUE"""),3.0)</f>
        <v>3</v>
      </c>
    </row>
    <row r="333">
      <c r="A333" s="7" t="str">
        <f>IFERROR(__xludf.DUMMYFUNCTION("""COMPUTED_VALUE"""),"AH7821")</f>
        <v>AH7821</v>
      </c>
      <c r="B333" s="7" t="str">
        <f>IFERROR(__xludf.DUMMYFUNCTION("""COMPUTED_VALUE"""),"RUN-ABRM_2022-10-18_RFR-046")</f>
        <v>RUN-ABRM_2022-10-18_RFR-046</v>
      </c>
      <c r="C333" s="8">
        <f>VLOOKUP(B333,'Run Reconcile'!A$2:B3212,2,FALSE)</f>
        <v>44852</v>
      </c>
      <c r="D333" s="12">
        <f>IFERROR(__xludf.DUMMYFUNCTION("""COMPUTED_VALUE"""),44852.0)</f>
        <v>44852</v>
      </c>
      <c r="E333" s="13">
        <f>IFERROR(__xludf.DUMMYFUNCTION("""COMPUTED_VALUE"""),0.2974537037043774)</f>
        <v>0.2974537037</v>
      </c>
      <c r="F333" s="7" t="str">
        <f>IFERROR(__xludf.DUMMYFUNCTION("""COMPUTED_VALUE"""),"Negative")</f>
        <v>Negative</v>
      </c>
      <c r="G333" s="7">
        <f>IFERROR(__xludf.DUMMYFUNCTION("""COMPUTED_VALUE"""),2.0)</f>
        <v>2</v>
      </c>
    </row>
    <row r="334">
      <c r="A334" s="7" t="str">
        <f>IFERROR(__xludf.DUMMYFUNCTION("""COMPUTED_VALUE"""),"AG362")</f>
        <v>AG362</v>
      </c>
      <c r="B334" s="7" t="str">
        <f>IFERROR(__xludf.DUMMYFUNCTION("""COMPUTED_VALUE"""),"RUN-ABRM_2022-10-18_RFR-046")</f>
        <v>RUN-ABRM_2022-10-18_RFR-046</v>
      </c>
      <c r="C334" s="8">
        <f>VLOOKUP(B334,'Run Reconcile'!A$2:B3212,2,FALSE)</f>
        <v>44852</v>
      </c>
      <c r="D334" s="12">
        <f>IFERROR(__xludf.DUMMYFUNCTION("""COMPUTED_VALUE"""),44852.0)</f>
        <v>44852</v>
      </c>
      <c r="E334" s="13">
        <f>IFERROR(__xludf.DUMMYFUNCTION("""COMPUTED_VALUE"""),0.2988078703710926)</f>
        <v>0.2988078704</v>
      </c>
      <c r="F334" s="7" t="str">
        <f>IFERROR(__xludf.DUMMYFUNCTION("""COMPUTED_VALUE"""),"Negative")</f>
        <v>Negative</v>
      </c>
      <c r="G334" s="7">
        <f>IFERROR(__xludf.DUMMYFUNCTION("""COMPUTED_VALUE"""),3.0)</f>
        <v>3</v>
      </c>
    </row>
    <row r="335">
      <c r="A335" s="7" t="str">
        <f>IFERROR(__xludf.DUMMYFUNCTION("""COMPUTED_VALUE"""),"AH9520")</f>
        <v>AH9520</v>
      </c>
      <c r="B335" s="7" t="str">
        <f>IFERROR(__xludf.DUMMYFUNCTION("""COMPUTED_VALUE"""),"RUN-ABRM_2022-10-18_RFR-046")</f>
        <v>RUN-ABRM_2022-10-18_RFR-046</v>
      </c>
      <c r="C335" s="8">
        <f>VLOOKUP(B335,'Run Reconcile'!A$2:B3212,2,FALSE)</f>
        <v>44852</v>
      </c>
      <c r="D335" s="12">
        <f>IFERROR(__xludf.DUMMYFUNCTION("""COMPUTED_VALUE"""),44852.0)</f>
        <v>44852</v>
      </c>
      <c r="E335" s="13">
        <f>IFERROR(__xludf.DUMMYFUNCTION("""COMPUTED_VALUE"""),0.30605324073985685)</f>
        <v>0.3060532407</v>
      </c>
      <c r="F335" s="7" t="str">
        <f>IFERROR(__xludf.DUMMYFUNCTION("""COMPUTED_VALUE"""),"Negative")</f>
        <v>Negative</v>
      </c>
      <c r="G335" s="7">
        <f>IFERROR(__xludf.DUMMYFUNCTION("""COMPUTED_VALUE"""),3.0)</f>
        <v>3</v>
      </c>
    </row>
    <row r="336">
      <c r="A336" s="7" t="str">
        <f>IFERROR(__xludf.DUMMYFUNCTION("""COMPUTED_VALUE"""),"AJ8236")</f>
        <v>AJ8236</v>
      </c>
      <c r="B336" s="7" t="str">
        <f>IFERROR(__xludf.DUMMYFUNCTION("""COMPUTED_VALUE"""),"RUN-ABRM_2022-10-18_RFR-046")</f>
        <v>RUN-ABRM_2022-10-18_RFR-046</v>
      </c>
      <c r="C336" s="8">
        <f>VLOOKUP(B336,'Run Reconcile'!A$2:B3212,2,FALSE)</f>
        <v>44852</v>
      </c>
      <c r="D336" s="12">
        <f>IFERROR(__xludf.DUMMYFUNCTION("""COMPUTED_VALUE"""),44852.0)</f>
        <v>44852</v>
      </c>
      <c r="E336" s="13">
        <f>IFERROR(__xludf.DUMMYFUNCTION("""COMPUTED_VALUE"""),0.32363425926087075)</f>
        <v>0.3236342593</v>
      </c>
      <c r="F336" s="7" t="str">
        <f>IFERROR(__xludf.DUMMYFUNCTION("""COMPUTED_VALUE"""),"Negative")</f>
        <v>Negative</v>
      </c>
      <c r="G336" s="7">
        <f>IFERROR(__xludf.DUMMYFUNCTION("""COMPUTED_VALUE"""),2.0)</f>
        <v>2</v>
      </c>
    </row>
    <row r="337">
      <c r="A337" s="7" t="str">
        <f>IFERROR(__xludf.DUMMYFUNCTION("""COMPUTED_VALUE"""),"AG877")</f>
        <v>AG877</v>
      </c>
      <c r="B337" s="7" t="str">
        <f>IFERROR(__xludf.DUMMYFUNCTION("""COMPUTED_VALUE"""),"RUN-ABRM_2022-10-18_RFR-046")</f>
        <v>RUN-ABRM_2022-10-18_RFR-046</v>
      </c>
      <c r="C337" s="8">
        <f>VLOOKUP(B337,'Run Reconcile'!A$2:B3212,2,FALSE)</f>
        <v>44852</v>
      </c>
      <c r="D337" s="12">
        <f>IFERROR(__xludf.DUMMYFUNCTION("""COMPUTED_VALUE"""),44852.0)</f>
        <v>44852</v>
      </c>
      <c r="E337" s="13">
        <f>IFERROR(__xludf.DUMMYFUNCTION("""COMPUTED_VALUE"""),0.3247916666659876)</f>
        <v>0.3247916667</v>
      </c>
      <c r="F337" s="7" t="str">
        <f>IFERROR(__xludf.DUMMYFUNCTION("""COMPUTED_VALUE"""),"Negative")</f>
        <v>Negative</v>
      </c>
      <c r="G337" s="7">
        <f>IFERROR(__xludf.DUMMYFUNCTION("""COMPUTED_VALUE"""),2.0)</f>
        <v>2</v>
      </c>
    </row>
    <row r="338">
      <c r="A338" s="7" t="str">
        <f>IFERROR(__xludf.DUMMYFUNCTION("""COMPUTED_VALUE"""),"AH8796")</f>
        <v>AH8796</v>
      </c>
      <c r="B338" s="7" t="str">
        <f>IFERROR(__xludf.DUMMYFUNCTION("""COMPUTED_VALUE"""),"RUN-ABRM_2022-10-18_RFR-046")</f>
        <v>RUN-ABRM_2022-10-18_RFR-046</v>
      </c>
      <c r="C338" s="8">
        <f>VLOOKUP(B338,'Run Reconcile'!A$2:B3212,2,FALSE)</f>
        <v>44852</v>
      </c>
      <c r="D338" s="12">
        <f>IFERROR(__xludf.DUMMYFUNCTION("""COMPUTED_VALUE"""),44852.0)</f>
        <v>44852</v>
      </c>
      <c r="E338" s="13">
        <f>IFERROR(__xludf.DUMMYFUNCTION("""COMPUTED_VALUE"""),0.35732638889021473)</f>
        <v>0.3573263889</v>
      </c>
      <c r="F338" s="7" t="str">
        <f>IFERROR(__xludf.DUMMYFUNCTION("""COMPUTED_VALUE"""),"Negative")</f>
        <v>Negative</v>
      </c>
      <c r="G338" s="7">
        <f>IFERROR(__xludf.DUMMYFUNCTION("""COMPUTED_VALUE"""),2.0)</f>
        <v>2</v>
      </c>
    </row>
    <row r="339">
      <c r="A339" s="7" t="str">
        <f>IFERROR(__xludf.DUMMYFUNCTION("""COMPUTED_VALUE"""),"AG873")</f>
        <v>AG873</v>
      </c>
      <c r="B339" s="7" t="str">
        <f>IFERROR(__xludf.DUMMYFUNCTION("""COMPUTED_VALUE"""),"RUN-ABRM_2022-10-18_RFR-046")</f>
        <v>RUN-ABRM_2022-10-18_RFR-046</v>
      </c>
      <c r="C339" s="8">
        <f>VLOOKUP(B339,'Run Reconcile'!A$2:B3212,2,FALSE)</f>
        <v>44852</v>
      </c>
      <c r="D339" s="12">
        <f>IFERROR(__xludf.DUMMYFUNCTION("""COMPUTED_VALUE"""),44852.0)</f>
        <v>44852</v>
      </c>
      <c r="E339" s="13">
        <f>IFERROR(__xludf.DUMMYFUNCTION("""COMPUTED_VALUE"""),0.35859953703766223)</f>
        <v>0.358599537</v>
      </c>
      <c r="F339" s="7" t="str">
        <f>IFERROR(__xludf.DUMMYFUNCTION("""COMPUTED_VALUE"""),"Negative")</f>
        <v>Negative</v>
      </c>
      <c r="G339" s="7">
        <f>IFERROR(__xludf.DUMMYFUNCTION("""COMPUTED_VALUE"""),1.0)</f>
        <v>1</v>
      </c>
    </row>
    <row r="340">
      <c r="A340" s="7" t="str">
        <f>IFERROR(__xludf.DUMMYFUNCTION("""COMPUTED_VALUE"""),"AJ7476")</f>
        <v>AJ7476</v>
      </c>
      <c r="B340" s="7" t="str">
        <f>IFERROR(__xludf.DUMMYFUNCTION("""COMPUTED_VALUE"""),"RUN-ABRM_2022-10-19_RFR-048")</f>
        <v>RUN-ABRM_2022-10-19_RFR-048</v>
      </c>
      <c r="C340" s="8">
        <f>VLOOKUP(B340,'Run Reconcile'!A$2:B3212,2,FALSE)</f>
        <v>44853</v>
      </c>
      <c r="D340" s="12">
        <f>IFERROR(__xludf.DUMMYFUNCTION("""COMPUTED_VALUE"""),44853.0)</f>
        <v>44853</v>
      </c>
      <c r="E340" s="13">
        <f>IFERROR(__xludf.DUMMYFUNCTION("""COMPUTED_VALUE"""),0.22277777777708252)</f>
        <v>0.2227777778</v>
      </c>
      <c r="F340" s="7" t="str">
        <f>IFERROR(__xludf.DUMMYFUNCTION("""COMPUTED_VALUE"""),"Negative")</f>
        <v>Negative</v>
      </c>
      <c r="G340" s="7">
        <f>IFERROR(__xludf.DUMMYFUNCTION("""COMPUTED_VALUE"""),2.0)</f>
        <v>2</v>
      </c>
    </row>
    <row r="341">
      <c r="A341" s="7" t="str">
        <f>IFERROR(__xludf.DUMMYFUNCTION("""COMPUTED_VALUE"""),"AG487")</f>
        <v>AG487</v>
      </c>
      <c r="B341" s="7" t="str">
        <f>IFERROR(__xludf.DUMMYFUNCTION("""COMPUTED_VALUE"""),"RUN-ABRM_2022-10-19_RFR-048")</f>
        <v>RUN-ABRM_2022-10-19_RFR-048</v>
      </c>
      <c r="C341" s="8">
        <f>VLOOKUP(B341,'Run Reconcile'!A$2:B3212,2,FALSE)</f>
        <v>44853</v>
      </c>
      <c r="D341" s="12">
        <f>IFERROR(__xludf.DUMMYFUNCTION("""COMPUTED_VALUE"""),44853.0)</f>
        <v>44853</v>
      </c>
      <c r="E341" s="13">
        <f>IFERROR(__xludf.DUMMYFUNCTION("""COMPUTED_VALUE"""),0.23111111111211358)</f>
        <v>0.2311111111</v>
      </c>
      <c r="F341" s="7" t="str">
        <f>IFERROR(__xludf.DUMMYFUNCTION("""COMPUTED_VALUE"""),"Negative")</f>
        <v>Negative</v>
      </c>
      <c r="G341" s="7">
        <f>IFERROR(__xludf.DUMMYFUNCTION("""COMPUTED_VALUE"""),2.0)</f>
        <v>2</v>
      </c>
    </row>
    <row r="342">
      <c r="A342" s="7" t="str">
        <f>IFERROR(__xludf.DUMMYFUNCTION("""COMPUTED_VALUE"""),"AH8061")</f>
        <v>AH8061</v>
      </c>
      <c r="B342" s="7" t="str">
        <f>IFERROR(__xludf.DUMMYFUNCTION("""COMPUTED_VALUE"""),"RUN-ABRM_2022-10-19_RFR-048")</f>
        <v>RUN-ABRM_2022-10-19_RFR-048</v>
      </c>
      <c r="C342" s="8">
        <f>VLOOKUP(B342,'Run Reconcile'!A$2:B3212,2,FALSE)</f>
        <v>44853</v>
      </c>
      <c r="D342" s="12">
        <f>IFERROR(__xludf.DUMMYFUNCTION("""COMPUTED_VALUE"""),44853.0)</f>
        <v>44853</v>
      </c>
      <c r="E342" s="13">
        <f>IFERROR(__xludf.DUMMYFUNCTION("""COMPUTED_VALUE"""),0.27334490740759065)</f>
        <v>0.2733449074</v>
      </c>
      <c r="F342" s="7" t="str">
        <f>IFERROR(__xludf.DUMMYFUNCTION("""COMPUTED_VALUE"""),"Negative")</f>
        <v>Negative</v>
      </c>
      <c r="G342" s="7">
        <f>IFERROR(__xludf.DUMMYFUNCTION("""COMPUTED_VALUE"""),3.0)</f>
        <v>3</v>
      </c>
    </row>
    <row r="343">
      <c r="A343" s="7" t="str">
        <f>IFERROR(__xludf.DUMMYFUNCTION("""COMPUTED_VALUE"""),"AH8035")</f>
        <v>AH8035</v>
      </c>
      <c r="B343" s="7" t="str">
        <f>IFERROR(__xludf.DUMMYFUNCTION("""COMPUTED_VALUE"""),"RUN-ABRM_2022-10-19_RFR-048")</f>
        <v>RUN-ABRM_2022-10-19_RFR-048</v>
      </c>
      <c r="C343" s="8">
        <f>VLOOKUP(B343,'Run Reconcile'!A$2:B3212,2,FALSE)</f>
        <v>44853</v>
      </c>
      <c r="D343" s="12">
        <f>IFERROR(__xludf.DUMMYFUNCTION("""COMPUTED_VALUE"""),44853.0)</f>
        <v>44853</v>
      </c>
      <c r="E343" s="13">
        <f>IFERROR(__xludf.DUMMYFUNCTION("""COMPUTED_VALUE"""),0.2894560185195587)</f>
        <v>0.2894560185</v>
      </c>
      <c r="F343" s="7" t="str">
        <f>IFERROR(__xludf.DUMMYFUNCTION("""COMPUTED_VALUE"""),"Negative")</f>
        <v>Negative</v>
      </c>
      <c r="G343" s="7">
        <f>IFERROR(__xludf.DUMMYFUNCTION("""COMPUTED_VALUE"""),3.0)</f>
        <v>3</v>
      </c>
    </row>
    <row r="344">
      <c r="A344" s="7" t="str">
        <f>IFERROR(__xludf.DUMMYFUNCTION("""COMPUTED_VALUE"""),"AG841")</f>
        <v>AG841</v>
      </c>
      <c r="B344" s="7" t="str">
        <f>IFERROR(__xludf.DUMMYFUNCTION("""COMPUTED_VALUE"""),"RUN-ABRM_2022-10-19_RFR-048")</f>
        <v>RUN-ABRM_2022-10-19_RFR-048</v>
      </c>
      <c r="C344" s="8">
        <f>VLOOKUP(B344,'Run Reconcile'!A$2:B3212,2,FALSE)</f>
        <v>44853</v>
      </c>
      <c r="D344" s="12">
        <f>IFERROR(__xludf.DUMMYFUNCTION("""COMPUTED_VALUE"""),44853.0)</f>
        <v>44853</v>
      </c>
      <c r="E344" s="13">
        <f>IFERROR(__xludf.DUMMYFUNCTION("""COMPUTED_VALUE"""),0.29002314814715646)</f>
        <v>0.2900231481</v>
      </c>
      <c r="F344" s="7" t="str">
        <f>IFERROR(__xludf.DUMMYFUNCTION("""COMPUTED_VALUE"""),"Negative")</f>
        <v>Negative</v>
      </c>
      <c r="G344" s="7">
        <f>IFERROR(__xludf.DUMMYFUNCTION("""COMPUTED_VALUE"""),3.0)</f>
        <v>3</v>
      </c>
    </row>
    <row r="345">
      <c r="A345" s="7" t="str">
        <f>IFERROR(__xludf.DUMMYFUNCTION("""COMPUTED_VALUE"""),"AG1790")</f>
        <v>AG1790</v>
      </c>
      <c r="B345" s="7" t="str">
        <f>IFERROR(__xludf.DUMMYFUNCTION("""COMPUTED_VALUE"""),"RUN-ABRM_2022-10-19_RFR-048")</f>
        <v>RUN-ABRM_2022-10-19_RFR-048</v>
      </c>
      <c r="C345" s="8">
        <f>VLOOKUP(B345,'Run Reconcile'!A$2:B3212,2,FALSE)</f>
        <v>44853</v>
      </c>
      <c r="D345" s="12">
        <f>IFERROR(__xludf.DUMMYFUNCTION("""COMPUTED_VALUE"""),44853.0)</f>
        <v>44853</v>
      </c>
      <c r="E345" s="13">
        <f>IFERROR(__xludf.DUMMYFUNCTION("""COMPUTED_VALUE"""),0.3040624999994179)</f>
        <v>0.3040625</v>
      </c>
      <c r="F345" s="7" t="str">
        <f>IFERROR(__xludf.DUMMYFUNCTION("""COMPUTED_VALUE"""),"Negative")</f>
        <v>Negative</v>
      </c>
      <c r="G345" s="7">
        <f>IFERROR(__xludf.DUMMYFUNCTION("""COMPUTED_VALUE"""),3.0)</f>
        <v>3</v>
      </c>
    </row>
    <row r="346">
      <c r="A346" s="7" t="str">
        <f>IFERROR(__xludf.DUMMYFUNCTION("""COMPUTED_VALUE"""),"AJ8718")</f>
        <v>AJ8718</v>
      </c>
      <c r="B346" s="7" t="str">
        <f>IFERROR(__xludf.DUMMYFUNCTION("""COMPUTED_VALUE"""),"RUN-ABRM_2022-10-19_RFR-048")</f>
        <v>RUN-ABRM_2022-10-19_RFR-048</v>
      </c>
      <c r="C346" s="8">
        <f>VLOOKUP(B346,'Run Reconcile'!A$2:B3212,2,FALSE)</f>
        <v>44853</v>
      </c>
      <c r="D346" s="12">
        <f>IFERROR(__xludf.DUMMYFUNCTION("""COMPUTED_VALUE"""),44853.0)</f>
        <v>44853</v>
      </c>
      <c r="E346" s="13">
        <f>IFERROR(__xludf.DUMMYFUNCTION("""COMPUTED_VALUE"""),0.3692245370366436)</f>
        <v>0.369224537</v>
      </c>
      <c r="F346" s="7" t="str">
        <f>IFERROR(__xludf.DUMMYFUNCTION("""COMPUTED_VALUE"""),"Negative")</f>
        <v>Negative</v>
      </c>
      <c r="G346" s="7">
        <f>IFERROR(__xludf.DUMMYFUNCTION("""COMPUTED_VALUE"""),2.0)</f>
        <v>2</v>
      </c>
    </row>
    <row r="347">
      <c r="A347" s="7" t="str">
        <f>IFERROR(__xludf.DUMMYFUNCTION("""COMPUTED_VALUE"""),"AJ8945")</f>
        <v>AJ8945</v>
      </c>
      <c r="B347" s="7" t="str">
        <f>IFERROR(__xludf.DUMMYFUNCTION("""COMPUTED_VALUE"""),"RUN-ABRM_2022-10-19_RFR-048")</f>
        <v>RUN-ABRM_2022-10-19_RFR-048</v>
      </c>
      <c r="C347" s="8">
        <f>VLOOKUP(B347,'Run Reconcile'!A$2:B3212,2,FALSE)</f>
        <v>44853</v>
      </c>
      <c r="D347" s="12">
        <f>IFERROR(__xludf.DUMMYFUNCTION("""COMPUTED_VALUE"""),44853.0)</f>
        <v>44853</v>
      </c>
      <c r="E347" s="13">
        <f>IFERROR(__xludf.DUMMYFUNCTION("""COMPUTED_VALUE"""),0.36953703703693463)</f>
        <v>0.369537037</v>
      </c>
      <c r="F347" s="7" t="str">
        <f>IFERROR(__xludf.DUMMYFUNCTION("""COMPUTED_VALUE"""),"Negative")</f>
        <v>Negative</v>
      </c>
      <c r="G347" s="7">
        <f>IFERROR(__xludf.DUMMYFUNCTION("""COMPUTED_VALUE"""),1.0)</f>
        <v>1</v>
      </c>
    </row>
    <row r="348">
      <c r="A348" s="7" t="str">
        <f>IFERROR(__xludf.DUMMYFUNCTION("""COMPUTED_VALUE"""),"AG1936")</f>
        <v>AG1936</v>
      </c>
      <c r="B348" s="7" t="str">
        <f>IFERROR(__xludf.DUMMYFUNCTION("""COMPUTED_VALUE"""),"RUN-ABRM_2022-10-20_RFR-049")</f>
        <v>RUN-ABRM_2022-10-20_RFR-049</v>
      </c>
      <c r="C348" s="8">
        <f>VLOOKUP(B348,'Run Reconcile'!A$2:B3212,2,FALSE)</f>
        <v>44854</v>
      </c>
      <c r="D348" s="12">
        <f>IFERROR(__xludf.DUMMYFUNCTION("""COMPUTED_VALUE"""),44854.0)</f>
        <v>44854</v>
      </c>
      <c r="E348" s="13">
        <f>IFERROR(__xludf.DUMMYFUNCTION("""COMPUTED_VALUE"""),0.26629629629678675)</f>
        <v>0.2662962963</v>
      </c>
      <c r="F348" s="7" t="str">
        <f>IFERROR(__xludf.DUMMYFUNCTION("""COMPUTED_VALUE"""),"Negative")</f>
        <v>Negative</v>
      </c>
      <c r="G348" s="7">
        <f>IFERROR(__xludf.DUMMYFUNCTION("""COMPUTED_VALUE"""),1.0)</f>
        <v>1</v>
      </c>
    </row>
    <row r="349">
      <c r="A349" s="7" t="str">
        <f>IFERROR(__xludf.DUMMYFUNCTION("""COMPUTED_VALUE"""),"AG1777")</f>
        <v>AG1777</v>
      </c>
      <c r="B349" s="7" t="str">
        <f>IFERROR(__xludf.DUMMYFUNCTION("""COMPUTED_VALUE"""),"RUN-ABRM_2022-10-20_RFR-049")</f>
        <v>RUN-ABRM_2022-10-20_RFR-049</v>
      </c>
      <c r="C349" s="8">
        <f>VLOOKUP(B349,'Run Reconcile'!A$2:B3212,2,FALSE)</f>
        <v>44854</v>
      </c>
      <c r="D349" s="12">
        <f>IFERROR(__xludf.DUMMYFUNCTION("""COMPUTED_VALUE"""),44854.0)</f>
        <v>44854</v>
      </c>
      <c r="E349" s="13">
        <f>IFERROR(__xludf.DUMMYFUNCTION("""COMPUTED_VALUE"""),0.29423611111269565)</f>
        <v>0.2942361111</v>
      </c>
      <c r="F349" s="7" t="str">
        <f>IFERROR(__xludf.DUMMYFUNCTION("""COMPUTED_VALUE"""),"Negative")</f>
        <v>Negative</v>
      </c>
      <c r="G349" s="7">
        <f>IFERROR(__xludf.DUMMYFUNCTION("""COMPUTED_VALUE"""),3.0)</f>
        <v>3</v>
      </c>
    </row>
    <row r="350">
      <c r="A350" s="7" t="str">
        <f>IFERROR(__xludf.DUMMYFUNCTION("""COMPUTED_VALUE"""),"AG714")</f>
        <v>AG714</v>
      </c>
      <c r="B350" s="7" t="str">
        <f>IFERROR(__xludf.DUMMYFUNCTION("""COMPUTED_VALUE"""),"RUN-ABRM_2022-10-20_RFR-049")</f>
        <v>RUN-ABRM_2022-10-20_RFR-049</v>
      </c>
      <c r="C350" s="8">
        <f>VLOOKUP(B350,'Run Reconcile'!A$2:B3212,2,FALSE)</f>
        <v>44854</v>
      </c>
      <c r="D350" s="12">
        <f>IFERROR(__xludf.DUMMYFUNCTION("""COMPUTED_VALUE"""),44854.0)</f>
        <v>44854</v>
      </c>
      <c r="E350" s="13">
        <f>IFERROR(__xludf.DUMMYFUNCTION("""COMPUTED_VALUE"""),0.29915509259080864)</f>
        <v>0.2991550926</v>
      </c>
      <c r="F350" s="7" t="str">
        <f>IFERROR(__xludf.DUMMYFUNCTION("""COMPUTED_VALUE"""),"Negative")</f>
        <v>Negative</v>
      </c>
      <c r="G350" s="7">
        <f>IFERROR(__xludf.DUMMYFUNCTION("""COMPUTED_VALUE"""),3.0)</f>
        <v>3</v>
      </c>
    </row>
    <row r="351">
      <c r="A351" s="7" t="str">
        <f>IFERROR(__xludf.DUMMYFUNCTION("""COMPUTED_VALUE"""),"AH130")</f>
        <v>AH130</v>
      </c>
      <c r="B351" s="7" t="str">
        <f>IFERROR(__xludf.DUMMYFUNCTION("""COMPUTED_VALUE"""),"RUN-ABRM_2022-10-20_RFR-049")</f>
        <v>RUN-ABRM_2022-10-20_RFR-049</v>
      </c>
      <c r="C351" s="8">
        <f>VLOOKUP(B351,'Run Reconcile'!A$2:B3212,2,FALSE)</f>
        <v>44854</v>
      </c>
      <c r="D351" s="12">
        <f>IFERROR(__xludf.DUMMYFUNCTION("""COMPUTED_VALUE"""),44854.0)</f>
        <v>44854</v>
      </c>
      <c r="E351" s="13">
        <f>IFERROR(__xludf.DUMMYFUNCTION("""COMPUTED_VALUE"""),0.3280439814807323)</f>
        <v>0.3280439815</v>
      </c>
      <c r="F351" s="7" t="str">
        <f>IFERROR(__xludf.DUMMYFUNCTION("""COMPUTED_VALUE"""),"Negative")</f>
        <v>Negative</v>
      </c>
      <c r="G351" s="7">
        <f>IFERROR(__xludf.DUMMYFUNCTION("""COMPUTED_VALUE"""),1.0)</f>
        <v>1</v>
      </c>
    </row>
    <row r="352">
      <c r="A352" s="7" t="str">
        <f>IFERROR(__xludf.DUMMYFUNCTION("""COMPUTED_VALUE"""),"AG569")</f>
        <v>AG569</v>
      </c>
      <c r="B352" s="7" t="str">
        <f>IFERROR(__xludf.DUMMYFUNCTION("""COMPUTED_VALUE"""),"RUN-ABRM_2022-10-20_RFR-049")</f>
        <v>RUN-ABRM_2022-10-20_RFR-049</v>
      </c>
      <c r="C352" s="8">
        <f>VLOOKUP(B352,'Run Reconcile'!A$2:B3212,2,FALSE)</f>
        <v>44854</v>
      </c>
      <c r="D352" s="12">
        <f>IFERROR(__xludf.DUMMYFUNCTION("""COMPUTED_VALUE"""),44854.0)</f>
        <v>44854</v>
      </c>
      <c r="E352" s="13">
        <f>IFERROR(__xludf.DUMMYFUNCTION("""COMPUTED_VALUE"""),0.3285995370388264)</f>
        <v>0.328599537</v>
      </c>
      <c r="F352" s="7" t="str">
        <f>IFERROR(__xludf.DUMMYFUNCTION("""COMPUTED_VALUE"""),"Negative")</f>
        <v>Negative</v>
      </c>
      <c r="G352" s="7">
        <f>IFERROR(__xludf.DUMMYFUNCTION("""COMPUTED_VALUE"""),3.0)</f>
        <v>3</v>
      </c>
    </row>
    <row r="353">
      <c r="A353" s="7" t="str">
        <f>IFERROR(__xludf.DUMMYFUNCTION("""COMPUTED_VALUE"""),"AH7894")</f>
        <v>AH7894</v>
      </c>
      <c r="B353" s="7" t="str">
        <f>IFERROR(__xludf.DUMMYFUNCTION("""COMPUTED_VALUE"""),"RUN-ABRM_2022-10-20_RFR-049")</f>
        <v>RUN-ABRM_2022-10-20_RFR-049</v>
      </c>
      <c r="C353" s="8">
        <f>VLOOKUP(B353,'Run Reconcile'!A$2:B3212,2,FALSE)</f>
        <v>44854</v>
      </c>
      <c r="D353" s="12">
        <f>IFERROR(__xludf.DUMMYFUNCTION("""COMPUTED_VALUE"""),44854.0)</f>
        <v>44854</v>
      </c>
      <c r="E353" s="13">
        <f>IFERROR(__xludf.DUMMYFUNCTION("""COMPUTED_VALUE"""),0.3736805555563478)</f>
        <v>0.3736805556</v>
      </c>
      <c r="F353" s="7" t="str">
        <f>IFERROR(__xludf.DUMMYFUNCTION("""COMPUTED_VALUE"""),"Negative")</f>
        <v>Negative</v>
      </c>
      <c r="G353" s="7">
        <f>IFERROR(__xludf.DUMMYFUNCTION("""COMPUTED_VALUE"""),2.0)</f>
        <v>2</v>
      </c>
    </row>
    <row r="354">
      <c r="A354" s="7" t="str">
        <f>IFERROR(__xludf.DUMMYFUNCTION("""COMPUTED_VALUE"""),"AJ9681")</f>
        <v>AJ9681</v>
      </c>
      <c r="B354" s="7" t="str">
        <f>IFERROR(__xludf.DUMMYFUNCTION("""COMPUTED_VALUE"""),"RUN-ABRM_2022-10-20_RFR-049")</f>
        <v>RUN-ABRM_2022-10-20_RFR-049</v>
      </c>
      <c r="C354" s="8">
        <f>VLOOKUP(B354,'Run Reconcile'!A$2:B3212,2,FALSE)</f>
        <v>44854</v>
      </c>
      <c r="D354" s="12">
        <f>IFERROR(__xludf.DUMMYFUNCTION("""COMPUTED_VALUE"""),44854.0)</f>
        <v>44854</v>
      </c>
      <c r="E354" s="13">
        <f>IFERROR(__xludf.DUMMYFUNCTION("""COMPUTED_VALUE"""),0.37457175926101627)</f>
        <v>0.3745717593</v>
      </c>
      <c r="F354" s="7" t="str">
        <f>IFERROR(__xludf.DUMMYFUNCTION("""COMPUTED_VALUE"""),"Negative")</f>
        <v>Negative</v>
      </c>
      <c r="G354" s="7">
        <f>IFERROR(__xludf.DUMMYFUNCTION("""COMPUTED_VALUE"""),2.0)</f>
        <v>2</v>
      </c>
    </row>
    <row r="355">
      <c r="A355" s="7" t="str">
        <f>IFERROR(__xludf.DUMMYFUNCTION("""COMPUTED_VALUE"""),"AH8867")</f>
        <v>AH8867</v>
      </c>
      <c r="B355" s="7" t="str">
        <f>IFERROR(__xludf.DUMMYFUNCTION("""COMPUTED_VALUE"""),"RUN-ABRM_2022-10-20_RFR-049")</f>
        <v>RUN-ABRM_2022-10-20_RFR-049</v>
      </c>
      <c r="C355" s="8">
        <f>VLOOKUP(B355,'Run Reconcile'!A$2:B3212,2,FALSE)</f>
        <v>44854</v>
      </c>
      <c r="D355" s="12">
        <f>IFERROR(__xludf.DUMMYFUNCTION("""COMPUTED_VALUE"""),44854.0)</f>
        <v>44854</v>
      </c>
      <c r="E355" s="13">
        <f>IFERROR(__xludf.DUMMYFUNCTION("""COMPUTED_VALUE"""),0.3748495370382443)</f>
        <v>0.374849537</v>
      </c>
      <c r="F355" s="7" t="str">
        <f>IFERROR(__xludf.DUMMYFUNCTION("""COMPUTED_VALUE"""),"Negative")</f>
        <v>Negative</v>
      </c>
      <c r="G355" s="7">
        <f>IFERROR(__xludf.DUMMYFUNCTION("""COMPUTED_VALUE"""),1.0)</f>
        <v>1</v>
      </c>
    </row>
    <row r="356">
      <c r="A356" s="7" t="str">
        <f>IFERROR(__xludf.DUMMYFUNCTION("""COMPUTED_VALUE"""),"AG2056")</f>
        <v>AG2056</v>
      </c>
      <c r="B356" s="7" t="str">
        <f>IFERROR(__xludf.DUMMYFUNCTION("""COMPUTED_VALUE"""),"RUN-ABRM_2022-10-21_RFR-050")</f>
        <v>RUN-ABRM_2022-10-21_RFR-050</v>
      </c>
      <c r="C356" s="8">
        <f>VLOOKUP(B356,'Run Reconcile'!A$2:B3212,2,FALSE)</f>
        <v>44855</v>
      </c>
      <c r="D356" s="12">
        <f>IFERROR(__xludf.DUMMYFUNCTION("""COMPUTED_VALUE"""),44855.0)</f>
        <v>44855</v>
      </c>
      <c r="E356" s="13">
        <f>IFERROR(__xludf.DUMMYFUNCTION("""COMPUTED_VALUE"""),0.2540393518502242)</f>
        <v>0.2540393519</v>
      </c>
      <c r="F356" s="7" t="str">
        <f>IFERROR(__xludf.DUMMYFUNCTION("""COMPUTED_VALUE"""),"Negative")</f>
        <v>Negative</v>
      </c>
      <c r="G356" s="7">
        <f>IFERROR(__xludf.DUMMYFUNCTION("""COMPUTED_VALUE"""),1.0)</f>
        <v>1</v>
      </c>
    </row>
    <row r="357">
      <c r="A357" s="7" t="str">
        <f>IFERROR(__xludf.DUMMYFUNCTION("""COMPUTED_VALUE"""),"AG1756")</f>
        <v>AG1756</v>
      </c>
      <c r="B357" s="7" t="str">
        <f>IFERROR(__xludf.DUMMYFUNCTION("""COMPUTED_VALUE"""),"RUN-ABRM_2022-10-21_RFR-050")</f>
        <v>RUN-ABRM_2022-10-21_RFR-050</v>
      </c>
      <c r="C357" s="8">
        <f>VLOOKUP(B357,'Run Reconcile'!A$2:B3212,2,FALSE)</f>
        <v>44855</v>
      </c>
      <c r="D357" s="12">
        <f>IFERROR(__xludf.DUMMYFUNCTION("""COMPUTED_VALUE"""),44855.0)</f>
        <v>44855</v>
      </c>
      <c r="E357" s="13">
        <f>IFERROR(__xludf.DUMMYFUNCTION("""COMPUTED_VALUE"""),0.2578240740731417)</f>
        <v>0.2578240741</v>
      </c>
      <c r="F357" s="7" t="str">
        <f>IFERROR(__xludf.DUMMYFUNCTION("""COMPUTED_VALUE"""),"Negative")</f>
        <v>Negative</v>
      </c>
      <c r="G357" s="7">
        <f>IFERROR(__xludf.DUMMYFUNCTION("""COMPUTED_VALUE"""),3.0)</f>
        <v>3</v>
      </c>
    </row>
    <row r="358">
      <c r="A358" s="7" t="str">
        <f>IFERROR(__xludf.DUMMYFUNCTION("""COMPUTED_VALUE"""),"AG2034")</f>
        <v>AG2034</v>
      </c>
      <c r="B358" s="7" t="str">
        <f>IFERROR(__xludf.DUMMYFUNCTION("""COMPUTED_VALUE"""),"RUN-ABRM_2022-10-21_RFR-050")</f>
        <v>RUN-ABRM_2022-10-21_RFR-050</v>
      </c>
      <c r="C358" s="8">
        <f>VLOOKUP(B358,'Run Reconcile'!A$2:B3212,2,FALSE)</f>
        <v>44855</v>
      </c>
      <c r="D358" s="12">
        <f>IFERROR(__xludf.DUMMYFUNCTION("""COMPUTED_VALUE"""),44855.0)</f>
        <v>44855</v>
      </c>
      <c r="E358" s="13">
        <f>IFERROR(__xludf.DUMMYFUNCTION("""COMPUTED_VALUE"""),0.28545138888875954)</f>
        <v>0.2854513889</v>
      </c>
      <c r="F358" s="7" t="str">
        <f>IFERROR(__xludf.DUMMYFUNCTION("""COMPUTED_VALUE"""),"Negative")</f>
        <v>Negative</v>
      </c>
      <c r="G358" s="7">
        <f>IFERROR(__xludf.DUMMYFUNCTION("""COMPUTED_VALUE"""),2.0)</f>
        <v>2</v>
      </c>
    </row>
    <row r="359">
      <c r="A359" s="7" t="str">
        <f>IFERROR(__xludf.DUMMYFUNCTION("""COMPUTED_VALUE"""),"AG1369")</f>
        <v>AG1369</v>
      </c>
      <c r="B359" s="7" t="str">
        <f>IFERROR(__xludf.DUMMYFUNCTION("""COMPUTED_VALUE"""),"RUN-ABRM_2022-10-21_RFR-050")</f>
        <v>RUN-ABRM_2022-10-21_RFR-050</v>
      </c>
      <c r="C359" s="8">
        <f>VLOOKUP(B359,'Run Reconcile'!A$2:B3212,2,FALSE)</f>
        <v>44855</v>
      </c>
      <c r="D359" s="12">
        <f>IFERROR(__xludf.DUMMYFUNCTION("""COMPUTED_VALUE"""),44855.0)</f>
        <v>44855</v>
      </c>
      <c r="E359" s="13">
        <f>IFERROR(__xludf.DUMMYFUNCTION("""COMPUTED_VALUE"""),0.286377314816491)</f>
        <v>0.2863773148</v>
      </c>
      <c r="F359" s="7" t="str">
        <f>IFERROR(__xludf.DUMMYFUNCTION("""COMPUTED_VALUE"""),"Negative")</f>
        <v>Negative</v>
      </c>
      <c r="G359" s="7">
        <f>IFERROR(__xludf.DUMMYFUNCTION("""COMPUTED_VALUE"""),2.0)</f>
        <v>2</v>
      </c>
    </row>
    <row r="360">
      <c r="A360" s="7" t="str">
        <f>IFERROR(__xludf.DUMMYFUNCTION("""COMPUTED_VALUE"""),"AH9000")</f>
        <v>AH9000</v>
      </c>
      <c r="B360" s="7" t="str">
        <f>IFERROR(__xludf.DUMMYFUNCTION("""COMPUTED_VALUE"""),"RUN-ABRM_2022-10-21_RFR-050")</f>
        <v>RUN-ABRM_2022-10-21_RFR-050</v>
      </c>
      <c r="C360" s="8">
        <f>VLOOKUP(B360,'Run Reconcile'!A$2:B3212,2,FALSE)</f>
        <v>44855</v>
      </c>
      <c r="D360" s="12">
        <f>IFERROR(__xludf.DUMMYFUNCTION("""COMPUTED_VALUE"""),44855.0)</f>
        <v>44855</v>
      </c>
      <c r="E360" s="13">
        <f>IFERROR(__xludf.DUMMYFUNCTION("""COMPUTED_VALUE"""),0.29606481481459923)</f>
        <v>0.2960648148</v>
      </c>
      <c r="F360" s="7" t="str">
        <f>IFERROR(__xludf.DUMMYFUNCTION("""COMPUTED_VALUE"""),"Negative")</f>
        <v>Negative</v>
      </c>
      <c r="G360" s="7">
        <f>IFERROR(__xludf.DUMMYFUNCTION("""COMPUTED_VALUE"""),3.0)</f>
        <v>3</v>
      </c>
    </row>
    <row r="361">
      <c r="A361" s="7" t="str">
        <f>IFERROR(__xludf.DUMMYFUNCTION("""COMPUTED_VALUE"""),"AG1380")</f>
        <v>AG1380</v>
      </c>
      <c r="B361" s="7" t="str">
        <f>IFERROR(__xludf.DUMMYFUNCTION("""COMPUTED_VALUE"""),"RUN-ABRM_2022-10-21_RFR-050")</f>
        <v>RUN-ABRM_2022-10-21_RFR-050</v>
      </c>
      <c r="C361" s="8">
        <f>VLOOKUP(B361,'Run Reconcile'!A$2:B3212,2,FALSE)</f>
        <v>44855</v>
      </c>
      <c r="D361" s="12">
        <f>IFERROR(__xludf.DUMMYFUNCTION("""COMPUTED_VALUE"""),44855.0)</f>
        <v>44855</v>
      </c>
      <c r="E361" s="13">
        <f>IFERROR(__xludf.DUMMYFUNCTION("""COMPUTED_VALUE"""),0.30168981481619994)</f>
        <v>0.3016898148</v>
      </c>
      <c r="F361" s="7" t="str">
        <f>IFERROR(__xludf.DUMMYFUNCTION("""COMPUTED_VALUE"""),"Negative")</f>
        <v>Negative</v>
      </c>
      <c r="G361" s="7">
        <f>IFERROR(__xludf.DUMMYFUNCTION("""COMPUTED_VALUE"""),3.0)</f>
        <v>3</v>
      </c>
    </row>
    <row r="362">
      <c r="A362" s="7" t="str">
        <f>IFERROR(__xludf.DUMMYFUNCTION("""COMPUTED_VALUE"""),"AJ8902")</f>
        <v>AJ8902</v>
      </c>
      <c r="B362" s="7" t="str">
        <f>IFERROR(__xludf.DUMMYFUNCTION("""COMPUTED_VALUE"""),"RUN-ABRM_2022-10-21_RFR-050")</f>
        <v>RUN-ABRM_2022-10-21_RFR-050</v>
      </c>
      <c r="C362" s="8">
        <f>VLOOKUP(B362,'Run Reconcile'!A$2:B3212,2,FALSE)</f>
        <v>44855</v>
      </c>
      <c r="D362" s="12">
        <f>IFERROR(__xludf.DUMMYFUNCTION("""COMPUTED_VALUE"""),44855.0)</f>
        <v>44855</v>
      </c>
      <c r="E362" s="13">
        <f>IFERROR(__xludf.DUMMYFUNCTION("""COMPUTED_VALUE"""),0.31938657407226856)</f>
        <v>0.3193865741</v>
      </c>
      <c r="F362" s="7" t="str">
        <f>IFERROR(__xludf.DUMMYFUNCTION("""COMPUTED_VALUE"""),"Negative")</f>
        <v>Negative</v>
      </c>
      <c r="G362" s="7">
        <f>IFERROR(__xludf.DUMMYFUNCTION("""COMPUTED_VALUE"""),1.0)</f>
        <v>1</v>
      </c>
    </row>
    <row r="363">
      <c r="A363" s="7" t="str">
        <f>IFERROR(__xludf.DUMMYFUNCTION("""COMPUTED_VALUE"""),"AG700")</f>
        <v>AG700</v>
      </c>
      <c r="B363" s="7" t="str">
        <f>IFERROR(__xludf.DUMMYFUNCTION("""COMPUTED_VALUE"""),"RUN-ABRM_2022-10-21_RFR-050")</f>
        <v>RUN-ABRM_2022-10-21_RFR-050</v>
      </c>
      <c r="C363" s="8">
        <f>VLOOKUP(B363,'Run Reconcile'!A$2:B3212,2,FALSE)</f>
        <v>44855</v>
      </c>
      <c r="D363" s="12">
        <f>IFERROR(__xludf.DUMMYFUNCTION("""COMPUTED_VALUE"""),44855.0)</f>
        <v>44855</v>
      </c>
      <c r="E363" s="13">
        <f>IFERROR(__xludf.DUMMYFUNCTION("""COMPUTED_VALUE"""),0.3231134259258397)</f>
        <v>0.3231134259</v>
      </c>
      <c r="F363" s="7" t="str">
        <f>IFERROR(__xludf.DUMMYFUNCTION("""COMPUTED_VALUE"""),"Negative")</f>
        <v>Negative</v>
      </c>
      <c r="G363" s="7">
        <f>IFERROR(__xludf.DUMMYFUNCTION("""COMPUTED_VALUE"""),3.0)</f>
        <v>3</v>
      </c>
    </row>
    <row r="364">
      <c r="A364" s="7" t="str">
        <f>IFERROR(__xludf.DUMMYFUNCTION("""COMPUTED_VALUE"""),"AJ8834")</f>
        <v>AJ8834</v>
      </c>
      <c r="B364" s="7" t="str">
        <f>IFERROR(__xludf.DUMMYFUNCTION("""COMPUTED_VALUE"""),"RUN-ABRM_2022-10-21_RFR-050")</f>
        <v>RUN-ABRM_2022-10-21_RFR-050</v>
      </c>
      <c r="C364" s="8">
        <f>VLOOKUP(B364,'Run Reconcile'!A$2:B3212,2,FALSE)</f>
        <v>44855</v>
      </c>
      <c r="D364" s="12">
        <f>IFERROR(__xludf.DUMMYFUNCTION("""COMPUTED_VALUE"""),44855.0)</f>
        <v>44855</v>
      </c>
      <c r="E364" s="13">
        <f>IFERROR(__xludf.DUMMYFUNCTION("""COMPUTED_VALUE"""),0.32618055555576575)</f>
        <v>0.3261805556</v>
      </c>
      <c r="F364" s="7" t="str">
        <f>IFERROR(__xludf.DUMMYFUNCTION("""COMPUTED_VALUE"""),"Negative")</f>
        <v>Negative</v>
      </c>
      <c r="G364" s="7">
        <f>IFERROR(__xludf.DUMMYFUNCTION("""COMPUTED_VALUE"""),2.0)</f>
        <v>2</v>
      </c>
    </row>
    <row r="365">
      <c r="A365" s="7" t="str">
        <f>IFERROR(__xludf.DUMMYFUNCTION("""COMPUTED_VALUE"""),"AG1027")</f>
        <v>AG1027</v>
      </c>
      <c r="B365" s="7" t="str">
        <f>IFERROR(__xludf.DUMMYFUNCTION("""COMPUTED_VALUE"""),"RUN-ABRM_2022-10-21_RFR-050")</f>
        <v>RUN-ABRM_2022-10-21_RFR-050</v>
      </c>
      <c r="C365" s="8">
        <f>VLOOKUP(B365,'Run Reconcile'!A$2:B3212,2,FALSE)</f>
        <v>44855</v>
      </c>
      <c r="D365" s="12">
        <f>IFERROR(__xludf.DUMMYFUNCTION("""COMPUTED_VALUE"""),44855.0)</f>
        <v>44855</v>
      </c>
      <c r="E365" s="13">
        <f>IFERROR(__xludf.DUMMYFUNCTION("""COMPUTED_VALUE"""),0.3676620370388264)</f>
        <v>0.367662037</v>
      </c>
      <c r="F365" s="7" t="str">
        <f>IFERROR(__xludf.DUMMYFUNCTION("""COMPUTED_VALUE"""),"Negative")</f>
        <v>Negative</v>
      </c>
      <c r="G365" s="7">
        <f>IFERROR(__xludf.DUMMYFUNCTION("""COMPUTED_VALUE"""),1.0)</f>
        <v>1</v>
      </c>
    </row>
    <row r="366">
      <c r="A366" s="7" t="str">
        <f>IFERROR(__xludf.DUMMYFUNCTION("""COMPUTED_VALUE"""),"AK6179")</f>
        <v>AK6179</v>
      </c>
      <c r="B366" s="7" t="str">
        <f>IFERROR(__xludf.DUMMYFUNCTION("""COMPUTED_VALUE"""),"RUN-ABRM_2022-10-24_RFR-051")</f>
        <v>RUN-ABRM_2022-10-24_RFR-051</v>
      </c>
      <c r="C366" s="8">
        <f>VLOOKUP(B366,'Run Reconcile'!A$2:B3212,2,FALSE)</f>
        <v>44858</v>
      </c>
      <c r="D366" s="12">
        <f>IFERROR(__xludf.DUMMYFUNCTION("""COMPUTED_VALUE"""),44858.0)</f>
        <v>44858</v>
      </c>
      <c r="E366" s="13">
        <f>IFERROR(__xludf.DUMMYFUNCTION("""COMPUTED_VALUE"""),0.22087962962905294)</f>
        <v>0.2208796296</v>
      </c>
      <c r="F366" s="7" t="str">
        <f>IFERROR(__xludf.DUMMYFUNCTION("""COMPUTED_VALUE"""),"Negative")</f>
        <v>Negative</v>
      </c>
      <c r="G366" s="7">
        <f>IFERROR(__xludf.DUMMYFUNCTION("""COMPUTED_VALUE"""),1.0)</f>
        <v>1</v>
      </c>
    </row>
    <row r="367">
      <c r="A367" s="7" t="str">
        <f>IFERROR(__xludf.DUMMYFUNCTION("""COMPUTED_VALUE"""),"AH8742")</f>
        <v>AH8742</v>
      </c>
      <c r="B367" s="7" t="str">
        <f>IFERROR(__xludf.DUMMYFUNCTION("""COMPUTED_VALUE"""),"RUN-ABRM_2022-10-24_RFR-051")</f>
        <v>RUN-ABRM_2022-10-24_RFR-051</v>
      </c>
      <c r="C367" s="8">
        <f>VLOOKUP(B367,'Run Reconcile'!A$2:B3212,2,FALSE)</f>
        <v>44858</v>
      </c>
      <c r="D367" s="12">
        <f>IFERROR(__xludf.DUMMYFUNCTION("""COMPUTED_VALUE"""),44858.0)</f>
        <v>44858</v>
      </c>
      <c r="E367" s="13">
        <f>IFERROR(__xludf.DUMMYFUNCTION("""COMPUTED_VALUE"""),0.23258101851752144)</f>
        <v>0.2325810185</v>
      </c>
      <c r="F367" s="7" t="str">
        <f>IFERROR(__xludf.DUMMYFUNCTION("""COMPUTED_VALUE"""),"Negative")</f>
        <v>Negative</v>
      </c>
      <c r="G367" s="7">
        <f>IFERROR(__xludf.DUMMYFUNCTION("""COMPUTED_VALUE"""),3.0)</f>
        <v>3</v>
      </c>
    </row>
    <row r="368">
      <c r="A368" s="7" t="str">
        <f>IFERROR(__xludf.DUMMYFUNCTION("""COMPUTED_VALUE"""),"AG844")</f>
        <v>AG844</v>
      </c>
      <c r="B368" s="7" t="str">
        <f>IFERROR(__xludf.DUMMYFUNCTION("""COMPUTED_VALUE"""),"RUN-ABRM_2022-10-24_RFR-051")</f>
        <v>RUN-ABRM_2022-10-24_RFR-051</v>
      </c>
      <c r="C368" s="8">
        <f>VLOOKUP(B368,'Run Reconcile'!A$2:B3212,2,FALSE)</f>
        <v>44858</v>
      </c>
      <c r="D368" s="12">
        <f>IFERROR(__xludf.DUMMYFUNCTION("""COMPUTED_VALUE"""),44858.0)</f>
        <v>44858</v>
      </c>
      <c r="E368" s="13">
        <f>IFERROR(__xludf.DUMMYFUNCTION("""COMPUTED_VALUE"""),0.23317129629504052)</f>
        <v>0.2331712963</v>
      </c>
      <c r="F368" s="7" t="str">
        <f>IFERROR(__xludf.DUMMYFUNCTION("""COMPUTED_VALUE"""),"Negative")</f>
        <v>Negative</v>
      </c>
      <c r="G368" s="7">
        <f>IFERROR(__xludf.DUMMYFUNCTION("""COMPUTED_VALUE"""),3.0)</f>
        <v>3</v>
      </c>
    </row>
    <row r="369">
      <c r="A369" s="7" t="str">
        <f>IFERROR(__xludf.DUMMYFUNCTION("""COMPUTED_VALUE"""),"AK7151")</f>
        <v>AK7151</v>
      </c>
      <c r="B369" s="7" t="str">
        <f>IFERROR(__xludf.DUMMYFUNCTION("""COMPUTED_VALUE"""),"RUN-ABRM_2022-10-24_RFR-051")</f>
        <v>RUN-ABRM_2022-10-24_RFR-051</v>
      </c>
      <c r="C369" s="8">
        <f>VLOOKUP(B369,'Run Reconcile'!A$2:B3212,2,FALSE)</f>
        <v>44858</v>
      </c>
      <c r="D369" s="12">
        <f>IFERROR(__xludf.DUMMYFUNCTION("""COMPUTED_VALUE"""),44858.0)</f>
        <v>44858</v>
      </c>
      <c r="E369" s="13">
        <f>IFERROR(__xludf.DUMMYFUNCTION("""COMPUTED_VALUE"""),0.2764236111106584)</f>
        <v>0.2764236111</v>
      </c>
      <c r="F369" s="7" t="str">
        <f>IFERROR(__xludf.DUMMYFUNCTION("""COMPUTED_VALUE"""),"Negative")</f>
        <v>Negative</v>
      </c>
      <c r="G369" s="7">
        <f>IFERROR(__xludf.DUMMYFUNCTION("""COMPUTED_VALUE"""),2.0)</f>
        <v>2</v>
      </c>
    </row>
    <row r="370">
      <c r="A370" s="7" t="str">
        <f>IFERROR(__xludf.DUMMYFUNCTION("""COMPUTED_VALUE"""),"AH8993")</f>
        <v>AH8993</v>
      </c>
      <c r="B370" s="7" t="str">
        <f>IFERROR(__xludf.DUMMYFUNCTION("""COMPUTED_VALUE"""),"RUN-ABRM_2022-10-24_RFR-051")</f>
        <v>RUN-ABRM_2022-10-24_RFR-051</v>
      </c>
      <c r="C370" s="8">
        <f>VLOOKUP(B370,'Run Reconcile'!A$2:B3212,2,FALSE)</f>
        <v>44858</v>
      </c>
      <c r="D370" s="12">
        <f>IFERROR(__xludf.DUMMYFUNCTION("""COMPUTED_VALUE"""),44858.0)</f>
        <v>44858</v>
      </c>
      <c r="E370" s="13">
        <f>IFERROR(__xludf.DUMMYFUNCTION("""COMPUTED_VALUE"""),0.2792592592595611)</f>
        <v>0.2792592593</v>
      </c>
      <c r="F370" s="7" t="str">
        <f>IFERROR(__xludf.DUMMYFUNCTION("""COMPUTED_VALUE"""),"Negative")</f>
        <v>Negative</v>
      </c>
      <c r="G370" s="7">
        <f>IFERROR(__xludf.DUMMYFUNCTION("""COMPUTED_VALUE"""),2.0)</f>
        <v>2</v>
      </c>
    </row>
    <row r="371">
      <c r="A371" s="7" t="str">
        <f>IFERROR(__xludf.DUMMYFUNCTION("""COMPUTED_VALUE"""),"AH9411")</f>
        <v>AH9411</v>
      </c>
      <c r="B371" s="7" t="str">
        <f>IFERROR(__xludf.DUMMYFUNCTION("""COMPUTED_VALUE"""),"RUN-ABRM_2022-10-24_RFR-051")</f>
        <v>RUN-ABRM_2022-10-24_RFR-051</v>
      </c>
      <c r="C371" s="8">
        <f>VLOOKUP(B371,'Run Reconcile'!A$2:B3212,2,FALSE)</f>
        <v>44858</v>
      </c>
      <c r="D371" s="12">
        <f>IFERROR(__xludf.DUMMYFUNCTION("""COMPUTED_VALUE"""),44858.0)</f>
        <v>44858</v>
      </c>
      <c r="E371" s="13">
        <f>IFERROR(__xludf.DUMMYFUNCTION("""COMPUTED_VALUE"""),0.29190972222204437)</f>
        <v>0.2919097222</v>
      </c>
      <c r="F371" s="7" t="str">
        <f>IFERROR(__xludf.DUMMYFUNCTION("""COMPUTED_VALUE"""),"Negative")</f>
        <v>Negative</v>
      </c>
      <c r="G371" s="7">
        <f>IFERROR(__xludf.DUMMYFUNCTION("""COMPUTED_VALUE"""),3.0)</f>
        <v>3</v>
      </c>
    </row>
    <row r="372">
      <c r="A372" s="7" t="str">
        <f>IFERROR(__xludf.DUMMYFUNCTION("""COMPUTED_VALUE"""),"AG148")</f>
        <v>AG148</v>
      </c>
      <c r="B372" s="7" t="str">
        <f>IFERROR(__xludf.DUMMYFUNCTION("""COMPUTED_VALUE"""),"RUN-ABRM_2022-10-24_RFR-051")</f>
        <v>RUN-ABRM_2022-10-24_RFR-051</v>
      </c>
      <c r="C372" s="8">
        <f>VLOOKUP(B372,'Run Reconcile'!A$2:B3212,2,FALSE)</f>
        <v>44858</v>
      </c>
      <c r="D372" s="12">
        <f>IFERROR(__xludf.DUMMYFUNCTION("""COMPUTED_VALUE"""),44858.0)</f>
        <v>44858</v>
      </c>
      <c r="E372" s="13">
        <f>IFERROR(__xludf.DUMMYFUNCTION("""COMPUTED_VALUE"""),0.29754629629678675)</f>
        <v>0.2975462963</v>
      </c>
      <c r="F372" s="7" t="str">
        <f>IFERROR(__xludf.DUMMYFUNCTION("""COMPUTED_VALUE"""),"Negative")</f>
        <v>Negative</v>
      </c>
      <c r="G372" s="7">
        <f>IFERROR(__xludf.DUMMYFUNCTION("""COMPUTED_VALUE"""),2.0)</f>
        <v>2</v>
      </c>
    </row>
    <row r="373">
      <c r="A373" s="7" t="str">
        <f>IFERROR(__xludf.DUMMYFUNCTION("""COMPUTED_VALUE"""),"AH7730")</f>
        <v>AH7730</v>
      </c>
      <c r="B373" s="7" t="str">
        <f>IFERROR(__xludf.DUMMYFUNCTION("""COMPUTED_VALUE"""),"RUN-ABRM_2022-10-24_RFR-051")</f>
        <v>RUN-ABRM_2022-10-24_RFR-051</v>
      </c>
      <c r="C373" s="8">
        <f>VLOOKUP(B373,'Run Reconcile'!A$2:B3212,2,FALSE)</f>
        <v>44858</v>
      </c>
      <c r="D373" s="12">
        <f>IFERROR(__xludf.DUMMYFUNCTION("""COMPUTED_VALUE"""),44858.0)</f>
        <v>44858</v>
      </c>
      <c r="E373" s="13">
        <f>IFERROR(__xludf.DUMMYFUNCTION("""COMPUTED_VALUE"""),0.3029050925943011)</f>
        <v>0.3029050926</v>
      </c>
      <c r="F373" s="7" t="str">
        <f>IFERROR(__xludf.DUMMYFUNCTION("""COMPUTED_VALUE"""),"Negative")</f>
        <v>Negative</v>
      </c>
      <c r="G373" s="7">
        <f>IFERROR(__xludf.DUMMYFUNCTION("""COMPUTED_VALUE"""),2.0)</f>
        <v>2</v>
      </c>
    </row>
    <row r="374">
      <c r="A374" s="7" t="str">
        <f>IFERROR(__xludf.DUMMYFUNCTION("""COMPUTED_VALUE"""),"AG41")</f>
        <v>AG41</v>
      </c>
      <c r="B374" s="7" t="str">
        <f>IFERROR(__xludf.DUMMYFUNCTION("""COMPUTED_VALUE"""),"RUN-ABRM_2022-10-24_RFR-051")</f>
        <v>RUN-ABRM_2022-10-24_RFR-051</v>
      </c>
      <c r="C374" s="8">
        <f>VLOOKUP(B374,'Run Reconcile'!A$2:B3212,2,FALSE)</f>
        <v>44858</v>
      </c>
      <c r="D374" s="12">
        <f>IFERROR(__xludf.DUMMYFUNCTION("""COMPUTED_VALUE"""),44858.0)</f>
        <v>44858</v>
      </c>
      <c r="E374" s="13">
        <f>IFERROR(__xludf.DUMMYFUNCTION("""COMPUTED_VALUE"""),0.3066203703710926)</f>
        <v>0.3066203704</v>
      </c>
      <c r="F374" s="7" t="str">
        <f>IFERROR(__xludf.DUMMYFUNCTION("""COMPUTED_VALUE"""),"Negative")</f>
        <v>Negative</v>
      </c>
      <c r="G374" s="7">
        <f>IFERROR(__xludf.DUMMYFUNCTION("""COMPUTED_VALUE"""),2.0)</f>
        <v>2</v>
      </c>
    </row>
    <row r="375">
      <c r="A375" s="7" t="str">
        <f>IFERROR(__xludf.DUMMYFUNCTION("""COMPUTED_VALUE"""),"AH9732")</f>
        <v>AH9732</v>
      </c>
      <c r="B375" s="7" t="str">
        <f>IFERROR(__xludf.DUMMYFUNCTION("""COMPUTED_VALUE"""),"RUN-ABRM_2022-10-24_RFR-051")</f>
        <v>RUN-ABRM_2022-10-24_RFR-051</v>
      </c>
      <c r="C375" s="8">
        <f>VLOOKUP(B375,'Run Reconcile'!A$2:B3212,2,FALSE)</f>
        <v>44858</v>
      </c>
      <c r="D375" s="12">
        <f>IFERROR(__xludf.DUMMYFUNCTION("""COMPUTED_VALUE"""),44858.0)</f>
        <v>44858</v>
      </c>
      <c r="E375" s="13">
        <f>IFERROR(__xludf.DUMMYFUNCTION("""COMPUTED_VALUE"""),0.31375000000116415)</f>
        <v>0.31375</v>
      </c>
      <c r="F375" s="7" t="str">
        <f>IFERROR(__xludf.DUMMYFUNCTION("""COMPUTED_VALUE"""),"Negative")</f>
        <v>Negative</v>
      </c>
      <c r="G375" s="7">
        <f>IFERROR(__xludf.DUMMYFUNCTION("""COMPUTED_VALUE"""),3.0)</f>
        <v>3</v>
      </c>
    </row>
    <row r="376">
      <c r="A376" s="7" t="str">
        <f>IFERROR(__xludf.DUMMYFUNCTION("""COMPUTED_VALUE"""),"AH7726")</f>
        <v>AH7726</v>
      </c>
      <c r="B376" s="7" t="str">
        <f>IFERROR(__xludf.DUMMYFUNCTION("""COMPUTED_VALUE"""),"RUN-ABRM_2022-10-24_RFR-051")</f>
        <v>RUN-ABRM_2022-10-24_RFR-051</v>
      </c>
      <c r="C376" s="8">
        <f>VLOOKUP(B376,'Run Reconcile'!A$2:B3212,2,FALSE)</f>
        <v>44858</v>
      </c>
      <c r="D376" s="12">
        <f>IFERROR(__xludf.DUMMYFUNCTION("""COMPUTED_VALUE"""),44858.0)</f>
        <v>44858</v>
      </c>
      <c r="E376" s="13">
        <f>IFERROR(__xludf.DUMMYFUNCTION("""COMPUTED_VALUE"""),0.34187499999825377)</f>
        <v>0.341875</v>
      </c>
      <c r="F376" s="7" t="str">
        <f>IFERROR(__xludf.DUMMYFUNCTION("""COMPUTED_VALUE"""),"Negative")</f>
        <v>Negative</v>
      </c>
      <c r="G376" s="7">
        <f>IFERROR(__xludf.DUMMYFUNCTION("""COMPUTED_VALUE"""),3.0)</f>
        <v>3</v>
      </c>
    </row>
    <row r="377">
      <c r="A377" s="7" t="str">
        <f>IFERROR(__xludf.DUMMYFUNCTION("""COMPUTED_VALUE"""),"AG2120")</f>
        <v>AG2120</v>
      </c>
      <c r="B377" s="7" t="str">
        <f>IFERROR(__xludf.DUMMYFUNCTION("""COMPUTED_VALUE"""),"RUN-ABRM_2022-10-25_RFR-052")</f>
        <v>RUN-ABRM_2022-10-25_RFR-052</v>
      </c>
      <c r="C377" s="8">
        <f>VLOOKUP(B377,'Run Reconcile'!A$2:B3212,2,FALSE)</f>
        <v>44859</v>
      </c>
      <c r="D377" s="12">
        <f>IFERROR(__xludf.DUMMYFUNCTION("""COMPUTED_VALUE"""),44859.0)</f>
        <v>44859</v>
      </c>
      <c r="E377" s="13">
        <f>IFERROR(__xludf.DUMMYFUNCTION("""COMPUTED_VALUE"""),0.20608796296437504)</f>
        <v>0.206087963</v>
      </c>
      <c r="F377" s="7" t="str">
        <f>IFERROR(__xludf.DUMMYFUNCTION("""COMPUTED_VALUE"""),"Negative")</f>
        <v>Negative</v>
      </c>
      <c r="G377" s="7">
        <f>IFERROR(__xludf.DUMMYFUNCTION("""COMPUTED_VALUE"""),3.0)</f>
        <v>3</v>
      </c>
    </row>
    <row r="378">
      <c r="A378" s="7" t="str">
        <f>IFERROR(__xludf.DUMMYFUNCTION("""COMPUTED_VALUE"""),"AJ8083")</f>
        <v>AJ8083</v>
      </c>
      <c r="B378" s="7" t="str">
        <f>IFERROR(__xludf.DUMMYFUNCTION("""COMPUTED_VALUE"""),"RUN-ABRM_2022-10-25_RFR-052")</f>
        <v>RUN-ABRM_2022-10-25_RFR-052</v>
      </c>
      <c r="C378" s="8">
        <f>VLOOKUP(B378,'Run Reconcile'!A$2:B3212,2,FALSE)</f>
        <v>44859</v>
      </c>
      <c r="D378" s="12">
        <f>IFERROR(__xludf.DUMMYFUNCTION("""COMPUTED_VALUE"""),44859.0)</f>
        <v>44859</v>
      </c>
      <c r="E378" s="13">
        <f>IFERROR(__xludf.DUMMYFUNCTION("""COMPUTED_VALUE"""),0.24733796296277433)</f>
        <v>0.247337963</v>
      </c>
      <c r="F378" s="7" t="str">
        <f>IFERROR(__xludf.DUMMYFUNCTION("""COMPUTED_VALUE"""),"Negative")</f>
        <v>Negative</v>
      </c>
      <c r="G378" s="7">
        <f>IFERROR(__xludf.DUMMYFUNCTION("""COMPUTED_VALUE"""),1.0)</f>
        <v>1</v>
      </c>
    </row>
    <row r="379">
      <c r="A379" s="7" t="str">
        <f>IFERROR(__xludf.DUMMYFUNCTION("""COMPUTED_VALUE"""),"AH6962")</f>
        <v>AH6962</v>
      </c>
      <c r="B379" s="7" t="str">
        <f>IFERROR(__xludf.DUMMYFUNCTION("""COMPUTED_VALUE"""),"RUN-ABRM_2022-10-25_RFR-052")</f>
        <v>RUN-ABRM_2022-10-25_RFR-052</v>
      </c>
      <c r="C379" s="8">
        <f>VLOOKUP(B379,'Run Reconcile'!A$2:B3212,2,FALSE)</f>
        <v>44859</v>
      </c>
      <c r="D379" s="12">
        <f>IFERROR(__xludf.DUMMYFUNCTION("""COMPUTED_VALUE"""),44859.0)</f>
        <v>44859</v>
      </c>
      <c r="E379" s="13">
        <f>IFERROR(__xludf.DUMMYFUNCTION("""COMPUTED_VALUE"""),0.28956018518510973)</f>
        <v>0.2895601852</v>
      </c>
      <c r="F379" s="7" t="str">
        <f>IFERROR(__xludf.DUMMYFUNCTION("""COMPUTED_VALUE"""),"Negative")</f>
        <v>Negative</v>
      </c>
      <c r="G379" s="7">
        <f>IFERROR(__xludf.DUMMYFUNCTION("""COMPUTED_VALUE"""),3.0)</f>
        <v>3</v>
      </c>
    </row>
    <row r="380">
      <c r="A380" s="7" t="str">
        <f>IFERROR(__xludf.DUMMYFUNCTION("""COMPUTED_VALUE"""),"AH9229")</f>
        <v>AH9229</v>
      </c>
      <c r="B380" s="7" t="str">
        <f>IFERROR(__xludf.DUMMYFUNCTION("""COMPUTED_VALUE"""),"RUN-ABRM_2022-10-25_RFR-052")</f>
        <v>RUN-ABRM_2022-10-25_RFR-052</v>
      </c>
      <c r="C380" s="8">
        <f>VLOOKUP(B380,'Run Reconcile'!A$2:B3212,2,FALSE)</f>
        <v>44859</v>
      </c>
      <c r="D380" s="12">
        <f>IFERROR(__xludf.DUMMYFUNCTION("""COMPUTED_VALUE"""),44859.0)</f>
        <v>44859</v>
      </c>
      <c r="E380" s="13">
        <f>IFERROR(__xludf.DUMMYFUNCTION("""COMPUTED_VALUE"""),0.29431712962832535)</f>
        <v>0.2943171296</v>
      </c>
      <c r="F380" s="7" t="str">
        <f>IFERROR(__xludf.DUMMYFUNCTION("""COMPUTED_VALUE"""),"Negative")</f>
        <v>Negative</v>
      </c>
      <c r="G380" s="7">
        <f>IFERROR(__xludf.DUMMYFUNCTION("""COMPUTED_VALUE"""),1.0)</f>
        <v>1</v>
      </c>
    </row>
    <row r="381">
      <c r="A381" s="7" t="str">
        <f>IFERROR(__xludf.DUMMYFUNCTION("""COMPUTED_VALUE"""),"AH9426")</f>
        <v>AH9426</v>
      </c>
      <c r="B381" s="7" t="str">
        <f>IFERROR(__xludf.DUMMYFUNCTION("""COMPUTED_VALUE"""),"RUN-ABRM_2022-10-25_RFR-052")</f>
        <v>RUN-ABRM_2022-10-25_RFR-052</v>
      </c>
      <c r="C381" s="8">
        <f>VLOOKUP(B381,'Run Reconcile'!A$2:B3212,2,FALSE)</f>
        <v>44859</v>
      </c>
      <c r="D381" s="12">
        <f>IFERROR(__xludf.DUMMYFUNCTION("""COMPUTED_VALUE"""),44859.0)</f>
        <v>44859</v>
      </c>
      <c r="E381" s="13">
        <f>IFERROR(__xludf.DUMMYFUNCTION("""COMPUTED_VALUE"""),0.2955787037026312)</f>
        <v>0.2955787037</v>
      </c>
      <c r="F381" s="7" t="str">
        <f>IFERROR(__xludf.DUMMYFUNCTION("""COMPUTED_VALUE"""),"Negative")</f>
        <v>Negative</v>
      </c>
      <c r="G381" s="7">
        <f>IFERROR(__xludf.DUMMYFUNCTION("""COMPUTED_VALUE"""),1.0)</f>
        <v>1</v>
      </c>
    </row>
    <row r="382">
      <c r="A382" s="7" t="str">
        <f>IFERROR(__xludf.DUMMYFUNCTION("""COMPUTED_VALUE"""),"AG1843")</f>
        <v>AG1843</v>
      </c>
      <c r="B382" s="7" t="str">
        <f>IFERROR(__xludf.DUMMYFUNCTION("""COMPUTED_VALUE"""),"RUN-ABRM_2022-10-25_RFR-052")</f>
        <v>RUN-ABRM_2022-10-25_RFR-052</v>
      </c>
      <c r="C382" s="8">
        <f>VLOOKUP(B382,'Run Reconcile'!A$2:B3212,2,FALSE)</f>
        <v>44859</v>
      </c>
      <c r="D382" s="12">
        <f>IFERROR(__xludf.DUMMYFUNCTION("""COMPUTED_VALUE"""),44859.0)</f>
        <v>44859</v>
      </c>
      <c r="E382" s="13">
        <f>IFERROR(__xludf.DUMMYFUNCTION("""COMPUTED_VALUE"""),0.304548611111386)</f>
        <v>0.3045486111</v>
      </c>
      <c r="F382" s="7" t="str">
        <f>IFERROR(__xludf.DUMMYFUNCTION("""COMPUTED_VALUE"""),"Negative")</f>
        <v>Negative</v>
      </c>
      <c r="G382" s="7">
        <f>IFERROR(__xludf.DUMMYFUNCTION("""COMPUTED_VALUE"""),4.0)</f>
        <v>4</v>
      </c>
    </row>
    <row r="383">
      <c r="A383" s="7" t="str">
        <f>IFERROR(__xludf.DUMMYFUNCTION("""COMPUTED_VALUE"""),"AH8421")</f>
        <v>AH8421</v>
      </c>
      <c r="B383" s="7" t="str">
        <f>IFERROR(__xludf.DUMMYFUNCTION("""COMPUTED_VALUE"""),"RUN-ABRM_2022-10-25_RFR-052")</f>
        <v>RUN-ABRM_2022-10-25_RFR-052</v>
      </c>
      <c r="C383" s="8">
        <f>VLOOKUP(B383,'Run Reconcile'!A$2:B3212,2,FALSE)</f>
        <v>44859</v>
      </c>
      <c r="D383" s="12">
        <f>IFERROR(__xludf.DUMMYFUNCTION("""COMPUTED_VALUE"""),44859.0)</f>
        <v>44859</v>
      </c>
      <c r="E383" s="13">
        <f>IFERROR(__xludf.DUMMYFUNCTION("""COMPUTED_VALUE"""),0.32393518518438214)</f>
        <v>0.3239351852</v>
      </c>
      <c r="F383" s="7" t="str">
        <f>IFERROR(__xludf.DUMMYFUNCTION("""COMPUTED_VALUE"""),"Negative")</f>
        <v>Negative</v>
      </c>
      <c r="G383" s="7">
        <f>IFERROR(__xludf.DUMMYFUNCTION("""COMPUTED_VALUE"""),2.0)</f>
        <v>2</v>
      </c>
    </row>
    <row r="384">
      <c r="A384" s="7" t="str">
        <f>IFERROR(__xludf.DUMMYFUNCTION("""COMPUTED_VALUE"""),"AK7835")</f>
        <v>AK7835</v>
      </c>
      <c r="B384" s="7" t="str">
        <f>IFERROR(__xludf.DUMMYFUNCTION("""COMPUTED_VALUE"""),"RUN-ABRM_2022-10-25_RFR-052")</f>
        <v>RUN-ABRM_2022-10-25_RFR-052</v>
      </c>
      <c r="C384" s="8">
        <f>VLOOKUP(B384,'Run Reconcile'!A$2:B3212,2,FALSE)</f>
        <v>44859</v>
      </c>
      <c r="D384" s="12">
        <f>IFERROR(__xludf.DUMMYFUNCTION("""COMPUTED_VALUE"""),44859.0)</f>
        <v>44859</v>
      </c>
      <c r="E384" s="13">
        <f>IFERROR(__xludf.DUMMYFUNCTION("""COMPUTED_VALUE"""),0.38042824074000237)</f>
        <v>0.3804282407</v>
      </c>
      <c r="F384" s="7" t="str">
        <f>IFERROR(__xludf.DUMMYFUNCTION("""COMPUTED_VALUE"""),"Negative")</f>
        <v>Negative</v>
      </c>
      <c r="G384" s="7">
        <f>IFERROR(__xludf.DUMMYFUNCTION("""COMPUTED_VALUE"""),2.0)</f>
        <v>2</v>
      </c>
    </row>
    <row r="385">
      <c r="A385" s="7" t="str">
        <f>IFERROR(__xludf.DUMMYFUNCTION("""COMPUTED_VALUE"""),"AG1789")</f>
        <v>AG1789</v>
      </c>
      <c r="B385" s="7" t="str">
        <f>IFERROR(__xludf.DUMMYFUNCTION("""COMPUTED_VALUE"""),"RUN-ABRM_2022-10-25_RFR-052")</f>
        <v>RUN-ABRM_2022-10-25_RFR-052</v>
      </c>
      <c r="C385" s="8">
        <f>VLOOKUP(B385,'Run Reconcile'!A$2:B3212,2,FALSE)</f>
        <v>44859</v>
      </c>
      <c r="D385" s="12">
        <f>IFERROR(__xludf.DUMMYFUNCTION("""COMPUTED_VALUE"""),44859.0)</f>
        <v>44859</v>
      </c>
      <c r="E385" s="13">
        <f>IFERROR(__xludf.DUMMYFUNCTION("""COMPUTED_VALUE"""),0.38076388889021473)</f>
        <v>0.3807638889</v>
      </c>
      <c r="F385" s="7" t="str">
        <f>IFERROR(__xludf.DUMMYFUNCTION("""COMPUTED_VALUE"""),"Negative")</f>
        <v>Negative</v>
      </c>
      <c r="G385" s="7">
        <f>IFERROR(__xludf.DUMMYFUNCTION("""COMPUTED_VALUE"""),2.0)</f>
        <v>2</v>
      </c>
    </row>
    <row r="386">
      <c r="A386" s="7" t="str">
        <f>IFERROR(__xludf.DUMMYFUNCTION("""COMPUTED_VALUE"""),"AH9865")</f>
        <v>AH9865</v>
      </c>
      <c r="B386" s="7" t="str">
        <f>IFERROR(__xludf.DUMMYFUNCTION("""COMPUTED_VALUE"""),"RUN-ABRM_2022-10-26_RFR-054")</f>
        <v>RUN-ABRM_2022-10-26_RFR-054</v>
      </c>
      <c r="C386" s="8">
        <f>VLOOKUP(B386,'Run Reconcile'!A$2:B3212,2,FALSE)</f>
        <v>44860</v>
      </c>
      <c r="D386" s="12">
        <f>IFERROR(__xludf.DUMMYFUNCTION("""COMPUTED_VALUE"""),44860.0)</f>
        <v>44860</v>
      </c>
      <c r="E386" s="13">
        <f>IFERROR(__xludf.DUMMYFUNCTION("""COMPUTED_VALUE"""),0.20586805555649335)</f>
        <v>0.2058680556</v>
      </c>
      <c r="F386" s="7" t="str">
        <f>IFERROR(__xludf.DUMMYFUNCTION("""COMPUTED_VALUE"""),"Negative")</f>
        <v>Negative</v>
      </c>
      <c r="G386" s="7">
        <f>IFERROR(__xludf.DUMMYFUNCTION("""COMPUTED_VALUE"""),3.0)</f>
        <v>3</v>
      </c>
    </row>
    <row r="387">
      <c r="A387" s="7" t="str">
        <f>IFERROR(__xludf.DUMMYFUNCTION("""COMPUTED_VALUE"""),"AG1682")</f>
        <v>AG1682</v>
      </c>
      <c r="B387" s="7" t="str">
        <f>IFERROR(__xludf.DUMMYFUNCTION("""COMPUTED_VALUE"""),"RUN-ABRM_2022-10-26_RFR-054")</f>
        <v>RUN-ABRM_2022-10-26_RFR-054</v>
      </c>
      <c r="C387" s="8">
        <f>VLOOKUP(B387,'Run Reconcile'!A$2:B3212,2,FALSE)</f>
        <v>44860</v>
      </c>
      <c r="D387" s="12">
        <f>IFERROR(__xludf.DUMMYFUNCTION("""COMPUTED_VALUE"""),44860.0)</f>
        <v>44860</v>
      </c>
      <c r="E387" s="13">
        <f>IFERROR(__xludf.DUMMYFUNCTION("""COMPUTED_VALUE"""),0.21701388889050577)</f>
        <v>0.2170138889</v>
      </c>
      <c r="F387" s="7" t="str">
        <f>IFERROR(__xludf.DUMMYFUNCTION("""COMPUTED_VALUE"""),"Negative")</f>
        <v>Negative</v>
      </c>
      <c r="G387" s="7">
        <f>IFERROR(__xludf.DUMMYFUNCTION("""COMPUTED_VALUE"""),2.0)</f>
        <v>2</v>
      </c>
    </row>
    <row r="388">
      <c r="A388" s="7" t="str">
        <f>IFERROR(__xludf.DUMMYFUNCTION("""COMPUTED_VALUE"""),"AK6034")</f>
        <v>AK6034</v>
      </c>
      <c r="B388" s="7" t="str">
        <f>IFERROR(__xludf.DUMMYFUNCTION("""COMPUTED_VALUE"""),"RUN-ABRM_2022-10-26_RFR-054")</f>
        <v>RUN-ABRM_2022-10-26_RFR-054</v>
      </c>
      <c r="C388" s="8">
        <f>VLOOKUP(B388,'Run Reconcile'!A$2:B3212,2,FALSE)</f>
        <v>44860</v>
      </c>
      <c r="D388" s="12">
        <f>IFERROR(__xludf.DUMMYFUNCTION("""COMPUTED_VALUE"""),44860.0)</f>
        <v>44860</v>
      </c>
      <c r="E388" s="13">
        <f>IFERROR(__xludf.DUMMYFUNCTION("""COMPUTED_VALUE"""),0.26724537037080154)</f>
        <v>0.2672453704</v>
      </c>
      <c r="F388" s="7" t="str">
        <f>IFERROR(__xludf.DUMMYFUNCTION("""COMPUTED_VALUE"""),"Negative")</f>
        <v>Negative</v>
      </c>
      <c r="G388" s="7">
        <f>IFERROR(__xludf.DUMMYFUNCTION("""COMPUTED_VALUE"""),1.0)</f>
        <v>1</v>
      </c>
    </row>
    <row r="389">
      <c r="A389" s="7" t="str">
        <f>IFERROR(__xludf.DUMMYFUNCTION("""COMPUTED_VALUE"""),"AH9527")</f>
        <v>AH9527</v>
      </c>
      <c r="B389" s="7" t="str">
        <f>IFERROR(__xludf.DUMMYFUNCTION("""COMPUTED_VALUE"""),"RUN-ABRM_2022-10-26_RFR-054")</f>
        <v>RUN-ABRM_2022-10-26_RFR-054</v>
      </c>
      <c r="C389" s="8">
        <f>VLOOKUP(B389,'Run Reconcile'!A$2:B3212,2,FALSE)</f>
        <v>44860</v>
      </c>
      <c r="D389" s="12">
        <f>IFERROR(__xludf.DUMMYFUNCTION("""COMPUTED_VALUE"""),44860.0)</f>
        <v>44860</v>
      </c>
      <c r="E389" s="13">
        <f>IFERROR(__xludf.DUMMYFUNCTION("""COMPUTED_VALUE"""),0.2880902777760639)</f>
        <v>0.2880902778</v>
      </c>
      <c r="F389" s="7" t="str">
        <f>IFERROR(__xludf.DUMMYFUNCTION("""COMPUTED_VALUE"""),"Negative")</f>
        <v>Negative</v>
      </c>
      <c r="G389" s="7">
        <f>IFERROR(__xludf.DUMMYFUNCTION("""COMPUTED_VALUE"""),1.0)</f>
        <v>1</v>
      </c>
    </row>
    <row r="390">
      <c r="A390" s="7" t="str">
        <f>IFERROR(__xludf.DUMMYFUNCTION("""COMPUTED_VALUE"""),"AH7600")</f>
        <v>AH7600</v>
      </c>
      <c r="B390" s="7" t="str">
        <f>IFERROR(__xludf.DUMMYFUNCTION("""COMPUTED_VALUE"""),"RUN-ABRM_2022-10-26_RFR-054")</f>
        <v>RUN-ABRM_2022-10-26_RFR-054</v>
      </c>
      <c r="C390" s="8">
        <f>VLOOKUP(B390,'Run Reconcile'!A$2:B3212,2,FALSE)</f>
        <v>44860</v>
      </c>
      <c r="D390" s="12">
        <f>IFERROR(__xludf.DUMMYFUNCTION("""COMPUTED_VALUE"""),44860.0)</f>
        <v>44860</v>
      </c>
      <c r="E390" s="13">
        <f>IFERROR(__xludf.DUMMYFUNCTION("""COMPUTED_VALUE"""),0.29591435185284354)</f>
        <v>0.2959143519</v>
      </c>
      <c r="F390" s="7" t="str">
        <f>IFERROR(__xludf.DUMMYFUNCTION("""COMPUTED_VALUE"""),"Negative")</f>
        <v>Negative</v>
      </c>
      <c r="G390" s="7">
        <f>IFERROR(__xludf.DUMMYFUNCTION("""COMPUTED_VALUE"""),3.0)</f>
        <v>3</v>
      </c>
    </row>
    <row r="391">
      <c r="A391" s="7" t="str">
        <f>IFERROR(__xludf.DUMMYFUNCTION("""COMPUTED_VALUE"""),"AH8560")</f>
        <v>AH8560</v>
      </c>
      <c r="B391" s="7" t="str">
        <f>IFERROR(__xludf.DUMMYFUNCTION("""COMPUTED_VALUE"""),"RUN-ABRM_2022-10-26_RFR-054")</f>
        <v>RUN-ABRM_2022-10-26_RFR-054</v>
      </c>
      <c r="C391" s="8">
        <f>VLOOKUP(B391,'Run Reconcile'!A$2:B3212,2,FALSE)</f>
        <v>44860</v>
      </c>
      <c r="D391" s="12">
        <f>IFERROR(__xludf.DUMMYFUNCTION("""COMPUTED_VALUE"""),44860.0)</f>
        <v>44860</v>
      </c>
      <c r="E391" s="13">
        <f>IFERROR(__xludf.DUMMYFUNCTION("""COMPUTED_VALUE"""),0.30277777777882875)</f>
        <v>0.3027777778</v>
      </c>
      <c r="F391" s="7" t="str">
        <f>IFERROR(__xludf.DUMMYFUNCTION("""COMPUTED_VALUE"""),"Negative")</f>
        <v>Negative</v>
      </c>
      <c r="G391" s="7">
        <f>IFERROR(__xludf.DUMMYFUNCTION("""COMPUTED_VALUE"""),3.0)</f>
        <v>3</v>
      </c>
    </row>
    <row r="392">
      <c r="A392" s="7" t="str">
        <f>IFERROR(__xludf.DUMMYFUNCTION("""COMPUTED_VALUE"""),"AH7804")</f>
        <v>AH7804</v>
      </c>
      <c r="B392" s="7" t="str">
        <f>IFERROR(__xludf.DUMMYFUNCTION("""COMPUTED_VALUE"""),"RUN-ABRM_2022-10-26_RFR-054")</f>
        <v>RUN-ABRM_2022-10-26_RFR-054</v>
      </c>
      <c r="C392" s="8">
        <f>VLOOKUP(B392,'Run Reconcile'!A$2:B3212,2,FALSE)</f>
        <v>44860</v>
      </c>
      <c r="D392" s="12">
        <f>IFERROR(__xludf.DUMMYFUNCTION("""COMPUTED_VALUE"""),44860.0)</f>
        <v>44860</v>
      </c>
      <c r="E392" s="13">
        <f>IFERROR(__xludf.DUMMYFUNCTION("""COMPUTED_VALUE"""),0.30478009259240935)</f>
        <v>0.3047800926</v>
      </c>
      <c r="F392" s="7" t="str">
        <f>IFERROR(__xludf.DUMMYFUNCTION("""COMPUTED_VALUE"""),"Negative")</f>
        <v>Negative</v>
      </c>
      <c r="G392" s="7">
        <f>IFERROR(__xludf.DUMMYFUNCTION("""COMPUTED_VALUE"""),4.0)</f>
        <v>4</v>
      </c>
    </row>
    <row r="393">
      <c r="A393" s="7" t="str">
        <f>IFERROR(__xludf.DUMMYFUNCTION("""COMPUTED_VALUE"""),"AH8901")</f>
        <v>AH8901</v>
      </c>
      <c r="B393" s="7" t="str">
        <f>IFERROR(__xludf.DUMMYFUNCTION("""COMPUTED_VALUE"""),"RUN-ABRM_2022-10-26_RFR-054")</f>
        <v>RUN-ABRM_2022-10-26_RFR-054</v>
      </c>
      <c r="C393" s="8">
        <f>VLOOKUP(B393,'Run Reconcile'!A$2:B3212,2,FALSE)</f>
        <v>44860</v>
      </c>
      <c r="D393" s="12">
        <f>IFERROR(__xludf.DUMMYFUNCTION("""COMPUTED_VALUE"""),44860.0)</f>
        <v>44860</v>
      </c>
      <c r="E393" s="13">
        <f>IFERROR(__xludf.DUMMYFUNCTION("""COMPUTED_VALUE"""),0.30829861111124046)</f>
        <v>0.3082986111</v>
      </c>
      <c r="F393" s="7" t="str">
        <f>IFERROR(__xludf.DUMMYFUNCTION("""COMPUTED_VALUE"""),"Negative")</f>
        <v>Negative</v>
      </c>
      <c r="G393" s="7">
        <f>IFERROR(__xludf.DUMMYFUNCTION("""COMPUTED_VALUE"""),2.0)</f>
        <v>2</v>
      </c>
    </row>
    <row r="394">
      <c r="A394" s="7" t="str">
        <f>IFERROR(__xludf.DUMMYFUNCTION("""COMPUTED_VALUE"""),"AK7940")</f>
        <v>AK7940</v>
      </c>
      <c r="B394" s="7" t="str">
        <f>IFERROR(__xludf.DUMMYFUNCTION("""COMPUTED_VALUE"""),"RUN-ABRM_2022-10-27_RFR-055")</f>
        <v>RUN-ABRM_2022-10-27_RFR-055</v>
      </c>
      <c r="C394" s="8">
        <f>VLOOKUP(B394,'Run Reconcile'!A$2:B3212,2,FALSE)</f>
        <v>44861</v>
      </c>
      <c r="D394" s="12">
        <f>IFERROR(__xludf.DUMMYFUNCTION("""COMPUTED_VALUE"""),44861.0)</f>
        <v>44861</v>
      </c>
      <c r="E394" s="13">
        <f>IFERROR(__xludf.DUMMYFUNCTION("""COMPUTED_VALUE"""),0.2102430555569299)</f>
        <v>0.2102430556</v>
      </c>
      <c r="F394" s="7" t="str">
        <f>IFERROR(__xludf.DUMMYFUNCTION("""COMPUTED_VALUE"""),"Negative")</f>
        <v>Negative</v>
      </c>
      <c r="G394" s="7">
        <f>IFERROR(__xludf.DUMMYFUNCTION("""COMPUTED_VALUE"""),3.0)</f>
        <v>3</v>
      </c>
    </row>
    <row r="395">
      <c r="A395" s="7" t="str">
        <f>IFERROR(__xludf.DUMMYFUNCTION("""COMPUTED_VALUE"""),"AJ8196")</f>
        <v>AJ8196</v>
      </c>
      <c r="B395" s="7" t="str">
        <f>IFERROR(__xludf.DUMMYFUNCTION("""COMPUTED_VALUE"""),"RUN-ABRM_2022-10-27_RFR-055")</f>
        <v>RUN-ABRM_2022-10-27_RFR-055</v>
      </c>
      <c r="C395" s="8">
        <f>VLOOKUP(B395,'Run Reconcile'!A$2:B3212,2,FALSE)</f>
        <v>44861</v>
      </c>
      <c r="D395" s="12">
        <f>IFERROR(__xludf.DUMMYFUNCTION("""COMPUTED_VALUE"""),44861.0)</f>
        <v>44861</v>
      </c>
      <c r="E395" s="13">
        <f>IFERROR(__xludf.DUMMYFUNCTION("""COMPUTED_VALUE"""),0.24695601851999527)</f>
        <v>0.2469560185</v>
      </c>
      <c r="F395" s="7" t="str">
        <f>IFERROR(__xludf.DUMMYFUNCTION("""COMPUTED_VALUE"""),"Negative")</f>
        <v>Negative</v>
      </c>
      <c r="G395" s="7">
        <f>IFERROR(__xludf.DUMMYFUNCTION("""COMPUTED_VALUE"""),2.0)</f>
        <v>2</v>
      </c>
    </row>
    <row r="396">
      <c r="A396" s="7" t="str">
        <f>IFERROR(__xludf.DUMMYFUNCTION("""COMPUTED_VALUE"""),"AH8031")</f>
        <v>AH8031</v>
      </c>
      <c r="B396" s="7" t="str">
        <f>IFERROR(__xludf.DUMMYFUNCTION("""COMPUTED_VALUE"""),"RUN-ABRM_2022-10-27_RFR-055")</f>
        <v>RUN-ABRM_2022-10-27_RFR-055</v>
      </c>
      <c r="C396" s="8">
        <f>VLOOKUP(B396,'Run Reconcile'!A$2:B3212,2,FALSE)</f>
        <v>44861</v>
      </c>
      <c r="D396" s="12">
        <f>IFERROR(__xludf.DUMMYFUNCTION("""COMPUTED_VALUE"""),44861.0)</f>
        <v>44861</v>
      </c>
      <c r="E396" s="13">
        <f>IFERROR(__xludf.DUMMYFUNCTION("""COMPUTED_VALUE"""),0.25958333333255723)</f>
        <v>0.2595833333</v>
      </c>
      <c r="F396" s="7" t="str">
        <f>IFERROR(__xludf.DUMMYFUNCTION("""COMPUTED_VALUE"""),"Negative")</f>
        <v>Negative</v>
      </c>
      <c r="G396" s="7">
        <f>IFERROR(__xludf.DUMMYFUNCTION("""COMPUTED_VALUE"""),1.0)</f>
        <v>1</v>
      </c>
    </row>
    <row r="397">
      <c r="A397" s="7" t="str">
        <f>IFERROR(__xludf.DUMMYFUNCTION("""COMPUTED_VALUE"""),"AJ8492")</f>
        <v>AJ8492</v>
      </c>
      <c r="B397" s="7" t="str">
        <f>IFERROR(__xludf.DUMMYFUNCTION("""COMPUTED_VALUE"""),"RUN-ABRM_2022-10-27_RFR-055")</f>
        <v>RUN-ABRM_2022-10-27_RFR-055</v>
      </c>
      <c r="C397" s="8">
        <f>VLOOKUP(B397,'Run Reconcile'!A$2:B3212,2,FALSE)</f>
        <v>44861</v>
      </c>
      <c r="D397" s="12">
        <f>IFERROR(__xludf.DUMMYFUNCTION("""COMPUTED_VALUE"""),44861.0)</f>
        <v>44861</v>
      </c>
      <c r="E397" s="13">
        <f>IFERROR(__xludf.DUMMYFUNCTION("""COMPUTED_VALUE"""),0.27349537036934635)</f>
        <v>0.2734953704</v>
      </c>
      <c r="F397" s="7" t="str">
        <f>IFERROR(__xludf.DUMMYFUNCTION("""COMPUTED_VALUE"""),"Negative")</f>
        <v>Negative</v>
      </c>
      <c r="G397" s="7">
        <f>IFERROR(__xludf.DUMMYFUNCTION("""COMPUTED_VALUE"""),3.0)</f>
        <v>3</v>
      </c>
    </row>
    <row r="398">
      <c r="A398" s="7" t="str">
        <f>IFERROR(__xludf.DUMMYFUNCTION("""COMPUTED_VALUE"""),"AG172")</f>
        <v>AG172</v>
      </c>
      <c r="B398" s="7" t="str">
        <f>IFERROR(__xludf.DUMMYFUNCTION("""COMPUTED_VALUE"""),"RUN-ABRM_2022-10-27_RFR-055")</f>
        <v>RUN-ABRM_2022-10-27_RFR-055</v>
      </c>
      <c r="C398" s="8">
        <f>VLOOKUP(B398,'Run Reconcile'!A$2:B3212,2,FALSE)</f>
        <v>44861</v>
      </c>
      <c r="D398" s="12">
        <f>IFERROR(__xludf.DUMMYFUNCTION("""COMPUTED_VALUE"""),44861.0)</f>
        <v>44861</v>
      </c>
      <c r="E398" s="13">
        <f>IFERROR(__xludf.DUMMYFUNCTION("""COMPUTED_VALUE"""),0.3017013888893416)</f>
        <v>0.3017013889</v>
      </c>
      <c r="F398" s="7" t="str">
        <f>IFERROR(__xludf.DUMMYFUNCTION("""COMPUTED_VALUE"""),"Negative")</f>
        <v>Negative</v>
      </c>
      <c r="G398" s="7">
        <f>IFERROR(__xludf.DUMMYFUNCTION("""COMPUTED_VALUE"""),3.0)</f>
        <v>3</v>
      </c>
    </row>
    <row r="399">
      <c r="A399" s="7" t="str">
        <f>IFERROR(__xludf.DUMMYFUNCTION("""COMPUTED_VALUE"""),"AH7789")</f>
        <v>AH7789</v>
      </c>
      <c r="B399" s="7" t="str">
        <f>IFERROR(__xludf.DUMMYFUNCTION("""COMPUTED_VALUE"""),"RUN-ABRM_2022-10-27_RFR-055")</f>
        <v>RUN-ABRM_2022-10-27_RFR-055</v>
      </c>
      <c r="C399" s="8">
        <f>VLOOKUP(B399,'Run Reconcile'!A$2:B3212,2,FALSE)</f>
        <v>44861</v>
      </c>
      <c r="D399" s="12">
        <f>IFERROR(__xludf.DUMMYFUNCTION("""COMPUTED_VALUE"""),44861.0)</f>
        <v>44861</v>
      </c>
      <c r="E399" s="13">
        <f>IFERROR(__xludf.DUMMYFUNCTION("""COMPUTED_VALUE"""),0.3104398148134351)</f>
        <v>0.3104398148</v>
      </c>
      <c r="F399" s="7" t="str">
        <f>IFERROR(__xludf.DUMMYFUNCTION("""COMPUTED_VALUE"""),"Negative")</f>
        <v>Negative</v>
      </c>
      <c r="G399" s="7">
        <f>IFERROR(__xludf.DUMMYFUNCTION("""COMPUTED_VALUE"""),3.0)</f>
        <v>3</v>
      </c>
    </row>
    <row r="400">
      <c r="A400" s="7" t="str">
        <f>IFERROR(__xludf.DUMMYFUNCTION("""COMPUTED_VALUE"""),"AH476")</f>
        <v>AH476</v>
      </c>
      <c r="B400" s="7" t="str">
        <f>IFERROR(__xludf.DUMMYFUNCTION("""COMPUTED_VALUE"""),"RUN-ABRM_2022-10-27_RFR-055")</f>
        <v>RUN-ABRM_2022-10-27_RFR-055</v>
      </c>
      <c r="C400" s="8">
        <f>VLOOKUP(B400,'Run Reconcile'!A$2:B3212,2,FALSE)</f>
        <v>44861</v>
      </c>
      <c r="D400" s="12">
        <f>IFERROR(__xludf.DUMMYFUNCTION("""COMPUTED_VALUE"""),44861.0)</f>
        <v>44861</v>
      </c>
      <c r="E400" s="13">
        <f>IFERROR(__xludf.DUMMYFUNCTION("""COMPUTED_VALUE"""),0.3177777777782467)</f>
        <v>0.3177777778</v>
      </c>
      <c r="F400" s="7" t="str">
        <f>IFERROR(__xludf.DUMMYFUNCTION("""COMPUTED_VALUE"""),"Negative")</f>
        <v>Negative</v>
      </c>
      <c r="G400" s="7">
        <f>IFERROR(__xludf.DUMMYFUNCTION("""COMPUTED_VALUE"""),1.0)</f>
        <v>1</v>
      </c>
    </row>
    <row r="401">
      <c r="A401" s="7" t="str">
        <f>IFERROR(__xludf.DUMMYFUNCTION("""COMPUTED_VALUE"""),"AG1676")</f>
        <v>AG1676</v>
      </c>
      <c r="B401" s="7" t="str">
        <f>IFERROR(__xludf.DUMMYFUNCTION("""COMPUTED_VALUE"""),"RUN-ABRM_2022-10-27_RFR-055")</f>
        <v>RUN-ABRM_2022-10-27_RFR-055</v>
      </c>
      <c r="C401" s="8">
        <f>VLOOKUP(B401,'Run Reconcile'!A$2:B3212,2,FALSE)</f>
        <v>44861</v>
      </c>
      <c r="D401" s="12">
        <f>IFERROR(__xludf.DUMMYFUNCTION("""COMPUTED_VALUE"""),44861.0)</f>
        <v>44861</v>
      </c>
      <c r="E401" s="13">
        <f>IFERROR(__xludf.DUMMYFUNCTION("""COMPUTED_VALUE"""),0.31916666666802485)</f>
        <v>0.3191666667</v>
      </c>
      <c r="F401" s="7" t="str">
        <f>IFERROR(__xludf.DUMMYFUNCTION("""COMPUTED_VALUE"""),"Negative")</f>
        <v>Negative</v>
      </c>
      <c r="G401" s="7">
        <f>IFERROR(__xludf.DUMMYFUNCTION("""COMPUTED_VALUE"""),2.0)</f>
        <v>2</v>
      </c>
    </row>
    <row r="402">
      <c r="A402" s="7" t="str">
        <f>IFERROR(__xludf.DUMMYFUNCTION("""COMPUTED_VALUE"""),"AH7645")</f>
        <v>AH7645</v>
      </c>
      <c r="B402" s="7" t="str">
        <f>IFERROR(__xludf.DUMMYFUNCTION("""COMPUTED_VALUE"""),"RUN-ABRM_2022-10-27_RFR-055")</f>
        <v>RUN-ABRM_2022-10-27_RFR-055</v>
      </c>
      <c r="C402" s="8">
        <f>VLOOKUP(B402,'Run Reconcile'!A$2:B3212,2,FALSE)</f>
        <v>44861</v>
      </c>
      <c r="D402" s="12">
        <f>IFERROR(__xludf.DUMMYFUNCTION("""COMPUTED_VALUE"""),44861.0)</f>
        <v>44861</v>
      </c>
      <c r="E402" s="13">
        <f>IFERROR(__xludf.DUMMYFUNCTION("""COMPUTED_VALUE"""),0.3305902777792653)</f>
        <v>0.3305902778</v>
      </c>
      <c r="F402" s="7" t="str">
        <f>IFERROR(__xludf.DUMMYFUNCTION("""COMPUTED_VALUE"""),"Negative")</f>
        <v>Negative</v>
      </c>
      <c r="G402" s="7">
        <f>IFERROR(__xludf.DUMMYFUNCTION("""COMPUTED_VALUE"""),1.0)</f>
        <v>1</v>
      </c>
    </row>
    <row r="403">
      <c r="A403" s="7" t="str">
        <f>IFERROR(__xludf.DUMMYFUNCTION("""COMPUTED_VALUE"""),"AH7178")</f>
        <v>AH7178</v>
      </c>
      <c r="B403" s="7" t="str">
        <f>IFERROR(__xludf.DUMMYFUNCTION("""COMPUTED_VALUE"""),"RUN-ABRM_2022-10-27_RFR-055")</f>
        <v>RUN-ABRM_2022-10-27_RFR-055</v>
      </c>
      <c r="C403" s="8">
        <f>VLOOKUP(B403,'Run Reconcile'!A$2:B3212,2,FALSE)</f>
        <v>44861</v>
      </c>
      <c r="D403" s="12">
        <f>IFERROR(__xludf.DUMMYFUNCTION("""COMPUTED_VALUE"""),44861.0)</f>
        <v>44861</v>
      </c>
      <c r="E403" s="13">
        <f>IFERROR(__xludf.DUMMYFUNCTION("""COMPUTED_VALUE"""),0.34221064814846613)</f>
        <v>0.3422106481</v>
      </c>
      <c r="F403" s="7" t="str">
        <f>IFERROR(__xludf.DUMMYFUNCTION("""COMPUTED_VALUE"""),"Negative")</f>
        <v>Negative</v>
      </c>
      <c r="G403" s="7">
        <f>IFERROR(__xludf.DUMMYFUNCTION("""COMPUTED_VALUE"""),2.0)</f>
        <v>2</v>
      </c>
    </row>
    <row r="404">
      <c r="A404" s="7" t="str">
        <f>IFERROR(__xludf.DUMMYFUNCTION("""COMPUTED_VALUE"""),"AH7153")</f>
        <v>AH7153</v>
      </c>
      <c r="B404" s="7" t="str">
        <f>IFERROR(__xludf.DUMMYFUNCTION("""COMPUTED_VALUE"""),"RUN-ABRM_2022-10-28_RFR-057")</f>
        <v>RUN-ABRM_2022-10-28_RFR-057</v>
      </c>
      <c r="C404" s="8">
        <f>VLOOKUP(B404,'Run Reconcile'!A$2:B3212,2,FALSE)</f>
        <v>44862</v>
      </c>
      <c r="D404" s="12">
        <f>IFERROR(__xludf.DUMMYFUNCTION("""COMPUTED_VALUE"""),44861.0)</f>
        <v>44861</v>
      </c>
      <c r="E404" s="13">
        <f>IFERROR(__xludf.DUMMYFUNCTION("""COMPUTED_VALUE"""),0.38341435185066075)</f>
        <v>0.3834143519</v>
      </c>
      <c r="F404" s="7" t="str">
        <f>IFERROR(__xludf.DUMMYFUNCTION("""COMPUTED_VALUE"""),"Negative")</f>
        <v>Negative</v>
      </c>
      <c r="G404" s="7">
        <f>IFERROR(__xludf.DUMMYFUNCTION("""COMPUTED_VALUE"""),1.0)</f>
        <v>1</v>
      </c>
    </row>
    <row r="405">
      <c r="A405" s="7" t="str">
        <f>IFERROR(__xludf.DUMMYFUNCTION("""COMPUTED_VALUE"""),"AG1024")</f>
        <v>AG1024</v>
      </c>
      <c r="B405" s="7" t="str">
        <f>IFERROR(__xludf.DUMMYFUNCTION("""COMPUTED_VALUE"""),"RUN-ABRM_2022-10-28_RFR-057")</f>
        <v>RUN-ABRM_2022-10-28_RFR-057</v>
      </c>
      <c r="C405" s="8">
        <f>VLOOKUP(B405,'Run Reconcile'!A$2:B3212,2,FALSE)</f>
        <v>44862</v>
      </c>
      <c r="D405" s="12">
        <f>IFERROR(__xludf.DUMMYFUNCTION("""COMPUTED_VALUE"""),44862.0)</f>
        <v>44862</v>
      </c>
      <c r="E405" s="13">
        <f>IFERROR(__xludf.DUMMYFUNCTION("""COMPUTED_VALUE"""),0.24642361111182254)</f>
        <v>0.2464236111</v>
      </c>
      <c r="F405" s="7" t="str">
        <f>IFERROR(__xludf.DUMMYFUNCTION("""COMPUTED_VALUE"""),"Negative")</f>
        <v>Negative</v>
      </c>
      <c r="G405" s="7">
        <f>IFERROR(__xludf.DUMMYFUNCTION("""COMPUTED_VALUE"""),1.0)</f>
        <v>1</v>
      </c>
    </row>
    <row r="406">
      <c r="A406" s="7" t="str">
        <f>IFERROR(__xludf.DUMMYFUNCTION("""COMPUTED_VALUE"""),"AH9572")</f>
        <v>AH9572</v>
      </c>
      <c r="B406" s="7" t="str">
        <f>IFERROR(__xludf.DUMMYFUNCTION("""COMPUTED_VALUE"""),"RUN-ABRM_2022-10-28_RFR-057")</f>
        <v>RUN-ABRM_2022-10-28_RFR-057</v>
      </c>
      <c r="C406" s="8">
        <f>VLOOKUP(B406,'Run Reconcile'!A$2:B3212,2,FALSE)</f>
        <v>44862</v>
      </c>
      <c r="D406" s="12">
        <f>IFERROR(__xludf.DUMMYFUNCTION("""COMPUTED_VALUE"""),44862.0)</f>
        <v>44862</v>
      </c>
      <c r="E406" s="13">
        <f>IFERROR(__xludf.DUMMYFUNCTION("""COMPUTED_VALUE"""),0.2854976851849642)</f>
        <v>0.2854976852</v>
      </c>
      <c r="F406" s="7" t="str">
        <f>IFERROR(__xludf.DUMMYFUNCTION("""COMPUTED_VALUE"""),"Negative")</f>
        <v>Negative</v>
      </c>
      <c r="G406" s="7">
        <f>IFERROR(__xludf.DUMMYFUNCTION("""COMPUTED_VALUE"""),3.0)</f>
        <v>3</v>
      </c>
    </row>
    <row r="407">
      <c r="A407" s="7" t="str">
        <f>IFERROR(__xludf.DUMMYFUNCTION("""COMPUTED_VALUE"""),"AG1957")</f>
        <v>AG1957</v>
      </c>
      <c r="B407" s="7" t="str">
        <f>IFERROR(__xludf.DUMMYFUNCTION("""COMPUTED_VALUE"""),"RUN-ABRM_2022-10-28_RFR-057")</f>
        <v>RUN-ABRM_2022-10-28_RFR-057</v>
      </c>
      <c r="C407" s="8">
        <f>VLOOKUP(B407,'Run Reconcile'!A$2:B3212,2,FALSE)</f>
        <v>44862</v>
      </c>
      <c r="D407" s="12">
        <f>IFERROR(__xludf.DUMMYFUNCTION("""COMPUTED_VALUE"""),44862.0)</f>
        <v>44862</v>
      </c>
      <c r="E407" s="13">
        <f>IFERROR(__xludf.DUMMYFUNCTION("""COMPUTED_VALUE"""),0.2906944444439432)</f>
        <v>0.2906944444</v>
      </c>
      <c r="F407" s="7" t="str">
        <f>IFERROR(__xludf.DUMMYFUNCTION("""COMPUTED_VALUE"""),"Negative")</f>
        <v>Negative</v>
      </c>
      <c r="G407" s="7">
        <f>IFERROR(__xludf.DUMMYFUNCTION("""COMPUTED_VALUE"""),3.0)</f>
        <v>3</v>
      </c>
    </row>
    <row r="408">
      <c r="A408" s="7" t="str">
        <f>IFERROR(__xludf.DUMMYFUNCTION("""COMPUTED_VALUE"""),"AG768")</f>
        <v>AG768</v>
      </c>
      <c r="B408" s="7" t="str">
        <f>IFERROR(__xludf.DUMMYFUNCTION("""COMPUTED_VALUE"""),"RUN-ABRM_2022-10-28_RFR-057")</f>
        <v>RUN-ABRM_2022-10-28_RFR-057</v>
      </c>
      <c r="C408" s="8">
        <f>VLOOKUP(B408,'Run Reconcile'!A$2:B3212,2,FALSE)</f>
        <v>44862</v>
      </c>
      <c r="D408" s="12">
        <f>IFERROR(__xludf.DUMMYFUNCTION("""COMPUTED_VALUE"""),44862.0)</f>
        <v>44862</v>
      </c>
      <c r="E408" s="13">
        <f>IFERROR(__xludf.DUMMYFUNCTION("""COMPUTED_VALUE"""),0.2920023148144537)</f>
        <v>0.2920023148</v>
      </c>
      <c r="F408" s="7" t="str">
        <f>IFERROR(__xludf.DUMMYFUNCTION("""COMPUTED_VALUE"""),"Negative")</f>
        <v>Negative</v>
      </c>
      <c r="G408" s="7">
        <f>IFERROR(__xludf.DUMMYFUNCTION("""COMPUTED_VALUE"""),2.0)</f>
        <v>2</v>
      </c>
    </row>
    <row r="409">
      <c r="A409" s="7" t="str">
        <f>IFERROR(__xludf.DUMMYFUNCTION("""COMPUTED_VALUE"""),"AK6876")</f>
        <v>AK6876</v>
      </c>
      <c r="B409" s="7" t="str">
        <f>IFERROR(__xludf.DUMMYFUNCTION("""COMPUTED_VALUE"""),"RUN-ABRM_2022-10-28_RFR-057")</f>
        <v>RUN-ABRM_2022-10-28_RFR-057</v>
      </c>
      <c r="C409" s="8">
        <f>VLOOKUP(B409,'Run Reconcile'!A$2:B3212,2,FALSE)</f>
        <v>44862</v>
      </c>
      <c r="D409" s="12">
        <f>IFERROR(__xludf.DUMMYFUNCTION("""COMPUTED_VALUE"""),44862.0)</f>
        <v>44862</v>
      </c>
      <c r="E409" s="13">
        <f>IFERROR(__xludf.DUMMYFUNCTION("""COMPUTED_VALUE"""),0.294224537035916)</f>
        <v>0.294224537</v>
      </c>
      <c r="F409" s="7" t="str">
        <f>IFERROR(__xludf.DUMMYFUNCTION("""COMPUTED_VALUE"""),"Negative")</f>
        <v>Negative</v>
      </c>
      <c r="G409" s="7">
        <f>IFERROR(__xludf.DUMMYFUNCTION("""COMPUTED_VALUE"""),2.0)</f>
        <v>2</v>
      </c>
    </row>
    <row r="410">
      <c r="A410" s="7" t="str">
        <f>IFERROR(__xludf.DUMMYFUNCTION("""COMPUTED_VALUE"""),"AH9506")</f>
        <v>AH9506</v>
      </c>
      <c r="B410" s="7" t="str">
        <f>IFERROR(__xludf.DUMMYFUNCTION("""COMPUTED_VALUE"""),"RUN-ABRM_2022-10-28_RFR-057")</f>
        <v>RUN-ABRM_2022-10-28_RFR-057</v>
      </c>
      <c r="C410" s="8">
        <f>VLOOKUP(B410,'Run Reconcile'!A$2:B3212,2,FALSE)</f>
        <v>44862</v>
      </c>
      <c r="D410" s="12">
        <f>IFERROR(__xludf.DUMMYFUNCTION("""COMPUTED_VALUE"""),44862.0)</f>
        <v>44862</v>
      </c>
      <c r="E410" s="13">
        <f>IFERROR(__xludf.DUMMYFUNCTION("""COMPUTED_VALUE"""),0.29979166666817036)</f>
        <v>0.2997916667</v>
      </c>
      <c r="F410" s="7" t="str">
        <f>IFERROR(__xludf.DUMMYFUNCTION("""COMPUTED_VALUE"""),"Negative")</f>
        <v>Negative</v>
      </c>
      <c r="G410" s="7">
        <f>IFERROR(__xludf.DUMMYFUNCTION("""COMPUTED_VALUE"""),3.0)</f>
        <v>3</v>
      </c>
    </row>
    <row r="411">
      <c r="A411" s="7" t="str">
        <f>IFERROR(__xludf.DUMMYFUNCTION("""COMPUTED_VALUE"""),"AJ8794")</f>
        <v>AJ8794</v>
      </c>
      <c r="B411" s="7" t="str">
        <f>IFERROR(__xludf.DUMMYFUNCTION("""COMPUTED_VALUE"""),"RUN-ABRM_2022-10-28_RFR-057")</f>
        <v>RUN-ABRM_2022-10-28_RFR-057</v>
      </c>
      <c r="C411" s="8">
        <f>VLOOKUP(B411,'Run Reconcile'!A$2:B3212,2,FALSE)</f>
        <v>44862</v>
      </c>
      <c r="D411" s="12">
        <f>IFERROR(__xludf.DUMMYFUNCTION("""COMPUTED_VALUE"""),44862.0)</f>
        <v>44862</v>
      </c>
      <c r="E411" s="13">
        <f>IFERROR(__xludf.DUMMYFUNCTION("""COMPUTED_VALUE"""),0.3055671296278888)</f>
        <v>0.3055671296</v>
      </c>
      <c r="F411" s="7" t="str">
        <f>IFERROR(__xludf.DUMMYFUNCTION("""COMPUTED_VALUE"""),"Negative")</f>
        <v>Negative</v>
      </c>
      <c r="G411" s="7">
        <f>IFERROR(__xludf.DUMMYFUNCTION("""COMPUTED_VALUE"""),2.0)</f>
        <v>2</v>
      </c>
    </row>
    <row r="412">
      <c r="A412" s="7" t="str">
        <f>IFERROR(__xludf.DUMMYFUNCTION("""COMPUTED_VALUE"""),"AH8534")</f>
        <v>AH8534</v>
      </c>
      <c r="B412" s="7" t="str">
        <f>IFERROR(__xludf.DUMMYFUNCTION("""COMPUTED_VALUE"""),"RUN-ABRM_2022-10-28_RFR-057")</f>
        <v>RUN-ABRM_2022-10-28_RFR-057</v>
      </c>
      <c r="C412" s="8">
        <f>VLOOKUP(B412,'Run Reconcile'!A$2:B3212,2,FALSE)</f>
        <v>44862</v>
      </c>
      <c r="D412" s="12">
        <f>IFERROR(__xludf.DUMMYFUNCTION("""COMPUTED_VALUE"""),44862.0)</f>
        <v>44862</v>
      </c>
      <c r="E412" s="13">
        <f>IFERROR(__xludf.DUMMYFUNCTION("""COMPUTED_VALUE"""),0.3369212962970778)</f>
        <v>0.3369212963</v>
      </c>
      <c r="F412" s="7" t="str">
        <f>IFERROR(__xludf.DUMMYFUNCTION("""COMPUTED_VALUE"""),"Negative")</f>
        <v>Negative</v>
      </c>
      <c r="G412" s="7">
        <f>IFERROR(__xludf.DUMMYFUNCTION("""COMPUTED_VALUE"""),3.0)</f>
        <v>3</v>
      </c>
    </row>
    <row r="413">
      <c r="A413" s="7" t="str">
        <f>IFERROR(__xludf.DUMMYFUNCTION("""COMPUTED_VALUE"""),"AH6786")</f>
        <v>AH6786</v>
      </c>
      <c r="B413" s="7" t="str">
        <f>IFERROR(__xludf.DUMMYFUNCTION("""COMPUTED_VALUE"""),"RUN-ABRM_2022-10-28_RFR-057")</f>
        <v>RUN-ABRM_2022-10-28_RFR-057</v>
      </c>
      <c r="C413" s="8">
        <f>VLOOKUP(B413,'Run Reconcile'!A$2:B3212,2,FALSE)</f>
        <v>44862</v>
      </c>
      <c r="D413" s="12">
        <f>IFERROR(__xludf.DUMMYFUNCTION("""COMPUTED_VALUE"""),44862.0)</f>
        <v>44862</v>
      </c>
      <c r="E413" s="13">
        <f>IFERROR(__xludf.DUMMYFUNCTION("""COMPUTED_VALUE"""),0.33744212962847087)</f>
        <v>0.3374421296</v>
      </c>
      <c r="F413" s="7" t="str">
        <f>IFERROR(__xludf.DUMMYFUNCTION("""COMPUTED_VALUE"""),"Negative")</f>
        <v>Negative</v>
      </c>
      <c r="G413" s="7">
        <f>IFERROR(__xludf.DUMMYFUNCTION("""COMPUTED_VALUE"""),1.0)</f>
        <v>1</v>
      </c>
    </row>
    <row r="414">
      <c r="A414" s="7" t="str">
        <f>IFERROR(__xludf.DUMMYFUNCTION("""COMPUTED_VALUE"""),"AH7690")</f>
        <v>AH7690</v>
      </c>
      <c r="B414" s="7" t="str">
        <f>IFERROR(__xludf.DUMMYFUNCTION("""COMPUTED_VALUE"""),"RUN-ABRM_2022-10-31_RFR-060")</f>
        <v>RUN-ABRM_2022-10-31_RFR-060</v>
      </c>
      <c r="C414" s="8">
        <f>VLOOKUP(B414,'Run Reconcile'!A$2:B3212,2,FALSE)</f>
        <v>44865</v>
      </c>
      <c r="D414" s="12">
        <f>IFERROR(__xludf.DUMMYFUNCTION("""COMPUTED_VALUE"""),44865.0)</f>
        <v>44865</v>
      </c>
      <c r="E414" s="13">
        <f>IFERROR(__xludf.DUMMYFUNCTION("""COMPUTED_VALUE"""),0.18040509259299142)</f>
        <v>0.1804050926</v>
      </c>
      <c r="F414" s="7" t="str">
        <f>IFERROR(__xludf.DUMMYFUNCTION("""COMPUTED_VALUE"""),"Negative")</f>
        <v>Negative</v>
      </c>
      <c r="G414" s="7">
        <f>IFERROR(__xludf.DUMMYFUNCTION("""COMPUTED_VALUE"""),1.0)</f>
        <v>1</v>
      </c>
    </row>
    <row r="415">
      <c r="A415" s="7" t="str">
        <f>IFERROR(__xludf.DUMMYFUNCTION("""COMPUTED_VALUE"""),"AH7786")</f>
        <v>AH7786</v>
      </c>
      <c r="B415" s="7" t="str">
        <f>IFERROR(__xludf.DUMMYFUNCTION("""COMPUTED_VALUE"""),"RUN-ABRM_2022-10-31_RFR-060")</f>
        <v>RUN-ABRM_2022-10-31_RFR-060</v>
      </c>
      <c r="C415" s="8">
        <f>VLOOKUP(B415,'Run Reconcile'!A$2:B3212,2,FALSE)</f>
        <v>44865</v>
      </c>
      <c r="D415" s="12">
        <f>IFERROR(__xludf.DUMMYFUNCTION("""COMPUTED_VALUE"""),44865.0)</f>
        <v>44865</v>
      </c>
      <c r="E415" s="13">
        <f>IFERROR(__xludf.DUMMYFUNCTION("""COMPUTED_VALUE"""),0.2923726851840911)</f>
        <v>0.2923726852</v>
      </c>
      <c r="F415" s="7" t="str">
        <f>IFERROR(__xludf.DUMMYFUNCTION("""COMPUTED_VALUE"""),"Negative")</f>
        <v>Negative</v>
      </c>
      <c r="G415" s="7">
        <f>IFERROR(__xludf.DUMMYFUNCTION("""COMPUTED_VALUE"""),3.0)</f>
        <v>3</v>
      </c>
    </row>
    <row r="416">
      <c r="A416" s="7" t="str">
        <f>IFERROR(__xludf.DUMMYFUNCTION("""COMPUTED_VALUE"""),"AH7447")</f>
        <v>AH7447</v>
      </c>
      <c r="B416" s="7" t="str">
        <f>IFERROR(__xludf.DUMMYFUNCTION("""COMPUTED_VALUE"""),"RUN-ABRM_2022-10-31_RFR-060")</f>
        <v>RUN-ABRM_2022-10-31_RFR-060</v>
      </c>
      <c r="C416" s="8">
        <f>VLOOKUP(B416,'Run Reconcile'!A$2:B3212,2,FALSE)</f>
        <v>44865</v>
      </c>
      <c r="D416" s="12">
        <f>IFERROR(__xludf.DUMMYFUNCTION("""COMPUTED_VALUE"""),44865.0)</f>
        <v>44865</v>
      </c>
      <c r="E416" s="13">
        <f>IFERROR(__xludf.DUMMYFUNCTION("""COMPUTED_VALUE"""),0.2977430555547471)</f>
        <v>0.2977430556</v>
      </c>
      <c r="F416" s="7" t="str">
        <f>IFERROR(__xludf.DUMMYFUNCTION("""COMPUTED_VALUE"""),"Negative")</f>
        <v>Negative</v>
      </c>
      <c r="G416" s="7">
        <f>IFERROR(__xludf.DUMMYFUNCTION("""COMPUTED_VALUE"""),3.0)</f>
        <v>3</v>
      </c>
    </row>
    <row r="417">
      <c r="A417" s="7" t="str">
        <f>IFERROR(__xludf.DUMMYFUNCTION("""COMPUTED_VALUE"""),"AH7616")</f>
        <v>AH7616</v>
      </c>
      <c r="B417" s="7" t="str">
        <f>IFERROR(__xludf.DUMMYFUNCTION("""COMPUTED_VALUE"""),"RUN-ABRM_2022-10-31_RFR-060")</f>
        <v>RUN-ABRM_2022-10-31_RFR-060</v>
      </c>
      <c r="C417" s="8">
        <f>VLOOKUP(B417,'Run Reconcile'!A$2:B3212,2,FALSE)</f>
        <v>44865</v>
      </c>
      <c r="D417" s="12">
        <f>IFERROR(__xludf.DUMMYFUNCTION("""COMPUTED_VALUE"""),44865.0)</f>
        <v>44865</v>
      </c>
      <c r="E417" s="13">
        <f>IFERROR(__xludf.DUMMYFUNCTION("""COMPUTED_VALUE"""),0.31920138888744987)</f>
        <v>0.3192013889</v>
      </c>
      <c r="F417" s="7" t="str">
        <f>IFERROR(__xludf.DUMMYFUNCTION("""COMPUTED_VALUE"""),"Negative")</f>
        <v>Negative</v>
      </c>
      <c r="G417" s="7">
        <f>IFERROR(__xludf.DUMMYFUNCTION("""COMPUTED_VALUE"""),2.0)</f>
        <v>2</v>
      </c>
    </row>
    <row r="418">
      <c r="A418" s="7" t="str">
        <f>IFERROR(__xludf.DUMMYFUNCTION("""COMPUTED_VALUE"""),"AG1223")</f>
        <v>AG1223</v>
      </c>
      <c r="B418" s="7" t="str">
        <f>IFERROR(__xludf.DUMMYFUNCTION("""COMPUTED_VALUE"""),"RUN-ABRM_2022-10-31_RFR-060")</f>
        <v>RUN-ABRM_2022-10-31_RFR-060</v>
      </c>
      <c r="C418" s="8">
        <f>VLOOKUP(B418,'Run Reconcile'!A$2:B3212,2,FALSE)</f>
        <v>44865</v>
      </c>
      <c r="D418" s="12">
        <f>IFERROR(__xludf.DUMMYFUNCTION("""COMPUTED_VALUE"""),44865.0)</f>
        <v>44865</v>
      </c>
      <c r="E418" s="13">
        <f>IFERROR(__xludf.DUMMYFUNCTION("""COMPUTED_VALUE"""),0.3200231481496303)</f>
        <v>0.3200231481</v>
      </c>
      <c r="F418" s="7" t="str">
        <f>IFERROR(__xludf.DUMMYFUNCTION("""COMPUTED_VALUE"""),"Negative")</f>
        <v>Negative</v>
      </c>
      <c r="G418" s="7">
        <f>IFERROR(__xludf.DUMMYFUNCTION("""COMPUTED_VALUE"""),1.0)</f>
        <v>1</v>
      </c>
    </row>
    <row r="419">
      <c r="A419" s="7" t="str">
        <f>IFERROR(__xludf.DUMMYFUNCTION("""COMPUTED_VALUE"""),"AG168")</f>
        <v>AG168</v>
      </c>
      <c r="B419" s="7" t="str">
        <f>IFERROR(__xludf.DUMMYFUNCTION("""COMPUTED_VALUE"""),"RUN-ABRM_2022-10-31_RFR-060")</f>
        <v>RUN-ABRM_2022-10-31_RFR-060</v>
      </c>
      <c r="C419" s="8">
        <f>VLOOKUP(B419,'Run Reconcile'!A$2:B3212,2,FALSE)</f>
        <v>44865</v>
      </c>
      <c r="D419" s="12">
        <f>IFERROR(__xludf.DUMMYFUNCTION("""COMPUTED_VALUE"""),44865.0)</f>
        <v>44865</v>
      </c>
      <c r="E419" s="13">
        <f>IFERROR(__xludf.DUMMYFUNCTION("""COMPUTED_VALUE"""),0.3280439814807323)</f>
        <v>0.3280439815</v>
      </c>
      <c r="F419" s="7" t="str">
        <f>IFERROR(__xludf.DUMMYFUNCTION("""COMPUTED_VALUE"""),"Negative")</f>
        <v>Negative</v>
      </c>
      <c r="G419" s="7">
        <f>IFERROR(__xludf.DUMMYFUNCTION("""COMPUTED_VALUE"""),2.0)</f>
        <v>2</v>
      </c>
    </row>
    <row r="420">
      <c r="A420" s="7" t="str">
        <f>IFERROR(__xludf.DUMMYFUNCTION("""COMPUTED_VALUE"""),"AH372")</f>
        <v>AH372</v>
      </c>
      <c r="B420" s="7" t="str">
        <f>IFERROR(__xludf.DUMMYFUNCTION("""COMPUTED_VALUE"""),"RUN-ABRM_2022-10-31_RFR-060")</f>
        <v>RUN-ABRM_2022-10-31_RFR-060</v>
      </c>
      <c r="C420" s="8">
        <f>VLOOKUP(B420,'Run Reconcile'!A$2:B3212,2,FALSE)</f>
        <v>44865</v>
      </c>
      <c r="D420" s="12">
        <f>IFERROR(__xludf.DUMMYFUNCTION("""COMPUTED_VALUE"""),44865.0)</f>
        <v>44865</v>
      </c>
      <c r="E420" s="13">
        <f>IFERROR(__xludf.DUMMYFUNCTION("""COMPUTED_VALUE"""),0.32913194444336114)</f>
        <v>0.3291319444</v>
      </c>
      <c r="F420" s="7" t="str">
        <f>IFERROR(__xludf.DUMMYFUNCTION("""COMPUTED_VALUE"""),"Negative")</f>
        <v>Negative</v>
      </c>
      <c r="G420" s="7">
        <f>IFERROR(__xludf.DUMMYFUNCTION("""COMPUTED_VALUE"""),3.0)</f>
        <v>3</v>
      </c>
    </row>
    <row r="421">
      <c r="A421" s="7" t="str">
        <f>IFERROR(__xludf.DUMMYFUNCTION("""COMPUTED_VALUE"""),"AH7835")</f>
        <v>AH7835</v>
      </c>
      <c r="B421" s="7" t="str">
        <f>IFERROR(__xludf.DUMMYFUNCTION("""COMPUTED_VALUE"""),"RUN-ABRM_2022-10-31_RFR-060")</f>
        <v>RUN-ABRM_2022-10-31_RFR-060</v>
      </c>
      <c r="C421" s="8">
        <f>VLOOKUP(B421,'Run Reconcile'!A$2:B3212,2,FALSE)</f>
        <v>44865</v>
      </c>
      <c r="D421" s="12">
        <f>IFERROR(__xludf.DUMMYFUNCTION("""COMPUTED_VALUE"""),44865.0)</f>
        <v>44865</v>
      </c>
      <c r="E421" s="13">
        <f>IFERROR(__xludf.DUMMYFUNCTION("""COMPUTED_VALUE"""),0.33378472222102573)</f>
        <v>0.3337847222</v>
      </c>
      <c r="F421" s="7" t="str">
        <f>IFERROR(__xludf.DUMMYFUNCTION("""COMPUTED_VALUE"""),"Negative")</f>
        <v>Negative</v>
      </c>
      <c r="G421" s="7">
        <f>IFERROR(__xludf.DUMMYFUNCTION("""COMPUTED_VALUE"""),3.0)</f>
        <v>3</v>
      </c>
    </row>
    <row r="422">
      <c r="A422" s="7" t="str">
        <f>IFERROR(__xludf.DUMMYFUNCTION("""COMPUTED_VALUE"""),"AG1907")</f>
        <v>AG1907</v>
      </c>
      <c r="B422" s="7" t="str">
        <f>IFERROR(__xludf.DUMMYFUNCTION("""COMPUTED_VALUE"""),"RUN-ABRM_2022-10-31_RFR-060")</f>
        <v>RUN-ABRM_2022-10-31_RFR-060</v>
      </c>
      <c r="C422" s="8">
        <f>VLOOKUP(B422,'Run Reconcile'!A$2:B3212,2,FALSE)</f>
        <v>44865</v>
      </c>
      <c r="D422" s="12">
        <f>IFERROR(__xludf.DUMMYFUNCTION("""COMPUTED_VALUE"""),44865.0)</f>
        <v>44865</v>
      </c>
      <c r="E422" s="13">
        <f>IFERROR(__xludf.DUMMYFUNCTION("""COMPUTED_VALUE"""),0.3370601851856918)</f>
        <v>0.3370601852</v>
      </c>
      <c r="F422" s="7" t="str">
        <f>IFERROR(__xludf.DUMMYFUNCTION("""COMPUTED_VALUE"""),"Negative")</f>
        <v>Negative</v>
      </c>
      <c r="G422" s="7">
        <f>IFERROR(__xludf.DUMMYFUNCTION("""COMPUTED_VALUE"""),2.0)</f>
        <v>2</v>
      </c>
    </row>
    <row r="423">
      <c r="A423" s="7" t="str">
        <f>IFERROR(__xludf.DUMMYFUNCTION("""COMPUTED_VALUE"""),"AK5840")</f>
        <v>AK5840</v>
      </c>
      <c r="B423" s="7" t="str">
        <f>IFERROR(__xludf.DUMMYFUNCTION("""COMPUTED_VALUE"""),"RUN-ABRM_2022-11-01_RFR-061")</f>
        <v>RUN-ABRM_2022-11-01_RFR-061</v>
      </c>
      <c r="C423" s="8">
        <f>VLOOKUP(B423,'Run Reconcile'!A$2:B3212,2,FALSE)</f>
        <v>44866</v>
      </c>
      <c r="D423" s="12">
        <f>IFERROR(__xludf.DUMMYFUNCTION("""COMPUTED_VALUE"""),44866.0)</f>
        <v>44866</v>
      </c>
      <c r="E423" s="13">
        <f>IFERROR(__xludf.DUMMYFUNCTION("""COMPUTED_VALUE"""),0.19206018518525525)</f>
        <v>0.1920601852</v>
      </c>
      <c r="F423" s="7" t="str">
        <f>IFERROR(__xludf.DUMMYFUNCTION("""COMPUTED_VALUE"""),"Negative")</f>
        <v>Negative</v>
      </c>
      <c r="G423" s="7">
        <f>IFERROR(__xludf.DUMMYFUNCTION("""COMPUTED_VALUE"""),1.0)</f>
        <v>1</v>
      </c>
    </row>
    <row r="424">
      <c r="A424" s="7" t="str">
        <f>IFERROR(__xludf.DUMMYFUNCTION("""COMPUTED_VALUE"""),"AJ9834")</f>
        <v>AJ9834</v>
      </c>
      <c r="B424" s="7" t="str">
        <f>IFERROR(__xludf.DUMMYFUNCTION("""COMPUTED_VALUE"""),"RUN-ABRM_2022-11-01_RFR-061")</f>
        <v>RUN-ABRM_2022-11-01_RFR-061</v>
      </c>
      <c r="C424" s="8">
        <f>VLOOKUP(B424,'Run Reconcile'!A$2:B3212,2,FALSE)</f>
        <v>44866</v>
      </c>
      <c r="D424" s="12">
        <f>IFERROR(__xludf.DUMMYFUNCTION("""COMPUTED_VALUE"""),44866.0)</f>
        <v>44866</v>
      </c>
      <c r="E424" s="13">
        <f>IFERROR(__xludf.DUMMYFUNCTION("""COMPUTED_VALUE"""),0.20949074074087548)</f>
        <v>0.2094907407</v>
      </c>
      <c r="F424" s="7" t="str">
        <f>IFERROR(__xludf.DUMMYFUNCTION("""COMPUTED_VALUE"""),"Negative")</f>
        <v>Negative</v>
      </c>
      <c r="G424" s="7">
        <f>IFERROR(__xludf.DUMMYFUNCTION("""COMPUTED_VALUE"""),2.0)</f>
        <v>2</v>
      </c>
    </row>
    <row r="425">
      <c r="A425" s="7" t="str">
        <f>IFERROR(__xludf.DUMMYFUNCTION("""COMPUTED_VALUE"""),"AH8912")</f>
        <v>AH8912</v>
      </c>
      <c r="B425" s="7" t="str">
        <f>IFERROR(__xludf.DUMMYFUNCTION("""COMPUTED_VALUE"""),"RUN-ABRM_2022-11-01_RFR-061")</f>
        <v>RUN-ABRM_2022-11-01_RFR-061</v>
      </c>
      <c r="C425" s="8">
        <f>VLOOKUP(B425,'Run Reconcile'!A$2:B3212,2,FALSE)</f>
        <v>44866</v>
      </c>
      <c r="D425" s="12">
        <f>IFERROR(__xludf.DUMMYFUNCTION("""COMPUTED_VALUE"""),44866.0)</f>
        <v>44866</v>
      </c>
      <c r="E425" s="13">
        <f>IFERROR(__xludf.DUMMYFUNCTION("""COMPUTED_VALUE"""),0.2943750000013097)</f>
        <v>0.294375</v>
      </c>
      <c r="F425" s="7" t="str">
        <f>IFERROR(__xludf.DUMMYFUNCTION("""COMPUTED_VALUE"""),"Negative")</f>
        <v>Negative</v>
      </c>
      <c r="G425" s="7">
        <f>IFERROR(__xludf.DUMMYFUNCTION("""COMPUTED_VALUE"""),1.0)</f>
        <v>1</v>
      </c>
    </row>
    <row r="426">
      <c r="A426" s="7" t="str">
        <f>IFERROR(__xludf.DUMMYFUNCTION("""COMPUTED_VALUE"""),"AH7342")</f>
        <v>AH7342</v>
      </c>
      <c r="B426" s="7" t="str">
        <f>IFERROR(__xludf.DUMMYFUNCTION("""COMPUTED_VALUE"""),"RUN-ABRM_2022-11-01_RFR-061")</f>
        <v>RUN-ABRM_2022-11-01_RFR-061</v>
      </c>
      <c r="C426" s="8">
        <f>VLOOKUP(B426,'Run Reconcile'!A$2:B3212,2,FALSE)</f>
        <v>44866</v>
      </c>
      <c r="D426" s="12">
        <f>IFERROR(__xludf.DUMMYFUNCTION("""COMPUTED_VALUE"""),44866.0)</f>
        <v>44866</v>
      </c>
      <c r="E426" s="13">
        <f>IFERROR(__xludf.DUMMYFUNCTION("""COMPUTED_VALUE"""),0.29707175925796037)</f>
        <v>0.2970717593</v>
      </c>
      <c r="F426" s="7" t="str">
        <f>IFERROR(__xludf.DUMMYFUNCTION("""COMPUTED_VALUE"""),"Negative")</f>
        <v>Negative</v>
      </c>
      <c r="G426" s="7">
        <f>IFERROR(__xludf.DUMMYFUNCTION("""COMPUTED_VALUE"""),3.0)</f>
        <v>3</v>
      </c>
    </row>
    <row r="427">
      <c r="A427" s="7" t="str">
        <f>IFERROR(__xludf.DUMMYFUNCTION("""COMPUTED_VALUE"""),"AH8809")</f>
        <v>AH8809</v>
      </c>
      <c r="B427" s="7" t="str">
        <f>IFERROR(__xludf.DUMMYFUNCTION("""COMPUTED_VALUE"""),"RUN-ABRM_2022-11-01_RFR-061")</f>
        <v>RUN-ABRM_2022-11-01_RFR-061</v>
      </c>
      <c r="C427" s="8">
        <f>VLOOKUP(B427,'Run Reconcile'!A$2:B3212,2,FALSE)</f>
        <v>44866</v>
      </c>
      <c r="D427" s="12">
        <f>IFERROR(__xludf.DUMMYFUNCTION("""COMPUTED_VALUE"""),44866.0)</f>
        <v>44866</v>
      </c>
      <c r="E427" s="13">
        <f>IFERROR(__xludf.DUMMYFUNCTION("""COMPUTED_VALUE"""),0.3059606481474475)</f>
        <v>0.3059606481</v>
      </c>
      <c r="F427" s="7" t="str">
        <f>IFERROR(__xludf.DUMMYFUNCTION("""COMPUTED_VALUE"""),"Negative")</f>
        <v>Negative</v>
      </c>
      <c r="G427" s="7">
        <f>IFERROR(__xludf.DUMMYFUNCTION("""COMPUTED_VALUE"""),3.0)</f>
        <v>3</v>
      </c>
    </row>
    <row r="428">
      <c r="A428" s="7" t="str">
        <f>IFERROR(__xludf.DUMMYFUNCTION("""COMPUTED_VALUE"""),"AH9232")</f>
        <v>AH9232</v>
      </c>
      <c r="B428" s="7" t="str">
        <f>IFERROR(__xludf.DUMMYFUNCTION("""COMPUTED_VALUE"""),"RUN-ABRM_2022-11-01_RFR-061")</f>
        <v>RUN-ABRM_2022-11-01_RFR-061</v>
      </c>
      <c r="C428" s="8">
        <f>VLOOKUP(B428,'Run Reconcile'!A$2:B3212,2,FALSE)</f>
        <v>44866</v>
      </c>
      <c r="D428" s="12">
        <f>IFERROR(__xludf.DUMMYFUNCTION("""COMPUTED_VALUE"""),44866.0)</f>
        <v>44866</v>
      </c>
      <c r="E428" s="13">
        <f>IFERROR(__xludf.DUMMYFUNCTION("""COMPUTED_VALUE"""),0.32915509259328246)</f>
        <v>0.3291550926</v>
      </c>
      <c r="F428" s="7" t="str">
        <f>IFERROR(__xludf.DUMMYFUNCTION("""COMPUTED_VALUE"""),"Negative")</f>
        <v>Negative</v>
      </c>
      <c r="G428" s="7">
        <f>IFERROR(__xludf.DUMMYFUNCTION("""COMPUTED_VALUE"""),2.0)</f>
        <v>2</v>
      </c>
    </row>
    <row r="429">
      <c r="A429" s="7" t="str">
        <f>IFERROR(__xludf.DUMMYFUNCTION("""COMPUTED_VALUE"""),"AH7759")</f>
        <v>AH7759</v>
      </c>
      <c r="B429" s="7" t="str">
        <f>IFERROR(__xludf.DUMMYFUNCTION("""COMPUTED_VALUE"""),"RUN-ABRM_2022-11-01_RFR-061")</f>
        <v>RUN-ABRM_2022-11-01_RFR-061</v>
      </c>
      <c r="C429" s="8">
        <f>VLOOKUP(B429,'Run Reconcile'!A$2:B3212,2,FALSE)</f>
        <v>44866</v>
      </c>
      <c r="D429" s="12">
        <f>IFERROR(__xludf.DUMMYFUNCTION("""COMPUTED_VALUE"""),44866.0)</f>
        <v>44866</v>
      </c>
      <c r="E429" s="13">
        <f>IFERROR(__xludf.DUMMYFUNCTION("""COMPUTED_VALUE"""),0.33493055555663886)</f>
        <v>0.3349305556</v>
      </c>
      <c r="F429" s="7" t="str">
        <f>IFERROR(__xludf.DUMMYFUNCTION("""COMPUTED_VALUE"""),"Negative")</f>
        <v>Negative</v>
      </c>
      <c r="G429" s="7">
        <f>IFERROR(__xludf.DUMMYFUNCTION("""COMPUTED_VALUE"""),3.0)</f>
        <v>3</v>
      </c>
    </row>
    <row r="430">
      <c r="A430" s="7" t="str">
        <f>IFERROR(__xludf.DUMMYFUNCTION("""COMPUTED_VALUE"""),"AG1119")</f>
        <v>AG1119</v>
      </c>
      <c r="B430" s="7" t="str">
        <f>IFERROR(__xludf.DUMMYFUNCTION("""COMPUTED_VALUE"""),"RUN-ABRM_2022-11-02_RFR-062")</f>
        <v>RUN-ABRM_2022-11-02_RFR-062</v>
      </c>
      <c r="C430" s="8">
        <f>VLOOKUP(B430,'Run Reconcile'!A$2:B3212,2,FALSE)</f>
        <v>44867</v>
      </c>
      <c r="D430" s="12">
        <f>IFERROR(__xludf.DUMMYFUNCTION("""COMPUTED_VALUE"""),44867.0)</f>
        <v>44867</v>
      </c>
      <c r="E430" s="13">
        <f>IFERROR(__xludf.DUMMYFUNCTION("""COMPUTED_VALUE"""),0.19652777777810115)</f>
        <v>0.1965277778</v>
      </c>
      <c r="F430" s="7" t="str">
        <f>IFERROR(__xludf.DUMMYFUNCTION("""COMPUTED_VALUE"""),"Negative")</f>
        <v>Negative</v>
      </c>
      <c r="G430" s="7">
        <f>IFERROR(__xludf.DUMMYFUNCTION("""COMPUTED_VALUE"""),2.0)</f>
        <v>2</v>
      </c>
    </row>
    <row r="431">
      <c r="A431" s="7" t="str">
        <f>IFERROR(__xludf.DUMMYFUNCTION("""COMPUTED_VALUE"""),"AH7681")</f>
        <v>AH7681</v>
      </c>
      <c r="B431" s="7" t="str">
        <f>IFERROR(__xludf.DUMMYFUNCTION("""COMPUTED_VALUE"""),"RUN-ABRM_2022-11-02_RFR-062")</f>
        <v>RUN-ABRM_2022-11-02_RFR-062</v>
      </c>
      <c r="C431" s="8">
        <f>VLOOKUP(B431,'Run Reconcile'!A$2:B3212,2,FALSE)</f>
        <v>44867</v>
      </c>
      <c r="D431" s="12">
        <f>IFERROR(__xludf.DUMMYFUNCTION("""COMPUTED_VALUE"""),44867.0)</f>
        <v>44867</v>
      </c>
      <c r="E431" s="13">
        <f>IFERROR(__xludf.DUMMYFUNCTION("""COMPUTED_VALUE"""),0.28976851851984975)</f>
        <v>0.2897685185</v>
      </c>
      <c r="F431" s="7" t="str">
        <f>IFERROR(__xludf.DUMMYFUNCTION("""COMPUTED_VALUE"""),"Negative")</f>
        <v>Negative</v>
      </c>
      <c r="G431" s="7">
        <f>IFERROR(__xludf.DUMMYFUNCTION("""COMPUTED_VALUE"""),3.0)</f>
        <v>3</v>
      </c>
    </row>
    <row r="432">
      <c r="A432" s="7" t="str">
        <f>IFERROR(__xludf.DUMMYFUNCTION("""COMPUTED_VALUE"""),"AG232")</f>
        <v>AG232</v>
      </c>
      <c r="B432" s="7" t="str">
        <f>IFERROR(__xludf.DUMMYFUNCTION("""COMPUTED_VALUE"""),"RUN-ABRM_2022-11-02_RFR-062")</f>
        <v>RUN-ABRM_2022-11-02_RFR-062</v>
      </c>
      <c r="C432" s="8">
        <f>VLOOKUP(B432,'Run Reconcile'!A$2:B3212,2,FALSE)</f>
        <v>44867</v>
      </c>
      <c r="D432" s="12">
        <f>IFERROR(__xludf.DUMMYFUNCTION("""COMPUTED_VALUE"""),44867.0)</f>
        <v>44867</v>
      </c>
      <c r="E432" s="13">
        <f>IFERROR(__xludf.DUMMYFUNCTION("""COMPUTED_VALUE"""),0.30819444444568944)</f>
        <v>0.3081944444</v>
      </c>
      <c r="F432" s="7" t="str">
        <f>IFERROR(__xludf.DUMMYFUNCTION("""COMPUTED_VALUE"""),"Negative")</f>
        <v>Negative</v>
      </c>
      <c r="G432" s="7">
        <f>IFERROR(__xludf.DUMMYFUNCTION("""COMPUTED_VALUE"""),3.0)</f>
        <v>3</v>
      </c>
    </row>
    <row r="433">
      <c r="A433" s="7" t="str">
        <f>IFERROR(__xludf.DUMMYFUNCTION("""COMPUTED_VALUE"""),"AG646")</f>
        <v>AG646</v>
      </c>
      <c r="B433" s="7" t="str">
        <f>IFERROR(__xludf.DUMMYFUNCTION("""COMPUTED_VALUE"""),"RUN-ABRM_2022-11-02_RFR-062")</f>
        <v>RUN-ABRM_2022-11-02_RFR-062</v>
      </c>
      <c r="C433" s="8">
        <f>VLOOKUP(B433,'Run Reconcile'!A$2:B3212,2,FALSE)</f>
        <v>44867</v>
      </c>
      <c r="D433" s="12">
        <f>IFERROR(__xludf.DUMMYFUNCTION("""COMPUTED_VALUE"""),44867.0)</f>
        <v>44867</v>
      </c>
      <c r="E433" s="13">
        <f>IFERROR(__xludf.DUMMYFUNCTION("""COMPUTED_VALUE"""),0.37723379629460396)</f>
        <v>0.3772337963</v>
      </c>
      <c r="F433" s="7" t="str">
        <f>IFERROR(__xludf.DUMMYFUNCTION("""COMPUTED_VALUE"""),"Negative")</f>
        <v>Negative</v>
      </c>
      <c r="G433" s="7">
        <f>IFERROR(__xludf.DUMMYFUNCTION("""COMPUTED_VALUE"""),1.0)</f>
        <v>1</v>
      </c>
    </row>
    <row r="434">
      <c r="A434" s="7" t="str">
        <f>IFERROR(__xludf.DUMMYFUNCTION("""COMPUTED_VALUE"""),"AH8123")</f>
        <v>AH8123</v>
      </c>
      <c r="B434" s="7" t="str">
        <f>IFERROR(__xludf.DUMMYFUNCTION("""COMPUTED_VALUE"""),"RUN-ABRM_2022-11-02_RFR-062")</f>
        <v>RUN-ABRM_2022-11-02_RFR-062</v>
      </c>
      <c r="C434" s="8">
        <f>VLOOKUP(B434,'Run Reconcile'!A$2:B3212,2,FALSE)</f>
        <v>44867</v>
      </c>
      <c r="D434" s="12">
        <f>IFERROR(__xludf.DUMMYFUNCTION("""COMPUTED_VALUE"""),44867.0)</f>
        <v>44867</v>
      </c>
      <c r="E434" s="13">
        <f>IFERROR(__xludf.DUMMYFUNCTION("""COMPUTED_VALUE"""),0.377754629629635)</f>
        <v>0.3777546296</v>
      </c>
      <c r="F434" s="7" t="str">
        <f>IFERROR(__xludf.DUMMYFUNCTION("""COMPUTED_VALUE"""),"Negative")</f>
        <v>Negative</v>
      </c>
      <c r="G434" s="7">
        <f>IFERROR(__xludf.DUMMYFUNCTION("""COMPUTED_VALUE"""),3.0)</f>
        <v>3</v>
      </c>
    </row>
    <row r="435">
      <c r="A435" s="7" t="str">
        <f>IFERROR(__xludf.DUMMYFUNCTION("""COMPUTED_VALUE"""),"AH9431")</f>
        <v>AH9431</v>
      </c>
      <c r="B435" s="7" t="str">
        <f>IFERROR(__xludf.DUMMYFUNCTION("""COMPUTED_VALUE"""),"RUN-ABRM_2022-11-02_RFR-062")</f>
        <v>RUN-ABRM_2022-11-02_RFR-062</v>
      </c>
      <c r="C435" s="8">
        <f>VLOOKUP(B435,'Run Reconcile'!A$2:B3212,2,FALSE)</f>
        <v>44867</v>
      </c>
      <c r="D435" s="12">
        <f>IFERROR(__xludf.DUMMYFUNCTION("""COMPUTED_VALUE"""),44867.0)</f>
        <v>44867</v>
      </c>
      <c r="E435" s="13">
        <f>IFERROR(__xludf.DUMMYFUNCTION("""COMPUTED_VALUE"""),0.37804398148000473)</f>
        <v>0.3780439815</v>
      </c>
      <c r="F435" s="7" t="str">
        <f>IFERROR(__xludf.DUMMYFUNCTION("""COMPUTED_VALUE"""),"Negative")</f>
        <v>Negative</v>
      </c>
      <c r="G435" s="7">
        <f>IFERROR(__xludf.DUMMYFUNCTION("""COMPUTED_VALUE"""),2.0)</f>
        <v>2</v>
      </c>
    </row>
    <row r="436">
      <c r="A436" s="7" t="str">
        <f>IFERROR(__xludf.DUMMYFUNCTION("""COMPUTED_VALUE"""),"AH9700")</f>
        <v>AH9700</v>
      </c>
      <c r="B436" s="7" t="str">
        <f>IFERROR(__xludf.DUMMYFUNCTION("""COMPUTED_VALUE"""),"RUN-ABRM_2022-11-03_RFR-063")</f>
        <v>RUN-ABRM_2022-11-03_RFR-063</v>
      </c>
      <c r="C436" s="8">
        <f>VLOOKUP(B436,'Run Reconcile'!A$2:B3212,2,FALSE)</f>
        <v>44868</v>
      </c>
      <c r="D436" s="12">
        <f>IFERROR(__xludf.DUMMYFUNCTION("""COMPUTED_VALUE"""),44868.0)</f>
        <v>44868</v>
      </c>
      <c r="E436" s="13">
        <f>IFERROR(__xludf.DUMMYFUNCTION("""COMPUTED_VALUE"""),0.23575231481299852)</f>
        <v>0.2357523148</v>
      </c>
      <c r="F436" s="7" t="str">
        <f>IFERROR(__xludf.DUMMYFUNCTION("""COMPUTED_VALUE"""),"Negative")</f>
        <v>Negative</v>
      </c>
      <c r="G436" s="7">
        <f>IFERROR(__xludf.DUMMYFUNCTION("""COMPUTED_VALUE"""),2.0)</f>
        <v>2</v>
      </c>
    </row>
    <row r="437">
      <c r="A437" s="7" t="str">
        <f>IFERROR(__xludf.DUMMYFUNCTION("""COMPUTED_VALUE"""),"AG2183")</f>
        <v>AG2183</v>
      </c>
      <c r="B437" s="7" t="str">
        <f>IFERROR(__xludf.DUMMYFUNCTION("""COMPUTED_VALUE"""),"RUN-ABRM_2022-11-03_RFR-063")</f>
        <v>RUN-ABRM_2022-11-03_RFR-063</v>
      </c>
      <c r="C437" s="8">
        <f>VLOOKUP(B437,'Run Reconcile'!A$2:B3212,2,FALSE)</f>
        <v>44868</v>
      </c>
      <c r="D437" s="12">
        <f>IFERROR(__xludf.DUMMYFUNCTION("""COMPUTED_VALUE"""),44868.0)</f>
        <v>44868</v>
      </c>
      <c r="E437" s="13">
        <f>IFERROR(__xludf.DUMMYFUNCTION("""COMPUTED_VALUE"""),0.3329513888893416)</f>
        <v>0.3329513889</v>
      </c>
      <c r="F437" s="7" t="str">
        <f>IFERROR(__xludf.DUMMYFUNCTION("""COMPUTED_VALUE"""),"Negative")</f>
        <v>Negative</v>
      </c>
      <c r="G437" s="7">
        <f>IFERROR(__xludf.DUMMYFUNCTION("""COMPUTED_VALUE"""),4.0)</f>
        <v>4</v>
      </c>
    </row>
    <row r="438">
      <c r="A438" s="7" t="str">
        <f>IFERROR(__xludf.DUMMYFUNCTION("""COMPUTED_VALUE"""),"AH9233")</f>
        <v>AH9233</v>
      </c>
      <c r="B438" s="7" t="str">
        <f>IFERROR(__xludf.DUMMYFUNCTION("""COMPUTED_VALUE"""),"RUN-ABRM_2022-11-03_RFR-063")</f>
        <v>RUN-ABRM_2022-11-03_RFR-063</v>
      </c>
      <c r="C438" s="8">
        <f>VLOOKUP(B438,'Run Reconcile'!A$2:B3212,2,FALSE)</f>
        <v>44868</v>
      </c>
      <c r="D438" s="12">
        <f>IFERROR(__xludf.DUMMYFUNCTION("""COMPUTED_VALUE"""),44868.0)</f>
        <v>44868</v>
      </c>
      <c r="E438" s="13">
        <f>IFERROR(__xludf.DUMMYFUNCTION("""COMPUTED_VALUE"""),0.3882986111093487)</f>
        <v>0.3882986111</v>
      </c>
      <c r="F438" s="7" t="str">
        <f>IFERROR(__xludf.DUMMYFUNCTION("""COMPUTED_VALUE"""),"Negative")</f>
        <v>Negative</v>
      </c>
      <c r="G438" s="7">
        <f>IFERROR(__xludf.DUMMYFUNCTION("""COMPUTED_VALUE"""),2.0)</f>
        <v>2</v>
      </c>
    </row>
    <row r="439">
      <c r="A439" s="7" t="str">
        <f>IFERROR(__xludf.DUMMYFUNCTION("""COMPUTED_VALUE"""),"AG1765")</f>
        <v>AG1765</v>
      </c>
      <c r="B439" s="7" t="str">
        <f>IFERROR(__xludf.DUMMYFUNCTION("""COMPUTED_VALUE"""),"RUN-ABRM_2022-11-03_RFR-063")</f>
        <v>RUN-ABRM_2022-11-03_RFR-063</v>
      </c>
      <c r="C439" s="8">
        <f>VLOOKUP(B439,'Run Reconcile'!A$2:B3212,2,FALSE)</f>
        <v>44868</v>
      </c>
      <c r="D439" s="12">
        <f>IFERROR(__xludf.DUMMYFUNCTION("""COMPUTED_VALUE"""),44868.0)</f>
        <v>44868</v>
      </c>
      <c r="E439" s="13">
        <f>IFERROR(__xludf.DUMMYFUNCTION("""COMPUTED_VALUE"""),0.3894328703718202)</f>
        <v>0.3894328704</v>
      </c>
      <c r="F439" s="7" t="str">
        <f>IFERROR(__xludf.DUMMYFUNCTION("""COMPUTED_VALUE"""),"Negative")</f>
        <v>Negative</v>
      </c>
      <c r="G439" s="7">
        <f>IFERROR(__xludf.DUMMYFUNCTION("""COMPUTED_VALUE"""),1.0)</f>
        <v>1</v>
      </c>
    </row>
    <row r="440">
      <c r="A440" s="7" t="str">
        <f>IFERROR(__xludf.DUMMYFUNCTION("""COMPUTED_VALUE"""),"AH8258")</f>
        <v>AH8258</v>
      </c>
      <c r="B440" s="7" t="str">
        <f>IFERROR(__xludf.DUMMYFUNCTION("""COMPUTED_VALUE"""),"RUN-ABRM_2022-11-03_RFR-063")</f>
        <v>RUN-ABRM_2022-11-03_RFR-063</v>
      </c>
      <c r="C440" s="8">
        <f>VLOOKUP(B440,'Run Reconcile'!A$2:B3212,2,FALSE)</f>
        <v>44868</v>
      </c>
      <c r="D440" s="12">
        <f>IFERROR(__xludf.DUMMYFUNCTION("""COMPUTED_VALUE"""),44868.0)</f>
        <v>44868</v>
      </c>
      <c r="E440" s="13">
        <f>IFERROR(__xludf.DUMMYFUNCTION("""COMPUTED_VALUE"""),0.38980324074145756)</f>
        <v>0.3898032407</v>
      </c>
      <c r="F440" s="7" t="str">
        <f>IFERROR(__xludf.DUMMYFUNCTION("""COMPUTED_VALUE"""),"Negative")</f>
        <v>Negative</v>
      </c>
      <c r="G440" s="7">
        <f>IFERROR(__xludf.DUMMYFUNCTION("""COMPUTED_VALUE"""),1.0)</f>
        <v>1</v>
      </c>
    </row>
    <row r="441">
      <c r="A441" s="7" t="str">
        <f>IFERROR(__xludf.DUMMYFUNCTION("""COMPUTED_VALUE"""),"AG1350")</f>
        <v>AG1350</v>
      </c>
      <c r="B441" s="7" t="str">
        <f>IFERROR(__xludf.DUMMYFUNCTION("""COMPUTED_VALUE"""),"RUN-ABRM_2022-11-03_RFR-063")</f>
        <v>RUN-ABRM_2022-11-03_RFR-063</v>
      </c>
      <c r="C441" s="8">
        <f>VLOOKUP(B441,'Run Reconcile'!A$2:B3212,2,FALSE)</f>
        <v>44868</v>
      </c>
      <c r="D441" s="12">
        <f>IFERROR(__xludf.DUMMYFUNCTION("""COMPUTED_VALUE"""),44868.0)</f>
        <v>44868</v>
      </c>
      <c r="E441" s="13">
        <f>IFERROR(__xludf.DUMMYFUNCTION("""COMPUTED_VALUE"""),0.39005787036876427)</f>
        <v>0.3900578704</v>
      </c>
      <c r="F441" s="7" t="str">
        <f>IFERROR(__xludf.DUMMYFUNCTION("""COMPUTED_VALUE"""),"Negative")</f>
        <v>Negative</v>
      </c>
      <c r="G441" s="7">
        <f>IFERROR(__xludf.DUMMYFUNCTION("""COMPUTED_VALUE"""),1.0)</f>
        <v>1</v>
      </c>
    </row>
    <row r="442">
      <c r="A442" s="7" t="str">
        <f>IFERROR(__xludf.DUMMYFUNCTION("""COMPUTED_VALUE"""),"AH9847")</f>
        <v>AH9847</v>
      </c>
      <c r="B442" s="7" t="str">
        <f>IFERROR(__xludf.DUMMYFUNCTION("""COMPUTED_VALUE"""),"RUN-ABRM_2022-11-04_RFR-064")</f>
        <v>RUN-ABRM_2022-11-04_RFR-064</v>
      </c>
      <c r="C442" s="8">
        <f>VLOOKUP(B442,'Run Reconcile'!A$2:B3212,2,FALSE)</f>
        <v>44869</v>
      </c>
      <c r="D442" s="12">
        <f>IFERROR(__xludf.DUMMYFUNCTION("""COMPUTED_VALUE"""),44869.0)</f>
        <v>44869</v>
      </c>
      <c r="E442" s="13">
        <f>IFERROR(__xludf.DUMMYFUNCTION("""COMPUTED_VALUE"""),0.22415509259371902)</f>
        <v>0.2241550926</v>
      </c>
      <c r="F442" s="7" t="str">
        <f>IFERROR(__xludf.DUMMYFUNCTION("""COMPUTED_VALUE"""),"Negative")</f>
        <v>Negative</v>
      </c>
      <c r="G442" s="7">
        <f>IFERROR(__xludf.DUMMYFUNCTION("""COMPUTED_VALUE"""),3.0)</f>
        <v>3</v>
      </c>
    </row>
    <row r="443">
      <c r="A443" s="7" t="str">
        <f>IFERROR(__xludf.DUMMYFUNCTION("""COMPUTED_VALUE"""),"AH7938")</f>
        <v>AH7938</v>
      </c>
      <c r="B443" s="7" t="str">
        <f>IFERROR(__xludf.DUMMYFUNCTION("""COMPUTED_VALUE"""),"RUN-ABRM_2022-11-04_RFR-064")</f>
        <v>RUN-ABRM_2022-11-04_RFR-064</v>
      </c>
      <c r="C443" s="8">
        <f>VLOOKUP(B443,'Run Reconcile'!A$2:B3212,2,FALSE)</f>
        <v>44869</v>
      </c>
      <c r="D443" s="12">
        <f>IFERROR(__xludf.DUMMYFUNCTION("""COMPUTED_VALUE"""),44869.0)</f>
        <v>44869</v>
      </c>
      <c r="E443" s="13">
        <f>IFERROR(__xludf.DUMMYFUNCTION("""COMPUTED_VALUE"""),0.24412037037109258)</f>
        <v>0.2441203704</v>
      </c>
      <c r="F443" s="7" t="str">
        <f>IFERROR(__xludf.DUMMYFUNCTION("""COMPUTED_VALUE"""),"Negative")</f>
        <v>Negative</v>
      </c>
      <c r="G443" s="7">
        <f>IFERROR(__xludf.DUMMYFUNCTION("""COMPUTED_VALUE"""),1.0)</f>
        <v>1</v>
      </c>
    </row>
    <row r="444">
      <c r="A444" s="7" t="str">
        <f>IFERROR(__xludf.DUMMYFUNCTION("""COMPUTED_VALUE"""),"AG1987")</f>
        <v>AG1987</v>
      </c>
      <c r="B444" s="7" t="str">
        <f>IFERROR(__xludf.DUMMYFUNCTION("""COMPUTED_VALUE"""),"RUN-ABRM_2022-11-04_RFR-064")</f>
        <v>RUN-ABRM_2022-11-04_RFR-064</v>
      </c>
      <c r="C444" s="8">
        <f>VLOOKUP(B444,'Run Reconcile'!A$2:B3212,2,FALSE)</f>
        <v>44869</v>
      </c>
      <c r="D444" s="12">
        <f>IFERROR(__xludf.DUMMYFUNCTION("""COMPUTED_VALUE"""),44869.0)</f>
        <v>44869</v>
      </c>
      <c r="E444" s="13">
        <f>IFERROR(__xludf.DUMMYFUNCTION("""COMPUTED_VALUE"""),0.2958564814798592)</f>
        <v>0.2958564815</v>
      </c>
      <c r="F444" s="7" t="str">
        <f>IFERROR(__xludf.DUMMYFUNCTION("""COMPUTED_VALUE"""),"Negative")</f>
        <v>Negative</v>
      </c>
      <c r="G444" s="7">
        <f>IFERROR(__xludf.DUMMYFUNCTION("""COMPUTED_VALUE"""),2.0)</f>
        <v>2</v>
      </c>
    </row>
    <row r="445">
      <c r="A445" s="7" t="str">
        <f>IFERROR(__xludf.DUMMYFUNCTION("""COMPUTED_VALUE"""),"AG1108")</f>
        <v>AG1108</v>
      </c>
      <c r="B445" s="7" t="str">
        <f>IFERROR(__xludf.DUMMYFUNCTION("""COMPUTED_VALUE"""),"RUN-ABRM_2022-11-04_RFR-064")</f>
        <v>RUN-ABRM_2022-11-04_RFR-064</v>
      </c>
      <c r="C445" s="8">
        <f>VLOOKUP(B445,'Run Reconcile'!A$2:B3212,2,FALSE)</f>
        <v>44869</v>
      </c>
      <c r="D445" s="12">
        <f>IFERROR(__xludf.DUMMYFUNCTION("""COMPUTED_VALUE"""),44869.0)</f>
        <v>44869</v>
      </c>
      <c r="E445" s="13">
        <f>IFERROR(__xludf.DUMMYFUNCTION("""COMPUTED_VALUE"""),0.29616898148015025)</f>
        <v>0.2961689815</v>
      </c>
      <c r="F445" s="7" t="str">
        <f>IFERROR(__xludf.DUMMYFUNCTION("""COMPUTED_VALUE"""),"Negative")</f>
        <v>Negative</v>
      </c>
      <c r="G445" s="7">
        <f>IFERROR(__xludf.DUMMYFUNCTION("""COMPUTED_VALUE"""),2.0)</f>
        <v>2</v>
      </c>
    </row>
    <row r="446">
      <c r="A446" s="7" t="str">
        <f>IFERROR(__xludf.DUMMYFUNCTION("""COMPUTED_VALUE"""),"AJ8434")</f>
        <v>AJ8434</v>
      </c>
      <c r="B446" s="7" t="str">
        <f>IFERROR(__xludf.DUMMYFUNCTION("""COMPUTED_VALUE"""),"RUN-ABRM_2022-11-04_RFR-064")</f>
        <v>RUN-ABRM_2022-11-04_RFR-064</v>
      </c>
      <c r="C446" s="8">
        <f>VLOOKUP(B446,'Run Reconcile'!A$2:B3212,2,FALSE)</f>
        <v>44869</v>
      </c>
      <c r="D446" s="12">
        <f>IFERROR(__xludf.DUMMYFUNCTION("""COMPUTED_VALUE"""),44869.0)</f>
        <v>44869</v>
      </c>
      <c r="E446" s="13">
        <f>IFERROR(__xludf.DUMMYFUNCTION("""COMPUTED_VALUE"""),0.3013541666659876)</f>
        <v>0.3013541667</v>
      </c>
      <c r="F446" s="7" t="str">
        <f>IFERROR(__xludf.DUMMYFUNCTION("""COMPUTED_VALUE"""),"Negative")</f>
        <v>Negative</v>
      </c>
      <c r="G446" s="7">
        <f>IFERROR(__xludf.DUMMYFUNCTION("""COMPUTED_VALUE"""),4.0)</f>
        <v>4</v>
      </c>
    </row>
    <row r="447">
      <c r="A447" s="7" t="str">
        <f>IFERROR(__xludf.DUMMYFUNCTION("""COMPUTED_VALUE"""),"AH9056")</f>
        <v>AH9056</v>
      </c>
      <c r="B447" s="7" t="str">
        <f>IFERROR(__xludf.DUMMYFUNCTION("""COMPUTED_VALUE"""),"RUN-ABRM_2022-11-04_RFR-064")</f>
        <v>RUN-ABRM_2022-11-04_RFR-064</v>
      </c>
      <c r="C447" s="8">
        <f>VLOOKUP(B447,'Run Reconcile'!A$2:B3212,2,FALSE)</f>
        <v>44869</v>
      </c>
      <c r="D447" s="12">
        <f>IFERROR(__xludf.DUMMYFUNCTION("""COMPUTED_VALUE"""),44869.0)</f>
        <v>44869</v>
      </c>
      <c r="E447" s="13">
        <f>IFERROR(__xludf.DUMMYFUNCTION("""COMPUTED_VALUE"""),0.3534259259249666)</f>
        <v>0.3534259259</v>
      </c>
      <c r="F447" s="7" t="str">
        <f>IFERROR(__xludf.DUMMYFUNCTION("""COMPUTED_VALUE"""),"Negative")</f>
        <v>Negative</v>
      </c>
      <c r="G447" s="7">
        <f>IFERROR(__xludf.DUMMYFUNCTION("""COMPUTED_VALUE"""),1.0)</f>
        <v>1</v>
      </c>
    </row>
    <row r="448">
      <c r="A448" s="7" t="str">
        <f>IFERROR(__xludf.DUMMYFUNCTION("""COMPUTED_VALUE"""),"AG1025")</f>
        <v>AG1025</v>
      </c>
      <c r="B448" s="7" t="str">
        <f>IFERROR(__xludf.DUMMYFUNCTION("""COMPUTED_VALUE"""),"RUN-ABRM_2022-11-07_RFR-066")</f>
        <v>RUN-ABRM_2022-11-07_RFR-066</v>
      </c>
      <c r="C448" s="8">
        <f>VLOOKUP(B448,'Run Reconcile'!A$2:B3212,2,FALSE)</f>
        <v>44872</v>
      </c>
      <c r="D448" s="12">
        <f>IFERROR(__xludf.DUMMYFUNCTION("""COMPUTED_VALUE"""),44872.0)</f>
        <v>44872</v>
      </c>
      <c r="E448" s="13">
        <f>IFERROR(__xludf.DUMMYFUNCTION("""COMPUTED_VALUE"""),0.2169328703712381)</f>
        <v>0.2169328704</v>
      </c>
      <c r="F448" s="7" t="str">
        <f>IFERROR(__xludf.DUMMYFUNCTION("""COMPUTED_VALUE"""),"Negative")</f>
        <v>Negative</v>
      </c>
      <c r="G448" s="7">
        <f>IFERROR(__xludf.DUMMYFUNCTION("""COMPUTED_VALUE"""),1.0)</f>
        <v>1</v>
      </c>
    </row>
    <row r="449">
      <c r="A449" s="7" t="str">
        <f>IFERROR(__xludf.DUMMYFUNCTION("""COMPUTED_VALUE"""),"AJ9719")</f>
        <v>AJ9719</v>
      </c>
      <c r="B449" s="7" t="str">
        <f>IFERROR(__xludf.DUMMYFUNCTION("""COMPUTED_VALUE"""),"RUN-ABRM_2022-11-07_RFR-066")</f>
        <v>RUN-ABRM_2022-11-07_RFR-066</v>
      </c>
      <c r="C449" s="8">
        <f>VLOOKUP(B449,'Run Reconcile'!A$2:B3212,2,FALSE)</f>
        <v>44872</v>
      </c>
      <c r="D449" s="12">
        <f>IFERROR(__xludf.DUMMYFUNCTION("""COMPUTED_VALUE"""),44872.0)</f>
        <v>44872</v>
      </c>
      <c r="E449" s="13">
        <f>IFERROR(__xludf.DUMMYFUNCTION("""COMPUTED_VALUE"""),0.23297453703708015)</f>
        <v>0.232974537</v>
      </c>
      <c r="F449" s="7" t="str">
        <f>IFERROR(__xludf.DUMMYFUNCTION("""COMPUTED_VALUE"""),"Negative")</f>
        <v>Negative</v>
      </c>
      <c r="G449" s="7">
        <f>IFERROR(__xludf.DUMMYFUNCTION("""COMPUTED_VALUE"""),3.0)</f>
        <v>3</v>
      </c>
    </row>
    <row r="450">
      <c r="A450" s="7" t="str">
        <f>IFERROR(__xludf.DUMMYFUNCTION("""COMPUTED_VALUE"""),"AH8167")</f>
        <v>AH8167</v>
      </c>
      <c r="B450" s="7" t="str">
        <f>IFERROR(__xludf.DUMMYFUNCTION("""COMPUTED_VALUE"""),"RUN-ABRM_2022-11-07_RFR-066")</f>
        <v>RUN-ABRM_2022-11-07_RFR-066</v>
      </c>
      <c r="C450" s="8">
        <f>VLOOKUP(B450,'Run Reconcile'!A$2:B3212,2,FALSE)</f>
        <v>44872</v>
      </c>
      <c r="D450" s="12">
        <f>IFERROR(__xludf.DUMMYFUNCTION("""COMPUTED_VALUE"""),44872.0)</f>
        <v>44872</v>
      </c>
      <c r="E450" s="13">
        <f>IFERROR(__xludf.DUMMYFUNCTION("""COMPUTED_VALUE"""),0.2706365740741603)</f>
        <v>0.2706365741</v>
      </c>
      <c r="F450" s="7" t="str">
        <f>IFERROR(__xludf.DUMMYFUNCTION("""COMPUTED_VALUE"""),"Negative")</f>
        <v>Negative</v>
      </c>
      <c r="G450" s="7">
        <f>IFERROR(__xludf.DUMMYFUNCTION("""COMPUTED_VALUE"""),2.0)</f>
        <v>2</v>
      </c>
    </row>
    <row r="451">
      <c r="A451" s="7" t="str">
        <f>IFERROR(__xludf.DUMMYFUNCTION("""COMPUTED_VALUE"""),"AJ9707")</f>
        <v>AJ9707</v>
      </c>
      <c r="B451" s="7" t="str">
        <f>IFERROR(__xludf.DUMMYFUNCTION("""COMPUTED_VALUE"""),"RUN-ABRM_2022-11-07_RFR-066")</f>
        <v>RUN-ABRM_2022-11-07_RFR-066</v>
      </c>
      <c r="C451" s="8">
        <f>VLOOKUP(B451,'Run Reconcile'!A$2:B3212,2,FALSE)</f>
        <v>44872</v>
      </c>
      <c r="D451" s="12">
        <f>IFERROR(__xludf.DUMMYFUNCTION("""COMPUTED_VALUE"""),44872.0)</f>
        <v>44872</v>
      </c>
      <c r="E451" s="13">
        <f>IFERROR(__xludf.DUMMYFUNCTION("""COMPUTED_VALUE"""),0.28859953703795327)</f>
        <v>0.288599537</v>
      </c>
      <c r="F451" s="7" t="str">
        <f>IFERROR(__xludf.DUMMYFUNCTION("""COMPUTED_VALUE"""),"Negative")</f>
        <v>Negative</v>
      </c>
      <c r="G451" s="7">
        <f>IFERROR(__xludf.DUMMYFUNCTION("""COMPUTED_VALUE"""),3.0)</f>
        <v>3</v>
      </c>
    </row>
    <row r="452">
      <c r="A452" s="7" t="str">
        <f>IFERROR(__xludf.DUMMYFUNCTION("""COMPUTED_VALUE"""),"AG44")</f>
        <v>AG44</v>
      </c>
      <c r="B452" s="7" t="str">
        <f>IFERROR(__xludf.DUMMYFUNCTION("""COMPUTED_VALUE"""),"RUN-ABRM_2022-11-07_RFR-066")</f>
        <v>RUN-ABRM_2022-11-07_RFR-066</v>
      </c>
      <c r="C452" s="8">
        <f>VLOOKUP(B452,'Run Reconcile'!A$2:B3212,2,FALSE)</f>
        <v>44872</v>
      </c>
      <c r="D452" s="12">
        <f>IFERROR(__xludf.DUMMYFUNCTION("""COMPUTED_VALUE"""),44872.0)</f>
        <v>44872</v>
      </c>
      <c r="E452" s="13">
        <f>IFERROR(__xludf.DUMMYFUNCTION("""COMPUTED_VALUE"""),0.2925115740727051)</f>
        <v>0.2925115741</v>
      </c>
      <c r="F452" s="7" t="str">
        <f>IFERROR(__xludf.DUMMYFUNCTION("""COMPUTED_VALUE"""),"Negative")</f>
        <v>Negative</v>
      </c>
      <c r="G452" s="7">
        <f>IFERROR(__xludf.DUMMYFUNCTION("""COMPUTED_VALUE"""),3.0)</f>
        <v>3</v>
      </c>
    </row>
    <row r="453">
      <c r="A453" s="7" t="str">
        <f>IFERROR(__xludf.DUMMYFUNCTION("""COMPUTED_VALUE"""),"AH8077")</f>
        <v>AH8077</v>
      </c>
      <c r="B453" s="7" t="str">
        <f>IFERROR(__xludf.DUMMYFUNCTION("""COMPUTED_VALUE"""),"RUN-ABRM_2022-11-07_RFR-066")</f>
        <v>RUN-ABRM_2022-11-07_RFR-066</v>
      </c>
      <c r="C453" s="8">
        <f>VLOOKUP(B453,'Run Reconcile'!A$2:B3212,2,FALSE)</f>
        <v>44872</v>
      </c>
      <c r="D453" s="12">
        <f>IFERROR(__xludf.DUMMYFUNCTION("""COMPUTED_VALUE"""),44872.0)</f>
        <v>44872</v>
      </c>
      <c r="E453" s="13">
        <f>IFERROR(__xludf.DUMMYFUNCTION("""COMPUTED_VALUE"""),0.2975578703699284)</f>
        <v>0.2975578704</v>
      </c>
      <c r="F453" s="7" t="str">
        <f>IFERROR(__xludf.DUMMYFUNCTION("""COMPUTED_VALUE"""),"Negative")</f>
        <v>Negative</v>
      </c>
      <c r="G453" s="7">
        <f>IFERROR(__xludf.DUMMYFUNCTION("""COMPUTED_VALUE"""),2.0)</f>
        <v>2</v>
      </c>
    </row>
    <row r="454">
      <c r="A454" s="7" t="str">
        <f>IFERROR(__xludf.DUMMYFUNCTION("""COMPUTED_VALUE"""),"AG1512")</f>
        <v>AG1512</v>
      </c>
      <c r="B454" s="7" t="str">
        <f>IFERROR(__xludf.DUMMYFUNCTION("""COMPUTED_VALUE"""),"RUN-ABRM_2022-11-07_RFR-066")</f>
        <v>RUN-ABRM_2022-11-07_RFR-066</v>
      </c>
      <c r="C454" s="8">
        <f>VLOOKUP(B454,'Run Reconcile'!A$2:B3212,2,FALSE)</f>
        <v>44872</v>
      </c>
      <c r="D454" s="12">
        <f>IFERROR(__xludf.DUMMYFUNCTION("""COMPUTED_VALUE"""),44872.0)</f>
        <v>44872</v>
      </c>
      <c r="E454" s="13">
        <f>IFERROR(__xludf.DUMMYFUNCTION("""COMPUTED_VALUE"""),0.3150347222217533)</f>
        <v>0.3150347222</v>
      </c>
      <c r="F454" s="7" t="str">
        <f>IFERROR(__xludf.DUMMYFUNCTION("""COMPUTED_VALUE"""),"Negative")</f>
        <v>Negative</v>
      </c>
      <c r="G454" s="7">
        <f>IFERROR(__xludf.DUMMYFUNCTION("""COMPUTED_VALUE"""),3.0)</f>
        <v>3</v>
      </c>
    </row>
    <row r="455">
      <c r="A455" s="7" t="str">
        <f>IFERROR(__xludf.DUMMYFUNCTION("""COMPUTED_VALUE"""),"AH8153")</f>
        <v>AH8153</v>
      </c>
      <c r="B455" s="7" t="str">
        <f>IFERROR(__xludf.DUMMYFUNCTION("""COMPUTED_VALUE"""),"RUN-ABRM_2022-11-07_RFR-066")</f>
        <v>RUN-ABRM_2022-11-07_RFR-066</v>
      </c>
      <c r="C455" s="8">
        <f>VLOOKUP(B455,'Run Reconcile'!A$2:B3212,2,FALSE)</f>
        <v>44872</v>
      </c>
      <c r="D455" s="12">
        <f>IFERROR(__xludf.DUMMYFUNCTION("""COMPUTED_VALUE"""),44872.0)</f>
        <v>44872</v>
      </c>
      <c r="E455" s="13">
        <f>IFERROR(__xludf.DUMMYFUNCTION("""COMPUTED_VALUE"""),0.325682870370656)</f>
        <v>0.3256828704</v>
      </c>
      <c r="F455" s="7" t="str">
        <f>IFERROR(__xludf.DUMMYFUNCTION("""COMPUTED_VALUE"""),"Negative")</f>
        <v>Negative</v>
      </c>
      <c r="G455" s="7">
        <f>IFERROR(__xludf.DUMMYFUNCTION("""COMPUTED_VALUE"""),2.0)</f>
        <v>2</v>
      </c>
    </row>
    <row r="456">
      <c r="A456" s="7" t="str">
        <f>IFERROR(__xludf.DUMMYFUNCTION("""COMPUTED_VALUE"""),"AJ8563")</f>
        <v>AJ8563</v>
      </c>
      <c r="B456" s="7" t="str">
        <f>IFERROR(__xludf.DUMMYFUNCTION("""COMPUTED_VALUE"""),"RUN-ABRM_2022-11-07_RFR-066")</f>
        <v>RUN-ABRM_2022-11-07_RFR-066</v>
      </c>
      <c r="C456" s="8">
        <f>VLOOKUP(B456,'Run Reconcile'!A$2:B3212,2,FALSE)</f>
        <v>44872</v>
      </c>
      <c r="D456" s="12">
        <f>IFERROR(__xludf.DUMMYFUNCTION("""COMPUTED_VALUE"""),44872.0)</f>
        <v>44872</v>
      </c>
      <c r="E456" s="13">
        <f>IFERROR(__xludf.DUMMYFUNCTION("""COMPUTED_VALUE"""),0.3274305555569299)</f>
        <v>0.3274305556</v>
      </c>
      <c r="F456" s="7" t="str">
        <f>IFERROR(__xludf.DUMMYFUNCTION("""COMPUTED_VALUE"""),"Negative")</f>
        <v>Negative</v>
      </c>
      <c r="G456" s="7">
        <f>IFERROR(__xludf.DUMMYFUNCTION("""COMPUTED_VALUE"""),1.0)</f>
        <v>1</v>
      </c>
    </row>
    <row r="457">
      <c r="A457" s="7" t="str">
        <f>IFERROR(__xludf.DUMMYFUNCTION("""COMPUTED_VALUE"""),"AG1644")</f>
        <v>AG1644</v>
      </c>
      <c r="B457" s="7" t="str">
        <f>IFERROR(__xludf.DUMMYFUNCTION("""COMPUTED_VALUE"""),"RUN-ABRM_2022-11-08_RFR-068")</f>
        <v>RUN-ABRM_2022-11-08_RFR-068</v>
      </c>
      <c r="C457" s="8">
        <f>VLOOKUP(B457,'Run Reconcile'!A$2:B3212,2,FALSE)</f>
        <v>44873</v>
      </c>
      <c r="D457" s="12">
        <f>IFERROR(__xludf.DUMMYFUNCTION("""COMPUTED_VALUE"""),44873.0)</f>
        <v>44873</v>
      </c>
      <c r="E457" s="13">
        <f>IFERROR(__xludf.DUMMYFUNCTION("""COMPUTED_VALUE"""),0.2073726851849642)</f>
        <v>0.2073726852</v>
      </c>
      <c r="F457" s="7" t="str">
        <f>IFERROR(__xludf.DUMMYFUNCTION("""COMPUTED_VALUE"""),"Negative")</f>
        <v>Negative</v>
      </c>
      <c r="G457" s="7">
        <f>IFERROR(__xludf.DUMMYFUNCTION("""COMPUTED_VALUE"""),1.0)</f>
        <v>1</v>
      </c>
    </row>
    <row r="458">
      <c r="A458" s="7" t="str">
        <f>IFERROR(__xludf.DUMMYFUNCTION("""COMPUTED_VALUE"""),"AG656")</f>
        <v>AG656</v>
      </c>
      <c r="B458" s="7" t="str">
        <f>IFERROR(__xludf.DUMMYFUNCTION("""COMPUTED_VALUE"""),"RUN-ABRM_2022-11-08_RFR-068")</f>
        <v>RUN-ABRM_2022-11-08_RFR-068</v>
      </c>
      <c r="C458" s="8">
        <f>VLOOKUP(B458,'Run Reconcile'!A$2:B3212,2,FALSE)</f>
        <v>44873</v>
      </c>
      <c r="D458" s="12">
        <f>IFERROR(__xludf.DUMMYFUNCTION("""COMPUTED_VALUE"""),44873.0)</f>
        <v>44873</v>
      </c>
      <c r="E458" s="13">
        <f>IFERROR(__xludf.DUMMYFUNCTION("""COMPUTED_VALUE"""),0.2831134259249666)</f>
        <v>0.2831134259</v>
      </c>
      <c r="F458" s="7" t="str">
        <f>IFERROR(__xludf.DUMMYFUNCTION("""COMPUTED_VALUE"""),"Negative")</f>
        <v>Negative</v>
      </c>
      <c r="G458" s="7">
        <f>IFERROR(__xludf.DUMMYFUNCTION("""COMPUTED_VALUE"""),3.0)</f>
        <v>3</v>
      </c>
    </row>
    <row r="459">
      <c r="A459" s="7" t="str">
        <f>IFERROR(__xludf.DUMMYFUNCTION("""COMPUTED_VALUE"""),"AG2935")</f>
        <v>AG2935</v>
      </c>
      <c r="B459" s="7" t="str">
        <f>IFERROR(__xludf.DUMMYFUNCTION("""COMPUTED_VALUE"""),"RUN-ABRM_2022-11-08_RFR-068")</f>
        <v>RUN-ABRM_2022-11-08_RFR-068</v>
      </c>
      <c r="C459" s="8">
        <f>VLOOKUP(B459,'Run Reconcile'!A$2:B3212,2,FALSE)</f>
        <v>44873</v>
      </c>
      <c r="D459" s="12">
        <f>IFERROR(__xludf.DUMMYFUNCTION("""COMPUTED_VALUE"""),44873.0)</f>
        <v>44873</v>
      </c>
      <c r="E459" s="13">
        <f>IFERROR(__xludf.DUMMYFUNCTION("""COMPUTED_VALUE"""),0.30201388888963265)</f>
        <v>0.3020138889</v>
      </c>
      <c r="F459" s="7" t="str">
        <f>IFERROR(__xludf.DUMMYFUNCTION("""COMPUTED_VALUE"""),"Negative")</f>
        <v>Negative</v>
      </c>
      <c r="G459" s="7">
        <f>IFERROR(__xludf.DUMMYFUNCTION("""COMPUTED_VALUE"""),3.0)</f>
        <v>3</v>
      </c>
    </row>
    <row r="460">
      <c r="A460" s="7" t="str">
        <f>IFERROR(__xludf.DUMMYFUNCTION("""COMPUTED_VALUE"""),"AG1832")</f>
        <v>AG1832</v>
      </c>
      <c r="B460" s="7" t="str">
        <f>IFERROR(__xludf.DUMMYFUNCTION("""COMPUTED_VALUE"""),"RUN-ABRM_2022-11-08_RFR-068")</f>
        <v>RUN-ABRM_2022-11-08_RFR-068</v>
      </c>
      <c r="C460" s="8">
        <f>VLOOKUP(B460,'Run Reconcile'!A$2:B3212,2,FALSE)</f>
        <v>44873</v>
      </c>
      <c r="D460" s="12">
        <f>IFERROR(__xludf.DUMMYFUNCTION("""COMPUTED_VALUE"""),44873.0)</f>
        <v>44873</v>
      </c>
      <c r="E460" s="13">
        <f>IFERROR(__xludf.DUMMYFUNCTION("""COMPUTED_VALUE"""),0.3113078703718202)</f>
        <v>0.3113078704</v>
      </c>
      <c r="F460" s="7" t="str">
        <f>IFERROR(__xludf.DUMMYFUNCTION("""COMPUTED_VALUE"""),"Negative")</f>
        <v>Negative</v>
      </c>
      <c r="G460" s="7">
        <f>IFERROR(__xludf.DUMMYFUNCTION("""COMPUTED_VALUE"""),2.0)</f>
        <v>2</v>
      </c>
    </row>
    <row r="461">
      <c r="A461" s="7" t="str">
        <f>IFERROR(__xludf.DUMMYFUNCTION("""COMPUTED_VALUE"""),"AH8925")</f>
        <v>AH8925</v>
      </c>
      <c r="B461" s="7" t="str">
        <f>IFERROR(__xludf.DUMMYFUNCTION("""COMPUTED_VALUE"""),"RUN-ABRM_2022-11-08_RFR-068")</f>
        <v>RUN-ABRM_2022-11-08_RFR-068</v>
      </c>
      <c r="C461" s="8">
        <f>VLOOKUP(B461,'Run Reconcile'!A$2:B3212,2,FALSE)</f>
        <v>44873</v>
      </c>
      <c r="D461" s="12">
        <f>IFERROR(__xludf.DUMMYFUNCTION("""COMPUTED_VALUE"""),44873.0)</f>
        <v>44873</v>
      </c>
      <c r="E461" s="13">
        <f>IFERROR(__xludf.DUMMYFUNCTION("""COMPUTED_VALUE"""),0.3119560185186856)</f>
        <v>0.3119560185</v>
      </c>
      <c r="F461" s="7" t="str">
        <f>IFERROR(__xludf.DUMMYFUNCTION("""COMPUTED_VALUE"""),"Negative")</f>
        <v>Negative</v>
      </c>
      <c r="G461" s="7">
        <f>IFERROR(__xludf.DUMMYFUNCTION("""COMPUTED_VALUE"""),2.0)</f>
        <v>2</v>
      </c>
    </row>
    <row r="462">
      <c r="A462" s="7" t="str">
        <f>IFERROR(__xludf.DUMMYFUNCTION("""COMPUTED_VALUE"""),"AK8018")</f>
        <v>AK8018</v>
      </c>
      <c r="B462" s="7" t="str">
        <f>IFERROR(__xludf.DUMMYFUNCTION("""COMPUTED_VALUE"""),"RUN-ABRM_2022-11-08_RFR-068")</f>
        <v>RUN-ABRM_2022-11-08_RFR-068</v>
      </c>
      <c r="C462" s="8">
        <f>VLOOKUP(B462,'Run Reconcile'!A$2:B3212,2,FALSE)</f>
        <v>44873</v>
      </c>
      <c r="D462" s="12">
        <f>IFERROR(__xludf.DUMMYFUNCTION("""COMPUTED_VALUE"""),44873.0)</f>
        <v>44873</v>
      </c>
      <c r="E462" s="13">
        <f>IFERROR(__xludf.DUMMYFUNCTION("""COMPUTED_VALUE"""),0.32548611111269565)</f>
        <v>0.3254861111</v>
      </c>
      <c r="F462" s="7" t="str">
        <f>IFERROR(__xludf.DUMMYFUNCTION("""COMPUTED_VALUE"""),"Negative")</f>
        <v>Negative</v>
      </c>
      <c r="G462" s="7">
        <f>IFERROR(__xludf.DUMMYFUNCTION("""COMPUTED_VALUE"""),2.0)</f>
        <v>2</v>
      </c>
    </row>
    <row r="463">
      <c r="A463" s="7" t="str">
        <f>IFERROR(__xludf.DUMMYFUNCTION("""COMPUTED_VALUE"""),"AH7562")</f>
        <v>AH7562</v>
      </c>
      <c r="B463" s="7" t="str">
        <f>IFERROR(__xludf.DUMMYFUNCTION("""COMPUTED_VALUE"""),"RUN-ABRM_2022-11-08_RFR-068")</f>
        <v>RUN-ABRM_2022-11-08_RFR-068</v>
      </c>
      <c r="C463" s="8">
        <f>VLOOKUP(B463,'Run Reconcile'!A$2:B3212,2,FALSE)</f>
        <v>44873</v>
      </c>
      <c r="D463" s="12">
        <f>IFERROR(__xludf.DUMMYFUNCTION("""COMPUTED_VALUE"""),44873.0)</f>
        <v>44873</v>
      </c>
      <c r="E463" s="13">
        <f>IFERROR(__xludf.DUMMYFUNCTION("""COMPUTED_VALUE"""),0.33000000000174623)</f>
        <v>0.33</v>
      </c>
      <c r="F463" s="7" t="str">
        <f>IFERROR(__xludf.DUMMYFUNCTION("""COMPUTED_VALUE"""),"Negative")</f>
        <v>Negative</v>
      </c>
      <c r="G463" s="7">
        <f>IFERROR(__xludf.DUMMYFUNCTION("""COMPUTED_VALUE"""),4.0)</f>
        <v>4</v>
      </c>
    </row>
    <row r="464">
      <c r="A464" s="7" t="str">
        <f>IFERROR(__xludf.DUMMYFUNCTION("""COMPUTED_VALUE"""),"AG1161")</f>
        <v>AG1161</v>
      </c>
      <c r="B464" s="7" t="str">
        <f>IFERROR(__xludf.DUMMYFUNCTION("""COMPUTED_VALUE"""),"RUN-ABRM_2022-11-08_RFR-068")</f>
        <v>RUN-ABRM_2022-11-08_RFR-068</v>
      </c>
      <c r="C464" s="8">
        <f>VLOOKUP(B464,'Run Reconcile'!A$2:B3212,2,FALSE)</f>
        <v>44873</v>
      </c>
      <c r="D464" s="12">
        <f>IFERROR(__xludf.DUMMYFUNCTION("""COMPUTED_VALUE"""),44873.0)</f>
        <v>44873</v>
      </c>
      <c r="E464" s="13">
        <f>IFERROR(__xludf.DUMMYFUNCTION("""COMPUTED_VALUE"""),0.36539351851752144)</f>
        <v>0.3653935185</v>
      </c>
      <c r="F464" s="7" t="str">
        <f>IFERROR(__xludf.DUMMYFUNCTION("""COMPUTED_VALUE"""),"Negative")</f>
        <v>Negative</v>
      </c>
      <c r="G464" s="7">
        <f>IFERROR(__xludf.DUMMYFUNCTION("""COMPUTED_VALUE"""),2.0)</f>
        <v>2</v>
      </c>
    </row>
    <row r="465">
      <c r="A465" s="7" t="str">
        <f>IFERROR(__xludf.DUMMYFUNCTION("""COMPUTED_VALUE"""),"AH8079")</f>
        <v>AH8079</v>
      </c>
      <c r="B465" s="7" t="str">
        <f>IFERROR(__xludf.DUMMYFUNCTION("""COMPUTED_VALUE"""),"RUN-ABRM_2022-11-08_RFR-068")</f>
        <v>RUN-ABRM_2022-11-08_RFR-068</v>
      </c>
      <c r="C465" s="8">
        <f>VLOOKUP(B465,'Run Reconcile'!A$2:B3212,2,FALSE)</f>
        <v>44873</v>
      </c>
      <c r="D465" s="12">
        <f>IFERROR(__xludf.DUMMYFUNCTION("""COMPUTED_VALUE"""),44873.0)</f>
        <v>44873</v>
      </c>
      <c r="E465" s="13">
        <f>IFERROR(__xludf.DUMMYFUNCTION("""COMPUTED_VALUE"""),0.36568287037152913)</f>
        <v>0.3656828704</v>
      </c>
      <c r="F465" s="7" t="str">
        <f>IFERROR(__xludf.DUMMYFUNCTION("""COMPUTED_VALUE"""),"Negative")</f>
        <v>Negative</v>
      </c>
      <c r="G465" s="7">
        <f>IFERROR(__xludf.DUMMYFUNCTION("""COMPUTED_VALUE"""),1.0)</f>
        <v>1</v>
      </c>
    </row>
    <row r="466">
      <c r="A466" s="7" t="str">
        <f>IFERROR(__xludf.DUMMYFUNCTION("""COMPUTED_VALUE"""),"AH7352")</f>
        <v>AH7352</v>
      </c>
      <c r="B466" s="7" t="str">
        <f>IFERROR(__xludf.DUMMYFUNCTION("""COMPUTED_VALUE"""),"RUN-ABRM_2022-11-08_RFR-068")</f>
        <v>RUN-ABRM_2022-11-08_RFR-068</v>
      </c>
      <c r="C466" s="8">
        <f>VLOOKUP(B466,'Run Reconcile'!A$2:B3212,2,FALSE)</f>
        <v>44873</v>
      </c>
      <c r="D466" s="12">
        <f>IFERROR(__xludf.DUMMYFUNCTION("""COMPUTED_VALUE"""),44873.0)</f>
        <v>44873</v>
      </c>
      <c r="E466" s="13">
        <f>IFERROR(__xludf.DUMMYFUNCTION("""COMPUTED_VALUE"""),0.36593749999883585)</f>
        <v>0.3659375</v>
      </c>
      <c r="F466" s="7" t="str">
        <f>IFERROR(__xludf.DUMMYFUNCTION("""COMPUTED_VALUE"""),"Negative")</f>
        <v>Negative</v>
      </c>
      <c r="G466" s="7">
        <f>IFERROR(__xludf.DUMMYFUNCTION("""COMPUTED_VALUE"""),3.0)</f>
        <v>3</v>
      </c>
    </row>
    <row r="467">
      <c r="A467" s="7" t="str">
        <f>IFERROR(__xludf.DUMMYFUNCTION("""COMPUTED_VALUE"""),"AJ8824")</f>
        <v>AJ8824</v>
      </c>
      <c r="B467" s="7" t="str">
        <f>IFERROR(__xludf.DUMMYFUNCTION("""COMPUTED_VALUE"""),"RUN-ABRM_2022-11-09_RFR-069")</f>
        <v>RUN-ABRM_2022-11-09_RFR-069</v>
      </c>
      <c r="C467" s="8">
        <f>VLOOKUP(B467,'Run Reconcile'!A$2:B3212,2,FALSE)</f>
        <v>44874</v>
      </c>
      <c r="D467" s="12">
        <f>IFERROR(__xludf.DUMMYFUNCTION("""COMPUTED_VALUE"""),44874.0)</f>
        <v>44874</v>
      </c>
      <c r="E467" s="13">
        <f>IFERROR(__xludf.DUMMYFUNCTION("""COMPUTED_VALUE"""),0.22261574074218515)</f>
        <v>0.2226157407</v>
      </c>
      <c r="F467" s="7" t="str">
        <f>IFERROR(__xludf.DUMMYFUNCTION("""COMPUTED_VALUE"""),"Negative")</f>
        <v>Negative</v>
      </c>
      <c r="G467" s="7">
        <f>IFERROR(__xludf.DUMMYFUNCTION("""COMPUTED_VALUE"""),1.0)</f>
        <v>1</v>
      </c>
    </row>
    <row r="468">
      <c r="A468" s="7" t="str">
        <f>IFERROR(__xludf.DUMMYFUNCTION("""COMPUTED_VALUE"""),"AH7840")</f>
        <v>AH7840</v>
      </c>
      <c r="B468" s="7" t="str">
        <f>IFERROR(__xludf.DUMMYFUNCTION("""COMPUTED_VALUE"""),"RUN-ABRM_2022-11-09_RFR-069")</f>
        <v>RUN-ABRM_2022-11-09_RFR-069</v>
      </c>
      <c r="C468" s="8">
        <f>VLOOKUP(B468,'Run Reconcile'!A$2:B3212,2,FALSE)</f>
        <v>44874</v>
      </c>
      <c r="D468" s="12">
        <f>IFERROR(__xludf.DUMMYFUNCTION("""COMPUTED_VALUE"""),44874.0)</f>
        <v>44874</v>
      </c>
      <c r="E468" s="13">
        <f>IFERROR(__xludf.DUMMYFUNCTION("""COMPUTED_VALUE"""),0.25024305555416504)</f>
        <v>0.2502430556</v>
      </c>
      <c r="F468" s="7" t="str">
        <f>IFERROR(__xludf.DUMMYFUNCTION("""COMPUTED_VALUE"""),"Negative")</f>
        <v>Negative</v>
      </c>
      <c r="G468" s="7">
        <f>IFERROR(__xludf.DUMMYFUNCTION("""COMPUTED_VALUE"""),2.0)</f>
        <v>2</v>
      </c>
    </row>
    <row r="469">
      <c r="A469" s="7" t="str">
        <f>IFERROR(__xludf.DUMMYFUNCTION("""COMPUTED_VALUE"""),"AK7398")</f>
        <v>AK7398</v>
      </c>
      <c r="B469" s="7" t="str">
        <f>IFERROR(__xludf.DUMMYFUNCTION("""COMPUTED_VALUE"""),"RUN-ABRM_2022-11-09_RFR-069")</f>
        <v>RUN-ABRM_2022-11-09_RFR-069</v>
      </c>
      <c r="C469" s="8">
        <f>VLOOKUP(B469,'Run Reconcile'!A$2:B3212,2,FALSE)</f>
        <v>44874</v>
      </c>
      <c r="D469" s="12">
        <f>IFERROR(__xludf.DUMMYFUNCTION("""COMPUTED_VALUE"""),44874.0)</f>
        <v>44874</v>
      </c>
      <c r="E469" s="13">
        <f>IFERROR(__xludf.DUMMYFUNCTION("""COMPUTED_VALUE"""),0.268032407406281)</f>
        <v>0.2680324074</v>
      </c>
      <c r="F469" s="7" t="str">
        <f>IFERROR(__xludf.DUMMYFUNCTION("""COMPUTED_VALUE"""),"Negative")</f>
        <v>Negative</v>
      </c>
      <c r="G469" s="7">
        <f>IFERROR(__xludf.DUMMYFUNCTION("""COMPUTED_VALUE"""),2.0)</f>
        <v>2</v>
      </c>
    </row>
    <row r="470">
      <c r="A470" s="7" t="str">
        <f>IFERROR(__xludf.DUMMYFUNCTION("""COMPUTED_VALUE"""),"AG165")</f>
        <v>AG165</v>
      </c>
      <c r="B470" s="7" t="str">
        <f>IFERROR(__xludf.DUMMYFUNCTION("""COMPUTED_VALUE"""),"RUN-ABRM_2022-11-09_RFR-069")</f>
        <v>RUN-ABRM_2022-11-09_RFR-069</v>
      </c>
      <c r="C470" s="8">
        <f>VLOOKUP(B470,'Run Reconcile'!A$2:B3212,2,FALSE)</f>
        <v>44874</v>
      </c>
      <c r="D470" s="12">
        <f>IFERROR(__xludf.DUMMYFUNCTION("""COMPUTED_VALUE"""),44874.0)</f>
        <v>44874</v>
      </c>
      <c r="E470" s="13">
        <f>IFERROR(__xludf.DUMMYFUNCTION("""COMPUTED_VALUE"""),0.2725694444452529)</f>
        <v>0.2725694444</v>
      </c>
      <c r="F470" s="7" t="str">
        <f>IFERROR(__xludf.DUMMYFUNCTION("""COMPUTED_VALUE"""),"Negative")</f>
        <v>Negative</v>
      </c>
      <c r="G470" s="7">
        <f>IFERROR(__xludf.DUMMYFUNCTION("""COMPUTED_VALUE"""),3.0)</f>
        <v>3</v>
      </c>
    </row>
    <row r="471">
      <c r="A471" s="7" t="str">
        <f>IFERROR(__xludf.DUMMYFUNCTION("""COMPUTED_VALUE"""),"AG1945")</f>
        <v>AG1945</v>
      </c>
      <c r="B471" s="7" t="str">
        <f>IFERROR(__xludf.DUMMYFUNCTION("""COMPUTED_VALUE"""),"RUN-ABRM_2022-11-09_RFR-069")</f>
        <v>RUN-ABRM_2022-11-09_RFR-069</v>
      </c>
      <c r="C471" s="8">
        <f>VLOOKUP(B471,'Run Reconcile'!A$2:B3212,2,FALSE)</f>
        <v>44874</v>
      </c>
      <c r="D471" s="12">
        <f>IFERROR(__xludf.DUMMYFUNCTION("""COMPUTED_VALUE"""),44874.0)</f>
        <v>44874</v>
      </c>
      <c r="E471" s="13">
        <f>IFERROR(__xludf.DUMMYFUNCTION("""COMPUTED_VALUE"""),0.2938194444432156)</f>
        <v>0.2938194444</v>
      </c>
      <c r="F471" s="7" t="str">
        <f>IFERROR(__xludf.DUMMYFUNCTION("""COMPUTED_VALUE"""),"Negative")</f>
        <v>Negative</v>
      </c>
      <c r="G471" s="7">
        <f>IFERROR(__xludf.DUMMYFUNCTION("""COMPUTED_VALUE"""),3.0)</f>
        <v>3</v>
      </c>
    </row>
    <row r="472">
      <c r="A472" s="7" t="str">
        <f>IFERROR(__xludf.DUMMYFUNCTION("""COMPUTED_VALUE"""),"AG1860")</f>
        <v>AG1860</v>
      </c>
      <c r="B472" s="7" t="str">
        <f>IFERROR(__xludf.DUMMYFUNCTION("""COMPUTED_VALUE"""),"RUN-ABRM_2022-11-09_RFR-069")</f>
        <v>RUN-ABRM_2022-11-09_RFR-069</v>
      </c>
      <c r="C472" s="8">
        <f>VLOOKUP(B472,'Run Reconcile'!A$2:B3212,2,FALSE)</f>
        <v>44874</v>
      </c>
      <c r="D472" s="12">
        <f>IFERROR(__xludf.DUMMYFUNCTION("""COMPUTED_VALUE"""),44874.0)</f>
        <v>44874</v>
      </c>
      <c r="E472" s="13">
        <f>IFERROR(__xludf.DUMMYFUNCTION("""COMPUTED_VALUE"""),0.3138425925935735)</f>
        <v>0.3138425926</v>
      </c>
      <c r="F472" s="7" t="str">
        <f>IFERROR(__xludf.DUMMYFUNCTION("""COMPUTED_VALUE"""),"Negative")</f>
        <v>Negative</v>
      </c>
      <c r="G472" s="7">
        <f>IFERROR(__xludf.DUMMYFUNCTION("""COMPUTED_VALUE"""),2.0)</f>
        <v>2</v>
      </c>
    </row>
    <row r="473">
      <c r="A473" s="7" t="str">
        <f>IFERROR(__xludf.DUMMYFUNCTION("""COMPUTED_VALUE"""),"AG412")</f>
        <v>AG412</v>
      </c>
      <c r="B473" s="7" t="str">
        <f>IFERROR(__xludf.DUMMYFUNCTION("""COMPUTED_VALUE"""),"RUN-ABRM_2022-11-09_RFR-069")</f>
        <v>RUN-ABRM_2022-11-09_RFR-069</v>
      </c>
      <c r="C473" s="8">
        <f>VLOOKUP(B473,'Run Reconcile'!A$2:B3212,2,FALSE)</f>
        <v>44874</v>
      </c>
      <c r="D473" s="12">
        <f>IFERROR(__xludf.DUMMYFUNCTION("""COMPUTED_VALUE"""),44874.0)</f>
        <v>44874</v>
      </c>
      <c r="E473" s="13">
        <f>IFERROR(__xludf.DUMMYFUNCTION("""COMPUTED_VALUE"""),0.32650462962919846)</f>
        <v>0.3265046296</v>
      </c>
      <c r="F473" s="7" t="str">
        <f>IFERROR(__xludf.DUMMYFUNCTION("""COMPUTED_VALUE"""),"Negative")</f>
        <v>Negative</v>
      </c>
      <c r="G473" s="7">
        <f>IFERROR(__xludf.DUMMYFUNCTION("""COMPUTED_VALUE"""),1.0)</f>
        <v>1</v>
      </c>
    </row>
    <row r="474">
      <c r="A474" s="7" t="str">
        <f>IFERROR(__xludf.DUMMYFUNCTION("""COMPUTED_VALUE"""),"AG1865")</f>
        <v>AG1865</v>
      </c>
      <c r="B474" s="7" t="str">
        <f>IFERROR(__xludf.DUMMYFUNCTION("""COMPUTED_VALUE"""),"RUN-ABRM_2022-11-09_RFR-069")</f>
        <v>RUN-ABRM_2022-11-09_RFR-069</v>
      </c>
      <c r="C474" s="8">
        <f>VLOOKUP(B474,'Run Reconcile'!A$2:B3212,2,FALSE)</f>
        <v>44874</v>
      </c>
      <c r="D474" s="12">
        <f>IFERROR(__xludf.DUMMYFUNCTION("""COMPUTED_VALUE"""),44874.0)</f>
        <v>44874</v>
      </c>
      <c r="E474" s="13">
        <f>IFERROR(__xludf.DUMMYFUNCTION("""COMPUTED_VALUE"""),0.33199074074218515)</f>
        <v>0.3319907407</v>
      </c>
      <c r="F474" s="7" t="str">
        <f>IFERROR(__xludf.DUMMYFUNCTION("""COMPUTED_VALUE"""),"Negative")</f>
        <v>Negative</v>
      </c>
      <c r="G474" s="7">
        <f>IFERROR(__xludf.DUMMYFUNCTION("""COMPUTED_VALUE"""),2.0)</f>
        <v>2</v>
      </c>
    </row>
    <row r="475">
      <c r="A475" s="7" t="str">
        <f>IFERROR(__xludf.DUMMYFUNCTION("""COMPUTED_VALUE"""),"AG707")</f>
        <v>AG707</v>
      </c>
      <c r="B475" s="7" t="str">
        <f>IFERROR(__xludf.DUMMYFUNCTION("""COMPUTED_VALUE"""),"RUN-ABRM_2022-11-10_RFR-072")</f>
        <v>RUN-ABRM_2022-11-10_RFR-072</v>
      </c>
      <c r="C475" s="8">
        <f>VLOOKUP(B475,'Run Reconcile'!A$2:B3212,2,FALSE)</f>
        <v>44875</v>
      </c>
      <c r="D475" s="12">
        <f>IFERROR(__xludf.DUMMYFUNCTION("""COMPUTED_VALUE"""),44875.0)</f>
        <v>44875</v>
      </c>
      <c r="E475" s="13">
        <f>IFERROR(__xludf.DUMMYFUNCTION("""COMPUTED_VALUE"""),0.17912037036876427)</f>
        <v>0.1791203704</v>
      </c>
      <c r="F475" s="7" t="str">
        <f>IFERROR(__xludf.DUMMYFUNCTION("""COMPUTED_VALUE"""),"Negative")</f>
        <v>Negative</v>
      </c>
      <c r="G475" s="7">
        <f>IFERROR(__xludf.DUMMYFUNCTION("""COMPUTED_VALUE"""),3.0)</f>
        <v>3</v>
      </c>
    </row>
    <row r="476">
      <c r="A476" s="7" t="str">
        <f>IFERROR(__xludf.DUMMYFUNCTION("""COMPUTED_VALUE"""),"AH166")</f>
        <v>AH166</v>
      </c>
      <c r="B476" s="7" t="str">
        <f>IFERROR(__xludf.DUMMYFUNCTION("""COMPUTED_VALUE"""),"RUN-ABRM_2022-11-10_RFR-072")</f>
        <v>RUN-ABRM_2022-11-10_RFR-072</v>
      </c>
      <c r="C476" s="8">
        <f>VLOOKUP(B476,'Run Reconcile'!A$2:B3212,2,FALSE)</f>
        <v>44875</v>
      </c>
      <c r="D476" s="12">
        <f>IFERROR(__xludf.DUMMYFUNCTION("""COMPUTED_VALUE"""),44875.0)</f>
        <v>44875</v>
      </c>
      <c r="E476" s="13">
        <f>IFERROR(__xludf.DUMMYFUNCTION("""COMPUTED_VALUE"""),0.20834490740890033)</f>
        <v>0.2083449074</v>
      </c>
      <c r="F476" s="7" t="str">
        <f>IFERROR(__xludf.DUMMYFUNCTION("""COMPUTED_VALUE"""),"Negative")</f>
        <v>Negative</v>
      </c>
      <c r="G476" s="7">
        <f>IFERROR(__xludf.DUMMYFUNCTION("""COMPUTED_VALUE"""),3.0)</f>
        <v>3</v>
      </c>
    </row>
    <row r="477">
      <c r="A477" s="7" t="str">
        <f>IFERROR(__xludf.DUMMYFUNCTION("""COMPUTED_VALUE"""),"AH8360")</f>
        <v>AH8360</v>
      </c>
      <c r="B477" s="7" t="str">
        <f>IFERROR(__xludf.DUMMYFUNCTION("""COMPUTED_VALUE"""),"RUN-ABRM_2022-11-10_RFR-072")</f>
        <v>RUN-ABRM_2022-11-10_RFR-072</v>
      </c>
      <c r="C477" s="8">
        <f>VLOOKUP(B477,'Run Reconcile'!A$2:B3212,2,FALSE)</f>
        <v>44875</v>
      </c>
      <c r="D477" s="12">
        <f>IFERROR(__xludf.DUMMYFUNCTION("""COMPUTED_VALUE"""),44875.0)</f>
        <v>44875</v>
      </c>
      <c r="E477" s="13">
        <f>IFERROR(__xludf.DUMMYFUNCTION("""COMPUTED_VALUE"""),0.268101851852407)</f>
        <v>0.2681018519</v>
      </c>
      <c r="F477" s="7" t="str">
        <f>IFERROR(__xludf.DUMMYFUNCTION("""COMPUTED_VALUE"""),"Negative")</f>
        <v>Negative</v>
      </c>
      <c r="G477" s="7">
        <f>IFERROR(__xludf.DUMMYFUNCTION("""COMPUTED_VALUE"""),3.0)</f>
        <v>3</v>
      </c>
    </row>
    <row r="478">
      <c r="A478" s="7" t="str">
        <f>IFERROR(__xludf.DUMMYFUNCTION("""COMPUTED_VALUE"""),"AJ7999")</f>
        <v>AJ7999</v>
      </c>
      <c r="B478" s="7" t="str">
        <f>IFERROR(__xludf.DUMMYFUNCTION("""COMPUTED_VALUE"""),"RUN-ABRM_2022-11-10_RFR-072")</f>
        <v>RUN-ABRM_2022-11-10_RFR-072</v>
      </c>
      <c r="C478" s="8">
        <f>VLOOKUP(B478,'Run Reconcile'!A$2:B3212,2,FALSE)</f>
        <v>44875</v>
      </c>
      <c r="D478" s="12">
        <f>IFERROR(__xludf.DUMMYFUNCTION("""COMPUTED_VALUE"""),44875.0)</f>
        <v>44875</v>
      </c>
      <c r="E478" s="13">
        <f>IFERROR(__xludf.DUMMYFUNCTION("""COMPUTED_VALUE"""),0.2824768518512428)</f>
        <v>0.2824768519</v>
      </c>
      <c r="F478" s="7" t="str">
        <f>IFERROR(__xludf.DUMMYFUNCTION("""COMPUTED_VALUE"""),"Negative")</f>
        <v>Negative</v>
      </c>
      <c r="G478" s="7">
        <f>IFERROR(__xludf.DUMMYFUNCTION("""COMPUTED_VALUE"""),3.0)</f>
        <v>3</v>
      </c>
    </row>
    <row r="479">
      <c r="A479" s="7" t="str">
        <f>IFERROR(__xludf.DUMMYFUNCTION("""COMPUTED_VALUE"""),"AG708")</f>
        <v>AG708</v>
      </c>
      <c r="B479" s="7" t="str">
        <f>IFERROR(__xludf.DUMMYFUNCTION("""COMPUTED_VALUE"""),"RUN-ABRM_2022-11-10_RFR-072")</f>
        <v>RUN-ABRM_2022-11-10_RFR-072</v>
      </c>
      <c r="C479" s="8">
        <f>VLOOKUP(B479,'Run Reconcile'!A$2:B3212,2,FALSE)</f>
        <v>44875</v>
      </c>
      <c r="D479" s="12">
        <f>IFERROR(__xludf.DUMMYFUNCTION("""COMPUTED_VALUE"""),44875.0)</f>
        <v>44875</v>
      </c>
      <c r="E479" s="13">
        <f>IFERROR(__xludf.DUMMYFUNCTION("""COMPUTED_VALUE"""),0.32081018518510973)</f>
        <v>0.3208101852</v>
      </c>
      <c r="F479" s="7" t="str">
        <f>IFERROR(__xludf.DUMMYFUNCTION("""COMPUTED_VALUE"""),"Negative")</f>
        <v>Negative</v>
      </c>
      <c r="G479" s="7">
        <f>IFERROR(__xludf.DUMMYFUNCTION("""COMPUTED_VALUE"""),1.0)</f>
        <v>1</v>
      </c>
    </row>
    <row r="480">
      <c r="A480" s="7" t="str">
        <f>IFERROR(__xludf.DUMMYFUNCTION("""COMPUTED_VALUE"""),"AG607")</f>
        <v>AG607</v>
      </c>
      <c r="B480" s="7" t="str">
        <f>IFERROR(__xludf.DUMMYFUNCTION("""COMPUTED_VALUE"""),"RUN-ABRM_2022-11-10_RFR-072")</f>
        <v>RUN-ABRM_2022-11-10_RFR-072</v>
      </c>
      <c r="C480" s="8">
        <f>VLOOKUP(B480,'Run Reconcile'!A$2:B3212,2,FALSE)</f>
        <v>44875</v>
      </c>
      <c r="D480" s="12">
        <f>IFERROR(__xludf.DUMMYFUNCTION("""COMPUTED_VALUE"""),44875.0)</f>
        <v>44875</v>
      </c>
      <c r="E480" s="13">
        <f>IFERROR(__xludf.DUMMYFUNCTION("""COMPUTED_VALUE"""),0.42341435185153387)</f>
        <v>0.4234143519</v>
      </c>
      <c r="F480" s="7" t="str">
        <f>IFERROR(__xludf.DUMMYFUNCTION("""COMPUTED_VALUE"""),"Negative")</f>
        <v>Negative</v>
      </c>
      <c r="G480" s="7">
        <f>IFERROR(__xludf.DUMMYFUNCTION("""COMPUTED_VALUE"""),1.0)</f>
        <v>1</v>
      </c>
    </row>
    <row r="481">
      <c r="A481" s="7" t="str">
        <f>IFERROR(__xludf.DUMMYFUNCTION("""COMPUTED_VALUE"""),"AH8591")</f>
        <v>AH8591</v>
      </c>
      <c r="B481" s="7" t="str">
        <f>IFERROR(__xludf.DUMMYFUNCTION("""COMPUTED_VALUE"""),"RUN-ABRM_2022-11-10_RFR-072")</f>
        <v>RUN-ABRM_2022-11-10_RFR-072</v>
      </c>
      <c r="C481" s="8">
        <f>VLOOKUP(B481,'Run Reconcile'!A$2:B3212,2,FALSE)</f>
        <v>44875</v>
      </c>
      <c r="D481" s="12">
        <f>IFERROR(__xludf.DUMMYFUNCTION("""COMPUTED_VALUE"""),44875.0)</f>
        <v>44875</v>
      </c>
      <c r="E481" s="13">
        <f>IFERROR(__xludf.DUMMYFUNCTION("""COMPUTED_VALUE"""),0.42381944444423425)</f>
        <v>0.4238194444</v>
      </c>
      <c r="F481" s="7" t="str">
        <f>IFERROR(__xludf.DUMMYFUNCTION("""COMPUTED_VALUE"""),"Negative")</f>
        <v>Negative</v>
      </c>
      <c r="G481" s="7">
        <f>IFERROR(__xludf.DUMMYFUNCTION("""COMPUTED_VALUE"""),2.0)</f>
        <v>2</v>
      </c>
    </row>
    <row r="482">
      <c r="A482" s="7" t="str">
        <f>IFERROR(__xludf.DUMMYFUNCTION("""COMPUTED_VALUE"""),"AH8605")</f>
        <v>AH8605</v>
      </c>
      <c r="B482" s="7" t="str">
        <f>IFERROR(__xludf.DUMMYFUNCTION("""COMPUTED_VALUE"""),"RUN-ABRM_2022-11-10_RFR-072")</f>
        <v>RUN-ABRM_2022-11-10_RFR-072</v>
      </c>
      <c r="C482" s="8">
        <f>VLOOKUP(B482,'Run Reconcile'!A$2:B3212,2,FALSE)</f>
        <v>44875</v>
      </c>
      <c r="D482" s="12">
        <f>IFERROR(__xludf.DUMMYFUNCTION("""COMPUTED_VALUE"""),44875.0)</f>
        <v>44875</v>
      </c>
      <c r="E482" s="13">
        <f>IFERROR(__xludf.DUMMYFUNCTION("""COMPUTED_VALUE"""),0.4241666666675883)</f>
        <v>0.4241666667</v>
      </c>
      <c r="F482" s="7" t="str">
        <f>IFERROR(__xludf.DUMMYFUNCTION("""COMPUTED_VALUE"""),"Negative")</f>
        <v>Negative</v>
      </c>
      <c r="G482" s="7">
        <f>IFERROR(__xludf.DUMMYFUNCTION("""COMPUTED_VALUE"""),2.0)</f>
        <v>2</v>
      </c>
    </row>
    <row r="483">
      <c r="A483" s="7" t="str">
        <f>IFERROR(__xludf.DUMMYFUNCTION("""COMPUTED_VALUE"""),"AK5458")</f>
        <v>AK5458</v>
      </c>
      <c r="B483" s="7" t="str">
        <f>IFERROR(__xludf.DUMMYFUNCTION("""COMPUTED_VALUE"""),"RUN-ABRM_2022-11-10_RFR-072")</f>
        <v>RUN-ABRM_2022-11-10_RFR-072</v>
      </c>
      <c r="C483" s="8">
        <f>VLOOKUP(B483,'Run Reconcile'!A$2:B3212,2,FALSE)</f>
        <v>44875</v>
      </c>
      <c r="D483" s="12">
        <f>IFERROR(__xludf.DUMMYFUNCTION("""COMPUTED_VALUE"""),44875.0)</f>
        <v>44875</v>
      </c>
      <c r="E483" s="13">
        <f>IFERROR(__xludf.DUMMYFUNCTION("""COMPUTED_VALUE"""),0.4246759259258397)</f>
        <v>0.4246759259</v>
      </c>
      <c r="F483" s="7" t="str">
        <f>IFERROR(__xludf.DUMMYFUNCTION("""COMPUTED_VALUE"""),"Negative")</f>
        <v>Negative</v>
      </c>
      <c r="G483" s="7">
        <f>IFERROR(__xludf.DUMMYFUNCTION("""COMPUTED_VALUE"""),1.0)</f>
        <v>1</v>
      </c>
    </row>
    <row r="484">
      <c r="A484" s="7" t="str">
        <f>IFERROR(__xludf.DUMMYFUNCTION("""COMPUTED_VALUE"""),"AG1948")</f>
        <v>AG1948</v>
      </c>
      <c r="B484" s="7" t="str">
        <f>IFERROR(__xludf.DUMMYFUNCTION("""COMPUTED_VALUE"""),"RUN-ABRM_2022-11-11_RFR-073")</f>
        <v>RUN-ABRM_2022-11-11_RFR-073</v>
      </c>
      <c r="C484" s="8">
        <f>VLOOKUP(B484,'Run Reconcile'!A$2:B3212,2,FALSE)</f>
        <v>44876</v>
      </c>
      <c r="D484" s="12">
        <f>IFERROR(__xludf.DUMMYFUNCTION("""COMPUTED_VALUE"""),44876.0)</f>
        <v>44876</v>
      </c>
      <c r="E484" s="13">
        <f>IFERROR(__xludf.DUMMYFUNCTION("""COMPUTED_VALUE"""),0.2778009259272949)</f>
        <v>0.2778009259</v>
      </c>
      <c r="F484" s="7" t="str">
        <f>IFERROR(__xludf.DUMMYFUNCTION("""COMPUTED_VALUE"""),"Negative")</f>
        <v>Negative</v>
      </c>
      <c r="G484" s="7">
        <f>IFERROR(__xludf.DUMMYFUNCTION("""COMPUTED_VALUE"""),3.0)</f>
        <v>3</v>
      </c>
    </row>
    <row r="485">
      <c r="A485" s="7" t="str">
        <f>IFERROR(__xludf.DUMMYFUNCTION("""COMPUTED_VALUE"""),"AH8586")</f>
        <v>AH8586</v>
      </c>
      <c r="B485" s="7" t="str">
        <f>IFERROR(__xludf.DUMMYFUNCTION("""COMPUTED_VALUE"""),"RUN-ABRM_2022-11-11_RFR-073")</f>
        <v>RUN-ABRM_2022-11-11_RFR-073</v>
      </c>
      <c r="C485" s="8">
        <f>VLOOKUP(B485,'Run Reconcile'!A$2:B3212,2,FALSE)</f>
        <v>44876</v>
      </c>
      <c r="D485" s="12">
        <f>IFERROR(__xludf.DUMMYFUNCTION("""COMPUTED_VALUE"""),44876.0)</f>
        <v>44876</v>
      </c>
      <c r="E485" s="13">
        <f>IFERROR(__xludf.DUMMYFUNCTION("""COMPUTED_VALUE"""),0.29202546296437504)</f>
        <v>0.292025463</v>
      </c>
      <c r="F485" s="7" t="str">
        <f>IFERROR(__xludf.DUMMYFUNCTION("""COMPUTED_VALUE"""),"Negative")</f>
        <v>Negative</v>
      </c>
      <c r="G485" s="7">
        <f>IFERROR(__xludf.DUMMYFUNCTION("""COMPUTED_VALUE"""),2.0)</f>
        <v>2</v>
      </c>
    </row>
    <row r="486">
      <c r="A486" s="7" t="str">
        <f>IFERROR(__xludf.DUMMYFUNCTION("""COMPUTED_VALUE"""),"AG2121")</f>
        <v>AG2121</v>
      </c>
      <c r="B486" s="7" t="str">
        <f>IFERROR(__xludf.DUMMYFUNCTION("""COMPUTED_VALUE"""),"RUN-ABRM_2022-11-11_RFR-073")</f>
        <v>RUN-ABRM_2022-11-11_RFR-073</v>
      </c>
      <c r="C486" s="8">
        <f>VLOOKUP(B486,'Run Reconcile'!A$2:B3212,2,FALSE)</f>
        <v>44876</v>
      </c>
      <c r="D486" s="12">
        <f>IFERROR(__xludf.DUMMYFUNCTION("""COMPUTED_VALUE"""),44876.0)</f>
        <v>44876</v>
      </c>
      <c r="E486" s="13">
        <f>IFERROR(__xludf.DUMMYFUNCTION("""COMPUTED_VALUE"""),0.3066203703710926)</f>
        <v>0.3066203704</v>
      </c>
      <c r="F486" s="7" t="str">
        <f>IFERROR(__xludf.DUMMYFUNCTION("""COMPUTED_VALUE"""),"Negative")</f>
        <v>Negative</v>
      </c>
      <c r="G486" s="7">
        <f>IFERROR(__xludf.DUMMYFUNCTION("""COMPUTED_VALUE"""),2.0)</f>
        <v>2</v>
      </c>
    </row>
    <row r="487">
      <c r="A487" s="7" t="str">
        <f>IFERROR(__xludf.DUMMYFUNCTION("""COMPUTED_VALUE"""),"AG1943")</f>
        <v>AG1943</v>
      </c>
      <c r="B487" s="7" t="str">
        <f>IFERROR(__xludf.DUMMYFUNCTION("""COMPUTED_VALUE"""),"RUN-ABRM_2022-11-11_RFR-073")</f>
        <v>RUN-ABRM_2022-11-11_RFR-073</v>
      </c>
      <c r="C487" s="8">
        <f>VLOOKUP(B487,'Run Reconcile'!A$2:B3212,2,FALSE)</f>
        <v>44876</v>
      </c>
      <c r="D487" s="12">
        <f>IFERROR(__xludf.DUMMYFUNCTION("""COMPUTED_VALUE"""),44876.0)</f>
        <v>44876</v>
      </c>
      <c r="E487" s="13">
        <f>IFERROR(__xludf.DUMMYFUNCTION("""COMPUTED_VALUE"""),0.3069328703713836)</f>
        <v>0.3069328704</v>
      </c>
      <c r="F487" s="7" t="str">
        <f>IFERROR(__xludf.DUMMYFUNCTION("""COMPUTED_VALUE"""),"Negative")</f>
        <v>Negative</v>
      </c>
      <c r="G487" s="7">
        <f>IFERROR(__xludf.DUMMYFUNCTION("""COMPUTED_VALUE"""),2.0)</f>
        <v>2</v>
      </c>
    </row>
    <row r="488">
      <c r="A488" s="7" t="str">
        <f>IFERROR(__xludf.DUMMYFUNCTION("""COMPUTED_VALUE"""),"AG1781")</f>
        <v>AG1781</v>
      </c>
      <c r="B488" s="7" t="str">
        <f>IFERROR(__xludf.DUMMYFUNCTION("""COMPUTED_VALUE"""),"RUN-ABRM_2022-11-11_RFR-073")</f>
        <v>RUN-ABRM_2022-11-11_RFR-073</v>
      </c>
      <c r="C488" s="8">
        <f>VLOOKUP(B488,'Run Reconcile'!A$2:B3212,2,FALSE)</f>
        <v>44876</v>
      </c>
      <c r="D488" s="12">
        <f>IFERROR(__xludf.DUMMYFUNCTION("""COMPUTED_VALUE"""),44876.0)</f>
        <v>44876</v>
      </c>
      <c r="E488" s="13">
        <f>IFERROR(__xludf.DUMMYFUNCTION("""COMPUTED_VALUE"""),0.32501157407386927)</f>
        <v>0.3250115741</v>
      </c>
      <c r="F488" s="7" t="str">
        <f>IFERROR(__xludf.DUMMYFUNCTION("""COMPUTED_VALUE"""),"Negative")</f>
        <v>Negative</v>
      </c>
      <c r="G488" s="7">
        <f>IFERROR(__xludf.DUMMYFUNCTION("""COMPUTED_VALUE"""),3.0)</f>
        <v>3</v>
      </c>
    </row>
    <row r="489">
      <c r="A489" s="7" t="str">
        <f>IFERROR(__xludf.DUMMYFUNCTION("""COMPUTED_VALUE"""),"AG391")</f>
        <v>AG391</v>
      </c>
      <c r="B489" s="7" t="str">
        <f>IFERROR(__xludf.DUMMYFUNCTION("""COMPUTED_VALUE"""),"RUN-ABRM_2022-11-14_RFR-075")</f>
        <v>RUN-ABRM_2022-11-14_RFR-075</v>
      </c>
      <c r="C489" s="8">
        <f>VLOOKUP(B489,'Run Reconcile'!A$2:B3212,2,FALSE)</f>
        <v>44879</v>
      </c>
      <c r="D489" s="12">
        <f>IFERROR(__xludf.DUMMYFUNCTION("""COMPUTED_VALUE"""),44879.0)</f>
        <v>44879</v>
      </c>
      <c r="E489" s="13">
        <f>IFERROR(__xludf.DUMMYFUNCTION("""COMPUTED_VALUE"""),0.2180208333338669)</f>
        <v>0.2180208333</v>
      </c>
      <c r="F489" s="7" t="str">
        <f>IFERROR(__xludf.DUMMYFUNCTION("""COMPUTED_VALUE"""),"Negative")</f>
        <v>Negative</v>
      </c>
      <c r="G489" s="7">
        <f>IFERROR(__xludf.DUMMYFUNCTION("""COMPUTED_VALUE"""),1.0)</f>
        <v>1</v>
      </c>
    </row>
    <row r="490">
      <c r="A490" s="7" t="str">
        <f>IFERROR(__xludf.DUMMYFUNCTION("""COMPUTED_VALUE"""),"AH6734")</f>
        <v>AH6734</v>
      </c>
      <c r="B490" s="7" t="str">
        <f>IFERROR(__xludf.DUMMYFUNCTION("""COMPUTED_VALUE"""),"RUN-ABRM_2022-11-14_RFR-075")</f>
        <v>RUN-ABRM_2022-11-14_RFR-075</v>
      </c>
      <c r="C490" s="8">
        <f>VLOOKUP(B490,'Run Reconcile'!A$2:B3212,2,FALSE)</f>
        <v>44879</v>
      </c>
      <c r="D490" s="12">
        <f>IFERROR(__xludf.DUMMYFUNCTION("""COMPUTED_VALUE"""),44879.0)</f>
        <v>44879</v>
      </c>
      <c r="E490" s="13">
        <f>IFERROR(__xludf.DUMMYFUNCTION("""COMPUTED_VALUE"""),0.2881134259259852)</f>
        <v>0.2881134259</v>
      </c>
      <c r="F490" s="7" t="str">
        <f>IFERROR(__xludf.DUMMYFUNCTION("""COMPUTED_VALUE"""),"Negative")</f>
        <v>Negative</v>
      </c>
      <c r="G490" s="7">
        <f>IFERROR(__xludf.DUMMYFUNCTION("""COMPUTED_VALUE"""),3.0)</f>
        <v>3</v>
      </c>
    </row>
    <row r="491">
      <c r="A491" s="7" t="str">
        <f>IFERROR(__xludf.DUMMYFUNCTION("""COMPUTED_VALUE"""),"AG349")</f>
        <v>AG349</v>
      </c>
      <c r="B491" s="7" t="str">
        <f>IFERROR(__xludf.DUMMYFUNCTION("""COMPUTED_VALUE"""),"RUN-ABRM_2022-11-14_RFR-075")</f>
        <v>RUN-ABRM_2022-11-14_RFR-075</v>
      </c>
      <c r="C491" s="8">
        <f>VLOOKUP(B491,'Run Reconcile'!A$2:B3212,2,FALSE)</f>
        <v>44879</v>
      </c>
      <c r="D491" s="12">
        <f>IFERROR(__xludf.DUMMYFUNCTION("""COMPUTED_VALUE"""),44879.0)</f>
        <v>44879</v>
      </c>
      <c r="E491" s="13">
        <f>IFERROR(__xludf.DUMMYFUNCTION("""COMPUTED_VALUE"""),0.2888773148151813)</f>
        <v>0.2888773148</v>
      </c>
      <c r="F491" s="7" t="str">
        <f>IFERROR(__xludf.DUMMYFUNCTION("""COMPUTED_VALUE"""),"Negative")</f>
        <v>Negative</v>
      </c>
      <c r="G491" s="7">
        <f>IFERROR(__xludf.DUMMYFUNCTION("""COMPUTED_VALUE"""),2.0)</f>
        <v>2</v>
      </c>
    </row>
    <row r="492">
      <c r="A492" s="7" t="str">
        <f>IFERROR(__xludf.DUMMYFUNCTION("""COMPUTED_VALUE"""),"AH7895")</f>
        <v>AH7895</v>
      </c>
      <c r="B492" s="7" t="str">
        <f>IFERROR(__xludf.DUMMYFUNCTION("""COMPUTED_VALUE"""),"RUN-ABRM_2022-11-14_RFR-075")</f>
        <v>RUN-ABRM_2022-11-14_RFR-075</v>
      </c>
      <c r="C492" s="8">
        <f>VLOOKUP(B492,'Run Reconcile'!A$2:B3212,2,FALSE)</f>
        <v>44879</v>
      </c>
      <c r="D492" s="12">
        <f>IFERROR(__xludf.DUMMYFUNCTION("""COMPUTED_VALUE"""),44879.0)</f>
        <v>44879</v>
      </c>
      <c r="E492" s="13">
        <f>IFERROR(__xludf.DUMMYFUNCTION("""COMPUTED_VALUE"""),0.2929976851846732)</f>
        <v>0.2929976852</v>
      </c>
      <c r="F492" s="7" t="str">
        <f>IFERROR(__xludf.DUMMYFUNCTION("""COMPUTED_VALUE"""),"Negative")</f>
        <v>Negative</v>
      </c>
      <c r="G492" s="7">
        <f>IFERROR(__xludf.DUMMYFUNCTION("""COMPUTED_VALUE"""),3.0)</f>
        <v>3</v>
      </c>
    </row>
    <row r="493">
      <c r="A493" s="7" t="str">
        <f>IFERROR(__xludf.DUMMYFUNCTION("""COMPUTED_VALUE"""),"AG236")</f>
        <v>AG236</v>
      </c>
      <c r="B493" s="7" t="str">
        <f>IFERROR(__xludf.DUMMYFUNCTION("""COMPUTED_VALUE"""),"RUN-ABRM_2022-11-14_RFR-075")</f>
        <v>RUN-ABRM_2022-11-14_RFR-075</v>
      </c>
      <c r="C493" s="8">
        <f>VLOOKUP(B493,'Run Reconcile'!A$2:B3212,2,FALSE)</f>
        <v>44879</v>
      </c>
      <c r="D493" s="12">
        <f>IFERROR(__xludf.DUMMYFUNCTION("""COMPUTED_VALUE"""),44879.0)</f>
        <v>44879</v>
      </c>
      <c r="E493" s="13">
        <f>IFERROR(__xludf.DUMMYFUNCTION("""COMPUTED_VALUE"""),0.30129629629664123)</f>
        <v>0.3012962963</v>
      </c>
      <c r="F493" s="7" t="str">
        <f>IFERROR(__xludf.DUMMYFUNCTION("""COMPUTED_VALUE"""),"Negative")</f>
        <v>Negative</v>
      </c>
      <c r="G493" s="7">
        <f>IFERROR(__xludf.DUMMYFUNCTION("""COMPUTED_VALUE"""),2.0)</f>
        <v>2</v>
      </c>
    </row>
    <row r="494">
      <c r="A494" s="7" t="str">
        <f>IFERROR(__xludf.DUMMYFUNCTION("""COMPUTED_VALUE"""),"AG1763")</f>
        <v>AG1763</v>
      </c>
      <c r="B494" s="7" t="str">
        <f>IFERROR(__xludf.DUMMYFUNCTION("""COMPUTED_VALUE"""),"RUN-ABRM_2022-11-14_RFR-075")</f>
        <v>RUN-ABRM_2022-11-14_RFR-075</v>
      </c>
      <c r="C494" s="8">
        <f>VLOOKUP(B494,'Run Reconcile'!A$2:B3212,2,FALSE)</f>
        <v>44879</v>
      </c>
      <c r="D494" s="12">
        <f>IFERROR(__xludf.DUMMYFUNCTION("""COMPUTED_VALUE"""),44879.0)</f>
        <v>44879</v>
      </c>
      <c r="E494" s="13">
        <f>IFERROR(__xludf.DUMMYFUNCTION("""COMPUTED_VALUE"""),0.3432407407417486)</f>
        <v>0.3432407407</v>
      </c>
      <c r="F494" s="7" t="str">
        <f>IFERROR(__xludf.DUMMYFUNCTION("""COMPUTED_VALUE"""),"Negative")</f>
        <v>Negative</v>
      </c>
      <c r="G494" s="7">
        <f>IFERROR(__xludf.DUMMYFUNCTION("""COMPUTED_VALUE"""),1.0)</f>
        <v>1</v>
      </c>
    </row>
    <row r="495">
      <c r="A495" s="7" t="str">
        <f>IFERROR(__xludf.DUMMYFUNCTION("""COMPUTED_VALUE"""),"AH8553")</f>
        <v>AH8553</v>
      </c>
      <c r="B495" s="7" t="str">
        <f>IFERROR(__xludf.DUMMYFUNCTION("""COMPUTED_VALUE"""),"RUN-ABRM_2022-11-14_RFR-075")</f>
        <v>RUN-ABRM_2022-11-14_RFR-075</v>
      </c>
      <c r="C495" s="8">
        <f>VLOOKUP(B495,'Run Reconcile'!A$2:B3212,2,FALSE)</f>
        <v>44879</v>
      </c>
      <c r="D495" s="12">
        <f>IFERROR(__xludf.DUMMYFUNCTION("""COMPUTED_VALUE"""),44879.0)</f>
        <v>44879</v>
      </c>
      <c r="E495" s="13">
        <f>IFERROR(__xludf.DUMMYFUNCTION("""COMPUTED_VALUE"""),0.34398148148102337)</f>
        <v>0.3439814815</v>
      </c>
      <c r="F495" s="7" t="str">
        <f>IFERROR(__xludf.DUMMYFUNCTION("""COMPUTED_VALUE"""),"Negative")</f>
        <v>Negative</v>
      </c>
      <c r="G495" s="7">
        <f>IFERROR(__xludf.DUMMYFUNCTION("""COMPUTED_VALUE"""),1.0)</f>
        <v>1</v>
      </c>
    </row>
    <row r="496">
      <c r="A496" s="7" t="str">
        <f>IFERROR(__xludf.DUMMYFUNCTION("""COMPUTED_VALUE"""),"AG431")</f>
        <v>AG431</v>
      </c>
      <c r="B496" s="7" t="str">
        <f>IFERROR(__xludf.DUMMYFUNCTION("""COMPUTED_VALUE"""),"RUN-ABRM_2022-11-14_RFR-075")</f>
        <v>RUN-ABRM_2022-11-14_RFR-075</v>
      </c>
      <c r="C496" s="8">
        <f>VLOOKUP(B496,'Run Reconcile'!A$2:B3212,2,FALSE)</f>
        <v>44879</v>
      </c>
      <c r="D496" s="12">
        <f>IFERROR(__xludf.DUMMYFUNCTION("""COMPUTED_VALUE"""),44879.0)</f>
        <v>44879</v>
      </c>
      <c r="E496" s="13">
        <f>IFERROR(__xludf.DUMMYFUNCTION("""COMPUTED_VALUE"""),0.3470949074071541)</f>
        <v>0.3470949074</v>
      </c>
      <c r="F496" s="7" t="str">
        <f>IFERROR(__xludf.DUMMYFUNCTION("""COMPUTED_VALUE"""),"Negative")</f>
        <v>Negative</v>
      </c>
      <c r="G496" s="7">
        <f>IFERROR(__xludf.DUMMYFUNCTION("""COMPUTED_VALUE"""),2.0)</f>
        <v>2</v>
      </c>
    </row>
    <row r="497">
      <c r="A497" s="7" t="str">
        <f>IFERROR(__xludf.DUMMYFUNCTION("""COMPUTED_VALUE"""),"AJ7048")</f>
        <v>AJ7048</v>
      </c>
      <c r="B497" s="7" t="str">
        <f>IFERROR(__xludf.DUMMYFUNCTION("""COMPUTED_VALUE"""),"RUN-ABRM_2022-11-15_RFR-076")</f>
        <v>RUN-ABRM_2022-11-15_RFR-076</v>
      </c>
      <c r="C497" s="8">
        <f>VLOOKUP(B497,'Run Reconcile'!A$2:B3212,2,FALSE)</f>
        <v>44880</v>
      </c>
      <c r="D497" s="12">
        <f>IFERROR(__xludf.DUMMYFUNCTION("""COMPUTED_VALUE"""),44880.0)</f>
        <v>44880</v>
      </c>
      <c r="E497" s="13">
        <f>IFERROR(__xludf.DUMMYFUNCTION("""COMPUTED_VALUE"""),0.2116666666661331)</f>
        <v>0.2116666667</v>
      </c>
      <c r="F497" s="7" t="str">
        <f>IFERROR(__xludf.DUMMYFUNCTION("""COMPUTED_VALUE"""),"Negative")</f>
        <v>Negative</v>
      </c>
      <c r="G497" s="7">
        <f>IFERROR(__xludf.DUMMYFUNCTION("""COMPUTED_VALUE"""),3.0)</f>
        <v>3</v>
      </c>
    </row>
    <row r="498">
      <c r="A498" s="7" t="str">
        <f>IFERROR(__xludf.DUMMYFUNCTION("""COMPUTED_VALUE"""),"AH8302")</f>
        <v>AH8302</v>
      </c>
      <c r="B498" s="7" t="str">
        <f>IFERROR(__xludf.DUMMYFUNCTION("""COMPUTED_VALUE"""),"RUN-ABRM_2022-11-15_RFR-076")</f>
        <v>RUN-ABRM_2022-11-15_RFR-076</v>
      </c>
      <c r="C498" s="8">
        <f>VLOOKUP(B498,'Run Reconcile'!A$2:B3212,2,FALSE)</f>
        <v>44880</v>
      </c>
      <c r="D498" s="12">
        <f>IFERROR(__xludf.DUMMYFUNCTION("""COMPUTED_VALUE"""),44880.0)</f>
        <v>44880</v>
      </c>
      <c r="E498" s="13">
        <f>IFERROR(__xludf.DUMMYFUNCTION("""COMPUTED_VALUE"""),0.24634259259255487)</f>
        <v>0.2463425926</v>
      </c>
      <c r="F498" s="7" t="str">
        <f>IFERROR(__xludf.DUMMYFUNCTION("""COMPUTED_VALUE"""),"Negative")</f>
        <v>Negative</v>
      </c>
      <c r="G498" s="7">
        <f>IFERROR(__xludf.DUMMYFUNCTION("""COMPUTED_VALUE"""),3.0)</f>
        <v>3</v>
      </c>
    </row>
    <row r="499">
      <c r="A499" s="7" t="str">
        <f>IFERROR(__xludf.DUMMYFUNCTION("""COMPUTED_VALUE"""),"AJ8175")</f>
        <v>AJ8175</v>
      </c>
      <c r="B499" s="7" t="str">
        <f>IFERROR(__xludf.DUMMYFUNCTION("""COMPUTED_VALUE"""),"RUN-ABRM_2022-11-15_RFR-076")</f>
        <v>RUN-ABRM_2022-11-15_RFR-076</v>
      </c>
      <c r="C499" s="8">
        <f>VLOOKUP(B499,'Run Reconcile'!A$2:B3212,2,FALSE)</f>
        <v>44880</v>
      </c>
      <c r="D499" s="12">
        <f>IFERROR(__xludf.DUMMYFUNCTION("""COMPUTED_VALUE"""),44880.0)</f>
        <v>44880</v>
      </c>
      <c r="E499" s="13">
        <f>IFERROR(__xludf.DUMMYFUNCTION("""COMPUTED_VALUE"""),0.2791782407402934)</f>
        <v>0.2791782407</v>
      </c>
      <c r="F499" s="7" t="str">
        <f>IFERROR(__xludf.DUMMYFUNCTION("""COMPUTED_VALUE"""),"Negative")</f>
        <v>Negative</v>
      </c>
      <c r="G499" s="7">
        <f>IFERROR(__xludf.DUMMYFUNCTION("""COMPUTED_VALUE"""),3.0)</f>
        <v>3</v>
      </c>
    </row>
    <row r="500">
      <c r="A500" s="7" t="str">
        <f>IFERROR(__xludf.DUMMYFUNCTION("""COMPUTED_VALUE"""),"AG680")</f>
        <v>AG680</v>
      </c>
      <c r="B500" s="7" t="str">
        <f>IFERROR(__xludf.DUMMYFUNCTION("""COMPUTED_VALUE"""),"RUN-ABRM_2022-11-15_RFR-076")</f>
        <v>RUN-ABRM_2022-11-15_RFR-076</v>
      </c>
      <c r="C500" s="8">
        <f>VLOOKUP(B500,'Run Reconcile'!A$2:B3212,2,FALSE)</f>
        <v>44880</v>
      </c>
      <c r="D500" s="12">
        <f>IFERROR(__xludf.DUMMYFUNCTION("""COMPUTED_VALUE"""),44880.0)</f>
        <v>44880</v>
      </c>
      <c r="E500" s="13">
        <f>IFERROR(__xludf.DUMMYFUNCTION("""COMPUTED_VALUE"""),0.2907060185170849)</f>
        <v>0.2907060185</v>
      </c>
      <c r="F500" s="7" t="str">
        <f>IFERROR(__xludf.DUMMYFUNCTION("""COMPUTED_VALUE"""),"Negative")</f>
        <v>Negative</v>
      </c>
      <c r="G500" s="7">
        <f>IFERROR(__xludf.DUMMYFUNCTION("""COMPUTED_VALUE"""),2.0)</f>
        <v>2</v>
      </c>
    </row>
    <row r="501">
      <c r="A501" s="7" t="str">
        <f>IFERROR(__xludf.DUMMYFUNCTION("""COMPUTED_VALUE"""),"AG1479")</f>
        <v>AG1479</v>
      </c>
      <c r="B501" s="7" t="str">
        <f>IFERROR(__xludf.DUMMYFUNCTION("""COMPUTED_VALUE"""),"RUN-ABRM_2022-11-15_RFR-076")</f>
        <v>RUN-ABRM_2022-11-15_RFR-076</v>
      </c>
      <c r="C501" s="8">
        <f>VLOOKUP(B501,'Run Reconcile'!A$2:B3212,2,FALSE)</f>
        <v>44880</v>
      </c>
      <c r="D501" s="12">
        <f>IFERROR(__xludf.DUMMYFUNCTION("""COMPUTED_VALUE"""),44880.0)</f>
        <v>44880</v>
      </c>
      <c r="E501" s="13">
        <f>IFERROR(__xludf.DUMMYFUNCTION("""COMPUTED_VALUE"""),0.2942129629627743)</f>
        <v>0.294212963</v>
      </c>
      <c r="F501" s="7" t="str">
        <f>IFERROR(__xludf.DUMMYFUNCTION("""COMPUTED_VALUE"""),"Negative")</f>
        <v>Negative</v>
      </c>
      <c r="G501" s="7">
        <f>IFERROR(__xludf.DUMMYFUNCTION("""COMPUTED_VALUE"""),1.0)</f>
        <v>1</v>
      </c>
    </row>
    <row r="502">
      <c r="A502" s="7" t="str">
        <f>IFERROR(__xludf.DUMMYFUNCTION("""COMPUTED_VALUE"""),"AJ7715")</f>
        <v>AJ7715</v>
      </c>
      <c r="B502" s="7" t="str">
        <f>IFERROR(__xludf.DUMMYFUNCTION("""COMPUTED_VALUE"""),"RUN-ABRM_2022-11-15_RFR-076")</f>
        <v>RUN-ABRM_2022-11-15_RFR-076</v>
      </c>
      <c r="C502" s="8">
        <f>VLOOKUP(B502,'Run Reconcile'!A$2:B3212,2,FALSE)</f>
        <v>44880</v>
      </c>
      <c r="D502" s="12">
        <f>IFERROR(__xludf.DUMMYFUNCTION("""COMPUTED_VALUE"""),44880.0)</f>
        <v>44880</v>
      </c>
      <c r="E502" s="13">
        <f>IFERROR(__xludf.DUMMYFUNCTION("""COMPUTED_VALUE"""),0.2963657407417486)</f>
        <v>0.2963657407</v>
      </c>
      <c r="F502" s="7" t="str">
        <f>IFERROR(__xludf.DUMMYFUNCTION("""COMPUTED_VALUE"""),"Negative")</f>
        <v>Negative</v>
      </c>
      <c r="G502" s="7">
        <f>IFERROR(__xludf.DUMMYFUNCTION("""COMPUTED_VALUE"""),1.0)</f>
        <v>1</v>
      </c>
    </row>
    <row r="503">
      <c r="A503" s="7" t="str">
        <f>IFERROR(__xludf.DUMMYFUNCTION("""COMPUTED_VALUE"""),"AG761")</f>
        <v>AG761</v>
      </c>
      <c r="B503" s="7" t="str">
        <f>IFERROR(__xludf.DUMMYFUNCTION("""COMPUTED_VALUE"""),"RUN-ABRM_2022-11-15_RFR-076")</f>
        <v>RUN-ABRM_2022-11-15_RFR-076</v>
      </c>
      <c r="C503" s="8">
        <f>VLOOKUP(B503,'Run Reconcile'!A$2:B3212,2,FALSE)</f>
        <v>44880</v>
      </c>
      <c r="D503" s="12">
        <f>IFERROR(__xludf.DUMMYFUNCTION("""COMPUTED_VALUE"""),44880.0)</f>
        <v>44880</v>
      </c>
      <c r="E503" s="13">
        <f>IFERROR(__xludf.DUMMYFUNCTION("""COMPUTED_VALUE"""),0.3995254629626288)</f>
        <v>0.399525463</v>
      </c>
      <c r="F503" s="7" t="str">
        <f>IFERROR(__xludf.DUMMYFUNCTION("""COMPUTED_VALUE"""),"Negative")</f>
        <v>Negative</v>
      </c>
      <c r="G503" s="7">
        <f>IFERROR(__xludf.DUMMYFUNCTION("""COMPUTED_VALUE"""),2.0)</f>
        <v>2</v>
      </c>
    </row>
    <row r="504">
      <c r="A504" s="7" t="str">
        <f>IFERROR(__xludf.DUMMYFUNCTION("""COMPUTED_VALUE"""),"AH7891")</f>
        <v>AH7891</v>
      </c>
      <c r="B504" s="7" t="str">
        <f>IFERROR(__xludf.DUMMYFUNCTION("""COMPUTED_VALUE"""),"RUN-ABRM_2022-11-15_RFR-076")</f>
        <v>RUN-ABRM_2022-11-15_RFR-076</v>
      </c>
      <c r="C504" s="8">
        <f>VLOOKUP(B504,'Run Reconcile'!A$2:B3212,2,FALSE)</f>
        <v>44880</v>
      </c>
      <c r="D504" s="12">
        <f>IFERROR(__xludf.DUMMYFUNCTION("""COMPUTED_VALUE"""),44880.0)</f>
        <v>44880</v>
      </c>
      <c r="E504" s="13">
        <f>IFERROR(__xludf.DUMMYFUNCTION("""COMPUTED_VALUE"""),0.4006597222214623)</f>
        <v>0.4006597222</v>
      </c>
      <c r="F504" s="7" t="str">
        <f>IFERROR(__xludf.DUMMYFUNCTION("""COMPUTED_VALUE"""),"Negative")</f>
        <v>Negative</v>
      </c>
      <c r="G504" s="7">
        <f>IFERROR(__xludf.DUMMYFUNCTION("""COMPUTED_VALUE"""),3.0)</f>
        <v>3</v>
      </c>
    </row>
    <row r="505">
      <c r="A505" s="7" t="str">
        <f>IFERROR(__xludf.DUMMYFUNCTION("""COMPUTED_VALUE"""),"AJ8781")</f>
        <v>AJ8781</v>
      </c>
      <c r="B505" s="7" t="str">
        <f>IFERROR(__xludf.DUMMYFUNCTION("""COMPUTED_VALUE"""),"RUN-ABRM_2022-11-16_RFR-078")</f>
        <v>RUN-ABRM_2022-11-16_RFR-078</v>
      </c>
      <c r="C505" s="8">
        <f>VLOOKUP(B505,'Run Reconcile'!A$2:B3212,2,FALSE)</f>
        <v>44881</v>
      </c>
      <c r="D505" s="12">
        <f>IFERROR(__xludf.DUMMYFUNCTION("""COMPUTED_VALUE"""),44881.0)</f>
        <v>44881</v>
      </c>
      <c r="E505" s="13">
        <f>IFERROR(__xludf.DUMMYFUNCTION("""COMPUTED_VALUE"""),0.23509259259299142)</f>
        <v>0.2350925926</v>
      </c>
      <c r="F505" s="7" t="str">
        <f>IFERROR(__xludf.DUMMYFUNCTION("""COMPUTED_VALUE"""),"Negative")</f>
        <v>Negative</v>
      </c>
      <c r="G505" s="7">
        <f>IFERROR(__xludf.DUMMYFUNCTION("""COMPUTED_VALUE"""),3.0)</f>
        <v>3</v>
      </c>
    </row>
    <row r="506">
      <c r="A506" s="7" t="str">
        <f>IFERROR(__xludf.DUMMYFUNCTION("""COMPUTED_VALUE"""),"AG1464")</f>
        <v>AG1464</v>
      </c>
      <c r="B506" s="7" t="str">
        <f>IFERROR(__xludf.DUMMYFUNCTION("""COMPUTED_VALUE"""),"RUN-ABRM_2022-11-16_RFR-078")</f>
        <v>RUN-ABRM_2022-11-16_RFR-078</v>
      </c>
      <c r="C506" s="8">
        <f>VLOOKUP(B506,'Run Reconcile'!A$2:B3212,2,FALSE)</f>
        <v>44881</v>
      </c>
      <c r="D506" s="12">
        <f>IFERROR(__xludf.DUMMYFUNCTION("""COMPUTED_VALUE"""),44881.0)</f>
        <v>44881</v>
      </c>
      <c r="E506" s="13">
        <f>IFERROR(__xludf.DUMMYFUNCTION("""COMPUTED_VALUE"""),0.2454166666684614)</f>
        <v>0.2454166667</v>
      </c>
      <c r="F506" s="7" t="str">
        <f>IFERROR(__xludf.DUMMYFUNCTION("""COMPUTED_VALUE"""),"Negative")</f>
        <v>Negative</v>
      </c>
      <c r="G506" s="7">
        <f>IFERROR(__xludf.DUMMYFUNCTION("""COMPUTED_VALUE"""),1.0)</f>
        <v>1</v>
      </c>
    </row>
    <row r="507">
      <c r="A507" s="7" t="str">
        <f>IFERROR(__xludf.DUMMYFUNCTION("""COMPUTED_VALUE"""),"AH6804")</f>
        <v>AH6804</v>
      </c>
      <c r="B507" s="7" t="str">
        <f>IFERROR(__xludf.DUMMYFUNCTION("""COMPUTED_VALUE"""),"RUN-ABRM_2022-11-16_RFR-078")</f>
        <v>RUN-ABRM_2022-11-16_RFR-078</v>
      </c>
      <c r="C507" s="8">
        <f>VLOOKUP(B507,'Run Reconcile'!A$2:B3212,2,FALSE)</f>
        <v>44881</v>
      </c>
      <c r="D507" s="12">
        <f>IFERROR(__xludf.DUMMYFUNCTION("""COMPUTED_VALUE"""),44881.0)</f>
        <v>44881</v>
      </c>
      <c r="E507" s="13">
        <f>IFERROR(__xludf.DUMMYFUNCTION("""COMPUTED_VALUE"""),0.29406250000101863)</f>
        <v>0.2940625</v>
      </c>
      <c r="F507" s="7" t="str">
        <f>IFERROR(__xludf.DUMMYFUNCTION("""COMPUTED_VALUE"""),"Negative")</f>
        <v>Negative</v>
      </c>
      <c r="G507" s="7">
        <f>IFERROR(__xludf.DUMMYFUNCTION("""COMPUTED_VALUE"""),3.0)</f>
        <v>3</v>
      </c>
    </row>
    <row r="508">
      <c r="A508" s="7" t="str">
        <f>IFERROR(__xludf.DUMMYFUNCTION("""COMPUTED_VALUE"""),"AH8762")</f>
        <v>AH8762</v>
      </c>
      <c r="B508" s="7" t="str">
        <f>IFERROR(__xludf.DUMMYFUNCTION("""COMPUTED_VALUE"""),"RUN-ABRM_2022-11-16_RFR-078")</f>
        <v>RUN-ABRM_2022-11-16_RFR-078</v>
      </c>
      <c r="C508" s="8">
        <f>VLOOKUP(B508,'Run Reconcile'!A$2:B3212,2,FALSE)</f>
        <v>44881</v>
      </c>
      <c r="D508" s="12">
        <f>IFERROR(__xludf.DUMMYFUNCTION("""COMPUTED_VALUE"""),44881.0)</f>
        <v>44881</v>
      </c>
      <c r="E508" s="13">
        <f>IFERROR(__xludf.DUMMYFUNCTION("""COMPUTED_VALUE"""),0.2986226851862739)</f>
        <v>0.2986226852</v>
      </c>
      <c r="F508" s="7" t="str">
        <f>IFERROR(__xludf.DUMMYFUNCTION("""COMPUTED_VALUE"""),"Negative")</f>
        <v>Negative</v>
      </c>
      <c r="G508" s="7">
        <f>IFERROR(__xludf.DUMMYFUNCTION("""COMPUTED_VALUE"""),3.0)</f>
        <v>3</v>
      </c>
    </row>
    <row r="509">
      <c r="A509" s="7" t="str">
        <f>IFERROR(__xludf.DUMMYFUNCTION("""COMPUTED_VALUE"""),"AH8481")</f>
        <v>AH8481</v>
      </c>
      <c r="B509" s="7" t="str">
        <f>IFERROR(__xludf.DUMMYFUNCTION("""COMPUTED_VALUE"""),"RUN-ABRM_2022-11-16_RFR-078")</f>
        <v>RUN-ABRM_2022-11-16_RFR-078</v>
      </c>
      <c r="C509" s="8">
        <f>VLOOKUP(B509,'Run Reconcile'!A$2:B3212,2,FALSE)</f>
        <v>44881</v>
      </c>
      <c r="D509" s="12">
        <f>IFERROR(__xludf.DUMMYFUNCTION("""COMPUTED_VALUE"""),44881.0)</f>
        <v>44881</v>
      </c>
      <c r="E509" s="13">
        <f>IFERROR(__xludf.DUMMYFUNCTION("""COMPUTED_VALUE"""),0.3526851851856918)</f>
        <v>0.3526851852</v>
      </c>
      <c r="F509" s="7" t="str">
        <f>IFERROR(__xludf.DUMMYFUNCTION("""COMPUTED_VALUE"""),"Negative")</f>
        <v>Negative</v>
      </c>
      <c r="G509" s="7">
        <f>IFERROR(__xludf.DUMMYFUNCTION("""COMPUTED_VALUE"""),2.0)</f>
        <v>2</v>
      </c>
    </row>
    <row r="510">
      <c r="A510" s="7" t="str">
        <f>IFERROR(__xludf.DUMMYFUNCTION("""COMPUTED_VALUE"""),"AH224")</f>
        <v>AH224</v>
      </c>
      <c r="B510" s="7" t="str">
        <f>IFERROR(__xludf.DUMMYFUNCTION("""COMPUTED_VALUE"""),"RUN-ABRM_2022-11-16_RFR-078")</f>
        <v>RUN-ABRM_2022-11-16_RFR-078</v>
      </c>
      <c r="C510" s="8">
        <f>VLOOKUP(B510,'Run Reconcile'!A$2:B3212,2,FALSE)</f>
        <v>44881</v>
      </c>
      <c r="D510" s="12">
        <f>IFERROR(__xludf.DUMMYFUNCTION("""COMPUTED_VALUE"""),44881.0)</f>
        <v>44881</v>
      </c>
      <c r="E510" s="13">
        <f>IFERROR(__xludf.DUMMYFUNCTION("""COMPUTED_VALUE"""),0.3545370370375167)</f>
        <v>0.354537037</v>
      </c>
      <c r="F510" s="7" t="str">
        <f>IFERROR(__xludf.DUMMYFUNCTION("""COMPUTED_VALUE"""),"Negative")</f>
        <v>Negative</v>
      </c>
      <c r="G510" s="7">
        <f>IFERROR(__xludf.DUMMYFUNCTION("""COMPUTED_VALUE"""),2.0)</f>
        <v>2</v>
      </c>
    </row>
    <row r="511">
      <c r="A511" s="7" t="str">
        <f>IFERROR(__xludf.DUMMYFUNCTION("""COMPUTED_VALUE"""),"AG233")</f>
        <v>AG233</v>
      </c>
      <c r="B511" s="7" t="str">
        <f>IFERROR(__xludf.DUMMYFUNCTION("""COMPUTED_VALUE"""),"RUN-ABRM_2022-11-16_RFR-078")</f>
        <v>RUN-ABRM_2022-11-16_RFR-078</v>
      </c>
      <c r="C511" s="8">
        <f>VLOOKUP(B511,'Run Reconcile'!A$2:B3212,2,FALSE)</f>
        <v>44881</v>
      </c>
      <c r="D511" s="12">
        <f>IFERROR(__xludf.DUMMYFUNCTION("""COMPUTED_VALUE"""),44881.0)</f>
        <v>44881</v>
      </c>
      <c r="E511" s="13">
        <f>IFERROR(__xludf.DUMMYFUNCTION("""COMPUTED_VALUE"""),0.35666666666656965)</f>
        <v>0.3566666667</v>
      </c>
      <c r="F511" s="7" t="str">
        <f>IFERROR(__xludf.DUMMYFUNCTION("""COMPUTED_VALUE"""),"Negative")</f>
        <v>Negative</v>
      </c>
      <c r="G511" s="7">
        <f>IFERROR(__xludf.DUMMYFUNCTION("""COMPUTED_VALUE"""),1.0)</f>
        <v>1</v>
      </c>
    </row>
    <row r="512">
      <c r="A512" s="7" t="str">
        <f>IFERROR(__xludf.DUMMYFUNCTION("""COMPUTED_VALUE"""),"AH8998")</f>
        <v>AH8998</v>
      </c>
      <c r="B512" s="7" t="str">
        <f>IFERROR(__xludf.DUMMYFUNCTION("""COMPUTED_VALUE"""),"RUN-ABRM_2022-11-16_RFR-078")</f>
        <v>RUN-ABRM_2022-11-16_RFR-078</v>
      </c>
      <c r="C512" s="8">
        <f>VLOOKUP(B512,'Run Reconcile'!A$2:B3212,2,FALSE)</f>
        <v>44881</v>
      </c>
      <c r="D512" s="12">
        <f>IFERROR(__xludf.DUMMYFUNCTION("""COMPUTED_VALUE"""),44881.0)</f>
        <v>44881</v>
      </c>
      <c r="E512" s="13">
        <f>IFERROR(__xludf.DUMMYFUNCTION("""COMPUTED_VALUE"""),0.35700231481314404)</f>
        <v>0.3570023148</v>
      </c>
      <c r="F512" s="7" t="str">
        <f>IFERROR(__xludf.DUMMYFUNCTION("""COMPUTED_VALUE"""),"Negative")</f>
        <v>Negative</v>
      </c>
      <c r="G512" s="7">
        <f>IFERROR(__xludf.DUMMYFUNCTION("""COMPUTED_VALUE"""),2.0)</f>
        <v>2</v>
      </c>
    </row>
    <row r="513">
      <c r="A513" s="7" t="str">
        <f>IFERROR(__xludf.DUMMYFUNCTION("""COMPUTED_VALUE"""),"AG872")</f>
        <v>AG872</v>
      </c>
      <c r="B513" s="7" t="str">
        <f>IFERROR(__xludf.DUMMYFUNCTION("""COMPUTED_VALUE"""),"RUN-ABRM_2022-11-16_RFR-078")</f>
        <v>RUN-ABRM_2022-11-16_RFR-078</v>
      </c>
      <c r="C513" s="8">
        <f>VLOOKUP(B513,'Run Reconcile'!A$2:B3212,2,FALSE)</f>
        <v>44881</v>
      </c>
      <c r="D513" s="12">
        <f>IFERROR(__xludf.DUMMYFUNCTION("""COMPUTED_VALUE"""),44881.0)</f>
        <v>44881</v>
      </c>
      <c r="E513" s="13">
        <f>IFERROR(__xludf.DUMMYFUNCTION("""COMPUTED_VALUE"""),0.3574189814826241)</f>
        <v>0.3574189815</v>
      </c>
      <c r="F513" s="7" t="str">
        <f>IFERROR(__xludf.DUMMYFUNCTION("""COMPUTED_VALUE"""),"Negative")</f>
        <v>Negative</v>
      </c>
      <c r="G513" s="7">
        <f>IFERROR(__xludf.DUMMYFUNCTION("""COMPUTED_VALUE"""),2.0)</f>
        <v>2</v>
      </c>
    </row>
    <row r="514">
      <c r="A514" s="7" t="str">
        <f>IFERROR(__xludf.DUMMYFUNCTION("""COMPUTED_VALUE"""),"AH6908")</f>
        <v>AH6908</v>
      </c>
      <c r="B514" s="7" t="str">
        <f>IFERROR(__xludf.DUMMYFUNCTION("""COMPUTED_VALUE"""),"RUN-ABRM_2022-11-17_RFR-079")</f>
        <v>RUN-ABRM_2022-11-17_RFR-079</v>
      </c>
      <c r="C514" s="8">
        <f>VLOOKUP(B514,'Run Reconcile'!A$2:B3212,2,FALSE)</f>
        <v>44882</v>
      </c>
      <c r="D514" s="12">
        <f>IFERROR(__xludf.DUMMYFUNCTION("""COMPUTED_VALUE"""),44882.0)</f>
        <v>44882</v>
      </c>
      <c r="E514" s="13">
        <f>IFERROR(__xludf.DUMMYFUNCTION("""COMPUTED_VALUE"""),0.2169328703712381)</f>
        <v>0.2169328704</v>
      </c>
      <c r="F514" s="7" t="str">
        <f>IFERROR(__xludf.DUMMYFUNCTION("""COMPUTED_VALUE"""),"Negative")</f>
        <v>Negative</v>
      </c>
      <c r="G514" s="7">
        <f>IFERROR(__xludf.DUMMYFUNCTION("""COMPUTED_VALUE"""),3.0)</f>
        <v>3</v>
      </c>
    </row>
    <row r="515">
      <c r="A515" s="7" t="str">
        <f>IFERROR(__xludf.DUMMYFUNCTION("""COMPUTED_VALUE"""),"AH331")</f>
        <v>AH331</v>
      </c>
      <c r="B515" s="7" t="str">
        <f>IFERROR(__xludf.DUMMYFUNCTION("""COMPUTED_VALUE"""),"RUN-ABRM_2022-11-17_RFR-079")</f>
        <v>RUN-ABRM_2022-11-17_RFR-079</v>
      </c>
      <c r="C515" s="8">
        <f>VLOOKUP(B515,'Run Reconcile'!A$2:B3212,2,FALSE)</f>
        <v>44882</v>
      </c>
      <c r="D515" s="12">
        <f>IFERROR(__xludf.DUMMYFUNCTION("""COMPUTED_VALUE"""),44882.0)</f>
        <v>44882</v>
      </c>
      <c r="E515" s="13">
        <f>IFERROR(__xludf.DUMMYFUNCTION("""COMPUTED_VALUE"""),0.2898148148160544)</f>
        <v>0.2898148148</v>
      </c>
      <c r="F515" s="7" t="str">
        <f>IFERROR(__xludf.DUMMYFUNCTION("""COMPUTED_VALUE"""),"Negative")</f>
        <v>Negative</v>
      </c>
      <c r="G515" s="7">
        <f>IFERROR(__xludf.DUMMYFUNCTION("""COMPUTED_VALUE"""),3.0)</f>
        <v>3</v>
      </c>
    </row>
    <row r="516">
      <c r="A516" s="7" t="str">
        <f>IFERROR(__xludf.DUMMYFUNCTION("""COMPUTED_VALUE"""),"AG566")</f>
        <v>AG566</v>
      </c>
      <c r="B516" s="7" t="str">
        <f>IFERROR(__xludf.DUMMYFUNCTION("""COMPUTED_VALUE"""),"RUN-ABRM_2022-11-17_RFR-079")</f>
        <v>RUN-ABRM_2022-11-17_RFR-079</v>
      </c>
      <c r="C516" s="8">
        <f>VLOOKUP(B516,'Run Reconcile'!A$2:B3212,2,FALSE)</f>
        <v>44882</v>
      </c>
      <c r="D516" s="12">
        <f>IFERROR(__xludf.DUMMYFUNCTION("""COMPUTED_VALUE"""),44882.0)</f>
        <v>44882</v>
      </c>
      <c r="E516" s="13">
        <f>IFERROR(__xludf.DUMMYFUNCTION("""COMPUTED_VALUE"""),0.2921180555567844)</f>
        <v>0.2921180556</v>
      </c>
      <c r="F516" s="7" t="str">
        <f>IFERROR(__xludf.DUMMYFUNCTION("""COMPUTED_VALUE"""),"Negative")</f>
        <v>Negative</v>
      </c>
      <c r="G516" s="7">
        <f>IFERROR(__xludf.DUMMYFUNCTION("""COMPUTED_VALUE"""),1.0)</f>
        <v>1</v>
      </c>
    </row>
    <row r="517">
      <c r="A517" s="7" t="str">
        <f>IFERROR(__xludf.DUMMYFUNCTION("""COMPUTED_VALUE"""),"AG715")</f>
        <v>AG715</v>
      </c>
      <c r="B517" s="7" t="str">
        <f>IFERROR(__xludf.DUMMYFUNCTION("""COMPUTED_VALUE"""),"RUN-ABRM_2022-11-17_RFR-079")</f>
        <v>RUN-ABRM_2022-11-17_RFR-079</v>
      </c>
      <c r="C517" s="8">
        <f>VLOOKUP(B517,'Run Reconcile'!A$2:B3212,2,FALSE)</f>
        <v>44882</v>
      </c>
      <c r="D517" s="12">
        <f>IFERROR(__xludf.DUMMYFUNCTION("""COMPUTED_VALUE"""),44882.0)</f>
        <v>44882</v>
      </c>
      <c r="E517" s="13">
        <f>IFERROR(__xludf.DUMMYFUNCTION("""COMPUTED_VALUE"""),0.29983796296437504)</f>
        <v>0.299837963</v>
      </c>
      <c r="F517" s="7" t="str">
        <f>IFERROR(__xludf.DUMMYFUNCTION("""COMPUTED_VALUE"""),"Negative")</f>
        <v>Negative</v>
      </c>
      <c r="G517" s="7">
        <f>IFERROR(__xludf.DUMMYFUNCTION("""COMPUTED_VALUE"""),3.0)</f>
        <v>3</v>
      </c>
    </row>
    <row r="518">
      <c r="A518" s="7" t="str">
        <f>IFERROR(__xludf.DUMMYFUNCTION("""COMPUTED_VALUE"""),"AH8052")</f>
        <v>AH8052</v>
      </c>
      <c r="B518" s="7" t="str">
        <f>IFERROR(__xludf.DUMMYFUNCTION("""COMPUTED_VALUE"""),"RUN-ABRM_2022-11-17_RFR-079")</f>
        <v>RUN-ABRM_2022-11-17_RFR-079</v>
      </c>
      <c r="C518" s="8">
        <f>VLOOKUP(B518,'Run Reconcile'!A$2:B3212,2,FALSE)</f>
        <v>44882</v>
      </c>
      <c r="D518" s="12">
        <f>IFERROR(__xludf.DUMMYFUNCTION("""COMPUTED_VALUE"""),44882.0)</f>
        <v>44882</v>
      </c>
      <c r="E518" s="13">
        <f>IFERROR(__xludf.DUMMYFUNCTION("""COMPUTED_VALUE"""),0.39765046296452056)</f>
        <v>0.397650463</v>
      </c>
      <c r="F518" s="7" t="str">
        <f>IFERROR(__xludf.DUMMYFUNCTION("""COMPUTED_VALUE"""),"Negative")</f>
        <v>Negative</v>
      </c>
      <c r="G518" s="7">
        <f>IFERROR(__xludf.DUMMYFUNCTION("""COMPUTED_VALUE"""),2.0)</f>
        <v>2</v>
      </c>
    </row>
    <row r="519">
      <c r="A519" s="7" t="str">
        <f>IFERROR(__xludf.DUMMYFUNCTION("""COMPUTED_VALUE"""),"AG2084")</f>
        <v>AG2084</v>
      </c>
      <c r="B519" s="7" t="str">
        <f>IFERROR(__xludf.DUMMYFUNCTION("""COMPUTED_VALUE"""),"RUN-ABRM_2022-11-18_RFR-081")</f>
        <v>RUN-ABRM_2022-11-18_RFR-081</v>
      </c>
      <c r="C519" s="8">
        <f>VLOOKUP(B519,'Run Reconcile'!A$2:B3212,2,FALSE)</f>
        <v>44883</v>
      </c>
      <c r="D519" s="12">
        <f>IFERROR(__xludf.DUMMYFUNCTION("""COMPUTED_VALUE"""),44883.0)</f>
        <v>44883</v>
      </c>
      <c r="E519" s="13">
        <f>IFERROR(__xludf.DUMMYFUNCTION("""COMPUTED_VALUE"""),0.24809027777882875)</f>
        <v>0.2480902778</v>
      </c>
      <c r="F519" s="7" t="str">
        <f>IFERROR(__xludf.DUMMYFUNCTION("""COMPUTED_VALUE"""),"Negative")</f>
        <v>Negative</v>
      </c>
      <c r="G519" s="7">
        <f>IFERROR(__xludf.DUMMYFUNCTION("""COMPUTED_VALUE"""),1.0)</f>
        <v>1</v>
      </c>
    </row>
    <row r="520">
      <c r="A520" s="7" t="str">
        <f>IFERROR(__xludf.DUMMYFUNCTION("""COMPUTED_VALUE"""),"AK8154")</f>
        <v>AK8154</v>
      </c>
      <c r="B520" s="7" t="str">
        <f>IFERROR(__xludf.DUMMYFUNCTION("""COMPUTED_VALUE"""),"RUN-ABRM_2022-11-18_RFR-081")</f>
        <v>RUN-ABRM_2022-11-18_RFR-081</v>
      </c>
      <c r="C520" s="8">
        <f>VLOOKUP(B520,'Run Reconcile'!A$2:B3212,2,FALSE)</f>
        <v>44883</v>
      </c>
      <c r="D520" s="12">
        <f>IFERROR(__xludf.DUMMYFUNCTION("""COMPUTED_VALUE"""),44883.0)</f>
        <v>44883</v>
      </c>
      <c r="E520" s="13">
        <f>IFERROR(__xludf.DUMMYFUNCTION("""COMPUTED_VALUE"""),0.2907060185170849)</f>
        <v>0.2907060185</v>
      </c>
      <c r="F520" s="7" t="str">
        <f>IFERROR(__xludf.DUMMYFUNCTION("""COMPUTED_VALUE"""),"Negative")</f>
        <v>Negative</v>
      </c>
      <c r="G520" s="7">
        <f>IFERROR(__xludf.DUMMYFUNCTION("""COMPUTED_VALUE"""),2.0)</f>
        <v>2</v>
      </c>
    </row>
    <row r="521">
      <c r="A521" s="7" t="str">
        <f>IFERROR(__xludf.DUMMYFUNCTION("""COMPUTED_VALUE"""),"AK4902")</f>
        <v>AK4902</v>
      </c>
      <c r="B521" s="7" t="str">
        <f>IFERROR(__xludf.DUMMYFUNCTION("""COMPUTED_VALUE"""),"RUN-ABRM_2022-11-18_RFR-081")</f>
        <v>RUN-ABRM_2022-11-18_RFR-081</v>
      </c>
      <c r="C521" s="8">
        <f>VLOOKUP(B521,'Run Reconcile'!A$2:B3212,2,FALSE)</f>
        <v>44883</v>
      </c>
      <c r="D521" s="12">
        <f>IFERROR(__xludf.DUMMYFUNCTION("""COMPUTED_VALUE"""),44883.0)</f>
        <v>44883</v>
      </c>
      <c r="E521" s="13">
        <f>IFERROR(__xludf.DUMMYFUNCTION("""COMPUTED_VALUE"""),0.2927314814805868)</f>
        <v>0.2927314815</v>
      </c>
      <c r="F521" s="7" t="str">
        <f>IFERROR(__xludf.DUMMYFUNCTION("""COMPUTED_VALUE"""),"Negative")</f>
        <v>Negative</v>
      </c>
      <c r="G521" s="7">
        <f>IFERROR(__xludf.DUMMYFUNCTION("""COMPUTED_VALUE"""),2.0)</f>
        <v>2</v>
      </c>
    </row>
    <row r="522">
      <c r="A522" s="7" t="str">
        <f>IFERROR(__xludf.DUMMYFUNCTION("""COMPUTED_VALUE"""),"AH606")</f>
        <v>AH606</v>
      </c>
      <c r="B522" s="7" t="str">
        <f>IFERROR(__xludf.DUMMYFUNCTION("""COMPUTED_VALUE"""),"RUN-ABRM_2022-11-18_RFR-081")</f>
        <v>RUN-ABRM_2022-11-18_RFR-081</v>
      </c>
      <c r="C522" s="8">
        <f>VLOOKUP(B522,'Run Reconcile'!A$2:B3212,2,FALSE)</f>
        <v>44883</v>
      </c>
      <c r="D522" s="12">
        <f>IFERROR(__xludf.DUMMYFUNCTION("""COMPUTED_VALUE"""),44883.0)</f>
        <v>44883</v>
      </c>
      <c r="E522" s="13">
        <f>IFERROR(__xludf.DUMMYFUNCTION("""COMPUTED_VALUE"""),0.3002893518532801)</f>
        <v>0.3002893519</v>
      </c>
      <c r="F522" s="7" t="str">
        <f>IFERROR(__xludf.DUMMYFUNCTION("""COMPUTED_VALUE"""),"Negative")</f>
        <v>Negative</v>
      </c>
      <c r="G522" s="7">
        <f>IFERROR(__xludf.DUMMYFUNCTION("""COMPUTED_VALUE"""),4.0)</f>
        <v>4</v>
      </c>
    </row>
    <row r="523">
      <c r="A523" s="7" t="str">
        <f>IFERROR(__xludf.DUMMYFUNCTION("""COMPUTED_VALUE"""),"AG631")</f>
        <v>AG631</v>
      </c>
      <c r="B523" s="7" t="str">
        <f>IFERROR(__xludf.DUMMYFUNCTION("""COMPUTED_VALUE"""),"RUN-ABRM_2022-11-18_RFR-081")</f>
        <v>RUN-ABRM_2022-11-18_RFR-081</v>
      </c>
      <c r="C523" s="8">
        <f>VLOOKUP(B523,'Run Reconcile'!A$2:B3212,2,FALSE)</f>
        <v>44883</v>
      </c>
      <c r="D523" s="12">
        <f>IFERROR(__xludf.DUMMYFUNCTION("""COMPUTED_VALUE"""),44883.0)</f>
        <v>44883</v>
      </c>
      <c r="E523" s="13">
        <f>IFERROR(__xludf.DUMMYFUNCTION("""COMPUTED_VALUE"""),0.3262384259251121)</f>
        <v>0.3262384259</v>
      </c>
      <c r="F523" s="7" t="str">
        <f>IFERROR(__xludf.DUMMYFUNCTION("""COMPUTED_VALUE"""),"Negative")</f>
        <v>Negative</v>
      </c>
      <c r="G523" s="7">
        <f>IFERROR(__xludf.DUMMYFUNCTION("""COMPUTED_VALUE"""),4.0)</f>
        <v>4</v>
      </c>
    </row>
    <row r="524">
      <c r="A524" s="7" t="str">
        <f>IFERROR(__xludf.DUMMYFUNCTION("""COMPUTED_VALUE"""),"AG1864")</f>
        <v>AG1864</v>
      </c>
      <c r="B524" s="7" t="str">
        <f>IFERROR(__xludf.DUMMYFUNCTION("""COMPUTED_VALUE"""),"RUN-ABRM_2022-11-19_RFR-082")</f>
        <v>RUN-ABRM_2022-11-19_RFR-082</v>
      </c>
      <c r="C524" s="8">
        <f>VLOOKUP(B524,'Run Reconcile'!A$2:B3212,2,FALSE)</f>
        <v>44884</v>
      </c>
      <c r="D524" s="12">
        <f>IFERROR(__xludf.DUMMYFUNCTION("""COMPUTED_VALUE"""),44884.0)</f>
        <v>44884</v>
      </c>
      <c r="E524" s="13">
        <f>IFERROR(__xludf.DUMMYFUNCTION("""COMPUTED_VALUE"""),0.7242013888899237)</f>
        <v>0.7242013889</v>
      </c>
      <c r="F524" s="7" t="str">
        <f>IFERROR(__xludf.DUMMYFUNCTION("""COMPUTED_VALUE"""),"Negative")</f>
        <v>Negative</v>
      </c>
      <c r="G524" s="7">
        <f>IFERROR(__xludf.DUMMYFUNCTION("""COMPUTED_VALUE"""),1.0)</f>
        <v>1</v>
      </c>
    </row>
    <row r="525">
      <c r="A525" s="7" t="str">
        <f>IFERROR(__xludf.DUMMYFUNCTION("""COMPUTED_VALUE"""),"AK5340")</f>
        <v>AK5340</v>
      </c>
      <c r="B525" s="7" t="str">
        <f>IFERROR(__xludf.DUMMYFUNCTION("""COMPUTED_VALUE"""),"RUN-ABRM_2022-11-19_RFR-082")</f>
        <v>RUN-ABRM_2022-11-19_RFR-082</v>
      </c>
      <c r="C525" s="8">
        <f>VLOOKUP(B525,'Run Reconcile'!A$2:B3212,2,FALSE)</f>
        <v>44884</v>
      </c>
      <c r="D525" s="12">
        <f>IFERROR(__xludf.DUMMYFUNCTION("""COMPUTED_VALUE"""),44884.0)</f>
        <v>44884</v>
      </c>
      <c r="E525" s="13">
        <f>IFERROR(__xludf.DUMMYFUNCTION("""COMPUTED_VALUE"""),0.7245254629633564)</f>
        <v>0.724525463</v>
      </c>
      <c r="F525" s="7" t="str">
        <f>IFERROR(__xludf.DUMMYFUNCTION("""COMPUTED_VALUE"""),"Negative")</f>
        <v>Negative</v>
      </c>
      <c r="G525" s="7">
        <f>IFERROR(__xludf.DUMMYFUNCTION("""COMPUTED_VALUE"""),1.0)</f>
        <v>1</v>
      </c>
    </row>
    <row r="526">
      <c r="A526" s="7" t="str">
        <f>IFERROR(__xludf.DUMMYFUNCTION("""COMPUTED_VALUE"""),"AK7890")</f>
        <v>AK7890</v>
      </c>
      <c r="B526" s="7" t="str">
        <f>IFERROR(__xludf.DUMMYFUNCTION("""COMPUTED_VALUE"""),"RUN-ABRM_2022-11-20_RFR-084")</f>
        <v>RUN-ABRM_2022-11-20_RFR-084</v>
      </c>
      <c r="C526" s="8">
        <f>VLOOKUP(B526,'Run Reconcile'!A$2:B3212,2,FALSE)</f>
        <v>44885</v>
      </c>
      <c r="D526" s="12">
        <f>IFERROR(__xludf.DUMMYFUNCTION("""COMPUTED_VALUE"""),44885.0)</f>
        <v>44885</v>
      </c>
      <c r="E526" s="13">
        <f>IFERROR(__xludf.DUMMYFUNCTION("""COMPUTED_VALUE"""),0.5810069444451074)</f>
        <v>0.5810069444</v>
      </c>
      <c r="F526" s="7" t="str">
        <f>IFERROR(__xludf.DUMMYFUNCTION("""COMPUTED_VALUE"""),"Negative")</f>
        <v>Negative</v>
      </c>
      <c r="G526" s="7">
        <f>IFERROR(__xludf.DUMMYFUNCTION("""COMPUTED_VALUE"""),1.0)</f>
        <v>1</v>
      </c>
    </row>
    <row r="527">
      <c r="A527" s="7" t="str">
        <f>IFERROR(__xludf.DUMMYFUNCTION("""COMPUTED_VALUE"""),"AG556")</f>
        <v>AG556</v>
      </c>
      <c r="B527" s="7" t="str">
        <f>IFERROR(__xludf.DUMMYFUNCTION("""COMPUTED_VALUE"""),"RUN-ABRM_2022-11-20_RFR-084")</f>
        <v>RUN-ABRM_2022-11-20_RFR-084</v>
      </c>
      <c r="C527" s="8">
        <f>VLOOKUP(B527,'Run Reconcile'!A$2:B3212,2,FALSE)</f>
        <v>44885</v>
      </c>
      <c r="D527" s="12">
        <f>IFERROR(__xludf.DUMMYFUNCTION("""COMPUTED_VALUE"""),44885.0)</f>
        <v>44885</v>
      </c>
      <c r="E527" s="13">
        <f>IFERROR(__xludf.DUMMYFUNCTION("""COMPUTED_VALUE"""),0.5812384259261307)</f>
        <v>0.5812384259</v>
      </c>
      <c r="F527" s="7" t="str">
        <f>IFERROR(__xludf.DUMMYFUNCTION("""COMPUTED_VALUE"""),"Negative")</f>
        <v>Negative</v>
      </c>
      <c r="G527" s="7">
        <f>IFERROR(__xludf.DUMMYFUNCTION("""COMPUTED_VALUE"""),1.0)</f>
        <v>1</v>
      </c>
    </row>
    <row r="528">
      <c r="A528" s="7" t="str">
        <f>IFERROR(__xludf.DUMMYFUNCTION("""COMPUTED_VALUE"""),"AG2203")</f>
        <v>AG2203</v>
      </c>
      <c r="B528" s="7" t="str">
        <f>IFERROR(__xludf.DUMMYFUNCTION("""COMPUTED_VALUE"""),"RUN-ABRM_2022-11-21_RFR-087")</f>
        <v>RUN-ABRM_2022-11-21_RFR-087</v>
      </c>
      <c r="C528" s="8">
        <f>VLOOKUP(B528,'Run Reconcile'!A$2:B3212,2,FALSE)</f>
        <v>44886</v>
      </c>
      <c r="D528" s="12">
        <f>IFERROR(__xludf.DUMMYFUNCTION("""COMPUTED_VALUE"""),44886.0)</f>
        <v>44886</v>
      </c>
      <c r="E528" s="13">
        <f>IFERROR(__xludf.DUMMYFUNCTION("""COMPUTED_VALUE"""),0.23635416666729725)</f>
        <v>0.2363541667</v>
      </c>
      <c r="F528" s="7" t="str">
        <f>IFERROR(__xludf.DUMMYFUNCTION("""COMPUTED_VALUE"""),"Negative")</f>
        <v>Negative</v>
      </c>
      <c r="G528" s="7">
        <f>IFERROR(__xludf.DUMMYFUNCTION("""COMPUTED_VALUE"""),1.0)</f>
        <v>1</v>
      </c>
    </row>
    <row r="529">
      <c r="A529" s="7" t="str">
        <f>IFERROR(__xludf.DUMMYFUNCTION("""COMPUTED_VALUE"""),"AJ5477")</f>
        <v>AJ5477</v>
      </c>
      <c r="B529" s="7" t="str">
        <f>IFERROR(__xludf.DUMMYFUNCTION("""COMPUTED_VALUE"""),"RUN-ABRM_2022-11-21_RFR-087")</f>
        <v>RUN-ABRM_2022-11-21_RFR-087</v>
      </c>
      <c r="C529" s="8">
        <f>VLOOKUP(B529,'Run Reconcile'!A$2:B3212,2,FALSE)</f>
        <v>44886</v>
      </c>
      <c r="D529" s="12">
        <f>IFERROR(__xludf.DUMMYFUNCTION("""COMPUTED_VALUE"""),44886.0)</f>
        <v>44886</v>
      </c>
      <c r="E529" s="13">
        <f>IFERROR(__xludf.DUMMYFUNCTION("""COMPUTED_VALUE"""),0.2366319444445253)</f>
        <v>0.2366319444</v>
      </c>
      <c r="F529" s="7" t="str">
        <f>IFERROR(__xludf.DUMMYFUNCTION("""COMPUTED_VALUE"""),"Negative")</f>
        <v>Negative</v>
      </c>
      <c r="G529" s="7">
        <f>IFERROR(__xludf.DUMMYFUNCTION("""COMPUTED_VALUE"""),1.0)</f>
        <v>1</v>
      </c>
    </row>
    <row r="530">
      <c r="A530" s="7" t="str">
        <f>IFERROR(__xludf.DUMMYFUNCTION("""COMPUTED_VALUE"""),"AH7374")</f>
        <v>AH7374</v>
      </c>
      <c r="B530" s="7" t="str">
        <f>IFERROR(__xludf.DUMMYFUNCTION("""COMPUTED_VALUE"""),"RUN-ABRM_2022-11-21_RFR-087")</f>
        <v>RUN-ABRM_2022-11-21_RFR-087</v>
      </c>
      <c r="C530" s="8">
        <f>VLOOKUP(B530,'Run Reconcile'!A$2:B3212,2,FALSE)</f>
        <v>44886</v>
      </c>
      <c r="D530" s="12">
        <f>IFERROR(__xludf.DUMMYFUNCTION("""COMPUTED_VALUE"""),44886.0)</f>
        <v>44886</v>
      </c>
      <c r="E530" s="13">
        <f>IFERROR(__xludf.DUMMYFUNCTION("""COMPUTED_VALUE"""),0.23689814814861165)</f>
        <v>0.2368981481</v>
      </c>
      <c r="F530" s="7" t="str">
        <f>IFERROR(__xludf.DUMMYFUNCTION("""COMPUTED_VALUE"""),"Negative")</f>
        <v>Negative</v>
      </c>
      <c r="G530" s="7">
        <f>IFERROR(__xludf.DUMMYFUNCTION("""COMPUTED_VALUE"""),1.0)</f>
        <v>1</v>
      </c>
    </row>
    <row r="531">
      <c r="A531" s="7" t="str">
        <f>IFERROR(__xludf.DUMMYFUNCTION("""COMPUTED_VALUE"""),"AG255")</f>
        <v>AG255</v>
      </c>
      <c r="B531" s="7" t="str">
        <f>IFERROR(__xludf.DUMMYFUNCTION("""COMPUTED_VALUE"""),"RUN-ABRM_2022-11-21_RFR-088")</f>
        <v>RUN-ABRM_2022-11-21_RFR-088</v>
      </c>
      <c r="C531" s="8">
        <f>VLOOKUP(B531,'Run Reconcile'!A$2:B3212,2,FALSE)</f>
        <v>44886</v>
      </c>
      <c r="D531" s="12">
        <f>IFERROR(__xludf.DUMMYFUNCTION("""COMPUTED_VALUE"""),44886.0)</f>
        <v>44886</v>
      </c>
      <c r="E531" s="13">
        <f>IFERROR(__xludf.DUMMYFUNCTION("""COMPUTED_VALUE"""),0.29637731481489027)</f>
        <v>0.2963773148</v>
      </c>
      <c r="F531" s="7" t="str">
        <f>IFERROR(__xludf.DUMMYFUNCTION("""COMPUTED_VALUE"""),"Negative")</f>
        <v>Negative</v>
      </c>
      <c r="G531" s="7">
        <f>IFERROR(__xludf.DUMMYFUNCTION("""COMPUTED_VALUE"""),3.0)</f>
        <v>3</v>
      </c>
    </row>
    <row r="532">
      <c r="A532" s="7" t="str">
        <f>IFERROR(__xludf.DUMMYFUNCTION("""COMPUTED_VALUE"""),"AJ4785")</f>
        <v>AJ4785</v>
      </c>
      <c r="B532" s="7" t="str">
        <f>IFERROR(__xludf.DUMMYFUNCTION("""COMPUTED_VALUE"""),"RUN-ABRM_2022-11-21_RFR-088")</f>
        <v>RUN-ABRM_2022-11-21_RFR-088</v>
      </c>
      <c r="C532" s="8">
        <f>VLOOKUP(B532,'Run Reconcile'!A$2:B3212,2,FALSE)</f>
        <v>44886</v>
      </c>
      <c r="D532" s="12">
        <f>IFERROR(__xludf.DUMMYFUNCTION("""COMPUTED_VALUE"""),44886.0)</f>
        <v>44886</v>
      </c>
      <c r="E532" s="13">
        <f>IFERROR(__xludf.DUMMYFUNCTION("""COMPUTED_VALUE"""),0.32251157407517894)</f>
        <v>0.3225115741</v>
      </c>
      <c r="F532" s="7" t="str">
        <f>IFERROR(__xludf.DUMMYFUNCTION("""COMPUTED_VALUE"""),"Negative")</f>
        <v>Negative</v>
      </c>
      <c r="G532" s="7">
        <f>IFERROR(__xludf.DUMMYFUNCTION("""COMPUTED_VALUE"""),2.0)</f>
        <v>2</v>
      </c>
    </row>
    <row r="533">
      <c r="A533" s="7" t="str">
        <f>IFERROR(__xludf.DUMMYFUNCTION("""COMPUTED_VALUE"""),"AH8784")</f>
        <v>AH8784</v>
      </c>
      <c r="B533" s="7" t="str">
        <f>IFERROR(__xludf.DUMMYFUNCTION("""COMPUTED_VALUE"""),"RUN-ABRM_2022-11-21_RFR-088")</f>
        <v>RUN-ABRM_2022-11-21_RFR-088</v>
      </c>
      <c r="C533" s="8">
        <f>VLOOKUP(B533,'Run Reconcile'!A$2:B3212,2,FALSE)</f>
        <v>44886</v>
      </c>
      <c r="D533" s="12">
        <f>IFERROR(__xludf.DUMMYFUNCTION("""COMPUTED_VALUE"""),44886.0)</f>
        <v>44886</v>
      </c>
      <c r="E533" s="13">
        <f>IFERROR(__xludf.DUMMYFUNCTION("""COMPUTED_VALUE"""),0.3581481481487572)</f>
        <v>0.3581481481</v>
      </c>
      <c r="F533" s="7" t="str">
        <f>IFERROR(__xludf.DUMMYFUNCTION("""COMPUTED_VALUE"""),"Negative")</f>
        <v>Negative</v>
      </c>
      <c r="G533" s="7">
        <f>IFERROR(__xludf.DUMMYFUNCTION("""COMPUTED_VALUE"""),4.0)</f>
        <v>4</v>
      </c>
    </row>
    <row r="534">
      <c r="A534" s="7" t="str">
        <f>IFERROR(__xludf.DUMMYFUNCTION("""COMPUTED_VALUE"""),"AH621")</f>
        <v>AH621</v>
      </c>
      <c r="B534" s="7" t="str">
        <f>IFERROR(__xludf.DUMMYFUNCTION("""COMPUTED_VALUE"""),"RUN-ABRM_2022-11-21_RFR-088")</f>
        <v>RUN-ABRM_2022-11-21_RFR-088</v>
      </c>
      <c r="C534" s="8">
        <f>VLOOKUP(B534,'Run Reconcile'!A$2:B3212,2,FALSE)</f>
        <v>44886</v>
      </c>
      <c r="D534" s="12">
        <f>IFERROR(__xludf.DUMMYFUNCTION("""COMPUTED_VALUE"""),44886.0)</f>
        <v>44886</v>
      </c>
      <c r="E534" s="13">
        <f>IFERROR(__xludf.DUMMYFUNCTION("""COMPUTED_VALUE"""),0.3606134259243845)</f>
        <v>0.3606134259</v>
      </c>
      <c r="F534" s="7" t="str">
        <f>IFERROR(__xludf.DUMMYFUNCTION("""COMPUTED_VALUE"""),"Negative")</f>
        <v>Negative</v>
      </c>
      <c r="G534" s="7">
        <f>IFERROR(__xludf.DUMMYFUNCTION("""COMPUTED_VALUE"""),1.0)</f>
        <v>1</v>
      </c>
    </row>
    <row r="535">
      <c r="A535" s="7" t="str">
        <f>IFERROR(__xludf.DUMMYFUNCTION("""COMPUTED_VALUE"""),"AH8864")</f>
        <v>AH8864</v>
      </c>
      <c r="B535" s="7" t="str">
        <f>IFERROR(__xludf.DUMMYFUNCTION("""COMPUTED_VALUE"""),"RUN-ABRM_2022-11-22_RFR-089")</f>
        <v>RUN-ABRM_2022-11-22_RFR-089</v>
      </c>
      <c r="C535" s="8">
        <f>VLOOKUP(B535,'Run Reconcile'!A$2:B3212,2,FALSE)</f>
        <v>44887</v>
      </c>
      <c r="D535" s="12">
        <f>IFERROR(__xludf.DUMMYFUNCTION("""COMPUTED_VALUE"""),44887.0)</f>
        <v>44887</v>
      </c>
      <c r="E535" s="13">
        <f>IFERROR(__xludf.DUMMYFUNCTION("""COMPUTED_VALUE"""),0.29075231481328956)</f>
        <v>0.2907523148</v>
      </c>
      <c r="F535" s="7" t="str">
        <f>IFERROR(__xludf.DUMMYFUNCTION("""COMPUTED_VALUE"""),"Negative")</f>
        <v>Negative</v>
      </c>
      <c r="G535" s="7">
        <f>IFERROR(__xludf.DUMMYFUNCTION("""COMPUTED_VALUE"""),3.0)</f>
        <v>3</v>
      </c>
    </row>
    <row r="536">
      <c r="A536" s="7" t="str">
        <f>IFERROR(__xludf.DUMMYFUNCTION("""COMPUTED_VALUE"""),"AG1462")</f>
        <v>AG1462</v>
      </c>
      <c r="B536" s="7" t="str">
        <f>IFERROR(__xludf.DUMMYFUNCTION("""COMPUTED_VALUE"""),"RUN-ABRM_2022-11-22_RFR-089")</f>
        <v>RUN-ABRM_2022-11-22_RFR-089</v>
      </c>
      <c r="C536" s="8">
        <f>VLOOKUP(B536,'Run Reconcile'!A$2:B3212,2,FALSE)</f>
        <v>44887</v>
      </c>
      <c r="D536" s="12">
        <f>IFERROR(__xludf.DUMMYFUNCTION("""COMPUTED_VALUE"""),44887.0)</f>
        <v>44887</v>
      </c>
      <c r="E536" s="13">
        <f>IFERROR(__xludf.DUMMYFUNCTION("""COMPUTED_VALUE"""),0.29409722222044365)</f>
        <v>0.2940972222</v>
      </c>
      <c r="F536" s="7" t="str">
        <f>IFERROR(__xludf.DUMMYFUNCTION("""COMPUTED_VALUE"""),"Negative")</f>
        <v>Negative</v>
      </c>
      <c r="G536" s="7">
        <f>IFERROR(__xludf.DUMMYFUNCTION("""COMPUTED_VALUE"""),2.0)</f>
        <v>2</v>
      </c>
    </row>
    <row r="537">
      <c r="A537" s="7" t="str">
        <f>IFERROR(__xludf.DUMMYFUNCTION("""COMPUTED_VALUE"""),"AJ8111")</f>
        <v>AJ8111</v>
      </c>
      <c r="B537" s="7" t="str">
        <f>IFERROR(__xludf.DUMMYFUNCTION("""COMPUTED_VALUE"""),"RUN-ABRM_2022-11-22_RFR-089")</f>
        <v>RUN-ABRM_2022-11-22_RFR-089</v>
      </c>
      <c r="C537" s="8">
        <f>VLOOKUP(B537,'Run Reconcile'!A$2:B3212,2,FALSE)</f>
        <v>44887</v>
      </c>
      <c r="D537" s="12">
        <f>IFERROR(__xludf.DUMMYFUNCTION("""COMPUTED_VALUE"""),44887.0)</f>
        <v>44887</v>
      </c>
      <c r="E537" s="13">
        <f>IFERROR(__xludf.DUMMYFUNCTION("""COMPUTED_VALUE"""),0.2999305555567844)</f>
        <v>0.2999305556</v>
      </c>
      <c r="F537" s="7" t="str">
        <f>IFERROR(__xludf.DUMMYFUNCTION("""COMPUTED_VALUE"""),"Negative")</f>
        <v>Negative</v>
      </c>
      <c r="G537" s="7">
        <f>IFERROR(__xludf.DUMMYFUNCTION("""COMPUTED_VALUE"""),3.0)</f>
        <v>3</v>
      </c>
    </row>
    <row r="538">
      <c r="A538" s="7" t="str">
        <f>IFERROR(__xludf.DUMMYFUNCTION("""COMPUTED_VALUE"""),"AJ7637")</f>
        <v>AJ7637</v>
      </c>
      <c r="B538" s="7" t="str">
        <f>IFERROR(__xludf.DUMMYFUNCTION("""COMPUTED_VALUE"""),"RUN-ABRM_2022-11-22_RFR-089")</f>
        <v>RUN-ABRM_2022-11-22_RFR-089</v>
      </c>
      <c r="C538" s="8">
        <f>VLOOKUP(B538,'Run Reconcile'!A$2:B3212,2,FALSE)</f>
        <v>44887</v>
      </c>
      <c r="D538" s="12">
        <f>IFERROR(__xludf.DUMMYFUNCTION("""COMPUTED_VALUE"""),44887.0)</f>
        <v>44887</v>
      </c>
      <c r="E538" s="13">
        <f>IFERROR(__xludf.DUMMYFUNCTION("""COMPUTED_VALUE"""),0.304722222223063)</f>
        <v>0.3047222222</v>
      </c>
      <c r="F538" s="7" t="str">
        <f>IFERROR(__xludf.DUMMYFUNCTION("""COMPUTED_VALUE"""),"Negative")</f>
        <v>Negative</v>
      </c>
      <c r="G538" s="7">
        <f>IFERROR(__xludf.DUMMYFUNCTION("""COMPUTED_VALUE"""),3.0)</f>
        <v>3</v>
      </c>
    </row>
    <row r="539">
      <c r="A539" s="7" t="str">
        <f>IFERROR(__xludf.DUMMYFUNCTION("""COMPUTED_VALUE"""),"AG777")</f>
        <v>AG777</v>
      </c>
      <c r="B539" s="7" t="str">
        <f>IFERROR(__xludf.DUMMYFUNCTION("""COMPUTED_VALUE"""),"RUN-ABRM_2022-11-22_RFR-089")</f>
        <v>RUN-ABRM_2022-11-22_RFR-089</v>
      </c>
      <c r="C539" s="8">
        <f>VLOOKUP(B539,'Run Reconcile'!A$2:B3212,2,FALSE)</f>
        <v>44887</v>
      </c>
      <c r="D539" s="12">
        <f>IFERROR(__xludf.DUMMYFUNCTION("""COMPUTED_VALUE"""),44887.0)</f>
        <v>44887</v>
      </c>
      <c r="E539" s="13">
        <f>IFERROR(__xludf.DUMMYFUNCTION("""COMPUTED_VALUE"""),0.3089699074080272)</f>
        <v>0.3089699074</v>
      </c>
      <c r="F539" s="7" t="str">
        <f>IFERROR(__xludf.DUMMYFUNCTION("""COMPUTED_VALUE"""),"Negative")</f>
        <v>Negative</v>
      </c>
      <c r="G539" s="7">
        <f>IFERROR(__xludf.DUMMYFUNCTION("""COMPUTED_VALUE"""),1.0)</f>
        <v>1</v>
      </c>
    </row>
    <row r="540">
      <c r="A540" s="7" t="str">
        <f>IFERROR(__xludf.DUMMYFUNCTION("""COMPUTED_VALUE"""),"AH7144")</f>
        <v>AH7144</v>
      </c>
      <c r="B540" s="7" t="str">
        <f>IFERROR(__xludf.DUMMYFUNCTION("""COMPUTED_VALUE"""),"RUN-ABRM_2022-11-22_RFR-089")</f>
        <v>RUN-ABRM_2022-11-22_RFR-089</v>
      </c>
      <c r="C540" s="8">
        <f>VLOOKUP(B540,'Run Reconcile'!A$2:B3212,2,FALSE)</f>
        <v>44887</v>
      </c>
      <c r="D540" s="12">
        <f>IFERROR(__xludf.DUMMYFUNCTION("""COMPUTED_VALUE"""),44887.0)</f>
        <v>44887</v>
      </c>
      <c r="E540" s="13">
        <f>IFERROR(__xludf.DUMMYFUNCTION("""COMPUTED_VALUE"""),0.309745370370365)</f>
        <v>0.3097453704</v>
      </c>
      <c r="F540" s="7" t="str">
        <f>IFERROR(__xludf.DUMMYFUNCTION("""COMPUTED_VALUE"""),"Negative")</f>
        <v>Negative</v>
      </c>
      <c r="G540" s="7">
        <f>IFERROR(__xludf.DUMMYFUNCTION("""COMPUTED_VALUE"""),1.0)</f>
        <v>1</v>
      </c>
    </row>
    <row r="541">
      <c r="A541" s="7" t="str">
        <f>IFERROR(__xludf.DUMMYFUNCTION("""COMPUTED_VALUE"""),"AG1219")</f>
        <v>AG1219</v>
      </c>
      <c r="B541" s="7" t="str">
        <f>IFERROR(__xludf.DUMMYFUNCTION("""COMPUTED_VALUE"""),"RUN-ABRM_2022-11-22_RFR-089")</f>
        <v>RUN-ABRM_2022-11-22_RFR-089</v>
      </c>
      <c r="C541" s="8">
        <f>VLOOKUP(B541,'Run Reconcile'!A$2:B3212,2,FALSE)</f>
        <v>44887</v>
      </c>
      <c r="D541" s="12">
        <f>IFERROR(__xludf.DUMMYFUNCTION("""COMPUTED_VALUE"""),44887.0)</f>
        <v>44887</v>
      </c>
      <c r="E541" s="13">
        <f>IFERROR(__xludf.DUMMYFUNCTION("""COMPUTED_VALUE"""),0.31008101851693937)</f>
        <v>0.3100810185</v>
      </c>
      <c r="F541" s="7" t="str">
        <f>IFERROR(__xludf.DUMMYFUNCTION("""COMPUTED_VALUE"""),"Negative")</f>
        <v>Negative</v>
      </c>
      <c r="G541" s="7">
        <f>IFERROR(__xludf.DUMMYFUNCTION("""COMPUTED_VALUE"""),1.0)</f>
        <v>1</v>
      </c>
    </row>
    <row r="542">
      <c r="A542" s="7" t="str">
        <f>IFERROR(__xludf.DUMMYFUNCTION("""COMPUTED_VALUE"""),"AH311")</f>
        <v>AH311</v>
      </c>
      <c r="B542" s="7" t="str">
        <f>IFERROR(__xludf.DUMMYFUNCTION("""COMPUTED_VALUE"""),"RUN-ABRM_2022-11-22_RFR-089")</f>
        <v>RUN-ABRM_2022-11-22_RFR-089</v>
      </c>
      <c r="C542" s="8">
        <f>VLOOKUP(B542,'Run Reconcile'!A$2:B3212,2,FALSE)</f>
        <v>44887</v>
      </c>
      <c r="D542" s="12">
        <f>IFERROR(__xludf.DUMMYFUNCTION("""COMPUTED_VALUE"""),44887.0)</f>
        <v>44887</v>
      </c>
      <c r="E542" s="13">
        <f>IFERROR(__xludf.DUMMYFUNCTION("""COMPUTED_VALUE"""),0.317766203705105)</f>
        <v>0.3177662037</v>
      </c>
      <c r="F542" s="7" t="str">
        <f>IFERROR(__xludf.DUMMYFUNCTION("""COMPUTED_VALUE"""),"Negative")</f>
        <v>Negative</v>
      </c>
      <c r="G542" s="7">
        <f>IFERROR(__xludf.DUMMYFUNCTION("""COMPUTED_VALUE"""),1.0)</f>
        <v>1</v>
      </c>
    </row>
    <row r="543">
      <c r="A543" s="7" t="str">
        <f>IFERROR(__xludf.DUMMYFUNCTION("""COMPUTED_VALUE"""),"AJ9712")</f>
        <v>AJ9712</v>
      </c>
      <c r="B543" s="7" t="str">
        <f>IFERROR(__xludf.DUMMYFUNCTION("""COMPUTED_VALUE"""),"RUN-ABRM_2022-11-22_RFR-089")</f>
        <v>RUN-ABRM_2022-11-22_RFR-089</v>
      </c>
      <c r="C543" s="8">
        <f>VLOOKUP(B543,'Run Reconcile'!A$2:B3212,2,FALSE)</f>
        <v>44887</v>
      </c>
      <c r="D543" s="12">
        <f>IFERROR(__xludf.DUMMYFUNCTION("""COMPUTED_VALUE"""),44887.0)</f>
        <v>44887</v>
      </c>
      <c r="E543" s="13">
        <f>IFERROR(__xludf.DUMMYFUNCTION("""COMPUTED_VALUE"""),0.322754629629344)</f>
        <v>0.3227546296</v>
      </c>
      <c r="F543" s="7" t="str">
        <f>IFERROR(__xludf.DUMMYFUNCTION("""COMPUTED_VALUE"""),"Negative")</f>
        <v>Negative</v>
      </c>
      <c r="G543" s="7">
        <f>IFERROR(__xludf.DUMMYFUNCTION("""COMPUTED_VALUE"""),1.0)</f>
        <v>1</v>
      </c>
    </row>
    <row r="544">
      <c r="A544" s="7" t="str">
        <f>IFERROR(__xludf.DUMMYFUNCTION("""COMPUTED_VALUE"""),"AH7624")</f>
        <v>AH7624</v>
      </c>
      <c r="B544" s="7" t="str">
        <f>IFERROR(__xludf.DUMMYFUNCTION("""COMPUTED_VALUE"""),"RUN-ABRM_2022-11-22_RFR-089")</f>
        <v>RUN-ABRM_2022-11-22_RFR-089</v>
      </c>
      <c r="C544" s="8">
        <f>VLOOKUP(B544,'Run Reconcile'!A$2:B3212,2,FALSE)</f>
        <v>44887</v>
      </c>
      <c r="D544" s="12">
        <f>IFERROR(__xludf.DUMMYFUNCTION("""COMPUTED_VALUE"""),44887.0)</f>
        <v>44887</v>
      </c>
      <c r="E544" s="13">
        <f>IFERROR(__xludf.DUMMYFUNCTION("""COMPUTED_VALUE"""),0.32312499999898137)</f>
        <v>0.323125</v>
      </c>
      <c r="F544" s="7" t="str">
        <f>IFERROR(__xludf.DUMMYFUNCTION("""COMPUTED_VALUE"""),"Negative")</f>
        <v>Negative</v>
      </c>
      <c r="G544" s="7">
        <f>IFERROR(__xludf.DUMMYFUNCTION("""COMPUTED_VALUE"""),2.0)</f>
        <v>2</v>
      </c>
    </row>
    <row r="545">
      <c r="A545" s="7" t="str">
        <f>IFERROR(__xludf.DUMMYFUNCTION("""COMPUTED_VALUE"""),"AH8063")</f>
        <v>AH8063</v>
      </c>
      <c r="B545" s="7" t="str">
        <f>IFERROR(__xludf.DUMMYFUNCTION("""COMPUTED_VALUE"""),"RUN-ABRM_2022-11-22_RFR-089")</f>
        <v>RUN-ABRM_2022-11-22_RFR-089</v>
      </c>
      <c r="C545" s="8">
        <f>VLOOKUP(B545,'Run Reconcile'!A$2:B3212,2,FALSE)</f>
        <v>44887</v>
      </c>
      <c r="D545" s="12">
        <f>IFERROR(__xludf.DUMMYFUNCTION("""COMPUTED_VALUE"""),44887.0)</f>
        <v>44887</v>
      </c>
      <c r="E545" s="13">
        <f>IFERROR(__xludf.DUMMYFUNCTION("""COMPUTED_VALUE"""),0.3303703703713836)</f>
        <v>0.3303703704</v>
      </c>
      <c r="F545" s="7" t="str">
        <f>IFERROR(__xludf.DUMMYFUNCTION("""COMPUTED_VALUE"""),"Negative")</f>
        <v>Negative</v>
      </c>
      <c r="G545" s="7">
        <f>IFERROR(__xludf.DUMMYFUNCTION("""COMPUTED_VALUE"""),3.0)</f>
        <v>3</v>
      </c>
    </row>
    <row r="546">
      <c r="A546" s="7" t="str">
        <f>IFERROR(__xludf.DUMMYFUNCTION("""COMPUTED_VALUE"""),"AJ8767")</f>
        <v>AJ8767</v>
      </c>
      <c r="B546" s="7" t="str">
        <f>IFERROR(__xludf.DUMMYFUNCTION("""COMPUTED_VALUE"""),"RUN-ABRM_2022-11-25_RFR-090")</f>
        <v>RUN-ABRM_2022-11-25_RFR-090</v>
      </c>
      <c r="C546" s="8">
        <f>VLOOKUP(B546,'Run Reconcile'!A$2:B3212,2,FALSE)</f>
        <v>44890</v>
      </c>
      <c r="D546" s="12">
        <f>IFERROR(__xludf.DUMMYFUNCTION("""COMPUTED_VALUE"""),44890.0)</f>
        <v>44890</v>
      </c>
      <c r="E546" s="13">
        <f>IFERROR(__xludf.DUMMYFUNCTION("""COMPUTED_VALUE"""),0.15880787037167465)</f>
        <v>0.1588078704</v>
      </c>
      <c r="F546" s="7" t="str">
        <f>IFERROR(__xludf.DUMMYFUNCTION("""COMPUTED_VALUE"""),"Negative")</f>
        <v>Negative</v>
      </c>
      <c r="G546" s="7">
        <f>IFERROR(__xludf.DUMMYFUNCTION("""COMPUTED_VALUE"""),1.0)</f>
        <v>1</v>
      </c>
    </row>
    <row r="547">
      <c r="A547" s="7" t="str">
        <f>IFERROR(__xludf.DUMMYFUNCTION("""COMPUTED_VALUE"""),"AG688")</f>
        <v>AG688</v>
      </c>
      <c r="B547" s="7" t="str">
        <f>IFERROR(__xludf.DUMMYFUNCTION("""COMPUTED_VALUE"""),"RUN-ABRM_2022-11-25_RFR-090")</f>
        <v>RUN-ABRM_2022-11-25_RFR-090</v>
      </c>
      <c r="C547" s="8">
        <f>VLOOKUP(B547,'Run Reconcile'!A$2:B3212,2,FALSE)</f>
        <v>44890</v>
      </c>
      <c r="D547" s="12">
        <f>IFERROR(__xludf.DUMMYFUNCTION("""COMPUTED_VALUE"""),44890.0)</f>
        <v>44890</v>
      </c>
      <c r="E547" s="13">
        <f>IFERROR(__xludf.DUMMYFUNCTION("""COMPUTED_VALUE"""),0.1590856481489027)</f>
        <v>0.1590856481</v>
      </c>
      <c r="F547" s="7" t="str">
        <f>IFERROR(__xludf.DUMMYFUNCTION("""COMPUTED_VALUE"""),"Negative")</f>
        <v>Negative</v>
      </c>
      <c r="G547" s="7">
        <f>IFERROR(__xludf.DUMMYFUNCTION("""COMPUTED_VALUE"""),1.0)</f>
        <v>1</v>
      </c>
    </row>
    <row r="548">
      <c r="A548" s="7" t="str">
        <f>IFERROR(__xludf.DUMMYFUNCTION("""COMPUTED_VALUE"""),"AH7688")</f>
        <v>AH7688</v>
      </c>
      <c r="B548" s="7" t="str">
        <f>IFERROR(__xludf.DUMMYFUNCTION("""COMPUTED_VALUE"""),"RUN-ABRM_2022-11-25_RFR-090")</f>
        <v>RUN-ABRM_2022-11-25_RFR-090</v>
      </c>
      <c r="C548" s="8">
        <f>VLOOKUP(B548,'Run Reconcile'!A$2:B3212,2,FALSE)</f>
        <v>44890</v>
      </c>
      <c r="D548" s="12">
        <f>IFERROR(__xludf.DUMMYFUNCTION("""COMPUTED_VALUE"""),44890.0)</f>
        <v>44890</v>
      </c>
      <c r="E548" s="13">
        <f>IFERROR(__xludf.DUMMYFUNCTION("""COMPUTED_VALUE"""),0.15935185185298906)</f>
        <v>0.1593518519</v>
      </c>
      <c r="F548" s="7" t="str">
        <f>IFERROR(__xludf.DUMMYFUNCTION("""COMPUTED_VALUE"""),"Negative")</f>
        <v>Negative</v>
      </c>
      <c r="G548" s="7">
        <f>IFERROR(__xludf.DUMMYFUNCTION("""COMPUTED_VALUE"""),2.0)</f>
        <v>2</v>
      </c>
    </row>
    <row r="549">
      <c r="A549" s="7" t="str">
        <f>IFERROR(__xludf.DUMMYFUNCTION("""COMPUTED_VALUE"""),"AK7853")</f>
        <v>AK7853</v>
      </c>
      <c r="B549" s="7" t="str">
        <f>IFERROR(__xludf.DUMMYFUNCTION("""COMPUTED_VALUE"""),"RUN-ABRM_2022-11-27_RFR-091")</f>
        <v>RUN-ABRM_2022-11-27_RFR-091</v>
      </c>
      <c r="C549" s="8">
        <f>VLOOKUP(B549,'Run Reconcile'!A$2:B3212,2,FALSE)</f>
        <v>44892</v>
      </c>
      <c r="D549" s="12">
        <f>IFERROR(__xludf.DUMMYFUNCTION("""COMPUTED_VALUE"""),44892.0)</f>
        <v>44892</v>
      </c>
      <c r="E549" s="13">
        <f>IFERROR(__xludf.DUMMYFUNCTION("""COMPUTED_VALUE"""),0.3365856481468654)</f>
        <v>0.3365856481</v>
      </c>
      <c r="F549" s="7" t="str">
        <f>IFERROR(__xludf.DUMMYFUNCTION("""COMPUTED_VALUE"""),"Negative")</f>
        <v>Negative</v>
      </c>
      <c r="G549" s="7">
        <f>IFERROR(__xludf.DUMMYFUNCTION("""COMPUTED_VALUE"""),1.0)</f>
        <v>1</v>
      </c>
    </row>
    <row r="550">
      <c r="A550" s="7" t="str">
        <f>IFERROR(__xludf.DUMMYFUNCTION("""COMPUTED_VALUE"""),"AH6843")</f>
        <v>AH6843</v>
      </c>
      <c r="B550" s="7" t="str">
        <f>IFERROR(__xludf.DUMMYFUNCTION("""COMPUTED_VALUE"""),"RUN-ABRM_2022-11-27_RFR-091")</f>
        <v>RUN-ABRM_2022-11-27_RFR-091</v>
      </c>
      <c r="C550" s="8">
        <f>VLOOKUP(B550,'Run Reconcile'!A$2:B3212,2,FALSE)</f>
        <v>44892</v>
      </c>
      <c r="D550" s="12">
        <f>IFERROR(__xludf.DUMMYFUNCTION("""COMPUTED_VALUE"""),44892.0)</f>
        <v>44892</v>
      </c>
      <c r="E550" s="13">
        <f>IFERROR(__xludf.DUMMYFUNCTION("""COMPUTED_VALUE"""),0.3371759259243845)</f>
        <v>0.3371759259</v>
      </c>
      <c r="F550" s="7" t="str">
        <f>IFERROR(__xludf.DUMMYFUNCTION("""COMPUTED_VALUE"""),"Negative")</f>
        <v>Negative</v>
      </c>
      <c r="G550" s="7">
        <f>IFERROR(__xludf.DUMMYFUNCTION("""COMPUTED_VALUE"""),1.0)</f>
        <v>1</v>
      </c>
    </row>
    <row r="551">
      <c r="A551" s="7" t="str">
        <f>IFERROR(__xludf.DUMMYFUNCTION("""COMPUTED_VALUE"""),"AH6744")</f>
        <v>AH6744</v>
      </c>
      <c r="B551" s="7" t="str">
        <f>IFERROR(__xludf.DUMMYFUNCTION("""COMPUTED_VALUE"""),"RUN-ABRM_2022-11-27_RFR-091")</f>
        <v>RUN-ABRM_2022-11-27_RFR-091</v>
      </c>
      <c r="C551" s="8">
        <f>VLOOKUP(B551,'Run Reconcile'!A$2:B3212,2,FALSE)</f>
        <v>44892</v>
      </c>
      <c r="D551" s="12">
        <f>IFERROR(__xludf.DUMMYFUNCTION("""COMPUTED_VALUE"""),44892.0)</f>
        <v>44892</v>
      </c>
      <c r="E551" s="13">
        <f>IFERROR(__xludf.DUMMYFUNCTION("""COMPUTED_VALUE"""),0.40546296296452056)</f>
        <v>0.405462963</v>
      </c>
      <c r="F551" s="7" t="str">
        <f>IFERROR(__xludf.DUMMYFUNCTION("""COMPUTED_VALUE"""),"Negative")</f>
        <v>Negative</v>
      </c>
      <c r="G551" s="7">
        <f>IFERROR(__xludf.DUMMYFUNCTION("""COMPUTED_VALUE"""),1.0)</f>
        <v>1</v>
      </c>
    </row>
    <row r="552">
      <c r="A552" s="7" t="str">
        <f>IFERROR(__xludf.DUMMYFUNCTION("""COMPUTED_VALUE"""),"AH8690")</f>
        <v>AH8690</v>
      </c>
      <c r="B552" s="7" t="str">
        <f>IFERROR(__xludf.DUMMYFUNCTION("""COMPUTED_VALUE"""),"RUN-ABRM_2022-11-27_RFR-091")</f>
        <v>RUN-ABRM_2022-11-27_RFR-091</v>
      </c>
      <c r="C552" s="8">
        <f>VLOOKUP(B552,'Run Reconcile'!A$2:B3212,2,FALSE)</f>
        <v>44892</v>
      </c>
      <c r="D552" s="12">
        <f>IFERROR(__xludf.DUMMYFUNCTION("""COMPUTED_VALUE"""),44892.0)</f>
        <v>44892</v>
      </c>
      <c r="E552" s="13">
        <f>IFERROR(__xludf.DUMMYFUNCTION("""COMPUTED_VALUE"""),0.40619212963065365)</f>
        <v>0.4061921296</v>
      </c>
      <c r="F552" s="7" t="str">
        <f>IFERROR(__xludf.DUMMYFUNCTION("""COMPUTED_VALUE"""),"Negative")</f>
        <v>Negative</v>
      </c>
      <c r="G552" s="7">
        <f>IFERROR(__xludf.DUMMYFUNCTION("""COMPUTED_VALUE"""),3.0)</f>
        <v>3</v>
      </c>
    </row>
    <row r="553">
      <c r="A553" s="7" t="str">
        <f>IFERROR(__xludf.DUMMYFUNCTION("""COMPUTED_VALUE"""),"AJ7933")</f>
        <v>AJ7933</v>
      </c>
      <c r="B553" s="7" t="str">
        <f>IFERROR(__xludf.DUMMYFUNCTION("""COMPUTED_VALUE"""),"RUN-ABRM_2022-11-28_RFR-092")</f>
        <v>RUN-ABRM_2022-11-28_RFR-092</v>
      </c>
      <c r="C553" s="8">
        <f>VLOOKUP(B553,'Run Reconcile'!A$2:B3212,2,FALSE)</f>
        <v>44893</v>
      </c>
      <c r="D553" s="12">
        <f>IFERROR(__xludf.DUMMYFUNCTION("""COMPUTED_VALUE"""),44893.0)</f>
        <v>44893</v>
      </c>
      <c r="E553" s="13">
        <f>IFERROR(__xludf.DUMMYFUNCTION("""COMPUTED_VALUE"""),0.296909722223063)</f>
        <v>0.2969097222</v>
      </c>
      <c r="F553" s="7" t="str">
        <f>IFERROR(__xludf.DUMMYFUNCTION("""COMPUTED_VALUE"""),"Negative")</f>
        <v>Negative</v>
      </c>
      <c r="G553" s="7">
        <f>IFERROR(__xludf.DUMMYFUNCTION("""COMPUTED_VALUE"""),3.0)</f>
        <v>3</v>
      </c>
    </row>
    <row r="554">
      <c r="A554" s="7" t="str">
        <f>IFERROR(__xludf.DUMMYFUNCTION("""COMPUTED_VALUE"""),"AG585")</f>
        <v>AG585</v>
      </c>
      <c r="B554" s="7" t="str">
        <f>IFERROR(__xludf.DUMMYFUNCTION("""COMPUTED_VALUE"""),"RUN-ABRM_2022-11-28_RFR-092")</f>
        <v>RUN-ABRM_2022-11-28_RFR-092</v>
      </c>
      <c r="C554" s="8">
        <f>VLOOKUP(B554,'Run Reconcile'!A$2:B3212,2,FALSE)</f>
        <v>44893</v>
      </c>
      <c r="D554" s="12">
        <f>IFERROR(__xludf.DUMMYFUNCTION("""COMPUTED_VALUE"""),44893.0)</f>
        <v>44893</v>
      </c>
      <c r="E554" s="13">
        <f>IFERROR(__xludf.DUMMYFUNCTION("""COMPUTED_VALUE"""),0.29875000000174623)</f>
        <v>0.29875</v>
      </c>
      <c r="F554" s="7" t="str">
        <f>IFERROR(__xludf.DUMMYFUNCTION("""COMPUTED_VALUE"""),"Negative")</f>
        <v>Negative</v>
      </c>
      <c r="G554" s="7">
        <f>IFERROR(__xludf.DUMMYFUNCTION("""COMPUTED_VALUE"""),3.0)</f>
        <v>3</v>
      </c>
    </row>
    <row r="555">
      <c r="A555" s="7" t="str">
        <f>IFERROR(__xludf.DUMMYFUNCTION("""COMPUTED_VALUE"""),"AG900")</f>
        <v>AG900</v>
      </c>
      <c r="B555" s="7" t="str">
        <f>IFERROR(__xludf.DUMMYFUNCTION("""COMPUTED_VALUE"""),"RUN-ABRM_2022-11-28_RFR-092")</f>
        <v>RUN-ABRM_2022-11-28_RFR-092</v>
      </c>
      <c r="C555" s="8">
        <f>VLOOKUP(B555,'Run Reconcile'!A$2:B3212,2,FALSE)</f>
        <v>44893</v>
      </c>
      <c r="D555" s="12">
        <f>IFERROR(__xludf.DUMMYFUNCTION("""COMPUTED_VALUE"""),44893.0)</f>
        <v>44893</v>
      </c>
      <c r="E555" s="13">
        <f>IFERROR(__xludf.DUMMYFUNCTION("""COMPUTED_VALUE"""),0.3016666666662786)</f>
        <v>0.3016666667</v>
      </c>
      <c r="F555" s="7" t="str">
        <f>IFERROR(__xludf.DUMMYFUNCTION("""COMPUTED_VALUE"""),"Negative")</f>
        <v>Negative</v>
      </c>
      <c r="G555" s="7">
        <f>IFERROR(__xludf.DUMMYFUNCTION("""COMPUTED_VALUE"""),2.0)</f>
        <v>2</v>
      </c>
    </row>
    <row r="556">
      <c r="A556" s="7" t="str">
        <f>IFERROR(__xludf.DUMMYFUNCTION("""COMPUTED_VALUE"""),"AH727")</f>
        <v>AH727</v>
      </c>
      <c r="B556" s="7" t="str">
        <f>IFERROR(__xludf.DUMMYFUNCTION("""COMPUTED_VALUE"""),"RUN-ABRM_2022-11-28_RFR-092")</f>
        <v>RUN-ABRM_2022-11-28_RFR-092</v>
      </c>
      <c r="C556" s="8">
        <f>VLOOKUP(B556,'Run Reconcile'!A$2:B3212,2,FALSE)</f>
        <v>44893</v>
      </c>
      <c r="D556" s="12">
        <f>IFERROR(__xludf.DUMMYFUNCTION("""COMPUTED_VALUE"""),44893.0)</f>
        <v>44893</v>
      </c>
      <c r="E556" s="13">
        <f>IFERROR(__xludf.DUMMYFUNCTION("""COMPUTED_VALUE"""),0.30447916666526)</f>
        <v>0.3044791667</v>
      </c>
      <c r="F556" s="7" t="str">
        <f>IFERROR(__xludf.DUMMYFUNCTION("""COMPUTED_VALUE"""),"Negative")</f>
        <v>Negative</v>
      </c>
      <c r="G556" s="7">
        <f>IFERROR(__xludf.DUMMYFUNCTION("""COMPUTED_VALUE"""),4.0)</f>
        <v>4</v>
      </c>
    </row>
    <row r="557">
      <c r="A557" s="7" t="str">
        <f>IFERROR(__xludf.DUMMYFUNCTION("""COMPUTED_VALUE"""),"AH7834")</f>
        <v>AH7834</v>
      </c>
      <c r="B557" s="7" t="str">
        <f>IFERROR(__xludf.DUMMYFUNCTION("""COMPUTED_VALUE"""),"RUN-ABRM_2022-11-28_RFR-092")</f>
        <v>RUN-ABRM_2022-11-28_RFR-092</v>
      </c>
      <c r="C557" s="8">
        <f>VLOOKUP(B557,'Run Reconcile'!A$2:B3212,2,FALSE)</f>
        <v>44893</v>
      </c>
      <c r="D557" s="12">
        <f>IFERROR(__xludf.DUMMYFUNCTION("""COMPUTED_VALUE"""),44893.0)</f>
        <v>44893</v>
      </c>
      <c r="E557" s="13">
        <f>IFERROR(__xludf.DUMMYFUNCTION("""COMPUTED_VALUE"""),0.3046875)</f>
        <v>0.3046875</v>
      </c>
      <c r="F557" s="7" t="str">
        <f>IFERROR(__xludf.DUMMYFUNCTION("""COMPUTED_VALUE"""),"Negative")</f>
        <v>Negative</v>
      </c>
      <c r="G557" s="7">
        <f>IFERROR(__xludf.DUMMYFUNCTION("""COMPUTED_VALUE"""),3.0)</f>
        <v>3</v>
      </c>
    </row>
    <row r="558">
      <c r="A558" s="7" t="str">
        <f>IFERROR(__xludf.DUMMYFUNCTION("""COMPUTED_VALUE"""),"AG167")</f>
        <v>AG167</v>
      </c>
      <c r="B558" s="7" t="str">
        <f>IFERROR(__xludf.DUMMYFUNCTION("""COMPUTED_VALUE"""),"RUN-ABRM_2022-11-28_RFR-092")</f>
        <v>RUN-ABRM_2022-11-28_RFR-092</v>
      </c>
      <c r="C558" s="8">
        <f>VLOOKUP(B558,'Run Reconcile'!A$2:B3212,2,FALSE)</f>
        <v>44893</v>
      </c>
      <c r="D558" s="12">
        <f>IFERROR(__xludf.DUMMYFUNCTION("""COMPUTED_VALUE"""),44893.0)</f>
        <v>44893</v>
      </c>
      <c r="E558" s="13">
        <f>IFERROR(__xludf.DUMMYFUNCTION("""COMPUTED_VALUE"""),0.32076388888890506)</f>
        <v>0.3207638889</v>
      </c>
      <c r="F558" s="7" t="str">
        <f>IFERROR(__xludf.DUMMYFUNCTION("""COMPUTED_VALUE"""),"Negative")</f>
        <v>Negative</v>
      </c>
      <c r="G558" s="7">
        <f>IFERROR(__xludf.DUMMYFUNCTION("""COMPUTED_VALUE"""),1.0)</f>
        <v>1</v>
      </c>
    </row>
    <row r="559">
      <c r="A559" s="7" t="str">
        <f>IFERROR(__xludf.DUMMYFUNCTION("""COMPUTED_VALUE"""),"AH1146")</f>
        <v>AH1146</v>
      </c>
      <c r="B559" s="7" t="str">
        <f>IFERROR(__xludf.DUMMYFUNCTION("""COMPUTED_VALUE"""),"RUN-ABRM_2022-11-28_RFR-092")</f>
        <v>RUN-ABRM_2022-11-28_RFR-092</v>
      </c>
      <c r="C559" s="8">
        <f>VLOOKUP(B559,'Run Reconcile'!A$2:B3212,2,FALSE)</f>
        <v>44893</v>
      </c>
      <c r="D559" s="12">
        <f>IFERROR(__xludf.DUMMYFUNCTION("""COMPUTED_VALUE"""),44893.0)</f>
        <v>44893</v>
      </c>
      <c r="E559" s="13">
        <f>IFERROR(__xludf.DUMMYFUNCTION("""COMPUTED_VALUE"""),0.3233333333337214)</f>
        <v>0.3233333333</v>
      </c>
      <c r="F559" s="7" t="str">
        <f>IFERROR(__xludf.DUMMYFUNCTION("""COMPUTED_VALUE"""),"Negative")</f>
        <v>Negative</v>
      </c>
      <c r="G559" s="7">
        <f>IFERROR(__xludf.DUMMYFUNCTION("""COMPUTED_VALUE"""),1.0)</f>
        <v>1</v>
      </c>
    </row>
    <row r="560">
      <c r="A560" s="7" t="str">
        <f>IFERROR(__xludf.DUMMYFUNCTION("""COMPUTED_VALUE"""),"AH7510")</f>
        <v>AH7510</v>
      </c>
      <c r="B560" s="7" t="str">
        <f>IFERROR(__xludf.DUMMYFUNCTION("""COMPUTED_VALUE"""),"RUN-ABRM_2022-11-28_RFR-092")</f>
        <v>RUN-ABRM_2022-11-28_RFR-092</v>
      </c>
      <c r="C560" s="8">
        <f>VLOOKUP(B560,'Run Reconcile'!A$2:B3212,2,FALSE)</f>
        <v>44893</v>
      </c>
      <c r="D560" s="12">
        <f>IFERROR(__xludf.DUMMYFUNCTION("""COMPUTED_VALUE"""),44893.0)</f>
        <v>44893</v>
      </c>
      <c r="E560" s="13">
        <f>IFERROR(__xludf.DUMMYFUNCTION("""COMPUTED_VALUE"""),0.32446759259255487)</f>
        <v>0.3244675926</v>
      </c>
      <c r="F560" s="7" t="str">
        <f>IFERROR(__xludf.DUMMYFUNCTION("""COMPUTED_VALUE"""),"Negative")</f>
        <v>Negative</v>
      </c>
      <c r="G560" s="7">
        <f>IFERROR(__xludf.DUMMYFUNCTION("""COMPUTED_VALUE"""),2.0)</f>
        <v>2</v>
      </c>
    </row>
    <row r="561">
      <c r="A561" s="7" t="str">
        <f>IFERROR(__xludf.DUMMYFUNCTION("""COMPUTED_VALUE"""),"AG1744")</f>
        <v>AG1744</v>
      </c>
      <c r="B561" s="7" t="str">
        <f>IFERROR(__xludf.DUMMYFUNCTION("""COMPUTED_VALUE"""),"RUN-ABRM_2022-11-28_RFR-092")</f>
        <v>RUN-ABRM_2022-11-28_RFR-092</v>
      </c>
      <c r="C561" s="8">
        <f>VLOOKUP(B561,'Run Reconcile'!A$2:B3212,2,FALSE)</f>
        <v>44893</v>
      </c>
      <c r="D561" s="12">
        <f>IFERROR(__xludf.DUMMYFUNCTION("""COMPUTED_VALUE"""),44893.0)</f>
        <v>44893</v>
      </c>
      <c r="E561" s="13">
        <f>IFERROR(__xludf.DUMMYFUNCTION("""COMPUTED_VALUE"""),0.32561342592453)</f>
        <v>0.3256134259</v>
      </c>
      <c r="F561" s="7" t="str">
        <f>IFERROR(__xludf.DUMMYFUNCTION("""COMPUTED_VALUE"""),"Negative")</f>
        <v>Negative</v>
      </c>
      <c r="G561" s="7">
        <f>IFERROR(__xludf.DUMMYFUNCTION("""COMPUTED_VALUE"""),2.0)</f>
        <v>2</v>
      </c>
    </row>
    <row r="562">
      <c r="A562" s="7" t="str">
        <f>IFERROR(__xludf.DUMMYFUNCTION("""COMPUTED_VALUE"""),"AH7072")</f>
        <v>AH7072</v>
      </c>
      <c r="B562" s="7" t="str">
        <f>IFERROR(__xludf.DUMMYFUNCTION("""COMPUTED_VALUE"""),"RUN-ABRM_2022-11-28_RFR-092")</f>
        <v>RUN-ABRM_2022-11-28_RFR-092</v>
      </c>
      <c r="C562" s="8">
        <f>VLOOKUP(B562,'Run Reconcile'!A$2:B3212,2,FALSE)</f>
        <v>44893</v>
      </c>
      <c r="D562" s="12">
        <f>IFERROR(__xludf.DUMMYFUNCTION("""COMPUTED_VALUE"""),44893.0)</f>
        <v>44893</v>
      </c>
      <c r="E562" s="13">
        <f>IFERROR(__xludf.DUMMYFUNCTION("""COMPUTED_VALUE"""),0.33638888888890506)</f>
        <v>0.3363888889</v>
      </c>
      <c r="F562" s="7" t="str">
        <f>IFERROR(__xludf.DUMMYFUNCTION("""COMPUTED_VALUE"""),"Negative")</f>
        <v>Negative</v>
      </c>
      <c r="G562" s="7">
        <f>IFERROR(__xludf.DUMMYFUNCTION("""COMPUTED_VALUE"""),2.0)</f>
        <v>2</v>
      </c>
    </row>
    <row r="563">
      <c r="A563" s="7" t="str">
        <f>IFERROR(__xludf.DUMMYFUNCTION("""COMPUTED_VALUE"""),"AJ9353")</f>
        <v>AJ9353</v>
      </c>
      <c r="B563" s="7" t="str">
        <f>IFERROR(__xludf.DUMMYFUNCTION("""COMPUTED_VALUE"""),"RUN-ABRM_2022-11-29_RFR-093")</f>
        <v>RUN-ABRM_2022-11-29_RFR-093</v>
      </c>
      <c r="C563" s="8">
        <f>VLOOKUP(B563,'Run Reconcile'!A$2:B3212,2,FALSE)</f>
        <v>44894</v>
      </c>
      <c r="D563" s="12">
        <f>IFERROR(__xludf.DUMMYFUNCTION("""COMPUTED_VALUE"""),44894.0)</f>
        <v>44894</v>
      </c>
      <c r="E563" s="13">
        <f>IFERROR(__xludf.DUMMYFUNCTION("""COMPUTED_VALUE"""),0.283935185183509)</f>
        <v>0.2839351852</v>
      </c>
      <c r="F563" s="7" t="str">
        <f>IFERROR(__xludf.DUMMYFUNCTION("""COMPUTED_VALUE"""),"Negative")</f>
        <v>Negative</v>
      </c>
      <c r="G563" s="7">
        <f>IFERROR(__xludf.DUMMYFUNCTION("""COMPUTED_VALUE"""),3.0)</f>
        <v>3</v>
      </c>
    </row>
    <row r="564">
      <c r="A564" s="7" t="str">
        <f>IFERROR(__xludf.DUMMYFUNCTION("""COMPUTED_VALUE"""),"AG1908")</f>
        <v>AG1908</v>
      </c>
      <c r="B564" s="7" t="str">
        <f>IFERROR(__xludf.DUMMYFUNCTION("""COMPUTED_VALUE"""),"RUN-ABRM_2022-11-29_RFR-093")</f>
        <v>RUN-ABRM_2022-11-29_RFR-093</v>
      </c>
      <c r="C564" s="8">
        <f>VLOOKUP(B564,'Run Reconcile'!A$2:B3212,2,FALSE)</f>
        <v>44894</v>
      </c>
      <c r="D564" s="12">
        <f>IFERROR(__xludf.DUMMYFUNCTION("""COMPUTED_VALUE"""),44894.0)</f>
        <v>44894</v>
      </c>
      <c r="E564" s="13">
        <f>IFERROR(__xludf.DUMMYFUNCTION("""COMPUTED_VALUE"""),0.2937152777776646)</f>
        <v>0.2937152778</v>
      </c>
      <c r="F564" s="7" t="str">
        <f>IFERROR(__xludf.DUMMYFUNCTION("""COMPUTED_VALUE"""),"Negative")</f>
        <v>Negative</v>
      </c>
      <c r="G564" s="7">
        <f>IFERROR(__xludf.DUMMYFUNCTION("""COMPUTED_VALUE"""),3.0)</f>
        <v>3</v>
      </c>
    </row>
    <row r="565">
      <c r="A565" s="7" t="str">
        <f>IFERROR(__xludf.DUMMYFUNCTION("""COMPUTED_VALUE"""),"AH6763")</f>
        <v>AH6763</v>
      </c>
      <c r="B565" s="7" t="str">
        <f>IFERROR(__xludf.DUMMYFUNCTION("""COMPUTED_VALUE"""),"RUN-ABRM_2022-11-29_RFR-093")</f>
        <v>RUN-ABRM_2022-11-29_RFR-093</v>
      </c>
      <c r="C565" s="8">
        <f>VLOOKUP(B565,'Run Reconcile'!A$2:B3212,2,FALSE)</f>
        <v>44894</v>
      </c>
      <c r="D565" s="12">
        <f>IFERROR(__xludf.DUMMYFUNCTION("""COMPUTED_VALUE"""),44894.0)</f>
        <v>44894</v>
      </c>
      <c r="E565" s="13">
        <f>IFERROR(__xludf.DUMMYFUNCTION("""COMPUTED_VALUE"""),0.3046643518500787)</f>
        <v>0.3046643519</v>
      </c>
      <c r="F565" s="7" t="str">
        <f>IFERROR(__xludf.DUMMYFUNCTION("""COMPUTED_VALUE"""),"Negative")</f>
        <v>Negative</v>
      </c>
      <c r="G565" s="7">
        <f>IFERROR(__xludf.DUMMYFUNCTION("""COMPUTED_VALUE"""),3.0)</f>
        <v>3</v>
      </c>
    </row>
    <row r="566">
      <c r="A566" s="7" t="str">
        <f>IFERROR(__xludf.DUMMYFUNCTION("""COMPUTED_VALUE"""),"AH231")</f>
        <v>AH231</v>
      </c>
      <c r="B566" s="7" t="str">
        <f>IFERROR(__xludf.DUMMYFUNCTION("""COMPUTED_VALUE"""),"RUN-ABRM_2022-11-29_RFR-093")</f>
        <v>RUN-ABRM_2022-11-29_RFR-093</v>
      </c>
      <c r="C566" s="8">
        <f>VLOOKUP(B566,'Run Reconcile'!A$2:B3212,2,FALSE)</f>
        <v>44894</v>
      </c>
      <c r="D566" s="12">
        <f>IFERROR(__xludf.DUMMYFUNCTION("""COMPUTED_VALUE"""),44894.0)</f>
        <v>44894</v>
      </c>
      <c r="E566" s="13">
        <f>IFERROR(__xludf.DUMMYFUNCTION("""COMPUTED_VALUE"""),0.3170138888890506)</f>
        <v>0.3170138889</v>
      </c>
      <c r="F566" s="7" t="str">
        <f>IFERROR(__xludf.DUMMYFUNCTION("""COMPUTED_VALUE"""),"Negative")</f>
        <v>Negative</v>
      </c>
      <c r="G566" s="7">
        <f>IFERROR(__xludf.DUMMYFUNCTION("""COMPUTED_VALUE"""),1.0)</f>
        <v>1</v>
      </c>
    </row>
    <row r="567">
      <c r="A567" s="7" t="str">
        <f>IFERROR(__xludf.DUMMYFUNCTION("""COMPUTED_VALUE"""),"AK6077")</f>
        <v>AK6077</v>
      </c>
      <c r="B567" s="7" t="str">
        <f>IFERROR(__xludf.DUMMYFUNCTION("""COMPUTED_VALUE"""),"RUN-ABRM_2022-11-29_RFR-093")</f>
        <v>RUN-ABRM_2022-11-29_RFR-093</v>
      </c>
      <c r="C567" s="8">
        <f>VLOOKUP(B567,'Run Reconcile'!A$2:B3212,2,FALSE)</f>
        <v>44894</v>
      </c>
      <c r="D567" s="12">
        <f>IFERROR(__xludf.DUMMYFUNCTION("""COMPUTED_VALUE"""),44894.0)</f>
        <v>44894</v>
      </c>
      <c r="E567" s="13">
        <f>IFERROR(__xludf.DUMMYFUNCTION("""COMPUTED_VALUE"""),0.3173032407394203)</f>
        <v>0.3173032407</v>
      </c>
      <c r="F567" s="7" t="str">
        <f>IFERROR(__xludf.DUMMYFUNCTION("""COMPUTED_VALUE"""),"Negative")</f>
        <v>Negative</v>
      </c>
      <c r="G567" s="7">
        <f>IFERROR(__xludf.DUMMYFUNCTION("""COMPUTED_VALUE"""),1.0)</f>
        <v>1</v>
      </c>
    </row>
    <row r="568">
      <c r="A568" s="7" t="str">
        <f>IFERROR(__xludf.DUMMYFUNCTION("""COMPUTED_VALUE"""),"AG413")</f>
        <v>AG413</v>
      </c>
      <c r="B568" s="7" t="str">
        <f>IFERROR(__xludf.DUMMYFUNCTION("""COMPUTED_VALUE"""),"RUN-ABRM_2022-11-29_RFR-093")</f>
        <v>RUN-ABRM_2022-11-29_RFR-093</v>
      </c>
      <c r="C568" s="8">
        <f>VLOOKUP(B568,'Run Reconcile'!A$2:B3212,2,FALSE)</f>
        <v>44894</v>
      </c>
      <c r="D568" s="12">
        <f>IFERROR(__xludf.DUMMYFUNCTION("""COMPUTED_VALUE"""),44894.0)</f>
        <v>44894</v>
      </c>
      <c r="E568" s="13">
        <f>IFERROR(__xludf.DUMMYFUNCTION("""COMPUTED_VALUE"""),0.317662037035916)</f>
        <v>0.317662037</v>
      </c>
      <c r="F568" s="7" t="str">
        <f>IFERROR(__xludf.DUMMYFUNCTION("""COMPUTED_VALUE"""),"Negative")</f>
        <v>Negative</v>
      </c>
      <c r="G568" s="7">
        <f>IFERROR(__xludf.DUMMYFUNCTION("""COMPUTED_VALUE"""),1.0)</f>
        <v>1</v>
      </c>
    </row>
    <row r="569">
      <c r="A569" s="7" t="str">
        <f>IFERROR(__xludf.DUMMYFUNCTION("""COMPUTED_VALUE"""),"AJ5310")</f>
        <v>AJ5310</v>
      </c>
      <c r="B569" s="7" t="str">
        <f>IFERROR(__xludf.DUMMYFUNCTION("""COMPUTED_VALUE"""),"RUN-ABRM_2022-11-29_RFR-093")</f>
        <v>RUN-ABRM_2022-11-29_RFR-093</v>
      </c>
      <c r="C569" s="8">
        <f>VLOOKUP(B569,'Run Reconcile'!A$2:B3212,2,FALSE)</f>
        <v>44894</v>
      </c>
      <c r="D569" s="12">
        <f>IFERROR(__xludf.DUMMYFUNCTION("""COMPUTED_VALUE"""),44894.0)</f>
        <v>44894</v>
      </c>
      <c r="E569" s="13">
        <f>IFERROR(__xludf.DUMMYFUNCTION("""COMPUTED_VALUE"""),0.3272453703721112)</f>
        <v>0.3272453704</v>
      </c>
      <c r="F569" s="7" t="str">
        <f>IFERROR(__xludf.DUMMYFUNCTION("""COMPUTED_VALUE"""),"Negative")</f>
        <v>Negative</v>
      </c>
      <c r="G569" s="7">
        <f>IFERROR(__xludf.DUMMYFUNCTION("""COMPUTED_VALUE"""),1.0)</f>
        <v>1</v>
      </c>
    </row>
    <row r="570">
      <c r="A570" s="7" t="str">
        <f>IFERROR(__xludf.DUMMYFUNCTION("""COMPUTED_VALUE"""),"AK7460")</f>
        <v>AK7460</v>
      </c>
      <c r="B570" s="7" t="str">
        <f>IFERROR(__xludf.DUMMYFUNCTION("""COMPUTED_VALUE"""),"RUN-ABRM_2022-11-29_RFR-093")</f>
        <v>RUN-ABRM_2022-11-29_RFR-093</v>
      </c>
      <c r="C570" s="8">
        <f>VLOOKUP(B570,'Run Reconcile'!A$2:B3212,2,FALSE)</f>
        <v>44894</v>
      </c>
      <c r="D570" s="12">
        <f>IFERROR(__xludf.DUMMYFUNCTION("""COMPUTED_VALUE"""),44894.0)</f>
        <v>44894</v>
      </c>
      <c r="E570" s="13">
        <f>IFERROR(__xludf.DUMMYFUNCTION("""COMPUTED_VALUE"""),0.3286805555544561)</f>
        <v>0.3286805556</v>
      </c>
      <c r="F570" s="7" t="str">
        <f>IFERROR(__xludf.DUMMYFUNCTION("""COMPUTED_VALUE"""),"Negative")</f>
        <v>Negative</v>
      </c>
      <c r="G570" s="7">
        <f>IFERROR(__xludf.DUMMYFUNCTION("""COMPUTED_VALUE"""),3.0)</f>
        <v>3</v>
      </c>
    </row>
    <row r="571">
      <c r="A571" s="7" t="str">
        <f>IFERROR(__xludf.DUMMYFUNCTION("""COMPUTED_VALUE"""),"AJ9875")</f>
        <v>AJ9875</v>
      </c>
      <c r="B571" s="7" t="str">
        <f>IFERROR(__xludf.DUMMYFUNCTION("""COMPUTED_VALUE"""),"RUN-ABRM_2022-11-29_RFR-093")</f>
        <v>RUN-ABRM_2022-11-29_RFR-093</v>
      </c>
      <c r="C571" s="8">
        <f>VLOOKUP(B571,'Run Reconcile'!A$2:B3212,2,FALSE)</f>
        <v>44894</v>
      </c>
      <c r="D571" s="12">
        <f>IFERROR(__xludf.DUMMYFUNCTION("""COMPUTED_VALUE"""),44894.0)</f>
        <v>44894</v>
      </c>
      <c r="E571" s="13">
        <f>IFERROR(__xludf.DUMMYFUNCTION("""COMPUTED_VALUE"""),0.3336805555554747)</f>
        <v>0.3336805556</v>
      </c>
      <c r="F571" s="7" t="str">
        <f>IFERROR(__xludf.DUMMYFUNCTION("""COMPUTED_VALUE"""),"Negative")</f>
        <v>Negative</v>
      </c>
      <c r="G571" s="7">
        <f>IFERROR(__xludf.DUMMYFUNCTION("""COMPUTED_VALUE"""),2.0)</f>
        <v>2</v>
      </c>
    </row>
    <row r="572">
      <c r="A572" s="7" t="str">
        <f>IFERROR(__xludf.DUMMYFUNCTION("""COMPUTED_VALUE"""),"AH9124")</f>
        <v>AH9124</v>
      </c>
      <c r="B572" s="7" t="str">
        <f>IFERROR(__xludf.DUMMYFUNCTION("""COMPUTED_VALUE"""),"RUN-ABRM_2022-11-29_RFR-093")</f>
        <v>RUN-ABRM_2022-11-29_RFR-093</v>
      </c>
      <c r="C572" s="8">
        <f>VLOOKUP(B572,'Run Reconcile'!A$2:B3212,2,FALSE)</f>
        <v>44894</v>
      </c>
      <c r="D572" s="12">
        <f>IFERROR(__xludf.DUMMYFUNCTION("""COMPUTED_VALUE"""),44894.0)</f>
        <v>44894</v>
      </c>
      <c r="E572" s="13">
        <f>IFERROR(__xludf.DUMMYFUNCTION("""COMPUTED_VALUE"""),0.3387384259258397)</f>
        <v>0.3387384259</v>
      </c>
      <c r="F572" s="7" t="str">
        <f>IFERROR(__xludf.DUMMYFUNCTION("""COMPUTED_VALUE"""),"Negative")</f>
        <v>Negative</v>
      </c>
      <c r="G572" s="7">
        <f>IFERROR(__xludf.DUMMYFUNCTION("""COMPUTED_VALUE"""),1.0)</f>
        <v>1</v>
      </c>
    </row>
    <row r="573">
      <c r="A573" s="7" t="str">
        <f>IFERROR(__xludf.DUMMYFUNCTION("""COMPUTED_VALUE"""),"AG1760")</f>
        <v>AG1760</v>
      </c>
      <c r="B573" s="7" t="str">
        <f>IFERROR(__xludf.DUMMYFUNCTION("""COMPUTED_VALUE"""),"RUN-ABRM_2022-11-29_RFR-093")</f>
        <v>RUN-ABRM_2022-11-29_RFR-093</v>
      </c>
      <c r="C573" s="8">
        <f>VLOOKUP(B573,'Run Reconcile'!A$2:B3212,2,FALSE)</f>
        <v>44894</v>
      </c>
      <c r="D573" s="12">
        <f>IFERROR(__xludf.DUMMYFUNCTION("""COMPUTED_VALUE"""),44894.0)</f>
        <v>44894</v>
      </c>
      <c r="E573" s="13">
        <f>IFERROR(__xludf.DUMMYFUNCTION("""COMPUTED_VALUE"""),0.35756944444437977)</f>
        <v>0.3575694444</v>
      </c>
      <c r="F573" s="7" t="str">
        <f>IFERROR(__xludf.DUMMYFUNCTION("""COMPUTED_VALUE"""),"Negative")</f>
        <v>Negative</v>
      </c>
      <c r="G573" s="7">
        <f>IFERROR(__xludf.DUMMYFUNCTION("""COMPUTED_VALUE"""),3.0)</f>
        <v>3</v>
      </c>
    </row>
    <row r="574">
      <c r="A574" s="7" t="str">
        <f>IFERROR(__xludf.DUMMYFUNCTION("""COMPUTED_VALUE"""),"AH414")</f>
        <v>AH414</v>
      </c>
      <c r="B574" s="7" t="str">
        <f>IFERROR(__xludf.DUMMYFUNCTION("""COMPUTED_VALUE"""),"RUN-ABRM_2022-11-30_RFR-094")</f>
        <v>RUN-ABRM_2022-11-30_RFR-094</v>
      </c>
      <c r="C574" s="8">
        <f>VLOOKUP(B574,'Run Reconcile'!A$2:B3212,2,FALSE)</f>
        <v>44895</v>
      </c>
      <c r="D574" s="12">
        <f>IFERROR(__xludf.DUMMYFUNCTION("""COMPUTED_VALUE"""),44895.0)</f>
        <v>44895</v>
      </c>
      <c r="E574" s="13">
        <f>IFERROR(__xludf.DUMMYFUNCTION("""COMPUTED_VALUE"""),0.2114814814813144)</f>
        <v>0.2114814815</v>
      </c>
      <c r="F574" s="7" t="str">
        <f>IFERROR(__xludf.DUMMYFUNCTION("""COMPUTED_VALUE"""),"Negative")</f>
        <v>Negative</v>
      </c>
      <c r="G574" s="7">
        <f>IFERROR(__xludf.DUMMYFUNCTION("""COMPUTED_VALUE"""),3.0)</f>
        <v>3</v>
      </c>
    </row>
    <row r="575">
      <c r="A575" s="7" t="str">
        <f>IFERROR(__xludf.DUMMYFUNCTION("""COMPUTED_VALUE"""),"AH920")</f>
        <v>AH920</v>
      </c>
      <c r="B575" s="7" t="str">
        <f>IFERROR(__xludf.DUMMYFUNCTION("""COMPUTED_VALUE"""),"RUN-ABRM_2022-11-30_RFR-094")</f>
        <v>RUN-ABRM_2022-11-30_RFR-094</v>
      </c>
      <c r="C575" s="8">
        <f>VLOOKUP(B575,'Run Reconcile'!A$2:B3212,2,FALSE)</f>
        <v>44895</v>
      </c>
      <c r="D575" s="12">
        <f>IFERROR(__xludf.DUMMYFUNCTION("""COMPUTED_VALUE"""),44895.0)</f>
        <v>44895</v>
      </c>
      <c r="E575" s="13">
        <f>IFERROR(__xludf.DUMMYFUNCTION("""COMPUTED_VALUE"""),0.22098379629460396)</f>
        <v>0.2209837963</v>
      </c>
      <c r="F575" s="7" t="str">
        <f>IFERROR(__xludf.DUMMYFUNCTION("""COMPUTED_VALUE"""),"Negative")</f>
        <v>Negative</v>
      </c>
      <c r="G575" s="7">
        <f>IFERROR(__xludf.DUMMYFUNCTION("""COMPUTED_VALUE"""),2.0)</f>
        <v>2</v>
      </c>
    </row>
    <row r="576">
      <c r="A576" s="7" t="str">
        <f>IFERROR(__xludf.DUMMYFUNCTION("""COMPUTED_VALUE"""),"AG1632")</f>
        <v>AG1632</v>
      </c>
      <c r="B576" s="7" t="str">
        <f>IFERROR(__xludf.DUMMYFUNCTION("""COMPUTED_VALUE"""),"RUN-ABRM_2022-11-30_RFR-094")</f>
        <v>RUN-ABRM_2022-11-30_RFR-094</v>
      </c>
      <c r="C576" s="8">
        <f>VLOOKUP(B576,'Run Reconcile'!A$2:B3212,2,FALSE)</f>
        <v>44895</v>
      </c>
      <c r="D576" s="12">
        <f>IFERROR(__xludf.DUMMYFUNCTION("""COMPUTED_VALUE"""),44895.0)</f>
        <v>44895</v>
      </c>
      <c r="E576" s="13">
        <f>IFERROR(__xludf.DUMMYFUNCTION("""COMPUTED_VALUE"""),0.25074074073927477)</f>
        <v>0.2507407407</v>
      </c>
      <c r="F576" s="7" t="str">
        <f>IFERROR(__xludf.DUMMYFUNCTION("""COMPUTED_VALUE"""),"Negative")</f>
        <v>Negative</v>
      </c>
      <c r="G576" s="7">
        <f>IFERROR(__xludf.DUMMYFUNCTION("""COMPUTED_VALUE"""),3.0)</f>
        <v>3</v>
      </c>
    </row>
    <row r="577">
      <c r="A577" s="7" t="str">
        <f>IFERROR(__xludf.DUMMYFUNCTION("""COMPUTED_VALUE"""),"AG219")</f>
        <v>AG219</v>
      </c>
      <c r="B577" s="7" t="str">
        <f>IFERROR(__xludf.DUMMYFUNCTION("""COMPUTED_VALUE"""),"RUN-ABRM_2022-11-30_RFR-094")</f>
        <v>RUN-ABRM_2022-11-30_RFR-094</v>
      </c>
      <c r="C577" s="8">
        <f>VLOOKUP(B577,'Run Reconcile'!A$2:B3212,2,FALSE)</f>
        <v>44895</v>
      </c>
      <c r="D577" s="12">
        <f>IFERROR(__xludf.DUMMYFUNCTION("""COMPUTED_VALUE"""),44895.0)</f>
        <v>44895</v>
      </c>
      <c r="E577" s="13">
        <f>IFERROR(__xludf.DUMMYFUNCTION("""COMPUTED_VALUE"""),0.2956018518525525)</f>
        <v>0.2956018519</v>
      </c>
      <c r="F577" s="7" t="str">
        <f>IFERROR(__xludf.DUMMYFUNCTION("""COMPUTED_VALUE"""),"Negative")</f>
        <v>Negative</v>
      </c>
      <c r="G577" s="7">
        <f>IFERROR(__xludf.DUMMYFUNCTION("""COMPUTED_VALUE"""),3.0)</f>
        <v>3</v>
      </c>
    </row>
    <row r="578">
      <c r="A578" s="7" t="str">
        <f>IFERROR(__xludf.DUMMYFUNCTION("""COMPUTED_VALUE"""),"AH1821")</f>
        <v>AH1821</v>
      </c>
      <c r="B578" s="7" t="str">
        <f>IFERROR(__xludf.DUMMYFUNCTION("""COMPUTED_VALUE"""),"RUN-ABRM_2022-11-30_RFR-094")</f>
        <v>RUN-ABRM_2022-11-30_RFR-094</v>
      </c>
      <c r="C578" s="8">
        <f>VLOOKUP(B578,'Run Reconcile'!A$2:B3212,2,FALSE)</f>
        <v>44895</v>
      </c>
      <c r="D578" s="12">
        <f>IFERROR(__xludf.DUMMYFUNCTION("""COMPUTED_VALUE"""),44895.0)</f>
        <v>44895</v>
      </c>
      <c r="E578" s="13">
        <f>IFERROR(__xludf.DUMMYFUNCTION("""COMPUTED_VALUE"""),0.3053009259274404)</f>
        <v>0.3053009259</v>
      </c>
      <c r="F578" s="7" t="str">
        <f>IFERROR(__xludf.DUMMYFUNCTION("""COMPUTED_VALUE"""),"Negative")</f>
        <v>Negative</v>
      </c>
      <c r="G578" s="7">
        <f>IFERROR(__xludf.DUMMYFUNCTION("""COMPUTED_VALUE"""),1.0)</f>
        <v>1</v>
      </c>
    </row>
    <row r="579">
      <c r="A579" s="7" t="str">
        <f>IFERROR(__xludf.DUMMYFUNCTION("""COMPUTED_VALUE"""),"AH8642")</f>
        <v>AH8642</v>
      </c>
      <c r="B579" s="7" t="str">
        <f>IFERROR(__xludf.DUMMYFUNCTION("""COMPUTED_VALUE"""),"RUN-ABRM_2022-11-30_RFR-094")</f>
        <v>RUN-ABRM_2022-11-30_RFR-094</v>
      </c>
      <c r="C579" s="8">
        <f>VLOOKUP(B579,'Run Reconcile'!A$2:B3212,2,FALSE)</f>
        <v>44895</v>
      </c>
      <c r="D579" s="12">
        <f>IFERROR(__xludf.DUMMYFUNCTION("""COMPUTED_VALUE"""),44895.0)</f>
        <v>44895</v>
      </c>
      <c r="E579" s="13">
        <f>IFERROR(__xludf.DUMMYFUNCTION("""COMPUTED_VALUE"""),0.30699074074072996)</f>
        <v>0.3069907407</v>
      </c>
      <c r="F579" s="7" t="str">
        <f>IFERROR(__xludf.DUMMYFUNCTION("""COMPUTED_VALUE"""),"Negative")</f>
        <v>Negative</v>
      </c>
      <c r="G579" s="7">
        <f>IFERROR(__xludf.DUMMYFUNCTION("""COMPUTED_VALUE"""),1.0)</f>
        <v>1</v>
      </c>
    </row>
    <row r="580">
      <c r="A580" s="7" t="str">
        <f>IFERROR(__xludf.DUMMYFUNCTION("""COMPUTED_VALUE"""),"AJ4127")</f>
        <v>AJ4127</v>
      </c>
      <c r="B580" s="7" t="str">
        <f>IFERROR(__xludf.DUMMYFUNCTION("""COMPUTED_VALUE"""),"RUN-ABRM_2022-11-30_RFR-094")</f>
        <v>RUN-ABRM_2022-11-30_RFR-094</v>
      </c>
      <c r="C580" s="8">
        <f>VLOOKUP(B580,'Run Reconcile'!A$2:B3212,2,FALSE)</f>
        <v>44895</v>
      </c>
      <c r="D580" s="12">
        <f>IFERROR(__xludf.DUMMYFUNCTION("""COMPUTED_VALUE"""),44895.0)</f>
        <v>44895</v>
      </c>
      <c r="E580" s="13">
        <f>IFERROR(__xludf.DUMMYFUNCTION("""COMPUTED_VALUE"""),0.3220254629632109)</f>
        <v>0.322025463</v>
      </c>
      <c r="F580" s="7" t="str">
        <f>IFERROR(__xludf.DUMMYFUNCTION("""COMPUTED_VALUE"""),"Negative")</f>
        <v>Negative</v>
      </c>
      <c r="G580" s="7">
        <f>IFERROR(__xludf.DUMMYFUNCTION("""COMPUTED_VALUE"""),2.0)</f>
        <v>2</v>
      </c>
    </row>
    <row r="581">
      <c r="A581" s="7" t="str">
        <f>IFERROR(__xludf.DUMMYFUNCTION("""COMPUTED_VALUE"""),"AG205")</f>
        <v>AG205</v>
      </c>
      <c r="B581" s="7" t="str">
        <f>IFERROR(__xludf.DUMMYFUNCTION("""COMPUTED_VALUE"""),"RUN-ABRM_2022-11-30_RFR-094")</f>
        <v>RUN-ABRM_2022-11-30_RFR-094</v>
      </c>
      <c r="C581" s="8">
        <f>VLOOKUP(B581,'Run Reconcile'!A$2:B3212,2,FALSE)</f>
        <v>44895</v>
      </c>
      <c r="D581" s="12">
        <f>IFERROR(__xludf.DUMMYFUNCTION("""COMPUTED_VALUE"""),44895.0)</f>
        <v>44895</v>
      </c>
      <c r="E581" s="13">
        <f>IFERROR(__xludf.DUMMYFUNCTION("""COMPUTED_VALUE"""),0.33180555555736646)</f>
        <v>0.3318055556</v>
      </c>
      <c r="F581" s="7" t="str">
        <f>IFERROR(__xludf.DUMMYFUNCTION("""COMPUTED_VALUE"""),"Negative")</f>
        <v>Negative</v>
      </c>
      <c r="G581" s="7">
        <f>IFERROR(__xludf.DUMMYFUNCTION("""COMPUTED_VALUE"""),3.0)</f>
        <v>3</v>
      </c>
    </row>
    <row r="582">
      <c r="A582" s="7" t="str">
        <f>IFERROR(__xludf.DUMMYFUNCTION("""COMPUTED_VALUE"""),"AG1666")</f>
        <v>AG1666</v>
      </c>
      <c r="B582" s="7" t="str">
        <f>IFERROR(__xludf.DUMMYFUNCTION("""COMPUTED_VALUE"""),"RUN-ABRM_2022-11-30_RFR-094")</f>
        <v>RUN-ABRM_2022-11-30_RFR-094</v>
      </c>
      <c r="C582" s="8">
        <f>VLOOKUP(B582,'Run Reconcile'!A$2:B3212,2,FALSE)</f>
        <v>44895</v>
      </c>
      <c r="D582" s="12">
        <f>IFERROR(__xludf.DUMMYFUNCTION("""COMPUTED_VALUE"""),44895.0)</f>
        <v>44895</v>
      </c>
      <c r="E582" s="13">
        <f>IFERROR(__xludf.DUMMYFUNCTION("""COMPUTED_VALUE"""),0.34100694444350665)</f>
        <v>0.3410069444</v>
      </c>
      <c r="F582" s="7" t="str">
        <f>IFERROR(__xludf.DUMMYFUNCTION("""COMPUTED_VALUE"""),"Negative")</f>
        <v>Negative</v>
      </c>
      <c r="G582" s="7">
        <f>IFERROR(__xludf.DUMMYFUNCTION("""COMPUTED_VALUE"""),3.0)</f>
        <v>3</v>
      </c>
    </row>
    <row r="583">
      <c r="A583" s="7" t="str">
        <f>IFERROR(__xludf.DUMMYFUNCTION("""COMPUTED_VALUE"""),"AH6757")</f>
        <v>AH6757</v>
      </c>
      <c r="B583" s="7" t="str">
        <f>IFERROR(__xludf.DUMMYFUNCTION("""COMPUTED_VALUE"""),"RUN-ABRM_2022-12-01_RFR-095")</f>
        <v>RUN-ABRM_2022-12-01_RFR-095</v>
      </c>
      <c r="C583" s="8">
        <f>VLOOKUP(B583,'Run Reconcile'!A$2:B3212,2,FALSE)</f>
        <v>44896</v>
      </c>
      <c r="D583" s="12">
        <f>IFERROR(__xludf.DUMMYFUNCTION("""COMPUTED_VALUE"""),44896.0)</f>
        <v>44896</v>
      </c>
      <c r="E583" s="13">
        <f>IFERROR(__xludf.DUMMYFUNCTION("""COMPUTED_VALUE"""),0.2075231481467199)</f>
        <v>0.2075231481</v>
      </c>
      <c r="F583" s="7" t="str">
        <f>IFERROR(__xludf.DUMMYFUNCTION("""COMPUTED_VALUE"""),"Negative")</f>
        <v>Negative</v>
      </c>
      <c r="G583" s="7">
        <f>IFERROR(__xludf.DUMMYFUNCTION("""COMPUTED_VALUE"""),3.0)</f>
        <v>3</v>
      </c>
    </row>
    <row r="584">
      <c r="A584" s="7" t="str">
        <f>IFERROR(__xludf.DUMMYFUNCTION("""COMPUTED_VALUE"""),"AH7890")</f>
        <v>AH7890</v>
      </c>
      <c r="B584" s="7" t="str">
        <f>IFERROR(__xludf.DUMMYFUNCTION("""COMPUTED_VALUE"""),"RUN-ABRM_2022-12-01_RFR-095")</f>
        <v>RUN-ABRM_2022-12-01_RFR-095</v>
      </c>
      <c r="C584" s="8">
        <f>VLOOKUP(B584,'Run Reconcile'!A$2:B3212,2,FALSE)</f>
        <v>44896</v>
      </c>
      <c r="D584" s="12">
        <f>IFERROR(__xludf.DUMMYFUNCTION("""COMPUTED_VALUE"""),44896.0)</f>
        <v>44896</v>
      </c>
      <c r="E584" s="13">
        <f>IFERROR(__xludf.DUMMYFUNCTION("""COMPUTED_VALUE"""),0.2940393518510973)</f>
        <v>0.2940393519</v>
      </c>
      <c r="F584" s="7" t="str">
        <f>IFERROR(__xludf.DUMMYFUNCTION("""COMPUTED_VALUE"""),"Negative")</f>
        <v>Negative</v>
      </c>
      <c r="G584" s="7">
        <f>IFERROR(__xludf.DUMMYFUNCTION("""COMPUTED_VALUE"""),3.0)</f>
        <v>3</v>
      </c>
    </row>
    <row r="585">
      <c r="A585" s="7" t="str">
        <f>IFERROR(__xludf.DUMMYFUNCTION("""COMPUTED_VALUE"""),"AG755")</f>
        <v>AG755</v>
      </c>
      <c r="B585" s="7" t="str">
        <f>IFERROR(__xludf.DUMMYFUNCTION("""COMPUTED_VALUE"""),"RUN-ABRM_2022-12-01_RFR-095")</f>
        <v>RUN-ABRM_2022-12-01_RFR-095</v>
      </c>
      <c r="C585" s="8">
        <f>VLOOKUP(B585,'Run Reconcile'!A$2:B3212,2,FALSE)</f>
        <v>44896</v>
      </c>
      <c r="D585" s="12">
        <f>IFERROR(__xludf.DUMMYFUNCTION("""COMPUTED_VALUE"""),44896.0)</f>
        <v>44896</v>
      </c>
      <c r="E585" s="13">
        <f>IFERROR(__xludf.DUMMYFUNCTION("""COMPUTED_VALUE"""),0.301898148147302)</f>
        <v>0.3018981481</v>
      </c>
      <c r="F585" s="7" t="str">
        <f>IFERROR(__xludf.DUMMYFUNCTION("""COMPUTED_VALUE"""),"Negative")</f>
        <v>Negative</v>
      </c>
      <c r="G585" s="7">
        <f>IFERROR(__xludf.DUMMYFUNCTION("""COMPUTED_VALUE"""),3.0)</f>
        <v>3</v>
      </c>
    </row>
    <row r="586">
      <c r="A586" s="7" t="str">
        <f>IFERROR(__xludf.DUMMYFUNCTION("""COMPUTED_VALUE"""),"AG1439")</f>
        <v>AG1439</v>
      </c>
      <c r="B586" s="7" t="str">
        <f>IFERROR(__xludf.DUMMYFUNCTION("""COMPUTED_VALUE"""),"RUN-ABRM_2022-12-01_RFR-095")</f>
        <v>RUN-ABRM_2022-12-01_RFR-095</v>
      </c>
      <c r="C586" s="8">
        <f>VLOOKUP(B586,'Run Reconcile'!A$2:B3212,2,FALSE)</f>
        <v>44896</v>
      </c>
      <c r="D586" s="12">
        <f>IFERROR(__xludf.DUMMYFUNCTION("""COMPUTED_VALUE"""),44896.0)</f>
        <v>44896</v>
      </c>
      <c r="E586" s="13">
        <f>IFERROR(__xludf.DUMMYFUNCTION("""COMPUTED_VALUE"""),0.32135416666642413)</f>
        <v>0.3213541667</v>
      </c>
      <c r="F586" s="7" t="str">
        <f>IFERROR(__xludf.DUMMYFUNCTION("""COMPUTED_VALUE"""),"Negative")</f>
        <v>Negative</v>
      </c>
      <c r="G586" s="7">
        <f>IFERROR(__xludf.DUMMYFUNCTION("""COMPUTED_VALUE"""),2.0)</f>
        <v>2</v>
      </c>
    </row>
    <row r="587">
      <c r="A587" s="7" t="str">
        <f>IFERROR(__xludf.DUMMYFUNCTION("""COMPUTED_VALUE"""),"AJ9393")</f>
        <v>AJ9393</v>
      </c>
      <c r="B587" s="7" t="str">
        <f>IFERROR(__xludf.DUMMYFUNCTION("""COMPUTED_VALUE"""),"RUN-ABRM_2022-12-01_RFR-095")</f>
        <v>RUN-ABRM_2022-12-01_RFR-095</v>
      </c>
      <c r="C587" s="8">
        <f>VLOOKUP(B587,'Run Reconcile'!A$2:B3212,2,FALSE)</f>
        <v>44896</v>
      </c>
      <c r="D587" s="12">
        <f>IFERROR(__xludf.DUMMYFUNCTION("""COMPUTED_VALUE"""),44896.0)</f>
        <v>44896</v>
      </c>
      <c r="E587" s="13">
        <f>IFERROR(__xludf.DUMMYFUNCTION("""COMPUTED_VALUE"""),0.3245254629619012)</f>
        <v>0.324525463</v>
      </c>
      <c r="F587" s="7" t="str">
        <f>IFERROR(__xludf.DUMMYFUNCTION("""COMPUTED_VALUE"""),"Negative")</f>
        <v>Negative</v>
      </c>
      <c r="G587" s="7">
        <f>IFERROR(__xludf.DUMMYFUNCTION("""COMPUTED_VALUE"""),1.0)</f>
        <v>1</v>
      </c>
    </row>
    <row r="588">
      <c r="A588" s="7" t="str">
        <f>IFERROR(__xludf.DUMMYFUNCTION("""COMPUTED_VALUE"""),"AH220")</f>
        <v>AH220</v>
      </c>
      <c r="B588" s="7" t="str">
        <f>IFERROR(__xludf.DUMMYFUNCTION("""COMPUTED_VALUE"""),"RUN-ABRM_2022-12-01_RFR-095")</f>
        <v>RUN-ABRM_2022-12-01_RFR-095</v>
      </c>
      <c r="C588" s="8">
        <f>VLOOKUP(B588,'Run Reconcile'!A$2:B3212,2,FALSE)</f>
        <v>44896</v>
      </c>
      <c r="D588" s="12">
        <f>IFERROR(__xludf.DUMMYFUNCTION("""COMPUTED_VALUE"""),44896.0)</f>
        <v>44896</v>
      </c>
      <c r="E588" s="13">
        <f>IFERROR(__xludf.DUMMYFUNCTION("""COMPUTED_VALUE"""),0.32679398148320615)</f>
        <v>0.3267939815</v>
      </c>
      <c r="F588" s="7" t="str">
        <f>IFERROR(__xludf.DUMMYFUNCTION("""COMPUTED_VALUE"""),"Negative")</f>
        <v>Negative</v>
      </c>
      <c r="G588" s="7">
        <f>IFERROR(__xludf.DUMMYFUNCTION("""COMPUTED_VALUE"""),3.0)</f>
        <v>3</v>
      </c>
    </row>
    <row r="589">
      <c r="A589" s="7" t="str">
        <f>IFERROR(__xludf.DUMMYFUNCTION("""COMPUTED_VALUE"""),"AH8380")</f>
        <v>AH8380</v>
      </c>
      <c r="B589" s="7" t="str">
        <f>IFERROR(__xludf.DUMMYFUNCTION("""COMPUTED_VALUE"""),"RUN-ABRM_2022-12-01_RFR-095")</f>
        <v>RUN-ABRM_2022-12-01_RFR-095</v>
      </c>
      <c r="C589" s="8">
        <f>VLOOKUP(B589,'Run Reconcile'!A$2:B3212,2,FALSE)</f>
        <v>44896</v>
      </c>
      <c r="D589" s="12">
        <f>IFERROR(__xludf.DUMMYFUNCTION("""COMPUTED_VALUE"""),44896.0)</f>
        <v>44896</v>
      </c>
      <c r="E589" s="13">
        <f>IFERROR(__xludf.DUMMYFUNCTION("""COMPUTED_VALUE"""),0.3981828703690553)</f>
        <v>0.3981828704</v>
      </c>
      <c r="F589" s="7" t="str">
        <f>IFERROR(__xludf.DUMMYFUNCTION("""COMPUTED_VALUE"""),"Negative")</f>
        <v>Negative</v>
      </c>
      <c r="G589" s="7">
        <f>IFERROR(__xludf.DUMMYFUNCTION("""COMPUTED_VALUE"""),4.0)</f>
        <v>4</v>
      </c>
    </row>
    <row r="590">
      <c r="A590" s="7" t="str">
        <f>IFERROR(__xludf.DUMMYFUNCTION("""COMPUTED_VALUE"""),"AG574")</f>
        <v>AG574</v>
      </c>
      <c r="B590" s="7" t="str">
        <f>IFERROR(__xludf.DUMMYFUNCTION("""COMPUTED_VALUE"""),"RUN-ABRM_2022-12-02_RFR-097")</f>
        <v>RUN-ABRM_2022-12-02_RFR-097</v>
      </c>
      <c r="C590" s="8">
        <f>VLOOKUP(B590,'Run Reconcile'!A$2:B3212,2,FALSE)</f>
        <v>44897</v>
      </c>
      <c r="D590" s="12">
        <f>IFERROR(__xludf.DUMMYFUNCTION("""COMPUTED_VALUE"""),44897.0)</f>
        <v>44897</v>
      </c>
      <c r="E590" s="13">
        <f>IFERROR(__xludf.DUMMYFUNCTION("""COMPUTED_VALUE"""),0.28508101851912215)</f>
        <v>0.2850810185</v>
      </c>
      <c r="F590" s="7" t="str">
        <f>IFERROR(__xludf.DUMMYFUNCTION("""COMPUTED_VALUE"""),"Negative")</f>
        <v>Negative</v>
      </c>
      <c r="G590" s="7">
        <f>IFERROR(__xludf.DUMMYFUNCTION("""COMPUTED_VALUE"""),3.0)</f>
        <v>3</v>
      </c>
    </row>
    <row r="591">
      <c r="A591" s="7" t="str">
        <f>IFERROR(__xludf.DUMMYFUNCTION("""COMPUTED_VALUE"""),"AH9854")</f>
        <v>AH9854</v>
      </c>
      <c r="B591" s="7" t="str">
        <f>IFERROR(__xludf.DUMMYFUNCTION("""COMPUTED_VALUE"""),"RUN-ABRM_2022-12-02_RFR-097")</f>
        <v>RUN-ABRM_2022-12-02_RFR-097</v>
      </c>
      <c r="C591" s="8">
        <f>VLOOKUP(B591,'Run Reconcile'!A$2:B3212,2,FALSE)</f>
        <v>44897</v>
      </c>
      <c r="D591" s="12">
        <f>IFERROR(__xludf.DUMMYFUNCTION("""COMPUTED_VALUE"""),44897.0)</f>
        <v>44897</v>
      </c>
      <c r="E591" s="13">
        <f>IFERROR(__xludf.DUMMYFUNCTION("""COMPUTED_VALUE"""),0.2857523148159089)</f>
        <v>0.2857523148</v>
      </c>
      <c r="F591" s="7" t="str">
        <f>IFERROR(__xludf.DUMMYFUNCTION("""COMPUTED_VALUE"""),"Negative")</f>
        <v>Negative</v>
      </c>
      <c r="G591" s="7">
        <f>IFERROR(__xludf.DUMMYFUNCTION("""COMPUTED_VALUE"""),3.0)</f>
        <v>3</v>
      </c>
    </row>
    <row r="592">
      <c r="A592" s="7" t="str">
        <f>IFERROR(__xludf.DUMMYFUNCTION("""COMPUTED_VALUE"""),"AH8376")</f>
        <v>AH8376</v>
      </c>
      <c r="B592" s="7" t="str">
        <f>IFERROR(__xludf.DUMMYFUNCTION("""COMPUTED_VALUE"""),"RUN-ABRM_2022-12-02_RFR-097")</f>
        <v>RUN-ABRM_2022-12-02_RFR-097</v>
      </c>
      <c r="C592" s="8">
        <f>VLOOKUP(B592,'Run Reconcile'!A$2:B3212,2,FALSE)</f>
        <v>44897</v>
      </c>
      <c r="D592" s="12">
        <f>IFERROR(__xludf.DUMMYFUNCTION("""COMPUTED_VALUE"""),44897.0)</f>
        <v>44897</v>
      </c>
      <c r="E592" s="13">
        <f>IFERROR(__xludf.DUMMYFUNCTION("""COMPUTED_VALUE"""),0.3207175925927004)</f>
        <v>0.3207175926</v>
      </c>
      <c r="F592" s="7" t="str">
        <f>IFERROR(__xludf.DUMMYFUNCTION("""COMPUTED_VALUE"""),"Negative")</f>
        <v>Negative</v>
      </c>
      <c r="G592" s="7">
        <f>IFERROR(__xludf.DUMMYFUNCTION("""COMPUTED_VALUE"""),3.0)</f>
        <v>3</v>
      </c>
    </row>
    <row r="593">
      <c r="A593" s="7" t="str">
        <f>IFERROR(__xludf.DUMMYFUNCTION("""COMPUTED_VALUE"""),"AG386")</f>
        <v>AG386</v>
      </c>
      <c r="B593" s="7" t="str">
        <f>IFERROR(__xludf.DUMMYFUNCTION("""COMPUTED_VALUE"""),"RUN-ABRM_2022-12-02_RFR-097")</f>
        <v>RUN-ABRM_2022-12-02_RFR-097</v>
      </c>
      <c r="C593" s="8">
        <f>VLOOKUP(B593,'Run Reconcile'!A$2:B3212,2,FALSE)</f>
        <v>44897</v>
      </c>
      <c r="D593" s="12">
        <f>IFERROR(__xludf.DUMMYFUNCTION("""COMPUTED_VALUE"""),44897.0)</f>
        <v>44897</v>
      </c>
      <c r="E593" s="13">
        <f>IFERROR(__xludf.DUMMYFUNCTION("""COMPUTED_VALUE"""),0.3209606481468654)</f>
        <v>0.3209606481</v>
      </c>
      <c r="F593" s="7" t="str">
        <f>IFERROR(__xludf.DUMMYFUNCTION("""COMPUTED_VALUE"""),"Negative")</f>
        <v>Negative</v>
      </c>
      <c r="G593" s="7">
        <f>IFERROR(__xludf.DUMMYFUNCTION("""COMPUTED_VALUE"""),2.0)</f>
        <v>2</v>
      </c>
    </row>
    <row r="594">
      <c r="A594" s="7" t="str">
        <f>IFERROR(__xludf.DUMMYFUNCTION("""COMPUTED_VALUE"""),"AH262")</f>
        <v>AH262</v>
      </c>
      <c r="B594" s="7" t="str">
        <f>IFERROR(__xludf.DUMMYFUNCTION("""COMPUTED_VALUE"""),"RUN-ABRM_2022-12-02_RFR-097")</f>
        <v>RUN-ABRM_2022-12-02_RFR-097</v>
      </c>
      <c r="C594" s="8">
        <f>VLOOKUP(B594,'Run Reconcile'!A$2:B3212,2,FALSE)</f>
        <v>44897</v>
      </c>
      <c r="D594" s="12">
        <f>IFERROR(__xludf.DUMMYFUNCTION("""COMPUTED_VALUE"""),44897.0)</f>
        <v>44897</v>
      </c>
      <c r="E594" s="13">
        <f>IFERROR(__xludf.DUMMYFUNCTION("""COMPUTED_VALUE"""),0.32468750000043656)</f>
        <v>0.3246875</v>
      </c>
      <c r="F594" s="7" t="str">
        <f>IFERROR(__xludf.DUMMYFUNCTION("""COMPUTED_VALUE"""),"Negative")</f>
        <v>Negative</v>
      </c>
      <c r="G594" s="7">
        <f>IFERROR(__xludf.DUMMYFUNCTION("""COMPUTED_VALUE"""),1.0)</f>
        <v>1</v>
      </c>
    </row>
    <row r="595">
      <c r="A595" s="7" t="str">
        <f>IFERROR(__xludf.DUMMYFUNCTION("""COMPUTED_VALUE"""),"AK5356")</f>
        <v>AK5356</v>
      </c>
      <c r="B595" s="7" t="str">
        <f>IFERROR(__xludf.DUMMYFUNCTION("""COMPUTED_VALUE"""),"RUN-ABRM_2022-12-02_RFR-097")</f>
        <v>RUN-ABRM_2022-12-02_RFR-097</v>
      </c>
      <c r="C595" s="8">
        <f>VLOOKUP(B595,'Run Reconcile'!A$2:B3212,2,FALSE)</f>
        <v>44897</v>
      </c>
      <c r="D595" s="12">
        <f>IFERROR(__xludf.DUMMYFUNCTION("""COMPUTED_VALUE"""),44897.0)</f>
        <v>44897</v>
      </c>
      <c r="E595" s="13">
        <f>IFERROR(__xludf.DUMMYFUNCTION("""COMPUTED_VALUE"""),0.32920138888948713)</f>
        <v>0.3292013889</v>
      </c>
      <c r="F595" s="7" t="str">
        <f>IFERROR(__xludf.DUMMYFUNCTION("""COMPUTED_VALUE"""),"Negative")</f>
        <v>Negative</v>
      </c>
      <c r="G595" s="7">
        <f>IFERROR(__xludf.DUMMYFUNCTION("""COMPUTED_VALUE"""),4.0)</f>
        <v>4</v>
      </c>
    </row>
    <row r="596">
      <c r="A596" s="7" t="str">
        <f>IFERROR(__xludf.DUMMYFUNCTION("""COMPUTED_VALUE"""),"AG1750")</f>
        <v>AG1750</v>
      </c>
      <c r="B596" s="7" t="str">
        <f>IFERROR(__xludf.DUMMYFUNCTION("""COMPUTED_VALUE"""),"RUN-ABRM_2022-12-05_RFR-098")</f>
        <v>RUN-ABRM_2022-12-05_RFR-098</v>
      </c>
      <c r="C596" s="8">
        <f>VLOOKUP(B596,'Run Reconcile'!A$2:B3212,2,FALSE)</f>
        <v>44900</v>
      </c>
      <c r="D596" s="12">
        <f>IFERROR(__xludf.DUMMYFUNCTION("""COMPUTED_VALUE"""),44900.0)</f>
        <v>44900</v>
      </c>
      <c r="E596" s="13">
        <f>IFERROR(__xludf.DUMMYFUNCTION("""COMPUTED_VALUE"""),0.20091435185167938)</f>
        <v>0.2009143519</v>
      </c>
      <c r="F596" s="7" t="str">
        <f>IFERROR(__xludf.DUMMYFUNCTION("""COMPUTED_VALUE"""),"Negative")</f>
        <v>Negative</v>
      </c>
      <c r="G596" s="7">
        <f>IFERROR(__xludf.DUMMYFUNCTION("""COMPUTED_VALUE"""),3.0)</f>
        <v>3</v>
      </c>
    </row>
    <row r="597">
      <c r="A597" s="7" t="str">
        <f>IFERROR(__xludf.DUMMYFUNCTION("""COMPUTED_VALUE"""),"AJ9887")</f>
        <v>AJ9887</v>
      </c>
      <c r="B597" s="7" t="str">
        <f>IFERROR(__xludf.DUMMYFUNCTION("""COMPUTED_VALUE"""),"RUN-ABRM_2022-12-05_RFR-098")</f>
        <v>RUN-ABRM_2022-12-05_RFR-098</v>
      </c>
      <c r="C597" s="8">
        <f>VLOOKUP(B597,'Run Reconcile'!A$2:B3212,2,FALSE)</f>
        <v>44900</v>
      </c>
      <c r="D597" s="12">
        <f>IFERROR(__xludf.DUMMYFUNCTION("""COMPUTED_VALUE"""),44900.0)</f>
        <v>44900</v>
      </c>
      <c r="E597" s="13">
        <f>IFERROR(__xludf.DUMMYFUNCTION("""COMPUTED_VALUE"""),0.28983796296233777)</f>
        <v>0.289837963</v>
      </c>
      <c r="F597" s="7" t="str">
        <f>IFERROR(__xludf.DUMMYFUNCTION("""COMPUTED_VALUE"""),"Negative")</f>
        <v>Negative</v>
      </c>
      <c r="G597" s="7">
        <f>IFERROR(__xludf.DUMMYFUNCTION("""COMPUTED_VALUE"""),3.0)</f>
        <v>3</v>
      </c>
    </row>
    <row r="598">
      <c r="A598" s="7" t="str">
        <f>IFERROR(__xludf.DUMMYFUNCTION("""COMPUTED_VALUE"""),"AJ8739")</f>
        <v>AJ8739</v>
      </c>
      <c r="B598" s="7" t="str">
        <f>IFERROR(__xludf.DUMMYFUNCTION("""COMPUTED_VALUE"""),"RUN-ABRM_2022-12-05_RFR-098")</f>
        <v>RUN-ABRM_2022-12-05_RFR-098</v>
      </c>
      <c r="C598" s="8">
        <f>VLOOKUP(B598,'Run Reconcile'!A$2:B3212,2,FALSE)</f>
        <v>44900</v>
      </c>
      <c r="D598" s="12">
        <f>IFERROR(__xludf.DUMMYFUNCTION("""COMPUTED_VALUE"""),44900.0)</f>
        <v>44900</v>
      </c>
      <c r="E598" s="13">
        <f>IFERROR(__xludf.DUMMYFUNCTION("""COMPUTED_VALUE"""),0.3249537037045229)</f>
        <v>0.3249537037</v>
      </c>
      <c r="F598" s="7" t="str">
        <f>IFERROR(__xludf.DUMMYFUNCTION("""COMPUTED_VALUE"""),"Negative")</f>
        <v>Negative</v>
      </c>
      <c r="G598" s="7">
        <f>IFERROR(__xludf.DUMMYFUNCTION("""COMPUTED_VALUE"""),2.0)</f>
        <v>2</v>
      </c>
    </row>
    <row r="599">
      <c r="A599" s="7" t="str">
        <f>IFERROR(__xludf.DUMMYFUNCTION("""COMPUTED_VALUE"""),"AG1312")</f>
        <v>AG1312</v>
      </c>
      <c r="B599" s="7" t="str">
        <f>IFERROR(__xludf.DUMMYFUNCTION("""COMPUTED_VALUE"""),"RUN-ABRM_2022-12-05_RFR-098")</f>
        <v>RUN-ABRM_2022-12-05_RFR-098</v>
      </c>
      <c r="C599" s="8">
        <f>VLOOKUP(B599,'Run Reconcile'!A$2:B3212,2,FALSE)</f>
        <v>44900</v>
      </c>
      <c r="D599" s="12">
        <f>IFERROR(__xludf.DUMMYFUNCTION("""COMPUTED_VALUE"""),44900.0)</f>
        <v>44900</v>
      </c>
      <c r="E599" s="13">
        <f>IFERROR(__xludf.DUMMYFUNCTION("""COMPUTED_VALUE"""),0.3262731481481751)</f>
        <v>0.3262731481</v>
      </c>
      <c r="F599" s="7" t="str">
        <f>IFERROR(__xludf.DUMMYFUNCTION("""COMPUTED_VALUE"""),"Negative")</f>
        <v>Negative</v>
      </c>
      <c r="G599" s="7">
        <f>IFERROR(__xludf.DUMMYFUNCTION("""COMPUTED_VALUE"""),2.0)</f>
        <v>2</v>
      </c>
    </row>
    <row r="600">
      <c r="A600" s="7" t="str">
        <f>IFERROR(__xludf.DUMMYFUNCTION("""COMPUTED_VALUE"""),"AJ8296")</f>
        <v>AJ8296</v>
      </c>
      <c r="B600" s="7" t="str">
        <f>IFERROR(__xludf.DUMMYFUNCTION("""COMPUTED_VALUE"""),"RUN-ABRM_2022-12-05_RFR-098")</f>
        <v>RUN-ABRM_2022-12-05_RFR-098</v>
      </c>
      <c r="C600" s="8">
        <f>VLOOKUP(B600,'Run Reconcile'!A$2:B3212,2,FALSE)</f>
        <v>44900</v>
      </c>
      <c r="D600" s="12">
        <f>IFERROR(__xludf.DUMMYFUNCTION("""COMPUTED_VALUE"""),44900.0)</f>
        <v>44900</v>
      </c>
      <c r="E600" s="13">
        <f>IFERROR(__xludf.DUMMYFUNCTION("""COMPUTED_VALUE"""),0.32857638888890506)</f>
        <v>0.3285763889</v>
      </c>
      <c r="F600" s="7" t="str">
        <f>IFERROR(__xludf.DUMMYFUNCTION("""COMPUTED_VALUE"""),"Negative")</f>
        <v>Negative</v>
      </c>
      <c r="G600" s="7">
        <f>IFERROR(__xludf.DUMMYFUNCTION("""COMPUTED_VALUE"""),2.0)</f>
        <v>2</v>
      </c>
    </row>
    <row r="601">
      <c r="A601" s="7" t="str">
        <f>IFERROR(__xludf.DUMMYFUNCTION("""COMPUTED_VALUE"""),"AH8232")</f>
        <v>AH8232</v>
      </c>
      <c r="B601" s="7" t="str">
        <f>IFERROR(__xludf.DUMMYFUNCTION("""COMPUTED_VALUE"""),"RUN-ABRM_2022-12-05_RFR-098")</f>
        <v>RUN-ABRM_2022-12-05_RFR-098</v>
      </c>
      <c r="C601" s="8">
        <f>VLOOKUP(B601,'Run Reconcile'!A$2:B3212,2,FALSE)</f>
        <v>44900</v>
      </c>
      <c r="D601" s="12">
        <f>IFERROR(__xludf.DUMMYFUNCTION("""COMPUTED_VALUE"""),44900.0)</f>
        <v>44900</v>
      </c>
      <c r="E601" s="13">
        <f>IFERROR(__xludf.DUMMYFUNCTION("""COMPUTED_VALUE"""),0.3339120370364981)</f>
        <v>0.333912037</v>
      </c>
      <c r="F601" s="7" t="str">
        <f>IFERROR(__xludf.DUMMYFUNCTION("""COMPUTED_VALUE"""),"Negative")</f>
        <v>Negative</v>
      </c>
      <c r="G601" s="7">
        <f>IFERROR(__xludf.DUMMYFUNCTION("""COMPUTED_VALUE"""),2.0)</f>
        <v>2</v>
      </c>
    </row>
    <row r="602">
      <c r="A602" s="7" t="str">
        <f>IFERROR(__xludf.DUMMYFUNCTION("""COMPUTED_VALUE"""),"AH8976")</f>
        <v>AH8976</v>
      </c>
      <c r="B602" s="7" t="str">
        <f>IFERROR(__xludf.DUMMYFUNCTION("""COMPUTED_VALUE"""),"RUN-ABRM_2022-12-05_RFR-098")</f>
        <v>RUN-ABRM_2022-12-05_RFR-098</v>
      </c>
      <c r="C602" s="8">
        <f>VLOOKUP(B602,'Run Reconcile'!A$2:B3212,2,FALSE)</f>
        <v>44900</v>
      </c>
      <c r="D602" s="12">
        <f>IFERROR(__xludf.DUMMYFUNCTION("""COMPUTED_VALUE"""),44900.0)</f>
        <v>44900</v>
      </c>
      <c r="E602" s="13">
        <f>IFERROR(__xludf.DUMMYFUNCTION("""COMPUTED_VALUE"""),0.36861111111284117)</f>
        <v>0.3686111111</v>
      </c>
      <c r="F602" s="7" t="str">
        <f>IFERROR(__xludf.DUMMYFUNCTION("""COMPUTED_VALUE"""),"Negative")</f>
        <v>Negative</v>
      </c>
      <c r="G602" s="7">
        <f>IFERROR(__xludf.DUMMYFUNCTION("""COMPUTED_VALUE"""),4.0)</f>
        <v>4</v>
      </c>
    </row>
    <row r="603">
      <c r="A603" s="7" t="str">
        <f>IFERROR(__xludf.DUMMYFUNCTION("""COMPUTED_VALUE"""),"AG2030")</f>
        <v>AG2030</v>
      </c>
      <c r="B603" s="7" t="str">
        <f>IFERROR(__xludf.DUMMYFUNCTION("""COMPUTED_VALUE"""),"RUN-ABRM_2022-12-05_RFR-098")</f>
        <v>RUN-ABRM_2022-12-05_RFR-098</v>
      </c>
      <c r="C603" s="8">
        <f>VLOOKUP(B603,'Run Reconcile'!A$2:B3212,2,FALSE)</f>
        <v>44900</v>
      </c>
      <c r="D603" s="12">
        <f>IFERROR(__xludf.DUMMYFUNCTION("""COMPUTED_VALUE"""),44900.0)</f>
        <v>44900</v>
      </c>
      <c r="E603" s="13">
        <f>IFERROR(__xludf.DUMMYFUNCTION("""COMPUTED_VALUE"""),0.3938194444453984)</f>
        <v>0.3938194444</v>
      </c>
      <c r="F603" s="7" t="str">
        <f>IFERROR(__xludf.DUMMYFUNCTION("""COMPUTED_VALUE"""),"Negative")</f>
        <v>Negative</v>
      </c>
      <c r="G603" s="7">
        <f>IFERROR(__xludf.DUMMYFUNCTION("""COMPUTED_VALUE"""),2.0)</f>
        <v>2</v>
      </c>
    </row>
    <row r="604">
      <c r="A604" s="7" t="str">
        <f>IFERROR(__xludf.DUMMYFUNCTION("""COMPUTED_VALUE"""),"AH7042")</f>
        <v>AH7042</v>
      </c>
      <c r="B604" s="7" t="str">
        <f>IFERROR(__xludf.DUMMYFUNCTION("""COMPUTED_VALUE"""),"RUN-ABRM_2022-12-06_RFR-099")</f>
        <v>RUN-ABRM_2022-12-06_RFR-099</v>
      </c>
      <c r="C604" s="8">
        <f>VLOOKUP(B604,'Run Reconcile'!A$2:B3212,2,FALSE)</f>
        <v>44901</v>
      </c>
      <c r="D604" s="12">
        <f>IFERROR(__xludf.DUMMYFUNCTION("""COMPUTED_VALUE"""),44901.0)</f>
        <v>44901</v>
      </c>
      <c r="E604" s="13">
        <f>IFERROR(__xludf.DUMMYFUNCTION("""COMPUTED_VALUE"""),0.1960416666661331)</f>
        <v>0.1960416667</v>
      </c>
      <c r="F604" s="7" t="str">
        <f>IFERROR(__xludf.DUMMYFUNCTION("""COMPUTED_VALUE"""),"Negative")</f>
        <v>Negative</v>
      </c>
      <c r="G604" s="7">
        <f>IFERROR(__xludf.DUMMYFUNCTION("""COMPUTED_VALUE"""),3.0)</f>
        <v>3</v>
      </c>
    </row>
    <row r="605">
      <c r="A605" s="7" t="str">
        <f>IFERROR(__xludf.DUMMYFUNCTION("""COMPUTED_VALUE"""),"AJ8223")</f>
        <v>AJ8223</v>
      </c>
      <c r="B605" s="7" t="str">
        <f>IFERROR(__xludf.DUMMYFUNCTION("""COMPUTED_VALUE"""),"RUN-ABRM_2022-12-06_RFR-099")</f>
        <v>RUN-ABRM_2022-12-06_RFR-099</v>
      </c>
      <c r="C605" s="8">
        <f>VLOOKUP(B605,'Run Reconcile'!A$2:B3212,2,FALSE)</f>
        <v>44901</v>
      </c>
      <c r="D605" s="12">
        <f>IFERROR(__xludf.DUMMYFUNCTION("""COMPUTED_VALUE"""),44901.0)</f>
        <v>44901</v>
      </c>
      <c r="E605" s="13">
        <f>IFERROR(__xludf.DUMMYFUNCTION("""COMPUTED_VALUE"""),0.21812499999941792)</f>
        <v>0.218125</v>
      </c>
      <c r="F605" s="7" t="str">
        <f>IFERROR(__xludf.DUMMYFUNCTION("""COMPUTED_VALUE"""),"Negative")</f>
        <v>Negative</v>
      </c>
      <c r="G605" s="7">
        <f>IFERROR(__xludf.DUMMYFUNCTION("""COMPUTED_VALUE"""),3.0)</f>
        <v>3</v>
      </c>
    </row>
    <row r="606">
      <c r="A606" s="7" t="str">
        <f>IFERROR(__xludf.DUMMYFUNCTION("""COMPUTED_VALUE"""),"AJ8576")</f>
        <v>AJ8576</v>
      </c>
      <c r="B606" s="7" t="str">
        <f>IFERROR(__xludf.DUMMYFUNCTION("""COMPUTED_VALUE"""),"RUN-ABRM_2022-12-06_RFR-099")</f>
        <v>RUN-ABRM_2022-12-06_RFR-099</v>
      </c>
      <c r="C606" s="8">
        <f>VLOOKUP(B606,'Run Reconcile'!A$2:B3212,2,FALSE)</f>
        <v>44901</v>
      </c>
      <c r="D606" s="12">
        <f>IFERROR(__xludf.DUMMYFUNCTION("""COMPUTED_VALUE"""),44901.0)</f>
        <v>44901</v>
      </c>
      <c r="E606" s="13">
        <f>IFERROR(__xludf.DUMMYFUNCTION("""COMPUTED_VALUE"""),0.2336458333338669)</f>
        <v>0.2336458333</v>
      </c>
      <c r="F606" s="7" t="str">
        <f>IFERROR(__xludf.DUMMYFUNCTION("""COMPUTED_VALUE"""),"Negative")</f>
        <v>Negative</v>
      </c>
      <c r="G606" s="7">
        <f>IFERROR(__xludf.DUMMYFUNCTION("""COMPUTED_VALUE"""),2.0)</f>
        <v>2</v>
      </c>
    </row>
    <row r="607">
      <c r="A607" s="7" t="str">
        <f>IFERROR(__xludf.DUMMYFUNCTION("""COMPUTED_VALUE"""),"AH7010")</f>
        <v>AH7010</v>
      </c>
      <c r="B607" s="7" t="str">
        <f>IFERROR(__xludf.DUMMYFUNCTION("""COMPUTED_VALUE"""),"RUN-ABRM_2022-12-06_RFR-099")</f>
        <v>RUN-ABRM_2022-12-06_RFR-099</v>
      </c>
      <c r="C607" s="8">
        <f>VLOOKUP(B607,'Run Reconcile'!A$2:B3212,2,FALSE)</f>
        <v>44901</v>
      </c>
      <c r="D607" s="12">
        <f>IFERROR(__xludf.DUMMYFUNCTION("""COMPUTED_VALUE"""),44901.0)</f>
        <v>44901</v>
      </c>
      <c r="E607" s="13">
        <f>IFERROR(__xludf.DUMMYFUNCTION("""COMPUTED_VALUE"""),0.23662037037138361)</f>
        <v>0.2366203704</v>
      </c>
      <c r="F607" s="7" t="str">
        <f>IFERROR(__xludf.DUMMYFUNCTION("""COMPUTED_VALUE"""),"Negative")</f>
        <v>Negative</v>
      </c>
      <c r="G607" s="7">
        <f>IFERROR(__xludf.DUMMYFUNCTION("""COMPUTED_VALUE"""),3.0)</f>
        <v>3</v>
      </c>
    </row>
    <row r="608">
      <c r="A608" s="7" t="str">
        <f>IFERROR(__xludf.DUMMYFUNCTION("""COMPUTED_VALUE"""),"AH1139")</f>
        <v>AH1139</v>
      </c>
      <c r="B608" s="7" t="str">
        <f>IFERROR(__xludf.DUMMYFUNCTION("""COMPUTED_VALUE"""),"RUN-ABRM_2022-12-06_RFR-099")</f>
        <v>RUN-ABRM_2022-12-06_RFR-099</v>
      </c>
      <c r="C608" s="8">
        <f>VLOOKUP(B608,'Run Reconcile'!A$2:B3212,2,FALSE)</f>
        <v>44901</v>
      </c>
      <c r="D608" s="12">
        <f>IFERROR(__xludf.DUMMYFUNCTION("""COMPUTED_VALUE"""),44901.0)</f>
        <v>44901</v>
      </c>
      <c r="E608" s="13">
        <f>IFERROR(__xludf.DUMMYFUNCTION("""COMPUTED_VALUE"""),0.30063657407299615)</f>
        <v>0.3006365741</v>
      </c>
      <c r="F608" s="7" t="str">
        <f>IFERROR(__xludf.DUMMYFUNCTION("""COMPUTED_VALUE"""),"Negative")</f>
        <v>Negative</v>
      </c>
      <c r="G608" s="7">
        <f>IFERROR(__xludf.DUMMYFUNCTION("""COMPUTED_VALUE"""),3.0)</f>
        <v>3</v>
      </c>
    </row>
    <row r="609">
      <c r="A609" s="7" t="str">
        <f>IFERROR(__xludf.DUMMYFUNCTION("""COMPUTED_VALUE"""),"AH9069")</f>
        <v>AH9069</v>
      </c>
      <c r="B609" s="7" t="str">
        <f>IFERROR(__xludf.DUMMYFUNCTION("""COMPUTED_VALUE"""),"RUN-ABRM_2022-12-06_RFR-099")</f>
        <v>RUN-ABRM_2022-12-06_RFR-099</v>
      </c>
      <c r="C609" s="8">
        <f>VLOOKUP(B609,'Run Reconcile'!A$2:B3212,2,FALSE)</f>
        <v>44901</v>
      </c>
      <c r="D609" s="12">
        <f>IFERROR(__xludf.DUMMYFUNCTION("""COMPUTED_VALUE"""),44901.0)</f>
        <v>44901</v>
      </c>
      <c r="E609" s="13">
        <f>IFERROR(__xludf.DUMMYFUNCTION("""COMPUTED_VALUE"""),0.3119444444455439)</f>
        <v>0.3119444444</v>
      </c>
      <c r="F609" s="7" t="str">
        <f>IFERROR(__xludf.DUMMYFUNCTION("""COMPUTED_VALUE"""),"Negative")</f>
        <v>Negative</v>
      </c>
      <c r="G609" s="7">
        <f>IFERROR(__xludf.DUMMYFUNCTION("""COMPUTED_VALUE"""),1.0)</f>
        <v>1</v>
      </c>
    </row>
    <row r="610">
      <c r="A610" s="7" t="str">
        <f>IFERROR(__xludf.DUMMYFUNCTION("""COMPUTED_VALUE"""),"AH7423")</f>
        <v>AH7423</v>
      </c>
      <c r="B610" s="7" t="str">
        <f>IFERROR(__xludf.DUMMYFUNCTION("""COMPUTED_VALUE"""),"RUN-ABRM_2022-12-06_RFR-099")</f>
        <v>RUN-ABRM_2022-12-06_RFR-099</v>
      </c>
      <c r="C610" s="8">
        <f>VLOOKUP(B610,'Run Reconcile'!A$2:B3212,2,FALSE)</f>
        <v>44901</v>
      </c>
      <c r="D610" s="12">
        <f>IFERROR(__xludf.DUMMYFUNCTION("""COMPUTED_VALUE"""),44901.0)</f>
        <v>44901</v>
      </c>
      <c r="E610" s="13">
        <f>IFERROR(__xludf.DUMMYFUNCTION("""COMPUTED_VALUE"""),0.3251851851855463)</f>
        <v>0.3251851852</v>
      </c>
      <c r="F610" s="7" t="str">
        <f>IFERROR(__xludf.DUMMYFUNCTION("""COMPUTED_VALUE"""),"Negative")</f>
        <v>Negative</v>
      </c>
      <c r="G610" s="7">
        <f>IFERROR(__xludf.DUMMYFUNCTION("""COMPUTED_VALUE"""),2.0)</f>
        <v>2</v>
      </c>
    </row>
    <row r="611">
      <c r="A611" s="7" t="str">
        <f>IFERROR(__xludf.DUMMYFUNCTION("""COMPUTED_VALUE"""),"AG1718")</f>
        <v>AG1718</v>
      </c>
      <c r="B611" s="7" t="str">
        <f>IFERROR(__xludf.DUMMYFUNCTION("""COMPUTED_VALUE"""),"RUN-ABRM_2022-12-06_RFR-099")</f>
        <v>RUN-ABRM_2022-12-06_RFR-099</v>
      </c>
      <c r="C611" s="8">
        <f>VLOOKUP(B611,'Run Reconcile'!A$2:B3212,2,FALSE)</f>
        <v>44901</v>
      </c>
      <c r="D611" s="12">
        <f>IFERROR(__xludf.DUMMYFUNCTION("""COMPUTED_VALUE"""),44901.0)</f>
        <v>44901</v>
      </c>
      <c r="E611" s="13">
        <f>IFERROR(__xludf.DUMMYFUNCTION("""COMPUTED_VALUE"""),0.3713657407424762)</f>
        <v>0.3713657407</v>
      </c>
      <c r="F611" s="7" t="str">
        <f>IFERROR(__xludf.DUMMYFUNCTION("""COMPUTED_VALUE"""),"Negative")</f>
        <v>Negative</v>
      </c>
      <c r="G611" s="7">
        <f>IFERROR(__xludf.DUMMYFUNCTION("""COMPUTED_VALUE"""),3.0)</f>
        <v>3</v>
      </c>
    </row>
    <row r="612">
      <c r="A612" s="7" t="str">
        <f>IFERROR(__xludf.DUMMYFUNCTION("""COMPUTED_VALUE"""),"AJ9901")</f>
        <v>AJ9901</v>
      </c>
      <c r="B612" s="7" t="str">
        <f>IFERROR(__xludf.DUMMYFUNCTION("""COMPUTED_VALUE"""),"RUN-ABRM_2022-12-07_RFR-100")</f>
        <v>RUN-ABRM_2022-12-07_RFR-100</v>
      </c>
      <c r="C612" s="8">
        <f>VLOOKUP(B612,'Run Reconcile'!A$2:B3212,2,FALSE)</f>
        <v>44902</v>
      </c>
      <c r="D612" s="12">
        <f>IFERROR(__xludf.DUMMYFUNCTION("""COMPUTED_VALUE"""),44902.0)</f>
        <v>44902</v>
      </c>
      <c r="E612" s="13">
        <f>IFERROR(__xludf.DUMMYFUNCTION("""COMPUTED_VALUE"""),0.2014583333329938)</f>
        <v>0.2014583333</v>
      </c>
      <c r="F612" s="7" t="str">
        <f>IFERROR(__xludf.DUMMYFUNCTION("""COMPUTED_VALUE"""),"Negative")</f>
        <v>Negative</v>
      </c>
      <c r="G612" s="7">
        <f>IFERROR(__xludf.DUMMYFUNCTION("""COMPUTED_VALUE"""),3.0)</f>
        <v>3</v>
      </c>
    </row>
    <row r="613">
      <c r="A613" s="7" t="str">
        <f>IFERROR(__xludf.DUMMYFUNCTION("""COMPUTED_VALUE"""),"AG1931")</f>
        <v>AG1931</v>
      </c>
      <c r="B613" s="7" t="str">
        <f>IFERROR(__xludf.DUMMYFUNCTION("""COMPUTED_VALUE"""),"RUN-ABRM_2022-12-07_RFR-100")</f>
        <v>RUN-ABRM_2022-12-07_RFR-100</v>
      </c>
      <c r="C613" s="8">
        <f>VLOOKUP(B613,'Run Reconcile'!A$2:B3212,2,FALSE)</f>
        <v>44902</v>
      </c>
      <c r="D613" s="12">
        <f>IFERROR(__xludf.DUMMYFUNCTION("""COMPUTED_VALUE"""),44902.0)</f>
        <v>44902</v>
      </c>
      <c r="E613" s="13">
        <f>IFERROR(__xludf.DUMMYFUNCTION("""COMPUTED_VALUE"""),0.28689814814788406)</f>
        <v>0.2868981481</v>
      </c>
      <c r="F613" s="7" t="str">
        <f>IFERROR(__xludf.DUMMYFUNCTION("""COMPUTED_VALUE"""),"Negative")</f>
        <v>Negative</v>
      </c>
      <c r="G613" s="7">
        <f>IFERROR(__xludf.DUMMYFUNCTION("""COMPUTED_VALUE"""),2.0)</f>
        <v>2</v>
      </c>
    </row>
    <row r="614">
      <c r="A614" s="7" t="str">
        <f>IFERROR(__xludf.DUMMYFUNCTION("""COMPUTED_VALUE"""),"AH9090")</f>
        <v>AH9090</v>
      </c>
      <c r="B614" s="7" t="str">
        <f>IFERROR(__xludf.DUMMYFUNCTION("""COMPUTED_VALUE"""),"RUN-ABRM_2022-12-07_RFR-100")</f>
        <v>RUN-ABRM_2022-12-07_RFR-100</v>
      </c>
      <c r="C614" s="8">
        <f>VLOOKUP(B614,'Run Reconcile'!A$2:B3212,2,FALSE)</f>
        <v>44902</v>
      </c>
      <c r="D614" s="12">
        <f>IFERROR(__xludf.DUMMYFUNCTION("""COMPUTED_VALUE"""),44902.0)</f>
        <v>44902</v>
      </c>
      <c r="E614" s="13">
        <f>IFERROR(__xludf.DUMMYFUNCTION("""COMPUTED_VALUE"""),0.2912499999983993)</f>
        <v>0.29125</v>
      </c>
      <c r="F614" s="7" t="str">
        <f>IFERROR(__xludf.DUMMYFUNCTION("""COMPUTED_VALUE"""),"Negative")</f>
        <v>Negative</v>
      </c>
      <c r="G614" s="7">
        <f>IFERROR(__xludf.DUMMYFUNCTION("""COMPUTED_VALUE"""),3.0)</f>
        <v>3</v>
      </c>
    </row>
    <row r="615">
      <c r="A615" s="7" t="str">
        <f>IFERROR(__xludf.DUMMYFUNCTION("""COMPUTED_VALUE"""),"AG2242")</f>
        <v>AG2242</v>
      </c>
      <c r="B615" s="7" t="str">
        <f>IFERROR(__xludf.DUMMYFUNCTION("""COMPUTED_VALUE"""),"RUN-ABRM_2022-12-07_RFR-100")</f>
        <v>RUN-ABRM_2022-12-07_RFR-100</v>
      </c>
      <c r="C615" s="8">
        <f>VLOOKUP(B615,'Run Reconcile'!A$2:B3212,2,FALSE)</f>
        <v>44902</v>
      </c>
      <c r="D615" s="12">
        <f>IFERROR(__xludf.DUMMYFUNCTION("""COMPUTED_VALUE"""),44902.0)</f>
        <v>44902</v>
      </c>
      <c r="E615" s="13">
        <f>IFERROR(__xludf.DUMMYFUNCTION("""COMPUTED_VALUE"""),0.2971990740734327)</f>
        <v>0.2971990741</v>
      </c>
      <c r="F615" s="7" t="str">
        <f>IFERROR(__xludf.DUMMYFUNCTION("""COMPUTED_VALUE"""),"Negative")</f>
        <v>Negative</v>
      </c>
      <c r="G615" s="7">
        <f>IFERROR(__xludf.DUMMYFUNCTION("""COMPUTED_VALUE"""),3.0)</f>
        <v>3</v>
      </c>
    </row>
    <row r="616">
      <c r="A616" s="7" t="str">
        <f>IFERROR(__xludf.DUMMYFUNCTION("""COMPUTED_VALUE"""),"AG142")</f>
        <v>AG142</v>
      </c>
      <c r="B616" s="7" t="str">
        <f>IFERROR(__xludf.DUMMYFUNCTION("""COMPUTED_VALUE"""),"RUN-ABRM_2022-12-07_RFR-100")</f>
        <v>RUN-ABRM_2022-12-07_RFR-100</v>
      </c>
      <c r="C616" s="8">
        <f>VLOOKUP(B616,'Run Reconcile'!A$2:B3212,2,FALSE)</f>
        <v>44902</v>
      </c>
      <c r="D616" s="12">
        <f>IFERROR(__xludf.DUMMYFUNCTION("""COMPUTED_VALUE"""),44902.0)</f>
        <v>44902</v>
      </c>
      <c r="E616" s="13">
        <f>IFERROR(__xludf.DUMMYFUNCTION("""COMPUTED_VALUE"""),0.31478009259080864)</f>
        <v>0.3147800926</v>
      </c>
      <c r="F616" s="7" t="str">
        <f>IFERROR(__xludf.DUMMYFUNCTION("""COMPUTED_VALUE"""),"Negative")</f>
        <v>Negative</v>
      </c>
      <c r="G616" s="7">
        <f>IFERROR(__xludf.DUMMYFUNCTION("""COMPUTED_VALUE"""),2.0)</f>
        <v>2</v>
      </c>
    </row>
    <row r="617">
      <c r="A617" s="7" t="str">
        <f>IFERROR(__xludf.DUMMYFUNCTION("""COMPUTED_VALUE"""),"AH979")</f>
        <v>AH979</v>
      </c>
      <c r="B617" s="7" t="str">
        <f>IFERROR(__xludf.DUMMYFUNCTION("""COMPUTED_VALUE"""),"RUN-ABRM_2022-12-07_RFR-100")</f>
        <v>RUN-ABRM_2022-12-07_RFR-100</v>
      </c>
      <c r="C617" s="8">
        <f>VLOOKUP(B617,'Run Reconcile'!A$2:B3212,2,FALSE)</f>
        <v>44902</v>
      </c>
      <c r="D617" s="12">
        <f>IFERROR(__xludf.DUMMYFUNCTION("""COMPUTED_VALUE"""),44902.0)</f>
        <v>44902</v>
      </c>
      <c r="E617" s="13">
        <f>IFERROR(__xludf.DUMMYFUNCTION("""COMPUTED_VALUE"""),0.3171759259275859)</f>
        <v>0.3171759259</v>
      </c>
      <c r="F617" s="7" t="str">
        <f>IFERROR(__xludf.DUMMYFUNCTION("""COMPUTED_VALUE"""),"Negative")</f>
        <v>Negative</v>
      </c>
      <c r="G617" s="7">
        <f>IFERROR(__xludf.DUMMYFUNCTION("""COMPUTED_VALUE"""),4.0)</f>
        <v>4</v>
      </c>
    </row>
    <row r="618">
      <c r="A618" s="7" t="str">
        <f>IFERROR(__xludf.DUMMYFUNCTION("""COMPUTED_VALUE"""),"AH6872")</f>
        <v>AH6872</v>
      </c>
      <c r="B618" s="7" t="str">
        <f>IFERROR(__xludf.DUMMYFUNCTION("""COMPUTED_VALUE"""),"RUN-ABRM_2022-12-07_RFR-100")</f>
        <v>RUN-ABRM_2022-12-07_RFR-100</v>
      </c>
      <c r="C618" s="8">
        <f>VLOOKUP(B618,'Run Reconcile'!A$2:B3212,2,FALSE)</f>
        <v>44902</v>
      </c>
      <c r="D618" s="12">
        <f>IFERROR(__xludf.DUMMYFUNCTION("""COMPUTED_VALUE"""),44902.0)</f>
        <v>44902</v>
      </c>
      <c r="E618" s="13">
        <f>IFERROR(__xludf.DUMMYFUNCTION("""COMPUTED_VALUE"""),0.3264120370367891)</f>
        <v>0.326412037</v>
      </c>
      <c r="F618" s="7" t="str">
        <f>IFERROR(__xludf.DUMMYFUNCTION("""COMPUTED_VALUE"""),"Negative")</f>
        <v>Negative</v>
      </c>
      <c r="G618" s="7">
        <f>IFERROR(__xludf.DUMMYFUNCTION("""COMPUTED_VALUE"""),1.0)</f>
        <v>1</v>
      </c>
    </row>
    <row r="619">
      <c r="A619" s="7" t="str">
        <f>IFERROR(__xludf.DUMMYFUNCTION("""COMPUTED_VALUE"""),"AG2083")</f>
        <v>AG2083</v>
      </c>
      <c r="B619" s="7" t="str">
        <f>IFERROR(__xludf.DUMMYFUNCTION("""COMPUTED_VALUE"""),"RUN-ABRM_2022-12-07_RFR-100")</f>
        <v>RUN-ABRM_2022-12-07_RFR-100</v>
      </c>
      <c r="C619" s="8">
        <f>VLOOKUP(B619,'Run Reconcile'!A$2:B3212,2,FALSE)</f>
        <v>44902</v>
      </c>
      <c r="D619" s="12">
        <f>IFERROR(__xludf.DUMMYFUNCTION("""COMPUTED_VALUE"""),44902.0)</f>
        <v>44902</v>
      </c>
      <c r="E619" s="13">
        <f>IFERROR(__xludf.DUMMYFUNCTION("""COMPUTED_VALUE"""),0.3555902777770825)</f>
        <v>0.3555902778</v>
      </c>
      <c r="F619" s="7" t="str">
        <f>IFERROR(__xludf.DUMMYFUNCTION("""COMPUTED_VALUE"""),"Negative")</f>
        <v>Negative</v>
      </c>
      <c r="G619" s="7">
        <f>IFERROR(__xludf.DUMMYFUNCTION("""COMPUTED_VALUE"""),2.0)</f>
        <v>2</v>
      </c>
    </row>
    <row r="620">
      <c r="A620" s="7" t="str">
        <f>IFERROR(__xludf.DUMMYFUNCTION("""COMPUTED_VALUE"""),"AK7370")</f>
        <v>AK7370</v>
      </c>
      <c r="B620" s="7" t="str">
        <f>IFERROR(__xludf.DUMMYFUNCTION("""COMPUTED_VALUE"""),"RUN-ABRM_2022-12-08_RFR-101")</f>
        <v>RUN-ABRM_2022-12-08_RFR-101</v>
      </c>
      <c r="C620" s="8">
        <f>VLOOKUP(B620,'Run Reconcile'!A$2:B3212,2,FALSE)</f>
        <v>44903</v>
      </c>
      <c r="D620" s="12">
        <f>IFERROR(__xludf.DUMMYFUNCTION("""COMPUTED_VALUE"""),44903.0)</f>
        <v>44903</v>
      </c>
      <c r="E620" s="13">
        <f>IFERROR(__xludf.DUMMYFUNCTION("""COMPUTED_VALUE"""),0.286620370370656)</f>
        <v>0.2866203704</v>
      </c>
      <c r="F620" s="7" t="str">
        <f>IFERROR(__xludf.DUMMYFUNCTION("""COMPUTED_VALUE"""),"Negative")</f>
        <v>Negative</v>
      </c>
      <c r="G620" s="7">
        <f>IFERROR(__xludf.DUMMYFUNCTION("""COMPUTED_VALUE"""),4.0)</f>
        <v>4</v>
      </c>
    </row>
    <row r="621">
      <c r="A621" s="7" t="str">
        <f>IFERROR(__xludf.DUMMYFUNCTION("""COMPUTED_VALUE"""),"AG173")</f>
        <v>AG173</v>
      </c>
      <c r="B621" s="7" t="str">
        <f>IFERROR(__xludf.DUMMYFUNCTION("""COMPUTED_VALUE"""),"RUN-ABRM_2022-12-08_RFR-101")</f>
        <v>RUN-ABRM_2022-12-08_RFR-101</v>
      </c>
      <c r="C621" s="8">
        <f>VLOOKUP(B621,'Run Reconcile'!A$2:B3212,2,FALSE)</f>
        <v>44903</v>
      </c>
      <c r="D621" s="12">
        <f>IFERROR(__xludf.DUMMYFUNCTION("""COMPUTED_VALUE"""),44903.0)</f>
        <v>44903</v>
      </c>
      <c r="E621" s="13">
        <f>IFERROR(__xludf.DUMMYFUNCTION("""COMPUTED_VALUE"""),0.29630787036876427)</f>
        <v>0.2963078704</v>
      </c>
      <c r="F621" s="7" t="str">
        <f>IFERROR(__xludf.DUMMYFUNCTION("""COMPUTED_VALUE"""),"Positive")</f>
        <v>Positive</v>
      </c>
      <c r="G621" s="7">
        <f>IFERROR(__xludf.DUMMYFUNCTION("""COMPUTED_VALUE"""),3.0)</f>
        <v>3</v>
      </c>
    </row>
    <row r="622">
      <c r="A622" s="7" t="str">
        <f>IFERROR(__xludf.DUMMYFUNCTION("""COMPUTED_VALUE"""),"AJ8359")</f>
        <v>AJ8359</v>
      </c>
      <c r="B622" s="7" t="str">
        <f>IFERROR(__xludf.DUMMYFUNCTION("""COMPUTED_VALUE"""),"RUN-ABRM_2022-12-08_RFR-101")</f>
        <v>RUN-ABRM_2022-12-08_RFR-101</v>
      </c>
      <c r="C622" s="8">
        <f>VLOOKUP(B622,'Run Reconcile'!A$2:B3212,2,FALSE)</f>
        <v>44903</v>
      </c>
      <c r="D622" s="12">
        <f>IFERROR(__xludf.DUMMYFUNCTION("""COMPUTED_VALUE"""),44903.0)</f>
        <v>44903</v>
      </c>
      <c r="E622" s="13">
        <f>IFERROR(__xludf.DUMMYFUNCTION("""COMPUTED_VALUE"""),0.322997685183509)</f>
        <v>0.3229976852</v>
      </c>
      <c r="F622" s="7" t="str">
        <f>IFERROR(__xludf.DUMMYFUNCTION("""COMPUTED_VALUE"""),"Negative")</f>
        <v>Negative</v>
      </c>
      <c r="G622" s="7">
        <f>IFERROR(__xludf.DUMMYFUNCTION("""COMPUTED_VALUE"""),1.0)</f>
        <v>1</v>
      </c>
    </row>
    <row r="623">
      <c r="A623" s="7" t="str">
        <f>IFERROR(__xludf.DUMMYFUNCTION("""COMPUTED_VALUE"""),"AJ7904")</f>
        <v>AJ7904</v>
      </c>
      <c r="B623" s="7" t="str">
        <f>IFERROR(__xludf.DUMMYFUNCTION("""COMPUTED_VALUE"""),"RUN-ABRM_2022-12-08_RFR-101")</f>
        <v>RUN-ABRM_2022-12-08_RFR-101</v>
      </c>
      <c r="C623" s="8">
        <f>VLOOKUP(B623,'Run Reconcile'!A$2:B3212,2,FALSE)</f>
        <v>44903</v>
      </c>
      <c r="D623" s="12">
        <f>IFERROR(__xludf.DUMMYFUNCTION("""COMPUTED_VALUE"""),44903.0)</f>
        <v>44903</v>
      </c>
      <c r="E623" s="13">
        <f>IFERROR(__xludf.DUMMYFUNCTION("""COMPUTED_VALUE"""),0.32653935185226146)</f>
        <v>0.3265393519</v>
      </c>
      <c r="F623" s="7" t="str">
        <f>IFERROR(__xludf.DUMMYFUNCTION("""COMPUTED_VALUE"""),"Negative")</f>
        <v>Negative</v>
      </c>
      <c r="G623" s="7">
        <f>IFERROR(__xludf.DUMMYFUNCTION("""COMPUTED_VALUE"""),2.0)</f>
        <v>2</v>
      </c>
    </row>
    <row r="624">
      <c r="A624" s="7" t="str">
        <f>IFERROR(__xludf.DUMMYFUNCTION("""COMPUTED_VALUE"""),"AH7489")</f>
        <v>AH7489</v>
      </c>
      <c r="B624" s="7" t="str">
        <f>IFERROR(__xludf.DUMMYFUNCTION("""COMPUTED_VALUE"""),"RUN-ABRM_2022-12-08_RFR-101")</f>
        <v>RUN-ABRM_2022-12-08_RFR-101</v>
      </c>
      <c r="C624" s="8">
        <f>VLOOKUP(B624,'Run Reconcile'!A$2:B3212,2,FALSE)</f>
        <v>44903</v>
      </c>
      <c r="D624" s="12">
        <f>IFERROR(__xludf.DUMMYFUNCTION("""COMPUTED_VALUE"""),44903.0)</f>
        <v>44903</v>
      </c>
      <c r="E624" s="13">
        <f>IFERROR(__xludf.DUMMYFUNCTION("""COMPUTED_VALUE"""),0.35113425926101627)</f>
        <v>0.3511342593</v>
      </c>
      <c r="F624" s="7" t="str">
        <f>IFERROR(__xludf.DUMMYFUNCTION("""COMPUTED_VALUE"""),"Negative")</f>
        <v>Negative</v>
      </c>
      <c r="G624" s="7">
        <f>IFERROR(__xludf.DUMMYFUNCTION("""COMPUTED_VALUE"""),3.0)</f>
        <v>3</v>
      </c>
    </row>
    <row r="625">
      <c r="A625" s="7" t="str">
        <f>IFERROR(__xludf.DUMMYFUNCTION("""COMPUTED_VALUE"""),"AJ9806")</f>
        <v>AJ9806</v>
      </c>
      <c r="B625" s="7" t="str">
        <f>IFERROR(__xludf.DUMMYFUNCTION("""COMPUTED_VALUE"""),"RUN-ABRM_2022-12-08_RFR-101")</f>
        <v>RUN-ABRM_2022-12-08_RFR-101</v>
      </c>
      <c r="C625" s="8">
        <f>VLOOKUP(B625,'Run Reconcile'!A$2:B3212,2,FALSE)</f>
        <v>44903</v>
      </c>
      <c r="D625" s="12">
        <f>IFERROR(__xludf.DUMMYFUNCTION("""COMPUTED_VALUE"""),44903.0)</f>
        <v>44903</v>
      </c>
      <c r="E625" s="13">
        <f>IFERROR(__xludf.DUMMYFUNCTION("""COMPUTED_VALUE"""),0.35150462963065365)</f>
        <v>0.3515046296</v>
      </c>
      <c r="F625" s="7" t="str">
        <f>IFERROR(__xludf.DUMMYFUNCTION("""COMPUTED_VALUE"""),"Negative")</f>
        <v>Negative</v>
      </c>
      <c r="G625" s="7">
        <f>IFERROR(__xludf.DUMMYFUNCTION("""COMPUTED_VALUE"""),3.0)</f>
        <v>3</v>
      </c>
    </row>
    <row r="626">
      <c r="A626" s="7" t="str">
        <f>IFERROR(__xludf.DUMMYFUNCTION("""COMPUTED_VALUE"""),"AH7874")</f>
        <v>AH7874</v>
      </c>
      <c r="B626" s="7" t="str">
        <f>IFERROR(__xludf.DUMMYFUNCTION("""COMPUTED_VALUE"""),"RUN-ABRM_2022-12-08_RFR-101")</f>
        <v>RUN-ABRM_2022-12-08_RFR-101</v>
      </c>
      <c r="C626" s="8">
        <f>VLOOKUP(B626,'Run Reconcile'!A$2:B3212,2,FALSE)</f>
        <v>44903</v>
      </c>
      <c r="D626" s="12">
        <f>IFERROR(__xludf.DUMMYFUNCTION("""COMPUTED_VALUE"""),44903.0)</f>
        <v>44903</v>
      </c>
      <c r="E626" s="13">
        <f>IFERROR(__xludf.DUMMYFUNCTION("""COMPUTED_VALUE"""),0.3537499999983993)</f>
        <v>0.35375</v>
      </c>
      <c r="F626" s="7" t="str">
        <f>IFERROR(__xludf.DUMMYFUNCTION("""COMPUTED_VALUE"""),"Negative")</f>
        <v>Negative</v>
      </c>
      <c r="G626" s="7">
        <f>IFERROR(__xludf.DUMMYFUNCTION("""COMPUTED_VALUE"""),4.0)</f>
        <v>4</v>
      </c>
    </row>
    <row r="627">
      <c r="A627" s="7" t="str">
        <f>IFERROR(__xludf.DUMMYFUNCTION("""COMPUTED_VALUE"""),"AH189")</f>
        <v>AH189</v>
      </c>
      <c r="B627" s="7" t="str">
        <f>IFERROR(__xludf.DUMMYFUNCTION("""COMPUTED_VALUE"""),"RUN-ABRM_2022-12-09_RFR-104")</f>
        <v>RUN-ABRM_2022-12-09_RFR-104</v>
      </c>
      <c r="C627" s="8">
        <f>VLOOKUP(B627,'Run Reconcile'!A$2:B3212,2,FALSE)</f>
        <v>44904</v>
      </c>
      <c r="D627" s="12">
        <f>IFERROR(__xludf.DUMMYFUNCTION("""COMPUTED_VALUE"""),44904.0)</f>
        <v>44904</v>
      </c>
      <c r="E627" s="13">
        <f>IFERROR(__xludf.DUMMYFUNCTION("""COMPUTED_VALUE"""),0.1540277777785377)</f>
        <v>0.1540277778</v>
      </c>
      <c r="F627" s="7" t="str">
        <f>IFERROR(__xludf.DUMMYFUNCTION("""COMPUTED_VALUE"""),"Negative")</f>
        <v>Negative</v>
      </c>
      <c r="G627" s="7">
        <f>IFERROR(__xludf.DUMMYFUNCTION("""COMPUTED_VALUE"""),1.0)</f>
        <v>1</v>
      </c>
    </row>
    <row r="628">
      <c r="A628" s="7" t="str">
        <f>IFERROR(__xludf.DUMMYFUNCTION("""COMPUTED_VALUE"""),"AG465")</f>
        <v>AG465</v>
      </c>
      <c r="B628" s="7" t="str">
        <f>IFERROR(__xludf.DUMMYFUNCTION("""COMPUTED_VALUE"""),"RUN-ABRM_2022-12-09_RFR-104")</f>
        <v>RUN-ABRM_2022-12-09_RFR-104</v>
      </c>
      <c r="C628" s="8">
        <f>VLOOKUP(B628,'Run Reconcile'!A$2:B3212,2,FALSE)</f>
        <v>44904</v>
      </c>
      <c r="D628" s="12">
        <f>IFERROR(__xludf.DUMMYFUNCTION("""COMPUTED_VALUE"""),44904.0)</f>
        <v>44904</v>
      </c>
      <c r="E628" s="13">
        <f>IFERROR(__xludf.DUMMYFUNCTION("""COMPUTED_VALUE"""),0.15425925925956108)</f>
        <v>0.1542592593</v>
      </c>
      <c r="F628" s="7" t="str">
        <f>IFERROR(__xludf.DUMMYFUNCTION("""COMPUTED_VALUE"""),"Negative")</f>
        <v>Negative</v>
      </c>
      <c r="G628" s="7">
        <f>IFERROR(__xludf.DUMMYFUNCTION("""COMPUTED_VALUE"""),1.0)</f>
        <v>1</v>
      </c>
    </row>
    <row r="629">
      <c r="A629" s="7" t="str">
        <f>IFERROR(__xludf.DUMMYFUNCTION("""COMPUTED_VALUE"""),"AG628")</f>
        <v>AG628</v>
      </c>
      <c r="B629" s="7" t="str">
        <f>IFERROR(__xludf.DUMMYFUNCTION("""COMPUTED_VALUE"""),"RUN-ABRM_2022-12-09_RFR-104")</f>
        <v>RUN-ABRM_2022-12-09_RFR-104</v>
      </c>
      <c r="C629" s="8">
        <f>VLOOKUP(B629,'Run Reconcile'!A$2:B3212,2,FALSE)</f>
        <v>44904</v>
      </c>
      <c r="D629" s="12">
        <f>IFERROR(__xludf.DUMMYFUNCTION("""COMPUTED_VALUE"""),44904.0)</f>
        <v>44904</v>
      </c>
      <c r="E629" s="13">
        <f>IFERROR(__xludf.DUMMYFUNCTION("""COMPUTED_VALUE"""),0.29002314814715646)</f>
        <v>0.2900231481</v>
      </c>
      <c r="F629" s="7" t="str">
        <f>IFERROR(__xludf.DUMMYFUNCTION("""COMPUTED_VALUE"""),"Negative")</f>
        <v>Negative</v>
      </c>
      <c r="G629" s="7">
        <f>IFERROR(__xludf.DUMMYFUNCTION("""COMPUTED_VALUE"""),3.0)</f>
        <v>3</v>
      </c>
    </row>
    <row r="630">
      <c r="A630" s="7" t="str">
        <f>IFERROR(__xludf.DUMMYFUNCTION("""COMPUTED_VALUE"""),"AJ9495")</f>
        <v>AJ9495</v>
      </c>
      <c r="B630" s="7" t="str">
        <f>IFERROR(__xludf.DUMMYFUNCTION("""COMPUTED_VALUE"""),"RUN-ABRM_2022-12-09_RFR-104")</f>
        <v>RUN-ABRM_2022-12-09_RFR-104</v>
      </c>
      <c r="C630" s="8">
        <f>VLOOKUP(B630,'Run Reconcile'!A$2:B3212,2,FALSE)</f>
        <v>44904</v>
      </c>
      <c r="D630" s="12">
        <f>IFERROR(__xludf.DUMMYFUNCTION("""COMPUTED_VALUE"""),44904.0)</f>
        <v>44904</v>
      </c>
      <c r="E630" s="13">
        <f>IFERROR(__xludf.DUMMYFUNCTION("""COMPUTED_VALUE"""),0.3267476851870015)</f>
        <v>0.3267476852</v>
      </c>
      <c r="F630" s="7" t="str">
        <f>IFERROR(__xludf.DUMMYFUNCTION("""COMPUTED_VALUE"""),"Negative")</f>
        <v>Negative</v>
      </c>
      <c r="G630" s="7">
        <f>IFERROR(__xludf.DUMMYFUNCTION("""COMPUTED_VALUE"""),1.0)</f>
        <v>1</v>
      </c>
    </row>
    <row r="631">
      <c r="A631" s="7" t="str">
        <f>IFERROR(__xludf.DUMMYFUNCTION("""COMPUTED_VALUE"""),"AH6935")</f>
        <v>AH6935</v>
      </c>
      <c r="B631" s="7" t="str">
        <f>IFERROR(__xludf.DUMMYFUNCTION("""COMPUTED_VALUE"""),"RUN-ABRM_2022-12-09_RFR-104")</f>
        <v>RUN-ABRM_2022-12-09_RFR-104</v>
      </c>
      <c r="C631" s="8">
        <f>VLOOKUP(B631,'Run Reconcile'!A$2:B3212,2,FALSE)</f>
        <v>44904</v>
      </c>
      <c r="D631" s="12">
        <f>IFERROR(__xludf.DUMMYFUNCTION("""COMPUTED_VALUE"""),44904.0)</f>
        <v>44904</v>
      </c>
      <c r="E631" s="13">
        <f>IFERROR(__xludf.DUMMYFUNCTION("""COMPUTED_VALUE"""),0.3608564814821875)</f>
        <v>0.3608564815</v>
      </c>
      <c r="F631" s="7" t="str">
        <f>IFERROR(__xludf.DUMMYFUNCTION("""COMPUTED_VALUE"""),"Negative")</f>
        <v>Negative</v>
      </c>
      <c r="G631" s="7">
        <f>IFERROR(__xludf.DUMMYFUNCTION("""COMPUTED_VALUE"""),4.0)</f>
        <v>4</v>
      </c>
    </row>
    <row r="632">
      <c r="A632" s="7" t="str">
        <f>IFERROR(__xludf.DUMMYFUNCTION("""COMPUTED_VALUE"""),"AH326")</f>
        <v>AH326</v>
      </c>
      <c r="B632" s="7" t="str">
        <f>IFERROR(__xludf.DUMMYFUNCTION("""COMPUTED_VALUE"""),"RUN-ABRM_2022-12-12_RFR-105")</f>
        <v>RUN-ABRM_2022-12-12_RFR-105</v>
      </c>
      <c r="C632" s="8">
        <f>VLOOKUP(B632,'Run Reconcile'!A$2:B3212,2,FALSE)</f>
        <v>44907</v>
      </c>
      <c r="D632" s="12">
        <f>IFERROR(__xludf.DUMMYFUNCTION("""COMPUTED_VALUE"""),44907.0)</f>
        <v>44907</v>
      </c>
      <c r="E632" s="13">
        <f>IFERROR(__xludf.DUMMYFUNCTION("""COMPUTED_VALUE"""),0.3236111111109494)</f>
        <v>0.3236111111</v>
      </c>
      <c r="F632" s="7" t="str">
        <f>IFERROR(__xludf.DUMMYFUNCTION("""COMPUTED_VALUE"""),"Negative")</f>
        <v>Negative</v>
      </c>
      <c r="G632" s="7">
        <f>IFERROR(__xludf.DUMMYFUNCTION("""COMPUTED_VALUE"""),1.0)</f>
        <v>1</v>
      </c>
    </row>
    <row r="633">
      <c r="A633" s="7" t="str">
        <f>IFERROR(__xludf.DUMMYFUNCTION("""COMPUTED_VALUE"""),"AH9107")</f>
        <v>AH9107</v>
      </c>
      <c r="B633" s="7" t="str">
        <f>IFERROR(__xludf.DUMMYFUNCTION("""COMPUTED_VALUE"""),"RUN-ABRM_2022-12-12_RFR-105")</f>
        <v>RUN-ABRM_2022-12-12_RFR-105</v>
      </c>
      <c r="C633" s="8">
        <f>VLOOKUP(B633,'Run Reconcile'!A$2:B3212,2,FALSE)</f>
        <v>44907</v>
      </c>
      <c r="D633" s="12">
        <f>IFERROR(__xludf.DUMMYFUNCTION("""COMPUTED_VALUE"""),44907.0)</f>
        <v>44907</v>
      </c>
      <c r="E633" s="13">
        <f>IFERROR(__xludf.DUMMYFUNCTION("""COMPUTED_VALUE"""),0.34417824073898373)</f>
        <v>0.3441782407</v>
      </c>
      <c r="F633" s="7" t="str">
        <f>IFERROR(__xludf.DUMMYFUNCTION("""COMPUTED_VALUE"""),"Negative")</f>
        <v>Negative</v>
      </c>
      <c r="G633" s="7">
        <f>IFERROR(__xludf.DUMMYFUNCTION("""COMPUTED_VALUE"""),1.0)</f>
        <v>1</v>
      </c>
    </row>
    <row r="634">
      <c r="A634" s="7" t="str">
        <f>IFERROR(__xludf.DUMMYFUNCTION("""COMPUTED_VALUE"""),"AJ9700")</f>
        <v>AJ9700</v>
      </c>
      <c r="B634" s="7" t="str">
        <f>IFERROR(__xludf.DUMMYFUNCTION("""COMPUTED_VALUE"""),"RUN-ABRM_2022-12-12_RFR-105")</f>
        <v>RUN-ABRM_2022-12-12_RFR-105</v>
      </c>
      <c r="C634" s="8">
        <f>VLOOKUP(B634,'Run Reconcile'!A$2:B3212,2,FALSE)</f>
        <v>44907</v>
      </c>
      <c r="D634" s="12">
        <f>IFERROR(__xludf.DUMMYFUNCTION("""COMPUTED_VALUE"""),44907.0)</f>
        <v>44907</v>
      </c>
      <c r="E634" s="13">
        <f>IFERROR(__xludf.DUMMYFUNCTION("""COMPUTED_VALUE"""),0.3444675925929914)</f>
        <v>0.3444675926</v>
      </c>
      <c r="F634" s="7" t="str">
        <f>IFERROR(__xludf.DUMMYFUNCTION("""COMPUTED_VALUE"""),"Negative")</f>
        <v>Negative</v>
      </c>
      <c r="G634" s="7">
        <f>IFERROR(__xludf.DUMMYFUNCTION("""COMPUTED_VALUE"""),1.0)</f>
        <v>1</v>
      </c>
    </row>
    <row r="635">
      <c r="A635" s="7" t="str">
        <f>IFERROR(__xludf.DUMMYFUNCTION("""COMPUTED_VALUE"""),"AJ8746")</f>
        <v>AJ8746</v>
      </c>
      <c r="B635" s="7" t="str">
        <f>IFERROR(__xludf.DUMMYFUNCTION("""COMPUTED_VALUE"""),"RUN-ABRM_2022-12-12_RFR-107")</f>
        <v>RUN-ABRM_2022-12-12_RFR-107</v>
      </c>
      <c r="C635" s="8">
        <f>VLOOKUP(B635,'Run Reconcile'!A$2:B3212,2,FALSE)</f>
        <v>44907</v>
      </c>
      <c r="D635" s="12">
        <f>IFERROR(__xludf.DUMMYFUNCTION("""COMPUTED_VALUE"""),44907.0)</f>
        <v>44907</v>
      </c>
      <c r="E635" s="13">
        <f>IFERROR(__xludf.DUMMYFUNCTION("""COMPUTED_VALUE"""),0.46197916666642413)</f>
        <v>0.4619791667</v>
      </c>
      <c r="F635" s="7" t="str">
        <f>IFERROR(__xludf.DUMMYFUNCTION("""COMPUTED_VALUE"""),"Negative")</f>
        <v>Negative</v>
      </c>
      <c r="G635" s="7">
        <f>IFERROR(__xludf.DUMMYFUNCTION("""COMPUTED_VALUE"""),1.0)</f>
        <v>1</v>
      </c>
    </row>
    <row r="636">
      <c r="A636" s="7" t="str">
        <f>IFERROR(__xludf.DUMMYFUNCTION("""COMPUTED_VALUE"""),"AH7660")</f>
        <v>AH7660</v>
      </c>
      <c r="B636" s="7" t="str">
        <f>IFERROR(__xludf.DUMMYFUNCTION("""COMPUTED_VALUE"""),"RUN-ABRM_2022-12-12_RFR-107")</f>
        <v>RUN-ABRM_2022-12-12_RFR-107</v>
      </c>
      <c r="C636" s="8">
        <f>VLOOKUP(B636,'Run Reconcile'!A$2:B3212,2,FALSE)</f>
        <v>44907</v>
      </c>
      <c r="D636" s="12">
        <f>IFERROR(__xludf.DUMMYFUNCTION("""COMPUTED_VALUE"""),44907.0)</f>
        <v>44907</v>
      </c>
      <c r="E636" s="13">
        <f>IFERROR(__xludf.DUMMYFUNCTION("""COMPUTED_VALUE"""),0.4622222222205892)</f>
        <v>0.4622222222</v>
      </c>
      <c r="F636" s="7" t="str">
        <f>IFERROR(__xludf.DUMMYFUNCTION("""COMPUTED_VALUE"""),"Negative")</f>
        <v>Negative</v>
      </c>
      <c r="G636" s="7">
        <f>IFERROR(__xludf.DUMMYFUNCTION("""COMPUTED_VALUE"""),1.0)</f>
        <v>1</v>
      </c>
    </row>
    <row r="637">
      <c r="A637" s="7" t="str">
        <f>IFERROR(__xludf.DUMMYFUNCTION("""COMPUTED_VALUE"""),"AH7389")</f>
        <v>AH7389</v>
      </c>
      <c r="B637" s="7" t="str">
        <f>IFERROR(__xludf.DUMMYFUNCTION("""COMPUTED_VALUE"""),"RUN-ABRM_2022-12-13_RFR-108")</f>
        <v>RUN-ABRM_2022-12-13_RFR-108</v>
      </c>
      <c r="C637" s="8">
        <f>VLOOKUP(B637,'Run Reconcile'!A$2:B3212,2,FALSE)</f>
        <v>44908</v>
      </c>
      <c r="D637" s="12">
        <f>IFERROR(__xludf.DUMMYFUNCTION("""COMPUTED_VALUE"""),44908.0)</f>
        <v>44908</v>
      </c>
      <c r="E637" s="13">
        <f>IFERROR(__xludf.DUMMYFUNCTION("""COMPUTED_VALUE"""),0.3500810185178125)</f>
        <v>0.3500810185</v>
      </c>
      <c r="F637" s="7" t="str">
        <f>IFERROR(__xludf.DUMMYFUNCTION("""COMPUTED_VALUE"""),"Negative")</f>
        <v>Negative</v>
      </c>
      <c r="G637" s="7">
        <f>IFERROR(__xludf.DUMMYFUNCTION("""COMPUTED_VALUE"""),2.0)</f>
        <v>2</v>
      </c>
    </row>
    <row r="638">
      <c r="A638" s="7" t="str">
        <f>IFERROR(__xludf.DUMMYFUNCTION("""COMPUTED_VALUE"""),"AJ5650")</f>
        <v>AJ5650</v>
      </c>
      <c r="B638" s="7" t="str">
        <f>IFERROR(__xludf.DUMMYFUNCTION("""COMPUTED_VALUE"""),"RUN-ABRM_2022-12-13_RFR-108")</f>
        <v>RUN-ABRM_2022-12-13_RFR-108</v>
      </c>
      <c r="C638" s="8">
        <f>VLOOKUP(B638,'Run Reconcile'!A$2:B3212,2,FALSE)</f>
        <v>44908</v>
      </c>
      <c r="D638" s="12">
        <f>IFERROR(__xludf.DUMMYFUNCTION("""COMPUTED_VALUE"""),44908.0)</f>
        <v>44908</v>
      </c>
      <c r="E638" s="13">
        <f>IFERROR(__xludf.DUMMYFUNCTION("""COMPUTED_VALUE"""),0.35180555555416504)</f>
        <v>0.3518055556</v>
      </c>
      <c r="F638" s="7" t="str">
        <f>IFERROR(__xludf.DUMMYFUNCTION("""COMPUTED_VALUE"""),"Negative")</f>
        <v>Negative</v>
      </c>
      <c r="G638" s="7">
        <f>IFERROR(__xludf.DUMMYFUNCTION("""COMPUTED_VALUE"""),4.0)</f>
        <v>4</v>
      </c>
    </row>
    <row r="639">
      <c r="A639" s="7" t="str">
        <f>IFERROR(__xludf.DUMMYFUNCTION("""COMPUTED_VALUE"""),"AJ9513")</f>
        <v>AJ9513</v>
      </c>
      <c r="B639" s="7" t="str">
        <f>IFERROR(__xludf.DUMMYFUNCTION("""COMPUTED_VALUE"""),"RUN-ABRM_2022-12-13_RFR-108")</f>
        <v>RUN-ABRM_2022-12-13_RFR-108</v>
      </c>
      <c r="C639" s="8">
        <f>VLOOKUP(B639,'Run Reconcile'!A$2:B3212,2,FALSE)</f>
        <v>44908</v>
      </c>
      <c r="D639" s="12">
        <f>IFERROR(__xludf.DUMMYFUNCTION("""COMPUTED_VALUE"""),44908.0)</f>
        <v>44908</v>
      </c>
      <c r="E639" s="13">
        <f>IFERROR(__xludf.DUMMYFUNCTION("""COMPUTED_VALUE"""),0.42621527777737356)</f>
        <v>0.4262152778</v>
      </c>
      <c r="F639" s="7" t="str">
        <f>IFERROR(__xludf.DUMMYFUNCTION("""COMPUTED_VALUE"""),"Negative")</f>
        <v>Negative</v>
      </c>
      <c r="G639" s="7">
        <f>IFERROR(__xludf.DUMMYFUNCTION("""COMPUTED_VALUE"""),1.0)</f>
        <v>1</v>
      </c>
    </row>
    <row r="640">
      <c r="A640" s="7" t="str">
        <f>IFERROR(__xludf.DUMMYFUNCTION("""COMPUTED_VALUE"""),"AG1182")</f>
        <v>AG1182</v>
      </c>
      <c r="B640" s="7" t="str">
        <f>IFERROR(__xludf.DUMMYFUNCTION("""COMPUTED_VALUE"""),"RUN-ABRM_2022-12-13_RFR-108")</f>
        <v>RUN-ABRM_2022-12-13_RFR-108</v>
      </c>
      <c r="C640" s="8">
        <f>VLOOKUP(B640,'Run Reconcile'!A$2:B3212,2,FALSE)</f>
        <v>44908</v>
      </c>
      <c r="D640" s="12">
        <f>IFERROR(__xludf.DUMMYFUNCTION("""COMPUTED_VALUE"""),44908.0)</f>
        <v>44908</v>
      </c>
      <c r="E640" s="13">
        <f>IFERROR(__xludf.DUMMYFUNCTION("""COMPUTED_VALUE"""),0.46807870370321325)</f>
        <v>0.4680787037</v>
      </c>
      <c r="F640" s="7" t="str">
        <f>IFERROR(__xludf.DUMMYFUNCTION("""COMPUTED_VALUE"""),"Negative")</f>
        <v>Negative</v>
      </c>
      <c r="G640" s="7">
        <f>IFERROR(__xludf.DUMMYFUNCTION("""COMPUTED_VALUE"""),3.0)</f>
        <v>3</v>
      </c>
    </row>
    <row r="641">
      <c r="A641" s="7" t="str">
        <f>IFERROR(__xludf.DUMMYFUNCTION("""COMPUTED_VALUE"""),"AH237")</f>
        <v>AH237</v>
      </c>
      <c r="B641" s="7" t="str">
        <f>IFERROR(__xludf.DUMMYFUNCTION("""COMPUTED_VALUE"""),"RUN-ABRM_2022-12-13_RFR-108")</f>
        <v>RUN-ABRM_2022-12-13_RFR-108</v>
      </c>
      <c r="C641" s="8">
        <f>VLOOKUP(B641,'Run Reconcile'!A$2:B3212,2,FALSE)</f>
        <v>44908</v>
      </c>
      <c r="D641" s="12">
        <f>IFERROR(__xludf.DUMMYFUNCTION("""COMPUTED_VALUE"""),44908.0)</f>
        <v>44908</v>
      </c>
      <c r="E641" s="13">
        <f>IFERROR(__xludf.DUMMYFUNCTION("""COMPUTED_VALUE"""),0.5534722222218988)</f>
        <v>0.5534722222</v>
      </c>
      <c r="F641" s="7" t="str">
        <f>IFERROR(__xludf.DUMMYFUNCTION("""COMPUTED_VALUE"""),"Negative")</f>
        <v>Negative</v>
      </c>
      <c r="G641" s="7">
        <f>IFERROR(__xludf.DUMMYFUNCTION("""COMPUTED_VALUE"""),1.0)</f>
        <v>1</v>
      </c>
    </row>
    <row r="642">
      <c r="A642" s="7" t="str">
        <f>IFERROR(__xludf.DUMMYFUNCTION("""COMPUTED_VALUE"""),"AH7587")</f>
        <v>AH7587</v>
      </c>
      <c r="B642" s="7" t="str">
        <f>IFERROR(__xludf.DUMMYFUNCTION("""COMPUTED_VALUE"""),"RUN-ABRM_2022-12-16_RFR-109")</f>
        <v>RUN-ABRM_2022-12-16_RFR-109</v>
      </c>
      <c r="C642" s="8">
        <f>VLOOKUP(B642,'Run Reconcile'!A$2:B3212,2,FALSE)</f>
        <v>44911</v>
      </c>
      <c r="D642" s="12">
        <f>IFERROR(__xludf.DUMMYFUNCTION("""COMPUTED_VALUE"""),44911.0)</f>
        <v>44911</v>
      </c>
      <c r="E642" s="13">
        <f>IFERROR(__xludf.DUMMYFUNCTION("""COMPUTED_VALUE"""),0.32658564814846613)</f>
        <v>0.3265856481</v>
      </c>
      <c r="F642" s="7" t="str">
        <f>IFERROR(__xludf.DUMMYFUNCTION("""COMPUTED_VALUE"""),"Negative")</f>
        <v>Negative</v>
      </c>
      <c r="G642" s="7">
        <f>IFERROR(__xludf.DUMMYFUNCTION("""COMPUTED_VALUE"""),1.0)</f>
        <v>1</v>
      </c>
    </row>
    <row r="643">
      <c r="A643" s="7" t="str">
        <f>IFERROR(__xludf.DUMMYFUNCTION("""COMPUTED_VALUE"""),"AJ9821")</f>
        <v>AJ9821</v>
      </c>
      <c r="B643" s="7" t="str">
        <f>IFERROR(__xludf.DUMMYFUNCTION("""COMPUTED_VALUE"""),"RUN-ABRM_2022-12-16_RFR-109")</f>
        <v>RUN-ABRM_2022-12-16_RFR-109</v>
      </c>
      <c r="C643" s="8">
        <f>VLOOKUP(B643,'Run Reconcile'!A$2:B3212,2,FALSE)</f>
        <v>44911</v>
      </c>
      <c r="D643" s="12">
        <f>IFERROR(__xludf.DUMMYFUNCTION("""COMPUTED_VALUE"""),44911.0)</f>
        <v>44911</v>
      </c>
      <c r="E643" s="13">
        <f>IFERROR(__xludf.DUMMYFUNCTION("""COMPUTED_VALUE"""),0.3697800925910997)</f>
        <v>0.3697800926</v>
      </c>
      <c r="F643" s="7" t="str">
        <f>IFERROR(__xludf.DUMMYFUNCTION("""COMPUTED_VALUE"""),"Negative")</f>
        <v>Negative</v>
      </c>
      <c r="G643" s="7">
        <f>IFERROR(__xludf.DUMMYFUNCTION("""COMPUTED_VALUE"""),1.0)</f>
        <v>1</v>
      </c>
    </row>
    <row r="644">
      <c r="A644" s="7" t="str">
        <f>IFERROR(__xludf.DUMMYFUNCTION("""COMPUTED_VALUE"""),"AJ7494")</f>
        <v>AJ7494</v>
      </c>
      <c r="B644" s="7" t="str">
        <f>IFERROR(__xludf.DUMMYFUNCTION("""COMPUTED_VALUE"""),"RUN-ABRM_2022-12-16_RFR-109")</f>
        <v>RUN-ABRM_2022-12-16_RFR-109</v>
      </c>
      <c r="C644" s="8">
        <f>VLOOKUP(B644,'Run Reconcile'!A$2:B3212,2,FALSE)</f>
        <v>44911</v>
      </c>
      <c r="D644" s="12">
        <f>IFERROR(__xludf.DUMMYFUNCTION("""COMPUTED_VALUE"""),44911.0)</f>
        <v>44911</v>
      </c>
      <c r="E644" s="13">
        <f>IFERROR(__xludf.DUMMYFUNCTION("""COMPUTED_VALUE"""),0.370011574075761)</f>
        <v>0.3700115741</v>
      </c>
      <c r="F644" s="7" t="str">
        <f>IFERROR(__xludf.DUMMYFUNCTION("""COMPUTED_VALUE"""),"Negative")</f>
        <v>Negative</v>
      </c>
      <c r="G644" s="7">
        <f>IFERROR(__xludf.DUMMYFUNCTION("""COMPUTED_VALUE"""),1.0)</f>
        <v>1</v>
      </c>
    </row>
    <row r="645">
      <c r="A645" s="7" t="str">
        <f>IFERROR(__xludf.DUMMYFUNCTION("""COMPUTED_VALUE"""),"AK7303")</f>
        <v>AK7303</v>
      </c>
      <c r="B645" s="7" t="str">
        <f>IFERROR(__xludf.DUMMYFUNCTION("""COMPUTED_VALUE"""),"RUN-ABRM_2022-12-19_RFR-110")</f>
        <v>RUN-ABRM_2022-12-19_RFR-110</v>
      </c>
      <c r="C645" s="8">
        <f>VLOOKUP(B645,'Run Reconcile'!A$2:B3212,2,FALSE)</f>
        <v>44914</v>
      </c>
      <c r="D645" s="12">
        <f>IFERROR(__xludf.DUMMYFUNCTION("""COMPUTED_VALUE"""),44914.0)</f>
        <v>44914</v>
      </c>
      <c r="E645" s="13">
        <f>IFERROR(__xludf.DUMMYFUNCTION("""COMPUTED_VALUE"""),0.2527662037027767)</f>
        <v>0.2527662037</v>
      </c>
      <c r="F645" s="7" t="str">
        <f>IFERROR(__xludf.DUMMYFUNCTION("""COMPUTED_VALUE"""),"Negative")</f>
        <v>Negative</v>
      </c>
      <c r="G645" s="7">
        <f>IFERROR(__xludf.DUMMYFUNCTION("""COMPUTED_VALUE"""),3.0)</f>
        <v>3</v>
      </c>
    </row>
    <row r="646">
      <c r="A646" s="7" t="str">
        <f>IFERROR(__xludf.DUMMYFUNCTION("""COMPUTED_VALUE"""),"AJ7640")</f>
        <v>AJ7640</v>
      </c>
      <c r="B646" s="7" t="str">
        <f>IFERROR(__xludf.DUMMYFUNCTION("""COMPUTED_VALUE"""),"RUN-ABRM_2022-12-19_RFR-110")</f>
        <v>RUN-ABRM_2022-12-19_RFR-110</v>
      </c>
      <c r="C646" s="8">
        <f>VLOOKUP(B646,'Run Reconcile'!A$2:B3212,2,FALSE)</f>
        <v>44914</v>
      </c>
      <c r="D646" s="12">
        <f>IFERROR(__xludf.DUMMYFUNCTION("""COMPUTED_VALUE"""),44914.0)</f>
        <v>44914</v>
      </c>
      <c r="E646" s="13">
        <f>IFERROR(__xludf.DUMMYFUNCTION("""COMPUTED_VALUE"""),0.28329861110978527)</f>
        <v>0.2832986111</v>
      </c>
      <c r="F646" s="7" t="str">
        <f>IFERROR(__xludf.DUMMYFUNCTION("""COMPUTED_VALUE"""),"Negative")</f>
        <v>Negative</v>
      </c>
      <c r="G646" s="7">
        <f>IFERROR(__xludf.DUMMYFUNCTION("""COMPUTED_VALUE"""),4.0)</f>
        <v>4</v>
      </c>
    </row>
    <row r="647">
      <c r="A647" s="7" t="str">
        <f>IFERROR(__xludf.DUMMYFUNCTION("""COMPUTED_VALUE"""),"AJ7870")</f>
        <v>AJ7870</v>
      </c>
      <c r="B647" s="7" t="str">
        <f>IFERROR(__xludf.DUMMYFUNCTION("""COMPUTED_VALUE"""),"RUN-ABRM_2022-12-19_RFR-110")</f>
        <v>RUN-ABRM_2022-12-19_RFR-110</v>
      </c>
      <c r="C647" s="8">
        <f>VLOOKUP(B647,'Run Reconcile'!A$2:B3212,2,FALSE)</f>
        <v>44914</v>
      </c>
      <c r="D647" s="12">
        <f>IFERROR(__xludf.DUMMYFUNCTION("""COMPUTED_VALUE"""),44914.0)</f>
        <v>44914</v>
      </c>
      <c r="E647" s="13">
        <f>IFERROR(__xludf.DUMMYFUNCTION("""COMPUTED_VALUE"""),0.2942476851858373)</f>
        <v>0.2942476852</v>
      </c>
      <c r="F647" s="7" t="str">
        <f>IFERROR(__xludf.DUMMYFUNCTION("""COMPUTED_VALUE"""),"Negative")</f>
        <v>Negative</v>
      </c>
      <c r="G647" s="7">
        <f>IFERROR(__xludf.DUMMYFUNCTION("""COMPUTED_VALUE"""),3.0)</f>
        <v>3</v>
      </c>
    </row>
    <row r="648">
      <c r="A648" s="7" t="str">
        <f>IFERROR(__xludf.DUMMYFUNCTION("""COMPUTED_VALUE"""),"AJ8636")</f>
        <v>AJ8636</v>
      </c>
      <c r="B648" s="7" t="str">
        <f>IFERROR(__xludf.DUMMYFUNCTION("""COMPUTED_VALUE"""),"RUN-ABRM_2022-12-19_RFR-110")</f>
        <v>RUN-ABRM_2022-12-19_RFR-110</v>
      </c>
      <c r="C648" s="8">
        <f>VLOOKUP(B648,'Run Reconcile'!A$2:B3212,2,FALSE)</f>
        <v>44914</v>
      </c>
      <c r="D648" s="12">
        <f>IFERROR(__xludf.DUMMYFUNCTION("""COMPUTED_VALUE"""),44914.0)</f>
        <v>44914</v>
      </c>
      <c r="E648" s="13">
        <f>IFERROR(__xludf.DUMMYFUNCTION("""COMPUTED_VALUE"""),0.3293171296281798)</f>
        <v>0.3293171296</v>
      </c>
      <c r="F648" s="7" t="str">
        <f>IFERROR(__xludf.DUMMYFUNCTION("""COMPUTED_VALUE"""),"Negative")</f>
        <v>Negative</v>
      </c>
      <c r="G648" s="7">
        <f>IFERROR(__xludf.DUMMYFUNCTION("""COMPUTED_VALUE"""),1.0)</f>
        <v>1</v>
      </c>
    </row>
    <row r="649">
      <c r="A649" s="7" t="str">
        <f>IFERROR(__xludf.DUMMYFUNCTION("""COMPUTED_VALUE"""),"AK6116")</f>
        <v>AK6116</v>
      </c>
      <c r="B649" s="7" t="str">
        <f>IFERROR(__xludf.DUMMYFUNCTION("""COMPUTED_VALUE"""),"RUN-ABRM_2022-12-19_RFR-110")</f>
        <v>RUN-ABRM_2022-12-19_RFR-110</v>
      </c>
      <c r="C649" s="8">
        <f>VLOOKUP(B649,'Run Reconcile'!A$2:B3212,2,FALSE)</f>
        <v>44914</v>
      </c>
      <c r="D649" s="12">
        <f>IFERROR(__xludf.DUMMYFUNCTION("""COMPUTED_VALUE"""),44914.0)</f>
        <v>44914</v>
      </c>
      <c r="E649" s="13">
        <f>IFERROR(__xludf.DUMMYFUNCTION("""COMPUTED_VALUE"""),0.38515046296379296)</f>
        <v>0.385150463</v>
      </c>
      <c r="F649" s="7" t="str">
        <f>IFERROR(__xludf.DUMMYFUNCTION("""COMPUTED_VALUE"""),"Negative")</f>
        <v>Negative</v>
      </c>
      <c r="G649" s="7">
        <f>IFERROR(__xludf.DUMMYFUNCTION("""COMPUTED_VALUE"""),2.0)</f>
        <v>2</v>
      </c>
    </row>
    <row r="650">
      <c r="A650" s="7" t="str">
        <f>IFERROR(__xludf.DUMMYFUNCTION("""COMPUTED_VALUE"""),"AJ7774")</f>
        <v>AJ7774</v>
      </c>
      <c r="B650" s="7" t="str">
        <f>IFERROR(__xludf.DUMMYFUNCTION("""COMPUTED_VALUE"""),"RUN-ABRM_2022-12-20_RFR-112")</f>
        <v>RUN-ABRM_2022-12-20_RFR-112</v>
      </c>
      <c r="C650" s="8">
        <f>VLOOKUP(B650,'Run Reconcile'!A$2:B3212,2,FALSE)</f>
        <v>44915</v>
      </c>
      <c r="D650" s="12">
        <f>IFERROR(__xludf.DUMMYFUNCTION("""COMPUTED_VALUE"""),44915.0)</f>
        <v>44915</v>
      </c>
      <c r="E650" s="13">
        <f>IFERROR(__xludf.DUMMYFUNCTION("""COMPUTED_VALUE"""),0.24124999999912689)</f>
        <v>0.24125</v>
      </c>
      <c r="F650" s="7" t="str">
        <f>IFERROR(__xludf.DUMMYFUNCTION("""COMPUTED_VALUE"""),"Negative")</f>
        <v>Negative</v>
      </c>
      <c r="G650" s="7">
        <f>IFERROR(__xludf.DUMMYFUNCTION("""COMPUTED_VALUE"""),2.0)</f>
        <v>2</v>
      </c>
    </row>
    <row r="651">
      <c r="A651" s="7" t="str">
        <f>IFERROR(__xludf.DUMMYFUNCTION("""COMPUTED_VALUE"""),"AG1395")</f>
        <v>AG1395</v>
      </c>
      <c r="B651" s="7" t="str">
        <f>IFERROR(__xludf.DUMMYFUNCTION("""COMPUTED_VALUE"""),"RUN-ABRM_2022-12-20_RFR-112")</f>
        <v>RUN-ABRM_2022-12-20_RFR-112</v>
      </c>
      <c r="C651" s="8">
        <f>VLOOKUP(B651,'Run Reconcile'!A$2:B3212,2,FALSE)</f>
        <v>44915</v>
      </c>
      <c r="D651" s="12">
        <f>IFERROR(__xludf.DUMMYFUNCTION("""COMPUTED_VALUE"""),44915.0)</f>
        <v>44915</v>
      </c>
      <c r="E651" s="13">
        <f>IFERROR(__xludf.DUMMYFUNCTION("""COMPUTED_VALUE"""),0.2885069444455439)</f>
        <v>0.2885069444</v>
      </c>
      <c r="F651" s="7" t="str">
        <f>IFERROR(__xludf.DUMMYFUNCTION("""COMPUTED_VALUE"""),"Negative")</f>
        <v>Negative</v>
      </c>
      <c r="G651" s="7">
        <f>IFERROR(__xludf.DUMMYFUNCTION("""COMPUTED_VALUE"""),2.0)</f>
        <v>2</v>
      </c>
    </row>
    <row r="652">
      <c r="A652" s="7" t="str">
        <f>IFERROR(__xludf.DUMMYFUNCTION("""COMPUTED_VALUE"""),"AJ8569")</f>
        <v>AJ8569</v>
      </c>
      <c r="B652" s="7" t="str">
        <f>IFERROR(__xludf.DUMMYFUNCTION("""COMPUTED_VALUE"""),"RUN-ABRM_2022-12-20_RFR-112")</f>
        <v>RUN-ABRM_2022-12-20_RFR-112</v>
      </c>
      <c r="C652" s="8">
        <f>VLOOKUP(B652,'Run Reconcile'!A$2:B3212,2,FALSE)</f>
        <v>44915</v>
      </c>
      <c r="D652" s="12">
        <f>IFERROR(__xludf.DUMMYFUNCTION("""COMPUTED_VALUE"""),44915.0)</f>
        <v>44915</v>
      </c>
      <c r="E652" s="13">
        <f>IFERROR(__xludf.DUMMYFUNCTION("""COMPUTED_VALUE"""),0.2953472222216078)</f>
        <v>0.2953472222</v>
      </c>
      <c r="F652" s="7" t="str">
        <f>IFERROR(__xludf.DUMMYFUNCTION("""COMPUTED_VALUE"""),"Negative")</f>
        <v>Negative</v>
      </c>
      <c r="G652" s="7">
        <f>IFERROR(__xludf.DUMMYFUNCTION("""COMPUTED_VALUE"""),4.0)</f>
        <v>4</v>
      </c>
    </row>
    <row r="653">
      <c r="A653" s="7" t="str">
        <f>IFERROR(__xludf.DUMMYFUNCTION("""COMPUTED_VALUE"""),"AH6753")</f>
        <v>AH6753</v>
      </c>
      <c r="B653" s="7" t="str">
        <f>IFERROR(__xludf.DUMMYFUNCTION("""COMPUTED_VALUE"""),"RUN-ABRM_2022-12-20_RFR-112")</f>
        <v>RUN-ABRM_2022-12-20_RFR-112</v>
      </c>
      <c r="C653" s="8">
        <f>VLOOKUP(B653,'Run Reconcile'!A$2:B3212,2,FALSE)</f>
        <v>44915</v>
      </c>
      <c r="D653" s="12">
        <f>IFERROR(__xludf.DUMMYFUNCTION("""COMPUTED_VALUE"""),44915.0)</f>
        <v>44915</v>
      </c>
      <c r="E653" s="13">
        <f>IFERROR(__xludf.DUMMYFUNCTION("""COMPUTED_VALUE"""),0.29608796296452056)</f>
        <v>0.296087963</v>
      </c>
      <c r="F653" s="7" t="str">
        <f>IFERROR(__xludf.DUMMYFUNCTION("""COMPUTED_VALUE"""),"Negative")</f>
        <v>Negative</v>
      </c>
      <c r="G653" s="7">
        <f>IFERROR(__xludf.DUMMYFUNCTION("""COMPUTED_VALUE"""),3.0)</f>
        <v>3</v>
      </c>
    </row>
    <row r="654">
      <c r="A654" s="7" t="str">
        <f>IFERROR(__xludf.DUMMYFUNCTION("""COMPUTED_VALUE"""),"AH59")</f>
        <v>AH59</v>
      </c>
      <c r="B654" s="7" t="str">
        <f>IFERROR(__xludf.DUMMYFUNCTION("""COMPUTED_VALUE"""),"RUN-ABRM_2022-12-20_RFR-112")</f>
        <v>RUN-ABRM_2022-12-20_RFR-112</v>
      </c>
      <c r="C654" s="8">
        <f>VLOOKUP(B654,'Run Reconcile'!A$2:B3212,2,FALSE)</f>
        <v>44915</v>
      </c>
      <c r="D654" s="12">
        <f>IFERROR(__xludf.DUMMYFUNCTION("""COMPUTED_VALUE"""),44915.0)</f>
        <v>44915</v>
      </c>
      <c r="E654" s="13">
        <f>IFERROR(__xludf.DUMMYFUNCTION("""COMPUTED_VALUE"""),0.31012731481314404)</f>
        <v>0.3101273148</v>
      </c>
      <c r="F654" s="7" t="str">
        <f>IFERROR(__xludf.DUMMYFUNCTION("""COMPUTED_VALUE"""),"Negative")</f>
        <v>Negative</v>
      </c>
      <c r="G654" s="7">
        <f>IFERROR(__xludf.DUMMYFUNCTION("""COMPUTED_VALUE"""),2.0)</f>
        <v>2</v>
      </c>
    </row>
    <row r="655">
      <c r="A655" s="7" t="str">
        <f>IFERROR(__xludf.DUMMYFUNCTION("""COMPUTED_VALUE"""),"AG2339")</f>
        <v>AG2339</v>
      </c>
      <c r="B655" s="7" t="str">
        <f>IFERROR(__xludf.DUMMYFUNCTION("""COMPUTED_VALUE"""),"RUN-ABRM_2022-12-20_RFR-112")</f>
        <v>RUN-ABRM_2022-12-20_RFR-112</v>
      </c>
      <c r="C655" s="8">
        <f>VLOOKUP(B655,'Run Reconcile'!A$2:B3212,2,FALSE)</f>
        <v>44915</v>
      </c>
      <c r="D655" s="12">
        <f>IFERROR(__xludf.DUMMYFUNCTION("""COMPUTED_VALUE"""),44915.0)</f>
        <v>44915</v>
      </c>
      <c r="E655" s="13">
        <f>IFERROR(__xludf.DUMMYFUNCTION("""COMPUTED_VALUE"""),0.317766203705105)</f>
        <v>0.3177662037</v>
      </c>
      <c r="F655" s="7" t="str">
        <f>IFERROR(__xludf.DUMMYFUNCTION("""COMPUTED_VALUE"""),"Negative")</f>
        <v>Negative</v>
      </c>
      <c r="G655" s="7">
        <f>IFERROR(__xludf.DUMMYFUNCTION("""COMPUTED_VALUE"""),1.0)</f>
        <v>1</v>
      </c>
    </row>
    <row r="656">
      <c r="A656" s="7" t="str">
        <f>IFERROR(__xludf.DUMMYFUNCTION("""COMPUTED_VALUE"""),"AH112")</f>
        <v>AH112</v>
      </c>
      <c r="B656" s="7" t="str">
        <f>IFERROR(__xludf.DUMMYFUNCTION("""COMPUTED_VALUE"""),"RUN-ABRM_2022-12-20_RFR-112")</f>
        <v>RUN-ABRM_2022-12-20_RFR-112</v>
      </c>
      <c r="C656" s="8">
        <f>VLOOKUP(B656,'Run Reconcile'!A$2:B3212,2,FALSE)</f>
        <v>44915</v>
      </c>
      <c r="D656" s="12">
        <f>IFERROR(__xludf.DUMMYFUNCTION("""COMPUTED_VALUE"""),44915.0)</f>
        <v>44915</v>
      </c>
      <c r="E656" s="13">
        <f>IFERROR(__xludf.DUMMYFUNCTION("""COMPUTED_VALUE"""),0.3224189814827696)</f>
        <v>0.3224189815</v>
      </c>
      <c r="F656" s="7" t="str">
        <f>IFERROR(__xludf.DUMMYFUNCTION("""COMPUTED_VALUE"""),"Positive")</f>
        <v>Positive</v>
      </c>
      <c r="G656" s="7">
        <f>IFERROR(__xludf.DUMMYFUNCTION("""COMPUTED_VALUE"""),1.0)</f>
        <v>1</v>
      </c>
    </row>
    <row r="657">
      <c r="A657" s="7" t="str">
        <f>IFERROR(__xludf.DUMMYFUNCTION("""COMPUTED_VALUE"""),"AJ9480")</f>
        <v>AJ9480</v>
      </c>
      <c r="B657" s="7" t="str">
        <f>IFERROR(__xludf.DUMMYFUNCTION("""COMPUTED_VALUE"""),"RUN-ABRM_2022-12-20_RFR-112")</f>
        <v>RUN-ABRM_2022-12-20_RFR-112</v>
      </c>
      <c r="C657" s="8">
        <f>VLOOKUP(B657,'Run Reconcile'!A$2:B3212,2,FALSE)</f>
        <v>44915</v>
      </c>
      <c r="D657" s="12">
        <f>IFERROR(__xludf.DUMMYFUNCTION("""COMPUTED_VALUE"""),44915.0)</f>
        <v>44915</v>
      </c>
      <c r="E657" s="13">
        <f>IFERROR(__xludf.DUMMYFUNCTION("""COMPUTED_VALUE"""),0.3227083333331393)</f>
        <v>0.3227083333</v>
      </c>
      <c r="F657" s="7" t="str">
        <f>IFERROR(__xludf.DUMMYFUNCTION("""COMPUTED_VALUE"""),"Positive")</f>
        <v>Positive</v>
      </c>
      <c r="G657" s="7">
        <f>IFERROR(__xludf.DUMMYFUNCTION("""COMPUTED_VALUE"""),1.0)</f>
        <v>1</v>
      </c>
    </row>
    <row r="658">
      <c r="A658" s="7" t="str">
        <f>IFERROR(__xludf.DUMMYFUNCTION("""COMPUTED_VALUE"""),"AK6205")</f>
        <v>AK6205</v>
      </c>
      <c r="B658" s="7" t="str">
        <f>IFERROR(__xludf.DUMMYFUNCTION("""COMPUTED_VALUE"""),"RUN-ABRM_2022-12-20_RFR-112")</f>
        <v>RUN-ABRM_2022-12-20_RFR-112</v>
      </c>
      <c r="C658" s="8">
        <f>VLOOKUP(B658,'Run Reconcile'!A$2:B3212,2,FALSE)</f>
        <v>44915</v>
      </c>
      <c r="D658" s="12">
        <f>IFERROR(__xludf.DUMMYFUNCTION("""COMPUTED_VALUE"""),44915.0)</f>
        <v>44915</v>
      </c>
      <c r="E658" s="13">
        <f>IFERROR(__xludf.DUMMYFUNCTION("""COMPUTED_VALUE"""),0.37488425925766933)</f>
        <v>0.3748842593</v>
      </c>
      <c r="F658" s="7" t="str">
        <f>IFERROR(__xludf.DUMMYFUNCTION("""COMPUTED_VALUE"""),"Negative")</f>
        <v>Negative</v>
      </c>
      <c r="G658" s="7">
        <f>IFERROR(__xludf.DUMMYFUNCTION("""COMPUTED_VALUE"""),2.0)</f>
        <v>2</v>
      </c>
    </row>
    <row r="659">
      <c r="A659" s="7" t="str">
        <f>IFERROR(__xludf.DUMMYFUNCTION("""COMPUTED_VALUE"""),"AH857")</f>
        <v>AH857</v>
      </c>
      <c r="B659" s="7" t="str">
        <f>IFERROR(__xludf.DUMMYFUNCTION("""COMPUTED_VALUE"""),"RUN-ABRM_2022-12-21_RFR-113")</f>
        <v>RUN-ABRM_2022-12-21_RFR-113</v>
      </c>
      <c r="C659" s="8">
        <f>VLOOKUP(B659,'Run Reconcile'!A$2:B3212,2,FALSE)</f>
        <v>44916</v>
      </c>
      <c r="D659" s="12">
        <f>IFERROR(__xludf.DUMMYFUNCTION("""COMPUTED_VALUE"""),44916.0)</f>
        <v>44916</v>
      </c>
      <c r="E659" s="13">
        <f>IFERROR(__xludf.DUMMYFUNCTION("""COMPUTED_VALUE"""),0.29708333333474)</f>
        <v>0.2970833333</v>
      </c>
      <c r="F659" s="7" t="str">
        <f>IFERROR(__xludf.DUMMYFUNCTION("""COMPUTED_VALUE"""),"Negative")</f>
        <v>Negative</v>
      </c>
      <c r="G659" s="7">
        <f>IFERROR(__xludf.DUMMYFUNCTION("""COMPUTED_VALUE"""),4.0)</f>
        <v>4</v>
      </c>
    </row>
    <row r="660">
      <c r="A660" s="7" t="str">
        <f>IFERROR(__xludf.DUMMYFUNCTION("""COMPUTED_VALUE"""),"AH55")</f>
        <v>AH55</v>
      </c>
      <c r="B660" s="7" t="str">
        <f>IFERROR(__xludf.DUMMYFUNCTION("""COMPUTED_VALUE"""),"RUN-ABRM_2022-12-21_RFR-113")</f>
        <v>RUN-ABRM_2022-12-21_RFR-113</v>
      </c>
      <c r="C660" s="8">
        <f>VLOOKUP(B660,'Run Reconcile'!A$2:B3212,2,FALSE)</f>
        <v>44916</v>
      </c>
      <c r="D660" s="12">
        <f>IFERROR(__xludf.DUMMYFUNCTION("""COMPUTED_VALUE"""),44916.0)</f>
        <v>44916</v>
      </c>
      <c r="E660" s="13">
        <f>IFERROR(__xludf.DUMMYFUNCTION("""COMPUTED_VALUE"""),0.3179166666668607)</f>
        <v>0.3179166667</v>
      </c>
      <c r="F660" s="7" t="str">
        <f>IFERROR(__xludf.DUMMYFUNCTION("""COMPUTED_VALUE"""),"Negative")</f>
        <v>Negative</v>
      </c>
      <c r="G660" s="7">
        <f>IFERROR(__xludf.DUMMYFUNCTION("""COMPUTED_VALUE"""),1.0)</f>
        <v>1</v>
      </c>
    </row>
    <row r="661">
      <c r="A661" s="7" t="str">
        <f>IFERROR(__xludf.DUMMYFUNCTION("""COMPUTED_VALUE"""),"AJ7194")</f>
        <v>AJ7194</v>
      </c>
      <c r="B661" s="7" t="str">
        <f>IFERROR(__xludf.DUMMYFUNCTION("""COMPUTED_VALUE"""),"RUN-ABRM_2022-12-21_RFR-113")</f>
        <v>RUN-ABRM_2022-12-21_RFR-113</v>
      </c>
      <c r="C661" s="8">
        <f>VLOOKUP(B661,'Run Reconcile'!A$2:B3212,2,FALSE)</f>
        <v>44916</v>
      </c>
      <c r="D661" s="12">
        <f>IFERROR(__xludf.DUMMYFUNCTION("""COMPUTED_VALUE"""),44916.0)</f>
        <v>44916</v>
      </c>
      <c r="E661" s="13">
        <f>IFERROR(__xludf.DUMMYFUNCTION("""COMPUTED_VALUE"""),0.31821759259401006)</f>
        <v>0.3182175926</v>
      </c>
      <c r="F661" s="7" t="str">
        <f>IFERROR(__xludf.DUMMYFUNCTION("""COMPUTED_VALUE"""),"Negative")</f>
        <v>Negative</v>
      </c>
      <c r="G661" s="7">
        <f>IFERROR(__xludf.DUMMYFUNCTION("""COMPUTED_VALUE"""),1.0)</f>
        <v>1</v>
      </c>
    </row>
    <row r="662">
      <c r="A662" s="7" t="str">
        <f>IFERROR(__xludf.DUMMYFUNCTION("""COMPUTED_VALUE"""),"AJ9597")</f>
        <v>AJ9597</v>
      </c>
      <c r="B662" s="7" t="str">
        <f>IFERROR(__xludf.DUMMYFUNCTION("""COMPUTED_VALUE"""),"RUN-ABRM_2022-12-21_RFR-113")</f>
        <v>RUN-ABRM_2022-12-21_RFR-113</v>
      </c>
      <c r="C662" s="8">
        <f>VLOOKUP(B662,'Run Reconcile'!A$2:B3212,2,FALSE)</f>
        <v>44916</v>
      </c>
      <c r="D662" s="12">
        <f>IFERROR(__xludf.DUMMYFUNCTION("""COMPUTED_VALUE"""),44916.0)</f>
        <v>44916</v>
      </c>
      <c r="E662" s="13">
        <f>IFERROR(__xludf.DUMMYFUNCTION("""COMPUTED_VALUE"""),0.3262615740750334)</f>
        <v>0.3262615741</v>
      </c>
      <c r="F662" s="7" t="str">
        <f>IFERROR(__xludf.DUMMYFUNCTION("""COMPUTED_VALUE"""),"Negative")</f>
        <v>Negative</v>
      </c>
      <c r="G662" s="7">
        <f>IFERROR(__xludf.DUMMYFUNCTION("""COMPUTED_VALUE"""),1.0)</f>
        <v>1</v>
      </c>
    </row>
    <row r="663">
      <c r="A663" s="7" t="str">
        <f>IFERROR(__xludf.DUMMYFUNCTION("""COMPUTED_VALUE"""),"AG1300")</f>
        <v>AG1300</v>
      </c>
      <c r="B663" s="7" t="str">
        <f>IFERROR(__xludf.DUMMYFUNCTION("""COMPUTED_VALUE"""),"RUN-ABRM_2022-12-21_RFR-113")</f>
        <v>RUN-ABRM_2022-12-21_RFR-113</v>
      </c>
      <c r="C663" s="8">
        <f>VLOOKUP(B663,'Run Reconcile'!A$2:B3212,2,FALSE)</f>
        <v>44916</v>
      </c>
      <c r="D663" s="12">
        <f>IFERROR(__xludf.DUMMYFUNCTION("""COMPUTED_VALUE"""),44916.0)</f>
        <v>44916</v>
      </c>
      <c r="E663" s="13">
        <f>IFERROR(__xludf.DUMMYFUNCTION("""COMPUTED_VALUE"""),0.3294444444436522)</f>
        <v>0.3294444444</v>
      </c>
      <c r="F663" s="7" t="str">
        <f>IFERROR(__xludf.DUMMYFUNCTION("""COMPUTED_VALUE"""),"Negative")</f>
        <v>Negative</v>
      </c>
      <c r="G663" s="7">
        <f>IFERROR(__xludf.DUMMYFUNCTION("""COMPUTED_VALUE"""),2.0)</f>
        <v>2</v>
      </c>
    </row>
    <row r="664">
      <c r="A664" s="7" t="str">
        <f>IFERROR(__xludf.DUMMYFUNCTION("""COMPUTED_VALUE"""),"AJ9662")</f>
        <v>AJ9662</v>
      </c>
      <c r="B664" s="7" t="str">
        <f>IFERROR(__xludf.DUMMYFUNCTION("""COMPUTED_VALUE"""),"RUN-ABRM_2022-12-21_APS-001")</f>
        <v>RUN-ABRM_2022-12-21_APS-001</v>
      </c>
      <c r="C664" s="8">
        <f>VLOOKUP(B664,'Run Reconcile'!A$2:B3212,2,FALSE)</f>
        <v>44916</v>
      </c>
      <c r="D664" s="12">
        <f>IFERROR(__xludf.DUMMYFUNCTION("""COMPUTED_VALUE"""),44916.0)</f>
        <v>44916</v>
      </c>
      <c r="E664" s="13">
        <f>IFERROR(__xludf.DUMMYFUNCTION("""COMPUTED_VALUE"""),0.39148148148160544)</f>
        <v>0.3914814815</v>
      </c>
      <c r="F664" s="7" t="str">
        <f>IFERROR(__xludf.DUMMYFUNCTION("""COMPUTED_VALUE"""),"Negative")</f>
        <v>Negative</v>
      </c>
      <c r="G664" s="7">
        <f>IFERROR(__xludf.DUMMYFUNCTION("""COMPUTED_VALUE"""),2.0)</f>
        <v>2</v>
      </c>
    </row>
    <row r="665">
      <c r="A665" s="7" t="str">
        <f>IFERROR(__xludf.DUMMYFUNCTION("""COMPUTED_VALUE"""),"AH7377")</f>
        <v>AH7377</v>
      </c>
      <c r="B665" s="7" t="str">
        <f>IFERROR(__xludf.DUMMYFUNCTION("""COMPUTED_VALUE"""),"RUN-ABRM_2022-12-22_RFR-114")</f>
        <v>RUN-ABRM_2022-12-22_RFR-114</v>
      </c>
      <c r="C665" s="8">
        <f>VLOOKUP(B665,'Run Reconcile'!A$2:B3212,2,FALSE)</f>
        <v>44917</v>
      </c>
      <c r="D665" s="12">
        <f>IFERROR(__xludf.DUMMYFUNCTION("""COMPUTED_VALUE"""),44917.0)</f>
        <v>44917</v>
      </c>
      <c r="E665" s="13">
        <f>IFERROR(__xludf.DUMMYFUNCTION("""COMPUTED_VALUE"""),0.1291087962963502)</f>
        <v>0.1291087963</v>
      </c>
      <c r="F665" s="7" t="str">
        <f>IFERROR(__xludf.DUMMYFUNCTION("""COMPUTED_VALUE"""),"Negative")</f>
        <v>Negative</v>
      </c>
      <c r="G665" s="7">
        <f>IFERROR(__xludf.DUMMYFUNCTION("""COMPUTED_VALUE"""),1.0)</f>
        <v>1</v>
      </c>
    </row>
    <row r="666">
      <c r="A666" s="7" t="str">
        <f>IFERROR(__xludf.DUMMYFUNCTION("""COMPUTED_VALUE"""),"AJ7334")</f>
        <v>AJ7334</v>
      </c>
      <c r="B666" s="7" t="str">
        <f>IFERROR(__xludf.DUMMYFUNCTION("""COMPUTED_VALUE"""),"RUN-ABRM_2022-12-22_RFR-114")</f>
        <v>RUN-ABRM_2022-12-22_RFR-114</v>
      </c>
      <c r="C666" s="8">
        <f>VLOOKUP(B666,'Run Reconcile'!A$2:B3212,2,FALSE)</f>
        <v>44917</v>
      </c>
      <c r="D666" s="12">
        <f>IFERROR(__xludf.DUMMYFUNCTION("""COMPUTED_VALUE"""),44917.0)</f>
        <v>44917</v>
      </c>
      <c r="E666" s="13">
        <f>IFERROR(__xludf.DUMMYFUNCTION("""COMPUTED_VALUE"""),0.1943634259259852)</f>
        <v>0.1943634259</v>
      </c>
      <c r="F666" s="7" t="str">
        <f>IFERROR(__xludf.DUMMYFUNCTION("""COMPUTED_VALUE"""),"Negative")</f>
        <v>Negative</v>
      </c>
      <c r="G666" s="7">
        <f>IFERROR(__xludf.DUMMYFUNCTION("""COMPUTED_VALUE"""),1.0)</f>
        <v>1</v>
      </c>
    </row>
    <row r="667">
      <c r="A667" s="7" t="str">
        <f>IFERROR(__xludf.DUMMYFUNCTION("""COMPUTED_VALUE"""),"AH7516")</f>
        <v>AH7516</v>
      </c>
      <c r="B667" s="7" t="str">
        <f>IFERROR(__xludf.DUMMYFUNCTION("""COMPUTED_VALUE"""),"RUN-ABRM_2022-12-22_RFR-114")</f>
        <v>RUN-ABRM_2022-12-22_RFR-114</v>
      </c>
      <c r="C667" s="8">
        <f>VLOOKUP(B667,'Run Reconcile'!A$2:B3212,2,FALSE)</f>
        <v>44917</v>
      </c>
      <c r="D667" s="12">
        <f>IFERROR(__xludf.DUMMYFUNCTION("""COMPUTED_VALUE"""),44917.0)</f>
        <v>44917</v>
      </c>
      <c r="E667" s="13">
        <f>IFERROR(__xludf.DUMMYFUNCTION("""COMPUTED_VALUE"""),0.24170138888803194)</f>
        <v>0.2417013889</v>
      </c>
      <c r="F667" s="7" t="str">
        <f>IFERROR(__xludf.DUMMYFUNCTION("""COMPUTED_VALUE"""),"Negative")</f>
        <v>Negative</v>
      </c>
      <c r="G667" s="7">
        <f>IFERROR(__xludf.DUMMYFUNCTION("""COMPUTED_VALUE"""),3.0)</f>
        <v>3</v>
      </c>
    </row>
    <row r="668">
      <c r="A668" s="7" t="str">
        <f>IFERROR(__xludf.DUMMYFUNCTION("""COMPUTED_VALUE"""),"AH142")</f>
        <v>AH142</v>
      </c>
      <c r="B668" s="7" t="str">
        <f>IFERROR(__xludf.DUMMYFUNCTION("""COMPUTED_VALUE"""),"RUN-ABRM_2022-12-22_RFR-114")</f>
        <v>RUN-ABRM_2022-12-22_RFR-114</v>
      </c>
      <c r="C668" s="8">
        <f>VLOOKUP(B668,'Run Reconcile'!A$2:B3212,2,FALSE)</f>
        <v>44917</v>
      </c>
      <c r="D668" s="12">
        <f>IFERROR(__xludf.DUMMYFUNCTION("""COMPUTED_VALUE"""),44917.0)</f>
        <v>44917</v>
      </c>
      <c r="E668" s="13">
        <f>IFERROR(__xludf.DUMMYFUNCTION("""COMPUTED_VALUE"""),0.2949537037020491)</f>
        <v>0.2949537037</v>
      </c>
      <c r="F668" s="7" t="str">
        <f>IFERROR(__xludf.DUMMYFUNCTION("""COMPUTED_VALUE"""),"Negative")</f>
        <v>Negative</v>
      </c>
      <c r="G668" s="7">
        <f>IFERROR(__xludf.DUMMYFUNCTION("""COMPUTED_VALUE"""),3.0)</f>
        <v>3</v>
      </c>
    </row>
    <row r="669">
      <c r="A669" s="7" t="str">
        <f>IFERROR(__xludf.DUMMYFUNCTION("""COMPUTED_VALUE"""),"AH9248")</f>
        <v>AH9248</v>
      </c>
      <c r="B669" s="7" t="str">
        <f>IFERROR(__xludf.DUMMYFUNCTION("""COMPUTED_VALUE"""),"RUN-ABRM_2022-12-22_RFR-114")</f>
        <v>RUN-ABRM_2022-12-22_RFR-114</v>
      </c>
      <c r="C669" s="8">
        <f>VLOOKUP(B669,'Run Reconcile'!A$2:B3212,2,FALSE)</f>
        <v>44917</v>
      </c>
      <c r="D669" s="12">
        <f>IFERROR(__xludf.DUMMYFUNCTION("""COMPUTED_VALUE"""),44917.0)</f>
        <v>44917</v>
      </c>
      <c r="E669" s="13">
        <f>IFERROR(__xludf.DUMMYFUNCTION("""COMPUTED_VALUE"""),0.3329282407394203)</f>
        <v>0.3329282407</v>
      </c>
      <c r="F669" s="7" t="str">
        <f>IFERROR(__xludf.DUMMYFUNCTION("""COMPUTED_VALUE"""),"Negative")</f>
        <v>Negative</v>
      </c>
      <c r="G669" s="7">
        <f>IFERROR(__xludf.DUMMYFUNCTION("""COMPUTED_VALUE"""),3.0)</f>
        <v>3</v>
      </c>
    </row>
    <row r="670">
      <c r="A670" s="7" t="str">
        <f>IFERROR(__xludf.DUMMYFUNCTION("""COMPUTED_VALUE"""),"AH6956")</f>
        <v>AH6956</v>
      </c>
      <c r="B670" s="7" t="str">
        <f>IFERROR(__xludf.DUMMYFUNCTION("""COMPUTED_VALUE"""),"RUN-ABRM_2022-12-22_RFR-114")</f>
        <v>RUN-ABRM_2022-12-22_RFR-114</v>
      </c>
      <c r="C670" s="8">
        <f>VLOOKUP(B670,'Run Reconcile'!A$2:B3212,2,FALSE)</f>
        <v>44917</v>
      </c>
      <c r="D670" s="12">
        <f>IFERROR(__xludf.DUMMYFUNCTION("""COMPUTED_VALUE"""),44917.0)</f>
        <v>44917</v>
      </c>
      <c r="E670" s="13">
        <f>IFERROR(__xludf.DUMMYFUNCTION("""COMPUTED_VALUE"""),0.44518518518452765)</f>
        <v>0.4451851852</v>
      </c>
      <c r="F670" s="7" t="str">
        <f>IFERROR(__xludf.DUMMYFUNCTION("""COMPUTED_VALUE"""),"Negative")</f>
        <v>Negative</v>
      </c>
      <c r="G670" s="7">
        <f>IFERROR(__xludf.DUMMYFUNCTION("""COMPUTED_VALUE"""),1.0)</f>
        <v>1</v>
      </c>
    </row>
    <row r="671">
      <c r="A671" s="7" t="str">
        <f>IFERROR(__xludf.DUMMYFUNCTION("""COMPUTED_VALUE"""),"AH8977")</f>
        <v>AH8977</v>
      </c>
      <c r="B671" s="7" t="str">
        <f>IFERROR(__xludf.DUMMYFUNCTION("""COMPUTED_VALUE"""),"RUN-ABRM_2023-01-02_RFR-117")</f>
        <v>RUN-ABRM_2023-01-02_RFR-117</v>
      </c>
      <c r="C671" s="8">
        <f>VLOOKUP(B671,'Run Reconcile'!A$2:B3212,2,FALSE)</f>
        <v>44928</v>
      </c>
      <c r="D671" s="12">
        <f>IFERROR(__xludf.DUMMYFUNCTION("""COMPUTED_VALUE"""),44928.0)</f>
        <v>44928</v>
      </c>
      <c r="E671" s="13">
        <f>IFERROR(__xludf.DUMMYFUNCTION("""COMPUTED_VALUE"""),0.17094907407226856)</f>
        <v>0.1709490741</v>
      </c>
      <c r="F671" s="7" t="str">
        <f>IFERROR(__xludf.DUMMYFUNCTION("""COMPUTED_VALUE"""),"Negative")</f>
        <v>Negative</v>
      </c>
      <c r="G671" s="7">
        <f>IFERROR(__xludf.DUMMYFUNCTION("""COMPUTED_VALUE"""),2.0)</f>
        <v>2</v>
      </c>
    </row>
    <row r="672">
      <c r="A672" s="7" t="str">
        <f>IFERROR(__xludf.DUMMYFUNCTION("""COMPUTED_VALUE"""),"AG1485")</f>
        <v>AG1485</v>
      </c>
      <c r="B672" s="7" t="str">
        <f>IFERROR(__xludf.DUMMYFUNCTION("""COMPUTED_VALUE"""),"RUN-ABRM_2023-01-02_RFR-117")</f>
        <v>RUN-ABRM_2023-01-02_RFR-117</v>
      </c>
      <c r="C672" s="8">
        <f>VLOOKUP(B672,'Run Reconcile'!A$2:B3212,2,FALSE)</f>
        <v>44928</v>
      </c>
      <c r="D672" s="12">
        <f>IFERROR(__xludf.DUMMYFUNCTION("""COMPUTED_VALUE"""),44928.0)</f>
        <v>44928</v>
      </c>
      <c r="E672" s="13">
        <f>IFERROR(__xludf.DUMMYFUNCTION("""COMPUTED_VALUE"""),0.2765277777762094)</f>
        <v>0.2765277778</v>
      </c>
      <c r="F672" s="7" t="str">
        <f>IFERROR(__xludf.DUMMYFUNCTION("""COMPUTED_VALUE"""),"Negative")</f>
        <v>Negative</v>
      </c>
      <c r="G672" s="7">
        <f>IFERROR(__xludf.DUMMYFUNCTION("""COMPUTED_VALUE"""),2.0)</f>
        <v>2</v>
      </c>
    </row>
    <row r="673">
      <c r="A673" s="7" t="str">
        <f>IFERROR(__xludf.DUMMYFUNCTION("""COMPUTED_VALUE"""),"AH7046")</f>
        <v>AH7046</v>
      </c>
      <c r="B673" s="7" t="str">
        <f>IFERROR(__xludf.DUMMYFUNCTION("""COMPUTED_VALUE"""),"RUN-ABRM_2023-01-02_RFR-117")</f>
        <v>RUN-ABRM_2023-01-02_RFR-117</v>
      </c>
      <c r="C673" s="8">
        <f>VLOOKUP(B673,'Run Reconcile'!A$2:B3212,2,FALSE)</f>
        <v>44928</v>
      </c>
      <c r="D673" s="12">
        <f>IFERROR(__xludf.DUMMYFUNCTION("""COMPUTED_VALUE"""),44928.0)</f>
        <v>44928</v>
      </c>
      <c r="E673" s="13">
        <f>IFERROR(__xludf.DUMMYFUNCTION("""COMPUTED_VALUE"""),0.2971990740734327)</f>
        <v>0.2971990741</v>
      </c>
      <c r="F673" s="7" t="str">
        <f>IFERROR(__xludf.DUMMYFUNCTION("""COMPUTED_VALUE"""),"Negative")</f>
        <v>Negative</v>
      </c>
      <c r="G673" s="7">
        <f>IFERROR(__xludf.DUMMYFUNCTION("""COMPUTED_VALUE"""),5.0)</f>
        <v>5</v>
      </c>
    </row>
    <row r="674">
      <c r="A674" s="7" t="str">
        <f>IFERROR(__xludf.DUMMYFUNCTION("""COMPUTED_VALUE"""),"AJ9820")</f>
        <v>AJ9820</v>
      </c>
      <c r="B674" s="7" t="str">
        <f>IFERROR(__xludf.DUMMYFUNCTION("""COMPUTED_VALUE"""),"RUN-ABRM_2023-01-02_RFR-117")</f>
        <v>RUN-ABRM_2023-01-02_RFR-117</v>
      </c>
      <c r="C674" s="8">
        <f>VLOOKUP(B674,'Run Reconcile'!A$2:B3212,2,FALSE)</f>
        <v>44928</v>
      </c>
      <c r="D674" s="12">
        <f>IFERROR(__xludf.DUMMYFUNCTION("""COMPUTED_VALUE"""),44928.0)</f>
        <v>44928</v>
      </c>
      <c r="E674" s="13">
        <f>IFERROR(__xludf.DUMMYFUNCTION("""COMPUTED_VALUE"""),0.312395833334449)</f>
        <v>0.3123958333</v>
      </c>
      <c r="F674" s="7" t="str">
        <f>IFERROR(__xludf.DUMMYFUNCTION("""COMPUTED_VALUE"""),"Negative")</f>
        <v>Negative</v>
      </c>
      <c r="G674" s="7">
        <f>IFERROR(__xludf.DUMMYFUNCTION("""COMPUTED_VALUE"""),2.0)</f>
        <v>2</v>
      </c>
    </row>
    <row r="675">
      <c r="A675" s="7" t="str">
        <f>IFERROR(__xludf.DUMMYFUNCTION("""COMPUTED_VALUE"""),"AJ8244")</f>
        <v>AJ8244</v>
      </c>
      <c r="B675" s="7" t="str">
        <f>IFERROR(__xludf.DUMMYFUNCTION("""COMPUTED_VALUE"""),"RUN-ABRM_2023-01-02_RFR-117")</f>
        <v>RUN-ABRM_2023-01-02_RFR-117</v>
      </c>
      <c r="C675" s="8">
        <f>VLOOKUP(B675,'Run Reconcile'!A$2:B3212,2,FALSE)</f>
        <v>44928</v>
      </c>
      <c r="D675" s="12">
        <f>IFERROR(__xludf.DUMMYFUNCTION("""COMPUTED_VALUE"""),44928.0)</f>
        <v>44928</v>
      </c>
      <c r="E675" s="13">
        <f>IFERROR(__xludf.DUMMYFUNCTION("""COMPUTED_VALUE"""),0.312673611111677)</f>
        <v>0.3126736111</v>
      </c>
      <c r="F675" s="7" t="str">
        <f>IFERROR(__xludf.DUMMYFUNCTION("""COMPUTED_VALUE"""),"Negative")</f>
        <v>Negative</v>
      </c>
      <c r="G675" s="7">
        <f>IFERROR(__xludf.DUMMYFUNCTION("""COMPUTED_VALUE"""),1.0)</f>
        <v>1</v>
      </c>
    </row>
    <row r="676">
      <c r="A676" s="7" t="str">
        <f>IFERROR(__xludf.DUMMYFUNCTION("""COMPUTED_VALUE"""),"AJ4664")</f>
        <v>AJ4664</v>
      </c>
      <c r="B676" s="7" t="str">
        <f>IFERROR(__xludf.DUMMYFUNCTION("""COMPUTED_VALUE"""),"RUN-ABRM_2023-01-02_RFR-117")</f>
        <v>RUN-ABRM_2023-01-02_RFR-117</v>
      </c>
      <c r="C676" s="8">
        <f>VLOOKUP(B676,'Run Reconcile'!A$2:B3212,2,FALSE)</f>
        <v>44928</v>
      </c>
      <c r="D676" s="12">
        <f>IFERROR(__xludf.DUMMYFUNCTION("""COMPUTED_VALUE"""),44928.0)</f>
        <v>44928</v>
      </c>
      <c r="E676" s="13">
        <f>IFERROR(__xludf.DUMMYFUNCTION("""COMPUTED_VALUE"""),0.3170833333315386)</f>
        <v>0.3170833333</v>
      </c>
      <c r="F676" s="7" t="str">
        <f>IFERROR(__xludf.DUMMYFUNCTION("""COMPUTED_VALUE"""),"Negative")</f>
        <v>Negative</v>
      </c>
      <c r="G676" s="7">
        <f>IFERROR(__xludf.DUMMYFUNCTION("""COMPUTED_VALUE"""),1.0)</f>
        <v>1</v>
      </c>
    </row>
    <row r="677">
      <c r="A677" s="7" t="str">
        <f>IFERROR(__xludf.DUMMYFUNCTION("""COMPUTED_VALUE"""),"AH7621")</f>
        <v>AH7621</v>
      </c>
      <c r="B677" s="7" t="str">
        <f>IFERROR(__xludf.DUMMYFUNCTION("""COMPUTED_VALUE"""),"RUN-ABRM_2023-01-02_RFR-117")</f>
        <v>RUN-ABRM_2023-01-02_RFR-117</v>
      </c>
      <c r="C677" s="8">
        <f>VLOOKUP(B677,'Run Reconcile'!A$2:B3212,2,FALSE)</f>
        <v>44928</v>
      </c>
      <c r="D677" s="12">
        <f>IFERROR(__xludf.DUMMYFUNCTION("""COMPUTED_VALUE"""),44928.0)</f>
        <v>44928</v>
      </c>
      <c r="E677" s="13">
        <f>IFERROR(__xludf.DUMMYFUNCTION("""COMPUTED_VALUE"""),0.3186458333329938)</f>
        <v>0.3186458333</v>
      </c>
      <c r="F677" s="7" t="str">
        <f>IFERROR(__xludf.DUMMYFUNCTION("""COMPUTED_VALUE"""),"Negative")</f>
        <v>Negative</v>
      </c>
      <c r="G677" s="7">
        <f>IFERROR(__xludf.DUMMYFUNCTION("""COMPUTED_VALUE"""),3.0)</f>
        <v>3</v>
      </c>
    </row>
    <row r="678">
      <c r="A678" s="7" t="str">
        <f>IFERROR(__xludf.DUMMYFUNCTION("""COMPUTED_VALUE"""),"AJ8248")</f>
        <v>AJ8248</v>
      </c>
      <c r="B678" s="7" t="str">
        <f>IFERROR(__xludf.DUMMYFUNCTION("""COMPUTED_VALUE"""),"RUN-ABRM_2023-01-02_RFR-117")</f>
        <v>RUN-ABRM_2023-01-02_RFR-117</v>
      </c>
      <c r="C678" s="8">
        <f>VLOOKUP(B678,'Run Reconcile'!A$2:B3212,2,FALSE)</f>
        <v>44928</v>
      </c>
      <c r="D678" s="12">
        <f>IFERROR(__xludf.DUMMYFUNCTION("""COMPUTED_VALUE"""),44928.0)</f>
        <v>44928</v>
      </c>
      <c r="E678" s="13">
        <f>IFERROR(__xludf.DUMMYFUNCTION("""COMPUTED_VALUE"""),0.3603935185201408)</f>
        <v>0.3603935185</v>
      </c>
      <c r="F678" s="7" t="str">
        <f>IFERROR(__xludf.DUMMYFUNCTION("""COMPUTED_VALUE"""),"Negative")</f>
        <v>Negative</v>
      </c>
      <c r="G678" s="7">
        <f>IFERROR(__xludf.DUMMYFUNCTION("""COMPUTED_VALUE"""),1.0)</f>
        <v>1</v>
      </c>
    </row>
    <row r="679">
      <c r="A679" s="7" t="str">
        <f>IFERROR(__xludf.DUMMYFUNCTION("""COMPUTED_VALUE"""),"AG1999")</f>
        <v>AG1999</v>
      </c>
      <c r="B679" s="7" t="str">
        <f>IFERROR(__xludf.DUMMYFUNCTION("""COMPUTED_VALUE"""),"RUN-ABRM_2023-01-02_RFR-117")</f>
        <v>RUN-ABRM_2023-01-02_RFR-117</v>
      </c>
      <c r="C679" s="8">
        <f>VLOOKUP(B679,'Run Reconcile'!A$2:B3212,2,FALSE)</f>
        <v>44928</v>
      </c>
      <c r="D679" s="12">
        <f>IFERROR(__xludf.DUMMYFUNCTION("""COMPUTED_VALUE"""),44928.0)</f>
        <v>44928</v>
      </c>
      <c r="E679" s="13">
        <f>IFERROR(__xludf.DUMMYFUNCTION("""COMPUTED_VALUE"""),0.3721643518510973)</f>
        <v>0.3721643519</v>
      </c>
      <c r="F679" s="7" t="str">
        <f>IFERROR(__xludf.DUMMYFUNCTION("""COMPUTED_VALUE"""),"Negative")</f>
        <v>Negative</v>
      </c>
      <c r="G679" s="7">
        <f>IFERROR(__xludf.DUMMYFUNCTION("""COMPUTED_VALUE"""),4.0)</f>
        <v>4</v>
      </c>
    </row>
    <row r="680">
      <c r="A680" s="7" t="str">
        <f>IFERROR(__xludf.DUMMYFUNCTION("""COMPUTED_VALUE"""),"AH897")</f>
        <v>AH897</v>
      </c>
      <c r="B680" s="7" t="str">
        <f>IFERROR(__xludf.DUMMYFUNCTION("""COMPUTED_VALUE"""),"RUN-ABRM_2023-01-03_RFR-118")</f>
        <v>RUN-ABRM_2023-01-03_RFR-118</v>
      </c>
      <c r="C680" s="8">
        <f>VLOOKUP(B680,'Run Reconcile'!A$2:B3212,2,FALSE)</f>
        <v>44929</v>
      </c>
      <c r="D680" s="12">
        <f>IFERROR(__xludf.DUMMYFUNCTION("""COMPUTED_VALUE"""),44929.0)</f>
        <v>44929</v>
      </c>
      <c r="E680" s="13">
        <f>IFERROR(__xludf.DUMMYFUNCTION("""COMPUTED_VALUE"""),0.25731481481489027)</f>
        <v>0.2573148148</v>
      </c>
      <c r="F680" s="7" t="str">
        <f>IFERROR(__xludf.DUMMYFUNCTION("""COMPUTED_VALUE"""),"Negative")</f>
        <v>Negative</v>
      </c>
      <c r="G680" s="7">
        <f>IFERROR(__xludf.DUMMYFUNCTION("""COMPUTED_VALUE"""),3.0)</f>
        <v>3</v>
      </c>
    </row>
    <row r="681">
      <c r="A681" s="7" t="str">
        <f>IFERROR(__xludf.DUMMYFUNCTION("""COMPUTED_VALUE"""),"AJ4710")</f>
        <v>AJ4710</v>
      </c>
      <c r="B681" s="7" t="str">
        <f>IFERROR(__xludf.DUMMYFUNCTION("""COMPUTED_VALUE"""),"RUN-ABRM_2023-01-03_RFR-118")</f>
        <v>RUN-ABRM_2023-01-03_RFR-118</v>
      </c>
      <c r="C681" s="8">
        <f>VLOOKUP(B681,'Run Reconcile'!A$2:B3212,2,FALSE)</f>
        <v>44929</v>
      </c>
      <c r="D681" s="12">
        <f>IFERROR(__xludf.DUMMYFUNCTION("""COMPUTED_VALUE"""),44929.0)</f>
        <v>44929</v>
      </c>
      <c r="E681" s="13">
        <f>IFERROR(__xludf.DUMMYFUNCTION("""COMPUTED_VALUE"""),0.278807870370656)</f>
        <v>0.2788078704</v>
      </c>
      <c r="F681" s="7" t="str">
        <f>IFERROR(__xludf.DUMMYFUNCTION("""COMPUTED_VALUE"""),"Negative")</f>
        <v>Negative</v>
      </c>
      <c r="G681" s="7">
        <f>IFERROR(__xludf.DUMMYFUNCTION("""COMPUTED_VALUE"""),3.0)</f>
        <v>3</v>
      </c>
    </row>
    <row r="682">
      <c r="A682" s="7" t="str">
        <f>IFERROR(__xludf.DUMMYFUNCTION("""COMPUTED_VALUE"""),"AH6873")</f>
        <v>AH6873</v>
      </c>
      <c r="B682" s="7" t="str">
        <f>IFERROR(__xludf.DUMMYFUNCTION("""COMPUTED_VALUE"""),"RUN-ABRM_2023-01-03_RFR-118")</f>
        <v>RUN-ABRM_2023-01-03_RFR-118</v>
      </c>
      <c r="C682" s="8">
        <f>VLOOKUP(B682,'Run Reconcile'!A$2:B3212,2,FALSE)</f>
        <v>44929</v>
      </c>
      <c r="D682" s="12">
        <f>IFERROR(__xludf.DUMMYFUNCTION("""COMPUTED_VALUE"""),44929.0)</f>
        <v>44929</v>
      </c>
      <c r="E682" s="13">
        <f>IFERROR(__xludf.DUMMYFUNCTION("""COMPUTED_VALUE"""),0.2791782407402934)</f>
        <v>0.2791782407</v>
      </c>
      <c r="F682" s="7" t="str">
        <f>IFERROR(__xludf.DUMMYFUNCTION("""COMPUTED_VALUE"""),"Negative")</f>
        <v>Negative</v>
      </c>
      <c r="G682" s="7">
        <f>IFERROR(__xludf.DUMMYFUNCTION("""COMPUTED_VALUE"""),2.0)</f>
        <v>2</v>
      </c>
    </row>
    <row r="683">
      <c r="A683" s="7" t="str">
        <f>IFERROR(__xludf.DUMMYFUNCTION("""COMPUTED_VALUE"""),"AH7677")</f>
        <v>AH7677</v>
      </c>
      <c r="B683" s="7" t="str">
        <f>IFERROR(__xludf.DUMMYFUNCTION("""COMPUTED_VALUE"""),"RUN-ABRM_2023-01-03_RFR-118")</f>
        <v>RUN-ABRM_2023-01-03_RFR-118</v>
      </c>
      <c r="C683" s="8">
        <f>VLOOKUP(B683,'Run Reconcile'!A$2:B3212,2,FALSE)</f>
        <v>44929</v>
      </c>
      <c r="D683" s="12">
        <f>IFERROR(__xludf.DUMMYFUNCTION("""COMPUTED_VALUE"""),44929.0)</f>
        <v>44929</v>
      </c>
      <c r="E683" s="13">
        <f>IFERROR(__xludf.DUMMYFUNCTION("""COMPUTED_VALUE"""),0.2876041666677338)</f>
        <v>0.2876041667</v>
      </c>
      <c r="F683" s="7" t="str">
        <f>IFERROR(__xludf.DUMMYFUNCTION("""COMPUTED_VALUE"""),"Negative")</f>
        <v>Negative</v>
      </c>
      <c r="G683" s="7">
        <f>IFERROR(__xludf.DUMMYFUNCTION("""COMPUTED_VALUE"""),4.0)</f>
        <v>4</v>
      </c>
    </row>
    <row r="684">
      <c r="A684" s="7" t="str">
        <f>IFERROR(__xludf.DUMMYFUNCTION("""COMPUTED_VALUE"""),"AJ9576")</f>
        <v>AJ9576</v>
      </c>
      <c r="B684" s="7" t="str">
        <f>IFERROR(__xludf.DUMMYFUNCTION("""COMPUTED_VALUE"""),"RUN-ABRM_2023-01-03_RFR-118")</f>
        <v>RUN-ABRM_2023-01-03_RFR-118</v>
      </c>
      <c r="C684" s="8">
        <f>VLOOKUP(B684,'Run Reconcile'!A$2:B3212,2,FALSE)</f>
        <v>44929</v>
      </c>
      <c r="D684" s="12">
        <f>IFERROR(__xludf.DUMMYFUNCTION("""COMPUTED_VALUE"""),44929.0)</f>
        <v>44929</v>
      </c>
      <c r="E684" s="13">
        <f>IFERROR(__xludf.DUMMYFUNCTION("""COMPUTED_VALUE"""),0.2883333333338669)</f>
        <v>0.2883333333</v>
      </c>
      <c r="F684" s="7" t="str">
        <f>IFERROR(__xludf.DUMMYFUNCTION("""COMPUTED_VALUE"""),"Negative")</f>
        <v>Negative</v>
      </c>
      <c r="G684" s="7">
        <f>IFERROR(__xludf.DUMMYFUNCTION("""COMPUTED_VALUE"""),3.0)</f>
        <v>3</v>
      </c>
    </row>
    <row r="685">
      <c r="A685" s="7" t="str">
        <f>IFERROR(__xludf.DUMMYFUNCTION("""COMPUTED_VALUE"""),"AJ8155")</f>
        <v>AJ8155</v>
      </c>
      <c r="B685" s="7" t="str">
        <f>IFERROR(__xludf.DUMMYFUNCTION("""COMPUTED_VALUE"""),"RUN-ABRM_2023-01-03_RFR-118")</f>
        <v>RUN-ABRM_2023-01-03_RFR-118</v>
      </c>
      <c r="C685" s="8">
        <f>VLOOKUP(B685,'Run Reconcile'!A$2:B3212,2,FALSE)</f>
        <v>44929</v>
      </c>
      <c r="D685" s="12">
        <f>IFERROR(__xludf.DUMMYFUNCTION("""COMPUTED_VALUE"""),44929.0)</f>
        <v>44929</v>
      </c>
      <c r="E685" s="13">
        <f>IFERROR(__xludf.DUMMYFUNCTION("""COMPUTED_VALUE"""),0.2985069444439432)</f>
        <v>0.2985069444</v>
      </c>
      <c r="F685" s="7" t="str">
        <f>IFERROR(__xludf.DUMMYFUNCTION("""COMPUTED_VALUE"""),"Negative")</f>
        <v>Negative</v>
      </c>
      <c r="G685" s="7">
        <f>IFERROR(__xludf.DUMMYFUNCTION("""COMPUTED_VALUE"""),2.0)</f>
        <v>2</v>
      </c>
    </row>
    <row r="686">
      <c r="A686" s="7" t="str">
        <f>IFERROR(__xludf.DUMMYFUNCTION("""COMPUTED_VALUE"""),"AH7657")</f>
        <v>AH7657</v>
      </c>
      <c r="B686" s="7" t="str">
        <f>IFERROR(__xludf.DUMMYFUNCTION("""COMPUTED_VALUE"""),"RUN-ABRM_2023-01-03_RFR-118")</f>
        <v>RUN-ABRM_2023-01-03_RFR-118</v>
      </c>
      <c r="C686" s="8">
        <f>VLOOKUP(B686,'Run Reconcile'!A$2:B3212,2,FALSE)</f>
        <v>44929</v>
      </c>
      <c r="D686" s="12">
        <f>IFERROR(__xludf.DUMMYFUNCTION("""COMPUTED_VALUE"""),44929.0)</f>
        <v>44929</v>
      </c>
      <c r="E686" s="13">
        <f>IFERROR(__xludf.DUMMYFUNCTION("""COMPUTED_VALUE"""),0.31851851851752144)</f>
        <v>0.3185185185</v>
      </c>
      <c r="F686" s="7" t="str">
        <f>IFERROR(__xludf.DUMMYFUNCTION("""COMPUTED_VALUE"""),"Negative")</f>
        <v>Negative</v>
      </c>
      <c r="G686" s="7">
        <f>IFERROR(__xludf.DUMMYFUNCTION("""COMPUTED_VALUE"""),1.0)</f>
        <v>1</v>
      </c>
    </row>
    <row r="687">
      <c r="A687" s="7" t="str">
        <f>IFERROR(__xludf.DUMMYFUNCTION("""COMPUTED_VALUE"""),"AG2049")</f>
        <v>AG2049</v>
      </c>
      <c r="B687" s="7" t="str">
        <f>IFERROR(__xludf.DUMMYFUNCTION("""COMPUTED_VALUE"""),"RUN-ABRM_2023-01-03_RFR-118")</f>
        <v>RUN-ABRM_2023-01-03_RFR-118</v>
      </c>
      <c r="C687" s="8">
        <f>VLOOKUP(B687,'Run Reconcile'!A$2:B3212,2,FALSE)</f>
        <v>44929</v>
      </c>
      <c r="D687" s="12">
        <f>IFERROR(__xludf.DUMMYFUNCTION("""COMPUTED_VALUE"""),44929.0)</f>
        <v>44929</v>
      </c>
      <c r="E687" s="13">
        <f>IFERROR(__xludf.DUMMYFUNCTION("""COMPUTED_VALUE"""),0.320451388888614)</f>
        <v>0.3204513889</v>
      </c>
      <c r="F687" s="7" t="str">
        <f>IFERROR(__xludf.DUMMYFUNCTION("""COMPUTED_VALUE"""),"Negative")</f>
        <v>Negative</v>
      </c>
      <c r="G687" s="7">
        <f>IFERROR(__xludf.DUMMYFUNCTION("""COMPUTED_VALUE"""),1.0)</f>
        <v>1</v>
      </c>
    </row>
    <row r="688">
      <c r="A688" s="7" t="str">
        <f>IFERROR(__xludf.DUMMYFUNCTION("""COMPUTED_VALUE"""),"AH6954")</f>
        <v>AH6954</v>
      </c>
      <c r="B688" s="7" t="str">
        <f>IFERROR(__xludf.DUMMYFUNCTION("""COMPUTED_VALUE"""),"RUN-ABRM_2023-01-03_RFR-118")</f>
        <v>RUN-ABRM_2023-01-03_RFR-118</v>
      </c>
      <c r="C688" s="8">
        <f>VLOOKUP(B688,'Run Reconcile'!A$2:B3212,2,FALSE)</f>
        <v>44929</v>
      </c>
      <c r="D688" s="12">
        <f>IFERROR(__xludf.DUMMYFUNCTION("""COMPUTED_VALUE"""),44929.0)</f>
        <v>44929</v>
      </c>
      <c r="E688" s="13">
        <f>IFERROR(__xludf.DUMMYFUNCTION("""COMPUTED_VALUE"""),0.3228124999986903)</f>
        <v>0.3228125</v>
      </c>
      <c r="F688" s="7" t="str">
        <f>IFERROR(__xludf.DUMMYFUNCTION("""COMPUTED_VALUE"""),"Negative")</f>
        <v>Negative</v>
      </c>
      <c r="G688" s="7">
        <f>IFERROR(__xludf.DUMMYFUNCTION("""COMPUTED_VALUE"""),2.0)</f>
        <v>2</v>
      </c>
    </row>
    <row r="689">
      <c r="A689" s="7" t="str">
        <f>IFERROR(__xludf.DUMMYFUNCTION("""COMPUTED_VALUE"""),"AG925")</f>
        <v>AG925</v>
      </c>
      <c r="B689" s="7" t="str">
        <f>IFERROR(__xludf.DUMMYFUNCTION("""COMPUTED_VALUE"""),"RUN-ABRM_2023-01-03_RFR-118")</f>
        <v>RUN-ABRM_2023-01-03_RFR-118</v>
      </c>
      <c r="C689" s="8">
        <f>VLOOKUP(B689,'Run Reconcile'!A$2:B3212,2,FALSE)</f>
        <v>44929</v>
      </c>
      <c r="D689" s="12">
        <f>IFERROR(__xludf.DUMMYFUNCTION("""COMPUTED_VALUE"""),44929.0)</f>
        <v>44929</v>
      </c>
      <c r="E689" s="13">
        <f>IFERROR(__xludf.DUMMYFUNCTION("""COMPUTED_VALUE"""),0.3371990740743058)</f>
        <v>0.3371990741</v>
      </c>
      <c r="F689" s="7" t="str">
        <f>IFERROR(__xludf.DUMMYFUNCTION("""COMPUTED_VALUE"""),"Negative")</f>
        <v>Negative</v>
      </c>
      <c r="G689" s="7">
        <f>IFERROR(__xludf.DUMMYFUNCTION("""COMPUTED_VALUE"""),3.0)</f>
        <v>3</v>
      </c>
    </row>
    <row r="690">
      <c r="A690" s="7" t="str">
        <f>IFERROR(__xludf.DUMMYFUNCTION("""COMPUTED_VALUE"""),"AH411")</f>
        <v>AH411</v>
      </c>
      <c r="B690" s="7" t="str">
        <f>IFERROR(__xludf.DUMMYFUNCTION("""COMPUTED_VALUE"""),"RUN-ABRM_2023-01-03_RFR-118")</f>
        <v>RUN-ABRM_2023-01-03_RFR-118</v>
      </c>
      <c r="C690" s="8">
        <f>VLOOKUP(B690,'Run Reconcile'!A$2:B3212,2,FALSE)</f>
        <v>44929</v>
      </c>
      <c r="D690" s="12">
        <f>IFERROR(__xludf.DUMMYFUNCTION("""COMPUTED_VALUE"""),44929.0)</f>
        <v>44929</v>
      </c>
      <c r="E690" s="13">
        <f>IFERROR(__xludf.DUMMYFUNCTION("""COMPUTED_VALUE"""),0.37526620370408637)</f>
        <v>0.3752662037</v>
      </c>
      <c r="F690" s="7" t="str">
        <f>IFERROR(__xludf.DUMMYFUNCTION("""COMPUTED_VALUE"""),"Negative")</f>
        <v>Negative</v>
      </c>
      <c r="G690" s="7">
        <f>IFERROR(__xludf.DUMMYFUNCTION("""COMPUTED_VALUE"""),1.0)</f>
        <v>1</v>
      </c>
    </row>
    <row r="691">
      <c r="A691" s="7" t="str">
        <f>IFERROR(__xludf.DUMMYFUNCTION("""COMPUTED_VALUE"""),"AJ8022")</f>
        <v>AJ8022</v>
      </c>
      <c r="B691" s="7" t="str">
        <f>IFERROR(__xludf.DUMMYFUNCTION("""COMPUTED_VALUE"""),"RUN-ABRM_2023-01-04_RFR-120")</f>
        <v>RUN-ABRM_2023-01-04_RFR-120</v>
      </c>
      <c r="C691" s="8">
        <f>VLOOKUP(B691,'Run Reconcile'!A$2:B3212,2,FALSE)</f>
        <v>44930</v>
      </c>
      <c r="D691" s="12">
        <f>IFERROR(__xludf.DUMMYFUNCTION("""COMPUTED_VALUE"""),44930.0)</f>
        <v>44930</v>
      </c>
      <c r="E691" s="13">
        <f>IFERROR(__xludf.DUMMYFUNCTION("""COMPUTED_VALUE"""),0.2719907407408755)</f>
        <v>0.2719907407</v>
      </c>
      <c r="F691" s="7" t="str">
        <f>IFERROR(__xludf.DUMMYFUNCTION("""COMPUTED_VALUE"""),"Negative")</f>
        <v>Negative</v>
      </c>
      <c r="G691" s="7">
        <f>IFERROR(__xludf.DUMMYFUNCTION("""COMPUTED_VALUE"""),3.0)</f>
        <v>3</v>
      </c>
    </row>
    <row r="692">
      <c r="A692" s="7" t="str">
        <f>IFERROR(__xludf.DUMMYFUNCTION("""COMPUTED_VALUE"""),"AJ8054")</f>
        <v>AJ8054</v>
      </c>
      <c r="B692" s="7" t="str">
        <f>IFERROR(__xludf.DUMMYFUNCTION("""COMPUTED_VALUE"""),"RUN-ABRM_2023-01-04_RFR-120")</f>
        <v>RUN-ABRM_2023-01-04_RFR-120</v>
      </c>
      <c r="C692" s="8">
        <f>VLOOKUP(B692,'Run Reconcile'!A$2:B3212,2,FALSE)</f>
        <v>44930</v>
      </c>
      <c r="D692" s="12">
        <f>IFERROR(__xludf.DUMMYFUNCTION("""COMPUTED_VALUE"""),44930.0)</f>
        <v>44930</v>
      </c>
      <c r="E692" s="13">
        <f>IFERROR(__xludf.DUMMYFUNCTION("""COMPUTED_VALUE"""),0.2727430555569299)</f>
        <v>0.2727430556</v>
      </c>
      <c r="F692" s="7" t="str">
        <f>IFERROR(__xludf.DUMMYFUNCTION("""COMPUTED_VALUE"""),"Negative")</f>
        <v>Negative</v>
      </c>
      <c r="G692" s="7">
        <f>IFERROR(__xludf.DUMMYFUNCTION("""COMPUTED_VALUE"""),2.0)</f>
        <v>2</v>
      </c>
    </row>
    <row r="693">
      <c r="A693" s="7" t="str">
        <f>IFERROR(__xludf.DUMMYFUNCTION("""COMPUTED_VALUE"""),"AH7124")</f>
        <v>AH7124</v>
      </c>
      <c r="B693" s="7" t="str">
        <f>IFERROR(__xludf.DUMMYFUNCTION("""COMPUTED_VALUE"""),"RUN-ABRM_2023-01-04_RFR-120")</f>
        <v>RUN-ABRM_2023-01-04_RFR-120</v>
      </c>
      <c r="C693" s="8">
        <f>VLOOKUP(B693,'Run Reconcile'!A$2:B3212,2,FALSE)</f>
        <v>44930</v>
      </c>
      <c r="D693" s="12">
        <f>IFERROR(__xludf.DUMMYFUNCTION("""COMPUTED_VALUE"""),44930.0)</f>
        <v>44930</v>
      </c>
      <c r="E693" s="13">
        <f>IFERROR(__xludf.DUMMYFUNCTION("""COMPUTED_VALUE"""),0.2897222222236451)</f>
        <v>0.2897222222</v>
      </c>
      <c r="F693" s="7" t="str">
        <f>IFERROR(__xludf.DUMMYFUNCTION("""COMPUTED_VALUE"""),"Negative")</f>
        <v>Negative</v>
      </c>
      <c r="G693" s="7">
        <f>IFERROR(__xludf.DUMMYFUNCTION("""COMPUTED_VALUE"""),4.0)</f>
        <v>4</v>
      </c>
    </row>
    <row r="694">
      <c r="A694" s="7" t="str">
        <f>IFERROR(__xludf.DUMMYFUNCTION("""COMPUTED_VALUE"""),"AK6280")</f>
        <v>AK6280</v>
      </c>
      <c r="B694" s="7" t="str">
        <f>IFERROR(__xludf.DUMMYFUNCTION("""COMPUTED_VALUE"""),"RUN-ABRM_2023-01-04_RFR-120")</f>
        <v>RUN-ABRM_2023-01-04_RFR-120</v>
      </c>
      <c r="C694" s="8">
        <f>VLOOKUP(B694,'Run Reconcile'!A$2:B3212,2,FALSE)</f>
        <v>44930</v>
      </c>
      <c r="D694" s="12">
        <f>IFERROR(__xludf.DUMMYFUNCTION("""COMPUTED_VALUE"""),44930.0)</f>
        <v>44930</v>
      </c>
      <c r="E694" s="13">
        <f>IFERROR(__xludf.DUMMYFUNCTION("""COMPUTED_VALUE"""),0.29104166666729725)</f>
        <v>0.2910416667</v>
      </c>
      <c r="F694" s="7" t="str">
        <f>IFERROR(__xludf.DUMMYFUNCTION("""COMPUTED_VALUE"""),"Negative")</f>
        <v>Negative</v>
      </c>
      <c r="G694" s="7">
        <f>IFERROR(__xludf.DUMMYFUNCTION("""COMPUTED_VALUE"""),3.0)</f>
        <v>3</v>
      </c>
    </row>
    <row r="695">
      <c r="A695" s="7" t="str">
        <f>IFERROR(__xludf.DUMMYFUNCTION("""COMPUTED_VALUE"""),"AJ6756")</f>
        <v>AJ6756</v>
      </c>
      <c r="B695" s="7" t="str">
        <f>IFERROR(__xludf.DUMMYFUNCTION("""COMPUTED_VALUE"""),"RUN-ABRM_2023-01-04_RFR-120")</f>
        <v>RUN-ABRM_2023-01-04_RFR-120</v>
      </c>
      <c r="C695" s="8">
        <f>VLOOKUP(B695,'Run Reconcile'!A$2:B3212,2,FALSE)</f>
        <v>44930</v>
      </c>
      <c r="D695" s="12">
        <f>IFERROR(__xludf.DUMMYFUNCTION("""COMPUTED_VALUE"""),44930.0)</f>
        <v>44930</v>
      </c>
      <c r="E695" s="13">
        <f>IFERROR(__xludf.DUMMYFUNCTION("""COMPUTED_VALUE"""),0.3305208333331393)</f>
        <v>0.3305208333</v>
      </c>
      <c r="F695" s="7" t="str">
        <f>IFERROR(__xludf.DUMMYFUNCTION("""COMPUTED_VALUE"""),"Negative")</f>
        <v>Negative</v>
      </c>
      <c r="G695" s="7">
        <f>IFERROR(__xludf.DUMMYFUNCTION("""COMPUTED_VALUE"""),2.0)</f>
        <v>2</v>
      </c>
    </row>
    <row r="696">
      <c r="A696" s="7" t="str">
        <f>IFERROR(__xludf.DUMMYFUNCTION("""COMPUTED_VALUE"""),"AH8275")</f>
        <v>AH8275</v>
      </c>
      <c r="B696" s="7" t="str">
        <f>IFERROR(__xludf.DUMMYFUNCTION("""COMPUTED_VALUE"""),"RUN-ABRM_2023-01-04_RFR-120")</f>
        <v>RUN-ABRM_2023-01-04_RFR-120</v>
      </c>
      <c r="C696" s="8">
        <f>VLOOKUP(B696,'Run Reconcile'!A$2:B3212,2,FALSE)</f>
        <v>44930</v>
      </c>
      <c r="D696" s="12">
        <f>IFERROR(__xludf.DUMMYFUNCTION("""COMPUTED_VALUE"""),44930.0)</f>
        <v>44930</v>
      </c>
      <c r="E696" s="13">
        <f>IFERROR(__xludf.DUMMYFUNCTION("""COMPUTED_VALUE"""),0.34780092592700385)</f>
        <v>0.3478009259</v>
      </c>
      <c r="F696" s="7" t="str">
        <f>IFERROR(__xludf.DUMMYFUNCTION("""COMPUTED_VALUE"""),"Negative")</f>
        <v>Negative</v>
      </c>
      <c r="G696" s="7">
        <f>IFERROR(__xludf.DUMMYFUNCTION("""COMPUTED_VALUE"""),4.0)</f>
        <v>4</v>
      </c>
    </row>
    <row r="697">
      <c r="A697" s="7" t="str">
        <f>IFERROR(__xludf.DUMMYFUNCTION("""COMPUTED_VALUE"""),"AJ8265")</f>
        <v>AJ8265</v>
      </c>
      <c r="B697" s="7" t="str">
        <f>IFERROR(__xludf.DUMMYFUNCTION("""COMPUTED_VALUE"""),"RUN-ABRM_2023-01-05_RFR-121")</f>
        <v>RUN-ABRM_2023-01-05_RFR-121</v>
      </c>
      <c r="C697" s="8">
        <f>VLOOKUP(B697,'Run Reconcile'!A$2:B3212,2,FALSE)</f>
        <v>44931</v>
      </c>
      <c r="D697" s="12">
        <f>IFERROR(__xludf.DUMMYFUNCTION("""COMPUTED_VALUE"""),44931.0)</f>
        <v>44931</v>
      </c>
      <c r="E697" s="13">
        <f>IFERROR(__xludf.DUMMYFUNCTION("""COMPUTED_VALUE"""),0.24520833333372138)</f>
        <v>0.2452083333</v>
      </c>
      <c r="F697" s="7" t="str">
        <f>IFERROR(__xludf.DUMMYFUNCTION("""COMPUTED_VALUE"""),"Negative")</f>
        <v>Negative</v>
      </c>
      <c r="G697" s="7">
        <f>IFERROR(__xludf.DUMMYFUNCTION("""COMPUTED_VALUE"""),3.0)</f>
        <v>3</v>
      </c>
    </row>
    <row r="698">
      <c r="A698" s="7" t="str">
        <f>IFERROR(__xludf.DUMMYFUNCTION("""COMPUTED_VALUE"""),"AG830")</f>
        <v>AG830</v>
      </c>
      <c r="B698" s="7" t="str">
        <f>IFERROR(__xludf.DUMMYFUNCTION("""COMPUTED_VALUE"""),"RUN-ABRM_2023-01-05_RFR-121")</f>
        <v>RUN-ABRM_2023-01-05_RFR-121</v>
      </c>
      <c r="C698" s="8">
        <f>VLOOKUP(B698,'Run Reconcile'!A$2:B3212,2,FALSE)</f>
        <v>44931</v>
      </c>
      <c r="D698" s="12">
        <f>IFERROR(__xludf.DUMMYFUNCTION("""COMPUTED_VALUE"""),44931.0)</f>
        <v>44931</v>
      </c>
      <c r="E698" s="13">
        <f>IFERROR(__xludf.DUMMYFUNCTION("""COMPUTED_VALUE"""),0.30303240740613546)</f>
        <v>0.3030324074</v>
      </c>
      <c r="F698" s="7" t="str">
        <f>IFERROR(__xludf.DUMMYFUNCTION("""COMPUTED_VALUE"""),"Negative")</f>
        <v>Negative</v>
      </c>
      <c r="G698" s="7">
        <f>IFERROR(__xludf.DUMMYFUNCTION("""COMPUTED_VALUE"""),3.0)</f>
        <v>3</v>
      </c>
    </row>
    <row r="699">
      <c r="A699" s="7" t="str">
        <f>IFERROR(__xludf.DUMMYFUNCTION("""COMPUTED_VALUE"""),"AH648")</f>
        <v>AH648</v>
      </c>
      <c r="B699" s="7" t="str">
        <f>IFERROR(__xludf.DUMMYFUNCTION("""COMPUTED_VALUE"""),"RUN-ABRM_2023-01-05_RFR-121")</f>
        <v>RUN-ABRM_2023-01-05_RFR-121</v>
      </c>
      <c r="C699" s="8">
        <f>VLOOKUP(B699,'Run Reconcile'!A$2:B3212,2,FALSE)</f>
        <v>44931</v>
      </c>
      <c r="D699" s="12">
        <f>IFERROR(__xludf.DUMMYFUNCTION("""COMPUTED_VALUE"""),44931.0)</f>
        <v>44931</v>
      </c>
      <c r="E699" s="13">
        <f>IFERROR(__xludf.DUMMYFUNCTION("""COMPUTED_VALUE"""),0.32410879629605915)</f>
        <v>0.3241087963</v>
      </c>
      <c r="F699" s="7" t="str">
        <f>IFERROR(__xludf.DUMMYFUNCTION("""COMPUTED_VALUE"""),"Negative")</f>
        <v>Negative</v>
      </c>
      <c r="G699" s="7">
        <f>IFERROR(__xludf.DUMMYFUNCTION("""COMPUTED_VALUE"""),1.0)</f>
        <v>1</v>
      </c>
    </row>
    <row r="700">
      <c r="A700" s="7" t="str">
        <f>IFERROR(__xludf.DUMMYFUNCTION("""COMPUTED_VALUE"""),"AJ5534")</f>
        <v>AJ5534</v>
      </c>
      <c r="B700" s="7" t="str">
        <f>IFERROR(__xludf.DUMMYFUNCTION("""COMPUTED_VALUE"""),"RUN-ABRM_2023-01-05_RFR-121")</f>
        <v>RUN-ABRM_2023-01-05_RFR-121</v>
      </c>
      <c r="C700" s="8">
        <f>VLOOKUP(B700,'Run Reconcile'!A$2:B3212,2,FALSE)</f>
        <v>44931</v>
      </c>
      <c r="D700" s="12">
        <f>IFERROR(__xludf.DUMMYFUNCTION("""COMPUTED_VALUE"""),44931.0)</f>
        <v>44931</v>
      </c>
      <c r="E700" s="13">
        <f>IFERROR(__xludf.DUMMYFUNCTION("""COMPUTED_VALUE"""),0.32439814814642887)</f>
        <v>0.3243981481</v>
      </c>
      <c r="F700" s="7" t="str">
        <f>IFERROR(__xludf.DUMMYFUNCTION("""COMPUTED_VALUE"""),"Negative")</f>
        <v>Negative</v>
      </c>
      <c r="G700" s="7">
        <f>IFERROR(__xludf.DUMMYFUNCTION("""COMPUTED_VALUE"""),1.0)</f>
        <v>1</v>
      </c>
    </row>
    <row r="701">
      <c r="A701" s="7" t="str">
        <f>IFERROR(__xludf.DUMMYFUNCTION("""COMPUTED_VALUE"""),"AH8852")</f>
        <v>AH8852</v>
      </c>
      <c r="B701" s="7" t="str">
        <f>IFERROR(__xludf.DUMMYFUNCTION("""COMPUTED_VALUE"""),"RUN-ABRM_2023-01-05_RFR-121")</f>
        <v>RUN-ABRM_2023-01-05_RFR-121</v>
      </c>
      <c r="C701" s="8">
        <f>VLOOKUP(B701,'Run Reconcile'!A$2:B3212,2,FALSE)</f>
        <v>44931</v>
      </c>
      <c r="D701" s="12">
        <f>IFERROR(__xludf.DUMMYFUNCTION("""COMPUTED_VALUE"""),44931.0)</f>
        <v>44931</v>
      </c>
      <c r="E701" s="13">
        <f>IFERROR(__xludf.DUMMYFUNCTION("""COMPUTED_VALUE"""),0.34910879629751435)</f>
        <v>0.3491087963</v>
      </c>
      <c r="F701" s="7" t="str">
        <f>IFERROR(__xludf.DUMMYFUNCTION("""COMPUTED_VALUE"""),"Negative")</f>
        <v>Negative</v>
      </c>
      <c r="G701" s="7">
        <f>IFERROR(__xludf.DUMMYFUNCTION("""COMPUTED_VALUE"""),4.0)</f>
        <v>4</v>
      </c>
    </row>
    <row r="702">
      <c r="A702" s="7" t="str">
        <f>IFERROR(__xludf.DUMMYFUNCTION("""COMPUTED_VALUE"""),"AJ9535")</f>
        <v>AJ9535</v>
      </c>
      <c r="B702" s="7" t="str">
        <f>IFERROR(__xludf.DUMMYFUNCTION("""COMPUTED_VALUE"""),"RUN-ABRM_2023-01-05_RFR-121")</f>
        <v>RUN-ABRM_2023-01-05_RFR-121</v>
      </c>
      <c r="C702" s="8">
        <f>VLOOKUP(B702,'Run Reconcile'!A$2:B3212,2,FALSE)</f>
        <v>44931</v>
      </c>
      <c r="D702" s="12">
        <f>IFERROR(__xludf.DUMMYFUNCTION("""COMPUTED_VALUE"""),44931.0)</f>
        <v>44931</v>
      </c>
      <c r="E702" s="13">
        <f>IFERROR(__xludf.DUMMYFUNCTION("""COMPUTED_VALUE"""),0.35812499999883585)</f>
        <v>0.358125</v>
      </c>
      <c r="F702" s="7" t="str">
        <f>IFERROR(__xludf.DUMMYFUNCTION("""COMPUTED_VALUE"""),"Negative")</f>
        <v>Negative</v>
      </c>
      <c r="G702" s="7">
        <f>IFERROR(__xludf.DUMMYFUNCTION("""COMPUTED_VALUE"""),3.0)</f>
        <v>3</v>
      </c>
    </row>
    <row r="703">
      <c r="A703" s="7" t="str">
        <f>IFERROR(__xludf.DUMMYFUNCTION("""COMPUTED_VALUE"""),"AJ9717")</f>
        <v>AJ9717</v>
      </c>
      <c r="B703" s="7" t="str">
        <f>IFERROR(__xludf.DUMMYFUNCTION("""COMPUTED_VALUE"""),"RUN-ABRM_2023-01-06_RFR-123")</f>
        <v>RUN-ABRM_2023-01-06_RFR-123</v>
      </c>
      <c r="C703" s="8">
        <f>VLOOKUP(B703,'Run Reconcile'!A$2:B3212,2,FALSE)</f>
        <v>44932</v>
      </c>
      <c r="D703" s="12">
        <f>IFERROR(__xludf.DUMMYFUNCTION("""COMPUTED_VALUE"""),44932.0)</f>
        <v>44932</v>
      </c>
      <c r="E703" s="13">
        <f>IFERROR(__xludf.DUMMYFUNCTION("""COMPUTED_VALUE"""),0.265555555553874)</f>
        <v>0.2655555556</v>
      </c>
      <c r="F703" s="7" t="str">
        <f>IFERROR(__xludf.DUMMYFUNCTION("""COMPUTED_VALUE"""),"Negative")</f>
        <v>Negative</v>
      </c>
      <c r="G703" s="7">
        <f>IFERROR(__xludf.DUMMYFUNCTION("""COMPUTED_VALUE"""),3.0)</f>
        <v>3</v>
      </c>
    </row>
    <row r="704">
      <c r="A704" s="7" t="str">
        <f>IFERROR(__xludf.DUMMYFUNCTION("""COMPUTED_VALUE"""),"AJ9063")</f>
        <v>AJ9063</v>
      </c>
      <c r="B704" s="7" t="str">
        <f>IFERROR(__xludf.DUMMYFUNCTION("""COMPUTED_VALUE"""),"RUN-ABRM_2023-01-06_RFR-123")</f>
        <v>RUN-ABRM_2023-01-06_RFR-123</v>
      </c>
      <c r="C704" s="8">
        <f>VLOOKUP(B704,'Run Reconcile'!A$2:B3212,2,FALSE)</f>
        <v>44932</v>
      </c>
      <c r="D704" s="12">
        <f>IFERROR(__xludf.DUMMYFUNCTION("""COMPUTED_VALUE"""),44932.0)</f>
        <v>44932</v>
      </c>
      <c r="E704" s="13">
        <f>IFERROR(__xludf.DUMMYFUNCTION("""COMPUTED_VALUE"""),0.2974537037043774)</f>
        <v>0.2974537037</v>
      </c>
      <c r="F704" s="7" t="str">
        <f>IFERROR(__xludf.DUMMYFUNCTION("""COMPUTED_VALUE"""),"Negative")</f>
        <v>Negative</v>
      </c>
      <c r="G704" s="7">
        <f>IFERROR(__xludf.DUMMYFUNCTION("""COMPUTED_VALUE"""),3.0)</f>
        <v>3</v>
      </c>
    </row>
    <row r="705">
      <c r="A705" s="7" t="str">
        <f>IFERROR(__xludf.DUMMYFUNCTION("""COMPUTED_VALUE"""),"AH8337")</f>
        <v>AH8337</v>
      </c>
      <c r="B705" s="7" t="str">
        <f>IFERROR(__xludf.DUMMYFUNCTION("""COMPUTED_VALUE"""),"RUN-ABRM_2023-01-06_RFR-123")</f>
        <v>RUN-ABRM_2023-01-06_RFR-123</v>
      </c>
      <c r="C705" s="8">
        <f>VLOOKUP(B705,'Run Reconcile'!A$2:B3212,2,FALSE)</f>
        <v>44932</v>
      </c>
      <c r="D705" s="12">
        <f>IFERROR(__xludf.DUMMYFUNCTION("""COMPUTED_VALUE"""),44932.0)</f>
        <v>44932</v>
      </c>
      <c r="E705" s="13">
        <f>IFERROR(__xludf.DUMMYFUNCTION("""COMPUTED_VALUE"""),0.3168287037042319)</f>
        <v>0.3168287037</v>
      </c>
      <c r="F705" s="7" t="str">
        <f>IFERROR(__xludf.DUMMYFUNCTION("""COMPUTED_VALUE"""),"Negative")</f>
        <v>Negative</v>
      </c>
      <c r="G705" s="7">
        <f>IFERROR(__xludf.DUMMYFUNCTION("""COMPUTED_VALUE"""),1.0)</f>
        <v>1</v>
      </c>
    </row>
    <row r="706">
      <c r="A706" s="7" t="str">
        <f>IFERROR(__xludf.DUMMYFUNCTION("""COMPUTED_VALUE"""),"AJ7768")</f>
        <v>AJ7768</v>
      </c>
      <c r="B706" s="7" t="str">
        <f>IFERROR(__xludf.DUMMYFUNCTION("""COMPUTED_VALUE"""),"RUN-ABRM_2023-01-06_RFR-123")</f>
        <v>RUN-ABRM_2023-01-06_RFR-123</v>
      </c>
      <c r="C706" s="8">
        <f>VLOOKUP(B706,'Run Reconcile'!A$2:B3212,2,FALSE)</f>
        <v>44932</v>
      </c>
      <c r="D706" s="12">
        <f>IFERROR(__xludf.DUMMYFUNCTION("""COMPUTED_VALUE"""),44932.0)</f>
        <v>44932</v>
      </c>
      <c r="E706" s="13">
        <f>IFERROR(__xludf.DUMMYFUNCTION("""COMPUTED_VALUE"""),0.3170486111121136)</f>
        <v>0.3170486111</v>
      </c>
      <c r="F706" s="7" t="str">
        <f>IFERROR(__xludf.DUMMYFUNCTION("""COMPUTED_VALUE"""),"Negative")</f>
        <v>Negative</v>
      </c>
      <c r="G706" s="7">
        <f>IFERROR(__xludf.DUMMYFUNCTION("""COMPUTED_VALUE"""),1.0)</f>
        <v>1</v>
      </c>
    </row>
    <row r="707">
      <c r="A707" s="7" t="str">
        <f>IFERROR(__xludf.DUMMYFUNCTION("""COMPUTED_VALUE"""),"AH105")</f>
        <v>AH105</v>
      </c>
      <c r="B707" s="7" t="str">
        <f>IFERROR(__xludf.DUMMYFUNCTION("""COMPUTED_VALUE"""),"RUN-ABRM_2023-01-06_RFR-123")</f>
        <v>RUN-ABRM_2023-01-06_RFR-123</v>
      </c>
      <c r="C707" s="8">
        <f>VLOOKUP(B707,'Run Reconcile'!A$2:B3212,2,FALSE)</f>
        <v>44932</v>
      </c>
      <c r="D707" s="12">
        <f>IFERROR(__xludf.DUMMYFUNCTION("""COMPUTED_VALUE"""),44932.0)</f>
        <v>44932</v>
      </c>
      <c r="E707" s="13">
        <f>IFERROR(__xludf.DUMMYFUNCTION("""COMPUTED_VALUE"""),0.3377546296287619)</f>
        <v>0.3377546296</v>
      </c>
      <c r="F707" s="7" t="str">
        <f>IFERROR(__xludf.DUMMYFUNCTION("""COMPUTED_VALUE"""),"Negative")</f>
        <v>Negative</v>
      </c>
      <c r="G707" s="7">
        <f>IFERROR(__xludf.DUMMYFUNCTION("""COMPUTED_VALUE"""),3.0)</f>
        <v>3</v>
      </c>
    </row>
    <row r="708">
      <c r="A708" s="7" t="str">
        <f>IFERROR(__xludf.DUMMYFUNCTION("""COMPUTED_VALUE"""),"AG643")</f>
        <v>AG643</v>
      </c>
      <c r="B708" s="7" t="str">
        <f>IFERROR(__xludf.DUMMYFUNCTION("""COMPUTED_VALUE"""),"RUN-ABRM_2023-01-06_RFR-123")</f>
        <v>RUN-ABRM_2023-01-06_RFR-123</v>
      </c>
      <c r="C708" s="8">
        <f>VLOOKUP(B708,'Run Reconcile'!A$2:B3212,2,FALSE)</f>
        <v>44932</v>
      </c>
      <c r="D708" s="12">
        <f>IFERROR(__xludf.DUMMYFUNCTION("""COMPUTED_VALUE"""),44932.0)</f>
        <v>44932</v>
      </c>
      <c r="E708" s="13">
        <f>IFERROR(__xludf.DUMMYFUNCTION("""COMPUTED_VALUE"""),0.3510069444455439)</f>
        <v>0.3510069444</v>
      </c>
      <c r="F708" s="7" t="str">
        <f>IFERROR(__xludf.DUMMYFUNCTION("""COMPUTED_VALUE"""),"Negative")</f>
        <v>Negative</v>
      </c>
      <c r="G708" s="7">
        <f>IFERROR(__xludf.DUMMYFUNCTION("""COMPUTED_VALUE"""),3.0)</f>
        <v>3</v>
      </c>
    </row>
    <row r="709">
      <c r="A709" s="7" t="str">
        <f>IFERROR(__xludf.DUMMYFUNCTION("""COMPUTED_VALUE"""),"AG1775")</f>
        <v>AG1775</v>
      </c>
      <c r="B709" s="7" t="str">
        <f>IFERROR(__xludf.DUMMYFUNCTION("""COMPUTED_VALUE"""),"RUN-ABRM_2023-01-09_RFR-125")</f>
        <v>RUN-ABRM_2023-01-09_RFR-125</v>
      </c>
      <c r="C709" s="8">
        <f>VLOOKUP(B709,'Run Reconcile'!A$2:B3212,2,FALSE)</f>
        <v>44935</v>
      </c>
      <c r="D709" s="12">
        <f>IFERROR(__xludf.DUMMYFUNCTION("""COMPUTED_VALUE"""),44935.0)</f>
        <v>44935</v>
      </c>
      <c r="E709" s="13">
        <f>IFERROR(__xludf.DUMMYFUNCTION("""COMPUTED_VALUE"""),0.2883449074070086)</f>
        <v>0.2883449074</v>
      </c>
      <c r="F709" s="7" t="str">
        <f>IFERROR(__xludf.DUMMYFUNCTION("""COMPUTED_VALUE"""),"Negative")</f>
        <v>Negative</v>
      </c>
      <c r="G709" s="7">
        <f>IFERROR(__xludf.DUMMYFUNCTION("""COMPUTED_VALUE"""),3.0)</f>
        <v>3</v>
      </c>
    </row>
    <row r="710">
      <c r="A710" s="7" t="str">
        <f>IFERROR(__xludf.DUMMYFUNCTION("""COMPUTED_VALUE"""),"AJ8348")</f>
        <v>AJ8348</v>
      </c>
      <c r="B710" s="7" t="str">
        <f>IFERROR(__xludf.DUMMYFUNCTION("""COMPUTED_VALUE"""),"RUN-ABRM_2023-01-09_RFR-125")</f>
        <v>RUN-ABRM_2023-01-09_RFR-125</v>
      </c>
      <c r="C710" s="8">
        <f>VLOOKUP(B710,'Run Reconcile'!A$2:B3212,2,FALSE)</f>
        <v>44935</v>
      </c>
      <c r="D710" s="12">
        <f>IFERROR(__xludf.DUMMYFUNCTION("""COMPUTED_VALUE"""),44935.0)</f>
        <v>44935</v>
      </c>
      <c r="E710" s="13">
        <f>IFERROR(__xludf.DUMMYFUNCTION("""COMPUTED_VALUE"""),0.2907754629632109)</f>
        <v>0.290775463</v>
      </c>
      <c r="F710" s="7" t="str">
        <f>IFERROR(__xludf.DUMMYFUNCTION("""COMPUTED_VALUE"""),"Negative")</f>
        <v>Negative</v>
      </c>
      <c r="G710" s="7">
        <f>IFERROR(__xludf.DUMMYFUNCTION("""COMPUTED_VALUE"""),3.0)</f>
        <v>3</v>
      </c>
    </row>
    <row r="711">
      <c r="A711" s="7" t="str">
        <f>IFERROR(__xludf.DUMMYFUNCTION("""COMPUTED_VALUE"""),"AJ8099")</f>
        <v>AJ8099</v>
      </c>
      <c r="B711" s="7" t="str">
        <f>IFERROR(__xludf.DUMMYFUNCTION("""COMPUTED_VALUE"""),"RUN-ABRM_2023-01-09_RFR-125")</f>
        <v>RUN-ABRM_2023-01-09_RFR-125</v>
      </c>
      <c r="C711" s="8">
        <f>VLOOKUP(B711,'Run Reconcile'!A$2:B3212,2,FALSE)</f>
        <v>44935</v>
      </c>
      <c r="D711" s="12">
        <f>IFERROR(__xludf.DUMMYFUNCTION("""COMPUTED_VALUE"""),44935.0)</f>
        <v>44935</v>
      </c>
      <c r="E711" s="13">
        <f>IFERROR(__xludf.DUMMYFUNCTION("""COMPUTED_VALUE"""),0.29090277777868323)</f>
        <v>0.2909027778</v>
      </c>
      <c r="F711" s="7" t="str">
        <f>IFERROR(__xludf.DUMMYFUNCTION("""COMPUTED_VALUE"""),"Negative")</f>
        <v>Negative</v>
      </c>
      <c r="G711" s="7">
        <f>IFERROR(__xludf.DUMMYFUNCTION("""COMPUTED_VALUE"""),4.0)</f>
        <v>4</v>
      </c>
    </row>
    <row r="712">
      <c r="A712" s="7" t="str">
        <f>IFERROR(__xludf.DUMMYFUNCTION("""COMPUTED_VALUE"""),"AJ4440")</f>
        <v>AJ4440</v>
      </c>
      <c r="B712" s="7" t="str">
        <f>IFERROR(__xludf.DUMMYFUNCTION("""COMPUTED_VALUE"""),"RUN-ABRM_2023-01-09_RFR-125")</f>
        <v>RUN-ABRM_2023-01-09_RFR-125</v>
      </c>
      <c r="C712" s="8">
        <f>VLOOKUP(B712,'Run Reconcile'!A$2:B3212,2,FALSE)</f>
        <v>44935</v>
      </c>
      <c r="D712" s="12">
        <f>IFERROR(__xludf.DUMMYFUNCTION("""COMPUTED_VALUE"""),44935.0)</f>
        <v>44935</v>
      </c>
      <c r="E712" s="13">
        <f>IFERROR(__xludf.DUMMYFUNCTION("""COMPUTED_VALUE"""),0.32989583333255723)</f>
        <v>0.3298958333</v>
      </c>
      <c r="F712" s="7" t="str">
        <f>IFERROR(__xludf.DUMMYFUNCTION("""COMPUTED_VALUE"""),"Negative")</f>
        <v>Negative</v>
      </c>
      <c r="G712" s="7">
        <f>IFERROR(__xludf.DUMMYFUNCTION("""COMPUTED_VALUE"""),1.0)</f>
        <v>1</v>
      </c>
    </row>
    <row r="713">
      <c r="A713" s="7" t="str">
        <f>IFERROR(__xludf.DUMMYFUNCTION("""COMPUTED_VALUE"""),"AH7580")</f>
        <v>AH7580</v>
      </c>
      <c r="B713" s="7" t="str">
        <f>IFERROR(__xludf.DUMMYFUNCTION("""COMPUTED_VALUE"""),"RUN-ABRM_2023-01-09_RFR-125")</f>
        <v>RUN-ABRM_2023-01-09_RFR-125</v>
      </c>
      <c r="C713" s="8">
        <f>VLOOKUP(B713,'Run Reconcile'!A$2:B3212,2,FALSE)</f>
        <v>44935</v>
      </c>
      <c r="D713" s="12">
        <f>IFERROR(__xludf.DUMMYFUNCTION("""COMPUTED_VALUE"""),44935.0)</f>
        <v>44935</v>
      </c>
      <c r="E713" s="13">
        <f>IFERROR(__xludf.DUMMYFUNCTION("""COMPUTED_VALUE"""),0.33028935185211594)</f>
        <v>0.3302893519</v>
      </c>
      <c r="F713" s="7" t="str">
        <f>IFERROR(__xludf.DUMMYFUNCTION("""COMPUTED_VALUE"""),"Negative")</f>
        <v>Negative</v>
      </c>
      <c r="G713" s="7">
        <f>IFERROR(__xludf.DUMMYFUNCTION("""COMPUTED_VALUE"""),1.0)</f>
        <v>1</v>
      </c>
    </row>
    <row r="714">
      <c r="A714" s="7" t="str">
        <f>IFERROR(__xludf.DUMMYFUNCTION("""COMPUTED_VALUE"""),"AH6861")</f>
        <v>AH6861</v>
      </c>
      <c r="B714" s="7" t="str">
        <f>IFERROR(__xludf.DUMMYFUNCTION("""COMPUTED_VALUE"""),"RUN-ABRM_2023-01-09_RFR-125")</f>
        <v>RUN-ABRM_2023-01-09_RFR-125</v>
      </c>
      <c r="C714" s="8">
        <f>VLOOKUP(B714,'Run Reconcile'!A$2:B3212,2,FALSE)</f>
        <v>44935</v>
      </c>
      <c r="D714" s="12">
        <f>IFERROR(__xludf.DUMMYFUNCTION("""COMPUTED_VALUE"""),44935.0)</f>
        <v>44935</v>
      </c>
      <c r="E714" s="13">
        <f>IFERROR(__xludf.DUMMYFUNCTION("""COMPUTED_VALUE"""),0.33068287037167465)</f>
        <v>0.3306828704</v>
      </c>
      <c r="F714" s="7" t="str">
        <f>IFERROR(__xludf.DUMMYFUNCTION("""COMPUTED_VALUE"""),"Negative")</f>
        <v>Negative</v>
      </c>
      <c r="G714" s="7">
        <f>IFERROR(__xludf.DUMMYFUNCTION("""COMPUTED_VALUE"""),1.0)</f>
        <v>1</v>
      </c>
    </row>
    <row r="715">
      <c r="A715" s="7" t="str">
        <f>IFERROR(__xludf.DUMMYFUNCTION("""COMPUTED_VALUE"""),"AJ8139")</f>
        <v>AJ8139</v>
      </c>
      <c r="B715" s="7" t="str">
        <f>IFERROR(__xludf.DUMMYFUNCTION("""COMPUTED_VALUE"""),"RUN-ABRM_2023-01-09_RFR-125")</f>
        <v>RUN-ABRM_2023-01-09_RFR-125</v>
      </c>
      <c r="C715" s="8">
        <f>VLOOKUP(B715,'Run Reconcile'!A$2:B3212,2,FALSE)</f>
        <v>44935</v>
      </c>
      <c r="D715" s="12">
        <f>IFERROR(__xludf.DUMMYFUNCTION("""COMPUTED_VALUE"""),44935.0)</f>
        <v>44935</v>
      </c>
      <c r="E715" s="13">
        <f>IFERROR(__xludf.DUMMYFUNCTION("""COMPUTED_VALUE"""),0.33104166666817036)</f>
        <v>0.3310416667</v>
      </c>
      <c r="F715" s="7" t="str">
        <f>IFERROR(__xludf.DUMMYFUNCTION("""COMPUTED_VALUE"""),"Negative")</f>
        <v>Negative</v>
      </c>
      <c r="G715" s="7">
        <f>IFERROR(__xludf.DUMMYFUNCTION("""COMPUTED_VALUE"""),1.0)</f>
        <v>1</v>
      </c>
    </row>
    <row r="716">
      <c r="A716" s="7" t="str">
        <f>IFERROR(__xludf.DUMMYFUNCTION("""COMPUTED_VALUE"""),"AG682")</f>
        <v>AG682</v>
      </c>
      <c r="B716" s="7" t="str">
        <f>IFERROR(__xludf.DUMMYFUNCTION("""COMPUTED_VALUE"""),"RUN-ABRM_2023-01-09_RFR-125")</f>
        <v>RUN-ABRM_2023-01-09_RFR-125</v>
      </c>
      <c r="C716" s="8">
        <f>VLOOKUP(B716,'Run Reconcile'!A$2:B3212,2,FALSE)</f>
        <v>44935</v>
      </c>
      <c r="D716" s="12">
        <f>IFERROR(__xludf.DUMMYFUNCTION("""COMPUTED_VALUE"""),44935.0)</f>
        <v>44935</v>
      </c>
      <c r="E716" s="13">
        <f>IFERROR(__xludf.DUMMYFUNCTION("""COMPUTED_VALUE"""),0.3344907407408755)</f>
        <v>0.3344907407</v>
      </c>
      <c r="F716" s="7" t="str">
        <f>IFERROR(__xludf.DUMMYFUNCTION("""COMPUTED_VALUE"""),"Negative")</f>
        <v>Negative</v>
      </c>
      <c r="G716" s="7">
        <f>IFERROR(__xludf.DUMMYFUNCTION("""COMPUTED_VALUE"""),1.0)</f>
        <v>1</v>
      </c>
    </row>
    <row r="717">
      <c r="A717" s="7" t="str">
        <f>IFERROR(__xludf.DUMMYFUNCTION("""COMPUTED_VALUE"""),"AH8270")</f>
        <v>AH8270</v>
      </c>
      <c r="B717" s="7" t="str">
        <f>IFERROR(__xludf.DUMMYFUNCTION("""COMPUTED_VALUE"""),"RUN-ABRM_2023-01-09_RFR-125")</f>
        <v>RUN-ABRM_2023-01-09_RFR-125</v>
      </c>
      <c r="C717" s="8">
        <f>VLOOKUP(B717,'Run Reconcile'!A$2:B3212,2,FALSE)</f>
        <v>44935</v>
      </c>
      <c r="D717" s="12">
        <f>IFERROR(__xludf.DUMMYFUNCTION("""COMPUTED_VALUE"""),44935.0)</f>
        <v>44935</v>
      </c>
      <c r="E717" s="13">
        <f>IFERROR(__xludf.DUMMYFUNCTION("""COMPUTED_VALUE"""),0.41972222222102573)</f>
        <v>0.4197222222</v>
      </c>
      <c r="F717" s="7" t="str">
        <f>IFERROR(__xludf.DUMMYFUNCTION("""COMPUTED_VALUE"""),"Negative")</f>
        <v>Negative</v>
      </c>
      <c r="G717" s="7">
        <f>IFERROR(__xludf.DUMMYFUNCTION("""COMPUTED_VALUE"""),4.0)</f>
        <v>4</v>
      </c>
    </row>
    <row r="718">
      <c r="A718" s="7" t="str">
        <f>IFERROR(__xludf.DUMMYFUNCTION("""COMPUTED_VALUE"""),"AJ9284")</f>
        <v>AJ9284</v>
      </c>
      <c r="B718" s="7" t="str">
        <f>IFERROR(__xludf.DUMMYFUNCTION("""COMPUTED_VALUE"""),"RUN-ABRM_2023-01-10_RFR-126")</f>
        <v>RUN-ABRM_2023-01-10_RFR-126</v>
      </c>
      <c r="C718" s="8">
        <f>VLOOKUP(B718,'Run Reconcile'!A$2:B3212,2,FALSE)</f>
        <v>44936</v>
      </c>
      <c r="D718" s="12">
        <f>IFERROR(__xludf.DUMMYFUNCTION("""COMPUTED_VALUE"""),44936.0)</f>
        <v>44936</v>
      </c>
      <c r="E718" s="13">
        <f>IFERROR(__xludf.DUMMYFUNCTION("""COMPUTED_VALUE"""),0.17231481481576338)</f>
        <v>0.1723148148</v>
      </c>
      <c r="F718" s="7" t="str">
        <f>IFERROR(__xludf.DUMMYFUNCTION("""COMPUTED_VALUE"""),"Negative")</f>
        <v>Negative</v>
      </c>
      <c r="G718" s="7">
        <f>IFERROR(__xludf.DUMMYFUNCTION("""COMPUTED_VALUE"""),2.0)</f>
        <v>2</v>
      </c>
    </row>
    <row r="719">
      <c r="A719" s="7" t="str">
        <f>IFERROR(__xludf.DUMMYFUNCTION("""COMPUTED_VALUE"""),"AH6808")</f>
        <v>AH6808</v>
      </c>
      <c r="B719" s="7" t="str">
        <f>IFERROR(__xludf.DUMMYFUNCTION("""COMPUTED_VALUE"""),"RUN-ABRM_2023-01-10_RFR-126")</f>
        <v>RUN-ABRM_2023-01-10_RFR-126</v>
      </c>
      <c r="C719" s="8">
        <f>VLOOKUP(B719,'Run Reconcile'!A$2:B3212,2,FALSE)</f>
        <v>44936</v>
      </c>
      <c r="D719" s="12">
        <f>IFERROR(__xludf.DUMMYFUNCTION("""COMPUTED_VALUE"""),44936.0)</f>
        <v>44936</v>
      </c>
      <c r="E719" s="13">
        <f>IFERROR(__xludf.DUMMYFUNCTION("""COMPUTED_VALUE"""),0.28581018518525525)</f>
        <v>0.2858101852</v>
      </c>
      <c r="F719" s="7" t="str">
        <f>IFERROR(__xludf.DUMMYFUNCTION("""COMPUTED_VALUE"""),"Negative")</f>
        <v>Negative</v>
      </c>
      <c r="G719" s="7">
        <f>IFERROR(__xludf.DUMMYFUNCTION("""COMPUTED_VALUE"""),3.0)</f>
        <v>3</v>
      </c>
    </row>
    <row r="720">
      <c r="A720" s="7" t="str">
        <f>IFERROR(__xludf.DUMMYFUNCTION("""COMPUTED_VALUE"""),"AJ9424")</f>
        <v>AJ9424</v>
      </c>
      <c r="B720" s="7" t="str">
        <f>IFERROR(__xludf.DUMMYFUNCTION("""COMPUTED_VALUE"""),"RUN-ABRM_2023-01-10_RFR-126")</f>
        <v>RUN-ABRM_2023-01-10_RFR-126</v>
      </c>
      <c r="C720" s="8">
        <f>VLOOKUP(B720,'Run Reconcile'!A$2:B3212,2,FALSE)</f>
        <v>44936</v>
      </c>
      <c r="D720" s="12">
        <f>IFERROR(__xludf.DUMMYFUNCTION("""COMPUTED_VALUE"""),44936.0)</f>
        <v>44936</v>
      </c>
      <c r="E720" s="13">
        <f>IFERROR(__xludf.DUMMYFUNCTION("""COMPUTED_VALUE"""),0.29739583333503106)</f>
        <v>0.2973958333</v>
      </c>
      <c r="F720" s="7" t="str">
        <f>IFERROR(__xludf.DUMMYFUNCTION("""COMPUTED_VALUE"""),"Negative")</f>
        <v>Negative</v>
      </c>
      <c r="G720" s="7">
        <f>IFERROR(__xludf.DUMMYFUNCTION("""COMPUTED_VALUE"""),2.0)</f>
        <v>2</v>
      </c>
    </row>
    <row r="721">
      <c r="A721" s="7" t="str">
        <f>IFERROR(__xludf.DUMMYFUNCTION("""COMPUTED_VALUE"""),"AJ4743")</f>
        <v>AJ4743</v>
      </c>
      <c r="B721" s="7" t="str">
        <f>IFERROR(__xludf.DUMMYFUNCTION("""COMPUTED_VALUE"""),"RUN-ABRM_2023-01-10_RFR-126")</f>
        <v>RUN-ABRM_2023-01-10_RFR-126</v>
      </c>
      <c r="C721" s="8">
        <f>VLOOKUP(B721,'Run Reconcile'!A$2:B3212,2,FALSE)</f>
        <v>44936</v>
      </c>
      <c r="D721" s="12">
        <f>IFERROR(__xludf.DUMMYFUNCTION("""COMPUTED_VALUE"""),44936.0)</f>
        <v>44936</v>
      </c>
      <c r="E721" s="13">
        <f>IFERROR(__xludf.DUMMYFUNCTION("""COMPUTED_VALUE"""),0.33697916666642413)</f>
        <v>0.3369791667</v>
      </c>
      <c r="F721" s="7" t="str">
        <f>IFERROR(__xludf.DUMMYFUNCTION("""COMPUTED_VALUE"""),"Negative")</f>
        <v>Negative</v>
      </c>
      <c r="G721" s="7">
        <f>IFERROR(__xludf.DUMMYFUNCTION("""COMPUTED_VALUE"""),1.0)</f>
        <v>1</v>
      </c>
    </row>
    <row r="722">
      <c r="A722" s="7" t="str">
        <f>IFERROR(__xludf.DUMMYFUNCTION("""COMPUTED_VALUE"""),"AH336")</f>
        <v>AH336</v>
      </c>
      <c r="B722" s="7" t="str">
        <f>IFERROR(__xludf.DUMMYFUNCTION("""COMPUTED_VALUE"""),"RUN-ABRM_2023-01-10_RFR-126")</f>
        <v>RUN-ABRM_2023-01-10_RFR-126</v>
      </c>
      <c r="C722" s="8">
        <f>VLOOKUP(B722,'Run Reconcile'!A$2:B3212,2,FALSE)</f>
        <v>44936</v>
      </c>
      <c r="D722" s="12">
        <f>IFERROR(__xludf.DUMMYFUNCTION("""COMPUTED_VALUE"""),44936.0)</f>
        <v>44936</v>
      </c>
      <c r="E722" s="13">
        <f>IFERROR(__xludf.DUMMYFUNCTION("""COMPUTED_VALUE"""),0.33740740740904585)</f>
        <v>0.3374074074</v>
      </c>
      <c r="F722" s="7" t="str">
        <f>IFERROR(__xludf.DUMMYFUNCTION("""COMPUTED_VALUE"""),"Negative")</f>
        <v>Negative</v>
      </c>
      <c r="G722" s="7">
        <f>IFERROR(__xludf.DUMMYFUNCTION("""COMPUTED_VALUE"""),3.0)</f>
        <v>3</v>
      </c>
    </row>
    <row r="723">
      <c r="A723" s="7" t="str">
        <f>IFERROR(__xludf.DUMMYFUNCTION("""COMPUTED_VALUE"""),"AH8141")</f>
        <v>AH8141</v>
      </c>
      <c r="B723" s="7" t="str">
        <f>IFERROR(__xludf.DUMMYFUNCTION("""COMPUTED_VALUE"""),"RUN-ABRM_2023-01-10_RFR-126")</f>
        <v>RUN-ABRM_2023-01-10_RFR-126</v>
      </c>
      <c r="C723" s="8">
        <f>VLOOKUP(B723,'Run Reconcile'!A$2:B3212,2,FALSE)</f>
        <v>44936</v>
      </c>
      <c r="D723" s="12">
        <f>IFERROR(__xludf.DUMMYFUNCTION("""COMPUTED_VALUE"""),44936.0)</f>
        <v>44936</v>
      </c>
      <c r="E723" s="13">
        <f>IFERROR(__xludf.DUMMYFUNCTION("""COMPUTED_VALUE"""),0.33809027777897427)</f>
        <v>0.3380902778</v>
      </c>
      <c r="F723" s="7" t="str">
        <f>IFERROR(__xludf.DUMMYFUNCTION("""COMPUTED_VALUE"""),"Negative")</f>
        <v>Negative</v>
      </c>
      <c r="G723" s="7">
        <f>IFERROR(__xludf.DUMMYFUNCTION("""COMPUTED_VALUE"""),1.0)</f>
        <v>1</v>
      </c>
    </row>
    <row r="724">
      <c r="A724" s="7" t="str">
        <f>IFERROR(__xludf.DUMMYFUNCTION("""COMPUTED_VALUE"""),"AK7513")</f>
        <v>AK7513</v>
      </c>
      <c r="B724" s="7" t="str">
        <f>IFERROR(__xludf.DUMMYFUNCTION("""COMPUTED_VALUE"""),"RUN-ABRM_2023-01-10_RFR-126")</f>
        <v>RUN-ABRM_2023-01-10_RFR-126</v>
      </c>
      <c r="C724" s="8">
        <f>VLOOKUP(B724,'Run Reconcile'!A$2:B3212,2,FALSE)</f>
        <v>44936</v>
      </c>
      <c r="D724" s="12">
        <f>IFERROR(__xludf.DUMMYFUNCTION("""COMPUTED_VALUE"""),44936.0)</f>
        <v>44936</v>
      </c>
      <c r="E724" s="13">
        <f>IFERROR(__xludf.DUMMYFUNCTION("""COMPUTED_VALUE"""),0.338622685183509)</f>
        <v>0.3386226852</v>
      </c>
      <c r="F724" s="7" t="str">
        <f>IFERROR(__xludf.DUMMYFUNCTION("""COMPUTED_VALUE"""),"Negative")</f>
        <v>Negative</v>
      </c>
      <c r="G724" s="7">
        <f>IFERROR(__xludf.DUMMYFUNCTION("""COMPUTED_VALUE"""),1.0)</f>
        <v>1</v>
      </c>
    </row>
    <row r="725">
      <c r="A725" s="7" t="str">
        <f>IFERROR(__xludf.DUMMYFUNCTION("""COMPUTED_VALUE"""),"AH8478")</f>
        <v>AH8478</v>
      </c>
      <c r="B725" s="7" t="str">
        <f>IFERROR(__xludf.DUMMYFUNCTION("""COMPUTED_VALUE"""),"RUN-ABRM_2023-01-10_RFR-126")</f>
        <v>RUN-ABRM_2023-01-10_RFR-126</v>
      </c>
      <c r="C725" s="8">
        <f>VLOOKUP(B725,'Run Reconcile'!A$2:B3212,2,FALSE)</f>
        <v>44936</v>
      </c>
      <c r="D725" s="12">
        <f>IFERROR(__xludf.DUMMYFUNCTION("""COMPUTED_VALUE"""),44936.0)</f>
        <v>44936</v>
      </c>
      <c r="E725" s="13">
        <f>IFERROR(__xludf.DUMMYFUNCTION("""COMPUTED_VALUE"""),0.3417939814826241)</f>
        <v>0.3417939815</v>
      </c>
      <c r="F725" s="7" t="str">
        <f>IFERROR(__xludf.DUMMYFUNCTION("""COMPUTED_VALUE"""),"Negative")</f>
        <v>Negative</v>
      </c>
      <c r="G725" s="7">
        <f>IFERROR(__xludf.DUMMYFUNCTION("""COMPUTED_VALUE"""),3.0)</f>
        <v>3</v>
      </c>
    </row>
    <row r="726">
      <c r="A726" s="7" t="str">
        <f>IFERROR(__xludf.DUMMYFUNCTION("""COMPUTED_VALUE"""),"AG545")</f>
        <v>AG545</v>
      </c>
      <c r="B726" s="7" t="str">
        <f>IFERROR(__xludf.DUMMYFUNCTION("""COMPUTED_VALUE"""),"RUN-ABRM_2023-01-11_RFR-128")</f>
        <v>RUN-ABRM_2023-01-11_RFR-128</v>
      </c>
      <c r="C726" s="8">
        <f>VLOOKUP(B726,'Run Reconcile'!A$2:B3212,2,FALSE)</f>
        <v>44937</v>
      </c>
      <c r="D726" s="12">
        <f>IFERROR(__xludf.DUMMYFUNCTION("""COMPUTED_VALUE"""),44937.0)</f>
        <v>44937</v>
      </c>
      <c r="E726" s="13">
        <f>IFERROR(__xludf.DUMMYFUNCTION("""COMPUTED_VALUE"""),0.19913194444598048)</f>
        <v>0.1991319444</v>
      </c>
      <c r="F726" s="7" t="str">
        <f>IFERROR(__xludf.DUMMYFUNCTION("""COMPUTED_VALUE"""),"Negative")</f>
        <v>Negative</v>
      </c>
      <c r="G726" s="7">
        <f>IFERROR(__xludf.DUMMYFUNCTION("""COMPUTED_VALUE"""),3.0)</f>
        <v>3</v>
      </c>
    </row>
    <row r="727">
      <c r="A727" s="7" t="str">
        <f>IFERROR(__xludf.DUMMYFUNCTION("""COMPUTED_VALUE"""),"AH361")</f>
        <v>AH361</v>
      </c>
      <c r="B727" s="7" t="str">
        <f>IFERROR(__xludf.DUMMYFUNCTION("""COMPUTED_VALUE"""),"RUN-ABRM_2023-01-11_RFR-128")</f>
        <v>RUN-ABRM_2023-01-11_RFR-128</v>
      </c>
      <c r="C727" s="8">
        <f>VLOOKUP(B727,'Run Reconcile'!A$2:B3212,2,FALSE)</f>
        <v>44937</v>
      </c>
      <c r="D727" s="12">
        <f>IFERROR(__xludf.DUMMYFUNCTION("""COMPUTED_VALUE"""),44937.0)</f>
        <v>44937</v>
      </c>
      <c r="E727" s="13">
        <f>IFERROR(__xludf.DUMMYFUNCTION("""COMPUTED_VALUE"""),0.28696759259401006)</f>
        <v>0.2869675926</v>
      </c>
      <c r="F727" s="7" t="str">
        <f>IFERROR(__xludf.DUMMYFUNCTION("""COMPUTED_VALUE"""),"Negative")</f>
        <v>Negative</v>
      </c>
      <c r="G727" s="7">
        <f>IFERROR(__xludf.DUMMYFUNCTION("""COMPUTED_VALUE"""),3.0)</f>
        <v>3</v>
      </c>
    </row>
    <row r="728">
      <c r="A728" s="7" t="str">
        <f>IFERROR(__xludf.DUMMYFUNCTION("""COMPUTED_VALUE"""),"AJ8280")</f>
        <v>AJ8280</v>
      </c>
      <c r="B728" s="7" t="str">
        <f>IFERROR(__xludf.DUMMYFUNCTION("""COMPUTED_VALUE"""),"RUN-ABRM_2023-01-11_RFR-128")</f>
        <v>RUN-ABRM_2023-01-11_RFR-128</v>
      </c>
      <c r="C728" s="8">
        <f>VLOOKUP(B728,'Run Reconcile'!A$2:B3212,2,FALSE)</f>
        <v>44937</v>
      </c>
      <c r="D728" s="12">
        <f>IFERROR(__xludf.DUMMYFUNCTION("""COMPUTED_VALUE"""),44937.0)</f>
        <v>44937</v>
      </c>
      <c r="E728" s="13">
        <f>IFERROR(__xludf.DUMMYFUNCTION("""COMPUTED_VALUE"""),0.30416666666496894)</f>
        <v>0.3041666667</v>
      </c>
      <c r="F728" s="7" t="str">
        <f>IFERROR(__xludf.DUMMYFUNCTION("""COMPUTED_VALUE"""),"Negative")</f>
        <v>Negative</v>
      </c>
      <c r="G728" s="7">
        <f>IFERROR(__xludf.DUMMYFUNCTION("""COMPUTED_VALUE"""),3.0)</f>
        <v>3</v>
      </c>
    </row>
    <row r="729">
      <c r="A729" s="7" t="str">
        <f>IFERROR(__xludf.DUMMYFUNCTION("""COMPUTED_VALUE"""),"AH7436")</f>
        <v>AH7436</v>
      </c>
      <c r="B729" s="7" t="str">
        <f>IFERROR(__xludf.DUMMYFUNCTION("""COMPUTED_VALUE"""),"RUN-ABRM_2023-01-11_RFR-128")</f>
        <v>RUN-ABRM_2023-01-11_RFR-128</v>
      </c>
      <c r="C729" s="8">
        <f>VLOOKUP(B729,'Run Reconcile'!A$2:B3212,2,FALSE)</f>
        <v>44937</v>
      </c>
      <c r="D729" s="12">
        <f>IFERROR(__xludf.DUMMYFUNCTION("""COMPUTED_VALUE"""),44937.0)</f>
        <v>44937</v>
      </c>
      <c r="E729" s="13">
        <f>IFERROR(__xludf.DUMMYFUNCTION("""COMPUTED_VALUE"""),0.30489583333474)</f>
        <v>0.3048958333</v>
      </c>
      <c r="F729" s="7" t="str">
        <f>IFERROR(__xludf.DUMMYFUNCTION("""COMPUTED_VALUE"""),"Negative")</f>
        <v>Negative</v>
      </c>
      <c r="G729" s="7">
        <f>IFERROR(__xludf.DUMMYFUNCTION("""COMPUTED_VALUE"""),3.0)</f>
        <v>3</v>
      </c>
    </row>
    <row r="730">
      <c r="A730" s="7" t="str">
        <f>IFERROR(__xludf.DUMMYFUNCTION("""COMPUTED_VALUE"""),"AJ9742")</f>
        <v>AJ9742</v>
      </c>
      <c r="B730" s="7" t="str">
        <f>IFERROR(__xludf.DUMMYFUNCTION("""COMPUTED_VALUE"""),"RUN-ABRM_2023-01-11_RFR-128")</f>
        <v>RUN-ABRM_2023-01-11_RFR-128</v>
      </c>
      <c r="C730" s="8">
        <f>VLOOKUP(B730,'Run Reconcile'!A$2:B3212,2,FALSE)</f>
        <v>44937</v>
      </c>
      <c r="D730" s="12">
        <f>IFERROR(__xludf.DUMMYFUNCTION("""COMPUTED_VALUE"""),44937.0)</f>
        <v>44937</v>
      </c>
      <c r="E730" s="13">
        <f>IFERROR(__xludf.DUMMYFUNCTION("""COMPUTED_VALUE"""),0.31462962962905294)</f>
        <v>0.3146296296</v>
      </c>
      <c r="F730" s="7" t="str">
        <f>IFERROR(__xludf.DUMMYFUNCTION("""COMPUTED_VALUE"""),"Negative")</f>
        <v>Negative</v>
      </c>
      <c r="G730" s="7">
        <f>IFERROR(__xludf.DUMMYFUNCTION("""COMPUTED_VALUE"""),1.0)</f>
        <v>1</v>
      </c>
    </row>
    <row r="731">
      <c r="A731" s="7" t="str">
        <f>IFERROR(__xludf.DUMMYFUNCTION("""COMPUTED_VALUE"""),"AH8228")</f>
        <v>AH8228</v>
      </c>
      <c r="B731" s="7" t="str">
        <f>IFERROR(__xludf.DUMMYFUNCTION("""COMPUTED_VALUE"""),"RUN-ABRM_2023-01-11_RFR-128")</f>
        <v>RUN-ABRM_2023-01-11_RFR-128</v>
      </c>
      <c r="C731" s="8">
        <f>VLOOKUP(B731,'Run Reconcile'!A$2:B3212,2,FALSE)</f>
        <v>44937</v>
      </c>
      <c r="D731" s="12">
        <f>IFERROR(__xludf.DUMMYFUNCTION("""COMPUTED_VALUE"""),44937.0)</f>
        <v>44937</v>
      </c>
      <c r="E731" s="13">
        <f>IFERROR(__xludf.DUMMYFUNCTION("""COMPUTED_VALUE"""),0.3231828703719657)</f>
        <v>0.3231828704</v>
      </c>
      <c r="F731" s="7" t="str">
        <f>IFERROR(__xludf.DUMMYFUNCTION("""COMPUTED_VALUE"""),"Negative")</f>
        <v>Negative</v>
      </c>
      <c r="G731" s="7">
        <f>IFERROR(__xludf.DUMMYFUNCTION("""COMPUTED_VALUE"""),2.0)</f>
        <v>2</v>
      </c>
    </row>
    <row r="732">
      <c r="A732" s="7" t="str">
        <f>IFERROR(__xludf.DUMMYFUNCTION("""COMPUTED_VALUE"""),"AH228")</f>
        <v>AH228</v>
      </c>
      <c r="B732" s="7" t="str">
        <f>IFERROR(__xludf.DUMMYFUNCTION("""COMPUTED_VALUE"""),"RUN-ABRM_2023-01-11_RFR-128")</f>
        <v>RUN-ABRM_2023-01-11_RFR-128</v>
      </c>
      <c r="C732" s="8">
        <f>VLOOKUP(B732,'Run Reconcile'!A$2:B3212,2,FALSE)</f>
        <v>44937</v>
      </c>
      <c r="D732" s="12">
        <f>IFERROR(__xludf.DUMMYFUNCTION("""COMPUTED_VALUE"""),44937.0)</f>
        <v>44937</v>
      </c>
      <c r="E732" s="13">
        <f>IFERROR(__xludf.DUMMYFUNCTION("""COMPUTED_VALUE"""),0.32377314814948477)</f>
        <v>0.3237731481</v>
      </c>
      <c r="F732" s="7" t="str">
        <f>IFERROR(__xludf.DUMMYFUNCTION("""COMPUTED_VALUE"""),"Negative")</f>
        <v>Negative</v>
      </c>
      <c r="G732" s="7">
        <f>IFERROR(__xludf.DUMMYFUNCTION("""COMPUTED_VALUE"""),1.0)</f>
        <v>1</v>
      </c>
    </row>
    <row r="733">
      <c r="A733" s="7" t="str">
        <f>IFERROR(__xludf.DUMMYFUNCTION("""COMPUTED_VALUE"""),"AJ9571")</f>
        <v>AJ9571</v>
      </c>
      <c r="B733" s="7" t="str">
        <f>IFERROR(__xludf.DUMMYFUNCTION("""COMPUTED_VALUE"""),"RUN-ABRM_2023-01-11_RFR-128")</f>
        <v>RUN-ABRM_2023-01-11_RFR-128</v>
      </c>
      <c r="C733" s="8">
        <f>VLOOKUP(B733,'Run Reconcile'!A$2:B3212,2,FALSE)</f>
        <v>44937</v>
      </c>
      <c r="D733" s="12">
        <f>IFERROR(__xludf.DUMMYFUNCTION("""COMPUTED_VALUE"""),44937.0)</f>
        <v>44937</v>
      </c>
      <c r="E733" s="13">
        <f>IFERROR(__xludf.DUMMYFUNCTION("""COMPUTED_VALUE"""),0.3273611111108039)</f>
        <v>0.3273611111</v>
      </c>
      <c r="F733" s="7" t="str">
        <f>IFERROR(__xludf.DUMMYFUNCTION("""COMPUTED_VALUE"""),"Negative")</f>
        <v>Negative</v>
      </c>
      <c r="G733" s="7">
        <f>IFERROR(__xludf.DUMMYFUNCTION("""COMPUTED_VALUE"""),1.0)</f>
        <v>1</v>
      </c>
    </row>
    <row r="734">
      <c r="A734" s="7" t="str">
        <f>IFERROR(__xludf.DUMMYFUNCTION("""COMPUTED_VALUE"""),"AG1417")</f>
        <v>AG1417</v>
      </c>
      <c r="B734" s="7" t="str">
        <f>IFERROR(__xludf.DUMMYFUNCTION("""COMPUTED_VALUE"""),"RUN-ABRM_2023-01-12_RFR-129")</f>
        <v>RUN-ABRM_2023-01-12_RFR-129</v>
      </c>
      <c r="C734" s="8">
        <f>VLOOKUP(B734,'Run Reconcile'!A$2:B3212,2,FALSE)</f>
        <v>44938</v>
      </c>
      <c r="D734" s="12">
        <f>IFERROR(__xludf.DUMMYFUNCTION("""COMPUTED_VALUE"""),44938.0)</f>
        <v>44938</v>
      </c>
      <c r="E734" s="13">
        <f>IFERROR(__xludf.DUMMYFUNCTION("""COMPUTED_VALUE"""),0.25288194444510737)</f>
        <v>0.2528819444</v>
      </c>
      <c r="F734" s="7" t="str">
        <f>IFERROR(__xludf.DUMMYFUNCTION("""COMPUTED_VALUE"""),"Inconclusive")</f>
        <v>Inconclusive</v>
      </c>
      <c r="G734" s="7">
        <f>IFERROR(__xludf.DUMMYFUNCTION("""COMPUTED_VALUE"""),3.0)</f>
        <v>3</v>
      </c>
    </row>
    <row r="735">
      <c r="A735" s="7" t="str">
        <f>IFERROR(__xludf.DUMMYFUNCTION("""COMPUTED_VALUE"""),"AH7373")</f>
        <v>AH7373</v>
      </c>
      <c r="B735" s="7" t="str">
        <f>IFERROR(__xludf.DUMMYFUNCTION("""COMPUTED_VALUE"""),"RUN-ABRM_2023-01-12_RFR-129")</f>
        <v>RUN-ABRM_2023-01-12_RFR-129</v>
      </c>
      <c r="C735" s="8">
        <f>VLOOKUP(B735,'Run Reconcile'!A$2:B3212,2,FALSE)</f>
        <v>44938</v>
      </c>
      <c r="D735" s="12">
        <f>IFERROR(__xludf.DUMMYFUNCTION("""COMPUTED_VALUE"""),44938.0)</f>
        <v>44938</v>
      </c>
      <c r="E735" s="13">
        <f>IFERROR(__xludf.DUMMYFUNCTION("""COMPUTED_VALUE"""),0.2885069444455439)</f>
        <v>0.2885069444</v>
      </c>
      <c r="F735" s="7" t="str">
        <f>IFERROR(__xludf.DUMMYFUNCTION("""COMPUTED_VALUE"""),"Negative")</f>
        <v>Negative</v>
      </c>
      <c r="G735" s="7">
        <f>IFERROR(__xludf.DUMMYFUNCTION("""COMPUTED_VALUE"""),2.0)</f>
        <v>2</v>
      </c>
    </row>
    <row r="736">
      <c r="A736" s="7" t="str">
        <f>IFERROR(__xludf.DUMMYFUNCTION("""COMPUTED_VALUE"""),"AK6580")</f>
        <v>AK6580</v>
      </c>
      <c r="B736" s="7" t="str">
        <f>IFERROR(__xludf.DUMMYFUNCTION("""COMPUTED_VALUE"""),"RUN-ABRM_2023-01-12_RFR-129")</f>
        <v>RUN-ABRM_2023-01-12_RFR-129</v>
      </c>
      <c r="C736" s="8">
        <f>VLOOKUP(B736,'Run Reconcile'!A$2:B3212,2,FALSE)</f>
        <v>44938</v>
      </c>
      <c r="D736" s="12">
        <f>IFERROR(__xludf.DUMMYFUNCTION("""COMPUTED_VALUE"""),44938.0)</f>
        <v>44938</v>
      </c>
      <c r="E736" s="13">
        <f>IFERROR(__xludf.DUMMYFUNCTION("""COMPUTED_VALUE"""),0.2887731481496303)</f>
        <v>0.2887731481</v>
      </c>
      <c r="F736" s="7" t="str">
        <f>IFERROR(__xludf.DUMMYFUNCTION("""COMPUTED_VALUE"""),"Negative")</f>
        <v>Negative</v>
      </c>
      <c r="G736" s="7">
        <f>IFERROR(__xludf.DUMMYFUNCTION("""COMPUTED_VALUE"""),1.0)</f>
        <v>1</v>
      </c>
    </row>
    <row r="737">
      <c r="A737" s="7" t="str">
        <f>IFERROR(__xludf.DUMMYFUNCTION("""COMPUTED_VALUE"""),"AJ9815")</f>
        <v>AJ9815</v>
      </c>
      <c r="B737" s="7" t="str">
        <f>IFERROR(__xludf.DUMMYFUNCTION("""COMPUTED_VALUE"""),"RUN-ABRM_2023-01-12_RFR-129")</f>
        <v>RUN-ABRM_2023-01-12_RFR-129</v>
      </c>
      <c r="C737" s="8">
        <f>VLOOKUP(B737,'Run Reconcile'!A$2:B3212,2,FALSE)</f>
        <v>44938</v>
      </c>
      <c r="D737" s="12">
        <f>IFERROR(__xludf.DUMMYFUNCTION("""COMPUTED_VALUE"""),44938.0)</f>
        <v>44938</v>
      </c>
      <c r="E737" s="13">
        <f>IFERROR(__xludf.DUMMYFUNCTION("""COMPUTED_VALUE"""),0.2954282407408755)</f>
        <v>0.2954282407</v>
      </c>
      <c r="F737" s="7" t="str">
        <f>IFERROR(__xludf.DUMMYFUNCTION("""COMPUTED_VALUE"""),"Negative")</f>
        <v>Negative</v>
      </c>
      <c r="G737" s="7">
        <f>IFERROR(__xludf.DUMMYFUNCTION("""COMPUTED_VALUE"""),1.0)</f>
        <v>1</v>
      </c>
    </row>
    <row r="738">
      <c r="A738" s="7" t="str">
        <f>IFERROR(__xludf.DUMMYFUNCTION("""COMPUTED_VALUE"""),"AJ8732")</f>
        <v>AJ8732</v>
      </c>
      <c r="B738" s="7" t="str">
        <f>IFERROR(__xludf.DUMMYFUNCTION("""COMPUTED_VALUE"""),"RUN-ABRM_2023-01-13_RFR-131")</f>
        <v>RUN-ABRM_2023-01-13_RFR-131</v>
      </c>
      <c r="C738" s="8">
        <f>VLOOKUP(B738,'Run Reconcile'!A$2:B3212,2,FALSE)</f>
        <v>44939</v>
      </c>
      <c r="D738" s="12">
        <f>IFERROR(__xludf.DUMMYFUNCTION("""COMPUTED_VALUE"""),44939.0)</f>
        <v>44939</v>
      </c>
      <c r="E738" s="13">
        <f>IFERROR(__xludf.DUMMYFUNCTION("""COMPUTED_VALUE"""),0.17259259259299142)</f>
        <v>0.1725925926</v>
      </c>
      <c r="F738" s="7" t="str">
        <f>IFERROR(__xludf.DUMMYFUNCTION("""COMPUTED_VALUE"""),"Negative")</f>
        <v>Negative</v>
      </c>
      <c r="G738" s="7">
        <f>IFERROR(__xludf.DUMMYFUNCTION("""COMPUTED_VALUE"""),2.0)</f>
        <v>2</v>
      </c>
    </row>
    <row r="739">
      <c r="A739" s="7" t="str">
        <f>IFERROR(__xludf.DUMMYFUNCTION("""COMPUTED_VALUE"""),"AJ5243")</f>
        <v>AJ5243</v>
      </c>
      <c r="B739" s="7" t="str">
        <f>IFERROR(__xludf.DUMMYFUNCTION("""COMPUTED_VALUE"""),"RUN-ABRM_2023-01-13_RFR-131")</f>
        <v>RUN-ABRM_2023-01-13_RFR-131</v>
      </c>
      <c r="C739" s="8">
        <f>VLOOKUP(B739,'Run Reconcile'!A$2:B3212,2,FALSE)</f>
        <v>44939</v>
      </c>
      <c r="D739" s="12">
        <f>IFERROR(__xludf.DUMMYFUNCTION("""COMPUTED_VALUE"""),44939.0)</f>
        <v>44939</v>
      </c>
      <c r="E739" s="13">
        <f>IFERROR(__xludf.DUMMYFUNCTION("""COMPUTED_VALUE"""),0.21670138889021473)</f>
        <v>0.2167013889</v>
      </c>
      <c r="F739" s="7" t="str">
        <f>IFERROR(__xludf.DUMMYFUNCTION("""COMPUTED_VALUE"""),"Negative")</f>
        <v>Negative</v>
      </c>
      <c r="G739" s="7">
        <f>IFERROR(__xludf.DUMMYFUNCTION("""COMPUTED_VALUE"""),3.0)</f>
        <v>3</v>
      </c>
    </row>
    <row r="740">
      <c r="A740" s="7" t="str">
        <f>IFERROR(__xludf.DUMMYFUNCTION("""COMPUTED_VALUE"""),"AJ8059")</f>
        <v>AJ8059</v>
      </c>
      <c r="B740" s="7" t="str">
        <f>IFERROR(__xludf.DUMMYFUNCTION("""COMPUTED_VALUE"""),"RUN-ABRM_2023-01-13_RFR-131")</f>
        <v>RUN-ABRM_2023-01-13_RFR-131</v>
      </c>
      <c r="C740" s="8">
        <f>VLOOKUP(B740,'Run Reconcile'!A$2:B3212,2,FALSE)</f>
        <v>44939</v>
      </c>
      <c r="D740" s="12">
        <f>IFERROR(__xludf.DUMMYFUNCTION("""COMPUTED_VALUE"""),44939.0)</f>
        <v>44939</v>
      </c>
      <c r="E740" s="13">
        <f>IFERROR(__xludf.DUMMYFUNCTION("""COMPUTED_VALUE"""),0.24020833333270275)</f>
        <v>0.2402083333</v>
      </c>
      <c r="F740" s="7" t="str">
        <f>IFERROR(__xludf.DUMMYFUNCTION("""COMPUTED_VALUE"""),"Negative")</f>
        <v>Negative</v>
      </c>
      <c r="G740" s="7">
        <f>IFERROR(__xludf.DUMMYFUNCTION("""COMPUTED_VALUE"""),3.0)</f>
        <v>3</v>
      </c>
    </row>
    <row r="741">
      <c r="A741" s="7" t="str">
        <f>IFERROR(__xludf.DUMMYFUNCTION("""COMPUTED_VALUE"""),"AG1403")</f>
        <v>AG1403</v>
      </c>
      <c r="B741" s="7" t="str">
        <f>IFERROR(__xludf.DUMMYFUNCTION("""COMPUTED_VALUE"""),"RUN-ABRM_2023-01-13_RFR-131")</f>
        <v>RUN-ABRM_2023-01-13_RFR-131</v>
      </c>
      <c r="C741" s="8">
        <f>VLOOKUP(B741,'Run Reconcile'!A$2:B3212,2,FALSE)</f>
        <v>44939</v>
      </c>
      <c r="D741" s="12">
        <f>IFERROR(__xludf.DUMMYFUNCTION("""COMPUTED_VALUE"""),44939.0)</f>
        <v>44939</v>
      </c>
      <c r="E741" s="13">
        <f>IFERROR(__xludf.DUMMYFUNCTION("""COMPUTED_VALUE"""),0.3002083333340124)</f>
        <v>0.3002083333</v>
      </c>
      <c r="F741" s="7" t="str">
        <f>IFERROR(__xludf.DUMMYFUNCTION("""COMPUTED_VALUE"""),"Negative")</f>
        <v>Negative</v>
      </c>
      <c r="G741" s="7">
        <f>IFERROR(__xludf.DUMMYFUNCTION("""COMPUTED_VALUE"""),3.0)</f>
        <v>3</v>
      </c>
    </row>
    <row r="742">
      <c r="A742" s="7" t="str">
        <f>IFERROR(__xludf.DUMMYFUNCTION("""COMPUTED_VALUE"""),"AG1625")</f>
        <v>AG1625</v>
      </c>
      <c r="B742" s="7" t="str">
        <f>IFERROR(__xludf.DUMMYFUNCTION("""COMPUTED_VALUE"""),"RUN-ABRM_2023-01-13_RFR-131")</f>
        <v>RUN-ABRM_2023-01-13_RFR-131</v>
      </c>
      <c r="C742" s="8">
        <f>VLOOKUP(B742,'Run Reconcile'!A$2:B3212,2,FALSE)</f>
        <v>44939</v>
      </c>
      <c r="D742" s="12">
        <f>IFERROR(__xludf.DUMMYFUNCTION("""COMPUTED_VALUE"""),44939.0)</f>
        <v>44939</v>
      </c>
      <c r="E742" s="13">
        <f>IFERROR(__xludf.DUMMYFUNCTION("""COMPUTED_VALUE"""),0.32319444444510737)</f>
        <v>0.3231944444</v>
      </c>
      <c r="F742" s="7" t="str">
        <f>IFERROR(__xludf.DUMMYFUNCTION("""COMPUTED_VALUE"""),"Inconclusive")</f>
        <v>Inconclusive</v>
      </c>
      <c r="G742" s="7">
        <f>IFERROR(__xludf.DUMMYFUNCTION("""COMPUTED_VALUE"""),1.0)</f>
        <v>1</v>
      </c>
    </row>
    <row r="743">
      <c r="A743" s="7" t="str">
        <f>IFERROR(__xludf.DUMMYFUNCTION("""COMPUTED_VALUE"""),"AH223")</f>
        <v>AH223</v>
      </c>
      <c r="B743" s="7" t="str">
        <f>IFERROR(__xludf.DUMMYFUNCTION("""COMPUTED_VALUE"""),"RUN-ABRM_2023-01-13_RFR-131")</f>
        <v>RUN-ABRM_2023-01-13_RFR-131</v>
      </c>
      <c r="C743" s="8">
        <f>VLOOKUP(B743,'Run Reconcile'!A$2:B3212,2,FALSE)</f>
        <v>44939</v>
      </c>
      <c r="D743" s="12">
        <f>IFERROR(__xludf.DUMMYFUNCTION("""COMPUTED_VALUE"""),44939.0)</f>
        <v>44939</v>
      </c>
      <c r="E743" s="13">
        <f>IFERROR(__xludf.DUMMYFUNCTION("""COMPUTED_VALUE"""),0.3293634259243845)</f>
        <v>0.3293634259</v>
      </c>
      <c r="F743" s="7" t="str">
        <f>IFERROR(__xludf.DUMMYFUNCTION("""COMPUTED_VALUE"""),"Negative")</f>
        <v>Negative</v>
      </c>
      <c r="G743" s="7">
        <f>IFERROR(__xludf.DUMMYFUNCTION("""COMPUTED_VALUE"""),1.0)</f>
        <v>1</v>
      </c>
    </row>
    <row r="744">
      <c r="A744" s="7" t="str">
        <f>IFERROR(__xludf.DUMMYFUNCTION("""COMPUTED_VALUE"""),"AJ9132")</f>
        <v>AJ9132</v>
      </c>
      <c r="B744" s="7" t="str">
        <f>IFERROR(__xludf.DUMMYFUNCTION("""COMPUTED_VALUE"""),"RUN-ABRM_2023-01-13_RFR-131")</f>
        <v>RUN-ABRM_2023-01-13_RFR-131</v>
      </c>
      <c r="C744" s="8">
        <f>VLOOKUP(B744,'Run Reconcile'!A$2:B3212,2,FALSE)</f>
        <v>44939</v>
      </c>
      <c r="D744" s="12">
        <f>IFERROR(__xludf.DUMMYFUNCTION("""COMPUTED_VALUE"""),44939.0)</f>
        <v>44939</v>
      </c>
      <c r="E744" s="13">
        <f>IFERROR(__xludf.DUMMYFUNCTION("""COMPUTED_VALUE"""),0.3317939814805868)</f>
        <v>0.3317939815</v>
      </c>
      <c r="F744" s="7" t="str">
        <f>IFERROR(__xludf.DUMMYFUNCTION("""COMPUTED_VALUE"""),"Negative")</f>
        <v>Negative</v>
      </c>
      <c r="G744" s="7">
        <f>IFERROR(__xludf.DUMMYFUNCTION("""COMPUTED_VALUE"""),2.0)</f>
        <v>2</v>
      </c>
    </row>
    <row r="745">
      <c r="A745" s="7" t="str">
        <f>IFERROR(__xludf.DUMMYFUNCTION("""COMPUTED_VALUE"""),"AH567")</f>
        <v>AH567</v>
      </c>
      <c r="B745" s="7" t="str">
        <f>IFERROR(__xludf.DUMMYFUNCTION("""COMPUTED_VALUE"""),"RUN-ABRM_2023-01-13_RFR-131")</f>
        <v>RUN-ABRM_2023-01-13_RFR-131</v>
      </c>
      <c r="C745" s="8">
        <f>VLOOKUP(B745,'Run Reconcile'!A$2:B3212,2,FALSE)</f>
        <v>44939</v>
      </c>
      <c r="D745" s="12">
        <f>IFERROR(__xludf.DUMMYFUNCTION("""COMPUTED_VALUE"""),44939.0)</f>
        <v>44939</v>
      </c>
      <c r="E745" s="13">
        <f>IFERROR(__xludf.DUMMYFUNCTION("""COMPUTED_VALUE"""),0.3323842592581059)</f>
        <v>0.3323842593</v>
      </c>
      <c r="F745" s="7" t="str">
        <f>IFERROR(__xludf.DUMMYFUNCTION("""COMPUTED_VALUE"""),"Negative")</f>
        <v>Negative</v>
      </c>
      <c r="G745" s="7">
        <f>IFERROR(__xludf.DUMMYFUNCTION("""COMPUTED_VALUE"""),1.0)</f>
        <v>1</v>
      </c>
    </row>
    <row r="746">
      <c r="A746" s="7" t="str">
        <f>IFERROR(__xludf.DUMMYFUNCTION("""COMPUTED_VALUE"""),"AJ8645")</f>
        <v>AJ8645</v>
      </c>
      <c r="B746" s="7" t="str">
        <f>IFERROR(__xludf.DUMMYFUNCTION("""COMPUTED_VALUE"""),"RUN-ABRM_2023-01-13_RFR-131")</f>
        <v>RUN-ABRM_2023-01-13_RFR-131</v>
      </c>
      <c r="C746" s="8">
        <f>VLOOKUP(B746,'Run Reconcile'!A$2:B3212,2,FALSE)</f>
        <v>44939</v>
      </c>
      <c r="D746" s="12">
        <f>IFERROR(__xludf.DUMMYFUNCTION("""COMPUTED_VALUE"""),44939.0)</f>
        <v>44939</v>
      </c>
      <c r="E746" s="13">
        <f>IFERROR(__xludf.DUMMYFUNCTION("""COMPUTED_VALUE"""),0.34464120370466844)</f>
        <v>0.3446412037</v>
      </c>
      <c r="F746" s="7" t="str">
        <f>IFERROR(__xludf.DUMMYFUNCTION("""COMPUTED_VALUE"""),"Negative")</f>
        <v>Negative</v>
      </c>
      <c r="G746" s="7">
        <f>IFERROR(__xludf.DUMMYFUNCTION("""COMPUTED_VALUE"""),4.0)</f>
        <v>4</v>
      </c>
    </row>
    <row r="747">
      <c r="A747" s="7" t="str">
        <f>IFERROR(__xludf.DUMMYFUNCTION("""COMPUTED_VALUE"""),"AG1742")</f>
        <v>AG1742</v>
      </c>
      <c r="B747" s="7" t="str">
        <f>IFERROR(__xludf.DUMMYFUNCTION("""COMPUTED_VALUE"""),"RUN-ABRM_2023-01-13_RFR-131")</f>
        <v>RUN-ABRM_2023-01-13_RFR-131</v>
      </c>
      <c r="C747" s="8">
        <f>VLOOKUP(B747,'Run Reconcile'!A$2:B3212,2,FALSE)</f>
        <v>44939</v>
      </c>
      <c r="D747" s="12">
        <f>IFERROR(__xludf.DUMMYFUNCTION("""COMPUTED_VALUE"""),44939.0)</f>
        <v>44939</v>
      </c>
      <c r="E747" s="13">
        <f>IFERROR(__xludf.DUMMYFUNCTION("""COMPUTED_VALUE"""),0.4055208333338669)</f>
        <v>0.4055208333</v>
      </c>
      <c r="F747" s="7" t="str">
        <f>IFERROR(__xludf.DUMMYFUNCTION("""COMPUTED_VALUE"""),"Negative")</f>
        <v>Negative</v>
      </c>
      <c r="G747" s="7">
        <f>IFERROR(__xludf.DUMMYFUNCTION("""COMPUTED_VALUE"""),1.0)</f>
        <v>1</v>
      </c>
    </row>
    <row r="748">
      <c r="A748" s="7" t="str">
        <f>IFERROR(__xludf.DUMMYFUNCTION("""COMPUTED_VALUE"""),"AH6911")</f>
        <v>AH6911</v>
      </c>
      <c r="B748" s="7" t="str">
        <f>IFERROR(__xludf.DUMMYFUNCTION("""COMPUTED_VALUE"""),"RUN-ABRM_2023-01-16_RFR-133")</f>
        <v>RUN-ABRM_2023-01-16_RFR-133</v>
      </c>
      <c r="C748" s="8">
        <f>VLOOKUP(B748,'Run Reconcile'!A$2:B3212,2,FALSE)</f>
        <v>44942</v>
      </c>
      <c r="D748" s="12">
        <f>IFERROR(__xludf.DUMMYFUNCTION("""COMPUTED_VALUE"""),44942.0)</f>
        <v>44942</v>
      </c>
      <c r="E748" s="13">
        <f>IFERROR(__xludf.DUMMYFUNCTION("""COMPUTED_VALUE"""),0.21008101851839456)</f>
        <v>0.2100810185</v>
      </c>
      <c r="F748" s="7" t="str">
        <f>IFERROR(__xludf.DUMMYFUNCTION("""COMPUTED_VALUE"""),"Negative")</f>
        <v>Negative</v>
      </c>
      <c r="G748" s="7">
        <f>IFERROR(__xludf.DUMMYFUNCTION("""COMPUTED_VALUE"""),2.0)</f>
        <v>2</v>
      </c>
    </row>
    <row r="749">
      <c r="A749" s="7" t="str">
        <f>IFERROR(__xludf.DUMMYFUNCTION("""COMPUTED_VALUE"""),"AH1387")</f>
        <v>AH1387</v>
      </c>
      <c r="B749" s="7" t="str">
        <f>IFERROR(__xludf.DUMMYFUNCTION("""COMPUTED_VALUE"""),"RUN-ABRM_2023-01-16_RFR-133")</f>
        <v>RUN-ABRM_2023-01-16_RFR-133</v>
      </c>
      <c r="C749" s="8">
        <f>VLOOKUP(B749,'Run Reconcile'!A$2:B3212,2,FALSE)</f>
        <v>44942</v>
      </c>
      <c r="D749" s="12">
        <f>IFERROR(__xludf.DUMMYFUNCTION("""COMPUTED_VALUE"""),44942.0)</f>
        <v>44942</v>
      </c>
      <c r="E749" s="13">
        <f>IFERROR(__xludf.DUMMYFUNCTION("""COMPUTED_VALUE"""),0.23803240740744513)</f>
        <v>0.2380324074</v>
      </c>
      <c r="F749" s="7" t="str">
        <f>IFERROR(__xludf.DUMMYFUNCTION("""COMPUTED_VALUE"""),"Negative")</f>
        <v>Negative</v>
      </c>
      <c r="G749" s="7">
        <f>IFERROR(__xludf.DUMMYFUNCTION("""COMPUTED_VALUE"""),3.0)</f>
        <v>3</v>
      </c>
    </row>
    <row r="750">
      <c r="A750" s="7" t="str">
        <f>IFERROR(__xludf.DUMMYFUNCTION("""COMPUTED_VALUE"""),"AJ7923")</f>
        <v>AJ7923</v>
      </c>
      <c r="B750" s="7" t="str">
        <f>IFERROR(__xludf.DUMMYFUNCTION("""COMPUTED_VALUE"""),"RUN-ABRM_2023-01-16_RFR-133")</f>
        <v>RUN-ABRM_2023-01-16_RFR-133</v>
      </c>
      <c r="C750" s="8">
        <f>VLOOKUP(B750,'Run Reconcile'!A$2:B3212,2,FALSE)</f>
        <v>44942</v>
      </c>
      <c r="D750" s="12">
        <f>IFERROR(__xludf.DUMMYFUNCTION("""COMPUTED_VALUE"""),44942.0)</f>
        <v>44942</v>
      </c>
      <c r="E750" s="13">
        <f>IFERROR(__xludf.DUMMYFUNCTION("""COMPUTED_VALUE"""),0.28954861111196806)</f>
        <v>0.2895486111</v>
      </c>
      <c r="F750" s="7" t="str">
        <f>IFERROR(__xludf.DUMMYFUNCTION("""COMPUTED_VALUE"""),"Negative")</f>
        <v>Negative</v>
      </c>
      <c r="G750" s="7">
        <f>IFERROR(__xludf.DUMMYFUNCTION("""COMPUTED_VALUE"""),3.0)</f>
        <v>3</v>
      </c>
    </row>
    <row r="751">
      <c r="A751" s="7" t="str">
        <f>IFERROR(__xludf.DUMMYFUNCTION("""COMPUTED_VALUE"""),"AK6704")</f>
        <v>AK6704</v>
      </c>
      <c r="B751" s="7" t="str">
        <f>IFERROR(__xludf.DUMMYFUNCTION("""COMPUTED_VALUE"""),"RUN-ABRM_2023-01-16_RFR-133")</f>
        <v>RUN-ABRM_2023-01-16_RFR-133</v>
      </c>
      <c r="C751" s="8">
        <f>VLOOKUP(B751,'Run Reconcile'!A$2:B3212,2,FALSE)</f>
        <v>44942</v>
      </c>
      <c r="D751" s="12">
        <f>IFERROR(__xludf.DUMMYFUNCTION("""COMPUTED_VALUE"""),44942.0)</f>
        <v>44942</v>
      </c>
      <c r="E751" s="13">
        <f>IFERROR(__xludf.DUMMYFUNCTION("""COMPUTED_VALUE"""),0.29620370370321325)</f>
        <v>0.2962037037</v>
      </c>
      <c r="F751" s="7" t="str">
        <f>IFERROR(__xludf.DUMMYFUNCTION("""COMPUTED_VALUE"""),"Negative")</f>
        <v>Negative</v>
      </c>
      <c r="G751" s="7">
        <f>IFERROR(__xludf.DUMMYFUNCTION("""COMPUTED_VALUE"""),3.0)</f>
        <v>3</v>
      </c>
    </row>
    <row r="752">
      <c r="A752" s="7" t="str">
        <f>IFERROR(__xludf.DUMMYFUNCTION("""COMPUTED_VALUE"""),"AK5490")</f>
        <v>AK5490</v>
      </c>
      <c r="B752" s="7" t="str">
        <f>IFERROR(__xludf.DUMMYFUNCTION("""COMPUTED_VALUE"""),"RUN-ABRM_2023-01-16_RFR-133")</f>
        <v>RUN-ABRM_2023-01-16_RFR-133</v>
      </c>
      <c r="C752" s="8">
        <f>VLOOKUP(B752,'Run Reconcile'!A$2:B3212,2,FALSE)</f>
        <v>44942</v>
      </c>
      <c r="D752" s="12">
        <f>IFERROR(__xludf.DUMMYFUNCTION("""COMPUTED_VALUE"""),44942.0)</f>
        <v>44942</v>
      </c>
      <c r="E752" s="13">
        <f>IFERROR(__xludf.DUMMYFUNCTION("""COMPUTED_VALUE"""),0.30787037036861875)</f>
        <v>0.3078703704</v>
      </c>
      <c r="F752" s="7" t="str">
        <f>IFERROR(__xludf.DUMMYFUNCTION("""COMPUTED_VALUE"""),"Negative")</f>
        <v>Negative</v>
      </c>
      <c r="G752" s="7">
        <f>IFERROR(__xludf.DUMMYFUNCTION("""COMPUTED_VALUE"""),1.0)</f>
        <v>1</v>
      </c>
    </row>
    <row r="753">
      <c r="A753" s="7" t="str">
        <f>IFERROR(__xludf.DUMMYFUNCTION("""COMPUTED_VALUE"""),"AH7347")</f>
        <v>AH7347</v>
      </c>
      <c r="B753" s="7" t="str">
        <f>IFERROR(__xludf.DUMMYFUNCTION("""COMPUTED_VALUE"""),"RUN-ABRM_2023-01-16_RFR-133")</f>
        <v>RUN-ABRM_2023-01-16_RFR-133</v>
      </c>
      <c r="C753" s="8">
        <f>VLOOKUP(B753,'Run Reconcile'!A$2:B3212,2,FALSE)</f>
        <v>44942</v>
      </c>
      <c r="D753" s="12">
        <f>IFERROR(__xludf.DUMMYFUNCTION("""COMPUTED_VALUE"""),44942.0)</f>
        <v>44942</v>
      </c>
      <c r="E753" s="13">
        <f>IFERROR(__xludf.DUMMYFUNCTION("""COMPUTED_VALUE"""),0.31672453703868086)</f>
        <v>0.316724537</v>
      </c>
      <c r="F753" s="7" t="str">
        <f>IFERROR(__xludf.DUMMYFUNCTION("""COMPUTED_VALUE"""),"Negative")</f>
        <v>Negative</v>
      </c>
      <c r="G753" s="7">
        <f>IFERROR(__xludf.DUMMYFUNCTION("""COMPUTED_VALUE"""),3.0)</f>
        <v>3</v>
      </c>
    </row>
    <row r="754">
      <c r="A754" s="7" t="str">
        <f>IFERROR(__xludf.DUMMYFUNCTION("""COMPUTED_VALUE"""),"AH967")</f>
        <v>AH967</v>
      </c>
      <c r="B754" s="7" t="str">
        <f>IFERROR(__xludf.DUMMYFUNCTION("""COMPUTED_VALUE"""),"RUN-ABRM_2023-01-16_RFR-133")</f>
        <v>RUN-ABRM_2023-01-16_RFR-133</v>
      </c>
      <c r="C754" s="8">
        <f>VLOOKUP(B754,'Run Reconcile'!A$2:B3212,2,FALSE)</f>
        <v>44942</v>
      </c>
      <c r="D754" s="12">
        <f>IFERROR(__xludf.DUMMYFUNCTION("""COMPUTED_VALUE"""),44942.0)</f>
        <v>44942</v>
      </c>
      <c r="E754" s="13">
        <f>IFERROR(__xludf.DUMMYFUNCTION("""COMPUTED_VALUE"""),0.3352199074070086)</f>
        <v>0.3352199074</v>
      </c>
      <c r="F754" s="7" t="str">
        <f>IFERROR(__xludf.DUMMYFUNCTION("""COMPUTED_VALUE"""),"Negative")</f>
        <v>Negative</v>
      </c>
      <c r="G754" s="7">
        <f>IFERROR(__xludf.DUMMYFUNCTION("""COMPUTED_VALUE"""),1.0)</f>
        <v>1</v>
      </c>
    </row>
    <row r="755">
      <c r="A755" s="7" t="str">
        <f>IFERROR(__xludf.DUMMYFUNCTION("""COMPUTED_VALUE"""),"AJ9599")</f>
        <v>AJ9599</v>
      </c>
      <c r="B755" s="7" t="str">
        <f>IFERROR(__xludf.DUMMYFUNCTION("""COMPUTED_VALUE"""),"RUN-ABRM_2023-01-16_RFR-133")</f>
        <v>RUN-ABRM_2023-01-16_RFR-133</v>
      </c>
      <c r="C755" s="8">
        <f>VLOOKUP(B755,'Run Reconcile'!A$2:B3212,2,FALSE)</f>
        <v>44942</v>
      </c>
      <c r="D755" s="12">
        <f>IFERROR(__xludf.DUMMYFUNCTION("""COMPUTED_VALUE"""),44942.0)</f>
        <v>44942</v>
      </c>
      <c r="E755" s="13">
        <f>IFERROR(__xludf.DUMMYFUNCTION("""COMPUTED_VALUE"""),0.3362962962964957)</f>
        <v>0.3362962963</v>
      </c>
      <c r="F755" s="7" t="str">
        <f>IFERROR(__xludf.DUMMYFUNCTION("""COMPUTED_VALUE"""),"Negative")</f>
        <v>Negative</v>
      </c>
      <c r="G755" s="7">
        <f>IFERROR(__xludf.DUMMYFUNCTION("""COMPUTED_VALUE"""),1.0)</f>
        <v>1</v>
      </c>
    </row>
    <row r="756">
      <c r="A756" s="7" t="str">
        <f>IFERROR(__xludf.DUMMYFUNCTION("""COMPUTED_VALUE"""),"AJ8123")</f>
        <v>AJ8123</v>
      </c>
      <c r="B756" s="7" t="str">
        <f>IFERROR(__xludf.DUMMYFUNCTION("""COMPUTED_VALUE"""),"RUN-ABRM_2023-01-16_RFR-133")</f>
        <v>RUN-ABRM_2023-01-16_RFR-133</v>
      </c>
      <c r="C756" s="8">
        <f>VLOOKUP(B756,'Run Reconcile'!A$2:B3212,2,FALSE)</f>
        <v>44942</v>
      </c>
      <c r="D756" s="12">
        <f>IFERROR(__xludf.DUMMYFUNCTION("""COMPUTED_VALUE"""),44942.0)</f>
        <v>44942</v>
      </c>
      <c r="E756" s="13">
        <f>IFERROR(__xludf.DUMMYFUNCTION("""COMPUTED_VALUE"""),0.3381828703713836)</f>
        <v>0.3381828704</v>
      </c>
      <c r="F756" s="7" t="str">
        <f>IFERROR(__xludf.DUMMYFUNCTION("""COMPUTED_VALUE"""),"Negative")</f>
        <v>Negative</v>
      </c>
      <c r="G756" s="7">
        <f>IFERROR(__xludf.DUMMYFUNCTION("""COMPUTED_VALUE"""),1.0)</f>
        <v>1</v>
      </c>
    </row>
    <row r="757">
      <c r="A757" s="7" t="str">
        <f>IFERROR(__xludf.DUMMYFUNCTION("""COMPUTED_VALUE"""),"AH347")</f>
        <v>AH347</v>
      </c>
      <c r="B757" s="7" t="str">
        <f>IFERROR(__xludf.DUMMYFUNCTION("""COMPUTED_VALUE"""),"RUN-ABRM_2023-01-17_RFR-135")</f>
        <v>RUN-ABRM_2023-01-17_RFR-135</v>
      </c>
      <c r="C757" s="8">
        <f>VLOOKUP(B757,'Run Reconcile'!A$2:B3212,2,FALSE)</f>
        <v>44943</v>
      </c>
      <c r="D757" s="12">
        <f>IFERROR(__xludf.DUMMYFUNCTION("""COMPUTED_VALUE"""),44943.0)</f>
        <v>44943</v>
      </c>
      <c r="E757" s="13">
        <f>IFERROR(__xludf.DUMMYFUNCTION("""COMPUTED_VALUE"""),0.21421296296466608)</f>
        <v>0.214212963</v>
      </c>
      <c r="F757" s="7" t="str">
        <f>IFERROR(__xludf.DUMMYFUNCTION("""COMPUTED_VALUE"""),"Negative")</f>
        <v>Negative</v>
      </c>
      <c r="G757" s="7">
        <f>IFERROR(__xludf.DUMMYFUNCTION("""COMPUTED_VALUE"""),3.0)</f>
        <v>3</v>
      </c>
    </row>
    <row r="758">
      <c r="A758" s="7" t="str">
        <f>IFERROR(__xludf.DUMMYFUNCTION("""COMPUTED_VALUE"""),"AK6818")</f>
        <v>AK6818</v>
      </c>
      <c r="B758" s="7" t="str">
        <f>IFERROR(__xludf.DUMMYFUNCTION("""COMPUTED_VALUE"""),"RUN-ABRM_2023-01-17_RFR-135")</f>
        <v>RUN-ABRM_2023-01-17_RFR-135</v>
      </c>
      <c r="C758" s="8">
        <f>VLOOKUP(B758,'Run Reconcile'!A$2:B3212,2,FALSE)</f>
        <v>44943</v>
      </c>
      <c r="D758" s="12">
        <f>IFERROR(__xludf.DUMMYFUNCTION("""COMPUTED_VALUE"""),44943.0)</f>
        <v>44943</v>
      </c>
      <c r="E758" s="13">
        <f>IFERROR(__xludf.DUMMYFUNCTION("""COMPUTED_VALUE"""),0.289131944446126)</f>
        <v>0.2891319444</v>
      </c>
      <c r="F758" s="7" t="str">
        <f>IFERROR(__xludf.DUMMYFUNCTION("""COMPUTED_VALUE"""),"Negative")</f>
        <v>Negative</v>
      </c>
      <c r="G758" s="7">
        <f>IFERROR(__xludf.DUMMYFUNCTION("""COMPUTED_VALUE"""),4.0)</f>
        <v>4</v>
      </c>
    </row>
    <row r="759">
      <c r="A759" s="7" t="str">
        <f>IFERROR(__xludf.DUMMYFUNCTION("""COMPUTED_VALUE"""),"AJ8415")</f>
        <v>AJ8415</v>
      </c>
      <c r="B759" s="7" t="str">
        <f>IFERROR(__xludf.DUMMYFUNCTION("""COMPUTED_VALUE"""),"RUN-ABRM_2023-01-17_RFR-135")</f>
        <v>RUN-ABRM_2023-01-17_RFR-135</v>
      </c>
      <c r="C759" s="8">
        <f>VLOOKUP(B759,'Run Reconcile'!A$2:B3212,2,FALSE)</f>
        <v>44943</v>
      </c>
      <c r="D759" s="12">
        <f>IFERROR(__xludf.DUMMYFUNCTION("""COMPUTED_VALUE"""),44943.0)</f>
        <v>44943</v>
      </c>
      <c r="E759" s="13">
        <f>IFERROR(__xludf.DUMMYFUNCTION("""COMPUTED_VALUE"""),0.296770833334449)</f>
        <v>0.2967708333</v>
      </c>
      <c r="F759" s="7" t="str">
        <f>IFERROR(__xludf.DUMMYFUNCTION("""COMPUTED_VALUE"""),"Negative")</f>
        <v>Negative</v>
      </c>
      <c r="G759" s="7">
        <f>IFERROR(__xludf.DUMMYFUNCTION("""COMPUTED_VALUE"""),3.0)</f>
        <v>3</v>
      </c>
    </row>
    <row r="760">
      <c r="A760" s="7" t="str">
        <f>IFERROR(__xludf.DUMMYFUNCTION("""COMPUTED_VALUE"""),"AJ7877")</f>
        <v>AJ7877</v>
      </c>
      <c r="B760" s="7" t="str">
        <f>IFERROR(__xludf.DUMMYFUNCTION("""COMPUTED_VALUE"""),"RUN-ABRM_2023-01-17_RFR-135")</f>
        <v>RUN-ABRM_2023-01-17_RFR-135</v>
      </c>
      <c r="C760" s="8">
        <f>VLOOKUP(B760,'Run Reconcile'!A$2:B3212,2,FALSE)</f>
        <v>44943</v>
      </c>
      <c r="D760" s="12">
        <f>IFERROR(__xludf.DUMMYFUNCTION("""COMPUTED_VALUE"""),44943.0)</f>
        <v>44943</v>
      </c>
      <c r="E760" s="13">
        <f>IFERROR(__xludf.DUMMYFUNCTION("""COMPUTED_VALUE"""),0.3053703703699284)</f>
        <v>0.3053703704</v>
      </c>
      <c r="F760" s="7" t="str">
        <f>IFERROR(__xludf.DUMMYFUNCTION("""COMPUTED_VALUE"""),"Negative")</f>
        <v>Negative</v>
      </c>
      <c r="G760" s="7">
        <f>IFERROR(__xludf.DUMMYFUNCTION("""COMPUTED_VALUE"""),1.0)</f>
        <v>1</v>
      </c>
    </row>
    <row r="761">
      <c r="A761" s="7" t="str">
        <f>IFERROR(__xludf.DUMMYFUNCTION("""COMPUTED_VALUE"""),"AH7647")</f>
        <v>AH7647</v>
      </c>
      <c r="B761" s="7" t="str">
        <f>IFERROR(__xludf.DUMMYFUNCTION("""COMPUTED_VALUE"""),"RUN-ABRM_2023-01-17_RFR-135")</f>
        <v>RUN-ABRM_2023-01-17_RFR-135</v>
      </c>
      <c r="C761" s="8">
        <f>VLOOKUP(B761,'Run Reconcile'!A$2:B3212,2,FALSE)</f>
        <v>44943</v>
      </c>
      <c r="D761" s="12">
        <f>IFERROR(__xludf.DUMMYFUNCTION("""COMPUTED_VALUE"""),44943.0)</f>
        <v>44943</v>
      </c>
      <c r="E761" s="13">
        <f>IFERROR(__xludf.DUMMYFUNCTION("""COMPUTED_VALUE"""),0.3111921296294895)</f>
        <v>0.3111921296</v>
      </c>
      <c r="F761" s="7" t="str">
        <f>IFERROR(__xludf.DUMMYFUNCTION("""COMPUTED_VALUE"""),"Negative")</f>
        <v>Negative</v>
      </c>
      <c r="G761" s="7">
        <f>IFERROR(__xludf.DUMMYFUNCTION("""COMPUTED_VALUE"""),1.0)</f>
        <v>1</v>
      </c>
    </row>
    <row r="762">
      <c r="A762" s="7" t="str">
        <f>IFERROR(__xludf.DUMMYFUNCTION("""COMPUTED_VALUE"""),"AH6960")</f>
        <v>AH6960</v>
      </c>
      <c r="B762" s="7" t="str">
        <f>IFERROR(__xludf.DUMMYFUNCTION("""COMPUTED_VALUE"""),"RUN-ABRM_2023-01-17_RFR-135")</f>
        <v>RUN-ABRM_2023-01-17_RFR-135</v>
      </c>
      <c r="C762" s="8">
        <f>VLOOKUP(B762,'Run Reconcile'!A$2:B3212,2,FALSE)</f>
        <v>44943</v>
      </c>
      <c r="D762" s="12">
        <f>IFERROR(__xludf.DUMMYFUNCTION("""COMPUTED_VALUE"""),44943.0)</f>
        <v>44943</v>
      </c>
      <c r="E762" s="13">
        <f>IFERROR(__xludf.DUMMYFUNCTION("""COMPUTED_VALUE"""),0.31165509259153623)</f>
        <v>0.3116550926</v>
      </c>
      <c r="F762" s="7" t="str">
        <f>IFERROR(__xludf.DUMMYFUNCTION("""COMPUTED_VALUE"""),"Negative")</f>
        <v>Negative</v>
      </c>
      <c r="G762" s="7">
        <f>IFERROR(__xludf.DUMMYFUNCTION("""COMPUTED_VALUE"""),2.0)</f>
        <v>2</v>
      </c>
    </row>
    <row r="763">
      <c r="A763" s="7" t="str">
        <f>IFERROR(__xludf.DUMMYFUNCTION("""COMPUTED_VALUE"""),"AG1049")</f>
        <v>AG1049</v>
      </c>
      <c r="B763" s="7" t="str">
        <f>IFERROR(__xludf.DUMMYFUNCTION("""COMPUTED_VALUE"""),"RUN-ABRM_2023-01-17_RFR-135")</f>
        <v>RUN-ABRM_2023-01-17_RFR-135</v>
      </c>
      <c r="C763" s="8">
        <f>VLOOKUP(B763,'Run Reconcile'!A$2:B3212,2,FALSE)</f>
        <v>44943</v>
      </c>
      <c r="D763" s="12">
        <f>IFERROR(__xludf.DUMMYFUNCTION("""COMPUTED_VALUE"""),44943.0)</f>
        <v>44943</v>
      </c>
      <c r="E763" s="13">
        <f>IFERROR(__xludf.DUMMYFUNCTION("""COMPUTED_VALUE"""),0.3261226851864194)</f>
        <v>0.3261226852</v>
      </c>
      <c r="F763" s="7" t="str">
        <f>IFERROR(__xludf.DUMMYFUNCTION("""COMPUTED_VALUE"""),"Negative")</f>
        <v>Negative</v>
      </c>
      <c r="G763" s="7">
        <f>IFERROR(__xludf.DUMMYFUNCTION("""COMPUTED_VALUE"""),1.0)</f>
        <v>1</v>
      </c>
    </row>
    <row r="764">
      <c r="A764" s="7" t="str">
        <f>IFERROR(__xludf.DUMMYFUNCTION("""COMPUTED_VALUE"""),"AJ9753")</f>
        <v>AJ9753</v>
      </c>
      <c r="B764" s="7" t="str">
        <f>IFERROR(__xludf.DUMMYFUNCTION("""COMPUTED_VALUE"""),"RUN-ABRM_2023-01-17_RFR-135")</f>
        <v>RUN-ABRM_2023-01-17_RFR-135</v>
      </c>
      <c r="C764" s="8">
        <f>VLOOKUP(B764,'Run Reconcile'!A$2:B3212,2,FALSE)</f>
        <v>44943</v>
      </c>
      <c r="D764" s="12">
        <f>IFERROR(__xludf.DUMMYFUNCTION("""COMPUTED_VALUE"""),44943.0)</f>
        <v>44943</v>
      </c>
      <c r="E764" s="13">
        <f>IFERROR(__xludf.DUMMYFUNCTION("""COMPUTED_VALUE"""),0.33628472222335404)</f>
        <v>0.3362847222</v>
      </c>
      <c r="F764" s="7" t="str">
        <f>IFERROR(__xludf.DUMMYFUNCTION("""COMPUTED_VALUE"""),"Negative")</f>
        <v>Negative</v>
      </c>
      <c r="G764" s="7">
        <f>IFERROR(__xludf.DUMMYFUNCTION("""COMPUTED_VALUE"""),1.0)</f>
        <v>1</v>
      </c>
    </row>
    <row r="765">
      <c r="A765" s="7" t="str">
        <f>IFERROR(__xludf.DUMMYFUNCTION("""COMPUTED_VALUE"""),"AJ9272")</f>
        <v>AJ9272</v>
      </c>
      <c r="B765" s="7" t="str">
        <f>IFERROR(__xludf.DUMMYFUNCTION("""COMPUTED_VALUE"""),"RUN-ABRM_2023-01-17_RFR-135")</f>
        <v>RUN-ABRM_2023-01-17_RFR-135</v>
      </c>
      <c r="C765" s="8">
        <f>VLOOKUP(B765,'Run Reconcile'!A$2:B3212,2,FALSE)</f>
        <v>44943</v>
      </c>
      <c r="D765" s="12">
        <f>IFERROR(__xludf.DUMMYFUNCTION("""COMPUTED_VALUE"""),44943.0)</f>
        <v>44943</v>
      </c>
      <c r="E765" s="13">
        <f>IFERROR(__xludf.DUMMYFUNCTION("""COMPUTED_VALUE"""),0.3365972222236451)</f>
        <v>0.3365972222</v>
      </c>
      <c r="F765" s="7" t="str">
        <f>IFERROR(__xludf.DUMMYFUNCTION("""COMPUTED_VALUE"""),"Negative")</f>
        <v>Negative</v>
      </c>
      <c r="G765" s="7">
        <f>IFERROR(__xludf.DUMMYFUNCTION("""COMPUTED_VALUE"""),1.0)</f>
        <v>1</v>
      </c>
    </row>
    <row r="766">
      <c r="A766" s="7" t="str">
        <f>IFERROR(__xludf.DUMMYFUNCTION("""COMPUTED_VALUE"""),"AJ9885")</f>
        <v>AJ9885</v>
      </c>
      <c r="B766" s="7" t="str">
        <f>IFERROR(__xludf.DUMMYFUNCTION("""COMPUTED_VALUE"""),"RUN-ABRM_2023-01-17_RFR-135")</f>
        <v>RUN-ABRM_2023-01-17_RFR-135</v>
      </c>
      <c r="C766" s="8">
        <f>VLOOKUP(B766,'Run Reconcile'!A$2:B3212,2,FALSE)</f>
        <v>44943</v>
      </c>
      <c r="D766" s="12">
        <f>IFERROR(__xludf.DUMMYFUNCTION("""COMPUTED_VALUE"""),44943.0)</f>
        <v>44943</v>
      </c>
      <c r="E766" s="13">
        <f>IFERROR(__xludf.DUMMYFUNCTION("""COMPUTED_VALUE"""),0.34903935185138835)</f>
        <v>0.3490393519</v>
      </c>
      <c r="F766" s="7" t="str">
        <f>IFERROR(__xludf.DUMMYFUNCTION("""COMPUTED_VALUE"""),"Negative")</f>
        <v>Negative</v>
      </c>
      <c r="G766" s="7">
        <f>IFERROR(__xludf.DUMMYFUNCTION("""COMPUTED_VALUE"""),3.0)</f>
        <v>3</v>
      </c>
    </row>
    <row r="767">
      <c r="A767" s="7" t="str">
        <f>IFERROR(__xludf.DUMMYFUNCTION("""COMPUTED_VALUE"""),"AJ7174")</f>
        <v>AJ7174</v>
      </c>
      <c r="B767" s="7" t="str">
        <f>IFERROR(__xludf.DUMMYFUNCTION("""COMPUTED_VALUE"""),"RUN-ABRM_2023-01-18_RFR-136")</f>
        <v>RUN-ABRM_2023-01-18_RFR-136</v>
      </c>
      <c r="C767" s="8">
        <f>VLOOKUP(B767,'Run Reconcile'!A$2:B3212,2,FALSE)</f>
        <v>44944</v>
      </c>
      <c r="D767" s="12">
        <f>IFERROR(__xludf.DUMMYFUNCTION("""COMPUTED_VALUE"""),44944.0)</f>
        <v>44944</v>
      </c>
      <c r="E767" s="13">
        <f>IFERROR(__xludf.DUMMYFUNCTION("""COMPUTED_VALUE"""),0.2127199074056989)</f>
        <v>0.2127199074</v>
      </c>
      <c r="F767" s="7" t="str">
        <f>IFERROR(__xludf.DUMMYFUNCTION("""COMPUTED_VALUE"""),"Negative")</f>
        <v>Negative</v>
      </c>
      <c r="G767" s="7">
        <f>IFERROR(__xludf.DUMMYFUNCTION("""COMPUTED_VALUE"""),3.0)</f>
        <v>3</v>
      </c>
    </row>
    <row r="768">
      <c r="A768" s="7" t="str">
        <f>IFERROR(__xludf.DUMMYFUNCTION("""COMPUTED_VALUE"""),"AG358")</f>
        <v>AG358</v>
      </c>
      <c r="B768" s="7" t="str">
        <f>IFERROR(__xludf.DUMMYFUNCTION("""COMPUTED_VALUE"""),"RUN-ABRM_2023-01-18_RFR-136")</f>
        <v>RUN-ABRM_2023-01-18_RFR-136</v>
      </c>
      <c r="C768" s="8">
        <f>VLOOKUP(B768,'Run Reconcile'!A$2:B3212,2,FALSE)</f>
        <v>44944</v>
      </c>
      <c r="D768" s="12">
        <f>IFERROR(__xludf.DUMMYFUNCTION("""COMPUTED_VALUE"""),44944.0)</f>
        <v>44944</v>
      </c>
      <c r="E768" s="13">
        <f>IFERROR(__xludf.DUMMYFUNCTION("""COMPUTED_VALUE"""),0.2813310185192677)</f>
        <v>0.2813310185</v>
      </c>
      <c r="F768" s="7" t="str">
        <f>IFERROR(__xludf.DUMMYFUNCTION("""COMPUTED_VALUE"""),"Negative")</f>
        <v>Negative</v>
      </c>
      <c r="G768" s="7">
        <f>IFERROR(__xludf.DUMMYFUNCTION("""COMPUTED_VALUE"""),3.0)</f>
        <v>3</v>
      </c>
    </row>
    <row r="769">
      <c r="A769" s="7" t="str">
        <f>IFERROR(__xludf.DUMMYFUNCTION("""COMPUTED_VALUE"""),"AH685")</f>
        <v>AH685</v>
      </c>
      <c r="B769" s="7" t="str">
        <f>IFERROR(__xludf.DUMMYFUNCTION("""COMPUTED_VALUE"""),"RUN-ABRM_2023-01-18_RFR-136")</f>
        <v>RUN-ABRM_2023-01-18_RFR-136</v>
      </c>
      <c r="C769" s="8">
        <f>VLOOKUP(B769,'Run Reconcile'!A$2:B3212,2,FALSE)</f>
        <v>44944</v>
      </c>
      <c r="D769" s="12">
        <f>IFERROR(__xludf.DUMMYFUNCTION("""COMPUTED_VALUE"""),44944.0)</f>
        <v>44944</v>
      </c>
      <c r="E769" s="13">
        <f>IFERROR(__xludf.DUMMYFUNCTION("""COMPUTED_VALUE"""),0.3209606481468654)</f>
        <v>0.3209606481</v>
      </c>
      <c r="F769" s="7" t="str">
        <f>IFERROR(__xludf.DUMMYFUNCTION("""COMPUTED_VALUE"""),"Negative")</f>
        <v>Negative</v>
      </c>
      <c r="G769" s="7">
        <f>IFERROR(__xludf.DUMMYFUNCTION("""COMPUTED_VALUE"""),2.0)</f>
        <v>2</v>
      </c>
    </row>
    <row r="770">
      <c r="A770" s="7" t="str">
        <f>IFERROR(__xludf.DUMMYFUNCTION("""COMPUTED_VALUE"""),"AJ8814")</f>
        <v>AJ8814</v>
      </c>
      <c r="B770" s="7" t="str">
        <f>IFERROR(__xludf.DUMMYFUNCTION("""COMPUTED_VALUE"""),"RUN-ABRM_2023-01-18_RFR-136")</f>
        <v>RUN-ABRM_2023-01-18_RFR-136</v>
      </c>
      <c r="C770" s="8">
        <f>VLOOKUP(B770,'Run Reconcile'!A$2:B3212,2,FALSE)</f>
        <v>44944</v>
      </c>
      <c r="D770" s="12">
        <f>IFERROR(__xludf.DUMMYFUNCTION("""COMPUTED_VALUE"""),44944.0)</f>
        <v>44944</v>
      </c>
      <c r="E770" s="13">
        <f>IFERROR(__xludf.DUMMYFUNCTION("""COMPUTED_VALUE"""),0.3212847222239361)</f>
        <v>0.3212847222</v>
      </c>
      <c r="F770" s="7" t="str">
        <f>IFERROR(__xludf.DUMMYFUNCTION("""COMPUTED_VALUE"""),"Negative")</f>
        <v>Negative</v>
      </c>
      <c r="G770" s="7">
        <f>IFERROR(__xludf.DUMMYFUNCTION("""COMPUTED_VALUE"""),1.0)</f>
        <v>1</v>
      </c>
    </row>
    <row r="771">
      <c r="A771" s="7" t="str">
        <f>IFERROR(__xludf.DUMMYFUNCTION("""COMPUTED_VALUE"""),"AJ8999")</f>
        <v>AJ8999</v>
      </c>
      <c r="B771" s="7" t="str">
        <f>IFERROR(__xludf.DUMMYFUNCTION("""COMPUTED_VALUE"""),"RUN-ABRM_2023-01-18_RFR-136")</f>
        <v>RUN-ABRM_2023-01-18_RFR-136</v>
      </c>
      <c r="C771" s="8">
        <f>VLOOKUP(B771,'Run Reconcile'!A$2:B3212,2,FALSE)</f>
        <v>44944</v>
      </c>
      <c r="D771" s="12">
        <f>IFERROR(__xludf.DUMMYFUNCTION("""COMPUTED_VALUE"""),44944.0)</f>
        <v>44944</v>
      </c>
      <c r="E771" s="13">
        <f>IFERROR(__xludf.DUMMYFUNCTION("""COMPUTED_VALUE"""),0.3339004629633564)</f>
        <v>0.333900463</v>
      </c>
      <c r="F771" s="7" t="str">
        <f>IFERROR(__xludf.DUMMYFUNCTION("""COMPUTED_VALUE"""),"Negative")</f>
        <v>Negative</v>
      </c>
      <c r="G771" s="7">
        <f>IFERROR(__xludf.DUMMYFUNCTION("""COMPUTED_VALUE"""),4.0)</f>
        <v>4</v>
      </c>
    </row>
    <row r="772">
      <c r="A772" s="7" t="str">
        <f>IFERROR(__xludf.DUMMYFUNCTION("""COMPUTED_VALUE"""),"AH7090")</f>
        <v>AH7090</v>
      </c>
      <c r="B772" s="7" t="str">
        <f>IFERROR(__xludf.DUMMYFUNCTION("""COMPUTED_VALUE"""),"RUN-ABRM_2023-01-18_RFR-136")</f>
        <v>RUN-ABRM_2023-01-18_RFR-136</v>
      </c>
      <c r="C772" s="8">
        <f>VLOOKUP(B772,'Run Reconcile'!A$2:B3212,2,FALSE)</f>
        <v>44944</v>
      </c>
      <c r="D772" s="12">
        <f>IFERROR(__xludf.DUMMYFUNCTION("""COMPUTED_VALUE"""),44944.0)</f>
        <v>44944</v>
      </c>
      <c r="E772" s="13">
        <f>IFERROR(__xludf.DUMMYFUNCTION("""COMPUTED_VALUE"""),0.34344907407285064)</f>
        <v>0.3434490741</v>
      </c>
      <c r="F772" s="7" t="str">
        <f>IFERROR(__xludf.DUMMYFUNCTION("""COMPUTED_VALUE"""),"Negative")</f>
        <v>Negative</v>
      </c>
      <c r="G772" s="7">
        <f>IFERROR(__xludf.DUMMYFUNCTION("""COMPUTED_VALUE"""),4.0)</f>
        <v>4</v>
      </c>
    </row>
    <row r="773">
      <c r="A773" s="7" t="str">
        <f>IFERROR(__xludf.DUMMYFUNCTION("""COMPUTED_VALUE"""),"AJ8145")</f>
        <v>AJ8145</v>
      </c>
      <c r="B773" s="7" t="str">
        <f>IFERROR(__xludf.DUMMYFUNCTION("""COMPUTED_VALUE"""),"RUN-ABRM_2023-01-19_RFR-137")</f>
        <v>RUN-ABRM_2023-01-19_RFR-137</v>
      </c>
      <c r="C773" s="8">
        <f>VLOOKUP(B773,'Run Reconcile'!A$2:B3212,2,FALSE)</f>
        <v>44945</v>
      </c>
      <c r="D773" s="12">
        <f>IFERROR(__xludf.DUMMYFUNCTION("""COMPUTED_VALUE"""),44945.0)</f>
        <v>44945</v>
      </c>
      <c r="E773" s="13">
        <f>IFERROR(__xludf.DUMMYFUNCTION("""COMPUTED_VALUE"""),0.28351851851766696)</f>
        <v>0.2835185185</v>
      </c>
      <c r="F773" s="7" t="str">
        <f>IFERROR(__xludf.DUMMYFUNCTION("""COMPUTED_VALUE"""),"Negative")</f>
        <v>Negative</v>
      </c>
      <c r="G773" s="7">
        <f>IFERROR(__xludf.DUMMYFUNCTION("""COMPUTED_VALUE"""),4.0)</f>
        <v>4</v>
      </c>
    </row>
    <row r="774">
      <c r="A774" s="7" t="str">
        <f>IFERROR(__xludf.DUMMYFUNCTION("""COMPUTED_VALUE"""),"AJ7954")</f>
        <v>AJ7954</v>
      </c>
      <c r="B774" s="7" t="str">
        <f>IFERROR(__xludf.DUMMYFUNCTION("""COMPUTED_VALUE"""),"RUN-ABRM_2023-01-19_RFR-137")</f>
        <v>RUN-ABRM_2023-01-19_RFR-137</v>
      </c>
      <c r="C774" s="8">
        <f>VLOOKUP(B774,'Run Reconcile'!A$2:B3212,2,FALSE)</f>
        <v>44945</v>
      </c>
      <c r="D774" s="12">
        <f>IFERROR(__xludf.DUMMYFUNCTION("""COMPUTED_VALUE"""),44945.0)</f>
        <v>44945</v>
      </c>
      <c r="E774" s="13">
        <f>IFERROR(__xludf.DUMMYFUNCTION("""COMPUTED_VALUE"""),0.2868402777785377)</f>
        <v>0.2868402778</v>
      </c>
      <c r="F774" s="7" t="str">
        <f>IFERROR(__xludf.DUMMYFUNCTION("""COMPUTED_VALUE"""),"Negative")</f>
        <v>Negative</v>
      </c>
      <c r="G774" s="7">
        <f>IFERROR(__xludf.DUMMYFUNCTION("""COMPUTED_VALUE"""),3.0)</f>
        <v>3</v>
      </c>
    </row>
    <row r="775">
      <c r="A775" s="7" t="str">
        <f>IFERROR(__xludf.DUMMYFUNCTION("""COMPUTED_VALUE"""),"AH610")</f>
        <v>AH610</v>
      </c>
      <c r="B775" s="7" t="str">
        <f>IFERROR(__xludf.DUMMYFUNCTION("""COMPUTED_VALUE"""),"RUN-ABRM_2023-01-19_RFR-137")</f>
        <v>RUN-ABRM_2023-01-19_RFR-137</v>
      </c>
      <c r="C775" s="8">
        <f>VLOOKUP(B775,'Run Reconcile'!A$2:B3212,2,FALSE)</f>
        <v>44945</v>
      </c>
      <c r="D775" s="12">
        <f>IFERROR(__xludf.DUMMYFUNCTION("""COMPUTED_VALUE"""),44945.0)</f>
        <v>44945</v>
      </c>
      <c r="E775" s="13">
        <f>IFERROR(__xludf.DUMMYFUNCTION("""COMPUTED_VALUE"""),0.288958333334449)</f>
        <v>0.2889583333</v>
      </c>
      <c r="F775" s="7" t="str">
        <f>IFERROR(__xludf.DUMMYFUNCTION("""COMPUTED_VALUE"""),"Negative")</f>
        <v>Negative</v>
      </c>
      <c r="G775" s="7">
        <f>IFERROR(__xludf.DUMMYFUNCTION("""COMPUTED_VALUE"""),3.0)</f>
        <v>3</v>
      </c>
    </row>
    <row r="776">
      <c r="A776" s="7" t="str">
        <f>IFERROR(__xludf.DUMMYFUNCTION("""COMPUTED_VALUE"""),"AK6579")</f>
        <v>AK6579</v>
      </c>
      <c r="B776" s="7" t="str">
        <f>IFERROR(__xludf.DUMMYFUNCTION("""COMPUTED_VALUE"""),"RUN-ABRM_2023-01-19_RFR-137")</f>
        <v>RUN-ABRM_2023-01-19_RFR-137</v>
      </c>
      <c r="C776" s="8">
        <f>VLOOKUP(B776,'Run Reconcile'!A$2:B3212,2,FALSE)</f>
        <v>44945</v>
      </c>
      <c r="D776" s="12">
        <f>IFERROR(__xludf.DUMMYFUNCTION("""COMPUTED_VALUE"""),44945.0)</f>
        <v>44945</v>
      </c>
      <c r="E776" s="13">
        <f>IFERROR(__xludf.DUMMYFUNCTION("""COMPUTED_VALUE"""),0.31931712962978054)</f>
        <v>0.3193171296</v>
      </c>
      <c r="F776" s="7" t="str">
        <f>IFERROR(__xludf.DUMMYFUNCTION("""COMPUTED_VALUE"""),"Negative")</f>
        <v>Negative</v>
      </c>
      <c r="G776" s="7">
        <f>IFERROR(__xludf.DUMMYFUNCTION("""COMPUTED_VALUE"""),1.0)</f>
        <v>1</v>
      </c>
    </row>
    <row r="777">
      <c r="A777" s="7" t="str">
        <f>IFERROR(__xludf.DUMMYFUNCTION("""COMPUTED_VALUE"""),"AJ7501")</f>
        <v>AJ7501</v>
      </c>
      <c r="B777" s="7" t="str">
        <f>IFERROR(__xludf.DUMMYFUNCTION("""COMPUTED_VALUE"""),"RUN-ABRM_2023-01-19_RFR-137")</f>
        <v>RUN-ABRM_2023-01-19_RFR-137</v>
      </c>
      <c r="C777" s="8">
        <f>VLOOKUP(B777,'Run Reconcile'!A$2:B3212,2,FALSE)</f>
        <v>44945</v>
      </c>
      <c r="D777" s="12">
        <f>IFERROR(__xludf.DUMMYFUNCTION("""COMPUTED_VALUE"""),44945.0)</f>
        <v>44945</v>
      </c>
      <c r="E777" s="13">
        <f>IFERROR(__xludf.DUMMYFUNCTION("""COMPUTED_VALUE"""),0.32004629629591363)</f>
        <v>0.3200462963</v>
      </c>
      <c r="F777" s="7" t="str">
        <f>IFERROR(__xludf.DUMMYFUNCTION("""COMPUTED_VALUE"""),"Negative")</f>
        <v>Negative</v>
      </c>
      <c r="G777" s="7">
        <f>IFERROR(__xludf.DUMMYFUNCTION("""COMPUTED_VALUE"""),2.0)</f>
        <v>2</v>
      </c>
    </row>
    <row r="778">
      <c r="A778" s="7" t="str">
        <f>IFERROR(__xludf.DUMMYFUNCTION("""COMPUTED_VALUE"""),"AK6398")</f>
        <v>AK6398</v>
      </c>
      <c r="B778" s="7" t="str">
        <f>IFERROR(__xludf.DUMMYFUNCTION("""COMPUTED_VALUE"""),"RUN-ABRM_2023-01-19_RFR-137")</f>
        <v>RUN-ABRM_2023-01-19_RFR-137</v>
      </c>
      <c r="C778" s="8">
        <f>VLOOKUP(B778,'Run Reconcile'!A$2:B3212,2,FALSE)</f>
        <v>44945</v>
      </c>
      <c r="D778" s="12">
        <f>IFERROR(__xludf.DUMMYFUNCTION("""COMPUTED_VALUE"""),44945.0)</f>
        <v>44945</v>
      </c>
      <c r="E778" s="13">
        <f>IFERROR(__xludf.DUMMYFUNCTION("""COMPUTED_VALUE"""),0.320416666665551)</f>
        <v>0.3204166667</v>
      </c>
      <c r="F778" s="7" t="str">
        <f>IFERROR(__xludf.DUMMYFUNCTION("""COMPUTED_VALUE"""),"Negative")</f>
        <v>Negative</v>
      </c>
      <c r="G778" s="7">
        <f>IFERROR(__xludf.DUMMYFUNCTION("""COMPUTED_VALUE"""),1.0)</f>
        <v>1</v>
      </c>
    </row>
    <row r="779">
      <c r="A779" s="7" t="str">
        <f>IFERROR(__xludf.DUMMYFUNCTION("""COMPUTED_VALUE"""),"AH1026")</f>
        <v>AH1026</v>
      </c>
      <c r="B779" s="7" t="str">
        <f>IFERROR(__xludf.DUMMYFUNCTION("""COMPUTED_VALUE"""),"RUN-ABRM_2023-01-19_RFR-137")</f>
        <v>RUN-ABRM_2023-01-19_RFR-137</v>
      </c>
      <c r="C779" s="8">
        <f>VLOOKUP(B779,'Run Reconcile'!A$2:B3212,2,FALSE)</f>
        <v>44945</v>
      </c>
      <c r="D779" s="12">
        <f>IFERROR(__xludf.DUMMYFUNCTION("""COMPUTED_VALUE"""),44945.0)</f>
        <v>44945</v>
      </c>
      <c r="E779" s="13">
        <f>IFERROR(__xludf.DUMMYFUNCTION("""COMPUTED_VALUE"""),0.3285995370388264)</f>
        <v>0.328599537</v>
      </c>
      <c r="F779" s="7" t="str">
        <f>IFERROR(__xludf.DUMMYFUNCTION("""COMPUTED_VALUE"""),"Negative")</f>
        <v>Negative</v>
      </c>
      <c r="G779" s="7">
        <f>IFERROR(__xludf.DUMMYFUNCTION("""COMPUTED_VALUE"""),1.0)</f>
        <v>1</v>
      </c>
    </row>
    <row r="780">
      <c r="A780" s="7" t="str">
        <f>IFERROR(__xludf.DUMMYFUNCTION("""COMPUTED_VALUE"""),"AH7234")</f>
        <v>AH7234</v>
      </c>
      <c r="B780" s="7" t="str">
        <f>IFERROR(__xludf.DUMMYFUNCTION("""COMPUTED_VALUE"""),"RUN-ABRM_2023-01-19_RFR-137")</f>
        <v>RUN-ABRM_2023-01-19_RFR-137</v>
      </c>
      <c r="C780" s="8">
        <f>VLOOKUP(B780,'Run Reconcile'!A$2:B3212,2,FALSE)</f>
        <v>44945</v>
      </c>
      <c r="D780" s="12">
        <f>IFERROR(__xludf.DUMMYFUNCTION("""COMPUTED_VALUE"""),44945.0)</f>
        <v>44945</v>
      </c>
      <c r="E780" s="13">
        <f>IFERROR(__xludf.DUMMYFUNCTION("""COMPUTED_VALUE"""),0.3668518518534256)</f>
        <v>0.3668518519</v>
      </c>
      <c r="F780" s="7" t="str">
        <f>IFERROR(__xludf.DUMMYFUNCTION("""COMPUTED_VALUE"""),"Negative")</f>
        <v>Negative</v>
      </c>
      <c r="G780" s="7">
        <f>IFERROR(__xludf.DUMMYFUNCTION("""COMPUTED_VALUE"""),3.0)</f>
        <v>3</v>
      </c>
    </row>
    <row r="781">
      <c r="A781" s="7" t="str">
        <f>IFERROR(__xludf.DUMMYFUNCTION("""COMPUTED_VALUE"""),"AH7548")</f>
        <v>AH7548</v>
      </c>
      <c r="B781" s="7" t="str">
        <f>IFERROR(__xludf.DUMMYFUNCTION("""COMPUTED_VALUE"""),"RUN-ABRM_2023-01-19_RFR-137")</f>
        <v>RUN-ABRM_2023-01-19_RFR-137</v>
      </c>
      <c r="C781" s="8">
        <f>VLOOKUP(B781,'Run Reconcile'!A$2:B3212,2,FALSE)</f>
        <v>44945</v>
      </c>
      <c r="D781" s="12">
        <f>IFERROR(__xludf.DUMMYFUNCTION("""COMPUTED_VALUE"""),44945.0)</f>
        <v>44945</v>
      </c>
      <c r="E781" s="13">
        <f>IFERROR(__xludf.DUMMYFUNCTION("""COMPUTED_VALUE"""),0.36702546296146465)</f>
        <v>0.367025463</v>
      </c>
      <c r="F781" s="7" t="str">
        <f>IFERROR(__xludf.DUMMYFUNCTION("""COMPUTED_VALUE"""),"Negative")</f>
        <v>Negative</v>
      </c>
      <c r="G781" s="7">
        <f>IFERROR(__xludf.DUMMYFUNCTION("""COMPUTED_VALUE"""),1.0)</f>
        <v>1</v>
      </c>
    </row>
    <row r="782">
      <c r="A782" s="7" t="str">
        <f>IFERROR(__xludf.DUMMYFUNCTION("""COMPUTED_VALUE"""),"AH7555")</f>
        <v>AH7555</v>
      </c>
      <c r="B782" s="7" t="str">
        <f>IFERROR(__xludf.DUMMYFUNCTION("""COMPUTED_VALUE"""),"RUN-ABRM_2023-01-20_RFR-139")</f>
        <v>RUN-ABRM_2023-01-20_RFR-139</v>
      </c>
      <c r="C782" s="8">
        <f>VLOOKUP(B782,'Run Reconcile'!A$2:B3212,2,FALSE)</f>
        <v>44946</v>
      </c>
      <c r="D782" s="12">
        <f>IFERROR(__xludf.DUMMYFUNCTION("""COMPUTED_VALUE"""),44946.0)</f>
        <v>44946</v>
      </c>
      <c r="E782" s="13">
        <f>IFERROR(__xludf.DUMMYFUNCTION("""COMPUTED_VALUE"""),0.28082175926101627)</f>
        <v>0.2808217593</v>
      </c>
      <c r="F782" s="7" t="str">
        <f>IFERROR(__xludf.DUMMYFUNCTION("""COMPUTED_VALUE"""),"Negative")</f>
        <v>Negative</v>
      </c>
      <c r="G782" s="7">
        <f>IFERROR(__xludf.DUMMYFUNCTION("""COMPUTED_VALUE"""),3.0)</f>
        <v>3</v>
      </c>
    </row>
    <row r="783">
      <c r="A783" s="7" t="str">
        <f>IFERROR(__xludf.DUMMYFUNCTION("""COMPUTED_VALUE"""),"AH7537")</f>
        <v>AH7537</v>
      </c>
      <c r="B783" s="7" t="str">
        <f>IFERROR(__xludf.DUMMYFUNCTION("""COMPUTED_VALUE"""),"RUN-ABRM_2023-01-20_RFR-139")</f>
        <v>RUN-ABRM_2023-01-20_RFR-139</v>
      </c>
      <c r="C783" s="8">
        <f>VLOOKUP(B783,'Run Reconcile'!A$2:B3212,2,FALSE)</f>
        <v>44946</v>
      </c>
      <c r="D783" s="12">
        <f>IFERROR(__xludf.DUMMYFUNCTION("""COMPUTED_VALUE"""),44946.0)</f>
        <v>44946</v>
      </c>
      <c r="E783" s="13">
        <f>IFERROR(__xludf.DUMMYFUNCTION("""COMPUTED_VALUE"""),0.3114120370373712)</f>
        <v>0.311412037</v>
      </c>
      <c r="F783" s="7" t="str">
        <f>IFERROR(__xludf.DUMMYFUNCTION("""COMPUTED_VALUE"""),"Negative")</f>
        <v>Negative</v>
      </c>
      <c r="G783" s="7">
        <f>IFERROR(__xludf.DUMMYFUNCTION("""COMPUTED_VALUE"""),1.0)</f>
        <v>1</v>
      </c>
    </row>
    <row r="784">
      <c r="A784" s="7" t="str">
        <f>IFERROR(__xludf.DUMMYFUNCTION("""COMPUTED_VALUE"""),"AJ8942")</f>
        <v>AJ8942</v>
      </c>
      <c r="B784" s="7" t="str">
        <f>IFERROR(__xludf.DUMMYFUNCTION("""COMPUTED_VALUE"""),"RUN-ABRM_2023-01-20_RFR-139")</f>
        <v>RUN-ABRM_2023-01-20_RFR-139</v>
      </c>
      <c r="C784" s="8">
        <f>VLOOKUP(B784,'Run Reconcile'!A$2:B3212,2,FALSE)</f>
        <v>44946</v>
      </c>
      <c r="D784" s="12">
        <f>IFERROR(__xludf.DUMMYFUNCTION("""COMPUTED_VALUE"""),44946.0)</f>
        <v>44946</v>
      </c>
      <c r="E784" s="13">
        <f>IFERROR(__xludf.DUMMYFUNCTION("""COMPUTED_VALUE"""),0.31164351851839456)</f>
        <v>0.3116435185</v>
      </c>
      <c r="F784" s="7" t="str">
        <f>IFERROR(__xludf.DUMMYFUNCTION("""COMPUTED_VALUE"""),"Inconclusive")</f>
        <v>Inconclusive</v>
      </c>
      <c r="G784" s="7">
        <f>IFERROR(__xludf.DUMMYFUNCTION("""COMPUTED_VALUE"""),2.0)</f>
        <v>2</v>
      </c>
    </row>
    <row r="785">
      <c r="A785" s="7" t="str">
        <f>IFERROR(__xludf.DUMMYFUNCTION("""COMPUTED_VALUE"""),"AJ9110")</f>
        <v>AJ9110</v>
      </c>
      <c r="B785" s="7" t="str">
        <f>IFERROR(__xludf.DUMMYFUNCTION("""COMPUTED_VALUE"""),"RUN-ABRM_2023-01-20_RFR-139")</f>
        <v>RUN-ABRM_2023-01-20_RFR-139</v>
      </c>
      <c r="C785" s="8">
        <f>VLOOKUP(B785,'Run Reconcile'!A$2:B3212,2,FALSE)</f>
        <v>44946</v>
      </c>
      <c r="D785" s="12">
        <f>IFERROR(__xludf.DUMMYFUNCTION("""COMPUTED_VALUE"""),44946.0)</f>
        <v>44946</v>
      </c>
      <c r="E785" s="13">
        <f>IFERROR(__xludf.DUMMYFUNCTION("""COMPUTED_VALUE"""),0.3157407407416031)</f>
        <v>0.3157407407</v>
      </c>
      <c r="F785" s="7" t="str">
        <f>IFERROR(__xludf.DUMMYFUNCTION("""COMPUTED_VALUE"""),"Negative")</f>
        <v>Negative</v>
      </c>
      <c r="G785" s="7">
        <f>IFERROR(__xludf.DUMMYFUNCTION("""COMPUTED_VALUE"""),2.0)</f>
        <v>2</v>
      </c>
    </row>
    <row r="786">
      <c r="A786" s="7" t="str">
        <f>IFERROR(__xludf.DUMMYFUNCTION("""COMPUTED_VALUE"""),"AJ8138A")</f>
        <v>AJ8138A</v>
      </c>
      <c r="B786" s="7" t="str">
        <f>IFERROR(__xludf.DUMMYFUNCTION("""COMPUTED_VALUE"""),"RUN-ABRM_2023-01-20_RFR-139")</f>
        <v>RUN-ABRM_2023-01-20_RFR-139</v>
      </c>
      <c r="C786" s="8">
        <f>VLOOKUP(B786,'Run Reconcile'!A$2:B3212,2,FALSE)</f>
        <v>44946</v>
      </c>
      <c r="D786" s="12">
        <f>IFERROR(__xludf.DUMMYFUNCTION("""COMPUTED_VALUE"""),44946.0)</f>
        <v>44946</v>
      </c>
      <c r="E786" s="13">
        <f>IFERROR(__xludf.DUMMYFUNCTION("""COMPUTED_VALUE"""),0.3333449074089003)</f>
        <v>0.3333449074</v>
      </c>
      <c r="F786" s="7" t="str">
        <f>IFERROR(__xludf.DUMMYFUNCTION("""COMPUTED_VALUE"""),"Negative")</f>
        <v>Negative</v>
      </c>
      <c r="G786" s="7">
        <f>IFERROR(__xludf.DUMMYFUNCTION("""COMPUTED_VALUE"""),1.0)</f>
        <v>1</v>
      </c>
    </row>
    <row r="787">
      <c r="A787" s="7" t="str">
        <f>IFERROR(__xludf.DUMMYFUNCTION("""COMPUTED_VALUE"""),"AH6821")</f>
        <v>AH6821</v>
      </c>
      <c r="B787" s="7" t="str">
        <f>IFERROR(__xludf.DUMMYFUNCTION("""COMPUTED_VALUE"""),"RUN-ABRM_2023-01-20_RFR-139")</f>
        <v>RUN-ABRM_2023-01-20_RFR-139</v>
      </c>
      <c r="C787" s="8">
        <f>VLOOKUP(B787,'Run Reconcile'!A$2:B3212,2,FALSE)</f>
        <v>44946</v>
      </c>
      <c r="D787" s="12">
        <f>IFERROR(__xludf.DUMMYFUNCTION("""COMPUTED_VALUE"""),44946.0)</f>
        <v>44946</v>
      </c>
      <c r="E787" s="13">
        <f>IFERROR(__xludf.DUMMYFUNCTION("""COMPUTED_VALUE"""),0.3532754629632109)</f>
        <v>0.353275463</v>
      </c>
      <c r="F787" s="7" t="str">
        <f>IFERROR(__xludf.DUMMYFUNCTION("""COMPUTED_VALUE"""),"Negative")</f>
        <v>Negative</v>
      </c>
      <c r="G787" s="7">
        <f>IFERROR(__xludf.DUMMYFUNCTION("""COMPUTED_VALUE"""),3.0)</f>
        <v>3</v>
      </c>
    </row>
    <row r="788">
      <c r="A788" s="7" t="str">
        <f>IFERROR(__xludf.DUMMYFUNCTION("""COMPUTED_VALUE"""),"AH8330")</f>
        <v>AH8330</v>
      </c>
      <c r="B788" s="7" t="str">
        <f>IFERROR(__xludf.DUMMYFUNCTION("""COMPUTED_VALUE"""),"RUN-ABRM_2023-01-23_RFR-140")</f>
        <v>RUN-ABRM_2023-01-23_RFR-140</v>
      </c>
      <c r="C788" s="8">
        <f>VLOOKUP(B788,'Run Reconcile'!A$2:B3212,2,FALSE)</f>
        <v>44949</v>
      </c>
      <c r="D788" s="12">
        <f>IFERROR(__xludf.DUMMYFUNCTION("""COMPUTED_VALUE"""),44949.0)</f>
        <v>44949</v>
      </c>
      <c r="E788" s="13">
        <f>IFERROR(__xludf.DUMMYFUNCTION("""COMPUTED_VALUE"""),0.21814814814933925)</f>
        <v>0.2181481481</v>
      </c>
      <c r="F788" s="7" t="str">
        <f>IFERROR(__xludf.DUMMYFUNCTION("""COMPUTED_VALUE"""),"Negative")</f>
        <v>Negative</v>
      </c>
      <c r="G788" s="7">
        <f>IFERROR(__xludf.DUMMYFUNCTION("""COMPUTED_VALUE"""),2.0)</f>
        <v>2</v>
      </c>
    </row>
    <row r="789">
      <c r="A789" s="7" t="str">
        <f>IFERROR(__xludf.DUMMYFUNCTION("""COMPUTED_VALUE"""),"AH678")</f>
        <v>AH678</v>
      </c>
      <c r="B789" s="7" t="str">
        <f>IFERROR(__xludf.DUMMYFUNCTION("""COMPUTED_VALUE"""),"RUN-ABRM_2023-01-23_RFR-140")</f>
        <v>RUN-ABRM_2023-01-23_RFR-140</v>
      </c>
      <c r="C789" s="8">
        <f>VLOOKUP(B789,'Run Reconcile'!A$2:B3212,2,FALSE)</f>
        <v>44949</v>
      </c>
      <c r="D789" s="12">
        <f>IFERROR(__xludf.DUMMYFUNCTION("""COMPUTED_VALUE"""),44949.0)</f>
        <v>44949</v>
      </c>
      <c r="E789" s="13">
        <f>IFERROR(__xludf.DUMMYFUNCTION("""COMPUTED_VALUE"""),0.24664351851970423)</f>
        <v>0.2466435185</v>
      </c>
      <c r="F789" s="7" t="str">
        <f>IFERROR(__xludf.DUMMYFUNCTION("""COMPUTED_VALUE"""),"Negative")</f>
        <v>Negative</v>
      </c>
      <c r="G789" s="7">
        <f>IFERROR(__xludf.DUMMYFUNCTION("""COMPUTED_VALUE"""),3.0)</f>
        <v>3</v>
      </c>
    </row>
    <row r="790">
      <c r="A790" s="7" t="str">
        <f>IFERROR(__xludf.DUMMYFUNCTION("""COMPUTED_VALUE"""),"AJ7552")</f>
        <v>AJ7552</v>
      </c>
      <c r="B790" s="7" t="str">
        <f>IFERROR(__xludf.DUMMYFUNCTION("""COMPUTED_VALUE"""),"RUN-ABRM_2023-01-23_RFR-140")</f>
        <v>RUN-ABRM_2023-01-23_RFR-140</v>
      </c>
      <c r="C790" s="8">
        <f>VLOOKUP(B790,'Run Reconcile'!A$2:B3212,2,FALSE)</f>
        <v>44949</v>
      </c>
      <c r="D790" s="12">
        <f>IFERROR(__xludf.DUMMYFUNCTION("""COMPUTED_VALUE"""),44949.0)</f>
        <v>44949</v>
      </c>
      <c r="E790" s="13">
        <f>IFERROR(__xludf.DUMMYFUNCTION("""COMPUTED_VALUE"""),0.2911226851865649)</f>
        <v>0.2911226852</v>
      </c>
      <c r="F790" s="7" t="str">
        <f>IFERROR(__xludf.DUMMYFUNCTION("""COMPUTED_VALUE"""),"Negative")</f>
        <v>Negative</v>
      </c>
      <c r="G790" s="7">
        <f>IFERROR(__xludf.DUMMYFUNCTION("""COMPUTED_VALUE"""),3.0)</f>
        <v>3</v>
      </c>
    </row>
    <row r="791">
      <c r="A791" s="7" t="str">
        <f>IFERROR(__xludf.DUMMYFUNCTION("""COMPUTED_VALUE"""),"AK5344")</f>
        <v>AK5344</v>
      </c>
      <c r="B791" s="7" t="str">
        <f>IFERROR(__xludf.DUMMYFUNCTION("""COMPUTED_VALUE"""),"RUN-ABRM_2023-01-23_RFR-140")</f>
        <v>RUN-ABRM_2023-01-23_RFR-140</v>
      </c>
      <c r="C791" s="8">
        <f>VLOOKUP(B791,'Run Reconcile'!A$2:B3212,2,FALSE)</f>
        <v>44949</v>
      </c>
      <c r="D791" s="12">
        <f>IFERROR(__xludf.DUMMYFUNCTION("""COMPUTED_VALUE"""),44949.0)</f>
        <v>44949</v>
      </c>
      <c r="E791" s="13">
        <f>IFERROR(__xludf.DUMMYFUNCTION("""COMPUTED_VALUE"""),0.30478009259240935)</f>
        <v>0.3047800926</v>
      </c>
      <c r="F791" s="7" t="str">
        <f>IFERROR(__xludf.DUMMYFUNCTION("""COMPUTED_VALUE"""),"Negative")</f>
        <v>Negative</v>
      </c>
      <c r="G791" s="7">
        <f>IFERROR(__xludf.DUMMYFUNCTION("""COMPUTED_VALUE"""),1.0)</f>
        <v>1</v>
      </c>
    </row>
    <row r="792">
      <c r="A792" s="7" t="str">
        <f>IFERROR(__xludf.DUMMYFUNCTION("""COMPUTED_VALUE"""),"AH6836")</f>
        <v>AH6836</v>
      </c>
      <c r="B792" s="7" t="str">
        <f>IFERROR(__xludf.DUMMYFUNCTION("""COMPUTED_VALUE"""),"RUN-ABRM_2023-01-23_RFR-140")</f>
        <v>RUN-ABRM_2023-01-23_RFR-140</v>
      </c>
      <c r="C792" s="8">
        <f>VLOOKUP(B792,'Run Reconcile'!A$2:B3212,2,FALSE)</f>
        <v>44949</v>
      </c>
      <c r="D792" s="12">
        <f>IFERROR(__xludf.DUMMYFUNCTION("""COMPUTED_VALUE"""),44949.0)</f>
        <v>44949</v>
      </c>
      <c r="E792" s="13">
        <f>IFERROR(__xludf.DUMMYFUNCTION("""COMPUTED_VALUE"""),0.3058796296281798)</f>
        <v>0.3058796296</v>
      </c>
      <c r="F792" s="7" t="str">
        <f>IFERROR(__xludf.DUMMYFUNCTION("""COMPUTED_VALUE"""),"Negative")</f>
        <v>Negative</v>
      </c>
      <c r="G792" s="7">
        <f>IFERROR(__xludf.DUMMYFUNCTION("""COMPUTED_VALUE"""),1.0)</f>
        <v>1</v>
      </c>
    </row>
    <row r="793">
      <c r="A793" s="7" t="str">
        <f>IFERROR(__xludf.DUMMYFUNCTION("""COMPUTED_VALUE"""),"AJ9672")</f>
        <v>AJ9672</v>
      </c>
      <c r="B793" s="7" t="str">
        <f>IFERROR(__xludf.DUMMYFUNCTION("""COMPUTED_VALUE"""),"RUN-ABRM_2023-01-23_RFR-140")</f>
        <v>RUN-ABRM_2023-01-23_RFR-140</v>
      </c>
      <c r="C793" s="8">
        <f>VLOOKUP(B793,'Run Reconcile'!A$2:B3212,2,FALSE)</f>
        <v>44949</v>
      </c>
      <c r="D793" s="12">
        <f>IFERROR(__xludf.DUMMYFUNCTION("""COMPUTED_VALUE"""),44949.0)</f>
        <v>44949</v>
      </c>
      <c r="E793" s="13">
        <f>IFERROR(__xludf.DUMMYFUNCTION("""COMPUTED_VALUE"""),0.30909722222349956)</f>
        <v>0.3090972222</v>
      </c>
      <c r="F793" s="7" t="str">
        <f>IFERROR(__xludf.DUMMYFUNCTION("""COMPUTED_VALUE"""),"Negative")</f>
        <v>Negative</v>
      </c>
      <c r="G793" s="7">
        <f>IFERROR(__xludf.DUMMYFUNCTION("""COMPUTED_VALUE"""),2.0)</f>
        <v>2</v>
      </c>
    </row>
    <row r="794">
      <c r="A794" s="7" t="str">
        <f>IFERROR(__xludf.DUMMYFUNCTION("""COMPUTED_VALUE"""),"AJ8437")</f>
        <v>AJ8437</v>
      </c>
      <c r="B794" s="7" t="str">
        <f>IFERROR(__xludf.DUMMYFUNCTION("""COMPUTED_VALUE"""),"RUN-ABRM_2023-01-23_RFR-140")</f>
        <v>RUN-ABRM_2023-01-23_RFR-140</v>
      </c>
      <c r="C794" s="8">
        <f>VLOOKUP(B794,'Run Reconcile'!A$2:B3212,2,FALSE)</f>
        <v>44949</v>
      </c>
      <c r="D794" s="12">
        <f>IFERROR(__xludf.DUMMYFUNCTION("""COMPUTED_VALUE"""),44949.0)</f>
        <v>44949</v>
      </c>
      <c r="E794" s="13">
        <f>IFERROR(__xludf.DUMMYFUNCTION("""COMPUTED_VALUE"""),0.3223726851865649)</f>
        <v>0.3223726852</v>
      </c>
      <c r="F794" s="7" t="str">
        <f>IFERROR(__xludf.DUMMYFUNCTION("""COMPUTED_VALUE"""),"Negative")</f>
        <v>Negative</v>
      </c>
      <c r="G794" s="7">
        <f>IFERROR(__xludf.DUMMYFUNCTION("""COMPUTED_VALUE"""),4.0)</f>
        <v>4</v>
      </c>
    </row>
    <row r="795">
      <c r="A795" s="7" t="str">
        <f>IFERROR(__xludf.DUMMYFUNCTION("""COMPUTED_VALUE"""),"AJ9423")</f>
        <v>AJ9423</v>
      </c>
      <c r="B795" s="7" t="str">
        <f>IFERROR(__xludf.DUMMYFUNCTION("""COMPUTED_VALUE"""),"RUN-ABRM_2023-01-23_RFR-140")</f>
        <v>RUN-ABRM_2023-01-23_RFR-140</v>
      </c>
      <c r="C795" s="8">
        <f>VLOOKUP(B795,'Run Reconcile'!A$2:B3212,2,FALSE)</f>
        <v>44949</v>
      </c>
      <c r="D795" s="12">
        <f>IFERROR(__xludf.DUMMYFUNCTION("""COMPUTED_VALUE"""),44949.0)</f>
        <v>44949</v>
      </c>
      <c r="E795" s="13">
        <f>IFERROR(__xludf.DUMMYFUNCTION("""COMPUTED_VALUE"""),0.33614583333474)</f>
        <v>0.3361458333</v>
      </c>
      <c r="F795" s="7" t="str">
        <f>IFERROR(__xludf.DUMMYFUNCTION("""COMPUTED_VALUE"""),"Negative")</f>
        <v>Negative</v>
      </c>
      <c r="G795" s="7">
        <f>IFERROR(__xludf.DUMMYFUNCTION("""COMPUTED_VALUE"""),4.0)</f>
        <v>4</v>
      </c>
    </row>
    <row r="796">
      <c r="A796" s="7" t="str">
        <f>IFERROR(__xludf.DUMMYFUNCTION("""COMPUTED_VALUE"""),"AH7310")</f>
        <v>AH7310</v>
      </c>
      <c r="B796" s="7" t="str">
        <f>IFERROR(__xludf.DUMMYFUNCTION("""COMPUTED_VALUE"""),"RUN-ABRM_2023-01-23_APS-002")</f>
        <v>RUN-ABRM_2023-01-23_APS-002</v>
      </c>
      <c r="C796" s="8">
        <f>VLOOKUP(B796,'Run Reconcile'!A$2:B3212,2,FALSE)</f>
        <v>44949</v>
      </c>
      <c r="D796" s="12">
        <f>IFERROR(__xludf.DUMMYFUNCTION("""COMPUTED_VALUE"""),44949.0)</f>
        <v>44949</v>
      </c>
      <c r="E796" s="13">
        <f>IFERROR(__xludf.DUMMYFUNCTION("""COMPUTED_VALUE"""),0.4351388888899237)</f>
        <v>0.4351388889</v>
      </c>
      <c r="F796" s="7" t="str">
        <f>IFERROR(__xludf.DUMMYFUNCTION("""COMPUTED_VALUE"""),"Negative")</f>
        <v>Negative</v>
      </c>
      <c r="G796" s="7">
        <f>IFERROR(__xludf.DUMMYFUNCTION("""COMPUTED_VALUE"""),1.0)</f>
        <v>1</v>
      </c>
    </row>
    <row r="797">
      <c r="A797" s="7" t="str">
        <f>IFERROR(__xludf.DUMMYFUNCTION("""COMPUTED_VALUE"""),"AH134")</f>
        <v>AH134</v>
      </c>
      <c r="B797" s="7" t="str">
        <f>IFERROR(__xludf.DUMMYFUNCTION("""COMPUTED_VALUE"""),"RUN-ABRM_2023-01-25_RFR-143")</f>
        <v>RUN-ABRM_2023-01-25_RFR-143</v>
      </c>
      <c r="C797" s="8">
        <f>VLOOKUP(B797,'Run Reconcile'!A$2:B3212,2,FALSE)</f>
        <v>44951</v>
      </c>
      <c r="D797" s="12">
        <f>IFERROR(__xludf.DUMMYFUNCTION("""COMPUTED_VALUE"""),44951.0)</f>
        <v>44951</v>
      </c>
      <c r="E797" s="13">
        <f>IFERROR(__xludf.DUMMYFUNCTION("""COMPUTED_VALUE"""),0.24206018518452765)</f>
        <v>0.2420601852</v>
      </c>
      <c r="F797" s="7" t="str">
        <f>IFERROR(__xludf.DUMMYFUNCTION("""COMPUTED_VALUE"""),"Negative")</f>
        <v>Negative</v>
      </c>
      <c r="G797" s="7">
        <f>IFERROR(__xludf.DUMMYFUNCTION("""COMPUTED_VALUE"""),2.0)</f>
        <v>2</v>
      </c>
    </row>
    <row r="798">
      <c r="A798" s="7" t="str">
        <f>IFERROR(__xludf.DUMMYFUNCTION("""COMPUTED_VALUE"""),"AJ6514")</f>
        <v>AJ6514</v>
      </c>
      <c r="B798" s="7" t="str">
        <f>IFERROR(__xludf.DUMMYFUNCTION("""COMPUTED_VALUE"""),"RUN-ABRM_2023-01-25_RFR-143")</f>
        <v>RUN-ABRM_2023-01-25_RFR-143</v>
      </c>
      <c r="C798" s="8">
        <f>VLOOKUP(B798,'Run Reconcile'!A$2:B3212,2,FALSE)</f>
        <v>44951</v>
      </c>
      <c r="D798" s="12">
        <f>IFERROR(__xludf.DUMMYFUNCTION("""COMPUTED_VALUE"""),44951.0)</f>
        <v>44951</v>
      </c>
      <c r="E798" s="13">
        <f>IFERROR(__xludf.DUMMYFUNCTION("""COMPUTED_VALUE"""),0.2644907407411665)</f>
        <v>0.2644907407</v>
      </c>
      <c r="F798" s="7" t="str">
        <f>IFERROR(__xludf.DUMMYFUNCTION("""COMPUTED_VALUE"""),"Negative")</f>
        <v>Negative</v>
      </c>
      <c r="G798" s="7">
        <f>IFERROR(__xludf.DUMMYFUNCTION("""COMPUTED_VALUE"""),3.0)</f>
        <v>3</v>
      </c>
    </row>
    <row r="799">
      <c r="A799" s="7" t="str">
        <f>IFERROR(__xludf.DUMMYFUNCTION("""COMPUTED_VALUE"""),"AJ8938")</f>
        <v>AJ8938</v>
      </c>
      <c r="B799" s="7" t="str">
        <f>IFERROR(__xludf.DUMMYFUNCTION("""COMPUTED_VALUE"""),"RUN-ABRM_2023-01-25_RFR-143")</f>
        <v>RUN-ABRM_2023-01-25_RFR-143</v>
      </c>
      <c r="C799" s="8">
        <f>VLOOKUP(B799,'Run Reconcile'!A$2:B3212,2,FALSE)</f>
        <v>44951</v>
      </c>
      <c r="D799" s="12">
        <f>IFERROR(__xludf.DUMMYFUNCTION("""COMPUTED_VALUE"""),44951.0)</f>
        <v>44951</v>
      </c>
      <c r="E799" s="13">
        <f>IFERROR(__xludf.DUMMYFUNCTION("""COMPUTED_VALUE"""),0.2933796296310902)</f>
        <v>0.2933796296</v>
      </c>
      <c r="F799" s="7" t="str">
        <f>IFERROR(__xludf.DUMMYFUNCTION("""COMPUTED_VALUE"""),"Negative")</f>
        <v>Negative</v>
      </c>
      <c r="G799" s="7">
        <f>IFERROR(__xludf.DUMMYFUNCTION("""COMPUTED_VALUE"""),4.0)</f>
        <v>4</v>
      </c>
    </row>
    <row r="800">
      <c r="A800" s="7" t="str">
        <f>IFERROR(__xludf.DUMMYFUNCTION("""COMPUTED_VALUE"""),"AG913")</f>
        <v>AG913</v>
      </c>
      <c r="B800" s="7" t="str">
        <f>IFERROR(__xludf.DUMMYFUNCTION("""COMPUTED_VALUE"""),"RUN-ABRM_2023-01-25_RFR-143")</f>
        <v>RUN-ABRM_2023-01-25_RFR-143</v>
      </c>
      <c r="C800" s="8">
        <f>VLOOKUP(B800,'Run Reconcile'!A$2:B3212,2,FALSE)</f>
        <v>44951</v>
      </c>
      <c r="D800" s="12">
        <f>IFERROR(__xludf.DUMMYFUNCTION("""COMPUTED_VALUE"""),44951.0)</f>
        <v>44951</v>
      </c>
      <c r="E800" s="13">
        <f>IFERROR(__xludf.DUMMYFUNCTION("""COMPUTED_VALUE"""),0.294155092593428)</f>
        <v>0.2941550926</v>
      </c>
      <c r="F800" s="7" t="str">
        <f>IFERROR(__xludf.DUMMYFUNCTION("""COMPUTED_VALUE"""),"Negative")</f>
        <v>Negative</v>
      </c>
      <c r="G800" s="7">
        <f>IFERROR(__xludf.DUMMYFUNCTION("""COMPUTED_VALUE"""),2.0)</f>
        <v>2</v>
      </c>
    </row>
    <row r="801">
      <c r="A801" s="7" t="str">
        <f>IFERROR(__xludf.DUMMYFUNCTION("""COMPUTED_VALUE"""),"AH8558")</f>
        <v>AH8558</v>
      </c>
      <c r="B801" s="7" t="str">
        <f>IFERROR(__xludf.DUMMYFUNCTION("""COMPUTED_VALUE"""),"RUN-ABRM_2023-01-25_RFR-143")</f>
        <v>RUN-ABRM_2023-01-25_RFR-143</v>
      </c>
      <c r="C801" s="8">
        <f>VLOOKUP(B801,'Run Reconcile'!A$2:B3212,2,FALSE)</f>
        <v>44951</v>
      </c>
      <c r="D801" s="12">
        <f>IFERROR(__xludf.DUMMYFUNCTION("""COMPUTED_VALUE"""),44951.0)</f>
        <v>44951</v>
      </c>
      <c r="E801" s="13">
        <f>IFERROR(__xludf.DUMMYFUNCTION("""COMPUTED_VALUE"""),0.29452546296306537)</f>
        <v>0.294525463</v>
      </c>
      <c r="F801" s="7" t="str">
        <f>IFERROR(__xludf.DUMMYFUNCTION("""COMPUTED_VALUE"""),"Negative")</f>
        <v>Negative</v>
      </c>
      <c r="G801" s="7">
        <f>IFERROR(__xludf.DUMMYFUNCTION("""COMPUTED_VALUE"""),1.0)</f>
        <v>1</v>
      </c>
    </row>
    <row r="802">
      <c r="A802" s="7" t="str">
        <f>IFERROR(__xludf.DUMMYFUNCTION("""COMPUTED_VALUE"""),"AG220")</f>
        <v>AG220</v>
      </c>
      <c r="B802" s="7" t="str">
        <f>IFERROR(__xludf.DUMMYFUNCTION("""COMPUTED_VALUE"""),"RUN-ABRM_2023-01-25_RFR-143")</f>
        <v>RUN-ABRM_2023-01-25_RFR-143</v>
      </c>
      <c r="C802" s="8">
        <f>VLOOKUP(B802,'Run Reconcile'!A$2:B3212,2,FALSE)</f>
        <v>44951</v>
      </c>
      <c r="D802" s="12">
        <f>IFERROR(__xludf.DUMMYFUNCTION("""COMPUTED_VALUE"""),44951.0)</f>
        <v>44951</v>
      </c>
      <c r="E802" s="13">
        <f>IFERROR(__xludf.DUMMYFUNCTION("""COMPUTED_VALUE"""),0.31746527777795563)</f>
        <v>0.3174652778</v>
      </c>
      <c r="F802" s="7" t="str">
        <f>IFERROR(__xludf.DUMMYFUNCTION("""COMPUTED_VALUE"""),"Negative")</f>
        <v>Negative</v>
      </c>
      <c r="G802" s="7">
        <f>IFERROR(__xludf.DUMMYFUNCTION("""COMPUTED_VALUE"""),1.0)</f>
        <v>1</v>
      </c>
    </row>
    <row r="803">
      <c r="A803" s="7" t="str">
        <f>IFERROR(__xludf.DUMMYFUNCTION("""COMPUTED_VALUE"""),"AJ8900")</f>
        <v>AJ8900</v>
      </c>
      <c r="B803" s="7" t="str">
        <f>IFERROR(__xludf.DUMMYFUNCTION("""COMPUTED_VALUE"""),"RUN-ABRM_2023-01-25_RFR-143")</f>
        <v>RUN-ABRM_2023-01-25_RFR-143</v>
      </c>
      <c r="C803" s="8">
        <f>VLOOKUP(B803,'Run Reconcile'!A$2:B3212,2,FALSE)</f>
        <v>44951</v>
      </c>
      <c r="D803" s="12">
        <f>IFERROR(__xludf.DUMMYFUNCTION("""COMPUTED_VALUE"""),44951.0)</f>
        <v>44951</v>
      </c>
      <c r="E803" s="13">
        <f>IFERROR(__xludf.DUMMYFUNCTION("""COMPUTED_VALUE"""),0.34234953703708015)</f>
        <v>0.342349537</v>
      </c>
      <c r="F803" s="7" t="str">
        <f>IFERROR(__xludf.DUMMYFUNCTION("""COMPUTED_VALUE"""),"Negative")</f>
        <v>Negative</v>
      </c>
      <c r="G803" s="7">
        <f>IFERROR(__xludf.DUMMYFUNCTION("""COMPUTED_VALUE"""),3.0)</f>
        <v>3</v>
      </c>
    </row>
    <row r="804">
      <c r="A804" s="7" t="str">
        <f>IFERROR(__xludf.DUMMYFUNCTION("""COMPUTED_VALUE"""),"AH7428")</f>
        <v>AH7428</v>
      </c>
      <c r="B804" s="7" t="str">
        <f>IFERROR(__xludf.DUMMYFUNCTION("""COMPUTED_VALUE"""),"RUN-ABRM_2023-01-26_RFR-145")</f>
        <v>RUN-ABRM_2023-01-26_RFR-145</v>
      </c>
      <c r="C804" s="8">
        <f>VLOOKUP(B804,'Run Reconcile'!A$2:B3212,2,FALSE)</f>
        <v>44952</v>
      </c>
      <c r="D804" s="12">
        <f>IFERROR(__xludf.DUMMYFUNCTION("""COMPUTED_VALUE"""),44952.0)</f>
        <v>44952</v>
      </c>
      <c r="E804" s="13">
        <f>IFERROR(__xludf.DUMMYFUNCTION("""COMPUTED_VALUE"""),0.25219907407517894)</f>
        <v>0.2521990741</v>
      </c>
      <c r="F804" s="7" t="str">
        <f>IFERROR(__xludf.DUMMYFUNCTION("""COMPUTED_VALUE"""),"Negative")</f>
        <v>Negative</v>
      </c>
      <c r="G804" s="7">
        <f>IFERROR(__xludf.DUMMYFUNCTION("""COMPUTED_VALUE"""),3.0)</f>
        <v>3</v>
      </c>
    </row>
    <row r="805">
      <c r="A805" s="7" t="str">
        <f>IFERROR(__xludf.DUMMYFUNCTION("""COMPUTED_VALUE"""),"AJ8045")</f>
        <v>AJ8045</v>
      </c>
      <c r="B805" s="7" t="str">
        <f>IFERROR(__xludf.DUMMYFUNCTION("""COMPUTED_VALUE"""),"RUN-ABRM_2023-01-26_RFR-145")</f>
        <v>RUN-ABRM_2023-01-26_RFR-145</v>
      </c>
      <c r="C805" s="8">
        <f>VLOOKUP(B805,'Run Reconcile'!A$2:B3212,2,FALSE)</f>
        <v>44952</v>
      </c>
      <c r="D805" s="12">
        <f>IFERROR(__xludf.DUMMYFUNCTION("""COMPUTED_VALUE"""),44952.0)</f>
        <v>44952</v>
      </c>
      <c r="E805" s="13">
        <f>IFERROR(__xludf.DUMMYFUNCTION("""COMPUTED_VALUE"""),0.30212962962832535)</f>
        <v>0.3021296296</v>
      </c>
      <c r="F805" s="7" t="str">
        <f>IFERROR(__xludf.DUMMYFUNCTION("""COMPUTED_VALUE"""),"Negative")</f>
        <v>Negative</v>
      </c>
      <c r="G805" s="7">
        <f>IFERROR(__xludf.DUMMYFUNCTION("""COMPUTED_VALUE"""),3.0)</f>
        <v>3</v>
      </c>
    </row>
    <row r="806">
      <c r="A806" s="7" t="str">
        <f>IFERROR(__xludf.DUMMYFUNCTION("""COMPUTED_VALUE"""),"AK9953")</f>
        <v>AK9953</v>
      </c>
      <c r="B806" s="7" t="str">
        <f>IFERROR(__xludf.DUMMYFUNCTION("""COMPUTED_VALUE"""),"RUN-ABRM_2023-01-26_RFR-145")</f>
        <v>RUN-ABRM_2023-01-26_RFR-145</v>
      </c>
      <c r="C806" s="8">
        <f>VLOOKUP(B806,'Run Reconcile'!A$2:B3212,2,FALSE)</f>
        <v>44952</v>
      </c>
      <c r="D806" s="12">
        <f>IFERROR(__xludf.DUMMYFUNCTION("""COMPUTED_VALUE"""),44952.0)</f>
        <v>44952</v>
      </c>
      <c r="E806" s="13">
        <f>IFERROR(__xludf.DUMMYFUNCTION("""COMPUTED_VALUE"""),0.32425925925781485)</f>
        <v>0.3242592593</v>
      </c>
      <c r="F806" s="7" t="str">
        <f>IFERROR(__xludf.DUMMYFUNCTION("""COMPUTED_VALUE"""),"Negative")</f>
        <v>Negative</v>
      </c>
      <c r="G806" s="7">
        <f>IFERROR(__xludf.DUMMYFUNCTION("""COMPUTED_VALUE"""),4.0)</f>
        <v>4</v>
      </c>
    </row>
    <row r="807">
      <c r="A807" s="7" t="str">
        <f>IFERROR(__xludf.DUMMYFUNCTION("""COMPUTED_VALUE"""),"AJ9358")</f>
        <v>AJ9358</v>
      </c>
      <c r="B807" s="7" t="str">
        <f>IFERROR(__xludf.DUMMYFUNCTION("""COMPUTED_VALUE"""),"RUN-ABRM_2023-01-26_RFR-145")</f>
        <v>RUN-ABRM_2023-01-26_RFR-145</v>
      </c>
      <c r="C807" s="8">
        <f>VLOOKUP(B807,'Run Reconcile'!A$2:B3212,2,FALSE)</f>
        <v>44952</v>
      </c>
      <c r="D807" s="12">
        <f>IFERROR(__xludf.DUMMYFUNCTION("""COMPUTED_VALUE"""),44952.0)</f>
        <v>44952</v>
      </c>
      <c r="E807" s="13">
        <f>IFERROR(__xludf.DUMMYFUNCTION("""COMPUTED_VALUE"""),0.32937500000116415)</f>
        <v>0.329375</v>
      </c>
      <c r="F807" s="7" t="str">
        <f>IFERROR(__xludf.DUMMYFUNCTION("""COMPUTED_VALUE"""),"Negative")</f>
        <v>Negative</v>
      </c>
      <c r="G807" s="7">
        <f>IFERROR(__xludf.DUMMYFUNCTION("""COMPUTED_VALUE"""),2.0)</f>
        <v>2</v>
      </c>
    </row>
    <row r="808">
      <c r="A808" s="7" t="str">
        <f>IFERROR(__xludf.DUMMYFUNCTION("""COMPUTED_VALUE"""),"AH9155")</f>
        <v>AH9155</v>
      </c>
      <c r="B808" s="7" t="str">
        <f>IFERROR(__xludf.DUMMYFUNCTION("""COMPUTED_VALUE"""),"RUN-ABRM_2023-01-26_RFR-145")</f>
        <v>RUN-ABRM_2023-01-26_RFR-145</v>
      </c>
      <c r="C808" s="8">
        <f>VLOOKUP(B808,'Run Reconcile'!A$2:B3212,2,FALSE)</f>
        <v>44952</v>
      </c>
      <c r="D808" s="12">
        <f>IFERROR(__xludf.DUMMYFUNCTION("""COMPUTED_VALUE"""),44952.0)</f>
        <v>44952</v>
      </c>
      <c r="E808" s="13">
        <f>IFERROR(__xludf.DUMMYFUNCTION("""COMPUTED_VALUE"""),0.3301273148135806)</f>
        <v>0.3301273148</v>
      </c>
      <c r="F808" s="7" t="str">
        <f>IFERROR(__xludf.DUMMYFUNCTION("""COMPUTED_VALUE"""),"Negative")</f>
        <v>Negative</v>
      </c>
      <c r="G808" s="7">
        <f>IFERROR(__xludf.DUMMYFUNCTION("""COMPUTED_VALUE"""),1.0)</f>
        <v>1</v>
      </c>
    </row>
    <row r="809">
      <c r="A809" s="7" t="str">
        <f>IFERROR(__xludf.DUMMYFUNCTION("""COMPUTED_VALUE"""),"AH428")</f>
        <v>AH428</v>
      </c>
      <c r="B809" s="7" t="str">
        <f>IFERROR(__xludf.DUMMYFUNCTION("""COMPUTED_VALUE"""),"RUN-ABRM_2023-01-26_RFR-145")</f>
        <v>RUN-ABRM_2023-01-26_RFR-145</v>
      </c>
      <c r="C809" s="8">
        <f>VLOOKUP(B809,'Run Reconcile'!A$2:B3212,2,FALSE)</f>
        <v>44952</v>
      </c>
      <c r="D809" s="12">
        <f>IFERROR(__xludf.DUMMYFUNCTION("""COMPUTED_VALUE"""),44952.0)</f>
        <v>44952</v>
      </c>
      <c r="E809" s="13">
        <f>IFERROR(__xludf.DUMMYFUNCTION("""COMPUTED_VALUE"""),0.33046296296379296)</f>
        <v>0.330462963</v>
      </c>
      <c r="F809" s="7" t="str">
        <f>IFERROR(__xludf.DUMMYFUNCTION("""COMPUTED_VALUE"""),"Negative")</f>
        <v>Negative</v>
      </c>
      <c r="G809" s="7">
        <f>IFERROR(__xludf.DUMMYFUNCTION("""COMPUTED_VALUE"""),1.0)</f>
        <v>1</v>
      </c>
    </row>
    <row r="810">
      <c r="A810" s="7" t="str">
        <f>IFERROR(__xludf.DUMMYFUNCTION("""COMPUTED_VALUE"""),"AJ9704")</f>
        <v>AJ9704</v>
      </c>
      <c r="B810" s="7" t="str">
        <f>IFERROR(__xludf.DUMMYFUNCTION("""COMPUTED_VALUE"""),"RUN-ABRM_2023-01-27_RFR-147")</f>
        <v>RUN-ABRM_2023-01-27_RFR-147</v>
      </c>
      <c r="C810" s="8">
        <f>VLOOKUP(B810,'Run Reconcile'!A$2:B3212,2,FALSE)</f>
        <v>44953</v>
      </c>
      <c r="D810" s="12">
        <f>IFERROR(__xludf.DUMMYFUNCTION("""COMPUTED_VALUE"""),44953.0)</f>
        <v>44953</v>
      </c>
      <c r="E810" s="13">
        <f>IFERROR(__xludf.DUMMYFUNCTION("""COMPUTED_VALUE"""),0.22354166666627862)</f>
        <v>0.2235416667</v>
      </c>
      <c r="F810" s="7" t="str">
        <f>IFERROR(__xludf.DUMMYFUNCTION("""COMPUTED_VALUE"""),"Negative")</f>
        <v>Negative</v>
      </c>
      <c r="G810" s="7">
        <f>IFERROR(__xludf.DUMMYFUNCTION("""COMPUTED_VALUE"""),2.0)</f>
        <v>2</v>
      </c>
    </row>
    <row r="811">
      <c r="A811" s="7" t="str">
        <f>IFERROR(__xludf.DUMMYFUNCTION("""COMPUTED_VALUE"""),"AH207")</f>
        <v>AH207</v>
      </c>
      <c r="B811" s="7" t="str">
        <f>IFERROR(__xludf.DUMMYFUNCTION("""COMPUTED_VALUE"""),"RUN-ABRM_2023-01-27_RFR-147")</f>
        <v>RUN-ABRM_2023-01-27_RFR-147</v>
      </c>
      <c r="C811" s="8">
        <f>VLOOKUP(B811,'Run Reconcile'!A$2:B3212,2,FALSE)</f>
        <v>44953</v>
      </c>
      <c r="D811" s="12">
        <f>IFERROR(__xludf.DUMMYFUNCTION("""COMPUTED_VALUE"""),44953.0)</f>
        <v>44953</v>
      </c>
      <c r="E811" s="13">
        <f>IFERROR(__xludf.DUMMYFUNCTION("""COMPUTED_VALUE"""),0.2997800925913907)</f>
        <v>0.2997800926</v>
      </c>
      <c r="F811" s="7" t="str">
        <f>IFERROR(__xludf.DUMMYFUNCTION("""COMPUTED_VALUE"""),"Negative")</f>
        <v>Negative</v>
      </c>
      <c r="G811" s="7">
        <f>IFERROR(__xludf.DUMMYFUNCTION("""COMPUTED_VALUE"""),3.0)</f>
        <v>3</v>
      </c>
    </row>
    <row r="812">
      <c r="A812" s="7" t="str">
        <f>IFERROR(__xludf.DUMMYFUNCTION("""COMPUTED_VALUE"""),"AK9614")</f>
        <v>AK9614</v>
      </c>
      <c r="B812" s="7" t="str">
        <f>IFERROR(__xludf.DUMMYFUNCTION("""COMPUTED_VALUE"""),"RUN-ABRM_2023-01-27_RFR-147")</f>
        <v>RUN-ABRM_2023-01-27_RFR-147</v>
      </c>
      <c r="C812" s="8">
        <f>VLOOKUP(B812,'Run Reconcile'!A$2:B3212,2,FALSE)</f>
        <v>44953</v>
      </c>
      <c r="D812" s="12">
        <f>IFERROR(__xludf.DUMMYFUNCTION("""COMPUTED_VALUE"""),44953.0)</f>
        <v>44953</v>
      </c>
      <c r="E812" s="13">
        <f>IFERROR(__xludf.DUMMYFUNCTION("""COMPUTED_VALUE"""),0.30474537036934635)</f>
        <v>0.3047453704</v>
      </c>
      <c r="F812" s="7" t="str">
        <f>IFERROR(__xludf.DUMMYFUNCTION("""COMPUTED_VALUE"""),"Negative")</f>
        <v>Negative</v>
      </c>
      <c r="G812" s="7">
        <f>IFERROR(__xludf.DUMMYFUNCTION("""COMPUTED_VALUE"""),3.0)</f>
        <v>3</v>
      </c>
    </row>
    <row r="813">
      <c r="A813" s="7" t="str">
        <f>IFERROR(__xludf.DUMMYFUNCTION("""COMPUTED_VALUE"""),"AH113")</f>
        <v>AH113</v>
      </c>
      <c r="B813" s="7" t="str">
        <f>IFERROR(__xludf.DUMMYFUNCTION("""COMPUTED_VALUE"""),"RUN-ABRM_2023-01-27_RFR-147")</f>
        <v>RUN-ABRM_2023-01-27_RFR-147</v>
      </c>
      <c r="C813" s="8">
        <f>VLOOKUP(B813,'Run Reconcile'!A$2:B3212,2,FALSE)</f>
        <v>44953</v>
      </c>
      <c r="D813" s="12">
        <f>IFERROR(__xludf.DUMMYFUNCTION("""COMPUTED_VALUE"""),44953.0)</f>
        <v>44953</v>
      </c>
      <c r="E813" s="13">
        <f>IFERROR(__xludf.DUMMYFUNCTION("""COMPUTED_VALUE"""),0.3272916666683159)</f>
        <v>0.3272916667</v>
      </c>
      <c r="F813" s="7" t="str">
        <f>IFERROR(__xludf.DUMMYFUNCTION("""COMPUTED_VALUE"""),"Negative")</f>
        <v>Negative</v>
      </c>
      <c r="G813" s="7">
        <f>IFERROR(__xludf.DUMMYFUNCTION("""COMPUTED_VALUE"""),1.0)</f>
        <v>1</v>
      </c>
    </row>
    <row r="814">
      <c r="A814" s="7" t="str">
        <f>IFERROR(__xludf.DUMMYFUNCTION("""COMPUTED_VALUE"""),"AH7148")</f>
        <v>AH7148</v>
      </c>
      <c r="B814" s="7" t="str">
        <f>IFERROR(__xludf.DUMMYFUNCTION("""COMPUTED_VALUE"""),"RUN-ABRM_2023-01-27_RFR-147")</f>
        <v>RUN-ABRM_2023-01-27_RFR-147</v>
      </c>
      <c r="C814" s="8">
        <f>VLOOKUP(B814,'Run Reconcile'!A$2:B3212,2,FALSE)</f>
        <v>44953</v>
      </c>
      <c r="D814" s="12">
        <f>IFERROR(__xludf.DUMMYFUNCTION("""COMPUTED_VALUE"""),44953.0)</f>
        <v>44953</v>
      </c>
      <c r="E814" s="13">
        <f>IFERROR(__xludf.DUMMYFUNCTION("""COMPUTED_VALUE"""),0.32752314814933925)</f>
        <v>0.3275231481</v>
      </c>
      <c r="F814" s="7" t="str">
        <f>IFERROR(__xludf.DUMMYFUNCTION("""COMPUTED_VALUE"""),"Negative")</f>
        <v>Negative</v>
      </c>
      <c r="G814" s="7">
        <f>IFERROR(__xludf.DUMMYFUNCTION("""COMPUTED_VALUE"""),1.0)</f>
        <v>1</v>
      </c>
    </row>
    <row r="815">
      <c r="A815" s="7" t="str">
        <f>IFERROR(__xludf.DUMMYFUNCTION("""COMPUTED_VALUE"""),"AG2028")</f>
        <v>AG2028</v>
      </c>
      <c r="B815" s="7" t="str">
        <f>IFERROR(__xludf.DUMMYFUNCTION("""COMPUTED_VALUE"""),"RUN-ABRM_2023-01-27_RFR-147")</f>
        <v>RUN-ABRM_2023-01-27_RFR-147</v>
      </c>
      <c r="C815" s="8">
        <f>VLOOKUP(B815,'Run Reconcile'!A$2:B3212,2,FALSE)</f>
        <v>44953</v>
      </c>
      <c r="D815" s="12">
        <f>IFERROR(__xludf.DUMMYFUNCTION("""COMPUTED_VALUE"""),44953.0)</f>
        <v>44953</v>
      </c>
      <c r="E815" s="13">
        <f>IFERROR(__xludf.DUMMYFUNCTION("""COMPUTED_VALUE"""),0.3340393518519704)</f>
        <v>0.3340393519</v>
      </c>
      <c r="F815" s="7" t="str">
        <f>IFERROR(__xludf.DUMMYFUNCTION("""COMPUTED_VALUE"""),"Negative")</f>
        <v>Negative</v>
      </c>
      <c r="G815" s="7">
        <f>IFERROR(__xludf.DUMMYFUNCTION("""COMPUTED_VALUE"""),3.0)</f>
        <v>3</v>
      </c>
    </row>
    <row r="816">
      <c r="A816" s="7" t="str">
        <f>IFERROR(__xludf.DUMMYFUNCTION("""COMPUTED_VALUE"""),"AH364")</f>
        <v>AH364</v>
      </c>
      <c r="B816" s="7" t="str">
        <f>IFERROR(__xludf.DUMMYFUNCTION("""COMPUTED_VALUE"""),"RUN-ABRM_2023-01-27_APS-003")</f>
        <v>RUN-ABRM_2023-01-27_APS-003</v>
      </c>
      <c r="C816" s="8">
        <f>VLOOKUP(B816,'Run Reconcile'!A$2:B3212,2,FALSE)</f>
        <v>44953</v>
      </c>
      <c r="D816" s="12">
        <f>IFERROR(__xludf.DUMMYFUNCTION("""COMPUTED_VALUE"""),44953.0)</f>
        <v>44953</v>
      </c>
      <c r="E816" s="13">
        <f>IFERROR(__xludf.DUMMYFUNCTION("""COMPUTED_VALUE"""),0.4068287037043774)</f>
        <v>0.4068287037</v>
      </c>
      <c r="F816" s="7" t="str">
        <f>IFERROR(__xludf.DUMMYFUNCTION("""COMPUTED_VALUE"""),"Negative")</f>
        <v>Negative</v>
      </c>
      <c r="G816" s="7">
        <f>IFERROR(__xludf.DUMMYFUNCTION("""COMPUTED_VALUE"""),1.0)</f>
        <v>1</v>
      </c>
    </row>
    <row r="817">
      <c r="A817" s="7" t="str">
        <f>IFERROR(__xludf.DUMMYFUNCTION("""COMPUTED_VALUE"""),"AJ21")</f>
        <v>AJ21</v>
      </c>
      <c r="B817" s="7" t="str">
        <f>IFERROR(__xludf.DUMMYFUNCTION("""COMPUTED_VALUE"""),"RUN-ABRM_2023-01-30_RFR-149")</f>
        <v>RUN-ABRM_2023-01-30_RFR-149</v>
      </c>
      <c r="C817" s="8">
        <f>VLOOKUP(B817,'Run Reconcile'!A$2:B3212,2,FALSE)</f>
        <v>44956</v>
      </c>
      <c r="D817" s="12">
        <f>IFERROR(__xludf.DUMMYFUNCTION("""COMPUTED_VALUE"""),44956.0)</f>
        <v>44956</v>
      </c>
      <c r="E817" s="13">
        <f>IFERROR(__xludf.DUMMYFUNCTION("""COMPUTED_VALUE"""),0.2592592592591245)</f>
        <v>0.2592592593</v>
      </c>
      <c r="F817" s="7" t="str">
        <f>IFERROR(__xludf.DUMMYFUNCTION("""COMPUTED_VALUE"""),"Negative")</f>
        <v>Negative</v>
      </c>
      <c r="G817" s="7">
        <f>IFERROR(__xludf.DUMMYFUNCTION("""COMPUTED_VALUE"""),2.0)</f>
        <v>2</v>
      </c>
    </row>
    <row r="818">
      <c r="A818" s="7" t="str">
        <f>IFERROR(__xludf.DUMMYFUNCTION("""COMPUTED_VALUE"""),"AJ9682")</f>
        <v>AJ9682</v>
      </c>
      <c r="B818" s="7" t="str">
        <f>IFERROR(__xludf.DUMMYFUNCTION("""COMPUTED_VALUE"""),"RUN-ABRM_2023-01-30_RFR-149")</f>
        <v>RUN-ABRM_2023-01-30_RFR-149</v>
      </c>
      <c r="C818" s="8">
        <f>VLOOKUP(B818,'Run Reconcile'!A$2:B3212,2,FALSE)</f>
        <v>44956</v>
      </c>
      <c r="D818" s="12">
        <f>IFERROR(__xludf.DUMMYFUNCTION("""COMPUTED_VALUE"""),44956.0)</f>
        <v>44956</v>
      </c>
      <c r="E818" s="13">
        <f>IFERROR(__xludf.DUMMYFUNCTION("""COMPUTED_VALUE"""),0.2908101851862739)</f>
        <v>0.2908101852</v>
      </c>
      <c r="F818" s="7" t="str">
        <f>IFERROR(__xludf.DUMMYFUNCTION("""COMPUTED_VALUE"""),"Negative")</f>
        <v>Negative</v>
      </c>
      <c r="G818" s="7">
        <f>IFERROR(__xludf.DUMMYFUNCTION("""COMPUTED_VALUE"""),3.0)</f>
        <v>3</v>
      </c>
    </row>
    <row r="819">
      <c r="A819" s="7" t="str">
        <f>IFERROR(__xludf.DUMMYFUNCTION("""COMPUTED_VALUE"""),"AR1307")</f>
        <v>AR1307</v>
      </c>
      <c r="B819" s="7" t="str">
        <f>IFERROR(__xludf.DUMMYFUNCTION("""COMPUTED_VALUE"""),"RUN-ABRM_2023-01-30_RFR-149")</f>
        <v>RUN-ABRM_2023-01-30_RFR-149</v>
      </c>
      <c r="C819" s="8">
        <f>VLOOKUP(B819,'Run Reconcile'!A$2:B3212,2,FALSE)</f>
        <v>44956</v>
      </c>
      <c r="D819" s="12">
        <f>IFERROR(__xludf.DUMMYFUNCTION("""COMPUTED_VALUE"""),44956.0)</f>
        <v>44956</v>
      </c>
      <c r="E819" s="13">
        <f>IFERROR(__xludf.DUMMYFUNCTION("""COMPUTED_VALUE"""),0.2925578703689098)</f>
        <v>0.2925578704</v>
      </c>
      <c r="F819" s="7" t="str">
        <f>IFERROR(__xludf.DUMMYFUNCTION("""COMPUTED_VALUE"""),"Negative")</f>
        <v>Negative</v>
      </c>
      <c r="G819" s="7">
        <f>IFERROR(__xludf.DUMMYFUNCTION("""COMPUTED_VALUE"""),2.0)</f>
        <v>2</v>
      </c>
    </row>
    <row r="820">
      <c r="A820" s="7" t="str">
        <f>IFERROR(__xludf.DUMMYFUNCTION("""COMPUTED_VALUE"""),"AG1184")</f>
        <v>AG1184</v>
      </c>
      <c r="B820" s="7" t="str">
        <f>IFERROR(__xludf.DUMMYFUNCTION("""COMPUTED_VALUE"""),"RUN-ABRM_2023-01-30_RFR-149")</f>
        <v>RUN-ABRM_2023-01-30_RFR-149</v>
      </c>
      <c r="C820" s="8">
        <f>VLOOKUP(B820,'Run Reconcile'!A$2:B3212,2,FALSE)</f>
        <v>44956</v>
      </c>
      <c r="D820" s="12">
        <f>IFERROR(__xludf.DUMMYFUNCTION("""COMPUTED_VALUE"""),44956.0)</f>
        <v>44956</v>
      </c>
      <c r="E820" s="13">
        <f>IFERROR(__xludf.DUMMYFUNCTION("""COMPUTED_VALUE"""),0.33421296296364744)</f>
        <v>0.334212963</v>
      </c>
      <c r="F820" s="7" t="str">
        <f>IFERROR(__xludf.DUMMYFUNCTION("""COMPUTED_VALUE"""),"Negative")</f>
        <v>Negative</v>
      </c>
      <c r="G820" s="7">
        <f>IFERROR(__xludf.DUMMYFUNCTION("""COMPUTED_VALUE"""),1.0)</f>
        <v>1</v>
      </c>
    </row>
    <row r="821">
      <c r="A821" s="7" t="str">
        <f>IFERROR(__xludf.DUMMYFUNCTION("""COMPUTED_VALUE"""),"AH7551")</f>
        <v>AH7551</v>
      </c>
      <c r="B821" s="7" t="str">
        <f>IFERROR(__xludf.DUMMYFUNCTION("""COMPUTED_VALUE"""),"RUN-ABRM_2023-01-30_RFR-149")</f>
        <v>RUN-ABRM_2023-01-30_RFR-149</v>
      </c>
      <c r="C821" s="8">
        <f>VLOOKUP(B821,'Run Reconcile'!A$2:B3212,2,FALSE)</f>
        <v>44956</v>
      </c>
      <c r="D821" s="12">
        <f>IFERROR(__xludf.DUMMYFUNCTION("""COMPUTED_VALUE"""),44956.0)</f>
        <v>44956</v>
      </c>
      <c r="E821" s="13">
        <f>IFERROR(__xludf.DUMMYFUNCTION("""COMPUTED_VALUE"""),0.33748842592467554)</f>
        <v>0.3374884259</v>
      </c>
      <c r="F821" s="7" t="str">
        <f>IFERROR(__xludf.DUMMYFUNCTION("""COMPUTED_VALUE"""),"Negative")</f>
        <v>Negative</v>
      </c>
      <c r="G821" s="7">
        <f>IFERROR(__xludf.DUMMYFUNCTION("""COMPUTED_VALUE"""),2.0)</f>
        <v>2</v>
      </c>
    </row>
    <row r="822">
      <c r="A822" s="7" t="str">
        <f>IFERROR(__xludf.DUMMYFUNCTION("""COMPUTED_VALUE"""),"AJ2150")</f>
        <v>AJ2150</v>
      </c>
      <c r="B822" s="7" t="str">
        <f>IFERROR(__xludf.DUMMYFUNCTION("""COMPUTED_VALUE"""),"RUN-ABRM_2023-01-30_RFR-149")</f>
        <v>RUN-ABRM_2023-01-30_RFR-149</v>
      </c>
      <c r="C822" s="8">
        <f>VLOOKUP(B822,'Run Reconcile'!A$2:B3212,2,FALSE)</f>
        <v>44956</v>
      </c>
      <c r="D822" s="12">
        <f>IFERROR(__xludf.DUMMYFUNCTION("""COMPUTED_VALUE"""),44956.0)</f>
        <v>44956</v>
      </c>
      <c r="E822" s="13">
        <f>IFERROR(__xludf.DUMMYFUNCTION("""COMPUTED_VALUE"""),0.3377546296287619)</f>
        <v>0.3377546296</v>
      </c>
      <c r="F822" s="7" t="str">
        <f>IFERROR(__xludf.DUMMYFUNCTION("""COMPUTED_VALUE"""),"Negative")</f>
        <v>Negative</v>
      </c>
      <c r="G822" s="7">
        <f>IFERROR(__xludf.DUMMYFUNCTION("""COMPUTED_VALUE"""),1.0)</f>
        <v>1</v>
      </c>
    </row>
    <row r="823">
      <c r="A823" s="7" t="str">
        <f>IFERROR(__xludf.DUMMYFUNCTION("""COMPUTED_VALUE"""),"AB9623")</f>
        <v>AB9623</v>
      </c>
      <c r="B823" s="7" t="str">
        <f>IFERROR(__xludf.DUMMYFUNCTION("""COMPUTED_VALUE"""),"RUN-ABRM_2023-01-30_RFR-149")</f>
        <v>RUN-ABRM_2023-01-30_RFR-149</v>
      </c>
      <c r="C823" s="8">
        <f>VLOOKUP(B823,'Run Reconcile'!A$2:B3212,2,FALSE)</f>
        <v>44956</v>
      </c>
      <c r="D823" s="12">
        <f>IFERROR(__xludf.DUMMYFUNCTION("""COMPUTED_VALUE"""),44956.0)</f>
        <v>44956</v>
      </c>
      <c r="E823" s="13">
        <f>IFERROR(__xludf.DUMMYFUNCTION("""COMPUTED_VALUE"""),0.3500347222216078)</f>
        <v>0.3500347222</v>
      </c>
      <c r="F823" s="7" t="str">
        <f>IFERROR(__xludf.DUMMYFUNCTION("""COMPUTED_VALUE"""),"Negative")</f>
        <v>Negative</v>
      </c>
      <c r="G823" s="7">
        <f>IFERROR(__xludf.DUMMYFUNCTION("""COMPUTED_VALUE"""),2.0)</f>
        <v>2</v>
      </c>
    </row>
    <row r="824">
      <c r="A824" s="7" t="str">
        <f>IFERROR(__xludf.DUMMYFUNCTION("""COMPUTED_VALUE"""),"AJ8654")</f>
        <v>AJ8654</v>
      </c>
      <c r="B824" s="7" t="str">
        <f>IFERROR(__xludf.DUMMYFUNCTION("""COMPUTED_VALUE"""),"RUN-ABRM_2023-02-06_RFR-150")</f>
        <v>RUN-ABRM_2023-02-06_RFR-150</v>
      </c>
      <c r="C824" s="8">
        <f>VLOOKUP(B824,'Run Reconcile'!A$2:B3212,2,FALSE)</f>
        <v>44963</v>
      </c>
      <c r="D824" s="12">
        <f>IFERROR(__xludf.DUMMYFUNCTION("""COMPUTED_VALUE"""),44963.0)</f>
        <v>44963</v>
      </c>
      <c r="E824" s="13">
        <f>IFERROR(__xludf.DUMMYFUNCTION("""COMPUTED_VALUE"""),0.3608564814821875)</f>
        <v>0.3608564815</v>
      </c>
      <c r="F824" s="7" t="str">
        <f>IFERROR(__xludf.DUMMYFUNCTION("""COMPUTED_VALUE"""),"Negative")</f>
        <v>Negative</v>
      </c>
      <c r="G824" s="7">
        <f>IFERROR(__xludf.DUMMYFUNCTION("""COMPUTED_VALUE"""),1.0)</f>
        <v>1</v>
      </c>
    </row>
    <row r="825">
      <c r="A825" s="7" t="str">
        <f>IFERROR(__xludf.DUMMYFUNCTION("""COMPUTED_VALUE"""),"AR607")</f>
        <v>AR607</v>
      </c>
      <c r="B825" s="7" t="str">
        <f>IFERROR(__xludf.DUMMYFUNCTION("""COMPUTED_VALUE"""),"RUN-ABRM_2023-02-06_RFR-150")</f>
        <v>RUN-ABRM_2023-02-06_RFR-150</v>
      </c>
      <c r="C825" s="8">
        <f>VLOOKUP(B825,'Run Reconcile'!A$2:B3212,2,FALSE)</f>
        <v>44963</v>
      </c>
      <c r="D825" s="12">
        <f>IFERROR(__xludf.DUMMYFUNCTION("""COMPUTED_VALUE"""),44963.0)</f>
        <v>44963</v>
      </c>
      <c r="E825" s="13">
        <f>IFERROR(__xludf.DUMMYFUNCTION("""COMPUTED_VALUE"""),0.36116898148247856)</f>
        <v>0.3611689815</v>
      </c>
      <c r="F825" s="7" t="str">
        <f>IFERROR(__xludf.DUMMYFUNCTION("""COMPUTED_VALUE"""),"Negative")</f>
        <v>Negative</v>
      </c>
      <c r="G825" s="7">
        <f>IFERROR(__xludf.DUMMYFUNCTION("""COMPUTED_VALUE"""),1.0)</f>
        <v>1</v>
      </c>
    </row>
    <row r="826">
      <c r="A826" s="7" t="str">
        <f>IFERROR(__xludf.DUMMYFUNCTION("""COMPUTED_VALUE"""),"AR1666")</f>
        <v>AR1666</v>
      </c>
      <c r="B826" s="7" t="str">
        <f>IFERROR(__xludf.DUMMYFUNCTION("""COMPUTED_VALUE"""),"RUN-ABRM_2023-02-07_APS-004")</f>
        <v>RUN-ABRM_2023-02-07_APS-004</v>
      </c>
      <c r="C826" s="8">
        <f>VLOOKUP(B826,'Run Reconcile'!A$2:B3212,2,FALSE)</f>
        <v>44964</v>
      </c>
      <c r="D826" s="12">
        <f>IFERROR(__xludf.DUMMYFUNCTION("""COMPUTED_VALUE"""),44964.0)</f>
        <v>44964</v>
      </c>
      <c r="E826" s="13">
        <f>IFERROR(__xludf.DUMMYFUNCTION("""COMPUTED_VALUE"""),0.23217592592482106)</f>
        <v>0.2321759259</v>
      </c>
      <c r="F826" s="7" t="str">
        <f>IFERROR(__xludf.DUMMYFUNCTION("""COMPUTED_VALUE"""),"Negative")</f>
        <v>Negative</v>
      </c>
      <c r="G826" s="7">
        <f>IFERROR(__xludf.DUMMYFUNCTION("""COMPUTED_VALUE"""),3.0)</f>
        <v>3</v>
      </c>
    </row>
    <row r="827">
      <c r="A827" s="7" t="str">
        <f>IFERROR(__xludf.DUMMYFUNCTION("""COMPUTED_VALUE"""),"AR768")</f>
        <v>AR768</v>
      </c>
      <c r="B827" s="7" t="str">
        <f>IFERROR(__xludf.DUMMYFUNCTION("""COMPUTED_VALUE"""),"RUN-ABRM_2023-02-07_APS-004")</f>
        <v>RUN-ABRM_2023-02-07_APS-004</v>
      </c>
      <c r="C827" s="8">
        <f>VLOOKUP(B827,'Run Reconcile'!A$2:B3212,2,FALSE)</f>
        <v>44964</v>
      </c>
      <c r="D827" s="12">
        <f>IFERROR(__xludf.DUMMYFUNCTION("""COMPUTED_VALUE"""),44964.0)</f>
        <v>44964</v>
      </c>
      <c r="E827" s="13">
        <f>IFERROR(__xludf.DUMMYFUNCTION("""COMPUTED_VALUE"""),0.3002546296302171)</f>
        <v>0.3002546296</v>
      </c>
      <c r="F827" s="7" t="str">
        <f>IFERROR(__xludf.DUMMYFUNCTION("""COMPUTED_VALUE"""),"Negative")</f>
        <v>Negative</v>
      </c>
      <c r="G827" s="7">
        <f>IFERROR(__xludf.DUMMYFUNCTION("""COMPUTED_VALUE"""),4.0)</f>
        <v>4</v>
      </c>
    </row>
    <row r="828">
      <c r="A828" s="7" t="str">
        <f>IFERROR(__xludf.DUMMYFUNCTION("""COMPUTED_VALUE"""),"AR766")</f>
        <v>AR766</v>
      </c>
      <c r="B828" s="7" t="str">
        <f>IFERROR(__xludf.DUMMYFUNCTION("""COMPUTED_VALUE"""),"RUN-ABRM_2023-02-07_APS-004")</f>
        <v>RUN-ABRM_2023-02-07_APS-004</v>
      </c>
      <c r="C828" s="8">
        <f>VLOOKUP(B828,'Run Reconcile'!A$2:B3212,2,FALSE)</f>
        <v>44964</v>
      </c>
      <c r="D828" s="12">
        <f>IFERROR(__xludf.DUMMYFUNCTION("""COMPUTED_VALUE"""),44964.0)</f>
        <v>44964</v>
      </c>
      <c r="E828" s="13">
        <f>IFERROR(__xludf.DUMMYFUNCTION("""COMPUTED_VALUE"""),0.31763888888963265)</f>
        <v>0.3176388889</v>
      </c>
      <c r="F828" s="7" t="str">
        <f>IFERROR(__xludf.DUMMYFUNCTION("""COMPUTED_VALUE"""),"Negative")</f>
        <v>Negative</v>
      </c>
      <c r="G828" s="7">
        <f>IFERROR(__xludf.DUMMYFUNCTION("""COMPUTED_VALUE"""),1.0)</f>
        <v>1</v>
      </c>
    </row>
    <row r="829">
      <c r="A829" s="7" t="str">
        <f>IFERROR(__xludf.DUMMYFUNCTION("""COMPUTED_VALUE"""),"AJ7031")</f>
        <v>AJ7031</v>
      </c>
      <c r="B829" s="7" t="str">
        <f>IFERROR(__xludf.DUMMYFUNCTION("""COMPUTED_VALUE"""),"RUN-ABRM_2023-02-07_APS-004")</f>
        <v>RUN-ABRM_2023-02-07_APS-004</v>
      </c>
      <c r="C829" s="8">
        <f>VLOOKUP(B829,'Run Reconcile'!A$2:B3212,2,FALSE)</f>
        <v>44964</v>
      </c>
      <c r="D829" s="12">
        <f>IFERROR(__xludf.DUMMYFUNCTION("""COMPUTED_VALUE"""),44964.0)</f>
        <v>44964</v>
      </c>
      <c r="E829" s="13">
        <f>IFERROR(__xludf.DUMMYFUNCTION("""COMPUTED_VALUE"""),0.3179166666668607)</f>
        <v>0.3179166667</v>
      </c>
      <c r="F829" s="7" t="str">
        <f>IFERROR(__xludf.DUMMYFUNCTION("""COMPUTED_VALUE"""),"Negative")</f>
        <v>Negative</v>
      </c>
      <c r="G829" s="7">
        <f>IFERROR(__xludf.DUMMYFUNCTION("""COMPUTED_VALUE"""),1.0)</f>
        <v>1</v>
      </c>
    </row>
    <row r="830">
      <c r="A830" s="7" t="str">
        <f>IFERROR(__xludf.DUMMYFUNCTION("""COMPUTED_VALUE"""),"AR1143")</f>
        <v>AR1143</v>
      </c>
      <c r="B830" s="7" t="str">
        <f>IFERROR(__xludf.DUMMYFUNCTION("""COMPUTED_VALUE"""),"RUN-ABRM_2023-02-07_APS-004")</f>
        <v>RUN-ABRM_2023-02-07_APS-004</v>
      </c>
      <c r="C830" s="8">
        <f>VLOOKUP(B830,'Run Reconcile'!A$2:B3212,2,FALSE)</f>
        <v>44964</v>
      </c>
      <c r="D830" s="12">
        <f>IFERROR(__xludf.DUMMYFUNCTION("""COMPUTED_VALUE"""),44964.0)</f>
        <v>44964</v>
      </c>
      <c r="E830" s="13">
        <f>IFERROR(__xludf.DUMMYFUNCTION("""COMPUTED_VALUE"""),0.31815972222102573)</f>
        <v>0.3181597222</v>
      </c>
      <c r="F830" s="7" t="str">
        <f>IFERROR(__xludf.DUMMYFUNCTION("""COMPUTED_VALUE"""),"Negative")</f>
        <v>Negative</v>
      </c>
      <c r="G830" s="7">
        <f>IFERROR(__xludf.DUMMYFUNCTION("""COMPUTED_VALUE"""),1.0)</f>
        <v>1</v>
      </c>
    </row>
    <row r="831">
      <c r="A831" s="7" t="str">
        <f>IFERROR(__xludf.DUMMYFUNCTION("""COMPUTED_VALUE"""),"AK6409")</f>
        <v>AK6409</v>
      </c>
      <c r="B831" s="7" t="str">
        <f>IFERROR(__xludf.DUMMYFUNCTION("""COMPUTED_VALUE"""),"RUN-ABRM_2023-02-07_APS-004")</f>
        <v>RUN-ABRM_2023-02-07_APS-004</v>
      </c>
      <c r="C831" s="8">
        <f>VLOOKUP(B831,'Run Reconcile'!A$2:B3212,2,FALSE)</f>
        <v>44964</v>
      </c>
      <c r="D831" s="12">
        <f>IFERROR(__xludf.DUMMYFUNCTION("""COMPUTED_VALUE"""),44964.0)</f>
        <v>44964</v>
      </c>
      <c r="E831" s="13">
        <f>IFERROR(__xludf.DUMMYFUNCTION("""COMPUTED_VALUE"""),0.35630787037007394)</f>
        <v>0.3563078704</v>
      </c>
      <c r="F831" s="7" t="str">
        <f>IFERROR(__xludf.DUMMYFUNCTION("""COMPUTED_VALUE"""),"Negative")</f>
        <v>Negative</v>
      </c>
      <c r="G831" s="7">
        <f>IFERROR(__xludf.DUMMYFUNCTION("""COMPUTED_VALUE"""),2.0)</f>
        <v>2</v>
      </c>
    </row>
    <row r="832">
      <c r="A832" s="7" t="str">
        <f>IFERROR(__xludf.DUMMYFUNCTION("""COMPUTED_VALUE"""),"AJ8058")</f>
        <v>AJ8058</v>
      </c>
      <c r="B832" s="7" t="str">
        <f>IFERROR(__xludf.DUMMYFUNCTION("""COMPUTED_VALUE"""),"RUN-ABRM_2023-02-08_RFR-151")</f>
        <v>RUN-ABRM_2023-02-08_RFR-151</v>
      </c>
      <c r="C832" s="8">
        <f>VLOOKUP(B832,'Run Reconcile'!A$2:B3212,2,FALSE)</f>
        <v>44965</v>
      </c>
      <c r="D832" s="12">
        <f>IFERROR(__xludf.DUMMYFUNCTION("""COMPUTED_VALUE"""),44965.0)</f>
        <v>44965</v>
      </c>
      <c r="E832" s="13">
        <f>IFERROR(__xludf.DUMMYFUNCTION("""COMPUTED_VALUE"""),0.2385879629619012)</f>
        <v>0.238587963</v>
      </c>
      <c r="F832" s="7" t="str">
        <f>IFERROR(__xludf.DUMMYFUNCTION("""COMPUTED_VALUE"""),"Negative")</f>
        <v>Negative</v>
      </c>
      <c r="G832" s="7">
        <f>IFERROR(__xludf.DUMMYFUNCTION("""COMPUTED_VALUE"""),3.0)</f>
        <v>3</v>
      </c>
    </row>
    <row r="833">
      <c r="A833" s="7" t="str">
        <f>IFERROR(__xludf.DUMMYFUNCTION("""COMPUTED_VALUE"""),"AH1161")</f>
        <v>AH1161</v>
      </c>
      <c r="B833" s="7" t="str">
        <f>IFERROR(__xludf.DUMMYFUNCTION("""COMPUTED_VALUE"""),"RUN-ABRM_2023-02-08_RFR-151")</f>
        <v>RUN-ABRM_2023-02-08_RFR-151</v>
      </c>
      <c r="C833" s="8">
        <f>VLOOKUP(B833,'Run Reconcile'!A$2:B3212,2,FALSE)</f>
        <v>44965</v>
      </c>
      <c r="D833" s="12">
        <f>IFERROR(__xludf.DUMMYFUNCTION("""COMPUTED_VALUE"""),44965.0)</f>
        <v>44965</v>
      </c>
      <c r="E833" s="13">
        <f>IFERROR(__xludf.DUMMYFUNCTION("""COMPUTED_VALUE"""),0.2935995370353339)</f>
        <v>0.293599537</v>
      </c>
      <c r="F833" s="7" t="str">
        <f>IFERROR(__xludf.DUMMYFUNCTION("""COMPUTED_VALUE"""),"Negative")</f>
        <v>Negative</v>
      </c>
      <c r="G833" s="7">
        <f>IFERROR(__xludf.DUMMYFUNCTION("""COMPUTED_VALUE"""),3.0)</f>
        <v>3</v>
      </c>
    </row>
    <row r="834">
      <c r="A834" s="7" t="str">
        <f>IFERROR(__xludf.DUMMYFUNCTION("""COMPUTED_VALUE"""),"AG1015")</f>
        <v>AG1015</v>
      </c>
      <c r="B834" s="7" t="str">
        <f>IFERROR(__xludf.DUMMYFUNCTION("""COMPUTED_VALUE"""),"RUN-ABRM_2023-02-08_RFR-151")</f>
        <v>RUN-ABRM_2023-02-08_RFR-151</v>
      </c>
      <c r="C834" s="8">
        <f>VLOOKUP(B834,'Run Reconcile'!A$2:B3212,2,FALSE)</f>
        <v>44965</v>
      </c>
      <c r="D834" s="12">
        <f>IFERROR(__xludf.DUMMYFUNCTION("""COMPUTED_VALUE"""),44965.0)</f>
        <v>44965</v>
      </c>
      <c r="E834" s="13">
        <f>IFERROR(__xludf.DUMMYFUNCTION("""COMPUTED_VALUE"""),0.3139120370360615)</f>
        <v>0.313912037</v>
      </c>
      <c r="F834" s="7" t="str">
        <f>IFERROR(__xludf.DUMMYFUNCTION("""COMPUTED_VALUE"""),"Negative")</f>
        <v>Negative</v>
      </c>
      <c r="G834" s="7">
        <f>IFERROR(__xludf.DUMMYFUNCTION("""COMPUTED_VALUE"""),1.0)</f>
        <v>1</v>
      </c>
    </row>
    <row r="835">
      <c r="A835" s="7" t="str">
        <f>IFERROR(__xludf.DUMMYFUNCTION("""COMPUTED_VALUE"""),"AR358")</f>
        <v>AR358</v>
      </c>
      <c r="B835" s="7" t="str">
        <f>IFERROR(__xludf.DUMMYFUNCTION("""COMPUTED_VALUE"""),"RUN-ABRM_2023-02-08_RFR-151")</f>
        <v>RUN-ABRM_2023-02-08_RFR-151</v>
      </c>
      <c r="C835" s="8">
        <f>VLOOKUP(B835,'Run Reconcile'!A$2:B3212,2,FALSE)</f>
        <v>44965</v>
      </c>
      <c r="D835" s="12">
        <f>IFERROR(__xludf.DUMMYFUNCTION("""COMPUTED_VALUE"""),44965.0)</f>
        <v>44965</v>
      </c>
      <c r="E835" s="13">
        <f>IFERROR(__xludf.DUMMYFUNCTION("""COMPUTED_VALUE"""),0.32712962962978054)</f>
        <v>0.3271296296</v>
      </c>
      <c r="F835" s="7" t="str">
        <f>IFERROR(__xludf.DUMMYFUNCTION("""COMPUTED_VALUE"""),"Negative")</f>
        <v>Negative</v>
      </c>
      <c r="G835" s="7">
        <f>IFERROR(__xludf.DUMMYFUNCTION("""COMPUTED_VALUE"""),2.0)</f>
        <v>2</v>
      </c>
    </row>
    <row r="836">
      <c r="A836" s="7" t="str">
        <f>IFERROR(__xludf.DUMMYFUNCTION("""COMPUTED_VALUE"""),"AR1355")</f>
        <v>AR1355</v>
      </c>
      <c r="B836" s="7" t="str">
        <f>IFERROR(__xludf.DUMMYFUNCTION("""COMPUTED_VALUE"""),"RUN-ABRM_2023-02-08_RFR-151")</f>
        <v>RUN-ABRM_2023-02-08_RFR-151</v>
      </c>
      <c r="C836" s="8">
        <f>VLOOKUP(B836,'Run Reconcile'!A$2:B3212,2,FALSE)</f>
        <v>44965</v>
      </c>
      <c r="D836" s="12">
        <f>IFERROR(__xludf.DUMMYFUNCTION("""COMPUTED_VALUE"""),44965.0)</f>
        <v>44965</v>
      </c>
      <c r="E836" s="13">
        <f>IFERROR(__xludf.DUMMYFUNCTION("""COMPUTED_VALUE"""),0.33134259259168175)</f>
        <v>0.3313425926</v>
      </c>
      <c r="F836" s="7" t="str">
        <f>IFERROR(__xludf.DUMMYFUNCTION("""COMPUTED_VALUE"""),"Negative")</f>
        <v>Negative</v>
      </c>
      <c r="G836" s="7">
        <f>IFERROR(__xludf.DUMMYFUNCTION("""COMPUTED_VALUE"""),1.0)</f>
        <v>1</v>
      </c>
    </row>
    <row r="837">
      <c r="A837" s="7" t="str">
        <f>IFERROR(__xludf.DUMMYFUNCTION("""COMPUTED_VALUE"""),"AR1817")</f>
        <v>AR1817</v>
      </c>
      <c r="B837" s="7" t="str">
        <f>IFERROR(__xludf.DUMMYFUNCTION("""COMPUTED_VALUE"""),"RUN-ABRM_2023-02-08_RFR-151")</f>
        <v>RUN-ABRM_2023-02-08_RFR-151</v>
      </c>
      <c r="C837" s="8">
        <f>VLOOKUP(B837,'Run Reconcile'!A$2:B3212,2,FALSE)</f>
        <v>44965</v>
      </c>
      <c r="D837" s="12">
        <f>IFERROR(__xludf.DUMMYFUNCTION("""COMPUTED_VALUE"""),44965.0)</f>
        <v>44965</v>
      </c>
      <c r="E837" s="13">
        <f>IFERROR(__xludf.DUMMYFUNCTION("""COMPUTED_VALUE"""),0.3367013888891961)</f>
        <v>0.3367013889</v>
      </c>
      <c r="F837" s="7" t="str">
        <f>IFERROR(__xludf.DUMMYFUNCTION("""COMPUTED_VALUE"""),"Negative")</f>
        <v>Negative</v>
      </c>
      <c r="G837" s="7">
        <f>IFERROR(__xludf.DUMMYFUNCTION("""COMPUTED_VALUE"""),2.0)</f>
        <v>2</v>
      </c>
    </row>
    <row r="838">
      <c r="A838" s="7" t="str">
        <f>IFERROR(__xludf.DUMMYFUNCTION("""COMPUTED_VALUE"""),"AR901")</f>
        <v>AR901</v>
      </c>
      <c r="B838" s="7" t="str">
        <f>IFERROR(__xludf.DUMMYFUNCTION("""COMPUTED_VALUE"""),"RUN-ABRM_2023-02-08_RFR-151")</f>
        <v>RUN-ABRM_2023-02-08_RFR-151</v>
      </c>
      <c r="C838" s="8">
        <f>VLOOKUP(B838,'Run Reconcile'!A$2:B3212,2,FALSE)</f>
        <v>44965</v>
      </c>
      <c r="D838" s="12">
        <f>IFERROR(__xludf.DUMMYFUNCTION("""COMPUTED_VALUE"""),44965.0)</f>
        <v>44965</v>
      </c>
      <c r="E838" s="13">
        <f>IFERROR(__xludf.DUMMYFUNCTION("""COMPUTED_VALUE"""),0.33769675925941556)</f>
        <v>0.3376967593</v>
      </c>
      <c r="F838" s="7" t="str">
        <f>IFERROR(__xludf.DUMMYFUNCTION("""COMPUTED_VALUE"""),"Negative")</f>
        <v>Negative</v>
      </c>
      <c r="G838" s="7">
        <f>IFERROR(__xludf.DUMMYFUNCTION("""COMPUTED_VALUE"""),1.0)</f>
        <v>1</v>
      </c>
    </row>
    <row r="839">
      <c r="A839" s="7" t="str">
        <f>IFERROR(__xludf.DUMMYFUNCTION("""COMPUTED_VALUE"""),"AJ8277")</f>
        <v>AJ8277</v>
      </c>
      <c r="B839" s="7" t="str">
        <f>IFERROR(__xludf.DUMMYFUNCTION("""COMPUTED_VALUE"""),"RUN-ABRM_2023-02-08_RFR-151")</f>
        <v>RUN-ABRM_2023-02-08_RFR-151</v>
      </c>
      <c r="C839" s="8">
        <f>VLOOKUP(B839,'Run Reconcile'!A$2:B3212,2,FALSE)</f>
        <v>44965</v>
      </c>
      <c r="D839" s="12">
        <f>IFERROR(__xludf.DUMMYFUNCTION("""COMPUTED_VALUE"""),44965.0)</f>
        <v>44965</v>
      </c>
      <c r="E839" s="13">
        <f>IFERROR(__xludf.DUMMYFUNCTION("""COMPUTED_VALUE"""),0.33893518518380006)</f>
        <v>0.3389351852</v>
      </c>
      <c r="F839" s="7" t="str">
        <f>IFERROR(__xludf.DUMMYFUNCTION("""COMPUTED_VALUE"""),"Negative")</f>
        <v>Negative</v>
      </c>
      <c r="G839" s="7">
        <f>IFERROR(__xludf.DUMMYFUNCTION("""COMPUTED_VALUE"""),3.0)</f>
        <v>3</v>
      </c>
    </row>
    <row r="840">
      <c r="A840" s="7" t="str">
        <f>IFERROR(__xludf.DUMMYFUNCTION("""COMPUTED_VALUE"""),"AR1002")</f>
        <v>AR1002</v>
      </c>
      <c r="B840" s="7" t="str">
        <f>IFERROR(__xludf.DUMMYFUNCTION("""COMPUTED_VALUE"""),"RUN-ABRM_2023-02-09_RFR-153")</f>
        <v>RUN-ABRM_2023-02-09_RFR-153</v>
      </c>
      <c r="C840" s="8">
        <f>VLOOKUP(B840,'Run Reconcile'!A$2:B3212,2,FALSE)</f>
        <v>44966</v>
      </c>
      <c r="D840" s="12">
        <f>IFERROR(__xludf.DUMMYFUNCTION("""COMPUTED_VALUE"""),44966.0)</f>
        <v>44966</v>
      </c>
      <c r="E840" s="13">
        <f>IFERROR(__xludf.DUMMYFUNCTION("""COMPUTED_VALUE"""),0.2769212962957681)</f>
        <v>0.2769212963</v>
      </c>
      <c r="F840" s="7" t="str">
        <f>IFERROR(__xludf.DUMMYFUNCTION("""COMPUTED_VALUE"""),"Negative")</f>
        <v>Negative</v>
      </c>
      <c r="G840" s="7">
        <f>IFERROR(__xludf.DUMMYFUNCTION("""COMPUTED_VALUE"""),3.0)</f>
        <v>3</v>
      </c>
    </row>
    <row r="841">
      <c r="A841" s="7" t="str">
        <f>IFERROR(__xludf.DUMMYFUNCTION("""COMPUTED_VALUE"""),"AH650")</f>
        <v>AH650</v>
      </c>
      <c r="B841" s="7" t="str">
        <f>IFERROR(__xludf.DUMMYFUNCTION("""COMPUTED_VALUE"""),"RUN-ABRM_2023-02-09_RFR-153")</f>
        <v>RUN-ABRM_2023-02-09_RFR-153</v>
      </c>
      <c r="C841" s="8">
        <f>VLOOKUP(B841,'Run Reconcile'!A$2:B3212,2,FALSE)</f>
        <v>44966</v>
      </c>
      <c r="D841" s="12">
        <f>IFERROR(__xludf.DUMMYFUNCTION("""COMPUTED_VALUE"""),44966.0)</f>
        <v>44966</v>
      </c>
      <c r="E841" s="13">
        <f>IFERROR(__xludf.DUMMYFUNCTION("""COMPUTED_VALUE"""),0.28616898148175096)</f>
        <v>0.2861689815</v>
      </c>
      <c r="F841" s="7" t="str">
        <f>IFERROR(__xludf.DUMMYFUNCTION("""COMPUTED_VALUE"""),"Negative")</f>
        <v>Negative</v>
      </c>
      <c r="G841" s="7">
        <f>IFERROR(__xludf.DUMMYFUNCTION("""COMPUTED_VALUE"""),3.0)</f>
        <v>3</v>
      </c>
    </row>
    <row r="842">
      <c r="A842" s="7" t="str">
        <f>IFERROR(__xludf.DUMMYFUNCTION("""COMPUTED_VALUE"""),"AH7424")</f>
        <v>AH7424</v>
      </c>
      <c r="B842" s="7" t="str">
        <f>IFERROR(__xludf.DUMMYFUNCTION("""COMPUTED_VALUE"""),"RUN-ABRM_2023-02-09_RFR-153")</f>
        <v>RUN-ABRM_2023-02-09_RFR-153</v>
      </c>
      <c r="C842" s="8">
        <f>VLOOKUP(B842,'Run Reconcile'!A$2:B3212,2,FALSE)</f>
        <v>44966</v>
      </c>
      <c r="D842" s="12">
        <f>IFERROR(__xludf.DUMMYFUNCTION("""COMPUTED_VALUE"""),44966.0)</f>
        <v>44966</v>
      </c>
      <c r="E842" s="13">
        <f>IFERROR(__xludf.DUMMYFUNCTION("""COMPUTED_VALUE"""),0.28806712962978054)</f>
        <v>0.2880671296</v>
      </c>
      <c r="F842" s="7" t="str">
        <f>IFERROR(__xludf.DUMMYFUNCTION("""COMPUTED_VALUE"""),"Negative")</f>
        <v>Negative</v>
      </c>
      <c r="G842" s="7">
        <f>IFERROR(__xludf.DUMMYFUNCTION("""COMPUTED_VALUE"""),3.0)</f>
        <v>3</v>
      </c>
    </row>
    <row r="843">
      <c r="A843" s="7" t="str">
        <f>IFERROR(__xludf.DUMMYFUNCTION("""COMPUTED_VALUE"""),"AG1037")</f>
        <v>AG1037</v>
      </c>
      <c r="B843" s="7" t="str">
        <f>IFERROR(__xludf.DUMMYFUNCTION("""COMPUTED_VALUE"""),"RUN-ABRM_2023-02-09_RFR-153")</f>
        <v>RUN-ABRM_2023-02-09_RFR-153</v>
      </c>
      <c r="C843" s="8">
        <f>VLOOKUP(B843,'Run Reconcile'!A$2:B3212,2,FALSE)</f>
        <v>44966</v>
      </c>
      <c r="D843" s="12">
        <f>IFERROR(__xludf.DUMMYFUNCTION("""COMPUTED_VALUE"""),44966.0)</f>
        <v>44966</v>
      </c>
      <c r="E843" s="13">
        <f>IFERROR(__xludf.DUMMYFUNCTION("""COMPUTED_VALUE"""),0.3323842592581059)</f>
        <v>0.3323842593</v>
      </c>
      <c r="F843" s="7" t="str">
        <f>IFERROR(__xludf.DUMMYFUNCTION("""COMPUTED_VALUE"""),"Negative")</f>
        <v>Negative</v>
      </c>
      <c r="G843" s="7">
        <f>IFERROR(__xludf.DUMMYFUNCTION("""COMPUTED_VALUE"""),3.0)</f>
        <v>3</v>
      </c>
    </row>
    <row r="844">
      <c r="A844" s="7" t="str">
        <f>IFERROR(__xludf.DUMMYFUNCTION("""COMPUTED_VALUE"""),"AR1804")</f>
        <v>AR1804</v>
      </c>
      <c r="B844" s="7" t="str">
        <f>IFERROR(__xludf.DUMMYFUNCTION("""COMPUTED_VALUE"""),"RUN-ABRM_2023-02-09_RFR-153")</f>
        <v>RUN-ABRM_2023-02-09_RFR-153</v>
      </c>
      <c r="C844" s="8">
        <f>VLOOKUP(B844,'Run Reconcile'!A$2:B3212,2,FALSE)</f>
        <v>44966</v>
      </c>
      <c r="D844" s="12">
        <f>IFERROR(__xludf.DUMMYFUNCTION("""COMPUTED_VALUE"""),44966.0)</f>
        <v>44966</v>
      </c>
      <c r="E844" s="13">
        <f>IFERROR(__xludf.DUMMYFUNCTION("""COMPUTED_VALUE"""),0.33565972222277196)</f>
        <v>0.3356597222</v>
      </c>
      <c r="F844" s="7" t="str">
        <f>IFERROR(__xludf.DUMMYFUNCTION("""COMPUTED_VALUE"""),"Negative")</f>
        <v>Negative</v>
      </c>
      <c r="G844" s="7">
        <f>IFERROR(__xludf.DUMMYFUNCTION("""COMPUTED_VALUE"""),2.0)</f>
        <v>2</v>
      </c>
    </row>
    <row r="845">
      <c r="A845" s="7" t="str">
        <f>IFERROR(__xludf.DUMMYFUNCTION("""COMPUTED_VALUE"""),"AG2125")</f>
        <v>AG2125</v>
      </c>
      <c r="B845" s="7" t="str">
        <f>IFERROR(__xludf.DUMMYFUNCTION("""COMPUTED_VALUE"""),"RUN-ABRM_2023-02-09_RFR-153")</f>
        <v>RUN-ABRM_2023-02-09_RFR-153</v>
      </c>
      <c r="C845" s="8">
        <f>VLOOKUP(B845,'Run Reconcile'!A$2:B3212,2,FALSE)</f>
        <v>44966</v>
      </c>
      <c r="D845" s="12">
        <f>IFERROR(__xludf.DUMMYFUNCTION("""COMPUTED_VALUE"""),44966.0)</f>
        <v>44966</v>
      </c>
      <c r="E845" s="13">
        <f>IFERROR(__xludf.DUMMYFUNCTION("""COMPUTED_VALUE"""),0.3361921296309447)</f>
        <v>0.3361921296</v>
      </c>
      <c r="F845" s="7" t="str">
        <f>IFERROR(__xludf.DUMMYFUNCTION("""COMPUTED_VALUE"""),"Negative")</f>
        <v>Negative</v>
      </c>
      <c r="G845" s="7">
        <f>IFERROR(__xludf.DUMMYFUNCTION("""COMPUTED_VALUE"""),1.0)</f>
        <v>1</v>
      </c>
    </row>
    <row r="846">
      <c r="A846" s="7" t="str">
        <f>IFERROR(__xludf.DUMMYFUNCTION("""COMPUTED_VALUE"""),"AH6951")</f>
        <v>AH6951</v>
      </c>
      <c r="B846" s="7" t="str">
        <f>IFERROR(__xludf.DUMMYFUNCTION("""COMPUTED_VALUE"""),"RUN-ABRM_2023-02-09_RFR-153")</f>
        <v>RUN-ABRM_2023-02-09_RFR-153</v>
      </c>
      <c r="C846" s="8">
        <f>VLOOKUP(B846,'Run Reconcile'!A$2:B3212,2,FALSE)</f>
        <v>44966</v>
      </c>
      <c r="D846" s="12">
        <f>IFERROR(__xludf.DUMMYFUNCTION("""COMPUTED_VALUE"""),44966.0)</f>
        <v>44966</v>
      </c>
      <c r="E846" s="13">
        <f>IFERROR(__xludf.DUMMYFUNCTION("""COMPUTED_VALUE"""),0.3364467592582514)</f>
        <v>0.3364467593</v>
      </c>
      <c r="F846" s="7" t="str">
        <f>IFERROR(__xludf.DUMMYFUNCTION("""COMPUTED_VALUE"""),"Negative")</f>
        <v>Negative</v>
      </c>
      <c r="G846" s="7">
        <f>IFERROR(__xludf.DUMMYFUNCTION("""COMPUTED_VALUE"""),1.0)</f>
        <v>1</v>
      </c>
    </row>
    <row r="847">
      <c r="A847" s="7" t="str">
        <f>IFERROR(__xludf.DUMMYFUNCTION("""COMPUTED_VALUE"""),"AH6715")</f>
        <v>AH6715</v>
      </c>
      <c r="B847" s="7" t="str">
        <f>IFERROR(__xludf.DUMMYFUNCTION("""COMPUTED_VALUE"""),"RUN-ABRM_2023-02-09_RFR-153")</f>
        <v>RUN-ABRM_2023-02-09_RFR-153</v>
      </c>
      <c r="C847" s="8">
        <f>VLOOKUP(B847,'Run Reconcile'!A$2:B3212,2,FALSE)</f>
        <v>44966</v>
      </c>
      <c r="D847" s="12">
        <f>IFERROR(__xludf.DUMMYFUNCTION("""COMPUTED_VALUE"""),44966.0)</f>
        <v>44966</v>
      </c>
      <c r="E847" s="13">
        <f>IFERROR(__xludf.DUMMYFUNCTION("""COMPUTED_VALUE"""),0.3378703703710926)</f>
        <v>0.3378703704</v>
      </c>
      <c r="F847" s="7" t="str">
        <f>IFERROR(__xludf.DUMMYFUNCTION("""COMPUTED_VALUE"""),"Negative")</f>
        <v>Negative</v>
      </c>
      <c r="G847" s="7">
        <f>IFERROR(__xludf.DUMMYFUNCTION("""COMPUTED_VALUE"""),4.0)</f>
        <v>4</v>
      </c>
    </row>
    <row r="848">
      <c r="A848" s="7" t="str">
        <f>IFERROR(__xludf.DUMMYFUNCTION("""COMPUTED_VALUE"""),"AK5389")</f>
        <v>AK5389</v>
      </c>
      <c r="B848" s="7" t="str">
        <f>IFERROR(__xludf.DUMMYFUNCTION("""COMPUTED_VALUE"""),"RUN-ABRM_2023-02-09_RFR-153")</f>
        <v>RUN-ABRM_2023-02-09_RFR-153</v>
      </c>
      <c r="C848" s="8">
        <f>VLOOKUP(B848,'Run Reconcile'!A$2:B3212,2,FALSE)</f>
        <v>44966</v>
      </c>
      <c r="D848" s="12">
        <f>IFERROR(__xludf.DUMMYFUNCTION("""COMPUTED_VALUE"""),44966.0)</f>
        <v>44966</v>
      </c>
      <c r="E848" s="13">
        <f>IFERROR(__xludf.DUMMYFUNCTION("""COMPUTED_VALUE"""),0.3507291666683159)</f>
        <v>0.3507291667</v>
      </c>
      <c r="F848" s="7" t="str">
        <f>IFERROR(__xludf.DUMMYFUNCTION("""COMPUTED_VALUE"""),"Negative")</f>
        <v>Negative</v>
      </c>
      <c r="G848" s="7">
        <f>IFERROR(__xludf.DUMMYFUNCTION("""COMPUTED_VALUE"""),3.0)</f>
        <v>3</v>
      </c>
    </row>
    <row r="849">
      <c r="A849" s="7" t="str">
        <f>IFERROR(__xludf.DUMMYFUNCTION("""COMPUTED_VALUE"""),"AR1382")</f>
        <v>AR1382</v>
      </c>
      <c r="B849" s="7" t="str">
        <f>IFERROR(__xludf.DUMMYFUNCTION("""COMPUTED_VALUE"""),"RUN-ABRM_2023-02-10_RFR-154")</f>
        <v>RUN-ABRM_2023-02-10_RFR-154</v>
      </c>
      <c r="C849" s="8">
        <f>VLOOKUP(B849,'Run Reconcile'!A$2:B3212,2,FALSE)</f>
        <v>44967</v>
      </c>
      <c r="D849" s="12">
        <f>IFERROR(__xludf.DUMMYFUNCTION("""COMPUTED_VALUE"""),44967.0)</f>
        <v>44967</v>
      </c>
      <c r="E849" s="13">
        <f>IFERROR(__xludf.DUMMYFUNCTION("""COMPUTED_VALUE"""),0.24204861111138598)</f>
        <v>0.2420486111</v>
      </c>
      <c r="F849" s="7" t="str">
        <f>IFERROR(__xludf.DUMMYFUNCTION("""COMPUTED_VALUE"""),"Negative")</f>
        <v>Negative</v>
      </c>
      <c r="G849" s="7">
        <f>IFERROR(__xludf.DUMMYFUNCTION("""COMPUTED_VALUE"""),3.0)</f>
        <v>3</v>
      </c>
    </row>
    <row r="850">
      <c r="A850" s="7" t="str">
        <f>IFERROR(__xludf.DUMMYFUNCTION("""COMPUTED_VALUE"""),"AJ8737")</f>
        <v>AJ8737</v>
      </c>
      <c r="B850" s="7" t="str">
        <f>IFERROR(__xludf.DUMMYFUNCTION("""COMPUTED_VALUE"""),"RUN-ABRM_2023-02-10_RFR-154")</f>
        <v>RUN-ABRM_2023-02-10_RFR-154</v>
      </c>
      <c r="C850" s="8">
        <f>VLOOKUP(B850,'Run Reconcile'!A$2:B3212,2,FALSE)</f>
        <v>44967</v>
      </c>
      <c r="D850" s="12">
        <f>IFERROR(__xludf.DUMMYFUNCTION("""COMPUTED_VALUE"""),44967.0)</f>
        <v>44967</v>
      </c>
      <c r="E850" s="13">
        <f>IFERROR(__xludf.DUMMYFUNCTION("""COMPUTED_VALUE"""),0.2676273148135806)</f>
        <v>0.2676273148</v>
      </c>
      <c r="F850" s="7" t="str">
        <f>IFERROR(__xludf.DUMMYFUNCTION("""COMPUTED_VALUE"""),"Negative")</f>
        <v>Negative</v>
      </c>
      <c r="G850" s="7">
        <f>IFERROR(__xludf.DUMMYFUNCTION("""COMPUTED_VALUE"""),3.0)</f>
        <v>3</v>
      </c>
    </row>
    <row r="851">
      <c r="A851" s="7" t="str">
        <f>IFERROR(__xludf.DUMMYFUNCTION("""COMPUTED_VALUE"""),"AJ9312")</f>
        <v>AJ9312</v>
      </c>
      <c r="B851" s="7" t="str">
        <f>IFERROR(__xludf.DUMMYFUNCTION("""COMPUTED_VALUE"""),"RUN-ABRM_2023-02-10_RFR-154")</f>
        <v>RUN-ABRM_2023-02-10_RFR-154</v>
      </c>
      <c r="C851" s="8">
        <f>VLOOKUP(B851,'Run Reconcile'!A$2:B3212,2,FALSE)</f>
        <v>44967</v>
      </c>
      <c r="D851" s="12">
        <f>IFERROR(__xludf.DUMMYFUNCTION("""COMPUTED_VALUE"""),44967.0)</f>
        <v>44967</v>
      </c>
      <c r="E851" s="13">
        <f>IFERROR(__xludf.DUMMYFUNCTION("""COMPUTED_VALUE"""),0.27927083333270275)</f>
        <v>0.2792708333</v>
      </c>
      <c r="F851" s="7" t="str">
        <f>IFERROR(__xludf.DUMMYFUNCTION("""COMPUTED_VALUE"""),"Negative")</f>
        <v>Negative</v>
      </c>
      <c r="G851" s="7">
        <f>IFERROR(__xludf.DUMMYFUNCTION("""COMPUTED_VALUE"""),3.0)</f>
        <v>3</v>
      </c>
    </row>
    <row r="852">
      <c r="A852" s="7" t="str">
        <f>IFERROR(__xludf.DUMMYFUNCTION("""COMPUTED_VALUE"""),"AH1698")</f>
        <v>AH1698</v>
      </c>
      <c r="B852" s="7" t="str">
        <f>IFERROR(__xludf.DUMMYFUNCTION("""COMPUTED_VALUE"""),"RUN-ABRM_2023-02-10_RFR-154")</f>
        <v>RUN-ABRM_2023-02-10_RFR-154</v>
      </c>
      <c r="C852" s="8">
        <f>VLOOKUP(B852,'Run Reconcile'!A$2:B3212,2,FALSE)</f>
        <v>44967</v>
      </c>
      <c r="D852" s="12">
        <f>IFERROR(__xludf.DUMMYFUNCTION("""COMPUTED_VALUE"""),44967.0)</f>
        <v>44967</v>
      </c>
      <c r="E852" s="13">
        <f>IFERROR(__xludf.DUMMYFUNCTION("""COMPUTED_VALUE"""),0.33697916666642413)</f>
        <v>0.3369791667</v>
      </c>
      <c r="F852" s="7" t="str">
        <f>IFERROR(__xludf.DUMMYFUNCTION("""COMPUTED_VALUE"""),"Negative")</f>
        <v>Negative</v>
      </c>
      <c r="G852" s="7">
        <f>IFERROR(__xludf.DUMMYFUNCTION("""COMPUTED_VALUE"""),1.0)</f>
        <v>1</v>
      </c>
    </row>
    <row r="853">
      <c r="A853" s="7" t="str">
        <f>IFERROR(__xludf.DUMMYFUNCTION("""COMPUTED_VALUE"""),"AK4963")</f>
        <v>AK4963</v>
      </c>
      <c r="B853" s="7" t="str">
        <f>IFERROR(__xludf.DUMMYFUNCTION("""COMPUTED_VALUE"""),"RUN-ABRM_2023-02-10_RFR-154")</f>
        <v>RUN-ABRM_2023-02-10_RFR-154</v>
      </c>
      <c r="C853" s="8">
        <f>VLOOKUP(B853,'Run Reconcile'!A$2:B3212,2,FALSE)</f>
        <v>44967</v>
      </c>
      <c r="D853" s="12">
        <f>IFERROR(__xludf.DUMMYFUNCTION("""COMPUTED_VALUE"""),44967.0)</f>
        <v>44967</v>
      </c>
      <c r="E853" s="13">
        <f>IFERROR(__xludf.DUMMYFUNCTION("""COMPUTED_VALUE"""),0.3373842592591245)</f>
        <v>0.3373842593</v>
      </c>
      <c r="F853" s="7" t="str">
        <f>IFERROR(__xludf.DUMMYFUNCTION("""COMPUTED_VALUE"""),"Negative")</f>
        <v>Negative</v>
      </c>
      <c r="G853" s="7">
        <f>IFERROR(__xludf.DUMMYFUNCTION("""COMPUTED_VALUE"""),1.0)</f>
        <v>1</v>
      </c>
    </row>
    <row r="854">
      <c r="A854" s="7" t="str">
        <f>IFERROR(__xludf.DUMMYFUNCTION("""COMPUTED_VALUE"""),"AR1941")</f>
        <v>AR1941</v>
      </c>
      <c r="B854" s="7" t="str">
        <f>IFERROR(__xludf.DUMMYFUNCTION("""COMPUTED_VALUE"""),"RUN-ABRM_2023-02-10_RFR-154")</f>
        <v>RUN-ABRM_2023-02-10_RFR-154</v>
      </c>
      <c r="C854" s="8">
        <f>VLOOKUP(B854,'Run Reconcile'!A$2:B3212,2,FALSE)</f>
        <v>44967</v>
      </c>
      <c r="D854" s="12">
        <f>IFERROR(__xludf.DUMMYFUNCTION("""COMPUTED_VALUE"""),44967.0)</f>
        <v>44967</v>
      </c>
      <c r="E854" s="13">
        <f>IFERROR(__xludf.DUMMYFUNCTION("""COMPUTED_VALUE"""),0.33781250000174623)</f>
        <v>0.3378125</v>
      </c>
      <c r="F854" s="7" t="str">
        <f>IFERROR(__xludf.DUMMYFUNCTION("""COMPUTED_VALUE"""),"Negative")</f>
        <v>Negative</v>
      </c>
      <c r="G854" s="7">
        <f>IFERROR(__xludf.DUMMYFUNCTION("""COMPUTED_VALUE"""),2.0)</f>
        <v>2</v>
      </c>
    </row>
    <row r="855">
      <c r="A855" s="7" t="str">
        <f>IFERROR(__xludf.DUMMYFUNCTION("""COMPUTED_VALUE"""),"AJ8090")</f>
        <v>AJ8090</v>
      </c>
      <c r="B855" s="7" t="str">
        <f>IFERROR(__xludf.DUMMYFUNCTION("""COMPUTED_VALUE"""),"RUN-ABRM_2023-02-10_RFR-154")</f>
        <v>RUN-ABRM_2023-02-10_RFR-154</v>
      </c>
      <c r="C855" s="8">
        <f>VLOOKUP(B855,'Run Reconcile'!A$2:B3212,2,FALSE)</f>
        <v>44967</v>
      </c>
      <c r="D855" s="12">
        <f>IFERROR(__xludf.DUMMYFUNCTION("""COMPUTED_VALUE"""),44967.0)</f>
        <v>44967</v>
      </c>
      <c r="E855" s="13">
        <f>IFERROR(__xludf.DUMMYFUNCTION("""COMPUTED_VALUE"""),0.3381134259252576)</f>
        <v>0.3381134259</v>
      </c>
      <c r="F855" s="7" t="str">
        <f>IFERROR(__xludf.DUMMYFUNCTION("""COMPUTED_VALUE"""),"Negative")</f>
        <v>Negative</v>
      </c>
      <c r="G855" s="7">
        <f>IFERROR(__xludf.DUMMYFUNCTION("""COMPUTED_VALUE"""),1.0)</f>
        <v>1</v>
      </c>
    </row>
    <row r="856">
      <c r="A856" s="7" t="str">
        <f>IFERROR(__xludf.DUMMYFUNCTION("""COMPUTED_VALUE"""),"AJ9826")</f>
        <v>AJ9826</v>
      </c>
      <c r="B856" s="7" t="str">
        <f>IFERROR(__xludf.DUMMYFUNCTION("""COMPUTED_VALUE"""),"RUN-ABRM_2023-02-10_RFR-154")</f>
        <v>RUN-ABRM_2023-02-10_RFR-154</v>
      </c>
      <c r="C856" s="8">
        <f>VLOOKUP(B856,'Run Reconcile'!A$2:B3212,2,FALSE)</f>
        <v>44967</v>
      </c>
      <c r="D856" s="12">
        <f>IFERROR(__xludf.DUMMYFUNCTION("""COMPUTED_VALUE"""),44967.0)</f>
        <v>44967</v>
      </c>
      <c r="E856" s="13">
        <f>IFERROR(__xludf.DUMMYFUNCTION("""COMPUTED_VALUE"""),0.3428356481490482)</f>
        <v>0.3428356481</v>
      </c>
      <c r="F856" s="7" t="str">
        <f>IFERROR(__xludf.DUMMYFUNCTION("""COMPUTED_VALUE"""),"Negative")</f>
        <v>Negative</v>
      </c>
      <c r="G856" s="7">
        <f>IFERROR(__xludf.DUMMYFUNCTION("""COMPUTED_VALUE"""),3.0)</f>
        <v>3</v>
      </c>
    </row>
    <row r="857">
      <c r="A857" s="7" t="str">
        <f>IFERROR(__xludf.DUMMYFUNCTION("""COMPUTED_VALUE"""),"AK9655")</f>
        <v>AK9655</v>
      </c>
      <c r="B857" s="7" t="str">
        <f>IFERROR(__xludf.DUMMYFUNCTION("""COMPUTED_VALUE"""),"RUN-ABRM_2023-02-13_RFR-156")</f>
        <v>RUN-ABRM_2023-02-13_RFR-156</v>
      </c>
      <c r="C857" s="8">
        <f>VLOOKUP(B857,'Run Reconcile'!A$2:B3212,2,FALSE)</f>
        <v>44970</v>
      </c>
      <c r="D857" s="12">
        <f>IFERROR(__xludf.DUMMYFUNCTION("""COMPUTED_VALUE"""),44970.0)</f>
        <v>44970</v>
      </c>
      <c r="E857" s="13">
        <f>IFERROR(__xludf.DUMMYFUNCTION("""COMPUTED_VALUE"""),0.20013888888934162)</f>
        <v>0.2001388889</v>
      </c>
      <c r="F857" s="7" t="str">
        <f>IFERROR(__xludf.DUMMYFUNCTION("""COMPUTED_VALUE"""),"Negative")</f>
        <v>Negative</v>
      </c>
      <c r="G857" s="7">
        <f>IFERROR(__xludf.DUMMYFUNCTION("""COMPUTED_VALUE"""),2.0)</f>
        <v>2</v>
      </c>
    </row>
    <row r="858">
      <c r="A858" s="7" t="str">
        <f>IFERROR(__xludf.DUMMYFUNCTION("""COMPUTED_VALUE"""),"AR1076")</f>
        <v>AR1076</v>
      </c>
      <c r="B858" s="7" t="str">
        <f>IFERROR(__xludf.DUMMYFUNCTION("""COMPUTED_VALUE"""),"RUN-ABRM_2023-02-13_RFR-156")</f>
        <v>RUN-ABRM_2023-02-13_RFR-156</v>
      </c>
      <c r="C858" s="8">
        <f>VLOOKUP(B858,'Run Reconcile'!A$2:B3212,2,FALSE)</f>
        <v>44970</v>
      </c>
      <c r="D858" s="12">
        <f>IFERROR(__xludf.DUMMYFUNCTION("""COMPUTED_VALUE"""),44970.0)</f>
        <v>44970</v>
      </c>
      <c r="E858" s="13">
        <f>IFERROR(__xludf.DUMMYFUNCTION("""COMPUTED_VALUE"""),0.23582175925912452)</f>
        <v>0.2358217593</v>
      </c>
      <c r="F858" s="7" t="str">
        <f>IFERROR(__xludf.DUMMYFUNCTION("""COMPUTED_VALUE"""),"Negative")</f>
        <v>Negative</v>
      </c>
      <c r="G858" s="7">
        <f>IFERROR(__xludf.DUMMYFUNCTION("""COMPUTED_VALUE"""),2.0)</f>
        <v>2</v>
      </c>
    </row>
    <row r="859">
      <c r="A859" s="7" t="str">
        <f>IFERROR(__xludf.DUMMYFUNCTION("""COMPUTED_VALUE"""),"AJ9880")</f>
        <v>AJ9880</v>
      </c>
      <c r="B859" s="7" t="str">
        <f>IFERROR(__xludf.DUMMYFUNCTION("""COMPUTED_VALUE"""),"RUN-ABRM_2023-02-13_RFR-156")</f>
        <v>RUN-ABRM_2023-02-13_RFR-156</v>
      </c>
      <c r="C859" s="8">
        <f>VLOOKUP(B859,'Run Reconcile'!A$2:B3212,2,FALSE)</f>
        <v>44970</v>
      </c>
      <c r="D859" s="12">
        <f>IFERROR(__xludf.DUMMYFUNCTION("""COMPUTED_VALUE"""),44970.0)</f>
        <v>44970</v>
      </c>
      <c r="E859" s="13">
        <f>IFERROR(__xludf.DUMMYFUNCTION("""COMPUTED_VALUE"""),0.23665509259080864)</f>
        <v>0.2366550926</v>
      </c>
      <c r="F859" s="7" t="str">
        <f>IFERROR(__xludf.DUMMYFUNCTION("""COMPUTED_VALUE"""),"Negative")</f>
        <v>Negative</v>
      </c>
      <c r="G859" s="7">
        <f>IFERROR(__xludf.DUMMYFUNCTION("""COMPUTED_VALUE"""),3.0)</f>
        <v>3</v>
      </c>
    </row>
    <row r="860">
      <c r="A860" s="7" t="str">
        <f>IFERROR(__xludf.DUMMYFUNCTION("""COMPUTED_VALUE"""),"AR1229")</f>
        <v>AR1229</v>
      </c>
      <c r="B860" s="7" t="str">
        <f>IFERROR(__xludf.DUMMYFUNCTION("""COMPUTED_VALUE"""),"RUN-ABRM_2023-02-13_RFR-156")</f>
        <v>RUN-ABRM_2023-02-13_RFR-156</v>
      </c>
      <c r="C860" s="8">
        <f>VLOOKUP(B860,'Run Reconcile'!A$2:B3212,2,FALSE)</f>
        <v>44970</v>
      </c>
      <c r="D860" s="12">
        <f>IFERROR(__xludf.DUMMYFUNCTION("""COMPUTED_VALUE"""),44970.0)</f>
        <v>44970</v>
      </c>
      <c r="E860" s="13">
        <f>IFERROR(__xludf.DUMMYFUNCTION("""COMPUTED_VALUE"""),0.2470601851855463)</f>
        <v>0.2470601852</v>
      </c>
      <c r="F860" s="7" t="str">
        <f>IFERROR(__xludf.DUMMYFUNCTION("""COMPUTED_VALUE"""),"Negative")</f>
        <v>Negative</v>
      </c>
      <c r="G860" s="7">
        <f>IFERROR(__xludf.DUMMYFUNCTION("""COMPUTED_VALUE"""),3.0)</f>
        <v>3</v>
      </c>
    </row>
    <row r="861">
      <c r="A861" s="7" t="str">
        <f>IFERROR(__xludf.DUMMYFUNCTION("""COMPUTED_VALUE"""),"AH275")</f>
        <v>AH275</v>
      </c>
      <c r="B861" s="7" t="str">
        <f>IFERROR(__xludf.DUMMYFUNCTION("""COMPUTED_VALUE"""),"RUN-ABRM_2023-02-13_RFR-156")</f>
        <v>RUN-ABRM_2023-02-13_RFR-156</v>
      </c>
      <c r="C861" s="8">
        <f>VLOOKUP(B861,'Run Reconcile'!A$2:B3212,2,FALSE)</f>
        <v>44970</v>
      </c>
      <c r="D861" s="12">
        <f>IFERROR(__xludf.DUMMYFUNCTION("""COMPUTED_VALUE"""),44970.0)</f>
        <v>44970</v>
      </c>
      <c r="E861" s="13">
        <f>IFERROR(__xludf.DUMMYFUNCTION("""COMPUTED_VALUE"""),0.29914351851766696)</f>
        <v>0.2991435185</v>
      </c>
      <c r="F861" s="7" t="str">
        <f>IFERROR(__xludf.DUMMYFUNCTION("""COMPUTED_VALUE"""),"Negative")</f>
        <v>Negative</v>
      </c>
      <c r="G861" s="7">
        <f>IFERROR(__xludf.DUMMYFUNCTION("""COMPUTED_VALUE"""),3.0)</f>
        <v>3</v>
      </c>
    </row>
    <row r="862">
      <c r="A862" s="7" t="str">
        <f>IFERROR(__xludf.DUMMYFUNCTION("""COMPUTED_VALUE"""),"AH903")</f>
        <v>AH903</v>
      </c>
      <c r="B862" s="7" t="str">
        <f>IFERROR(__xludf.DUMMYFUNCTION("""COMPUTED_VALUE"""),"RUN-ABRM_2023-02-13_RFR-156")</f>
        <v>RUN-ABRM_2023-02-13_RFR-156</v>
      </c>
      <c r="C862" s="8">
        <f>VLOOKUP(B862,'Run Reconcile'!A$2:B3212,2,FALSE)</f>
        <v>44970</v>
      </c>
      <c r="D862" s="12">
        <f>IFERROR(__xludf.DUMMYFUNCTION("""COMPUTED_VALUE"""),44970.0)</f>
        <v>44970</v>
      </c>
      <c r="E862" s="13">
        <f>IFERROR(__xludf.DUMMYFUNCTION("""COMPUTED_VALUE"""),0.3887962962980964)</f>
        <v>0.3887962963</v>
      </c>
      <c r="F862" s="7" t="str">
        <f>IFERROR(__xludf.DUMMYFUNCTION("""COMPUTED_VALUE"""),"Negative")</f>
        <v>Negative</v>
      </c>
      <c r="G862" s="7">
        <f>IFERROR(__xludf.DUMMYFUNCTION("""COMPUTED_VALUE"""),1.0)</f>
        <v>1</v>
      </c>
    </row>
    <row r="863">
      <c r="A863" s="7" t="str">
        <f>IFERROR(__xludf.DUMMYFUNCTION("""COMPUTED_VALUE"""),"AB9901")</f>
        <v>AB9901</v>
      </c>
      <c r="B863" s="7" t="str">
        <f>IFERROR(__xludf.DUMMYFUNCTION("""COMPUTED_VALUE"""),"RUN-ABRM_2023-02-13_RFR-156")</f>
        <v>RUN-ABRM_2023-02-13_RFR-156</v>
      </c>
      <c r="C863" s="8">
        <f>VLOOKUP(B863,'Run Reconcile'!A$2:B3212,2,FALSE)</f>
        <v>44970</v>
      </c>
      <c r="D863" s="12">
        <f>IFERROR(__xludf.DUMMYFUNCTION("""COMPUTED_VALUE"""),44970.0)</f>
        <v>44970</v>
      </c>
      <c r="E863" s="13">
        <f>IFERROR(__xludf.DUMMYFUNCTION("""COMPUTED_VALUE"""),0.3892361111102218)</f>
        <v>0.3892361111</v>
      </c>
      <c r="F863" s="7" t="str">
        <f>IFERROR(__xludf.DUMMYFUNCTION("""COMPUTED_VALUE"""),"Negative")</f>
        <v>Negative</v>
      </c>
      <c r="G863" s="7">
        <f>IFERROR(__xludf.DUMMYFUNCTION("""COMPUTED_VALUE"""),2.0)</f>
        <v>2</v>
      </c>
    </row>
    <row r="864">
      <c r="A864" s="7" t="str">
        <f>IFERROR(__xludf.DUMMYFUNCTION("""COMPUTED_VALUE"""),"AR386")</f>
        <v>AR386</v>
      </c>
      <c r="B864" s="7" t="str">
        <f>IFERROR(__xludf.DUMMYFUNCTION("""COMPUTED_VALUE"""),"RUN-ABRM_2023-02-13_RFR-156")</f>
        <v>RUN-ABRM_2023-02-13_RFR-156</v>
      </c>
      <c r="C864" s="8">
        <f>VLOOKUP(B864,'Run Reconcile'!A$2:B3212,2,FALSE)</f>
        <v>44970</v>
      </c>
      <c r="D864" s="12">
        <f>IFERROR(__xludf.DUMMYFUNCTION("""COMPUTED_VALUE"""),44970.0)</f>
        <v>44970</v>
      </c>
      <c r="E864" s="13">
        <f>IFERROR(__xludf.DUMMYFUNCTION("""COMPUTED_VALUE"""),0.3895023148143082)</f>
        <v>0.3895023148</v>
      </c>
      <c r="F864" s="7" t="str">
        <f>IFERROR(__xludf.DUMMYFUNCTION("""COMPUTED_VALUE"""),"Negative")</f>
        <v>Negative</v>
      </c>
      <c r="G864" s="7">
        <f>IFERROR(__xludf.DUMMYFUNCTION("""COMPUTED_VALUE"""),3.0)</f>
        <v>3</v>
      </c>
    </row>
    <row r="865">
      <c r="A865" s="7" t="str">
        <f>IFERROR(__xludf.DUMMYFUNCTION("""COMPUTED_VALUE"""),"AH789")</f>
        <v>AH789</v>
      </c>
      <c r="B865" s="7" t="str">
        <f>IFERROR(__xludf.DUMMYFUNCTION("""COMPUTED_VALUE"""),"RUN-ABRM_2023-02-13_RFR-156")</f>
        <v>RUN-ABRM_2023-02-13_RFR-156</v>
      </c>
      <c r="C865" s="8">
        <f>VLOOKUP(B865,'Run Reconcile'!A$2:B3212,2,FALSE)</f>
        <v>44970</v>
      </c>
      <c r="D865" s="12">
        <f>IFERROR(__xludf.DUMMYFUNCTION("""COMPUTED_VALUE"""),44970.0)</f>
        <v>44970</v>
      </c>
      <c r="E865" s="13">
        <f>IFERROR(__xludf.DUMMYFUNCTION("""COMPUTED_VALUE"""),0.3902314814804413)</f>
        <v>0.3902314815</v>
      </c>
      <c r="F865" s="7" t="str">
        <f>IFERROR(__xludf.DUMMYFUNCTION("""COMPUTED_VALUE"""),"Negative")</f>
        <v>Negative</v>
      </c>
      <c r="G865" s="7">
        <f>IFERROR(__xludf.DUMMYFUNCTION("""COMPUTED_VALUE"""),1.0)</f>
        <v>1</v>
      </c>
    </row>
    <row r="866">
      <c r="A866" s="7" t="str">
        <f>IFERROR(__xludf.DUMMYFUNCTION("""COMPUTED_VALUE"""),"AK9753")</f>
        <v>AK9753</v>
      </c>
      <c r="B866" s="7" t="str">
        <f>IFERROR(__xludf.DUMMYFUNCTION("""COMPUTED_VALUE"""),"RUN-ABRM_2023-02-14_RFR-158")</f>
        <v>RUN-ABRM_2023-02-14_RFR-158</v>
      </c>
      <c r="C866" s="8">
        <f>VLOOKUP(B866,'Run Reconcile'!A$2:B3212,2,FALSE)</f>
        <v>44971</v>
      </c>
      <c r="D866" s="12">
        <f>IFERROR(__xludf.DUMMYFUNCTION("""COMPUTED_VALUE"""),44971.0)</f>
        <v>44971</v>
      </c>
      <c r="E866" s="13">
        <f>IFERROR(__xludf.DUMMYFUNCTION("""COMPUTED_VALUE"""),0.23378472222248092)</f>
        <v>0.2337847222</v>
      </c>
      <c r="F866" s="7" t="str">
        <f>IFERROR(__xludf.DUMMYFUNCTION("""COMPUTED_VALUE"""),"Negative")</f>
        <v>Negative</v>
      </c>
      <c r="G866" s="7">
        <f>IFERROR(__xludf.DUMMYFUNCTION("""COMPUTED_VALUE"""),3.0)</f>
        <v>3</v>
      </c>
    </row>
    <row r="867">
      <c r="A867" s="7" t="str">
        <f>IFERROR(__xludf.DUMMYFUNCTION("""COMPUTED_VALUE"""),"AR1167")</f>
        <v>AR1167</v>
      </c>
      <c r="B867" s="7" t="str">
        <f>IFERROR(__xludf.DUMMYFUNCTION("""COMPUTED_VALUE"""),"RUN-ABRM_2023-02-14_RFR-158")</f>
        <v>RUN-ABRM_2023-02-14_RFR-158</v>
      </c>
      <c r="C867" s="8">
        <f>VLOOKUP(B867,'Run Reconcile'!A$2:B3212,2,FALSE)</f>
        <v>44971</v>
      </c>
      <c r="D867" s="12">
        <f>IFERROR(__xludf.DUMMYFUNCTION("""COMPUTED_VALUE"""),44971.0)</f>
        <v>44971</v>
      </c>
      <c r="E867" s="13">
        <f>IFERROR(__xludf.DUMMYFUNCTION("""COMPUTED_VALUE"""),0.24951388888803194)</f>
        <v>0.2495138889</v>
      </c>
      <c r="F867" s="7" t="str">
        <f>IFERROR(__xludf.DUMMYFUNCTION("""COMPUTED_VALUE"""),"Negative")</f>
        <v>Negative</v>
      </c>
      <c r="G867" s="7">
        <f>IFERROR(__xludf.DUMMYFUNCTION("""COMPUTED_VALUE"""),3.0)</f>
        <v>3</v>
      </c>
    </row>
    <row r="868">
      <c r="A868" s="7" t="str">
        <f>IFERROR(__xludf.DUMMYFUNCTION("""COMPUTED_VALUE"""),"AK9947")</f>
        <v>AK9947</v>
      </c>
      <c r="B868" s="7" t="str">
        <f>IFERROR(__xludf.DUMMYFUNCTION("""COMPUTED_VALUE"""),"RUN-ABRM_2023-02-14_RFR-158")</f>
        <v>RUN-ABRM_2023-02-14_RFR-158</v>
      </c>
      <c r="C868" s="8">
        <f>VLOOKUP(B868,'Run Reconcile'!A$2:B3212,2,FALSE)</f>
        <v>44971</v>
      </c>
      <c r="D868" s="12">
        <f>IFERROR(__xludf.DUMMYFUNCTION("""COMPUTED_VALUE"""),44971.0)</f>
        <v>44971</v>
      </c>
      <c r="E868" s="13">
        <f>IFERROR(__xludf.DUMMYFUNCTION("""COMPUTED_VALUE"""),0.2712500000016007)</f>
        <v>0.27125</v>
      </c>
      <c r="F868" s="7" t="str">
        <f>IFERROR(__xludf.DUMMYFUNCTION("""COMPUTED_VALUE"""),"Negative")</f>
        <v>Negative</v>
      </c>
      <c r="G868" s="7">
        <f>IFERROR(__xludf.DUMMYFUNCTION("""COMPUTED_VALUE"""),2.0)</f>
        <v>2</v>
      </c>
    </row>
    <row r="869">
      <c r="A869" s="7" t="str">
        <f>IFERROR(__xludf.DUMMYFUNCTION("""COMPUTED_VALUE"""),"AH7408")</f>
        <v>AH7408</v>
      </c>
      <c r="B869" s="7" t="str">
        <f>IFERROR(__xludf.DUMMYFUNCTION("""COMPUTED_VALUE"""),"RUN-ABRM_2023-02-14_RFR-158")</f>
        <v>RUN-ABRM_2023-02-14_RFR-158</v>
      </c>
      <c r="C869" s="8">
        <f>VLOOKUP(B869,'Run Reconcile'!A$2:B3212,2,FALSE)</f>
        <v>44971</v>
      </c>
      <c r="D869" s="12">
        <f>IFERROR(__xludf.DUMMYFUNCTION("""COMPUTED_VALUE"""),44971.0)</f>
        <v>44971</v>
      </c>
      <c r="E869" s="13">
        <f>IFERROR(__xludf.DUMMYFUNCTION("""COMPUTED_VALUE"""),0.3013425925928459)</f>
        <v>0.3013425926</v>
      </c>
      <c r="F869" s="7" t="str">
        <f>IFERROR(__xludf.DUMMYFUNCTION("""COMPUTED_VALUE"""),"Negative")</f>
        <v>Negative</v>
      </c>
      <c r="G869" s="7">
        <f>IFERROR(__xludf.DUMMYFUNCTION("""COMPUTED_VALUE"""),4.0)</f>
        <v>4</v>
      </c>
    </row>
    <row r="870">
      <c r="A870" s="7" t="str">
        <f>IFERROR(__xludf.DUMMYFUNCTION("""COMPUTED_VALUE"""),"AG4467")</f>
        <v>AG4467</v>
      </c>
      <c r="B870" s="7" t="str">
        <f>IFERROR(__xludf.DUMMYFUNCTION("""COMPUTED_VALUE"""),"RUN-ABRM_2023-02-14_RFR-158")</f>
        <v>RUN-ABRM_2023-02-14_RFR-158</v>
      </c>
      <c r="C870" s="8">
        <f>VLOOKUP(B870,'Run Reconcile'!A$2:B3212,2,FALSE)</f>
        <v>44971</v>
      </c>
      <c r="D870" s="12">
        <f>IFERROR(__xludf.DUMMYFUNCTION("""COMPUTED_VALUE"""),44971.0)</f>
        <v>44971</v>
      </c>
      <c r="E870" s="13">
        <f>IFERROR(__xludf.DUMMYFUNCTION("""COMPUTED_VALUE"""),0.3263078703712381)</f>
        <v>0.3263078704</v>
      </c>
      <c r="F870" s="7" t="str">
        <f>IFERROR(__xludf.DUMMYFUNCTION("""COMPUTED_VALUE"""),"Negative")</f>
        <v>Negative</v>
      </c>
      <c r="G870" s="7">
        <f>IFERROR(__xludf.DUMMYFUNCTION("""COMPUTED_VALUE"""),1.0)</f>
        <v>1</v>
      </c>
    </row>
    <row r="871">
      <c r="A871" s="7" t="str">
        <f>IFERROR(__xludf.DUMMYFUNCTION("""COMPUTED_VALUE"""),"AG727")</f>
        <v>AG727</v>
      </c>
      <c r="B871" s="7" t="str">
        <f>IFERROR(__xludf.DUMMYFUNCTION("""COMPUTED_VALUE"""),"RUN-ABRM_2023-02-14_RFR-158")</f>
        <v>RUN-ABRM_2023-02-14_RFR-158</v>
      </c>
      <c r="C871" s="8">
        <f>VLOOKUP(B871,'Run Reconcile'!A$2:B3212,2,FALSE)</f>
        <v>44971</v>
      </c>
      <c r="D871" s="12">
        <f>IFERROR(__xludf.DUMMYFUNCTION("""COMPUTED_VALUE"""),44971.0)</f>
        <v>44971</v>
      </c>
      <c r="E871" s="13">
        <f>IFERROR(__xludf.DUMMYFUNCTION("""COMPUTED_VALUE"""),0.34314814814933925)</f>
        <v>0.3431481481</v>
      </c>
      <c r="F871" s="7" t="str">
        <f>IFERROR(__xludf.DUMMYFUNCTION("""COMPUTED_VALUE"""),"Negative")</f>
        <v>Negative</v>
      </c>
      <c r="G871" s="7">
        <f>IFERROR(__xludf.DUMMYFUNCTION("""COMPUTED_VALUE"""),1.0)</f>
        <v>1</v>
      </c>
    </row>
    <row r="872">
      <c r="A872" s="7" t="str">
        <f>IFERROR(__xludf.DUMMYFUNCTION("""COMPUTED_VALUE"""),"AK9706")</f>
        <v>AK9706</v>
      </c>
      <c r="B872" s="7" t="str">
        <f>IFERROR(__xludf.DUMMYFUNCTION("""COMPUTED_VALUE"""),"RUN-ABRM_2023-02-14_RFR-158")</f>
        <v>RUN-ABRM_2023-02-14_RFR-158</v>
      </c>
      <c r="C872" s="8">
        <f>VLOOKUP(B872,'Run Reconcile'!A$2:B3212,2,FALSE)</f>
        <v>44971</v>
      </c>
      <c r="D872" s="12">
        <f>IFERROR(__xludf.DUMMYFUNCTION("""COMPUTED_VALUE"""),44971.0)</f>
        <v>44971</v>
      </c>
      <c r="E872" s="13">
        <f>IFERROR(__xludf.DUMMYFUNCTION("""COMPUTED_VALUE"""),0.34350694444583496)</f>
        <v>0.3435069444</v>
      </c>
      <c r="F872" s="7" t="str">
        <f>IFERROR(__xludf.DUMMYFUNCTION("""COMPUTED_VALUE"""),"Negative")</f>
        <v>Negative</v>
      </c>
      <c r="G872" s="7">
        <f>IFERROR(__xludf.DUMMYFUNCTION("""COMPUTED_VALUE"""),1.0)</f>
        <v>1</v>
      </c>
    </row>
    <row r="873">
      <c r="A873" s="7" t="str">
        <f>IFERROR(__xludf.DUMMYFUNCTION("""COMPUTED_VALUE"""),"AK9882")</f>
        <v>AK9882</v>
      </c>
      <c r="B873" s="7" t="str">
        <f>IFERROR(__xludf.DUMMYFUNCTION("""COMPUTED_VALUE"""),"RUN-ABRM_2023-02-14_RFR-158")</f>
        <v>RUN-ABRM_2023-02-14_RFR-158</v>
      </c>
      <c r="C873" s="8">
        <f>VLOOKUP(B873,'Run Reconcile'!A$2:B3212,2,FALSE)</f>
        <v>44971</v>
      </c>
      <c r="D873" s="12">
        <f>IFERROR(__xludf.DUMMYFUNCTION("""COMPUTED_VALUE"""),44971.0)</f>
        <v>44971</v>
      </c>
      <c r="E873" s="13">
        <f>IFERROR(__xludf.DUMMYFUNCTION("""COMPUTED_VALUE"""),0.343819444446126)</f>
        <v>0.3438194444</v>
      </c>
      <c r="F873" s="7" t="str">
        <f>IFERROR(__xludf.DUMMYFUNCTION("""COMPUTED_VALUE"""),"Negative")</f>
        <v>Negative</v>
      </c>
      <c r="G873" s="7">
        <f>IFERROR(__xludf.DUMMYFUNCTION("""COMPUTED_VALUE"""),3.0)</f>
        <v>3</v>
      </c>
    </row>
    <row r="874">
      <c r="A874" s="7" t="str">
        <f>IFERROR(__xludf.DUMMYFUNCTION("""COMPUTED_VALUE"""),"AR1375")</f>
        <v>AR1375</v>
      </c>
      <c r="B874" s="7" t="str">
        <f>IFERROR(__xludf.DUMMYFUNCTION("""COMPUTED_VALUE"""),"RUN-ABRM_2023-02-15_RFR-160")</f>
        <v>RUN-ABRM_2023-02-15_RFR-160</v>
      </c>
      <c r="C874" s="8">
        <f>VLOOKUP(B874,'Run Reconcile'!A$2:B3212,2,FALSE)</f>
        <v>44972</v>
      </c>
      <c r="D874" s="12">
        <f>IFERROR(__xludf.DUMMYFUNCTION("""COMPUTED_VALUE"""),44972.0)</f>
        <v>44972</v>
      </c>
      <c r="E874" s="13">
        <f>IFERROR(__xludf.DUMMYFUNCTION("""COMPUTED_VALUE"""),0.2096643518525525)</f>
        <v>0.2096643519</v>
      </c>
      <c r="F874" s="7" t="str">
        <f>IFERROR(__xludf.DUMMYFUNCTION("""COMPUTED_VALUE"""),"Negative")</f>
        <v>Negative</v>
      </c>
      <c r="G874" s="7">
        <f>IFERROR(__xludf.DUMMYFUNCTION("""COMPUTED_VALUE"""),3.0)</f>
        <v>3</v>
      </c>
    </row>
    <row r="875">
      <c r="A875" s="7" t="str">
        <f>IFERROR(__xludf.DUMMYFUNCTION("""COMPUTED_VALUE"""),"AK9848")</f>
        <v>AK9848</v>
      </c>
      <c r="B875" s="7" t="str">
        <f>IFERROR(__xludf.DUMMYFUNCTION("""COMPUTED_VALUE"""),"RUN-ABRM_2023-02-15_RFR-160")</f>
        <v>RUN-ABRM_2023-02-15_RFR-160</v>
      </c>
      <c r="C875" s="8">
        <f>VLOOKUP(B875,'Run Reconcile'!A$2:B3212,2,FALSE)</f>
        <v>44972</v>
      </c>
      <c r="D875" s="12">
        <f>IFERROR(__xludf.DUMMYFUNCTION("""COMPUTED_VALUE"""),44972.0)</f>
        <v>44972</v>
      </c>
      <c r="E875" s="13">
        <f>IFERROR(__xludf.DUMMYFUNCTION("""COMPUTED_VALUE"""),0.28145833333474)</f>
        <v>0.2814583333</v>
      </c>
      <c r="F875" s="7" t="str">
        <f>IFERROR(__xludf.DUMMYFUNCTION("""COMPUTED_VALUE"""),"Negative")</f>
        <v>Negative</v>
      </c>
      <c r="G875" s="7">
        <f>IFERROR(__xludf.DUMMYFUNCTION("""COMPUTED_VALUE"""),3.0)</f>
        <v>3</v>
      </c>
    </row>
    <row r="876">
      <c r="A876" s="7" t="str">
        <f>IFERROR(__xludf.DUMMYFUNCTION("""COMPUTED_VALUE"""),"AR772")</f>
        <v>AR772</v>
      </c>
      <c r="B876" s="7" t="str">
        <f>IFERROR(__xludf.DUMMYFUNCTION("""COMPUTED_VALUE"""),"RUN-ABRM_2023-02-15_RFR-160")</f>
        <v>RUN-ABRM_2023-02-15_RFR-160</v>
      </c>
      <c r="C876" s="8">
        <f>VLOOKUP(B876,'Run Reconcile'!A$2:B3212,2,FALSE)</f>
        <v>44972</v>
      </c>
      <c r="D876" s="12">
        <f>IFERROR(__xludf.DUMMYFUNCTION("""COMPUTED_VALUE"""),44972.0)</f>
        <v>44972</v>
      </c>
      <c r="E876" s="13">
        <f>IFERROR(__xludf.DUMMYFUNCTION("""COMPUTED_VALUE"""),0.29097222222117125)</f>
        <v>0.2909722222</v>
      </c>
      <c r="F876" s="7" t="str">
        <f>IFERROR(__xludf.DUMMYFUNCTION("""COMPUTED_VALUE"""),"Negative")</f>
        <v>Negative</v>
      </c>
      <c r="G876" s="7">
        <f>IFERROR(__xludf.DUMMYFUNCTION("""COMPUTED_VALUE"""),4.0)</f>
        <v>4</v>
      </c>
    </row>
    <row r="877">
      <c r="A877" s="7" t="str">
        <f>IFERROR(__xludf.DUMMYFUNCTION("""COMPUTED_VALUE"""),"AJ8903")</f>
        <v>AJ8903</v>
      </c>
      <c r="B877" s="7" t="str">
        <f>IFERROR(__xludf.DUMMYFUNCTION("""COMPUTED_VALUE"""),"RUN-ABRM_2023-02-15_RFR-160")</f>
        <v>RUN-ABRM_2023-02-15_RFR-160</v>
      </c>
      <c r="C877" s="8">
        <f>VLOOKUP(B877,'Run Reconcile'!A$2:B3212,2,FALSE)</f>
        <v>44972</v>
      </c>
      <c r="D877" s="12">
        <f>IFERROR(__xludf.DUMMYFUNCTION("""COMPUTED_VALUE"""),44972.0)</f>
        <v>44972</v>
      </c>
      <c r="E877" s="13">
        <f>IFERROR(__xludf.DUMMYFUNCTION("""COMPUTED_VALUE"""),0.32331018518380006)</f>
        <v>0.3233101852</v>
      </c>
      <c r="F877" s="7" t="str">
        <f>IFERROR(__xludf.DUMMYFUNCTION("""COMPUTED_VALUE"""),"Negative")</f>
        <v>Negative</v>
      </c>
      <c r="G877" s="7">
        <f>IFERROR(__xludf.DUMMYFUNCTION("""COMPUTED_VALUE"""),1.0)</f>
        <v>1</v>
      </c>
    </row>
    <row r="878">
      <c r="A878" s="7" t="str">
        <f>IFERROR(__xludf.DUMMYFUNCTION("""COMPUTED_VALUE"""),"AK9786")</f>
        <v>AK9786</v>
      </c>
      <c r="B878" s="7" t="str">
        <f>IFERROR(__xludf.DUMMYFUNCTION("""COMPUTED_VALUE"""),"RUN-ABRM_2023-02-15_RFR-160")</f>
        <v>RUN-ABRM_2023-02-15_RFR-160</v>
      </c>
      <c r="C878" s="8">
        <f>VLOOKUP(B878,'Run Reconcile'!A$2:B3212,2,FALSE)</f>
        <v>44972</v>
      </c>
      <c r="D878" s="12">
        <f>IFERROR(__xludf.DUMMYFUNCTION("""COMPUTED_VALUE"""),44972.0)</f>
        <v>44972</v>
      </c>
      <c r="E878" s="13">
        <f>IFERROR(__xludf.DUMMYFUNCTION("""COMPUTED_VALUE"""),0.3916782407395658)</f>
        <v>0.3916782407</v>
      </c>
      <c r="F878" s="7" t="str">
        <f>IFERROR(__xludf.DUMMYFUNCTION("""COMPUTED_VALUE"""),"Negative")</f>
        <v>Negative</v>
      </c>
      <c r="G878" s="7">
        <f>IFERROR(__xludf.DUMMYFUNCTION("""COMPUTED_VALUE"""),1.0)</f>
        <v>1</v>
      </c>
    </row>
    <row r="879">
      <c r="A879" s="7" t="str">
        <f>IFERROR(__xludf.DUMMYFUNCTION("""COMPUTED_VALUE"""),"AB9624")</f>
        <v>AB9624</v>
      </c>
      <c r="B879" s="7" t="str">
        <f>IFERROR(__xludf.DUMMYFUNCTION("""COMPUTED_VALUE"""),"RUN-ABRM_2023-02-15_RFR-160")</f>
        <v>RUN-ABRM_2023-02-15_RFR-160</v>
      </c>
      <c r="C879" s="8">
        <f>VLOOKUP(B879,'Run Reconcile'!A$2:B3212,2,FALSE)</f>
        <v>44972</v>
      </c>
      <c r="D879" s="12">
        <f>IFERROR(__xludf.DUMMYFUNCTION("""COMPUTED_VALUE"""),44972.0)</f>
        <v>44972</v>
      </c>
      <c r="E879" s="13">
        <f>IFERROR(__xludf.DUMMYFUNCTION("""COMPUTED_VALUE"""),0.3920370370360615)</f>
        <v>0.392037037</v>
      </c>
      <c r="F879" s="7" t="str">
        <f>IFERROR(__xludf.DUMMYFUNCTION("""COMPUTED_VALUE"""),"Negative")</f>
        <v>Negative</v>
      </c>
      <c r="G879" s="7">
        <f>IFERROR(__xludf.DUMMYFUNCTION("""COMPUTED_VALUE"""),3.0)</f>
        <v>3</v>
      </c>
    </row>
    <row r="880">
      <c r="A880" s="7" t="str">
        <f>IFERROR(__xludf.DUMMYFUNCTION("""COMPUTED_VALUE"""),"AR1604")</f>
        <v>AR1604</v>
      </c>
      <c r="B880" s="7" t="str">
        <f>IFERROR(__xludf.DUMMYFUNCTION("""COMPUTED_VALUE"""),"RUN-ABRM_2023-02-15_RFR-160")</f>
        <v>RUN-ABRM_2023-02-15_RFR-160</v>
      </c>
      <c r="C880" s="8">
        <f>VLOOKUP(B880,'Run Reconcile'!A$2:B3212,2,FALSE)</f>
        <v>44972</v>
      </c>
      <c r="D880" s="12">
        <f>IFERROR(__xludf.DUMMYFUNCTION("""COMPUTED_VALUE"""),44972.0)</f>
        <v>44972</v>
      </c>
      <c r="E880" s="13">
        <f>IFERROR(__xludf.DUMMYFUNCTION("""COMPUTED_VALUE"""),0.39243055555562023)</f>
        <v>0.3924305556</v>
      </c>
      <c r="F880" s="7" t="str">
        <f>IFERROR(__xludf.DUMMYFUNCTION("""COMPUTED_VALUE"""),"Negative")</f>
        <v>Negative</v>
      </c>
      <c r="G880" s="7">
        <f>IFERROR(__xludf.DUMMYFUNCTION("""COMPUTED_VALUE"""),2.0)</f>
        <v>2</v>
      </c>
    </row>
    <row r="881">
      <c r="A881" s="7" t="str">
        <f>IFERROR(__xludf.DUMMYFUNCTION("""COMPUTED_VALUE"""),"AJ9839")</f>
        <v>AJ9839</v>
      </c>
      <c r="B881" s="7" t="str">
        <f>IFERROR(__xludf.DUMMYFUNCTION("""COMPUTED_VALUE"""),"RUN-ABRM_2023-02-16_RFR-161")</f>
        <v>RUN-ABRM_2023-02-16_RFR-161</v>
      </c>
      <c r="C881" s="8">
        <f>VLOOKUP(B881,'Run Reconcile'!A$2:B3212,2,FALSE)</f>
        <v>44973</v>
      </c>
      <c r="D881" s="12">
        <f>IFERROR(__xludf.DUMMYFUNCTION("""COMPUTED_VALUE"""),44973.0)</f>
        <v>44973</v>
      </c>
      <c r="E881" s="13">
        <f>IFERROR(__xludf.DUMMYFUNCTION("""COMPUTED_VALUE"""),0.2384837962963502)</f>
        <v>0.2384837963</v>
      </c>
      <c r="F881" s="7" t="str">
        <f>IFERROR(__xludf.DUMMYFUNCTION("""COMPUTED_VALUE"""),"Negative")</f>
        <v>Negative</v>
      </c>
      <c r="G881" s="7">
        <f>IFERROR(__xludf.DUMMYFUNCTION("""COMPUTED_VALUE"""),3.0)</f>
        <v>3</v>
      </c>
    </row>
    <row r="882">
      <c r="A882" s="7" t="str">
        <f>IFERROR(__xludf.DUMMYFUNCTION("""COMPUTED_VALUE"""),"AK9933")</f>
        <v>AK9933</v>
      </c>
      <c r="B882" s="7" t="str">
        <f>IFERROR(__xludf.DUMMYFUNCTION("""COMPUTED_VALUE"""),"RUN-ABRM_2023-02-16_RFR-161")</f>
        <v>RUN-ABRM_2023-02-16_RFR-161</v>
      </c>
      <c r="C882" s="8">
        <f>VLOOKUP(B882,'Run Reconcile'!A$2:B3212,2,FALSE)</f>
        <v>44973</v>
      </c>
      <c r="D882" s="12">
        <f>IFERROR(__xludf.DUMMYFUNCTION("""COMPUTED_VALUE"""),44973.0)</f>
        <v>44973</v>
      </c>
      <c r="E882" s="13">
        <f>IFERROR(__xludf.DUMMYFUNCTION("""COMPUTED_VALUE"""),0.29209490740686306)</f>
        <v>0.2920949074</v>
      </c>
      <c r="F882" s="7" t="str">
        <f>IFERROR(__xludf.DUMMYFUNCTION("""COMPUTED_VALUE"""),"Negative")</f>
        <v>Negative</v>
      </c>
      <c r="G882" s="7">
        <f>IFERROR(__xludf.DUMMYFUNCTION("""COMPUTED_VALUE"""),3.0)</f>
        <v>3</v>
      </c>
    </row>
    <row r="883">
      <c r="A883" s="7" t="str">
        <f>IFERROR(__xludf.DUMMYFUNCTION("""COMPUTED_VALUE"""),"AH785")</f>
        <v>AH785</v>
      </c>
      <c r="B883" s="7" t="str">
        <f>IFERROR(__xludf.DUMMYFUNCTION("""COMPUTED_VALUE"""),"RUN-ABRM_2023-02-16_RFR-161")</f>
        <v>RUN-ABRM_2023-02-16_RFR-161</v>
      </c>
      <c r="C883" s="8">
        <f>VLOOKUP(B883,'Run Reconcile'!A$2:B3212,2,FALSE)</f>
        <v>44973</v>
      </c>
      <c r="D883" s="12">
        <f>IFERROR(__xludf.DUMMYFUNCTION("""COMPUTED_VALUE"""),44973.0)</f>
        <v>44973</v>
      </c>
      <c r="E883" s="13">
        <f>IFERROR(__xludf.DUMMYFUNCTION("""COMPUTED_VALUE"""),0.30641203703635256)</f>
        <v>0.306412037</v>
      </c>
      <c r="F883" s="7" t="str">
        <f>IFERROR(__xludf.DUMMYFUNCTION("""COMPUTED_VALUE"""),"Negative")</f>
        <v>Negative</v>
      </c>
      <c r="G883" s="7">
        <f>IFERROR(__xludf.DUMMYFUNCTION("""COMPUTED_VALUE"""),3.0)</f>
        <v>3</v>
      </c>
    </row>
    <row r="884">
      <c r="A884" s="7" t="str">
        <f>IFERROR(__xludf.DUMMYFUNCTION("""COMPUTED_VALUE"""),"AR367")</f>
        <v>AR367</v>
      </c>
      <c r="B884" s="7" t="str">
        <f>IFERROR(__xludf.DUMMYFUNCTION("""COMPUTED_VALUE"""),"RUN-ABRM_2023-02-16_RFR-161")</f>
        <v>RUN-ABRM_2023-02-16_RFR-161</v>
      </c>
      <c r="C884" s="8">
        <f>VLOOKUP(B884,'Run Reconcile'!A$2:B3212,2,FALSE)</f>
        <v>44973</v>
      </c>
      <c r="D884" s="12">
        <f>IFERROR(__xludf.DUMMYFUNCTION("""COMPUTED_VALUE"""),44973.0)</f>
        <v>44973</v>
      </c>
      <c r="E884" s="13">
        <f>IFERROR(__xludf.DUMMYFUNCTION("""COMPUTED_VALUE"""),0.31636574074218515)</f>
        <v>0.3163657407</v>
      </c>
      <c r="F884" s="7" t="str">
        <f>IFERROR(__xludf.DUMMYFUNCTION("""COMPUTED_VALUE"""),"Negative")</f>
        <v>Negative</v>
      </c>
      <c r="G884" s="7">
        <f>IFERROR(__xludf.DUMMYFUNCTION("""COMPUTED_VALUE"""),2.0)</f>
        <v>2</v>
      </c>
    </row>
    <row r="885">
      <c r="A885" s="7" t="str">
        <f>IFERROR(__xludf.DUMMYFUNCTION("""COMPUTED_VALUE"""),"AG780")</f>
        <v>AG780</v>
      </c>
      <c r="B885" s="7" t="str">
        <f>IFERROR(__xludf.DUMMYFUNCTION("""COMPUTED_VALUE"""),"RUN-ABRM_2023-02-16_RFR-161")</f>
        <v>RUN-ABRM_2023-02-16_RFR-161</v>
      </c>
      <c r="C885" s="8">
        <f>VLOOKUP(B885,'Run Reconcile'!A$2:B3212,2,FALSE)</f>
        <v>44973</v>
      </c>
      <c r="D885" s="12">
        <f>IFERROR(__xludf.DUMMYFUNCTION("""COMPUTED_VALUE"""),44973.0)</f>
        <v>44973</v>
      </c>
      <c r="E885" s="13">
        <f>IFERROR(__xludf.DUMMYFUNCTION("""COMPUTED_VALUE"""),0.3167592592581059)</f>
        <v>0.3167592593</v>
      </c>
      <c r="F885" s="7" t="str">
        <f>IFERROR(__xludf.DUMMYFUNCTION("""COMPUTED_VALUE"""),"Negative")</f>
        <v>Negative</v>
      </c>
      <c r="G885" s="7">
        <f>IFERROR(__xludf.DUMMYFUNCTION("""COMPUTED_VALUE"""),1.0)</f>
        <v>1</v>
      </c>
    </row>
    <row r="886">
      <c r="A886" s="7" t="str">
        <f>IFERROR(__xludf.DUMMYFUNCTION("""COMPUTED_VALUE"""),"AK9859")</f>
        <v>AK9859</v>
      </c>
      <c r="B886" s="7" t="str">
        <f>IFERROR(__xludf.DUMMYFUNCTION("""COMPUTED_VALUE"""),"RUN-ABRM_2023-02-16_RFR-161")</f>
        <v>RUN-ABRM_2023-02-16_RFR-161</v>
      </c>
      <c r="C886" s="8">
        <f>VLOOKUP(B886,'Run Reconcile'!A$2:B3212,2,FALSE)</f>
        <v>44973</v>
      </c>
      <c r="D886" s="12">
        <f>IFERROR(__xludf.DUMMYFUNCTION("""COMPUTED_VALUE"""),44973.0)</f>
        <v>44973</v>
      </c>
      <c r="E886" s="13">
        <f>IFERROR(__xludf.DUMMYFUNCTION("""COMPUTED_VALUE"""),0.32603009259401006)</f>
        <v>0.3260300926</v>
      </c>
      <c r="F886" s="7" t="str">
        <f>IFERROR(__xludf.DUMMYFUNCTION("""COMPUTED_VALUE"""),"Negative")</f>
        <v>Negative</v>
      </c>
      <c r="G886" s="7">
        <f>IFERROR(__xludf.DUMMYFUNCTION("""COMPUTED_VALUE"""),1.0)</f>
        <v>1</v>
      </c>
    </row>
    <row r="887">
      <c r="A887" s="7" t="str">
        <f>IFERROR(__xludf.DUMMYFUNCTION("""COMPUTED_VALUE"""),"AH464")</f>
        <v>AH464</v>
      </c>
      <c r="B887" s="7" t="str">
        <f>IFERROR(__xludf.DUMMYFUNCTION("""COMPUTED_VALUE"""),"RUN-ABRM_2023-02-16_RFR-161")</f>
        <v>RUN-ABRM_2023-02-16_RFR-161</v>
      </c>
      <c r="C887" s="8">
        <f>VLOOKUP(B887,'Run Reconcile'!A$2:B3212,2,FALSE)</f>
        <v>44973</v>
      </c>
      <c r="D887" s="12">
        <f>IFERROR(__xludf.DUMMYFUNCTION("""COMPUTED_VALUE"""),44973.0)</f>
        <v>44973</v>
      </c>
      <c r="E887" s="13">
        <f>IFERROR(__xludf.DUMMYFUNCTION("""COMPUTED_VALUE"""),0.32901620370466844)</f>
        <v>0.3290162037</v>
      </c>
      <c r="F887" s="7" t="str">
        <f>IFERROR(__xludf.DUMMYFUNCTION("""COMPUTED_VALUE"""),"Negative")</f>
        <v>Negative</v>
      </c>
      <c r="G887" s="7">
        <f>IFERROR(__xludf.DUMMYFUNCTION("""COMPUTED_VALUE"""),4.0)</f>
        <v>4</v>
      </c>
    </row>
    <row r="888">
      <c r="A888" s="7" t="str">
        <f>IFERROR(__xludf.DUMMYFUNCTION("""COMPUTED_VALUE"""),"AR137")</f>
        <v>AR137</v>
      </c>
      <c r="B888" s="7" t="str">
        <f>IFERROR(__xludf.DUMMYFUNCTION("""COMPUTED_VALUE"""),"RUN-ABRM_2023-02-17_RFR-162")</f>
        <v>RUN-ABRM_2023-02-17_RFR-162</v>
      </c>
      <c r="C888" s="8">
        <f>VLOOKUP(B888,'Run Reconcile'!A$2:B3212,2,FALSE)</f>
        <v>44974</v>
      </c>
      <c r="D888" s="12">
        <f>IFERROR(__xludf.DUMMYFUNCTION("""COMPUTED_VALUE"""),44974.0)</f>
        <v>44974</v>
      </c>
      <c r="E888" s="13">
        <f>IFERROR(__xludf.DUMMYFUNCTION("""COMPUTED_VALUE"""),0.18915509259386454)</f>
        <v>0.1891550926</v>
      </c>
      <c r="F888" s="7" t="str">
        <f>IFERROR(__xludf.DUMMYFUNCTION("""COMPUTED_VALUE"""),"Negative")</f>
        <v>Negative</v>
      </c>
      <c r="G888" s="7">
        <f>IFERROR(__xludf.DUMMYFUNCTION("""COMPUTED_VALUE"""),2.0)</f>
        <v>2</v>
      </c>
    </row>
    <row r="889">
      <c r="A889" s="7" t="str">
        <f>IFERROR(__xludf.DUMMYFUNCTION("""COMPUTED_VALUE"""),"AR187")</f>
        <v>AR187</v>
      </c>
      <c r="B889" s="7" t="str">
        <f>IFERROR(__xludf.DUMMYFUNCTION("""COMPUTED_VALUE"""),"RUN-ABRM_2023-02-17_RFR-162")</f>
        <v>RUN-ABRM_2023-02-17_RFR-162</v>
      </c>
      <c r="C889" s="8">
        <f>VLOOKUP(B889,'Run Reconcile'!A$2:B3212,2,FALSE)</f>
        <v>44974</v>
      </c>
      <c r="D889" s="12">
        <f>IFERROR(__xludf.DUMMYFUNCTION("""COMPUTED_VALUE"""),44974.0)</f>
        <v>44974</v>
      </c>
      <c r="E889" s="13">
        <f>IFERROR(__xludf.DUMMYFUNCTION("""COMPUTED_VALUE"""),0.28090277777664596)</f>
        <v>0.2809027778</v>
      </c>
      <c r="F889" s="7" t="str">
        <f>IFERROR(__xludf.DUMMYFUNCTION("""COMPUTED_VALUE"""),"Negative")</f>
        <v>Negative</v>
      </c>
      <c r="G889" s="7">
        <f>IFERROR(__xludf.DUMMYFUNCTION("""COMPUTED_VALUE"""),3.0)</f>
        <v>3</v>
      </c>
    </row>
    <row r="890">
      <c r="A890" s="7" t="str">
        <f>IFERROR(__xludf.DUMMYFUNCTION("""COMPUTED_VALUE"""),"AG657")</f>
        <v>AG657</v>
      </c>
      <c r="B890" s="7" t="str">
        <f>IFERROR(__xludf.DUMMYFUNCTION("""COMPUTED_VALUE"""),"RUN-ABRM_2023-02-17_RFR-162")</f>
        <v>RUN-ABRM_2023-02-17_RFR-162</v>
      </c>
      <c r="C890" s="8">
        <f>VLOOKUP(B890,'Run Reconcile'!A$2:B3212,2,FALSE)</f>
        <v>44974</v>
      </c>
      <c r="D890" s="12">
        <f>IFERROR(__xludf.DUMMYFUNCTION("""COMPUTED_VALUE"""),44974.0)</f>
        <v>44974</v>
      </c>
      <c r="E890" s="13">
        <f>IFERROR(__xludf.DUMMYFUNCTION("""COMPUTED_VALUE"""),0.2950231481481751)</f>
        <v>0.2950231481</v>
      </c>
      <c r="F890" s="7" t="str">
        <f>IFERROR(__xludf.DUMMYFUNCTION("""COMPUTED_VALUE"""),"Negative")</f>
        <v>Negative</v>
      </c>
      <c r="G890" s="7">
        <f>IFERROR(__xludf.DUMMYFUNCTION("""COMPUTED_VALUE"""),3.0)</f>
        <v>3</v>
      </c>
    </row>
    <row r="891">
      <c r="A891" s="7" t="str">
        <f>IFERROR(__xludf.DUMMYFUNCTION("""COMPUTED_VALUE"""),"AR472")</f>
        <v>AR472</v>
      </c>
      <c r="B891" s="7" t="str">
        <f>IFERROR(__xludf.DUMMYFUNCTION("""COMPUTED_VALUE"""),"RUN-ABRM_2023-02-17_RFR-162")</f>
        <v>RUN-ABRM_2023-02-17_RFR-162</v>
      </c>
      <c r="C891" s="8">
        <f>VLOOKUP(B891,'Run Reconcile'!A$2:B3212,2,FALSE)</f>
        <v>44974</v>
      </c>
      <c r="D891" s="12">
        <f>IFERROR(__xludf.DUMMYFUNCTION("""COMPUTED_VALUE"""),44974.0)</f>
        <v>44974</v>
      </c>
      <c r="E891" s="13">
        <f>IFERROR(__xludf.DUMMYFUNCTION("""COMPUTED_VALUE"""),0.29954861111036735)</f>
        <v>0.2995486111</v>
      </c>
      <c r="F891" s="7" t="str">
        <f>IFERROR(__xludf.DUMMYFUNCTION("""COMPUTED_VALUE"""),"Negative")</f>
        <v>Negative</v>
      </c>
      <c r="G891" s="7">
        <f>IFERROR(__xludf.DUMMYFUNCTION("""COMPUTED_VALUE"""),3.0)</f>
        <v>3</v>
      </c>
    </row>
    <row r="892">
      <c r="A892" s="7" t="str">
        <f>IFERROR(__xludf.DUMMYFUNCTION("""COMPUTED_VALUE"""),"AR117")</f>
        <v>AR117</v>
      </c>
      <c r="B892" s="7" t="str">
        <f>IFERROR(__xludf.DUMMYFUNCTION("""COMPUTED_VALUE"""),"RUN-ABRM_2023-02-17_RFR-162")</f>
        <v>RUN-ABRM_2023-02-17_RFR-162</v>
      </c>
      <c r="C892" s="8">
        <f>VLOOKUP(B892,'Run Reconcile'!A$2:B3212,2,FALSE)</f>
        <v>44974</v>
      </c>
      <c r="D892" s="12">
        <f>IFERROR(__xludf.DUMMYFUNCTION("""COMPUTED_VALUE"""),44974.0)</f>
        <v>44974</v>
      </c>
      <c r="E892" s="13">
        <f>IFERROR(__xludf.DUMMYFUNCTION("""COMPUTED_VALUE"""),0.3144907407404389)</f>
        <v>0.3144907407</v>
      </c>
      <c r="F892" s="7" t="str">
        <f>IFERROR(__xludf.DUMMYFUNCTION("""COMPUTED_VALUE"""),"Negative")</f>
        <v>Negative</v>
      </c>
      <c r="G892" s="7">
        <f>IFERROR(__xludf.DUMMYFUNCTION("""COMPUTED_VALUE"""),1.0)</f>
        <v>1</v>
      </c>
    </row>
    <row r="893">
      <c r="A893" s="7" t="str">
        <f>IFERROR(__xludf.DUMMYFUNCTION("""COMPUTED_VALUE"""),"AJ9715")</f>
        <v>AJ9715</v>
      </c>
      <c r="B893" s="7" t="str">
        <f>IFERROR(__xludf.DUMMYFUNCTION("""COMPUTED_VALUE"""),"RUN-ABRM_2023-02-17_RFR-162")</f>
        <v>RUN-ABRM_2023-02-17_RFR-162</v>
      </c>
      <c r="C893" s="8">
        <f>VLOOKUP(B893,'Run Reconcile'!A$2:B3212,2,FALSE)</f>
        <v>44974</v>
      </c>
      <c r="D893" s="12">
        <f>IFERROR(__xludf.DUMMYFUNCTION("""COMPUTED_VALUE"""),44974.0)</f>
        <v>44974</v>
      </c>
      <c r="E893" s="13">
        <f>IFERROR(__xludf.DUMMYFUNCTION("""COMPUTED_VALUE"""),0.32633101851752144)</f>
        <v>0.3263310185</v>
      </c>
      <c r="F893" s="7" t="str">
        <f>IFERROR(__xludf.DUMMYFUNCTION("""COMPUTED_VALUE"""),"Negative")</f>
        <v>Negative</v>
      </c>
      <c r="G893" s="7">
        <f>IFERROR(__xludf.DUMMYFUNCTION("""COMPUTED_VALUE"""),1.0)</f>
        <v>1</v>
      </c>
    </row>
    <row r="894">
      <c r="A894" s="7" t="str">
        <f>IFERROR(__xludf.DUMMYFUNCTION("""COMPUTED_VALUE"""),"AJ8084")</f>
        <v>AJ8084</v>
      </c>
      <c r="B894" s="7" t="str">
        <f>IFERROR(__xludf.DUMMYFUNCTION("""COMPUTED_VALUE"""),"RUN-ABRM_2023-02-17_RFR-162")</f>
        <v>RUN-ABRM_2023-02-17_RFR-162</v>
      </c>
      <c r="C894" s="8">
        <f>VLOOKUP(B894,'Run Reconcile'!A$2:B3212,2,FALSE)</f>
        <v>44974</v>
      </c>
      <c r="D894" s="12">
        <f>IFERROR(__xludf.DUMMYFUNCTION("""COMPUTED_VALUE"""),44974.0)</f>
        <v>44974</v>
      </c>
      <c r="E894" s="13">
        <f>IFERROR(__xludf.DUMMYFUNCTION("""COMPUTED_VALUE"""),0.3275462962956226)</f>
        <v>0.3275462963</v>
      </c>
      <c r="F894" s="7" t="str">
        <f>IFERROR(__xludf.DUMMYFUNCTION("""COMPUTED_VALUE"""),"Negative")</f>
        <v>Negative</v>
      </c>
      <c r="G894" s="7">
        <f>IFERROR(__xludf.DUMMYFUNCTION("""COMPUTED_VALUE"""),1.0)</f>
        <v>1</v>
      </c>
    </row>
    <row r="895">
      <c r="A895" s="7" t="str">
        <f>IFERROR(__xludf.DUMMYFUNCTION("""COMPUTED_VALUE"""),"AE9929")</f>
        <v>AE9929</v>
      </c>
      <c r="B895" s="7" t="str">
        <f>IFERROR(__xludf.DUMMYFUNCTION("""COMPUTED_VALUE"""),"RUN-ABRM_2023-02-17_RFR-162")</f>
        <v>RUN-ABRM_2023-02-17_RFR-162</v>
      </c>
      <c r="C895" s="8">
        <f>VLOOKUP(B895,'Run Reconcile'!A$2:B3212,2,FALSE)</f>
        <v>44974</v>
      </c>
      <c r="D895" s="12">
        <f>IFERROR(__xludf.DUMMYFUNCTION("""COMPUTED_VALUE"""),44974.0)</f>
        <v>44974</v>
      </c>
      <c r="E895" s="13">
        <f>IFERROR(__xludf.DUMMYFUNCTION("""COMPUTED_VALUE"""),0.35510416666511446)</f>
        <v>0.3551041667</v>
      </c>
      <c r="F895" s="7" t="str">
        <f>IFERROR(__xludf.DUMMYFUNCTION("""COMPUTED_VALUE"""),"Negative")</f>
        <v>Negative</v>
      </c>
      <c r="G895" s="7">
        <f>IFERROR(__xludf.DUMMYFUNCTION("""COMPUTED_VALUE"""),1.0)</f>
        <v>1</v>
      </c>
    </row>
    <row r="896">
      <c r="A896" s="7" t="str">
        <f>IFERROR(__xludf.DUMMYFUNCTION("""COMPUTED_VALUE"""),"AR1370")</f>
        <v>AR1370</v>
      </c>
      <c r="B896" s="7" t="str">
        <f>IFERROR(__xludf.DUMMYFUNCTION("""COMPUTED_VALUE"""),"RUN-ABRM_2023-02-20_RFR-163")</f>
        <v>RUN-ABRM_2023-02-20_RFR-163</v>
      </c>
      <c r="C896" s="8">
        <f>VLOOKUP(B896,'Run Reconcile'!A$2:B3212,2,FALSE)</f>
        <v>44977</v>
      </c>
      <c r="D896" s="12">
        <f>IFERROR(__xludf.DUMMYFUNCTION("""COMPUTED_VALUE"""),44977.0)</f>
        <v>44977</v>
      </c>
      <c r="E896" s="13">
        <f>IFERROR(__xludf.DUMMYFUNCTION("""COMPUTED_VALUE"""),0.25753472222277196)</f>
        <v>0.2575347222</v>
      </c>
      <c r="F896" s="7" t="str">
        <f>IFERROR(__xludf.DUMMYFUNCTION("""COMPUTED_VALUE"""),"Negative")</f>
        <v>Negative</v>
      </c>
      <c r="G896" s="7">
        <f>IFERROR(__xludf.DUMMYFUNCTION("""COMPUTED_VALUE"""),3.0)</f>
        <v>3</v>
      </c>
    </row>
    <row r="897">
      <c r="A897" s="7" t="str">
        <f>IFERROR(__xludf.DUMMYFUNCTION("""COMPUTED_VALUE"""),"AR174")</f>
        <v>AR174</v>
      </c>
      <c r="B897" s="7" t="str">
        <f>IFERROR(__xludf.DUMMYFUNCTION("""COMPUTED_VALUE"""),"RUN-ABRM_2023-02-20_RFR-163")</f>
        <v>RUN-ABRM_2023-02-20_RFR-163</v>
      </c>
      <c r="C897" s="8">
        <f>VLOOKUP(B897,'Run Reconcile'!A$2:B3212,2,FALSE)</f>
        <v>44977</v>
      </c>
      <c r="D897" s="12">
        <f>IFERROR(__xludf.DUMMYFUNCTION("""COMPUTED_VALUE"""),44977.0)</f>
        <v>44977</v>
      </c>
      <c r="E897" s="13">
        <f>IFERROR(__xludf.DUMMYFUNCTION("""COMPUTED_VALUE"""),0.2934259259272949)</f>
        <v>0.2934259259</v>
      </c>
      <c r="F897" s="7" t="str">
        <f>IFERROR(__xludf.DUMMYFUNCTION("""COMPUTED_VALUE"""),"Negative")</f>
        <v>Negative</v>
      </c>
      <c r="G897" s="7">
        <f>IFERROR(__xludf.DUMMYFUNCTION("""COMPUTED_VALUE"""),3.0)</f>
        <v>3</v>
      </c>
    </row>
    <row r="898">
      <c r="A898" s="7" t="str">
        <f>IFERROR(__xludf.DUMMYFUNCTION("""COMPUTED_VALUE"""),"AK9711")</f>
        <v>AK9711</v>
      </c>
      <c r="B898" s="7" t="str">
        <f>IFERROR(__xludf.DUMMYFUNCTION("""COMPUTED_VALUE"""),"RUN-ABRM_2023-02-20_RFR-163")</f>
        <v>RUN-ABRM_2023-02-20_RFR-163</v>
      </c>
      <c r="C898" s="8">
        <f>VLOOKUP(B898,'Run Reconcile'!A$2:B3212,2,FALSE)</f>
        <v>44977</v>
      </c>
      <c r="D898" s="12">
        <f>IFERROR(__xludf.DUMMYFUNCTION("""COMPUTED_VALUE"""),44977.0)</f>
        <v>44977</v>
      </c>
      <c r="E898" s="13">
        <f>IFERROR(__xludf.DUMMYFUNCTION("""COMPUTED_VALUE"""),0.29656249999970896)</f>
        <v>0.2965625</v>
      </c>
      <c r="F898" s="7" t="str">
        <f>IFERROR(__xludf.DUMMYFUNCTION("""COMPUTED_VALUE"""),"Negative")</f>
        <v>Negative</v>
      </c>
      <c r="G898" s="7">
        <f>IFERROR(__xludf.DUMMYFUNCTION("""COMPUTED_VALUE"""),4.0)</f>
        <v>4</v>
      </c>
    </row>
    <row r="899">
      <c r="A899" s="7" t="str">
        <f>IFERROR(__xludf.DUMMYFUNCTION("""COMPUTED_VALUE"""),"AR1210")</f>
        <v>AR1210</v>
      </c>
      <c r="B899" s="7" t="str">
        <f>IFERROR(__xludf.DUMMYFUNCTION("""COMPUTED_VALUE"""),"RUN-ABRM_2023-02-20_RFR-163")</f>
        <v>RUN-ABRM_2023-02-20_RFR-163</v>
      </c>
      <c r="C899" s="8">
        <f>VLOOKUP(B899,'Run Reconcile'!A$2:B3212,2,FALSE)</f>
        <v>44977</v>
      </c>
      <c r="D899" s="12">
        <f>IFERROR(__xludf.DUMMYFUNCTION("""COMPUTED_VALUE"""),44977.0)</f>
        <v>44977</v>
      </c>
      <c r="E899" s="13">
        <f>IFERROR(__xludf.DUMMYFUNCTION("""COMPUTED_VALUE"""),0.31851851851752144)</f>
        <v>0.3185185185</v>
      </c>
      <c r="F899" s="7" t="str">
        <f>IFERROR(__xludf.DUMMYFUNCTION("""COMPUTED_VALUE"""),"Negative")</f>
        <v>Negative</v>
      </c>
      <c r="G899" s="7">
        <f>IFERROR(__xludf.DUMMYFUNCTION("""COMPUTED_VALUE"""),1.0)</f>
        <v>1</v>
      </c>
    </row>
    <row r="900">
      <c r="A900" s="7" t="str">
        <f>IFERROR(__xludf.DUMMYFUNCTION("""COMPUTED_VALUE"""),"AR468")</f>
        <v>AR468</v>
      </c>
      <c r="B900" s="7" t="str">
        <f>IFERROR(__xludf.DUMMYFUNCTION("""COMPUTED_VALUE"""),"RUN-ABRM_2023-02-20_RFR-163")</f>
        <v>RUN-ABRM_2023-02-20_RFR-163</v>
      </c>
      <c r="C900" s="8">
        <f>VLOOKUP(B900,'Run Reconcile'!A$2:B3212,2,FALSE)</f>
        <v>44977</v>
      </c>
      <c r="D900" s="12">
        <f>IFERROR(__xludf.DUMMYFUNCTION("""COMPUTED_VALUE"""),44977.0)</f>
        <v>44977</v>
      </c>
      <c r="E900" s="13">
        <f>IFERROR(__xludf.DUMMYFUNCTION("""COMPUTED_VALUE"""),0.3188194444446708)</f>
        <v>0.3188194444</v>
      </c>
      <c r="F900" s="7" t="str">
        <f>IFERROR(__xludf.DUMMYFUNCTION("""COMPUTED_VALUE"""),"Negative")</f>
        <v>Negative</v>
      </c>
      <c r="G900" s="7">
        <f>IFERROR(__xludf.DUMMYFUNCTION("""COMPUTED_VALUE"""),2.0)</f>
        <v>2</v>
      </c>
    </row>
    <row r="901">
      <c r="A901" s="7" t="str">
        <f>IFERROR(__xludf.DUMMYFUNCTION("""COMPUTED_VALUE"""),"AR889")</f>
        <v>AR889</v>
      </c>
      <c r="B901" s="7" t="str">
        <f>IFERROR(__xludf.DUMMYFUNCTION("""COMPUTED_VALUE"""),"RUN-ABRM_2023-02-20_RFR-163")</f>
        <v>RUN-ABRM_2023-02-20_RFR-163</v>
      </c>
      <c r="C901" s="8">
        <f>VLOOKUP(B901,'Run Reconcile'!A$2:B3212,2,FALSE)</f>
        <v>44977</v>
      </c>
      <c r="D901" s="12">
        <f>IFERROR(__xludf.DUMMYFUNCTION("""COMPUTED_VALUE"""),44977.0)</f>
        <v>44977</v>
      </c>
      <c r="E901" s="13">
        <f>IFERROR(__xludf.DUMMYFUNCTION("""COMPUTED_VALUE"""),0.32317129629518604)</f>
        <v>0.3231712963</v>
      </c>
      <c r="F901" s="7" t="str">
        <f>IFERROR(__xludf.DUMMYFUNCTION("""COMPUTED_VALUE"""),"Negative")</f>
        <v>Negative</v>
      </c>
      <c r="G901" s="7">
        <f>IFERROR(__xludf.DUMMYFUNCTION("""COMPUTED_VALUE"""),1.0)</f>
        <v>1</v>
      </c>
    </row>
    <row r="902">
      <c r="A902" s="7" t="str">
        <f>IFERROR(__xludf.DUMMYFUNCTION("""COMPUTED_VALUE"""),"AR149")</f>
        <v>AR149</v>
      </c>
      <c r="B902" s="7" t="str">
        <f>IFERROR(__xludf.DUMMYFUNCTION("""COMPUTED_VALUE"""),"RUN-ABRM_2023-02-20_RFR-163")</f>
        <v>RUN-ABRM_2023-02-20_RFR-163</v>
      </c>
      <c r="C902" s="8">
        <f>VLOOKUP(B902,'Run Reconcile'!A$2:B3212,2,FALSE)</f>
        <v>44977</v>
      </c>
      <c r="D902" s="12">
        <f>IFERROR(__xludf.DUMMYFUNCTION("""COMPUTED_VALUE"""),44977.0)</f>
        <v>44977</v>
      </c>
      <c r="E902" s="13">
        <f>IFERROR(__xludf.DUMMYFUNCTION("""COMPUTED_VALUE"""),0.39681712962919846)</f>
        <v>0.3968171296</v>
      </c>
      <c r="F902" s="7" t="str">
        <f>IFERROR(__xludf.DUMMYFUNCTION("""COMPUTED_VALUE"""),"Negative")</f>
        <v>Negative</v>
      </c>
      <c r="G902" s="7">
        <f>IFERROR(__xludf.DUMMYFUNCTION("""COMPUTED_VALUE"""),3.0)</f>
        <v>3</v>
      </c>
    </row>
    <row r="903">
      <c r="A903" s="7" t="str">
        <f>IFERROR(__xludf.DUMMYFUNCTION("""COMPUTED_VALUE"""),"AR693")</f>
        <v>AR693</v>
      </c>
      <c r="B903" s="7" t="str">
        <f>IFERROR(__xludf.DUMMYFUNCTION("""COMPUTED_VALUE"""),"RUN-ABRM_2023-02-20_RFR-163")</f>
        <v>RUN-ABRM_2023-02-20_RFR-163</v>
      </c>
      <c r="C903" s="8">
        <f>VLOOKUP(B903,'Run Reconcile'!A$2:B3212,2,FALSE)</f>
        <v>44977</v>
      </c>
      <c r="D903" s="12">
        <f>IFERROR(__xludf.DUMMYFUNCTION("""COMPUTED_VALUE"""),44977.0)</f>
        <v>44977</v>
      </c>
      <c r="E903" s="13">
        <f>IFERROR(__xludf.DUMMYFUNCTION("""COMPUTED_VALUE"""),0.3972685185181035)</f>
        <v>0.3972685185</v>
      </c>
      <c r="F903" s="7" t="str">
        <f>IFERROR(__xludf.DUMMYFUNCTION("""COMPUTED_VALUE"""),"Negative")</f>
        <v>Negative</v>
      </c>
      <c r="G903" s="7">
        <f>IFERROR(__xludf.DUMMYFUNCTION("""COMPUTED_VALUE"""),1.0)</f>
        <v>1</v>
      </c>
    </row>
    <row r="904">
      <c r="A904" s="7" t="str">
        <f>IFERROR(__xludf.DUMMYFUNCTION("""COMPUTED_VALUE"""),"AR566")</f>
        <v>AR566</v>
      </c>
      <c r="B904" s="7" t="str">
        <f>IFERROR(__xludf.DUMMYFUNCTION("""COMPUTED_VALUE"""),"RUN-ABRM_2023-02-20_RFR-163")</f>
        <v>RUN-ABRM_2023-02-20_RFR-163</v>
      </c>
      <c r="C904" s="8">
        <f>VLOOKUP(B904,'Run Reconcile'!A$2:B3212,2,FALSE)</f>
        <v>44977</v>
      </c>
      <c r="D904" s="12">
        <f>IFERROR(__xludf.DUMMYFUNCTION("""COMPUTED_VALUE"""),44977.0)</f>
        <v>44977</v>
      </c>
      <c r="E904" s="13">
        <f>IFERROR(__xludf.DUMMYFUNCTION("""COMPUTED_VALUE"""),0.39922453703547944)</f>
        <v>0.399224537</v>
      </c>
      <c r="F904" s="7" t="str">
        <f>IFERROR(__xludf.DUMMYFUNCTION("""COMPUTED_VALUE"""),"Negative")</f>
        <v>Negative</v>
      </c>
      <c r="G904" s="7">
        <f>IFERROR(__xludf.DUMMYFUNCTION("""COMPUTED_VALUE"""),2.0)</f>
        <v>2</v>
      </c>
    </row>
    <row r="905">
      <c r="A905" s="7" t="str">
        <f>IFERROR(__xludf.DUMMYFUNCTION("""COMPUTED_VALUE"""),"AJ8566")</f>
        <v>AJ8566</v>
      </c>
      <c r="B905" s="7" t="str">
        <f>IFERROR(__xludf.DUMMYFUNCTION("""COMPUTED_VALUE"""),"RUN-ABRM_2023-02-21_RFR-164")</f>
        <v>RUN-ABRM_2023-02-21_RFR-164</v>
      </c>
      <c r="C905" s="8">
        <f>VLOOKUP(B905,'Run Reconcile'!A$2:B3212,2,FALSE)</f>
        <v>44978</v>
      </c>
      <c r="D905" s="12">
        <f>IFERROR(__xludf.DUMMYFUNCTION("""COMPUTED_VALUE"""),44978.0)</f>
        <v>44978</v>
      </c>
      <c r="E905" s="13">
        <f>IFERROR(__xludf.DUMMYFUNCTION("""COMPUTED_VALUE"""),0.26332175925927004)</f>
        <v>0.2633217593</v>
      </c>
      <c r="F905" s="7" t="str">
        <f>IFERROR(__xludf.DUMMYFUNCTION("""COMPUTED_VALUE"""),"Negative")</f>
        <v>Negative</v>
      </c>
      <c r="G905" s="7">
        <f>IFERROR(__xludf.DUMMYFUNCTION("""COMPUTED_VALUE"""),2.0)</f>
        <v>2</v>
      </c>
    </row>
    <row r="906">
      <c r="A906" s="7" t="str">
        <f>IFERROR(__xludf.DUMMYFUNCTION("""COMPUTED_VALUE"""),"AR1320")</f>
        <v>AR1320</v>
      </c>
      <c r="B906" s="7" t="str">
        <f>IFERROR(__xludf.DUMMYFUNCTION("""COMPUTED_VALUE"""),"RUN-ABRM_2023-02-21_RFR-164")</f>
        <v>RUN-ABRM_2023-02-21_RFR-164</v>
      </c>
      <c r="C906" s="8">
        <f>VLOOKUP(B906,'Run Reconcile'!A$2:B3212,2,FALSE)</f>
        <v>44978</v>
      </c>
      <c r="D906" s="12">
        <f>IFERROR(__xludf.DUMMYFUNCTION("""COMPUTED_VALUE"""),44978.0)</f>
        <v>44978</v>
      </c>
      <c r="E906" s="13">
        <f>IFERROR(__xludf.DUMMYFUNCTION("""COMPUTED_VALUE"""),0.2695023148153268)</f>
        <v>0.2695023148</v>
      </c>
      <c r="F906" s="7" t="str">
        <f>IFERROR(__xludf.DUMMYFUNCTION("""COMPUTED_VALUE"""),"Negative")</f>
        <v>Negative</v>
      </c>
      <c r="G906" s="7">
        <f>IFERROR(__xludf.DUMMYFUNCTION("""COMPUTED_VALUE"""),3.0)</f>
        <v>3</v>
      </c>
    </row>
    <row r="907">
      <c r="A907" s="7" t="str">
        <f>IFERROR(__xludf.DUMMYFUNCTION("""COMPUTED_VALUE"""),"AR1507")</f>
        <v>AR1507</v>
      </c>
      <c r="B907" s="7" t="str">
        <f>IFERROR(__xludf.DUMMYFUNCTION("""COMPUTED_VALUE"""),"RUN-ABRM_2023-02-21_RFR-164")</f>
        <v>RUN-ABRM_2023-02-21_RFR-164</v>
      </c>
      <c r="C907" s="8">
        <f>VLOOKUP(B907,'Run Reconcile'!A$2:B3212,2,FALSE)</f>
        <v>44978</v>
      </c>
      <c r="D907" s="12">
        <f>IFERROR(__xludf.DUMMYFUNCTION("""COMPUTED_VALUE"""),44978.0)</f>
        <v>44978</v>
      </c>
      <c r="E907" s="13">
        <f>IFERROR(__xludf.DUMMYFUNCTION("""COMPUTED_VALUE"""),0.26957175925781485)</f>
        <v>0.2695717593</v>
      </c>
      <c r="F907" s="7" t="str">
        <f>IFERROR(__xludf.DUMMYFUNCTION("""COMPUTED_VALUE"""),"Negative")</f>
        <v>Negative</v>
      </c>
      <c r="G907" s="7">
        <f>IFERROR(__xludf.DUMMYFUNCTION("""COMPUTED_VALUE"""),3.0)</f>
        <v>3</v>
      </c>
    </row>
    <row r="908">
      <c r="A908" s="7" t="str">
        <f>IFERROR(__xludf.DUMMYFUNCTION("""COMPUTED_VALUE"""),"AH7333")</f>
        <v>AH7333</v>
      </c>
      <c r="B908" s="7" t="str">
        <f>IFERROR(__xludf.DUMMYFUNCTION("""COMPUTED_VALUE"""),"RUN-ABRM_2023-02-21_RFR-164")</f>
        <v>RUN-ABRM_2023-02-21_RFR-164</v>
      </c>
      <c r="C908" s="8">
        <f>VLOOKUP(B908,'Run Reconcile'!A$2:B3212,2,FALSE)</f>
        <v>44978</v>
      </c>
      <c r="D908" s="12">
        <f>IFERROR(__xludf.DUMMYFUNCTION("""COMPUTED_VALUE"""),44978.0)</f>
        <v>44978</v>
      </c>
      <c r="E908" s="13">
        <f>IFERROR(__xludf.DUMMYFUNCTION("""COMPUTED_VALUE"""),0.2928009259267128)</f>
        <v>0.2928009259</v>
      </c>
      <c r="F908" s="7" t="str">
        <f>IFERROR(__xludf.DUMMYFUNCTION("""COMPUTED_VALUE"""),"Negative")</f>
        <v>Negative</v>
      </c>
      <c r="G908" s="7">
        <f>IFERROR(__xludf.DUMMYFUNCTION("""COMPUTED_VALUE"""),3.0)</f>
        <v>3</v>
      </c>
    </row>
    <row r="909">
      <c r="A909" s="7" t="str">
        <f>IFERROR(__xludf.DUMMYFUNCTION("""COMPUTED_VALUE"""),"AK9635")</f>
        <v>AK9635</v>
      </c>
      <c r="B909" s="7" t="str">
        <f>IFERROR(__xludf.DUMMYFUNCTION("""COMPUTED_VALUE"""),"RUN-ABRM_2023-02-21_RFR-164")</f>
        <v>RUN-ABRM_2023-02-21_RFR-164</v>
      </c>
      <c r="C909" s="8">
        <f>VLOOKUP(B909,'Run Reconcile'!A$2:B3212,2,FALSE)</f>
        <v>44978</v>
      </c>
      <c r="D909" s="12">
        <f>IFERROR(__xludf.DUMMYFUNCTION("""COMPUTED_VALUE"""),44978.0)</f>
        <v>44978</v>
      </c>
      <c r="E909" s="13">
        <f>IFERROR(__xludf.DUMMYFUNCTION("""COMPUTED_VALUE"""),0.3179513888899237)</f>
        <v>0.3179513889</v>
      </c>
      <c r="F909" s="7" t="str">
        <f>IFERROR(__xludf.DUMMYFUNCTION("""COMPUTED_VALUE"""),"Negative")</f>
        <v>Negative</v>
      </c>
      <c r="G909" s="7">
        <f>IFERROR(__xludf.DUMMYFUNCTION("""COMPUTED_VALUE"""),1.0)</f>
        <v>1</v>
      </c>
    </row>
    <row r="910">
      <c r="A910" s="7" t="str">
        <f>IFERROR(__xludf.DUMMYFUNCTION("""COMPUTED_VALUE"""),"AR1656")</f>
        <v>AR1656</v>
      </c>
      <c r="B910" s="7" t="str">
        <f>IFERROR(__xludf.DUMMYFUNCTION("""COMPUTED_VALUE"""),"RUN-ABRM_2023-02-21_RFR-164")</f>
        <v>RUN-ABRM_2023-02-21_RFR-164</v>
      </c>
      <c r="C910" s="8">
        <f>VLOOKUP(B910,'Run Reconcile'!A$2:B3212,2,FALSE)</f>
        <v>44978</v>
      </c>
      <c r="D910" s="12">
        <f>IFERROR(__xludf.DUMMYFUNCTION("""COMPUTED_VALUE"""),44978.0)</f>
        <v>44978</v>
      </c>
      <c r="E910" s="13">
        <f>IFERROR(__xludf.DUMMYFUNCTION("""COMPUTED_VALUE"""),0.3420370370367891)</f>
        <v>0.342037037</v>
      </c>
      <c r="F910" s="7" t="str">
        <f>IFERROR(__xludf.DUMMYFUNCTION("""COMPUTED_VALUE"""),"Negative")</f>
        <v>Negative</v>
      </c>
      <c r="G910" s="7">
        <f>IFERROR(__xludf.DUMMYFUNCTION("""COMPUTED_VALUE"""),2.0)</f>
        <v>2</v>
      </c>
    </row>
    <row r="911">
      <c r="A911" s="7" t="str">
        <f>IFERROR(__xludf.DUMMYFUNCTION("""COMPUTED_VALUE"""),"AR1598")</f>
        <v>AR1598</v>
      </c>
      <c r="B911" s="7" t="str">
        <f>IFERROR(__xludf.DUMMYFUNCTION("""COMPUTED_VALUE"""),"RUN-ABRM_2023-02-21_RFR-164")</f>
        <v>RUN-ABRM_2023-02-21_RFR-164</v>
      </c>
      <c r="C911" s="8">
        <f>VLOOKUP(B911,'Run Reconcile'!A$2:B3212,2,FALSE)</f>
        <v>44978</v>
      </c>
      <c r="D911" s="12">
        <f>IFERROR(__xludf.DUMMYFUNCTION("""COMPUTED_VALUE"""),44978.0)</f>
        <v>44978</v>
      </c>
      <c r="E911" s="13">
        <f>IFERROR(__xludf.DUMMYFUNCTION("""COMPUTED_VALUE"""),0.34290509259153623)</f>
        <v>0.3429050926</v>
      </c>
      <c r="F911" s="7" t="str">
        <f>IFERROR(__xludf.DUMMYFUNCTION("""COMPUTED_VALUE"""),"Negative")</f>
        <v>Negative</v>
      </c>
      <c r="G911" s="7">
        <f>IFERROR(__xludf.DUMMYFUNCTION("""COMPUTED_VALUE"""),3.0)</f>
        <v>3</v>
      </c>
    </row>
    <row r="912">
      <c r="A912" s="7" t="str">
        <f>IFERROR(__xludf.DUMMYFUNCTION("""COMPUTED_VALUE"""),"AH682")</f>
        <v>AH682</v>
      </c>
      <c r="B912" s="7" t="str">
        <f>IFERROR(__xludf.DUMMYFUNCTION("""COMPUTED_VALUE"""),"RUN-ABRM_2023-02-22_RFR-166")</f>
        <v>RUN-ABRM_2023-02-22_RFR-166</v>
      </c>
      <c r="C912" s="8">
        <f>VLOOKUP(B912,'Run Reconcile'!A$2:B3212,2,FALSE)</f>
        <v>44979</v>
      </c>
      <c r="D912" s="12">
        <f>IFERROR(__xludf.DUMMYFUNCTION("""COMPUTED_VALUE"""),44979.0)</f>
        <v>44979</v>
      </c>
      <c r="E912" s="13">
        <f>IFERROR(__xludf.DUMMYFUNCTION("""COMPUTED_VALUE"""),0.23442129629620467)</f>
        <v>0.2344212963</v>
      </c>
      <c r="F912" s="7" t="str">
        <f>IFERROR(__xludf.DUMMYFUNCTION("""COMPUTED_VALUE"""),"Negative")</f>
        <v>Negative</v>
      </c>
      <c r="G912" s="7">
        <f>IFERROR(__xludf.DUMMYFUNCTION("""COMPUTED_VALUE"""),3.0)</f>
        <v>3</v>
      </c>
    </row>
    <row r="913">
      <c r="A913" s="7" t="str">
        <f>IFERROR(__xludf.DUMMYFUNCTION("""COMPUTED_VALUE"""),"AB9969")</f>
        <v>AB9969</v>
      </c>
      <c r="B913" s="7" t="str">
        <f>IFERROR(__xludf.DUMMYFUNCTION("""COMPUTED_VALUE"""),"RUN-ABRM_2023-02-22_RFR-166")</f>
        <v>RUN-ABRM_2023-02-22_RFR-166</v>
      </c>
      <c r="C913" s="8">
        <f>VLOOKUP(B913,'Run Reconcile'!A$2:B3212,2,FALSE)</f>
        <v>44979</v>
      </c>
      <c r="D913" s="12">
        <f>IFERROR(__xludf.DUMMYFUNCTION("""COMPUTED_VALUE"""),44979.0)</f>
        <v>44979</v>
      </c>
      <c r="E913" s="13">
        <f>IFERROR(__xludf.DUMMYFUNCTION("""COMPUTED_VALUE"""),0.27709490740744513)</f>
        <v>0.2770949074</v>
      </c>
      <c r="F913" s="7" t="str">
        <f>IFERROR(__xludf.DUMMYFUNCTION("""COMPUTED_VALUE"""),"Negative")</f>
        <v>Negative</v>
      </c>
      <c r="G913" s="7">
        <f>IFERROR(__xludf.DUMMYFUNCTION("""COMPUTED_VALUE"""),3.0)</f>
        <v>3</v>
      </c>
    </row>
    <row r="914">
      <c r="A914" s="7" t="str">
        <f>IFERROR(__xludf.DUMMYFUNCTION("""COMPUTED_VALUE"""),"AR874")</f>
        <v>AR874</v>
      </c>
      <c r="B914" s="7" t="str">
        <f>IFERROR(__xludf.DUMMYFUNCTION("""COMPUTED_VALUE"""),"RUN-ABRM_2023-02-22_RFR-166")</f>
        <v>RUN-ABRM_2023-02-22_RFR-166</v>
      </c>
      <c r="C914" s="8">
        <f>VLOOKUP(B914,'Run Reconcile'!A$2:B3212,2,FALSE)</f>
        <v>44979</v>
      </c>
      <c r="D914" s="12">
        <f>IFERROR(__xludf.DUMMYFUNCTION("""COMPUTED_VALUE"""),44979.0)</f>
        <v>44979</v>
      </c>
      <c r="E914" s="13">
        <f>IFERROR(__xludf.DUMMYFUNCTION("""COMPUTED_VALUE"""),0.2816898148157634)</f>
        <v>0.2816898148</v>
      </c>
      <c r="F914" s="7" t="str">
        <f>IFERROR(__xludf.DUMMYFUNCTION("""COMPUTED_VALUE"""),"Negative")</f>
        <v>Negative</v>
      </c>
      <c r="G914" s="7">
        <f>IFERROR(__xludf.DUMMYFUNCTION("""COMPUTED_VALUE"""),3.0)</f>
        <v>3</v>
      </c>
    </row>
    <row r="915">
      <c r="A915" s="7" t="str">
        <f>IFERROR(__xludf.DUMMYFUNCTION("""COMPUTED_VALUE"""),"AR66")</f>
        <v>AR66</v>
      </c>
      <c r="B915" s="7" t="str">
        <f>IFERROR(__xludf.DUMMYFUNCTION("""COMPUTED_VALUE"""),"RUN-ABRM_2023-02-22_RFR-166")</f>
        <v>RUN-ABRM_2023-02-22_RFR-166</v>
      </c>
      <c r="C915" s="8">
        <f>VLOOKUP(B915,'Run Reconcile'!A$2:B3212,2,FALSE)</f>
        <v>44979</v>
      </c>
      <c r="D915" s="12">
        <f>IFERROR(__xludf.DUMMYFUNCTION("""COMPUTED_VALUE"""),44979.0)</f>
        <v>44979</v>
      </c>
      <c r="E915" s="13">
        <f>IFERROR(__xludf.DUMMYFUNCTION("""COMPUTED_VALUE"""),0.29856481481328956)</f>
        <v>0.2985648148</v>
      </c>
      <c r="F915" s="7" t="str">
        <f>IFERROR(__xludf.DUMMYFUNCTION("""COMPUTED_VALUE"""),"Negative")</f>
        <v>Negative</v>
      </c>
      <c r="G915" s="7">
        <f>IFERROR(__xludf.DUMMYFUNCTION("""COMPUTED_VALUE"""),1.0)</f>
        <v>1</v>
      </c>
    </row>
    <row r="916">
      <c r="A916" s="7" t="str">
        <f>IFERROR(__xludf.DUMMYFUNCTION("""COMPUTED_VALUE"""),"AR1231")</f>
        <v>AR1231</v>
      </c>
      <c r="B916" s="7" t="str">
        <f>IFERROR(__xludf.DUMMYFUNCTION("""COMPUTED_VALUE"""),"RUN-ABRM_2023-02-22_RFR-166")</f>
        <v>RUN-ABRM_2023-02-22_RFR-166</v>
      </c>
      <c r="C916" s="8">
        <f>VLOOKUP(B916,'Run Reconcile'!A$2:B3212,2,FALSE)</f>
        <v>44979</v>
      </c>
      <c r="D916" s="12">
        <f>IFERROR(__xludf.DUMMYFUNCTION("""COMPUTED_VALUE"""),44979.0)</f>
        <v>44979</v>
      </c>
      <c r="E916" s="13">
        <f>IFERROR(__xludf.DUMMYFUNCTION("""COMPUTED_VALUE"""),0.3248842592583969)</f>
        <v>0.3248842593</v>
      </c>
      <c r="F916" s="7" t="str">
        <f>IFERROR(__xludf.DUMMYFUNCTION("""COMPUTED_VALUE"""),"Negative")</f>
        <v>Negative</v>
      </c>
      <c r="G916" s="7">
        <f>IFERROR(__xludf.DUMMYFUNCTION("""COMPUTED_VALUE"""),1.0)</f>
        <v>1</v>
      </c>
    </row>
    <row r="917">
      <c r="A917" s="7" t="str">
        <f>IFERROR(__xludf.DUMMYFUNCTION("""COMPUTED_VALUE"""),"AR1798")</f>
        <v>AR1798</v>
      </c>
      <c r="B917" s="7" t="str">
        <f>IFERROR(__xludf.DUMMYFUNCTION("""COMPUTED_VALUE"""),"RUN-ABRM_2023-02-22_RFR-166")</f>
        <v>RUN-ABRM_2023-02-22_RFR-166</v>
      </c>
      <c r="C917" s="8">
        <f>VLOOKUP(B917,'Run Reconcile'!A$2:B3212,2,FALSE)</f>
        <v>44979</v>
      </c>
      <c r="D917" s="12">
        <f>IFERROR(__xludf.DUMMYFUNCTION("""COMPUTED_VALUE"""),44979.0)</f>
        <v>44979</v>
      </c>
      <c r="E917" s="13">
        <f>IFERROR(__xludf.DUMMYFUNCTION("""COMPUTED_VALUE"""),0.3255324074089003)</f>
        <v>0.3255324074</v>
      </c>
      <c r="F917" s="7" t="str">
        <f>IFERROR(__xludf.DUMMYFUNCTION("""COMPUTED_VALUE"""),"Negative")</f>
        <v>Negative</v>
      </c>
      <c r="G917" s="7">
        <f>IFERROR(__xludf.DUMMYFUNCTION("""COMPUTED_VALUE"""),2.0)</f>
        <v>2</v>
      </c>
    </row>
    <row r="918">
      <c r="A918" s="7" t="str">
        <f>IFERROR(__xludf.DUMMYFUNCTION("""COMPUTED_VALUE"""),"AR206")</f>
        <v>AR206</v>
      </c>
      <c r="B918" s="7" t="str">
        <f>IFERROR(__xludf.DUMMYFUNCTION("""COMPUTED_VALUE"""),"RUN-ABRM_2023-02-22_RFR-166")</f>
        <v>RUN-ABRM_2023-02-22_RFR-166</v>
      </c>
      <c r="C918" s="8">
        <f>VLOOKUP(B918,'Run Reconcile'!A$2:B3212,2,FALSE)</f>
        <v>44979</v>
      </c>
      <c r="D918" s="12">
        <f>IFERROR(__xludf.DUMMYFUNCTION("""COMPUTED_VALUE"""),44979.0)</f>
        <v>44979</v>
      </c>
      <c r="E918" s="13">
        <f>IFERROR(__xludf.DUMMYFUNCTION("""COMPUTED_VALUE"""),0.32611111110963975)</f>
        <v>0.3261111111</v>
      </c>
      <c r="F918" s="7" t="str">
        <f>IFERROR(__xludf.DUMMYFUNCTION("""COMPUTED_VALUE"""),"Negative")</f>
        <v>Negative</v>
      </c>
      <c r="G918" s="7">
        <f>IFERROR(__xludf.DUMMYFUNCTION("""COMPUTED_VALUE"""),1.0)</f>
        <v>1</v>
      </c>
    </row>
    <row r="919">
      <c r="A919" s="7" t="str">
        <f>IFERROR(__xludf.DUMMYFUNCTION("""COMPUTED_VALUE"""),"AR1416")</f>
        <v>AR1416</v>
      </c>
      <c r="B919" s="7" t="str">
        <f>IFERROR(__xludf.DUMMYFUNCTION("""COMPUTED_VALUE"""),"RUN-ABRM_2023-02-22_RFR-166")</f>
        <v>RUN-ABRM_2023-02-22_RFR-166</v>
      </c>
      <c r="C919" s="8">
        <f>VLOOKUP(B919,'Run Reconcile'!A$2:B3212,2,FALSE)</f>
        <v>44979</v>
      </c>
      <c r="D919" s="12">
        <f>IFERROR(__xludf.DUMMYFUNCTION("""COMPUTED_VALUE"""),44979.0)</f>
        <v>44979</v>
      </c>
      <c r="E919" s="13">
        <f>IFERROR(__xludf.DUMMYFUNCTION("""COMPUTED_VALUE"""),0.34744212963050813)</f>
        <v>0.3474421296</v>
      </c>
      <c r="F919" s="7" t="str">
        <f>IFERROR(__xludf.DUMMYFUNCTION("""COMPUTED_VALUE"""),"Negative")</f>
        <v>Negative</v>
      </c>
      <c r="G919" s="7">
        <f>IFERROR(__xludf.DUMMYFUNCTION("""COMPUTED_VALUE"""),4.0)</f>
        <v>4</v>
      </c>
    </row>
    <row r="920">
      <c r="A920" s="7" t="str">
        <f>IFERROR(__xludf.DUMMYFUNCTION("""COMPUTED_VALUE"""),"AR471")</f>
        <v>AR471</v>
      </c>
      <c r="B920" s="7" t="str">
        <f>IFERROR(__xludf.DUMMYFUNCTION("""COMPUTED_VALUE"""),"RUN-ABRM_2023-02-23_RFR-167")</f>
        <v>RUN-ABRM_2023-02-23_RFR-167</v>
      </c>
      <c r="C920" s="8">
        <f>VLOOKUP(B920,'Run Reconcile'!A$2:B3212,2,FALSE)</f>
        <v>44980</v>
      </c>
      <c r="D920" s="12">
        <f>IFERROR(__xludf.DUMMYFUNCTION("""COMPUTED_VALUE"""),44980.0)</f>
        <v>44980</v>
      </c>
      <c r="E920" s="13">
        <f>IFERROR(__xludf.DUMMYFUNCTION("""COMPUTED_VALUE"""),0.29369212963138125)</f>
        <v>0.2936921296</v>
      </c>
      <c r="F920" s="7" t="str">
        <f>IFERROR(__xludf.DUMMYFUNCTION("""COMPUTED_VALUE"""),"Negative")</f>
        <v>Negative</v>
      </c>
      <c r="G920" s="7">
        <f>IFERROR(__xludf.DUMMYFUNCTION("""COMPUTED_VALUE"""),3.0)</f>
        <v>3</v>
      </c>
    </row>
    <row r="921">
      <c r="A921" s="7" t="str">
        <f>IFERROR(__xludf.DUMMYFUNCTION("""COMPUTED_VALUE"""),"AK9845")</f>
        <v>AK9845</v>
      </c>
      <c r="B921" s="7" t="str">
        <f>IFERROR(__xludf.DUMMYFUNCTION("""COMPUTED_VALUE"""),"RUN-ABRM_2023-02-23_RFR-167")</f>
        <v>RUN-ABRM_2023-02-23_RFR-167</v>
      </c>
      <c r="C921" s="8">
        <f>VLOOKUP(B921,'Run Reconcile'!A$2:B3212,2,FALSE)</f>
        <v>44980</v>
      </c>
      <c r="D921" s="12">
        <f>IFERROR(__xludf.DUMMYFUNCTION("""COMPUTED_VALUE"""),44980.0)</f>
        <v>44980</v>
      </c>
      <c r="E921" s="13">
        <f>IFERROR(__xludf.DUMMYFUNCTION("""COMPUTED_VALUE"""),0.2976736111122591)</f>
        <v>0.2976736111</v>
      </c>
      <c r="F921" s="7" t="str">
        <f>IFERROR(__xludf.DUMMYFUNCTION("""COMPUTED_VALUE"""),"Negative")</f>
        <v>Negative</v>
      </c>
      <c r="G921" s="7">
        <f>IFERROR(__xludf.DUMMYFUNCTION("""COMPUTED_VALUE"""),4.0)</f>
        <v>4</v>
      </c>
    </row>
    <row r="922">
      <c r="A922" s="7" t="str">
        <f>IFERROR(__xludf.DUMMYFUNCTION("""COMPUTED_VALUE"""),"AR1039")</f>
        <v>AR1039</v>
      </c>
      <c r="B922" s="7" t="str">
        <f>IFERROR(__xludf.DUMMYFUNCTION("""COMPUTED_VALUE"""),"RUN-ABRM_2023-02-23_RFR-167")</f>
        <v>RUN-ABRM_2023-02-23_RFR-167</v>
      </c>
      <c r="C922" s="8">
        <f>VLOOKUP(B922,'Run Reconcile'!A$2:B3212,2,FALSE)</f>
        <v>44980</v>
      </c>
      <c r="D922" s="12">
        <f>IFERROR(__xludf.DUMMYFUNCTION("""COMPUTED_VALUE"""),44980.0)</f>
        <v>44980</v>
      </c>
      <c r="E922" s="13">
        <f>IFERROR(__xludf.DUMMYFUNCTION("""COMPUTED_VALUE"""),0.3271874999991269)</f>
        <v>0.3271875</v>
      </c>
      <c r="F922" s="7" t="str">
        <f>IFERROR(__xludf.DUMMYFUNCTION("""COMPUTED_VALUE"""),"Negative")</f>
        <v>Negative</v>
      </c>
      <c r="G922" s="7">
        <f>IFERROR(__xludf.DUMMYFUNCTION("""COMPUTED_VALUE"""),1.0)</f>
        <v>1</v>
      </c>
    </row>
    <row r="923">
      <c r="A923" s="7" t="str">
        <f>IFERROR(__xludf.DUMMYFUNCTION("""COMPUTED_VALUE"""),"AR750")</f>
        <v>AR750</v>
      </c>
      <c r="B923" s="7" t="str">
        <f>IFERROR(__xludf.DUMMYFUNCTION("""COMPUTED_VALUE"""),"RUN-ABRM_2023-02-23_RFR-167")</f>
        <v>RUN-ABRM_2023-02-23_RFR-167</v>
      </c>
      <c r="C923" s="8">
        <f>VLOOKUP(B923,'Run Reconcile'!A$2:B3212,2,FALSE)</f>
        <v>44980</v>
      </c>
      <c r="D923" s="12">
        <f>IFERROR(__xludf.DUMMYFUNCTION("""COMPUTED_VALUE"""),44980.0)</f>
        <v>44980</v>
      </c>
      <c r="E923" s="13">
        <f>IFERROR(__xludf.DUMMYFUNCTION("""COMPUTED_VALUE"""),0.3293981481474475)</f>
        <v>0.3293981481</v>
      </c>
      <c r="F923" s="7" t="str">
        <f>IFERROR(__xludf.DUMMYFUNCTION("""COMPUTED_VALUE"""),"Negative")</f>
        <v>Negative</v>
      </c>
      <c r="G923" s="7">
        <f>IFERROR(__xludf.DUMMYFUNCTION("""COMPUTED_VALUE"""),2.0)</f>
        <v>2</v>
      </c>
    </row>
    <row r="924">
      <c r="A924" s="7" t="str">
        <f>IFERROR(__xludf.DUMMYFUNCTION("""COMPUTED_VALUE"""),"AR736")</f>
        <v>AR736</v>
      </c>
      <c r="B924" s="7" t="str">
        <f>IFERROR(__xludf.DUMMYFUNCTION("""COMPUTED_VALUE"""),"RUN-ABRM_2023-02-23_RFR-167")</f>
        <v>RUN-ABRM_2023-02-23_RFR-167</v>
      </c>
      <c r="C924" s="8">
        <f>VLOOKUP(B924,'Run Reconcile'!A$2:B3212,2,FALSE)</f>
        <v>44980</v>
      </c>
      <c r="D924" s="12">
        <f>IFERROR(__xludf.DUMMYFUNCTION("""COMPUTED_VALUE"""),44980.0)</f>
        <v>44980</v>
      </c>
      <c r="E924" s="13">
        <f>IFERROR(__xludf.DUMMYFUNCTION("""COMPUTED_VALUE"""),0.33115740740686306)</f>
        <v>0.3311574074</v>
      </c>
      <c r="F924" s="7" t="str">
        <f>IFERROR(__xludf.DUMMYFUNCTION("""COMPUTED_VALUE"""),"Negative")</f>
        <v>Negative</v>
      </c>
      <c r="G924" s="7">
        <f>IFERROR(__xludf.DUMMYFUNCTION("""COMPUTED_VALUE"""),1.0)</f>
        <v>1</v>
      </c>
    </row>
    <row r="925">
      <c r="A925" s="7" t="str">
        <f>IFERROR(__xludf.DUMMYFUNCTION("""COMPUTED_VALUE"""),"AR1158")</f>
        <v>AR1158</v>
      </c>
      <c r="B925" s="7" t="str">
        <f>IFERROR(__xludf.DUMMYFUNCTION("""COMPUTED_VALUE"""),"RUN-ABRM_2023-02-23_RFR-167")</f>
        <v>RUN-ABRM_2023-02-23_RFR-167</v>
      </c>
      <c r="C925" s="8">
        <f>VLOOKUP(B925,'Run Reconcile'!A$2:B3212,2,FALSE)</f>
        <v>44980</v>
      </c>
      <c r="D925" s="12">
        <f>IFERROR(__xludf.DUMMYFUNCTION("""COMPUTED_VALUE"""),44980.0)</f>
        <v>44980</v>
      </c>
      <c r="E925" s="13">
        <f>IFERROR(__xludf.DUMMYFUNCTION("""COMPUTED_VALUE"""),0.3389120370375167)</f>
        <v>0.338912037</v>
      </c>
      <c r="F925" s="7" t="str">
        <f>IFERROR(__xludf.DUMMYFUNCTION("""COMPUTED_VALUE"""),"Negative")</f>
        <v>Negative</v>
      </c>
      <c r="G925" s="7">
        <f>IFERROR(__xludf.DUMMYFUNCTION("""COMPUTED_VALUE"""),4.0)</f>
        <v>4</v>
      </c>
    </row>
    <row r="926">
      <c r="A926" s="7" t="str">
        <f>IFERROR(__xludf.DUMMYFUNCTION("""COMPUTED_VALUE"""),"AH6819")</f>
        <v>AH6819</v>
      </c>
      <c r="B926" s="7" t="str">
        <f>IFERROR(__xludf.DUMMYFUNCTION("""COMPUTED_VALUE"""),"RUN-ABRM_2023-02-23_RFR-167")</f>
        <v>RUN-ABRM_2023-02-23_RFR-167</v>
      </c>
      <c r="C926" s="8">
        <f>VLOOKUP(B926,'Run Reconcile'!A$2:B3212,2,FALSE)</f>
        <v>44980</v>
      </c>
      <c r="D926" s="12">
        <f>IFERROR(__xludf.DUMMYFUNCTION("""COMPUTED_VALUE"""),44980.0)</f>
        <v>44980</v>
      </c>
      <c r="E926" s="13">
        <f>IFERROR(__xludf.DUMMYFUNCTION("""COMPUTED_VALUE"""),0.33961805555736646)</f>
        <v>0.3396180556</v>
      </c>
      <c r="F926" s="7" t="str">
        <f>IFERROR(__xludf.DUMMYFUNCTION("""COMPUTED_VALUE"""),"Negative")</f>
        <v>Negative</v>
      </c>
      <c r="G926" s="7">
        <f>IFERROR(__xludf.DUMMYFUNCTION("""COMPUTED_VALUE"""),2.0)</f>
        <v>2</v>
      </c>
    </row>
    <row r="927">
      <c r="A927" s="7" t="str">
        <f>IFERROR(__xludf.DUMMYFUNCTION("""COMPUTED_VALUE"""),"AR651")</f>
        <v>AR651</v>
      </c>
      <c r="B927" s="7" t="str">
        <f>IFERROR(__xludf.DUMMYFUNCTION("""COMPUTED_VALUE"""),"RUN-ABRM_2023-02-23_RFR-167")</f>
        <v>RUN-ABRM_2023-02-23_RFR-167</v>
      </c>
      <c r="C927" s="8">
        <f>VLOOKUP(B927,'Run Reconcile'!A$2:B3212,2,FALSE)</f>
        <v>44980</v>
      </c>
      <c r="D927" s="12">
        <f>IFERROR(__xludf.DUMMYFUNCTION("""COMPUTED_VALUE"""),44980.0)</f>
        <v>44980</v>
      </c>
      <c r="E927" s="13">
        <f>IFERROR(__xludf.DUMMYFUNCTION("""COMPUTED_VALUE"""),0.34005787036949187)</f>
        <v>0.3400578704</v>
      </c>
      <c r="F927" s="7" t="str">
        <f>IFERROR(__xludf.DUMMYFUNCTION("""COMPUTED_VALUE"""),"Negative")</f>
        <v>Negative</v>
      </c>
      <c r="G927" s="7">
        <f>IFERROR(__xludf.DUMMYFUNCTION("""COMPUTED_VALUE"""),1.0)</f>
        <v>1</v>
      </c>
    </row>
    <row r="928">
      <c r="A928" s="7" t="str">
        <f>IFERROR(__xludf.DUMMYFUNCTION("""COMPUTED_VALUE"""),"AR35")</f>
        <v>AR35</v>
      </c>
      <c r="B928" s="7" t="str">
        <f>IFERROR(__xludf.DUMMYFUNCTION("""COMPUTED_VALUE"""),"RUN-ABRM_2023-02-23_RFR-167")</f>
        <v>RUN-ABRM_2023-02-23_RFR-167</v>
      </c>
      <c r="C928" s="8">
        <f>VLOOKUP(B928,'Run Reconcile'!A$2:B3212,2,FALSE)</f>
        <v>44980</v>
      </c>
      <c r="D928" s="12">
        <f>IFERROR(__xludf.DUMMYFUNCTION("""COMPUTED_VALUE"""),44980.0)</f>
        <v>44980</v>
      </c>
      <c r="E928" s="13">
        <f>IFERROR(__xludf.DUMMYFUNCTION("""COMPUTED_VALUE"""),0.34078703703562496)</f>
        <v>0.340787037</v>
      </c>
      <c r="F928" s="7" t="str">
        <f>IFERROR(__xludf.DUMMYFUNCTION("""COMPUTED_VALUE"""),"Negative")</f>
        <v>Negative</v>
      </c>
      <c r="G928" s="7">
        <f>IFERROR(__xludf.DUMMYFUNCTION("""COMPUTED_VALUE"""),2.0)</f>
        <v>2</v>
      </c>
    </row>
    <row r="929">
      <c r="A929" s="7" t="str">
        <f>IFERROR(__xludf.DUMMYFUNCTION("""COMPUTED_VALUE"""),"AR981")</f>
        <v>AR981</v>
      </c>
      <c r="B929" s="7" t="str">
        <f>IFERROR(__xludf.DUMMYFUNCTION("""COMPUTED_VALUE"""),"RUN-ABRM_2023-02-24_RFR-169")</f>
        <v>RUN-ABRM_2023-02-24_RFR-169</v>
      </c>
      <c r="C929" s="8">
        <f>VLOOKUP(B929,'Run Reconcile'!A$2:B3212,2,FALSE)</f>
        <v>44981</v>
      </c>
      <c r="D929" s="12">
        <f>IFERROR(__xludf.DUMMYFUNCTION("""COMPUTED_VALUE"""),44981.0)</f>
        <v>44981</v>
      </c>
      <c r="E929" s="13">
        <f>IFERROR(__xludf.DUMMYFUNCTION("""COMPUTED_VALUE"""),0.25011574074233067)</f>
        <v>0.2501157407</v>
      </c>
      <c r="F929" s="7" t="str">
        <f>IFERROR(__xludf.DUMMYFUNCTION("""COMPUTED_VALUE"""),"Negative")</f>
        <v>Negative</v>
      </c>
      <c r="G929" s="7">
        <f>IFERROR(__xludf.DUMMYFUNCTION("""COMPUTED_VALUE"""),3.0)</f>
        <v>3</v>
      </c>
    </row>
    <row r="930">
      <c r="A930" s="7" t="str">
        <f>IFERROR(__xludf.DUMMYFUNCTION("""COMPUTED_VALUE"""),"AR992")</f>
        <v>AR992</v>
      </c>
      <c r="B930" s="7" t="str">
        <f>IFERROR(__xludf.DUMMYFUNCTION("""COMPUTED_VALUE"""),"RUN-ABRM_2023-02-24_RFR-169")</f>
        <v>RUN-ABRM_2023-02-24_RFR-169</v>
      </c>
      <c r="C930" s="8">
        <f>VLOOKUP(B930,'Run Reconcile'!A$2:B3212,2,FALSE)</f>
        <v>44981</v>
      </c>
      <c r="D930" s="12">
        <f>IFERROR(__xludf.DUMMYFUNCTION("""COMPUTED_VALUE"""),44981.0)</f>
        <v>44981</v>
      </c>
      <c r="E930" s="13">
        <f>IFERROR(__xludf.DUMMYFUNCTION("""COMPUTED_VALUE"""),0.29234953703780775)</f>
        <v>0.292349537</v>
      </c>
      <c r="F930" s="7" t="str">
        <f>IFERROR(__xludf.DUMMYFUNCTION("""COMPUTED_VALUE"""),"Negative")</f>
        <v>Negative</v>
      </c>
      <c r="G930" s="7">
        <f>IFERROR(__xludf.DUMMYFUNCTION("""COMPUTED_VALUE"""),1.0)</f>
        <v>1</v>
      </c>
    </row>
    <row r="931">
      <c r="A931" s="7" t="str">
        <f>IFERROR(__xludf.DUMMYFUNCTION("""COMPUTED_VALUE"""),"AR944")</f>
        <v>AR944</v>
      </c>
      <c r="B931" s="7" t="str">
        <f>IFERROR(__xludf.DUMMYFUNCTION("""COMPUTED_VALUE"""),"RUN-ABRM_2023-02-24_RFR-169")</f>
        <v>RUN-ABRM_2023-02-24_RFR-169</v>
      </c>
      <c r="C931" s="8">
        <f>VLOOKUP(B931,'Run Reconcile'!A$2:B3212,2,FALSE)</f>
        <v>44981</v>
      </c>
      <c r="D931" s="12">
        <f>IFERROR(__xludf.DUMMYFUNCTION("""COMPUTED_VALUE"""),44981.0)</f>
        <v>44981</v>
      </c>
      <c r="E931" s="13">
        <f>IFERROR(__xludf.DUMMYFUNCTION("""COMPUTED_VALUE"""),0.3260879629633564)</f>
        <v>0.326087963</v>
      </c>
      <c r="F931" s="7" t="str">
        <f>IFERROR(__xludf.DUMMYFUNCTION("""COMPUTED_VALUE"""),"Negative")</f>
        <v>Negative</v>
      </c>
      <c r="G931" s="7">
        <f>IFERROR(__xludf.DUMMYFUNCTION("""COMPUTED_VALUE"""),2.0)</f>
        <v>2</v>
      </c>
    </row>
    <row r="932">
      <c r="A932" s="7" t="str">
        <f>IFERROR(__xludf.DUMMYFUNCTION("""COMPUTED_VALUE"""),"AR1115")</f>
        <v>AR1115</v>
      </c>
      <c r="B932" s="7" t="str">
        <f>IFERROR(__xludf.DUMMYFUNCTION("""COMPUTED_VALUE"""),"RUN-ABRM_2023-02-24_RFR-169")</f>
        <v>RUN-ABRM_2023-02-24_RFR-169</v>
      </c>
      <c r="C932" s="8">
        <f>VLOOKUP(B932,'Run Reconcile'!A$2:B3212,2,FALSE)</f>
        <v>44981</v>
      </c>
      <c r="D932" s="12">
        <f>IFERROR(__xludf.DUMMYFUNCTION("""COMPUTED_VALUE"""),44981.0)</f>
        <v>44981</v>
      </c>
      <c r="E932" s="13">
        <f>IFERROR(__xludf.DUMMYFUNCTION("""COMPUTED_VALUE"""),0.3264583333329938)</f>
        <v>0.3264583333</v>
      </c>
      <c r="F932" s="7" t="str">
        <f>IFERROR(__xludf.DUMMYFUNCTION("""COMPUTED_VALUE"""),"Negative")</f>
        <v>Negative</v>
      </c>
      <c r="G932" s="7">
        <f>IFERROR(__xludf.DUMMYFUNCTION("""COMPUTED_VALUE"""),1.0)</f>
        <v>1</v>
      </c>
    </row>
    <row r="933">
      <c r="A933" s="7" t="str">
        <f>IFERROR(__xludf.DUMMYFUNCTION("""COMPUTED_VALUE"""),"AK9995")</f>
        <v>AK9995</v>
      </c>
      <c r="B933" s="7" t="str">
        <f>IFERROR(__xludf.DUMMYFUNCTION("""COMPUTED_VALUE"""),"RUN-ABRM_2023-02-24_RFR-169")</f>
        <v>RUN-ABRM_2023-02-24_RFR-169</v>
      </c>
      <c r="C933" s="8">
        <f>VLOOKUP(B933,'Run Reconcile'!A$2:B3212,2,FALSE)</f>
        <v>44981</v>
      </c>
      <c r="D933" s="12">
        <f>IFERROR(__xludf.DUMMYFUNCTION("""COMPUTED_VALUE"""),44981.0)</f>
        <v>44981</v>
      </c>
      <c r="E933" s="13">
        <f>IFERROR(__xludf.DUMMYFUNCTION("""COMPUTED_VALUE"""),0.3338310185172304)</f>
        <v>0.3338310185</v>
      </c>
      <c r="F933" s="7" t="str">
        <f>IFERROR(__xludf.DUMMYFUNCTION("""COMPUTED_VALUE"""),"Negative")</f>
        <v>Negative</v>
      </c>
      <c r="G933" s="7">
        <f>IFERROR(__xludf.DUMMYFUNCTION("""COMPUTED_VALUE"""),4.0)</f>
        <v>4</v>
      </c>
    </row>
    <row r="934">
      <c r="A934" s="7" t="str">
        <f>IFERROR(__xludf.DUMMYFUNCTION("""COMPUTED_VALUE"""),"AR1271")</f>
        <v>AR1271</v>
      </c>
      <c r="B934" s="7" t="str">
        <f>IFERROR(__xludf.DUMMYFUNCTION("""COMPUTED_VALUE"""),"RUN-ABRM_2023-02-24_RFR-169")</f>
        <v>RUN-ABRM_2023-02-24_RFR-169</v>
      </c>
      <c r="C934" s="8">
        <f>VLOOKUP(B934,'Run Reconcile'!A$2:B3212,2,FALSE)</f>
        <v>44981</v>
      </c>
      <c r="D934" s="12">
        <f>IFERROR(__xludf.DUMMYFUNCTION("""COMPUTED_VALUE"""),44981.0)</f>
        <v>44981</v>
      </c>
      <c r="E934" s="13">
        <f>IFERROR(__xludf.DUMMYFUNCTION("""COMPUTED_VALUE"""),0.3342592592598521)</f>
        <v>0.3342592593</v>
      </c>
      <c r="F934" s="7" t="str">
        <f>IFERROR(__xludf.DUMMYFUNCTION("""COMPUTED_VALUE"""),"Negative")</f>
        <v>Negative</v>
      </c>
      <c r="G934" s="7">
        <f>IFERROR(__xludf.DUMMYFUNCTION("""COMPUTED_VALUE"""),1.0)</f>
        <v>1</v>
      </c>
    </row>
    <row r="935">
      <c r="A935" s="7" t="str">
        <f>IFERROR(__xludf.DUMMYFUNCTION("""COMPUTED_VALUE"""),"AR630")</f>
        <v>AR630</v>
      </c>
      <c r="B935" s="7" t="str">
        <f>IFERROR(__xludf.DUMMYFUNCTION("""COMPUTED_VALUE"""),"RUN-ABRM_2023-02-24_RFR-169")</f>
        <v>RUN-ABRM_2023-02-24_RFR-169</v>
      </c>
      <c r="C935" s="8">
        <f>VLOOKUP(B935,'Run Reconcile'!A$2:B3212,2,FALSE)</f>
        <v>44981</v>
      </c>
      <c r="D935" s="12">
        <f>IFERROR(__xludf.DUMMYFUNCTION("""COMPUTED_VALUE"""),44981.0)</f>
        <v>44981</v>
      </c>
      <c r="E935" s="13">
        <f>IFERROR(__xludf.DUMMYFUNCTION("""COMPUTED_VALUE"""),0.33451388888715883)</f>
        <v>0.3345138889</v>
      </c>
      <c r="F935" s="7" t="str">
        <f>IFERROR(__xludf.DUMMYFUNCTION("""COMPUTED_VALUE"""),"Negative")</f>
        <v>Negative</v>
      </c>
      <c r="G935" s="7">
        <f>IFERROR(__xludf.DUMMYFUNCTION("""COMPUTED_VALUE"""),2.0)</f>
        <v>2</v>
      </c>
    </row>
    <row r="936">
      <c r="A936" s="7" t="str">
        <f>IFERROR(__xludf.DUMMYFUNCTION("""COMPUTED_VALUE"""),"AB9635")</f>
        <v>AB9635</v>
      </c>
      <c r="B936" s="7" t="str">
        <f>IFERROR(__xludf.DUMMYFUNCTION("""COMPUTED_VALUE"""),"RUN-ABRM_2023-02-27_RFR-171")</f>
        <v>RUN-ABRM_2023-02-27_RFR-171</v>
      </c>
      <c r="C936" s="8">
        <f>VLOOKUP(B936,'Run Reconcile'!A$2:B3212,2,FALSE)</f>
        <v>44984</v>
      </c>
      <c r="D936" s="12">
        <f>IFERROR(__xludf.DUMMYFUNCTION("""COMPUTED_VALUE"""),44984.0)</f>
        <v>44984</v>
      </c>
      <c r="E936" s="13">
        <f>IFERROR(__xludf.DUMMYFUNCTION("""COMPUTED_VALUE"""),0.23304398148320615)</f>
        <v>0.2330439815</v>
      </c>
      <c r="F936" s="7" t="str">
        <f>IFERROR(__xludf.DUMMYFUNCTION("""COMPUTED_VALUE"""),"Negative")</f>
        <v>Negative</v>
      </c>
      <c r="G936" s="7">
        <f>IFERROR(__xludf.DUMMYFUNCTION("""COMPUTED_VALUE"""),3.0)</f>
        <v>3</v>
      </c>
    </row>
    <row r="937">
      <c r="A937" s="7" t="str">
        <f>IFERROR(__xludf.DUMMYFUNCTION("""COMPUTED_VALUE"""),"AR438")</f>
        <v>AR438</v>
      </c>
      <c r="B937" s="7" t="str">
        <f>IFERROR(__xludf.DUMMYFUNCTION("""COMPUTED_VALUE"""),"RUN-ABRM_2023-02-27_RFR-171")</f>
        <v>RUN-ABRM_2023-02-27_RFR-171</v>
      </c>
      <c r="C937" s="8">
        <f>VLOOKUP(B937,'Run Reconcile'!A$2:B3212,2,FALSE)</f>
        <v>44984</v>
      </c>
      <c r="D937" s="12">
        <f>IFERROR(__xludf.DUMMYFUNCTION("""COMPUTED_VALUE"""),44984.0)</f>
        <v>44984</v>
      </c>
      <c r="E937" s="13">
        <f>IFERROR(__xludf.DUMMYFUNCTION("""COMPUTED_VALUE"""),0.24173611111109494)</f>
        <v>0.2417361111</v>
      </c>
      <c r="F937" s="7" t="str">
        <f>IFERROR(__xludf.DUMMYFUNCTION("""COMPUTED_VALUE"""),"Negative")</f>
        <v>Negative</v>
      </c>
      <c r="G937" s="7">
        <f>IFERROR(__xludf.DUMMYFUNCTION("""COMPUTED_VALUE"""),3.0)</f>
        <v>3</v>
      </c>
    </row>
    <row r="938">
      <c r="A938" s="7" t="str">
        <f>IFERROR(__xludf.DUMMYFUNCTION("""COMPUTED_VALUE"""),"AJ8482")</f>
        <v>AJ8482</v>
      </c>
      <c r="B938" s="7" t="str">
        <f>IFERROR(__xludf.DUMMYFUNCTION("""COMPUTED_VALUE"""),"RUN-ABRM_2023-02-27_RFR-171")</f>
        <v>RUN-ABRM_2023-02-27_RFR-171</v>
      </c>
      <c r="C938" s="8">
        <f>VLOOKUP(B938,'Run Reconcile'!A$2:B3212,2,FALSE)</f>
        <v>44984</v>
      </c>
      <c r="D938" s="12">
        <f>IFERROR(__xludf.DUMMYFUNCTION("""COMPUTED_VALUE"""),44984.0)</f>
        <v>44984</v>
      </c>
      <c r="E938" s="13">
        <f>IFERROR(__xludf.DUMMYFUNCTION("""COMPUTED_VALUE"""),0.2922337962954771)</f>
        <v>0.2922337963</v>
      </c>
      <c r="F938" s="7" t="str">
        <f>IFERROR(__xludf.DUMMYFUNCTION("""COMPUTED_VALUE"""),"Negative")</f>
        <v>Negative</v>
      </c>
      <c r="G938" s="7">
        <f>IFERROR(__xludf.DUMMYFUNCTION("""COMPUTED_VALUE"""),3.0)</f>
        <v>3</v>
      </c>
    </row>
    <row r="939">
      <c r="A939" s="7" t="str">
        <f>IFERROR(__xludf.DUMMYFUNCTION("""COMPUTED_VALUE"""),"AR475")</f>
        <v>AR475</v>
      </c>
      <c r="B939" s="7" t="str">
        <f>IFERROR(__xludf.DUMMYFUNCTION("""COMPUTED_VALUE"""),"RUN-ABRM_2023-02-27_RFR-171")</f>
        <v>RUN-ABRM_2023-02-27_RFR-171</v>
      </c>
      <c r="C939" s="8">
        <f>VLOOKUP(B939,'Run Reconcile'!A$2:B3212,2,FALSE)</f>
        <v>44984</v>
      </c>
      <c r="D939" s="12">
        <f>IFERROR(__xludf.DUMMYFUNCTION("""COMPUTED_VALUE"""),44984.0)</f>
        <v>44984</v>
      </c>
      <c r="E939" s="13">
        <f>IFERROR(__xludf.DUMMYFUNCTION("""COMPUTED_VALUE"""),0.31986111111109494)</f>
        <v>0.3198611111</v>
      </c>
      <c r="F939" s="7" t="str">
        <f>IFERROR(__xludf.DUMMYFUNCTION("""COMPUTED_VALUE"""),"Negative")</f>
        <v>Negative</v>
      </c>
      <c r="G939" s="7">
        <f>IFERROR(__xludf.DUMMYFUNCTION("""COMPUTED_VALUE"""),1.0)</f>
        <v>1</v>
      </c>
    </row>
    <row r="940">
      <c r="A940" s="7" t="str">
        <f>IFERROR(__xludf.DUMMYFUNCTION("""COMPUTED_VALUE"""),"AR560")</f>
        <v>AR560</v>
      </c>
      <c r="B940" s="7" t="str">
        <f>IFERROR(__xludf.DUMMYFUNCTION("""COMPUTED_VALUE"""),"RUN-ABRM_2023-02-27_RFR-171")</f>
        <v>RUN-ABRM_2023-02-27_RFR-171</v>
      </c>
      <c r="C940" s="8">
        <f>VLOOKUP(B940,'Run Reconcile'!A$2:B3212,2,FALSE)</f>
        <v>44984</v>
      </c>
      <c r="D940" s="12">
        <f>IFERROR(__xludf.DUMMYFUNCTION("""COMPUTED_VALUE"""),44984.0)</f>
        <v>44984</v>
      </c>
      <c r="E940" s="13">
        <f>IFERROR(__xludf.DUMMYFUNCTION("""COMPUTED_VALUE"""),0.3258680555554747)</f>
        <v>0.3258680556</v>
      </c>
      <c r="F940" s="7" t="str">
        <f>IFERROR(__xludf.DUMMYFUNCTION("""COMPUTED_VALUE"""),"Negative")</f>
        <v>Negative</v>
      </c>
      <c r="G940" s="7">
        <f>IFERROR(__xludf.DUMMYFUNCTION("""COMPUTED_VALUE"""),2.0)</f>
        <v>2</v>
      </c>
    </row>
    <row r="941">
      <c r="A941" s="7" t="str">
        <f>IFERROR(__xludf.DUMMYFUNCTION("""COMPUTED_VALUE"""),"AR133")</f>
        <v>AR133</v>
      </c>
      <c r="B941" s="7" t="str">
        <f>IFERROR(__xludf.DUMMYFUNCTION("""COMPUTED_VALUE"""),"RUN-ABRM_2023-02-27_RFR-171")</f>
        <v>RUN-ABRM_2023-02-27_RFR-171</v>
      </c>
      <c r="C941" s="8">
        <f>VLOOKUP(B941,'Run Reconcile'!A$2:B3212,2,FALSE)</f>
        <v>44984</v>
      </c>
      <c r="D941" s="12">
        <f>IFERROR(__xludf.DUMMYFUNCTION("""COMPUTED_VALUE"""),44984.0)</f>
        <v>44984</v>
      </c>
      <c r="E941" s="13">
        <f>IFERROR(__xludf.DUMMYFUNCTION("""COMPUTED_VALUE"""),0.34482638888948713)</f>
        <v>0.3448263889</v>
      </c>
      <c r="F941" s="7" t="str">
        <f>IFERROR(__xludf.DUMMYFUNCTION("""COMPUTED_VALUE"""),"Negative")</f>
        <v>Negative</v>
      </c>
      <c r="G941" s="7">
        <f>IFERROR(__xludf.DUMMYFUNCTION("""COMPUTED_VALUE"""),1.0)</f>
        <v>1</v>
      </c>
    </row>
    <row r="942">
      <c r="A942" s="7" t="str">
        <f>IFERROR(__xludf.DUMMYFUNCTION("""COMPUTED_VALUE"""),"AR569")</f>
        <v>AR569</v>
      </c>
      <c r="B942" s="7" t="str">
        <f>IFERROR(__xludf.DUMMYFUNCTION("""COMPUTED_VALUE"""),"RUN-ABRM_2023-02-27_RFR-171")</f>
        <v>RUN-ABRM_2023-02-27_RFR-171</v>
      </c>
      <c r="C942" s="8">
        <f>VLOOKUP(B942,'Run Reconcile'!A$2:B3212,2,FALSE)</f>
        <v>44984</v>
      </c>
      <c r="D942" s="12">
        <f>IFERROR(__xludf.DUMMYFUNCTION("""COMPUTED_VALUE"""),44984.0)</f>
        <v>44984</v>
      </c>
      <c r="E942" s="13">
        <f>IFERROR(__xludf.DUMMYFUNCTION("""COMPUTED_VALUE"""),0.3451620370360615)</f>
        <v>0.345162037</v>
      </c>
      <c r="F942" s="7" t="str">
        <f>IFERROR(__xludf.DUMMYFUNCTION("""COMPUTED_VALUE"""),"Negative")</f>
        <v>Negative</v>
      </c>
      <c r="G942" s="7">
        <f>IFERROR(__xludf.DUMMYFUNCTION("""COMPUTED_VALUE"""),4.0)</f>
        <v>4</v>
      </c>
    </row>
    <row r="943">
      <c r="A943" s="7" t="str">
        <f>IFERROR(__xludf.DUMMYFUNCTION("""COMPUTED_VALUE"""),"AR813")</f>
        <v>AR813</v>
      </c>
      <c r="B943" s="7" t="str">
        <f>IFERROR(__xludf.DUMMYFUNCTION("""COMPUTED_VALUE"""),"RUN-ABRM_2023-02-27_RFR-171")</f>
        <v>RUN-ABRM_2023-02-27_RFR-171</v>
      </c>
      <c r="C943" s="8">
        <f>VLOOKUP(B943,'Run Reconcile'!A$2:B3212,2,FALSE)</f>
        <v>44984</v>
      </c>
      <c r="D943" s="12">
        <f>IFERROR(__xludf.DUMMYFUNCTION("""COMPUTED_VALUE"""),44984.0)</f>
        <v>44984</v>
      </c>
      <c r="E943" s="13">
        <f>IFERROR(__xludf.DUMMYFUNCTION("""COMPUTED_VALUE"""),0.3457407407404389)</f>
        <v>0.3457407407</v>
      </c>
      <c r="F943" s="7" t="str">
        <f>IFERROR(__xludf.DUMMYFUNCTION("""COMPUTED_VALUE"""),"Negative")</f>
        <v>Negative</v>
      </c>
      <c r="G943" s="7">
        <f>IFERROR(__xludf.DUMMYFUNCTION("""COMPUTED_VALUE"""),1.0)</f>
        <v>1</v>
      </c>
    </row>
    <row r="944">
      <c r="A944" s="7" t="str">
        <f>IFERROR(__xludf.DUMMYFUNCTION("""COMPUTED_VALUE"""),"AR1191")</f>
        <v>AR1191</v>
      </c>
      <c r="B944" s="7" t="str">
        <f>IFERROR(__xludf.DUMMYFUNCTION("""COMPUTED_VALUE"""),"RUN-ABRM_2023-02-27_RFR-171")</f>
        <v>RUN-ABRM_2023-02-27_RFR-171</v>
      </c>
      <c r="C944" s="8">
        <f>VLOOKUP(B944,'Run Reconcile'!A$2:B3212,2,FALSE)</f>
        <v>44984</v>
      </c>
      <c r="D944" s="12">
        <f>IFERROR(__xludf.DUMMYFUNCTION("""COMPUTED_VALUE"""),44984.0)</f>
        <v>44984</v>
      </c>
      <c r="E944" s="13">
        <f>IFERROR(__xludf.DUMMYFUNCTION("""COMPUTED_VALUE"""),0.3466898148144537)</f>
        <v>0.3466898148</v>
      </c>
      <c r="F944" s="7" t="str">
        <f>IFERROR(__xludf.DUMMYFUNCTION("""COMPUTED_VALUE"""),"Negative")</f>
        <v>Negative</v>
      </c>
      <c r="G944" s="7">
        <f>IFERROR(__xludf.DUMMYFUNCTION("""COMPUTED_VALUE"""),3.0)</f>
        <v>3</v>
      </c>
    </row>
    <row r="945">
      <c r="A945" s="7" t="str">
        <f>IFERROR(__xludf.DUMMYFUNCTION("""COMPUTED_VALUE"""),"AR1042")</f>
        <v>AR1042</v>
      </c>
      <c r="B945" s="7" t="str">
        <f>IFERROR(__xludf.DUMMYFUNCTION("""COMPUTED_VALUE"""),"RUN-ABRM_2023-02-27_RFR-171")</f>
        <v>RUN-ABRM_2023-02-27_RFR-171</v>
      </c>
      <c r="C945" s="8">
        <f>VLOOKUP(B945,'Run Reconcile'!A$2:B3212,2,FALSE)</f>
        <v>44984</v>
      </c>
      <c r="D945" s="12">
        <f>IFERROR(__xludf.DUMMYFUNCTION("""COMPUTED_VALUE"""),44984.0)</f>
        <v>44984</v>
      </c>
      <c r="E945" s="13">
        <f>IFERROR(__xludf.DUMMYFUNCTION("""COMPUTED_VALUE"""),0.34851851851999527)</f>
        <v>0.3485185185</v>
      </c>
      <c r="F945" s="7" t="str">
        <f>IFERROR(__xludf.DUMMYFUNCTION("""COMPUTED_VALUE"""),"Negative")</f>
        <v>Negative</v>
      </c>
      <c r="G945" s="7">
        <f>IFERROR(__xludf.DUMMYFUNCTION("""COMPUTED_VALUE"""),1.0)</f>
        <v>1</v>
      </c>
    </row>
    <row r="946">
      <c r="A946" s="7" t="str">
        <f>IFERROR(__xludf.DUMMYFUNCTION("""COMPUTED_VALUE"""),"AK9926")</f>
        <v>AK9926</v>
      </c>
      <c r="B946" s="7" t="str">
        <f>IFERROR(__xludf.DUMMYFUNCTION("""COMPUTED_VALUE"""),"RUN-ABRM_2023-02-28_RFR-173")</f>
        <v>RUN-ABRM_2023-02-28_RFR-173</v>
      </c>
      <c r="C946" s="8">
        <f>VLOOKUP(B946,'Run Reconcile'!A$2:B3212,2,FALSE)</f>
        <v>44985</v>
      </c>
      <c r="D946" s="12">
        <f>IFERROR(__xludf.DUMMYFUNCTION("""COMPUTED_VALUE"""),44985.0)</f>
        <v>44985</v>
      </c>
      <c r="E946" s="13">
        <f>IFERROR(__xludf.DUMMYFUNCTION("""COMPUTED_VALUE"""),0.23263888889050577)</f>
        <v>0.2326388889</v>
      </c>
      <c r="F946" s="7" t="str">
        <f>IFERROR(__xludf.DUMMYFUNCTION("""COMPUTED_VALUE"""),"Negative")</f>
        <v>Negative</v>
      </c>
      <c r="G946" s="7">
        <f>IFERROR(__xludf.DUMMYFUNCTION("""COMPUTED_VALUE"""),3.0)</f>
        <v>3</v>
      </c>
    </row>
    <row r="947">
      <c r="A947" s="7" t="str">
        <f>IFERROR(__xludf.DUMMYFUNCTION("""COMPUTED_VALUE"""),"AB9430")</f>
        <v>AB9430</v>
      </c>
      <c r="B947" s="7" t="str">
        <f>IFERROR(__xludf.DUMMYFUNCTION("""COMPUTED_VALUE"""),"RUN-ABRM_2023-02-28_RFR-173")</f>
        <v>RUN-ABRM_2023-02-28_RFR-173</v>
      </c>
      <c r="C947" s="8">
        <f>VLOOKUP(B947,'Run Reconcile'!A$2:B3212,2,FALSE)</f>
        <v>44985</v>
      </c>
      <c r="D947" s="12">
        <f>IFERROR(__xludf.DUMMYFUNCTION("""COMPUTED_VALUE"""),44985.0)</f>
        <v>44985</v>
      </c>
      <c r="E947" s="13">
        <f>IFERROR(__xludf.DUMMYFUNCTION("""COMPUTED_VALUE"""),0.23635416666729725)</f>
        <v>0.2363541667</v>
      </c>
      <c r="F947" s="7" t="str">
        <f>IFERROR(__xludf.DUMMYFUNCTION("""COMPUTED_VALUE"""),"Negative")</f>
        <v>Negative</v>
      </c>
      <c r="G947" s="7">
        <f>IFERROR(__xludf.DUMMYFUNCTION("""COMPUTED_VALUE"""),3.0)</f>
        <v>3</v>
      </c>
    </row>
    <row r="948">
      <c r="A948" s="7" t="str">
        <f>IFERROR(__xludf.DUMMYFUNCTION("""COMPUTED_VALUE"""),"AR415")</f>
        <v>AR415</v>
      </c>
      <c r="B948" s="7" t="str">
        <f>IFERROR(__xludf.DUMMYFUNCTION("""COMPUTED_VALUE"""),"RUN-ABRM_2023-02-28_RFR-173")</f>
        <v>RUN-ABRM_2023-02-28_RFR-173</v>
      </c>
      <c r="C948" s="8">
        <f>VLOOKUP(B948,'Run Reconcile'!A$2:B3212,2,FALSE)</f>
        <v>44985</v>
      </c>
      <c r="D948" s="12">
        <f>IFERROR(__xludf.DUMMYFUNCTION("""COMPUTED_VALUE"""),44985.0)</f>
        <v>44985</v>
      </c>
      <c r="E948" s="13">
        <f>IFERROR(__xludf.DUMMYFUNCTION("""COMPUTED_VALUE"""),0.24848379629474948)</f>
        <v>0.2484837963</v>
      </c>
      <c r="F948" s="7" t="str">
        <f>IFERROR(__xludf.DUMMYFUNCTION("""COMPUTED_VALUE"""),"Negative")</f>
        <v>Negative</v>
      </c>
      <c r="G948" s="7">
        <f>IFERROR(__xludf.DUMMYFUNCTION("""COMPUTED_VALUE"""),3.0)</f>
        <v>3</v>
      </c>
    </row>
    <row r="949">
      <c r="A949" s="7" t="str">
        <f>IFERROR(__xludf.DUMMYFUNCTION("""COMPUTED_VALUE"""),"AR47")</f>
        <v>AR47</v>
      </c>
      <c r="B949" s="7" t="str">
        <f>IFERROR(__xludf.DUMMYFUNCTION("""COMPUTED_VALUE"""),"RUN-ABRM_2023-02-28_RFR-173")</f>
        <v>RUN-ABRM_2023-02-28_RFR-173</v>
      </c>
      <c r="C949" s="8">
        <f>VLOOKUP(B949,'Run Reconcile'!A$2:B3212,2,FALSE)</f>
        <v>44985</v>
      </c>
      <c r="D949" s="12">
        <f>IFERROR(__xludf.DUMMYFUNCTION("""COMPUTED_VALUE"""),44985.0)</f>
        <v>44985</v>
      </c>
      <c r="E949" s="13">
        <f>IFERROR(__xludf.DUMMYFUNCTION("""COMPUTED_VALUE"""),0.30724537037167465)</f>
        <v>0.3072453704</v>
      </c>
      <c r="F949" s="7" t="str">
        <f>IFERROR(__xludf.DUMMYFUNCTION("""COMPUTED_VALUE"""),"Negative")</f>
        <v>Negative</v>
      </c>
      <c r="G949" s="7">
        <f>IFERROR(__xludf.DUMMYFUNCTION("""COMPUTED_VALUE"""),1.0)</f>
        <v>1</v>
      </c>
    </row>
    <row r="950">
      <c r="A950" s="7" t="str">
        <f>IFERROR(__xludf.DUMMYFUNCTION("""COMPUTED_VALUE"""),"AR1658")</f>
        <v>AR1658</v>
      </c>
      <c r="B950" s="7" t="str">
        <f>IFERROR(__xludf.DUMMYFUNCTION("""COMPUTED_VALUE"""),"RUN-ABRM_2023-02-28_RFR-173")</f>
        <v>RUN-ABRM_2023-02-28_RFR-173</v>
      </c>
      <c r="C950" s="8">
        <f>VLOOKUP(B950,'Run Reconcile'!A$2:B3212,2,FALSE)</f>
        <v>44985</v>
      </c>
      <c r="D950" s="12">
        <f>IFERROR(__xludf.DUMMYFUNCTION("""COMPUTED_VALUE"""),44985.0)</f>
        <v>44985</v>
      </c>
      <c r="E950" s="13">
        <f>IFERROR(__xludf.DUMMYFUNCTION("""COMPUTED_VALUE"""),0.30841435185357113)</f>
        <v>0.3084143519</v>
      </c>
      <c r="F950" s="7" t="str">
        <f>IFERROR(__xludf.DUMMYFUNCTION("""COMPUTED_VALUE"""),"Negative")</f>
        <v>Negative</v>
      </c>
      <c r="G950" s="7">
        <f>IFERROR(__xludf.DUMMYFUNCTION("""COMPUTED_VALUE"""),2.0)</f>
        <v>2</v>
      </c>
    </row>
    <row r="951">
      <c r="A951" s="7" t="str">
        <f>IFERROR(__xludf.DUMMYFUNCTION("""COMPUTED_VALUE"""),"AR1441")</f>
        <v>AR1441</v>
      </c>
      <c r="B951" s="7" t="str">
        <f>IFERROR(__xludf.DUMMYFUNCTION("""COMPUTED_VALUE"""),"RUN-ABRM_2023-02-28_RFR-173")</f>
        <v>RUN-ABRM_2023-02-28_RFR-173</v>
      </c>
      <c r="C951" s="8">
        <f>VLOOKUP(B951,'Run Reconcile'!A$2:B3212,2,FALSE)</f>
        <v>44985</v>
      </c>
      <c r="D951" s="12">
        <f>IFERROR(__xludf.DUMMYFUNCTION("""COMPUTED_VALUE"""),44985.0)</f>
        <v>44985</v>
      </c>
      <c r="E951" s="13">
        <f>IFERROR(__xludf.DUMMYFUNCTION("""COMPUTED_VALUE"""),0.31811342592482106)</f>
        <v>0.3181134259</v>
      </c>
      <c r="F951" s="7" t="str">
        <f>IFERROR(__xludf.DUMMYFUNCTION("""COMPUTED_VALUE"""),"Negative")</f>
        <v>Negative</v>
      </c>
      <c r="G951" s="7">
        <f>IFERROR(__xludf.DUMMYFUNCTION("""COMPUTED_VALUE"""),4.0)</f>
        <v>4</v>
      </c>
    </row>
    <row r="952">
      <c r="A952" s="7" t="str">
        <f>IFERROR(__xludf.DUMMYFUNCTION("""COMPUTED_VALUE"""),"AR958")</f>
        <v>AR958</v>
      </c>
      <c r="B952" s="7" t="str">
        <f>IFERROR(__xludf.DUMMYFUNCTION("""COMPUTED_VALUE"""),"RUN-ABRM_2023-02-28_RFR-173")</f>
        <v>RUN-ABRM_2023-02-28_RFR-173</v>
      </c>
      <c r="C952" s="8">
        <f>VLOOKUP(B952,'Run Reconcile'!A$2:B3212,2,FALSE)</f>
        <v>44985</v>
      </c>
      <c r="D952" s="12">
        <f>IFERROR(__xludf.DUMMYFUNCTION("""COMPUTED_VALUE"""),44985.0)</f>
        <v>44985</v>
      </c>
      <c r="E952" s="13">
        <f>IFERROR(__xludf.DUMMYFUNCTION("""COMPUTED_VALUE"""),0.3195601851839456)</f>
        <v>0.3195601852</v>
      </c>
      <c r="F952" s="7" t="str">
        <f>IFERROR(__xludf.DUMMYFUNCTION("""COMPUTED_VALUE"""),"Negative")</f>
        <v>Negative</v>
      </c>
      <c r="G952" s="7">
        <f>IFERROR(__xludf.DUMMYFUNCTION("""COMPUTED_VALUE"""),1.0)</f>
        <v>1</v>
      </c>
    </row>
    <row r="953">
      <c r="A953" s="7" t="str">
        <f>IFERROR(__xludf.DUMMYFUNCTION("""COMPUTED_VALUE"""),"AJ9391")</f>
        <v>AJ9391</v>
      </c>
      <c r="B953" s="7" t="str">
        <f>IFERROR(__xludf.DUMMYFUNCTION("""COMPUTED_VALUE"""),"RUN-ABRM_2023-03-01_RFR-175")</f>
        <v>RUN-ABRM_2023-03-01_RFR-175</v>
      </c>
      <c r="C953" s="8">
        <f>VLOOKUP(B953,'Run Reconcile'!A$2:B3212,2,FALSE)</f>
        <v>44986</v>
      </c>
      <c r="D953" s="12">
        <f>IFERROR(__xludf.DUMMYFUNCTION("""COMPUTED_VALUE"""),44986.0)</f>
        <v>44986</v>
      </c>
      <c r="E953" s="13">
        <f>IFERROR(__xludf.DUMMYFUNCTION("""COMPUTED_VALUE"""),0.21241898148218752)</f>
        <v>0.2124189815</v>
      </c>
      <c r="F953" s="7" t="str">
        <f>IFERROR(__xludf.DUMMYFUNCTION("""COMPUTED_VALUE"""),"Negative")</f>
        <v>Negative</v>
      </c>
      <c r="G953" s="7">
        <f>IFERROR(__xludf.DUMMYFUNCTION("""COMPUTED_VALUE"""),3.0)</f>
        <v>3</v>
      </c>
    </row>
    <row r="954">
      <c r="A954" s="7" t="str">
        <f>IFERROR(__xludf.DUMMYFUNCTION("""COMPUTED_VALUE"""),"AR976")</f>
        <v>AR976</v>
      </c>
      <c r="B954" s="7" t="str">
        <f>IFERROR(__xludf.DUMMYFUNCTION("""COMPUTED_VALUE"""),"RUN-ABRM_2023-03-01_RFR-175")</f>
        <v>RUN-ABRM_2023-03-01_RFR-175</v>
      </c>
      <c r="C954" s="8">
        <f>VLOOKUP(B954,'Run Reconcile'!A$2:B3212,2,FALSE)</f>
        <v>44986</v>
      </c>
      <c r="D954" s="12">
        <f>IFERROR(__xludf.DUMMYFUNCTION("""COMPUTED_VALUE"""),44986.0)</f>
        <v>44986</v>
      </c>
      <c r="E954" s="13">
        <f>IFERROR(__xludf.DUMMYFUNCTION("""COMPUTED_VALUE"""),0.26539351851897663)</f>
        <v>0.2653935185</v>
      </c>
      <c r="F954" s="7" t="str">
        <f>IFERROR(__xludf.DUMMYFUNCTION("""COMPUTED_VALUE"""),"Negative")</f>
        <v>Negative</v>
      </c>
      <c r="G954" s="7">
        <f>IFERROR(__xludf.DUMMYFUNCTION("""COMPUTED_VALUE"""),3.0)</f>
        <v>3</v>
      </c>
    </row>
    <row r="955">
      <c r="A955" s="7" t="str">
        <f>IFERROR(__xludf.DUMMYFUNCTION("""COMPUTED_VALUE"""),"AH7627")</f>
        <v>AH7627</v>
      </c>
      <c r="B955" s="7" t="str">
        <f>IFERROR(__xludf.DUMMYFUNCTION("""COMPUTED_VALUE"""),"RUN-ABRM_2023-03-01_RFR-175")</f>
        <v>RUN-ABRM_2023-03-01_RFR-175</v>
      </c>
      <c r="C955" s="8">
        <f>VLOOKUP(B955,'Run Reconcile'!A$2:B3212,2,FALSE)</f>
        <v>44986</v>
      </c>
      <c r="D955" s="12">
        <f>IFERROR(__xludf.DUMMYFUNCTION("""COMPUTED_VALUE"""),44986.0)</f>
        <v>44986</v>
      </c>
      <c r="E955" s="13">
        <f>IFERROR(__xludf.DUMMYFUNCTION("""COMPUTED_VALUE"""),0.2800115740756155)</f>
        <v>0.2800115741</v>
      </c>
      <c r="F955" s="7" t="str">
        <f>IFERROR(__xludf.DUMMYFUNCTION("""COMPUTED_VALUE"""),"Negative")</f>
        <v>Negative</v>
      </c>
      <c r="G955" s="7">
        <f>IFERROR(__xludf.DUMMYFUNCTION("""COMPUTED_VALUE"""),3.0)</f>
        <v>3</v>
      </c>
    </row>
    <row r="956">
      <c r="A956" s="7" t="str">
        <f>IFERROR(__xludf.DUMMYFUNCTION("""COMPUTED_VALUE"""),"AR1920")</f>
        <v>AR1920</v>
      </c>
      <c r="B956" s="7" t="str">
        <f>IFERROR(__xludf.DUMMYFUNCTION("""COMPUTED_VALUE"""),"RUN-ABRM_2023-03-01_RFR-175")</f>
        <v>RUN-ABRM_2023-03-01_RFR-175</v>
      </c>
      <c r="C956" s="8">
        <f>VLOOKUP(B956,'Run Reconcile'!A$2:B3212,2,FALSE)</f>
        <v>44986</v>
      </c>
      <c r="D956" s="12">
        <f>IFERROR(__xludf.DUMMYFUNCTION("""COMPUTED_VALUE"""),44986.0)</f>
        <v>44986</v>
      </c>
      <c r="E956" s="13">
        <f>IFERROR(__xludf.DUMMYFUNCTION("""COMPUTED_VALUE"""),0.2801620370373712)</f>
        <v>0.280162037</v>
      </c>
      <c r="F956" s="7" t="str">
        <f>IFERROR(__xludf.DUMMYFUNCTION("""COMPUTED_VALUE"""),"Negative")</f>
        <v>Negative</v>
      </c>
      <c r="G956" s="7">
        <f>IFERROR(__xludf.DUMMYFUNCTION("""COMPUTED_VALUE"""),3.0)</f>
        <v>3</v>
      </c>
    </row>
    <row r="957">
      <c r="A957" s="7" t="str">
        <f>IFERROR(__xludf.DUMMYFUNCTION("""COMPUTED_VALUE"""),"AR591")</f>
        <v>AR591</v>
      </c>
      <c r="B957" s="7" t="str">
        <f>IFERROR(__xludf.DUMMYFUNCTION("""COMPUTED_VALUE"""),"RUN-ABRM_2023-03-01_RFR-175")</f>
        <v>RUN-ABRM_2023-03-01_RFR-175</v>
      </c>
      <c r="C957" s="8">
        <f>VLOOKUP(B957,'Run Reconcile'!A$2:B3212,2,FALSE)</f>
        <v>44986</v>
      </c>
      <c r="D957" s="12">
        <f>IFERROR(__xludf.DUMMYFUNCTION("""COMPUTED_VALUE"""),44986.0)</f>
        <v>44986</v>
      </c>
      <c r="E957" s="13">
        <f>IFERROR(__xludf.DUMMYFUNCTION("""COMPUTED_VALUE"""),0.31760416666656965)</f>
        <v>0.3176041667</v>
      </c>
      <c r="F957" s="7" t="str">
        <f>IFERROR(__xludf.DUMMYFUNCTION("""COMPUTED_VALUE"""),"Negative")</f>
        <v>Negative</v>
      </c>
      <c r="G957" s="7">
        <f>IFERROR(__xludf.DUMMYFUNCTION("""COMPUTED_VALUE"""),2.0)</f>
        <v>2</v>
      </c>
    </row>
    <row r="958">
      <c r="A958" s="7" t="str">
        <f>IFERROR(__xludf.DUMMYFUNCTION("""COMPUTED_VALUE"""),"AR450")</f>
        <v>AR450</v>
      </c>
      <c r="B958" s="7" t="str">
        <f>IFERROR(__xludf.DUMMYFUNCTION("""COMPUTED_VALUE"""),"RUN-ABRM_2023-03-01_RFR-175")</f>
        <v>RUN-ABRM_2023-03-01_RFR-175</v>
      </c>
      <c r="C958" s="8">
        <f>VLOOKUP(B958,'Run Reconcile'!A$2:B3212,2,FALSE)</f>
        <v>44986</v>
      </c>
      <c r="D958" s="12">
        <f>IFERROR(__xludf.DUMMYFUNCTION("""COMPUTED_VALUE"""),44986.0)</f>
        <v>44986</v>
      </c>
      <c r="E958" s="13">
        <f>IFERROR(__xludf.DUMMYFUNCTION("""COMPUTED_VALUE"""),0.32055555555416504)</f>
        <v>0.3205555556</v>
      </c>
      <c r="F958" s="7" t="str">
        <f>IFERROR(__xludf.DUMMYFUNCTION("""COMPUTED_VALUE"""),"Negative")</f>
        <v>Negative</v>
      </c>
      <c r="G958" s="7">
        <f>IFERROR(__xludf.DUMMYFUNCTION("""COMPUTED_VALUE"""),1.0)</f>
        <v>1</v>
      </c>
    </row>
    <row r="959">
      <c r="A959" s="7" t="str">
        <f>IFERROR(__xludf.DUMMYFUNCTION("""COMPUTED_VALUE"""),"AR805")</f>
        <v>AR805</v>
      </c>
      <c r="B959" s="7" t="str">
        <f>IFERROR(__xludf.DUMMYFUNCTION("""COMPUTED_VALUE"""),"RUN-ABRM_2023-03-01_RFR-175")</f>
        <v>RUN-ABRM_2023-03-01_RFR-175</v>
      </c>
      <c r="C959" s="8">
        <f>VLOOKUP(B959,'Run Reconcile'!A$2:B3212,2,FALSE)</f>
        <v>44986</v>
      </c>
      <c r="D959" s="12">
        <f>IFERROR(__xludf.DUMMYFUNCTION("""COMPUTED_VALUE"""),44986.0)</f>
        <v>44986</v>
      </c>
      <c r="E959" s="13">
        <f>IFERROR(__xludf.DUMMYFUNCTION("""COMPUTED_VALUE"""),0.32200231481328956)</f>
        <v>0.3220023148</v>
      </c>
      <c r="F959" s="7" t="str">
        <f>IFERROR(__xludf.DUMMYFUNCTION("""COMPUTED_VALUE"""),"Negative")</f>
        <v>Negative</v>
      </c>
      <c r="G959" s="7">
        <f>IFERROR(__xludf.DUMMYFUNCTION("""COMPUTED_VALUE"""),1.0)</f>
        <v>1</v>
      </c>
    </row>
    <row r="960">
      <c r="A960" s="7" t="str">
        <f>IFERROR(__xludf.DUMMYFUNCTION("""COMPUTED_VALUE"""),"AB9985")</f>
        <v>AB9985</v>
      </c>
      <c r="B960" s="7" t="str">
        <f>IFERROR(__xludf.DUMMYFUNCTION("""COMPUTED_VALUE"""),"RUN-ABRM_2023-03-01_RFR-175")</f>
        <v>RUN-ABRM_2023-03-01_RFR-175</v>
      </c>
      <c r="C960" s="8">
        <f>VLOOKUP(B960,'Run Reconcile'!A$2:B3212,2,FALSE)</f>
        <v>44986</v>
      </c>
      <c r="D960" s="12">
        <f>IFERROR(__xludf.DUMMYFUNCTION("""COMPUTED_VALUE"""),44986.0)</f>
        <v>44986</v>
      </c>
      <c r="E960" s="13">
        <f>IFERROR(__xludf.DUMMYFUNCTION("""COMPUTED_VALUE"""),0.32247685185211594)</f>
        <v>0.3224768519</v>
      </c>
      <c r="F960" s="7" t="str">
        <f>IFERROR(__xludf.DUMMYFUNCTION("""COMPUTED_VALUE"""),"Negative")</f>
        <v>Negative</v>
      </c>
      <c r="G960" s="7">
        <f>IFERROR(__xludf.DUMMYFUNCTION("""COMPUTED_VALUE"""),1.0)</f>
        <v>1</v>
      </c>
    </row>
    <row r="961">
      <c r="A961" s="7" t="str">
        <f>IFERROR(__xludf.DUMMYFUNCTION("""COMPUTED_VALUE"""),"AK9868")</f>
        <v>AK9868</v>
      </c>
      <c r="B961" s="7" t="str">
        <f>IFERROR(__xludf.DUMMYFUNCTION("""COMPUTED_VALUE"""),"RUN-ABRM_2023-03-01_RFR-175")</f>
        <v>RUN-ABRM_2023-03-01_RFR-175</v>
      </c>
      <c r="C961" s="8">
        <f>VLOOKUP(B961,'Run Reconcile'!A$2:B3212,2,FALSE)</f>
        <v>44986</v>
      </c>
      <c r="D961" s="12">
        <f>IFERROR(__xludf.DUMMYFUNCTION("""COMPUTED_VALUE"""),44986.0)</f>
        <v>44986</v>
      </c>
      <c r="E961" s="13">
        <f>IFERROR(__xludf.DUMMYFUNCTION("""COMPUTED_VALUE"""),0.34307870370321325)</f>
        <v>0.3430787037</v>
      </c>
      <c r="F961" s="7" t="str">
        <f>IFERROR(__xludf.DUMMYFUNCTION("""COMPUTED_VALUE"""),"Negative")</f>
        <v>Negative</v>
      </c>
      <c r="G961" s="7">
        <f>IFERROR(__xludf.DUMMYFUNCTION("""COMPUTED_VALUE"""),4.0)</f>
        <v>4</v>
      </c>
    </row>
    <row r="962">
      <c r="A962" s="7" t="str">
        <f>IFERROR(__xludf.DUMMYFUNCTION("""COMPUTED_VALUE"""),"AR1009")</f>
        <v>AR1009</v>
      </c>
      <c r="B962" s="7" t="str">
        <f>IFERROR(__xludf.DUMMYFUNCTION("""COMPUTED_VALUE"""),"RUN-ABRM_2023-03-02_RFR-177")</f>
        <v>RUN-ABRM_2023-03-02_RFR-177</v>
      </c>
      <c r="C962" s="8">
        <f>VLOOKUP(B962,'Run Reconcile'!A$2:B3212,2,FALSE)</f>
        <v>44987</v>
      </c>
      <c r="D962" s="12">
        <f>IFERROR(__xludf.DUMMYFUNCTION("""COMPUTED_VALUE"""),44987.0)</f>
        <v>44987</v>
      </c>
      <c r="E962" s="13">
        <f>IFERROR(__xludf.DUMMYFUNCTION("""COMPUTED_VALUE"""),0.28689814814788406)</f>
        <v>0.2868981481</v>
      </c>
      <c r="F962" s="7" t="str">
        <f>IFERROR(__xludf.DUMMYFUNCTION("""COMPUTED_VALUE"""),"Negative")</f>
        <v>Negative</v>
      </c>
      <c r="G962" s="7">
        <f>IFERROR(__xludf.DUMMYFUNCTION("""COMPUTED_VALUE"""),3.0)</f>
        <v>3</v>
      </c>
    </row>
    <row r="963">
      <c r="A963" s="7" t="str">
        <f>IFERROR(__xludf.DUMMYFUNCTION("""COMPUTED_VALUE"""),"AR218")</f>
        <v>AR218</v>
      </c>
      <c r="B963" s="7" t="str">
        <f>IFERROR(__xludf.DUMMYFUNCTION("""COMPUTED_VALUE"""),"RUN-ABRM_2023-03-02_RFR-177")</f>
        <v>RUN-ABRM_2023-03-02_RFR-177</v>
      </c>
      <c r="C963" s="8">
        <f>VLOOKUP(B963,'Run Reconcile'!A$2:B3212,2,FALSE)</f>
        <v>44987</v>
      </c>
      <c r="D963" s="12">
        <f>IFERROR(__xludf.DUMMYFUNCTION("""COMPUTED_VALUE"""),44987.0)</f>
        <v>44987</v>
      </c>
      <c r="E963" s="13">
        <f>IFERROR(__xludf.DUMMYFUNCTION("""COMPUTED_VALUE"""),0.3180902777785377)</f>
        <v>0.3180902778</v>
      </c>
      <c r="F963" s="7" t="str">
        <f>IFERROR(__xludf.DUMMYFUNCTION("""COMPUTED_VALUE"""),"Negative")</f>
        <v>Negative</v>
      </c>
      <c r="G963" s="7">
        <f>IFERROR(__xludf.DUMMYFUNCTION("""COMPUTED_VALUE"""),1.0)</f>
        <v>1</v>
      </c>
    </row>
    <row r="964">
      <c r="A964" s="7" t="str">
        <f>IFERROR(__xludf.DUMMYFUNCTION("""COMPUTED_VALUE"""),"AK9952")</f>
        <v>AK9952</v>
      </c>
      <c r="B964" s="7" t="str">
        <f>IFERROR(__xludf.DUMMYFUNCTION("""COMPUTED_VALUE"""),"RUN-ABRM_2023-03-02_RFR-177")</f>
        <v>RUN-ABRM_2023-03-02_RFR-177</v>
      </c>
      <c r="C964" s="8">
        <f>VLOOKUP(B964,'Run Reconcile'!A$2:B3212,2,FALSE)</f>
        <v>44987</v>
      </c>
      <c r="D964" s="12">
        <f>IFERROR(__xludf.DUMMYFUNCTION("""COMPUTED_VALUE"""),44987.0)</f>
        <v>44987</v>
      </c>
      <c r="E964" s="13">
        <f>IFERROR(__xludf.DUMMYFUNCTION("""COMPUTED_VALUE"""),0.320277777776937)</f>
        <v>0.3202777778</v>
      </c>
      <c r="F964" s="7" t="str">
        <f>IFERROR(__xludf.DUMMYFUNCTION("""COMPUTED_VALUE"""),"Negative")</f>
        <v>Negative</v>
      </c>
      <c r="G964" s="7">
        <f>IFERROR(__xludf.DUMMYFUNCTION("""COMPUTED_VALUE"""),1.0)</f>
        <v>1</v>
      </c>
    </row>
    <row r="965">
      <c r="A965" s="7" t="str">
        <f>IFERROR(__xludf.DUMMYFUNCTION("""COMPUTED_VALUE"""),"AR1172")</f>
        <v>AR1172</v>
      </c>
      <c r="B965" s="7" t="str">
        <f>IFERROR(__xludf.DUMMYFUNCTION("""COMPUTED_VALUE"""),"RUN-ABRM_2023-03-02_RFR-177")</f>
        <v>RUN-ABRM_2023-03-02_RFR-177</v>
      </c>
      <c r="C965" s="8">
        <f>VLOOKUP(B965,'Run Reconcile'!A$2:B3212,2,FALSE)</f>
        <v>44987</v>
      </c>
      <c r="D965" s="12">
        <f>IFERROR(__xludf.DUMMYFUNCTION("""COMPUTED_VALUE"""),44987.0)</f>
        <v>44987</v>
      </c>
      <c r="E965" s="13">
        <f>IFERROR(__xludf.DUMMYFUNCTION("""COMPUTED_VALUE"""),0.32145833333197515)</f>
        <v>0.3214583333</v>
      </c>
      <c r="F965" s="7" t="str">
        <f>IFERROR(__xludf.DUMMYFUNCTION("""COMPUTED_VALUE"""),"Negative")</f>
        <v>Negative</v>
      </c>
      <c r="G965" s="7">
        <f>IFERROR(__xludf.DUMMYFUNCTION("""COMPUTED_VALUE"""),2.0)</f>
        <v>2</v>
      </c>
    </row>
    <row r="966">
      <c r="A966" s="7" t="str">
        <f>IFERROR(__xludf.DUMMYFUNCTION("""COMPUTED_VALUE"""),"AR1022")</f>
        <v>AR1022</v>
      </c>
      <c r="B966" s="7" t="str">
        <f>IFERROR(__xludf.DUMMYFUNCTION("""COMPUTED_VALUE"""),"RUN-ABRM_2023-03-02_RFR-177")</f>
        <v>RUN-ABRM_2023-03-02_RFR-177</v>
      </c>
      <c r="C966" s="8">
        <f>VLOOKUP(B966,'Run Reconcile'!A$2:B3212,2,FALSE)</f>
        <v>44987</v>
      </c>
      <c r="D966" s="12">
        <f>IFERROR(__xludf.DUMMYFUNCTION("""COMPUTED_VALUE"""),44987.0)</f>
        <v>44987</v>
      </c>
      <c r="E966" s="13">
        <f>IFERROR(__xludf.DUMMYFUNCTION("""COMPUTED_VALUE"""),0.325474537035916)</f>
        <v>0.325474537</v>
      </c>
      <c r="F966" s="7" t="str">
        <f>IFERROR(__xludf.DUMMYFUNCTION("""COMPUTED_VALUE"""),"Negative")</f>
        <v>Negative</v>
      </c>
      <c r="G966" s="7">
        <f>IFERROR(__xludf.DUMMYFUNCTION("""COMPUTED_VALUE"""),2.0)</f>
        <v>2</v>
      </c>
    </row>
    <row r="967">
      <c r="A967" s="7" t="str">
        <f>IFERROR(__xludf.DUMMYFUNCTION("""COMPUTED_VALUE"""),"AR380")</f>
        <v>AR380</v>
      </c>
      <c r="B967" s="7" t="str">
        <f>IFERROR(__xludf.DUMMYFUNCTION("""COMPUTED_VALUE"""),"RUN-ABRM_2023-03-02_RFR-177")</f>
        <v>RUN-ABRM_2023-03-02_RFR-177</v>
      </c>
      <c r="C967" s="8">
        <f>VLOOKUP(B967,'Run Reconcile'!A$2:B3212,2,FALSE)</f>
        <v>44987</v>
      </c>
      <c r="D967" s="12">
        <f>IFERROR(__xludf.DUMMYFUNCTION("""COMPUTED_VALUE"""),44987.0)</f>
        <v>44987</v>
      </c>
      <c r="E967" s="13">
        <f>IFERROR(__xludf.DUMMYFUNCTION("""COMPUTED_VALUE"""),0.33003472222117125)</f>
        <v>0.3300347222</v>
      </c>
      <c r="F967" s="7" t="str">
        <f>IFERROR(__xludf.DUMMYFUNCTION("""COMPUTED_VALUE"""),"Negative")</f>
        <v>Negative</v>
      </c>
      <c r="G967" s="7">
        <f>IFERROR(__xludf.DUMMYFUNCTION("""COMPUTED_VALUE"""),1.0)</f>
        <v>1</v>
      </c>
    </row>
    <row r="968">
      <c r="A968" s="7" t="str">
        <f>IFERROR(__xludf.DUMMYFUNCTION("""COMPUTED_VALUE"""),"AR1366")</f>
        <v>AR1366</v>
      </c>
      <c r="B968" s="7" t="str">
        <f>IFERROR(__xludf.DUMMYFUNCTION("""COMPUTED_VALUE"""),"RUN-ABRM_2023-03-02_RFR-177")</f>
        <v>RUN-ABRM_2023-03-02_RFR-177</v>
      </c>
      <c r="C968" s="8">
        <f>VLOOKUP(B968,'Run Reconcile'!A$2:B3212,2,FALSE)</f>
        <v>44987</v>
      </c>
      <c r="D968" s="12">
        <f>IFERROR(__xludf.DUMMYFUNCTION("""COMPUTED_VALUE"""),44987.0)</f>
        <v>44987</v>
      </c>
      <c r="E968" s="13">
        <f>IFERROR(__xludf.DUMMYFUNCTION("""COMPUTED_VALUE"""),0.33341435185138835)</f>
        <v>0.3334143519</v>
      </c>
      <c r="F968" s="7" t="str">
        <f>IFERROR(__xludf.DUMMYFUNCTION("""COMPUTED_VALUE"""),"Negative")</f>
        <v>Negative</v>
      </c>
      <c r="G968" s="7">
        <f>IFERROR(__xludf.DUMMYFUNCTION("""COMPUTED_VALUE"""),3.0)</f>
        <v>3</v>
      </c>
    </row>
    <row r="969">
      <c r="A969" s="7" t="str">
        <f>IFERROR(__xludf.DUMMYFUNCTION("""COMPUTED_VALUE"""),"AR1136")</f>
        <v>AR1136</v>
      </c>
      <c r="B969" s="7" t="str">
        <f>IFERROR(__xludf.DUMMYFUNCTION("""COMPUTED_VALUE"""),"RUN-ABRM_2023-03-02_RFR-177")</f>
        <v>RUN-ABRM_2023-03-02_RFR-177</v>
      </c>
      <c r="C969" s="8">
        <f>VLOOKUP(B969,'Run Reconcile'!A$2:B3212,2,FALSE)</f>
        <v>44987</v>
      </c>
      <c r="D969" s="12">
        <f>IFERROR(__xludf.DUMMYFUNCTION("""COMPUTED_VALUE"""),44987.0)</f>
        <v>44987</v>
      </c>
      <c r="E969" s="13">
        <f>IFERROR(__xludf.DUMMYFUNCTION("""COMPUTED_VALUE"""),0.3387037037027767)</f>
        <v>0.3387037037</v>
      </c>
      <c r="F969" s="7" t="str">
        <f>IFERROR(__xludf.DUMMYFUNCTION("""COMPUTED_VALUE"""),"Negative")</f>
        <v>Negative</v>
      </c>
      <c r="G969" s="7">
        <f>IFERROR(__xludf.DUMMYFUNCTION("""COMPUTED_VALUE"""),3.0)</f>
        <v>3</v>
      </c>
    </row>
    <row r="970">
      <c r="A970" s="7" t="str">
        <f>IFERROR(__xludf.DUMMYFUNCTION("""COMPUTED_VALUE"""),"AR1694")</f>
        <v>AR1694</v>
      </c>
      <c r="B970" s="7" t="str">
        <f>IFERROR(__xludf.DUMMYFUNCTION("""COMPUTED_VALUE"""),"RUN-ABRM_2023-03-03_APS-005")</f>
        <v>RUN-ABRM_2023-03-03_APS-005</v>
      </c>
      <c r="C970" s="8">
        <f>VLOOKUP(B970,'Run Reconcile'!A$2:B3212,2,FALSE)</f>
        <v>44988</v>
      </c>
      <c r="D970" s="12">
        <f>IFERROR(__xludf.DUMMYFUNCTION("""COMPUTED_VALUE"""),44988.0)</f>
        <v>44988</v>
      </c>
      <c r="E970" s="13">
        <f>IFERROR(__xludf.DUMMYFUNCTION("""COMPUTED_VALUE"""),0.3040046296300716)</f>
        <v>0.3040046296</v>
      </c>
      <c r="F970" s="7" t="str">
        <f>IFERROR(__xludf.DUMMYFUNCTION("""COMPUTED_VALUE"""),"Negative")</f>
        <v>Negative</v>
      </c>
      <c r="G970" s="7">
        <f>IFERROR(__xludf.DUMMYFUNCTION("""COMPUTED_VALUE"""),2.0)</f>
        <v>2</v>
      </c>
    </row>
    <row r="971">
      <c r="A971" s="7" t="str">
        <f>IFERROR(__xludf.DUMMYFUNCTION("""COMPUTED_VALUE"""),"AR1722")</f>
        <v>AR1722</v>
      </c>
      <c r="B971" s="7" t="str">
        <f>IFERROR(__xludf.DUMMYFUNCTION("""COMPUTED_VALUE"""),"RUN-ABRM_2023-03-03_APS-005")</f>
        <v>RUN-ABRM_2023-03-03_APS-005</v>
      </c>
      <c r="C971" s="8">
        <f>VLOOKUP(B971,'Run Reconcile'!A$2:B3212,2,FALSE)</f>
        <v>44988</v>
      </c>
      <c r="D971" s="12">
        <f>IFERROR(__xludf.DUMMYFUNCTION("""COMPUTED_VALUE"""),44988.0)</f>
        <v>44988</v>
      </c>
      <c r="E971" s="13">
        <f>IFERROR(__xludf.DUMMYFUNCTION("""COMPUTED_VALUE"""),0.3171759259275859)</f>
        <v>0.3171759259</v>
      </c>
      <c r="F971" s="7" t="str">
        <f>IFERROR(__xludf.DUMMYFUNCTION("""COMPUTED_VALUE"""),"Negative")</f>
        <v>Negative</v>
      </c>
      <c r="G971" s="7">
        <f>IFERROR(__xludf.DUMMYFUNCTION("""COMPUTED_VALUE"""),2.0)</f>
        <v>2</v>
      </c>
    </row>
    <row r="972">
      <c r="A972" s="7" t="str">
        <f>IFERROR(__xludf.DUMMYFUNCTION("""COMPUTED_VALUE"""),"AR1347")</f>
        <v>AR1347</v>
      </c>
      <c r="B972" s="7" t="str">
        <f>IFERROR(__xludf.DUMMYFUNCTION("""COMPUTED_VALUE"""),"RUN-ABRM_2023-03-03_APS-005")</f>
        <v>RUN-ABRM_2023-03-03_APS-005</v>
      </c>
      <c r="C972" s="8">
        <f>VLOOKUP(B972,'Run Reconcile'!A$2:B3212,2,FALSE)</f>
        <v>44988</v>
      </c>
      <c r="D972" s="12">
        <f>IFERROR(__xludf.DUMMYFUNCTION("""COMPUTED_VALUE"""),44988.0)</f>
        <v>44988</v>
      </c>
      <c r="E972" s="13">
        <f>IFERROR(__xludf.DUMMYFUNCTION("""COMPUTED_VALUE"""),0.3238657407418941)</f>
        <v>0.3238657407</v>
      </c>
      <c r="F972" s="7" t="str">
        <f>IFERROR(__xludf.DUMMYFUNCTION("""COMPUTED_VALUE"""),"Negative")</f>
        <v>Negative</v>
      </c>
      <c r="G972" s="7">
        <f>IFERROR(__xludf.DUMMYFUNCTION("""COMPUTED_VALUE"""),1.0)</f>
        <v>1</v>
      </c>
    </row>
    <row r="973">
      <c r="A973" s="7" t="str">
        <f>IFERROR(__xludf.DUMMYFUNCTION("""COMPUTED_VALUE"""),"AR1032")</f>
        <v>AR1032</v>
      </c>
      <c r="B973" s="7" t="str">
        <f>IFERROR(__xludf.DUMMYFUNCTION("""COMPUTED_VALUE"""),"RUN-ABRM_2023-03-06_RFR-179")</f>
        <v>RUN-ABRM_2023-03-06_RFR-179</v>
      </c>
      <c r="C973" s="8">
        <f>VLOOKUP(B973,'Run Reconcile'!A$2:B3212,2,FALSE)</f>
        <v>44991</v>
      </c>
      <c r="D973" s="12">
        <f>IFERROR(__xludf.DUMMYFUNCTION("""COMPUTED_VALUE"""),44991.0)</f>
        <v>44991</v>
      </c>
      <c r="E973" s="13">
        <f>IFERROR(__xludf.DUMMYFUNCTION("""COMPUTED_VALUE"""),0.2781134259275859)</f>
        <v>0.2781134259</v>
      </c>
      <c r="F973" s="7" t="str">
        <f>IFERROR(__xludf.DUMMYFUNCTION("""COMPUTED_VALUE"""),"Negative")</f>
        <v>Negative</v>
      </c>
      <c r="G973" s="7">
        <f>IFERROR(__xludf.DUMMYFUNCTION("""COMPUTED_VALUE"""),3.0)</f>
        <v>3</v>
      </c>
    </row>
    <row r="974">
      <c r="A974" s="7" t="str">
        <f>IFERROR(__xludf.DUMMYFUNCTION("""COMPUTED_VALUE"""),"AR116")</f>
        <v>AR116</v>
      </c>
      <c r="B974" s="7" t="str">
        <f>IFERROR(__xludf.DUMMYFUNCTION("""COMPUTED_VALUE"""),"RUN-ABRM_2023-03-06_RFR-179")</f>
        <v>RUN-ABRM_2023-03-06_RFR-179</v>
      </c>
      <c r="C974" s="8">
        <f>VLOOKUP(B974,'Run Reconcile'!A$2:B3212,2,FALSE)</f>
        <v>44991</v>
      </c>
      <c r="D974" s="12">
        <f>IFERROR(__xludf.DUMMYFUNCTION("""COMPUTED_VALUE"""),44991.0)</f>
        <v>44991</v>
      </c>
      <c r="E974" s="13">
        <f>IFERROR(__xludf.DUMMYFUNCTION("""COMPUTED_VALUE"""),0.289097222223063)</f>
        <v>0.2890972222</v>
      </c>
      <c r="F974" s="7" t="str">
        <f>IFERROR(__xludf.DUMMYFUNCTION("""COMPUTED_VALUE"""),"Negative")</f>
        <v>Negative</v>
      </c>
      <c r="G974" s="7">
        <f>IFERROR(__xludf.DUMMYFUNCTION("""COMPUTED_VALUE"""),4.0)</f>
        <v>4</v>
      </c>
    </row>
    <row r="975">
      <c r="A975" s="7" t="str">
        <f>IFERROR(__xludf.DUMMYFUNCTION("""COMPUTED_VALUE"""),"AR928")</f>
        <v>AR928</v>
      </c>
      <c r="B975" s="7" t="str">
        <f>IFERROR(__xludf.DUMMYFUNCTION("""COMPUTED_VALUE"""),"RUN-ABRM_2023-03-06_RFR-179")</f>
        <v>RUN-ABRM_2023-03-06_RFR-179</v>
      </c>
      <c r="C975" s="8">
        <f>VLOOKUP(B975,'Run Reconcile'!A$2:B3212,2,FALSE)</f>
        <v>44991</v>
      </c>
      <c r="D975" s="12">
        <f>IFERROR(__xludf.DUMMYFUNCTION("""COMPUTED_VALUE"""),44991.0)</f>
        <v>44991</v>
      </c>
      <c r="E975" s="13">
        <f>IFERROR(__xludf.DUMMYFUNCTION("""COMPUTED_VALUE"""),0.29206018518380006)</f>
        <v>0.2920601852</v>
      </c>
      <c r="F975" s="7" t="str">
        <f>IFERROR(__xludf.DUMMYFUNCTION("""COMPUTED_VALUE"""),"Negative")</f>
        <v>Negative</v>
      </c>
      <c r="G975" s="7">
        <f>IFERROR(__xludf.DUMMYFUNCTION("""COMPUTED_VALUE"""),1.0)</f>
        <v>1</v>
      </c>
    </row>
    <row r="976">
      <c r="A976" s="7" t="str">
        <f>IFERROR(__xludf.DUMMYFUNCTION("""COMPUTED_VALUE"""),"AK9903")</f>
        <v>AK9903</v>
      </c>
      <c r="B976" s="7" t="str">
        <f>IFERROR(__xludf.DUMMYFUNCTION("""COMPUTED_VALUE"""),"RUN-ABRM_2023-03-06_RFR-179")</f>
        <v>RUN-ABRM_2023-03-06_RFR-179</v>
      </c>
      <c r="C976" s="8">
        <f>VLOOKUP(B976,'Run Reconcile'!A$2:B3212,2,FALSE)</f>
        <v>44991</v>
      </c>
      <c r="D976" s="12">
        <f>IFERROR(__xludf.DUMMYFUNCTION("""COMPUTED_VALUE"""),44991.0)</f>
        <v>44991</v>
      </c>
      <c r="E976" s="13">
        <f>IFERROR(__xludf.DUMMYFUNCTION("""COMPUTED_VALUE"""),0.2939351851855463)</f>
        <v>0.2939351852</v>
      </c>
      <c r="F976" s="7" t="str">
        <f>IFERROR(__xludf.DUMMYFUNCTION("""COMPUTED_VALUE"""),"Negative")</f>
        <v>Negative</v>
      </c>
      <c r="G976" s="7">
        <f>IFERROR(__xludf.DUMMYFUNCTION("""COMPUTED_VALUE"""),3.0)</f>
        <v>3</v>
      </c>
    </row>
    <row r="977">
      <c r="A977" s="7" t="str">
        <f>IFERROR(__xludf.DUMMYFUNCTION("""COMPUTED_VALUE"""),"AR1532")</f>
        <v>AR1532</v>
      </c>
      <c r="B977" s="7" t="str">
        <f>IFERROR(__xludf.DUMMYFUNCTION("""COMPUTED_VALUE"""),"RUN-ABRM_2023-03-06_RFR-179")</f>
        <v>RUN-ABRM_2023-03-06_RFR-179</v>
      </c>
      <c r="C977" s="8">
        <f>VLOOKUP(B977,'Run Reconcile'!A$2:B3212,2,FALSE)</f>
        <v>44991</v>
      </c>
      <c r="D977" s="12">
        <f>IFERROR(__xludf.DUMMYFUNCTION("""COMPUTED_VALUE"""),44991.0)</f>
        <v>44991</v>
      </c>
      <c r="E977" s="13">
        <f>IFERROR(__xludf.DUMMYFUNCTION("""COMPUTED_VALUE"""),0.29496527777882875)</f>
        <v>0.2949652778</v>
      </c>
      <c r="F977" s="7" t="str">
        <f>IFERROR(__xludf.DUMMYFUNCTION("""COMPUTED_VALUE"""),"Negative")</f>
        <v>Negative</v>
      </c>
      <c r="G977" s="7">
        <f>IFERROR(__xludf.DUMMYFUNCTION("""COMPUTED_VALUE"""),3.0)</f>
        <v>3</v>
      </c>
    </row>
    <row r="978">
      <c r="A978" s="7" t="str">
        <f>IFERROR(__xludf.DUMMYFUNCTION("""COMPUTED_VALUE"""),"AR1446")</f>
        <v>AR1446</v>
      </c>
      <c r="B978" s="7" t="str">
        <f>IFERROR(__xludf.DUMMYFUNCTION("""COMPUTED_VALUE"""),"RUN-ABRM_2023-03-06_RFR-179")</f>
        <v>RUN-ABRM_2023-03-06_RFR-179</v>
      </c>
      <c r="C978" s="8">
        <f>VLOOKUP(B978,'Run Reconcile'!A$2:B3212,2,FALSE)</f>
        <v>44991</v>
      </c>
      <c r="D978" s="12">
        <f>IFERROR(__xludf.DUMMYFUNCTION("""COMPUTED_VALUE"""),44991.0)</f>
        <v>44991</v>
      </c>
      <c r="E978" s="13">
        <f>IFERROR(__xludf.DUMMYFUNCTION("""COMPUTED_VALUE"""),0.30814814814948477)</f>
        <v>0.3081481481</v>
      </c>
      <c r="F978" s="7" t="str">
        <f>IFERROR(__xludf.DUMMYFUNCTION("""COMPUTED_VALUE"""),"Negative")</f>
        <v>Negative</v>
      </c>
      <c r="G978" s="7">
        <f>IFERROR(__xludf.DUMMYFUNCTION("""COMPUTED_VALUE"""),3.0)</f>
        <v>3</v>
      </c>
    </row>
    <row r="979">
      <c r="A979" s="7" t="str">
        <f>IFERROR(__xludf.DUMMYFUNCTION("""COMPUTED_VALUE"""),"AR945")</f>
        <v>AR945</v>
      </c>
      <c r="B979" s="7" t="str">
        <f>IFERROR(__xludf.DUMMYFUNCTION("""COMPUTED_VALUE"""),"RUN-ABRM_2023-03-06_RFR-179")</f>
        <v>RUN-ABRM_2023-03-06_RFR-179</v>
      </c>
      <c r="C979" s="8">
        <f>VLOOKUP(B979,'Run Reconcile'!A$2:B3212,2,FALSE)</f>
        <v>44991</v>
      </c>
      <c r="D979" s="12">
        <f>IFERROR(__xludf.DUMMYFUNCTION("""COMPUTED_VALUE"""),44991.0)</f>
        <v>44991</v>
      </c>
      <c r="E979" s="13">
        <f>IFERROR(__xludf.DUMMYFUNCTION("""COMPUTED_VALUE"""),0.3087268518502242)</f>
        <v>0.3087268519</v>
      </c>
      <c r="F979" s="7" t="str">
        <f>IFERROR(__xludf.DUMMYFUNCTION("""COMPUTED_VALUE"""),"Negative")</f>
        <v>Negative</v>
      </c>
      <c r="G979" s="7">
        <f>IFERROR(__xludf.DUMMYFUNCTION("""COMPUTED_VALUE"""),2.0)</f>
        <v>2</v>
      </c>
    </row>
    <row r="980">
      <c r="A980" s="7" t="str">
        <f>IFERROR(__xludf.DUMMYFUNCTION("""COMPUTED_VALUE"""),"AR19")</f>
        <v>AR19</v>
      </c>
      <c r="B980" s="7" t="str">
        <f>IFERROR(__xludf.DUMMYFUNCTION("""COMPUTED_VALUE"""),"RUN-ABRM_2023-03-06_RFR-179")</f>
        <v>RUN-ABRM_2023-03-06_RFR-179</v>
      </c>
      <c r="C980" s="8">
        <f>VLOOKUP(B980,'Run Reconcile'!A$2:B3212,2,FALSE)</f>
        <v>44991</v>
      </c>
      <c r="D980" s="12">
        <f>IFERROR(__xludf.DUMMYFUNCTION("""COMPUTED_VALUE"""),44991.0)</f>
        <v>44991</v>
      </c>
      <c r="E980" s="13">
        <f>IFERROR(__xludf.DUMMYFUNCTION("""COMPUTED_VALUE"""),0.3264120370367891)</f>
        <v>0.326412037</v>
      </c>
      <c r="F980" s="7" t="str">
        <f>IFERROR(__xludf.DUMMYFUNCTION("""COMPUTED_VALUE"""),"Negative")</f>
        <v>Negative</v>
      </c>
      <c r="G980" s="7">
        <f>IFERROR(__xludf.DUMMYFUNCTION("""COMPUTED_VALUE"""),1.0)</f>
        <v>1</v>
      </c>
    </row>
    <row r="981">
      <c r="A981" s="7" t="str">
        <f>IFERROR(__xludf.DUMMYFUNCTION("""COMPUTED_VALUE"""),"AR1423")</f>
        <v>AR1423</v>
      </c>
      <c r="B981" s="7" t="str">
        <f>IFERROR(__xludf.DUMMYFUNCTION("""COMPUTED_VALUE"""),"RUN-ABRM_2023-03-06_RFR-179")</f>
        <v>RUN-ABRM_2023-03-06_RFR-179</v>
      </c>
      <c r="C981" s="8">
        <f>VLOOKUP(B981,'Run Reconcile'!A$2:B3212,2,FALSE)</f>
        <v>44991</v>
      </c>
      <c r="D981" s="12">
        <f>IFERROR(__xludf.DUMMYFUNCTION("""COMPUTED_VALUE"""),44991.0)</f>
        <v>44991</v>
      </c>
      <c r="E981" s="13">
        <f>IFERROR(__xludf.DUMMYFUNCTION("""COMPUTED_VALUE"""),0.32760416666496894)</f>
        <v>0.3276041667</v>
      </c>
      <c r="F981" s="7" t="str">
        <f>IFERROR(__xludf.DUMMYFUNCTION("""COMPUTED_VALUE"""),"Negative")</f>
        <v>Negative</v>
      </c>
      <c r="G981" s="7">
        <f>IFERROR(__xludf.DUMMYFUNCTION("""COMPUTED_VALUE"""),3.0)</f>
        <v>3</v>
      </c>
    </row>
    <row r="982">
      <c r="A982" s="7" t="str">
        <f>IFERROR(__xludf.DUMMYFUNCTION("""COMPUTED_VALUE"""),"AR817")</f>
        <v>AR817</v>
      </c>
      <c r="B982" s="7" t="str">
        <f>IFERROR(__xludf.DUMMYFUNCTION("""COMPUTED_VALUE"""),"RUN-ABRM_2023-03-06_RFR-179")</f>
        <v>RUN-ABRM_2023-03-06_RFR-179</v>
      </c>
      <c r="C982" s="8">
        <f>VLOOKUP(B982,'Run Reconcile'!A$2:B3212,2,FALSE)</f>
        <v>44991</v>
      </c>
      <c r="D982" s="12">
        <f>IFERROR(__xludf.DUMMYFUNCTION("""COMPUTED_VALUE"""),44991.0)</f>
        <v>44991</v>
      </c>
      <c r="E982" s="13">
        <f>IFERROR(__xludf.DUMMYFUNCTION("""COMPUTED_VALUE"""),0.3479629629619012)</f>
        <v>0.347962963</v>
      </c>
      <c r="F982" s="7" t="str">
        <f>IFERROR(__xludf.DUMMYFUNCTION("""COMPUTED_VALUE"""),"Negative")</f>
        <v>Negative</v>
      </c>
      <c r="G982" s="7">
        <f>IFERROR(__xludf.DUMMYFUNCTION("""COMPUTED_VALUE"""),4.0)</f>
        <v>4</v>
      </c>
    </row>
    <row r="983">
      <c r="A983" s="7" t="str">
        <f>IFERROR(__xludf.DUMMYFUNCTION("""COMPUTED_VALUE"""),"AR812")</f>
        <v>AR812</v>
      </c>
      <c r="B983" s="7" t="str">
        <f>IFERROR(__xludf.DUMMYFUNCTION("""COMPUTED_VALUE"""),"RUN-ABRM_2023-03-07_RFR-181")</f>
        <v>RUN-ABRM_2023-03-07_RFR-181</v>
      </c>
      <c r="C983" s="8">
        <f>VLOOKUP(B983,'Run Reconcile'!A$2:B3212,2,FALSE)</f>
        <v>44992</v>
      </c>
      <c r="D983" s="12">
        <f>IFERROR(__xludf.DUMMYFUNCTION("""COMPUTED_VALUE"""),44992.0)</f>
        <v>44992</v>
      </c>
      <c r="E983" s="13">
        <f>IFERROR(__xludf.DUMMYFUNCTION("""COMPUTED_VALUE"""),0.2702662037045229)</f>
        <v>0.2702662037</v>
      </c>
      <c r="F983" s="7" t="str">
        <f>IFERROR(__xludf.DUMMYFUNCTION("""COMPUTED_VALUE"""),"Negative")</f>
        <v>Negative</v>
      </c>
      <c r="G983" s="7">
        <f>IFERROR(__xludf.DUMMYFUNCTION("""COMPUTED_VALUE"""),3.0)</f>
        <v>3</v>
      </c>
    </row>
    <row r="984">
      <c r="A984" s="7" t="str">
        <f>IFERROR(__xludf.DUMMYFUNCTION("""COMPUTED_VALUE"""),"AR961")</f>
        <v>AR961</v>
      </c>
      <c r="B984" s="7" t="str">
        <f>IFERROR(__xludf.DUMMYFUNCTION("""COMPUTED_VALUE"""),"RUN-ABRM_2023-03-07_RFR-181")</f>
        <v>RUN-ABRM_2023-03-07_RFR-181</v>
      </c>
      <c r="C984" s="8">
        <f>VLOOKUP(B984,'Run Reconcile'!A$2:B3212,2,FALSE)</f>
        <v>44992</v>
      </c>
      <c r="D984" s="12">
        <f>IFERROR(__xludf.DUMMYFUNCTION("""COMPUTED_VALUE"""),44992.0)</f>
        <v>44992</v>
      </c>
      <c r="E984" s="13">
        <f>IFERROR(__xludf.DUMMYFUNCTION("""COMPUTED_VALUE"""),0.283935185183509)</f>
        <v>0.2839351852</v>
      </c>
      <c r="F984" s="7" t="str">
        <f>IFERROR(__xludf.DUMMYFUNCTION("""COMPUTED_VALUE"""),"Negative")</f>
        <v>Negative</v>
      </c>
      <c r="G984" s="7">
        <f>IFERROR(__xludf.DUMMYFUNCTION("""COMPUTED_VALUE"""),3.0)</f>
        <v>3</v>
      </c>
    </row>
    <row r="985">
      <c r="A985" s="7" t="str">
        <f>IFERROR(__xludf.DUMMYFUNCTION("""COMPUTED_VALUE"""),"AR279")</f>
        <v>AR279</v>
      </c>
      <c r="B985" s="7" t="str">
        <f>IFERROR(__xludf.DUMMYFUNCTION("""COMPUTED_VALUE"""),"RUN-ABRM_2023-03-07_RFR-181")</f>
        <v>RUN-ABRM_2023-03-07_RFR-181</v>
      </c>
      <c r="C985" s="8">
        <f>VLOOKUP(B985,'Run Reconcile'!A$2:B3212,2,FALSE)</f>
        <v>44992</v>
      </c>
      <c r="D985" s="12">
        <f>IFERROR(__xludf.DUMMYFUNCTION("""COMPUTED_VALUE"""),44992.0)</f>
        <v>44992</v>
      </c>
      <c r="E985" s="13">
        <f>IFERROR(__xludf.DUMMYFUNCTION("""COMPUTED_VALUE"""),0.28490740740744513)</f>
        <v>0.2849074074</v>
      </c>
      <c r="F985" s="7" t="str">
        <f>IFERROR(__xludf.DUMMYFUNCTION("""COMPUTED_VALUE"""),"Negative")</f>
        <v>Negative</v>
      </c>
      <c r="G985" s="7">
        <f>IFERROR(__xludf.DUMMYFUNCTION("""COMPUTED_VALUE"""),3.0)</f>
        <v>3</v>
      </c>
    </row>
    <row r="986">
      <c r="A986" s="7" t="str">
        <f>IFERROR(__xludf.DUMMYFUNCTION("""COMPUTED_VALUE"""),"AB9996")</f>
        <v>AB9996</v>
      </c>
      <c r="B986" s="7" t="str">
        <f>IFERROR(__xludf.DUMMYFUNCTION("""COMPUTED_VALUE"""),"RUN-ABRM_2023-03-07_RFR-181")</f>
        <v>RUN-ABRM_2023-03-07_RFR-181</v>
      </c>
      <c r="C986" s="8">
        <f>VLOOKUP(B986,'Run Reconcile'!A$2:B3212,2,FALSE)</f>
        <v>44992</v>
      </c>
      <c r="D986" s="12">
        <f>IFERROR(__xludf.DUMMYFUNCTION("""COMPUTED_VALUE"""),44992.0)</f>
        <v>44992</v>
      </c>
      <c r="E986" s="13">
        <f>IFERROR(__xludf.DUMMYFUNCTION("""COMPUTED_VALUE"""),0.3131944444430701)</f>
        <v>0.3131944444</v>
      </c>
      <c r="F986" s="7" t="str">
        <f>IFERROR(__xludf.DUMMYFUNCTION("""COMPUTED_VALUE"""),"Negative")</f>
        <v>Negative</v>
      </c>
      <c r="G986" s="7">
        <f>IFERROR(__xludf.DUMMYFUNCTION("""COMPUTED_VALUE"""),2.0)</f>
        <v>2</v>
      </c>
    </row>
    <row r="987">
      <c r="A987" s="7" t="str">
        <f>IFERROR(__xludf.DUMMYFUNCTION("""COMPUTED_VALUE"""),"AR615")</f>
        <v>AR615</v>
      </c>
      <c r="B987" s="7" t="str">
        <f>IFERROR(__xludf.DUMMYFUNCTION("""COMPUTED_VALUE"""),"RUN-ABRM_2023-03-07_RFR-181")</f>
        <v>RUN-ABRM_2023-03-07_RFR-181</v>
      </c>
      <c r="C987" s="8">
        <f>VLOOKUP(B987,'Run Reconcile'!A$2:B3212,2,FALSE)</f>
        <v>44992</v>
      </c>
      <c r="D987" s="12">
        <f>IFERROR(__xludf.DUMMYFUNCTION("""COMPUTED_VALUE"""),44992.0)</f>
        <v>44992</v>
      </c>
      <c r="E987" s="13">
        <f>IFERROR(__xludf.DUMMYFUNCTION("""COMPUTED_VALUE"""),0.32115740740846377)</f>
        <v>0.3211574074</v>
      </c>
      <c r="F987" s="7" t="str">
        <f>IFERROR(__xludf.DUMMYFUNCTION("""COMPUTED_VALUE"""),"Negative")</f>
        <v>Negative</v>
      </c>
      <c r="G987" s="7">
        <f>IFERROR(__xludf.DUMMYFUNCTION("""COMPUTED_VALUE"""),1.0)</f>
        <v>1</v>
      </c>
    </row>
    <row r="988">
      <c r="A988" s="7" t="str">
        <f>IFERROR(__xludf.DUMMYFUNCTION("""COMPUTED_VALUE"""),"AR1535")</f>
        <v>AR1535</v>
      </c>
      <c r="B988" s="7" t="str">
        <f>IFERROR(__xludf.DUMMYFUNCTION("""COMPUTED_VALUE"""),"RUN-ABRM_2023-03-07_RFR-181")</f>
        <v>RUN-ABRM_2023-03-07_RFR-181</v>
      </c>
      <c r="C988" s="8">
        <f>VLOOKUP(B988,'Run Reconcile'!A$2:B3212,2,FALSE)</f>
        <v>44992</v>
      </c>
      <c r="D988" s="12">
        <f>IFERROR(__xludf.DUMMYFUNCTION("""COMPUTED_VALUE"""),44992.0)</f>
        <v>44992</v>
      </c>
      <c r="E988" s="13">
        <f>IFERROR(__xludf.DUMMYFUNCTION("""COMPUTED_VALUE"""),0.32178240740904585)</f>
        <v>0.3217824074</v>
      </c>
      <c r="F988" s="7" t="str">
        <f>IFERROR(__xludf.DUMMYFUNCTION("""COMPUTED_VALUE"""),"Negative")</f>
        <v>Negative</v>
      </c>
      <c r="G988" s="7">
        <f>IFERROR(__xludf.DUMMYFUNCTION("""COMPUTED_VALUE"""),1.0)</f>
        <v>1</v>
      </c>
    </row>
    <row r="989">
      <c r="A989" s="7" t="str">
        <f>IFERROR(__xludf.DUMMYFUNCTION("""COMPUTED_VALUE"""),"AR345")</f>
        <v>AR345</v>
      </c>
      <c r="B989" s="7" t="str">
        <f>IFERROR(__xludf.DUMMYFUNCTION("""COMPUTED_VALUE"""),"RUN-ABRM_2023-03-07_RFR-181")</f>
        <v>RUN-ABRM_2023-03-07_RFR-181</v>
      </c>
      <c r="C989" s="8">
        <f>VLOOKUP(B989,'Run Reconcile'!A$2:B3212,2,FALSE)</f>
        <v>44992</v>
      </c>
      <c r="D989" s="12">
        <f>IFERROR(__xludf.DUMMYFUNCTION("""COMPUTED_VALUE"""),44992.0)</f>
        <v>44992</v>
      </c>
      <c r="E989" s="13">
        <f>IFERROR(__xludf.DUMMYFUNCTION("""COMPUTED_VALUE"""),0.3290740740740148)</f>
        <v>0.3290740741</v>
      </c>
      <c r="F989" s="7" t="str">
        <f>IFERROR(__xludf.DUMMYFUNCTION("""COMPUTED_VALUE"""),"Negative")</f>
        <v>Negative</v>
      </c>
      <c r="G989" s="7">
        <f>IFERROR(__xludf.DUMMYFUNCTION("""COMPUTED_VALUE"""),3.0)</f>
        <v>3</v>
      </c>
    </row>
    <row r="990">
      <c r="A990" s="7" t="str">
        <f>IFERROR(__xludf.DUMMYFUNCTION("""COMPUTED_VALUE"""),"AK9866")</f>
        <v>AK9866</v>
      </c>
      <c r="B990" s="7" t="str">
        <f>IFERROR(__xludf.DUMMYFUNCTION("""COMPUTED_VALUE"""),"RUN-ABRM_2023-03-07_RFR-181")</f>
        <v>RUN-ABRM_2023-03-07_RFR-181</v>
      </c>
      <c r="C990" s="8">
        <f>VLOOKUP(B990,'Run Reconcile'!A$2:B3212,2,FALSE)</f>
        <v>44992</v>
      </c>
      <c r="D990" s="12">
        <f>IFERROR(__xludf.DUMMYFUNCTION("""COMPUTED_VALUE"""),44992.0)</f>
        <v>44992</v>
      </c>
      <c r="E990" s="13">
        <f>IFERROR(__xludf.DUMMYFUNCTION("""COMPUTED_VALUE"""),0.3518865740734327)</f>
        <v>0.3518865741</v>
      </c>
      <c r="F990" s="7" t="str">
        <f>IFERROR(__xludf.DUMMYFUNCTION("""COMPUTED_VALUE"""),"Negative")</f>
        <v>Negative</v>
      </c>
      <c r="G990" s="7">
        <f>IFERROR(__xludf.DUMMYFUNCTION("""COMPUTED_VALUE"""),3.0)</f>
        <v>3</v>
      </c>
    </row>
    <row r="991">
      <c r="A991" s="7" t="str">
        <f>IFERROR(__xludf.DUMMYFUNCTION("""COMPUTED_VALUE"""),"AR1192")</f>
        <v>AR1192</v>
      </c>
      <c r="B991" s="7" t="str">
        <f>IFERROR(__xludf.DUMMYFUNCTION("""COMPUTED_VALUE"""),"RUN-ABRM_2023-03-08_RFR-182")</f>
        <v>RUN-ABRM_2023-03-08_RFR-182</v>
      </c>
      <c r="C991" s="8">
        <f>VLOOKUP(B991,'Run Reconcile'!A$2:B3212,2,FALSE)</f>
        <v>44993</v>
      </c>
      <c r="D991" s="12">
        <f>IFERROR(__xludf.DUMMYFUNCTION("""COMPUTED_VALUE"""),44993.0)</f>
        <v>44993</v>
      </c>
      <c r="E991" s="13">
        <f>IFERROR(__xludf.DUMMYFUNCTION("""COMPUTED_VALUE"""),0.2553819444437977)</f>
        <v>0.2553819444</v>
      </c>
      <c r="F991" s="7" t="str">
        <f>IFERROR(__xludf.DUMMYFUNCTION("""COMPUTED_VALUE"""),"Negative")</f>
        <v>Negative</v>
      </c>
      <c r="G991" s="7">
        <f>IFERROR(__xludf.DUMMYFUNCTION("""COMPUTED_VALUE"""),3.0)</f>
        <v>3</v>
      </c>
    </row>
    <row r="992">
      <c r="A992" s="7" t="str">
        <f>IFERROR(__xludf.DUMMYFUNCTION("""COMPUTED_VALUE"""),"AR1248")</f>
        <v>AR1248</v>
      </c>
      <c r="B992" s="7" t="str">
        <f>IFERROR(__xludf.DUMMYFUNCTION("""COMPUTED_VALUE"""),"RUN-ABRM_2023-03-08_RFR-182")</f>
        <v>RUN-ABRM_2023-03-08_RFR-182</v>
      </c>
      <c r="C992" s="8">
        <f>VLOOKUP(B992,'Run Reconcile'!A$2:B3212,2,FALSE)</f>
        <v>44993</v>
      </c>
      <c r="D992" s="12">
        <f>IFERROR(__xludf.DUMMYFUNCTION("""COMPUTED_VALUE"""),44993.0)</f>
        <v>44993</v>
      </c>
      <c r="E992" s="13">
        <f>IFERROR(__xludf.DUMMYFUNCTION("""COMPUTED_VALUE"""),0.2667245370357705)</f>
        <v>0.266724537</v>
      </c>
      <c r="F992" s="7" t="str">
        <f>IFERROR(__xludf.DUMMYFUNCTION("""COMPUTED_VALUE"""),"Negative")</f>
        <v>Negative</v>
      </c>
      <c r="G992" s="7">
        <f>IFERROR(__xludf.DUMMYFUNCTION("""COMPUTED_VALUE"""),3.0)</f>
        <v>3</v>
      </c>
    </row>
    <row r="993">
      <c r="A993" s="7" t="str">
        <f>IFERROR(__xludf.DUMMYFUNCTION("""COMPUTED_VALUE"""),"AR1376")</f>
        <v>AR1376</v>
      </c>
      <c r="B993" s="7" t="str">
        <f>IFERROR(__xludf.DUMMYFUNCTION("""COMPUTED_VALUE"""),"RUN-ABRM_2023-03-08_RFR-182")</f>
        <v>RUN-ABRM_2023-03-08_RFR-182</v>
      </c>
      <c r="C993" s="8">
        <f>VLOOKUP(B993,'Run Reconcile'!A$2:B3212,2,FALSE)</f>
        <v>44993</v>
      </c>
      <c r="D993" s="12">
        <f>IFERROR(__xludf.DUMMYFUNCTION("""COMPUTED_VALUE"""),44993.0)</f>
        <v>44993</v>
      </c>
      <c r="E993" s="13">
        <f>IFERROR(__xludf.DUMMYFUNCTION("""COMPUTED_VALUE"""),0.28421296296437504)</f>
        <v>0.284212963</v>
      </c>
      <c r="F993" s="7" t="str">
        <f>IFERROR(__xludf.DUMMYFUNCTION("""COMPUTED_VALUE"""),"Negative")</f>
        <v>Negative</v>
      </c>
      <c r="G993" s="7">
        <f>IFERROR(__xludf.DUMMYFUNCTION("""COMPUTED_VALUE"""),3.0)</f>
        <v>3</v>
      </c>
    </row>
    <row r="994">
      <c r="A994" s="7" t="str">
        <f>IFERROR(__xludf.DUMMYFUNCTION("""COMPUTED_VALUE"""),"AK9879")</f>
        <v>AK9879</v>
      </c>
      <c r="B994" s="7" t="str">
        <f>IFERROR(__xludf.DUMMYFUNCTION("""COMPUTED_VALUE"""),"RUN-ABRM_2023-03-08_RFR-182")</f>
        <v>RUN-ABRM_2023-03-08_RFR-182</v>
      </c>
      <c r="C994" s="8">
        <f>VLOOKUP(B994,'Run Reconcile'!A$2:B3212,2,FALSE)</f>
        <v>44993</v>
      </c>
      <c r="D994" s="12">
        <f>IFERROR(__xludf.DUMMYFUNCTION("""COMPUTED_VALUE"""),44993.0)</f>
        <v>44993</v>
      </c>
      <c r="E994" s="13">
        <f>IFERROR(__xludf.DUMMYFUNCTION("""COMPUTED_VALUE"""),0.2907407407401479)</f>
        <v>0.2907407407</v>
      </c>
      <c r="F994" s="7" t="str">
        <f>IFERROR(__xludf.DUMMYFUNCTION("""COMPUTED_VALUE"""),"Negative")</f>
        <v>Negative</v>
      </c>
      <c r="G994" s="7">
        <f>IFERROR(__xludf.DUMMYFUNCTION("""COMPUTED_VALUE"""),3.0)</f>
        <v>3</v>
      </c>
    </row>
    <row r="995">
      <c r="A995" s="7" t="str">
        <f>IFERROR(__xludf.DUMMYFUNCTION("""COMPUTED_VALUE"""),"AR1080")</f>
        <v>AR1080</v>
      </c>
      <c r="B995" s="7" t="str">
        <f>IFERROR(__xludf.DUMMYFUNCTION("""COMPUTED_VALUE"""),"RUN-ABRM_2023-03-08_RFR-182")</f>
        <v>RUN-ABRM_2023-03-08_RFR-182</v>
      </c>
      <c r="C995" s="8">
        <f>VLOOKUP(B995,'Run Reconcile'!A$2:B3212,2,FALSE)</f>
        <v>44993</v>
      </c>
      <c r="D995" s="12">
        <f>IFERROR(__xludf.DUMMYFUNCTION("""COMPUTED_VALUE"""),44993.0)</f>
        <v>44993</v>
      </c>
      <c r="E995" s="13">
        <f>IFERROR(__xludf.DUMMYFUNCTION("""COMPUTED_VALUE"""),0.29554398148320615)</f>
        <v>0.2955439815</v>
      </c>
      <c r="F995" s="7" t="str">
        <f>IFERROR(__xludf.DUMMYFUNCTION("""COMPUTED_VALUE"""),"Negative")</f>
        <v>Negative</v>
      </c>
      <c r="G995" s="7">
        <f>IFERROR(__xludf.DUMMYFUNCTION("""COMPUTED_VALUE"""),3.0)</f>
        <v>3</v>
      </c>
    </row>
    <row r="996">
      <c r="A996" s="7" t="str">
        <f>IFERROR(__xludf.DUMMYFUNCTION("""COMPUTED_VALUE"""),"AR1124")</f>
        <v>AR1124</v>
      </c>
      <c r="B996" s="7" t="str">
        <f>IFERROR(__xludf.DUMMYFUNCTION("""COMPUTED_VALUE"""),"RUN-ABRM_2023-03-08_RFR-182")</f>
        <v>RUN-ABRM_2023-03-08_RFR-182</v>
      </c>
      <c r="C996" s="8">
        <f>VLOOKUP(B996,'Run Reconcile'!A$2:B3212,2,FALSE)</f>
        <v>44993</v>
      </c>
      <c r="D996" s="12">
        <f>IFERROR(__xludf.DUMMYFUNCTION("""COMPUTED_VALUE"""),44993.0)</f>
        <v>44993</v>
      </c>
      <c r="E996" s="13">
        <f>IFERROR(__xludf.DUMMYFUNCTION("""COMPUTED_VALUE"""),0.2991666666675883)</f>
        <v>0.2991666667</v>
      </c>
      <c r="F996" s="7" t="str">
        <f>IFERROR(__xludf.DUMMYFUNCTION("""COMPUTED_VALUE"""),"Negative")</f>
        <v>Negative</v>
      </c>
      <c r="G996" s="7">
        <f>IFERROR(__xludf.DUMMYFUNCTION("""COMPUTED_VALUE"""),1.0)</f>
        <v>1</v>
      </c>
    </row>
    <row r="997">
      <c r="A997" s="7" t="str">
        <f>IFERROR(__xludf.DUMMYFUNCTION("""COMPUTED_VALUE"""),"AR1228")</f>
        <v>AR1228</v>
      </c>
      <c r="B997" s="7" t="str">
        <f>IFERROR(__xludf.DUMMYFUNCTION("""COMPUTED_VALUE"""),"RUN-ABRM_2023-03-08_RFR-182")</f>
        <v>RUN-ABRM_2023-03-08_RFR-182</v>
      </c>
      <c r="C997" s="8">
        <f>VLOOKUP(B997,'Run Reconcile'!A$2:B3212,2,FALSE)</f>
        <v>44993</v>
      </c>
      <c r="D997" s="12">
        <f>IFERROR(__xludf.DUMMYFUNCTION("""COMPUTED_VALUE"""),44993.0)</f>
        <v>44993</v>
      </c>
      <c r="E997" s="13">
        <f>IFERROR(__xludf.DUMMYFUNCTION("""COMPUTED_VALUE"""),0.31549768518380006)</f>
        <v>0.3154976852</v>
      </c>
      <c r="F997" s="7" t="str">
        <f>IFERROR(__xludf.DUMMYFUNCTION("""COMPUTED_VALUE"""),"Negative")</f>
        <v>Negative</v>
      </c>
      <c r="G997" s="7">
        <f>IFERROR(__xludf.DUMMYFUNCTION("""COMPUTED_VALUE"""),2.0)</f>
        <v>2</v>
      </c>
    </row>
    <row r="998">
      <c r="A998" s="7" t="str">
        <f>IFERROR(__xludf.DUMMYFUNCTION("""COMPUTED_VALUE"""),"AH556")</f>
        <v>AH556</v>
      </c>
      <c r="B998" s="7" t="str">
        <f>IFERROR(__xludf.DUMMYFUNCTION("""COMPUTED_VALUE"""),"RUN-ABRM_2023-03-08_RFR-182")</f>
        <v>RUN-ABRM_2023-03-08_RFR-182</v>
      </c>
      <c r="C998" s="8">
        <f>VLOOKUP(B998,'Run Reconcile'!A$2:B3212,2,FALSE)</f>
        <v>44993</v>
      </c>
      <c r="D998" s="12">
        <f>IFERROR(__xludf.DUMMYFUNCTION("""COMPUTED_VALUE"""),44993.0)</f>
        <v>44993</v>
      </c>
      <c r="E998" s="13">
        <f>IFERROR(__xludf.DUMMYFUNCTION("""COMPUTED_VALUE"""),0.32410879629605915)</f>
        <v>0.3241087963</v>
      </c>
      <c r="F998" s="7" t="str">
        <f>IFERROR(__xludf.DUMMYFUNCTION("""COMPUTED_VALUE"""),"Negative")</f>
        <v>Negative</v>
      </c>
      <c r="G998" s="7">
        <f>IFERROR(__xludf.DUMMYFUNCTION("""COMPUTED_VALUE"""),2.0)</f>
        <v>2</v>
      </c>
    </row>
    <row r="999">
      <c r="A999" s="7" t="str">
        <f>IFERROR(__xludf.DUMMYFUNCTION("""COMPUTED_VALUE"""),"AR317")</f>
        <v>AR317</v>
      </c>
      <c r="B999" s="7" t="str">
        <f>IFERROR(__xludf.DUMMYFUNCTION("""COMPUTED_VALUE"""),"RUN-ABRM_2023-03-08_RFR-182")</f>
        <v>RUN-ABRM_2023-03-08_RFR-182</v>
      </c>
      <c r="C999" s="8">
        <f>VLOOKUP(B999,'Run Reconcile'!A$2:B3212,2,FALSE)</f>
        <v>44993</v>
      </c>
      <c r="D999" s="12">
        <f>IFERROR(__xludf.DUMMYFUNCTION("""COMPUTED_VALUE"""),44993.0)</f>
        <v>44993</v>
      </c>
      <c r="E999" s="13">
        <f>IFERROR(__xludf.DUMMYFUNCTION("""COMPUTED_VALUE"""),0.3348032407411665)</f>
        <v>0.3348032407</v>
      </c>
      <c r="F999" s="7" t="str">
        <f>IFERROR(__xludf.DUMMYFUNCTION("""COMPUTED_VALUE"""),"Negative")</f>
        <v>Negative</v>
      </c>
      <c r="G999" s="7">
        <f>IFERROR(__xludf.DUMMYFUNCTION("""COMPUTED_VALUE"""),4.0)</f>
        <v>4</v>
      </c>
    </row>
    <row r="1000">
      <c r="A1000" s="7" t="str">
        <f>IFERROR(__xludf.DUMMYFUNCTION("""COMPUTED_VALUE"""),"AR733")</f>
        <v>AR733</v>
      </c>
      <c r="B1000" s="7" t="str">
        <f>IFERROR(__xludf.DUMMYFUNCTION("""COMPUTED_VALUE"""),"RUN-ABRM_2023-03-08_RFR-182")</f>
        <v>RUN-ABRM_2023-03-08_RFR-182</v>
      </c>
      <c r="C1000" s="8">
        <f>VLOOKUP(B1000,'Run Reconcile'!A$2:B3212,2,FALSE)</f>
        <v>44993</v>
      </c>
      <c r="D1000" s="12">
        <f>IFERROR(__xludf.DUMMYFUNCTION("""COMPUTED_VALUE"""),44993.0)</f>
        <v>44993</v>
      </c>
      <c r="E1000" s="13">
        <f>IFERROR(__xludf.DUMMYFUNCTION("""COMPUTED_VALUE"""),0.3352083333338669)</f>
        <v>0.3352083333</v>
      </c>
      <c r="F1000" s="7" t="str">
        <f>IFERROR(__xludf.DUMMYFUNCTION("""COMPUTED_VALUE"""),"Negative")</f>
        <v>Negative</v>
      </c>
      <c r="G1000" s="7">
        <f>IFERROR(__xludf.DUMMYFUNCTION("""COMPUTED_VALUE"""),3.0)</f>
        <v>3</v>
      </c>
    </row>
    <row r="1001">
      <c r="A1001" s="7" t="str">
        <f>IFERROR(__xludf.DUMMYFUNCTION("""COMPUTED_VALUE"""),"AB9823")</f>
        <v>AB9823</v>
      </c>
      <c r="B1001" s="7" t="str">
        <f>IFERROR(__xludf.DUMMYFUNCTION("""COMPUTED_VALUE"""),"RUN-ABRM_2023-03-08_RFR-182")</f>
        <v>RUN-ABRM_2023-03-08_RFR-182</v>
      </c>
      <c r="C1001" s="8">
        <f>VLOOKUP(B1001,'Run Reconcile'!A$2:B3212,2,FALSE)</f>
        <v>44993</v>
      </c>
      <c r="D1001" s="12">
        <f>IFERROR(__xludf.DUMMYFUNCTION("""COMPUTED_VALUE"""),44993.0)</f>
        <v>44993</v>
      </c>
      <c r="E1001" s="13">
        <f>IFERROR(__xludf.DUMMYFUNCTION("""COMPUTED_VALUE"""),0.33523148148015025)</f>
        <v>0.3352314815</v>
      </c>
      <c r="F1001" s="7" t="str">
        <f>IFERROR(__xludf.DUMMYFUNCTION("""COMPUTED_VALUE"""),"Negative")</f>
        <v>Negative</v>
      </c>
      <c r="G1001" s="7">
        <f>IFERROR(__xludf.DUMMYFUNCTION("""COMPUTED_VALUE"""),1.0)</f>
        <v>1</v>
      </c>
    </row>
    <row r="1002">
      <c r="A1002" s="7" t="str">
        <f>IFERROR(__xludf.DUMMYFUNCTION("""COMPUTED_VALUE"""),"AB9686")</f>
        <v>AB9686</v>
      </c>
      <c r="B1002" s="7" t="str">
        <f>IFERROR(__xludf.DUMMYFUNCTION("""COMPUTED_VALUE"""),"RUN-ABRM_2023-03-09_RFR-184")</f>
        <v>RUN-ABRM_2023-03-09_RFR-184</v>
      </c>
      <c r="C1002" s="8">
        <f>VLOOKUP(B1002,'Run Reconcile'!A$2:B3212,2,FALSE)</f>
        <v>44994</v>
      </c>
      <c r="D1002" s="12">
        <f>IFERROR(__xludf.DUMMYFUNCTION("""COMPUTED_VALUE"""),44994.0)</f>
        <v>44994</v>
      </c>
      <c r="E1002" s="13">
        <f>IFERROR(__xludf.DUMMYFUNCTION("""COMPUTED_VALUE"""),0.28962962963123573)</f>
        <v>0.2896296296</v>
      </c>
      <c r="F1002" s="7" t="str">
        <f>IFERROR(__xludf.DUMMYFUNCTION("""COMPUTED_VALUE"""),"Negative")</f>
        <v>Negative</v>
      </c>
      <c r="G1002" s="7">
        <f>IFERROR(__xludf.DUMMYFUNCTION("""COMPUTED_VALUE"""),3.0)</f>
        <v>3</v>
      </c>
    </row>
    <row r="1003">
      <c r="A1003" s="7" t="str">
        <f>IFERROR(__xludf.DUMMYFUNCTION("""COMPUTED_VALUE"""),"AR966")</f>
        <v>AR966</v>
      </c>
      <c r="B1003" s="7" t="str">
        <f>IFERROR(__xludf.DUMMYFUNCTION("""COMPUTED_VALUE"""),"RUN-ABRM_2023-03-09_RFR-184")</f>
        <v>RUN-ABRM_2023-03-09_RFR-184</v>
      </c>
      <c r="C1003" s="8">
        <f>VLOOKUP(B1003,'Run Reconcile'!A$2:B3212,2,FALSE)</f>
        <v>44994</v>
      </c>
      <c r="D1003" s="12">
        <f>IFERROR(__xludf.DUMMYFUNCTION("""COMPUTED_VALUE"""),44994.0)</f>
        <v>44994</v>
      </c>
      <c r="E1003" s="13">
        <f>IFERROR(__xludf.DUMMYFUNCTION("""COMPUTED_VALUE"""),0.2951620370367891)</f>
        <v>0.295162037</v>
      </c>
      <c r="F1003" s="7" t="str">
        <f>IFERROR(__xludf.DUMMYFUNCTION("""COMPUTED_VALUE"""),"Negative")</f>
        <v>Negative</v>
      </c>
      <c r="G1003" s="7">
        <f>IFERROR(__xludf.DUMMYFUNCTION("""COMPUTED_VALUE"""),4.0)</f>
        <v>4</v>
      </c>
    </row>
    <row r="1004">
      <c r="A1004" s="7" t="str">
        <f>IFERROR(__xludf.DUMMYFUNCTION("""COMPUTED_VALUE"""),"AR1010")</f>
        <v>AR1010</v>
      </c>
      <c r="B1004" s="7" t="str">
        <f>IFERROR(__xludf.DUMMYFUNCTION("""COMPUTED_VALUE"""),"RUN-ABRM_2023-03-09_RFR-184")</f>
        <v>RUN-ABRM_2023-03-09_RFR-184</v>
      </c>
      <c r="C1004" s="8">
        <f>VLOOKUP(B1004,'Run Reconcile'!A$2:B3212,2,FALSE)</f>
        <v>44994</v>
      </c>
      <c r="D1004" s="12">
        <f>IFERROR(__xludf.DUMMYFUNCTION("""COMPUTED_VALUE"""),44994.0)</f>
        <v>44994</v>
      </c>
      <c r="E1004" s="13">
        <f>IFERROR(__xludf.DUMMYFUNCTION("""COMPUTED_VALUE"""),0.3032291666677338)</f>
        <v>0.3032291667</v>
      </c>
      <c r="F1004" s="7" t="str">
        <f>IFERROR(__xludf.DUMMYFUNCTION("""COMPUTED_VALUE"""),"Negative")</f>
        <v>Negative</v>
      </c>
      <c r="G1004" s="7">
        <f>IFERROR(__xludf.DUMMYFUNCTION("""COMPUTED_VALUE"""),3.0)</f>
        <v>3</v>
      </c>
    </row>
    <row r="1005">
      <c r="A1005" s="7" t="str">
        <f>IFERROR(__xludf.DUMMYFUNCTION("""COMPUTED_VALUE"""),"AR1447")</f>
        <v>AR1447</v>
      </c>
      <c r="B1005" s="7" t="str">
        <f>IFERROR(__xludf.DUMMYFUNCTION("""COMPUTED_VALUE"""),"RUN-ABRM_2023-03-09_RFR-184")</f>
        <v>RUN-ABRM_2023-03-09_RFR-184</v>
      </c>
      <c r="C1005" s="8">
        <f>VLOOKUP(B1005,'Run Reconcile'!A$2:B3212,2,FALSE)</f>
        <v>44994</v>
      </c>
      <c r="D1005" s="12">
        <f>IFERROR(__xludf.DUMMYFUNCTION("""COMPUTED_VALUE"""),44994.0)</f>
        <v>44994</v>
      </c>
      <c r="E1005" s="13">
        <f>IFERROR(__xludf.DUMMYFUNCTION("""COMPUTED_VALUE"""),0.3225578703713836)</f>
        <v>0.3225578704</v>
      </c>
      <c r="F1005" s="7" t="str">
        <f>IFERROR(__xludf.DUMMYFUNCTION("""COMPUTED_VALUE"""),"Negative")</f>
        <v>Negative</v>
      </c>
      <c r="G1005" s="7">
        <f>IFERROR(__xludf.DUMMYFUNCTION("""COMPUTED_VALUE"""),1.0)</f>
        <v>1</v>
      </c>
    </row>
    <row r="1006">
      <c r="A1006" s="7" t="str">
        <f>IFERROR(__xludf.DUMMYFUNCTION("""COMPUTED_VALUE"""),"AR967")</f>
        <v>AR967</v>
      </c>
      <c r="B1006" s="7" t="str">
        <f>IFERROR(__xludf.DUMMYFUNCTION("""COMPUTED_VALUE"""),"RUN-ABRM_2023-03-09_RFR-184")</f>
        <v>RUN-ABRM_2023-03-09_RFR-184</v>
      </c>
      <c r="C1006" s="8">
        <f>VLOOKUP(B1006,'Run Reconcile'!A$2:B3212,2,FALSE)</f>
        <v>44994</v>
      </c>
      <c r="D1006" s="12">
        <f>IFERROR(__xludf.DUMMYFUNCTION("""COMPUTED_VALUE"""),44994.0)</f>
        <v>44994</v>
      </c>
      <c r="E1006" s="13">
        <f>IFERROR(__xludf.DUMMYFUNCTION("""COMPUTED_VALUE"""),0.3325578703697829)</f>
        <v>0.3325578704</v>
      </c>
      <c r="F1006" s="7" t="str">
        <f>IFERROR(__xludf.DUMMYFUNCTION("""COMPUTED_VALUE"""),"Negative")</f>
        <v>Negative</v>
      </c>
      <c r="G1006" s="7">
        <f>IFERROR(__xludf.DUMMYFUNCTION("""COMPUTED_VALUE"""),2.0)</f>
        <v>2</v>
      </c>
    </row>
    <row r="1007">
      <c r="A1007" s="7" t="str">
        <f>IFERROR(__xludf.DUMMYFUNCTION("""COMPUTED_VALUE"""),"AR1399")</f>
        <v>AR1399</v>
      </c>
      <c r="B1007" s="7" t="str">
        <f>IFERROR(__xludf.DUMMYFUNCTION("""COMPUTED_VALUE"""),"RUN-ABRM_2023-03-09_RFR-184")</f>
        <v>RUN-ABRM_2023-03-09_RFR-184</v>
      </c>
      <c r="C1007" s="8">
        <f>VLOOKUP(B1007,'Run Reconcile'!A$2:B3212,2,FALSE)</f>
        <v>44994</v>
      </c>
      <c r="D1007" s="12">
        <f>IFERROR(__xludf.DUMMYFUNCTION("""COMPUTED_VALUE"""),44994.0)</f>
        <v>44994</v>
      </c>
      <c r="E1007" s="13">
        <f>IFERROR(__xludf.DUMMYFUNCTION("""COMPUTED_VALUE"""),0.3328125000007276)</f>
        <v>0.3328125</v>
      </c>
      <c r="F1007" s="7" t="str">
        <f>IFERROR(__xludf.DUMMYFUNCTION("""COMPUTED_VALUE"""),"Negative")</f>
        <v>Negative</v>
      </c>
      <c r="G1007" s="7">
        <f>IFERROR(__xludf.DUMMYFUNCTION("""COMPUTED_VALUE"""),1.0)</f>
        <v>1</v>
      </c>
    </row>
    <row r="1008">
      <c r="A1008" s="7" t="str">
        <f>IFERROR(__xludf.DUMMYFUNCTION("""COMPUTED_VALUE"""),"AR666")</f>
        <v>AR666</v>
      </c>
      <c r="B1008" s="7" t="str">
        <f>IFERROR(__xludf.DUMMYFUNCTION("""COMPUTED_VALUE"""),"RUN-ABRM_2023-03-09_RFR-184")</f>
        <v>RUN-ABRM_2023-03-09_RFR-184</v>
      </c>
      <c r="C1008" s="8">
        <f>VLOOKUP(B1008,'Run Reconcile'!A$2:B3212,2,FALSE)</f>
        <v>44994</v>
      </c>
      <c r="D1008" s="12">
        <f>IFERROR(__xludf.DUMMYFUNCTION("""COMPUTED_VALUE"""),44994.0)</f>
        <v>44994</v>
      </c>
      <c r="E1008" s="13">
        <f>IFERROR(__xludf.DUMMYFUNCTION("""COMPUTED_VALUE"""),0.3331018518510973)</f>
        <v>0.3331018519</v>
      </c>
      <c r="F1008" s="7" t="str">
        <f>IFERROR(__xludf.DUMMYFUNCTION("""COMPUTED_VALUE"""),"Negative")</f>
        <v>Negative</v>
      </c>
      <c r="G1008" s="7">
        <f>IFERROR(__xludf.DUMMYFUNCTION("""COMPUTED_VALUE"""),3.0)</f>
        <v>3</v>
      </c>
    </row>
    <row r="1009">
      <c r="A1009" s="7" t="str">
        <f>IFERROR(__xludf.DUMMYFUNCTION("""COMPUTED_VALUE"""),"AR212")</f>
        <v>AR212</v>
      </c>
      <c r="B1009" s="7" t="str">
        <f>IFERROR(__xludf.DUMMYFUNCTION("""COMPUTED_VALUE"""),"RUN-ABRM_2023-03-09_RFR-184")</f>
        <v>RUN-ABRM_2023-03-09_RFR-184</v>
      </c>
      <c r="C1009" s="8">
        <f>VLOOKUP(B1009,'Run Reconcile'!A$2:B3212,2,FALSE)</f>
        <v>44994</v>
      </c>
      <c r="D1009" s="12">
        <f>IFERROR(__xludf.DUMMYFUNCTION("""COMPUTED_VALUE"""),44994.0)</f>
        <v>44994</v>
      </c>
      <c r="E1009" s="13">
        <f>IFERROR(__xludf.DUMMYFUNCTION("""COMPUTED_VALUE"""),0.3368171296278888)</f>
        <v>0.3368171296</v>
      </c>
      <c r="F1009" s="7" t="str">
        <f>IFERROR(__xludf.DUMMYFUNCTION("""COMPUTED_VALUE"""),"Negative")</f>
        <v>Negative</v>
      </c>
      <c r="G1009" s="7">
        <f>IFERROR(__xludf.DUMMYFUNCTION("""COMPUTED_VALUE"""),2.0)</f>
        <v>2</v>
      </c>
    </row>
    <row r="1010">
      <c r="A1010" s="7" t="str">
        <f>IFERROR(__xludf.DUMMYFUNCTION("""COMPUTED_VALUE"""),"AR1233")</f>
        <v>AR1233</v>
      </c>
      <c r="B1010" s="7" t="str">
        <f>IFERROR(__xludf.DUMMYFUNCTION("""COMPUTED_VALUE"""),"RUN-ABRM_2023-03-10_RFR-186")</f>
        <v>RUN-ABRM_2023-03-10_RFR-186</v>
      </c>
      <c r="C1010" s="8">
        <f>VLOOKUP(B1010,'Run Reconcile'!A$2:B3212,2,FALSE)</f>
        <v>44995</v>
      </c>
      <c r="D1010" s="12">
        <f>IFERROR(__xludf.DUMMYFUNCTION("""COMPUTED_VALUE"""),44995.0)</f>
        <v>44995</v>
      </c>
      <c r="E1010" s="13">
        <f>IFERROR(__xludf.DUMMYFUNCTION("""COMPUTED_VALUE"""),0.2759374999986903)</f>
        <v>0.2759375</v>
      </c>
      <c r="F1010" s="7" t="str">
        <f>IFERROR(__xludf.DUMMYFUNCTION("""COMPUTED_VALUE"""),"Negative")</f>
        <v>Negative</v>
      </c>
      <c r="G1010" s="7">
        <f>IFERROR(__xludf.DUMMYFUNCTION("""COMPUTED_VALUE"""),3.0)</f>
        <v>3</v>
      </c>
    </row>
    <row r="1011">
      <c r="A1011" s="7" t="str">
        <f>IFERROR(__xludf.DUMMYFUNCTION("""COMPUTED_VALUE"""),"AR1153")</f>
        <v>AR1153</v>
      </c>
      <c r="B1011" s="7" t="str">
        <f>IFERROR(__xludf.DUMMYFUNCTION("""COMPUTED_VALUE"""),"RUN-ABRM_2023-03-10_RFR-186")</f>
        <v>RUN-ABRM_2023-03-10_RFR-186</v>
      </c>
      <c r="C1011" s="8">
        <f>VLOOKUP(B1011,'Run Reconcile'!A$2:B3212,2,FALSE)</f>
        <v>44995</v>
      </c>
      <c r="D1011" s="12">
        <f>IFERROR(__xludf.DUMMYFUNCTION("""COMPUTED_VALUE"""),44995.0)</f>
        <v>44995</v>
      </c>
      <c r="E1011" s="13">
        <f>IFERROR(__xludf.DUMMYFUNCTION("""COMPUTED_VALUE"""),0.29006944444336114)</f>
        <v>0.2900694444</v>
      </c>
      <c r="F1011" s="7" t="str">
        <f>IFERROR(__xludf.DUMMYFUNCTION("""COMPUTED_VALUE"""),"Negative")</f>
        <v>Negative</v>
      </c>
      <c r="G1011" s="7">
        <f>IFERROR(__xludf.DUMMYFUNCTION("""COMPUTED_VALUE"""),3.0)</f>
        <v>3</v>
      </c>
    </row>
    <row r="1012">
      <c r="A1012" s="7" t="str">
        <f>IFERROR(__xludf.DUMMYFUNCTION("""COMPUTED_VALUE"""),"AR890")</f>
        <v>AR890</v>
      </c>
      <c r="B1012" s="7" t="str">
        <f>IFERROR(__xludf.DUMMYFUNCTION("""COMPUTED_VALUE"""),"RUN-ABRM_2023-03-10_RFR-186")</f>
        <v>RUN-ABRM_2023-03-10_RFR-186</v>
      </c>
      <c r="C1012" s="8">
        <f>VLOOKUP(B1012,'Run Reconcile'!A$2:B3212,2,FALSE)</f>
        <v>44995</v>
      </c>
      <c r="D1012" s="12">
        <f>IFERROR(__xludf.DUMMYFUNCTION("""COMPUTED_VALUE"""),44995.0)</f>
        <v>44995</v>
      </c>
      <c r="E1012" s="13">
        <f>IFERROR(__xludf.DUMMYFUNCTION("""COMPUTED_VALUE"""),0.2955787037026312)</f>
        <v>0.2955787037</v>
      </c>
      <c r="F1012" s="7" t="str">
        <f>IFERROR(__xludf.DUMMYFUNCTION("""COMPUTED_VALUE"""),"Negative")</f>
        <v>Negative</v>
      </c>
      <c r="G1012" s="7">
        <f>IFERROR(__xludf.DUMMYFUNCTION("""COMPUTED_VALUE"""),3.0)</f>
        <v>3</v>
      </c>
    </row>
    <row r="1013">
      <c r="A1013" s="7" t="str">
        <f>IFERROR(__xludf.DUMMYFUNCTION("""COMPUTED_VALUE"""),"AB9939")</f>
        <v>AB9939</v>
      </c>
      <c r="B1013" s="7" t="str">
        <f>IFERROR(__xludf.DUMMYFUNCTION("""COMPUTED_VALUE"""),"RUN-ABRM_2023-03-10_RFR-186")</f>
        <v>RUN-ABRM_2023-03-10_RFR-186</v>
      </c>
      <c r="C1013" s="8">
        <f>VLOOKUP(B1013,'Run Reconcile'!A$2:B3212,2,FALSE)</f>
        <v>44995</v>
      </c>
      <c r="D1013" s="12">
        <f>IFERROR(__xludf.DUMMYFUNCTION("""COMPUTED_VALUE"""),44995.0)</f>
        <v>44995</v>
      </c>
      <c r="E1013" s="13">
        <f>IFERROR(__xludf.DUMMYFUNCTION("""COMPUTED_VALUE"""),0.3064004629632109)</f>
        <v>0.306400463</v>
      </c>
      <c r="F1013" s="7" t="str">
        <f>IFERROR(__xludf.DUMMYFUNCTION("""COMPUTED_VALUE"""),"Negative")</f>
        <v>Negative</v>
      </c>
      <c r="G1013" s="7">
        <f>IFERROR(__xludf.DUMMYFUNCTION("""COMPUTED_VALUE"""),2.0)</f>
        <v>2</v>
      </c>
    </row>
    <row r="1014">
      <c r="A1014" s="7" t="str">
        <f>IFERROR(__xludf.DUMMYFUNCTION("""COMPUTED_VALUE"""),"AB9610")</f>
        <v>AB9610</v>
      </c>
      <c r="B1014" s="7" t="str">
        <f>IFERROR(__xludf.DUMMYFUNCTION("""COMPUTED_VALUE"""),"RUN-ABRM_2023-03-10_RFR-186")</f>
        <v>RUN-ABRM_2023-03-10_RFR-186</v>
      </c>
      <c r="C1014" s="8">
        <f>VLOOKUP(B1014,'Run Reconcile'!A$2:B3212,2,FALSE)</f>
        <v>44995</v>
      </c>
      <c r="D1014" s="12">
        <f>IFERROR(__xludf.DUMMYFUNCTION("""COMPUTED_VALUE"""),44995.0)</f>
        <v>44995</v>
      </c>
      <c r="E1014" s="13">
        <f>IFERROR(__xludf.DUMMYFUNCTION("""COMPUTED_VALUE"""),0.31688657407357823)</f>
        <v>0.3168865741</v>
      </c>
      <c r="F1014" s="7" t="str">
        <f>IFERROR(__xludf.DUMMYFUNCTION("""COMPUTED_VALUE"""),"Negative")</f>
        <v>Negative</v>
      </c>
      <c r="G1014" s="7">
        <f>IFERROR(__xludf.DUMMYFUNCTION("""COMPUTED_VALUE"""),1.0)</f>
        <v>1</v>
      </c>
    </row>
    <row r="1015">
      <c r="A1015" s="7" t="str">
        <f>IFERROR(__xludf.DUMMYFUNCTION("""COMPUTED_VALUE"""),"AK9750")</f>
        <v>AK9750</v>
      </c>
      <c r="B1015" s="7" t="str">
        <f>IFERROR(__xludf.DUMMYFUNCTION("""COMPUTED_VALUE"""),"RUN-ABRM_2023-03-10_RFR-186")</f>
        <v>RUN-ABRM_2023-03-10_RFR-186</v>
      </c>
      <c r="C1015" s="8">
        <f>VLOOKUP(B1015,'Run Reconcile'!A$2:B3212,2,FALSE)</f>
        <v>44995</v>
      </c>
      <c r="D1015" s="12">
        <f>IFERROR(__xludf.DUMMYFUNCTION("""COMPUTED_VALUE"""),44995.0)</f>
        <v>44995</v>
      </c>
      <c r="E1015" s="13">
        <f>IFERROR(__xludf.DUMMYFUNCTION("""COMPUTED_VALUE"""),0.33068287037167465)</f>
        <v>0.3306828704</v>
      </c>
      <c r="F1015" s="7" t="str">
        <f>IFERROR(__xludf.DUMMYFUNCTION("""COMPUTED_VALUE"""),"Negative")</f>
        <v>Negative</v>
      </c>
      <c r="G1015" s="7">
        <f>IFERROR(__xludf.DUMMYFUNCTION("""COMPUTED_VALUE"""),1.0)</f>
        <v>1</v>
      </c>
    </row>
    <row r="1016">
      <c r="A1016" s="7" t="str">
        <f>IFERROR(__xludf.DUMMYFUNCTION("""COMPUTED_VALUE"""),"AR1034")</f>
        <v>AR1034</v>
      </c>
      <c r="B1016" s="7" t="str">
        <f>IFERROR(__xludf.DUMMYFUNCTION("""COMPUTED_VALUE"""),"RUN-ABRM_2023-03-10_RFR-186")</f>
        <v>RUN-ABRM_2023-03-10_RFR-186</v>
      </c>
      <c r="C1016" s="8">
        <f>VLOOKUP(B1016,'Run Reconcile'!A$2:B3212,2,FALSE)</f>
        <v>44995</v>
      </c>
      <c r="D1016" s="12">
        <f>IFERROR(__xludf.DUMMYFUNCTION("""COMPUTED_VALUE"""),44995.0)</f>
        <v>44995</v>
      </c>
      <c r="E1016" s="13">
        <f>IFERROR(__xludf.DUMMYFUNCTION("""COMPUTED_VALUE"""),0.3318402777767915)</f>
        <v>0.3318402778</v>
      </c>
      <c r="F1016" s="7" t="str">
        <f>IFERROR(__xludf.DUMMYFUNCTION("""COMPUTED_VALUE"""),"Negative")</f>
        <v>Negative</v>
      </c>
      <c r="G1016" s="7">
        <f>IFERROR(__xludf.DUMMYFUNCTION("""COMPUTED_VALUE"""),3.0)</f>
        <v>3</v>
      </c>
    </row>
    <row r="1017">
      <c r="A1017" s="7" t="str">
        <f>IFERROR(__xludf.DUMMYFUNCTION("""COMPUTED_VALUE"""),"AK9699")</f>
        <v>AK9699</v>
      </c>
      <c r="B1017" s="7" t="str">
        <f>IFERROR(__xludf.DUMMYFUNCTION("""COMPUTED_VALUE"""),"RUN-ABRM_2023-03-10_RFR-186")</f>
        <v>RUN-ABRM_2023-03-10_RFR-186</v>
      </c>
      <c r="C1017" s="8">
        <f>VLOOKUP(B1017,'Run Reconcile'!A$2:B3212,2,FALSE)</f>
        <v>44995</v>
      </c>
      <c r="D1017" s="12">
        <f>IFERROR(__xludf.DUMMYFUNCTION("""COMPUTED_VALUE"""),44995.0)</f>
        <v>44995</v>
      </c>
      <c r="E1017" s="13">
        <f>IFERROR(__xludf.DUMMYFUNCTION("""COMPUTED_VALUE"""),0.34972222222131677)</f>
        <v>0.3497222222</v>
      </c>
      <c r="F1017" s="7" t="str">
        <f>IFERROR(__xludf.DUMMYFUNCTION("""COMPUTED_VALUE"""),"Negative")</f>
        <v>Negative</v>
      </c>
      <c r="G1017" s="7">
        <f>IFERROR(__xludf.DUMMYFUNCTION("""COMPUTED_VALUE"""),1.0)</f>
        <v>1</v>
      </c>
    </row>
    <row r="1018">
      <c r="A1018" s="7" t="str">
        <f>IFERROR(__xludf.DUMMYFUNCTION("""COMPUTED_VALUE"""),"AR801")</f>
        <v>AR801</v>
      </c>
      <c r="B1018" s="7" t="str">
        <f>IFERROR(__xludf.DUMMYFUNCTION("""COMPUTED_VALUE"""),"RUN-ABRM_2023-03-10_RFR-186")</f>
        <v>RUN-ABRM_2023-03-10_RFR-186</v>
      </c>
      <c r="C1018" s="8">
        <f>VLOOKUP(B1018,'Run Reconcile'!A$2:B3212,2,FALSE)</f>
        <v>44995</v>
      </c>
      <c r="D1018" s="12">
        <f>IFERROR(__xludf.DUMMYFUNCTION("""COMPUTED_VALUE"""),44995.0)</f>
        <v>44995</v>
      </c>
      <c r="E1018" s="13">
        <f>IFERROR(__xludf.DUMMYFUNCTION("""COMPUTED_VALUE"""),0.3518865740734327)</f>
        <v>0.3518865741</v>
      </c>
      <c r="F1018" s="7" t="str">
        <f>IFERROR(__xludf.DUMMYFUNCTION("""COMPUTED_VALUE"""),"Negative")</f>
        <v>Negative</v>
      </c>
      <c r="G1018" s="7">
        <f>IFERROR(__xludf.DUMMYFUNCTION("""COMPUTED_VALUE"""),1.0)</f>
        <v>1</v>
      </c>
    </row>
    <row r="1019">
      <c r="A1019" s="7" t="str">
        <f>IFERROR(__xludf.DUMMYFUNCTION("""COMPUTED_VALUE"""),"AR405")</f>
        <v>AR405</v>
      </c>
      <c r="B1019" s="7" t="str">
        <f>IFERROR(__xludf.DUMMYFUNCTION("""COMPUTED_VALUE"""),"RUN-ABRM_2023-03-10_RFR-186")</f>
        <v>RUN-ABRM_2023-03-10_RFR-186</v>
      </c>
      <c r="C1019" s="8">
        <f>VLOOKUP(B1019,'Run Reconcile'!A$2:B3212,2,FALSE)</f>
        <v>44995</v>
      </c>
      <c r="D1019" s="12">
        <f>IFERROR(__xludf.DUMMYFUNCTION("""COMPUTED_VALUE"""),44995.0)</f>
        <v>44995</v>
      </c>
      <c r="E1019" s="13">
        <f>IFERROR(__xludf.DUMMYFUNCTION("""COMPUTED_VALUE"""),0.35997685185066075)</f>
        <v>0.3599768519</v>
      </c>
      <c r="F1019" s="7" t="str">
        <f>IFERROR(__xludf.DUMMYFUNCTION("""COMPUTED_VALUE"""),"Negative")</f>
        <v>Negative</v>
      </c>
      <c r="G1019" s="7">
        <f>IFERROR(__xludf.DUMMYFUNCTION("""COMPUTED_VALUE"""),1.0)</f>
        <v>1</v>
      </c>
    </row>
    <row r="1020">
      <c r="A1020" s="7" t="str">
        <f>IFERROR(__xludf.DUMMYFUNCTION("""COMPUTED_VALUE"""),"AR1948")</f>
        <v>AR1948</v>
      </c>
      <c r="B1020" s="7" t="str">
        <f>IFERROR(__xludf.DUMMYFUNCTION("""COMPUTED_VALUE"""),"RUN-ABRM_2023-03-21_RFR-187")</f>
        <v>RUN-ABRM_2023-03-21_RFR-187</v>
      </c>
      <c r="C1020" s="8">
        <f>VLOOKUP(B1020,'Run Reconcile'!A$2:B3212,2,FALSE)</f>
        <v>45006</v>
      </c>
      <c r="D1020" s="12">
        <f>IFERROR(__xludf.DUMMYFUNCTION("""COMPUTED_VALUE"""),45006.0)</f>
        <v>45006</v>
      </c>
      <c r="E1020" s="13">
        <f>IFERROR(__xludf.DUMMYFUNCTION("""COMPUTED_VALUE"""),0.21386574074131204)</f>
        <v>0.2138657407</v>
      </c>
      <c r="F1020" s="7" t="str">
        <f>IFERROR(__xludf.DUMMYFUNCTION("""COMPUTED_VALUE"""),"Negative")</f>
        <v>Negative</v>
      </c>
      <c r="G1020" s="7">
        <f>IFERROR(__xludf.DUMMYFUNCTION("""COMPUTED_VALUE"""),3.0)</f>
        <v>3</v>
      </c>
    </row>
    <row r="1021">
      <c r="A1021" s="7" t="str">
        <f>IFERROR(__xludf.DUMMYFUNCTION("""COMPUTED_VALUE"""),"AR687")</f>
        <v>AR687</v>
      </c>
      <c r="B1021" s="7" t="str">
        <f>IFERROR(__xludf.DUMMYFUNCTION("""COMPUTED_VALUE"""),"RUN-ABRM_2023-03-21_RFR-187")</f>
        <v>RUN-ABRM_2023-03-21_RFR-187</v>
      </c>
      <c r="C1021" s="8">
        <f>VLOOKUP(B1021,'Run Reconcile'!A$2:B3212,2,FALSE)</f>
        <v>45006</v>
      </c>
      <c r="D1021" s="12">
        <f>IFERROR(__xludf.DUMMYFUNCTION("""COMPUTED_VALUE"""),45006.0)</f>
        <v>45006</v>
      </c>
      <c r="E1021" s="13">
        <f>IFERROR(__xludf.DUMMYFUNCTION("""COMPUTED_VALUE"""),0.244837962964084)</f>
        <v>0.244837963</v>
      </c>
      <c r="F1021" s="7" t="str">
        <f>IFERROR(__xludf.DUMMYFUNCTION("""COMPUTED_VALUE"""),"Negative")</f>
        <v>Negative</v>
      </c>
      <c r="G1021" s="7">
        <f>IFERROR(__xludf.DUMMYFUNCTION("""COMPUTED_VALUE"""),3.0)</f>
        <v>3</v>
      </c>
    </row>
    <row r="1022">
      <c r="A1022" s="7" t="str">
        <f>IFERROR(__xludf.DUMMYFUNCTION("""COMPUTED_VALUE"""),"AR686")</f>
        <v>AR686</v>
      </c>
      <c r="B1022" s="7" t="str">
        <f>IFERROR(__xludf.DUMMYFUNCTION("""COMPUTED_VALUE"""),"RUN-ABRM_2023-03-21_RFR-187")</f>
        <v>RUN-ABRM_2023-03-21_RFR-187</v>
      </c>
      <c r="C1022" s="8">
        <f>VLOOKUP(B1022,'Run Reconcile'!A$2:B3212,2,FALSE)</f>
        <v>45006</v>
      </c>
      <c r="D1022" s="12">
        <f>IFERROR(__xludf.DUMMYFUNCTION("""COMPUTED_VALUE"""),45006.0)</f>
        <v>45006</v>
      </c>
      <c r="E1022" s="13">
        <f>IFERROR(__xludf.DUMMYFUNCTION("""COMPUTED_VALUE"""),0.2703819444432156)</f>
        <v>0.2703819444</v>
      </c>
      <c r="F1022" s="7" t="str">
        <f>IFERROR(__xludf.DUMMYFUNCTION("""COMPUTED_VALUE"""),"Negative")</f>
        <v>Negative</v>
      </c>
      <c r="G1022" s="7">
        <f>IFERROR(__xludf.DUMMYFUNCTION("""COMPUTED_VALUE"""),3.0)</f>
        <v>3</v>
      </c>
    </row>
    <row r="1023">
      <c r="A1023" s="7" t="str">
        <f>IFERROR(__xludf.DUMMYFUNCTION("""COMPUTED_VALUE"""),"AR1934")</f>
        <v>AR1934</v>
      </c>
      <c r="B1023" s="7" t="str">
        <f>IFERROR(__xludf.DUMMYFUNCTION("""COMPUTED_VALUE"""),"RUN-ABRM_2023-03-21_RFR-187")</f>
        <v>RUN-ABRM_2023-03-21_RFR-187</v>
      </c>
      <c r="C1023" s="8">
        <f>VLOOKUP(B1023,'Run Reconcile'!A$2:B3212,2,FALSE)</f>
        <v>45006</v>
      </c>
      <c r="D1023" s="12">
        <f>IFERROR(__xludf.DUMMYFUNCTION("""COMPUTED_VALUE"""),45006.0)</f>
        <v>45006</v>
      </c>
      <c r="E1023" s="13">
        <f>IFERROR(__xludf.DUMMYFUNCTION("""COMPUTED_VALUE"""),0.28932870370408637)</f>
        <v>0.2893287037</v>
      </c>
      <c r="F1023" s="7" t="str">
        <f>IFERROR(__xludf.DUMMYFUNCTION("""COMPUTED_VALUE"""),"Negative")</f>
        <v>Negative</v>
      </c>
      <c r="G1023" s="7">
        <f>IFERROR(__xludf.DUMMYFUNCTION("""COMPUTED_VALUE"""),1.0)</f>
        <v>1</v>
      </c>
    </row>
    <row r="1024">
      <c r="A1024" s="7" t="str">
        <f>IFERROR(__xludf.DUMMYFUNCTION("""COMPUTED_VALUE"""),"AR650")</f>
        <v>AR650</v>
      </c>
      <c r="B1024" s="7" t="str">
        <f>IFERROR(__xludf.DUMMYFUNCTION("""COMPUTED_VALUE"""),"RUN-ABRM_2023-03-21_RFR-187")</f>
        <v>RUN-ABRM_2023-03-21_RFR-187</v>
      </c>
      <c r="C1024" s="8">
        <f>VLOOKUP(B1024,'Run Reconcile'!A$2:B3212,2,FALSE)</f>
        <v>45006</v>
      </c>
      <c r="D1024" s="12">
        <f>IFERROR(__xludf.DUMMYFUNCTION("""COMPUTED_VALUE"""),45006.0)</f>
        <v>45006</v>
      </c>
      <c r="E1024" s="13">
        <f>IFERROR(__xludf.DUMMYFUNCTION("""COMPUTED_VALUE"""),0.32633101851752144)</f>
        <v>0.3263310185</v>
      </c>
      <c r="F1024" s="7" t="str">
        <f>IFERROR(__xludf.DUMMYFUNCTION("""COMPUTED_VALUE"""),"Negative")</f>
        <v>Negative</v>
      </c>
      <c r="G1024" s="7">
        <f>IFERROR(__xludf.DUMMYFUNCTION("""COMPUTED_VALUE"""),2.0)</f>
        <v>2</v>
      </c>
    </row>
    <row r="1025">
      <c r="A1025" s="7" t="str">
        <f>IFERROR(__xludf.DUMMYFUNCTION("""COMPUTED_VALUE"""),"AR869")</f>
        <v>AR869</v>
      </c>
      <c r="B1025" s="7" t="str">
        <f>IFERROR(__xludf.DUMMYFUNCTION("""COMPUTED_VALUE"""),"RUN-ABRM_2023-03-21_RFR-187")</f>
        <v>RUN-ABRM_2023-03-21_RFR-187</v>
      </c>
      <c r="C1025" s="8">
        <f>VLOOKUP(B1025,'Run Reconcile'!A$2:B3212,2,FALSE)</f>
        <v>45006</v>
      </c>
      <c r="D1025" s="12">
        <f>IFERROR(__xludf.DUMMYFUNCTION("""COMPUTED_VALUE"""),45006.0)</f>
        <v>45006</v>
      </c>
      <c r="E1025" s="13">
        <f>IFERROR(__xludf.DUMMYFUNCTION("""COMPUTED_VALUE"""),0.3267708333332848)</f>
        <v>0.3267708333</v>
      </c>
      <c r="F1025" s="7" t="str">
        <f>IFERROR(__xludf.DUMMYFUNCTION("""COMPUTED_VALUE"""),"Negative")</f>
        <v>Negative</v>
      </c>
      <c r="G1025" s="7">
        <f>IFERROR(__xludf.DUMMYFUNCTION("""COMPUTED_VALUE"""),1.0)</f>
        <v>1</v>
      </c>
    </row>
    <row r="1026">
      <c r="A1026" s="7" t="str">
        <f>IFERROR(__xludf.DUMMYFUNCTION("""COMPUTED_VALUE"""),"AK9696")</f>
        <v>AK9696</v>
      </c>
      <c r="B1026" s="7" t="str">
        <f>IFERROR(__xludf.DUMMYFUNCTION("""COMPUTED_VALUE"""),"RUN-ABRM_2023-03-21_RFR-187")</f>
        <v>RUN-ABRM_2023-03-21_RFR-187</v>
      </c>
      <c r="C1026" s="8">
        <f>VLOOKUP(B1026,'Run Reconcile'!A$2:B3212,2,FALSE)</f>
        <v>45006</v>
      </c>
      <c r="D1026" s="12">
        <f>IFERROR(__xludf.DUMMYFUNCTION("""COMPUTED_VALUE"""),45006.0)</f>
        <v>45006</v>
      </c>
      <c r="E1026" s="13">
        <f>IFERROR(__xludf.DUMMYFUNCTION("""COMPUTED_VALUE"""),0.3281712962962047)</f>
        <v>0.3281712963</v>
      </c>
      <c r="F1026" s="7" t="str">
        <f>IFERROR(__xludf.DUMMYFUNCTION("""COMPUTED_VALUE"""),"Negative")</f>
        <v>Negative</v>
      </c>
      <c r="G1026" s="7">
        <f>IFERROR(__xludf.DUMMYFUNCTION("""COMPUTED_VALUE"""),3.0)</f>
        <v>3</v>
      </c>
    </row>
    <row r="1027">
      <c r="A1027" s="7" t="str">
        <f>IFERROR(__xludf.DUMMYFUNCTION("""COMPUTED_VALUE"""),"AB9615")</f>
        <v>AB9615</v>
      </c>
      <c r="B1027" s="7" t="str">
        <f>IFERROR(__xludf.DUMMYFUNCTION("""COMPUTED_VALUE"""),"RUN-ABRM_2023-03-21_RFR-187")</f>
        <v>RUN-ABRM_2023-03-21_RFR-187</v>
      </c>
      <c r="C1027" s="8">
        <f>VLOOKUP(B1027,'Run Reconcile'!A$2:B3212,2,FALSE)</f>
        <v>45006</v>
      </c>
      <c r="D1027" s="12">
        <f>IFERROR(__xludf.DUMMYFUNCTION("""COMPUTED_VALUE"""),45006.0)</f>
        <v>45006</v>
      </c>
      <c r="E1027" s="13">
        <f>IFERROR(__xludf.DUMMYFUNCTION("""COMPUTED_VALUE"""),0.34199074074058444)</f>
        <v>0.3419907407</v>
      </c>
      <c r="F1027" s="7" t="str">
        <f>IFERROR(__xludf.DUMMYFUNCTION("""COMPUTED_VALUE"""),"Negative")</f>
        <v>Negative</v>
      </c>
      <c r="G1027" s="7">
        <f>IFERROR(__xludf.DUMMYFUNCTION("""COMPUTED_VALUE"""),3.0)</f>
        <v>3</v>
      </c>
    </row>
    <row r="1028">
      <c r="A1028" s="7" t="str">
        <f>IFERROR(__xludf.DUMMYFUNCTION("""COMPUTED_VALUE"""),"AR694")</f>
        <v>AR694</v>
      </c>
      <c r="B1028" s="7" t="str">
        <f>IFERROR(__xludf.DUMMYFUNCTION("""COMPUTED_VALUE"""),"RUN-ABRM_2023-03-21_RFR-187")</f>
        <v>RUN-ABRM_2023-03-21_RFR-187</v>
      </c>
      <c r="C1028" s="8">
        <f>VLOOKUP(B1028,'Run Reconcile'!A$2:B3212,2,FALSE)</f>
        <v>45006</v>
      </c>
      <c r="D1028" s="12">
        <f>IFERROR(__xludf.DUMMYFUNCTION("""COMPUTED_VALUE"""),45006.0)</f>
        <v>45006</v>
      </c>
      <c r="E1028" s="13">
        <f>IFERROR(__xludf.DUMMYFUNCTION("""COMPUTED_VALUE"""),0.37232638888963265)</f>
        <v>0.3723263889</v>
      </c>
      <c r="F1028" s="7" t="str">
        <f>IFERROR(__xludf.DUMMYFUNCTION("""COMPUTED_VALUE"""),"Negative")</f>
        <v>Negative</v>
      </c>
      <c r="G1028" s="7">
        <f>IFERROR(__xludf.DUMMYFUNCTION("""COMPUTED_VALUE"""),1.0)</f>
        <v>1</v>
      </c>
    </row>
    <row r="1029">
      <c r="A1029" s="7" t="str">
        <f>IFERROR(__xludf.DUMMYFUNCTION("""COMPUTED_VALUE"""),"AK9761")</f>
        <v>AK9761</v>
      </c>
      <c r="B1029" s="7" t="str">
        <f>IFERROR(__xludf.DUMMYFUNCTION("""COMPUTED_VALUE"""),"RUN-ABRM_2023-03-22_RFR-189")</f>
        <v>RUN-ABRM_2023-03-22_RFR-189</v>
      </c>
      <c r="C1029" s="8">
        <f>VLOOKUP(B1029,'Run Reconcile'!A$2:B3212,2,FALSE)</f>
        <v>45007</v>
      </c>
      <c r="D1029" s="12">
        <f>IFERROR(__xludf.DUMMYFUNCTION("""COMPUTED_VALUE"""),45007.0)</f>
        <v>45007</v>
      </c>
      <c r="E1029" s="13">
        <f>IFERROR(__xludf.DUMMYFUNCTION("""COMPUTED_VALUE"""),0.22526620370263117)</f>
        <v>0.2252662037</v>
      </c>
      <c r="F1029" s="7" t="str">
        <f>IFERROR(__xludf.DUMMYFUNCTION("""COMPUTED_VALUE"""),"Negative")</f>
        <v>Negative</v>
      </c>
      <c r="G1029" s="7">
        <f>IFERROR(__xludf.DUMMYFUNCTION("""COMPUTED_VALUE"""),3.0)</f>
        <v>3</v>
      </c>
    </row>
    <row r="1030">
      <c r="A1030" s="7" t="str">
        <f>IFERROR(__xludf.DUMMYFUNCTION("""COMPUTED_VALUE"""),"AR631")</f>
        <v>AR631</v>
      </c>
      <c r="B1030" s="7" t="str">
        <f>IFERROR(__xludf.DUMMYFUNCTION("""COMPUTED_VALUE"""),"RUN-ABRM_2023-03-22_RFR-189")</f>
        <v>RUN-ABRM_2023-03-22_RFR-189</v>
      </c>
      <c r="C1030" s="8">
        <f>VLOOKUP(B1030,'Run Reconcile'!A$2:B3212,2,FALSE)</f>
        <v>45007</v>
      </c>
      <c r="D1030" s="12">
        <f>IFERROR(__xludf.DUMMYFUNCTION("""COMPUTED_VALUE"""),45007.0)</f>
        <v>45007</v>
      </c>
      <c r="E1030" s="13">
        <f>IFERROR(__xludf.DUMMYFUNCTION("""COMPUTED_VALUE"""),0.27251157407226856)</f>
        <v>0.2725115741</v>
      </c>
      <c r="F1030" s="7" t="str">
        <f>IFERROR(__xludf.DUMMYFUNCTION("""COMPUTED_VALUE"""),"Negative")</f>
        <v>Negative</v>
      </c>
      <c r="G1030" s="7">
        <f>IFERROR(__xludf.DUMMYFUNCTION("""COMPUTED_VALUE"""),3.0)</f>
        <v>3</v>
      </c>
    </row>
    <row r="1031">
      <c r="A1031" s="7" t="str">
        <f>IFERROR(__xludf.DUMMYFUNCTION("""COMPUTED_VALUE"""),"AR1396")</f>
        <v>AR1396</v>
      </c>
      <c r="B1031" s="7" t="str">
        <f>IFERROR(__xludf.DUMMYFUNCTION("""COMPUTED_VALUE"""),"RUN-ABRM_2023-03-22_RFR-189")</f>
        <v>RUN-ABRM_2023-03-22_RFR-189</v>
      </c>
      <c r="C1031" s="8">
        <f>VLOOKUP(B1031,'Run Reconcile'!A$2:B3212,2,FALSE)</f>
        <v>45007</v>
      </c>
      <c r="D1031" s="12">
        <f>IFERROR(__xludf.DUMMYFUNCTION("""COMPUTED_VALUE"""),45007.0)</f>
        <v>45007</v>
      </c>
      <c r="E1031" s="13">
        <f>IFERROR(__xludf.DUMMYFUNCTION("""COMPUTED_VALUE"""),0.2973148148157634)</f>
        <v>0.2973148148</v>
      </c>
      <c r="F1031" s="7" t="str">
        <f>IFERROR(__xludf.DUMMYFUNCTION("""COMPUTED_VALUE"""),"Negative")</f>
        <v>Negative</v>
      </c>
      <c r="G1031" s="7">
        <f>IFERROR(__xludf.DUMMYFUNCTION("""COMPUTED_VALUE"""),3.0)</f>
        <v>3</v>
      </c>
    </row>
    <row r="1032">
      <c r="A1032" s="7" t="str">
        <f>IFERROR(__xludf.DUMMYFUNCTION("""COMPUTED_VALUE"""),"AR1418")</f>
        <v>AR1418</v>
      </c>
      <c r="B1032" s="7" t="str">
        <f>IFERROR(__xludf.DUMMYFUNCTION("""COMPUTED_VALUE"""),"RUN-ABRM_2023-03-22_RFR-189")</f>
        <v>RUN-ABRM_2023-03-22_RFR-189</v>
      </c>
      <c r="C1032" s="8">
        <f>VLOOKUP(B1032,'Run Reconcile'!A$2:B3212,2,FALSE)</f>
        <v>45007</v>
      </c>
      <c r="D1032" s="12">
        <f>IFERROR(__xludf.DUMMYFUNCTION("""COMPUTED_VALUE"""),45007.0)</f>
        <v>45007</v>
      </c>
      <c r="E1032" s="13">
        <f>IFERROR(__xludf.DUMMYFUNCTION("""COMPUTED_VALUE"""),0.2983564814821875)</f>
        <v>0.2983564815</v>
      </c>
      <c r="F1032" s="7" t="str">
        <f>IFERROR(__xludf.DUMMYFUNCTION("""COMPUTED_VALUE"""),"Negative")</f>
        <v>Negative</v>
      </c>
      <c r="G1032" s="7">
        <f>IFERROR(__xludf.DUMMYFUNCTION("""COMPUTED_VALUE"""),3.0)</f>
        <v>3</v>
      </c>
    </row>
    <row r="1033">
      <c r="A1033" s="7" t="str">
        <f>IFERROR(__xludf.DUMMYFUNCTION("""COMPUTED_VALUE"""),"AK9992")</f>
        <v>AK9992</v>
      </c>
      <c r="B1033" s="7" t="str">
        <f>IFERROR(__xludf.DUMMYFUNCTION("""COMPUTED_VALUE"""),"RUN-ABRM_2023-03-22_RFR-189")</f>
        <v>RUN-ABRM_2023-03-22_RFR-189</v>
      </c>
      <c r="C1033" s="8">
        <f>VLOOKUP(B1033,'Run Reconcile'!A$2:B3212,2,FALSE)</f>
        <v>45007</v>
      </c>
      <c r="D1033" s="12">
        <f>IFERROR(__xludf.DUMMYFUNCTION("""COMPUTED_VALUE"""),45007.0)</f>
        <v>45007</v>
      </c>
      <c r="E1033" s="13">
        <f>IFERROR(__xludf.DUMMYFUNCTION("""COMPUTED_VALUE"""),0.32454861111182254)</f>
        <v>0.3245486111</v>
      </c>
      <c r="F1033" s="7" t="str">
        <f>IFERROR(__xludf.DUMMYFUNCTION("""COMPUTED_VALUE"""),"Negative")</f>
        <v>Negative</v>
      </c>
      <c r="G1033" s="7">
        <f>IFERROR(__xludf.DUMMYFUNCTION("""COMPUTED_VALUE"""),1.0)</f>
        <v>1</v>
      </c>
    </row>
    <row r="1034">
      <c r="A1034" s="7" t="str">
        <f>IFERROR(__xludf.DUMMYFUNCTION("""COMPUTED_VALUE"""),"AR718")</f>
        <v>AR718</v>
      </c>
      <c r="B1034" s="7" t="str">
        <f>IFERROR(__xludf.DUMMYFUNCTION("""COMPUTED_VALUE"""),"RUN-ABRM_2023-03-22_RFR-189")</f>
        <v>RUN-ABRM_2023-03-22_RFR-189</v>
      </c>
      <c r="C1034" s="8">
        <f>VLOOKUP(B1034,'Run Reconcile'!A$2:B3212,2,FALSE)</f>
        <v>45007</v>
      </c>
      <c r="D1034" s="12">
        <f>IFERROR(__xludf.DUMMYFUNCTION("""COMPUTED_VALUE"""),45007.0)</f>
        <v>45007</v>
      </c>
      <c r="E1034" s="13">
        <f>IFERROR(__xludf.DUMMYFUNCTION("""COMPUTED_VALUE"""),0.3254282407397113)</f>
        <v>0.3254282407</v>
      </c>
      <c r="F1034" s="7" t="str">
        <f>IFERROR(__xludf.DUMMYFUNCTION("""COMPUTED_VALUE"""),"Negative")</f>
        <v>Negative</v>
      </c>
      <c r="G1034" s="7">
        <f>IFERROR(__xludf.DUMMYFUNCTION("""COMPUTED_VALUE"""),3.0)</f>
        <v>3</v>
      </c>
    </row>
    <row r="1035">
      <c r="A1035" s="7" t="str">
        <f>IFERROR(__xludf.DUMMYFUNCTION("""COMPUTED_VALUE"""),"AE9940")</f>
        <v>AE9940</v>
      </c>
      <c r="B1035" s="7" t="str">
        <f>IFERROR(__xludf.DUMMYFUNCTION("""COMPUTED_VALUE"""),"RUN-ABRM_2023-03-22_RFR-189")</f>
        <v>RUN-ABRM_2023-03-22_RFR-189</v>
      </c>
      <c r="C1035" s="8">
        <f>VLOOKUP(B1035,'Run Reconcile'!A$2:B3212,2,FALSE)</f>
        <v>45007</v>
      </c>
      <c r="D1035" s="12">
        <f>IFERROR(__xludf.DUMMYFUNCTION("""COMPUTED_VALUE"""),45007.0)</f>
        <v>45007</v>
      </c>
      <c r="E1035" s="13">
        <f>IFERROR(__xludf.DUMMYFUNCTION("""COMPUTED_VALUE"""),0.3259143518516794)</f>
        <v>0.3259143519</v>
      </c>
      <c r="F1035" s="7" t="str">
        <f>IFERROR(__xludf.DUMMYFUNCTION("""COMPUTED_VALUE"""),"Negative")</f>
        <v>Negative</v>
      </c>
      <c r="G1035" s="7">
        <f>IFERROR(__xludf.DUMMYFUNCTION("""COMPUTED_VALUE"""),1.0)</f>
        <v>1</v>
      </c>
    </row>
    <row r="1036">
      <c r="A1036" s="7" t="str">
        <f>IFERROR(__xludf.DUMMYFUNCTION("""COMPUTED_VALUE"""),"AK9871")</f>
        <v>AK9871</v>
      </c>
      <c r="B1036" s="7" t="str">
        <f>IFERROR(__xludf.DUMMYFUNCTION("""COMPUTED_VALUE"""),"RUN-ABRM_2023-03-22_RFR-189")</f>
        <v>RUN-ABRM_2023-03-22_RFR-189</v>
      </c>
      <c r="C1036" s="8">
        <f>VLOOKUP(B1036,'Run Reconcile'!A$2:B3212,2,FALSE)</f>
        <v>45007</v>
      </c>
      <c r="D1036" s="12">
        <f>IFERROR(__xludf.DUMMYFUNCTION("""COMPUTED_VALUE"""),45007.0)</f>
        <v>45007</v>
      </c>
      <c r="E1036" s="13">
        <f>IFERROR(__xludf.DUMMYFUNCTION("""COMPUTED_VALUE"""),0.32706018518365454)</f>
        <v>0.3270601852</v>
      </c>
      <c r="F1036" s="7" t="str">
        <f>IFERROR(__xludf.DUMMYFUNCTION("""COMPUTED_VALUE"""),"Negative")</f>
        <v>Negative</v>
      </c>
      <c r="G1036" s="7">
        <f>IFERROR(__xludf.DUMMYFUNCTION("""COMPUTED_VALUE"""),1.0)</f>
        <v>1</v>
      </c>
    </row>
    <row r="1037">
      <c r="A1037" s="7" t="str">
        <f>IFERROR(__xludf.DUMMYFUNCTION("""COMPUTED_VALUE"""),"AK9997")</f>
        <v>AK9997</v>
      </c>
      <c r="B1037" s="7" t="str">
        <f>IFERROR(__xludf.DUMMYFUNCTION("""COMPUTED_VALUE"""),"RUN-ABRM_2023-03-22_RFR-189")</f>
        <v>RUN-ABRM_2023-03-22_RFR-189</v>
      </c>
      <c r="C1037" s="8">
        <f>VLOOKUP(B1037,'Run Reconcile'!A$2:B3212,2,FALSE)</f>
        <v>45007</v>
      </c>
      <c r="D1037" s="12">
        <f>IFERROR(__xludf.DUMMYFUNCTION("""COMPUTED_VALUE"""),45007.0)</f>
        <v>45007</v>
      </c>
      <c r="E1037" s="13">
        <f>IFERROR(__xludf.DUMMYFUNCTION("""COMPUTED_VALUE"""),0.32861111111196806)</f>
        <v>0.3286111111</v>
      </c>
      <c r="F1037" s="7" t="str">
        <f>IFERROR(__xludf.DUMMYFUNCTION("""COMPUTED_VALUE"""),"Negative")</f>
        <v>Negative</v>
      </c>
      <c r="G1037" s="7">
        <f>IFERROR(__xludf.DUMMYFUNCTION("""COMPUTED_VALUE"""),2.0)</f>
        <v>2</v>
      </c>
    </row>
    <row r="1038">
      <c r="A1038" s="7" t="str">
        <f>IFERROR(__xludf.DUMMYFUNCTION("""COMPUTED_VALUE"""),"AR58")</f>
        <v>AR58</v>
      </c>
      <c r="B1038" s="7" t="str">
        <f>IFERROR(__xludf.DUMMYFUNCTION("""COMPUTED_VALUE"""),"RUN-ABRM_2023-03-22_RFR-189")</f>
        <v>RUN-ABRM_2023-03-22_RFR-189</v>
      </c>
      <c r="C1038" s="8">
        <f>VLOOKUP(B1038,'Run Reconcile'!A$2:B3212,2,FALSE)</f>
        <v>45007</v>
      </c>
      <c r="D1038" s="12">
        <f>IFERROR(__xludf.DUMMYFUNCTION("""COMPUTED_VALUE"""),45007.0)</f>
        <v>45007</v>
      </c>
      <c r="E1038" s="13">
        <f>IFERROR(__xludf.DUMMYFUNCTION("""COMPUTED_VALUE"""),0.3399768518502242)</f>
        <v>0.3399768519</v>
      </c>
      <c r="F1038" s="7" t="str">
        <f>IFERROR(__xludf.DUMMYFUNCTION("""COMPUTED_VALUE"""),"Negative")</f>
        <v>Negative</v>
      </c>
      <c r="G1038" s="7">
        <f>IFERROR(__xludf.DUMMYFUNCTION("""COMPUTED_VALUE"""),4.0)</f>
        <v>4</v>
      </c>
    </row>
    <row r="1039">
      <c r="A1039" s="7" t="str">
        <f>IFERROR(__xludf.DUMMYFUNCTION("""COMPUTED_VALUE"""),"AR751")</f>
        <v>AR751</v>
      </c>
      <c r="B1039" s="7" t="str">
        <f>IFERROR(__xludf.DUMMYFUNCTION("""COMPUTED_VALUE"""),"RUN-ABRM_2023-03-22_RFR-189")</f>
        <v>RUN-ABRM_2023-03-22_RFR-189</v>
      </c>
      <c r="C1039" s="8">
        <f>VLOOKUP(B1039,'Run Reconcile'!A$2:B3212,2,FALSE)</f>
        <v>45007</v>
      </c>
      <c r="D1039" s="12">
        <f>IFERROR(__xludf.DUMMYFUNCTION("""COMPUTED_VALUE"""),45007.0)</f>
        <v>45007</v>
      </c>
      <c r="E1039" s="13">
        <f>IFERROR(__xludf.DUMMYFUNCTION("""COMPUTED_VALUE"""),0.3401967592581059)</f>
        <v>0.3401967593</v>
      </c>
      <c r="F1039" s="7" t="str">
        <f>IFERROR(__xludf.DUMMYFUNCTION("""COMPUTED_VALUE"""),"Negative")</f>
        <v>Negative</v>
      </c>
      <c r="G1039" s="7">
        <f>IFERROR(__xludf.DUMMYFUNCTION("""COMPUTED_VALUE"""),1.0)</f>
        <v>1</v>
      </c>
    </row>
    <row r="1040">
      <c r="A1040" s="7" t="str">
        <f>IFERROR(__xludf.DUMMYFUNCTION("""COMPUTED_VALUE"""),"AR1443")</f>
        <v>AR1443</v>
      </c>
      <c r="B1040" s="7" t="str">
        <f>IFERROR(__xludf.DUMMYFUNCTION("""COMPUTED_VALUE"""),"RUN-ABRM_2023-03-23_RFR-191")</f>
        <v>RUN-ABRM_2023-03-23_RFR-191</v>
      </c>
      <c r="C1040" s="8">
        <f>VLOOKUP(B1040,'Run Reconcile'!A$2:B3212,2,FALSE)</f>
        <v>45008</v>
      </c>
      <c r="D1040" s="12">
        <f>IFERROR(__xludf.DUMMYFUNCTION("""COMPUTED_VALUE"""),45008.0)</f>
        <v>45008</v>
      </c>
      <c r="E1040" s="13">
        <f>IFERROR(__xludf.DUMMYFUNCTION("""COMPUTED_VALUE"""),0.2771412037036498)</f>
        <v>0.2771412037</v>
      </c>
      <c r="F1040" s="7" t="str">
        <f>IFERROR(__xludf.DUMMYFUNCTION("""COMPUTED_VALUE"""),"Negative")</f>
        <v>Negative</v>
      </c>
      <c r="G1040" s="7">
        <f>IFERROR(__xludf.DUMMYFUNCTION("""COMPUTED_VALUE"""),1.0)</f>
        <v>1</v>
      </c>
    </row>
    <row r="1041">
      <c r="A1041" s="7" t="str">
        <f>IFERROR(__xludf.DUMMYFUNCTION("""COMPUTED_VALUE"""),"AK9898")</f>
        <v>AK9898</v>
      </c>
      <c r="B1041" s="7" t="str">
        <f>IFERROR(__xludf.DUMMYFUNCTION("""COMPUTED_VALUE"""),"RUN-ABRM_2023-03-23_RFR-191")</f>
        <v>RUN-ABRM_2023-03-23_RFR-191</v>
      </c>
      <c r="C1041" s="8">
        <f>VLOOKUP(B1041,'Run Reconcile'!A$2:B3212,2,FALSE)</f>
        <v>45008</v>
      </c>
      <c r="D1041" s="12">
        <f>IFERROR(__xludf.DUMMYFUNCTION("""COMPUTED_VALUE"""),45008.0)</f>
        <v>45008</v>
      </c>
      <c r="E1041" s="13">
        <f>IFERROR(__xludf.DUMMYFUNCTION("""COMPUTED_VALUE"""),0.2871412037020491)</f>
        <v>0.2871412037</v>
      </c>
      <c r="F1041" s="7" t="str">
        <f>IFERROR(__xludf.DUMMYFUNCTION("""COMPUTED_VALUE"""),"Negative")</f>
        <v>Negative</v>
      </c>
      <c r="G1041" s="7">
        <f>IFERROR(__xludf.DUMMYFUNCTION("""COMPUTED_VALUE"""),3.0)</f>
        <v>3</v>
      </c>
    </row>
    <row r="1042">
      <c r="A1042" s="7" t="str">
        <f>IFERROR(__xludf.DUMMYFUNCTION("""COMPUTED_VALUE"""),"AR946")</f>
        <v>AR946</v>
      </c>
      <c r="B1042" s="7" t="str">
        <f>IFERROR(__xludf.DUMMYFUNCTION("""COMPUTED_VALUE"""),"RUN-ABRM_2023-03-23_RFR-191")</f>
        <v>RUN-ABRM_2023-03-23_RFR-191</v>
      </c>
      <c r="C1042" s="8">
        <f>VLOOKUP(B1042,'Run Reconcile'!A$2:B3212,2,FALSE)</f>
        <v>45008</v>
      </c>
      <c r="D1042" s="12">
        <f>IFERROR(__xludf.DUMMYFUNCTION("""COMPUTED_VALUE"""),45008.0)</f>
        <v>45008</v>
      </c>
      <c r="E1042" s="13">
        <f>IFERROR(__xludf.DUMMYFUNCTION("""COMPUTED_VALUE"""),0.2886574074072996)</f>
        <v>0.2886574074</v>
      </c>
      <c r="F1042" s="7" t="str">
        <f>IFERROR(__xludf.DUMMYFUNCTION("""COMPUTED_VALUE"""),"Negative")</f>
        <v>Negative</v>
      </c>
      <c r="G1042" s="7">
        <f>IFERROR(__xludf.DUMMYFUNCTION("""COMPUTED_VALUE"""),3.0)</f>
        <v>3</v>
      </c>
    </row>
    <row r="1043">
      <c r="A1043" s="7" t="str">
        <f>IFERROR(__xludf.DUMMYFUNCTION("""COMPUTED_VALUE"""),"AB9712")</f>
        <v>AB9712</v>
      </c>
      <c r="B1043" s="7" t="str">
        <f>IFERROR(__xludf.DUMMYFUNCTION("""COMPUTED_VALUE"""),"RUN-ABRM_2023-03-23_RFR-191")</f>
        <v>RUN-ABRM_2023-03-23_RFR-191</v>
      </c>
      <c r="C1043" s="8">
        <f>VLOOKUP(B1043,'Run Reconcile'!A$2:B3212,2,FALSE)</f>
        <v>45008</v>
      </c>
      <c r="D1043" s="12">
        <f>IFERROR(__xludf.DUMMYFUNCTION("""COMPUTED_VALUE"""),45008.0)</f>
        <v>45008</v>
      </c>
      <c r="E1043" s="13">
        <f>IFERROR(__xludf.DUMMYFUNCTION("""COMPUTED_VALUE"""),0.30819444444568944)</f>
        <v>0.3081944444</v>
      </c>
      <c r="F1043" s="7" t="str">
        <f>IFERROR(__xludf.DUMMYFUNCTION("""COMPUTED_VALUE"""),"Negative")</f>
        <v>Negative</v>
      </c>
      <c r="G1043" s="7">
        <f>IFERROR(__xludf.DUMMYFUNCTION("""COMPUTED_VALUE"""),2.0)</f>
        <v>2</v>
      </c>
    </row>
    <row r="1044">
      <c r="A1044" s="7" t="str">
        <f>IFERROR(__xludf.DUMMYFUNCTION("""COMPUTED_VALUE"""),"AR861")</f>
        <v>AR861</v>
      </c>
      <c r="B1044" s="7" t="str">
        <f>IFERROR(__xludf.DUMMYFUNCTION("""COMPUTED_VALUE"""),"RUN-ABRM_2023-03-23_RFR-191")</f>
        <v>RUN-ABRM_2023-03-23_RFR-191</v>
      </c>
      <c r="C1044" s="8">
        <f>VLOOKUP(B1044,'Run Reconcile'!A$2:B3212,2,FALSE)</f>
        <v>45008</v>
      </c>
      <c r="D1044" s="12">
        <f>IFERROR(__xludf.DUMMYFUNCTION("""COMPUTED_VALUE"""),45008.0)</f>
        <v>45008</v>
      </c>
      <c r="E1044" s="13">
        <f>IFERROR(__xludf.DUMMYFUNCTION("""COMPUTED_VALUE"""),0.30910879629664123)</f>
        <v>0.3091087963</v>
      </c>
      <c r="F1044" s="7" t="str">
        <f>IFERROR(__xludf.DUMMYFUNCTION("""COMPUTED_VALUE"""),"Negative")</f>
        <v>Negative</v>
      </c>
      <c r="G1044" s="7">
        <f>IFERROR(__xludf.DUMMYFUNCTION("""COMPUTED_VALUE"""),2.0)</f>
        <v>2</v>
      </c>
    </row>
    <row r="1045">
      <c r="A1045" s="7" t="str">
        <f>IFERROR(__xludf.DUMMYFUNCTION("""COMPUTED_VALUE"""),"AR695")</f>
        <v>AR695</v>
      </c>
      <c r="B1045" s="7" t="str">
        <f>IFERROR(__xludf.DUMMYFUNCTION("""COMPUTED_VALUE"""),"RUN-ABRM_2023-03-23_RFR-191")</f>
        <v>RUN-ABRM_2023-03-23_RFR-191</v>
      </c>
      <c r="C1045" s="8">
        <f>VLOOKUP(B1045,'Run Reconcile'!A$2:B3212,2,FALSE)</f>
        <v>45008</v>
      </c>
      <c r="D1045" s="12">
        <f>IFERROR(__xludf.DUMMYFUNCTION("""COMPUTED_VALUE"""),45008.0)</f>
        <v>45008</v>
      </c>
      <c r="E1045" s="13">
        <f>IFERROR(__xludf.DUMMYFUNCTION("""COMPUTED_VALUE"""),0.3226736111100763)</f>
        <v>0.3226736111</v>
      </c>
      <c r="F1045" s="7" t="str">
        <f>IFERROR(__xludf.DUMMYFUNCTION("""COMPUTED_VALUE"""),"Negative")</f>
        <v>Negative</v>
      </c>
      <c r="G1045" s="7">
        <f>IFERROR(__xludf.DUMMYFUNCTION("""COMPUTED_VALUE"""),1.0)</f>
        <v>1</v>
      </c>
    </row>
    <row r="1046">
      <c r="A1046" s="7" t="str">
        <f>IFERROR(__xludf.DUMMYFUNCTION("""COMPUTED_VALUE"""),"AR1476")</f>
        <v>AR1476</v>
      </c>
      <c r="B1046" s="7" t="str">
        <f>IFERROR(__xludf.DUMMYFUNCTION("""COMPUTED_VALUE"""),"RUN-ABRM_2023-03-23_RFR-191")</f>
        <v>RUN-ABRM_2023-03-23_RFR-191</v>
      </c>
      <c r="C1046" s="8">
        <f>VLOOKUP(B1046,'Run Reconcile'!A$2:B3212,2,FALSE)</f>
        <v>45008</v>
      </c>
      <c r="D1046" s="12">
        <f>IFERROR(__xludf.DUMMYFUNCTION("""COMPUTED_VALUE"""),45008.0)</f>
        <v>45008</v>
      </c>
      <c r="E1046" s="13">
        <f>IFERROR(__xludf.DUMMYFUNCTION("""COMPUTED_VALUE"""),0.32432870370394085)</f>
        <v>0.3243287037</v>
      </c>
      <c r="F1046" s="7" t="str">
        <f>IFERROR(__xludf.DUMMYFUNCTION("""COMPUTED_VALUE"""),"Negative")</f>
        <v>Negative</v>
      </c>
      <c r="G1046" s="7">
        <f>IFERROR(__xludf.DUMMYFUNCTION("""COMPUTED_VALUE"""),2.0)</f>
        <v>2</v>
      </c>
    </row>
    <row r="1047">
      <c r="A1047" s="7" t="str">
        <f>IFERROR(__xludf.DUMMYFUNCTION("""COMPUTED_VALUE"""),"AR1297")</f>
        <v>AR1297</v>
      </c>
      <c r="B1047" s="7" t="str">
        <f>IFERROR(__xludf.DUMMYFUNCTION("""COMPUTED_VALUE"""),"RUN-ABRM_2023-03-23_RFR-191")</f>
        <v>RUN-ABRM_2023-03-23_RFR-191</v>
      </c>
      <c r="C1047" s="8">
        <f>VLOOKUP(B1047,'Run Reconcile'!A$2:B3212,2,FALSE)</f>
        <v>45008</v>
      </c>
      <c r="D1047" s="12">
        <f>IFERROR(__xludf.DUMMYFUNCTION("""COMPUTED_VALUE"""),45008.0)</f>
        <v>45008</v>
      </c>
      <c r="E1047" s="13">
        <f>IFERROR(__xludf.DUMMYFUNCTION("""COMPUTED_VALUE"""),0.3281365740731417)</f>
        <v>0.3281365741</v>
      </c>
      <c r="F1047" s="7" t="str">
        <f>IFERROR(__xludf.DUMMYFUNCTION("""COMPUTED_VALUE"""),"Negative")</f>
        <v>Negative</v>
      </c>
      <c r="G1047" s="7">
        <f>IFERROR(__xludf.DUMMYFUNCTION("""COMPUTED_VALUE"""),2.0)</f>
        <v>2</v>
      </c>
    </row>
    <row r="1048">
      <c r="A1048" s="7" t="str">
        <f>IFERROR(__xludf.DUMMYFUNCTION("""COMPUTED_VALUE"""),"AR1468")</f>
        <v>AR1468</v>
      </c>
      <c r="B1048" s="7" t="str">
        <f>IFERROR(__xludf.DUMMYFUNCTION("""COMPUTED_VALUE"""),"RUN-ABRM_2023-03-23_RFR-191")</f>
        <v>RUN-ABRM_2023-03-23_RFR-191</v>
      </c>
      <c r="C1048" s="8">
        <f>VLOOKUP(B1048,'Run Reconcile'!A$2:B3212,2,FALSE)</f>
        <v>45008</v>
      </c>
      <c r="D1048" s="12">
        <f>IFERROR(__xludf.DUMMYFUNCTION("""COMPUTED_VALUE"""),45008.0)</f>
        <v>45008</v>
      </c>
      <c r="E1048" s="13">
        <f>IFERROR(__xludf.DUMMYFUNCTION("""COMPUTED_VALUE"""),0.3416898148134351)</f>
        <v>0.3416898148</v>
      </c>
      <c r="F1048" s="7" t="str">
        <f>IFERROR(__xludf.DUMMYFUNCTION("""COMPUTED_VALUE"""),"Negative")</f>
        <v>Negative</v>
      </c>
      <c r="G1048" s="7">
        <f>IFERROR(__xludf.DUMMYFUNCTION("""COMPUTED_VALUE"""),4.0)</f>
        <v>4</v>
      </c>
    </row>
    <row r="1049">
      <c r="A1049" s="7" t="str">
        <f>IFERROR(__xludf.DUMMYFUNCTION("""COMPUTED_VALUE"""),"AR717")</f>
        <v>AR717</v>
      </c>
      <c r="B1049" s="7" t="str">
        <f>IFERROR(__xludf.DUMMYFUNCTION("""COMPUTED_VALUE"""),"RUN-ABRM_2023-03-23_RFR-191")</f>
        <v>RUN-ABRM_2023-03-23_RFR-191</v>
      </c>
      <c r="C1049" s="8">
        <f>VLOOKUP(B1049,'Run Reconcile'!A$2:B3212,2,FALSE)</f>
        <v>45008</v>
      </c>
      <c r="D1049" s="12">
        <f>IFERROR(__xludf.DUMMYFUNCTION("""COMPUTED_VALUE"""),45008.0)</f>
        <v>45008</v>
      </c>
      <c r="E1049" s="13">
        <f>IFERROR(__xludf.DUMMYFUNCTION("""COMPUTED_VALUE"""),0.3494212962978054)</f>
        <v>0.3494212963</v>
      </c>
      <c r="F1049" s="7" t="str">
        <f>IFERROR(__xludf.DUMMYFUNCTION("""COMPUTED_VALUE"""),"Negative")</f>
        <v>Negative</v>
      </c>
      <c r="G1049" s="7">
        <f>IFERROR(__xludf.DUMMYFUNCTION("""COMPUTED_VALUE"""),4.0)</f>
        <v>4</v>
      </c>
    </row>
    <row r="1050">
      <c r="A1050" s="7" t="str">
        <f>IFERROR(__xludf.DUMMYFUNCTION("""COMPUTED_VALUE"""),"AR1264")</f>
        <v>AR1264</v>
      </c>
      <c r="B1050" s="7" t="str">
        <f>IFERROR(__xludf.DUMMYFUNCTION("""COMPUTED_VALUE"""),"RUN-ABRM_2023-03-24_RFR-193")</f>
        <v>RUN-ABRM_2023-03-24_RFR-193</v>
      </c>
      <c r="C1050" s="8">
        <f>VLOOKUP(B1050,'Run Reconcile'!A$2:B3212,2,FALSE)</f>
        <v>45009</v>
      </c>
      <c r="D1050" s="12">
        <f>IFERROR(__xludf.DUMMYFUNCTION("""COMPUTED_VALUE"""),45009.0)</f>
        <v>45009</v>
      </c>
      <c r="E1050" s="13">
        <f>IFERROR(__xludf.DUMMYFUNCTION("""COMPUTED_VALUE"""),0.27247685185284354)</f>
        <v>0.2724768519</v>
      </c>
      <c r="F1050" s="7" t="str">
        <f>IFERROR(__xludf.DUMMYFUNCTION("""COMPUTED_VALUE"""),"Negative")</f>
        <v>Negative</v>
      </c>
      <c r="G1050" s="7">
        <f>IFERROR(__xludf.DUMMYFUNCTION("""COMPUTED_VALUE"""),3.0)</f>
        <v>3</v>
      </c>
    </row>
    <row r="1051">
      <c r="A1051" s="7" t="str">
        <f>IFERROR(__xludf.DUMMYFUNCTION("""COMPUTED_VALUE"""),"AR1458")</f>
        <v>AR1458</v>
      </c>
      <c r="B1051" s="7" t="str">
        <f>IFERROR(__xludf.DUMMYFUNCTION("""COMPUTED_VALUE"""),"RUN-ABRM_2023-03-24_RFR-193")</f>
        <v>RUN-ABRM_2023-03-24_RFR-193</v>
      </c>
      <c r="C1051" s="8">
        <f>VLOOKUP(B1051,'Run Reconcile'!A$2:B3212,2,FALSE)</f>
        <v>45009</v>
      </c>
      <c r="D1051" s="12">
        <f>IFERROR(__xludf.DUMMYFUNCTION("""COMPUTED_VALUE"""),45009.0)</f>
        <v>45009</v>
      </c>
      <c r="E1051" s="13">
        <f>IFERROR(__xludf.DUMMYFUNCTION("""COMPUTED_VALUE"""),0.30164351851999527)</f>
        <v>0.3016435185</v>
      </c>
      <c r="F1051" s="7" t="str">
        <f>IFERROR(__xludf.DUMMYFUNCTION("""COMPUTED_VALUE"""),"Negative")</f>
        <v>Negative</v>
      </c>
      <c r="G1051" s="7">
        <f>IFERROR(__xludf.DUMMYFUNCTION("""COMPUTED_VALUE"""),3.0)</f>
        <v>3</v>
      </c>
    </row>
    <row r="1052">
      <c r="A1052" s="7" t="str">
        <f>IFERROR(__xludf.DUMMYFUNCTION("""COMPUTED_VALUE"""),"AK9972")</f>
        <v>AK9972</v>
      </c>
      <c r="B1052" s="7" t="str">
        <f>IFERROR(__xludf.DUMMYFUNCTION("""COMPUTED_VALUE"""),"RUN-ABRM_2023-03-24_RFR-193")</f>
        <v>RUN-ABRM_2023-03-24_RFR-193</v>
      </c>
      <c r="C1052" s="8">
        <f>VLOOKUP(B1052,'Run Reconcile'!A$2:B3212,2,FALSE)</f>
        <v>45009</v>
      </c>
      <c r="D1052" s="12">
        <f>IFERROR(__xludf.DUMMYFUNCTION("""COMPUTED_VALUE"""),45009.0)</f>
        <v>45009</v>
      </c>
      <c r="E1052" s="13">
        <f>IFERROR(__xludf.DUMMYFUNCTION("""COMPUTED_VALUE"""),0.3035995370373712)</f>
        <v>0.303599537</v>
      </c>
      <c r="F1052" s="7" t="str">
        <f>IFERROR(__xludf.DUMMYFUNCTION("""COMPUTED_VALUE"""),"Negative")</f>
        <v>Negative</v>
      </c>
      <c r="G1052" s="7">
        <f>IFERROR(__xludf.DUMMYFUNCTION("""COMPUTED_VALUE"""),3.0)</f>
        <v>3</v>
      </c>
    </row>
    <row r="1053">
      <c r="A1053" s="7" t="str">
        <f>IFERROR(__xludf.DUMMYFUNCTION("""COMPUTED_VALUE"""),"AR1785")</f>
        <v>AR1785</v>
      </c>
      <c r="B1053" s="7" t="str">
        <f>IFERROR(__xludf.DUMMYFUNCTION("""COMPUTED_VALUE"""),"RUN-ABRM_2023-03-24_RFR-193")</f>
        <v>RUN-ABRM_2023-03-24_RFR-193</v>
      </c>
      <c r="C1053" s="8">
        <f>VLOOKUP(B1053,'Run Reconcile'!A$2:B3212,2,FALSE)</f>
        <v>45009</v>
      </c>
      <c r="D1053" s="12">
        <f>IFERROR(__xludf.DUMMYFUNCTION("""COMPUTED_VALUE"""),45009.0)</f>
        <v>45009</v>
      </c>
      <c r="E1053" s="13">
        <f>IFERROR(__xludf.DUMMYFUNCTION("""COMPUTED_VALUE"""),0.3233333333337214)</f>
        <v>0.3233333333</v>
      </c>
      <c r="F1053" s="7" t="str">
        <f>IFERROR(__xludf.DUMMYFUNCTION("""COMPUTED_VALUE"""),"Negative")</f>
        <v>Negative</v>
      </c>
      <c r="G1053" s="7">
        <f>IFERROR(__xludf.DUMMYFUNCTION("""COMPUTED_VALUE"""),2.0)</f>
        <v>2</v>
      </c>
    </row>
    <row r="1054">
      <c r="A1054" s="7" t="str">
        <f>IFERROR(__xludf.DUMMYFUNCTION("""COMPUTED_VALUE"""),"AR1074")</f>
        <v>AR1074</v>
      </c>
      <c r="B1054" s="7" t="str">
        <f>IFERROR(__xludf.DUMMYFUNCTION("""COMPUTED_VALUE"""),"RUN-ABRM_2023-03-24_RFR-193")</f>
        <v>RUN-ABRM_2023-03-24_RFR-193</v>
      </c>
      <c r="C1054" s="8">
        <f>VLOOKUP(B1054,'Run Reconcile'!A$2:B3212,2,FALSE)</f>
        <v>45009</v>
      </c>
      <c r="D1054" s="12">
        <f>IFERROR(__xludf.DUMMYFUNCTION("""COMPUTED_VALUE"""),45009.0)</f>
        <v>45009</v>
      </c>
      <c r="E1054" s="13">
        <f>IFERROR(__xludf.DUMMYFUNCTION("""COMPUTED_VALUE"""),0.32349537036861875)</f>
        <v>0.3234953704</v>
      </c>
      <c r="F1054" s="7" t="str">
        <f>IFERROR(__xludf.DUMMYFUNCTION("""COMPUTED_VALUE"""),"Negative")</f>
        <v>Negative</v>
      </c>
      <c r="G1054" s="7">
        <f>IFERROR(__xludf.DUMMYFUNCTION("""COMPUTED_VALUE"""),1.0)</f>
        <v>1</v>
      </c>
    </row>
    <row r="1055">
      <c r="A1055" s="7" t="str">
        <f>IFERROR(__xludf.DUMMYFUNCTION("""COMPUTED_VALUE"""),"AR734")</f>
        <v>AR734</v>
      </c>
      <c r="B1055" s="7" t="str">
        <f>IFERROR(__xludf.DUMMYFUNCTION("""COMPUTED_VALUE"""),"RUN-ABRM_2023-03-24_RFR-193")</f>
        <v>RUN-ABRM_2023-03-24_RFR-193</v>
      </c>
      <c r="C1055" s="8">
        <f>VLOOKUP(B1055,'Run Reconcile'!A$2:B3212,2,FALSE)</f>
        <v>45009</v>
      </c>
      <c r="D1055" s="12">
        <f>IFERROR(__xludf.DUMMYFUNCTION("""COMPUTED_VALUE"""),45009.0)</f>
        <v>45009</v>
      </c>
      <c r="E1055" s="13">
        <f>IFERROR(__xludf.DUMMYFUNCTION("""COMPUTED_VALUE"""),0.32512731481619994)</f>
        <v>0.3251273148</v>
      </c>
      <c r="F1055" s="7" t="str">
        <f>IFERROR(__xludf.DUMMYFUNCTION("""COMPUTED_VALUE"""),"Negative")</f>
        <v>Negative</v>
      </c>
      <c r="G1055" s="7">
        <f>IFERROR(__xludf.DUMMYFUNCTION("""COMPUTED_VALUE"""),1.0)</f>
        <v>1</v>
      </c>
    </row>
    <row r="1056">
      <c r="A1056" s="7" t="str">
        <f>IFERROR(__xludf.DUMMYFUNCTION("""COMPUTED_VALUE"""),"AJ9074")</f>
        <v>AJ9074</v>
      </c>
      <c r="B1056" s="7" t="str">
        <f>IFERROR(__xludf.DUMMYFUNCTION("""COMPUTED_VALUE"""),"RUN-ABRM_2023-03-24_RFR-193")</f>
        <v>RUN-ABRM_2023-03-24_RFR-193</v>
      </c>
      <c r="C1056" s="8">
        <f>VLOOKUP(B1056,'Run Reconcile'!A$2:B3212,2,FALSE)</f>
        <v>45009</v>
      </c>
      <c r="D1056" s="12">
        <f>IFERROR(__xludf.DUMMYFUNCTION("""COMPUTED_VALUE"""),45009.0)</f>
        <v>45009</v>
      </c>
      <c r="E1056" s="13">
        <f>IFERROR(__xludf.DUMMYFUNCTION("""COMPUTED_VALUE"""),0.37574074073927477)</f>
        <v>0.3757407407</v>
      </c>
      <c r="F1056" s="7" t="str">
        <f>IFERROR(__xludf.DUMMYFUNCTION("""COMPUTED_VALUE"""),"Negative")</f>
        <v>Negative</v>
      </c>
      <c r="G1056" s="7">
        <f>IFERROR(__xludf.DUMMYFUNCTION("""COMPUTED_VALUE"""),2.0)</f>
        <v>2</v>
      </c>
    </row>
    <row r="1057">
      <c r="A1057" s="7" t="str">
        <f>IFERROR(__xludf.DUMMYFUNCTION("""COMPUTED_VALUE"""),"AR1351")</f>
        <v>AR1351</v>
      </c>
      <c r="B1057" s="7" t="str">
        <f>IFERROR(__xludf.DUMMYFUNCTION("""COMPUTED_VALUE"""),"RUN-ABRM_2023-03-27_RFR-194")</f>
        <v>RUN-ABRM_2023-03-27_RFR-194</v>
      </c>
      <c r="C1057" s="8">
        <f>VLOOKUP(B1057,'Run Reconcile'!A$2:B3212,2,FALSE)</f>
        <v>45012</v>
      </c>
      <c r="D1057" s="12">
        <f>IFERROR(__xludf.DUMMYFUNCTION("""COMPUTED_VALUE"""),45012.0)</f>
        <v>45012</v>
      </c>
      <c r="E1057" s="13">
        <f>IFERROR(__xludf.DUMMYFUNCTION("""COMPUTED_VALUE"""),0.24299768518540077)</f>
        <v>0.2429976852</v>
      </c>
      <c r="F1057" s="7" t="str">
        <f>IFERROR(__xludf.DUMMYFUNCTION("""COMPUTED_VALUE"""),"Negative")</f>
        <v>Negative</v>
      </c>
      <c r="G1057" s="7">
        <f>IFERROR(__xludf.DUMMYFUNCTION("""COMPUTED_VALUE"""),3.0)</f>
        <v>3</v>
      </c>
    </row>
    <row r="1058">
      <c r="A1058" s="7" t="str">
        <f>IFERROR(__xludf.DUMMYFUNCTION("""COMPUTED_VALUE"""),"AR1235")</f>
        <v>AR1235</v>
      </c>
      <c r="B1058" s="7" t="str">
        <f>IFERROR(__xludf.DUMMYFUNCTION("""COMPUTED_VALUE"""),"RUN-ABRM_2023-03-27_RFR-194")</f>
        <v>RUN-ABRM_2023-03-27_RFR-194</v>
      </c>
      <c r="C1058" s="8">
        <f>VLOOKUP(B1058,'Run Reconcile'!A$2:B3212,2,FALSE)</f>
        <v>45012</v>
      </c>
      <c r="D1058" s="12">
        <f>IFERROR(__xludf.DUMMYFUNCTION("""COMPUTED_VALUE"""),45012.0)</f>
        <v>45012</v>
      </c>
      <c r="E1058" s="13">
        <f>IFERROR(__xludf.DUMMYFUNCTION("""COMPUTED_VALUE"""),0.24329861111255013)</f>
        <v>0.2432986111</v>
      </c>
      <c r="F1058" s="7" t="str">
        <f>IFERROR(__xludf.DUMMYFUNCTION("""COMPUTED_VALUE"""),"Negative")</f>
        <v>Negative</v>
      </c>
      <c r="G1058" s="7">
        <f>IFERROR(__xludf.DUMMYFUNCTION("""COMPUTED_VALUE"""),1.0)</f>
        <v>1</v>
      </c>
    </row>
    <row r="1059">
      <c r="A1059" s="7" t="str">
        <f>IFERROR(__xludf.DUMMYFUNCTION("""COMPUTED_VALUE"""),"AR1098")</f>
        <v>AR1098</v>
      </c>
      <c r="B1059" s="7" t="str">
        <f>IFERROR(__xludf.DUMMYFUNCTION("""COMPUTED_VALUE"""),"RUN-ABRM_2023-03-27_RFR-194")</f>
        <v>RUN-ABRM_2023-03-27_RFR-194</v>
      </c>
      <c r="C1059" s="8">
        <f>VLOOKUP(B1059,'Run Reconcile'!A$2:B3212,2,FALSE)</f>
        <v>45012</v>
      </c>
      <c r="D1059" s="12">
        <f>IFERROR(__xludf.DUMMYFUNCTION("""COMPUTED_VALUE"""),45012.0)</f>
        <v>45012</v>
      </c>
      <c r="E1059" s="13">
        <f>IFERROR(__xludf.DUMMYFUNCTION("""COMPUTED_VALUE"""),0.24359953703606152)</f>
        <v>0.243599537</v>
      </c>
      <c r="F1059" s="7" t="str">
        <f>IFERROR(__xludf.DUMMYFUNCTION("""COMPUTED_VALUE"""),"Negative")</f>
        <v>Negative</v>
      </c>
      <c r="G1059" s="7">
        <f>IFERROR(__xludf.DUMMYFUNCTION("""COMPUTED_VALUE"""),3.0)</f>
        <v>3</v>
      </c>
    </row>
    <row r="1060">
      <c r="A1060" s="7" t="str">
        <f>IFERROR(__xludf.DUMMYFUNCTION("""COMPUTED_VALUE"""),"AK9924")</f>
        <v>AK9924</v>
      </c>
      <c r="B1060" s="7" t="str">
        <f>IFERROR(__xludf.DUMMYFUNCTION("""COMPUTED_VALUE"""),"RUN-ABRM_2023-03-27_RFR-194")</f>
        <v>RUN-ABRM_2023-03-27_RFR-194</v>
      </c>
      <c r="C1060" s="8">
        <f>VLOOKUP(B1060,'Run Reconcile'!A$2:B3212,2,FALSE)</f>
        <v>45012</v>
      </c>
      <c r="D1060" s="12">
        <f>IFERROR(__xludf.DUMMYFUNCTION("""COMPUTED_VALUE"""),45012.0)</f>
        <v>45012</v>
      </c>
      <c r="E1060" s="13">
        <f>IFERROR(__xludf.DUMMYFUNCTION("""COMPUTED_VALUE"""),0.26291666666656965)</f>
        <v>0.2629166667</v>
      </c>
      <c r="F1060" s="7" t="str">
        <f>IFERROR(__xludf.DUMMYFUNCTION("""COMPUTED_VALUE"""),"Negative")</f>
        <v>Negative</v>
      </c>
      <c r="G1060" s="7">
        <f>IFERROR(__xludf.DUMMYFUNCTION("""COMPUTED_VALUE"""),4.0)</f>
        <v>4</v>
      </c>
    </row>
    <row r="1061">
      <c r="A1061" s="7" t="str">
        <f>IFERROR(__xludf.DUMMYFUNCTION("""COMPUTED_VALUE"""),"AR671")</f>
        <v>AR671</v>
      </c>
      <c r="B1061" s="7" t="str">
        <f>IFERROR(__xludf.DUMMYFUNCTION("""COMPUTED_VALUE"""),"RUN-ABRM_2023-03-27_RFR-194")</f>
        <v>RUN-ABRM_2023-03-27_RFR-194</v>
      </c>
      <c r="C1061" s="8">
        <f>VLOOKUP(B1061,'Run Reconcile'!A$2:B3212,2,FALSE)</f>
        <v>45012</v>
      </c>
      <c r="D1061" s="12">
        <f>IFERROR(__xludf.DUMMYFUNCTION("""COMPUTED_VALUE"""),45012.0)</f>
        <v>45012</v>
      </c>
      <c r="E1061" s="13">
        <f>IFERROR(__xludf.DUMMYFUNCTION("""COMPUTED_VALUE"""),0.3128703703696374)</f>
        <v>0.3128703704</v>
      </c>
      <c r="F1061" s="7" t="str">
        <f>IFERROR(__xludf.DUMMYFUNCTION("""COMPUTED_VALUE"""),"Negative")</f>
        <v>Negative</v>
      </c>
      <c r="G1061" s="7">
        <f>IFERROR(__xludf.DUMMYFUNCTION("""COMPUTED_VALUE"""),2.0)</f>
        <v>2</v>
      </c>
    </row>
    <row r="1062">
      <c r="A1062" s="7" t="str">
        <f>IFERROR(__xludf.DUMMYFUNCTION("""COMPUTED_VALUE"""),"AR214")</f>
        <v>AR214</v>
      </c>
      <c r="B1062" s="7" t="str">
        <f>IFERROR(__xludf.DUMMYFUNCTION("""COMPUTED_VALUE"""),"RUN-ABRM_2023-03-27_RFR-194")</f>
        <v>RUN-ABRM_2023-03-27_RFR-194</v>
      </c>
      <c r="C1062" s="8">
        <f>VLOOKUP(B1062,'Run Reconcile'!A$2:B3212,2,FALSE)</f>
        <v>45012</v>
      </c>
      <c r="D1062" s="12">
        <f>IFERROR(__xludf.DUMMYFUNCTION("""COMPUTED_VALUE"""),45012.0)</f>
        <v>45012</v>
      </c>
      <c r="E1062" s="13">
        <f>IFERROR(__xludf.DUMMYFUNCTION("""COMPUTED_VALUE"""),0.31785879629751435)</f>
        <v>0.3178587963</v>
      </c>
      <c r="F1062" s="7" t="str">
        <f>IFERROR(__xludf.DUMMYFUNCTION("""COMPUTED_VALUE"""),"Negative")</f>
        <v>Negative</v>
      </c>
      <c r="G1062" s="7">
        <f>IFERROR(__xludf.DUMMYFUNCTION("""COMPUTED_VALUE"""),1.0)</f>
        <v>1</v>
      </c>
    </row>
    <row r="1063">
      <c r="A1063" s="7" t="str">
        <f>IFERROR(__xludf.DUMMYFUNCTION("""COMPUTED_VALUE"""),"AR1559")</f>
        <v>AR1559</v>
      </c>
      <c r="B1063" s="7" t="str">
        <f>IFERROR(__xludf.DUMMYFUNCTION("""COMPUTED_VALUE"""),"RUN-ABRM_2023-03-27_RFR-194")</f>
        <v>RUN-ABRM_2023-03-27_RFR-194</v>
      </c>
      <c r="C1063" s="8">
        <f>VLOOKUP(B1063,'Run Reconcile'!A$2:B3212,2,FALSE)</f>
        <v>45012</v>
      </c>
      <c r="D1063" s="12">
        <f>IFERROR(__xludf.DUMMYFUNCTION("""COMPUTED_VALUE"""),45012.0)</f>
        <v>45012</v>
      </c>
      <c r="E1063" s="13">
        <f>IFERROR(__xludf.DUMMYFUNCTION("""COMPUTED_VALUE"""),0.32069444444277906)</f>
        <v>0.3206944444</v>
      </c>
      <c r="F1063" s="7" t="str">
        <f>IFERROR(__xludf.DUMMYFUNCTION("""COMPUTED_VALUE"""),"Negative")</f>
        <v>Negative</v>
      </c>
      <c r="G1063" s="7">
        <f>IFERROR(__xludf.DUMMYFUNCTION("""COMPUTED_VALUE"""),1.0)</f>
        <v>1</v>
      </c>
    </row>
    <row r="1064">
      <c r="A1064" s="7" t="str">
        <f>IFERROR(__xludf.DUMMYFUNCTION("""COMPUTED_VALUE"""),"AR1237")</f>
        <v>AR1237</v>
      </c>
      <c r="B1064" s="7" t="str">
        <f>IFERROR(__xludf.DUMMYFUNCTION("""COMPUTED_VALUE"""),"RUN-ABRM_2023-03-27_RFR-194")</f>
        <v>RUN-ABRM_2023-03-27_RFR-194</v>
      </c>
      <c r="C1064" s="8">
        <f>VLOOKUP(B1064,'Run Reconcile'!A$2:B3212,2,FALSE)</f>
        <v>45012</v>
      </c>
      <c r="D1064" s="12">
        <f>IFERROR(__xludf.DUMMYFUNCTION("""COMPUTED_VALUE"""),45012.0)</f>
        <v>45012</v>
      </c>
      <c r="E1064" s="13">
        <f>IFERROR(__xludf.DUMMYFUNCTION("""COMPUTED_VALUE"""),0.3211458333316841)</f>
        <v>0.3211458333</v>
      </c>
      <c r="F1064" s="7" t="str">
        <f>IFERROR(__xludf.DUMMYFUNCTION("""COMPUTED_VALUE"""),"Negative")</f>
        <v>Negative</v>
      </c>
      <c r="G1064" s="7">
        <f>IFERROR(__xludf.DUMMYFUNCTION("""COMPUTED_VALUE"""),4.0)</f>
        <v>4</v>
      </c>
    </row>
    <row r="1065">
      <c r="A1065" s="7" t="str">
        <f>IFERROR(__xludf.DUMMYFUNCTION("""COMPUTED_VALUE"""),"AR1631")</f>
        <v>AR1631</v>
      </c>
      <c r="B1065" s="7" t="str">
        <f>IFERROR(__xludf.DUMMYFUNCTION("""COMPUTED_VALUE"""),"RUN-ABRM_2023-03-27_RFR-194")</f>
        <v>RUN-ABRM_2023-03-27_RFR-194</v>
      </c>
      <c r="C1065" s="8">
        <f>VLOOKUP(B1065,'Run Reconcile'!A$2:B3212,2,FALSE)</f>
        <v>45012</v>
      </c>
      <c r="D1065" s="12">
        <f>IFERROR(__xludf.DUMMYFUNCTION("""COMPUTED_VALUE"""),45012.0)</f>
        <v>45012</v>
      </c>
      <c r="E1065" s="13">
        <f>IFERROR(__xludf.DUMMYFUNCTION("""COMPUTED_VALUE"""),0.341134259258979)</f>
        <v>0.3411342593</v>
      </c>
      <c r="F1065" s="7" t="str">
        <f>IFERROR(__xludf.DUMMYFUNCTION("""COMPUTED_VALUE"""),"Negative")</f>
        <v>Negative</v>
      </c>
      <c r="G1065" s="7">
        <f>IFERROR(__xludf.DUMMYFUNCTION("""COMPUTED_VALUE"""),1.0)</f>
        <v>1</v>
      </c>
    </row>
    <row r="1066">
      <c r="A1066" s="7" t="str">
        <f>IFERROR(__xludf.DUMMYFUNCTION("""COMPUTED_VALUE"""),"AR798")</f>
        <v>AR798</v>
      </c>
      <c r="B1066" s="7" t="str">
        <f>IFERROR(__xludf.DUMMYFUNCTION("""COMPUTED_VALUE"""),"RUN-ABRM_2023-03-28_RFR-195")</f>
        <v>RUN-ABRM_2023-03-28_RFR-195</v>
      </c>
      <c r="C1066" s="8">
        <f>VLOOKUP(B1066,'Run Reconcile'!A$2:B3212,2,FALSE)</f>
        <v>45013</v>
      </c>
      <c r="D1066" s="12">
        <f>IFERROR(__xludf.DUMMYFUNCTION("""COMPUTED_VALUE"""),45013.0)</f>
        <v>45013</v>
      </c>
      <c r="E1066" s="13">
        <f>IFERROR(__xludf.DUMMYFUNCTION("""COMPUTED_VALUE"""),0.23723379629518604)</f>
        <v>0.2372337963</v>
      </c>
      <c r="F1066" s="7" t="str">
        <f>IFERROR(__xludf.DUMMYFUNCTION("""COMPUTED_VALUE"""),"Negative")</f>
        <v>Negative</v>
      </c>
      <c r="G1066" s="7">
        <f>IFERROR(__xludf.DUMMYFUNCTION("""COMPUTED_VALUE"""),3.0)</f>
        <v>3</v>
      </c>
    </row>
    <row r="1067">
      <c r="A1067" s="7" t="str">
        <f>IFERROR(__xludf.DUMMYFUNCTION("""COMPUTED_VALUE"""),"AB9962")</f>
        <v>AB9962</v>
      </c>
      <c r="B1067" s="7" t="str">
        <f>IFERROR(__xludf.DUMMYFUNCTION("""COMPUTED_VALUE"""),"RUN-ABRM_2023-03-28_RFR-195")</f>
        <v>RUN-ABRM_2023-03-28_RFR-195</v>
      </c>
      <c r="C1067" s="8">
        <f>VLOOKUP(B1067,'Run Reconcile'!A$2:B3212,2,FALSE)</f>
        <v>45013</v>
      </c>
      <c r="D1067" s="12">
        <f>IFERROR(__xludf.DUMMYFUNCTION("""COMPUTED_VALUE"""),45013.0)</f>
        <v>45013</v>
      </c>
      <c r="E1067" s="13">
        <f>IFERROR(__xludf.DUMMYFUNCTION("""COMPUTED_VALUE"""),0.25809027777722804)</f>
        <v>0.2580902778</v>
      </c>
      <c r="F1067" s="7" t="str">
        <f>IFERROR(__xludf.DUMMYFUNCTION("""COMPUTED_VALUE"""),"Negative")</f>
        <v>Negative</v>
      </c>
      <c r="G1067" s="7">
        <f>IFERROR(__xludf.DUMMYFUNCTION("""COMPUTED_VALUE"""),3.0)</f>
        <v>3</v>
      </c>
    </row>
    <row r="1068">
      <c r="A1068" s="7" t="str">
        <f>IFERROR(__xludf.DUMMYFUNCTION("""COMPUTED_VALUE"""),"AR1301")</f>
        <v>AR1301</v>
      </c>
      <c r="B1068" s="7" t="str">
        <f>IFERROR(__xludf.DUMMYFUNCTION("""COMPUTED_VALUE"""),"RUN-ABRM_2023-03-28_RFR-195")</f>
        <v>RUN-ABRM_2023-03-28_RFR-195</v>
      </c>
      <c r="C1068" s="8">
        <f>VLOOKUP(B1068,'Run Reconcile'!A$2:B3212,2,FALSE)</f>
        <v>45013</v>
      </c>
      <c r="D1068" s="12">
        <f>IFERROR(__xludf.DUMMYFUNCTION("""COMPUTED_VALUE"""),45013.0)</f>
        <v>45013</v>
      </c>
      <c r="E1068" s="13">
        <f>IFERROR(__xludf.DUMMYFUNCTION("""COMPUTED_VALUE"""),0.2884490740725596)</f>
        <v>0.2884490741</v>
      </c>
      <c r="F1068" s="7" t="str">
        <f>IFERROR(__xludf.DUMMYFUNCTION("""COMPUTED_VALUE"""),"Negative")</f>
        <v>Negative</v>
      </c>
      <c r="G1068" s="7">
        <f>IFERROR(__xludf.DUMMYFUNCTION("""COMPUTED_VALUE"""),4.0)</f>
        <v>4</v>
      </c>
    </row>
    <row r="1069">
      <c r="A1069" s="7" t="str">
        <f>IFERROR(__xludf.DUMMYFUNCTION("""COMPUTED_VALUE"""),"AK9765")</f>
        <v>AK9765</v>
      </c>
      <c r="B1069" s="7" t="str">
        <f>IFERROR(__xludf.DUMMYFUNCTION("""COMPUTED_VALUE"""),"RUN-ABRM_2023-03-28_RFR-195")</f>
        <v>RUN-ABRM_2023-03-28_RFR-195</v>
      </c>
      <c r="C1069" s="8">
        <f>VLOOKUP(B1069,'Run Reconcile'!A$2:B3212,2,FALSE)</f>
        <v>45013</v>
      </c>
      <c r="D1069" s="12">
        <f>IFERROR(__xludf.DUMMYFUNCTION("""COMPUTED_VALUE"""),45013.0)</f>
        <v>45013</v>
      </c>
      <c r="E1069" s="13">
        <f>IFERROR(__xludf.DUMMYFUNCTION("""COMPUTED_VALUE"""),0.2971296296309447)</f>
        <v>0.2971296296</v>
      </c>
      <c r="F1069" s="7" t="str">
        <f>IFERROR(__xludf.DUMMYFUNCTION("""COMPUTED_VALUE"""),"Negative")</f>
        <v>Negative</v>
      </c>
      <c r="G1069" s="7">
        <f>IFERROR(__xludf.DUMMYFUNCTION("""COMPUTED_VALUE"""),3.0)</f>
        <v>3</v>
      </c>
    </row>
    <row r="1070">
      <c r="A1070" s="7" t="str">
        <f>IFERROR(__xludf.DUMMYFUNCTION("""COMPUTED_VALUE"""),"AE9958")</f>
        <v>AE9958</v>
      </c>
      <c r="B1070" s="7" t="str">
        <f>IFERROR(__xludf.DUMMYFUNCTION("""COMPUTED_VALUE"""),"RUN-ABRM_2023-03-28_RFR-195")</f>
        <v>RUN-ABRM_2023-03-28_RFR-195</v>
      </c>
      <c r="C1070" s="8">
        <f>VLOOKUP(B1070,'Run Reconcile'!A$2:B3212,2,FALSE)</f>
        <v>45013</v>
      </c>
      <c r="D1070" s="12">
        <f>IFERROR(__xludf.DUMMYFUNCTION("""COMPUTED_VALUE"""),45013.0)</f>
        <v>45013</v>
      </c>
      <c r="E1070" s="13">
        <f>IFERROR(__xludf.DUMMYFUNCTION("""COMPUTED_VALUE"""),0.29805555555503815)</f>
        <v>0.2980555556</v>
      </c>
      <c r="F1070" s="7" t="str">
        <f>IFERROR(__xludf.DUMMYFUNCTION("""COMPUTED_VALUE"""),"Negative")</f>
        <v>Negative</v>
      </c>
      <c r="G1070" s="7">
        <f>IFERROR(__xludf.DUMMYFUNCTION("""COMPUTED_VALUE"""),2.0)</f>
        <v>2</v>
      </c>
    </row>
    <row r="1071">
      <c r="A1071" s="7" t="str">
        <f>IFERROR(__xludf.DUMMYFUNCTION("""COMPUTED_VALUE"""),"AB9927")</f>
        <v>AB9927</v>
      </c>
      <c r="B1071" s="7" t="str">
        <f>IFERROR(__xludf.DUMMYFUNCTION("""COMPUTED_VALUE"""),"RUN-ABRM_2023-03-28_RFR-195")</f>
        <v>RUN-ABRM_2023-03-28_RFR-195</v>
      </c>
      <c r="C1071" s="8">
        <f>VLOOKUP(B1071,'Run Reconcile'!A$2:B3212,2,FALSE)</f>
        <v>45013</v>
      </c>
      <c r="D1071" s="12">
        <f>IFERROR(__xludf.DUMMYFUNCTION("""COMPUTED_VALUE"""),45013.0)</f>
        <v>45013</v>
      </c>
      <c r="E1071" s="13">
        <f>IFERROR(__xludf.DUMMYFUNCTION("""COMPUTED_VALUE"""),0.30160879629693227)</f>
        <v>0.3016087963</v>
      </c>
      <c r="F1071" s="7" t="str">
        <f>IFERROR(__xludf.DUMMYFUNCTION("""COMPUTED_VALUE"""),"Negative")</f>
        <v>Negative</v>
      </c>
      <c r="G1071" s="7">
        <f>IFERROR(__xludf.DUMMYFUNCTION("""COMPUTED_VALUE"""),1.0)</f>
        <v>1</v>
      </c>
    </row>
    <row r="1072">
      <c r="A1072" s="7" t="str">
        <f>IFERROR(__xludf.DUMMYFUNCTION("""COMPUTED_VALUE"""),"AR1359")</f>
        <v>AR1359</v>
      </c>
      <c r="B1072" s="7" t="str">
        <f>IFERROR(__xludf.DUMMYFUNCTION("""COMPUTED_VALUE"""),"RUN-ABRM_2023-03-28_RFR-195")</f>
        <v>RUN-ABRM_2023-03-28_RFR-195</v>
      </c>
      <c r="C1072" s="8">
        <f>VLOOKUP(B1072,'Run Reconcile'!A$2:B3212,2,FALSE)</f>
        <v>45013</v>
      </c>
      <c r="D1072" s="12">
        <f>IFERROR(__xludf.DUMMYFUNCTION("""COMPUTED_VALUE"""),45013.0)</f>
        <v>45013</v>
      </c>
      <c r="E1072" s="13">
        <f>IFERROR(__xludf.DUMMYFUNCTION("""COMPUTED_VALUE"""),0.30190972222044365)</f>
        <v>0.3019097222</v>
      </c>
      <c r="F1072" s="7" t="str">
        <f>IFERROR(__xludf.DUMMYFUNCTION("""COMPUTED_VALUE"""),"Negative")</f>
        <v>Negative</v>
      </c>
      <c r="G1072" s="7">
        <f>IFERROR(__xludf.DUMMYFUNCTION("""COMPUTED_VALUE"""),1.0)</f>
        <v>1</v>
      </c>
    </row>
    <row r="1073">
      <c r="A1073" s="7" t="str">
        <f>IFERROR(__xludf.DUMMYFUNCTION("""COMPUTED_VALUE"""),"AR1599")</f>
        <v>AR1599</v>
      </c>
      <c r="B1073" s="7" t="str">
        <f>IFERROR(__xludf.DUMMYFUNCTION("""COMPUTED_VALUE"""),"RUN-ABRM_2023-03-28_RFR-195")</f>
        <v>RUN-ABRM_2023-03-28_RFR-195</v>
      </c>
      <c r="C1073" s="8">
        <f>VLOOKUP(B1073,'Run Reconcile'!A$2:B3212,2,FALSE)</f>
        <v>45013</v>
      </c>
      <c r="D1073" s="12">
        <f>IFERROR(__xludf.DUMMYFUNCTION("""COMPUTED_VALUE"""),45013.0)</f>
        <v>45013</v>
      </c>
      <c r="E1073" s="13">
        <f>IFERROR(__xludf.DUMMYFUNCTION("""COMPUTED_VALUE"""),0.3437731481499213)</f>
        <v>0.3437731481</v>
      </c>
      <c r="F1073" s="7" t="str">
        <f>IFERROR(__xludf.DUMMYFUNCTION("""COMPUTED_VALUE"""),"Negative")</f>
        <v>Negative</v>
      </c>
      <c r="G1073" s="7">
        <f>IFERROR(__xludf.DUMMYFUNCTION("""COMPUTED_VALUE"""),3.0)</f>
        <v>3</v>
      </c>
    </row>
    <row r="1074">
      <c r="A1074" s="7" t="str">
        <f>IFERROR(__xludf.DUMMYFUNCTION("""COMPUTED_VALUE"""),"AR1147")</f>
        <v>AR1147</v>
      </c>
      <c r="B1074" s="7" t="str">
        <f>IFERROR(__xludf.DUMMYFUNCTION("""COMPUTED_VALUE"""),"RUN-ABRM_2023-03-29_RFR-196")</f>
        <v>RUN-ABRM_2023-03-29_RFR-196</v>
      </c>
      <c r="C1074" s="8">
        <f>VLOOKUP(B1074,'Run Reconcile'!A$2:B3212,2,FALSE)</f>
        <v>45014</v>
      </c>
      <c r="D1074" s="12">
        <f>IFERROR(__xludf.DUMMYFUNCTION("""COMPUTED_VALUE"""),45014.0)</f>
        <v>45014</v>
      </c>
      <c r="E1074" s="13">
        <f>IFERROR(__xludf.DUMMYFUNCTION("""COMPUTED_VALUE"""),0.2362268518518249)</f>
        <v>0.2362268519</v>
      </c>
      <c r="F1074" s="7" t="str">
        <f>IFERROR(__xludf.DUMMYFUNCTION("""COMPUTED_VALUE"""),"Negative")</f>
        <v>Negative</v>
      </c>
      <c r="G1074" s="7">
        <f>IFERROR(__xludf.DUMMYFUNCTION("""COMPUTED_VALUE"""),4.0)</f>
        <v>4</v>
      </c>
    </row>
    <row r="1075">
      <c r="A1075" s="7" t="str">
        <f>IFERROR(__xludf.DUMMYFUNCTION("""COMPUTED_VALUE"""),"AR919")</f>
        <v>AR919</v>
      </c>
      <c r="B1075" s="7" t="str">
        <f>IFERROR(__xludf.DUMMYFUNCTION("""COMPUTED_VALUE"""),"RUN-ABRM_2023-03-29_RFR-196")</f>
        <v>RUN-ABRM_2023-03-29_RFR-196</v>
      </c>
      <c r="C1075" s="8">
        <f>VLOOKUP(B1075,'Run Reconcile'!A$2:B3212,2,FALSE)</f>
        <v>45014</v>
      </c>
      <c r="D1075" s="12">
        <f>IFERROR(__xludf.DUMMYFUNCTION("""COMPUTED_VALUE"""),45014.0)</f>
        <v>45014</v>
      </c>
      <c r="E1075" s="13">
        <f>IFERROR(__xludf.DUMMYFUNCTION("""COMPUTED_VALUE"""),0.2583564814813144)</f>
        <v>0.2583564815</v>
      </c>
      <c r="F1075" s="7" t="str">
        <f>IFERROR(__xludf.DUMMYFUNCTION("""COMPUTED_VALUE"""),"Negative")</f>
        <v>Negative</v>
      </c>
      <c r="G1075" s="7">
        <f>IFERROR(__xludf.DUMMYFUNCTION("""COMPUTED_VALUE"""),2.0)</f>
        <v>2</v>
      </c>
    </row>
    <row r="1076">
      <c r="A1076" s="7" t="str">
        <f>IFERROR(__xludf.DUMMYFUNCTION("""COMPUTED_VALUE"""),"AR1686")</f>
        <v>AR1686</v>
      </c>
      <c r="B1076" s="7" t="str">
        <f>IFERROR(__xludf.DUMMYFUNCTION("""COMPUTED_VALUE"""),"RUN-ABRM_2023-03-29_RFR-196")</f>
        <v>RUN-ABRM_2023-03-29_RFR-196</v>
      </c>
      <c r="C1076" s="8">
        <f>VLOOKUP(B1076,'Run Reconcile'!A$2:B3212,2,FALSE)</f>
        <v>45014</v>
      </c>
      <c r="D1076" s="12">
        <f>IFERROR(__xludf.DUMMYFUNCTION("""COMPUTED_VALUE"""),45014.0)</f>
        <v>45014</v>
      </c>
      <c r="E1076" s="13">
        <f>IFERROR(__xludf.DUMMYFUNCTION("""COMPUTED_VALUE"""),0.270682870370365)</f>
        <v>0.2706828704</v>
      </c>
      <c r="F1076" s="7" t="str">
        <f>IFERROR(__xludf.DUMMYFUNCTION("""COMPUTED_VALUE"""),"Negative")</f>
        <v>Negative</v>
      </c>
      <c r="G1076" s="7">
        <f>IFERROR(__xludf.DUMMYFUNCTION("""COMPUTED_VALUE"""),3.0)</f>
        <v>3</v>
      </c>
    </row>
    <row r="1077">
      <c r="A1077" s="7" t="str">
        <f>IFERROR(__xludf.DUMMYFUNCTION("""COMPUTED_VALUE"""),"AR348")</f>
        <v>AR348</v>
      </c>
      <c r="B1077" s="7" t="str">
        <f>IFERROR(__xludf.DUMMYFUNCTION("""COMPUTED_VALUE"""),"RUN-ABRM_2023-03-29_RFR-196")</f>
        <v>RUN-ABRM_2023-03-29_RFR-196</v>
      </c>
      <c r="C1077" s="8">
        <f>VLOOKUP(B1077,'Run Reconcile'!A$2:B3212,2,FALSE)</f>
        <v>45014</v>
      </c>
      <c r="D1077" s="12">
        <f>IFERROR(__xludf.DUMMYFUNCTION("""COMPUTED_VALUE"""),45014.0)</f>
        <v>45014</v>
      </c>
      <c r="E1077" s="13">
        <f>IFERROR(__xludf.DUMMYFUNCTION("""COMPUTED_VALUE"""),0.2779745370353339)</f>
        <v>0.277974537</v>
      </c>
      <c r="F1077" s="7" t="str">
        <f>IFERROR(__xludf.DUMMYFUNCTION("""COMPUTED_VALUE"""),"Negative")</f>
        <v>Negative</v>
      </c>
      <c r="G1077" s="7">
        <f>IFERROR(__xludf.DUMMYFUNCTION("""COMPUTED_VALUE"""),3.0)</f>
        <v>3</v>
      </c>
    </row>
    <row r="1078">
      <c r="A1078" s="7" t="str">
        <f>IFERROR(__xludf.DUMMYFUNCTION("""COMPUTED_VALUE"""),"AR729")</f>
        <v>AR729</v>
      </c>
      <c r="B1078" s="7" t="str">
        <f>IFERROR(__xludf.DUMMYFUNCTION("""COMPUTED_VALUE"""),"RUN-ABRM_2023-03-29_RFR-196")</f>
        <v>RUN-ABRM_2023-03-29_RFR-196</v>
      </c>
      <c r="C1078" s="8">
        <f>VLOOKUP(B1078,'Run Reconcile'!A$2:B3212,2,FALSE)</f>
        <v>45014</v>
      </c>
      <c r="D1078" s="12">
        <f>IFERROR(__xludf.DUMMYFUNCTION("""COMPUTED_VALUE"""),45014.0)</f>
        <v>45014</v>
      </c>
      <c r="E1078" s="13">
        <f>IFERROR(__xludf.DUMMYFUNCTION("""COMPUTED_VALUE"""),0.29795138888948713)</f>
        <v>0.2979513889</v>
      </c>
      <c r="F1078" s="7" t="str">
        <f>IFERROR(__xludf.DUMMYFUNCTION("""COMPUTED_VALUE"""),"Negative")</f>
        <v>Negative</v>
      </c>
      <c r="G1078" s="7">
        <f>IFERROR(__xludf.DUMMYFUNCTION("""COMPUTED_VALUE"""),1.0)</f>
        <v>1</v>
      </c>
    </row>
    <row r="1079">
      <c r="A1079" s="7" t="str">
        <f>IFERROR(__xludf.DUMMYFUNCTION("""COMPUTED_VALUE"""),"AK9966")</f>
        <v>AK9966</v>
      </c>
      <c r="B1079" s="7" t="str">
        <f>IFERROR(__xludf.DUMMYFUNCTION("""COMPUTED_VALUE"""),"RUN-ABRM_2023-03-29_RFR-196")</f>
        <v>RUN-ABRM_2023-03-29_RFR-196</v>
      </c>
      <c r="C1079" s="8">
        <f>VLOOKUP(B1079,'Run Reconcile'!A$2:B3212,2,FALSE)</f>
        <v>45014</v>
      </c>
      <c r="D1079" s="12">
        <f>IFERROR(__xludf.DUMMYFUNCTION("""COMPUTED_VALUE"""),45014.0)</f>
        <v>45014</v>
      </c>
      <c r="E1079" s="13">
        <f>IFERROR(__xludf.DUMMYFUNCTION("""COMPUTED_VALUE"""),0.3309953703719657)</f>
        <v>0.3309953704</v>
      </c>
      <c r="F1079" s="7" t="str">
        <f>IFERROR(__xludf.DUMMYFUNCTION("""COMPUTED_VALUE"""),"Negative")</f>
        <v>Negative</v>
      </c>
      <c r="G1079" s="7">
        <f>IFERROR(__xludf.DUMMYFUNCTION("""COMPUTED_VALUE"""),2.0)</f>
        <v>2</v>
      </c>
    </row>
    <row r="1080">
      <c r="A1080" s="7" t="str">
        <f>IFERROR(__xludf.DUMMYFUNCTION("""COMPUTED_VALUE"""),"AR502")</f>
        <v>AR502</v>
      </c>
      <c r="B1080" s="7" t="str">
        <f>IFERROR(__xludf.DUMMYFUNCTION("""COMPUTED_VALUE"""),"RUN-ABRM_2023-03-29_RFR-196")</f>
        <v>RUN-ABRM_2023-03-29_RFR-196</v>
      </c>
      <c r="C1080" s="8">
        <f>VLOOKUP(B1080,'Run Reconcile'!A$2:B3212,2,FALSE)</f>
        <v>45014</v>
      </c>
      <c r="D1080" s="12">
        <f>IFERROR(__xludf.DUMMYFUNCTION("""COMPUTED_VALUE"""),45014.0)</f>
        <v>45014</v>
      </c>
      <c r="E1080" s="13">
        <f>IFERROR(__xludf.DUMMYFUNCTION("""COMPUTED_VALUE"""),0.3317939814805868)</f>
        <v>0.3317939815</v>
      </c>
      <c r="F1080" s="7" t="str">
        <f>IFERROR(__xludf.DUMMYFUNCTION("""COMPUTED_VALUE"""),"Negative")</f>
        <v>Negative</v>
      </c>
      <c r="G1080" s="7">
        <f>IFERROR(__xludf.DUMMYFUNCTION("""COMPUTED_VALUE"""),1.0)</f>
        <v>1</v>
      </c>
    </row>
    <row r="1081">
      <c r="A1081" s="7" t="str">
        <f>IFERROR(__xludf.DUMMYFUNCTION("""COMPUTED_VALUE"""),"AR996")</f>
        <v>AR996</v>
      </c>
      <c r="B1081" s="7" t="str">
        <f>IFERROR(__xludf.DUMMYFUNCTION("""COMPUTED_VALUE"""),"RUN-ABRM_2023-03-29_RFR-196")</f>
        <v>RUN-ABRM_2023-03-29_RFR-196</v>
      </c>
      <c r="C1081" s="8">
        <f>VLOOKUP(B1081,'Run Reconcile'!A$2:B3212,2,FALSE)</f>
        <v>45014</v>
      </c>
      <c r="D1081" s="12">
        <f>IFERROR(__xludf.DUMMYFUNCTION("""COMPUTED_VALUE"""),45014.0)</f>
        <v>45014</v>
      </c>
      <c r="E1081" s="13">
        <f>IFERROR(__xludf.DUMMYFUNCTION("""COMPUTED_VALUE"""),0.3324074074080272)</f>
        <v>0.3324074074</v>
      </c>
      <c r="F1081" s="7" t="str">
        <f>IFERROR(__xludf.DUMMYFUNCTION("""COMPUTED_VALUE"""),"Negative")</f>
        <v>Negative</v>
      </c>
      <c r="G1081" s="7">
        <f>IFERROR(__xludf.DUMMYFUNCTION("""COMPUTED_VALUE"""),1.0)</f>
        <v>1</v>
      </c>
    </row>
    <row r="1082">
      <c r="A1082" s="7" t="str">
        <f>IFERROR(__xludf.DUMMYFUNCTION("""COMPUTED_VALUE"""),"AR850")</f>
        <v>AR850</v>
      </c>
      <c r="B1082" s="7" t="str">
        <f>IFERROR(__xludf.DUMMYFUNCTION("""COMPUTED_VALUE"""),"RUN-ABRM_2023-03-29_RFR-196")</f>
        <v>RUN-ABRM_2023-03-29_RFR-196</v>
      </c>
      <c r="C1082" s="8">
        <f>VLOOKUP(B1082,'Run Reconcile'!A$2:B3212,2,FALSE)</f>
        <v>45014</v>
      </c>
      <c r="D1082" s="12">
        <f>IFERROR(__xludf.DUMMYFUNCTION("""COMPUTED_VALUE"""),45014.0)</f>
        <v>45014</v>
      </c>
      <c r="E1082" s="13">
        <f>IFERROR(__xludf.DUMMYFUNCTION("""COMPUTED_VALUE"""),0.33283564814701094)</f>
        <v>0.3328356481</v>
      </c>
      <c r="F1082" s="7" t="str">
        <f>IFERROR(__xludf.DUMMYFUNCTION("""COMPUTED_VALUE"""),"Negative")</f>
        <v>Negative</v>
      </c>
      <c r="G1082" s="7">
        <f>IFERROR(__xludf.DUMMYFUNCTION("""COMPUTED_VALUE"""),3.0)</f>
        <v>3</v>
      </c>
    </row>
    <row r="1083">
      <c r="A1083" s="7" t="str">
        <f>IFERROR(__xludf.DUMMYFUNCTION("""COMPUTED_VALUE"""),"AR1374")</f>
        <v>AR1374</v>
      </c>
      <c r="B1083" s="7" t="str">
        <f>IFERROR(__xludf.DUMMYFUNCTION("""COMPUTED_VALUE"""),"RUN-ABRM_2023-03-29_RFR-196")</f>
        <v>RUN-ABRM_2023-03-29_RFR-196</v>
      </c>
      <c r="C1083" s="8">
        <f>VLOOKUP(B1083,'Run Reconcile'!A$2:B3212,2,FALSE)</f>
        <v>45014</v>
      </c>
      <c r="D1083" s="12">
        <f>IFERROR(__xludf.DUMMYFUNCTION("""COMPUTED_VALUE"""),45014.0)</f>
        <v>45014</v>
      </c>
      <c r="E1083" s="13">
        <f>IFERROR(__xludf.DUMMYFUNCTION("""COMPUTED_VALUE"""),0.34591435185211594)</f>
        <v>0.3459143519</v>
      </c>
      <c r="F1083" s="7" t="str">
        <f>IFERROR(__xludf.DUMMYFUNCTION("""COMPUTED_VALUE"""),"Negative")</f>
        <v>Negative</v>
      </c>
      <c r="G1083" s="7">
        <f>IFERROR(__xludf.DUMMYFUNCTION("""COMPUTED_VALUE"""),4.0)</f>
        <v>4</v>
      </c>
    </row>
    <row r="1084">
      <c r="A1084" s="7" t="str">
        <f>IFERROR(__xludf.DUMMYFUNCTION("""COMPUTED_VALUE"""),"AR353")</f>
        <v>AR353</v>
      </c>
      <c r="B1084" s="7" t="str">
        <f>IFERROR(__xludf.DUMMYFUNCTION("""COMPUTED_VALUE"""),"RUN-ABRM_2023-03-30_RFR-197")</f>
        <v>RUN-ABRM_2023-03-30_RFR-197</v>
      </c>
      <c r="C1084" s="8">
        <f>VLOOKUP(B1084,'Run Reconcile'!A$2:B3212,2,FALSE)</f>
        <v>45015</v>
      </c>
      <c r="D1084" s="12">
        <f>IFERROR(__xludf.DUMMYFUNCTION("""COMPUTED_VALUE"""),45015.0)</f>
        <v>45015</v>
      </c>
      <c r="E1084" s="13">
        <f>IFERROR(__xludf.DUMMYFUNCTION("""COMPUTED_VALUE"""),0.21959490740846377)</f>
        <v>0.2195949074</v>
      </c>
      <c r="F1084" s="7" t="str">
        <f>IFERROR(__xludf.DUMMYFUNCTION("""COMPUTED_VALUE"""),"Negative")</f>
        <v>Negative</v>
      </c>
      <c r="G1084" s="7">
        <f>IFERROR(__xludf.DUMMYFUNCTION("""COMPUTED_VALUE"""),3.0)</f>
        <v>3</v>
      </c>
    </row>
    <row r="1085">
      <c r="A1085" s="7" t="str">
        <f>IFERROR(__xludf.DUMMYFUNCTION("""COMPUTED_VALUE"""),"AK9881")</f>
        <v>AK9881</v>
      </c>
      <c r="B1085" s="7" t="str">
        <f>IFERROR(__xludf.DUMMYFUNCTION("""COMPUTED_VALUE"""),"RUN-ABRM_2023-03-30_RFR-197")</f>
        <v>RUN-ABRM_2023-03-30_RFR-197</v>
      </c>
      <c r="C1085" s="8">
        <f>VLOOKUP(B1085,'Run Reconcile'!A$2:B3212,2,FALSE)</f>
        <v>45015</v>
      </c>
      <c r="D1085" s="12">
        <f>IFERROR(__xludf.DUMMYFUNCTION("""COMPUTED_VALUE"""),45015.0)</f>
        <v>45015</v>
      </c>
      <c r="E1085" s="13">
        <f>IFERROR(__xludf.DUMMYFUNCTION("""COMPUTED_VALUE"""),0.25310185185298906)</f>
        <v>0.2531018519</v>
      </c>
      <c r="F1085" s="7" t="str">
        <f>IFERROR(__xludf.DUMMYFUNCTION("""COMPUTED_VALUE"""),"Positive")</f>
        <v>Positive</v>
      </c>
      <c r="G1085" s="7">
        <f>IFERROR(__xludf.DUMMYFUNCTION("""COMPUTED_VALUE"""),4.0)</f>
        <v>4</v>
      </c>
    </row>
    <row r="1086">
      <c r="A1086" s="7" t="str">
        <f>IFERROR(__xludf.DUMMYFUNCTION("""COMPUTED_VALUE"""),"AR1389")</f>
        <v>AR1389</v>
      </c>
      <c r="B1086" s="7" t="str">
        <f>IFERROR(__xludf.DUMMYFUNCTION("""COMPUTED_VALUE"""),"RUN-ABRM_2023-03-30_RFR-197")</f>
        <v>RUN-ABRM_2023-03-30_RFR-197</v>
      </c>
      <c r="C1086" s="8">
        <f>VLOOKUP(B1086,'Run Reconcile'!A$2:B3212,2,FALSE)</f>
        <v>45015</v>
      </c>
      <c r="D1086" s="12">
        <f>IFERROR(__xludf.DUMMYFUNCTION("""COMPUTED_VALUE"""),45015.0)</f>
        <v>45015</v>
      </c>
      <c r="E1086" s="13">
        <f>IFERROR(__xludf.DUMMYFUNCTION("""COMPUTED_VALUE"""),0.288958333334449)</f>
        <v>0.2889583333</v>
      </c>
      <c r="F1086" s="7" t="str">
        <f>IFERROR(__xludf.DUMMYFUNCTION("""COMPUTED_VALUE"""),"Negative")</f>
        <v>Negative</v>
      </c>
      <c r="G1086" s="7">
        <f>IFERROR(__xludf.DUMMYFUNCTION("""COMPUTED_VALUE"""),3.0)</f>
        <v>3</v>
      </c>
    </row>
    <row r="1087">
      <c r="A1087" s="7" t="str">
        <f>IFERROR(__xludf.DUMMYFUNCTION("""COMPUTED_VALUE"""),"AR786")</f>
        <v>AR786</v>
      </c>
      <c r="B1087" s="7" t="str">
        <f>IFERROR(__xludf.DUMMYFUNCTION("""COMPUTED_VALUE"""),"RUN-ABRM_2023-03-30_RFR-197")</f>
        <v>RUN-ABRM_2023-03-30_RFR-197</v>
      </c>
      <c r="C1087" s="8">
        <f>VLOOKUP(B1087,'Run Reconcile'!A$2:B3212,2,FALSE)</f>
        <v>45015</v>
      </c>
      <c r="D1087" s="12">
        <f>IFERROR(__xludf.DUMMYFUNCTION("""COMPUTED_VALUE"""),45015.0)</f>
        <v>45015</v>
      </c>
      <c r="E1087" s="13">
        <f>IFERROR(__xludf.DUMMYFUNCTION("""COMPUTED_VALUE"""),0.2924768518532801)</f>
        <v>0.2924768519</v>
      </c>
      <c r="F1087" s="7" t="str">
        <f>IFERROR(__xludf.DUMMYFUNCTION("""COMPUTED_VALUE"""),"Negative")</f>
        <v>Negative</v>
      </c>
      <c r="G1087" s="7">
        <f>IFERROR(__xludf.DUMMYFUNCTION("""COMPUTED_VALUE"""),3.0)</f>
        <v>3</v>
      </c>
    </row>
    <row r="1088">
      <c r="A1088" s="7" t="str">
        <f>IFERROR(__xludf.DUMMYFUNCTION("""COMPUTED_VALUE"""),"AR3")</f>
        <v>AR3</v>
      </c>
      <c r="B1088" s="7" t="str">
        <f>IFERROR(__xludf.DUMMYFUNCTION("""COMPUTED_VALUE"""),"RUN-ABRM_2023-03-30_RFR-197")</f>
        <v>RUN-ABRM_2023-03-30_RFR-197</v>
      </c>
      <c r="C1088" s="8">
        <f>VLOOKUP(B1088,'Run Reconcile'!A$2:B3212,2,FALSE)</f>
        <v>45015</v>
      </c>
      <c r="D1088" s="12">
        <f>IFERROR(__xludf.DUMMYFUNCTION("""COMPUTED_VALUE"""),45015.0)</f>
        <v>45015</v>
      </c>
      <c r="E1088" s="13">
        <f>IFERROR(__xludf.DUMMYFUNCTION("""COMPUTED_VALUE"""),0.3251851851855463)</f>
        <v>0.3251851852</v>
      </c>
      <c r="F1088" s="7" t="str">
        <f>IFERROR(__xludf.DUMMYFUNCTION("""COMPUTED_VALUE"""),"Negative")</f>
        <v>Negative</v>
      </c>
      <c r="G1088" s="7">
        <f>IFERROR(__xludf.DUMMYFUNCTION("""COMPUTED_VALUE"""),2.0)</f>
        <v>2</v>
      </c>
    </row>
    <row r="1089">
      <c r="A1089" s="7" t="str">
        <f>IFERROR(__xludf.DUMMYFUNCTION("""COMPUTED_VALUE"""),"AR1111")</f>
        <v>AR1111</v>
      </c>
      <c r="B1089" s="7" t="str">
        <f>IFERROR(__xludf.DUMMYFUNCTION("""COMPUTED_VALUE"""),"RUN-ABRM_2023-03-30_RFR-197")</f>
        <v>RUN-ABRM_2023-03-30_RFR-197</v>
      </c>
      <c r="C1089" s="8">
        <f>VLOOKUP(B1089,'Run Reconcile'!A$2:B3212,2,FALSE)</f>
        <v>45015</v>
      </c>
      <c r="D1089" s="12">
        <f>IFERROR(__xludf.DUMMYFUNCTION("""COMPUTED_VALUE"""),45015.0)</f>
        <v>45015</v>
      </c>
      <c r="E1089" s="13">
        <f>IFERROR(__xludf.DUMMYFUNCTION("""COMPUTED_VALUE"""),0.32665509259095415)</f>
        <v>0.3266550926</v>
      </c>
      <c r="F1089" s="7" t="str">
        <f>IFERROR(__xludf.DUMMYFUNCTION("""COMPUTED_VALUE"""),"Negative")</f>
        <v>Negative</v>
      </c>
      <c r="G1089" s="7">
        <f>IFERROR(__xludf.DUMMYFUNCTION("""COMPUTED_VALUE"""),1.0)</f>
        <v>1</v>
      </c>
    </row>
    <row r="1090">
      <c r="A1090" s="7" t="str">
        <f>IFERROR(__xludf.DUMMYFUNCTION("""COMPUTED_VALUE"""),"AR11")</f>
        <v>AR11</v>
      </c>
      <c r="B1090" s="7" t="str">
        <f>IFERROR(__xludf.DUMMYFUNCTION("""COMPUTED_VALUE"""),"RUN-ABRM_2023-03-30_RFR-197")</f>
        <v>RUN-ABRM_2023-03-30_RFR-197</v>
      </c>
      <c r="C1090" s="8">
        <f>VLOOKUP(B1090,'Run Reconcile'!A$2:B3212,2,FALSE)</f>
        <v>45015</v>
      </c>
      <c r="D1090" s="12">
        <f>IFERROR(__xludf.DUMMYFUNCTION("""COMPUTED_VALUE"""),45015.0)</f>
        <v>45015</v>
      </c>
      <c r="E1090" s="13">
        <f>IFERROR(__xludf.DUMMYFUNCTION("""COMPUTED_VALUE"""),0.32694444444496185)</f>
        <v>0.3269444444</v>
      </c>
      <c r="F1090" s="7" t="str">
        <f>IFERROR(__xludf.DUMMYFUNCTION("""COMPUTED_VALUE"""),"Negative")</f>
        <v>Negative</v>
      </c>
      <c r="G1090" s="7">
        <f>IFERROR(__xludf.DUMMYFUNCTION("""COMPUTED_VALUE"""),1.0)</f>
        <v>1</v>
      </c>
    </row>
    <row r="1091">
      <c r="A1091" s="7" t="str">
        <f>IFERROR(__xludf.DUMMYFUNCTION("""COMPUTED_VALUE"""),"AR1077")</f>
        <v>AR1077</v>
      </c>
      <c r="B1091" s="7" t="str">
        <f>IFERROR(__xludf.DUMMYFUNCTION("""COMPUTED_VALUE"""),"RUN-ABRM_2023-03-30_RFR-197")</f>
        <v>RUN-ABRM_2023-03-30_RFR-197</v>
      </c>
      <c r="C1091" s="8">
        <f>VLOOKUP(B1091,'Run Reconcile'!A$2:B3212,2,FALSE)</f>
        <v>45015</v>
      </c>
      <c r="D1091" s="12">
        <f>IFERROR(__xludf.DUMMYFUNCTION("""COMPUTED_VALUE"""),45015.0)</f>
        <v>45015</v>
      </c>
      <c r="E1091" s="13">
        <f>IFERROR(__xludf.DUMMYFUNCTION("""COMPUTED_VALUE"""),0.32738425926072523)</f>
        <v>0.3273842593</v>
      </c>
      <c r="F1091" s="7" t="str">
        <f>IFERROR(__xludf.DUMMYFUNCTION("""COMPUTED_VALUE"""),"Negative")</f>
        <v>Negative</v>
      </c>
      <c r="G1091" s="7">
        <f>IFERROR(__xludf.DUMMYFUNCTION("""COMPUTED_VALUE"""),2.0)</f>
        <v>2</v>
      </c>
    </row>
    <row r="1092">
      <c r="A1092" s="7" t="str">
        <f>IFERROR(__xludf.DUMMYFUNCTION("""COMPUTED_VALUE"""),"AR1655")</f>
        <v>AR1655</v>
      </c>
      <c r="B1092" s="7" t="str">
        <f>IFERROR(__xludf.DUMMYFUNCTION("""COMPUTED_VALUE"""),"RUN-ABRM_2023-03-30_RFR-197")</f>
        <v>RUN-ABRM_2023-03-30_RFR-197</v>
      </c>
      <c r="C1092" s="8">
        <f>VLOOKUP(B1092,'Run Reconcile'!A$2:B3212,2,FALSE)</f>
        <v>45015</v>
      </c>
      <c r="D1092" s="12">
        <f>IFERROR(__xludf.DUMMYFUNCTION("""COMPUTED_VALUE"""),45015.0)</f>
        <v>45015</v>
      </c>
      <c r="E1092" s="13">
        <f>IFERROR(__xludf.DUMMYFUNCTION("""COMPUTED_VALUE"""),0.3328009259275859)</f>
        <v>0.3328009259</v>
      </c>
      <c r="F1092" s="7" t="str">
        <f>IFERROR(__xludf.DUMMYFUNCTION("""COMPUTED_VALUE"""),"Negative")</f>
        <v>Negative</v>
      </c>
      <c r="G1092" s="7">
        <f>IFERROR(__xludf.DUMMYFUNCTION("""COMPUTED_VALUE"""),1.0)</f>
        <v>1</v>
      </c>
    </row>
    <row r="1093">
      <c r="A1093" s="7" t="str">
        <f>IFERROR(__xludf.DUMMYFUNCTION("""COMPUTED_VALUE"""),"AH9188")</f>
        <v>AH9188</v>
      </c>
      <c r="B1093" s="7" t="str">
        <f>IFERROR(__xludf.DUMMYFUNCTION("""COMPUTED_VALUE"""),"RUN-ABRM_2023-03-30_RFR-197")</f>
        <v>RUN-ABRM_2023-03-30_RFR-197</v>
      </c>
      <c r="C1093" s="8">
        <f>VLOOKUP(B1093,'Run Reconcile'!A$2:B3212,2,FALSE)</f>
        <v>45015</v>
      </c>
      <c r="D1093" s="12">
        <f>IFERROR(__xludf.DUMMYFUNCTION("""COMPUTED_VALUE"""),45015.0)</f>
        <v>45015</v>
      </c>
      <c r="E1093" s="13">
        <f>IFERROR(__xludf.DUMMYFUNCTION("""COMPUTED_VALUE"""),0.34761574074218515)</f>
        <v>0.3476157407</v>
      </c>
      <c r="F1093" s="7" t="str">
        <f>IFERROR(__xludf.DUMMYFUNCTION("""COMPUTED_VALUE"""),"Negative")</f>
        <v>Negative</v>
      </c>
      <c r="G1093" s="7">
        <f>IFERROR(__xludf.DUMMYFUNCTION("""COMPUTED_VALUE"""),4.0)</f>
        <v>4</v>
      </c>
    </row>
    <row r="1094">
      <c r="A1094" s="7" t="str">
        <f>IFERROR(__xludf.DUMMYFUNCTION("""COMPUTED_VALUE"""),"AB9932")</f>
        <v>AB9932</v>
      </c>
      <c r="B1094" s="7" t="str">
        <f>IFERROR(__xludf.DUMMYFUNCTION("""COMPUTED_VALUE"""),"RUN-ABRM_2023-03-31_RFR-199")</f>
        <v>RUN-ABRM_2023-03-31_RFR-199</v>
      </c>
      <c r="C1094" s="8">
        <f>VLOOKUP(B1094,'Run Reconcile'!A$2:B3212,2,FALSE)</f>
        <v>45016</v>
      </c>
      <c r="D1094" s="12">
        <f>IFERROR(__xludf.DUMMYFUNCTION("""COMPUTED_VALUE"""),45016.0)</f>
        <v>45016</v>
      </c>
      <c r="E1094" s="13">
        <f>IFERROR(__xludf.DUMMYFUNCTION("""COMPUTED_VALUE"""),0.42218750000029104)</f>
        <v>0.4221875</v>
      </c>
      <c r="F1094" s="7" t="str">
        <f>IFERROR(__xludf.DUMMYFUNCTION("""COMPUTED_VALUE"""),"Negative")</f>
        <v>Negative</v>
      </c>
      <c r="G1094" s="7">
        <f>IFERROR(__xludf.DUMMYFUNCTION("""COMPUTED_VALUE"""),1.0)</f>
        <v>1</v>
      </c>
    </row>
    <row r="1095">
      <c r="A1095" s="7" t="str">
        <f>IFERROR(__xludf.DUMMYFUNCTION("""COMPUTED_VALUE"""),"AK9728")</f>
        <v>AK9728</v>
      </c>
      <c r="B1095" s="7" t="str">
        <f>IFERROR(__xludf.DUMMYFUNCTION("""COMPUTED_VALUE"""),"RUN-ABRM_2023-03-31_RFR-199")</f>
        <v>RUN-ABRM_2023-03-31_RFR-199</v>
      </c>
      <c r="C1095" s="8">
        <f>VLOOKUP(B1095,'Run Reconcile'!A$2:B3212,2,FALSE)</f>
        <v>45016</v>
      </c>
      <c r="D1095" s="12">
        <f>IFERROR(__xludf.DUMMYFUNCTION("""COMPUTED_VALUE"""),45016.0)</f>
        <v>45016</v>
      </c>
      <c r="E1095" s="13">
        <f>IFERROR(__xludf.DUMMYFUNCTION("""COMPUTED_VALUE"""),0.4224189814813144)</f>
        <v>0.4224189815</v>
      </c>
      <c r="F1095" s="7" t="str">
        <f>IFERROR(__xludf.DUMMYFUNCTION("""COMPUTED_VALUE"""),"Negative")</f>
        <v>Negative</v>
      </c>
      <c r="G1095" s="7">
        <f>IFERROR(__xludf.DUMMYFUNCTION("""COMPUTED_VALUE"""),1.0)</f>
        <v>1</v>
      </c>
    </row>
    <row r="1096">
      <c r="A1096" s="7" t="str">
        <f>IFERROR(__xludf.DUMMYFUNCTION("""COMPUTED_VALUE"""),"AR1448")</f>
        <v>AR1448</v>
      </c>
      <c r="B1096" s="7" t="str">
        <f>IFERROR(__xludf.DUMMYFUNCTION("""COMPUTED_VALUE"""),"RUN-ABRM_2023-04-03_RFR-200")</f>
        <v>RUN-ABRM_2023-04-03_RFR-200</v>
      </c>
      <c r="C1096" s="8">
        <f>VLOOKUP(B1096,'Run Reconcile'!A$2:B3212,2,FALSE)</f>
        <v>45019</v>
      </c>
      <c r="D1096" s="12">
        <f>IFERROR(__xludf.DUMMYFUNCTION("""COMPUTED_VALUE"""),45019.0)</f>
        <v>45019</v>
      </c>
      <c r="E1096" s="13">
        <f>IFERROR(__xludf.DUMMYFUNCTION("""COMPUTED_VALUE"""),0.2126041666670062)</f>
        <v>0.2126041667</v>
      </c>
      <c r="F1096" s="7" t="str">
        <f>IFERROR(__xludf.DUMMYFUNCTION("""COMPUTED_VALUE"""),"Negative")</f>
        <v>Negative</v>
      </c>
      <c r="G1096" s="7">
        <f>IFERROR(__xludf.DUMMYFUNCTION("""COMPUTED_VALUE"""),3.0)</f>
        <v>3</v>
      </c>
    </row>
    <row r="1097">
      <c r="A1097" s="7" t="str">
        <f>IFERROR(__xludf.DUMMYFUNCTION("""COMPUTED_VALUE"""),"AR1546")</f>
        <v>AR1546</v>
      </c>
      <c r="B1097" s="7" t="str">
        <f>IFERROR(__xludf.DUMMYFUNCTION("""COMPUTED_VALUE"""),"RUN-ABRM_2023-04-03_RFR-200")</f>
        <v>RUN-ABRM_2023-04-03_RFR-200</v>
      </c>
      <c r="C1097" s="8">
        <f>VLOOKUP(B1097,'Run Reconcile'!A$2:B3212,2,FALSE)</f>
        <v>45019</v>
      </c>
      <c r="D1097" s="12">
        <f>IFERROR(__xludf.DUMMYFUNCTION("""COMPUTED_VALUE"""),45019.0)</f>
        <v>45019</v>
      </c>
      <c r="E1097" s="13">
        <f>IFERROR(__xludf.DUMMYFUNCTION("""COMPUTED_VALUE"""),0.23901620370452292)</f>
        <v>0.2390162037</v>
      </c>
      <c r="F1097" s="7" t="str">
        <f>IFERROR(__xludf.DUMMYFUNCTION("""COMPUTED_VALUE"""),"Negative")</f>
        <v>Negative</v>
      </c>
      <c r="G1097" s="7">
        <f>IFERROR(__xludf.DUMMYFUNCTION("""COMPUTED_VALUE"""),2.0)</f>
        <v>2</v>
      </c>
    </row>
    <row r="1098">
      <c r="A1098" s="7" t="str">
        <f>IFERROR(__xludf.DUMMYFUNCTION("""COMPUTED_VALUE"""),"AR1477")</f>
        <v>AR1477</v>
      </c>
      <c r="B1098" s="7" t="str">
        <f>IFERROR(__xludf.DUMMYFUNCTION("""COMPUTED_VALUE"""),"RUN-ABRM_2023-04-03_RFR-200")</f>
        <v>RUN-ABRM_2023-04-03_RFR-200</v>
      </c>
      <c r="C1098" s="8">
        <f>VLOOKUP(B1098,'Run Reconcile'!A$2:B3212,2,FALSE)</f>
        <v>45019</v>
      </c>
      <c r="D1098" s="12">
        <f>IFERROR(__xludf.DUMMYFUNCTION("""COMPUTED_VALUE"""),45019.0)</f>
        <v>45019</v>
      </c>
      <c r="E1098" s="13">
        <f>IFERROR(__xludf.DUMMYFUNCTION("""COMPUTED_VALUE"""),0.2617129629616102)</f>
        <v>0.261712963</v>
      </c>
      <c r="F1098" s="7" t="str">
        <f>IFERROR(__xludf.DUMMYFUNCTION("""COMPUTED_VALUE"""),"Negative")</f>
        <v>Negative</v>
      </c>
      <c r="G1098" s="7">
        <f>IFERROR(__xludf.DUMMYFUNCTION("""COMPUTED_VALUE"""),3.0)</f>
        <v>3</v>
      </c>
    </row>
    <row r="1099">
      <c r="A1099" s="7" t="str">
        <f>IFERROR(__xludf.DUMMYFUNCTION("""COMPUTED_VALUE"""),"AR1001")</f>
        <v>AR1001</v>
      </c>
      <c r="B1099" s="7" t="str">
        <f>IFERROR(__xludf.DUMMYFUNCTION("""COMPUTED_VALUE"""),"RUN-ABRM_2023-04-03_RFR-200")</f>
        <v>RUN-ABRM_2023-04-03_RFR-200</v>
      </c>
      <c r="C1099" s="8">
        <f>VLOOKUP(B1099,'Run Reconcile'!A$2:B3212,2,FALSE)</f>
        <v>45019</v>
      </c>
      <c r="D1099" s="12">
        <f>IFERROR(__xludf.DUMMYFUNCTION("""COMPUTED_VALUE"""),45019.0)</f>
        <v>45019</v>
      </c>
      <c r="E1099" s="13">
        <f>IFERROR(__xludf.DUMMYFUNCTION("""COMPUTED_VALUE"""),0.28148148148102337)</f>
        <v>0.2814814815</v>
      </c>
      <c r="F1099" s="7" t="str">
        <f>IFERROR(__xludf.DUMMYFUNCTION("""COMPUTED_VALUE"""),"Negative")</f>
        <v>Negative</v>
      </c>
      <c r="G1099" s="7">
        <f>IFERROR(__xludf.DUMMYFUNCTION("""COMPUTED_VALUE"""),3.0)</f>
        <v>3</v>
      </c>
    </row>
    <row r="1100">
      <c r="A1100" s="7" t="str">
        <f>IFERROR(__xludf.DUMMYFUNCTION("""COMPUTED_VALUE"""),"AR1971")</f>
        <v>AR1971</v>
      </c>
      <c r="B1100" s="7" t="str">
        <f>IFERROR(__xludf.DUMMYFUNCTION("""COMPUTED_VALUE"""),"RUN-ABRM_2023-04-03_RFR-200")</f>
        <v>RUN-ABRM_2023-04-03_RFR-200</v>
      </c>
      <c r="C1100" s="8">
        <f>VLOOKUP(B1100,'Run Reconcile'!A$2:B3212,2,FALSE)</f>
        <v>45019</v>
      </c>
      <c r="D1100" s="12">
        <f>IFERROR(__xludf.DUMMYFUNCTION("""COMPUTED_VALUE"""),45019.0)</f>
        <v>45019</v>
      </c>
      <c r="E1100" s="13">
        <f>IFERROR(__xludf.DUMMYFUNCTION("""COMPUTED_VALUE"""),0.30457175925766933)</f>
        <v>0.3045717593</v>
      </c>
      <c r="F1100" s="7" t="str">
        <f>IFERROR(__xludf.DUMMYFUNCTION("""COMPUTED_VALUE"""),"Negative")</f>
        <v>Negative</v>
      </c>
      <c r="G1100" s="7">
        <f>IFERROR(__xludf.DUMMYFUNCTION("""COMPUTED_VALUE"""),1.0)</f>
        <v>1</v>
      </c>
    </row>
    <row r="1101">
      <c r="A1101" s="7" t="str">
        <f>IFERROR(__xludf.DUMMYFUNCTION("""COMPUTED_VALUE"""),"AR189")</f>
        <v>AR189</v>
      </c>
      <c r="B1101" s="7" t="str">
        <f>IFERROR(__xludf.DUMMYFUNCTION("""COMPUTED_VALUE"""),"RUN-ABRM_2023-04-03_RFR-200")</f>
        <v>RUN-ABRM_2023-04-03_RFR-200</v>
      </c>
      <c r="C1101" s="8">
        <f>VLOOKUP(B1101,'Run Reconcile'!A$2:B3212,2,FALSE)</f>
        <v>45019</v>
      </c>
      <c r="D1101" s="12">
        <f>IFERROR(__xludf.DUMMYFUNCTION("""COMPUTED_VALUE"""),45019.0)</f>
        <v>45019</v>
      </c>
      <c r="E1101" s="13">
        <f>IFERROR(__xludf.DUMMYFUNCTION("""COMPUTED_VALUE"""),0.3290046296278888)</f>
        <v>0.3290046296</v>
      </c>
      <c r="F1101" s="7" t="str">
        <f>IFERROR(__xludf.DUMMYFUNCTION("""COMPUTED_VALUE"""),"Negative")</f>
        <v>Negative</v>
      </c>
      <c r="G1101" s="7">
        <f>IFERROR(__xludf.DUMMYFUNCTION("""COMPUTED_VALUE"""),1.0)</f>
        <v>1</v>
      </c>
    </row>
    <row r="1102">
      <c r="A1102" s="7" t="str">
        <f>IFERROR(__xludf.DUMMYFUNCTION("""COMPUTED_VALUE"""),"AR1648")</f>
        <v>AR1648</v>
      </c>
      <c r="B1102" s="7" t="str">
        <f>IFERROR(__xludf.DUMMYFUNCTION("""COMPUTED_VALUE"""),"RUN-ABRM_2023-04-03_RFR-200")</f>
        <v>RUN-ABRM_2023-04-03_RFR-200</v>
      </c>
      <c r="C1102" s="8">
        <f>VLOOKUP(B1102,'Run Reconcile'!A$2:B3212,2,FALSE)</f>
        <v>45019</v>
      </c>
      <c r="D1102" s="12">
        <f>IFERROR(__xludf.DUMMYFUNCTION("""COMPUTED_VALUE"""),45019.0)</f>
        <v>45019</v>
      </c>
      <c r="E1102" s="13">
        <f>IFERROR(__xludf.DUMMYFUNCTION("""COMPUTED_VALUE"""),0.34438657407372375)</f>
        <v>0.3443865741</v>
      </c>
      <c r="F1102" s="7" t="str">
        <f>IFERROR(__xludf.DUMMYFUNCTION("""COMPUTED_VALUE"""),"Negative")</f>
        <v>Negative</v>
      </c>
      <c r="G1102" s="7">
        <f>IFERROR(__xludf.DUMMYFUNCTION("""COMPUTED_VALUE"""),4.0)</f>
        <v>4</v>
      </c>
    </row>
    <row r="1103">
      <c r="A1103" s="7" t="str">
        <f>IFERROR(__xludf.DUMMYFUNCTION("""COMPUTED_VALUE"""),"AR1496")</f>
        <v>AR1496</v>
      </c>
      <c r="B1103" s="7" t="str">
        <f>IFERROR(__xludf.DUMMYFUNCTION("""COMPUTED_VALUE"""),"RUN-ABRM_2023-04-04_RFR-201")</f>
        <v>RUN-ABRM_2023-04-04_RFR-201</v>
      </c>
      <c r="C1103" s="8">
        <f>VLOOKUP(B1103,'Run Reconcile'!A$2:B3212,2,FALSE)</f>
        <v>45020</v>
      </c>
      <c r="D1103" s="12">
        <f>IFERROR(__xludf.DUMMYFUNCTION("""COMPUTED_VALUE"""),45020.0)</f>
        <v>45020</v>
      </c>
      <c r="E1103" s="13">
        <f>IFERROR(__xludf.DUMMYFUNCTION("""COMPUTED_VALUE"""),0.2087152777785377)</f>
        <v>0.2087152778</v>
      </c>
      <c r="F1103" s="7" t="str">
        <f>IFERROR(__xludf.DUMMYFUNCTION("""COMPUTED_VALUE"""),"Negative")</f>
        <v>Negative</v>
      </c>
      <c r="G1103" s="7">
        <f>IFERROR(__xludf.DUMMYFUNCTION("""COMPUTED_VALUE"""),3.0)</f>
        <v>3</v>
      </c>
    </row>
    <row r="1104">
      <c r="A1104" s="7" t="str">
        <f>IFERROR(__xludf.DUMMYFUNCTION("""COMPUTED_VALUE"""),"AR323")</f>
        <v>AR323</v>
      </c>
      <c r="B1104" s="7" t="str">
        <f>IFERROR(__xludf.DUMMYFUNCTION("""COMPUTED_VALUE"""),"RUN-ABRM_2023-04-04_RFR-201")</f>
        <v>RUN-ABRM_2023-04-04_RFR-201</v>
      </c>
      <c r="C1104" s="8">
        <f>VLOOKUP(B1104,'Run Reconcile'!A$2:B3212,2,FALSE)</f>
        <v>45020</v>
      </c>
      <c r="D1104" s="12">
        <f>IFERROR(__xludf.DUMMYFUNCTION("""COMPUTED_VALUE"""),45020.0)</f>
        <v>45020</v>
      </c>
      <c r="E1104" s="13">
        <f>IFERROR(__xludf.DUMMYFUNCTION("""COMPUTED_VALUE"""),0.2792245370364981)</f>
        <v>0.279224537</v>
      </c>
      <c r="F1104" s="7" t="str">
        <f>IFERROR(__xludf.DUMMYFUNCTION("""COMPUTED_VALUE"""),"Negative")</f>
        <v>Negative</v>
      </c>
      <c r="G1104" s="7">
        <f>IFERROR(__xludf.DUMMYFUNCTION("""COMPUTED_VALUE"""),3.0)</f>
        <v>3</v>
      </c>
    </row>
    <row r="1105">
      <c r="A1105" s="7" t="str">
        <f>IFERROR(__xludf.DUMMYFUNCTION("""COMPUTED_VALUE"""),"AR1771")</f>
        <v>AR1771</v>
      </c>
      <c r="B1105" s="7" t="str">
        <f>IFERROR(__xludf.DUMMYFUNCTION("""COMPUTED_VALUE"""),"RUN-ABRM_2023-04-04_RFR-201")</f>
        <v>RUN-ABRM_2023-04-04_RFR-201</v>
      </c>
      <c r="C1105" s="8">
        <f>VLOOKUP(B1105,'Run Reconcile'!A$2:B3212,2,FALSE)</f>
        <v>45020</v>
      </c>
      <c r="D1105" s="12">
        <f>IFERROR(__xludf.DUMMYFUNCTION("""COMPUTED_VALUE"""),45020.0)</f>
        <v>45020</v>
      </c>
      <c r="E1105" s="13">
        <f>IFERROR(__xludf.DUMMYFUNCTION("""COMPUTED_VALUE"""),0.28733796296364744)</f>
        <v>0.287337963</v>
      </c>
      <c r="F1105" s="7" t="str">
        <f>IFERROR(__xludf.DUMMYFUNCTION("""COMPUTED_VALUE"""),"Negative")</f>
        <v>Negative</v>
      </c>
      <c r="G1105" s="7">
        <f>IFERROR(__xludf.DUMMYFUNCTION("""COMPUTED_VALUE"""),3.0)</f>
        <v>3</v>
      </c>
    </row>
    <row r="1106">
      <c r="A1106" s="7" t="str">
        <f>IFERROR(__xludf.DUMMYFUNCTION("""COMPUTED_VALUE"""),"AR597")</f>
        <v>AR597</v>
      </c>
      <c r="B1106" s="7" t="str">
        <f>IFERROR(__xludf.DUMMYFUNCTION("""COMPUTED_VALUE"""),"RUN-ABRM_2023-04-04_RFR-201")</f>
        <v>RUN-ABRM_2023-04-04_RFR-201</v>
      </c>
      <c r="C1106" s="8">
        <f>VLOOKUP(B1106,'Run Reconcile'!A$2:B3212,2,FALSE)</f>
        <v>45020</v>
      </c>
      <c r="D1106" s="12">
        <f>IFERROR(__xludf.DUMMYFUNCTION("""COMPUTED_VALUE"""),45020.0)</f>
        <v>45020</v>
      </c>
      <c r="E1106" s="13">
        <f>IFERROR(__xludf.DUMMYFUNCTION("""COMPUTED_VALUE"""),0.28839120370321325)</f>
        <v>0.2883912037</v>
      </c>
      <c r="F1106" s="7" t="str">
        <f>IFERROR(__xludf.DUMMYFUNCTION("""COMPUTED_VALUE"""),"Negative")</f>
        <v>Negative</v>
      </c>
      <c r="G1106" s="7">
        <f>IFERROR(__xludf.DUMMYFUNCTION("""COMPUTED_VALUE"""),2.0)</f>
        <v>2</v>
      </c>
    </row>
    <row r="1107">
      <c r="A1107" s="7" t="str">
        <f>IFERROR(__xludf.DUMMYFUNCTION("""COMPUTED_VALUE"""),"AB9928")</f>
        <v>AB9928</v>
      </c>
      <c r="B1107" s="7" t="str">
        <f>IFERROR(__xludf.DUMMYFUNCTION("""COMPUTED_VALUE"""),"RUN-ABRM_2023-04-04_RFR-201")</f>
        <v>RUN-ABRM_2023-04-04_RFR-201</v>
      </c>
      <c r="C1107" s="8">
        <f>VLOOKUP(B1107,'Run Reconcile'!A$2:B3212,2,FALSE)</f>
        <v>45020</v>
      </c>
      <c r="D1107" s="12">
        <f>IFERROR(__xludf.DUMMYFUNCTION("""COMPUTED_VALUE"""),45020.0)</f>
        <v>45020</v>
      </c>
      <c r="E1107" s="13">
        <f>IFERROR(__xludf.DUMMYFUNCTION("""COMPUTED_VALUE"""),0.2923263888878864)</f>
        <v>0.2923263889</v>
      </c>
      <c r="F1107" s="7" t="str">
        <f>IFERROR(__xludf.DUMMYFUNCTION("""COMPUTED_VALUE"""),"Negative")</f>
        <v>Negative</v>
      </c>
      <c r="G1107" s="7">
        <f>IFERROR(__xludf.DUMMYFUNCTION("""COMPUTED_VALUE"""),1.0)</f>
        <v>1</v>
      </c>
    </row>
    <row r="1108">
      <c r="A1108" s="7" t="str">
        <f>IFERROR(__xludf.DUMMYFUNCTION("""COMPUTED_VALUE"""),"AR865")</f>
        <v>AR865</v>
      </c>
      <c r="B1108" s="7" t="str">
        <f>IFERROR(__xludf.DUMMYFUNCTION("""COMPUTED_VALUE"""),"RUN-ABRM_2023-04-04_RFR-201")</f>
        <v>RUN-ABRM_2023-04-04_RFR-201</v>
      </c>
      <c r="C1108" s="8">
        <f>VLOOKUP(B1108,'Run Reconcile'!A$2:B3212,2,FALSE)</f>
        <v>45020</v>
      </c>
      <c r="D1108" s="12">
        <f>IFERROR(__xludf.DUMMYFUNCTION("""COMPUTED_VALUE"""),45020.0)</f>
        <v>45020</v>
      </c>
      <c r="E1108" s="13">
        <f>IFERROR(__xludf.DUMMYFUNCTION("""COMPUTED_VALUE"""),0.3262615740750334)</f>
        <v>0.3262615741</v>
      </c>
      <c r="F1108" s="7" t="str">
        <f>IFERROR(__xludf.DUMMYFUNCTION("""COMPUTED_VALUE"""),"Negative")</f>
        <v>Negative</v>
      </c>
      <c r="G1108" s="7">
        <f>IFERROR(__xludf.DUMMYFUNCTION("""COMPUTED_VALUE"""),1.0)</f>
        <v>1</v>
      </c>
    </row>
    <row r="1109">
      <c r="A1109" s="7" t="str">
        <f>IFERROR(__xludf.DUMMYFUNCTION("""COMPUTED_VALUE"""),"AR1433")</f>
        <v>AR1433</v>
      </c>
      <c r="B1109" s="7" t="str">
        <f>IFERROR(__xludf.DUMMYFUNCTION("""COMPUTED_VALUE"""),"RUN-ABRM_2023-04-04_RFR-201")</f>
        <v>RUN-ABRM_2023-04-04_RFR-201</v>
      </c>
      <c r="C1109" s="8">
        <f>VLOOKUP(B1109,'Run Reconcile'!A$2:B3212,2,FALSE)</f>
        <v>45020</v>
      </c>
      <c r="D1109" s="12">
        <f>IFERROR(__xludf.DUMMYFUNCTION("""COMPUTED_VALUE"""),45020.0)</f>
        <v>45020</v>
      </c>
      <c r="E1109" s="13">
        <f>IFERROR(__xludf.DUMMYFUNCTION("""COMPUTED_VALUE"""),0.34714120370335877)</f>
        <v>0.3471412037</v>
      </c>
      <c r="F1109" s="7" t="str">
        <f>IFERROR(__xludf.DUMMYFUNCTION("""COMPUTED_VALUE"""),"Negative")</f>
        <v>Negative</v>
      </c>
      <c r="G1109" s="7">
        <f>IFERROR(__xludf.DUMMYFUNCTION("""COMPUTED_VALUE"""),1.0)</f>
        <v>1</v>
      </c>
    </row>
    <row r="1110">
      <c r="A1110" s="7" t="str">
        <f>IFERROR(__xludf.DUMMYFUNCTION("""COMPUTED_VALUE"""),"AR658")</f>
        <v>AR658</v>
      </c>
      <c r="B1110" s="7" t="str">
        <f>IFERROR(__xludf.DUMMYFUNCTION("""COMPUTED_VALUE"""),"RUN-ABRM_2023-04-05_RFR-203")</f>
        <v>RUN-ABRM_2023-04-05_RFR-203</v>
      </c>
      <c r="C1110" s="8">
        <f>VLOOKUP(B1110,'Run Reconcile'!A$2:B3212,2,FALSE)</f>
        <v>45021</v>
      </c>
      <c r="D1110" s="12">
        <f>IFERROR(__xludf.DUMMYFUNCTION("""COMPUTED_VALUE"""),45021.0)</f>
        <v>45021</v>
      </c>
      <c r="E1110" s="13">
        <f>IFERROR(__xludf.DUMMYFUNCTION("""COMPUTED_VALUE"""),0.2846990740727051)</f>
        <v>0.2846990741</v>
      </c>
      <c r="F1110" s="7" t="str">
        <f>IFERROR(__xludf.DUMMYFUNCTION("""COMPUTED_VALUE"""),"Negative")</f>
        <v>Negative</v>
      </c>
      <c r="G1110" s="7">
        <f>IFERROR(__xludf.DUMMYFUNCTION("""COMPUTED_VALUE"""),2.0)</f>
        <v>2</v>
      </c>
    </row>
    <row r="1111">
      <c r="A1111" s="7" t="str">
        <f>IFERROR(__xludf.DUMMYFUNCTION("""COMPUTED_VALUE"""),"AR1142")</f>
        <v>AR1142</v>
      </c>
      <c r="B1111" s="7" t="str">
        <f>IFERROR(__xludf.DUMMYFUNCTION("""COMPUTED_VALUE"""),"RUN-ABRM_2023-04-05_APS-006")</f>
        <v>RUN-ABRM_2023-04-05_APS-006</v>
      </c>
      <c r="C1111" s="8">
        <f>VLOOKUP(B1111,'Run Reconcile'!A$2:B3212,2,FALSE)</f>
        <v>45021</v>
      </c>
      <c r="D1111" s="12">
        <f>IFERROR(__xludf.DUMMYFUNCTION("""COMPUTED_VALUE"""),45021.0)</f>
        <v>45021</v>
      </c>
      <c r="E1111" s="13">
        <f>IFERROR(__xludf.DUMMYFUNCTION("""COMPUTED_VALUE"""),0.3524652777778101)</f>
        <v>0.3524652778</v>
      </c>
      <c r="F1111" s="7" t="str">
        <f>IFERROR(__xludf.DUMMYFUNCTION("""COMPUTED_VALUE"""),"Negative")</f>
        <v>Negative</v>
      </c>
      <c r="G1111" s="7">
        <f>IFERROR(__xludf.DUMMYFUNCTION("""COMPUTED_VALUE"""),1.0)</f>
        <v>1</v>
      </c>
    </row>
    <row r="1112">
      <c r="A1112" s="7" t="str">
        <f>IFERROR(__xludf.DUMMYFUNCTION("""COMPUTED_VALUE"""),"AR955")</f>
        <v>AR955</v>
      </c>
      <c r="B1112" s="7" t="str">
        <f>IFERROR(__xludf.DUMMYFUNCTION("""COMPUTED_VALUE"""),"RUN-ABRM_2023-04-06_RFR-204")</f>
        <v>RUN-ABRM_2023-04-06_RFR-204</v>
      </c>
      <c r="C1112" s="8">
        <f>VLOOKUP(B1112,'Run Reconcile'!A$2:B3212,2,FALSE)</f>
        <v>45022</v>
      </c>
      <c r="D1112" s="12">
        <f>IFERROR(__xludf.DUMMYFUNCTION("""COMPUTED_VALUE"""),45022.0)</f>
        <v>45022</v>
      </c>
      <c r="E1112" s="13">
        <f>IFERROR(__xludf.DUMMYFUNCTION("""COMPUTED_VALUE"""),0.21847222222277196)</f>
        <v>0.2184722222</v>
      </c>
      <c r="F1112" s="7" t="str">
        <f>IFERROR(__xludf.DUMMYFUNCTION("""COMPUTED_VALUE"""),"Negative")</f>
        <v>Negative</v>
      </c>
      <c r="G1112" s="7">
        <f>IFERROR(__xludf.DUMMYFUNCTION("""COMPUTED_VALUE"""),1.0)</f>
        <v>1</v>
      </c>
    </row>
    <row r="1113">
      <c r="A1113" s="7" t="str">
        <f>IFERROR(__xludf.DUMMYFUNCTION("""COMPUTED_VALUE"""),"AR1245")</f>
        <v>AR1245</v>
      </c>
      <c r="B1113" s="7" t="str">
        <f>IFERROR(__xludf.DUMMYFUNCTION("""COMPUTED_VALUE"""),"RUN-ABRM_2023-04-06_RFR-204")</f>
        <v>RUN-ABRM_2023-04-06_RFR-204</v>
      </c>
      <c r="C1113" s="8">
        <f>VLOOKUP(B1113,'Run Reconcile'!A$2:B3212,2,FALSE)</f>
        <v>45022</v>
      </c>
      <c r="D1113" s="12">
        <f>IFERROR(__xludf.DUMMYFUNCTION("""COMPUTED_VALUE"""),45022.0)</f>
        <v>45022</v>
      </c>
      <c r="E1113" s="13">
        <f>IFERROR(__xludf.DUMMYFUNCTION("""COMPUTED_VALUE"""),0.23667824074072996)</f>
        <v>0.2366782407</v>
      </c>
      <c r="F1113" s="7" t="str">
        <f>IFERROR(__xludf.DUMMYFUNCTION("""COMPUTED_VALUE"""),"Negative")</f>
        <v>Negative</v>
      </c>
      <c r="G1113" s="7">
        <f>IFERROR(__xludf.DUMMYFUNCTION("""COMPUTED_VALUE"""),4.0)</f>
        <v>4</v>
      </c>
    </row>
    <row r="1114">
      <c r="A1114" s="7" t="str">
        <f>IFERROR(__xludf.DUMMYFUNCTION("""COMPUTED_VALUE"""),"AK9826")</f>
        <v>AK9826</v>
      </c>
      <c r="B1114" s="7" t="str">
        <f>IFERROR(__xludf.DUMMYFUNCTION("""COMPUTED_VALUE"""),"RUN-ABRM_2023-04-06_RFR-204")</f>
        <v>RUN-ABRM_2023-04-06_RFR-204</v>
      </c>
      <c r="C1114" s="8">
        <f>VLOOKUP(B1114,'Run Reconcile'!A$2:B3212,2,FALSE)</f>
        <v>45022</v>
      </c>
      <c r="D1114" s="12">
        <f>IFERROR(__xludf.DUMMYFUNCTION("""COMPUTED_VALUE"""),45022.0)</f>
        <v>45022</v>
      </c>
      <c r="E1114" s="13">
        <f>IFERROR(__xludf.DUMMYFUNCTION("""COMPUTED_VALUE"""),0.29369212963138125)</f>
        <v>0.2936921296</v>
      </c>
      <c r="F1114" s="7" t="str">
        <f>IFERROR(__xludf.DUMMYFUNCTION("""COMPUTED_VALUE"""),"Negative")</f>
        <v>Negative</v>
      </c>
      <c r="G1114" s="7">
        <f>IFERROR(__xludf.DUMMYFUNCTION("""COMPUTED_VALUE"""),3.0)</f>
        <v>3</v>
      </c>
    </row>
    <row r="1115">
      <c r="A1115" s="7" t="str">
        <f>IFERROR(__xludf.DUMMYFUNCTION("""COMPUTED_VALUE"""),"AE9945")</f>
        <v>AE9945</v>
      </c>
      <c r="B1115" s="7" t="str">
        <f>IFERROR(__xludf.DUMMYFUNCTION("""COMPUTED_VALUE"""),"RUN-ABRM_2023-04-06_RFR-204")</f>
        <v>RUN-ABRM_2023-04-06_RFR-204</v>
      </c>
      <c r="C1115" s="8">
        <f>VLOOKUP(B1115,'Run Reconcile'!A$2:B3212,2,FALSE)</f>
        <v>45022</v>
      </c>
      <c r="D1115" s="12">
        <f>IFERROR(__xludf.DUMMYFUNCTION("""COMPUTED_VALUE"""),45022.0)</f>
        <v>45022</v>
      </c>
      <c r="E1115" s="13">
        <f>IFERROR(__xludf.DUMMYFUNCTION("""COMPUTED_VALUE"""),0.30165509259313694)</f>
        <v>0.3016550926</v>
      </c>
      <c r="F1115" s="7" t="str">
        <f>IFERROR(__xludf.DUMMYFUNCTION("""COMPUTED_VALUE"""),"Negative")</f>
        <v>Negative</v>
      </c>
      <c r="G1115" s="7">
        <f>IFERROR(__xludf.DUMMYFUNCTION("""COMPUTED_VALUE"""),1.0)</f>
        <v>1</v>
      </c>
    </row>
    <row r="1116">
      <c r="A1116" s="7" t="str">
        <f>IFERROR(__xludf.DUMMYFUNCTION("""COMPUTED_VALUE"""),"AR1551")</f>
        <v>AR1551</v>
      </c>
      <c r="B1116" s="7" t="str">
        <f>IFERROR(__xludf.DUMMYFUNCTION("""COMPUTED_VALUE"""),"RUN-ABRM_2023-04-06_RFR-204")</f>
        <v>RUN-ABRM_2023-04-06_RFR-204</v>
      </c>
      <c r="C1116" s="8">
        <f>VLOOKUP(B1116,'Run Reconcile'!A$2:B3212,2,FALSE)</f>
        <v>45022</v>
      </c>
      <c r="D1116" s="12">
        <f>IFERROR(__xludf.DUMMYFUNCTION("""COMPUTED_VALUE"""),45022.0)</f>
        <v>45022</v>
      </c>
      <c r="E1116" s="13">
        <f>IFERROR(__xludf.DUMMYFUNCTION("""COMPUTED_VALUE"""),0.3321643518502242)</f>
        <v>0.3321643519</v>
      </c>
      <c r="F1116" s="7" t="str">
        <f>IFERROR(__xludf.DUMMYFUNCTION("""COMPUTED_VALUE"""),"Negative")</f>
        <v>Negative</v>
      </c>
      <c r="G1116" s="7">
        <f>IFERROR(__xludf.DUMMYFUNCTION("""COMPUTED_VALUE"""),1.0)</f>
        <v>1</v>
      </c>
    </row>
    <row r="1117">
      <c r="A1117" s="7" t="str">
        <f>IFERROR(__xludf.DUMMYFUNCTION("""COMPUTED_VALUE"""),"AR1139")</f>
        <v>AR1139</v>
      </c>
      <c r="B1117" s="7" t="str">
        <f>IFERROR(__xludf.DUMMYFUNCTION("""COMPUTED_VALUE"""),"RUN-ABRM_2023-04-06_RFR-204")</f>
        <v>RUN-ABRM_2023-04-06_RFR-204</v>
      </c>
      <c r="C1117" s="8">
        <f>VLOOKUP(B1117,'Run Reconcile'!A$2:B3212,2,FALSE)</f>
        <v>45022</v>
      </c>
      <c r="D1117" s="12">
        <f>IFERROR(__xludf.DUMMYFUNCTION("""COMPUTED_VALUE"""),45022.0)</f>
        <v>45022</v>
      </c>
      <c r="E1117" s="13">
        <f>IFERROR(__xludf.DUMMYFUNCTION("""COMPUTED_VALUE"""),0.3325578703697829)</f>
        <v>0.3325578704</v>
      </c>
      <c r="F1117" s="7" t="str">
        <f>IFERROR(__xludf.DUMMYFUNCTION("""COMPUTED_VALUE"""),"Negative")</f>
        <v>Negative</v>
      </c>
      <c r="G1117" s="7">
        <f>IFERROR(__xludf.DUMMYFUNCTION("""COMPUTED_VALUE"""),1.0)</f>
        <v>1</v>
      </c>
    </row>
    <row r="1118">
      <c r="A1118" s="7" t="str">
        <f>IFERROR(__xludf.DUMMYFUNCTION("""COMPUTED_VALUE"""),"AK9965")</f>
        <v>AK9965</v>
      </c>
      <c r="B1118" s="7" t="str">
        <f>IFERROR(__xludf.DUMMYFUNCTION("""COMPUTED_VALUE"""),"RUN-ABRM_2023-04-06_RFR-204")</f>
        <v>RUN-ABRM_2023-04-06_RFR-204</v>
      </c>
      <c r="C1118" s="8">
        <f>VLOOKUP(B1118,'Run Reconcile'!A$2:B3212,2,FALSE)</f>
        <v>45022</v>
      </c>
      <c r="D1118" s="12">
        <f>IFERROR(__xludf.DUMMYFUNCTION("""COMPUTED_VALUE"""),45022.0)</f>
        <v>45022</v>
      </c>
      <c r="E1118" s="13">
        <f>IFERROR(__xludf.DUMMYFUNCTION("""COMPUTED_VALUE"""),0.3339467592595611)</f>
        <v>0.3339467593</v>
      </c>
      <c r="F1118" s="7" t="str">
        <f>IFERROR(__xludf.DUMMYFUNCTION("""COMPUTED_VALUE"""),"Negative")</f>
        <v>Negative</v>
      </c>
      <c r="G1118" s="7">
        <f>IFERROR(__xludf.DUMMYFUNCTION("""COMPUTED_VALUE"""),1.0)</f>
        <v>1</v>
      </c>
    </row>
    <row r="1119">
      <c r="A1119" s="7" t="str">
        <f>IFERROR(__xludf.DUMMYFUNCTION("""COMPUTED_VALUE"""),"AR271")</f>
        <v>AR271</v>
      </c>
      <c r="B1119" s="7" t="str">
        <f>IFERROR(__xludf.DUMMYFUNCTION("""COMPUTED_VALUE"""),"RUN-ABRM_2023-04-07_RFR-206")</f>
        <v>RUN-ABRM_2023-04-07_RFR-206</v>
      </c>
      <c r="C1119" s="8">
        <f>VLOOKUP(B1119,'Run Reconcile'!A$2:B3212,2,FALSE)</f>
        <v>45023</v>
      </c>
      <c r="D1119" s="12">
        <f>IFERROR(__xludf.DUMMYFUNCTION("""COMPUTED_VALUE"""),45023.0)</f>
        <v>45023</v>
      </c>
      <c r="E1119" s="13">
        <f>IFERROR(__xludf.DUMMYFUNCTION("""COMPUTED_VALUE"""),0.15140046296437504)</f>
        <v>0.151400463</v>
      </c>
      <c r="F1119" s="7" t="str">
        <f>IFERROR(__xludf.DUMMYFUNCTION("""COMPUTED_VALUE"""),"Negative")</f>
        <v>Negative</v>
      </c>
      <c r="G1119" s="7">
        <f>IFERROR(__xludf.DUMMYFUNCTION("""COMPUTED_VALUE"""),1.0)</f>
        <v>1</v>
      </c>
    </row>
    <row r="1120">
      <c r="A1120" s="7" t="str">
        <f>IFERROR(__xludf.DUMMYFUNCTION("""COMPUTED_VALUE"""),"AR649")</f>
        <v>AR649</v>
      </c>
      <c r="B1120" s="7" t="str">
        <f>IFERROR(__xludf.DUMMYFUNCTION("""COMPUTED_VALUE"""),"RUN-ABRM_2023-04-07_RFR-206")</f>
        <v>RUN-ABRM_2023-04-07_RFR-206</v>
      </c>
      <c r="C1120" s="8">
        <f>VLOOKUP(B1120,'Run Reconcile'!A$2:B3212,2,FALSE)</f>
        <v>45023</v>
      </c>
      <c r="D1120" s="12">
        <f>IFERROR(__xludf.DUMMYFUNCTION("""COMPUTED_VALUE"""),45023.0)</f>
        <v>45023</v>
      </c>
      <c r="E1120" s="13">
        <f>IFERROR(__xludf.DUMMYFUNCTION("""COMPUTED_VALUE"""),0.2878240740756155)</f>
        <v>0.2878240741</v>
      </c>
      <c r="F1120" s="7" t="str">
        <f>IFERROR(__xludf.DUMMYFUNCTION("""COMPUTED_VALUE"""),"Negative")</f>
        <v>Negative</v>
      </c>
      <c r="G1120" s="7">
        <f>IFERROR(__xludf.DUMMYFUNCTION("""COMPUTED_VALUE"""),4.0)</f>
        <v>4</v>
      </c>
    </row>
    <row r="1121">
      <c r="A1121" s="7" t="str">
        <f>IFERROR(__xludf.DUMMYFUNCTION("""COMPUTED_VALUE"""),"AR1363")</f>
        <v>AR1363</v>
      </c>
      <c r="B1121" s="7" t="str">
        <f>IFERROR(__xludf.DUMMYFUNCTION("""COMPUTED_VALUE"""),"RUN-ABRM_2023-04-07_RFR-206")</f>
        <v>RUN-ABRM_2023-04-07_RFR-206</v>
      </c>
      <c r="C1121" s="8">
        <f>VLOOKUP(B1121,'Run Reconcile'!A$2:B3212,2,FALSE)</f>
        <v>45023</v>
      </c>
      <c r="D1121" s="12">
        <f>IFERROR(__xludf.DUMMYFUNCTION("""COMPUTED_VALUE"""),45023.0)</f>
        <v>45023</v>
      </c>
      <c r="E1121" s="13">
        <f>IFERROR(__xludf.DUMMYFUNCTION("""COMPUTED_VALUE"""),0.32178240740904585)</f>
        <v>0.3217824074</v>
      </c>
      <c r="F1121" s="7" t="str">
        <f>IFERROR(__xludf.DUMMYFUNCTION("""COMPUTED_VALUE"""),"Negative")</f>
        <v>Negative</v>
      </c>
      <c r="G1121" s="7">
        <f>IFERROR(__xludf.DUMMYFUNCTION("""COMPUTED_VALUE"""),1.0)</f>
        <v>1</v>
      </c>
    </row>
    <row r="1122">
      <c r="A1122" s="7" t="str">
        <f>IFERROR(__xludf.DUMMYFUNCTION("""COMPUTED_VALUE"""),"AR963")</f>
        <v>AR963</v>
      </c>
      <c r="B1122" s="7" t="str">
        <f>IFERROR(__xludf.DUMMYFUNCTION("""COMPUTED_VALUE"""),"RUN-ABRM_2023-04-07_RFR-206")</f>
        <v>RUN-ABRM_2023-04-07_RFR-206</v>
      </c>
      <c r="C1122" s="8">
        <f>VLOOKUP(B1122,'Run Reconcile'!A$2:B3212,2,FALSE)</f>
        <v>45023</v>
      </c>
      <c r="D1122" s="12">
        <f>IFERROR(__xludf.DUMMYFUNCTION("""COMPUTED_VALUE"""),45023.0)</f>
        <v>45023</v>
      </c>
      <c r="E1122" s="13">
        <f>IFERROR(__xludf.DUMMYFUNCTION("""COMPUTED_VALUE"""),0.3393055555570754)</f>
        <v>0.3393055556</v>
      </c>
      <c r="F1122" s="7" t="str">
        <f>IFERROR(__xludf.DUMMYFUNCTION("""COMPUTED_VALUE"""),"Negative")</f>
        <v>Negative</v>
      </c>
      <c r="G1122" s="7">
        <f>IFERROR(__xludf.DUMMYFUNCTION("""COMPUTED_VALUE"""),1.0)</f>
        <v>1</v>
      </c>
    </row>
    <row r="1123">
      <c r="A1123" s="7" t="str">
        <f>IFERROR(__xludf.DUMMYFUNCTION("""COMPUTED_VALUE"""),"AR629")</f>
        <v>AR629</v>
      </c>
      <c r="B1123" s="7" t="str">
        <f>IFERROR(__xludf.DUMMYFUNCTION("""COMPUTED_VALUE"""),"RUN-ABRM_2023-04-07_RFR-206")</f>
        <v>RUN-ABRM_2023-04-07_RFR-206</v>
      </c>
      <c r="C1123" s="8">
        <f>VLOOKUP(B1123,'Run Reconcile'!A$2:B3212,2,FALSE)</f>
        <v>45023</v>
      </c>
      <c r="D1123" s="12">
        <f>IFERROR(__xludf.DUMMYFUNCTION("""COMPUTED_VALUE"""),45023.0)</f>
        <v>45023</v>
      </c>
      <c r="E1123" s="13">
        <f>IFERROR(__xludf.DUMMYFUNCTION("""COMPUTED_VALUE"""),0.33961805555736646)</f>
        <v>0.3396180556</v>
      </c>
      <c r="F1123" s="7" t="str">
        <f>IFERROR(__xludf.DUMMYFUNCTION("""COMPUTED_VALUE"""),"Negative")</f>
        <v>Negative</v>
      </c>
      <c r="G1123" s="7">
        <f>IFERROR(__xludf.DUMMYFUNCTION("""COMPUTED_VALUE"""),1.0)</f>
        <v>1</v>
      </c>
    </row>
    <row r="1124">
      <c r="A1124" s="7" t="str">
        <f>IFERROR(__xludf.DUMMYFUNCTION("""COMPUTED_VALUE"""),"AR87")</f>
        <v>AR87</v>
      </c>
      <c r="B1124" s="7" t="str">
        <f>IFERROR(__xludf.DUMMYFUNCTION("""COMPUTED_VALUE"""),"RUN-ABRM_2023-04-10_RFR-207")</f>
        <v>RUN-ABRM_2023-04-10_RFR-207</v>
      </c>
      <c r="C1124" s="8">
        <f>VLOOKUP(B1124,'Run Reconcile'!A$2:B3212,2,FALSE)</f>
        <v>45026</v>
      </c>
      <c r="D1124" s="12">
        <f>IFERROR(__xludf.DUMMYFUNCTION("""COMPUTED_VALUE"""),45026.0)</f>
        <v>45026</v>
      </c>
      <c r="E1124" s="13">
        <f>IFERROR(__xludf.DUMMYFUNCTION("""COMPUTED_VALUE"""),0.24325231481634546)</f>
        <v>0.2432523148</v>
      </c>
      <c r="F1124" s="7" t="str">
        <f>IFERROR(__xludf.DUMMYFUNCTION("""COMPUTED_VALUE"""),"Negative")</f>
        <v>Negative</v>
      </c>
      <c r="G1124" s="7">
        <f>IFERROR(__xludf.DUMMYFUNCTION("""COMPUTED_VALUE"""),3.0)</f>
        <v>3</v>
      </c>
    </row>
    <row r="1125">
      <c r="A1125" s="7" t="str">
        <f>IFERROR(__xludf.DUMMYFUNCTION("""COMPUTED_VALUE"""),"AE9967")</f>
        <v>AE9967</v>
      </c>
      <c r="B1125" s="7" t="str">
        <f>IFERROR(__xludf.DUMMYFUNCTION("""COMPUTED_VALUE"""),"RUN-ABRM_2023-04-10_RFR-207")</f>
        <v>RUN-ABRM_2023-04-10_RFR-207</v>
      </c>
      <c r="C1125" s="8">
        <f>VLOOKUP(B1125,'Run Reconcile'!A$2:B3212,2,FALSE)</f>
        <v>45026</v>
      </c>
      <c r="D1125" s="12">
        <f>IFERROR(__xludf.DUMMYFUNCTION("""COMPUTED_VALUE"""),45026.0)</f>
        <v>45026</v>
      </c>
      <c r="E1125" s="13">
        <f>IFERROR(__xludf.DUMMYFUNCTION("""COMPUTED_VALUE"""),0.2554513888899237)</f>
        <v>0.2554513889</v>
      </c>
      <c r="F1125" s="7" t="str">
        <f>IFERROR(__xludf.DUMMYFUNCTION("""COMPUTED_VALUE"""),"Negative")</f>
        <v>Negative</v>
      </c>
      <c r="G1125" s="7">
        <f>IFERROR(__xludf.DUMMYFUNCTION("""COMPUTED_VALUE"""),3.0)</f>
        <v>3</v>
      </c>
    </row>
    <row r="1126">
      <c r="A1126" s="7" t="str">
        <f>IFERROR(__xludf.DUMMYFUNCTION("""COMPUTED_VALUE"""),"AR910")</f>
        <v>AR910</v>
      </c>
      <c r="B1126" s="7" t="str">
        <f>IFERROR(__xludf.DUMMYFUNCTION("""COMPUTED_VALUE"""),"RUN-ABRM_2023-04-10_RFR-207")</f>
        <v>RUN-ABRM_2023-04-10_RFR-207</v>
      </c>
      <c r="C1126" s="8">
        <f>VLOOKUP(B1126,'Run Reconcile'!A$2:B3212,2,FALSE)</f>
        <v>45026</v>
      </c>
      <c r="D1126" s="12">
        <f>IFERROR(__xludf.DUMMYFUNCTION("""COMPUTED_VALUE"""),45026.0)</f>
        <v>45026</v>
      </c>
      <c r="E1126" s="13">
        <f>IFERROR(__xludf.DUMMYFUNCTION("""COMPUTED_VALUE"""),0.2668634259243845)</f>
        <v>0.2668634259</v>
      </c>
      <c r="F1126" s="7" t="str">
        <f>IFERROR(__xludf.DUMMYFUNCTION("""COMPUTED_VALUE"""),"Negative")</f>
        <v>Negative</v>
      </c>
      <c r="G1126" s="7">
        <f>IFERROR(__xludf.DUMMYFUNCTION("""COMPUTED_VALUE"""),2.0)</f>
        <v>2</v>
      </c>
    </row>
    <row r="1127">
      <c r="A1127" s="7" t="str">
        <f>IFERROR(__xludf.DUMMYFUNCTION("""COMPUTED_VALUE"""),"AR1688")</f>
        <v>AR1688</v>
      </c>
      <c r="B1127" s="7" t="str">
        <f>IFERROR(__xludf.DUMMYFUNCTION("""COMPUTED_VALUE"""),"RUN-ABRM_2023-04-10_RFR-207")</f>
        <v>RUN-ABRM_2023-04-10_RFR-207</v>
      </c>
      <c r="C1127" s="8">
        <f>VLOOKUP(B1127,'Run Reconcile'!A$2:B3212,2,FALSE)</f>
        <v>45026</v>
      </c>
      <c r="D1127" s="12">
        <f>IFERROR(__xludf.DUMMYFUNCTION("""COMPUTED_VALUE"""),45026.0)</f>
        <v>45026</v>
      </c>
      <c r="E1127" s="13">
        <f>IFERROR(__xludf.DUMMYFUNCTION("""COMPUTED_VALUE"""),0.27650462962992606)</f>
        <v>0.2765046296</v>
      </c>
      <c r="F1127" s="7" t="str">
        <f>IFERROR(__xludf.DUMMYFUNCTION("""COMPUTED_VALUE"""),"Negative")</f>
        <v>Negative</v>
      </c>
      <c r="G1127" s="7">
        <f>IFERROR(__xludf.DUMMYFUNCTION("""COMPUTED_VALUE"""),3.0)</f>
        <v>3</v>
      </c>
    </row>
    <row r="1128">
      <c r="A1128" s="7" t="str">
        <f>IFERROR(__xludf.DUMMYFUNCTION("""COMPUTED_VALUE"""),"AK9893")</f>
        <v>AK9893</v>
      </c>
      <c r="B1128" s="7" t="str">
        <f>IFERROR(__xludf.DUMMYFUNCTION("""COMPUTED_VALUE"""),"RUN-ABRM_2023-04-10_RFR-207")</f>
        <v>RUN-ABRM_2023-04-10_RFR-207</v>
      </c>
      <c r="C1128" s="8">
        <f>VLOOKUP(B1128,'Run Reconcile'!A$2:B3212,2,FALSE)</f>
        <v>45026</v>
      </c>
      <c r="D1128" s="12">
        <f>IFERROR(__xludf.DUMMYFUNCTION("""COMPUTED_VALUE"""),45026.0)</f>
        <v>45026</v>
      </c>
      <c r="E1128" s="13">
        <f>IFERROR(__xludf.DUMMYFUNCTION("""COMPUTED_VALUE"""),0.29627314814933925)</f>
        <v>0.2962731481</v>
      </c>
      <c r="F1128" s="7" t="str">
        <f>IFERROR(__xludf.DUMMYFUNCTION("""COMPUTED_VALUE"""),"Negative")</f>
        <v>Negative</v>
      </c>
      <c r="G1128" s="7">
        <f>IFERROR(__xludf.DUMMYFUNCTION("""COMPUTED_VALUE"""),3.0)</f>
        <v>3</v>
      </c>
    </row>
    <row r="1129">
      <c r="A1129" s="7" t="str">
        <f>IFERROR(__xludf.DUMMYFUNCTION("""COMPUTED_VALUE"""),"AR722")</f>
        <v>AR722</v>
      </c>
      <c r="B1129" s="7" t="str">
        <f>IFERROR(__xludf.DUMMYFUNCTION("""COMPUTED_VALUE"""),"RUN-ABRM_2023-04-10_RFR-207")</f>
        <v>RUN-ABRM_2023-04-10_RFR-207</v>
      </c>
      <c r="C1129" s="8">
        <f>VLOOKUP(B1129,'Run Reconcile'!A$2:B3212,2,FALSE)</f>
        <v>45026</v>
      </c>
      <c r="D1129" s="12">
        <f>IFERROR(__xludf.DUMMYFUNCTION("""COMPUTED_VALUE"""),45026.0)</f>
        <v>45026</v>
      </c>
      <c r="E1129" s="13">
        <f>IFERROR(__xludf.DUMMYFUNCTION("""COMPUTED_VALUE"""),0.3040277777763549)</f>
        <v>0.3040277778</v>
      </c>
      <c r="F1129" s="7" t="str">
        <f>IFERROR(__xludf.DUMMYFUNCTION("""COMPUTED_VALUE"""),"Negative")</f>
        <v>Negative</v>
      </c>
      <c r="G1129" s="7">
        <f>IFERROR(__xludf.DUMMYFUNCTION("""COMPUTED_VALUE"""),1.0)</f>
        <v>1</v>
      </c>
    </row>
    <row r="1130">
      <c r="A1130" s="7" t="str">
        <f>IFERROR(__xludf.DUMMYFUNCTION("""COMPUTED_VALUE"""),"AR1207")</f>
        <v>AR1207</v>
      </c>
      <c r="B1130" s="7" t="str">
        <f>IFERROR(__xludf.DUMMYFUNCTION("""COMPUTED_VALUE"""),"RUN-ABRM_2023-04-10_RFR-207")</f>
        <v>RUN-ABRM_2023-04-10_RFR-207</v>
      </c>
      <c r="C1130" s="8">
        <f>VLOOKUP(B1130,'Run Reconcile'!A$2:B3212,2,FALSE)</f>
        <v>45026</v>
      </c>
      <c r="D1130" s="12">
        <f>IFERROR(__xludf.DUMMYFUNCTION("""COMPUTED_VALUE"""),45026.0)</f>
        <v>45026</v>
      </c>
      <c r="E1130" s="13">
        <f>IFERROR(__xludf.DUMMYFUNCTION("""COMPUTED_VALUE"""),0.32854166666584206)</f>
        <v>0.3285416667</v>
      </c>
      <c r="F1130" s="7" t="str">
        <f>IFERROR(__xludf.DUMMYFUNCTION("""COMPUTED_VALUE"""),"Negative")</f>
        <v>Negative</v>
      </c>
      <c r="G1130" s="7">
        <f>IFERROR(__xludf.DUMMYFUNCTION("""COMPUTED_VALUE"""),1.0)</f>
        <v>1</v>
      </c>
    </row>
    <row r="1131">
      <c r="A1131" s="7" t="str">
        <f>IFERROR(__xludf.DUMMYFUNCTION("""COMPUTED_VALUE"""),"AR645")</f>
        <v>AR645</v>
      </c>
      <c r="B1131" s="7" t="str">
        <f>IFERROR(__xludf.DUMMYFUNCTION("""COMPUTED_VALUE"""),"RUN-ABRM_2023-04-10_RFR-207")</f>
        <v>RUN-ABRM_2023-04-10_RFR-207</v>
      </c>
      <c r="C1131" s="8">
        <f>VLOOKUP(B1131,'Run Reconcile'!A$2:B3212,2,FALSE)</f>
        <v>45026</v>
      </c>
      <c r="D1131" s="12">
        <f>IFERROR(__xludf.DUMMYFUNCTION("""COMPUTED_VALUE"""),45026.0)</f>
        <v>45026</v>
      </c>
      <c r="E1131" s="13">
        <f>IFERROR(__xludf.DUMMYFUNCTION("""COMPUTED_VALUE"""),0.3288078703699284)</f>
        <v>0.3288078704</v>
      </c>
      <c r="F1131" s="7" t="str">
        <f>IFERROR(__xludf.DUMMYFUNCTION("""COMPUTED_VALUE"""),"Negative")</f>
        <v>Negative</v>
      </c>
      <c r="G1131" s="7">
        <f>IFERROR(__xludf.DUMMYFUNCTION("""COMPUTED_VALUE"""),1.0)</f>
        <v>1</v>
      </c>
    </row>
    <row r="1132">
      <c r="A1132" s="7" t="str">
        <f>IFERROR(__xludf.DUMMYFUNCTION("""COMPUTED_VALUE"""),"AK9719")</f>
        <v>AK9719</v>
      </c>
      <c r="B1132" s="7" t="str">
        <f>IFERROR(__xludf.DUMMYFUNCTION("""COMPUTED_VALUE"""),"RUN-ABRM_2023-04-10_RFR-207")</f>
        <v>RUN-ABRM_2023-04-10_RFR-207</v>
      </c>
      <c r="C1132" s="8">
        <f>VLOOKUP(B1132,'Run Reconcile'!A$2:B3212,2,FALSE)</f>
        <v>45026</v>
      </c>
      <c r="D1132" s="12">
        <f>IFERROR(__xludf.DUMMYFUNCTION("""COMPUTED_VALUE"""),45026.0)</f>
        <v>45026</v>
      </c>
      <c r="E1132" s="13">
        <f>IFERROR(__xludf.DUMMYFUNCTION("""COMPUTED_VALUE"""),0.33512731481459923)</f>
        <v>0.3351273148</v>
      </c>
      <c r="F1132" s="7" t="str">
        <f>IFERROR(__xludf.DUMMYFUNCTION("""COMPUTED_VALUE"""),"Negative")</f>
        <v>Negative</v>
      </c>
      <c r="G1132" s="7">
        <f>IFERROR(__xludf.DUMMYFUNCTION("""COMPUTED_VALUE"""),1.0)</f>
        <v>1</v>
      </c>
    </row>
    <row r="1133">
      <c r="A1133" s="7" t="str">
        <f>IFERROR(__xludf.DUMMYFUNCTION("""COMPUTED_VALUE"""),"AK6799")</f>
        <v>AK6799</v>
      </c>
      <c r="B1133" s="7" t="str">
        <f>IFERROR(__xludf.DUMMYFUNCTION("""COMPUTED_VALUE"""),"RUN-ABRM_2023-04-11_RFR-208")</f>
        <v>RUN-ABRM_2023-04-11_RFR-208</v>
      </c>
      <c r="C1133" s="8">
        <f>VLOOKUP(B1133,'Run Reconcile'!A$2:B3212,2,FALSE)</f>
        <v>45027</v>
      </c>
      <c r="D1133" s="12">
        <f>IFERROR(__xludf.DUMMYFUNCTION("""COMPUTED_VALUE"""),45027.0)</f>
        <v>45027</v>
      </c>
      <c r="E1133" s="13">
        <f>IFERROR(__xludf.DUMMYFUNCTION("""COMPUTED_VALUE"""),0.24391203703635256)</f>
        <v>0.243912037</v>
      </c>
      <c r="F1133" s="7" t="str">
        <f>IFERROR(__xludf.DUMMYFUNCTION("""COMPUTED_VALUE"""),"Negative")</f>
        <v>Negative</v>
      </c>
      <c r="G1133" s="7">
        <f>IFERROR(__xludf.DUMMYFUNCTION("""COMPUTED_VALUE"""),3.0)</f>
        <v>3</v>
      </c>
    </row>
    <row r="1134">
      <c r="A1134" s="7" t="str">
        <f>IFERROR(__xludf.DUMMYFUNCTION("""COMPUTED_VALUE"""),"AR708")</f>
        <v>AR708</v>
      </c>
      <c r="B1134" s="7" t="str">
        <f>IFERROR(__xludf.DUMMYFUNCTION("""COMPUTED_VALUE"""),"RUN-ABRM_2023-04-11_RFR-208")</f>
        <v>RUN-ABRM_2023-04-11_RFR-208</v>
      </c>
      <c r="C1134" s="8">
        <f>VLOOKUP(B1134,'Run Reconcile'!A$2:B3212,2,FALSE)</f>
        <v>45027</v>
      </c>
      <c r="D1134" s="12">
        <f>IFERROR(__xludf.DUMMYFUNCTION("""COMPUTED_VALUE"""),45027.0)</f>
        <v>45027</v>
      </c>
      <c r="E1134" s="13">
        <f>IFERROR(__xludf.DUMMYFUNCTION("""COMPUTED_VALUE"""),0.25880787037021946)</f>
        <v>0.2588078704</v>
      </c>
      <c r="F1134" s="7" t="str">
        <f>IFERROR(__xludf.DUMMYFUNCTION("""COMPUTED_VALUE"""),"Negative")</f>
        <v>Negative</v>
      </c>
      <c r="G1134" s="7">
        <f>IFERROR(__xludf.DUMMYFUNCTION("""COMPUTED_VALUE"""),3.0)</f>
        <v>3</v>
      </c>
    </row>
    <row r="1135">
      <c r="A1135" s="7" t="str">
        <f>IFERROR(__xludf.DUMMYFUNCTION("""COMPUTED_VALUE"""),"AB9998")</f>
        <v>AB9998</v>
      </c>
      <c r="B1135" s="7" t="str">
        <f>IFERROR(__xludf.DUMMYFUNCTION("""COMPUTED_VALUE"""),"RUN-ABRM_2023-04-11_RFR-208")</f>
        <v>RUN-ABRM_2023-04-11_RFR-208</v>
      </c>
      <c r="C1135" s="8">
        <f>VLOOKUP(B1135,'Run Reconcile'!A$2:B3212,2,FALSE)</f>
        <v>45027</v>
      </c>
      <c r="D1135" s="12">
        <f>IFERROR(__xludf.DUMMYFUNCTION("""COMPUTED_VALUE"""),45027.0)</f>
        <v>45027</v>
      </c>
      <c r="E1135" s="13">
        <f>IFERROR(__xludf.DUMMYFUNCTION("""COMPUTED_VALUE"""),0.28562500000043656)</f>
        <v>0.285625</v>
      </c>
      <c r="F1135" s="7" t="str">
        <f>IFERROR(__xludf.DUMMYFUNCTION("""COMPUTED_VALUE"""),"Negative")</f>
        <v>Negative</v>
      </c>
      <c r="G1135" s="7">
        <f>IFERROR(__xludf.DUMMYFUNCTION("""COMPUTED_VALUE"""),3.0)</f>
        <v>3</v>
      </c>
    </row>
    <row r="1136">
      <c r="A1136" s="7" t="str">
        <f>IFERROR(__xludf.DUMMYFUNCTION("""COMPUTED_VALUE"""),"AR374")</f>
        <v>AR374</v>
      </c>
      <c r="B1136" s="7" t="str">
        <f>IFERROR(__xludf.DUMMYFUNCTION("""COMPUTED_VALUE"""),"RUN-ABRM_2023-04-11_RFR-208")</f>
        <v>RUN-ABRM_2023-04-11_RFR-208</v>
      </c>
      <c r="C1136" s="8">
        <f>VLOOKUP(B1136,'Run Reconcile'!A$2:B3212,2,FALSE)</f>
        <v>45027</v>
      </c>
      <c r="D1136" s="12">
        <f>IFERROR(__xludf.DUMMYFUNCTION("""COMPUTED_VALUE"""),45027.0)</f>
        <v>45027</v>
      </c>
      <c r="E1136" s="13">
        <f>IFERROR(__xludf.DUMMYFUNCTION("""COMPUTED_VALUE"""),0.2936342592583969)</f>
        <v>0.2936342593</v>
      </c>
      <c r="F1136" s="7" t="str">
        <f>IFERROR(__xludf.DUMMYFUNCTION("""COMPUTED_VALUE"""),"Negative")</f>
        <v>Negative</v>
      </c>
      <c r="G1136" s="7">
        <f>IFERROR(__xludf.DUMMYFUNCTION("""COMPUTED_VALUE"""),2.0)</f>
        <v>2</v>
      </c>
    </row>
    <row r="1137">
      <c r="A1137" s="7" t="str">
        <f>IFERROR(__xludf.DUMMYFUNCTION("""COMPUTED_VALUE"""),"AR219")</f>
        <v>AR219</v>
      </c>
      <c r="B1137" s="7" t="str">
        <f>IFERROR(__xludf.DUMMYFUNCTION("""COMPUTED_VALUE"""),"RUN-ABRM_2023-04-11_RFR-208")</f>
        <v>RUN-ABRM_2023-04-11_RFR-208</v>
      </c>
      <c r="C1137" s="8">
        <f>VLOOKUP(B1137,'Run Reconcile'!A$2:B3212,2,FALSE)</f>
        <v>45027</v>
      </c>
      <c r="D1137" s="12">
        <f>IFERROR(__xludf.DUMMYFUNCTION("""COMPUTED_VALUE"""),45027.0)</f>
        <v>45027</v>
      </c>
      <c r="E1137" s="13">
        <f>IFERROR(__xludf.DUMMYFUNCTION("""COMPUTED_VALUE"""),0.3172569444432156)</f>
        <v>0.3172569444</v>
      </c>
      <c r="F1137" s="7" t="str">
        <f>IFERROR(__xludf.DUMMYFUNCTION("""COMPUTED_VALUE"""),"Negative")</f>
        <v>Negative</v>
      </c>
      <c r="G1137" s="7">
        <f>IFERROR(__xludf.DUMMYFUNCTION("""COMPUTED_VALUE"""),1.0)</f>
        <v>1</v>
      </c>
    </row>
    <row r="1138">
      <c r="A1138" s="7" t="str">
        <f>IFERROR(__xludf.DUMMYFUNCTION("""COMPUTED_VALUE"""),"AR1023")</f>
        <v>AR1023</v>
      </c>
      <c r="B1138" s="7" t="str">
        <f>IFERROR(__xludf.DUMMYFUNCTION("""COMPUTED_VALUE"""),"RUN-ABRM_2023-04-11_RFR-208")</f>
        <v>RUN-ABRM_2023-04-11_RFR-208</v>
      </c>
      <c r="C1138" s="8">
        <f>VLOOKUP(B1138,'Run Reconcile'!A$2:B3212,2,FALSE)</f>
        <v>45027</v>
      </c>
      <c r="D1138" s="12">
        <f>IFERROR(__xludf.DUMMYFUNCTION("""COMPUTED_VALUE"""),45027.0)</f>
        <v>45027</v>
      </c>
      <c r="E1138" s="13">
        <f>IFERROR(__xludf.DUMMYFUNCTION("""COMPUTED_VALUE"""),0.3298379629632109)</f>
        <v>0.329837963</v>
      </c>
      <c r="F1138" s="7" t="str">
        <f>IFERROR(__xludf.DUMMYFUNCTION("""COMPUTED_VALUE"""),"Negative")</f>
        <v>Negative</v>
      </c>
      <c r="G1138" s="7">
        <f>IFERROR(__xludf.DUMMYFUNCTION("""COMPUTED_VALUE"""),1.0)</f>
        <v>1</v>
      </c>
    </row>
    <row r="1139">
      <c r="A1139" s="7" t="str">
        <f>IFERROR(__xludf.DUMMYFUNCTION("""COMPUTED_VALUE"""),"AR1554")</f>
        <v>AR1554</v>
      </c>
      <c r="B1139" s="7" t="str">
        <f>IFERROR(__xludf.DUMMYFUNCTION("""COMPUTED_VALUE"""),"RUN-ABRM_2023-04-11_RFR-208")</f>
        <v>RUN-ABRM_2023-04-11_RFR-208</v>
      </c>
      <c r="C1139" s="8">
        <f>VLOOKUP(B1139,'Run Reconcile'!A$2:B3212,2,FALSE)</f>
        <v>45027</v>
      </c>
      <c r="D1139" s="12">
        <f>IFERROR(__xludf.DUMMYFUNCTION("""COMPUTED_VALUE"""),45027.0)</f>
        <v>45027</v>
      </c>
      <c r="E1139" s="13">
        <f>IFERROR(__xludf.DUMMYFUNCTION("""COMPUTED_VALUE"""),0.33631944444277906)</f>
        <v>0.3363194444</v>
      </c>
      <c r="F1139" s="7" t="str">
        <f>IFERROR(__xludf.DUMMYFUNCTION("""COMPUTED_VALUE"""),"Negative")</f>
        <v>Negative</v>
      </c>
      <c r="G1139" s="7">
        <f>IFERROR(__xludf.DUMMYFUNCTION("""COMPUTED_VALUE"""),1.0)</f>
        <v>1</v>
      </c>
    </row>
    <row r="1140">
      <c r="A1140" s="7" t="str">
        <f>IFERROR(__xludf.DUMMYFUNCTION("""COMPUTED_VALUE"""),"AK9594")</f>
        <v>AK9594</v>
      </c>
      <c r="B1140" s="7" t="str">
        <f>IFERROR(__xludf.DUMMYFUNCTION("""COMPUTED_VALUE"""),"RUN-ABRM_2023-04-12_APS-007")</f>
        <v>RUN-ABRM_2023-04-12_APS-007</v>
      </c>
      <c r="C1140" s="8">
        <f>VLOOKUP(B1140,'Run Reconcile'!A$2:B3212,2,FALSE)</f>
        <v>45028</v>
      </c>
      <c r="D1140" s="12">
        <f>IFERROR(__xludf.DUMMYFUNCTION("""COMPUTED_VALUE"""),45028.0)</f>
        <v>45028</v>
      </c>
      <c r="E1140" s="13">
        <f>IFERROR(__xludf.DUMMYFUNCTION("""COMPUTED_VALUE"""),0.22711805555445608)</f>
        <v>0.2271180556</v>
      </c>
      <c r="F1140" s="7" t="str">
        <f>IFERROR(__xludf.DUMMYFUNCTION("""COMPUTED_VALUE"""),"Negative")</f>
        <v>Negative</v>
      </c>
      <c r="G1140" s="7">
        <f>IFERROR(__xludf.DUMMYFUNCTION("""COMPUTED_VALUE"""),3.0)</f>
        <v>3</v>
      </c>
    </row>
    <row r="1141">
      <c r="A1141" s="7" t="str">
        <f>IFERROR(__xludf.DUMMYFUNCTION("""COMPUTED_VALUE"""),"AR1627")</f>
        <v>AR1627</v>
      </c>
      <c r="B1141" s="7" t="str">
        <f>IFERROR(__xludf.DUMMYFUNCTION("""COMPUTED_VALUE"""),"RUN-ABRM_2023-04-12_APS-007")</f>
        <v>RUN-ABRM_2023-04-12_APS-007</v>
      </c>
      <c r="C1141" s="8">
        <f>VLOOKUP(B1141,'Run Reconcile'!A$2:B3212,2,FALSE)</f>
        <v>45028</v>
      </c>
      <c r="D1141" s="12">
        <f>IFERROR(__xludf.DUMMYFUNCTION("""COMPUTED_VALUE"""),45028.0)</f>
        <v>45028</v>
      </c>
      <c r="E1141" s="13">
        <f>IFERROR(__xludf.DUMMYFUNCTION("""COMPUTED_VALUE"""),0.2624884259275859)</f>
        <v>0.2624884259</v>
      </c>
      <c r="F1141" s="7" t="str">
        <f>IFERROR(__xludf.DUMMYFUNCTION("""COMPUTED_VALUE"""),"Negative")</f>
        <v>Negative</v>
      </c>
      <c r="G1141" s="7">
        <f>IFERROR(__xludf.DUMMYFUNCTION("""COMPUTED_VALUE"""),3.0)</f>
        <v>3</v>
      </c>
    </row>
    <row r="1142">
      <c r="A1142" s="7" t="str">
        <f>IFERROR(__xludf.DUMMYFUNCTION("""COMPUTED_VALUE"""),"AB9583")</f>
        <v>AB9583</v>
      </c>
      <c r="B1142" s="7" t="str">
        <f>IFERROR(__xludf.DUMMYFUNCTION("""COMPUTED_VALUE"""),"RUN-ABRM_2023-04-12_APS-007")</f>
        <v>RUN-ABRM_2023-04-12_APS-007</v>
      </c>
      <c r="C1142" s="8">
        <f>VLOOKUP(B1142,'Run Reconcile'!A$2:B3212,2,FALSE)</f>
        <v>45028</v>
      </c>
      <c r="D1142" s="12">
        <f>IFERROR(__xludf.DUMMYFUNCTION("""COMPUTED_VALUE"""),45028.0)</f>
        <v>45028</v>
      </c>
      <c r="E1142" s="13">
        <f>IFERROR(__xludf.DUMMYFUNCTION("""COMPUTED_VALUE"""),0.2955555555563478)</f>
        <v>0.2955555556</v>
      </c>
      <c r="F1142" s="7" t="str">
        <f>IFERROR(__xludf.DUMMYFUNCTION("""COMPUTED_VALUE"""),"Negative")</f>
        <v>Negative</v>
      </c>
      <c r="G1142" s="7">
        <f>IFERROR(__xludf.DUMMYFUNCTION("""COMPUTED_VALUE"""),3.0)</f>
        <v>3</v>
      </c>
    </row>
    <row r="1143">
      <c r="A1143" s="7" t="str">
        <f>IFERROR(__xludf.DUMMYFUNCTION("""COMPUTED_VALUE"""),"AG538")</f>
        <v>AG538</v>
      </c>
      <c r="B1143" s="7" t="str">
        <f>IFERROR(__xludf.DUMMYFUNCTION("""COMPUTED_VALUE"""),"RUN-ABRM_2023-04-12_APS-007")</f>
        <v>RUN-ABRM_2023-04-12_APS-007</v>
      </c>
      <c r="C1143" s="8">
        <f>VLOOKUP(B1143,'Run Reconcile'!A$2:B3212,2,FALSE)</f>
        <v>45028</v>
      </c>
      <c r="D1143" s="12">
        <f>IFERROR(__xludf.DUMMYFUNCTION("""COMPUTED_VALUE"""),45028.0)</f>
        <v>45028</v>
      </c>
      <c r="E1143" s="13">
        <f>IFERROR(__xludf.DUMMYFUNCTION("""COMPUTED_VALUE"""),0.29663194444583496)</f>
        <v>0.2966319444</v>
      </c>
      <c r="F1143" s="7" t="str">
        <f>IFERROR(__xludf.DUMMYFUNCTION("""COMPUTED_VALUE"""),"Negative")</f>
        <v>Negative</v>
      </c>
      <c r="G1143" s="7">
        <f>IFERROR(__xludf.DUMMYFUNCTION("""COMPUTED_VALUE"""),3.0)</f>
        <v>3</v>
      </c>
    </row>
    <row r="1144">
      <c r="A1144" s="7" t="str">
        <f>IFERROR(__xludf.DUMMYFUNCTION("""COMPUTED_VALUE"""),"AB9272")</f>
        <v>AB9272</v>
      </c>
      <c r="B1144" s="7" t="str">
        <f>IFERROR(__xludf.DUMMYFUNCTION("""COMPUTED_VALUE"""),"RUN-ABRM_2023-04-12_APS-007")</f>
        <v>RUN-ABRM_2023-04-12_APS-007</v>
      </c>
      <c r="C1144" s="8">
        <f>VLOOKUP(B1144,'Run Reconcile'!A$2:B3212,2,FALSE)</f>
        <v>45028</v>
      </c>
      <c r="D1144" s="12">
        <f>IFERROR(__xludf.DUMMYFUNCTION("""COMPUTED_VALUE"""),45028.0)</f>
        <v>45028</v>
      </c>
      <c r="E1144" s="13">
        <f>IFERROR(__xludf.DUMMYFUNCTION("""COMPUTED_VALUE"""),0.3184837962980964)</f>
        <v>0.3184837963</v>
      </c>
      <c r="F1144" s="7" t="str">
        <f>IFERROR(__xludf.DUMMYFUNCTION("""COMPUTED_VALUE"""),"Negative")</f>
        <v>Negative</v>
      </c>
      <c r="G1144" s="7">
        <f>IFERROR(__xludf.DUMMYFUNCTION("""COMPUTED_VALUE"""),1.0)</f>
        <v>1</v>
      </c>
    </row>
    <row r="1145">
      <c r="A1145" s="7" t="str">
        <f>IFERROR(__xludf.DUMMYFUNCTION("""COMPUTED_VALUE"""),"AR1429")</f>
        <v>AR1429</v>
      </c>
      <c r="B1145" s="7" t="str">
        <f>IFERROR(__xludf.DUMMYFUNCTION("""COMPUTED_VALUE"""),"RUN-ABRM_2023-04-12_APS-007")</f>
        <v>RUN-ABRM_2023-04-12_APS-007</v>
      </c>
      <c r="C1145" s="8">
        <f>VLOOKUP(B1145,'Run Reconcile'!A$2:B3212,2,FALSE)</f>
        <v>45028</v>
      </c>
      <c r="D1145" s="12">
        <f>IFERROR(__xludf.DUMMYFUNCTION("""COMPUTED_VALUE"""),45028.0)</f>
        <v>45028</v>
      </c>
      <c r="E1145" s="13">
        <f>IFERROR(__xludf.DUMMYFUNCTION("""COMPUTED_VALUE"""),0.3382986111100763)</f>
        <v>0.3382986111</v>
      </c>
      <c r="F1145" s="7" t="str">
        <f>IFERROR(__xludf.DUMMYFUNCTION("""COMPUTED_VALUE"""),"Negative")</f>
        <v>Negative</v>
      </c>
      <c r="G1145" s="7">
        <f>IFERROR(__xludf.DUMMYFUNCTION("""COMPUTED_VALUE"""),1.0)</f>
        <v>1</v>
      </c>
    </row>
    <row r="1146">
      <c r="A1146" s="7" t="str">
        <f>IFERROR(__xludf.DUMMYFUNCTION("""COMPUTED_VALUE"""),"AK9923")</f>
        <v>AK9923</v>
      </c>
      <c r="B1146" s="7" t="str">
        <f>IFERROR(__xludf.DUMMYFUNCTION("""COMPUTED_VALUE"""),"RUN-ABRM_2023-04-12_APS-007")</f>
        <v>RUN-ABRM_2023-04-12_APS-007</v>
      </c>
      <c r="C1146" s="8">
        <f>VLOOKUP(B1146,'Run Reconcile'!A$2:B3212,2,FALSE)</f>
        <v>45028</v>
      </c>
      <c r="D1146" s="12">
        <f>IFERROR(__xludf.DUMMYFUNCTION("""COMPUTED_VALUE"""),45028.0)</f>
        <v>45028</v>
      </c>
      <c r="E1146" s="13">
        <f>IFERROR(__xludf.DUMMYFUNCTION("""COMPUTED_VALUE"""),0.3430555555569299)</f>
        <v>0.3430555556</v>
      </c>
      <c r="F1146" s="7" t="str">
        <f>IFERROR(__xludf.DUMMYFUNCTION("""COMPUTED_VALUE"""),"Negative")</f>
        <v>Negative</v>
      </c>
      <c r="G1146" s="7">
        <f>IFERROR(__xludf.DUMMYFUNCTION("""COMPUTED_VALUE"""),1.0)</f>
        <v>1</v>
      </c>
    </row>
    <row r="1147">
      <c r="A1147" s="7" t="str">
        <f>IFERROR(__xludf.DUMMYFUNCTION("""COMPUTED_VALUE"""),"AR1743")</f>
        <v>AR1743</v>
      </c>
      <c r="B1147" s="7" t="str">
        <f>IFERROR(__xludf.DUMMYFUNCTION("""COMPUTED_VALUE"""),"RUN-ABRM_2023-04-13_APS-008")</f>
        <v>RUN-ABRM_2023-04-13_APS-008</v>
      </c>
      <c r="C1147" s="8">
        <f>VLOOKUP(B1147,'Run Reconcile'!A$2:B3212,2,FALSE)</f>
        <v>45029</v>
      </c>
      <c r="D1147" s="12">
        <f>IFERROR(__xludf.DUMMYFUNCTION("""COMPUTED_VALUE"""),45029.0)</f>
        <v>45029</v>
      </c>
      <c r="E1147" s="13">
        <f>IFERROR(__xludf.DUMMYFUNCTION("""COMPUTED_VALUE"""),0.24156249999941792)</f>
        <v>0.2415625</v>
      </c>
      <c r="F1147" s="7" t="str">
        <f>IFERROR(__xludf.DUMMYFUNCTION("""COMPUTED_VALUE"""),"Negative")</f>
        <v>Negative</v>
      </c>
      <c r="G1147" s="7">
        <f>IFERROR(__xludf.DUMMYFUNCTION("""COMPUTED_VALUE"""),3.0)</f>
        <v>3</v>
      </c>
    </row>
    <row r="1148">
      <c r="A1148" s="7" t="str">
        <f>IFERROR(__xludf.DUMMYFUNCTION("""COMPUTED_VALUE"""),"AR860")</f>
        <v>AR860</v>
      </c>
      <c r="B1148" s="7" t="str">
        <f>IFERROR(__xludf.DUMMYFUNCTION("""COMPUTED_VALUE"""),"RUN-ABRM_2023-04-13_APS-008")</f>
        <v>RUN-ABRM_2023-04-13_APS-008</v>
      </c>
      <c r="C1148" s="8">
        <f>VLOOKUP(B1148,'Run Reconcile'!A$2:B3212,2,FALSE)</f>
        <v>45029</v>
      </c>
      <c r="D1148" s="12">
        <f>IFERROR(__xludf.DUMMYFUNCTION("""COMPUTED_VALUE"""),45029.0)</f>
        <v>45029</v>
      </c>
      <c r="E1148" s="13">
        <f>IFERROR(__xludf.DUMMYFUNCTION("""COMPUTED_VALUE"""),0.2637268518519704)</f>
        <v>0.2637268519</v>
      </c>
      <c r="F1148" s="7" t="str">
        <f>IFERROR(__xludf.DUMMYFUNCTION("""COMPUTED_VALUE"""),"Negative")</f>
        <v>Negative</v>
      </c>
      <c r="G1148" s="7">
        <f>IFERROR(__xludf.DUMMYFUNCTION("""COMPUTED_VALUE"""),3.0)</f>
        <v>3</v>
      </c>
    </row>
    <row r="1149">
      <c r="A1149" s="7" t="str">
        <f>IFERROR(__xludf.DUMMYFUNCTION("""COMPUTED_VALUE"""),"AR1021")</f>
        <v>AR1021</v>
      </c>
      <c r="B1149" s="7" t="str">
        <f>IFERROR(__xludf.DUMMYFUNCTION("""COMPUTED_VALUE"""),"RUN-ABRM_2023-04-13_APS-008")</f>
        <v>RUN-ABRM_2023-04-13_APS-008</v>
      </c>
      <c r="C1149" s="8">
        <f>VLOOKUP(B1149,'Run Reconcile'!A$2:B3212,2,FALSE)</f>
        <v>45029</v>
      </c>
      <c r="D1149" s="12">
        <f>IFERROR(__xludf.DUMMYFUNCTION("""COMPUTED_VALUE"""),45029.0)</f>
        <v>45029</v>
      </c>
      <c r="E1149" s="13">
        <f>IFERROR(__xludf.DUMMYFUNCTION("""COMPUTED_VALUE"""),0.2920833333337214)</f>
        <v>0.2920833333</v>
      </c>
      <c r="F1149" s="7" t="str">
        <f>IFERROR(__xludf.DUMMYFUNCTION("""COMPUTED_VALUE"""),"Negative")</f>
        <v>Negative</v>
      </c>
      <c r="G1149" s="7">
        <f>IFERROR(__xludf.DUMMYFUNCTION("""COMPUTED_VALUE"""),1.0)</f>
        <v>1</v>
      </c>
    </row>
    <row r="1150">
      <c r="A1150" s="7" t="str">
        <f>IFERROR(__xludf.DUMMYFUNCTION("""COMPUTED_VALUE"""),"AK9846")</f>
        <v>AK9846</v>
      </c>
      <c r="B1150" s="7" t="str">
        <f>IFERROR(__xludf.DUMMYFUNCTION("""COMPUTED_VALUE"""),"RUN-ABRM_2023-04-13_APS-008")</f>
        <v>RUN-ABRM_2023-04-13_APS-008</v>
      </c>
      <c r="C1150" s="8">
        <f>VLOOKUP(B1150,'Run Reconcile'!A$2:B3212,2,FALSE)</f>
        <v>45029</v>
      </c>
      <c r="D1150" s="12">
        <f>IFERROR(__xludf.DUMMYFUNCTION("""COMPUTED_VALUE"""),45029.0)</f>
        <v>45029</v>
      </c>
      <c r="E1150" s="13">
        <f>IFERROR(__xludf.DUMMYFUNCTION("""COMPUTED_VALUE"""),0.2992361111100763)</f>
        <v>0.2992361111</v>
      </c>
      <c r="F1150" s="7" t="str">
        <f>IFERROR(__xludf.DUMMYFUNCTION("""COMPUTED_VALUE"""),"Negative")</f>
        <v>Negative</v>
      </c>
      <c r="G1150" s="7">
        <f>IFERROR(__xludf.DUMMYFUNCTION("""COMPUTED_VALUE"""),4.0)</f>
        <v>4</v>
      </c>
    </row>
    <row r="1151">
      <c r="A1151" s="7" t="str">
        <f>IFERROR(__xludf.DUMMYFUNCTION("""COMPUTED_VALUE"""),"AR1745")</f>
        <v>AR1745</v>
      </c>
      <c r="B1151" s="7" t="str">
        <f>IFERROR(__xludf.DUMMYFUNCTION("""COMPUTED_VALUE"""),"RUN-ABRM_2023-04-13_APS-008")</f>
        <v>RUN-ABRM_2023-04-13_APS-008</v>
      </c>
      <c r="C1151" s="8">
        <f>VLOOKUP(B1151,'Run Reconcile'!A$2:B3212,2,FALSE)</f>
        <v>45029</v>
      </c>
      <c r="D1151" s="12">
        <f>IFERROR(__xludf.DUMMYFUNCTION("""COMPUTED_VALUE"""),45029.0)</f>
        <v>45029</v>
      </c>
      <c r="E1151" s="13">
        <f>IFERROR(__xludf.DUMMYFUNCTION("""COMPUTED_VALUE"""),0.3026157407402934)</f>
        <v>0.3026157407</v>
      </c>
      <c r="F1151" s="7" t="str">
        <f>IFERROR(__xludf.DUMMYFUNCTION("""COMPUTED_VALUE"""),"Negative")</f>
        <v>Negative</v>
      </c>
      <c r="G1151" s="7">
        <f>IFERROR(__xludf.DUMMYFUNCTION("""COMPUTED_VALUE"""),3.0)</f>
        <v>3</v>
      </c>
    </row>
    <row r="1152">
      <c r="A1152" s="7" t="str">
        <f>IFERROR(__xludf.DUMMYFUNCTION("""COMPUTED_VALUE"""),"AR917")</f>
        <v>AR917</v>
      </c>
      <c r="B1152" s="7" t="str">
        <f>IFERROR(__xludf.DUMMYFUNCTION("""COMPUTED_VALUE"""),"RUN-ABRM_2023-04-13_APS-008")</f>
        <v>RUN-ABRM_2023-04-13_APS-008</v>
      </c>
      <c r="C1152" s="8">
        <f>VLOOKUP(B1152,'Run Reconcile'!A$2:B3212,2,FALSE)</f>
        <v>45029</v>
      </c>
      <c r="D1152" s="12">
        <f>IFERROR(__xludf.DUMMYFUNCTION("""COMPUTED_VALUE"""),45029.0)</f>
        <v>45029</v>
      </c>
      <c r="E1152" s="13">
        <f>IFERROR(__xludf.DUMMYFUNCTION("""COMPUTED_VALUE"""),0.30761574074131204)</f>
        <v>0.3076157407</v>
      </c>
      <c r="F1152" s="7" t="str">
        <f>IFERROR(__xludf.DUMMYFUNCTION("""COMPUTED_VALUE"""),"Negative")</f>
        <v>Negative</v>
      </c>
      <c r="G1152" s="7">
        <f>IFERROR(__xludf.DUMMYFUNCTION("""COMPUTED_VALUE"""),2.0)</f>
        <v>2</v>
      </c>
    </row>
    <row r="1153">
      <c r="A1153" s="7" t="str">
        <f>IFERROR(__xludf.DUMMYFUNCTION("""COMPUTED_VALUE"""),"AR1168")</f>
        <v>AR1168</v>
      </c>
      <c r="B1153" s="7" t="str">
        <f>IFERROR(__xludf.DUMMYFUNCTION("""COMPUTED_VALUE"""),"RUN-ABRM_2023-04-13_APS-008")</f>
        <v>RUN-ABRM_2023-04-13_APS-008</v>
      </c>
      <c r="C1153" s="8">
        <f>VLOOKUP(B1153,'Run Reconcile'!A$2:B3212,2,FALSE)</f>
        <v>45029</v>
      </c>
      <c r="D1153" s="12">
        <f>IFERROR(__xludf.DUMMYFUNCTION("""COMPUTED_VALUE"""),45029.0)</f>
        <v>45029</v>
      </c>
      <c r="E1153" s="13">
        <f>IFERROR(__xludf.DUMMYFUNCTION("""COMPUTED_VALUE"""),0.32862268518510973)</f>
        <v>0.3286226852</v>
      </c>
      <c r="F1153" s="7" t="str">
        <f>IFERROR(__xludf.DUMMYFUNCTION("""COMPUTED_VALUE"""),"Negative")</f>
        <v>Negative</v>
      </c>
      <c r="G1153" s="7">
        <f>IFERROR(__xludf.DUMMYFUNCTION("""COMPUTED_VALUE"""),1.0)</f>
        <v>1</v>
      </c>
    </row>
    <row r="1154">
      <c r="A1154" s="7" t="str">
        <f>IFERROR(__xludf.DUMMYFUNCTION("""COMPUTED_VALUE"""),"AR247")</f>
        <v>AR247</v>
      </c>
      <c r="B1154" s="7" t="str">
        <f>IFERROR(__xludf.DUMMYFUNCTION("""COMPUTED_VALUE"""),"RUN-ABRM_2023-04-13_APS-008")</f>
        <v>RUN-ABRM_2023-04-13_APS-008</v>
      </c>
      <c r="C1154" s="8">
        <f>VLOOKUP(B1154,'Run Reconcile'!A$2:B3212,2,FALSE)</f>
        <v>45029</v>
      </c>
      <c r="D1154" s="12">
        <f>IFERROR(__xludf.DUMMYFUNCTION("""COMPUTED_VALUE"""),45029.0)</f>
        <v>45029</v>
      </c>
      <c r="E1154" s="13">
        <f>IFERROR(__xludf.DUMMYFUNCTION("""COMPUTED_VALUE"""),0.32954861111284117)</f>
        <v>0.3295486111</v>
      </c>
      <c r="F1154" s="7" t="str">
        <f>IFERROR(__xludf.DUMMYFUNCTION("""COMPUTED_VALUE"""),"Negative")</f>
        <v>Negative</v>
      </c>
      <c r="G1154" s="7">
        <f>IFERROR(__xludf.DUMMYFUNCTION("""COMPUTED_VALUE"""),1.0)</f>
        <v>1</v>
      </c>
    </row>
    <row r="1155">
      <c r="A1155" s="7" t="str">
        <f>IFERROR(__xludf.DUMMYFUNCTION("""COMPUTED_VALUE"""),"AR577")</f>
        <v>AR577</v>
      </c>
      <c r="B1155" s="7" t="str">
        <f>IFERROR(__xludf.DUMMYFUNCTION("""COMPUTED_VALUE"""),"RUN-ABRM_2023-04-14_RFR-212")</f>
        <v>RUN-ABRM_2023-04-14_RFR-212</v>
      </c>
      <c r="C1155" s="8">
        <f>VLOOKUP(B1155,'Run Reconcile'!A$2:B3212,2,FALSE)</f>
        <v>45030</v>
      </c>
      <c r="D1155" s="12">
        <f>IFERROR(__xludf.DUMMYFUNCTION("""COMPUTED_VALUE"""),45030.0)</f>
        <v>45030</v>
      </c>
      <c r="E1155" s="13">
        <f>IFERROR(__xludf.DUMMYFUNCTION("""COMPUTED_VALUE"""),0.2897222222236451)</f>
        <v>0.2897222222</v>
      </c>
      <c r="F1155" s="7" t="str">
        <f>IFERROR(__xludf.DUMMYFUNCTION("""COMPUTED_VALUE"""),"Negative")</f>
        <v>Negative</v>
      </c>
      <c r="G1155" s="7">
        <f>IFERROR(__xludf.DUMMYFUNCTION("""COMPUTED_VALUE"""),3.0)</f>
        <v>3</v>
      </c>
    </row>
    <row r="1156">
      <c r="A1156" s="7" t="str">
        <f>IFERROR(__xludf.DUMMYFUNCTION("""COMPUTED_VALUE"""),"AR814")</f>
        <v>AR814</v>
      </c>
      <c r="B1156" s="7" t="str">
        <f>IFERROR(__xludf.DUMMYFUNCTION("""COMPUTED_VALUE"""),"RUN-ABRM_2023-04-14_RFR-212")</f>
        <v>RUN-ABRM_2023-04-14_RFR-212</v>
      </c>
      <c r="C1156" s="8">
        <f>VLOOKUP(B1156,'Run Reconcile'!A$2:B3212,2,FALSE)</f>
        <v>45030</v>
      </c>
      <c r="D1156" s="12">
        <f>IFERROR(__xludf.DUMMYFUNCTION("""COMPUTED_VALUE"""),45030.0)</f>
        <v>45030</v>
      </c>
      <c r="E1156" s="13">
        <f>IFERROR(__xludf.DUMMYFUNCTION("""COMPUTED_VALUE"""),0.2956828703718202)</f>
        <v>0.2956828704</v>
      </c>
      <c r="F1156" s="7" t="str">
        <f>IFERROR(__xludf.DUMMYFUNCTION("""COMPUTED_VALUE"""),"Negative")</f>
        <v>Negative</v>
      </c>
      <c r="G1156" s="7">
        <f>IFERROR(__xludf.DUMMYFUNCTION("""COMPUTED_VALUE"""),3.0)</f>
        <v>3</v>
      </c>
    </row>
    <row r="1157">
      <c r="A1157" s="7" t="str">
        <f>IFERROR(__xludf.DUMMYFUNCTION("""COMPUTED_VALUE"""),"AR680")</f>
        <v>AR680</v>
      </c>
      <c r="B1157" s="7" t="str">
        <f>IFERROR(__xludf.DUMMYFUNCTION("""COMPUTED_VALUE"""),"RUN-ABRM_2023-04-14_RFR-212")</f>
        <v>RUN-ABRM_2023-04-14_RFR-212</v>
      </c>
      <c r="C1157" s="8">
        <f>VLOOKUP(B1157,'Run Reconcile'!A$2:B3212,2,FALSE)</f>
        <v>45030</v>
      </c>
      <c r="D1157" s="12">
        <f>IFERROR(__xludf.DUMMYFUNCTION("""COMPUTED_VALUE"""),45030.0)</f>
        <v>45030</v>
      </c>
      <c r="E1157" s="13">
        <f>IFERROR(__xludf.DUMMYFUNCTION("""COMPUTED_VALUE"""),0.29976851851824904)</f>
        <v>0.2997685185</v>
      </c>
      <c r="F1157" s="7" t="str">
        <f>IFERROR(__xludf.DUMMYFUNCTION("""COMPUTED_VALUE"""),"Negative")</f>
        <v>Negative</v>
      </c>
      <c r="G1157" s="7">
        <f>IFERROR(__xludf.DUMMYFUNCTION("""COMPUTED_VALUE"""),1.0)</f>
        <v>1</v>
      </c>
    </row>
    <row r="1158">
      <c r="A1158" s="7" t="str">
        <f>IFERROR(__xludf.DUMMYFUNCTION("""COMPUTED_VALUE"""),"AR662")</f>
        <v>AR662</v>
      </c>
      <c r="B1158" s="7" t="str">
        <f>IFERROR(__xludf.DUMMYFUNCTION("""COMPUTED_VALUE"""),"RUN-ABRM_2023-04-14_RFR-212")</f>
        <v>RUN-ABRM_2023-04-14_RFR-212</v>
      </c>
      <c r="C1158" s="8">
        <f>VLOOKUP(B1158,'Run Reconcile'!A$2:B3212,2,FALSE)</f>
        <v>45030</v>
      </c>
      <c r="D1158" s="12">
        <f>IFERROR(__xludf.DUMMYFUNCTION("""COMPUTED_VALUE"""),45030.0)</f>
        <v>45030</v>
      </c>
      <c r="E1158" s="13">
        <f>IFERROR(__xludf.DUMMYFUNCTION("""COMPUTED_VALUE"""),0.32869212963123573)</f>
        <v>0.3286921296</v>
      </c>
      <c r="F1158" s="7" t="str">
        <f>IFERROR(__xludf.DUMMYFUNCTION("""COMPUTED_VALUE"""),"Negative")</f>
        <v>Negative</v>
      </c>
      <c r="G1158" s="7">
        <f>IFERROR(__xludf.DUMMYFUNCTION("""COMPUTED_VALUE"""),1.0)</f>
        <v>1</v>
      </c>
    </row>
    <row r="1159">
      <c r="A1159" s="7" t="str">
        <f>IFERROR(__xludf.DUMMYFUNCTION("""COMPUTED_VALUE"""),"AR1622")</f>
        <v>AR1622</v>
      </c>
      <c r="B1159" s="7" t="str">
        <f>IFERROR(__xludf.DUMMYFUNCTION("""COMPUTED_VALUE"""),"RUN-ABRM_2023-04-14_RFR-212")</f>
        <v>RUN-ABRM_2023-04-14_RFR-212</v>
      </c>
      <c r="C1159" s="8">
        <f>VLOOKUP(B1159,'Run Reconcile'!A$2:B3212,2,FALSE)</f>
        <v>45030</v>
      </c>
      <c r="D1159" s="12">
        <f>IFERROR(__xludf.DUMMYFUNCTION("""COMPUTED_VALUE"""),45030.0)</f>
        <v>45030</v>
      </c>
      <c r="E1159" s="13">
        <f>IFERROR(__xludf.DUMMYFUNCTION("""COMPUTED_VALUE"""),0.33090277777955635)</f>
        <v>0.3309027778</v>
      </c>
      <c r="F1159" s="7" t="str">
        <f>IFERROR(__xludf.DUMMYFUNCTION("""COMPUTED_VALUE"""),"Negative")</f>
        <v>Negative</v>
      </c>
      <c r="G1159" s="7">
        <f>IFERROR(__xludf.DUMMYFUNCTION("""COMPUTED_VALUE"""),1.0)</f>
        <v>1</v>
      </c>
    </row>
    <row r="1160">
      <c r="A1160" s="7" t="str">
        <f>IFERROR(__xludf.DUMMYFUNCTION("""COMPUTED_VALUE"""),"AK9819")</f>
        <v>AK9819</v>
      </c>
      <c r="B1160" s="7" t="str">
        <f>IFERROR(__xludf.DUMMYFUNCTION("""COMPUTED_VALUE"""),"RUN-ABRM_2023-04-14_RFR-212")</f>
        <v>RUN-ABRM_2023-04-14_RFR-212</v>
      </c>
      <c r="C1160" s="8">
        <f>VLOOKUP(B1160,'Run Reconcile'!A$2:B3212,2,FALSE)</f>
        <v>45030</v>
      </c>
      <c r="D1160" s="12">
        <f>IFERROR(__xludf.DUMMYFUNCTION("""COMPUTED_VALUE"""),45030.0)</f>
        <v>45030</v>
      </c>
      <c r="E1160" s="13">
        <f>IFERROR(__xludf.DUMMYFUNCTION("""COMPUTED_VALUE"""),0.3327083333315386)</f>
        <v>0.3327083333</v>
      </c>
      <c r="F1160" s="7" t="str">
        <f>IFERROR(__xludf.DUMMYFUNCTION("""COMPUTED_VALUE"""),"Negative")</f>
        <v>Negative</v>
      </c>
      <c r="G1160" s="7">
        <f>IFERROR(__xludf.DUMMYFUNCTION("""COMPUTED_VALUE"""),3.0)</f>
        <v>3</v>
      </c>
    </row>
    <row r="1161">
      <c r="A1161" s="7" t="str">
        <f>IFERROR(__xludf.DUMMYFUNCTION("""COMPUTED_VALUE"""),"AB9469")</f>
        <v>AB9469</v>
      </c>
      <c r="B1161" s="7" t="str">
        <f>IFERROR(__xludf.DUMMYFUNCTION("""COMPUTED_VALUE"""),"RUN-ABRM_2023-04-14_RFR-212")</f>
        <v>RUN-ABRM_2023-04-14_RFR-212</v>
      </c>
      <c r="C1161" s="8">
        <f>VLOOKUP(B1161,'Run Reconcile'!A$2:B3212,2,FALSE)</f>
        <v>45030</v>
      </c>
      <c r="D1161" s="12">
        <f>IFERROR(__xludf.DUMMYFUNCTION("""COMPUTED_VALUE"""),45030.0)</f>
        <v>45030</v>
      </c>
      <c r="E1161" s="13">
        <f>IFERROR(__xludf.DUMMYFUNCTION("""COMPUTED_VALUE"""),0.33302083333182964)</f>
        <v>0.3330208333</v>
      </c>
      <c r="F1161" s="7" t="str">
        <f>IFERROR(__xludf.DUMMYFUNCTION("""COMPUTED_VALUE"""),"Negative")</f>
        <v>Negative</v>
      </c>
      <c r="G1161" s="7">
        <f>IFERROR(__xludf.DUMMYFUNCTION("""COMPUTED_VALUE"""),1.0)</f>
        <v>1</v>
      </c>
    </row>
    <row r="1162">
      <c r="A1162" s="7" t="str">
        <f>IFERROR(__xludf.DUMMYFUNCTION("""COMPUTED_VALUE"""),"AR1763")</f>
        <v>AR1763</v>
      </c>
      <c r="B1162" s="7" t="str">
        <f>IFERROR(__xludf.DUMMYFUNCTION("""COMPUTED_VALUE"""),"RUN-ABRM_2023-04-14_RFR-212")</f>
        <v>RUN-ABRM_2023-04-14_RFR-212</v>
      </c>
      <c r="C1162" s="8">
        <f>VLOOKUP(B1162,'Run Reconcile'!A$2:B3212,2,FALSE)</f>
        <v>45030</v>
      </c>
      <c r="D1162" s="12">
        <f>IFERROR(__xludf.DUMMYFUNCTION("""COMPUTED_VALUE"""),45030.0)</f>
        <v>45030</v>
      </c>
      <c r="E1162" s="13">
        <f>IFERROR(__xludf.DUMMYFUNCTION("""COMPUTED_VALUE"""),0.3452083333322662)</f>
        <v>0.3452083333</v>
      </c>
      <c r="F1162" s="7" t="str">
        <f>IFERROR(__xludf.DUMMYFUNCTION("""COMPUTED_VALUE"""),"Negative")</f>
        <v>Negative</v>
      </c>
      <c r="G1162" s="7">
        <f>IFERROR(__xludf.DUMMYFUNCTION("""COMPUTED_VALUE"""),3.0)</f>
        <v>3</v>
      </c>
    </row>
    <row r="1163">
      <c r="A1163" s="7" t="str">
        <f>IFERROR(__xludf.DUMMYFUNCTION("""COMPUTED_VALUE"""),"AR1649")</f>
        <v>AR1649</v>
      </c>
      <c r="B1163" s="7" t="str">
        <f>IFERROR(__xludf.DUMMYFUNCTION("""COMPUTED_VALUE"""),"RUN-ABRM_2023-04-17_RFR-213")</f>
        <v>RUN-ABRM_2023-04-17_RFR-213</v>
      </c>
      <c r="C1163" s="8">
        <f>VLOOKUP(B1163,'Run Reconcile'!A$2:B3212,2,FALSE)</f>
        <v>45033</v>
      </c>
      <c r="D1163" s="12">
        <f>IFERROR(__xludf.DUMMYFUNCTION("""COMPUTED_VALUE"""),45033.0)</f>
        <v>45033</v>
      </c>
      <c r="E1163" s="13">
        <f>IFERROR(__xludf.DUMMYFUNCTION("""COMPUTED_VALUE"""),0.21800925926072523)</f>
        <v>0.2180092593</v>
      </c>
      <c r="F1163" s="7" t="str">
        <f>IFERROR(__xludf.DUMMYFUNCTION("""COMPUTED_VALUE"""),"Negative")</f>
        <v>Negative</v>
      </c>
      <c r="G1163" s="7">
        <f>IFERROR(__xludf.DUMMYFUNCTION("""COMPUTED_VALUE"""),3.0)</f>
        <v>3</v>
      </c>
    </row>
    <row r="1164">
      <c r="A1164" s="7" t="str">
        <f>IFERROR(__xludf.DUMMYFUNCTION("""COMPUTED_VALUE"""),"AR94")</f>
        <v>AR94</v>
      </c>
      <c r="B1164" s="7" t="str">
        <f>IFERROR(__xludf.DUMMYFUNCTION("""COMPUTED_VALUE"""),"RUN-ABRM_2023-04-17_RFR-213")</f>
        <v>RUN-ABRM_2023-04-17_RFR-213</v>
      </c>
      <c r="C1164" s="8">
        <f>VLOOKUP(B1164,'Run Reconcile'!A$2:B3212,2,FALSE)</f>
        <v>45033</v>
      </c>
      <c r="D1164" s="12">
        <f>IFERROR(__xludf.DUMMYFUNCTION("""COMPUTED_VALUE"""),45033.0)</f>
        <v>45033</v>
      </c>
      <c r="E1164" s="13">
        <f>IFERROR(__xludf.DUMMYFUNCTION("""COMPUTED_VALUE"""),0.262974537035916)</f>
        <v>0.262974537</v>
      </c>
      <c r="F1164" s="7" t="str">
        <f>IFERROR(__xludf.DUMMYFUNCTION("""COMPUTED_VALUE"""),"Negative")</f>
        <v>Negative</v>
      </c>
      <c r="G1164" s="7">
        <f>IFERROR(__xludf.DUMMYFUNCTION("""COMPUTED_VALUE"""),1.0)</f>
        <v>1</v>
      </c>
    </row>
    <row r="1165">
      <c r="A1165" s="7" t="str">
        <f>IFERROR(__xludf.DUMMYFUNCTION("""COMPUTED_VALUE"""),"AE9970")</f>
        <v>AE9970</v>
      </c>
      <c r="B1165" s="7" t="str">
        <f>IFERROR(__xludf.DUMMYFUNCTION("""COMPUTED_VALUE"""),"RUN-ABRM_2023-04-17_RFR-213")</f>
        <v>RUN-ABRM_2023-04-17_RFR-213</v>
      </c>
      <c r="C1165" s="8">
        <f>VLOOKUP(B1165,'Run Reconcile'!A$2:B3212,2,FALSE)</f>
        <v>45033</v>
      </c>
      <c r="D1165" s="12">
        <f>IFERROR(__xludf.DUMMYFUNCTION("""COMPUTED_VALUE"""),45033.0)</f>
        <v>45033</v>
      </c>
      <c r="E1165" s="13">
        <f>IFERROR(__xludf.DUMMYFUNCTION("""COMPUTED_VALUE"""),0.2814004629617557)</f>
        <v>0.281400463</v>
      </c>
      <c r="F1165" s="7" t="str">
        <f>IFERROR(__xludf.DUMMYFUNCTION("""COMPUTED_VALUE"""),"Negative")</f>
        <v>Negative</v>
      </c>
      <c r="G1165" s="7">
        <f>IFERROR(__xludf.DUMMYFUNCTION("""COMPUTED_VALUE"""),3.0)</f>
        <v>3</v>
      </c>
    </row>
    <row r="1166">
      <c r="A1166" s="7" t="str">
        <f>IFERROR(__xludf.DUMMYFUNCTION("""COMPUTED_VALUE"""),"AR654")</f>
        <v>AR654</v>
      </c>
      <c r="B1166" s="7" t="str">
        <f>IFERROR(__xludf.DUMMYFUNCTION("""COMPUTED_VALUE"""),"RUN-ABRM_2023-04-17_RFR-213")</f>
        <v>RUN-ABRM_2023-04-17_RFR-213</v>
      </c>
      <c r="C1166" s="8">
        <f>VLOOKUP(B1166,'Run Reconcile'!A$2:B3212,2,FALSE)</f>
        <v>45033</v>
      </c>
      <c r="D1166" s="12">
        <f>IFERROR(__xludf.DUMMYFUNCTION("""COMPUTED_VALUE"""),45033.0)</f>
        <v>45033</v>
      </c>
      <c r="E1166" s="13">
        <f>IFERROR(__xludf.DUMMYFUNCTION("""COMPUTED_VALUE"""),0.31138888888744987)</f>
        <v>0.3113888889</v>
      </c>
      <c r="F1166" s="7" t="str">
        <f>IFERROR(__xludf.DUMMYFUNCTION("""COMPUTED_VALUE"""),"Negative")</f>
        <v>Negative</v>
      </c>
      <c r="G1166" s="7">
        <f>IFERROR(__xludf.DUMMYFUNCTION("""COMPUTED_VALUE"""),3.0)</f>
        <v>3</v>
      </c>
    </row>
    <row r="1167">
      <c r="A1167" s="7" t="str">
        <f>IFERROR(__xludf.DUMMYFUNCTION("""COMPUTED_VALUE"""),"AR1087")</f>
        <v>AR1087</v>
      </c>
      <c r="B1167" s="7" t="str">
        <f>IFERROR(__xludf.DUMMYFUNCTION("""COMPUTED_VALUE"""),"RUN-ABRM_2023-04-17_RFR-213")</f>
        <v>RUN-ABRM_2023-04-17_RFR-213</v>
      </c>
      <c r="C1167" s="8">
        <f>VLOOKUP(B1167,'Run Reconcile'!A$2:B3212,2,FALSE)</f>
        <v>45033</v>
      </c>
      <c r="D1167" s="12">
        <f>IFERROR(__xludf.DUMMYFUNCTION("""COMPUTED_VALUE"""),45033.0)</f>
        <v>45033</v>
      </c>
      <c r="E1167" s="13">
        <f>IFERROR(__xludf.DUMMYFUNCTION("""COMPUTED_VALUE"""),0.32490740740831825)</f>
        <v>0.3249074074</v>
      </c>
      <c r="F1167" s="7" t="str">
        <f>IFERROR(__xludf.DUMMYFUNCTION("""COMPUTED_VALUE"""),"Negative")</f>
        <v>Negative</v>
      </c>
      <c r="G1167" s="7">
        <f>IFERROR(__xludf.DUMMYFUNCTION("""COMPUTED_VALUE"""),1.0)</f>
        <v>1</v>
      </c>
    </row>
    <row r="1168">
      <c r="A1168" s="7" t="str">
        <f>IFERROR(__xludf.DUMMYFUNCTION("""COMPUTED_VALUE"""),"AR1122")</f>
        <v>AR1122</v>
      </c>
      <c r="B1168" s="7" t="str">
        <f>IFERROR(__xludf.DUMMYFUNCTION("""COMPUTED_VALUE"""),"RUN-ABRM_2023-04-17_RFR-213")</f>
        <v>RUN-ABRM_2023-04-17_RFR-213</v>
      </c>
      <c r="C1168" s="8">
        <f>VLOOKUP(B1168,'Run Reconcile'!A$2:B3212,2,FALSE)</f>
        <v>45033</v>
      </c>
      <c r="D1168" s="12">
        <f>IFERROR(__xludf.DUMMYFUNCTION("""COMPUTED_VALUE"""),45033.0)</f>
        <v>45033</v>
      </c>
      <c r="E1168" s="13">
        <f>IFERROR(__xludf.DUMMYFUNCTION("""COMPUTED_VALUE"""),0.33025462962905294)</f>
        <v>0.3302546296</v>
      </c>
      <c r="F1168" s="7" t="str">
        <f>IFERROR(__xludf.DUMMYFUNCTION("""COMPUTED_VALUE"""),"Negative")</f>
        <v>Negative</v>
      </c>
      <c r="G1168" s="7">
        <f>IFERROR(__xludf.DUMMYFUNCTION("""COMPUTED_VALUE"""),1.0)</f>
        <v>1</v>
      </c>
    </row>
    <row r="1169">
      <c r="A1169" s="7" t="str">
        <f>IFERROR(__xludf.DUMMYFUNCTION("""COMPUTED_VALUE"""),"AG191")</f>
        <v>AG191</v>
      </c>
      <c r="B1169" s="7" t="str">
        <f>IFERROR(__xludf.DUMMYFUNCTION("""COMPUTED_VALUE"""),"RUN-ABRM_2023-04-17_RFR-213")</f>
        <v>RUN-ABRM_2023-04-17_RFR-213</v>
      </c>
      <c r="C1169" s="8">
        <f>VLOOKUP(B1169,'Run Reconcile'!A$2:B3212,2,FALSE)</f>
        <v>45033</v>
      </c>
      <c r="D1169" s="12">
        <f>IFERROR(__xludf.DUMMYFUNCTION("""COMPUTED_VALUE"""),45033.0)</f>
        <v>45033</v>
      </c>
      <c r="E1169" s="13">
        <f>IFERROR(__xludf.DUMMYFUNCTION("""COMPUTED_VALUE"""),0.3349884259259852)</f>
        <v>0.3349884259</v>
      </c>
      <c r="F1169" s="7" t="str">
        <f>IFERROR(__xludf.DUMMYFUNCTION("""COMPUTED_VALUE"""),"Negative")</f>
        <v>Negative</v>
      </c>
      <c r="G1169" s="7">
        <f>IFERROR(__xludf.DUMMYFUNCTION("""COMPUTED_VALUE"""),1.0)</f>
        <v>1</v>
      </c>
    </row>
    <row r="1170">
      <c r="A1170" s="7" t="str">
        <f>IFERROR(__xludf.DUMMYFUNCTION("""COMPUTED_VALUE"""),"AR797")</f>
        <v>AR797</v>
      </c>
      <c r="B1170" s="7" t="str">
        <f>IFERROR(__xludf.DUMMYFUNCTION("""COMPUTED_VALUE"""),"RUN-ABRM_2023-04-17_RFR-213")</f>
        <v>RUN-ABRM_2023-04-17_RFR-213</v>
      </c>
      <c r="C1170" s="8">
        <f>VLOOKUP(B1170,'Run Reconcile'!A$2:B3212,2,FALSE)</f>
        <v>45033</v>
      </c>
      <c r="D1170" s="12">
        <f>IFERROR(__xludf.DUMMYFUNCTION("""COMPUTED_VALUE"""),45033.0)</f>
        <v>45033</v>
      </c>
      <c r="E1170" s="13">
        <f>IFERROR(__xludf.DUMMYFUNCTION("""COMPUTED_VALUE"""),0.3359606481499213)</f>
        <v>0.3359606481</v>
      </c>
      <c r="F1170" s="7" t="str">
        <f>IFERROR(__xludf.DUMMYFUNCTION("""COMPUTED_VALUE"""),"Negative")</f>
        <v>Negative</v>
      </c>
      <c r="G1170" s="7">
        <f>IFERROR(__xludf.DUMMYFUNCTION("""COMPUTED_VALUE"""),1.0)</f>
        <v>1</v>
      </c>
    </row>
    <row r="1171">
      <c r="A1171" s="7" t="str">
        <f>IFERROR(__xludf.DUMMYFUNCTION("""COMPUTED_VALUE"""),"AK9609")</f>
        <v>AK9609</v>
      </c>
      <c r="B1171" s="7" t="str">
        <f>IFERROR(__xludf.DUMMYFUNCTION("""COMPUTED_VALUE"""),"RUN-ABRM_2023-04-17_RFR-213")</f>
        <v>RUN-ABRM_2023-04-17_RFR-213</v>
      </c>
      <c r="C1171" s="8">
        <f>VLOOKUP(B1171,'Run Reconcile'!A$2:B3212,2,FALSE)</f>
        <v>45033</v>
      </c>
      <c r="D1171" s="12">
        <f>IFERROR(__xludf.DUMMYFUNCTION("""COMPUTED_VALUE"""),45033.0)</f>
        <v>45033</v>
      </c>
      <c r="E1171" s="13">
        <f>IFERROR(__xludf.DUMMYFUNCTION("""COMPUTED_VALUE"""),0.3363078703696374)</f>
        <v>0.3363078704</v>
      </c>
      <c r="F1171" s="7" t="str">
        <f>IFERROR(__xludf.DUMMYFUNCTION("""COMPUTED_VALUE"""),"Negative")</f>
        <v>Negative</v>
      </c>
      <c r="G1171" s="7">
        <f>IFERROR(__xludf.DUMMYFUNCTION("""COMPUTED_VALUE"""),1.0)</f>
        <v>1</v>
      </c>
    </row>
    <row r="1172">
      <c r="A1172" s="7" t="str">
        <f>IFERROR(__xludf.DUMMYFUNCTION("""COMPUTED_VALUE"""),"AR1188")</f>
        <v>AR1188</v>
      </c>
      <c r="B1172" s="7" t="str">
        <f>IFERROR(__xludf.DUMMYFUNCTION("""COMPUTED_VALUE"""),"RUN-ABRM_2023-04-18_RFR-214")</f>
        <v>RUN-ABRM_2023-04-18_RFR-214</v>
      </c>
      <c r="C1172" s="8">
        <f>VLOOKUP(B1172,'Run Reconcile'!A$2:B3212,2,FALSE)</f>
        <v>45034</v>
      </c>
      <c r="D1172" s="12">
        <f>IFERROR(__xludf.DUMMYFUNCTION("""COMPUTED_VALUE"""),45034.0)</f>
        <v>45034</v>
      </c>
      <c r="E1172" s="13">
        <f>IFERROR(__xludf.DUMMYFUNCTION("""COMPUTED_VALUE"""),0.22048611110949423)</f>
        <v>0.2204861111</v>
      </c>
      <c r="F1172" s="7" t="str">
        <f>IFERROR(__xludf.DUMMYFUNCTION("""COMPUTED_VALUE"""),"Negative")</f>
        <v>Negative</v>
      </c>
      <c r="G1172" s="7">
        <f>IFERROR(__xludf.DUMMYFUNCTION("""COMPUTED_VALUE"""),3.0)</f>
        <v>3</v>
      </c>
    </row>
    <row r="1173">
      <c r="A1173" s="7" t="str">
        <f>IFERROR(__xludf.DUMMYFUNCTION("""COMPUTED_VALUE"""),"AR908")</f>
        <v>AR908</v>
      </c>
      <c r="B1173" s="7" t="str">
        <f>IFERROR(__xludf.DUMMYFUNCTION("""COMPUTED_VALUE"""),"RUN-ABRM_2023-04-18_RFR-214")</f>
        <v>RUN-ABRM_2023-04-18_RFR-214</v>
      </c>
      <c r="C1173" s="8">
        <f>VLOOKUP(B1173,'Run Reconcile'!A$2:B3212,2,FALSE)</f>
        <v>45034</v>
      </c>
      <c r="D1173" s="12">
        <f>IFERROR(__xludf.DUMMYFUNCTION("""COMPUTED_VALUE"""),45034.0)</f>
        <v>45034</v>
      </c>
      <c r="E1173" s="13">
        <f>IFERROR(__xludf.DUMMYFUNCTION("""COMPUTED_VALUE"""),0.2870023148134351)</f>
        <v>0.2870023148</v>
      </c>
      <c r="F1173" s="7" t="str">
        <f>IFERROR(__xludf.DUMMYFUNCTION("""COMPUTED_VALUE"""),"Negative")</f>
        <v>Negative</v>
      </c>
      <c r="G1173" s="7">
        <f>IFERROR(__xludf.DUMMYFUNCTION("""COMPUTED_VALUE"""),3.0)</f>
        <v>3</v>
      </c>
    </row>
    <row r="1174">
      <c r="A1174" s="7" t="str">
        <f>IFERROR(__xludf.DUMMYFUNCTION("""COMPUTED_VALUE"""),"AB9667")</f>
        <v>AB9667</v>
      </c>
      <c r="B1174" s="7" t="str">
        <f>IFERROR(__xludf.DUMMYFUNCTION("""COMPUTED_VALUE"""),"RUN-ABRM_2023-04-18_RFR-214")</f>
        <v>RUN-ABRM_2023-04-18_RFR-214</v>
      </c>
      <c r="C1174" s="8">
        <f>VLOOKUP(B1174,'Run Reconcile'!A$2:B3212,2,FALSE)</f>
        <v>45034</v>
      </c>
      <c r="D1174" s="12">
        <f>IFERROR(__xludf.DUMMYFUNCTION("""COMPUTED_VALUE"""),45034.0)</f>
        <v>45034</v>
      </c>
      <c r="E1174" s="13">
        <f>IFERROR(__xludf.DUMMYFUNCTION("""COMPUTED_VALUE"""),0.2877777777794108)</f>
        <v>0.2877777778</v>
      </c>
      <c r="F1174" s="7" t="str">
        <f>IFERROR(__xludf.DUMMYFUNCTION("""COMPUTED_VALUE"""),"Negative")</f>
        <v>Negative</v>
      </c>
      <c r="G1174" s="7">
        <f>IFERROR(__xludf.DUMMYFUNCTION("""COMPUTED_VALUE"""),3.0)</f>
        <v>3</v>
      </c>
    </row>
    <row r="1175">
      <c r="A1175" s="7" t="str">
        <f>IFERROR(__xludf.DUMMYFUNCTION("""COMPUTED_VALUE"""),"AR705")</f>
        <v>AR705</v>
      </c>
      <c r="B1175" s="7" t="str">
        <f>IFERROR(__xludf.DUMMYFUNCTION("""COMPUTED_VALUE"""),"RUN-ABRM_2023-04-18_RFR-214")</f>
        <v>RUN-ABRM_2023-04-18_RFR-214</v>
      </c>
      <c r="C1175" s="8">
        <f>VLOOKUP(B1175,'Run Reconcile'!A$2:B3212,2,FALSE)</f>
        <v>45034</v>
      </c>
      <c r="D1175" s="12">
        <f>IFERROR(__xludf.DUMMYFUNCTION("""COMPUTED_VALUE"""),45034.0)</f>
        <v>45034</v>
      </c>
      <c r="E1175" s="13">
        <f>IFERROR(__xludf.DUMMYFUNCTION("""COMPUTED_VALUE"""),0.2956828703718202)</f>
        <v>0.2956828704</v>
      </c>
      <c r="F1175" s="7" t="str">
        <f>IFERROR(__xludf.DUMMYFUNCTION("""COMPUTED_VALUE"""),"Negative")</f>
        <v>Negative</v>
      </c>
      <c r="G1175" s="7">
        <f>IFERROR(__xludf.DUMMYFUNCTION("""COMPUTED_VALUE"""),3.0)</f>
        <v>3</v>
      </c>
    </row>
    <row r="1176">
      <c r="A1176" s="7" t="str">
        <f>IFERROR(__xludf.DUMMYFUNCTION("""COMPUTED_VALUE"""),"AR1796")</f>
        <v>AR1796</v>
      </c>
      <c r="B1176" s="7" t="str">
        <f>IFERROR(__xludf.DUMMYFUNCTION("""COMPUTED_VALUE"""),"RUN-ABRM_2023-04-18_RFR-214")</f>
        <v>RUN-ABRM_2023-04-18_RFR-214</v>
      </c>
      <c r="C1176" s="8">
        <f>VLOOKUP(B1176,'Run Reconcile'!A$2:B3212,2,FALSE)</f>
        <v>45034</v>
      </c>
      <c r="D1176" s="12">
        <f>IFERROR(__xludf.DUMMYFUNCTION("""COMPUTED_VALUE"""),45034.0)</f>
        <v>45034</v>
      </c>
      <c r="E1176" s="13">
        <f>IFERROR(__xludf.DUMMYFUNCTION("""COMPUTED_VALUE"""),0.32821759259240935)</f>
        <v>0.3282175926</v>
      </c>
      <c r="F1176" s="7" t="str">
        <f>IFERROR(__xludf.DUMMYFUNCTION("""COMPUTED_VALUE"""),"Negative")</f>
        <v>Negative</v>
      </c>
      <c r="G1176" s="7">
        <f>IFERROR(__xludf.DUMMYFUNCTION("""COMPUTED_VALUE"""),1.0)</f>
        <v>1</v>
      </c>
    </row>
    <row r="1177">
      <c r="A1177" s="7" t="str">
        <f>IFERROR(__xludf.DUMMYFUNCTION("""COMPUTED_VALUE"""),"AR1361")</f>
        <v>AR1361</v>
      </c>
      <c r="B1177" s="7" t="str">
        <f>IFERROR(__xludf.DUMMYFUNCTION("""COMPUTED_VALUE"""),"RUN-ABRM_2023-04-18_RFR-214")</f>
        <v>RUN-ABRM_2023-04-18_RFR-214</v>
      </c>
      <c r="C1177" s="8">
        <f>VLOOKUP(B1177,'Run Reconcile'!A$2:B3212,2,FALSE)</f>
        <v>45034</v>
      </c>
      <c r="D1177" s="12">
        <f>IFERROR(__xludf.DUMMYFUNCTION("""COMPUTED_VALUE"""),45034.0)</f>
        <v>45034</v>
      </c>
      <c r="E1177" s="13">
        <f>IFERROR(__xludf.DUMMYFUNCTION("""COMPUTED_VALUE"""),0.3292245370357705)</f>
        <v>0.329224537</v>
      </c>
      <c r="F1177" s="7" t="str">
        <f>IFERROR(__xludf.DUMMYFUNCTION("""COMPUTED_VALUE"""),"Negative")</f>
        <v>Negative</v>
      </c>
      <c r="G1177" s="7">
        <f>IFERROR(__xludf.DUMMYFUNCTION("""COMPUTED_VALUE"""),1.0)</f>
        <v>1</v>
      </c>
    </row>
    <row r="1178">
      <c r="A1178" s="7" t="str">
        <f>IFERROR(__xludf.DUMMYFUNCTION("""COMPUTED_VALUE"""),"AR943")</f>
        <v>AR943</v>
      </c>
      <c r="B1178" s="7" t="str">
        <f>IFERROR(__xludf.DUMMYFUNCTION("""COMPUTED_VALUE"""),"RUN-ABRM_2023-04-18_RFR-214")</f>
        <v>RUN-ABRM_2023-04-18_RFR-214</v>
      </c>
      <c r="C1178" s="8">
        <f>VLOOKUP(B1178,'Run Reconcile'!A$2:B3212,2,FALSE)</f>
        <v>45034</v>
      </c>
      <c r="D1178" s="12">
        <f>IFERROR(__xludf.DUMMYFUNCTION("""COMPUTED_VALUE"""),45034.0)</f>
        <v>45034</v>
      </c>
      <c r="E1178" s="13">
        <f>IFERROR(__xludf.DUMMYFUNCTION("""COMPUTED_VALUE"""),0.3398958333345945)</f>
        <v>0.3398958333</v>
      </c>
      <c r="F1178" s="7" t="str">
        <f>IFERROR(__xludf.DUMMYFUNCTION("""COMPUTED_VALUE"""),"Negative")</f>
        <v>Negative</v>
      </c>
      <c r="G1178" s="7">
        <f>IFERROR(__xludf.DUMMYFUNCTION("""COMPUTED_VALUE"""),1.0)</f>
        <v>1</v>
      </c>
    </row>
    <row r="1179">
      <c r="A1179" s="7" t="str">
        <f>IFERROR(__xludf.DUMMYFUNCTION("""COMPUTED_VALUE"""),"AR253")</f>
        <v>AR253</v>
      </c>
      <c r="B1179" s="7" t="str">
        <f>IFERROR(__xludf.DUMMYFUNCTION("""COMPUTED_VALUE"""),"RUN-ABRM_2023-04-18_APS-009")</f>
        <v>RUN-ABRM_2023-04-18_APS-009</v>
      </c>
      <c r="C1179" s="8">
        <f>VLOOKUP(B1179,'Run Reconcile'!A$2:B3212,2,FALSE)</f>
        <v>45034</v>
      </c>
      <c r="D1179" s="12">
        <f>IFERROR(__xludf.DUMMYFUNCTION("""COMPUTED_VALUE"""),45034.0)</f>
        <v>45034</v>
      </c>
      <c r="E1179" s="13">
        <f>IFERROR(__xludf.DUMMYFUNCTION("""COMPUTED_VALUE"""),0.39318287037167465)</f>
        <v>0.3931828704</v>
      </c>
      <c r="F1179" s="7" t="str">
        <f>IFERROR(__xludf.DUMMYFUNCTION("""COMPUTED_VALUE"""),"Negative")</f>
        <v>Negative</v>
      </c>
      <c r="G1179" s="7">
        <f>IFERROR(__xludf.DUMMYFUNCTION("""COMPUTED_VALUE"""),1.0)</f>
        <v>1</v>
      </c>
    </row>
    <row r="1180">
      <c r="A1180" s="7" t="str">
        <f>IFERROR(__xludf.DUMMYFUNCTION("""COMPUTED_VALUE"""),"AR625")</f>
        <v>AR625</v>
      </c>
      <c r="B1180" s="7" t="str">
        <f>IFERROR(__xludf.DUMMYFUNCTION("""COMPUTED_VALUE"""),"RUN-ABRM_2023-04-18_APS-009")</f>
        <v>RUN-ABRM_2023-04-18_APS-009</v>
      </c>
      <c r="C1180" s="8">
        <f>VLOOKUP(B1180,'Run Reconcile'!A$2:B3212,2,FALSE)</f>
        <v>45034</v>
      </c>
      <c r="D1180" s="12">
        <f>IFERROR(__xludf.DUMMYFUNCTION("""COMPUTED_VALUE"""),45034.0)</f>
        <v>45034</v>
      </c>
      <c r="E1180" s="13">
        <f>IFERROR(__xludf.DUMMYFUNCTION("""COMPUTED_VALUE"""),0.3936805555567844)</f>
        <v>0.3936805556</v>
      </c>
      <c r="F1180" s="7" t="str">
        <f>IFERROR(__xludf.DUMMYFUNCTION("""COMPUTED_VALUE"""),"Negative")</f>
        <v>Negative</v>
      </c>
      <c r="G1180" s="7">
        <f>IFERROR(__xludf.DUMMYFUNCTION("""COMPUTED_VALUE"""),1.0)</f>
        <v>1</v>
      </c>
    </row>
    <row r="1181">
      <c r="A1181" s="7" t="str">
        <f>IFERROR(__xludf.DUMMYFUNCTION("""COMPUTED_VALUE"""),"AR1790")</f>
        <v>AR1790</v>
      </c>
      <c r="B1181" s="7" t="str">
        <f>IFERROR(__xludf.DUMMYFUNCTION("""COMPUTED_VALUE"""),"RUN-ABRM_2023-04-18_APS-009")</f>
        <v>RUN-ABRM_2023-04-18_APS-009</v>
      </c>
      <c r="C1181" s="8">
        <f>VLOOKUP(B1181,'Run Reconcile'!A$2:B3212,2,FALSE)</f>
        <v>45034</v>
      </c>
      <c r="D1181" s="12">
        <f>IFERROR(__xludf.DUMMYFUNCTION("""COMPUTED_VALUE"""),45034.0)</f>
        <v>45034</v>
      </c>
      <c r="E1181" s="13">
        <f>IFERROR(__xludf.DUMMYFUNCTION("""COMPUTED_VALUE"""),0.39380787036861875)</f>
        <v>0.3938078704</v>
      </c>
      <c r="F1181" s="7" t="str">
        <f>IFERROR(__xludf.DUMMYFUNCTION("""COMPUTED_VALUE"""),"Negative")</f>
        <v>Negative</v>
      </c>
      <c r="G1181" s="7">
        <f>IFERROR(__xludf.DUMMYFUNCTION("""COMPUTED_VALUE"""),1.0)</f>
        <v>1</v>
      </c>
    </row>
    <row r="1182">
      <c r="A1182" s="7" t="str">
        <f>IFERROR(__xludf.DUMMYFUNCTION("""COMPUTED_VALUE"""),"AE9987")</f>
        <v>AE9987</v>
      </c>
      <c r="B1182" s="7" t="str">
        <f>IFERROR(__xludf.DUMMYFUNCTION("""COMPUTED_VALUE"""),"RUN-ABRM_2023-04-19_RFR-215")</f>
        <v>RUN-ABRM_2023-04-19_RFR-215</v>
      </c>
      <c r="C1182" s="8">
        <f>VLOOKUP(B1182,'Run Reconcile'!A$2:B3212,2,FALSE)</f>
        <v>45035</v>
      </c>
      <c r="D1182" s="12">
        <f>IFERROR(__xludf.DUMMYFUNCTION("""COMPUTED_VALUE"""),45035.0)</f>
        <v>45035</v>
      </c>
      <c r="E1182" s="13">
        <f>IFERROR(__xludf.DUMMYFUNCTION("""COMPUTED_VALUE"""),0.2170486111099308)</f>
        <v>0.2170486111</v>
      </c>
      <c r="F1182" s="7" t="str">
        <f>IFERROR(__xludf.DUMMYFUNCTION("""COMPUTED_VALUE"""),"Negative")</f>
        <v>Negative</v>
      </c>
      <c r="G1182" s="7">
        <f>IFERROR(__xludf.DUMMYFUNCTION("""COMPUTED_VALUE"""),3.0)</f>
        <v>3</v>
      </c>
    </row>
    <row r="1183">
      <c r="A1183" s="7" t="str">
        <f>IFERROR(__xludf.DUMMYFUNCTION("""COMPUTED_VALUE"""),"AE9966")</f>
        <v>AE9966</v>
      </c>
      <c r="B1183" s="7" t="str">
        <f>IFERROR(__xludf.DUMMYFUNCTION("""COMPUTED_VALUE"""),"RUN-ABRM_2023-04-19_RFR-215")</f>
        <v>RUN-ABRM_2023-04-19_RFR-215</v>
      </c>
      <c r="C1183" s="8">
        <f>VLOOKUP(B1183,'Run Reconcile'!A$2:B3212,2,FALSE)</f>
        <v>45035</v>
      </c>
      <c r="D1183" s="12">
        <f>IFERROR(__xludf.DUMMYFUNCTION("""COMPUTED_VALUE"""),45035.0)</f>
        <v>45035</v>
      </c>
      <c r="E1183" s="13">
        <f>IFERROR(__xludf.DUMMYFUNCTION("""COMPUTED_VALUE"""),0.2619097222232085)</f>
        <v>0.2619097222</v>
      </c>
      <c r="F1183" s="7" t="str">
        <f>IFERROR(__xludf.DUMMYFUNCTION("""COMPUTED_VALUE"""),"Negative")</f>
        <v>Negative</v>
      </c>
      <c r="G1183" s="7">
        <f>IFERROR(__xludf.DUMMYFUNCTION("""COMPUTED_VALUE"""),3.0)</f>
        <v>3</v>
      </c>
    </row>
    <row r="1184">
      <c r="A1184" s="7" t="str">
        <f>IFERROR(__xludf.DUMMYFUNCTION("""COMPUTED_VALUE"""),"AR659")</f>
        <v>AR659</v>
      </c>
      <c r="B1184" s="7" t="str">
        <f>IFERROR(__xludf.DUMMYFUNCTION("""COMPUTED_VALUE"""),"RUN-ABRM_2023-04-19_RFR-215")</f>
        <v>RUN-ABRM_2023-04-19_RFR-215</v>
      </c>
      <c r="C1184" s="8">
        <f>VLOOKUP(B1184,'Run Reconcile'!A$2:B3212,2,FALSE)</f>
        <v>45035</v>
      </c>
      <c r="D1184" s="12">
        <f>IFERROR(__xludf.DUMMYFUNCTION("""COMPUTED_VALUE"""),45035.0)</f>
        <v>45035</v>
      </c>
      <c r="E1184" s="13">
        <f>IFERROR(__xludf.DUMMYFUNCTION("""COMPUTED_VALUE"""),0.28682870370539604)</f>
        <v>0.2868287037</v>
      </c>
      <c r="F1184" s="7" t="str">
        <f>IFERROR(__xludf.DUMMYFUNCTION("""COMPUTED_VALUE"""),"Negative")</f>
        <v>Negative</v>
      </c>
      <c r="G1184" s="7">
        <f>IFERROR(__xludf.DUMMYFUNCTION("""COMPUTED_VALUE"""),3.0)</f>
        <v>3</v>
      </c>
    </row>
    <row r="1185">
      <c r="A1185" s="7" t="str">
        <f>IFERROR(__xludf.DUMMYFUNCTION("""COMPUTED_VALUE"""),"AR1661")</f>
        <v>AR1661</v>
      </c>
      <c r="B1185" s="7" t="str">
        <f>IFERROR(__xludf.DUMMYFUNCTION("""COMPUTED_VALUE"""),"RUN-ABRM_2023-04-19_RFR-215")</f>
        <v>RUN-ABRM_2023-04-19_RFR-215</v>
      </c>
      <c r="C1185" s="8">
        <f>VLOOKUP(B1185,'Run Reconcile'!A$2:B3212,2,FALSE)</f>
        <v>45035</v>
      </c>
      <c r="D1185" s="12">
        <f>IFERROR(__xludf.DUMMYFUNCTION("""COMPUTED_VALUE"""),45035.0)</f>
        <v>45035</v>
      </c>
      <c r="E1185" s="13">
        <f>IFERROR(__xludf.DUMMYFUNCTION("""COMPUTED_VALUE"""),0.32996527777868323)</f>
        <v>0.3299652778</v>
      </c>
      <c r="F1185" s="7" t="str">
        <f>IFERROR(__xludf.DUMMYFUNCTION("""COMPUTED_VALUE"""),"Negative")</f>
        <v>Negative</v>
      </c>
      <c r="G1185" s="7">
        <f>IFERROR(__xludf.DUMMYFUNCTION("""COMPUTED_VALUE"""),1.0)</f>
        <v>1</v>
      </c>
    </row>
    <row r="1186">
      <c r="A1186" s="7" t="str">
        <f>IFERROR(__xludf.DUMMYFUNCTION("""COMPUTED_VALUE"""),"AR1570")</f>
        <v>AR1570</v>
      </c>
      <c r="B1186" s="7" t="str">
        <f>IFERROR(__xludf.DUMMYFUNCTION("""COMPUTED_VALUE"""),"RUN-ABRM_2023-04-19_RFR-215")</f>
        <v>RUN-ABRM_2023-04-19_RFR-215</v>
      </c>
      <c r="C1186" s="8">
        <f>VLOOKUP(B1186,'Run Reconcile'!A$2:B3212,2,FALSE)</f>
        <v>45035</v>
      </c>
      <c r="D1186" s="12">
        <f>IFERROR(__xludf.DUMMYFUNCTION("""COMPUTED_VALUE"""),45035.0)</f>
        <v>45035</v>
      </c>
      <c r="E1186" s="13">
        <f>IFERROR(__xludf.DUMMYFUNCTION("""COMPUTED_VALUE"""),0.33839120370248565)</f>
        <v>0.3383912037</v>
      </c>
      <c r="F1186" s="7" t="str">
        <f>IFERROR(__xludf.DUMMYFUNCTION("""COMPUTED_VALUE"""),"Negative")</f>
        <v>Negative</v>
      </c>
      <c r="G1186" s="7">
        <f>IFERROR(__xludf.DUMMYFUNCTION("""COMPUTED_VALUE"""),1.0)</f>
        <v>1</v>
      </c>
    </row>
    <row r="1187">
      <c r="A1187" s="7" t="str">
        <f>IFERROR(__xludf.DUMMYFUNCTION("""COMPUTED_VALUE"""),"AR346")</f>
        <v>AR346</v>
      </c>
      <c r="B1187" s="7" t="str">
        <f>IFERROR(__xludf.DUMMYFUNCTION("""COMPUTED_VALUE"""),"RUN-ABRM_2023-04-20_RFR-216")</f>
        <v>RUN-ABRM_2023-04-20_RFR-216</v>
      </c>
      <c r="C1187" s="8">
        <f>VLOOKUP(B1187,'Run Reconcile'!A$2:B3212,2,FALSE)</f>
        <v>45036</v>
      </c>
      <c r="D1187" s="12">
        <f>IFERROR(__xludf.DUMMYFUNCTION("""COMPUTED_VALUE"""),45036.0)</f>
        <v>45036</v>
      </c>
      <c r="E1187" s="13">
        <f>IFERROR(__xludf.DUMMYFUNCTION("""COMPUTED_VALUE"""),0.21788194444525288)</f>
        <v>0.2178819444</v>
      </c>
      <c r="F1187" s="7" t="str">
        <f>IFERROR(__xludf.DUMMYFUNCTION("""COMPUTED_VALUE"""),"Negative")</f>
        <v>Negative</v>
      </c>
      <c r="G1187" s="7">
        <f>IFERROR(__xludf.DUMMYFUNCTION("""COMPUTED_VALUE"""),3.0)</f>
        <v>3</v>
      </c>
    </row>
    <row r="1188">
      <c r="A1188" s="7" t="str">
        <f>IFERROR(__xludf.DUMMYFUNCTION("""COMPUTED_VALUE"""),"AK9745")</f>
        <v>AK9745</v>
      </c>
      <c r="B1188" s="7" t="str">
        <f>IFERROR(__xludf.DUMMYFUNCTION("""COMPUTED_VALUE"""),"RUN-ABRM_2023-04-20_RFR-216")</f>
        <v>RUN-ABRM_2023-04-20_RFR-216</v>
      </c>
      <c r="C1188" s="8">
        <f>VLOOKUP(B1188,'Run Reconcile'!A$2:B3212,2,FALSE)</f>
        <v>45036</v>
      </c>
      <c r="D1188" s="12">
        <f>IFERROR(__xludf.DUMMYFUNCTION("""COMPUTED_VALUE"""),45036.0)</f>
        <v>45036</v>
      </c>
      <c r="E1188" s="13">
        <f>IFERROR(__xludf.DUMMYFUNCTION("""COMPUTED_VALUE"""),0.28353009259080864)</f>
        <v>0.2835300926</v>
      </c>
      <c r="F1188" s="7" t="str">
        <f>IFERROR(__xludf.DUMMYFUNCTION("""COMPUTED_VALUE"""),"Negative")</f>
        <v>Negative</v>
      </c>
      <c r="G1188" s="7">
        <f>IFERROR(__xludf.DUMMYFUNCTION("""COMPUTED_VALUE"""),3.0)</f>
        <v>3</v>
      </c>
    </row>
    <row r="1189">
      <c r="A1189" s="7" t="str">
        <f>IFERROR(__xludf.DUMMYFUNCTION("""COMPUTED_VALUE"""),"AR619")</f>
        <v>AR619</v>
      </c>
      <c r="B1189" s="7" t="str">
        <f>IFERROR(__xludf.DUMMYFUNCTION("""COMPUTED_VALUE"""),"RUN-ABRM_2023-04-20_RFR-216")</f>
        <v>RUN-ABRM_2023-04-20_RFR-216</v>
      </c>
      <c r="C1189" s="8">
        <f>VLOOKUP(B1189,'Run Reconcile'!A$2:B3212,2,FALSE)</f>
        <v>45036</v>
      </c>
      <c r="D1189" s="12">
        <f>IFERROR(__xludf.DUMMYFUNCTION("""COMPUTED_VALUE"""),45036.0)</f>
        <v>45036</v>
      </c>
      <c r="E1189" s="13">
        <f>IFERROR(__xludf.DUMMYFUNCTION("""COMPUTED_VALUE"""),0.3046064814807323)</f>
        <v>0.3046064815</v>
      </c>
      <c r="F1189" s="7" t="str">
        <f>IFERROR(__xludf.DUMMYFUNCTION("""COMPUTED_VALUE"""),"Negative")</f>
        <v>Negative</v>
      </c>
      <c r="G1189" s="7">
        <f>IFERROR(__xludf.DUMMYFUNCTION("""COMPUTED_VALUE"""),4.0)</f>
        <v>4</v>
      </c>
    </row>
    <row r="1190">
      <c r="A1190" s="7" t="str">
        <f>IFERROR(__xludf.DUMMYFUNCTION("""COMPUTED_VALUE"""),"AR1035")</f>
        <v>AR1035</v>
      </c>
      <c r="B1190" s="7" t="str">
        <f>IFERROR(__xludf.DUMMYFUNCTION("""COMPUTED_VALUE"""),"RUN-ABRM_2023-04-20_RFR-216")</f>
        <v>RUN-ABRM_2023-04-20_RFR-216</v>
      </c>
      <c r="C1190" s="8">
        <f>VLOOKUP(B1190,'Run Reconcile'!A$2:B3212,2,FALSE)</f>
        <v>45036</v>
      </c>
      <c r="D1190" s="12">
        <f>IFERROR(__xludf.DUMMYFUNCTION("""COMPUTED_VALUE"""),45036.0)</f>
        <v>45036</v>
      </c>
      <c r="E1190" s="13">
        <f>IFERROR(__xludf.DUMMYFUNCTION("""COMPUTED_VALUE"""),0.31819444444408873)</f>
        <v>0.3181944444</v>
      </c>
      <c r="F1190" s="7" t="str">
        <f>IFERROR(__xludf.DUMMYFUNCTION("""COMPUTED_VALUE"""),"Negative")</f>
        <v>Negative</v>
      </c>
      <c r="G1190" s="7">
        <f>IFERROR(__xludf.DUMMYFUNCTION("""COMPUTED_VALUE"""),1.0)</f>
        <v>1</v>
      </c>
    </row>
    <row r="1191">
      <c r="A1191" s="7" t="str">
        <f>IFERROR(__xludf.DUMMYFUNCTION("""COMPUTED_VALUE"""),"AR714")</f>
        <v>AR714</v>
      </c>
      <c r="B1191" s="7" t="str">
        <f>IFERROR(__xludf.DUMMYFUNCTION("""COMPUTED_VALUE"""),"RUN-ABRM_2023-04-20_RFR-216")</f>
        <v>RUN-ABRM_2023-04-20_RFR-216</v>
      </c>
      <c r="C1191" s="8">
        <f>VLOOKUP(B1191,'Run Reconcile'!A$2:B3212,2,FALSE)</f>
        <v>45036</v>
      </c>
      <c r="D1191" s="12">
        <f>IFERROR(__xludf.DUMMYFUNCTION("""COMPUTED_VALUE"""),45036.0)</f>
        <v>45036</v>
      </c>
      <c r="E1191" s="13">
        <f>IFERROR(__xludf.DUMMYFUNCTION("""COMPUTED_VALUE"""),0.3184953703712381)</f>
        <v>0.3184953704</v>
      </c>
      <c r="F1191" s="7" t="str">
        <f>IFERROR(__xludf.DUMMYFUNCTION("""COMPUTED_VALUE"""),"Negative")</f>
        <v>Negative</v>
      </c>
      <c r="G1191" s="7">
        <f>IFERROR(__xludf.DUMMYFUNCTION("""COMPUTED_VALUE"""),1.0)</f>
        <v>1</v>
      </c>
    </row>
    <row r="1192">
      <c r="A1192" s="7" t="str">
        <f>IFERROR(__xludf.DUMMYFUNCTION("""COMPUTED_VALUE"""),"AR1278")</f>
        <v>AR1278</v>
      </c>
      <c r="B1192" s="7" t="str">
        <f>IFERROR(__xludf.DUMMYFUNCTION("""COMPUTED_VALUE"""),"RUN-ABRM_2023-04-20_RFR-216")</f>
        <v>RUN-ABRM_2023-04-20_RFR-216</v>
      </c>
      <c r="C1192" s="8">
        <f>VLOOKUP(B1192,'Run Reconcile'!A$2:B3212,2,FALSE)</f>
        <v>45036</v>
      </c>
      <c r="D1192" s="12">
        <f>IFERROR(__xludf.DUMMYFUNCTION("""COMPUTED_VALUE"""),45036.0)</f>
        <v>45036</v>
      </c>
      <c r="E1192" s="13">
        <f>IFERROR(__xludf.DUMMYFUNCTION("""COMPUTED_VALUE"""),0.3201273148151813)</f>
        <v>0.3201273148</v>
      </c>
      <c r="F1192" s="7" t="str">
        <f>IFERROR(__xludf.DUMMYFUNCTION("""COMPUTED_VALUE"""),"Negative")</f>
        <v>Negative</v>
      </c>
      <c r="G1192" s="7">
        <f>IFERROR(__xludf.DUMMYFUNCTION("""COMPUTED_VALUE"""),1.0)</f>
        <v>1</v>
      </c>
    </row>
    <row r="1193">
      <c r="A1193" s="7" t="str">
        <f>IFERROR(__xludf.DUMMYFUNCTION("""COMPUTED_VALUE"""),"AR1321")</f>
        <v>AR1321</v>
      </c>
      <c r="B1193" s="7" t="str">
        <f>IFERROR(__xludf.DUMMYFUNCTION("""COMPUTED_VALUE"""),"RUN-ABRM_2023-04-20_RFR-216")</f>
        <v>RUN-ABRM_2023-04-20_RFR-216</v>
      </c>
      <c r="C1193" s="8">
        <f>VLOOKUP(B1193,'Run Reconcile'!A$2:B3212,2,FALSE)</f>
        <v>45036</v>
      </c>
      <c r="D1193" s="12">
        <f>IFERROR(__xludf.DUMMYFUNCTION("""COMPUTED_VALUE"""),45036.0)</f>
        <v>45036</v>
      </c>
      <c r="E1193" s="13">
        <f>IFERROR(__xludf.DUMMYFUNCTION("""COMPUTED_VALUE"""),0.32993055555562023)</f>
        <v>0.3299305556</v>
      </c>
      <c r="F1193" s="7" t="str">
        <f>IFERROR(__xludf.DUMMYFUNCTION("""COMPUTED_VALUE"""),"Negative")</f>
        <v>Negative</v>
      </c>
      <c r="G1193" s="7">
        <f>IFERROR(__xludf.DUMMYFUNCTION("""COMPUTED_VALUE"""),1.0)</f>
        <v>1</v>
      </c>
    </row>
    <row r="1194">
      <c r="A1194" s="7" t="str">
        <f>IFERROR(__xludf.DUMMYFUNCTION("""COMPUTED_VALUE"""),"AK9994")</f>
        <v>AK9994</v>
      </c>
      <c r="B1194" s="7" t="str">
        <f>IFERROR(__xludf.DUMMYFUNCTION("""COMPUTED_VALUE"""),"RUN-ABRM_2023-04-20_RFR-216")</f>
        <v>RUN-ABRM_2023-04-20_RFR-216</v>
      </c>
      <c r="C1194" s="8">
        <f>VLOOKUP(B1194,'Run Reconcile'!A$2:B3212,2,FALSE)</f>
        <v>45036</v>
      </c>
      <c r="D1194" s="12">
        <f>IFERROR(__xludf.DUMMYFUNCTION("""COMPUTED_VALUE"""),45036.0)</f>
        <v>45036</v>
      </c>
      <c r="E1194" s="13">
        <f>IFERROR(__xludf.DUMMYFUNCTION("""COMPUTED_VALUE"""),0.34034722222349956)</f>
        <v>0.3403472222</v>
      </c>
      <c r="F1194" s="7" t="str">
        <f>IFERROR(__xludf.DUMMYFUNCTION("""COMPUTED_VALUE"""),"Negative")</f>
        <v>Negative</v>
      </c>
      <c r="G1194" s="7">
        <f>IFERROR(__xludf.DUMMYFUNCTION("""COMPUTED_VALUE"""),1.0)</f>
        <v>1</v>
      </c>
    </row>
    <row r="1195">
      <c r="A1195" s="7" t="str">
        <f>IFERROR(__xludf.DUMMYFUNCTION("""COMPUTED_VALUE"""),"AR1066")</f>
        <v>AR1066</v>
      </c>
      <c r="B1195" s="7" t="str">
        <f>IFERROR(__xludf.DUMMYFUNCTION("""COMPUTED_VALUE"""),"RUN-ABRM_2023-04-21_RFR-217")</f>
        <v>RUN-ABRM_2023-04-21_RFR-217</v>
      </c>
      <c r="C1195" s="8">
        <f>VLOOKUP(B1195,'Run Reconcile'!A$2:B3212,2,FALSE)</f>
        <v>45037</v>
      </c>
      <c r="D1195" s="12">
        <f>IFERROR(__xludf.DUMMYFUNCTION("""COMPUTED_VALUE"""),45037.0)</f>
        <v>45037</v>
      </c>
      <c r="E1195" s="13">
        <f>IFERROR(__xludf.DUMMYFUNCTION("""COMPUTED_VALUE"""),0.19888888888817746)</f>
        <v>0.1988888889</v>
      </c>
      <c r="F1195" s="7" t="str">
        <f>IFERROR(__xludf.DUMMYFUNCTION("""COMPUTED_VALUE"""),"Negative")</f>
        <v>Negative</v>
      </c>
      <c r="G1195" s="7">
        <f>IFERROR(__xludf.DUMMYFUNCTION("""COMPUTED_VALUE"""),3.0)</f>
        <v>3</v>
      </c>
    </row>
    <row r="1196">
      <c r="A1196" s="7" t="str">
        <f>IFERROR(__xludf.DUMMYFUNCTION("""COMPUTED_VALUE"""),"AR1417")</f>
        <v>AR1417</v>
      </c>
      <c r="B1196" s="7" t="str">
        <f>IFERROR(__xludf.DUMMYFUNCTION("""COMPUTED_VALUE"""),"RUN-ABRM_2023-04-21_RFR-217")</f>
        <v>RUN-ABRM_2023-04-21_RFR-217</v>
      </c>
      <c r="C1196" s="8">
        <f>VLOOKUP(B1196,'Run Reconcile'!A$2:B3212,2,FALSE)</f>
        <v>45037</v>
      </c>
      <c r="D1196" s="12">
        <f>IFERROR(__xludf.DUMMYFUNCTION("""COMPUTED_VALUE"""),45037.0)</f>
        <v>45037</v>
      </c>
      <c r="E1196" s="13">
        <f>IFERROR(__xludf.DUMMYFUNCTION("""COMPUTED_VALUE"""),0.2942824074089003)</f>
        <v>0.2942824074</v>
      </c>
      <c r="F1196" s="7" t="str">
        <f>IFERROR(__xludf.DUMMYFUNCTION("""COMPUTED_VALUE"""),"Negative")</f>
        <v>Negative</v>
      </c>
      <c r="G1196" s="7">
        <f>IFERROR(__xludf.DUMMYFUNCTION("""COMPUTED_VALUE"""),3.0)</f>
        <v>3</v>
      </c>
    </row>
    <row r="1197">
      <c r="A1197" s="7" t="str">
        <f>IFERROR(__xludf.DUMMYFUNCTION("""COMPUTED_VALUE"""),"AB9951")</f>
        <v>AB9951</v>
      </c>
      <c r="B1197" s="7" t="str">
        <f>IFERROR(__xludf.DUMMYFUNCTION("""COMPUTED_VALUE"""),"RUN-ABRM_2023-04-21_RFR-217")</f>
        <v>RUN-ABRM_2023-04-21_RFR-217</v>
      </c>
      <c r="C1197" s="8">
        <f>VLOOKUP(B1197,'Run Reconcile'!A$2:B3212,2,FALSE)</f>
        <v>45037</v>
      </c>
      <c r="D1197" s="12">
        <f>IFERROR(__xludf.DUMMYFUNCTION("""COMPUTED_VALUE"""),45037.0)</f>
        <v>45037</v>
      </c>
      <c r="E1197" s="13">
        <f>IFERROR(__xludf.DUMMYFUNCTION("""COMPUTED_VALUE"""),0.30528935185066075)</f>
        <v>0.3052893519</v>
      </c>
      <c r="F1197" s="7" t="str">
        <f>IFERROR(__xludf.DUMMYFUNCTION("""COMPUTED_VALUE"""),"Negative")</f>
        <v>Negative</v>
      </c>
      <c r="G1197" s="7">
        <f>IFERROR(__xludf.DUMMYFUNCTION("""COMPUTED_VALUE"""),1.0)</f>
        <v>1</v>
      </c>
    </row>
    <row r="1198">
      <c r="A1198" s="7" t="str">
        <f>IFERROR(__xludf.DUMMYFUNCTION("""COMPUTED_VALUE"""),"AB9967")</f>
        <v>AB9967</v>
      </c>
      <c r="B1198" s="7" t="str">
        <f>IFERROR(__xludf.DUMMYFUNCTION("""COMPUTED_VALUE"""),"RUN-ABRM_2023-04-21_RFR-217")</f>
        <v>RUN-ABRM_2023-04-21_RFR-217</v>
      </c>
      <c r="C1198" s="8">
        <f>VLOOKUP(B1198,'Run Reconcile'!A$2:B3212,2,FALSE)</f>
        <v>45037</v>
      </c>
      <c r="D1198" s="12">
        <f>IFERROR(__xludf.DUMMYFUNCTION("""COMPUTED_VALUE"""),45037.0)</f>
        <v>45037</v>
      </c>
      <c r="E1198" s="13">
        <f>IFERROR(__xludf.DUMMYFUNCTION("""COMPUTED_VALUE"""),0.33587962963065365)</f>
        <v>0.3358796296</v>
      </c>
      <c r="F1198" s="7" t="str">
        <f>IFERROR(__xludf.DUMMYFUNCTION("""COMPUTED_VALUE"""),"Negative")</f>
        <v>Negative</v>
      </c>
      <c r="G1198" s="7">
        <f>IFERROR(__xludf.DUMMYFUNCTION("""COMPUTED_VALUE"""),1.0)</f>
        <v>1</v>
      </c>
    </row>
    <row r="1199">
      <c r="A1199" s="7" t="str">
        <f>IFERROR(__xludf.DUMMYFUNCTION("""COMPUTED_VALUE"""),"AK9667")</f>
        <v>AK9667</v>
      </c>
      <c r="B1199" s="7" t="str">
        <f>IFERROR(__xludf.DUMMYFUNCTION("""COMPUTED_VALUE"""),"RUN-ABRM_2023-04-24_RFR-219")</f>
        <v>RUN-ABRM_2023-04-24_RFR-219</v>
      </c>
      <c r="C1199" s="8">
        <f>VLOOKUP(B1199,'Run Reconcile'!A$2:B3212,2,FALSE)</f>
        <v>45040</v>
      </c>
      <c r="D1199" s="12">
        <f>IFERROR(__xludf.DUMMYFUNCTION("""COMPUTED_VALUE"""),45040.0)</f>
        <v>45040</v>
      </c>
      <c r="E1199" s="13">
        <f>IFERROR(__xludf.DUMMYFUNCTION("""COMPUTED_VALUE"""),0.2229629629619012)</f>
        <v>0.222962963</v>
      </c>
      <c r="F1199" s="7" t="str">
        <f>IFERROR(__xludf.DUMMYFUNCTION("""COMPUTED_VALUE"""),"Negative")</f>
        <v>Negative</v>
      </c>
      <c r="G1199" s="7">
        <f>IFERROR(__xludf.DUMMYFUNCTION("""COMPUTED_VALUE"""),3.0)</f>
        <v>3</v>
      </c>
    </row>
    <row r="1200">
      <c r="A1200" s="7" t="str">
        <f>IFERROR(__xludf.DUMMYFUNCTION("""COMPUTED_VALUE"""),"AR1214")</f>
        <v>AR1214</v>
      </c>
      <c r="B1200" s="7" t="str">
        <f>IFERROR(__xludf.DUMMYFUNCTION("""COMPUTED_VALUE"""),"RUN-ABRM_2023-04-24_RFR-219")</f>
        <v>RUN-ABRM_2023-04-24_RFR-219</v>
      </c>
      <c r="C1200" s="8">
        <f>VLOOKUP(B1200,'Run Reconcile'!A$2:B3212,2,FALSE)</f>
        <v>45040</v>
      </c>
      <c r="D1200" s="12">
        <f>IFERROR(__xludf.DUMMYFUNCTION("""COMPUTED_VALUE"""),45040.0)</f>
        <v>45040</v>
      </c>
      <c r="E1200" s="13">
        <f>IFERROR(__xludf.DUMMYFUNCTION("""COMPUTED_VALUE"""),0.2414236111108039)</f>
        <v>0.2414236111</v>
      </c>
      <c r="F1200" s="7" t="str">
        <f>IFERROR(__xludf.DUMMYFUNCTION("""COMPUTED_VALUE"""),"Negative")</f>
        <v>Negative</v>
      </c>
      <c r="G1200" s="7">
        <f>IFERROR(__xludf.DUMMYFUNCTION("""COMPUTED_VALUE"""),3.0)</f>
        <v>3</v>
      </c>
    </row>
    <row r="1201">
      <c r="A1201" s="7" t="str">
        <f>IFERROR(__xludf.DUMMYFUNCTION("""COMPUTED_VALUE"""),"AR971")</f>
        <v>AR971</v>
      </c>
      <c r="B1201" s="7" t="str">
        <f>IFERROR(__xludf.DUMMYFUNCTION("""COMPUTED_VALUE"""),"RUN-ABRM_2023-04-24_RFR-219")</f>
        <v>RUN-ABRM_2023-04-24_RFR-219</v>
      </c>
      <c r="C1201" s="8">
        <f>VLOOKUP(B1201,'Run Reconcile'!A$2:B3212,2,FALSE)</f>
        <v>45040</v>
      </c>
      <c r="D1201" s="12">
        <f>IFERROR(__xludf.DUMMYFUNCTION("""COMPUTED_VALUE"""),45040.0)</f>
        <v>45040</v>
      </c>
      <c r="E1201" s="13">
        <f>IFERROR(__xludf.DUMMYFUNCTION("""COMPUTED_VALUE"""),0.2486574074064265)</f>
        <v>0.2486574074</v>
      </c>
      <c r="F1201" s="7" t="str">
        <f>IFERROR(__xludf.DUMMYFUNCTION("""COMPUTED_VALUE"""),"Negative")</f>
        <v>Negative</v>
      </c>
      <c r="G1201" s="7">
        <f>IFERROR(__xludf.DUMMYFUNCTION("""COMPUTED_VALUE"""),3.0)</f>
        <v>3</v>
      </c>
    </row>
    <row r="1202">
      <c r="A1202" s="7" t="str">
        <f>IFERROR(__xludf.DUMMYFUNCTION("""COMPUTED_VALUE"""),"AR1969")</f>
        <v>AR1969</v>
      </c>
      <c r="B1202" s="7" t="str">
        <f>IFERROR(__xludf.DUMMYFUNCTION("""COMPUTED_VALUE"""),"RUN-ABRM_2023-04-24_RFR-219")</f>
        <v>RUN-ABRM_2023-04-24_RFR-219</v>
      </c>
      <c r="C1202" s="8">
        <f>VLOOKUP(B1202,'Run Reconcile'!A$2:B3212,2,FALSE)</f>
        <v>45040</v>
      </c>
      <c r="D1202" s="12">
        <f>IFERROR(__xludf.DUMMYFUNCTION("""COMPUTED_VALUE"""),45040.0)</f>
        <v>45040</v>
      </c>
      <c r="E1202" s="13">
        <f>IFERROR(__xludf.DUMMYFUNCTION("""COMPUTED_VALUE"""),0.31582175926087075)</f>
        <v>0.3158217593</v>
      </c>
      <c r="F1202" s="7" t="str">
        <f>IFERROR(__xludf.DUMMYFUNCTION("""COMPUTED_VALUE"""),"Negative")</f>
        <v>Negative</v>
      </c>
      <c r="G1202" s="7">
        <f>IFERROR(__xludf.DUMMYFUNCTION("""COMPUTED_VALUE"""),1.0)</f>
        <v>1</v>
      </c>
    </row>
    <row r="1203">
      <c r="A1203" s="7" t="str">
        <f>IFERROR(__xludf.DUMMYFUNCTION("""COMPUTED_VALUE"""),"AR1591")</f>
        <v>AR1591</v>
      </c>
      <c r="B1203" s="7" t="str">
        <f>IFERROR(__xludf.DUMMYFUNCTION("""COMPUTED_VALUE"""),"RUN-ABRM_2023-04-24_RFR-219")</f>
        <v>RUN-ABRM_2023-04-24_RFR-219</v>
      </c>
      <c r="C1203" s="8">
        <f>VLOOKUP(B1203,'Run Reconcile'!A$2:B3212,2,FALSE)</f>
        <v>45040</v>
      </c>
      <c r="D1203" s="12">
        <f>IFERROR(__xludf.DUMMYFUNCTION("""COMPUTED_VALUE"""),45040.0)</f>
        <v>45040</v>
      </c>
      <c r="E1203" s="13">
        <f>IFERROR(__xludf.DUMMYFUNCTION("""COMPUTED_VALUE"""),0.3321180555540195)</f>
        <v>0.3321180556</v>
      </c>
      <c r="F1203" s="7" t="str">
        <f>IFERROR(__xludf.DUMMYFUNCTION("""COMPUTED_VALUE"""),"Negative")</f>
        <v>Negative</v>
      </c>
      <c r="G1203" s="7">
        <f>IFERROR(__xludf.DUMMYFUNCTION("""COMPUTED_VALUE"""),1.0)</f>
        <v>1</v>
      </c>
    </row>
    <row r="1204">
      <c r="A1204" s="7" t="str">
        <f>IFERROR(__xludf.DUMMYFUNCTION("""COMPUTED_VALUE"""),"AR61")</f>
        <v>AR61</v>
      </c>
      <c r="B1204" s="7" t="str">
        <f>IFERROR(__xludf.DUMMYFUNCTION("""COMPUTED_VALUE"""),"RUN-ABRM_2023-04-24_RFR-219")</f>
        <v>RUN-ABRM_2023-04-24_RFR-219</v>
      </c>
      <c r="C1204" s="8">
        <f>VLOOKUP(B1204,'Run Reconcile'!A$2:B3212,2,FALSE)</f>
        <v>45040</v>
      </c>
      <c r="D1204" s="12">
        <f>IFERROR(__xludf.DUMMYFUNCTION("""COMPUTED_VALUE"""),45040.0)</f>
        <v>45040</v>
      </c>
      <c r="E1204" s="13">
        <f>IFERROR(__xludf.DUMMYFUNCTION("""COMPUTED_VALUE"""),0.3324189814811689)</f>
        <v>0.3324189815</v>
      </c>
      <c r="F1204" s="7" t="str">
        <f>IFERROR(__xludf.DUMMYFUNCTION("""COMPUTED_VALUE"""),"Negative")</f>
        <v>Negative</v>
      </c>
      <c r="G1204" s="7">
        <f>IFERROR(__xludf.DUMMYFUNCTION("""COMPUTED_VALUE"""),1.0)</f>
        <v>1</v>
      </c>
    </row>
    <row r="1205">
      <c r="A1205" s="7" t="str">
        <f>IFERROR(__xludf.DUMMYFUNCTION("""COMPUTED_VALUE"""),"AR1728")</f>
        <v>AR1728</v>
      </c>
      <c r="B1205" s="7" t="str">
        <f>IFERROR(__xludf.DUMMYFUNCTION("""COMPUTED_VALUE"""),"RUN-ABRM_2023-04-24_RFR-219")</f>
        <v>RUN-ABRM_2023-04-24_RFR-219</v>
      </c>
      <c r="C1205" s="8">
        <f>VLOOKUP(B1205,'Run Reconcile'!A$2:B3212,2,FALSE)</f>
        <v>45040</v>
      </c>
      <c r="D1205" s="12">
        <f>IFERROR(__xludf.DUMMYFUNCTION("""COMPUTED_VALUE"""),45040.0)</f>
        <v>45040</v>
      </c>
      <c r="E1205" s="13">
        <f>IFERROR(__xludf.DUMMYFUNCTION("""COMPUTED_VALUE"""),0.33275462963138125)</f>
        <v>0.3327546296</v>
      </c>
      <c r="F1205" s="7" t="str">
        <f>IFERROR(__xludf.DUMMYFUNCTION("""COMPUTED_VALUE"""),"Negative")</f>
        <v>Negative</v>
      </c>
      <c r="G1205" s="7">
        <f>IFERROR(__xludf.DUMMYFUNCTION("""COMPUTED_VALUE"""),1.0)</f>
        <v>1</v>
      </c>
    </row>
    <row r="1206">
      <c r="A1206" s="7" t="str">
        <f>IFERROR(__xludf.DUMMYFUNCTION("""COMPUTED_VALUE"""),"AR1212")</f>
        <v>AR1212</v>
      </c>
      <c r="B1206" s="7" t="str">
        <f>IFERROR(__xludf.DUMMYFUNCTION("""COMPUTED_VALUE"""),"RUN-ABRM_2023-04-24_RFR-219")</f>
        <v>RUN-ABRM_2023-04-24_RFR-219</v>
      </c>
      <c r="C1206" s="8">
        <f>VLOOKUP(B1206,'Run Reconcile'!A$2:B3212,2,FALSE)</f>
        <v>45040</v>
      </c>
      <c r="D1206" s="12">
        <f>IFERROR(__xludf.DUMMYFUNCTION("""COMPUTED_VALUE"""),45040.0)</f>
        <v>45040</v>
      </c>
      <c r="E1206" s="13">
        <f>IFERROR(__xludf.DUMMYFUNCTION("""COMPUTED_VALUE"""),0.3329166666662786)</f>
        <v>0.3329166667</v>
      </c>
      <c r="F1206" s="7" t="str">
        <f>IFERROR(__xludf.DUMMYFUNCTION("""COMPUTED_VALUE"""),"Negative")</f>
        <v>Negative</v>
      </c>
      <c r="G1206" s="7">
        <f>IFERROR(__xludf.DUMMYFUNCTION("""COMPUTED_VALUE"""),1.0)</f>
        <v>1</v>
      </c>
    </row>
    <row r="1207">
      <c r="A1207" s="7" t="str">
        <f>IFERROR(__xludf.DUMMYFUNCTION("""COMPUTED_VALUE"""),"AR1465")</f>
        <v>AR1465</v>
      </c>
      <c r="B1207" s="7" t="str">
        <f>IFERROR(__xludf.DUMMYFUNCTION("""COMPUTED_VALUE"""),"RUN-ABRM_2023-04-24_RFR-219")</f>
        <v>RUN-ABRM_2023-04-24_RFR-219</v>
      </c>
      <c r="C1207" s="8">
        <f>VLOOKUP(B1207,'Run Reconcile'!A$2:B3212,2,FALSE)</f>
        <v>45040</v>
      </c>
      <c r="D1207" s="12">
        <f>IFERROR(__xludf.DUMMYFUNCTION("""COMPUTED_VALUE"""),45040.0)</f>
        <v>45040</v>
      </c>
      <c r="E1207" s="13">
        <f>IFERROR(__xludf.DUMMYFUNCTION("""COMPUTED_VALUE"""),0.333460648147593)</f>
        <v>0.3334606481</v>
      </c>
      <c r="F1207" s="7" t="str">
        <f>IFERROR(__xludf.DUMMYFUNCTION("""COMPUTED_VALUE"""),"Negative")</f>
        <v>Negative</v>
      </c>
      <c r="G1207" s="7">
        <f>IFERROR(__xludf.DUMMYFUNCTION("""COMPUTED_VALUE"""),1.0)</f>
        <v>1</v>
      </c>
    </row>
    <row r="1208">
      <c r="A1208" s="7" t="str">
        <f>IFERROR(__xludf.DUMMYFUNCTION("""COMPUTED_VALUE"""),"AB9958")</f>
        <v>AB9958</v>
      </c>
      <c r="B1208" s="7" t="str">
        <f>IFERROR(__xludf.DUMMYFUNCTION("""COMPUTED_VALUE"""),"RUN-ABRM_2023-04-25_APS-010")</f>
        <v>RUN-ABRM_2023-04-25_APS-010</v>
      </c>
      <c r="C1208" s="8">
        <f>VLOOKUP(B1208,'Run Reconcile'!A$2:B3212,2,FALSE)</f>
        <v>45041</v>
      </c>
      <c r="D1208" s="12">
        <f>IFERROR(__xludf.DUMMYFUNCTION("""COMPUTED_VALUE"""),45041.0)</f>
        <v>45041</v>
      </c>
      <c r="E1208" s="13">
        <f>IFERROR(__xludf.DUMMYFUNCTION("""COMPUTED_VALUE"""),0.24002314814788406)</f>
        <v>0.2400231481</v>
      </c>
      <c r="F1208" s="7" t="str">
        <f>IFERROR(__xludf.DUMMYFUNCTION("""COMPUTED_VALUE"""),"Negative")</f>
        <v>Negative</v>
      </c>
      <c r="G1208" s="7">
        <f>IFERROR(__xludf.DUMMYFUNCTION("""COMPUTED_VALUE"""),3.0)</f>
        <v>3</v>
      </c>
    </row>
    <row r="1209">
      <c r="A1209" s="7" t="str">
        <f>IFERROR(__xludf.DUMMYFUNCTION("""COMPUTED_VALUE"""),"AR1083")</f>
        <v>AR1083</v>
      </c>
      <c r="B1209" s="7" t="str">
        <f>IFERROR(__xludf.DUMMYFUNCTION("""COMPUTED_VALUE"""),"RUN-ABRM_2023-04-25_APS-010")</f>
        <v>RUN-ABRM_2023-04-25_APS-010</v>
      </c>
      <c r="C1209" s="8">
        <f>VLOOKUP(B1209,'Run Reconcile'!A$2:B3212,2,FALSE)</f>
        <v>45041</v>
      </c>
      <c r="D1209" s="12">
        <f>IFERROR(__xludf.DUMMYFUNCTION("""COMPUTED_VALUE"""),45041.0)</f>
        <v>45041</v>
      </c>
      <c r="E1209" s="13">
        <f>IFERROR(__xludf.DUMMYFUNCTION("""COMPUTED_VALUE"""),0.26347222222102573)</f>
        <v>0.2634722222</v>
      </c>
      <c r="F1209" s="7" t="str">
        <f>IFERROR(__xludf.DUMMYFUNCTION("""COMPUTED_VALUE"""),"Negative")</f>
        <v>Negative</v>
      </c>
      <c r="G1209" s="7">
        <f>IFERROR(__xludf.DUMMYFUNCTION("""COMPUTED_VALUE"""),3.0)</f>
        <v>3</v>
      </c>
    </row>
    <row r="1210">
      <c r="A1210" s="7" t="str">
        <f>IFERROR(__xludf.DUMMYFUNCTION("""COMPUTED_VALUE"""),"AR1263")</f>
        <v>AR1263</v>
      </c>
      <c r="B1210" s="7" t="str">
        <f>IFERROR(__xludf.DUMMYFUNCTION("""COMPUTED_VALUE"""),"RUN-ABRM_2023-04-25_APS-010")</f>
        <v>RUN-ABRM_2023-04-25_APS-010</v>
      </c>
      <c r="C1210" s="8">
        <f>VLOOKUP(B1210,'Run Reconcile'!A$2:B3212,2,FALSE)</f>
        <v>45041</v>
      </c>
      <c r="D1210" s="12">
        <f>IFERROR(__xludf.DUMMYFUNCTION("""COMPUTED_VALUE"""),45041.0)</f>
        <v>45041</v>
      </c>
      <c r="E1210" s="13">
        <f>IFERROR(__xludf.DUMMYFUNCTION("""COMPUTED_VALUE"""),0.2853587962963502)</f>
        <v>0.2853587963</v>
      </c>
      <c r="F1210" s="7" t="str">
        <f>IFERROR(__xludf.DUMMYFUNCTION("""COMPUTED_VALUE"""),"Negative")</f>
        <v>Negative</v>
      </c>
      <c r="G1210" s="7">
        <f>IFERROR(__xludf.DUMMYFUNCTION("""COMPUTED_VALUE"""),3.0)</f>
        <v>3</v>
      </c>
    </row>
    <row r="1211">
      <c r="A1211" s="7" t="str">
        <f>IFERROR(__xludf.DUMMYFUNCTION("""COMPUTED_VALUE"""),"AR1679")</f>
        <v>AR1679</v>
      </c>
      <c r="B1211" s="7" t="str">
        <f>IFERROR(__xludf.DUMMYFUNCTION("""COMPUTED_VALUE"""),"RUN-ABRM_2023-04-25_APS-010")</f>
        <v>RUN-ABRM_2023-04-25_APS-010</v>
      </c>
      <c r="C1211" s="8">
        <f>VLOOKUP(B1211,'Run Reconcile'!A$2:B3212,2,FALSE)</f>
        <v>45041</v>
      </c>
      <c r="D1211" s="12">
        <f>IFERROR(__xludf.DUMMYFUNCTION("""COMPUTED_VALUE"""),45041.0)</f>
        <v>45041</v>
      </c>
      <c r="E1211" s="13">
        <f>IFERROR(__xludf.DUMMYFUNCTION("""COMPUTED_VALUE"""),0.3031712962947495)</f>
        <v>0.3031712963</v>
      </c>
      <c r="F1211" s="7" t="str">
        <f>IFERROR(__xludf.DUMMYFUNCTION("""COMPUTED_VALUE"""),"Negative")</f>
        <v>Negative</v>
      </c>
      <c r="G1211" s="7">
        <f>IFERROR(__xludf.DUMMYFUNCTION("""COMPUTED_VALUE"""),1.0)</f>
        <v>1</v>
      </c>
    </row>
    <row r="1212">
      <c r="A1212" s="7" t="str">
        <f>IFERROR(__xludf.DUMMYFUNCTION("""COMPUTED_VALUE"""),"AR1454")</f>
        <v>AR1454</v>
      </c>
      <c r="B1212" s="7" t="str">
        <f>IFERROR(__xludf.DUMMYFUNCTION("""COMPUTED_VALUE"""),"RUN-ABRM_2023-04-25_APS-010")</f>
        <v>RUN-ABRM_2023-04-25_APS-010</v>
      </c>
      <c r="C1212" s="8">
        <f>VLOOKUP(B1212,'Run Reconcile'!A$2:B3212,2,FALSE)</f>
        <v>45041</v>
      </c>
      <c r="D1212" s="12">
        <f>IFERROR(__xludf.DUMMYFUNCTION("""COMPUTED_VALUE"""),45041.0)</f>
        <v>45041</v>
      </c>
      <c r="E1212" s="13">
        <f>IFERROR(__xludf.DUMMYFUNCTION("""COMPUTED_VALUE"""),0.32855324073898373)</f>
        <v>0.3285532407</v>
      </c>
      <c r="F1212" s="7" t="str">
        <f>IFERROR(__xludf.DUMMYFUNCTION("""COMPUTED_VALUE"""),"Negative")</f>
        <v>Negative</v>
      </c>
      <c r="G1212" s="7">
        <f>IFERROR(__xludf.DUMMYFUNCTION("""COMPUTED_VALUE"""),1.0)</f>
        <v>1</v>
      </c>
    </row>
    <row r="1213">
      <c r="A1213" s="7" t="str">
        <f>IFERROR(__xludf.DUMMYFUNCTION("""COMPUTED_VALUE"""),"AE9953")</f>
        <v>AE9953</v>
      </c>
      <c r="B1213" s="7" t="str">
        <f>IFERROR(__xludf.DUMMYFUNCTION("""COMPUTED_VALUE"""),"RUN-ABRM_2023-04-26_APS-011")</f>
        <v>RUN-ABRM_2023-04-26_APS-011</v>
      </c>
      <c r="C1213" s="8">
        <f>VLOOKUP(B1213,'Run Reconcile'!A$2:B3212,2,FALSE)</f>
        <v>45042</v>
      </c>
      <c r="D1213" s="12">
        <f>IFERROR(__xludf.DUMMYFUNCTION("""COMPUTED_VALUE"""),45042.0)</f>
        <v>45042</v>
      </c>
      <c r="E1213" s="13">
        <f>IFERROR(__xludf.DUMMYFUNCTION("""COMPUTED_VALUE"""),0.2951736111099308)</f>
        <v>0.2951736111</v>
      </c>
      <c r="F1213" s="7" t="str">
        <f>IFERROR(__xludf.DUMMYFUNCTION("""COMPUTED_VALUE"""),"Negative")</f>
        <v>Negative</v>
      </c>
      <c r="G1213" s="7">
        <f>IFERROR(__xludf.DUMMYFUNCTION("""COMPUTED_VALUE"""),3.0)</f>
        <v>3</v>
      </c>
    </row>
    <row r="1214">
      <c r="A1214" s="7" t="str">
        <f>IFERROR(__xludf.DUMMYFUNCTION("""COMPUTED_VALUE"""),"AB9948")</f>
        <v>AB9948</v>
      </c>
      <c r="B1214" s="7" t="str">
        <f>IFERROR(__xludf.DUMMYFUNCTION("""COMPUTED_VALUE"""),"RUN-ABRM_2023-04-26_APS-011")</f>
        <v>RUN-ABRM_2023-04-26_APS-011</v>
      </c>
      <c r="C1214" s="8">
        <f>VLOOKUP(B1214,'Run Reconcile'!A$2:B3212,2,FALSE)</f>
        <v>45042</v>
      </c>
      <c r="D1214" s="12">
        <f>IFERROR(__xludf.DUMMYFUNCTION("""COMPUTED_VALUE"""),45042.0)</f>
        <v>45042</v>
      </c>
      <c r="E1214" s="13">
        <f>IFERROR(__xludf.DUMMYFUNCTION("""COMPUTED_VALUE"""),0.330810185183509)</f>
        <v>0.3308101852</v>
      </c>
      <c r="F1214" s="7" t="str">
        <f>IFERROR(__xludf.DUMMYFUNCTION("""COMPUTED_VALUE"""),"Negative")</f>
        <v>Negative</v>
      </c>
      <c r="G1214" s="7">
        <f>IFERROR(__xludf.DUMMYFUNCTION("""COMPUTED_VALUE"""),2.0)</f>
        <v>2</v>
      </c>
    </row>
    <row r="1215">
      <c r="A1215" s="7" t="str">
        <f>IFERROR(__xludf.DUMMYFUNCTION("""COMPUTED_VALUE"""),"AR1451")</f>
        <v>AR1451</v>
      </c>
      <c r="B1215" s="7" t="str">
        <f>IFERROR(__xludf.DUMMYFUNCTION("""COMPUTED_VALUE"""),"RUN-ABRM_2023-04-26_APS-011")</f>
        <v>RUN-ABRM_2023-04-26_APS-011</v>
      </c>
      <c r="C1215" s="8">
        <f>VLOOKUP(B1215,'Run Reconcile'!A$2:B3212,2,FALSE)</f>
        <v>45042</v>
      </c>
      <c r="D1215" s="12">
        <f>IFERROR(__xludf.DUMMYFUNCTION("""COMPUTED_VALUE"""),45042.0)</f>
        <v>45042</v>
      </c>
      <c r="E1215" s="13">
        <f>IFERROR(__xludf.DUMMYFUNCTION("""COMPUTED_VALUE"""),0.3313310185185401)</f>
        <v>0.3313310185</v>
      </c>
      <c r="F1215" s="7" t="str">
        <f>IFERROR(__xludf.DUMMYFUNCTION("""COMPUTED_VALUE"""),"Negative")</f>
        <v>Negative</v>
      </c>
      <c r="G1215" s="7">
        <f>IFERROR(__xludf.DUMMYFUNCTION("""COMPUTED_VALUE"""),1.0)</f>
        <v>1</v>
      </c>
    </row>
    <row r="1216">
      <c r="A1216" s="7" t="str">
        <f>IFERROR(__xludf.DUMMYFUNCTION("""COMPUTED_VALUE"""),"AB9544")</f>
        <v>AB9544</v>
      </c>
      <c r="B1216" s="7" t="str">
        <f>IFERROR(__xludf.DUMMYFUNCTION("""COMPUTED_VALUE"""),"RUN-ABRM_2023-04-26_APS-011")</f>
        <v>RUN-ABRM_2023-04-26_APS-011</v>
      </c>
      <c r="C1216" s="8">
        <f>VLOOKUP(B1216,'Run Reconcile'!A$2:B3212,2,FALSE)</f>
        <v>45042</v>
      </c>
      <c r="D1216" s="12">
        <f>IFERROR(__xludf.DUMMYFUNCTION("""COMPUTED_VALUE"""),45042.0)</f>
        <v>45042</v>
      </c>
      <c r="E1216" s="13">
        <f>IFERROR(__xludf.DUMMYFUNCTION("""COMPUTED_VALUE"""),0.3324537037042319)</f>
        <v>0.3324537037</v>
      </c>
      <c r="F1216" s="7" t="str">
        <f>IFERROR(__xludf.DUMMYFUNCTION("""COMPUTED_VALUE"""),"Negative")</f>
        <v>Negative</v>
      </c>
      <c r="G1216" s="7">
        <f>IFERROR(__xludf.DUMMYFUNCTION("""COMPUTED_VALUE"""),1.0)</f>
        <v>1</v>
      </c>
    </row>
    <row r="1217">
      <c r="A1217" s="7" t="str">
        <f>IFERROR(__xludf.DUMMYFUNCTION("""COMPUTED_VALUE"""),"AK9825")</f>
        <v>AK9825</v>
      </c>
      <c r="B1217" s="7" t="str">
        <f>IFERROR(__xludf.DUMMYFUNCTION("""COMPUTED_VALUE"""),"RUN-ABRM_2023-04-26_APS-011")</f>
        <v>RUN-ABRM_2023-04-26_APS-011</v>
      </c>
      <c r="C1217" s="8">
        <f>VLOOKUP(B1217,'Run Reconcile'!A$2:B3212,2,FALSE)</f>
        <v>45042</v>
      </c>
      <c r="D1217" s="12">
        <f>IFERROR(__xludf.DUMMYFUNCTION("""COMPUTED_VALUE"""),45042.0)</f>
        <v>45042</v>
      </c>
      <c r="E1217" s="13">
        <f>IFERROR(__xludf.DUMMYFUNCTION("""COMPUTED_VALUE"""),0.3332060185202863)</f>
        <v>0.3332060185</v>
      </c>
      <c r="F1217" s="7" t="str">
        <f>IFERROR(__xludf.DUMMYFUNCTION("""COMPUTED_VALUE"""),"Negative")</f>
        <v>Negative</v>
      </c>
      <c r="G1217" s="7">
        <f>IFERROR(__xludf.DUMMYFUNCTION("""COMPUTED_VALUE"""),1.0)</f>
        <v>1</v>
      </c>
    </row>
    <row r="1218">
      <c r="A1218" s="7" t="str">
        <f>IFERROR(__xludf.DUMMYFUNCTION("""COMPUTED_VALUE"""),"AR973")</f>
        <v>AR973</v>
      </c>
      <c r="B1218" s="7" t="str">
        <f>IFERROR(__xludf.DUMMYFUNCTION("""COMPUTED_VALUE"""),"RUN-ABRM_2023-04-27_APS-012")</f>
        <v>RUN-ABRM_2023-04-27_APS-012</v>
      </c>
      <c r="C1218" s="8">
        <f>VLOOKUP(B1218,'Run Reconcile'!A$2:B3212,2,FALSE)</f>
        <v>45043</v>
      </c>
      <c r="D1218" s="12">
        <f>IFERROR(__xludf.DUMMYFUNCTION("""COMPUTED_VALUE"""),45043.0)</f>
        <v>45043</v>
      </c>
      <c r="E1218" s="13">
        <f>IFERROR(__xludf.DUMMYFUNCTION("""COMPUTED_VALUE"""),0.2861226851855463)</f>
        <v>0.2861226852</v>
      </c>
      <c r="F1218" s="7" t="str">
        <f>IFERROR(__xludf.DUMMYFUNCTION("""COMPUTED_VALUE"""),"Negative")</f>
        <v>Negative</v>
      </c>
      <c r="G1218" s="7">
        <f>IFERROR(__xludf.DUMMYFUNCTION("""COMPUTED_VALUE"""),3.0)</f>
        <v>3</v>
      </c>
    </row>
    <row r="1219">
      <c r="A1219" s="7" t="str">
        <f>IFERROR(__xludf.DUMMYFUNCTION("""COMPUTED_VALUE"""),"AK9596")</f>
        <v>AK9596</v>
      </c>
      <c r="B1219" s="7" t="str">
        <f>IFERROR(__xludf.DUMMYFUNCTION("""COMPUTED_VALUE"""),"RUN-ABRM_2023-04-27_APS-012")</f>
        <v>RUN-ABRM_2023-04-27_APS-012</v>
      </c>
      <c r="C1219" s="8">
        <f>VLOOKUP(B1219,'Run Reconcile'!A$2:B3212,2,FALSE)</f>
        <v>45043</v>
      </c>
      <c r="D1219" s="12">
        <f>IFERROR(__xludf.DUMMYFUNCTION("""COMPUTED_VALUE"""),45043.0)</f>
        <v>45043</v>
      </c>
      <c r="E1219" s="13">
        <f>IFERROR(__xludf.DUMMYFUNCTION("""COMPUTED_VALUE"""),0.2991203703713836)</f>
        <v>0.2991203704</v>
      </c>
      <c r="F1219" s="7" t="str">
        <f>IFERROR(__xludf.DUMMYFUNCTION("""COMPUTED_VALUE"""),"Negative")</f>
        <v>Negative</v>
      </c>
      <c r="G1219" s="7">
        <f>IFERROR(__xludf.DUMMYFUNCTION("""COMPUTED_VALUE"""),3.0)</f>
        <v>3</v>
      </c>
    </row>
    <row r="1220">
      <c r="A1220" s="7" t="str">
        <f>IFERROR(__xludf.DUMMYFUNCTION("""COMPUTED_VALUE"""),"AK9895")</f>
        <v>AK9895</v>
      </c>
      <c r="B1220" s="7" t="str">
        <f>IFERROR(__xludf.DUMMYFUNCTION("""COMPUTED_VALUE"""),"RUN-ABRM_2023-04-27_APS-012")</f>
        <v>RUN-ABRM_2023-04-27_APS-012</v>
      </c>
      <c r="C1220" s="8">
        <f>VLOOKUP(B1220,'Run Reconcile'!A$2:B3212,2,FALSE)</f>
        <v>45043</v>
      </c>
      <c r="D1220" s="12">
        <f>IFERROR(__xludf.DUMMYFUNCTION("""COMPUTED_VALUE"""),45043.0)</f>
        <v>45043</v>
      </c>
      <c r="E1220" s="13">
        <f>IFERROR(__xludf.DUMMYFUNCTION("""COMPUTED_VALUE"""),0.3011342592581059)</f>
        <v>0.3011342593</v>
      </c>
      <c r="F1220" s="7" t="str">
        <f>IFERROR(__xludf.DUMMYFUNCTION("""COMPUTED_VALUE"""),"Negative")</f>
        <v>Negative</v>
      </c>
      <c r="G1220" s="7">
        <f>IFERROR(__xludf.DUMMYFUNCTION("""COMPUTED_VALUE"""),3.0)</f>
        <v>3</v>
      </c>
    </row>
    <row r="1221">
      <c r="A1221" s="7" t="str">
        <f>IFERROR(__xludf.DUMMYFUNCTION("""COMPUTED_VALUE"""),"AR1609")</f>
        <v>AR1609</v>
      </c>
      <c r="B1221" s="7" t="str">
        <f>IFERROR(__xludf.DUMMYFUNCTION("""COMPUTED_VALUE"""),"RUN-ABRM_2023-04-27_APS-012")</f>
        <v>RUN-ABRM_2023-04-27_APS-012</v>
      </c>
      <c r="C1221" s="8">
        <f>VLOOKUP(B1221,'Run Reconcile'!A$2:B3212,2,FALSE)</f>
        <v>45043</v>
      </c>
      <c r="D1221" s="12">
        <f>IFERROR(__xludf.DUMMYFUNCTION("""COMPUTED_VALUE"""),45043.0)</f>
        <v>45043</v>
      </c>
      <c r="E1221" s="13">
        <f>IFERROR(__xludf.DUMMYFUNCTION("""COMPUTED_VALUE"""),0.30924768518525525)</f>
        <v>0.3092476852</v>
      </c>
      <c r="F1221" s="7" t="str">
        <f>IFERROR(__xludf.DUMMYFUNCTION("""COMPUTED_VALUE"""),"Negative")</f>
        <v>Negative</v>
      </c>
      <c r="G1221" s="7">
        <f>IFERROR(__xludf.DUMMYFUNCTION("""COMPUTED_VALUE"""),1.0)</f>
        <v>1</v>
      </c>
    </row>
    <row r="1222">
      <c r="A1222" s="7" t="str">
        <f>IFERROR(__xludf.DUMMYFUNCTION("""COMPUTED_VALUE"""),"AR988")</f>
        <v>AR988</v>
      </c>
      <c r="B1222" s="7" t="str">
        <f>IFERROR(__xludf.DUMMYFUNCTION("""COMPUTED_VALUE"""),"RUN-ABRM_2023-04-27_APS-012")</f>
        <v>RUN-ABRM_2023-04-27_APS-012</v>
      </c>
      <c r="C1222" s="8">
        <f>VLOOKUP(B1222,'Run Reconcile'!A$2:B3212,2,FALSE)</f>
        <v>45043</v>
      </c>
      <c r="D1222" s="12">
        <f>IFERROR(__xludf.DUMMYFUNCTION("""COMPUTED_VALUE"""),45043.0)</f>
        <v>45043</v>
      </c>
      <c r="E1222" s="13">
        <f>IFERROR(__xludf.DUMMYFUNCTION("""COMPUTED_VALUE"""),0.33704861111255013)</f>
        <v>0.3370486111</v>
      </c>
      <c r="F1222" s="7" t="str">
        <f>IFERROR(__xludf.DUMMYFUNCTION("""COMPUTED_VALUE"""),"Negative")</f>
        <v>Negative</v>
      </c>
      <c r="G1222" s="7">
        <f>IFERROR(__xludf.DUMMYFUNCTION("""COMPUTED_VALUE"""),1.0)</f>
        <v>1</v>
      </c>
    </row>
    <row r="1223">
      <c r="A1223" s="7" t="str">
        <f>IFERROR(__xludf.DUMMYFUNCTION("""COMPUTED_VALUE"""),"AR1165")</f>
        <v>AR1165</v>
      </c>
      <c r="B1223" s="7" t="str">
        <f>IFERROR(__xludf.DUMMYFUNCTION("""COMPUTED_VALUE"""),"RUN-ABRM_2023-04-27_APS-012")</f>
        <v>RUN-ABRM_2023-04-27_APS-012</v>
      </c>
      <c r="C1223" s="8">
        <f>VLOOKUP(B1223,'Run Reconcile'!A$2:B3212,2,FALSE)</f>
        <v>45043</v>
      </c>
      <c r="D1223" s="12">
        <f>IFERROR(__xludf.DUMMYFUNCTION("""COMPUTED_VALUE"""),45043.0)</f>
        <v>45043</v>
      </c>
      <c r="E1223" s="13">
        <f>IFERROR(__xludf.DUMMYFUNCTION("""COMPUTED_VALUE"""),0.33788194444423425)</f>
        <v>0.3378819444</v>
      </c>
      <c r="F1223" s="7" t="str">
        <f>IFERROR(__xludf.DUMMYFUNCTION("""COMPUTED_VALUE"""),"Negative")</f>
        <v>Negative</v>
      </c>
      <c r="G1223" s="7">
        <f>IFERROR(__xludf.DUMMYFUNCTION("""COMPUTED_VALUE"""),1.0)</f>
        <v>1</v>
      </c>
    </row>
    <row r="1224">
      <c r="A1224" s="7" t="str">
        <f>IFERROR(__xludf.DUMMYFUNCTION("""COMPUTED_VALUE"""),"AR974")</f>
        <v>AR974</v>
      </c>
      <c r="B1224" s="7" t="str">
        <f>IFERROR(__xludf.DUMMYFUNCTION("""COMPUTED_VALUE"""),"RUN-ABRM_2023-04-28_RFR-221")</f>
        <v>RUN-ABRM_2023-04-28_RFR-221</v>
      </c>
      <c r="C1224" s="8">
        <f>VLOOKUP(B1224,'Run Reconcile'!A$2:B3212,2,FALSE)</f>
        <v>45044</v>
      </c>
      <c r="D1224" s="12">
        <f>IFERROR(__xludf.DUMMYFUNCTION("""COMPUTED_VALUE"""),45044.0)</f>
        <v>45044</v>
      </c>
      <c r="E1224" s="13">
        <f>IFERROR(__xludf.DUMMYFUNCTION("""COMPUTED_VALUE"""),0.27373842592714936)</f>
        <v>0.2737384259</v>
      </c>
      <c r="F1224" s="7" t="str">
        <f>IFERROR(__xludf.DUMMYFUNCTION("""COMPUTED_VALUE"""),"Negative")</f>
        <v>Negative</v>
      </c>
      <c r="G1224" s="7">
        <f>IFERROR(__xludf.DUMMYFUNCTION("""COMPUTED_VALUE"""),3.0)</f>
        <v>3</v>
      </c>
    </row>
    <row r="1225">
      <c r="A1225" s="7" t="str">
        <f>IFERROR(__xludf.DUMMYFUNCTION("""COMPUTED_VALUE"""),"AK9988")</f>
        <v>AK9988</v>
      </c>
      <c r="B1225" s="7" t="str">
        <f>IFERROR(__xludf.DUMMYFUNCTION("""COMPUTED_VALUE"""),"RUN-ABRM_2023-04-28_RFR-221")</f>
        <v>RUN-ABRM_2023-04-28_RFR-221</v>
      </c>
      <c r="C1225" s="8">
        <f>VLOOKUP(B1225,'Run Reconcile'!A$2:B3212,2,FALSE)</f>
        <v>45044</v>
      </c>
      <c r="D1225" s="12">
        <f>IFERROR(__xludf.DUMMYFUNCTION("""COMPUTED_VALUE"""),45044.0)</f>
        <v>45044</v>
      </c>
      <c r="E1225" s="13">
        <f>IFERROR(__xludf.DUMMYFUNCTION("""COMPUTED_VALUE"""),0.2841898148144537)</f>
        <v>0.2841898148</v>
      </c>
      <c r="F1225" s="7" t="str">
        <f>IFERROR(__xludf.DUMMYFUNCTION("""COMPUTED_VALUE"""),"Negative")</f>
        <v>Negative</v>
      </c>
      <c r="G1225" s="7">
        <f>IFERROR(__xludf.DUMMYFUNCTION("""COMPUTED_VALUE"""),3.0)</f>
        <v>3</v>
      </c>
    </row>
    <row r="1226">
      <c r="A1226" s="7" t="str">
        <f>IFERROR(__xludf.DUMMYFUNCTION("""COMPUTED_VALUE"""),"AB9655")</f>
        <v>AB9655</v>
      </c>
      <c r="B1226" s="7" t="str">
        <f>IFERROR(__xludf.DUMMYFUNCTION("""COMPUTED_VALUE"""),"RUN-ABRM_2023-04-28_RFR-221")</f>
        <v>RUN-ABRM_2023-04-28_RFR-221</v>
      </c>
      <c r="C1226" s="8">
        <f>VLOOKUP(B1226,'Run Reconcile'!A$2:B3212,2,FALSE)</f>
        <v>45044</v>
      </c>
      <c r="D1226" s="12">
        <f>IFERROR(__xludf.DUMMYFUNCTION("""COMPUTED_VALUE"""),45044.0)</f>
        <v>45044</v>
      </c>
      <c r="E1226" s="13">
        <f>IFERROR(__xludf.DUMMYFUNCTION("""COMPUTED_VALUE"""),0.3267361111102218)</f>
        <v>0.3267361111</v>
      </c>
      <c r="F1226" s="7" t="str">
        <f>IFERROR(__xludf.DUMMYFUNCTION("""COMPUTED_VALUE"""),"Negative")</f>
        <v>Negative</v>
      </c>
      <c r="G1226" s="7">
        <f>IFERROR(__xludf.DUMMYFUNCTION("""COMPUTED_VALUE"""),1.0)</f>
        <v>1</v>
      </c>
    </row>
    <row r="1227">
      <c r="A1227" s="7" t="str">
        <f>IFERROR(__xludf.DUMMYFUNCTION("""COMPUTED_VALUE"""),"AR1799")</f>
        <v>AR1799</v>
      </c>
      <c r="B1227" s="7" t="str">
        <f>IFERROR(__xludf.DUMMYFUNCTION("""COMPUTED_VALUE"""),"RUN-ABRM_2023-04-28_RFR-221")</f>
        <v>RUN-ABRM_2023-04-28_RFR-221</v>
      </c>
      <c r="C1227" s="8">
        <f>VLOOKUP(B1227,'Run Reconcile'!A$2:B3212,2,FALSE)</f>
        <v>45044</v>
      </c>
      <c r="D1227" s="12">
        <f>IFERROR(__xludf.DUMMYFUNCTION("""COMPUTED_VALUE"""),45044.0)</f>
        <v>45044</v>
      </c>
      <c r="E1227" s="13">
        <f>IFERROR(__xludf.DUMMYFUNCTION("""COMPUTED_VALUE"""),0.33152777777650044)</f>
        <v>0.3315277778</v>
      </c>
      <c r="F1227" s="7" t="str">
        <f>IFERROR(__xludf.DUMMYFUNCTION("""COMPUTED_VALUE"""),"Negative")</f>
        <v>Negative</v>
      </c>
      <c r="G1227" s="7">
        <f>IFERROR(__xludf.DUMMYFUNCTION("""COMPUTED_VALUE"""),1.0)</f>
        <v>1</v>
      </c>
    </row>
    <row r="1228">
      <c r="A1228" s="7" t="str">
        <f>IFERROR(__xludf.DUMMYFUNCTION("""COMPUTED_VALUE"""),"AR1858")</f>
        <v>AR1858</v>
      </c>
      <c r="B1228" s="7" t="str">
        <f>IFERROR(__xludf.DUMMYFUNCTION("""COMPUTED_VALUE"""),"RUN-ABRM_2023-04-28_RFR-221")</f>
        <v>RUN-ABRM_2023-04-28_RFR-221</v>
      </c>
      <c r="C1228" s="8">
        <f>VLOOKUP(B1228,'Run Reconcile'!A$2:B3212,2,FALSE)</f>
        <v>45044</v>
      </c>
      <c r="D1228" s="12">
        <f>IFERROR(__xludf.DUMMYFUNCTION("""COMPUTED_VALUE"""),45044.0)</f>
        <v>45044</v>
      </c>
      <c r="E1228" s="13">
        <f>IFERROR(__xludf.DUMMYFUNCTION("""COMPUTED_VALUE"""),0.3319791666654055)</f>
        <v>0.3319791667</v>
      </c>
      <c r="F1228" s="7" t="str">
        <f>IFERROR(__xludf.DUMMYFUNCTION("""COMPUTED_VALUE"""),"Negative")</f>
        <v>Negative</v>
      </c>
      <c r="G1228" s="7">
        <f>IFERROR(__xludf.DUMMYFUNCTION("""COMPUTED_VALUE"""),1.0)</f>
        <v>1</v>
      </c>
    </row>
    <row r="1229">
      <c r="A1229" s="7" t="str">
        <f>IFERROR(__xludf.DUMMYFUNCTION("""COMPUTED_VALUE"""),"AR1737")</f>
        <v>AR1737</v>
      </c>
      <c r="B1229" s="7" t="str">
        <f>IFERROR(__xludf.DUMMYFUNCTION("""COMPUTED_VALUE"""),"RUN-ABRM_2023-05-02_APS-013")</f>
        <v>RUN-ABRM_2023-05-02_APS-013</v>
      </c>
      <c r="C1229" s="8">
        <f>VLOOKUP(B1229,'Run Reconcile'!A$2:B3212,2,FALSE)</f>
        <v>45048</v>
      </c>
      <c r="D1229" s="12">
        <f>IFERROR(__xludf.DUMMYFUNCTION("""COMPUTED_VALUE"""),45048.0)</f>
        <v>45048</v>
      </c>
      <c r="E1229" s="13">
        <f>IFERROR(__xludf.DUMMYFUNCTION("""COMPUTED_VALUE"""),0.21149305555445608)</f>
        <v>0.2114930556</v>
      </c>
      <c r="F1229" s="7" t="str">
        <f>IFERROR(__xludf.DUMMYFUNCTION("""COMPUTED_VALUE"""),"Negative")</f>
        <v>Negative</v>
      </c>
      <c r="G1229" s="7">
        <f>IFERROR(__xludf.DUMMYFUNCTION("""COMPUTED_VALUE"""),3.0)</f>
        <v>3</v>
      </c>
    </row>
    <row r="1230">
      <c r="A1230" s="7" t="str">
        <f>IFERROR(__xludf.DUMMYFUNCTION("""COMPUTED_VALUE"""),"AR627")</f>
        <v>AR627</v>
      </c>
      <c r="B1230" s="7" t="str">
        <f>IFERROR(__xludf.DUMMYFUNCTION("""COMPUTED_VALUE"""),"RUN-ABRM_2023-05-02_APS-013")</f>
        <v>RUN-ABRM_2023-05-02_APS-013</v>
      </c>
      <c r="C1230" s="8">
        <f>VLOOKUP(B1230,'Run Reconcile'!A$2:B3212,2,FALSE)</f>
        <v>45048</v>
      </c>
      <c r="D1230" s="12">
        <f>IFERROR(__xludf.DUMMYFUNCTION("""COMPUTED_VALUE"""),45048.0)</f>
        <v>45048</v>
      </c>
      <c r="E1230" s="13">
        <f>IFERROR(__xludf.DUMMYFUNCTION("""COMPUTED_VALUE"""),0.25881944444336114)</f>
        <v>0.2588194444</v>
      </c>
      <c r="F1230" s="7" t="str">
        <f>IFERROR(__xludf.DUMMYFUNCTION("""COMPUTED_VALUE"""),"Negative")</f>
        <v>Negative</v>
      </c>
      <c r="G1230" s="7">
        <f>IFERROR(__xludf.DUMMYFUNCTION("""COMPUTED_VALUE"""),3.0)</f>
        <v>3</v>
      </c>
    </row>
    <row r="1231">
      <c r="A1231" s="7" t="str">
        <f>IFERROR(__xludf.DUMMYFUNCTION("""COMPUTED_VALUE"""),"AB9590")</f>
        <v>AB9590</v>
      </c>
      <c r="B1231" s="7" t="str">
        <f>IFERROR(__xludf.DUMMYFUNCTION("""COMPUTED_VALUE"""),"RUN-ABRM_2023-05-02_APS-013")</f>
        <v>RUN-ABRM_2023-05-02_APS-013</v>
      </c>
      <c r="C1231" s="8">
        <f>VLOOKUP(B1231,'Run Reconcile'!A$2:B3212,2,FALSE)</f>
        <v>45048</v>
      </c>
      <c r="D1231" s="12">
        <f>IFERROR(__xludf.DUMMYFUNCTION("""COMPUTED_VALUE"""),45048.0)</f>
        <v>45048</v>
      </c>
      <c r="E1231" s="13">
        <f>IFERROR(__xludf.DUMMYFUNCTION("""COMPUTED_VALUE"""),0.30045138888817746)</f>
        <v>0.3004513889</v>
      </c>
      <c r="F1231" s="7" t="str">
        <f>IFERROR(__xludf.DUMMYFUNCTION("""COMPUTED_VALUE"""),"Negative")</f>
        <v>Negative</v>
      </c>
      <c r="G1231" s="7">
        <f>IFERROR(__xludf.DUMMYFUNCTION("""COMPUTED_VALUE"""),3.0)</f>
        <v>3</v>
      </c>
    </row>
    <row r="1232">
      <c r="A1232" s="7" t="str">
        <f>IFERROR(__xludf.DUMMYFUNCTION("""COMPUTED_VALUE"""),"AB9550")</f>
        <v>AB9550</v>
      </c>
      <c r="B1232" s="7" t="str">
        <f>IFERROR(__xludf.DUMMYFUNCTION("""COMPUTED_VALUE"""),"RUN-ABRM_2023-05-02_APS-013")</f>
        <v>RUN-ABRM_2023-05-02_APS-013</v>
      </c>
      <c r="C1232" s="8">
        <f>VLOOKUP(B1232,'Run Reconcile'!A$2:B3212,2,FALSE)</f>
        <v>45048</v>
      </c>
      <c r="D1232" s="12">
        <f>IFERROR(__xludf.DUMMYFUNCTION("""COMPUTED_VALUE"""),45048.0)</f>
        <v>45048</v>
      </c>
      <c r="E1232" s="13">
        <f>IFERROR(__xludf.DUMMYFUNCTION("""COMPUTED_VALUE"""),0.32534722222044365)</f>
        <v>0.3253472222</v>
      </c>
      <c r="F1232" s="7" t="str">
        <f>IFERROR(__xludf.DUMMYFUNCTION("""COMPUTED_VALUE"""),"Negative")</f>
        <v>Negative</v>
      </c>
      <c r="G1232" s="7">
        <f>IFERROR(__xludf.DUMMYFUNCTION("""COMPUTED_VALUE"""),1.0)</f>
        <v>1</v>
      </c>
    </row>
    <row r="1233">
      <c r="A1233" s="7" t="str">
        <f>IFERROR(__xludf.DUMMYFUNCTION("""COMPUTED_VALUE"""),"AK6660")</f>
        <v>AK6660</v>
      </c>
      <c r="B1233" s="7" t="str">
        <f>IFERROR(__xludf.DUMMYFUNCTION("""COMPUTED_VALUE"""),"RUN-ABRM_2023-05-02_APS-013")</f>
        <v>RUN-ABRM_2023-05-02_APS-013</v>
      </c>
      <c r="C1233" s="8">
        <f>VLOOKUP(B1233,'Run Reconcile'!A$2:B3212,2,FALSE)</f>
        <v>45048</v>
      </c>
      <c r="D1233" s="12">
        <f>IFERROR(__xludf.DUMMYFUNCTION("""COMPUTED_VALUE"""),45048.0)</f>
        <v>45048</v>
      </c>
      <c r="E1233" s="13">
        <f>IFERROR(__xludf.DUMMYFUNCTION("""COMPUTED_VALUE"""),0.3335069444437977)</f>
        <v>0.3335069444</v>
      </c>
      <c r="F1233" s="7" t="str">
        <f>IFERROR(__xludf.DUMMYFUNCTION("""COMPUTED_VALUE"""),"Negative")</f>
        <v>Negative</v>
      </c>
      <c r="G1233" s="7">
        <f>IFERROR(__xludf.DUMMYFUNCTION("""COMPUTED_VALUE"""),1.0)</f>
        <v>1</v>
      </c>
    </row>
    <row r="1234">
      <c r="A1234" s="7" t="str">
        <f>IFERROR(__xludf.DUMMYFUNCTION("""COMPUTED_VALUE"""),"AB9269")</f>
        <v>AB9269</v>
      </c>
      <c r="B1234" s="7" t="str">
        <f>IFERROR(__xludf.DUMMYFUNCTION("""COMPUTED_VALUE"""),"RUN-ABRM_2023-05-02_APS-013")</f>
        <v>RUN-ABRM_2023-05-02_APS-013</v>
      </c>
      <c r="C1234" s="8">
        <f>VLOOKUP(B1234,'Run Reconcile'!A$2:B3212,2,FALSE)</f>
        <v>45048</v>
      </c>
      <c r="D1234" s="12">
        <f>IFERROR(__xludf.DUMMYFUNCTION("""COMPUTED_VALUE"""),45048.0)</f>
        <v>45048</v>
      </c>
      <c r="E1234" s="13">
        <f>IFERROR(__xludf.DUMMYFUNCTION("""COMPUTED_VALUE"""),0.33378472222102573)</f>
        <v>0.3337847222</v>
      </c>
      <c r="F1234" s="7" t="str">
        <f>IFERROR(__xludf.DUMMYFUNCTION("""COMPUTED_VALUE"""),"Negative")</f>
        <v>Negative</v>
      </c>
      <c r="G1234" s="7">
        <f>IFERROR(__xludf.DUMMYFUNCTION("""COMPUTED_VALUE"""),1.0)</f>
        <v>1</v>
      </c>
    </row>
    <row r="1235">
      <c r="A1235" s="7" t="str">
        <f>IFERROR(__xludf.DUMMYFUNCTION("""COMPUTED_VALUE"""),"AR1964")</f>
        <v>AR1964</v>
      </c>
      <c r="B1235" s="7" t="str">
        <f>IFERROR(__xludf.DUMMYFUNCTION("""COMPUTED_VALUE"""),"RUN-ABRM_2023-05-02_APS-013")</f>
        <v>RUN-ABRM_2023-05-02_APS-013</v>
      </c>
      <c r="C1235" s="8">
        <f>VLOOKUP(B1235,'Run Reconcile'!A$2:B3212,2,FALSE)</f>
        <v>45048</v>
      </c>
      <c r="D1235" s="12">
        <f>IFERROR(__xludf.DUMMYFUNCTION("""COMPUTED_VALUE"""),45048.0)</f>
        <v>45048</v>
      </c>
      <c r="E1235" s="13">
        <f>IFERROR(__xludf.DUMMYFUNCTION("""COMPUTED_VALUE"""),0.3340509259251121)</f>
        <v>0.3340509259</v>
      </c>
      <c r="F1235" s="7" t="str">
        <f>IFERROR(__xludf.DUMMYFUNCTION("""COMPUTED_VALUE"""),"Negative")</f>
        <v>Negative</v>
      </c>
      <c r="G1235" s="7">
        <f>IFERROR(__xludf.DUMMYFUNCTION("""COMPUTED_VALUE"""),1.0)</f>
        <v>1</v>
      </c>
    </row>
    <row r="1236">
      <c r="A1236" s="7" t="str">
        <f>IFERROR(__xludf.DUMMYFUNCTION("""COMPUTED_VALUE"""),"AR1527")</f>
        <v>AR1527</v>
      </c>
      <c r="B1236" s="7" t="str">
        <f>IFERROR(__xludf.DUMMYFUNCTION("""COMPUTED_VALUE"""),"RUN-ABRM_2023-05-03_APS-014")</f>
        <v>RUN-ABRM_2023-05-03_APS-014</v>
      </c>
      <c r="C1236" s="8">
        <f>VLOOKUP(B1236,'Run Reconcile'!A$2:B3212,2,FALSE)</f>
        <v>45049</v>
      </c>
      <c r="D1236" s="12">
        <f>IFERROR(__xludf.DUMMYFUNCTION("""COMPUTED_VALUE"""),45049.0)</f>
        <v>45049</v>
      </c>
      <c r="E1236" s="13">
        <f>IFERROR(__xludf.DUMMYFUNCTION("""COMPUTED_VALUE"""),0.2139120370375167)</f>
        <v>0.213912037</v>
      </c>
      <c r="F1236" s="7" t="str">
        <f>IFERROR(__xludf.DUMMYFUNCTION("""COMPUTED_VALUE"""),"Negative")</f>
        <v>Negative</v>
      </c>
      <c r="G1236" s="7">
        <f>IFERROR(__xludf.DUMMYFUNCTION("""COMPUTED_VALUE"""),3.0)</f>
        <v>3</v>
      </c>
    </row>
    <row r="1237">
      <c r="A1237" s="7" t="str">
        <f>IFERROR(__xludf.DUMMYFUNCTION("""COMPUTED_VALUE"""),"AR1524")</f>
        <v>AR1524</v>
      </c>
      <c r="B1237" s="7" t="str">
        <f>IFERROR(__xludf.DUMMYFUNCTION("""COMPUTED_VALUE"""),"RUN-ABRM_2023-05-03_APS-014")</f>
        <v>RUN-ABRM_2023-05-03_APS-014</v>
      </c>
      <c r="C1237" s="8">
        <f>VLOOKUP(B1237,'Run Reconcile'!A$2:B3212,2,FALSE)</f>
        <v>45049</v>
      </c>
      <c r="D1237" s="12">
        <f>IFERROR(__xludf.DUMMYFUNCTION("""COMPUTED_VALUE"""),45049.0)</f>
        <v>45049</v>
      </c>
      <c r="E1237" s="13">
        <f>IFERROR(__xludf.DUMMYFUNCTION("""COMPUTED_VALUE"""),0.2828125000014552)</f>
        <v>0.2828125</v>
      </c>
      <c r="F1237" s="7" t="str">
        <f>IFERROR(__xludf.DUMMYFUNCTION("""COMPUTED_VALUE"""),"Negative")</f>
        <v>Negative</v>
      </c>
      <c r="G1237" s="7">
        <f>IFERROR(__xludf.DUMMYFUNCTION("""COMPUTED_VALUE"""),3.0)</f>
        <v>3</v>
      </c>
    </row>
    <row r="1238">
      <c r="A1238" s="7" t="str">
        <f>IFERROR(__xludf.DUMMYFUNCTION("""COMPUTED_VALUE"""),"AR340")</f>
        <v>AR340</v>
      </c>
      <c r="B1238" s="7" t="str">
        <f>IFERROR(__xludf.DUMMYFUNCTION("""COMPUTED_VALUE"""),"RUN-ABRM_2023-05-03_APS-014")</f>
        <v>RUN-ABRM_2023-05-03_APS-014</v>
      </c>
      <c r="C1238" s="8">
        <f>VLOOKUP(B1238,'Run Reconcile'!A$2:B3212,2,FALSE)</f>
        <v>45049</v>
      </c>
      <c r="D1238" s="12">
        <f>IFERROR(__xludf.DUMMYFUNCTION("""COMPUTED_VALUE"""),45049.0)</f>
        <v>45049</v>
      </c>
      <c r="E1238" s="13">
        <f>IFERROR(__xludf.DUMMYFUNCTION("""COMPUTED_VALUE"""),0.29842592592467554)</f>
        <v>0.2984259259</v>
      </c>
      <c r="F1238" s="7" t="str">
        <f>IFERROR(__xludf.DUMMYFUNCTION("""COMPUTED_VALUE"""),"Negative")</f>
        <v>Negative</v>
      </c>
      <c r="G1238" s="7">
        <f>IFERROR(__xludf.DUMMYFUNCTION("""COMPUTED_VALUE"""),3.0)</f>
        <v>3</v>
      </c>
    </row>
    <row r="1239">
      <c r="A1239" s="7" t="str">
        <f>IFERROR(__xludf.DUMMYFUNCTION("""COMPUTED_VALUE"""),"AB9826")</f>
        <v>AB9826</v>
      </c>
      <c r="B1239" s="7" t="str">
        <f>IFERROR(__xludf.DUMMYFUNCTION("""COMPUTED_VALUE"""),"RUN-ABRM_2023-05-03_APS-014")</f>
        <v>RUN-ABRM_2023-05-03_APS-014</v>
      </c>
      <c r="C1239" s="8">
        <f>VLOOKUP(B1239,'Run Reconcile'!A$2:B3212,2,FALSE)</f>
        <v>45049</v>
      </c>
      <c r="D1239" s="12">
        <f>IFERROR(__xludf.DUMMYFUNCTION("""COMPUTED_VALUE"""),45049.0)</f>
        <v>45049</v>
      </c>
      <c r="E1239" s="13">
        <f>IFERROR(__xludf.DUMMYFUNCTION("""COMPUTED_VALUE"""),0.3209027777775191)</f>
        <v>0.3209027778</v>
      </c>
      <c r="F1239" s="7" t="str">
        <f>IFERROR(__xludf.DUMMYFUNCTION("""COMPUTED_VALUE"""),"Negative")</f>
        <v>Negative</v>
      </c>
      <c r="G1239" s="7">
        <f>IFERROR(__xludf.DUMMYFUNCTION("""COMPUTED_VALUE"""),1.0)</f>
        <v>1</v>
      </c>
    </row>
    <row r="1240">
      <c r="A1240" s="7" t="str">
        <f>IFERROR(__xludf.DUMMYFUNCTION("""COMPUTED_VALUE"""),"AR1713")</f>
        <v>AR1713</v>
      </c>
      <c r="B1240" s="7" t="str">
        <f>IFERROR(__xludf.DUMMYFUNCTION("""COMPUTED_VALUE"""),"RUN-ABRM_2023-05-03_APS-014")</f>
        <v>RUN-ABRM_2023-05-03_APS-014</v>
      </c>
      <c r="C1240" s="8">
        <f>VLOOKUP(B1240,'Run Reconcile'!A$2:B3212,2,FALSE)</f>
        <v>45049</v>
      </c>
      <c r="D1240" s="12">
        <f>IFERROR(__xludf.DUMMYFUNCTION("""COMPUTED_VALUE"""),45049.0)</f>
        <v>45049</v>
      </c>
      <c r="E1240" s="13">
        <f>IFERROR(__xludf.DUMMYFUNCTION("""COMPUTED_VALUE"""),0.3216087962973688)</f>
        <v>0.3216087963</v>
      </c>
      <c r="F1240" s="7" t="str">
        <f>IFERROR(__xludf.DUMMYFUNCTION("""COMPUTED_VALUE"""),"Negative")</f>
        <v>Negative</v>
      </c>
      <c r="G1240" s="7">
        <f>IFERROR(__xludf.DUMMYFUNCTION("""COMPUTED_VALUE"""),1.0)</f>
        <v>1</v>
      </c>
    </row>
    <row r="1241">
      <c r="A1241" s="7" t="str">
        <f>IFERROR(__xludf.DUMMYFUNCTION("""COMPUTED_VALUE"""),"AR1935")</f>
        <v>AR1935</v>
      </c>
      <c r="B1241" s="7" t="str">
        <f>IFERROR(__xludf.DUMMYFUNCTION("""COMPUTED_VALUE"""),"RUN-ABRM_2023-05-04_APS-015")</f>
        <v>RUN-ABRM_2023-05-04_APS-015</v>
      </c>
      <c r="C1241" s="8">
        <f>VLOOKUP(B1241,'Run Reconcile'!A$2:B3212,2,FALSE)</f>
        <v>45050</v>
      </c>
      <c r="D1241" s="12">
        <f>IFERROR(__xludf.DUMMYFUNCTION("""COMPUTED_VALUE"""),45050.0)</f>
        <v>45050</v>
      </c>
      <c r="E1241" s="13">
        <f>IFERROR(__xludf.DUMMYFUNCTION("""COMPUTED_VALUE"""),0.2729629629611736)</f>
        <v>0.272962963</v>
      </c>
      <c r="F1241" s="7" t="str">
        <f>IFERROR(__xludf.DUMMYFUNCTION("""COMPUTED_VALUE"""),"Negative")</f>
        <v>Negative</v>
      </c>
      <c r="G1241" s="7">
        <f>IFERROR(__xludf.DUMMYFUNCTION("""COMPUTED_VALUE"""),1.0)</f>
        <v>1</v>
      </c>
    </row>
    <row r="1242">
      <c r="A1242" s="7" t="str">
        <f>IFERROR(__xludf.DUMMYFUNCTION("""COMPUTED_VALUE"""),"AR1681")</f>
        <v>AR1681</v>
      </c>
      <c r="B1242" s="7" t="str">
        <f>IFERROR(__xludf.DUMMYFUNCTION("""COMPUTED_VALUE"""),"RUN-ABRM_2023-05-04_APS-015")</f>
        <v>RUN-ABRM_2023-05-04_APS-015</v>
      </c>
      <c r="C1242" s="8">
        <f>VLOOKUP(B1242,'Run Reconcile'!A$2:B3212,2,FALSE)</f>
        <v>45050</v>
      </c>
      <c r="D1242" s="12">
        <f>IFERROR(__xludf.DUMMYFUNCTION("""COMPUTED_VALUE"""),45050.0)</f>
        <v>45050</v>
      </c>
      <c r="E1242" s="13">
        <f>IFERROR(__xludf.DUMMYFUNCTION("""COMPUTED_VALUE"""),0.27789351851970423)</f>
        <v>0.2778935185</v>
      </c>
      <c r="F1242" s="7" t="str">
        <f>IFERROR(__xludf.DUMMYFUNCTION("""COMPUTED_VALUE"""),"Negative")</f>
        <v>Negative</v>
      </c>
      <c r="G1242" s="7">
        <f>IFERROR(__xludf.DUMMYFUNCTION("""COMPUTED_VALUE"""),3.0)</f>
        <v>3</v>
      </c>
    </row>
    <row r="1243">
      <c r="A1243" s="7" t="str">
        <f>IFERROR(__xludf.DUMMYFUNCTION("""COMPUTED_VALUE"""),"AB9394")</f>
        <v>AB9394</v>
      </c>
      <c r="B1243" s="7" t="str">
        <f>IFERROR(__xludf.DUMMYFUNCTION("""COMPUTED_VALUE"""),"RUN-ABRM_2023-05-04_APS-015")</f>
        <v>RUN-ABRM_2023-05-04_APS-015</v>
      </c>
      <c r="C1243" s="8">
        <f>VLOOKUP(B1243,'Run Reconcile'!A$2:B3212,2,FALSE)</f>
        <v>45050</v>
      </c>
      <c r="D1243" s="12">
        <f>IFERROR(__xludf.DUMMYFUNCTION("""COMPUTED_VALUE"""),45050.0)</f>
        <v>45050</v>
      </c>
      <c r="E1243" s="13">
        <f>IFERROR(__xludf.DUMMYFUNCTION("""COMPUTED_VALUE"""),0.28170138888890506)</f>
        <v>0.2817013889</v>
      </c>
      <c r="F1243" s="7" t="str">
        <f>IFERROR(__xludf.DUMMYFUNCTION("""COMPUTED_VALUE"""),"Negative")</f>
        <v>Negative</v>
      </c>
      <c r="G1243" s="7">
        <f>IFERROR(__xludf.DUMMYFUNCTION("""COMPUTED_VALUE"""),3.0)</f>
        <v>3</v>
      </c>
    </row>
    <row r="1244">
      <c r="A1244" s="7" t="str">
        <f>IFERROR(__xludf.DUMMYFUNCTION("""COMPUTED_VALUE"""),"AG734")</f>
        <v>AG734</v>
      </c>
      <c r="B1244" s="7" t="str">
        <f>IFERROR(__xludf.DUMMYFUNCTION("""COMPUTED_VALUE"""),"RUN-ABRM_2023-05-04_APS-015")</f>
        <v>RUN-ABRM_2023-05-04_APS-015</v>
      </c>
      <c r="C1244" s="8">
        <f>VLOOKUP(B1244,'Run Reconcile'!A$2:B3212,2,FALSE)</f>
        <v>45050</v>
      </c>
      <c r="D1244" s="12">
        <f>IFERROR(__xludf.DUMMYFUNCTION("""COMPUTED_VALUE"""),45050.0)</f>
        <v>45050</v>
      </c>
      <c r="E1244" s="13">
        <f>IFERROR(__xludf.DUMMYFUNCTION("""COMPUTED_VALUE"""),0.30150462963138125)</f>
        <v>0.3015046296</v>
      </c>
      <c r="F1244" s="7" t="str">
        <f>IFERROR(__xludf.DUMMYFUNCTION("""COMPUTED_VALUE"""),"Negative")</f>
        <v>Negative</v>
      </c>
      <c r="G1244" s="7">
        <f>IFERROR(__xludf.DUMMYFUNCTION("""COMPUTED_VALUE"""),2.0)</f>
        <v>2</v>
      </c>
    </row>
    <row r="1245">
      <c r="A1245" s="7" t="str">
        <f>IFERROR(__xludf.DUMMYFUNCTION("""COMPUTED_VALUE"""),"AR614")</f>
        <v>AR614</v>
      </c>
      <c r="B1245" s="7" t="str">
        <f>IFERROR(__xludf.DUMMYFUNCTION("""COMPUTED_VALUE"""),"RUN-ABRM_2023-05-04_APS-015")</f>
        <v>RUN-ABRM_2023-05-04_APS-015</v>
      </c>
      <c r="C1245" s="8">
        <f>VLOOKUP(B1245,'Run Reconcile'!A$2:B3212,2,FALSE)</f>
        <v>45050</v>
      </c>
      <c r="D1245" s="12">
        <f>IFERROR(__xludf.DUMMYFUNCTION("""COMPUTED_VALUE"""),45050.0)</f>
        <v>45050</v>
      </c>
      <c r="E1245" s="13">
        <f>IFERROR(__xludf.DUMMYFUNCTION("""COMPUTED_VALUE"""),0.3283796296309447)</f>
        <v>0.3283796296</v>
      </c>
      <c r="F1245" s="7" t="str">
        <f>IFERROR(__xludf.DUMMYFUNCTION("""COMPUTED_VALUE"""),"Negative")</f>
        <v>Negative</v>
      </c>
      <c r="G1245" s="7">
        <f>IFERROR(__xludf.DUMMYFUNCTION("""COMPUTED_VALUE"""),1.0)</f>
        <v>1</v>
      </c>
    </row>
    <row r="1246">
      <c r="A1246" s="7" t="str">
        <f>IFERROR(__xludf.DUMMYFUNCTION("""COMPUTED_VALUE"""),"AR1811")</f>
        <v>AR1811</v>
      </c>
      <c r="B1246" s="7" t="str">
        <f>IFERROR(__xludf.DUMMYFUNCTION("""COMPUTED_VALUE"""),"RUN-ABRM_2023-05-05_APS-016")</f>
        <v>RUN-ABRM_2023-05-05_APS-016</v>
      </c>
      <c r="C1246" s="8">
        <f>VLOOKUP(B1246,'Run Reconcile'!A$2:B3212,2,FALSE)</f>
        <v>45051</v>
      </c>
      <c r="D1246" s="12">
        <f>IFERROR(__xludf.DUMMYFUNCTION("""COMPUTED_VALUE"""),45051.0)</f>
        <v>45051</v>
      </c>
      <c r="E1246" s="13">
        <f>IFERROR(__xludf.DUMMYFUNCTION("""COMPUTED_VALUE"""),0.26167824074218515)</f>
        <v>0.2616782407</v>
      </c>
      <c r="F1246" s="7" t="str">
        <f>IFERROR(__xludf.DUMMYFUNCTION("""COMPUTED_VALUE"""),"Negative")</f>
        <v>Negative</v>
      </c>
      <c r="G1246" s="7">
        <f>IFERROR(__xludf.DUMMYFUNCTION("""COMPUTED_VALUE"""),3.0)</f>
        <v>3</v>
      </c>
    </row>
    <row r="1247">
      <c r="A1247" s="7" t="str">
        <f>IFERROR(__xludf.DUMMYFUNCTION("""COMPUTED_VALUE"""),"AR1104")</f>
        <v>AR1104</v>
      </c>
      <c r="B1247" s="7" t="str">
        <f>IFERROR(__xludf.DUMMYFUNCTION("""COMPUTED_VALUE"""),"RUN-ABRM_2023-05-05_APS-016")</f>
        <v>RUN-ABRM_2023-05-05_APS-016</v>
      </c>
      <c r="C1247" s="8">
        <f>VLOOKUP(B1247,'Run Reconcile'!A$2:B3212,2,FALSE)</f>
        <v>45051</v>
      </c>
      <c r="D1247" s="12">
        <f>IFERROR(__xludf.DUMMYFUNCTION("""COMPUTED_VALUE"""),45051.0)</f>
        <v>45051</v>
      </c>
      <c r="E1247" s="13">
        <f>IFERROR(__xludf.DUMMYFUNCTION("""COMPUTED_VALUE"""),0.291886574075761)</f>
        <v>0.2918865741</v>
      </c>
      <c r="F1247" s="7" t="str">
        <f>IFERROR(__xludf.DUMMYFUNCTION("""COMPUTED_VALUE"""),"Negative")</f>
        <v>Negative</v>
      </c>
      <c r="G1247" s="7">
        <f>IFERROR(__xludf.DUMMYFUNCTION("""COMPUTED_VALUE"""),3.0)</f>
        <v>3</v>
      </c>
    </row>
    <row r="1248">
      <c r="A1248" s="7" t="str">
        <f>IFERROR(__xludf.DUMMYFUNCTION("""COMPUTED_VALUE"""),"AB9931")</f>
        <v>AB9931</v>
      </c>
      <c r="B1248" s="7" t="str">
        <f>IFERROR(__xludf.DUMMYFUNCTION("""COMPUTED_VALUE"""),"RUN-ABRM_2023-05-05_APS-016")</f>
        <v>RUN-ABRM_2023-05-05_APS-016</v>
      </c>
      <c r="C1248" s="8">
        <f>VLOOKUP(B1248,'Run Reconcile'!A$2:B3212,2,FALSE)</f>
        <v>45051</v>
      </c>
      <c r="D1248" s="12">
        <f>IFERROR(__xludf.DUMMYFUNCTION("""COMPUTED_VALUE"""),45051.0)</f>
        <v>45051</v>
      </c>
      <c r="E1248" s="13">
        <f>IFERROR(__xludf.DUMMYFUNCTION("""COMPUTED_VALUE"""),0.32512731481619994)</f>
        <v>0.3251273148</v>
      </c>
      <c r="F1248" s="7" t="str">
        <f>IFERROR(__xludf.DUMMYFUNCTION("""COMPUTED_VALUE"""),"Negative")</f>
        <v>Negative</v>
      </c>
      <c r="G1248" s="7">
        <f>IFERROR(__xludf.DUMMYFUNCTION("""COMPUTED_VALUE"""),1.0)</f>
        <v>1</v>
      </c>
    </row>
    <row r="1249">
      <c r="A1249" s="7" t="str">
        <f>IFERROR(__xludf.DUMMYFUNCTION("""COMPUTED_VALUE"""),"AR1518")</f>
        <v>AR1518</v>
      </c>
      <c r="B1249" s="7" t="str">
        <f>IFERROR(__xludf.DUMMYFUNCTION("""COMPUTED_VALUE"""),"RUN-ABRM_2023-05-05_APS-016")</f>
        <v>RUN-ABRM_2023-05-05_APS-016</v>
      </c>
      <c r="C1249" s="8">
        <f>VLOOKUP(B1249,'Run Reconcile'!A$2:B3212,2,FALSE)</f>
        <v>45051</v>
      </c>
      <c r="D1249" s="12">
        <f>IFERROR(__xludf.DUMMYFUNCTION("""COMPUTED_VALUE"""),45051.0)</f>
        <v>45051</v>
      </c>
      <c r="E1249" s="13">
        <f>IFERROR(__xludf.DUMMYFUNCTION("""COMPUTED_VALUE"""),0.3290277777778101)</f>
        <v>0.3290277778</v>
      </c>
      <c r="F1249" s="7" t="str">
        <f>IFERROR(__xludf.DUMMYFUNCTION("""COMPUTED_VALUE"""),"Negative")</f>
        <v>Negative</v>
      </c>
      <c r="G1249" s="7">
        <f>IFERROR(__xludf.DUMMYFUNCTION("""COMPUTED_VALUE"""),1.0)</f>
        <v>1</v>
      </c>
    </row>
    <row r="1250">
      <c r="A1250" s="7" t="str">
        <f>IFERROR(__xludf.DUMMYFUNCTION("""COMPUTED_VALUE"""),"AR600")</f>
        <v>AR600</v>
      </c>
      <c r="B1250" s="7" t="str">
        <f>IFERROR(__xludf.DUMMYFUNCTION("""COMPUTED_VALUE"""),"RUN-ABRM_2023-05-05_APS-016")</f>
        <v>RUN-ABRM_2023-05-05_APS-016</v>
      </c>
      <c r="C1250" s="8">
        <f>VLOOKUP(B1250,'Run Reconcile'!A$2:B3212,2,FALSE)</f>
        <v>45051</v>
      </c>
      <c r="D1250" s="12">
        <f>IFERROR(__xludf.DUMMYFUNCTION("""COMPUTED_VALUE"""),45051.0)</f>
        <v>45051</v>
      </c>
      <c r="E1250" s="13">
        <f>IFERROR(__xludf.DUMMYFUNCTION("""COMPUTED_VALUE"""),0.32949074073985685)</f>
        <v>0.3294907407</v>
      </c>
      <c r="F1250" s="7" t="str">
        <f>IFERROR(__xludf.DUMMYFUNCTION("""COMPUTED_VALUE"""),"Negative")</f>
        <v>Negative</v>
      </c>
      <c r="G1250" s="7">
        <f>IFERROR(__xludf.DUMMYFUNCTION("""COMPUTED_VALUE"""),1.0)</f>
        <v>1</v>
      </c>
    </row>
    <row r="1251">
      <c r="A1251" s="7" t="str">
        <f>IFERROR(__xludf.DUMMYFUNCTION("""COMPUTED_VALUE"""),"AR1105")</f>
        <v>AR1105</v>
      </c>
      <c r="B1251" s="7" t="str">
        <f>IFERROR(__xludf.DUMMYFUNCTION("""COMPUTED_VALUE"""),"RUN-ABRM_2023-05-08_RFR-223")</f>
        <v>RUN-ABRM_2023-05-08_RFR-223</v>
      </c>
      <c r="C1251" s="8">
        <f>VLOOKUP(B1251,'Run Reconcile'!A$2:B3212,2,FALSE)</f>
        <v>45054</v>
      </c>
      <c r="D1251" s="12">
        <f>IFERROR(__xludf.DUMMYFUNCTION("""COMPUTED_VALUE"""),45054.0)</f>
        <v>45054</v>
      </c>
      <c r="E1251" s="13">
        <f>IFERROR(__xludf.DUMMYFUNCTION("""COMPUTED_VALUE"""),0.25663194444496185)</f>
        <v>0.2566319444</v>
      </c>
      <c r="F1251" s="7" t="str">
        <f>IFERROR(__xludf.DUMMYFUNCTION("""COMPUTED_VALUE"""),"Negative")</f>
        <v>Negative</v>
      </c>
      <c r="G1251" s="7">
        <f>IFERROR(__xludf.DUMMYFUNCTION("""COMPUTED_VALUE"""),3.0)</f>
        <v>3</v>
      </c>
    </row>
    <row r="1252">
      <c r="A1252" s="7" t="str">
        <f>IFERROR(__xludf.DUMMYFUNCTION("""COMPUTED_VALUE"""),"AR1639")</f>
        <v>AR1639</v>
      </c>
      <c r="B1252" s="7" t="str">
        <f>IFERROR(__xludf.DUMMYFUNCTION("""COMPUTED_VALUE"""),"RUN-ABRM_2023-05-08_RFR-223")</f>
        <v>RUN-ABRM_2023-05-08_RFR-223</v>
      </c>
      <c r="C1252" s="8">
        <f>VLOOKUP(B1252,'Run Reconcile'!A$2:B3212,2,FALSE)</f>
        <v>45054</v>
      </c>
      <c r="D1252" s="12">
        <f>IFERROR(__xludf.DUMMYFUNCTION("""COMPUTED_VALUE"""),45054.0)</f>
        <v>45054</v>
      </c>
      <c r="E1252" s="13">
        <f>IFERROR(__xludf.DUMMYFUNCTION("""COMPUTED_VALUE"""),0.2814699074078817)</f>
        <v>0.2814699074</v>
      </c>
      <c r="F1252" s="7" t="str">
        <f>IFERROR(__xludf.DUMMYFUNCTION("""COMPUTED_VALUE"""),"Negative")</f>
        <v>Negative</v>
      </c>
      <c r="G1252" s="7">
        <f>IFERROR(__xludf.DUMMYFUNCTION("""COMPUTED_VALUE"""),3.0)</f>
        <v>3</v>
      </c>
    </row>
    <row r="1253">
      <c r="A1253" s="7" t="str">
        <f>IFERROR(__xludf.DUMMYFUNCTION("""COMPUTED_VALUE"""),"AR873")</f>
        <v>AR873</v>
      </c>
      <c r="B1253" s="7" t="str">
        <f>IFERROR(__xludf.DUMMYFUNCTION("""COMPUTED_VALUE"""),"RUN-ABRM_2023-05-08_RFR-223")</f>
        <v>RUN-ABRM_2023-05-08_RFR-223</v>
      </c>
      <c r="C1253" s="8">
        <f>VLOOKUP(B1253,'Run Reconcile'!A$2:B3212,2,FALSE)</f>
        <v>45054</v>
      </c>
      <c r="D1253" s="12">
        <f>IFERROR(__xludf.DUMMYFUNCTION("""COMPUTED_VALUE"""),45054.0)</f>
        <v>45054</v>
      </c>
      <c r="E1253" s="13">
        <f>IFERROR(__xludf.DUMMYFUNCTION("""COMPUTED_VALUE"""),0.30425925926101627)</f>
        <v>0.3042592593</v>
      </c>
      <c r="F1253" s="7" t="str">
        <f>IFERROR(__xludf.DUMMYFUNCTION("""COMPUTED_VALUE"""),"Negative")</f>
        <v>Negative</v>
      </c>
      <c r="G1253" s="7">
        <f>IFERROR(__xludf.DUMMYFUNCTION("""COMPUTED_VALUE"""),1.0)</f>
        <v>1</v>
      </c>
    </row>
    <row r="1254">
      <c r="A1254" s="7" t="str">
        <f>IFERROR(__xludf.DUMMYFUNCTION("""COMPUTED_VALUE"""),"AR424")</f>
        <v>AR424</v>
      </c>
      <c r="B1254" s="7" t="str">
        <f>IFERROR(__xludf.DUMMYFUNCTION("""COMPUTED_VALUE"""),"RUN-ABRM_2023-05-08_RFR-223")</f>
        <v>RUN-ABRM_2023-05-08_RFR-223</v>
      </c>
      <c r="C1254" s="8">
        <f>VLOOKUP(B1254,'Run Reconcile'!A$2:B3212,2,FALSE)</f>
        <v>45054</v>
      </c>
      <c r="D1254" s="12">
        <f>IFERROR(__xludf.DUMMYFUNCTION("""COMPUTED_VALUE"""),45054.0)</f>
        <v>45054</v>
      </c>
      <c r="E1254" s="13">
        <f>IFERROR(__xludf.DUMMYFUNCTION("""COMPUTED_VALUE"""),0.31353009259328246)</f>
        <v>0.3135300926</v>
      </c>
      <c r="F1254" s="7" t="str">
        <f>IFERROR(__xludf.DUMMYFUNCTION("""COMPUTED_VALUE"""),"Negative")</f>
        <v>Negative</v>
      </c>
      <c r="G1254" s="7">
        <f>IFERROR(__xludf.DUMMYFUNCTION("""COMPUTED_VALUE"""),2.0)</f>
        <v>2</v>
      </c>
    </row>
    <row r="1255">
      <c r="A1255" s="7" t="str">
        <f>IFERROR(__xludf.DUMMYFUNCTION("""COMPUTED_VALUE"""),"AK9956")</f>
        <v>AK9956</v>
      </c>
      <c r="B1255" s="7" t="str">
        <f>IFERROR(__xludf.DUMMYFUNCTION("""COMPUTED_VALUE"""),"RUN-ABRM_2023-05-08_RFR-223")</f>
        <v>RUN-ABRM_2023-05-08_RFR-223</v>
      </c>
      <c r="C1255" s="8">
        <f>VLOOKUP(B1255,'Run Reconcile'!A$2:B3212,2,FALSE)</f>
        <v>45054</v>
      </c>
      <c r="D1255" s="12">
        <f>IFERROR(__xludf.DUMMYFUNCTION("""COMPUTED_VALUE"""),45054.0)</f>
        <v>45054</v>
      </c>
      <c r="E1255" s="13">
        <f>IFERROR(__xludf.DUMMYFUNCTION("""COMPUTED_VALUE"""),0.3144560185173759)</f>
        <v>0.3144560185</v>
      </c>
      <c r="F1255" s="7" t="str">
        <f>IFERROR(__xludf.DUMMYFUNCTION("""COMPUTED_VALUE"""),"Negative")</f>
        <v>Negative</v>
      </c>
      <c r="G1255" s="7">
        <f>IFERROR(__xludf.DUMMYFUNCTION("""COMPUTED_VALUE"""),3.0)</f>
        <v>3</v>
      </c>
    </row>
    <row r="1256">
      <c r="A1256" s="7" t="str">
        <f>IFERROR(__xludf.DUMMYFUNCTION("""COMPUTED_VALUE"""),"AR1093")</f>
        <v>AR1093</v>
      </c>
      <c r="B1256" s="7" t="str">
        <f>IFERROR(__xludf.DUMMYFUNCTION("""COMPUTED_VALUE"""),"RUN-ABRM_2023-05-08_RFR-223")</f>
        <v>RUN-ABRM_2023-05-08_RFR-223</v>
      </c>
      <c r="C1256" s="8">
        <f>VLOOKUP(B1256,'Run Reconcile'!A$2:B3212,2,FALSE)</f>
        <v>45054</v>
      </c>
      <c r="D1256" s="12">
        <f>IFERROR(__xludf.DUMMYFUNCTION("""COMPUTED_VALUE"""),45054.0)</f>
        <v>45054</v>
      </c>
      <c r="E1256" s="13">
        <f>IFERROR(__xludf.DUMMYFUNCTION("""COMPUTED_VALUE"""),0.3356134259265673)</f>
        <v>0.3356134259</v>
      </c>
      <c r="F1256" s="7" t="str">
        <f>IFERROR(__xludf.DUMMYFUNCTION("""COMPUTED_VALUE"""),"Negative")</f>
        <v>Negative</v>
      </c>
      <c r="G1256" s="7">
        <f>IFERROR(__xludf.DUMMYFUNCTION("""COMPUTED_VALUE"""),1.0)</f>
        <v>1</v>
      </c>
    </row>
    <row r="1257">
      <c r="A1257" s="7" t="str">
        <f>IFERROR(__xludf.DUMMYFUNCTION("""COMPUTED_VALUE"""),"AG2216")</f>
        <v>AG2216</v>
      </c>
      <c r="B1257" s="7" t="str">
        <f>IFERROR(__xludf.DUMMYFUNCTION("""COMPUTED_VALUE"""),"RUN-ABRM_2023-05-08_RFR-223")</f>
        <v>RUN-ABRM_2023-05-08_RFR-223</v>
      </c>
      <c r="C1257" s="8">
        <f>VLOOKUP(B1257,'Run Reconcile'!A$2:B3212,2,FALSE)</f>
        <v>45054</v>
      </c>
      <c r="D1257" s="12">
        <f>IFERROR(__xludf.DUMMYFUNCTION("""COMPUTED_VALUE"""),45054.0)</f>
        <v>45054</v>
      </c>
      <c r="E1257" s="13">
        <f>IFERROR(__xludf.DUMMYFUNCTION("""COMPUTED_VALUE"""),0.33587962963065365)</f>
        <v>0.3358796296</v>
      </c>
      <c r="F1257" s="7" t="str">
        <f>IFERROR(__xludf.DUMMYFUNCTION("""COMPUTED_VALUE"""),"Negative")</f>
        <v>Negative</v>
      </c>
      <c r="G1257" s="7">
        <f>IFERROR(__xludf.DUMMYFUNCTION("""COMPUTED_VALUE"""),1.0)</f>
        <v>1</v>
      </c>
    </row>
    <row r="1258">
      <c r="A1258" s="7" t="str">
        <f>IFERROR(__xludf.DUMMYFUNCTION("""COMPUTED_VALUE"""),"AR1198")</f>
        <v>AR1198</v>
      </c>
      <c r="B1258" s="7" t="str">
        <f>IFERROR(__xludf.DUMMYFUNCTION("""COMPUTED_VALUE"""),"RUN-ABRM_2023-05-09_APS-017")</f>
        <v>RUN-ABRM_2023-05-09_APS-017</v>
      </c>
      <c r="C1258" s="8">
        <f>VLOOKUP(B1258,'Run Reconcile'!A$2:B3212,2,FALSE)</f>
        <v>45055</v>
      </c>
      <c r="D1258" s="12">
        <f>IFERROR(__xludf.DUMMYFUNCTION("""COMPUTED_VALUE"""),45055.0)</f>
        <v>45055</v>
      </c>
      <c r="E1258" s="13">
        <f>IFERROR(__xludf.DUMMYFUNCTION("""COMPUTED_VALUE"""),0.21512731481561786)</f>
        <v>0.2151273148</v>
      </c>
      <c r="F1258" s="7" t="str">
        <f>IFERROR(__xludf.DUMMYFUNCTION("""COMPUTED_VALUE"""),"Negative")</f>
        <v>Negative</v>
      </c>
      <c r="G1258" s="7">
        <f>IFERROR(__xludf.DUMMYFUNCTION("""COMPUTED_VALUE"""),3.0)</f>
        <v>3</v>
      </c>
    </row>
    <row r="1259">
      <c r="A1259" s="7" t="str">
        <f>IFERROR(__xludf.DUMMYFUNCTION("""COMPUTED_VALUE"""),"AK9925")</f>
        <v>AK9925</v>
      </c>
      <c r="B1259" s="7" t="str">
        <f>IFERROR(__xludf.DUMMYFUNCTION("""COMPUTED_VALUE"""),"RUN-ABRM_2023-05-09_APS-017")</f>
        <v>RUN-ABRM_2023-05-09_APS-017</v>
      </c>
      <c r="C1259" s="8">
        <f>VLOOKUP(B1259,'Run Reconcile'!A$2:B3212,2,FALSE)</f>
        <v>45055</v>
      </c>
      <c r="D1259" s="12">
        <f>IFERROR(__xludf.DUMMYFUNCTION("""COMPUTED_VALUE"""),45055.0)</f>
        <v>45055</v>
      </c>
      <c r="E1259" s="13">
        <f>IFERROR(__xludf.DUMMYFUNCTION("""COMPUTED_VALUE"""),0.2373495370375167)</f>
        <v>0.237349537</v>
      </c>
      <c r="F1259" s="7" t="str">
        <f>IFERROR(__xludf.DUMMYFUNCTION("""COMPUTED_VALUE"""),"Negative")</f>
        <v>Negative</v>
      </c>
      <c r="G1259" s="7">
        <f>IFERROR(__xludf.DUMMYFUNCTION("""COMPUTED_VALUE"""),3.0)</f>
        <v>3</v>
      </c>
    </row>
    <row r="1260">
      <c r="A1260" s="7" t="str">
        <f>IFERROR(__xludf.DUMMYFUNCTION("""COMPUTED_VALUE"""),"AR1794")</f>
        <v>AR1794</v>
      </c>
      <c r="B1260" s="7" t="str">
        <f>IFERROR(__xludf.DUMMYFUNCTION("""COMPUTED_VALUE"""),"RUN-ABRM_2023-05-09_APS-017")</f>
        <v>RUN-ABRM_2023-05-09_APS-017</v>
      </c>
      <c r="C1260" s="8">
        <f>VLOOKUP(B1260,'Run Reconcile'!A$2:B3212,2,FALSE)</f>
        <v>45055</v>
      </c>
      <c r="D1260" s="12">
        <f>IFERROR(__xludf.DUMMYFUNCTION("""COMPUTED_VALUE"""),45055.0)</f>
        <v>45055</v>
      </c>
      <c r="E1260" s="13">
        <f>IFERROR(__xludf.DUMMYFUNCTION("""COMPUTED_VALUE"""),0.2845949074071541)</f>
        <v>0.2845949074</v>
      </c>
      <c r="F1260" s="7" t="str">
        <f>IFERROR(__xludf.DUMMYFUNCTION("""COMPUTED_VALUE"""),"Negative")</f>
        <v>Negative</v>
      </c>
      <c r="G1260" s="7">
        <f>IFERROR(__xludf.DUMMYFUNCTION("""COMPUTED_VALUE"""),3.0)</f>
        <v>3</v>
      </c>
    </row>
    <row r="1261">
      <c r="A1261" s="7" t="str">
        <f>IFERROR(__xludf.DUMMYFUNCTION("""COMPUTED_VALUE"""),"AR1213")</f>
        <v>AR1213</v>
      </c>
      <c r="B1261" s="7" t="str">
        <f>IFERROR(__xludf.DUMMYFUNCTION("""COMPUTED_VALUE"""),"RUN-ABRM_2023-05-09_APS-017")</f>
        <v>RUN-ABRM_2023-05-09_APS-017</v>
      </c>
      <c r="C1261" s="8">
        <f>VLOOKUP(B1261,'Run Reconcile'!A$2:B3212,2,FALSE)</f>
        <v>45055</v>
      </c>
      <c r="D1261" s="12">
        <f>IFERROR(__xludf.DUMMYFUNCTION("""COMPUTED_VALUE"""),45055.0)</f>
        <v>45055</v>
      </c>
      <c r="E1261" s="13">
        <f>IFERROR(__xludf.DUMMYFUNCTION("""COMPUTED_VALUE"""),0.28745370370234014)</f>
        <v>0.2874537037</v>
      </c>
      <c r="F1261" s="7" t="str">
        <f>IFERROR(__xludf.DUMMYFUNCTION("""COMPUTED_VALUE"""),"Negative")</f>
        <v>Negative</v>
      </c>
      <c r="G1261" s="7">
        <f>IFERROR(__xludf.DUMMYFUNCTION("""COMPUTED_VALUE"""),3.0)</f>
        <v>3</v>
      </c>
    </row>
    <row r="1262">
      <c r="A1262" s="7" t="str">
        <f>IFERROR(__xludf.DUMMYFUNCTION("""COMPUTED_VALUE"""),"AK9718")</f>
        <v>AK9718</v>
      </c>
      <c r="B1262" s="7" t="str">
        <f>IFERROR(__xludf.DUMMYFUNCTION("""COMPUTED_VALUE"""),"RUN-ABRM_2023-05-09_APS-017")</f>
        <v>RUN-ABRM_2023-05-09_APS-017</v>
      </c>
      <c r="C1262" s="8">
        <f>VLOOKUP(B1262,'Run Reconcile'!A$2:B3212,2,FALSE)</f>
        <v>45055</v>
      </c>
      <c r="D1262" s="12">
        <f>IFERROR(__xludf.DUMMYFUNCTION("""COMPUTED_VALUE"""),45055.0)</f>
        <v>45055</v>
      </c>
      <c r="E1262" s="13">
        <f>IFERROR(__xludf.DUMMYFUNCTION("""COMPUTED_VALUE"""),0.3007291666654055)</f>
        <v>0.3007291667</v>
      </c>
      <c r="F1262" s="7" t="str">
        <f>IFERROR(__xludf.DUMMYFUNCTION("""COMPUTED_VALUE"""),"Negative")</f>
        <v>Negative</v>
      </c>
      <c r="G1262" s="7">
        <f>IFERROR(__xludf.DUMMYFUNCTION("""COMPUTED_VALUE"""),3.0)</f>
        <v>3</v>
      </c>
    </row>
    <row r="1263">
      <c r="A1263" s="7" t="str">
        <f>IFERROR(__xludf.DUMMYFUNCTION("""COMPUTED_VALUE"""),"AR1026")</f>
        <v>AR1026</v>
      </c>
      <c r="B1263" s="7" t="str">
        <f>IFERROR(__xludf.DUMMYFUNCTION("""COMPUTED_VALUE"""),"RUN-ABRM_2023-05-09_APS-017")</f>
        <v>RUN-ABRM_2023-05-09_APS-017</v>
      </c>
      <c r="C1263" s="8">
        <f>VLOOKUP(B1263,'Run Reconcile'!A$2:B3212,2,FALSE)</f>
        <v>45055</v>
      </c>
      <c r="D1263" s="12">
        <f>IFERROR(__xludf.DUMMYFUNCTION("""COMPUTED_VALUE"""),45055.0)</f>
        <v>45055</v>
      </c>
      <c r="E1263" s="13">
        <f>IFERROR(__xludf.DUMMYFUNCTION("""COMPUTED_VALUE"""),0.31978009259182727)</f>
        <v>0.3197800926</v>
      </c>
      <c r="F1263" s="7" t="str">
        <f>IFERROR(__xludf.DUMMYFUNCTION("""COMPUTED_VALUE"""),"Negative")</f>
        <v>Negative</v>
      </c>
      <c r="G1263" s="7">
        <f>IFERROR(__xludf.DUMMYFUNCTION("""COMPUTED_VALUE"""),2.0)</f>
        <v>2</v>
      </c>
    </row>
    <row r="1264">
      <c r="A1264" s="7" t="str">
        <f>IFERROR(__xludf.DUMMYFUNCTION("""COMPUTED_VALUE"""),"AR1593")</f>
        <v>AR1593</v>
      </c>
      <c r="B1264" s="7" t="str">
        <f>IFERROR(__xludf.DUMMYFUNCTION("""COMPUTED_VALUE"""),"RUN-ABRM_2023-05-09_APS-017")</f>
        <v>RUN-ABRM_2023-05-09_APS-017</v>
      </c>
      <c r="C1264" s="8">
        <f>VLOOKUP(B1264,'Run Reconcile'!A$2:B3212,2,FALSE)</f>
        <v>45055</v>
      </c>
      <c r="D1264" s="12">
        <f>IFERROR(__xludf.DUMMYFUNCTION("""COMPUTED_VALUE"""),45055.0)</f>
        <v>45055</v>
      </c>
      <c r="E1264" s="13">
        <f>IFERROR(__xludf.DUMMYFUNCTION("""COMPUTED_VALUE"""),0.32015046296146465)</f>
        <v>0.320150463</v>
      </c>
      <c r="F1264" s="7" t="str">
        <f>IFERROR(__xludf.DUMMYFUNCTION("""COMPUTED_VALUE"""),"Negative")</f>
        <v>Negative</v>
      </c>
      <c r="G1264" s="7">
        <f>IFERROR(__xludf.DUMMYFUNCTION("""COMPUTED_VALUE"""),1.0)</f>
        <v>1</v>
      </c>
    </row>
    <row r="1265">
      <c r="A1265" s="7" t="str">
        <f>IFERROR(__xludf.DUMMYFUNCTION("""COMPUTED_VALUE"""),"AR1177")</f>
        <v>AR1177</v>
      </c>
      <c r="B1265" s="7" t="str">
        <f>IFERROR(__xludf.DUMMYFUNCTION("""COMPUTED_VALUE"""),"RUN-ABRM_2023-05-09_APS-017")</f>
        <v>RUN-ABRM_2023-05-09_APS-017</v>
      </c>
      <c r="C1265" s="8">
        <f>VLOOKUP(B1265,'Run Reconcile'!A$2:B3212,2,FALSE)</f>
        <v>45055</v>
      </c>
      <c r="D1265" s="12">
        <f>IFERROR(__xludf.DUMMYFUNCTION("""COMPUTED_VALUE"""),45055.0)</f>
        <v>45055</v>
      </c>
      <c r="E1265" s="13">
        <f>IFERROR(__xludf.DUMMYFUNCTION("""COMPUTED_VALUE"""),0.3243518518502242)</f>
        <v>0.3243518519</v>
      </c>
      <c r="F1265" s="7" t="str">
        <f>IFERROR(__xludf.DUMMYFUNCTION("""COMPUTED_VALUE"""),"Negative")</f>
        <v>Negative</v>
      </c>
      <c r="G1265" s="7">
        <f>IFERROR(__xludf.DUMMYFUNCTION("""COMPUTED_VALUE"""),1.0)</f>
        <v>1</v>
      </c>
    </row>
    <row r="1266">
      <c r="A1266" s="7" t="str">
        <f>IFERROR(__xludf.DUMMYFUNCTION("""COMPUTED_VALUE"""),"AR356")</f>
        <v>AR356</v>
      </c>
      <c r="B1266" s="7" t="str">
        <f>IFERROR(__xludf.DUMMYFUNCTION("""COMPUTED_VALUE"""),"RUN-ABRM_2023-05-10_APS-018")</f>
        <v>RUN-ABRM_2023-05-10_APS-018</v>
      </c>
      <c r="C1266" s="8">
        <f>VLOOKUP(B1266,'Run Reconcile'!A$2:B3212,2,FALSE)</f>
        <v>45056</v>
      </c>
      <c r="D1266" s="12">
        <f>IFERROR(__xludf.DUMMYFUNCTION("""COMPUTED_VALUE"""),45056.0)</f>
        <v>45056</v>
      </c>
      <c r="E1266" s="13">
        <f>IFERROR(__xludf.DUMMYFUNCTION("""COMPUTED_VALUE"""),0.22400462962832535)</f>
        <v>0.2240046296</v>
      </c>
      <c r="F1266" s="7" t="str">
        <f>IFERROR(__xludf.DUMMYFUNCTION("""COMPUTED_VALUE"""),"Negative")</f>
        <v>Negative</v>
      </c>
      <c r="G1266" s="7">
        <f>IFERROR(__xludf.DUMMYFUNCTION("""COMPUTED_VALUE"""),3.0)</f>
        <v>3</v>
      </c>
    </row>
    <row r="1267">
      <c r="A1267" s="7" t="str">
        <f>IFERROR(__xludf.DUMMYFUNCTION("""COMPUTED_VALUE"""),"AB9520")</f>
        <v>AB9520</v>
      </c>
      <c r="B1267" s="7" t="str">
        <f>IFERROR(__xludf.DUMMYFUNCTION("""COMPUTED_VALUE"""),"RUN-ABRM_2023-05-10_APS-018")</f>
        <v>RUN-ABRM_2023-05-10_APS-018</v>
      </c>
      <c r="C1267" s="8">
        <f>VLOOKUP(B1267,'Run Reconcile'!A$2:B3212,2,FALSE)</f>
        <v>45056</v>
      </c>
      <c r="D1267" s="12">
        <f>IFERROR(__xludf.DUMMYFUNCTION("""COMPUTED_VALUE"""),45056.0)</f>
        <v>45056</v>
      </c>
      <c r="E1267" s="13">
        <f>IFERROR(__xludf.DUMMYFUNCTION("""COMPUTED_VALUE"""),0.28101851851897663)</f>
        <v>0.2810185185</v>
      </c>
      <c r="F1267" s="7" t="str">
        <f>IFERROR(__xludf.DUMMYFUNCTION("""COMPUTED_VALUE"""),"Negative")</f>
        <v>Negative</v>
      </c>
      <c r="G1267" s="7">
        <f>IFERROR(__xludf.DUMMYFUNCTION("""COMPUTED_VALUE"""),3.0)</f>
        <v>3</v>
      </c>
    </row>
    <row r="1268">
      <c r="A1268" s="7" t="str">
        <f>IFERROR(__xludf.DUMMYFUNCTION("""COMPUTED_VALUE"""),"AR989")</f>
        <v>AR989</v>
      </c>
      <c r="B1268" s="7" t="str">
        <f>IFERROR(__xludf.DUMMYFUNCTION("""COMPUTED_VALUE"""),"RUN-ABRM_2023-05-10_APS-018")</f>
        <v>RUN-ABRM_2023-05-10_APS-018</v>
      </c>
      <c r="C1268" s="8">
        <f>VLOOKUP(B1268,'Run Reconcile'!A$2:B3212,2,FALSE)</f>
        <v>45056</v>
      </c>
      <c r="D1268" s="12">
        <f>IFERROR(__xludf.DUMMYFUNCTION("""COMPUTED_VALUE"""),45056.0)</f>
        <v>45056</v>
      </c>
      <c r="E1268" s="13">
        <f>IFERROR(__xludf.DUMMYFUNCTION("""COMPUTED_VALUE"""),0.2884027777763549)</f>
        <v>0.2884027778</v>
      </c>
      <c r="F1268" s="7" t="str">
        <f>IFERROR(__xludf.DUMMYFUNCTION("""COMPUTED_VALUE"""),"Negative")</f>
        <v>Negative</v>
      </c>
      <c r="G1268" s="7">
        <f>IFERROR(__xludf.DUMMYFUNCTION("""COMPUTED_VALUE"""),3.0)</f>
        <v>3</v>
      </c>
    </row>
    <row r="1269">
      <c r="A1269" s="7" t="str">
        <f>IFERROR(__xludf.DUMMYFUNCTION("""COMPUTED_VALUE"""),"AR1405")</f>
        <v>AR1405</v>
      </c>
      <c r="B1269" s="7" t="str">
        <f>IFERROR(__xludf.DUMMYFUNCTION("""COMPUTED_VALUE"""),"RUN-ABRM_2023-05-10_APS-018")</f>
        <v>RUN-ABRM_2023-05-10_APS-018</v>
      </c>
      <c r="C1269" s="8">
        <f>VLOOKUP(B1269,'Run Reconcile'!A$2:B3212,2,FALSE)</f>
        <v>45056</v>
      </c>
      <c r="D1269" s="12">
        <f>IFERROR(__xludf.DUMMYFUNCTION("""COMPUTED_VALUE"""),45056.0)</f>
        <v>45056</v>
      </c>
      <c r="E1269" s="13">
        <f>IFERROR(__xludf.DUMMYFUNCTION("""COMPUTED_VALUE"""),0.2999999999992724)</f>
        <v>0.3</v>
      </c>
      <c r="F1269" s="7" t="str">
        <f>IFERROR(__xludf.DUMMYFUNCTION("""COMPUTED_VALUE"""),"Negative")</f>
        <v>Negative</v>
      </c>
      <c r="G1269" s="7">
        <f>IFERROR(__xludf.DUMMYFUNCTION("""COMPUTED_VALUE"""),3.0)</f>
        <v>3</v>
      </c>
    </row>
    <row r="1270">
      <c r="A1270" s="7" t="str">
        <f>IFERROR(__xludf.DUMMYFUNCTION("""COMPUTED_VALUE"""),"AR1048")</f>
        <v>AR1048</v>
      </c>
      <c r="B1270" s="7" t="str">
        <f>IFERROR(__xludf.DUMMYFUNCTION("""COMPUTED_VALUE"""),"RUN-ABRM_2023-05-10_APS-018")</f>
        <v>RUN-ABRM_2023-05-10_APS-018</v>
      </c>
      <c r="C1270" s="8">
        <f>VLOOKUP(B1270,'Run Reconcile'!A$2:B3212,2,FALSE)</f>
        <v>45056</v>
      </c>
      <c r="D1270" s="12">
        <f>IFERROR(__xludf.DUMMYFUNCTION("""COMPUTED_VALUE"""),45056.0)</f>
        <v>45056</v>
      </c>
      <c r="E1270" s="13">
        <f>IFERROR(__xludf.DUMMYFUNCTION("""COMPUTED_VALUE"""),0.3084606481497758)</f>
        <v>0.3084606481</v>
      </c>
      <c r="F1270" s="7" t="str">
        <f>IFERROR(__xludf.DUMMYFUNCTION("""COMPUTED_VALUE"""),"Negative")</f>
        <v>Negative</v>
      </c>
      <c r="G1270" s="7">
        <f>IFERROR(__xludf.DUMMYFUNCTION("""COMPUTED_VALUE"""),1.0)</f>
        <v>1</v>
      </c>
    </row>
    <row r="1271">
      <c r="A1271" s="7" t="str">
        <f>IFERROR(__xludf.DUMMYFUNCTION("""COMPUTED_VALUE"""),"AK9986")</f>
        <v>AK9986</v>
      </c>
      <c r="B1271" s="7" t="str">
        <f>IFERROR(__xludf.DUMMYFUNCTION("""COMPUTED_VALUE"""),"RUN-ABRM_2023-05-10_APS-018")</f>
        <v>RUN-ABRM_2023-05-10_APS-018</v>
      </c>
      <c r="C1271" s="8">
        <f>VLOOKUP(B1271,'Run Reconcile'!A$2:B3212,2,FALSE)</f>
        <v>45056</v>
      </c>
      <c r="D1271" s="12">
        <f>IFERROR(__xludf.DUMMYFUNCTION("""COMPUTED_VALUE"""),45056.0)</f>
        <v>45056</v>
      </c>
      <c r="E1271" s="13">
        <f>IFERROR(__xludf.DUMMYFUNCTION("""COMPUTED_VALUE"""),0.33013888889036025)</f>
        <v>0.3301388889</v>
      </c>
      <c r="F1271" s="7" t="str">
        <f>IFERROR(__xludf.DUMMYFUNCTION("""COMPUTED_VALUE"""),"Negative")</f>
        <v>Negative</v>
      </c>
      <c r="G1271" s="7">
        <f>IFERROR(__xludf.DUMMYFUNCTION("""COMPUTED_VALUE"""),1.0)</f>
        <v>1</v>
      </c>
    </row>
    <row r="1272">
      <c r="A1272" s="7" t="str">
        <f>IFERROR(__xludf.DUMMYFUNCTION("""COMPUTED_VALUE"""),"AR1071")</f>
        <v>AR1071</v>
      </c>
      <c r="B1272" s="7" t="str">
        <f>IFERROR(__xludf.DUMMYFUNCTION("""COMPUTED_VALUE"""),"RUN-ABRM_2023-05-10_APS-018")</f>
        <v>RUN-ABRM_2023-05-10_APS-018</v>
      </c>
      <c r="C1272" s="8">
        <f>VLOOKUP(B1272,'Run Reconcile'!A$2:B3212,2,FALSE)</f>
        <v>45056</v>
      </c>
      <c r="D1272" s="12">
        <f>IFERROR(__xludf.DUMMYFUNCTION("""COMPUTED_VALUE"""),45056.0)</f>
        <v>45056</v>
      </c>
      <c r="E1272" s="13">
        <f>IFERROR(__xludf.DUMMYFUNCTION("""COMPUTED_VALUE"""),0.330532407406281)</f>
        <v>0.3305324074</v>
      </c>
      <c r="F1272" s="7" t="str">
        <f>IFERROR(__xludf.DUMMYFUNCTION("""COMPUTED_VALUE"""),"Negative")</f>
        <v>Negative</v>
      </c>
      <c r="G1272" s="7">
        <f>IFERROR(__xludf.DUMMYFUNCTION("""COMPUTED_VALUE"""),1.0)</f>
        <v>1</v>
      </c>
    </row>
    <row r="1273">
      <c r="A1273" s="7" t="str">
        <f>IFERROR(__xludf.DUMMYFUNCTION("""COMPUTED_VALUE"""),"AR1800")</f>
        <v>AR1800</v>
      </c>
      <c r="B1273" s="7" t="str">
        <f>IFERROR(__xludf.DUMMYFUNCTION("""COMPUTED_VALUE"""),"RUN-ABRM_2023-05-11_RFR-224")</f>
        <v>RUN-ABRM_2023-05-11_RFR-224</v>
      </c>
      <c r="C1273" s="8">
        <f>VLOOKUP(B1273,'Run Reconcile'!A$2:B3212,2,FALSE)</f>
        <v>45057</v>
      </c>
      <c r="D1273" s="12">
        <f>IFERROR(__xludf.DUMMYFUNCTION("""COMPUTED_VALUE"""),45057.0)</f>
        <v>45057</v>
      </c>
      <c r="E1273" s="13">
        <f>IFERROR(__xludf.DUMMYFUNCTION("""COMPUTED_VALUE"""),0.24481481481416267)</f>
        <v>0.2448148148</v>
      </c>
      <c r="F1273" s="7" t="str">
        <f>IFERROR(__xludf.DUMMYFUNCTION("""COMPUTED_VALUE"""),"Negative")</f>
        <v>Negative</v>
      </c>
      <c r="G1273" s="7">
        <f>IFERROR(__xludf.DUMMYFUNCTION("""COMPUTED_VALUE"""),3.0)</f>
        <v>3</v>
      </c>
    </row>
    <row r="1274">
      <c r="A1274" s="7" t="str">
        <f>IFERROR(__xludf.DUMMYFUNCTION("""COMPUTED_VALUE"""),"AR275")</f>
        <v>AR275</v>
      </c>
      <c r="B1274" s="7" t="str">
        <f>IFERROR(__xludf.DUMMYFUNCTION("""COMPUTED_VALUE"""),"RUN-ABRM_2023-05-11_RFR-224")</f>
        <v>RUN-ABRM_2023-05-11_RFR-224</v>
      </c>
      <c r="C1274" s="8">
        <f>VLOOKUP(B1274,'Run Reconcile'!A$2:B3212,2,FALSE)</f>
        <v>45057</v>
      </c>
      <c r="D1274" s="12">
        <f>IFERROR(__xludf.DUMMYFUNCTION("""COMPUTED_VALUE"""),45057.0)</f>
        <v>45057</v>
      </c>
      <c r="E1274" s="13">
        <f>IFERROR(__xludf.DUMMYFUNCTION("""COMPUTED_VALUE"""),0.28620370370481396)</f>
        <v>0.2862037037</v>
      </c>
      <c r="F1274" s="7" t="str">
        <f>IFERROR(__xludf.DUMMYFUNCTION("""COMPUTED_VALUE"""),"Negative")</f>
        <v>Negative</v>
      </c>
      <c r="G1274" s="7">
        <f>IFERROR(__xludf.DUMMYFUNCTION("""COMPUTED_VALUE"""),3.0)</f>
        <v>3</v>
      </c>
    </row>
    <row r="1275">
      <c r="A1275" s="7" t="str">
        <f>IFERROR(__xludf.DUMMYFUNCTION("""COMPUTED_VALUE"""),"AR859")</f>
        <v>AR859</v>
      </c>
      <c r="B1275" s="7" t="str">
        <f>IFERROR(__xludf.DUMMYFUNCTION("""COMPUTED_VALUE"""),"RUN-ABRM_2023-05-11_RFR-224")</f>
        <v>RUN-ABRM_2023-05-11_RFR-224</v>
      </c>
      <c r="C1275" s="8">
        <f>VLOOKUP(B1275,'Run Reconcile'!A$2:B3212,2,FALSE)</f>
        <v>45057</v>
      </c>
      <c r="D1275" s="12">
        <f>IFERROR(__xludf.DUMMYFUNCTION("""COMPUTED_VALUE"""),45057.0)</f>
        <v>45057</v>
      </c>
      <c r="E1275" s="13">
        <f>IFERROR(__xludf.DUMMYFUNCTION("""COMPUTED_VALUE"""),0.3038541666683159)</f>
        <v>0.3038541667</v>
      </c>
      <c r="F1275" s="7" t="str">
        <f>IFERROR(__xludf.DUMMYFUNCTION("""COMPUTED_VALUE"""),"Negative")</f>
        <v>Negative</v>
      </c>
      <c r="G1275" s="7">
        <f>IFERROR(__xludf.DUMMYFUNCTION("""COMPUTED_VALUE"""),3.0)</f>
        <v>3</v>
      </c>
    </row>
    <row r="1276">
      <c r="A1276" s="7" t="str">
        <f>IFERROR(__xludf.DUMMYFUNCTION("""COMPUTED_VALUE"""),"AR359")</f>
        <v>AR359</v>
      </c>
      <c r="B1276" s="7" t="str">
        <f>IFERROR(__xludf.DUMMYFUNCTION("""COMPUTED_VALUE"""),"RUN-ABRM_2023-05-11_RFR-224")</f>
        <v>RUN-ABRM_2023-05-11_RFR-224</v>
      </c>
      <c r="C1276" s="8">
        <f>VLOOKUP(B1276,'Run Reconcile'!A$2:B3212,2,FALSE)</f>
        <v>45057</v>
      </c>
      <c r="D1276" s="12">
        <f>IFERROR(__xludf.DUMMYFUNCTION("""COMPUTED_VALUE"""),45057.0)</f>
        <v>45057</v>
      </c>
      <c r="E1276" s="13">
        <f>IFERROR(__xludf.DUMMYFUNCTION("""COMPUTED_VALUE"""),0.3078819444453984)</f>
        <v>0.3078819444</v>
      </c>
      <c r="F1276" s="7" t="str">
        <f>IFERROR(__xludf.DUMMYFUNCTION("""COMPUTED_VALUE"""),"Negative")</f>
        <v>Negative</v>
      </c>
      <c r="G1276" s="7">
        <f>IFERROR(__xludf.DUMMYFUNCTION("""COMPUTED_VALUE"""),1.0)</f>
        <v>1</v>
      </c>
    </row>
    <row r="1277">
      <c r="A1277" s="7" t="str">
        <f>IFERROR(__xludf.DUMMYFUNCTION("""COMPUTED_VALUE"""),"AR1007")</f>
        <v>AR1007</v>
      </c>
      <c r="B1277" s="7" t="str">
        <f>IFERROR(__xludf.DUMMYFUNCTION("""COMPUTED_VALUE"""),"RUN-ABRM_2023-05-11_RFR-224")</f>
        <v>RUN-ABRM_2023-05-11_RFR-224</v>
      </c>
      <c r="C1277" s="8">
        <f>VLOOKUP(B1277,'Run Reconcile'!A$2:B3212,2,FALSE)</f>
        <v>45057</v>
      </c>
      <c r="D1277" s="12">
        <f>IFERROR(__xludf.DUMMYFUNCTION("""COMPUTED_VALUE"""),45057.0)</f>
        <v>45057</v>
      </c>
      <c r="E1277" s="13">
        <f>IFERROR(__xludf.DUMMYFUNCTION("""COMPUTED_VALUE"""),0.3335069444437977)</f>
        <v>0.3335069444</v>
      </c>
      <c r="F1277" s="7" t="str">
        <f>IFERROR(__xludf.DUMMYFUNCTION("""COMPUTED_VALUE"""),"Negative")</f>
        <v>Negative</v>
      </c>
      <c r="G1277" s="7">
        <f>IFERROR(__xludf.DUMMYFUNCTION("""COMPUTED_VALUE"""),1.0)</f>
        <v>1</v>
      </c>
    </row>
    <row r="1278">
      <c r="A1278" s="7" t="str">
        <f>IFERROR(__xludf.DUMMYFUNCTION("""COMPUTED_VALUE"""),"AR1151")</f>
        <v>AR1151</v>
      </c>
      <c r="B1278" s="7" t="str">
        <f>IFERROR(__xludf.DUMMYFUNCTION("""COMPUTED_VALUE"""),"RUN-ABRM_2023-05-11_RFR-224")</f>
        <v>RUN-ABRM_2023-05-11_RFR-224</v>
      </c>
      <c r="C1278" s="8">
        <f>VLOOKUP(B1278,'Run Reconcile'!A$2:B3212,2,FALSE)</f>
        <v>45057</v>
      </c>
      <c r="D1278" s="12">
        <f>IFERROR(__xludf.DUMMYFUNCTION("""COMPUTED_VALUE"""),45057.0)</f>
        <v>45057</v>
      </c>
      <c r="E1278" s="13">
        <f>IFERROR(__xludf.DUMMYFUNCTION("""COMPUTED_VALUE"""),0.3346759259256942)</f>
        <v>0.3346759259</v>
      </c>
      <c r="F1278" s="7" t="str">
        <f>IFERROR(__xludf.DUMMYFUNCTION("""COMPUTED_VALUE"""),"Negative")</f>
        <v>Negative</v>
      </c>
      <c r="G1278" s="7">
        <f>IFERROR(__xludf.DUMMYFUNCTION("""COMPUTED_VALUE"""),1.0)</f>
        <v>1</v>
      </c>
    </row>
    <row r="1279">
      <c r="A1279" s="7" t="str">
        <f>IFERROR(__xludf.DUMMYFUNCTION("""COMPUTED_VALUE"""),"AR1632")</f>
        <v>AR1632</v>
      </c>
      <c r="B1279" s="7" t="str">
        <f>IFERROR(__xludf.DUMMYFUNCTION("""COMPUTED_VALUE"""),"RUN-ABRM_2023-05-12_APS-019")</f>
        <v>RUN-ABRM_2023-05-12_APS-019</v>
      </c>
      <c r="C1279" s="8">
        <f>VLOOKUP(B1279,'Run Reconcile'!A$2:B3212,2,FALSE)</f>
        <v>45058</v>
      </c>
      <c r="D1279" s="12">
        <f>IFERROR(__xludf.DUMMYFUNCTION("""COMPUTED_VALUE"""),45058.0)</f>
        <v>45058</v>
      </c>
      <c r="E1279" s="13">
        <f>IFERROR(__xludf.DUMMYFUNCTION("""COMPUTED_VALUE"""),0.2704166666662786)</f>
        <v>0.2704166667</v>
      </c>
      <c r="F1279" s="7" t="str">
        <f>IFERROR(__xludf.DUMMYFUNCTION("""COMPUTED_VALUE"""),"Negative")</f>
        <v>Negative</v>
      </c>
      <c r="G1279" s="7">
        <f>IFERROR(__xludf.DUMMYFUNCTION("""COMPUTED_VALUE"""),3.0)</f>
        <v>3</v>
      </c>
    </row>
    <row r="1280">
      <c r="A1280" s="7" t="str">
        <f>IFERROR(__xludf.DUMMYFUNCTION("""COMPUTED_VALUE"""),"AB9268")</f>
        <v>AB9268</v>
      </c>
      <c r="B1280" s="7" t="str">
        <f>IFERROR(__xludf.DUMMYFUNCTION("""COMPUTED_VALUE"""),"RUN-ABRM_2023-05-12_APS-019")</f>
        <v>RUN-ABRM_2023-05-12_APS-019</v>
      </c>
      <c r="C1280" s="8">
        <f>VLOOKUP(B1280,'Run Reconcile'!A$2:B3212,2,FALSE)</f>
        <v>45058</v>
      </c>
      <c r="D1280" s="12">
        <f>IFERROR(__xludf.DUMMYFUNCTION("""COMPUTED_VALUE"""),45058.0)</f>
        <v>45058</v>
      </c>
      <c r="E1280" s="13">
        <f>IFERROR(__xludf.DUMMYFUNCTION("""COMPUTED_VALUE"""),0.29730324073898373)</f>
        <v>0.2973032407</v>
      </c>
      <c r="F1280" s="7" t="str">
        <f>IFERROR(__xludf.DUMMYFUNCTION("""COMPUTED_VALUE"""),"Negative")</f>
        <v>Negative</v>
      </c>
      <c r="G1280" s="7">
        <f>IFERROR(__xludf.DUMMYFUNCTION("""COMPUTED_VALUE"""),3.0)</f>
        <v>3</v>
      </c>
    </row>
    <row r="1281">
      <c r="A1281" s="7" t="str">
        <f>IFERROR(__xludf.DUMMYFUNCTION("""COMPUTED_VALUE"""),"AB9580")</f>
        <v>AB9580</v>
      </c>
      <c r="B1281" s="7" t="str">
        <f>IFERROR(__xludf.DUMMYFUNCTION("""COMPUTED_VALUE"""),"RUN-ABRM_2023-05-12_APS-019")</f>
        <v>RUN-ABRM_2023-05-12_APS-019</v>
      </c>
      <c r="C1281" s="8">
        <f>VLOOKUP(B1281,'Run Reconcile'!A$2:B3212,2,FALSE)</f>
        <v>45058</v>
      </c>
      <c r="D1281" s="12">
        <f>IFERROR(__xludf.DUMMYFUNCTION("""COMPUTED_VALUE"""),45058.0)</f>
        <v>45058</v>
      </c>
      <c r="E1281" s="13">
        <f>IFERROR(__xludf.DUMMYFUNCTION("""COMPUTED_VALUE"""),0.32019675925766933)</f>
        <v>0.3201967593</v>
      </c>
      <c r="F1281" s="7" t="str">
        <f>IFERROR(__xludf.DUMMYFUNCTION("""COMPUTED_VALUE"""),"Negative")</f>
        <v>Negative</v>
      </c>
      <c r="G1281" s="7">
        <f>IFERROR(__xludf.DUMMYFUNCTION("""COMPUTED_VALUE"""),1.0)</f>
        <v>1</v>
      </c>
    </row>
    <row r="1282">
      <c r="A1282" s="7" t="str">
        <f>IFERROR(__xludf.DUMMYFUNCTION("""COMPUTED_VALUE"""),"AR336")</f>
        <v>AR336</v>
      </c>
      <c r="B1282" s="7" t="str">
        <f>IFERROR(__xludf.DUMMYFUNCTION("""COMPUTED_VALUE"""),"RUN-ABRM_2023-05-15_APS-020")</f>
        <v>RUN-ABRM_2023-05-15_APS-020</v>
      </c>
      <c r="C1282" s="8">
        <f>VLOOKUP(B1282,'Run Reconcile'!A$2:B3212,2,FALSE)</f>
        <v>45061</v>
      </c>
      <c r="D1282" s="12">
        <f>IFERROR(__xludf.DUMMYFUNCTION("""COMPUTED_VALUE"""),45061.0)</f>
        <v>45061</v>
      </c>
      <c r="E1282" s="13">
        <f>IFERROR(__xludf.DUMMYFUNCTION("""COMPUTED_VALUE"""),0.20836805555518367)</f>
        <v>0.2083680556</v>
      </c>
      <c r="F1282" s="7" t="str">
        <f>IFERROR(__xludf.DUMMYFUNCTION("""COMPUTED_VALUE"""),"Negative")</f>
        <v>Negative</v>
      </c>
      <c r="G1282" s="7">
        <f>IFERROR(__xludf.DUMMYFUNCTION("""COMPUTED_VALUE"""),3.0)</f>
        <v>3</v>
      </c>
    </row>
    <row r="1283">
      <c r="A1283" s="7" t="str">
        <f>IFERROR(__xludf.DUMMYFUNCTION("""COMPUTED_VALUE"""),"AR1721")</f>
        <v>AR1721</v>
      </c>
      <c r="B1283" s="7" t="str">
        <f>IFERROR(__xludf.DUMMYFUNCTION("""COMPUTED_VALUE"""),"RUN-ABRM_2023-05-15_APS-020")</f>
        <v>RUN-ABRM_2023-05-15_APS-020</v>
      </c>
      <c r="C1283" s="8">
        <f>VLOOKUP(B1283,'Run Reconcile'!A$2:B3212,2,FALSE)</f>
        <v>45061</v>
      </c>
      <c r="D1283" s="12">
        <f>IFERROR(__xludf.DUMMYFUNCTION("""COMPUTED_VALUE"""),45061.0)</f>
        <v>45061</v>
      </c>
      <c r="E1283" s="13">
        <f>IFERROR(__xludf.DUMMYFUNCTION("""COMPUTED_VALUE"""),0.2830671296287619)</f>
        <v>0.2830671296</v>
      </c>
      <c r="F1283" s="7" t="str">
        <f>IFERROR(__xludf.DUMMYFUNCTION("""COMPUTED_VALUE"""),"Negative")</f>
        <v>Negative</v>
      </c>
      <c r="G1283" s="7">
        <f>IFERROR(__xludf.DUMMYFUNCTION("""COMPUTED_VALUE"""),4.0)</f>
        <v>4</v>
      </c>
    </row>
    <row r="1284">
      <c r="A1284" s="7" t="str">
        <f>IFERROR(__xludf.DUMMYFUNCTION("""COMPUTED_VALUE"""),"AR1335")</f>
        <v>AR1335</v>
      </c>
      <c r="B1284" s="7" t="str">
        <f>IFERROR(__xludf.DUMMYFUNCTION("""COMPUTED_VALUE"""),"RUN-ABRM_2023-05-15_APS-020")</f>
        <v>RUN-ABRM_2023-05-15_APS-020</v>
      </c>
      <c r="C1284" s="8">
        <f>VLOOKUP(B1284,'Run Reconcile'!A$2:B3212,2,FALSE)</f>
        <v>45061</v>
      </c>
      <c r="D1284" s="12">
        <f>IFERROR(__xludf.DUMMYFUNCTION("""COMPUTED_VALUE"""),45061.0)</f>
        <v>45061</v>
      </c>
      <c r="E1284" s="13">
        <f>IFERROR(__xludf.DUMMYFUNCTION("""COMPUTED_VALUE"""),0.2948726851864194)</f>
        <v>0.2948726852</v>
      </c>
      <c r="F1284" s="7" t="str">
        <f>IFERROR(__xludf.DUMMYFUNCTION("""COMPUTED_VALUE"""),"Negative")</f>
        <v>Negative</v>
      </c>
      <c r="G1284" s="7">
        <f>IFERROR(__xludf.DUMMYFUNCTION("""COMPUTED_VALUE"""),3.0)</f>
        <v>3</v>
      </c>
    </row>
    <row r="1285">
      <c r="A1285" s="7" t="str">
        <f>IFERROR(__xludf.DUMMYFUNCTION("""COMPUTED_VALUE"""),"AR1736")</f>
        <v>AR1736</v>
      </c>
      <c r="B1285" s="7" t="str">
        <f>IFERROR(__xludf.DUMMYFUNCTION("""COMPUTED_VALUE"""),"RUN-ABRM_2023-05-15_APS-020")</f>
        <v>RUN-ABRM_2023-05-15_APS-020</v>
      </c>
      <c r="C1285" s="8">
        <f>VLOOKUP(B1285,'Run Reconcile'!A$2:B3212,2,FALSE)</f>
        <v>45061</v>
      </c>
      <c r="D1285" s="12">
        <f>IFERROR(__xludf.DUMMYFUNCTION("""COMPUTED_VALUE"""),45061.0)</f>
        <v>45061</v>
      </c>
      <c r="E1285" s="13">
        <f>IFERROR(__xludf.DUMMYFUNCTION("""COMPUTED_VALUE"""),0.2949421296289074)</f>
        <v>0.2949421296</v>
      </c>
      <c r="F1285" s="7" t="str">
        <f>IFERROR(__xludf.DUMMYFUNCTION("""COMPUTED_VALUE"""),"Negative")</f>
        <v>Negative</v>
      </c>
      <c r="G1285" s="7">
        <f>IFERROR(__xludf.DUMMYFUNCTION("""COMPUTED_VALUE"""),2.0)</f>
        <v>2</v>
      </c>
    </row>
    <row r="1286">
      <c r="A1286" s="7" t="str">
        <f>IFERROR(__xludf.DUMMYFUNCTION("""COMPUTED_VALUE"""),"AR1510")</f>
        <v>AR1510</v>
      </c>
      <c r="B1286" s="7" t="str">
        <f>IFERROR(__xludf.DUMMYFUNCTION("""COMPUTED_VALUE"""),"RUN-ABRM_2023-05-15_APS-020")</f>
        <v>RUN-ABRM_2023-05-15_APS-020</v>
      </c>
      <c r="C1286" s="8">
        <f>VLOOKUP(B1286,'Run Reconcile'!A$2:B3212,2,FALSE)</f>
        <v>45061</v>
      </c>
      <c r="D1286" s="12">
        <f>IFERROR(__xludf.DUMMYFUNCTION("""COMPUTED_VALUE"""),45061.0)</f>
        <v>45061</v>
      </c>
      <c r="E1286" s="13">
        <f>IFERROR(__xludf.DUMMYFUNCTION("""COMPUTED_VALUE"""),0.32188657407459687)</f>
        <v>0.3218865741</v>
      </c>
      <c r="F1286" s="7" t="str">
        <f>IFERROR(__xludf.DUMMYFUNCTION("""COMPUTED_VALUE"""),"Negative")</f>
        <v>Negative</v>
      </c>
      <c r="G1286" s="7">
        <f>IFERROR(__xludf.DUMMYFUNCTION("""COMPUTED_VALUE"""),1.0)</f>
        <v>1</v>
      </c>
    </row>
    <row r="1287">
      <c r="A1287" s="7" t="str">
        <f>IFERROR(__xludf.DUMMYFUNCTION("""COMPUTED_VALUE"""),"AK9587")</f>
        <v>AK9587</v>
      </c>
      <c r="B1287" s="7" t="str">
        <f>IFERROR(__xludf.DUMMYFUNCTION("""COMPUTED_VALUE"""),"RUN-ABRM_2023-05-16_APS-021")</f>
        <v>RUN-ABRM_2023-05-16_APS-021</v>
      </c>
      <c r="C1287" s="8">
        <f>VLOOKUP(B1287,'Run Reconcile'!A$2:B3212,2,FALSE)</f>
        <v>45062</v>
      </c>
      <c r="D1287" s="12">
        <f>IFERROR(__xludf.DUMMYFUNCTION("""COMPUTED_VALUE"""),45062.0)</f>
        <v>45062</v>
      </c>
      <c r="E1287" s="13">
        <f>IFERROR(__xludf.DUMMYFUNCTION("""COMPUTED_VALUE"""),0.2849189814805868)</f>
        <v>0.2849189815</v>
      </c>
      <c r="F1287" s="7" t="str">
        <f>IFERROR(__xludf.DUMMYFUNCTION("""COMPUTED_VALUE"""),"Negative")</f>
        <v>Negative</v>
      </c>
      <c r="G1287" s="7">
        <f>IFERROR(__xludf.DUMMYFUNCTION("""COMPUTED_VALUE"""),2.0)</f>
        <v>2</v>
      </c>
    </row>
    <row r="1288">
      <c r="A1288" s="7" t="str">
        <f>IFERROR(__xludf.DUMMYFUNCTION("""COMPUTED_VALUE"""),"AR1603")</f>
        <v>AR1603</v>
      </c>
      <c r="B1288" s="7" t="str">
        <f>IFERROR(__xludf.DUMMYFUNCTION("""COMPUTED_VALUE"""),"RUN-ABRM_2023-05-16_APS-021")</f>
        <v>RUN-ABRM_2023-05-16_APS-021</v>
      </c>
      <c r="C1288" s="8">
        <f>VLOOKUP(B1288,'Run Reconcile'!A$2:B3212,2,FALSE)</f>
        <v>45062</v>
      </c>
      <c r="D1288" s="12">
        <f>IFERROR(__xludf.DUMMYFUNCTION("""COMPUTED_VALUE"""),45062.0)</f>
        <v>45062</v>
      </c>
      <c r="E1288" s="13">
        <f>IFERROR(__xludf.DUMMYFUNCTION("""COMPUTED_VALUE"""),0.3055555555547471)</f>
        <v>0.3055555556</v>
      </c>
      <c r="F1288" s="7" t="str">
        <f>IFERROR(__xludf.DUMMYFUNCTION("""COMPUTED_VALUE"""),"Negative")</f>
        <v>Negative</v>
      </c>
      <c r="G1288" s="7">
        <f>IFERROR(__xludf.DUMMYFUNCTION("""COMPUTED_VALUE"""),3.0)</f>
        <v>3</v>
      </c>
    </row>
    <row r="1289">
      <c r="A1289" s="7" t="str">
        <f>IFERROR(__xludf.DUMMYFUNCTION("""COMPUTED_VALUE"""),"AK9944")</f>
        <v>AK9944</v>
      </c>
      <c r="B1289" s="7" t="str">
        <f>IFERROR(__xludf.DUMMYFUNCTION("""COMPUTED_VALUE"""),"RUN-ABRM_2023-05-16_APS-021")</f>
        <v>RUN-ABRM_2023-05-16_APS-021</v>
      </c>
      <c r="C1289" s="8">
        <f>VLOOKUP(B1289,'Run Reconcile'!A$2:B3212,2,FALSE)</f>
        <v>45062</v>
      </c>
      <c r="D1289" s="12">
        <f>IFERROR(__xludf.DUMMYFUNCTION("""COMPUTED_VALUE"""),45062.0)</f>
        <v>45062</v>
      </c>
      <c r="E1289" s="13">
        <f>IFERROR(__xludf.DUMMYFUNCTION("""COMPUTED_VALUE"""),0.30579861111255013)</f>
        <v>0.3057986111</v>
      </c>
      <c r="F1289" s="7" t="str">
        <f>IFERROR(__xludf.DUMMYFUNCTION("""COMPUTED_VALUE"""),"Negative")</f>
        <v>Negative</v>
      </c>
      <c r="G1289" s="7">
        <f>IFERROR(__xludf.DUMMYFUNCTION("""COMPUTED_VALUE"""),1.0)</f>
        <v>1</v>
      </c>
    </row>
    <row r="1290">
      <c r="A1290" s="7" t="str">
        <f>IFERROR(__xludf.DUMMYFUNCTION("""COMPUTED_VALUE"""),"AR1950")</f>
        <v>AR1950</v>
      </c>
      <c r="B1290" s="7" t="str">
        <f>IFERROR(__xludf.DUMMYFUNCTION("""COMPUTED_VALUE"""),"RUN-ABRM_2023-05-17_RFR-225")</f>
        <v>RUN-ABRM_2023-05-17_RFR-225</v>
      </c>
      <c r="C1290" s="8">
        <f>VLOOKUP(B1290,'Run Reconcile'!A$2:B3212,2,FALSE)</f>
        <v>45063</v>
      </c>
      <c r="D1290" s="12">
        <f>IFERROR(__xludf.DUMMYFUNCTION("""COMPUTED_VALUE"""),45063.0)</f>
        <v>45063</v>
      </c>
      <c r="E1290" s="13">
        <f>IFERROR(__xludf.DUMMYFUNCTION("""COMPUTED_VALUE"""),0.23550925925883348)</f>
        <v>0.2355092593</v>
      </c>
      <c r="F1290" s="7" t="str">
        <f>IFERROR(__xludf.DUMMYFUNCTION("""COMPUTED_VALUE"""),"Negative")</f>
        <v>Negative</v>
      </c>
      <c r="G1290" s="7">
        <f>IFERROR(__xludf.DUMMYFUNCTION("""COMPUTED_VALUE"""),3.0)</f>
        <v>3</v>
      </c>
    </row>
    <row r="1291">
      <c r="A1291" s="7" t="str">
        <f>IFERROR(__xludf.DUMMYFUNCTION("""COMPUTED_VALUE"""),"AR1773")</f>
        <v>AR1773</v>
      </c>
      <c r="B1291" s="7" t="str">
        <f>IFERROR(__xludf.DUMMYFUNCTION("""COMPUTED_VALUE"""),"RUN-ABRM_2023-05-17_RFR-225")</f>
        <v>RUN-ABRM_2023-05-17_RFR-225</v>
      </c>
      <c r="C1291" s="8">
        <f>VLOOKUP(B1291,'Run Reconcile'!A$2:B3212,2,FALSE)</f>
        <v>45063</v>
      </c>
      <c r="D1291" s="12">
        <f>IFERROR(__xludf.DUMMYFUNCTION("""COMPUTED_VALUE"""),45063.0)</f>
        <v>45063</v>
      </c>
      <c r="E1291" s="13">
        <f>IFERROR(__xludf.DUMMYFUNCTION("""COMPUTED_VALUE"""),0.2781134259275859)</f>
        <v>0.2781134259</v>
      </c>
      <c r="F1291" s="7" t="str">
        <f>IFERROR(__xludf.DUMMYFUNCTION("""COMPUTED_VALUE"""),"Negative")</f>
        <v>Negative</v>
      </c>
      <c r="G1291" s="7">
        <f>IFERROR(__xludf.DUMMYFUNCTION("""COMPUTED_VALUE"""),3.0)</f>
        <v>3</v>
      </c>
    </row>
    <row r="1292">
      <c r="A1292" s="7" t="str">
        <f>IFERROR(__xludf.DUMMYFUNCTION("""COMPUTED_VALUE"""),"AR1094")</f>
        <v>AR1094</v>
      </c>
      <c r="B1292" s="7" t="str">
        <f>IFERROR(__xludf.DUMMYFUNCTION("""COMPUTED_VALUE"""),"RUN-ABRM_2023-05-17_RFR-225")</f>
        <v>RUN-ABRM_2023-05-17_RFR-225</v>
      </c>
      <c r="C1292" s="8">
        <f>VLOOKUP(B1292,'Run Reconcile'!A$2:B3212,2,FALSE)</f>
        <v>45063</v>
      </c>
      <c r="D1292" s="12">
        <f>IFERROR(__xludf.DUMMYFUNCTION("""COMPUTED_VALUE"""),45063.0)</f>
        <v>45063</v>
      </c>
      <c r="E1292" s="13">
        <f>IFERROR(__xludf.DUMMYFUNCTION("""COMPUTED_VALUE"""),0.28487268518438214)</f>
        <v>0.2848726852</v>
      </c>
      <c r="F1292" s="7" t="str">
        <f>IFERROR(__xludf.DUMMYFUNCTION("""COMPUTED_VALUE"""),"Negative")</f>
        <v>Negative</v>
      </c>
      <c r="G1292" s="7">
        <f>IFERROR(__xludf.DUMMYFUNCTION("""COMPUTED_VALUE"""),3.0)</f>
        <v>3</v>
      </c>
    </row>
    <row r="1293">
      <c r="A1293" s="7" t="str">
        <f>IFERROR(__xludf.DUMMYFUNCTION("""COMPUTED_VALUE"""),"AK9632")</f>
        <v>AK9632</v>
      </c>
      <c r="B1293" s="7" t="str">
        <f>IFERROR(__xludf.DUMMYFUNCTION("""COMPUTED_VALUE"""),"RUN-ABRM_2023-05-17_RFR-225")</f>
        <v>RUN-ABRM_2023-05-17_RFR-225</v>
      </c>
      <c r="C1293" s="8">
        <f>VLOOKUP(B1293,'Run Reconcile'!A$2:B3212,2,FALSE)</f>
        <v>45063</v>
      </c>
      <c r="D1293" s="12">
        <f>IFERROR(__xludf.DUMMYFUNCTION("""COMPUTED_VALUE"""),45063.0)</f>
        <v>45063</v>
      </c>
      <c r="E1293" s="13">
        <f>IFERROR(__xludf.DUMMYFUNCTION("""COMPUTED_VALUE"""),0.3112268518525525)</f>
        <v>0.3112268519</v>
      </c>
      <c r="F1293" s="7" t="str">
        <f>IFERROR(__xludf.DUMMYFUNCTION("""COMPUTED_VALUE"""),"Negative")</f>
        <v>Negative</v>
      </c>
      <c r="G1293" s="7">
        <f>IFERROR(__xludf.DUMMYFUNCTION("""COMPUTED_VALUE"""),1.0)</f>
        <v>1</v>
      </c>
    </row>
    <row r="1294">
      <c r="A1294" s="7" t="str">
        <f>IFERROR(__xludf.DUMMYFUNCTION("""COMPUTED_VALUE"""),"AR1970")</f>
        <v>AR1970</v>
      </c>
      <c r="B1294" s="7" t="str">
        <f>IFERROR(__xludf.DUMMYFUNCTION("""COMPUTED_VALUE"""),"RUN-ABRM_2023-05-17_RFR-225")</f>
        <v>RUN-ABRM_2023-05-17_RFR-225</v>
      </c>
      <c r="C1294" s="8">
        <f>VLOOKUP(B1294,'Run Reconcile'!A$2:B3212,2,FALSE)</f>
        <v>45063</v>
      </c>
      <c r="D1294" s="12">
        <f>IFERROR(__xludf.DUMMYFUNCTION("""COMPUTED_VALUE"""),45063.0)</f>
        <v>45063</v>
      </c>
      <c r="E1294" s="13">
        <f>IFERROR(__xludf.DUMMYFUNCTION("""COMPUTED_VALUE"""),0.32818287036934635)</f>
        <v>0.3281828704</v>
      </c>
      <c r="F1294" s="7" t="str">
        <f>IFERROR(__xludf.DUMMYFUNCTION("""COMPUTED_VALUE"""),"Negative")</f>
        <v>Negative</v>
      </c>
      <c r="G1294" s="7">
        <f>IFERROR(__xludf.DUMMYFUNCTION("""COMPUTED_VALUE"""),1.0)</f>
        <v>1</v>
      </c>
    </row>
    <row r="1295">
      <c r="A1295" s="7" t="str">
        <f>IFERROR(__xludf.DUMMYFUNCTION("""COMPUTED_VALUE"""),"AR1258")</f>
        <v>AR1258</v>
      </c>
      <c r="B1295" s="7" t="str">
        <f>IFERROR(__xludf.DUMMYFUNCTION("""COMPUTED_VALUE"""),"RUN-ABRM_2023-05-18_RFR-226")</f>
        <v>RUN-ABRM_2023-05-18_RFR-226</v>
      </c>
      <c r="C1295" s="8">
        <f>VLOOKUP(B1295,'Run Reconcile'!A$2:B3212,2,FALSE)</f>
        <v>45064</v>
      </c>
      <c r="D1295" s="12">
        <f>IFERROR(__xludf.DUMMYFUNCTION("""COMPUTED_VALUE"""),45064.0)</f>
        <v>45064</v>
      </c>
      <c r="E1295" s="13">
        <f>IFERROR(__xludf.DUMMYFUNCTION("""COMPUTED_VALUE"""),0.2869907407402934)</f>
        <v>0.2869907407</v>
      </c>
      <c r="F1295" s="7" t="str">
        <f>IFERROR(__xludf.DUMMYFUNCTION("""COMPUTED_VALUE"""),"Negative")</f>
        <v>Negative</v>
      </c>
      <c r="G1295" s="7">
        <f>IFERROR(__xludf.DUMMYFUNCTION("""COMPUTED_VALUE"""),3.0)</f>
        <v>3</v>
      </c>
    </row>
    <row r="1296">
      <c r="A1296" s="7" t="str">
        <f>IFERROR(__xludf.DUMMYFUNCTION("""COMPUTED_VALUE"""),"AB9979")</f>
        <v>AB9979</v>
      </c>
      <c r="B1296" s="7" t="str">
        <f>IFERROR(__xludf.DUMMYFUNCTION("""COMPUTED_VALUE"""),"RUN-ABRM_2023-05-18_RFR-226")</f>
        <v>RUN-ABRM_2023-05-18_RFR-226</v>
      </c>
      <c r="C1296" s="8">
        <f>VLOOKUP(B1296,'Run Reconcile'!A$2:B3212,2,FALSE)</f>
        <v>45064</v>
      </c>
      <c r="D1296" s="12">
        <f>IFERROR(__xludf.DUMMYFUNCTION("""COMPUTED_VALUE"""),45064.0)</f>
        <v>45064</v>
      </c>
      <c r="E1296" s="13">
        <f>IFERROR(__xludf.DUMMYFUNCTION("""COMPUTED_VALUE"""),0.2981828703705105)</f>
        <v>0.2981828704</v>
      </c>
      <c r="F1296" s="7" t="str">
        <f>IFERROR(__xludf.DUMMYFUNCTION("""COMPUTED_VALUE"""),"Negative")</f>
        <v>Negative</v>
      </c>
      <c r="G1296" s="7">
        <f>IFERROR(__xludf.DUMMYFUNCTION("""COMPUTED_VALUE"""),3.0)</f>
        <v>3</v>
      </c>
    </row>
    <row r="1297">
      <c r="A1297" s="7" t="str">
        <f>IFERROR(__xludf.DUMMYFUNCTION("""COMPUTED_VALUE"""),"AR1130")</f>
        <v>AR1130</v>
      </c>
      <c r="B1297" s="7" t="str">
        <f>IFERROR(__xludf.DUMMYFUNCTION("""COMPUTED_VALUE"""),"RUN-ABRM_2023-05-18_RFR-226")</f>
        <v>RUN-ABRM_2023-05-18_RFR-226</v>
      </c>
      <c r="C1297" s="8">
        <f>VLOOKUP(B1297,'Run Reconcile'!A$2:B3212,2,FALSE)</f>
        <v>45064</v>
      </c>
      <c r="D1297" s="12">
        <f>IFERROR(__xludf.DUMMYFUNCTION("""COMPUTED_VALUE"""),45064.0)</f>
        <v>45064</v>
      </c>
      <c r="E1297" s="13">
        <f>IFERROR(__xludf.DUMMYFUNCTION("""COMPUTED_VALUE"""),0.304861111111677)</f>
        <v>0.3048611111</v>
      </c>
      <c r="F1297" s="7" t="str">
        <f>IFERROR(__xludf.DUMMYFUNCTION("""COMPUTED_VALUE"""),"Negative")</f>
        <v>Negative</v>
      </c>
      <c r="G1297" s="7">
        <f>IFERROR(__xludf.DUMMYFUNCTION("""COMPUTED_VALUE"""),1.0)</f>
        <v>1</v>
      </c>
    </row>
    <row r="1298">
      <c r="A1298" s="7" t="str">
        <f>IFERROR(__xludf.DUMMYFUNCTION("""COMPUTED_VALUE"""),"AR1914")</f>
        <v>AR1914</v>
      </c>
      <c r="B1298" s="7" t="str">
        <f>IFERROR(__xludf.DUMMYFUNCTION("""COMPUTED_VALUE"""),"RUN-ABRM_2023-05-18_RFR-226")</f>
        <v>RUN-ABRM_2023-05-18_RFR-226</v>
      </c>
      <c r="C1298" s="8">
        <f>VLOOKUP(B1298,'Run Reconcile'!A$2:B3212,2,FALSE)</f>
        <v>45064</v>
      </c>
      <c r="D1298" s="12">
        <f>IFERROR(__xludf.DUMMYFUNCTION("""COMPUTED_VALUE"""),45064.0)</f>
        <v>45064</v>
      </c>
      <c r="E1298" s="13">
        <f>IFERROR(__xludf.DUMMYFUNCTION("""COMPUTED_VALUE"""),0.30521990740817273)</f>
        <v>0.3052199074</v>
      </c>
      <c r="F1298" s="7" t="str">
        <f>IFERROR(__xludf.DUMMYFUNCTION("""COMPUTED_VALUE"""),"Negative")</f>
        <v>Negative</v>
      </c>
      <c r="G1298" s="7">
        <f>IFERROR(__xludf.DUMMYFUNCTION("""COMPUTED_VALUE"""),1.0)</f>
        <v>1</v>
      </c>
    </row>
    <row r="1299">
      <c r="A1299" s="7" t="str">
        <f>IFERROR(__xludf.DUMMYFUNCTION("""COMPUTED_VALUE"""),"AK9595a")</f>
        <v>AK9595a</v>
      </c>
      <c r="B1299" s="7" t="str">
        <f>IFERROR(__xludf.DUMMYFUNCTION("""COMPUTED_VALUE"""),"RUN-ABRM_2023-05-18_RFR-226")</f>
        <v>RUN-ABRM_2023-05-18_RFR-226</v>
      </c>
      <c r="C1299" s="8">
        <f>VLOOKUP(B1299,'Run Reconcile'!A$2:B3212,2,FALSE)</f>
        <v>45064</v>
      </c>
      <c r="D1299" s="12">
        <f>IFERROR(__xludf.DUMMYFUNCTION("""COMPUTED_VALUE"""),45064.0)</f>
        <v>45064</v>
      </c>
      <c r="E1299" s="13">
        <f>IFERROR(__xludf.DUMMYFUNCTION("""COMPUTED_VALUE"""),0.3053125000005821)</f>
        <v>0.3053125</v>
      </c>
      <c r="F1299" s="7" t="str">
        <f>IFERROR(__xludf.DUMMYFUNCTION("""COMPUTED_VALUE"""),"Negative")</f>
        <v>Negative</v>
      </c>
      <c r="G1299" s="7">
        <f>IFERROR(__xludf.DUMMYFUNCTION("""COMPUTED_VALUE"""),1.0)</f>
        <v>1</v>
      </c>
    </row>
    <row r="1300">
      <c r="A1300" s="7" t="str">
        <f>IFERROR(__xludf.DUMMYFUNCTION("""COMPUTED_VALUE"""),"AR1574")</f>
        <v>AR1574</v>
      </c>
      <c r="B1300" s="7" t="str">
        <f>IFERROR(__xludf.DUMMYFUNCTION("""COMPUTED_VALUE"""),"RUN-ABRM_2023-05-18_RFR-226")</f>
        <v>RUN-ABRM_2023-05-18_RFR-226</v>
      </c>
      <c r="C1300" s="8">
        <f>VLOOKUP(B1300,'Run Reconcile'!A$2:B3212,2,FALSE)</f>
        <v>45064</v>
      </c>
      <c r="D1300" s="12">
        <f>IFERROR(__xludf.DUMMYFUNCTION("""COMPUTED_VALUE"""),45064.0)</f>
        <v>45064</v>
      </c>
      <c r="E1300" s="13">
        <f>IFERROR(__xludf.DUMMYFUNCTION("""COMPUTED_VALUE"""),0.3068749999983993)</f>
        <v>0.306875</v>
      </c>
      <c r="F1300" s="7" t="str">
        <f>IFERROR(__xludf.DUMMYFUNCTION("""COMPUTED_VALUE"""),"Negative")</f>
        <v>Negative</v>
      </c>
      <c r="G1300" s="7">
        <f>IFERROR(__xludf.DUMMYFUNCTION("""COMPUTED_VALUE"""),1.0)</f>
        <v>1</v>
      </c>
    </row>
    <row r="1301">
      <c r="A1301" s="7" t="str">
        <f>IFERROR(__xludf.DUMMYFUNCTION("""COMPUTED_VALUE"""),"AE9949")</f>
        <v>AE9949</v>
      </c>
      <c r="B1301" s="7" t="str">
        <f>IFERROR(__xludf.DUMMYFUNCTION("""COMPUTED_VALUE"""),"RUN-ABRM_2023-05-18_RFR-226")</f>
        <v>RUN-ABRM_2023-05-18_RFR-226</v>
      </c>
      <c r="C1301" s="8">
        <f>VLOOKUP(B1301,'Run Reconcile'!A$2:B3212,2,FALSE)</f>
        <v>45064</v>
      </c>
      <c r="D1301" s="12">
        <f>IFERROR(__xludf.DUMMYFUNCTION("""COMPUTED_VALUE"""),45064.0)</f>
        <v>45064</v>
      </c>
      <c r="E1301" s="13">
        <f>IFERROR(__xludf.DUMMYFUNCTION("""COMPUTED_VALUE"""),0.30719907407547)</f>
        <v>0.3071990741</v>
      </c>
      <c r="F1301" s="7" t="str">
        <f>IFERROR(__xludf.DUMMYFUNCTION("""COMPUTED_VALUE"""),"Negative")</f>
        <v>Negative</v>
      </c>
      <c r="G1301" s="7">
        <f>IFERROR(__xludf.DUMMYFUNCTION("""COMPUTED_VALUE"""),1.0)</f>
        <v>1</v>
      </c>
    </row>
    <row r="1302">
      <c r="A1302" s="7" t="str">
        <f>IFERROR(__xludf.DUMMYFUNCTION("""COMPUTED_VALUE"""),"AR1360")</f>
        <v>AR1360</v>
      </c>
      <c r="B1302" s="7" t="str">
        <f>IFERROR(__xludf.DUMMYFUNCTION("""COMPUTED_VALUE"""),"RUN-ABRM_2023-05-18_RFR-226")</f>
        <v>RUN-ABRM_2023-05-18_RFR-226</v>
      </c>
      <c r="C1302" s="8">
        <f>VLOOKUP(B1302,'Run Reconcile'!A$2:B3212,2,FALSE)</f>
        <v>45064</v>
      </c>
      <c r="D1302" s="12">
        <f>IFERROR(__xludf.DUMMYFUNCTION("""COMPUTED_VALUE"""),45064.0)</f>
        <v>45064</v>
      </c>
      <c r="E1302" s="13">
        <f>IFERROR(__xludf.DUMMYFUNCTION("""COMPUTED_VALUE"""),0.3243750000001455)</f>
        <v>0.324375</v>
      </c>
      <c r="F1302" s="7" t="str">
        <f>IFERROR(__xludf.DUMMYFUNCTION("""COMPUTED_VALUE"""),"Negative")</f>
        <v>Negative</v>
      </c>
      <c r="G1302" s="7">
        <f>IFERROR(__xludf.DUMMYFUNCTION("""COMPUTED_VALUE"""),1.0)</f>
        <v>1</v>
      </c>
    </row>
    <row r="1303">
      <c r="A1303" s="7" t="str">
        <f>IFERROR(__xludf.DUMMYFUNCTION("""COMPUTED_VALUE"""),"AK9769")</f>
        <v>AK9769</v>
      </c>
      <c r="B1303" s="7" t="str">
        <f>IFERROR(__xludf.DUMMYFUNCTION("""COMPUTED_VALUE"""),"RUN-ABRM_2023-05-18_RFR-226")</f>
        <v>RUN-ABRM_2023-05-18_RFR-226</v>
      </c>
      <c r="C1303" s="8">
        <f>VLOOKUP(B1303,'Run Reconcile'!A$2:B3212,2,FALSE)</f>
        <v>45064</v>
      </c>
      <c r="D1303" s="12">
        <f>IFERROR(__xludf.DUMMYFUNCTION("""COMPUTED_VALUE"""),45064.0)</f>
        <v>45064</v>
      </c>
      <c r="E1303" s="13">
        <f>IFERROR(__xludf.DUMMYFUNCTION("""COMPUTED_VALUE"""),0.32541666666656965)</f>
        <v>0.3254166667</v>
      </c>
      <c r="F1303" s="7" t="str">
        <f>IFERROR(__xludf.DUMMYFUNCTION("""COMPUTED_VALUE"""),"Negative")</f>
        <v>Negative</v>
      </c>
      <c r="G1303" s="7">
        <f>IFERROR(__xludf.DUMMYFUNCTION("""COMPUTED_VALUE"""),1.0)</f>
        <v>1</v>
      </c>
    </row>
    <row r="1304">
      <c r="A1304" s="7" t="str">
        <f>IFERROR(__xludf.DUMMYFUNCTION("""COMPUTED_VALUE"""),"AR864")</f>
        <v>AR864</v>
      </c>
      <c r="B1304" s="7" t="str">
        <f>IFERROR(__xludf.DUMMYFUNCTION("""COMPUTED_VALUE"""),"RUN-ABRM_2023-05-19_RFR-227")</f>
        <v>RUN-ABRM_2023-05-19_RFR-227</v>
      </c>
      <c r="C1304" s="8">
        <f>VLOOKUP(B1304,'Run Reconcile'!A$2:B3212,2,FALSE)</f>
        <v>45065</v>
      </c>
      <c r="D1304" s="12">
        <f>IFERROR(__xludf.DUMMYFUNCTION("""COMPUTED_VALUE"""),45065.0)</f>
        <v>45065</v>
      </c>
      <c r="E1304" s="13">
        <f>IFERROR(__xludf.DUMMYFUNCTION("""COMPUTED_VALUE"""),0.20773148148145992)</f>
        <v>0.2077314815</v>
      </c>
      <c r="F1304" s="7" t="str">
        <f>IFERROR(__xludf.DUMMYFUNCTION("""COMPUTED_VALUE"""),"Negative")</f>
        <v>Negative</v>
      </c>
      <c r="G1304" s="7">
        <f>IFERROR(__xludf.DUMMYFUNCTION("""COMPUTED_VALUE"""),2.0)</f>
        <v>2</v>
      </c>
    </row>
    <row r="1305">
      <c r="A1305" s="7" t="str">
        <f>IFERROR(__xludf.DUMMYFUNCTION("""COMPUTED_VALUE"""),"AR1682")</f>
        <v>AR1682</v>
      </c>
      <c r="B1305" s="7" t="str">
        <f>IFERROR(__xludf.DUMMYFUNCTION("""COMPUTED_VALUE"""),"RUN-ABRM_2023-05-19_RFR-227")</f>
        <v>RUN-ABRM_2023-05-19_RFR-227</v>
      </c>
      <c r="C1305" s="8">
        <f>VLOOKUP(B1305,'Run Reconcile'!A$2:B3212,2,FALSE)</f>
        <v>45065</v>
      </c>
      <c r="D1305" s="12">
        <f>IFERROR(__xludf.DUMMYFUNCTION("""COMPUTED_VALUE"""),45065.0)</f>
        <v>45065</v>
      </c>
      <c r="E1305" s="13">
        <f>IFERROR(__xludf.DUMMYFUNCTION("""COMPUTED_VALUE"""),0.24043981481372612)</f>
        <v>0.2404398148</v>
      </c>
      <c r="F1305" s="7" t="str">
        <f>IFERROR(__xludf.DUMMYFUNCTION("""COMPUTED_VALUE"""),"Negative")</f>
        <v>Negative</v>
      </c>
      <c r="G1305" s="7">
        <f>IFERROR(__xludf.DUMMYFUNCTION("""COMPUTED_VALUE"""),3.0)</f>
        <v>3</v>
      </c>
    </row>
    <row r="1306">
      <c r="A1306" s="7" t="str">
        <f>IFERROR(__xludf.DUMMYFUNCTION("""COMPUTED_VALUE"""),"AE9985")</f>
        <v>AE9985</v>
      </c>
      <c r="B1306" s="7" t="str">
        <f>IFERROR(__xludf.DUMMYFUNCTION("""COMPUTED_VALUE"""),"RUN-ABRM_2023-05-19_RFR-227")</f>
        <v>RUN-ABRM_2023-05-19_RFR-227</v>
      </c>
      <c r="C1306" s="8">
        <f>VLOOKUP(B1306,'Run Reconcile'!A$2:B3212,2,FALSE)</f>
        <v>45065</v>
      </c>
      <c r="D1306" s="12">
        <f>IFERROR(__xludf.DUMMYFUNCTION("""COMPUTED_VALUE"""),45065.0)</f>
        <v>45065</v>
      </c>
      <c r="E1306" s="13">
        <f>IFERROR(__xludf.DUMMYFUNCTION("""COMPUTED_VALUE"""),0.2587962962970778)</f>
        <v>0.2587962963</v>
      </c>
      <c r="F1306" s="7" t="str">
        <f>IFERROR(__xludf.DUMMYFUNCTION("""COMPUTED_VALUE"""),"Negative")</f>
        <v>Negative</v>
      </c>
      <c r="G1306" s="7">
        <f>IFERROR(__xludf.DUMMYFUNCTION("""COMPUTED_VALUE"""),3.0)</f>
        <v>3</v>
      </c>
    </row>
    <row r="1307">
      <c r="A1307" s="7" t="str">
        <f>IFERROR(__xludf.DUMMYFUNCTION("""COMPUTED_VALUE"""),"AR1449")</f>
        <v>AR1449</v>
      </c>
      <c r="B1307" s="7" t="str">
        <f>IFERROR(__xludf.DUMMYFUNCTION("""COMPUTED_VALUE"""),"RUN-ABRM_2023-05-19_RFR-227")</f>
        <v>RUN-ABRM_2023-05-19_RFR-227</v>
      </c>
      <c r="C1307" s="8">
        <f>VLOOKUP(B1307,'Run Reconcile'!A$2:B3212,2,FALSE)</f>
        <v>45065</v>
      </c>
      <c r="D1307" s="12">
        <f>IFERROR(__xludf.DUMMYFUNCTION("""COMPUTED_VALUE"""),45065.0)</f>
        <v>45065</v>
      </c>
      <c r="E1307" s="13">
        <f>IFERROR(__xludf.DUMMYFUNCTION("""COMPUTED_VALUE"""),0.32302083333343035)</f>
        <v>0.3230208333</v>
      </c>
      <c r="F1307" s="7" t="str">
        <f>IFERROR(__xludf.DUMMYFUNCTION("""COMPUTED_VALUE"""),"Negative")</f>
        <v>Negative</v>
      </c>
      <c r="G1307" s="7">
        <f>IFERROR(__xludf.DUMMYFUNCTION("""COMPUTED_VALUE"""),1.0)</f>
        <v>1</v>
      </c>
    </row>
    <row r="1308">
      <c r="A1308" s="7" t="str">
        <f>IFERROR(__xludf.DUMMYFUNCTION("""COMPUTED_VALUE"""),"AB9945")</f>
        <v>AB9945</v>
      </c>
      <c r="B1308" s="7" t="str">
        <f>IFERROR(__xludf.DUMMYFUNCTION("""COMPUTED_VALUE"""),"RUN-ABRM_2023-05-19_RFR-227")</f>
        <v>RUN-ABRM_2023-05-19_RFR-227</v>
      </c>
      <c r="C1308" s="8">
        <f>VLOOKUP(B1308,'Run Reconcile'!A$2:B3212,2,FALSE)</f>
        <v>45065</v>
      </c>
      <c r="D1308" s="12">
        <f>IFERROR(__xludf.DUMMYFUNCTION("""COMPUTED_VALUE"""),45065.0)</f>
        <v>45065</v>
      </c>
      <c r="E1308" s="13">
        <f>IFERROR(__xludf.DUMMYFUNCTION("""COMPUTED_VALUE"""),0.32766203703795327)</f>
        <v>0.327662037</v>
      </c>
      <c r="F1308" s="7" t="str">
        <f>IFERROR(__xludf.DUMMYFUNCTION("""COMPUTED_VALUE"""),"Negative")</f>
        <v>Negative</v>
      </c>
      <c r="G1308" s="7">
        <f>IFERROR(__xludf.DUMMYFUNCTION("""COMPUTED_VALUE"""),1.0)</f>
        <v>1</v>
      </c>
    </row>
    <row r="1309">
      <c r="A1309" s="7" t="str">
        <f>IFERROR(__xludf.DUMMYFUNCTION("""COMPUTED_VALUE"""),"AR1750")</f>
        <v>AR1750</v>
      </c>
      <c r="B1309" s="7" t="str">
        <f>IFERROR(__xludf.DUMMYFUNCTION("""COMPUTED_VALUE"""),"RUN-ABRM_2023-05-19_RFR-227")</f>
        <v>RUN-ABRM_2023-05-19_RFR-227</v>
      </c>
      <c r="C1309" s="8">
        <f>VLOOKUP(B1309,'Run Reconcile'!A$2:B3212,2,FALSE)</f>
        <v>45065</v>
      </c>
      <c r="D1309" s="12">
        <f>IFERROR(__xludf.DUMMYFUNCTION("""COMPUTED_VALUE"""),45065.0)</f>
        <v>45065</v>
      </c>
      <c r="E1309" s="13">
        <f>IFERROR(__xludf.DUMMYFUNCTION("""COMPUTED_VALUE"""),0.32799768518452765)</f>
        <v>0.3279976852</v>
      </c>
      <c r="F1309" s="7" t="str">
        <f>IFERROR(__xludf.DUMMYFUNCTION("""COMPUTED_VALUE"""),"Negative")</f>
        <v>Negative</v>
      </c>
      <c r="G1309" s="7">
        <f>IFERROR(__xludf.DUMMYFUNCTION("""COMPUTED_VALUE"""),1.0)</f>
        <v>1</v>
      </c>
    </row>
    <row r="1310">
      <c r="A1310" s="7" t="str">
        <f>IFERROR(__xludf.DUMMYFUNCTION("""COMPUTED_VALUE"""),"AR1952")</f>
        <v>AR1952</v>
      </c>
      <c r="B1310" s="7" t="str">
        <f>IFERROR(__xludf.DUMMYFUNCTION("""COMPUTED_VALUE"""),"RUN-ABRM_2023-05-22_RFR-228")</f>
        <v>RUN-ABRM_2023-05-22_RFR-228</v>
      </c>
      <c r="C1310" s="8">
        <f>VLOOKUP(B1310,'Run Reconcile'!A$2:B3212,2,FALSE)</f>
        <v>45068</v>
      </c>
      <c r="D1310" s="12">
        <f>IFERROR(__xludf.DUMMYFUNCTION("""COMPUTED_VALUE"""),45068.0)</f>
        <v>45068</v>
      </c>
      <c r="E1310" s="13">
        <f>IFERROR(__xludf.DUMMYFUNCTION("""COMPUTED_VALUE"""),0.28936342592714936)</f>
        <v>0.2893634259</v>
      </c>
      <c r="F1310" s="7" t="str">
        <f>IFERROR(__xludf.DUMMYFUNCTION("""COMPUTED_VALUE"""),"Negative")</f>
        <v>Negative</v>
      </c>
      <c r="G1310" s="7">
        <f>IFERROR(__xludf.DUMMYFUNCTION("""COMPUTED_VALUE"""),3.0)</f>
        <v>3</v>
      </c>
    </row>
    <row r="1311">
      <c r="A1311" s="7" t="str">
        <f>IFERROR(__xludf.DUMMYFUNCTION("""COMPUTED_VALUE"""),"AB9294")</f>
        <v>AB9294</v>
      </c>
      <c r="B1311" s="7" t="str">
        <f>IFERROR(__xludf.DUMMYFUNCTION("""COMPUTED_VALUE"""),"RUN-ABRM_2023-05-22_RFR-228")</f>
        <v>RUN-ABRM_2023-05-22_RFR-228</v>
      </c>
      <c r="C1311" s="8">
        <f>VLOOKUP(B1311,'Run Reconcile'!A$2:B3212,2,FALSE)</f>
        <v>45068</v>
      </c>
      <c r="D1311" s="12">
        <f>IFERROR(__xludf.DUMMYFUNCTION("""COMPUTED_VALUE"""),45068.0)</f>
        <v>45068</v>
      </c>
      <c r="E1311" s="13">
        <f>IFERROR(__xludf.DUMMYFUNCTION("""COMPUTED_VALUE"""),0.28988425925854244)</f>
        <v>0.2898842593</v>
      </c>
      <c r="F1311" s="7" t="str">
        <f>IFERROR(__xludf.DUMMYFUNCTION("""COMPUTED_VALUE"""),"Negative")</f>
        <v>Negative</v>
      </c>
      <c r="G1311" s="7">
        <f>IFERROR(__xludf.DUMMYFUNCTION("""COMPUTED_VALUE"""),3.0)</f>
        <v>3</v>
      </c>
    </row>
    <row r="1312">
      <c r="A1312" s="7" t="str">
        <f>IFERROR(__xludf.DUMMYFUNCTION("""COMPUTED_VALUE"""),"AR1018")</f>
        <v>AR1018</v>
      </c>
      <c r="B1312" s="7" t="str">
        <f>IFERROR(__xludf.DUMMYFUNCTION("""COMPUTED_VALUE"""),"RUN-ABRM_2023-05-22_RFR-228")</f>
        <v>RUN-ABRM_2023-05-22_RFR-228</v>
      </c>
      <c r="C1312" s="8">
        <f>VLOOKUP(B1312,'Run Reconcile'!A$2:B3212,2,FALSE)</f>
        <v>45068</v>
      </c>
      <c r="D1312" s="12">
        <f>IFERROR(__xludf.DUMMYFUNCTION("""COMPUTED_VALUE"""),45068.0)</f>
        <v>45068</v>
      </c>
      <c r="E1312" s="13">
        <f>IFERROR(__xludf.DUMMYFUNCTION("""COMPUTED_VALUE"""),0.30197916666656965)</f>
        <v>0.3019791667</v>
      </c>
      <c r="F1312" s="7" t="str">
        <f>IFERROR(__xludf.DUMMYFUNCTION("""COMPUTED_VALUE"""),"Negative")</f>
        <v>Negative</v>
      </c>
      <c r="G1312" s="7">
        <f>IFERROR(__xludf.DUMMYFUNCTION("""COMPUTED_VALUE"""),2.0)</f>
        <v>2</v>
      </c>
    </row>
    <row r="1313">
      <c r="A1313" s="7" t="str">
        <f>IFERROR(__xludf.DUMMYFUNCTION("""COMPUTED_VALUE"""),"AK9968")</f>
        <v>AK9968</v>
      </c>
      <c r="B1313" s="7" t="str">
        <f>IFERROR(__xludf.DUMMYFUNCTION("""COMPUTED_VALUE"""),"RUN-ABRM_2023-05-22_RFR-228")</f>
        <v>RUN-ABRM_2023-05-22_RFR-228</v>
      </c>
      <c r="C1313" s="8">
        <f>VLOOKUP(B1313,'Run Reconcile'!A$2:B3212,2,FALSE)</f>
        <v>45068</v>
      </c>
      <c r="D1313" s="12">
        <f>IFERROR(__xludf.DUMMYFUNCTION("""COMPUTED_VALUE"""),45068.0)</f>
        <v>45068</v>
      </c>
      <c r="E1313" s="13">
        <f>IFERROR(__xludf.DUMMYFUNCTION("""COMPUTED_VALUE"""),0.3363773148157634)</f>
        <v>0.3363773148</v>
      </c>
      <c r="F1313" s="7" t="str">
        <f>IFERROR(__xludf.DUMMYFUNCTION("""COMPUTED_VALUE"""),"Negative")</f>
        <v>Negative</v>
      </c>
      <c r="G1313" s="7">
        <f>IFERROR(__xludf.DUMMYFUNCTION("""COMPUTED_VALUE"""),3.0)</f>
        <v>3</v>
      </c>
    </row>
    <row r="1314">
      <c r="A1314" s="7" t="str">
        <f>IFERROR(__xludf.DUMMYFUNCTION("""COMPUTED_VALUE"""),"AR1690")</f>
        <v>AR1690</v>
      </c>
      <c r="B1314" s="7" t="str">
        <f>IFERROR(__xludf.DUMMYFUNCTION("""COMPUTED_VALUE"""),"RUN-ABRM_2023-05-23_RFR-231")</f>
        <v>RUN-ABRM_2023-05-23_RFR-231</v>
      </c>
      <c r="C1314" s="8">
        <f>VLOOKUP(B1314,'Run Reconcile'!A$2:B3212,2,FALSE)</f>
        <v>45069</v>
      </c>
      <c r="D1314" s="12">
        <f>IFERROR(__xludf.DUMMYFUNCTION("""COMPUTED_VALUE"""),45069.0)</f>
        <v>45069</v>
      </c>
      <c r="E1314" s="13">
        <f>IFERROR(__xludf.DUMMYFUNCTION("""COMPUTED_VALUE"""),0.2393171296280343)</f>
        <v>0.2393171296</v>
      </c>
      <c r="F1314" s="7" t="str">
        <f>IFERROR(__xludf.DUMMYFUNCTION("""COMPUTED_VALUE"""),"Negative")</f>
        <v>Negative</v>
      </c>
      <c r="G1314" s="7">
        <f>IFERROR(__xludf.DUMMYFUNCTION("""COMPUTED_VALUE"""),3.0)</f>
        <v>3</v>
      </c>
    </row>
    <row r="1315">
      <c r="A1315" s="7" t="str">
        <f>IFERROR(__xludf.DUMMYFUNCTION("""COMPUTED_VALUE"""),"AK9872")</f>
        <v>AK9872</v>
      </c>
      <c r="B1315" s="7" t="str">
        <f>IFERROR(__xludf.DUMMYFUNCTION("""COMPUTED_VALUE"""),"RUN-ABRM_2023-05-23_RFR-231")</f>
        <v>RUN-ABRM_2023-05-23_RFR-231</v>
      </c>
      <c r="C1315" s="8">
        <f>VLOOKUP(B1315,'Run Reconcile'!A$2:B3212,2,FALSE)</f>
        <v>45069</v>
      </c>
      <c r="D1315" s="12">
        <f>IFERROR(__xludf.DUMMYFUNCTION("""COMPUTED_VALUE"""),45069.0)</f>
        <v>45069</v>
      </c>
      <c r="E1315" s="13">
        <f>IFERROR(__xludf.DUMMYFUNCTION("""COMPUTED_VALUE"""),0.2801620370373712)</f>
        <v>0.280162037</v>
      </c>
      <c r="F1315" s="7" t="str">
        <f>IFERROR(__xludf.DUMMYFUNCTION("""COMPUTED_VALUE"""),"Negative")</f>
        <v>Negative</v>
      </c>
      <c r="G1315" s="7">
        <f>IFERROR(__xludf.DUMMYFUNCTION("""COMPUTED_VALUE"""),3.0)</f>
        <v>3</v>
      </c>
    </row>
    <row r="1316">
      <c r="A1316" s="7" t="str">
        <f>IFERROR(__xludf.DUMMYFUNCTION("""COMPUTED_VALUE"""),"AB9291")</f>
        <v>AB9291</v>
      </c>
      <c r="B1316" s="7" t="str">
        <f>IFERROR(__xludf.DUMMYFUNCTION("""COMPUTED_VALUE"""),"RUN-ABRM_2023-05-23_RFR-231")</f>
        <v>RUN-ABRM_2023-05-23_RFR-231</v>
      </c>
      <c r="C1316" s="8">
        <f>VLOOKUP(B1316,'Run Reconcile'!A$2:B3212,2,FALSE)</f>
        <v>45069</v>
      </c>
      <c r="D1316" s="12">
        <f>IFERROR(__xludf.DUMMYFUNCTION("""COMPUTED_VALUE"""),45069.0)</f>
        <v>45069</v>
      </c>
      <c r="E1316" s="13">
        <f>IFERROR(__xludf.DUMMYFUNCTION("""COMPUTED_VALUE"""),0.3019560185202863)</f>
        <v>0.3019560185</v>
      </c>
      <c r="F1316" s="7" t="str">
        <f>IFERROR(__xludf.DUMMYFUNCTION("""COMPUTED_VALUE"""),"Positive")</f>
        <v>Positive</v>
      </c>
      <c r="G1316" s="7">
        <f>IFERROR(__xludf.DUMMYFUNCTION("""COMPUTED_VALUE"""),3.0)</f>
        <v>3</v>
      </c>
    </row>
    <row r="1317">
      <c r="A1317" s="7" t="str">
        <f>IFERROR(__xludf.DUMMYFUNCTION("""COMPUTED_VALUE"""),"AR669")</f>
        <v>AR669</v>
      </c>
      <c r="B1317" s="7" t="str">
        <f>IFERROR(__xludf.DUMMYFUNCTION("""COMPUTED_VALUE"""),"RUN-ABRM_2023-05-23_RFR-231")</f>
        <v>RUN-ABRM_2023-05-23_RFR-231</v>
      </c>
      <c r="C1317" s="8">
        <f>VLOOKUP(B1317,'Run Reconcile'!A$2:B3212,2,FALSE)</f>
        <v>45069</v>
      </c>
      <c r="D1317" s="12">
        <f>IFERROR(__xludf.DUMMYFUNCTION("""COMPUTED_VALUE"""),45069.0)</f>
        <v>45069</v>
      </c>
      <c r="E1317" s="13">
        <f>IFERROR(__xludf.DUMMYFUNCTION("""COMPUTED_VALUE"""),0.3030902777791198)</f>
        <v>0.3030902778</v>
      </c>
      <c r="F1317" s="7" t="str">
        <f>IFERROR(__xludf.DUMMYFUNCTION("""COMPUTED_VALUE"""),"Negative")</f>
        <v>Negative</v>
      </c>
      <c r="G1317" s="7">
        <f>IFERROR(__xludf.DUMMYFUNCTION("""COMPUTED_VALUE"""),2.0)</f>
        <v>2</v>
      </c>
    </row>
    <row r="1318">
      <c r="A1318" s="7" t="str">
        <f>IFERROR(__xludf.DUMMYFUNCTION("""COMPUTED_VALUE"""),"AR1427")</f>
        <v>AR1427</v>
      </c>
      <c r="B1318" s="7" t="str">
        <f>IFERROR(__xludf.DUMMYFUNCTION("""COMPUTED_VALUE"""),"RUN-ABRM_2023-05-23_RFR-231")</f>
        <v>RUN-ABRM_2023-05-23_RFR-231</v>
      </c>
      <c r="C1318" s="8">
        <f>VLOOKUP(B1318,'Run Reconcile'!A$2:B3212,2,FALSE)</f>
        <v>45069</v>
      </c>
      <c r="D1318" s="12">
        <f>IFERROR(__xludf.DUMMYFUNCTION("""COMPUTED_VALUE"""),45069.0)</f>
        <v>45069</v>
      </c>
      <c r="E1318" s="13">
        <f>IFERROR(__xludf.DUMMYFUNCTION("""COMPUTED_VALUE"""),0.3033796296294895)</f>
        <v>0.3033796296</v>
      </c>
      <c r="F1318" s="7" t="str">
        <f>IFERROR(__xludf.DUMMYFUNCTION("""COMPUTED_VALUE"""),"Negative")</f>
        <v>Negative</v>
      </c>
      <c r="G1318" s="7">
        <f>IFERROR(__xludf.DUMMYFUNCTION("""COMPUTED_VALUE"""),2.0)</f>
        <v>2</v>
      </c>
    </row>
    <row r="1319">
      <c r="A1319" s="7" t="str">
        <f>IFERROR(__xludf.DUMMYFUNCTION("""COMPUTED_VALUE"""),"AR1265")</f>
        <v>AR1265</v>
      </c>
      <c r="B1319" s="7" t="str">
        <f>IFERROR(__xludf.DUMMYFUNCTION("""COMPUTED_VALUE"""),"RUN-ABRM_2023-05-23_RFR-231")</f>
        <v>RUN-ABRM_2023-05-23_RFR-231</v>
      </c>
      <c r="C1319" s="8">
        <f>VLOOKUP(B1319,'Run Reconcile'!A$2:B3212,2,FALSE)</f>
        <v>45069</v>
      </c>
      <c r="D1319" s="12">
        <f>IFERROR(__xludf.DUMMYFUNCTION("""COMPUTED_VALUE"""),45069.0)</f>
        <v>45069</v>
      </c>
      <c r="E1319" s="13">
        <f>IFERROR(__xludf.DUMMYFUNCTION("""COMPUTED_VALUE"""),0.33762731481328956)</f>
        <v>0.3376273148</v>
      </c>
      <c r="F1319" s="7" t="str">
        <f>IFERROR(__xludf.DUMMYFUNCTION("""COMPUTED_VALUE"""),"Positive")</f>
        <v>Positive</v>
      </c>
      <c r="G1319" s="7">
        <f>IFERROR(__xludf.DUMMYFUNCTION("""COMPUTED_VALUE"""),1.0)</f>
        <v>1</v>
      </c>
    </row>
    <row r="1320">
      <c r="A1320" s="7" t="str">
        <f>IFERROR(__xludf.DUMMYFUNCTION("""COMPUTED_VALUE"""),"AR15")</f>
        <v>AR15</v>
      </c>
      <c r="B1320" s="7" t="str">
        <f>IFERROR(__xludf.DUMMYFUNCTION("""COMPUTED_VALUE"""),"RUN-ABRM_2023-05-23_RFR-231")</f>
        <v>RUN-ABRM_2023-05-23_RFR-231</v>
      </c>
      <c r="C1320" s="8">
        <f>VLOOKUP(B1320,'Run Reconcile'!A$2:B3212,2,FALSE)</f>
        <v>45069</v>
      </c>
      <c r="D1320" s="12">
        <f>IFERROR(__xludf.DUMMYFUNCTION("""COMPUTED_VALUE"""),45069.0)</f>
        <v>45069</v>
      </c>
      <c r="E1320" s="13">
        <f>IFERROR(__xludf.DUMMYFUNCTION("""COMPUTED_VALUE"""),0.33835648148306063)</f>
        <v>0.3383564815</v>
      </c>
      <c r="F1320" s="7" t="str">
        <f>IFERROR(__xludf.DUMMYFUNCTION("""COMPUTED_VALUE"""),"Positive")</f>
        <v>Positive</v>
      </c>
      <c r="G1320" s="7">
        <f>IFERROR(__xludf.DUMMYFUNCTION("""COMPUTED_VALUE"""),1.0)</f>
        <v>1</v>
      </c>
    </row>
    <row r="1321">
      <c r="A1321" s="7" t="str">
        <f>IFERROR(__xludf.DUMMYFUNCTION("""COMPUTED_VALUE"""),"AK9590")</f>
        <v>AK9590</v>
      </c>
      <c r="B1321" s="7" t="str">
        <f>IFERROR(__xludf.DUMMYFUNCTION("""COMPUTED_VALUE"""),"RUN-ABRM_2023-05-23_RFR-231")</f>
        <v>RUN-ABRM_2023-05-23_RFR-231</v>
      </c>
      <c r="C1321" s="8">
        <f>VLOOKUP(B1321,'Run Reconcile'!A$2:B3212,2,FALSE)</f>
        <v>45069</v>
      </c>
      <c r="D1321" s="12">
        <f>IFERROR(__xludf.DUMMYFUNCTION("""COMPUTED_VALUE"""),45069.0)</f>
        <v>45069</v>
      </c>
      <c r="E1321" s="13">
        <f>IFERROR(__xludf.DUMMYFUNCTION("""COMPUTED_VALUE"""),0.338761574075761)</f>
        <v>0.3387615741</v>
      </c>
      <c r="F1321" s="7" t="str">
        <f>IFERROR(__xludf.DUMMYFUNCTION("""COMPUTED_VALUE"""),"Positive")</f>
        <v>Positive</v>
      </c>
      <c r="G1321" s="7">
        <f>IFERROR(__xludf.DUMMYFUNCTION("""COMPUTED_VALUE"""),1.0)</f>
        <v>1</v>
      </c>
    </row>
    <row r="1322">
      <c r="A1322" s="7" t="str">
        <f>IFERROR(__xludf.DUMMYFUNCTION("""COMPUTED_VALUE"""),"AR1091")</f>
        <v>AR1091</v>
      </c>
      <c r="B1322" s="7" t="str">
        <f>IFERROR(__xludf.DUMMYFUNCTION("""COMPUTED_VALUE"""),"RUN-ABRM_2023-05-23_RFR-231")</f>
        <v>RUN-ABRM_2023-05-23_RFR-231</v>
      </c>
      <c r="C1322" s="8">
        <f>VLOOKUP(B1322,'Run Reconcile'!A$2:B3212,2,FALSE)</f>
        <v>45069</v>
      </c>
      <c r="D1322" s="12">
        <f>IFERROR(__xludf.DUMMYFUNCTION("""COMPUTED_VALUE"""),45069.0)</f>
        <v>45069</v>
      </c>
      <c r="E1322" s="13">
        <f>IFERROR(__xludf.DUMMYFUNCTION("""COMPUTED_VALUE"""),0.34136574074000237)</f>
        <v>0.3413657407</v>
      </c>
      <c r="F1322" s="7" t="str">
        <f>IFERROR(__xludf.DUMMYFUNCTION("""COMPUTED_VALUE"""),"Negative")</f>
        <v>Negative</v>
      </c>
      <c r="G1322" s="7">
        <f>IFERROR(__xludf.DUMMYFUNCTION("""COMPUTED_VALUE"""),1.0)</f>
        <v>1</v>
      </c>
    </row>
    <row r="1323">
      <c r="A1323" s="7" t="str">
        <f>IFERROR(__xludf.DUMMYFUNCTION("""COMPUTED_VALUE"""),"AB9412")</f>
        <v>AB9412</v>
      </c>
      <c r="B1323" s="7" t="str">
        <f>IFERROR(__xludf.DUMMYFUNCTION("""COMPUTED_VALUE"""),"RUN-ABRM_2023-05-24_RFR-232")</f>
        <v>RUN-ABRM_2023-05-24_RFR-232</v>
      </c>
      <c r="C1323" s="8">
        <f>VLOOKUP(B1323,'Run Reconcile'!A$2:B3212,2,FALSE)</f>
        <v>45070</v>
      </c>
      <c r="D1323" s="12">
        <f>IFERROR(__xludf.DUMMYFUNCTION("""COMPUTED_VALUE"""),45070.0)</f>
        <v>45070</v>
      </c>
      <c r="E1323" s="13">
        <f>IFERROR(__xludf.DUMMYFUNCTION("""COMPUTED_VALUE"""),0.2464699074080272)</f>
        <v>0.2464699074</v>
      </c>
      <c r="F1323" s="7" t="str">
        <f>IFERROR(__xludf.DUMMYFUNCTION("""COMPUTED_VALUE"""),"Negative")</f>
        <v>Negative</v>
      </c>
      <c r="G1323" s="7">
        <f>IFERROR(__xludf.DUMMYFUNCTION("""COMPUTED_VALUE"""),3.0)</f>
        <v>3</v>
      </c>
    </row>
    <row r="1324">
      <c r="A1324" s="7" t="str">
        <f>IFERROR(__xludf.DUMMYFUNCTION("""COMPUTED_VALUE"""),"AR568")</f>
        <v>AR568</v>
      </c>
      <c r="B1324" s="7" t="str">
        <f>IFERROR(__xludf.DUMMYFUNCTION("""COMPUTED_VALUE"""),"RUN-ABRM_2023-05-24_RFR-232")</f>
        <v>RUN-ABRM_2023-05-24_RFR-232</v>
      </c>
      <c r="C1324" s="8">
        <f>VLOOKUP(B1324,'Run Reconcile'!A$2:B3212,2,FALSE)</f>
        <v>45070</v>
      </c>
      <c r="D1324" s="12">
        <f>IFERROR(__xludf.DUMMYFUNCTION("""COMPUTED_VALUE"""),45070.0)</f>
        <v>45070</v>
      </c>
      <c r="E1324" s="13">
        <f>IFERROR(__xludf.DUMMYFUNCTION("""COMPUTED_VALUE"""),0.3008680555540195)</f>
        <v>0.3008680556</v>
      </c>
      <c r="F1324" s="7" t="str">
        <f>IFERROR(__xludf.DUMMYFUNCTION("""COMPUTED_VALUE"""),"Negative")</f>
        <v>Negative</v>
      </c>
      <c r="G1324" s="7">
        <f>IFERROR(__xludf.DUMMYFUNCTION("""COMPUTED_VALUE"""),2.0)</f>
        <v>2</v>
      </c>
    </row>
    <row r="1325">
      <c r="A1325" s="7" t="str">
        <f>IFERROR(__xludf.DUMMYFUNCTION("""COMPUTED_VALUE"""),"AR1906")</f>
        <v>AR1906</v>
      </c>
      <c r="B1325" s="7" t="str">
        <f>IFERROR(__xludf.DUMMYFUNCTION("""COMPUTED_VALUE"""),"RUN-ABRM_2023-05-24_RFR-232")</f>
        <v>RUN-ABRM_2023-05-24_RFR-232</v>
      </c>
      <c r="C1325" s="8">
        <f>VLOOKUP(B1325,'Run Reconcile'!A$2:B3212,2,FALSE)</f>
        <v>45070</v>
      </c>
      <c r="D1325" s="12">
        <f>IFERROR(__xludf.DUMMYFUNCTION("""COMPUTED_VALUE"""),45070.0)</f>
        <v>45070</v>
      </c>
      <c r="E1325" s="13">
        <f>IFERROR(__xludf.DUMMYFUNCTION("""COMPUTED_VALUE"""),0.32986111110949423)</f>
        <v>0.3298611111</v>
      </c>
      <c r="F1325" s="7" t="str">
        <f>IFERROR(__xludf.DUMMYFUNCTION("""COMPUTED_VALUE"""),"Negative")</f>
        <v>Negative</v>
      </c>
      <c r="G1325" s="7">
        <f>IFERROR(__xludf.DUMMYFUNCTION("""COMPUTED_VALUE"""),1.0)</f>
        <v>1</v>
      </c>
    </row>
    <row r="1326">
      <c r="A1326" s="7" t="str">
        <f>IFERROR(__xludf.DUMMYFUNCTION("""COMPUTED_VALUE"""),"AR1332")</f>
        <v>AR1332</v>
      </c>
      <c r="B1326" s="7" t="str">
        <f>IFERROR(__xludf.DUMMYFUNCTION("""COMPUTED_VALUE"""),"RUN-ABRM_2023-05-25_APS-022")</f>
        <v>RUN-ABRM_2023-05-25_APS-022</v>
      </c>
      <c r="C1326" s="8">
        <f>VLOOKUP(B1326,'Run Reconcile'!A$2:B3212,2,FALSE)</f>
        <v>45071</v>
      </c>
      <c r="D1326" s="12">
        <f>IFERROR(__xludf.DUMMYFUNCTION("""COMPUTED_VALUE"""),45071.0)</f>
        <v>45071</v>
      </c>
      <c r="E1326" s="13">
        <f>IFERROR(__xludf.DUMMYFUNCTION("""COMPUTED_VALUE"""),0.2281250000014552)</f>
        <v>0.228125</v>
      </c>
      <c r="F1326" s="7" t="str">
        <f>IFERROR(__xludf.DUMMYFUNCTION("""COMPUTED_VALUE"""),"Negative")</f>
        <v>Negative</v>
      </c>
      <c r="G1326" s="7">
        <f>IFERROR(__xludf.DUMMYFUNCTION("""COMPUTED_VALUE"""),1.0)</f>
        <v>1</v>
      </c>
    </row>
    <row r="1327">
      <c r="A1327" s="7" t="str">
        <f>IFERROR(__xludf.DUMMYFUNCTION("""COMPUTED_VALUE"""),"AK9647")</f>
        <v>AK9647</v>
      </c>
      <c r="B1327" s="7" t="str">
        <f>IFERROR(__xludf.DUMMYFUNCTION("""COMPUTED_VALUE"""),"RUN-ABRM_2023-05-25_RFR-234")</f>
        <v>RUN-ABRM_2023-05-25_RFR-234</v>
      </c>
      <c r="C1327" s="8">
        <f>VLOOKUP(B1327,'Run Reconcile'!A$2:B3212,2,FALSE)</f>
        <v>45071</v>
      </c>
      <c r="D1327" s="12">
        <f>IFERROR(__xludf.DUMMYFUNCTION("""COMPUTED_VALUE"""),45071.0)</f>
        <v>45071</v>
      </c>
      <c r="E1327" s="13">
        <f>IFERROR(__xludf.DUMMYFUNCTION("""COMPUTED_VALUE"""),0.2281250000014552)</f>
        <v>0.228125</v>
      </c>
      <c r="F1327" s="7" t="str">
        <f>IFERROR(__xludf.DUMMYFUNCTION("""COMPUTED_VALUE"""),"Negative")</f>
        <v>Negative</v>
      </c>
      <c r="G1327" s="7">
        <f>IFERROR(__xludf.DUMMYFUNCTION("""COMPUTED_VALUE"""),1.0)</f>
        <v>1</v>
      </c>
    </row>
    <row r="1328">
      <c r="A1328" s="7" t="str">
        <f>IFERROR(__xludf.DUMMYFUNCTION("""COMPUTED_VALUE"""),"AR18")</f>
        <v>AR18</v>
      </c>
      <c r="B1328" s="7" t="str">
        <f>IFERROR(__xludf.DUMMYFUNCTION("""COMPUTED_VALUE"""),"RUN-ABRM_2023-05-25_RFR-234")</f>
        <v>RUN-ABRM_2023-05-25_RFR-234</v>
      </c>
      <c r="C1328" s="8">
        <f>VLOOKUP(B1328,'Run Reconcile'!A$2:B3212,2,FALSE)</f>
        <v>45071</v>
      </c>
      <c r="D1328" s="12">
        <f>IFERROR(__xludf.DUMMYFUNCTION("""COMPUTED_VALUE"""),45071.0)</f>
        <v>45071</v>
      </c>
      <c r="E1328" s="13">
        <f>IFERROR(__xludf.DUMMYFUNCTION("""COMPUTED_VALUE"""),0.2564236111102218)</f>
        <v>0.2564236111</v>
      </c>
      <c r="F1328" s="7" t="str">
        <f>IFERROR(__xludf.DUMMYFUNCTION("""COMPUTED_VALUE"""),"Negative")</f>
        <v>Negative</v>
      </c>
      <c r="G1328" s="7">
        <f>IFERROR(__xludf.DUMMYFUNCTION("""COMPUTED_VALUE"""),3.0)</f>
        <v>3</v>
      </c>
    </row>
    <row r="1329">
      <c r="A1329" s="7" t="str">
        <f>IFERROR(__xludf.DUMMYFUNCTION("""COMPUTED_VALUE"""),"AR1089")</f>
        <v>AR1089</v>
      </c>
      <c r="B1329" s="7" t="str">
        <f>IFERROR(__xludf.DUMMYFUNCTION("""COMPUTED_VALUE"""),"RUN-ABRM_2023-05-25_RFR-234")</f>
        <v>RUN-ABRM_2023-05-25_RFR-234</v>
      </c>
      <c r="C1329" s="8">
        <f>VLOOKUP(B1329,'Run Reconcile'!A$2:B3212,2,FALSE)</f>
        <v>45071</v>
      </c>
      <c r="D1329" s="12">
        <f>IFERROR(__xludf.DUMMYFUNCTION("""COMPUTED_VALUE"""),45071.0)</f>
        <v>45071</v>
      </c>
      <c r="E1329" s="13">
        <f>IFERROR(__xludf.DUMMYFUNCTION("""COMPUTED_VALUE"""),0.3070833333331393)</f>
        <v>0.3070833333</v>
      </c>
      <c r="F1329" s="7" t="str">
        <f>IFERROR(__xludf.DUMMYFUNCTION("""COMPUTED_VALUE"""),"Negative")</f>
        <v>Negative</v>
      </c>
      <c r="G1329" s="7">
        <f>IFERROR(__xludf.DUMMYFUNCTION("""COMPUTED_VALUE"""),2.0)</f>
        <v>2</v>
      </c>
    </row>
    <row r="1330">
      <c r="A1330" s="7" t="str">
        <f>IFERROR(__xludf.DUMMYFUNCTION("""COMPUTED_VALUE"""),"AR1823")</f>
        <v>AR1823</v>
      </c>
      <c r="B1330" s="7" t="str">
        <f>IFERROR(__xludf.DUMMYFUNCTION("""COMPUTED_VALUE"""),"RUN-ABRM_2023-05-25_APS-022")</f>
        <v>RUN-ABRM_2023-05-25_APS-022</v>
      </c>
      <c r="C1330" s="8">
        <f>VLOOKUP(B1330,'Run Reconcile'!A$2:B3212,2,FALSE)</f>
        <v>45071</v>
      </c>
      <c r="D1330" s="12">
        <f>IFERROR(__xludf.DUMMYFUNCTION("""COMPUTED_VALUE"""),45071.0)</f>
        <v>45071</v>
      </c>
      <c r="E1330" s="13">
        <f>IFERROR(__xludf.DUMMYFUNCTION("""COMPUTED_VALUE"""),0.38886574074058444)</f>
        <v>0.3888657407</v>
      </c>
      <c r="F1330" s="7" t="str">
        <f>IFERROR(__xludf.DUMMYFUNCTION("""COMPUTED_VALUE"""),"Negative")</f>
        <v>Negative</v>
      </c>
      <c r="G1330" s="7">
        <f>IFERROR(__xludf.DUMMYFUNCTION("""COMPUTED_VALUE"""),1.0)</f>
        <v>1</v>
      </c>
    </row>
    <row r="1331">
      <c r="A1331" s="7" t="str">
        <f>IFERROR(__xludf.DUMMYFUNCTION("""COMPUTED_VALUE"""),"AR868")</f>
        <v>AR868</v>
      </c>
      <c r="B1331" s="7" t="str">
        <f>IFERROR(__xludf.DUMMYFUNCTION("""COMPUTED_VALUE"""),"RUN-ABRM_2023-05-26_RFR-235")</f>
        <v>RUN-ABRM_2023-05-26_RFR-235</v>
      </c>
      <c r="C1331" s="8">
        <f>VLOOKUP(B1331,'Run Reconcile'!A$2:B3212,2,FALSE)</f>
        <v>45072</v>
      </c>
      <c r="D1331" s="12">
        <f>IFERROR(__xludf.DUMMYFUNCTION("""COMPUTED_VALUE"""),45072.0)</f>
        <v>45072</v>
      </c>
      <c r="E1331" s="13">
        <f>IFERROR(__xludf.DUMMYFUNCTION("""COMPUTED_VALUE"""),0.24744212962832535)</f>
        <v>0.2474421296</v>
      </c>
      <c r="F1331" s="7" t="str">
        <f>IFERROR(__xludf.DUMMYFUNCTION("""COMPUTED_VALUE"""),"Negative")</f>
        <v>Negative</v>
      </c>
      <c r="G1331" s="7">
        <f>IFERROR(__xludf.DUMMYFUNCTION("""COMPUTED_VALUE"""),1.0)</f>
        <v>1</v>
      </c>
    </row>
    <row r="1332">
      <c r="A1332" s="7" t="str">
        <f>IFERROR(__xludf.DUMMYFUNCTION("""COMPUTED_VALUE"""),"AJ9837")</f>
        <v>AJ9837</v>
      </c>
      <c r="B1332" s="7" t="str">
        <f>IFERROR(__xludf.DUMMYFUNCTION("""COMPUTED_VALUE"""),"RUN-ABRM_2023-05-26_RFR-235")</f>
        <v>RUN-ABRM_2023-05-26_RFR-235</v>
      </c>
      <c r="C1332" s="8">
        <f>VLOOKUP(B1332,'Run Reconcile'!A$2:B3212,2,FALSE)</f>
        <v>45072</v>
      </c>
      <c r="D1332" s="12">
        <f>IFERROR(__xludf.DUMMYFUNCTION("""COMPUTED_VALUE"""),45072.0)</f>
        <v>45072</v>
      </c>
      <c r="E1332" s="13">
        <f>IFERROR(__xludf.DUMMYFUNCTION("""COMPUTED_VALUE"""),0.2475694444437977)</f>
        <v>0.2475694444</v>
      </c>
      <c r="F1332" s="7" t="str">
        <f>IFERROR(__xludf.DUMMYFUNCTION("""COMPUTED_VALUE"""),"Negative")</f>
        <v>Negative</v>
      </c>
      <c r="G1332" s="7">
        <f>IFERROR(__xludf.DUMMYFUNCTION("""COMPUTED_VALUE"""),3.0)</f>
        <v>3</v>
      </c>
    </row>
    <row r="1333">
      <c r="A1333" s="7" t="str">
        <f>IFERROR(__xludf.DUMMYFUNCTION("""COMPUTED_VALUE"""),"AK9843")</f>
        <v>AK9843</v>
      </c>
      <c r="B1333" s="7" t="str">
        <f>IFERROR(__xludf.DUMMYFUNCTION("""COMPUTED_VALUE"""),"RUN-ABRM_2023-05-26_RFR-235")</f>
        <v>RUN-ABRM_2023-05-26_RFR-235</v>
      </c>
      <c r="C1333" s="8">
        <f>VLOOKUP(B1333,'Run Reconcile'!A$2:B3212,2,FALSE)</f>
        <v>45072</v>
      </c>
      <c r="D1333" s="12">
        <f>IFERROR(__xludf.DUMMYFUNCTION("""COMPUTED_VALUE"""),45072.0)</f>
        <v>45072</v>
      </c>
      <c r="E1333" s="13">
        <f>IFERROR(__xludf.DUMMYFUNCTION("""COMPUTED_VALUE"""),0.32276620370248565)</f>
        <v>0.3227662037</v>
      </c>
      <c r="F1333" s="7" t="str">
        <f>IFERROR(__xludf.DUMMYFUNCTION("""COMPUTED_VALUE"""),"Negative")</f>
        <v>Negative</v>
      </c>
      <c r="G1333" s="7">
        <f>IFERROR(__xludf.DUMMYFUNCTION("""COMPUTED_VALUE"""),2.0)</f>
        <v>2</v>
      </c>
    </row>
    <row r="1334">
      <c r="A1334" s="7" t="str">
        <f>IFERROR(__xludf.DUMMYFUNCTION("""COMPUTED_VALUE"""),"AR1036")</f>
        <v>AR1036</v>
      </c>
      <c r="B1334" s="7" t="str">
        <f>IFERROR(__xludf.DUMMYFUNCTION("""COMPUTED_VALUE"""),"RUN-ABRM_2023-05-26_RFR-235")</f>
        <v>RUN-ABRM_2023-05-26_RFR-235</v>
      </c>
      <c r="C1334" s="8">
        <f>VLOOKUP(B1334,'Run Reconcile'!A$2:B3212,2,FALSE)</f>
        <v>45072</v>
      </c>
      <c r="D1334" s="12">
        <f>IFERROR(__xludf.DUMMYFUNCTION("""COMPUTED_VALUE"""),45072.0)</f>
        <v>45072</v>
      </c>
      <c r="E1334" s="13">
        <f>IFERROR(__xludf.DUMMYFUNCTION("""COMPUTED_VALUE"""),0.32417824074218515)</f>
        <v>0.3241782407</v>
      </c>
      <c r="F1334" s="7" t="str">
        <f>IFERROR(__xludf.DUMMYFUNCTION("""COMPUTED_VALUE"""),"Negative")</f>
        <v>Negative</v>
      </c>
      <c r="G1334" s="7">
        <f>IFERROR(__xludf.DUMMYFUNCTION("""COMPUTED_VALUE"""),1.0)</f>
        <v>1</v>
      </c>
    </row>
    <row r="1335">
      <c r="A1335" s="7" t="str">
        <f>IFERROR(__xludf.DUMMYFUNCTION("""COMPUTED_VALUE"""),"AR1720")</f>
        <v>AR1720</v>
      </c>
      <c r="B1335" s="7" t="str">
        <f>IFERROR(__xludf.DUMMYFUNCTION("""COMPUTED_VALUE"""),"RUN-ABRM_2023-05-29_RFR-236")</f>
        <v>RUN-ABRM_2023-05-29_RFR-236</v>
      </c>
      <c r="C1335" s="8">
        <f>VLOOKUP(B1335,'Run Reconcile'!A$2:B3212,2,FALSE)</f>
        <v>45075</v>
      </c>
      <c r="D1335" s="12">
        <f>IFERROR(__xludf.DUMMYFUNCTION("""COMPUTED_VALUE"""),45075.0)</f>
        <v>45075</v>
      </c>
      <c r="E1335" s="13">
        <f>IFERROR(__xludf.DUMMYFUNCTION("""COMPUTED_VALUE"""),0.2614467592575238)</f>
        <v>0.2614467593</v>
      </c>
      <c r="F1335" s="7" t="str">
        <f>IFERROR(__xludf.DUMMYFUNCTION("""COMPUTED_VALUE"""),"Negative")</f>
        <v>Negative</v>
      </c>
      <c r="G1335" s="7">
        <f>IFERROR(__xludf.DUMMYFUNCTION("""COMPUTED_VALUE"""),2.0)</f>
        <v>2</v>
      </c>
    </row>
    <row r="1336">
      <c r="A1336" s="7" t="str">
        <f>IFERROR(__xludf.DUMMYFUNCTION("""COMPUTED_VALUE"""),"AK9577")</f>
        <v>AK9577</v>
      </c>
      <c r="B1336" s="7" t="str">
        <f>IFERROR(__xludf.DUMMYFUNCTION("""COMPUTED_VALUE"""),"RUN-ABRM_2023-05-29_RFR-236")</f>
        <v>RUN-ABRM_2023-05-29_RFR-236</v>
      </c>
      <c r="C1336" s="8">
        <f>VLOOKUP(B1336,'Run Reconcile'!A$2:B3212,2,FALSE)</f>
        <v>45075</v>
      </c>
      <c r="D1336" s="12">
        <f>IFERROR(__xludf.DUMMYFUNCTION("""COMPUTED_VALUE"""),45075.0)</f>
        <v>45075</v>
      </c>
      <c r="E1336" s="13">
        <f>IFERROR(__xludf.DUMMYFUNCTION("""COMPUTED_VALUE"""),0.2860763888893416)</f>
        <v>0.2860763889</v>
      </c>
      <c r="F1336" s="7" t="str">
        <f>IFERROR(__xludf.DUMMYFUNCTION("""COMPUTED_VALUE"""),"Negative")</f>
        <v>Negative</v>
      </c>
      <c r="G1336" s="7">
        <f>IFERROR(__xludf.DUMMYFUNCTION("""COMPUTED_VALUE"""),2.0)</f>
        <v>2</v>
      </c>
    </row>
    <row r="1337">
      <c r="A1337" s="7" t="str">
        <f>IFERROR(__xludf.DUMMYFUNCTION("""COMPUTED_VALUE"""),"AR1974")</f>
        <v>AR1974</v>
      </c>
      <c r="B1337" s="7" t="str">
        <f>IFERROR(__xludf.DUMMYFUNCTION("""COMPUTED_VALUE"""),"RUN-ABRM_2023-05-29_RFR-236")</f>
        <v>RUN-ABRM_2023-05-29_RFR-236</v>
      </c>
      <c r="C1337" s="8">
        <f>VLOOKUP(B1337,'Run Reconcile'!A$2:B3212,2,FALSE)</f>
        <v>45075</v>
      </c>
      <c r="D1337" s="12">
        <f>IFERROR(__xludf.DUMMYFUNCTION("""COMPUTED_VALUE"""),45075.0)</f>
        <v>45075</v>
      </c>
      <c r="E1337" s="13">
        <f>IFERROR(__xludf.DUMMYFUNCTION("""COMPUTED_VALUE"""),0.32243055555591127)</f>
        <v>0.3224305556</v>
      </c>
      <c r="F1337" s="7" t="str">
        <f>IFERROR(__xludf.DUMMYFUNCTION("""COMPUTED_VALUE"""),"Negative")</f>
        <v>Negative</v>
      </c>
      <c r="G1337" s="7">
        <f>IFERROR(__xludf.DUMMYFUNCTION("""COMPUTED_VALUE"""),1.0)</f>
        <v>1</v>
      </c>
    </row>
    <row r="1338">
      <c r="A1338" s="7" t="str">
        <f>IFERROR(__xludf.DUMMYFUNCTION("""COMPUTED_VALUE"""),"AR1567")</f>
        <v>AR1567</v>
      </c>
      <c r="B1338" s="7" t="str">
        <f>IFERROR(__xludf.DUMMYFUNCTION("""COMPUTED_VALUE"""),"RUN-ABRM_2023-05-29_RFR-236")</f>
        <v>RUN-ABRM_2023-05-29_RFR-236</v>
      </c>
      <c r="C1338" s="8">
        <f>VLOOKUP(B1338,'Run Reconcile'!A$2:B3212,2,FALSE)</f>
        <v>45075</v>
      </c>
      <c r="D1338" s="12">
        <f>IFERROR(__xludf.DUMMYFUNCTION("""COMPUTED_VALUE"""),45075.0)</f>
        <v>45075</v>
      </c>
      <c r="E1338" s="13">
        <f>IFERROR(__xludf.DUMMYFUNCTION("""COMPUTED_VALUE"""),0.32504629629693227)</f>
        <v>0.3250462963</v>
      </c>
      <c r="F1338" s="7" t="str">
        <f>IFERROR(__xludf.DUMMYFUNCTION("""COMPUTED_VALUE"""),"Negative")</f>
        <v>Negative</v>
      </c>
      <c r="G1338" s="7">
        <f>IFERROR(__xludf.DUMMYFUNCTION("""COMPUTED_VALUE"""),3.0)</f>
        <v>3</v>
      </c>
    </row>
    <row r="1339">
      <c r="A1339" s="7" t="str">
        <f>IFERROR(__xludf.DUMMYFUNCTION("""COMPUTED_VALUE"""),"AK9580")</f>
        <v>AK9580</v>
      </c>
      <c r="B1339" s="7" t="str">
        <f>IFERROR(__xludf.DUMMYFUNCTION("""COMPUTED_VALUE"""),"RUN-ABRM_2023-05-30_RFR-237")</f>
        <v>RUN-ABRM_2023-05-30_RFR-237</v>
      </c>
      <c r="C1339" s="8">
        <f>VLOOKUP(B1339,'Run Reconcile'!A$2:B3212,2,FALSE)</f>
        <v>45076</v>
      </c>
      <c r="D1339" s="12">
        <f>IFERROR(__xludf.DUMMYFUNCTION("""COMPUTED_VALUE"""),45076.0)</f>
        <v>45076</v>
      </c>
      <c r="E1339" s="13">
        <f>IFERROR(__xludf.DUMMYFUNCTION("""COMPUTED_VALUE"""),0.24390046296321088)</f>
        <v>0.243900463</v>
      </c>
      <c r="F1339" s="7" t="str">
        <f>IFERROR(__xludf.DUMMYFUNCTION("""COMPUTED_VALUE"""),"Negative")</f>
        <v>Negative</v>
      </c>
      <c r="G1339" s="7">
        <f>IFERROR(__xludf.DUMMYFUNCTION("""COMPUTED_VALUE"""),3.0)</f>
        <v>3</v>
      </c>
    </row>
    <row r="1340">
      <c r="A1340" s="7" t="str">
        <f>IFERROR(__xludf.DUMMYFUNCTION("""COMPUTED_VALUE"""),"AB9940")</f>
        <v>AB9940</v>
      </c>
      <c r="B1340" s="7" t="str">
        <f>IFERROR(__xludf.DUMMYFUNCTION("""COMPUTED_VALUE"""),"RUN-ABRM_2023-05-30_RFR-237")</f>
        <v>RUN-ABRM_2023-05-30_RFR-237</v>
      </c>
      <c r="C1340" s="8">
        <f>VLOOKUP(B1340,'Run Reconcile'!A$2:B3212,2,FALSE)</f>
        <v>45076</v>
      </c>
      <c r="D1340" s="12">
        <f>IFERROR(__xludf.DUMMYFUNCTION("""COMPUTED_VALUE"""),45076.0)</f>
        <v>45076</v>
      </c>
      <c r="E1340" s="13">
        <f>IFERROR(__xludf.DUMMYFUNCTION("""COMPUTED_VALUE"""),0.2748958333322662)</f>
        <v>0.2748958333</v>
      </c>
      <c r="F1340" s="7" t="str">
        <f>IFERROR(__xludf.DUMMYFUNCTION("""COMPUTED_VALUE"""),"Negative")</f>
        <v>Negative</v>
      </c>
      <c r="G1340" s="7">
        <f>IFERROR(__xludf.DUMMYFUNCTION("""COMPUTED_VALUE"""),1.0)</f>
        <v>1</v>
      </c>
    </row>
    <row r="1341">
      <c r="A1341" s="7" t="str">
        <f>IFERROR(__xludf.DUMMYFUNCTION("""COMPUTED_VALUE"""),"AB9993")</f>
        <v>AB9993</v>
      </c>
      <c r="B1341" s="7" t="str">
        <f>IFERROR(__xludf.DUMMYFUNCTION("""COMPUTED_VALUE"""),"RUN-ABRM_2023-05-30_RFR-237")</f>
        <v>RUN-ABRM_2023-05-30_RFR-237</v>
      </c>
      <c r="C1341" s="8">
        <f>VLOOKUP(B1341,'Run Reconcile'!A$2:B3212,2,FALSE)</f>
        <v>45076</v>
      </c>
      <c r="D1341" s="12">
        <f>IFERROR(__xludf.DUMMYFUNCTION("""COMPUTED_VALUE"""),45076.0)</f>
        <v>45076</v>
      </c>
      <c r="E1341" s="13">
        <f>IFERROR(__xludf.DUMMYFUNCTION("""COMPUTED_VALUE"""),0.30783564814919373)</f>
        <v>0.3078356481</v>
      </c>
      <c r="F1341" s="7" t="str">
        <f>IFERROR(__xludf.DUMMYFUNCTION("""COMPUTED_VALUE"""),"Negative")</f>
        <v>Negative</v>
      </c>
      <c r="G1341" s="7">
        <f>IFERROR(__xludf.DUMMYFUNCTION("""COMPUTED_VALUE"""),2.0)</f>
        <v>2</v>
      </c>
    </row>
    <row r="1342">
      <c r="A1342" s="7" t="str">
        <f>IFERROR(__xludf.DUMMYFUNCTION("""COMPUTED_VALUE"""),"AK9839")</f>
        <v>AK9839</v>
      </c>
      <c r="B1342" s="7" t="str">
        <f>IFERROR(__xludf.DUMMYFUNCTION("""COMPUTED_VALUE"""),"RUN-ABRM_2023-05-30_RFR-237")</f>
        <v>RUN-ABRM_2023-05-30_RFR-237</v>
      </c>
      <c r="C1342" s="8">
        <f>VLOOKUP(B1342,'Run Reconcile'!A$2:B3212,2,FALSE)</f>
        <v>45076</v>
      </c>
      <c r="D1342" s="12">
        <f>IFERROR(__xludf.DUMMYFUNCTION("""COMPUTED_VALUE"""),45076.0)</f>
        <v>45076</v>
      </c>
      <c r="E1342" s="13">
        <f>IFERROR(__xludf.DUMMYFUNCTION("""COMPUTED_VALUE"""),0.3220254629632109)</f>
        <v>0.322025463</v>
      </c>
      <c r="F1342" s="7" t="str">
        <f>IFERROR(__xludf.DUMMYFUNCTION("""COMPUTED_VALUE"""),"Negative")</f>
        <v>Negative</v>
      </c>
      <c r="G1342" s="7">
        <f>IFERROR(__xludf.DUMMYFUNCTION("""COMPUTED_VALUE"""),1.0)</f>
        <v>1</v>
      </c>
    </row>
    <row r="1343">
      <c r="A1343" s="7" t="str">
        <f>IFERROR(__xludf.DUMMYFUNCTION("""COMPUTED_VALUE"""),"AR1024")</f>
        <v>AR1024</v>
      </c>
      <c r="B1343" s="7" t="str">
        <f>IFERROR(__xludf.DUMMYFUNCTION("""COMPUTED_VALUE"""),"RUN-ABRM_2023-05-30_RFR-237")</f>
        <v>RUN-ABRM_2023-05-30_RFR-237</v>
      </c>
      <c r="C1343" s="8">
        <f>VLOOKUP(B1343,'Run Reconcile'!A$2:B3212,2,FALSE)</f>
        <v>45076</v>
      </c>
      <c r="D1343" s="12">
        <f>IFERROR(__xludf.DUMMYFUNCTION("""COMPUTED_VALUE"""),45076.0)</f>
        <v>45076</v>
      </c>
      <c r="E1343" s="13">
        <f>IFERROR(__xludf.DUMMYFUNCTION("""COMPUTED_VALUE"""),0.32883101851984975)</f>
        <v>0.3288310185</v>
      </c>
      <c r="F1343" s="7" t="str">
        <f>IFERROR(__xludf.DUMMYFUNCTION("""COMPUTED_VALUE"""),"Negative")</f>
        <v>Negative</v>
      </c>
      <c r="G1343" s="7">
        <f>IFERROR(__xludf.DUMMYFUNCTION("""COMPUTED_VALUE"""),1.0)</f>
        <v>1</v>
      </c>
    </row>
    <row r="1344">
      <c r="A1344" s="7" t="str">
        <f>IFERROR(__xludf.DUMMYFUNCTION("""COMPUTED_VALUE"""),"AE9962")</f>
        <v>AE9962</v>
      </c>
      <c r="B1344" s="7" t="str">
        <f>IFERROR(__xludf.DUMMYFUNCTION("""COMPUTED_VALUE"""),"RUN-ABRM_2023-05-31_RFR-239")</f>
        <v>RUN-ABRM_2023-05-31_RFR-239</v>
      </c>
      <c r="C1344" s="8">
        <f>VLOOKUP(B1344,'Run Reconcile'!A$2:B3212,2,FALSE)</f>
        <v>45077</v>
      </c>
      <c r="D1344" s="12">
        <f>IFERROR(__xludf.DUMMYFUNCTION("""COMPUTED_VALUE"""),45077.0)</f>
        <v>45077</v>
      </c>
      <c r="E1344" s="13">
        <f>IFERROR(__xludf.DUMMYFUNCTION("""COMPUTED_VALUE"""),0.29289351851912215)</f>
        <v>0.2928935185</v>
      </c>
      <c r="F1344" s="7" t="str">
        <f>IFERROR(__xludf.DUMMYFUNCTION("""COMPUTED_VALUE"""),"Negative")</f>
        <v>Negative</v>
      </c>
      <c r="G1344" s="7">
        <f>IFERROR(__xludf.DUMMYFUNCTION("""COMPUTED_VALUE"""),3.0)</f>
        <v>3</v>
      </c>
    </row>
    <row r="1345">
      <c r="A1345" s="7" t="str">
        <f>IFERROR(__xludf.DUMMYFUNCTION("""COMPUTED_VALUE"""),"AK9951")</f>
        <v>AK9951</v>
      </c>
      <c r="B1345" s="7" t="str">
        <f>IFERROR(__xludf.DUMMYFUNCTION("""COMPUTED_VALUE"""),"RUN-ABRM_2023-05-31_RFR-239")</f>
        <v>RUN-ABRM_2023-05-31_RFR-239</v>
      </c>
      <c r="C1345" s="8">
        <f>VLOOKUP(B1345,'Run Reconcile'!A$2:B3212,2,FALSE)</f>
        <v>45077</v>
      </c>
      <c r="D1345" s="12">
        <f>IFERROR(__xludf.DUMMYFUNCTION("""COMPUTED_VALUE"""),45077.0)</f>
        <v>45077</v>
      </c>
      <c r="E1345" s="13">
        <f>IFERROR(__xludf.DUMMYFUNCTION("""COMPUTED_VALUE"""),0.3089467592581059)</f>
        <v>0.3089467593</v>
      </c>
      <c r="F1345" s="7" t="str">
        <f>IFERROR(__xludf.DUMMYFUNCTION("""COMPUTED_VALUE"""),"Negative")</f>
        <v>Negative</v>
      </c>
      <c r="G1345" s="7">
        <f>IFERROR(__xludf.DUMMYFUNCTION("""COMPUTED_VALUE"""),1.0)</f>
        <v>1</v>
      </c>
    </row>
    <row r="1346">
      <c r="A1346" s="7" t="str">
        <f>IFERROR(__xludf.DUMMYFUNCTION("""COMPUTED_VALUE"""),"AB9904")</f>
        <v>AB9904</v>
      </c>
      <c r="B1346" s="7" t="str">
        <f>IFERROR(__xludf.DUMMYFUNCTION("""COMPUTED_VALUE"""),"RUN-ABRM_2023-05-31_RFR-239")</f>
        <v>RUN-ABRM_2023-05-31_RFR-239</v>
      </c>
      <c r="C1346" s="8">
        <f>VLOOKUP(B1346,'Run Reconcile'!A$2:B3212,2,FALSE)</f>
        <v>45077</v>
      </c>
      <c r="D1346" s="12">
        <f>IFERROR(__xludf.DUMMYFUNCTION("""COMPUTED_VALUE"""),45077.0)</f>
        <v>45077</v>
      </c>
      <c r="E1346" s="13">
        <f>IFERROR(__xludf.DUMMYFUNCTION("""COMPUTED_VALUE"""),0.3144907407404389)</f>
        <v>0.3144907407</v>
      </c>
      <c r="F1346" s="7" t="str">
        <f>IFERROR(__xludf.DUMMYFUNCTION("""COMPUTED_VALUE"""),"Negative")</f>
        <v>Negative</v>
      </c>
      <c r="G1346" s="7">
        <f>IFERROR(__xludf.DUMMYFUNCTION("""COMPUTED_VALUE"""),2.0)</f>
        <v>2</v>
      </c>
    </row>
    <row r="1347">
      <c r="A1347" s="7" t="str">
        <f>IFERROR(__xludf.DUMMYFUNCTION("""COMPUTED_VALUE"""),"QR926")</f>
        <v>QR926</v>
      </c>
      <c r="B1347" s="7" t="str">
        <f>IFERROR(__xludf.DUMMYFUNCTION("""COMPUTED_VALUE"""),"RUN-ABRM_2023-05-31_RFR-239")</f>
        <v>RUN-ABRM_2023-05-31_RFR-239</v>
      </c>
      <c r="C1347" s="8">
        <f>VLOOKUP(B1347,'Run Reconcile'!A$2:B3212,2,FALSE)</f>
        <v>45077</v>
      </c>
      <c r="D1347" s="12">
        <f>IFERROR(__xludf.DUMMYFUNCTION("""COMPUTED_VALUE"""),45077.0)</f>
        <v>45077</v>
      </c>
      <c r="E1347" s="13">
        <f>IFERROR(__xludf.DUMMYFUNCTION("""COMPUTED_VALUE"""),0.33821759259080864)</f>
        <v>0.3382175926</v>
      </c>
      <c r="F1347" s="7" t="str">
        <f>IFERROR(__xludf.DUMMYFUNCTION("""COMPUTED_VALUE"""),"Negative")</f>
        <v>Negative</v>
      </c>
      <c r="G1347" s="7">
        <f>IFERROR(__xludf.DUMMYFUNCTION("""COMPUTED_VALUE"""),1.0)</f>
        <v>1</v>
      </c>
    </row>
    <row r="1348">
      <c r="A1348" s="7" t="str">
        <f>IFERROR(__xludf.DUMMYFUNCTION("""COMPUTED_VALUE"""),"AB9941")</f>
        <v>AB9941</v>
      </c>
      <c r="B1348" s="7" t="str">
        <f>IFERROR(__xludf.DUMMYFUNCTION("""COMPUTED_VALUE"""),"RUN-ABRM_2023-05-31_RFR-239")</f>
        <v>RUN-ABRM_2023-05-31_RFR-239</v>
      </c>
      <c r="C1348" s="8">
        <f>VLOOKUP(B1348,'Run Reconcile'!A$2:B3212,2,FALSE)</f>
        <v>45077</v>
      </c>
      <c r="D1348" s="12">
        <f>IFERROR(__xludf.DUMMYFUNCTION("""COMPUTED_VALUE"""),45077.0)</f>
        <v>45077</v>
      </c>
      <c r="E1348" s="13">
        <f>IFERROR(__xludf.DUMMYFUNCTION("""COMPUTED_VALUE"""),0.3387037037027767)</f>
        <v>0.3387037037</v>
      </c>
      <c r="F1348" s="7" t="str">
        <f>IFERROR(__xludf.DUMMYFUNCTION("""COMPUTED_VALUE"""),"Negative")</f>
        <v>Negative</v>
      </c>
      <c r="G1348" s="7">
        <f>IFERROR(__xludf.DUMMYFUNCTION("""COMPUTED_VALUE"""),1.0)</f>
        <v>1</v>
      </c>
    </row>
    <row r="1349">
      <c r="A1349" s="7" t="str">
        <f>IFERROR(__xludf.DUMMYFUNCTION("""COMPUTED_VALUE"""),"AR1615")</f>
        <v>AR1615</v>
      </c>
      <c r="B1349" s="7" t="str">
        <f>IFERROR(__xludf.DUMMYFUNCTION("""COMPUTED_VALUE"""),"RUN-ABRM_2023-05-31_RFR-239")</f>
        <v>RUN-ABRM_2023-05-31_RFR-239</v>
      </c>
      <c r="C1349" s="8">
        <f>VLOOKUP(B1349,'Run Reconcile'!A$2:B3212,2,FALSE)</f>
        <v>45077</v>
      </c>
      <c r="D1349" s="12">
        <f>IFERROR(__xludf.DUMMYFUNCTION("""COMPUTED_VALUE"""),45077.0)</f>
        <v>45077</v>
      </c>
      <c r="E1349" s="13">
        <f>IFERROR(__xludf.DUMMYFUNCTION("""COMPUTED_VALUE"""),0.338726851852698)</f>
        <v>0.3387268519</v>
      </c>
      <c r="F1349" s="7" t="str">
        <f>IFERROR(__xludf.DUMMYFUNCTION("""COMPUTED_VALUE"""),"Negative")</f>
        <v>Negative</v>
      </c>
      <c r="G1349" s="7">
        <f>IFERROR(__xludf.DUMMYFUNCTION("""COMPUTED_VALUE"""),1.0)</f>
        <v>1</v>
      </c>
    </row>
    <row r="1350">
      <c r="A1350" s="7" t="str">
        <f>IFERROR(__xludf.DUMMYFUNCTION("""COMPUTED_VALUE"""),"AR1500")</f>
        <v>AR1500</v>
      </c>
      <c r="B1350" s="7" t="str">
        <f>IFERROR(__xludf.DUMMYFUNCTION("""COMPUTED_VALUE"""),"RUN-ABRM_2023-06-01_RFR-240")</f>
        <v>RUN-ABRM_2023-06-01_RFR-240</v>
      </c>
      <c r="C1350" s="8">
        <f>VLOOKUP(B1350,'Run Reconcile'!A$2:B3212,2,FALSE)</f>
        <v>45078</v>
      </c>
      <c r="D1350" s="12">
        <f>IFERROR(__xludf.DUMMYFUNCTION("""COMPUTED_VALUE"""),45078.0)</f>
        <v>45078</v>
      </c>
      <c r="E1350" s="13">
        <f>IFERROR(__xludf.DUMMYFUNCTION("""COMPUTED_VALUE"""),0.2659143518503697)</f>
        <v>0.2659143519</v>
      </c>
      <c r="F1350" s="7" t="str">
        <f>IFERROR(__xludf.DUMMYFUNCTION("""COMPUTED_VALUE"""),"Negative")</f>
        <v>Negative</v>
      </c>
      <c r="G1350" s="7">
        <f>IFERROR(__xludf.DUMMYFUNCTION("""COMPUTED_VALUE"""),3.0)</f>
        <v>3</v>
      </c>
    </row>
    <row r="1351">
      <c r="A1351" s="7" t="str">
        <f>IFERROR(__xludf.DUMMYFUNCTION("""COMPUTED_VALUE"""),"AB9956")</f>
        <v>AB9956</v>
      </c>
      <c r="B1351" s="7" t="str">
        <f>IFERROR(__xludf.DUMMYFUNCTION("""COMPUTED_VALUE"""),"RUN-ABRM_2023-06-01_RFR-240")</f>
        <v>RUN-ABRM_2023-06-01_RFR-240</v>
      </c>
      <c r="C1351" s="8">
        <f>VLOOKUP(B1351,'Run Reconcile'!A$2:B3212,2,FALSE)</f>
        <v>45078</v>
      </c>
      <c r="D1351" s="12">
        <f>IFERROR(__xludf.DUMMYFUNCTION("""COMPUTED_VALUE"""),45078.0)</f>
        <v>45078</v>
      </c>
      <c r="E1351" s="13">
        <f>IFERROR(__xludf.DUMMYFUNCTION("""COMPUTED_VALUE"""),0.27785879629664123)</f>
        <v>0.2778587963</v>
      </c>
      <c r="F1351" s="7" t="str">
        <f>IFERROR(__xludf.DUMMYFUNCTION("""COMPUTED_VALUE"""),"Negative")</f>
        <v>Negative</v>
      </c>
      <c r="G1351" s="7">
        <f>IFERROR(__xludf.DUMMYFUNCTION("""COMPUTED_VALUE"""),2.0)</f>
        <v>2</v>
      </c>
    </row>
    <row r="1352">
      <c r="A1352" s="7" t="str">
        <f>IFERROR(__xludf.DUMMYFUNCTION("""COMPUTED_VALUE"""),"AR1398")</f>
        <v>AR1398</v>
      </c>
      <c r="B1352" s="7" t="str">
        <f>IFERROR(__xludf.DUMMYFUNCTION("""COMPUTED_VALUE"""),"RUN-ABRM_2023-06-01_RFR-240")</f>
        <v>RUN-ABRM_2023-06-01_RFR-240</v>
      </c>
      <c r="C1352" s="8">
        <f>VLOOKUP(B1352,'Run Reconcile'!A$2:B3212,2,FALSE)</f>
        <v>45078</v>
      </c>
      <c r="D1352" s="12">
        <f>IFERROR(__xludf.DUMMYFUNCTION("""COMPUTED_VALUE"""),45078.0)</f>
        <v>45078</v>
      </c>
      <c r="E1352" s="13">
        <f>IFERROR(__xludf.DUMMYFUNCTION("""COMPUTED_VALUE"""),0.32047453703853535)</f>
        <v>0.320474537</v>
      </c>
      <c r="F1352" s="7" t="str">
        <f>IFERROR(__xludf.DUMMYFUNCTION("""COMPUTED_VALUE"""),"Negative")</f>
        <v>Negative</v>
      </c>
      <c r="G1352" s="7">
        <f>IFERROR(__xludf.DUMMYFUNCTION("""COMPUTED_VALUE"""),1.0)</f>
        <v>1</v>
      </c>
    </row>
    <row r="1353">
      <c r="A1353" s="7" t="str">
        <f>IFERROR(__xludf.DUMMYFUNCTION("""COMPUTED_VALUE"""),"AK9885")</f>
        <v>AK9885</v>
      </c>
      <c r="B1353" s="7" t="str">
        <f>IFERROR(__xludf.DUMMYFUNCTION("""COMPUTED_VALUE"""),"RUN-ABRM_2023-06-01_RFR-240")</f>
        <v>RUN-ABRM_2023-06-01_RFR-240</v>
      </c>
      <c r="C1353" s="8">
        <f>VLOOKUP(B1353,'Run Reconcile'!A$2:B3212,2,FALSE)</f>
        <v>45078</v>
      </c>
      <c r="D1353" s="12">
        <f>IFERROR(__xludf.DUMMYFUNCTION("""COMPUTED_VALUE"""),45078.0)</f>
        <v>45078</v>
      </c>
      <c r="E1353" s="13">
        <f>IFERROR(__xludf.DUMMYFUNCTION("""COMPUTED_VALUE"""),0.3287037037043774)</f>
        <v>0.3287037037</v>
      </c>
      <c r="F1353" s="7" t="str">
        <f>IFERROR(__xludf.DUMMYFUNCTION("""COMPUTED_VALUE"""),"Negative")</f>
        <v>Negative</v>
      </c>
      <c r="G1353" s="7">
        <f>IFERROR(__xludf.DUMMYFUNCTION("""COMPUTED_VALUE"""),1.0)</f>
        <v>1</v>
      </c>
    </row>
    <row r="1354">
      <c r="A1354" s="7" t="str">
        <f>IFERROR(__xludf.DUMMYFUNCTION("""COMPUTED_VALUE"""),"AR1220")</f>
        <v>AR1220</v>
      </c>
      <c r="B1354" s="7" t="str">
        <f>IFERROR(__xludf.DUMMYFUNCTION("""COMPUTED_VALUE"""),"RUN-ABRM_2023-06-01_RFR-240")</f>
        <v>RUN-ABRM_2023-06-01_RFR-240</v>
      </c>
      <c r="C1354" s="8">
        <f>VLOOKUP(B1354,'Run Reconcile'!A$2:B3212,2,FALSE)</f>
        <v>45078</v>
      </c>
      <c r="D1354" s="12">
        <f>IFERROR(__xludf.DUMMYFUNCTION("""COMPUTED_VALUE"""),45078.0)</f>
        <v>45078</v>
      </c>
      <c r="E1354" s="13">
        <f>IFERROR(__xludf.DUMMYFUNCTION("""COMPUTED_VALUE"""),0.33108796296437504)</f>
        <v>0.331087963</v>
      </c>
      <c r="F1354" s="7" t="str">
        <f>IFERROR(__xludf.DUMMYFUNCTION("""COMPUTED_VALUE"""),"Negative")</f>
        <v>Negative</v>
      </c>
      <c r="G1354" s="7">
        <f>IFERROR(__xludf.DUMMYFUNCTION("""COMPUTED_VALUE"""),1.0)</f>
        <v>1</v>
      </c>
    </row>
    <row r="1355">
      <c r="A1355" s="7" t="str">
        <f>IFERROR(__xludf.DUMMYFUNCTION("""COMPUTED_VALUE"""),"AR1760")</f>
        <v>AR1760</v>
      </c>
      <c r="B1355" s="7" t="str">
        <f>IFERROR(__xludf.DUMMYFUNCTION("""COMPUTED_VALUE"""),"RUN-ABRM_2023-06-02_APS-023")</f>
        <v>RUN-ABRM_2023-06-02_APS-023</v>
      </c>
      <c r="C1355" s="8">
        <f>VLOOKUP(B1355,'Run Reconcile'!A$2:B3212,2,FALSE)</f>
        <v>45079</v>
      </c>
      <c r="D1355" s="12">
        <f>IFERROR(__xludf.DUMMYFUNCTION("""COMPUTED_VALUE"""),45079.0)</f>
        <v>45079</v>
      </c>
      <c r="E1355" s="13">
        <f>IFERROR(__xludf.DUMMYFUNCTION("""COMPUTED_VALUE"""),0.28453703703780775)</f>
        <v>0.284537037</v>
      </c>
      <c r="F1355" s="7" t="str">
        <f>IFERROR(__xludf.DUMMYFUNCTION("""COMPUTED_VALUE"""),"Negative")</f>
        <v>Negative</v>
      </c>
      <c r="G1355" s="7">
        <f>IFERROR(__xludf.DUMMYFUNCTION("""COMPUTED_VALUE"""),1.0)</f>
        <v>1</v>
      </c>
    </row>
    <row r="1356">
      <c r="A1356" s="7" t="str">
        <f>IFERROR(__xludf.DUMMYFUNCTION("""COMPUTED_VALUE"""),"AR1929")</f>
        <v>AR1929</v>
      </c>
      <c r="B1356" s="7" t="str">
        <f>IFERROR(__xludf.DUMMYFUNCTION("""COMPUTED_VALUE"""),"RUN-ABRM_2023-06-02_APS-023")</f>
        <v>RUN-ABRM_2023-06-02_APS-023</v>
      </c>
      <c r="C1356" s="8">
        <f>VLOOKUP(B1356,'Run Reconcile'!A$2:B3212,2,FALSE)</f>
        <v>45079</v>
      </c>
      <c r="D1356" s="12">
        <f>IFERROR(__xludf.DUMMYFUNCTION("""COMPUTED_VALUE"""),45079.0)</f>
        <v>45079</v>
      </c>
      <c r="E1356" s="13">
        <f>IFERROR(__xludf.DUMMYFUNCTION("""COMPUTED_VALUE"""),0.28802083333357587)</f>
        <v>0.2880208333</v>
      </c>
      <c r="F1356" s="7" t="str">
        <f>IFERROR(__xludf.DUMMYFUNCTION("""COMPUTED_VALUE"""),"Negative")</f>
        <v>Negative</v>
      </c>
      <c r="G1356" s="7">
        <f>IFERROR(__xludf.DUMMYFUNCTION("""COMPUTED_VALUE"""),2.0)</f>
        <v>2</v>
      </c>
    </row>
    <row r="1357">
      <c r="A1357" s="7" t="str">
        <f>IFERROR(__xludf.DUMMYFUNCTION("""COMPUTED_VALUE"""),"AK9600")</f>
        <v>AK9600</v>
      </c>
      <c r="B1357" s="7" t="str">
        <f>IFERROR(__xludf.DUMMYFUNCTION("""COMPUTED_VALUE"""),"RUN-ABRM_2023-06-02_APS-023")</f>
        <v>RUN-ABRM_2023-06-02_APS-023</v>
      </c>
      <c r="C1357" s="8">
        <f>VLOOKUP(B1357,'Run Reconcile'!A$2:B3212,2,FALSE)</f>
        <v>45079</v>
      </c>
      <c r="D1357" s="12">
        <f>IFERROR(__xludf.DUMMYFUNCTION("""COMPUTED_VALUE"""),45079.0)</f>
        <v>45079</v>
      </c>
      <c r="E1357" s="13">
        <f>IFERROR(__xludf.DUMMYFUNCTION("""COMPUTED_VALUE"""),0.3295833333322662)</f>
        <v>0.3295833333</v>
      </c>
      <c r="F1357" s="7" t="str">
        <f>IFERROR(__xludf.DUMMYFUNCTION("""COMPUTED_VALUE"""),"Negative")</f>
        <v>Negative</v>
      </c>
      <c r="G1357" s="7">
        <f>IFERROR(__xludf.DUMMYFUNCTION("""COMPUTED_VALUE"""),3.0)</f>
        <v>3</v>
      </c>
    </row>
    <row r="1358">
      <c r="A1358" s="7" t="str">
        <f>IFERROR(__xludf.DUMMYFUNCTION("""COMPUTED_VALUE"""),"AR603")</f>
        <v>AR603</v>
      </c>
      <c r="B1358" s="7" t="str">
        <f>IFERROR(__xludf.DUMMYFUNCTION("""COMPUTED_VALUE"""),"RUN-ABRM_2023-06-02_APS-023")</f>
        <v>RUN-ABRM_2023-06-02_APS-023</v>
      </c>
      <c r="C1358" s="8">
        <f>VLOOKUP(B1358,'Run Reconcile'!A$2:B3212,2,FALSE)</f>
        <v>45079</v>
      </c>
      <c r="D1358" s="12">
        <f>IFERROR(__xludf.DUMMYFUNCTION("""COMPUTED_VALUE"""),45079.0)</f>
        <v>45079</v>
      </c>
      <c r="E1358" s="13">
        <f>IFERROR(__xludf.DUMMYFUNCTION("""COMPUTED_VALUE"""),0.33436342592540313)</f>
        <v>0.3343634259</v>
      </c>
      <c r="F1358" s="7" t="str">
        <f>IFERROR(__xludf.DUMMYFUNCTION("""COMPUTED_VALUE"""),"Negative")</f>
        <v>Negative</v>
      </c>
      <c r="G1358" s="7">
        <f>IFERROR(__xludf.DUMMYFUNCTION("""COMPUTED_VALUE"""),4.0)</f>
        <v>4</v>
      </c>
    </row>
    <row r="1359">
      <c r="A1359" s="7" t="str">
        <f>IFERROR(__xludf.DUMMYFUNCTION("""COMPUTED_VALUE"""),"ARFABRM001")</f>
        <v>ARFABRM001</v>
      </c>
      <c r="B1359" s="7" t="str">
        <f>IFERROR(__xludf.DUMMYFUNCTION("""COMPUTED_VALUE"""),"RUN-ABRM_2022-09-06_RFR-002")</f>
        <v>RUN-ABRM_2022-09-06_RFR-002</v>
      </c>
      <c r="C1359" s="8">
        <f>VLOOKUP(B1359,'Run Reconcile'!A$2:B3212,2,FALSE)</f>
        <v>44810</v>
      </c>
      <c r="F1359" s="7" t="str">
        <f>IFERROR(__xludf.DUMMYFUNCTION("""COMPUTED_VALUE"""),"Negative")</f>
        <v>Negative</v>
      </c>
    </row>
    <row r="1360">
      <c r="A1360" s="7" t="str">
        <f>IFERROR(__xludf.DUMMYFUNCTION("""COMPUTED_VALUE"""),"ARFABRM002")</f>
        <v>ARFABRM002</v>
      </c>
      <c r="B1360" s="7" t="str">
        <f>IFERROR(__xludf.DUMMYFUNCTION("""COMPUTED_VALUE"""),"RUN-ABRM_2022-09-06_RFR-002")</f>
        <v>RUN-ABRM_2022-09-06_RFR-002</v>
      </c>
      <c r="C1360" s="8">
        <f>VLOOKUP(B1360,'Run Reconcile'!A$2:B3212,2,FALSE)</f>
        <v>44810</v>
      </c>
      <c r="F1360" s="7" t="str">
        <f>IFERROR(__xludf.DUMMYFUNCTION("""COMPUTED_VALUE"""),"Negative")</f>
        <v>Negative</v>
      </c>
    </row>
    <row r="1361">
      <c r="A1361" s="7" t="str">
        <f>IFERROR(__xludf.DUMMYFUNCTION("""COMPUTED_VALUE"""),"ARFABRM003")</f>
        <v>ARFABRM003</v>
      </c>
      <c r="B1361" s="7" t="str">
        <f>IFERROR(__xludf.DUMMYFUNCTION("""COMPUTED_VALUE"""),"RUN-ABRM_2022-09-06_RFR-002")</f>
        <v>RUN-ABRM_2022-09-06_RFR-002</v>
      </c>
      <c r="C1361" s="8">
        <f>VLOOKUP(B1361,'Run Reconcile'!A$2:B3212,2,FALSE)</f>
        <v>44810</v>
      </c>
      <c r="F1361" s="7" t="str">
        <f>IFERROR(__xludf.DUMMYFUNCTION("""COMPUTED_VALUE"""),"Negative")</f>
        <v>Negative</v>
      </c>
    </row>
    <row r="1362">
      <c r="A1362" s="7" t="str">
        <f>IFERROR(__xludf.DUMMYFUNCTION("""COMPUTED_VALUE"""),"ARFABRM004")</f>
        <v>ARFABRM004</v>
      </c>
      <c r="B1362" s="7" t="str">
        <f>IFERROR(__xludf.DUMMYFUNCTION("""COMPUTED_VALUE"""),"RUN-ABRM_2022-09-06_RFR-002")</f>
        <v>RUN-ABRM_2022-09-06_RFR-002</v>
      </c>
      <c r="C1362" s="8">
        <f>VLOOKUP(B1362,'Run Reconcile'!A$2:B3212,2,FALSE)</f>
        <v>44810</v>
      </c>
      <c r="F1362" s="7" t="str">
        <f>IFERROR(__xludf.DUMMYFUNCTION("""COMPUTED_VALUE"""),"Negative")</f>
        <v>Negative</v>
      </c>
    </row>
    <row r="1363">
      <c r="A1363" s="7" t="str">
        <f>IFERROR(__xludf.DUMMYFUNCTION("""COMPUTED_VALUE"""),"ARFABRM005")</f>
        <v>ARFABRM005</v>
      </c>
      <c r="B1363" s="7" t="str">
        <f>IFERROR(__xludf.DUMMYFUNCTION("""COMPUTED_VALUE"""),"RUN-ABRM_2022-09-06_RFR-002")</f>
        <v>RUN-ABRM_2022-09-06_RFR-002</v>
      </c>
      <c r="C1363" s="8">
        <f>VLOOKUP(B1363,'Run Reconcile'!A$2:B3212,2,FALSE)</f>
        <v>44810</v>
      </c>
      <c r="F1363" s="7" t="str">
        <f>IFERROR(__xludf.DUMMYFUNCTION("""COMPUTED_VALUE"""),"Negative")</f>
        <v>Negative</v>
      </c>
    </row>
    <row r="1364">
      <c r="A1364" s="7" t="str">
        <f>IFERROR(__xludf.DUMMYFUNCTION("""COMPUTED_VALUE"""),"ARFABRM006")</f>
        <v>ARFABRM006</v>
      </c>
      <c r="B1364" s="7" t="str">
        <f>IFERROR(__xludf.DUMMYFUNCTION("""COMPUTED_VALUE"""),"RUN-ABRM_2022-09-06_RFR-002")</f>
        <v>RUN-ABRM_2022-09-06_RFR-002</v>
      </c>
      <c r="C1364" s="8">
        <f>VLOOKUP(B1364,'Run Reconcile'!A$2:B3212,2,FALSE)</f>
        <v>44810</v>
      </c>
      <c r="F1364" s="7" t="str">
        <f>IFERROR(__xludf.DUMMYFUNCTION("""COMPUTED_VALUE"""),"Negative")</f>
        <v>Negative</v>
      </c>
    </row>
    <row r="1365">
      <c r="A1365" s="7" t="str">
        <f>IFERROR(__xludf.DUMMYFUNCTION("""COMPUTED_VALUE"""),"ARFABRM007")</f>
        <v>ARFABRM007</v>
      </c>
      <c r="B1365" s="7" t="str">
        <f>IFERROR(__xludf.DUMMYFUNCTION("""COMPUTED_VALUE"""),"RUN-ABRM_2022-11-17_RFR-079")</f>
        <v>RUN-ABRM_2022-11-17_RFR-079</v>
      </c>
      <c r="C1365" s="8">
        <f>VLOOKUP(B1365,'Run Reconcile'!A$2:B3212,2,FALSE)</f>
        <v>44882</v>
      </c>
      <c r="F1365" s="7" t="str">
        <f>IFERROR(__xludf.DUMMYFUNCTION("""COMPUTED_VALUE"""),"Negative")</f>
        <v>Negative</v>
      </c>
    </row>
    <row r="1366">
      <c r="A1366" s="7" t="str">
        <f>IFERROR(__xludf.DUMMYFUNCTION("""COMPUTED_VALUE"""),"ARFABRM008")</f>
        <v>ARFABRM008</v>
      </c>
      <c r="B1366" s="7" t="str">
        <f>IFERROR(__xludf.DUMMYFUNCTION("""COMPUTED_VALUE"""),"RUN-ABRM_2022-11-17_RFR-079")</f>
        <v>RUN-ABRM_2022-11-17_RFR-079</v>
      </c>
      <c r="C1366" s="8">
        <f>VLOOKUP(B1366,'Run Reconcile'!A$2:B3212,2,FALSE)</f>
        <v>44882</v>
      </c>
      <c r="F1366" s="7" t="str">
        <f>IFERROR(__xludf.DUMMYFUNCTION("""COMPUTED_VALUE"""),"Negative")</f>
        <v>Negative</v>
      </c>
    </row>
    <row r="1367">
      <c r="A1367" s="7" t="str">
        <f>IFERROR(__xludf.DUMMYFUNCTION("""COMPUTED_VALUE"""),"ARFABRM009")</f>
        <v>ARFABRM009</v>
      </c>
      <c r="B1367" s="7" t="str">
        <f>IFERROR(__xludf.DUMMYFUNCTION("""COMPUTED_VALUE"""),"RUN-ABRM_2023-04-21_RFR-217")</f>
        <v>RUN-ABRM_2023-04-21_RFR-217</v>
      </c>
      <c r="C1367" s="8">
        <f>VLOOKUP(B1367,'Run Reconcile'!A$2:B3212,2,FALSE)</f>
        <v>45037</v>
      </c>
      <c r="F1367" s="7" t="str">
        <f>IFERROR(__xludf.DUMMYFUNCTION("""COMPUTED_VALUE"""),"Negative")</f>
        <v>Negative</v>
      </c>
    </row>
    <row r="1368">
      <c r="A1368" s="7" t="str">
        <f>IFERROR(__xludf.DUMMYFUNCTION("""COMPUTED_VALUE"""),"ARFABRM010")</f>
        <v>ARFABRM010</v>
      </c>
      <c r="B1368" s="7" t="str">
        <f>IFERROR(__xludf.DUMMYFUNCTION("""COMPUTED_VALUE"""),"RUN-ABRM_2023-04-21_RFR-217")</f>
        <v>RUN-ABRM_2023-04-21_RFR-217</v>
      </c>
      <c r="C1368" s="8">
        <f>VLOOKUP(B1368,'Run Reconcile'!A$2:B3212,2,FALSE)</f>
        <v>45037</v>
      </c>
      <c r="F1368" s="7" t="str">
        <f>IFERROR(__xludf.DUMMYFUNCTION("""COMPUTED_VALUE"""),"Negative")</f>
        <v>Negative</v>
      </c>
    </row>
    <row r="1369">
      <c r="A1369" s="7" t="str">
        <f>IFERROR(__xludf.DUMMYFUNCTION("""COMPUTED_VALUE"""),"ARFABRM011")</f>
        <v>ARFABRM011</v>
      </c>
      <c r="B1369" s="7" t="str">
        <f>IFERROR(__xludf.DUMMYFUNCTION("""COMPUTED_VALUE"""),"RUN-ABRM_2023-04-28_RFR-221")</f>
        <v>RUN-ABRM_2023-04-28_RFR-221</v>
      </c>
      <c r="C1369" s="8">
        <f>VLOOKUP(B1369,'Run Reconcile'!A$2:B3212,2,FALSE)</f>
        <v>45044</v>
      </c>
      <c r="F1369" s="7" t="str">
        <f>IFERROR(__xludf.DUMMYFUNCTION("""COMPUTED_VALUE"""),"Negative")</f>
        <v>Negative</v>
      </c>
    </row>
    <row r="1370">
      <c r="A1370" s="7" t="str">
        <f>IFERROR(__xludf.DUMMYFUNCTION("""COMPUTED_VALUE"""),"ARFABRM012")</f>
        <v>ARFABRM012</v>
      </c>
      <c r="B1370" s="7" t="str">
        <f>IFERROR(__xludf.DUMMYFUNCTION("""COMPUTED_VALUE"""),"RUN-ABRM_2023-04-28_RFR-221")</f>
        <v>RUN-ABRM_2023-04-28_RFR-221</v>
      </c>
      <c r="C1370" s="8">
        <f>VLOOKUP(B1370,'Run Reconcile'!A$2:B3212,2,FALSE)</f>
        <v>45044</v>
      </c>
      <c r="F1370" s="7" t="str">
        <f>IFERROR(__xludf.DUMMYFUNCTION("""COMPUTED_VALUE"""),"Negative")</f>
        <v>Negative</v>
      </c>
    </row>
    <row r="1371">
      <c r="A1371" s="7" t="str">
        <f>IFERROR(__xludf.DUMMYFUNCTION("""COMPUTED_VALUE"""),"ARFABRM013")</f>
        <v>ARFABRM013</v>
      </c>
      <c r="B1371" s="7" t="str">
        <f>IFERROR(__xludf.DUMMYFUNCTION("""COMPUTED_VALUE"""),"RUN-ABRM_2023-05-19_RFR-227")</f>
        <v>RUN-ABRM_2023-05-19_RFR-227</v>
      </c>
      <c r="C1371" s="8">
        <f>VLOOKUP(B1371,'Run Reconcile'!A$2:B3212,2,FALSE)</f>
        <v>45065</v>
      </c>
      <c r="F1371" s="7" t="str">
        <f>IFERROR(__xludf.DUMMYFUNCTION("""COMPUTED_VALUE"""),"Positive")</f>
        <v>Positive</v>
      </c>
    </row>
    <row r="1372">
      <c r="A1372" s="7" t="str">
        <f>IFERROR(__xludf.DUMMYFUNCTION("""COMPUTED_VALUE"""),"ARFABRM014")</f>
        <v>ARFABRM014</v>
      </c>
      <c r="B1372" s="7" t="str">
        <f>IFERROR(__xludf.DUMMYFUNCTION("""COMPUTED_VALUE"""),"RUN-ABRM_2023-05-19_RFR-227")</f>
        <v>RUN-ABRM_2023-05-19_RFR-227</v>
      </c>
      <c r="C1372" s="8">
        <f>VLOOKUP(B1372,'Run Reconcile'!A$2:B3212,2,FALSE)</f>
        <v>45065</v>
      </c>
      <c r="F1372" s="7" t="str">
        <f>IFERROR(__xludf.DUMMYFUNCTION("""COMPUTED_VALUE"""),"Negative")</f>
        <v>Negative</v>
      </c>
    </row>
    <row r="1373">
      <c r="A1373" s="7" t="str">
        <f>IFERROR(__xludf.DUMMYFUNCTION("""COMPUTED_VALUE"""),"ARFABRM015")</f>
        <v>ARFABRM015</v>
      </c>
      <c r="B1373" s="7" t="str">
        <f>IFERROR(__xludf.DUMMYFUNCTION("""COMPUTED_VALUE"""),"RUN-ABRM_2022-09-05_RFR-001")</f>
        <v>RUN-ABRM_2022-09-05_RFR-001</v>
      </c>
      <c r="C1373" s="8">
        <f>VLOOKUP(B1373,'Run Reconcile'!A$2:B3212,2,FALSE)</f>
        <v>44809</v>
      </c>
      <c r="F1373" s="7" t="str">
        <f>IFERROR(__xludf.DUMMYFUNCTION("""COMPUTED_VALUE"""),"Negative")</f>
        <v>Negative</v>
      </c>
    </row>
    <row r="1374">
      <c r="A1374" s="7" t="str">
        <f>IFERROR(__xludf.DUMMYFUNCTION("""COMPUTED_VALUE"""),"ARFABRM016")</f>
        <v>ARFABRM016</v>
      </c>
      <c r="B1374" s="7" t="str">
        <f>IFERROR(__xludf.DUMMYFUNCTION("""COMPUTED_VALUE"""),"RUN-ABRM_2022-12-09_RFR-104")</f>
        <v>RUN-ABRM_2022-12-09_RFR-104</v>
      </c>
      <c r="C1374" s="8">
        <f>VLOOKUP(B1374,'Run Reconcile'!A$2:B3212,2,FALSE)</f>
        <v>44904</v>
      </c>
      <c r="F1374" s="7" t="str">
        <f>IFERROR(__xludf.DUMMYFUNCTION("""COMPUTED_VALUE"""),"Negative")</f>
        <v>Negative</v>
      </c>
    </row>
    <row r="1375">
      <c r="A1375" s="7" t="str">
        <f>IFERROR(__xludf.DUMMYFUNCTION("""COMPUTED_VALUE"""),"ARFABRM017")</f>
        <v>ARFABRM017</v>
      </c>
      <c r="B1375" s="7" t="str">
        <f>IFERROR(__xludf.DUMMYFUNCTION("""COMPUTED_VALUE"""),"RUN-ABRM_2023-03-27_RFR-194")</f>
        <v>RUN-ABRM_2023-03-27_RFR-194</v>
      </c>
      <c r="C1375" s="8">
        <f>VLOOKUP(B1375,'Run Reconcile'!A$2:B3212,2,FALSE)</f>
        <v>45012</v>
      </c>
      <c r="F1375" s="7" t="str">
        <f>IFERROR(__xludf.DUMMYFUNCTION("""COMPUTED_VALUE"""),"Negative")</f>
        <v>Negative</v>
      </c>
    </row>
    <row r="1376">
      <c r="A1376" s="7" t="str">
        <f>IFERROR(__xludf.DUMMYFUNCTION("""COMPUTED_VALUE"""),"ARFABRM018")</f>
        <v>ARFABRM018</v>
      </c>
      <c r="B1376" s="7" t="str">
        <f>IFERROR(__xludf.DUMMYFUNCTION("""COMPUTED_VALUE"""),"RUN-ABRM_2023-04-19_RFR-215")</f>
        <v>RUN-ABRM_2023-04-19_RFR-215</v>
      </c>
      <c r="C1376" s="8">
        <f>VLOOKUP(B1376,'Run Reconcile'!A$2:B3212,2,FALSE)</f>
        <v>45035</v>
      </c>
      <c r="F1376" s="7" t="str">
        <f>IFERROR(__xludf.DUMMYFUNCTION("""COMPUTED_VALUE"""),"Negative")</f>
        <v>Negative</v>
      </c>
    </row>
    <row r="1377">
      <c r="A1377" s="7" t="str">
        <f>IFERROR(__xludf.DUMMYFUNCTION("""COMPUTED_VALUE"""),"ARFABRM019")</f>
        <v>ARFABRM019</v>
      </c>
      <c r="B1377" s="7" t="str">
        <f>IFERROR(__xludf.DUMMYFUNCTION("""COMPUTED_VALUE"""),"RUN-ABRM_2023-04-24_RFR-219")</f>
        <v>RUN-ABRM_2023-04-24_RFR-219</v>
      </c>
      <c r="C1377" s="8">
        <f>VLOOKUP(B1377,'Run Reconcile'!A$2:B3212,2,FALSE)</f>
        <v>45040</v>
      </c>
      <c r="F1377" s="7" t="str">
        <f>IFERROR(__xludf.DUMMYFUNCTION("""COMPUTED_VALUE"""),"Negative")</f>
        <v>Negative</v>
      </c>
    </row>
    <row r="1378">
      <c r="A1378" s="7" t="str">
        <f>IFERROR(__xludf.DUMMYFUNCTION("""COMPUTED_VALUE"""),"ARFABRM020")</f>
        <v>ARFABRM020</v>
      </c>
      <c r="B1378" s="7" t="str">
        <f>IFERROR(__xludf.DUMMYFUNCTION("""COMPUTED_VALUE"""),"RUN-ABRM_2023-05-17_RFR-225")</f>
        <v>RUN-ABRM_2023-05-17_RFR-225</v>
      </c>
      <c r="C1378" s="8">
        <f>VLOOKUP(B1378,'Run Reconcile'!A$2:B3212,2,FALSE)</f>
        <v>45063</v>
      </c>
      <c r="F1378" s="7" t="str">
        <f>IFERROR(__xludf.DUMMYFUNCTION("""COMPUTED_VALUE"""),"Negative")</f>
        <v>Negative</v>
      </c>
    </row>
    <row r="1379">
      <c r="A1379" s="7" t="str">
        <f>IFERROR(__xludf.DUMMYFUNCTION("""COMPUTED_VALUE"""),"ARFABRM021")</f>
        <v>ARFABRM021</v>
      </c>
      <c r="B1379" s="7" t="str">
        <f>IFERROR(__xludf.DUMMYFUNCTION("""COMPUTED_VALUE"""),"RUN-ABRM_2023-05-29_RFR-236")</f>
        <v>RUN-ABRM_2023-05-29_RFR-236</v>
      </c>
      <c r="C1379" s="8">
        <f>VLOOKUP(B1379,'Run Reconcile'!A$2:B3212,2,FALSE)</f>
        <v>45075</v>
      </c>
      <c r="F1379" s="7" t="str">
        <f>IFERROR(__xludf.DUMMYFUNCTION("""COMPUTED_VALUE"""),"Negative")</f>
        <v>Negative</v>
      </c>
    </row>
    <row r="1380">
      <c r="A1380" s="7" t="str">
        <f>IFERROR(__xludf.DUMMYFUNCTION("""COMPUTED_VALUE"""),"ARFABRM022")</f>
        <v>ARFABRM022</v>
      </c>
      <c r="B1380" s="7" t="str">
        <f>IFERROR(__xludf.DUMMYFUNCTION("""COMPUTED_VALUE"""),"RUN-ABRM_2023-05-24_RFR-232")</f>
        <v>RUN-ABRM_2023-05-24_RFR-232</v>
      </c>
      <c r="C1380" s="8">
        <f>VLOOKUP(B1380,'Run Reconcile'!A$2:B3212,2,FALSE)</f>
        <v>45070</v>
      </c>
      <c r="F1380" s="7" t="str">
        <f>IFERROR(__xludf.DUMMYFUNCTION("""COMPUTED_VALUE"""),"Negative")</f>
        <v>Negative</v>
      </c>
    </row>
    <row r="1381">
      <c r="C1381" s="14"/>
    </row>
    <row r="1382">
      <c r="C1382" s="14"/>
    </row>
    <row r="1383">
      <c r="C1383" s="14"/>
    </row>
    <row r="1384">
      <c r="C1384" s="14"/>
    </row>
    <row r="1385">
      <c r="C1385" s="14"/>
    </row>
    <row r="1386">
      <c r="C1386" s="14"/>
    </row>
    <row r="1387">
      <c r="C1387" s="14"/>
    </row>
    <row r="1388">
      <c r="C1388" s="14"/>
    </row>
    <row r="1389">
      <c r="C1389" s="14"/>
    </row>
    <row r="1390">
      <c r="C1390" s="14"/>
    </row>
    <row r="1391">
      <c r="C1391" s="14"/>
    </row>
    <row r="1392">
      <c r="C1392" s="14"/>
    </row>
    <row r="1393">
      <c r="C1393" s="14"/>
    </row>
    <row r="1394">
      <c r="C1394" s="14"/>
    </row>
    <row r="1395">
      <c r="C1395" s="14"/>
    </row>
    <row r="1396">
      <c r="C1396" s="14"/>
    </row>
    <row r="1397">
      <c r="C1397" s="14"/>
    </row>
    <row r="1398">
      <c r="C1398" s="14"/>
    </row>
    <row r="1399">
      <c r="C1399" s="14"/>
    </row>
    <row r="1400">
      <c r="C1400" s="14"/>
    </row>
    <row r="1401">
      <c r="C1401" s="14"/>
    </row>
    <row r="1402">
      <c r="C1402" s="14"/>
    </row>
    <row r="1403">
      <c r="C1403" s="14"/>
    </row>
    <row r="1404">
      <c r="C1404" s="14"/>
    </row>
    <row r="1405">
      <c r="C1405" s="14"/>
    </row>
    <row r="1406">
      <c r="C1406" s="14"/>
    </row>
    <row r="1407">
      <c r="C1407" s="14"/>
    </row>
    <row r="1408">
      <c r="C1408" s="14"/>
    </row>
    <row r="1409">
      <c r="C1409" s="14"/>
    </row>
    <row r="1410">
      <c r="C1410" s="14"/>
    </row>
    <row r="1411">
      <c r="C1411" s="14"/>
    </row>
    <row r="1412">
      <c r="C1412" s="14"/>
    </row>
    <row r="1413">
      <c r="C1413" s="14"/>
    </row>
    <row r="1414">
      <c r="C1414" s="14"/>
    </row>
    <row r="1415">
      <c r="C1415" s="14"/>
    </row>
    <row r="1416">
      <c r="C1416" s="14"/>
    </row>
    <row r="1417">
      <c r="C1417" s="14"/>
    </row>
    <row r="1418">
      <c r="C1418" s="14"/>
    </row>
    <row r="1419">
      <c r="C1419" s="14"/>
    </row>
    <row r="1420">
      <c r="C1420" s="14"/>
    </row>
    <row r="1421">
      <c r="C1421" s="14"/>
    </row>
    <row r="1422">
      <c r="C1422" s="14"/>
    </row>
    <row r="1423">
      <c r="C1423" s="14"/>
    </row>
    <row r="1424">
      <c r="C1424" s="14"/>
    </row>
    <row r="1425">
      <c r="C1425" s="14"/>
    </row>
    <row r="1426">
      <c r="C1426" s="14"/>
    </row>
    <row r="1427">
      <c r="C1427" s="14"/>
    </row>
    <row r="1428">
      <c r="C1428" s="14"/>
    </row>
    <row r="1429">
      <c r="C1429" s="14"/>
    </row>
    <row r="1430">
      <c r="C1430" s="14"/>
    </row>
    <row r="1431">
      <c r="C1431" s="14"/>
    </row>
    <row r="1432">
      <c r="C1432" s="14"/>
    </row>
    <row r="1433">
      <c r="C1433" s="14"/>
    </row>
    <row r="1434">
      <c r="C1434" s="14"/>
    </row>
    <row r="1435">
      <c r="C1435" s="14"/>
    </row>
    <row r="1436">
      <c r="C1436" s="14"/>
    </row>
    <row r="1437">
      <c r="C1437" s="14"/>
    </row>
    <row r="1438">
      <c r="C1438" s="14"/>
    </row>
    <row r="1439">
      <c r="C1439" s="14"/>
    </row>
    <row r="1440">
      <c r="C1440" s="14"/>
    </row>
    <row r="1441">
      <c r="C1441" s="14"/>
    </row>
    <row r="1442">
      <c r="C1442" s="14"/>
    </row>
    <row r="1443">
      <c r="C1443" s="14"/>
    </row>
    <row r="1444">
      <c r="C1444" s="14"/>
    </row>
    <row r="1445">
      <c r="C1445" s="14"/>
    </row>
    <row r="1446">
      <c r="C1446" s="14"/>
    </row>
    <row r="1447">
      <c r="C1447" s="14"/>
    </row>
    <row r="1448">
      <c r="C1448" s="14"/>
    </row>
    <row r="1449">
      <c r="C1449" s="14"/>
    </row>
    <row r="1450">
      <c r="C1450" s="14"/>
    </row>
    <row r="1451">
      <c r="C1451" s="14"/>
    </row>
    <row r="1452">
      <c r="C1452" s="14"/>
    </row>
    <row r="1453">
      <c r="C1453" s="14"/>
    </row>
    <row r="1454">
      <c r="C1454" s="14"/>
    </row>
    <row r="1455">
      <c r="C1455" s="14"/>
    </row>
    <row r="1456">
      <c r="C1456" s="14"/>
    </row>
    <row r="1457">
      <c r="C1457" s="14"/>
    </row>
    <row r="1458">
      <c r="C1458" s="14"/>
    </row>
    <row r="1459">
      <c r="C1459" s="14"/>
    </row>
    <row r="1460">
      <c r="C1460" s="14"/>
    </row>
    <row r="1461">
      <c r="C1461" s="14"/>
    </row>
    <row r="1462">
      <c r="C1462" s="14"/>
    </row>
    <row r="1463">
      <c r="C1463" s="14"/>
    </row>
    <row r="1464">
      <c r="C1464" s="14"/>
    </row>
    <row r="1465">
      <c r="C1465" s="14"/>
    </row>
    <row r="1466">
      <c r="C1466" s="14"/>
    </row>
    <row r="1467">
      <c r="C1467" s="14"/>
    </row>
    <row r="1468">
      <c r="C1468" s="14"/>
    </row>
    <row r="1469">
      <c r="C1469" s="14"/>
    </row>
    <row r="1470">
      <c r="C1470" s="14"/>
    </row>
    <row r="1471">
      <c r="C1471" s="14"/>
    </row>
    <row r="1472">
      <c r="C1472" s="14"/>
    </row>
    <row r="1473">
      <c r="C1473" s="14"/>
    </row>
    <row r="1474">
      <c r="C1474" s="14"/>
    </row>
    <row r="1475">
      <c r="C1475" s="14"/>
    </row>
    <row r="1476">
      <c r="C1476" s="14"/>
    </row>
    <row r="1477">
      <c r="C1477" s="14"/>
    </row>
    <row r="1478">
      <c r="C1478" s="14"/>
    </row>
    <row r="1479">
      <c r="C1479" s="14"/>
    </row>
    <row r="1480">
      <c r="C1480" s="14"/>
    </row>
    <row r="1481">
      <c r="C1481" s="14"/>
    </row>
    <row r="1482">
      <c r="C1482" s="14"/>
    </row>
    <row r="1483">
      <c r="C1483" s="14"/>
    </row>
    <row r="1484">
      <c r="C1484" s="14"/>
    </row>
    <row r="1485">
      <c r="C1485" s="14"/>
    </row>
    <row r="1486">
      <c r="C1486" s="14"/>
    </row>
    <row r="1487">
      <c r="C1487" s="14"/>
    </row>
    <row r="1488">
      <c r="C1488" s="14"/>
    </row>
    <row r="1489">
      <c r="C1489" s="14"/>
    </row>
    <row r="1490">
      <c r="C1490" s="14"/>
    </row>
    <row r="1491">
      <c r="C1491" s="14"/>
    </row>
    <row r="1492">
      <c r="C1492" s="14"/>
    </row>
    <row r="1493">
      <c r="C1493" s="14"/>
    </row>
    <row r="1494">
      <c r="C1494" s="14"/>
    </row>
    <row r="1495">
      <c r="C1495" s="14"/>
    </row>
    <row r="1496">
      <c r="C1496" s="14"/>
    </row>
    <row r="1497">
      <c r="C1497" s="14"/>
    </row>
    <row r="1498">
      <c r="C1498" s="14"/>
    </row>
    <row r="1499">
      <c r="C1499" s="14"/>
    </row>
    <row r="1500">
      <c r="C1500" s="14"/>
    </row>
    <row r="1501">
      <c r="C1501" s="14"/>
    </row>
    <row r="1502">
      <c r="C1502" s="14"/>
    </row>
    <row r="1503">
      <c r="C1503" s="14"/>
    </row>
    <row r="1504">
      <c r="C1504" s="14"/>
    </row>
    <row r="1505">
      <c r="C1505" s="14"/>
    </row>
    <row r="1506">
      <c r="C1506" s="14"/>
    </row>
    <row r="1507">
      <c r="C1507" s="14"/>
    </row>
    <row r="1508">
      <c r="C1508" s="14"/>
    </row>
    <row r="1509">
      <c r="C1509" s="14"/>
    </row>
    <row r="1510">
      <c r="C1510" s="14"/>
    </row>
    <row r="1511">
      <c r="C1511" s="14"/>
    </row>
    <row r="1512">
      <c r="C1512" s="14"/>
    </row>
    <row r="1513">
      <c r="C1513" s="14"/>
    </row>
    <row r="1514">
      <c r="C1514" s="14"/>
    </row>
    <row r="1515">
      <c r="C1515" s="14"/>
    </row>
    <row r="1516">
      <c r="C1516" s="14"/>
    </row>
    <row r="1517">
      <c r="C1517" s="14"/>
    </row>
    <row r="1518">
      <c r="C1518" s="14"/>
    </row>
    <row r="1519">
      <c r="C1519" s="14"/>
    </row>
    <row r="1520">
      <c r="C1520" s="14"/>
    </row>
    <row r="1521">
      <c r="C1521" s="14"/>
    </row>
    <row r="1522">
      <c r="C1522" s="14"/>
    </row>
    <row r="1523">
      <c r="C1523" s="14"/>
    </row>
    <row r="1524">
      <c r="C1524" s="14"/>
    </row>
    <row r="1525">
      <c r="C1525" s="14"/>
    </row>
    <row r="1526">
      <c r="C1526" s="14"/>
    </row>
    <row r="1527">
      <c r="C1527" s="14"/>
    </row>
    <row r="1528">
      <c r="C1528" s="14"/>
    </row>
    <row r="1529">
      <c r="C1529" s="14"/>
    </row>
    <row r="1530">
      <c r="C1530" s="14"/>
    </row>
    <row r="1531">
      <c r="C1531" s="14"/>
    </row>
    <row r="1532">
      <c r="C1532" s="14"/>
    </row>
    <row r="1533">
      <c r="C1533" s="14"/>
    </row>
    <row r="1534">
      <c r="C1534" s="14"/>
    </row>
    <row r="1535">
      <c r="C1535" s="14"/>
    </row>
    <row r="1536">
      <c r="C1536" s="14"/>
    </row>
    <row r="1537">
      <c r="C1537" s="14"/>
    </row>
    <row r="1538">
      <c r="C1538" s="14"/>
    </row>
    <row r="1539">
      <c r="C1539" s="14"/>
    </row>
    <row r="1540">
      <c r="C1540" s="14"/>
    </row>
    <row r="1541">
      <c r="C1541" s="14"/>
    </row>
    <row r="1542">
      <c r="C1542" s="14"/>
    </row>
    <row r="1543">
      <c r="C1543" s="14"/>
    </row>
    <row r="1544">
      <c r="C1544" s="14"/>
    </row>
    <row r="1545">
      <c r="C1545" s="14"/>
    </row>
    <row r="1546">
      <c r="C1546" s="14"/>
    </row>
    <row r="1547">
      <c r="C1547" s="14"/>
    </row>
    <row r="1548">
      <c r="C1548" s="14"/>
    </row>
    <row r="1549">
      <c r="C1549" s="14"/>
    </row>
    <row r="1550">
      <c r="C1550" s="14"/>
    </row>
    <row r="1551">
      <c r="C1551" s="14"/>
    </row>
    <row r="1552">
      <c r="C1552" s="14"/>
    </row>
    <row r="1553">
      <c r="C1553" s="14"/>
    </row>
    <row r="1554">
      <c r="C1554" s="14"/>
    </row>
    <row r="1555">
      <c r="C1555" s="14"/>
    </row>
    <row r="1556">
      <c r="C1556" s="14"/>
    </row>
    <row r="1557">
      <c r="C1557" s="14"/>
    </row>
    <row r="1558">
      <c r="C1558" s="14"/>
    </row>
    <row r="1559">
      <c r="C1559" s="14"/>
    </row>
    <row r="1560">
      <c r="C1560" s="14"/>
    </row>
    <row r="1561">
      <c r="C1561" s="14"/>
    </row>
    <row r="1562">
      <c r="C1562" s="14"/>
    </row>
    <row r="1563">
      <c r="C1563" s="14"/>
    </row>
    <row r="1564">
      <c r="C1564" s="14"/>
    </row>
    <row r="1565">
      <c r="C1565" s="14"/>
    </row>
    <row r="1566">
      <c r="C1566" s="14"/>
    </row>
    <row r="1567">
      <c r="C1567" s="14"/>
    </row>
    <row r="1568">
      <c r="C1568" s="14"/>
    </row>
    <row r="1569">
      <c r="C1569" s="14"/>
    </row>
    <row r="1570">
      <c r="C1570" s="14"/>
    </row>
    <row r="1571">
      <c r="C1571" s="14"/>
    </row>
    <row r="1572">
      <c r="C1572" s="14"/>
    </row>
    <row r="1573">
      <c r="C1573" s="14"/>
    </row>
    <row r="1574">
      <c r="C1574" s="14"/>
    </row>
    <row r="1575">
      <c r="C1575" s="14"/>
    </row>
    <row r="1576">
      <c r="C1576" s="14"/>
    </row>
    <row r="1577">
      <c r="C1577" s="14"/>
    </row>
    <row r="1578">
      <c r="C1578" s="14"/>
    </row>
    <row r="1579">
      <c r="C1579" s="14"/>
    </row>
    <row r="1580">
      <c r="C1580" s="14"/>
    </row>
    <row r="1581">
      <c r="C1581" s="14"/>
    </row>
    <row r="1582">
      <c r="C1582" s="14"/>
    </row>
    <row r="1583">
      <c r="C1583" s="14"/>
    </row>
    <row r="1584">
      <c r="C1584" s="14"/>
    </row>
    <row r="1585">
      <c r="C1585" s="14"/>
    </row>
    <row r="1586">
      <c r="C1586" s="14"/>
    </row>
    <row r="1587">
      <c r="C1587" s="14"/>
    </row>
    <row r="1588">
      <c r="C1588" s="14"/>
    </row>
    <row r="1589">
      <c r="C1589" s="14"/>
    </row>
    <row r="1590">
      <c r="C1590" s="14"/>
    </row>
    <row r="1591">
      <c r="C1591" s="14"/>
    </row>
    <row r="1592">
      <c r="C1592" s="14"/>
    </row>
    <row r="1593">
      <c r="C1593" s="14"/>
    </row>
    <row r="1594">
      <c r="C1594" s="14"/>
    </row>
    <row r="1595">
      <c r="C1595" s="14"/>
    </row>
    <row r="1596">
      <c r="C1596" s="14"/>
    </row>
    <row r="1597">
      <c r="C1597" s="14"/>
    </row>
    <row r="1598">
      <c r="C1598" s="14"/>
    </row>
    <row r="1599">
      <c r="C1599" s="14"/>
    </row>
    <row r="1600">
      <c r="C1600" s="14"/>
    </row>
    <row r="1601">
      <c r="C1601" s="14"/>
    </row>
    <row r="1602">
      <c r="C1602" s="14"/>
    </row>
    <row r="1603">
      <c r="C1603" s="14"/>
    </row>
    <row r="1604">
      <c r="C1604" s="14"/>
    </row>
    <row r="1605">
      <c r="C1605" s="14"/>
    </row>
    <row r="1606">
      <c r="C1606" s="14"/>
    </row>
    <row r="1607">
      <c r="C1607" s="14"/>
    </row>
    <row r="1608">
      <c r="C1608" s="14"/>
    </row>
    <row r="1609">
      <c r="C1609" s="14"/>
    </row>
    <row r="1610">
      <c r="C1610" s="14"/>
    </row>
    <row r="1611">
      <c r="C1611" s="14"/>
    </row>
    <row r="1612">
      <c r="C1612" s="14"/>
    </row>
    <row r="1613">
      <c r="C1613" s="14"/>
    </row>
    <row r="1614">
      <c r="C1614" s="14"/>
    </row>
    <row r="1615">
      <c r="C1615" s="14"/>
    </row>
    <row r="1616">
      <c r="C1616" s="14"/>
    </row>
    <row r="1617">
      <c r="C1617" s="14"/>
    </row>
    <row r="1618">
      <c r="C1618" s="14"/>
    </row>
    <row r="1619">
      <c r="C1619" s="14"/>
    </row>
    <row r="1620">
      <c r="C1620" s="14"/>
    </row>
    <row r="1621">
      <c r="C1621" s="14"/>
    </row>
    <row r="1622">
      <c r="C1622" s="14"/>
    </row>
    <row r="1623">
      <c r="C1623" s="14"/>
    </row>
    <row r="1624">
      <c r="C1624" s="14"/>
    </row>
    <row r="1625">
      <c r="C1625" s="14"/>
    </row>
    <row r="1626">
      <c r="C1626" s="14"/>
    </row>
    <row r="1627">
      <c r="C1627" s="14"/>
    </row>
    <row r="1628">
      <c r="C1628" s="14"/>
    </row>
    <row r="1629">
      <c r="C1629" s="14"/>
    </row>
    <row r="1630">
      <c r="C1630" s="14"/>
    </row>
    <row r="1631">
      <c r="C1631" s="14"/>
    </row>
    <row r="1632">
      <c r="C1632" s="14"/>
    </row>
    <row r="1633">
      <c r="C1633" s="14"/>
    </row>
    <row r="1634">
      <c r="C1634" s="14"/>
    </row>
    <row r="1635">
      <c r="C1635" s="14"/>
    </row>
    <row r="1636">
      <c r="C1636" s="14"/>
    </row>
    <row r="1637">
      <c r="C1637" s="14"/>
    </row>
    <row r="1638">
      <c r="C1638" s="14"/>
    </row>
    <row r="1639">
      <c r="C1639" s="14"/>
    </row>
    <row r="1640">
      <c r="C1640" s="14"/>
    </row>
    <row r="1641">
      <c r="C1641" s="14"/>
    </row>
    <row r="1642">
      <c r="C1642" s="14"/>
    </row>
    <row r="1643">
      <c r="C1643" s="14"/>
    </row>
    <row r="1644">
      <c r="C1644" s="14"/>
    </row>
    <row r="1645">
      <c r="C1645" s="14"/>
    </row>
    <row r="1646">
      <c r="C1646" s="14"/>
    </row>
    <row r="1647">
      <c r="C1647" s="14"/>
    </row>
    <row r="1648">
      <c r="C1648" s="14"/>
    </row>
    <row r="1649">
      <c r="C1649" s="14"/>
    </row>
    <row r="1650">
      <c r="C1650" s="14"/>
    </row>
    <row r="1651">
      <c r="C1651" s="14"/>
    </row>
    <row r="1652">
      <c r="C1652" s="14"/>
    </row>
    <row r="1653">
      <c r="C1653" s="14"/>
    </row>
    <row r="1654">
      <c r="C1654" s="14"/>
    </row>
    <row r="1655">
      <c r="C1655" s="14"/>
    </row>
    <row r="1656">
      <c r="C1656" s="14"/>
    </row>
    <row r="1657">
      <c r="C1657" s="14"/>
    </row>
    <row r="1658">
      <c r="C1658" s="14"/>
    </row>
    <row r="1659">
      <c r="C1659" s="14"/>
    </row>
    <row r="1660">
      <c r="C1660" s="14"/>
    </row>
    <row r="1661">
      <c r="C1661" s="14"/>
    </row>
    <row r="1662">
      <c r="C1662" s="14"/>
    </row>
    <row r="1663">
      <c r="C1663" s="14"/>
    </row>
    <row r="1664">
      <c r="C1664" s="14"/>
    </row>
    <row r="1665">
      <c r="C1665" s="14"/>
    </row>
    <row r="1666">
      <c r="C1666" s="14"/>
    </row>
    <row r="1667">
      <c r="C1667" s="14"/>
    </row>
    <row r="1668">
      <c r="C1668" s="14"/>
    </row>
    <row r="1669">
      <c r="C1669" s="14"/>
    </row>
    <row r="1670">
      <c r="C1670" s="14"/>
    </row>
    <row r="1671">
      <c r="C1671" s="14"/>
    </row>
    <row r="1672">
      <c r="C1672" s="14"/>
    </row>
    <row r="1673">
      <c r="C1673" s="14"/>
    </row>
    <row r="1674">
      <c r="C1674" s="14"/>
    </row>
    <row r="1675">
      <c r="C1675" s="14"/>
    </row>
    <row r="1676">
      <c r="C1676" s="14"/>
    </row>
    <row r="1677">
      <c r="C1677" s="14"/>
    </row>
    <row r="1678">
      <c r="C1678" s="14"/>
    </row>
    <row r="1679">
      <c r="C1679" s="14"/>
    </row>
    <row r="1680">
      <c r="C1680" s="14"/>
    </row>
    <row r="1681">
      <c r="C1681" s="14"/>
    </row>
    <row r="1682">
      <c r="C1682" s="14"/>
    </row>
    <row r="1683">
      <c r="C1683" s="14"/>
    </row>
    <row r="1684">
      <c r="C1684" s="14"/>
    </row>
    <row r="1685">
      <c r="C1685" s="14"/>
    </row>
    <row r="1686">
      <c r="C1686" s="14"/>
    </row>
    <row r="1687">
      <c r="C1687" s="14"/>
    </row>
    <row r="1688">
      <c r="C1688" s="14"/>
    </row>
    <row r="1689">
      <c r="C1689" s="14"/>
    </row>
    <row r="1690">
      <c r="C1690" s="14"/>
    </row>
    <row r="1691">
      <c r="C1691" s="14"/>
    </row>
    <row r="1692">
      <c r="C1692" s="14"/>
    </row>
    <row r="1693">
      <c r="C1693" s="14"/>
    </row>
    <row r="1694">
      <c r="C1694" s="14"/>
    </row>
    <row r="1695">
      <c r="C1695" s="14"/>
    </row>
    <row r="1696">
      <c r="C1696" s="14"/>
    </row>
    <row r="1697">
      <c r="C1697" s="14"/>
    </row>
    <row r="1698">
      <c r="C1698" s="14"/>
    </row>
    <row r="1699">
      <c r="C1699" s="14"/>
    </row>
    <row r="1700">
      <c r="C1700" s="14"/>
    </row>
    <row r="1701">
      <c r="C1701" s="14"/>
    </row>
    <row r="1702">
      <c r="C1702" s="14"/>
    </row>
    <row r="1703">
      <c r="C1703" s="14"/>
    </row>
    <row r="1704">
      <c r="C1704" s="14"/>
    </row>
    <row r="1705">
      <c r="C1705" s="14"/>
    </row>
    <row r="1706">
      <c r="C1706" s="14"/>
    </row>
    <row r="1707">
      <c r="C1707" s="14"/>
    </row>
    <row r="1708">
      <c r="C1708" s="14"/>
    </row>
    <row r="1709">
      <c r="C1709" s="14"/>
    </row>
    <row r="1710">
      <c r="C1710" s="14"/>
    </row>
    <row r="1711">
      <c r="C1711" s="14"/>
    </row>
    <row r="1712">
      <c r="C1712" s="14"/>
    </row>
    <row r="1713">
      <c r="C1713" s="14"/>
    </row>
    <row r="1714">
      <c r="C1714" s="14"/>
    </row>
    <row r="1715">
      <c r="C1715" s="14"/>
    </row>
    <row r="1716">
      <c r="C1716" s="14"/>
    </row>
    <row r="1717">
      <c r="C1717" s="14"/>
    </row>
    <row r="1718">
      <c r="C1718" s="14"/>
    </row>
    <row r="1719">
      <c r="C1719" s="14"/>
    </row>
    <row r="1720">
      <c r="C1720" s="14"/>
    </row>
    <row r="1721">
      <c r="C1721" s="14"/>
    </row>
    <row r="1722">
      <c r="C1722" s="14"/>
    </row>
    <row r="1723">
      <c r="C1723" s="14"/>
    </row>
    <row r="1724">
      <c r="C1724" s="14"/>
    </row>
    <row r="1725">
      <c r="C1725" s="14"/>
    </row>
    <row r="1726">
      <c r="C1726" s="14"/>
    </row>
    <row r="1727">
      <c r="C1727" s="14"/>
    </row>
    <row r="1728">
      <c r="C1728" s="14"/>
    </row>
    <row r="1729">
      <c r="C1729" s="14"/>
    </row>
    <row r="1730">
      <c r="C1730" s="14"/>
    </row>
    <row r="1731">
      <c r="C1731" s="14"/>
    </row>
    <row r="1732">
      <c r="C1732" s="14"/>
    </row>
    <row r="1733">
      <c r="C1733" s="14"/>
    </row>
    <row r="1734">
      <c r="C1734" s="14"/>
    </row>
    <row r="1735">
      <c r="C1735" s="14"/>
    </row>
    <row r="1736">
      <c r="C1736" s="14"/>
    </row>
    <row r="1737">
      <c r="C1737" s="14"/>
    </row>
    <row r="1738">
      <c r="C1738" s="14"/>
    </row>
    <row r="1739">
      <c r="C1739" s="14"/>
    </row>
    <row r="1740">
      <c r="C1740" s="14"/>
    </row>
    <row r="1741">
      <c r="C1741" s="14"/>
    </row>
    <row r="1742">
      <c r="C1742" s="14"/>
    </row>
    <row r="1743">
      <c r="C1743" s="14"/>
    </row>
    <row r="1744">
      <c r="C1744" s="14"/>
    </row>
    <row r="1745">
      <c r="C1745" s="14"/>
    </row>
    <row r="1746">
      <c r="C1746" s="14"/>
    </row>
    <row r="1747">
      <c r="C1747" s="14"/>
    </row>
    <row r="1748">
      <c r="C1748" s="14"/>
    </row>
    <row r="1749">
      <c r="C1749" s="14"/>
    </row>
    <row r="1750">
      <c r="C1750" s="14"/>
    </row>
    <row r="1751">
      <c r="C1751" s="14"/>
    </row>
    <row r="1752">
      <c r="C1752" s="14"/>
    </row>
    <row r="1753">
      <c r="C1753" s="14"/>
    </row>
    <row r="1754">
      <c r="C1754" s="14"/>
    </row>
    <row r="1755">
      <c r="C1755" s="14"/>
    </row>
    <row r="1756">
      <c r="C1756" s="14"/>
    </row>
    <row r="1757">
      <c r="C1757" s="14"/>
    </row>
    <row r="1758">
      <c r="C1758" s="14"/>
    </row>
    <row r="1759">
      <c r="C1759" s="14"/>
    </row>
    <row r="1760">
      <c r="C1760" s="14"/>
    </row>
    <row r="1761">
      <c r="C1761" s="14"/>
    </row>
    <row r="1762">
      <c r="C1762" s="14"/>
    </row>
    <row r="1763">
      <c r="C1763" s="14"/>
    </row>
    <row r="1764">
      <c r="C1764" s="14"/>
    </row>
    <row r="1765">
      <c r="C1765" s="14"/>
    </row>
    <row r="1766">
      <c r="C1766" s="14"/>
    </row>
    <row r="1767">
      <c r="C1767" s="14"/>
    </row>
    <row r="1768">
      <c r="C1768" s="14"/>
    </row>
    <row r="1769">
      <c r="C1769" s="14"/>
    </row>
    <row r="1770">
      <c r="C1770" s="14"/>
    </row>
    <row r="1771">
      <c r="C1771" s="14"/>
    </row>
    <row r="1772">
      <c r="C1772" s="14"/>
    </row>
    <row r="1773">
      <c r="C1773" s="14"/>
    </row>
    <row r="1774">
      <c r="C1774" s="14"/>
    </row>
    <row r="1775">
      <c r="C1775" s="14"/>
    </row>
    <row r="1776">
      <c r="C1776" s="14"/>
    </row>
    <row r="1777">
      <c r="C1777" s="14"/>
    </row>
    <row r="1778">
      <c r="C1778" s="14"/>
    </row>
    <row r="1779">
      <c r="C1779" s="14"/>
    </row>
    <row r="1780">
      <c r="C1780" s="14"/>
    </row>
    <row r="1781">
      <c r="C1781" s="14"/>
    </row>
    <row r="1782">
      <c r="C1782" s="14"/>
    </row>
    <row r="1783">
      <c r="C1783" s="14"/>
    </row>
    <row r="1784">
      <c r="C1784" s="14"/>
    </row>
    <row r="1785">
      <c r="C1785" s="14"/>
    </row>
    <row r="1786">
      <c r="C1786" s="14"/>
    </row>
    <row r="1787">
      <c r="C1787" s="14"/>
    </row>
    <row r="1788">
      <c r="C1788" s="14"/>
    </row>
    <row r="1789">
      <c r="C1789" s="14"/>
    </row>
    <row r="1790">
      <c r="C1790" s="14"/>
    </row>
    <row r="1791">
      <c r="C1791" s="14"/>
    </row>
    <row r="1792">
      <c r="C1792" s="14"/>
    </row>
    <row r="1793">
      <c r="C1793" s="14"/>
    </row>
    <row r="1794">
      <c r="C1794" s="14"/>
    </row>
    <row r="1795">
      <c r="C1795" s="14"/>
    </row>
    <row r="1796">
      <c r="C1796" s="14"/>
    </row>
    <row r="1797">
      <c r="C1797" s="14"/>
    </row>
    <row r="1798">
      <c r="C1798" s="14"/>
    </row>
    <row r="1799">
      <c r="C1799" s="14"/>
    </row>
    <row r="1800">
      <c r="C1800" s="14"/>
    </row>
    <row r="1801">
      <c r="C1801" s="14"/>
    </row>
    <row r="1802">
      <c r="C1802" s="14"/>
    </row>
    <row r="1803">
      <c r="C1803" s="14"/>
    </row>
    <row r="1804">
      <c r="C1804" s="14"/>
    </row>
    <row r="1805">
      <c r="C1805" s="14"/>
    </row>
    <row r="1806">
      <c r="C1806" s="14"/>
    </row>
    <row r="1807">
      <c r="C1807" s="14"/>
    </row>
    <row r="1808">
      <c r="C1808" s="14"/>
    </row>
    <row r="1809">
      <c r="C1809" s="14"/>
    </row>
    <row r="1810">
      <c r="C1810" s="14"/>
    </row>
    <row r="1811">
      <c r="C1811" s="14"/>
    </row>
    <row r="1812">
      <c r="C1812" s="14"/>
    </row>
    <row r="1813">
      <c r="C1813" s="14"/>
    </row>
    <row r="1814">
      <c r="C1814" s="14"/>
    </row>
    <row r="1815">
      <c r="C1815" s="14"/>
    </row>
    <row r="1816">
      <c r="C1816" s="14"/>
    </row>
    <row r="1817">
      <c r="C1817" s="14"/>
    </row>
    <row r="1818">
      <c r="C1818" s="14"/>
    </row>
    <row r="1819">
      <c r="C1819" s="14"/>
    </row>
    <row r="1820">
      <c r="C1820" s="14"/>
    </row>
    <row r="1821">
      <c r="C1821" s="14"/>
    </row>
    <row r="1822">
      <c r="C1822" s="14"/>
    </row>
    <row r="1823">
      <c r="C1823" s="14"/>
    </row>
    <row r="1824">
      <c r="C1824" s="14"/>
    </row>
    <row r="1825">
      <c r="C1825" s="14"/>
    </row>
    <row r="1826">
      <c r="C1826" s="14"/>
    </row>
    <row r="1827">
      <c r="C1827" s="14"/>
    </row>
    <row r="1828">
      <c r="C1828" s="14"/>
    </row>
    <row r="1829">
      <c r="C1829" s="14"/>
    </row>
    <row r="1830">
      <c r="C1830" s="14"/>
    </row>
    <row r="1831">
      <c r="C1831" s="14"/>
    </row>
    <row r="1832">
      <c r="C1832" s="14"/>
    </row>
    <row r="1833">
      <c r="C1833" s="14"/>
    </row>
    <row r="1834">
      <c r="C1834" s="14"/>
    </row>
    <row r="1835">
      <c r="C1835" s="14"/>
    </row>
    <row r="1836">
      <c r="C1836" s="14"/>
    </row>
    <row r="1837">
      <c r="C1837" s="14"/>
    </row>
    <row r="1838">
      <c r="C1838" s="14"/>
    </row>
    <row r="1839">
      <c r="C1839" s="14"/>
    </row>
    <row r="1840">
      <c r="C1840" s="14"/>
    </row>
    <row r="1841">
      <c r="C1841" s="14"/>
    </row>
    <row r="1842">
      <c r="C1842" s="14"/>
    </row>
    <row r="1843">
      <c r="C1843" s="14"/>
    </row>
    <row r="1844">
      <c r="C1844" s="14"/>
    </row>
    <row r="1845">
      <c r="C1845" s="14"/>
    </row>
    <row r="1846">
      <c r="C1846" s="14"/>
    </row>
    <row r="1847">
      <c r="C1847" s="14"/>
    </row>
    <row r="1848">
      <c r="C1848" s="14"/>
    </row>
    <row r="1849">
      <c r="C1849" s="14"/>
    </row>
    <row r="1850">
      <c r="C1850" s="14"/>
    </row>
    <row r="1851">
      <c r="C1851" s="14"/>
    </row>
    <row r="1852">
      <c r="C1852" s="14"/>
    </row>
    <row r="1853">
      <c r="C1853" s="14"/>
    </row>
    <row r="1854">
      <c r="C1854" s="14"/>
    </row>
    <row r="1855">
      <c r="C1855" s="14"/>
    </row>
    <row r="1856">
      <c r="C1856" s="14"/>
    </row>
    <row r="1857">
      <c r="C1857" s="14"/>
    </row>
    <row r="1858">
      <c r="C1858" s="14"/>
    </row>
    <row r="1859">
      <c r="C1859" s="14"/>
    </row>
    <row r="1860">
      <c r="C1860" s="14"/>
    </row>
    <row r="1861">
      <c r="C1861" s="14"/>
    </row>
    <row r="1862">
      <c r="C1862" s="14"/>
    </row>
    <row r="1863">
      <c r="C1863" s="14"/>
    </row>
    <row r="1864">
      <c r="C1864" s="14"/>
    </row>
    <row r="1865">
      <c r="C1865" s="14"/>
    </row>
    <row r="1866">
      <c r="C1866" s="14"/>
    </row>
    <row r="1867">
      <c r="C1867" s="14"/>
    </row>
    <row r="1868">
      <c r="C1868" s="14"/>
    </row>
    <row r="1869">
      <c r="C1869" s="14"/>
    </row>
    <row r="1870">
      <c r="C1870" s="14"/>
    </row>
    <row r="1871">
      <c r="C1871" s="14"/>
    </row>
    <row r="1872">
      <c r="C1872" s="14"/>
    </row>
    <row r="1873">
      <c r="C1873" s="14"/>
    </row>
    <row r="1874">
      <c r="C1874" s="14"/>
    </row>
    <row r="1875">
      <c r="C1875" s="14"/>
    </row>
    <row r="1876">
      <c r="C1876" s="14"/>
    </row>
    <row r="1877">
      <c r="C1877" s="14"/>
    </row>
    <row r="1878">
      <c r="C1878" s="14"/>
    </row>
    <row r="1879">
      <c r="C1879" s="14"/>
    </row>
    <row r="1880">
      <c r="C1880" s="14"/>
    </row>
    <row r="1881">
      <c r="C1881" s="14"/>
    </row>
    <row r="1882">
      <c r="C1882" s="14"/>
    </row>
    <row r="1883">
      <c r="C1883" s="14"/>
    </row>
    <row r="1884">
      <c r="C1884" s="14"/>
    </row>
    <row r="1885">
      <c r="C1885" s="14"/>
    </row>
    <row r="1886">
      <c r="C1886" s="14"/>
    </row>
    <row r="1887">
      <c r="C1887" s="14"/>
    </row>
    <row r="1888">
      <c r="C1888" s="14"/>
    </row>
    <row r="1889">
      <c r="C1889" s="14"/>
    </row>
    <row r="1890">
      <c r="C1890" s="14"/>
    </row>
    <row r="1891">
      <c r="C1891" s="14"/>
    </row>
    <row r="1892">
      <c r="C1892" s="14"/>
    </row>
    <row r="1893">
      <c r="C1893" s="14"/>
    </row>
    <row r="1894">
      <c r="C1894" s="14"/>
    </row>
    <row r="1895">
      <c r="C1895" s="14"/>
    </row>
    <row r="1896">
      <c r="C1896" s="14"/>
    </row>
    <row r="1897">
      <c r="C1897" s="14"/>
    </row>
    <row r="1898">
      <c r="C1898" s="14"/>
    </row>
    <row r="1899">
      <c r="C1899" s="14"/>
    </row>
    <row r="1900">
      <c r="C1900" s="14"/>
    </row>
    <row r="1901">
      <c r="C1901" s="14"/>
    </row>
    <row r="1902">
      <c r="C1902" s="14"/>
    </row>
    <row r="1903">
      <c r="C1903" s="14"/>
    </row>
    <row r="1904">
      <c r="C1904" s="14"/>
    </row>
    <row r="1905">
      <c r="C1905" s="14"/>
    </row>
    <row r="1906">
      <c r="C1906" s="14"/>
    </row>
    <row r="1907">
      <c r="C1907" s="14"/>
    </row>
    <row r="1908">
      <c r="C1908" s="14"/>
    </row>
    <row r="1909">
      <c r="C1909" s="14"/>
    </row>
    <row r="1910">
      <c r="C1910" s="14"/>
    </row>
    <row r="1911">
      <c r="C1911" s="14"/>
    </row>
    <row r="1912">
      <c r="C1912" s="14"/>
    </row>
    <row r="1913">
      <c r="C1913" s="14"/>
    </row>
    <row r="1914">
      <c r="C1914" s="14"/>
    </row>
    <row r="1915">
      <c r="C1915" s="14"/>
    </row>
    <row r="1916">
      <c r="C1916" s="14"/>
    </row>
    <row r="1917">
      <c r="C1917" s="14"/>
    </row>
    <row r="1918">
      <c r="C1918" s="14"/>
    </row>
    <row r="1919">
      <c r="C1919" s="14"/>
    </row>
    <row r="1920">
      <c r="C1920" s="14"/>
    </row>
    <row r="1921">
      <c r="C1921" s="14"/>
    </row>
    <row r="1922">
      <c r="C1922" s="14"/>
    </row>
    <row r="1923">
      <c r="C1923" s="14"/>
    </row>
    <row r="1924">
      <c r="C1924" s="14"/>
    </row>
    <row r="1925">
      <c r="C1925" s="14"/>
    </row>
    <row r="1926">
      <c r="C1926" s="14"/>
    </row>
    <row r="1927">
      <c r="C1927" s="14"/>
    </row>
    <row r="1928">
      <c r="C1928" s="14"/>
    </row>
    <row r="1929">
      <c r="C1929" s="14"/>
    </row>
    <row r="1930">
      <c r="C1930" s="14"/>
    </row>
    <row r="1931">
      <c r="C1931" s="14"/>
    </row>
    <row r="1932">
      <c r="C1932" s="14"/>
    </row>
    <row r="1933">
      <c r="C1933" s="14"/>
    </row>
    <row r="1934">
      <c r="C1934" s="14"/>
    </row>
    <row r="1935">
      <c r="C1935" s="14"/>
    </row>
    <row r="1936">
      <c r="C1936" s="14"/>
    </row>
    <row r="1937">
      <c r="C1937" s="14"/>
    </row>
    <row r="1938">
      <c r="C1938" s="14"/>
    </row>
    <row r="1939">
      <c r="C1939" s="14"/>
    </row>
    <row r="1940">
      <c r="C1940" s="14"/>
    </row>
    <row r="1941">
      <c r="C1941" s="14"/>
    </row>
    <row r="1942">
      <c r="C1942" s="14"/>
    </row>
    <row r="1943">
      <c r="C1943" s="14"/>
    </row>
    <row r="1944">
      <c r="C1944" s="14"/>
    </row>
    <row r="1945">
      <c r="C1945" s="14"/>
    </row>
    <row r="1946">
      <c r="C1946" s="14"/>
    </row>
    <row r="1947">
      <c r="C1947" s="14"/>
    </row>
    <row r="1948">
      <c r="C1948" s="14"/>
    </row>
    <row r="1949">
      <c r="C1949" s="14"/>
    </row>
    <row r="1950">
      <c r="C1950" s="14"/>
    </row>
    <row r="1951">
      <c r="C1951" s="14"/>
    </row>
    <row r="1952">
      <c r="C1952" s="14"/>
    </row>
    <row r="1953">
      <c r="C1953" s="14"/>
    </row>
    <row r="1954">
      <c r="C1954" s="14"/>
    </row>
    <row r="1955">
      <c r="C1955" s="14"/>
    </row>
    <row r="1956">
      <c r="C1956" s="14"/>
    </row>
    <row r="1957">
      <c r="C1957" s="14"/>
    </row>
    <row r="1958">
      <c r="C1958" s="14"/>
    </row>
    <row r="1959">
      <c r="C1959" s="14"/>
    </row>
    <row r="1960">
      <c r="C1960" s="14"/>
    </row>
    <row r="1961">
      <c r="C1961" s="14"/>
    </row>
    <row r="1962">
      <c r="C1962" s="14"/>
    </row>
    <row r="1963">
      <c r="C1963" s="14"/>
    </row>
    <row r="1964">
      <c r="C1964" s="14"/>
    </row>
    <row r="1965">
      <c r="C1965" s="14"/>
    </row>
    <row r="1966">
      <c r="C1966" s="14"/>
    </row>
    <row r="1967">
      <c r="C1967" s="14"/>
    </row>
    <row r="1968">
      <c r="C1968" s="14"/>
    </row>
    <row r="1969">
      <c r="C1969" s="14"/>
    </row>
    <row r="1970">
      <c r="C1970" s="14"/>
    </row>
    <row r="1971">
      <c r="C1971" s="14"/>
    </row>
    <row r="1972">
      <c r="C1972" s="14"/>
    </row>
    <row r="1973">
      <c r="C1973" s="14"/>
    </row>
    <row r="1974">
      <c r="C1974" s="14"/>
    </row>
    <row r="1975">
      <c r="C1975" s="14"/>
    </row>
    <row r="1976">
      <c r="C1976" s="14"/>
    </row>
    <row r="1977">
      <c r="C1977" s="14"/>
    </row>
    <row r="1978">
      <c r="C1978" s="14"/>
    </row>
    <row r="1979">
      <c r="C1979" s="14"/>
    </row>
    <row r="1980">
      <c r="C1980" s="14"/>
    </row>
    <row r="1981">
      <c r="C1981" s="14"/>
    </row>
    <row r="1982">
      <c r="C1982" s="14"/>
    </row>
    <row r="1983">
      <c r="C1983" s="14"/>
    </row>
    <row r="1984">
      <c r="C1984" s="14"/>
    </row>
    <row r="1985">
      <c r="C1985" s="14"/>
    </row>
    <row r="1986">
      <c r="C1986" s="14"/>
    </row>
    <row r="1987">
      <c r="C1987" s="14"/>
    </row>
    <row r="1988">
      <c r="C1988" s="14"/>
    </row>
    <row r="1989">
      <c r="C1989" s="14"/>
    </row>
    <row r="1990">
      <c r="C1990" s="14"/>
    </row>
    <row r="1991">
      <c r="C1991" s="14"/>
    </row>
    <row r="1992">
      <c r="C1992" s="14"/>
    </row>
    <row r="1993">
      <c r="C1993" s="14"/>
    </row>
    <row r="1994">
      <c r="C1994" s="14"/>
    </row>
    <row r="1995">
      <c r="C1995" s="14"/>
    </row>
    <row r="1996">
      <c r="C1996" s="14"/>
    </row>
    <row r="1997">
      <c r="C1997" s="14"/>
    </row>
    <row r="1998">
      <c r="C1998" s="14"/>
    </row>
    <row r="1999">
      <c r="C1999" s="14"/>
    </row>
    <row r="2000">
      <c r="C2000" s="14"/>
    </row>
    <row r="2001">
      <c r="C2001" s="14"/>
    </row>
    <row r="2002">
      <c r="C2002" s="14"/>
    </row>
    <row r="2003">
      <c r="C2003" s="14"/>
    </row>
    <row r="2004">
      <c r="C2004" s="14"/>
    </row>
    <row r="2005">
      <c r="C2005" s="14"/>
    </row>
    <row r="2006">
      <c r="C2006" s="14"/>
    </row>
    <row r="2007">
      <c r="C2007" s="14"/>
    </row>
    <row r="2008">
      <c r="C2008" s="14"/>
    </row>
    <row r="2009">
      <c r="C2009" s="14"/>
    </row>
    <row r="2010">
      <c r="C2010" s="14"/>
    </row>
    <row r="2011">
      <c r="C2011" s="14"/>
    </row>
    <row r="2012">
      <c r="C2012" s="14"/>
    </row>
    <row r="2013">
      <c r="C2013" s="14"/>
    </row>
    <row r="2014">
      <c r="C2014" s="14"/>
    </row>
    <row r="2015">
      <c r="C2015" s="14"/>
    </row>
    <row r="2016">
      <c r="C2016" s="14"/>
    </row>
    <row r="2017">
      <c r="C2017" s="14"/>
    </row>
    <row r="2018">
      <c r="C2018" s="14"/>
    </row>
    <row r="2019">
      <c r="C2019" s="14"/>
    </row>
    <row r="2020">
      <c r="C2020" s="14"/>
    </row>
    <row r="2021">
      <c r="C2021" s="14"/>
    </row>
    <row r="2022">
      <c r="C2022" s="14"/>
    </row>
    <row r="2023">
      <c r="C2023" s="14"/>
    </row>
    <row r="2024">
      <c r="C2024" s="14"/>
    </row>
    <row r="2025">
      <c r="C2025" s="14"/>
    </row>
    <row r="2026">
      <c r="C2026" s="14"/>
    </row>
    <row r="2027">
      <c r="C2027" s="14"/>
    </row>
    <row r="2028">
      <c r="C2028" s="14"/>
    </row>
    <row r="2029">
      <c r="C2029" s="14"/>
    </row>
    <row r="2030">
      <c r="C2030" s="14"/>
    </row>
    <row r="2031">
      <c r="C2031" s="14"/>
    </row>
    <row r="2032">
      <c r="C2032" s="14"/>
    </row>
    <row r="2033">
      <c r="C2033" s="14"/>
    </row>
    <row r="2034">
      <c r="C2034" s="14"/>
    </row>
    <row r="2035">
      <c r="C2035" s="14"/>
    </row>
    <row r="2036">
      <c r="C2036" s="14"/>
    </row>
    <row r="2037">
      <c r="C2037" s="14"/>
    </row>
    <row r="2038">
      <c r="C2038" s="14"/>
    </row>
    <row r="2039">
      <c r="C2039" s="14"/>
    </row>
    <row r="2040">
      <c r="C2040" s="14"/>
    </row>
    <row r="2041">
      <c r="C2041" s="14"/>
    </row>
    <row r="2042">
      <c r="C2042" s="14"/>
    </row>
    <row r="2043">
      <c r="C2043" s="14"/>
    </row>
    <row r="2044">
      <c r="C2044" s="14"/>
    </row>
    <row r="2045">
      <c r="C2045" s="14"/>
    </row>
    <row r="2046">
      <c r="C2046" s="14"/>
    </row>
    <row r="2047">
      <c r="C2047" s="14"/>
    </row>
    <row r="2048">
      <c r="C2048" s="14"/>
    </row>
    <row r="2049">
      <c r="C2049" s="14"/>
    </row>
    <row r="2050">
      <c r="C2050" s="14"/>
    </row>
    <row r="2051">
      <c r="C2051" s="14"/>
    </row>
    <row r="2052">
      <c r="C2052" s="14"/>
    </row>
    <row r="2053">
      <c r="C2053" s="14"/>
    </row>
    <row r="2054">
      <c r="C2054" s="14"/>
    </row>
    <row r="2055">
      <c r="C2055" s="14"/>
    </row>
    <row r="2056">
      <c r="C2056" s="14"/>
    </row>
    <row r="2057">
      <c r="C2057" s="14"/>
    </row>
    <row r="2058">
      <c r="C2058" s="14"/>
    </row>
    <row r="2059">
      <c r="C2059" s="14"/>
    </row>
    <row r="2060">
      <c r="C2060" s="14"/>
    </row>
    <row r="2061">
      <c r="C2061" s="14"/>
    </row>
    <row r="2062">
      <c r="C2062" s="14"/>
    </row>
    <row r="2063">
      <c r="C2063" s="14"/>
    </row>
    <row r="2064">
      <c r="C2064" s="14"/>
    </row>
    <row r="2065">
      <c r="C2065" s="14"/>
    </row>
    <row r="2066">
      <c r="C2066" s="14"/>
    </row>
    <row r="2067">
      <c r="C2067" s="14"/>
    </row>
    <row r="2068">
      <c r="C2068" s="14"/>
    </row>
    <row r="2069">
      <c r="C2069" s="14"/>
    </row>
    <row r="2070">
      <c r="C2070" s="14"/>
    </row>
    <row r="2071">
      <c r="C2071" s="14"/>
    </row>
    <row r="2072">
      <c r="C2072" s="14"/>
    </row>
    <row r="2073">
      <c r="C2073" s="14"/>
    </row>
    <row r="2074">
      <c r="C2074" s="14"/>
    </row>
    <row r="2075">
      <c r="C2075" s="14"/>
    </row>
    <row r="2076">
      <c r="C2076" s="14"/>
    </row>
    <row r="2077">
      <c r="C2077" s="14"/>
    </row>
    <row r="2078">
      <c r="C2078" s="14"/>
    </row>
    <row r="2079">
      <c r="C2079" s="14"/>
    </row>
    <row r="2080">
      <c r="C2080" s="14"/>
    </row>
    <row r="2081">
      <c r="C2081" s="14"/>
    </row>
    <row r="2082">
      <c r="C2082" s="14"/>
    </row>
    <row r="2083">
      <c r="C2083" s="14"/>
    </row>
    <row r="2084">
      <c r="C2084" s="14"/>
    </row>
    <row r="2085">
      <c r="C2085" s="14"/>
    </row>
    <row r="2086">
      <c r="C2086" s="14"/>
    </row>
    <row r="2087">
      <c r="C2087" s="14"/>
    </row>
    <row r="2088">
      <c r="C2088" s="14"/>
    </row>
    <row r="2089">
      <c r="C2089" s="14"/>
    </row>
    <row r="2090">
      <c r="C2090" s="14"/>
    </row>
    <row r="2091">
      <c r="C2091" s="14"/>
    </row>
    <row r="2092">
      <c r="C2092" s="14"/>
    </row>
    <row r="2093">
      <c r="C2093" s="14"/>
    </row>
    <row r="2094">
      <c r="C2094" s="14"/>
    </row>
    <row r="2095">
      <c r="C2095" s="14"/>
    </row>
    <row r="2096">
      <c r="C2096" s="14"/>
    </row>
    <row r="2097">
      <c r="C2097" s="14"/>
    </row>
    <row r="2098">
      <c r="C2098" s="14"/>
    </row>
    <row r="2099">
      <c r="C2099" s="14"/>
    </row>
    <row r="2100">
      <c r="C2100" s="14"/>
    </row>
    <row r="2101">
      <c r="C2101" s="14"/>
    </row>
    <row r="2102">
      <c r="C2102" s="14"/>
    </row>
    <row r="2103">
      <c r="C2103" s="14"/>
    </row>
    <row r="2104">
      <c r="C2104" s="14"/>
    </row>
    <row r="2105">
      <c r="C2105" s="14"/>
    </row>
    <row r="2106">
      <c r="C2106" s="14"/>
    </row>
    <row r="2107">
      <c r="C2107" s="14"/>
    </row>
    <row r="2108">
      <c r="C2108" s="14"/>
    </row>
    <row r="2109">
      <c r="C2109" s="14"/>
    </row>
    <row r="2110">
      <c r="C2110" s="14"/>
    </row>
    <row r="2111">
      <c r="C2111" s="14"/>
    </row>
    <row r="2112">
      <c r="C2112" s="14"/>
    </row>
    <row r="2113">
      <c r="C2113" s="14"/>
    </row>
    <row r="2114">
      <c r="C2114" s="14"/>
    </row>
    <row r="2115">
      <c r="C2115" s="14"/>
    </row>
    <row r="2116">
      <c r="C2116" s="14"/>
    </row>
    <row r="2117">
      <c r="C2117" s="14"/>
    </row>
    <row r="2118">
      <c r="C2118" s="14"/>
    </row>
    <row r="2119">
      <c r="C2119" s="14"/>
    </row>
    <row r="2120">
      <c r="C2120" s="14"/>
    </row>
    <row r="2121">
      <c r="C2121" s="14"/>
    </row>
    <row r="2122">
      <c r="C2122" s="14"/>
    </row>
    <row r="2123">
      <c r="C2123" s="14"/>
    </row>
    <row r="2124">
      <c r="C2124" s="14"/>
    </row>
    <row r="2125">
      <c r="C2125" s="14"/>
    </row>
    <row r="2126">
      <c r="C2126" s="14"/>
    </row>
    <row r="2127">
      <c r="C2127" s="14"/>
    </row>
    <row r="2128">
      <c r="C2128" s="14"/>
    </row>
    <row r="2129">
      <c r="C2129" s="14"/>
    </row>
    <row r="2130">
      <c r="C2130" s="14"/>
    </row>
    <row r="2131">
      <c r="C2131" s="14"/>
    </row>
    <row r="2132">
      <c r="C2132" s="14"/>
    </row>
    <row r="2133">
      <c r="C2133" s="14"/>
    </row>
    <row r="2134">
      <c r="C2134" s="14"/>
    </row>
    <row r="2135">
      <c r="C2135" s="14"/>
    </row>
    <row r="2136">
      <c r="C2136" s="14"/>
    </row>
    <row r="2137">
      <c r="C2137" s="14"/>
    </row>
    <row r="2138">
      <c r="C2138" s="14"/>
    </row>
    <row r="2139">
      <c r="C2139" s="14"/>
    </row>
    <row r="2140">
      <c r="C2140" s="14"/>
    </row>
    <row r="2141">
      <c r="C2141" s="14"/>
    </row>
    <row r="2142">
      <c r="C2142" s="14"/>
    </row>
    <row r="2143">
      <c r="C2143" s="14"/>
    </row>
    <row r="2144">
      <c r="C2144" s="14"/>
    </row>
    <row r="2145">
      <c r="C2145" s="14"/>
    </row>
    <row r="2146">
      <c r="C2146" s="14"/>
    </row>
    <row r="2147">
      <c r="C2147" s="14"/>
    </row>
    <row r="2148">
      <c r="C2148" s="14"/>
    </row>
    <row r="2149">
      <c r="C2149" s="14"/>
    </row>
    <row r="2150">
      <c r="C2150" s="14"/>
    </row>
    <row r="2151">
      <c r="C2151" s="14"/>
    </row>
    <row r="2152">
      <c r="C2152" s="14"/>
    </row>
    <row r="2153">
      <c r="C2153" s="14"/>
    </row>
    <row r="2154">
      <c r="C2154" s="14"/>
    </row>
    <row r="2155">
      <c r="C2155" s="14"/>
    </row>
    <row r="2156">
      <c r="C2156" s="14"/>
    </row>
    <row r="2157">
      <c r="C2157" s="14"/>
    </row>
    <row r="2158">
      <c r="C2158" s="14"/>
    </row>
    <row r="2159">
      <c r="C2159" s="14"/>
    </row>
    <row r="2160">
      <c r="C2160" s="14"/>
    </row>
    <row r="2161">
      <c r="C2161" s="14"/>
    </row>
    <row r="2162">
      <c r="C2162" s="14"/>
    </row>
    <row r="2163">
      <c r="C2163" s="14"/>
    </row>
    <row r="2164">
      <c r="C2164" s="14"/>
    </row>
    <row r="2165">
      <c r="C2165" s="14"/>
    </row>
    <row r="2166">
      <c r="C2166" s="14"/>
    </row>
    <row r="2167">
      <c r="C2167" s="14"/>
    </row>
    <row r="2168">
      <c r="C2168" s="14"/>
    </row>
    <row r="2169">
      <c r="C2169" s="14"/>
    </row>
    <row r="2170">
      <c r="C2170" s="14"/>
    </row>
    <row r="2171">
      <c r="C2171" s="14"/>
    </row>
    <row r="2172">
      <c r="C2172" s="14"/>
    </row>
    <row r="2173">
      <c r="C2173" s="14"/>
    </row>
    <row r="2174">
      <c r="C2174" s="14"/>
    </row>
    <row r="2175">
      <c r="C2175" s="14"/>
    </row>
    <row r="2176">
      <c r="C2176" s="14"/>
    </row>
    <row r="2177">
      <c r="C2177" s="14"/>
    </row>
    <row r="2178">
      <c r="C2178" s="14"/>
    </row>
    <row r="2179">
      <c r="C2179" s="14"/>
    </row>
    <row r="2180">
      <c r="C2180" s="14"/>
    </row>
    <row r="2181">
      <c r="C2181" s="14"/>
    </row>
    <row r="2182">
      <c r="C2182" s="14"/>
    </row>
    <row r="2183">
      <c r="C2183" s="14"/>
    </row>
    <row r="2184">
      <c r="C2184" s="14"/>
    </row>
    <row r="2185">
      <c r="C2185" s="14"/>
    </row>
    <row r="2186">
      <c r="C2186" s="14"/>
    </row>
    <row r="2187">
      <c r="C2187" s="14"/>
    </row>
    <row r="2188">
      <c r="C2188" s="14"/>
    </row>
    <row r="2189">
      <c r="C2189" s="14"/>
    </row>
    <row r="2190">
      <c r="C2190" s="14"/>
    </row>
    <row r="2191">
      <c r="C2191" s="14"/>
    </row>
    <row r="2192">
      <c r="C2192" s="14"/>
    </row>
    <row r="2193">
      <c r="C2193" s="14"/>
    </row>
    <row r="2194">
      <c r="C2194" s="14"/>
    </row>
    <row r="2195">
      <c r="C2195" s="14"/>
    </row>
    <row r="2196">
      <c r="C2196" s="14"/>
    </row>
    <row r="2197">
      <c r="C2197" s="14"/>
    </row>
    <row r="2198">
      <c r="C2198" s="14"/>
    </row>
    <row r="2199">
      <c r="C2199" s="14"/>
    </row>
    <row r="2200">
      <c r="C2200" s="14"/>
    </row>
    <row r="2201">
      <c r="C2201" s="14"/>
    </row>
    <row r="2202">
      <c r="C2202" s="14"/>
    </row>
    <row r="2203">
      <c r="C2203" s="14"/>
    </row>
    <row r="2204">
      <c r="C2204" s="14"/>
    </row>
    <row r="2205">
      <c r="C2205" s="14"/>
    </row>
    <row r="2206">
      <c r="C2206" s="14"/>
    </row>
    <row r="2207">
      <c r="C2207" s="14"/>
    </row>
    <row r="2208">
      <c r="C2208" s="14"/>
    </row>
    <row r="2209">
      <c r="C2209" s="14"/>
    </row>
    <row r="2210">
      <c r="C2210" s="14"/>
    </row>
    <row r="2211">
      <c r="C2211" s="14"/>
    </row>
    <row r="2212">
      <c r="C2212" s="14"/>
    </row>
    <row r="2213">
      <c r="C2213" s="14"/>
    </row>
    <row r="2214">
      <c r="C2214" s="14"/>
    </row>
    <row r="2215">
      <c r="C2215" s="14"/>
    </row>
    <row r="2216">
      <c r="C2216" s="14"/>
    </row>
    <row r="2217">
      <c r="C2217" s="14"/>
    </row>
    <row r="2218">
      <c r="C2218" s="14"/>
    </row>
    <row r="2219">
      <c r="C2219" s="14"/>
    </row>
    <row r="2220">
      <c r="C2220" s="14"/>
    </row>
    <row r="2221">
      <c r="C2221" s="14"/>
    </row>
    <row r="2222">
      <c r="C2222" s="14"/>
    </row>
    <row r="2223">
      <c r="C2223" s="14"/>
    </row>
    <row r="2224">
      <c r="C2224" s="14"/>
    </row>
    <row r="2225">
      <c r="C2225" s="14"/>
    </row>
    <row r="2226">
      <c r="C2226" s="14"/>
    </row>
    <row r="2227">
      <c r="C2227" s="14"/>
    </row>
    <row r="2228">
      <c r="C2228" s="14"/>
    </row>
    <row r="2229">
      <c r="C2229" s="14"/>
    </row>
    <row r="2230">
      <c r="C2230" s="14"/>
    </row>
    <row r="2231">
      <c r="C2231" s="14"/>
    </row>
    <row r="2232">
      <c r="C2232" s="14"/>
    </row>
    <row r="2233">
      <c r="C2233" s="14"/>
    </row>
    <row r="2234">
      <c r="C2234" s="14"/>
    </row>
    <row r="2235">
      <c r="C2235" s="14"/>
    </row>
    <row r="2236">
      <c r="C2236" s="14"/>
    </row>
    <row r="2237">
      <c r="C2237" s="14"/>
    </row>
    <row r="2238">
      <c r="C2238" s="14"/>
    </row>
    <row r="2239">
      <c r="C2239" s="14"/>
    </row>
    <row r="2240">
      <c r="C2240" s="14"/>
    </row>
    <row r="2241">
      <c r="C2241" s="14"/>
    </row>
    <row r="2242">
      <c r="C2242" s="14"/>
    </row>
    <row r="2243">
      <c r="C2243" s="14"/>
    </row>
    <row r="2244">
      <c r="C2244" s="14"/>
    </row>
    <row r="2245">
      <c r="C2245" s="14"/>
    </row>
    <row r="2246">
      <c r="C2246" s="14"/>
    </row>
    <row r="2247">
      <c r="C2247" s="14"/>
    </row>
    <row r="2248">
      <c r="C2248" s="14"/>
    </row>
    <row r="2249">
      <c r="C2249" s="14"/>
    </row>
    <row r="2250">
      <c r="C2250" s="14"/>
    </row>
    <row r="2251">
      <c r="C2251" s="14"/>
    </row>
    <row r="2252">
      <c r="C2252" s="14"/>
    </row>
    <row r="2253">
      <c r="C2253" s="14"/>
    </row>
    <row r="2254">
      <c r="C2254" s="14"/>
    </row>
    <row r="2255">
      <c r="C2255" s="14"/>
    </row>
    <row r="2256">
      <c r="C2256" s="14"/>
    </row>
    <row r="2257">
      <c r="C2257" s="14"/>
    </row>
    <row r="2258">
      <c r="C2258" s="14"/>
    </row>
    <row r="2259">
      <c r="C2259" s="14"/>
    </row>
    <row r="2260">
      <c r="C2260" s="14"/>
    </row>
    <row r="2261">
      <c r="C2261" s="14"/>
    </row>
    <row r="2262">
      <c r="C2262" s="14"/>
    </row>
    <row r="2263">
      <c r="C2263" s="14"/>
    </row>
    <row r="2264">
      <c r="C2264" s="14"/>
    </row>
    <row r="2265">
      <c r="C2265" s="14"/>
    </row>
    <row r="2266">
      <c r="C2266" s="14"/>
    </row>
    <row r="2267">
      <c r="C2267" s="14"/>
    </row>
    <row r="2268">
      <c r="C2268" s="14"/>
    </row>
    <row r="2269">
      <c r="C2269" s="14"/>
    </row>
    <row r="2270">
      <c r="C2270" s="14"/>
    </row>
    <row r="2271">
      <c r="C2271" s="14"/>
    </row>
    <row r="2272">
      <c r="C2272" s="14"/>
    </row>
    <row r="2273">
      <c r="C2273" s="14"/>
    </row>
    <row r="2274">
      <c r="C2274" s="14"/>
    </row>
    <row r="2275">
      <c r="C2275" s="14"/>
    </row>
    <row r="2276">
      <c r="C2276" s="14"/>
    </row>
    <row r="2277">
      <c r="C2277" s="14"/>
    </row>
    <row r="2278">
      <c r="C2278" s="14"/>
    </row>
    <row r="2279">
      <c r="C2279" s="14"/>
    </row>
    <row r="2280">
      <c r="C2280" s="14"/>
    </row>
    <row r="2281">
      <c r="C2281" s="14"/>
    </row>
    <row r="2282">
      <c r="C2282" s="14"/>
    </row>
    <row r="2283">
      <c r="C2283" s="14"/>
    </row>
    <row r="2284">
      <c r="C2284" s="14"/>
    </row>
    <row r="2285">
      <c r="C2285" s="14"/>
    </row>
    <row r="2286">
      <c r="C2286" s="14"/>
    </row>
    <row r="2287">
      <c r="C2287" s="14"/>
    </row>
    <row r="2288">
      <c r="C2288" s="14"/>
    </row>
    <row r="2289">
      <c r="C2289" s="14"/>
    </row>
    <row r="2290">
      <c r="C2290" s="14"/>
    </row>
    <row r="2291">
      <c r="C2291" s="14"/>
    </row>
    <row r="2292">
      <c r="C2292" s="14"/>
    </row>
    <row r="2293">
      <c r="C2293" s="14"/>
    </row>
    <row r="2294">
      <c r="C2294" s="14"/>
    </row>
    <row r="2295">
      <c r="C2295" s="14"/>
    </row>
    <row r="2296">
      <c r="C2296" s="14"/>
    </row>
    <row r="2297">
      <c r="C2297" s="14"/>
    </row>
    <row r="2298">
      <c r="C2298" s="14"/>
    </row>
    <row r="2299">
      <c r="C2299" s="14"/>
    </row>
    <row r="2300">
      <c r="C2300" s="14"/>
    </row>
    <row r="2301">
      <c r="C2301" s="14"/>
    </row>
    <row r="2302">
      <c r="C2302" s="14"/>
    </row>
    <row r="2303">
      <c r="C2303" s="14"/>
    </row>
    <row r="2304">
      <c r="C2304" s="14"/>
    </row>
    <row r="2305">
      <c r="C2305" s="14"/>
    </row>
    <row r="2306">
      <c r="C2306" s="14"/>
    </row>
    <row r="2307">
      <c r="C2307" s="14"/>
    </row>
    <row r="2308">
      <c r="C2308" s="14"/>
    </row>
    <row r="2309">
      <c r="C2309" s="14"/>
    </row>
    <row r="2310">
      <c r="C2310" s="14"/>
    </row>
    <row r="2311">
      <c r="C2311" s="14"/>
    </row>
    <row r="2312">
      <c r="C2312" s="14"/>
    </row>
    <row r="2313">
      <c r="C2313" s="14"/>
    </row>
    <row r="2314">
      <c r="C2314" s="14"/>
    </row>
    <row r="2315">
      <c r="C2315" s="14"/>
    </row>
    <row r="2316">
      <c r="C2316" s="14"/>
    </row>
    <row r="2317">
      <c r="C2317" s="14"/>
    </row>
    <row r="2318">
      <c r="C2318" s="14"/>
    </row>
    <row r="2319">
      <c r="C2319" s="14"/>
    </row>
    <row r="2320">
      <c r="C2320" s="14"/>
    </row>
    <row r="2321">
      <c r="C2321" s="14"/>
    </row>
    <row r="2322">
      <c r="C2322" s="14"/>
    </row>
    <row r="2323">
      <c r="C2323" s="14"/>
    </row>
    <row r="2324">
      <c r="C2324" s="14"/>
    </row>
    <row r="2325">
      <c r="C2325" s="14"/>
    </row>
    <row r="2326">
      <c r="C2326" s="14"/>
    </row>
    <row r="2327">
      <c r="C2327" s="14"/>
    </row>
    <row r="2328">
      <c r="C2328" s="14"/>
    </row>
    <row r="2329">
      <c r="C2329" s="14"/>
    </row>
    <row r="2330">
      <c r="C2330" s="14"/>
    </row>
    <row r="2331">
      <c r="C2331" s="14"/>
    </row>
    <row r="2332">
      <c r="C2332" s="14"/>
    </row>
    <row r="2333">
      <c r="C2333" s="14"/>
    </row>
    <row r="2334">
      <c r="C2334" s="14"/>
    </row>
    <row r="2335">
      <c r="C2335" s="14"/>
    </row>
    <row r="2336">
      <c r="C2336" s="14"/>
    </row>
    <row r="2337">
      <c r="C2337" s="14"/>
    </row>
    <row r="2338">
      <c r="C2338" s="14"/>
    </row>
    <row r="2339">
      <c r="C2339" s="14"/>
    </row>
    <row r="2340">
      <c r="C2340" s="14"/>
    </row>
    <row r="2341">
      <c r="C2341" s="14"/>
    </row>
    <row r="2342">
      <c r="C2342" s="14"/>
    </row>
    <row r="2343">
      <c r="C2343" s="14"/>
    </row>
    <row r="2344">
      <c r="C2344" s="14"/>
    </row>
    <row r="2345">
      <c r="C2345" s="14"/>
    </row>
    <row r="2346">
      <c r="C2346" s="14"/>
    </row>
    <row r="2347">
      <c r="C2347" s="14"/>
    </row>
    <row r="2348">
      <c r="C2348" s="14"/>
    </row>
    <row r="2349">
      <c r="C2349" s="14"/>
    </row>
    <row r="2350">
      <c r="C2350" s="14"/>
    </row>
    <row r="2351">
      <c r="C2351" s="14"/>
    </row>
    <row r="2352">
      <c r="C2352" s="14"/>
    </row>
    <row r="2353">
      <c r="C2353" s="14"/>
    </row>
    <row r="2354">
      <c r="C2354" s="14"/>
    </row>
    <row r="2355">
      <c r="C2355" s="14"/>
    </row>
    <row r="2356">
      <c r="C2356" s="14"/>
    </row>
    <row r="2357">
      <c r="C2357" s="14"/>
    </row>
    <row r="2358">
      <c r="C2358" s="14"/>
    </row>
    <row r="2359">
      <c r="C2359" s="14"/>
    </row>
    <row r="2360">
      <c r="C2360" s="14"/>
    </row>
    <row r="2361">
      <c r="C2361" s="14"/>
    </row>
    <row r="2362">
      <c r="C2362" s="14"/>
    </row>
    <row r="2363">
      <c r="C2363" s="14"/>
    </row>
    <row r="2364">
      <c r="C2364" s="14"/>
    </row>
    <row r="2365">
      <c r="C2365" s="14"/>
    </row>
    <row r="2366">
      <c r="C2366" s="14"/>
    </row>
    <row r="2367">
      <c r="C2367" s="14"/>
    </row>
    <row r="2368">
      <c r="C2368" s="14"/>
    </row>
    <row r="2369">
      <c r="C2369" s="14"/>
    </row>
    <row r="2370">
      <c r="C2370" s="14"/>
    </row>
    <row r="2371">
      <c r="C2371" s="14"/>
    </row>
    <row r="2372">
      <c r="C2372" s="14"/>
    </row>
    <row r="2373">
      <c r="C2373" s="14"/>
    </row>
    <row r="2374">
      <c r="C2374" s="14"/>
    </row>
    <row r="2375">
      <c r="C2375" s="14"/>
    </row>
    <row r="2376">
      <c r="C2376" s="14"/>
    </row>
    <row r="2377">
      <c r="C2377" s="14"/>
    </row>
    <row r="2378">
      <c r="C2378" s="14"/>
    </row>
    <row r="2379">
      <c r="C2379" s="14"/>
    </row>
    <row r="2380">
      <c r="C2380" s="14"/>
    </row>
    <row r="2381">
      <c r="C2381" s="14"/>
    </row>
    <row r="2382">
      <c r="C2382" s="14"/>
    </row>
    <row r="2383">
      <c r="C2383" s="14"/>
    </row>
    <row r="2384">
      <c r="C2384" s="14"/>
    </row>
    <row r="2385">
      <c r="C2385" s="14"/>
    </row>
    <row r="2386">
      <c r="C2386" s="14"/>
    </row>
    <row r="2387">
      <c r="C2387" s="14"/>
    </row>
    <row r="2388">
      <c r="C2388" s="14"/>
    </row>
    <row r="2389">
      <c r="C2389" s="14"/>
    </row>
    <row r="2390">
      <c r="C2390" s="14"/>
    </row>
    <row r="2391">
      <c r="C2391" s="14"/>
    </row>
    <row r="2392">
      <c r="C2392" s="14"/>
    </row>
    <row r="2393">
      <c r="C2393" s="14"/>
    </row>
    <row r="2394">
      <c r="C2394" s="14"/>
    </row>
    <row r="2395">
      <c r="C2395" s="14"/>
    </row>
    <row r="2396">
      <c r="C2396" s="14"/>
    </row>
    <row r="2397">
      <c r="C2397" s="14"/>
    </row>
    <row r="2398">
      <c r="C2398" s="14"/>
    </row>
    <row r="2399">
      <c r="C2399" s="14"/>
    </row>
    <row r="2400">
      <c r="C2400" s="14"/>
    </row>
    <row r="2401">
      <c r="C2401" s="14"/>
    </row>
    <row r="2402">
      <c r="C2402" s="14"/>
    </row>
    <row r="2403">
      <c r="C2403" s="14"/>
    </row>
    <row r="2404">
      <c r="C2404" s="14"/>
    </row>
    <row r="2405">
      <c r="C2405" s="14"/>
    </row>
    <row r="2406">
      <c r="C2406" s="14"/>
    </row>
    <row r="2407">
      <c r="C2407" s="14"/>
    </row>
    <row r="2408">
      <c r="C2408" s="14"/>
    </row>
    <row r="2409">
      <c r="C2409" s="14"/>
    </row>
    <row r="2410">
      <c r="C2410" s="14"/>
    </row>
    <row r="2411">
      <c r="C2411" s="14"/>
    </row>
    <row r="2412">
      <c r="C2412" s="14"/>
    </row>
    <row r="2413">
      <c r="C2413" s="14"/>
    </row>
    <row r="2414">
      <c r="C2414" s="14"/>
    </row>
    <row r="2415">
      <c r="C2415" s="14"/>
    </row>
    <row r="2416">
      <c r="C2416" s="14"/>
    </row>
    <row r="2417">
      <c r="C2417" s="14"/>
    </row>
    <row r="2418">
      <c r="C2418" s="14"/>
    </row>
    <row r="2419">
      <c r="C2419" s="14"/>
    </row>
    <row r="2420">
      <c r="C2420" s="14"/>
    </row>
    <row r="2421">
      <c r="C2421" s="14"/>
    </row>
    <row r="2422">
      <c r="C2422" s="14"/>
    </row>
    <row r="2423">
      <c r="C2423" s="14"/>
    </row>
    <row r="2424">
      <c r="C2424" s="14"/>
    </row>
    <row r="2425">
      <c r="C2425" s="14"/>
    </row>
    <row r="2426">
      <c r="C2426" s="14"/>
    </row>
    <row r="2427">
      <c r="C2427" s="14"/>
    </row>
    <row r="2428">
      <c r="C2428" s="14"/>
    </row>
    <row r="2429">
      <c r="C2429" s="14"/>
    </row>
    <row r="2430">
      <c r="C2430" s="14"/>
    </row>
    <row r="2431">
      <c r="C2431" s="14"/>
    </row>
    <row r="2432">
      <c r="C2432" s="14"/>
    </row>
    <row r="2433">
      <c r="C2433" s="14"/>
    </row>
    <row r="2434">
      <c r="C2434" s="14"/>
    </row>
    <row r="2435">
      <c r="C2435" s="14"/>
    </row>
    <row r="2436">
      <c r="C2436" s="14"/>
    </row>
    <row r="2437">
      <c r="C2437" s="14"/>
    </row>
    <row r="2438">
      <c r="C2438" s="14"/>
    </row>
    <row r="2439">
      <c r="C2439" s="14"/>
    </row>
    <row r="2440">
      <c r="C2440" s="14"/>
    </row>
    <row r="2441">
      <c r="C2441" s="14"/>
    </row>
    <row r="2442">
      <c r="C2442" s="14"/>
    </row>
    <row r="2443">
      <c r="C2443" s="14"/>
    </row>
    <row r="2444">
      <c r="C2444" s="14"/>
    </row>
    <row r="2445">
      <c r="C2445" s="14"/>
    </row>
    <row r="2446">
      <c r="C2446" s="14"/>
    </row>
    <row r="2447">
      <c r="C2447" s="14"/>
    </row>
    <row r="2448">
      <c r="C2448" s="14"/>
    </row>
    <row r="2449">
      <c r="C2449" s="14"/>
    </row>
    <row r="2450">
      <c r="C2450" s="14"/>
    </row>
    <row r="2451">
      <c r="C2451" s="14"/>
    </row>
    <row r="2452">
      <c r="C2452" s="14"/>
    </row>
    <row r="2453">
      <c r="C2453" s="14"/>
    </row>
    <row r="2454">
      <c r="C2454" s="14"/>
    </row>
    <row r="2455">
      <c r="C2455" s="14"/>
    </row>
    <row r="2456">
      <c r="C2456" s="14"/>
    </row>
    <row r="2457">
      <c r="C2457" s="14"/>
    </row>
    <row r="2458">
      <c r="C2458" s="14"/>
    </row>
    <row r="2459">
      <c r="C2459" s="14"/>
    </row>
    <row r="2460">
      <c r="C2460" s="14"/>
    </row>
    <row r="2461">
      <c r="C2461" s="14"/>
    </row>
    <row r="2462">
      <c r="C2462" s="14"/>
    </row>
    <row r="2463">
      <c r="C2463" s="14"/>
    </row>
    <row r="2464">
      <c r="C2464" s="14"/>
    </row>
    <row r="2465">
      <c r="C2465" s="14"/>
    </row>
    <row r="2466">
      <c r="C2466" s="14"/>
    </row>
    <row r="2467">
      <c r="C2467" s="14"/>
    </row>
    <row r="2468">
      <c r="C2468" s="14"/>
    </row>
    <row r="2469">
      <c r="C2469" s="14"/>
    </row>
    <row r="2470">
      <c r="C2470" s="14"/>
    </row>
    <row r="2471">
      <c r="C2471" s="14"/>
    </row>
    <row r="2472">
      <c r="C2472" s="14"/>
    </row>
    <row r="2473">
      <c r="C2473" s="14"/>
    </row>
    <row r="2474">
      <c r="C2474" s="14"/>
    </row>
    <row r="2475">
      <c r="C2475" s="14"/>
    </row>
    <row r="2476">
      <c r="C2476" s="14"/>
    </row>
    <row r="2477">
      <c r="C2477" s="14"/>
    </row>
    <row r="2478">
      <c r="C2478" s="14"/>
    </row>
    <row r="2479">
      <c r="C2479" s="14"/>
    </row>
    <row r="2480">
      <c r="C2480" s="14"/>
    </row>
    <row r="2481">
      <c r="C2481" s="14"/>
    </row>
    <row r="2482">
      <c r="C2482" s="14"/>
    </row>
    <row r="2483">
      <c r="C2483" s="14"/>
    </row>
    <row r="2484">
      <c r="C2484" s="14"/>
    </row>
    <row r="2485">
      <c r="C2485" s="14"/>
    </row>
    <row r="2486">
      <c r="C2486" s="14"/>
    </row>
    <row r="2487">
      <c r="C2487" s="14"/>
    </row>
    <row r="2488">
      <c r="C2488" s="14"/>
    </row>
    <row r="2489">
      <c r="C2489" s="14"/>
    </row>
    <row r="2490">
      <c r="C2490" s="14"/>
    </row>
    <row r="2491">
      <c r="C2491" s="14"/>
    </row>
    <row r="2492">
      <c r="C2492" s="14"/>
    </row>
    <row r="2493">
      <c r="C2493" s="14"/>
    </row>
    <row r="2494">
      <c r="C2494" s="14"/>
    </row>
    <row r="2495">
      <c r="C2495" s="14"/>
    </row>
    <row r="2496">
      <c r="C2496" s="14"/>
    </row>
    <row r="2497">
      <c r="C2497" s="14"/>
    </row>
    <row r="2498">
      <c r="C2498" s="14"/>
    </row>
    <row r="2499">
      <c r="C2499" s="14"/>
    </row>
    <row r="2500">
      <c r="C2500" s="14"/>
    </row>
    <row r="2501">
      <c r="C2501" s="14"/>
    </row>
    <row r="2502">
      <c r="C2502" s="14"/>
    </row>
    <row r="2503">
      <c r="C2503" s="14"/>
    </row>
    <row r="2504">
      <c r="C2504" s="14"/>
    </row>
    <row r="2505">
      <c r="C2505" s="14"/>
    </row>
    <row r="2506">
      <c r="C2506" s="14"/>
    </row>
    <row r="2507">
      <c r="C2507" s="14"/>
    </row>
    <row r="2508">
      <c r="C2508" s="14"/>
    </row>
    <row r="2509">
      <c r="C2509" s="14"/>
    </row>
    <row r="2510">
      <c r="C2510" s="14"/>
    </row>
    <row r="2511">
      <c r="C2511" s="14"/>
    </row>
    <row r="2512">
      <c r="C2512" s="14"/>
    </row>
    <row r="2513">
      <c r="C2513" s="14"/>
    </row>
    <row r="2514">
      <c r="C2514" s="14"/>
    </row>
    <row r="2515">
      <c r="C2515" s="14"/>
    </row>
    <row r="2516">
      <c r="C2516" s="14"/>
    </row>
    <row r="2517">
      <c r="C2517" s="14"/>
    </row>
    <row r="2518">
      <c r="C2518" s="14"/>
    </row>
    <row r="2519">
      <c r="C2519" s="14"/>
    </row>
    <row r="2520">
      <c r="C2520" s="14"/>
    </row>
    <row r="2521">
      <c r="C2521" s="14"/>
    </row>
    <row r="2522">
      <c r="C2522" s="14"/>
    </row>
    <row r="2523">
      <c r="C2523" s="14"/>
    </row>
    <row r="2524">
      <c r="C2524" s="14"/>
    </row>
    <row r="2525">
      <c r="C2525" s="14"/>
    </row>
    <row r="2526">
      <c r="C2526" s="14"/>
    </row>
    <row r="2527">
      <c r="C2527" s="14"/>
    </row>
    <row r="2528">
      <c r="C2528" s="14"/>
    </row>
    <row r="2529">
      <c r="C2529" s="14"/>
    </row>
    <row r="2530">
      <c r="C2530" s="14"/>
    </row>
    <row r="2531">
      <c r="C2531" s="14"/>
    </row>
    <row r="2532">
      <c r="C2532" s="14"/>
    </row>
    <row r="2533">
      <c r="C2533" s="14"/>
    </row>
    <row r="2534">
      <c r="C2534" s="14"/>
    </row>
    <row r="2535">
      <c r="C2535" s="14"/>
    </row>
    <row r="2536">
      <c r="C2536" s="14"/>
    </row>
    <row r="2537">
      <c r="C2537" s="14"/>
    </row>
    <row r="2538">
      <c r="C2538" s="14"/>
    </row>
    <row r="2539">
      <c r="C2539" s="14"/>
    </row>
    <row r="2540">
      <c r="C2540" s="14"/>
    </row>
    <row r="2541">
      <c r="C2541" s="14"/>
    </row>
    <row r="2542">
      <c r="C2542" s="14"/>
    </row>
    <row r="2543">
      <c r="C2543" s="14"/>
    </row>
    <row r="2544">
      <c r="C2544" s="14"/>
    </row>
    <row r="2545">
      <c r="C2545" s="14"/>
    </row>
    <row r="2546">
      <c r="C2546" s="14"/>
    </row>
    <row r="2547">
      <c r="C2547" s="14"/>
    </row>
    <row r="2548">
      <c r="C2548" s="14"/>
    </row>
    <row r="2549">
      <c r="C2549" s="14"/>
    </row>
    <row r="2550">
      <c r="C2550" s="14"/>
    </row>
    <row r="2551">
      <c r="C2551" s="14"/>
    </row>
    <row r="2552">
      <c r="C2552" s="14"/>
    </row>
    <row r="2553">
      <c r="C2553" s="14"/>
    </row>
    <row r="2554">
      <c r="C2554" s="14"/>
    </row>
    <row r="2555">
      <c r="C2555" s="14"/>
    </row>
    <row r="2556">
      <c r="C2556" s="14"/>
    </row>
    <row r="2557">
      <c r="C2557" s="14"/>
    </row>
    <row r="2558">
      <c r="C2558" s="14"/>
    </row>
    <row r="2559">
      <c r="C2559" s="14"/>
    </row>
    <row r="2560">
      <c r="C2560" s="14"/>
    </row>
    <row r="2561">
      <c r="C2561" s="14"/>
    </row>
    <row r="2562">
      <c r="C2562" s="14"/>
    </row>
    <row r="2563">
      <c r="C2563" s="14"/>
    </row>
    <row r="2564">
      <c r="C2564" s="14"/>
    </row>
    <row r="2565">
      <c r="C2565" s="14"/>
    </row>
    <row r="2566">
      <c r="C2566" s="14"/>
    </row>
    <row r="2567">
      <c r="C2567" s="14"/>
    </row>
    <row r="2568">
      <c r="C2568" s="14"/>
    </row>
    <row r="2569">
      <c r="C2569" s="14"/>
    </row>
    <row r="2570">
      <c r="C2570" s="14"/>
    </row>
    <row r="2571">
      <c r="C2571" s="14"/>
    </row>
    <row r="2572">
      <c r="C2572" s="14"/>
    </row>
    <row r="2573">
      <c r="C2573" s="14"/>
    </row>
    <row r="2574">
      <c r="C2574" s="14"/>
    </row>
    <row r="2575">
      <c r="C2575" s="14"/>
    </row>
    <row r="2576">
      <c r="C2576" s="14"/>
    </row>
    <row r="2577">
      <c r="C2577" s="14"/>
    </row>
    <row r="2578">
      <c r="C2578" s="14"/>
    </row>
    <row r="2579">
      <c r="C2579" s="14"/>
    </row>
    <row r="2580">
      <c r="C2580" s="14"/>
    </row>
    <row r="2581">
      <c r="C2581" s="14"/>
    </row>
    <row r="2582">
      <c r="C2582" s="14"/>
    </row>
    <row r="2583">
      <c r="C2583" s="14"/>
    </row>
    <row r="2584">
      <c r="C2584" s="14"/>
    </row>
    <row r="2585">
      <c r="C2585" s="14"/>
    </row>
    <row r="2586">
      <c r="C2586" s="14"/>
    </row>
    <row r="2587">
      <c r="C2587" s="14"/>
    </row>
    <row r="2588">
      <c r="C2588" s="14"/>
    </row>
    <row r="2589">
      <c r="C2589" s="14"/>
    </row>
    <row r="2590">
      <c r="C2590" s="14"/>
    </row>
    <row r="2591">
      <c r="C2591" s="14"/>
    </row>
    <row r="2592">
      <c r="C2592" s="14"/>
    </row>
    <row r="2593">
      <c r="C2593" s="14"/>
    </row>
    <row r="2594">
      <c r="C2594" s="14"/>
    </row>
    <row r="2595">
      <c r="C2595" s="14"/>
    </row>
    <row r="2596">
      <c r="C2596" s="14"/>
    </row>
    <row r="2597">
      <c r="C2597" s="14"/>
    </row>
    <row r="2598">
      <c r="C2598" s="14"/>
    </row>
    <row r="2599">
      <c r="C2599" s="14"/>
    </row>
    <row r="2600">
      <c r="C2600" s="14"/>
    </row>
    <row r="2601">
      <c r="C2601" s="14"/>
    </row>
    <row r="2602">
      <c r="C2602" s="14"/>
    </row>
    <row r="2603">
      <c r="C2603" s="14"/>
    </row>
    <row r="2604">
      <c r="C2604" s="14"/>
    </row>
    <row r="2605">
      <c r="C2605" s="14"/>
    </row>
    <row r="2606">
      <c r="C2606" s="14"/>
    </row>
    <row r="2607">
      <c r="C2607" s="14"/>
    </row>
    <row r="2608">
      <c r="C2608" s="14"/>
    </row>
    <row r="2609">
      <c r="C2609" s="14"/>
    </row>
    <row r="2610">
      <c r="C2610" s="14"/>
    </row>
    <row r="2611">
      <c r="C2611" s="14"/>
    </row>
    <row r="2612">
      <c r="C2612" s="14"/>
    </row>
    <row r="2613">
      <c r="C2613" s="14"/>
    </row>
    <row r="2614">
      <c r="C2614" s="14"/>
    </row>
    <row r="2615">
      <c r="C2615" s="14"/>
    </row>
    <row r="2616">
      <c r="C2616" s="14"/>
    </row>
    <row r="2617">
      <c r="C2617" s="14"/>
    </row>
    <row r="2618">
      <c r="C2618" s="14"/>
    </row>
    <row r="2619">
      <c r="C2619" s="14"/>
    </row>
    <row r="2620">
      <c r="C2620" s="14"/>
    </row>
    <row r="2621">
      <c r="C2621" s="14"/>
    </row>
    <row r="2622">
      <c r="C2622" s="14"/>
    </row>
    <row r="2623">
      <c r="C2623" s="14"/>
    </row>
    <row r="2624">
      <c r="C2624" s="14"/>
    </row>
    <row r="2625">
      <c r="C2625" s="14"/>
    </row>
    <row r="2626">
      <c r="C2626" s="14"/>
    </row>
    <row r="2627">
      <c r="C2627" s="14"/>
    </row>
    <row r="2628">
      <c r="C2628" s="14"/>
    </row>
    <row r="2629">
      <c r="C2629" s="14"/>
    </row>
    <row r="2630">
      <c r="C2630" s="14"/>
    </row>
    <row r="2631">
      <c r="C2631" s="14"/>
    </row>
    <row r="2632">
      <c r="C2632" s="14"/>
    </row>
    <row r="2633">
      <c r="C2633" s="14"/>
    </row>
    <row r="2634">
      <c r="C2634" s="14"/>
    </row>
    <row r="2635">
      <c r="C2635" s="14"/>
    </row>
    <row r="2636">
      <c r="C2636" s="14"/>
    </row>
    <row r="2637">
      <c r="C2637" s="14"/>
    </row>
    <row r="2638">
      <c r="C2638" s="14"/>
    </row>
    <row r="2639">
      <c r="C2639" s="14"/>
    </row>
    <row r="2640">
      <c r="C2640" s="14"/>
    </row>
    <row r="2641">
      <c r="C2641" s="14"/>
    </row>
    <row r="2642">
      <c r="C2642" s="14"/>
    </row>
    <row r="2643">
      <c r="C2643" s="14"/>
    </row>
    <row r="2644">
      <c r="C2644" s="14"/>
    </row>
    <row r="2645">
      <c r="C2645" s="14"/>
    </row>
    <row r="2646">
      <c r="C2646" s="14"/>
    </row>
    <row r="2647">
      <c r="C2647" s="14"/>
    </row>
    <row r="2648">
      <c r="C2648" s="14"/>
    </row>
    <row r="2649">
      <c r="C2649" s="14"/>
    </row>
    <row r="2650">
      <c r="C2650" s="14"/>
    </row>
    <row r="2651">
      <c r="C2651" s="14"/>
    </row>
    <row r="2652">
      <c r="C2652" s="14"/>
    </row>
    <row r="2653">
      <c r="C2653" s="14"/>
    </row>
    <row r="2654">
      <c r="C2654" s="14"/>
    </row>
    <row r="2655">
      <c r="C2655" s="14"/>
    </row>
    <row r="2656">
      <c r="C2656" s="14"/>
    </row>
    <row r="2657">
      <c r="C2657" s="14"/>
    </row>
    <row r="2658">
      <c r="C2658" s="14"/>
    </row>
    <row r="2659">
      <c r="C2659" s="14"/>
    </row>
    <row r="2660">
      <c r="C2660" s="14"/>
    </row>
    <row r="2661">
      <c r="C2661" s="14"/>
    </row>
    <row r="2662">
      <c r="C2662" s="14"/>
    </row>
    <row r="2663">
      <c r="C2663" s="14"/>
    </row>
    <row r="2664">
      <c r="C2664" s="14"/>
    </row>
    <row r="2665">
      <c r="C2665" s="14"/>
    </row>
    <row r="2666">
      <c r="C2666" s="14"/>
    </row>
    <row r="2667">
      <c r="C2667" s="14"/>
    </row>
    <row r="2668">
      <c r="C2668" s="14"/>
    </row>
    <row r="2669">
      <c r="C2669" s="14"/>
    </row>
    <row r="2670">
      <c r="C2670" s="14"/>
    </row>
    <row r="2671">
      <c r="C2671" s="14"/>
    </row>
    <row r="2672">
      <c r="C2672" s="14"/>
    </row>
    <row r="2673">
      <c r="C2673" s="14"/>
    </row>
    <row r="2674">
      <c r="C2674" s="14"/>
    </row>
    <row r="2675">
      <c r="C2675" s="14"/>
    </row>
    <row r="2676">
      <c r="C2676" s="14"/>
    </row>
    <row r="2677">
      <c r="C2677" s="14"/>
    </row>
    <row r="2678">
      <c r="C2678" s="14"/>
    </row>
    <row r="2679">
      <c r="C2679" s="14"/>
    </row>
    <row r="2680">
      <c r="C2680" s="14"/>
    </row>
    <row r="2681">
      <c r="C2681" s="14"/>
    </row>
    <row r="2682">
      <c r="C2682" s="14"/>
    </row>
    <row r="2683">
      <c r="C2683" s="14"/>
    </row>
    <row r="2684">
      <c r="C2684" s="14"/>
    </row>
    <row r="2685">
      <c r="C2685" s="14"/>
    </row>
    <row r="2686">
      <c r="C2686" s="14"/>
    </row>
    <row r="2687">
      <c r="C2687" s="14"/>
    </row>
    <row r="2688">
      <c r="C2688" s="14"/>
    </row>
    <row r="2689">
      <c r="C2689" s="14"/>
    </row>
    <row r="2690">
      <c r="C2690" s="14"/>
    </row>
    <row r="2691">
      <c r="C2691" s="14"/>
    </row>
    <row r="2692">
      <c r="C2692" s="14"/>
    </row>
    <row r="2693">
      <c r="C2693" s="14"/>
    </row>
    <row r="2694">
      <c r="C2694" s="14"/>
    </row>
    <row r="2695">
      <c r="C2695" s="14"/>
    </row>
    <row r="2696">
      <c r="C2696" s="14"/>
    </row>
    <row r="2697">
      <c r="C2697" s="14"/>
    </row>
    <row r="2698">
      <c r="C2698" s="14"/>
    </row>
    <row r="2699">
      <c r="C2699" s="14"/>
    </row>
    <row r="2700">
      <c r="C2700" s="14"/>
    </row>
    <row r="2701">
      <c r="C2701" s="14"/>
    </row>
    <row r="2702">
      <c r="C2702" s="14"/>
    </row>
    <row r="2703">
      <c r="C2703" s="14"/>
    </row>
    <row r="2704">
      <c r="C2704" s="14"/>
    </row>
    <row r="2705">
      <c r="C2705" s="14"/>
    </row>
    <row r="2706">
      <c r="C2706" s="14"/>
    </row>
    <row r="2707">
      <c r="C2707" s="14"/>
    </row>
    <row r="2708">
      <c r="C2708" s="14"/>
    </row>
    <row r="2709">
      <c r="C2709" s="14"/>
    </row>
    <row r="2710">
      <c r="C2710" s="14"/>
    </row>
    <row r="2711">
      <c r="C2711" s="14"/>
    </row>
    <row r="2712">
      <c r="C2712" s="14"/>
    </row>
    <row r="2713">
      <c r="C2713" s="14"/>
    </row>
    <row r="2714">
      <c r="C2714" s="14"/>
    </row>
    <row r="2715">
      <c r="C2715" s="14"/>
    </row>
    <row r="2716">
      <c r="C2716" s="14"/>
    </row>
    <row r="2717">
      <c r="C2717" s="14"/>
    </row>
    <row r="2718">
      <c r="C2718" s="14"/>
    </row>
    <row r="2719">
      <c r="C2719" s="14"/>
    </row>
    <row r="2720">
      <c r="C2720" s="14"/>
    </row>
    <row r="2721">
      <c r="C2721" s="14"/>
    </row>
    <row r="2722">
      <c r="C2722" s="14"/>
    </row>
    <row r="2723">
      <c r="C2723" s="14"/>
    </row>
    <row r="2724">
      <c r="C2724" s="14"/>
    </row>
    <row r="2725">
      <c r="C2725" s="14"/>
    </row>
    <row r="2726">
      <c r="C2726" s="14"/>
    </row>
    <row r="2727">
      <c r="C2727" s="14"/>
    </row>
    <row r="2728">
      <c r="C2728" s="14"/>
    </row>
    <row r="2729">
      <c r="C2729" s="14"/>
    </row>
    <row r="2730">
      <c r="C2730" s="14"/>
    </row>
    <row r="2731">
      <c r="C2731" s="14"/>
    </row>
    <row r="2732">
      <c r="C2732" s="14"/>
    </row>
    <row r="2733">
      <c r="C2733" s="14"/>
    </row>
    <row r="2734">
      <c r="C2734" s="14"/>
    </row>
    <row r="2735">
      <c r="C2735" s="14"/>
    </row>
    <row r="2736">
      <c r="C2736" s="14"/>
    </row>
    <row r="2737">
      <c r="C2737" s="14"/>
    </row>
    <row r="2738">
      <c r="C2738" s="14"/>
    </row>
    <row r="2739">
      <c r="C2739" s="14"/>
    </row>
    <row r="2740">
      <c r="C2740" s="14"/>
    </row>
    <row r="2741">
      <c r="C2741" s="14"/>
    </row>
    <row r="2742">
      <c r="C2742" s="14"/>
    </row>
    <row r="2743">
      <c r="C2743" s="14"/>
    </row>
    <row r="2744">
      <c r="C2744" s="14"/>
    </row>
    <row r="2745">
      <c r="C2745" s="14"/>
    </row>
    <row r="2746">
      <c r="C2746" s="14"/>
    </row>
    <row r="2747">
      <c r="C2747" s="14"/>
    </row>
    <row r="2748">
      <c r="C2748" s="14"/>
    </row>
    <row r="2749">
      <c r="C2749" s="14"/>
    </row>
    <row r="2750">
      <c r="C2750" s="14"/>
    </row>
    <row r="2751">
      <c r="C2751" s="14"/>
    </row>
    <row r="2752">
      <c r="C2752" s="14"/>
    </row>
    <row r="2753">
      <c r="C2753" s="14"/>
    </row>
    <row r="2754">
      <c r="C2754" s="14"/>
    </row>
    <row r="2755">
      <c r="C2755" s="14"/>
    </row>
    <row r="2756">
      <c r="C2756" s="14"/>
    </row>
    <row r="2757">
      <c r="C2757" s="14"/>
    </row>
    <row r="2758">
      <c r="C2758" s="14"/>
    </row>
    <row r="2759">
      <c r="C2759" s="14"/>
    </row>
    <row r="2760">
      <c r="C2760" s="14"/>
    </row>
    <row r="2761">
      <c r="C2761" s="14"/>
    </row>
    <row r="2762">
      <c r="C2762" s="14"/>
    </row>
    <row r="2763">
      <c r="C2763" s="14"/>
    </row>
    <row r="2764">
      <c r="C2764" s="14"/>
    </row>
    <row r="2765">
      <c r="C2765" s="14"/>
    </row>
    <row r="2766">
      <c r="C2766" s="14"/>
    </row>
    <row r="2767">
      <c r="C2767" s="14"/>
    </row>
    <row r="2768">
      <c r="C2768" s="14"/>
    </row>
    <row r="2769">
      <c r="C2769" s="14"/>
    </row>
    <row r="2770">
      <c r="C2770" s="14"/>
    </row>
    <row r="2771">
      <c r="C2771" s="14"/>
    </row>
    <row r="2772">
      <c r="C2772" s="14"/>
    </row>
    <row r="2773">
      <c r="C2773" s="14"/>
    </row>
    <row r="2774">
      <c r="C2774" s="14"/>
    </row>
    <row r="2775">
      <c r="C2775" s="14"/>
    </row>
    <row r="2776">
      <c r="C2776" s="14"/>
    </row>
    <row r="2777">
      <c r="C2777" s="14"/>
    </row>
    <row r="2778">
      <c r="C2778" s="14"/>
    </row>
    <row r="2779">
      <c r="C2779" s="14"/>
    </row>
    <row r="2780">
      <c r="C2780" s="14"/>
    </row>
    <row r="2781">
      <c r="C2781" s="14"/>
    </row>
    <row r="2782">
      <c r="C2782" s="14"/>
    </row>
    <row r="2783">
      <c r="C2783" s="14"/>
    </row>
    <row r="2784">
      <c r="C2784" s="14"/>
    </row>
    <row r="2785">
      <c r="C2785" s="14"/>
    </row>
    <row r="2786">
      <c r="C2786" s="14"/>
    </row>
    <row r="2787">
      <c r="C2787" s="14"/>
    </row>
    <row r="2788">
      <c r="C2788" s="14"/>
    </row>
    <row r="2789">
      <c r="C2789" s="14"/>
    </row>
    <row r="2790">
      <c r="C2790" s="14"/>
    </row>
    <row r="2791">
      <c r="C2791" s="14"/>
    </row>
    <row r="2792">
      <c r="C2792" s="14"/>
    </row>
    <row r="2793">
      <c r="C2793" s="14"/>
    </row>
    <row r="2794">
      <c r="C2794" s="14"/>
    </row>
    <row r="2795">
      <c r="C2795" s="14"/>
    </row>
    <row r="2796">
      <c r="C2796" s="14"/>
    </row>
    <row r="2797">
      <c r="C2797" s="14"/>
    </row>
    <row r="2798">
      <c r="C2798" s="14"/>
    </row>
    <row r="2799">
      <c r="C2799" s="14"/>
    </row>
    <row r="2800">
      <c r="C2800" s="14"/>
    </row>
    <row r="2801">
      <c r="C2801" s="14"/>
    </row>
    <row r="2802">
      <c r="C2802" s="14"/>
    </row>
    <row r="2803">
      <c r="C2803" s="14"/>
    </row>
    <row r="2804">
      <c r="C2804" s="14"/>
    </row>
    <row r="2805">
      <c r="C2805" s="14"/>
    </row>
    <row r="2806">
      <c r="C2806" s="14"/>
    </row>
    <row r="2807">
      <c r="C2807" s="14"/>
    </row>
    <row r="2808">
      <c r="C2808" s="14"/>
    </row>
    <row r="2809">
      <c r="C2809" s="14"/>
    </row>
    <row r="2810">
      <c r="C2810" s="14"/>
    </row>
    <row r="2811">
      <c r="C2811" s="14"/>
    </row>
    <row r="2812">
      <c r="C2812" s="14"/>
    </row>
    <row r="2813">
      <c r="C2813" s="14"/>
    </row>
    <row r="2814">
      <c r="C2814" s="14"/>
    </row>
    <row r="2815">
      <c r="C2815" s="14"/>
    </row>
    <row r="2816">
      <c r="C2816" s="14"/>
    </row>
    <row r="2817">
      <c r="C2817" s="14"/>
    </row>
    <row r="2818">
      <c r="C2818" s="14"/>
    </row>
    <row r="2819">
      <c r="C2819" s="14"/>
    </row>
    <row r="2820">
      <c r="C2820" s="14"/>
    </row>
    <row r="2821">
      <c r="C2821" s="14"/>
    </row>
    <row r="2822">
      <c r="C2822" s="14"/>
    </row>
    <row r="2823">
      <c r="C2823" s="14"/>
    </row>
    <row r="2824">
      <c r="C2824" s="14"/>
    </row>
    <row r="2825">
      <c r="C2825" s="14"/>
    </row>
    <row r="2826">
      <c r="C2826" s="14"/>
    </row>
    <row r="2827">
      <c r="C2827" s="14"/>
    </row>
    <row r="2828">
      <c r="C2828" s="14"/>
    </row>
    <row r="2829">
      <c r="C2829" s="14"/>
    </row>
    <row r="2830">
      <c r="C2830" s="14"/>
    </row>
    <row r="2831">
      <c r="C2831" s="14"/>
    </row>
    <row r="2832">
      <c r="C2832" s="14"/>
    </row>
    <row r="2833">
      <c r="C2833" s="14"/>
    </row>
    <row r="2834">
      <c r="C2834" s="14"/>
    </row>
    <row r="2835">
      <c r="C2835" s="14"/>
    </row>
    <row r="2836">
      <c r="C2836" s="14"/>
    </row>
    <row r="2837">
      <c r="C2837" s="14"/>
    </row>
    <row r="2838">
      <c r="C2838" s="14"/>
    </row>
    <row r="2839">
      <c r="C2839" s="14"/>
    </row>
    <row r="2840">
      <c r="C2840" s="14"/>
    </row>
    <row r="2841">
      <c r="C2841" s="14"/>
    </row>
    <row r="2842">
      <c r="C2842" s="14"/>
    </row>
    <row r="2843">
      <c r="C2843" s="14"/>
    </row>
    <row r="2844">
      <c r="C2844" s="14"/>
    </row>
    <row r="2845">
      <c r="C2845" s="14"/>
    </row>
    <row r="2846">
      <c r="C2846" s="14"/>
    </row>
    <row r="2847">
      <c r="C2847" s="14"/>
    </row>
    <row r="2848">
      <c r="C2848" s="14"/>
    </row>
    <row r="2849">
      <c r="C2849" s="14"/>
    </row>
    <row r="2850">
      <c r="C2850" s="14"/>
    </row>
    <row r="2851">
      <c r="C2851" s="14"/>
    </row>
    <row r="2852">
      <c r="C2852" s="14"/>
    </row>
    <row r="2853">
      <c r="C2853" s="14"/>
    </row>
    <row r="2854">
      <c r="C2854" s="14"/>
    </row>
    <row r="2855">
      <c r="C2855" s="14"/>
    </row>
    <row r="2856">
      <c r="C2856" s="14"/>
    </row>
    <row r="2857">
      <c r="C2857" s="14"/>
    </row>
    <row r="2858">
      <c r="C2858" s="14"/>
    </row>
    <row r="2859">
      <c r="C2859" s="14"/>
    </row>
    <row r="2860">
      <c r="C2860" s="14"/>
    </row>
    <row r="2861">
      <c r="C2861" s="14"/>
    </row>
    <row r="2862">
      <c r="C2862" s="14"/>
    </row>
    <row r="2863">
      <c r="C2863" s="14"/>
    </row>
    <row r="2864">
      <c r="C2864" s="14"/>
    </row>
    <row r="2865">
      <c r="C2865" s="14"/>
    </row>
    <row r="2866">
      <c r="C2866" s="14"/>
    </row>
    <row r="2867">
      <c r="C2867" s="14"/>
    </row>
    <row r="2868">
      <c r="C2868" s="14"/>
    </row>
    <row r="2869">
      <c r="C2869" s="14"/>
    </row>
    <row r="2870">
      <c r="C2870" s="14"/>
    </row>
    <row r="2871">
      <c r="C2871" s="14"/>
    </row>
    <row r="2872">
      <c r="C2872" s="14"/>
    </row>
    <row r="2873">
      <c r="C2873" s="14"/>
    </row>
    <row r="2874">
      <c r="C2874" s="14"/>
    </row>
    <row r="2875">
      <c r="C2875" s="14"/>
    </row>
    <row r="2876">
      <c r="C2876" s="14"/>
    </row>
    <row r="2877">
      <c r="C2877" s="14"/>
    </row>
    <row r="2878">
      <c r="C2878" s="14"/>
    </row>
    <row r="2879">
      <c r="C2879" s="14"/>
    </row>
    <row r="2880">
      <c r="C2880" s="14"/>
    </row>
    <row r="2881">
      <c r="C2881" s="14"/>
    </row>
    <row r="2882">
      <c r="C2882" s="14"/>
    </row>
    <row r="2883">
      <c r="C2883" s="14"/>
    </row>
    <row r="2884">
      <c r="C2884" s="14"/>
    </row>
    <row r="2885">
      <c r="C2885" s="14"/>
    </row>
    <row r="2886">
      <c r="C2886" s="14"/>
    </row>
    <row r="2887">
      <c r="C2887" s="14"/>
    </row>
    <row r="2888">
      <c r="C2888" s="14"/>
    </row>
    <row r="2889">
      <c r="C2889" s="14"/>
    </row>
    <row r="2890">
      <c r="C2890" s="14"/>
    </row>
    <row r="2891">
      <c r="C2891" s="14"/>
    </row>
    <row r="2892">
      <c r="C2892" s="14"/>
    </row>
    <row r="2893">
      <c r="C2893" s="14"/>
    </row>
    <row r="2894">
      <c r="C2894" s="14"/>
    </row>
    <row r="2895">
      <c r="C2895" s="14"/>
    </row>
    <row r="2896">
      <c r="C2896" s="14"/>
    </row>
    <row r="2897">
      <c r="C2897" s="14"/>
    </row>
    <row r="2898">
      <c r="C2898" s="14"/>
    </row>
    <row r="2899">
      <c r="C2899" s="14"/>
    </row>
    <row r="2900">
      <c r="C2900" s="14"/>
    </row>
    <row r="2901">
      <c r="C2901" s="14"/>
    </row>
    <row r="2902">
      <c r="C2902" s="14"/>
    </row>
    <row r="2903">
      <c r="C2903" s="14"/>
    </row>
    <row r="2904">
      <c r="C2904" s="14"/>
    </row>
    <row r="2905">
      <c r="C2905" s="14"/>
    </row>
    <row r="2906">
      <c r="C2906" s="14"/>
    </row>
    <row r="2907">
      <c r="C2907" s="14"/>
    </row>
    <row r="2908">
      <c r="C2908" s="14"/>
    </row>
    <row r="2909">
      <c r="C2909" s="14"/>
    </row>
    <row r="2910">
      <c r="C2910" s="14"/>
    </row>
    <row r="2911">
      <c r="C2911" s="14"/>
    </row>
    <row r="2912">
      <c r="C2912" s="14"/>
    </row>
    <row r="2913">
      <c r="C2913" s="14"/>
    </row>
    <row r="2914">
      <c r="C2914" s="14"/>
    </row>
    <row r="2915">
      <c r="C2915" s="14"/>
    </row>
    <row r="2916">
      <c r="C2916" s="14"/>
    </row>
    <row r="2917">
      <c r="C2917" s="14"/>
    </row>
    <row r="2918">
      <c r="C2918" s="14"/>
    </row>
    <row r="2919">
      <c r="C2919" s="14"/>
    </row>
    <row r="2920">
      <c r="C2920" s="14"/>
    </row>
    <row r="2921">
      <c r="C2921" s="14"/>
    </row>
    <row r="2922">
      <c r="C2922" s="14"/>
    </row>
    <row r="2923">
      <c r="C2923" s="14"/>
    </row>
    <row r="2924">
      <c r="C2924" s="14"/>
    </row>
    <row r="2925">
      <c r="C2925" s="14"/>
    </row>
    <row r="2926">
      <c r="C2926" s="14"/>
    </row>
    <row r="2927">
      <c r="C2927" s="14"/>
    </row>
    <row r="2928">
      <c r="C2928" s="14"/>
    </row>
    <row r="2929">
      <c r="C2929" s="14"/>
    </row>
    <row r="2930">
      <c r="C2930" s="14"/>
    </row>
    <row r="2931">
      <c r="C2931" s="14"/>
    </row>
    <row r="2932">
      <c r="C2932" s="14"/>
    </row>
    <row r="2933">
      <c r="C2933" s="14"/>
    </row>
    <row r="2934">
      <c r="C2934" s="14"/>
    </row>
    <row r="2935">
      <c r="C2935" s="14"/>
    </row>
    <row r="2936">
      <c r="C2936" s="14"/>
    </row>
    <row r="2937">
      <c r="C2937" s="14"/>
    </row>
    <row r="2938">
      <c r="C2938" s="14"/>
    </row>
    <row r="2939">
      <c r="C2939" s="14"/>
    </row>
    <row r="2940">
      <c r="C2940" s="14"/>
    </row>
    <row r="2941">
      <c r="C2941" s="14"/>
    </row>
    <row r="2942">
      <c r="C2942" s="14"/>
    </row>
    <row r="2943">
      <c r="C2943" s="14"/>
    </row>
    <row r="2944">
      <c r="C2944" s="14"/>
    </row>
    <row r="2945">
      <c r="C2945" s="14"/>
    </row>
    <row r="2946">
      <c r="C2946" s="14"/>
    </row>
    <row r="2947">
      <c r="C2947" s="14"/>
    </row>
    <row r="2948">
      <c r="C2948" s="14"/>
    </row>
    <row r="2949">
      <c r="C2949" s="14"/>
    </row>
    <row r="2950">
      <c r="C2950" s="14"/>
    </row>
    <row r="2951">
      <c r="C2951" s="14"/>
    </row>
    <row r="2952">
      <c r="C2952" s="14"/>
    </row>
    <row r="2953">
      <c r="C2953" s="14"/>
    </row>
    <row r="2954">
      <c r="C2954" s="14"/>
    </row>
    <row r="2955">
      <c r="C2955" s="14"/>
    </row>
    <row r="2956">
      <c r="C2956" s="14"/>
    </row>
    <row r="2957">
      <c r="C2957" s="14"/>
    </row>
    <row r="2958">
      <c r="C2958" s="14"/>
    </row>
    <row r="2959">
      <c r="C2959" s="14"/>
    </row>
    <row r="2960">
      <c r="C2960" s="14"/>
    </row>
    <row r="2961">
      <c r="C2961" s="14"/>
    </row>
    <row r="2962">
      <c r="C2962" s="14"/>
    </row>
    <row r="2963">
      <c r="C2963" s="14"/>
    </row>
    <row r="2964">
      <c r="C2964" s="14"/>
    </row>
    <row r="2965">
      <c r="C2965" s="14"/>
    </row>
    <row r="2966">
      <c r="C2966" s="14"/>
    </row>
    <row r="2967">
      <c r="C2967" s="14"/>
    </row>
    <row r="2968">
      <c r="C2968" s="14"/>
    </row>
    <row r="2969">
      <c r="C2969" s="14"/>
    </row>
    <row r="2970">
      <c r="C2970" s="14"/>
    </row>
    <row r="2971">
      <c r="C2971" s="14"/>
    </row>
    <row r="2972">
      <c r="C2972" s="14"/>
    </row>
    <row r="2973">
      <c r="C2973" s="14"/>
    </row>
    <row r="2974">
      <c r="C2974" s="14"/>
    </row>
    <row r="2975">
      <c r="C2975" s="14"/>
    </row>
    <row r="2976">
      <c r="C2976" s="14"/>
    </row>
    <row r="2977">
      <c r="C2977" s="14"/>
    </row>
    <row r="2978">
      <c r="C2978" s="14"/>
    </row>
    <row r="2979">
      <c r="C2979" s="14"/>
    </row>
    <row r="2980">
      <c r="C2980" s="14"/>
    </row>
    <row r="2981">
      <c r="C2981" s="14"/>
    </row>
    <row r="2982">
      <c r="C2982" s="14"/>
    </row>
    <row r="2983">
      <c r="C2983" s="14"/>
    </row>
    <row r="2984">
      <c r="C2984" s="14"/>
    </row>
    <row r="2985">
      <c r="C2985" s="14"/>
    </row>
    <row r="2986">
      <c r="C2986" s="14"/>
    </row>
    <row r="2987">
      <c r="C2987" s="14"/>
    </row>
    <row r="2988">
      <c r="C2988" s="14"/>
    </row>
    <row r="2989">
      <c r="C2989" s="14"/>
    </row>
    <row r="2990">
      <c r="C2990" s="14"/>
    </row>
    <row r="2991">
      <c r="C2991" s="14"/>
    </row>
    <row r="2992">
      <c r="C2992" s="14"/>
    </row>
    <row r="2993">
      <c r="C2993" s="14"/>
    </row>
    <row r="2994">
      <c r="C2994" s="14"/>
    </row>
    <row r="2995">
      <c r="C2995" s="14"/>
    </row>
    <row r="2996">
      <c r="C2996" s="14"/>
    </row>
    <row r="2997">
      <c r="C2997" s="14"/>
    </row>
    <row r="2998">
      <c r="C2998" s="14"/>
    </row>
    <row r="2999">
      <c r="C2999" s="14"/>
    </row>
    <row r="3000">
      <c r="C3000" s="14"/>
    </row>
    <row r="3001">
      <c r="C3001" s="14"/>
    </row>
    <row r="3002">
      <c r="C3002" s="14"/>
    </row>
    <row r="3003">
      <c r="C3003" s="14"/>
    </row>
    <row r="3004">
      <c r="C3004" s="14"/>
    </row>
    <row r="3005">
      <c r="C3005" s="14"/>
    </row>
    <row r="3006">
      <c r="C3006" s="14"/>
    </row>
    <row r="3007">
      <c r="C3007" s="14"/>
    </row>
    <row r="3008">
      <c r="C3008" s="14"/>
    </row>
    <row r="3009">
      <c r="C3009" s="14"/>
    </row>
    <row r="3010">
      <c r="C3010" s="14"/>
    </row>
    <row r="3011">
      <c r="C3011" s="14"/>
    </row>
    <row r="3012">
      <c r="C3012" s="14"/>
    </row>
    <row r="3013">
      <c r="C3013" s="14"/>
    </row>
    <row r="3014">
      <c r="C3014" s="14"/>
    </row>
    <row r="3015">
      <c r="C3015" s="14"/>
    </row>
    <row r="3016">
      <c r="C3016" s="14"/>
    </row>
    <row r="3017">
      <c r="C3017" s="14"/>
    </row>
    <row r="3018">
      <c r="C3018" s="14"/>
    </row>
    <row r="3019">
      <c r="C3019" s="14"/>
    </row>
    <row r="3020">
      <c r="C3020" s="14"/>
    </row>
    <row r="3021">
      <c r="C3021" s="14"/>
    </row>
    <row r="3022">
      <c r="C3022" s="14"/>
    </row>
    <row r="3023">
      <c r="C3023" s="14"/>
    </row>
    <row r="3024">
      <c r="C3024" s="14"/>
    </row>
    <row r="3025">
      <c r="C3025" s="14"/>
    </row>
    <row r="3026">
      <c r="C3026" s="14"/>
    </row>
    <row r="3027">
      <c r="C3027" s="14"/>
    </row>
    <row r="3028">
      <c r="C3028" s="14"/>
    </row>
    <row r="3029">
      <c r="C3029" s="14"/>
    </row>
    <row r="3030">
      <c r="C3030" s="14"/>
    </row>
    <row r="3031">
      <c r="C3031" s="14"/>
    </row>
    <row r="3032">
      <c r="C3032" s="14"/>
    </row>
    <row r="3033">
      <c r="C3033" s="14"/>
    </row>
    <row r="3034">
      <c r="C3034" s="14"/>
    </row>
    <row r="3035">
      <c r="C3035" s="14"/>
    </row>
    <row r="3036">
      <c r="C3036" s="14"/>
    </row>
    <row r="3037">
      <c r="C3037" s="14"/>
    </row>
    <row r="3038">
      <c r="C3038" s="14"/>
    </row>
    <row r="3039">
      <c r="C3039" s="14"/>
    </row>
    <row r="3040">
      <c r="C3040" s="14"/>
    </row>
    <row r="3041">
      <c r="C3041" s="14"/>
    </row>
    <row r="3042">
      <c r="C3042" s="14"/>
    </row>
    <row r="3043">
      <c r="C3043" s="14"/>
    </row>
    <row r="3044">
      <c r="C3044" s="14"/>
    </row>
    <row r="3045">
      <c r="C3045" s="14"/>
    </row>
    <row r="3046">
      <c r="C3046" s="14"/>
    </row>
    <row r="3047">
      <c r="C3047" s="14"/>
    </row>
    <row r="3048">
      <c r="C3048" s="14"/>
    </row>
    <row r="3049">
      <c r="C3049" s="14"/>
    </row>
    <row r="3050">
      <c r="C3050" s="14"/>
    </row>
    <row r="3051">
      <c r="C3051" s="14"/>
    </row>
    <row r="3052">
      <c r="C3052" s="14"/>
    </row>
    <row r="3053">
      <c r="C3053" s="14"/>
    </row>
    <row r="3054">
      <c r="C3054" s="14"/>
    </row>
    <row r="3055">
      <c r="C3055" s="14"/>
    </row>
    <row r="3056">
      <c r="C3056" s="14"/>
    </row>
    <row r="3057">
      <c r="C3057" s="14"/>
    </row>
    <row r="3058">
      <c r="C3058" s="14"/>
    </row>
    <row r="3059">
      <c r="C3059" s="14"/>
    </row>
    <row r="3060">
      <c r="C3060" s="14"/>
    </row>
    <row r="3061">
      <c r="C3061" s="14"/>
    </row>
    <row r="3062">
      <c r="C3062" s="14"/>
    </row>
    <row r="3063">
      <c r="C3063" s="14"/>
    </row>
    <row r="3064">
      <c r="C3064" s="14"/>
    </row>
    <row r="3065">
      <c r="C3065" s="14"/>
    </row>
    <row r="3066">
      <c r="C3066" s="14"/>
    </row>
    <row r="3067">
      <c r="C3067" s="14"/>
    </row>
    <row r="3068">
      <c r="C3068" s="14"/>
    </row>
    <row r="3069">
      <c r="C3069" s="14"/>
    </row>
    <row r="3070">
      <c r="C3070" s="14"/>
    </row>
    <row r="3071">
      <c r="C3071" s="14"/>
    </row>
    <row r="3072">
      <c r="C3072" s="14"/>
    </row>
    <row r="3073">
      <c r="C3073" s="14"/>
    </row>
    <row r="3074">
      <c r="C3074" s="14"/>
    </row>
    <row r="3075">
      <c r="C3075" s="14"/>
    </row>
    <row r="3076">
      <c r="C3076" s="14"/>
    </row>
    <row r="3077">
      <c r="C3077" s="14"/>
    </row>
    <row r="3078">
      <c r="C3078" s="14"/>
    </row>
    <row r="3079">
      <c r="C3079" s="14"/>
    </row>
    <row r="3080">
      <c r="C3080" s="14"/>
    </row>
    <row r="3081">
      <c r="C3081" s="14"/>
    </row>
    <row r="3082">
      <c r="C3082" s="14"/>
    </row>
    <row r="3083">
      <c r="C3083" s="14"/>
    </row>
    <row r="3084">
      <c r="C3084" s="14"/>
    </row>
    <row r="3085">
      <c r="C3085" s="14"/>
    </row>
    <row r="3086">
      <c r="C3086" s="14"/>
    </row>
    <row r="3087">
      <c r="C3087" s="14"/>
    </row>
    <row r="3088">
      <c r="C3088" s="14"/>
    </row>
    <row r="3089">
      <c r="C3089" s="14"/>
    </row>
    <row r="3090">
      <c r="C3090" s="14"/>
    </row>
    <row r="3091">
      <c r="C3091" s="14"/>
    </row>
    <row r="3092">
      <c r="C3092" s="14"/>
    </row>
    <row r="3093">
      <c r="C3093" s="14"/>
    </row>
    <row r="3094">
      <c r="C3094" s="14"/>
    </row>
    <row r="3095">
      <c r="C3095" s="14"/>
    </row>
    <row r="3096">
      <c r="C3096" s="14"/>
    </row>
    <row r="3097">
      <c r="C3097" s="14"/>
    </row>
    <row r="3098">
      <c r="C3098" s="14"/>
    </row>
    <row r="3099">
      <c r="C3099" s="14"/>
    </row>
    <row r="3100">
      <c r="C3100" s="14"/>
    </row>
    <row r="3101">
      <c r="C3101" s="14"/>
    </row>
    <row r="3102">
      <c r="C3102" s="14"/>
    </row>
    <row r="3103">
      <c r="C3103" s="14"/>
    </row>
    <row r="3104">
      <c r="C3104" s="14"/>
    </row>
    <row r="3105">
      <c r="C3105" s="14"/>
    </row>
    <row r="3106">
      <c r="C3106" s="14"/>
    </row>
    <row r="3107">
      <c r="C3107" s="14"/>
    </row>
    <row r="3108">
      <c r="C3108" s="14"/>
    </row>
    <row r="3109">
      <c r="C3109" s="14"/>
    </row>
    <row r="3110">
      <c r="C3110" s="14"/>
    </row>
    <row r="3111">
      <c r="C3111" s="14"/>
    </row>
    <row r="3112">
      <c r="C3112" s="14"/>
    </row>
    <row r="3113">
      <c r="C3113" s="14"/>
    </row>
    <row r="3114">
      <c r="C3114" s="14"/>
    </row>
    <row r="3115">
      <c r="C3115" s="14"/>
    </row>
    <row r="3116">
      <c r="C3116" s="14"/>
    </row>
    <row r="3117">
      <c r="C3117" s="14"/>
    </row>
    <row r="3118">
      <c r="C3118" s="14"/>
    </row>
    <row r="3119">
      <c r="C3119" s="14"/>
    </row>
    <row r="3120">
      <c r="C3120" s="14"/>
    </row>
    <row r="3121">
      <c r="C3121" s="14"/>
    </row>
    <row r="3122">
      <c r="C3122" s="14"/>
    </row>
    <row r="3123">
      <c r="C3123" s="14"/>
    </row>
    <row r="3124">
      <c r="C3124" s="14"/>
    </row>
    <row r="3125">
      <c r="C3125" s="14"/>
    </row>
    <row r="3126">
      <c r="C3126" s="14"/>
    </row>
    <row r="3127">
      <c r="C3127" s="14"/>
    </row>
    <row r="3128">
      <c r="C3128" s="14"/>
    </row>
    <row r="3129">
      <c r="C3129" s="14"/>
    </row>
    <row r="3130">
      <c r="C3130" s="14"/>
    </row>
    <row r="3131">
      <c r="C3131" s="14"/>
    </row>
    <row r="3132">
      <c r="C3132" s="14"/>
    </row>
    <row r="3133">
      <c r="C3133" s="14"/>
    </row>
    <row r="3134">
      <c r="C3134" s="14"/>
    </row>
    <row r="3135">
      <c r="C3135" s="14"/>
    </row>
    <row r="3136">
      <c r="C3136" s="14"/>
    </row>
    <row r="3137">
      <c r="C3137" s="14"/>
    </row>
    <row r="3138">
      <c r="C3138" s="14"/>
    </row>
    <row r="3139">
      <c r="C3139" s="14"/>
    </row>
    <row r="3140">
      <c r="C3140" s="14"/>
    </row>
    <row r="3141">
      <c r="C3141" s="14"/>
    </row>
    <row r="3142">
      <c r="C3142" s="14"/>
    </row>
    <row r="3143">
      <c r="C3143" s="14"/>
    </row>
    <row r="3144">
      <c r="C3144" s="14"/>
    </row>
    <row r="3145">
      <c r="C3145" s="14"/>
    </row>
    <row r="3146">
      <c r="C3146" s="14"/>
    </row>
    <row r="3147">
      <c r="C3147" s="14"/>
    </row>
    <row r="3148">
      <c r="C3148" s="14"/>
    </row>
    <row r="3149">
      <c r="C3149" s="14"/>
    </row>
    <row r="3150">
      <c r="C3150" s="14"/>
    </row>
    <row r="3151">
      <c r="C3151" s="14"/>
    </row>
    <row r="3152">
      <c r="C3152" s="14"/>
    </row>
    <row r="3153">
      <c r="C3153" s="14"/>
    </row>
    <row r="3154">
      <c r="C3154" s="14"/>
    </row>
    <row r="3155">
      <c r="C3155" s="14"/>
    </row>
    <row r="3156">
      <c r="C3156" s="14"/>
    </row>
    <row r="3157">
      <c r="C3157" s="14"/>
    </row>
    <row r="3158">
      <c r="C3158" s="14"/>
    </row>
    <row r="3159">
      <c r="C3159" s="14"/>
    </row>
    <row r="3160">
      <c r="C3160" s="14"/>
    </row>
    <row r="3161">
      <c r="C3161" s="14"/>
    </row>
    <row r="3162">
      <c r="C3162" s="14"/>
    </row>
    <row r="3163">
      <c r="C3163" s="14"/>
    </row>
    <row r="3164">
      <c r="C3164" s="14"/>
    </row>
    <row r="3165">
      <c r="C3165" s="14"/>
    </row>
    <row r="3166">
      <c r="C3166" s="14"/>
    </row>
    <row r="3167">
      <c r="C3167" s="14"/>
    </row>
    <row r="3168">
      <c r="C3168" s="14"/>
    </row>
    <row r="3169">
      <c r="C3169" s="14"/>
    </row>
    <row r="3170">
      <c r="C3170" s="14"/>
    </row>
    <row r="3171">
      <c r="C3171" s="14"/>
    </row>
    <row r="3172">
      <c r="C3172" s="14"/>
    </row>
    <row r="3173">
      <c r="C3173" s="14"/>
    </row>
    <row r="3174">
      <c r="C3174" s="14"/>
    </row>
    <row r="3175">
      <c r="C3175" s="14"/>
    </row>
    <row r="3176">
      <c r="C3176" s="14"/>
    </row>
    <row r="3177">
      <c r="C3177" s="14"/>
    </row>
    <row r="3178">
      <c r="C3178" s="14"/>
    </row>
    <row r="3179">
      <c r="C3179" s="14"/>
    </row>
    <row r="3180">
      <c r="C3180" s="14"/>
    </row>
    <row r="3181">
      <c r="C3181" s="14"/>
    </row>
    <row r="3182">
      <c r="C3182" s="14"/>
    </row>
    <row r="3183">
      <c r="C3183" s="14"/>
    </row>
    <row r="3184">
      <c r="C3184" s="14"/>
    </row>
    <row r="3185">
      <c r="C3185" s="14"/>
    </row>
    <row r="3186">
      <c r="C3186" s="14"/>
    </row>
    <row r="3187">
      <c r="C3187" s="14"/>
    </row>
    <row r="3188">
      <c r="C3188" s="14"/>
    </row>
    <row r="3189">
      <c r="C3189" s="14"/>
    </row>
    <row r="3190">
      <c r="C3190" s="14"/>
    </row>
    <row r="3191">
      <c r="C3191" s="14"/>
    </row>
    <row r="3192">
      <c r="C3192" s="14"/>
    </row>
    <row r="3193">
      <c r="C3193" s="14"/>
    </row>
    <row r="3194">
      <c r="C3194" s="14"/>
    </row>
    <row r="3195">
      <c r="C3195" s="14"/>
    </row>
    <row r="3196">
      <c r="C3196" s="14"/>
    </row>
    <row r="3197">
      <c r="C3197" s="14"/>
    </row>
    <row r="3198">
      <c r="C3198" s="14"/>
    </row>
    <row r="3199">
      <c r="C3199" s="14"/>
    </row>
    <row r="3200">
      <c r="C3200" s="14"/>
    </row>
    <row r="3201">
      <c r="C3201" s="14"/>
    </row>
    <row r="3202">
      <c r="C3202" s="14"/>
    </row>
    <row r="3203">
      <c r="C3203" s="14"/>
    </row>
    <row r="3204">
      <c r="C3204" s="14"/>
    </row>
    <row r="3205">
      <c r="C3205" s="14"/>
    </row>
    <row r="3206">
      <c r="C3206" s="14"/>
    </row>
    <row r="3207">
      <c r="C3207" s="14"/>
    </row>
    <row r="3208">
      <c r="C3208" s="14"/>
    </row>
    <row r="3209">
      <c r="C3209" s="14"/>
    </row>
    <row r="3210">
      <c r="C3210" s="14"/>
    </row>
    <row r="3211">
      <c r="C3211" s="14"/>
    </row>
    <row r="3212">
      <c r="C3212"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38"/>
    <col customWidth="1" min="4" max="4" width="9.88"/>
    <col customWidth="1" min="5" max="5" width="9.5"/>
  </cols>
  <sheetData>
    <row r="1">
      <c r="A1" s="15" t="s">
        <v>0</v>
      </c>
      <c r="B1" s="15" t="s">
        <v>1</v>
      </c>
      <c r="C1" s="15" t="str">
        <f>CONCATENATE("Weekly Participants ",SUM(C2:C99))</f>
        <v>Weekly Participants 2954</v>
      </c>
      <c r="D1" s="15" t="str">
        <f>CONCATENATE("Weekly Tubes Run ",SUM(D2:D99))</f>
        <v>Weekly Tubes Run 1379</v>
      </c>
      <c r="E1" s="15" t="str">
        <f>CONCATENATE("Weekly Positive Tubes ",SUM(E2:E99))</f>
        <v>Weekly Positive Tubes 9</v>
      </c>
      <c r="F1" s="15" t="str">
        <f>CONCATENATE("Weekly Inconclusive Tubes ",SUM(F2:F99))</f>
        <v>Weekly Inconclusive Tubes 3</v>
      </c>
      <c r="G1" s="15" t="s">
        <v>2</v>
      </c>
      <c r="H1" s="6"/>
      <c r="I1" s="6"/>
      <c r="J1" s="6"/>
      <c r="K1" s="6"/>
      <c r="L1" s="6"/>
      <c r="M1" s="6"/>
      <c r="N1" s="6"/>
      <c r="O1" s="6"/>
      <c r="P1" s="6"/>
      <c r="Q1" s="6"/>
      <c r="R1" s="6"/>
      <c r="S1" s="6"/>
      <c r="T1" s="6"/>
      <c r="U1" s="6"/>
      <c r="V1" s="6"/>
      <c r="W1" s="6"/>
      <c r="X1" s="6"/>
      <c r="Y1" s="6"/>
      <c r="Z1" s="6"/>
      <c r="AA1" s="6"/>
    </row>
    <row r="2">
      <c r="A2" s="16">
        <f>MIN('ALL Tube Results'!C:C) - WEEKDAY(MIN('ALL Tube Results'!C:C), 3)
</f>
        <v>44809</v>
      </c>
      <c r="B2" s="17">
        <f t="shared" ref="B2:B40" si="1">A2+6</f>
        <v>44815</v>
      </c>
      <c r="C2" s="18">
        <f>SUMIFS('ALL Tube Results'!$G$2:$G99, 'ALL Tube Results'!$C$2:$C99, "&gt;="&amp;A2, 'ALL Tube Results'!$C$2:$C99, "&lt;="&amp;B2)
</f>
        <v>113</v>
      </c>
      <c r="D2" s="18">
        <f>COUNTIFS('ALL Tube Results'!$C2:$C99, "&gt;="&amp;A2, 'ALL Tube Results'!$C2:$C99, "&lt;="&amp;B2)</f>
        <v>61</v>
      </c>
      <c r="E2" s="18">
        <f>COUNTIFS('ALL Tube Results'!$C2:$C99, "&gt;="&amp;A2, 'ALL Tube Results'!$C2:$C99, "&lt;="&amp;B2, 'ALL Tube Results'!$F2:$F99, "Positive")</f>
        <v>0</v>
      </c>
      <c r="F2" s="18">
        <f>COUNTIFS('ALL Tube Results'!$C2:$C99, "&gt;="&amp;A2, 'ALL Tube Results'!$C2:$C99, "&lt;="&amp;B2, 'ALL Tube Results'!$F2:$F99, "Inconclusive")</f>
        <v>0</v>
      </c>
      <c r="G2" s="19">
        <f t="shared" ref="G2:G40" si="2">IFERROR(E2/D2,IFERROR(0/0,""))</f>
        <v>0</v>
      </c>
      <c r="I2" s="7" t="str">
        <f>TEXT(A2,"ddd")</f>
        <v>Mon</v>
      </c>
    </row>
    <row r="3">
      <c r="A3" s="20">
        <f>B2+1</f>
        <v>44816</v>
      </c>
      <c r="B3" s="17">
        <f t="shared" si="1"/>
        <v>44822</v>
      </c>
      <c r="C3" s="18">
        <f>SUMIFS('ALL Tube Results'!$G$2:$G99, 'ALL Tube Results'!$C$2:$C99, "&gt;="&amp;A3, 'ALL Tube Results'!$C$2:$C99, "&lt;="&amp;B3)
</f>
        <v>130</v>
      </c>
      <c r="D3" s="18">
        <f>COUNTIFS('ALL Tube Results'!$C3:$C99, "&gt;="&amp;A3, 'ALL Tube Results'!$C3:$C99, "&lt;="&amp;B3)</f>
        <v>52</v>
      </c>
      <c r="E3" s="18">
        <f>COUNTIFS('ALL Tube Results'!$C3:$C99, "&gt;="&amp;A3, 'ALL Tube Results'!$C3:$C99, "&lt;="&amp;B3, 'ALL Tube Results'!$F3:$F99, "Positive")</f>
        <v>0</v>
      </c>
      <c r="F3" s="18">
        <f>COUNTIFS('ALL Tube Results'!$C3:$C99, "&gt;="&amp;A3, 'ALL Tube Results'!$C3:$C99, "&lt;="&amp;B3, 'ALL Tube Results'!$F3:$F99, "Inconclusive")</f>
        <v>0</v>
      </c>
      <c r="G3" s="19">
        <f t="shared" si="2"/>
        <v>0</v>
      </c>
    </row>
    <row r="4">
      <c r="A4" s="20">
        <f t="shared" ref="A4:A40" si="3">A3+7</f>
        <v>44823</v>
      </c>
      <c r="B4" s="17">
        <f t="shared" si="1"/>
        <v>44829</v>
      </c>
      <c r="C4" s="18">
        <f>SUMIFS('ALL Tube Results'!$G$2:$G99, 'ALL Tube Results'!$C$2:$C99, "&gt;="&amp;A4, 'ALL Tube Results'!$C$2:$C99, "&lt;="&amp;B4)
</f>
        <v>108</v>
      </c>
      <c r="D4" s="18">
        <f>COUNTIFS('ALL Tube Results'!$C4:$C99, "&gt;="&amp;A4, 'ALL Tube Results'!$C4:$C99, "&lt;="&amp;B4)</f>
        <v>48</v>
      </c>
      <c r="E4" s="18">
        <f>COUNTIFS('ALL Tube Results'!$C4:$C99, "&gt;="&amp;A4, 'ALL Tube Results'!$C4:$C99, "&lt;="&amp;B4, 'ALL Tube Results'!$F4:$F99, "Positive")</f>
        <v>0</v>
      </c>
      <c r="F4" s="18">
        <f>COUNTIFS('ALL Tube Results'!$C4:$C99, "&gt;="&amp;A4, 'ALL Tube Results'!$C4:$C99, "&lt;="&amp;B4, 'ALL Tube Results'!$F4:$F99, "Inconclusive")</f>
        <v>0</v>
      </c>
      <c r="G4" s="19">
        <f t="shared" si="2"/>
        <v>0</v>
      </c>
    </row>
    <row r="5">
      <c r="A5" s="20">
        <f t="shared" si="3"/>
        <v>44830</v>
      </c>
      <c r="B5" s="17">
        <f t="shared" si="1"/>
        <v>44836</v>
      </c>
      <c r="C5" s="18">
        <f>SUMIFS('ALL Tube Results'!$G$2:$G99, 'ALL Tube Results'!$C$2:$C99, "&gt;="&amp;A5, 'ALL Tube Results'!$C$2:$C99, "&lt;="&amp;B5)
</f>
        <v>139</v>
      </c>
      <c r="D5" s="18">
        <f>COUNTIFS('ALL Tube Results'!$C5:$C99, "&gt;="&amp;A5, 'ALL Tube Results'!$C5:$C99, "&lt;="&amp;B5)</f>
        <v>59</v>
      </c>
      <c r="E5" s="18">
        <f>COUNTIFS('ALL Tube Results'!$C5:$C99, "&gt;="&amp;A5, 'ALL Tube Results'!$C5:$C99, "&lt;="&amp;B5, 'ALL Tube Results'!$F5:$F99, "Positive")</f>
        <v>0</v>
      </c>
      <c r="F5" s="18">
        <f>COUNTIFS('ALL Tube Results'!$C5:$C99, "&gt;="&amp;A5, 'ALL Tube Results'!$C5:$C99, "&lt;="&amp;B5, 'ALL Tube Results'!$F5:$F99, "Inconclusive")</f>
        <v>0</v>
      </c>
      <c r="G5" s="19">
        <f t="shared" si="2"/>
        <v>0</v>
      </c>
    </row>
    <row r="6">
      <c r="A6" s="20">
        <f t="shared" si="3"/>
        <v>44837</v>
      </c>
      <c r="B6" s="17">
        <f t="shared" si="1"/>
        <v>44843</v>
      </c>
      <c r="C6" s="18">
        <f>SUMIFS('ALL Tube Results'!$G$2:$G99, 'ALL Tube Results'!$C$2:$C99, "&gt;="&amp;A6, 'ALL Tube Results'!$C$2:$C99, "&lt;="&amp;B6)
</f>
        <v>138</v>
      </c>
      <c r="D6" s="18">
        <f>COUNTIFS('ALL Tube Results'!$C6:$C99, "&gt;="&amp;A6, 'ALL Tube Results'!$C6:$C99, "&lt;="&amp;B6)</f>
        <v>59</v>
      </c>
      <c r="E6" s="18">
        <f>COUNTIFS('ALL Tube Results'!$C6:$C99, "&gt;="&amp;A6, 'ALL Tube Results'!$C6:$C99, "&lt;="&amp;B6, 'ALL Tube Results'!$F6:$F99, "Positive")</f>
        <v>0</v>
      </c>
      <c r="F6" s="18">
        <f>COUNTIFS('ALL Tube Results'!$C6:$C99, "&gt;="&amp;A6, 'ALL Tube Results'!$C6:$C99, "&lt;="&amp;B6, 'ALL Tube Results'!$F6:$F99, "Inconclusive")</f>
        <v>0</v>
      </c>
      <c r="G6" s="19">
        <f t="shared" si="2"/>
        <v>0</v>
      </c>
    </row>
    <row r="7">
      <c r="A7" s="20">
        <f t="shared" si="3"/>
        <v>44844</v>
      </c>
      <c r="B7" s="17">
        <f t="shared" si="1"/>
        <v>44850</v>
      </c>
      <c r="C7" s="18">
        <f>SUMIFS('ALL Tube Results'!$G$2:$G99, 'ALL Tube Results'!$C$2:$C99, "&gt;="&amp;A7, 'ALL Tube Results'!$C$2:$C99, "&lt;="&amp;B7)
</f>
        <v>106</v>
      </c>
      <c r="D7" s="18">
        <f>COUNTIFS('ALL Tube Results'!$C7:$C99, "&gt;="&amp;A7, 'ALL Tube Results'!$C7:$C99, "&lt;="&amp;B7)</f>
        <v>46</v>
      </c>
      <c r="E7" s="18">
        <f>COUNTIFS('ALL Tube Results'!$C7:$C99, "&gt;="&amp;A7, 'ALL Tube Results'!$C7:$C99, "&lt;="&amp;B7, 'ALL Tube Results'!$F7:$F99, "Positive")</f>
        <v>0</v>
      </c>
      <c r="F7" s="18">
        <f>COUNTIFS('ALL Tube Results'!$C7:$C99, "&gt;="&amp;A7, 'ALL Tube Results'!$C7:$C99, "&lt;="&amp;B7, 'ALL Tube Results'!$F7:$F99, "Inconclusive")</f>
        <v>0</v>
      </c>
      <c r="G7" s="19">
        <f t="shared" si="2"/>
        <v>0</v>
      </c>
    </row>
    <row r="8">
      <c r="A8" s="20">
        <f t="shared" si="3"/>
        <v>44851</v>
      </c>
      <c r="B8" s="17">
        <f t="shared" si="1"/>
        <v>44857</v>
      </c>
      <c r="C8" s="18">
        <f>SUMIFS('ALL Tube Results'!$G$2:$G99, 'ALL Tube Results'!$C$2:$C99, "&gt;="&amp;A8, 'ALL Tube Results'!$C$2:$C99, "&lt;="&amp;B8)
</f>
        <v>99</v>
      </c>
      <c r="D8" s="18">
        <f>COUNTIFS('ALL Tube Results'!$C8:$C99, "&gt;="&amp;A8, 'ALL Tube Results'!$C8:$C99, "&lt;="&amp;B8)</f>
        <v>46</v>
      </c>
      <c r="E8" s="18">
        <f>COUNTIFS('ALL Tube Results'!$C8:$C99, "&gt;="&amp;A8, 'ALL Tube Results'!$C8:$C99, "&lt;="&amp;B8, 'ALL Tube Results'!$F8:$F99, "Positive")</f>
        <v>0</v>
      </c>
      <c r="F8" s="18">
        <f>COUNTIFS('ALL Tube Results'!$C8:$C99, "&gt;="&amp;A8, 'ALL Tube Results'!$C8:$C99, "&lt;="&amp;B8, 'ALL Tube Results'!$F8:$F99, "Inconclusive")</f>
        <v>0</v>
      </c>
      <c r="G8" s="19">
        <f t="shared" si="2"/>
        <v>0</v>
      </c>
    </row>
    <row r="9">
      <c r="A9" s="20">
        <f t="shared" si="3"/>
        <v>44858</v>
      </c>
      <c r="B9" s="17">
        <f t="shared" si="1"/>
        <v>44864</v>
      </c>
      <c r="C9" s="18">
        <f>SUMIFS('ALL Tube Results'!$G$2:$G99, 'ALL Tube Results'!$C$2:$C99, "&gt;="&amp;A9, 'ALL Tube Results'!$C$2:$C99, "&lt;="&amp;B9)
</f>
        <v>106</v>
      </c>
      <c r="D9" s="18">
        <f>COUNTIFS('ALL Tube Results'!$C9:$C99, "&gt;="&amp;A9, 'ALL Tube Results'!$C9:$C99, "&lt;="&amp;B9)</f>
        <v>48</v>
      </c>
      <c r="E9" s="18">
        <f>COUNTIFS('ALL Tube Results'!$C9:$C99, "&gt;="&amp;A9, 'ALL Tube Results'!$C9:$C99, "&lt;="&amp;B9, 'ALL Tube Results'!$F9:$F99, "Positive")</f>
        <v>0</v>
      </c>
      <c r="F9" s="18">
        <f>COUNTIFS('ALL Tube Results'!$C9:$C99, "&gt;="&amp;A9, 'ALL Tube Results'!$C9:$C99, "&lt;="&amp;B9, 'ALL Tube Results'!$F9:$F99, "Inconclusive")</f>
        <v>0</v>
      </c>
      <c r="G9" s="19">
        <f t="shared" si="2"/>
        <v>0</v>
      </c>
    </row>
    <row r="10">
      <c r="A10" s="20">
        <f t="shared" si="3"/>
        <v>44865</v>
      </c>
      <c r="B10" s="17">
        <f t="shared" si="1"/>
        <v>44871</v>
      </c>
      <c r="C10" s="18">
        <f>SUMIFS('ALL Tube Results'!$G$2:$G99, 'ALL Tube Results'!$C$2:$C99, "&gt;="&amp;A10, 'ALL Tube Results'!$C$2:$C99, "&lt;="&amp;B10)
</f>
        <v>73</v>
      </c>
      <c r="D10" s="18">
        <f>COUNTIFS('ALL Tube Results'!$C10:$C99, "&gt;="&amp;A10, 'ALL Tube Results'!$C10:$C99, "&lt;="&amp;B10)</f>
        <v>34</v>
      </c>
      <c r="E10" s="18">
        <f>COUNTIFS('ALL Tube Results'!$C10:$C99, "&gt;="&amp;A10, 'ALL Tube Results'!$C10:$C99, "&lt;="&amp;B10, 'ALL Tube Results'!$F10:$F99, "Positive")</f>
        <v>0</v>
      </c>
      <c r="F10" s="18">
        <f>COUNTIFS('ALL Tube Results'!$C10:$C99, "&gt;="&amp;A10, 'ALL Tube Results'!$C10:$C99, "&lt;="&amp;B10, 'ALL Tube Results'!$F10:$F99, "Inconclusive")</f>
        <v>0</v>
      </c>
      <c r="G10" s="19">
        <f t="shared" si="2"/>
        <v>0</v>
      </c>
    </row>
    <row r="11">
      <c r="A11" s="20">
        <f t="shared" si="3"/>
        <v>44872</v>
      </c>
      <c r="B11" s="17">
        <f t="shared" si="1"/>
        <v>44878</v>
      </c>
      <c r="C11" s="18">
        <f>SUMIFS('ALL Tube Results'!$G$2:$G99, 'ALL Tube Results'!$C$2:$C99, "&gt;="&amp;A11, 'ALL Tube Results'!$C$2:$C99, "&lt;="&amp;B11)
</f>
        <v>90</v>
      </c>
      <c r="D11" s="18">
        <f>COUNTIFS('ALL Tube Results'!$C11:$C99, "&gt;="&amp;A11, 'ALL Tube Results'!$C11:$C99, "&lt;="&amp;B11)</f>
        <v>41</v>
      </c>
      <c r="E11" s="18">
        <f>COUNTIFS('ALL Tube Results'!$C11:$C99, "&gt;="&amp;A11, 'ALL Tube Results'!$C11:$C99, "&lt;="&amp;B11, 'ALL Tube Results'!$F11:$F99, "Positive")</f>
        <v>0</v>
      </c>
      <c r="F11" s="18">
        <f>COUNTIFS('ALL Tube Results'!$C11:$C99, "&gt;="&amp;A11, 'ALL Tube Results'!$C11:$C99, "&lt;="&amp;B11, 'ALL Tube Results'!$F11:$F99, "Inconclusive")</f>
        <v>0</v>
      </c>
      <c r="G11" s="19">
        <f t="shared" si="2"/>
        <v>0</v>
      </c>
    </row>
    <row r="12">
      <c r="A12" s="20">
        <f t="shared" si="3"/>
        <v>44879</v>
      </c>
      <c r="B12" s="17">
        <f t="shared" si="1"/>
        <v>44885</v>
      </c>
      <c r="C12" s="18">
        <f>SUMIFS('ALL Tube Results'!$G$2:$G99, 'ALL Tube Results'!$C$2:$C99, "&gt;="&amp;A12, 'ALL Tube Results'!$C$2:$C99, "&lt;="&amp;B12)
</f>
        <v>81</v>
      </c>
      <c r="D12" s="18">
        <f>COUNTIFS('ALL Tube Results'!$C12:$C99, "&gt;="&amp;A12, 'ALL Tube Results'!$C12:$C99, "&lt;="&amp;B12)</f>
        <v>41</v>
      </c>
      <c r="E12" s="18">
        <f>COUNTIFS('ALL Tube Results'!$C12:$C99, "&gt;="&amp;A12, 'ALL Tube Results'!$C12:$C99, "&lt;="&amp;B12, 'ALL Tube Results'!$F12:$F99, "Positive")</f>
        <v>0</v>
      </c>
      <c r="F12" s="18">
        <f>COUNTIFS('ALL Tube Results'!$C12:$C99, "&gt;="&amp;A12, 'ALL Tube Results'!$C12:$C99, "&lt;="&amp;B12, 'ALL Tube Results'!$F12:$F99, "Inconclusive")</f>
        <v>0</v>
      </c>
      <c r="G12" s="19">
        <f t="shared" si="2"/>
        <v>0</v>
      </c>
    </row>
    <row r="13">
      <c r="A13" s="20">
        <f t="shared" si="3"/>
        <v>44886</v>
      </c>
      <c r="B13" s="17">
        <f t="shared" si="1"/>
        <v>44892</v>
      </c>
      <c r="C13" s="18">
        <f>SUMIFS('ALL Tube Results'!$G$2:$G99, 'ALL Tube Results'!$C$2:$C99, "&gt;="&amp;A13, 'ALL Tube Results'!$C$2:$C99, "&lt;="&amp;B13)
</f>
        <v>44</v>
      </c>
      <c r="D13" s="18">
        <f>COUNTIFS('ALL Tube Results'!$C13:$C99, "&gt;="&amp;A13, 'ALL Tube Results'!$C13:$C99, "&lt;="&amp;B13)</f>
        <v>25</v>
      </c>
      <c r="E13" s="18">
        <f>COUNTIFS('ALL Tube Results'!$C13:$C99, "&gt;="&amp;A13, 'ALL Tube Results'!$C13:$C99, "&lt;="&amp;B13, 'ALL Tube Results'!$F13:$F99, "Positive")</f>
        <v>0</v>
      </c>
      <c r="F13" s="18">
        <f>COUNTIFS('ALL Tube Results'!$C13:$C99, "&gt;="&amp;A13, 'ALL Tube Results'!$C13:$C99, "&lt;="&amp;B13, 'ALL Tube Results'!$F13:$F99, "Inconclusive")</f>
        <v>0</v>
      </c>
      <c r="G13" s="19">
        <f t="shared" si="2"/>
        <v>0</v>
      </c>
    </row>
    <row r="14">
      <c r="A14" s="20">
        <f t="shared" si="3"/>
        <v>44893</v>
      </c>
      <c r="B14" s="17">
        <f t="shared" si="1"/>
        <v>44899</v>
      </c>
      <c r="C14" s="18">
        <f>SUMIFS('ALL Tube Results'!$G$2:$G99, 'ALL Tube Results'!$C$2:$C99, "&gt;="&amp;A14, 'ALL Tube Results'!$C$2:$C99, "&lt;="&amp;B14)
</f>
        <v>101</v>
      </c>
      <c r="D14" s="18">
        <f>COUNTIFS('ALL Tube Results'!$C14:$C99, "&gt;="&amp;A14, 'ALL Tube Results'!$C14:$C99, "&lt;="&amp;B14)</f>
        <v>43</v>
      </c>
      <c r="E14" s="18">
        <f>COUNTIFS('ALL Tube Results'!$C14:$C99, "&gt;="&amp;A14, 'ALL Tube Results'!$C14:$C99, "&lt;="&amp;B14, 'ALL Tube Results'!$F14:$F99, "Positive")</f>
        <v>0</v>
      </c>
      <c r="F14" s="18">
        <f>COUNTIFS('ALL Tube Results'!$C14:$C99, "&gt;="&amp;A14, 'ALL Tube Results'!$C14:$C99, "&lt;="&amp;B14, 'ALL Tube Results'!$F14:$F99, "Inconclusive")</f>
        <v>0</v>
      </c>
      <c r="G14" s="19">
        <f t="shared" si="2"/>
        <v>0</v>
      </c>
    </row>
    <row r="15">
      <c r="A15" s="20">
        <f t="shared" si="3"/>
        <v>44900</v>
      </c>
      <c r="B15" s="17">
        <f t="shared" si="1"/>
        <v>44906</v>
      </c>
      <c r="C15" s="18">
        <f>SUMIFS('ALL Tube Results'!$G$2:$G99, 'ALL Tube Results'!$C$2:$C99, "&gt;="&amp;A15, 'ALL Tube Results'!$C$2:$C99, "&lt;="&amp;B15)
</f>
        <v>90</v>
      </c>
      <c r="D15" s="18">
        <f>COUNTIFS('ALL Tube Results'!$C15:$C99, "&gt;="&amp;A15, 'ALL Tube Results'!$C15:$C99, "&lt;="&amp;B15)</f>
        <v>37</v>
      </c>
      <c r="E15" s="18">
        <f>COUNTIFS('ALL Tube Results'!$C15:$C99, "&gt;="&amp;A15, 'ALL Tube Results'!$C15:$C99, "&lt;="&amp;B15, 'ALL Tube Results'!$F15:$F99, "Positive")</f>
        <v>1</v>
      </c>
      <c r="F15" s="18">
        <f>COUNTIFS('ALL Tube Results'!$C15:$C99, "&gt;="&amp;A15, 'ALL Tube Results'!$C15:$C99, "&lt;="&amp;B15, 'ALL Tube Results'!$F15:$F99, "Inconclusive")</f>
        <v>0</v>
      </c>
      <c r="G15" s="19">
        <f t="shared" si="2"/>
        <v>0.02702702703</v>
      </c>
    </row>
    <row r="16">
      <c r="A16" s="20">
        <f t="shared" si="3"/>
        <v>44907</v>
      </c>
      <c r="B16" s="17">
        <f t="shared" si="1"/>
        <v>44913</v>
      </c>
      <c r="C16" s="18">
        <f>SUMIFS('ALL Tube Results'!$G$2:$G99, 'ALL Tube Results'!$C$2:$C99, "&gt;="&amp;A16, 'ALL Tube Results'!$C$2:$C99, "&lt;="&amp;B16)
</f>
        <v>19</v>
      </c>
      <c r="D16" s="18">
        <f>COUNTIFS('ALL Tube Results'!$C16:$C99, "&gt;="&amp;A16, 'ALL Tube Results'!$C16:$C99, "&lt;="&amp;B16)</f>
        <v>13</v>
      </c>
      <c r="E16" s="18">
        <f>COUNTIFS('ALL Tube Results'!$C16:$C99, "&gt;="&amp;A16, 'ALL Tube Results'!$C16:$C99, "&lt;="&amp;B16, 'ALL Tube Results'!$F16:$F99, "Positive")</f>
        <v>0</v>
      </c>
      <c r="F16" s="18">
        <f>COUNTIFS('ALL Tube Results'!$C16:$C99, "&gt;="&amp;A16, 'ALL Tube Results'!$C16:$C99, "&lt;="&amp;B16, 'ALL Tube Results'!$F16:$F99, "Inconclusive")</f>
        <v>0</v>
      </c>
      <c r="G16" s="19">
        <f t="shared" si="2"/>
        <v>0</v>
      </c>
    </row>
    <row r="17">
      <c r="A17" s="20">
        <f t="shared" si="3"/>
        <v>44914</v>
      </c>
      <c r="B17" s="17">
        <f t="shared" si="1"/>
        <v>44920</v>
      </c>
      <c r="C17" s="18">
        <f>SUMIFS('ALL Tube Results'!$G$2:$G99, 'ALL Tube Results'!$C$2:$C99, "&gt;="&amp;A17, 'ALL Tube Results'!$C$2:$C99, "&lt;="&amp;B17)
</f>
        <v>54</v>
      </c>
      <c r="D17" s="18">
        <f>COUNTIFS('ALL Tube Results'!$C17:$C99, "&gt;="&amp;A17, 'ALL Tube Results'!$C17:$C99, "&lt;="&amp;B17)</f>
        <v>26</v>
      </c>
      <c r="E17" s="18">
        <f>COUNTIFS('ALL Tube Results'!$C17:$C99, "&gt;="&amp;A17, 'ALL Tube Results'!$C17:$C99, "&lt;="&amp;B17, 'ALL Tube Results'!$F17:$F99, "Positive")</f>
        <v>2</v>
      </c>
      <c r="F17" s="18">
        <f>COUNTIFS('ALL Tube Results'!$C17:$C99, "&gt;="&amp;A17, 'ALL Tube Results'!$C17:$C99, "&lt;="&amp;B17, 'ALL Tube Results'!$F17:$F99, "Inconclusive")</f>
        <v>0</v>
      </c>
      <c r="G17" s="19">
        <f t="shared" si="2"/>
        <v>0.07692307692</v>
      </c>
    </row>
    <row r="18">
      <c r="A18" s="20">
        <f t="shared" si="3"/>
        <v>44921</v>
      </c>
      <c r="B18" s="17">
        <f t="shared" si="1"/>
        <v>44927</v>
      </c>
      <c r="C18" s="18">
        <f>SUMIFS('ALL Tube Results'!$G$2:$G99, 'ALL Tube Results'!$C$2:$C99, "&gt;="&amp;A18, 'ALL Tube Results'!$C$2:$C99, "&lt;="&amp;B18)
</f>
        <v>0</v>
      </c>
      <c r="D18" s="18">
        <f>COUNTIFS('ALL Tube Results'!$C18:$C99, "&gt;="&amp;A18, 'ALL Tube Results'!$C18:$C99, "&lt;="&amp;B18)</f>
        <v>0</v>
      </c>
      <c r="E18" s="18">
        <f>COUNTIFS('ALL Tube Results'!$C18:$C99, "&gt;="&amp;A18, 'ALL Tube Results'!$C18:$C99, "&lt;="&amp;B18, 'ALL Tube Results'!$F18:$F99, "Positive")</f>
        <v>0</v>
      </c>
      <c r="F18" s="18">
        <f>COUNTIFS('ALL Tube Results'!$C18:$C99, "&gt;="&amp;A18, 'ALL Tube Results'!$C18:$C99, "&lt;="&amp;B18, 'ALL Tube Results'!$F18:$F99, "Inconclusive")</f>
        <v>0</v>
      </c>
      <c r="G18" s="19" t="str">
        <f t="shared" si="2"/>
        <v/>
      </c>
    </row>
    <row r="19">
      <c r="A19" s="20">
        <f t="shared" si="3"/>
        <v>44928</v>
      </c>
      <c r="B19" s="17">
        <f t="shared" si="1"/>
        <v>44934</v>
      </c>
      <c r="C19" s="18">
        <f>SUMIFS('ALL Tube Results'!$G$2:$G99, 'ALL Tube Results'!$C$2:$C99, "&gt;="&amp;A19, 'ALL Tube Results'!$C$2:$C99, "&lt;="&amp;B19)
</f>
        <v>93</v>
      </c>
      <c r="D19" s="18">
        <f>COUNTIFS('ALL Tube Results'!$C19:$C99, "&gt;="&amp;A19, 'ALL Tube Results'!$C19:$C99, "&lt;="&amp;B19)</f>
        <v>38</v>
      </c>
      <c r="E19" s="18">
        <f>COUNTIFS('ALL Tube Results'!$C19:$C99, "&gt;="&amp;A19, 'ALL Tube Results'!$C19:$C99, "&lt;="&amp;B19, 'ALL Tube Results'!$F19:$F99, "Positive")</f>
        <v>0</v>
      </c>
      <c r="F19" s="18">
        <f>COUNTIFS('ALL Tube Results'!$C19:$C99, "&gt;="&amp;A19, 'ALL Tube Results'!$C19:$C99, "&lt;="&amp;B19, 'ALL Tube Results'!$F19:$F99, "Inconclusive")</f>
        <v>0</v>
      </c>
      <c r="G19" s="19">
        <f t="shared" si="2"/>
        <v>0</v>
      </c>
    </row>
    <row r="20">
      <c r="A20" s="20">
        <f t="shared" si="3"/>
        <v>44935</v>
      </c>
      <c r="B20" s="17">
        <f t="shared" si="1"/>
        <v>44941</v>
      </c>
      <c r="C20" s="18">
        <f>SUMIFS('ALL Tube Results'!$G$2:$G99, 'ALL Tube Results'!$C$2:$C99, "&gt;="&amp;A20, 'ALL Tube Results'!$C$2:$C99, "&lt;="&amp;B20)
</f>
        <v>80</v>
      </c>
      <c r="D20" s="18">
        <f>COUNTIFS('ALL Tube Results'!$C20:$C99, "&gt;="&amp;A20, 'ALL Tube Results'!$C20:$C99, "&lt;="&amp;B20)</f>
        <v>39</v>
      </c>
      <c r="E20" s="18">
        <f>COUNTIFS('ALL Tube Results'!$C20:$C99, "&gt;="&amp;A20, 'ALL Tube Results'!$C20:$C99, "&lt;="&amp;B20, 'ALL Tube Results'!$F20:$F99, "Positive")</f>
        <v>0</v>
      </c>
      <c r="F20" s="18">
        <f>COUNTIFS('ALL Tube Results'!$C20:$C99, "&gt;="&amp;A20, 'ALL Tube Results'!$C20:$C99, "&lt;="&amp;B20, 'ALL Tube Results'!$F20:$F99, "Inconclusive")</f>
        <v>2</v>
      </c>
      <c r="G20" s="19">
        <f t="shared" si="2"/>
        <v>0</v>
      </c>
    </row>
    <row r="21">
      <c r="A21" s="20">
        <f t="shared" si="3"/>
        <v>44942</v>
      </c>
      <c r="B21" s="17">
        <f t="shared" si="1"/>
        <v>44948</v>
      </c>
      <c r="C21" s="18">
        <f>SUMIFS('ALL Tube Results'!$G$2:$G99, 'ALL Tube Results'!$C$2:$C99, "&gt;="&amp;A21, 'ALL Tube Results'!$C$2:$C99, "&lt;="&amp;B21)
</f>
        <v>86</v>
      </c>
      <c r="D21" s="18">
        <f>COUNTIFS('ALL Tube Results'!$C21:$C99, "&gt;="&amp;A21, 'ALL Tube Results'!$C21:$C99, "&lt;="&amp;B21)</f>
        <v>40</v>
      </c>
      <c r="E21" s="18">
        <f>COUNTIFS('ALL Tube Results'!$C21:$C99, "&gt;="&amp;A21, 'ALL Tube Results'!$C21:$C99, "&lt;="&amp;B21, 'ALL Tube Results'!$F21:$F99, "Positive")</f>
        <v>0</v>
      </c>
      <c r="F21" s="18">
        <f>COUNTIFS('ALL Tube Results'!$C21:$C99, "&gt;="&amp;A21, 'ALL Tube Results'!$C21:$C99, "&lt;="&amp;B21, 'ALL Tube Results'!$F21:$F99, "Inconclusive")</f>
        <v>1</v>
      </c>
      <c r="G21" s="19">
        <f t="shared" si="2"/>
        <v>0</v>
      </c>
    </row>
    <row r="22">
      <c r="A22" s="20">
        <f t="shared" si="3"/>
        <v>44949</v>
      </c>
      <c r="B22" s="17">
        <f t="shared" si="1"/>
        <v>44955</v>
      </c>
      <c r="C22" s="18">
        <f>SUMIFS('ALL Tube Results'!$G$2:$G99, 'ALL Tube Results'!$C$2:$C99, "&gt;="&amp;A22, 'ALL Tube Results'!$C$2:$C99, "&lt;="&amp;B22)
</f>
        <v>65</v>
      </c>
      <c r="D22" s="18">
        <f>COUNTIFS('ALL Tube Results'!$C22:$C99, "&gt;="&amp;A22, 'ALL Tube Results'!$C22:$C99, "&lt;="&amp;B22)</f>
        <v>29</v>
      </c>
      <c r="E22" s="18">
        <f>COUNTIFS('ALL Tube Results'!$C22:$C99, "&gt;="&amp;A22, 'ALL Tube Results'!$C22:$C99, "&lt;="&amp;B22, 'ALL Tube Results'!$F22:$F99, "Positive")</f>
        <v>0</v>
      </c>
      <c r="F22" s="18">
        <f>COUNTIFS('ALL Tube Results'!$C22:$C99, "&gt;="&amp;A22, 'ALL Tube Results'!$C22:$C99, "&lt;="&amp;B22, 'ALL Tube Results'!$F22:$F99, "Inconclusive")</f>
        <v>0</v>
      </c>
      <c r="G22" s="19">
        <f t="shared" si="2"/>
        <v>0</v>
      </c>
    </row>
    <row r="23">
      <c r="A23" s="20">
        <f t="shared" si="3"/>
        <v>44956</v>
      </c>
      <c r="B23" s="17">
        <f t="shared" si="1"/>
        <v>44962</v>
      </c>
      <c r="C23" s="18">
        <f>SUMIFS('ALL Tube Results'!$G$2:$G99, 'ALL Tube Results'!$C$2:$C99, "&gt;="&amp;A23, 'ALL Tube Results'!$C$2:$C99, "&lt;="&amp;B23)
</f>
        <v>13</v>
      </c>
      <c r="D23" s="18">
        <f>COUNTIFS('ALL Tube Results'!$C23:$C99, "&gt;="&amp;A23, 'ALL Tube Results'!$C23:$C99, "&lt;="&amp;B23)</f>
        <v>7</v>
      </c>
      <c r="E23" s="18">
        <f>COUNTIFS('ALL Tube Results'!$C23:$C99, "&gt;="&amp;A23, 'ALL Tube Results'!$C23:$C99, "&lt;="&amp;B23, 'ALL Tube Results'!$F23:$F99, "Positive")</f>
        <v>0</v>
      </c>
      <c r="F23" s="18">
        <f>COUNTIFS('ALL Tube Results'!$C23:$C99, "&gt;="&amp;A23, 'ALL Tube Results'!$C23:$C99, "&lt;="&amp;B23, 'ALL Tube Results'!$F23:$F99, "Inconclusive")</f>
        <v>0</v>
      </c>
      <c r="G23" s="19">
        <f t="shared" si="2"/>
        <v>0</v>
      </c>
    </row>
    <row r="24">
      <c r="A24" s="20">
        <f t="shared" si="3"/>
        <v>44963</v>
      </c>
      <c r="B24" s="17">
        <f t="shared" si="1"/>
        <v>44969</v>
      </c>
      <c r="C24" s="18">
        <f>SUMIFS('ALL Tube Results'!$G$2:$G99, 'ALL Tube Results'!$C$2:$C99, "&gt;="&amp;A24, 'ALL Tube Results'!$C$2:$C99, "&lt;="&amp;B24)
</f>
        <v>70</v>
      </c>
      <c r="D24" s="18">
        <f>COUNTIFS('ALL Tube Results'!$C24:$C99, "&gt;="&amp;A24, 'ALL Tube Results'!$C24:$C99, "&lt;="&amp;B24)</f>
        <v>33</v>
      </c>
      <c r="E24" s="18">
        <f>COUNTIFS('ALL Tube Results'!$C24:$C99, "&gt;="&amp;A24, 'ALL Tube Results'!$C24:$C99, "&lt;="&amp;B24, 'ALL Tube Results'!$F24:$F99, "Positive")</f>
        <v>0</v>
      </c>
      <c r="F24" s="18">
        <f>COUNTIFS('ALL Tube Results'!$C24:$C99, "&gt;="&amp;A24, 'ALL Tube Results'!$C24:$C99, "&lt;="&amp;B24, 'ALL Tube Results'!$F24:$F99, "Inconclusive")</f>
        <v>0</v>
      </c>
      <c r="G24" s="19">
        <f t="shared" si="2"/>
        <v>0</v>
      </c>
    </row>
    <row r="25">
      <c r="A25" s="20">
        <f t="shared" si="3"/>
        <v>44970</v>
      </c>
      <c r="B25" s="17">
        <f t="shared" si="1"/>
        <v>44976</v>
      </c>
      <c r="C25" s="18">
        <f>SUMIFS('ALL Tube Results'!$G$2:$G99, 'ALL Tube Results'!$C$2:$C99, "&gt;="&amp;A25, 'ALL Tube Results'!$C$2:$C99, "&lt;="&amp;B25)
</f>
        <v>87</v>
      </c>
      <c r="D25" s="18">
        <f>COUNTIFS('ALL Tube Results'!$C25:$C99, "&gt;="&amp;A25, 'ALL Tube Results'!$C25:$C99, "&lt;="&amp;B25)</f>
        <v>39</v>
      </c>
      <c r="E25" s="18">
        <f>COUNTIFS('ALL Tube Results'!$C25:$C99, "&gt;="&amp;A25, 'ALL Tube Results'!$C25:$C99, "&lt;="&amp;B25, 'ALL Tube Results'!$F25:$F99, "Positive")</f>
        <v>0</v>
      </c>
      <c r="F25" s="18">
        <f>COUNTIFS('ALL Tube Results'!$C25:$C99, "&gt;="&amp;A25, 'ALL Tube Results'!$C25:$C99, "&lt;="&amp;B25, 'ALL Tube Results'!$F25:$F99, "Inconclusive")</f>
        <v>0</v>
      </c>
      <c r="G25" s="19">
        <f t="shared" si="2"/>
        <v>0</v>
      </c>
    </row>
    <row r="26">
      <c r="A26" s="20">
        <f t="shared" si="3"/>
        <v>44977</v>
      </c>
      <c r="B26" s="17">
        <f t="shared" si="1"/>
        <v>44983</v>
      </c>
      <c r="C26" s="18">
        <f>SUMIFS('ALL Tube Results'!$G$2:$G99, 'ALL Tube Results'!$C$2:$C99, "&gt;="&amp;A26, 'ALL Tube Results'!$C$2:$C99, "&lt;="&amp;B26)
</f>
        <v>89</v>
      </c>
      <c r="D26" s="18">
        <f>COUNTIFS('ALL Tube Results'!$C26:$C99, "&gt;="&amp;A26, 'ALL Tube Results'!$C26:$C99, "&lt;="&amp;B26)</f>
        <v>40</v>
      </c>
      <c r="E26" s="18">
        <f>COUNTIFS('ALL Tube Results'!$C26:$C99, "&gt;="&amp;A26, 'ALL Tube Results'!$C26:$C99, "&lt;="&amp;B26, 'ALL Tube Results'!$F26:$F99, "Positive")</f>
        <v>0</v>
      </c>
      <c r="F26" s="18">
        <f>COUNTIFS('ALL Tube Results'!$C26:$C99, "&gt;="&amp;A26, 'ALL Tube Results'!$C26:$C99, "&lt;="&amp;B26, 'ALL Tube Results'!$F26:$F99, "Inconclusive")</f>
        <v>0</v>
      </c>
      <c r="G26" s="19">
        <f t="shared" si="2"/>
        <v>0</v>
      </c>
    </row>
    <row r="27">
      <c r="A27" s="20">
        <f t="shared" si="3"/>
        <v>44984</v>
      </c>
      <c r="B27" s="17">
        <f t="shared" si="1"/>
        <v>44990</v>
      </c>
      <c r="C27" s="18">
        <f>SUMIFS('ALL Tube Results'!$G$2:$G99, 'ALL Tube Results'!$C$2:$C99, "&gt;="&amp;A27, 'ALL Tube Results'!$C$2:$C99, "&lt;="&amp;B27)
</f>
        <v>81</v>
      </c>
      <c r="D27" s="18">
        <f>COUNTIFS('ALL Tube Results'!$C27:$C99, "&gt;="&amp;A27, 'ALL Tube Results'!$C27:$C99, "&lt;="&amp;B27)</f>
        <v>37</v>
      </c>
      <c r="E27" s="18">
        <f>COUNTIFS('ALL Tube Results'!$C27:$C99, "&gt;="&amp;A27, 'ALL Tube Results'!$C27:$C99, "&lt;="&amp;B27, 'ALL Tube Results'!$F27:$F99, "Positive")</f>
        <v>0</v>
      </c>
      <c r="F27" s="18">
        <f>COUNTIFS('ALL Tube Results'!$C27:$C99, "&gt;="&amp;A27, 'ALL Tube Results'!$C27:$C99, "&lt;="&amp;B27, 'ALL Tube Results'!$F27:$F99, "Inconclusive")</f>
        <v>0</v>
      </c>
      <c r="G27" s="19">
        <f t="shared" si="2"/>
        <v>0</v>
      </c>
    </row>
    <row r="28">
      <c r="A28" s="20">
        <f t="shared" si="3"/>
        <v>44991</v>
      </c>
      <c r="B28" s="17">
        <f t="shared" si="1"/>
        <v>44997</v>
      </c>
      <c r="C28" s="18">
        <f>SUMIFS('ALL Tube Results'!$G$2:$G99, 'ALL Tube Results'!$C$2:$C99, "&gt;="&amp;A28, 'ALL Tube Results'!$C$2:$C99, "&lt;="&amp;B28)
</f>
        <v>112</v>
      </c>
      <c r="D28" s="18">
        <f>COUNTIFS('ALL Tube Results'!$C28:$C99, "&gt;="&amp;A28, 'ALL Tube Results'!$C28:$C99, "&lt;="&amp;B28)</f>
        <v>47</v>
      </c>
      <c r="E28" s="18">
        <f>COUNTIFS('ALL Tube Results'!$C28:$C99, "&gt;="&amp;A28, 'ALL Tube Results'!$C28:$C99, "&lt;="&amp;B28, 'ALL Tube Results'!$F28:$F99, "Positive")</f>
        <v>0</v>
      </c>
      <c r="F28" s="18">
        <f>COUNTIFS('ALL Tube Results'!$C28:$C99, "&gt;="&amp;A28, 'ALL Tube Results'!$C28:$C99, "&lt;="&amp;B28, 'ALL Tube Results'!$F28:$F99, "Inconclusive")</f>
        <v>0</v>
      </c>
      <c r="G28" s="19">
        <f t="shared" si="2"/>
        <v>0</v>
      </c>
    </row>
    <row r="29">
      <c r="A29" s="20">
        <f t="shared" si="3"/>
        <v>44998</v>
      </c>
      <c r="B29" s="17">
        <f t="shared" si="1"/>
        <v>45004</v>
      </c>
      <c r="C29" s="18">
        <f>SUMIFS('ALL Tube Results'!$G$2:$G99, 'ALL Tube Results'!$C$2:$C99, "&gt;="&amp;A29, 'ALL Tube Results'!$C$2:$C99, "&lt;="&amp;B29)
</f>
        <v>0</v>
      </c>
      <c r="D29" s="18">
        <f>COUNTIFS('ALL Tube Results'!$C29:$C99, "&gt;="&amp;A29, 'ALL Tube Results'!$C29:$C99, "&lt;="&amp;B29)</f>
        <v>0</v>
      </c>
      <c r="E29" s="18">
        <f>COUNTIFS('ALL Tube Results'!$C29:$C99, "&gt;="&amp;A29, 'ALL Tube Results'!$C29:$C99, "&lt;="&amp;B29, 'ALL Tube Results'!$F29:$F99, "Positive")</f>
        <v>0</v>
      </c>
      <c r="F29" s="18">
        <f>COUNTIFS('ALL Tube Results'!$C29:$C99, "&gt;="&amp;A29, 'ALL Tube Results'!$C29:$C99, "&lt;="&amp;B29, 'ALL Tube Results'!$F29:$F99, "Inconclusive")</f>
        <v>0</v>
      </c>
      <c r="G29" s="19" t="str">
        <f t="shared" si="2"/>
        <v/>
      </c>
    </row>
    <row r="30">
      <c r="A30" s="20">
        <f t="shared" si="3"/>
        <v>45005</v>
      </c>
      <c r="B30" s="17">
        <f t="shared" si="1"/>
        <v>45011</v>
      </c>
      <c r="C30" s="18">
        <f>SUMIFS('ALL Tube Results'!$G$2:$G99, 'ALL Tube Results'!$C$2:$C99, "&gt;="&amp;A30, 'ALL Tube Results'!$C$2:$C99, "&lt;="&amp;B30)
</f>
        <v>84</v>
      </c>
      <c r="D30" s="18">
        <f>COUNTIFS('ALL Tube Results'!$C30:$C99, "&gt;="&amp;A30, 'ALL Tube Results'!$C30:$C99, "&lt;="&amp;B30)</f>
        <v>37</v>
      </c>
      <c r="E30" s="18">
        <f>COUNTIFS('ALL Tube Results'!$C30:$C99, "&gt;="&amp;A30, 'ALL Tube Results'!$C30:$C99, "&lt;="&amp;B30, 'ALL Tube Results'!$F30:$F99, "Positive")</f>
        <v>0</v>
      </c>
      <c r="F30" s="18">
        <f>COUNTIFS('ALL Tube Results'!$C30:$C99, "&gt;="&amp;A30, 'ALL Tube Results'!$C30:$C99, "&lt;="&amp;B30, 'ALL Tube Results'!$F30:$F99, "Inconclusive")</f>
        <v>0</v>
      </c>
      <c r="G30" s="19">
        <f t="shared" si="2"/>
        <v>0</v>
      </c>
    </row>
    <row r="31">
      <c r="A31" s="20">
        <f t="shared" si="3"/>
        <v>45012</v>
      </c>
      <c r="B31" s="17">
        <f t="shared" si="1"/>
        <v>45018</v>
      </c>
      <c r="C31" s="18">
        <f>SUMIFS('ALL Tube Results'!$G$2:$G99, 'ALL Tube Results'!$C$2:$C99, "&gt;="&amp;A31, 'ALL Tube Results'!$C$2:$C99, "&lt;="&amp;B31)
</f>
        <v>90</v>
      </c>
      <c r="D31" s="18">
        <f>COUNTIFS('ALL Tube Results'!$C31:$C99, "&gt;="&amp;A31, 'ALL Tube Results'!$C31:$C99, "&lt;="&amp;B31)</f>
        <v>40</v>
      </c>
      <c r="E31" s="18">
        <f>COUNTIFS('ALL Tube Results'!$C31:$C99, "&gt;="&amp;A31, 'ALL Tube Results'!$C31:$C99, "&lt;="&amp;B31, 'ALL Tube Results'!$F31:$F99, "Positive")</f>
        <v>1</v>
      </c>
      <c r="F31" s="18">
        <f>COUNTIFS('ALL Tube Results'!$C31:$C99, "&gt;="&amp;A31, 'ALL Tube Results'!$C31:$C99, "&lt;="&amp;B31, 'ALL Tube Results'!$F31:$F99, "Inconclusive")</f>
        <v>0</v>
      </c>
      <c r="G31" s="19">
        <f t="shared" si="2"/>
        <v>0.025</v>
      </c>
    </row>
    <row r="32">
      <c r="A32" s="20">
        <f t="shared" si="3"/>
        <v>45019</v>
      </c>
      <c r="B32" s="17">
        <f t="shared" si="1"/>
        <v>45025</v>
      </c>
      <c r="C32" s="18">
        <f>SUMIFS('ALL Tube Results'!$G$2:$G99, 'ALL Tube Results'!$C$2:$C99, "&gt;="&amp;A32, 'ALL Tube Results'!$C$2:$C99, "&lt;="&amp;B32)
</f>
        <v>54</v>
      </c>
      <c r="D32" s="18">
        <f>COUNTIFS('ALL Tube Results'!$C32:$C99, "&gt;="&amp;A32, 'ALL Tube Results'!$C32:$C99, "&lt;="&amp;B32)</f>
        <v>28</v>
      </c>
      <c r="E32" s="18">
        <f>COUNTIFS('ALL Tube Results'!$C32:$C99, "&gt;="&amp;A32, 'ALL Tube Results'!$C32:$C99, "&lt;="&amp;B32, 'ALL Tube Results'!$F32:$F99, "Positive")</f>
        <v>0</v>
      </c>
      <c r="F32" s="18">
        <f>COUNTIFS('ALL Tube Results'!$C32:$C99, "&gt;="&amp;A32, 'ALL Tube Results'!$C32:$C99, "&lt;="&amp;B32, 'ALL Tube Results'!$F32:$F99, "Inconclusive")</f>
        <v>0</v>
      </c>
      <c r="G32" s="19">
        <f t="shared" si="2"/>
        <v>0</v>
      </c>
    </row>
    <row r="33">
      <c r="A33" s="20">
        <f t="shared" si="3"/>
        <v>45026</v>
      </c>
      <c r="B33" s="17">
        <f t="shared" si="1"/>
        <v>45032</v>
      </c>
      <c r="C33" s="18">
        <f>SUMIFS('ALL Tube Results'!$G$2:$G99, 'ALL Tube Results'!$C$2:$C99, "&gt;="&amp;A33, 'ALL Tube Results'!$C$2:$C99, "&lt;="&amp;B33)
</f>
        <v>81</v>
      </c>
      <c r="D33" s="18">
        <f>COUNTIFS('ALL Tube Results'!$C33:$C99, "&gt;="&amp;A33, 'ALL Tube Results'!$C33:$C99, "&lt;="&amp;B33)</f>
        <v>39</v>
      </c>
      <c r="E33" s="18">
        <f>COUNTIFS('ALL Tube Results'!$C33:$C99, "&gt;="&amp;A33, 'ALL Tube Results'!$C33:$C99, "&lt;="&amp;B33, 'ALL Tube Results'!$F33:$F99, "Positive")</f>
        <v>0</v>
      </c>
      <c r="F33" s="18">
        <f>COUNTIFS('ALL Tube Results'!$C33:$C99, "&gt;="&amp;A33, 'ALL Tube Results'!$C33:$C99, "&lt;="&amp;B33, 'ALL Tube Results'!$F33:$F99, "Inconclusive")</f>
        <v>0</v>
      </c>
      <c r="G33" s="19">
        <f t="shared" si="2"/>
        <v>0</v>
      </c>
    </row>
    <row r="34">
      <c r="A34" s="20">
        <f t="shared" si="3"/>
        <v>45033</v>
      </c>
      <c r="B34" s="17">
        <f t="shared" si="1"/>
        <v>45039</v>
      </c>
      <c r="C34" s="18">
        <f>SUMIFS('ALL Tube Results'!$G$2:$G99, 'ALL Tube Results'!$C$2:$C99, "&gt;="&amp;A34, 'ALL Tube Results'!$C$2:$C99, "&lt;="&amp;B34)
</f>
        <v>67</v>
      </c>
      <c r="D34" s="18">
        <f>COUNTIFS('ALL Tube Results'!$C34:$C99, "&gt;="&amp;A34, 'ALL Tube Results'!$C34:$C99, "&lt;="&amp;B34)</f>
        <v>39</v>
      </c>
      <c r="E34" s="18">
        <f>COUNTIFS('ALL Tube Results'!$C34:$C99, "&gt;="&amp;A34, 'ALL Tube Results'!$C34:$C99, "&lt;="&amp;B34, 'ALL Tube Results'!$F34:$F99, "Positive")</f>
        <v>0</v>
      </c>
      <c r="F34" s="18">
        <f>COUNTIFS('ALL Tube Results'!$C34:$C99, "&gt;="&amp;A34, 'ALL Tube Results'!$C34:$C99, "&lt;="&amp;B34, 'ALL Tube Results'!$F34:$F99, "Inconclusive")</f>
        <v>0</v>
      </c>
      <c r="G34" s="19">
        <f t="shared" si="2"/>
        <v>0</v>
      </c>
    </row>
    <row r="35">
      <c r="A35" s="20">
        <f t="shared" si="3"/>
        <v>45040</v>
      </c>
      <c r="B35" s="17">
        <f t="shared" si="1"/>
        <v>45046</v>
      </c>
      <c r="C35" s="18">
        <f>SUMIFS('ALL Tube Results'!$G$2:$G99, 'ALL Tube Results'!$C$2:$C99, "&gt;="&amp;A35, 'ALL Tube Results'!$C$2:$C99, "&lt;="&amp;B35)
</f>
        <v>55</v>
      </c>
      <c r="D35" s="18">
        <f>COUNTIFS('ALL Tube Results'!$C35:$C99, "&gt;="&amp;A35, 'ALL Tube Results'!$C35:$C99, "&lt;="&amp;B35)</f>
        <v>33</v>
      </c>
      <c r="E35" s="18">
        <f>COUNTIFS('ALL Tube Results'!$C35:$C99, "&gt;="&amp;A35, 'ALL Tube Results'!$C35:$C99, "&lt;="&amp;B35, 'ALL Tube Results'!$F35:$F99, "Positive")</f>
        <v>0</v>
      </c>
      <c r="F35" s="18">
        <f>COUNTIFS('ALL Tube Results'!$C35:$C99, "&gt;="&amp;A35, 'ALL Tube Results'!$C35:$C99, "&lt;="&amp;B35, 'ALL Tube Results'!$F35:$F99, "Inconclusive")</f>
        <v>0</v>
      </c>
      <c r="G35" s="19">
        <f t="shared" si="2"/>
        <v>0</v>
      </c>
    </row>
    <row r="36">
      <c r="A36" s="20">
        <f t="shared" si="3"/>
        <v>45047</v>
      </c>
      <c r="B36" s="17">
        <f t="shared" si="1"/>
        <v>45053</v>
      </c>
      <c r="C36" s="18">
        <f>SUMIFS('ALL Tube Results'!$G$2:$G99, 'ALL Tube Results'!$C$2:$C99, "&gt;="&amp;A36, 'ALL Tube Results'!$C$2:$C99, "&lt;="&amp;B36)
</f>
        <v>43</v>
      </c>
      <c r="D36" s="18">
        <f>COUNTIFS('ALL Tube Results'!$C36:$C99, "&gt;="&amp;A36, 'ALL Tube Results'!$C36:$C99, "&lt;="&amp;B36)</f>
        <v>22</v>
      </c>
      <c r="E36" s="18">
        <f>COUNTIFS('ALL Tube Results'!$C36:$C99, "&gt;="&amp;A36, 'ALL Tube Results'!$C36:$C99, "&lt;="&amp;B36, 'ALL Tube Results'!$F36:$F99, "Positive")</f>
        <v>0</v>
      </c>
      <c r="F36" s="18">
        <f>COUNTIFS('ALL Tube Results'!$C36:$C99, "&gt;="&amp;A36, 'ALL Tube Results'!$C36:$C99, "&lt;="&amp;B36, 'ALL Tube Results'!$F36:$F99, "Inconclusive")</f>
        <v>0</v>
      </c>
      <c r="G36" s="19">
        <f t="shared" si="2"/>
        <v>0</v>
      </c>
    </row>
    <row r="37">
      <c r="A37" s="20">
        <f t="shared" si="3"/>
        <v>45054</v>
      </c>
      <c r="B37" s="17">
        <f t="shared" si="1"/>
        <v>45060</v>
      </c>
      <c r="C37" s="18">
        <f>SUMIFS('ALL Tube Results'!$G$2:$G99, 'ALL Tube Results'!$C$2:$C99, "&gt;="&amp;A37, 'ALL Tube Results'!$C$2:$C99, "&lt;="&amp;B37)
</f>
        <v>67</v>
      </c>
      <c r="D37" s="18">
        <f>COUNTIFS('ALL Tube Results'!$C37:$C99, "&gt;="&amp;A37, 'ALL Tube Results'!$C37:$C99, "&lt;="&amp;B37)</f>
        <v>31</v>
      </c>
      <c r="E37" s="18">
        <f>COUNTIFS('ALL Tube Results'!$C37:$C99, "&gt;="&amp;A37, 'ALL Tube Results'!$C37:$C99, "&lt;="&amp;B37, 'ALL Tube Results'!$F37:$F99, "Positive")</f>
        <v>0</v>
      </c>
      <c r="F37" s="18">
        <f>COUNTIFS('ALL Tube Results'!$C37:$C99, "&gt;="&amp;A37, 'ALL Tube Results'!$C37:$C99, "&lt;="&amp;B37, 'ALL Tube Results'!$F37:$F99, "Inconclusive")</f>
        <v>0</v>
      </c>
      <c r="G37" s="19">
        <f t="shared" si="2"/>
        <v>0</v>
      </c>
    </row>
    <row r="38">
      <c r="A38" s="20">
        <f t="shared" si="3"/>
        <v>45061</v>
      </c>
      <c r="B38" s="17">
        <f t="shared" si="1"/>
        <v>45067</v>
      </c>
      <c r="C38" s="18">
        <f>SUMIFS('ALL Tube Results'!$G$2:$G99, 'ALL Tube Results'!$C$2:$C99, "&gt;="&amp;A38, 'ALL Tube Results'!$C$2:$C99, "&lt;="&amp;B38)
</f>
        <v>54</v>
      </c>
      <c r="D38" s="18">
        <f>COUNTIFS('ALL Tube Results'!$C38:$C99, "&gt;="&amp;A38, 'ALL Tube Results'!$C38:$C99, "&lt;="&amp;B38)</f>
        <v>31</v>
      </c>
      <c r="E38" s="18">
        <f>COUNTIFS('ALL Tube Results'!$C38:$C99, "&gt;="&amp;A38, 'ALL Tube Results'!$C38:$C99, "&lt;="&amp;B38, 'ALL Tube Results'!$F38:$F99, "Positive")</f>
        <v>1</v>
      </c>
      <c r="F38" s="18">
        <f>COUNTIFS('ALL Tube Results'!$C38:$C99, "&gt;="&amp;A38, 'ALL Tube Results'!$C38:$C99, "&lt;="&amp;B38, 'ALL Tube Results'!$F38:$F99, "Inconclusive")</f>
        <v>0</v>
      </c>
      <c r="G38" s="19">
        <f t="shared" si="2"/>
        <v>0.03225806452</v>
      </c>
    </row>
    <row r="39">
      <c r="A39" s="20">
        <f t="shared" si="3"/>
        <v>45068</v>
      </c>
      <c r="B39" s="17">
        <f t="shared" si="1"/>
        <v>45074</v>
      </c>
      <c r="C39" s="18">
        <f>SUMIFS('ALL Tube Results'!$G$2:$G99, 'ALL Tube Results'!$C$2:$C99, "&gt;="&amp;A39, 'ALL Tube Results'!$C$2:$C99, "&lt;="&amp;B39)
</f>
        <v>49</v>
      </c>
      <c r="D39" s="18">
        <f>COUNTIFS('ALL Tube Results'!$C39:$C99, "&gt;="&amp;A39, 'ALL Tube Results'!$C39:$C99, "&lt;="&amp;B39)</f>
        <v>26</v>
      </c>
      <c r="E39" s="18">
        <f>COUNTIFS('ALL Tube Results'!$C39:$C99, "&gt;="&amp;A39, 'ALL Tube Results'!$C39:$C99, "&lt;="&amp;B39, 'ALL Tube Results'!$F39:$F99, "Positive")</f>
        <v>4</v>
      </c>
      <c r="F39" s="18">
        <f>COUNTIFS('ALL Tube Results'!$C39:$C99, "&gt;="&amp;A39, 'ALL Tube Results'!$C39:$C99, "&lt;="&amp;B39, 'ALL Tube Results'!$F39:$F99, "Inconclusive")</f>
        <v>0</v>
      </c>
      <c r="G39" s="19">
        <f t="shared" si="2"/>
        <v>0.1538461538</v>
      </c>
    </row>
    <row r="40">
      <c r="A40" s="20">
        <f t="shared" si="3"/>
        <v>45075</v>
      </c>
      <c r="B40" s="17">
        <f t="shared" si="1"/>
        <v>45081</v>
      </c>
      <c r="C40" s="18">
        <f>SUMIFS('ALL Tube Results'!$G$2:$G99, 'ALL Tube Results'!$C$2:$C99, "&gt;="&amp;A40, 'ALL Tube Results'!$C$2:$C99, "&lt;="&amp;B40)
</f>
        <v>43</v>
      </c>
      <c r="D40" s="18">
        <f>COUNTIFS('ALL Tube Results'!$C40:$C99, "&gt;="&amp;A40, 'ALL Tube Results'!$C40:$C99, "&lt;="&amp;B40)</f>
        <v>25</v>
      </c>
      <c r="E40" s="18">
        <f>COUNTIFS('ALL Tube Results'!$C40:$C99, "&gt;="&amp;A40, 'ALL Tube Results'!$C40:$C99, "&lt;="&amp;B40, 'ALL Tube Results'!$F40:$F99, "Positive")</f>
        <v>0</v>
      </c>
      <c r="F40" s="18">
        <f>COUNTIFS('ALL Tube Results'!$C40:$C99, "&gt;="&amp;A40, 'ALL Tube Results'!$C40:$C99, "&lt;="&amp;B40, 'ALL Tube Results'!$F40:$F99, "Inconclusive")</f>
        <v>0</v>
      </c>
      <c r="G40" s="19">
        <f t="shared" si="2"/>
        <v>0</v>
      </c>
    </row>
    <row r="41">
      <c r="A41" s="12"/>
      <c r="B41" s="12"/>
      <c r="G41" s="21"/>
    </row>
    <row r="42">
      <c r="A42" s="12"/>
      <c r="B42" s="12"/>
      <c r="G42" s="21"/>
    </row>
    <row r="43">
      <c r="A43" s="12"/>
      <c r="B43" s="12"/>
      <c r="G43" s="21"/>
    </row>
    <row r="44">
      <c r="A44" s="12"/>
      <c r="B44" s="12"/>
      <c r="G44" s="21"/>
    </row>
    <row r="45">
      <c r="A45" s="12"/>
      <c r="B45" s="12"/>
      <c r="G45" s="21"/>
    </row>
    <row r="46">
      <c r="A46" s="12"/>
      <c r="B46" s="12"/>
      <c r="G46" s="21"/>
    </row>
    <row r="47">
      <c r="A47" s="12"/>
      <c r="B47" s="12"/>
      <c r="G47" s="21"/>
    </row>
    <row r="48">
      <c r="A48" s="12"/>
      <c r="B48" s="12"/>
      <c r="G48" s="21"/>
    </row>
    <row r="49">
      <c r="A49" s="12"/>
      <c r="B49" s="12"/>
      <c r="G49" s="21"/>
    </row>
    <row r="50">
      <c r="A50" s="12"/>
      <c r="B50" s="12"/>
      <c r="G50" s="21"/>
    </row>
    <row r="51">
      <c r="A51" s="12"/>
      <c r="B51" s="12"/>
      <c r="G51" s="21"/>
    </row>
    <row r="52">
      <c r="A52" s="12"/>
      <c r="B52" s="12"/>
      <c r="G52" s="21"/>
    </row>
    <row r="53">
      <c r="A53" s="12"/>
      <c r="B53" s="12"/>
      <c r="G53" s="21"/>
    </row>
    <row r="54">
      <c r="A54" s="12"/>
      <c r="B54" s="12"/>
      <c r="G54"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6.88"/>
    <col customWidth="1" min="2" max="2" width="10.88"/>
    <col customWidth="1" min="3" max="3" width="8.88"/>
    <col customWidth="1" min="4" max="4" width="8.63"/>
    <col customWidth="1" min="5" max="5" width="8.25"/>
    <col customWidth="1" min="6" max="6" width="11.75"/>
    <col customWidth="1" min="7" max="7" width="4.25"/>
    <col customWidth="1" min="8" max="8" width="11.38"/>
    <col customWidth="1" min="9" max="11" width="3.13"/>
    <col customWidth="1" min="12" max="14" width="13.25"/>
    <col customWidth="1" min="15" max="15" width="3.75"/>
    <col customWidth="1" min="16" max="16" width="11.75"/>
    <col customWidth="1" min="17" max="17" width="2.63"/>
    <col customWidth="1" min="18" max="18" width="26.88"/>
    <col customWidth="1" min="19" max="19" width="14.38"/>
    <col customWidth="1" min="21" max="21" width="9.88"/>
    <col customWidth="1" min="22" max="22" width="5.25"/>
    <col customWidth="1" min="23" max="23" width="4.88"/>
    <col customWidth="1" min="24" max="24" width="3.13"/>
    <col customWidth="1" min="25" max="25" width="26.88" outlineLevel="1"/>
    <col customWidth="1" min="26" max="26" width="15.63" outlineLevel="1"/>
    <col min="27" max="30" width="12.63" outlineLevel="1"/>
    <col customWidth="1" min="31" max="31" width="7.13" outlineLevel="1"/>
    <col customWidth="1" min="32" max="32" width="3.13"/>
    <col customWidth="1" min="33" max="33" width="26.88" outlineLevel="1"/>
    <col customWidth="1" min="34" max="34" width="11.38" outlineLevel="1"/>
    <col customWidth="1" min="35" max="37" width="8.88" outlineLevel="1"/>
    <col customWidth="1" min="38" max="38" width="11.13" outlineLevel="1"/>
    <col customWidth="1" min="39" max="39" width="8.88" outlineLevel="1"/>
    <col customWidth="1" min="40" max="40" width="2.38"/>
    <col customWidth="1" min="41" max="41" width="18.38" outlineLevel="1"/>
    <col customWidth="1" min="42" max="42" width="9.25" outlineLevel="1"/>
    <col customWidth="1" min="43" max="43" width="8.88" outlineLevel="1"/>
    <col customWidth="1" min="44" max="44" width="8.63" outlineLevel="1"/>
    <col customWidth="1" min="45" max="45" width="11.13" outlineLevel="1"/>
    <col customWidth="1" min="46" max="46" width="5.5" outlineLevel="1"/>
    <col customWidth="1" min="47" max="47" width="2.38"/>
  </cols>
  <sheetData>
    <row r="1">
      <c r="A1" s="22" t="s">
        <v>3</v>
      </c>
      <c r="B1" s="23">
        <f>COUNT(B3:B259)</f>
        <v>184</v>
      </c>
      <c r="C1" s="23">
        <f t="shared" ref="C1:F1" si="1">SUM(C2:C259)</f>
        <v>1379</v>
      </c>
      <c r="D1" s="23">
        <f t="shared" si="1"/>
        <v>1367</v>
      </c>
      <c r="E1" s="23">
        <f t="shared" si="1"/>
        <v>9</v>
      </c>
      <c r="F1" s="23">
        <f t="shared" si="1"/>
        <v>3</v>
      </c>
      <c r="G1" s="23"/>
      <c r="H1" s="23">
        <f>SUM(H2:H259)</f>
        <v>0</v>
      </c>
      <c r="I1" s="24"/>
      <c r="J1" s="24"/>
      <c r="K1" s="24"/>
      <c r="L1" s="25">
        <f t="shared" ref="L1:N1" si="2">SUM(L2:L259)</f>
        <v>100</v>
      </c>
      <c r="M1" s="25">
        <f t="shared" si="2"/>
        <v>0</v>
      </c>
      <c r="N1" s="25">
        <f t="shared" si="2"/>
        <v>1</v>
      </c>
      <c r="O1" s="23"/>
      <c r="P1" s="23">
        <f>SUM(P2:P259)</f>
        <v>22</v>
      </c>
      <c r="Q1" s="26"/>
      <c r="R1" s="27" t="s">
        <v>4</v>
      </c>
      <c r="S1" s="28" t="str">
        <f>CONCATENATE("Delta Run Reconciled to ALL Tubes ",T1-C1)</f>
        <v>Delta Run Reconciled to ALL Tubes 0</v>
      </c>
      <c r="T1" s="29">
        <f>SUM(T2:T259)</f>
        <v>1379</v>
      </c>
      <c r="U1" s="30">
        <f>COUNTIF(U3:U259,FALSE)</f>
        <v>0</v>
      </c>
      <c r="V1" s="29">
        <f t="shared" ref="V1:W1" si="3">SUM(V2:V259)</f>
        <v>0</v>
      </c>
      <c r="W1" s="29">
        <f t="shared" si="3"/>
        <v>0</v>
      </c>
      <c r="X1" s="31"/>
      <c r="Y1" s="32" t="s">
        <v>5</v>
      </c>
      <c r="Z1" s="32"/>
      <c r="AA1" s="33">
        <f t="shared" ref="AA1:AD1" si="4">SUM(AA2:AA259)</f>
        <v>1279</v>
      </c>
      <c r="AB1" s="33">
        <f t="shared" si="4"/>
        <v>1268</v>
      </c>
      <c r="AC1" s="33">
        <f t="shared" si="4"/>
        <v>9</v>
      </c>
      <c r="AD1" s="33">
        <f t="shared" si="4"/>
        <v>2</v>
      </c>
      <c r="AE1" s="32"/>
      <c r="AF1" s="31"/>
      <c r="AG1" s="34" t="s">
        <v>6</v>
      </c>
      <c r="AH1" s="35"/>
      <c r="AI1" s="35">
        <f t="shared" ref="AI1:AM1" si="5">SUM(AI3:AI259)</f>
        <v>1357</v>
      </c>
      <c r="AJ1" s="35">
        <f t="shared" si="5"/>
        <v>1346</v>
      </c>
      <c r="AK1" s="35">
        <f t="shared" si="5"/>
        <v>8</v>
      </c>
      <c r="AL1" s="35">
        <f t="shared" si="5"/>
        <v>3</v>
      </c>
      <c r="AM1" s="35">
        <f t="shared" si="5"/>
        <v>0</v>
      </c>
      <c r="AN1" s="31"/>
      <c r="AO1" s="36" t="s">
        <v>7</v>
      </c>
      <c r="AP1" s="37">
        <f t="shared" ref="AP1:AT1" si="6">SUM(AP2:AP259)</f>
        <v>660</v>
      </c>
      <c r="AQ1" s="37">
        <f t="shared" si="6"/>
        <v>506</v>
      </c>
      <c r="AR1" s="37">
        <f t="shared" si="6"/>
        <v>0</v>
      </c>
      <c r="AS1" s="37">
        <f t="shared" si="6"/>
        <v>0</v>
      </c>
      <c r="AT1" s="37">
        <f t="shared" si="6"/>
        <v>0</v>
      </c>
      <c r="AU1" s="31"/>
    </row>
    <row r="2">
      <c r="A2" s="15" t="s">
        <v>8</v>
      </c>
      <c r="B2" s="38" t="s">
        <v>9</v>
      </c>
      <c r="C2" s="39" t="s">
        <v>10</v>
      </c>
      <c r="D2" s="38" t="s">
        <v>11</v>
      </c>
      <c r="E2" s="15" t="s">
        <v>12</v>
      </c>
      <c r="F2" s="15" t="s">
        <v>13</v>
      </c>
      <c r="G2" s="28"/>
      <c r="H2" s="28" t="s">
        <v>14</v>
      </c>
      <c r="I2" s="40" t="s">
        <v>15</v>
      </c>
      <c r="J2" s="40" t="s">
        <v>16</v>
      </c>
      <c r="K2" s="40" t="s">
        <v>17</v>
      </c>
      <c r="L2" s="40" t="s">
        <v>18</v>
      </c>
      <c r="M2" s="40" t="s">
        <v>19</v>
      </c>
      <c r="N2" s="40" t="s">
        <v>20</v>
      </c>
      <c r="O2" s="34"/>
      <c r="P2" s="34" t="s">
        <v>21</v>
      </c>
      <c r="Q2" s="41"/>
      <c r="R2" s="15" t="s">
        <v>8</v>
      </c>
      <c r="S2" s="15" t="s">
        <v>9</v>
      </c>
      <c r="T2" s="15" t="s">
        <v>22</v>
      </c>
      <c r="U2" s="42" t="s">
        <v>23</v>
      </c>
      <c r="V2" s="6"/>
      <c r="W2" s="6"/>
      <c r="X2" s="43"/>
      <c r="Y2" s="15" t="s">
        <v>24</v>
      </c>
      <c r="Z2" s="15" t="s">
        <v>9</v>
      </c>
      <c r="AA2" s="44" t="str">
        <f>'RFR Data - preExcl'!AK1</f>
        <v>RFR Audit
Num
Run Tubes</v>
      </c>
      <c r="AB2" s="15" t="s">
        <v>25</v>
      </c>
      <c r="AC2" s="6" t="str">
        <f>'RFR Data - preExcl'!AI1</f>
        <v>Audit
Pos Session
Calls</v>
      </c>
      <c r="AD2" s="6" t="str">
        <f>'RFR Data - preExcl'!AF1</f>
        <v>Audit
Inc Session Calls</v>
      </c>
      <c r="AE2" s="45" t="s">
        <v>26</v>
      </c>
      <c r="AF2" s="43"/>
      <c r="AG2" s="15" t="s">
        <v>27</v>
      </c>
      <c r="AH2" s="38" t="s">
        <v>9</v>
      </c>
      <c r="AI2" s="38" t="s">
        <v>10</v>
      </c>
      <c r="AJ2" s="38" t="s">
        <v>11</v>
      </c>
      <c r="AK2" s="15" t="s">
        <v>12</v>
      </c>
      <c r="AL2" s="15" t="s">
        <v>13</v>
      </c>
      <c r="AM2" s="15" t="s">
        <v>28</v>
      </c>
      <c r="AN2" s="43"/>
      <c r="AO2" s="6" t="str">
        <f>'APS Tubes by Date IMPORT'!B1</f>
        <v>APS
COLLECT DATE</v>
      </c>
      <c r="AP2" s="38" t="s">
        <v>10</v>
      </c>
      <c r="AQ2" s="38" t="s">
        <v>11</v>
      </c>
      <c r="AR2" s="15" t="s">
        <v>12</v>
      </c>
      <c r="AS2" s="15" t="s">
        <v>13</v>
      </c>
      <c r="AT2" s="15" t="s">
        <v>28</v>
      </c>
      <c r="AU2" s="43"/>
    </row>
    <row r="3">
      <c r="A3" s="11" t="str">
        <f t="array" ref="A3:A187">SORT(UNIQUE('ALL Tube Results'!B2:B259))</f>
        <v>RUN-ABRM_2022-09-05_RFR-001</v>
      </c>
      <c r="B3" s="46">
        <f>VLOOKUP(A3,'ALL Tube Results'!$B$2:$D259,2,FALSE)</f>
        <v>44809</v>
      </c>
      <c r="C3" s="47">
        <f>COUNTIF('ALL Tube Results'!B2:B259, A3)
</f>
        <v>12</v>
      </c>
      <c r="D3" s="48">
        <f>COUNTIFS('ALL Tube Results'!$B2:$B259, $A3, 'ALL Tube Results'!$F2:$F259, "Negative")
</f>
        <v>12</v>
      </c>
      <c r="E3" s="48">
        <f>COUNTIFS('ALL Tube Results'!$B2:$B259, $A3, 'ALL Tube Results'!$F2:$F259, "Positive")
</f>
        <v>0</v>
      </c>
      <c r="F3" s="48">
        <f>COUNTIFS('ALL Tube Results'!$B2:$B259, $A3, 'ALL Tube Results'!$F2:$F259, "Inconclusive")
</f>
        <v>0</v>
      </c>
      <c r="G3" s="49">
        <f t="shared" ref="G3:G186" si="7">IFERROR(VLOOKUP($A3,R$3:T259,3,FALSE),IFERROR(0/0,"")  )</f>
        <v>12</v>
      </c>
      <c r="H3" s="49" t="str">
        <f t="shared" ref="H3:H186" si="8">IF($C3=G3,IFERROR(0/0,""),$C3-G3)</f>
        <v/>
      </c>
      <c r="I3" s="50">
        <f t="shared" ref="I3:I186" si="9">IFERROR(VLOOKUP($A3,Y$3:AA259,3,FALSE),IFERROR(0/0,"")  )</f>
        <v>12</v>
      </c>
      <c r="J3" s="51">
        <f t="shared" ref="J3:J186" si="10">IFERROR(VLOOKUP($A3,Y$3:AD259,5,FALSE),IFERROR(0/0,"")  )</f>
        <v>0</v>
      </c>
      <c r="K3" s="51">
        <f t="shared" ref="K3:K186" si="11">IFERROR(VLOOKUP($A3,Y$3:AD259,6,FALSE),IFERROR(0/0,""))</f>
        <v>0</v>
      </c>
      <c r="L3" s="51" t="str">
        <f t="shared" ref="L3:L186" si="12">IF($C3=I3,IFERROR(0/0,""),$C3-I3)</f>
        <v/>
      </c>
      <c r="M3" s="51" t="str">
        <f t="shared" ref="M3:M186" si="13">IF($E3=J3,IFERROR(0/0,""),$E3-J3)</f>
        <v/>
      </c>
      <c r="N3" s="51" t="str">
        <f t="shared" ref="N3:N186" si="14">IF($F3=K3,IFERROR(0/0,""),$F3-K3)</f>
        <v/>
      </c>
      <c r="O3" s="52">
        <f t="shared" ref="O3:O186" si="15">IFERROR(VLOOKUP($A3,AG$3:AI259,3,FALSE),IFERROR(0/0,"")  )</f>
        <v>11</v>
      </c>
      <c r="P3" s="52">
        <f t="shared" ref="P3:P186" si="16">IF($C3=O3,IFERROR(0/0,""),$C3-O3)</f>
        <v>1</v>
      </c>
      <c r="Q3" s="43"/>
      <c r="R3" s="53" t="str">
        <f t="array" ref="R3:S448">SORT('Run Reconcile'!A2:B259,1,TRUE)</f>
        <v>RUN-ABRM_2022-09-05_RFR-001</v>
      </c>
      <c r="S3" s="12">
        <v>44809.0</v>
      </c>
      <c r="T3" s="54">
        <f>VLOOKUP(R3,'Run Reconcile'!$A$2:$L259,12,FALSE)</f>
        <v>12</v>
      </c>
      <c r="U3" s="55" t="str">
        <f t="shared" ref="U3:U259" si="17">IF(EXACT(A2,R2),IFERROR(0/0,""),FALSE)</f>
        <v/>
      </c>
      <c r="V3" s="54"/>
      <c r="W3" s="54"/>
      <c r="X3" s="43"/>
      <c r="Y3" s="53" t="str">
        <f>IFERROR(__xludf.DUMMYFUNCTION("SORT(FILTER('Run Reconcile'!A2:B259,'Run Reconcile'!A2:A259&lt;&gt;""*"",REGEXMATCH('Run Reconcile'!A2:A259,""RFR-"")),1,TRUE)
"),"RUN-ABRM_2022-09-05_RFR-001")</f>
        <v>RUN-ABRM_2022-09-05_RFR-001</v>
      </c>
      <c r="Z3" s="12">
        <f>IFERROR(__xludf.DUMMYFUNCTION("""COMPUTED_VALUE"""),44809.0)</f>
        <v>44809</v>
      </c>
      <c r="AA3" s="50">
        <f t="array" ref="AA3">INDEX('RFR Data - preExcl'!AK$2:AK259,$AE3,1)</f>
        <v>12</v>
      </c>
      <c r="AB3" s="54">
        <f t="shared" ref="AB3:AB163" si="18">AA3-AC3-AD3</f>
        <v>12</v>
      </c>
      <c r="AC3" s="54">
        <f t="array" ref="AC3">INDEX('RFR Data - preExcl'!AI$2:AI259,$AE3,1)</f>
        <v>0</v>
      </c>
      <c r="AD3" s="54">
        <f t="array" ref="AD3">INDEX('RFR Data - preExcl'!AF$2:AF259,$AE3,1)</f>
        <v>0</v>
      </c>
      <c r="AE3" s="56">
        <f>IFNA(MATCH(Y3,'RFR Data - preExcl'!A$2:A259,0),"")</f>
        <v>1</v>
      </c>
      <c r="AF3" s="43"/>
      <c r="AG3" s="57" t="str">
        <f t="array" ref="AG3:AG187">SORT(UNIQUE('APS Tubes IMPORT'!V2:V259))</f>
        <v>RUN-ABRM_2022-09-05_RFR-001</v>
      </c>
      <c r="AH3" s="46">
        <f>VLOOKUP(AG3,'Run Reconcile'!A$2:B259,2,FALSE)</f>
        <v>44809</v>
      </c>
      <c r="AI3" s="54">
        <f>COUNTIF('APS Tubes IMPORT'!$V$2:$V259, AG3)
</f>
        <v>11</v>
      </c>
      <c r="AJ3" s="54">
        <f>COUNTIFS('APS Tubes IMPORT'!V$2:V259, AG3, 'APS Tubes IMPORT'!H$2:H259, "Negative")
</f>
        <v>11</v>
      </c>
      <c r="AK3" s="54">
        <f>COUNTIFS('APS Tubes IMPORT'!V$2:V259, AG3, 'APS Tubes IMPORT'!H$2:H259, "Positive")
</f>
        <v>0</v>
      </c>
      <c r="AL3" s="54">
        <f>COUNTIFS('APS Tubes IMPORT'!V$2:V259, AG3, 'APS Tubes IMPORT'!H$2:H259, "Inconclusive")
</f>
        <v>0</v>
      </c>
      <c r="AM3" s="54">
        <f>COUNTIFS('APS Tubes IMPORT'!V$2:V259, AG3, 'APS Tubes IMPORT'!H$2:H259, "Null")
</f>
        <v>0</v>
      </c>
      <c r="AN3" s="43"/>
      <c r="AO3" s="12">
        <f>'APS Tubes by Date IMPORT'!B2</f>
        <v>44809</v>
      </c>
      <c r="AP3" s="54">
        <f>'APS Tubes by Date IMPORT'!C2</f>
        <v>11</v>
      </c>
      <c r="AQ3" s="54">
        <f>'APS Tubes by Date IMPORT'!D2</f>
        <v>11</v>
      </c>
      <c r="AR3" s="54">
        <f>'APS Tubes by Date IMPORT'!E2</f>
        <v>0</v>
      </c>
      <c r="AS3" s="54">
        <f>'APS Tubes by Date IMPORT'!F2</f>
        <v>0</v>
      </c>
      <c r="AT3" s="54">
        <f>'APS Tubes by Date IMPORT'!G2</f>
        <v>0</v>
      </c>
      <c r="AU3" s="43"/>
    </row>
    <row r="4">
      <c r="A4" s="7" t="s">
        <v>29</v>
      </c>
      <c r="B4" s="46">
        <f>VLOOKUP(A4,'ALL Tube Results'!$B$2:$D259,2,FALSE)</f>
        <v>44810</v>
      </c>
      <c r="C4" s="47">
        <f>COUNTIF('ALL Tube Results'!B3:B259, A4)
</f>
        <v>13</v>
      </c>
      <c r="D4" s="48">
        <f>COUNTIFS('ALL Tube Results'!$B3:$B259, $A4, 'ALL Tube Results'!$F3:$F259, "Negative")
</f>
        <v>13</v>
      </c>
      <c r="E4" s="48">
        <f>COUNTIFS('ALL Tube Results'!$B3:$B259, $A4, 'ALL Tube Results'!$F3:$F259, "Positive")
</f>
        <v>0</v>
      </c>
      <c r="F4" s="48">
        <f>COUNTIFS('ALL Tube Results'!$B3:$B259, $A4, 'ALL Tube Results'!$F3:$F259, "Inconclusive")
</f>
        <v>0</v>
      </c>
      <c r="G4" s="49">
        <f t="shared" si="7"/>
        <v>13</v>
      </c>
      <c r="H4" s="49" t="str">
        <f t="shared" si="8"/>
        <v/>
      </c>
      <c r="I4" s="50">
        <f t="shared" si="9"/>
        <v>13</v>
      </c>
      <c r="J4" s="51">
        <f t="shared" si="10"/>
        <v>0</v>
      </c>
      <c r="K4" s="51">
        <f t="shared" si="11"/>
        <v>0</v>
      </c>
      <c r="L4" s="51" t="str">
        <f t="shared" si="12"/>
        <v/>
      </c>
      <c r="M4" s="51" t="str">
        <f t="shared" si="13"/>
        <v/>
      </c>
      <c r="N4" s="51" t="str">
        <f t="shared" si="14"/>
        <v/>
      </c>
      <c r="O4" s="52">
        <f t="shared" si="15"/>
        <v>7</v>
      </c>
      <c r="P4" s="52">
        <f t="shared" si="16"/>
        <v>6</v>
      </c>
      <c r="Q4" s="43"/>
      <c r="R4" s="7" t="s">
        <v>29</v>
      </c>
      <c r="S4" s="12">
        <v>44810.0</v>
      </c>
      <c r="T4" s="54">
        <f>VLOOKUP(R4,'Run Reconcile'!$A$2:$L259,12,FALSE)</f>
        <v>13</v>
      </c>
      <c r="U4" s="55" t="str">
        <f t="shared" si="17"/>
        <v/>
      </c>
      <c r="V4" s="54"/>
      <c r="W4" s="54"/>
      <c r="X4" s="43"/>
      <c r="Y4" s="7" t="str">
        <f>IFERROR(__xludf.DUMMYFUNCTION("""COMPUTED_VALUE"""),"RUN-ABRM_2022-09-06_RFR-002")</f>
        <v>RUN-ABRM_2022-09-06_RFR-002</v>
      </c>
      <c r="Z4" s="12">
        <f>IFERROR(__xludf.DUMMYFUNCTION("""COMPUTED_VALUE"""),44810.0)</f>
        <v>44810</v>
      </c>
      <c r="AA4" s="50">
        <f t="array" ref="AA4">INDEX('RFR Data - preExcl'!AK$2:AK259,$AE4,1)</f>
        <v>13</v>
      </c>
      <c r="AB4" s="54">
        <f t="shared" si="18"/>
        <v>13</v>
      </c>
      <c r="AC4" s="54">
        <f t="array" ref="AC4">INDEX('RFR Data - preExcl'!AI$2:AI259,$AE4,1)</f>
        <v>0</v>
      </c>
      <c r="AD4" s="54">
        <f t="array" ref="AD4">INDEX('RFR Data - preExcl'!AF$2:AF259,$AE4,1)</f>
        <v>0</v>
      </c>
      <c r="AE4" s="56">
        <f>IFNA(MATCH(Y4,'RFR Data - preExcl'!A$2:A259,0),"")</f>
        <v>2</v>
      </c>
      <c r="AF4" s="43"/>
      <c r="AG4" s="58" t="s">
        <v>29</v>
      </c>
      <c r="AH4" s="46">
        <f>VLOOKUP(AG4,'Run Reconcile'!A$2:B259,2,FALSE)</f>
        <v>44810</v>
      </c>
      <c r="AI4" s="54">
        <f>COUNTIF('APS Tubes IMPORT'!$V$2:$V259, AG4)
</f>
        <v>7</v>
      </c>
      <c r="AJ4" s="54">
        <f>COUNTIFS('APS Tubes IMPORT'!V$2:V259, AG4, 'APS Tubes IMPORT'!H$2:H259, "Negative")
</f>
        <v>7</v>
      </c>
      <c r="AK4" s="54">
        <f>COUNTIFS('APS Tubes IMPORT'!V3:V259, AG4, 'APS Tubes IMPORT'!H3:H259, "Positive")
</f>
        <v>0</v>
      </c>
      <c r="AL4" s="54">
        <f>COUNTIFS('APS Tubes IMPORT'!V3:V259, AG4, 'APS Tubes IMPORT'!H3:H259, "Inconclusive")
</f>
        <v>0</v>
      </c>
      <c r="AM4" s="54">
        <f>COUNTIFS('APS Tubes IMPORT'!V3:V259, AG4, 'APS Tubes IMPORT'!H3:H259, "Null")
</f>
        <v>0</v>
      </c>
      <c r="AN4" s="43"/>
      <c r="AO4" s="12">
        <f>'APS Tubes by Date IMPORT'!B3</f>
        <v>44810</v>
      </c>
      <c r="AP4" s="54">
        <f>'APS Tubes by Date IMPORT'!C3</f>
        <v>7</v>
      </c>
      <c r="AQ4" s="54">
        <f>'APS Tubes by Date IMPORT'!D3</f>
        <v>7</v>
      </c>
      <c r="AR4" s="54">
        <f>'APS Tubes by Date IMPORT'!E3</f>
        <v>0</v>
      </c>
      <c r="AS4" s="54">
        <f>'APS Tubes by Date IMPORT'!F3</f>
        <v>0</v>
      </c>
      <c r="AT4" s="54">
        <f>'APS Tubes by Date IMPORT'!G3</f>
        <v>0</v>
      </c>
      <c r="AU4" s="43"/>
    </row>
    <row r="5">
      <c r="A5" s="7" t="s">
        <v>30</v>
      </c>
      <c r="B5" s="46">
        <f>VLOOKUP(A5,'ALL Tube Results'!$B$2:$D259,2,FALSE)</f>
        <v>44811</v>
      </c>
      <c r="C5" s="47">
        <f>COUNTIF('ALL Tube Results'!B4:B259, A5)
</f>
        <v>11</v>
      </c>
      <c r="D5" s="48">
        <f>COUNTIFS('ALL Tube Results'!$B4:$B259, $A5, 'ALL Tube Results'!$F4:$F259, "Negative")
</f>
        <v>11</v>
      </c>
      <c r="E5" s="48">
        <f>COUNTIFS('ALL Tube Results'!$B4:$B259, $A5, 'ALL Tube Results'!$F4:$F259, "Positive")
</f>
        <v>0</v>
      </c>
      <c r="F5" s="48">
        <f>COUNTIFS('ALL Tube Results'!$B4:$B259, $A5, 'ALL Tube Results'!$F4:$F259, "Inconclusive")
</f>
        <v>0</v>
      </c>
      <c r="G5" s="49">
        <f t="shared" si="7"/>
        <v>11</v>
      </c>
      <c r="H5" s="49" t="str">
        <f t="shared" si="8"/>
        <v/>
      </c>
      <c r="I5" s="50">
        <f t="shared" si="9"/>
        <v>11</v>
      </c>
      <c r="J5" s="51">
        <f t="shared" si="10"/>
        <v>0</v>
      </c>
      <c r="K5" s="51">
        <f t="shared" si="11"/>
        <v>0</v>
      </c>
      <c r="L5" s="51" t="str">
        <f t="shared" si="12"/>
        <v/>
      </c>
      <c r="M5" s="51" t="str">
        <f t="shared" si="13"/>
        <v/>
      </c>
      <c r="N5" s="51" t="str">
        <f t="shared" si="14"/>
        <v/>
      </c>
      <c r="O5" s="52">
        <f t="shared" si="15"/>
        <v>11</v>
      </c>
      <c r="P5" s="52" t="str">
        <f t="shared" si="16"/>
        <v/>
      </c>
      <c r="Q5" s="43"/>
      <c r="R5" s="7" t="s">
        <v>30</v>
      </c>
      <c r="S5" s="12">
        <v>44811.0</v>
      </c>
      <c r="T5" s="54">
        <f>VLOOKUP(R5,'Run Reconcile'!$A$2:$L259,12,FALSE)</f>
        <v>11</v>
      </c>
      <c r="U5" s="55" t="str">
        <f t="shared" si="17"/>
        <v/>
      </c>
      <c r="V5" s="54"/>
      <c r="W5" s="54"/>
      <c r="X5" s="43"/>
      <c r="Y5" s="7" t="str">
        <f>IFERROR(__xludf.DUMMYFUNCTION("""COMPUTED_VALUE"""),"RUN-ABRM_2022-09-07_RFR-003")</f>
        <v>RUN-ABRM_2022-09-07_RFR-003</v>
      </c>
      <c r="Z5" s="12">
        <f>IFERROR(__xludf.DUMMYFUNCTION("""COMPUTED_VALUE"""),44811.0)</f>
        <v>44811</v>
      </c>
      <c r="AA5" s="50">
        <f t="array" ref="AA5">INDEX('RFR Data - preExcl'!AK$2:AK259,$AE5,1)</f>
        <v>11</v>
      </c>
      <c r="AB5" s="54">
        <f t="shared" si="18"/>
        <v>11</v>
      </c>
      <c r="AC5" s="54">
        <f t="array" ref="AC5">INDEX('RFR Data - preExcl'!AI$2:AI259,$AE5,1)</f>
        <v>0</v>
      </c>
      <c r="AD5" s="54">
        <f t="array" ref="AD5">INDEX('RFR Data - preExcl'!AF$2:AF259,$AE5,1)</f>
        <v>0</v>
      </c>
      <c r="AE5" s="56">
        <f>IFNA(MATCH(Y5,'RFR Data - preExcl'!A$2:A259,0),"")</f>
        <v>3</v>
      </c>
      <c r="AF5" s="43"/>
      <c r="AG5" s="58" t="s">
        <v>30</v>
      </c>
      <c r="AH5" s="46">
        <f>VLOOKUP(AG5,'Run Reconcile'!A$2:B259,2,FALSE)</f>
        <v>44811</v>
      </c>
      <c r="AI5" s="54">
        <f>COUNTIF('APS Tubes IMPORT'!$V$2:$V259, AG5)
</f>
        <v>11</v>
      </c>
      <c r="AJ5" s="54">
        <f>COUNTIFS('APS Tubes IMPORT'!V$2:V259, AG5, 'APS Tubes IMPORT'!H$2:H259, "Negative")
</f>
        <v>11</v>
      </c>
      <c r="AK5" s="54">
        <f>COUNTIFS('APS Tubes IMPORT'!V4:V259, AG5, 'APS Tubes IMPORT'!H4:H259, "Positive")
</f>
        <v>0</v>
      </c>
      <c r="AL5" s="54">
        <f>COUNTIFS('APS Tubes IMPORT'!V4:V259, AG5, 'APS Tubes IMPORT'!H4:H259, "Inconclusive")
</f>
        <v>0</v>
      </c>
      <c r="AM5" s="54">
        <f>COUNTIFS('APS Tubes IMPORT'!V4:V259, AG5, 'APS Tubes IMPORT'!H4:H259, "Null")
</f>
        <v>0</v>
      </c>
      <c r="AN5" s="43"/>
      <c r="AO5" s="12">
        <f>'APS Tubes by Date IMPORT'!B4</f>
        <v>44811</v>
      </c>
      <c r="AP5" s="54">
        <f>'APS Tubes by Date IMPORT'!C4</f>
        <v>11</v>
      </c>
      <c r="AQ5" s="54">
        <f>'APS Tubes by Date IMPORT'!D4</f>
        <v>11</v>
      </c>
      <c r="AR5" s="54">
        <f>'APS Tubes by Date IMPORT'!E4</f>
        <v>0</v>
      </c>
      <c r="AS5" s="54">
        <f>'APS Tubes by Date IMPORT'!F4</f>
        <v>0</v>
      </c>
      <c r="AT5" s="54">
        <f>'APS Tubes by Date IMPORT'!G4</f>
        <v>0</v>
      </c>
      <c r="AU5" s="43"/>
    </row>
    <row r="6">
      <c r="A6" s="7" t="s">
        <v>31</v>
      </c>
      <c r="B6" s="46">
        <f>VLOOKUP(A6,'ALL Tube Results'!$B$2:$D259,2,FALSE)</f>
        <v>44812</v>
      </c>
      <c r="C6" s="47">
        <f>COUNTIF('ALL Tube Results'!B5:B259, A6)
</f>
        <v>12</v>
      </c>
      <c r="D6" s="48">
        <f>COUNTIFS('ALL Tube Results'!$B5:$B259, $A6, 'ALL Tube Results'!$F5:$F259, "Negative")
</f>
        <v>12</v>
      </c>
      <c r="E6" s="48">
        <f>COUNTIFS('ALL Tube Results'!$B5:$B259, $A6, 'ALL Tube Results'!$F5:$F259, "Positive")
</f>
        <v>0</v>
      </c>
      <c r="F6" s="48">
        <f>COUNTIFS('ALL Tube Results'!$B5:$B259, $A6, 'ALL Tube Results'!$F5:$F259, "Inconclusive")
</f>
        <v>0</v>
      </c>
      <c r="G6" s="49">
        <f t="shared" si="7"/>
        <v>12</v>
      </c>
      <c r="H6" s="49" t="str">
        <f t="shared" si="8"/>
        <v/>
      </c>
      <c r="I6" s="50">
        <f t="shared" si="9"/>
        <v>12</v>
      </c>
      <c r="J6" s="51">
        <f t="shared" si="10"/>
        <v>0</v>
      </c>
      <c r="K6" s="51">
        <f t="shared" si="11"/>
        <v>0</v>
      </c>
      <c r="L6" s="51" t="str">
        <f t="shared" si="12"/>
        <v/>
      </c>
      <c r="M6" s="51" t="str">
        <f t="shared" si="13"/>
        <v/>
      </c>
      <c r="N6" s="51" t="str">
        <f t="shared" si="14"/>
        <v/>
      </c>
      <c r="O6" s="52">
        <f t="shared" si="15"/>
        <v>12</v>
      </c>
      <c r="P6" s="52" t="str">
        <f t="shared" si="16"/>
        <v/>
      </c>
      <c r="Q6" s="43"/>
      <c r="R6" s="7" t="s">
        <v>31</v>
      </c>
      <c r="S6" s="12">
        <v>44812.0</v>
      </c>
      <c r="T6" s="54">
        <f>VLOOKUP(R6,'Run Reconcile'!$A$2:$L259,12,FALSE)</f>
        <v>12</v>
      </c>
      <c r="U6" s="55" t="str">
        <f t="shared" si="17"/>
        <v/>
      </c>
      <c r="V6" s="54"/>
      <c r="W6" s="54"/>
      <c r="X6" s="43"/>
      <c r="Y6" s="7" t="str">
        <f>IFERROR(__xludf.DUMMYFUNCTION("""COMPUTED_VALUE"""),"RUN-ABRM_2022-09-08_RFR-004")</f>
        <v>RUN-ABRM_2022-09-08_RFR-004</v>
      </c>
      <c r="Z6" s="12">
        <f>IFERROR(__xludf.DUMMYFUNCTION("""COMPUTED_VALUE"""),44812.0)</f>
        <v>44812</v>
      </c>
      <c r="AA6" s="50">
        <f t="array" ref="AA6">INDEX('RFR Data - preExcl'!AK$2:AK259,$AE6,1)</f>
        <v>12</v>
      </c>
      <c r="AB6" s="54">
        <f t="shared" si="18"/>
        <v>12</v>
      </c>
      <c r="AC6" s="54">
        <f t="array" ref="AC6">INDEX('RFR Data - preExcl'!AI$2:AI259,$AE6,1)</f>
        <v>0</v>
      </c>
      <c r="AD6" s="54">
        <f t="array" ref="AD6">INDEX('RFR Data - preExcl'!AF$2:AF259,$AE6,1)</f>
        <v>0</v>
      </c>
      <c r="AE6" s="56">
        <f>IFNA(MATCH(Y6,'RFR Data - preExcl'!A$2:A259,0),"")</f>
        <v>4</v>
      </c>
      <c r="AF6" s="43"/>
      <c r="AG6" s="58" t="s">
        <v>31</v>
      </c>
      <c r="AH6" s="46">
        <f>VLOOKUP(AG6,'Run Reconcile'!A$2:B259,2,FALSE)</f>
        <v>44812</v>
      </c>
      <c r="AI6" s="54">
        <f>COUNTIF('APS Tubes IMPORT'!$V$2:$V259, AG6)
</f>
        <v>12</v>
      </c>
      <c r="AJ6" s="54">
        <f>COUNTIFS('APS Tubes IMPORT'!V$2:V259, AG6, 'APS Tubes IMPORT'!H$2:H259, "Negative")
</f>
        <v>12</v>
      </c>
      <c r="AK6" s="54">
        <f>COUNTIFS('APS Tubes IMPORT'!V5:V259, AG6, 'APS Tubes IMPORT'!H5:H259, "Positive")
</f>
        <v>0</v>
      </c>
      <c r="AL6" s="54">
        <f>COUNTIFS('APS Tubes IMPORT'!V5:V259, AG6, 'APS Tubes IMPORT'!H5:H259, "Inconclusive")
</f>
        <v>0</v>
      </c>
      <c r="AM6" s="54">
        <f>COUNTIFS('APS Tubes IMPORT'!V5:V259, AG6, 'APS Tubes IMPORT'!H5:H259, "Null")
</f>
        <v>0</v>
      </c>
      <c r="AN6" s="43"/>
      <c r="AO6" s="12">
        <f>'APS Tubes by Date IMPORT'!B5</f>
        <v>44812</v>
      </c>
      <c r="AP6" s="54">
        <f>'APS Tubes by Date IMPORT'!C5</f>
        <v>12</v>
      </c>
      <c r="AQ6" s="54">
        <f>'APS Tubes by Date IMPORT'!D5</f>
        <v>12</v>
      </c>
      <c r="AR6" s="54">
        <f>'APS Tubes by Date IMPORT'!E5</f>
        <v>0</v>
      </c>
      <c r="AS6" s="54">
        <f>'APS Tubes by Date IMPORT'!F5</f>
        <v>0</v>
      </c>
      <c r="AT6" s="54">
        <f>'APS Tubes by Date IMPORT'!G5</f>
        <v>0</v>
      </c>
      <c r="AU6" s="43"/>
    </row>
    <row r="7">
      <c r="A7" s="7" t="s">
        <v>32</v>
      </c>
      <c r="B7" s="46">
        <f>VLOOKUP(A7,'ALL Tube Results'!$B$2:$D259,2,FALSE)</f>
        <v>44813</v>
      </c>
      <c r="C7" s="47">
        <f>COUNTIF('ALL Tube Results'!B6:B259, A7)
</f>
        <v>11</v>
      </c>
      <c r="D7" s="48">
        <f>COUNTIFS('ALL Tube Results'!$B6:$B259, $A7, 'ALL Tube Results'!$F6:$F259, "Negative")
</f>
        <v>11</v>
      </c>
      <c r="E7" s="48">
        <f>COUNTIFS('ALL Tube Results'!$B6:$B259, $A7, 'ALL Tube Results'!$F6:$F259, "Positive")
</f>
        <v>0</v>
      </c>
      <c r="F7" s="48">
        <f>COUNTIFS('ALL Tube Results'!$B6:$B259, $A7, 'ALL Tube Results'!$F6:$F259, "Inconclusive")
</f>
        <v>0</v>
      </c>
      <c r="G7" s="49">
        <f t="shared" si="7"/>
        <v>11</v>
      </c>
      <c r="H7" s="49" t="str">
        <f t="shared" si="8"/>
        <v/>
      </c>
      <c r="I7" s="50">
        <f t="shared" si="9"/>
        <v>11</v>
      </c>
      <c r="J7" s="51">
        <f t="shared" si="10"/>
        <v>0</v>
      </c>
      <c r="K7" s="51">
        <f t="shared" si="11"/>
        <v>0</v>
      </c>
      <c r="L7" s="51" t="str">
        <f t="shared" si="12"/>
        <v/>
      </c>
      <c r="M7" s="51" t="str">
        <f t="shared" si="13"/>
        <v/>
      </c>
      <c r="N7" s="51" t="str">
        <f t="shared" si="14"/>
        <v/>
      </c>
      <c r="O7" s="52">
        <f t="shared" si="15"/>
        <v>11</v>
      </c>
      <c r="P7" s="52" t="str">
        <f t="shared" si="16"/>
        <v/>
      </c>
      <c r="Q7" s="43"/>
      <c r="R7" s="7" t="s">
        <v>32</v>
      </c>
      <c r="S7" s="12">
        <v>44813.0</v>
      </c>
      <c r="T7" s="54">
        <f>VLOOKUP(R7,'Run Reconcile'!$A$2:$L259,12,FALSE)</f>
        <v>11</v>
      </c>
      <c r="U7" s="55" t="str">
        <f t="shared" si="17"/>
        <v/>
      </c>
      <c r="V7" s="54"/>
      <c r="W7" s="54"/>
      <c r="X7" s="43"/>
      <c r="Y7" s="7" t="str">
        <f>IFERROR(__xludf.DUMMYFUNCTION("""COMPUTED_VALUE"""),"RUN-ABRM_2022-09-09_RFR-006")</f>
        <v>RUN-ABRM_2022-09-09_RFR-006</v>
      </c>
      <c r="Z7" s="12">
        <f>IFERROR(__xludf.DUMMYFUNCTION("""COMPUTED_VALUE"""),44813.0)</f>
        <v>44813</v>
      </c>
      <c r="AA7" s="50">
        <f t="array" ref="AA7">INDEX('RFR Data - preExcl'!AK$2:AK259,$AE7,1)</f>
        <v>11</v>
      </c>
      <c r="AB7" s="54">
        <f t="shared" si="18"/>
        <v>11</v>
      </c>
      <c r="AC7" s="54">
        <f t="array" ref="AC7">INDEX('RFR Data - preExcl'!AI$2:AI259,$AE7,1)</f>
        <v>0</v>
      </c>
      <c r="AD7" s="54">
        <f t="array" ref="AD7">INDEX('RFR Data - preExcl'!AF$2:AF259,$AE7,1)</f>
        <v>0</v>
      </c>
      <c r="AE7" s="56">
        <f>IFNA(MATCH(Y7,'RFR Data - preExcl'!A$2:A259,0),"")</f>
        <v>6</v>
      </c>
      <c r="AF7" s="43"/>
      <c r="AG7" s="58" t="s">
        <v>32</v>
      </c>
      <c r="AH7" s="46">
        <f>VLOOKUP(AG7,'Run Reconcile'!A$2:B259,2,FALSE)</f>
        <v>44813</v>
      </c>
      <c r="AI7" s="54">
        <f>COUNTIF('APS Tubes IMPORT'!$V$2:$V259, AG7)
</f>
        <v>11</v>
      </c>
      <c r="AJ7" s="54">
        <f>COUNTIFS('APS Tubes IMPORT'!V$2:V259, AG7, 'APS Tubes IMPORT'!H$2:H259, "Negative")
</f>
        <v>11</v>
      </c>
      <c r="AK7" s="54">
        <f>COUNTIFS('APS Tubes IMPORT'!V6:V259, AG7, 'APS Tubes IMPORT'!H6:H259, "Positive")
</f>
        <v>0</v>
      </c>
      <c r="AL7" s="54">
        <f>COUNTIFS('APS Tubes IMPORT'!V6:V259, AG7, 'APS Tubes IMPORT'!H6:H259, "Inconclusive")
</f>
        <v>0</v>
      </c>
      <c r="AM7" s="54">
        <f>COUNTIFS('APS Tubes IMPORT'!V6:V259, AG7, 'APS Tubes IMPORT'!H6:H259, "Null")
</f>
        <v>0</v>
      </c>
      <c r="AN7" s="43"/>
      <c r="AO7" s="12">
        <f>'APS Tubes by Date IMPORT'!B6</f>
        <v>44813</v>
      </c>
      <c r="AP7" s="54">
        <f>'APS Tubes by Date IMPORT'!C6</f>
        <v>11</v>
      </c>
      <c r="AQ7" s="54">
        <f>'APS Tubes by Date IMPORT'!D6</f>
        <v>11</v>
      </c>
      <c r="AR7" s="54">
        <f>'APS Tubes by Date IMPORT'!E6</f>
        <v>0</v>
      </c>
      <c r="AS7" s="54">
        <f>'APS Tubes by Date IMPORT'!F6</f>
        <v>0</v>
      </c>
      <c r="AT7" s="54">
        <f>'APS Tubes by Date IMPORT'!G6</f>
        <v>0</v>
      </c>
      <c r="AU7" s="43"/>
    </row>
    <row r="8">
      <c r="A8" s="7" t="s">
        <v>33</v>
      </c>
      <c r="B8" s="46">
        <f>VLOOKUP(A8,'ALL Tube Results'!$B$2:$D259,2,FALSE)</f>
        <v>44814</v>
      </c>
      <c r="C8" s="47">
        <f>COUNTIF('ALL Tube Results'!B7:B259, A8)
</f>
        <v>2</v>
      </c>
      <c r="D8" s="48">
        <f>COUNTIFS('ALL Tube Results'!$B7:$B259, $A8, 'ALL Tube Results'!$F7:$F259, "Negative")
</f>
        <v>2</v>
      </c>
      <c r="E8" s="48">
        <f>COUNTIFS('ALL Tube Results'!$B7:$B259, $A8, 'ALL Tube Results'!$F7:$F259, "Positive")
</f>
        <v>0</v>
      </c>
      <c r="F8" s="48">
        <f>COUNTIFS('ALL Tube Results'!$B7:$B259, $A8, 'ALL Tube Results'!$F7:$F259, "Inconclusive")
</f>
        <v>0</v>
      </c>
      <c r="G8" s="49">
        <f t="shared" si="7"/>
        <v>2</v>
      </c>
      <c r="H8" s="49" t="str">
        <f t="shared" si="8"/>
        <v/>
      </c>
      <c r="I8" s="50">
        <f t="shared" si="9"/>
        <v>2</v>
      </c>
      <c r="J8" s="51">
        <f t="shared" si="10"/>
        <v>0</v>
      </c>
      <c r="K8" s="51">
        <f t="shared" si="11"/>
        <v>0</v>
      </c>
      <c r="L8" s="51" t="str">
        <f t="shared" si="12"/>
        <v/>
      </c>
      <c r="M8" s="51" t="str">
        <f t="shared" si="13"/>
        <v/>
      </c>
      <c r="N8" s="51" t="str">
        <f t="shared" si="14"/>
        <v/>
      </c>
      <c r="O8" s="52">
        <f t="shared" si="15"/>
        <v>2</v>
      </c>
      <c r="P8" s="52" t="str">
        <f t="shared" si="16"/>
        <v/>
      </c>
      <c r="Q8" s="43"/>
      <c r="R8" s="7" t="s">
        <v>33</v>
      </c>
      <c r="S8" s="12">
        <v>44814.0</v>
      </c>
      <c r="T8" s="54">
        <f>VLOOKUP(R8,'Run Reconcile'!$A$2:$L259,12,FALSE)</f>
        <v>2</v>
      </c>
      <c r="U8" s="55" t="str">
        <f t="shared" si="17"/>
        <v/>
      </c>
      <c r="V8" s="54"/>
      <c r="W8" s="54"/>
      <c r="X8" s="43"/>
      <c r="Y8" s="7" t="str">
        <f>IFERROR(__xludf.DUMMYFUNCTION("""COMPUTED_VALUE"""),"RUN-ABRM_2022-09-10_RFR-009")</f>
        <v>RUN-ABRM_2022-09-10_RFR-009</v>
      </c>
      <c r="Z8" s="12">
        <f>IFERROR(__xludf.DUMMYFUNCTION("""COMPUTED_VALUE"""),44814.0)</f>
        <v>44814</v>
      </c>
      <c r="AA8" s="50">
        <f t="array" ref="AA8">INDEX('RFR Data - preExcl'!AK$2:AK259,$AE8,1)</f>
        <v>2</v>
      </c>
      <c r="AB8" s="54">
        <f t="shared" si="18"/>
        <v>2</v>
      </c>
      <c r="AC8" s="54">
        <f t="array" ref="AC8">INDEX('RFR Data - preExcl'!AI$2:AI259,$AE8,1)</f>
        <v>0</v>
      </c>
      <c r="AD8" s="54">
        <f t="array" ref="AD8">INDEX('RFR Data - preExcl'!AF$2:AF259,$AE8,1)</f>
        <v>0</v>
      </c>
      <c r="AE8" s="56">
        <f>IFNA(MATCH(Y8,'RFR Data - preExcl'!A$2:A259,0),"")</f>
        <v>9</v>
      </c>
      <c r="AF8" s="43"/>
      <c r="AG8" s="58" t="s">
        <v>33</v>
      </c>
      <c r="AH8" s="46">
        <f>VLOOKUP(AG8,'Run Reconcile'!A$2:B259,2,FALSE)</f>
        <v>44814</v>
      </c>
      <c r="AI8" s="54">
        <f>COUNTIF('APS Tubes IMPORT'!$V$2:$V259, AG8)
</f>
        <v>2</v>
      </c>
      <c r="AJ8" s="54">
        <f>COUNTIFS('APS Tubes IMPORT'!V$2:V259, AG8, 'APS Tubes IMPORT'!H$2:H259, "Negative")
</f>
        <v>2</v>
      </c>
      <c r="AK8" s="54">
        <f>COUNTIFS('APS Tubes IMPORT'!V7:V259, AG8, 'APS Tubes IMPORT'!H7:H259, "Positive")
</f>
        <v>0</v>
      </c>
      <c r="AL8" s="54">
        <f>COUNTIFS('APS Tubes IMPORT'!V7:V259, AG8, 'APS Tubes IMPORT'!H7:H259, "Inconclusive")
</f>
        <v>0</v>
      </c>
      <c r="AM8" s="54">
        <f>COUNTIFS('APS Tubes IMPORT'!V7:V259, AG8, 'APS Tubes IMPORT'!H7:H259, "Null")
</f>
        <v>0</v>
      </c>
      <c r="AN8" s="43"/>
      <c r="AO8" s="12">
        <f>'APS Tubes by Date IMPORT'!B7</f>
        <v>44814</v>
      </c>
      <c r="AP8" s="54">
        <f>'APS Tubes by Date IMPORT'!C7</f>
        <v>2</v>
      </c>
      <c r="AQ8" s="54">
        <f>'APS Tubes by Date IMPORT'!D7</f>
        <v>2</v>
      </c>
      <c r="AR8" s="54">
        <f>'APS Tubes by Date IMPORT'!E7</f>
        <v>0</v>
      </c>
      <c r="AS8" s="54">
        <f>'APS Tubes by Date IMPORT'!F7</f>
        <v>0</v>
      </c>
      <c r="AT8" s="54">
        <f>'APS Tubes by Date IMPORT'!G7</f>
        <v>0</v>
      </c>
      <c r="AU8" s="43"/>
    </row>
    <row r="9">
      <c r="A9" s="7" t="s">
        <v>34</v>
      </c>
      <c r="B9" s="46">
        <f>VLOOKUP(A9,'ALL Tube Results'!$B$2:$D259,2,FALSE)</f>
        <v>44816</v>
      </c>
      <c r="C9" s="47">
        <f>COUNTIF('ALL Tube Results'!B8:B259, A9)
</f>
        <v>12</v>
      </c>
      <c r="D9" s="48">
        <f>COUNTIFS('ALL Tube Results'!$B8:$B259, $A9, 'ALL Tube Results'!$F8:$F259, "Negative")
</f>
        <v>12</v>
      </c>
      <c r="E9" s="48">
        <f>COUNTIFS('ALL Tube Results'!$B8:$B259, $A9, 'ALL Tube Results'!$F8:$F259, "Positive")
</f>
        <v>0</v>
      </c>
      <c r="F9" s="48">
        <f>COUNTIFS('ALL Tube Results'!$B8:$B259, $A9, 'ALL Tube Results'!$F8:$F259, "Inconclusive")
</f>
        <v>0</v>
      </c>
      <c r="G9" s="49">
        <f t="shared" si="7"/>
        <v>12</v>
      </c>
      <c r="H9" s="49" t="str">
        <f t="shared" si="8"/>
        <v/>
      </c>
      <c r="I9" s="50">
        <f t="shared" si="9"/>
        <v>12</v>
      </c>
      <c r="J9" s="51">
        <f t="shared" si="10"/>
        <v>0</v>
      </c>
      <c r="K9" s="51">
        <f t="shared" si="11"/>
        <v>0</v>
      </c>
      <c r="L9" s="51" t="str">
        <f t="shared" si="12"/>
        <v/>
      </c>
      <c r="M9" s="51" t="str">
        <f t="shared" si="13"/>
        <v/>
      </c>
      <c r="N9" s="51" t="str">
        <f t="shared" si="14"/>
        <v/>
      </c>
      <c r="O9" s="52">
        <f t="shared" si="15"/>
        <v>12</v>
      </c>
      <c r="P9" s="52" t="str">
        <f t="shared" si="16"/>
        <v/>
      </c>
      <c r="Q9" s="43"/>
      <c r="R9" s="7" t="s">
        <v>34</v>
      </c>
      <c r="S9" s="12">
        <v>44816.0</v>
      </c>
      <c r="T9" s="54">
        <f>VLOOKUP(R9,'Run Reconcile'!$A$2:$L259,12,FALSE)</f>
        <v>12</v>
      </c>
      <c r="U9" s="55" t="str">
        <f t="shared" si="17"/>
        <v/>
      </c>
      <c r="V9" s="54"/>
      <c r="W9" s="54"/>
      <c r="X9" s="43"/>
      <c r="Y9" s="7" t="str">
        <f>IFERROR(__xludf.DUMMYFUNCTION("""COMPUTED_VALUE"""),"RUN-ABRM_2022-09-12_RFR-010")</f>
        <v>RUN-ABRM_2022-09-12_RFR-010</v>
      </c>
      <c r="Z9" s="12">
        <f>IFERROR(__xludf.DUMMYFUNCTION("""COMPUTED_VALUE"""),44816.0)</f>
        <v>44816</v>
      </c>
      <c r="AA9" s="50">
        <f t="array" ref="AA9">INDEX('RFR Data - preExcl'!AK$2:AK259,$AE9,1)</f>
        <v>12</v>
      </c>
      <c r="AB9" s="54">
        <f t="shared" si="18"/>
        <v>12</v>
      </c>
      <c r="AC9" s="54">
        <f t="array" ref="AC9">INDEX('RFR Data - preExcl'!AI$2:AI259,$AE9,1)</f>
        <v>0</v>
      </c>
      <c r="AD9" s="54">
        <f t="array" ref="AD9">INDEX('RFR Data - preExcl'!AF$2:AF259,$AE9,1)</f>
        <v>0</v>
      </c>
      <c r="AE9" s="56">
        <f>IFNA(MATCH(Y9,'RFR Data - preExcl'!A$2:A259,0),"")</f>
        <v>10</v>
      </c>
      <c r="AF9" s="43"/>
      <c r="AG9" s="58" t="s">
        <v>34</v>
      </c>
      <c r="AH9" s="46">
        <f>VLOOKUP(AG9,'Run Reconcile'!A$2:B259,2,FALSE)</f>
        <v>44816</v>
      </c>
      <c r="AI9" s="54">
        <f>COUNTIF('APS Tubes IMPORT'!$V$2:$V259, AG9)
</f>
        <v>12</v>
      </c>
      <c r="AJ9" s="54">
        <f>COUNTIFS('APS Tubes IMPORT'!V$2:V259, AG9, 'APS Tubes IMPORT'!H$2:H259, "Negative")
</f>
        <v>12</v>
      </c>
      <c r="AK9" s="54">
        <f>COUNTIFS('APS Tubes IMPORT'!V8:V259, AG9, 'APS Tubes IMPORT'!H8:H259, "Positive")
</f>
        <v>0</v>
      </c>
      <c r="AL9" s="54">
        <f>COUNTIFS('APS Tubes IMPORT'!V8:V259, AG9, 'APS Tubes IMPORT'!H8:H259, "Inconclusive")
</f>
        <v>0</v>
      </c>
      <c r="AM9" s="54">
        <f>COUNTIFS('APS Tubes IMPORT'!V8:V259, AG9, 'APS Tubes IMPORT'!H8:H259, "Null")
</f>
        <v>0</v>
      </c>
      <c r="AN9" s="43"/>
      <c r="AO9" s="12">
        <f>'APS Tubes by Date IMPORT'!B8</f>
        <v>44816</v>
      </c>
      <c r="AP9" s="54">
        <f>'APS Tubes by Date IMPORT'!C8</f>
        <v>12</v>
      </c>
      <c r="AQ9" s="54">
        <f>'APS Tubes by Date IMPORT'!D8</f>
        <v>12</v>
      </c>
      <c r="AR9" s="54">
        <f>'APS Tubes by Date IMPORT'!E8</f>
        <v>0</v>
      </c>
      <c r="AS9" s="54">
        <f>'APS Tubes by Date IMPORT'!F8</f>
        <v>0</v>
      </c>
      <c r="AT9" s="54">
        <f>'APS Tubes by Date IMPORT'!G8</f>
        <v>0</v>
      </c>
      <c r="AU9" s="43"/>
    </row>
    <row r="10">
      <c r="A10" s="7" t="s">
        <v>35</v>
      </c>
      <c r="B10" s="46">
        <f>VLOOKUP(A10,'ALL Tube Results'!$B$2:$D259,2,FALSE)</f>
        <v>44817</v>
      </c>
      <c r="C10" s="47">
        <f>COUNTIF('ALL Tube Results'!B9:B259, A10)
</f>
        <v>13</v>
      </c>
      <c r="D10" s="48">
        <f>COUNTIFS('ALL Tube Results'!$B9:$B259, $A10, 'ALL Tube Results'!$F9:$F259, "Negative")
</f>
        <v>13</v>
      </c>
      <c r="E10" s="48">
        <f>COUNTIFS('ALL Tube Results'!$B9:$B259, $A10, 'ALL Tube Results'!$F9:$F259, "Positive")
</f>
        <v>0</v>
      </c>
      <c r="F10" s="48">
        <f>COUNTIFS('ALL Tube Results'!$B9:$B259, $A10, 'ALL Tube Results'!$F9:$F259, "Inconclusive")
</f>
        <v>0</v>
      </c>
      <c r="G10" s="49">
        <f t="shared" si="7"/>
        <v>13</v>
      </c>
      <c r="H10" s="49" t="str">
        <f t="shared" si="8"/>
        <v/>
      </c>
      <c r="I10" s="50">
        <f t="shared" si="9"/>
        <v>13</v>
      </c>
      <c r="J10" s="51">
        <f t="shared" si="10"/>
        <v>0</v>
      </c>
      <c r="K10" s="51">
        <f t="shared" si="11"/>
        <v>0</v>
      </c>
      <c r="L10" s="51" t="str">
        <f t="shared" si="12"/>
        <v/>
      </c>
      <c r="M10" s="51" t="str">
        <f t="shared" si="13"/>
        <v/>
      </c>
      <c r="N10" s="51" t="str">
        <f t="shared" si="14"/>
        <v/>
      </c>
      <c r="O10" s="52">
        <f t="shared" si="15"/>
        <v>13</v>
      </c>
      <c r="P10" s="52" t="str">
        <f t="shared" si="16"/>
        <v/>
      </c>
      <c r="Q10" s="43"/>
      <c r="R10" s="7" t="s">
        <v>35</v>
      </c>
      <c r="S10" s="12">
        <v>44817.0</v>
      </c>
      <c r="T10" s="54">
        <f>VLOOKUP(R10,'Run Reconcile'!$A$2:$L259,12,FALSE)</f>
        <v>13</v>
      </c>
      <c r="U10" s="55" t="str">
        <f t="shared" si="17"/>
        <v/>
      </c>
      <c r="V10" s="54"/>
      <c r="W10" s="54"/>
      <c r="X10" s="43"/>
      <c r="Y10" s="7" t="str">
        <f>IFERROR(__xludf.DUMMYFUNCTION("""COMPUTED_VALUE"""),"RUN-ABRM_2022-09-13_RFR-011")</f>
        <v>RUN-ABRM_2022-09-13_RFR-011</v>
      </c>
      <c r="Z10" s="12">
        <f>IFERROR(__xludf.DUMMYFUNCTION("""COMPUTED_VALUE"""),44817.0)</f>
        <v>44817</v>
      </c>
      <c r="AA10" s="50">
        <f t="array" ref="AA10">INDEX('RFR Data - preExcl'!AK$2:AK259,$AE10,1)</f>
        <v>13</v>
      </c>
      <c r="AB10" s="54">
        <f t="shared" si="18"/>
        <v>13</v>
      </c>
      <c r="AC10" s="54">
        <f t="array" ref="AC10">INDEX('RFR Data - preExcl'!AI$2:AI259,$AE10,1)</f>
        <v>0</v>
      </c>
      <c r="AD10" s="54">
        <f t="array" ref="AD10">INDEX('RFR Data - preExcl'!AF$2:AF259,$AE10,1)</f>
        <v>0</v>
      </c>
      <c r="AE10" s="56">
        <f>IFNA(MATCH(Y10,'RFR Data - preExcl'!A$2:A259,0),"")</f>
        <v>11</v>
      </c>
      <c r="AF10" s="43"/>
      <c r="AG10" s="58" t="s">
        <v>35</v>
      </c>
      <c r="AH10" s="46">
        <f>VLOOKUP(AG10,'Run Reconcile'!A$2:B259,2,FALSE)</f>
        <v>44817</v>
      </c>
      <c r="AI10" s="54">
        <f>COUNTIF('APS Tubes IMPORT'!$V$2:$V259, AG10)
</f>
        <v>13</v>
      </c>
      <c r="AJ10" s="54">
        <f>COUNTIFS('APS Tubes IMPORT'!V$2:V259, AG10, 'APS Tubes IMPORT'!H$2:H259, "Negative")
</f>
        <v>13</v>
      </c>
      <c r="AK10" s="54">
        <f>COUNTIFS('APS Tubes IMPORT'!V9:V259, AG10, 'APS Tubes IMPORT'!H9:H259, "Positive")
</f>
        <v>0</v>
      </c>
      <c r="AL10" s="54">
        <f>COUNTIFS('APS Tubes IMPORT'!V9:V259, AG10, 'APS Tubes IMPORT'!H9:H259, "Inconclusive")
</f>
        <v>0</v>
      </c>
      <c r="AM10" s="54">
        <f>COUNTIFS('APS Tubes IMPORT'!V9:V259, AG10, 'APS Tubes IMPORT'!H9:H259, "Null")
</f>
        <v>0</v>
      </c>
      <c r="AN10" s="43"/>
      <c r="AO10" s="12">
        <f>'APS Tubes by Date IMPORT'!B9</f>
        <v>44817</v>
      </c>
      <c r="AP10" s="54">
        <f>'APS Tubes by Date IMPORT'!C9</f>
        <v>13</v>
      </c>
      <c r="AQ10" s="54">
        <f>'APS Tubes by Date IMPORT'!D9</f>
        <v>13</v>
      </c>
      <c r="AR10" s="54">
        <f>'APS Tubes by Date IMPORT'!E9</f>
        <v>0</v>
      </c>
      <c r="AS10" s="54">
        <f>'APS Tubes by Date IMPORT'!F9</f>
        <v>0</v>
      </c>
      <c r="AT10" s="54">
        <f>'APS Tubes by Date IMPORT'!G9</f>
        <v>0</v>
      </c>
      <c r="AU10" s="43"/>
    </row>
    <row r="11">
      <c r="A11" s="7" t="s">
        <v>36</v>
      </c>
      <c r="B11" s="46">
        <f>VLOOKUP(A11,'ALL Tube Results'!$B$2:$D259,2,FALSE)</f>
        <v>44818</v>
      </c>
      <c r="C11" s="47">
        <f>COUNTIF('ALL Tube Results'!B10:B259, A11)
</f>
        <v>9</v>
      </c>
      <c r="D11" s="48">
        <f>COUNTIFS('ALL Tube Results'!$B10:$B259, $A11, 'ALL Tube Results'!$F10:$F259, "Negative")
</f>
        <v>9</v>
      </c>
      <c r="E11" s="48">
        <f>COUNTIFS('ALL Tube Results'!$B10:$B259, $A11, 'ALL Tube Results'!$F10:$F259, "Positive")
</f>
        <v>0</v>
      </c>
      <c r="F11" s="48">
        <f>COUNTIFS('ALL Tube Results'!$B10:$B259, $A11, 'ALL Tube Results'!$F10:$F259, "Inconclusive")
</f>
        <v>0</v>
      </c>
      <c r="G11" s="49">
        <f t="shared" si="7"/>
        <v>9</v>
      </c>
      <c r="H11" s="49" t="str">
        <f t="shared" si="8"/>
        <v/>
      </c>
      <c r="I11" s="50">
        <f t="shared" si="9"/>
        <v>9</v>
      </c>
      <c r="J11" s="51">
        <f t="shared" si="10"/>
        <v>0</v>
      </c>
      <c r="K11" s="51">
        <f t="shared" si="11"/>
        <v>0</v>
      </c>
      <c r="L11" s="51" t="str">
        <f t="shared" si="12"/>
        <v/>
      </c>
      <c r="M11" s="51" t="str">
        <f t="shared" si="13"/>
        <v/>
      </c>
      <c r="N11" s="51" t="str">
        <f t="shared" si="14"/>
        <v/>
      </c>
      <c r="O11" s="52">
        <f t="shared" si="15"/>
        <v>9</v>
      </c>
      <c r="P11" s="52" t="str">
        <f t="shared" si="16"/>
        <v/>
      </c>
      <c r="Q11" s="43"/>
      <c r="R11" s="7" t="s">
        <v>36</v>
      </c>
      <c r="S11" s="12">
        <v>44818.0</v>
      </c>
      <c r="T11" s="54">
        <f>VLOOKUP(R11,'Run Reconcile'!$A$2:$L259,12,FALSE)</f>
        <v>9</v>
      </c>
      <c r="U11" s="55" t="str">
        <f t="shared" si="17"/>
        <v/>
      </c>
      <c r="V11" s="54"/>
      <c r="W11" s="54"/>
      <c r="X11" s="43"/>
      <c r="Y11" s="7" t="str">
        <f>IFERROR(__xludf.DUMMYFUNCTION("""COMPUTED_VALUE"""),"RUN-ABRM_2022-09-14_RFR-013")</f>
        <v>RUN-ABRM_2022-09-14_RFR-013</v>
      </c>
      <c r="Z11" s="12">
        <f>IFERROR(__xludf.DUMMYFUNCTION("""COMPUTED_VALUE"""),44818.0)</f>
        <v>44818</v>
      </c>
      <c r="AA11" s="50">
        <f t="array" ref="AA11">INDEX('RFR Data - preExcl'!AK$2:AK259,$AE11,1)</f>
        <v>9</v>
      </c>
      <c r="AB11" s="54">
        <f t="shared" si="18"/>
        <v>9</v>
      </c>
      <c r="AC11" s="54">
        <f t="array" ref="AC11">INDEX('RFR Data - preExcl'!AI$2:AI259,$AE11,1)</f>
        <v>0</v>
      </c>
      <c r="AD11" s="54">
        <f t="array" ref="AD11">INDEX('RFR Data - preExcl'!AF$2:AF259,$AE11,1)</f>
        <v>0</v>
      </c>
      <c r="AE11" s="56">
        <f>IFNA(MATCH(Y11,'RFR Data - preExcl'!A$2:A259,0),"")</f>
        <v>13</v>
      </c>
      <c r="AF11" s="43"/>
      <c r="AG11" s="58" t="s">
        <v>36</v>
      </c>
      <c r="AH11" s="46">
        <f>VLOOKUP(AG11,'Run Reconcile'!A$2:B259,2,FALSE)</f>
        <v>44818</v>
      </c>
      <c r="AI11" s="54">
        <f>COUNTIF('APS Tubes IMPORT'!$V$2:$V259, AG11)
</f>
        <v>9</v>
      </c>
      <c r="AJ11" s="54">
        <f>COUNTIFS('APS Tubes IMPORT'!V$2:V259, AG11, 'APS Tubes IMPORT'!H$2:H259, "Negative")
</f>
        <v>9</v>
      </c>
      <c r="AK11" s="54">
        <f>COUNTIFS('APS Tubes IMPORT'!V10:V259, AG11, 'APS Tubes IMPORT'!H10:H259, "Positive")
</f>
        <v>0</v>
      </c>
      <c r="AL11" s="54">
        <f>COUNTIFS('APS Tubes IMPORT'!V10:V259, AG11, 'APS Tubes IMPORT'!H10:H259, "Inconclusive")
</f>
        <v>0</v>
      </c>
      <c r="AM11" s="54">
        <f>COUNTIFS('APS Tubes IMPORT'!V10:V259, AG11, 'APS Tubes IMPORT'!H10:H259, "Null")
</f>
        <v>0</v>
      </c>
      <c r="AN11" s="43"/>
      <c r="AO11" s="12">
        <f>'APS Tubes by Date IMPORT'!B10</f>
        <v>44818</v>
      </c>
      <c r="AP11" s="54">
        <f>'APS Tubes by Date IMPORT'!C10</f>
        <v>9</v>
      </c>
      <c r="AQ11" s="54">
        <f>'APS Tubes by Date IMPORT'!D10</f>
        <v>9</v>
      </c>
      <c r="AR11" s="54">
        <f>'APS Tubes by Date IMPORT'!E10</f>
        <v>0</v>
      </c>
      <c r="AS11" s="54">
        <f>'APS Tubes by Date IMPORT'!F10</f>
        <v>0</v>
      </c>
      <c r="AT11" s="54">
        <f>'APS Tubes by Date IMPORT'!G10</f>
        <v>0</v>
      </c>
      <c r="AU11" s="43"/>
    </row>
    <row r="12">
      <c r="A12" s="7" t="s">
        <v>37</v>
      </c>
      <c r="B12" s="46">
        <f>VLOOKUP(A12,'ALL Tube Results'!$B$2:$D259,2,FALSE)</f>
        <v>44819</v>
      </c>
      <c r="C12" s="47">
        <f>COUNTIF('ALL Tube Results'!B11:B259, A12)
</f>
        <v>10</v>
      </c>
      <c r="D12" s="48">
        <f>COUNTIFS('ALL Tube Results'!$B11:$B259, $A12, 'ALL Tube Results'!$F11:$F259, "Negative")
</f>
        <v>10</v>
      </c>
      <c r="E12" s="48">
        <f>COUNTIFS('ALL Tube Results'!$B11:$B259, $A12, 'ALL Tube Results'!$F11:$F259, "Positive")
</f>
        <v>0</v>
      </c>
      <c r="F12" s="48">
        <f>COUNTIFS('ALL Tube Results'!$B11:$B259, $A12, 'ALL Tube Results'!$F11:$F259, "Inconclusive")
</f>
        <v>0</v>
      </c>
      <c r="G12" s="49">
        <f t="shared" si="7"/>
        <v>10</v>
      </c>
      <c r="H12" s="49" t="str">
        <f t="shared" si="8"/>
        <v/>
      </c>
      <c r="I12" s="50">
        <f t="shared" si="9"/>
        <v>10</v>
      </c>
      <c r="J12" s="51">
        <f t="shared" si="10"/>
        <v>0</v>
      </c>
      <c r="K12" s="51">
        <f t="shared" si="11"/>
        <v>0</v>
      </c>
      <c r="L12" s="51" t="str">
        <f t="shared" si="12"/>
        <v/>
      </c>
      <c r="M12" s="51" t="str">
        <f t="shared" si="13"/>
        <v/>
      </c>
      <c r="N12" s="51" t="str">
        <f t="shared" si="14"/>
        <v/>
      </c>
      <c r="O12" s="52">
        <f t="shared" si="15"/>
        <v>10</v>
      </c>
      <c r="P12" s="52" t="str">
        <f t="shared" si="16"/>
        <v/>
      </c>
      <c r="Q12" s="43"/>
      <c r="R12" s="12" t="s">
        <v>37</v>
      </c>
      <c r="S12" s="12">
        <v>44819.0</v>
      </c>
      <c r="T12" s="54">
        <f>VLOOKUP(R12,'Run Reconcile'!$A$2:$L259,12,FALSE)</f>
        <v>10</v>
      </c>
      <c r="U12" s="55" t="str">
        <f t="shared" si="17"/>
        <v/>
      </c>
      <c r="V12" s="54"/>
      <c r="W12" s="54"/>
      <c r="X12" s="43"/>
      <c r="Y12" s="12" t="str">
        <f>IFERROR(__xludf.DUMMYFUNCTION("""COMPUTED_VALUE"""),"RUN-ABRM_2022-09-15_RFR-014")</f>
        <v>RUN-ABRM_2022-09-15_RFR-014</v>
      </c>
      <c r="Z12" s="12">
        <f>IFERROR(__xludf.DUMMYFUNCTION("""COMPUTED_VALUE"""),44819.0)</f>
        <v>44819</v>
      </c>
      <c r="AA12" s="50">
        <f t="array" ref="AA12">INDEX('RFR Data - preExcl'!AK$2:AK259,$AE12,1)</f>
        <v>10</v>
      </c>
      <c r="AB12" s="54">
        <f t="shared" si="18"/>
        <v>10</v>
      </c>
      <c r="AC12" s="54">
        <f t="array" ref="AC12">INDEX('RFR Data - preExcl'!AI$2:AI259,$AE12,1)</f>
        <v>0</v>
      </c>
      <c r="AD12" s="54">
        <f t="array" ref="AD12">INDEX('RFR Data - preExcl'!AF$2:AF259,$AE12,1)</f>
        <v>0</v>
      </c>
      <c r="AE12" s="56">
        <f>IFNA(MATCH(Y12,'RFR Data - preExcl'!A$2:A259,0),"")</f>
        <v>14</v>
      </c>
      <c r="AF12" s="43"/>
      <c r="AG12" s="58" t="s">
        <v>37</v>
      </c>
      <c r="AH12" s="46">
        <f>VLOOKUP(AG12,'Run Reconcile'!A$2:B259,2,FALSE)</f>
        <v>44819</v>
      </c>
      <c r="AI12" s="54">
        <f>COUNTIF('APS Tubes IMPORT'!$V$2:$V259, AG12)
</f>
        <v>10</v>
      </c>
      <c r="AJ12" s="54">
        <f>COUNTIFS('APS Tubes IMPORT'!V$2:V259, AG12, 'APS Tubes IMPORT'!H$2:H259, "Negative")
</f>
        <v>10</v>
      </c>
      <c r="AK12" s="54">
        <f>COUNTIFS('APS Tubes IMPORT'!V11:V259, AG12, 'APS Tubes IMPORT'!H11:H259, "Positive")
</f>
        <v>0</v>
      </c>
      <c r="AL12" s="54">
        <f>COUNTIFS('APS Tubes IMPORT'!V11:V259, AG12, 'APS Tubes IMPORT'!H11:H259, "Inconclusive")
</f>
        <v>0</v>
      </c>
      <c r="AM12" s="54">
        <f>COUNTIFS('APS Tubes IMPORT'!V11:V259, AG12, 'APS Tubes IMPORT'!H11:H259, "Null")
</f>
        <v>0</v>
      </c>
      <c r="AN12" s="43"/>
      <c r="AO12" s="12">
        <f>'APS Tubes by Date IMPORT'!B11</f>
        <v>44819</v>
      </c>
      <c r="AP12" s="54">
        <f>'APS Tubes by Date IMPORT'!C11</f>
        <v>10</v>
      </c>
      <c r="AQ12" s="54">
        <f>'APS Tubes by Date IMPORT'!D11</f>
        <v>10</v>
      </c>
      <c r="AR12" s="54">
        <f>'APS Tubes by Date IMPORT'!E11</f>
        <v>0</v>
      </c>
      <c r="AS12" s="54">
        <f>'APS Tubes by Date IMPORT'!F11</f>
        <v>0</v>
      </c>
      <c r="AT12" s="54">
        <f>'APS Tubes by Date IMPORT'!G11</f>
        <v>0</v>
      </c>
      <c r="AU12" s="43"/>
    </row>
    <row r="13">
      <c r="A13" s="7" t="s">
        <v>38</v>
      </c>
      <c r="B13" s="46">
        <f>VLOOKUP(A13,'ALL Tube Results'!$B$2:$D259,2,FALSE)</f>
        <v>44820</v>
      </c>
      <c r="C13" s="47">
        <f>COUNTIF('ALL Tube Results'!B12:B259, A13)
</f>
        <v>8</v>
      </c>
      <c r="D13" s="48">
        <f>COUNTIFS('ALL Tube Results'!$B12:$B259, $A13, 'ALL Tube Results'!$F12:$F259, "Negative")
</f>
        <v>8</v>
      </c>
      <c r="E13" s="48">
        <f>COUNTIFS('ALL Tube Results'!$B12:$B259, $A13, 'ALL Tube Results'!$F12:$F259, "Positive")
</f>
        <v>0</v>
      </c>
      <c r="F13" s="48">
        <f>COUNTIFS('ALL Tube Results'!$B12:$B259, $A13, 'ALL Tube Results'!$F12:$F259, "Inconclusive")
</f>
        <v>0</v>
      </c>
      <c r="G13" s="49">
        <f t="shared" si="7"/>
        <v>8</v>
      </c>
      <c r="H13" s="49" t="str">
        <f t="shared" si="8"/>
        <v/>
      </c>
      <c r="I13" s="50">
        <f t="shared" si="9"/>
        <v>8</v>
      </c>
      <c r="J13" s="51">
        <f t="shared" si="10"/>
        <v>0</v>
      </c>
      <c r="K13" s="51">
        <f t="shared" si="11"/>
        <v>0</v>
      </c>
      <c r="L13" s="51" t="str">
        <f t="shared" si="12"/>
        <v/>
      </c>
      <c r="M13" s="51" t="str">
        <f t="shared" si="13"/>
        <v/>
      </c>
      <c r="N13" s="51" t="str">
        <f t="shared" si="14"/>
        <v/>
      </c>
      <c r="O13" s="52">
        <f t="shared" si="15"/>
        <v>8</v>
      </c>
      <c r="P13" s="52" t="str">
        <f t="shared" si="16"/>
        <v/>
      </c>
      <c r="Q13" s="43"/>
      <c r="R13" s="7" t="s">
        <v>38</v>
      </c>
      <c r="S13" s="12">
        <v>44820.0</v>
      </c>
      <c r="T13" s="54">
        <f>VLOOKUP(R13,'Run Reconcile'!$A$2:$L259,12,FALSE)</f>
        <v>8</v>
      </c>
      <c r="U13" s="55" t="str">
        <f t="shared" si="17"/>
        <v/>
      </c>
      <c r="V13" s="54"/>
      <c r="W13" s="54"/>
      <c r="X13" s="43"/>
      <c r="Y13" s="7" t="str">
        <f>IFERROR(__xludf.DUMMYFUNCTION("""COMPUTED_VALUE"""),"RUN-ABRM_2022-09-16_RFR-015")</f>
        <v>RUN-ABRM_2022-09-16_RFR-015</v>
      </c>
      <c r="Z13" s="12">
        <f>IFERROR(__xludf.DUMMYFUNCTION("""COMPUTED_VALUE"""),44820.0)</f>
        <v>44820</v>
      </c>
      <c r="AA13" s="50">
        <f t="array" ref="AA13">INDEX('RFR Data - preExcl'!AK$2:AK259,$AE13,1)</f>
        <v>8</v>
      </c>
      <c r="AB13" s="54">
        <f t="shared" si="18"/>
        <v>8</v>
      </c>
      <c r="AC13" s="54">
        <f t="array" ref="AC13">INDEX('RFR Data - preExcl'!AI$2:AI259,$AE13,1)</f>
        <v>0</v>
      </c>
      <c r="AD13" s="54">
        <f t="array" ref="AD13">INDEX('RFR Data - preExcl'!AF$2:AF259,$AE13,1)</f>
        <v>0</v>
      </c>
      <c r="AE13" s="56">
        <f>IFNA(MATCH(Y13,'RFR Data - preExcl'!A$2:A259,0),"")</f>
        <v>15</v>
      </c>
      <c r="AF13" s="43"/>
      <c r="AG13" s="58" t="s">
        <v>38</v>
      </c>
      <c r="AH13" s="46">
        <f>VLOOKUP(AG13,'Run Reconcile'!A$2:B259,2,FALSE)</f>
        <v>44820</v>
      </c>
      <c r="AI13" s="54">
        <f>COUNTIF('APS Tubes IMPORT'!$V$2:$V259, AG13)
</f>
        <v>8</v>
      </c>
      <c r="AJ13" s="54">
        <f>COUNTIFS('APS Tubes IMPORT'!V$2:V259, AG13, 'APS Tubes IMPORT'!H$2:H259, "Negative")
</f>
        <v>8</v>
      </c>
      <c r="AK13" s="54">
        <f>COUNTIFS('APS Tubes IMPORT'!V12:V259, AG13, 'APS Tubes IMPORT'!H12:H259, "Positive")
</f>
        <v>0</v>
      </c>
      <c r="AL13" s="54">
        <f>COUNTIFS('APS Tubes IMPORT'!V12:V259, AG13, 'APS Tubes IMPORT'!H12:H259, "Inconclusive")
</f>
        <v>0</v>
      </c>
      <c r="AM13" s="54">
        <f>COUNTIFS('APS Tubes IMPORT'!V12:V259, AG13, 'APS Tubes IMPORT'!H12:H259, "Null")
</f>
        <v>0</v>
      </c>
      <c r="AN13" s="43"/>
      <c r="AO13" s="12">
        <f>'APS Tubes by Date IMPORT'!B12</f>
        <v>44820</v>
      </c>
      <c r="AP13" s="54">
        <f>'APS Tubes by Date IMPORT'!C12</f>
        <v>8</v>
      </c>
      <c r="AQ13" s="54">
        <f>'APS Tubes by Date IMPORT'!D12</f>
        <v>8</v>
      </c>
      <c r="AR13" s="54">
        <f>'APS Tubes by Date IMPORT'!E12</f>
        <v>0</v>
      </c>
      <c r="AS13" s="54">
        <f>'APS Tubes by Date IMPORT'!F12</f>
        <v>0</v>
      </c>
      <c r="AT13" s="54">
        <f>'APS Tubes by Date IMPORT'!G12</f>
        <v>0</v>
      </c>
      <c r="AU13" s="43"/>
    </row>
    <row r="14">
      <c r="A14" s="7" t="s">
        <v>39</v>
      </c>
      <c r="B14" s="46">
        <f>VLOOKUP(A14,'ALL Tube Results'!$B$2:$D259,2,FALSE)</f>
        <v>44823</v>
      </c>
      <c r="C14" s="47">
        <f>COUNTIF('ALL Tube Results'!B13:B259, A14)
</f>
        <v>10</v>
      </c>
      <c r="D14" s="48">
        <f>COUNTIFS('ALL Tube Results'!$B13:$B259, $A14, 'ALL Tube Results'!$F13:$F259, "Negative")
</f>
        <v>10</v>
      </c>
      <c r="E14" s="48">
        <f>COUNTIFS('ALL Tube Results'!$B13:$B259, $A14, 'ALL Tube Results'!$F13:$F259, "Positive")
</f>
        <v>0</v>
      </c>
      <c r="F14" s="48">
        <f>COUNTIFS('ALL Tube Results'!$B13:$B259, $A14, 'ALL Tube Results'!$F13:$F259, "Inconclusive")
</f>
        <v>0</v>
      </c>
      <c r="G14" s="49">
        <f t="shared" si="7"/>
        <v>10</v>
      </c>
      <c r="H14" s="49" t="str">
        <f t="shared" si="8"/>
        <v/>
      </c>
      <c r="I14" s="50">
        <f t="shared" si="9"/>
        <v>10</v>
      </c>
      <c r="J14" s="51">
        <f t="shared" si="10"/>
        <v>0</v>
      </c>
      <c r="K14" s="51">
        <f t="shared" si="11"/>
        <v>0</v>
      </c>
      <c r="L14" s="51" t="str">
        <f t="shared" si="12"/>
        <v/>
      </c>
      <c r="M14" s="51" t="str">
        <f t="shared" si="13"/>
        <v/>
      </c>
      <c r="N14" s="51" t="str">
        <f t="shared" si="14"/>
        <v/>
      </c>
      <c r="O14" s="52">
        <f t="shared" si="15"/>
        <v>10</v>
      </c>
      <c r="P14" s="52" t="str">
        <f t="shared" si="16"/>
        <v/>
      </c>
      <c r="Q14" s="43"/>
      <c r="R14" s="7" t="s">
        <v>39</v>
      </c>
      <c r="S14" s="12">
        <v>44823.0</v>
      </c>
      <c r="T14" s="54">
        <f>VLOOKUP(R14,'Run Reconcile'!$A$2:$L259,12,FALSE)</f>
        <v>10</v>
      </c>
      <c r="U14" s="55" t="str">
        <f t="shared" si="17"/>
        <v/>
      </c>
      <c r="V14" s="54"/>
      <c r="W14" s="54"/>
      <c r="X14" s="43"/>
      <c r="Y14" s="7" t="str">
        <f>IFERROR(__xludf.DUMMYFUNCTION("""COMPUTED_VALUE"""),"RUN-ABRM_2022-09-19_RFR-017")</f>
        <v>RUN-ABRM_2022-09-19_RFR-017</v>
      </c>
      <c r="Z14" s="12">
        <f>IFERROR(__xludf.DUMMYFUNCTION("""COMPUTED_VALUE"""),44823.0)</f>
        <v>44823</v>
      </c>
      <c r="AA14" s="50">
        <f t="array" ref="AA14">INDEX('RFR Data - preExcl'!AK$2:AK259,$AE14,1)</f>
        <v>10</v>
      </c>
      <c r="AB14" s="54">
        <f t="shared" si="18"/>
        <v>10</v>
      </c>
      <c r="AC14" s="54">
        <f t="array" ref="AC14">INDEX('RFR Data - preExcl'!AI$2:AI259,$AE14,1)</f>
        <v>0</v>
      </c>
      <c r="AD14" s="54">
        <f t="array" ref="AD14">INDEX('RFR Data - preExcl'!AF$2:AF259,$AE14,1)</f>
        <v>0</v>
      </c>
      <c r="AE14" s="56">
        <f>IFNA(MATCH(Y14,'RFR Data - preExcl'!A$2:A259,0),"")</f>
        <v>17</v>
      </c>
      <c r="AF14" s="43"/>
      <c r="AG14" s="58" t="s">
        <v>39</v>
      </c>
      <c r="AH14" s="46">
        <f>VLOOKUP(AG14,'Run Reconcile'!A$2:B259,2,FALSE)</f>
        <v>44823</v>
      </c>
      <c r="AI14" s="54">
        <f>COUNTIF('APS Tubes IMPORT'!$V$2:$V259, AG14)
</f>
        <v>10</v>
      </c>
      <c r="AJ14" s="54">
        <f>COUNTIFS('APS Tubes IMPORT'!V$2:V259, AG14, 'APS Tubes IMPORT'!H$2:H259, "Negative")
</f>
        <v>10</v>
      </c>
      <c r="AK14" s="54">
        <f>COUNTIFS('APS Tubes IMPORT'!V13:V259, AG14, 'APS Tubes IMPORT'!H13:H259, "Positive")
</f>
        <v>0</v>
      </c>
      <c r="AL14" s="54">
        <f>COUNTIFS('APS Tubes IMPORT'!V13:V259, AG14, 'APS Tubes IMPORT'!H13:H259, "Inconclusive")
</f>
        <v>0</v>
      </c>
      <c r="AM14" s="54">
        <f>COUNTIFS('APS Tubes IMPORT'!V13:V259, AG14, 'APS Tubes IMPORT'!H13:H259, "Null")
</f>
        <v>0</v>
      </c>
      <c r="AN14" s="43"/>
      <c r="AO14" s="12">
        <f>'APS Tubes by Date IMPORT'!B13</f>
        <v>44823</v>
      </c>
      <c r="AP14" s="54">
        <f>'APS Tubes by Date IMPORT'!C13</f>
        <v>10</v>
      </c>
      <c r="AQ14" s="54">
        <f>'APS Tubes by Date IMPORT'!D13</f>
        <v>10</v>
      </c>
      <c r="AR14" s="54">
        <f>'APS Tubes by Date IMPORT'!E13</f>
        <v>0</v>
      </c>
      <c r="AS14" s="54">
        <f>'APS Tubes by Date IMPORT'!F13</f>
        <v>0</v>
      </c>
      <c r="AT14" s="54">
        <f>'APS Tubes by Date IMPORT'!G13</f>
        <v>0</v>
      </c>
      <c r="AU14" s="43"/>
    </row>
    <row r="15">
      <c r="A15" s="7" t="s">
        <v>40</v>
      </c>
      <c r="B15" s="46">
        <f>VLOOKUP(A15,'ALL Tube Results'!$B$2:$D259,2,FALSE)</f>
        <v>44824</v>
      </c>
      <c r="C15" s="47">
        <f>COUNTIF('ALL Tube Results'!B14:B259, A15)
</f>
        <v>12</v>
      </c>
      <c r="D15" s="48">
        <f>COUNTIFS('ALL Tube Results'!$B14:$B259, $A15, 'ALL Tube Results'!$F14:$F259, "Negative")
</f>
        <v>12</v>
      </c>
      <c r="E15" s="48">
        <f>COUNTIFS('ALL Tube Results'!$B14:$B259, $A15, 'ALL Tube Results'!$F14:$F259, "Positive")
</f>
        <v>0</v>
      </c>
      <c r="F15" s="48">
        <f>COUNTIFS('ALL Tube Results'!$B14:$B259, $A15, 'ALL Tube Results'!$F14:$F259, "Inconclusive")
</f>
        <v>0</v>
      </c>
      <c r="G15" s="49">
        <f t="shared" si="7"/>
        <v>12</v>
      </c>
      <c r="H15" s="49" t="str">
        <f t="shared" si="8"/>
        <v/>
      </c>
      <c r="I15" s="50">
        <f t="shared" si="9"/>
        <v>12</v>
      </c>
      <c r="J15" s="51">
        <f t="shared" si="10"/>
        <v>0</v>
      </c>
      <c r="K15" s="51">
        <f t="shared" si="11"/>
        <v>0</v>
      </c>
      <c r="L15" s="51" t="str">
        <f t="shared" si="12"/>
        <v/>
      </c>
      <c r="M15" s="51" t="str">
        <f t="shared" si="13"/>
        <v/>
      </c>
      <c r="N15" s="51" t="str">
        <f t="shared" si="14"/>
        <v/>
      </c>
      <c r="O15" s="52">
        <f t="shared" si="15"/>
        <v>12</v>
      </c>
      <c r="P15" s="52" t="str">
        <f t="shared" si="16"/>
        <v/>
      </c>
      <c r="Q15" s="43"/>
      <c r="R15" s="7" t="s">
        <v>40</v>
      </c>
      <c r="S15" s="12">
        <v>44824.0</v>
      </c>
      <c r="T15" s="54">
        <f>VLOOKUP(R15,'Run Reconcile'!$A$2:$L259,12,FALSE)</f>
        <v>12</v>
      </c>
      <c r="U15" s="55" t="str">
        <f t="shared" si="17"/>
        <v/>
      </c>
      <c r="V15" s="54"/>
      <c r="W15" s="54"/>
      <c r="X15" s="43"/>
      <c r="Y15" s="7" t="str">
        <f>IFERROR(__xludf.DUMMYFUNCTION("""COMPUTED_VALUE"""),"RUN-ABRM_2022-09-20_RFR-018")</f>
        <v>RUN-ABRM_2022-09-20_RFR-018</v>
      </c>
      <c r="Z15" s="12">
        <f>IFERROR(__xludf.DUMMYFUNCTION("""COMPUTED_VALUE"""),44824.0)</f>
        <v>44824</v>
      </c>
      <c r="AA15" s="50">
        <f t="array" ref="AA15">INDEX('RFR Data - preExcl'!AK$2:AK259,$AE15,1)</f>
        <v>12</v>
      </c>
      <c r="AB15" s="54">
        <f t="shared" si="18"/>
        <v>12</v>
      </c>
      <c r="AC15" s="54">
        <f t="array" ref="AC15">INDEX('RFR Data - preExcl'!AI$2:AI259,$AE15,1)</f>
        <v>0</v>
      </c>
      <c r="AD15" s="54">
        <f t="array" ref="AD15">INDEX('RFR Data - preExcl'!AF$2:AF259,$AE15,1)</f>
        <v>0</v>
      </c>
      <c r="AE15" s="56">
        <f>IFNA(MATCH(Y15,'RFR Data - preExcl'!A$2:A259,0),"")</f>
        <v>18</v>
      </c>
      <c r="AF15" s="43"/>
      <c r="AG15" s="58" t="s">
        <v>40</v>
      </c>
      <c r="AH15" s="46">
        <f>VLOOKUP(AG15,'Run Reconcile'!A$2:B259,2,FALSE)</f>
        <v>44824</v>
      </c>
      <c r="AI15" s="54">
        <f>COUNTIF('APS Tubes IMPORT'!$V$2:$V259, AG15)
</f>
        <v>12</v>
      </c>
      <c r="AJ15" s="54">
        <f>COUNTIFS('APS Tubes IMPORT'!V$2:V259, AG15, 'APS Tubes IMPORT'!H$2:H259, "Negative")
</f>
        <v>12</v>
      </c>
      <c r="AK15" s="54">
        <f>COUNTIFS('APS Tubes IMPORT'!V14:V259, AG15, 'APS Tubes IMPORT'!H14:H259, "Positive")
</f>
        <v>0</v>
      </c>
      <c r="AL15" s="54">
        <f>COUNTIFS('APS Tubes IMPORT'!V14:V259, AG15, 'APS Tubes IMPORT'!H14:H259, "Inconclusive")
</f>
        <v>0</v>
      </c>
      <c r="AM15" s="54">
        <f>COUNTIFS('APS Tubes IMPORT'!V14:V259, AG15, 'APS Tubes IMPORT'!H14:H259, "Null")
</f>
        <v>0</v>
      </c>
      <c r="AN15" s="43"/>
      <c r="AO15" s="12">
        <f>'APS Tubes by Date IMPORT'!B14</f>
        <v>44824</v>
      </c>
      <c r="AP15" s="54">
        <f>'APS Tubes by Date IMPORT'!C14</f>
        <v>12</v>
      </c>
      <c r="AQ15" s="54">
        <f>'APS Tubes by Date IMPORT'!D14</f>
        <v>12</v>
      </c>
      <c r="AR15" s="54">
        <f>'APS Tubes by Date IMPORT'!E14</f>
        <v>0</v>
      </c>
      <c r="AS15" s="54">
        <f>'APS Tubes by Date IMPORT'!F14</f>
        <v>0</v>
      </c>
      <c r="AT15" s="54">
        <f>'APS Tubes by Date IMPORT'!G14</f>
        <v>0</v>
      </c>
      <c r="AU15" s="43"/>
    </row>
    <row r="16">
      <c r="A16" s="7" t="s">
        <v>41</v>
      </c>
      <c r="B16" s="46">
        <f>VLOOKUP(A16,'ALL Tube Results'!$B$2:$D259,2,FALSE)</f>
        <v>44825</v>
      </c>
      <c r="C16" s="47">
        <f>COUNTIF('ALL Tube Results'!B15:B259, A16)
</f>
        <v>10</v>
      </c>
      <c r="D16" s="48">
        <f>COUNTIFS('ALL Tube Results'!$B15:$B259, $A16, 'ALL Tube Results'!$F15:$F259, "Negative")
</f>
        <v>10</v>
      </c>
      <c r="E16" s="48">
        <f>COUNTIFS('ALL Tube Results'!$B15:$B259, $A16, 'ALL Tube Results'!$F15:$F259, "Positive")
</f>
        <v>0</v>
      </c>
      <c r="F16" s="48">
        <f>COUNTIFS('ALL Tube Results'!$B15:$B259, $A16, 'ALL Tube Results'!$F15:$F259, "Inconclusive")
</f>
        <v>0</v>
      </c>
      <c r="G16" s="49">
        <f t="shared" si="7"/>
        <v>10</v>
      </c>
      <c r="H16" s="49" t="str">
        <f t="shared" si="8"/>
        <v/>
      </c>
      <c r="I16" s="50">
        <f t="shared" si="9"/>
        <v>10</v>
      </c>
      <c r="J16" s="51">
        <f t="shared" si="10"/>
        <v>0</v>
      </c>
      <c r="K16" s="51">
        <f t="shared" si="11"/>
        <v>0</v>
      </c>
      <c r="L16" s="51" t="str">
        <f t="shared" si="12"/>
        <v/>
      </c>
      <c r="M16" s="51" t="str">
        <f t="shared" si="13"/>
        <v/>
      </c>
      <c r="N16" s="51" t="str">
        <f t="shared" si="14"/>
        <v/>
      </c>
      <c r="O16" s="52">
        <f t="shared" si="15"/>
        <v>10</v>
      </c>
      <c r="P16" s="52" t="str">
        <f t="shared" si="16"/>
        <v/>
      </c>
      <c r="Q16" s="43"/>
      <c r="R16" s="7" t="s">
        <v>41</v>
      </c>
      <c r="S16" s="12">
        <v>44825.0</v>
      </c>
      <c r="T16" s="54">
        <f>VLOOKUP(R16,'Run Reconcile'!$A$2:$L259,12,FALSE)</f>
        <v>10</v>
      </c>
      <c r="U16" s="55" t="str">
        <f t="shared" si="17"/>
        <v/>
      </c>
      <c r="V16" s="54"/>
      <c r="W16" s="54"/>
      <c r="X16" s="43"/>
      <c r="Y16" s="7" t="str">
        <f>IFERROR(__xludf.DUMMYFUNCTION("""COMPUTED_VALUE"""),"RUN-ABRM_2022-09-21_RFR-019")</f>
        <v>RUN-ABRM_2022-09-21_RFR-019</v>
      </c>
      <c r="Z16" s="12">
        <f>IFERROR(__xludf.DUMMYFUNCTION("""COMPUTED_VALUE"""),44825.0)</f>
        <v>44825</v>
      </c>
      <c r="AA16" s="50">
        <f t="array" ref="AA16">INDEX('RFR Data - preExcl'!AK$2:AK259,$AE16,1)</f>
        <v>10</v>
      </c>
      <c r="AB16" s="54">
        <f t="shared" si="18"/>
        <v>10</v>
      </c>
      <c r="AC16" s="54">
        <f t="array" ref="AC16">INDEX('RFR Data - preExcl'!AI$2:AI259,$AE16,1)</f>
        <v>0</v>
      </c>
      <c r="AD16" s="54">
        <f t="array" ref="AD16">INDEX('RFR Data - preExcl'!AF$2:AF259,$AE16,1)</f>
        <v>0</v>
      </c>
      <c r="AE16" s="56">
        <f>IFNA(MATCH(Y16,'RFR Data - preExcl'!A$2:A259,0),"")</f>
        <v>19</v>
      </c>
      <c r="AF16" s="43"/>
      <c r="AG16" s="58" t="s">
        <v>41</v>
      </c>
      <c r="AH16" s="46">
        <f>VLOOKUP(AG16,'Run Reconcile'!A$2:B259,2,FALSE)</f>
        <v>44825</v>
      </c>
      <c r="AI16" s="54">
        <f>COUNTIF('APS Tubes IMPORT'!$V$2:$V259, AG16)
</f>
        <v>10</v>
      </c>
      <c r="AJ16" s="54">
        <f>COUNTIFS('APS Tubes IMPORT'!V$2:V259, AG16, 'APS Tubes IMPORT'!H$2:H259, "Negative")
</f>
        <v>10</v>
      </c>
      <c r="AK16" s="54">
        <f>COUNTIFS('APS Tubes IMPORT'!V15:V259, AG16, 'APS Tubes IMPORT'!H15:H259, "Positive")
</f>
        <v>0</v>
      </c>
      <c r="AL16" s="54">
        <f>COUNTIFS('APS Tubes IMPORT'!V15:V259, AG16, 'APS Tubes IMPORT'!H15:H259, "Inconclusive")
</f>
        <v>0</v>
      </c>
      <c r="AM16" s="54">
        <f>COUNTIFS('APS Tubes IMPORT'!V15:V259, AG16, 'APS Tubes IMPORT'!H15:H259, "Null")
</f>
        <v>0</v>
      </c>
      <c r="AN16" s="43"/>
      <c r="AO16" s="12">
        <f>'APS Tubes by Date IMPORT'!B15</f>
        <v>44825</v>
      </c>
      <c r="AP16" s="54">
        <f>'APS Tubes by Date IMPORT'!C15</f>
        <v>10</v>
      </c>
      <c r="AQ16" s="54">
        <f>'APS Tubes by Date IMPORT'!D15</f>
        <v>10</v>
      </c>
      <c r="AR16" s="54">
        <f>'APS Tubes by Date IMPORT'!E15</f>
        <v>0</v>
      </c>
      <c r="AS16" s="54">
        <f>'APS Tubes by Date IMPORT'!F15</f>
        <v>0</v>
      </c>
      <c r="AT16" s="54">
        <f>'APS Tubes by Date IMPORT'!G15</f>
        <v>0</v>
      </c>
      <c r="AU16" s="43"/>
    </row>
    <row r="17">
      <c r="A17" s="7" t="s">
        <v>42</v>
      </c>
      <c r="B17" s="46">
        <f>VLOOKUP(A17,'ALL Tube Results'!$B$2:$D259,2,FALSE)</f>
        <v>44826</v>
      </c>
      <c r="C17" s="47">
        <f>COUNTIF('ALL Tube Results'!B16:B259, A17)
</f>
        <v>7</v>
      </c>
      <c r="D17" s="48">
        <f>COUNTIFS('ALL Tube Results'!$B16:$B259, $A17, 'ALL Tube Results'!$F16:$F259, "Negative")
</f>
        <v>7</v>
      </c>
      <c r="E17" s="48">
        <f>COUNTIFS('ALL Tube Results'!$B16:$B259, $A17, 'ALL Tube Results'!$F16:$F259, "Positive")
</f>
        <v>0</v>
      </c>
      <c r="F17" s="48">
        <f>COUNTIFS('ALL Tube Results'!$B16:$B259, $A17, 'ALL Tube Results'!$F16:$F259, "Inconclusive")
</f>
        <v>0</v>
      </c>
      <c r="G17" s="49">
        <f t="shared" si="7"/>
        <v>7</v>
      </c>
      <c r="H17" s="49" t="str">
        <f t="shared" si="8"/>
        <v/>
      </c>
      <c r="I17" s="50">
        <f t="shared" si="9"/>
        <v>7</v>
      </c>
      <c r="J17" s="51">
        <f t="shared" si="10"/>
        <v>0</v>
      </c>
      <c r="K17" s="51">
        <f t="shared" si="11"/>
        <v>0</v>
      </c>
      <c r="L17" s="51" t="str">
        <f t="shared" si="12"/>
        <v/>
      </c>
      <c r="M17" s="51" t="str">
        <f t="shared" si="13"/>
        <v/>
      </c>
      <c r="N17" s="51" t="str">
        <f t="shared" si="14"/>
        <v/>
      </c>
      <c r="O17" s="52">
        <f t="shared" si="15"/>
        <v>7</v>
      </c>
      <c r="P17" s="52" t="str">
        <f t="shared" si="16"/>
        <v/>
      </c>
      <c r="Q17" s="43"/>
      <c r="R17" s="7" t="s">
        <v>42</v>
      </c>
      <c r="S17" s="12">
        <v>44826.0</v>
      </c>
      <c r="T17" s="54">
        <f>VLOOKUP(R17,'Run Reconcile'!$A$2:$L259,12,FALSE)</f>
        <v>7</v>
      </c>
      <c r="U17" s="55" t="str">
        <f t="shared" si="17"/>
        <v/>
      </c>
      <c r="V17" s="54"/>
      <c r="W17" s="54"/>
      <c r="X17" s="43"/>
      <c r="Y17" s="7" t="str">
        <f>IFERROR(__xludf.DUMMYFUNCTION("""COMPUTED_VALUE"""),"RUN-ABRM_2022-09-22_RFR-021")</f>
        <v>RUN-ABRM_2022-09-22_RFR-021</v>
      </c>
      <c r="Z17" s="12">
        <f>IFERROR(__xludf.DUMMYFUNCTION("""COMPUTED_VALUE"""),44826.0)</f>
        <v>44826</v>
      </c>
      <c r="AA17" s="50">
        <f t="array" ref="AA17">INDEX('RFR Data - preExcl'!AK$2:AK259,$AE17,1)</f>
        <v>7</v>
      </c>
      <c r="AB17" s="54">
        <f t="shared" si="18"/>
        <v>7</v>
      </c>
      <c r="AC17" s="54">
        <f t="array" ref="AC17">INDEX('RFR Data - preExcl'!AI$2:AI259,$AE17,1)</f>
        <v>0</v>
      </c>
      <c r="AD17" s="54">
        <f t="array" ref="AD17">INDEX('RFR Data - preExcl'!AF$2:AF259,$AE17,1)</f>
        <v>0</v>
      </c>
      <c r="AE17" s="56">
        <f>IFNA(MATCH(Y17,'RFR Data - preExcl'!A$2:A259,0),"")</f>
        <v>21</v>
      </c>
      <c r="AF17" s="43"/>
      <c r="AG17" s="58" t="s">
        <v>42</v>
      </c>
      <c r="AH17" s="46">
        <f>VLOOKUP(AG17,'Run Reconcile'!A$2:B259,2,FALSE)</f>
        <v>44826</v>
      </c>
      <c r="AI17" s="54">
        <f>COUNTIF('APS Tubes IMPORT'!$V$2:$V259, AG17)
</f>
        <v>7</v>
      </c>
      <c r="AJ17" s="54">
        <f>COUNTIFS('APS Tubes IMPORT'!V$2:V259, AG17, 'APS Tubes IMPORT'!H$2:H259, "Negative")
</f>
        <v>7</v>
      </c>
      <c r="AK17" s="54">
        <f>COUNTIFS('APS Tubes IMPORT'!V16:V259, AG17, 'APS Tubes IMPORT'!H16:H259, "Positive")
</f>
        <v>0</v>
      </c>
      <c r="AL17" s="54">
        <f>COUNTIFS('APS Tubes IMPORT'!V16:V259, AG17, 'APS Tubes IMPORT'!H16:H259, "Inconclusive")
</f>
        <v>0</v>
      </c>
      <c r="AM17" s="54">
        <f>COUNTIFS('APS Tubes IMPORT'!V16:V259, AG17, 'APS Tubes IMPORT'!H16:H259, "Null")
</f>
        <v>0</v>
      </c>
      <c r="AN17" s="43"/>
      <c r="AO17" s="12">
        <f>'APS Tubes by Date IMPORT'!B16</f>
        <v>44826</v>
      </c>
      <c r="AP17" s="54">
        <f>'APS Tubes by Date IMPORT'!C16</f>
        <v>7</v>
      </c>
      <c r="AQ17" s="54">
        <f>'APS Tubes by Date IMPORT'!D16</f>
        <v>7</v>
      </c>
      <c r="AR17" s="54">
        <f>'APS Tubes by Date IMPORT'!E16</f>
        <v>0</v>
      </c>
      <c r="AS17" s="54">
        <f>'APS Tubes by Date IMPORT'!F16</f>
        <v>0</v>
      </c>
      <c r="AT17" s="54">
        <f>'APS Tubes by Date IMPORT'!G16</f>
        <v>0</v>
      </c>
      <c r="AU17" s="43"/>
    </row>
    <row r="18">
      <c r="A18" s="7" t="s">
        <v>43</v>
      </c>
      <c r="B18" s="46">
        <f>VLOOKUP(A18,'ALL Tube Results'!$B$2:$D259,2,FALSE)</f>
        <v>44827</v>
      </c>
      <c r="C18" s="47">
        <f>COUNTIF('ALL Tube Results'!B17:B259, A18)
</f>
        <v>9</v>
      </c>
      <c r="D18" s="48">
        <f>COUNTIFS('ALL Tube Results'!$B17:$B259, $A18, 'ALL Tube Results'!$F17:$F259, "Negative")
</f>
        <v>9</v>
      </c>
      <c r="E18" s="48">
        <f>COUNTIFS('ALL Tube Results'!$B17:$B259, $A18, 'ALL Tube Results'!$F17:$F259, "Positive")
</f>
        <v>0</v>
      </c>
      <c r="F18" s="48">
        <f>COUNTIFS('ALL Tube Results'!$B17:$B259, $A18, 'ALL Tube Results'!$F17:$F259, "Inconclusive")
</f>
        <v>0</v>
      </c>
      <c r="G18" s="49">
        <f t="shared" si="7"/>
        <v>9</v>
      </c>
      <c r="H18" s="49" t="str">
        <f t="shared" si="8"/>
        <v/>
      </c>
      <c r="I18" s="50">
        <f t="shared" si="9"/>
        <v>9</v>
      </c>
      <c r="J18" s="51">
        <f t="shared" si="10"/>
        <v>0</v>
      </c>
      <c r="K18" s="51">
        <f t="shared" si="11"/>
        <v>0</v>
      </c>
      <c r="L18" s="51" t="str">
        <f t="shared" si="12"/>
        <v/>
      </c>
      <c r="M18" s="51" t="str">
        <f t="shared" si="13"/>
        <v/>
      </c>
      <c r="N18" s="51" t="str">
        <f t="shared" si="14"/>
        <v/>
      </c>
      <c r="O18" s="52">
        <f t="shared" si="15"/>
        <v>9</v>
      </c>
      <c r="P18" s="52" t="str">
        <f t="shared" si="16"/>
        <v/>
      </c>
      <c r="Q18" s="43"/>
      <c r="R18" s="7" t="s">
        <v>43</v>
      </c>
      <c r="S18" s="12">
        <v>44827.0</v>
      </c>
      <c r="T18" s="54">
        <f>VLOOKUP(R18,'Run Reconcile'!$A$2:$L259,12,FALSE)</f>
        <v>9</v>
      </c>
      <c r="U18" s="55" t="str">
        <f t="shared" si="17"/>
        <v/>
      </c>
      <c r="V18" s="54"/>
      <c r="W18" s="54"/>
      <c r="X18" s="43"/>
      <c r="Y18" s="7" t="str">
        <f>IFERROR(__xludf.DUMMYFUNCTION("""COMPUTED_VALUE"""),"RUN-ABRM_2022-09-23_RFR-022")</f>
        <v>RUN-ABRM_2022-09-23_RFR-022</v>
      </c>
      <c r="Z18" s="12">
        <f>IFERROR(__xludf.DUMMYFUNCTION("""COMPUTED_VALUE"""),44827.0)</f>
        <v>44827</v>
      </c>
      <c r="AA18" s="50">
        <f t="array" ref="AA18">INDEX('RFR Data - preExcl'!AK$2:AK259,$AE18,1)</f>
        <v>9</v>
      </c>
      <c r="AB18" s="54">
        <f t="shared" si="18"/>
        <v>9</v>
      </c>
      <c r="AC18" s="54">
        <f t="array" ref="AC18">INDEX('RFR Data - preExcl'!AI$2:AI259,$AE18,1)</f>
        <v>0</v>
      </c>
      <c r="AD18" s="54">
        <f t="array" ref="AD18">INDEX('RFR Data - preExcl'!AF$2:AF259,$AE18,1)</f>
        <v>0</v>
      </c>
      <c r="AE18" s="56">
        <f>IFNA(MATCH(Y18,'RFR Data - preExcl'!A$2:A259,0),"")</f>
        <v>22</v>
      </c>
      <c r="AF18" s="43"/>
      <c r="AG18" s="58" t="s">
        <v>43</v>
      </c>
      <c r="AH18" s="46">
        <f>VLOOKUP(AG18,'Run Reconcile'!A$2:B259,2,FALSE)</f>
        <v>44827</v>
      </c>
      <c r="AI18" s="54">
        <f>COUNTIF('APS Tubes IMPORT'!$V$2:$V259, AG18)
</f>
        <v>9</v>
      </c>
      <c r="AJ18" s="54">
        <f>COUNTIFS('APS Tubes IMPORT'!V$2:V259, AG18, 'APS Tubes IMPORT'!H$2:H259, "Negative")
</f>
        <v>9</v>
      </c>
      <c r="AK18" s="54">
        <f>COUNTIFS('APS Tubes IMPORT'!V17:V259, AG18, 'APS Tubes IMPORT'!H17:H259, "Positive")
</f>
        <v>0</v>
      </c>
      <c r="AL18" s="54">
        <f>COUNTIFS('APS Tubes IMPORT'!V17:V259, AG18, 'APS Tubes IMPORT'!H17:H259, "Inconclusive")
</f>
        <v>0</v>
      </c>
      <c r="AM18" s="54">
        <f>COUNTIFS('APS Tubes IMPORT'!V17:V259, AG18, 'APS Tubes IMPORT'!H17:H259, "Null")
</f>
        <v>0</v>
      </c>
      <c r="AN18" s="43"/>
      <c r="AO18" s="12">
        <f>'APS Tubes by Date IMPORT'!B17</f>
        <v>44827</v>
      </c>
      <c r="AP18" s="54">
        <f>'APS Tubes by Date IMPORT'!C17</f>
        <v>9</v>
      </c>
      <c r="AQ18" s="54">
        <f>'APS Tubes by Date IMPORT'!D17</f>
        <v>9</v>
      </c>
      <c r="AR18" s="54">
        <f>'APS Tubes by Date IMPORT'!E17</f>
        <v>0</v>
      </c>
      <c r="AS18" s="54">
        <f>'APS Tubes by Date IMPORT'!F17</f>
        <v>0</v>
      </c>
      <c r="AT18" s="54">
        <f>'APS Tubes by Date IMPORT'!G17</f>
        <v>0</v>
      </c>
      <c r="AU18" s="43"/>
    </row>
    <row r="19">
      <c r="A19" s="7" t="s">
        <v>44</v>
      </c>
      <c r="B19" s="46">
        <f>VLOOKUP(A19,'ALL Tube Results'!$B$2:$D259,2,FALSE)</f>
        <v>44830</v>
      </c>
      <c r="C19" s="47">
        <f>COUNTIF('ALL Tube Results'!B18:B259, A19)
</f>
        <v>12</v>
      </c>
      <c r="D19" s="48">
        <f>COUNTIFS('ALL Tube Results'!$B18:$B259, $A19, 'ALL Tube Results'!$F18:$F259, "Negative")
</f>
        <v>12</v>
      </c>
      <c r="E19" s="48">
        <f>COUNTIFS('ALL Tube Results'!$B18:$B259, $A19, 'ALL Tube Results'!$F18:$F259, "Positive")
</f>
        <v>0</v>
      </c>
      <c r="F19" s="48">
        <f>COUNTIFS('ALL Tube Results'!$B18:$B259, $A19, 'ALL Tube Results'!$F18:$F259, "Inconclusive")
</f>
        <v>0</v>
      </c>
      <c r="G19" s="49">
        <f t="shared" si="7"/>
        <v>12</v>
      </c>
      <c r="H19" s="49" t="str">
        <f t="shared" si="8"/>
        <v/>
      </c>
      <c r="I19" s="50">
        <f t="shared" si="9"/>
        <v>12</v>
      </c>
      <c r="J19" s="51">
        <f t="shared" si="10"/>
        <v>0</v>
      </c>
      <c r="K19" s="51">
        <f t="shared" si="11"/>
        <v>0</v>
      </c>
      <c r="L19" s="51" t="str">
        <f t="shared" si="12"/>
        <v/>
      </c>
      <c r="M19" s="51" t="str">
        <f t="shared" si="13"/>
        <v/>
      </c>
      <c r="N19" s="51" t="str">
        <f t="shared" si="14"/>
        <v/>
      </c>
      <c r="O19" s="52">
        <f t="shared" si="15"/>
        <v>12</v>
      </c>
      <c r="P19" s="52" t="str">
        <f t="shared" si="16"/>
        <v/>
      </c>
      <c r="Q19" s="43"/>
      <c r="R19" s="7" t="s">
        <v>44</v>
      </c>
      <c r="S19" s="12">
        <v>44830.0</v>
      </c>
      <c r="T19" s="54">
        <f>VLOOKUP(R19,'Run Reconcile'!$A$2:$L259,12,FALSE)</f>
        <v>12</v>
      </c>
      <c r="U19" s="55" t="str">
        <f t="shared" si="17"/>
        <v/>
      </c>
      <c r="V19" s="54"/>
      <c r="W19" s="54"/>
      <c r="X19" s="43"/>
      <c r="Y19" s="7" t="str">
        <f>IFERROR(__xludf.DUMMYFUNCTION("""COMPUTED_VALUE"""),"RUN-ABRM_2022-09-26_RFR-023")</f>
        <v>RUN-ABRM_2022-09-26_RFR-023</v>
      </c>
      <c r="Z19" s="12">
        <f>IFERROR(__xludf.DUMMYFUNCTION("""COMPUTED_VALUE"""),44830.0)</f>
        <v>44830</v>
      </c>
      <c r="AA19" s="50">
        <f t="array" ref="AA19">INDEX('RFR Data - preExcl'!AK$2:AK259,$AE19,1)</f>
        <v>12</v>
      </c>
      <c r="AB19" s="54">
        <f t="shared" si="18"/>
        <v>12</v>
      </c>
      <c r="AC19" s="54">
        <f t="array" ref="AC19">INDEX('RFR Data - preExcl'!AI$2:AI259,$AE19,1)</f>
        <v>0</v>
      </c>
      <c r="AD19" s="54">
        <f t="array" ref="AD19">INDEX('RFR Data - preExcl'!AF$2:AF259,$AE19,1)</f>
        <v>0</v>
      </c>
      <c r="AE19" s="56">
        <f>IFNA(MATCH(Y19,'RFR Data - preExcl'!A$2:A259,0),"")</f>
        <v>23</v>
      </c>
      <c r="AF19" s="43"/>
      <c r="AG19" s="58" t="s">
        <v>44</v>
      </c>
      <c r="AH19" s="46">
        <f>VLOOKUP(AG19,'Run Reconcile'!A$2:B259,2,FALSE)</f>
        <v>44830</v>
      </c>
      <c r="AI19" s="54">
        <f>COUNTIF('APS Tubes IMPORT'!$V$2:$V259, AG19)
</f>
        <v>12</v>
      </c>
      <c r="AJ19" s="54">
        <f>COUNTIFS('APS Tubes IMPORT'!V$2:V259, AG19, 'APS Tubes IMPORT'!H$2:H259, "Negative")
</f>
        <v>12</v>
      </c>
      <c r="AK19" s="54">
        <f>COUNTIFS('APS Tubes IMPORT'!V18:V259, AG19, 'APS Tubes IMPORT'!H18:H259, "Positive")
</f>
        <v>0</v>
      </c>
      <c r="AL19" s="54">
        <f>COUNTIFS('APS Tubes IMPORT'!V18:V259, AG19, 'APS Tubes IMPORT'!H18:H259, "Inconclusive")
</f>
        <v>0</v>
      </c>
      <c r="AM19" s="54">
        <f>COUNTIFS('APS Tubes IMPORT'!V18:V259, AG19, 'APS Tubes IMPORT'!H18:H259, "Null")
</f>
        <v>0</v>
      </c>
      <c r="AN19" s="43"/>
      <c r="AO19" s="12">
        <f>'APS Tubes by Date IMPORT'!B18</f>
        <v>44830</v>
      </c>
      <c r="AP19" s="54">
        <f>'APS Tubes by Date IMPORT'!C18</f>
        <v>12</v>
      </c>
      <c r="AQ19" s="54">
        <f>'APS Tubes by Date IMPORT'!D18</f>
        <v>12</v>
      </c>
      <c r="AR19" s="54">
        <f>'APS Tubes by Date IMPORT'!E18</f>
        <v>0</v>
      </c>
      <c r="AS19" s="54">
        <f>'APS Tubes by Date IMPORT'!F18</f>
        <v>0</v>
      </c>
      <c r="AT19" s="54">
        <f>'APS Tubes by Date IMPORT'!G18</f>
        <v>0</v>
      </c>
      <c r="AU19" s="43"/>
    </row>
    <row r="20">
      <c r="A20" s="7" t="s">
        <v>45</v>
      </c>
      <c r="B20" s="46">
        <f>VLOOKUP(A20,'ALL Tube Results'!$B$2:$D259,2,FALSE)</f>
        <v>44831</v>
      </c>
      <c r="C20" s="47">
        <f>COUNTIF('ALL Tube Results'!B19:B259, A20)
</f>
        <v>12</v>
      </c>
      <c r="D20" s="48">
        <f>COUNTIFS('ALL Tube Results'!$B19:$B259, $A20, 'ALL Tube Results'!$F19:$F259, "Negative")
</f>
        <v>12</v>
      </c>
      <c r="E20" s="48">
        <f>COUNTIFS('ALL Tube Results'!$B19:$B259, $A20, 'ALL Tube Results'!$F19:$F259, "Positive")
</f>
        <v>0</v>
      </c>
      <c r="F20" s="48">
        <f>COUNTIFS('ALL Tube Results'!$B19:$B259, $A20, 'ALL Tube Results'!$F19:$F259, "Inconclusive")
</f>
        <v>0</v>
      </c>
      <c r="G20" s="49">
        <f t="shared" si="7"/>
        <v>12</v>
      </c>
      <c r="H20" s="49" t="str">
        <f t="shared" si="8"/>
        <v/>
      </c>
      <c r="I20" s="50">
        <f t="shared" si="9"/>
        <v>12</v>
      </c>
      <c r="J20" s="51">
        <f t="shared" si="10"/>
        <v>0</v>
      </c>
      <c r="K20" s="51">
        <f t="shared" si="11"/>
        <v>0</v>
      </c>
      <c r="L20" s="51" t="str">
        <f t="shared" si="12"/>
        <v/>
      </c>
      <c r="M20" s="51" t="str">
        <f t="shared" si="13"/>
        <v/>
      </c>
      <c r="N20" s="51" t="str">
        <f t="shared" si="14"/>
        <v/>
      </c>
      <c r="O20" s="52">
        <f t="shared" si="15"/>
        <v>12</v>
      </c>
      <c r="P20" s="52" t="str">
        <f t="shared" si="16"/>
        <v/>
      </c>
      <c r="Q20" s="43"/>
      <c r="R20" s="7" t="s">
        <v>45</v>
      </c>
      <c r="S20" s="12">
        <v>44831.0</v>
      </c>
      <c r="T20" s="54">
        <f>VLOOKUP(R20,'Run Reconcile'!$A$2:$L259,12,FALSE)</f>
        <v>12</v>
      </c>
      <c r="U20" s="55" t="str">
        <f t="shared" si="17"/>
        <v/>
      </c>
      <c r="V20" s="54"/>
      <c r="W20" s="54"/>
      <c r="X20" s="43"/>
      <c r="Y20" s="7" t="str">
        <f>IFERROR(__xludf.DUMMYFUNCTION("""COMPUTED_VALUE"""),"RUN-ABRM_2022-09-27_RFR-025")</f>
        <v>RUN-ABRM_2022-09-27_RFR-025</v>
      </c>
      <c r="Z20" s="12">
        <f>IFERROR(__xludf.DUMMYFUNCTION("""COMPUTED_VALUE"""),44831.0)</f>
        <v>44831</v>
      </c>
      <c r="AA20" s="50">
        <f t="array" ref="AA20">INDEX('RFR Data - preExcl'!AK$2:AK259,$AE20,1)</f>
        <v>12</v>
      </c>
      <c r="AB20" s="54">
        <f t="shared" si="18"/>
        <v>12</v>
      </c>
      <c r="AC20" s="54">
        <f t="array" ref="AC20">INDEX('RFR Data - preExcl'!AI$2:AI259,$AE20,1)</f>
        <v>0</v>
      </c>
      <c r="AD20" s="54">
        <f t="array" ref="AD20">INDEX('RFR Data - preExcl'!AF$2:AF259,$AE20,1)</f>
        <v>0</v>
      </c>
      <c r="AE20" s="56">
        <f>IFNA(MATCH(Y20,'RFR Data - preExcl'!A$2:A259,0),"")</f>
        <v>25</v>
      </c>
      <c r="AF20" s="43"/>
      <c r="AG20" s="58" t="s">
        <v>45</v>
      </c>
      <c r="AH20" s="46">
        <f>VLOOKUP(AG20,'Run Reconcile'!A$2:B259,2,FALSE)</f>
        <v>44831</v>
      </c>
      <c r="AI20" s="54">
        <f>COUNTIF('APS Tubes IMPORT'!$V$2:$V259, AG20)
</f>
        <v>12</v>
      </c>
      <c r="AJ20" s="54">
        <f>COUNTIFS('APS Tubes IMPORT'!V$2:V259, AG20, 'APS Tubes IMPORT'!H$2:H259, "Negative")
</f>
        <v>12</v>
      </c>
      <c r="AK20" s="54">
        <f>COUNTIFS('APS Tubes IMPORT'!V19:V259, AG20, 'APS Tubes IMPORT'!H19:H259, "Positive")
</f>
        <v>0</v>
      </c>
      <c r="AL20" s="54">
        <f>COUNTIFS('APS Tubes IMPORT'!V19:V259, AG20, 'APS Tubes IMPORT'!H19:H259, "Inconclusive")
</f>
        <v>0</v>
      </c>
      <c r="AM20" s="54">
        <f>COUNTIFS('APS Tubes IMPORT'!V19:V259, AG20, 'APS Tubes IMPORT'!H19:H259, "Null")
</f>
        <v>0</v>
      </c>
      <c r="AN20" s="43"/>
      <c r="AO20" s="12">
        <f>'APS Tubes by Date IMPORT'!B19</f>
        <v>44831</v>
      </c>
      <c r="AP20" s="54">
        <f>'APS Tubes by Date IMPORT'!C19</f>
        <v>12</v>
      </c>
      <c r="AQ20" s="54">
        <f>'APS Tubes by Date IMPORT'!D19</f>
        <v>12</v>
      </c>
      <c r="AR20" s="54">
        <f>'APS Tubes by Date IMPORT'!E19</f>
        <v>0</v>
      </c>
      <c r="AS20" s="54">
        <f>'APS Tubes by Date IMPORT'!F19</f>
        <v>0</v>
      </c>
      <c r="AT20" s="54">
        <f>'APS Tubes by Date IMPORT'!G19</f>
        <v>0</v>
      </c>
      <c r="AU20" s="43"/>
    </row>
    <row r="21">
      <c r="A21" s="7" t="s">
        <v>46</v>
      </c>
      <c r="B21" s="46">
        <f>VLOOKUP(A21,'ALL Tube Results'!$B$2:$D259,2,FALSE)</f>
        <v>44832</v>
      </c>
      <c r="C21" s="47">
        <f>COUNTIF('ALL Tube Results'!B20:B259, A21)
</f>
        <v>12</v>
      </c>
      <c r="D21" s="48">
        <f>COUNTIFS('ALL Tube Results'!$B20:$B259, $A21, 'ALL Tube Results'!$F20:$F259, "Negative")
</f>
        <v>12</v>
      </c>
      <c r="E21" s="48">
        <f>COUNTIFS('ALL Tube Results'!$B20:$B259, $A21, 'ALL Tube Results'!$F20:$F259, "Positive")
</f>
        <v>0</v>
      </c>
      <c r="F21" s="48">
        <f>COUNTIFS('ALL Tube Results'!$B20:$B259, $A21, 'ALL Tube Results'!$F20:$F259, "Inconclusive")
</f>
        <v>0</v>
      </c>
      <c r="G21" s="49">
        <f t="shared" si="7"/>
        <v>12</v>
      </c>
      <c r="H21" s="49" t="str">
        <f t="shared" si="8"/>
        <v/>
      </c>
      <c r="I21" s="50">
        <f t="shared" si="9"/>
        <v>12</v>
      </c>
      <c r="J21" s="51">
        <f t="shared" si="10"/>
        <v>0</v>
      </c>
      <c r="K21" s="51">
        <f t="shared" si="11"/>
        <v>0</v>
      </c>
      <c r="L21" s="51" t="str">
        <f t="shared" si="12"/>
        <v/>
      </c>
      <c r="M21" s="51" t="str">
        <f t="shared" si="13"/>
        <v/>
      </c>
      <c r="N21" s="51" t="str">
        <f t="shared" si="14"/>
        <v/>
      </c>
      <c r="O21" s="52">
        <f t="shared" si="15"/>
        <v>12</v>
      </c>
      <c r="P21" s="52" t="str">
        <f t="shared" si="16"/>
        <v/>
      </c>
      <c r="Q21" s="43"/>
      <c r="R21" s="7" t="s">
        <v>46</v>
      </c>
      <c r="S21" s="12">
        <v>44832.0</v>
      </c>
      <c r="T21" s="54">
        <f>VLOOKUP(R21,'Run Reconcile'!$A$2:$L259,12,FALSE)</f>
        <v>12</v>
      </c>
      <c r="U21" s="55" t="str">
        <f t="shared" si="17"/>
        <v/>
      </c>
      <c r="V21" s="54"/>
      <c r="W21" s="54"/>
      <c r="X21" s="43"/>
      <c r="Y21" s="7" t="str">
        <f>IFERROR(__xludf.DUMMYFUNCTION("""COMPUTED_VALUE"""),"RUN-ABRM_2022-09-28_RFR-026")</f>
        <v>RUN-ABRM_2022-09-28_RFR-026</v>
      </c>
      <c r="Z21" s="12">
        <f>IFERROR(__xludf.DUMMYFUNCTION("""COMPUTED_VALUE"""),44832.0)</f>
        <v>44832</v>
      </c>
      <c r="AA21" s="50">
        <f t="array" ref="AA21">INDEX('RFR Data - preExcl'!AK$2:AK259,$AE21,1)</f>
        <v>12</v>
      </c>
      <c r="AB21" s="54">
        <f t="shared" si="18"/>
        <v>12</v>
      </c>
      <c r="AC21" s="54">
        <f t="array" ref="AC21">INDEX('RFR Data - preExcl'!AI$2:AI259,$AE21,1)</f>
        <v>0</v>
      </c>
      <c r="AD21" s="54">
        <f t="array" ref="AD21">INDEX('RFR Data - preExcl'!AF$2:AF259,$AE21,1)</f>
        <v>0</v>
      </c>
      <c r="AE21" s="56">
        <f>IFNA(MATCH(Y21,'RFR Data - preExcl'!A$2:A259,0),"")</f>
        <v>26</v>
      </c>
      <c r="AF21" s="43"/>
      <c r="AG21" s="58" t="s">
        <v>46</v>
      </c>
      <c r="AH21" s="46">
        <f>VLOOKUP(AG21,'Run Reconcile'!A$2:B259,2,FALSE)</f>
        <v>44832</v>
      </c>
      <c r="AI21" s="54">
        <f>COUNTIF('APS Tubes IMPORT'!$V$2:$V259, AG21)
</f>
        <v>12</v>
      </c>
      <c r="AJ21" s="54">
        <f>COUNTIFS('APS Tubes IMPORT'!V$2:V259, AG21, 'APS Tubes IMPORT'!H$2:H259, "Negative")
</f>
        <v>12</v>
      </c>
      <c r="AK21" s="54">
        <f>COUNTIFS('APS Tubes IMPORT'!V20:V259, AG21, 'APS Tubes IMPORT'!H20:H259, "Positive")
</f>
        <v>0</v>
      </c>
      <c r="AL21" s="54">
        <f>COUNTIFS('APS Tubes IMPORT'!V20:V259, AG21, 'APS Tubes IMPORT'!H20:H259, "Inconclusive")
</f>
        <v>0</v>
      </c>
      <c r="AM21" s="54">
        <f>COUNTIFS('APS Tubes IMPORT'!V20:V259, AG21, 'APS Tubes IMPORT'!H20:H259, "Null")
</f>
        <v>0</v>
      </c>
      <c r="AN21" s="43"/>
      <c r="AO21" s="12">
        <f>'APS Tubes by Date IMPORT'!B20</f>
        <v>44832</v>
      </c>
      <c r="AP21" s="54">
        <f>'APS Tubes by Date IMPORT'!C20</f>
        <v>12</v>
      </c>
      <c r="AQ21" s="54">
        <f>'APS Tubes by Date IMPORT'!D20</f>
        <v>12</v>
      </c>
      <c r="AR21" s="54">
        <f>'APS Tubes by Date IMPORT'!E20</f>
        <v>0</v>
      </c>
      <c r="AS21" s="54">
        <f>'APS Tubes by Date IMPORT'!F20</f>
        <v>0</v>
      </c>
      <c r="AT21" s="54">
        <f>'APS Tubes by Date IMPORT'!G20</f>
        <v>0</v>
      </c>
      <c r="AU21" s="43"/>
    </row>
    <row r="22">
      <c r="A22" s="7" t="s">
        <v>47</v>
      </c>
      <c r="B22" s="46">
        <f>VLOOKUP(A22,'ALL Tube Results'!$B$2:$D259,2,FALSE)</f>
        <v>44833</v>
      </c>
      <c r="C22" s="47">
        <f>COUNTIF('ALL Tube Results'!B21:B259, A22)
</f>
        <v>13</v>
      </c>
      <c r="D22" s="48">
        <f>COUNTIFS('ALL Tube Results'!$B21:$B259, $A22, 'ALL Tube Results'!$F21:$F259, "Negative")
</f>
        <v>13</v>
      </c>
      <c r="E22" s="48">
        <f>COUNTIFS('ALL Tube Results'!$B21:$B259, $A22, 'ALL Tube Results'!$F21:$F259, "Positive")
</f>
        <v>0</v>
      </c>
      <c r="F22" s="48">
        <f>COUNTIFS('ALL Tube Results'!$B21:$B259, $A22, 'ALL Tube Results'!$F21:$F259, "Inconclusive")
</f>
        <v>0</v>
      </c>
      <c r="G22" s="49">
        <f t="shared" si="7"/>
        <v>13</v>
      </c>
      <c r="H22" s="49" t="str">
        <f t="shared" si="8"/>
        <v/>
      </c>
      <c r="I22" s="50">
        <f t="shared" si="9"/>
        <v>13</v>
      </c>
      <c r="J22" s="51">
        <f t="shared" si="10"/>
        <v>0</v>
      </c>
      <c r="K22" s="51">
        <f t="shared" si="11"/>
        <v>0</v>
      </c>
      <c r="L22" s="51" t="str">
        <f t="shared" si="12"/>
        <v/>
      </c>
      <c r="M22" s="51" t="str">
        <f t="shared" si="13"/>
        <v/>
      </c>
      <c r="N22" s="51" t="str">
        <f t="shared" si="14"/>
        <v/>
      </c>
      <c r="O22" s="52">
        <f t="shared" si="15"/>
        <v>13</v>
      </c>
      <c r="P22" s="52" t="str">
        <f t="shared" si="16"/>
        <v/>
      </c>
      <c r="Q22" s="43"/>
      <c r="R22" s="7" t="s">
        <v>47</v>
      </c>
      <c r="S22" s="12">
        <v>44833.0</v>
      </c>
      <c r="T22" s="54">
        <f>VLOOKUP(R22,'Run Reconcile'!$A$2:$L259,12,FALSE)</f>
        <v>13</v>
      </c>
      <c r="U22" s="55" t="str">
        <f t="shared" si="17"/>
        <v/>
      </c>
      <c r="V22" s="54"/>
      <c r="W22" s="54"/>
      <c r="X22" s="43"/>
      <c r="Y22" s="7" t="str">
        <f>IFERROR(__xludf.DUMMYFUNCTION("""COMPUTED_VALUE"""),"RUN-ABRM_2022-09-29_RFR-028")</f>
        <v>RUN-ABRM_2022-09-29_RFR-028</v>
      </c>
      <c r="Z22" s="12">
        <f>IFERROR(__xludf.DUMMYFUNCTION("""COMPUTED_VALUE"""),44833.0)</f>
        <v>44833</v>
      </c>
      <c r="AA22" s="50">
        <f t="array" ref="AA22">INDEX('RFR Data - preExcl'!AK$2:AK259,$AE22,1)</f>
        <v>13</v>
      </c>
      <c r="AB22" s="54">
        <f t="shared" si="18"/>
        <v>13</v>
      </c>
      <c r="AC22" s="54">
        <f t="array" ref="AC22">INDEX('RFR Data - preExcl'!AI$2:AI259,$AE22,1)</f>
        <v>0</v>
      </c>
      <c r="AD22" s="54">
        <f t="array" ref="AD22">INDEX('RFR Data - preExcl'!AF$2:AF259,$AE22,1)</f>
        <v>0</v>
      </c>
      <c r="AE22" s="56">
        <f>IFNA(MATCH(Y22,'RFR Data - preExcl'!A$2:A259,0),"")</f>
        <v>28</v>
      </c>
      <c r="AF22" s="43"/>
      <c r="AG22" s="58" t="s">
        <v>47</v>
      </c>
      <c r="AH22" s="46">
        <f>VLOOKUP(AG22,'Run Reconcile'!A$2:B259,2,FALSE)</f>
        <v>44833</v>
      </c>
      <c r="AI22" s="54">
        <f>COUNTIF('APS Tubes IMPORT'!$V$2:$V259, AG22)
</f>
        <v>13</v>
      </c>
      <c r="AJ22" s="54">
        <f>COUNTIFS('APS Tubes IMPORT'!V$2:V259, AG22, 'APS Tubes IMPORT'!H$2:H259, "Negative")
</f>
        <v>13</v>
      </c>
      <c r="AK22" s="54">
        <f>COUNTIFS('APS Tubes IMPORT'!V21:V259, AG22, 'APS Tubes IMPORT'!H21:H259, "Positive")
</f>
        <v>0</v>
      </c>
      <c r="AL22" s="54">
        <f>COUNTIFS('APS Tubes IMPORT'!V21:V259, AG22, 'APS Tubes IMPORT'!H21:H259, "Inconclusive")
</f>
        <v>0</v>
      </c>
      <c r="AM22" s="54">
        <f>COUNTIFS('APS Tubes IMPORT'!V21:V259, AG22, 'APS Tubes IMPORT'!H21:H259, "Null")
</f>
        <v>0</v>
      </c>
      <c r="AN22" s="43"/>
      <c r="AO22" s="12">
        <f>'APS Tubes by Date IMPORT'!B21</f>
        <v>44833</v>
      </c>
      <c r="AP22" s="54">
        <f>'APS Tubes by Date IMPORT'!C21</f>
        <v>13</v>
      </c>
      <c r="AQ22" s="54">
        <f>'APS Tubes by Date IMPORT'!D21</f>
        <v>13</v>
      </c>
      <c r="AR22" s="54">
        <f>'APS Tubes by Date IMPORT'!E21</f>
        <v>0</v>
      </c>
      <c r="AS22" s="54">
        <f>'APS Tubes by Date IMPORT'!F21</f>
        <v>0</v>
      </c>
      <c r="AT22" s="54">
        <f>'APS Tubes by Date IMPORT'!G21</f>
        <v>0</v>
      </c>
      <c r="AU22" s="43"/>
    </row>
    <row r="23">
      <c r="A23" s="7" t="s">
        <v>48</v>
      </c>
      <c r="B23" s="46">
        <f>VLOOKUP(A23,'ALL Tube Results'!$B$2:$D259,2,FALSE)</f>
        <v>44834</v>
      </c>
      <c r="C23" s="47">
        <f>COUNTIF('ALL Tube Results'!B22:B259, A23)
</f>
        <v>10</v>
      </c>
      <c r="D23" s="48">
        <f>COUNTIFS('ALL Tube Results'!$B22:$B259, $A23, 'ALL Tube Results'!$F22:$F259, "Negative")
</f>
        <v>10</v>
      </c>
      <c r="E23" s="48">
        <f>COUNTIFS('ALL Tube Results'!$B22:$B259, $A23, 'ALL Tube Results'!$F22:$F259, "Positive")
</f>
        <v>0</v>
      </c>
      <c r="F23" s="48">
        <f>COUNTIFS('ALL Tube Results'!$B22:$B259, $A23, 'ALL Tube Results'!$F22:$F259, "Inconclusive")
</f>
        <v>0</v>
      </c>
      <c r="G23" s="49">
        <f t="shared" si="7"/>
        <v>10</v>
      </c>
      <c r="H23" s="49" t="str">
        <f t="shared" si="8"/>
        <v/>
      </c>
      <c r="I23" s="50">
        <f t="shared" si="9"/>
        <v>10</v>
      </c>
      <c r="J23" s="51">
        <f t="shared" si="10"/>
        <v>0</v>
      </c>
      <c r="K23" s="51">
        <f t="shared" si="11"/>
        <v>0</v>
      </c>
      <c r="L23" s="51" t="str">
        <f t="shared" si="12"/>
        <v/>
      </c>
      <c r="M23" s="51" t="str">
        <f t="shared" si="13"/>
        <v/>
      </c>
      <c r="N23" s="51" t="str">
        <f t="shared" si="14"/>
        <v/>
      </c>
      <c r="O23" s="52">
        <f t="shared" si="15"/>
        <v>10</v>
      </c>
      <c r="P23" s="52" t="str">
        <f t="shared" si="16"/>
        <v/>
      </c>
      <c r="Q23" s="43"/>
      <c r="R23" s="7" t="s">
        <v>48</v>
      </c>
      <c r="S23" s="12">
        <v>44834.0</v>
      </c>
      <c r="T23" s="54">
        <f>VLOOKUP(R23,'Run Reconcile'!$A$2:$L259,12,FALSE)</f>
        <v>10</v>
      </c>
      <c r="U23" s="55" t="str">
        <f t="shared" si="17"/>
        <v/>
      </c>
      <c r="V23" s="54"/>
      <c r="W23" s="54"/>
      <c r="X23" s="43"/>
      <c r="Y23" s="7" t="str">
        <f>IFERROR(__xludf.DUMMYFUNCTION("""COMPUTED_VALUE"""),"RUN-ABRM_2022-09-30_RFR-030")</f>
        <v>RUN-ABRM_2022-09-30_RFR-030</v>
      </c>
      <c r="Z23" s="12">
        <f>IFERROR(__xludf.DUMMYFUNCTION("""COMPUTED_VALUE"""),44834.0)</f>
        <v>44834</v>
      </c>
      <c r="AA23" s="50">
        <f t="array" ref="AA23">INDEX('RFR Data - preExcl'!AK$2:AK259,$AE23,1)</f>
        <v>10</v>
      </c>
      <c r="AB23" s="54">
        <f t="shared" si="18"/>
        <v>10</v>
      </c>
      <c r="AC23" s="54">
        <f t="array" ref="AC23">INDEX('RFR Data - preExcl'!AI$2:AI259,$AE23,1)</f>
        <v>0</v>
      </c>
      <c r="AD23" s="54">
        <f t="array" ref="AD23">INDEX('RFR Data - preExcl'!AF$2:AF259,$AE23,1)</f>
        <v>0</v>
      </c>
      <c r="AE23" s="56">
        <f>IFNA(MATCH(Y23,'RFR Data - preExcl'!A$2:A259,0),"")</f>
        <v>30</v>
      </c>
      <c r="AF23" s="43"/>
      <c r="AG23" s="58" t="s">
        <v>48</v>
      </c>
      <c r="AH23" s="46">
        <f>VLOOKUP(AG23,'Run Reconcile'!A$2:B259,2,FALSE)</f>
        <v>44834</v>
      </c>
      <c r="AI23" s="54">
        <f>COUNTIF('APS Tubes IMPORT'!$V$2:$V259, AG23)
</f>
        <v>10</v>
      </c>
      <c r="AJ23" s="54">
        <f>COUNTIFS('APS Tubes IMPORT'!V$2:V259, AG23, 'APS Tubes IMPORT'!H$2:H259, "Negative")
</f>
        <v>10</v>
      </c>
      <c r="AK23" s="54">
        <f>COUNTIFS('APS Tubes IMPORT'!V22:V259, AG23, 'APS Tubes IMPORT'!H22:H259, "Positive")
</f>
        <v>0</v>
      </c>
      <c r="AL23" s="54">
        <f>COUNTIFS('APS Tubes IMPORT'!V22:V259, AG23, 'APS Tubes IMPORT'!H22:H259, "Inconclusive")
</f>
        <v>0</v>
      </c>
      <c r="AM23" s="54">
        <f>COUNTIFS('APS Tubes IMPORT'!V22:V259, AG23, 'APS Tubes IMPORT'!H22:H259, "Null")
</f>
        <v>0</v>
      </c>
      <c r="AN23" s="43"/>
      <c r="AO23" s="12">
        <f>'APS Tubes by Date IMPORT'!B22</f>
        <v>44834</v>
      </c>
      <c r="AP23" s="54">
        <f>'APS Tubes by Date IMPORT'!C22</f>
        <v>10</v>
      </c>
      <c r="AQ23" s="54">
        <f>'APS Tubes by Date IMPORT'!D22</f>
        <v>10</v>
      </c>
      <c r="AR23" s="54">
        <f>'APS Tubes by Date IMPORT'!E22</f>
        <v>0</v>
      </c>
      <c r="AS23" s="54">
        <f>'APS Tubes by Date IMPORT'!F22</f>
        <v>0</v>
      </c>
      <c r="AT23" s="54">
        <f>'APS Tubes by Date IMPORT'!G22</f>
        <v>0</v>
      </c>
      <c r="AU23" s="43"/>
    </row>
    <row r="24">
      <c r="A24" s="7" t="s">
        <v>49</v>
      </c>
      <c r="B24" s="46">
        <f>VLOOKUP(A24,'ALL Tube Results'!$B$2:$D259,2,FALSE)</f>
        <v>44837</v>
      </c>
      <c r="C24" s="47">
        <f>COUNTIF('ALL Tube Results'!B23:B259, A24)
</f>
        <v>11</v>
      </c>
      <c r="D24" s="48">
        <f>COUNTIFS('ALL Tube Results'!$B23:$B259, $A24, 'ALL Tube Results'!$F23:$F259, "Negative")
</f>
        <v>11</v>
      </c>
      <c r="E24" s="48">
        <f>COUNTIFS('ALL Tube Results'!$B23:$B259, $A24, 'ALL Tube Results'!$F23:$F259, "Positive")
</f>
        <v>0</v>
      </c>
      <c r="F24" s="48">
        <f>COUNTIFS('ALL Tube Results'!$B23:$B259, $A24, 'ALL Tube Results'!$F23:$F259, "Inconclusive")
</f>
        <v>0</v>
      </c>
      <c r="G24" s="49">
        <f t="shared" si="7"/>
        <v>11</v>
      </c>
      <c r="H24" s="49" t="str">
        <f t="shared" si="8"/>
        <v/>
      </c>
      <c r="I24" s="50">
        <f t="shared" si="9"/>
        <v>11</v>
      </c>
      <c r="J24" s="51">
        <f t="shared" si="10"/>
        <v>0</v>
      </c>
      <c r="K24" s="51">
        <f t="shared" si="11"/>
        <v>0</v>
      </c>
      <c r="L24" s="51" t="str">
        <f t="shared" si="12"/>
        <v/>
      </c>
      <c r="M24" s="51" t="str">
        <f t="shared" si="13"/>
        <v/>
      </c>
      <c r="N24" s="51" t="str">
        <f t="shared" si="14"/>
        <v/>
      </c>
      <c r="O24" s="52">
        <f t="shared" si="15"/>
        <v>11</v>
      </c>
      <c r="P24" s="52" t="str">
        <f t="shared" si="16"/>
        <v/>
      </c>
      <c r="Q24" s="43"/>
      <c r="R24" s="7" t="s">
        <v>49</v>
      </c>
      <c r="S24" s="12">
        <v>44837.0</v>
      </c>
      <c r="T24" s="54">
        <f>VLOOKUP(R24,'Run Reconcile'!$A$2:$L259,12,FALSE)</f>
        <v>11</v>
      </c>
      <c r="U24" s="55" t="str">
        <f t="shared" si="17"/>
        <v/>
      </c>
      <c r="V24" s="54"/>
      <c r="W24" s="54"/>
      <c r="X24" s="43"/>
      <c r="Y24" s="7" t="str">
        <f>IFERROR(__xludf.DUMMYFUNCTION("""COMPUTED_VALUE"""),"RUN-ABRM_2022-10-03_RFR-032")</f>
        <v>RUN-ABRM_2022-10-03_RFR-032</v>
      </c>
      <c r="Z24" s="12">
        <f>IFERROR(__xludf.DUMMYFUNCTION("""COMPUTED_VALUE"""),44837.0)</f>
        <v>44837</v>
      </c>
      <c r="AA24" s="50">
        <f t="array" ref="AA24">INDEX('RFR Data - preExcl'!AK$2:AK259,$AE24,1)</f>
        <v>11</v>
      </c>
      <c r="AB24" s="54">
        <f t="shared" si="18"/>
        <v>11</v>
      </c>
      <c r="AC24" s="54">
        <f t="array" ref="AC24">INDEX('RFR Data - preExcl'!AI$2:AI259,$AE24,1)</f>
        <v>0</v>
      </c>
      <c r="AD24" s="54">
        <f t="array" ref="AD24">INDEX('RFR Data - preExcl'!AF$2:AF259,$AE24,1)</f>
        <v>0</v>
      </c>
      <c r="AE24" s="56">
        <f>IFNA(MATCH(Y24,'RFR Data - preExcl'!A$2:A259,0),"")</f>
        <v>32</v>
      </c>
      <c r="AF24" s="43"/>
      <c r="AG24" s="58" t="s">
        <v>49</v>
      </c>
      <c r="AH24" s="46">
        <f>VLOOKUP(AG24,'Run Reconcile'!A$2:B259,2,FALSE)</f>
        <v>44837</v>
      </c>
      <c r="AI24" s="54">
        <f>COUNTIF('APS Tubes IMPORT'!$V$2:$V259, AG24)
</f>
        <v>11</v>
      </c>
      <c r="AJ24" s="54">
        <f>COUNTIFS('APS Tubes IMPORT'!V$2:V259, AG24, 'APS Tubes IMPORT'!H$2:H259, "Negative")
</f>
        <v>11</v>
      </c>
      <c r="AK24" s="54">
        <f>COUNTIFS('APS Tubes IMPORT'!V23:V259, AG24, 'APS Tubes IMPORT'!H23:H259, "Positive")
</f>
        <v>0</v>
      </c>
      <c r="AL24" s="54">
        <f>COUNTIFS('APS Tubes IMPORT'!V23:V259, AG24, 'APS Tubes IMPORT'!H23:H259, "Inconclusive")
</f>
        <v>0</v>
      </c>
      <c r="AM24" s="54">
        <f>COUNTIFS('APS Tubes IMPORT'!V23:V259, AG24, 'APS Tubes IMPORT'!H23:H259, "Null")
</f>
        <v>0</v>
      </c>
      <c r="AN24" s="43"/>
      <c r="AO24" s="12">
        <f>'APS Tubes by Date IMPORT'!B23</f>
        <v>44837</v>
      </c>
      <c r="AP24" s="54">
        <f>'APS Tubes by Date IMPORT'!C23</f>
        <v>11</v>
      </c>
      <c r="AQ24" s="54">
        <f>'APS Tubes by Date IMPORT'!D23</f>
        <v>11</v>
      </c>
      <c r="AR24" s="54">
        <f>'APS Tubes by Date IMPORT'!E23</f>
        <v>0</v>
      </c>
      <c r="AS24" s="54">
        <f>'APS Tubes by Date IMPORT'!F23</f>
        <v>0</v>
      </c>
      <c r="AT24" s="54">
        <f>'APS Tubes by Date IMPORT'!G23</f>
        <v>0</v>
      </c>
      <c r="AU24" s="43"/>
    </row>
    <row r="25">
      <c r="A25" s="7" t="s">
        <v>50</v>
      </c>
      <c r="B25" s="46">
        <f>VLOOKUP(A25,'ALL Tube Results'!$B$2:$D259,2,FALSE)</f>
        <v>44838</v>
      </c>
      <c r="C25" s="47">
        <f>COUNTIF('ALL Tube Results'!B24:B259, A25)
</f>
        <v>11</v>
      </c>
      <c r="D25" s="48">
        <f>COUNTIFS('ALL Tube Results'!$B24:$B259, $A25, 'ALL Tube Results'!$F24:$F259, "Negative")
</f>
        <v>11</v>
      </c>
      <c r="E25" s="48">
        <f>COUNTIFS('ALL Tube Results'!$B24:$B259, $A25, 'ALL Tube Results'!$F24:$F259, "Positive")
</f>
        <v>0</v>
      </c>
      <c r="F25" s="48">
        <f>COUNTIFS('ALL Tube Results'!$B24:$B259, $A25, 'ALL Tube Results'!$F24:$F259, "Inconclusive")
</f>
        <v>0</v>
      </c>
      <c r="G25" s="49">
        <f t="shared" si="7"/>
        <v>11</v>
      </c>
      <c r="H25" s="49" t="str">
        <f t="shared" si="8"/>
        <v/>
      </c>
      <c r="I25" s="50">
        <f t="shared" si="9"/>
        <v>11</v>
      </c>
      <c r="J25" s="51">
        <f t="shared" si="10"/>
        <v>0</v>
      </c>
      <c r="K25" s="51">
        <f t="shared" si="11"/>
        <v>0</v>
      </c>
      <c r="L25" s="51" t="str">
        <f t="shared" si="12"/>
        <v/>
      </c>
      <c r="M25" s="51" t="str">
        <f t="shared" si="13"/>
        <v/>
      </c>
      <c r="N25" s="51" t="str">
        <f t="shared" si="14"/>
        <v/>
      </c>
      <c r="O25" s="52">
        <f t="shared" si="15"/>
        <v>11</v>
      </c>
      <c r="P25" s="52" t="str">
        <f t="shared" si="16"/>
        <v/>
      </c>
      <c r="Q25" s="43"/>
      <c r="R25" s="7" t="s">
        <v>50</v>
      </c>
      <c r="S25" s="12">
        <v>44838.0</v>
      </c>
      <c r="T25" s="54">
        <f>VLOOKUP(R25,'Run Reconcile'!$A$2:$L259,12,FALSE)</f>
        <v>11</v>
      </c>
      <c r="U25" s="55" t="str">
        <f t="shared" si="17"/>
        <v/>
      </c>
      <c r="V25" s="54"/>
      <c r="W25" s="54"/>
      <c r="X25" s="43"/>
      <c r="Y25" s="7" t="str">
        <f>IFERROR(__xludf.DUMMYFUNCTION("""COMPUTED_VALUE"""),"RUN-ABRM_2022-10-04_RFR-033")</f>
        <v>RUN-ABRM_2022-10-04_RFR-033</v>
      </c>
      <c r="Z25" s="12">
        <f>IFERROR(__xludf.DUMMYFUNCTION("""COMPUTED_VALUE"""),44838.0)</f>
        <v>44838</v>
      </c>
      <c r="AA25" s="50">
        <f t="array" ref="AA25">INDEX('RFR Data - preExcl'!AK$2:AK259,$AE25,1)</f>
        <v>11</v>
      </c>
      <c r="AB25" s="54">
        <f t="shared" si="18"/>
        <v>11</v>
      </c>
      <c r="AC25" s="54">
        <f t="array" ref="AC25">INDEX('RFR Data - preExcl'!AI$2:AI259,$AE25,1)</f>
        <v>0</v>
      </c>
      <c r="AD25" s="54">
        <f t="array" ref="AD25">INDEX('RFR Data - preExcl'!AF$2:AF259,$AE25,1)</f>
        <v>0</v>
      </c>
      <c r="AE25" s="56">
        <f>IFNA(MATCH(Y25,'RFR Data - preExcl'!A$2:A259,0),"")</f>
        <v>33</v>
      </c>
      <c r="AF25" s="43"/>
      <c r="AG25" s="58" t="s">
        <v>50</v>
      </c>
      <c r="AH25" s="46">
        <f>VLOOKUP(AG25,'Run Reconcile'!A$2:B259,2,FALSE)</f>
        <v>44838</v>
      </c>
      <c r="AI25" s="54">
        <f>COUNTIF('APS Tubes IMPORT'!$V$2:$V259, AG25)
</f>
        <v>11</v>
      </c>
      <c r="AJ25" s="54">
        <f>COUNTIFS('APS Tubes IMPORT'!V$2:V259, AG25, 'APS Tubes IMPORT'!H$2:H259, "Negative")
</f>
        <v>11</v>
      </c>
      <c r="AK25" s="54">
        <f>COUNTIFS('APS Tubes IMPORT'!V24:V259, AG25, 'APS Tubes IMPORT'!H24:H259, "Positive")
</f>
        <v>0</v>
      </c>
      <c r="AL25" s="54">
        <f>COUNTIFS('APS Tubes IMPORT'!V24:V259, AG25, 'APS Tubes IMPORT'!H24:H259, "Inconclusive")
</f>
        <v>0</v>
      </c>
      <c r="AM25" s="54">
        <f>COUNTIFS('APS Tubes IMPORT'!V24:V259, AG25, 'APS Tubes IMPORT'!H24:H259, "Null")
</f>
        <v>0</v>
      </c>
      <c r="AN25" s="43"/>
      <c r="AO25" s="12">
        <f>'APS Tubes by Date IMPORT'!B24</f>
        <v>44838</v>
      </c>
      <c r="AP25" s="54">
        <f>'APS Tubes by Date IMPORT'!C24</f>
        <v>11</v>
      </c>
      <c r="AQ25" s="54">
        <f>'APS Tubes by Date IMPORT'!D24</f>
        <v>11</v>
      </c>
      <c r="AR25" s="54">
        <f>'APS Tubes by Date IMPORT'!E24</f>
        <v>0</v>
      </c>
      <c r="AS25" s="54">
        <f>'APS Tubes by Date IMPORT'!F24</f>
        <v>0</v>
      </c>
      <c r="AT25" s="54">
        <f>'APS Tubes by Date IMPORT'!G24</f>
        <v>0</v>
      </c>
      <c r="AU25" s="43"/>
    </row>
    <row r="26">
      <c r="A26" s="7" t="s">
        <v>51</v>
      </c>
      <c r="B26" s="46">
        <f>VLOOKUP(A26,'ALL Tube Results'!$B$2:$D259,2,FALSE)</f>
        <v>44839</v>
      </c>
      <c r="C26" s="47">
        <f>COUNTIF('ALL Tube Results'!B25:B259, A26)
</f>
        <v>13</v>
      </c>
      <c r="D26" s="48">
        <f>COUNTIFS('ALL Tube Results'!$B25:$B259, $A26, 'ALL Tube Results'!$F25:$F259, "Negative")
</f>
        <v>13</v>
      </c>
      <c r="E26" s="48">
        <f>COUNTIFS('ALL Tube Results'!$B25:$B259, $A26, 'ALL Tube Results'!$F25:$F259, "Positive")
</f>
        <v>0</v>
      </c>
      <c r="F26" s="48">
        <f>COUNTIFS('ALL Tube Results'!$B25:$B259, $A26, 'ALL Tube Results'!$F25:$F259, "Inconclusive")
</f>
        <v>0</v>
      </c>
      <c r="G26" s="49">
        <f t="shared" si="7"/>
        <v>13</v>
      </c>
      <c r="H26" s="49" t="str">
        <f t="shared" si="8"/>
        <v/>
      </c>
      <c r="I26" s="50">
        <f t="shared" si="9"/>
        <v>13</v>
      </c>
      <c r="J26" s="51">
        <f t="shared" si="10"/>
        <v>0</v>
      </c>
      <c r="K26" s="51">
        <f t="shared" si="11"/>
        <v>0</v>
      </c>
      <c r="L26" s="51" t="str">
        <f t="shared" si="12"/>
        <v/>
      </c>
      <c r="M26" s="51" t="str">
        <f t="shared" si="13"/>
        <v/>
      </c>
      <c r="N26" s="51" t="str">
        <f t="shared" si="14"/>
        <v/>
      </c>
      <c r="O26" s="52">
        <f t="shared" si="15"/>
        <v>13</v>
      </c>
      <c r="P26" s="52" t="str">
        <f t="shared" si="16"/>
        <v/>
      </c>
      <c r="Q26" s="43"/>
      <c r="R26" s="7" t="s">
        <v>51</v>
      </c>
      <c r="S26" s="12">
        <v>44839.0</v>
      </c>
      <c r="T26" s="54">
        <f>VLOOKUP(R26,'Run Reconcile'!$A$2:$L259,12,FALSE)</f>
        <v>13</v>
      </c>
      <c r="U26" s="55" t="str">
        <f t="shared" si="17"/>
        <v/>
      </c>
      <c r="V26" s="54"/>
      <c r="W26" s="54"/>
      <c r="X26" s="43"/>
      <c r="Y26" s="7" t="str">
        <f>IFERROR(__xludf.DUMMYFUNCTION("""COMPUTED_VALUE"""),"RUN-ABRM_2022-10-05_RFR-034")</f>
        <v>RUN-ABRM_2022-10-05_RFR-034</v>
      </c>
      <c r="Z26" s="12">
        <f>IFERROR(__xludf.DUMMYFUNCTION("""COMPUTED_VALUE"""),44839.0)</f>
        <v>44839</v>
      </c>
      <c r="AA26" s="50">
        <f t="array" ref="AA26">INDEX('RFR Data - preExcl'!AK$2:AK259,$AE26,1)</f>
        <v>13</v>
      </c>
      <c r="AB26" s="54">
        <f t="shared" si="18"/>
        <v>13</v>
      </c>
      <c r="AC26" s="54">
        <f t="array" ref="AC26">INDEX('RFR Data - preExcl'!AI$2:AI259,$AE26,1)</f>
        <v>0</v>
      </c>
      <c r="AD26" s="54">
        <f t="array" ref="AD26">INDEX('RFR Data - preExcl'!AF$2:AF259,$AE26,1)</f>
        <v>0</v>
      </c>
      <c r="AE26" s="56">
        <f>IFNA(MATCH(Y26,'RFR Data - preExcl'!A$2:A259,0),"")</f>
        <v>34</v>
      </c>
      <c r="AF26" s="43"/>
      <c r="AG26" s="58" t="s">
        <v>51</v>
      </c>
      <c r="AH26" s="46">
        <f>VLOOKUP(AG26,'Run Reconcile'!A$2:B259,2,FALSE)</f>
        <v>44839</v>
      </c>
      <c r="AI26" s="54">
        <f>COUNTIF('APS Tubes IMPORT'!$V$2:$V259, AG26)
</f>
        <v>13</v>
      </c>
      <c r="AJ26" s="54">
        <f>COUNTIFS('APS Tubes IMPORT'!V$2:V259, AG26, 'APS Tubes IMPORT'!H$2:H259, "Negative")
</f>
        <v>13</v>
      </c>
      <c r="AK26" s="54">
        <f>COUNTIFS('APS Tubes IMPORT'!V25:V259, AG26, 'APS Tubes IMPORT'!H25:H259, "Positive")
</f>
        <v>0</v>
      </c>
      <c r="AL26" s="54">
        <f>COUNTIFS('APS Tubes IMPORT'!V25:V259, AG26, 'APS Tubes IMPORT'!H25:H259, "Inconclusive")
</f>
        <v>0</v>
      </c>
      <c r="AM26" s="54">
        <f>COUNTIFS('APS Tubes IMPORT'!V25:V259, AG26, 'APS Tubes IMPORT'!H25:H259, "Null")
</f>
        <v>0</v>
      </c>
      <c r="AN26" s="43"/>
      <c r="AO26" s="12">
        <f>'APS Tubes by Date IMPORT'!B25</f>
        <v>44839</v>
      </c>
      <c r="AP26" s="54">
        <f>'APS Tubes by Date IMPORT'!C25</f>
        <v>13</v>
      </c>
      <c r="AQ26" s="54">
        <f>'APS Tubes by Date IMPORT'!D25</f>
        <v>13</v>
      </c>
      <c r="AR26" s="54">
        <f>'APS Tubes by Date IMPORT'!E25</f>
        <v>0</v>
      </c>
      <c r="AS26" s="54">
        <f>'APS Tubes by Date IMPORT'!F25</f>
        <v>0</v>
      </c>
      <c r="AT26" s="54">
        <f>'APS Tubes by Date IMPORT'!G25</f>
        <v>0</v>
      </c>
      <c r="AU26" s="43"/>
    </row>
    <row r="27">
      <c r="A27" s="7" t="s">
        <v>52</v>
      </c>
      <c r="B27" s="46">
        <f>VLOOKUP(A27,'ALL Tube Results'!$B$2:$D259,2,FALSE)</f>
        <v>44840</v>
      </c>
      <c r="C27" s="47">
        <f>COUNTIF('ALL Tube Results'!B26:B259, A27)
</f>
        <v>12</v>
      </c>
      <c r="D27" s="48">
        <f>COUNTIFS('ALL Tube Results'!$B26:$B259, $A27, 'ALL Tube Results'!$F26:$F259, "Negative")
</f>
        <v>12</v>
      </c>
      <c r="E27" s="48">
        <f>COUNTIFS('ALL Tube Results'!$B26:$B259, $A27, 'ALL Tube Results'!$F26:$F259, "Positive")
</f>
        <v>0</v>
      </c>
      <c r="F27" s="48">
        <f>COUNTIFS('ALL Tube Results'!$B26:$B259, $A27, 'ALL Tube Results'!$F26:$F259, "Inconclusive")
</f>
        <v>0</v>
      </c>
      <c r="G27" s="49">
        <f t="shared" si="7"/>
        <v>12</v>
      </c>
      <c r="H27" s="49" t="str">
        <f t="shared" si="8"/>
        <v/>
      </c>
      <c r="I27" s="50">
        <f t="shared" si="9"/>
        <v>12</v>
      </c>
      <c r="J27" s="51">
        <f t="shared" si="10"/>
        <v>0</v>
      </c>
      <c r="K27" s="51">
        <f t="shared" si="11"/>
        <v>0</v>
      </c>
      <c r="L27" s="51" t="str">
        <f t="shared" si="12"/>
        <v/>
      </c>
      <c r="M27" s="51" t="str">
        <f t="shared" si="13"/>
        <v/>
      </c>
      <c r="N27" s="51" t="str">
        <f t="shared" si="14"/>
        <v/>
      </c>
      <c r="O27" s="52">
        <f t="shared" si="15"/>
        <v>12</v>
      </c>
      <c r="P27" s="52" t="str">
        <f t="shared" si="16"/>
        <v/>
      </c>
      <c r="Q27" s="43"/>
      <c r="R27" s="7" t="s">
        <v>52</v>
      </c>
      <c r="S27" s="12">
        <v>44840.0</v>
      </c>
      <c r="T27" s="54">
        <f>VLOOKUP(R27,'Run Reconcile'!$A$2:$L259,12,FALSE)</f>
        <v>12</v>
      </c>
      <c r="U27" s="55" t="str">
        <f t="shared" si="17"/>
        <v/>
      </c>
      <c r="V27" s="54"/>
      <c r="W27" s="54"/>
      <c r="X27" s="43"/>
      <c r="Y27" s="7" t="str">
        <f>IFERROR(__xludf.DUMMYFUNCTION("""COMPUTED_VALUE"""),"RUN-ABRM_2022-10-06_RFR-036")</f>
        <v>RUN-ABRM_2022-10-06_RFR-036</v>
      </c>
      <c r="Z27" s="12">
        <f>IFERROR(__xludf.DUMMYFUNCTION("""COMPUTED_VALUE"""),44840.0)</f>
        <v>44840</v>
      </c>
      <c r="AA27" s="50">
        <f t="array" ref="AA27">INDEX('RFR Data - preExcl'!AK$2:AK259,$AE27,1)</f>
        <v>12</v>
      </c>
      <c r="AB27" s="54">
        <f t="shared" si="18"/>
        <v>12</v>
      </c>
      <c r="AC27" s="54">
        <f t="array" ref="AC27">INDEX('RFR Data - preExcl'!AI$2:AI259,$AE27,1)</f>
        <v>0</v>
      </c>
      <c r="AD27" s="54">
        <f t="array" ref="AD27">INDEX('RFR Data - preExcl'!AF$2:AF259,$AE27,1)</f>
        <v>0</v>
      </c>
      <c r="AE27" s="56">
        <f>IFNA(MATCH(Y27,'RFR Data - preExcl'!A$2:A259,0),"")</f>
        <v>36</v>
      </c>
      <c r="AF27" s="43"/>
      <c r="AG27" s="58" t="s">
        <v>52</v>
      </c>
      <c r="AH27" s="46">
        <f>VLOOKUP(AG27,'Run Reconcile'!A$2:B259,2,FALSE)</f>
        <v>44840</v>
      </c>
      <c r="AI27" s="54">
        <f>COUNTIF('APS Tubes IMPORT'!$V$2:$V259, AG27)
</f>
        <v>12</v>
      </c>
      <c r="AJ27" s="54">
        <f>COUNTIFS('APS Tubes IMPORT'!V$2:V259, AG27, 'APS Tubes IMPORT'!H$2:H259, "Negative")
</f>
        <v>12</v>
      </c>
      <c r="AK27" s="54">
        <f>COUNTIFS('APS Tubes IMPORT'!V26:V259, AG27, 'APS Tubes IMPORT'!H26:H259, "Positive")
</f>
        <v>0</v>
      </c>
      <c r="AL27" s="54">
        <f>COUNTIFS('APS Tubes IMPORT'!V26:V259, AG27, 'APS Tubes IMPORT'!H26:H259, "Inconclusive")
</f>
        <v>0</v>
      </c>
      <c r="AM27" s="54">
        <f>COUNTIFS('APS Tubes IMPORT'!V26:V259, AG27, 'APS Tubes IMPORT'!H26:H259, "Null")
</f>
        <v>0</v>
      </c>
      <c r="AN27" s="43"/>
      <c r="AO27" s="12">
        <f>'APS Tubes by Date IMPORT'!B26</f>
        <v>44840</v>
      </c>
      <c r="AP27" s="54">
        <f>'APS Tubes by Date IMPORT'!C26</f>
        <v>12</v>
      </c>
      <c r="AQ27" s="54">
        <f>'APS Tubes by Date IMPORT'!D26</f>
        <v>12</v>
      </c>
      <c r="AR27" s="54">
        <f>'APS Tubes by Date IMPORT'!E26</f>
        <v>0</v>
      </c>
      <c r="AS27" s="54">
        <f>'APS Tubes by Date IMPORT'!F26</f>
        <v>0</v>
      </c>
      <c r="AT27" s="54">
        <f>'APS Tubes by Date IMPORT'!G26</f>
        <v>0</v>
      </c>
      <c r="AU27" s="43"/>
    </row>
    <row r="28">
      <c r="A28" s="7" t="s">
        <v>53</v>
      </c>
      <c r="B28" s="46">
        <f>VLOOKUP(A28,'ALL Tube Results'!$B$2:$D259,2,FALSE)</f>
        <v>44841</v>
      </c>
      <c r="C28" s="47">
        <f>COUNTIF('ALL Tube Results'!B27:B259, A28)
</f>
        <v>12</v>
      </c>
      <c r="D28" s="48">
        <f>COUNTIFS('ALL Tube Results'!$B27:$B259, $A28, 'ALL Tube Results'!$F27:$F259, "Negative")
</f>
        <v>12</v>
      </c>
      <c r="E28" s="48">
        <f>COUNTIFS('ALL Tube Results'!$B27:$B259, $A28, 'ALL Tube Results'!$F27:$F259, "Positive")
</f>
        <v>0</v>
      </c>
      <c r="F28" s="48">
        <f>COUNTIFS('ALL Tube Results'!$B27:$B259, $A28, 'ALL Tube Results'!$F27:$F259, "Inconclusive")
</f>
        <v>0</v>
      </c>
      <c r="G28" s="49">
        <f t="shared" si="7"/>
        <v>12</v>
      </c>
      <c r="H28" s="49" t="str">
        <f t="shared" si="8"/>
        <v/>
      </c>
      <c r="I28" s="50">
        <f t="shared" si="9"/>
        <v>12</v>
      </c>
      <c r="J28" s="51">
        <f t="shared" si="10"/>
        <v>0</v>
      </c>
      <c r="K28" s="51">
        <f t="shared" si="11"/>
        <v>0</v>
      </c>
      <c r="L28" s="51" t="str">
        <f t="shared" si="12"/>
        <v/>
      </c>
      <c r="M28" s="51" t="str">
        <f t="shared" si="13"/>
        <v/>
      </c>
      <c r="N28" s="51" t="str">
        <f t="shared" si="14"/>
        <v/>
      </c>
      <c r="O28" s="52">
        <f t="shared" si="15"/>
        <v>12</v>
      </c>
      <c r="P28" s="52" t="str">
        <f t="shared" si="16"/>
        <v/>
      </c>
      <c r="Q28" s="43"/>
      <c r="R28" s="7" t="s">
        <v>53</v>
      </c>
      <c r="S28" s="12">
        <v>44841.0</v>
      </c>
      <c r="T28" s="54">
        <f>VLOOKUP(R28,'Run Reconcile'!$A$2:$L259,12,FALSE)</f>
        <v>12</v>
      </c>
      <c r="U28" s="55" t="str">
        <f t="shared" si="17"/>
        <v/>
      </c>
      <c r="V28" s="54"/>
      <c r="W28" s="54"/>
      <c r="X28" s="43"/>
      <c r="Y28" s="7" t="str">
        <f>IFERROR(__xludf.DUMMYFUNCTION("""COMPUTED_VALUE"""),"RUN-ABRM_2022-10-07_RFR-037")</f>
        <v>RUN-ABRM_2022-10-07_RFR-037</v>
      </c>
      <c r="Z28" s="12">
        <f>IFERROR(__xludf.DUMMYFUNCTION("""COMPUTED_VALUE"""),44841.0)</f>
        <v>44841</v>
      </c>
      <c r="AA28" s="50">
        <f t="array" ref="AA28">INDEX('RFR Data - preExcl'!AK$2:AK259,$AE28,1)</f>
        <v>12</v>
      </c>
      <c r="AB28" s="54">
        <f t="shared" si="18"/>
        <v>12</v>
      </c>
      <c r="AC28" s="54">
        <f t="array" ref="AC28">INDEX('RFR Data - preExcl'!AI$2:AI259,$AE28,1)</f>
        <v>0</v>
      </c>
      <c r="AD28" s="54">
        <f t="array" ref="AD28">INDEX('RFR Data - preExcl'!AF$2:AF259,$AE28,1)</f>
        <v>0</v>
      </c>
      <c r="AE28" s="56">
        <f>IFNA(MATCH(Y28,'RFR Data - preExcl'!A$2:A259,0),"")</f>
        <v>37</v>
      </c>
      <c r="AF28" s="43"/>
      <c r="AG28" s="58" t="s">
        <v>53</v>
      </c>
      <c r="AH28" s="46">
        <f>VLOOKUP(AG28,'Run Reconcile'!A$2:B259,2,FALSE)</f>
        <v>44841</v>
      </c>
      <c r="AI28" s="54">
        <f>COUNTIF('APS Tubes IMPORT'!$V$2:$V259, AG28)
</f>
        <v>12</v>
      </c>
      <c r="AJ28" s="54">
        <f>COUNTIFS('APS Tubes IMPORT'!V$2:V259, AG28, 'APS Tubes IMPORT'!H$2:H259, "Negative")
</f>
        <v>12</v>
      </c>
      <c r="AK28" s="54">
        <f>COUNTIFS('APS Tubes IMPORT'!V27:V259, AG28, 'APS Tubes IMPORT'!H27:H259, "Positive")
</f>
        <v>0</v>
      </c>
      <c r="AL28" s="54">
        <f>COUNTIFS('APS Tubes IMPORT'!V27:V259, AG28, 'APS Tubes IMPORT'!H27:H259, "Inconclusive")
</f>
        <v>0</v>
      </c>
      <c r="AM28" s="54">
        <f>COUNTIFS('APS Tubes IMPORT'!V27:V259, AG28, 'APS Tubes IMPORT'!H27:H259, "Null")
</f>
        <v>0</v>
      </c>
      <c r="AN28" s="43"/>
      <c r="AO28" s="12">
        <f>'APS Tubes by Date IMPORT'!B27</f>
        <v>44841</v>
      </c>
      <c r="AP28" s="54">
        <f>'APS Tubes by Date IMPORT'!C27</f>
        <v>12</v>
      </c>
      <c r="AQ28" s="54">
        <f>'APS Tubes by Date IMPORT'!D27</f>
        <v>12</v>
      </c>
      <c r="AR28" s="54">
        <f>'APS Tubes by Date IMPORT'!E27</f>
        <v>0</v>
      </c>
      <c r="AS28" s="54">
        <f>'APS Tubes by Date IMPORT'!F27</f>
        <v>0</v>
      </c>
      <c r="AT28" s="54">
        <f>'APS Tubes by Date IMPORT'!G27</f>
        <v>0</v>
      </c>
      <c r="AU28" s="43"/>
    </row>
    <row r="29">
      <c r="A29" s="7" t="s">
        <v>54</v>
      </c>
      <c r="B29" s="46">
        <f>VLOOKUP(A29,'ALL Tube Results'!$B$2:$D259,2,FALSE)</f>
        <v>44844</v>
      </c>
      <c r="C29" s="47">
        <f>COUNTIF('ALL Tube Results'!B28:B259, A29)
</f>
        <v>13</v>
      </c>
      <c r="D29" s="48">
        <f>COUNTIFS('ALL Tube Results'!$B28:$B259, $A29, 'ALL Tube Results'!$F28:$F259, "Negative")
</f>
        <v>13</v>
      </c>
      <c r="E29" s="48">
        <f>COUNTIFS('ALL Tube Results'!$B28:$B259, $A29, 'ALL Tube Results'!$F28:$F259, "Positive")
</f>
        <v>0</v>
      </c>
      <c r="F29" s="48">
        <f>COUNTIFS('ALL Tube Results'!$B28:$B259, $A29, 'ALL Tube Results'!$F28:$F259, "Inconclusive")
</f>
        <v>0</v>
      </c>
      <c r="G29" s="49">
        <f t="shared" si="7"/>
        <v>13</v>
      </c>
      <c r="H29" s="49" t="str">
        <f t="shared" si="8"/>
        <v/>
      </c>
      <c r="I29" s="50">
        <f t="shared" si="9"/>
        <v>13</v>
      </c>
      <c r="J29" s="51">
        <f t="shared" si="10"/>
        <v>0</v>
      </c>
      <c r="K29" s="51">
        <f t="shared" si="11"/>
        <v>0</v>
      </c>
      <c r="L29" s="51" t="str">
        <f t="shared" si="12"/>
        <v/>
      </c>
      <c r="M29" s="51" t="str">
        <f t="shared" si="13"/>
        <v/>
      </c>
      <c r="N29" s="51" t="str">
        <f t="shared" si="14"/>
        <v/>
      </c>
      <c r="O29" s="52">
        <f t="shared" si="15"/>
        <v>13</v>
      </c>
      <c r="P29" s="52" t="str">
        <f t="shared" si="16"/>
        <v/>
      </c>
      <c r="Q29" s="43"/>
      <c r="R29" s="7" t="s">
        <v>54</v>
      </c>
      <c r="S29" s="12">
        <v>44844.0</v>
      </c>
      <c r="T29" s="54">
        <f>VLOOKUP(R29,'Run Reconcile'!$A$2:$L259,12,FALSE)</f>
        <v>13</v>
      </c>
      <c r="U29" s="55" t="str">
        <f t="shared" si="17"/>
        <v/>
      </c>
      <c r="V29" s="54"/>
      <c r="W29" s="54"/>
      <c r="X29" s="43"/>
      <c r="Y29" s="7" t="str">
        <f>IFERROR(__xludf.DUMMYFUNCTION("""COMPUTED_VALUE"""),"RUN-ABRM_2022-10-10_RFR-038")</f>
        <v>RUN-ABRM_2022-10-10_RFR-038</v>
      </c>
      <c r="Z29" s="12">
        <f>IFERROR(__xludf.DUMMYFUNCTION("""COMPUTED_VALUE"""),44844.0)</f>
        <v>44844</v>
      </c>
      <c r="AA29" s="50">
        <f t="array" ref="AA29">INDEX('RFR Data - preExcl'!AK$2:AK259,$AE29,1)</f>
        <v>13</v>
      </c>
      <c r="AB29" s="54">
        <f t="shared" si="18"/>
        <v>13</v>
      </c>
      <c r="AC29" s="54">
        <f t="array" ref="AC29">INDEX('RFR Data - preExcl'!AI$2:AI259,$AE29,1)</f>
        <v>0</v>
      </c>
      <c r="AD29" s="54">
        <f t="array" ref="AD29">INDEX('RFR Data - preExcl'!AF$2:AF259,$AE29,1)</f>
        <v>0</v>
      </c>
      <c r="AE29" s="56">
        <f>IFNA(MATCH(Y29,'RFR Data - preExcl'!A$2:A259,0),"")</f>
        <v>38</v>
      </c>
      <c r="AF29" s="43"/>
      <c r="AG29" s="58" t="s">
        <v>54</v>
      </c>
      <c r="AH29" s="46">
        <f>VLOOKUP(AG29,'Run Reconcile'!A$2:B259,2,FALSE)</f>
        <v>44844</v>
      </c>
      <c r="AI29" s="54">
        <f>COUNTIF('APS Tubes IMPORT'!$V$2:$V259, AG29)
</f>
        <v>13</v>
      </c>
      <c r="AJ29" s="54">
        <f>COUNTIFS('APS Tubes IMPORT'!V$2:V259, AG29, 'APS Tubes IMPORT'!H$2:H259, "Negative")
</f>
        <v>13</v>
      </c>
      <c r="AK29" s="54">
        <f>COUNTIFS('APS Tubes IMPORT'!V28:V259, AG29, 'APS Tubes IMPORT'!H28:H259, "Positive")
</f>
        <v>0</v>
      </c>
      <c r="AL29" s="54">
        <f>COUNTIFS('APS Tubes IMPORT'!V28:V259, AG29, 'APS Tubes IMPORT'!H28:H259, "Inconclusive")
</f>
        <v>0</v>
      </c>
      <c r="AM29" s="54">
        <f>COUNTIFS('APS Tubes IMPORT'!V28:V259, AG29, 'APS Tubes IMPORT'!H28:H259, "Null")
</f>
        <v>0</v>
      </c>
      <c r="AN29" s="43"/>
      <c r="AO29" s="12">
        <f>'APS Tubes by Date IMPORT'!B28</f>
        <v>44844</v>
      </c>
      <c r="AP29" s="54">
        <f>'APS Tubes by Date IMPORT'!C28</f>
        <v>13</v>
      </c>
      <c r="AQ29" s="54">
        <f>'APS Tubes by Date IMPORT'!D28</f>
        <v>13</v>
      </c>
      <c r="AR29" s="54">
        <f>'APS Tubes by Date IMPORT'!E28</f>
        <v>0</v>
      </c>
      <c r="AS29" s="54">
        <f>'APS Tubes by Date IMPORT'!F28</f>
        <v>0</v>
      </c>
      <c r="AT29" s="54">
        <f>'APS Tubes by Date IMPORT'!G28</f>
        <v>0</v>
      </c>
      <c r="AU29" s="43"/>
    </row>
    <row r="30">
      <c r="A30" s="7" t="s">
        <v>55</v>
      </c>
      <c r="B30" s="46">
        <f>VLOOKUP(A30,'ALL Tube Results'!$B$2:$D259,2,FALSE)</f>
        <v>44845</v>
      </c>
      <c r="C30" s="47">
        <f>COUNTIF('ALL Tube Results'!B29:B259, A30)
</f>
        <v>12</v>
      </c>
      <c r="D30" s="48">
        <f>COUNTIFS('ALL Tube Results'!$B29:$B259, $A30, 'ALL Tube Results'!$F29:$F259, "Negative")
</f>
        <v>12</v>
      </c>
      <c r="E30" s="48">
        <f>COUNTIFS('ALL Tube Results'!$B29:$B259, $A30, 'ALL Tube Results'!$F29:$F259, "Positive")
</f>
        <v>0</v>
      </c>
      <c r="F30" s="48">
        <f>COUNTIFS('ALL Tube Results'!$B29:$B259, $A30, 'ALL Tube Results'!$F29:$F259, "Inconclusive")
</f>
        <v>0</v>
      </c>
      <c r="G30" s="49">
        <f t="shared" si="7"/>
        <v>12</v>
      </c>
      <c r="H30" s="49" t="str">
        <f t="shared" si="8"/>
        <v/>
      </c>
      <c r="I30" s="50">
        <f t="shared" si="9"/>
        <v>12</v>
      </c>
      <c r="J30" s="51">
        <f t="shared" si="10"/>
        <v>0</v>
      </c>
      <c r="K30" s="51">
        <f t="shared" si="11"/>
        <v>0</v>
      </c>
      <c r="L30" s="51" t="str">
        <f t="shared" si="12"/>
        <v/>
      </c>
      <c r="M30" s="51" t="str">
        <f t="shared" si="13"/>
        <v/>
      </c>
      <c r="N30" s="51" t="str">
        <f t="shared" si="14"/>
        <v/>
      </c>
      <c r="O30" s="52">
        <f t="shared" si="15"/>
        <v>12</v>
      </c>
      <c r="P30" s="52" t="str">
        <f t="shared" si="16"/>
        <v/>
      </c>
      <c r="Q30" s="43"/>
      <c r="R30" s="7" t="s">
        <v>55</v>
      </c>
      <c r="S30" s="12">
        <v>44845.0</v>
      </c>
      <c r="T30" s="54">
        <f>VLOOKUP(R30,'Run Reconcile'!$A$2:$L259,12,FALSE)</f>
        <v>12</v>
      </c>
      <c r="U30" s="55" t="str">
        <f t="shared" si="17"/>
        <v/>
      </c>
      <c r="V30" s="54"/>
      <c r="W30" s="54"/>
      <c r="X30" s="43"/>
      <c r="Y30" s="7" t="str">
        <f>IFERROR(__xludf.DUMMYFUNCTION("""COMPUTED_VALUE"""),"RUN-ABRM_2022-10-11_RFR-041")</f>
        <v>RUN-ABRM_2022-10-11_RFR-041</v>
      </c>
      <c r="Z30" s="12">
        <f>IFERROR(__xludf.DUMMYFUNCTION("""COMPUTED_VALUE"""),44845.0)</f>
        <v>44845</v>
      </c>
      <c r="AA30" s="50">
        <f t="array" ref="AA30">INDEX('RFR Data - preExcl'!AK$2:AK259,$AE30,1)</f>
        <v>12</v>
      </c>
      <c r="AB30" s="54">
        <f t="shared" si="18"/>
        <v>12</v>
      </c>
      <c r="AC30" s="54">
        <f t="array" ref="AC30">INDEX('RFR Data - preExcl'!AI$2:AI259,$AE30,1)</f>
        <v>0</v>
      </c>
      <c r="AD30" s="54">
        <f t="array" ref="AD30">INDEX('RFR Data - preExcl'!AF$2:AF259,$AE30,1)</f>
        <v>0</v>
      </c>
      <c r="AE30" s="56">
        <f>IFNA(MATCH(Y30,'RFR Data - preExcl'!A$2:A259,0),"")</f>
        <v>41</v>
      </c>
      <c r="AF30" s="43"/>
      <c r="AG30" s="58" t="s">
        <v>55</v>
      </c>
      <c r="AH30" s="46">
        <f>VLOOKUP(AG30,'Run Reconcile'!A$2:B259,2,FALSE)</f>
        <v>44845</v>
      </c>
      <c r="AI30" s="54">
        <f>COUNTIF('APS Tubes IMPORT'!$V$2:$V259, AG30)
</f>
        <v>12</v>
      </c>
      <c r="AJ30" s="54">
        <f>COUNTIFS('APS Tubes IMPORT'!V$2:V259, AG30, 'APS Tubes IMPORT'!H$2:H259, "Negative")
</f>
        <v>12</v>
      </c>
      <c r="AK30" s="54">
        <f>COUNTIFS('APS Tubes IMPORT'!V29:V259, AG30, 'APS Tubes IMPORT'!H29:H259, "Positive")
</f>
        <v>0</v>
      </c>
      <c r="AL30" s="54">
        <f>COUNTIFS('APS Tubes IMPORT'!V29:V259, AG30, 'APS Tubes IMPORT'!H29:H259, "Inconclusive")
</f>
        <v>0</v>
      </c>
      <c r="AM30" s="54">
        <f>COUNTIFS('APS Tubes IMPORT'!V29:V259, AG30, 'APS Tubes IMPORT'!H29:H259, "Null")
</f>
        <v>0</v>
      </c>
      <c r="AN30" s="43"/>
      <c r="AO30" s="12">
        <f>'APS Tubes by Date IMPORT'!B29</f>
        <v>44845</v>
      </c>
      <c r="AP30" s="54">
        <f>'APS Tubes by Date IMPORT'!C29</f>
        <v>12</v>
      </c>
      <c r="AQ30" s="54">
        <f>'APS Tubes by Date IMPORT'!D29</f>
        <v>12</v>
      </c>
      <c r="AR30" s="54">
        <f>'APS Tubes by Date IMPORT'!E29</f>
        <v>0</v>
      </c>
      <c r="AS30" s="54">
        <f>'APS Tubes by Date IMPORT'!F29</f>
        <v>0</v>
      </c>
      <c r="AT30" s="54">
        <f>'APS Tubes by Date IMPORT'!G29</f>
        <v>0</v>
      </c>
      <c r="AU30" s="43"/>
    </row>
    <row r="31">
      <c r="A31" s="7" t="s">
        <v>56</v>
      </c>
      <c r="B31" s="46">
        <f>VLOOKUP(A31,'ALL Tube Results'!$B$2:$D259,2,FALSE)</f>
        <v>44846</v>
      </c>
      <c r="C31" s="47">
        <f>COUNTIF('ALL Tube Results'!B30:B259, A31)
</f>
        <v>10</v>
      </c>
      <c r="D31" s="48">
        <f>COUNTIFS('ALL Tube Results'!$B30:$B259, $A31, 'ALL Tube Results'!$F30:$F259, "Negative")
</f>
        <v>10</v>
      </c>
      <c r="E31" s="48">
        <f>COUNTIFS('ALL Tube Results'!$B30:$B259, $A31, 'ALL Tube Results'!$F30:$F259, "Positive")
</f>
        <v>0</v>
      </c>
      <c r="F31" s="48">
        <f>COUNTIFS('ALL Tube Results'!$B30:$B259, $A31, 'ALL Tube Results'!$F30:$F259, "Inconclusive")
</f>
        <v>0</v>
      </c>
      <c r="G31" s="49">
        <f t="shared" si="7"/>
        <v>10</v>
      </c>
      <c r="H31" s="49" t="str">
        <f t="shared" si="8"/>
        <v/>
      </c>
      <c r="I31" s="50">
        <f t="shared" si="9"/>
        <v>10</v>
      </c>
      <c r="J31" s="51">
        <f t="shared" si="10"/>
        <v>0</v>
      </c>
      <c r="K31" s="51">
        <f t="shared" si="11"/>
        <v>0</v>
      </c>
      <c r="L31" s="51" t="str">
        <f t="shared" si="12"/>
        <v/>
      </c>
      <c r="M31" s="51" t="str">
        <f t="shared" si="13"/>
        <v/>
      </c>
      <c r="N31" s="51" t="str">
        <f t="shared" si="14"/>
        <v/>
      </c>
      <c r="O31" s="52">
        <f t="shared" si="15"/>
        <v>10</v>
      </c>
      <c r="P31" s="52" t="str">
        <f t="shared" si="16"/>
        <v/>
      </c>
      <c r="Q31" s="43"/>
      <c r="R31" s="7" t="s">
        <v>56</v>
      </c>
      <c r="S31" s="12">
        <v>44846.0</v>
      </c>
      <c r="T31" s="54">
        <f>VLOOKUP(R31,'Run Reconcile'!$A$2:$L259,12,FALSE)</f>
        <v>10</v>
      </c>
      <c r="U31" s="55" t="str">
        <f t="shared" si="17"/>
        <v/>
      </c>
      <c r="V31" s="54"/>
      <c r="W31" s="54"/>
      <c r="X31" s="43"/>
      <c r="Y31" s="7" t="str">
        <f>IFERROR(__xludf.DUMMYFUNCTION("""COMPUTED_VALUE"""),"RUN-ABRM_2022-10-12_RFR-043")</f>
        <v>RUN-ABRM_2022-10-12_RFR-043</v>
      </c>
      <c r="Z31" s="12">
        <f>IFERROR(__xludf.DUMMYFUNCTION("""COMPUTED_VALUE"""),44846.0)</f>
        <v>44846</v>
      </c>
      <c r="AA31" s="50">
        <f t="array" ref="AA31">INDEX('RFR Data - preExcl'!AK$2:AK259,$AE31,1)</f>
        <v>10</v>
      </c>
      <c r="AB31" s="54">
        <f t="shared" si="18"/>
        <v>10</v>
      </c>
      <c r="AC31" s="54">
        <f t="array" ref="AC31">INDEX('RFR Data - preExcl'!AI$2:AI259,$AE31,1)</f>
        <v>0</v>
      </c>
      <c r="AD31" s="54">
        <f t="array" ref="AD31">INDEX('RFR Data - preExcl'!AF$2:AF259,$AE31,1)</f>
        <v>0</v>
      </c>
      <c r="AE31" s="56">
        <f>IFNA(MATCH(Y31,'RFR Data - preExcl'!A$2:A259,0),"")</f>
        <v>43</v>
      </c>
      <c r="AF31" s="43"/>
      <c r="AG31" s="58" t="s">
        <v>56</v>
      </c>
      <c r="AH31" s="46">
        <f>VLOOKUP(AG31,'Run Reconcile'!A$2:B259,2,FALSE)</f>
        <v>44846</v>
      </c>
      <c r="AI31" s="54">
        <f>COUNTIF('APS Tubes IMPORT'!$V$2:$V259, AG31)
</f>
        <v>10</v>
      </c>
      <c r="AJ31" s="54">
        <f>COUNTIFS('APS Tubes IMPORT'!V$2:V259, AG31, 'APS Tubes IMPORT'!H$2:H259, "Negative")
</f>
        <v>10</v>
      </c>
      <c r="AK31" s="54">
        <f>COUNTIFS('APS Tubes IMPORT'!V30:V259, AG31, 'APS Tubes IMPORT'!H30:H259, "Positive")
</f>
        <v>0</v>
      </c>
      <c r="AL31" s="54">
        <f>COUNTIFS('APS Tubes IMPORT'!V30:V259, AG31, 'APS Tubes IMPORT'!H30:H259, "Inconclusive")
</f>
        <v>0</v>
      </c>
      <c r="AM31" s="54">
        <f>COUNTIFS('APS Tubes IMPORT'!V30:V259, AG31, 'APS Tubes IMPORT'!H30:H259, "Null")
</f>
        <v>0</v>
      </c>
      <c r="AN31" s="43"/>
      <c r="AO31" s="12">
        <f>'APS Tubes by Date IMPORT'!B30</f>
        <v>44846</v>
      </c>
      <c r="AP31" s="54">
        <f>'APS Tubes by Date IMPORT'!C30</f>
        <v>10</v>
      </c>
      <c r="AQ31" s="54">
        <f>'APS Tubes by Date IMPORT'!D30</f>
        <v>10</v>
      </c>
      <c r="AR31" s="54">
        <f>'APS Tubes by Date IMPORT'!E30</f>
        <v>0</v>
      </c>
      <c r="AS31" s="54">
        <f>'APS Tubes by Date IMPORT'!F30</f>
        <v>0</v>
      </c>
      <c r="AT31" s="54">
        <f>'APS Tubes by Date IMPORT'!G30</f>
        <v>0</v>
      </c>
      <c r="AU31" s="43"/>
    </row>
    <row r="32">
      <c r="A32" s="7" t="s">
        <v>57</v>
      </c>
      <c r="B32" s="46">
        <f>VLOOKUP(A32,'ALL Tube Results'!$B$2:$D259,2,FALSE)</f>
        <v>44847</v>
      </c>
      <c r="C32" s="47">
        <f>COUNTIF('ALL Tube Results'!B31:B259, A32)
</f>
        <v>11</v>
      </c>
      <c r="D32" s="48">
        <f>COUNTIFS('ALL Tube Results'!$B31:$B259, $A32, 'ALL Tube Results'!$F31:$F259, "Negative")
</f>
        <v>11</v>
      </c>
      <c r="E32" s="48">
        <f>COUNTIFS('ALL Tube Results'!$B31:$B259, $A32, 'ALL Tube Results'!$F31:$F259, "Positive")
</f>
        <v>0</v>
      </c>
      <c r="F32" s="48">
        <f>COUNTIFS('ALL Tube Results'!$B31:$B259, $A32, 'ALL Tube Results'!$F31:$F259, "Inconclusive")
</f>
        <v>0</v>
      </c>
      <c r="G32" s="49">
        <f t="shared" si="7"/>
        <v>11</v>
      </c>
      <c r="H32" s="49" t="str">
        <f t="shared" si="8"/>
        <v/>
      </c>
      <c r="I32" s="50">
        <f t="shared" si="9"/>
        <v>11</v>
      </c>
      <c r="J32" s="51">
        <f t="shared" si="10"/>
        <v>0</v>
      </c>
      <c r="K32" s="51">
        <f t="shared" si="11"/>
        <v>0</v>
      </c>
      <c r="L32" s="51" t="str">
        <f t="shared" si="12"/>
        <v/>
      </c>
      <c r="M32" s="51" t="str">
        <f t="shared" si="13"/>
        <v/>
      </c>
      <c r="N32" s="51" t="str">
        <f t="shared" si="14"/>
        <v/>
      </c>
      <c r="O32" s="52">
        <f t="shared" si="15"/>
        <v>11</v>
      </c>
      <c r="P32" s="52" t="str">
        <f t="shared" si="16"/>
        <v/>
      </c>
      <c r="Q32" s="43"/>
      <c r="R32" s="7" t="s">
        <v>57</v>
      </c>
      <c r="S32" s="12">
        <v>44847.0</v>
      </c>
      <c r="T32" s="54">
        <f>VLOOKUP(R32,'Run Reconcile'!$A$2:$L259,12,FALSE)</f>
        <v>11</v>
      </c>
      <c r="U32" s="55" t="str">
        <f t="shared" si="17"/>
        <v/>
      </c>
      <c r="V32" s="54"/>
      <c r="W32" s="54"/>
      <c r="X32" s="43"/>
      <c r="Y32" s="7" t="str">
        <f>IFERROR(__xludf.DUMMYFUNCTION("""COMPUTED_VALUE"""),"RUN-ABRM_2022-10-13_RFR-044")</f>
        <v>RUN-ABRM_2022-10-13_RFR-044</v>
      </c>
      <c r="Z32" s="12">
        <f>IFERROR(__xludf.DUMMYFUNCTION("""COMPUTED_VALUE"""),44847.0)</f>
        <v>44847</v>
      </c>
      <c r="AA32" s="50">
        <f t="array" ref="AA32">INDEX('RFR Data - preExcl'!AK$2:AK259,$AE32,1)</f>
        <v>11</v>
      </c>
      <c r="AB32" s="54">
        <f t="shared" si="18"/>
        <v>11</v>
      </c>
      <c r="AC32" s="54">
        <f t="array" ref="AC32">INDEX('RFR Data - preExcl'!AI$2:AI259,$AE32,1)</f>
        <v>0</v>
      </c>
      <c r="AD32" s="54">
        <f t="array" ref="AD32">INDEX('RFR Data - preExcl'!AF$2:AF259,$AE32,1)</f>
        <v>0</v>
      </c>
      <c r="AE32" s="56">
        <f>IFNA(MATCH(Y32,'RFR Data - preExcl'!A$2:A259,0),"")</f>
        <v>44</v>
      </c>
      <c r="AF32" s="43"/>
      <c r="AG32" s="58" t="s">
        <v>57</v>
      </c>
      <c r="AH32" s="46">
        <f>VLOOKUP(AG32,'Run Reconcile'!A$2:B259,2,FALSE)</f>
        <v>44847</v>
      </c>
      <c r="AI32" s="54">
        <f>COUNTIF('APS Tubes IMPORT'!$V$2:$V259, AG32)
</f>
        <v>11</v>
      </c>
      <c r="AJ32" s="54">
        <f>COUNTIFS('APS Tubes IMPORT'!V$2:V259, AG32, 'APS Tubes IMPORT'!H$2:H259, "Negative")
</f>
        <v>11</v>
      </c>
      <c r="AK32" s="54">
        <f>COUNTIFS('APS Tubes IMPORT'!V31:V259, AG32, 'APS Tubes IMPORT'!H31:H259, "Positive")
</f>
        <v>0</v>
      </c>
      <c r="AL32" s="54">
        <f>COUNTIFS('APS Tubes IMPORT'!V31:V259, AG32, 'APS Tubes IMPORT'!H31:H259, "Inconclusive")
</f>
        <v>0</v>
      </c>
      <c r="AM32" s="54">
        <f>COUNTIFS('APS Tubes IMPORT'!V31:V259, AG32, 'APS Tubes IMPORT'!H31:H259, "Null")
</f>
        <v>0</v>
      </c>
      <c r="AN32" s="43"/>
      <c r="AO32" s="12">
        <f>'APS Tubes by Date IMPORT'!B31</f>
        <v>44847</v>
      </c>
      <c r="AP32" s="54">
        <f>'APS Tubes by Date IMPORT'!C31</f>
        <v>11</v>
      </c>
      <c r="AQ32" s="54">
        <f>'APS Tubes by Date IMPORT'!D31</f>
        <v>11</v>
      </c>
      <c r="AR32" s="54">
        <f>'APS Tubes by Date IMPORT'!E31</f>
        <v>0</v>
      </c>
      <c r="AS32" s="54">
        <f>'APS Tubes by Date IMPORT'!F31</f>
        <v>0</v>
      </c>
      <c r="AT32" s="54">
        <f>'APS Tubes by Date IMPORT'!G31</f>
        <v>0</v>
      </c>
      <c r="AU32" s="43"/>
    </row>
    <row r="33">
      <c r="A33" s="7" t="s">
        <v>58</v>
      </c>
      <c r="B33" s="46">
        <f>VLOOKUP(A33,'ALL Tube Results'!$B$2:$D259,2,FALSE)</f>
        <v>44851</v>
      </c>
      <c r="C33" s="47">
        <f>COUNTIF('ALL Tube Results'!B32:B259, A33)
</f>
        <v>11</v>
      </c>
      <c r="D33" s="48">
        <f>COUNTIFS('ALL Tube Results'!$B32:$B259, $A33, 'ALL Tube Results'!$F32:$F259, "Negative")
</f>
        <v>11</v>
      </c>
      <c r="E33" s="48">
        <f>COUNTIFS('ALL Tube Results'!$B32:$B259, $A33, 'ALL Tube Results'!$F32:$F259, "Positive")
</f>
        <v>0</v>
      </c>
      <c r="F33" s="48">
        <f>COUNTIFS('ALL Tube Results'!$B32:$B259, $A33, 'ALL Tube Results'!$F32:$F259, "Inconclusive")
</f>
        <v>0</v>
      </c>
      <c r="G33" s="49">
        <f t="shared" si="7"/>
        <v>11</v>
      </c>
      <c r="H33" s="49" t="str">
        <f t="shared" si="8"/>
        <v/>
      </c>
      <c r="I33" s="50">
        <f t="shared" si="9"/>
        <v>11</v>
      </c>
      <c r="J33" s="51">
        <f t="shared" si="10"/>
        <v>0</v>
      </c>
      <c r="K33" s="51">
        <f t="shared" si="11"/>
        <v>0</v>
      </c>
      <c r="L33" s="51" t="str">
        <f t="shared" si="12"/>
        <v/>
      </c>
      <c r="M33" s="51" t="str">
        <f t="shared" si="13"/>
        <v/>
      </c>
      <c r="N33" s="51" t="str">
        <f t="shared" si="14"/>
        <v/>
      </c>
      <c r="O33" s="52">
        <f t="shared" si="15"/>
        <v>11</v>
      </c>
      <c r="P33" s="52" t="str">
        <f t="shared" si="16"/>
        <v/>
      </c>
      <c r="Q33" s="43"/>
      <c r="R33" s="7" t="s">
        <v>58</v>
      </c>
      <c r="S33" s="12">
        <v>44851.0</v>
      </c>
      <c r="T33" s="54">
        <f>VLOOKUP(R33,'Run Reconcile'!$A$2:$L259,12,FALSE)</f>
        <v>11</v>
      </c>
      <c r="U33" s="55" t="str">
        <f t="shared" si="17"/>
        <v/>
      </c>
      <c r="V33" s="54"/>
      <c r="W33" s="54"/>
      <c r="X33" s="43"/>
      <c r="Y33" s="7" t="str">
        <f>IFERROR(__xludf.DUMMYFUNCTION("""COMPUTED_VALUE"""),"RUN-ABRM_2022-10-17_RFR-045")</f>
        <v>RUN-ABRM_2022-10-17_RFR-045</v>
      </c>
      <c r="Z33" s="12">
        <f>IFERROR(__xludf.DUMMYFUNCTION("""COMPUTED_VALUE"""),44851.0)</f>
        <v>44851</v>
      </c>
      <c r="AA33" s="50">
        <f t="array" ref="AA33">INDEX('RFR Data - preExcl'!AK$2:AK259,$AE33,1)</f>
        <v>11</v>
      </c>
      <c r="AB33" s="54">
        <f t="shared" si="18"/>
        <v>11</v>
      </c>
      <c r="AC33" s="54">
        <f t="array" ref="AC33">INDEX('RFR Data - preExcl'!AI$2:AI259,$AE33,1)</f>
        <v>0</v>
      </c>
      <c r="AD33" s="54">
        <f t="array" ref="AD33">INDEX('RFR Data - preExcl'!AF$2:AF259,$AE33,1)</f>
        <v>0</v>
      </c>
      <c r="AE33" s="56">
        <f>IFNA(MATCH(Y33,'RFR Data - preExcl'!A$2:A259,0),"")</f>
        <v>45</v>
      </c>
      <c r="AF33" s="43"/>
      <c r="AG33" s="58" t="s">
        <v>58</v>
      </c>
      <c r="AH33" s="46">
        <f>VLOOKUP(AG33,'Run Reconcile'!A$2:B259,2,FALSE)</f>
        <v>44851</v>
      </c>
      <c r="AI33" s="54">
        <f>COUNTIF('APS Tubes IMPORT'!$V$2:$V259, AG33)
</f>
        <v>11</v>
      </c>
      <c r="AJ33" s="54">
        <f>COUNTIFS('APS Tubes IMPORT'!V$2:V259, AG33, 'APS Tubes IMPORT'!H$2:H259, "Negative")
</f>
        <v>11</v>
      </c>
      <c r="AK33" s="54">
        <f>COUNTIFS('APS Tubes IMPORT'!V32:V259, AG33, 'APS Tubes IMPORT'!H32:H259, "Positive")
</f>
        <v>0</v>
      </c>
      <c r="AL33" s="54">
        <f>COUNTIFS('APS Tubes IMPORT'!V32:V259, AG33, 'APS Tubes IMPORT'!H32:H259, "Inconclusive")
</f>
        <v>0</v>
      </c>
      <c r="AM33" s="54">
        <f>COUNTIFS('APS Tubes IMPORT'!V32:V259, AG33, 'APS Tubes IMPORT'!H32:H259, "Null")
</f>
        <v>0</v>
      </c>
      <c r="AN33" s="43"/>
      <c r="AO33" s="12">
        <f>'APS Tubes by Date IMPORT'!B32</f>
        <v>44851</v>
      </c>
      <c r="AP33" s="54">
        <f>'APS Tubes by Date IMPORT'!C32</f>
        <v>11</v>
      </c>
      <c r="AQ33" s="54">
        <f>'APS Tubes by Date IMPORT'!D32</f>
        <v>11</v>
      </c>
      <c r="AR33" s="54">
        <f>'APS Tubes by Date IMPORT'!E32</f>
        <v>0</v>
      </c>
      <c r="AS33" s="54">
        <f>'APS Tubes by Date IMPORT'!F32</f>
        <v>0</v>
      </c>
      <c r="AT33" s="54">
        <f>'APS Tubes by Date IMPORT'!G32</f>
        <v>0</v>
      </c>
      <c r="AU33" s="43"/>
    </row>
    <row r="34">
      <c r="A34" s="7" t="s">
        <v>59</v>
      </c>
      <c r="B34" s="46">
        <f>VLOOKUP(A34,'ALL Tube Results'!$B$2:$D259,2,FALSE)</f>
        <v>44852</v>
      </c>
      <c r="C34" s="47">
        <f>COUNTIF('ALL Tube Results'!B33:B259, A34)
</f>
        <v>9</v>
      </c>
      <c r="D34" s="48">
        <f>COUNTIFS('ALL Tube Results'!$B33:$B259, $A34, 'ALL Tube Results'!$F33:$F259, "Negative")
</f>
        <v>9</v>
      </c>
      <c r="E34" s="48">
        <f>COUNTIFS('ALL Tube Results'!$B33:$B259, $A34, 'ALL Tube Results'!$F33:$F259, "Positive")
</f>
        <v>0</v>
      </c>
      <c r="F34" s="48">
        <f>COUNTIFS('ALL Tube Results'!$B33:$B259, $A34, 'ALL Tube Results'!$F33:$F259, "Inconclusive")
</f>
        <v>0</v>
      </c>
      <c r="G34" s="49">
        <f t="shared" si="7"/>
        <v>9</v>
      </c>
      <c r="H34" s="49" t="str">
        <f t="shared" si="8"/>
        <v/>
      </c>
      <c r="I34" s="50">
        <f t="shared" si="9"/>
        <v>9</v>
      </c>
      <c r="J34" s="51">
        <f t="shared" si="10"/>
        <v>0</v>
      </c>
      <c r="K34" s="51">
        <f t="shared" si="11"/>
        <v>0</v>
      </c>
      <c r="L34" s="51" t="str">
        <f t="shared" si="12"/>
        <v/>
      </c>
      <c r="M34" s="51" t="str">
        <f t="shared" si="13"/>
        <v/>
      </c>
      <c r="N34" s="51" t="str">
        <f t="shared" si="14"/>
        <v/>
      </c>
      <c r="O34" s="52">
        <f t="shared" si="15"/>
        <v>9</v>
      </c>
      <c r="P34" s="52" t="str">
        <f t="shared" si="16"/>
        <v/>
      </c>
      <c r="Q34" s="43"/>
      <c r="R34" s="7" t="s">
        <v>59</v>
      </c>
      <c r="S34" s="12">
        <v>44852.0</v>
      </c>
      <c r="T34" s="54">
        <f>VLOOKUP(R34,'Run Reconcile'!$A$2:$L259,12,FALSE)</f>
        <v>9</v>
      </c>
      <c r="U34" s="55" t="str">
        <f t="shared" si="17"/>
        <v/>
      </c>
      <c r="V34" s="54"/>
      <c r="W34" s="54"/>
      <c r="X34" s="43"/>
      <c r="Y34" s="7" t="str">
        <f>IFERROR(__xludf.DUMMYFUNCTION("""COMPUTED_VALUE"""),"RUN-ABRM_2022-10-18_RFR-046")</f>
        <v>RUN-ABRM_2022-10-18_RFR-046</v>
      </c>
      <c r="Z34" s="12">
        <f>IFERROR(__xludf.DUMMYFUNCTION("""COMPUTED_VALUE"""),44852.0)</f>
        <v>44852</v>
      </c>
      <c r="AA34" s="50">
        <f t="array" ref="AA34">INDEX('RFR Data - preExcl'!AK$2:AK259,$AE34,1)</f>
        <v>9</v>
      </c>
      <c r="AB34" s="54">
        <f t="shared" si="18"/>
        <v>9</v>
      </c>
      <c r="AC34" s="54">
        <f t="array" ref="AC34">INDEX('RFR Data - preExcl'!AI$2:AI259,$AE34,1)</f>
        <v>0</v>
      </c>
      <c r="AD34" s="54">
        <f t="array" ref="AD34">INDEX('RFR Data - preExcl'!AF$2:AF259,$AE34,1)</f>
        <v>0</v>
      </c>
      <c r="AE34" s="56">
        <f>IFNA(MATCH(Y34,'RFR Data - preExcl'!A$2:A259,0),"")</f>
        <v>46</v>
      </c>
      <c r="AF34" s="43"/>
      <c r="AG34" s="58" t="s">
        <v>59</v>
      </c>
      <c r="AH34" s="46">
        <f>VLOOKUP(AG34,'Run Reconcile'!A$2:B259,2,FALSE)</f>
        <v>44852</v>
      </c>
      <c r="AI34" s="54">
        <f>COUNTIF('APS Tubes IMPORT'!$V$2:$V259, AG34)
</f>
        <v>9</v>
      </c>
      <c r="AJ34" s="54">
        <f>COUNTIFS('APS Tubes IMPORT'!V$2:V259, AG34, 'APS Tubes IMPORT'!H$2:H259, "Negative")
</f>
        <v>9</v>
      </c>
      <c r="AK34" s="54">
        <f>COUNTIFS('APS Tubes IMPORT'!V33:V259, AG34, 'APS Tubes IMPORT'!H33:H259, "Positive")
</f>
        <v>0</v>
      </c>
      <c r="AL34" s="54">
        <f>COUNTIFS('APS Tubes IMPORT'!V33:V259, AG34, 'APS Tubes IMPORT'!H33:H259, "Inconclusive")
</f>
        <v>0</v>
      </c>
      <c r="AM34" s="54">
        <f>COUNTIFS('APS Tubes IMPORT'!V33:V259, AG34, 'APS Tubes IMPORT'!H33:H259, "Null")
</f>
        <v>0</v>
      </c>
      <c r="AN34" s="43"/>
      <c r="AO34" s="12">
        <f>'APS Tubes by Date IMPORT'!B33</f>
        <v>44852</v>
      </c>
      <c r="AP34" s="54">
        <f>'APS Tubes by Date IMPORT'!C33</f>
        <v>9</v>
      </c>
      <c r="AQ34" s="54">
        <f>'APS Tubes by Date IMPORT'!D33</f>
        <v>9</v>
      </c>
      <c r="AR34" s="54">
        <f>'APS Tubes by Date IMPORT'!E33</f>
        <v>0</v>
      </c>
      <c r="AS34" s="54">
        <f>'APS Tubes by Date IMPORT'!F33</f>
        <v>0</v>
      </c>
      <c r="AT34" s="54">
        <f>'APS Tubes by Date IMPORT'!G33</f>
        <v>0</v>
      </c>
      <c r="AU34" s="43"/>
    </row>
    <row r="35">
      <c r="A35" s="7" t="s">
        <v>60</v>
      </c>
      <c r="B35" s="46">
        <f>VLOOKUP(A35,'ALL Tube Results'!$B$2:$D259,2,FALSE)</f>
        <v>44853</v>
      </c>
      <c r="C35" s="47">
        <f>COUNTIF('ALL Tube Results'!B34:B259, A35)
</f>
        <v>8</v>
      </c>
      <c r="D35" s="48">
        <f>COUNTIFS('ALL Tube Results'!$B34:$B259, $A35, 'ALL Tube Results'!$F34:$F259, "Negative")
</f>
        <v>8</v>
      </c>
      <c r="E35" s="48">
        <f>COUNTIFS('ALL Tube Results'!$B34:$B259, $A35, 'ALL Tube Results'!$F34:$F259, "Positive")
</f>
        <v>0</v>
      </c>
      <c r="F35" s="48">
        <f>COUNTIFS('ALL Tube Results'!$B34:$B259, $A35, 'ALL Tube Results'!$F34:$F259, "Inconclusive")
</f>
        <v>0</v>
      </c>
      <c r="G35" s="49">
        <f t="shared" si="7"/>
        <v>8</v>
      </c>
      <c r="H35" s="49" t="str">
        <f t="shared" si="8"/>
        <v/>
      </c>
      <c r="I35" s="50">
        <f t="shared" si="9"/>
        <v>8</v>
      </c>
      <c r="J35" s="51">
        <f t="shared" si="10"/>
        <v>0</v>
      </c>
      <c r="K35" s="51">
        <f t="shared" si="11"/>
        <v>0</v>
      </c>
      <c r="L35" s="51" t="str">
        <f t="shared" si="12"/>
        <v/>
      </c>
      <c r="M35" s="51" t="str">
        <f t="shared" si="13"/>
        <v/>
      </c>
      <c r="N35" s="51" t="str">
        <f t="shared" si="14"/>
        <v/>
      </c>
      <c r="O35" s="52">
        <f t="shared" si="15"/>
        <v>8</v>
      </c>
      <c r="P35" s="52" t="str">
        <f t="shared" si="16"/>
        <v/>
      </c>
      <c r="Q35" s="43"/>
      <c r="R35" s="7" t="s">
        <v>60</v>
      </c>
      <c r="S35" s="12">
        <v>44853.0</v>
      </c>
      <c r="T35" s="54">
        <f>VLOOKUP(R35,'Run Reconcile'!$A$2:$L259,12,FALSE)</f>
        <v>8</v>
      </c>
      <c r="U35" s="55" t="str">
        <f t="shared" si="17"/>
        <v/>
      </c>
      <c r="V35" s="54"/>
      <c r="W35" s="54"/>
      <c r="X35" s="43"/>
      <c r="Y35" s="7" t="str">
        <f>IFERROR(__xludf.DUMMYFUNCTION("""COMPUTED_VALUE"""),"RUN-ABRM_2022-10-19_RFR-048")</f>
        <v>RUN-ABRM_2022-10-19_RFR-048</v>
      </c>
      <c r="Z35" s="12">
        <f>IFERROR(__xludf.DUMMYFUNCTION("""COMPUTED_VALUE"""),44853.0)</f>
        <v>44853</v>
      </c>
      <c r="AA35" s="50">
        <f t="array" ref="AA35">INDEX('RFR Data - preExcl'!AK$2:AK259,$AE35,1)</f>
        <v>8</v>
      </c>
      <c r="AB35" s="54">
        <f t="shared" si="18"/>
        <v>8</v>
      </c>
      <c r="AC35" s="54">
        <f t="array" ref="AC35">INDEX('RFR Data - preExcl'!AI$2:AI259,$AE35,1)</f>
        <v>0</v>
      </c>
      <c r="AD35" s="54">
        <f t="array" ref="AD35">INDEX('RFR Data - preExcl'!AF$2:AF259,$AE35,1)</f>
        <v>0</v>
      </c>
      <c r="AE35" s="56">
        <f>IFNA(MATCH(Y35,'RFR Data - preExcl'!A$2:A259,0),"")</f>
        <v>48</v>
      </c>
      <c r="AF35" s="43"/>
      <c r="AG35" s="58" t="s">
        <v>60</v>
      </c>
      <c r="AH35" s="46">
        <f>VLOOKUP(AG35,'Run Reconcile'!A$2:B259,2,FALSE)</f>
        <v>44853</v>
      </c>
      <c r="AI35" s="54">
        <f>COUNTIF('APS Tubes IMPORT'!$V$2:$V259, AG35)
</f>
        <v>8</v>
      </c>
      <c r="AJ35" s="54">
        <f>COUNTIFS('APS Tubes IMPORT'!V$2:V259, AG35, 'APS Tubes IMPORT'!H$2:H259, "Negative")
</f>
        <v>8</v>
      </c>
      <c r="AK35" s="54">
        <f>COUNTIFS('APS Tubes IMPORT'!V34:V259, AG35, 'APS Tubes IMPORT'!H34:H259, "Positive")
</f>
        <v>0</v>
      </c>
      <c r="AL35" s="54">
        <f>COUNTIFS('APS Tubes IMPORT'!V34:V259, AG35, 'APS Tubes IMPORT'!H34:H259, "Inconclusive")
</f>
        <v>0</v>
      </c>
      <c r="AM35" s="54">
        <f>COUNTIFS('APS Tubes IMPORT'!V34:V259, AG35, 'APS Tubes IMPORT'!H34:H259, "Null")
</f>
        <v>0</v>
      </c>
      <c r="AN35" s="43"/>
      <c r="AO35" s="12">
        <f>'APS Tubes by Date IMPORT'!B34</f>
        <v>44853</v>
      </c>
      <c r="AP35" s="54">
        <f>'APS Tubes by Date IMPORT'!C34</f>
        <v>8</v>
      </c>
      <c r="AQ35" s="54">
        <f>'APS Tubes by Date IMPORT'!D34</f>
        <v>8</v>
      </c>
      <c r="AR35" s="54">
        <f>'APS Tubes by Date IMPORT'!E34</f>
        <v>0</v>
      </c>
      <c r="AS35" s="54">
        <f>'APS Tubes by Date IMPORT'!F34</f>
        <v>0</v>
      </c>
      <c r="AT35" s="54">
        <f>'APS Tubes by Date IMPORT'!G34</f>
        <v>0</v>
      </c>
      <c r="AU35" s="43"/>
    </row>
    <row r="36">
      <c r="A36" s="7" t="s">
        <v>61</v>
      </c>
      <c r="B36" s="46">
        <f>VLOOKUP(A36,'ALL Tube Results'!$B$2:$D259,2,FALSE)</f>
        <v>44854</v>
      </c>
      <c r="C36" s="47">
        <f>COUNTIF('ALL Tube Results'!B35:B259, A36)
</f>
        <v>8</v>
      </c>
      <c r="D36" s="48">
        <f>COUNTIFS('ALL Tube Results'!$B35:$B259, $A36, 'ALL Tube Results'!$F35:$F259, "Negative")
</f>
        <v>8</v>
      </c>
      <c r="E36" s="48">
        <f>COUNTIFS('ALL Tube Results'!$B35:$B259, $A36, 'ALL Tube Results'!$F35:$F259, "Positive")
</f>
        <v>0</v>
      </c>
      <c r="F36" s="48">
        <f>COUNTIFS('ALL Tube Results'!$B35:$B259, $A36, 'ALL Tube Results'!$F35:$F259, "Inconclusive")
</f>
        <v>0</v>
      </c>
      <c r="G36" s="49">
        <f t="shared" si="7"/>
        <v>8</v>
      </c>
      <c r="H36" s="49" t="str">
        <f t="shared" si="8"/>
        <v/>
      </c>
      <c r="I36" s="50">
        <f t="shared" si="9"/>
        <v>8</v>
      </c>
      <c r="J36" s="51">
        <f t="shared" si="10"/>
        <v>0</v>
      </c>
      <c r="K36" s="51">
        <f t="shared" si="11"/>
        <v>0</v>
      </c>
      <c r="L36" s="51" t="str">
        <f t="shared" si="12"/>
        <v/>
      </c>
      <c r="M36" s="51" t="str">
        <f t="shared" si="13"/>
        <v/>
      </c>
      <c r="N36" s="51" t="str">
        <f t="shared" si="14"/>
        <v/>
      </c>
      <c r="O36" s="52">
        <f t="shared" si="15"/>
        <v>8</v>
      </c>
      <c r="P36" s="52" t="str">
        <f t="shared" si="16"/>
        <v/>
      </c>
      <c r="Q36" s="43"/>
      <c r="R36" s="7" t="s">
        <v>61</v>
      </c>
      <c r="S36" s="12">
        <v>44854.0</v>
      </c>
      <c r="T36" s="54">
        <f>VLOOKUP(R36,'Run Reconcile'!$A$2:$L259,12,FALSE)</f>
        <v>8</v>
      </c>
      <c r="U36" s="55" t="str">
        <f t="shared" si="17"/>
        <v/>
      </c>
      <c r="V36" s="54"/>
      <c r="W36" s="54"/>
      <c r="X36" s="43"/>
      <c r="Y36" s="7" t="str">
        <f>IFERROR(__xludf.DUMMYFUNCTION("""COMPUTED_VALUE"""),"RUN-ABRM_2022-10-20_RFR-049")</f>
        <v>RUN-ABRM_2022-10-20_RFR-049</v>
      </c>
      <c r="Z36" s="12">
        <f>IFERROR(__xludf.DUMMYFUNCTION("""COMPUTED_VALUE"""),44854.0)</f>
        <v>44854</v>
      </c>
      <c r="AA36" s="50">
        <f t="array" ref="AA36">INDEX('RFR Data - preExcl'!AK$2:AK259,$AE36,1)</f>
        <v>8</v>
      </c>
      <c r="AB36" s="54">
        <f t="shared" si="18"/>
        <v>8</v>
      </c>
      <c r="AC36" s="54">
        <f t="array" ref="AC36">INDEX('RFR Data - preExcl'!AI$2:AI259,$AE36,1)</f>
        <v>0</v>
      </c>
      <c r="AD36" s="54">
        <f t="array" ref="AD36">INDEX('RFR Data - preExcl'!AF$2:AF259,$AE36,1)</f>
        <v>0</v>
      </c>
      <c r="AE36" s="56">
        <f>IFNA(MATCH(Y36,'RFR Data - preExcl'!A$2:A259,0),"")</f>
        <v>49</v>
      </c>
      <c r="AF36" s="43"/>
      <c r="AG36" s="58" t="s">
        <v>61</v>
      </c>
      <c r="AH36" s="46">
        <f>VLOOKUP(AG36,'Run Reconcile'!A$2:B259,2,FALSE)</f>
        <v>44854</v>
      </c>
      <c r="AI36" s="54">
        <f>COUNTIF('APS Tubes IMPORT'!$V$2:$V259, AG36)
</f>
        <v>8</v>
      </c>
      <c r="AJ36" s="54">
        <f>COUNTIFS('APS Tubes IMPORT'!V$2:V259, AG36, 'APS Tubes IMPORT'!H$2:H259, "Negative")
</f>
        <v>8</v>
      </c>
      <c r="AK36" s="54">
        <f>COUNTIFS('APS Tubes IMPORT'!V35:V259, AG36, 'APS Tubes IMPORT'!H35:H259, "Positive")
</f>
        <v>0</v>
      </c>
      <c r="AL36" s="54">
        <f>COUNTIFS('APS Tubes IMPORT'!V35:V259, AG36, 'APS Tubes IMPORT'!H35:H259, "Inconclusive")
</f>
        <v>0</v>
      </c>
      <c r="AM36" s="54">
        <f>COUNTIFS('APS Tubes IMPORT'!V35:V259, AG36, 'APS Tubes IMPORT'!H35:H259, "Null")
</f>
        <v>0</v>
      </c>
      <c r="AN36" s="43"/>
      <c r="AO36" s="12">
        <f>'APS Tubes by Date IMPORT'!B35</f>
        <v>44854</v>
      </c>
      <c r="AP36" s="54">
        <f>'APS Tubes by Date IMPORT'!C35</f>
        <v>8</v>
      </c>
      <c r="AQ36" s="54">
        <f>'APS Tubes by Date IMPORT'!D35</f>
        <v>8</v>
      </c>
      <c r="AR36" s="54">
        <f>'APS Tubes by Date IMPORT'!E35</f>
        <v>0</v>
      </c>
      <c r="AS36" s="54">
        <f>'APS Tubes by Date IMPORT'!F35</f>
        <v>0</v>
      </c>
      <c r="AT36" s="54">
        <f>'APS Tubes by Date IMPORT'!G35</f>
        <v>0</v>
      </c>
      <c r="AU36" s="43"/>
    </row>
    <row r="37">
      <c r="A37" s="7" t="s">
        <v>62</v>
      </c>
      <c r="B37" s="46">
        <f>VLOOKUP(A37,'ALL Tube Results'!$B$2:$D259,2,FALSE)</f>
        <v>44855</v>
      </c>
      <c r="C37" s="47">
        <f>COUNTIF('ALL Tube Results'!B36:B259, A37)
</f>
        <v>10</v>
      </c>
      <c r="D37" s="48">
        <f>COUNTIFS('ALL Tube Results'!$B36:$B259, $A37, 'ALL Tube Results'!$F36:$F259, "Negative")
</f>
        <v>10</v>
      </c>
      <c r="E37" s="48">
        <f>COUNTIFS('ALL Tube Results'!$B36:$B259, $A37, 'ALL Tube Results'!$F36:$F259, "Positive")
</f>
        <v>0</v>
      </c>
      <c r="F37" s="48">
        <f>COUNTIFS('ALL Tube Results'!$B36:$B259, $A37, 'ALL Tube Results'!$F36:$F259, "Inconclusive")
</f>
        <v>0</v>
      </c>
      <c r="G37" s="49">
        <f t="shared" si="7"/>
        <v>10</v>
      </c>
      <c r="H37" s="49" t="str">
        <f t="shared" si="8"/>
        <v/>
      </c>
      <c r="I37" s="50">
        <f t="shared" si="9"/>
        <v>10</v>
      </c>
      <c r="J37" s="51">
        <f t="shared" si="10"/>
        <v>0</v>
      </c>
      <c r="K37" s="51">
        <f t="shared" si="11"/>
        <v>0</v>
      </c>
      <c r="L37" s="51" t="str">
        <f t="shared" si="12"/>
        <v/>
      </c>
      <c r="M37" s="51" t="str">
        <f t="shared" si="13"/>
        <v/>
      </c>
      <c r="N37" s="51" t="str">
        <f t="shared" si="14"/>
        <v/>
      </c>
      <c r="O37" s="52">
        <f t="shared" si="15"/>
        <v>10</v>
      </c>
      <c r="P37" s="52" t="str">
        <f t="shared" si="16"/>
        <v/>
      </c>
      <c r="Q37" s="43"/>
      <c r="R37" s="7" t="s">
        <v>62</v>
      </c>
      <c r="S37" s="12">
        <v>44855.0</v>
      </c>
      <c r="T37" s="54">
        <f>VLOOKUP(R37,'Run Reconcile'!$A$2:$L259,12,FALSE)</f>
        <v>10</v>
      </c>
      <c r="U37" s="55" t="str">
        <f t="shared" si="17"/>
        <v/>
      </c>
      <c r="V37" s="54"/>
      <c r="W37" s="54"/>
      <c r="X37" s="43"/>
      <c r="Y37" s="7" t="str">
        <f>IFERROR(__xludf.DUMMYFUNCTION("""COMPUTED_VALUE"""),"RUN-ABRM_2022-10-21_RFR-050")</f>
        <v>RUN-ABRM_2022-10-21_RFR-050</v>
      </c>
      <c r="Z37" s="12">
        <f>IFERROR(__xludf.DUMMYFUNCTION("""COMPUTED_VALUE"""),44855.0)</f>
        <v>44855</v>
      </c>
      <c r="AA37" s="50">
        <f t="array" ref="AA37">INDEX('RFR Data - preExcl'!AK$2:AK259,$AE37,1)</f>
        <v>10</v>
      </c>
      <c r="AB37" s="54">
        <f t="shared" si="18"/>
        <v>10</v>
      </c>
      <c r="AC37" s="54">
        <f t="array" ref="AC37">INDEX('RFR Data - preExcl'!AI$2:AI259,$AE37,1)</f>
        <v>0</v>
      </c>
      <c r="AD37" s="54">
        <f t="array" ref="AD37">INDEX('RFR Data - preExcl'!AF$2:AF259,$AE37,1)</f>
        <v>0</v>
      </c>
      <c r="AE37" s="56">
        <f>IFNA(MATCH(Y37,'RFR Data - preExcl'!A$2:A259,0),"")</f>
        <v>50</v>
      </c>
      <c r="AF37" s="43"/>
      <c r="AG37" s="58" t="s">
        <v>62</v>
      </c>
      <c r="AH37" s="46">
        <f>VLOOKUP(AG37,'Run Reconcile'!A$2:B259,2,FALSE)</f>
        <v>44855</v>
      </c>
      <c r="AI37" s="54">
        <f>COUNTIF('APS Tubes IMPORT'!$V$2:$V259, AG37)
</f>
        <v>10</v>
      </c>
      <c r="AJ37" s="54">
        <f>COUNTIFS('APS Tubes IMPORT'!V$2:V259, AG37, 'APS Tubes IMPORT'!H$2:H259, "Negative")
</f>
        <v>10</v>
      </c>
      <c r="AK37" s="54">
        <f>COUNTIFS('APS Tubes IMPORT'!V36:V259, AG37, 'APS Tubes IMPORT'!H36:H259, "Positive")
</f>
        <v>0</v>
      </c>
      <c r="AL37" s="54">
        <f>COUNTIFS('APS Tubes IMPORT'!V36:V259, AG37, 'APS Tubes IMPORT'!H36:H259, "Inconclusive")
</f>
        <v>0</v>
      </c>
      <c r="AM37" s="54">
        <f>COUNTIFS('APS Tubes IMPORT'!V36:V259, AG37, 'APS Tubes IMPORT'!H36:H259, "Null")
</f>
        <v>0</v>
      </c>
      <c r="AN37" s="43"/>
      <c r="AO37" s="12">
        <f>'APS Tubes by Date IMPORT'!B36</f>
        <v>44855</v>
      </c>
      <c r="AP37" s="54">
        <f>'APS Tubes by Date IMPORT'!C36</f>
        <v>10</v>
      </c>
      <c r="AQ37" s="54">
        <f>'APS Tubes by Date IMPORT'!D36</f>
        <v>10</v>
      </c>
      <c r="AR37" s="54">
        <f>'APS Tubes by Date IMPORT'!E36</f>
        <v>0</v>
      </c>
      <c r="AS37" s="54">
        <f>'APS Tubes by Date IMPORT'!F36</f>
        <v>0</v>
      </c>
      <c r="AT37" s="54">
        <f>'APS Tubes by Date IMPORT'!G36</f>
        <v>0</v>
      </c>
      <c r="AU37" s="43"/>
    </row>
    <row r="38">
      <c r="A38" s="7" t="s">
        <v>63</v>
      </c>
      <c r="B38" s="46">
        <f>VLOOKUP(A38,'ALL Tube Results'!$B$2:$D259,2,FALSE)</f>
        <v>44858</v>
      </c>
      <c r="C38" s="47">
        <f>COUNTIF('ALL Tube Results'!B37:B259, A38)
</f>
        <v>11</v>
      </c>
      <c r="D38" s="48">
        <f>COUNTIFS('ALL Tube Results'!$B37:$B259, $A38, 'ALL Tube Results'!$F37:$F259, "Negative")
</f>
        <v>11</v>
      </c>
      <c r="E38" s="48">
        <f>COUNTIFS('ALL Tube Results'!$B37:$B259, $A38, 'ALL Tube Results'!$F37:$F259, "Positive")
</f>
        <v>0</v>
      </c>
      <c r="F38" s="48">
        <f>COUNTIFS('ALL Tube Results'!$B37:$B259, $A38, 'ALL Tube Results'!$F37:$F259, "Inconclusive")
</f>
        <v>0</v>
      </c>
      <c r="G38" s="49">
        <f t="shared" si="7"/>
        <v>11</v>
      </c>
      <c r="H38" s="49" t="str">
        <f t="shared" si="8"/>
        <v/>
      </c>
      <c r="I38" s="50">
        <f t="shared" si="9"/>
        <v>11</v>
      </c>
      <c r="J38" s="51">
        <f t="shared" si="10"/>
        <v>0</v>
      </c>
      <c r="K38" s="51">
        <f t="shared" si="11"/>
        <v>0</v>
      </c>
      <c r="L38" s="51" t="str">
        <f t="shared" si="12"/>
        <v/>
      </c>
      <c r="M38" s="51" t="str">
        <f t="shared" si="13"/>
        <v/>
      </c>
      <c r="N38" s="51" t="str">
        <f t="shared" si="14"/>
        <v/>
      </c>
      <c r="O38" s="52">
        <f t="shared" si="15"/>
        <v>11</v>
      </c>
      <c r="P38" s="52" t="str">
        <f t="shared" si="16"/>
        <v/>
      </c>
      <c r="Q38" s="43"/>
      <c r="R38" s="7" t="s">
        <v>63</v>
      </c>
      <c r="S38" s="12">
        <v>44858.0</v>
      </c>
      <c r="T38" s="54">
        <f>VLOOKUP(R38,'Run Reconcile'!$A$2:$L259,12,FALSE)</f>
        <v>11</v>
      </c>
      <c r="U38" s="55" t="str">
        <f t="shared" si="17"/>
        <v/>
      </c>
      <c r="V38" s="54"/>
      <c r="W38" s="54"/>
      <c r="X38" s="43"/>
      <c r="Y38" s="7" t="str">
        <f>IFERROR(__xludf.DUMMYFUNCTION("""COMPUTED_VALUE"""),"RUN-ABRM_2022-10-24_RFR-051")</f>
        <v>RUN-ABRM_2022-10-24_RFR-051</v>
      </c>
      <c r="Z38" s="12">
        <f>IFERROR(__xludf.DUMMYFUNCTION("""COMPUTED_VALUE"""),44858.0)</f>
        <v>44858</v>
      </c>
      <c r="AA38" s="50">
        <f t="array" ref="AA38">INDEX('RFR Data - preExcl'!AK$2:AK259,$AE38,1)</f>
        <v>11</v>
      </c>
      <c r="AB38" s="54">
        <f t="shared" si="18"/>
        <v>11</v>
      </c>
      <c r="AC38" s="54">
        <f t="array" ref="AC38">INDEX('RFR Data - preExcl'!AI$2:AI259,$AE38,1)</f>
        <v>0</v>
      </c>
      <c r="AD38" s="54">
        <f t="array" ref="AD38">INDEX('RFR Data - preExcl'!AF$2:AF259,$AE38,1)</f>
        <v>0</v>
      </c>
      <c r="AE38" s="56">
        <f>IFNA(MATCH(Y38,'RFR Data - preExcl'!A$2:A259,0),"")</f>
        <v>51</v>
      </c>
      <c r="AF38" s="43"/>
      <c r="AG38" s="58" t="s">
        <v>63</v>
      </c>
      <c r="AH38" s="46">
        <f>VLOOKUP(AG38,'Run Reconcile'!A$2:B259,2,FALSE)</f>
        <v>44858</v>
      </c>
      <c r="AI38" s="54">
        <f>COUNTIF('APS Tubes IMPORT'!$V$2:$V259, AG38)
</f>
        <v>11</v>
      </c>
      <c r="AJ38" s="54">
        <f>COUNTIFS('APS Tubes IMPORT'!V$2:V259, AG38, 'APS Tubes IMPORT'!H$2:H259, "Negative")
</f>
        <v>11</v>
      </c>
      <c r="AK38" s="54">
        <f>COUNTIFS('APS Tubes IMPORT'!V37:V259, AG38, 'APS Tubes IMPORT'!H37:H259, "Positive")
</f>
        <v>0</v>
      </c>
      <c r="AL38" s="54">
        <f>COUNTIFS('APS Tubes IMPORT'!V37:V259, AG38, 'APS Tubes IMPORT'!H37:H259, "Inconclusive")
</f>
        <v>0</v>
      </c>
      <c r="AM38" s="54">
        <f>COUNTIFS('APS Tubes IMPORT'!V37:V259, AG38, 'APS Tubes IMPORT'!H37:H259, "Null")
</f>
        <v>0</v>
      </c>
      <c r="AN38" s="43"/>
      <c r="AO38" s="12">
        <f>'APS Tubes by Date IMPORT'!B37</f>
        <v>44858</v>
      </c>
      <c r="AP38" s="54">
        <f>'APS Tubes by Date IMPORT'!C37</f>
        <v>11</v>
      </c>
      <c r="AQ38" s="54">
        <f>'APS Tubes by Date IMPORT'!D37</f>
        <v>11</v>
      </c>
      <c r="AR38" s="54">
        <f>'APS Tubes by Date IMPORT'!E37</f>
        <v>0</v>
      </c>
      <c r="AS38" s="54">
        <f>'APS Tubes by Date IMPORT'!F37</f>
        <v>0</v>
      </c>
      <c r="AT38" s="54">
        <f>'APS Tubes by Date IMPORT'!G37</f>
        <v>0</v>
      </c>
      <c r="AU38" s="43"/>
    </row>
    <row r="39">
      <c r="A39" s="7" t="s">
        <v>64</v>
      </c>
      <c r="B39" s="46">
        <f>VLOOKUP(A39,'ALL Tube Results'!$B$2:$D259,2,FALSE)</f>
        <v>44859</v>
      </c>
      <c r="C39" s="47">
        <f>COUNTIF('ALL Tube Results'!B38:B259, A39)
</f>
        <v>9</v>
      </c>
      <c r="D39" s="48">
        <f>COUNTIFS('ALL Tube Results'!$B38:$B259, $A39, 'ALL Tube Results'!$F38:$F259, "Negative")
</f>
        <v>9</v>
      </c>
      <c r="E39" s="48">
        <f>COUNTIFS('ALL Tube Results'!$B38:$B259, $A39, 'ALL Tube Results'!$F38:$F259, "Positive")
</f>
        <v>0</v>
      </c>
      <c r="F39" s="48">
        <f>COUNTIFS('ALL Tube Results'!$B38:$B259, $A39, 'ALL Tube Results'!$F38:$F259, "Inconclusive")
</f>
        <v>0</v>
      </c>
      <c r="G39" s="49">
        <f t="shared" si="7"/>
        <v>9</v>
      </c>
      <c r="H39" s="49" t="str">
        <f t="shared" si="8"/>
        <v/>
      </c>
      <c r="I39" s="50">
        <f t="shared" si="9"/>
        <v>9</v>
      </c>
      <c r="J39" s="51">
        <f t="shared" si="10"/>
        <v>0</v>
      </c>
      <c r="K39" s="51">
        <f t="shared" si="11"/>
        <v>0</v>
      </c>
      <c r="L39" s="51" t="str">
        <f t="shared" si="12"/>
        <v/>
      </c>
      <c r="M39" s="51" t="str">
        <f t="shared" si="13"/>
        <v/>
      </c>
      <c r="N39" s="51" t="str">
        <f t="shared" si="14"/>
        <v/>
      </c>
      <c r="O39" s="52">
        <f t="shared" si="15"/>
        <v>9</v>
      </c>
      <c r="P39" s="52" t="str">
        <f t="shared" si="16"/>
        <v/>
      </c>
      <c r="Q39" s="43"/>
      <c r="R39" s="7" t="s">
        <v>64</v>
      </c>
      <c r="S39" s="12">
        <v>44859.0</v>
      </c>
      <c r="T39" s="54">
        <f>VLOOKUP(R39,'Run Reconcile'!$A$2:$L259,12,FALSE)</f>
        <v>9</v>
      </c>
      <c r="U39" s="55" t="str">
        <f t="shared" si="17"/>
        <v/>
      </c>
      <c r="V39" s="54"/>
      <c r="W39" s="54"/>
      <c r="X39" s="43"/>
      <c r="Y39" s="7" t="str">
        <f>IFERROR(__xludf.DUMMYFUNCTION("""COMPUTED_VALUE"""),"RUN-ABRM_2022-10-25_RFR-052")</f>
        <v>RUN-ABRM_2022-10-25_RFR-052</v>
      </c>
      <c r="Z39" s="12">
        <f>IFERROR(__xludf.DUMMYFUNCTION("""COMPUTED_VALUE"""),44859.0)</f>
        <v>44859</v>
      </c>
      <c r="AA39" s="50">
        <f t="array" ref="AA39">INDEX('RFR Data - preExcl'!AK$2:AK259,$AE39,1)</f>
        <v>9</v>
      </c>
      <c r="AB39" s="54">
        <f t="shared" si="18"/>
        <v>9</v>
      </c>
      <c r="AC39" s="54">
        <f t="array" ref="AC39">INDEX('RFR Data - preExcl'!AI$2:AI259,$AE39,1)</f>
        <v>0</v>
      </c>
      <c r="AD39" s="54">
        <f t="array" ref="AD39">INDEX('RFR Data - preExcl'!AF$2:AF259,$AE39,1)</f>
        <v>0</v>
      </c>
      <c r="AE39" s="56">
        <f>IFNA(MATCH(Y39,'RFR Data - preExcl'!A$2:A259,0),"")</f>
        <v>52</v>
      </c>
      <c r="AF39" s="43"/>
      <c r="AG39" s="58" t="s">
        <v>64</v>
      </c>
      <c r="AH39" s="46">
        <f>VLOOKUP(AG39,'Run Reconcile'!A$2:B259,2,FALSE)</f>
        <v>44859</v>
      </c>
      <c r="AI39" s="54">
        <f>COUNTIF('APS Tubes IMPORT'!$V$2:$V259, AG39)
</f>
        <v>9</v>
      </c>
      <c r="AJ39" s="54">
        <f>COUNTIFS('APS Tubes IMPORT'!V$2:V259, AG39, 'APS Tubes IMPORT'!H$2:H259, "Negative")
</f>
        <v>9</v>
      </c>
      <c r="AK39" s="54">
        <f>COUNTIFS('APS Tubes IMPORT'!V38:V259, AG39, 'APS Tubes IMPORT'!H38:H259, "Positive")
</f>
        <v>0</v>
      </c>
      <c r="AL39" s="54">
        <f>COUNTIFS('APS Tubes IMPORT'!V38:V259, AG39, 'APS Tubes IMPORT'!H38:H259, "Inconclusive")
</f>
        <v>0</v>
      </c>
      <c r="AM39" s="54">
        <f>COUNTIFS('APS Tubes IMPORT'!V38:V259, AG39, 'APS Tubes IMPORT'!H38:H259, "Null")
</f>
        <v>0</v>
      </c>
      <c r="AN39" s="43"/>
      <c r="AO39" s="12">
        <f>'APS Tubes by Date IMPORT'!B38</f>
        <v>44859</v>
      </c>
      <c r="AP39" s="54">
        <f>'APS Tubes by Date IMPORT'!C38</f>
        <v>9</v>
      </c>
      <c r="AQ39" s="54">
        <f>'APS Tubes by Date IMPORT'!D38</f>
        <v>9</v>
      </c>
      <c r="AR39" s="54">
        <f>'APS Tubes by Date IMPORT'!E38</f>
        <v>0</v>
      </c>
      <c r="AS39" s="54">
        <f>'APS Tubes by Date IMPORT'!F38</f>
        <v>0</v>
      </c>
      <c r="AT39" s="54">
        <f>'APS Tubes by Date IMPORT'!G38</f>
        <v>0</v>
      </c>
      <c r="AU39" s="43"/>
    </row>
    <row r="40">
      <c r="A40" s="7" t="s">
        <v>65</v>
      </c>
      <c r="B40" s="46">
        <f>VLOOKUP(A40,'ALL Tube Results'!$B$2:$D259,2,FALSE)</f>
        <v>44860</v>
      </c>
      <c r="C40" s="47">
        <f>COUNTIF('ALL Tube Results'!B39:B259, A40)
</f>
        <v>8</v>
      </c>
      <c r="D40" s="48">
        <f>COUNTIFS('ALL Tube Results'!$B39:$B259, $A40, 'ALL Tube Results'!$F39:$F259, "Negative")
</f>
        <v>8</v>
      </c>
      <c r="E40" s="48">
        <f>COUNTIFS('ALL Tube Results'!$B39:$B259, $A40, 'ALL Tube Results'!$F39:$F259, "Positive")
</f>
        <v>0</v>
      </c>
      <c r="F40" s="48">
        <f>COUNTIFS('ALL Tube Results'!$B39:$B259, $A40, 'ALL Tube Results'!$F39:$F259, "Inconclusive")
</f>
        <v>0</v>
      </c>
      <c r="G40" s="49">
        <f t="shared" si="7"/>
        <v>8</v>
      </c>
      <c r="H40" s="49" t="str">
        <f t="shared" si="8"/>
        <v/>
      </c>
      <c r="I40" s="50">
        <f t="shared" si="9"/>
        <v>8</v>
      </c>
      <c r="J40" s="51">
        <f t="shared" si="10"/>
        <v>0</v>
      </c>
      <c r="K40" s="51">
        <f t="shared" si="11"/>
        <v>0</v>
      </c>
      <c r="L40" s="51" t="str">
        <f t="shared" si="12"/>
        <v/>
      </c>
      <c r="M40" s="51" t="str">
        <f t="shared" si="13"/>
        <v/>
      </c>
      <c r="N40" s="51" t="str">
        <f t="shared" si="14"/>
        <v/>
      </c>
      <c r="O40" s="52">
        <f t="shared" si="15"/>
        <v>8</v>
      </c>
      <c r="P40" s="52" t="str">
        <f t="shared" si="16"/>
        <v/>
      </c>
      <c r="Q40" s="43"/>
      <c r="R40" s="7" t="s">
        <v>65</v>
      </c>
      <c r="S40" s="12">
        <v>44860.0</v>
      </c>
      <c r="T40" s="54">
        <f>VLOOKUP(R40,'Run Reconcile'!$A$2:$L259,12,FALSE)</f>
        <v>8</v>
      </c>
      <c r="U40" s="55" t="str">
        <f t="shared" si="17"/>
        <v/>
      </c>
      <c r="V40" s="54"/>
      <c r="W40" s="54"/>
      <c r="X40" s="43"/>
      <c r="Y40" s="7" t="str">
        <f>IFERROR(__xludf.DUMMYFUNCTION("""COMPUTED_VALUE"""),"RUN-ABRM_2022-10-26_RFR-054")</f>
        <v>RUN-ABRM_2022-10-26_RFR-054</v>
      </c>
      <c r="Z40" s="12">
        <f>IFERROR(__xludf.DUMMYFUNCTION("""COMPUTED_VALUE"""),44860.0)</f>
        <v>44860</v>
      </c>
      <c r="AA40" s="50">
        <f t="array" ref="AA40">INDEX('RFR Data - preExcl'!AK$2:AK259,$AE40,1)</f>
        <v>8</v>
      </c>
      <c r="AB40" s="54">
        <f t="shared" si="18"/>
        <v>8</v>
      </c>
      <c r="AC40" s="54">
        <f t="array" ref="AC40">INDEX('RFR Data - preExcl'!AI$2:AI259,$AE40,1)</f>
        <v>0</v>
      </c>
      <c r="AD40" s="54">
        <f t="array" ref="AD40">INDEX('RFR Data - preExcl'!AF$2:AF259,$AE40,1)</f>
        <v>0</v>
      </c>
      <c r="AE40" s="56">
        <f>IFNA(MATCH(Y40,'RFR Data - preExcl'!A$2:A259,0),"")</f>
        <v>54</v>
      </c>
      <c r="AF40" s="43"/>
      <c r="AG40" s="58" t="s">
        <v>65</v>
      </c>
      <c r="AH40" s="46">
        <f>VLOOKUP(AG40,'Run Reconcile'!A$2:B259,2,FALSE)</f>
        <v>44860</v>
      </c>
      <c r="AI40" s="54">
        <f>COUNTIF('APS Tubes IMPORT'!$V$2:$V259, AG40)
</f>
        <v>8</v>
      </c>
      <c r="AJ40" s="54">
        <f>COUNTIFS('APS Tubes IMPORT'!V$2:V259, AG40, 'APS Tubes IMPORT'!H$2:H259, "Negative")
</f>
        <v>8</v>
      </c>
      <c r="AK40" s="54">
        <f>COUNTIFS('APS Tubes IMPORT'!V39:V259, AG40, 'APS Tubes IMPORT'!H39:H259, "Positive")
</f>
        <v>0</v>
      </c>
      <c r="AL40" s="54">
        <f>COUNTIFS('APS Tubes IMPORT'!V39:V259, AG40, 'APS Tubes IMPORT'!H39:H259, "Inconclusive")
</f>
        <v>0</v>
      </c>
      <c r="AM40" s="54">
        <f>COUNTIFS('APS Tubes IMPORT'!V39:V259, AG40, 'APS Tubes IMPORT'!H39:H259, "Null")
</f>
        <v>0</v>
      </c>
      <c r="AN40" s="43"/>
      <c r="AO40" s="12">
        <f>'APS Tubes by Date IMPORT'!B39</f>
        <v>44860</v>
      </c>
      <c r="AP40" s="54">
        <f>'APS Tubes by Date IMPORT'!C39</f>
        <v>8</v>
      </c>
      <c r="AQ40" s="54">
        <f>'APS Tubes by Date IMPORT'!D39</f>
        <v>8</v>
      </c>
      <c r="AR40" s="54">
        <f>'APS Tubes by Date IMPORT'!E39</f>
        <v>0</v>
      </c>
      <c r="AS40" s="54">
        <f>'APS Tubes by Date IMPORT'!F39</f>
        <v>0</v>
      </c>
      <c r="AT40" s="54">
        <f>'APS Tubes by Date IMPORT'!G39</f>
        <v>0</v>
      </c>
      <c r="AU40" s="43"/>
    </row>
    <row r="41">
      <c r="A41" s="7" t="s">
        <v>66</v>
      </c>
      <c r="B41" s="46">
        <f>VLOOKUP(A41,'ALL Tube Results'!$B$2:$D259,2,FALSE)</f>
        <v>44861</v>
      </c>
      <c r="C41" s="47">
        <f>COUNTIF('ALL Tube Results'!B40:B259, A41)
</f>
        <v>10</v>
      </c>
      <c r="D41" s="48">
        <f>COUNTIFS('ALL Tube Results'!$B40:$B259, $A41, 'ALL Tube Results'!$F40:$F259, "Negative")
</f>
        <v>10</v>
      </c>
      <c r="E41" s="48">
        <f>COUNTIFS('ALL Tube Results'!$B40:$B259, $A41, 'ALL Tube Results'!$F40:$F259, "Positive")
</f>
        <v>0</v>
      </c>
      <c r="F41" s="48">
        <f>COUNTIFS('ALL Tube Results'!$B40:$B259, $A41, 'ALL Tube Results'!$F40:$F259, "Inconclusive")
</f>
        <v>0</v>
      </c>
      <c r="G41" s="49">
        <f t="shared" si="7"/>
        <v>10</v>
      </c>
      <c r="H41" s="49" t="str">
        <f t="shared" si="8"/>
        <v/>
      </c>
      <c r="I41" s="50">
        <f t="shared" si="9"/>
        <v>10</v>
      </c>
      <c r="J41" s="51">
        <f t="shared" si="10"/>
        <v>0</v>
      </c>
      <c r="K41" s="51">
        <f t="shared" si="11"/>
        <v>0</v>
      </c>
      <c r="L41" s="51" t="str">
        <f t="shared" si="12"/>
        <v/>
      </c>
      <c r="M41" s="51" t="str">
        <f t="shared" si="13"/>
        <v/>
      </c>
      <c r="N41" s="51" t="str">
        <f t="shared" si="14"/>
        <v/>
      </c>
      <c r="O41" s="52">
        <f t="shared" si="15"/>
        <v>10</v>
      </c>
      <c r="P41" s="52" t="str">
        <f t="shared" si="16"/>
        <v/>
      </c>
      <c r="Q41" s="43"/>
      <c r="R41" s="7" t="s">
        <v>66</v>
      </c>
      <c r="S41" s="12">
        <v>44861.0</v>
      </c>
      <c r="T41" s="54">
        <f>VLOOKUP(R41,'Run Reconcile'!$A$2:$L259,12,FALSE)</f>
        <v>10</v>
      </c>
      <c r="U41" s="55" t="str">
        <f t="shared" si="17"/>
        <v/>
      </c>
      <c r="V41" s="54"/>
      <c r="W41" s="54"/>
      <c r="X41" s="43"/>
      <c r="Y41" s="7" t="str">
        <f>IFERROR(__xludf.DUMMYFUNCTION("""COMPUTED_VALUE"""),"RUN-ABRM_2022-10-27_RFR-055")</f>
        <v>RUN-ABRM_2022-10-27_RFR-055</v>
      </c>
      <c r="Z41" s="12">
        <f>IFERROR(__xludf.DUMMYFUNCTION("""COMPUTED_VALUE"""),44861.0)</f>
        <v>44861</v>
      </c>
      <c r="AA41" s="50">
        <f t="array" ref="AA41">INDEX('RFR Data - preExcl'!AK$2:AK259,$AE41,1)</f>
        <v>10</v>
      </c>
      <c r="AB41" s="54">
        <f t="shared" si="18"/>
        <v>10</v>
      </c>
      <c r="AC41" s="54">
        <f t="array" ref="AC41">INDEX('RFR Data - preExcl'!AI$2:AI259,$AE41,1)</f>
        <v>0</v>
      </c>
      <c r="AD41" s="54">
        <f t="array" ref="AD41">INDEX('RFR Data - preExcl'!AF$2:AF259,$AE41,1)</f>
        <v>0</v>
      </c>
      <c r="AE41" s="56">
        <f>IFNA(MATCH(Y41,'RFR Data - preExcl'!A$2:A259,0),"")</f>
        <v>55</v>
      </c>
      <c r="AF41" s="43"/>
      <c r="AG41" s="58" t="s">
        <v>66</v>
      </c>
      <c r="AH41" s="46">
        <f>VLOOKUP(AG41,'Run Reconcile'!A$2:B259,2,FALSE)</f>
        <v>44861</v>
      </c>
      <c r="AI41" s="54">
        <f>COUNTIF('APS Tubes IMPORT'!$V$2:$V259, AG41)
</f>
        <v>10</v>
      </c>
      <c r="AJ41" s="54">
        <f>COUNTIFS('APS Tubes IMPORT'!V$2:V259, AG41, 'APS Tubes IMPORT'!H$2:H259, "Negative")
</f>
        <v>10</v>
      </c>
      <c r="AK41" s="54">
        <f>COUNTIFS('APS Tubes IMPORT'!V40:V259, AG41, 'APS Tubes IMPORT'!H40:H259, "Positive")
</f>
        <v>0</v>
      </c>
      <c r="AL41" s="54">
        <f>COUNTIFS('APS Tubes IMPORT'!V40:V259, AG41, 'APS Tubes IMPORT'!H40:H259, "Inconclusive")
</f>
        <v>0</v>
      </c>
      <c r="AM41" s="54">
        <f>COUNTIFS('APS Tubes IMPORT'!V40:V259, AG41, 'APS Tubes IMPORT'!H40:H259, "Null")
</f>
        <v>0</v>
      </c>
      <c r="AN41" s="43"/>
      <c r="AO41" s="12">
        <f>'APS Tubes by Date IMPORT'!B40</f>
        <v>44861</v>
      </c>
      <c r="AP41" s="54">
        <f>'APS Tubes by Date IMPORT'!C40</f>
        <v>11</v>
      </c>
      <c r="AQ41" s="54">
        <f>'APS Tubes by Date IMPORT'!D40</f>
        <v>11</v>
      </c>
      <c r="AR41" s="54">
        <f>'APS Tubes by Date IMPORT'!E40</f>
        <v>0</v>
      </c>
      <c r="AS41" s="54">
        <f>'APS Tubes by Date IMPORT'!F40</f>
        <v>0</v>
      </c>
      <c r="AT41" s="54">
        <f>'APS Tubes by Date IMPORT'!G40</f>
        <v>0</v>
      </c>
      <c r="AU41" s="43"/>
    </row>
    <row r="42">
      <c r="A42" s="7" t="s">
        <v>67</v>
      </c>
      <c r="B42" s="46">
        <f>VLOOKUP(A42,'ALL Tube Results'!$B$2:$D259,2,FALSE)</f>
        <v>44862</v>
      </c>
      <c r="C42" s="47">
        <f>COUNTIF('ALL Tube Results'!B41:B259, A42)
</f>
        <v>10</v>
      </c>
      <c r="D42" s="48">
        <f>COUNTIFS('ALL Tube Results'!$B41:$B259, $A42, 'ALL Tube Results'!$F41:$F259, "Negative")
</f>
        <v>10</v>
      </c>
      <c r="E42" s="48">
        <f>COUNTIFS('ALL Tube Results'!$B41:$B259, $A42, 'ALL Tube Results'!$F41:$F259, "Positive")
</f>
        <v>0</v>
      </c>
      <c r="F42" s="48">
        <f>COUNTIFS('ALL Tube Results'!$B41:$B259, $A42, 'ALL Tube Results'!$F41:$F259, "Inconclusive")
</f>
        <v>0</v>
      </c>
      <c r="G42" s="49">
        <f t="shared" si="7"/>
        <v>10</v>
      </c>
      <c r="H42" s="49" t="str">
        <f t="shared" si="8"/>
        <v/>
      </c>
      <c r="I42" s="50">
        <f t="shared" si="9"/>
        <v>10</v>
      </c>
      <c r="J42" s="51">
        <f t="shared" si="10"/>
        <v>0</v>
      </c>
      <c r="K42" s="51">
        <f t="shared" si="11"/>
        <v>0</v>
      </c>
      <c r="L42" s="51" t="str">
        <f t="shared" si="12"/>
        <v/>
      </c>
      <c r="M42" s="51" t="str">
        <f t="shared" si="13"/>
        <v/>
      </c>
      <c r="N42" s="51" t="str">
        <f t="shared" si="14"/>
        <v/>
      </c>
      <c r="O42" s="52">
        <f t="shared" si="15"/>
        <v>10</v>
      </c>
      <c r="P42" s="52" t="str">
        <f t="shared" si="16"/>
        <v/>
      </c>
      <c r="Q42" s="43"/>
      <c r="R42" s="7" t="s">
        <v>67</v>
      </c>
      <c r="S42" s="12">
        <v>44862.0</v>
      </c>
      <c r="T42" s="54">
        <f>VLOOKUP(R42,'Run Reconcile'!$A$2:$L259,12,FALSE)</f>
        <v>10</v>
      </c>
      <c r="U42" s="55" t="str">
        <f t="shared" si="17"/>
        <v/>
      </c>
      <c r="V42" s="54"/>
      <c r="W42" s="54"/>
      <c r="X42" s="43"/>
      <c r="Y42" s="7" t="str">
        <f>IFERROR(__xludf.DUMMYFUNCTION("""COMPUTED_VALUE"""),"RUN-ABRM_2022-10-28_RFR-057")</f>
        <v>RUN-ABRM_2022-10-28_RFR-057</v>
      </c>
      <c r="Z42" s="12">
        <f>IFERROR(__xludf.DUMMYFUNCTION("""COMPUTED_VALUE"""),44862.0)</f>
        <v>44862</v>
      </c>
      <c r="AA42" s="50">
        <f t="array" ref="AA42">INDEX('RFR Data - preExcl'!AK$2:AK259,$AE42,1)</f>
        <v>10</v>
      </c>
      <c r="AB42" s="54">
        <f t="shared" si="18"/>
        <v>10</v>
      </c>
      <c r="AC42" s="54">
        <f t="array" ref="AC42">INDEX('RFR Data - preExcl'!AI$2:AI259,$AE42,1)</f>
        <v>0</v>
      </c>
      <c r="AD42" s="54">
        <f t="array" ref="AD42">INDEX('RFR Data - preExcl'!AF$2:AF259,$AE42,1)</f>
        <v>0</v>
      </c>
      <c r="AE42" s="56">
        <f>IFNA(MATCH(Y42,'RFR Data - preExcl'!A$2:A259,0),"")</f>
        <v>57</v>
      </c>
      <c r="AF42" s="43"/>
      <c r="AG42" s="58" t="s">
        <v>67</v>
      </c>
      <c r="AH42" s="46">
        <f>VLOOKUP(AG42,'Run Reconcile'!A$2:B259,2,FALSE)</f>
        <v>44862</v>
      </c>
      <c r="AI42" s="54">
        <f>COUNTIF('APS Tubes IMPORT'!$V$2:$V259, AG42)
</f>
        <v>10</v>
      </c>
      <c r="AJ42" s="54">
        <f>COUNTIFS('APS Tubes IMPORT'!V$2:V259, AG42, 'APS Tubes IMPORT'!H$2:H259, "Negative")
</f>
        <v>10</v>
      </c>
      <c r="AK42" s="54">
        <f>COUNTIFS('APS Tubes IMPORT'!V41:V259, AG42, 'APS Tubes IMPORT'!H41:H259, "Positive")
</f>
        <v>0</v>
      </c>
      <c r="AL42" s="54">
        <f>COUNTIFS('APS Tubes IMPORT'!V41:V259, AG42, 'APS Tubes IMPORT'!H41:H259, "Inconclusive")
</f>
        <v>0</v>
      </c>
      <c r="AM42" s="54">
        <f>COUNTIFS('APS Tubes IMPORT'!V41:V259, AG42, 'APS Tubes IMPORT'!H41:H259, "Null")
</f>
        <v>0</v>
      </c>
      <c r="AN42" s="43"/>
      <c r="AO42" s="12">
        <f>'APS Tubes by Date IMPORT'!B41</f>
        <v>44862</v>
      </c>
      <c r="AP42" s="54">
        <f>'APS Tubes by Date IMPORT'!C41</f>
        <v>9</v>
      </c>
      <c r="AQ42" s="54">
        <f>'APS Tubes by Date IMPORT'!D41</f>
        <v>9</v>
      </c>
      <c r="AR42" s="54">
        <f>'APS Tubes by Date IMPORT'!E41</f>
        <v>0</v>
      </c>
      <c r="AS42" s="54">
        <f>'APS Tubes by Date IMPORT'!F41</f>
        <v>0</v>
      </c>
      <c r="AT42" s="54">
        <f>'APS Tubes by Date IMPORT'!G41</f>
        <v>0</v>
      </c>
      <c r="AU42" s="43"/>
    </row>
    <row r="43">
      <c r="A43" s="7" t="s">
        <v>68</v>
      </c>
      <c r="B43" s="46">
        <f>VLOOKUP(A43,'ALL Tube Results'!$B$2:$D259,2,FALSE)</f>
        <v>44865</v>
      </c>
      <c r="C43" s="47">
        <f>COUNTIF('ALL Tube Results'!B42:B259, A43)
</f>
        <v>9</v>
      </c>
      <c r="D43" s="48">
        <f>COUNTIFS('ALL Tube Results'!$B42:$B259, $A43, 'ALL Tube Results'!$F42:$F259, "Negative")
</f>
        <v>9</v>
      </c>
      <c r="E43" s="48">
        <f>COUNTIFS('ALL Tube Results'!$B42:$B259, $A43, 'ALL Tube Results'!$F42:$F259, "Positive")
</f>
        <v>0</v>
      </c>
      <c r="F43" s="48">
        <f>COUNTIFS('ALL Tube Results'!$B42:$B259, $A43, 'ALL Tube Results'!$F42:$F259, "Inconclusive")
</f>
        <v>0</v>
      </c>
      <c r="G43" s="49">
        <f t="shared" si="7"/>
        <v>9</v>
      </c>
      <c r="H43" s="49" t="str">
        <f t="shared" si="8"/>
        <v/>
      </c>
      <c r="I43" s="50">
        <f t="shared" si="9"/>
        <v>9</v>
      </c>
      <c r="J43" s="51">
        <f t="shared" si="10"/>
        <v>0</v>
      </c>
      <c r="K43" s="51">
        <f t="shared" si="11"/>
        <v>0</v>
      </c>
      <c r="L43" s="51" t="str">
        <f t="shared" si="12"/>
        <v/>
      </c>
      <c r="M43" s="51" t="str">
        <f t="shared" si="13"/>
        <v/>
      </c>
      <c r="N43" s="51" t="str">
        <f t="shared" si="14"/>
        <v/>
      </c>
      <c r="O43" s="52">
        <f t="shared" si="15"/>
        <v>9</v>
      </c>
      <c r="P43" s="52" t="str">
        <f t="shared" si="16"/>
        <v/>
      </c>
      <c r="Q43" s="43"/>
      <c r="R43" s="7" t="s">
        <v>68</v>
      </c>
      <c r="S43" s="12">
        <v>44865.0</v>
      </c>
      <c r="T43" s="54">
        <f>VLOOKUP(R43,'Run Reconcile'!$A$2:$L259,12,FALSE)</f>
        <v>9</v>
      </c>
      <c r="U43" s="55" t="str">
        <f t="shared" si="17"/>
        <v/>
      </c>
      <c r="V43" s="54"/>
      <c r="W43" s="54"/>
      <c r="X43" s="43"/>
      <c r="Y43" s="7" t="str">
        <f>IFERROR(__xludf.DUMMYFUNCTION("""COMPUTED_VALUE"""),"RUN-ABRM_2022-10-31_RFR-060")</f>
        <v>RUN-ABRM_2022-10-31_RFR-060</v>
      </c>
      <c r="Z43" s="12">
        <f>IFERROR(__xludf.DUMMYFUNCTION("""COMPUTED_VALUE"""),44865.0)</f>
        <v>44865</v>
      </c>
      <c r="AA43" s="50">
        <f t="array" ref="AA43">INDEX('RFR Data - preExcl'!AK$2:AK259,$AE43,1)</f>
        <v>9</v>
      </c>
      <c r="AB43" s="54">
        <f t="shared" si="18"/>
        <v>9</v>
      </c>
      <c r="AC43" s="54">
        <f t="array" ref="AC43">INDEX('RFR Data - preExcl'!AI$2:AI259,$AE43,1)</f>
        <v>0</v>
      </c>
      <c r="AD43" s="54">
        <f t="array" ref="AD43">INDEX('RFR Data - preExcl'!AF$2:AF259,$AE43,1)</f>
        <v>0</v>
      </c>
      <c r="AE43" s="56">
        <f>IFNA(MATCH(Y43,'RFR Data - preExcl'!A$2:A259,0),"")</f>
        <v>60</v>
      </c>
      <c r="AF43" s="43"/>
      <c r="AG43" s="58" t="s">
        <v>68</v>
      </c>
      <c r="AH43" s="46">
        <f>VLOOKUP(AG43,'Run Reconcile'!A$2:B259,2,FALSE)</f>
        <v>44865</v>
      </c>
      <c r="AI43" s="54">
        <f>COUNTIF('APS Tubes IMPORT'!$V$2:$V259, AG43)
</f>
        <v>9</v>
      </c>
      <c r="AJ43" s="54">
        <f>COUNTIFS('APS Tubes IMPORT'!V$2:V259, AG43, 'APS Tubes IMPORT'!H$2:H259, "Negative")
</f>
        <v>9</v>
      </c>
      <c r="AK43" s="54">
        <f>COUNTIFS('APS Tubes IMPORT'!V42:V259, AG43, 'APS Tubes IMPORT'!H42:H259, "Positive")
</f>
        <v>0</v>
      </c>
      <c r="AL43" s="54">
        <f>COUNTIFS('APS Tubes IMPORT'!V42:V259, AG43, 'APS Tubes IMPORT'!H42:H259, "Inconclusive")
</f>
        <v>0</v>
      </c>
      <c r="AM43" s="54">
        <f>COUNTIFS('APS Tubes IMPORT'!V42:V259, AG43, 'APS Tubes IMPORT'!H42:H259, "Null")
</f>
        <v>0</v>
      </c>
      <c r="AN43" s="43"/>
      <c r="AO43" s="12">
        <f>'APS Tubes by Date IMPORT'!B42</f>
        <v>44865</v>
      </c>
      <c r="AP43" s="54">
        <f>'APS Tubes by Date IMPORT'!C42</f>
        <v>9</v>
      </c>
      <c r="AQ43" s="54">
        <f>'APS Tubes by Date IMPORT'!D42</f>
        <v>9</v>
      </c>
      <c r="AR43" s="54">
        <f>'APS Tubes by Date IMPORT'!E42</f>
        <v>0</v>
      </c>
      <c r="AS43" s="54">
        <f>'APS Tubes by Date IMPORT'!F42</f>
        <v>0</v>
      </c>
      <c r="AT43" s="54">
        <f>'APS Tubes by Date IMPORT'!G42</f>
        <v>0</v>
      </c>
      <c r="AU43" s="43"/>
    </row>
    <row r="44">
      <c r="A44" s="7" t="s">
        <v>69</v>
      </c>
      <c r="B44" s="46">
        <f>VLOOKUP(A44,'ALL Tube Results'!$B$2:$D259,2,FALSE)</f>
        <v>44866</v>
      </c>
      <c r="C44" s="47">
        <f>COUNTIF('ALL Tube Results'!B43:B259, A44)
</f>
        <v>7</v>
      </c>
      <c r="D44" s="48">
        <f>COUNTIFS('ALL Tube Results'!$B43:$B259, $A44, 'ALL Tube Results'!$F43:$F259, "Negative")
</f>
        <v>7</v>
      </c>
      <c r="E44" s="48">
        <f>COUNTIFS('ALL Tube Results'!$B43:$B259, $A44, 'ALL Tube Results'!$F43:$F259, "Positive")
</f>
        <v>0</v>
      </c>
      <c r="F44" s="48">
        <f>COUNTIFS('ALL Tube Results'!$B43:$B259, $A44, 'ALL Tube Results'!$F43:$F259, "Inconclusive")
</f>
        <v>0</v>
      </c>
      <c r="G44" s="49">
        <f t="shared" si="7"/>
        <v>7</v>
      </c>
      <c r="H44" s="49" t="str">
        <f t="shared" si="8"/>
        <v/>
      </c>
      <c r="I44" s="50">
        <f t="shared" si="9"/>
        <v>7</v>
      </c>
      <c r="J44" s="51">
        <f t="shared" si="10"/>
        <v>0</v>
      </c>
      <c r="K44" s="51">
        <f t="shared" si="11"/>
        <v>0</v>
      </c>
      <c r="L44" s="51" t="str">
        <f t="shared" si="12"/>
        <v/>
      </c>
      <c r="M44" s="51" t="str">
        <f t="shared" si="13"/>
        <v/>
      </c>
      <c r="N44" s="51" t="str">
        <f t="shared" si="14"/>
        <v/>
      </c>
      <c r="O44" s="52">
        <f t="shared" si="15"/>
        <v>7</v>
      </c>
      <c r="P44" s="52" t="str">
        <f t="shared" si="16"/>
        <v/>
      </c>
      <c r="Q44" s="43"/>
      <c r="R44" s="7" t="s">
        <v>69</v>
      </c>
      <c r="S44" s="12">
        <v>44866.0</v>
      </c>
      <c r="T44" s="54">
        <f>VLOOKUP(R44,'Run Reconcile'!$A$2:$L259,12,FALSE)</f>
        <v>7</v>
      </c>
      <c r="U44" s="55" t="str">
        <f t="shared" si="17"/>
        <v/>
      </c>
      <c r="V44" s="54"/>
      <c r="W44" s="54"/>
      <c r="X44" s="43"/>
      <c r="Y44" s="7" t="str">
        <f>IFERROR(__xludf.DUMMYFUNCTION("""COMPUTED_VALUE"""),"RUN-ABRM_2022-11-01_RFR-061")</f>
        <v>RUN-ABRM_2022-11-01_RFR-061</v>
      </c>
      <c r="Z44" s="12">
        <f>IFERROR(__xludf.DUMMYFUNCTION("""COMPUTED_VALUE"""),44866.0)</f>
        <v>44866</v>
      </c>
      <c r="AA44" s="50">
        <f t="array" ref="AA44">INDEX('RFR Data - preExcl'!AK$2:AK259,$AE44,1)</f>
        <v>7</v>
      </c>
      <c r="AB44" s="54">
        <f t="shared" si="18"/>
        <v>7</v>
      </c>
      <c r="AC44" s="54">
        <f t="array" ref="AC44">INDEX('RFR Data - preExcl'!AI$2:AI259,$AE44,1)</f>
        <v>0</v>
      </c>
      <c r="AD44" s="54">
        <f t="array" ref="AD44">INDEX('RFR Data - preExcl'!AF$2:AF259,$AE44,1)</f>
        <v>0</v>
      </c>
      <c r="AE44" s="56">
        <f>IFNA(MATCH(Y44,'RFR Data - preExcl'!A$2:A259,0),"")</f>
        <v>61</v>
      </c>
      <c r="AF44" s="43"/>
      <c r="AG44" s="58" t="s">
        <v>69</v>
      </c>
      <c r="AH44" s="46">
        <f>VLOOKUP(AG44,'Run Reconcile'!A$2:B259,2,FALSE)</f>
        <v>44866</v>
      </c>
      <c r="AI44" s="54">
        <f>COUNTIF('APS Tubes IMPORT'!$V$2:$V259, AG44)
</f>
        <v>7</v>
      </c>
      <c r="AJ44" s="54">
        <f>COUNTIFS('APS Tubes IMPORT'!V$2:V259, AG44, 'APS Tubes IMPORT'!H$2:H259, "Negative")
</f>
        <v>7</v>
      </c>
      <c r="AK44" s="54">
        <f>COUNTIFS('APS Tubes IMPORT'!V43:V259, AG44, 'APS Tubes IMPORT'!H43:H259, "Positive")
</f>
        <v>0</v>
      </c>
      <c r="AL44" s="54">
        <f>COUNTIFS('APS Tubes IMPORT'!V43:V259, AG44, 'APS Tubes IMPORT'!H43:H259, "Inconclusive")
</f>
        <v>0</v>
      </c>
      <c r="AM44" s="54">
        <f>COUNTIFS('APS Tubes IMPORT'!V43:V259, AG44, 'APS Tubes IMPORT'!H43:H259, "Null")
</f>
        <v>0</v>
      </c>
      <c r="AN44" s="43"/>
      <c r="AO44" s="12">
        <f>'APS Tubes by Date IMPORT'!B43</f>
        <v>44866</v>
      </c>
      <c r="AP44" s="54">
        <f>'APS Tubes by Date IMPORT'!C43</f>
        <v>7</v>
      </c>
      <c r="AQ44" s="54">
        <f>'APS Tubes by Date IMPORT'!D43</f>
        <v>7</v>
      </c>
      <c r="AR44" s="54">
        <f>'APS Tubes by Date IMPORT'!E43</f>
        <v>0</v>
      </c>
      <c r="AS44" s="54">
        <f>'APS Tubes by Date IMPORT'!F43</f>
        <v>0</v>
      </c>
      <c r="AT44" s="54">
        <f>'APS Tubes by Date IMPORT'!G43</f>
        <v>0</v>
      </c>
      <c r="AU44" s="43"/>
    </row>
    <row r="45">
      <c r="A45" s="7" t="s">
        <v>70</v>
      </c>
      <c r="B45" s="46">
        <f>VLOOKUP(A45,'ALL Tube Results'!$B$2:$D259,2,FALSE)</f>
        <v>44867</v>
      </c>
      <c r="C45" s="47">
        <f>COUNTIF('ALL Tube Results'!B44:B259, A45)
</f>
        <v>6</v>
      </c>
      <c r="D45" s="48">
        <f>COUNTIFS('ALL Tube Results'!$B44:$B259, $A45, 'ALL Tube Results'!$F44:$F259, "Negative")
</f>
        <v>6</v>
      </c>
      <c r="E45" s="48">
        <f>COUNTIFS('ALL Tube Results'!$B44:$B259, $A45, 'ALL Tube Results'!$F44:$F259, "Positive")
</f>
        <v>0</v>
      </c>
      <c r="F45" s="48">
        <f>COUNTIFS('ALL Tube Results'!$B44:$B259, $A45, 'ALL Tube Results'!$F44:$F259, "Inconclusive")
</f>
        <v>0</v>
      </c>
      <c r="G45" s="49">
        <f t="shared" si="7"/>
        <v>6</v>
      </c>
      <c r="H45" s="49" t="str">
        <f t="shared" si="8"/>
        <v/>
      </c>
      <c r="I45" s="50">
        <f t="shared" si="9"/>
        <v>6</v>
      </c>
      <c r="J45" s="51">
        <f t="shared" si="10"/>
        <v>0</v>
      </c>
      <c r="K45" s="51">
        <f t="shared" si="11"/>
        <v>0</v>
      </c>
      <c r="L45" s="51" t="str">
        <f t="shared" si="12"/>
        <v/>
      </c>
      <c r="M45" s="51" t="str">
        <f t="shared" si="13"/>
        <v/>
      </c>
      <c r="N45" s="51" t="str">
        <f t="shared" si="14"/>
        <v/>
      </c>
      <c r="O45" s="52">
        <f t="shared" si="15"/>
        <v>6</v>
      </c>
      <c r="P45" s="52" t="str">
        <f t="shared" si="16"/>
        <v/>
      </c>
      <c r="Q45" s="43"/>
      <c r="R45" s="7" t="s">
        <v>70</v>
      </c>
      <c r="S45" s="12">
        <v>44867.0</v>
      </c>
      <c r="T45" s="54">
        <f>VLOOKUP(R45,'Run Reconcile'!$A$2:$L259,12,FALSE)</f>
        <v>6</v>
      </c>
      <c r="U45" s="55" t="str">
        <f t="shared" si="17"/>
        <v/>
      </c>
      <c r="V45" s="54"/>
      <c r="W45" s="54"/>
      <c r="X45" s="43"/>
      <c r="Y45" s="7" t="str">
        <f>IFERROR(__xludf.DUMMYFUNCTION("""COMPUTED_VALUE"""),"RUN-ABRM_2022-11-02_RFR-062")</f>
        <v>RUN-ABRM_2022-11-02_RFR-062</v>
      </c>
      <c r="Z45" s="12">
        <f>IFERROR(__xludf.DUMMYFUNCTION("""COMPUTED_VALUE"""),44867.0)</f>
        <v>44867</v>
      </c>
      <c r="AA45" s="50">
        <f t="array" ref="AA45">INDEX('RFR Data - preExcl'!AK$2:AK259,$AE45,1)</f>
        <v>6</v>
      </c>
      <c r="AB45" s="54">
        <f t="shared" si="18"/>
        <v>6</v>
      </c>
      <c r="AC45" s="54">
        <f t="array" ref="AC45">INDEX('RFR Data - preExcl'!AI$2:AI259,$AE45,1)</f>
        <v>0</v>
      </c>
      <c r="AD45" s="54">
        <f t="array" ref="AD45">INDEX('RFR Data - preExcl'!AF$2:AF259,$AE45,1)</f>
        <v>0</v>
      </c>
      <c r="AE45" s="56">
        <f>IFNA(MATCH(Y45,'RFR Data - preExcl'!A$2:A259,0),"")</f>
        <v>62</v>
      </c>
      <c r="AF45" s="43"/>
      <c r="AG45" s="58" t="s">
        <v>70</v>
      </c>
      <c r="AH45" s="46">
        <f>VLOOKUP(AG45,'Run Reconcile'!A$2:B259,2,FALSE)</f>
        <v>44867</v>
      </c>
      <c r="AI45" s="54">
        <f>COUNTIF('APS Tubes IMPORT'!$V$2:$V259, AG45)
</f>
        <v>6</v>
      </c>
      <c r="AJ45" s="54">
        <f>COUNTIFS('APS Tubes IMPORT'!V$2:V259, AG45, 'APS Tubes IMPORT'!H$2:H259, "Negative")
</f>
        <v>6</v>
      </c>
      <c r="AK45" s="54">
        <f>COUNTIFS('APS Tubes IMPORT'!V44:V259, AG45, 'APS Tubes IMPORT'!H44:H259, "Positive")
</f>
        <v>0</v>
      </c>
      <c r="AL45" s="54">
        <f>COUNTIFS('APS Tubes IMPORT'!V44:V259, AG45, 'APS Tubes IMPORT'!H44:H259, "Inconclusive")
</f>
        <v>0</v>
      </c>
      <c r="AM45" s="54">
        <f>COUNTIFS('APS Tubes IMPORT'!V44:V259, AG45, 'APS Tubes IMPORT'!H44:H259, "Null")
</f>
        <v>0</v>
      </c>
      <c r="AN45" s="43"/>
      <c r="AO45" s="12">
        <f>'APS Tubes by Date IMPORT'!B44</f>
        <v>44867</v>
      </c>
      <c r="AP45" s="54">
        <f>'APS Tubes by Date IMPORT'!C44</f>
        <v>6</v>
      </c>
      <c r="AQ45" s="54">
        <f>'APS Tubes by Date IMPORT'!D44</f>
        <v>6</v>
      </c>
      <c r="AR45" s="54">
        <f>'APS Tubes by Date IMPORT'!E44</f>
        <v>0</v>
      </c>
      <c r="AS45" s="54">
        <f>'APS Tubes by Date IMPORT'!F44</f>
        <v>0</v>
      </c>
      <c r="AT45" s="54">
        <f>'APS Tubes by Date IMPORT'!G44</f>
        <v>0</v>
      </c>
      <c r="AU45" s="43"/>
    </row>
    <row r="46">
      <c r="A46" s="7" t="s">
        <v>71</v>
      </c>
      <c r="B46" s="46">
        <f>VLOOKUP(A46,'ALL Tube Results'!$B$2:$D259,2,FALSE)</f>
        <v>44868</v>
      </c>
      <c r="C46" s="47">
        <f>COUNTIF('ALL Tube Results'!B45:B259, A46)
</f>
        <v>6</v>
      </c>
      <c r="D46" s="48">
        <f>COUNTIFS('ALL Tube Results'!$B45:$B259, $A46, 'ALL Tube Results'!$F45:$F259, "Negative")
</f>
        <v>6</v>
      </c>
      <c r="E46" s="48">
        <f>COUNTIFS('ALL Tube Results'!$B45:$B259, $A46, 'ALL Tube Results'!$F45:$F259, "Positive")
</f>
        <v>0</v>
      </c>
      <c r="F46" s="48">
        <f>COUNTIFS('ALL Tube Results'!$B45:$B259, $A46, 'ALL Tube Results'!$F45:$F259, "Inconclusive")
</f>
        <v>0</v>
      </c>
      <c r="G46" s="49">
        <f t="shared" si="7"/>
        <v>6</v>
      </c>
      <c r="H46" s="49" t="str">
        <f t="shared" si="8"/>
        <v/>
      </c>
      <c r="I46" s="50">
        <f t="shared" si="9"/>
        <v>6</v>
      </c>
      <c r="J46" s="51">
        <f t="shared" si="10"/>
        <v>0</v>
      </c>
      <c r="K46" s="51">
        <f t="shared" si="11"/>
        <v>0</v>
      </c>
      <c r="L46" s="51" t="str">
        <f t="shared" si="12"/>
        <v/>
      </c>
      <c r="M46" s="51" t="str">
        <f t="shared" si="13"/>
        <v/>
      </c>
      <c r="N46" s="51" t="str">
        <f t="shared" si="14"/>
        <v/>
      </c>
      <c r="O46" s="52">
        <f t="shared" si="15"/>
        <v>6</v>
      </c>
      <c r="P46" s="52" t="str">
        <f t="shared" si="16"/>
        <v/>
      </c>
      <c r="Q46" s="43"/>
      <c r="R46" s="7" t="s">
        <v>71</v>
      </c>
      <c r="S46" s="12">
        <v>44868.0</v>
      </c>
      <c r="T46" s="54">
        <f>VLOOKUP(R46,'Run Reconcile'!$A$2:$L259,12,FALSE)</f>
        <v>6</v>
      </c>
      <c r="U46" s="55" t="str">
        <f t="shared" si="17"/>
        <v/>
      </c>
      <c r="V46" s="54"/>
      <c r="W46" s="54"/>
      <c r="X46" s="43"/>
      <c r="Y46" s="7" t="str">
        <f>IFERROR(__xludf.DUMMYFUNCTION("""COMPUTED_VALUE"""),"RUN-ABRM_2022-11-03_RFR-063")</f>
        <v>RUN-ABRM_2022-11-03_RFR-063</v>
      </c>
      <c r="Z46" s="12">
        <f>IFERROR(__xludf.DUMMYFUNCTION("""COMPUTED_VALUE"""),44868.0)</f>
        <v>44868</v>
      </c>
      <c r="AA46" s="50">
        <f t="array" ref="AA46">INDEX('RFR Data - preExcl'!AK$2:AK259,$AE46,1)</f>
        <v>6</v>
      </c>
      <c r="AB46" s="54">
        <f t="shared" si="18"/>
        <v>6</v>
      </c>
      <c r="AC46" s="54">
        <f t="array" ref="AC46">INDEX('RFR Data - preExcl'!AI$2:AI259,$AE46,1)</f>
        <v>0</v>
      </c>
      <c r="AD46" s="54">
        <f t="array" ref="AD46">INDEX('RFR Data - preExcl'!AF$2:AF259,$AE46,1)</f>
        <v>0</v>
      </c>
      <c r="AE46" s="56">
        <f>IFNA(MATCH(Y46,'RFR Data - preExcl'!A$2:A259,0),"")</f>
        <v>63</v>
      </c>
      <c r="AF46" s="43"/>
      <c r="AG46" s="58" t="s">
        <v>71</v>
      </c>
      <c r="AH46" s="46">
        <f>VLOOKUP(AG46,'Run Reconcile'!A$2:B259,2,FALSE)</f>
        <v>44868</v>
      </c>
      <c r="AI46" s="54">
        <f>COUNTIF('APS Tubes IMPORT'!$V$2:$V259, AG46)
</f>
        <v>6</v>
      </c>
      <c r="AJ46" s="54">
        <f>COUNTIFS('APS Tubes IMPORT'!V$2:V259, AG46, 'APS Tubes IMPORT'!H$2:H259, "Negative")
</f>
        <v>6</v>
      </c>
      <c r="AK46" s="54">
        <f>COUNTIFS('APS Tubes IMPORT'!V45:V259, AG46, 'APS Tubes IMPORT'!H45:H259, "Positive")
</f>
        <v>0</v>
      </c>
      <c r="AL46" s="54">
        <f>COUNTIFS('APS Tubes IMPORT'!V45:V259, AG46, 'APS Tubes IMPORT'!H45:H259, "Inconclusive")
</f>
        <v>0</v>
      </c>
      <c r="AM46" s="54">
        <f>COUNTIFS('APS Tubes IMPORT'!V45:V259, AG46, 'APS Tubes IMPORT'!H45:H259, "Null")
</f>
        <v>0</v>
      </c>
      <c r="AN46" s="43"/>
      <c r="AO46" s="12">
        <f>'APS Tubes by Date IMPORT'!B45</f>
        <v>44868</v>
      </c>
      <c r="AP46" s="54">
        <f>'APS Tubes by Date IMPORT'!C45</f>
        <v>6</v>
      </c>
      <c r="AQ46" s="54">
        <f>'APS Tubes by Date IMPORT'!D45</f>
        <v>6</v>
      </c>
      <c r="AR46" s="54">
        <f>'APS Tubes by Date IMPORT'!E45</f>
        <v>0</v>
      </c>
      <c r="AS46" s="54">
        <f>'APS Tubes by Date IMPORT'!F45</f>
        <v>0</v>
      </c>
      <c r="AT46" s="54">
        <f>'APS Tubes by Date IMPORT'!G45</f>
        <v>0</v>
      </c>
      <c r="AU46" s="43"/>
    </row>
    <row r="47">
      <c r="A47" s="7" t="s">
        <v>72</v>
      </c>
      <c r="B47" s="46">
        <f>VLOOKUP(A47,'ALL Tube Results'!$B$2:$D259,2,FALSE)</f>
        <v>44869</v>
      </c>
      <c r="C47" s="47">
        <f>COUNTIF('ALL Tube Results'!B46:B259, A47)
</f>
        <v>6</v>
      </c>
      <c r="D47" s="48">
        <f>COUNTIFS('ALL Tube Results'!$B46:$B259, $A47, 'ALL Tube Results'!$F46:$F259, "Negative")
</f>
        <v>6</v>
      </c>
      <c r="E47" s="48">
        <f>COUNTIFS('ALL Tube Results'!$B46:$B259, $A47, 'ALL Tube Results'!$F46:$F259, "Positive")
</f>
        <v>0</v>
      </c>
      <c r="F47" s="48">
        <f>COUNTIFS('ALL Tube Results'!$B46:$B259, $A47, 'ALL Tube Results'!$F46:$F259, "Inconclusive")
</f>
        <v>0</v>
      </c>
      <c r="G47" s="49">
        <f t="shared" si="7"/>
        <v>6</v>
      </c>
      <c r="H47" s="49" t="str">
        <f t="shared" si="8"/>
        <v/>
      </c>
      <c r="I47" s="50">
        <f t="shared" si="9"/>
        <v>6</v>
      </c>
      <c r="J47" s="51">
        <f t="shared" si="10"/>
        <v>0</v>
      </c>
      <c r="K47" s="51">
        <f t="shared" si="11"/>
        <v>0</v>
      </c>
      <c r="L47" s="51" t="str">
        <f t="shared" si="12"/>
        <v/>
      </c>
      <c r="M47" s="51" t="str">
        <f t="shared" si="13"/>
        <v/>
      </c>
      <c r="N47" s="51" t="str">
        <f t="shared" si="14"/>
        <v/>
      </c>
      <c r="O47" s="52">
        <f t="shared" si="15"/>
        <v>6</v>
      </c>
      <c r="P47" s="52" t="str">
        <f t="shared" si="16"/>
        <v/>
      </c>
      <c r="Q47" s="43"/>
      <c r="R47" s="7" t="s">
        <v>72</v>
      </c>
      <c r="S47" s="12">
        <v>44869.0</v>
      </c>
      <c r="T47" s="54">
        <f>VLOOKUP(R47,'Run Reconcile'!$A$2:$L259,12,FALSE)</f>
        <v>6</v>
      </c>
      <c r="U47" s="55" t="str">
        <f t="shared" si="17"/>
        <v/>
      </c>
      <c r="V47" s="54"/>
      <c r="W47" s="54"/>
      <c r="X47" s="43"/>
      <c r="Y47" s="7" t="str">
        <f>IFERROR(__xludf.DUMMYFUNCTION("""COMPUTED_VALUE"""),"RUN-ABRM_2022-11-04_RFR-064")</f>
        <v>RUN-ABRM_2022-11-04_RFR-064</v>
      </c>
      <c r="Z47" s="12">
        <f>IFERROR(__xludf.DUMMYFUNCTION("""COMPUTED_VALUE"""),44869.0)</f>
        <v>44869</v>
      </c>
      <c r="AA47" s="50">
        <f t="array" ref="AA47">INDEX('RFR Data - preExcl'!AK$2:AK259,$AE47,1)</f>
        <v>6</v>
      </c>
      <c r="AB47" s="54">
        <f t="shared" si="18"/>
        <v>6</v>
      </c>
      <c r="AC47" s="54">
        <f t="array" ref="AC47">INDEX('RFR Data - preExcl'!AI$2:AI259,$AE47,1)</f>
        <v>0</v>
      </c>
      <c r="AD47" s="54">
        <f t="array" ref="AD47">INDEX('RFR Data - preExcl'!AF$2:AF259,$AE47,1)</f>
        <v>0</v>
      </c>
      <c r="AE47" s="56">
        <f>IFNA(MATCH(Y47,'RFR Data - preExcl'!A$2:A259,0),"")</f>
        <v>64</v>
      </c>
      <c r="AF47" s="43"/>
      <c r="AG47" s="58" t="s">
        <v>72</v>
      </c>
      <c r="AH47" s="46">
        <f>VLOOKUP(AG47,'Run Reconcile'!A$2:B259,2,FALSE)</f>
        <v>44869</v>
      </c>
      <c r="AI47" s="54">
        <f>COUNTIF('APS Tubes IMPORT'!$V$2:$V259, AG47)
</f>
        <v>6</v>
      </c>
      <c r="AJ47" s="54">
        <f>COUNTIFS('APS Tubes IMPORT'!V$2:V259, AG47, 'APS Tubes IMPORT'!H$2:H259, "Negative")
</f>
        <v>6</v>
      </c>
      <c r="AK47" s="54">
        <f>COUNTIFS('APS Tubes IMPORT'!V46:V259, AG47, 'APS Tubes IMPORT'!H46:H259, "Positive")
</f>
        <v>0</v>
      </c>
      <c r="AL47" s="54">
        <f>COUNTIFS('APS Tubes IMPORT'!V46:V259, AG47, 'APS Tubes IMPORT'!H46:H259, "Inconclusive")
</f>
        <v>0</v>
      </c>
      <c r="AM47" s="54">
        <f>COUNTIFS('APS Tubes IMPORT'!V46:V259, AG47, 'APS Tubes IMPORT'!H46:H259, "Null")
</f>
        <v>0</v>
      </c>
      <c r="AN47" s="43"/>
      <c r="AO47" s="12">
        <f>'APS Tubes by Date IMPORT'!B46</f>
        <v>44869</v>
      </c>
      <c r="AP47" s="54">
        <f>'APS Tubes by Date IMPORT'!C46</f>
        <v>6</v>
      </c>
      <c r="AQ47" s="54">
        <f>'APS Tubes by Date IMPORT'!D46</f>
        <v>6</v>
      </c>
      <c r="AR47" s="54">
        <f>'APS Tubes by Date IMPORT'!E46</f>
        <v>0</v>
      </c>
      <c r="AS47" s="54">
        <f>'APS Tubes by Date IMPORT'!F46</f>
        <v>0</v>
      </c>
      <c r="AT47" s="54">
        <f>'APS Tubes by Date IMPORT'!G46</f>
        <v>0</v>
      </c>
      <c r="AU47" s="43"/>
    </row>
    <row r="48">
      <c r="A48" s="7" t="s">
        <v>73</v>
      </c>
      <c r="B48" s="46">
        <f>VLOOKUP(A48,'ALL Tube Results'!$B$2:$D259,2,FALSE)</f>
        <v>44872</v>
      </c>
      <c r="C48" s="47">
        <f>COUNTIF('ALL Tube Results'!B47:B259, A48)
</f>
        <v>9</v>
      </c>
      <c r="D48" s="48">
        <f>COUNTIFS('ALL Tube Results'!$B47:$B259, $A48, 'ALL Tube Results'!$F47:$F259, "Negative")
</f>
        <v>9</v>
      </c>
      <c r="E48" s="48">
        <f>COUNTIFS('ALL Tube Results'!$B47:$B259, $A48, 'ALL Tube Results'!$F47:$F259, "Positive")
</f>
        <v>0</v>
      </c>
      <c r="F48" s="48">
        <f>COUNTIFS('ALL Tube Results'!$B47:$B259, $A48, 'ALL Tube Results'!$F47:$F259, "Inconclusive")
</f>
        <v>0</v>
      </c>
      <c r="G48" s="49">
        <f t="shared" si="7"/>
        <v>9</v>
      </c>
      <c r="H48" s="49" t="str">
        <f t="shared" si="8"/>
        <v/>
      </c>
      <c r="I48" s="50">
        <f t="shared" si="9"/>
        <v>9</v>
      </c>
      <c r="J48" s="51">
        <f t="shared" si="10"/>
        <v>0</v>
      </c>
      <c r="K48" s="51">
        <f t="shared" si="11"/>
        <v>0</v>
      </c>
      <c r="L48" s="51" t="str">
        <f t="shared" si="12"/>
        <v/>
      </c>
      <c r="M48" s="51" t="str">
        <f t="shared" si="13"/>
        <v/>
      </c>
      <c r="N48" s="51" t="str">
        <f t="shared" si="14"/>
        <v/>
      </c>
      <c r="O48" s="52">
        <f t="shared" si="15"/>
        <v>9</v>
      </c>
      <c r="P48" s="52" t="str">
        <f t="shared" si="16"/>
        <v/>
      </c>
      <c r="Q48" s="43"/>
      <c r="R48" s="7" t="s">
        <v>73</v>
      </c>
      <c r="S48" s="12">
        <v>44872.0</v>
      </c>
      <c r="T48" s="54">
        <f>VLOOKUP(R48,'Run Reconcile'!$A$2:$L259,12,FALSE)</f>
        <v>9</v>
      </c>
      <c r="U48" s="55" t="str">
        <f t="shared" si="17"/>
        <v/>
      </c>
      <c r="V48" s="54"/>
      <c r="W48" s="54"/>
      <c r="X48" s="43"/>
      <c r="Y48" s="7" t="str">
        <f>IFERROR(__xludf.DUMMYFUNCTION("""COMPUTED_VALUE"""),"RUN-ABRM_2022-11-07_RFR-066")</f>
        <v>RUN-ABRM_2022-11-07_RFR-066</v>
      </c>
      <c r="Z48" s="12">
        <f>IFERROR(__xludf.DUMMYFUNCTION("""COMPUTED_VALUE"""),44872.0)</f>
        <v>44872</v>
      </c>
      <c r="AA48" s="50">
        <f t="array" ref="AA48">INDEX('RFR Data - preExcl'!AK$2:AK259,$AE48,1)</f>
        <v>9</v>
      </c>
      <c r="AB48" s="54">
        <f t="shared" si="18"/>
        <v>9</v>
      </c>
      <c r="AC48" s="54">
        <f t="array" ref="AC48">INDEX('RFR Data - preExcl'!AI$2:AI259,$AE48,1)</f>
        <v>0</v>
      </c>
      <c r="AD48" s="54">
        <f t="array" ref="AD48">INDEX('RFR Data - preExcl'!AF$2:AF259,$AE48,1)</f>
        <v>0</v>
      </c>
      <c r="AE48" s="56">
        <f>IFNA(MATCH(Y48,'RFR Data - preExcl'!A$2:A259,0),"")</f>
        <v>66</v>
      </c>
      <c r="AF48" s="43"/>
      <c r="AG48" s="58" t="s">
        <v>73</v>
      </c>
      <c r="AH48" s="46">
        <f>VLOOKUP(AG48,'Run Reconcile'!A$2:B259,2,FALSE)</f>
        <v>44872</v>
      </c>
      <c r="AI48" s="54">
        <f>COUNTIF('APS Tubes IMPORT'!$V$2:$V259, AG48)
</f>
        <v>9</v>
      </c>
      <c r="AJ48" s="54">
        <f>COUNTIFS('APS Tubes IMPORT'!V$2:V259, AG48, 'APS Tubes IMPORT'!H$2:H259, "Negative")
</f>
        <v>9</v>
      </c>
      <c r="AK48" s="54">
        <f>COUNTIFS('APS Tubes IMPORT'!V47:V259, AG48, 'APS Tubes IMPORT'!H47:H259, "Positive")
</f>
        <v>0</v>
      </c>
      <c r="AL48" s="54">
        <f>COUNTIFS('APS Tubes IMPORT'!V47:V259, AG48, 'APS Tubes IMPORT'!H47:H259, "Inconclusive")
</f>
        <v>0</v>
      </c>
      <c r="AM48" s="54">
        <f>COUNTIFS('APS Tubes IMPORT'!V47:V259, AG48, 'APS Tubes IMPORT'!H47:H259, "Null")
</f>
        <v>0</v>
      </c>
      <c r="AN48" s="43"/>
      <c r="AO48" s="12">
        <f>'APS Tubes by Date IMPORT'!B47</f>
        <v>44872</v>
      </c>
      <c r="AP48" s="54">
        <f>'APS Tubes by Date IMPORT'!C47</f>
        <v>9</v>
      </c>
      <c r="AQ48" s="54">
        <f>'APS Tubes by Date IMPORT'!D47</f>
        <v>9</v>
      </c>
      <c r="AR48" s="54">
        <f>'APS Tubes by Date IMPORT'!E47</f>
        <v>0</v>
      </c>
      <c r="AS48" s="54">
        <f>'APS Tubes by Date IMPORT'!F47</f>
        <v>0</v>
      </c>
      <c r="AT48" s="54">
        <f>'APS Tubes by Date IMPORT'!G47</f>
        <v>0</v>
      </c>
      <c r="AU48" s="43"/>
    </row>
    <row r="49">
      <c r="A49" s="7" t="s">
        <v>74</v>
      </c>
      <c r="B49" s="46">
        <f>VLOOKUP(A49,'ALL Tube Results'!$B$2:$D259,2,FALSE)</f>
        <v>44873</v>
      </c>
      <c r="C49" s="47">
        <f>COUNTIF('ALL Tube Results'!B48:B259, A49)
</f>
        <v>10</v>
      </c>
      <c r="D49" s="48">
        <f>COUNTIFS('ALL Tube Results'!$B48:$B259, $A49, 'ALL Tube Results'!$F48:$F259, "Negative")
</f>
        <v>10</v>
      </c>
      <c r="E49" s="48">
        <f>COUNTIFS('ALL Tube Results'!$B48:$B259, $A49, 'ALL Tube Results'!$F48:$F259, "Positive")
</f>
        <v>0</v>
      </c>
      <c r="F49" s="48">
        <f>COUNTIFS('ALL Tube Results'!$B48:$B259, $A49, 'ALL Tube Results'!$F48:$F259, "Inconclusive")
</f>
        <v>0</v>
      </c>
      <c r="G49" s="49">
        <f t="shared" si="7"/>
        <v>10</v>
      </c>
      <c r="H49" s="49" t="str">
        <f t="shared" si="8"/>
        <v/>
      </c>
      <c r="I49" s="50">
        <f t="shared" si="9"/>
        <v>10</v>
      </c>
      <c r="J49" s="51">
        <f t="shared" si="10"/>
        <v>0</v>
      </c>
      <c r="K49" s="51">
        <f t="shared" si="11"/>
        <v>0</v>
      </c>
      <c r="L49" s="51" t="str">
        <f t="shared" si="12"/>
        <v/>
      </c>
      <c r="M49" s="51" t="str">
        <f t="shared" si="13"/>
        <v/>
      </c>
      <c r="N49" s="51" t="str">
        <f t="shared" si="14"/>
        <v/>
      </c>
      <c r="O49" s="52">
        <f t="shared" si="15"/>
        <v>10</v>
      </c>
      <c r="P49" s="52" t="str">
        <f t="shared" si="16"/>
        <v/>
      </c>
      <c r="Q49" s="43"/>
      <c r="R49" s="7" t="s">
        <v>74</v>
      </c>
      <c r="S49" s="12">
        <v>44873.0</v>
      </c>
      <c r="T49" s="54">
        <f>VLOOKUP(R49,'Run Reconcile'!$A$2:$L259,12,FALSE)</f>
        <v>10</v>
      </c>
      <c r="U49" s="55" t="str">
        <f t="shared" si="17"/>
        <v/>
      </c>
      <c r="V49" s="54"/>
      <c r="W49" s="54"/>
      <c r="X49" s="43"/>
      <c r="Y49" s="7" t="str">
        <f>IFERROR(__xludf.DUMMYFUNCTION("""COMPUTED_VALUE"""),"RUN-ABRM_2022-11-08_RFR-068")</f>
        <v>RUN-ABRM_2022-11-08_RFR-068</v>
      </c>
      <c r="Z49" s="12">
        <f>IFERROR(__xludf.DUMMYFUNCTION("""COMPUTED_VALUE"""),44873.0)</f>
        <v>44873</v>
      </c>
      <c r="AA49" s="50">
        <f t="array" ref="AA49">INDEX('RFR Data - preExcl'!AK$2:AK259,$AE49,1)</f>
        <v>10</v>
      </c>
      <c r="AB49" s="54">
        <f t="shared" si="18"/>
        <v>10</v>
      </c>
      <c r="AC49" s="54">
        <f t="array" ref="AC49">INDEX('RFR Data - preExcl'!AI$2:AI259,$AE49,1)</f>
        <v>0</v>
      </c>
      <c r="AD49" s="54">
        <f t="array" ref="AD49">INDEX('RFR Data - preExcl'!AF$2:AF259,$AE49,1)</f>
        <v>0</v>
      </c>
      <c r="AE49" s="56">
        <f>IFNA(MATCH(Y49,'RFR Data - preExcl'!A$2:A259,0),"")</f>
        <v>68</v>
      </c>
      <c r="AF49" s="43"/>
      <c r="AG49" s="58" t="s">
        <v>74</v>
      </c>
      <c r="AH49" s="46">
        <f>VLOOKUP(AG49,'Run Reconcile'!A$2:B259,2,FALSE)</f>
        <v>44873</v>
      </c>
      <c r="AI49" s="54">
        <f>COUNTIF('APS Tubes IMPORT'!$V$2:$V259, AG49)
</f>
        <v>10</v>
      </c>
      <c r="AJ49" s="54">
        <f>COUNTIFS('APS Tubes IMPORT'!V$2:V259, AG49, 'APS Tubes IMPORT'!H$2:H259, "Negative")
</f>
        <v>10</v>
      </c>
      <c r="AK49" s="54">
        <f>COUNTIFS('APS Tubes IMPORT'!V48:V259, AG49, 'APS Tubes IMPORT'!H48:H259, "Positive")
</f>
        <v>0</v>
      </c>
      <c r="AL49" s="54">
        <f>COUNTIFS('APS Tubes IMPORT'!V48:V259, AG49, 'APS Tubes IMPORT'!H48:H259, "Inconclusive")
</f>
        <v>0</v>
      </c>
      <c r="AM49" s="54">
        <f>COUNTIFS('APS Tubes IMPORT'!V48:V259, AG49, 'APS Tubes IMPORT'!H48:H259, "Null")
</f>
        <v>0</v>
      </c>
      <c r="AN49" s="43"/>
      <c r="AO49" s="12">
        <f>'APS Tubes by Date IMPORT'!B48</f>
        <v>44873</v>
      </c>
      <c r="AP49" s="54">
        <f>'APS Tubes by Date IMPORT'!C48</f>
        <v>10</v>
      </c>
      <c r="AQ49" s="54">
        <f>'APS Tubes by Date IMPORT'!D48</f>
        <v>10</v>
      </c>
      <c r="AR49" s="54">
        <f>'APS Tubes by Date IMPORT'!E48</f>
        <v>0</v>
      </c>
      <c r="AS49" s="54">
        <f>'APS Tubes by Date IMPORT'!F48</f>
        <v>0</v>
      </c>
      <c r="AT49" s="54">
        <f>'APS Tubes by Date IMPORT'!G48</f>
        <v>0</v>
      </c>
      <c r="AU49" s="43"/>
    </row>
    <row r="50">
      <c r="A50" s="7" t="s">
        <v>75</v>
      </c>
      <c r="B50" s="46">
        <f>VLOOKUP(A50,'ALL Tube Results'!$B$2:$D259,2,FALSE)</f>
        <v>44874</v>
      </c>
      <c r="C50" s="47">
        <f>COUNTIF('ALL Tube Results'!B49:B259, A50)
</f>
        <v>8</v>
      </c>
      <c r="D50" s="48">
        <f>COUNTIFS('ALL Tube Results'!$B49:$B259, $A50, 'ALL Tube Results'!$F49:$F259, "Negative")
</f>
        <v>8</v>
      </c>
      <c r="E50" s="48">
        <f>COUNTIFS('ALL Tube Results'!$B49:$B259, $A50, 'ALL Tube Results'!$F49:$F259, "Positive")
</f>
        <v>0</v>
      </c>
      <c r="F50" s="48">
        <f>COUNTIFS('ALL Tube Results'!$B49:$B259, $A50, 'ALL Tube Results'!$F49:$F259, "Inconclusive")
</f>
        <v>0</v>
      </c>
      <c r="G50" s="49">
        <f t="shared" si="7"/>
        <v>8</v>
      </c>
      <c r="H50" s="49" t="str">
        <f t="shared" si="8"/>
        <v/>
      </c>
      <c r="I50" s="50">
        <f t="shared" si="9"/>
        <v>8</v>
      </c>
      <c r="J50" s="51">
        <f t="shared" si="10"/>
        <v>0</v>
      </c>
      <c r="K50" s="51">
        <f t="shared" si="11"/>
        <v>0</v>
      </c>
      <c r="L50" s="51" t="str">
        <f t="shared" si="12"/>
        <v/>
      </c>
      <c r="M50" s="51" t="str">
        <f t="shared" si="13"/>
        <v/>
      </c>
      <c r="N50" s="51" t="str">
        <f t="shared" si="14"/>
        <v/>
      </c>
      <c r="O50" s="52">
        <f t="shared" si="15"/>
        <v>8</v>
      </c>
      <c r="P50" s="52" t="str">
        <f t="shared" si="16"/>
        <v/>
      </c>
      <c r="Q50" s="43"/>
      <c r="R50" s="7" t="s">
        <v>75</v>
      </c>
      <c r="S50" s="12">
        <v>44874.0</v>
      </c>
      <c r="T50" s="54">
        <f>VLOOKUP(R50,'Run Reconcile'!$A$2:$L259,12,FALSE)</f>
        <v>8</v>
      </c>
      <c r="U50" s="55" t="str">
        <f t="shared" si="17"/>
        <v/>
      </c>
      <c r="V50" s="54"/>
      <c r="W50" s="54"/>
      <c r="X50" s="43"/>
      <c r="Y50" s="7" t="str">
        <f>IFERROR(__xludf.DUMMYFUNCTION("""COMPUTED_VALUE"""),"RUN-ABRM_2022-11-09_RFR-069")</f>
        <v>RUN-ABRM_2022-11-09_RFR-069</v>
      </c>
      <c r="Z50" s="12">
        <f>IFERROR(__xludf.DUMMYFUNCTION("""COMPUTED_VALUE"""),44874.0)</f>
        <v>44874</v>
      </c>
      <c r="AA50" s="50">
        <f t="array" ref="AA50">INDEX('RFR Data - preExcl'!AK$2:AK259,$AE50,1)</f>
        <v>8</v>
      </c>
      <c r="AB50" s="54">
        <f t="shared" si="18"/>
        <v>8</v>
      </c>
      <c r="AC50" s="54">
        <f t="array" ref="AC50">INDEX('RFR Data - preExcl'!AI$2:AI259,$AE50,1)</f>
        <v>0</v>
      </c>
      <c r="AD50" s="54">
        <f t="array" ref="AD50">INDEX('RFR Data - preExcl'!AF$2:AF259,$AE50,1)</f>
        <v>0</v>
      </c>
      <c r="AE50" s="56">
        <f>IFNA(MATCH(Y50,'RFR Data - preExcl'!A$2:A259,0),"")</f>
        <v>69</v>
      </c>
      <c r="AF50" s="43"/>
      <c r="AG50" s="58" t="s">
        <v>75</v>
      </c>
      <c r="AH50" s="46">
        <f>VLOOKUP(AG50,'Run Reconcile'!A$2:B259,2,FALSE)</f>
        <v>44874</v>
      </c>
      <c r="AI50" s="54">
        <f>COUNTIF('APS Tubes IMPORT'!$V$2:$V259, AG50)
</f>
        <v>8</v>
      </c>
      <c r="AJ50" s="54">
        <f>COUNTIFS('APS Tubes IMPORT'!V$2:V259, AG50, 'APS Tubes IMPORT'!H$2:H259, "Negative")
</f>
        <v>8</v>
      </c>
      <c r="AK50" s="54">
        <f>COUNTIFS('APS Tubes IMPORT'!V49:V259, AG50, 'APS Tubes IMPORT'!H49:H259, "Positive")
</f>
        <v>0</v>
      </c>
      <c r="AL50" s="54">
        <f>COUNTIFS('APS Tubes IMPORT'!V49:V259, AG50, 'APS Tubes IMPORT'!H49:H259, "Inconclusive")
</f>
        <v>0</v>
      </c>
      <c r="AM50" s="54">
        <f>COUNTIFS('APS Tubes IMPORT'!V49:V259, AG50, 'APS Tubes IMPORT'!H49:H259, "Null")
</f>
        <v>0</v>
      </c>
      <c r="AN50" s="43"/>
      <c r="AO50" s="12">
        <f>'APS Tubes by Date IMPORT'!B49</f>
        <v>44874</v>
      </c>
      <c r="AP50" s="54">
        <f>'APS Tubes by Date IMPORT'!C49</f>
        <v>8</v>
      </c>
      <c r="AQ50" s="54">
        <f>'APS Tubes by Date IMPORT'!D49</f>
        <v>8</v>
      </c>
      <c r="AR50" s="54">
        <f>'APS Tubes by Date IMPORT'!E49</f>
        <v>0</v>
      </c>
      <c r="AS50" s="54">
        <f>'APS Tubes by Date IMPORT'!F49</f>
        <v>0</v>
      </c>
      <c r="AT50" s="54">
        <f>'APS Tubes by Date IMPORT'!G49</f>
        <v>0</v>
      </c>
      <c r="AU50" s="43"/>
    </row>
    <row r="51">
      <c r="A51" s="7" t="s">
        <v>76</v>
      </c>
      <c r="B51" s="46">
        <f>VLOOKUP(A51,'ALL Tube Results'!$B$2:$D259,2,FALSE)</f>
        <v>44875</v>
      </c>
      <c r="C51" s="47">
        <f>COUNTIF('ALL Tube Results'!B50:B259, A51)
</f>
        <v>9</v>
      </c>
      <c r="D51" s="48">
        <f>COUNTIFS('ALL Tube Results'!$B50:$B259, $A51, 'ALL Tube Results'!$F50:$F259, "Negative")
</f>
        <v>9</v>
      </c>
      <c r="E51" s="48">
        <f>COUNTIFS('ALL Tube Results'!$B50:$B259, $A51, 'ALL Tube Results'!$F50:$F259, "Positive")
</f>
        <v>0</v>
      </c>
      <c r="F51" s="48">
        <f>COUNTIFS('ALL Tube Results'!$B50:$B259, $A51, 'ALL Tube Results'!$F50:$F259, "Inconclusive")
</f>
        <v>0</v>
      </c>
      <c r="G51" s="49">
        <f t="shared" si="7"/>
        <v>9</v>
      </c>
      <c r="H51" s="49" t="str">
        <f t="shared" si="8"/>
        <v/>
      </c>
      <c r="I51" s="50">
        <f t="shared" si="9"/>
        <v>9</v>
      </c>
      <c r="J51" s="51">
        <f t="shared" si="10"/>
        <v>0</v>
      </c>
      <c r="K51" s="51">
        <f t="shared" si="11"/>
        <v>0</v>
      </c>
      <c r="L51" s="51" t="str">
        <f t="shared" si="12"/>
        <v/>
      </c>
      <c r="M51" s="51" t="str">
        <f t="shared" si="13"/>
        <v/>
      </c>
      <c r="N51" s="51" t="str">
        <f t="shared" si="14"/>
        <v/>
      </c>
      <c r="O51" s="52">
        <f t="shared" si="15"/>
        <v>9</v>
      </c>
      <c r="P51" s="52" t="str">
        <f t="shared" si="16"/>
        <v/>
      </c>
      <c r="Q51" s="43"/>
      <c r="R51" s="7" t="s">
        <v>76</v>
      </c>
      <c r="S51" s="12">
        <v>44875.0</v>
      </c>
      <c r="T51" s="54">
        <f>VLOOKUP(R51,'Run Reconcile'!$A$2:$L259,12,FALSE)</f>
        <v>9</v>
      </c>
      <c r="U51" s="55" t="str">
        <f t="shared" si="17"/>
        <v/>
      </c>
      <c r="V51" s="54"/>
      <c r="W51" s="54"/>
      <c r="X51" s="43"/>
      <c r="Y51" s="7" t="str">
        <f>IFERROR(__xludf.DUMMYFUNCTION("""COMPUTED_VALUE"""),"RUN-ABRM_2022-11-10_RFR-072")</f>
        <v>RUN-ABRM_2022-11-10_RFR-072</v>
      </c>
      <c r="Z51" s="12">
        <f>IFERROR(__xludf.DUMMYFUNCTION("""COMPUTED_VALUE"""),44875.0)</f>
        <v>44875</v>
      </c>
      <c r="AA51" s="50">
        <f t="array" ref="AA51">INDEX('RFR Data - preExcl'!AK$2:AK259,$AE51,1)</f>
        <v>9</v>
      </c>
      <c r="AB51" s="54">
        <f t="shared" si="18"/>
        <v>9</v>
      </c>
      <c r="AC51" s="54">
        <f t="array" ref="AC51">INDEX('RFR Data - preExcl'!AI$2:AI259,$AE51,1)</f>
        <v>0</v>
      </c>
      <c r="AD51" s="54">
        <f t="array" ref="AD51">INDEX('RFR Data - preExcl'!AF$2:AF259,$AE51,1)</f>
        <v>0</v>
      </c>
      <c r="AE51" s="56">
        <f>IFNA(MATCH(Y51,'RFR Data - preExcl'!A$2:A259,0),"")</f>
        <v>72</v>
      </c>
      <c r="AF51" s="43"/>
      <c r="AG51" s="58" t="s">
        <v>76</v>
      </c>
      <c r="AH51" s="46">
        <f>VLOOKUP(AG51,'Run Reconcile'!A$2:B259,2,FALSE)</f>
        <v>44875</v>
      </c>
      <c r="AI51" s="54">
        <f>COUNTIF('APS Tubes IMPORT'!$V$2:$V259, AG51)
</f>
        <v>9</v>
      </c>
      <c r="AJ51" s="54">
        <f>COUNTIFS('APS Tubes IMPORT'!V$2:V259, AG51, 'APS Tubes IMPORT'!H$2:H259, "Negative")
</f>
        <v>9</v>
      </c>
      <c r="AK51" s="54">
        <f>COUNTIFS('APS Tubes IMPORT'!V50:V259, AG51, 'APS Tubes IMPORT'!H50:H259, "Positive")
</f>
        <v>0</v>
      </c>
      <c r="AL51" s="54">
        <f>COUNTIFS('APS Tubes IMPORT'!V50:V259, AG51, 'APS Tubes IMPORT'!H50:H259, "Inconclusive")
</f>
        <v>0</v>
      </c>
      <c r="AM51" s="54">
        <f>COUNTIFS('APS Tubes IMPORT'!V50:V259, AG51, 'APS Tubes IMPORT'!H50:H259, "Null")
</f>
        <v>0</v>
      </c>
      <c r="AN51" s="43"/>
      <c r="AO51" s="12">
        <f>'APS Tubes by Date IMPORT'!B50</f>
        <v>44875</v>
      </c>
      <c r="AP51" s="54">
        <f>'APS Tubes by Date IMPORT'!C50</f>
        <v>9</v>
      </c>
      <c r="AQ51" s="54">
        <f>'APS Tubes by Date IMPORT'!D50</f>
        <v>9</v>
      </c>
      <c r="AR51" s="54">
        <f>'APS Tubes by Date IMPORT'!E50</f>
        <v>0</v>
      </c>
      <c r="AS51" s="54">
        <f>'APS Tubes by Date IMPORT'!F50</f>
        <v>0</v>
      </c>
      <c r="AT51" s="54">
        <f>'APS Tubes by Date IMPORT'!G50</f>
        <v>0</v>
      </c>
      <c r="AU51" s="43"/>
    </row>
    <row r="52">
      <c r="A52" s="7" t="s">
        <v>77</v>
      </c>
      <c r="B52" s="46">
        <f>VLOOKUP(A52,'ALL Tube Results'!$B$2:$D259,2,FALSE)</f>
        <v>44876</v>
      </c>
      <c r="C52" s="47">
        <f>COUNTIF('ALL Tube Results'!B51:B259, A52)
</f>
        <v>5</v>
      </c>
      <c r="D52" s="48">
        <f>COUNTIFS('ALL Tube Results'!$B51:$B259, $A52, 'ALL Tube Results'!$F51:$F259, "Negative")
</f>
        <v>5</v>
      </c>
      <c r="E52" s="48">
        <f>COUNTIFS('ALL Tube Results'!$B51:$B259, $A52, 'ALL Tube Results'!$F51:$F259, "Positive")
</f>
        <v>0</v>
      </c>
      <c r="F52" s="48">
        <f>COUNTIFS('ALL Tube Results'!$B51:$B259, $A52, 'ALL Tube Results'!$F51:$F259, "Inconclusive")
</f>
        <v>0</v>
      </c>
      <c r="G52" s="49">
        <f t="shared" si="7"/>
        <v>5</v>
      </c>
      <c r="H52" s="49" t="str">
        <f t="shared" si="8"/>
        <v/>
      </c>
      <c r="I52" s="50">
        <f t="shared" si="9"/>
        <v>5</v>
      </c>
      <c r="J52" s="51">
        <f t="shared" si="10"/>
        <v>0</v>
      </c>
      <c r="K52" s="51">
        <f t="shared" si="11"/>
        <v>0</v>
      </c>
      <c r="L52" s="51" t="str">
        <f t="shared" si="12"/>
        <v/>
      </c>
      <c r="M52" s="51" t="str">
        <f t="shared" si="13"/>
        <v/>
      </c>
      <c r="N52" s="51" t="str">
        <f t="shared" si="14"/>
        <v/>
      </c>
      <c r="O52" s="52">
        <f t="shared" si="15"/>
        <v>5</v>
      </c>
      <c r="P52" s="52" t="str">
        <f t="shared" si="16"/>
        <v/>
      </c>
      <c r="Q52" s="43"/>
      <c r="R52" s="7" t="s">
        <v>77</v>
      </c>
      <c r="S52" s="12">
        <v>44876.0</v>
      </c>
      <c r="T52" s="54">
        <f>VLOOKUP(R52,'Run Reconcile'!$A$2:$L259,12,FALSE)</f>
        <v>5</v>
      </c>
      <c r="U52" s="55" t="str">
        <f t="shared" si="17"/>
        <v/>
      </c>
      <c r="V52" s="54"/>
      <c r="W52" s="54"/>
      <c r="X52" s="43"/>
      <c r="Y52" s="7" t="str">
        <f>IFERROR(__xludf.DUMMYFUNCTION("""COMPUTED_VALUE"""),"RUN-ABRM_2022-11-11_RFR-073")</f>
        <v>RUN-ABRM_2022-11-11_RFR-073</v>
      </c>
      <c r="Z52" s="12">
        <f>IFERROR(__xludf.DUMMYFUNCTION("""COMPUTED_VALUE"""),44876.0)</f>
        <v>44876</v>
      </c>
      <c r="AA52" s="50">
        <f t="array" ref="AA52">INDEX('RFR Data - preExcl'!AK$2:AK259,$AE52,1)</f>
        <v>5</v>
      </c>
      <c r="AB52" s="54">
        <f t="shared" si="18"/>
        <v>5</v>
      </c>
      <c r="AC52" s="54">
        <f t="array" ref="AC52">INDEX('RFR Data - preExcl'!AI$2:AI259,$AE52,1)</f>
        <v>0</v>
      </c>
      <c r="AD52" s="54">
        <f t="array" ref="AD52">INDEX('RFR Data - preExcl'!AF$2:AF259,$AE52,1)</f>
        <v>0</v>
      </c>
      <c r="AE52" s="56">
        <f>IFNA(MATCH(Y52,'RFR Data - preExcl'!A$2:A259,0),"")</f>
        <v>73</v>
      </c>
      <c r="AF52" s="43"/>
      <c r="AG52" s="58" t="s">
        <v>77</v>
      </c>
      <c r="AH52" s="46">
        <f>VLOOKUP(AG52,'Run Reconcile'!A$2:B259,2,FALSE)</f>
        <v>44876</v>
      </c>
      <c r="AI52" s="54">
        <f>COUNTIF('APS Tubes IMPORT'!$V$2:$V259, AG52)
</f>
        <v>5</v>
      </c>
      <c r="AJ52" s="54">
        <f>COUNTIFS('APS Tubes IMPORT'!V$2:V259, AG52, 'APS Tubes IMPORT'!H$2:H259, "Negative")
</f>
        <v>5</v>
      </c>
      <c r="AK52" s="54">
        <f>COUNTIFS('APS Tubes IMPORT'!V51:V259, AG52, 'APS Tubes IMPORT'!H51:H259, "Positive")
</f>
        <v>0</v>
      </c>
      <c r="AL52" s="54">
        <f>COUNTIFS('APS Tubes IMPORT'!V51:V259, AG52, 'APS Tubes IMPORT'!H51:H259, "Inconclusive")
</f>
        <v>0</v>
      </c>
      <c r="AM52" s="54">
        <f>COUNTIFS('APS Tubes IMPORT'!V51:V259, AG52, 'APS Tubes IMPORT'!H51:H259, "Null")
</f>
        <v>0</v>
      </c>
      <c r="AN52" s="43"/>
      <c r="AO52" s="12">
        <f>'APS Tubes by Date IMPORT'!B51</f>
        <v>44876</v>
      </c>
      <c r="AP52" s="54">
        <f>'APS Tubes by Date IMPORT'!C51</f>
        <v>5</v>
      </c>
      <c r="AQ52" s="54">
        <f>'APS Tubes by Date IMPORT'!D51</f>
        <v>5</v>
      </c>
      <c r="AR52" s="54">
        <f>'APS Tubes by Date IMPORT'!E51</f>
        <v>0</v>
      </c>
      <c r="AS52" s="54">
        <f>'APS Tubes by Date IMPORT'!F51</f>
        <v>0</v>
      </c>
      <c r="AT52" s="54">
        <f>'APS Tubes by Date IMPORT'!G51</f>
        <v>0</v>
      </c>
      <c r="AU52" s="43"/>
    </row>
    <row r="53">
      <c r="A53" s="7" t="s">
        <v>78</v>
      </c>
      <c r="B53" s="46">
        <f>VLOOKUP(A53,'ALL Tube Results'!$B$2:$D259,2,FALSE)</f>
        <v>44879</v>
      </c>
      <c r="C53" s="47">
        <f>COUNTIF('ALL Tube Results'!B52:B259, A53)
</f>
        <v>8</v>
      </c>
      <c r="D53" s="48">
        <f>COUNTIFS('ALL Tube Results'!$B52:$B259, $A53, 'ALL Tube Results'!$F52:$F259, "Negative")
</f>
        <v>8</v>
      </c>
      <c r="E53" s="48">
        <f>COUNTIFS('ALL Tube Results'!$B52:$B259, $A53, 'ALL Tube Results'!$F52:$F259, "Positive")
</f>
        <v>0</v>
      </c>
      <c r="F53" s="48">
        <f>COUNTIFS('ALL Tube Results'!$B52:$B259, $A53, 'ALL Tube Results'!$F52:$F259, "Inconclusive")
</f>
        <v>0</v>
      </c>
      <c r="G53" s="49">
        <f t="shared" si="7"/>
        <v>8</v>
      </c>
      <c r="H53" s="49" t="str">
        <f t="shared" si="8"/>
        <v/>
      </c>
      <c r="I53" s="50">
        <f t="shared" si="9"/>
        <v>8</v>
      </c>
      <c r="J53" s="51">
        <f t="shared" si="10"/>
        <v>0</v>
      </c>
      <c r="K53" s="51">
        <f t="shared" si="11"/>
        <v>0</v>
      </c>
      <c r="L53" s="51" t="str">
        <f t="shared" si="12"/>
        <v/>
      </c>
      <c r="M53" s="51" t="str">
        <f t="shared" si="13"/>
        <v/>
      </c>
      <c r="N53" s="51" t="str">
        <f t="shared" si="14"/>
        <v/>
      </c>
      <c r="O53" s="52">
        <f t="shared" si="15"/>
        <v>8</v>
      </c>
      <c r="P53" s="52" t="str">
        <f t="shared" si="16"/>
        <v/>
      </c>
      <c r="Q53" s="43"/>
      <c r="R53" s="7" t="s">
        <v>78</v>
      </c>
      <c r="S53" s="12">
        <v>44879.0</v>
      </c>
      <c r="T53" s="54">
        <f>VLOOKUP(R53,'Run Reconcile'!$A$2:$L259,12,FALSE)</f>
        <v>8</v>
      </c>
      <c r="U53" s="55" t="str">
        <f t="shared" si="17"/>
        <v/>
      </c>
      <c r="V53" s="54"/>
      <c r="W53" s="54"/>
      <c r="X53" s="43"/>
      <c r="Y53" s="7" t="str">
        <f>IFERROR(__xludf.DUMMYFUNCTION("""COMPUTED_VALUE"""),"RUN-ABRM_2022-11-14_RFR-075")</f>
        <v>RUN-ABRM_2022-11-14_RFR-075</v>
      </c>
      <c r="Z53" s="12">
        <f>IFERROR(__xludf.DUMMYFUNCTION("""COMPUTED_VALUE"""),44879.0)</f>
        <v>44879</v>
      </c>
      <c r="AA53" s="50">
        <f t="array" ref="AA53">INDEX('RFR Data - preExcl'!AK$2:AK259,$AE53,1)</f>
        <v>8</v>
      </c>
      <c r="AB53" s="54">
        <f t="shared" si="18"/>
        <v>8</v>
      </c>
      <c r="AC53" s="54">
        <f t="array" ref="AC53">INDEX('RFR Data - preExcl'!AI$2:AI259,$AE53,1)</f>
        <v>0</v>
      </c>
      <c r="AD53" s="54">
        <f t="array" ref="AD53">INDEX('RFR Data - preExcl'!AF$2:AF259,$AE53,1)</f>
        <v>0</v>
      </c>
      <c r="AE53" s="56">
        <f>IFNA(MATCH(Y53,'RFR Data - preExcl'!A$2:A259,0),"")</f>
        <v>75</v>
      </c>
      <c r="AF53" s="43"/>
      <c r="AG53" s="58" t="s">
        <v>78</v>
      </c>
      <c r="AH53" s="46">
        <f>VLOOKUP(AG53,'Run Reconcile'!A$2:B259,2,FALSE)</f>
        <v>44879</v>
      </c>
      <c r="AI53" s="54">
        <f>COUNTIF('APS Tubes IMPORT'!$V$2:$V259, AG53)
</f>
        <v>8</v>
      </c>
      <c r="AJ53" s="54">
        <f>COUNTIFS('APS Tubes IMPORT'!V$2:V259, AG53, 'APS Tubes IMPORT'!H$2:H259, "Negative")
</f>
        <v>8</v>
      </c>
      <c r="AK53" s="54">
        <f>COUNTIFS('APS Tubes IMPORT'!V52:V259, AG53, 'APS Tubes IMPORT'!H52:H259, "Positive")
</f>
        <v>0</v>
      </c>
      <c r="AL53" s="54">
        <f>COUNTIFS('APS Tubes IMPORT'!V52:V259, AG53, 'APS Tubes IMPORT'!H52:H259, "Inconclusive")
</f>
        <v>0</v>
      </c>
      <c r="AM53" s="54">
        <f>COUNTIFS('APS Tubes IMPORT'!V52:V259, AG53, 'APS Tubes IMPORT'!H52:H259, "Null")
</f>
        <v>0</v>
      </c>
      <c r="AN53" s="43"/>
      <c r="AO53" s="12">
        <f>'APS Tubes by Date IMPORT'!B52</f>
        <v>44879</v>
      </c>
      <c r="AP53" s="54">
        <f>'APS Tubes by Date IMPORT'!C52</f>
        <v>8</v>
      </c>
      <c r="AQ53" s="54">
        <f>'APS Tubes by Date IMPORT'!D52</f>
        <v>8</v>
      </c>
      <c r="AR53" s="54">
        <f>'APS Tubes by Date IMPORT'!E52</f>
        <v>0</v>
      </c>
      <c r="AS53" s="54">
        <f>'APS Tubes by Date IMPORT'!F52</f>
        <v>0</v>
      </c>
      <c r="AT53" s="54">
        <f>'APS Tubes by Date IMPORT'!G52</f>
        <v>0</v>
      </c>
      <c r="AU53" s="43"/>
    </row>
    <row r="54">
      <c r="A54" s="7" t="s">
        <v>79</v>
      </c>
      <c r="B54" s="46">
        <f>VLOOKUP(A54,'ALL Tube Results'!$B$2:$D259,2,FALSE)</f>
        <v>44880</v>
      </c>
      <c r="C54" s="47">
        <f>COUNTIF('ALL Tube Results'!B53:B259, A54)
</f>
        <v>8</v>
      </c>
      <c r="D54" s="48">
        <f>COUNTIFS('ALL Tube Results'!$B53:$B259, $A54, 'ALL Tube Results'!$F53:$F259, "Negative")
</f>
        <v>8</v>
      </c>
      <c r="E54" s="48">
        <f>COUNTIFS('ALL Tube Results'!$B53:$B259, $A54, 'ALL Tube Results'!$F53:$F259, "Positive")
</f>
        <v>0</v>
      </c>
      <c r="F54" s="48">
        <f>COUNTIFS('ALL Tube Results'!$B53:$B259, $A54, 'ALL Tube Results'!$F53:$F259, "Inconclusive")
</f>
        <v>0</v>
      </c>
      <c r="G54" s="49">
        <f t="shared" si="7"/>
        <v>8</v>
      </c>
      <c r="H54" s="49" t="str">
        <f t="shared" si="8"/>
        <v/>
      </c>
      <c r="I54" s="50">
        <f t="shared" si="9"/>
        <v>8</v>
      </c>
      <c r="J54" s="51">
        <f t="shared" si="10"/>
        <v>0</v>
      </c>
      <c r="K54" s="51">
        <f t="shared" si="11"/>
        <v>0</v>
      </c>
      <c r="L54" s="51" t="str">
        <f t="shared" si="12"/>
        <v/>
      </c>
      <c r="M54" s="51" t="str">
        <f t="shared" si="13"/>
        <v/>
      </c>
      <c r="N54" s="51" t="str">
        <f t="shared" si="14"/>
        <v/>
      </c>
      <c r="O54" s="52">
        <f t="shared" si="15"/>
        <v>8</v>
      </c>
      <c r="P54" s="52" t="str">
        <f t="shared" si="16"/>
        <v/>
      </c>
      <c r="Q54" s="43"/>
      <c r="R54" s="7" t="s">
        <v>79</v>
      </c>
      <c r="S54" s="12">
        <v>44880.0</v>
      </c>
      <c r="T54" s="54">
        <f>VLOOKUP(R54,'Run Reconcile'!$A$2:$L259,12,FALSE)</f>
        <v>8</v>
      </c>
      <c r="U54" s="55" t="str">
        <f t="shared" si="17"/>
        <v/>
      </c>
      <c r="V54" s="54"/>
      <c r="W54" s="54"/>
      <c r="X54" s="43"/>
      <c r="Y54" s="7" t="str">
        <f>IFERROR(__xludf.DUMMYFUNCTION("""COMPUTED_VALUE"""),"RUN-ABRM_2022-11-15_RFR-076")</f>
        <v>RUN-ABRM_2022-11-15_RFR-076</v>
      </c>
      <c r="Z54" s="12">
        <f>IFERROR(__xludf.DUMMYFUNCTION("""COMPUTED_VALUE"""),44880.0)</f>
        <v>44880</v>
      </c>
      <c r="AA54" s="50">
        <f t="array" ref="AA54">INDEX('RFR Data - preExcl'!AK$2:AK259,$AE54,1)</f>
        <v>8</v>
      </c>
      <c r="AB54" s="54">
        <f t="shared" si="18"/>
        <v>8</v>
      </c>
      <c r="AC54" s="54">
        <f t="array" ref="AC54">INDEX('RFR Data - preExcl'!AI$2:AI259,$AE54,1)</f>
        <v>0</v>
      </c>
      <c r="AD54" s="54">
        <f t="array" ref="AD54">INDEX('RFR Data - preExcl'!AF$2:AF259,$AE54,1)</f>
        <v>0</v>
      </c>
      <c r="AE54" s="56">
        <f>IFNA(MATCH(Y54,'RFR Data - preExcl'!A$2:A259,0),"")</f>
        <v>76</v>
      </c>
      <c r="AF54" s="43"/>
      <c r="AG54" s="58" t="s">
        <v>79</v>
      </c>
      <c r="AH54" s="46">
        <f>VLOOKUP(AG54,'Run Reconcile'!A$2:B259,2,FALSE)</f>
        <v>44880</v>
      </c>
      <c r="AI54" s="54">
        <f>COUNTIF('APS Tubes IMPORT'!$V$2:$V259, AG54)
</f>
        <v>8</v>
      </c>
      <c r="AJ54" s="54">
        <f>COUNTIFS('APS Tubes IMPORT'!V$2:V259, AG54, 'APS Tubes IMPORT'!H$2:H259, "Negative")
</f>
        <v>8</v>
      </c>
      <c r="AK54" s="54">
        <f>COUNTIFS('APS Tubes IMPORT'!V53:V259, AG54, 'APS Tubes IMPORT'!H53:H259, "Positive")
</f>
        <v>0</v>
      </c>
      <c r="AL54" s="54">
        <f>COUNTIFS('APS Tubes IMPORT'!V53:V259, AG54, 'APS Tubes IMPORT'!H53:H259, "Inconclusive")
</f>
        <v>0</v>
      </c>
      <c r="AM54" s="54">
        <f>COUNTIFS('APS Tubes IMPORT'!V53:V259, AG54, 'APS Tubes IMPORT'!H53:H259, "Null")
</f>
        <v>0</v>
      </c>
      <c r="AN54" s="43"/>
      <c r="AO54" s="12">
        <f>'APS Tubes by Date IMPORT'!B53</f>
        <v>44880</v>
      </c>
      <c r="AP54" s="54">
        <f>'APS Tubes by Date IMPORT'!C53</f>
        <v>8</v>
      </c>
      <c r="AQ54" s="54">
        <f>'APS Tubes by Date IMPORT'!D53</f>
        <v>8</v>
      </c>
      <c r="AR54" s="54">
        <f>'APS Tubes by Date IMPORT'!E53</f>
        <v>0</v>
      </c>
      <c r="AS54" s="54">
        <f>'APS Tubes by Date IMPORT'!F53</f>
        <v>0</v>
      </c>
      <c r="AT54" s="54">
        <f>'APS Tubes by Date IMPORT'!G53</f>
        <v>0</v>
      </c>
      <c r="AU54" s="43"/>
    </row>
    <row r="55">
      <c r="A55" s="7" t="s">
        <v>80</v>
      </c>
      <c r="B55" s="46">
        <f>VLOOKUP(A55,'ALL Tube Results'!$B$2:$D259,2,FALSE)</f>
        <v>44881</v>
      </c>
      <c r="C55" s="47">
        <f>COUNTIF('ALL Tube Results'!B54:B259, A55)
</f>
        <v>9</v>
      </c>
      <c r="D55" s="48">
        <f>COUNTIFS('ALL Tube Results'!$B54:$B259, $A55, 'ALL Tube Results'!$F54:$F259, "Negative")
</f>
        <v>9</v>
      </c>
      <c r="E55" s="48">
        <f>COUNTIFS('ALL Tube Results'!$B54:$B259, $A55, 'ALL Tube Results'!$F54:$F259, "Positive")
</f>
        <v>0</v>
      </c>
      <c r="F55" s="48">
        <f>COUNTIFS('ALL Tube Results'!$B54:$B259, $A55, 'ALL Tube Results'!$F54:$F259, "Inconclusive")
</f>
        <v>0</v>
      </c>
      <c r="G55" s="49">
        <f t="shared" si="7"/>
        <v>9</v>
      </c>
      <c r="H55" s="49" t="str">
        <f t="shared" si="8"/>
        <v/>
      </c>
      <c r="I55" s="50">
        <f t="shared" si="9"/>
        <v>9</v>
      </c>
      <c r="J55" s="51">
        <f t="shared" si="10"/>
        <v>0</v>
      </c>
      <c r="K55" s="51">
        <f t="shared" si="11"/>
        <v>0</v>
      </c>
      <c r="L55" s="51" t="str">
        <f t="shared" si="12"/>
        <v/>
      </c>
      <c r="M55" s="51" t="str">
        <f t="shared" si="13"/>
        <v/>
      </c>
      <c r="N55" s="51" t="str">
        <f t="shared" si="14"/>
        <v/>
      </c>
      <c r="O55" s="52">
        <f t="shared" si="15"/>
        <v>9</v>
      </c>
      <c r="P55" s="52" t="str">
        <f t="shared" si="16"/>
        <v/>
      </c>
      <c r="Q55" s="43"/>
      <c r="R55" s="7" t="s">
        <v>80</v>
      </c>
      <c r="S55" s="12">
        <v>44881.0</v>
      </c>
      <c r="T55" s="54">
        <f>VLOOKUP(R55,'Run Reconcile'!$A$2:$L259,12,FALSE)</f>
        <v>9</v>
      </c>
      <c r="U55" s="55" t="str">
        <f t="shared" si="17"/>
        <v/>
      </c>
      <c r="V55" s="54"/>
      <c r="W55" s="54"/>
      <c r="X55" s="43"/>
      <c r="Y55" s="7" t="str">
        <f>IFERROR(__xludf.DUMMYFUNCTION("""COMPUTED_VALUE"""),"RUN-ABRM_2022-11-16_RFR-078")</f>
        <v>RUN-ABRM_2022-11-16_RFR-078</v>
      </c>
      <c r="Z55" s="12">
        <f>IFERROR(__xludf.DUMMYFUNCTION("""COMPUTED_VALUE"""),44881.0)</f>
        <v>44881</v>
      </c>
      <c r="AA55" s="50">
        <f t="array" ref="AA55">INDEX('RFR Data - preExcl'!AK$2:AK259,$AE55,1)</f>
        <v>9</v>
      </c>
      <c r="AB55" s="54">
        <f t="shared" si="18"/>
        <v>9</v>
      </c>
      <c r="AC55" s="54">
        <f t="array" ref="AC55">INDEX('RFR Data - preExcl'!AI$2:AI259,$AE55,1)</f>
        <v>0</v>
      </c>
      <c r="AD55" s="54">
        <f t="array" ref="AD55">INDEX('RFR Data - preExcl'!AF$2:AF259,$AE55,1)</f>
        <v>0</v>
      </c>
      <c r="AE55" s="56">
        <f>IFNA(MATCH(Y55,'RFR Data - preExcl'!A$2:A259,0),"")</f>
        <v>78</v>
      </c>
      <c r="AF55" s="43"/>
      <c r="AG55" s="58" t="s">
        <v>80</v>
      </c>
      <c r="AH55" s="46">
        <f>VLOOKUP(AG55,'Run Reconcile'!A$2:B259,2,FALSE)</f>
        <v>44881</v>
      </c>
      <c r="AI55" s="54">
        <f>COUNTIF('APS Tubes IMPORT'!$V$2:$V259, AG55)
</f>
        <v>9</v>
      </c>
      <c r="AJ55" s="54">
        <f>COUNTIFS('APS Tubes IMPORT'!V$2:V259, AG55, 'APS Tubes IMPORT'!H$2:H259, "Negative")
</f>
        <v>9</v>
      </c>
      <c r="AK55" s="54">
        <f>COUNTIFS('APS Tubes IMPORT'!V54:V259, AG55, 'APS Tubes IMPORT'!H54:H259, "Positive")
</f>
        <v>0</v>
      </c>
      <c r="AL55" s="54">
        <f>COUNTIFS('APS Tubes IMPORT'!V54:V259, AG55, 'APS Tubes IMPORT'!H54:H259, "Inconclusive")
</f>
        <v>0</v>
      </c>
      <c r="AM55" s="54">
        <f>COUNTIFS('APS Tubes IMPORT'!V54:V259, AG55, 'APS Tubes IMPORT'!H54:H259, "Null")
</f>
        <v>0</v>
      </c>
      <c r="AN55" s="43"/>
      <c r="AO55" s="12">
        <f>'APS Tubes by Date IMPORT'!B54</f>
        <v>44881</v>
      </c>
      <c r="AP55" s="54">
        <f>'APS Tubes by Date IMPORT'!D54</f>
        <v>9</v>
      </c>
      <c r="AQ55" s="54">
        <f>'APS Tubes by Date IMPORT'!E54</f>
        <v>0</v>
      </c>
      <c r="AR55" s="54">
        <f>'APS Tubes by Date IMPORT'!F54</f>
        <v>0</v>
      </c>
      <c r="AS55" s="54">
        <f>'APS Tubes by Date IMPORT'!G54</f>
        <v>0</v>
      </c>
      <c r="AT55" s="54">
        <f>'APS Tubes by Date IMPORT'!G54</f>
        <v>0</v>
      </c>
      <c r="AU55" s="43"/>
    </row>
    <row r="56">
      <c r="A56" s="7" t="s">
        <v>81</v>
      </c>
      <c r="B56" s="46">
        <f>VLOOKUP(A56,'ALL Tube Results'!$B$2:$D259,2,FALSE)</f>
        <v>44882</v>
      </c>
      <c r="C56" s="47">
        <f>COUNTIF('ALL Tube Results'!B55:B259, A56)
</f>
        <v>7</v>
      </c>
      <c r="D56" s="48">
        <f>COUNTIFS('ALL Tube Results'!$B55:$B259, $A56, 'ALL Tube Results'!$F55:$F259, "Negative")
</f>
        <v>7</v>
      </c>
      <c r="E56" s="48">
        <f>COUNTIFS('ALL Tube Results'!$B55:$B259, $A56, 'ALL Tube Results'!$F55:$F259, "Positive")
</f>
        <v>0</v>
      </c>
      <c r="F56" s="48">
        <f>COUNTIFS('ALL Tube Results'!$B55:$B259, $A56, 'ALL Tube Results'!$F55:$F259, "Inconclusive")
</f>
        <v>0</v>
      </c>
      <c r="G56" s="49">
        <f t="shared" si="7"/>
        <v>7</v>
      </c>
      <c r="H56" s="49" t="str">
        <f t="shared" si="8"/>
        <v/>
      </c>
      <c r="I56" s="50">
        <f t="shared" si="9"/>
        <v>7</v>
      </c>
      <c r="J56" s="51">
        <f t="shared" si="10"/>
        <v>0</v>
      </c>
      <c r="K56" s="51">
        <f t="shared" si="11"/>
        <v>0</v>
      </c>
      <c r="L56" s="51" t="str">
        <f t="shared" si="12"/>
        <v/>
      </c>
      <c r="M56" s="51" t="str">
        <f t="shared" si="13"/>
        <v/>
      </c>
      <c r="N56" s="51" t="str">
        <f t="shared" si="14"/>
        <v/>
      </c>
      <c r="O56" s="52">
        <f t="shared" si="15"/>
        <v>5</v>
      </c>
      <c r="P56" s="52">
        <f t="shared" si="16"/>
        <v>2</v>
      </c>
      <c r="Q56" s="43"/>
      <c r="R56" s="7" t="s">
        <v>81</v>
      </c>
      <c r="S56" s="12">
        <v>44882.0</v>
      </c>
      <c r="T56" s="54">
        <f>VLOOKUP(R56,'Run Reconcile'!$A$2:$L259,12,FALSE)</f>
        <v>7</v>
      </c>
      <c r="U56" s="55" t="str">
        <f t="shared" si="17"/>
        <v/>
      </c>
      <c r="V56" s="54"/>
      <c r="W56" s="54"/>
      <c r="X56" s="43"/>
      <c r="Y56" s="7" t="str">
        <f>IFERROR(__xludf.DUMMYFUNCTION("""COMPUTED_VALUE"""),"RUN-ABRM_2022-11-17_RFR-079")</f>
        <v>RUN-ABRM_2022-11-17_RFR-079</v>
      </c>
      <c r="Z56" s="12">
        <f>IFERROR(__xludf.DUMMYFUNCTION("""COMPUTED_VALUE"""),44882.0)</f>
        <v>44882</v>
      </c>
      <c r="AA56" s="50">
        <f t="array" ref="AA56">INDEX('RFR Data - preExcl'!AK$2:AK259,$AE56,1)</f>
        <v>7</v>
      </c>
      <c r="AB56" s="54">
        <f t="shared" si="18"/>
        <v>7</v>
      </c>
      <c r="AC56" s="54">
        <f t="array" ref="AC56">INDEX('RFR Data - preExcl'!AI$2:AI259,$AE56,1)</f>
        <v>0</v>
      </c>
      <c r="AD56" s="54">
        <f t="array" ref="AD56">INDEX('RFR Data - preExcl'!AF$2:AF259,$AE56,1)</f>
        <v>0</v>
      </c>
      <c r="AE56" s="56">
        <f>IFNA(MATCH(Y56,'RFR Data - preExcl'!A$2:A259,0),"")</f>
        <v>79</v>
      </c>
      <c r="AF56" s="43"/>
      <c r="AG56" s="58" t="s">
        <v>81</v>
      </c>
      <c r="AH56" s="46">
        <f>VLOOKUP(AG56,'Run Reconcile'!A$2:B259,2,FALSE)</f>
        <v>44882</v>
      </c>
      <c r="AI56" s="54">
        <f>COUNTIF('APS Tubes IMPORT'!$V$2:$V259, AG56)
</f>
        <v>5</v>
      </c>
      <c r="AJ56" s="54">
        <f>COUNTIFS('APS Tubes IMPORT'!V$2:V259, AG56, 'APS Tubes IMPORT'!H$2:H259, "Negative")
</f>
        <v>5</v>
      </c>
      <c r="AK56" s="54">
        <f>COUNTIFS('APS Tubes IMPORT'!V55:V259, AG56, 'APS Tubes IMPORT'!H55:H259, "Positive")
</f>
        <v>0</v>
      </c>
      <c r="AL56" s="54">
        <f>COUNTIFS('APS Tubes IMPORT'!V55:V259, AG56, 'APS Tubes IMPORT'!H55:H259, "Inconclusive")
</f>
        <v>0</v>
      </c>
      <c r="AM56" s="54">
        <f>COUNTIFS('APS Tubes IMPORT'!V55:V259, AG56, 'APS Tubes IMPORT'!H55:H259, "Null")
</f>
        <v>0</v>
      </c>
      <c r="AN56" s="43"/>
      <c r="AO56" s="12">
        <f>'APS Tubes by Date IMPORT'!B55</f>
        <v>44882</v>
      </c>
      <c r="AP56" s="54">
        <f>'APS Tubes by Date IMPORT'!D55</f>
        <v>5</v>
      </c>
      <c r="AQ56" s="54">
        <f>'APS Tubes by Date IMPORT'!E55</f>
        <v>0</v>
      </c>
      <c r="AR56" s="54">
        <f>'APS Tubes by Date IMPORT'!F55</f>
        <v>0</v>
      </c>
      <c r="AS56" s="54">
        <f>'APS Tubes by Date IMPORT'!G55</f>
        <v>0</v>
      </c>
      <c r="AT56" s="54">
        <f>'APS Tubes by Date IMPORT'!G55</f>
        <v>0</v>
      </c>
      <c r="AU56" s="43"/>
    </row>
    <row r="57">
      <c r="A57" s="7" t="s">
        <v>82</v>
      </c>
      <c r="B57" s="46">
        <f>VLOOKUP(A57,'ALL Tube Results'!$B$2:$D259,2,FALSE)</f>
        <v>44883</v>
      </c>
      <c r="C57" s="47">
        <f>COUNTIF('ALL Tube Results'!B56:B259, A57)
</f>
        <v>5</v>
      </c>
      <c r="D57" s="48">
        <f>COUNTIFS('ALL Tube Results'!$B56:$B259, $A57, 'ALL Tube Results'!$F56:$F259, "Negative")
</f>
        <v>5</v>
      </c>
      <c r="E57" s="48">
        <f>COUNTIFS('ALL Tube Results'!$B56:$B259, $A57, 'ALL Tube Results'!$F56:$F259, "Positive")
</f>
        <v>0</v>
      </c>
      <c r="F57" s="48">
        <f>COUNTIFS('ALL Tube Results'!$B56:$B259, $A57, 'ALL Tube Results'!$F56:$F259, "Inconclusive")
</f>
        <v>0</v>
      </c>
      <c r="G57" s="49">
        <f t="shared" si="7"/>
        <v>5</v>
      </c>
      <c r="H57" s="49" t="str">
        <f t="shared" si="8"/>
        <v/>
      </c>
      <c r="I57" s="50">
        <f t="shared" si="9"/>
        <v>5</v>
      </c>
      <c r="J57" s="51">
        <f t="shared" si="10"/>
        <v>0</v>
      </c>
      <c r="K57" s="51">
        <f t="shared" si="11"/>
        <v>0</v>
      </c>
      <c r="L57" s="51" t="str">
        <f t="shared" si="12"/>
        <v/>
      </c>
      <c r="M57" s="51" t="str">
        <f t="shared" si="13"/>
        <v/>
      </c>
      <c r="N57" s="51" t="str">
        <f t="shared" si="14"/>
        <v/>
      </c>
      <c r="O57" s="52">
        <f t="shared" si="15"/>
        <v>5</v>
      </c>
      <c r="P57" s="52" t="str">
        <f t="shared" si="16"/>
        <v/>
      </c>
      <c r="Q57" s="43"/>
      <c r="R57" s="7" t="s">
        <v>82</v>
      </c>
      <c r="S57" s="12">
        <v>44883.0</v>
      </c>
      <c r="T57" s="54">
        <f>VLOOKUP(R57,'Run Reconcile'!$A$2:$L259,12,FALSE)</f>
        <v>5</v>
      </c>
      <c r="U57" s="55" t="str">
        <f t="shared" si="17"/>
        <v/>
      </c>
      <c r="V57" s="54"/>
      <c r="W57" s="54"/>
      <c r="X57" s="43"/>
      <c r="Y57" s="7" t="str">
        <f>IFERROR(__xludf.DUMMYFUNCTION("""COMPUTED_VALUE"""),"RUN-ABRM_2022-11-18_RFR-081")</f>
        <v>RUN-ABRM_2022-11-18_RFR-081</v>
      </c>
      <c r="Z57" s="12">
        <f>IFERROR(__xludf.DUMMYFUNCTION("""COMPUTED_VALUE"""),44883.0)</f>
        <v>44883</v>
      </c>
      <c r="AA57" s="50">
        <f t="array" ref="AA57">INDEX('RFR Data - preExcl'!AK$2:AK259,$AE57,1)</f>
        <v>5</v>
      </c>
      <c r="AB57" s="54">
        <f t="shared" si="18"/>
        <v>5</v>
      </c>
      <c r="AC57" s="54">
        <f t="array" ref="AC57">INDEX('RFR Data - preExcl'!AI$2:AI259,$AE57,1)</f>
        <v>0</v>
      </c>
      <c r="AD57" s="54">
        <f t="array" ref="AD57">INDEX('RFR Data - preExcl'!AF$2:AF259,$AE57,1)</f>
        <v>0</v>
      </c>
      <c r="AE57" s="56">
        <f>IFNA(MATCH(Y57,'RFR Data - preExcl'!A$2:A259,0),"")</f>
        <v>81</v>
      </c>
      <c r="AF57" s="43"/>
      <c r="AG57" s="58" t="s">
        <v>82</v>
      </c>
      <c r="AH57" s="46">
        <f>VLOOKUP(AG57,'Run Reconcile'!A$2:B259,2,FALSE)</f>
        <v>44883</v>
      </c>
      <c r="AI57" s="54">
        <f>COUNTIF('APS Tubes IMPORT'!$V$2:$V259, AG57)
</f>
        <v>5</v>
      </c>
      <c r="AJ57" s="54">
        <f>COUNTIFS('APS Tubes IMPORT'!V$2:V259, AG57, 'APS Tubes IMPORT'!H$2:H259, "Negative")
</f>
        <v>5</v>
      </c>
      <c r="AK57" s="54">
        <f>COUNTIFS('APS Tubes IMPORT'!V56:V259, AG57, 'APS Tubes IMPORT'!H56:H259, "Positive")
</f>
        <v>0</v>
      </c>
      <c r="AL57" s="54">
        <f>COUNTIFS('APS Tubes IMPORT'!V56:V259, AG57, 'APS Tubes IMPORT'!H56:H259, "Inconclusive")
</f>
        <v>0</v>
      </c>
      <c r="AM57" s="54">
        <f>COUNTIFS('APS Tubes IMPORT'!V56:V259, AG57, 'APS Tubes IMPORT'!H56:H259, "Null")
</f>
        <v>0</v>
      </c>
      <c r="AN57" s="43"/>
      <c r="AO57" s="12">
        <f>'APS Tubes by Date IMPORT'!B56</f>
        <v>44883</v>
      </c>
      <c r="AP57" s="54">
        <f>'APS Tubes by Date IMPORT'!D56</f>
        <v>5</v>
      </c>
      <c r="AQ57" s="54">
        <f>'APS Tubes by Date IMPORT'!E56</f>
        <v>0</v>
      </c>
      <c r="AR57" s="54">
        <f>'APS Tubes by Date IMPORT'!F56</f>
        <v>0</v>
      </c>
      <c r="AS57" s="54">
        <f>'APS Tubes by Date IMPORT'!G56</f>
        <v>0</v>
      </c>
      <c r="AT57" s="54">
        <f>'APS Tubes by Date IMPORT'!G56</f>
        <v>0</v>
      </c>
      <c r="AU57" s="43"/>
    </row>
    <row r="58">
      <c r="A58" s="7" t="s">
        <v>83</v>
      </c>
      <c r="B58" s="46">
        <f>VLOOKUP(A58,'ALL Tube Results'!$B$2:$D259,2,FALSE)</f>
        <v>44884</v>
      </c>
      <c r="C58" s="47">
        <f>COUNTIF('ALL Tube Results'!B57:B259, A58)
</f>
        <v>2</v>
      </c>
      <c r="D58" s="48">
        <f>COUNTIFS('ALL Tube Results'!$B57:$B259, $A58, 'ALL Tube Results'!$F57:$F259, "Negative")
</f>
        <v>2</v>
      </c>
      <c r="E58" s="48">
        <f>COUNTIFS('ALL Tube Results'!$B57:$B259, $A58, 'ALL Tube Results'!$F57:$F259, "Positive")
</f>
        <v>0</v>
      </c>
      <c r="F58" s="48">
        <f>COUNTIFS('ALL Tube Results'!$B57:$B259, $A58, 'ALL Tube Results'!$F57:$F259, "Inconclusive")
</f>
        <v>0</v>
      </c>
      <c r="G58" s="49">
        <f t="shared" si="7"/>
        <v>2</v>
      </c>
      <c r="H58" s="49" t="str">
        <f t="shared" si="8"/>
        <v/>
      </c>
      <c r="I58" s="50">
        <f t="shared" si="9"/>
        <v>2</v>
      </c>
      <c r="J58" s="51">
        <f t="shared" si="10"/>
        <v>0</v>
      </c>
      <c r="K58" s="51">
        <f t="shared" si="11"/>
        <v>0</v>
      </c>
      <c r="L58" s="51" t="str">
        <f t="shared" si="12"/>
        <v/>
      </c>
      <c r="M58" s="51" t="str">
        <f t="shared" si="13"/>
        <v/>
      </c>
      <c r="N58" s="51" t="str">
        <f t="shared" si="14"/>
        <v/>
      </c>
      <c r="O58" s="52">
        <f t="shared" si="15"/>
        <v>2</v>
      </c>
      <c r="P58" s="52" t="str">
        <f t="shared" si="16"/>
        <v/>
      </c>
      <c r="Q58" s="43"/>
      <c r="R58" s="7" t="s">
        <v>83</v>
      </c>
      <c r="S58" s="12">
        <v>44884.0</v>
      </c>
      <c r="T58" s="54">
        <f>VLOOKUP(R58,'Run Reconcile'!$A$2:$L259,12,FALSE)</f>
        <v>2</v>
      </c>
      <c r="U58" s="55" t="str">
        <f t="shared" si="17"/>
        <v/>
      </c>
      <c r="V58" s="54"/>
      <c r="W58" s="54"/>
      <c r="X58" s="43"/>
      <c r="Y58" s="7" t="str">
        <f>IFERROR(__xludf.DUMMYFUNCTION("""COMPUTED_VALUE"""),"RUN-ABRM_2022-11-19_RFR-082")</f>
        <v>RUN-ABRM_2022-11-19_RFR-082</v>
      </c>
      <c r="Z58" s="12">
        <f>IFERROR(__xludf.DUMMYFUNCTION("""COMPUTED_VALUE"""),44884.0)</f>
        <v>44884</v>
      </c>
      <c r="AA58" s="50">
        <f t="array" ref="AA58">INDEX('RFR Data - preExcl'!AK$2:AK259,$AE58,1)</f>
        <v>2</v>
      </c>
      <c r="AB58" s="54">
        <f t="shared" si="18"/>
        <v>2</v>
      </c>
      <c r="AC58" s="54">
        <f t="array" ref="AC58">INDEX('RFR Data - preExcl'!AI$2:AI259,$AE58,1)</f>
        <v>0</v>
      </c>
      <c r="AD58" s="54">
        <f t="array" ref="AD58">INDEX('RFR Data - preExcl'!AF$2:AF259,$AE58,1)</f>
        <v>0</v>
      </c>
      <c r="AE58" s="56">
        <f>IFNA(MATCH(Y58,'RFR Data - preExcl'!A$2:A259,0),"")</f>
        <v>82</v>
      </c>
      <c r="AF58" s="43"/>
      <c r="AG58" s="58" t="s">
        <v>83</v>
      </c>
      <c r="AH58" s="46">
        <f>VLOOKUP(AG58,'Run Reconcile'!A$2:B259,2,FALSE)</f>
        <v>44884</v>
      </c>
      <c r="AI58" s="54">
        <f>COUNTIF('APS Tubes IMPORT'!$V$2:$V259, AG58)
</f>
        <v>2</v>
      </c>
      <c r="AJ58" s="54">
        <f>COUNTIFS('APS Tubes IMPORT'!V$2:V259, AG58, 'APS Tubes IMPORT'!H$2:H259, "Negative")
</f>
        <v>2</v>
      </c>
      <c r="AK58" s="54">
        <f>COUNTIFS('APS Tubes IMPORT'!V57:V259, AG58, 'APS Tubes IMPORT'!H57:H259, "Positive")
</f>
        <v>0</v>
      </c>
      <c r="AL58" s="54">
        <f>COUNTIFS('APS Tubes IMPORT'!V57:V259, AG58, 'APS Tubes IMPORT'!H57:H259, "Inconclusive")
</f>
        <v>0</v>
      </c>
      <c r="AM58" s="54">
        <f>COUNTIFS('APS Tubes IMPORT'!V57:V259, AG58, 'APS Tubes IMPORT'!H57:H259, "Null")
</f>
        <v>0</v>
      </c>
      <c r="AN58" s="43"/>
      <c r="AO58" s="12">
        <f>'APS Tubes by Date IMPORT'!B57</f>
        <v>44884</v>
      </c>
      <c r="AP58" s="54">
        <f>'APS Tubes by Date IMPORT'!D57</f>
        <v>2</v>
      </c>
      <c r="AQ58" s="54">
        <f>'APS Tubes by Date IMPORT'!E57</f>
        <v>0</v>
      </c>
      <c r="AR58" s="54">
        <f>'APS Tubes by Date IMPORT'!F57</f>
        <v>0</v>
      </c>
      <c r="AS58" s="54">
        <f>'APS Tubes by Date IMPORT'!G57</f>
        <v>0</v>
      </c>
      <c r="AT58" s="54">
        <f>'APS Tubes by Date IMPORT'!G57</f>
        <v>0</v>
      </c>
      <c r="AU58" s="43"/>
    </row>
    <row r="59">
      <c r="A59" s="7" t="s">
        <v>84</v>
      </c>
      <c r="B59" s="46">
        <f>VLOOKUP(A59,'ALL Tube Results'!$B$2:$D259,2,FALSE)</f>
        <v>44885</v>
      </c>
      <c r="C59" s="47">
        <f>COUNTIF('ALL Tube Results'!B58:B259, A59)
</f>
        <v>2</v>
      </c>
      <c r="D59" s="48">
        <f>COUNTIFS('ALL Tube Results'!$B58:$B259, $A59, 'ALL Tube Results'!$F58:$F259, "Negative")
</f>
        <v>2</v>
      </c>
      <c r="E59" s="48">
        <f>COUNTIFS('ALL Tube Results'!$B58:$B259, $A59, 'ALL Tube Results'!$F58:$F259, "Positive")
</f>
        <v>0</v>
      </c>
      <c r="F59" s="48">
        <f>COUNTIFS('ALL Tube Results'!$B58:$B259, $A59, 'ALL Tube Results'!$F58:$F259, "Inconclusive")
</f>
        <v>0</v>
      </c>
      <c r="G59" s="49">
        <f t="shared" si="7"/>
        <v>2</v>
      </c>
      <c r="H59" s="49" t="str">
        <f t="shared" si="8"/>
        <v/>
      </c>
      <c r="I59" s="50">
        <f t="shared" si="9"/>
        <v>2</v>
      </c>
      <c r="J59" s="51">
        <f t="shared" si="10"/>
        <v>0</v>
      </c>
      <c r="K59" s="51">
        <f t="shared" si="11"/>
        <v>0</v>
      </c>
      <c r="L59" s="51" t="str">
        <f t="shared" si="12"/>
        <v/>
      </c>
      <c r="M59" s="51" t="str">
        <f t="shared" si="13"/>
        <v/>
      </c>
      <c r="N59" s="59" t="str">
        <f t="shared" si="14"/>
        <v/>
      </c>
      <c r="O59" s="52">
        <f t="shared" si="15"/>
        <v>2</v>
      </c>
      <c r="P59" s="52" t="str">
        <f t="shared" si="16"/>
        <v/>
      </c>
      <c r="Q59" s="43"/>
      <c r="R59" s="7" t="s">
        <v>84</v>
      </c>
      <c r="S59" s="12">
        <v>44885.0</v>
      </c>
      <c r="T59" s="54">
        <f>VLOOKUP(R59,'Run Reconcile'!$A$2:$L259,12,FALSE)</f>
        <v>2</v>
      </c>
      <c r="U59" s="55" t="str">
        <f t="shared" si="17"/>
        <v/>
      </c>
      <c r="V59" s="54"/>
      <c r="W59" s="54"/>
      <c r="X59" s="43"/>
      <c r="Y59" s="7" t="str">
        <f>IFERROR(__xludf.DUMMYFUNCTION("""COMPUTED_VALUE"""),"RUN-ABRM_2022-11-20_RFR-084")</f>
        <v>RUN-ABRM_2022-11-20_RFR-084</v>
      </c>
      <c r="Z59" s="12">
        <f>IFERROR(__xludf.DUMMYFUNCTION("""COMPUTED_VALUE"""),44885.0)</f>
        <v>44885</v>
      </c>
      <c r="AA59" s="50">
        <f t="array" ref="AA59">INDEX('RFR Data - preExcl'!AK$2:AK259,$AE59,1)</f>
        <v>2</v>
      </c>
      <c r="AB59" s="54">
        <f t="shared" si="18"/>
        <v>2</v>
      </c>
      <c r="AC59" s="54">
        <f t="array" ref="AC59">INDEX('RFR Data - preExcl'!AI$2:AI259,$AE59,1)</f>
        <v>0</v>
      </c>
      <c r="AD59" s="54">
        <f t="array" ref="AD59">INDEX('RFR Data - preExcl'!AF$2:AF259,$AE59,1)</f>
        <v>0</v>
      </c>
      <c r="AE59" s="56">
        <f>IFNA(MATCH(Y59,'RFR Data - preExcl'!A$2:A259,0),"")</f>
        <v>84</v>
      </c>
      <c r="AF59" s="43"/>
      <c r="AG59" s="58" t="s">
        <v>84</v>
      </c>
      <c r="AH59" s="46">
        <f>VLOOKUP(AG59,'Run Reconcile'!A$2:B259,2,FALSE)</f>
        <v>44885</v>
      </c>
      <c r="AI59" s="54">
        <f>COUNTIF('APS Tubes IMPORT'!$V$2:$V259, AG59)
</f>
        <v>2</v>
      </c>
      <c r="AJ59" s="54">
        <f>COUNTIFS('APS Tubes IMPORT'!V$2:V259, AG59, 'APS Tubes IMPORT'!H$2:H259, "Negative")
</f>
        <v>2</v>
      </c>
      <c r="AK59" s="54">
        <f>COUNTIFS('APS Tubes IMPORT'!V58:V259, AG59, 'APS Tubes IMPORT'!H58:H259, "Positive")
</f>
        <v>0</v>
      </c>
      <c r="AL59" s="54">
        <f>COUNTIFS('APS Tubes IMPORT'!V58:V259, AG59, 'APS Tubes IMPORT'!H58:H259, "Inconclusive")
</f>
        <v>0</v>
      </c>
      <c r="AM59" s="54">
        <f>COUNTIFS('APS Tubes IMPORT'!V58:V259, AG59, 'APS Tubes IMPORT'!H58:H259, "Null")
</f>
        <v>0</v>
      </c>
      <c r="AN59" s="43"/>
      <c r="AO59" s="12">
        <f>'APS Tubes by Date IMPORT'!B58</f>
        <v>44885</v>
      </c>
      <c r="AP59" s="54">
        <f>'APS Tubes by Date IMPORT'!D58</f>
        <v>2</v>
      </c>
      <c r="AQ59" s="54">
        <f>'APS Tubes by Date IMPORT'!E58</f>
        <v>0</v>
      </c>
      <c r="AR59" s="54">
        <f>'APS Tubes by Date IMPORT'!F58</f>
        <v>0</v>
      </c>
      <c r="AS59" s="54">
        <f>'APS Tubes by Date IMPORT'!G58</f>
        <v>0</v>
      </c>
      <c r="AT59" s="54">
        <f>'APS Tubes by Date IMPORT'!G58</f>
        <v>0</v>
      </c>
      <c r="AU59" s="43"/>
    </row>
    <row r="60">
      <c r="A60" s="7" t="s">
        <v>85</v>
      </c>
      <c r="B60" s="46">
        <f>VLOOKUP(A60,'ALL Tube Results'!$B$2:$D259,2,FALSE)</f>
        <v>44886</v>
      </c>
      <c r="C60" s="47">
        <f>COUNTIF('ALL Tube Results'!B59:B259, A60)
</f>
        <v>3</v>
      </c>
      <c r="D60" s="48">
        <f>COUNTIFS('ALL Tube Results'!$B59:$B259, $A60, 'ALL Tube Results'!$F59:$F259, "Negative")
</f>
        <v>3</v>
      </c>
      <c r="E60" s="48">
        <f>COUNTIFS('ALL Tube Results'!$B59:$B259, $A60, 'ALL Tube Results'!$F59:$F259, "Positive")
</f>
        <v>0</v>
      </c>
      <c r="F60" s="48">
        <f>COUNTIFS('ALL Tube Results'!$B59:$B259, $A60, 'ALL Tube Results'!$F59:$F259, "Inconclusive")
</f>
        <v>0</v>
      </c>
      <c r="G60" s="49">
        <f t="shared" si="7"/>
        <v>3</v>
      </c>
      <c r="H60" s="49" t="str">
        <f t="shared" si="8"/>
        <v/>
      </c>
      <c r="I60" s="50">
        <f t="shared" si="9"/>
        <v>3</v>
      </c>
      <c r="J60" s="51">
        <f t="shared" si="10"/>
        <v>0</v>
      </c>
      <c r="K60" s="51">
        <f t="shared" si="11"/>
        <v>0</v>
      </c>
      <c r="L60" s="51" t="str">
        <f t="shared" si="12"/>
        <v/>
      </c>
      <c r="M60" s="51" t="str">
        <f t="shared" si="13"/>
        <v/>
      </c>
      <c r="N60" s="51" t="str">
        <f t="shared" si="14"/>
        <v/>
      </c>
      <c r="O60" s="52">
        <f t="shared" si="15"/>
        <v>3</v>
      </c>
      <c r="P60" s="52" t="str">
        <f t="shared" si="16"/>
        <v/>
      </c>
      <c r="Q60" s="43"/>
      <c r="R60" s="7" t="s">
        <v>85</v>
      </c>
      <c r="S60" s="12">
        <v>44886.0</v>
      </c>
      <c r="T60" s="54">
        <f>VLOOKUP(R60,'Run Reconcile'!$A$2:$L259,12,FALSE)</f>
        <v>3</v>
      </c>
      <c r="U60" s="55" t="str">
        <f t="shared" si="17"/>
        <v/>
      </c>
      <c r="V60" s="54"/>
      <c r="W60" s="54"/>
      <c r="X60" s="43"/>
      <c r="Y60" s="7" t="str">
        <f>IFERROR(__xludf.DUMMYFUNCTION("""COMPUTED_VALUE"""),"RUN-ABRM_2022-11-21_RFR-087")</f>
        <v>RUN-ABRM_2022-11-21_RFR-087</v>
      </c>
      <c r="Z60" s="12">
        <f>IFERROR(__xludf.DUMMYFUNCTION("""COMPUTED_VALUE"""),44886.0)</f>
        <v>44886</v>
      </c>
      <c r="AA60" s="50">
        <f t="array" ref="AA60">INDEX('RFR Data - preExcl'!AK$2:AK259,$AE60,1)</f>
        <v>3</v>
      </c>
      <c r="AB60" s="54">
        <f t="shared" si="18"/>
        <v>3</v>
      </c>
      <c r="AC60" s="54">
        <f t="array" ref="AC60">INDEX('RFR Data - preExcl'!AI$2:AI259,$AE60,1)</f>
        <v>0</v>
      </c>
      <c r="AD60" s="54">
        <f t="array" ref="AD60">INDEX('RFR Data - preExcl'!AF$2:AF259,$AE60,1)</f>
        <v>0</v>
      </c>
      <c r="AE60" s="56">
        <f>IFNA(MATCH(Y60,'RFR Data - preExcl'!A$2:A259,0),"")</f>
        <v>87</v>
      </c>
      <c r="AF60" s="43"/>
      <c r="AG60" s="58" t="s">
        <v>85</v>
      </c>
      <c r="AH60" s="46">
        <f>VLOOKUP(AG60,'Run Reconcile'!A$2:B259,2,FALSE)</f>
        <v>44886</v>
      </c>
      <c r="AI60" s="54">
        <f>COUNTIF('APS Tubes IMPORT'!$V$2:$V259, AG60)
</f>
        <v>3</v>
      </c>
      <c r="AJ60" s="54">
        <f>COUNTIFS('APS Tubes IMPORT'!V$2:V259, AG60, 'APS Tubes IMPORT'!H$2:H259, "Negative")
</f>
        <v>3</v>
      </c>
      <c r="AK60" s="54">
        <f>COUNTIFS('APS Tubes IMPORT'!V59:V259, AG60, 'APS Tubes IMPORT'!H59:H259, "Positive")
</f>
        <v>0</v>
      </c>
      <c r="AL60" s="54">
        <f>COUNTIFS('APS Tubes IMPORT'!V59:V259, AG60, 'APS Tubes IMPORT'!H59:H259, "Inconclusive")
</f>
        <v>0</v>
      </c>
      <c r="AM60" s="54">
        <f>COUNTIFS('APS Tubes IMPORT'!V59:V259, AG60, 'APS Tubes IMPORT'!H59:H259, "Null")
</f>
        <v>0</v>
      </c>
      <c r="AN60" s="43"/>
      <c r="AO60" s="12">
        <f>'APS Tubes by Date IMPORT'!B59</f>
        <v>44886</v>
      </c>
      <c r="AP60" s="54">
        <f>'APS Tubes by Date IMPORT'!D59</f>
        <v>7</v>
      </c>
      <c r="AQ60" s="54">
        <f>'APS Tubes by Date IMPORT'!E59</f>
        <v>0</v>
      </c>
      <c r="AR60" s="54">
        <f>'APS Tubes by Date IMPORT'!F59</f>
        <v>0</v>
      </c>
      <c r="AS60" s="54">
        <f>'APS Tubes by Date IMPORT'!G59</f>
        <v>0</v>
      </c>
      <c r="AT60" s="54">
        <f>'APS Tubes by Date IMPORT'!G59</f>
        <v>0</v>
      </c>
      <c r="AU60" s="43"/>
    </row>
    <row r="61">
      <c r="A61" s="7" t="s">
        <v>86</v>
      </c>
      <c r="B61" s="46">
        <f>VLOOKUP(A61,'ALL Tube Results'!$B$2:$D259,2,FALSE)</f>
        <v>44886</v>
      </c>
      <c r="C61" s="47">
        <f>COUNTIF('ALL Tube Results'!B60:B259, A61)
</f>
        <v>4</v>
      </c>
      <c r="D61" s="48">
        <f>COUNTIFS('ALL Tube Results'!$B60:$B259, $A61, 'ALL Tube Results'!$F60:$F259, "Negative")
</f>
        <v>4</v>
      </c>
      <c r="E61" s="48">
        <f>COUNTIFS('ALL Tube Results'!$B60:$B259, $A61, 'ALL Tube Results'!$F60:$F259, "Positive")
</f>
        <v>0</v>
      </c>
      <c r="F61" s="48">
        <f>COUNTIFS('ALL Tube Results'!$B60:$B259, $A61, 'ALL Tube Results'!$F60:$F259, "Inconclusive")
</f>
        <v>0</v>
      </c>
      <c r="G61" s="49">
        <f t="shared" si="7"/>
        <v>4</v>
      </c>
      <c r="H61" s="49" t="str">
        <f t="shared" si="8"/>
        <v/>
      </c>
      <c r="I61" s="50">
        <f t="shared" si="9"/>
        <v>4</v>
      </c>
      <c r="J61" s="51">
        <f t="shared" si="10"/>
        <v>0</v>
      </c>
      <c r="K61" s="51">
        <f t="shared" si="11"/>
        <v>0</v>
      </c>
      <c r="L61" s="51" t="str">
        <f t="shared" si="12"/>
        <v/>
      </c>
      <c r="M61" s="51" t="str">
        <f t="shared" si="13"/>
        <v/>
      </c>
      <c r="N61" s="51" t="str">
        <f t="shared" si="14"/>
        <v/>
      </c>
      <c r="O61" s="52">
        <f t="shared" si="15"/>
        <v>4</v>
      </c>
      <c r="P61" s="52" t="str">
        <f t="shared" si="16"/>
        <v/>
      </c>
      <c r="Q61" s="43"/>
      <c r="R61" s="7" t="s">
        <v>86</v>
      </c>
      <c r="S61" s="12">
        <v>44886.0</v>
      </c>
      <c r="T61" s="54">
        <f>VLOOKUP(R61,'Run Reconcile'!$A$2:$L259,12,FALSE)</f>
        <v>4</v>
      </c>
      <c r="U61" s="55" t="str">
        <f t="shared" si="17"/>
        <v/>
      </c>
      <c r="V61" s="54"/>
      <c r="W61" s="54"/>
      <c r="X61" s="43"/>
      <c r="Y61" s="7" t="str">
        <f>IFERROR(__xludf.DUMMYFUNCTION("""COMPUTED_VALUE"""),"RUN-ABRM_2022-11-21_RFR-088")</f>
        <v>RUN-ABRM_2022-11-21_RFR-088</v>
      </c>
      <c r="Z61" s="12">
        <f>IFERROR(__xludf.DUMMYFUNCTION("""COMPUTED_VALUE"""),44886.0)</f>
        <v>44886</v>
      </c>
      <c r="AA61" s="50">
        <f t="array" ref="AA61">INDEX('RFR Data - preExcl'!AK$2:AK259,$AE61,1)</f>
        <v>4</v>
      </c>
      <c r="AB61" s="54">
        <f t="shared" si="18"/>
        <v>4</v>
      </c>
      <c r="AC61" s="54">
        <f t="array" ref="AC61">INDEX('RFR Data - preExcl'!AI$2:AI259,$AE61,1)</f>
        <v>0</v>
      </c>
      <c r="AD61" s="54">
        <f t="array" ref="AD61">INDEX('RFR Data - preExcl'!AF$2:AF259,$AE61,1)</f>
        <v>0</v>
      </c>
      <c r="AE61" s="56">
        <f>IFNA(MATCH(Y61,'RFR Data - preExcl'!A$2:A259,0),"")</f>
        <v>88</v>
      </c>
      <c r="AF61" s="43"/>
      <c r="AG61" s="58" t="s">
        <v>86</v>
      </c>
      <c r="AH61" s="46">
        <f>VLOOKUP(AG61,'Run Reconcile'!A$2:B259,2,FALSE)</f>
        <v>44886</v>
      </c>
      <c r="AI61" s="54">
        <f>COUNTIF('APS Tubes IMPORT'!$V$2:$V259, AG61)
</f>
        <v>4</v>
      </c>
      <c r="AJ61" s="54">
        <f>COUNTIFS('APS Tubes IMPORT'!V$2:V259, AG61, 'APS Tubes IMPORT'!H$2:H259, "Negative")
</f>
        <v>4</v>
      </c>
      <c r="AK61" s="54">
        <f>COUNTIFS('APS Tubes IMPORT'!V60:V259, AG61, 'APS Tubes IMPORT'!H60:H259, "Positive")
</f>
        <v>0</v>
      </c>
      <c r="AL61" s="54">
        <f>COUNTIFS('APS Tubes IMPORT'!V60:V259, AG61, 'APS Tubes IMPORT'!H60:H259, "Inconclusive")
</f>
        <v>0</v>
      </c>
      <c r="AM61" s="54">
        <f>COUNTIFS('APS Tubes IMPORT'!V60:V259, AG61, 'APS Tubes IMPORT'!H60:H259, "Null")
</f>
        <v>0</v>
      </c>
      <c r="AN61" s="43"/>
      <c r="AO61" s="12">
        <f>'APS Tubes by Date IMPORT'!B60</f>
        <v>44887</v>
      </c>
      <c r="AP61" s="54">
        <f>'APS Tubes by Date IMPORT'!D60</f>
        <v>11</v>
      </c>
      <c r="AQ61" s="54">
        <f>'APS Tubes by Date IMPORT'!E60</f>
        <v>0</v>
      </c>
      <c r="AR61" s="54">
        <f>'APS Tubes by Date IMPORT'!F60</f>
        <v>0</v>
      </c>
      <c r="AS61" s="54">
        <f>'APS Tubes by Date IMPORT'!G60</f>
        <v>0</v>
      </c>
      <c r="AT61" s="54">
        <f>'APS Tubes by Date IMPORT'!G60</f>
        <v>0</v>
      </c>
      <c r="AU61" s="43"/>
    </row>
    <row r="62">
      <c r="A62" s="7" t="s">
        <v>87</v>
      </c>
      <c r="B62" s="46">
        <f>VLOOKUP(A62,'ALL Tube Results'!$B$2:$D259,2,FALSE)</f>
        <v>44887</v>
      </c>
      <c r="C62" s="47">
        <f>COUNTIF('ALL Tube Results'!B61:B259, A62)
</f>
        <v>11</v>
      </c>
      <c r="D62" s="48">
        <f>COUNTIFS('ALL Tube Results'!$B61:$B259, $A62, 'ALL Tube Results'!$F61:$F259, "Negative")
</f>
        <v>11</v>
      </c>
      <c r="E62" s="48">
        <f>COUNTIFS('ALL Tube Results'!$B61:$B259, $A62, 'ALL Tube Results'!$F61:$F259, "Positive")
</f>
        <v>0</v>
      </c>
      <c r="F62" s="48">
        <f>COUNTIFS('ALL Tube Results'!$B61:$B259, $A62, 'ALL Tube Results'!$F61:$F259, "Inconclusive")
</f>
        <v>0</v>
      </c>
      <c r="G62" s="49">
        <f t="shared" si="7"/>
        <v>11</v>
      </c>
      <c r="H62" s="49" t="str">
        <f t="shared" si="8"/>
        <v/>
      </c>
      <c r="I62" s="50">
        <f t="shared" si="9"/>
        <v>11</v>
      </c>
      <c r="J62" s="51">
        <f t="shared" si="10"/>
        <v>0</v>
      </c>
      <c r="K62" s="51">
        <f t="shared" si="11"/>
        <v>0</v>
      </c>
      <c r="L62" s="51" t="str">
        <f t="shared" si="12"/>
        <v/>
      </c>
      <c r="M62" s="51" t="str">
        <f t="shared" si="13"/>
        <v/>
      </c>
      <c r="N62" s="51" t="str">
        <f t="shared" si="14"/>
        <v/>
      </c>
      <c r="O62" s="52">
        <f t="shared" si="15"/>
        <v>11</v>
      </c>
      <c r="P62" s="52" t="str">
        <f t="shared" si="16"/>
        <v/>
      </c>
      <c r="Q62" s="43"/>
      <c r="R62" s="7" t="s">
        <v>87</v>
      </c>
      <c r="S62" s="12">
        <v>44887.0</v>
      </c>
      <c r="T62" s="54">
        <f>VLOOKUP(R62,'Run Reconcile'!$A$2:$L259,12,FALSE)</f>
        <v>11</v>
      </c>
      <c r="U62" s="55" t="str">
        <f t="shared" si="17"/>
        <v/>
      </c>
      <c r="V62" s="54"/>
      <c r="W62" s="54"/>
      <c r="X62" s="43"/>
      <c r="Y62" s="7" t="str">
        <f>IFERROR(__xludf.DUMMYFUNCTION("""COMPUTED_VALUE"""),"RUN-ABRM_2022-11-22_RFR-089")</f>
        <v>RUN-ABRM_2022-11-22_RFR-089</v>
      </c>
      <c r="Z62" s="12">
        <f>IFERROR(__xludf.DUMMYFUNCTION("""COMPUTED_VALUE"""),44887.0)</f>
        <v>44887</v>
      </c>
      <c r="AA62" s="50">
        <f t="array" ref="AA62">INDEX('RFR Data - preExcl'!AK$2:AK259,$AE62,1)</f>
        <v>11</v>
      </c>
      <c r="AB62" s="54">
        <f t="shared" si="18"/>
        <v>11</v>
      </c>
      <c r="AC62" s="54">
        <f t="array" ref="AC62">INDEX('RFR Data - preExcl'!AI$2:AI259,$AE62,1)</f>
        <v>0</v>
      </c>
      <c r="AD62" s="54">
        <f t="array" ref="AD62">INDEX('RFR Data - preExcl'!AF$2:AF259,$AE62,1)</f>
        <v>0</v>
      </c>
      <c r="AE62" s="56">
        <f>IFNA(MATCH(Y62,'RFR Data - preExcl'!A$2:A259,0),"")</f>
        <v>89</v>
      </c>
      <c r="AF62" s="43"/>
      <c r="AG62" s="58" t="s">
        <v>87</v>
      </c>
      <c r="AH62" s="46">
        <f>VLOOKUP(AG62,'Run Reconcile'!A$2:B259,2,FALSE)</f>
        <v>44887</v>
      </c>
      <c r="AI62" s="54">
        <f>COUNTIF('APS Tubes IMPORT'!$V$2:$V259, AG62)
</f>
        <v>11</v>
      </c>
      <c r="AJ62" s="54">
        <f>COUNTIFS('APS Tubes IMPORT'!V$2:V259, AG62, 'APS Tubes IMPORT'!H$2:H259, "Negative")
</f>
        <v>11</v>
      </c>
      <c r="AK62" s="54">
        <f>COUNTIFS('APS Tubes IMPORT'!V61:V259, AG62, 'APS Tubes IMPORT'!H61:H259, "Positive")
</f>
        <v>0</v>
      </c>
      <c r="AL62" s="54">
        <f>COUNTIFS('APS Tubes IMPORT'!V61:V259, AG62, 'APS Tubes IMPORT'!H61:H259, "Inconclusive")
</f>
        <v>0</v>
      </c>
      <c r="AM62" s="54">
        <f>COUNTIFS('APS Tubes IMPORT'!V61:V259, AG62, 'APS Tubes IMPORT'!H61:H259, "Null")
</f>
        <v>0</v>
      </c>
      <c r="AN62" s="43"/>
      <c r="AO62" s="12">
        <f>'APS Tubes by Date IMPORT'!B61</f>
        <v>44890</v>
      </c>
      <c r="AP62" s="54">
        <f>'APS Tubes by Date IMPORT'!D61</f>
        <v>3</v>
      </c>
      <c r="AQ62" s="54">
        <f>'APS Tubes by Date IMPORT'!E61</f>
        <v>0</v>
      </c>
      <c r="AR62" s="54">
        <f>'APS Tubes by Date IMPORT'!F61</f>
        <v>0</v>
      </c>
      <c r="AS62" s="54">
        <f>'APS Tubes by Date IMPORT'!G61</f>
        <v>0</v>
      </c>
      <c r="AT62" s="54">
        <f>'APS Tubes by Date IMPORT'!G61</f>
        <v>0</v>
      </c>
      <c r="AU62" s="43"/>
    </row>
    <row r="63">
      <c r="A63" s="7" t="s">
        <v>88</v>
      </c>
      <c r="B63" s="46">
        <f>VLOOKUP(A63,'ALL Tube Results'!$B$2:$D259,2,FALSE)</f>
        <v>44890</v>
      </c>
      <c r="C63" s="47">
        <f>COUNTIF('ALL Tube Results'!B62:B259, A63)
</f>
        <v>3</v>
      </c>
      <c r="D63" s="48">
        <f>COUNTIFS('ALL Tube Results'!$B62:$B259, $A63, 'ALL Tube Results'!$F62:$F259, "Negative")
</f>
        <v>3</v>
      </c>
      <c r="E63" s="48">
        <f>COUNTIFS('ALL Tube Results'!$B62:$B259, $A63, 'ALL Tube Results'!$F62:$F259, "Positive")
</f>
        <v>0</v>
      </c>
      <c r="F63" s="48">
        <f>COUNTIFS('ALL Tube Results'!$B62:$B259, $A63, 'ALL Tube Results'!$F62:$F259, "Inconclusive")
</f>
        <v>0</v>
      </c>
      <c r="G63" s="49">
        <f t="shared" si="7"/>
        <v>3</v>
      </c>
      <c r="H63" s="49" t="str">
        <f t="shared" si="8"/>
        <v/>
      </c>
      <c r="I63" s="50">
        <f t="shared" si="9"/>
        <v>3</v>
      </c>
      <c r="J63" s="51">
        <f t="shared" si="10"/>
        <v>0</v>
      </c>
      <c r="K63" s="51">
        <f t="shared" si="11"/>
        <v>0</v>
      </c>
      <c r="L63" s="51" t="str">
        <f t="shared" si="12"/>
        <v/>
      </c>
      <c r="M63" s="51" t="str">
        <f t="shared" si="13"/>
        <v/>
      </c>
      <c r="N63" s="51" t="str">
        <f t="shared" si="14"/>
        <v/>
      </c>
      <c r="O63" s="52">
        <f t="shared" si="15"/>
        <v>3</v>
      </c>
      <c r="P63" s="52" t="str">
        <f t="shared" si="16"/>
        <v/>
      </c>
      <c r="Q63" s="43"/>
      <c r="R63" s="7" t="s">
        <v>88</v>
      </c>
      <c r="S63" s="12">
        <v>44890.0</v>
      </c>
      <c r="T63" s="54">
        <f>VLOOKUP(R63,'Run Reconcile'!$A$2:$L259,12,FALSE)</f>
        <v>3</v>
      </c>
      <c r="U63" s="55" t="str">
        <f t="shared" si="17"/>
        <v/>
      </c>
      <c r="V63" s="54"/>
      <c r="W63" s="54"/>
      <c r="X63" s="43"/>
      <c r="Y63" s="7" t="str">
        <f>IFERROR(__xludf.DUMMYFUNCTION("""COMPUTED_VALUE"""),"RUN-ABRM_2022-11-25_RFR-090")</f>
        <v>RUN-ABRM_2022-11-25_RFR-090</v>
      </c>
      <c r="Z63" s="12">
        <f>IFERROR(__xludf.DUMMYFUNCTION("""COMPUTED_VALUE"""),44890.0)</f>
        <v>44890</v>
      </c>
      <c r="AA63" s="50">
        <f t="array" ref="AA63">INDEX('RFR Data - preExcl'!AK$2:AK259,$AE63,1)</f>
        <v>3</v>
      </c>
      <c r="AB63" s="54">
        <f t="shared" si="18"/>
        <v>3</v>
      </c>
      <c r="AC63" s="54">
        <f t="array" ref="AC63">INDEX('RFR Data - preExcl'!AI$2:AI259,$AE63,1)</f>
        <v>0</v>
      </c>
      <c r="AD63" s="54">
        <f t="array" ref="AD63">INDEX('RFR Data - preExcl'!AF$2:AF259,$AE63,1)</f>
        <v>0</v>
      </c>
      <c r="AE63" s="56">
        <f>IFNA(MATCH(Y63,'RFR Data - preExcl'!A$2:A259,0),"")</f>
        <v>90</v>
      </c>
      <c r="AF63" s="43"/>
      <c r="AG63" s="58" t="s">
        <v>88</v>
      </c>
      <c r="AH63" s="46">
        <f>VLOOKUP(AG63,'Run Reconcile'!A$2:B259,2,FALSE)</f>
        <v>44890</v>
      </c>
      <c r="AI63" s="54">
        <f>COUNTIF('APS Tubes IMPORT'!$V$2:$V259, AG63)
</f>
        <v>3</v>
      </c>
      <c r="AJ63" s="54">
        <f>COUNTIFS('APS Tubes IMPORT'!V$2:V259, AG63, 'APS Tubes IMPORT'!H$2:H259, "Negative")
</f>
        <v>3</v>
      </c>
      <c r="AK63" s="54">
        <f>COUNTIFS('APS Tubes IMPORT'!V62:V259, AG63, 'APS Tubes IMPORT'!H62:H259, "Positive")
</f>
        <v>0</v>
      </c>
      <c r="AL63" s="54">
        <f>COUNTIFS('APS Tubes IMPORT'!V62:V259, AG63, 'APS Tubes IMPORT'!H62:H259, "Inconclusive")
</f>
        <v>0</v>
      </c>
      <c r="AM63" s="54">
        <f>COUNTIFS('APS Tubes IMPORT'!V62:V259, AG63, 'APS Tubes IMPORT'!H62:H259, "Null")
</f>
        <v>0</v>
      </c>
      <c r="AN63" s="43"/>
      <c r="AO63" s="12">
        <f>'APS Tubes by Date IMPORT'!B62</f>
        <v>44892</v>
      </c>
      <c r="AP63" s="54">
        <f>'APS Tubes by Date IMPORT'!D62</f>
        <v>4</v>
      </c>
      <c r="AQ63" s="54">
        <f>'APS Tubes by Date IMPORT'!E62</f>
        <v>0</v>
      </c>
      <c r="AR63" s="54">
        <f>'APS Tubes by Date IMPORT'!F62</f>
        <v>0</v>
      </c>
      <c r="AS63" s="54">
        <f>'APS Tubes by Date IMPORT'!G62</f>
        <v>0</v>
      </c>
      <c r="AT63" s="54">
        <f>'APS Tubes by Date IMPORT'!G62</f>
        <v>0</v>
      </c>
      <c r="AU63" s="43"/>
    </row>
    <row r="64">
      <c r="A64" s="7" t="s">
        <v>89</v>
      </c>
      <c r="B64" s="46">
        <f>VLOOKUP(A64,'ALL Tube Results'!$B$2:$D259,2,FALSE)</f>
        <v>44892</v>
      </c>
      <c r="C64" s="47">
        <f>COUNTIF('ALL Tube Results'!B63:B259, A64)
</f>
        <v>4</v>
      </c>
      <c r="D64" s="48">
        <f>COUNTIFS('ALL Tube Results'!$B63:$B259, $A64, 'ALL Tube Results'!$F63:$F259, "Negative")
</f>
        <v>4</v>
      </c>
      <c r="E64" s="48">
        <f>COUNTIFS('ALL Tube Results'!$B63:$B259, $A64, 'ALL Tube Results'!$F63:$F259, "Positive")
</f>
        <v>0</v>
      </c>
      <c r="F64" s="48">
        <f>COUNTIFS('ALL Tube Results'!$B63:$B259, $A64, 'ALL Tube Results'!$F63:$F259, "Inconclusive")
</f>
        <v>0</v>
      </c>
      <c r="G64" s="49">
        <f t="shared" si="7"/>
        <v>4</v>
      </c>
      <c r="H64" s="49" t="str">
        <f t="shared" si="8"/>
        <v/>
      </c>
      <c r="I64" s="50">
        <f t="shared" si="9"/>
        <v>4</v>
      </c>
      <c r="J64" s="51">
        <f t="shared" si="10"/>
        <v>0</v>
      </c>
      <c r="K64" s="51">
        <f t="shared" si="11"/>
        <v>0</v>
      </c>
      <c r="L64" s="51" t="str">
        <f t="shared" si="12"/>
        <v/>
      </c>
      <c r="M64" s="51" t="str">
        <f t="shared" si="13"/>
        <v/>
      </c>
      <c r="N64" s="51" t="str">
        <f t="shared" si="14"/>
        <v/>
      </c>
      <c r="O64" s="52">
        <f t="shared" si="15"/>
        <v>4</v>
      </c>
      <c r="P64" s="52" t="str">
        <f t="shared" si="16"/>
        <v/>
      </c>
      <c r="Q64" s="43"/>
      <c r="R64" s="7" t="s">
        <v>89</v>
      </c>
      <c r="S64" s="12">
        <v>44892.0</v>
      </c>
      <c r="T64" s="54">
        <f>VLOOKUP(R64,'Run Reconcile'!$A$2:$L259,12,FALSE)</f>
        <v>4</v>
      </c>
      <c r="U64" s="55" t="str">
        <f t="shared" si="17"/>
        <v/>
      </c>
      <c r="V64" s="54"/>
      <c r="W64" s="54"/>
      <c r="X64" s="43"/>
      <c r="Y64" s="7" t="str">
        <f>IFERROR(__xludf.DUMMYFUNCTION("""COMPUTED_VALUE"""),"RUN-ABRM_2022-11-27_RFR-091")</f>
        <v>RUN-ABRM_2022-11-27_RFR-091</v>
      </c>
      <c r="Z64" s="12">
        <f>IFERROR(__xludf.DUMMYFUNCTION("""COMPUTED_VALUE"""),44892.0)</f>
        <v>44892</v>
      </c>
      <c r="AA64" s="50">
        <f t="array" ref="AA64">INDEX('RFR Data - preExcl'!AK$2:AK259,$AE64,1)</f>
        <v>4</v>
      </c>
      <c r="AB64" s="54">
        <f t="shared" si="18"/>
        <v>4</v>
      </c>
      <c r="AC64" s="54">
        <f t="array" ref="AC64">INDEX('RFR Data - preExcl'!AI$2:AI259,$AE64,1)</f>
        <v>0</v>
      </c>
      <c r="AD64" s="54">
        <f t="array" ref="AD64">INDEX('RFR Data - preExcl'!AF$2:AF259,$AE64,1)</f>
        <v>0</v>
      </c>
      <c r="AE64" s="56">
        <f>IFNA(MATCH(Y64,'RFR Data - preExcl'!A$2:A259,0),"")</f>
        <v>91</v>
      </c>
      <c r="AF64" s="43"/>
      <c r="AG64" s="58" t="s">
        <v>89</v>
      </c>
      <c r="AH64" s="46">
        <f>VLOOKUP(AG64,'Run Reconcile'!A$2:B259,2,FALSE)</f>
        <v>44892</v>
      </c>
      <c r="AI64" s="54">
        <f>COUNTIF('APS Tubes IMPORT'!$V$2:$V259, AG64)
</f>
        <v>4</v>
      </c>
      <c r="AJ64" s="54">
        <f>COUNTIFS('APS Tubes IMPORT'!V$2:V259, AG64, 'APS Tubes IMPORT'!H$2:H259, "Negative")
</f>
        <v>4</v>
      </c>
      <c r="AK64" s="54">
        <f>COUNTIFS('APS Tubes IMPORT'!V63:V259, AG64, 'APS Tubes IMPORT'!H63:H259, "Positive")
</f>
        <v>0</v>
      </c>
      <c r="AL64" s="54">
        <f>COUNTIFS('APS Tubes IMPORT'!V63:V259, AG64, 'APS Tubes IMPORT'!H63:H259, "Inconclusive")
</f>
        <v>0</v>
      </c>
      <c r="AM64" s="54">
        <f>COUNTIFS('APS Tubes IMPORT'!V63:V259, AG64, 'APS Tubes IMPORT'!H63:H259, "Null")
</f>
        <v>0</v>
      </c>
      <c r="AN64" s="43"/>
      <c r="AO64" s="12">
        <f>'APS Tubes by Date IMPORT'!B63</f>
        <v>44893</v>
      </c>
      <c r="AP64" s="54">
        <f>'APS Tubes by Date IMPORT'!D63</f>
        <v>10</v>
      </c>
      <c r="AQ64" s="54">
        <f>'APS Tubes by Date IMPORT'!E63</f>
        <v>0</v>
      </c>
      <c r="AR64" s="54">
        <f>'APS Tubes by Date IMPORT'!F63</f>
        <v>0</v>
      </c>
      <c r="AS64" s="54">
        <f>'APS Tubes by Date IMPORT'!G63</f>
        <v>0</v>
      </c>
      <c r="AT64" s="54">
        <f>'APS Tubes by Date IMPORT'!G63</f>
        <v>0</v>
      </c>
      <c r="AU64" s="43"/>
    </row>
    <row r="65">
      <c r="A65" s="7" t="s">
        <v>90</v>
      </c>
      <c r="B65" s="46">
        <f>VLOOKUP(A65,'ALL Tube Results'!$B$2:$D259,2,FALSE)</f>
        <v>44893</v>
      </c>
      <c r="C65" s="47">
        <f>COUNTIF('ALL Tube Results'!B64:B259, A65)
</f>
        <v>10</v>
      </c>
      <c r="D65" s="48">
        <f>COUNTIFS('ALL Tube Results'!$B64:$B259, $A65, 'ALL Tube Results'!$F64:$F259, "Negative")
</f>
        <v>10</v>
      </c>
      <c r="E65" s="48">
        <f>COUNTIFS('ALL Tube Results'!$B64:$B259, $A65, 'ALL Tube Results'!$F64:$F259, "Positive")
</f>
        <v>0</v>
      </c>
      <c r="F65" s="48">
        <f>COUNTIFS('ALL Tube Results'!$B64:$B259, $A65, 'ALL Tube Results'!$F64:$F259, "Inconclusive")
</f>
        <v>0</v>
      </c>
      <c r="G65" s="49">
        <f t="shared" si="7"/>
        <v>10</v>
      </c>
      <c r="H65" s="49" t="str">
        <f t="shared" si="8"/>
        <v/>
      </c>
      <c r="I65" s="50">
        <f t="shared" si="9"/>
        <v>10</v>
      </c>
      <c r="J65" s="51">
        <f t="shared" si="10"/>
        <v>0</v>
      </c>
      <c r="K65" s="51">
        <f t="shared" si="11"/>
        <v>0</v>
      </c>
      <c r="L65" s="51" t="str">
        <f t="shared" si="12"/>
        <v/>
      </c>
      <c r="M65" s="51" t="str">
        <f t="shared" si="13"/>
        <v/>
      </c>
      <c r="N65" s="51" t="str">
        <f t="shared" si="14"/>
        <v/>
      </c>
      <c r="O65" s="52">
        <f t="shared" si="15"/>
        <v>10</v>
      </c>
      <c r="P65" s="52" t="str">
        <f t="shared" si="16"/>
        <v/>
      </c>
      <c r="Q65" s="43"/>
      <c r="R65" s="7" t="s">
        <v>90</v>
      </c>
      <c r="S65" s="12">
        <v>44893.0</v>
      </c>
      <c r="T65" s="54">
        <f>VLOOKUP(R65,'Run Reconcile'!$A$2:$L259,12,FALSE)</f>
        <v>10</v>
      </c>
      <c r="U65" s="55" t="str">
        <f t="shared" si="17"/>
        <v/>
      </c>
      <c r="V65" s="54"/>
      <c r="W65" s="54"/>
      <c r="X65" s="43"/>
      <c r="Y65" s="7" t="str">
        <f>IFERROR(__xludf.DUMMYFUNCTION("""COMPUTED_VALUE"""),"RUN-ABRM_2022-11-28_RFR-092")</f>
        <v>RUN-ABRM_2022-11-28_RFR-092</v>
      </c>
      <c r="Z65" s="12">
        <f>IFERROR(__xludf.DUMMYFUNCTION("""COMPUTED_VALUE"""),44893.0)</f>
        <v>44893</v>
      </c>
      <c r="AA65" s="50">
        <f t="array" ref="AA65">INDEX('RFR Data - preExcl'!AK$2:AK259,$AE65,1)</f>
        <v>10</v>
      </c>
      <c r="AB65" s="54">
        <f t="shared" si="18"/>
        <v>10</v>
      </c>
      <c r="AC65" s="54">
        <f t="array" ref="AC65">INDEX('RFR Data - preExcl'!AI$2:AI259,$AE65,1)</f>
        <v>0</v>
      </c>
      <c r="AD65" s="54">
        <f t="array" ref="AD65">INDEX('RFR Data - preExcl'!AF$2:AF259,$AE65,1)</f>
        <v>0</v>
      </c>
      <c r="AE65" s="56">
        <f>IFNA(MATCH(Y65,'RFR Data - preExcl'!A$2:A259,0),"")</f>
        <v>92</v>
      </c>
      <c r="AF65" s="43"/>
      <c r="AG65" s="58" t="s">
        <v>90</v>
      </c>
      <c r="AH65" s="46">
        <f>VLOOKUP(AG65,'Run Reconcile'!A$2:B259,2,FALSE)</f>
        <v>44893</v>
      </c>
      <c r="AI65" s="54">
        <f>COUNTIF('APS Tubes IMPORT'!$V$2:$V259, AG65)
</f>
        <v>10</v>
      </c>
      <c r="AJ65" s="54">
        <f>COUNTIFS('APS Tubes IMPORT'!V$2:V259, AG65, 'APS Tubes IMPORT'!H$2:H259, "Negative")
</f>
        <v>10</v>
      </c>
      <c r="AK65" s="54">
        <f>COUNTIFS('APS Tubes IMPORT'!V64:V259, AG65, 'APS Tubes IMPORT'!H64:H259, "Positive")
</f>
        <v>0</v>
      </c>
      <c r="AL65" s="54">
        <f>COUNTIFS('APS Tubes IMPORT'!V64:V259, AG65, 'APS Tubes IMPORT'!H64:H259, "Inconclusive")
</f>
        <v>0</v>
      </c>
      <c r="AM65" s="54">
        <f>COUNTIFS('APS Tubes IMPORT'!V64:V259, AG65, 'APS Tubes IMPORT'!H64:H259, "Null")
</f>
        <v>0</v>
      </c>
      <c r="AN65" s="43"/>
      <c r="AO65" s="12">
        <f>'APS Tubes by Date IMPORT'!B64</f>
        <v>44894</v>
      </c>
      <c r="AP65" s="54">
        <f>'APS Tubes by Date IMPORT'!D64</f>
        <v>11</v>
      </c>
      <c r="AQ65" s="54">
        <f>'APS Tubes by Date IMPORT'!E64</f>
        <v>0</v>
      </c>
      <c r="AR65" s="54">
        <f>'APS Tubes by Date IMPORT'!F64</f>
        <v>0</v>
      </c>
      <c r="AS65" s="54">
        <f>'APS Tubes by Date IMPORT'!G64</f>
        <v>0</v>
      </c>
      <c r="AT65" s="54">
        <f>'APS Tubes by Date IMPORT'!G64</f>
        <v>0</v>
      </c>
      <c r="AU65" s="43"/>
    </row>
    <row r="66">
      <c r="A66" s="7" t="s">
        <v>91</v>
      </c>
      <c r="B66" s="46">
        <f>VLOOKUP(A66,'ALL Tube Results'!$B$2:$D259,2,FALSE)</f>
        <v>44894</v>
      </c>
      <c r="C66" s="47">
        <f>COUNTIF('ALL Tube Results'!B65:B259, A66)
</f>
        <v>11</v>
      </c>
      <c r="D66" s="48">
        <f>COUNTIFS('ALL Tube Results'!$B65:$B259, $A66, 'ALL Tube Results'!$F65:$F259, "Negative")
</f>
        <v>11</v>
      </c>
      <c r="E66" s="48">
        <f>COUNTIFS('ALL Tube Results'!$B65:$B259, $A66, 'ALL Tube Results'!$F65:$F259, "Positive")
</f>
        <v>0</v>
      </c>
      <c r="F66" s="48">
        <f>COUNTIFS('ALL Tube Results'!$B65:$B259, $A66, 'ALL Tube Results'!$F65:$F259, "Inconclusive")
</f>
        <v>0</v>
      </c>
      <c r="G66" s="49">
        <f t="shared" si="7"/>
        <v>11</v>
      </c>
      <c r="H66" s="49" t="str">
        <f t="shared" si="8"/>
        <v/>
      </c>
      <c r="I66" s="50">
        <f t="shared" si="9"/>
        <v>11</v>
      </c>
      <c r="J66" s="51">
        <f t="shared" si="10"/>
        <v>0</v>
      </c>
      <c r="K66" s="51">
        <f t="shared" si="11"/>
        <v>0</v>
      </c>
      <c r="L66" s="51" t="str">
        <f t="shared" si="12"/>
        <v/>
      </c>
      <c r="M66" s="51" t="str">
        <f t="shared" si="13"/>
        <v/>
      </c>
      <c r="N66" s="51" t="str">
        <f t="shared" si="14"/>
        <v/>
      </c>
      <c r="O66" s="52">
        <f t="shared" si="15"/>
        <v>11</v>
      </c>
      <c r="P66" s="52" t="str">
        <f t="shared" si="16"/>
        <v/>
      </c>
      <c r="Q66" s="43"/>
      <c r="R66" s="7" t="s">
        <v>91</v>
      </c>
      <c r="S66" s="12">
        <v>44894.0</v>
      </c>
      <c r="T66" s="54">
        <f>VLOOKUP(R66,'Run Reconcile'!$A$2:$L259,12,FALSE)</f>
        <v>11</v>
      </c>
      <c r="U66" s="55" t="str">
        <f t="shared" si="17"/>
        <v/>
      </c>
      <c r="V66" s="54"/>
      <c r="W66" s="54"/>
      <c r="X66" s="43"/>
      <c r="Y66" s="7" t="str">
        <f>IFERROR(__xludf.DUMMYFUNCTION("""COMPUTED_VALUE"""),"RUN-ABRM_2022-11-29_RFR-093")</f>
        <v>RUN-ABRM_2022-11-29_RFR-093</v>
      </c>
      <c r="Z66" s="12">
        <f>IFERROR(__xludf.DUMMYFUNCTION("""COMPUTED_VALUE"""),44894.0)</f>
        <v>44894</v>
      </c>
      <c r="AA66" s="50">
        <f t="array" ref="AA66">INDEX('RFR Data - preExcl'!AK$2:AK259,$AE66,1)</f>
        <v>11</v>
      </c>
      <c r="AB66" s="54">
        <f t="shared" si="18"/>
        <v>11</v>
      </c>
      <c r="AC66" s="54">
        <f t="array" ref="AC66">INDEX('RFR Data - preExcl'!AI$2:AI259,$AE66,1)</f>
        <v>0</v>
      </c>
      <c r="AD66" s="54">
        <f t="array" ref="AD66">INDEX('RFR Data - preExcl'!AF$2:AF259,$AE66,1)</f>
        <v>0</v>
      </c>
      <c r="AE66" s="56">
        <f>IFNA(MATCH(Y66,'RFR Data - preExcl'!A$2:A259,0),"")</f>
        <v>93</v>
      </c>
      <c r="AF66" s="43"/>
      <c r="AG66" s="58" t="s">
        <v>91</v>
      </c>
      <c r="AH66" s="46">
        <f>VLOOKUP(AG66,'Run Reconcile'!A$2:B259,2,FALSE)</f>
        <v>44894</v>
      </c>
      <c r="AI66" s="54">
        <f>COUNTIF('APS Tubes IMPORT'!$V$2:$V259, AG66)
</f>
        <v>11</v>
      </c>
      <c r="AJ66" s="54">
        <f>COUNTIFS('APS Tubes IMPORT'!V$2:V259, AG66, 'APS Tubes IMPORT'!H$2:H259, "Negative")
</f>
        <v>11</v>
      </c>
      <c r="AK66" s="54">
        <f>COUNTIFS('APS Tubes IMPORT'!V65:V259, AG66, 'APS Tubes IMPORT'!H65:H259, "Positive")
</f>
        <v>0</v>
      </c>
      <c r="AL66" s="54">
        <f>COUNTIFS('APS Tubes IMPORT'!V65:V259, AG66, 'APS Tubes IMPORT'!H65:H259, "Inconclusive")
</f>
        <v>0</v>
      </c>
      <c r="AM66" s="54">
        <f>COUNTIFS('APS Tubes IMPORT'!V65:V259, AG66, 'APS Tubes IMPORT'!H65:H259, "Null")
</f>
        <v>0</v>
      </c>
      <c r="AN66" s="43"/>
      <c r="AO66" s="12">
        <f>'APS Tubes by Date IMPORT'!B65</f>
        <v>44895</v>
      </c>
      <c r="AP66" s="54">
        <f>'APS Tubes by Date IMPORT'!D65</f>
        <v>9</v>
      </c>
      <c r="AQ66" s="54">
        <f>'APS Tubes by Date IMPORT'!E65</f>
        <v>0</v>
      </c>
      <c r="AR66" s="54">
        <f>'APS Tubes by Date IMPORT'!F65</f>
        <v>0</v>
      </c>
      <c r="AS66" s="54">
        <f>'APS Tubes by Date IMPORT'!G65</f>
        <v>0</v>
      </c>
      <c r="AT66" s="54">
        <f>'APS Tubes by Date IMPORT'!G65</f>
        <v>0</v>
      </c>
      <c r="AU66" s="43"/>
    </row>
    <row r="67">
      <c r="A67" s="7" t="s">
        <v>92</v>
      </c>
      <c r="B67" s="46">
        <f>VLOOKUP(A67,'ALL Tube Results'!$B$2:$D259,2,FALSE)</f>
        <v>44895</v>
      </c>
      <c r="C67" s="47">
        <f>COUNTIF('ALL Tube Results'!B66:B259, A67)
</f>
        <v>9</v>
      </c>
      <c r="D67" s="48">
        <f>COUNTIFS('ALL Tube Results'!$B66:$B259, $A67, 'ALL Tube Results'!$F66:$F259, "Negative")
</f>
        <v>9</v>
      </c>
      <c r="E67" s="48">
        <f>COUNTIFS('ALL Tube Results'!$B66:$B259, $A67, 'ALL Tube Results'!$F66:$F259, "Positive")
</f>
        <v>0</v>
      </c>
      <c r="F67" s="48">
        <f>COUNTIFS('ALL Tube Results'!$B66:$B259, $A67, 'ALL Tube Results'!$F66:$F259, "Inconclusive")
</f>
        <v>0</v>
      </c>
      <c r="G67" s="49">
        <f t="shared" si="7"/>
        <v>9</v>
      </c>
      <c r="H67" s="49" t="str">
        <f t="shared" si="8"/>
        <v/>
      </c>
      <c r="I67" s="50">
        <f t="shared" si="9"/>
        <v>9</v>
      </c>
      <c r="J67" s="51">
        <f t="shared" si="10"/>
        <v>0</v>
      </c>
      <c r="K67" s="51">
        <f t="shared" si="11"/>
        <v>0</v>
      </c>
      <c r="L67" s="51" t="str">
        <f t="shared" si="12"/>
        <v/>
      </c>
      <c r="M67" s="51" t="str">
        <f t="shared" si="13"/>
        <v/>
      </c>
      <c r="N67" s="51" t="str">
        <f t="shared" si="14"/>
        <v/>
      </c>
      <c r="O67" s="52">
        <f t="shared" si="15"/>
        <v>9</v>
      </c>
      <c r="P67" s="52" t="str">
        <f t="shared" si="16"/>
        <v/>
      </c>
      <c r="Q67" s="43"/>
      <c r="R67" s="7" t="s">
        <v>92</v>
      </c>
      <c r="S67" s="12">
        <v>44895.0</v>
      </c>
      <c r="T67" s="54">
        <f>VLOOKUP(R67,'Run Reconcile'!$A$2:$L259,12,FALSE)</f>
        <v>9</v>
      </c>
      <c r="U67" s="55" t="str">
        <f t="shared" si="17"/>
        <v/>
      </c>
      <c r="V67" s="54"/>
      <c r="W67" s="54"/>
      <c r="X67" s="43"/>
      <c r="Y67" s="7" t="str">
        <f>IFERROR(__xludf.DUMMYFUNCTION("""COMPUTED_VALUE"""),"RUN-ABRM_2022-11-30_RFR-094")</f>
        <v>RUN-ABRM_2022-11-30_RFR-094</v>
      </c>
      <c r="Z67" s="12">
        <f>IFERROR(__xludf.DUMMYFUNCTION("""COMPUTED_VALUE"""),44895.0)</f>
        <v>44895</v>
      </c>
      <c r="AA67" s="50">
        <f t="array" ref="AA67">INDEX('RFR Data - preExcl'!AK$2:AK259,$AE67,1)</f>
        <v>9</v>
      </c>
      <c r="AB67" s="54">
        <f t="shared" si="18"/>
        <v>9</v>
      </c>
      <c r="AC67" s="54">
        <f t="array" ref="AC67">INDEX('RFR Data - preExcl'!AI$2:AI259,$AE67,1)</f>
        <v>0</v>
      </c>
      <c r="AD67" s="54">
        <f t="array" ref="AD67">INDEX('RFR Data - preExcl'!AF$2:AF259,$AE67,1)</f>
        <v>0</v>
      </c>
      <c r="AE67" s="56">
        <f>IFNA(MATCH(Y67,'RFR Data - preExcl'!A$2:A259,0),"")</f>
        <v>94</v>
      </c>
      <c r="AF67" s="43"/>
      <c r="AG67" s="58" t="s">
        <v>92</v>
      </c>
      <c r="AH67" s="46">
        <f>VLOOKUP(AG67,'Run Reconcile'!A$2:B259,2,FALSE)</f>
        <v>44895</v>
      </c>
      <c r="AI67" s="54">
        <f>COUNTIF('APS Tubes IMPORT'!$V$2:$V259, AG67)
</f>
        <v>9</v>
      </c>
      <c r="AJ67" s="54">
        <f>COUNTIFS('APS Tubes IMPORT'!V$2:V259, AG67, 'APS Tubes IMPORT'!H$2:H259, "Negative")
</f>
        <v>9</v>
      </c>
      <c r="AK67" s="54">
        <f>COUNTIFS('APS Tubes IMPORT'!V66:V259, AG67, 'APS Tubes IMPORT'!H66:H259, "Positive")
</f>
        <v>0</v>
      </c>
      <c r="AL67" s="54">
        <f>COUNTIFS('APS Tubes IMPORT'!V66:V259, AG67, 'APS Tubes IMPORT'!H66:H259, "Inconclusive")
</f>
        <v>0</v>
      </c>
      <c r="AM67" s="54">
        <f>COUNTIFS('APS Tubes IMPORT'!V66:V259, AG67, 'APS Tubes IMPORT'!H66:H259, "Null")
</f>
        <v>0</v>
      </c>
      <c r="AN67" s="43"/>
      <c r="AO67" s="12">
        <f>'APS Tubes by Date IMPORT'!B66</f>
        <v>44896</v>
      </c>
      <c r="AP67" s="54">
        <f>'APS Tubes by Date IMPORT'!D66</f>
        <v>7</v>
      </c>
      <c r="AQ67" s="54">
        <f>'APS Tubes by Date IMPORT'!E66</f>
        <v>0</v>
      </c>
      <c r="AR67" s="54">
        <f>'APS Tubes by Date IMPORT'!F66</f>
        <v>0</v>
      </c>
      <c r="AS67" s="54">
        <f>'APS Tubes by Date IMPORT'!G66</f>
        <v>0</v>
      </c>
      <c r="AT67" s="54">
        <f>'APS Tubes by Date IMPORT'!G66</f>
        <v>0</v>
      </c>
      <c r="AU67" s="43"/>
    </row>
    <row r="68">
      <c r="A68" s="7" t="s">
        <v>93</v>
      </c>
      <c r="B68" s="46">
        <f>VLOOKUP(A68,'ALL Tube Results'!$B$2:$D259,2,FALSE)</f>
        <v>44896</v>
      </c>
      <c r="C68" s="47">
        <f>COUNTIF('ALL Tube Results'!B67:B259, A68)
</f>
        <v>7</v>
      </c>
      <c r="D68" s="48">
        <f>COUNTIFS('ALL Tube Results'!$B67:$B259, $A68, 'ALL Tube Results'!$F67:$F259, "Negative")
</f>
        <v>7</v>
      </c>
      <c r="E68" s="48">
        <f>COUNTIFS('ALL Tube Results'!$B67:$B259, $A68, 'ALL Tube Results'!$F67:$F259, "Positive")
</f>
        <v>0</v>
      </c>
      <c r="F68" s="48">
        <f>COUNTIFS('ALL Tube Results'!$B67:$B259, $A68, 'ALL Tube Results'!$F67:$F259, "Inconclusive")
</f>
        <v>0</v>
      </c>
      <c r="G68" s="49">
        <f t="shared" si="7"/>
        <v>7</v>
      </c>
      <c r="H68" s="49" t="str">
        <f t="shared" si="8"/>
        <v/>
      </c>
      <c r="I68" s="50">
        <f t="shared" si="9"/>
        <v>7</v>
      </c>
      <c r="J68" s="51">
        <f t="shared" si="10"/>
        <v>0</v>
      </c>
      <c r="K68" s="51">
        <f t="shared" si="11"/>
        <v>0</v>
      </c>
      <c r="L68" s="51" t="str">
        <f t="shared" si="12"/>
        <v/>
      </c>
      <c r="M68" s="51" t="str">
        <f t="shared" si="13"/>
        <v/>
      </c>
      <c r="N68" s="51" t="str">
        <f t="shared" si="14"/>
        <v/>
      </c>
      <c r="O68" s="52">
        <f t="shared" si="15"/>
        <v>7</v>
      </c>
      <c r="P68" s="52" t="str">
        <f t="shared" si="16"/>
        <v/>
      </c>
      <c r="Q68" s="43"/>
      <c r="R68" s="7" t="s">
        <v>93</v>
      </c>
      <c r="S68" s="12">
        <v>44896.0</v>
      </c>
      <c r="T68" s="54">
        <f>VLOOKUP(R68,'Run Reconcile'!$A$2:$L259,12,FALSE)</f>
        <v>7</v>
      </c>
      <c r="U68" s="55" t="str">
        <f t="shared" si="17"/>
        <v/>
      </c>
      <c r="V68" s="54"/>
      <c r="W68" s="54"/>
      <c r="X68" s="43"/>
      <c r="Y68" s="7" t="str">
        <f>IFERROR(__xludf.DUMMYFUNCTION("""COMPUTED_VALUE"""),"RUN-ABRM_2022-12-01_RFR-095")</f>
        <v>RUN-ABRM_2022-12-01_RFR-095</v>
      </c>
      <c r="Z68" s="12">
        <f>IFERROR(__xludf.DUMMYFUNCTION("""COMPUTED_VALUE"""),44896.0)</f>
        <v>44896</v>
      </c>
      <c r="AA68" s="50">
        <f t="array" ref="AA68">INDEX('RFR Data - preExcl'!AK$2:AK259,$AE68,1)</f>
        <v>7</v>
      </c>
      <c r="AB68" s="54">
        <f t="shared" si="18"/>
        <v>7</v>
      </c>
      <c r="AC68" s="54">
        <f t="array" ref="AC68">INDEX('RFR Data - preExcl'!AI$2:AI259,$AE68,1)</f>
        <v>0</v>
      </c>
      <c r="AD68" s="54">
        <f t="array" ref="AD68">INDEX('RFR Data - preExcl'!AF$2:AF259,$AE68,1)</f>
        <v>0</v>
      </c>
      <c r="AE68" s="56">
        <f>IFNA(MATCH(Y68,'RFR Data - preExcl'!A$2:A259,0),"")</f>
        <v>95</v>
      </c>
      <c r="AF68" s="43"/>
      <c r="AG68" s="58" t="s">
        <v>93</v>
      </c>
      <c r="AH68" s="46">
        <f>VLOOKUP(AG68,'Run Reconcile'!A$2:B259,2,FALSE)</f>
        <v>44896</v>
      </c>
      <c r="AI68" s="54">
        <f>COUNTIF('APS Tubes IMPORT'!$V$2:$V259, AG68)
</f>
        <v>7</v>
      </c>
      <c r="AJ68" s="54">
        <f>COUNTIFS('APS Tubes IMPORT'!V$2:V259, AG68, 'APS Tubes IMPORT'!H$2:H259, "Negative")
</f>
        <v>7</v>
      </c>
      <c r="AK68" s="54">
        <f>COUNTIFS('APS Tubes IMPORT'!V67:V259, AG68, 'APS Tubes IMPORT'!H67:H259, "Positive")
</f>
        <v>0</v>
      </c>
      <c r="AL68" s="54">
        <f>COUNTIFS('APS Tubes IMPORT'!V67:V259, AG68, 'APS Tubes IMPORT'!H67:H259, "Inconclusive")
</f>
        <v>0</v>
      </c>
      <c r="AM68" s="54">
        <f>COUNTIFS('APS Tubes IMPORT'!V67:V259, AG68, 'APS Tubes IMPORT'!H67:H259, "Null")
</f>
        <v>0</v>
      </c>
      <c r="AN68" s="43"/>
      <c r="AO68" s="12">
        <f>'APS Tubes by Date IMPORT'!B67</f>
        <v>44897</v>
      </c>
      <c r="AP68" s="54">
        <f>'APS Tubes by Date IMPORT'!D67</f>
        <v>6</v>
      </c>
      <c r="AQ68" s="54">
        <f>'APS Tubes by Date IMPORT'!E67</f>
        <v>0</v>
      </c>
      <c r="AR68" s="54">
        <f>'APS Tubes by Date IMPORT'!F67</f>
        <v>0</v>
      </c>
      <c r="AS68" s="54">
        <f>'APS Tubes by Date IMPORT'!G67</f>
        <v>0</v>
      </c>
      <c r="AT68" s="54">
        <f>'APS Tubes by Date IMPORT'!G67</f>
        <v>0</v>
      </c>
      <c r="AU68" s="43"/>
    </row>
    <row r="69">
      <c r="A69" s="7" t="s">
        <v>94</v>
      </c>
      <c r="B69" s="46">
        <f>VLOOKUP(A69,'ALL Tube Results'!$B$2:$D259,2,FALSE)</f>
        <v>44897</v>
      </c>
      <c r="C69" s="47">
        <f>COUNTIF('ALL Tube Results'!B68:B259, A69)
</f>
        <v>6</v>
      </c>
      <c r="D69" s="48">
        <f>COUNTIFS('ALL Tube Results'!$B68:$B259, $A69, 'ALL Tube Results'!$F68:$F259, "Negative")
</f>
        <v>6</v>
      </c>
      <c r="E69" s="48">
        <f>COUNTIFS('ALL Tube Results'!$B68:$B259, $A69, 'ALL Tube Results'!$F68:$F259, "Positive")
</f>
        <v>0</v>
      </c>
      <c r="F69" s="48">
        <f>COUNTIFS('ALL Tube Results'!$B68:$B259, $A69, 'ALL Tube Results'!$F68:$F259, "Inconclusive")
</f>
        <v>0</v>
      </c>
      <c r="G69" s="49">
        <f t="shared" si="7"/>
        <v>6</v>
      </c>
      <c r="H69" s="49" t="str">
        <f t="shared" si="8"/>
        <v/>
      </c>
      <c r="I69" s="50">
        <f t="shared" si="9"/>
        <v>6</v>
      </c>
      <c r="J69" s="51">
        <f t="shared" si="10"/>
        <v>0</v>
      </c>
      <c r="K69" s="51">
        <f t="shared" si="11"/>
        <v>0</v>
      </c>
      <c r="L69" s="51" t="str">
        <f t="shared" si="12"/>
        <v/>
      </c>
      <c r="M69" s="51" t="str">
        <f t="shared" si="13"/>
        <v/>
      </c>
      <c r="N69" s="51" t="str">
        <f t="shared" si="14"/>
        <v/>
      </c>
      <c r="O69" s="52">
        <f t="shared" si="15"/>
        <v>6</v>
      </c>
      <c r="P69" s="52" t="str">
        <f t="shared" si="16"/>
        <v/>
      </c>
      <c r="Q69" s="43"/>
      <c r="R69" s="7" t="s">
        <v>94</v>
      </c>
      <c r="S69" s="12">
        <v>44897.0</v>
      </c>
      <c r="T69" s="54">
        <f>VLOOKUP(R69,'Run Reconcile'!$A$2:$L259,12,FALSE)</f>
        <v>6</v>
      </c>
      <c r="U69" s="55" t="str">
        <f t="shared" si="17"/>
        <v/>
      </c>
      <c r="V69" s="54"/>
      <c r="W69" s="54"/>
      <c r="X69" s="43"/>
      <c r="Y69" s="7" t="str">
        <f>IFERROR(__xludf.DUMMYFUNCTION("""COMPUTED_VALUE"""),"RUN-ABRM_2022-12-02_RFR-097")</f>
        <v>RUN-ABRM_2022-12-02_RFR-097</v>
      </c>
      <c r="Z69" s="12">
        <f>IFERROR(__xludf.DUMMYFUNCTION("""COMPUTED_VALUE"""),44897.0)</f>
        <v>44897</v>
      </c>
      <c r="AA69" s="50">
        <f t="array" ref="AA69">INDEX('RFR Data - preExcl'!AK$2:AK259,$AE69,1)</f>
        <v>6</v>
      </c>
      <c r="AB69" s="54">
        <f t="shared" si="18"/>
        <v>6</v>
      </c>
      <c r="AC69" s="54">
        <f t="array" ref="AC69">INDEX('RFR Data - preExcl'!AI$2:AI259,$AE69,1)</f>
        <v>0</v>
      </c>
      <c r="AD69" s="54">
        <f t="array" ref="AD69">INDEX('RFR Data - preExcl'!AF$2:AF259,$AE69,1)</f>
        <v>0</v>
      </c>
      <c r="AE69" s="56">
        <f>IFNA(MATCH(Y69,'RFR Data - preExcl'!A$2:A259,0),"")</f>
        <v>97</v>
      </c>
      <c r="AF69" s="43"/>
      <c r="AG69" s="58" t="s">
        <v>94</v>
      </c>
      <c r="AH69" s="46">
        <f>VLOOKUP(AG69,'Run Reconcile'!A$2:B259,2,FALSE)</f>
        <v>44897</v>
      </c>
      <c r="AI69" s="54">
        <f>COUNTIF('APS Tubes IMPORT'!$V$2:$V259, AG69)
</f>
        <v>6</v>
      </c>
      <c r="AJ69" s="54">
        <f>COUNTIFS('APS Tubes IMPORT'!V$2:V259, AG69, 'APS Tubes IMPORT'!H$2:H259, "Negative")
</f>
        <v>6</v>
      </c>
      <c r="AK69" s="54">
        <f>COUNTIFS('APS Tubes IMPORT'!V68:V259, AG69, 'APS Tubes IMPORT'!H68:H259, "Positive")
</f>
        <v>0</v>
      </c>
      <c r="AL69" s="54">
        <f>COUNTIFS('APS Tubes IMPORT'!V68:V259, AG69, 'APS Tubes IMPORT'!H68:H259, "Inconclusive")
</f>
        <v>0</v>
      </c>
      <c r="AM69" s="54">
        <f>COUNTIFS('APS Tubes IMPORT'!V68:V259, AG69, 'APS Tubes IMPORT'!H68:H259, "Null")
</f>
        <v>0</v>
      </c>
      <c r="AN69" s="43"/>
      <c r="AO69" s="12">
        <f>'APS Tubes by Date IMPORT'!B68</f>
        <v>44900</v>
      </c>
      <c r="AP69" s="54">
        <f>'APS Tubes by Date IMPORT'!D68</f>
        <v>8</v>
      </c>
      <c r="AQ69" s="54">
        <f>'APS Tubes by Date IMPORT'!E68</f>
        <v>0</v>
      </c>
      <c r="AR69" s="54">
        <f>'APS Tubes by Date IMPORT'!F68</f>
        <v>0</v>
      </c>
      <c r="AS69" s="54">
        <f>'APS Tubes by Date IMPORT'!G68</f>
        <v>0</v>
      </c>
      <c r="AT69" s="54">
        <f>'APS Tubes by Date IMPORT'!G68</f>
        <v>0</v>
      </c>
      <c r="AU69" s="43"/>
    </row>
    <row r="70">
      <c r="A70" s="7" t="s">
        <v>95</v>
      </c>
      <c r="B70" s="46">
        <f>VLOOKUP(A70,'ALL Tube Results'!$B$2:$D259,2,FALSE)</f>
        <v>44900</v>
      </c>
      <c r="C70" s="47">
        <f>COUNTIF('ALL Tube Results'!B69:B259, A70)
</f>
        <v>8</v>
      </c>
      <c r="D70" s="48">
        <f>COUNTIFS('ALL Tube Results'!$B69:$B259, $A70, 'ALL Tube Results'!$F69:$F259, "Negative")
</f>
        <v>8</v>
      </c>
      <c r="E70" s="48">
        <f>COUNTIFS('ALL Tube Results'!$B69:$B259, $A70, 'ALL Tube Results'!$F69:$F259, "Positive")
</f>
        <v>0</v>
      </c>
      <c r="F70" s="48">
        <f>COUNTIFS('ALL Tube Results'!$B69:$B259, $A70, 'ALL Tube Results'!$F69:$F259, "Inconclusive")
</f>
        <v>0</v>
      </c>
      <c r="G70" s="49">
        <f t="shared" si="7"/>
        <v>8</v>
      </c>
      <c r="H70" s="49" t="str">
        <f t="shared" si="8"/>
        <v/>
      </c>
      <c r="I70" s="50">
        <f t="shared" si="9"/>
        <v>8</v>
      </c>
      <c r="J70" s="51">
        <f t="shared" si="10"/>
        <v>0</v>
      </c>
      <c r="K70" s="51">
        <f t="shared" si="11"/>
        <v>0</v>
      </c>
      <c r="L70" s="51" t="str">
        <f t="shared" si="12"/>
        <v/>
      </c>
      <c r="M70" s="51" t="str">
        <f t="shared" si="13"/>
        <v/>
      </c>
      <c r="N70" s="51" t="str">
        <f t="shared" si="14"/>
        <v/>
      </c>
      <c r="O70" s="52">
        <f t="shared" si="15"/>
        <v>8</v>
      </c>
      <c r="P70" s="52" t="str">
        <f t="shared" si="16"/>
        <v/>
      </c>
      <c r="Q70" s="43"/>
      <c r="R70" s="7" t="s">
        <v>95</v>
      </c>
      <c r="S70" s="12">
        <v>44900.0</v>
      </c>
      <c r="T70" s="54">
        <f>VLOOKUP(R70,'Run Reconcile'!$A$2:$L259,12,FALSE)</f>
        <v>8</v>
      </c>
      <c r="U70" s="55" t="str">
        <f t="shared" si="17"/>
        <v/>
      </c>
      <c r="V70" s="54"/>
      <c r="W70" s="54"/>
      <c r="X70" s="43"/>
      <c r="Y70" s="7" t="str">
        <f>IFERROR(__xludf.DUMMYFUNCTION("""COMPUTED_VALUE"""),"RUN-ABRM_2022-12-05_RFR-098")</f>
        <v>RUN-ABRM_2022-12-05_RFR-098</v>
      </c>
      <c r="Z70" s="12">
        <f>IFERROR(__xludf.DUMMYFUNCTION("""COMPUTED_VALUE"""),44900.0)</f>
        <v>44900</v>
      </c>
      <c r="AA70" s="50">
        <f t="array" ref="AA70">INDEX('RFR Data - preExcl'!AK$2:AK259,$AE70,1)</f>
        <v>8</v>
      </c>
      <c r="AB70" s="54">
        <f t="shared" si="18"/>
        <v>8</v>
      </c>
      <c r="AC70" s="54">
        <f t="array" ref="AC70">INDEX('RFR Data - preExcl'!AI$2:AI259,$AE70,1)</f>
        <v>0</v>
      </c>
      <c r="AD70" s="54">
        <f t="array" ref="AD70">INDEX('RFR Data - preExcl'!AF$2:AF259,$AE70,1)</f>
        <v>0</v>
      </c>
      <c r="AE70" s="56">
        <f>IFNA(MATCH(Y70,'RFR Data - preExcl'!A$2:A259,0),"")</f>
        <v>98</v>
      </c>
      <c r="AF70" s="43"/>
      <c r="AG70" s="58" t="s">
        <v>95</v>
      </c>
      <c r="AH70" s="46">
        <f>VLOOKUP(AG70,'Run Reconcile'!A$2:B259,2,FALSE)</f>
        <v>44900</v>
      </c>
      <c r="AI70" s="54">
        <f>COUNTIF('APS Tubes IMPORT'!$V$2:$V259, AG70)
</f>
        <v>8</v>
      </c>
      <c r="AJ70" s="54">
        <f>COUNTIFS('APS Tubes IMPORT'!V$2:V259, AG70, 'APS Tubes IMPORT'!H$2:H259, "Negative")
</f>
        <v>8</v>
      </c>
      <c r="AK70" s="54">
        <f>COUNTIFS('APS Tubes IMPORT'!V69:V259, AG70, 'APS Tubes IMPORT'!H69:H259, "Positive")
</f>
        <v>0</v>
      </c>
      <c r="AL70" s="54">
        <f>COUNTIFS('APS Tubes IMPORT'!V69:V259, AG70, 'APS Tubes IMPORT'!H69:H259, "Inconclusive")
</f>
        <v>0</v>
      </c>
      <c r="AM70" s="54">
        <f>COUNTIFS('APS Tubes IMPORT'!V69:V259, AG70, 'APS Tubes IMPORT'!H69:H259, "Null")
</f>
        <v>0</v>
      </c>
      <c r="AN70" s="43"/>
      <c r="AO70" s="12">
        <f>'APS Tubes by Date IMPORT'!B69</f>
        <v>44901</v>
      </c>
      <c r="AP70" s="54">
        <f>'APS Tubes by Date IMPORT'!D69</f>
        <v>8</v>
      </c>
      <c r="AQ70" s="54">
        <f>'APS Tubes by Date IMPORT'!E69</f>
        <v>0</v>
      </c>
      <c r="AR70" s="54">
        <f>'APS Tubes by Date IMPORT'!F69</f>
        <v>0</v>
      </c>
      <c r="AS70" s="54">
        <f>'APS Tubes by Date IMPORT'!G69</f>
        <v>0</v>
      </c>
      <c r="AT70" s="54">
        <f>'APS Tubes by Date IMPORT'!G69</f>
        <v>0</v>
      </c>
      <c r="AU70" s="43"/>
    </row>
    <row r="71">
      <c r="A71" s="7" t="s">
        <v>96</v>
      </c>
      <c r="B71" s="46">
        <f>VLOOKUP(A71,'ALL Tube Results'!$B$2:$D259,2,FALSE)</f>
        <v>44901</v>
      </c>
      <c r="C71" s="47">
        <f>COUNTIF('ALL Tube Results'!B70:B259, A71)
</f>
        <v>8</v>
      </c>
      <c r="D71" s="48">
        <f>COUNTIFS('ALL Tube Results'!$B70:$B259, $A71, 'ALL Tube Results'!$F70:$F259, "Negative")
</f>
        <v>8</v>
      </c>
      <c r="E71" s="48">
        <f>COUNTIFS('ALL Tube Results'!$B70:$B259, $A71, 'ALL Tube Results'!$F70:$F259, "Positive")
</f>
        <v>0</v>
      </c>
      <c r="F71" s="48">
        <f>COUNTIFS('ALL Tube Results'!$B70:$B259, $A71, 'ALL Tube Results'!$F70:$F259, "Inconclusive")
</f>
        <v>0</v>
      </c>
      <c r="G71" s="49">
        <f t="shared" si="7"/>
        <v>8</v>
      </c>
      <c r="H71" s="49" t="str">
        <f t="shared" si="8"/>
        <v/>
      </c>
      <c r="I71" s="50">
        <f t="shared" si="9"/>
        <v>8</v>
      </c>
      <c r="J71" s="51">
        <f t="shared" si="10"/>
        <v>0</v>
      </c>
      <c r="K71" s="51">
        <f t="shared" si="11"/>
        <v>0</v>
      </c>
      <c r="L71" s="51" t="str">
        <f t="shared" si="12"/>
        <v/>
      </c>
      <c r="M71" s="51" t="str">
        <f t="shared" si="13"/>
        <v/>
      </c>
      <c r="N71" s="51" t="str">
        <f t="shared" si="14"/>
        <v/>
      </c>
      <c r="O71" s="52">
        <f t="shared" si="15"/>
        <v>8</v>
      </c>
      <c r="P71" s="52" t="str">
        <f t="shared" si="16"/>
        <v/>
      </c>
      <c r="Q71" s="43"/>
      <c r="R71" s="7" t="s">
        <v>96</v>
      </c>
      <c r="S71" s="12">
        <v>44901.0</v>
      </c>
      <c r="T71" s="54">
        <f>VLOOKUP(R71,'Run Reconcile'!$A$2:$L259,12,FALSE)</f>
        <v>8</v>
      </c>
      <c r="U71" s="55" t="str">
        <f t="shared" si="17"/>
        <v/>
      </c>
      <c r="V71" s="54"/>
      <c r="W71" s="54"/>
      <c r="X71" s="43"/>
      <c r="Y71" s="7" t="str">
        <f>IFERROR(__xludf.DUMMYFUNCTION("""COMPUTED_VALUE"""),"RUN-ABRM_2022-12-06_RFR-099")</f>
        <v>RUN-ABRM_2022-12-06_RFR-099</v>
      </c>
      <c r="Z71" s="12">
        <f>IFERROR(__xludf.DUMMYFUNCTION("""COMPUTED_VALUE"""),44901.0)</f>
        <v>44901</v>
      </c>
      <c r="AA71" s="50">
        <f t="array" ref="AA71">INDEX('RFR Data - preExcl'!AK$2:AK259,$AE71,1)</f>
        <v>8</v>
      </c>
      <c r="AB71" s="54">
        <f t="shared" si="18"/>
        <v>8</v>
      </c>
      <c r="AC71" s="54">
        <f t="array" ref="AC71">INDEX('RFR Data - preExcl'!AI$2:AI259,$AE71,1)</f>
        <v>0</v>
      </c>
      <c r="AD71" s="54">
        <f t="array" ref="AD71">INDEX('RFR Data - preExcl'!AF$2:AF259,$AE71,1)</f>
        <v>0</v>
      </c>
      <c r="AE71" s="56">
        <f>IFNA(MATCH(Y71,'RFR Data - preExcl'!A$2:A259,0),"")</f>
        <v>99</v>
      </c>
      <c r="AF71" s="43"/>
      <c r="AG71" s="58" t="s">
        <v>96</v>
      </c>
      <c r="AH71" s="46">
        <f>VLOOKUP(AG71,'Run Reconcile'!A$2:B259,2,FALSE)</f>
        <v>44901</v>
      </c>
      <c r="AI71" s="54">
        <f>COUNTIF('APS Tubes IMPORT'!$V$2:$V259, AG71)
</f>
        <v>8</v>
      </c>
      <c r="AJ71" s="54">
        <f>COUNTIFS('APS Tubes IMPORT'!V$2:V259, AG71, 'APS Tubes IMPORT'!H$2:H259, "Negative")
</f>
        <v>8</v>
      </c>
      <c r="AK71" s="54">
        <f>COUNTIFS('APS Tubes IMPORT'!V70:V259, AG71, 'APS Tubes IMPORT'!H70:H259, "Positive")
</f>
        <v>0</v>
      </c>
      <c r="AL71" s="54">
        <f>COUNTIFS('APS Tubes IMPORT'!V70:V259, AG71, 'APS Tubes IMPORT'!H70:H259, "Inconclusive")
</f>
        <v>0</v>
      </c>
      <c r="AM71" s="54">
        <f>COUNTIFS('APS Tubes IMPORT'!V70:V259, AG71, 'APS Tubes IMPORT'!H70:H259, "Null")
</f>
        <v>0</v>
      </c>
      <c r="AN71" s="43"/>
      <c r="AO71" s="12">
        <f>'APS Tubes by Date IMPORT'!B70</f>
        <v>44902</v>
      </c>
      <c r="AP71" s="54">
        <f>'APS Tubes by Date IMPORT'!D70</f>
        <v>8</v>
      </c>
      <c r="AQ71" s="54">
        <f>'APS Tubes by Date IMPORT'!E70</f>
        <v>0</v>
      </c>
      <c r="AR71" s="54">
        <f>'APS Tubes by Date IMPORT'!F70</f>
        <v>0</v>
      </c>
      <c r="AS71" s="54">
        <f>'APS Tubes by Date IMPORT'!G70</f>
        <v>0</v>
      </c>
      <c r="AT71" s="54">
        <f>'APS Tubes by Date IMPORT'!G70</f>
        <v>0</v>
      </c>
      <c r="AU71" s="43"/>
    </row>
    <row r="72">
      <c r="A72" s="7" t="s">
        <v>97</v>
      </c>
      <c r="B72" s="46">
        <f>VLOOKUP(A72,'ALL Tube Results'!$B$2:$D259,2,FALSE)</f>
        <v>44902</v>
      </c>
      <c r="C72" s="47">
        <f>COUNTIF('ALL Tube Results'!B71:B259, A72)
</f>
        <v>8</v>
      </c>
      <c r="D72" s="48">
        <f>COUNTIFS('ALL Tube Results'!$B71:$B259, $A72, 'ALL Tube Results'!$F71:$F259, "Negative")
</f>
        <v>8</v>
      </c>
      <c r="E72" s="48">
        <f>COUNTIFS('ALL Tube Results'!$B71:$B259, $A72, 'ALL Tube Results'!$F71:$F259, "Positive")
</f>
        <v>0</v>
      </c>
      <c r="F72" s="48">
        <f>COUNTIFS('ALL Tube Results'!$B71:$B259, $A72, 'ALL Tube Results'!$F71:$F259, "Inconclusive")
</f>
        <v>0</v>
      </c>
      <c r="G72" s="49">
        <f t="shared" si="7"/>
        <v>8</v>
      </c>
      <c r="H72" s="49" t="str">
        <f t="shared" si="8"/>
        <v/>
      </c>
      <c r="I72" s="50">
        <f t="shared" si="9"/>
        <v>8</v>
      </c>
      <c r="J72" s="51">
        <f t="shared" si="10"/>
        <v>0</v>
      </c>
      <c r="K72" s="51">
        <f t="shared" si="11"/>
        <v>0</v>
      </c>
      <c r="L72" s="51" t="str">
        <f t="shared" si="12"/>
        <v/>
      </c>
      <c r="M72" s="51" t="str">
        <f t="shared" si="13"/>
        <v/>
      </c>
      <c r="N72" s="51" t="str">
        <f t="shared" si="14"/>
        <v/>
      </c>
      <c r="O72" s="52">
        <f t="shared" si="15"/>
        <v>8</v>
      </c>
      <c r="P72" s="52" t="str">
        <f t="shared" si="16"/>
        <v/>
      </c>
      <c r="Q72" s="43"/>
      <c r="R72" s="7" t="s">
        <v>97</v>
      </c>
      <c r="S72" s="12">
        <v>44902.0</v>
      </c>
      <c r="T72" s="54">
        <f>VLOOKUP(R72,'Run Reconcile'!$A$2:$L259,12,FALSE)</f>
        <v>8</v>
      </c>
      <c r="U72" s="55" t="str">
        <f t="shared" si="17"/>
        <v/>
      </c>
      <c r="V72" s="54"/>
      <c r="W72" s="54"/>
      <c r="X72" s="43"/>
      <c r="Y72" s="7" t="str">
        <f>IFERROR(__xludf.DUMMYFUNCTION("""COMPUTED_VALUE"""),"RUN-ABRM_2022-12-07_RFR-100")</f>
        <v>RUN-ABRM_2022-12-07_RFR-100</v>
      </c>
      <c r="Z72" s="12">
        <f>IFERROR(__xludf.DUMMYFUNCTION("""COMPUTED_VALUE"""),44902.0)</f>
        <v>44902</v>
      </c>
      <c r="AA72" s="50">
        <f t="array" ref="AA72">INDEX('RFR Data - preExcl'!AK$2:AK259,$AE72,1)</f>
        <v>8</v>
      </c>
      <c r="AB72" s="54">
        <f t="shared" si="18"/>
        <v>8</v>
      </c>
      <c r="AC72" s="54">
        <f t="array" ref="AC72">INDEX('RFR Data - preExcl'!AI$2:AI259,$AE72,1)</f>
        <v>0</v>
      </c>
      <c r="AD72" s="54">
        <f t="array" ref="AD72">INDEX('RFR Data - preExcl'!AF$2:AF259,$AE72,1)</f>
        <v>0</v>
      </c>
      <c r="AE72" s="56">
        <f>IFNA(MATCH(Y72,'RFR Data - preExcl'!A$2:A259,0),"")</f>
        <v>100</v>
      </c>
      <c r="AF72" s="43"/>
      <c r="AG72" s="58" t="s">
        <v>97</v>
      </c>
      <c r="AH72" s="46">
        <f>VLOOKUP(AG72,'Run Reconcile'!A$2:B259,2,FALSE)</f>
        <v>44902</v>
      </c>
      <c r="AI72" s="54">
        <f>COUNTIF('APS Tubes IMPORT'!$V$2:$V259, AG72)
</f>
        <v>8</v>
      </c>
      <c r="AJ72" s="54">
        <f>COUNTIFS('APS Tubes IMPORT'!V$2:V259, AG72, 'APS Tubes IMPORT'!H$2:H259, "Negative")
</f>
        <v>8</v>
      </c>
      <c r="AK72" s="54">
        <f>COUNTIFS('APS Tubes IMPORT'!V71:V259, AG72, 'APS Tubes IMPORT'!H71:H259, "Positive")
</f>
        <v>0</v>
      </c>
      <c r="AL72" s="54">
        <f>COUNTIFS('APS Tubes IMPORT'!V71:V259, AG72, 'APS Tubes IMPORT'!H71:H259, "Inconclusive")
</f>
        <v>0</v>
      </c>
      <c r="AM72" s="54">
        <f>COUNTIFS('APS Tubes IMPORT'!V71:V259, AG72, 'APS Tubes IMPORT'!H71:H259, "Null")
</f>
        <v>0</v>
      </c>
      <c r="AN72" s="43"/>
      <c r="AO72" s="12">
        <f>'APS Tubes by Date IMPORT'!B71</f>
        <v>44903</v>
      </c>
      <c r="AP72" s="54">
        <f>'APS Tubes by Date IMPORT'!D71</f>
        <v>6</v>
      </c>
      <c r="AQ72" s="54">
        <f>'APS Tubes by Date IMPORT'!E71</f>
        <v>1</v>
      </c>
      <c r="AR72" s="54">
        <f>'APS Tubes by Date IMPORT'!F71</f>
        <v>0</v>
      </c>
      <c r="AS72" s="54">
        <f>'APS Tubes by Date IMPORT'!G71</f>
        <v>0</v>
      </c>
      <c r="AT72" s="54">
        <f>'APS Tubes by Date IMPORT'!G71</f>
        <v>0</v>
      </c>
      <c r="AU72" s="43"/>
    </row>
    <row r="73">
      <c r="A73" s="7" t="s">
        <v>98</v>
      </c>
      <c r="B73" s="46">
        <f>VLOOKUP(A73,'ALL Tube Results'!$B$2:$D259,2,FALSE)</f>
        <v>44903</v>
      </c>
      <c r="C73" s="47">
        <f>COUNTIF('ALL Tube Results'!B72:B259, A73)
</f>
        <v>7</v>
      </c>
      <c r="D73" s="48">
        <f>COUNTIFS('ALL Tube Results'!$B72:$B259, $A73, 'ALL Tube Results'!$F72:$F259, "Negative")
</f>
        <v>6</v>
      </c>
      <c r="E73" s="48">
        <f>COUNTIFS('ALL Tube Results'!$B72:$B259, $A73, 'ALL Tube Results'!$F72:$F259, "Positive")
</f>
        <v>1</v>
      </c>
      <c r="F73" s="48">
        <f>COUNTIFS('ALL Tube Results'!$B72:$B259, $A73, 'ALL Tube Results'!$F72:$F259, "Inconclusive")
</f>
        <v>0</v>
      </c>
      <c r="G73" s="49">
        <f t="shared" si="7"/>
        <v>7</v>
      </c>
      <c r="H73" s="49" t="str">
        <f t="shared" si="8"/>
        <v/>
      </c>
      <c r="I73" s="50">
        <f t="shared" si="9"/>
        <v>7</v>
      </c>
      <c r="J73" s="51">
        <f t="shared" si="10"/>
        <v>1</v>
      </c>
      <c r="K73" s="51">
        <f t="shared" si="11"/>
        <v>0</v>
      </c>
      <c r="L73" s="51" t="str">
        <f t="shared" si="12"/>
        <v/>
      </c>
      <c r="M73" s="51" t="str">
        <f t="shared" si="13"/>
        <v/>
      </c>
      <c r="N73" s="51" t="str">
        <f t="shared" si="14"/>
        <v/>
      </c>
      <c r="O73" s="52">
        <f t="shared" si="15"/>
        <v>7</v>
      </c>
      <c r="P73" s="52" t="str">
        <f t="shared" si="16"/>
        <v/>
      </c>
      <c r="Q73" s="43"/>
      <c r="R73" s="7" t="s">
        <v>98</v>
      </c>
      <c r="S73" s="12">
        <v>44903.0</v>
      </c>
      <c r="T73" s="54">
        <f>VLOOKUP(R73,'Run Reconcile'!$A$2:$L259,12,FALSE)</f>
        <v>7</v>
      </c>
      <c r="U73" s="55" t="str">
        <f t="shared" si="17"/>
        <v/>
      </c>
      <c r="V73" s="54"/>
      <c r="W73" s="54"/>
      <c r="X73" s="43"/>
      <c r="Y73" s="7" t="str">
        <f>IFERROR(__xludf.DUMMYFUNCTION("""COMPUTED_VALUE"""),"RUN-ABRM_2022-12-08_RFR-101")</f>
        <v>RUN-ABRM_2022-12-08_RFR-101</v>
      </c>
      <c r="Z73" s="12">
        <f>IFERROR(__xludf.DUMMYFUNCTION("""COMPUTED_VALUE"""),44903.0)</f>
        <v>44903</v>
      </c>
      <c r="AA73" s="50">
        <f t="array" ref="AA73">INDEX('RFR Data - preExcl'!AK$2:AK259,$AE73,1)</f>
        <v>7</v>
      </c>
      <c r="AB73" s="54">
        <f t="shared" si="18"/>
        <v>6</v>
      </c>
      <c r="AC73" s="54">
        <f t="array" ref="AC73">INDEX('RFR Data - preExcl'!AI$2:AI259,$AE73,1)</f>
        <v>1</v>
      </c>
      <c r="AD73" s="54">
        <f t="array" ref="AD73">INDEX('RFR Data - preExcl'!AF$2:AF259,$AE73,1)</f>
        <v>0</v>
      </c>
      <c r="AE73" s="56">
        <f>IFNA(MATCH(Y73,'RFR Data - preExcl'!A$2:A259,0),"")</f>
        <v>101</v>
      </c>
      <c r="AF73" s="43"/>
      <c r="AG73" s="58" t="s">
        <v>98</v>
      </c>
      <c r="AH73" s="46">
        <f>VLOOKUP(AG73,'Run Reconcile'!A$2:B259,2,FALSE)</f>
        <v>44903</v>
      </c>
      <c r="AI73" s="54">
        <f>COUNTIF('APS Tubes IMPORT'!$V$2:$V259, AG73)
</f>
        <v>7</v>
      </c>
      <c r="AJ73" s="54">
        <f>COUNTIFS('APS Tubes IMPORT'!V$2:V259, AG73, 'APS Tubes IMPORT'!H$2:H259, "Negative")
</f>
        <v>6</v>
      </c>
      <c r="AK73" s="54">
        <f>COUNTIFS('APS Tubes IMPORT'!V72:V259, AG73, 'APS Tubes IMPORT'!H72:H259, "Positive")
</f>
        <v>1</v>
      </c>
      <c r="AL73" s="54">
        <f>COUNTIFS('APS Tubes IMPORT'!V72:V259, AG73, 'APS Tubes IMPORT'!H72:H259, "Inconclusive")
</f>
        <v>0</v>
      </c>
      <c r="AM73" s="54">
        <f>COUNTIFS('APS Tubes IMPORT'!V72:V259, AG73, 'APS Tubes IMPORT'!H72:H259, "Null")
</f>
        <v>0</v>
      </c>
      <c r="AN73" s="43"/>
      <c r="AO73" s="12">
        <f>'APS Tubes by Date IMPORT'!B72</f>
        <v>44904</v>
      </c>
      <c r="AP73" s="54">
        <f>'APS Tubes by Date IMPORT'!D72</f>
        <v>5</v>
      </c>
      <c r="AQ73" s="54">
        <f>'APS Tubes by Date IMPORT'!E72</f>
        <v>0</v>
      </c>
      <c r="AR73" s="54">
        <f>'APS Tubes by Date IMPORT'!F72</f>
        <v>0</v>
      </c>
      <c r="AS73" s="54">
        <f>'APS Tubes by Date IMPORT'!G72</f>
        <v>0</v>
      </c>
      <c r="AT73" s="54">
        <f>'APS Tubes by Date IMPORT'!G72</f>
        <v>0</v>
      </c>
      <c r="AU73" s="43"/>
    </row>
    <row r="74">
      <c r="A74" s="7" t="s">
        <v>99</v>
      </c>
      <c r="B74" s="46">
        <f>VLOOKUP(A74,'ALL Tube Results'!$B$2:$D259,2,FALSE)</f>
        <v>44904</v>
      </c>
      <c r="C74" s="47">
        <f>COUNTIF('ALL Tube Results'!B73:B259, A74)
</f>
        <v>6</v>
      </c>
      <c r="D74" s="48">
        <f>COUNTIFS('ALL Tube Results'!$B73:$B259, $A74, 'ALL Tube Results'!$F73:$F259, "Negative")
</f>
        <v>6</v>
      </c>
      <c r="E74" s="48">
        <f>COUNTIFS('ALL Tube Results'!$B73:$B259, $A74, 'ALL Tube Results'!$F73:$F259, "Positive")
</f>
        <v>0</v>
      </c>
      <c r="F74" s="48">
        <f>COUNTIFS('ALL Tube Results'!$B73:$B259, $A74, 'ALL Tube Results'!$F73:$F259, "Inconclusive")
</f>
        <v>0</v>
      </c>
      <c r="G74" s="49">
        <f t="shared" si="7"/>
        <v>6</v>
      </c>
      <c r="H74" s="49" t="str">
        <f t="shared" si="8"/>
        <v/>
      </c>
      <c r="I74" s="50">
        <f t="shared" si="9"/>
        <v>6</v>
      </c>
      <c r="J74" s="51">
        <f t="shared" si="10"/>
        <v>0</v>
      </c>
      <c r="K74" s="51">
        <f t="shared" si="11"/>
        <v>0</v>
      </c>
      <c r="L74" s="51" t="str">
        <f t="shared" si="12"/>
        <v/>
      </c>
      <c r="M74" s="51" t="str">
        <f t="shared" si="13"/>
        <v/>
      </c>
      <c r="N74" s="51" t="str">
        <f t="shared" si="14"/>
        <v/>
      </c>
      <c r="O74" s="52">
        <f t="shared" si="15"/>
        <v>5</v>
      </c>
      <c r="P74" s="52">
        <f t="shared" si="16"/>
        <v>1</v>
      </c>
      <c r="Q74" s="43"/>
      <c r="R74" s="7" t="s">
        <v>99</v>
      </c>
      <c r="S74" s="12">
        <v>44904.0</v>
      </c>
      <c r="T74" s="54">
        <f>VLOOKUP(R74,'Run Reconcile'!$A$2:$L259,12,FALSE)</f>
        <v>6</v>
      </c>
      <c r="U74" s="55" t="str">
        <f t="shared" si="17"/>
        <v/>
      </c>
      <c r="V74" s="54"/>
      <c r="W74" s="54"/>
      <c r="X74" s="43"/>
      <c r="Y74" s="7" t="str">
        <f>IFERROR(__xludf.DUMMYFUNCTION("""COMPUTED_VALUE"""),"RUN-ABRM_2022-12-09_RFR-104")</f>
        <v>RUN-ABRM_2022-12-09_RFR-104</v>
      </c>
      <c r="Z74" s="12">
        <f>IFERROR(__xludf.DUMMYFUNCTION("""COMPUTED_VALUE"""),44904.0)</f>
        <v>44904</v>
      </c>
      <c r="AA74" s="50">
        <f t="array" ref="AA74">INDEX('RFR Data - preExcl'!AK$2:AK259,$AE74,1)</f>
        <v>6</v>
      </c>
      <c r="AB74" s="54">
        <f t="shared" si="18"/>
        <v>6</v>
      </c>
      <c r="AC74" s="54">
        <f t="array" ref="AC74">INDEX('RFR Data - preExcl'!AI$2:AI259,$AE74,1)</f>
        <v>0</v>
      </c>
      <c r="AD74" s="54">
        <f t="array" ref="AD74">INDEX('RFR Data - preExcl'!AF$2:AF259,$AE74,1)</f>
        <v>0</v>
      </c>
      <c r="AE74" s="56">
        <f>IFNA(MATCH(Y74,'RFR Data - preExcl'!A$2:A259,0),"")</f>
        <v>104</v>
      </c>
      <c r="AF74" s="43"/>
      <c r="AG74" s="58" t="s">
        <v>99</v>
      </c>
      <c r="AH74" s="46">
        <f>VLOOKUP(AG74,'Run Reconcile'!A$2:B259,2,FALSE)</f>
        <v>44904</v>
      </c>
      <c r="AI74" s="54">
        <f>COUNTIF('APS Tubes IMPORT'!$V$2:$V259, AG74)
</f>
        <v>5</v>
      </c>
      <c r="AJ74" s="54">
        <f>COUNTIFS('APS Tubes IMPORT'!V$2:V259, AG74, 'APS Tubes IMPORT'!H$2:H259, "Negative")
</f>
        <v>5</v>
      </c>
      <c r="AK74" s="54">
        <f>COUNTIFS('APS Tubes IMPORT'!V73:V259, AG74, 'APS Tubes IMPORT'!H73:H259, "Positive")
</f>
        <v>0</v>
      </c>
      <c r="AL74" s="54">
        <f>COUNTIFS('APS Tubes IMPORT'!V73:V259, AG74, 'APS Tubes IMPORT'!H73:H259, "Inconclusive")
</f>
        <v>0</v>
      </c>
      <c r="AM74" s="54">
        <f>COUNTIFS('APS Tubes IMPORT'!V73:V259, AG74, 'APS Tubes IMPORT'!H73:H259, "Null")
</f>
        <v>0</v>
      </c>
      <c r="AN74" s="43"/>
      <c r="AO74" s="12">
        <f>'APS Tubes by Date IMPORT'!B73</f>
        <v>44907</v>
      </c>
      <c r="AP74" s="54">
        <f>'APS Tubes by Date IMPORT'!D73</f>
        <v>5</v>
      </c>
      <c r="AQ74" s="54">
        <f>'APS Tubes by Date IMPORT'!E73</f>
        <v>0</v>
      </c>
      <c r="AR74" s="54">
        <f>'APS Tubes by Date IMPORT'!F73</f>
        <v>0</v>
      </c>
      <c r="AS74" s="54">
        <f>'APS Tubes by Date IMPORT'!G73</f>
        <v>0</v>
      </c>
      <c r="AT74" s="54">
        <f>'APS Tubes by Date IMPORT'!G73</f>
        <v>0</v>
      </c>
      <c r="AU74" s="43"/>
    </row>
    <row r="75">
      <c r="A75" s="7" t="s">
        <v>100</v>
      </c>
      <c r="B75" s="46">
        <f>VLOOKUP(A75,'ALL Tube Results'!$B$2:$D259,2,FALSE)</f>
        <v>44907</v>
      </c>
      <c r="C75" s="47">
        <f>COUNTIF('ALL Tube Results'!B74:B259, A75)
</f>
        <v>3</v>
      </c>
      <c r="D75" s="48">
        <f>COUNTIFS('ALL Tube Results'!$B74:$B259, $A75, 'ALL Tube Results'!$F74:$F259, "Negative")
</f>
        <v>3</v>
      </c>
      <c r="E75" s="48">
        <f>COUNTIFS('ALL Tube Results'!$B74:$B259, $A75, 'ALL Tube Results'!$F74:$F259, "Positive")
</f>
        <v>0</v>
      </c>
      <c r="F75" s="48">
        <f>COUNTIFS('ALL Tube Results'!$B74:$B259, $A75, 'ALL Tube Results'!$F74:$F259, "Inconclusive")
</f>
        <v>0</v>
      </c>
      <c r="G75" s="49">
        <f t="shared" si="7"/>
        <v>3</v>
      </c>
      <c r="H75" s="49" t="str">
        <f t="shared" si="8"/>
        <v/>
      </c>
      <c r="I75" s="50">
        <f t="shared" si="9"/>
        <v>3</v>
      </c>
      <c r="J75" s="51">
        <f t="shared" si="10"/>
        <v>0</v>
      </c>
      <c r="K75" s="51">
        <f t="shared" si="11"/>
        <v>0</v>
      </c>
      <c r="L75" s="51" t="str">
        <f t="shared" si="12"/>
        <v/>
      </c>
      <c r="M75" s="51" t="str">
        <f t="shared" si="13"/>
        <v/>
      </c>
      <c r="N75" s="51" t="str">
        <f t="shared" si="14"/>
        <v/>
      </c>
      <c r="O75" s="52">
        <f t="shared" si="15"/>
        <v>3</v>
      </c>
      <c r="P75" s="52" t="str">
        <f t="shared" si="16"/>
        <v/>
      </c>
      <c r="Q75" s="43"/>
      <c r="R75" s="7" t="s">
        <v>100</v>
      </c>
      <c r="S75" s="12">
        <v>44907.0</v>
      </c>
      <c r="T75" s="54">
        <f>VLOOKUP(R75,'Run Reconcile'!$A$2:$L259,12,FALSE)</f>
        <v>3</v>
      </c>
      <c r="U75" s="55" t="str">
        <f t="shared" si="17"/>
        <v/>
      </c>
      <c r="V75" s="54"/>
      <c r="W75" s="54"/>
      <c r="X75" s="43"/>
      <c r="Y75" s="7" t="str">
        <f>IFERROR(__xludf.DUMMYFUNCTION("""COMPUTED_VALUE"""),"RUN-ABRM_2022-12-12_RFR-105")</f>
        <v>RUN-ABRM_2022-12-12_RFR-105</v>
      </c>
      <c r="Z75" s="12">
        <f>IFERROR(__xludf.DUMMYFUNCTION("""COMPUTED_VALUE"""),44907.0)</f>
        <v>44907</v>
      </c>
      <c r="AA75" s="50">
        <f t="array" ref="AA75">INDEX('RFR Data - preExcl'!AK$2:AK259,$AE75,1)</f>
        <v>3</v>
      </c>
      <c r="AB75" s="54">
        <f t="shared" si="18"/>
        <v>3</v>
      </c>
      <c r="AC75" s="54">
        <f t="array" ref="AC75">INDEX('RFR Data - preExcl'!AI$2:AI259,$AE75,1)</f>
        <v>0</v>
      </c>
      <c r="AD75" s="54">
        <f t="array" ref="AD75">INDEX('RFR Data - preExcl'!AF$2:AF259,$AE75,1)</f>
        <v>0</v>
      </c>
      <c r="AE75" s="56">
        <f>IFNA(MATCH(Y75,'RFR Data - preExcl'!A$2:A259,0),"")</f>
        <v>105</v>
      </c>
      <c r="AF75" s="43"/>
      <c r="AG75" s="58" t="s">
        <v>100</v>
      </c>
      <c r="AH75" s="46">
        <f>VLOOKUP(AG75,'Run Reconcile'!A$2:B259,2,FALSE)</f>
        <v>44907</v>
      </c>
      <c r="AI75" s="54">
        <f>COUNTIF('APS Tubes IMPORT'!$V$2:$V259, AG75)
</f>
        <v>3</v>
      </c>
      <c r="AJ75" s="54">
        <f>COUNTIFS('APS Tubes IMPORT'!V$2:V259, AG75, 'APS Tubes IMPORT'!H$2:H259, "Negative")
</f>
        <v>3</v>
      </c>
      <c r="AK75" s="54">
        <f>COUNTIFS('APS Tubes IMPORT'!V74:V259, AG75, 'APS Tubes IMPORT'!H74:H259, "Positive")
</f>
        <v>0</v>
      </c>
      <c r="AL75" s="54">
        <f>COUNTIFS('APS Tubes IMPORT'!V74:V259, AG75, 'APS Tubes IMPORT'!H74:H259, "Inconclusive")
</f>
        <v>0</v>
      </c>
      <c r="AM75" s="54">
        <f>COUNTIFS('APS Tubes IMPORT'!V74:V259, AG75, 'APS Tubes IMPORT'!H74:H259, "Null")
</f>
        <v>0</v>
      </c>
      <c r="AN75" s="43"/>
      <c r="AO75" s="12">
        <f>'APS Tubes by Date IMPORT'!B74</f>
        <v>44908</v>
      </c>
      <c r="AP75" s="54">
        <f>'APS Tubes by Date IMPORT'!D74</f>
        <v>5</v>
      </c>
      <c r="AQ75" s="54">
        <f>'APS Tubes by Date IMPORT'!E74</f>
        <v>0</v>
      </c>
      <c r="AR75" s="54">
        <f>'APS Tubes by Date IMPORT'!F74</f>
        <v>0</v>
      </c>
      <c r="AS75" s="54">
        <f>'APS Tubes by Date IMPORT'!G74</f>
        <v>0</v>
      </c>
      <c r="AT75" s="54">
        <f>'APS Tubes by Date IMPORT'!G74</f>
        <v>0</v>
      </c>
      <c r="AU75" s="43"/>
    </row>
    <row r="76">
      <c r="A76" s="7" t="s">
        <v>101</v>
      </c>
      <c r="B76" s="46">
        <f>VLOOKUP(A76,'ALL Tube Results'!$B$2:$D259,2,FALSE)</f>
        <v>44907</v>
      </c>
      <c r="C76" s="47">
        <f>COUNTIF('ALL Tube Results'!B75:B259, A76)
</f>
        <v>2</v>
      </c>
      <c r="D76" s="48">
        <f>COUNTIFS('ALL Tube Results'!$B75:$B259, $A76, 'ALL Tube Results'!$F75:$F259, "Negative")
</f>
        <v>2</v>
      </c>
      <c r="E76" s="48">
        <f>COUNTIFS('ALL Tube Results'!$B75:$B259, $A76, 'ALL Tube Results'!$F75:$F259, "Positive")
</f>
        <v>0</v>
      </c>
      <c r="F76" s="48">
        <f>COUNTIFS('ALL Tube Results'!$B75:$B259, $A76, 'ALL Tube Results'!$F75:$F259, "Inconclusive")
</f>
        <v>0</v>
      </c>
      <c r="G76" s="49">
        <f t="shared" si="7"/>
        <v>2</v>
      </c>
      <c r="H76" s="49" t="str">
        <f t="shared" si="8"/>
        <v/>
      </c>
      <c r="I76" s="50">
        <f t="shared" si="9"/>
        <v>2</v>
      </c>
      <c r="J76" s="51">
        <f t="shared" si="10"/>
        <v>0</v>
      </c>
      <c r="K76" s="51">
        <f t="shared" si="11"/>
        <v>0</v>
      </c>
      <c r="L76" s="51" t="str">
        <f t="shared" si="12"/>
        <v/>
      </c>
      <c r="M76" s="51" t="str">
        <f t="shared" si="13"/>
        <v/>
      </c>
      <c r="N76" s="51" t="str">
        <f t="shared" si="14"/>
        <v/>
      </c>
      <c r="O76" s="52">
        <f t="shared" si="15"/>
        <v>2</v>
      </c>
      <c r="P76" s="52" t="str">
        <f t="shared" si="16"/>
        <v/>
      </c>
      <c r="Q76" s="43"/>
      <c r="R76" s="7" t="s">
        <v>101</v>
      </c>
      <c r="S76" s="12">
        <v>44907.0</v>
      </c>
      <c r="T76" s="54">
        <f>VLOOKUP(R76,'Run Reconcile'!$A$2:$L259,12,FALSE)</f>
        <v>2</v>
      </c>
      <c r="U76" s="55" t="str">
        <f t="shared" si="17"/>
        <v/>
      </c>
      <c r="V76" s="54"/>
      <c r="W76" s="54"/>
      <c r="X76" s="43"/>
      <c r="Y76" s="7" t="str">
        <f>IFERROR(__xludf.DUMMYFUNCTION("""COMPUTED_VALUE"""),"RUN-ABRM_2022-12-12_RFR-107")</f>
        <v>RUN-ABRM_2022-12-12_RFR-107</v>
      </c>
      <c r="Z76" s="12">
        <f>IFERROR(__xludf.DUMMYFUNCTION("""COMPUTED_VALUE"""),44907.0)</f>
        <v>44907</v>
      </c>
      <c r="AA76" s="50">
        <f t="array" ref="AA76">INDEX('RFR Data - preExcl'!AK$2:AK259,$AE76,1)</f>
        <v>2</v>
      </c>
      <c r="AB76" s="54">
        <f t="shared" si="18"/>
        <v>2</v>
      </c>
      <c r="AC76" s="54">
        <f t="array" ref="AC76">INDEX('RFR Data - preExcl'!AI$2:AI259,$AE76,1)</f>
        <v>0</v>
      </c>
      <c r="AD76" s="54">
        <f t="array" ref="AD76">INDEX('RFR Data - preExcl'!AF$2:AF259,$AE76,1)</f>
        <v>0</v>
      </c>
      <c r="AE76" s="56">
        <f>IFNA(MATCH(Y76,'RFR Data - preExcl'!A$2:A259,0),"")</f>
        <v>107</v>
      </c>
      <c r="AF76" s="43"/>
      <c r="AG76" s="7" t="s">
        <v>101</v>
      </c>
      <c r="AH76" s="46">
        <f>VLOOKUP(AG76,'Run Reconcile'!A$2:B259,2,FALSE)</f>
        <v>44907</v>
      </c>
      <c r="AI76" s="54">
        <f>COUNTIF('APS Tubes IMPORT'!$V$2:$V259, AG76)
</f>
        <v>2</v>
      </c>
      <c r="AJ76" s="54">
        <f>COUNTIFS('APS Tubes IMPORT'!V$2:V259, AG76, 'APS Tubes IMPORT'!H$2:H259, "Negative")
</f>
        <v>2</v>
      </c>
      <c r="AK76" s="54">
        <f>COUNTIFS('APS Tubes IMPORT'!V75:V259, AG76, 'APS Tubes IMPORT'!H75:H259, "Positive")
</f>
        <v>0</v>
      </c>
      <c r="AL76" s="54">
        <f>COUNTIFS('APS Tubes IMPORT'!V75:V259, AG76, 'APS Tubes IMPORT'!H75:H259, "Inconclusive")
</f>
        <v>0</v>
      </c>
      <c r="AM76" s="54">
        <f>COUNTIFS('APS Tubes IMPORT'!V75:V259, AG76, 'APS Tubes IMPORT'!H75:H259, "Null")
</f>
        <v>0</v>
      </c>
      <c r="AN76" s="43"/>
      <c r="AO76" s="12">
        <f>'APS Tubes by Date IMPORT'!B75</f>
        <v>44911</v>
      </c>
      <c r="AP76" s="54">
        <f>'APS Tubes by Date IMPORT'!D75</f>
        <v>3</v>
      </c>
      <c r="AQ76" s="54">
        <f>'APS Tubes by Date IMPORT'!E75</f>
        <v>0</v>
      </c>
      <c r="AR76" s="54">
        <f>'APS Tubes by Date IMPORT'!F75</f>
        <v>0</v>
      </c>
      <c r="AS76" s="54">
        <f>'APS Tubes by Date IMPORT'!G75</f>
        <v>0</v>
      </c>
      <c r="AT76" s="54">
        <f>'APS Tubes by Date IMPORT'!G75</f>
        <v>0</v>
      </c>
      <c r="AU76" s="43"/>
    </row>
    <row r="77">
      <c r="A77" s="7" t="s">
        <v>102</v>
      </c>
      <c r="B77" s="46">
        <f>VLOOKUP(A77,'ALL Tube Results'!$B$2:$D259,2,FALSE)</f>
        <v>44908</v>
      </c>
      <c r="C77" s="47">
        <f>COUNTIF('ALL Tube Results'!B76:B259, A77)
</f>
        <v>5</v>
      </c>
      <c r="D77" s="48">
        <f>COUNTIFS('ALL Tube Results'!$B76:$B259, $A77, 'ALL Tube Results'!$F76:$F259, "Negative")
</f>
        <v>5</v>
      </c>
      <c r="E77" s="48">
        <f>COUNTIFS('ALL Tube Results'!$B76:$B259, $A77, 'ALL Tube Results'!$F76:$F259, "Positive")
</f>
        <v>0</v>
      </c>
      <c r="F77" s="48">
        <f>COUNTIFS('ALL Tube Results'!$B76:$B259, $A77, 'ALL Tube Results'!$F76:$F259, "Inconclusive")
</f>
        <v>0</v>
      </c>
      <c r="G77" s="49">
        <f t="shared" si="7"/>
        <v>5</v>
      </c>
      <c r="H77" s="49" t="str">
        <f t="shared" si="8"/>
        <v/>
      </c>
      <c r="I77" s="50">
        <f t="shared" si="9"/>
        <v>5</v>
      </c>
      <c r="J77" s="51">
        <f t="shared" si="10"/>
        <v>0</v>
      </c>
      <c r="K77" s="51">
        <f t="shared" si="11"/>
        <v>0</v>
      </c>
      <c r="L77" s="51" t="str">
        <f t="shared" si="12"/>
        <v/>
      </c>
      <c r="M77" s="51" t="str">
        <f t="shared" si="13"/>
        <v/>
      </c>
      <c r="N77" s="51" t="str">
        <f t="shared" si="14"/>
        <v/>
      </c>
      <c r="O77" s="52">
        <f t="shared" si="15"/>
        <v>5</v>
      </c>
      <c r="P77" s="52" t="str">
        <f t="shared" si="16"/>
        <v/>
      </c>
      <c r="Q77" s="43"/>
      <c r="R77" s="7" t="s">
        <v>102</v>
      </c>
      <c r="S77" s="12">
        <v>44908.0</v>
      </c>
      <c r="T77" s="54">
        <f>VLOOKUP(R77,'Run Reconcile'!$A$2:$L259,12,FALSE)</f>
        <v>5</v>
      </c>
      <c r="U77" s="55" t="str">
        <f t="shared" si="17"/>
        <v/>
      </c>
      <c r="V77" s="54"/>
      <c r="W77" s="54"/>
      <c r="X77" s="43"/>
      <c r="Y77" s="7" t="str">
        <f>IFERROR(__xludf.DUMMYFUNCTION("""COMPUTED_VALUE"""),"RUN-ABRM_2022-12-13_RFR-108")</f>
        <v>RUN-ABRM_2022-12-13_RFR-108</v>
      </c>
      <c r="Z77" s="12">
        <f>IFERROR(__xludf.DUMMYFUNCTION("""COMPUTED_VALUE"""),44908.0)</f>
        <v>44908</v>
      </c>
      <c r="AA77" s="50">
        <f t="array" ref="AA77">INDEX('RFR Data - preExcl'!AK$2:AK259,$AE77,1)</f>
        <v>5</v>
      </c>
      <c r="AB77" s="54">
        <f t="shared" si="18"/>
        <v>5</v>
      </c>
      <c r="AC77" s="54">
        <f t="array" ref="AC77">INDEX('RFR Data - preExcl'!AI$2:AI259,$AE77,1)</f>
        <v>0</v>
      </c>
      <c r="AD77" s="54">
        <f t="array" ref="AD77">INDEX('RFR Data - preExcl'!AF$2:AF259,$AE77,1)</f>
        <v>0</v>
      </c>
      <c r="AE77" s="56">
        <f>IFNA(MATCH(Y77,'RFR Data - preExcl'!A$2:A259,0),"")</f>
        <v>108</v>
      </c>
      <c r="AF77" s="43"/>
      <c r="AG77" s="58" t="s">
        <v>102</v>
      </c>
      <c r="AH77" s="46">
        <f>VLOOKUP(AG77,'Run Reconcile'!A$2:B259,2,FALSE)</f>
        <v>44908</v>
      </c>
      <c r="AI77" s="54">
        <f>COUNTIF('APS Tubes IMPORT'!$V$2:$V259, AG77)
</f>
        <v>5</v>
      </c>
      <c r="AJ77" s="54">
        <f>COUNTIFS('APS Tubes IMPORT'!V$2:V259, AG77, 'APS Tubes IMPORT'!H$2:H259, "Negative")
</f>
        <v>5</v>
      </c>
      <c r="AK77" s="54">
        <f>COUNTIFS('APS Tubes IMPORT'!V76:V259, AG77, 'APS Tubes IMPORT'!H76:H259, "Positive")
</f>
        <v>0</v>
      </c>
      <c r="AL77" s="54">
        <f>COUNTIFS('APS Tubes IMPORT'!V76:V259, AG77, 'APS Tubes IMPORT'!H76:H259, "Inconclusive")
</f>
        <v>0</v>
      </c>
      <c r="AM77" s="54">
        <f>COUNTIFS('APS Tubes IMPORT'!V76:V259, AG77, 'APS Tubes IMPORT'!H76:H259, "Null")
</f>
        <v>0</v>
      </c>
      <c r="AN77" s="43"/>
      <c r="AO77" s="12">
        <f>'APS Tubes by Date IMPORT'!B76</f>
        <v>44914</v>
      </c>
      <c r="AP77" s="54">
        <f>'APS Tubes by Date IMPORT'!D76</f>
        <v>5</v>
      </c>
      <c r="AQ77" s="54">
        <f>'APS Tubes by Date IMPORT'!E76</f>
        <v>0</v>
      </c>
      <c r="AR77" s="54">
        <f>'APS Tubes by Date IMPORT'!F76</f>
        <v>0</v>
      </c>
      <c r="AS77" s="54">
        <f>'APS Tubes by Date IMPORT'!G76</f>
        <v>0</v>
      </c>
      <c r="AT77" s="54">
        <f>'APS Tubes by Date IMPORT'!G76</f>
        <v>0</v>
      </c>
      <c r="AU77" s="43"/>
    </row>
    <row r="78">
      <c r="A78" s="7" t="s">
        <v>103</v>
      </c>
      <c r="B78" s="46">
        <f>VLOOKUP(A78,'ALL Tube Results'!$B$2:$D259,2,FALSE)</f>
        <v>44911</v>
      </c>
      <c r="C78" s="47">
        <f>COUNTIF('ALL Tube Results'!B77:B259, A78)
</f>
        <v>3</v>
      </c>
      <c r="D78" s="48">
        <f>COUNTIFS('ALL Tube Results'!$B77:$B259, $A78, 'ALL Tube Results'!$F77:$F259, "Negative")
</f>
        <v>3</v>
      </c>
      <c r="E78" s="48">
        <f>COUNTIFS('ALL Tube Results'!$B77:$B259, $A78, 'ALL Tube Results'!$F77:$F259, "Positive")
</f>
        <v>0</v>
      </c>
      <c r="F78" s="48">
        <f>COUNTIFS('ALL Tube Results'!$B77:$B259, $A78, 'ALL Tube Results'!$F77:$F259, "Inconclusive")
</f>
        <v>0</v>
      </c>
      <c r="G78" s="49">
        <f t="shared" si="7"/>
        <v>3</v>
      </c>
      <c r="H78" s="49" t="str">
        <f t="shared" si="8"/>
        <v/>
      </c>
      <c r="I78" s="50">
        <f t="shared" si="9"/>
        <v>3</v>
      </c>
      <c r="J78" s="51">
        <f t="shared" si="10"/>
        <v>0</v>
      </c>
      <c r="K78" s="51">
        <f t="shared" si="11"/>
        <v>0</v>
      </c>
      <c r="L78" s="51" t="str">
        <f t="shared" si="12"/>
        <v/>
      </c>
      <c r="M78" s="51" t="str">
        <f t="shared" si="13"/>
        <v/>
      </c>
      <c r="N78" s="51" t="str">
        <f t="shared" si="14"/>
        <v/>
      </c>
      <c r="O78" s="52">
        <f t="shared" si="15"/>
        <v>3</v>
      </c>
      <c r="P78" s="52" t="str">
        <f t="shared" si="16"/>
        <v/>
      </c>
      <c r="Q78" s="43"/>
      <c r="R78" s="7" t="s">
        <v>103</v>
      </c>
      <c r="S78" s="12">
        <v>44911.0</v>
      </c>
      <c r="T78" s="54">
        <f>VLOOKUP(R78,'Run Reconcile'!$A$2:$L259,12,FALSE)</f>
        <v>3</v>
      </c>
      <c r="U78" s="55" t="str">
        <f t="shared" si="17"/>
        <v/>
      </c>
      <c r="V78" s="54"/>
      <c r="W78" s="54"/>
      <c r="X78" s="43"/>
      <c r="Y78" s="7" t="str">
        <f>IFERROR(__xludf.DUMMYFUNCTION("""COMPUTED_VALUE"""),"RUN-ABRM_2022-12-16_RFR-109")</f>
        <v>RUN-ABRM_2022-12-16_RFR-109</v>
      </c>
      <c r="Z78" s="12">
        <f>IFERROR(__xludf.DUMMYFUNCTION("""COMPUTED_VALUE"""),44911.0)</f>
        <v>44911</v>
      </c>
      <c r="AA78" s="50">
        <f t="array" ref="AA78">INDEX('RFR Data - preExcl'!AK$2:AK259,$AE78,1)</f>
        <v>3</v>
      </c>
      <c r="AB78" s="54">
        <f t="shared" si="18"/>
        <v>3</v>
      </c>
      <c r="AC78" s="54">
        <f t="array" ref="AC78">INDEX('RFR Data - preExcl'!AI$2:AI259,$AE78,1)</f>
        <v>0</v>
      </c>
      <c r="AD78" s="54">
        <f t="array" ref="AD78">INDEX('RFR Data - preExcl'!AF$2:AF259,$AE78,1)</f>
        <v>0</v>
      </c>
      <c r="AE78" s="56">
        <f>IFNA(MATCH(Y78,'RFR Data - preExcl'!A$2:A259,0),"")</f>
        <v>109</v>
      </c>
      <c r="AF78" s="43"/>
      <c r="AG78" s="58" t="s">
        <v>103</v>
      </c>
      <c r="AH78" s="46">
        <f>VLOOKUP(AG78,'Run Reconcile'!A$2:B259,2,FALSE)</f>
        <v>44911</v>
      </c>
      <c r="AI78" s="54">
        <f>COUNTIF('APS Tubes IMPORT'!$V$2:$V259, AG78)
</f>
        <v>3</v>
      </c>
      <c r="AJ78" s="54">
        <f>COUNTIFS('APS Tubes IMPORT'!V$2:V259, AG78, 'APS Tubes IMPORT'!H$2:H259, "Negative")
</f>
        <v>3</v>
      </c>
      <c r="AK78" s="54">
        <f>COUNTIFS('APS Tubes IMPORT'!V77:V259, AG78, 'APS Tubes IMPORT'!H77:H259, "Positive")
</f>
        <v>0</v>
      </c>
      <c r="AL78" s="54">
        <f>COUNTIFS('APS Tubes IMPORT'!V77:V259, AG78, 'APS Tubes IMPORT'!H77:H259, "Inconclusive")
</f>
        <v>0</v>
      </c>
      <c r="AM78" s="54">
        <f>COUNTIFS('APS Tubes IMPORT'!V77:V259, AG78, 'APS Tubes IMPORT'!H77:H259, "Null")
</f>
        <v>0</v>
      </c>
      <c r="AN78" s="43"/>
      <c r="AO78" s="12">
        <f>'APS Tubes by Date IMPORT'!B77</f>
        <v>44915</v>
      </c>
      <c r="AP78" s="54">
        <f>'APS Tubes by Date IMPORT'!D77</f>
        <v>7</v>
      </c>
      <c r="AQ78" s="54">
        <f>'APS Tubes by Date IMPORT'!E77</f>
        <v>2</v>
      </c>
      <c r="AR78" s="54">
        <f>'APS Tubes by Date IMPORT'!F77</f>
        <v>0</v>
      </c>
      <c r="AS78" s="54">
        <f>'APS Tubes by Date IMPORT'!G77</f>
        <v>0</v>
      </c>
      <c r="AT78" s="54">
        <f>'APS Tubes by Date IMPORT'!G77</f>
        <v>0</v>
      </c>
      <c r="AU78" s="43"/>
    </row>
    <row r="79">
      <c r="A79" s="7" t="s">
        <v>104</v>
      </c>
      <c r="B79" s="46">
        <f>VLOOKUP(A79,'ALL Tube Results'!$B$2:$D259,2,FALSE)</f>
        <v>44914</v>
      </c>
      <c r="C79" s="47">
        <f>COUNTIF('ALL Tube Results'!B78:B259, A79)
</f>
        <v>5</v>
      </c>
      <c r="D79" s="48">
        <f>COUNTIFS('ALL Tube Results'!$B78:$B259, $A79, 'ALL Tube Results'!$F78:$F259, "Negative")
</f>
        <v>5</v>
      </c>
      <c r="E79" s="48">
        <f>COUNTIFS('ALL Tube Results'!$B78:$B259, $A79, 'ALL Tube Results'!$F78:$F259, "Positive")
</f>
        <v>0</v>
      </c>
      <c r="F79" s="48">
        <f>COUNTIFS('ALL Tube Results'!$B78:$B259, $A79, 'ALL Tube Results'!$F78:$F259, "Inconclusive")
</f>
        <v>0</v>
      </c>
      <c r="G79" s="49">
        <f t="shared" si="7"/>
        <v>5</v>
      </c>
      <c r="H79" s="49" t="str">
        <f t="shared" si="8"/>
        <v/>
      </c>
      <c r="I79" s="50">
        <f t="shared" si="9"/>
        <v>5</v>
      </c>
      <c r="J79" s="51">
        <f t="shared" si="10"/>
        <v>0</v>
      </c>
      <c r="K79" s="51">
        <f t="shared" si="11"/>
        <v>0</v>
      </c>
      <c r="L79" s="51" t="str">
        <f t="shared" si="12"/>
        <v/>
      </c>
      <c r="M79" s="51" t="str">
        <f t="shared" si="13"/>
        <v/>
      </c>
      <c r="N79" s="51" t="str">
        <f t="shared" si="14"/>
        <v/>
      </c>
      <c r="O79" s="52">
        <f t="shared" si="15"/>
        <v>5</v>
      </c>
      <c r="P79" s="52" t="str">
        <f t="shared" si="16"/>
        <v/>
      </c>
      <c r="Q79" s="43"/>
      <c r="R79" s="7" t="s">
        <v>104</v>
      </c>
      <c r="S79" s="12">
        <v>44914.0</v>
      </c>
      <c r="T79" s="54">
        <f>VLOOKUP(R79,'Run Reconcile'!$A$2:$L259,12,FALSE)</f>
        <v>5</v>
      </c>
      <c r="U79" s="55" t="str">
        <f t="shared" si="17"/>
        <v/>
      </c>
      <c r="V79" s="54"/>
      <c r="W79" s="54"/>
      <c r="X79" s="43"/>
      <c r="Y79" s="7" t="str">
        <f>IFERROR(__xludf.DUMMYFUNCTION("""COMPUTED_VALUE"""),"RUN-ABRM_2022-12-19_RFR-110")</f>
        <v>RUN-ABRM_2022-12-19_RFR-110</v>
      </c>
      <c r="Z79" s="12">
        <f>IFERROR(__xludf.DUMMYFUNCTION("""COMPUTED_VALUE"""),44914.0)</f>
        <v>44914</v>
      </c>
      <c r="AA79" s="50">
        <f t="array" ref="AA79">INDEX('RFR Data - preExcl'!AK$2:AK259,$AE79,1)</f>
        <v>5</v>
      </c>
      <c r="AB79" s="54">
        <f t="shared" si="18"/>
        <v>5</v>
      </c>
      <c r="AC79" s="54">
        <f t="array" ref="AC79">INDEX('RFR Data - preExcl'!AI$2:AI259,$AE79,1)</f>
        <v>0</v>
      </c>
      <c r="AD79" s="54">
        <f t="array" ref="AD79">INDEX('RFR Data - preExcl'!AF$2:AF259,$AE79,1)</f>
        <v>0</v>
      </c>
      <c r="AE79" s="56">
        <f>IFNA(MATCH(Y79,'RFR Data - preExcl'!A$2:A259,0),"")</f>
        <v>110</v>
      </c>
      <c r="AF79" s="43"/>
      <c r="AG79" s="58" t="s">
        <v>104</v>
      </c>
      <c r="AH79" s="46">
        <f>VLOOKUP(AG79,'Run Reconcile'!A$2:B259,2,FALSE)</f>
        <v>44914</v>
      </c>
      <c r="AI79" s="54">
        <f>COUNTIF('APS Tubes IMPORT'!$V$2:$V259, AG79)
</f>
        <v>5</v>
      </c>
      <c r="AJ79" s="54">
        <f>COUNTIFS('APS Tubes IMPORT'!V$2:V259, AG79, 'APS Tubes IMPORT'!H$2:H259, "Negative")
</f>
        <v>5</v>
      </c>
      <c r="AK79" s="54">
        <f>COUNTIFS('APS Tubes IMPORT'!V78:V259, AG79, 'APS Tubes IMPORT'!H78:H259, "Positive")
</f>
        <v>0</v>
      </c>
      <c r="AL79" s="54">
        <f>COUNTIFS('APS Tubes IMPORT'!V78:V259, AG79, 'APS Tubes IMPORT'!H78:H259, "Inconclusive")
</f>
        <v>0</v>
      </c>
      <c r="AM79" s="54">
        <f>COUNTIFS('APS Tubes IMPORT'!V78:V259, AG79, 'APS Tubes IMPORT'!H78:H259, "Null")
</f>
        <v>0</v>
      </c>
      <c r="AN79" s="43"/>
      <c r="AO79" s="12">
        <f>'APS Tubes by Date IMPORT'!B78</f>
        <v>44916</v>
      </c>
      <c r="AP79" s="54">
        <f>'APS Tubes by Date IMPORT'!D78</f>
        <v>6</v>
      </c>
      <c r="AQ79" s="54">
        <f>'APS Tubes by Date IMPORT'!E78</f>
        <v>0</v>
      </c>
      <c r="AR79" s="54">
        <f>'APS Tubes by Date IMPORT'!F78</f>
        <v>0</v>
      </c>
      <c r="AS79" s="54">
        <f>'APS Tubes by Date IMPORT'!G78</f>
        <v>0</v>
      </c>
      <c r="AT79" s="54">
        <f>'APS Tubes by Date IMPORT'!G78</f>
        <v>0</v>
      </c>
      <c r="AU79" s="43"/>
    </row>
    <row r="80">
      <c r="A80" s="7" t="s">
        <v>105</v>
      </c>
      <c r="B80" s="46">
        <f>VLOOKUP(A80,'ALL Tube Results'!$B$2:$D259,2,FALSE)</f>
        <v>44915</v>
      </c>
      <c r="C80" s="47">
        <f>COUNTIF('ALL Tube Results'!B79:B259, A80)
</f>
        <v>9</v>
      </c>
      <c r="D80" s="48">
        <f>COUNTIFS('ALL Tube Results'!$B79:$B259, $A80, 'ALL Tube Results'!$F79:$F259, "Negative")
</f>
        <v>7</v>
      </c>
      <c r="E80" s="48">
        <f>COUNTIFS('ALL Tube Results'!$B79:$B259, $A80, 'ALL Tube Results'!$F79:$F259, "Positive")
</f>
        <v>2</v>
      </c>
      <c r="F80" s="48">
        <f>COUNTIFS('ALL Tube Results'!$B79:$B259, $A80, 'ALL Tube Results'!$F79:$F259, "Inconclusive")
</f>
        <v>0</v>
      </c>
      <c r="G80" s="49">
        <f t="shared" si="7"/>
        <v>9</v>
      </c>
      <c r="H80" s="49" t="str">
        <f t="shared" si="8"/>
        <v/>
      </c>
      <c r="I80" s="50">
        <f t="shared" si="9"/>
        <v>9</v>
      </c>
      <c r="J80" s="51">
        <f t="shared" si="10"/>
        <v>2</v>
      </c>
      <c r="K80" s="51">
        <f t="shared" si="11"/>
        <v>0</v>
      </c>
      <c r="L80" s="51" t="str">
        <f t="shared" si="12"/>
        <v/>
      </c>
      <c r="M80" s="51" t="str">
        <f t="shared" si="13"/>
        <v/>
      </c>
      <c r="N80" s="51" t="str">
        <f t="shared" si="14"/>
        <v/>
      </c>
      <c r="O80" s="52">
        <f t="shared" si="15"/>
        <v>9</v>
      </c>
      <c r="P80" s="52" t="str">
        <f t="shared" si="16"/>
        <v/>
      </c>
      <c r="Q80" s="43"/>
      <c r="R80" s="7" t="s">
        <v>105</v>
      </c>
      <c r="S80" s="12">
        <v>44915.0</v>
      </c>
      <c r="T80" s="54">
        <f>VLOOKUP(R80,'Run Reconcile'!$A$2:$L259,12,FALSE)</f>
        <v>9</v>
      </c>
      <c r="U80" s="55" t="str">
        <f t="shared" si="17"/>
        <v/>
      </c>
      <c r="V80" s="54"/>
      <c r="W80" s="54"/>
      <c r="X80" s="43"/>
      <c r="Y80" s="7" t="str">
        <f>IFERROR(__xludf.DUMMYFUNCTION("""COMPUTED_VALUE"""),"RUN-ABRM_2022-12-20_RFR-112")</f>
        <v>RUN-ABRM_2022-12-20_RFR-112</v>
      </c>
      <c r="Z80" s="12">
        <f>IFERROR(__xludf.DUMMYFUNCTION("""COMPUTED_VALUE"""),44915.0)</f>
        <v>44915</v>
      </c>
      <c r="AA80" s="50">
        <f t="array" ref="AA80">INDEX('RFR Data - preExcl'!AK$2:AK259,$AE80,1)</f>
        <v>9</v>
      </c>
      <c r="AB80" s="54">
        <f t="shared" si="18"/>
        <v>7</v>
      </c>
      <c r="AC80" s="54">
        <f t="array" ref="AC80">INDEX('RFR Data - preExcl'!AI$2:AI259,$AE80,1)</f>
        <v>2</v>
      </c>
      <c r="AD80" s="54">
        <f t="array" ref="AD80">INDEX('RFR Data - preExcl'!AF$2:AF259,$AE80,1)</f>
        <v>0</v>
      </c>
      <c r="AE80" s="56">
        <f>IFNA(MATCH(Y80,'RFR Data - preExcl'!A$2:A259,0),"")</f>
        <v>112</v>
      </c>
      <c r="AF80" s="43"/>
      <c r="AG80" s="58" t="s">
        <v>105</v>
      </c>
      <c r="AH80" s="46">
        <f>VLOOKUP(AG80,'Run Reconcile'!A$2:B259,2,FALSE)</f>
        <v>44915</v>
      </c>
      <c r="AI80" s="54">
        <f>COUNTIF('APS Tubes IMPORT'!$V$2:$V259, AG80)
</f>
        <v>9</v>
      </c>
      <c r="AJ80" s="54">
        <f>COUNTIFS('APS Tubes IMPORT'!V$2:V259, AG80, 'APS Tubes IMPORT'!H$2:H259, "Negative")
</f>
        <v>7</v>
      </c>
      <c r="AK80" s="54">
        <f>COUNTIFS('APS Tubes IMPORT'!V79:V259, AG80, 'APS Tubes IMPORT'!H79:H259, "Positive")
</f>
        <v>2</v>
      </c>
      <c r="AL80" s="54">
        <f>COUNTIFS('APS Tubes IMPORT'!V79:V259, AG80, 'APS Tubes IMPORT'!H79:H259, "Inconclusive")
</f>
        <v>0</v>
      </c>
      <c r="AM80" s="54">
        <f>COUNTIFS('APS Tubes IMPORT'!V79:V259, AG80, 'APS Tubes IMPORT'!H79:H259, "Null")
</f>
        <v>0</v>
      </c>
      <c r="AN80" s="43"/>
      <c r="AP80" s="54"/>
      <c r="AQ80" s="54"/>
      <c r="AR80" s="54"/>
      <c r="AS80" s="54"/>
      <c r="AU80" s="43"/>
    </row>
    <row r="81">
      <c r="A81" s="7" t="s">
        <v>106</v>
      </c>
      <c r="B81" s="46">
        <f>VLOOKUP(A81,'ALL Tube Results'!$B$2:$D259,2,FALSE)</f>
        <v>44916</v>
      </c>
      <c r="C81" s="47">
        <f>COUNTIF('ALL Tube Results'!B80:B259, A81)
</f>
        <v>1</v>
      </c>
      <c r="D81" s="48">
        <f>COUNTIFS('ALL Tube Results'!$B80:$B259, $A81, 'ALL Tube Results'!$F80:$F259, "Negative")
</f>
        <v>1</v>
      </c>
      <c r="E81" s="48">
        <f>COUNTIFS('ALL Tube Results'!$B80:$B259, $A81, 'ALL Tube Results'!$F80:$F259, "Positive")
</f>
        <v>0</v>
      </c>
      <c r="F81" s="48">
        <f>COUNTIFS('ALL Tube Results'!$B80:$B259, $A81, 'ALL Tube Results'!$F80:$F259, "Inconclusive")
</f>
        <v>0</v>
      </c>
      <c r="G81" s="49">
        <f t="shared" si="7"/>
        <v>1</v>
      </c>
      <c r="H81" s="49" t="str">
        <f t="shared" si="8"/>
        <v/>
      </c>
      <c r="I81" s="50" t="str">
        <f t="shared" si="9"/>
        <v/>
      </c>
      <c r="J81" s="51" t="str">
        <f t="shared" si="10"/>
        <v/>
      </c>
      <c r="K81" s="51" t="str">
        <f t="shared" si="11"/>
        <v/>
      </c>
      <c r="L81" s="51">
        <f t="shared" si="12"/>
        <v>1</v>
      </c>
      <c r="M81" s="51" t="str">
        <f t="shared" si="13"/>
        <v/>
      </c>
      <c r="N81" s="51" t="str">
        <f t="shared" si="14"/>
        <v/>
      </c>
      <c r="O81" s="52">
        <f t="shared" si="15"/>
        <v>1</v>
      </c>
      <c r="P81" s="52" t="str">
        <f t="shared" si="16"/>
        <v/>
      </c>
      <c r="Q81" s="43"/>
      <c r="R81" s="7" t="s">
        <v>106</v>
      </c>
      <c r="S81" s="12">
        <v>44916.0</v>
      </c>
      <c r="T81" s="54">
        <f>VLOOKUP(R81,'Run Reconcile'!$A$2:$L259,12,FALSE)</f>
        <v>1</v>
      </c>
      <c r="U81" s="55" t="str">
        <f t="shared" si="17"/>
        <v/>
      </c>
      <c r="V81" s="54"/>
      <c r="W81" s="54"/>
      <c r="X81" s="43"/>
      <c r="Y81" s="7" t="str">
        <f>IFERROR(__xludf.DUMMYFUNCTION("""COMPUTED_VALUE"""),"RUN-ABRM_2022-12-21_RFR-113")</f>
        <v>RUN-ABRM_2022-12-21_RFR-113</v>
      </c>
      <c r="Z81" s="12">
        <f>IFERROR(__xludf.DUMMYFUNCTION("""COMPUTED_VALUE"""),44916.0)</f>
        <v>44916</v>
      </c>
      <c r="AA81" s="50">
        <f t="array" ref="AA81">INDEX('RFR Data - preExcl'!AK$2:AK259,$AE81,1)</f>
        <v>5</v>
      </c>
      <c r="AB81" s="54">
        <f t="shared" si="18"/>
        <v>5</v>
      </c>
      <c r="AC81" s="54">
        <f t="array" ref="AC81">INDEX('RFR Data - preExcl'!AI$2:AI259,$AE81,1)</f>
        <v>0</v>
      </c>
      <c r="AD81" s="54">
        <f t="array" ref="AD81">INDEX('RFR Data - preExcl'!AF$2:AF259,$AE81,1)</f>
        <v>0</v>
      </c>
      <c r="AE81" s="56">
        <f>IFNA(MATCH(Y81,'RFR Data - preExcl'!A$2:A259,0),"")</f>
        <v>113</v>
      </c>
      <c r="AF81" s="43"/>
      <c r="AG81" s="58" t="s">
        <v>106</v>
      </c>
      <c r="AH81" s="46">
        <f>VLOOKUP(AG81,'Run Reconcile'!A$2:B259,2,FALSE)</f>
        <v>44916</v>
      </c>
      <c r="AI81" s="54">
        <f>COUNTIF('APS Tubes IMPORT'!$V$2:$V259, AG81)
</f>
        <v>1</v>
      </c>
      <c r="AJ81" s="54">
        <f>COUNTIFS('APS Tubes IMPORT'!V$2:V259, AG81, 'APS Tubes IMPORT'!H$2:H259, "Negative")
</f>
        <v>1</v>
      </c>
      <c r="AK81" s="54">
        <f>COUNTIFS('APS Tubes IMPORT'!V80:V259, AG81, 'APS Tubes IMPORT'!H80:H259, "Positive")
</f>
        <v>0</v>
      </c>
      <c r="AL81" s="54">
        <f>COUNTIFS('APS Tubes IMPORT'!V80:V259, AG81, 'APS Tubes IMPORT'!H80:H259, "Inconclusive")
</f>
        <v>0</v>
      </c>
      <c r="AM81" s="54">
        <f>COUNTIFS('APS Tubes IMPORT'!V80:V259, AG81, 'APS Tubes IMPORT'!H80:H259, "Null")
</f>
        <v>0</v>
      </c>
      <c r="AN81" s="43"/>
      <c r="AP81" s="54"/>
      <c r="AQ81" s="54"/>
      <c r="AR81" s="54"/>
      <c r="AS81" s="54"/>
      <c r="AU81" s="43"/>
    </row>
    <row r="82">
      <c r="A82" s="7" t="s">
        <v>107</v>
      </c>
      <c r="B82" s="46">
        <f>VLOOKUP(A82,'ALL Tube Results'!$B$2:$D259,2,FALSE)</f>
        <v>44916</v>
      </c>
      <c r="C82" s="47">
        <f>COUNTIF('ALL Tube Results'!B81:B259, A82)
</f>
        <v>5</v>
      </c>
      <c r="D82" s="48">
        <f>COUNTIFS('ALL Tube Results'!$B81:$B259, $A82, 'ALL Tube Results'!$F81:$F259, "Negative")
</f>
        <v>5</v>
      </c>
      <c r="E82" s="48">
        <f>COUNTIFS('ALL Tube Results'!$B81:$B259, $A82, 'ALL Tube Results'!$F81:$F259, "Positive")
</f>
        <v>0</v>
      </c>
      <c r="F82" s="48">
        <f>COUNTIFS('ALL Tube Results'!$B81:$B259, $A82, 'ALL Tube Results'!$F81:$F259, "Inconclusive")
</f>
        <v>0</v>
      </c>
      <c r="G82" s="49">
        <f t="shared" si="7"/>
        <v>5</v>
      </c>
      <c r="H82" s="49" t="str">
        <f t="shared" si="8"/>
        <v/>
      </c>
      <c r="I82" s="50">
        <f t="shared" si="9"/>
        <v>5</v>
      </c>
      <c r="J82" s="51">
        <f t="shared" si="10"/>
        <v>0</v>
      </c>
      <c r="K82" s="51">
        <f t="shared" si="11"/>
        <v>0</v>
      </c>
      <c r="L82" s="51" t="str">
        <f t="shared" si="12"/>
        <v/>
      </c>
      <c r="M82" s="51" t="str">
        <f t="shared" si="13"/>
        <v/>
      </c>
      <c r="N82" s="51" t="str">
        <f t="shared" si="14"/>
        <v/>
      </c>
      <c r="O82" s="52">
        <f t="shared" si="15"/>
        <v>5</v>
      </c>
      <c r="P82" s="52" t="str">
        <f t="shared" si="16"/>
        <v/>
      </c>
      <c r="Q82" s="43"/>
      <c r="R82" s="7" t="s">
        <v>107</v>
      </c>
      <c r="S82" s="12">
        <v>44916.0</v>
      </c>
      <c r="T82" s="54">
        <f>VLOOKUP(R82,'Run Reconcile'!$A$2:$L259,12,FALSE)</f>
        <v>5</v>
      </c>
      <c r="U82" s="55" t="str">
        <f t="shared" si="17"/>
        <v/>
      </c>
      <c r="V82" s="54"/>
      <c r="W82" s="54"/>
      <c r="X82" s="43"/>
      <c r="Y82" s="7" t="str">
        <f>IFERROR(__xludf.DUMMYFUNCTION("""COMPUTED_VALUE"""),"RUN-ABRM_2022-12-22_RFR-114")</f>
        <v>RUN-ABRM_2022-12-22_RFR-114</v>
      </c>
      <c r="Z82" s="12">
        <f>IFERROR(__xludf.DUMMYFUNCTION("""COMPUTED_VALUE"""),44917.0)</f>
        <v>44917</v>
      </c>
      <c r="AA82" s="50">
        <f t="array" ref="AA82">INDEX('RFR Data - preExcl'!AK$2:AK259,$AE82,1)</f>
        <v>6</v>
      </c>
      <c r="AB82" s="54">
        <f t="shared" si="18"/>
        <v>6</v>
      </c>
      <c r="AC82" s="54">
        <f t="array" ref="AC82">INDEX('RFR Data - preExcl'!AI$2:AI259,$AE82,1)</f>
        <v>0</v>
      </c>
      <c r="AD82" s="54">
        <f t="array" ref="AD82">INDEX('RFR Data - preExcl'!AF$2:AF259,$AE82,1)</f>
        <v>0</v>
      </c>
      <c r="AE82" s="56">
        <f>IFNA(MATCH(Y82,'RFR Data - preExcl'!A$2:A259,0),"")</f>
        <v>114</v>
      </c>
      <c r="AF82" s="43"/>
      <c r="AG82" s="58" t="s">
        <v>107</v>
      </c>
      <c r="AH82" s="46">
        <f>VLOOKUP(AG82,'Run Reconcile'!A$2:B259,2,FALSE)</f>
        <v>44916</v>
      </c>
      <c r="AI82" s="54">
        <f>COUNTIF('APS Tubes IMPORT'!$V$2:$V259, AG82)
</f>
        <v>5</v>
      </c>
      <c r="AJ82" s="54">
        <f>COUNTIFS('APS Tubes IMPORT'!V$2:V259, AG82, 'APS Tubes IMPORT'!H$2:H259, "Negative")
</f>
        <v>5</v>
      </c>
      <c r="AK82" s="54">
        <f>COUNTIFS('APS Tubes IMPORT'!V81:V259, AG82, 'APS Tubes IMPORT'!H81:H259, "Positive")
</f>
        <v>0</v>
      </c>
      <c r="AL82" s="54">
        <f>COUNTIFS('APS Tubes IMPORT'!V81:V259, AG82, 'APS Tubes IMPORT'!H81:H259, "Inconclusive")
</f>
        <v>0</v>
      </c>
      <c r="AM82" s="54">
        <f>COUNTIFS('APS Tubes IMPORT'!V81:V259, AG82, 'APS Tubes IMPORT'!H81:H259, "Null")
</f>
        <v>0</v>
      </c>
      <c r="AN82" s="43"/>
      <c r="AP82" s="54"/>
      <c r="AQ82" s="54"/>
      <c r="AR82" s="54"/>
      <c r="AS82" s="54"/>
      <c r="AU82" s="43"/>
    </row>
    <row r="83">
      <c r="A83" s="7" t="s">
        <v>108</v>
      </c>
      <c r="B83" s="46">
        <f>VLOOKUP(A83,'ALL Tube Results'!$B$2:$D259,2,FALSE)</f>
        <v>44917</v>
      </c>
      <c r="C83" s="47">
        <f>COUNTIF('ALL Tube Results'!B82:B259, A83)
</f>
        <v>6</v>
      </c>
      <c r="D83" s="48">
        <f>COUNTIFS('ALL Tube Results'!$B82:$B259, $A83, 'ALL Tube Results'!$F82:$F259, "Negative")
</f>
        <v>6</v>
      </c>
      <c r="E83" s="48">
        <f>COUNTIFS('ALL Tube Results'!$B82:$B259, $A83, 'ALL Tube Results'!$F82:$F259, "Positive")
</f>
        <v>0</v>
      </c>
      <c r="F83" s="48">
        <f>COUNTIFS('ALL Tube Results'!$B82:$B259, $A83, 'ALL Tube Results'!$F82:$F259, "Inconclusive")
</f>
        <v>0</v>
      </c>
      <c r="G83" s="49">
        <f t="shared" si="7"/>
        <v>6</v>
      </c>
      <c r="H83" s="49" t="str">
        <f t="shared" si="8"/>
        <v/>
      </c>
      <c r="I83" s="50">
        <f t="shared" si="9"/>
        <v>6</v>
      </c>
      <c r="J83" s="51">
        <f t="shared" si="10"/>
        <v>0</v>
      </c>
      <c r="K83" s="51">
        <f t="shared" si="11"/>
        <v>0</v>
      </c>
      <c r="L83" s="51" t="str">
        <f t="shared" si="12"/>
        <v/>
      </c>
      <c r="M83" s="51" t="str">
        <f t="shared" si="13"/>
        <v/>
      </c>
      <c r="N83" s="59" t="str">
        <f t="shared" si="14"/>
        <v/>
      </c>
      <c r="O83" s="52">
        <f t="shared" si="15"/>
        <v>6</v>
      </c>
      <c r="P83" s="52" t="str">
        <f t="shared" si="16"/>
        <v/>
      </c>
      <c r="Q83" s="43"/>
      <c r="R83" s="7" t="s">
        <v>108</v>
      </c>
      <c r="S83" s="12">
        <v>44917.0</v>
      </c>
      <c r="T83" s="54">
        <f>VLOOKUP(R83,'Run Reconcile'!$A$2:$L259,12,FALSE)</f>
        <v>6</v>
      </c>
      <c r="U83" s="55" t="str">
        <f t="shared" si="17"/>
        <v/>
      </c>
      <c r="V83" s="54"/>
      <c r="W83" s="54"/>
      <c r="X83" s="43"/>
      <c r="Y83" s="7" t="str">
        <f>IFERROR(__xludf.DUMMYFUNCTION("""COMPUTED_VALUE"""),"RUN-ABRM_2023-01-02_RFR-117")</f>
        <v>RUN-ABRM_2023-01-02_RFR-117</v>
      </c>
      <c r="Z83" s="12">
        <f>IFERROR(__xludf.DUMMYFUNCTION("""COMPUTED_VALUE"""),44928.0)</f>
        <v>44928</v>
      </c>
      <c r="AA83" s="50">
        <f t="array" ref="AA83">INDEX('RFR Data - preExcl'!AK$2:AK259,$AE83,1)</f>
        <v>9</v>
      </c>
      <c r="AB83" s="54">
        <f t="shared" si="18"/>
        <v>9</v>
      </c>
      <c r="AC83" s="54">
        <f t="array" ref="AC83">INDEX('RFR Data - preExcl'!AI$2:AI259,$AE83,1)</f>
        <v>0</v>
      </c>
      <c r="AD83" s="54">
        <f t="array" ref="AD83">INDEX('RFR Data - preExcl'!AF$2:AF259,$AE83,1)</f>
        <v>0</v>
      </c>
      <c r="AE83" s="56">
        <f>IFNA(MATCH(Y83,'RFR Data - preExcl'!A$2:A259,0),"")</f>
        <v>117</v>
      </c>
      <c r="AF83" s="43"/>
      <c r="AG83" s="58" t="s">
        <v>108</v>
      </c>
      <c r="AH83" s="46">
        <f>VLOOKUP(AG83,'Run Reconcile'!A$2:B259,2,FALSE)</f>
        <v>44917</v>
      </c>
      <c r="AI83" s="54">
        <f>COUNTIF('APS Tubes IMPORT'!$V$2:$V259, AG83)
</f>
        <v>6</v>
      </c>
      <c r="AJ83" s="54">
        <f>COUNTIFS('APS Tubes IMPORT'!V$2:V259, AG83, 'APS Tubes IMPORT'!H$2:H259, "Negative")
</f>
        <v>6</v>
      </c>
      <c r="AK83" s="54">
        <f>COUNTIFS('APS Tubes IMPORT'!V82:V259, AG83, 'APS Tubes IMPORT'!H82:H259, "Positive")
</f>
        <v>0</v>
      </c>
      <c r="AL83" s="54">
        <f>COUNTIFS('APS Tubes IMPORT'!V82:V259, AG83, 'APS Tubes IMPORT'!H82:H259, "Inconclusive")
</f>
        <v>0</v>
      </c>
      <c r="AM83" s="54">
        <f>COUNTIFS('APS Tubes IMPORT'!V82:V259, AG83, 'APS Tubes IMPORT'!H82:H259, "Null")
</f>
        <v>0</v>
      </c>
      <c r="AN83" s="43"/>
      <c r="AP83" s="54"/>
      <c r="AQ83" s="54"/>
      <c r="AR83" s="54"/>
      <c r="AS83" s="54"/>
      <c r="AU83" s="43"/>
    </row>
    <row r="84">
      <c r="A84" s="7" t="s">
        <v>109</v>
      </c>
      <c r="B84" s="46">
        <f>VLOOKUP(A84,'ALL Tube Results'!$B$2:$D259,2,FALSE)</f>
        <v>44928</v>
      </c>
      <c r="C84" s="47">
        <f>COUNTIF('ALL Tube Results'!B83:B259, A84)
</f>
        <v>9</v>
      </c>
      <c r="D84" s="48">
        <f>COUNTIFS('ALL Tube Results'!$B83:$B259, $A84, 'ALL Tube Results'!$F83:$F259, "Negative")
</f>
        <v>9</v>
      </c>
      <c r="E84" s="48">
        <f>COUNTIFS('ALL Tube Results'!$B83:$B259, $A84, 'ALL Tube Results'!$F83:$F259, "Positive")
</f>
        <v>0</v>
      </c>
      <c r="F84" s="48">
        <f>COUNTIFS('ALL Tube Results'!$B83:$B259, $A84, 'ALL Tube Results'!$F83:$F259, "Inconclusive")
</f>
        <v>0</v>
      </c>
      <c r="G84" s="49">
        <f t="shared" si="7"/>
        <v>9</v>
      </c>
      <c r="H84" s="49" t="str">
        <f t="shared" si="8"/>
        <v/>
      </c>
      <c r="I84" s="50">
        <f t="shared" si="9"/>
        <v>9</v>
      </c>
      <c r="J84" s="51">
        <f t="shared" si="10"/>
        <v>0</v>
      </c>
      <c r="K84" s="51">
        <f t="shared" si="11"/>
        <v>0</v>
      </c>
      <c r="L84" s="51" t="str">
        <f t="shared" si="12"/>
        <v/>
      </c>
      <c r="M84" s="51" t="str">
        <f t="shared" si="13"/>
        <v/>
      </c>
      <c r="N84" s="51" t="str">
        <f t="shared" si="14"/>
        <v/>
      </c>
      <c r="O84" s="52">
        <f t="shared" si="15"/>
        <v>9</v>
      </c>
      <c r="P84" s="52" t="str">
        <f t="shared" si="16"/>
        <v/>
      </c>
      <c r="Q84" s="43"/>
      <c r="R84" s="7" t="s">
        <v>109</v>
      </c>
      <c r="S84" s="12">
        <v>44928.0</v>
      </c>
      <c r="T84" s="54">
        <f>VLOOKUP(R84,'Run Reconcile'!$A$2:$L259,12,FALSE)</f>
        <v>9</v>
      </c>
      <c r="U84" s="55" t="str">
        <f t="shared" si="17"/>
        <v/>
      </c>
      <c r="V84" s="54"/>
      <c r="W84" s="54"/>
      <c r="X84" s="43"/>
      <c r="Y84" s="7" t="str">
        <f>IFERROR(__xludf.DUMMYFUNCTION("""COMPUTED_VALUE"""),"RUN-ABRM_2023-01-03_RFR-118")</f>
        <v>RUN-ABRM_2023-01-03_RFR-118</v>
      </c>
      <c r="Z84" s="12">
        <f>IFERROR(__xludf.DUMMYFUNCTION("""COMPUTED_VALUE"""),44929.0)</f>
        <v>44929</v>
      </c>
      <c r="AA84" s="50">
        <f t="array" ref="AA84">INDEX('RFR Data - preExcl'!AK$2:AK259,$AE84,1)</f>
        <v>11</v>
      </c>
      <c r="AB84" s="54">
        <f t="shared" si="18"/>
        <v>11</v>
      </c>
      <c r="AC84" s="54">
        <f t="array" ref="AC84">INDEX('RFR Data - preExcl'!AI$2:AI259,$AE84,1)</f>
        <v>0</v>
      </c>
      <c r="AD84" s="54">
        <f t="array" ref="AD84">INDEX('RFR Data - preExcl'!AF$2:AF259,$AE84,1)</f>
        <v>0</v>
      </c>
      <c r="AE84" s="56">
        <f>IFNA(MATCH(Y84,'RFR Data - preExcl'!A$2:A259,0),"")</f>
        <v>118</v>
      </c>
      <c r="AF84" s="43"/>
      <c r="AG84" s="58" t="s">
        <v>109</v>
      </c>
      <c r="AH84" s="46">
        <f>VLOOKUP(AG84,'Run Reconcile'!A$2:B259,2,FALSE)</f>
        <v>44928</v>
      </c>
      <c r="AI84" s="54">
        <f>COUNTIF('APS Tubes IMPORT'!$V$2:$V259, AG84)
</f>
        <v>9</v>
      </c>
      <c r="AJ84" s="54">
        <f>COUNTIFS('APS Tubes IMPORT'!V$2:V259, AG84, 'APS Tubes IMPORT'!H$2:H259, "Negative")
</f>
        <v>9</v>
      </c>
      <c r="AK84" s="54">
        <f>COUNTIFS('APS Tubes IMPORT'!V83:V259, AG84, 'APS Tubes IMPORT'!H83:H259, "Positive")
</f>
        <v>0</v>
      </c>
      <c r="AL84" s="54">
        <f>COUNTIFS('APS Tubes IMPORT'!V83:V259, AG84, 'APS Tubes IMPORT'!H83:H259, "Inconclusive")
</f>
        <v>0</v>
      </c>
      <c r="AM84" s="54">
        <f>COUNTIFS('APS Tubes IMPORT'!V83:V259, AG84, 'APS Tubes IMPORT'!H83:H259, "Null")
</f>
        <v>0</v>
      </c>
      <c r="AN84" s="43"/>
      <c r="AP84" s="54"/>
      <c r="AQ84" s="54"/>
      <c r="AR84" s="54"/>
      <c r="AS84" s="54"/>
      <c r="AU84" s="43"/>
    </row>
    <row r="85">
      <c r="A85" s="7" t="s">
        <v>110</v>
      </c>
      <c r="B85" s="46">
        <f>VLOOKUP(A85,'ALL Tube Results'!$B$2:$D259,2,FALSE)</f>
        <v>44929</v>
      </c>
      <c r="C85" s="47">
        <f>COUNTIF('ALL Tube Results'!B84:B259, A85)
</f>
        <v>11</v>
      </c>
      <c r="D85" s="48">
        <f>COUNTIFS('ALL Tube Results'!$B84:$B259, $A85, 'ALL Tube Results'!$F84:$F259, "Negative")
</f>
        <v>11</v>
      </c>
      <c r="E85" s="48">
        <f>COUNTIFS('ALL Tube Results'!$B84:$B259, $A85, 'ALL Tube Results'!$F84:$F259, "Positive")
</f>
        <v>0</v>
      </c>
      <c r="F85" s="48">
        <f>COUNTIFS('ALL Tube Results'!$B84:$B259, $A85, 'ALL Tube Results'!$F84:$F259, "Inconclusive")
</f>
        <v>0</v>
      </c>
      <c r="G85" s="49">
        <f t="shared" si="7"/>
        <v>11</v>
      </c>
      <c r="H85" s="49" t="str">
        <f t="shared" si="8"/>
        <v/>
      </c>
      <c r="I85" s="50">
        <f t="shared" si="9"/>
        <v>11</v>
      </c>
      <c r="J85" s="51">
        <f t="shared" si="10"/>
        <v>0</v>
      </c>
      <c r="K85" s="51">
        <f t="shared" si="11"/>
        <v>0</v>
      </c>
      <c r="L85" s="51" t="str">
        <f t="shared" si="12"/>
        <v/>
      </c>
      <c r="M85" s="51" t="str">
        <f t="shared" si="13"/>
        <v/>
      </c>
      <c r="N85" s="51" t="str">
        <f t="shared" si="14"/>
        <v/>
      </c>
      <c r="O85" s="52">
        <f t="shared" si="15"/>
        <v>11</v>
      </c>
      <c r="P85" s="52" t="str">
        <f t="shared" si="16"/>
        <v/>
      </c>
      <c r="Q85" s="43"/>
      <c r="R85" s="7" t="s">
        <v>110</v>
      </c>
      <c r="S85" s="12">
        <v>44929.0</v>
      </c>
      <c r="T85" s="54">
        <f>VLOOKUP(R85,'Run Reconcile'!$A$2:$L259,12,FALSE)</f>
        <v>11</v>
      </c>
      <c r="U85" s="55" t="str">
        <f t="shared" si="17"/>
        <v/>
      </c>
      <c r="V85" s="54"/>
      <c r="W85" s="54"/>
      <c r="X85" s="43"/>
      <c r="Y85" s="7" t="str">
        <f>IFERROR(__xludf.DUMMYFUNCTION("""COMPUTED_VALUE"""),"RUN-ABRM_2023-01-04_RFR-120")</f>
        <v>RUN-ABRM_2023-01-04_RFR-120</v>
      </c>
      <c r="Z85" s="12">
        <f>IFERROR(__xludf.DUMMYFUNCTION("""COMPUTED_VALUE"""),44930.0)</f>
        <v>44930</v>
      </c>
      <c r="AA85" s="50">
        <f t="array" ref="AA85">INDEX('RFR Data - preExcl'!AK$2:AK259,$AE85,1)</f>
        <v>6</v>
      </c>
      <c r="AB85" s="54">
        <f t="shared" si="18"/>
        <v>6</v>
      </c>
      <c r="AC85" s="54">
        <f t="array" ref="AC85">INDEX('RFR Data - preExcl'!AI$2:AI259,$AE85,1)</f>
        <v>0</v>
      </c>
      <c r="AD85" s="54">
        <f t="array" ref="AD85">INDEX('RFR Data - preExcl'!AF$2:AF259,$AE85,1)</f>
        <v>0</v>
      </c>
      <c r="AE85" s="56">
        <f>IFNA(MATCH(Y85,'RFR Data - preExcl'!A$2:A259,0),"")</f>
        <v>120</v>
      </c>
      <c r="AF85" s="43"/>
      <c r="AG85" s="58" t="s">
        <v>110</v>
      </c>
      <c r="AH85" s="46">
        <f>VLOOKUP(AG85,'Run Reconcile'!A$2:B259,2,FALSE)</f>
        <v>44929</v>
      </c>
      <c r="AI85" s="54">
        <f>COUNTIF('APS Tubes IMPORT'!$V$2:$V259, AG85)
</f>
        <v>11</v>
      </c>
      <c r="AJ85" s="54">
        <f>COUNTIFS('APS Tubes IMPORT'!V$2:V259, AG85, 'APS Tubes IMPORT'!H$2:H259, "Negative")
</f>
        <v>11</v>
      </c>
      <c r="AK85" s="54">
        <f>COUNTIFS('APS Tubes IMPORT'!V84:V259, AG85, 'APS Tubes IMPORT'!H84:H259, "Positive")
</f>
        <v>0</v>
      </c>
      <c r="AL85" s="54">
        <f>COUNTIFS('APS Tubes IMPORT'!V84:V259, AG85, 'APS Tubes IMPORT'!H84:H259, "Inconclusive")
</f>
        <v>0</v>
      </c>
      <c r="AM85" s="54">
        <f>COUNTIFS('APS Tubes IMPORT'!V84:V259, AG85, 'APS Tubes IMPORT'!H84:H259, "Null")
</f>
        <v>0</v>
      </c>
      <c r="AN85" s="43"/>
      <c r="AP85" s="54"/>
      <c r="AQ85" s="54"/>
      <c r="AR85" s="54"/>
      <c r="AS85" s="54"/>
      <c r="AU85" s="43"/>
    </row>
    <row r="86">
      <c r="A86" s="7" t="s">
        <v>111</v>
      </c>
      <c r="B86" s="46">
        <f>VLOOKUP(A86,'ALL Tube Results'!$B$2:$D259,2,FALSE)</f>
        <v>44930</v>
      </c>
      <c r="C86" s="47">
        <f>COUNTIF('ALL Tube Results'!B85:B259, A86)
</f>
        <v>6</v>
      </c>
      <c r="D86" s="48">
        <f>COUNTIFS('ALL Tube Results'!$B85:$B259, $A86, 'ALL Tube Results'!$F85:$F259, "Negative")
</f>
        <v>6</v>
      </c>
      <c r="E86" s="48">
        <f>COUNTIFS('ALL Tube Results'!$B85:$B259, $A86, 'ALL Tube Results'!$F85:$F259, "Positive")
</f>
        <v>0</v>
      </c>
      <c r="F86" s="48">
        <f>COUNTIFS('ALL Tube Results'!$B85:$B259, $A86, 'ALL Tube Results'!$F85:$F259, "Inconclusive")
</f>
        <v>0</v>
      </c>
      <c r="G86" s="49">
        <f t="shared" si="7"/>
        <v>6</v>
      </c>
      <c r="H86" s="49" t="str">
        <f t="shared" si="8"/>
        <v/>
      </c>
      <c r="I86" s="50">
        <f t="shared" si="9"/>
        <v>6</v>
      </c>
      <c r="J86" s="51">
        <f t="shared" si="10"/>
        <v>0</v>
      </c>
      <c r="K86" s="51">
        <f t="shared" si="11"/>
        <v>0</v>
      </c>
      <c r="L86" s="51" t="str">
        <f t="shared" si="12"/>
        <v/>
      </c>
      <c r="M86" s="51" t="str">
        <f t="shared" si="13"/>
        <v/>
      </c>
      <c r="N86" s="51" t="str">
        <f t="shared" si="14"/>
        <v/>
      </c>
      <c r="O86" s="52">
        <f t="shared" si="15"/>
        <v>6</v>
      </c>
      <c r="P86" s="52" t="str">
        <f t="shared" si="16"/>
        <v/>
      </c>
      <c r="Q86" s="43"/>
      <c r="R86" s="7" t="s">
        <v>111</v>
      </c>
      <c r="S86" s="12">
        <v>44930.0</v>
      </c>
      <c r="T86" s="54">
        <f>VLOOKUP(R86,'Run Reconcile'!$A$2:$L259,12,FALSE)</f>
        <v>6</v>
      </c>
      <c r="U86" s="55" t="str">
        <f t="shared" si="17"/>
        <v/>
      </c>
      <c r="V86" s="54"/>
      <c r="W86" s="54"/>
      <c r="X86" s="43"/>
      <c r="Y86" s="7" t="str">
        <f>IFERROR(__xludf.DUMMYFUNCTION("""COMPUTED_VALUE"""),"RUN-ABRM_2023-01-05_RFR-121")</f>
        <v>RUN-ABRM_2023-01-05_RFR-121</v>
      </c>
      <c r="Z86" s="12">
        <f>IFERROR(__xludf.DUMMYFUNCTION("""COMPUTED_VALUE"""),44931.0)</f>
        <v>44931</v>
      </c>
      <c r="AA86" s="50">
        <f t="array" ref="AA86">INDEX('RFR Data - preExcl'!AK$2:AK259,$AE86,1)</f>
        <v>6</v>
      </c>
      <c r="AB86" s="54">
        <f t="shared" si="18"/>
        <v>6</v>
      </c>
      <c r="AC86" s="54">
        <f t="array" ref="AC86">INDEX('RFR Data - preExcl'!AI$2:AI259,$AE86,1)</f>
        <v>0</v>
      </c>
      <c r="AD86" s="54">
        <f t="array" ref="AD86">INDEX('RFR Data - preExcl'!AF$2:AF259,$AE86,1)</f>
        <v>0</v>
      </c>
      <c r="AE86" s="56">
        <f>IFNA(MATCH(Y86,'RFR Data - preExcl'!A$2:A259,0),"")</f>
        <v>121</v>
      </c>
      <c r="AF86" s="43"/>
      <c r="AG86" s="58" t="s">
        <v>111</v>
      </c>
      <c r="AH86" s="46">
        <f>VLOOKUP(AG86,'Run Reconcile'!A$2:B259,2,FALSE)</f>
        <v>44930</v>
      </c>
      <c r="AI86" s="54">
        <f>COUNTIF('APS Tubes IMPORT'!$V$2:$V259, AG86)
</f>
        <v>6</v>
      </c>
      <c r="AJ86" s="54">
        <f>COUNTIFS('APS Tubes IMPORT'!V$2:V259, AG86, 'APS Tubes IMPORT'!H$2:H259, "Negative")
</f>
        <v>6</v>
      </c>
      <c r="AK86" s="54">
        <f>COUNTIFS('APS Tubes IMPORT'!V85:V259, AG86, 'APS Tubes IMPORT'!H85:H259, "Positive")
</f>
        <v>0</v>
      </c>
      <c r="AL86" s="54">
        <f>COUNTIFS('APS Tubes IMPORT'!V85:V259, AG86, 'APS Tubes IMPORT'!H85:H259, "Inconclusive")
</f>
        <v>0</v>
      </c>
      <c r="AM86" s="54">
        <f>COUNTIFS('APS Tubes IMPORT'!V85:V259, AG86, 'APS Tubes IMPORT'!H85:H259, "Null")
</f>
        <v>0</v>
      </c>
      <c r="AN86" s="43"/>
      <c r="AP86" s="54"/>
      <c r="AQ86" s="54"/>
      <c r="AR86" s="54"/>
      <c r="AS86" s="54"/>
      <c r="AU86" s="43"/>
    </row>
    <row r="87">
      <c r="A87" s="7" t="s">
        <v>112</v>
      </c>
      <c r="B87" s="46">
        <f>VLOOKUP(A87,'ALL Tube Results'!$B$2:$D259,2,FALSE)</f>
        <v>44931</v>
      </c>
      <c r="C87" s="47">
        <f>COUNTIF('ALL Tube Results'!B86:B259, A87)
</f>
        <v>6</v>
      </c>
      <c r="D87" s="48">
        <f>COUNTIFS('ALL Tube Results'!$B86:$B259, $A87, 'ALL Tube Results'!$F86:$F259, "Negative")
</f>
        <v>6</v>
      </c>
      <c r="E87" s="48">
        <f>COUNTIFS('ALL Tube Results'!$B86:$B259, $A87, 'ALL Tube Results'!$F86:$F259, "Positive")
</f>
        <v>0</v>
      </c>
      <c r="F87" s="48">
        <f>COUNTIFS('ALL Tube Results'!$B86:$B259, $A87, 'ALL Tube Results'!$F86:$F259, "Inconclusive")
</f>
        <v>0</v>
      </c>
      <c r="G87" s="49">
        <f t="shared" si="7"/>
        <v>6</v>
      </c>
      <c r="H87" s="49" t="str">
        <f t="shared" si="8"/>
        <v/>
      </c>
      <c r="I87" s="50">
        <f t="shared" si="9"/>
        <v>6</v>
      </c>
      <c r="J87" s="51">
        <f t="shared" si="10"/>
        <v>0</v>
      </c>
      <c r="K87" s="51">
        <f t="shared" si="11"/>
        <v>0</v>
      </c>
      <c r="L87" s="51" t="str">
        <f t="shared" si="12"/>
        <v/>
      </c>
      <c r="M87" s="51" t="str">
        <f t="shared" si="13"/>
        <v/>
      </c>
      <c r="N87" s="51" t="str">
        <f t="shared" si="14"/>
        <v/>
      </c>
      <c r="O87" s="52">
        <f t="shared" si="15"/>
        <v>6</v>
      </c>
      <c r="P87" s="52" t="str">
        <f t="shared" si="16"/>
        <v/>
      </c>
      <c r="Q87" s="43"/>
      <c r="R87" s="7" t="s">
        <v>112</v>
      </c>
      <c r="S87" s="12">
        <v>44931.0</v>
      </c>
      <c r="T87" s="54">
        <f>VLOOKUP(R87,'Run Reconcile'!$A$2:$L259,12,FALSE)</f>
        <v>6</v>
      </c>
      <c r="U87" s="55" t="str">
        <f t="shared" si="17"/>
        <v/>
      </c>
      <c r="V87" s="54"/>
      <c r="W87" s="54"/>
      <c r="X87" s="43"/>
      <c r="Y87" s="7" t="str">
        <f>IFERROR(__xludf.DUMMYFUNCTION("""COMPUTED_VALUE"""),"RUN-ABRM_2023-01-06_RFR-123")</f>
        <v>RUN-ABRM_2023-01-06_RFR-123</v>
      </c>
      <c r="Z87" s="12">
        <f>IFERROR(__xludf.DUMMYFUNCTION("""COMPUTED_VALUE"""),44932.0)</f>
        <v>44932</v>
      </c>
      <c r="AA87" s="50">
        <f t="array" ref="AA87">INDEX('RFR Data - preExcl'!AK$2:AK259,$AE87,1)</f>
        <v>6</v>
      </c>
      <c r="AB87" s="54">
        <f t="shared" si="18"/>
        <v>6</v>
      </c>
      <c r="AC87" s="54">
        <f t="array" ref="AC87">INDEX('RFR Data - preExcl'!AI$2:AI259,$AE87,1)</f>
        <v>0</v>
      </c>
      <c r="AD87" s="54">
        <f t="array" ref="AD87">INDEX('RFR Data - preExcl'!AF$2:AF259,$AE87,1)</f>
        <v>0</v>
      </c>
      <c r="AE87" s="56">
        <f>IFNA(MATCH(Y87,'RFR Data - preExcl'!A$2:A259,0),"")</f>
        <v>123</v>
      </c>
      <c r="AF87" s="43"/>
      <c r="AG87" s="58" t="s">
        <v>112</v>
      </c>
      <c r="AH87" s="46">
        <f>VLOOKUP(AG87,'Run Reconcile'!A$2:B259,2,FALSE)</f>
        <v>44931</v>
      </c>
      <c r="AI87" s="54">
        <f>COUNTIF('APS Tubes IMPORT'!$V$2:$V259, AG87)
</f>
        <v>6</v>
      </c>
      <c r="AJ87" s="54">
        <f>COUNTIFS('APS Tubes IMPORT'!V$2:V259, AG87, 'APS Tubes IMPORT'!H$2:H259, "Negative")
</f>
        <v>6</v>
      </c>
      <c r="AK87" s="54">
        <f>COUNTIFS('APS Tubes IMPORT'!V86:V259, AG87, 'APS Tubes IMPORT'!H86:H259, "Positive")
</f>
        <v>0</v>
      </c>
      <c r="AL87" s="54">
        <f>COUNTIFS('APS Tubes IMPORT'!V86:V259, AG87, 'APS Tubes IMPORT'!H86:H259, "Inconclusive")
</f>
        <v>0</v>
      </c>
      <c r="AM87" s="54">
        <f>COUNTIFS('APS Tubes IMPORT'!V86:V259, AG87, 'APS Tubes IMPORT'!H86:H259, "Null")
</f>
        <v>0</v>
      </c>
      <c r="AN87" s="43"/>
      <c r="AP87" s="54"/>
      <c r="AQ87" s="54"/>
      <c r="AR87" s="54"/>
      <c r="AS87" s="54"/>
      <c r="AU87" s="43"/>
    </row>
    <row r="88">
      <c r="A88" s="7" t="s">
        <v>113</v>
      </c>
      <c r="B88" s="46">
        <f>VLOOKUP(A88,'ALL Tube Results'!$B$2:$D259,2,FALSE)</f>
        <v>44932</v>
      </c>
      <c r="C88" s="47">
        <f>COUNTIF('ALL Tube Results'!B87:B259, A88)
</f>
        <v>6</v>
      </c>
      <c r="D88" s="48">
        <f>COUNTIFS('ALL Tube Results'!$B87:$B259, $A88, 'ALL Tube Results'!$F87:$F259, "Negative")
</f>
        <v>6</v>
      </c>
      <c r="E88" s="48">
        <f>COUNTIFS('ALL Tube Results'!$B87:$B259, $A88, 'ALL Tube Results'!$F87:$F259, "Positive")
</f>
        <v>0</v>
      </c>
      <c r="F88" s="48">
        <f>COUNTIFS('ALL Tube Results'!$B87:$B259, $A88, 'ALL Tube Results'!$F87:$F259, "Inconclusive")
</f>
        <v>0</v>
      </c>
      <c r="G88" s="49">
        <f t="shared" si="7"/>
        <v>6</v>
      </c>
      <c r="H88" s="49" t="str">
        <f t="shared" si="8"/>
        <v/>
      </c>
      <c r="I88" s="50">
        <f t="shared" si="9"/>
        <v>6</v>
      </c>
      <c r="J88" s="51">
        <f t="shared" si="10"/>
        <v>0</v>
      </c>
      <c r="K88" s="51">
        <f t="shared" si="11"/>
        <v>0</v>
      </c>
      <c r="L88" s="51" t="str">
        <f t="shared" si="12"/>
        <v/>
      </c>
      <c r="M88" s="51" t="str">
        <f t="shared" si="13"/>
        <v/>
      </c>
      <c r="N88" s="51" t="str">
        <f t="shared" si="14"/>
        <v/>
      </c>
      <c r="O88" s="52">
        <f t="shared" si="15"/>
        <v>6</v>
      </c>
      <c r="P88" s="52" t="str">
        <f t="shared" si="16"/>
        <v/>
      </c>
      <c r="Q88" s="43"/>
      <c r="R88" s="7" t="s">
        <v>113</v>
      </c>
      <c r="S88" s="12">
        <v>44932.0</v>
      </c>
      <c r="T88" s="54">
        <f>VLOOKUP(R88,'Run Reconcile'!$A$2:$L259,12,FALSE)</f>
        <v>6</v>
      </c>
      <c r="U88" s="55" t="str">
        <f t="shared" si="17"/>
        <v/>
      </c>
      <c r="V88" s="54"/>
      <c r="W88" s="54"/>
      <c r="X88" s="43"/>
      <c r="Y88" s="7" t="str">
        <f>IFERROR(__xludf.DUMMYFUNCTION("""COMPUTED_VALUE"""),"RUN-ABRM_2023-01-09_RFR-125")</f>
        <v>RUN-ABRM_2023-01-09_RFR-125</v>
      </c>
      <c r="Z88" s="12">
        <f>IFERROR(__xludf.DUMMYFUNCTION("""COMPUTED_VALUE"""),44935.0)</f>
        <v>44935</v>
      </c>
      <c r="AA88" s="50">
        <f t="array" ref="AA88">INDEX('RFR Data - preExcl'!AK$2:AK259,$AE88,1)</f>
        <v>9</v>
      </c>
      <c r="AB88" s="54">
        <f t="shared" si="18"/>
        <v>9</v>
      </c>
      <c r="AC88" s="54">
        <f t="array" ref="AC88">INDEX('RFR Data - preExcl'!AI$2:AI259,$AE88,1)</f>
        <v>0</v>
      </c>
      <c r="AD88" s="54">
        <f t="array" ref="AD88">INDEX('RFR Data - preExcl'!AF$2:AF259,$AE88,1)</f>
        <v>0</v>
      </c>
      <c r="AE88" s="56">
        <f>IFNA(MATCH(Y88,'RFR Data - preExcl'!A$2:A259,0),"")</f>
        <v>125</v>
      </c>
      <c r="AF88" s="43"/>
      <c r="AG88" s="58" t="s">
        <v>113</v>
      </c>
      <c r="AH88" s="46">
        <f>VLOOKUP(AG88,'Run Reconcile'!A$2:B259,2,FALSE)</f>
        <v>44932</v>
      </c>
      <c r="AI88" s="54">
        <f>COUNTIF('APS Tubes IMPORT'!$V$2:$V259, AG88)
</f>
        <v>6</v>
      </c>
      <c r="AJ88" s="54">
        <f>COUNTIFS('APS Tubes IMPORT'!V$2:V259, AG88, 'APS Tubes IMPORT'!H$2:H259, "Negative")
</f>
        <v>6</v>
      </c>
      <c r="AK88" s="54">
        <f>COUNTIFS('APS Tubes IMPORT'!V87:V259, AG88, 'APS Tubes IMPORT'!H87:H259, "Positive")
</f>
        <v>0</v>
      </c>
      <c r="AL88" s="54">
        <f>COUNTIFS('APS Tubes IMPORT'!V87:V259, AG88, 'APS Tubes IMPORT'!H87:H259, "Inconclusive")
</f>
        <v>0</v>
      </c>
      <c r="AM88" s="54">
        <f>COUNTIFS('APS Tubes IMPORT'!V87:V259, AG88, 'APS Tubes IMPORT'!H87:H259, "Null")
</f>
        <v>0</v>
      </c>
      <c r="AN88" s="43"/>
      <c r="AP88" s="54"/>
      <c r="AQ88" s="54"/>
      <c r="AR88" s="54"/>
      <c r="AS88" s="54"/>
      <c r="AU88" s="43"/>
    </row>
    <row r="89">
      <c r="A89" s="7" t="s">
        <v>114</v>
      </c>
      <c r="B89" s="46">
        <f>VLOOKUP(A89,'ALL Tube Results'!$B$2:$D259,2,FALSE)</f>
        <v>44935</v>
      </c>
      <c r="C89" s="47">
        <f>COUNTIF('ALL Tube Results'!B88:B259, A89)
</f>
        <v>9</v>
      </c>
      <c r="D89" s="48">
        <f>COUNTIFS('ALL Tube Results'!$B88:$B259, $A89, 'ALL Tube Results'!$F88:$F259, "Negative")
</f>
        <v>9</v>
      </c>
      <c r="E89" s="48">
        <f>COUNTIFS('ALL Tube Results'!$B88:$B259, $A89, 'ALL Tube Results'!$F88:$F259, "Positive")
</f>
        <v>0</v>
      </c>
      <c r="F89" s="48">
        <f>COUNTIFS('ALL Tube Results'!$B88:$B259, $A89, 'ALL Tube Results'!$F88:$F259, "Inconclusive")
</f>
        <v>0</v>
      </c>
      <c r="G89" s="49">
        <f t="shared" si="7"/>
        <v>9</v>
      </c>
      <c r="H89" s="49" t="str">
        <f t="shared" si="8"/>
        <v/>
      </c>
      <c r="I89" s="50">
        <f t="shared" si="9"/>
        <v>9</v>
      </c>
      <c r="J89" s="51">
        <f t="shared" si="10"/>
        <v>0</v>
      </c>
      <c r="K89" s="51">
        <f t="shared" si="11"/>
        <v>0</v>
      </c>
      <c r="L89" s="51" t="str">
        <f t="shared" si="12"/>
        <v/>
      </c>
      <c r="M89" s="51" t="str">
        <f t="shared" si="13"/>
        <v/>
      </c>
      <c r="N89" s="51" t="str">
        <f t="shared" si="14"/>
        <v/>
      </c>
      <c r="O89" s="52">
        <f t="shared" si="15"/>
        <v>9</v>
      </c>
      <c r="P89" s="52" t="str">
        <f t="shared" si="16"/>
        <v/>
      </c>
      <c r="Q89" s="43"/>
      <c r="R89" s="7" t="s">
        <v>114</v>
      </c>
      <c r="S89" s="12">
        <v>44935.0</v>
      </c>
      <c r="T89" s="54">
        <f>VLOOKUP(R89,'Run Reconcile'!$A$2:$L259,12,FALSE)</f>
        <v>9</v>
      </c>
      <c r="U89" s="55" t="str">
        <f t="shared" si="17"/>
        <v/>
      </c>
      <c r="V89" s="54"/>
      <c r="W89" s="54"/>
      <c r="X89" s="43"/>
      <c r="Y89" s="7" t="str">
        <f>IFERROR(__xludf.DUMMYFUNCTION("""COMPUTED_VALUE"""),"RUN-ABRM_2023-01-10_RFR-126")</f>
        <v>RUN-ABRM_2023-01-10_RFR-126</v>
      </c>
      <c r="Z89" s="12">
        <f>IFERROR(__xludf.DUMMYFUNCTION("""COMPUTED_VALUE"""),44936.0)</f>
        <v>44936</v>
      </c>
      <c r="AA89" s="50">
        <f t="array" ref="AA89">INDEX('RFR Data - preExcl'!AK$2:AK259,$AE89,1)</f>
        <v>8</v>
      </c>
      <c r="AB89" s="54">
        <f t="shared" si="18"/>
        <v>8</v>
      </c>
      <c r="AC89" s="54">
        <f t="array" ref="AC89">INDEX('RFR Data - preExcl'!AI$2:AI259,$AE89,1)</f>
        <v>0</v>
      </c>
      <c r="AD89" s="54">
        <f t="array" ref="AD89">INDEX('RFR Data - preExcl'!AF$2:AF259,$AE89,1)</f>
        <v>0</v>
      </c>
      <c r="AE89" s="56">
        <f>IFNA(MATCH(Y89,'RFR Data - preExcl'!A$2:A259,0),"")</f>
        <v>126</v>
      </c>
      <c r="AF89" s="43"/>
      <c r="AG89" s="58" t="s">
        <v>114</v>
      </c>
      <c r="AH89" s="46">
        <f>VLOOKUP(AG89,'Run Reconcile'!A$2:B259,2,FALSE)</f>
        <v>44935</v>
      </c>
      <c r="AI89" s="54">
        <f>COUNTIF('APS Tubes IMPORT'!$V$2:$V259, AG89)
</f>
        <v>9</v>
      </c>
      <c r="AJ89" s="54">
        <f>COUNTIFS('APS Tubes IMPORT'!V$2:V259, AG89, 'APS Tubes IMPORT'!H$2:H259, "Negative")
</f>
        <v>9</v>
      </c>
      <c r="AK89" s="54">
        <f>COUNTIFS('APS Tubes IMPORT'!V88:V259, AG89, 'APS Tubes IMPORT'!H88:H259, "Positive")
</f>
        <v>0</v>
      </c>
      <c r="AL89" s="54">
        <f>COUNTIFS('APS Tubes IMPORT'!V88:V259, AG89, 'APS Tubes IMPORT'!H88:H259, "Inconclusive")
</f>
        <v>0</v>
      </c>
      <c r="AM89" s="54">
        <f>COUNTIFS('APS Tubes IMPORT'!V88:V259, AG89, 'APS Tubes IMPORT'!H88:H259, "Null")
</f>
        <v>0</v>
      </c>
      <c r="AN89" s="43"/>
      <c r="AP89" s="54"/>
      <c r="AQ89" s="54"/>
      <c r="AR89" s="54"/>
      <c r="AS89" s="54"/>
      <c r="AU89" s="43"/>
    </row>
    <row r="90">
      <c r="A90" s="7" t="s">
        <v>115</v>
      </c>
      <c r="B90" s="46">
        <f>VLOOKUP(A90,'ALL Tube Results'!$B$2:$D259,2,FALSE)</f>
        <v>44936</v>
      </c>
      <c r="C90" s="47">
        <f>COUNTIF('ALL Tube Results'!B89:B259, A90)
</f>
        <v>8</v>
      </c>
      <c r="D90" s="48">
        <f>COUNTIFS('ALL Tube Results'!$B89:$B259, $A90, 'ALL Tube Results'!$F89:$F259, "Negative")
</f>
        <v>8</v>
      </c>
      <c r="E90" s="48">
        <f>COUNTIFS('ALL Tube Results'!$B89:$B259, $A90, 'ALL Tube Results'!$F89:$F259, "Positive")
</f>
        <v>0</v>
      </c>
      <c r="F90" s="48">
        <f>COUNTIFS('ALL Tube Results'!$B89:$B259, $A90, 'ALL Tube Results'!$F89:$F259, "Inconclusive")
</f>
        <v>0</v>
      </c>
      <c r="G90" s="49">
        <f t="shared" si="7"/>
        <v>8</v>
      </c>
      <c r="H90" s="49" t="str">
        <f t="shared" si="8"/>
        <v/>
      </c>
      <c r="I90" s="50">
        <f t="shared" si="9"/>
        <v>8</v>
      </c>
      <c r="J90" s="51">
        <f t="shared" si="10"/>
        <v>0</v>
      </c>
      <c r="K90" s="51">
        <f t="shared" si="11"/>
        <v>0</v>
      </c>
      <c r="L90" s="51" t="str">
        <f t="shared" si="12"/>
        <v/>
      </c>
      <c r="M90" s="51" t="str">
        <f t="shared" si="13"/>
        <v/>
      </c>
      <c r="N90" s="51" t="str">
        <f t="shared" si="14"/>
        <v/>
      </c>
      <c r="O90" s="52">
        <f t="shared" si="15"/>
        <v>8</v>
      </c>
      <c r="P90" s="52" t="str">
        <f t="shared" si="16"/>
        <v/>
      </c>
      <c r="Q90" s="43"/>
      <c r="R90" s="7" t="s">
        <v>115</v>
      </c>
      <c r="S90" s="12">
        <v>44936.0</v>
      </c>
      <c r="T90" s="54">
        <f>VLOOKUP(R90,'Run Reconcile'!$A$2:$L259,12,FALSE)</f>
        <v>8</v>
      </c>
      <c r="U90" s="55" t="str">
        <f t="shared" si="17"/>
        <v/>
      </c>
      <c r="V90" s="54"/>
      <c r="W90" s="54"/>
      <c r="X90" s="43"/>
      <c r="Y90" s="7" t="str">
        <f>IFERROR(__xludf.DUMMYFUNCTION("""COMPUTED_VALUE"""),"RUN-ABRM_2023-01-11_RFR-128")</f>
        <v>RUN-ABRM_2023-01-11_RFR-128</v>
      </c>
      <c r="Z90" s="12">
        <f>IFERROR(__xludf.DUMMYFUNCTION("""COMPUTED_VALUE"""),44937.0)</f>
        <v>44937</v>
      </c>
      <c r="AA90" s="50">
        <f t="array" ref="AA90">INDEX('RFR Data - preExcl'!AK$2:AK259,$AE90,1)</f>
        <v>8</v>
      </c>
      <c r="AB90" s="54">
        <f t="shared" si="18"/>
        <v>8</v>
      </c>
      <c r="AC90" s="54">
        <f t="array" ref="AC90">INDEX('RFR Data - preExcl'!AI$2:AI259,$AE90,1)</f>
        <v>0</v>
      </c>
      <c r="AD90" s="54">
        <f t="array" ref="AD90">INDEX('RFR Data - preExcl'!AF$2:AF259,$AE90,1)</f>
        <v>0</v>
      </c>
      <c r="AE90" s="56">
        <f>IFNA(MATCH(Y90,'RFR Data - preExcl'!A$2:A259,0),"")</f>
        <v>128</v>
      </c>
      <c r="AF90" s="43"/>
      <c r="AG90" s="58" t="s">
        <v>115</v>
      </c>
      <c r="AH90" s="46">
        <f>VLOOKUP(AG90,'Run Reconcile'!A$2:B259,2,FALSE)</f>
        <v>44936</v>
      </c>
      <c r="AI90" s="54">
        <f>COUNTIF('APS Tubes IMPORT'!$V$2:$V259, AG90)
</f>
        <v>8</v>
      </c>
      <c r="AJ90" s="54">
        <f>COUNTIFS('APS Tubes IMPORT'!V$2:V259, AG90, 'APS Tubes IMPORT'!H$2:H259, "Negative")
</f>
        <v>8</v>
      </c>
      <c r="AK90" s="54">
        <f>COUNTIFS('APS Tubes IMPORT'!V89:V259, AG90, 'APS Tubes IMPORT'!H89:H259, "Positive")
</f>
        <v>0</v>
      </c>
      <c r="AL90" s="54">
        <f>COUNTIFS('APS Tubes IMPORT'!V89:V259, AG90, 'APS Tubes IMPORT'!H89:H259, "Inconclusive")
</f>
        <v>0</v>
      </c>
      <c r="AM90" s="54">
        <f>COUNTIFS('APS Tubes IMPORT'!V89:V259, AG90, 'APS Tubes IMPORT'!H89:H259, "Null")
</f>
        <v>0</v>
      </c>
      <c r="AN90" s="43"/>
      <c r="AP90" s="54"/>
      <c r="AQ90" s="54"/>
      <c r="AR90" s="54"/>
      <c r="AS90" s="54"/>
      <c r="AU90" s="43"/>
    </row>
    <row r="91">
      <c r="A91" s="7" t="s">
        <v>116</v>
      </c>
      <c r="B91" s="46">
        <f>VLOOKUP(A91,'ALL Tube Results'!$B$2:$D259,2,FALSE)</f>
        <v>44937</v>
      </c>
      <c r="C91" s="47">
        <f>COUNTIF('ALL Tube Results'!B90:B259, A91)
</f>
        <v>8</v>
      </c>
      <c r="D91" s="48">
        <f>COUNTIFS('ALL Tube Results'!$B90:$B259, $A91, 'ALL Tube Results'!$F90:$F259, "Negative")
</f>
        <v>8</v>
      </c>
      <c r="E91" s="48">
        <f>COUNTIFS('ALL Tube Results'!$B90:$B259, $A91, 'ALL Tube Results'!$F90:$F259, "Positive")
</f>
        <v>0</v>
      </c>
      <c r="F91" s="48">
        <f>COUNTIFS('ALL Tube Results'!$B90:$B259, $A91, 'ALL Tube Results'!$F90:$F259, "Inconclusive")
</f>
        <v>0</v>
      </c>
      <c r="G91" s="49">
        <f t="shared" si="7"/>
        <v>8</v>
      </c>
      <c r="H91" s="49" t="str">
        <f t="shared" si="8"/>
        <v/>
      </c>
      <c r="I91" s="50">
        <f t="shared" si="9"/>
        <v>8</v>
      </c>
      <c r="J91" s="51">
        <f t="shared" si="10"/>
        <v>0</v>
      </c>
      <c r="K91" s="51">
        <f t="shared" si="11"/>
        <v>0</v>
      </c>
      <c r="L91" s="51" t="str">
        <f t="shared" si="12"/>
        <v/>
      </c>
      <c r="M91" s="51" t="str">
        <f t="shared" si="13"/>
        <v/>
      </c>
      <c r="N91" s="51" t="str">
        <f t="shared" si="14"/>
        <v/>
      </c>
      <c r="O91" s="52">
        <f t="shared" si="15"/>
        <v>8</v>
      </c>
      <c r="P91" s="52" t="str">
        <f t="shared" si="16"/>
        <v/>
      </c>
      <c r="Q91" s="43"/>
      <c r="R91" s="7" t="s">
        <v>116</v>
      </c>
      <c r="S91" s="12">
        <v>44937.0</v>
      </c>
      <c r="T91" s="54">
        <f>VLOOKUP(R91,'Run Reconcile'!$A$2:$L259,12,FALSE)</f>
        <v>8</v>
      </c>
      <c r="U91" s="55" t="str">
        <f t="shared" si="17"/>
        <v/>
      </c>
      <c r="V91" s="54"/>
      <c r="W91" s="54"/>
      <c r="X91" s="43"/>
      <c r="Y91" s="7" t="str">
        <f>IFERROR(__xludf.DUMMYFUNCTION("""COMPUTED_VALUE"""),"RUN-ABRM_2023-01-12_RFR-129")</f>
        <v>RUN-ABRM_2023-01-12_RFR-129</v>
      </c>
      <c r="Z91" s="12">
        <f>IFERROR(__xludf.DUMMYFUNCTION("""COMPUTED_VALUE"""),44938.0)</f>
        <v>44938</v>
      </c>
      <c r="AA91" s="50">
        <f t="array" ref="AA91">INDEX('RFR Data - preExcl'!AK$2:AK259,$AE91,1)</f>
        <v>4</v>
      </c>
      <c r="AB91" s="54">
        <f t="shared" si="18"/>
        <v>4</v>
      </c>
      <c r="AC91" s="54">
        <f t="array" ref="AC91">INDEX('RFR Data - preExcl'!AI$2:AI259,$AE91,1)</f>
        <v>0</v>
      </c>
      <c r="AD91" s="54">
        <f t="array" ref="AD91">INDEX('RFR Data - preExcl'!AF$2:AF259,$AE91,1)</f>
        <v>0</v>
      </c>
      <c r="AE91" s="56">
        <f>IFNA(MATCH(Y91,'RFR Data - preExcl'!A$2:A259,0),"")</f>
        <v>129</v>
      </c>
      <c r="AF91" s="43"/>
      <c r="AG91" s="58" t="s">
        <v>116</v>
      </c>
      <c r="AH91" s="46">
        <f>VLOOKUP(AG91,'Run Reconcile'!A$2:B259,2,FALSE)</f>
        <v>44937</v>
      </c>
      <c r="AI91" s="54">
        <f>COUNTIF('APS Tubes IMPORT'!$V$2:$V259, AG91)
</f>
        <v>8</v>
      </c>
      <c r="AJ91" s="54">
        <f>COUNTIFS('APS Tubes IMPORT'!V$2:V259, AG91, 'APS Tubes IMPORT'!H$2:H259, "Negative")
</f>
        <v>8</v>
      </c>
      <c r="AK91" s="54">
        <f>COUNTIFS('APS Tubes IMPORT'!V90:V259, AG91, 'APS Tubes IMPORT'!H90:H259, "Positive")
</f>
        <v>0</v>
      </c>
      <c r="AL91" s="54">
        <f>COUNTIFS('APS Tubes IMPORT'!V90:V259, AG91, 'APS Tubes IMPORT'!H90:H259, "Inconclusive")
</f>
        <v>0</v>
      </c>
      <c r="AM91" s="54">
        <f>COUNTIFS('APS Tubes IMPORT'!V90:V259, AG91, 'APS Tubes IMPORT'!H90:H259, "Null")
</f>
        <v>0</v>
      </c>
      <c r="AN91" s="43"/>
      <c r="AP91" s="54"/>
      <c r="AQ91" s="54"/>
      <c r="AR91" s="54"/>
      <c r="AS91" s="54"/>
      <c r="AU91" s="43"/>
    </row>
    <row r="92">
      <c r="A92" s="7" t="s">
        <v>117</v>
      </c>
      <c r="B92" s="46">
        <f>VLOOKUP(A92,'ALL Tube Results'!$B$2:$D259,2,FALSE)</f>
        <v>44938</v>
      </c>
      <c r="C92" s="47">
        <f>COUNTIF('ALL Tube Results'!B91:B259, A92)
</f>
        <v>4</v>
      </c>
      <c r="D92" s="48">
        <f>COUNTIFS('ALL Tube Results'!$B91:$B259, $A92, 'ALL Tube Results'!$F91:$F259, "Negative")
</f>
        <v>3</v>
      </c>
      <c r="E92" s="48">
        <f>COUNTIFS('ALL Tube Results'!$B91:$B259, $A92, 'ALL Tube Results'!$F91:$F259, "Positive")
</f>
        <v>0</v>
      </c>
      <c r="F92" s="48">
        <f>COUNTIFS('ALL Tube Results'!$B91:$B259, $A92, 'ALL Tube Results'!$F91:$F259, "Inconclusive")
</f>
        <v>1</v>
      </c>
      <c r="G92" s="49">
        <f t="shared" si="7"/>
        <v>4</v>
      </c>
      <c r="H92" s="49" t="str">
        <f t="shared" si="8"/>
        <v/>
      </c>
      <c r="I92" s="50">
        <f t="shared" si="9"/>
        <v>4</v>
      </c>
      <c r="J92" s="51">
        <f t="shared" si="10"/>
        <v>0</v>
      </c>
      <c r="K92" s="51">
        <f t="shared" si="11"/>
        <v>0</v>
      </c>
      <c r="L92" s="51" t="str">
        <f t="shared" si="12"/>
        <v/>
      </c>
      <c r="M92" s="51" t="str">
        <f t="shared" si="13"/>
        <v/>
      </c>
      <c r="N92" s="60">
        <f t="shared" si="14"/>
        <v>1</v>
      </c>
      <c r="O92" s="52">
        <f t="shared" si="15"/>
        <v>4</v>
      </c>
      <c r="P92" s="52" t="str">
        <f t="shared" si="16"/>
        <v/>
      </c>
      <c r="Q92" s="43"/>
      <c r="R92" s="7" t="s">
        <v>117</v>
      </c>
      <c r="S92" s="12">
        <v>44938.0</v>
      </c>
      <c r="T92" s="54">
        <f>VLOOKUP(R92,'Run Reconcile'!$A$2:$L259,12,FALSE)</f>
        <v>4</v>
      </c>
      <c r="U92" s="55" t="str">
        <f t="shared" si="17"/>
        <v/>
      </c>
      <c r="V92" s="54"/>
      <c r="W92" s="54"/>
      <c r="X92" s="43"/>
      <c r="Y92" s="7" t="str">
        <f>IFERROR(__xludf.DUMMYFUNCTION("""COMPUTED_VALUE"""),"RUN-ABRM_2023-01-13_RFR-131")</f>
        <v>RUN-ABRM_2023-01-13_RFR-131</v>
      </c>
      <c r="Z92" s="12">
        <f>IFERROR(__xludf.DUMMYFUNCTION("""COMPUTED_VALUE"""),44939.0)</f>
        <v>44939</v>
      </c>
      <c r="AA92" s="50">
        <f t="array" ref="AA92">INDEX('RFR Data - preExcl'!AK$2:AK259,$AE92,1)</f>
        <v>10</v>
      </c>
      <c r="AB92" s="54">
        <f t="shared" si="18"/>
        <v>9</v>
      </c>
      <c r="AC92" s="54">
        <f t="array" ref="AC92">INDEX('RFR Data - preExcl'!AI$2:AI259,$AE92,1)</f>
        <v>0</v>
      </c>
      <c r="AD92" s="54">
        <f t="array" ref="AD92">INDEX('RFR Data - preExcl'!AF$2:AF259,$AE92,1)</f>
        <v>1</v>
      </c>
      <c r="AE92" s="56">
        <f>IFNA(MATCH(Y92,'RFR Data - preExcl'!A$2:A259,0),"")</f>
        <v>131</v>
      </c>
      <c r="AF92" s="43"/>
      <c r="AG92" s="58" t="s">
        <v>117</v>
      </c>
      <c r="AH92" s="46">
        <f>VLOOKUP(AG92,'Run Reconcile'!A$2:B259,2,FALSE)</f>
        <v>44938</v>
      </c>
      <c r="AI92" s="54">
        <f>COUNTIF('APS Tubes IMPORT'!$V$2:$V259, AG92)
</f>
        <v>4</v>
      </c>
      <c r="AJ92" s="54">
        <f>COUNTIFS('APS Tubes IMPORT'!V$2:V259, AG92, 'APS Tubes IMPORT'!H$2:H259, "Negative")
</f>
        <v>3</v>
      </c>
      <c r="AK92" s="54">
        <f>COUNTIFS('APS Tubes IMPORT'!V91:V259, AG92, 'APS Tubes IMPORT'!H91:H259, "Positive")
</f>
        <v>0</v>
      </c>
      <c r="AL92" s="54">
        <f>COUNTIFS('APS Tubes IMPORT'!V91:V259, AG92, 'APS Tubes IMPORT'!H91:H259, "Inconclusive")
</f>
        <v>1</v>
      </c>
      <c r="AM92" s="54">
        <f>COUNTIFS('APS Tubes IMPORT'!V91:V259, AG92, 'APS Tubes IMPORT'!H91:H259, "Null")
</f>
        <v>0</v>
      </c>
      <c r="AN92" s="43"/>
      <c r="AP92" s="54"/>
      <c r="AQ92" s="54"/>
      <c r="AR92" s="54"/>
      <c r="AS92" s="54"/>
      <c r="AU92" s="43"/>
    </row>
    <row r="93">
      <c r="A93" s="7" t="s">
        <v>118</v>
      </c>
      <c r="B93" s="46">
        <f>VLOOKUP(A93,'ALL Tube Results'!$B$2:$D259,2,FALSE)</f>
        <v>44939</v>
      </c>
      <c r="C93" s="47">
        <f>COUNTIF('ALL Tube Results'!B92:B259, A93)
</f>
        <v>10</v>
      </c>
      <c r="D93" s="48">
        <f>COUNTIFS('ALL Tube Results'!$B92:$B259, $A93, 'ALL Tube Results'!$F92:$F259, "Negative")
</f>
        <v>9</v>
      </c>
      <c r="E93" s="48">
        <f>COUNTIFS('ALL Tube Results'!$B92:$B259, $A93, 'ALL Tube Results'!$F92:$F259, "Positive")
</f>
        <v>0</v>
      </c>
      <c r="F93" s="48">
        <f>COUNTIFS('ALL Tube Results'!$B92:$B259, $A93, 'ALL Tube Results'!$F92:$F259, "Inconclusive")
</f>
        <v>1</v>
      </c>
      <c r="G93" s="49">
        <f t="shared" si="7"/>
        <v>10</v>
      </c>
      <c r="H93" s="49" t="str">
        <f t="shared" si="8"/>
        <v/>
      </c>
      <c r="I93" s="50">
        <f t="shared" si="9"/>
        <v>10</v>
      </c>
      <c r="J93" s="51">
        <f t="shared" si="10"/>
        <v>0</v>
      </c>
      <c r="K93" s="51">
        <f t="shared" si="11"/>
        <v>1</v>
      </c>
      <c r="L93" s="51" t="str">
        <f t="shared" si="12"/>
        <v/>
      </c>
      <c r="M93" s="51" t="str">
        <f t="shared" si="13"/>
        <v/>
      </c>
      <c r="N93" s="51" t="str">
        <f t="shared" si="14"/>
        <v/>
      </c>
      <c r="O93" s="52">
        <f t="shared" si="15"/>
        <v>10</v>
      </c>
      <c r="P93" s="52" t="str">
        <f t="shared" si="16"/>
        <v/>
      </c>
      <c r="Q93" s="43"/>
      <c r="R93" s="7" t="s">
        <v>118</v>
      </c>
      <c r="S93" s="12">
        <v>44939.0</v>
      </c>
      <c r="T93" s="54">
        <f>VLOOKUP(R93,'Run Reconcile'!$A$2:$L259,12,FALSE)</f>
        <v>10</v>
      </c>
      <c r="U93" s="55" t="str">
        <f t="shared" si="17"/>
        <v/>
      </c>
      <c r="V93" s="54"/>
      <c r="W93" s="54"/>
      <c r="X93" s="43"/>
      <c r="Y93" s="7" t="str">
        <f>IFERROR(__xludf.DUMMYFUNCTION("""COMPUTED_VALUE"""),"RUN-ABRM_2023-01-16_RFR-133")</f>
        <v>RUN-ABRM_2023-01-16_RFR-133</v>
      </c>
      <c r="Z93" s="12">
        <f>IFERROR(__xludf.DUMMYFUNCTION("""COMPUTED_VALUE"""),44942.0)</f>
        <v>44942</v>
      </c>
      <c r="AA93" s="50">
        <f t="array" ref="AA93">INDEX('RFR Data - preExcl'!AK$2:AK259,$AE93,1)</f>
        <v>9</v>
      </c>
      <c r="AB93" s="54">
        <f t="shared" si="18"/>
        <v>9</v>
      </c>
      <c r="AC93" s="54">
        <f t="array" ref="AC93">INDEX('RFR Data - preExcl'!AI$2:AI259,$AE93,1)</f>
        <v>0</v>
      </c>
      <c r="AD93" s="54">
        <f t="array" ref="AD93">INDEX('RFR Data - preExcl'!AF$2:AF259,$AE93,1)</f>
        <v>0</v>
      </c>
      <c r="AE93" s="56">
        <f>IFNA(MATCH(Y93,'RFR Data - preExcl'!A$2:A259,0),"")</f>
        <v>133</v>
      </c>
      <c r="AF93" s="43"/>
      <c r="AG93" s="58" t="s">
        <v>118</v>
      </c>
      <c r="AH93" s="46">
        <f>VLOOKUP(AG93,'Run Reconcile'!A$2:B259,2,FALSE)</f>
        <v>44939</v>
      </c>
      <c r="AI93" s="54">
        <f>COUNTIF('APS Tubes IMPORT'!$V$2:$V259, AG93)
</f>
        <v>10</v>
      </c>
      <c r="AJ93" s="54">
        <f>COUNTIFS('APS Tubes IMPORT'!V$2:V259, AG93, 'APS Tubes IMPORT'!H$2:H259, "Negative")
</f>
        <v>9</v>
      </c>
      <c r="AK93" s="54">
        <f>COUNTIFS('APS Tubes IMPORT'!V92:V259, AG93, 'APS Tubes IMPORT'!H92:H259, "Positive")
</f>
        <v>0</v>
      </c>
      <c r="AL93" s="54">
        <f>COUNTIFS('APS Tubes IMPORT'!V92:V259, AG93, 'APS Tubes IMPORT'!H92:H259, "Inconclusive")
</f>
        <v>1</v>
      </c>
      <c r="AM93" s="54">
        <f>COUNTIFS('APS Tubes IMPORT'!V92:V259, AG93, 'APS Tubes IMPORT'!H92:H259, "Null")
</f>
        <v>0</v>
      </c>
      <c r="AN93" s="43"/>
      <c r="AP93" s="54"/>
      <c r="AQ93" s="54"/>
      <c r="AR93" s="54"/>
      <c r="AS93" s="54"/>
      <c r="AU93" s="43"/>
    </row>
    <row r="94">
      <c r="A94" s="7" t="s">
        <v>119</v>
      </c>
      <c r="B94" s="46">
        <f>VLOOKUP(A94,'ALL Tube Results'!$B$2:$D259,2,FALSE)</f>
        <v>44942</v>
      </c>
      <c r="C94" s="47">
        <f>COUNTIF('ALL Tube Results'!B93:B259, A94)
</f>
        <v>9</v>
      </c>
      <c r="D94" s="48">
        <f>COUNTIFS('ALL Tube Results'!$B93:$B259, $A94, 'ALL Tube Results'!$F93:$F259, "Negative")
</f>
        <v>9</v>
      </c>
      <c r="E94" s="48">
        <f>COUNTIFS('ALL Tube Results'!$B93:$B259, $A94, 'ALL Tube Results'!$F93:$F259, "Positive")
</f>
        <v>0</v>
      </c>
      <c r="F94" s="48">
        <f>COUNTIFS('ALL Tube Results'!$B93:$B259, $A94, 'ALL Tube Results'!$F93:$F259, "Inconclusive")
</f>
        <v>0</v>
      </c>
      <c r="G94" s="49">
        <f t="shared" si="7"/>
        <v>9</v>
      </c>
      <c r="H94" s="49" t="str">
        <f t="shared" si="8"/>
        <v/>
      </c>
      <c r="I94" s="50">
        <f t="shared" si="9"/>
        <v>9</v>
      </c>
      <c r="J94" s="51">
        <f t="shared" si="10"/>
        <v>0</v>
      </c>
      <c r="K94" s="51">
        <f t="shared" si="11"/>
        <v>0</v>
      </c>
      <c r="L94" s="51" t="str">
        <f t="shared" si="12"/>
        <v/>
      </c>
      <c r="M94" s="51" t="str">
        <f t="shared" si="13"/>
        <v/>
      </c>
      <c r="N94" s="51" t="str">
        <f t="shared" si="14"/>
        <v/>
      </c>
      <c r="O94" s="52">
        <f t="shared" si="15"/>
        <v>9</v>
      </c>
      <c r="P94" s="52" t="str">
        <f t="shared" si="16"/>
        <v/>
      </c>
      <c r="Q94" s="43"/>
      <c r="R94" s="7" t="s">
        <v>119</v>
      </c>
      <c r="S94" s="12">
        <v>44942.0</v>
      </c>
      <c r="T94" s="54">
        <f>VLOOKUP(R94,'Run Reconcile'!$A$2:$L259,12,FALSE)</f>
        <v>9</v>
      </c>
      <c r="U94" s="55" t="str">
        <f t="shared" si="17"/>
        <v/>
      </c>
      <c r="V94" s="54"/>
      <c r="W94" s="54"/>
      <c r="X94" s="43"/>
      <c r="Y94" s="7" t="str">
        <f>IFERROR(__xludf.DUMMYFUNCTION("""COMPUTED_VALUE"""),"RUN-ABRM_2023-01-17_RFR-135")</f>
        <v>RUN-ABRM_2023-01-17_RFR-135</v>
      </c>
      <c r="Z94" s="12">
        <f>IFERROR(__xludf.DUMMYFUNCTION("""COMPUTED_VALUE"""),44943.0)</f>
        <v>44943</v>
      </c>
      <c r="AA94" s="50">
        <f t="array" ref="AA94">INDEX('RFR Data - preExcl'!AK$2:AK259,$AE94,1)</f>
        <v>10</v>
      </c>
      <c r="AB94" s="54">
        <f t="shared" si="18"/>
        <v>10</v>
      </c>
      <c r="AC94" s="54">
        <f t="array" ref="AC94">INDEX('RFR Data - preExcl'!AI$2:AI259,$AE94,1)</f>
        <v>0</v>
      </c>
      <c r="AD94" s="54">
        <f t="array" ref="AD94">INDEX('RFR Data - preExcl'!AF$2:AF259,$AE94,1)</f>
        <v>0</v>
      </c>
      <c r="AE94" s="56">
        <f>IFNA(MATCH(Y94,'RFR Data - preExcl'!A$2:A259,0),"")</f>
        <v>135</v>
      </c>
      <c r="AF94" s="43"/>
      <c r="AG94" s="58" t="s">
        <v>119</v>
      </c>
      <c r="AH94" s="46">
        <f>VLOOKUP(AG94,'Run Reconcile'!A$2:B259,2,FALSE)</f>
        <v>44942</v>
      </c>
      <c r="AI94" s="54">
        <f>COUNTIF('APS Tubes IMPORT'!$V$2:$V259, AG94)
</f>
        <v>9</v>
      </c>
      <c r="AJ94" s="54">
        <f>COUNTIFS('APS Tubes IMPORT'!V$2:V259, AG94, 'APS Tubes IMPORT'!H$2:H259, "Negative")
</f>
        <v>9</v>
      </c>
      <c r="AK94" s="54">
        <f>COUNTIFS('APS Tubes IMPORT'!V93:V259, AG94, 'APS Tubes IMPORT'!H93:H259, "Positive")
</f>
        <v>0</v>
      </c>
      <c r="AL94" s="54">
        <f>COUNTIFS('APS Tubes IMPORT'!V93:V259, AG94, 'APS Tubes IMPORT'!H93:H259, "Inconclusive")
</f>
        <v>0</v>
      </c>
      <c r="AM94" s="54">
        <f>COUNTIFS('APS Tubes IMPORT'!V93:V259, AG94, 'APS Tubes IMPORT'!H93:H259, "Null")
</f>
        <v>0</v>
      </c>
      <c r="AN94" s="43"/>
      <c r="AP94" s="54"/>
      <c r="AQ94" s="54"/>
      <c r="AR94" s="54"/>
      <c r="AS94" s="54"/>
      <c r="AU94" s="43"/>
    </row>
    <row r="95">
      <c r="A95" s="7" t="s">
        <v>120</v>
      </c>
      <c r="B95" s="46">
        <f>VLOOKUP(A95,'ALL Tube Results'!$B$2:$D259,2,FALSE)</f>
        <v>44943</v>
      </c>
      <c r="C95" s="47">
        <f>COUNTIF('ALL Tube Results'!B94:B259, A95)
</f>
        <v>10</v>
      </c>
      <c r="D95" s="48">
        <f>COUNTIFS('ALL Tube Results'!$B94:$B259, $A95, 'ALL Tube Results'!$F94:$F259, "Negative")
</f>
        <v>10</v>
      </c>
      <c r="E95" s="48">
        <f>COUNTIFS('ALL Tube Results'!$B94:$B259, $A95, 'ALL Tube Results'!$F94:$F259, "Positive")
</f>
        <v>0</v>
      </c>
      <c r="F95" s="48">
        <f>COUNTIFS('ALL Tube Results'!$B94:$B259, $A95, 'ALL Tube Results'!$F94:$F259, "Inconclusive")
</f>
        <v>0</v>
      </c>
      <c r="G95" s="49">
        <f t="shared" si="7"/>
        <v>10</v>
      </c>
      <c r="H95" s="49" t="str">
        <f t="shared" si="8"/>
        <v/>
      </c>
      <c r="I95" s="50">
        <f t="shared" si="9"/>
        <v>10</v>
      </c>
      <c r="J95" s="51">
        <f t="shared" si="10"/>
        <v>0</v>
      </c>
      <c r="K95" s="51">
        <f t="shared" si="11"/>
        <v>0</v>
      </c>
      <c r="L95" s="51" t="str">
        <f t="shared" si="12"/>
        <v/>
      </c>
      <c r="M95" s="51" t="str">
        <f t="shared" si="13"/>
        <v/>
      </c>
      <c r="N95" s="51" t="str">
        <f t="shared" si="14"/>
        <v/>
      </c>
      <c r="O95" s="52">
        <f t="shared" si="15"/>
        <v>10</v>
      </c>
      <c r="P95" s="52" t="str">
        <f t="shared" si="16"/>
        <v/>
      </c>
      <c r="Q95" s="43"/>
      <c r="R95" s="7" t="s">
        <v>120</v>
      </c>
      <c r="S95" s="12">
        <v>44943.0</v>
      </c>
      <c r="T95" s="54">
        <f>VLOOKUP(R95,'Run Reconcile'!$A$2:$L259,12,FALSE)</f>
        <v>10</v>
      </c>
      <c r="U95" s="55" t="str">
        <f t="shared" si="17"/>
        <v/>
      </c>
      <c r="V95" s="54"/>
      <c r="W95" s="54"/>
      <c r="X95" s="43"/>
      <c r="Y95" s="7" t="str">
        <f>IFERROR(__xludf.DUMMYFUNCTION("""COMPUTED_VALUE"""),"RUN-ABRM_2023-01-18_RFR-136")</f>
        <v>RUN-ABRM_2023-01-18_RFR-136</v>
      </c>
      <c r="Z95" s="12">
        <f>IFERROR(__xludf.DUMMYFUNCTION("""COMPUTED_VALUE"""),44944.0)</f>
        <v>44944</v>
      </c>
      <c r="AA95" s="50">
        <f t="array" ref="AA95">INDEX('RFR Data - preExcl'!AK$2:AK259,$AE95,1)</f>
        <v>6</v>
      </c>
      <c r="AB95" s="54">
        <f t="shared" si="18"/>
        <v>6</v>
      </c>
      <c r="AC95" s="54">
        <f t="array" ref="AC95">INDEX('RFR Data - preExcl'!AI$2:AI259,$AE95,1)</f>
        <v>0</v>
      </c>
      <c r="AD95" s="54">
        <f t="array" ref="AD95">INDEX('RFR Data - preExcl'!AF$2:AF259,$AE95,1)</f>
        <v>0</v>
      </c>
      <c r="AE95" s="56">
        <f>IFNA(MATCH(Y95,'RFR Data - preExcl'!A$2:A259,0),"")</f>
        <v>136</v>
      </c>
      <c r="AF95" s="43"/>
      <c r="AG95" s="58" t="s">
        <v>120</v>
      </c>
      <c r="AH95" s="46">
        <f>VLOOKUP(AG95,'Run Reconcile'!A$2:B259,2,FALSE)</f>
        <v>44943</v>
      </c>
      <c r="AI95" s="54">
        <f>COUNTIF('APS Tubes IMPORT'!$V$2:$V259, AG95)
</f>
        <v>10</v>
      </c>
      <c r="AJ95" s="54">
        <f>COUNTIFS('APS Tubes IMPORT'!V$2:V259, AG95, 'APS Tubes IMPORT'!H$2:H259, "Negative")
</f>
        <v>10</v>
      </c>
      <c r="AK95" s="54">
        <f>COUNTIFS('APS Tubes IMPORT'!V94:V259, AG95, 'APS Tubes IMPORT'!H94:H259, "Positive")
</f>
        <v>0</v>
      </c>
      <c r="AL95" s="54">
        <f>COUNTIFS('APS Tubes IMPORT'!V94:V259, AG95, 'APS Tubes IMPORT'!H94:H259, "Inconclusive")
</f>
        <v>0</v>
      </c>
      <c r="AM95" s="54">
        <f>COUNTIFS('APS Tubes IMPORT'!V94:V259, AG95, 'APS Tubes IMPORT'!H94:H259, "Null")
</f>
        <v>0</v>
      </c>
      <c r="AN95" s="43"/>
      <c r="AP95" s="54"/>
      <c r="AQ95" s="54"/>
      <c r="AR95" s="54"/>
      <c r="AS95" s="54"/>
      <c r="AU95" s="43"/>
    </row>
    <row r="96">
      <c r="A96" s="7" t="s">
        <v>121</v>
      </c>
      <c r="B96" s="46">
        <f>VLOOKUP(A96,'ALL Tube Results'!$B$2:$D259,2,FALSE)</f>
        <v>44944</v>
      </c>
      <c r="C96" s="47">
        <f>COUNTIF('ALL Tube Results'!B95:B259, A96)
</f>
        <v>6</v>
      </c>
      <c r="D96" s="48">
        <f>COUNTIFS('ALL Tube Results'!$B95:$B259, $A96, 'ALL Tube Results'!$F95:$F259, "Negative")
</f>
        <v>6</v>
      </c>
      <c r="E96" s="48">
        <f>COUNTIFS('ALL Tube Results'!$B95:$B259, $A96, 'ALL Tube Results'!$F95:$F259, "Positive")
</f>
        <v>0</v>
      </c>
      <c r="F96" s="48">
        <f>COUNTIFS('ALL Tube Results'!$B95:$B259, $A96, 'ALL Tube Results'!$F95:$F259, "Inconclusive")
</f>
        <v>0</v>
      </c>
      <c r="G96" s="49">
        <f t="shared" si="7"/>
        <v>6</v>
      </c>
      <c r="H96" s="49" t="str">
        <f t="shared" si="8"/>
        <v/>
      </c>
      <c r="I96" s="50">
        <f t="shared" si="9"/>
        <v>6</v>
      </c>
      <c r="J96" s="51">
        <f t="shared" si="10"/>
        <v>0</v>
      </c>
      <c r="K96" s="51">
        <f t="shared" si="11"/>
        <v>0</v>
      </c>
      <c r="L96" s="51" t="str">
        <f t="shared" si="12"/>
        <v/>
      </c>
      <c r="M96" s="51" t="str">
        <f t="shared" si="13"/>
        <v/>
      </c>
      <c r="N96" s="51" t="str">
        <f t="shared" si="14"/>
        <v/>
      </c>
      <c r="O96" s="52">
        <f t="shared" si="15"/>
        <v>6</v>
      </c>
      <c r="P96" s="52" t="str">
        <f t="shared" si="16"/>
        <v/>
      </c>
      <c r="Q96" s="43"/>
      <c r="R96" s="7" t="s">
        <v>121</v>
      </c>
      <c r="S96" s="12">
        <v>44944.0</v>
      </c>
      <c r="T96" s="54">
        <f>VLOOKUP(R96,'Run Reconcile'!$A$2:$L259,12,FALSE)</f>
        <v>6</v>
      </c>
      <c r="U96" s="55" t="str">
        <f t="shared" si="17"/>
        <v/>
      </c>
      <c r="V96" s="54"/>
      <c r="W96" s="54"/>
      <c r="X96" s="43"/>
      <c r="Y96" s="7" t="str">
        <f>IFERROR(__xludf.DUMMYFUNCTION("""COMPUTED_VALUE"""),"RUN-ABRM_2023-01-19_RFR-137")</f>
        <v>RUN-ABRM_2023-01-19_RFR-137</v>
      </c>
      <c r="Z96" s="12">
        <f>IFERROR(__xludf.DUMMYFUNCTION("""COMPUTED_VALUE"""),44945.0)</f>
        <v>44945</v>
      </c>
      <c r="AA96" s="50">
        <f t="array" ref="AA96">INDEX('RFR Data - preExcl'!AK$2:AK259,$AE96,1)</f>
        <v>9</v>
      </c>
      <c r="AB96" s="54">
        <f t="shared" si="18"/>
        <v>9</v>
      </c>
      <c r="AC96" s="54">
        <f t="array" ref="AC96">INDEX('RFR Data - preExcl'!AI$2:AI259,$AE96,1)</f>
        <v>0</v>
      </c>
      <c r="AD96" s="54">
        <f t="array" ref="AD96">INDEX('RFR Data - preExcl'!AF$2:AF259,$AE96,1)</f>
        <v>0</v>
      </c>
      <c r="AE96" s="56">
        <f>IFNA(MATCH(Y96,'RFR Data - preExcl'!A$2:A259,0),"")</f>
        <v>137</v>
      </c>
      <c r="AF96" s="43"/>
      <c r="AG96" s="58" t="s">
        <v>121</v>
      </c>
      <c r="AH96" s="46">
        <f>VLOOKUP(AG96,'Run Reconcile'!A$2:B259,2,FALSE)</f>
        <v>44944</v>
      </c>
      <c r="AI96" s="54">
        <f>COUNTIF('APS Tubes IMPORT'!$V$2:$V259, AG96)
</f>
        <v>6</v>
      </c>
      <c r="AJ96" s="54">
        <f>COUNTIFS('APS Tubes IMPORT'!V$2:V259, AG96, 'APS Tubes IMPORT'!H$2:H259, "Negative")
</f>
        <v>6</v>
      </c>
      <c r="AK96" s="54">
        <f>COUNTIFS('APS Tubes IMPORT'!V95:V259, AG96, 'APS Tubes IMPORT'!H95:H259, "Positive")
</f>
        <v>0</v>
      </c>
      <c r="AL96" s="54">
        <f>COUNTIFS('APS Tubes IMPORT'!V95:V259, AG96, 'APS Tubes IMPORT'!H95:H259, "Inconclusive")
</f>
        <v>0</v>
      </c>
      <c r="AM96" s="54">
        <f>COUNTIFS('APS Tubes IMPORT'!V95:V259, AG96, 'APS Tubes IMPORT'!H95:H259, "Null")
</f>
        <v>0</v>
      </c>
      <c r="AN96" s="43"/>
      <c r="AP96" s="54"/>
      <c r="AQ96" s="54"/>
      <c r="AR96" s="54"/>
      <c r="AS96" s="54"/>
      <c r="AU96" s="43"/>
    </row>
    <row r="97">
      <c r="A97" s="7" t="s">
        <v>122</v>
      </c>
      <c r="B97" s="46">
        <f>VLOOKUP(A97,'ALL Tube Results'!$B$2:$D259,2,FALSE)</f>
        <v>44945</v>
      </c>
      <c r="C97" s="47">
        <f>COUNTIF('ALL Tube Results'!B96:B259, A97)
</f>
        <v>9</v>
      </c>
      <c r="D97" s="48">
        <f>COUNTIFS('ALL Tube Results'!$B96:$B259, $A97, 'ALL Tube Results'!$F96:$F259, "Negative")
</f>
        <v>9</v>
      </c>
      <c r="E97" s="48">
        <f>COUNTIFS('ALL Tube Results'!$B96:$B259, $A97, 'ALL Tube Results'!$F96:$F259, "Positive")
</f>
        <v>0</v>
      </c>
      <c r="F97" s="48">
        <f>COUNTIFS('ALL Tube Results'!$B96:$B259, $A97, 'ALL Tube Results'!$F96:$F259, "Inconclusive")
</f>
        <v>0</v>
      </c>
      <c r="G97" s="49">
        <f t="shared" si="7"/>
        <v>9</v>
      </c>
      <c r="H97" s="49" t="str">
        <f t="shared" si="8"/>
        <v/>
      </c>
      <c r="I97" s="50">
        <f t="shared" si="9"/>
        <v>9</v>
      </c>
      <c r="J97" s="51">
        <f t="shared" si="10"/>
        <v>0</v>
      </c>
      <c r="K97" s="51">
        <f t="shared" si="11"/>
        <v>0</v>
      </c>
      <c r="L97" s="51" t="str">
        <f t="shared" si="12"/>
        <v/>
      </c>
      <c r="M97" s="51" t="str">
        <f t="shared" si="13"/>
        <v/>
      </c>
      <c r="N97" s="51" t="str">
        <f t="shared" si="14"/>
        <v/>
      </c>
      <c r="O97" s="52">
        <f t="shared" si="15"/>
        <v>9</v>
      </c>
      <c r="P97" s="52" t="str">
        <f t="shared" si="16"/>
        <v/>
      </c>
      <c r="Q97" s="43"/>
      <c r="R97" s="7" t="s">
        <v>122</v>
      </c>
      <c r="S97" s="12">
        <v>44945.0</v>
      </c>
      <c r="T97" s="54">
        <f>VLOOKUP(R97,'Run Reconcile'!$A$2:$L259,12,FALSE)</f>
        <v>9</v>
      </c>
      <c r="U97" s="55" t="str">
        <f t="shared" si="17"/>
        <v/>
      </c>
      <c r="V97" s="54"/>
      <c r="W97" s="54"/>
      <c r="X97" s="43"/>
      <c r="Y97" s="7" t="str">
        <f>IFERROR(__xludf.DUMMYFUNCTION("""COMPUTED_VALUE"""),"RUN-ABRM_2023-01-20_RFR-139")</f>
        <v>RUN-ABRM_2023-01-20_RFR-139</v>
      </c>
      <c r="Z97" s="12">
        <f>IFERROR(__xludf.DUMMYFUNCTION("""COMPUTED_VALUE"""),44946.0)</f>
        <v>44946</v>
      </c>
      <c r="AA97" s="50">
        <f t="array" ref="AA97">INDEX('RFR Data - preExcl'!AK$2:AK259,$AE97,1)</f>
        <v>6</v>
      </c>
      <c r="AB97" s="54">
        <f t="shared" si="18"/>
        <v>5</v>
      </c>
      <c r="AC97" s="54">
        <f t="array" ref="AC97">INDEX('RFR Data - preExcl'!AI$2:AI259,$AE97,1)</f>
        <v>0</v>
      </c>
      <c r="AD97" s="54">
        <f t="array" ref="AD97">INDEX('RFR Data - preExcl'!AF$2:AF259,$AE97,1)</f>
        <v>1</v>
      </c>
      <c r="AE97" s="56">
        <f>IFNA(MATCH(Y97,'RFR Data - preExcl'!A$2:A259,0),"")</f>
        <v>139</v>
      </c>
      <c r="AF97" s="43"/>
      <c r="AG97" s="58" t="s">
        <v>122</v>
      </c>
      <c r="AH97" s="46">
        <f>VLOOKUP(AG97,'Run Reconcile'!A$2:B259,2,FALSE)</f>
        <v>44945</v>
      </c>
      <c r="AI97" s="54">
        <f>COUNTIF('APS Tubes IMPORT'!$V$2:$V259, AG97)
</f>
        <v>9</v>
      </c>
      <c r="AJ97" s="54">
        <f>COUNTIFS('APS Tubes IMPORT'!V$2:V259, AG97, 'APS Tubes IMPORT'!H$2:H259, "Negative")
</f>
        <v>9</v>
      </c>
      <c r="AK97" s="54">
        <f>COUNTIFS('APS Tubes IMPORT'!V96:V259, AG97, 'APS Tubes IMPORT'!H96:H259, "Positive")
</f>
        <v>0</v>
      </c>
      <c r="AL97" s="54">
        <f>COUNTIFS('APS Tubes IMPORT'!V96:V259, AG97, 'APS Tubes IMPORT'!H96:H259, "Inconclusive")
</f>
        <v>0</v>
      </c>
      <c r="AM97" s="54">
        <f>COUNTIFS('APS Tubes IMPORT'!V96:V259, AG97, 'APS Tubes IMPORT'!H96:H259, "Null")
</f>
        <v>0</v>
      </c>
      <c r="AN97" s="43"/>
      <c r="AP97" s="54"/>
      <c r="AQ97" s="54"/>
      <c r="AR97" s="54"/>
      <c r="AS97" s="54"/>
      <c r="AU97" s="43"/>
    </row>
    <row r="98">
      <c r="A98" s="7" t="s">
        <v>123</v>
      </c>
      <c r="B98" s="46">
        <f>VLOOKUP(A98,'ALL Tube Results'!$B$2:$D259,2,FALSE)</f>
        <v>44946</v>
      </c>
      <c r="C98" s="47">
        <f>COUNTIF('ALL Tube Results'!B97:B259, A98)
</f>
        <v>6</v>
      </c>
      <c r="D98" s="48">
        <f>COUNTIFS('ALL Tube Results'!$B97:$B259, $A98, 'ALL Tube Results'!$F97:$F259, "Negative")
</f>
        <v>5</v>
      </c>
      <c r="E98" s="48">
        <f>COUNTIFS('ALL Tube Results'!$B97:$B259, $A98, 'ALL Tube Results'!$F97:$F259, "Positive")
</f>
        <v>0</v>
      </c>
      <c r="F98" s="48">
        <f>COUNTIFS('ALL Tube Results'!$B97:$B259, $A98, 'ALL Tube Results'!$F97:$F259, "Inconclusive")
</f>
        <v>1</v>
      </c>
      <c r="G98" s="49">
        <f t="shared" si="7"/>
        <v>6</v>
      </c>
      <c r="H98" s="49" t="str">
        <f t="shared" si="8"/>
        <v/>
      </c>
      <c r="I98" s="50">
        <f t="shared" si="9"/>
        <v>6</v>
      </c>
      <c r="J98" s="51">
        <f t="shared" si="10"/>
        <v>0</v>
      </c>
      <c r="K98" s="51">
        <f t="shared" si="11"/>
        <v>1</v>
      </c>
      <c r="L98" s="51" t="str">
        <f t="shared" si="12"/>
        <v/>
      </c>
      <c r="M98" s="51" t="str">
        <f t="shared" si="13"/>
        <v/>
      </c>
      <c r="N98" s="61" t="str">
        <f t="shared" si="14"/>
        <v/>
      </c>
      <c r="O98" s="52">
        <f t="shared" si="15"/>
        <v>6</v>
      </c>
      <c r="P98" s="52" t="str">
        <f t="shared" si="16"/>
        <v/>
      </c>
      <c r="Q98" s="43"/>
      <c r="R98" s="7" t="s">
        <v>123</v>
      </c>
      <c r="S98" s="12">
        <v>44946.0</v>
      </c>
      <c r="T98" s="54">
        <f>VLOOKUP(R98,'Run Reconcile'!$A$2:$L259,12,FALSE)</f>
        <v>6</v>
      </c>
      <c r="U98" s="55" t="str">
        <f t="shared" si="17"/>
        <v/>
      </c>
      <c r="V98" s="54"/>
      <c r="W98" s="54"/>
      <c r="X98" s="43"/>
      <c r="Y98" s="7" t="str">
        <f>IFERROR(__xludf.DUMMYFUNCTION("""COMPUTED_VALUE"""),"RUN-ABRM_2023-01-23_RFR-140")</f>
        <v>RUN-ABRM_2023-01-23_RFR-140</v>
      </c>
      <c r="Z98" s="12">
        <f>IFERROR(__xludf.DUMMYFUNCTION("""COMPUTED_VALUE"""),44949.0)</f>
        <v>44949</v>
      </c>
      <c r="AA98" s="50">
        <f t="array" ref="AA98">INDEX('RFR Data - preExcl'!AK$2:AK259,$AE98,1)</f>
        <v>8</v>
      </c>
      <c r="AB98" s="54">
        <f t="shared" si="18"/>
        <v>8</v>
      </c>
      <c r="AC98" s="54">
        <f t="array" ref="AC98">INDEX('RFR Data - preExcl'!AI$2:AI259,$AE98,1)</f>
        <v>0</v>
      </c>
      <c r="AD98" s="54">
        <f t="array" ref="AD98">INDEX('RFR Data - preExcl'!AF$2:AF259,$AE98,1)</f>
        <v>0</v>
      </c>
      <c r="AE98" s="56">
        <f>IFNA(MATCH(Y98,'RFR Data - preExcl'!A$2:A259,0),"")</f>
        <v>140</v>
      </c>
      <c r="AF98" s="43"/>
      <c r="AG98" s="58" t="s">
        <v>123</v>
      </c>
      <c r="AH98" s="46">
        <f>VLOOKUP(AG98,'Run Reconcile'!A$2:B259,2,FALSE)</f>
        <v>44946</v>
      </c>
      <c r="AI98" s="54">
        <f>COUNTIF('APS Tubes IMPORT'!$V$2:$V259, AG98)
</f>
        <v>6</v>
      </c>
      <c r="AJ98" s="54">
        <f>COUNTIFS('APS Tubes IMPORT'!V$2:V259, AG98, 'APS Tubes IMPORT'!H$2:H259, "Negative")
</f>
        <v>5</v>
      </c>
      <c r="AK98" s="54">
        <f>COUNTIFS('APS Tubes IMPORT'!V97:V259, AG98, 'APS Tubes IMPORT'!H97:H259, "Positive")
</f>
        <v>0</v>
      </c>
      <c r="AL98" s="54">
        <f>COUNTIFS('APS Tubes IMPORT'!V97:V259, AG98, 'APS Tubes IMPORT'!H97:H259, "Inconclusive")
</f>
        <v>1</v>
      </c>
      <c r="AM98" s="54">
        <f>COUNTIFS('APS Tubes IMPORT'!V97:V259, AG98, 'APS Tubes IMPORT'!H97:H259, "Null")
</f>
        <v>0</v>
      </c>
      <c r="AN98" s="43"/>
      <c r="AP98" s="54"/>
      <c r="AQ98" s="54"/>
      <c r="AR98" s="54"/>
      <c r="AS98" s="54"/>
      <c r="AU98" s="43"/>
    </row>
    <row r="99">
      <c r="A99" s="7" t="s">
        <v>124</v>
      </c>
      <c r="B99" s="46">
        <f>VLOOKUP(A99,'ALL Tube Results'!$B$2:$D259,2,FALSE)</f>
        <v>44949</v>
      </c>
      <c r="C99" s="47">
        <f>COUNTIF('ALL Tube Results'!B98:B259, A99)
</f>
        <v>1</v>
      </c>
      <c r="D99" s="48">
        <f>COUNTIFS('ALL Tube Results'!$B98:$B259, $A99, 'ALL Tube Results'!$F98:$F259, "Negative")
</f>
        <v>1</v>
      </c>
      <c r="E99" s="48">
        <f>COUNTIFS('ALL Tube Results'!$B98:$B259, $A99, 'ALL Tube Results'!$F98:$F259, "Positive")
</f>
        <v>0</v>
      </c>
      <c r="F99" s="48">
        <f>COUNTIFS('ALL Tube Results'!$B98:$B259, $A99, 'ALL Tube Results'!$F98:$F259, "Inconclusive")
</f>
        <v>0</v>
      </c>
      <c r="G99" s="49">
        <f t="shared" si="7"/>
        <v>1</v>
      </c>
      <c r="H99" s="49" t="str">
        <f t="shared" si="8"/>
        <v/>
      </c>
      <c r="I99" s="50" t="str">
        <f t="shared" si="9"/>
        <v/>
      </c>
      <c r="J99" s="51" t="str">
        <f t="shared" si="10"/>
        <v/>
      </c>
      <c r="K99" s="51" t="str">
        <f t="shared" si="11"/>
        <v/>
      </c>
      <c r="L99" s="51">
        <f t="shared" si="12"/>
        <v>1</v>
      </c>
      <c r="M99" s="51" t="str">
        <f t="shared" si="13"/>
        <v/>
      </c>
      <c r="N99" s="51" t="str">
        <f t="shared" si="14"/>
        <v/>
      </c>
      <c r="O99" s="52">
        <f t="shared" si="15"/>
        <v>1</v>
      </c>
      <c r="P99" s="52" t="str">
        <f t="shared" si="16"/>
        <v/>
      </c>
      <c r="Q99" s="43"/>
      <c r="R99" s="7" t="s">
        <v>124</v>
      </c>
      <c r="S99" s="12">
        <v>44949.0</v>
      </c>
      <c r="T99" s="54">
        <f>VLOOKUP(R99,'Run Reconcile'!$A$2:$L259,12,FALSE)</f>
        <v>1</v>
      </c>
      <c r="U99" s="55" t="str">
        <f t="shared" si="17"/>
        <v/>
      </c>
      <c r="V99" s="54"/>
      <c r="W99" s="54"/>
      <c r="X99" s="43"/>
      <c r="Y99" s="7" t="str">
        <f>IFERROR(__xludf.DUMMYFUNCTION("""COMPUTED_VALUE"""),"RUN-ABRM_2023-01-25_RFR-143")</f>
        <v>RUN-ABRM_2023-01-25_RFR-143</v>
      </c>
      <c r="Z99" s="12">
        <f>IFERROR(__xludf.DUMMYFUNCTION("""COMPUTED_VALUE"""),44951.0)</f>
        <v>44951</v>
      </c>
      <c r="AA99" s="50">
        <f t="array" ref="AA99">INDEX('RFR Data - preExcl'!AK$2:AK259,$AE99,1)</f>
        <v>7</v>
      </c>
      <c r="AB99" s="54">
        <f t="shared" si="18"/>
        <v>7</v>
      </c>
      <c r="AC99" s="54">
        <f t="array" ref="AC99">INDEX('RFR Data - preExcl'!AI$2:AI259,$AE99,1)</f>
        <v>0</v>
      </c>
      <c r="AD99" s="54">
        <f t="array" ref="AD99">INDEX('RFR Data - preExcl'!AF$2:AF259,$AE99,1)</f>
        <v>0</v>
      </c>
      <c r="AE99" s="56">
        <f>IFNA(MATCH(Y99,'RFR Data - preExcl'!A$2:A259,0),"")</f>
        <v>143</v>
      </c>
      <c r="AF99" s="43"/>
      <c r="AG99" s="58" t="s">
        <v>124</v>
      </c>
      <c r="AH99" s="46">
        <f>VLOOKUP(AG99,'Run Reconcile'!A$2:B259,2,FALSE)</f>
        <v>44949</v>
      </c>
      <c r="AI99" s="54">
        <f>COUNTIF('APS Tubes IMPORT'!$V$2:$V259, AG99)
</f>
        <v>1</v>
      </c>
      <c r="AJ99" s="54">
        <f>COUNTIFS('APS Tubes IMPORT'!V$2:V259, AG99, 'APS Tubes IMPORT'!H$2:H259, "Negative")
</f>
        <v>1</v>
      </c>
      <c r="AK99" s="54">
        <f>COUNTIFS('APS Tubes IMPORT'!V98:V259, AG99, 'APS Tubes IMPORT'!H98:H259, "Positive")
</f>
        <v>0</v>
      </c>
      <c r="AL99" s="54">
        <f>COUNTIFS('APS Tubes IMPORT'!V98:V259, AG99, 'APS Tubes IMPORT'!H98:H259, "Inconclusive")
</f>
        <v>0</v>
      </c>
      <c r="AM99" s="54">
        <f>COUNTIFS('APS Tubes IMPORT'!V98:V259, AG99, 'APS Tubes IMPORT'!H98:H259, "Null")
</f>
        <v>0</v>
      </c>
      <c r="AN99" s="43"/>
      <c r="AP99" s="54"/>
      <c r="AQ99" s="54"/>
      <c r="AR99" s="54"/>
      <c r="AS99" s="54"/>
      <c r="AU99" s="43"/>
    </row>
    <row r="100">
      <c r="A100" s="7" t="s">
        <v>125</v>
      </c>
      <c r="B100" s="46">
        <f>VLOOKUP(A100,'ALL Tube Results'!$B$2:$D259,2,FALSE)</f>
        <v>44949</v>
      </c>
      <c r="C100" s="47">
        <f>COUNTIF('ALL Tube Results'!B99:B259, A100)
</f>
        <v>8</v>
      </c>
      <c r="D100" s="48">
        <f>COUNTIFS('ALL Tube Results'!$B99:$B259, $A100, 'ALL Tube Results'!$F99:$F259, "Negative")
</f>
        <v>8</v>
      </c>
      <c r="E100" s="48">
        <f>COUNTIFS('ALL Tube Results'!$B99:$B259, $A100, 'ALL Tube Results'!$F99:$F259, "Positive")
</f>
        <v>0</v>
      </c>
      <c r="F100" s="48">
        <f>COUNTIFS('ALL Tube Results'!$B99:$B259, $A100, 'ALL Tube Results'!$F99:$F259, "Inconclusive")
</f>
        <v>0</v>
      </c>
      <c r="G100" s="49">
        <f t="shared" si="7"/>
        <v>8</v>
      </c>
      <c r="H100" s="49" t="str">
        <f t="shared" si="8"/>
        <v/>
      </c>
      <c r="I100" s="50">
        <f t="shared" si="9"/>
        <v>8</v>
      </c>
      <c r="J100" s="51">
        <f t="shared" si="10"/>
        <v>0</v>
      </c>
      <c r="K100" s="51">
        <f t="shared" si="11"/>
        <v>0</v>
      </c>
      <c r="L100" s="51" t="str">
        <f t="shared" si="12"/>
        <v/>
      </c>
      <c r="M100" s="51" t="str">
        <f t="shared" si="13"/>
        <v/>
      </c>
      <c r="N100" s="51" t="str">
        <f t="shared" si="14"/>
        <v/>
      </c>
      <c r="O100" s="52">
        <f t="shared" si="15"/>
        <v>8</v>
      </c>
      <c r="P100" s="52" t="str">
        <f t="shared" si="16"/>
        <v/>
      </c>
      <c r="Q100" s="43"/>
      <c r="R100" s="7" t="s">
        <v>125</v>
      </c>
      <c r="S100" s="12">
        <v>44949.0</v>
      </c>
      <c r="T100" s="54">
        <f>VLOOKUP(R100,'Run Reconcile'!$A$2:$L259,12,FALSE)</f>
        <v>8</v>
      </c>
      <c r="U100" s="55" t="str">
        <f t="shared" si="17"/>
        <v/>
      </c>
      <c r="V100" s="54"/>
      <c r="W100" s="54"/>
      <c r="X100" s="43"/>
      <c r="Y100" s="7" t="str">
        <f>IFERROR(__xludf.DUMMYFUNCTION("""COMPUTED_VALUE"""),"RUN-ABRM_2023-01-26_RFR-145")</f>
        <v>RUN-ABRM_2023-01-26_RFR-145</v>
      </c>
      <c r="Z100" s="12">
        <f>IFERROR(__xludf.DUMMYFUNCTION("""COMPUTED_VALUE"""),44952.0)</f>
        <v>44952</v>
      </c>
      <c r="AA100" s="50">
        <f t="array" ref="AA100">INDEX('RFR Data - preExcl'!AK$2:AK259,$AE100,1)</f>
        <v>6</v>
      </c>
      <c r="AB100" s="54">
        <f t="shared" si="18"/>
        <v>6</v>
      </c>
      <c r="AC100" s="54">
        <f t="array" ref="AC100">INDEX('RFR Data - preExcl'!AI$2:AI259,$AE100,1)</f>
        <v>0</v>
      </c>
      <c r="AD100" s="54">
        <f t="array" ref="AD100">INDEX('RFR Data - preExcl'!AF$2:AF259,$AE100,1)</f>
        <v>0</v>
      </c>
      <c r="AE100" s="56">
        <f>IFNA(MATCH(Y100,'RFR Data - preExcl'!A$2:A259,0),"")</f>
        <v>145</v>
      </c>
      <c r="AF100" s="43"/>
      <c r="AG100" s="58" t="s">
        <v>125</v>
      </c>
      <c r="AH100" s="46">
        <f>VLOOKUP(AG100,'Run Reconcile'!A$2:B259,2,FALSE)</f>
        <v>44949</v>
      </c>
      <c r="AI100" s="54">
        <f>COUNTIF('APS Tubes IMPORT'!$V$2:$V259, AG100)
</f>
        <v>8</v>
      </c>
      <c r="AJ100" s="54">
        <f>COUNTIFS('APS Tubes IMPORT'!V$2:V259, AG100, 'APS Tubes IMPORT'!H$2:H259, "Negative")
</f>
        <v>8</v>
      </c>
      <c r="AK100" s="54">
        <f>COUNTIFS('APS Tubes IMPORT'!V99:V259, AG100, 'APS Tubes IMPORT'!H99:H259, "Positive")
</f>
        <v>0</v>
      </c>
      <c r="AL100" s="54">
        <f>COUNTIFS('APS Tubes IMPORT'!V99:V259, AG100, 'APS Tubes IMPORT'!H99:H259, "Inconclusive")
</f>
        <v>0</v>
      </c>
      <c r="AM100" s="54">
        <f>COUNTIFS('APS Tubes IMPORT'!V99:V259, AG100, 'APS Tubes IMPORT'!H99:H259, "Null")
</f>
        <v>0</v>
      </c>
      <c r="AN100" s="43"/>
      <c r="AP100" s="54"/>
      <c r="AQ100" s="54"/>
      <c r="AR100" s="54"/>
      <c r="AS100" s="54"/>
      <c r="AU100" s="43"/>
    </row>
    <row r="101">
      <c r="A101" s="7" t="s">
        <v>126</v>
      </c>
      <c r="B101" s="46">
        <f>VLOOKUP(A101,'ALL Tube Results'!$B$2:$D259,2,FALSE)</f>
        <v>44951</v>
      </c>
      <c r="C101" s="47">
        <f>COUNTIF('ALL Tube Results'!B100:B259, A101)
</f>
        <v>7</v>
      </c>
      <c r="D101" s="48">
        <f>COUNTIFS('ALL Tube Results'!$B100:$B259, $A101, 'ALL Tube Results'!$F100:$F259, "Negative")
</f>
        <v>7</v>
      </c>
      <c r="E101" s="48">
        <f>COUNTIFS('ALL Tube Results'!$B100:$B259, $A101, 'ALL Tube Results'!$F100:$F259, "Positive")
</f>
        <v>0</v>
      </c>
      <c r="F101" s="48">
        <f>COUNTIFS('ALL Tube Results'!$B100:$B259, $A101, 'ALL Tube Results'!$F100:$F259, "Inconclusive")
</f>
        <v>0</v>
      </c>
      <c r="G101" s="49">
        <f t="shared" si="7"/>
        <v>7</v>
      </c>
      <c r="H101" s="49" t="str">
        <f t="shared" si="8"/>
        <v/>
      </c>
      <c r="I101" s="50">
        <f t="shared" si="9"/>
        <v>7</v>
      </c>
      <c r="J101" s="51">
        <f t="shared" si="10"/>
        <v>0</v>
      </c>
      <c r="K101" s="51">
        <f t="shared" si="11"/>
        <v>0</v>
      </c>
      <c r="L101" s="51" t="str">
        <f t="shared" si="12"/>
        <v/>
      </c>
      <c r="M101" s="51" t="str">
        <f t="shared" si="13"/>
        <v/>
      </c>
      <c r="N101" s="51" t="str">
        <f t="shared" si="14"/>
        <v/>
      </c>
      <c r="O101" s="52">
        <f t="shared" si="15"/>
        <v>7</v>
      </c>
      <c r="P101" s="52" t="str">
        <f t="shared" si="16"/>
        <v/>
      </c>
      <c r="Q101" s="43"/>
      <c r="R101" s="7" t="s">
        <v>126</v>
      </c>
      <c r="S101" s="12">
        <v>44951.0</v>
      </c>
      <c r="T101" s="54">
        <f>VLOOKUP(R101,'Run Reconcile'!$A$2:$L259,12,FALSE)</f>
        <v>7</v>
      </c>
      <c r="U101" s="55" t="str">
        <f t="shared" si="17"/>
        <v/>
      </c>
      <c r="V101" s="54"/>
      <c r="W101" s="54"/>
      <c r="X101" s="43"/>
      <c r="Y101" s="7" t="str">
        <f>IFERROR(__xludf.DUMMYFUNCTION("""COMPUTED_VALUE"""),"RUN-ABRM_2023-01-27_RFR-147")</f>
        <v>RUN-ABRM_2023-01-27_RFR-147</v>
      </c>
      <c r="Z101" s="12">
        <f>IFERROR(__xludf.DUMMYFUNCTION("""COMPUTED_VALUE"""),44953.0)</f>
        <v>44953</v>
      </c>
      <c r="AA101" s="50">
        <f t="array" ref="AA101">INDEX('RFR Data - preExcl'!AK$2:AK259,$AE101,1)</f>
        <v>6</v>
      </c>
      <c r="AB101" s="54">
        <f t="shared" si="18"/>
        <v>6</v>
      </c>
      <c r="AC101" s="54">
        <f t="array" ref="AC101">INDEX('RFR Data - preExcl'!AI$2:AI259,$AE101,1)</f>
        <v>0</v>
      </c>
      <c r="AD101" s="54">
        <f t="array" ref="AD101">INDEX('RFR Data - preExcl'!AF$2:AF259,$AE101,1)</f>
        <v>0</v>
      </c>
      <c r="AE101" s="56">
        <f>IFNA(MATCH(Y101,'RFR Data - preExcl'!A$2:A259,0),"")</f>
        <v>147</v>
      </c>
      <c r="AF101" s="43"/>
      <c r="AG101" s="58" t="s">
        <v>126</v>
      </c>
      <c r="AH101" s="46">
        <f>VLOOKUP(AG101,'Run Reconcile'!A$2:B259,2,FALSE)</f>
        <v>44951</v>
      </c>
      <c r="AI101" s="54">
        <f>COUNTIF('APS Tubes IMPORT'!$V$2:$V259, AG101)
</f>
        <v>7</v>
      </c>
      <c r="AJ101" s="54">
        <f>COUNTIFS('APS Tubes IMPORT'!V$2:V259, AG101, 'APS Tubes IMPORT'!H$2:H259, "Negative")
</f>
        <v>7</v>
      </c>
      <c r="AK101" s="54">
        <f>COUNTIFS('APS Tubes IMPORT'!V100:V259, AG101, 'APS Tubes IMPORT'!H100:H259, "Positive")
</f>
        <v>0</v>
      </c>
      <c r="AL101" s="54">
        <f>COUNTIFS('APS Tubes IMPORT'!V100:V259, AG101, 'APS Tubes IMPORT'!H100:H259, "Inconclusive")
</f>
        <v>0</v>
      </c>
      <c r="AM101" s="54">
        <f>COUNTIFS('APS Tubes IMPORT'!V100:V259, AG101, 'APS Tubes IMPORT'!H100:H259, "Null")
</f>
        <v>0</v>
      </c>
      <c r="AN101" s="43"/>
      <c r="AP101" s="54"/>
      <c r="AQ101" s="54"/>
      <c r="AR101" s="54"/>
      <c r="AS101" s="54"/>
      <c r="AU101" s="43"/>
    </row>
    <row r="102">
      <c r="A102" s="7" t="s">
        <v>127</v>
      </c>
      <c r="B102" s="46">
        <f>VLOOKUP(A102,'ALL Tube Results'!$B$2:$D259,2,FALSE)</f>
        <v>44952</v>
      </c>
      <c r="C102" s="47">
        <f>COUNTIF('ALL Tube Results'!B101:B259, A102)
</f>
        <v>6</v>
      </c>
      <c r="D102" s="48">
        <f>COUNTIFS('ALL Tube Results'!$B101:$B259, $A102, 'ALL Tube Results'!$F101:$F259, "Negative")
</f>
        <v>6</v>
      </c>
      <c r="E102" s="48">
        <f>COUNTIFS('ALL Tube Results'!$B101:$B259, $A102, 'ALL Tube Results'!$F101:$F259, "Positive")
</f>
        <v>0</v>
      </c>
      <c r="F102" s="48">
        <f>COUNTIFS('ALL Tube Results'!$B101:$B259, $A102, 'ALL Tube Results'!$F101:$F259, "Inconclusive")
</f>
        <v>0</v>
      </c>
      <c r="G102" s="49">
        <f t="shared" si="7"/>
        <v>6</v>
      </c>
      <c r="H102" s="49" t="str">
        <f t="shared" si="8"/>
        <v/>
      </c>
      <c r="I102" s="50">
        <f t="shared" si="9"/>
        <v>6</v>
      </c>
      <c r="J102" s="51">
        <f t="shared" si="10"/>
        <v>0</v>
      </c>
      <c r="K102" s="51">
        <f t="shared" si="11"/>
        <v>0</v>
      </c>
      <c r="L102" s="51" t="str">
        <f t="shared" si="12"/>
        <v/>
      </c>
      <c r="M102" s="51" t="str">
        <f t="shared" si="13"/>
        <v/>
      </c>
      <c r="N102" s="51" t="str">
        <f t="shared" si="14"/>
        <v/>
      </c>
      <c r="O102" s="52">
        <f t="shared" si="15"/>
        <v>6</v>
      </c>
      <c r="P102" s="52" t="str">
        <f t="shared" si="16"/>
        <v/>
      </c>
      <c r="Q102" s="43"/>
      <c r="R102" s="7" t="s">
        <v>127</v>
      </c>
      <c r="S102" s="12">
        <v>44952.0</v>
      </c>
      <c r="T102" s="54">
        <f>VLOOKUP(R102,'Run Reconcile'!$A$2:$L259,12,FALSE)</f>
        <v>6</v>
      </c>
      <c r="U102" s="55" t="str">
        <f t="shared" si="17"/>
        <v/>
      </c>
      <c r="V102" s="54"/>
      <c r="W102" s="54"/>
      <c r="X102" s="43"/>
      <c r="Y102" s="7" t="str">
        <f>IFERROR(__xludf.DUMMYFUNCTION("""COMPUTED_VALUE"""),"RUN-ABRM_2023-01-30_RFR-149")</f>
        <v>RUN-ABRM_2023-01-30_RFR-149</v>
      </c>
      <c r="Z102" s="12">
        <f>IFERROR(__xludf.DUMMYFUNCTION("""COMPUTED_VALUE"""),44956.0)</f>
        <v>44956</v>
      </c>
      <c r="AA102" s="50">
        <f t="array" ref="AA102">INDEX('RFR Data - preExcl'!AK$2:AK259,$AE102,1)</f>
        <v>7</v>
      </c>
      <c r="AB102" s="54">
        <f t="shared" si="18"/>
        <v>7</v>
      </c>
      <c r="AC102" s="54">
        <f t="array" ref="AC102">INDEX('RFR Data - preExcl'!AI$2:AI259,$AE102,1)</f>
        <v>0</v>
      </c>
      <c r="AD102" s="54">
        <f t="array" ref="AD102">INDEX('RFR Data - preExcl'!AF$2:AF259,$AE102,1)</f>
        <v>0</v>
      </c>
      <c r="AE102" s="56">
        <f>IFNA(MATCH(Y102,'RFR Data - preExcl'!A$2:A259,0),"")</f>
        <v>149</v>
      </c>
      <c r="AF102" s="43"/>
      <c r="AG102" s="58" t="s">
        <v>127</v>
      </c>
      <c r="AH102" s="46">
        <f>VLOOKUP(AG102,'Run Reconcile'!A$2:B259,2,FALSE)</f>
        <v>44952</v>
      </c>
      <c r="AI102" s="54">
        <f>COUNTIF('APS Tubes IMPORT'!$V$2:$V259, AG102)
</f>
        <v>6</v>
      </c>
      <c r="AJ102" s="54">
        <f>COUNTIFS('APS Tubes IMPORT'!V$2:V259, AG102, 'APS Tubes IMPORT'!H$2:H259, "Negative")
</f>
        <v>6</v>
      </c>
      <c r="AK102" s="54">
        <f>COUNTIFS('APS Tubes IMPORT'!V101:V259, AG102, 'APS Tubes IMPORT'!H101:H259, "Positive")
</f>
        <v>0</v>
      </c>
      <c r="AL102" s="54">
        <f>COUNTIFS('APS Tubes IMPORT'!V101:V259, AG102, 'APS Tubes IMPORT'!H101:H259, "Inconclusive")
</f>
        <v>0</v>
      </c>
      <c r="AM102" s="54">
        <f>COUNTIFS('APS Tubes IMPORT'!V101:V259, AG102, 'APS Tubes IMPORT'!H101:H259, "Null")
</f>
        <v>0</v>
      </c>
      <c r="AN102" s="43"/>
      <c r="AP102" s="54"/>
      <c r="AQ102" s="54"/>
      <c r="AR102" s="54"/>
      <c r="AS102" s="54"/>
      <c r="AU102" s="43"/>
    </row>
    <row r="103">
      <c r="A103" s="7" t="s">
        <v>128</v>
      </c>
      <c r="B103" s="46">
        <f>VLOOKUP(A103,'ALL Tube Results'!$B$2:$D259,2,FALSE)</f>
        <v>44953</v>
      </c>
      <c r="C103" s="47">
        <f>COUNTIF('ALL Tube Results'!B102:B259, A103)
</f>
        <v>1</v>
      </c>
      <c r="D103" s="48">
        <f>COUNTIFS('ALL Tube Results'!$B102:$B259, $A103, 'ALL Tube Results'!$F102:$F259, "Negative")
</f>
        <v>1</v>
      </c>
      <c r="E103" s="48">
        <f>COUNTIFS('ALL Tube Results'!$B102:$B259, $A103, 'ALL Tube Results'!$F102:$F259, "Positive")
</f>
        <v>0</v>
      </c>
      <c r="F103" s="48">
        <f>COUNTIFS('ALL Tube Results'!$B102:$B259, $A103, 'ALL Tube Results'!$F102:$F259, "Inconclusive")
</f>
        <v>0</v>
      </c>
      <c r="G103" s="49">
        <f t="shared" si="7"/>
        <v>1</v>
      </c>
      <c r="H103" s="49" t="str">
        <f t="shared" si="8"/>
        <v/>
      </c>
      <c r="I103" s="50" t="str">
        <f t="shared" si="9"/>
        <v/>
      </c>
      <c r="J103" s="51" t="str">
        <f t="shared" si="10"/>
        <v/>
      </c>
      <c r="K103" s="51" t="str">
        <f t="shared" si="11"/>
        <v/>
      </c>
      <c r="L103" s="51">
        <f t="shared" si="12"/>
        <v>1</v>
      </c>
      <c r="M103" s="51" t="str">
        <f t="shared" si="13"/>
        <v/>
      </c>
      <c r="N103" s="51" t="str">
        <f t="shared" si="14"/>
        <v/>
      </c>
      <c r="O103" s="52">
        <f t="shared" si="15"/>
        <v>1</v>
      </c>
      <c r="P103" s="52" t="str">
        <f t="shared" si="16"/>
        <v/>
      </c>
      <c r="Q103" s="43"/>
      <c r="R103" s="7" t="s">
        <v>128</v>
      </c>
      <c r="S103" s="12">
        <v>44953.0</v>
      </c>
      <c r="T103" s="54">
        <f>VLOOKUP(R103,'Run Reconcile'!$A$2:$L259,12,FALSE)</f>
        <v>1</v>
      </c>
      <c r="U103" s="55" t="str">
        <f t="shared" si="17"/>
        <v/>
      </c>
      <c r="V103" s="54"/>
      <c r="W103" s="54"/>
      <c r="X103" s="43"/>
      <c r="Y103" s="7" t="str">
        <f>IFERROR(__xludf.DUMMYFUNCTION("""COMPUTED_VALUE"""),"RUN-ABRM_2023-02-06_RFR-150")</f>
        <v>RUN-ABRM_2023-02-06_RFR-150</v>
      </c>
      <c r="Z103" s="12">
        <f>IFERROR(__xludf.DUMMYFUNCTION("""COMPUTED_VALUE"""),44963.0)</f>
        <v>44963</v>
      </c>
      <c r="AA103" s="50">
        <f t="array" ref="AA103">INDEX('RFR Data - preExcl'!AK$2:AK259,$AE103,1)</f>
        <v>2</v>
      </c>
      <c r="AB103" s="54">
        <f t="shared" si="18"/>
        <v>2</v>
      </c>
      <c r="AC103" s="54">
        <f t="array" ref="AC103">INDEX('RFR Data - preExcl'!AI$2:AI259,$AE103,1)</f>
        <v>0</v>
      </c>
      <c r="AD103" s="54">
        <f t="array" ref="AD103">INDEX('RFR Data - preExcl'!AF$2:AF259,$AE103,1)</f>
        <v>0</v>
      </c>
      <c r="AE103" s="56">
        <f>IFNA(MATCH(Y103,'RFR Data - preExcl'!A$2:A259,0),"")</f>
        <v>150</v>
      </c>
      <c r="AF103" s="43"/>
      <c r="AG103" s="58" t="s">
        <v>128</v>
      </c>
      <c r="AH103" s="46">
        <f>VLOOKUP(AG103,'Run Reconcile'!A$2:B259,2,FALSE)</f>
        <v>44953</v>
      </c>
      <c r="AI103" s="54">
        <f>COUNTIF('APS Tubes IMPORT'!$V$2:$V259, AG103)
</f>
        <v>1</v>
      </c>
      <c r="AJ103" s="54">
        <f>COUNTIFS('APS Tubes IMPORT'!V$2:V259, AG103, 'APS Tubes IMPORT'!H$2:H259, "Negative")
</f>
        <v>1</v>
      </c>
      <c r="AK103" s="54">
        <f>COUNTIFS('APS Tubes IMPORT'!V102:V259, AG103, 'APS Tubes IMPORT'!H102:H259, "Positive")
</f>
        <v>0</v>
      </c>
      <c r="AL103" s="54">
        <f>COUNTIFS('APS Tubes IMPORT'!V102:V259, AG103, 'APS Tubes IMPORT'!H102:H259, "Inconclusive")
</f>
        <v>0</v>
      </c>
      <c r="AM103" s="54">
        <f>COUNTIFS('APS Tubes IMPORT'!V102:V259, AG103, 'APS Tubes IMPORT'!H102:H259, "Null")
</f>
        <v>0</v>
      </c>
      <c r="AN103" s="43"/>
      <c r="AP103" s="54"/>
      <c r="AQ103" s="54"/>
      <c r="AR103" s="54"/>
      <c r="AS103" s="54"/>
      <c r="AU103" s="43"/>
    </row>
    <row r="104">
      <c r="A104" s="7" t="s">
        <v>129</v>
      </c>
      <c r="B104" s="46">
        <f>VLOOKUP(A104,'ALL Tube Results'!$B$2:$D259,2,FALSE)</f>
        <v>44953</v>
      </c>
      <c r="C104" s="47">
        <f>COUNTIF('ALL Tube Results'!B103:B259, A104)
</f>
        <v>6</v>
      </c>
      <c r="D104" s="48">
        <f>COUNTIFS('ALL Tube Results'!$B103:$B259, $A104, 'ALL Tube Results'!$F103:$F259, "Negative")
</f>
        <v>6</v>
      </c>
      <c r="E104" s="48">
        <f>COUNTIFS('ALL Tube Results'!$B103:$B259, $A104, 'ALL Tube Results'!$F103:$F259, "Positive")
</f>
        <v>0</v>
      </c>
      <c r="F104" s="48">
        <f>COUNTIFS('ALL Tube Results'!$B103:$B259, $A104, 'ALL Tube Results'!$F103:$F259, "Inconclusive")
</f>
        <v>0</v>
      </c>
      <c r="G104" s="49">
        <f t="shared" si="7"/>
        <v>6</v>
      </c>
      <c r="H104" s="49" t="str">
        <f t="shared" si="8"/>
        <v/>
      </c>
      <c r="I104" s="50">
        <f t="shared" si="9"/>
        <v>6</v>
      </c>
      <c r="J104" s="51">
        <f t="shared" si="10"/>
        <v>0</v>
      </c>
      <c r="K104" s="51">
        <f t="shared" si="11"/>
        <v>0</v>
      </c>
      <c r="L104" s="51" t="str">
        <f t="shared" si="12"/>
        <v/>
      </c>
      <c r="M104" s="51" t="str">
        <f t="shared" si="13"/>
        <v/>
      </c>
      <c r="N104" s="51" t="str">
        <f t="shared" si="14"/>
        <v/>
      </c>
      <c r="O104" s="52">
        <f t="shared" si="15"/>
        <v>6</v>
      </c>
      <c r="P104" s="52" t="str">
        <f t="shared" si="16"/>
        <v/>
      </c>
      <c r="Q104" s="43"/>
      <c r="R104" s="7" t="s">
        <v>129</v>
      </c>
      <c r="S104" s="12">
        <v>44953.0</v>
      </c>
      <c r="T104" s="54">
        <f>VLOOKUP(R104,'Run Reconcile'!$A$2:$L259,12,FALSE)</f>
        <v>6</v>
      </c>
      <c r="U104" s="55" t="str">
        <f t="shared" si="17"/>
        <v/>
      </c>
      <c r="V104" s="54"/>
      <c r="W104" s="54"/>
      <c r="X104" s="43"/>
      <c r="Y104" s="7" t="str">
        <f>IFERROR(__xludf.DUMMYFUNCTION("""COMPUTED_VALUE"""),"RUN-ABRM_2023-02-08_RFR-151")</f>
        <v>RUN-ABRM_2023-02-08_RFR-151</v>
      </c>
      <c r="Z104" s="12">
        <f>IFERROR(__xludf.DUMMYFUNCTION("""COMPUTED_VALUE"""),44965.0)</f>
        <v>44965</v>
      </c>
      <c r="AA104" s="50">
        <f t="array" ref="AA104">INDEX('RFR Data - preExcl'!AK$2:AK259,$AE104,1)</f>
        <v>8</v>
      </c>
      <c r="AB104" s="54">
        <f t="shared" si="18"/>
        <v>8</v>
      </c>
      <c r="AC104" s="54">
        <f t="array" ref="AC104">INDEX('RFR Data - preExcl'!AI$2:AI259,$AE104,1)</f>
        <v>0</v>
      </c>
      <c r="AD104" s="54">
        <f t="array" ref="AD104">INDEX('RFR Data - preExcl'!AF$2:AF259,$AE104,1)</f>
        <v>0</v>
      </c>
      <c r="AE104" s="56">
        <f>IFNA(MATCH(Y104,'RFR Data - preExcl'!A$2:A259,0),"")</f>
        <v>151</v>
      </c>
      <c r="AF104" s="43"/>
      <c r="AG104" s="58" t="s">
        <v>129</v>
      </c>
      <c r="AH104" s="46">
        <f>VLOOKUP(AG104,'Run Reconcile'!A$2:B259,2,FALSE)</f>
        <v>44953</v>
      </c>
      <c r="AI104" s="54">
        <f>COUNTIF('APS Tubes IMPORT'!$V$2:$V259, AG104)
</f>
        <v>6</v>
      </c>
      <c r="AJ104" s="54">
        <f>COUNTIFS('APS Tubes IMPORT'!V$2:V259, AG104, 'APS Tubes IMPORT'!H$2:H259, "Negative")
</f>
        <v>6</v>
      </c>
      <c r="AK104" s="54">
        <f>COUNTIFS('APS Tubes IMPORT'!V103:V259, AG104, 'APS Tubes IMPORT'!H103:H259, "Positive")
</f>
        <v>0</v>
      </c>
      <c r="AL104" s="54">
        <f>COUNTIFS('APS Tubes IMPORT'!V103:V259, AG104, 'APS Tubes IMPORT'!H103:H259, "Inconclusive")
</f>
        <v>0</v>
      </c>
      <c r="AM104" s="54">
        <f>COUNTIFS('APS Tubes IMPORT'!V103:V259, AG104, 'APS Tubes IMPORT'!H103:H259, "Null")
</f>
        <v>0</v>
      </c>
      <c r="AN104" s="43"/>
      <c r="AP104" s="54"/>
      <c r="AQ104" s="54"/>
      <c r="AR104" s="54"/>
      <c r="AS104" s="54"/>
      <c r="AU104" s="43"/>
    </row>
    <row r="105">
      <c r="A105" s="7" t="s">
        <v>130</v>
      </c>
      <c r="B105" s="46">
        <f>VLOOKUP(A105,'ALL Tube Results'!$B$2:$D259,2,FALSE)</f>
        <v>44956</v>
      </c>
      <c r="C105" s="47">
        <f>COUNTIF('ALL Tube Results'!B104:B259, A105)
</f>
        <v>7</v>
      </c>
      <c r="D105" s="48">
        <f>COUNTIFS('ALL Tube Results'!$B104:$B259, $A105, 'ALL Tube Results'!$F104:$F259, "Negative")
</f>
        <v>7</v>
      </c>
      <c r="E105" s="48">
        <f>COUNTIFS('ALL Tube Results'!$B104:$B259, $A105, 'ALL Tube Results'!$F104:$F259, "Positive")
</f>
        <v>0</v>
      </c>
      <c r="F105" s="48">
        <f>COUNTIFS('ALL Tube Results'!$B104:$B259, $A105, 'ALL Tube Results'!$F104:$F259, "Inconclusive")
</f>
        <v>0</v>
      </c>
      <c r="G105" s="49">
        <f t="shared" si="7"/>
        <v>7</v>
      </c>
      <c r="H105" s="49" t="str">
        <f t="shared" si="8"/>
        <v/>
      </c>
      <c r="I105" s="50">
        <f t="shared" si="9"/>
        <v>7</v>
      </c>
      <c r="J105" s="51">
        <f t="shared" si="10"/>
        <v>0</v>
      </c>
      <c r="K105" s="51">
        <f t="shared" si="11"/>
        <v>0</v>
      </c>
      <c r="L105" s="51" t="str">
        <f t="shared" si="12"/>
        <v/>
      </c>
      <c r="M105" s="51" t="str">
        <f t="shared" si="13"/>
        <v/>
      </c>
      <c r="N105" s="51" t="str">
        <f t="shared" si="14"/>
        <v/>
      </c>
      <c r="O105" s="52">
        <f t="shared" si="15"/>
        <v>7</v>
      </c>
      <c r="P105" s="52" t="str">
        <f t="shared" si="16"/>
        <v/>
      </c>
      <c r="Q105" s="43"/>
      <c r="R105" s="7" t="s">
        <v>130</v>
      </c>
      <c r="S105" s="12">
        <v>44956.0</v>
      </c>
      <c r="T105" s="54">
        <f>VLOOKUP(R105,'Run Reconcile'!$A$2:$L259,12,FALSE)</f>
        <v>7</v>
      </c>
      <c r="U105" s="55" t="str">
        <f t="shared" si="17"/>
        <v/>
      </c>
      <c r="V105" s="54"/>
      <c r="W105" s="54"/>
      <c r="X105" s="43"/>
      <c r="Y105" s="7" t="str">
        <f>IFERROR(__xludf.DUMMYFUNCTION("""COMPUTED_VALUE"""),"RUN-ABRM_2023-02-09_RFR-153")</f>
        <v>RUN-ABRM_2023-02-09_RFR-153</v>
      </c>
      <c r="Z105" s="12">
        <f>IFERROR(__xludf.DUMMYFUNCTION("""COMPUTED_VALUE"""),44966.0)</f>
        <v>44966</v>
      </c>
      <c r="AA105" s="50">
        <f t="array" ref="AA105">INDEX('RFR Data - preExcl'!AK$2:AK259,$AE105,1)</f>
        <v>9</v>
      </c>
      <c r="AB105" s="54">
        <f t="shared" si="18"/>
        <v>9</v>
      </c>
      <c r="AC105" s="54">
        <f t="array" ref="AC105">INDEX('RFR Data - preExcl'!AI$2:AI259,$AE105,1)</f>
        <v>0</v>
      </c>
      <c r="AD105" s="54">
        <f t="array" ref="AD105">INDEX('RFR Data - preExcl'!AF$2:AF259,$AE105,1)</f>
        <v>0</v>
      </c>
      <c r="AE105" s="56">
        <f>IFNA(MATCH(Y105,'RFR Data - preExcl'!A$2:A259,0),"")</f>
        <v>153</v>
      </c>
      <c r="AF105" s="43"/>
      <c r="AG105" s="58" t="s">
        <v>130</v>
      </c>
      <c r="AH105" s="46">
        <f>VLOOKUP(AG105,'Run Reconcile'!A$2:B259,2,FALSE)</f>
        <v>44956</v>
      </c>
      <c r="AI105" s="54">
        <f>COUNTIF('APS Tubes IMPORT'!$V$2:$V259, AG105)
</f>
        <v>7</v>
      </c>
      <c r="AJ105" s="54">
        <f>COUNTIFS('APS Tubes IMPORT'!V$2:V259, AG105, 'APS Tubes IMPORT'!H$2:H259, "Negative")
</f>
        <v>7</v>
      </c>
      <c r="AK105" s="54">
        <f>COUNTIFS('APS Tubes IMPORT'!V104:V259, AG105, 'APS Tubes IMPORT'!H104:H259, "Positive")
</f>
        <v>0</v>
      </c>
      <c r="AL105" s="54">
        <f>COUNTIFS('APS Tubes IMPORT'!V104:V259, AG105, 'APS Tubes IMPORT'!H104:H259, "Inconclusive")
</f>
        <v>0</v>
      </c>
      <c r="AM105" s="54">
        <f>COUNTIFS('APS Tubes IMPORT'!V104:V259, AG105, 'APS Tubes IMPORT'!H104:H259, "Null")
</f>
        <v>0</v>
      </c>
      <c r="AN105" s="43"/>
      <c r="AP105" s="54"/>
      <c r="AQ105" s="54"/>
      <c r="AR105" s="54"/>
      <c r="AS105" s="54"/>
      <c r="AU105" s="43"/>
    </row>
    <row r="106">
      <c r="A106" s="7" t="s">
        <v>131</v>
      </c>
      <c r="B106" s="46">
        <f>VLOOKUP(A106,'ALL Tube Results'!$B$2:$D259,2,FALSE)</f>
        <v>44963</v>
      </c>
      <c r="C106" s="47">
        <f>COUNTIF('ALL Tube Results'!B105:B259, A106)
</f>
        <v>2</v>
      </c>
      <c r="D106" s="48">
        <f>COUNTIFS('ALL Tube Results'!$B105:$B259, $A106, 'ALL Tube Results'!$F105:$F259, "Negative")
</f>
        <v>2</v>
      </c>
      <c r="E106" s="48">
        <f>COUNTIFS('ALL Tube Results'!$B105:$B259, $A106, 'ALL Tube Results'!$F105:$F259, "Positive")
</f>
        <v>0</v>
      </c>
      <c r="F106" s="48">
        <f>COUNTIFS('ALL Tube Results'!$B105:$B259, $A106, 'ALL Tube Results'!$F105:$F259, "Inconclusive")
</f>
        <v>0</v>
      </c>
      <c r="G106" s="49">
        <f t="shared" si="7"/>
        <v>2</v>
      </c>
      <c r="H106" s="49" t="str">
        <f t="shared" si="8"/>
        <v/>
      </c>
      <c r="I106" s="50">
        <f t="shared" si="9"/>
        <v>2</v>
      </c>
      <c r="J106" s="51">
        <f t="shared" si="10"/>
        <v>0</v>
      </c>
      <c r="K106" s="51">
        <f t="shared" si="11"/>
        <v>0</v>
      </c>
      <c r="L106" s="51" t="str">
        <f t="shared" si="12"/>
        <v/>
      </c>
      <c r="M106" s="51" t="str">
        <f t="shared" si="13"/>
        <v/>
      </c>
      <c r="N106" s="51" t="str">
        <f t="shared" si="14"/>
        <v/>
      </c>
      <c r="O106" s="52">
        <f t="shared" si="15"/>
        <v>2</v>
      </c>
      <c r="P106" s="52" t="str">
        <f t="shared" si="16"/>
        <v/>
      </c>
      <c r="Q106" s="43"/>
      <c r="R106" s="7" t="s">
        <v>131</v>
      </c>
      <c r="S106" s="12">
        <v>44963.0</v>
      </c>
      <c r="T106" s="54">
        <f>VLOOKUP(R106,'Run Reconcile'!$A$2:$L259,12,FALSE)</f>
        <v>2</v>
      </c>
      <c r="U106" s="55" t="str">
        <f t="shared" si="17"/>
        <v/>
      </c>
      <c r="V106" s="54"/>
      <c r="W106" s="54"/>
      <c r="X106" s="43"/>
      <c r="Y106" s="7" t="str">
        <f>IFERROR(__xludf.DUMMYFUNCTION("""COMPUTED_VALUE"""),"RUN-ABRM_2023-02-10_RFR-154")</f>
        <v>RUN-ABRM_2023-02-10_RFR-154</v>
      </c>
      <c r="Z106" s="12">
        <f>IFERROR(__xludf.DUMMYFUNCTION("""COMPUTED_VALUE"""),44967.0)</f>
        <v>44967</v>
      </c>
      <c r="AA106" s="50">
        <f t="array" ref="AA106">INDEX('RFR Data - preExcl'!AK$2:AK259,$AE106,1)</f>
        <v>8</v>
      </c>
      <c r="AB106" s="54">
        <f t="shared" si="18"/>
        <v>8</v>
      </c>
      <c r="AC106" s="54">
        <f t="array" ref="AC106">INDEX('RFR Data - preExcl'!AI$2:AI259,$AE106,1)</f>
        <v>0</v>
      </c>
      <c r="AD106" s="54">
        <f t="array" ref="AD106">INDEX('RFR Data - preExcl'!AF$2:AF259,$AE106,1)</f>
        <v>0</v>
      </c>
      <c r="AE106" s="56">
        <f>IFNA(MATCH(Y106,'RFR Data - preExcl'!A$2:A259,0),"")</f>
        <v>154</v>
      </c>
      <c r="AF106" s="43"/>
      <c r="AG106" s="58" t="s">
        <v>131</v>
      </c>
      <c r="AH106" s="46">
        <f>VLOOKUP(AG106,'Run Reconcile'!A$2:B259,2,FALSE)</f>
        <v>44963</v>
      </c>
      <c r="AI106" s="54">
        <f>COUNTIF('APS Tubes IMPORT'!$V$2:$V259, AG106)
</f>
        <v>2</v>
      </c>
      <c r="AJ106" s="54">
        <f>COUNTIFS('APS Tubes IMPORT'!V$2:V259, AG106, 'APS Tubes IMPORT'!H$2:H259, "Negative")
</f>
        <v>2</v>
      </c>
      <c r="AK106" s="54">
        <f>COUNTIFS('APS Tubes IMPORT'!V105:V259, AG106, 'APS Tubes IMPORT'!H105:H259, "Positive")
</f>
        <v>0</v>
      </c>
      <c r="AL106" s="54">
        <f>COUNTIFS('APS Tubes IMPORT'!V105:V259, AG106, 'APS Tubes IMPORT'!H105:H259, "Inconclusive")
</f>
        <v>0</v>
      </c>
      <c r="AM106" s="54">
        <f>COUNTIFS('APS Tubes IMPORT'!V105:V259, AG106, 'APS Tubes IMPORT'!H105:H259, "Null")
</f>
        <v>0</v>
      </c>
      <c r="AN106" s="43"/>
      <c r="AP106" s="54"/>
      <c r="AQ106" s="54"/>
      <c r="AR106" s="54"/>
      <c r="AS106" s="54"/>
      <c r="AU106" s="43"/>
    </row>
    <row r="107">
      <c r="A107" s="7" t="s">
        <v>132</v>
      </c>
      <c r="B107" s="46">
        <f>VLOOKUP(A107,'ALL Tube Results'!$B$2:$D259,2,FALSE)</f>
        <v>44964</v>
      </c>
      <c r="C107" s="47">
        <f>COUNTIF('ALL Tube Results'!B106:B259, A107)
</f>
        <v>6</v>
      </c>
      <c r="D107" s="48">
        <f>COUNTIFS('ALL Tube Results'!$B106:$B259, $A107, 'ALL Tube Results'!$F106:$F259, "Negative")
</f>
        <v>6</v>
      </c>
      <c r="E107" s="48">
        <f>COUNTIFS('ALL Tube Results'!$B106:$B259, $A107, 'ALL Tube Results'!$F106:$F259, "Positive")
</f>
        <v>0</v>
      </c>
      <c r="F107" s="48">
        <f>COUNTIFS('ALL Tube Results'!$B106:$B259, $A107, 'ALL Tube Results'!$F106:$F259, "Inconclusive")
</f>
        <v>0</v>
      </c>
      <c r="G107" s="49">
        <f t="shared" si="7"/>
        <v>6</v>
      </c>
      <c r="H107" s="49" t="str">
        <f t="shared" si="8"/>
        <v/>
      </c>
      <c r="I107" s="50" t="str">
        <f t="shared" si="9"/>
        <v/>
      </c>
      <c r="J107" s="51" t="str">
        <f t="shared" si="10"/>
        <v/>
      </c>
      <c r="K107" s="51" t="str">
        <f t="shared" si="11"/>
        <v/>
      </c>
      <c r="L107" s="51">
        <f t="shared" si="12"/>
        <v>6</v>
      </c>
      <c r="M107" s="51" t="str">
        <f t="shared" si="13"/>
        <v/>
      </c>
      <c r="N107" s="51" t="str">
        <f t="shared" si="14"/>
        <v/>
      </c>
      <c r="O107" s="52">
        <f t="shared" si="15"/>
        <v>6</v>
      </c>
      <c r="P107" s="52" t="str">
        <f t="shared" si="16"/>
        <v/>
      </c>
      <c r="Q107" s="43"/>
      <c r="R107" s="7" t="s">
        <v>132</v>
      </c>
      <c r="S107" s="12">
        <v>44964.0</v>
      </c>
      <c r="T107" s="54">
        <f>VLOOKUP(R107,'Run Reconcile'!$A$2:$L259,12,FALSE)</f>
        <v>6</v>
      </c>
      <c r="U107" s="55" t="str">
        <f t="shared" si="17"/>
        <v/>
      </c>
      <c r="V107" s="54"/>
      <c r="W107" s="54"/>
      <c r="X107" s="43"/>
      <c r="Y107" s="7" t="str">
        <f>IFERROR(__xludf.DUMMYFUNCTION("""COMPUTED_VALUE"""),"RUN-ABRM_2023-02-13_RFR-156")</f>
        <v>RUN-ABRM_2023-02-13_RFR-156</v>
      </c>
      <c r="Z107" s="12">
        <f>IFERROR(__xludf.DUMMYFUNCTION("""COMPUTED_VALUE"""),44970.0)</f>
        <v>44970</v>
      </c>
      <c r="AA107" s="50">
        <f t="array" ref="AA107">INDEX('RFR Data - preExcl'!AK$2:AK259,$AE107,1)</f>
        <v>9</v>
      </c>
      <c r="AB107" s="54">
        <f t="shared" si="18"/>
        <v>9</v>
      </c>
      <c r="AC107" s="54">
        <f t="array" ref="AC107">INDEX('RFR Data - preExcl'!AI$2:AI259,$AE107,1)</f>
        <v>0</v>
      </c>
      <c r="AD107" s="54">
        <f t="array" ref="AD107">INDEX('RFR Data - preExcl'!AF$2:AF259,$AE107,1)</f>
        <v>0</v>
      </c>
      <c r="AE107" s="56">
        <f>IFNA(MATCH(Y107,'RFR Data - preExcl'!A$2:A259,0),"")</f>
        <v>156</v>
      </c>
      <c r="AF107" s="43"/>
      <c r="AG107" s="58" t="s">
        <v>132</v>
      </c>
      <c r="AH107" s="46">
        <f>VLOOKUP(AG107,'Run Reconcile'!A$2:B259,2,FALSE)</f>
        <v>44964</v>
      </c>
      <c r="AI107" s="54">
        <f>COUNTIF('APS Tubes IMPORT'!$V$2:$V259, AG107)
</f>
        <v>6</v>
      </c>
      <c r="AJ107" s="54">
        <f>COUNTIFS('APS Tubes IMPORT'!V$2:V259, AG107, 'APS Tubes IMPORT'!H$2:H259, "Negative")
</f>
        <v>6</v>
      </c>
      <c r="AK107" s="54">
        <f>COUNTIFS('APS Tubes IMPORT'!V106:V259, AG107, 'APS Tubes IMPORT'!H106:H259, "Positive")
</f>
        <v>0</v>
      </c>
      <c r="AL107" s="54">
        <f>COUNTIFS('APS Tubes IMPORT'!V106:V259, AG107, 'APS Tubes IMPORT'!H106:H259, "Inconclusive")
</f>
        <v>0</v>
      </c>
      <c r="AM107" s="54">
        <f>COUNTIFS('APS Tubes IMPORT'!V106:V259, AG107, 'APS Tubes IMPORT'!H106:H259, "Null")
</f>
        <v>0</v>
      </c>
      <c r="AN107" s="43"/>
      <c r="AP107" s="54"/>
      <c r="AQ107" s="54"/>
      <c r="AR107" s="54"/>
      <c r="AS107" s="54"/>
      <c r="AU107" s="43"/>
    </row>
    <row r="108">
      <c r="A108" s="7" t="s">
        <v>133</v>
      </c>
      <c r="B108" s="46">
        <f>VLOOKUP(A108,'ALL Tube Results'!$B$2:$D259,2,FALSE)</f>
        <v>44965</v>
      </c>
      <c r="C108" s="47">
        <f>COUNTIF('ALL Tube Results'!B107:B259, A108)
</f>
        <v>8</v>
      </c>
      <c r="D108" s="48">
        <f>COUNTIFS('ALL Tube Results'!$B107:$B259, $A108, 'ALL Tube Results'!$F107:$F259, "Negative")
</f>
        <v>8</v>
      </c>
      <c r="E108" s="48">
        <f>COUNTIFS('ALL Tube Results'!$B107:$B259, $A108, 'ALL Tube Results'!$F107:$F259, "Positive")
</f>
        <v>0</v>
      </c>
      <c r="F108" s="48">
        <f>COUNTIFS('ALL Tube Results'!$B107:$B259, $A108, 'ALL Tube Results'!$F107:$F259, "Inconclusive")
</f>
        <v>0</v>
      </c>
      <c r="G108" s="49">
        <f t="shared" si="7"/>
        <v>8</v>
      </c>
      <c r="H108" s="49" t="str">
        <f t="shared" si="8"/>
        <v/>
      </c>
      <c r="I108" s="50">
        <f t="shared" si="9"/>
        <v>8</v>
      </c>
      <c r="J108" s="51">
        <f t="shared" si="10"/>
        <v>0</v>
      </c>
      <c r="K108" s="51">
        <f t="shared" si="11"/>
        <v>0</v>
      </c>
      <c r="L108" s="51" t="str">
        <f t="shared" si="12"/>
        <v/>
      </c>
      <c r="M108" s="51" t="str">
        <f t="shared" si="13"/>
        <v/>
      </c>
      <c r="N108" s="51" t="str">
        <f t="shared" si="14"/>
        <v/>
      </c>
      <c r="O108" s="52">
        <f t="shared" si="15"/>
        <v>8</v>
      </c>
      <c r="P108" s="52" t="str">
        <f t="shared" si="16"/>
        <v/>
      </c>
      <c r="Q108" s="43"/>
      <c r="R108" s="7" t="s">
        <v>133</v>
      </c>
      <c r="S108" s="12">
        <v>44965.0</v>
      </c>
      <c r="T108" s="54">
        <f>VLOOKUP(R108,'Run Reconcile'!$A$2:$L259,12,FALSE)</f>
        <v>8</v>
      </c>
      <c r="U108" s="55" t="str">
        <f t="shared" si="17"/>
        <v/>
      </c>
      <c r="V108" s="54"/>
      <c r="W108" s="54"/>
      <c r="X108" s="43"/>
      <c r="Y108" s="7" t="str">
        <f>IFERROR(__xludf.DUMMYFUNCTION("""COMPUTED_VALUE"""),"RUN-ABRM_2023-02-14_RFR-158")</f>
        <v>RUN-ABRM_2023-02-14_RFR-158</v>
      </c>
      <c r="Z108" s="12">
        <f>IFERROR(__xludf.DUMMYFUNCTION("""COMPUTED_VALUE"""),44971.0)</f>
        <v>44971</v>
      </c>
      <c r="AA108" s="50">
        <f t="array" ref="AA108">INDEX('RFR Data - preExcl'!AK$2:AK259,$AE108,1)</f>
        <v>8</v>
      </c>
      <c r="AB108" s="54">
        <f t="shared" si="18"/>
        <v>8</v>
      </c>
      <c r="AC108" s="54">
        <f t="array" ref="AC108">INDEX('RFR Data - preExcl'!AI$2:AI259,$AE108,1)</f>
        <v>0</v>
      </c>
      <c r="AD108" s="54">
        <f t="array" ref="AD108">INDEX('RFR Data - preExcl'!AF$2:AF259,$AE108,1)</f>
        <v>0</v>
      </c>
      <c r="AE108" s="56">
        <f>IFNA(MATCH(Y108,'RFR Data - preExcl'!A$2:A259,0),"")</f>
        <v>158</v>
      </c>
      <c r="AF108" s="43"/>
      <c r="AG108" s="58" t="s">
        <v>133</v>
      </c>
      <c r="AH108" s="46">
        <f>VLOOKUP(AG108,'Run Reconcile'!A$2:B259,2,FALSE)</f>
        <v>44965</v>
      </c>
      <c r="AI108" s="54">
        <f>COUNTIF('APS Tubes IMPORT'!$V$2:$V259, AG108)
</f>
        <v>8</v>
      </c>
      <c r="AJ108" s="54">
        <f>COUNTIFS('APS Tubes IMPORT'!V$2:V259, AG108, 'APS Tubes IMPORT'!H$2:H259, "Negative")
</f>
        <v>8</v>
      </c>
      <c r="AK108" s="54">
        <f>COUNTIFS('APS Tubes IMPORT'!V107:V259, AG108, 'APS Tubes IMPORT'!H107:H259, "Positive")
</f>
        <v>0</v>
      </c>
      <c r="AL108" s="54">
        <f>COUNTIFS('APS Tubes IMPORT'!V107:V259, AG108, 'APS Tubes IMPORT'!H107:H259, "Inconclusive")
</f>
        <v>0</v>
      </c>
      <c r="AM108" s="54">
        <f>COUNTIFS('APS Tubes IMPORT'!V107:V259, AG108, 'APS Tubes IMPORT'!H107:H259, "Null")
</f>
        <v>0</v>
      </c>
      <c r="AN108" s="43"/>
      <c r="AP108" s="54"/>
      <c r="AQ108" s="54"/>
      <c r="AR108" s="54"/>
      <c r="AS108" s="54"/>
      <c r="AU108" s="43"/>
    </row>
    <row r="109">
      <c r="A109" s="7" t="s">
        <v>134</v>
      </c>
      <c r="B109" s="46">
        <f>VLOOKUP(A109,'ALL Tube Results'!$B$2:$D259,2,FALSE)</f>
        <v>44966</v>
      </c>
      <c r="C109" s="47">
        <f>COUNTIF('ALL Tube Results'!B108:B259, A109)
</f>
        <v>9</v>
      </c>
      <c r="D109" s="48">
        <f>COUNTIFS('ALL Tube Results'!$B108:$B259, $A109, 'ALL Tube Results'!$F108:$F259, "Negative")
</f>
        <v>9</v>
      </c>
      <c r="E109" s="48">
        <f>COUNTIFS('ALL Tube Results'!$B108:$B259, $A109, 'ALL Tube Results'!$F108:$F259, "Positive")
</f>
        <v>0</v>
      </c>
      <c r="F109" s="48">
        <f>COUNTIFS('ALL Tube Results'!$B108:$B259, $A109, 'ALL Tube Results'!$F108:$F259, "Inconclusive")
</f>
        <v>0</v>
      </c>
      <c r="G109" s="49">
        <f t="shared" si="7"/>
        <v>9</v>
      </c>
      <c r="H109" s="49" t="str">
        <f t="shared" si="8"/>
        <v/>
      </c>
      <c r="I109" s="50">
        <f t="shared" si="9"/>
        <v>9</v>
      </c>
      <c r="J109" s="51">
        <f t="shared" si="10"/>
        <v>0</v>
      </c>
      <c r="K109" s="51">
        <f t="shared" si="11"/>
        <v>0</v>
      </c>
      <c r="L109" s="51" t="str">
        <f t="shared" si="12"/>
        <v/>
      </c>
      <c r="M109" s="51" t="str">
        <f t="shared" si="13"/>
        <v/>
      </c>
      <c r="N109" s="51" t="str">
        <f t="shared" si="14"/>
        <v/>
      </c>
      <c r="O109" s="52">
        <f t="shared" si="15"/>
        <v>9</v>
      </c>
      <c r="P109" s="52" t="str">
        <f t="shared" si="16"/>
        <v/>
      </c>
      <c r="Q109" s="43"/>
      <c r="R109" s="7" t="s">
        <v>134</v>
      </c>
      <c r="S109" s="12">
        <v>44966.0</v>
      </c>
      <c r="T109" s="54">
        <f>VLOOKUP(R109,'Run Reconcile'!$A$2:$L259,12,FALSE)</f>
        <v>9</v>
      </c>
      <c r="U109" s="55" t="str">
        <f t="shared" si="17"/>
        <v/>
      </c>
      <c r="V109" s="54"/>
      <c r="W109" s="54"/>
      <c r="X109" s="43"/>
      <c r="Y109" s="7" t="str">
        <f>IFERROR(__xludf.DUMMYFUNCTION("""COMPUTED_VALUE"""),"RUN-ABRM_2023-02-15_RFR-160")</f>
        <v>RUN-ABRM_2023-02-15_RFR-160</v>
      </c>
      <c r="Z109" s="12">
        <f>IFERROR(__xludf.DUMMYFUNCTION("""COMPUTED_VALUE"""),44972.0)</f>
        <v>44972</v>
      </c>
      <c r="AA109" s="50">
        <f t="array" ref="AA109">INDEX('RFR Data - preExcl'!AK$2:AK259,$AE109,1)</f>
        <v>7</v>
      </c>
      <c r="AB109" s="54">
        <f t="shared" si="18"/>
        <v>7</v>
      </c>
      <c r="AC109" s="54">
        <f t="array" ref="AC109">INDEX('RFR Data - preExcl'!AI$2:AI259,$AE109,1)</f>
        <v>0</v>
      </c>
      <c r="AD109" s="54">
        <f t="array" ref="AD109">INDEX('RFR Data - preExcl'!AF$2:AF259,$AE109,1)</f>
        <v>0</v>
      </c>
      <c r="AE109" s="56">
        <f>IFNA(MATCH(Y109,'RFR Data - preExcl'!A$2:A259,0),"")</f>
        <v>160</v>
      </c>
      <c r="AF109" s="43"/>
      <c r="AG109" s="58" t="s">
        <v>134</v>
      </c>
      <c r="AH109" s="46">
        <f>VLOOKUP(AG109,'Run Reconcile'!A$2:B259,2,FALSE)</f>
        <v>44966</v>
      </c>
      <c r="AI109" s="54">
        <f>COUNTIF('APS Tubes IMPORT'!$V$2:$V259, AG109)
</f>
        <v>9</v>
      </c>
      <c r="AJ109" s="54">
        <f>COUNTIFS('APS Tubes IMPORT'!V$2:V259, AG109, 'APS Tubes IMPORT'!H$2:H259, "Negative")
</f>
        <v>9</v>
      </c>
      <c r="AK109" s="54">
        <f>COUNTIFS('APS Tubes IMPORT'!V108:V259, AG109, 'APS Tubes IMPORT'!H108:H259, "Positive")
</f>
        <v>0</v>
      </c>
      <c r="AL109" s="54">
        <f>COUNTIFS('APS Tubes IMPORT'!V108:V259, AG109, 'APS Tubes IMPORT'!H108:H259, "Inconclusive")
</f>
        <v>0</v>
      </c>
      <c r="AM109" s="54">
        <f>COUNTIFS('APS Tubes IMPORT'!V108:V259, AG109, 'APS Tubes IMPORT'!H108:H259, "Null")
</f>
        <v>0</v>
      </c>
      <c r="AN109" s="43"/>
      <c r="AP109" s="54"/>
      <c r="AQ109" s="54"/>
      <c r="AR109" s="54"/>
      <c r="AS109" s="54"/>
      <c r="AU109" s="43"/>
    </row>
    <row r="110">
      <c r="A110" s="7" t="s">
        <v>135</v>
      </c>
      <c r="B110" s="46">
        <f>VLOOKUP(A110,'ALL Tube Results'!$B$2:$D259,2,FALSE)</f>
        <v>44967</v>
      </c>
      <c r="C110" s="47">
        <f>COUNTIF('ALL Tube Results'!B109:B259, A110)
</f>
        <v>8</v>
      </c>
      <c r="D110" s="48">
        <f>COUNTIFS('ALL Tube Results'!$B109:$B259, $A110, 'ALL Tube Results'!$F109:$F259, "Negative")
</f>
        <v>8</v>
      </c>
      <c r="E110" s="48">
        <f>COUNTIFS('ALL Tube Results'!$B109:$B259, $A110, 'ALL Tube Results'!$F109:$F259, "Positive")
</f>
        <v>0</v>
      </c>
      <c r="F110" s="48">
        <f>COUNTIFS('ALL Tube Results'!$B109:$B259, $A110, 'ALL Tube Results'!$F109:$F259, "Inconclusive")
</f>
        <v>0</v>
      </c>
      <c r="G110" s="49">
        <f t="shared" si="7"/>
        <v>8</v>
      </c>
      <c r="H110" s="49" t="str">
        <f t="shared" si="8"/>
        <v/>
      </c>
      <c r="I110" s="50">
        <f t="shared" si="9"/>
        <v>8</v>
      </c>
      <c r="J110" s="51">
        <f t="shared" si="10"/>
        <v>0</v>
      </c>
      <c r="K110" s="51">
        <f t="shared" si="11"/>
        <v>0</v>
      </c>
      <c r="L110" s="51" t="str">
        <f t="shared" si="12"/>
        <v/>
      </c>
      <c r="M110" s="51" t="str">
        <f t="shared" si="13"/>
        <v/>
      </c>
      <c r="N110" s="51" t="str">
        <f t="shared" si="14"/>
        <v/>
      </c>
      <c r="O110" s="52">
        <f t="shared" si="15"/>
        <v>8</v>
      </c>
      <c r="P110" s="52" t="str">
        <f t="shared" si="16"/>
        <v/>
      </c>
      <c r="Q110" s="43"/>
      <c r="R110" s="7" t="s">
        <v>135</v>
      </c>
      <c r="S110" s="12">
        <v>44967.0</v>
      </c>
      <c r="T110" s="54">
        <f>VLOOKUP(R110,'Run Reconcile'!$A$2:$L259,12,FALSE)</f>
        <v>8</v>
      </c>
      <c r="U110" s="55" t="str">
        <f t="shared" si="17"/>
        <v/>
      </c>
      <c r="V110" s="54"/>
      <c r="W110" s="54"/>
      <c r="X110" s="43"/>
      <c r="Y110" s="7" t="str">
        <f>IFERROR(__xludf.DUMMYFUNCTION("""COMPUTED_VALUE"""),"RUN-ABRM_2023-02-16_RFR-161")</f>
        <v>RUN-ABRM_2023-02-16_RFR-161</v>
      </c>
      <c r="Z110" s="12">
        <f>IFERROR(__xludf.DUMMYFUNCTION("""COMPUTED_VALUE"""),44973.0)</f>
        <v>44973</v>
      </c>
      <c r="AA110" s="50">
        <f t="array" ref="AA110">INDEX('RFR Data - preExcl'!AK$2:AK259,$AE110,1)</f>
        <v>7</v>
      </c>
      <c r="AB110" s="54">
        <f t="shared" si="18"/>
        <v>7</v>
      </c>
      <c r="AC110" s="54">
        <f t="array" ref="AC110">INDEX('RFR Data - preExcl'!AI$2:AI259,$AE110,1)</f>
        <v>0</v>
      </c>
      <c r="AD110" s="54">
        <f t="array" ref="AD110">INDEX('RFR Data - preExcl'!AF$2:AF259,$AE110,1)</f>
        <v>0</v>
      </c>
      <c r="AE110" s="56">
        <f>IFNA(MATCH(Y110,'RFR Data - preExcl'!A$2:A259,0),"")</f>
        <v>161</v>
      </c>
      <c r="AF110" s="43"/>
      <c r="AG110" s="58" t="s">
        <v>135</v>
      </c>
      <c r="AH110" s="46">
        <f>VLOOKUP(AG110,'Run Reconcile'!A$2:B259,2,FALSE)</f>
        <v>44967</v>
      </c>
      <c r="AI110" s="54">
        <f>COUNTIF('APS Tubes IMPORT'!$V$2:$V259, AG110)
</f>
        <v>8</v>
      </c>
      <c r="AJ110" s="54">
        <f>COUNTIFS('APS Tubes IMPORT'!V$2:V259, AG110, 'APS Tubes IMPORT'!H$2:H259, "Negative")
</f>
        <v>8</v>
      </c>
      <c r="AK110" s="54">
        <f>COUNTIFS('APS Tubes IMPORT'!V109:V259, AG110, 'APS Tubes IMPORT'!H109:H259, "Positive")
</f>
        <v>0</v>
      </c>
      <c r="AL110" s="54">
        <f>COUNTIFS('APS Tubes IMPORT'!V109:V259, AG110, 'APS Tubes IMPORT'!H109:H259, "Inconclusive")
</f>
        <v>0</v>
      </c>
      <c r="AM110" s="54">
        <f>COUNTIFS('APS Tubes IMPORT'!V109:V259, AG110, 'APS Tubes IMPORT'!H109:H259, "Null")
</f>
        <v>0</v>
      </c>
      <c r="AN110" s="43"/>
      <c r="AP110" s="54"/>
      <c r="AQ110" s="54"/>
      <c r="AR110" s="54"/>
      <c r="AS110" s="54"/>
      <c r="AU110" s="43"/>
    </row>
    <row r="111">
      <c r="A111" s="7" t="s">
        <v>136</v>
      </c>
      <c r="B111" s="46">
        <f>VLOOKUP(A111,'ALL Tube Results'!$B$2:$D259,2,FALSE)</f>
        <v>44970</v>
      </c>
      <c r="C111" s="47">
        <f>COUNTIF('ALL Tube Results'!B110:B259, A111)
</f>
        <v>9</v>
      </c>
      <c r="D111" s="48">
        <f>COUNTIFS('ALL Tube Results'!$B110:$B259, $A111, 'ALL Tube Results'!$F110:$F259, "Negative")
</f>
        <v>9</v>
      </c>
      <c r="E111" s="48">
        <f>COUNTIFS('ALL Tube Results'!$B110:$B259, $A111, 'ALL Tube Results'!$F110:$F259, "Positive")
</f>
        <v>0</v>
      </c>
      <c r="F111" s="48">
        <f>COUNTIFS('ALL Tube Results'!$B110:$B259, $A111, 'ALL Tube Results'!$F110:$F259, "Inconclusive")
</f>
        <v>0</v>
      </c>
      <c r="G111" s="49">
        <f t="shared" si="7"/>
        <v>9</v>
      </c>
      <c r="H111" s="49" t="str">
        <f t="shared" si="8"/>
        <v/>
      </c>
      <c r="I111" s="50">
        <f t="shared" si="9"/>
        <v>9</v>
      </c>
      <c r="J111" s="51">
        <f t="shared" si="10"/>
        <v>0</v>
      </c>
      <c r="K111" s="51">
        <f t="shared" si="11"/>
        <v>0</v>
      </c>
      <c r="L111" s="51" t="str">
        <f t="shared" si="12"/>
        <v/>
      </c>
      <c r="M111" s="51" t="str">
        <f t="shared" si="13"/>
        <v/>
      </c>
      <c r="N111" s="51" t="str">
        <f t="shared" si="14"/>
        <v/>
      </c>
      <c r="O111" s="52">
        <f t="shared" si="15"/>
        <v>9</v>
      </c>
      <c r="P111" s="52" t="str">
        <f t="shared" si="16"/>
        <v/>
      </c>
      <c r="Q111" s="43"/>
      <c r="R111" s="7" t="s">
        <v>136</v>
      </c>
      <c r="S111" s="12">
        <v>44970.0</v>
      </c>
      <c r="T111" s="54">
        <f>VLOOKUP(R111,'Run Reconcile'!$A$2:$L259,12,FALSE)</f>
        <v>9</v>
      </c>
      <c r="U111" s="55" t="str">
        <f t="shared" si="17"/>
        <v/>
      </c>
      <c r="V111" s="54"/>
      <c r="W111" s="54"/>
      <c r="X111" s="43"/>
      <c r="Y111" s="7" t="str">
        <f>IFERROR(__xludf.DUMMYFUNCTION("""COMPUTED_VALUE"""),"RUN-ABRM_2023-02-17_RFR-162")</f>
        <v>RUN-ABRM_2023-02-17_RFR-162</v>
      </c>
      <c r="Z111" s="12">
        <f>IFERROR(__xludf.DUMMYFUNCTION("""COMPUTED_VALUE"""),44974.0)</f>
        <v>44974</v>
      </c>
      <c r="AA111" s="50">
        <f t="array" ref="AA111">INDEX('RFR Data - preExcl'!AK$2:AK259,$AE111,1)</f>
        <v>8</v>
      </c>
      <c r="AB111" s="54">
        <f t="shared" si="18"/>
        <v>8</v>
      </c>
      <c r="AC111" s="54">
        <f t="array" ref="AC111">INDEX('RFR Data - preExcl'!AI$2:AI259,$AE111,1)</f>
        <v>0</v>
      </c>
      <c r="AD111" s="54">
        <f t="array" ref="AD111">INDEX('RFR Data - preExcl'!AF$2:AF259,$AE111,1)</f>
        <v>0</v>
      </c>
      <c r="AE111" s="56">
        <f>IFNA(MATCH(Y111,'RFR Data - preExcl'!A$2:A259,0),"")</f>
        <v>162</v>
      </c>
      <c r="AF111" s="43"/>
      <c r="AG111" s="58" t="s">
        <v>136</v>
      </c>
      <c r="AH111" s="46">
        <f>VLOOKUP(AG111,'Run Reconcile'!A$2:B259,2,FALSE)</f>
        <v>44970</v>
      </c>
      <c r="AI111" s="54">
        <f>COUNTIF('APS Tubes IMPORT'!$V$2:$V259, AG111)
</f>
        <v>9</v>
      </c>
      <c r="AJ111" s="54">
        <f>COUNTIFS('APS Tubes IMPORT'!V$2:V259, AG111, 'APS Tubes IMPORT'!H$2:H259, "Negative")
</f>
        <v>9</v>
      </c>
      <c r="AK111" s="54">
        <f>COUNTIFS('APS Tubes IMPORT'!V110:V259, AG111, 'APS Tubes IMPORT'!H110:H259, "Positive")
</f>
        <v>0</v>
      </c>
      <c r="AL111" s="54">
        <f>COUNTIFS('APS Tubes IMPORT'!V110:V259, AG111, 'APS Tubes IMPORT'!H110:H259, "Inconclusive")
</f>
        <v>0</v>
      </c>
      <c r="AM111" s="54">
        <f>COUNTIFS('APS Tubes IMPORT'!V110:V259, AG111, 'APS Tubes IMPORT'!H110:H259, "Null")
</f>
        <v>0</v>
      </c>
      <c r="AN111" s="43"/>
      <c r="AP111" s="54"/>
      <c r="AQ111" s="54"/>
      <c r="AR111" s="54"/>
      <c r="AS111" s="54"/>
      <c r="AU111" s="43"/>
    </row>
    <row r="112">
      <c r="A112" s="7" t="s">
        <v>137</v>
      </c>
      <c r="B112" s="46">
        <f>VLOOKUP(A112,'ALL Tube Results'!$B$2:$D259,2,FALSE)</f>
        <v>44971</v>
      </c>
      <c r="C112" s="47">
        <f>COUNTIF('ALL Tube Results'!B111:B259, A112)
</f>
        <v>8</v>
      </c>
      <c r="D112" s="48">
        <f>COUNTIFS('ALL Tube Results'!$B111:$B259, $A112, 'ALL Tube Results'!$F111:$F259, "Negative")
</f>
        <v>8</v>
      </c>
      <c r="E112" s="48">
        <f>COUNTIFS('ALL Tube Results'!$B111:$B259, $A112, 'ALL Tube Results'!$F111:$F259, "Positive")
</f>
        <v>0</v>
      </c>
      <c r="F112" s="48">
        <f>COUNTIFS('ALL Tube Results'!$B111:$B259, $A112, 'ALL Tube Results'!$F111:$F259, "Inconclusive")
</f>
        <v>0</v>
      </c>
      <c r="G112" s="49">
        <f t="shared" si="7"/>
        <v>8</v>
      </c>
      <c r="H112" s="49" t="str">
        <f t="shared" si="8"/>
        <v/>
      </c>
      <c r="I112" s="50">
        <f t="shared" si="9"/>
        <v>8</v>
      </c>
      <c r="J112" s="51">
        <f t="shared" si="10"/>
        <v>0</v>
      </c>
      <c r="K112" s="51">
        <f t="shared" si="11"/>
        <v>0</v>
      </c>
      <c r="L112" s="51" t="str">
        <f t="shared" si="12"/>
        <v/>
      </c>
      <c r="M112" s="51" t="str">
        <f t="shared" si="13"/>
        <v/>
      </c>
      <c r="N112" s="51" t="str">
        <f t="shared" si="14"/>
        <v/>
      </c>
      <c r="O112" s="52">
        <f t="shared" si="15"/>
        <v>8</v>
      </c>
      <c r="P112" s="52" t="str">
        <f t="shared" si="16"/>
        <v/>
      </c>
      <c r="Q112" s="43"/>
      <c r="R112" s="7" t="s">
        <v>137</v>
      </c>
      <c r="S112" s="12">
        <v>44971.0</v>
      </c>
      <c r="T112" s="54">
        <f>VLOOKUP(R112,'Run Reconcile'!$A$2:$L259,12,FALSE)</f>
        <v>8</v>
      </c>
      <c r="U112" s="55" t="str">
        <f t="shared" si="17"/>
        <v/>
      </c>
      <c r="V112" s="54"/>
      <c r="W112" s="54"/>
      <c r="X112" s="43"/>
      <c r="Y112" s="7" t="str">
        <f>IFERROR(__xludf.DUMMYFUNCTION("""COMPUTED_VALUE"""),"RUN-ABRM_2023-02-20_RFR-163")</f>
        <v>RUN-ABRM_2023-02-20_RFR-163</v>
      </c>
      <c r="Z112" s="12">
        <f>IFERROR(__xludf.DUMMYFUNCTION("""COMPUTED_VALUE"""),44977.0)</f>
        <v>44977</v>
      </c>
      <c r="AA112" s="50">
        <f t="array" ref="AA112">INDEX('RFR Data - preExcl'!AK$2:AK259,$AE112,1)</f>
        <v>9</v>
      </c>
      <c r="AB112" s="54">
        <f t="shared" si="18"/>
        <v>9</v>
      </c>
      <c r="AC112" s="54">
        <f t="array" ref="AC112">INDEX('RFR Data - preExcl'!AI$2:AI259,$AE112,1)</f>
        <v>0</v>
      </c>
      <c r="AD112" s="54">
        <f t="array" ref="AD112">INDEX('RFR Data - preExcl'!AF$2:AF259,$AE112,1)</f>
        <v>0</v>
      </c>
      <c r="AE112" s="56">
        <f>IFNA(MATCH(Y112,'RFR Data - preExcl'!A$2:A259,0),"")</f>
        <v>163</v>
      </c>
      <c r="AF112" s="43"/>
      <c r="AG112" s="58" t="s">
        <v>137</v>
      </c>
      <c r="AH112" s="46">
        <f>VLOOKUP(AG112,'Run Reconcile'!A$2:B259,2,FALSE)</f>
        <v>44971</v>
      </c>
      <c r="AI112" s="54">
        <f>COUNTIF('APS Tubes IMPORT'!$V$2:$V259, AG112)
</f>
        <v>8</v>
      </c>
      <c r="AJ112" s="54">
        <f>COUNTIFS('APS Tubes IMPORT'!V$2:V259, AG112, 'APS Tubes IMPORT'!H$2:H259, "Negative")
</f>
        <v>8</v>
      </c>
      <c r="AK112" s="54">
        <f>COUNTIFS('APS Tubes IMPORT'!V111:V259, AG112, 'APS Tubes IMPORT'!H111:H259, "Positive")
</f>
        <v>0</v>
      </c>
      <c r="AL112" s="54">
        <f>COUNTIFS('APS Tubes IMPORT'!V111:V259, AG112, 'APS Tubes IMPORT'!H111:H259, "Inconclusive")
</f>
        <v>0</v>
      </c>
      <c r="AM112" s="54">
        <f>COUNTIFS('APS Tubes IMPORT'!V111:V259, AG112, 'APS Tubes IMPORT'!H111:H259, "Null")
</f>
        <v>0</v>
      </c>
      <c r="AN112" s="43"/>
      <c r="AP112" s="54"/>
      <c r="AQ112" s="54"/>
      <c r="AR112" s="54"/>
      <c r="AS112" s="54"/>
      <c r="AU112" s="43"/>
    </row>
    <row r="113">
      <c r="A113" s="7" t="s">
        <v>138</v>
      </c>
      <c r="B113" s="46">
        <f>VLOOKUP(A113,'ALL Tube Results'!$B$2:$D259,2,FALSE)</f>
        <v>44972</v>
      </c>
      <c r="C113" s="47">
        <f>COUNTIF('ALL Tube Results'!B112:B259, A113)
</f>
        <v>7</v>
      </c>
      <c r="D113" s="48">
        <f>COUNTIFS('ALL Tube Results'!$B112:$B259, $A113, 'ALL Tube Results'!$F112:$F259, "Negative")
</f>
        <v>7</v>
      </c>
      <c r="E113" s="48">
        <f>COUNTIFS('ALL Tube Results'!$B112:$B259, $A113, 'ALL Tube Results'!$F112:$F259, "Positive")
</f>
        <v>0</v>
      </c>
      <c r="F113" s="48">
        <f>COUNTIFS('ALL Tube Results'!$B112:$B259, $A113, 'ALL Tube Results'!$F112:$F259, "Inconclusive")
</f>
        <v>0</v>
      </c>
      <c r="G113" s="49">
        <f t="shared" si="7"/>
        <v>7</v>
      </c>
      <c r="H113" s="49" t="str">
        <f t="shared" si="8"/>
        <v/>
      </c>
      <c r="I113" s="50">
        <f t="shared" si="9"/>
        <v>7</v>
      </c>
      <c r="J113" s="51">
        <f t="shared" si="10"/>
        <v>0</v>
      </c>
      <c r="K113" s="51">
        <f t="shared" si="11"/>
        <v>0</v>
      </c>
      <c r="L113" s="51" t="str">
        <f t="shared" si="12"/>
        <v/>
      </c>
      <c r="M113" s="51" t="str">
        <f t="shared" si="13"/>
        <v/>
      </c>
      <c r="N113" s="51" t="str">
        <f t="shared" si="14"/>
        <v/>
      </c>
      <c r="O113" s="52">
        <f t="shared" si="15"/>
        <v>7</v>
      </c>
      <c r="P113" s="52" t="str">
        <f t="shared" si="16"/>
        <v/>
      </c>
      <c r="Q113" s="43"/>
      <c r="R113" s="7" t="s">
        <v>138</v>
      </c>
      <c r="S113" s="12">
        <v>44972.0</v>
      </c>
      <c r="T113" s="54">
        <f>VLOOKUP(R113,'Run Reconcile'!$A$2:$L259,12,FALSE)</f>
        <v>7</v>
      </c>
      <c r="U113" s="55" t="str">
        <f t="shared" si="17"/>
        <v/>
      </c>
      <c r="V113" s="54"/>
      <c r="W113" s="54"/>
      <c r="X113" s="43"/>
      <c r="Y113" s="7" t="str">
        <f>IFERROR(__xludf.DUMMYFUNCTION("""COMPUTED_VALUE"""),"RUN-ABRM_2023-02-21_RFR-164")</f>
        <v>RUN-ABRM_2023-02-21_RFR-164</v>
      </c>
      <c r="Z113" s="12">
        <f>IFERROR(__xludf.DUMMYFUNCTION("""COMPUTED_VALUE"""),44978.0)</f>
        <v>44978</v>
      </c>
      <c r="AA113" s="50">
        <f t="array" ref="AA113">INDEX('RFR Data - preExcl'!AK$2:AK259,$AE113,1)</f>
        <v>7</v>
      </c>
      <c r="AB113" s="54">
        <f t="shared" si="18"/>
        <v>7</v>
      </c>
      <c r="AC113" s="54">
        <f t="array" ref="AC113">INDEX('RFR Data - preExcl'!AI$2:AI259,$AE113,1)</f>
        <v>0</v>
      </c>
      <c r="AD113" s="54">
        <f t="array" ref="AD113">INDEX('RFR Data - preExcl'!AF$2:AF259,$AE113,1)</f>
        <v>0</v>
      </c>
      <c r="AE113" s="56">
        <f>IFNA(MATCH(Y113,'RFR Data - preExcl'!A$2:A259,0),"")</f>
        <v>164</v>
      </c>
      <c r="AF113" s="43"/>
      <c r="AG113" s="58" t="s">
        <v>138</v>
      </c>
      <c r="AH113" s="46">
        <f>VLOOKUP(AG113,'Run Reconcile'!A$2:B259,2,FALSE)</f>
        <v>44972</v>
      </c>
      <c r="AI113" s="54">
        <f>COUNTIF('APS Tubes IMPORT'!$V$2:$V259, AG113)
</f>
        <v>7</v>
      </c>
      <c r="AJ113" s="54">
        <f>COUNTIFS('APS Tubes IMPORT'!V$2:V259, AG113, 'APS Tubes IMPORT'!H$2:H259, "Negative")
</f>
        <v>7</v>
      </c>
      <c r="AK113" s="54">
        <f>COUNTIFS('APS Tubes IMPORT'!V112:V259, AG113, 'APS Tubes IMPORT'!H112:H259, "Positive")
</f>
        <v>0</v>
      </c>
      <c r="AL113" s="54">
        <f>COUNTIFS('APS Tubes IMPORT'!V112:V259, AG113, 'APS Tubes IMPORT'!H112:H259, "Inconclusive")
</f>
        <v>0</v>
      </c>
      <c r="AM113" s="54">
        <f>COUNTIFS('APS Tubes IMPORT'!V112:V259, AG113, 'APS Tubes IMPORT'!H112:H259, "Null")
</f>
        <v>0</v>
      </c>
      <c r="AN113" s="43"/>
      <c r="AP113" s="54"/>
      <c r="AQ113" s="54"/>
      <c r="AR113" s="54"/>
      <c r="AS113" s="54"/>
      <c r="AU113" s="43"/>
    </row>
    <row r="114">
      <c r="A114" s="7" t="s">
        <v>139</v>
      </c>
      <c r="B114" s="46">
        <f>VLOOKUP(A114,'ALL Tube Results'!$B$2:$D259,2,FALSE)</f>
        <v>44973</v>
      </c>
      <c r="C114" s="47">
        <f>COUNTIF('ALL Tube Results'!B113:B259, A114)
</f>
        <v>7</v>
      </c>
      <c r="D114" s="48">
        <f>COUNTIFS('ALL Tube Results'!$B113:$B259, $A114, 'ALL Tube Results'!$F113:$F259, "Negative")
</f>
        <v>7</v>
      </c>
      <c r="E114" s="48">
        <f>COUNTIFS('ALL Tube Results'!$B113:$B259, $A114, 'ALL Tube Results'!$F113:$F259, "Positive")
</f>
        <v>0</v>
      </c>
      <c r="F114" s="48">
        <f>COUNTIFS('ALL Tube Results'!$B113:$B259, $A114, 'ALL Tube Results'!$F113:$F259, "Inconclusive")
</f>
        <v>0</v>
      </c>
      <c r="G114" s="49">
        <f t="shared" si="7"/>
        <v>7</v>
      </c>
      <c r="H114" s="49" t="str">
        <f t="shared" si="8"/>
        <v/>
      </c>
      <c r="I114" s="50">
        <f t="shared" si="9"/>
        <v>7</v>
      </c>
      <c r="J114" s="51">
        <f t="shared" si="10"/>
        <v>0</v>
      </c>
      <c r="K114" s="51">
        <f t="shared" si="11"/>
        <v>0</v>
      </c>
      <c r="L114" s="51" t="str">
        <f t="shared" si="12"/>
        <v/>
      </c>
      <c r="M114" s="51" t="str">
        <f t="shared" si="13"/>
        <v/>
      </c>
      <c r="N114" s="51" t="str">
        <f t="shared" si="14"/>
        <v/>
      </c>
      <c r="O114" s="52">
        <f t="shared" si="15"/>
        <v>7</v>
      </c>
      <c r="P114" s="52" t="str">
        <f t="shared" si="16"/>
        <v/>
      </c>
      <c r="Q114" s="43"/>
      <c r="R114" s="7" t="s">
        <v>139</v>
      </c>
      <c r="S114" s="12">
        <v>44973.0</v>
      </c>
      <c r="T114" s="54">
        <f>VLOOKUP(R114,'Run Reconcile'!$A$2:$L259,12,FALSE)</f>
        <v>7</v>
      </c>
      <c r="U114" s="55" t="str">
        <f t="shared" si="17"/>
        <v/>
      </c>
      <c r="V114" s="54"/>
      <c r="W114" s="54"/>
      <c r="X114" s="43"/>
      <c r="Y114" s="7" t="str">
        <f>IFERROR(__xludf.DUMMYFUNCTION("""COMPUTED_VALUE"""),"RUN-ABRM_2023-02-22_RFR-166")</f>
        <v>RUN-ABRM_2023-02-22_RFR-166</v>
      </c>
      <c r="Z114" s="12">
        <f>IFERROR(__xludf.DUMMYFUNCTION("""COMPUTED_VALUE"""),44979.0)</f>
        <v>44979</v>
      </c>
      <c r="AA114" s="50">
        <f t="array" ref="AA114">INDEX('RFR Data - preExcl'!AK$2:AK259,$AE114,1)</f>
        <v>8</v>
      </c>
      <c r="AB114" s="54">
        <f t="shared" si="18"/>
        <v>8</v>
      </c>
      <c r="AC114" s="54">
        <f t="array" ref="AC114">INDEX('RFR Data - preExcl'!AI$2:AI259,$AE114,1)</f>
        <v>0</v>
      </c>
      <c r="AD114" s="54">
        <f t="array" ref="AD114">INDEX('RFR Data - preExcl'!AF$2:AF259,$AE114,1)</f>
        <v>0</v>
      </c>
      <c r="AE114" s="56">
        <f>IFNA(MATCH(Y114,'RFR Data - preExcl'!A$2:A259,0),"")</f>
        <v>166</v>
      </c>
      <c r="AF114" s="43"/>
      <c r="AG114" s="58" t="s">
        <v>139</v>
      </c>
      <c r="AH114" s="46">
        <f>VLOOKUP(AG114,'Run Reconcile'!A$2:B259,2,FALSE)</f>
        <v>44973</v>
      </c>
      <c r="AI114" s="54">
        <f>COUNTIF('APS Tubes IMPORT'!$V$2:$V259, AG114)
</f>
        <v>7</v>
      </c>
      <c r="AJ114" s="54">
        <f>COUNTIFS('APS Tubes IMPORT'!V$2:V259, AG114, 'APS Tubes IMPORT'!H$2:H259, "Negative")
</f>
        <v>7</v>
      </c>
      <c r="AK114" s="54">
        <f>COUNTIFS('APS Tubes IMPORT'!V113:V259, AG114, 'APS Tubes IMPORT'!H113:H259, "Positive")
</f>
        <v>0</v>
      </c>
      <c r="AL114" s="54">
        <f>COUNTIFS('APS Tubes IMPORT'!V113:V259, AG114, 'APS Tubes IMPORT'!H113:H259, "Inconclusive")
</f>
        <v>0</v>
      </c>
      <c r="AM114" s="54">
        <f>COUNTIFS('APS Tubes IMPORT'!V113:V259, AG114, 'APS Tubes IMPORT'!H113:H259, "Null")
</f>
        <v>0</v>
      </c>
      <c r="AN114" s="43"/>
      <c r="AP114" s="54"/>
      <c r="AQ114" s="54"/>
      <c r="AR114" s="54"/>
      <c r="AS114" s="54"/>
      <c r="AU114" s="43"/>
    </row>
    <row r="115">
      <c r="A115" s="7" t="s">
        <v>140</v>
      </c>
      <c r="B115" s="46">
        <f>VLOOKUP(A115,'ALL Tube Results'!$B$2:$D259,2,FALSE)</f>
        <v>44974</v>
      </c>
      <c r="C115" s="47">
        <f>COUNTIF('ALL Tube Results'!B114:B259, A115)
</f>
        <v>8</v>
      </c>
      <c r="D115" s="48">
        <f>COUNTIFS('ALL Tube Results'!$B114:$B259, $A115, 'ALL Tube Results'!$F114:$F259, "Negative")
</f>
        <v>8</v>
      </c>
      <c r="E115" s="48">
        <f>COUNTIFS('ALL Tube Results'!$B114:$B259, $A115, 'ALL Tube Results'!$F114:$F259, "Positive")
</f>
        <v>0</v>
      </c>
      <c r="F115" s="48">
        <f>COUNTIFS('ALL Tube Results'!$B114:$B259, $A115, 'ALL Tube Results'!$F114:$F259, "Inconclusive")
</f>
        <v>0</v>
      </c>
      <c r="G115" s="49">
        <f t="shared" si="7"/>
        <v>8</v>
      </c>
      <c r="H115" s="49" t="str">
        <f t="shared" si="8"/>
        <v/>
      </c>
      <c r="I115" s="50">
        <f t="shared" si="9"/>
        <v>8</v>
      </c>
      <c r="J115" s="51">
        <f t="shared" si="10"/>
        <v>0</v>
      </c>
      <c r="K115" s="51">
        <f t="shared" si="11"/>
        <v>0</v>
      </c>
      <c r="L115" s="51" t="str">
        <f t="shared" si="12"/>
        <v/>
      </c>
      <c r="M115" s="51" t="str">
        <f t="shared" si="13"/>
        <v/>
      </c>
      <c r="N115" s="51" t="str">
        <f t="shared" si="14"/>
        <v/>
      </c>
      <c r="O115" s="52">
        <f t="shared" si="15"/>
        <v>8</v>
      </c>
      <c r="P115" s="52" t="str">
        <f t="shared" si="16"/>
        <v/>
      </c>
      <c r="Q115" s="43"/>
      <c r="R115" s="7" t="s">
        <v>140</v>
      </c>
      <c r="S115" s="12">
        <v>44974.0</v>
      </c>
      <c r="T115" s="54">
        <f>VLOOKUP(R115,'Run Reconcile'!$A$2:$L259,12,FALSE)</f>
        <v>8</v>
      </c>
      <c r="U115" s="55" t="str">
        <f t="shared" si="17"/>
        <v/>
      </c>
      <c r="V115" s="54"/>
      <c r="W115" s="54"/>
      <c r="X115" s="43"/>
      <c r="Y115" s="7" t="str">
        <f>IFERROR(__xludf.DUMMYFUNCTION("""COMPUTED_VALUE"""),"RUN-ABRM_2023-02-23_RFR-167")</f>
        <v>RUN-ABRM_2023-02-23_RFR-167</v>
      </c>
      <c r="Z115" s="12">
        <f>IFERROR(__xludf.DUMMYFUNCTION("""COMPUTED_VALUE"""),44980.0)</f>
        <v>44980</v>
      </c>
      <c r="AA115" s="50">
        <f t="array" ref="AA115">INDEX('RFR Data - preExcl'!AK$2:AK259,$AE115,1)</f>
        <v>9</v>
      </c>
      <c r="AB115" s="54">
        <f t="shared" si="18"/>
        <v>9</v>
      </c>
      <c r="AC115" s="54">
        <f t="array" ref="AC115">INDEX('RFR Data - preExcl'!AI$2:AI259,$AE115,1)</f>
        <v>0</v>
      </c>
      <c r="AD115" s="54">
        <f t="array" ref="AD115">INDEX('RFR Data - preExcl'!AF$2:AF259,$AE115,1)</f>
        <v>0</v>
      </c>
      <c r="AE115" s="56">
        <f>IFNA(MATCH(Y115,'RFR Data - preExcl'!A$2:A259,0),"")</f>
        <v>167</v>
      </c>
      <c r="AF115" s="43"/>
      <c r="AG115" s="58" t="s">
        <v>140</v>
      </c>
      <c r="AH115" s="46">
        <f>VLOOKUP(AG115,'Run Reconcile'!A$2:B259,2,FALSE)</f>
        <v>44974</v>
      </c>
      <c r="AI115" s="54">
        <f>COUNTIF('APS Tubes IMPORT'!$V$2:$V259, AG115)
</f>
        <v>8</v>
      </c>
      <c r="AJ115" s="54">
        <f>COUNTIFS('APS Tubes IMPORT'!V$2:V259, AG115, 'APS Tubes IMPORT'!H$2:H259, "Negative")
</f>
        <v>8</v>
      </c>
      <c r="AK115" s="54">
        <f>COUNTIFS('APS Tubes IMPORT'!V114:V259, AG115, 'APS Tubes IMPORT'!H114:H259, "Positive")
</f>
        <v>0</v>
      </c>
      <c r="AL115" s="54">
        <f>COUNTIFS('APS Tubes IMPORT'!V114:V259, AG115, 'APS Tubes IMPORT'!H114:H259, "Inconclusive")
</f>
        <v>0</v>
      </c>
      <c r="AM115" s="54">
        <f>COUNTIFS('APS Tubes IMPORT'!V114:V259, AG115, 'APS Tubes IMPORT'!H114:H259, "Null")
</f>
        <v>0</v>
      </c>
      <c r="AN115" s="43"/>
      <c r="AP115" s="54"/>
      <c r="AQ115" s="54"/>
      <c r="AR115" s="54"/>
      <c r="AS115" s="54"/>
      <c r="AU115" s="43"/>
    </row>
    <row r="116">
      <c r="A116" s="7" t="s">
        <v>141</v>
      </c>
      <c r="B116" s="46">
        <f>VLOOKUP(A116,'ALL Tube Results'!$B$2:$D259,2,FALSE)</f>
        <v>44977</v>
      </c>
      <c r="C116" s="47">
        <f>COUNTIF('ALL Tube Results'!B115:B259, A116)
</f>
        <v>9</v>
      </c>
      <c r="D116" s="48">
        <f>COUNTIFS('ALL Tube Results'!$B115:$B259, $A116, 'ALL Tube Results'!$F115:$F259, "Negative")
</f>
        <v>9</v>
      </c>
      <c r="E116" s="48">
        <f>COUNTIFS('ALL Tube Results'!$B115:$B259, $A116, 'ALL Tube Results'!$F115:$F259, "Positive")
</f>
        <v>0</v>
      </c>
      <c r="F116" s="48">
        <f>COUNTIFS('ALL Tube Results'!$B115:$B259, $A116, 'ALL Tube Results'!$F115:$F259, "Inconclusive")
</f>
        <v>0</v>
      </c>
      <c r="G116" s="49">
        <f t="shared" si="7"/>
        <v>9</v>
      </c>
      <c r="H116" s="49" t="str">
        <f t="shared" si="8"/>
        <v/>
      </c>
      <c r="I116" s="50">
        <f t="shared" si="9"/>
        <v>9</v>
      </c>
      <c r="J116" s="51">
        <f t="shared" si="10"/>
        <v>0</v>
      </c>
      <c r="K116" s="51">
        <f t="shared" si="11"/>
        <v>0</v>
      </c>
      <c r="L116" s="51" t="str">
        <f t="shared" si="12"/>
        <v/>
      </c>
      <c r="M116" s="51" t="str">
        <f t="shared" si="13"/>
        <v/>
      </c>
      <c r="N116" s="51" t="str">
        <f t="shared" si="14"/>
        <v/>
      </c>
      <c r="O116" s="52">
        <f t="shared" si="15"/>
        <v>9</v>
      </c>
      <c r="P116" s="52" t="str">
        <f t="shared" si="16"/>
        <v/>
      </c>
      <c r="Q116" s="43"/>
      <c r="R116" s="7" t="s">
        <v>141</v>
      </c>
      <c r="S116" s="12">
        <v>44977.0</v>
      </c>
      <c r="T116" s="54">
        <f>VLOOKUP(R116,'Run Reconcile'!$A$2:$L259,12,FALSE)</f>
        <v>9</v>
      </c>
      <c r="U116" s="55" t="str">
        <f t="shared" si="17"/>
        <v/>
      </c>
      <c r="V116" s="54"/>
      <c r="W116" s="54"/>
      <c r="X116" s="43"/>
      <c r="Y116" s="7" t="str">
        <f>IFERROR(__xludf.DUMMYFUNCTION("""COMPUTED_VALUE"""),"RUN-ABRM_2023-02-24_RFR-169")</f>
        <v>RUN-ABRM_2023-02-24_RFR-169</v>
      </c>
      <c r="Z116" s="12">
        <f>IFERROR(__xludf.DUMMYFUNCTION("""COMPUTED_VALUE"""),44981.0)</f>
        <v>44981</v>
      </c>
      <c r="AA116" s="50">
        <f t="array" ref="AA116">INDEX('RFR Data - preExcl'!AK$2:AK259,$AE116,1)</f>
        <v>7</v>
      </c>
      <c r="AB116" s="54">
        <f t="shared" si="18"/>
        <v>7</v>
      </c>
      <c r="AC116" s="54">
        <f t="array" ref="AC116">INDEX('RFR Data - preExcl'!AI$2:AI259,$AE116,1)</f>
        <v>0</v>
      </c>
      <c r="AD116" s="54">
        <f t="array" ref="AD116">INDEX('RFR Data - preExcl'!AF$2:AF259,$AE116,1)</f>
        <v>0</v>
      </c>
      <c r="AE116" s="56">
        <f>IFNA(MATCH(Y116,'RFR Data - preExcl'!A$2:A259,0),"")</f>
        <v>169</v>
      </c>
      <c r="AF116" s="43"/>
      <c r="AG116" s="58" t="s">
        <v>141</v>
      </c>
      <c r="AH116" s="46">
        <f>VLOOKUP(AG116,'Run Reconcile'!A$2:B259,2,FALSE)</f>
        <v>44977</v>
      </c>
      <c r="AI116" s="54">
        <f>COUNTIF('APS Tubes IMPORT'!$V$2:$V259, AG116)
</f>
        <v>9</v>
      </c>
      <c r="AJ116" s="54">
        <f>COUNTIFS('APS Tubes IMPORT'!V$2:V259, AG116, 'APS Tubes IMPORT'!H$2:H259, "Negative")
</f>
        <v>9</v>
      </c>
      <c r="AK116" s="54">
        <f>COUNTIFS('APS Tubes IMPORT'!V115:V259, AG116, 'APS Tubes IMPORT'!H115:H259, "Positive")
</f>
        <v>0</v>
      </c>
      <c r="AL116" s="54">
        <f>COUNTIFS('APS Tubes IMPORT'!V115:V259, AG116, 'APS Tubes IMPORT'!H115:H259, "Inconclusive")
</f>
        <v>0</v>
      </c>
      <c r="AM116" s="54">
        <f>COUNTIFS('APS Tubes IMPORT'!V115:V259, AG116, 'APS Tubes IMPORT'!H115:H259, "Null")
</f>
        <v>0</v>
      </c>
      <c r="AN116" s="43"/>
      <c r="AP116" s="54"/>
      <c r="AQ116" s="54"/>
      <c r="AR116" s="54"/>
      <c r="AS116" s="54"/>
      <c r="AU116" s="43"/>
    </row>
    <row r="117">
      <c r="A117" s="7" t="s">
        <v>142</v>
      </c>
      <c r="B117" s="46">
        <f>VLOOKUP(A117,'ALL Tube Results'!$B$2:$D259,2,FALSE)</f>
        <v>44978</v>
      </c>
      <c r="C117" s="47">
        <f>COUNTIF('ALL Tube Results'!B116:B259, A117)
</f>
        <v>7</v>
      </c>
      <c r="D117" s="48">
        <f>COUNTIFS('ALL Tube Results'!$B116:$B259, $A117, 'ALL Tube Results'!$F116:$F259, "Negative")
</f>
        <v>7</v>
      </c>
      <c r="E117" s="48">
        <f>COUNTIFS('ALL Tube Results'!$B116:$B259, $A117, 'ALL Tube Results'!$F116:$F259, "Positive")
</f>
        <v>0</v>
      </c>
      <c r="F117" s="48">
        <f>COUNTIFS('ALL Tube Results'!$B116:$B259, $A117, 'ALL Tube Results'!$F116:$F259, "Inconclusive")
</f>
        <v>0</v>
      </c>
      <c r="G117" s="49">
        <f t="shared" si="7"/>
        <v>7</v>
      </c>
      <c r="H117" s="49" t="str">
        <f t="shared" si="8"/>
        <v/>
      </c>
      <c r="I117" s="50">
        <f t="shared" si="9"/>
        <v>7</v>
      </c>
      <c r="J117" s="51">
        <f t="shared" si="10"/>
        <v>0</v>
      </c>
      <c r="K117" s="51">
        <f t="shared" si="11"/>
        <v>0</v>
      </c>
      <c r="L117" s="51" t="str">
        <f t="shared" si="12"/>
        <v/>
      </c>
      <c r="M117" s="51" t="str">
        <f t="shared" si="13"/>
        <v/>
      </c>
      <c r="N117" s="51" t="str">
        <f t="shared" si="14"/>
        <v/>
      </c>
      <c r="O117" s="52">
        <f t="shared" si="15"/>
        <v>7</v>
      </c>
      <c r="P117" s="52" t="str">
        <f t="shared" si="16"/>
        <v/>
      </c>
      <c r="Q117" s="43"/>
      <c r="R117" s="7" t="s">
        <v>142</v>
      </c>
      <c r="S117" s="12">
        <v>44978.0</v>
      </c>
      <c r="T117" s="54">
        <f>VLOOKUP(R117,'Run Reconcile'!$A$2:$L259,12,FALSE)</f>
        <v>7</v>
      </c>
      <c r="U117" s="55" t="str">
        <f t="shared" si="17"/>
        <v/>
      </c>
      <c r="V117" s="54"/>
      <c r="W117" s="54"/>
      <c r="X117" s="43"/>
      <c r="Y117" s="7" t="str">
        <f>IFERROR(__xludf.DUMMYFUNCTION("""COMPUTED_VALUE"""),"RUN-ABRM_2023-02-27_RFR-171")</f>
        <v>RUN-ABRM_2023-02-27_RFR-171</v>
      </c>
      <c r="Z117" s="12">
        <f>IFERROR(__xludf.DUMMYFUNCTION("""COMPUTED_VALUE"""),44984.0)</f>
        <v>44984</v>
      </c>
      <c r="AA117" s="50">
        <f t="array" ref="AA117">INDEX('RFR Data - preExcl'!AK$2:AK259,$AE117,1)</f>
        <v>10</v>
      </c>
      <c r="AB117" s="54">
        <f t="shared" si="18"/>
        <v>10</v>
      </c>
      <c r="AC117" s="54">
        <f t="array" ref="AC117">INDEX('RFR Data - preExcl'!AI$2:AI259,$AE117,1)</f>
        <v>0</v>
      </c>
      <c r="AD117" s="54">
        <f t="array" ref="AD117">INDEX('RFR Data - preExcl'!AF$2:AF259,$AE117,1)</f>
        <v>0</v>
      </c>
      <c r="AE117" s="56">
        <f>IFNA(MATCH(Y117,'RFR Data - preExcl'!A$2:A259,0),"")</f>
        <v>171</v>
      </c>
      <c r="AF117" s="43"/>
      <c r="AG117" s="58" t="s">
        <v>142</v>
      </c>
      <c r="AH117" s="46">
        <f>VLOOKUP(AG117,'Run Reconcile'!A$2:B259,2,FALSE)</f>
        <v>44978</v>
      </c>
      <c r="AI117" s="54">
        <f>COUNTIF('APS Tubes IMPORT'!$V$2:$V259, AG117)
</f>
        <v>7</v>
      </c>
      <c r="AJ117" s="54">
        <f>COUNTIFS('APS Tubes IMPORT'!V$2:V259, AG117, 'APS Tubes IMPORT'!H$2:H259, "Negative")
</f>
        <v>7</v>
      </c>
      <c r="AK117" s="54">
        <f>COUNTIFS('APS Tubes IMPORT'!V116:V259, AG117, 'APS Tubes IMPORT'!H116:H259, "Positive")
</f>
        <v>0</v>
      </c>
      <c r="AL117" s="54">
        <f>COUNTIFS('APS Tubes IMPORT'!V116:V259, AG117, 'APS Tubes IMPORT'!H116:H259, "Inconclusive")
</f>
        <v>0</v>
      </c>
      <c r="AM117" s="54">
        <f>COUNTIFS('APS Tubes IMPORT'!V116:V259, AG117, 'APS Tubes IMPORT'!H116:H259, "Null")
</f>
        <v>0</v>
      </c>
      <c r="AN117" s="43"/>
      <c r="AP117" s="54"/>
      <c r="AQ117" s="54"/>
      <c r="AR117" s="54"/>
      <c r="AS117" s="54"/>
      <c r="AU117" s="43"/>
    </row>
    <row r="118">
      <c r="A118" s="7" t="s">
        <v>143</v>
      </c>
      <c r="B118" s="46">
        <f>VLOOKUP(A118,'ALL Tube Results'!$B$2:$D259,2,FALSE)</f>
        <v>44979</v>
      </c>
      <c r="C118" s="47">
        <f>COUNTIF('ALL Tube Results'!B117:B259, A118)
</f>
        <v>8</v>
      </c>
      <c r="D118" s="48">
        <f>COUNTIFS('ALL Tube Results'!$B117:$B259, $A118, 'ALL Tube Results'!$F117:$F259, "Negative")
</f>
        <v>8</v>
      </c>
      <c r="E118" s="48">
        <f>COUNTIFS('ALL Tube Results'!$B117:$B259, $A118, 'ALL Tube Results'!$F117:$F259, "Positive")
</f>
        <v>0</v>
      </c>
      <c r="F118" s="48">
        <f>COUNTIFS('ALL Tube Results'!$B117:$B259, $A118, 'ALL Tube Results'!$F117:$F259, "Inconclusive")
</f>
        <v>0</v>
      </c>
      <c r="G118" s="49">
        <f t="shared" si="7"/>
        <v>8</v>
      </c>
      <c r="H118" s="49" t="str">
        <f t="shared" si="8"/>
        <v/>
      </c>
      <c r="I118" s="50">
        <f t="shared" si="9"/>
        <v>8</v>
      </c>
      <c r="J118" s="51">
        <f t="shared" si="10"/>
        <v>0</v>
      </c>
      <c r="K118" s="51">
        <f t="shared" si="11"/>
        <v>0</v>
      </c>
      <c r="L118" s="51" t="str">
        <f t="shared" si="12"/>
        <v/>
      </c>
      <c r="M118" s="51" t="str">
        <f t="shared" si="13"/>
        <v/>
      </c>
      <c r="N118" s="51" t="str">
        <f t="shared" si="14"/>
        <v/>
      </c>
      <c r="O118" s="52">
        <f t="shared" si="15"/>
        <v>8</v>
      </c>
      <c r="P118" s="52" t="str">
        <f t="shared" si="16"/>
        <v/>
      </c>
      <c r="Q118" s="43"/>
      <c r="R118" s="7" t="s">
        <v>143</v>
      </c>
      <c r="S118" s="12">
        <v>44979.0</v>
      </c>
      <c r="T118" s="54">
        <f>VLOOKUP(R118,'Run Reconcile'!$A$2:$L259,12,FALSE)</f>
        <v>8</v>
      </c>
      <c r="U118" s="55" t="str">
        <f t="shared" si="17"/>
        <v/>
      </c>
      <c r="V118" s="54"/>
      <c r="W118" s="54"/>
      <c r="X118" s="43"/>
      <c r="Y118" s="7" t="str">
        <f>IFERROR(__xludf.DUMMYFUNCTION("""COMPUTED_VALUE"""),"RUN-ABRM_2023-02-28_RFR-173")</f>
        <v>RUN-ABRM_2023-02-28_RFR-173</v>
      </c>
      <c r="Z118" s="12">
        <f>IFERROR(__xludf.DUMMYFUNCTION("""COMPUTED_VALUE"""),44985.0)</f>
        <v>44985</v>
      </c>
      <c r="AA118" s="50">
        <f t="array" ref="AA118">INDEX('RFR Data - preExcl'!AK$2:AK259,$AE118,1)</f>
        <v>7</v>
      </c>
      <c r="AB118" s="54">
        <f t="shared" si="18"/>
        <v>7</v>
      </c>
      <c r="AC118" s="54">
        <f t="array" ref="AC118">INDEX('RFR Data - preExcl'!AI$2:AI259,$AE118,1)</f>
        <v>0</v>
      </c>
      <c r="AD118" s="54">
        <f t="array" ref="AD118">INDEX('RFR Data - preExcl'!AF$2:AF259,$AE118,1)</f>
        <v>0</v>
      </c>
      <c r="AE118" s="56">
        <f>IFNA(MATCH(Y118,'RFR Data - preExcl'!A$2:A259,0),"")</f>
        <v>173</v>
      </c>
      <c r="AF118" s="43"/>
      <c r="AG118" s="58" t="s">
        <v>143</v>
      </c>
      <c r="AH118" s="46">
        <f>VLOOKUP(AG118,'Run Reconcile'!A$2:B259,2,FALSE)</f>
        <v>44979</v>
      </c>
      <c r="AI118" s="54">
        <f>COUNTIF('APS Tubes IMPORT'!$V$2:$V259, AG118)
</f>
        <v>8</v>
      </c>
      <c r="AJ118" s="54">
        <f>COUNTIFS('APS Tubes IMPORT'!V$2:V259, AG118, 'APS Tubes IMPORT'!H$2:H259, "Negative")
</f>
        <v>8</v>
      </c>
      <c r="AK118" s="54">
        <f>COUNTIFS('APS Tubes IMPORT'!V117:V259, AG118, 'APS Tubes IMPORT'!H117:H259, "Positive")
</f>
        <v>0</v>
      </c>
      <c r="AL118" s="54">
        <f>COUNTIFS('APS Tubes IMPORT'!V117:V259, AG118, 'APS Tubes IMPORT'!H117:H259, "Inconclusive")
</f>
        <v>0</v>
      </c>
      <c r="AM118" s="54">
        <f>COUNTIFS('APS Tubes IMPORT'!V117:V259, AG118, 'APS Tubes IMPORT'!H117:H259, "Null")
</f>
        <v>0</v>
      </c>
      <c r="AN118" s="43"/>
      <c r="AP118" s="54"/>
      <c r="AQ118" s="54"/>
      <c r="AR118" s="54"/>
      <c r="AS118" s="54"/>
      <c r="AU118" s="43"/>
    </row>
    <row r="119">
      <c r="A119" s="7" t="s">
        <v>144</v>
      </c>
      <c r="B119" s="46">
        <f>VLOOKUP(A119,'ALL Tube Results'!$B$2:$D259,2,FALSE)</f>
        <v>44980</v>
      </c>
      <c r="C119" s="47">
        <f>COUNTIF('ALL Tube Results'!B118:B259, A119)
</f>
        <v>9</v>
      </c>
      <c r="D119" s="48">
        <f>COUNTIFS('ALL Tube Results'!$B118:$B259, $A119, 'ALL Tube Results'!$F118:$F259, "Negative")
</f>
        <v>9</v>
      </c>
      <c r="E119" s="48">
        <f>COUNTIFS('ALL Tube Results'!$B118:$B259, $A119, 'ALL Tube Results'!$F118:$F259, "Positive")
</f>
        <v>0</v>
      </c>
      <c r="F119" s="48">
        <f>COUNTIFS('ALL Tube Results'!$B118:$B259, $A119, 'ALL Tube Results'!$F118:$F259, "Inconclusive")
</f>
        <v>0</v>
      </c>
      <c r="G119" s="49">
        <f t="shared" si="7"/>
        <v>9</v>
      </c>
      <c r="H119" s="49" t="str">
        <f t="shared" si="8"/>
        <v/>
      </c>
      <c r="I119" s="50">
        <f t="shared" si="9"/>
        <v>9</v>
      </c>
      <c r="J119" s="51">
        <f t="shared" si="10"/>
        <v>0</v>
      </c>
      <c r="K119" s="51">
        <f t="shared" si="11"/>
        <v>0</v>
      </c>
      <c r="L119" s="51" t="str">
        <f t="shared" si="12"/>
        <v/>
      </c>
      <c r="M119" s="51" t="str">
        <f t="shared" si="13"/>
        <v/>
      </c>
      <c r="N119" s="51" t="str">
        <f t="shared" si="14"/>
        <v/>
      </c>
      <c r="O119" s="52">
        <f t="shared" si="15"/>
        <v>9</v>
      </c>
      <c r="P119" s="52" t="str">
        <f t="shared" si="16"/>
        <v/>
      </c>
      <c r="Q119" s="43"/>
      <c r="R119" s="7" t="s">
        <v>144</v>
      </c>
      <c r="S119" s="12">
        <v>44980.0</v>
      </c>
      <c r="T119" s="54">
        <f>VLOOKUP(R119,'Run Reconcile'!$A$2:$L259,12,FALSE)</f>
        <v>9</v>
      </c>
      <c r="U119" s="55" t="str">
        <f t="shared" si="17"/>
        <v/>
      </c>
      <c r="V119" s="54"/>
      <c r="W119" s="54"/>
      <c r="X119" s="43"/>
      <c r="Y119" s="7" t="str">
        <f>IFERROR(__xludf.DUMMYFUNCTION("""COMPUTED_VALUE"""),"RUN-ABRM_2023-03-01_RFR-175")</f>
        <v>RUN-ABRM_2023-03-01_RFR-175</v>
      </c>
      <c r="Z119" s="12">
        <f>IFERROR(__xludf.DUMMYFUNCTION("""COMPUTED_VALUE"""),44986.0)</f>
        <v>44986</v>
      </c>
      <c r="AA119" s="50">
        <f t="array" ref="AA119">INDEX('RFR Data - preExcl'!AK$2:AK259,$AE119,1)</f>
        <v>9</v>
      </c>
      <c r="AB119" s="54">
        <f t="shared" si="18"/>
        <v>9</v>
      </c>
      <c r="AC119" s="54">
        <f t="array" ref="AC119">INDEX('RFR Data - preExcl'!AI$2:AI259,$AE119,1)</f>
        <v>0</v>
      </c>
      <c r="AD119" s="54">
        <f t="array" ref="AD119">INDEX('RFR Data - preExcl'!AF$2:AF259,$AE119,1)</f>
        <v>0</v>
      </c>
      <c r="AE119" s="56">
        <f>IFNA(MATCH(Y119,'RFR Data - preExcl'!A$2:A259,0),"")</f>
        <v>175</v>
      </c>
      <c r="AF119" s="43"/>
      <c r="AG119" s="58" t="s">
        <v>144</v>
      </c>
      <c r="AH119" s="46">
        <f>VLOOKUP(AG119,'Run Reconcile'!A$2:B259,2,FALSE)</f>
        <v>44980</v>
      </c>
      <c r="AI119" s="54">
        <f>COUNTIF('APS Tubes IMPORT'!$V$2:$V259, AG119)
</f>
        <v>9</v>
      </c>
      <c r="AJ119" s="54">
        <f>COUNTIFS('APS Tubes IMPORT'!V$2:V259, AG119, 'APS Tubes IMPORT'!H$2:H259, "Negative")
</f>
        <v>9</v>
      </c>
      <c r="AK119" s="54">
        <f>COUNTIFS('APS Tubes IMPORT'!V118:V259, AG119, 'APS Tubes IMPORT'!H118:H259, "Positive")
</f>
        <v>0</v>
      </c>
      <c r="AL119" s="54">
        <f>COUNTIFS('APS Tubes IMPORT'!V118:V259, AG119, 'APS Tubes IMPORT'!H118:H259, "Inconclusive")
</f>
        <v>0</v>
      </c>
      <c r="AM119" s="54">
        <f>COUNTIFS('APS Tubes IMPORT'!V118:V259, AG119, 'APS Tubes IMPORT'!H118:H259, "Null")
</f>
        <v>0</v>
      </c>
      <c r="AN119" s="43"/>
      <c r="AP119" s="54"/>
      <c r="AQ119" s="54"/>
      <c r="AR119" s="54"/>
      <c r="AS119" s="54"/>
      <c r="AU119" s="43"/>
    </row>
    <row r="120">
      <c r="A120" s="7" t="s">
        <v>145</v>
      </c>
      <c r="B120" s="46">
        <f>VLOOKUP(A120,'ALL Tube Results'!$B$2:$D259,2,FALSE)</f>
        <v>44981</v>
      </c>
      <c r="C120" s="47">
        <f>COUNTIF('ALL Tube Results'!B119:B259, A120)
</f>
        <v>7</v>
      </c>
      <c r="D120" s="48">
        <f>COUNTIFS('ALL Tube Results'!$B119:$B259, $A120, 'ALL Tube Results'!$F119:$F259, "Negative")
</f>
        <v>7</v>
      </c>
      <c r="E120" s="48">
        <f>COUNTIFS('ALL Tube Results'!$B119:$B259, $A120, 'ALL Tube Results'!$F119:$F259, "Positive")
</f>
        <v>0</v>
      </c>
      <c r="F120" s="48">
        <f>COUNTIFS('ALL Tube Results'!$B119:$B259, $A120, 'ALL Tube Results'!$F119:$F259, "Inconclusive")
</f>
        <v>0</v>
      </c>
      <c r="G120" s="49">
        <f t="shared" si="7"/>
        <v>7</v>
      </c>
      <c r="H120" s="49" t="str">
        <f t="shared" si="8"/>
        <v/>
      </c>
      <c r="I120" s="50">
        <f t="shared" si="9"/>
        <v>7</v>
      </c>
      <c r="J120" s="51">
        <f t="shared" si="10"/>
        <v>0</v>
      </c>
      <c r="K120" s="51">
        <f t="shared" si="11"/>
        <v>0</v>
      </c>
      <c r="L120" s="51" t="str">
        <f t="shared" si="12"/>
        <v/>
      </c>
      <c r="M120" s="51" t="str">
        <f t="shared" si="13"/>
        <v/>
      </c>
      <c r="N120" s="51" t="str">
        <f t="shared" si="14"/>
        <v/>
      </c>
      <c r="O120" s="52">
        <f t="shared" si="15"/>
        <v>7</v>
      </c>
      <c r="P120" s="52" t="str">
        <f t="shared" si="16"/>
        <v/>
      </c>
      <c r="Q120" s="43"/>
      <c r="R120" s="7" t="s">
        <v>145</v>
      </c>
      <c r="S120" s="12">
        <v>44981.0</v>
      </c>
      <c r="T120" s="54">
        <f>VLOOKUP(R120,'Run Reconcile'!$A$2:$L259,12,FALSE)</f>
        <v>7</v>
      </c>
      <c r="U120" s="55" t="str">
        <f t="shared" si="17"/>
        <v/>
      </c>
      <c r="V120" s="54"/>
      <c r="W120" s="54"/>
      <c r="X120" s="43"/>
      <c r="Y120" s="7" t="str">
        <f>IFERROR(__xludf.DUMMYFUNCTION("""COMPUTED_VALUE"""),"RUN-ABRM_2023-03-02_RFR-177")</f>
        <v>RUN-ABRM_2023-03-02_RFR-177</v>
      </c>
      <c r="Z120" s="12">
        <f>IFERROR(__xludf.DUMMYFUNCTION("""COMPUTED_VALUE"""),44987.0)</f>
        <v>44987</v>
      </c>
      <c r="AA120" s="50">
        <f t="array" ref="AA120">INDEX('RFR Data - preExcl'!AK$2:AK259,$AE120,1)</f>
        <v>8</v>
      </c>
      <c r="AB120" s="54">
        <f t="shared" si="18"/>
        <v>8</v>
      </c>
      <c r="AC120" s="54">
        <f t="array" ref="AC120">INDEX('RFR Data - preExcl'!AI$2:AI259,$AE120,1)</f>
        <v>0</v>
      </c>
      <c r="AD120" s="54">
        <f t="array" ref="AD120">INDEX('RFR Data - preExcl'!AF$2:AF259,$AE120,1)</f>
        <v>0</v>
      </c>
      <c r="AE120" s="56">
        <f>IFNA(MATCH(Y120,'RFR Data - preExcl'!A$2:A259,0),"")</f>
        <v>177</v>
      </c>
      <c r="AF120" s="43"/>
      <c r="AG120" s="58" t="s">
        <v>145</v>
      </c>
      <c r="AH120" s="46">
        <f>VLOOKUP(AG120,'Run Reconcile'!A$2:B259,2,FALSE)</f>
        <v>44981</v>
      </c>
      <c r="AI120" s="54">
        <f>COUNTIF('APS Tubes IMPORT'!$V$2:$V259, AG120)
</f>
        <v>7</v>
      </c>
      <c r="AJ120" s="54">
        <f>COUNTIFS('APS Tubes IMPORT'!V$2:V259, AG120, 'APS Tubes IMPORT'!H$2:H259, "Negative")
</f>
        <v>7</v>
      </c>
      <c r="AK120" s="54">
        <f>COUNTIFS('APS Tubes IMPORT'!V119:V259, AG120, 'APS Tubes IMPORT'!H119:H259, "Positive")
</f>
        <v>0</v>
      </c>
      <c r="AL120" s="54">
        <f>COUNTIFS('APS Tubes IMPORT'!V119:V259, AG120, 'APS Tubes IMPORT'!H119:H259, "Inconclusive")
</f>
        <v>0</v>
      </c>
      <c r="AM120" s="54">
        <f>COUNTIFS('APS Tubes IMPORT'!V119:V259, AG120, 'APS Tubes IMPORT'!H119:H259, "Null")
</f>
        <v>0</v>
      </c>
      <c r="AN120" s="43"/>
      <c r="AP120" s="54"/>
      <c r="AQ120" s="54"/>
      <c r="AR120" s="54"/>
      <c r="AS120" s="54"/>
      <c r="AU120" s="43"/>
    </row>
    <row r="121">
      <c r="A121" s="7" t="s">
        <v>146</v>
      </c>
      <c r="B121" s="46">
        <f>VLOOKUP(A121,'ALL Tube Results'!$B$2:$D259,2,FALSE)</f>
        <v>44984</v>
      </c>
      <c r="C121" s="47">
        <f>COUNTIF('ALL Tube Results'!B120:B259, A121)
</f>
        <v>10</v>
      </c>
      <c r="D121" s="48">
        <f>COUNTIFS('ALL Tube Results'!$B120:$B259, $A121, 'ALL Tube Results'!$F120:$F259, "Negative")
</f>
        <v>10</v>
      </c>
      <c r="E121" s="48">
        <f>COUNTIFS('ALL Tube Results'!$B120:$B259, $A121, 'ALL Tube Results'!$F120:$F259, "Positive")
</f>
        <v>0</v>
      </c>
      <c r="F121" s="48">
        <f>COUNTIFS('ALL Tube Results'!$B120:$B259, $A121, 'ALL Tube Results'!$F120:$F259, "Inconclusive")
</f>
        <v>0</v>
      </c>
      <c r="G121" s="49">
        <f t="shared" si="7"/>
        <v>10</v>
      </c>
      <c r="H121" s="49" t="str">
        <f t="shared" si="8"/>
        <v/>
      </c>
      <c r="I121" s="50">
        <f t="shared" si="9"/>
        <v>10</v>
      </c>
      <c r="J121" s="51">
        <f t="shared" si="10"/>
        <v>0</v>
      </c>
      <c r="K121" s="51">
        <f t="shared" si="11"/>
        <v>0</v>
      </c>
      <c r="L121" s="51" t="str">
        <f t="shared" si="12"/>
        <v/>
      </c>
      <c r="M121" s="51" t="str">
        <f t="shared" si="13"/>
        <v/>
      </c>
      <c r="N121" s="51" t="str">
        <f t="shared" si="14"/>
        <v/>
      </c>
      <c r="O121" s="52">
        <f t="shared" si="15"/>
        <v>10</v>
      </c>
      <c r="P121" s="52" t="str">
        <f t="shared" si="16"/>
        <v/>
      </c>
      <c r="Q121" s="43"/>
      <c r="R121" s="7" t="s">
        <v>146</v>
      </c>
      <c r="S121" s="12">
        <v>44984.0</v>
      </c>
      <c r="T121" s="54">
        <f>VLOOKUP(R121,'Run Reconcile'!$A$2:$L259,12,FALSE)</f>
        <v>10</v>
      </c>
      <c r="U121" s="55" t="str">
        <f t="shared" si="17"/>
        <v/>
      </c>
      <c r="V121" s="54"/>
      <c r="W121" s="54"/>
      <c r="X121" s="43"/>
      <c r="Y121" s="7" t="str">
        <f>IFERROR(__xludf.DUMMYFUNCTION("""COMPUTED_VALUE"""),"RUN-ABRM_2023-03-06_RFR-179")</f>
        <v>RUN-ABRM_2023-03-06_RFR-179</v>
      </c>
      <c r="Z121" s="12">
        <f>IFERROR(__xludf.DUMMYFUNCTION("""COMPUTED_VALUE"""),44991.0)</f>
        <v>44991</v>
      </c>
      <c r="AA121" s="50">
        <f t="array" ref="AA121">INDEX('RFR Data - preExcl'!AK$2:AK259,$AE121,1)</f>
        <v>10</v>
      </c>
      <c r="AB121" s="54">
        <f t="shared" si="18"/>
        <v>10</v>
      </c>
      <c r="AC121" s="54">
        <f t="array" ref="AC121">INDEX('RFR Data - preExcl'!AI$2:AI259,$AE121,1)</f>
        <v>0</v>
      </c>
      <c r="AD121" s="54">
        <f t="array" ref="AD121">INDEX('RFR Data - preExcl'!AF$2:AF259,$AE121,1)</f>
        <v>0</v>
      </c>
      <c r="AE121" s="56">
        <f>IFNA(MATCH(Y121,'RFR Data - preExcl'!A$2:A259,0),"")</f>
        <v>179</v>
      </c>
      <c r="AF121" s="43"/>
      <c r="AG121" s="58" t="s">
        <v>146</v>
      </c>
      <c r="AH121" s="46">
        <f>VLOOKUP(AG121,'Run Reconcile'!A$2:B259,2,FALSE)</f>
        <v>44984</v>
      </c>
      <c r="AI121" s="54">
        <f>COUNTIF('APS Tubes IMPORT'!$V$2:$V259, AG121)
</f>
        <v>10</v>
      </c>
      <c r="AJ121" s="54">
        <f>COUNTIFS('APS Tubes IMPORT'!V$2:V259, AG121, 'APS Tubes IMPORT'!H$2:H259, "Negative")
</f>
        <v>10</v>
      </c>
      <c r="AK121" s="54">
        <f>COUNTIFS('APS Tubes IMPORT'!V120:V259, AG121, 'APS Tubes IMPORT'!H120:H259, "Positive")
</f>
        <v>0</v>
      </c>
      <c r="AL121" s="54">
        <f>COUNTIFS('APS Tubes IMPORT'!V120:V259, AG121, 'APS Tubes IMPORT'!H120:H259, "Inconclusive")
</f>
        <v>0</v>
      </c>
      <c r="AM121" s="54">
        <f>COUNTIFS('APS Tubes IMPORT'!V120:V259, AG121, 'APS Tubes IMPORT'!H120:H259, "Null")
</f>
        <v>0</v>
      </c>
      <c r="AN121" s="43"/>
      <c r="AP121" s="54"/>
      <c r="AQ121" s="54"/>
      <c r="AR121" s="54"/>
      <c r="AS121" s="54"/>
      <c r="AU121" s="43"/>
    </row>
    <row r="122">
      <c r="A122" s="7" t="s">
        <v>147</v>
      </c>
      <c r="B122" s="46">
        <f>VLOOKUP(A122,'ALL Tube Results'!$B$2:$D259,2,FALSE)</f>
        <v>44985</v>
      </c>
      <c r="C122" s="47">
        <f>COUNTIF('ALL Tube Results'!B121:B259, A122)
</f>
        <v>7</v>
      </c>
      <c r="D122" s="48">
        <f>COUNTIFS('ALL Tube Results'!$B121:$B259, $A122, 'ALL Tube Results'!$F121:$F259, "Negative")
</f>
        <v>7</v>
      </c>
      <c r="E122" s="48">
        <f>COUNTIFS('ALL Tube Results'!$B121:$B259, $A122, 'ALL Tube Results'!$F121:$F259, "Positive")
</f>
        <v>0</v>
      </c>
      <c r="F122" s="48">
        <f>COUNTIFS('ALL Tube Results'!$B121:$B259, $A122, 'ALL Tube Results'!$F121:$F259, "Inconclusive")
</f>
        <v>0</v>
      </c>
      <c r="G122" s="49">
        <f t="shared" si="7"/>
        <v>7</v>
      </c>
      <c r="H122" s="49" t="str">
        <f t="shared" si="8"/>
        <v/>
      </c>
      <c r="I122" s="50">
        <f t="shared" si="9"/>
        <v>7</v>
      </c>
      <c r="J122" s="51">
        <f t="shared" si="10"/>
        <v>0</v>
      </c>
      <c r="K122" s="51">
        <f t="shared" si="11"/>
        <v>0</v>
      </c>
      <c r="L122" s="51" t="str">
        <f t="shared" si="12"/>
        <v/>
      </c>
      <c r="M122" s="51" t="str">
        <f t="shared" si="13"/>
        <v/>
      </c>
      <c r="N122" s="51" t="str">
        <f t="shared" si="14"/>
        <v/>
      </c>
      <c r="O122" s="52">
        <f t="shared" si="15"/>
        <v>7</v>
      </c>
      <c r="P122" s="52" t="str">
        <f t="shared" si="16"/>
        <v/>
      </c>
      <c r="Q122" s="43"/>
      <c r="R122" s="7" t="s">
        <v>147</v>
      </c>
      <c r="S122" s="12">
        <v>44985.0</v>
      </c>
      <c r="T122" s="54">
        <f>VLOOKUP(R122,'Run Reconcile'!$A$2:$L259,12,FALSE)</f>
        <v>7</v>
      </c>
      <c r="U122" s="55" t="str">
        <f t="shared" si="17"/>
        <v/>
      </c>
      <c r="V122" s="54"/>
      <c r="W122" s="54"/>
      <c r="X122" s="43"/>
      <c r="Y122" s="7" t="str">
        <f>IFERROR(__xludf.DUMMYFUNCTION("""COMPUTED_VALUE"""),"RUN-ABRM_2023-03-07_RFR-181")</f>
        <v>RUN-ABRM_2023-03-07_RFR-181</v>
      </c>
      <c r="Z122" s="12">
        <f>IFERROR(__xludf.DUMMYFUNCTION("""COMPUTED_VALUE"""),44992.0)</f>
        <v>44992</v>
      </c>
      <c r="AA122" s="50">
        <f t="array" ref="AA122">INDEX('RFR Data - preExcl'!AK$2:AK259,$AE122,1)</f>
        <v>8</v>
      </c>
      <c r="AB122" s="54">
        <f t="shared" si="18"/>
        <v>8</v>
      </c>
      <c r="AC122" s="54">
        <f t="array" ref="AC122">INDEX('RFR Data - preExcl'!AI$2:AI259,$AE122,1)</f>
        <v>0</v>
      </c>
      <c r="AD122" s="54">
        <f t="array" ref="AD122">INDEX('RFR Data - preExcl'!AF$2:AF259,$AE122,1)</f>
        <v>0</v>
      </c>
      <c r="AE122" s="56">
        <f>IFNA(MATCH(Y122,'RFR Data - preExcl'!A$2:A259,0),"")</f>
        <v>181</v>
      </c>
      <c r="AF122" s="43"/>
      <c r="AG122" s="58" t="s">
        <v>147</v>
      </c>
      <c r="AH122" s="46">
        <f>VLOOKUP(AG122,'Run Reconcile'!A$2:B259,2,FALSE)</f>
        <v>44985</v>
      </c>
      <c r="AI122" s="54">
        <f>COUNTIF('APS Tubes IMPORT'!$V$2:$V259, AG122)
</f>
        <v>7</v>
      </c>
      <c r="AJ122" s="54">
        <f>COUNTIFS('APS Tubes IMPORT'!V$2:V259, AG122, 'APS Tubes IMPORT'!H$2:H259, "Negative")
</f>
        <v>7</v>
      </c>
      <c r="AK122" s="54">
        <f>COUNTIFS('APS Tubes IMPORT'!V121:V259, AG122, 'APS Tubes IMPORT'!H121:H259, "Positive")
</f>
        <v>0</v>
      </c>
      <c r="AL122" s="54">
        <f>COUNTIFS('APS Tubes IMPORT'!V121:V259, AG122, 'APS Tubes IMPORT'!H121:H259, "Inconclusive")
</f>
        <v>0</v>
      </c>
      <c r="AM122" s="54">
        <f>COUNTIFS('APS Tubes IMPORT'!V121:V259, AG122, 'APS Tubes IMPORT'!H121:H259, "Null")
</f>
        <v>0</v>
      </c>
      <c r="AN122" s="43"/>
      <c r="AP122" s="54"/>
      <c r="AQ122" s="54"/>
      <c r="AR122" s="54"/>
      <c r="AS122" s="54"/>
      <c r="AU122" s="43"/>
    </row>
    <row r="123">
      <c r="A123" s="7" t="s">
        <v>148</v>
      </c>
      <c r="B123" s="46">
        <f>VLOOKUP(A123,'ALL Tube Results'!$B$2:$D259,2,FALSE)</f>
        <v>44986</v>
      </c>
      <c r="C123" s="47">
        <f>COUNTIF('ALL Tube Results'!B122:B259, A123)
</f>
        <v>9</v>
      </c>
      <c r="D123" s="48">
        <f>COUNTIFS('ALL Tube Results'!$B122:$B259, $A123, 'ALL Tube Results'!$F122:$F259, "Negative")
</f>
        <v>9</v>
      </c>
      <c r="E123" s="48">
        <f>COUNTIFS('ALL Tube Results'!$B122:$B259, $A123, 'ALL Tube Results'!$F122:$F259, "Positive")
</f>
        <v>0</v>
      </c>
      <c r="F123" s="48">
        <f>COUNTIFS('ALL Tube Results'!$B122:$B259, $A123, 'ALL Tube Results'!$F122:$F259, "Inconclusive")
</f>
        <v>0</v>
      </c>
      <c r="G123" s="49">
        <f t="shared" si="7"/>
        <v>9</v>
      </c>
      <c r="H123" s="49" t="str">
        <f t="shared" si="8"/>
        <v/>
      </c>
      <c r="I123" s="50">
        <f t="shared" si="9"/>
        <v>9</v>
      </c>
      <c r="J123" s="51">
        <f t="shared" si="10"/>
        <v>0</v>
      </c>
      <c r="K123" s="51">
        <f t="shared" si="11"/>
        <v>0</v>
      </c>
      <c r="L123" s="51" t="str">
        <f t="shared" si="12"/>
        <v/>
      </c>
      <c r="M123" s="51" t="str">
        <f t="shared" si="13"/>
        <v/>
      </c>
      <c r="N123" s="51" t="str">
        <f t="shared" si="14"/>
        <v/>
      </c>
      <c r="O123" s="52">
        <f t="shared" si="15"/>
        <v>9</v>
      </c>
      <c r="P123" s="52" t="str">
        <f t="shared" si="16"/>
        <v/>
      </c>
      <c r="Q123" s="43"/>
      <c r="R123" s="7" t="s">
        <v>148</v>
      </c>
      <c r="S123" s="12">
        <v>44986.0</v>
      </c>
      <c r="T123" s="54">
        <f>VLOOKUP(R123,'Run Reconcile'!$A$2:$L259,12,FALSE)</f>
        <v>9</v>
      </c>
      <c r="U123" s="55" t="str">
        <f t="shared" si="17"/>
        <v/>
      </c>
      <c r="V123" s="54"/>
      <c r="W123" s="54"/>
      <c r="X123" s="43"/>
      <c r="Y123" s="7" t="str">
        <f>IFERROR(__xludf.DUMMYFUNCTION("""COMPUTED_VALUE"""),"RUN-ABRM_2023-03-08_RFR-182")</f>
        <v>RUN-ABRM_2023-03-08_RFR-182</v>
      </c>
      <c r="Z123" s="12">
        <f>IFERROR(__xludf.DUMMYFUNCTION("""COMPUTED_VALUE"""),44993.0)</f>
        <v>44993</v>
      </c>
      <c r="AA123" s="50">
        <f t="array" ref="AA123">INDEX('RFR Data - preExcl'!AK$2:AK259,$AE123,1)</f>
        <v>11</v>
      </c>
      <c r="AB123" s="54">
        <f t="shared" si="18"/>
        <v>11</v>
      </c>
      <c r="AC123" s="54">
        <f t="array" ref="AC123">INDEX('RFR Data - preExcl'!AI$2:AI259,$AE123,1)</f>
        <v>0</v>
      </c>
      <c r="AD123" s="54">
        <f t="array" ref="AD123">INDEX('RFR Data - preExcl'!AF$2:AF259,$AE123,1)</f>
        <v>0</v>
      </c>
      <c r="AE123" s="56">
        <f>IFNA(MATCH(Y123,'RFR Data - preExcl'!A$2:A259,0),"")</f>
        <v>182</v>
      </c>
      <c r="AF123" s="43"/>
      <c r="AG123" s="58" t="s">
        <v>148</v>
      </c>
      <c r="AH123" s="46">
        <f>VLOOKUP(AG123,'Run Reconcile'!A$2:B259,2,FALSE)</f>
        <v>44986</v>
      </c>
      <c r="AI123" s="54">
        <f>COUNTIF('APS Tubes IMPORT'!$V$2:$V259, AG123)
</f>
        <v>9</v>
      </c>
      <c r="AJ123" s="54">
        <f>COUNTIFS('APS Tubes IMPORT'!V$2:V259, AG123, 'APS Tubes IMPORT'!H$2:H259, "Negative")
</f>
        <v>9</v>
      </c>
      <c r="AK123" s="54">
        <f>COUNTIFS('APS Tubes IMPORT'!V122:V259, AG123, 'APS Tubes IMPORT'!H122:H259, "Positive")
</f>
        <v>0</v>
      </c>
      <c r="AL123" s="54">
        <f>COUNTIFS('APS Tubes IMPORT'!V122:V259, AG123, 'APS Tubes IMPORT'!H122:H259, "Inconclusive")
</f>
        <v>0</v>
      </c>
      <c r="AM123" s="54">
        <f>COUNTIFS('APS Tubes IMPORT'!V122:V259, AG123, 'APS Tubes IMPORT'!H122:H259, "Null")
</f>
        <v>0</v>
      </c>
      <c r="AN123" s="43"/>
      <c r="AP123" s="54"/>
      <c r="AQ123" s="54"/>
      <c r="AR123" s="54"/>
      <c r="AS123" s="54"/>
      <c r="AU123" s="43"/>
    </row>
    <row r="124">
      <c r="A124" s="7" t="s">
        <v>149</v>
      </c>
      <c r="B124" s="46">
        <f>VLOOKUP(A124,'ALL Tube Results'!$B$2:$D259,2,FALSE)</f>
        <v>44987</v>
      </c>
      <c r="C124" s="47">
        <f>COUNTIF('ALL Tube Results'!B123:B259, A124)
</f>
        <v>8</v>
      </c>
      <c r="D124" s="48">
        <f>COUNTIFS('ALL Tube Results'!$B123:$B259, $A124, 'ALL Tube Results'!$F123:$F259, "Negative")
</f>
        <v>8</v>
      </c>
      <c r="E124" s="48">
        <f>COUNTIFS('ALL Tube Results'!$B123:$B259, $A124, 'ALL Tube Results'!$F123:$F259, "Positive")
</f>
        <v>0</v>
      </c>
      <c r="F124" s="48">
        <f>COUNTIFS('ALL Tube Results'!$B123:$B259, $A124, 'ALL Tube Results'!$F123:$F259, "Inconclusive")
</f>
        <v>0</v>
      </c>
      <c r="G124" s="49">
        <f t="shared" si="7"/>
        <v>8</v>
      </c>
      <c r="H124" s="49" t="str">
        <f t="shared" si="8"/>
        <v/>
      </c>
      <c r="I124" s="50">
        <f t="shared" si="9"/>
        <v>8</v>
      </c>
      <c r="J124" s="51">
        <f t="shared" si="10"/>
        <v>0</v>
      </c>
      <c r="K124" s="51">
        <f t="shared" si="11"/>
        <v>0</v>
      </c>
      <c r="L124" s="51" t="str">
        <f t="shared" si="12"/>
        <v/>
      </c>
      <c r="M124" s="51" t="str">
        <f t="shared" si="13"/>
        <v/>
      </c>
      <c r="N124" s="51" t="str">
        <f t="shared" si="14"/>
        <v/>
      </c>
      <c r="O124" s="52">
        <f t="shared" si="15"/>
        <v>8</v>
      </c>
      <c r="P124" s="52" t="str">
        <f t="shared" si="16"/>
        <v/>
      </c>
      <c r="Q124" s="43"/>
      <c r="R124" s="7" t="s">
        <v>149</v>
      </c>
      <c r="S124" s="12">
        <v>44987.0</v>
      </c>
      <c r="T124" s="54">
        <f>VLOOKUP(R124,'Run Reconcile'!$A$2:$L259,12,FALSE)</f>
        <v>8</v>
      </c>
      <c r="U124" s="55" t="str">
        <f t="shared" si="17"/>
        <v/>
      </c>
      <c r="V124" s="54"/>
      <c r="W124" s="54"/>
      <c r="X124" s="43"/>
      <c r="Y124" s="7" t="str">
        <f>IFERROR(__xludf.DUMMYFUNCTION("""COMPUTED_VALUE"""),"RUN-ABRM_2023-03-09_RFR-184")</f>
        <v>RUN-ABRM_2023-03-09_RFR-184</v>
      </c>
      <c r="Z124" s="12">
        <f>IFERROR(__xludf.DUMMYFUNCTION("""COMPUTED_VALUE"""),44994.0)</f>
        <v>44994</v>
      </c>
      <c r="AA124" s="50">
        <f t="array" ref="AA124">INDEX('RFR Data - preExcl'!AK$2:AK259,$AE124,1)</f>
        <v>8</v>
      </c>
      <c r="AB124" s="54">
        <f t="shared" si="18"/>
        <v>8</v>
      </c>
      <c r="AC124" s="54">
        <f t="array" ref="AC124">INDEX('RFR Data - preExcl'!AI$2:AI259,$AE124,1)</f>
        <v>0</v>
      </c>
      <c r="AD124" s="54">
        <f t="array" ref="AD124">INDEX('RFR Data - preExcl'!AF$2:AF259,$AE124,1)</f>
        <v>0</v>
      </c>
      <c r="AE124" s="56">
        <f>IFNA(MATCH(Y124,'RFR Data - preExcl'!A$2:A259,0),"")</f>
        <v>184</v>
      </c>
      <c r="AF124" s="43"/>
      <c r="AG124" s="58" t="s">
        <v>149</v>
      </c>
      <c r="AH124" s="46">
        <f>VLOOKUP(AG124,'Run Reconcile'!A$2:B259,2,FALSE)</f>
        <v>44987</v>
      </c>
      <c r="AI124" s="54">
        <f>COUNTIF('APS Tubes IMPORT'!$V$2:$V259, AG124)
</f>
        <v>8</v>
      </c>
      <c r="AJ124" s="54">
        <f>COUNTIFS('APS Tubes IMPORT'!V$2:V259, AG124, 'APS Tubes IMPORT'!H$2:H259, "Negative")
</f>
        <v>8</v>
      </c>
      <c r="AK124" s="54">
        <f>COUNTIFS('APS Tubes IMPORT'!V123:V259, AG124, 'APS Tubes IMPORT'!H123:H259, "Positive")
</f>
        <v>0</v>
      </c>
      <c r="AL124" s="54">
        <f>COUNTIFS('APS Tubes IMPORT'!V123:V259, AG124, 'APS Tubes IMPORT'!H123:H259, "Inconclusive")
</f>
        <v>0</v>
      </c>
      <c r="AM124" s="54">
        <f>COUNTIFS('APS Tubes IMPORT'!V123:V259, AG124, 'APS Tubes IMPORT'!H123:H259, "Null")
</f>
        <v>0</v>
      </c>
      <c r="AN124" s="43"/>
      <c r="AP124" s="54"/>
      <c r="AQ124" s="54"/>
      <c r="AR124" s="54"/>
      <c r="AS124" s="54"/>
      <c r="AU124" s="43"/>
    </row>
    <row r="125">
      <c r="A125" s="7" t="s">
        <v>150</v>
      </c>
      <c r="B125" s="46">
        <f>VLOOKUP(A125,'ALL Tube Results'!$B$2:$D259,2,FALSE)</f>
        <v>44988</v>
      </c>
      <c r="C125" s="47">
        <f>COUNTIF('ALL Tube Results'!B124:B259, A125)
</f>
        <v>3</v>
      </c>
      <c r="D125" s="48">
        <f>COUNTIFS('ALL Tube Results'!$B124:$B259, $A125, 'ALL Tube Results'!$F124:$F259, "Negative")
</f>
        <v>3</v>
      </c>
      <c r="E125" s="48">
        <f>COUNTIFS('ALL Tube Results'!$B124:$B259, $A125, 'ALL Tube Results'!$F124:$F259, "Positive")
</f>
        <v>0</v>
      </c>
      <c r="F125" s="48">
        <f>COUNTIFS('ALL Tube Results'!$B124:$B259, $A125, 'ALL Tube Results'!$F124:$F259, "Inconclusive")
</f>
        <v>0</v>
      </c>
      <c r="G125" s="49">
        <f t="shared" si="7"/>
        <v>3</v>
      </c>
      <c r="H125" s="49" t="str">
        <f t="shared" si="8"/>
        <v/>
      </c>
      <c r="I125" s="50" t="str">
        <f t="shared" si="9"/>
        <v/>
      </c>
      <c r="J125" s="51" t="str">
        <f t="shared" si="10"/>
        <v/>
      </c>
      <c r="K125" s="51" t="str">
        <f t="shared" si="11"/>
        <v/>
      </c>
      <c r="L125" s="51">
        <f t="shared" si="12"/>
        <v>3</v>
      </c>
      <c r="M125" s="51" t="str">
        <f t="shared" si="13"/>
        <v/>
      </c>
      <c r="N125" s="51" t="str">
        <f t="shared" si="14"/>
        <v/>
      </c>
      <c r="O125" s="52">
        <f t="shared" si="15"/>
        <v>3</v>
      </c>
      <c r="P125" s="52" t="str">
        <f t="shared" si="16"/>
        <v/>
      </c>
      <c r="Q125" s="43"/>
      <c r="R125" s="7" t="s">
        <v>150</v>
      </c>
      <c r="S125" s="12">
        <v>44988.0</v>
      </c>
      <c r="T125" s="54">
        <f>VLOOKUP(R125,'Run Reconcile'!$A$2:$L259,12,FALSE)</f>
        <v>3</v>
      </c>
      <c r="U125" s="55" t="str">
        <f t="shared" si="17"/>
        <v/>
      </c>
      <c r="V125" s="54"/>
      <c r="W125" s="54"/>
      <c r="X125" s="43"/>
      <c r="Y125" s="7" t="str">
        <f>IFERROR(__xludf.DUMMYFUNCTION("""COMPUTED_VALUE"""),"RUN-ABRM_2023-03-10_RFR-186")</f>
        <v>RUN-ABRM_2023-03-10_RFR-186</v>
      </c>
      <c r="Z125" s="12">
        <f>IFERROR(__xludf.DUMMYFUNCTION("""COMPUTED_VALUE"""),44995.0)</f>
        <v>44995</v>
      </c>
      <c r="AA125" s="50">
        <f t="array" ref="AA125">INDEX('RFR Data - preExcl'!AK$2:AK259,$AE125,1)</f>
        <v>10</v>
      </c>
      <c r="AB125" s="54">
        <f t="shared" si="18"/>
        <v>10</v>
      </c>
      <c r="AC125" s="54">
        <f t="array" ref="AC125">INDEX('RFR Data - preExcl'!AI$2:AI259,$AE125,1)</f>
        <v>0</v>
      </c>
      <c r="AD125" s="54">
        <f t="array" ref="AD125">INDEX('RFR Data - preExcl'!AF$2:AF259,$AE125,1)</f>
        <v>0</v>
      </c>
      <c r="AE125" s="56">
        <f>IFNA(MATCH(Y125,'RFR Data - preExcl'!A$2:A259,0),"")</f>
        <v>186</v>
      </c>
      <c r="AF125" s="43"/>
      <c r="AG125" s="58" t="s">
        <v>150</v>
      </c>
      <c r="AH125" s="46">
        <f>VLOOKUP(AG125,'Run Reconcile'!A$2:B259,2,FALSE)</f>
        <v>44988</v>
      </c>
      <c r="AI125" s="54">
        <f>COUNTIF('APS Tubes IMPORT'!$V$2:$V259, AG125)
</f>
        <v>3</v>
      </c>
      <c r="AJ125" s="54">
        <f>COUNTIFS('APS Tubes IMPORT'!V$2:V259, AG125, 'APS Tubes IMPORT'!H$2:H259, "Negative")
</f>
        <v>3</v>
      </c>
      <c r="AK125" s="54">
        <f>COUNTIFS('APS Tubes IMPORT'!V124:V259, AG125, 'APS Tubes IMPORT'!H124:H259, "Positive")
</f>
        <v>0</v>
      </c>
      <c r="AL125" s="54">
        <f>COUNTIFS('APS Tubes IMPORT'!V124:V259, AG125, 'APS Tubes IMPORT'!H124:H259, "Inconclusive")
</f>
        <v>0</v>
      </c>
      <c r="AM125" s="54">
        <f>COUNTIFS('APS Tubes IMPORT'!V124:V259, AG125, 'APS Tubes IMPORT'!H124:H259, "Null")
</f>
        <v>0</v>
      </c>
      <c r="AN125" s="43"/>
      <c r="AP125" s="54"/>
      <c r="AQ125" s="54"/>
      <c r="AR125" s="54"/>
      <c r="AS125" s="54"/>
      <c r="AU125" s="43"/>
    </row>
    <row r="126">
      <c r="A126" s="7" t="s">
        <v>151</v>
      </c>
      <c r="B126" s="46">
        <f>VLOOKUP(A126,'ALL Tube Results'!$B$2:$D259,2,FALSE)</f>
        <v>44991</v>
      </c>
      <c r="C126" s="47">
        <f>COUNTIF('ALL Tube Results'!B125:B259, A126)
</f>
        <v>10</v>
      </c>
      <c r="D126" s="48">
        <f>COUNTIFS('ALL Tube Results'!$B125:$B259, $A126, 'ALL Tube Results'!$F125:$F259, "Negative")
</f>
        <v>10</v>
      </c>
      <c r="E126" s="48">
        <f>COUNTIFS('ALL Tube Results'!$B125:$B259, $A126, 'ALL Tube Results'!$F125:$F259, "Positive")
</f>
        <v>0</v>
      </c>
      <c r="F126" s="48">
        <f>COUNTIFS('ALL Tube Results'!$B125:$B259, $A126, 'ALL Tube Results'!$F125:$F259, "Inconclusive")
</f>
        <v>0</v>
      </c>
      <c r="G126" s="49">
        <f t="shared" si="7"/>
        <v>10</v>
      </c>
      <c r="H126" s="49" t="str">
        <f t="shared" si="8"/>
        <v/>
      </c>
      <c r="I126" s="50">
        <f t="shared" si="9"/>
        <v>10</v>
      </c>
      <c r="J126" s="51">
        <f t="shared" si="10"/>
        <v>0</v>
      </c>
      <c r="K126" s="51">
        <f t="shared" si="11"/>
        <v>0</v>
      </c>
      <c r="L126" s="51" t="str">
        <f t="shared" si="12"/>
        <v/>
      </c>
      <c r="M126" s="51" t="str">
        <f t="shared" si="13"/>
        <v/>
      </c>
      <c r="N126" s="51" t="str">
        <f t="shared" si="14"/>
        <v/>
      </c>
      <c r="O126" s="52">
        <f t="shared" si="15"/>
        <v>10</v>
      </c>
      <c r="P126" s="52" t="str">
        <f t="shared" si="16"/>
        <v/>
      </c>
      <c r="Q126" s="43"/>
      <c r="R126" s="7" t="s">
        <v>151</v>
      </c>
      <c r="S126" s="12">
        <v>44991.0</v>
      </c>
      <c r="T126" s="54">
        <f>VLOOKUP(R126,'Run Reconcile'!$A$2:$L259,12,FALSE)</f>
        <v>10</v>
      </c>
      <c r="U126" s="55" t="str">
        <f t="shared" si="17"/>
        <v/>
      </c>
      <c r="V126" s="54"/>
      <c r="W126" s="54"/>
      <c r="X126" s="43"/>
      <c r="Y126" s="7" t="str">
        <f>IFERROR(__xludf.DUMMYFUNCTION("""COMPUTED_VALUE"""),"RUN-ABRM_2023-03-21_RFR-187")</f>
        <v>RUN-ABRM_2023-03-21_RFR-187</v>
      </c>
      <c r="Z126" s="12">
        <f>IFERROR(__xludf.DUMMYFUNCTION("""COMPUTED_VALUE"""),45006.0)</f>
        <v>45006</v>
      </c>
      <c r="AA126" s="50">
        <f t="array" ref="AA126">INDEX('RFR Data - preExcl'!AK$2:AK259,$AE126,1)</f>
        <v>9</v>
      </c>
      <c r="AB126" s="54">
        <f t="shared" si="18"/>
        <v>9</v>
      </c>
      <c r="AC126" s="54">
        <f t="array" ref="AC126">INDEX('RFR Data - preExcl'!AI$2:AI259,$AE126,1)</f>
        <v>0</v>
      </c>
      <c r="AD126" s="54">
        <f t="array" ref="AD126">INDEX('RFR Data - preExcl'!AF$2:AF259,$AE126,1)</f>
        <v>0</v>
      </c>
      <c r="AE126" s="56">
        <f>IFNA(MATCH(Y126,'RFR Data - preExcl'!A$2:A259,0),"")</f>
        <v>187</v>
      </c>
      <c r="AF126" s="43"/>
      <c r="AG126" s="58" t="s">
        <v>151</v>
      </c>
      <c r="AH126" s="46">
        <f>VLOOKUP(AG126,'Run Reconcile'!A$2:B259,2,FALSE)</f>
        <v>44991</v>
      </c>
      <c r="AI126" s="54">
        <f>COUNTIF('APS Tubes IMPORT'!$V$2:$V259, AG126)
</f>
        <v>10</v>
      </c>
      <c r="AJ126" s="54">
        <f>COUNTIFS('APS Tubes IMPORT'!V$2:V259, AG126, 'APS Tubes IMPORT'!H$2:H259, "Negative")
</f>
        <v>10</v>
      </c>
      <c r="AK126" s="54">
        <f>COUNTIFS('APS Tubes IMPORT'!V125:V259, AG126, 'APS Tubes IMPORT'!H125:H259, "Positive")
</f>
        <v>0</v>
      </c>
      <c r="AL126" s="54">
        <f>COUNTIFS('APS Tubes IMPORT'!V125:V259, AG126, 'APS Tubes IMPORT'!H125:H259, "Inconclusive")
</f>
        <v>0</v>
      </c>
      <c r="AM126" s="54">
        <f>COUNTIFS('APS Tubes IMPORT'!V125:V259, AG126, 'APS Tubes IMPORT'!H125:H259, "Null")
</f>
        <v>0</v>
      </c>
      <c r="AN126" s="43"/>
      <c r="AP126" s="54"/>
      <c r="AQ126" s="54"/>
      <c r="AR126" s="54"/>
      <c r="AS126" s="54"/>
      <c r="AU126" s="43"/>
    </row>
    <row r="127">
      <c r="A127" s="7" t="s">
        <v>152</v>
      </c>
      <c r="B127" s="46">
        <f>VLOOKUP(A127,'ALL Tube Results'!$B$2:$D259,2,FALSE)</f>
        <v>44992</v>
      </c>
      <c r="C127" s="47">
        <f>COUNTIF('ALL Tube Results'!B126:B259, A127)
</f>
        <v>8</v>
      </c>
      <c r="D127" s="48">
        <f>COUNTIFS('ALL Tube Results'!$B126:$B259, $A127, 'ALL Tube Results'!$F126:$F259, "Negative")
</f>
        <v>8</v>
      </c>
      <c r="E127" s="48">
        <f>COUNTIFS('ALL Tube Results'!$B126:$B259, $A127, 'ALL Tube Results'!$F126:$F259, "Positive")
</f>
        <v>0</v>
      </c>
      <c r="F127" s="48">
        <f>COUNTIFS('ALL Tube Results'!$B126:$B259, $A127, 'ALL Tube Results'!$F126:$F259, "Inconclusive")
</f>
        <v>0</v>
      </c>
      <c r="G127" s="49">
        <f t="shared" si="7"/>
        <v>8</v>
      </c>
      <c r="H127" s="49" t="str">
        <f t="shared" si="8"/>
        <v/>
      </c>
      <c r="I127" s="50">
        <f t="shared" si="9"/>
        <v>8</v>
      </c>
      <c r="J127" s="51">
        <f t="shared" si="10"/>
        <v>0</v>
      </c>
      <c r="K127" s="51">
        <f t="shared" si="11"/>
        <v>0</v>
      </c>
      <c r="L127" s="51" t="str">
        <f t="shared" si="12"/>
        <v/>
      </c>
      <c r="M127" s="51" t="str">
        <f t="shared" si="13"/>
        <v/>
      </c>
      <c r="N127" s="51" t="str">
        <f t="shared" si="14"/>
        <v/>
      </c>
      <c r="O127" s="52">
        <f t="shared" si="15"/>
        <v>8</v>
      </c>
      <c r="P127" s="52" t="str">
        <f t="shared" si="16"/>
        <v/>
      </c>
      <c r="Q127" s="43"/>
      <c r="R127" s="7" t="s">
        <v>152</v>
      </c>
      <c r="S127" s="12">
        <v>44992.0</v>
      </c>
      <c r="T127" s="54">
        <f>VLOOKUP(R127,'Run Reconcile'!$A$2:$L259,12,FALSE)</f>
        <v>8</v>
      </c>
      <c r="U127" s="55" t="str">
        <f t="shared" si="17"/>
        <v/>
      </c>
      <c r="V127" s="54"/>
      <c r="W127" s="54"/>
      <c r="X127" s="43"/>
      <c r="Y127" s="7" t="str">
        <f>IFERROR(__xludf.DUMMYFUNCTION("""COMPUTED_VALUE"""),"RUN-ABRM_2023-03-22_RFR-189")</f>
        <v>RUN-ABRM_2023-03-22_RFR-189</v>
      </c>
      <c r="Z127" s="12">
        <f>IFERROR(__xludf.DUMMYFUNCTION("""COMPUTED_VALUE"""),45007.0)</f>
        <v>45007</v>
      </c>
      <c r="AA127" s="50">
        <f t="array" ref="AA127">INDEX('RFR Data - preExcl'!AK$2:AK259,$AE127,1)</f>
        <v>11</v>
      </c>
      <c r="AB127" s="54">
        <f t="shared" si="18"/>
        <v>11</v>
      </c>
      <c r="AC127" s="54">
        <f t="array" ref="AC127">INDEX('RFR Data - preExcl'!AI$2:AI259,$AE127,1)</f>
        <v>0</v>
      </c>
      <c r="AD127" s="54">
        <f t="array" ref="AD127">INDEX('RFR Data - preExcl'!AF$2:AF259,$AE127,1)</f>
        <v>0</v>
      </c>
      <c r="AE127" s="56">
        <f>IFNA(MATCH(Y127,'RFR Data - preExcl'!A$2:A259,0),"")</f>
        <v>189</v>
      </c>
      <c r="AF127" s="43"/>
      <c r="AG127" s="58" t="s">
        <v>152</v>
      </c>
      <c r="AH127" s="46">
        <f>VLOOKUP(AG127,'Run Reconcile'!A$2:B259,2,FALSE)</f>
        <v>44992</v>
      </c>
      <c r="AI127" s="54">
        <f>COUNTIF('APS Tubes IMPORT'!$V$2:$V259, AG127)
</f>
        <v>8</v>
      </c>
      <c r="AJ127" s="54">
        <f>COUNTIFS('APS Tubes IMPORT'!V$2:V259, AG127, 'APS Tubes IMPORT'!H$2:H259, "Negative")
</f>
        <v>8</v>
      </c>
      <c r="AK127" s="54">
        <f>COUNTIFS('APS Tubes IMPORT'!V126:V259, AG127, 'APS Tubes IMPORT'!H126:H259, "Positive")
</f>
        <v>0</v>
      </c>
      <c r="AL127" s="54">
        <f>COUNTIFS('APS Tubes IMPORT'!V126:V259, AG127, 'APS Tubes IMPORT'!H126:H259, "Inconclusive")
</f>
        <v>0</v>
      </c>
      <c r="AM127" s="54">
        <f>COUNTIFS('APS Tubes IMPORT'!V126:V259, AG127, 'APS Tubes IMPORT'!H126:H259, "Null")
</f>
        <v>0</v>
      </c>
      <c r="AN127" s="43"/>
      <c r="AP127" s="54"/>
      <c r="AQ127" s="54"/>
      <c r="AR127" s="54"/>
      <c r="AS127" s="54"/>
      <c r="AU127" s="43"/>
    </row>
    <row r="128">
      <c r="A128" s="7" t="s">
        <v>153</v>
      </c>
      <c r="B128" s="46">
        <f>VLOOKUP(A128,'ALL Tube Results'!$B$2:$D259,2,FALSE)</f>
        <v>44993</v>
      </c>
      <c r="C128" s="47">
        <f>COUNTIF('ALL Tube Results'!B127:B259, A128)
</f>
        <v>11</v>
      </c>
      <c r="D128" s="48">
        <f>COUNTIFS('ALL Tube Results'!$B127:$B259, $A128, 'ALL Tube Results'!$F127:$F259, "Negative")
</f>
        <v>11</v>
      </c>
      <c r="E128" s="48">
        <f>COUNTIFS('ALL Tube Results'!$B127:$B259, $A128, 'ALL Tube Results'!$F127:$F259, "Positive")
</f>
        <v>0</v>
      </c>
      <c r="F128" s="48">
        <f>COUNTIFS('ALL Tube Results'!$B127:$B259, $A128, 'ALL Tube Results'!$F127:$F259, "Inconclusive")
</f>
        <v>0</v>
      </c>
      <c r="G128" s="49">
        <f t="shared" si="7"/>
        <v>11</v>
      </c>
      <c r="H128" s="49" t="str">
        <f t="shared" si="8"/>
        <v/>
      </c>
      <c r="I128" s="50">
        <f t="shared" si="9"/>
        <v>11</v>
      </c>
      <c r="J128" s="51">
        <f t="shared" si="10"/>
        <v>0</v>
      </c>
      <c r="K128" s="51">
        <f t="shared" si="11"/>
        <v>0</v>
      </c>
      <c r="L128" s="51" t="str">
        <f t="shared" si="12"/>
        <v/>
      </c>
      <c r="M128" s="51" t="str">
        <f t="shared" si="13"/>
        <v/>
      </c>
      <c r="N128" s="51" t="str">
        <f t="shared" si="14"/>
        <v/>
      </c>
      <c r="O128" s="52">
        <f t="shared" si="15"/>
        <v>11</v>
      </c>
      <c r="P128" s="52" t="str">
        <f t="shared" si="16"/>
        <v/>
      </c>
      <c r="Q128" s="43"/>
      <c r="R128" s="7" t="s">
        <v>153</v>
      </c>
      <c r="S128" s="12">
        <v>44993.0</v>
      </c>
      <c r="T128" s="54">
        <f>VLOOKUP(R128,'Run Reconcile'!$A$2:$L259,12,FALSE)</f>
        <v>11</v>
      </c>
      <c r="U128" s="55" t="str">
        <f t="shared" si="17"/>
        <v/>
      </c>
      <c r="V128" s="54"/>
      <c r="W128" s="54"/>
      <c r="X128" s="43"/>
      <c r="Y128" s="7" t="str">
        <f>IFERROR(__xludf.DUMMYFUNCTION("""COMPUTED_VALUE"""),"RUN-ABRM_2023-03-23_RFR-191")</f>
        <v>RUN-ABRM_2023-03-23_RFR-191</v>
      </c>
      <c r="Z128" s="12">
        <f>IFERROR(__xludf.DUMMYFUNCTION("""COMPUTED_VALUE"""),45008.0)</f>
        <v>45008</v>
      </c>
      <c r="AA128" s="50">
        <f t="array" ref="AA128">INDEX('RFR Data - preExcl'!AK$2:AK259,$AE128,1)</f>
        <v>10</v>
      </c>
      <c r="AB128" s="54">
        <f t="shared" si="18"/>
        <v>10</v>
      </c>
      <c r="AC128" s="54">
        <f t="array" ref="AC128">INDEX('RFR Data - preExcl'!AI$2:AI259,$AE128,1)</f>
        <v>0</v>
      </c>
      <c r="AD128" s="54">
        <f t="array" ref="AD128">INDEX('RFR Data - preExcl'!AF$2:AF259,$AE128,1)</f>
        <v>0</v>
      </c>
      <c r="AE128" s="56">
        <f>IFNA(MATCH(Y128,'RFR Data - preExcl'!A$2:A259,0),"")</f>
        <v>191</v>
      </c>
      <c r="AF128" s="43"/>
      <c r="AG128" s="58" t="s">
        <v>153</v>
      </c>
      <c r="AH128" s="46">
        <f>VLOOKUP(AG128,'Run Reconcile'!A$2:B259,2,FALSE)</f>
        <v>44993</v>
      </c>
      <c r="AI128" s="54">
        <f>COUNTIF('APS Tubes IMPORT'!$V$2:$V259, AG128)
</f>
        <v>11</v>
      </c>
      <c r="AJ128" s="54">
        <f>COUNTIFS('APS Tubes IMPORT'!V$2:V259, AG128, 'APS Tubes IMPORT'!H$2:H259, "Negative")
</f>
        <v>11</v>
      </c>
      <c r="AK128" s="54">
        <f>COUNTIFS('APS Tubes IMPORT'!V127:V259, AG128, 'APS Tubes IMPORT'!H127:H259, "Positive")
</f>
        <v>0</v>
      </c>
      <c r="AL128" s="54">
        <f>COUNTIFS('APS Tubes IMPORT'!V127:V259, AG128, 'APS Tubes IMPORT'!H127:H259, "Inconclusive")
</f>
        <v>0</v>
      </c>
      <c r="AM128" s="54">
        <f>COUNTIFS('APS Tubes IMPORT'!V127:V259, AG128, 'APS Tubes IMPORT'!H127:H259, "Null")
</f>
        <v>0</v>
      </c>
      <c r="AN128" s="43"/>
      <c r="AP128" s="54"/>
      <c r="AQ128" s="54"/>
      <c r="AR128" s="54"/>
      <c r="AS128" s="54"/>
      <c r="AU128" s="43"/>
    </row>
    <row r="129">
      <c r="A129" s="7" t="s">
        <v>154</v>
      </c>
      <c r="B129" s="46">
        <f>VLOOKUP(A129,'ALL Tube Results'!$B$2:$D259,2,FALSE)</f>
        <v>44994</v>
      </c>
      <c r="C129" s="47">
        <f>COUNTIF('ALL Tube Results'!B128:B259, A129)
</f>
        <v>8</v>
      </c>
      <c r="D129" s="48">
        <f>COUNTIFS('ALL Tube Results'!$B128:$B259, $A129, 'ALL Tube Results'!$F128:$F259, "Negative")
</f>
        <v>8</v>
      </c>
      <c r="E129" s="48">
        <f>COUNTIFS('ALL Tube Results'!$B128:$B259, $A129, 'ALL Tube Results'!$F128:$F259, "Positive")
</f>
        <v>0</v>
      </c>
      <c r="F129" s="48">
        <f>COUNTIFS('ALL Tube Results'!$B128:$B259, $A129, 'ALL Tube Results'!$F128:$F259, "Inconclusive")
</f>
        <v>0</v>
      </c>
      <c r="G129" s="49">
        <f t="shared" si="7"/>
        <v>8</v>
      </c>
      <c r="H129" s="49" t="str">
        <f t="shared" si="8"/>
        <v/>
      </c>
      <c r="I129" s="50">
        <f t="shared" si="9"/>
        <v>8</v>
      </c>
      <c r="J129" s="51">
        <f t="shared" si="10"/>
        <v>0</v>
      </c>
      <c r="K129" s="51">
        <f t="shared" si="11"/>
        <v>0</v>
      </c>
      <c r="L129" s="51" t="str">
        <f t="shared" si="12"/>
        <v/>
      </c>
      <c r="M129" s="51" t="str">
        <f t="shared" si="13"/>
        <v/>
      </c>
      <c r="N129" s="51" t="str">
        <f t="shared" si="14"/>
        <v/>
      </c>
      <c r="O129" s="52">
        <f t="shared" si="15"/>
        <v>8</v>
      </c>
      <c r="P129" s="52" t="str">
        <f t="shared" si="16"/>
        <v/>
      </c>
      <c r="Q129" s="43"/>
      <c r="R129" s="7" t="s">
        <v>154</v>
      </c>
      <c r="S129" s="12">
        <v>44994.0</v>
      </c>
      <c r="T129" s="54">
        <f>VLOOKUP(R129,'Run Reconcile'!$A$2:$L259,12,FALSE)</f>
        <v>8</v>
      </c>
      <c r="U129" s="55" t="str">
        <f t="shared" si="17"/>
        <v/>
      </c>
      <c r="V129" s="54"/>
      <c r="W129" s="54"/>
      <c r="X129" s="43"/>
      <c r="Y129" s="7" t="str">
        <f>IFERROR(__xludf.DUMMYFUNCTION("""COMPUTED_VALUE"""),"RUN-ABRM_2023-03-24_RFR-193")</f>
        <v>RUN-ABRM_2023-03-24_RFR-193</v>
      </c>
      <c r="Z129" s="12">
        <f>IFERROR(__xludf.DUMMYFUNCTION("""COMPUTED_VALUE"""),45009.0)</f>
        <v>45009</v>
      </c>
      <c r="AA129" s="50">
        <f t="array" ref="AA129">INDEX('RFR Data - preExcl'!AK$2:AK259,$AE129,1)</f>
        <v>7</v>
      </c>
      <c r="AB129" s="54">
        <f t="shared" si="18"/>
        <v>7</v>
      </c>
      <c r="AC129" s="54">
        <f t="array" ref="AC129">INDEX('RFR Data - preExcl'!AI$2:AI259,$AE129,1)</f>
        <v>0</v>
      </c>
      <c r="AD129" s="54">
        <f t="array" ref="AD129">INDEX('RFR Data - preExcl'!AF$2:AF259,$AE129,1)</f>
        <v>0</v>
      </c>
      <c r="AE129" s="56">
        <f>IFNA(MATCH(Y129,'RFR Data - preExcl'!A$2:A259,0),"")</f>
        <v>193</v>
      </c>
      <c r="AF129" s="43"/>
      <c r="AG129" s="58" t="s">
        <v>154</v>
      </c>
      <c r="AH129" s="46">
        <f>VLOOKUP(AG129,'Run Reconcile'!A$2:B259,2,FALSE)</f>
        <v>44994</v>
      </c>
      <c r="AI129" s="54">
        <f>COUNTIF('APS Tubes IMPORT'!$V$2:$V259, AG129)
</f>
        <v>8</v>
      </c>
      <c r="AJ129" s="54">
        <f>COUNTIFS('APS Tubes IMPORT'!V$2:V259, AG129, 'APS Tubes IMPORT'!H$2:H259, "Negative")
</f>
        <v>8</v>
      </c>
      <c r="AK129" s="54">
        <f>COUNTIFS('APS Tubes IMPORT'!V128:V259, AG129, 'APS Tubes IMPORT'!H128:H259, "Positive")
</f>
        <v>0</v>
      </c>
      <c r="AL129" s="54">
        <f>COUNTIFS('APS Tubes IMPORT'!V128:V259, AG129, 'APS Tubes IMPORT'!H128:H259, "Inconclusive")
</f>
        <v>0</v>
      </c>
      <c r="AM129" s="54">
        <f>COUNTIFS('APS Tubes IMPORT'!V128:V259, AG129, 'APS Tubes IMPORT'!H128:H259, "Null")
</f>
        <v>0</v>
      </c>
      <c r="AN129" s="43"/>
      <c r="AP129" s="54"/>
      <c r="AQ129" s="54"/>
      <c r="AR129" s="54"/>
      <c r="AS129" s="54"/>
      <c r="AU129" s="43"/>
    </row>
    <row r="130">
      <c r="A130" s="7" t="s">
        <v>155</v>
      </c>
      <c r="B130" s="46">
        <f>VLOOKUP(A130,'ALL Tube Results'!$B$2:$D259,2,FALSE)</f>
        <v>44995</v>
      </c>
      <c r="C130" s="47">
        <f>COUNTIF('ALL Tube Results'!B129:B259, A130)
</f>
        <v>10</v>
      </c>
      <c r="D130" s="48">
        <f>COUNTIFS('ALL Tube Results'!$B129:$B259, $A130, 'ALL Tube Results'!$F129:$F259, "Negative")
</f>
        <v>10</v>
      </c>
      <c r="E130" s="48">
        <f>COUNTIFS('ALL Tube Results'!$B129:$B259, $A130, 'ALL Tube Results'!$F129:$F259, "Positive")
</f>
        <v>0</v>
      </c>
      <c r="F130" s="48">
        <f>COUNTIFS('ALL Tube Results'!$B129:$B259, $A130, 'ALL Tube Results'!$F129:$F259, "Inconclusive")
</f>
        <v>0</v>
      </c>
      <c r="G130" s="49">
        <f t="shared" si="7"/>
        <v>10</v>
      </c>
      <c r="H130" s="49" t="str">
        <f t="shared" si="8"/>
        <v/>
      </c>
      <c r="I130" s="50">
        <f t="shared" si="9"/>
        <v>10</v>
      </c>
      <c r="J130" s="51">
        <f t="shared" si="10"/>
        <v>0</v>
      </c>
      <c r="K130" s="51">
        <f t="shared" si="11"/>
        <v>0</v>
      </c>
      <c r="L130" s="51" t="str">
        <f t="shared" si="12"/>
        <v/>
      </c>
      <c r="M130" s="51" t="str">
        <f t="shared" si="13"/>
        <v/>
      </c>
      <c r="N130" s="51" t="str">
        <f t="shared" si="14"/>
        <v/>
      </c>
      <c r="O130" s="52">
        <f t="shared" si="15"/>
        <v>10</v>
      </c>
      <c r="P130" s="52" t="str">
        <f t="shared" si="16"/>
        <v/>
      </c>
      <c r="Q130" s="43"/>
      <c r="R130" s="7" t="s">
        <v>155</v>
      </c>
      <c r="S130" s="12">
        <v>44995.0</v>
      </c>
      <c r="T130" s="54">
        <f>VLOOKUP(R130,'Run Reconcile'!$A$2:$L259,12,FALSE)</f>
        <v>10</v>
      </c>
      <c r="U130" s="55" t="str">
        <f t="shared" si="17"/>
        <v/>
      </c>
      <c r="V130" s="54"/>
      <c r="W130" s="54"/>
      <c r="X130" s="43"/>
      <c r="Y130" s="7" t="str">
        <f>IFERROR(__xludf.DUMMYFUNCTION("""COMPUTED_VALUE"""),"RUN-ABRM_2023-03-27_RFR-194")</f>
        <v>RUN-ABRM_2023-03-27_RFR-194</v>
      </c>
      <c r="Z130" s="12">
        <f>IFERROR(__xludf.DUMMYFUNCTION("""COMPUTED_VALUE"""),45012.0)</f>
        <v>45012</v>
      </c>
      <c r="AA130" s="50">
        <f t="array" ref="AA130">INDEX('RFR Data - preExcl'!AK$2:AK259,$AE130,1)</f>
        <v>10</v>
      </c>
      <c r="AB130" s="54">
        <f t="shared" si="18"/>
        <v>10</v>
      </c>
      <c r="AC130" s="54">
        <f t="array" ref="AC130">INDEX('RFR Data - preExcl'!AI$2:AI259,$AE130,1)</f>
        <v>0</v>
      </c>
      <c r="AD130" s="54">
        <f t="array" ref="AD130">INDEX('RFR Data - preExcl'!AF$2:AF259,$AE130,1)</f>
        <v>0</v>
      </c>
      <c r="AE130" s="56">
        <f>IFNA(MATCH(Y130,'RFR Data - preExcl'!A$2:A259,0),"")</f>
        <v>194</v>
      </c>
      <c r="AF130" s="43"/>
      <c r="AG130" s="58" t="s">
        <v>155</v>
      </c>
      <c r="AH130" s="46">
        <f>VLOOKUP(AG130,'Run Reconcile'!A$2:B259,2,FALSE)</f>
        <v>44995</v>
      </c>
      <c r="AI130" s="54">
        <f>COUNTIF('APS Tubes IMPORT'!$V$2:$V259, AG130)
</f>
        <v>10</v>
      </c>
      <c r="AJ130" s="54">
        <f>COUNTIFS('APS Tubes IMPORT'!V$2:V259, AG130, 'APS Tubes IMPORT'!H$2:H259, "Negative")
</f>
        <v>10</v>
      </c>
      <c r="AK130" s="54">
        <f>COUNTIFS('APS Tubes IMPORT'!V129:V259, AG130, 'APS Tubes IMPORT'!H129:H259, "Positive")
</f>
        <v>0</v>
      </c>
      <c r="AL130" s="54">
        <f>COUNTIFS('APS Tubes IMPORT'!V129:V259, AG130, 'APS Tubes IMPORT'!H129:H259, "Inconclusive")
</f>
        <v>0</v>
      </c>
      <c r="AM130" s="54">
        <f>COUNTIFS('APS Tubes IMPORT'!V129:V259, AG130, 'APS Tubes IMPORT'!H129:H259, "Null")
</f>
        <v>0</v>
      </c>
      <c r="AN130" s="43"/>
      <c r="AP130" s="54"/>
      <c r="AQ130" s="54"/>
      <c r="AR130" s="54"/>
      <c r="AS130" s="54"/>
      <c r="AU130" s="43"/>
    </row>
    <row r="131">
      <c r="A131" s="7" t="s">
        <v>156</v>
      </c>
      <c r="B131" s="46">
        <f>VLOOKUP(A131,'ALL Tube Results'!$B$2:$D259,2,FALSE)</f>
        <v>45006</v>
      </c>
      <c r="C131" s="47">
        <f>COUNTIF('ALL Tube Results'!B130:B259, A131)
</f>
        <v>9</v>
      </c>
      <c r="D131" s="48">
        <f>COUNTIFS('ALL Tube Results'!$B130:$B259, $A131, 'ALL Tube Results'!$F130:$F259, "Negative")
</f>
        <v>9</v>
      </c>
      <c r="E131" s="48">
        <f>COUNTIFS('ALL Tube Results'!$B130:$B259, $A131, 'ALL Tube Results'!$F130:$F259, "Positive")
</f>
        <v>0</v>
      </c>
      <c r="F131" s="48">
        <f>COUNTIFS('ALL Tube Results'!$B130:$B259, $A131, 'ALL Tube Results'!$F130:$F259, "Inconclusive")
</f>
        <v>0</v>
      </c>
      <c r="G131" s="49">
        <f t="shared" si="7"/>
        <v>9</v>
      </c>
      <c r="H131" s="49" t="str">
        <f t="shared" si="8"/>
        <v/>
      </c>
      <c r="I131" s="50">
        <f t="shared" si="9"/>
        <v>9</v>
      </c>
      <c r="J131" s="51">
        <f t="shared" si="10"/>
        <v>0</v>
      </c>
      <c r="K131" s="51">
        <f t="shared" si="11"/>
        <v>0</v>
      </c>
      <c r="L131" s="51" t="str">
        <f t="shared" si="12"/>
        <v/>
      </c>
      <c r="M131" s="51" t="str">
        <f t="shared" si="13"/>
        <v/>
      </c>
      <c r="N131" s="51" t="str">
        <f t="shared" si="14"/>
        <v/>
      </c>
      <c r="O131" s="52">
        <f t="shared" si="15"/>
        <v>9</v>
      </c>
      <c r="P131" s="52" t="str">
        <f t="shared" si="16"/>
        <v/>
      </c>
      <c r="Q131" s="43"/>
      <c r="R131" s="7" t="s">
        <v>156</v>
      </c>
      <c r="S131" s="12">
        <v>45006.0</v>
      </c>
      <c r="T131" s="54">
        <f>VLOOKUP(R131,'Run Reconcile'!$A$2:$L259,12,FALSE)</f>
        <v>9</v>
      </c>
      <c r="U131" s="55" t="str">
        <f t="shared" si="17"/>
        <v/>
      </c>
      <c r="V131" s="54"/>
      <c r="W131" s="54"/>
      <c r="X131" s="43"/>
      <c r="Y131" s="7" t="str">
        <f>IFERROR(__xludf.DUMMYFUNCTION("""COMPUTED_VALUE"""),"RUN-ABRM_2023-03-28_RFR-195")</f>
        <v>RUN-ABRM_2023-03-28_RFR-195</v>
      </c>
      <c r="Z131" s="12">
        <f>IFERROR(__xludf.DUMMYFUNCTION("""COMPUTED_VALUE"""),45013.0)</f>
        <v>45013</v>
      </c>
      <c r="AA131" s="50">
        <f t="array" ref="AA131">INDEX('RFR Data - preExcl'!AK$2:AK259,$AE131,1)</f>
        <v>8</v>
      </c>
      <c r="AB131" s="54">
        <f t="shared" si="18"/>
        <v>8</v>
      </c>
      <c r="AC131" s="54">
        <f t="array" ref="AC131">INDEX('RFR Data - preExcl'!AI$2:AI259,$AE131,1)</f>
        <v>0</v>
      </c>
      <c r="AD131" s="54">
        <f t="array" ref="AD131">INDEX('RFR Data - preExcl'!AF$2:AF259,$AE131,1)</f>
        <v>0</v>
      </c>
      <c r="AE131" s="56">
        <f>IFNA(MATCH(Y131,'RFR Data - preExcl'!A$2:A259,0),"")</f>
        <v>195</v>
      </c>
      <c r="AF131" s="43"/>
      <c r="AG131" s="58" t="s">
        <v>156</v>
      </c>
      <c r="AH131" s="46">
        <f>VLOOKUP(AG131,'Run Reconcile'!A$2:B259,2,FALSE)</f>
        <v>45006</v>
      </c>
      <c r="AI131" s="54">
        <f>COUNTIF('APS Tubes IMPORT'!$V$2:$V259, AG131)
</f>
        <v>9</v>
      </c>
      <c r="AJ131" s="54">
        <f>COUNTIFS('APS Tubes IMPORT'!V$2:V259, AG131, 'APS Tubes IMPORT'!H$2:H259, "Negative")
</f>
        <v>9</v>
      </c>
      <c r="AK131" s="54">
        <f>COUNTIFS('APS Tubes IMPORT'!V130:V259, AG131, 'APS Tubes IMPORT'!H130:H259, "Positive")
</f>
        <v>0</v>
      </c>
      <c r="AL131" s="54">
        <f>COUNTIFS('APS Tubes IMPORT'!V130:V259, AG131, 'APS Tubes IMPORT'!H130:H259, "Inconclusive")
</f>
        <v>0</v>
      </c>
      <c r="AM131" s="54">
        <f>COUNTIFS('APS Tubes IMPORT'!V130:V259, AG131, 'APS Tubes IMPORT'!H130:H259, "Null")
</f>
        <v>0</v>
      </c>
      <c r="AN131" s="43"/>
      <c r="AP131" s="54"/>
      <c r="AQ131" s="54"/>
      <c r="AR131" s="54"/>
      <c r="AS131" s="54"/>
      <c r="AU131" s="43"/>
    </row>
    <row r="132">
      <c r="A132" s="7" t="s">
        <v>157</v>
      </c>
      <c r="B132" s="46">
        <f>VLOOKUP(A132,'ALL Tube Results'!$B$2:$D259,2,FALSE)</f>
        <v>45007</v>
      </c>
      <c r="C132" s="47">
        <f>COUNTIF('ALL Tube Results'!B131:B259, A132)
</f>
        <v>11</v>
      </c>
      <c r="D132" s="48">
        <f>COUNTIFS('ALL Tube Results'!$B131:$B259, $A132, 'ALL Tube Results'!$F131:$F259, "Negative")
</f>
        <v>11</v>
      </c>
      <c r="E132" s="48">
        <f>COUNTIFS('ALL Tube Results'!$B131:$B259, $A132, 'ALL Tube Results'!$F131:$F259, "Positive")
</f>
        <v>0</v>
      </c>
      <c r="F132" s="48">
        <f>COUNTIFS('ALL Tube Results'!$B131:$B259, $A132, 'ALL Tube Results'!$F131:$F259, "Inconclusive")
</f>
        <v>0</v>
      </c>
      <c r="G132" s="49">
        <f t="shared" si="7"/>
        <v>11</v>
      </c>
      <c r="H132" s="49" t="str">
        <f t="shared" si="8"/>
        <v/>
      </c>
      <c r="I132" s="50">
        <f t="shared" si="9"/>
        <v>11</v>
      </c>
      <c r="J132" s="51">
        <f t="shared" si="10"/>
        <v>0</v>
      </c>
      <c r="K132" s="51">
        <f t="shared" si="11"/>
        <v>0</v>
      </c>
      <c r="L132" s="51" t="str">
        <f t="shared" si="12"/>
        <v/>
      </c>
      <c r="M132" s="51" t="str">
        <f t="shared" si="13"/>
        <v/>
      </c>
      <c r="N132" s="51" t="str">
        <f t="shared" si="14"/>
        <v/>
      </c>
      <c r="O132" s="52">
        <f t="shared" si="15"/>
        <v>11</v>
      </c>
      <c r="P132" s="52" t="str">
        <f t="shared" si="16"/>
        <v/>
      </c>
      <c r="Q132" s="43"/>
      <c r="R132" s="7" t="s">
        <v>157</v>
      </c>
      <c r="S132" s="12">
        <v>45007.0</v>
      </c>
      <c r="T132" s="54">
        <f>VLOOKUP(R132,'Run Reconcile'!$A$2:$L259,12,FALSE)</f>
        <v>11</v>
      </c>
      <c r="U132" s="55" t="str">
        <f t="shared" si="17"/>
        <v/>
      </c>
      <c r="V132" s="54"/>
      <c r="W132" s="54"/>
      <c r="X132" s="43"/>
      <c r="Y132" s="7" t="str">
        <f>IFERROR(__xludf.DUMMYFUNCTION("""COMPUTED_VALUE"""),"RUN-ABRM_2023-03-29_RFR-196")</f>
        <v>RUN-ABRM_2023-03-29_RFR-196</v>
      </c>
      <c r="Z132" s="12">
        <f>IFERROR(__xludf.DUMMYFUNCTION("""COMPUTED_VALUE"""),45014.0)</f>
        <v>45014</v>
      </c>
      <c r="AA132" s="50">
        <f t="array" ref="AA132">INDEX('RFR Data - preExcl'!AK$2:AK259,$AE132,1)</f>
        <v>10</v>
      </c>
      <c r="AB132" s="54">
        <f t="shared" si="18"/>
        <v>10</v>
      </c>
      <c r="AC132" s="54">
        <f t="array" ref="AC132">INDEX('RFR Data - preExcl'!AI$2:AI259,$AE132,1)</f>
        <v>0</v>
      </c>
      <c r="AD132" s="54">
        <f t="array" ref="AD132">INDEX('RFR Data - preExcl'!AF$2:AF259,$AE132,1)</f>
        <v>0</v>
      </c>
      <c r="AE132" s="56">
        <f>IFNA(MATCH(Y132,'RFR Data - preExcl'!A$2:A259,0),"")</f>
        <v>196</v>
      </c>
      <c r="AF132" s="43"/>
      <c r="AG132" s="58" t="s">
        <v>157</v>
      </c>
      <c r="AH132" s="46">
        <f>VLOOKUP(AG132,'Run Reconcile'!A$2:B259,2,FALSE)</f>
        <v>45007</v>
      </c>
      <c r="AI132" s="54">
        <f>COUNTIF('APS Tubes IMPORT'!$V$2:$V259, AG132)
</f>
        <v>11</v>
      </c>
      <c r="AJ132" s="54">
        <f>COUNTIFS('APS Tubes IMPORT'!V$2:V259, AG132, 'APS Tubes IMPORT'!H$2:H259, "Negative")
</f>
        <v>11</v>
      </c>
      <c r="AK132" s="54">
        <f>COUNTIFS('APS Tubes IMPORT'!V131:V259, AG132, 'APS Tubes IMPORT'!H131:H259, "Positive")
</f>
        <v>0</v>
      </c>
      <c r="AL132" s="54">
        <f>COUNTIFS('APS Tubes IMPORT'!V131:V259, AG132, 'APS Tubes IMPORT'!H131:H259, "Inconclusive")
</f>
        <v>0</v>
      </c>
      <c r="AM132" s="54">
        <f>COUNTIFS('APS Tubes IMPORT'!V131:V259, AG132, 'APS Tubes IMPORT'!H131:H259, "Null")
</f>
        <v>0</v>
      </c>
      <c r="AN132" s="43"/>
      <c r="AP132" s="54"/>
      <c r="AQ132" s="54"/>
      <c r="AR132" s="54"/>
      <c r="AS132" s="54"/>
      <c r="AU132" s="43"/>
    </row>
    <row r="133">
      <c r="A133" s="7" t="s">
        <v>158</v>
      </c>
      <c r="B133" s="46">
        <f>VLOOKUP(A133,'ALL Tube Results'!$B$2:$D259,2,FALSE)</f>
        <v>45008</v>
      </c>
      <c r="C133" s="47">
        <f>COUNTIF('ALL Tube Results'!B132:B259, A133)
</f>
        <v>10</v>
      </c>
      <c r="D133" s="48">
        <f>COUNTIFS('ALL Tube Results'!$B132:$B259, $A133, 'ALL Tube Results'!$F132:$F259, "Negative")
</f>
        <v>10</v>
      </c>
      <c r="E133" s="48">
        <f>COUNTIFS('ALL Tube Results'!$B132:$B259, $A133, 'ALL Tube Results'!$F132:$F259, "Positive")
</f>
        <v>0</v>
      </c>
      <c r="F133" s="48">
        <f>COUNTIFS('ALL Tube Results'!$B132:$B259, $A133, 'ALL Tube Results'!$F132:$F259, "Inconclusive")
</f>
        <v>0</v>
      </c>
      <c r="G133" s="49">
        <f t="shared" si="7"/>
        <v>10</v>
      </c>
      <c r="H133" s="49" t="str">
        <f t="shared" si="8"/>
        <v/>
      </c>
      <c r="I133" s="50">
        <f t="shared" si="9"/>
        <v>10</v>
      </c>
      <c r="J133" s="51">
        <f t="shared" si="10"/>
        <v>0</v>
      </c>
      <c r="K133" s="51">
        <f t="shared" si="11"/>
        <v>0</v>
      </c>
      <c r="L133" s="51" t="str">
        <f t="shared" si="12"/>
        <v/>
      </c>
      <c r="M133" s="51" t="str">
        <f t="shared" si="13"/>
        <v/>
      </c>
      <c r="N133" s="51" t="str">
        <f t="shared" si="14"/>
        <v/>
      </c>
      <c r="O133" s="52">
        <f t="shared" si="15"/>
        <v>10</v>
      </c>
      <c r="P133" s="52" t="str">
        <f t="shared" si="16"/>
        <v/>
      </c>
      <c r="Q133" s="43"/>
      <c r="R133" s="7" t="s">
        <v>158</v>
      </c>
      <c r="S133" s="12">
        <v>45008.0</v>
      </c>
      <c r="T133" s="54">
        <f>VLOOKUP(R133,'Run Reconcile'!$A$2:$L259,12,FALSE)</f>
        <v>10</v>
      </c>
      <c r="U133" s="55" t="str">
        <f t="shared" si="17"/>
        <v/>
      </c>
      <c r="V133" s="54"/>
      <c r="W133" s="54"/>
      <c r="X133" s="43"/>
      <c r="Y133" s="7" t="str">
        <f>IFERROR(__xludf.DUMMYFUNCTION("""COMPUTED_VALUE"""),"RUN-ABRM_2023-03-30_RFR-197")</f>
        <v>RUN-ABRM_2023-03-30_RFR-197</v>
      </c>
      <c r="Z133" s="12">
        <f>IFERROR(__xludf.DUMMYFUNCTION("""COMPUTED_VALUE"""),45015.0)</f>
        <v>45015</v>
      </c>
      <c r="AA133" s="50">
        <f t="array" ref="AA133">INDEX('RFR Data - preExcl'!AK$2:AK259,$AE133,1)</f>
        <v>10</v>
      </c>
      <c r="AB133" s="54">
        <f t="shared" si="18"/>
        <v>9</v>
      </c>
      <c r="AC133" s="54">
        <f t="array" ref="AC133">INDEX('RFR Data - preExcl'!AI$2:AI259,$AE133,1)</f>
        <v>1</v>
      </c>
      <c r="AD133" s="54">
        <f t="array" ref="AD133">INDEX('RFR Data - preExcl'!AF$2:AF259,$AE133,1)</f>
        <v>0</v>
      </c>
      <c r="AE133" s="56">
        <f>IFNA(MATCH(Y133,'RFR Data - preExcl'!A$2:A259,0),"")</f>
        <v>197</v>
      </c>
      <c r="AF133" s="43"/>
      <c r="AG133" s="58" t="s">
        <v>158</v>
      </c>
      <c r="AH133" s="46">
        <f>VLOOKUP(AG133,'Run Reconcile'!A$2:B259,2,FALSE)</f>
        <v>45008</v>
      </c>
      <c r="AI133" s="54">
        <f>COUNTIF('APS Tubes IMPORT'!$V$2:$V259, AG133)
</f>
        <v>10</v>
      </c>
      <c r="AJ133" s="54">
        <f>COUNTIFS('APS Tubes IMPORT'!V$2:V259, AG133, 'APS Tubes IMPORT'!H$2:H259, "Negative")
</f>
        <v>10</v>
      </c>
      <c r="AK133" s="54">
        <f>COUNTIFS('APS Tubes IMPORT'!V132:V259, AG133, 'APS Tubes IMPORT'!H132:H259, "Positive")
</f>
        <v>0</v>
      </c>
      <c r="AL133" s="54">
        <f>COUNTIFS('APS Tubes IMPORT'!V132:V259, AG133, 'APS Tubes IMPORT'!H132:H259, "Inconclusive")
</f>
        <v>0</v>
      </c>
      <c r="AM133" s="54">
        <f>COUNTIFS('APS Tubes IMPORT'!V132:V259, AG133, 'APS Tubes IMPORT'!H132:H259, "Null")
</f>
        <v>0</v>
      </c>
      <c r="AN133" s="43"/>
      <c r="AP133" s="54"/>
      <c r="AQ133" s="54"/>
      <c r="AR133" s="54"/>
      <c r="AS133" s="54"/>
      <c r="AU133" s="43"/>
    </row>
    <row r="134">
      <c r="A134" s="7" t="s">
        <v>159</v>
      </c>
      <c r="B134" s="46">
        <f>VLOOKUP(A134,'ALL Tube Results'!$B$2:$D259,2,FALSE)</f>
        <v>45009</v>
      </c>
      <c r="C134" s="47">
        <f>COUNTIF('ALL Tube Results'!B133:B259, A134)
</f>
        <v>7</v>
      </c>
      <c r="D134" s="48">
        <f>COUNTIFS('ALL Tube Results'!$B133:$B259, $A134, 'ALL Tube Results'!$F133:$F259, "Negative")
</f>
        <v>7</v>
      </c>
      <c r="E134" s="48">
        <f>COUNTIFS('ALL Tube Results'!$B133:$B259, $A134, 'ALL Tube Results'!$F133:$F259, "Positive")
</f>
        <v>0</v>
      </c>
      <c r="F134" s="48">
        <f>COUNTIFS('ALL Tube Results'!$B133:$B259, $A134, 'ALL Tube Results'!$F133:$F259, "Inconclusive")
</f>
        <v>0</v>
      </c>
      <c r="G134" s="49">
        <f t="shared" si="7"/>
        <v>7</v>
      </c>
      <c r="H134" s="49" t="str">
        <f t="shared" si="8"/>
        <v/>
      </c>
      <c r="I134" s="50">
        <f t="shared" si="9"/>
        <v>7</v>
      </c>
      <c r="J134" s="51">
        <f t="shared" si="10"/>
        <v>0</v>
      </c>
      <c r="K134" s="51">
        <f t="shared" si="11"/>
        <v>0</v>
      </c>
      <c r="L134" s="51" t="str">
        <f t="shared" si="12"/>
        <v/>
      </c>
      <c r="M134" s="51" t="str">
        <f t="shared" si="13"/>
        <v/>
      </c>
      <c r="N134" s="51" t="str">
        <f t="shared" si="14"/>
        <v/>
      </c>
      <c r="O134" s="52">
        <f t="shared" si="15"/>
        <v>7</v>
      </c>
      <c r="P134" s="52" t="str">
        <f t="shared" si="16"/>
        <v/>
      </c>
      <c r="Q134" s="43"/>
      <c r="R134" s="7" t="s">
        <v>159</v>
      </c>
      <c r="S134" s="12">
        <v>45009.0</v>
      </c>
      <c r="T134" s="54">
        <f>VLOOKUP(R134,'Run Reconcile'!$A$2:$L259,12,FALSE)</f>
        <v>7</v>
      </c>
      <c r="U134" s="55" t="str">
        <f t="shared" si="17"/>
        <v/>
      </c>
      <c r="V134" s="54"/>
      <c r="W134" s="54"/>
      <c r="X134" s="43"/>
      <c r="Y134" s="7" t="str">
        <f>IFERROR(__xludf.DUMMYFUNCTION("""COMPUTED_VALUE"""),"RUN-ABRM_2023-03-31_RFR-199")</f>
        <v>RUN-ABRM_2023-03-31_RFR-199</v>
      </c>
      <c r="Z134" s="12">
        <f>IFERROR(__xludf.DUMMYFUNCTION("""COMPUTED_VALUE"""),45016.0)</f>
        <v>45016</v>
      </c>
      <c r="AA134" s="50">
        <f t="array" ref="AA134">INDEX('RFR Data - preExcl'!AK$2:AK259,$AE134,1)</f>
        <v>2</v>
      </c>
      <c r="AB134" s="54">
        <f t="shared" si="18"/>
        <v>2</v>
      </c>
      <c r="AC134" s="54">
        <f t="array" ref="AC134">INDEX('RFR Data - preExcl'!AI$2:AI259,$AE134,1)</f>
        <v>0</v>
      </c>
      <c r="AD134" s="54">
        <f t="array" ref="AD134">INDEX('RFR Data - preExcl'!AF$2:AF259,$AE134,1)</f>
        <v>0</v>
      </c>
      <c r="AE134" s="56">
        <f>IFNA(MATCH(Y134,'RFR Data - preExcl'!A$2:A259,0),"")</f>
        <v>199</v>
      </c>
      <c r="AF134" s="43"/>
      <c r="AG134" s="58" t="s">
        <v>159</v>
      </c>
      <c r="AH134" s="46">
        <f>VLOOKUP(AG134,'Run Reconcile'!A$2:B259,2,FALSE)</f>
        <v>45009</v>
      </c>
      <c r="AI134" s="54">
        <f>COUNTIF('APS Tubes IMPORT'!$V$2:$V259, AG134)
</f>
        <v>7</v>
      </c>
      <c r="AJ134" s="54">
        <f>COUNTIFS('APS Tubes IMPORT'!V$2:V259, AG134, 'APS Tubes IMPORT'!H$2:H259, "Negative")
</f>
        <v>7</v>
      </c>
      <c r="AK134" s="54">
        <f>COUNTIFS('APS Tubes IMPORT'!V133:V259, AG134, 'APS Tubes IMPORT'!H133:H259, "Positive")
</f>
        <v>0</v>
      </c>
      <c r="AL134" s="54">
        <f>COUNTIFS('APS Tubes IMPORT'!V133:V259, AG134, 'APS Tubes IMPORT'!H133:H259, "Inconclusive")
</f>
        <v>0</v>
      </c>
      <c r="AM134" s="54">
        <f>COUNTIFS('APS Tubes IMPORT'!V133:V259, AG134, 'APS Tubes IMPORT'!H133:H259, "Null")
</f>
        <v>0</v>
      </c>
      <c r="AN134" s="43"/>
      <c r="AP134" s="54"/>
      <c r="AQ134" s="54"/>
      <c r="AR134" s="54"/>
      <c r="AS134" s="54"/>
      <c r="AU134" s="43"/>
    </row>
    <row r="135">
      <c r="A135" s="7" t="s">
        <v>160</v>
      </c>
      <c r="B135" s="46">
        <f>VLOOKUP(A135,'ALL Tube Results'!$B$2:$D259,2,FALSE)</f>
        <v>45012</v>
      </c>
      <c r="C135" s="47">
        <f>COUNTIF('ALL Tube Results'!B134:B259, A135)
</f>
        <v>10</v>
      </c>
      <c r="D135" s="48">
        <f>COUNTIFS('ALL Tube Results'!$B134:$B259, $A135, 'ALL Tube Results'!$F134:$F259, "Negative")
</f>
        <v>10</v>
      </c>
      <c r="E135" s="48">
        <f>COUNTIFS('ALL Tube Results'!$B134:$B259, $A135, 'ALL Tube Results'!$F134:$F259, "Positive")
</f>
        <v>0</v>
      </c>
      <c r="F135" s="48">
        <f>COUNTIFS('ALL Tube Results'!$B134:$B259, $A135, 'ALL Tube Results'!$F134:$F259, "Inconclusive")
</f>
        <v>0</v>
      </c>
      <c r="G135" s="49">
        <f t="shared" si="7"/>
        <v>10</v>
      </c>
      <c r="H135" s="49" t="str">
        <f t="shared" si="8"/>
        <v/>
      </c>
      <c r="I135" s="50">
        <f t="shared" si="9"/>
        <v>10</v>
      </c>
      <c r="J135" s="51">
        <f t="shared" si="10"/>
        <v>0</v>
      </c>
      <c r="K135" s="51">
        <f t="shared" si="11"/>
        <v>0</v>
      </c>
      <c r="L135" s="51" t="str">
        <f t="shared" si="12"/>
        <v/>
      </c>
      <c r="M135" s="51" t="str">
        <f t="shared" si="13"/>
        <v/>
      </c>
      <c r="N135" s="51" t="str">
        <f t="shared" si="14"/>
        <v/>
      </c>
      <c r="O135" s="52">
        <f t="shared" si="15"/>
        <v>9</v>
      </c>
      <c r="P135" s="52">
        <f t="shared" si="16"/>
        <v>1</v>
      </c>
      <c r="Q135" s="43"/>
      <c r="R135" s="7" t="s">
        <v>160</v>
      </c>
      <c r="S135" s="12">
        <v>45012.0</v>
      </c>
      <c r="T135" s="54">
        <f>VLOOKUP(R135,'Run Reconcile'!$A$2:$L259,12,FALSE)</f>
        <v>10</v>
      </c>
      <c r="U135" s="55" t="str">
        <f t="shared" si="17"/>
        <v/>
      </c>
      <c r="V135" s="54"/>
      <c r="W135" s="54"/>
      <c r="X135" s="43"/>
      <c r="Y135" s="7" t="str">
        <f>IFERROR(__xludf.DUMMYFUNCTION("""COMPUTED_VALUE"""),"RUN-ABRM_2023-04-03_RFR-200")</f>
        <v>RUN-ABRM_2023-04-03_RFR-200</v>
      </c>
      <c r="Z135" s="12">
        <f>IFERROR(__xludf.DUMMYFUNCTION("""COMPUTED_VALUE"""),45019.0)</f>
        <v>45019</v>
      </c>
      <c r="AA135" s="50">
        <f t="array" ref="AA135">INDEX('RFR Data - preExcl'!AK$2:AK259,$AE135,1)</f>
        <v>7</v>
      </c>
      <c r="AB135" s="54">
        <f t="shared" si="18"/>
        <v>7</v>
      </c>
      <c r="AC135" s="54">
        <f t="array" ref="AC135">INDEX('RFR Data - preExcl'!AI$2:AI259,$AE135,1)</f>
        <v>0</v>
      </c>
      <c r="AD135" s="54">
        <f t="array" ref="AD135">INDEX('RFR Data - preExcl'!AF$2:AF259,$AE135,1)</f>
        <v>0</v>
      </c>
      <c r="AE135" s="56">
        <f>IFNA(MATCH(Y135,'RFR Data - preExcl'!A$2:A259,0),"")</f>
        <v>200</v>
      </c>
      <c r="AF135" s="43"/>
      <c r="AG135" s="58" t="s">
        <v>160</v>
      </c>
      <c r="AH135" s="46">
        <f>VLOOKUP(AG135,'Run Reconcile'!A$2:B259,2,FALSE)</f>
        <v>45012</v>
      </c>
      <c r="AI135" s="54">
        <f>COUNTIF('APS Tubes IMPORT'!$V$2:$V259, AG135)
</f>
        <v>9</v>
      </c>
      <c r="AJ135" s="54">
        <f>COUNTIFS('APS Tubes IMPORT'!V$2:V259, AG135, 'APS Tubes IMPORT'!H$2:H259, "Negative")
</f>
        <v>9</v>
      </c>
      <c r="AK135" s="54">
        <f>COUNTIFS('APS Tubes IMPORT'!V134:V259, AG135, 'APS Tubes IMPORT'!H134:H259, "Positive")
</f>
        <v>0</v>
      </c>
      <c r="AL135" s="54">
        <f>COUNTIFS('APS Tubes IMPORT'!V134:V259, AG135, 'APS Tubes IMPORT'!H134:H259, "Inconclusive")
</f>
        <v>0</v>
      </c>
      <c r="AM135" s="54">
        <f>COUNTIFS('APS Tubes IMPORT'!V134:V259, AG135, 'APS Tubes IMPORT'!H134:H259, "Null")
</f>
        <v>0</v>
      </c>
      <c r="AN135" s="43"/>
      <c r="AP135" s="54"/>
      <c r="AQ135" s="54"/>
      <c r="AR135" s="54"/>
      <c r="AS135" s="54"/>
      <c r="AU135" s="43"/>
    </row>
    <row r="136">
      <c r="A136" s="7" t="s">
        <v>161</v>
      </c>
      <c r="B136" s="46">
        <f>VLOOKUP(A136,'ALL Tube Results'!$B$2:$D259,2,FALSE)</f>
        <v>45013</v>
      </c>
      <c r="C136" s="47">
        <f>COUNTIF('ALL Tube Results'!B135:B259, A136)
</f>
        <v>8</v>
      </c>
      <c r="D136" s="48">
        <f>COUNTIFS('ALL Tube Results'!$B135:$B259, $A136, 'ALL Tube Results'!$F135:$F259, "Negative")
</f>
        <v>8</v>
      </c>
      <c r="E136" s="48">
        <f>COUNTIFS('ALL Tube Results'!$B135:$B259, $A136, 'ALL Tube Results'!$F135:$F259, "Positive")
</f>
        <v>0</v>
      </c>
      <c r="F136" s="48">
        <f>COUNTIFS('ALL Tube Results'!$B135:$B259, $A136, 'ALL Tube Results'!$F135:$F259, "Inconclusive")
</f>
        <v>0</v>
      </c>
      <c r="G136" s="49">
        <f t="shared" si="7"/>
        <v>8</v>
      </c>
      <c r="H136" s="49" t="str">
        <f t="shared" si="8"/>
        <v/>
      </c>
      <c r="I136" s="50">
        <f t="shared" si="9"/>
        <v>8</v>
      </c>
      <c r="J136" s="51">
        <f t="shared" si="10"/>
        <v>0</v>
      </c>
      <c r="K136" s="51">
        <f t="shared" si="11"/>
        <v>0</v>
      </c>
      <c r="L136" s="51" t="str">
        <f t="shared" si="12"/>
        <v/>
      </c>
      <c r="M136" s="51" t="str">
        <f t="shared" si="13"/>
        <v/>
      </c>
      <c r="N136" s="51" t="str">
        <f t="shared" si="14"/>
        <v/>
      </c>
      <c r="O136" s="52">
        <f t="shared" si="15"/>
        <v>8</v>
      </c>
      <c r="P136" s="52" t="str">
        <f t="shared" si="16"/>
        <v/>
      </c>
      <c r="Q136" s="43"/>
      <c r="R136" s="7" t="s">
        <v>161</v>
      </c>
      <c r="S136" s="12">
        <v>45013.0</v>
      </c>
      <c r="T136" s="54">
        <f>VLOOKUP(R136,'Run Reconcile'!$A$2:$L259,12,FALSE)</f>
        <v>8</v>
      </c>
      <c r="U136" s="55" t="str">
        <f t="shared" si="17"/>
        <v/>
      </c>
      <c r="V136" s="54"/>
      <c r="W136" s="54"/>
      <c r="X136" s="43"/>
      <c r="Y136" s="7" t="str">
        <f>IFERROR(__xludf.DUMMYFUNCTION("""COMPUTED_VALUE"""),"RUN-ABRM_2023-04-04_RFR-201")</f>
        <v>RUN-ABRM_2023-04-04_RFR-201</v>
      </c>
      <c r="Z136" s="12">
        <f>IFERROR(__xludf.DUMMYFUNCTION("""COMPUTED_VALUE"""),45020.0)</f>
        <v>45020</v>
      </c>
      <c r="AA136" s="50">
        <f t="array" ref="AA136">INDEX('RFR Data - preExcl'!AK$2:AK259,$AE136,1)</f>
        <v>7</v>
      </c>
      <c r="AB136" s="54">
        <f t="shared" si="18"/>
        <v>7</v>
      </c>
      <c r="AC136" s="54">
        <f t="array" ref="AC136">INDEX('RFR Data - preExcl'!AI$2:AI259,$AE136,1)</f>
        <v>0</v>
      </c>
      <c r="AD136" s="54">
        <f t="array" ref="AD136">INDEX('RFR Data - preExcl'!AF$2:AF259,$AE136,1)</f>
        <v>0</v>
      </c>
      <c r="AE136" s="56">
        <f>IFNA(MATCH(Y136,'RFR Data - preExcl'!A$2:A259,0),"")</f>
        <v>201</v>
      </c>
      <c r="AF136" s="43"/>
      <c r="AG136" s="58" t="s">
        <v>161</v>
      </c>
      <c r="AH136" s="46">
        <f>VLOOKUP(AG136,'Run Reconcile'!A$2:B259,2,FALSE)</f>
        <v>45013</v>
      </c>
      <c r="AI136" s="54">
        <f>COUNTIF('APS Tubes IMPORT'!$V$2:$V259, AG136)
</f>
        <v>8</v>
      </c>
      <c r="AJ136" s="54">
        <f>COUNTIFS('APS Tubes IMPORT'!V$2:V259, AG136, 'APS Tubes IMPORT'!H$2:H259, "Negative")
</f>
        <v>8</v>
      </c>
      <c r="AK136" s="54">
        <f>COUNTIFS('APS Tubes IMPORT'!V135:V259, AG136, 'APS Tubes IMPORT'!H135:H259, "Positive")
</f>
        <v>0</v>
      </c>
      <c r="AL136" s="54">
        <f>COUNTIFS('APS Tubes IMPORT'!V135:V259, AG136, 'APS Tubes IMPORT'!H135:H259, "Inconclusive")
</f>
        <v>0</v>
      </c>
      <c r="AM136" s="54">
        <f>COUNTIFS('APS Tubes IMPORT'!V135:V259, AG136, 'APS Tubes IMPORT'!H135:H259, "Null")
</f>
        <v>0</v>
      </c>
      <c r="AN136" s="43"/>
      <c r="AP136" s="54"/>
      <c r="AQ136" s="54"/>
      <c r="AR136" s="54"/>
      <c r="AS136" s="54"/>
      <c r="AU136" s="43"/>
    </row>
    <row r="137">
      <c r="A137" s="7" t="s">
        <v>162</v>
      </c>
      <c r="B137" s="46">
        <f>VLOOKUP(A137,'ALL Tube Results'!$B$2:$D259,2,FALSE)</f>
        <v>45014</v>
      </c>
      <c r="C137" s="47">
        <f>COUNTIF('ALL Tube Results'!B136:B259, A137)
</f>
        <v>10</v>
      </c>
      <c r="D137" s="48">
        <f>COUNTIFS('ALL Tube Results'!$B136:$B259, $A137, 'ALL Tube Results'!$F136:$F259, "Negative")
</f>
        <v>10</v>
      </c>
      <c r="E137" s="48">
        <f>COUNTIFS('ALL Tube Results'!$B136:$B259, $A137, 'ALL Tube Results'!$F136:$F259, "Positive")
</f>
        <v>0</v>
      </c>
      <c r="F137" s="48">
        <f>COUNTIFS('ALL Tube Results'!$B136:$B259, $A137, 'ALL Tube Results'!$F136:$F259, "Inconclusive")
</f>
        <v>0</v>
      </c>
      <c r="G137" s="49">
        <f t="shared" si="7"/>
        <v>10</v>
      </c>
      <c r="H137" s="49" t="str">
        <f t="shared" si="8"/>
        <v/>
      </c>
      <c r="I137" s="50">
        <f t="shared" si="9"/>
        <v>10</v>
      </c>
      <c r="J137" s="51">
        <f t="shared" si="10"/>
        <v>0</v>
      </c>
      <c r="K137" s="51">
        <f t="shared" si="11"/>
        <v>0</v>
      </c>
      <c r="L137" s="51" t="str">
        <f t="shared" si="12"/>
        <v/>
      </c>
      <c r="M137" s="51" t="str">
        <f t="shared" si="13"/>
        <v/>
      </c>
      <c r="N137" s="51" t="str">
        <f t="shared" si="14"/>
        <v/>
      </c>
      <c r="O137" s="52">
        <f t="shared" si="15"/>
        <v>10</v>
      </c>
      <c r="P137" s="52" t="str">
        <f t="shared" si="16"/>
        <v/>
      </c>
      <c r="Q137" s="43"/>
      <c r="R137" s="7" t="s">
        <v>162</v>
      </c>
      <c r="S137" s="12">
        <v>45014.0</v>
      </c>
      <c r="T137" s="54">
        <f>VLOOKUP(R137,'Run Reconcile'!$A$2:$L259,12,FALSE)</f>
        <v>10</v>
      </c>
      <c r="U137" s="55" t="str">
        <f t="shared" si="17"/>
        <v/>
      </c>
      <c r="V137" s="54"/>
      <c r="W137" s="54"/>
      <c r="X137" s="43"/>
      <c r="Y137" s="7" t="str">
        <f>IFERROR(__xludf.DUMMYFUNCTION("""COMPUTED_VALUE"""),"RUN-ABRM_2023-04-05_RFR-203")</f>
        <v>RUN-ABRM_2023-04-05_RFR-203</v>
      </c>
      <c r="Z137" s="12">
        <f>IFERROR(__xludf.DUMMYFUNCTION("""COMPUTED_VALUE"""),45021.0)</f>
        <v>45021</v>
      </c>
      <c r="AA137" s="50">
        <f t="array" ref="AA137">INDEX('RFR Data - preExcl'!AK$2:AK259,$AE137,1)</f>
        <v>1</v>
      </c>
      <c r="AB137" s="54">
        <f t="shared" si="18"/>
        <v>1</v>
      </c>
      <c r="AC137" s="54">
        <f t="array" ref="AC137">INDEX('RFR Data - preExcl'!AI$2:AI259,$AE137,1)</f>
        <v>0</v>
      </c>
      <c r="AD137" s="54">
        <f t="array" ref="AD137">INDEX('RFR Data - preExcl'!AF$2:AF259,$AE137,1)</f>
        <v>0</v>
      </c>
      <c r="AE137" s="56">
        <f>IFNA(MATCH(Y137,'RFR Data - preExcl'!A$2:A259,0),"")</f>
        <v>203</v>
      </c>
      <c r="AF137" s="43"/>
      <c r="AG137" s="58" t="s">
        <v>162</v>
      </c>
      <c r="AH137" s="46">
        <f>VLOOKUP(AG137,'Run Reconcile'!A$2:B259,2,FALSE)</f>
        <v>45014</v>
      </c>
      <c r="AI137" s="54">
        <f>COUNTIF('APS Tubes IMPORT'!$V$2:$V259, AG137)
</f>
        <v>10</v>
      </c>
      <c r="AJ137" s="54">
        <f>COUNTIFS('APS Tubes IMPORT'!V$2:V259, AG137, 'APS Tubes IMPORT'!H$2:H259, "Negative")
</f>
        <v>10</v>
      </c>
      <c r="AK137" s="54">
        <f>COUNTIFS('APS Tubes IMPORT'!V136:V259, AG137, 'APS Tubes IMPORT'!H136:H259, "Positive")
</f>
        <v>0</v>
      </c>
      <c r="AL137" s="54">
        <f>COUNTIFS('APS Tubes IMPORT'!V136:V259, AG137, 'APS Tubes IMPORT'!H136:H259, "Inconclusive")
</f>
        <v>0</v>
      </c>
      <c r="AM137" s="54">
        <f>COUNTIFS('APS Tubes IMPORT'!V136:V259, AG137, 'APS Tubes IMPORT'!H136:H259, "Null")
</f>
        <v>0</v>
      </c>
      <c r="AN137" s="43"/>
      <c r="AP137" s="54"/>
      <c r="AQ137" s="54"/>
      <c r="AR137" s="54"/>
      <c r="AS137" s="54"/>
      <c r="AU137" s="43"/>
    </row>
    <row r="138">
      <c r="A138" s="7" t="s">
        <v>163</v>
      </c>
      <c r="B138" s="46">
        <f>VLOOKUP(A138,'ALL Tube Results'!$B$2:$D259,2,FALSE)</f>
        <v>45015</v>
      </c>
      <c r="C138" s="47">
        <f>COUNTIF('ALL Tube Results'!B137:B259, A138)
</f>
        <v>10</v>
      </c>
      <c r="D138" s="48">
        <f>COUNTIFS('ALL Tube Results'!$B137:$B259, $A138, 'ALL Tube Results'!$F137:$F259, "Negative")
</f>
        <v>9</v>
      </c>
      <c r="E138" s="48">
        <f>COUNTIFS('ALL Tube Results'!$B137:$B259, $A138, 'ALL Tube Results'!$F137:$F259, "Positive")
</f>
        <v>1</v>
      </c>
      <c r="F138" s="48">
        <f>COUNTIFS('ALL Tube Results'!$B137:$B259, $A138, 'ALL Tube Results'!$F137:$F259, "Inconclusive")
</f>
        <v>0</v>
      </c>
      <c r="G138" s="49">
        <f t="shared" si="7"/>
        <v>10</v>
      </c>
      <c r="H138" s="49" t="str">
        <f t="shared" si="8"/>
        <v/>
      </c>
      <c r="I138" s="50">
        <f t="shared" si="9"/>
        <v>10</v>
      </c>
      <c r="J138" s="51">
        <f t="shared" si="10"/>
        <v>1</v>
      </c>
      <c r="K138" s="51">
        <f t="shared" si="11"/>
        <v>0</v>
      </c>
      <c r="L138" s="51" t="str">
        <f t="shared" si="12"/>
        <v/>
      </c>
      <c r="M138" s="51" t="str">
        <f t="shared" si="13"/>
        <v/>
      </c>
      <c r="N138" s="51" t="str">
        <f t="shared" si="14"/>
        <v/>
      </c>
      <c r="O138" s="52">
        <f t="shared" si="15"/>
        <v>10</v>
      </c>
      <c r="P138" s="52" t="str">
        <f t="shared" si="16"/>
        <v/>
      </c>
      <c r="Q138" s="43"/>
      <c r="R138" s="7" t="s">
        <v>163</v>
      </c>
      <c r="S138" s="12">
        <v>45015.0</v>
      </c>
      <c r="T138" s="54">
        <f>VLOOKUP(R138,'Run Reconcile'!$A$2:$L259,12,FALSE)</f>
        <v>10</v>
      </c>
      <c r="U138" s="55" t="str">
        <f t="shared" si="17"/>
        <v/>
      </c>
      <c r="V138" s="54"/>
      <c r="W138" s="54"/>
      <c r="X138" s="43"/>
      <c r="Y138" s="7" t="str">
        <f>IFERROR(__xludf.DUMMYFUNCTION("""COMPUTED_VALUE"""),"RUN-ABRM_2023-04-06_RFR-204")</f>
        <v>RUN-ABRM_2023-04-06_RFR-204</v>
      </c>
      <c r="Z138" s="12">
        <f>IFERROR(__xludf.DUMMYFUNCTION("""COMPUTED_VALUE"""),45022.0)</f>
        <v>45022</v>
      </c>
      <c r="AA138" s="50">
        <f t="array" ref="AA138">INDEX('RFR Data - preExcl'!AK$2:AK259,$AE138,1)</f>
        <v>7</v>
      </c>
      <c r="AB138" s="54">
        <f t="shared" si="18"/>
        <v>7</v>
      </c>
      <c r="AC138" s="54">
        <f t="array" ref="AC138">INDEX('RFR Data - preExcl'!AI$2:AI259,$AE138,1)</f>
        <v>0</v>
      </c>
      <c r="AD138" s="54">
        <f t="array" ref="AD138">INDEX('RFR Data - preExcl'!AF$2:AF259,$AE138,1)</f>
        <v>0</v>
      </c>
      <c r="AE138" s="56">
        <f>IFNA(MATCH(Y138,'RFR Data - preExcl'!A$2:A259,0),"")</f>
        <v>204</v>
      </c>
      <c r="AF138" s="43"/>
      <c r="AG138" s="58" t="s">
        <v>163</v>
      </c>
      <c r="AH138" s="46">
        <f>VLOOKUP(AG138,'Run Reconcile'!A$2:B259,2,FALSE)</f>
        <v>45015</v>
      </c>
      <c r="AI138" s="54">
        <f>COUNTIF('APS Tubes IMPORT'!$V$2:$V259, AG138)
</f>
        <v>10</v>
      </c>
      <c r="AJ138" s="54">
        <f>COUNTIFS('APS Tubes IMPORT'!V$2:V259, AG138, 'APS Tubes IMPORT'!H$2:H259, "Negative")
</f>
        <v>9</v>
      </c>
      <c r="AK138" s="54">
        <f>COUNTIFS('APS Tubes IMPORT'!V137:V259, AG138, 'APS Tubes IMPORT'!H137:H259, "Positive")
</f>
        <v>1</v>
      </c>
      <c r="AL138" s="54">
        <f>COUNTIFS('APS Tubes IMPORT'!V137:V259, AG138, 'APS Tubes IMPORT'!H137:H259, "Inconclusive")
</f>
        <v>0</v>
      </c>
      <c r="AM138" s="54">
        <f>COUNTIFS('APS Tubes IMPORT'!V137:V259, AG138, 'APS Tubes IMPORT'!H137:H259, "Null")
</f>
        <v>0</v>
      </c>
      <c r="AN138" s="43"/>
      <c r="AP138" s="54"/>
      <c r="AQ138" s="54"/>
      <c r="AR138" s="54"/>
      <c r="AS138" s="54"/>
      <c r="AU138" s="43"/>
    </row>
    <row r="139">
      <c r="A139" s="7" t="s">
        <v>164</v>
      </c>
      <c r="B139" s="46">
        <f>VLOOKUP(A139,'ALL Tube Results'!$B$2:$D259,2,FALSE)</f>
        <v>45016</v>
      </c>
      <c r="C139" s="47">
        <f>COUNTIF('ALL Tube Results'!B138:B259, A139)
</f>
        <v>2</v>
      </c>
      <c r="D139" s="48">
        <f>COUNTIFS('ALL Tube Results'!$B138:$B259, $A139, 'ALL Tube Results'!$F138:$F259, "Negative")
</f>
        <v>2</v>
      </c>
      <c r="E139" s="48">
        <f>COUNTIFS('ALL Tube Results'!$B138:$B259, $A139, 'ALL Tube Results'!$F138:$F259, "Positive")
</f>
        <v>0</v>
      </c>
      <c r="F139" s="48">
        <f>COUNTIFS('ALL Tube Results'!$B138:$B259, $A139, 'ALL Tube Results'!$F138:$F259, "Inconclusive")
</f>
        <v>0</v>
      </c>
      <c r="G139" s="49">
        <f t="shared" si="7"/>
        <v>2</v>
      </c>
      <c r="H139" s="49" t="str">
        <f t="shared" si="8"/>
        <v/>
      </c>
      <c r="I139" s="50">
        <f t="shared" si="9"/>
        <v>2</v>
      </c>
      <c r="J139" s="51">
        <f t="shared" si="10"/>
        <v>0</v>
      </c>
      <c r="K139" s="51">
        <f t="shared" si="11"/>
        <v>0</v>
      </c>
      <c r="L139" s="51" t="str">
        <f t="shared" si="12"/>
        <v/>
      </c>
      <c r="M139" s="51" t="str">
        <f t="shared" si="13"/>
        <v/>
      </c>
      <c r="N139" s="51" t="str">
        <f t="shared" si="14"/>
        <v/>
      </c>
      <c r="O139" s="52">
        <f t="shared" si="15"/>
        <v>2</v>
      </c>
      <c r="P139" s="52" t="str">
        <f t="shared" si="16"/>
        <v/>
      </c>
      <c r="Q139" s="43"/>
      <c r="R139" s="7" t="s">
        <v>164</v>
      </c>
      <c r="S139" s="12">
        <v>45016.0</v>
      </c>
      <c r="T139" s="54">
        <f>VLOOKUP(R139,'Run Reconcile'!$A$2:$L259,12,FALSE)</f>
        <v>2</v>
      </c>
      <c r="U139" s="55" t="str">
        <f t="shared" si="17"/>
        <v/>
      </c>
      <c r="V139" s="54"/>
      <c r="W139" s="54"/>
      <c r="X139" s="43"/>
      <c r="Y139" s="7" t="str">
        <f>IFERROR(__xludf.DUMMYFUNCTION("""COMPUTED_VALUE"""),"RUN-ABRM_2023-04-07_RFR-206")</f>
        <v>RUN-ABRM_2023-04-07_RFR-206</v>
      </c>
      <c r="Z139" s="12">
        <f>IFERROR(__xludf.DUMMYFUNCTION("""COMPUTED_VALUE"""),45023.0)</f>
        <v>45023</v>
      </c>
      <c r="AA139" s="50">
        <f t="array" ref="AA139">INDEX('RFR Data - preExcl'!AK$2:AK259,$AE139,1)</f>
        <v>5</v>
      </c>
      <c r="AB139" s="54">
        <f t="shared" si="18"/>
        <v>5</v>
      </c>
      <c r="AC139" s="54">
        <f t="array" ref="AC139">INDEX('RFR Data - preExcl'!AI$2:AI259,$AE139,1)</f>
        <v>0</v>
      </c>
      <c r="AD139" s="54">
        <f t="array" ref="AD139">INDEX('RFR Data - preExcl'!AF$2:AF259,$AE139,1)</f>
        <v>0</v>
      </c>
      <c r="AE139" s="56">
        <f>IFNA(MATCH(Y139,'RFR Data - preExcl'!A$2:A259,0),"")</f>
        <v>206</v>
      </c>
      <c r="AF139" s="43"/>
      <c r="AG139" s="58" t="s">
        <v>164</v>
      </c>
      <c r="AH139" s="46">
        <f>VLOOKUP(AG139,'Run Reconcile'!A$2:B259,2,FALSE)</f>
        <v>45016</v>
      </c>
      <c r="AI139" s="54">
        <f>COUNTIF('APS Tubes IMPORT'!$V$2:$V259, AG139)
</f>
        <v>2</v>
      </c>
      <c r="AJ139" s="54">
        <f>COUNTIFS('APS Tubes IMPORT'!V$2:V259, AG139, 'APS Tubes IMPORT'!H$2:H259, "Negative")
</f>
        <v>2</v>
      </c>
      <c r="AK139" s="54">
        <f>COUNTIFS('APS Tubes IMPORT'!V138:V259, AG139, 'APS Tubes IMPORT'!H138:H259, "Positive")
</f>
        <v>0</v>
      </c>
      <c r="AL139" s="54">
        <f>COUNTIFS('APS Tubes IMPORT'!V138:V259, AG139, 'APS Tubes IMPORT'!H138:H259, "Inconclusive")
</f>
        <v>0</v>
      </c>
      <c r="AM139" s="54">
        <f>COUNTIFS('APS Tubes IMPORT'!V138:V259, AG139, 'APS Tubes IMPORT'!H138:H259, "Null")
</f>
        <v>0</v>
      </c>
      <c r="AN139" s="43"/>
      <c r="AP139" s="54"/>
      <c r="AQ139" s="54"/>
      <c r="AR139" s="54"/>
      <c r="AS139" s="54"/>
      <c r="AU139" s="43"/>
    </row>
    <row r="140">
      <c r="A140" s="7" t="s">
        <v>165</v>
      </c>
      <c r="B140" s="46">
        <f>VLOOKUP(A140,'ALL Tube Results'!$B$2:$D259,2,FALSE)</f>
        <v>45019</v>
      </c>
      <c r="C140" s="47">
        <f>COUNTIF('ALL Tube Results'!B139:B259, A140)
</f>
        <v>7</v>
      </c>
      <c r="D140" s="48">
        <f>COUNTIFS('ALL Tube Results'!$B139:$B259, $A140, 'ALL Tube Results'!$F139:$F259, "Negative")
</f>
        <v>7</v>
      </c>
      <c r="E140" s="48">
        <f>COUNTIFS('ALL Tube Results'!$B139:$B259, $A140, 'ALL Tube Results'!$F139:$F259, "Positive")
</f>
        <v>0</v>
      </c>
      <c r="F140" s="48">
        <f>COUNTIFS('ALL Tube Results'!$B139:$B259, $A140, 'ALL Tube Results'!$F139:$F259, "Inconclusive")
</f>
        <v>0</v>
      </c>
      <c r="G140" s="49">
        <f t="shared" si="7"/>
        <v>7</v>
      </c>
      <c r="H140" s="49" t="str">
        <f t="shared" si="8"/>
        <v/>
      </c>
      <c r="I140" s="50">
        <f t="shared" si="9"/>
        <v>7</v>
      </c>
      <c r="J140" s="51">
        <f t="shared" si="10"/>
        <v>0</v>
      </c>
      <c r="K140" s="51">
        <f t="shared" si="11"/>
        <v>0</v>
      </c>
      <c r="L140" s="51" t="str">
        <f t="shared" si="12"/>
        <v/>
      </c>
      <c r="M140" s="51" t="str">
        <f t="shared" si="13"/>
        <v/>
      </c>
      <c r="N140" s="51" t="str">
        <f t="shared" si="14"/>
        <v/>
      </c>
      <c r="O140" s="52">
        <f t="shared" si="15"/>
        <v>7</v>
      </c>
      <c r="P140" s="52" t="str">
        <f t="shared" si="16"/>
        <v/>
      </c>
      <c r="Q140" s="43"/>
      <c r="R140" s="7" t="s">
        <v>165</v>
      </c>
      <c r="S140" s="12">
        <v>45019.0</v>
      </c>
      <c r="T140" s="54">
        <f>VLOOKUP(R140,'Run Reconcile'!$A$2:$L259,12,FALSE)</f>
        <v>7</v>
      </c>
      <c r="U140" s="55" t="str">
        <f t="shared" si="17"/>
        <v/>
      </c>
      <c r="V140" s="54"/>
      <c r="W140" s="54"/>
      <c r="X140" s="43"/>
      <c r="Y140" s="7" t="str">
        <f>IFERROR(__xludf.DUMMYFUNCTION("""COMPUTED_VALUE"""),"RUN-ABRM_2023-04-10_RFR-207")</f>
        <v>RUN-ABRM_2023-04-10_RFR-207</v>
      </c>
      <c r="Z140" s="12">
        <f>IFERROR(__xludf.DUMMYFUNCTION("""COMPUTED_VALUE"""),45026.0)</f>
        <v>45026</v>
      </c>
      <c r="AA140" s="50">
        <f t="array" ref="AA140">INDEX('RFR Data - preExcl'!AK$2:AK259,$AE140,1)</f>
        <v>9</v>
      </c>
      <c r="AB140" s="54">
        <f t="shared" si="18"/>
        <v>9</v>
      </c>
      <c r="AC140" s="54">
        <f t="array" ref="AC140">INDEX('RFR Data - preExcl'!AI$2:AI259,$AE140,1)</f>
        <v>0</v>
      </c>
      <c r="AD140" s="54">
        <f t="array" ref="AD140">INDEX('RFR Data - preExcl'!AF$2:AF259,$AE140,1)</f>
        <v>0</v>
      </c>
      <c r="AE140" s="56">
        <f>IFNA(MATCH(Y140,'RFR Data - preExcl'!A$2:A259,0),"")</f>
        <v>207</v>
      </c>
      <c r="AF140" s="43"/>
      <c r="AG140" s="58" t="s">
        <v>165</v>
      </c>
      <c r="AH140" s="46">
        <f>VLOOKUP(AG140,'Run Reconcile'!A$2:B259,2,FALSE)</f>
        <v>45019</v>
      </c>
      <c r="AI140" s="54">
        <f>COUNTIF('APS Tubes IMPORT'!$V$2:$V259, AG140)
</f>
        <v>7</v>
      </c>
      <c r="AJ140" s="54">
        <f>COUNTIFS('APS Tubes IMPORT'!V$2:V259, AG140, 'APS Tubes IMPORT'!H$2:H259, "Negative")
</f>
        <v>7</v>
      </c>
      <c r="AK140" s="54">
        <f>COUNTIFS('APS Tubes IMPORT'!V139:V259, AG140, 'APS Tubes IMPORT'!H139:H259, "Positive")
</f>
        <v>0</v>
      </c>
      <c r="AL140" s="54">
        <f>COUNTIFS('APS Tubes IMPORT'!V139:V259, AG140, 'APS Tubes IMPORT'!H139:H259, "Inconclusive")
</f>
        <v>0</v>
      </c>
      <c r="AM140" s="54">
        <f>COUNTIFS('APS Tubes IMPORT'!V139:V259, AG140, 'APS Tubes IMPORT'!H139:H259, "Null")
</f>
        <v>0</v>
      </c>
      <c r="AN140" s="43"/>
      <c r="AP140" s="54"/>
      <c r="AQ140" s="54"/>
      <c r="AR140" s="54"/>
      <c r="AS140" s="54"/>
      <c r="AU140" s="43"/>
    </row>
    <row r="141">
      <c r="A141" s="7" t="s">
        <v>166</v>
      </c>
      <c r="B141" s="46">
        <f>VLOOKUP(A141,'ALL Tube Results'!$B$2:$D259,2,FALSE)</f>
        <v>45020</v>
      </c>
      <c r="C141" s="47">
        <f>COUNTIF('ALL Tube Results'!B140:B259, A141)
</f>
        <v>7</v>
      </c>
      <c r="D141" s="48">
        <f>COUNTIFS('ALL Tube Results'!$B140:$B259, $A141, 'ALL Tube Results'!$F140:$F259, "Negative")
</f>
        <v>7</v>
      </c>
      <c r="E141" s="48">
        <f>COUNTIFS('ALL Tube Results'!$B140:$B259, $A141, 'ALL Tube Results'!$F140:$F259, "Positive")
</f>
        <v>0</v>
      </c>
      <c r="F141" s="48">
        <f>COUNTIFS('ALL Tube Results'!$B140:$B259, $A141, 'ALL Tube Results'!$F140:$F259, "Inconclusive")
</f>
        <v>0</v>
      </c>
      <c r="G141" s="49">
        <f t="shared" si="7"/>
        <v>7</v>
      </c>
      <c r="H141" s="49" t="str">
        <f t="shared" si="8"/>
        <v/>
      </c>
      <c r="I141" s="50">
        <f t="shared" si="9"/>
        <v>7</v>
      </c>
      <c r="J141" s="51">
        <f t="shared" si="10"/>
        <v>0</v>
      </c>
      <c r="K141" s="51">
        <f t="shared" si="11"/>
        <v>0</v>
      </c>
      <c r="L141" s="51" t="str">
        <f t="shared" si="12"/>
        <v/>
      </c>
      <c r="M141" s="51" t="str">
        <f t="shared" si="13"/>
        <v/>
      </c>
      <c r="N141" s="51" t="str">
        <f t="shared" si="14"/>
        <v/>
      </c>
      <c r="O141" s="52">
        <f t="shared" si="15"/>
        <v>7</v>
      </c>
      <c r="P141" s="52" t="str">
        <f t="shared" si="16"/>
        <v/>
      </c>
      <c r="Q141" s="43"/>
      <c r="R141" s="7" t="s">
        <v>166</v>
      </c>
      <c r="S141" s="12">
        <v>45020.0</v>
      </c>
      <c r="T141" s="54">
        <f>VLOOKUP(R141,'Run Reconcile'!$A$2:$L259,12,FALSE)</f>
        <v>7</v>
      </c>
      <c r="U141" s="55" t="str">
        <f t="shared" si="17"/>
        <v/>
      </c>
      <c r="V141" s="54"/>
      <c r="W141" s="54"/>
      <c r="X141" s="43"/>
      <c r="Y141" s="7" t="str">
        <f>IFERROR(__xludf.DUMMYFUNCTION("""COMPUTED_VALUE"""),"RUN-ABRM_2023-04-11_RFR-208")</f>
        <v>RUN-ABRM_2023-04-11_RFR-208</v>
      </c>
      <c r="Z141" s="12">
        <f>IFERROR(__xludf.DUMMYFUNCTION("""COMPUTED_VALUE"""),45027.0)</f>
        <v>45027</v>
      </c>
      <c r="AA141" s="50">
        <f t="array" ref="AA141">INDEX('RFR Data - preExcl'!AK$2:AK259,$AE141,1)</f>
        <v>7</v>
      </c>
      <c r="AB141" s="54">
        <f t="shared" si="18"/>
        <v>7</v>
      </c>
      <c r="AC141" s="54">
        <f t="array" ref="AC141">INDEX('RFR Data - preExcl'!AI$2:AI259,$AE141,1)</f>
        <v>0</v>
      </c>
      <c r="AD141" s="54">
        <f t="array" ref="AD141">INDEX('RFR Data - preExcl'!AF$2:AF259,$AE141,1)</f>
        <v>0</v>
      </c>
      <c r="AE141" s="56">
        <f>IFNA(MATCH(Y141,'RFR Data - preExcl'!A$2:A259,0),"")</f>
        <v>208</v>
      </c>
      <c r="AF141" s="43"/>
      <c r="AG141" s="58" t="s">
        <v>166</v>
      </c>
      <c r="AH141" s="46">
        <f>VLOOKUP(AG141,'Run Reconcile'!A$2:B259,2,FALSE)</f>
        <v>45020</v>
      </c>
      <c r="AI141" s="54">
        <f>COUNTIF('APS Tubes IMPORT'!$V$2:$V259, AG141)
</f>
        <v>7</v>
      </c>
      <c r="AJ141" s="54">
        <f>COUNTIFS('APS Tubes IMPORT'!V$2:V259, AG141, 'APS Tubes IMPORT'!H$2:H259, "Negative")
</f>
        <v>7</v>
      </c>
      <c r="AK141" s="54">
        <f>COUNTIFS('APS Tubes IMPORT'!V140:V259, AG141, 'APS Tubes IMPORT'!H140:H259, "Positive")
</f>
        <v>0</v>
      </c>
      <c r="AL141" s="54">
        <f>COUNTIFS('APS Tubes IMPORT'!V140:V259, AG141, 'APS Tubes IMPORT'!H140:H259, "Inconclusive")
</f>
        <v>0</v>
      </c>
      <c r="AM141" s="54">
        <f>COUNTIFS('APS Tubes IMPORT'!V140:V259, AG141, 'APS Tubes IMPORT'!H140:H259, "Null")
</f>
        <v>0</v>
      </c>
      <c r="AN141" s="43"/>
      <c r="AP141" s="54"/>
      <c r="AQ141" s="54"/>
      <c r="AR141" s="54"/>
      <c r="AS141" s="54"/>
      <c r="AU141" s="43"/>
    </row>
    <row r="142">
      <c r="A142" s="7" t="s">
        <v>167</v>
      </c>
      <c r="B142" s="46">
        <f>VLOOKUP(A142,'ALL Tube Results'!$B$2:$D259,2,FALSE)</f>
        <v>45021</v>
      </c>
      <c r="C142" s="47">
        <f>COUNTIF('ALL Tube Results'!B141:B259, A142)
</f>
        <v>1</v>
      </c>
      <c r="D142" s="48">
        <f>COUNTIFS('ALL Tube Results'!$B141:$B259, $A142, 'ALL Tube Results'!$F141:$F259, "Negative")
</f>
        <v>1</v>
      </c>
      <c r="E142" s="48">
        <f>COUNTIFS('ALL Tube Results'!$B141:$B259, $A142, 'ALL Tube Results'!$F141:$F259, "Positive")
</f>
        <v>0</v>
      </c>
      <c r="F142" s="48">
        <f>COUNTIFS('ALL Tube Results'!$B141:$B259, $A142, 'ALL Tube Results'!$F141:$F259, "Inconclusive")
</f>
        <v>0</v>
      </c>
      <c r="G142" s="49">
        <f t="shared" si="7"/>
        <v>1</v>
      </c>
      <c r="H142" s="49" t="str">
        <f t="shared" si="8"/>
        <v/>
      </c>
      <c r="I142" s="50" t="str">
        <f t="shared" si="9"/>
        <v/>
      </c>
      <c r="J142" s="51" t="str">
        <f t="shared" si="10"/>
        <v/>
      </c>
      <c r="K142" s="51" t="str">
        <f t="shared" si="11"/>
        <v/>
      </c>
      <c r="L142" s="51">
        <f t="shared" si="12"/>
        <v>1</v>
      </c>
      <c r="M142" s="51" t="str">
        <f t="shared" si="13"/>
        <v/>
      </c>
      <c r="N142" s="51" t="str">
        <f t="shared" si="14"/>
        <v/>
      </c>
      <c r="O142" s="52">
        <f t="shared" si="15"/>
        <v>1</v>
      </c>
      <c r="P142" s="52" t="str">
        <f t="shared" si="16"/>
        <v/>
      </c>
      <c r="Q142" s="43"/>
      <c r="R142" s="7" t="s">
        <v>167</v>
      </c>
      <c r="S142" s="12">
        <v>45021.0</v>
      </c>
      <c r="T142" s="54">
        <f>VLOOKUP(R142,'Run Reconcile'!$A$2:$L259,12,FALSE)</f>
        <v>1</v>
      </c>
      <c r="U142" s="55" t="str">
        <f t="shared" si="17"/>
        <v/>
      </c>
      <c r="V142" s="54"/>
      <c r="W142" s="54"/>
      <c r="X142" s="43"/>
      <c r="Y142" s="7" t="str">
        <f>IFERROR(__xludf.DUMMYFUNCTION("""COMPUTED_VALUE"""),"RUN-ABRM_2023-04-14_RFR-212")</f>
        <v>RUN-ABRM_2023-04-14_RFR-212</v>
      </c>
      <c r="Z142" s="12">
        <f>IFERROR(__xludf.DUMMYFUNCTION("""COMPUTED_VALUE"""),45030.0)</f>
        <v>45030</v>
      </c>
      <c r="AA142" s="50">
        <f t="array" ref="AA142">INDEX('RFR Data - preExcl'!AK$2:AK259,$AE142,1)</f>
        <v>8</v>
      </c>
      <c r="AB142" s="54">
        <f t="shared" si="18"/>
        <v>8</v>
      </c>
      <c r="AC142" s="54">
        <f t="array" ref="AC142">INDEX('RFR Data - preExcl'!AI$2:AI259,$AE142,1)</f>
        <v>0</v>
      </c>
      <c r="AD142" s="54">
        <f t="array" ref="AD142">INDEX('RFR Data - preExcl'!AF$2:AF259,$AE142,1)</f>
        <v>0</v>
      </c>
      <c r="AE142" s="56">
        <f>IFNA(MATCH(Y142,'RFR Data - preExcl'!A$2:A259,0),"")</f>
        <v>212</v>
      </c>
      <c r="AF142" s="43"/>
      <c r="AG142" s="58" t="s">
        <v>167</v>
      </c>
      <c r="AH142" s="46">
        <f>VLOOKUP(AG142,'Run Reconcile'!A$2:B259,2,FALSE)</f>
        <v>45021</v>
      </c>
      <c r="AI142" s="54">
        <f>COUNTIF('APS Tubes IMPORT'!$V$2:$V259, AG142)
</f>
        <v>1</v>
      </c>
      <c r="AJ142" s="54">
        <f>COUNTIFS('APS Tubes IMPORT'!V$2:V259, AG142, 'APS Tubes IMPORT'!H$2:H259, "Negative")
</f>
        <v>1</v>
      </c>
      <c r="AK142" s="54">
        <f>COUNTIFS('APS Tubes IMPORT'!V141:V259, AG142, 'APS Tubes IMPORT'!H141:H259, "Positive")
</f>
        <v>0</v>
      </c>
      <c r="AL142" s="54">
        <f>COUNTIFS('APS Tubes IMPORT'!V141:V259, AG142, 'APS Tubes IMPORT'!H141:H259, "Inconclusive")
</f>
        <v>0</v>
      </c>
      <c r="AM142" s="54">
        <f>COUNTIFS('APS Tubes IMPORT'!V141:V259, AG142, 'APS Tubes IMPORT'!H141:H259, "Null")
</f>
        <v>0</v>
      </c>
      <c r="AN142" s="43"/>
      <c r="AP142" s="54"/>
      <c r="AQ142" s="54"/>
      <c r="AR142" s="54"/>
      <c r="AS142" s="54"/>
      <c r="AU142" s="43"/>
    </row>
    <row r="143">
      <c r="A143" s="7" t="s">
        <v>168</v>
      </c>
      <c r="B143" s="46">
        <f>VLOOKUP(A143,'ALL Tube Results'!$B$2:$D259,2,FALSE)</f>
        <v>45021</v>
      </c>
      <c r="C143" s="47">
        <f>COUNTIF('ALL Tube Results'!B142:B259, A143)
</f>
        <v>1</v>
      </c>
      <c r="D143" s="48">
        <f>COUNTIFS('ALL Tube Results'!$B142:$B259, $A143, 'ALL Tube Results'!$F142:$F259, "Negative")
</f>
        <v>1</v>
      </c>
      <c r="E143" s="48">
        <f>COUNTIFS('ALL Tube Results'!$B142:$B259, $A143, 'ALL Tube Results'!$F142:$F259, "Positive")
</f>
        <v>0</v>
      </c>
      <c r="F143" s="48">
        <f>COUNTIFS('ALL Tube Results'!$B142:$B259, $A143, 'ALL Tube Results'!$F142:$F259, "Inconclusive")
</f>
        <v>0</v>
      </c>
      <c r="G143" s="49">
        <f t="shared" si="7"/>
        <v>1</v>
      </c>
      <c r="H143" s="49" t="str">
        <f t="shared" si="8"/>
        <v/>
      </c>
      <c r="I143" s="50">
        <f t="shared" si="9"/>
        <v>1</v>
      </c>
      <c r="J143" s="51">
        <f t="shared" si="10"/>
        <v>0</v>
      </c>
      <c r="K143" s="51">
        <f t="shared" si="11"/>
        <v>0</v>
      </c>
      <c r="L143" s="51" t="str">
        <f t="shared" si="12"/>
        <v/>
      </c>
      <c r="M143" s="51" t="str">
        <f t="shared" si="13"/>
        <v/>
      </c>
      <c r="N143" s="51" t="str">
        <f t="shared" si="14"/>
        <v/>
      </c>
      <c r="O143" s="52">
        <f t="shared" si="15"/>
        <v>1</v>
      </c>
      <c r="P143" s="52" t="str">
        <f t="shared" si="16"/>
        <v/>
      </c>
      <c r="Q143" s="43"/>
      <c r="R143" s="7" t="s">
        <v>168</v>
      </c>
      <c r="S143" s="12">
        <v>45021.0</v>
      </c>
      <c r="T143" s="54">
        <f>VLOOKUP(R143,'Run Reconcile'!$A$2:$L259,12,FALSE)</f>
        <v>1</v>
      </c>
      <c r="U143" s="55" t="str">
        <f t="shared" si="17"/>
        <v/>
      </c>
      <c r="V143" s="54"/>
      <c r="W143" s="54"/>
      <c r="X143" s="43"/>
      <c r="Y143" s="7" t="str">
        <f>IFERROR(__xludf.DUMMYFUNCTION("""COMPUTED_VALUE"""),"RUN-ABRM_2023-04-17_RFR-213")</f>
        <v>RUN-ABRM_2023-04-17_RFR-213</v>
      </c>
      <c r="Z143" s="12">
        <f>IFERROR(__xludf.DUMMYFUNCTION("""COMPUTED_VALUE"""),45033.0)</f>
        <v>45033</v>
      </c>
      <c r="AA143" s="50">
        <f t="array" ref="AA143">INDEX('RFR Data - preExcl'!AK$2:AK259,$AE143,1)</f>
        <v>9</v>
      </c>
      <c r="AB143" s="54">
        <f t="shared" si="18"/>
        <v>9</v>
      </c>
      <c r="AC143" s="54">
        <f t="array" ref="AC143">INDEX('RFR Data - preExcl'!AI$2:AI259,$AE143,1)</f>
        <v>0</v>
      </c>
      <c r="AD143" s="54">
        <f t="array" ref="AD143">INDEX('RFR Data - preExcl'!AF$2:AF259,$AE143,1)</f>
        <v>0</v>
      </c>
      <c r="AE143" s="56">
        <f>IFNA(MATCH(Y143,'RFR Data - preExcl'!A$2:A259,0),"")</f>
        <v>213</v>
      </c>
      <c r="AF143" s="43"/>
      <c r="AG143" s="58" t="s">
        <v>168</v>
      </c>
      <c r="AH143" s="46">
        <f>VLOOKUP(AG143,'Run Reconcile'!A$2:B259,2,FALSE)</f>
        <v>45021</v>
      </c>
      <c r="AI143" s="54">
        <f>COUNTIF('APS Tubes IMPORT'!$V$2:$V259, AG143)
</f>
        <v>1</v>
      </c>
      <c r="AJ143" s="54">
        <f>COUNTIFS('APS Tubes IMPORT'!V$2:V259, AG143, 'APS Tubes IMPORT'!H$2:H259, "Negative")
</f>
        <v>1</v>
      </c>
      <c r="AK143" s="54">
        <f>COUNTIFS('APS Tubes IMPORT'!V142:V259, AG143, 'APS Tubes IMPORT'!H142:H259, "Positive")
</f>
        <v>0</v>
      </c>
      <c r="AL143" s="54">
        <f>COUNTIFS('APS Tubes IMPORT'!V142:V259, AG143, 'APS Tubes IMPORT'!H142:H259, "Inconclusive")
</f>
        <v>0</v>
      </c>
      <c r="AM143" s="54">
        <f>COUNTIFS('APS Tubes IMPORT'!V142:V259, AG143, 'APS Tubes IMPORT'!H142:H259, "Null")
</f>
        <v>0</v>
      </c>
      <c r="AN143" s="43"/>
      <c r="AP143" s="54"/>
      <c r="AQ143" s="54"/>
      <c r="AR143" s="54"/>
      <c r="AS143" s="54"/>
      <c r="AU143" s="43"/>
    </row>
    <row r="144">
      <c r="A144" s="7" t="s">
        <v>169</v>
      </c>
      <c r="B144" s="46">
        <f>VLOOKUP(A144,'ALL Tube Results'!$B$2:$D259,2,FALSE)</f>
        <v>45022</v>
      </c>
      <c r="C144" s="47">
        <f>COUNTIF('ALL Tube Results'!B143:B259, A144)
</f>
        <v>7</v>
      </c>
      <c r="D144" s="48">
        <f>COUNTIFS('ALL Tube Results'!$B143:$B259, $A144, 'ALL Tube Results'!$F143:$F259, "Negative")
</f>
        <v>7</v>
      </c>
      <c r="E144" s="48">
        <f>COUNTIFS('ALL Tube Results'!$B143:$B259, $A144, 'ALL Tube Results'!$F143:$F259, "Positive")
</f>
        <v>0</v>
      </c>
      <c r="F144" s="48">
        <f>COUNTIFS('ALL Tube Results'!$B143:$B259, $A144, 'ALL Tube Results'!$F143:$F259, "Inconclusive")
</f>
        <v>0</v>
      </c>
      <c r="G144" s="49">
        <f t="shared" si="7"/>
        <v>7</v>
      </c>
      <c r="H144" s="49" t="str">
        <f t="shared" si="8"/>
        <v/>
      </c>
      <c r="I144" s="50">
        <f t="shared" si="9"/>
        <v>7</v>
      </c>
      <c r="J144" s="51">
        <f t="shared" si="10"/>
        <v>0</v>
      </c>
      <c r="K144" s="51">
        <f t="shared" si="11"/>
        <v>0</v>
      </c>
      <c r="L144" s="51" t="str">
        <f t="shared" si="12"/>
        <v/>
      </c>
      <c r="M144" s="51" t="str">
        <f t="shared" si="13"/>
        <v/>
      </c>
      <c r="N144" s="51" t="str">
        <f t="shared" si="14"/>
        <v/>
      </c>
      <c r="O144" s="52">
        <f t="shared" si="15"/>
        <v>7</v>
      </c>
      <c r="P144" s="52" t="str">
        <f t="shared" si="16"/>
        <v/>
      </c>
      <c r="Q144" s="43"/>
      <c r="R144" s="7" t="s">
        <v>169</v>
      </c>
      <c r="S144" s="12">
        <v>45022.0</v>
      </c>
      <c r="T144" s="54">
        <f>VLOOKUP(R144,'Run Reconcile'!$A$2:$L259,12,FALSE)</f>
        <v>7</v>
      </c>
      <c r="U144" s="55" t="str">
        <f t="shared" si="17"/>
        <v/>
      </c>
      <c r="V144" s="54"/>
      <c r="W144" s="54"/>
      <c r="X144" s="43"/>
      <c r="Y144" s="7" t="str">
        <f>IFERROR(__xludf.DUMMYFUNCTION("""COMPUTED_VALUE"""),"RUN-ABRM_2023-04-18_RFR-214")</f>
        <v>RUN-ABRM_2023-04-18_RFR-214</v>
      </c>
      <c r="Z144" s="12">
        <f>IFERROR(__xludf.DUMMYFUNCTION("""COMPUTED_VALUE"""),45034.0)</f>
        <v>45034</v>
      </c>
      <c r="AA144" s="50">
        <f t="array" ref="AA144">INDEX('RFR Data - preExcl'!AK$2:AK259,$AE144,1)</f>
        <v>7</v>
      </c>
      <c r="AB144" s="54">
        <f t="shared" si="18"/>
        <v>7</v>
      </c>
      <c r="AC144" s="54">
        <f t="array" ref="AC144">INDEX('RFR Data - preExcl'!AI$2:AI259,$AE144,1)</f>
        <v>0</v>
      </c>
      <c r="AD144" s="54">
        <f t="array" ref="AD144">INDEX('RFR Data - preExcl'!AF$2:AF259,$AE144,1)</f>
        <v>0</v>
      </c>
      <c r="AE144" s="56">
        <f>IFNA(MATCH(Y144,'RFR Data - preExcl'!A$2:A259,0),"")</f>
        <v>214</v>
      </c>
      <c r="AF144" s="43"/>
      <c r="AG144" s="58" t="s">
        <v>169</v>
      </c>
      <c r="AH144" s="46">
        <f>VLOOKUP(AG144,'Run Reconcile'!A$2:B259,2,FALSE)</f>
        <v>45022</v>
      </c>
      <c r="AI144" s="54">
        <f>COUNTIF('APS Tubes IMPORT'!$V$2:$V259, AG144)
</f>
        <v>7</v>
      </c>
      <c r="AJ144" s="54">
        <f>COUNTIFS('APS Tubes IMPORT'!V$2:V259, AG144, 'APS Tubes IMPORT'!H$2:H259, "Negative")
</f>
        <v>7</v>
      </c>
      <c r="AK144" s="54">
        <f>COUNTIFS('APS Tubes IMPORT'!V143:V259, AG144, 'APS Tubes IMPORT'!H143:H259, "Positive")
</f>
        <v>0</v>
      </c>
      <c r="AL144" s="54">
        <f>COUNTIFS('APS Tubes IMPORT'!V143:V259, AG144, 'APS Tubes IMPORT'!H143:H259, "Inconclusive")
</f>
        <v>0</v>
      </c>
      <c r="AM144" s="54">
        <f>COUNTIFS('APS Tubes IMPORT'!V143:V259, AG144, 'APS Tubes IMPORT'!H143:H259, "Null")
</f>
        <v>0</v>
      </c>
      <c r="AN144" s="43"/>
      <c r="AP144" s="54"/>
      <c r="AQ144" s="54"/>
      <c r="AR144" s="54"/>
      <c r="AS144" s="54"/>
      <c r="AU144" s="43"/>
    </row>
    <row r="145">
      <c r="A145" s="7" t="s">
        <v>170</v>
      </c>
      <c r="B145" s="46">
        <f>VLOOKUP(A145,'ALL Tube Results'!$B$2:$D259,2,FALSE)</f>
        <v>45023</v>
      </c>
      <c r="C145" s="47">
        <f>COUNTIF('ALL Tube Results'!B144:B259, A145)
</f>
        <v>5</v>
      </c>
      <c r="D145" s="48">
        <f>COUNTIFS('ALL Tube Results'!$B144:$B259, $A145, 'ALL Tube Results'!$F144:$F259, "Negative")
</f>
        <v>5</v>
      </c>
      <c r="E145" s="48">
        <f>COUNTIFS('ALL Tube Results'!$B144:$B259, $A145, 'ALL Tube Results'!$F144:$F259, "Positive")
</f>
        <v>0</v>
      </c>
      <c r="F145" s="48">
        <f>COUNTIFS('ALL Tube Results'!$B144:$B259, $A145, 'ALL Tube Results'!$F144:$F259, "Inconclusive")
</f>
        <v>0</v>
      </c>
      <c r="G145" s="49">
        <f t="shared" si="7"/>
        <v>5</v>
      </c>
      <c r="H145" s="49" t="str">
        <f t="shared" si="8"/>
        <v/>
      </c>
      <c r="I145" s="50">
        <f t="shared" si="9"/>
        <v>5</v>
      </c>
      <c r="J145" s="51">
        <f t="shared" si="10"/>
        <v>0</v>
      </c>
      <c r="K145" s="51">
        <f t="shared" si="11"/>
        <v>0</v>
      </c>
      <c r="L145" s="51" t="str">
        <f t="shared" si="12"/>
        <v/>
      </c>
      <c r="M145" s="51" t="str">
        <f t="shared" si="13"/>
        <v/>
      </c>
      <c r="N145" s="51" t="str">
        <f t="shared" si="14"/>
        <v/>
      </c>
      <c r="O145" s="52">
        <f t="shared" si="15"/>
        <v>5</v>
      </c>
      <c r="P145" s="52" t="str">
        <f t="shared" si="16"/>
        <v/>
      </c>
      <c r="Q145" s="43"/>
      <c r="R145" s="7" t="s">
        <v>170</v>
      </c>
      <c r="S145" s="12">
        <v>45023.0</v>
      </c>
      <c r="T145" s="54">
        <f>VLOOKUP(R145,'Run Reconcile'!$A$2:$L259,12,FALSE)</f>
        <v>5</v>
      </c>
      <c r="U145" s="55" t="str">
        <f t="shared" si="17"/>
        <v/>
      </c>
      <c r="V145" s="54"/>
      <c r="W145" s="54"/>
      <c r="X145" s="43"/>
      <c r="Y145" s="7" t="str">
        <f>IFERROR(__xludf.DUMMYFUNCTION("""COMPUTED_VALUE"""),"RUN-ABRM_2023-04-19_RFR-215")</f>
        <v>RUN-ABRM_2023-04-19_RFR-215</v>
      </c>
      <c r="Z145" s="12">
        <f>IFERROR(__xludf.DUMMYFUNCTION("""COMPUTED_VALUE"""),45035.0)</f>
        <v>45035</v>
      </c>
      <c r="AA145" s="50">
        <f t="array" ref="AA145">INDEX('RFR Data - preExcl'!AK$2:AK259,$AE145,1)</f>
        <v>6</v>
      </c>
      <c r="AB145" s="54">
        <f t="shared" si="18"/>
        <v>6</v>
      </c>
      <c r="AC145" s="54">
        <f t="array" ref="AC145">INDEX('RFR Data - preExcl'!AI$2:AI259,$AE145,1)</f>
        <v>0</v>
      </c>
      <c r="AD145" s="54">
        <f t="array" ref="AD145">INDEX('RFR Data - preExcl'!AF$2:AF259,$AE145,1)</f>
        <v>0</v>
      </c>
      <c r="AE145" s="56">
        <f>IFNA(MATCH(Y145,'RFR Data - preExcl'!A$2:A259,0),"")</f>
        <v>215</v>
      </c>
      <c r="AF145" s="43"/>
      <c r="AG145" s="58" t="s">
        <v>170</v>
      </c>
      <c r="AH145" s="46">
        <f>VLOOKUP(AG145,'Run Reconcile'!A$2:B259,2,FALSE)</f>
        <v>45023</v>
      </c>
      <c r="AI145" s="54">
        <f>COUNTIF('APS Tubes IMPORT'!$V$2:$V259, AG145)
</f>
        <v>5</v>
      </c>
      <c r="AJ145" s="54">
        <f>COUNTIFS('APS Tubes IMPORT'!V$2:V259, AG145, 'APS Tubes IMPORT'!H$2:H259, "Negative")
</f>
        <v>5</v>
      </c>
      <c r="AK145" s="54">
        <f>COUNTIFS('APS Tubes IMPORT'!V144:V259, AG145, 'APS Tubes IMPORT'!H144:H259, "Positive")
</f>
        <v>0</v>
      </c>
      <c r="AL145" s="54">
        <f>COUNTIFS('APS Tubes IMPORT'!V144:V259, AG145, 'APS Tubes IMPORT'!H144:H259, "Inconclusive")
</f>
        <v>0</v>
      </c>
      <c r="AM145" s="54">
        <f>COUNTIFS('APS Tubes IMPORT'!V144:V259, AG145, 'APS Tubes IMPORT'!H144:H259, "Null")
</f>
        <v>0</v>
      </c>
      <c r="AN145" s="43"/>
      <c r="AP145" s="54"/>
      <c r="AQ145" s="54"/>
      <c r="AR145" s="54"/>
      <c r="AS145" s="54"/>
      <c r="AU145" s="43"/>
    </row>
    <row r="146">
      <c r="A146" s="7" t="s">
        <v>171</v>
      </c>
      <c r="B146" s="46">
        <f>VLOOKUP(A146,'ALL Tube Results'!$B$2:$D259,2,FALSE)</f>
        <v>45026</v>
      </c>
      <c r="C146" s="47">
        <f>COUNTIF('ALL Tube Results'!B145:B259, A146)
</f>
        <v>9</v>
      </c>
      <c r="D146" s="48">
        <f>COUNTIFS('ALL Tube Results'!$B145:$B259, $A146, 'ALL Tube Results'!$F145:$F259, "Negative")
</f>
        <v>9</v>
      </c>
      <c r="E146" s="48">
        <f>COUNTIFS('ALL Tube Results'!$B145:$B259, $A146, 'ALL Tube Results'!$F145:$F259, "Positive")
</f>
        <v>0</v>
      </c>
      <c r="F146" s="48">
        <f>COUNTIFS('ALL Tube Results'!$B145:$B259, $A146, 'ALL Tube Results'!$F145:$F259, "Inconclusive")
</f>
        <v>0</v>
      </c>
      <c r="G146" s="49">
        <f t="shared" si="7"/>
        <v>9</v>
      </c>
      <c r="H146" s="49" t="str">
        <f t="shared" si="8"/>
        <v/>
      </c>
      <c r="I146" s="50">
        <f t="shared" si="9"/>
        <v>9</v>
      </c>
      <c r="J146" s="51">
        <f t="shared" si="10"/>
        <v>0</v>
      </c>
      <c r="K146" s="51">
        <f t="shared" si="11"/>
        <v>0</v>
      </c>
      <c r="L146" s="51" t="str">
        <f t="shared" si="12"/>
        <v/>
      </c>
      <c r="M146" s="51" t="str">
        <f t="shared" si="13"/>
        <v/>
      </c>
      <c r="N146" s="51" t="str">
        <f t="shared" si="14"/>
        <v/>
      </c>
      <c r="O146" s="52">
        <f t="shared" si="15"/>
        <v>9</v>
      </c>
      <c r="P146" s="52" t="str">
        <f t="shared" si="16"/>
        <v/>
      </c>
      <c r="Q146" s="43"/>
      <c r="R146" s="7" t="s">
        <v>171</v>
      </c>
      <c r="S146" s="12">
        <v>45026.0</v>
      </c>
      <c r="T146" s="54">
        <f>VLOOKUP(R146,'Run Reconcile'!$A$2:$L259,12,FALSE)</f>
        <v>9</v>
      </c>
      <c r="U146" s="55" t="str">
        <f t="shared" si="17"/>
        <v/>
      </c>
      <c r="V146" s="54"/>
      <c r="W146" s="54"/>
      <c r="X146" s="43"/>
      <c r="Y146" s="7" t="str">
        <f>IFERROR(__xludf.DUMMYFUNCTION("""COMPUTED_VALUE"""),"RUN-ABRM_2023-04-20_RFR-216")</f>
        <v>RUN-ABRM_2023-04-20_RFR-216</v>
      </c>
      <c r="Z146" s="12">
        <f>IFERROR(__xludf.DUMMYFUNCTION("""COMPUTED_VALUE"""),45036.0)</f>
        <v>45036</v>
      </c>
      <c r="AA146" s="50">
        <f t="array" ref="AA146">INDEX('RFR Data - preExcl'!AK$2:AK259,$AE146,1)</f>
        <v>8</v>
      </c>
      <c r="AB146" s="54">
        <f t="shared" si="18"/>
        <v>8</v>
      </c>
      <c r="AC146" s="54">
        <f t="array" ref="AC146">INDEX('RFR Data - preExcl'!AI$2:AI259,$AE146,1)</f>
        <v>0</v>
      </c>
      <c r="AD146" s="54">
        <f t="array" ref="AD146">INDEX('RFR Data - preExcl'!AF$2:AF259,$AE146,1)</f>
        <v>0</v>
      </c>
      <c r="AE146" s="56">
        <f>IFNA(MATCH(Y146,'RFR Data - preExcl'!A$2:A259,0),"")</f>
        <v>216</v>
      </c>
      <c r="AF146" s="43"/>
      <c r="AG146" s="58" t="s">
        <v>171</v>
      </c>
      <c r="AH146" s="46">
        <f>VLOOKUP(AG146,'Run Reconcile'!A$2:B259,2,FALSE)</f>
        <v>45026</v>
      </c>
      <c r="AI146" s="54">
        <f>COUNTIF('APS Tubes IMPORT'!$V$2:$V259, AG146)
</f>
        <v>9</v>
      </c>
      <c r="AJ146" s="54">
        <f>COUNTIFS('APS Tubes IMPORT'!V$2:V259, AG146, 'APS Tubes IMPORT'!H$2:H259, "Negative")
</f>
        <v>9</v>
      </c>
      <c r="AK146" s="54">
        <f>COUNTIFS('APS Tubes IMPORT'!V145:V259, AG146, 'APS Tubes IMPORT'!H145:H259, "Positive")
</f>
        <v>0</v>
      </c>
      <c r="AL146" s="54">
        <f>COUNTIFS('APS Tubes IMPORT'!V145:V259, AG146, 'APS Tubes IMPORT'!H145:H259, "Inconclusive")
</f>
        <v>0</v>
      </c>
      <c r="AM146" s="54">
        <f>COUNTIFS('APS Tubes IMPORT'!V145:V259, AG146, 'APS Tubes IMPORT'!H145:H259, "Null")
</f>
        <v>0</v>
      </c>
      <c r="AN146" s="43"/>
      <c r="AP146" s="54"/>
      <c r="AQ146" s="54"/>
      <c r="AR146" s="54"/>
      <c r="AS146" s="54"/>
      <c r="AU146" s="43"/>
    </row>
    <row r="147">
      <c r="A147" s="7" t="s">
        <v>172</v>
      </c>
      <c r="B147" s="46">
        <f>VLOOKUP(A147,'ALL Tube Results'!$B$2:$D259,2,FALSE)</f>
        <v>45027</v>
      </c>
      <c r="C147" s="47">
        <f>COUNTIF('ALL Tube Results'!B146:B259, A147)
</f>
        <v>7</v>
      </c>
      <c r="D147" s="48">
        <f>COUNTIFS('ALL Tube Results'!$B146:$B259, $A147, 'ALL Tube Results'!$F146:$F259, "Negative")
</f>
        <v>7</v>
      </c>
      <c r="E147" s="48">
        <f>COUNTIFS('ALL Tube Results'!$B146:$B259, $A147, 'ALL Tube Results'!$F146:$F259, "Positive")
</f>
        <v>0</v>
      </c>
      <c r="F147" s="48">
        <f>COUNTIFS('ALL Tube Results'!$B146:$B259, $A147, 'ALL Tube Results'!$F146:$F259, "Inconclusive")
</f>
        <v>0</v>
      </c>
      <c r="G147" s="49">
        <f t="shared" si="7"/>
        <v>7</v>
      </c>
      <c r="H147" s="49" t="str">
        <f t="shared" si="8"/>
        <v/>
      </c>
      <c r="I147" s="50">
        <f t="shared" si="9"/>
        <v>7</v>
      </c>
      <c r="J147" s="51">
        <f t="shared" si="10"/>
        <v>0</v>
      </c>
      <c r="K147" s="51">
        <f t="shared" si="11"/>
        <v>0</v>
      </c>
      <c r="L147" s="51" t="str">
        <f t="shared" si="12"/>
        <v/>
      </c>
      <c r="M147" s="51" t="str">
        <f t="shared" si="13"/>
        <v/>
      </c>
      <c r="N147" s="51" t="str">
        <f t="shared" si="14"/>
        <v/>
      </c>
      <c r="O147" s="52">
        <f t="shared" si="15"/>
        <v>7</v>
      </c>
      <c r="P147" s="52" t="str">
        <f t="shared" si="16"/>
        <v/>
      </c>
      <c r="Q147" s="43"/>
      <c r="R147" s="7" t="s">
        <v>172</v>
      </c>
      <c r="S147" s="12">
        <v>45027.0</v>
      </c>
      <c r="T147" s="54">
        <f>VLOOKUP(R147,'Run Reconcile'!$A$2:$L259,12,FALSE)</f>
        <v>7</v>
      </c>
      <c r="U147" s="55" t="str">
        <f t="shared" si="17"/>
        <v/>
      </c>
      <c r="V147" s="54"/>
      <c r="W147" s="54"/>
      <c r="X147" s="43"/>
      <c r="Y147" s="7" t="str">
        <f>IFERROR(__xludf.DUMMYFUNCTION("""COMPUTED_VALUE"""),"RUN-ABRM_2023-04-21_RFR-217")</f>
        <v>RUN-ABRM_2023-04-21_RFR-217</v>
      </c>
      <c r="Z147" s="12">
        <f>IFERROR(__xludf.DUMMYFUNCTION("""COMPUTED_VALUE"""),45037.0)</f>
        <v>45037</v>
      </c>
      <c r="AA147" s="50">
        <f t="array" ref="AA147">INDEX('RFR Data - preExcl'!AK$2:AK259,$AE147,1)</f>
        <v>6</v>
      </c>
      <c r="AB147" s="54">
        <f t="shared" si="18"/>
        <v>6</v>
      </c>
      <c r="AC147" s="54">
        <f t="array" ref="AC147">INDEX('RFR Data - preExcl'!AI$2:AI259,$AE147,1)</f>
        <v>0</v>
      </c>
      <c r="AD147" s="54">
        <f t="array" ref="AD147">INDEX('RFR Data - preExcl'!AF$2:AF259,$AE147,1)</f>
        <v>0</v>
      </c>
      <c r="AE147" s="56">
        <f>IFNA(MATCH(Y147,'RFR Data - preExcl'!A$2:A259,0),"")</f>
        <v>217</v>
      </c>
      <c r="AF147" s="43"/>
      <c r="AG147" s="58" t="s">
        <v>172</v>
      </c>
      <c r="AH147" s="46">
        <f>VLOOKUP(AG147,'Run Reconcile'!A$2:B259,2,FALSE)</f>
        <v>45027</v>
      </c>
      <c r="AI147" s="54">
        <f>COUNTIF('APS Tubes IMPORT'!$V$2:$V259, AG147)
</f>
        <v>7</v>
      </c>
      <c r="AJ147" s="54">
        <f>COUNTIFS('APS Tubes IMPORT'!V$2:V259, AG147, 'APS Tubes IMPORT'!H$2:H259, "Negative")
</f>
        <v>7</v>
      </c>
      <c r="AK147" s="54">
        <f>COUNTIFS('APS Tubes IMPORT'!V146:V259, AG147, 'APS Tubes IMPORT'!H146:H259, "Positive")
</f>
        <v>0</v>
      </c>
      <c r="AL147" s="54">
        <f>COUNTIFS('APS Tubes IMPORT'!V146:V259, AG147, 'APS Tubes IMPORT'!H146:H259, "Inconclusive")
</f>
        <v>0</v>
      </c>
      <c r="AM147" s="54">
        <f>COUNTIFS('APS Tubes IMPORT'!V146:V259, AG147, 'APS Tubes IMPORT'!H146:H259, "Null")
</f>
        <v>0</v>
      </c>
      <c r="AN147" s="43"/>
      <c r="AP147" s="54"/>
      <c r="AQ147" s="54"/>
      <c r="AR147" s="54"/>
      <c r="AS147" s="54"/>
      <c r="AU147" s="43"/>
    </row>
    <row r="148">
      <c r="A148" s="7" t="s">
        <v>173</v>
      </c>
      <c r="B148" s="46">
        <f>VLOOKUP(A148,'ALL Tube Results'!$B$2:$D259,2,FALSE)</f>
        <v>45028</v>
      </c>
      <c r="C148" s="47">
        <f>COUNTIF('ALL Tube Results'!B147:B259, A148)
</f>
        <v>7</v>
      </c>
      <c r="D148" s="48">
        <f>COUNTIFS('ALL Tube Results'!$B147:$B259, $A148, 'ALL Tube Results'!$F147:$F259, "Negative")
</f>
        <v>7</v>
      </c>
      <c r="E148" s="48">
        <f>COUNTIFS('ALL Tube Results'!$B147:$B259, $A148, 'ALL Tube Results'!$F147:$F259, "Positive")
</f>
        <v>0</v>
      </c>
      <c r="F148" s="48">
        <f>COUNTIFS('ALL Tube Results'!$B147:$B259, $A148, 'ALL Tube Results'!$F147:$F259, "Inconclusive")
</f>
        <v>0</v>
      </c>
      <c r="G148" s="49">
        <f t="shared" si="7"/>
        <v>7</v>
      </c>
      <c r="H148" s="49" t="str">
        <f t="shared" si="8"/>
        <v/>
      </c>
      <c r="I148" s="50" t="str">
        <f t="shared" si="9"/>
        <v/>
      </c>
      <c r="J148" s="51" t="str">
        <f t="shared" si="10"/>
        <v/>
      </c>
      <c r="K148" s="51" t="str">
        <f t="shared" si="11"/>
        <v/>
      </c>
      <c r="L148" s="51">
        <f t="shared" si="12"/>
        <v>7</v>
      </c>
      <c r="M148" s="51" t="str">
        <f t="shared" si="13"/>
        <v/>
      </c>
      <c r="N148" s="51" t="str">
        <f t="shared" si="14"/>
        <v/>
      </c>
      <c r="O148" s="52">
        <f t="shared" si="15"/>
        <v>7</v>
      </c>
      <c r="P148" s="52" t="str">
        <f t="shared" si="16"/>
        <v/>
      </c>
      <c r="Q148" s="43"/>
      <c r="R148" s="7" t="s">
        <v>173</v>
      </c>
      <c r="S148" s="12">
        <v>45028.0</v>
      </c>
      <c r="T148" s="54">
        <f>VLOOKUP(R148,'Run Reconcile'!$A$2:$L259,12,FALSE)</f>
        <v>7</v>
      </c>
      <c r="U148" s="55" t="str">
        <f t="shared" si="17"/>
        <v/>
      </c>
      <c r="V148" s="54"/>
      <c r="W148" s="54"/>
      <c r="X148" s="43"/>
      <c r="Y148" s="7" t="str">
        <f>IFERROR(__xludf.DUMMYFUNCTION("""COMPUTED_VALUE"""),"RUN-ABRM_2023-04-24_RFR-219")</f>
        <v>RUN-ABRM_2023-04-24_RFR-219</v>
      </c>
      <c r="Z148" s="12">
        <f>IFERROR(__xludf.DUMMYFUNCTION("""COMPUTED_VALUE"""),45040.0)</f>
        <v>45040</v>
      </c>
      <c r="AA148" s="50">
        <f t="array" ref="AA148">INDEX('RFR Data - preExcl'!AK$2:AK259,$AE148,1)</f>
        <v>10</v>
      </c>
      <c r="AB148" s="54">
        <f t="shared" si="18"/>
        <v>10</v>
      </c>
      <c r="AC148" s="54">
        <f t="array" ref="AC148">INDEX('RFR Data - preExcl'!AI$2:AI259,$AE148,1)</f>
        <v>0</v>
      </c>
      <c r="AD148" s="54">
        <f t="array" ref="AD148">INDEX('RFR Data - preExcl'!AF$2:AF259,$AE148,1)</f>
        <v>0</v>
      </c>
      <c r="AE148" s="56">
        <f>IFNA(MATCH(Y148,'RFR Data - preExcl'!A$2:A259,0),"")</f>
        <v>219</v>
      </c>
      <c r="AF148" s="43"/>
      <c r="AG148" s="58" t="s">
        <v>173</v>
      </c>
      <c r="AH148" s="46">
        <f>VLOOKUP(AG148,'Run Reconcile'!A$2:B259,2,FALSE)</f>
        <v>45028</v>
      </c>
      <c r="AI148" s="54">
        <f>COUNTIF('APS Tubes IMPORT'!$V$2:$V259, AG148)
</f>
        <v>7</v>
      </c>
      <c r="AJ148" s="54">
        <f>COUNTIFS('APS Tubes IMPORT'!V$2:V259, AG148, 'APS Tubes IMPORT'!H$2:H259, "Negative")
</f>
        <v>7</v>
      </c>
      <c r="AK148" s="54">
        <f>COUNTIFS('APS Tubes IMPORT'!V147:V259, AG148, 'APS Tubes IMPORT'!H147:H259, "Positive")
</f>
        <v>0</v>
      </c>
      <c r="AL148" s="54">
        <f>COUNTIFS('APS Tubes IMPORT'!V147:V259, AG148, 'APS Tubes IMPORT'!H147:H259, "Inconclusive")
</f>
        <v>0</v>
      </c>
      <c r="AM148" s="54">
        <f>COUNTIFS('APS Tubes IMPORT'!V147:V259, AG148, 'APS Tubes IMPORT'!H147:H259, "Null")
</f>
        <v>0</v>
      </c>
      <c r="AN148" s="43"/>
      <c r="AP148" s="54"/>
      <c r="AQ148" s="54"/>
      <c r="AR148" s="54"/>
      <c r="AS148" s="54"/>
      <c r="AU148" s="43"/>
    </row>
    <row r="149">
      <c r="A149" s="7" t="s">
        <v>174</v>
      </c>
      <c r="B149" s="46">
        <f>VLOOKUP(A149,'ALL Tube Results'!$B$2:$D259,2,FALSE)</f>
        <v>45029</v>
      </c>
      <c r="C149" s="47">
        <f>COUNTIF('ALL Tube Results'!B148:B259, A149)
</f>
        <v>8</v>
      </c>
      <c r="D149" s="48">
        <f>COUNTIFS('ALL Tube Results'!$B148:$B259, $A149, 'ALL Tube Results'!$F148:$F259, "Negative")
</f>
        <v>8</v>
      </c>
      <c r="E149" s="48">
        <f>COUNTIFS('ALL Tube Results'!$B148:$B259, $A149, 'ALL Tube Results'!$F148:$F259, "Positive")
</f>
        <v>0</v>
      </c>
      <c r="F149" s="48">
        <f>COUNTIFS('ALL Tube Results'!$B148:$B259, $A149, 'ALL Tube Results'!$F148:$F259, "Inconclusive")
</f>
        <v>0</v>
      </c>
      <c r="G149" s="49">
        <f t="shared" si="7"/>
        <v>8</v>
      </c>
      <c r="H149" s="49" t="str">
        <f t="shared" si="8"/>
        <v/>
      </c>
      <c r="I149" s="50" t="str">
        <f t="shared" si="9"/>
        <v/>
      </c>
      <c r="J149" s="51" t="str">
        <f t="shared" si="10"/>
        <v/>
      </c>
      <c r="K149" s="51" t="str">
        <f t="shared" si="11"/>
        <v/>
      </c>
      <c r="L149" s="51">
        <f t="shared" si="12"/>
        <v>8</v>
      </c>
      <c r="M149" s="51" t="str">
        <f t="shared" si="13"/>
        <v/>
      </c>
      <c r="N149" s="59" t="str">
        <f t="shared" si="14"/>
        <v/>
      </c>
      <c r="O149" s="52">
        <f t="shared" si="15"/>
        <v>8</v>
      </c>
      <c r="P149" s="52" t="str">
        <f t="shared" si="16"/>
        <v/>
      </c>
      <c r="Q149" s="43"/>
      <c r="R149" s="7" t="s">
        <v>174</v>
      </c>
      <c r="S149" s="12">
        <v>45029.0</v>
      </c>
      <c r="T149" s="54">
        <f>VLOOKUP(R149,'Run Reconcile'!$A$2:$L259,12,FALSE)</f>
        <v>8</v>
      </c>
      <c r="U149" s="55" t="str">
        <f t="shared" si="17"/>
        <v/>
      </c>
      <c r="V149" s="54"/>
      <c r="W149" s="54"/>
      <c r="X149" s="43"/>
      <c r="Y149" s="7" t="str">
        <f>IFERROR(__xludf.DUMMYFUNCTION("""COMPUTED_VALUE"""),"RUN-ABRM_2023-04-28_RFR-221")</f>
        <v>RUN-ABRM_2023-04-28_RFR-221</v>
      </c>
      <c r="Z149" s="12">
        <f>IFERROR(__xludf.DUMMYFUNCTION("""COMPUTED_VALUE"""),45044.0)</f>
        <v>45044</v>
      </c>
      <c r="AA149" s="50">
        <f t="array" ref="AA149">INDEX('RFR Data - preExcl'!AK$2:AK259,$AE149,1)</f>
        <v>7</v>
      </c>
      <c r="AB149" s="54">
        <f t="shared" si="18"/>
        <v>7</v>
      </c>
      <c r="AC149" s="54">
        <f t="array" ref="AC149">INDEX('RFR Data - preExcl'!AI$2:AI259,$AE149,1)</f>
        <v>0</v>
      </c>
      <c r="AD149" s="54">
        <f t="array" ref="AD149">INDEX('RFR Data - preExcl'!AF$2:AF259,$AE149,1)</f>
        <v>0</v>
      </c>
      <c r="AE149" s="56">
        <f>IFNA(MATCH(Y149,'RFR Data - preExcl'!A$2:A259,0),"")</f>
        <v>221</v>
      </c>
      <c r="AF149" s="43"/>
      <c r="AG149" s="58" t="s">
        <v>174</v>
      </c>
      <c r="AH149" s="46">
        <f>VLOOKUP(AG149,'Run Reconcile'!A$2:B259,2,FALSE)</f>
        <v>45029</v>
      </c>
      <c r="AI149" s="54">
        <f>COUNTIF('APS Tubes IMPORT'!$V$2:$V259, AG149)
</f>
        <v>8</v>
      </c>
      <c r="AJ149" s="54">
        <f>COUNTIFS('APS Tubes IMPORT'!V$2:V259, AG149, 'APS Tubes IMPORT'!H$2:H259, "Negative")
</f>
        <v>8</v>
      </c>
      <c r="AK149" s="54">
        <f>COUNTIFS('APS Tubes IMPORT'!V148:V259, AG149, 'APS Tubes IMPORT'!H148:H259, "Positive")
</f>
        <v>0</v>
      </c>
      <c r="AL149" s="54">
        <f>COUNTIFS('APS Tubes IMPORT'!V148:V259, AG149, 'APS Tubes IMPORT'!H148:H259, "Inconclusive")
</f>
        <v>0</v>
      </c>
      <c r="AM149" s="54">
        <f>COUNTIFS('APS Tubes IMPORT'!V148:V259, AG149, 'APS Tubes IMPORT'!H148:H259, "Null")
</f>
        <v>0</v>
      </c>
      <c r="AN149" s="43"/>
      <c r="AP149" s="54"/>
      <c r="AQ149" s="54"/>
      <c r="AR149" s="54"/>
      <c r="AS149" s="54"/>
      <c r="AU149" s="43"/>
    </row>
    <row r="150">
      <c r="A150" s="7" t="s">
        <v>175</v>
      </c>
      <c r="B150" s="46">
        <f>VLOOKUP(A150,'ALL Tube Results'!$B$2:$D259,2,FALSE)</f>
        <v>45030</v>
      </c>
      <c r="C150" s="47">
        <f>COUNTIF('ALL Tube Results'!B149:B259, A150)
</f>
        <v>8</v>
      </c>
      <c r="D150" s="48">
        <f>COUNTIFS('ALL Tube Results'!$B149:$B259, $A150, 'ALL Tube Results'!$F149:$F259, "Negative")
</f>
        <v>8</v>
      </c>
      <c r="E150" s="48">
        <f>COUNTIFS('ALL Tube Results'!$B149:$B259, $A150, 'ALL Tube Results'!$F149:$F259, "Positive")
</f>
        <v>0</v>
      </c>
      <c r="F150" s="48">
        <f>COUNTIFS('ALL Tube Results'!$B149:$B259, $A150, 'ALL Tube Results'!$F149:$F259, "Inconclusive")
</f>
        <v>0</v>
      </c>
      <c r="G150" s="49">
        <f t="shared" si="7"/>
        <v>8</v>
      </c>
      <c r="H150" s="49" t="str">
        <f t="shared" si="8"/>
        <v/>
      </c>
      <c r="I150" s="50">
        <f t="shared" si="9"/>
        <v>8</v>
      </c>
      <c r="J150" s="51">
        <f t="shared" si="10"/>
        <v>0</v>
      </c>
      <c r="K150" s="51">
        <f t="shared" si="11"/>
        <v>0</v>
      </c>
      <c r="L150" s="51" t="str">
        <f t="shared" si="12"/>
        <v/>
      </c>
      <c r="M150" s="51" t="str">
        <f t="shared" si="13"/>
        <v/>
      </c>
      <c r="N150" s="51" t="str">
        <f t="shared" si="14"/>
        <v/>
      </c>
      <c r="O150" s="52">
        <f t="shared" si="15"/>
        <v>8</v>
      </c>
      <c r="P150" s="52" t="str">
        <f t="shared" si="16"/>
        <v/>
      </c>
      <c r="Q150" s="43"/>
      <c r="R150" s="7" t="s">
        <v>175</v>
      </c>
      <c r="S150" s="12">
        <v>45030.0</v>
      </c>
      <c r="T150" s="54">
        <f>VLOOKUP(R150,'Run Reconcile'!$A$2:$L259,12,FALSE)</f>
        <v>8</v>
      </c>
      <c r="U150" s="55" t="str">
        <f t="shared" si="17"/>
        <v/>
      </c>
      <c r="V150" s="54"/>
      <c r="W150" s="54"/>
      <c r="X150" s="43"/>
      <c r="Y150" s="7" t="str">
        <f>IFERROR(__xludf.DUMMYFUNCTION("""COMPUTED_VALUE"""),"RUN-ABRM_2023-05-08_RFR-223")</f>
        <v>RUN-ABRM_2023-05-08_RFR-223</v>
      </c>
      <c r="Z150" s="12">
        <f>IFERROR(__xludf.DUMMYFUNCTION("""COMPUTED_VALUE"""),45054.0)</f>
        <v>45054</v>
      </c>
      <c r="AA150" s="50">
        <f t="array" ref="AA150">INDEX('RFR Data - preExcl'!AK$2:AK259,$AE150,1)</f>
        <v>7</v>
      </c>
      <c r="AB150" s="54">
        <f t="shared" si="18"/>
        <v>7</v>
      </c>
      <c r="AC150" s="54">
        <f t="array" ref="AC150">INDEX('RFR Data - preExcl'!AI$2:AI259,$AE150,1)</f>
        <v>0</v>
      </c>
      <c r="AD150" s="54">
        <f t="array" ref="AD150">INDEX('RFR Data - preExcl'!AF$2:AF259,$AE150,1)</f>
        <v>0</v>
      </c>
      <c r="AE150" s="56">
        <f>IFNA(MATCH(Y150,'RFR Data - preExcl'!A$2:A259,0),"")</f>
        <v>223</v>
      </c>
      <c r="AF150" s="43"/>
      <c r="AG150" s="58" t="s">
        <v>175</v>
      </c>
      <c r="AH150" s="46">
        <f>VLOOKUP(AG150,'Run Reconcile'!A$2:B259,2,FALSE)</f>
        <v>45030</v>
      </c>
      <c r="AI150" s="54">
        <f>COUNTIF('APS Tubes IMPORT'!$V$2:$V259, AG150)
</f>
        <v>8</v>
      </c>
      <c r="AJ150" s="54">
        <f>COUNTIFS('APS Tubes IMPORT'!V$2:V259, AG150, 'APS Tubes IMPORT'!H$2:H259, "Negative")
</f>
        <v>8</v>
      </c>
      <c r="AK150" s="54">
        <f>COUNTIFS('APS Tubes IMPORT'!V149:V259, AG150, 'APS Tubes IMPORT'!H149:H259, "Positive")
</f>
        <v>0</v>
      </c>
      <c r="AL150" s="54">
        <f>COUNTIFS('APS Tubes IMPORT'!V149:V259, AG150, 'APS Tubes IMPORT'!H149:H259, "Inconclusive")
</f>
        <v>0</v>
      </c>
      <c r="AM150" s="54">
        <f>COUNTIFS('APS Tubes IMPORT'!V149:V259, AG150, 'APS Tubes IMPORT'!H149:H259, "Null")
</f>
        <v>0</v>
      </c>
      <c r="AN150" s="43"/>
      <c r="AP150" s="54"/>
      <c r="AQ150" s="54"/>
      <c r="AR150" s="54"/>
      <c r="AS150" s="54"/>
      <c r="AU150" s="43"/>
    </row>
    <row r="151">
      <c r="A151" s="7" t="s">
        <v>176</v>
      </c>
      <c r="B151" s="46">
        <f>VLOOKUP(A151,'ALL Tube Results'!$B$2:$D259,2,FALSE)</f>
        <v>45033</v>
      </c>
      <c r="C151" s="47">
        <f>COUNTIF('ALL Tube Results'!B150:B259, A151)
</f>
        <v>9</v>
      </c>
      <c r="D151" s="48">
        <f>COUNTIFS('ALL Tube Results'!$B150:$B259, $A151, 'ALL Tube Results'!$F150:$F259, "Negative")
</f>
        <v>9</v>
      </c>
      <c r="E151" s="48">
        <f>COUNTIFS('ALL Tube Results'!$B150:$B259, $A151, 'ALL Tube Results'!$F150:$F259, "Positive")
</f>
        <v>0</v>
      </c>
      <c r="F151" s="48">
        <f>COUNTIFS('ALL Tube Results'!$B150:$B259, $A151, 'ALL Tube Results'!$F150:$F259, "Inconclusive")
</f>
        <v>0</v>
      </c>
      <c r="G151" s="49">
        <f t="shared" si="7"/>
        <v>9</v>
      </c>
      <c r="H151" s="49" t="str">
        <f t="shared" si="8"/>
        <v/>
      </c>
      <c r="I151" s="50">
        <f t="shared" si="9"/>
        <v>9</v>
      </c>
      <c r="J151" s="51">
        <f t="shared" si="10"/>
        <v>0</v>
      </c>
      <c r="K151" s="51">
        <f t="shared" si="11"/>
        <v>0</v>
      </c>
      <c r="L151" s="51" t="str">
        <f t="shared" si="12"/>
        <v/>
      </c>
      <c r="M151" s="51" t="str">
        <f t="shared" si="13"/>
        <v/>
      </c>
      <c r="N151" s="51" t="str">
        <f t="shared" si="14"/>
        <v/>
      </c>
      <c r="O151" s="52">
        <f t="shared" si="15"/>
        <v>9</v>
      </c>
      <c r="P151" s="52" t="str">
        <f t="shared" si="16"/>
        <v/>
      </c>
      <c r="Q151" s="43"/>
      <c r="R151" s="7" t="s">
        <v>176</v>
      </c>
      <c r="S151" s="12">
        <v>45033.0</v>
      </c>
      <c r="T151" s="54">
        <f>VLOOKUP(R151,'Run Reconcile'!$A$2:$L259,12,FALSE)</f>
        <v>9</v>
      </c>
      <c r="U151" s="55" t="str">
        <f t="shared" si="17"/>
        <v/>
      </c>
      <c r="V151" s="54"/>
      <c r="W151" s="54"/>
      <c r="X151" s="43"/>
      <c r="Y151" s="7" t="str">
        <f>IFERROR(__xludf.DUMMYFUNCTION("""COMPUTED_VALUE"""),"RUN-ABRM_2023-05-11_RFR-224")</f>
        <v>RUN-ABRM_2023-05-11_RFR-224</v>
      </c>
      <c r="Z151" s="12">
        <f>IFERROR(__xludf.DUMMYFUNCTION("""COMPUTED_VALUE"""),45057.0)</f>
        <v>45057</v>
      </c>
      <c r="AA151" s="50">
        <f t="array" ref="AA151">INDEX('RFR Data - preExcl'!AK$2:AK259,$AE151,1)</f>
        <v>6</v>
      </c>
      <c r="AB151" s="54">
        <f t="shared" si="18"/>
        <v>6</v>
      </c>
      <c r="AC151" s="54">
        <f t="array" ref="AC151">INDEX('RFR Data - preExcl'!AI$2:AI259,$AE151,1)</f>
        <v>0</v>
      </c>
      <c r="AD151" s="54">
        <f t="array" ref="AD151">INDEX('RFR Data - preExcl'!AF$2:AF259,$AE151,1)</f>
        <v>0</v>
      </c>
      <c r="AE151" s="56">
        <f>IFNA(MATCH(Y151,'RFR Data - preExcl'!A$2:A259,0),"")</f>
        <v>224</v>
      </c>
      <c r="AF151" s="43"/>
      <c r="AG151" s="58" t="s">
        <v>176</v>
      </c>
      <c r="AH151" s="46">
        <f>VLOOKUP(AG151,'Run Reconcile'!A$2:B259,2,FALSE)</f>
        <v>45033</v>
      </c>
      <c r="AI151" s="54">
        <f>COUNTIF('APS Tubes IMPORT'!$V$2:$V259, AG151)
</f>
        <v>9</v>
      </c>
      <c r="AJ151" s="54">
        <f>COUNTIFS('APS Tubes IMPORT'!V$2:V259, AG151, 'APS Tubes IMPORT'!H$2:H259, "Negative")
</f>
        <v>9</v>
      </c>
      <c r="AK151" s="54">
        <f>COUNTIFS('APS Tubes IMPORT'!V150:V259, AG151, 'APS Tubes IMPORT'!H150:H259, "Positive")
</f>
        <v>0</v>
      </c>
      <c r="AL151" s="54">
        <f>COUNTIFS('APS Tubes IMPORT'!V150:V259, AG151, 'APS Tubes IMPORT'!H150:H259, "Inconclusive")
</f>
        <v>0</v>
      </c>
      <c r="AM151" s="54">
        <f>COUNTIFS('APS Tubes IMPORT'!V150:V259, AG151, 'APS Tubes IMPORT'!H150:H259, "Null")
</f>
        <v>0</v>
      </c>
      <c r="AN151" s="43"/>
      <c r="AP151" s="54"/>
      <c r="AQ151" s="54"/>
      <c r="AR151" s="54"/>
      <c r="AS151" s="54"/>
      <c r="AU151" s="43"/>
    </row>
    <row r="152">
      <c r="A152" s="7" t="s">
        <v>177</v>
      </c>
      <c r="B152" s="46">
        <f>VLOOKUP(A152,'ALL Tube Results'!$B$2:$D259,2,FALSE)</f>
        <v>45034</v>
      </c>
      <c r="C152" s="47">
        <f>COUNTIF('ALL Tube Results'!B151:B259, A152)
</f>
        <v>3</v>
      </c>
      <c r="D152" s="48">
        <f>COUNTIFS('ALL Tube Results'!$B151:$B259, $A152, 'ALL Tube Results'!$F151:$F259, "Negative")
</f>
        <v>3</v>
      </c>
      <c r="E152" s="48">
        <f>COUNTIFS('ALL Tube Results'!$B151:$B259, $A152, 'ALL Tube Results'!$F151:$F259, "Positive")
</f>
        <v>0</v>
      </c>
      <c r="F152" s="48">
        <f>COUNTIFS('ALL Tube Results'!$B151:$B259, $A152, 'ALL Tube Results'!$F151:$F259, "Inconclusive")
</f>
        <v>0</v>
      </c>
      <c r="G152" s="49">
        <f t="shared" si="7"/>
        <v>3</v>
      </c>
      <c r="H152" s="49" t="str">
        <f t="shared" si="8"/>
        <v/>
      </c>
      <c r="I152" s="50" t="str">
        <f t="shared" si="9"/>
        <v/>
      </c>
      <c r="J152" s="51" t="str">
        <f t="shared" si="10"/>
        <v/>
      </c>
      <c r="K152" s="51" t="str">
        <f t="shared" si="11"/>
        <v/>
      </c>
      <c r="L152" s="51">
        <f t="shared" si="12"/>
        <v>3</v>
      </c>
      <c r="M152" s="51" t="str">
        <f t="shared" si="13"/>
        <v/>
      </c>
      <c r="N152" s="51" t="str">
        <f t="shared" si="14"/>
        <v/>
      </c>
      <c r="O152" s="52">
        <f t="shared" si="15"/>
        <v>3</v>
      </c>
      <c r="P152" s="52" t="str">
        <f t="shared" si="16"/>
        <v/>
      </c>
      <c r="Q152" s="43"/>
      <c r="R152" s="7" t="s">
        <v>177</v>
      </c>
      <c r="S152" s="12">
        <v>45034.0</v>
      </c>
      <c r="T152" s="54">
        <f>VLOOKUP(R152,'Run Reconcile'!$A$2:$L259,12,FALSE)</f>
        <v>3</v>
      </c>
      <c r="U152" s="55" t="str">
        <f t="shared" si="17"/>
        <v/>
      </c>
      <c r="V152" s="54"/>
      <c r="W152" s="54"/>
      <c r="X152" s="43"/>
      <c r="Y152" s="7" t="str">
        <f>IFERROR(__xludf.DUMMYFUNCTION("""COMPUTED_VALUE"""),"RUN-ABRM_2023-05-17_RFR-225")</f>
        <v>RUN-ABRM_2023-05-17_RFR-225</v>
      </c>
      <c r="Z152" s="12">
        <f>IFERROR(__xludf.DUMMYFUNCTION("""COMPUTED_VALUE"""),45063.0)</f>
        <v>45063</v>
      </c>
      <c r="AA152" s="50">
        <f t="array" ref="AA152">INDEX('RFR Data - preExcl'!AK$2:AK259,$AE152,1)</f>
        <v>6</v>
      </c>
      <c r="AB152" s="54">
        <f t="shared" si="18"/>
        <v>6</v>
      </c>
      <c r="AC152" s="54">
        <f t="array" ref="AC152">INDEX('RFR Data - preExcl'!AI$2:AI259,$AE152,1)</f>
        <v>0</v>
      </c>
      <c r="AD152" s="54">
        <f t="array" ref="AD152">INDEX('RFR Data - preExcl'!AF$2:AF259,$AE152,1)</f>
        <v>0</v>
      </c>
      <c r="AE152" s="56">
        <f>IFNA(MATCH(Y152,'RFR Data - preExcl'!A$2:A259,0),"")</f>
        <v>225</v>
      </c>
      <c r="AF152" s="43"/>
      <c r="AG152" s="58" t="s">
        <v>177</v>
      </c>
      <c r="AH152" s="46">
        <f>VLOOKUP(AG152,'Run Reconcile'!A$2:B259,2,FALSE)</f>
        <v>45034</v>
      </c>
      <c r="AI152" s="54">
        <f>COUNTIF('APS Tubes IMPORT'!$V$2:$V259, AG152)
</f>
        <v>3</v>
      </c>
      <c r="AJ152" s="54">
        <f>COUNTIFS('APS Tubes IMPORT'!V$2:V259, AG152, 'APS Tubes IMPORT'!H$2:H259, "Negative")
</f>
        <v>3</v>
      </c>
      <c r="AK152" s="54">
        <f>COUNTIFS('APS Tubes IMPORT'!V151:V259, AG152, 'APS Tubes IMPORT'!H151:H259, "Positive")
</f>
        <v>0</v>
      </c>
      <c r="AL152" s="54">
        <f>COUNTIFS('APS Tubes IMPORT'!V151:V259, AG152, 'APS Tubes IMPORT'!H151:H259, "Inconclusive")
</f>
        <v>0</v>
      </c>
      <c r="AM152" s="54">
        <f>COUNTIFS('APS Tubes IMPORT'!V151:V259, AG152, 'APS Tubes IMPORT'!H151:H259, "Null")
</f>
        <v>0</v>
      </c>
      <c r="AN152" s="43"/>
      <c r="AP152" s="54"/>
      <c r="AQ152" s="54"/>
      <c r="AR152" s="54"/>
      <c r="AS152" s="54"/>
      <c r="AU152" s="43"/>
    </row>
    <row r="153">
      <c r="A153" s="7" t="s">
        <v>178</v>
      </c>
      <c r="B153" s="46">
        <f>VLOOKUP(A153,'ALL Tube Results'!$B$2:$D259,2,FALSE)</f>
        <v>45034</v>
      </c>
      <c r="C153" s="47">
        <f>COUNTIF('ALL Tube Results'!B152:B259, A153)
</f>
        <v>7</v>
      </c>
      <c r="D153" s="48">
        <f>COUNTIFS('ALL Tube Results'!$B152:$B259, $A153, 'ALL Tube Results'!$F152:$F259, "Negative")
</f>
        <v>7</v>
      </c>
      <c r="E153" s="48">
        <f>COUNTIFS('ALL Tube Results'!$B152:$B259, $A153, 'ALL Tube Results'!$F152:$F259, "Positive")
</f>
        <v>0</v>
      </c>
      <c r="F153" s="48">
        <f>COUNTIFS('ALL Tube Results'!$B152:$B259, $A153, 'ALL Tube Results'!$F152:$F259, "Inconclusive")
</f>
        <v>0</v>
      </c>
      <c r="G153" s="49">
        <f t="shared" si="7"/>
        <v>7</v>
      </c>
      <c r="H153" s="49" t="str">
        <f t="shared" si="8"/>
        <v/>
      </c>
      <c r="I153" s="50">
        <f t="shared" si="9"/>
        <v>7</v>
      </c>
      <c r="J153" s="51">
        <f t="shared" si="10"/>
        <v>0</v>
      </c>
      <c r="K153" s="51">
        <f t="shared" si="11"/>
        <v>0</v>
      </c>
      <c r="L153" s="51" t="str">
        <f t="shared" si="12"/>
        <v/>
      </c>
      <c r="M153" s="51" t="str">
        <f t="shared" si="13"/>
        <v/>
      </c>
      <c r="N153" s="51" t="str">
        <f t="shared" si="14"/>
        <v/>
      </c>
      <c r="O153" s="52">
        <f t="shared" si="15"/>
        <v>7</v>
      </c>
      <c r="P153" s="52" t="str">
        <f t="shared" si="16"/>
        <v/>
      </c>
      <c r="Q153" s="43"/>
      <c r="R153" s="7" t="s">
        <v>178</v>
      </c>
      <c r="S153" s="12">
        <v>45034.0</v>
      </c>
      <c r="T153" s="54">
        <f>VLOOKUP(R153,'Run Reconcile'!$A$2:$L259,12,FALSE)</f>
        <v>7</v>
      </c>
      <c r="U153" s="55" t="str">
        <f t="shared" si="17"/>
        <v/>
      </c>
      <c r="V153" s="54"/>
      <c r="W153" s="54"/>
      <c r="X153" s="43"/>
      <c r="Y153" s="7" t="str">
        <f>IFERROR(__xludf.DUMMYFUNCTION("""COMPUTED_VALUE"""),"RUN-ABRM_2023-05-18_RFR-226")</f>
        <v>RUN-ABRM_2023-05-18_RFR-226</v>
      </c>
      <c r="Z153" s="12">
        <f>IFERROR(__xludf.DUMMYFUNCTION("""COMPUTED_VALUE"""),45064.0)</f>
        <v>45064</v>
      </c>
      <c r="AA153" s="50">
        <f t="array" ref="AA153">INDEX('RFR Data - preExcl'!AK$2:AK259,$AE153,1)</f>
        <v>9</v>
      </c>
      <c r="AB153" s="54">
        <f t="shared" si="18"/>
        <v>9</v>
      </c>
      <c r="AC153" s="54">
        <f t="array" ref="AC153">INDEX('RFR Data - preExcl'!AI$2:AI259,$AE153,1)</f>
        <v>0</v>
      </c>
      <c r="AD153" s="54">
        <f t="array" ref="AD153">INDEX('RFR Data - preExcl'!AF$2:AF259,$AE153,1)</f>
        <v>0</v>
      </c>
      <c r="AE153" s="56">
        <f>IFNA(MATCH(Y153,'RFR Data - preExcl'!A$2:A259,0),"")</f>
        <v>226</v>
      </c>
      <c r="AF153" s="43"/>
      <c r="AG153" s="58" t="s">
        <v>178</v>
      </c>
      <c r="AH153" s="46">
        <f>VLOOKUP(AG153,'Run Reconcile'!A$2:B259,2,FALSE)</f>
        <v>45034</v>
      </c>
      <c r="AI153" s="54">
        <f>COUNTIF('APS Tubes IMPORT'!$V$2:$V259, AG153)
</f>
        <v>7</v>
      </c>
      <c r="AJ153" s="54">
        <f>COUNTIFS('APS Tubes IMPORT'!V$2:V259, AG153, 'APS Tubes IMPORT'!H$2:H259, "Negative")
</f>
        <v>7</v>
      </c>
      <c r="AK153" s="54">
        <f>COUNTIFS('APS Tubes IMPORT'!V152:V259, AG153, 'APS Tubes IMPORT'!H152:H259, "Positive")
</f>
        <v>0</v>
      </c>
      <c r="AL153" s="54">
        <f>COUNTIFS('APS Tubes IMPORT'!V152:V259, AG153, 'APS Tubes IMPORT'!H152:H259, "Inconclusive")
</f>
        <v>0</v>
      </c>
      <c r="AM153" s="54">
        <f>COUNTIFS('APS Tubes IMPORT'!V152:V259, AG153, 'APS Tubes IMPORT'!H152:H259, "Null")
</f>
        <v>0</v>
      </c>
      <c r="AN153" s="43"/>
      <c r="AP153" s="54"/>
      <c r="AQ153" s="54"/>
      <c r="AR153" s="54"/>
      <c r="AS153" s="54"/>
      <c r="AU153" s="43"/>
    </row>
    <row r="154">
      <c r="A154" s="7" t="s">
        <v>179</v>
      </c>
      <c r="B154" s="46">
        <f>VLOOKUP(A154,'ALL Tube Results'!$B$2:$D259,2,FALSE)</f>
        <v>45035</v>
      </c>
      <c r="C154" s="47">
        <f>COUNTIF('ALL Tube Results'!B153:B259, A154)
</f>
        <v>6</v>
      </c>
      <c r="D154" s="48">
        <f>COUNTIFS('ALL Tube Results'!$B153:$B259, $A154, 'ALL Tube Results'!$F153:$F259, "Negative")
</f>
        <v>6</v>
      </c>
      <c r="E154" s="48">
        <f>COUNTIFS('ALL Tube Results'!$B153:$B259, $A154, 'ALL Tube Results'!$F153:$F259, "Positive")
</f>
        <v>0</v>
      </c>
      <c r="F154" s="48">
        <f>COUNTIFS('ALL Tube Results'!$B153:$B259, $A154, 'ALL Tube Results'!$F153:$F259, "Inconclusive")
</f>
        <v>0</v>
      </c>
      <c r="G154" s="49">
        <f t="shared" si="7"/>
        <v>6</v>
      </c>
      <c r="H154" s="49" t="str">
        <f t="shared" si="8"/>
        <v/>
      </c>
      <c r="I154" s="50">
        <f t="shared" si="9"/>
        <v>6</v>
      </c>
      <c r="J154" s="51">
        <f t="shared" si="10"/>
        <v>0</v>
      </c>
      <c r="K154" s="51">
        <f t="shared" si="11"/>
        <v>0</v>
      </c>
      <c r="L154" s="51" t="str">
        <f t="shared" si="12"/>
        <v/>
      </c>
      <c r="M154" s="51" t="str">
        <f t="shared" si="13"/>
        <v/>
      </c>
      <c r="N154" s="51" t="str">
        <f t="shared" si="14"/>
        <v/>
      </c>
      <c r="O154" s="52">
        <f t="shared" si="15"/>
        <v>5</v>
      </c>
      <c r="P154" s="52">
        <f t="shared" si="16"/>
        <v>1</v>
      </c>
      <c r="Q154" s="43"/>
      <c r="R154" s="7" t="s">
        <v>179</v>
      </c>
      <c r="S154" s="12">
        <v>45035.0</v>
      </c>
      <c r="T154" s="54">
        <f>VLOOKUP(R154,'Run Reconcile'!$A$2:$L259,12,FALSE)</f>
        <v>6</v>
      </c>
      <c r="U154" s="55" t="str">
        <f t="shared" si="17"/>
        <v/>
      </c>
      <c r="V154" s="54"/>
      <c r="W154" s="54"/>
      <c r="X154" s="43"/>
      <c r="Y154" s="7" t="str">
        <f>IFERROR(__xludf.DUMMYFUNCTION("""COMPUTED_VALUE"""),"RUN-ABRM_2023-05-19_RFR-227")</f>
        <v>RUN-ABRM_2023-05-19_RFR-227</v>
      </c>
      <c r="Z154" s="12">
        <f>IFERROR(__xludf.DUMMYFUNCTION("""COMPUTED_VALUE"""),45065.0)</f>
        <v>45065</v>
      </c>
      <c r="AA154" s="50">
        <f t="array" ref="AA154">INDEX('RFR Data - preExcl'!AK$2:AK259,$AE154,1)</f>
        <v>8</v>
      </c>
      <c r="AB154" s="54">
        <f t="shared" si="18"/>
        <v>7</v>
      </c>
      <c r="AC154" s="54">
        <f t="array" ref="AC154">INDEX('RFR Data - preExcl'!AI$2:AI259,$AE154,1)</f>
        <v>1</v>
      </c>
      <c r="AD154" s="54">
        <f t="array" ref="AD154">INDEX('RFR Data - preExcl'!AF$2:AF259,$AE154,1)</f>
        <v>0</v>
      </c>
      <c r="AE154" s="56">
        <f>IFNA(MATCH(Y154,'RFR Data - preExcl'!A$2:A259,0),"")</f>
        <v>227</v>
      </c>
      <c r="AF154" s="43"/>
      <c r="AG154" s="58" t="s">
        <v>179</v>
      </c>
      <c r="AH154" s="46">
        <f>VLOOKUP(AG154,'Run Reconcile'!A$2:B259,2,FALSE)</f>
        <v>45035</v>
      </c>
      <c r="AI154" s="54">
        <f>COUNTIF('APS Tubes IMPORT'!$V$2:$V259, AG154)
</f>
        <v>5</v>
      </c>
      <c r="AJ154" s="54">
        <f>COUNTIFS('APS Tubes IMPORT'!V$2:V259, AG154, 'APS Tubes IMPORT'!H$2:H259, "Negative")
</f>
        <v>5</v>
      </c>
      <c r="AK154" s="54">
        <f>COUNTIFS('APS Tubes IMPORT'!V153:V259, AG154, 'APS Tubes IMPORT'!H153:H259, "Positive")
</f>
        <v>0</v>
      </c>
      <c r="AL154" s="54">
        <f>COUNTIFS('APS Tubes IMPORT'!V153:V259, AG154, 'APS Tubes IMPORT'!H153:H259, "Inconclusive")
</f>
        <v>0</v>
      </c>
      <c r="AM154" s="54">
        <f>COUNTIFS('APS Tubes IMPORT'!V153:V259, AG154, 'APS Tubes IMPORT'!H153:H259, "Null")
</f>
        <v>0</v>
      </c>
      <c r="AN154" s="43"/>
      <c r="AP154" s="54"/>
      <c r="AQ154" s="54"/>
      <c r="AR154" s="54"/>
      <c r="AS154" s="54"/>
      <c r="AU154" s="43"/>
    </row>
    <row r="155">
      <c r="A155" s="7" t="s">
        <v>180</v>
      </c>
      <c r="B155" s="46">
        <f>VLOOKUP(A155,'ALL Tube Results'!$B$2:$D259,2,FALSE)</f>
        <v>45036</v>
      </c>
      <c r="C155" s="47">
        <f>COUNTIF('ALL Tube Results'!B154:B259, A155)
</f>
        <v>8</v>
      </c>
      <c r="D155" s="48">
        <f>COUNTIFS('ALL Tube Results'!$B154:$B259, $A155, 'ALL Tube Results'!$F154:$F259, "Negative")
</f>
        <v>8</v>
      </c>
      <c r="E155" s="48">
        <f>COUNTIFS('ALL Tube Results'!$B154:$B259, $A155, 'ALL Tube Results'!$F154:$F259, "Positive")
</f>
        <v>0</v>
      </c>
      <c r="F155" s="48">
        <f>COUNTIFS('ALL Tube Results'!$B154:$B259, $A155, 'ALL Tube Results'!$F154:$F259, "Inconclusive")
</f>
        <v>0</v>
      </c>
      <c r="G155" s="49">
        <f t="shared" si="7"/>
        <v>8</v>
      </c>
      <c r="H155" s="49" t="str">
        <f t="shared" si="8"/>
        <v/>
      </c>
      <c r="I155" s="50">
        <f t="shared" si="9"/>
        <v>8</v>
      </c>
      <c r="J155" s="51">
        <f t="shared" si="10"/>
        <v>0</v>
      </c>
      <c r="K155" s="51">
        <f t="shared" si="11"/>
        <v>0</v>
      </c>
      <c r="L155" s="51" t="str">
        <f t="shared" si="12"/>
        <v/>
      </c>
      <c r="M155" s="51" t="str">
        <f t="shared" si="13"/>
        <v/>
      </c>
      <c r="N155" s="51" t="str">
        <f t="shared" si="14"/>
        <v/>
      </c>
      <c r="O155" s="52">
        <f t="shared" si="15"/>
        <v>8</v>
      </c>
      <c r="P155" s="52" t="str">
        <f t="shared" si="16"/>
        <v/>
      </c>
      <c r="Q155" s="43"/>
      <c r="R155" s="7" t="s">
        <v>180</v>
      </c>
      <c r="S155" s="12">
        <v>45036.0</v>
      </c>
      <c r="T155" s="54">
        <f>VLOOKUP(R155,'Run Reconcile'!$A$2:$L259,12,FALSE)</f>
        <v>8</v>
      </c>
      <c r="U155" s="55" t="str">
        <f t="shared" si="17"/>
        <v/>
      </c>
      <c r="V155" s="54"/>
      <c r="W155" s="54"/>
      <c r="X155" s="43"/>
      <c r="Y155" s="7" t="str">
        <f>IFERROR(__xludf.DUMMYFUNCTION("""COMPUTED_VALUE"""),"RUN-ABRM_2023-05-22_RFR-228")</f>
        <v>RUN-ABRM_2023-05-22_RFR-228</v>
      </c>
      <c r="Z155" s="12">
        <f>IFERROR(__xludf.DUMMYFUNCTION("""COMPUTED_VALUE"""),45068.0)</f>
        <v>45068</v>
      </c>
      <c r="AA155" s="50">
        <f t="array" ref="AA155">INDEX('RFR Data - preExcl'!AK$2:AK259,$AE155,1)</f>
        <v>4</v>
      </c>
      <c r="AB155" s="54">
        <f t="shared" si="18"/>
        <v>4</v>
      </c>
      <c r="AC155" s="54">
        <f t="array" ref="AC155">INDEX('RFR Data - preExcl'!AI$2:AI259,$AE155,1)</f>
        <v>0</v>
      </c>
      <c r="AD155" s="54">
        <f t="array" ref="AD155">INDEX('RFR Data - preExcl'!AF$2:AF259,$AE155,1)</f>
        <v>0</v>
      </c>
      <c r="AE155" s="56">
        <f>IFNA(MATCH(Y155,'RFR Data - preExcl'!A$2:A259,0),"")</f>
        <v>228</v>
      </c>
      <c r="AF155" s="43"/>
      <c r="AG155" s="58" t="s">
        <v>180</v>
      </c>
      <c r="AH155" s="46">
        <f>VLOOKUP(AG155,'Run Reconcile'!A$2:B259,2,FALSE)</f>
        <v>45036</v>
      </c>
      <c r="AI155" s="54">
        <f>COUNTIF('APS Tubes IMPORT'!$V$2:$V259, AG155)
</f>
        <v>8</v>
      </c>
      <c r="AJ155" s="54">
        <f>COUNTIFS('APS Tubes IMPORT'!V$2:V259, AG155, 'APS Tubes IMPORT'!H$2:H259, "Negative")
</f>
        <v>8</v>
      </c>
      <c r="AK155" s="54">
        <f>COUNTIFS('APS Tubes IMPORT'!V154:V259, AG155, 'APS Tubes IMPORT'!H154:H259, "Positive")
</f>
        <v>0</v>
      </c>
      <c r="AL155" s="54">
        <f>COUNTIFS('APS Tubes IMPORT'!V154:V259, AG155, 'APS Tubes IMPORT'!H154:H259, "Inconclusive")
</f>
        <v>0</v>
      </c>
      <c r="AM155" s="54">
        <f>COUNTIFS('APS Tubes IMPORT'!V154:V259, AG155, 'APS Tubes IMPORT'!H154:H259, "Null")
</f>
        <v>0</v>
      </c>
      <c r="AN155" s="43"/>
      <c r="AP155" s="54"/>
      <c r="AQ155" s="54"/>
      <c r="AR155" s="54"/>
      <c r="AS155" s="54"/>
      <c r="AU155" s="43"/>
    </row>
    <row r="156">
      <c r="A156" s="7" t="s">
        <v>181</v>
      </c>
      <c r="B156" s="46">
        <f>VLOOKUP(A156,'ALL Tube Results'!$B$2:$D259,2,FALSE)</f>
        <v>45037</v>
      </c>
      <c r="C156" s="47">
        <f>COUNTIF('ALL Tube Results'!B155:B259, A156)
</f>
        <v>6</v>
      </c>
      <c r="D156" s="48">
        <f>COUNTIFS('ALL Tube Results'!$B155:$B259, $A156, 'ALL Tube Results'!$F155:$F259, "Negative")
</f>
        <v>6</v>
      </c>
      <c r="E156" s="48">
        <f>COUNTIFS('ALL Tube Results'!$B155:$B259, $A156, 'ALL Tube Results'!$F155:$F259, "Positive")
</f>
        <v>0</v>
      </c>
      <c r="F156" s="48">
        <f>COUNTIFS('ALL Tube Results'!$B155:$B259, $A156, 'ALL Tube Results'!$F155:$F259, "Inconclusive")
</f>
        <v>0</v>
      </c>
      <c r="G156" s="49">
        <f t="shared" si="7"/>
        <v>6</v>
      </c>
      <c r="H156" s="49" t="str">
        <f t="shared" si="8"/>
        <v/>
      </c>
      <c r="I156" s="50">
        <f t="shared" si="9"/>
        <v>6</v>
      </c>
      <c r="J156" s="51">
        <f t="shared" si="10"/>
        <v>0</v>
      </c>
      <c r="K156" s="51">
        <f t="shared" si="11"/>
        <v>0</v>
      </c>
      <c r="L156" s="51" t="str">
        <f t="shared" si="12"/>
        <v/>
      </c>
      <c r="M156" s="51" t="str">
        <f t="shared" si="13"/>
        <v/>
      </c>
      <c r="N156" s="51" t="str">
        <f t="shared" si="14"/>
        <v/>
      </c>
      <c r="O156" s="52">
        <f t="shared" si="15"/>
        <v>4</v>
      </c>
      <c r="P156" s="52">
        <f t="shared" si="16"/>
        <v>2</v>
      </c>
      <c r="Q156" s="43"/>
      <c r="R156" s="7" t="s">
        <v>181</v>
      </c>
      <c r="S156" s="12">
        <v>45037.0</v>
      </c>
      <c r="T156" s="54">
        <f>VLOOKUP(R156,'Run Reconcile'!$A$2:$L259,12,FALSE)</f>
        <v>6</v>
      </c>
      <c r="U156" s="55" t="str">
        <f t="shared" si="17"/>
        <v/>
      </c>
      <c r="V156" s="54"/>
      <c r="W156" s="54"/>
      <c r="X156" s="43"/>
      <c r="Y156" s="7" t="str">
        <f>IFERROR(__xludf.DUMMYFUNCTION("""COMPUTED_VALUE"""),"RUN-ABRM_2023-05-23_RFR-231")</f>
        <v>RUN-ABRM_2023-05-23_RFR-231</v>
      </c>
      <c r="Z156" s="12">
        <f>IFERROR(__xludf.DUMMYFUNCTION("""COMPUTED_VALUE"""),45069.0)</f>
        <v>45069</v>
      </c>
      <c r="AA156" s="50">
        <f t="array" ref="AA156">INDEX('RFR Data - preExcl'!AK$2:AK259,$AE156,1)</f>
        <v>9</v>
      </c>
      <c r="AB156" s="54">
        <f t="shared" si="18"/>
        <v>5</v>
      </c>
      <c r="AC156" s="54">
        <f t="array" ref="AC156">INDEX('RFR Data - preExcl'!AI$2:AI259,$AE156,1)</f>
        <v>4</v>
      </c>
      <c r="AD156" s="54">
        <f t="array" ref="AD156">INDEX('RFR Data - preExcl'!AF$2:AF259,$AE156,1)</f>
        <v>0</v>
      </c>
      <c r="AE156" s="56">
        <f>IFNA(MATCH(Y156,'RFR Data - preExcl'!A$2:A259,0),"")</f>
        <v>231</v>
      </c>
      <c r="AF156" s="43"/>
      <c r="AG156" s="58" t="s">
        <v>181</v>
      </c>
      <c r="AH156" s="46">
        <f>VLOOKUP(AG156,'Run Reconcile'!A$2:B259,2,FALSE)</f>
        <v>45037</v>
      </c>
      <c r="AI156" s="54">
        <f>COUNTIF('APS Tubes IMPORT'!$V$2:$V259, AG156)
</f>
        <v>4</v>
      </c>
      <c r="AJ156" s="54">
        <f>COUNTIFS('APS Tubes IMPORT'!V$2:V259, AG156, 'APS Tubes IMPORT'!H$2:H259, "Negative")
</f>
        <v>4</v>
      </c>
      <c r="AK156" s="54">
        <f>COUNTIFS('APS Tubes IMPORT'!V155:V259, AG156, 'APS Tubes IMPORT'!H155:H259, "Positive")
</f>
        <v>0</v>
      </c>
      <c r="AL156" s="54">
        <f>COUNTIFS('APS Tubes IMPORT'!V155:V259, AG156, 'APS Tubes IMPORT'!H155:H259, "Inconclusive")
</f>
        <v>0</v>
      </c>
      <c r="AM156" s="54">
        <f>COUNTIFS('APS Tubes IMPORT'!V155:V259, AG156, 'APS Tubes IMPORT'!H155:H259, "Null")
</f>
        <v>0</v>
      </c>
      <c r="AN156" s="43"/>
      <c r="AP156" s="54"/>
      <c r="AQ156" s="54"/>
      <c r="AR156" s="54"/>
      <c r="AS156" s="54"/>
      <c r="AU156" s="43"/>
    </row>
    <row r="157">
      <c r="A157" s="7" t="s">
        <v>182</v>
      </c>
      <c r="B157" s="46">
        <f>VLOOKUP(A157,'ALL Tube Results'!$B$2:$D259,2,FALSE)</f>
        <v>45040</v>
      </c>
      <c r="C157" s="47">
        <f>COUNTIF('ALL Tube Results'!B156:B259, A157)
</f>
        <v>10</v>
      </c>
      <c r="D157" s="48">
        <f>COUNTIFS('ALL Tube Results'!$B156:$B259, $A157, 'ALL Tube Results'!$F156:$F259, "Negative")
</f>
        <v>10</v>
      </c>
      <c r="E157" s="48">
        <f>COUNTIFS('ALL Tube Results'!$B156:$B259, $A157, 'ALL Tube Results'!$F156:$F259, "Positive")
</f>
        <v>0</v>
      </c>
      <c r="F157" s="48">
        <f>COUNTIFS('ALL Tube Results'!$B156:$B259, $A157, 'ALL Tube Results'!$F156:$F259, "Inconclusive")
</f>
        <v>0</v>
      </c>
      <c r="G157" s="49">
        <f t="shared" si="7"/>
        <v>10</v>
      </c>
      <c r="H157" s="49" t="str">
        <f t="shared" si="8"/>
        <v/>
      </c>
      <c r="I157" s="50">
        <f t="shared" si="9"/>
        <v>10</v>
      </c>
      <c r="J157" s="51">
        <f t="shared" si="10"/>
        <v>0</v>
      </c>
      <c r="K157" s="51">
        <f t="shared" si="11"/>
        <v>0</v>
      </c>
      <c r="L157" s="51" t="str">
        <f t="shared" si="12"/>
        <v/>
      </c>
      <c r="M157" s="51" t="str">
        <f t="shared" si="13"/>
        <v/>
      </c>
      <c r="N157" s="51" t="str">
        <f t="shared" si="14"/>
        <v/>
      </c>
      <c r="O157" s="52">
        <f t="shared" si="15"/>
        <v>9</v>
      </c>
      <c r="P157" s="52">
        <f t="shared" si="16"/>
        <v>1</v>
      </c>
      <c r="Q157" s="43"/>
      <c r="R157" s="7" t="s">
        <v>182</v>
      </c>
      <c r="S157" s="12">
        <v>45040.0</v>
      </c>
      <c r="T157" s="54">
        <f>VLOOKUP(R157,'Run Reconcile'!$A$2:$L259,12,FALSE)</f>
        <v>10</v>
      </c>
      <c r="U157" s="55" t="str">
        <f t="shared" si="17"/>
        <v/>
      </c>
      <c r="V157" s="54"/>
      <c r="W157" s="54"/>
      <c r="X157" s="43"/>
      <c r="Y157" s="7" t="str">
        <f>IFERROR(__xludf.DUMMYFUNCTION("""COMPUTED_VALUE"""),"RUN-ABRM_2023-05-24_RFR-232")</f>
        <v>RUN-ABRM_2023-05-24_RFR-232</v>
      </c>
      <c r="Z157" s="12">
        <f>IFERROR(__xludf.DUMMYFUNCTION("""COMPUTED_VALUE"""),45070.0)</f>
        <v>45070</v>
      </c>
      <c r="AA157" s="50">
        <f t="array" ref="AA157">INDEX('RFR Data - preExcl'!AK$2:AK259,$AE157,1)</f>
        <v>4</v>
      </c>
      <c r="AB157" s="54">
        <f t="shared" si="18"/>
        <v>4</v>
      </c>
      <c r="AC157" s="54">
        <f t="array" ref="AC157">INDEX('RFR Data - preExcl'!AI$2:AI259,$AE157,1)</f>
        <v>0</v>
      </c>
      <c r="AD157" s="54">
        <f t="array" ref="AD157">INDEX('RFR Data - preExcl'!AF$2:AF259,$AE157,1)</f>
        <v>0</v>
      </c>
      <c r="AE157" s="56">
        <f>IFNA(MATCH(Y157,'RFR Data - preExcl'!A$2:A259,0),"")</f>
        <v>232</v>
      </c>
      <c r="AF157" s="43"/>
      <c r="AG157" s="58" t="s">
        <v>182</v>
      </c>
      <c r="AH157" s="46">
        <f>VLOOKUP(AG157,'Run Reconcile'!A$2:B259,2,FALSE)</f>
        <v>45040</v>
      </c>
      <c r="AI157" s="54">
        <f>COUNTIF('APS Tubes IMPORT'!$V$2:$V259, AG157)
</f>
        <v>9</v>
      </c>
      <c r="AJ157" s="54">
        <f>COUNTIFS('APS Tubes IMPORT'!V$2:V259, AG157, 'APS Tubes IMPORT'!H$2:H259, "Negative")
</f>
        <v>9</v>
      </c>
      <c r="AK157" s="54">
        <f>COUNTIFS('APS Tubes IMPORT'!V156:V259, AG157, 'APS Tubes IMPORT'!H156:H259, "Positive")
</f>
        <v>0</v>
      </c>
      <c r="AL157" s="54">
        <f>COUNTIFS('APS Tubes IMPORT'!V156:V259, AG157, 'APS Tubes IMPORT'!H156:H259, "Inconclusive")
</f>
        <v>0</v>
      </c>
      <c r="AM157" s="54">
        <f>COUNTIFS('APS Tubes IMPORT'!V156:V259, AG157, 'APS Tubes IMPORT'!H156:H259, "Null")
</f>
        <v>0</v>
      </c>
      <c r="AN157" s="43"/>
      <c r="AP157" s="54"/>
      <c r="AQ157" s="54"/>
      <c r="AR157" s="54"/>
      <c r="AS157" s="54"/>
      <c r="AU157" s="43"/>
    </row>
    <row r="158">
      <c r="A158" s="7" t="s">
        <v>183</v>
      </c>
      <c r="B158" s="46">
        <f>VLOOKUP(A158,'ALL Tube Results'!$B$2:$D259,2,FALSE)</f>
        <v>45041</v>
      </c>
      <c r="C158" s="47">
        <f>COUNTIF('ALL Tube Results'!B157:B259, A158)
</f>
        <v>5</v>
      </c>
      <c r="D158" s="48">
        <f>COUNTIFS('ALL Tube Results'!$B157:$B259, $A158, 'ALL Tube Results'!$F157:$F259, "Negative")
</f>
        <v>5</v>
      </c>
      <c r="E158" s="48">
        <f>COUNTIFS('ALL Tube Results'!$B157:$B259, $A158, 'ALL Tube Results'!$F157:$F259, "Positive")
</f>
        <v>0</v>
      </c>
      <c r="F158" s="48">
        <f>COUNTIFS('ALL Tube Results'!$B157:$B259, $A158, 'ALL Tube Results'!$F157:$F259, "Inconclusive")
</f>
        <v>0</v>
      </c>
      <c r="G158" s="49">
        <f t="shared" si="7"/>
        <v>5</v>
      </c>
      <c r="H158" s="49" t="str">
        <f t="shared" si="8"/>
        <v/>
      </c>
      <c r="I158" s="50" t="str">
        <f t="shared" si="9"/>
        <v/>
      </c>
      <c r="J158" s="51" t="str">
        <f t="shared" si="10"/>
        <v/>
      </c>
      <c r="K158" s="51" t="str">
        <f t="shared" si="11"/>
        <v/>
      </c>
      <c r="L158" s="51">
        <f t="shared" si="12"/>
        <v>5</v>
      </c>
      <c r="M158" s="51" t="str">
        <f t="shared" si="13"/>
        <v/>
      </c>
      <c r="N158" s="51" t="str">
        <f t="shared" si="14"/>
        <v/>
      </c>
      <c r="O158" s="52">
        <f t="shared" si="15"/>
        <v>5</v>
      </c>
      <c r="P158" s="52" t="str">
        <f t="shared" si="16"/>
        <v/>
      </c>
      <c r="Q158" s="43"/>
      <c r="R158" s="7" t="s">
        <v>183</v>
      </c>
      <c r="S158" s="12">
        <v>45041.0</v>
      </c>
      <c r="T158" s="54">
        <f>VLOOKUP(R158,'Run Reconcile'!$A$2:$L259,12,FALSE)</f>
        <v>5</v>
      </c>
      <c r="U158" s="55" t="str">
        <f t="shared" si="17"/>
        <v/>
      </c>
      <c r="V158" s="54"/>
      <c r="W158" s="54"/>
      <c r="X158" s="43"/>
      <c r="Y158" s="7" t="str">
        <f>IFERROR(__xludf.DUMMYFUNCTION("""COMPUTED_VALUE"""),"RUN-ABRM_2023-05-25_RFR-234")</f>
        <v>RUN-ABRM_2023-05-25_RFR-234</v>
      </c>
      <c r="Z158" s="12">
        <f>IFERROR(__xludf.DUMMYFUNCTION("""COMPUTED_VALUE"""),45071.0)</f>
        <v>45071</v>
      </c>
      <c r="AA158" s="50">
        <f t="array" ref="AA158">INDEX('RFR Data - preExcl'!AK$2:AK259,$AE158,1)</f>
        <v>4</v>
      </c>
      <c r="AB158" s="54">
        <f t="shared" si="18"/>
        <v>4</v>
      </c>
      <c r="AC158" s="54">
        <f t="array" ref="AC158">INDEX('RFR Data - preExcl'!AI$2:AI259,$AE158,1)</f>
        <v>0</v>
      </c>
      <c r="AD158" s="54">
        <f t="array" ref="AD158">INDEX('RFR Data - preExcl'!AF$2:AF259,$AE158,1)</f>
        <v>0</v>
      </c>
      <c r="AE158" s="56">
        <f>IFNA(MATCH(Y158,'RFR Data - preExcl'!A$2:A259,0),"")</f>
        <v>234</v>
      </c>
      <c r="AF158" s="43"/>
      <c r="AG158" s="58" t="s">
        <v>183</v>
      </c>
      <c r="AH158" s="46">
        <f>VLOOKUP(AG158,'Run Reconcile'!A$2:B259,2,FALSE)</f>
        <v>45041</v>
      </c>
      <c r="AI158" s="54">
        <f>COUNTIF('APS Tubes IMPORT'!$V$2:$V259, AG158)
</f>
        <v>5</v>
      </c>
      <c r="AJ158" s="54">
        <f>COUNTIFS('APS Tubes IMPORT'!V$2:V259, AG158, 'APS Tubes IMPORT'!H$2:H259, "Negative")
</f>
        <v>5</v>
      </c>
      <c r="AK158" s="54">
        <f>COUNTIFS('APS Tubes IMPORT'!V157:V259, AG158, 'APS Tubes IMPORT'!H157:H259, "Positive")
</f>
        <v>0</v>
      </c>
      <c r="AL158" s="54">
        <f>COUNTIFS('APS Tubes IMPORT'!V157:V259, AG158, 'APS Tubes IMPORT'!H157:H259, "Inconclusive")
</f>
        <v>0</v>
      </c>
      <c r="AM158" s="54">
        <f>COUNTIFS('APS Tubes IMPORT'!V157:V259, AG158, 'APS Tubes IMPORT'!H157:H259, "Null")
</f>
        <v>0</v>
      </c>
      <c r="AN158" s="43"/>
      <c r="AP158" s="54"/>
      <c r="AQ158" s="54"/>
      <c r="AR158" s="54"/>
      <c r="AS158" s="54"/>
      <c r="AU158" s="43"/>
    </row>
    <row r="159">
      <c r="A159" s="7" t="s">
        <v>184</v>
      </c>
      <c r="B159" s="46">
        <f>VLOOKUP(A159,'ALL Tube Results'!$B$2:$D259,2,FALSE)</f>
        <v>45042</v>
      </c>
      <c r="C159" s="47">
        <f>COUNTIF('ALL Tube Results'!B158:B259, A159)
</f>
        <v>5</v>
      </c>
      <c r="D159" s="48">
        <f>COUNTIFS('ALL Tube Results'!$B158:$B259, $A159, 'ALL Tube Results'!$F158:$F259, "Negative")
</f>
        <v>5</v>
      </c>
      <c r="E159" s="48">
        <f>COUNTIFS('ALL Tube Results'!$B158:$B259, $A159, 'ALL Tube Results'!$F158:$F259, "Positive")
</f>
        <v>0</v>
      </c>
      <c r="F159" s="48">
        <f>COUNTIFS('ALL Tube Results'!$B158:$B259, $A159, 'ALL Tube Results'!$F158:$F259, "Inconclusive")
</f>
        <v>0</v>
      </c>
      <c r="G159" s="49">
        <f t="shared" si="7"/>
        <v>5</v>
      </c>
      <c r="H159" s="49" t="str">
        <f t="shared" si="8"/>
        <v/>
      </c>
      <c r="I159" s="50" t="str">
        <f t="shared" si="9"/>
        <v/>
      </c>
      <c r="J159" s="51" t="str">
        <f t="shared" si="10"/>
        <v/>
      </c>
      <c r="K159" s="51" t="str">
        <f t="shared" si="11"/>
        <v/>
      </c>
      <c r="L159" s="51">
        <f t="shared" si="12"/>
        <v>5</v>
      </c>
      <c r="M159" s="51" t="str">
        <f t="shared" si="13"/>
        <v/>
      </c>
      <c r="N159" s="51" t="str">
        <f t="shared" si="14"/>
        <v/>
      </c>
      <c r="O159" s="52">
        <f t="shared" si="15"/>
        <v>5</v>
      </c>
      <c r="P159" s="52" t="str">
        <f t="shared" si="16"/>
        <v/>
      </c>
      <c r="Q159" s="43"/>
      <c r="R159" s="7" t="s">
        <v>184</v>
      </c>
      <c r="S159" s="12">
        <v>45042.0</v>
      </c>
      <c r="T159" s="54">
        <f>VLOOKUP(R159,'Run Reconcile'!$A$2:$L259,12,FALSE)</f>
        <v>5</v>
      </c>
      <c r="U159" s="55" t="str">
        <f t="shared" si="17"/>
        <v/>
      </c>
      <c r="V159" s="54"/>
      <c r="W159" s="54"/>
      <c r="X159" s="43"/>
      <c r="Y159" s="7" t="str">
        <f>IFERROR(__xludf.DUMMYFUNCTION("""COMPUTED_VALUE"""),"RUN-ABRM_2023-05-26_RFR-235")</f>
        <v>RUN-ABRM_2023-05-26_RFR-235</v>
      </c>
      <c r="Z159" s="12">
        <f>IFERROR(__xludf.DUMMYFUNCTION("""COMPUTED_VALUE"""),45072.0)</f>
        <v>45072</v>
      </c>
      <c r="AA159" s="50">
        <f t="array" ref="AA159">INDEX('RFR Data - preExcl'!AK$2:AK259,$AE159,1)</f>
        <v>4</v>
      </c>
      <c r="AB159" s="54">
        <f t="shared" si="18"/>
        <v>4</v>
      </c>
      <c r="AC159" s="54">
        <f t="array" ref="AC159">INDEX('RFR Data - preExcl'!AI$2:AI259,$AE159,1)</f>
        <v>0</v>
      </c>
      <c r="AD159" s="54">
        <f t="array" ref="AD159">INDEX('RFR Data - preExcl'!AF$2:AF259,$AE159,1)</f>
        <v>0</v>
      </c>
      <c r="AE159" s="56">
        <f>IFNA(MATCH(Y159,'RFR Data - preExcl'!A$2:A259,0),"")</f>
        <v>235</v>
      </c>
      <c r="AF159" s="43"/>
      <c r="AG159" s="58" t="s">
        <v>184</v>
      </c>
      <c r="AH159" s="46">
        <f>VLOOKUP(AG159,'Run Reconcile'!A$2:B259,2,FALSE)</f>
        <v>45042</v>
      </c>
      <c r="AI159" s="54">
        <f>COUNTIF('APS Tubes IMPORT'!$V$2:$V259, AG159)
</f>
        <v>5</v>
      </c>
      <c r="AJ159" s="54">
        <f>COUNTIFS('APS Tubes IMPORT'!V$2:V259, AG159, 'APS Tubes IMPORT'!H$2:H259, "Negative")
</f>
        <v>5</v>
      </c>
      <c r="AK159" s="54">
        <f>COUNTIFS('APS Tubes IMPORT'!V158:V259, AG159, 'APS Tubes IMPORT'!H158:H259, "Positive")
</f>
        <v>0</v>
      </c>
      <c r="AL159" s="54">
        <f>COUNTIFS('APS Tubes IMPORT'!V158:V259, AG159, 'APS Tubes IMPORT'!H158:H259, "Inconclusive")
</f>
        <v>0</v>
      </c>
      <c r="AM159" s="54">
        <f>COUNTIFS('APS Tubes IMPORT'!V158:V259, AG159, 'APS Tubes IMPORT'!H158:H259, "Null")
</f>
        <v>0</v>
      </c>
      <c r="AN159" s="43"/>
      <c r="AP159" s="54"/>
      <c r="AQ159" s="54"/>
      <c r="AR159" s="54"/>
      <c r="AS159" s="54"/>
      <c r="AU159" s="43"/>
    </row>
    <row r="160">
      <c r="A160" s="7" t="s">
        <v>185</v>
      </c>
      <c r="B160" s="46">
        <f>VLOOKUP(A160,'ALL Tube Results'!$B$2:$D259,2,FALSE)</f>
        <v>45043</v>
      </c>
      <c r="C160" s="47">
        <f>COUNTIF('ALL Tube Results'!B159:B259, A160)
</f>
        <v>6</v>
      </c>
      <c r="D160" s="48">
        <f>COUNTIFS('ALL Tube Results'!$B159:$B259, $A160, 'ALL Tube Results'!$F159:$F259, "Negative")
</f>
        <v>6</v>
      </c>
      <c r="E160" s="48">
        <f>COUNTIFS('ALL Tube Results'!$B159:$B259, $A160, 'ALL Tube Results'!$F159:$F259, "Positive")
</f>
        <v>0</v>
      </c>
      <c r="F160" s="48">
        <f>COUNTIFS('ALL Tube Results'!$B159:$B259, $A160, 'ALL Tube Results'!$F159:$F259, "Inconclusive")
</f>
        <v>0</v>
      </c>
      <c r="G160" s="49">
        <f t="shared" si="7"/>
        <v>6</v>
      </c>
      <c r="H160" s="49" t="str">
        <f t="shared" si="8"/>
        <v/>
      </c>
      <c r="I160" s="50" t="str">
        <f t="shared" si="9"/>
        <v/>
      </c>
      <c r="J160" s="51" t="str">
        <f t="shared" si="10"/>
        <v/>
      </c>
      <c r="K160" s="51" t="str">
        <f t="shared" si="11"/>
        <v/>
      </c>
      <c r="L160" s="51">
        <f t="shared" si="12"/>
        <v>6</v>
      </c>
      <c r="M160" s="51" t="str">
        <f t="shared" si="13"/>
        <v/>
      </c>
      <c r="N160" s="51" t="str">
        <f t="shared" si="14"/>
        <v/>
      </c>
      <c r="O160" s="52">
        <f t="shared" si="15"/>
        <v>6</v>
      </c>
      <c r="P160" s="52" t="str">
        <f t="shared" si="16"/>
        <v/>
      </c>
      <c r="Q160" s="43"/>
      <c r="R160" s="7" t="s">
        <v>185</v>
      </c>
      <c r="S160" s="12">
        <v>45043.0</v>
      </c>
      <c r="T160" s="54">
        <f>VLOOKUP(R160,'Run Reconcile'!$A$2:$L259,12,FALSE)</f>
        <v>6</v>
      </c>
      <c r="U160" s="55" t="str">
        <f t="shared" si="17"/>
        <v/>
      </c>
      <c r="V160" s="54"/>
      <c r="W160" s="54"/>
      <c r="X160" s="43"/>
      <c r="Y160" s="7" t="str">
        <f>IFERROR(__xludf.DUMMYFUNCTION("""COMPUTED_VALUE"""),"RUN-ABRM_2023-05-29_RFR-236")</f>
        <v>RUN-ABRM_2023-05-29_RFR-236</v>
      </c>
      <c r="Z160" s="12">
        <f>IFERROR(__xludf.DUMMYFUNCTION("""COMPUTED_VALUE"""),45075.0)</f>
        <v>45075</v>
      </c>
      <c r="AA160" s="50">
        <f t="array" ref="AA160">INDEX('RFR Data - preExcl'!AK$2:AK259,$AE160,1)</f>
        <v>5</v>
      </c>
      <c r="AB160" s="54">
        <f t="shared" si="18"/>
        <v>5</v>
      </c>
      <c r="AC160" s="54">
        <f t="array" ref="AC160">INDEX('RFR Data - preExcl'!AI$2:AI259,$AE160,1)</f>
        <v>0</v>
      </c>
      <c r="AD160" s="54">
        <f t="array" ref="AD160">INDEX('RFR Data - preExcl'!AF$2:AF259,$AE160,1)</f>
        <v>0</v>
      </c>
      <c r="AE160" s="56">
        <f>IFNA(MATCH(Y160,'RFR Data - preExcl'!A$2:A259,0),"")</f>
        <v>236</v>
      </c>
      <c r="AF160" s="43"/>
      <c r="AG160" s="58" t="s">
        <v>185</v>
      </c>
      <c r="AH160" s="46">
        <f>VLOOKUP(AG160,'Run Reconcile'!A$2:B259,2,FALSE)</f>
        <v>45043</v>
      </c>
      <c r="AI160" s="54">
        <f>COUNTIF('APS Tubes IMPORT'!$V$2:$V259, AG160)
</f>
        <v>6</v>
      </c>
      <c r="AJ160" s="54">
        <f>COUNTIFS('APS Tubes IMPORT'!V$2:V259, AG160, 'APS Tubes IMPORT'!H$2:H259, "Negative")
</f>
        <v>6</v>
      </c>
      <c r="AK160" s="54">
        <f>COUNTIFS('APS Tubes IMPORT'!V159:V259, AG160, 'APS Tubes IMPORT'!H159:H259, "Positive")
</f>
        <v>0</v>
      </c>
      <c r="AL160" s="54">
        <f>COUNTIFS('APS Tubes IMPORT'!V159:V259, AG160, 'APS Tubes IMPORT'!H159:H259, "Inconclusive")
</f>
        <v>0</v>
      </c>
      <c r="AM160" s="54">
        <f>COUNTIFS('APS Tubes IMPORT'!V159:V259, AG160, 'APS Tubes IMPORT'!H159:H259, "Null")
</f>
        <v>0</v>
      </c>
      <c r="AN160" s="43"/>
      <c r="AP160" s="54"/>
      <c r="AQ160" s="54"/>
      <c r="AR160" s="54"/>
      <c r="AS160" s="54"/>
      <c r="AU160" s="43"/>
    </row>
    <row r="161">
      <c r="A161" s="7" t="s">
        <v>186</v>
      </c>
      <c r="B161" s="46">
        <f>VLOOKUP(A161,'ALL Tube Results'!$B$2:$D259,2,FALSE)</f>
        <v>45044</v>
      </c>
      <c r="C161" s="47">
        <f>COUNTIF('ALL Tube Results'!B160:B259, A161)
</f>
        <v>7</v>
      </c>
      <c r="D161" s="48">
        <f>COUNTIFS('ALL Tube Results'!$B160:$B259, $A161, 'ALL Tube Results'!$F160:$F259, "Negative")
</f>
        <v>7</v>
      </c>
      <c r="E161" s="48">
        <f>COUNTIFS('ALL Tube Results'!$B160:$B259, $A161, 'ALL Tube Results'!$F160:$F259, "Positive")
</f>
        <v>0</v>
      </c>
      <c r="F161" s="48">
        <f>COUNTIFS('ALL Tube Results'!$B160:$B259, $A161, 'ALL Tube Results'!$F160:$F259, "Inconclusive")
</f>
        <v>0</v>
      </c>
      <c r="G161" s="49">
        <f t="shared" si="7"/>
        <v>7</v>
      </c>
      <c r="H161" s="49" t="str">
        <f t="shared" si="8"/>
        <v/>
      </c>
      <c r="I161" s="50">
        <f t="shared" si="9"/>
        <v>7</v>
      </c>
      <c r="J161" s="51">
        <f t="shared" si="10"/>
        <v>0</v>
      </c>
      <c r="K161" s="51">
        <f t="shared" si="11"/>
        <v>0</v>
      </c>
      <c r="L161" s="51" t="str">
        <f t="shared" si="12"/>
        <v/>
      </c>
      <c r="M161" s="51" t="str">
        <f t="shared" si="13"/>
        <v/>
      </c>
      <c r="N161" s="51" t="str">
        <f t="shared" si="14"/>
        <v/>
      </c>
      <c r="O161" s="52">
        <f t="shared" si="15"/>
        <v>5</v>
      </c>
      <c r="P161" s="52">
        <f t="shared" si="16"/>
        <v>2</v>
      </c>
      <c r="Q161" s="43"/>
      <c r="R161" s="7" t="s">
        <v>186</v>
      </c>
      <c r="S161" s="12">
        <v>45044.0</v>
      </c>
      <c r="T161" s="54">
        <f>VLOOKUP(R161,'Run Reconcile'!$A$2:$L259,12,FALSE)</f>
        <v>7</v>
      </c>
      <c r="U161" s="55" t="str">
        <f t="shared" si="17"/>
        <v/>
      </c>
      <c r="V161" s="54"/>
      <c r="W161" s="54"/>
      <c r="X161" s="43"/>
      <c r="Y161" s="7" t="str">
        <f>IFERROR(__xludf.DUMMYFUNCTION("""COMPUTED_VALUE"""),"RUN-ABRM_2023-05-30_RFR-237")</f>
        <v>RUN-ABRM_2023-05-30_RFR-237</v>
      </c>
      <c r="Z161" s="12">
        <f>IFERROR(__xludf.DUMMYFUNCTION("""COMPUTED_VALUE"""),45076.0)</f>
        <v>45076</v>
      </c>
      <c r="AA161" s="50">
        <f t="array" ref="AA161">INDEX('RFR Data - preExcl'!AK$2:AK259,$AE161,1)</f>
        <v>5</v>
      </c>
      <c r="AB161" s="54">
        <f t="shared" si="18"/>
        <v>5</v>
      </c>
      <c r="AC161" s="54">
        <f t="array" ref="AC161">INDEX('RFR Data - preExcl'!AI$2:AI259,$AE161,1)</f>
        <v>0</v>
      </c>
      <c r="AD161" s="54">
        <f t="array" ref="AD161">INDEX('RFR Data - preExcl'!AF$2:AF259,$AE161,1)</f>
        <v>0</v>
      </c>
      <c r="AE161" s="56">
        <f>IFNA(MATCH(Y161,'RFR Data - preExcl'!A$2:A259,0),"")</f>
        <v>237</v>
      </c>
      <c r="AF161" s="43"/>
      <c r="AG161" s="58" t="s">
        <v>186</v>
      </c>
      <c r="AH161" s="46">
        <f>VLOOKUP(AG161,'Run Reconcile'!A$2:B259,2,FALSE)</f>
        <v>45044</v>
      </c>
      <c r="AI161" s="54">
        <f>COUNTIF('APS Tubes IMPORT'!$V$2:$V259, AG161)
</f>
        <v>5</v>
      </c>
      <c r="AJ161" s="54">
        <f>COUNTIFS('APS Tubes IMPORT'!V$2:V259, AG161, 'APS Tubes IMPORT'!H$2:H259, "Negative")
</f>
        <v>5</v>
      </c>
      <c r="AK161" s="54">
        <f>COUNTIFS('APS Tubes IMPORT'!V160:V259, AG161, 'APS Tubes IMPORT'!H160:H259, "Positive")
</f>
        <v>0</v>
      </c>
      <c r="AL161" s="54">
        <f>COUNTIFS('APS Tubes IMPORT'!V160:V259, AG161, 'APS Tubes IMPORT'!H160:H259, "Inconclusive")
</f>
        <v>0</v>
      </c>
      <c r="AM161" s="54">
        <f>COUNTIFS('APS Tubes IMPORT'!V160:V259, AG161, 'APS Tubes IMPORT'!H160:H259, "Null")
</f>
        <v>0</v>
      </c>
      <c r="AN161" s="43"/>
      <c r="AP161" s="54"/>
      <c r="AQ161" s="54"/>
      <c r="AR161" s="54"/>
      <c r="AS161" s="54"/>
      <c r="AU161" s="43"/>
    </row>
    <row r="162">
      <c r="A162" s="7" t="s">
        <v>187</v>
      </c>
      <c r="B162" s="46">
        <f>VLOOKUP(A162,'ALL Tube Results'!$B$2:$D259,2,FALSE)</f>
        <v>45048</v>
      </c>
      <c r="C162" s="47">
        <f>COUNTIF('ALL Tube Results'!B161:B259, A162)
</f>
        <v>7</v>
      </c>
      <c r="D162" s="48">
        <f>COUNTIFS('ALL Tube Results'!$B161:$B259, $A162, 'ALL Tube Results'!$F161:$F259, "Negative")
</f>
        <v>7</v>
      </c>
      <c r="E162" s="48">
        <f>COUNTIFS('ALL Tube Results'!$B161:$B259, $A162, 'ALL Tube Results'!$F161:$F259, "Positive")
</f>
        <v>0</v>
      </c>
      <c r="F162" s="48">
        <f>COUNTIFS('ALL Tube Results'!$B161:$B259, $A162, 'ALL Tube Results'!$F161:$F259, "Inconclusive")
</f>
        <v>0</v>
      </c>
      <c r="G162" s="49">
        <f t="shared" si="7"/>
        <v>7</v>
      </c>
      <c r="H162" s="49" t="str">
        <f t="shared" si="8"/>
        <v/>
      </c>
      <c r="I162" s="50" t="str">
        <f t="shared" si="9"/>
        <v/>
      </c>
      <c r="J162" s="51" t="str">
        <f t="shared" si="10"/>
        <v/>
      </c>
      <c r="K162" s="51" t="str">
        <f t="shared" si="11"/>
        <v/>
      </c>
      <c r="L162" s="51">
        <f t="shared" si="12"/>
        <v>7</v>
      </c>
      <c r="M162" s="51" t="str">
        <f t="shared" si="13"/>
        <v/>
      </c>
      <c r="N162" s="51" t="str">
        <f t="shared" si="14"/>
        <v/>
      </c>
      <c r="O162" s="52">
        <f t="shared" si="15"/>
        <v>7</v>
      </c>
      <c r="P162" s="52" t="str">
        <f t="shared" si="16"/>
        <v/>
      </c>
      <c r="Q162" s="43"/>
      <c r="R162" s="7" t="s">
        <v>187</v>
      </c>
      <c r="S162" s="12">
        <v>45048.0</v>
      </c>
      <c r="T162" s="54">
        <f>VLOOKUP(R162,'Run Reconcile'!$A$2:$L259,12,FALSE)</f>
        <v>7</v>
      </c>
      <c r="U162" s="55" t="str">
        <f t="shared" si="17"/>
        <v/>
      </c>
      <c r="V162" s="54"/>
      <c r="W162" s="54"/>
      <c r="X162" s="43"/>
      <c r="Y162" s="7" t="str">
        <f>IFERROR(__xludf.DUMMYFUNCTION("""COMPUTED_VALUE"""),"RUN-ABRM_2023-05-31_RFR-239")</f>
        <v>RUN-ABRM_2023-05-31_RFR-239</v>
      </c>
      <c r="Z162" s="12">
        <f>IFERROR(__xludf.DUMMYFUNCTION("""COMPUTED_VALUE"""),45077.0)</f>
        <v>45077</v>
      </c>
      <c r="AA162" s="50">
        <f t="array" ref="AA162">INDEX('RFR Data - preExcl'!AK$2:AK259,$AE162,1)</f>
        <v>6</v>
      </c>
      <c r="AB162" s="54">
        <f t="shared" si="18"/>
        <v>6</v>
      </c>
      <c r="AC162" s="54">
        <f t="array" ref="AC162">INDEX('RFR Data - preExcl'!AI$2:AI259,$AE162,1)</f>
        <v>0</v>
      </c>
      <c r="AD162" s="54">
        <f t="array" ref="AD162">INDEX('RFR Data - preExcl'!AF$2:AF259,$AE162,1)</f>
        <v>0</v>
      </c>
      <c r="AE162" s="56">
        <f>IFNA(MATCH(Y162,'RFR Data - preExcl'!A$2:A259,0),"")</f>
        <v>239</v>
      </c>
      <c r="AF162" s="43"/>
      <c r="AG162" s="58" t="s">
        <v>187</v>
      </c>
      <c r="AH162" s="46">
        <f>VLOOKUP(AG162,'Run Reconcile'!A$2:B259,2,FALSE)</f>
        <v>45048</v>
      </c>
      <c r="AI162" s="54">
        <f>COUNTIF('APS Tubes IMPORT'!$V$2:$V259, AG162)
</f>
        <v>7</v>
      </c>
      <c r="AJ162" s="54">
        <f>COUNTIFS('APS Tubes IMPORT'!V$2:V259, AG162, 'APS Tubes IMPORT'!H$2:H259, "Negative")
</f>
        <v>7</v>
      </c>
      <c r="AK162" s="54">
        <f>COUNTIFS('APS Tubes IMPORT'!V161:V259, AG162, 'APS Tubes IMPORT'!H161:H259, "Positive")
</f>
        <v>0</v>
      </c>
      <c r="AL162" s="54">
        <f>COUNTIFS('APS Tubes IMPORT'!V161:V259, AG162, 'APS Tubes IMPORT'!H161:H259, "Inconclusive")
</f>
        <v>0</v>
      </c>
      <c r="AM162" s="54">
        <f>COUNTIFS('APS Tubes IMPORT'!V161:V259, AG162, 'APS Tubes IMPORT'!H161:H259, "Null")
</f>
        <v>0</v>
      </c>
      <c r="AN162" s="43"/>
      <c r="AP162" s="54"/>
      <c r="AQ162" s="54"/>
      <c r="AR162" s="54"/>
      <c r="AS162" s="54"/>
      <c r="AU162" s="43"/>
    </row>
    <row r="163">
      <c r="A163" s="7" t="s">
        <v>188</v>
      </c>
      <c r="B163" s="46">
        <f>VLOOKUP(A163,'ALL Tube Results'!$B$2:$D259,2,FALSE)</f>
        <v>45049</v>
      </c>
      <c r="C163" s="47">
        <f>COUNTIF('ALL Tube Results'!B162:B259, A163)
</f>
        <v>5</v>
      </c>
      <c r="D163" s="48">
        <f>COUNTIFS('ALL Tube Results'!$B162:$B259, $A163, 'ALL Tube Results'!$F162:$F259, "Negative")
</f>
        <v>5</v>
      </c>
      <c r="E163" s="48">
        <f>COUNTIFS('ALL Tube Results'!$B162:$B259, $A163, 'ALL Tube Results'!$F162:$F259, "Positive")
</f>
        <v>0</v>
      </c>
      <c r="F163" s="48">
        <f>COUNTIFS('ALL Tube Results'!$B162:$B259, $A163, 'ALL Tube Results'!$F162:$F259, "Inconclusive")
</f>
        <v>0</v>
      </c>
      <c r="G163" s="49">
        <f t="shared" si="7"/>
        <v>5</v>
      </c>
      <c r="H163" s="49" t="str">
        <f t="shared" si="8"/>
        <v/>
      </c>
      <c r="I163" s="50" t="str">
        <f t="shared" si="9"/>
        <v/>
      </c>
      <c r="J163" s="51" t="str">
        <f t="shared" si="10"/>
        <v/>
      </c>
      <c r="K163" s="51" t="str">
        <f t="shared" si="11"/>
        <v/>
      </c>
      <c r="L163" s="51">
        <f t="shared" si="12"/>
        <v>5</v>
      </c>
      <c r="M163" s="51" t="str">
        <f t="shared" si="13"/>
        <v/>
      </c>
      <c r="N163" s="51" t="str">
        <f t="shared" si="14"/>
        <v/>
      </c>
      <c r="O163" s="52">
        <f t="shared" si="15"/>
        <v>5</v>
      </c>
      <c r="P163" s="52" t="str">
        <f t="shared" si="16"/>
        <v/>
      </c>
      <c r="Q163" s="43"/>
      <c r="R163" s="7" t="s">
        <v>188</v>
      </c>
      <c r="S163" s="12">
        <v>45049.0</v>
      </c>
      <c r="T163" s="54">
        <f>VLOOKUP(R163,'Run Reconcile'!$A$2:$L259,12,FALSE)</f>
        <v>5</v>
      </c>
      <c r="U163" s="55" t="str">
        <f t="shared" si="17"/>
        <v/>
      </c>
      <c r="V163" s="54"/>
      <c r="W163" s="54"/>
      <c r="X163" s="43"/>
      <c r="Y163" s="7" t="str">
        <f>IFERROR(__xludf.DUMMYFUNCTION("""COMPUTED_VALUE"""),"RUN-ABRM_2023-06-01_RFR-240")</f>
        <v>RUN-ABRM_2023-06-01_RFR-240</v>
      </c>
      <c r="Z163" s="12">
        <f>IFERROR(__xludf.DUMMYFUNCTION("""COMPUTED_VALUE"""),45078.0)</f>
        <v>45078</v>
      </c>
      <c r="AA163" s="50">
        <f t="array" ref="AA163">INDEX('RFR Data - preExcl'!AK$2:AK259,$AE163,1)</f>
        <v>5</v>
      </c>
      <c r="AB163" s="54">
        <f t="shared" si="18"/>
        <v>5</v>
      </c>
      <c r="AC163" s="54">
        <f t="array" ref="AC163">INDEX('RFR Data - preExcl'!AI$2:AI259,$AE163,1)</f>
        <v>0</v>
      </c>
      <c r="AD163" s="54">
        <f t="array" ref="AD163">INDEX('RFR Data - preExcl'!AF$2:AF259,$AE163,1)</f>
        <v>0</v>
      </c>
      <c r="AE163" s="56">
        <f>IFNA(MATCH(Y163,'RFR Data - preExcl'!A$2:A259,0),"")</f>
        <v>240</v>
      </c>
      <c r="AF163" s="43"/>
      <c r="AG163" s="58" t="s">
        <v>188</v>
      </c>
      <c r="AH163" s="46">
        <f>VLOOKUP(AG163,'Run Reconcile'!A$2:B259,2,FALSE)</f>
        <v>45049</v>
      </c>
      <c r="AI163" s="54">
        <f>COUNTIF('APS Tubes IMPORT'!$V$2:$V259, AG163)
</f>
        <v>5</v>
      </c>
      <c r="AJ163" s="54">
        <f>COUNTIFS('APS Tubes IMPORT'!V$2:V259, AG163, 'APS Tubes IMPORT'!H$2:H259, "Negative")
</f>
        <v>5</v>
      </c>
      <c r="AK163" s="54">
        <f>COUNTIFS('APS Tubes IMPORT'!V162:V259, AG163, 'APS Tubes IMPORT'!H162:H259, "Positive")
</f>
        <v>0</v>
      </c>
      <c r="AL163" s="54">
        <f>COUNTIFS('APS Tubes IMPORT'!V162:V259, AG163, 'APS Tubes IMPORT'!H162:H259, "Inconclusive")
</f>
        <v>0</v>
      </c>
      <c r="AM163" s="54">
        <f>COUNTIFS('APS Tubes IMPORT'!V162:V259, AG163, 'APS Tubes IMPORT'!H162:H259, "Null")
</f>
        <v>0</v>
      </c>
      <c r="AN163" s="43"/>
      <c r="AP163" s="54"/>
      <c r="AQ163" s="54"/>
      <c r="AR163" s="54"/>
      <c r="AS163" s="54"/>
      <c r="AU163" s="43"/>
    </row>
    <row r="164">
      <c r="A164" s="7" t="s">
        <v>189</v>
      </c>
      <c r="B164" s="46">
        <f>VLOOKUP(A164,'ALL Tube Results'!$B$2:$D259,2,FALSE)</f>
        <v>45050</v>
      </c>
      <c r="C164" s="47">
        <f>COUNTIF('ALL Tube Results'!B163:B259, A164)
</f>
        <v>5</v>
      </c>
      <c r="D164" s="48">
        <f>COUNTIFS('ALL Tube Results'!$B163:$B259, $A164, 'ALL Tube Results'!$F163:$F259, "Negative")
</f>
        <v>5</v>
      </c>
      <c r="E164" s="48">
        <f>COUNTIFS('ALL Tube Results'!$B163:$B259, $A164, 'ALL Tube Results'!$F163:$F259, "Positive")
</f>
        <v>0</v>
      </c>
      <c r="F164" s="48">
        <f>COUNTIFS('ALL Tube Results'!$B163:$B259, $A164, 'ALL Tube Results'!$F163:$F259, "Inconclusive")
</f>
        <v>0</v>
      </c>
      <c r="G164" s="49">
        <f t="shared" si="7"/>
        <v>5</v>
      </c>
      <c r="H164" s="49" t="str">
        <f t="shared" si="8"/>
        <v/>
      </c>
      <c r="I164" s="50" t="str">
        <f t="shared" si="9"/>
        <v/>
      </c>
      <c r="J164" s="51" t="str">
        <f t="shared" si="10"/>
        <v/>
      </c>
      <c r="K164" s="51" t="str">
        <f t="shared" si="11"/>
        <v/>
      </c>
      <c r="L164" s="51">
        <f t="shared" si="12"/>
        <v>5</v>
      </c>
      <c r="M164" s="51" t="str">
        <f t="shared" si="13"/>
        <v/>
      </c>
      <c r="N164" s="51" t="str">
        <f t="shared" si="14"/>
        <v/>
      </c>
      <c r="O164" s="52">
        <f t="shared" si="15"/>
        <v>5</v>
      </c>
      <c r="P164" s="52" t="str">
        <f t="shared" si="16"/>
        <v/>
      </c>
      <c r="Q164" s="43"/>
      <c r="R164" s="7" t="s">
        <v>189</v>
      </c>
      <c r="S164" s="12">
        <v>45050.0</v>
      </c>
      <c r="T164" s="54">
        <f>VLOOKUP(R164,'Run Reconcile'!$A$2:$L259,12,FALSE)</f>
        <v>5</v>
      </c>
      <c r="U164" s="55" t="str">
        <f t="shared" si="17"/>
        <v/>
      </c>
      <c r="V164" s="54"/>
      <c r="W164" s="54"/>
      <c r="X164" s="43"/>
      <c r="Z164" s="12"/>
      <c r="AA164" s="54"/>
      <c r="AB164" s="54"/>
      <c r="AC164" s="54"/>
      <c r="AD164" s="54"/>
      <c r="AE164" s="56"/>
      <c r="AF164" s="43"/>
      <c r="AG164" s="58" t="s">
        <v>189</v>
      </c>
      <c r="AH164" s="46">
        <f>VLOOKUP(AG164,'Run Reconcile'!A$2:B259,2,FALSE)</f>
        <v>45050</v>
      </c>
      <c r="AI164" s="54">
        <f>COUNTIF('APS Tubes IMPORT'!$V$2:$V259, AG164)
</f>
        <v>5</v>
      </c>
      <c r="AJ164" s="54">
        <f>COUNTIFS('APS Tubes IMPORT'!V$2:V259, AG164, 'APS Tubes IMPORT'!H$2:H259, "Negative")
</f>
        <v>5</v>
      </c>
      <c r="AK164" s="54">
        <f>COUNTIFS('APS Tubes IMPORT'!V163:V259, AG164, 'APS Tubes IMPORT'!H163:H259, "Positive")
</f>
        <v>0</v>
      </c>
      <c r="AL164" s="54">
        <f>COUNTIFS('APS Tubes IMPORT'!V163:V259, AG164, 'APS Tubes IMPORT'!H163:H259, "Inconclusive")
</f>
        <v>0</v>
      </c>
      <c r="AM164" s="54">
        <f>COUNTIFS('APS Tubes IMPORT'!V163:V259, AG164, 'APS Tubes IMPORT'!H163:H259, "Null")
</f>
        <v>0</v>
      </c>
      <c r="AN164" s="43"/>
      <c r="AP164" s="54"/>
      <c r="AQ164" s="54"/>
      <c r="AR164" s="54"/>
      <c r="AS164" s="54"/>
      <c r="AU164" s="43"/>
    </row>
    <row r="165">
      <c r="A165" s="7" t="s">
        <v>190</v>
      </c>
      <c r="B165" s="46">
        <f>VLOOKUP(A165,'ALL Tube Results'!$B$2:$D259,2,FALSE)</f>
        <v>45051</v>
      </c>
      <c r="C165" s="47">
        <f>COUNTIF('ALL Tube Results'!B164:B259, A165)
</f>
        <v>5</v>
      </c>
      <c r="D165" s="48">
        <f>COUNTIFS('ALL Tube Results'!$B164:$B259, $A165, 'ALL Tube Results'!$F164:$F259, "Negative")
</f>
        <v>5</v>
      </c>
      <c r="E165" s="48">
        <f>COUNTIFS('ALL Tube Results'!$B164:$B259, $A165, 'ALL Tube Results'!$F164:$F259, "Positive")
</f>
        <v>0</v>
      </c>
      <c r="F165" s="48">
        <f>COUNTIFS('ALL Tube Results'!$B164:$B259, $A165, 'ALL Tube Results'!$F164:$F259, "Inconclusive")
</f>
        <v>0</v>
      </c>
      <c r="G165" s="49">
        <f t="shared" si="7"/>
        <v>5</v>
      </c>
      <c r="H165" s="49" t="str">
        <f t="shared" si="8"/>
        <v/>
      </c>
      <c r="I165" s="50" t="str">
        <f t="shared" si="9"/>
        <v/>
      </c>
      <c r="J165" s="51" t="str">
        <f t="shared" si="10"/>
        <v/>
      </c>
      <c r="K165" s="51" t="str">
        <f t="shared" si="11"/>
        <v/>
      </c>
      <c r="L165" s="51">
        <f t="shared" si="12"/>
        <v>5</v>
      </c>
      <c r="M165" s="51" t="str">
        <f t="shared" si="13"/>
        <v/>
      </c>
      <c r="N165" s="51" t="str">
        <f t="shared" si="14"/>
        <v/>
      </c>
      <c r="O165" s="52">
        <f t="shared" si="15"/>
        <v>5</v>
      </c>
      <c r="P165" s="52" t="str">
        <f t="shared" si="16"/>
        <v/>
      </c>
      <c r="Q165" s="43"/>
      <c r="R165" s="7" t="s">
        <v>190</v>
      </c>
      <c r="S165" s="12">
        <v>45051.0</v>
      </c>
      <c r="T165" s="54">
        <f>VLOOKUP(R165,'Run Reconcile'!$A$2:$L259,12,FALSE)</f>
        <v>5</v>
      </c>
      <c r="U165" s="55" t="str">
        <f t="shared" si="17"/>
        <v/>
      </c>
      <c r="V165" s="54"/>
      <c r="W165" s="54"/>
      <c r="X165" s="43"/>
      <c r="Z165" s="12"/>
      <c r="AA165" s="54"/>
      <c r="AB165" s="54"/>
      <c r="AC165" s="54"/>
      <c r="AD165" s="54"/>
      <c r="AE165" s="56"/>
      <c r="AF165" s="43"/>
      <c r="AG165" s="58" t="s">
        <v>190</v>
      </c>
      <c r="AH165" s="46">
        <f>VLOOKUP(AG165,'Run Reconcile'!A$2:B259,2,FALSE)</f>
        <v>45051</v>
      </c>
      <c r="AI165" s="54">
        <f>COUNTIF('APS Tubes IMPORT'!$V$2:$V259, AG165)
</f>
        <v>5</v>
      </c>
      <c r="AJ165" s="54">
        <f>COUNTIFS('APS Tubes IMPORT'!V$2:V259, AG165, 'APS Tubes IMPORT'!H$2:H259, "Negative")
</f>
        <v>5</v>
      </c>
      <c r="AK165" s="54">
        <f>COUNTIFS('APS Tubes IMPORT'!V164:V259, AG165, 'APS Tubes IMPORT'!H164:H259, "Positive")
</f>
        <v>0</v>
      </c>
      <c r="AL165" s="54">
        <f>COUNTIFS('APS Tubes IMPORT'!V164:V259, AG165, 'APS Tubes IMPORT'!H164:H259, "Inconclusive")
</f>
        <v>0</v>
      </c>
      <c r="AM165" s="54">
        <f>COUNTIFS('APS Tubes IMPORT'!V164:V259, AG165, 'APS Tubes IMPORT'!H164:H259, "Null")
</f>
        <v>0</v>
      </c>
      <c r="AN165" s="43"/>
      <c r="AP165" s="54"/>
      <c r="AQ165" s="54"/>
      <c r="AR165" s="54"/>
      <c r="AS165" s="54"/>
      <c r="AU165" s="43"/>
    </row>
    <row r="166">
      <c r="A166" s="7" t="s">
        <v>191</v>
      </c>
      <c r="B166" s="46">
        <f>VLOOKUP(A166,'ALL Tube Results'!$B$2:$D259,2,FALSE)</f>
        <v>45054</v>
      </c>
      <c r="C166" s="47">
        <f>COUNTIF('ALL Tube Results'!B165:B259, A166)
</f>
        <v>7</v>
      </c>
      <c r="D166" s="48">
        <f>COUNTIFS('ALL Tube Results'!$B165:$B259, $A166, 'ALL Tube Results'!$F165:$F259, "Negative")
</f>
        <v>7</v>
      </c>
      <c r="E166" s="48">
        <f>COUNTIFS('ALL Tube Results'!$B165:$B259, $A166, 'ALL Tube Results'!$F165:$F259, "Positive")
</f>
        <v>0</v>
      </c>
      <c r="F166" s="48">
        <f>COUNTIFS('ALL Tube Results'!$B165:$B259, $A166, 'ALL Tube Results'!$F165:$F259, "Inconclusive")
</f>
        <v>0</v>
      </c>
      <c r="G166" s="49">
        <f t="shared" si="7"/>
        <v>7</v>
      </c>
      <c r="H166" s="49" t="str">
        <f t="shared" si="8"/>
        <v/>
      </c>
      <c r="I166" s="50">
        <f t="shared" si="9"/>
        <v>7</v>
      </c>
      <c r="J166" s="51">
        <f t="shared" si="10"/>
        <v>0</v>
      </c>
      <c r="K166" s="51">
        <f t="shared" si="11"/>
        <v>0</v>
      </c>
      <c r="L166" s="51" t="str">
        <f t="shared" si="12"/>
        <v/>
      </c>
      <c r="M166" s="51" t="str">
        <f t="shared" si="13"/>
        <v/>
      </c>
      <c r="N166" s="51" t="str">
        <f t="shared" si="14"/>
        <v/>
      </c>
      <c r="O166" s="52">
        <f t="shared" si="15"/>
        <v>7</v>
      </c>
      <c r="P166" s="52" t="str">
        <f t="shared" si="16"/>
        <v/>
      </c>
      <c r="Q166" s="43"/>
      <c r="R166" s="7" t="s">
        <v>191</v>
      </c>
      <c r="S166" s="12">
        <v>45054.0</v>
      </c>
      <c r="T166" s="54">
        <f>VLOOKUP(R166,'Run Reconcile'!$A$2:$L259,12,FALSE)</f>
        <v>7</v>
      </c>
      <c r="U166" s="55" t="str">
        <f t="shared" si="17"/>
        <v/>
      </c>
      <c r="V166" s="54"/>
      <c r="W166" s="54"/>
      <c r="X166" s="43"/>
      <c r="Z166" s="12"/>
      <c r="AA166" s="54"/>
      <c r="AB166" s="54"/>
      <c r="AC166" s="54"/>
      <c r="AD166" s="54"/>
      <c r="AE166" s="56"/>
      <c r="AF166" s="43"/>
      <c r="AG166" s="58" t="s">
        <v>191</v>
      </c>
      <c r="AH166" s="46">
        <f>VLOOKUP(AG166,'Run Reconcile'!A$2:B259,2,FALSE)</f>
        <v>45054</v>
      </c>
      <c r="AI166" s="54">
        <f>COUNTIF('APS Tubes IMPORT'!$V$2:$V259, AG166)
</f>
        <v>7</v>
      </c>
      <c r="AJ166" s="54">
        <f>COUNTIFS('APS Tubes IMPORT'!V$2:V259, AG166, 'APS Tubes IMPORT'!H$2:H259, "Negative")
</f>
        <v>7</v>
      </c>
      <c r="AK166" s="54">
        <f>COUNTIFS('APS Tubes IMPORT'!V165:V259, AG166, 'APS Tubes IMPORT'!H165:H259, "Positive")
</f>
        <v>0</v>
      </c>
      <c r="AL166" s="54">
        <f>COUNTIFS('APS Tubes IMPORT'!V165:V259, AG166, 'APS Tubes IMPORT'!H165:H259, "Inconclusive")
</f>
        <v>0</v>
      </c>
      <c r="AM166" s="54">
        <f>COUNTIFS('APS Tubes IMPORT'!V165:V259, AG166, 'APS Tubes IMPORT'!H165:H259, "Null")
</f>
        <v>0</v>
      </c>
      <c r="AN166" s="43"/>
      <c r="AP166" s="54"/>
      <c r="AQ166" s="54"/>
      <c r="AR166" s="54"/>
      <c r="AS166" s="54"/>
      <c r="AU166" s="43"/>
    </row>
    <row r="167">
      <c r="A167" s="7" t="s">
        <v>192</v>
      </c>
      <c r="B167" s="46">
        <f>VLOOKUP(A167,'ALL Tube Results'!$B$2:$D259,2,FALSE)</f>
        <v>45055</v>
      </c>
      <c r="C167" s="47">
        <f>COUNTIF('ALL Tube Results'!B166:B259, A167)
</f>
        <v>8</v>
      </c>
      <c r="D167" s="48">
        <f>COUNTIFS('ALL Tube Results'!$B166:$B259, $A167, 'ALL Tube Results'!$F166:$F259, "Negative")
</f>
        <v>8</v>
      </c>
      <c r="E167" s="48">
        <f>COUNTIFS('ALL Tube Results'!$B166:$B259, $A167, 'ALL Tube Results'!$F166:$F259, "Positive")
</f>
        <v>0</v>
      </c>
      <c r="F167" s="48">
        <f>COUNTIFS('ALL Tube Results'!$B166:$B259, $A167, 'ALL Tube Results'!$F166:$F259, "Inconclusive")
</f>
        <v>0</v>
      </c>
      <c r="G167" s="49">
        <f t="shared" si="7"/>
        <v>8</v>
      </c>
      <c r="H167" s="49" t="str">
        <f t="shared" si="8"/>
        <v/>
      </c>
      <c r="I167" s="50" t="str">
        <f t="shared" si="9"/>
        <v/>
      </c>
      <c r="J167" s="51" t="str">
        <f t="shared" si="10"/>
        <v/>
      </c>
      <c r="K167" s="51" t="str">
        <f t="shared" si="11"/>
        <v/>
      </c>
      <c r="L167" s="51">
        <f t="shared" si="12"/>
        <v>8</v>
      </c>
      <c r="M167" s="51" t="str">
        <f t="shared" si="13"/>
        <v/>
      </c>
      <c r="N167" s="51" t="str">
        <f t="shared" si="14"/>
        <v/>
      </c>
      <c r="O167" s="52">
        <f t="shared" si="15"/>
        <v>8</v>
      </c>
      <c r="P167" s="52" t="str">
        <f t="shared" si="16"/>
        <v/>
      </c>
      <c r="Q167" s="43"/>
      <c r="R167" s="7" t="s">
        <v>192</v>
      </c>
      <c r="S167" s="12">
        <v>45055.0</v>
      </c>
      <c r="T167" s="54">
        <f>VLOOKUP(R167,'Run Reconcile'!$A$2:$L259,12,FALSE)</f>
        <v>8</v>
      </c>
      <c r="U167" s="55" t="str">
        <f t="shared" si="17"/>
        <v/>
      </c>
      <c r="V167" s="54"/>
      <c r="W167" s="54"/>
      <c r="X167" s="43"/>
      <c r="Z167" s="12"/>
      <c r="AA167" s="54"/>
      <c r="AB167" s="54"/>
      <c r="AC167" s="54"/>
      <c r="AD167" s="54"/>
      <c r="AE167" s="56"/>
      <c r="AF167" s="43"/>
      <c r="AG167" s="58" t="s">
        <v>192</v>
      </c>
      <c r="AH167" s="46">
        <f>VLOOKUP(AG167,'Run Reconcile'!A$2:B259,2,FALSE)</f>
        <v>45055</v>
      </c>
      <c r="AI167" s="54">
        <f>COUNTIF('APS Tubes IMPORT'!$V$2:$V259, AG167)
</f>
        <v>8</v>
      </c>
      <c r="AJ167" s="54">
        <f>COUNTIFS('APS Tubes IMPORT'!V$2:V259, AG167, 'APS Tubes IMPORT'!H$2:H259, "Negative")
</f>
        <v>8</v>
      </c>
      <c r="AK167" s="54">
        <f>COUNTIFS('APS Tubes IMPORT'!V166:V259, AG167, 'APS Tubes IMPORT'!H166:H259, "Positive")
</f>
        <v>0</v>
      </c>
      <c r="AL167" s="54">
        <f>COUNTIFS('APS Tubes IMPORT'!V166:V259, AG167, 'APS Tubes IMPORT'!H166:H259, "Inconclusive")
</f>
        <v>0</v>
      </c>
      <c r="AM167" s="54">
        <f>COUNTIFS('APS Tubes IMPORT'!V166:V259, AG167, 'APS Tubes IMPORT'!H166:H259, "Null")
</f>
        <v>0</v>
      </c>
      <c r="AN167" s="43"/>
      <c r="AP167" s="54"/>
      <c r="AQ167" s="54"/>
      <c r="AR167" s="54"/>
      <c r="AS167" s="54"/>
      <c r="AU167" s="43"/>
    </row>
    <row r="168">
      <c r="A168" s="7" t="s">
        <v>193</v>
      </c>
      <c r="B168" s="46">
        <f>VLOOKUP(A168,'ALL Tube Results'!$B$2:$D259,2,FALSE)</f>
        <v>45056</v>
      </c>
      <c r="C168" s="47">
        <f>COUNTIF('ALL Tube Results'!B167:B259, A168)
</f>
        <v>7</v>
      </c>
      <c r="D168" s="48">
        <f>COUNTIFS('ALL Tube Results'!$B167:$B259, $A168, 'ALL Tube Results'!$F167:$F259, "Negative")
</f>
        <v>7</v>
      </c>
      <c r="E168" s="48">
        <f>COUNTIFS('ALL Tube Results'!$B167:$B259, $A168, 'ALL Tube Results'!$F167:$F259, "Positive")
</f>
        <v>0</v>
      </c>
      <c r="F168" s="48">
        <f>COUNTIFS('ALL Tube Results'!$B167:$B259, $A168, 'ALL Tube Results'!$F167:$F259, "Inconclusive")
</f>
        <v>0</v>
      </c>
      <c r="G168" s="49">
        <f t="shared" si="7"/>
        <v>7</v>
      </c>
      <c r="H168" s="49" t="str">
        <f t="shared" si="8"/>
        <v/>
      </c>
      <c r="I168" s="50" t="str">
        <f t="shared" si="9"/>
        <v/>
      </c>
      <c r="J168" s="51" t="str">
        <f t="shared" si="10"/>
        <v/>
      </c>
      <c r="K168" s="51" t="str">
        <f t="shared" si="11"/>
        <v/>
      </c>
      <c r="L168" s="51">
        <f t="shared" si="12"/>
        <v>7</v>
      </c>
      <c r="M168" s="51" t="str">
        <f t="shared" si="13"/>
        <v/>
      </c>
      <c r="N168" s="51" t="str">
        <f t="shared" si="14"/>
        <v/>
      </c>
      <c r="O168" s="52">
        <f t="shared" si="15"/>
        <v>7</v>
      </c>
      <c r="P168" s="52" t="str">
        <f t="shared" si="16"/>
        <v/>
      </c>
      <c r="Q168" s="43"/>
      <c r="R168" s="7" t="s">
        <v>193</v>
      </c>
      <c r="S168" s="12">
        <v>45056.0</v>
      </c>
      <c r="T168" s="54">
        <f>VLOOKUP(R168,'Run Reconcile'!$A$2:$L259,12,FALSE)</f>
        <v>7</v>
      </c>
      <c r="U168" s="55" t="str">
        <f t="shared" si="17"/>
        <v/>
      </c>
      <c r="V168" s="54"/>
      <c r="W168" s="54"/>
      <c r="X168" s="43"/>
      <c r="Z168" s="12"/>
      <c r="AA168" s="54"/>
      <c r="AB168" s="54"/>
      <c r="AC168" s="54"/>
      <c r="AD168" s="54"/>
      <c r="AE168" s="56"/>
      <c r="AF168" s="43"/>
      <c r="AG168" s="58" t="s">
        <v>193</v>
      </c>
      <c r="AH168" s="46">
        <f>VLOOKUP(AG168,'Run Reconcile'!A$2:B259,2,FALSE)</f>
        <v>45056</v>
      </c>
      <c r="AI168" s="54">
        <f>COUNTIF('APS Tubes IMPORT'!$V$2:$V259, AG168)
</f>
        <v>7</v>
      </c>
      <c r="AJ168" s="54">
        <f>COUNTIFS('APS Tubes IMPORT'!V$2:V259, AG168, 'APS Tubes IMPORT'!H$2:H259, "Negative")
</f>
        <v>7</v>
      </c>
      <c r="AK168" s="54">
        <f>COUNTIFS('APS Tubes IMPORT'!V167:V259, AG168, 'APS Tubes IMPORT'!H167:H259, "Positive")
</f>
        <v>0</v>
      </c>
      <c r="AL168" s="54">
        <f>COUNTIFS('APS Tubes IMPORT'!V167:V259, AG168, 'APS Tubes IMPORT'!H167:H259, "Inconclusive")
</f>
        <v>0</v>
      </c>
      <c r="AM168" s="54">
        <f>COUNTIFS('APS Tubes IMPORT'!V167:V259, AG168, 'APS Tubes IMPORT'!H167:H259, "Null")
</f>
        <v>0</v>
      </c>
      <c r="AN168" s="43"/>
      <c r="AP168" s="54"/>
      <c r="AQ168" s="54"/>
      <c r="AR168" s="54"/>
      <c r="AS168" s="54"/>
      <c r="AU168" s="43"/>
    </row>
    <row r="169">
      <c r="A169" s="7" t="s">
        <v>194</v>
      </c>
      <c r="B169" s="46">
        <f>VLOOKUP(A169,'ALL Tube Results'!$B$2:$D259,2,FALSE)</f>
        <v>45057</v>
      </c>
      <c r="C169" s="47">
        <f>COUNTIF('ALL Tube Results'!B168:B259, A169)
</f>
        <v>6</v>
      </c>
      <c r="D169" s="48">
        <f>COUNTIFS('ALL Tube Results'!$B168:$B259, $A169, 'ALL Tube Results'!$F168:$F259, "Negative")
</f>
        <v>6</v>
      </c>
      <c r="E169" s="48">
        <f>COUNTIFS('ALL Tube Results'!$B168:$B259, $A169, 'ALL Tube Results'!$F168:$F259, "Positive")
</f>
        <v>0</v>
      </c>
      <c r="F169" s="48">
        <f>COUNTIFS('ALL Tube Results'!$B168:$B259, $A169, 'ALL Tube Results'!$F168:$F259, "Inconclusive")
</f>
        <v>0</v>
      </c>
      <c r="G169" s="49">
        <f t="shared" si="7"/>
        <v>6</v>
      </c>
      <c r="H169" s="49" t="str">
        <f t="shared" si="8"/>
        <v/>
      </c>
      <c r="I169" s="50">
        <f t="shared" si="9"/>
        <v>6</v>
      </c>
      <c r="J169" s="51">
        <f t="shared" si="10"/>
        <v>0</v>
      </c>
      <c r="K169" s="51">
        <f t="shared" si="11"/>
        <v>0</v>
      </c>
      <c r="L169" s="51" t="str">
        <f t="shared" si="12"/>
        <v/>
      </c>
      <c r="M169" s="51" t="str">
        <f t="shared" si="13"/>
        <v/>
      </c>
      <c r="N169" s="51" t="str">
        <f t="shared" si="14"/>
        <v/>
      </c>
      <c r="O169" s="52">
        <f t="shared" si="15"/>
        <v>6</v>
      </c>
      <c r="P169" s="52" t="str">
        <f t="shared" si="16"/>
        <v/>
      </c>
      <c r="Q169" s="43"/>
      <c r="R169" s="7" t="s">
        <v>194</v>
      </c>
      <c r="S169" s="12">
        <v>45057.0</v>
      </c>
      <c r="T169" s="54">
        <f>VLOOKUP(R169,'Run Reconcile'!$A$2:$L259,12,FALSE)</f>
        <v>6</v>
      </c>
      <c r="U169" s="55" t="str">
        <f t="shared" si="17"/>
        <v/>
      </c>
      <c r="V169" s="54"/>
      <c r="W169" s="54"/>
      <c r="X169" s="43"/>
      <c r="Z169" s="12"/>
      <c r="AA169" s="54"/>
      <c r="AB169" s="54"/>
      <c r="AC169" s="54"/>
      <c r="AD169" s="54"/>
      <c r="AE169" s="56"/>
      <c r="AF169" s="43"/>
      <c r="AG169" s="58" t="s">
        <v>194</v>
      </c>
      <c r="AH169" s="46">
        <f>VLOOKUP(AG169,'Run Reconcile'!A$2:B259,2,FALSE)</f>
        <v>45057</v>
      </c>
      <c r="AI169" s="54">
        <f>COUNTIF('APS Tubes IMPORT'!$V$2:$V259, AG169)
</f>
        <v>6</v>
      </c>
      <c r="AJ169" s="54">
        <f>COUNTIFS('APS Tubes IMPORT'!V$2:V259, AG169, 'APS Tubes IMPORT'!H$2:H259, "Negative")
</f>
        <v>6</v>
      </c>
      <c r="AK169" s="54">
        <f>COUNTIFS('APS Tubes IMPORT'!V168:V259, AG169, 'APS Tubes IMPORT'!H168:H259, "Positive")
</f>
        <v>0</v>
      </c>
      <c r="AL169" s="54">
        <f>COUNTIFS('APS Tubes IMPORT'!V168:V259, AG169, 'APS Tubes IMPORT'!H168:H259, "Inconclusive")
</f>
        <v>0</v>
      </c>
      <c r="AM169" s="54">
        <f>COUNTIFS('APS Tubes IMPORT'!V168:V259, AG169, 'APS Tubes IMPORT'!H168:H259, "Null")
</f>
        <v>0</v>
      </c>
      <c r="AN169" s="43"/>
      <c r="AP169" s="54"/>
      <c r="AQ169" s="54"/>
      <c r="AR169" s="54"/>
      <c r="AS169" s="54"/>
      <c r="AU169" s="43"/>
    </row>
    <row r="170">
      <c r="A170" s="7" t="s">
        <v>195</v>
      </c>
      <c r="B170" s="46">
        <f>VLOOKUP(A170,'ALL Tube Results'!$B$2:$D259,2,FALSE)</f>
        <v>45058</v>
      </c>
      <c r="C170" s="47">
        <f>COUNTIF('ALL Tube Results'!B169:B259, A170)
</f>
        <v>3</v>
      </c>
      <c r="D170" s="48">
        <f>COUNTIFS('ALL Tube Results'!$B169:$B259, $A170, 'ALL Tube Results'!$F169:$F259, "Negative")
</f>
        <v>3</v>
      </c>
      <c r="E170" s="48">
        <f>COUNTIFS('ALL Tube Results'!$B169:$B259, $A170, 'ALL Tube Results'!$F169:$F259, "Positive")
</f>
        <v>0</v>
      </c>
      <c r="F170" s="48">
        <f>COUNTIFS('ALL Tube Results'!$B169:$B259, $A170, 'ALL Tube Results'!$F169:$F259, "Inconclusive")
</f>
        <v>0</v>
      </c>
      <c r="G170" s="49">
        <f t="shared" si="7"/>
        <v>3</v>
      </c>
      <c r="H170" s="49" t="str">
        <f t="shared" si="8"/>
        <v/>
      </c>
      <c r="I170" s="50" t="str">
        <f t="shared" si="9"/>
        <v/>
      </c>
      <c r="J170" s="51" t="str">
        <f t="shared" si="10"/>
        <v/>
      </c>
      <c r="K170" s="51" t="str">
        <f t="shared" si="11"/>
        <v/>
      </c>
      <c r="L170" s="51">
        <f t="shared" si="12"/>
        <v>3</v>
      </c>
      <c r="M170" s="51" t="str">
        <f t="shared" si="13"/>
        <v/>
      </c>
      <c r="N170" s="51" t="str">
        <f t="shared" si="14"/>
        <v/>
      </c>
      <c r="O170" s="52">
        <f t="shared" si="15"/>
        <v>3</v>
      </c>
      <c r="P170" s="52" t="str">
        <f t="shared" si="16"/>
        <v/>
      </c>
      <c r="Q170" s="43"/>
      <c r="R170" s="7" t="s">
        <v>195</v>
      </c>
      <c r="S170" s="12">
        <v>45058.0</v>
      </c>
      <c r="T170" s="54">
        <f>VLOOKUP(R170,'Run Reconcile'!$A$2:$L259,12,FALSE)</f>
        <v>3</v>
      </c>
      <c r="U170" s="55" t="str">
        <f t="shared" si="17"/>
        <v/>
      </c>
      <c r="V170" s="54"/>
      <c r="W170" s="54"/>
      <c r="X170" s="43"/>
      <c r="Z170" s="12"/>
      <c r="AA170" s="54"/>
      <c r="AB170" s="54"/>
      <c r="AC170" s="54"/>
      <c r="AD170" s="54"/>
      <c r="AE170" s="56"/>
      <c r="AF170" s="43"/>
      <c r="AG170" s="58" t="s">
        <v>195</v>
      </c>
      <c r="AH170" s="46">
        <f>VLOOKUP(AG170,'Run Reconcile'!A$2:B259,2,FALSE)</f>
        <v>45058</v>
      </c>
      <c r="AI170" s="54">
        <f>COUNTIF('APS Tubes IMPORT'!$V$2:$V259, AG170)
</f>
        <v>3</v>
      </c>
      <c r="AJ170" s="54">
        <f>COUNTIFS('APS Tubes IMPORT'!V$2:V259, AG170, 'APS Tubes IMPORT'!H$2:H259, "Negative")
</f>
        <v>3</v>
      </c>
      <c r="AK170" s="54">
        <f>COUNTIFS('APS Tubes IMPORT'!V169:V259, AG170, 'APS Tubes IMPORT'!H169:H259, "Positive")
</f>
        <v>0</v>
      </c>
      <c r="AL170" s="54">
        <f>COUNTIFS('APS Tubes IMPORT'!V169:V259, AG170, 'APS Tubes IMPORT'!H169:H259, "Inconclusive")
</f>
        <v>0</v>
      </c>
      <c r="AM170" s="54">
        <f>COUNTIFS('APS Tubes IMPORT'!V169:V259, AG170, 'APS Tubes IMPORT'!H169:H259, "Null")
</f>
        <v>0</v>
      </c>
      <c r="AN170" s="43"/>
      <c r="AP170" s="54"/>
      <c r="AQ170" s="54"/>
      <c r="AR170" s="54"/>
      <c r="AS170" s="54"/>
      <c r="AU170" s="43"/>
    </row>
    <row r="171">
      <c r="A171" s="7" t="s">
        <v>196</v>
      </c>
      <c r="B171" s="46">
        <f>VLOOKUP(A171,'ALL Tube Results'!$B$2:$D259,2,FALSE)</f>
        <v>45061</v>
      </c>
      <c r="C171" s="47">
        <f>COUNTIF('ALL Tube Results'!B170:B259, A171)
</f>
        <v>5</v>
      </c>
      <c r="D171" s="48">
        <f>COUNTIFS('ALL Tube Results'!$B170:$B259, $A171, 'ALL Tube Results'!$F170:$F259, "Negative")
</f>
        <v>5</v>
      </c>
      <c r="E171" s="48">
        <f>COUNTIFS('ALL Tube Results'!$B170:$B259, $A171, 'ALL Tube Results'!$F170:$F259, "Positive")
</f>
        <v>0</v>
      </c>
      <c r="F171" s="48">
        <f>COUNTIFS('ALL Tube Results'!$B170:$B259, $A171, 'ALL Tube Results'!$F170:$F259, "Inconclusive")
</f>
        <v>0</v>
      </c>
      <c r="G171" s="49">
        <f t="shared" si="7"/>
        <v>5</v>
      </c>
      <c r="H171" s="49" t="str">
        <f t="shared" si="8"/>
        <v/>
      </c>
      <c r="I171" s="50" t="str">
        <f t="shared" si="9"/>
        <v/>
      </c>
      <c r="J171" s="51" t="str">
        <f t="shared" si="10"/>
        <v/>
      </c>
      <c r="K171" s="51" t="str">
        <f t="shared" si="11"/>
        <v/>
      </c>
      <c r="L171" s="51">
        <f t="shared" si="12"/>
        <v>5</v>
      </c>
      <c r="M171" s="51" t="str">
        <f t="shared" si="13"/>
        <v/>
      </c>
      <c r="N171" s="51" t="str">
        <f t="shared" si="14"/>
        <v/>
      </c>
      <c r="O171" s="52">
        <f t="shared" si="15"/>
        <v>5</v>
      </c>
      <c r="P171" s="52" t="str">
        <f t="shared" si="16"/>
        <v/>
      </c>
      <c r="Q171" s="43"/>
      <c r="R171" s="7" t="s">
        <v>196</v>
      </c>
      <c r="S171" s="12">
        <v>45061.0</v>
      </c>
      <c r="T171" s="54">
        <f>VLOOKUP(R171,'Run Reconcile'!$A$2:$L259,12,FALSE)</f>
        <v>5</v>
      </c>
      <c r="U171" s="55" t="str">
        <f t="shared" si="17"/>
        <v/>
      </c>
      <c r="V171" s="54"/>
      <c r="W171" s="54"/>
      <c r="X171" s="43"/>
      <c r="Z171" s="12"/>
      <c r="AA171" s="54"/>
      <c r="AB171" s="54"/>
      <c r="AC171" s="54"/>
      <c r="AD171" s="54"/>
      <c r="AE171" s="56"/>
      <c r="AF171" s="43"/>
      <c r="AG171" s="58" t="s">
        <v>196</v>
      </c>
      <c r="AH171" s="46">
        <f>VLOOKUP(AG171,'Run Reconcile'!A$2:B259,2,FALSE)</f>
        <v>45061</v>
      </c>
      <c r="AI171" s="54">
        <f>COUNTIF('APS Tubes IMPORT'!$V$2:$V259, AG171)
</f>
        <v>5</v>
      </c>
      <c r="AJ171" s="54">
        <f>COUNTIFS('APS Tubes IMPORT'!V$2:V259, AG171, 'APS Tubes IMPORT'!H$2:H259, "Negative")
</f>
        <v>5</v>
      </c>
      <c r="AK171" s="54">
        <f>COUNTIFS('APS Tubes IMPORT'!V170:V259, AG171, 'APS Tubes IMPORT'!H170:H259, "Positive")
</f>
        <v>0</v>
      </c>
      <c r="AL171" s="54">
        <f>COUNTIFS('APS Tubes IMPORT'!V170:V259, AG171, 'APS Tubes IMPORT'!H170:H259, "Inconclusive")
</f>
        <v>0</v>
      </c>
      <c r="AM171" s="54">
        <f>COUNTIFS('APS Tubes IMPORT'!V170:V259, AG171, 'APS Tubes IMPORT'!H170:H259, "Null")
</f>
        <v>0</v>
      </c>
      <c r="AN171" s="43"/>
      <c r="AP171" s="54"/>
      <c r="AQ171" s="54"/>
      <c r="AR171" s="54"/>
      <c r="AS171" s="54"/>
      <c r="AU171" s="43"/>
    </row>
    <row r="172">
      <c r="A172" s="7" t="s">
        <v>197</v>
      </c>
      <c r="B172" s="46">
        <f>VLOOKUP(A172,'ALL Tube Results'!$B$2:$D259,2,FALSE)</f>
        <v>45062</v>
      </c>
      <c r="C172" s="47">
        <f>COUNTIF('ALL Tube Results'!B171:B259, A172)
</f>
        <v>3</v>
      </c>
      <c r="D172" s="48">
        <f>COUNTIFS('ALL Tube Results'!$B171:$B259, $A172, 'ALL Tube Results'!$F171:$F259, "Negative")
</f>
        <v>3</v>
      </c>
      <c r="E172" s="48">
        <f>COUNTIFS('ALL Tube Results'!$B171:$B259, $A172, 'ALL Tube Results'!$F171:$F259, "Positive")
</f>
        <v>0</v>
      </c>
      <c r="F172" s="48">
        <f>COUNTIFS('ALL Tube Results'!$B171:$B259, $A172, 'ALL Tube Results'!$F171:$F259, "Inconclusive")
</f>
        <v>0</v>
      </c>
      <c r="G172" s="49">
        <f t="shared" si="7"/>
        <v>3</v>
      </c>
      <c r="H172" s="49" t="str">
        <f t="shared" si="8"/>
        <v/>
      </c>
      <c r="I172" s="50" t="str">
        <f t="shared" si="9"/>
        <v/>
      </c>
      <c r="J172" s="51" t="str">
        <f t="shared" si="10"/>
        <v/>
      </c>
      <c r="K172" s="51" t="str">
        <f t="shared" si="11"/>
        <v/>
      </c>
      <c r="L172" s="51">
        <f t="shared" si="12"/>
        <v>3</v>
      </c>
      <c r="M172" s="51" t="str">
        <f t="shared" si="13"/>
        <v/>
      </c>
      <c r="N172" s="51" t="str">
        <f t="shared" si="14"/>
        <v/>
      </c>
      <c r="O172" s="52">
        <f t="shared" si="15"/>
        <v>3</v>
      </c>
      <c r="P172" s="52" t="str">
        <f t="shared" si="16"/>
        <v/>
      </c>
      <c r="Q172" s="43"/>
      <c r="R172" s="7" t="s">
        <v>197</v>
      </c>
      <c r="S172" s="12">
        <v>45062.0</v>
      </c>
      <c r="T172" s="54">
        <f>VLOOKUP(R172,'Run Reconcile'!$A$2:$L259,12,FALSE)</f>
        <v>3</v>
      </c>
      <c r="U172" s="55" t="str">
        <f t="shared" si="17"/>
        <v/>
      </c>
      <c r="V172" s="54"/>
      <c r="W172" s="54"/>
      <c r="X172" s="43"/>
      <c r="Z172" s="12"/>
      <c r="AA172" s="54"/>
      <c r="AB172" s="54"/>
      <c r="AC172" s="54"/>
      <c r="AD172" s="54"/>
      <c r="AE172" s="56"/>
      <c r="AF172" s="43"/>
      <c r="AG172" s="58" t="s">
        <v>197</v>
      </c>
      <c r="AH172" s="46">
        <f>VLOOKUP(AG172,'Run Reconcile'!A$2:B259,2,FALSE)</f>
        <v>45062</v>
      </c>
      <c r="AI172" s="54">
        <f>COUNTIF('APS Tubes IMPORT'!$V$2:$V259, AG172)
</f>
        <v>3</v>
      </c>
      <c r="AJ172" s="54">
        <f>COUNTIFS('APS Tubes IMPORT'!V$2:V259, AG172, 'APS Tubes IMPORT'!H$2:H259, "Negative")
</f>
        <v>3</v>
      </c>
      <c r="AK172" s="54">
        <f>COUNTIFS('APS Tubes IMPORT'!V171:V259, AG172, 'APS Tubes IMPORT'!H171:H259, "Positive")
</f>
        <v>0</v>
      </c>
      <c r="AL172" s="54">
        <f>COUNTIFS('APS Tubes IMPORT'!V171:V259, AG172, 'APS Tubes IMPORT'!H171:H259, "Inconclusive")
</f>
        <v>0</v>
      </c>
      <c r="AM172" s="54">
        <f>COUNTIFS('APS Tubes IMPORT'!V171:V259, AG172, 'APS Tubes IMPORT'!H171:H259, "Null")
</f>
        <v>0</v>
      </c>
      <c r="AN172" s="43"/>
      <c r="AP172" s="54"/>
      <c r="AQ172" s="54"/>
      <c r="AR172" s="54"/>
      <c r="AS172" s="54"/>
      <c r="AU172" s="43"/>
    </row>
    <row r="173">
      <c r="A173" s="7" t="s">
        <v>198</v>
      </c>
      <c r="B173" s="46">
        <f>VLOOKUP(A173,'ALL Tube Results'!$B$2:$D259,2,FALSE)</f>
        <v>45063</v>
      </c>
      <c r="C173" s="47">
        <f>COUNTIF('ALL Tube Results'!B172:B259, A173)
</f>
        <v>6</v>
      </c>
      <c r="D173" s="48">
        <f>COUNTIFS('ALL Tube Results'!$B172:$B259, $A173, 'ALL Tube Results'!$F172:$F259, "Negative")
</f>
        <v>6</v>
      </c>
      <c r="E173" s="48">
        <f>COUNTIFS('ALL Tube Results'!$B172:$B259, $A173, 'ALL Tube Results'!$F172:$F259, "Positive")
</f>
        <v>0</v>
      </c>
      <c r="F173" s="48">
        <f>COUNTIFS('ALL Tube Results'!$B172:$B259, $A173, 'ALL Tube Results'!$F172:$F259, "Inconclusive")
</f>
        <v>0</v>
      </c>
      <c r="G173" s="49">
        <f t="shared" si="7"/>
        <v>6</v>
      </c>
      <c r="H173" s="49" t="str">
        <f t="shared" si="8"/>
        <v/>
      </c>
      <c r="I173" s="50">
        <f t="shared" si="9"/>
        <v>6</v>
      </c>
      <c r="J173" s="51">
        <f t="shared" si="10"/>
        <v>0</v>
      </c>
      <c r="K173" s="51">
        <f t="shared" si="11"/>
        <v>0</v>
      </c>
      <c r="L173" s="51" t="str">
        <f t="shared" si="12"/>
        <v/>
      </c>
      <c r="M173" s="51" t="str">
        <f t="shared" si="13"/>
        <v/>
      </c>
      <c r="N173" s="51" t="str">
        <f t="shared" si="14"/>
        <v/>
      </c>
      <c r="O173" s="52">
        <f t="shared" si="15"/>
        <v>5</v>
      </c>
      <c r="P173" s="52">
        <f t="shared" si="16"/>
        <v>1</v>
      </c>
      <c r="Q173" s="43"/>
      <c r="R173" s="7" t="s">
        <v>198</v>
      </c>
      <c r="S173" s="12">
        <v>45063.0</v>
      </c>
      <c r="T173" s="54">
        <f>VLOOKUP(R173,'Run Reconcile'!$A$2:$L259,12,FALSE)</f>
        <v>6</v>
      </c>
      <c r="U173" s="55" t="str">
        <f t="shared" si="17"/>
        <v/>
      </c>
      <c r="V173" s="54"/>
      <c r="W173" s="54"/>
      <c r="X173" s="43"/>
      <c r="Z173" s="12"/>
      <c r="AA173" s="54"/>
      <c r="AB173" s="54"/>
      <c r="AC173" s="54"/>
      <c r="AD173" s="54"/>
      <c r="AE173" s="56"/>
      <c r="AF173" s="43"/>
      <c r="AG173" s="58" t="s">
        <v>198</v>
      </c>
      <c r="AH173" s="46">
        <f>VLOOKUP(AG173,'Run Reconcile'!A$2:B259,2,FALSE)</f>
        <v>45063</v>
      </c>
      <c r="AI173" s="54">
        <f>COUNTIF('APS Tubes IMPORT'!$V$2:$V259, AG173)
</f>
        <v>5</v>
      </c>
      <c r="AJ173" s="54">
        <f>COUNTIFS('APS Tubes IMPORT'!V$2:V259, AG173, 'APS Tubes IMPORT'!H$2:H259, "Negative")
</f>
        <v>5</v>
      </c>
      <c r="AK173" s="54">
        <f>COUNTIFS('APS Tubes IMPORT'!V172:V259, AG173, 'APS Tubes IMPORT'!H172:H259, "Positive")
</f>
        <v>0</v>
      </c>
      <c r="AL173" s="54">
        <f>COUNTIFS('APS Tubes IMPORT'!V172:V259, AG173, 'APS Tubes IMPORT'!H172:H259, "Inconclusive")
</f>
        <v>0</v>
      </c>
      <c r="AM173" s="54">
        <f>COUNTIFS('APS Tubes IMPORT'!V172:V259, AG173, 'APS Tubes IMPORT'!H172:H259, "Null")
</f>
        <v>0</v>
      </c>
      <c r="AN173" s="43"/>
      <c r="AP173" s="54"/>
      <c r="AQ173" s="54"/>
      <c r="AR173" s="54"/>
      <c r="AS173" s="54"/>
      <c r="AU173" s="43"/>
    </row>
    <row r="174">
      <c r="A174" s="7" t="s">
        <v>199</v>
      </c>
      <c r="B174" s="46">
        <f>VLOOKUP(A174,'ALL Tube Results'!$B$2:$D259,2,FALSE)</f>
        <v>45064</v>
      </c>
      <c r="C174" s="47">
        <f>COUNTIF('ALL Tube Results'!B173:B259, A174)
</f>
        <v>9</v>
      </c>
      <c r="D174" s="48">
        <f>COUNTIFS('ALL Tube Results'!$B173:$B259, $A174, 'ALL Tube Results'!$F173:$F259, "Negative")
</f>
        <v>9</v>
      </c>
      <c r="E174" s="48">
        <f>COUNTIFS('ALL Tube Results'!$B173:$B259, $A174, 'ALL Tube Results'!$F173:$F259, "Positive")
</f>
        <v>0</v>
      </c>
      <c r="F174" s="48">
        <f>COUNTIFS('ALL Tube Results'!$B173:$B259, $A174, 'ALL Tube Results'!$F173:$F259, "Inconclusive")
</f>
        <v>0</v>
      </c>
      <c r="G174" s="49">
        <f t="shared" si="7"/>
        <v>9</v>
      </c>
      <c r="H174" s="49" t="str">
        <f t="shared" si="8"/>
        <v/>
      </c>
      <c r="I174" s="50">
        <f t="shared" si="9"/>
        <v>9</v>
      </c>
      <c r="J174" s="51">
        <f t="shared" si="10"/>
        <v>0</v>
      </c>
      <c r="K174" s="51">
        <f t="shared" si="11"/>
        <v>0</v>
      </c>
      <c r="L174" s="51" t="str">
        <f t="shared" si="12"/>
        <v/>
      </c>
      <c r="M174" s="51" t="str">
        <f t="shared" si="13"/>
        <v/>
      </c>
      <c r="N174" s="51" t="str">
        <f t="shared" si="14"/>
        <v/>
      </c>
      <c r="O174" s="52">
        <f t="shared" si="15"/>
        <v>9</v>
      </c>
      <c r="P174" s="52" t="str">
        <f t="shared" si="16"/>
        <v/>
      </c>
      <c r="Q174" s="43"/>
      <c r="R174" s="7" t="s">
        <v>199</v>
      </c>
      <c r="S174" s="12">
        <v>45064.0</v>
      </c>
      <c r="T174" s="54">
        <f>VLOOKUP(R174,'Run Reconcile'!$A$2:$L259,12,FALSE)</f>
        <v>9</v>
      </c>
      <c r="U174" s="55" t="str">
        <f t="shared" si="17"/>
        <v/>
      </c>
      <c r="V174" s="54"/>
      <c r="W174" s="54"/>
      <c r="X174" s="43"/>
      <c r="Z174" s="12"/>
      <c r="AA174" s="54"/>
      <c r="AB174" s="54"/>
      <c r="AC174" s="54"/>
      <c r="AD174" s="54"/>
      <c r="AE174" s="56"/>
      <c r="AF174" s="43"/>
      <c r="AG174" s="58" t="s">
        <v>199</v>
      </c>
      <c r="AH174" s="46">
        <f>VLOOKUP(AG174,'Run Reconcile'!A$2:B259,2,FALSE)</f>
        <v>45064</v>
      </c>
      <c r="AI174" s="54">
        <f>COUNTIF('APS Tubes IMPORT'!$V$2:$V259, AG174)
</f>
        <v>9</v>
      </c>
      <c r="AJ174" s="54">
        <f>COUNTIFS('APS Tubes IMPORT'!V$2:V259, AG174, 'APS Tubes IMPORT'!H$2:H259, "Negative")
</f>
        <v>9</v>
      </c>
      <c r="AK174" s="54">
        <f>COUNTIFS('APS Tubes IMPORT'!V173:V259, AG174, 'APS Tubes IMPORT'!H173:H259, "Positive")
</f>
        <v>0</v>
      </c>
      <c r="AL174" s="54">
        <f>COUNTIFS('APS Tubes IMPORT'!V173:V259, AG174, 'APS Tubes IMPORT'!H173:H259, "Inconclusive")
</f>
        <v>0</v>
      </c>
      <c r="AM174" s="54">
        <f>COUNTIFS('APS Tubes IMPORT'!V173:V259, AG174, 'APS Tubes IMPORT'!H173:H259, "Null")
</f>
        <v>0</v>
      </c>
      <c r="AN174" s="43"/>
      <c r="AP174" s="54"/>
      <c r="AQ174" s="54"/>
      <c r="AR174" s="54"/>
      <c r="AS174" s="54"/>
      <c r="AU174" s="43"/>
    </row>
    <row r="175">
      <c r="A175" s="7" t="s">
        <v>200</v>
      </c>
      <c r="B175" s="46">
        <f>VLOOKUP(A175,'ALL Tube Results'!$B$2:$D259,2,FALSE)</f>
        <v>45065</v>
      </c>
      <c r="C175" s="47">
        <f>COUNTIF('ALL Tube Results'!B174:B259, A175)
</f>
        <v>8</v>
      </c>
      <c r="D175" s="48">
        <f>COUNTIFS('ALL Tube Results'!$B174:$B259, $A175, 'ALL Tube Results'!$F174:$F259, "Negative")
</f>
        <v>7</v>
      </c>
      <c r="E175" s="48">
        <f>COUNTIFS('ALL Tube Results'!$B174:$B259, $A175, 'ALL Tube Results'!$F174:$F259, "Positive")
</f>
        <v>1</v>
      </c>
      <c r="F175" s="48">
        <f>COUNTIFS('ALL Tube Results'!$B174:$B259, $A175, 'ALL Tube Results'!$F174:$F259, "Inconclusive")
</f>
        <v>0</v>
      </c>
      <c r="G175" s="49">
        <f t="shared" si="7"/>
        <v>8</v>
      </c>
      <c r="H175" s="49" t="str">
        <f t="shared" si="8"/>
        <v/>
      </c>
      <c r="I175" s="50">
        <f t="shared" si="9"/>
        <v>8</v>
      </c>
      <c r="J175" s="51">
        <f t="shared" si="10"/>
        <v>1</v>
      </c>
      <c r="K175" s="51">
        <f t="shared" si="11"/>
        <v>0</v>
      </c>
      <c r="L175" s="51" t="str">
        <f t="shared" si="12"/>
        <v/>
      </c>
      <c r="M175" s="51" t="str">
        <f t="shared" si="13"/>
        <v/>
      </c>
      <c r="N175" s="51" t="str">
        <f t="shared" si="14"/>
        <v/>
      </c>
      <c r="O175" s="52">
        <f t="shared" si="15"/>
        <v>6</v>
      </c>
      <c r="P175" s="52">
        <f t="shared" si="16"/>
        <v>2</v>
      </c>
      <c r="Q175" s="43"/>
      <c r="R175" s="7" t="s">
        <v>200</v>
      </c>
      <c r="S175" s="12">
        <v>45065.0</v>
      </c>
      <c r="T175" s="54">
        <f>VLOOKUP(R175,'Run Reconcile'!$A$2:$L259,12,FALSE)</f>
        <v>8</v>
      </c>
      <c r="U175" s="55" t="str">
        <f t="shared" si="17"/>
        <v/>
      </c>
      <c r="V175" s="54"/>
      <c r="W175" s="54"/>
      <c r="X175" s="43"/>
      <c r="Z175" s="12"/>
      <c r="AA175" s="54"/>
      <c r="AB175" s="54"/>
      <c r="AC175" s="54"/>
      <c r="AD175" s="54"/>
      <c r="AE175" s="56"/>
      <c r="AF175" s="43"/>
      <c r="AG175" s="58" t="s">
        <v>200</v>
      </c>
      <c r="AH175" s="46">
        <f>VLOOKUP(AG175,'Run Reconcile'!A$2:B259,2,FALSE)</f>
        <v>45065</v>
      </c>
      <c r="AI175" s="54">
        <f>COUNTIF('APS Tubes IMPORT'!$V$2:$V259, AG175)
</f>
        <v>6</v>
      </c>
      <c r="AJ175" s="54">
        <f>COUNTIFS('APS Tubes IMPORT'!V$2:V259, AG175, 'APS Tubes IMPORT'!H$2:H259, "Negative")
</f>
        <v>6</v>
      </c>
      <c r="AK175" s="54">
        <f>COUNTIFS('APS Tubes IMPORT'!V174:V259, AG175, 'APS Tubes IMPORT'!H174:H259, "Positive")
</f>
        <v>0</v>
      </c>
      <c r="AL175" s="54">
        <f>COUNTIFS('APS Tubes IMPORT'!V174:V259, AG175, 'APS Tubes IMPORT'!H174:H259, "Inconclusive")
</f>
        <v>0</v>
      </c>
      <c r="AM175" s="54">
        <f>COUNTIFS('APS Tubes IMPORT'!V174:V259, AG175, 'APS Tubes IMPORT'!H174:H259, "Null")
</f>
        <v>0</v>
      </c>
      <c r="AN175" s="43"/>
      <c r="AP175" s="54"/>
      <c r="AQ175" s="54"/>
      <c r="AR175" s="54"/>
      <c r="AS175" s="54"/>
      <c r="AU175" s="43"/>
    </row>
    <row r="176">
      <c r="A176" s="7" t="s">
        <v>201</v>
      </c>
      <c r="B176" s="46">
        <f>VLOOKUP(A176,'ALL Tube Results'!$B$2:$D259,2,FALSE)</f>
        <v>45068</v>
      </c>
      <c r="C176" s="47">
        <f>COUNTIF('ALL Tube Results'!B175:B259, A176)
</f>
        <v>4</v>
      </c>
      <c r="D176" s="48">
        <f>COUNTIFS('ALL Tube Results'!$B175:$B259, $A176, 'ALL Tube Results'!$F175:$F259, "Negative")
</f>
        <v>4</v>
      </c>
      <c r="E176" s="48">
        <f>COUNTIFS('ALL Tube Results'!$B175:$B259, $A176, 'ALL Tube Results'!$F175:$F259, "Positive")
</f>
        <v>0</v>
      </c>
      <c r="F176" s="48">
        <f>COUNTIFS('ALL Tube Results'!$B175:$B259, $A176, 'ALL Tube Results'!$F175:$F259, "Inconclusive")
</f>
        <v>0</v>
      </c>
      <c r="G176" s="49">
        <f t="shared" si="7"/>
        <v>4</v>
      </c>
      <c r="H176" s="49" t="str">
        <f t="shared" si="8"/>
        <v/>
      </c>
      <c r="I176" s="50">
        <f t="shared" si="9"/>
        <v>4</v>
      </c>
      <c r="J176" s="51">
        <f t="shared" si="10"/>
        <v>0</v>
      </c>
      <c r="K176" s="51">
        <f t="shared" si="11"/>
        <v>0</v>
      </c>
      <c r="L176" s="51" t="str">
        <f t="shared" si="12"/>
        <v/>
      </c>
      <c r="M176" s="51" t="str">
        <f t="shared" si="13"/>
        <v/>
      </c>
      <c r="N176" s="51" t="str">
        <f t="shared" si="14"/>
        <v/>
      </c>
      <c r="O176" s="52">
        <f t="shared" si="15"/>
        <v>4</v>
      </c>
      <c r="P176" s="52" t="str">
        <f t="shared" si="16"/>
        <v/>
      </c>
      <c r="Q176" s="43"/>
      <c r="R176" s="7" t="s">
        <v>201</v>
      </c>
      <c r="S176" s="12">
        <v>45068.0</v>
      </c>
      <c r="T176" s="54">
        <f>VLOOKUP(R176,'Run Reconcile'!$A$2:$L259,12,FALSE)</f>
        <v>4</v>
      </c>
      <c r="U176" s="55" t="str">
        <f t="shared" si="17"/>
        <v/>
      </c>
      <c r="V176" s="54"/>
      <c r="W176" s="54"/>
      <c r="X176" s="43"/>
      <c r="Z176" s="12"/>
      <c r="AA176" s="54"/>
      <c r="AB176" s="54"/>
      <c r="AC176" s="54"/>
      <c r="AD176" s="54"/>
      <c r="AE176" s="56"/>
      <c r="AF176" s="43"/>
      <c r="AG176" s="58" t="s">
        <v>201</v>
      </c>
      <c r="AH176" s="46">
        <f>VLOOKUP(AG176,'Run Reconcile'!A$2:B259,2,FALSE)</f>
        <v>45068</v>
      </c>
      <c r="AI176" s="54">
        <f>COUNTIF('APS Tubes IMPORT'!$V$2:$V259, AG176)
</f>
        <v>4</v>
      </c>
      <c r="AJ176" s="54">
        <f>COUNTIFS('APS Tubes IMPORT'!V$2:V259, AG176, 'APS Tubes IMPORT'!H$2:H259, "Negative")
</f>
        <v>4</v>
      </c>
      <c r="AK176" s="54">
        <f>COUNTIFS('APS Tubes IMPORT'!V175:V259, AG176, 'APS Tubes IMPORT'!H175:H259, "Positive")
</f>
        <v>0</v>
      </c>
      <c r="AL176" s="54">
        <f>COUNTIFS('APS Tubes IMPORT'!V175:V259, AG176, 'APS Tubes IMPORT'!H175:H259, "Inconclusive")
</f>
        <v>0</v>
      </c>
      <c r="AM176" s="54">
        <f>COUNTIFS('APS Tubes IMPORT'!V175:V259, AG176, 'APS Tubes IMPORT'!H175:H259, "Null")
</f>
        <v>0</v>
      </c>
      <c r="AN176" s="43"/>
      <c r="AP176" s="54"/>
      <c r="AQ176" s="54"/>
      <c r="AR176" s="54"/>
      <c r="AS176" s="54"/>
      <c r="AU176" s="43"/>
    </row>
    <row r="177">
      <c r="A177" s="7" t="s">
        <v>202</v>
      </c>
      <c r="B177" s="46">
        <f>VLOOKUP(A177,'ALL Tube Results'!$B$2:$D259,2,FALSE)</f>
        <v>45069</v>
      </c>
      <c r="C177" s="47">
        <f>COUNTIF('ALL Tube Results'!B176:B259, A177)
</f>
        <v>9</v>
      </c>
      <c r="D177" s="48">
        <f>COUNTIFS('ALL Tube Results'!$B176:$B259, $A177, 'ALL Tube Results'!$F176:$F259, "Negative")
</f>
        <v>5</v>
      </c>
      <c r="E177" s="48">
        <f>COUNTIFS('ALL Tube Results'!$B176:$B259, $A177, 'ALL Tube Results'!$F176:$F259, "Positive")
</f>
        <v>4</v>
      </c>
      <c r="F177" s="48">
        <f>COUNTIFS('ALL Tube Results'!$B176:$B259, $A177, 'ALL Tube Results'!$F176:$F259, "Inconclusive")
</f>
        <v>0</v>
      </c>
      <c r="G177" s="49">
        <f t="shared" si="7"/>
        <v>9</v>
      </c>
      <c r="H177" s="49" t="str">
        <f t="shared" si="8"/>
        <v/>
      </c>
      <c r="I177" s="50">
        <f t="shared" si="9"/>
        <v>9</v>
      </c>
      <c r="J177" s="51">
        <f t="shared" si="10"/>
        <v>4</v>
      </c>
      <c r="K177" s="51">
        <f t="shared" si="11"/>
        <v>0</v>
      </c>
      <c r="L177" s="51" t="str">
        <f t="shared" si="12"/>
        <v/>
      </c>
      <c r="M177" s="51" t="str">
        <f t="shared" si="13"/>
        <v/>
      </c>
      <c r="N177" s="51" t="str">
        <f t="shared" si="14"/>
        <v/>
      </c>
      <c r="O177" s="52">
        <f t="shared" si="15"/>
        <v>9</v>
      </c>
      <c r="P177" s="52" t="str">
        <f t="shared" si="16"/>
        <v/>
      </c>
      <c r="Q177" s="43"/>
      <c r="R177" s="7" t="s">
        <v>202</v>
      </c>
      <c r="S177" s="12">
        <v>45069.0</v>
      </c>
      <c r="T177" s="54">
        <f>VLOOKUP(R177,'Run Reconcile'!$A$2:$L259,12,FALSE)</f>
        <v>9</v>
      </c>
      <c r="U177" s="55" t="str">
        <f t="shared" si="17"/>
        <v/>
      </c>
      <c r="V177" s="54"/>
      <c r="W177" s="54"/>
      <c r="X177" s="43"/>
      <c r="Z177" s="12"/>
      <c r="AA177" s="54"/>
      <c r="AB177" s="54"/>
      <c r="AC177" s="54"/>
      <c r="AD177" s="54"/>
      <c r="AE177" s="56"/>
      <c r="AF177" s="43"/>
      <c r="AG177" s="58" t="s">
        <v>202</v>
      </c>
      <c r="AH177" s="46">
        <f>VLOOKUP(AG177,'Run Reconcile'!A$2:B259,2,FALSE)</f>
        <v>45069</v>
      </c>
      <c r="AI177" s="54">
        <f>COUNTIF('APS Tubes IMPORT'!$V$2:$V259, AG177)
</f>
        <v>9</v>
      </c>
      <c r="AJ177" s="54">
        <f>COUNTIFS('APS Tubes IMPORT'!V$2:V259, AG177, 'APS Tubes IMPORT'!H$2:H259, "Negative")
</f>
        <v>5</v>
      </c>
      <c r="AK177" s="54">
        <f>COUNTIFS('APS Tubes IMPORT'!V176:V259, AG177, 'APS Tubes IMPORT'!H176:H259, "Positive")
</f>
        <v>4</v>
      </c>
      <c r="AL177" s="54">
        <f>COUNTIFS('APS Tubes IMPORT'!V176:V259, AG177, 'APS Tubes IMPORT'!H176:H259, "Inconclusive")
</f>
        <v>0</v>
      </c>
      <c r="AM177" s="54">
        <f>COUNTIFS('APS Tubes IMPORT'!V176:V259, AG177, 'APS Tubes IMPORT'!H176:H259, "Null")
</f>
        <v>0</v>
      </c>
      <c r="AN177" s="43"/>
      <c r="AP177" s="54"/>
      <c r="AQ177" s="54"/>
      <c r="AR177" s="54"/>
      <c r="AS177" s="54"/>
      <c r="AU177" s="43"/>
    </row>
    <row r="178">
      <c r="A178" s="7" t="s">
        <v>203</v>
      </c>
      <c r="B178" s="46">
        <f>VLOOKUP(A178,'ALL Tube Results'!$B$2:$D259,2,FALSE)</f>
        <v>45070</v>
      </c>
      <c r="C178" s="47">
        <f>COUNTIF('ALL Tube Results'!B177:B259, A178)
</f>
        <v>4</v>
      </c>
      <c r="D178" s="48">
        <f>COUNTIFS('ALL Tube Results'!$B177:$B259, $A178, 'ALL Tube Results'!$F177:$F259, "Negative")
</f>
        <v>4</v>
      </c>
      <c r="E178" s="48">
        <f>COUNTIFS('ALL Tube Results'!$B177:$B259, $A178, 'ALL Tube Results'!$F177:$F259, "Positive")
</f>
        <v>0</v>
      </c>
      <c r="F178" s="48">
        <f>COUNTIFS('ALL Tube Results'!$B177:$B259, $A178, 'ALL Tube Results'!$F177:$F259, "Inconclusive")
</f>
        <v>0</v>
      </c>
      <c r="G178" s="49">
        <f t="shared" si="7"/>
        <v>4</v>
      </c>
      <c r="H178" s="49" t="str">
        <f t="shared" si="8"/>
        <v/>
      </c>
      <c r="I178" s="50">
        <f t="shared" si="9"/>
        <v>4</v>
      </c>
      <c r="J178" s="51">
        <f t="shared" si="10"/>
        <v>0</v>
      </c>
      <c r="K178" s="51">
        <f t="shared" si="11"/>
        <v>0</v>
      </c>
      <c r="L178" s="51" t="str">
        <f t="shared" si="12"/>
        <v/>
      </c>
      <c r="M178" s="51" t="str">
        <f t="shared" si="13"/>
        <v/>
      </c>
      <c r="N178" s="51" t="str">
        <f t="shared" si="14"/>
        <v/>
      </c>
      <c r="O178" s="52">
        <f t="shared" si="15"/>
        <v>3</v>
      </c>
      <c r="P178" s="52">
        <f t="shared" si="16"/>
        <v>1</v>
      </c>
      <c r="Q178" s="43"/>
      <c r="R178" s="7" t="s">
        <v>203</v>
      </c>
      <c r="S178" s="12">
        <v>45070.0</v>
      </c>
      <c r="T178" s="54">
        <f>VLOOKUP(R178,'Run Reconcile'!$A$2:$L259,12,FALSE)</f>
        <v>4</v>
      </c>
      <c r="U178" s="55" t="str">
        <f t="shared" si="17"/>
        <v/>
      </c>
      <c r="V178" s="54"/>
      <c r="W178" s="54"/>
      <c r="X178" s="43"/>
      <c r="Z178" s="12"/>
      <c r="AA178" s="54"/>
      <c r="AB178" s="54"/>
      <c r="AC178" s="54"/>
      <c r="AD178" s="54"/>
      <c r="AE178" s="56"/>
      <c r="AF178" s="43"/>
      <c r="AG178" s="58" t="s">
        <v>203</v>
      </c>
      <c r="AH178" s="46">
        <f>VLOOKUP(AG178,'Run Reconcile'!A$2:B259,2,FALSE)</f>
        <v>45070</v>
      </c>
      <c r="AI178" s="54">
        <f>COUNTIF('APS Tubes IMPORT'!$V$2:$V259, AG178)
</f>
        <v>3</v>
      </c>
      <c r="AJ178" s="54">
        <f>COUNTIFS('APS Tubes IMPORT'!V$2:V259, AG178, 'APS Tubes IMPORT'!H$2:H259, "Negative")
</f>
        <v>3</v>
      </c>
      <c r="AK178" s="54">
        <f>COUNTIFS('APS Tubes IMPORT'!V177:V259, AG178, 'APS Tubes IMPORT'!H177:H259, "Positive")
</f>
        <v>0</v>
      </c>
      <c r="AL178" s="54">
        <f>COUNTIFS('APS Tubes IMPORT'!V177:V259, AG178, 'APS Tubes IMPORT'!H177:H259, "Inconclusive")
</f>
        <v>0</v>
      </c>
      <c r="AM178" s="54">
        <f>COUNTIFS('APS Tubes IMPORT'!V177:V259, AG178, 'APS Tubes IMPORT'!H177:H259, "Null")
</f>
        <v>0</v>
      </c>
      <c r="AN178" s="43"/>
      <c r="AP178" s="54"/>
      <c r="AQ178" s="54"/>
      <c r="AR178" s="54"/>
      <c r="AS178" s="54"/>
      <c r="AU178" s="43"/>
    </row>
    <row r="179">
      <c r="A179" s="7" t="s">
        <v>204</v>
      </c>
      <c r="B179" s="46">
        <f>VLOOKUP(A179,'ALL Tube Results'!$B$2:$D259,2,FALSE)</f>
        <v>45071</v>
      </c>
      <c r="C179" s="47">
        <f>COUNTIF('ALL Tube Results'!B178:B259, A179)
</f>
        <v>2</v>
      </c>
      <c r="D179" s="48">
        <f>COUNTIFS('ALL Tube Results'!$B178:$B259, $A179, 'ALL Tube Results'!$F178:$F259, "Negative")
</f>
        <v>2</v>
      </c>
      <c r="E179" s="48">
        <f>COUNTIFS('ALL Tube Results'!$B178:$B259, $A179, 'ALL Tube Results'!$F178:$F259, "Positive")
</f>
        <v>0</v>
      </c>
      <c r="F179" s="48">
        <f>COUNTIFS('ALL Tube Results'!$B178:$B259, $A179, 'ALL Tube Results'!$F178:$F259, "Inconclusive")
</f>
        <v>0</v>
      </c>
      <c r="G179" s="49">
        <f t="shared" si="7"/>
        <v>1</v>
      </c>
      <c r="H179" s="49">
        <f t="shared" si="8"/>
        <v>1</v>
      </c>
      <c r="I179" s="50" t="str">
        <f t="shared" si="9"/>
        <v/>
      </c>
      <c r="J179" s="51" t="str">
        <f t="shared" si="10"/>
        <v/>
      </c>
      <c r="K179" s="51" t="str">
        <f t="shared" si="11"/>
        <v/>
      </c>
      <c r="L179" s="51">
        <f t="shared" si="12"/>
        <v>2</v>
      </c>
      <c r="M179" s="51" t="str">
        <f t="shared" si="13"/>
        <v/>
      </c>
      <c r="N179" s="51" t="str">
        <f t="shared" si="14"/>
        <v/>
      </c>
      <c r="O179" s="52">
        <f t="shared" si="15"/>
        <v>2</v>
      </c>
      <c r="P179" s="52" t="str">
        <f t="shared" si="16"/>
        <v/>
      </c>
      <c r="Q179" s="43"/>
      <c r="R179" s="7" t="s">
        <v>204</v>
      </c>
      <c r="S179" s="12">
        <v>45071.0</v>
      </c>
      <c r="T179" s="54">
        <f>VLOOKUP(R179,'Run Reconcile'!$A$2:$L259,12,FALSE)</f>
        <v>1</v>
      </c>
      <c r="U179" s="55" t="str">
        <f t="shared" si="17"/>
        <v/>
      </c>
      <c r="V179" s="54"/>
      <c r="W179" s="54"/>
      <c r="X179" s="43"/>
      <c r="Z179" s="12"/>
      <c r="AA179" s="54"/>
      <c r="AB179" s="54"/>
      <c r="AC179" s="54"/>
      <c r="AD179" s="54"/>
      <c r="AE179" s="56"/>
      <c r="AF179" s="43"/>
      <c r="AG179" s="58" t="s">
        <v>204</v>
      </c>
      <c r="AH179" s="46">
        <f>VLOOKUP(AG179,'Run Reconcile'!A$2:B259,2,FALSE)</f>
        <v>45071</v>
      </c>
      <c r="AI179" s="54">
        <f>COUNTIF('APS Tubes IMPORT'!$V$2:$V259, AG179)
</f>
        <v>2</v>
      </c>
      <c r="AJ179" s="54">
        <f>COUNTIFS('APS Tubes IMPORT'!V$2:V259, AG179, 'APS Tubes IMPORT'!H$2:H259, "Negative")
</f>
        <v>2</v>
      </c>
      <c r="AK179" s="54">
        <f>COUNTIFS('APS Tubes IMPORT'!V178:V259, AG179, 'APS Tubes IMPORT'!H178:H259, "Positive")
</f>
        <v>0</v>
      </c>
      <c r="AL179" s="54">
        <f>COUNTIFS('APS Tubes IMPORT'!V178:V259, AG179, 'APS Tubes IMPORT'!H178:H259, "Inconclusive")
</f>
        <v>0</v>
      </c>
      <c r="AM179" s="54">
        <f>COUNTIFS('APS Tubes IMPORT'!V178:V259, AG179, 'APS Tubes IMPORT'!H178:H259, "Null")
</f>
        <v>0</v>
      </c>
      <c r="AN179" s="43"/>
      <c r="AP179" s="54"/>
      <c r="AQ179" s="54"/>
      <c r="AR179" s="54"/>
      <c r="AS179" s="54"/>
      <c r="AU179" s="43"/>
    </row>
    <row r="180">
      <c r="A180" s="7" t="s">
        <v>205</v>
      </c>
      <c r="B180" s="46">
        <f>VLOOKUP(A180,'ALL Tube Results'!$B$2:$D259,2,FALSE)</f>
        <v>45071</v>
      </c>
      <c r="C180" s="47">
        <f>COUNTIF('ALL Tube Results'!B179:B259, A180)
</f>
        <v>3</v>
      </c>
      <c r="D180" s="48">
        <f>COUNTIFS('ALL Tube Results'!$B179:$B259, $A180, 'ALL Tube Results'!$F179:$F259, "Negative")
</f>
        <v>3</v>
      </c>
      <c r="E180" s="48">
        <f>COUNTIFS('ALL Tube Results'!$B179:$B259, $A180, 'ALL Tube Results'!$F179:$F259, "Positive")
</f>
        <v>0</v>
      </c>
      <c r="F180" s="48">
        <f>COUNTIFS('ALL Tube Results'!$B179:$B259, $A180, 'ALL Tube Results'!$F179:$F259, "Inconclusive")
</f>
        <v>0</v>
      </c>
      <c r="G180" s="49">
        <f t="shared" si="7"/>
        <v>4</v>
      </c>
      <c r="H180" s="49">
        <f t="shared" si="8"/>
        <v>-1</v>
      </c>
      <c r="I180" s="50">
        <f t="shared" si="9"/>
        <v>4</v>
      </c>
      <c r="J180" s="51">
        <f t="shared" si="10"/>
        <v>0</v>
      </c>
      <c r="K180" s="51">
        <f t="shared" si="11"/>
        <v>0</v>
      </c>
      <c r="L180" s="51">
        <f t="shared" si="12"/>
        <v>-1</v>
      </c>
      <c r="M180" s="51" t="str">
        <f t="shared" si="13"/>
        <v/>
      </c>
      <c r="N180" s="51" t="str">
        <f t="shared" si="14"/>
        <v/>
      </c>
      <c r="O180" s="52">
        <f t="shared" si="15"/>
        <v>3</v>
      </c>
      <c r="P180" s="52" t="str">
        <f t="shared" si="16"/>
        <v/>
      </c>
      <c r="Q180" s="43"/>
      <c r="R180" s="7" t="s">
        <v>205</v>
      </c>
      <c r="S180" s="12">
        <v>45071.0</v>
      </c>
      <c r="T180" s="54">
        <f>VLOOKUP(R180,'Run Reconcile'!$A$2:$L259,12,FALSE)</f>
        <v>4</v>
      </c>
      <c r="U180" s="55" t="str">
        <f t="shared" si="17"/>
        <v/>
      </c>
      <c r="V180" s="54"/>
      <c r="W180" s="54"/>
      <c r="X180" s="43"/>
      <c r="Z180" s="12"/>
      <c r="AA180" s="54"/>
      <c r="AB180" s="54"/>
      <c r="AC180" s="54"/>
      <c r="AD180" s="54"/>
      <c r="AE180" s="56"/>
      <c r="AF180" s="43"/>
      <c r="AG180" s="58" t="s">
        <v>205</v>
      </c>
      <c r="AH180" s="46">
        <f>VLOOKUP(AG180,'Run Reconcile'!A$2:B259,2,FALSE)</f>
        <v>45071</v>
      </c>
      <c r="AI180" s="54">
        <f>COUNTIF('APS Tubes IMPORT'!$V$2:$V259, AG180)
</f>
        <v>3</v>
      </c>
      <c r="AJ180" s="54">
        <f>COUNTIFS('APS Tubes IMPORT'!V$2:V259, AG180, 'APS Tubes IMPORT'!H$2:H259, "Negative")
</f>
        <v>3</v>
      </c>
      <c r="AK180" s="54">
        <f>COUNTIFS('APS Tubes IMPORT'!V179:V259, AG180, 'APS Tubes IMPORT'!H179:H259, "Positive")
</f>
        <v>0</v>
      </c>
      <c r="AL180" s="54">
        <f>COUNTIFS('APS Tubes IMPORT'!V179:V259, AG180, 'APS Tubes IMPORT'!H179:H259, "Inconclusive")
</f>
        <v>0</v>
      </c>
      <c r="AM180" s="54">
        <f>COUNTIFS('APS Tubes IMPORT'!V179:V259, AG180, 'APS Tubes IMPORT'!H179:H259, "Null")
</f>
        <v>0</v>
      </c>
      <c r="AN180" s="43"/>
      <c r="AP180" s="54"/>
      <c r="AQ180" s="54"/>
      <c r="AR180" s="54"/>
      <c r="AS180" s="54"/>
      <c r="AU180" s="43"/>
    </row>
    <row r="181">
      <c r="A181" s="7" t="s">
        <v>206</v>
      </c>
      <c r="B181" s="46">
        <f>VLOOKUP(A181,'ALL Tube Results'!$B$2:$D259,2,FALSE)</f>
        <v>45072</v>
      </c>
      <c r="C181" s="47">
        <f>COUNTIF('ALL Tube Results'!B180:B259, A181)
</f>
        <v>4</v>
      </c>
      <c r="D181" s="48">
        <f>COUNTIFS('ALL Tube Results'!$B180:$B259, $A181, 'ALL Tube Results'!$F180:$F259, "Negative")
</f>
        <v>4</v>
      </c>
      <c r="E181" s="48">
        <f>COUNTIFS('ALL Tube Results'!$B180:$B259, $A181, 'ALL Tube Results'!$F180:$F259, "Positive")
</f>
        <v>0</v>
      </c>
      <c r="F181" s="48">
        <f>COUNTIFS('ALL Tube Results'!$B180:$B259, $A181, 'ALL Tube Results'!$F180:$F259, "Inconclusive")
</f>
        <v>0</v>
      </c>
      <c r="G181" s="49">
        <f t="shared" si="7"/>
        <v>4</v>
      </c>
      <c r="H181" s="49" t="str">
        <f t="shared" si="8"/>
        <v/>
      </c>
      <c r="I181" s="50">
        <f t="shared" si="9"/>
        <v>4</v>
      </c>
      <c r="J181" s="51">
        <f t="shared" si="10"/>
        <v>0</v>
      </c>
      <c r="K181" s="51">
        <f t="shared" si="11"/>
        <v>0</v>
      </c>
      <c r="L181" s="51" t="str">
        <f t="shared" si="12"/>
        <v/>
      </c>
      <c r="M181" s="51" t="str">
        <f t="shared" si="13"/>
        <v/>
      </c>
      <c r="N181" s="51" t="str">
        <f t="shared" si="14"/>
        <v/>
      </c>
      <c r="O181" s="52">
        <f t="shared" si="15"/>
        <v>4</v>
      </c>
      <c r="P181" s="52" t="str">
        <f t="shared" si="16"/>
        <v/>
      </c>
      <c r="Q181" s="43"/>
      <c r="R181" s="7" t="s">
        <v>206</v>
      </c>
      <c r="S181" s="12">
        <v>45072.0</v>
      </c>
      <c r="T181" s="54">
        <f>VLOOKUP(R181,'Run Reconcile'!$A$2:$L259,12,FALSE)</f>
        <v>4</v>
      </c>
      <c r="U181" s="55" t="str">
        <f t="shared" si="17"/>
        <v/>
      </c>
      <c r="V181" s="54"/>
      <c r="W181" s="54"/>
      <c r="X181" s="43"/>
      <c r="Z181" s="12"/>
      <c r="AA181" s="54"/>
      <c r="AB181" s="54"/>
      <c r="AC181" s="54"/>
      <c r="AD181" s="54"/>
      <c r="AE181" s="56"/>
      <c r="AF181" s="43"/>
      <c r="AG181" s="58" t="s">
        <v>206</v>
      </c>
      <c r="AH181" s="46">
        <f>VLOOKUP(AG181,'Run Reconcile'!A$2:B259,2,FALSE)</f>
        <v>45072</v>
      </c>
      <c r="AI181" s="54">
        <f>COUNTIF('APS Tubes IMPORT'!$V$2:$V259, AG181)
</f>
        <v>4</v>
      </c>
      <c r="AJ181" s="54">
        <f>COUNTIFS('APS Tubes IMPORT'!V$2:V259, AG181, 'APS Tubes IMPORT'!H$2:H259, "Negative")
</f>
        <v>4</v>
      </c>
      <c r="AK181" s="54">
        <f>COUNTIFS('APS Tubes IMPORT'!V180:V259, AG181, 'APS Tubes IMPORT'!H180:H259, "Positive")
</f>
        <v>0</v>
      </c>
      <c r="AL181" s="54">
        <f>COUNTIFS('APS Tubes IMPORT'!V180:V259, AG181, 'APS Tubes IMPORT'!H180:H259, "Inconclusive")
</f>
        <v>0</v>
      </c>
      <c r="AM181" s="54">
        <f>COUNTIFS('APS Tubes IMPORT'!V180:V259, AG181, 'APS Tubes IMPORT'!H180:H259, "Null")
</f>
        <v>0</v>
      </c>
      <c r="AN181" s="43"/>
      <c r="AP181" s="54"/>
      <c r="AQ181" s="54"/>
      <c r="AR181" s="54"/>
      <c r="AS181" s="54"/>
      <c r="AU181" s="43"/>
    </row>
    <row r="182">
      <c r="A182" s="7" t="s">
        <v>207</v>
      </c>
      <c r="B182" s="46">
        <f>VLOOKUP(A182,'ALL Tube Results'!$B$2:$D259,2,FALSE)</f>
        <v>45075</v>
      </c>
      <c r="C182" s="47">
        <f>COUNTIF('ALL Tube Results'!B181:B259, A182)
</f>
        <v>5</v>
      </c>
      <c r="D182" s="48">
        <f>COUNTIFS('ALL Tube Results'!$B181:$B259, $A182, 'ALL Tube Results'!$F181:$F259, "Negative")
</f>
        <v>5</v>
      </c>
      <c r="E182" s="48">
        <f>COUNTIFS('ALL Tube Results'!$B181:$B259, $A182, 'ALL Tube Results'!$F181:$F259, "Positive")
</f>
        <v>0</v>
      </c>
      <c r="F182" s="48">
        <f>COUNTIFS('ALL Tube Results'!$B181:$B259, $A182, 'ALL Tube Results'!$F181:$F259, "Inconclusive")
</f>
        <v>0</v>
      </c>
      <c r="G182" s="49">
        <f t="shared" si="7"/>
        <v>5</v>
      </c>
      <c r="H182" s="49" t="str">
        <f t="shared" si="8"/>
        <v/>
      </c>
      <c r="I182" s="50">
        <f t="shared" si="9"/>
        <v>5</v>
      </c>
      <c r="J182" s="51">
        <f t="shared" si="10"/>
        <v>0</v>
      </c>
      <c r="K182" s="51">
        <f t="shared" si="11"/>
        <v>0</v>
      </c>
      <c r="L182" s="51" t="str">
        <f t="shared" si="12"/>
        <v/>
      </c>
      <c r="M182" s="51" t="str">
        <f t="shared" si="13"/>
        <v/>
      </c>
      <c r="N182" s="51" t="str">
        <f t="shared" si="14"/>
        <v/>
      </c>
      <c r="O182" s="52">
        <f t="shared" si="15"/>
        <v>4</v>
      </c>
      <c r="P182" s="52">
        <f t="shared" si="16"/>
        <v>1</v>
      </c>
      <c r="Q182" s="43"/>
      <c r="R182" s="7" t="s">
        <v>207</v>
      </c>
      <c r="S182" s="12">
        <v>45075.0</v>
      </c>
      <c r="T182" s="54">
        <f>VLOOKUP(R182,'Run Reconcile'!$A$2:$L259,12,FALSE)</f>
        <v>5</v>
      </c>
      <c r="U182" s="55" t="str">
        <f t="shared" si="17"/>
        <v/>
      </c>
      <c r="V182" s="54"/>
      <c r="W182" s="54"/>
      <c r="X182" s="43"/>
      <c r="Z182" s="12"/>
      <c r="AA182" s="54"/>
      <c r="AB182" s="54"/>
      <c r="AC182" s="54"/>
      <c r="AD182" s="54"/>
      <c r="AE182" s="56"/>
      <c r="AF182" s="43"/>
      <c r="AG182" s="58" t="s">
        <v>207</v>
      </c>
      <c r="AH182" s="46">
        <f>VLOOKUP(AG182,'Run Reconcile'!A$2:B259,2,FALSE)</f>
        <v>45075</v>
      </c>
      <c r="AI182" s="54">
        <f>COUNTIF('APS Tubes IMPORT'!$V$2:$V259, AG182)
</f>
        <v>4</v>
      </c>
      <c r="AJ182" s="54">
        <f>COUNTIFS('APS Tubes IMPORT'!V$2:V259, AG182, 'APS Tubes IMPORT'!H$2:H259, "Negative")
</f>
        <v>4</v>
      </c>
      <c r="AK182" s="54">
        <f>COUNTIFS('APS Tubes IMPORT'!V181:V259, AG182, 'APS Tubes IMPORT'!H181:H259, "Positive")
</f>
        <v>0</v>
      </c>
      <c r="AL182" s="54">
        <f>COUNTIFS('APS Tubes IMPORT'!V181:V259, AG182, 'APS Tubes IMPORT'!H181:H259, "Inconclusive")
</f>
        <v>0</v>
      </c>
      <c r="AM182" s="54">
        <f>COUNTIFS('APS Tubes IMPORT'!V181:V259, AG182, 'APS Tubes IMPORT'!H181:H259, "Null")
</f>
        <v>0</v>
      </c>
      <c r="AN182" s="43"/>
      <c r="AP182" s="54"/>
      <c r="AQ182" s="54"/>
      <c r="AR182" s="54"/>
      <c r="AS182" s="54"/>
      <c r="AU182" s="43"/>
    </row>
    <row r="183">
      <c r="A183" s="7" t="s">
        <v>208</v>
      </c>
      <c r="B183" s="46">
        <f>VLOOKUP(A183,'ALL Tube Results'!$B$2:$D259,2,FALSE)</f>
        <v>45076</v>
      </c>
      <c r="C183" s="47">
        <f>COUNTIF('ALL Tube Results'!B182:B259, A183)
</f>
        <v>5</v>
      </c>
      <c r="D183" s="48">
        <f>COUNTIFS('ALL Tube Results'!$B182:$B259, $A183, 'ALL Tube Results'!$F182:$F259, "Negative")
</f>
        <v>5</v>
      </c>
      <c r="E183" s="48">
        <f>COUNTIFS('ALL Tube Results'!$B182:$B259, $A183, 'ALL Tube Results'!$F182:$F259, "Positive")
</f>
        <v>0</v>
      </c>
      <c r="F183" s="48">
        <f>COUNTIFS('ALL Tube Results'!$B182:$B259, $A183, 'ALL Tube Results'!$F182:$F259, "Inconclusive")
</f>
        <v>0</v>
      </c>
      <c r="G183" s="49">
        <f t="shared" si="7"/>
        <v>5</v>
      </c>
      <c r="H183" s="49" t="str">
        <f t="shared" si="8"/>
        <v/>
      </c>
      <c r="I183" s="50">
        <f t="shared" si="9"/>
        <v>5</v>
      </c>
      <c r="J183" s="51">
        <f t="shared" si="10"/>
        <v>0</v>
      </c>
      <c r="K183" s="51">
        <f t="shared" si="11"/>
        <v>0</v>
      </c>
      <c r="L183" s="51" t="str">
        <f t="shared" si="12"/>
        <v/>
      </c>
      <c r="M183" s="51" t="str">
        <f t="shared" si="13"/>
        <v/>
      </c>
      <c r="N183" s="51" t="str">
        <f t="shared" si="14"/>
        <v/>
      </c>
      <c r="O183" s="52">
        <f t="shared" si="15"/>
        <v>5</v>
      </c>
      <c r="P183" s="52" t="str">
        <f t="shared" si="16"/>
        <v/>
      </c>
      <c r="Q183" s="43"/>
      <c r="R183" s="7" t="s">
        <v>208</v>
      </c>
      <c r="S183" s="12">
        <v>45076.0</v>
      </c>
      <c r="T183" s="54">
        <f>VLOOKUP(R183,'Run Reconcile'!$A$2:$L259,12,FALSE)</f>
        <v>5</v>
      </c>
      <c r="U183" s="55" t="str">
        <f t="shared" si="17"/>
        <v/>
      </c>
      <c r="V183" s="54"/>
      <c r="W183" s="54"/>
      <c r="X183" s="43"/>
      <c r="Z183" s="12"/>
      <c r="AA183" s="54"/>
      <c r="AB183" s="54"/>
      <c r="AC183" s="54"/>
      <c r="AD183" s="54"/>
      <c r="AE183" s="56"/>
      <c r="AF183" s="43"/>
      <c r="AG183" s="58" t="s">
        <v>208</v>
      </c>
      <c r="AH183" s="46">
        <f>VLOOKUP(AG183,'Run Reconcile'!A$2:B259,2,FALSE)</f>
        <v>45076</v>
      </c>
      <c r="AI183" s="54">
        <f>COUNTIF('APS Tubes IMPORT'!$V$2:$V259, AG183)
</f>
        <v>5</v>
      </c>
      <c r="AJ183" s="54">
        <f>COUNTIFS('APS Tubes IMPORT'!V$2:V259, AG183, 'APS Tubes IMPORT'!H$2:H259, "Negative")
</f>
        <v>5</v>
      </c>
      <c r="AK183" s="54">
        <f>COUNTIFS('APS Tubes IMPORT'!V182:V259, AG183, 'APS Tubes IMPORT'!H182:H259, "Positive")
</f>
        <v>0</v>
      </c>
      <c r="AL183" s="54">
        <f>COUNTIFS('APS Tubes IMPORT'!V182:V259, AG183, 'APS Tubes IMPORT'!H182:H259, "Inconclusive")
</f>
        <v>0</v>
      </c>
      <c r="AM183" s="54">
        <f>COUNTIFS('APS Tubes IMPORT'!V182:V259, AG183, 'APS Tubes IMPORT'!H182:H259, "Null")
</f>
        <v>0</v>
      </c>
      <c r="AN183" s="43"/>
      <c r="AP183" s="54"/>
      <c r="AQ183" s="54"/>
      <c r="AR183" s="54"/>
      <c r="AS183" s="54"/>
      <c r="AU183" s="43"/>
    </row>
    <row r="184">
      <c r="A184" s="7" t="s">
        <v>209</v>
      </c>
      <c r="B184" s="46">
        <f>VLOOKUP(A184,'ALL Tube Results'!$B$2:$D259,2,FALSE)</f>
        <v>45077</v>
      </c>
      <c r="C184" s="47">
        <f>COUNTIF('ALL Tube Results'!B183:B259, A184)
</f>
        <v>6</v>
      </c>
      <c r="D184" s="48">
        <f>COUNTIFS('ALL Tube Results'!$B183:$B259, $A184, 'ALL Tube Results'!$F183:$F259, "Negative")
</f>
        <v>6</v>
      </c>
      <c r="E184" s="48">
        <f>COUNTIFS('ALL Tube Results'!$B183:$B259, $A184, 'ALL Tube Results'!$F183:$F259, "Positive")
</f>
        <v>0</v>
      </c>
      <c r="F184" s="48">
        <f>COUNTIFS('ALL Tube Results'!$B183:$B259, $A184, 'ALL Tube Results'!$F183:$F259, "Inconclusive")
</f>
        <v>0</v>
      </c>
      <c r="G184" s="49">
        <f t="shared" si="7"/>
        <v>6</v>
      </c>
      <c r="H184" s="49" t="str">
        <f t="shared" si="8"/>
        <v/>
      </c>
      <c r="I184" s="50">
        <f t="shared" si="9"/>
        <v>6</v>
      </c>
      <c r="J184" s="51">
        <f t="shared" si="10"/>
        <v>0</v>
      </c>
      <c r="K184" s="51">
        <f t="shared" si="11"/>
        <v>0</v>
      </c>
      <c r="L184" s="51" t="str">
        <f t="shared" si="12"/>
        <v/>
      </c>
      <c r="M184" s="51" t="str">
        <f t="shared" si="13"/>
        <v/>
      </c>
      <c r="N184" s="51" t="str">
        <f t="shared" si="14"/>
        <v/>
      </c>
      <c r="O184" s="52">
        <f t="shared" si="15"/>
        <v>6</v>
      </c>
      <c r="P184" s="52" t="str">
        <f t="shared" si="16"/>
        <v/>
      </c>
      <c r="Q184" s="43"/>
      <c r="R184" s="7" t="s">
        <v>209</v>
      </c>
      <c r="S184" s="12">
        <v>45077.0</v>
      </c>
      <c r="T184" s="54">
        <f>VLOOKUP(R184,'Run Reconcile'!$A$2:$L259,12,FALSE)</f>
        <v>6</v>
      </c>
      <c r="U184" s="55" t="str">
        <f t="shared" si="17"/>
        <v/>
      </c>
      <c r="V184" s="54"/>
      <c r="W184" s="54"/>
      <c r="X184" s="43"/>
      <c r="Z184" s="12"/>
      <c r="AA184" s="54"/>
      <c r="AB184" s="54"/>
      <c r="AC184" s="54"/>
      <c r="AD184" s="54"/>
      <c r="AE184" s="56"/>
      <c r="AF184" s="43"/>
      <c r="AG184" s="58" t="s">
        <v>209</v>
      </c>
      <c r="AH184" s="46">
        <f>VLOOKUP(AG184,'Run Reconcile'!A$2:B259,2,FALSE)</f>
        <v>45077</v>
      </c>
      <c r="AI184" s="54">
        <f>COUNTIF('APS Tubes IMPORT'!$V$2:$V259, AG184)
</f>
        <v>6</v>
      </c>
      <c r="AJ184" s="54">
        <f>COUNTIFS('APS Tubes IMPORT'!V$2:V259, AG184, 'APS Tubes IMPORT'!H$2:H259, "Negative")
</f>
        <v>6</v>
      </c>
      <c r="AK184" s="54">
        <f>COUNTIFS('APS Tubes IMPORT'!V183:V259, AG184, 'APS Tubes IMPORT'!H183:H259, "Positive")
</f>
        <v>0</v>
      </c>
      <c r="AL184" s="54">
        <f>COUNTIFS('APS Tubes IMPORT'!V183:V259, AG184, 'APS Tubes IMPORT'!H183:H259, "Inconclusive")
</f>
        <v>0</v>
      </c>
      <c r="AM184" s="54">
        <f>COUNTIFS('APS Tubes IMPORT'!V183:V259, AG184, 'APS Tubes IMPORT'!H183:H259, "Null")
</f>
        <v>0</v>
      </c>
      <c r="AN184" s="43"/>
      <c r="AP184" s="54"/>
      <c r="AQ184" s="54"/>
      <c r="AR184" s="54"/>
      <c r="AS184" s="54"/>
      <c r="AU184" s="43"/>
    </row>
    <row r="185">
      <c r="A185" s="7" t="s">
        <v>210</v>
      </c>
      <c r="B185" s="46">
        <f>VLOOKUP(A185,'ALL Tube Results'!$B$2:$D259,2,FALSE)</f>
        <v>45078</v>
      </c>
      <c r="C185" s="47">
        <f>COUNTIF('ALL Tube Results'!B184:B259, A185)
</f>
        <v>5</v>
      </c>
      <c r="D185" s="48">
        <f>COUNTIFS('ALL Tube Results'!$B184:$B259, $A185, 'ALL Tube Results'!$F184:$F259, "Negative")
</f>
        <v>5</v>
      </c>
      <c r="E185" s="48">
        <f>COUNTIFS('ALL Tube Results'!$B184:$B259, $A185, 'ALL Tube Results'!$F184:$F259, "Positive")
</f>
        <v>0</v>
      </c>
      <c r="F185" s="48">
        <f>COUNTIFS('ALL Tube Results'!$B184:$B259, $A185, 'ALL Tube Results'!$F184:$F259, "Inconclusive")
</f>
        <v>0</v>
      </c>
      <c r="G185" s="49">
        <f t="shared" si="7"/>
        <v>5</v>
      </c>
      <c r="H185" s="49" t="str">
        <f t="shared" si="8"/>
        <v/>
      </c>
      <c r="I185" s="50">
        <f t="shared" si="9"/>
        <v>5</v>
      </c>
      <c r="J185" s="51">
        <f t="shared" si="10"/>
        <v>0</v>
      </c>
      <c r="K185" s="51">
        <f t="shared" si="11"/>
        <v>0</v>
      </c>
      <c r="L185" s="51" t="str">
        <f t="shared" si="12"/>
        <v/>
      </c>
      <c r="M185" s="51" t="str">
        <f t="shared" si="13"/>
        <v/>
      </c>
      <c r="N185" s="51" t="str">
        <f t="shared" si="14"/>
        <v/>
      </c>
      <c r="O185" s="52">
        <f t="shared" si="15"/>
        <v>5</v>
      </c>
      <c r="P185" s="52" t="str">
        <f t="shared" si="16"/>
        <v/>
      </c>
      <c r="Q185" s="43"/>
      <c r="R185" s="7" t="s">
        <v>210</v>
      </c>
      <c r="S185" s="12">
        <v>45078.0</v>
      </c>
      <c r="T185" s="54">
        <f>VLOOKUP(R185,'Run Reconcile'!$A$2:$L259,12,FALSE)</f>
        <v>5</v>
      </c>
      <c r="U185" s="55" t="str">
        <f t="shared" si="17"/>
        <v/>
      </c>
      <c r="V185" s="54"/>
      <c r="W185" s="54"/>
      <c r="X185" s="43"/>
      <c r="Z185" s="12"/>
      <c r="AA185" s="54"/>
      <c r="AB185" s="54"/>
      <c r="AC185" s="54"/>
      <c r="AD185" s="54"/>
      <c r="AE185" s="56"/>
      <c r="AF185" s="43"/>
      <c r="AG185" s="58" t="s">
        <v>210</v>
      </c>
      <c r="AH185" s="46">
        <f>VLOOKUP(AG185,'Run Reconcile'!A$2:B259,2,FALSE)</f>
        <v>45078</v>
      </c>
      <c r="AI185" s="54">
        <f>COUNTIF('APS Tubes IMPORT'!$V$2:$V259, AG185)
</f>
        <v>5</v>
      </c>
      <c r="AJ185" s="54">
        <f>COUNTIFS('APS Tubes IMPORT'!V$2:V259, AG185, 'APS Tubes IMPORT'!H$2:H259, "Negative")
</f>
        <v>5</v>
      </c>
      <c r="AK185" s="54">
        <f>COUNTIFS('APS Tubes IMPORT'!V184:V259, AG185, 'APS Tubes IMPORT'!H184:H259, "Positive")
</f>
        <v>0</v>
      </c>
      <c r="AL185" s="54">
        <f>COUNTIFS('APS Tubes IMPORT'!V184:V259, AG185, 'APS Tubes IMPORT'!H184:H259, "Inconclusive")
</f>
        <v>0</v>
      </c>
      <c r="AM185" s="54">
        <f>COUNTIFS('APS Tubes IMPORT'!V184:V259, AG185, 'APS Tubes IMPORT'!H184:H259, "Null")
</f>
        <v>0</v>
      </c>
      <c r="AN185" s="43"/>
      <c r="AP185" s="54"/>
      <c r="AQ185" s="54"/>
      <c r="AR185" s="54"/>
      <c r="AS185" s="54"/>
      <c r="AU185" s="43"/>
    </row>
    <row r="186">
      <c r="A186" s="7" t="s">
        <v>211</v>
      </c>
      <c r="B186" s="46">
        <f>VLOOKUP(A186,'ALL Tube Results'!$B$2:$D259,2,FALSE)</f>
        <v>45079</v>
      </c>
      <c r="C186" s="47">
        <f>COUNTIF('ALL Tube Results'!B185:B259, A186)
</f>
        <v>4</v>
      </c>
      <c r="D186" s="48">
        <f>COUNTIFS('ALL Tube Results'!$B185:$B259, $A186, 'ALL Tube Results'!$F185:$F259, "Negative")
</f>
        <v>4</v>
      </c>
      <c r="E186" s="48">
        <f>COUNTIFS('ALL Tube Results'!$B185:$B259, $A186, 'ALL Tube Results'!$F185:$F259, "Positive")
</f>
        <v>0</v>
      </c>
      <c r="F186" s="48">
        <f>COUNTIFS('ALL Tube Results'!$B185:$B259, $A186, 'ALL Tube Results'!$F185:$F259, "Inconclusive")
</f>
        <v>0</v>
      </c>
      <c r="G186" s="49">
        <f t="shared" si="7"/>
        <v>4</v>
      </c>
      <c r="H186" s="49" t="str">
        <f t="shared" si="8"/>
        <v/>
      </c>
      <c r="I186" s="50" t="str">
        <f t="shared" si="9"/>
        <v/>
      </c>
      <c r="J186" s="51" t="str">
        <f t="shared" si="10"/>
        <v/>
      </c>
      <c r="K186" s="51" t="str">
        <f t="shared" si="11"/>
        <v/>
      </c>
      <c r="L186" s="51">
        <f t="shared" si="12"/>
        <v>4</v>
      </c>
      <c r="M186" s="51" t="str">
        <f t="shared" si="13"/>
        <v/>
      </c>
      <c r="N186" s="51" t="str">
        <f t="shared" si="14"/>
        <v/>
      </c>
      <c r="O186" s="52">
        <f t="shared" si="15"/>
        <v>4</v>
      </c>
      <c r="P186" s="52" t="str">
        <f t="shared" si="16"/>
        <v/>
      </c>
      <c r="Q186" s="43"/>
      <c r="R186" s="7" t="s">
        <v>211</v>
      </c>
      <c r="S186" s="12">
        <v>45079.0</v>
      </c>
      <c r="T186" s="54">
        <f>VLOOKUP(R186,'Run Reconcile'!$A$2:$L259,12,FALSE)</f>
        <v>4</v>
      </c>
      <c r="U186" s="55" t="str">
        <f t="shared" si="17"/>
        <v/>
      </c>
      <c r="V186" s="54"/>
      <c r="W186" s="54"/>
      <c r="X186" s="43"/>
      <c r="Z186" s="12"/>
      <c r="AA186" s="54"/>
      <c r="AB186" s="54"/>
      <c r="AC186" s="54"/>
      <c r="AD186" s="54"/>
      <c r="AE186" s="56"/>
      <c r="AF186" s="43"/>
      <c r="AG186" s="58" t="s">
        <v>211</v>
      </c>
      <c r="AH186" s="46">
        <f>VLOOKUP(AG186,'Run Reconcile'!A$2:B259,2,FALSE)</f>
        <v>45079</v>
      </c>
      <c r="AI186" s="54">
        <f>COUNTIF('APS Tubes IMPORT'!$V$2:$V259, AG186)
</f>
        <v>4</v>
      </c>
      <c r="AJ186" s="54">
        <f>COUNTIFS('APS Tubes IMPORT'!V$2:V259, AG186, 'APS Tubes IMPORT'!H$2:H259, "Negative")
</f>
        <v>4</v>
      </c>
      <c r="AK186" s="54">
        <f>COUNTIFS('APS Tubes IMPORT'!V185:V259, AG186, 'APS Tubes IMPORT'!H185:H259, "Positive")
</f>
        <v>0</v>
      </c>
      <c r="AL186" s="54">
        <f>COUNTIFS('APS Tubes IMPORT'!V185:V259, AG186, 'APS Tubes IMPORT'!H185:H259, "Inconclusive")
</f>
        <v>0</v>
      </c>
      <c r="AM186" s="54">
        <f>COUNTIFS('APS Tubes IMPORT'!V185:V259, AG186, 'APS Tubes IMPORT'!H185:H259, "Null")
</f>
        <v>0</v>
      </c>
      <c r="AN186" s="43"/>
      <c r="AP186" s="54"/>
      <c r="AQ186" s="54"/>
      <c r="AR186" s="54"/>
      <c r="AS186" s="54"/>
      <c r="AU186" s="43"/>
    </row>
    <row r="187">
      <c r="A187" s="7"/>
      <c r="B187" s="54"/>
      <c r="C187" s="54"/>
      <c r="D187" s="54"/>
      <c r="E187" s="54"/>
      <c r="Q187" s="43"/>
      <c r="R187" s="7"/>
      <c r="S187" s="12"/>
      <c r="T187" s="54"/>
      <c r="U187" s="55" t="str">
        <f t="shared" si="17"/>
        <v/>
      </c>
      <c r="V187" s="54"/>
      <c r="W187" s="54"/>
      <c r="X187" s="43"/>
      <c r="Z187" s="12"/>
      <c r="AA187" s="54"/>
      <c r="AB187" s="54"/>
      <c r="AC187" s="54"/>
      <c r="AD187" s="54"/>
      <c r="AE187" s="56"/>
      <c r="AF187" s="43"/>
      <c r="AG187" s="58"/>
      <c r="AN187" s="43"/>
      <c r="AP187" s="54"/>
      <c r="AQ187" s="54"/>
      <c r="AR187" s="54"/>
      <c r="AS187" s="54"/>
      <c r="AU187" s="43"/>
    </row>
    <row r="188">
      <c r="B188" s="54"/>
      <c r="C188" s="54"/>
      <c r="D188" s="54"/>
      <c r="E188" s="54"/>
      <c r="Q188" s="43"/>
      <c r="R188" s="7"/>
      <c r="S188" s="12"/>
      <c r="T188" s="54"/>
      <c r="U188" s="55" t="str">
        <f t="shared" si="17"/>
        <v/>
      </c>
      <c r="V188" s="54"/>
      <c r="W188" s="54"/>
      <c r="X188" s="43"/>
      <c r="Z188" s="12"/>
      <c r="AA188" s="54"/>
      <c r="AB188" s="54"/>
      <c r="AC188" s="54"/>
      <c r="AD188" s="54"/>
      <c r="AE188" s="56"/>
      <c r="AF188" s="43"/>
      <c r="AN188" s="43"/>
      <c r="AP188" s="54"/>
      <c r="AQ188" s="54"/>
      <c r="AR188" s="54"/>
      <c r="AS188" s="54"/>
      <c r="AU188" s="43"/>
    </row>
    <row r="189">
      <c r="B189" s="54"/>
      <c r="C189" s="54"/>
      <c r="D189" s="54"/>
      <c r="E189" s="54"/>
      <c r="Q189" s="43"/>
      <c r="R189" s="7"/>
      <c r="S189" s="12"/>
      <c r="T189" s="54"/>
      <c r="U189" s="55" t="str">
        <f t="shared" si="17"/>
        <v/>
      </c>
      <c r="V189" s="54"/>
      <c r="W189" s="54"/>
      <c r="X189" s="43"/>
      <c r="Z189" s="12"/>
      <c r="AA189" s="54"/>
      <c r="AB189" s="54"/>
      <c r="AC189" s="54"/>
      <c r="AD189" s="54"/>
      <c r="AE189" s="56"/>
      <c r="AF189" s="43"/>
      <c r="AN189" s="43"/>
      <c r="AP189" s="54"/>
      <c r="AQ189" s="54"/>
      <c r="AR189" s="54"/>
      <c r="AS189" s="54"/>
      <c r="AU189" s="43"/>
    </row>
    <row r="190">
      <c r="B190" s="54"/>
      <c r="C190" s="54"/>
      <c r="D190" s="54"/>
      <c r="E190" s="54"/>
      <c r="Q190" s="43"/>
      <c r="R190" s="7"/>
      <c r="S190" s="12"/>
      <c r="T190" s="54"/>
      <c r="U190" s="55" t="str">
        <f t="shared" si="17"/>
        <v/>
      </c>
      <c r="V190" s="54"/>
      <c r="W190" s="54"/>
      <c r="X190" s="43"/>
      <c r="Z190" s="12"/>
      <c r="AA190" s="54"/>
      <c r="AB190" s="54"/>
      <c r="AC190" s="54"/>
      <c r="AD190" s="54"/>
      <c r="AE190" s="56"/>
      <c r="AF190" s="43"/>
      <c r="AN190" s="43"/>
      <c r="AP190" s="54"/>
      <c r="AQ190" s="54"/>
      <c r="AR190" s="54"/>
      <c r="AS190" s="54"/>
      <c r="AU190" s="43"/>
    </row>
    <row r="191">
      <c r="B191" s="54"/>
      <c r="C191" s="54"/>
      <c r="D191" s="54"/>
      <c r="E191" s="54"/>
      <c r="Q191" s="43"/>
      <c r="R191" s="7"/>
      <c r="S191" s="12"/>
      <c r="T191" s="54"/>
      <c r="U191" s="55" t="str">
        <f t="shared" si="17"/>
        <v/>
      </c>
      <c r="V191" s="54"/>
      <c r="W191" s="54"/>
      <c r="X191" s="43"/>
      <c r="Z191" s="12"/>
      <c r="AA191" s="54"/>
      <c r="AB191" s="54"/>
      <c r="AC191" s="54"/>
      <c r="AD191" s="54"/>
      <c r="AE191" s="56"/>
      <c r="AF191" s="43"/>
      <c r="AN191" s="43"/>
      <c r="AP191" s="54"/>
      <c r="AQ191" s="54"/>
      <c r="AR191" s="54"/>
      <c r="AS191" s="54"/>
      <c r="AU191" s="43"/>
    </row>
    <row r="192">
      <c r="B192" s="54"/>
      <c r="C192" s="54"/>
      <c r="D192" s="54"/>
      <c r="E192" s="54"/>
      <c r="Q192" s="43"/>
      <c r="R192" s="7"/>
      <c r="S192" s="12"/>
      <c r="T192" s="54"/>
      <c r="U192" s="55" t="str">
        <f t="shared" si="17"/>
        <v/>
      </c>
      <c r="V192" s="54"/>
      <c r="W192" s="54"/>
      <c r="X192" s="43"/>
      <c r="Z192" s="12"/>
      <c r="AA192" s="54"/>
      <c r="AB192" s="54"/>
      <c r="AC192" s="54"/>
      <c r="AD192" s="54"/>
      <c r="AE192" s="56"/>
      <c r="AF192" s="43"/>
      <c r="AN192" s="43"/>
      <c r="AP192" s="54"/>
      <c r="AQ192" s="54"/>
      <c r="AR192" s="54"/>
      <c r="AS192" s="54"/>
      <c r="AU192" s="43"/>
    </row>
    <row r="193">
      <c r="B193" s="54"/>
      <c r="C193" s="54"/>
      <c r="D193" s="54"/>
      <c r="E193" s="54"/>
      <c r="Q193" s="43"/>
      <c r="R193" s="7"/>
      <c r="S193" s="12"/>
      <c r="T193" s="54"/>
      <c r="U193" s="55" t="str">
        <f t="shared" si="17"/>
        <v/>
      </c>
      <c r="V193" s="54"/>
      <c r="W193" s="54"/>
      <c r="X193" s="43"/>
      <c r="Z193" s="12"/>
      <c r="AA193" s="54"/>
      <c r="AB193" s="54"/>
      <c r="AC193" s="54"/>
      <c r="AD193" s="54"/>
      <c r="AE193" s="56"/>
      <c r="AF193" s="43"/>
      <c r="AN193" s="43"/>
      <c r="AP193" s="54"/>
      <c r="AQ193" s="54"/>
      <c r="AR193" s="54"/>
      <c r="AS193" s="54"/>
      <c r="AU193" s="43"/>
    </row>
    <row r="194">
      <c r="B194" s="54"/>
      <c r="C194" s="54"/>
      <c r="D194" s="54"/>
      <c r="E194" s="54"/>
      <c r="Q194" s="43"/>
      <c r="R194" s="7"/>
      <c r="S194" s="12"/>
      <c r="T194" s="54"/>
      <c r="U194" s="55" t="str">
        <f t="shared" si="17"/>
        <v/>
      </c>
      <c r="V194" s="54"/>
      <c r="W194" s="54"/>
      <c r="X194" s="43"/>
      <c r="Z194" s="12"/>
      <c r="AA194" s="54"/>
      <c r="AB194" s="54"/>
      <c r="AC194" s="54"/>
      <c r="AD194" s="54"/>
      <c r="AE194" s="56"/>
      <c r="AF194" s="43"/>
      <c r="AN194" s="43"/>
      <c r="AP194" s="54"/>
      <c r="AQ194" s="54"/>
      <c r="AR194" s="54"/>
      <c r="AS194" s="54"/>
      <c r="AU194" s="43"/>
    </row>
    <row r="195">
      <c r="B195" s="54"/>
      <c r="C195" s="54"/>
      <c r="D195" s="54"/>
      <c r="E195" s="54"/>
      <c r="Q195" s="43"/>
      <c r="R195" s="7"/>
      <c r="S195" s="12"/>
      <c r="T195" s="54"/>
      <c r="U195" s="55" t="str">
        <f t="shared" si="17"/>
        <v/>
      </c>
      <c r="V195" s="54"/>
      <c r="W195" s="54"/>
      <c r="X195" s="43"/>
      <c r="Z195" s="12"/>
      <c r="AA195" s="54"/>
      <c r="AB195" s="54"/>
      <c r="AC195" s="54"/>
      <c r="AD195" s="54"/>
      <c r="AE195" s="56"/>
      <c r="AF195" s="43"/>
      <c r="AN195" s="43"/>
      <c r="AP195" s="54"/>
      <c r="AQ195" s="54"/>
      <c r="AR195" s="54"/>
      <c r="AS195" s="54"/>
      <c r="AU195" s="43"/>
    </row>
    <row r="196">
      <c r="B196" s="54"/>
      <c r="C196" s="54"/>
      <c r="D196" s="54"/>
      <c r="E196" s="54"/>
      <c r="Q196" s="43"/>
      <c r="R196" s="7"/>
      <c r="S196" s="12"/>
      <c r="T196" s="54"/>
      <c r="U196" s="55" t="str">
        <f t="shared" si="17"/>
        <v/>
      </c>
      <c r="V196" s="54"/>
      <c r="W196" s="54"/>
      <c r="X196" s="43"/>
      <c r="Z196" s="12"/>
      <c r="AA196" s="54"/>
      <c r="AB196" s="54"/>
      <c r="AC196" s="54"/>
      <c r="AD196" s="54"/>
      <c r="AE196" s="56"/>
      <c r="AF196" s="43"/>
      <c r="AN196" s="43"/>
      <c r="AP196" s="54"/>
      <c r="AQ196" s="54"/>
      <c r="AR196" s="54"/>
      <c r="AS196" s="54"/>
      <c r="AU196" s="43"/>
    </row>
    <row r="197">
      <c r="B197" s="54"/>
      <c r="C197" s="54"/>
      <c r="D197" s="54"/>
      <c r="E197" s="54"/>
      <c r="Q197" s="43"/>
      <c r="R197" s="7"/>
      <c r="S197" s="12"/>
      <c r="T197" s="54"/>
      <c r="U197" s="55" t="str">
        <f t="shared" si="17"/>
        <v/>
      </c>
      <c r="V197" s="54"/>
      <c r="W197" s="54"/>
      <c r="X197" s="43"/>
      <c r="Z197" s="12"/>
      <c r="AA197" s="54"/>
      <c r="AB197" s="54"/>
      <c r="AC197" s="54"/>
      <c r="AD197" s="54"/>
      <c r="AE197" s="56"/>
      <c r="AF197" s="43"/>
      <c r="AN197" s="43"/>
      <c r="AP197" s="54"/>
      <c r="AQ197" s="54"/>
      <c r="AR197" s="54"/>
      <c r="AS197" s="54"/>
      <c r="AU197" s="43"/>
    </row>
    <row r="198">
      <c r="B198" s="54"/>
      <c r="C198" s="54"/>
      <c r="D198" s="54"/>
      <c r="E198" s="54"/>
      <c r="Q198" s="43"/>
      <c r="R198" s="7"/>
      <c r="S198" s="12"/>
      <c r="T198" s="54"/>
      <c r="U198" s="55" t="str">
        <f t="shared" si="17"/>
        <v/>
      </c>
      <c r="V198" s="54"/>
      <c r="W198" s="54"/>
      <c r="X198" s="43"/>
      <c r="Z198" s="12"/>
      <c r="AA198" s="54"/>
      <c r="AB198" s="54"/>
      <c r="AC198" s="54"/>
      <c r="AD198" s="54"/>
      <c r="AE198" s="56"/>
      <c r="AF198" s="43"/>
      <c r="AN198" s="43"/>
      <c r="AP198" s="54"/>
      <c r="AQ198" s="54"/>
      <c r="AR198" s="54"/>
      <c r="AS198" s="54"/>
      <c r="AU198" s="43"/>
    </row>
    <row r="199">
      <c r="B199" s="54"/>
      <c r="C199" s="54"/>
      <c r="D199" s="54"/>
      <c r="E199" s="54"/>
      <c r="Q199" s="43"/>
      <c r="R199" s="7"/>
      <c r="S199" s="12"/>
      <c r="T199" s="54"/>
      <c r="U199" s="55" t="str">
        <f t="shared" si="17"/>
        <v/>
      </c>
      <c r="V199" s="54"/>
      <c r="W199" s="54"/>
      <c r="X199" s="43"/>
      <c r="Z199" s="12"/>
      <c r="AA199" s="54"/>
      <c r="AB199" s="54"/>
      <c r="AC199" s="54"/>
      <c r="AD199" s="54"/>
      <c r="AE199" s="56"/>
      <c r="AF199" s="43"/>
      <c r="AN199" s="43"/>
      <c r="AP199" s="54"/>
      <c r="AQ199" s="54"/>
      <c r="AR199" s="54"/>
      <c r="AS199" s="54"/>
      <c r="AU199" s="43"/>
    </row>
    <row r="200">
      <c r="B200" s="54"/>
      <c r="C200" s="54"/>
      <c r="D200" s="54"/>
      <c r="E200" s="54"/>
      <c r="Q200" s="43"/>
      <c r="R200" s="7"/>
      <c r="S200" s="12"/>
      <c r="T200" s="54"/>
      <c r="U200" s="55" t="str">
        <f t="shared" si="17"/>
        <v/>
      </c>
      <c r="V200" s="54"/>
      <c r="W200" s="54"/>
      <c r="X200" s="43"/>
      <c r="Z200" s="12"/>
      <c r="AA200" s="54"/>
      <c r="AB200" s="54"/>
      <c r="AC200" s="54"/>
      <c r="AD200" s="54"/>
      <c r="AE200" s="56"/>
      <c r="AF200" s="43"/>
      <c r="AN200" s="43"/>
      <c r="AP200" s="54"/>
      <c r="AQ200" s="54"/>
      <c r="AR200" s="54"/>
      <c r="AS200" s="54"/>
      <c r="AU200" s="43"/>
    </row>
    <row r="201">
      <c r="B201" s="54"/>
      <c r="C201" s="54"/>
      <c r="D201" s="54"/>
      <c r="E201" s="54"/>
      <c r="Q201" s="43"/>
      <c r="R201" s="7"/>
      <c r="S201" s="12"/>
      <c r="T201" s="54"/>
      <c r="U201" s="55" t="str">
        <f t="shared" si="17"/>
        <v/>
      </c>
      <c r="V201" s="54"/>
      <c r="W201" s="54"/>
      <c r="X201" s="43"/>
      <c r="Z201" s="12"/>
      <c r="AA201" s="54"/>
      <c r="AB201" s="54"/>
      <c r="AC201" s="54"/>
      <c r="AD201" s="54"/>
      <c r="AE201" s="56"/>
      <c r="AF201" s="43"/>
      <c r="AN201" s="43"/>
      <c r="AP201" s="54"/>
      <c r="AQ201" s="54"/>
      <c r="AR201" s="54"/>
      <c r="AS201" s="54"/>
      <c r="AU201" s="43"/>
    </row>
    <row r="202">
      <c r="B202" s="54"/>
      <c r="C202" s="54"/>
      <c r="D202" s="54"/>
      <c r="E202" s="54"/>
      <c r="Q202" s="43"/>
      <c r="R202" s="7"/>
      <c r="S202" s="12"/>
      <c r="T202" s="54"/>
      <c r="U202" s="55" t="str">
        <f t="shared" si="17"/>
        <v/>
      </c>
      <c r="V202" s="54"/>
      <c r="W202" s="54"/>
      <c r="X202" s="43"/>
      <c r="Z202" s="12"/>
      <c r="AA202" s="54"/>
      <c r="AB202" s="54"/>
      <c r="AC202" s="54"/>
      <c r="AD202" s="54"/>
      <c r="AE202" s="56"/>
      <c r="AF202" s="43"/>
      <c r="AN202" s="43"/>
      <c r="AP202" s="54"/>
      <c r="AQ202" s="54"/>
      <c r="AR202" s="54"/>
      <c r="AS202" s="54"/>
      <c r="AU202" s="43"/>
    </row>
    <row r="203">
      <c r="B203" s="54"/>
      <c r="C203" s="54"/>
      <c r="D203" s="54"/>
      <c r="E203" s="54"/>
      <c r="Q203" s="43"/>
      <c r="R203" s="7"/>
      <c r="S203" s="12"/>
      <c r="T203" s="54"/>
      <c r="U203" s="55" t="str">
        <f t="shared" si="17"/>
        <v/>
      </c>
      <c r="V203" s="54"/>
      <c r="W203" s="54"/>
      <c r="X203" s="43"/>
      <c r="Z203" s="12"/>
      <c r="AA203" s="54"/>
      <c r="AB203" s="54"/>
      <c r="AC203" s="54"/>
      <c r="AD203" s="54"/>
      <c r="AE203" s="56"/>
      <c r="AF203" s="43"/>
      <c r="AN203" s="43"/>
      <c r="AP203" s="54"/>
      <c r="AQ203" s="54"/>
      <c r="AR203" s="54"/>
      <c r="AS203" s="54"/>
      <c r="AU203" s="43"/>
    </row>
    <row r="204">
      <c r="B204" s="54"/>
      <c r="C204" s="54"/>
      <c r="D204" s="54"/>
      <c r="E204" s="54"/>
      <c r="Q204" s="43"/>
      <c r="R204" s="7"/>
      <c r="S204" s="12"/>
      <c r="T204" s="54"/>
      <c r="U204" s="55" t="str">
        <f t="shared" si="17"/>
        <v/>
      </c>
      <c r="V204" s="54"/>
      <c r="W204" s="54"/>
      <c r="X204" s="43"/>
      <c r="Z204" s="12"/>
      <c r="AA204" s="54"/>
      <c r="AB204" s="54"/>
      <c r="AC204" s="54"/>
      <c r="AD204" s="54"/>
      <c r="AE204" s="56"/>
      <c r="AF204" s="43"/>
      <c r="AN204" s="43"/>
      <c r="AP204" s="54"/>
      <c r="AQ204" s="54"/>
      <c r="AR204" s="54"/>
      <c r="AS204" s="54"/>
      <c r="AU204" s="43"/>
    </row>
    <row r="205">
      <c r="B205" s="54"/>
      <c r="C205" s="54"/>
      <c r="D205" s="54"/>
      <c r="E205" s="54"/>
      <c r="Q205" s="43"/>
      <c r="R205" s="7"/>
      <c r="S205" s="12"/>
      <c r="T205" s="54"/>
      <c r="U205" s="55" t="str">
        <f t="shared" si="17"/>
        <v/>
      </c>
      <c r="V205" s="54"/>
      <c r="W205" s="54"/>
      <c r="X205" s="43"/>
      <c r="Z205" s="12"/>
      <c r="AA205" s="54"/>
      <c r="AB205" s="54"/>
      <c r="AC205" s="54"/>
      <c r="AD205" s="54"/>
      <c r="AE205" s="56"/>
      <c r="AF205" s="43"/>
      <c r="AN205" s="43"/>
      <c r="AP205" s="54"/>
      <c r="AQ205" s="54"/>
      <c r="AR205" s="54"/>
      <c r="AS205" s="54"/>
      <c r="AU205" s="43"/>
    </row>
    <row r="206">
      <c r="B206" s="54"/>
      <c r="C206" s="54"/>
      <c r="D206" s="54"/>
      <c r="E206" s="54"/>
      <c r="Q206" s="43"/>
      <c r="R206" s="7"/>
      <c r="S206" s="12"/>
      <c r="T206" s="54"/>
      <c r="U206" s="55" t="str">
        <f t="shared" si="17"/>
        <v/>
      </c>
      <c r="V206" s="54"/>
      <c r="W206" s="54"/>
      <c r="X206" s="43"/>
      <c r="Z206" s="12"/>
      <c r="AA206" s="54"/>
      <c r="AB206" s="54"/>
      <c r="AC206" s="54"/>
      <c r="AD206" s="54"/>
      <c r="AE206" s="56"/>
      <c r="AF206" s="43"/>
      <c r="AN206" s="43"/>
      <c r="AP206" s="54"/>
      <c r="AQ206" s="54"/>
      <c r="AR206" s="54"/>
      <c r="AS206" s="54"/>
      <c r="AU206" s="43"/>
    </row>
    <row r="207">
      <c r="B207" s="54"/>
      <c r="C207" s="54"/>
      <c r="D207" s="54"/>
      <c r="E207" s="54"/>
      <c r="Q207" s="43"/>
      <c r="R207" s="7"/>
      <c r="S207" s="12"/>
      <c r="T207" s="54"/>
      <c r="U207" s="55" t="str">
        <f t="shared" si="17"/>
        <v/>
      </c>
      <c r="V207" s="54"/>
      <c r="W207" s="54"/>
      <c r="X207" s="43"/>
      <c r="Z207" s="12"/>
      <c r="AA207" s="54"/>
      <c r="AB207" s="54"/>
      <c r="AC207" s="54"/>
      <c r="AD207" s="54"/>
      <c r="AE207" s="56"/>
      <c r="AF207" s="43"/>
      <c r="AN207" s="43"/>
      <c r="AP207" s="54"/>
      <c r="AQ207" s="54"/>
      <c r="AR207" s="54"/>
      <c r="AS207" s="54"/>
      <c r="AU207" s="43"/>
    </row>
    <row r="208">
      <c r="B208" s="54"/>
      <c r="C208" s="54"/>
      <c r="D208" s="54"/>
      <c r="E208" s="54"/>
      <c r="Q208" s="43"/>
      <c r="R208" s="7"/>
      <c r="S208" s="12"/>
      <c r="T208" s="54"/>
      <c r="U208" s="55" t="str">
        <f t="shared" si="17"/>
        <v/>
      </c>
      <c r="V208" s="54"/>
      <c r="W208" s="54"/>
      <c r="X208" s="43"/>
      <c r="Z208" s="12"/>
      <c r="AA208" s="54"/>
      <c r="AB208" s="54"/>
      <c r="AC208" s="54"/>
      <c r="AD208" s="54"/>
      <c r="AE208" s="56"/>
      <c r="AF208" s="43"/>
      <c r="AN208" s="43"/>
      <c r="AP208" s="54"/>
      <c r="AQ208" s="54"/>
      <c r="AR208" s="54"/>
      <c r="AS208" s="54"/>
      <c r="AU208" s="43"/>
    </row>
    <row r="209">
      <c r="B209" s="54"/>
      <c r="C209" s="54"/>
      <c r="D209" s="54"/>
      <c r="E209" s="54"/>
      <c r="Q209" s="43"/>
      <c r="R209" s="7"/>
      <c r="S209" s="12"/>
      <c r="T209" s="54"/>
      <c r="U209" s="55" t="str">
        <f t="shared" si="17"/>
        <v/>
      </c>
      <c r="V209" s="54"/>
      <c r="W209" s="54"/>
      <c r="X209" s="43"/>
      <c r="Z209" s="12"/>
      <c r="AA209" s="54"/>
      <c r="AB209" s="54"/>
      <c r="AC209" s="54"/>
      <c r="AD209" s="54"/>
      <c r="AE209" s="56"/>
      <c r="AF209" s="43"/>
      <c r="AN209" s="43"/>
      <c r="AP209" s="54"/>
      <c r="AQ209" s="54"/>
      <c r="AR209" s="54"/>
      <c r="AS209" s="54"/>
      <c r="AU209" s="43"/>
    </row>
    <row r="210">
      <c r="B210" s="54"/>
      <c r="C210" s="54"/>
      <c r="D210" s="54"/>
      <c r="E210" s="54"/>
      <c r="Q210" s="43"/>
      <c r="R210" s="7"/>
      <c r="S210" s="12"/>
      <c r="T210" s="54"/>
      <c r="U210" s="55" t="str">
        <f t="shared" si="17"/>
        <v/>
      </c>
      <c r="V210" s="54"/>
      <c r="W210" s="54"/>
      <c r="X210" s="43"/>
      <c r="Z210" s="12"/>
      <c r="AA210" s="54"/>
      <c r="AB210" s="54"/>
      <c r="AC210" s="54"/>
      <c r="AD210" s="54"/>
      <c r="AE210" s="56"/>
      <c r="AF210" s="43"/>
      <c r="AN210" s="43"/>
      <c r="AP210" s="54"/>
      <c r="AQ210" s="54"/>
      <c r="AR210" s="54"/>
      <c r="AS210" s="54"/>
      <c r="AU210" s="43"/>
    </row>
    <row r="211">
      <c r="B211" s="54"/>
      <c r="C211" s="54"/>
      <c r="D211" s="54"/>
      <c r="E211" s="54"/>
      <c r="Q211" s="43"/>
      <c r="R211" s="7"/>
      <c r="S211" s="12"/>
      <c r="T211" s="54"/>
      <c r="U211" s="55" t="str">
        <f t="shared" si="17"/>
        <v/>
      </c>
      <c r="V211" s="54"/>
      <c r="W211" s="54"/>
      <c r="X211" s="43"/>
      <c r="Z211" s="12"/>
      <c r="AA211" s="54"/>
      <c r="AB211" s="54"/>
      <c r="AC211" s="54"/>
      <c r="AD211" s="54"/>
      <c r="AE211" s="56"/>
      <c r="AF211" s="43"/>
      <c r="AN211" s="43"/>
      <c r="AP211" s="54"/>
      <c r="AQ211" s="54"/>
      <c r="AR211" s="54"/>
      <c r="AS211" s="54"/>
      <c r="AU211" s="43"/>
    </row>
    <row r="212">
      <c r="B212" s="54"/>
      <c r="C212" s="54"/>
      <c r="D212" s="54"/>
      <c r="E212" s="54"/>
      <c r="Q212" s="43"/>
      <c r="R212" s="7"/>
      <c r="S212" s="12"/>
      <c r="T212" s="54"/>
      <c r="U212" s="55" t="str">
        <f t="shared" si="17"/>
        <v/>
      </c>
      <c r="V212" s="54"/>
      <c r="W212" s="54"/>
      <c r="X212" s="43"/>
      <c r="Z212" s="12"/>
      <c r="AA212" s="54"/>
      <c r="AB212" s="54"/>
      <c r="AC212" s="54"/>
      <c r="AD212" s="54"/>
      <c r="AE212" s="56"/>
      <c r="AF212" s="43"/>
      <c r="AN212" s="43"/>
      <c r="AP212" s="54"/>
      <c r="AQ212" s="54"/>
      <c r="AR212" s="54"/>
      <c r="AS212" s="54"/>
      <c r="AU212" s="43"/>
    </row>
    <row r="213">
      <c r="B213" s="54"/>
      <c r="C213" s="54"/>
      <c r="D213" s="54"/>
      <c r="E213" s="54"/>
      <c r="Q213" s="43"/>
      <c r="R213" s="7"/>
      <c r="S213" s="12"/>
      <c r="T213" s="54"/>
      <c r="U213" s="55" t="str">
        <f t="shared" si="17"/>
        <v/>
      </c>
      <c r="V213" s="54"/>
      <c r="W213" s="54"/>
      <c r="X213" s="43"/>
      <c r="Z213" s="12"/>
      <c r="AA213" s="54"/>
      <c r="AB213" s="54"/>
      <c r="AC213" s="54"/>
      <c r="AD213" s="54"/>
      <c r="AE213" s="56"/>
      <c r="AF213" s="43"/>
      <c r="AN213" s="43"/>
      <c r="AP213" s="54"/>
      <c r="AQ213" s="54"/>
      <c r="AR213" s="54"/>
      <c r="AS213" s="54"/>
      <c r="AU213" s="43"/>
    </row>
    <row r="214">
      <c r="B214" s="54"/>
      <c r="C214" s="54"/>
      <c r="D214" s="54"/>
      <c r="E214" s="54"/>
      <c r="Q214" s="43"/>
      <c r="R214" s="7"/>
      <c r="S214" s="12"/>
      <c r="T214" s="54"/>
      <c r="U214" s="55" t="str">
        <f t="shared" si="17"/>
        <v/>
      </c>
      <c r="V214" s="54"/>
      <c r="W214" s="54"/>
      <c r="X214" s="43"/>
      <c r="Z214" s="12"/>
      <c r="AA214" s="54"/>
      <c r="AB214" s="54"/>
      <c r="AC214" s="54"/>
      <c r="AD214" s="54"/>
      <c r="AE214" s="56"/>
      <c r="AF214" s="43"/>
      <c r="AN214" s="43"/>
      <c r="AP214" s="54"/>
      <c r="AQ214" s="54"/>
      <c r="AR214" s="54"/>
      <c r="AS214" s="54"/>
      <c r="AU214" s="43"/>
    </row>
    <row r="215">
      <c r="B215" s="54"/>
      <c r="C215" s="54"/>
      <c r="D215" s="54"/>
      <c r="E215" s="54"/>
      <c r="Q215" s="43"/>
      <c r="R215" s="7"/>
      <c r="S215" s="12"/>
      <c r="T215" s="54"/>
      <c r="U215" s="55" t="str">
        <f t="shared" si="17"/>
        <v/>
      </c>
      <c r="V215" s="54"/>
      <c r="W215" s="54"/>
      <c r="X215" s="43"/>
      <c r="Z215" s="12"/>
      <c r="AA215" s="54"/>
      <c r="AB215" s="54"/>
      <c r="AC215" s="54"/>
      <c r="AD215" s="54"/>
      <c r="AE215" s="56"/>
      <c r="AF215" s="43"/>
      <c r="AN215" s="43"/>
      <c r="AP215" s="54"/>
      <c r="AQ215" s="54"/>
      <c r="AR215" s="54"/>
      <c r="AS215" s="54"/>
      <c r="AU215" s="43"/>
    </row>
    <row r="216">
      <c r="B216" s="54"/>
      <c r="C216" s="54"/>
      <c r="D216" s="54"/>
      <c r="E216" s="54"/>
      <c r="Q216" s="43"/>
      <c r="R216" s="7"/>
      <c r="S216" s="12"/>
      <c r="T216" s="54"/>
      <c r="U216" s="55" t="str">
        <f t="shared" si="17"/>
        <v/>
      </c>
      <c r="V216" s="54"/>
      <c r="W216" s="54"/>
      <c r="X216" s="43"/>
      <c r="Z216" s="12"/>
      <c r="AA216" s="54"/>
      <c r="AB216" s="54"/>
      <c r="AC216" s="54"/>
      <c r="AD216" s="54"/>
      <c r="AE216" s="56"/>
      <c r="AF216" s="43"/>
      <c r="AN216" s="43"/>
      <c r="AP216" s="54"/>
      <c r="AQ216" s="54"/>
      <c r="AR216" s="54"/>
      <c r="AS216" s="54"/>
      <c r="AU216" s="43"/>
    </row>
    <row r="217">
      <c r="B217" s="54"/>
      <c r="C217" s="54"/>
      <c r="D217" s="54"/>
      <c r="E217" s="54"/>
      <c r="Q217" s="43"/>
      <c r="R217" s="7"/>
      <c r="S217" s="12"/>
      <c r="T217" s="54"/>
      <c r="U217" s="55" t="str">
        <f t="shared" si="17"/>
        <v/>
      </c>
      <c r="V217" s="54"/>
      <c r="W217" s="54"/>
      <c r="X217" s="43"/>
      <c r="Z217" s="12"/>
      <c r="AA217" s="54"/>
      <c r="AB217" s="54"/>
      <c r="AC217" s="54"/>
      <c r="AD217" s="54"/>
      <c r="AE217" s="56"/>
      <c r="AF217" s="43"/>
      <c r="AN217" s="43"/>
      <c r="AP217" s="54"/>
      <c r="AQ217" s="54"/>
      <c r="AR217" s="54"/>
      <c r="AS217" s="54"/>
      <c r="AU217" s="43"/>
    </row>
    <row r="218">
      <c r="B218" s="54"/>
      <c r="C218" s="54"/>
      <c r="D218" s="54"/>
      <c r="E218" s="54"/>
      <c r="Q218" s="43"/>
      <c r="R218" s="7"/>
      <c r="S218" s="12"/>
      <c r="T218" s="54"/>
      <c r="U218" s="55" t="str">
        <f t="shared" si="17"/>
        <v/>
      </c>
      <c r="V218" s="54"/>
      <c r="W218" s="54"/>
      <c r="X218" s="43"/>
      <c r="Z218" s="12"/>
      <c r="AA218" s="54"/>
      <c r="AB218" s="54"/>
      <c r="AC218" s="54"/>
      <c r="AD218" s="54"/>
      <c r="AE218" s="56"/>
      <c r="AF218" s="43"/>
      <c r="AN218" s="43"/>
      <c r="AP218" s="54"/>
      <c r="AQ218" s="54"/>
      <c r="AR218" s="54"/>
      <c r="AS218" s="54"/>
      <c r="AU218" s="43"/>
    </row>
    <row r="219">
      <c r="B219" s="54"/>
      <c r="C219" s="54"/>
      <c r="D219" s="54"/>
      <c r="E219" s="54"/>
      <c r="Q219" s="43"/>
      <c r="R219" s="7"/>
      <c r="S219" s="12"/>
      <c r="T219" s="54"/>
      <c r="U219" s="55" t="str">
        <f t="shared" si="17"/>
        <v/>
      </c>
      <c r="V219" s="54"/>
      <c r="W219" s="54"/>
      <c r="X219" s="43"/>
      <c r="Z219" s="12"/>
      <c r="AA219" s="54"/>
      <c r="AB219" s="54"/>
      <c r="AC219" s="54"/>
      <c r="AD219" s="54"/>
      <c r="AE219" s="56"/>
      <c r="AF219" s="43"/>
      <c r="AN219" s="43"/>
      <c r="AP219" s="54"/>
      <c r="AQ219" s="54"/>
      <c r="AR219" s="54"/>
      <c r="AS219" s="54"/>
      <c r="AU219" s="43"/>
    </row>
    <row r="220">
      <c r="B220" s="54"/>
      <c r="C220" s="54"/>
      <c r="D220" s="54"/>
      <c r="E220" s="54"/>
      <c r="Q220" s="43"/>
      <c r="R220" s="7"/>
      <c r="S220" s="12"/>
      <c r="T220" s="54"/>
      <c r="U220" s="55" t="str">
        <f t="shared" si="17"/>
        <v/>
      </c>
      <c r="V220" s="54"/>
      <c r="W220" s="54"/>
      <c r="X220" s="43"/>
      <c r="Z220" s="12"/>
      <c r="AA220" s="54"/>
      <c r="AB220" s="54"/>
      <c r="AC220" s="54"/>
      <c r="AD220" s="54"/>
      <c r="AE220" s="56"/>
      <c r="AF220" s="43"/>
      <c r="AN220" s="43"/>
      <c r="AP220" s="54"/>
      <c r="AQ220" s="54"/>
      <c r="AR220" s="54"/>
      <c r="AS220" s="54"/>
      <c r="AU220" s="43"/>
    </row>
    <row r="221">
      <c r="B221" s="54"/>
      <c r="C221" s="54"/>
      <c r="D221" s="54"/>
      <c r="E221" s="54"/>
      <c r="Q221" s="43"/>
      <c r="R221" s="7"/>
      <c r="S221" s="12"/>
      <c r="T221" s="54"/>
      <c r="U221" s="55" t="str">
        <f t="shared" si="17"/>
        <v/>
      </c>
      <c r="V221" s="54"/>
      <c r="W221" s="54"/>
      <c r="X221" s="43"/>
      <c r="Z221" s="12"/>
      <c r="AA221" s="54"/>
      <c r="AB221" s="54"/>
      <c r="AC221" s="54"/>
      <c r="AD221" s="54"/>
      <c r="AE221" s="56"/>
      <c r="AF221" s="43"/>
      <c r="AN221" s="43"/>
      <c r="AP221" s="54"/>
      <c r="AQ221" s="54"/>
      <c r="AR221" s="54"/>
      <c r="AS221" s="54"/>
      <c r="AU221" s="43"/>
    </row>
    <row r="222">
      <c r="B222" s="54"/>
      <c r="C222" s="54"/>
      <c r="D222" s="54"/>
      <c r="E222" s="54"/>
      <c r="Q222" s="43"/>
      <c r="R222" s="7"/>
      <c r="S222" s="12"/>
      <c r="T222" s="54"/>
      <c r="U222" s="55" t="str">
        <f t="shared" si="17"/>
        <v/>
      </c>
      <c r="V222" s="54"/>
      <c r="W222" s="54"/>
      <c r="X222" s="43"/>
      <c r="Z222" s="12"/>
      <c r="AA222" s="54"/>
      <c r="AB222" s="54"/>
      <c r="AC222" s="54"/>
      <c r="AD222" s="54"/>
      <c r="AE222" s="56"/>
      <c r="AF222" s="43"/>
      <c r="AN222" s="43"/>
      <c r="AP222" s="54"/>
      <c r="AQ222" s="54"/>
      <c r="AR222" s="54"/>
      <c r="AS222" s="54"/>
      <c r="AU222" s="43"/>
    </row>
    <row r="223">
      <c r="B223" s="54"/>
      <c r="C223" s="54"/>
      <c r="D223" s="54"/>
      <c r="E223" s="54"/>
      <c r="Q223" s="43"/>
      <c r="R223" s="7"/>
      <c r="S223" s="12"/>
      <c r="T223" s="54"/>
      <c r="U223" s="55" t="str">
        <f t="shared" si="17"/>
        <v/>
      </c>
      <c r="V223" s="54"/>
      <c r="W223" s="54"/>
      <c r="X223" s="43"/>
      <c r="Z223" s="12"/>
      <c r="AA223" s="54"/>
      <c r="AB223" s="54"/>
      <c r="AC223" s="54"/>
      <c r="AD223" s="54"/>
      <c r="AE223" s="56"/>
      <c r="AF223" s="43"/>
      <c r="AN223" s="43"/>
      <c r="AP223" s="54"/>
      <c r="AQ223" s="54"/>
      <c r="AR223" s="54"/>
      <c r="AS223" s="54"/>
      <c r="AU223" s="43"/>
    </row>
    <row r="224">
      <c r="B224" s="54"/>
      <c r="C224" s="54"/>
      <c r="D224" s="54"/>
      <c r="E224" s="54"/>
      <c r="Q224" s="43"/>
      <c r="R224" s="7"/>
      <c r="S224" s="12"/>
      <c r="T224" s="54"/>
      <c r="U224" s="55" t="str">
        <f t="shared" si="17"/>
        <v/>
      </c>
      <c r="V224" s="54"/>
      <c r="W224" s="54"/>
      <c r="X224" s="43"/>
      <c r="Z224" s="12"/>
      <c r="AA224" s="54"/>
      <c r="AB224" s="54"/>
      <c r="AC224" s="54"/>
      <c r="AD224" s="54"/>
      <c r="AE224" s="56"/>
      <c r="AF224" s="43"/>
      <c r="AN224" s="43"/>
      <c r="AP224" s="54"/>
      <c r="AQ224" s="54"/>
      <c r="AR224" s="54"/>
      <c r="AS224" s="54"/>
      <c r="AU224" s="43"/>
    </row>
    <row r="225">
      <c r="B225" s="54"/>
      <c r="C225" s="54"/>
      <c r="D225" s="54"/>
      <c r="E225" s="54"/>
      <c r="Q225" s="43"/>
      <c r="R225" s="7"/>
      <c r="S225" s="12"/>
      <c r="T225" s="54"/>
      <c r="U225" s="55" t="str">
        <f t="shared" si="17"/>
        <v/>
      </c>
      <c r="V225" s="54"/>
      <c r="W225" s="54"/>
      <c r="X225" s="43"/>
      <c r="Z225" s="12"/>
      <c r="AA225" s="54"/>
      <c r="AB225" s="54"/>
      <c r="AC225" s="54"/>
      <c r="AD225" s="54"/>
      <c r="AE225" s="56"/>
      <c r="AF225" s="43"/>
      <c r="AN225" s="43"/>
      <c r="AP225" s="54"/>
      <c r="AQ225" s="54"/>
      <c r="AR225" s="54"/>
      <c r="AS225" s="54"/>
      <c r="AU225" s="43"/>
    </row>
    <row r="226">
      <c r="B226" s="54"/>
      <c r="C226" s="54"/>
      <c r="D226" s="54"/>
      <c r="E226" s="54"/>
      <c r="Q226" s="43"/>
      <c r="R226" s="7"/>
      <c r="S226" s="12"/>
      <c r="T226" s="54"/>
      <c r="U226" s="55" t="str">
        <f t="shared" si="17"/>
        <v/>
      </c>
      <c r="V226" s="54"/>
      <c r="W226" s="54"/>
      <c r="X226" s="43"/>
      <c r="Z226" s="12"/>
      <c r="AA226" s="54"/>
      <c r="AB226" s="54"/>
      <c r="AC226" s="54"/>
      <c r="AD226" s="54"/>
      <c r="AE226" s="56"/>
      <c r="AF226" s="43"/>
      <c r="AN226" s="43"/>
      <c r="AP226" s="54"/>
      <c r="AQ226" s="54"/>
      <c r="AR226" s="54"/>
      <c r="AS226" s="54"/>
      <c r="AU226" s="43"/>
    </row>
    <row r="227">
      <c r="B227" s="54"/>
      <c r="C227" s="54"/>
      <c r="D227" s="54"/>
      <c r="E227" s="54"/>
      <c r="Q227" s="43"/>
      <c r="R227" s="7"/>
      <c r="S227" s="12"/>
      <c r="T227" s="54"/>
      <c r="U227" s="55" t="str">
        <f t="shared" si="17"/>
        <v/>
      </c>
      <c r="V227" s="54"/>
      <c r="W227" s="54"/>
      <c r="X227" s="43"/>
      <c r="Z227" s="12"/>
      <c r="AA227" s="54"/>
      <c r="AB227" s="54"/>
      <c r="AC227" s="54"/>
      <c r="AD227" s="54"/>
      <c r="AE227" s="56"/>
      <c r="AF227" s="43"/>
      <c r="AN227" s="43"/>
      <c r="AP227" s="54"/>
      <c r="AQ227" s="54"/>
      <c r="AR227" s="54"/>
      <c r="AS227" s="54"/>
      <c r="AU227" s="43"/>
    </row>
    <row r="228">
      <c r="B228" s="54"/>
      <c r="C228" s="54"/>
      <c r="D228" s="54"/>
      <c r="E228" s="54"/>
      <c r="Q228" s="43"/>
      <c r="R228" s="7"/>
      <c r="S228" s="12"/>
      <c r="T228" s="54"/>
      <c r="U228" s="55" t="str">
        <f t="shared" si="17"/>
        <v/>
      </c>
      <c r="V228" s="54"/>
      <c r="W228" s="54"/>
      <c r="X228" s="43"/>
      <c r="Z228" s="12"/>
      <c r="AA228" s="54"/>
      <c r="AB228" s="54"/>
      <c r="AC228" s="54"/>
      <c r="AD228" s="54"/>
      <c r="AE228" s="56"/>
      <c r="AF228" s="43"/>
      <c r="AN228" s="43"/>
      <c r="AP228" s="54"/>
      <c r="AQ228" s="54"/>
      <c r="AR228" s="54"/>
      <c r="AS228" s="54"/>
      <c r="AU228" s="43"/>
    </row>
    <row r="229">
      <c r="B229" s="54"/>
      <c r="C229" s="54"/>
      <c r="D229" s="54"/>
      <c r="E229" s="54"/>
      <c r="Q229" s="43"/>
      <c r="R229" s="7"/>
      <c r="S229" s="12"/>
      <c r="T229" s="54"/>
      <c r="U229" s="55" t="str">
        <f t="shared" si="17"/>
        <v/>
      </c>
      <c r="V229" s="54"/>
      <c r="W229" s="54"/>
      <c r="X229" s="43"/>
      <c r="Z229" s="12"/>
      <c r="AA229" s="54"/>
      <c r="AB229" s="54"/>
      <c r="AC229" s="54"/>
      <c r="AD229" s="54"/>
      <c r="AE229" s="56"/>
      <c r="AF229" s="43"/>
      <c r="AN229" s="43"/>
      <c r="AP229" s="54"/>
      <c r="AQ229" s="54"/>
      <c r="AR229" s="54"/>
      <c r="AS229" s="54"/>
      <c r="AU229" s="43"/>
    </row>
    <row r="230">
      <c r="B230" s="54"/>
      <c r="C230" s="54"/>
      <c r="D230" s="54"/>
      <c r="E230" s="54"/>
      <c r="Q230" s="43"/>
      <c r="R230" s="7"/>
      <c r="S230" s="12"/>
      <c r="T230" s="54"/>
      <c r="U230" s="55" t="str">
        <f t="shared" si="17"/>
        <v/>
      </c>
      <c r="V230" s="54"/>
      <c r="W230" s="54"/>
      <c r="X230" s="43"/>
      <c r="Z230" s="12"/>
      <c r="AA230" s="54"/>
      <c r="AB230" s="54"/>
      <c r="AC230" s="54"/>
      <c r="AD230" s="54"/>
      <c r="AE230" s="56"/>
      <c r="AF230" s="43"/>
      <c r="AN230" s="43"/>
      <c r="AP230" s="54"/>
      <c r="AQ230" s="54"/>
      <c r="AR230" s="54"/>
      <c r="AS230" s="54"/>
      <c r="AU230" s="43"/>
    </row>
    <row r="231">
      <c r="B231" s="54"/>
      <c r="C231" s="54"/>
      <c r="D231" s="54"/>
      <c r="E231" s="54"/>
      <c r="Q231" s="43"/>
      <c r="R231" s="7"/>
      <c r="S231" s="12"/>
      <c r="T231" s="54"/>
      <c r="U231" s="55" t="str">
        <f t="shared" si="17"/>
        <v/>
      </c>
      <c r="V231" s="54"/>
      <c r="W231" s="54"/>
      <c r="X231" s="43"/>
      <c r="Z231" s="12"/>
      <c r="AA231" s="54"/>
      <c r="AB231" s="54"/>
      <c r="AC231" s="54"/>
      <c r="AD231" s="54"/>
      <c r="AE231" s="56"/>
      <c r="AF231" s="43"/>
      <c r="AN231" s="43"/>
      <c r="AP231" s="54"/>
      <c r="AQ231" s="54"/>
      <c r="AR231" s="54"/>
      <c r="AS231" s="54"/>
      <c r="AU231" s="43"/>
    </row>
    <row r="232">
      <c r="B232" s="54"/>
      <c r="C232" s="54"/>
      <c r="D232" s="54"/>
      <c r="E232" s="54"/>
      <c r="Q232" s="43"/>
      <c r="R232" s="7"/>
      <c r="S232" s="12"/>
      <c r="T232" s="54"/>
      <c r="U232" s="55" t="str">
        <f t="shared" si="17"/>
        <v/>
      </c>
      <c r="V232" s="54"/>
      <c r="W232" s="54"/>
      <c r="X232" s="43"/>
      <c r="Z232" s="12"/>
      <c r="AA232" s="54"/>
      <c r="AB232" s="54"/>
      <c r="AC232" s="54"/>
      <c r="AD232" s="54"/>
      <c r="AE232" s="56"/>
      <c r="AF232" s="43"/>
      <c r="AN232" s="43"/>
      <c r="AP232" s="54"/>
      <c r="AQ232" s="54"/>
      <c r="AR232" s="54"/>
      <c r="AS232" s="54"/>
      <c r="AU232" s="43"/>
    </row>
    <row r="233">
      <c r="B233" s="54"/>
      <c r="C233" s="54"/>
      <c r="D233" s="54"/>
      <c r="E233" s="54"/>
      <c r="Q233" s="43"/>
      <c r="R233" s="7"/>
      <c r="S233" s="12"/>
      <c r="T233" s="54"/>
      <c r="U233" s="55" t="str">
        <f t="shared" si="17"/>
        <v/>
      </c>
      <c r="V233" s="54"/>
      <c r="W233" s="54"/>
      <c r="X233" s="43"/>
      <c r="Z233" s="12"/>
      <c r="AA233" s="54"/>
      <c r="AB233" s="54"/>
      <c r="AC233" s="54"/>
      <c r="AD233" s="54"/>
      <c r="AE233" s="56"/>
      <c r="AF233" s="43"/>
      <c r="AN233" s="43"/>
      <c r="AP233" s="54"/>
      <c r="AQ233" s="54"/>
      <c r="AR233" s="54"/>
      <c r="AS233" s="54"/>
      <c r="AU233" s="43"/>
    </row>
    <row r="234">
      <c r="B234" s="54"/>
      <c r="C234" s="54"/>
      <c r="D234" s="54"/>
      <c r="E234" s="54"/>
      <c r="Q234" s="43"/>
      <c r="R234" s="7"/>
      <c r="S234" s="12"/>
      <c r="T234" s="54"/>
      <c r="U234" s="55" t="str">
        <f t="shared" si="17"/>
        <v/>
      </c>
      <c r="V234" s="54"/>
      <c r="W234" s="54"/>
      <c r="X234" s="43"/>
      <c r="Z234" s="12"/>
      <c r="AA234" s="54"/>
      <c r="AB234" s="54"/>
      <c r="AC234" s="54"/>
      <c r="AD234" s="54"/>
      <c r="AE234" s="56"/>
      <c r="AF234" s="43"/>
      <c r="AN234" s="43"/>
      <c r="AP234" s="54"/>
      <c r="AQ234" s="54"/>
      <c r="AR234" s="54"/>
      <c r="AS234" s="54"/>
      <c r="AU234" s="43"/>
    </row>
    <row r="235">
      <c r="B235" s="54"/>
      <c r="C235" s="54"/>
      <c r="D235" s="54"/>
      <c r="E235" s="54"/>
      <c r="Q235" s="43"/>
      <c r="R235" s="7"/>
      <c r="S235" s="12"/>
      <c r="T235" s="54"/>
      <c r="U235" s="55" t="str">
        <f t="shared" si="17"/>
        <v/>
      </c>
      <c r="V235" s="54"/>
      <c r="W235" s="54"/>
      <c r="X235" s="43"/>
      <c r="Z235" s="12"/>
      <c r="AA235" s="54"/>
      <c r="AB235" s="54"/>
      <c r="AC235" s="54"/>
      <c r="AD235" s="54"/>
      <c r="AE235" s="56"/>
      <c r="AF235" s="43"/>
      <c r="AN235" s="43"/>
      <c r="AP235" s="54"/>
      <c r="AQ235" s="54"/>
      <c r="AR235" s="54"/>
      <c r="AS235" s="54"/>
      <c r="AU235" s="43"/>
    </row>
    <row r="236">
      <c r="B236" s="54"/>
      <c r="C236" s="54"/>
      <c r="D236" s="54"/>
      <c r="E236" s="54"/>
      <c r="Q236" s="43"/>
      <c r="R236" s="7"/>
      <c r="S236" s="12"/>
      <c r="T236" s="54"/>
      <c r="U236" s="55" t="str">
        <f t="shared" si="17"/>
        <v/>
      </c>
      <c r="V236" s="54"/>
      <c r="W236" s="54"/>
      <c r="X236" s="43"/>
      <c r="Z236" s="12"/>
      <c r="AA236" s="54"/>
      <c r="AB236" s="54"/>
      <c r="AC236" s="54"/>
      <c r="AD236" s="54"/>
      <c r="AE236" s="56"/>
      <c r="AF236" s="43"/>
      <c r="AN236" s="43"/>
      <c r="AP236" s="54"/>
      <c r="AQ236" s="54"/>
      <c r="AR236" s="54"/>
      <c r="AS236" s="54"/>
      <c r="AU236" s="43"/>
    </row>
    <row r="237">
      <c r="B237" s="54"/>
      <c r="C237" s="54"/>
      <c r="D237" s="54"/>
      <c r="E237" s="54"/>
      <c r="Q237" s="43"/>
      <c r="R237" s="7"/>
      <c r="S237" s="12"/>
      <c r="T237" s="54"/>
      <c r="U237" s="55" t="str">
        <f t="shared" si="17"/>
        <v/>
      </c>
      <c r="V237" s="54"/>
      <c r="W237" s="54"/>
      <c r="X237" s="43"/>
      <c r="Z237" s="12"/>
      <c r="AA237" s="54"/>
      <c r="AB237" s="54"/>
      <c r="AC237" s="54"/>
      <c r="AD237" s="54"/>
      <c r="AE237" s="56"/>
      <c r="AF237" s="43"/>
      <c r="AN237" s="43"/>
      <c r="AP237" s="54"/>
      <c r="AQ237" s="54"/>
      <c r="AR237" s="54"/>
      <c r="AS237" s="54"/>
      <c r="AU237" s="43"/>
    </row>
    <row r="238">
      <c r="B238" s="54"/>
      <c r="C238" s="54"/>
      <c r="D238" s="54"/>
      <c r="E238" s="54"/>
      <c r="Q238" s="43"/>
      <c r="R238" s="7"/>
      <c r="S238" s="12"/>
      <c r="T238" s="54"/>
      <c r="U238" s="55" t="str">
        <f t="shared" si="17"/>
        <v/>
      </c>
      <c r="V238" s="54"/>
      <c r="W238" s="54"/>
      <c r="X238" s="43"/>
      <c r="Z238" s="12"/>
      <c r="AA238" s="54"/>
      <c r="AB238" s="54"/>
      <c r="AC238" s="54"/>
      <c r="AD238" s="54"/>
      <c r="AE238" s="56"/>
      <c r="AF238" s="43"/>
      <c r="AN238" s="43"/>
      <c r="AP238" s="54"/>
      <c r="AQ238" s="54"/>
      <c r="AR238" s="54"/>
      <c r="AS238" s="54"/>
      <c r="AU238" s="43"/>
    </row>
    <row r="239">
      <c r="B239" s="54"/>
      <c r="C239" s="54"/>
      <c r="D239" s="54"/>
      <c r="E239" s="54"/>
      <c r="Q239" s="43"/>
      <c r="R239" s="7"/>
      <c r="S239" s="12"/>
      <c r="T239" s="54"/>
      <c r="U239" s="55" t="str">
        <f t="shared" si="17"/>
        <v/>
      </c>
      <c r="V239" s="54"/>
      <c r="W239" s="54"/>
      <c r="X239" s="43"/>
      <c r="Z239" s="12"/>
      <c r="AA239" s="54"/>
      <c r="AB239" s="54"/>
      <c r="AC239" s="54"/>
      <c r="AD239" s="54"/>
      <c r="AE239" s="56"/>
      <c r="AF239" s="43"/>
      <c r="AN239" s="43"/>
      <c r="AP239" s="54"/>
      <c r="AQ239" s="54"/>
      <c r="AR239" s="54"/>
      <c r="AS239" s="54"/>
      <c r="AU239" s="43"/>
    </row>
    <row r="240">
      <c r="B240" s="54"/>
      <c r="C240" s="54"/>
      <c r="D240" s="54"/>
      <c r="E240" s="54"/>
      <c r="Q240" s="43"/>
      <c r="R240" s="7"/>
      <c r="S240" s="12"/>
      <c r="T240" s="54"/>
      <c r="U240" s="55" t="str">
        <f t="shared" si="17"/>
        <v/>
      </c>
      <c r="V240" s="54"/>
      <c r="W240" s="54"/>
      <c r="X240" s="43"/>
      <c r="Z240" s="12"/>
      <c r="AA240" s="54"/>
      <c r="AB240" s="54"/>
      <c r="AC240" s="54"/>
      <c r="AD240" s="54"/>
      <c r="AE240" s="56"/>
      <c r="AF240" s="43"/>
      <c r="AN240" s="43"/>
      <c r="AP240" s="54"/>
      <c r="AQ240" s="54"/>
      <c r="AR240" s="54"/>
      <c r="AS240" s="54"/>
      <c r="AU240" s="43"/>
    </row>
    <row r="241">
      <c r="B241" s="54"/>
      <c r="C241" s="54"/>
      <c r="D241" s="54"/>
      <c r="E241" s="54"/>
      <c r="Q241" s="43"/>
      <c r="R241" s="7"/>
      <c r="S241" s="12"/>
      <c r="T241" s="54"/>
      <c r="U241" s="55" t="str">
        <f t="shared" si="17"/>
        <v/>
      </c>
      <c r="V241" s="54"/>
      <c r="W241" s="54"/>
      <c r="X241" s="43"/>
      <c r="Z241" s="12"/>
      <c r="AA241" s="54"/>
      <c r="AB241" s="54"/>
      <c r="AC241" s="54"/>
      <c r="AD241" s="54"/>
      <c r="AE241" s="56"/>
      <c r="AF241" s="43"/>
      <c r="AN241" s="43"/>
      <c r="AP241" s="54"/>
      <c r="AQ241" s="54"/>
      <c r="AR241" s="54"/>
      <c r="AS241" s="54"/>
      <c r="AU241" s="43"/>
    </row>
    <row r="242">
      <c r="B242" s="54"/>
      <c r="C242" s="54"/>
      <c r="D242" s="54"/>
      <c r="E242" s="54"/>
      <c r="Q242" s="43"/>
      <c r="R242" s="7"/>
      <c r="S242" s="12"/>
      <c r="T242" s="54"/>
      <c r="U242" s="55" t="str">
        <f t="shared" si="17"/>
        <v/>
      </c>
      <c r="V242" s="54"/>
      <c r="W242" s="54"/>
      <c r="X242" s="43"/>
      <c r="Z242" s="12"/>
      <c r="AA242" s="54"/>
      <c r="AB242" s="54"/>
      <c r="AC242" s="54"/>
      <c r="AD242" s="54"/>
      <c r="AE242" s="56"/>
      <c r="AF242" s="43"/>
      <c r="AN242" s="43"/>
      <c r="AP242" s="54"/>
      <c r="AQ242" s="54"/>
      <c r="AR242" s="54"/>
      <c r="AS242" s="54"/>
      <c r="AU242" s="43"/>
    </row>
    <row r="243">
      <c r="B243" s="54"/>
      <c r="C243" s="54"/>
      <c r="D243" s="54"/>
      <c r="E243" s="54"/>
      <c r="Q243" s="43"/>
      <c r="R243" s="7"/>
      <c r="S243" s="12"/>
      <c r="T243" s="54"/>
      <c r="U243" s="55" t="str">
        <f t="shared" si="17"/>
        <v/>
      </c>
      <c r="V243" s="54"/>
      <c r="W243" s="54"/>
      <c r="X243" s="43"/>
      <c r="Z243" s="12"/>
      <c r="AA243" s="54"/>
      <c r="AB243" s="54"/>
      <c r="AC243" s="54"/>
      <c r="AD243" s="54"/>
      <c r="AE243" s="56"/>
      <c r="AF243" s="43"/>
      <c r="AN243" s="43"/>
      <c r="AP243" s="54"/>
      <c r="AQ243" s="54"/>
      <c r="AR243" s="54"/>
      <c r="AS243" s="54"/>
      <c r="AU243" s="43"/>
    </row>
    <row r="244">
      <c r="B244" s="54"/>
      <c r="C244" s="54"/>
      <c r="D244" s="54"/>
      <c r="E244" s="54"/>
      <c r="Q244" s="43"/>
      <c r="R244" s="7"/>
      <c r="S244" s="12"/>
      <c r="T244" s="54"/>
      <c r="U244" s="55" t="str">
        <f t="shared" si="17"/>
        <v/>
      </c>
      <c r="V244" s="54"/>
      <c r="W244" s="54"/>
      <c r="X244" s="43"/>
      <c r="Z244" s="12"/>
      <c r="AA244" s="54"/>
      <c r="AB244" s="54"/>
      <c r="AC244" s="54"/>
      <c r="AD244" s="54"/>
      <c r="AE244" s="56"/>
      <c r="AF244" s="43"/>
      <c r="AN244" s="43"/>
      <c r="AP244" s="54"/>
      <c r="AQ244" s="54"/>
      <c r="AR244" s="54"/>
      <c r="AS244" s="54"/>
      <c r="AU244" s="43"/>
    </row>
    <row r="245">
      <c r="B245" s="54"/>
      <c r="C245" s="54"/>
      <c r="D245" s="54"/>
      <c r="E245" s="54"/>
      <c r="Q245" s="43"/>
      <c r="R245" s="7"/>
      <c r="S245" s="12"/>
      <c r="T245" s="54"/>
      <c r="U245" s="55" t="str">
        <f t="shared" si="17"/>
        <v/>
      </c>
      <c r="V245" s="54"/>
      <c r="W245" s="54"/>
      <c r="X245" s="43"/>
      <c r="Z245" s="12"/>
      <c r="AA245" s="54"/>
      <c r="AB245" s="54"/>
      <c r="AC245" s="54"/>
      <c r="AD245" s="54"/>
      <c r="AE245" s="56"/>
      <c r="AF245" s="43"/>
      <c r="AN245" s="43"/>
      <c r="AP245" s="54"/>
      <c r="AQ245" s="54"/>
      <c r="AR245" s="54"/>
      <c r="AS245" s="54"/>
      <c r="AU245" s="43"/>
    </row>
    <row r="246">
      <c r="B246" s="54"/>
      <c r="C246" s="54"/>
      <c r="D246" s="54"/>
      <c r="E246" s="54"/>
      <c r="Q246" s="43"/>
      <c r="R246" s="7"/>
      <c r="S246" s="12"/>
      <c r="T246" s="54"/>
      <c r="U246" s="55" t="str">
        <f t="shared" si="17"/>
        <v/>
      </c>
      <c r="V246" s="54"/>
      <c r="W246" s="54"/>
      <c r="X246" s="43"/>
      <c r="Z246" s="12"/>
      <c r="AA246" s="54"/>
      <c r="AB246" s="54"/>
      <c r="AC246" s="54"/>
      <c r="AD246" s="54"/>
      <c r="AE246" s="56"/>
      <c r="AF246" s="43"/>
      <c r="AN246" s="43"/>
      <c r="AP246" s="54"/>
      <c r="AQ246" s="54"/>
      <c r="AR246" s="54"/>
      <c r="AS246" s="54"/>
      <c r="AU246" s="43"/>
    </row>
    <row r="247">
      <c r="B247" s="54"/>
      <c r="C247" s="54"/>
      <c r="D247" s="54"/>
      <c r="E247" s="54"/>
      <c r="Q247" s="43"/>
      <c r="R247" s="7"/>
      <c r="S247" s="12"/>
      <c r="T247" s="54"/>
      <c r="U247" s="55" t="str">
        <f t="shared" si="17"/>
        <v/>
      </c>
      <c r="V247" s="54"/>
      <c r="W247" s="54"/>
      <c r="X247" s="43"/>
      <c r="Z247" s="12"/>
      <c r="AA247" s="54"/>
      <c r="AB247" s="54"/>
      <c r="AC247" s="54"/>
      <c r="AD247" s="54"/>
      <c r="AE247" s="56"/>
      <c r="AF247" s="43"/>
      <c r="AN247" s="43"/>
      <c r="AP247" s="54"/>
      <c r="AQ247" s="54"/>
      <c r="AR247" s="54"/>
      <c r="AS247" s="54"/>
      <c r="AU247" s="43"/>
    </row>
    <row r="248">
      <c r="B248" s="54"/>
      <c r="C248" s="54"/>
      <c r="D248" s="54"/>
      <c r="E248" s="54"/>
      <c r="Q248" s="43"/>
      <c r="R248" s="7"/>
      <c r="S248" s="12"/>
      <c r="T248" s="54"/>
      <c r="U248" s="55" t="str">
        <f t="shared" si="17"/>
        <v/>
      </c>
      <c r="V248" s="54"/>
      <c r="W248" s="54"/>
      <c r="X248" s="43"/>
      <c r="Z248" s="12"/>
      <c r="AA248" s="54"/>
      <c r="AB248" s="54"/>
      <c r="AC248" s="54"/>
      <c r="AD248" s="54"/>
      <c r="AE248" s="56"/>
      <c r="AF248" s="43"/>
      <c r="AN248" s="43"/>
      <c r="AP248" s="54"/>
      <c r="AQ248" s="54"/>
      <c r="AR248" s="54"/>
      <c r="AS248" s="54"/>
      <c r="AU248" s="43"/>
    </row>
    <row r="249">
      <c r="B249" s="54"/>
      <c r="C249" s="54"/>
      <c r="D249" s="54"/>
      <c r="E249" s="54"/>
      <c r="Q249" s="43"/>
      <c r="R249" s="7"/>
      <c r="S249" s="12"/>
      <c r="T249" s="54"/>
      <c r="U249" s="55" t="str">
        <f t="shared" si="17"/>
        <v/>
      </c>
      <c r="V249" s="54"/>
      <c r="W249" s="54"/>
      <c r="X249" s="43"/>
      <c r="Z249" s="12"/>
      <c r="AA249" s="54"/>
      <c r="AB249" s="54"/>
      <c r="AC249" s="54"/>
      <c r="AD249" s="54"/>
      <c r="AE249" s="56"/>
      <c r="AF249" s="43"/>
      <c r="AN249" s="43"/>
      <c r="AP249" s="54"/>
      <c r="AQ249" s="54"/>
      <c r="AR249" s="54"/>
      <c r="AS249" s="54"/>
      <c r="AU249" s="43"/>
    </row>
    <row r="250">
      <c r="B250" s="54"/>
      <c r="C250" s="54"/>
      <c r="D250" s="54"/>
      <c r="E250" s="54"/>
      <c r="Q250" s="43"/>
      <c r="R250" s="7"/>
      <c r="S250" s="12"/>
      <c r="T250" s="54"/>
      <c r="U250" s="55" t="str">
        <f t="shared" si="17"/>
        <v/>
      </c>
      <c r="V250" s="54"/>
      <c r="W250" s="54"/>
      <c r="X250" s="43"/>
      <c r="Z250" s="12"/>
      <c r="AA250" s="54"/>
      <c r="AB250" s="54"/>
      <c r="AC250" s="54"/>
      <c r="AD250" s="54"/>
      <c r="AE250" s="56"/>
      <c r="AF250" s="43"/>
      <c r="AN250" s="43"/>
      <c r="AP250" s="54"/>
      <c r="AQ250" s="54"/>
      <c r="AR250" s="54"/>
      <c r="AS250" s="54"/>
      <c r="AU250" s="43"/>
    </row>
    <row r="251">
      <c r="B251" s="54"/>
      <c r="C251" s="54"/>
      <c r="D251" s="54"/>
      <c r="E251" s="54"/>
      <c r="Q251" s="43"/>
      <c r="R251" s="7"/>
      <c r="S251" s="12"/>
      <c r="T251" s="54"/>
      <c r="U251" s="55" t="str">
        <f t="shared" si="17"/>
        <v/>
      </c>
      <c r="V251" s="54"/>
      <c r="W251" s="54"/>
      <c r="X251" s="43"/>
      <c r="Z251" s="12"/>
      <c r="AA251" s="54"/>
      <c r="AB251" s="54"/>
      <c r="AC251" s="54"/>
      <c r="AD251" s="54"/>
      <c r="AE251" s="56"/>
      <c r="AF251" s="43"/>
      <c r="AN251" s="43"/>
      <c r="AP251" s="54"/>
      <c r="AQ251" s="54"/>
      <c r="AR251" s="54"/>
      <c r="AS251" s="54"/>
      <c r="AU251" s="43"/>
    </row>
    <row r="252">
      <c r="B252" s="54"/>
      <c r="C252" s="54"/>
      <c r="D252" s="54"/>
      <c r="E252" s="54"/>
      <c r="Q252" s="43"/>
      <c r="R252" s="7"/>
      <c r="S252" s="12"/>
      <c r="T252" s="54"/>
      <c r="U252" s="55" t="str">
        <f t="shared" si="17"/>
        <v/>
      </c>
      <c r="V252" s="54"/>
      <c r="W252" s="54"/>
      <c r="X252" s="43"/>
      <c r="Z252" s="12"/>
      <c r="AA252" s="54"/>
      <c r="AB252" s="54"/>
      <c r="AC252" s="54"/>
      <c r="AD252" s="54"/>
      <c r="AE252" s="56"/>
      <c r="AF252" s="43"/>
      <c r="AN252" s="43"/>
      <c r="AP252" s="54"/>
      <c r="AQ252" s="54"/>
      <c r="AR252" s="54"/>
      <c r="AS252" s="54"/>
      <c r="AU252" s="43"/>
    </row>
    <row r="253">
      <c r="B253" s="54"/>
      <c r="C253" s="54"/>
      <c r="D253" s="54"/>
      <c r="E253" s="54"/>
      <c r="Q253" s="43"/>
      <c r="R253" s="7"/>
      <c r="S253" s="12"/>
      <c r="T253" s="54"/>
      <c r="U253" s="55" t="str">
        <f t="shared" si="17"/>
        <v/>
      </c>
      <c r="V253" s="54"/>
      <c r="W253" s="54"/>
      <c r="X253" s="43"/>
      <c r="Z253" s="12"/>
      <c r="AA253" s="54"/>
      <c r="AB253" s="54"/>
      <c r="AC253" s="54"/>
      <c r="AD253" s="54"/>
      <c r="AE253" s="56"/>
      <c r="AF253" s="43"/>
      <c r="AN253" s="43"/>
      <c r="AP253" s="54"/>
      <c r="AQ253" s="54"/>
      <c r="AR253" s="54"/>
      <c r="AS253" s="54"/>
      <c r="AU253" s="43"/>
    </row>
    <row r="254">
      <c r="B254" s="54"/>
      <c r="C254" s="54"/>
      <c r="D254" s="54"/>
      <c r="E254" s="54"/>
      <c r="Q254" s="43"/>
      <c r="R254" s="7"/>
      <c r="S254" s="12"/>
      <c r="T254" s="54"/>
      <c r="U254" s="55" t="str">
        <f t="shared" si="17"/>
        <v/>
      </c>
      <c r="V254" s="54"/>
      <c r="W254" s="54"/>
      <c r="X254" s="43"/>
      <c r="Z254" s="12"/>
      <c r="AA254" s="54"/>
      <c r="AB254" s="54"/>
      <c r="AC254" s="54"/>
      <c r="AD254" s="54"/>
      <c r="AE254" s="56"/>
      <c r="AF254" s="43"/>
      <c r="AN254" s="43"/>
      <c r="AP254" s="54"/>
      <c r="AQ254" s="54"/>
      <c r="AR254" s="54"/>
      <c r="AS254" s="54"/>
      <c r="AU254" s="43"/>
    </row>
    <row r="255">
      <c r="B255" s="54"/>
      <c r="C255" s="54"/>
      <c r="D255" s="54"/>
      <c r="E255" s="54"/>
      <c r="Q255" s="43"/>
      <c r="R255" s="7"/>
      <c r="S255" s="12"/>
      <c r="T255" s="54"/>
      <c r="U255" s="55" t="str">
        <f t="shared" si="17"/>
        <v/>
      </c>
      <c r="V255" s="54"/>
      <c r="W255" s="54"/>
      <c r="X255" s="43"/>
      <c r="Z255" s="12"/>
      <c r="AA255" s="54"/>
      <c r="AB255" s="54"/>
      <c r="AC255" s="54"/>
      <c r="AD255" s="54"/>
      <c r="AE255" s="56"/>
      <c r="AF255" s="43"/>
      <c r="AN255" s="43"/>
      <c r="AP255" s="54"/>
      <c r="AQ255" s="54"/>
      <c r="AR255" s="54"/>
      <c r="AS255" s="54"/>
      <c r="AU255" s="43"/>
    </row>
    <row r="256">
      <c r="B256" s="54"/>
      <c r="C256" s="54"/>
      <c r="D256" s="54"/>
      <c r="E256" s="54"/>
      <c r="Q256" s="43"/>
      <c r="R256" s="7"/>
      <c r="S256" s="12"/>
      <c r="T256" s="54"/>
      <c r="U256" s="55" t="str">
        <f t="shared" si="17"/>
        <v/>
      </c>
      <c r="V256" s="54"/>
      <c r="W256" s="54"/>
      <c r="X256" s="43"/>
      <c r="Z256" s="12"/>
      <c r="AA256" s="54"/>
      <c r="AB256" s="54"/>
      <c r="AC256" s="54"/>
      <c r="AD256" s="54"/>
      <c r="AE256" s="56"/>
      <c r="AF256" s="43"/>
      <c r="AN256" s="43"/>
      <c r="AP256" s="54"/>
      <c r="AQ256" s="54"/>
      <c r="AR256" s="54"/>
      <c r="AS256" s="54"/>
      <c r="AU256" s="43"/>
    </row>
    <row r="257">
      <c r="B257" s="54"/>
      <c r="C257" s="54"/>
      <c r="D257" s="54"/>
      <c r="E257" s="54"/>
      <c r="Q257" s="43"/>
      <c r="R257" s="7"/>
      <c r="S257" s="12"/>
      <c r="T257" s="54"/>
      <c r="U257" s="55" t="str">
        <f t="shared" si="17"/>
        <v/>
      </c>
      <c r="V257" s="54"/>
      <c r="W257" s="54"/>
      <c r="X257" s="43"/>
      <c r="Z257" s="12"/>
      <c r="AA257" s="54"/>
      <c r="AB257" s="54"/>
      <c r="AC257" s="54"/>
      <c r="AD257" s="54"/>
      <c r="AE257" s="56"/>
      <c r="AF257" s="43"/>
      <c r="AN257" s="43"/>
      <c r="AP257" s="54"/>
      <c r="AQ257" s="54"/>
      <c r="AR257" s="54"/>
      <c r="AS257" s="54"/>
      <c r="AU257" s="43"/>
    </row>
    <row r="258">
      <c r="B258" s="54"/>
      <c r="C258" s="54"/>
      <c r="D258" s="54"/>
      <c r="E258" s="54"/>
      <c r="Q258" s="43"/>
      <c r="R258" s="7"/>
      <c r="S258" s="12"/>
      <c r="T258" s="54"/>
      <c r="U258" s="55" t="str">
        <f t="shared" si="17"/>
        <v/>
      </c>
      <c r="V258" s="54"/>
      <c r="W258" s="54"/>
      <c r="X258" s="43"/>
      <c r="Z258" s="12"/>
      <c r="AA258" s="54"/>
      <c r="AB258" s="54"/>
      <c r="AC258" s="54"/>
      <c r="AD258" s="54"/>
      <c r="AE258" s="56"/>
      <c r="AF258" s="43"/>
      <c r="AN258" s="43"/>
      <c r="AP258" s="54"/>
      <c r="AQ258" s="54"/>
      <c r="AR258" s="54"/>
      <c r="AS258" s="54"/>
      <c r="AU258" s="43"/>
    </row>
    <row r="259">
      <c r="B259" s="54"/>
      <c r="C259" s="54"/>
      <c r="D259" s="54"/>
      <c r="E259" s="54"/>
      <c r="Q259" s="43"/>
      <c r="R259" s="7"/>
      <c r="S259" s="12"/>
      <c r="T259" s="54"/>
      <c r="U259" s="55" t="str">
        <f t="shared" si="17"/>
        <v/>
      </c>
      <c r="V259" s="54"/>
      <c r="W259" s="54"/>
      <c r="X259" s="43"/>
      <c r="Z259" s="12"/>
      <c r="AA259" s="54"/>
      <c r="AB259" s="54"/>
      <c r="AC259" s="54"/>
      <c r="AD259" s="54"/>
      <c r="AE259" s="56"/>
      <c r="AF259" s="43"/>
      <c r="AN259" s="43"/>
      <c r="AP259" s="54"/>
      <c r="AQ259" s="54"/>
      <c r="AR259" s="54"/>
      <c r="AS259" s="54"/>
      <c r="AU259" s="4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9.13"/>
    <col customWidth="1" min="3" max="3" width="11.25"/>
    <col customWidth="1" min="7" max="7" width="8.0"/>
    <col customWidth="1" min="8" max="8" width="9.63"/>
    <col customWidth="1" min="9" max="9" width="10.75"/>
    <col customWidth="1" min="10" max="10" width="12.13"/>
    <col customWidth="1" min="11" max="11" width="10.63"/>
    <col customWidth="1" min="13" max="13" width="11.63"/>
    <col customWidth="1" min="14" max="14" width="10.13"/>
    <col customWidth="1" min="16" max="16" width="29.88"/>
    <col customWidth="1" min="17" max="17" width="20.75"/>
    <col customWidth="1" min="18" max="18" width="7.13"/>
    <col customWidth="1" min="19" max="19" width="3.13"/>
    <col customWidth="1" min="20" max="20" width="27.0"/>
    <col customWidth="1" min="21" max="21" width="13.88"/>
    <col customWidth="1" min="22" max="22" width="14.75"/>
    <col customWidth="1" min="23" max="23" width="7.75"/>
    <col customWidth="1" min="24" max="24" width="3.63"/>
    <col customWidth="1" min="25" max="25" width="33.13"/>
    <col customWidth="1" min="26" max="26" width="15.25"/>
    <col customWidth="1" min="27" max="28" width="10.13"/>
    <col customWidth="1" min="29" max="29" width="3.75"/>
    <col customWidth="1" min="30" max="30" width="27.0"/>
    <col customWidth="1" min="31" max="31" width="6.25"/>
    <col customWidth="1" min="32" max="32" width="3.63"/>
    <col customWidth="1" min="33" max="33" width="5.0"/>
    <col customWidth="1" min="34" max="34" width="5.63"/>
    <col customWidth="1" min="35" max="35" width="5.38"/>
    <col customWidth="1" min="39" max="39" width="2.63"/>
  </cols>
  <sheetData>
    <row r="1">
      <c r="A1" s="62" t="s">
        <v>212</v>
      </c>
      <c r="B1" s="62" t="s">
        <v>213</v>
      </c>
      <c r="C1" s="63" t="s">
        <v>214</v>
      </c>
      <c r="D1" s="63" t="str">
        <f>'RFR Data - preExcl'!E1</f>
        <v>RAW Num of Samples (Gform)</v>
      </c>
      <c r="E1" s="63" t="str">
        <f>'RFR Data - preExcl'!Z1</f>
        <v>Num Rxn Including Controls (from paper form)</v>
      </c>
      <c r="F1" s="64" t="s">
        <v>215</v>
      </c>
      <c r="G1" s="63" t="str">
        <f>'RFR Data - preExcl'!AK1</f>
        <v>RFR Audit
Num
Run Tubes</v>
      </c>
      <c r="H1" s="63" t="s">
        <v>216</v>
      </c>
      <c r="I1" s="63" t="s">
        <v>217</v>
      </c>
      <c r="J1" s="63" t="str">
        <f>'APS Tubes by Date IMPORT'!J1</f>
        <v>All Non-Null Tubes Resulted Same Day?</v>
      </c>
      <c r="K1" s="65" t="str">
        <f>IF(SUM(K3:K103)&gt;0,"Num NULL &gt; 0 NEEDS CHANGE", "Num NULL = 0 OK")</f>
        <v>Num NULL = 0 OK</v>
      </c>
      <c r="L1" s="66" t="str">
        <f>CONCATENATE("Reconciled Tube Run Count ",SUM(L2:L447))</f>
        <v>Reconciled Tube Run Count 1379</v>
      </c>
      <c r="M1" s="65" t="s">
        <v>218</v>
      </c>
      <c r="N1" s="65" t="s">
        <v>219</v>
      </c>
      <c r="O1" s="62" t="s">
        <v>220</v>
      </c>
      <c r="P1" s="67" t="s">
        <v>221</v>
      </c>
      <c r="Q1" s="65" t="s">
        <v>222</v>
      </c>
      <c r="R1" s="15" t="s">
        <v>26</v>
      </c>
      <c r="S1" s="31"/>
      <c r="T1" s="62" t="s">
        <v>223</v>
      </c>
      <c r="U1" s="62" t="s">
        <v>224</v>
      </c>
      <c r="V1" s="68" t="s">
        <v>225</v>
      </c>
      <c r="W1" s="69" t="s">
        <v>226</v>
      </c>
      <c r="X1" s="70"/>
      <c r="Y1" s="67" t="s">
        <v>227</v>
      </c>
      <c r="Z1" s="71">
        <f>COUNTA(Z2:Z447)</f>
        <v>78</v>
      </c>
      <c r="AA1" s="42" t="s">
        <v>228</v>
      </c>
      <c r="AB1" s="42" t="s">
        <v>229</v>
      </c>
      <c r="AC1" s="70"/>
      <c r="AD1" s="42" t="s">
        <v>230</v>
      </c>
      <c r="AE1" s="72">
        <f>SUM(AE2:AE447)</f>
        <v>100</v>
      </c>
      <c r="AF1" s="70"/>
      <c r="AH1" s="15"/>
      <c r="AJ1" s="54">
        <f t="shared" ref="AJ1:AL1" si="1">COUNTIF(AJ2:AJ447,FALSE)</f>
        <v>0</v>
      </c>
      <c r="AK1" s="54">
        <f t="shared" si="1"/>
        <v>1</v>
      </c>
      <c r="AL1" s="54">
        <f t="shared" si="1"/>
        <v>0</v>
      </c>
      <c r="AM1" s="43"/>
    </row>
    <row r="2">
      <c r="A2" s="53" t="str">
        <f t="array" ref="A2:B186">SORT(UNIQUE(T2:U447),2,TRUE)</f>
        <v>RUN-ABRM_2022-09-05_RFR-001</v>
      </c>
      <c r="B2" s="12">
        <v>44809.0</v>
      </c>
      <c r="C2" s="73" t="str">
        <f t="shared" ref="C2:C185" si="3">IF(ISNUMBER(FIND("APS", $A2)),TRUE,IFERROR(0/0,""))</f>
        <v/>
      </c>
      <c r="D2" s="54">
        <f t="array" ref="D2">IF(OR(ISBLANK($A2),$C2),IFERROR(0/0,""),INDEX('RFR Data - preExcl'!E$2:E447,$R2,1))</f>
        <v>14</v>
      </c>
      <c r="E2" s="54">
        <f t="array" ref="E2">IF(OR(ISBLANK($A2),$C2),IFERROR(0/0,""),INDEX('RFR Data - preExcl'!Z$2:Z447,$R2,1))</f>
        <v>14</v>
      </c>
      <c r="F2" s="54">
        <f t="array" ref="F2">IF(OR(ISBLANK(A2),C2),IFERROR(0/0,""),INDEX('RFR Data - preExcl'!AC$2:AC447,$R2,1))</f>
        <v>12</v>
      </c>
      <c r="G2" s="54">
        <f t="array" ref="G2">IF(OR(ISBLANK(A2),C2),IFERROR(0/0,""),INDEX('RFR Data - preExcl'!AK$2:AK447,$R2,1))</f>
        <v>12</v>
      </c>
      <c r="H2" s="54">
        <f t="array" ref="H2">IF(OR(ISBLANK(A2),C2),IFERROR(0/0,""),INDEX('RFR Data - preExcl'!AL$2:AL447,$R2,1))</f>
        <v>0</v>
      </c>
      <c r="I2" s="54">
        <f>IFERROR(VLOOKUP($B2,'APS Tubes by Date IMPORT'!$B$2:$J447,2,FALSE),"")</f>
        <v>11</v>
      </c>
      <c r="J2" s="54" t="str">
        <f>IFERROR(VLOOKUP($B2,'APS Tubes by Date IMPORT'!$B$2:$J447,9,FALSE),"")</f>
        <v/>
      </c>
      <c r="K2" s="54">
        <f>IFNA(VLOOKUP($B2,'APS Tubes by Date IMPORT'!$B$2:$J447,6,FALSE),"")</f>
        <v>0</v>
      </c>
      <c r="L2" s="74">
        <f t="shared" ref="L2:L80" si="4">G2</f>
        <v>12</v>
      </c>
      <c r="M2" s="54">
        <v>1.0</v>
      </c>
      <c r="N2" s="75">
        <v>2.1</v>
      </c>
      <c r="O2" s="76" t="b">
        <f t="shared" ref="O2:O39" si="5">IF(ISBLANK(M2),IFERROR(0/0,""),IF($CC2&lt;=4,TRUE,IFERROR(0/0,"")))</f>
        <v>1</v>
      </c>
      <c r="P2" s="77" t="str">
        <f>IF(ISBLANK(N2),IFERROR(0/0,""),IFERROR(VLOOKUP(N2, 'Process Ref'!$A$76:$D$124, 2, FALSE), IFERROR(0/0,"")))</f>
        <v>Use Audit RFR count (extra tubes in RFR not in Appivo) after Null called Neg</v>
      </c>
      <c r="Q2" s="77" t="s">
        <v>231</v>
      </c>
      <c r="R2" s="78">
        <f>IFNA(MATCH(A2,'RFR Data - preExcl'!A$2:A447,0),"")</f>
        <v>1</v>
      </c>
      <c r="S2" s="43"/>
      <c r="T2" s="18" t="str">
        <f>IF(EXACT('RFR Data - preExcl'!W2,"Initial"),'RFR Data - preExcl'!A2,IFERROR(0/0,""))</f>
        <v>RUN-ABRM_2022-09-05_RFR-001</v>
      </c>
      <c r="U2" s="79">
        <f>IF(EXACT('RFR Data - preExcl'!W2,"Initial"),'RFR Data - preExcl'!U2,IFERROR(0/0,""))</f>
        <v>44809</v>
      </c>
      <c r="X2" s="80"/>
      <c r="Y2" s="81" t="str">
        <f>IFERROR(__xludf.DUMMYFUNCTION("SORT(FILTER('RFR Data - preExcl'!A2:B447,'RFR Data - preExcl'!$W2:$W447=""Re-run""))
"),"RUN-ABRM_2022-09-08_RFR-005_Re-run")</f>
        <v>RUN-ABRM_2022-09-08_RFR-005_Re-run</v>
      </c>
      <c r="Z2" s="82">
        <f>IFERROR(__xludf.DUMMYFUNCTION("""COMPUTED_VALUE"""),44812.431655092594)</f>
        <v>44812.43166</v>
      </c>
      <c r="AA2" s="83">
        <f>VLOOKUP($Y2,'RFR Data - preExcl'!$A$2:$AK447,29,FALSE)</f>
        <v>3</v>
      </c>
      <c r="AB2" s="83">
        <f>VLOOKUP($Y2,'RFR Data - preExcl'!$A$2:$AK447,37,FALSE)</f>
        <v>1</v>
      </c>
      <c r="AC2" s="70"/>
      <c r="AD2" s="81" t="str">
        <f>IFERROR(__xludf.DUMMYFUNCTION("SORT(FILTER(A2:A447,ISNUMBER(SEARCH(""APS"",A2:A447))))
"),"RUN-ABRM_2022-12-21_APS-001")</f>
        <v>RUN-ABRM_2022-12-21_APS-001</v>
      </c>
      <c r="AE2" s="83">
        <f t="shared" ref="AE2:AE24" si="6">VLOOKUP(AD2,A2:L447,12,FALSE)</f>
        <v>1</v>
      </c>
      <c r="AF2" s="70"/>
      <c r="AG2" s="74">
        <v>12.0</v>
      </c>
      <c r="AH2" s="54">
        <v>1.0</v>
      </c>
      <c r="AI2" s="75">
        <v>2.1</v>
      </c>
      <c r="AJ2" s="18" t="str">
        <f t="shared" ref="AJ2:AL2" si="2">IF(AG2=L2,IFERROR(0/0,""),FALSE)</f>
        <v/>
      </c>
      <c r="AK2" s="18" t="str">
        <f t="shared" si="2"/>
        <v/>
      </c>
      <c r="AL2" s="18" t="str">
        <f t="shared" si="2"/>
        <v/>
      </c>
      <c r="AM2" s="43"/>
    </row>
    <row r="3">
      <c r="A3" s="7" t="s">
        <v>29</v>
      </c>
      <c r="B3" s="12">
        <v>44810.0</v>
      </c>
      <c r="C3" s="73" t="str">
        <f t="shared" si="3"/>
        <v/>
      </c>
      <c r="D3" s="54">
        <f t="array" ref="D3">IF(OR(ISBLANK($A3),$C3),IFERROR(0/0,""),INDEX('RFR Data - preExcl'!E$2:E447,$R3,1))</f>
        <v>15</v>
      </c>
      <c r="E3" s="54">
        <f t="array" ref="E3">IF(OR(ISBLANK($A3),$C3),IFERROR(0/0,""),INDEX('RFR Data - preExcl'!Z$2:Z447,$R3,1))</f>
        <v>15</v>
      </c>
      <c r="F3" s="54">
        <f t="array" ref="F3">IF(OR(ISBLANK(A3),C3),IFERROR(0/0,""),INDEX('RFR Data - preExcl'!AC$2:AC447,$R3,1))</f>
        <v>13</v>
      </c>
      <c r="G3" s="54">
        <f t="array" ref="G3">IF(OR(ISBLANK(A3),C3),IFERROR(0/0,""),INDEX('RFR Data - preExcl'!AK$2:AK447,$R3,1))</f>
        <v>13</v>
      </c>
      <c r="H3" s="54">
        <f t="array" ref="H3">IF(OR(ISBLANK(A3),C3),IFERROR(0/0,""),INDEX('RFR Data - preExcl'!AL$2:AL447,$R3,1))</f>
        <v>0</v>
      </c>
      <c r="I3" s="54">
        <f>IFERROR(VLOOKUP($B3,'APS Tubes by Date IMPORT'!$B$2:$J447,2,FALSE),"")</f>
        <v>7</v>
      </c>
      <c r="J3" s="54" t="str">
        <f>IFERROR(VLOOKUP($B3,'APS Tubes by Date IMPORT'!$B$2:$J447,9,FALSE),"")</f>
        <v/>
      </c>
      <c r="K3" s="54">
        <f>IFNA(VLOOKUP($B3,'APS Tubes by Date IMPORT'!$B$2:$J447,6,FALSE),"")</f>
        <v>0</v>
      </c>
      <c r="L3" s="74">
        <f t="shared" si="4"/>
        <v>13</v>
      </c>
      <c r="M3" s="54">
        <v>6.0</v>
      </c>
      <c r="N3" s="75">
        <v>2.1</v>
      </c>
      <c r="O3" s="76" t="b">
        <f t="shared" si="5"/>
        <v>1</v>
      </c>
      <c r="P3" s="77" t="str">
        <f>IF(ISBLANK(N3),IFERROR(0/0,""),IFERROR(VLOOKUP(N3, 'Process Ref'!$A$76:$D$124, 2, FALSE), IFERROR(0/0,"")))</f>
        <v>Use Audit RFR count (extra tubes in RFR not in Appivo) after Null called Neg</v>
      </c>
      <c r="Q3" s="77" t="s">
        <v>231</v>
      </c>
      <c r="R3" s="78">
        <f>IFNA(MATCH(A3,'RFR Data - preExcl'!A$2:A447,0),"")</f>
        <v>2</v>
      </c>
      <c r="S3" s="43"/>
      <c r="T3" s="18" t="str">
        <f>IF(EXACT('RFR Data - preExcl'!W3,"Initial"),'RFR Data - preExcl'!A3,IFERROR(0/0,""))</f>
        <v>RUN-ABRM_2022-09-06_RFR-002</v>
      </c>
      <c r="U3" s="79">
        <f>IF(EXACT('RFR Data - preExcl'!W3,"Initial"),'RFR Data - preExcl'!U3,IFERROR(0/0,""))</f>
        <v>44810</v>
      </c>
      <c r="X3" s="43"/>
      <c r="Y3" s="84" t="str">
        <f>IFERROR(__xludf.DUMMYFUNCTION("""COMPUTED_VALUE"""),"RUN-ABRM_2022-09-09_RFR-007_Re-run")</f>
        <v>RUN-ABRM_2022-09-09_RFR-007_Re-run</v>
      </c>
      <c r="Z3" s="82">
        <f>IFERROR(__xludf.DUMMYFUNCTION("""COMPUTED_VALUE"""),44813.60938657408)</f>
        <v>44813.60939</v>
      </c>
      <c r="AA3" s="83">
        <f>VLOOKUP($Y3,'RFR Data - preExcl'!$A$2:$AK447,29,FALSE)</f>
        <v>3</v>
      </c>
      <c r="AB3" s="83">
        <f>VLOOKUP($Y3,'RFR Data - preExcl'!$A$2:$AK447,37,FALSE)</f>
        <v>1</v>
      </c>
      <c r="AC3" s="70"/>
      <c r="AD3" s="84" t="str">
        <f>IFERROR(__xludf.DUMMYFUNCTION("""COMPUTED_VALUE"""),"RUN-ABRM_2023-01-23_APS-002")</f>
        <v>RUN-ABRM_2023-01-23_APS-002</v>
      </c>
      <c r="AE3" s="83">
        <f t="shared" si="6"/>
        <v>1</v>
      </c>
      <c r="AF3" s="70"/>
      <c r="AG3" s="74">
        <v>13.0</v>
      </c>
      <c r="AH3" s="54">
        <v>6.0</v>
      </c>
      <c r="AI3" s="75">
        <v>2.1</v>
      </c>
      <c r="AJ3" s="18" t="str">
        <f t="shared" ref="AJ3:AL3" si="7">IF(AG3=L3,IFERROR(0/0,""),FALSE)</f>
        <v/>
      </c>
      <c r="AK3" s="18" t="str">
        <f t="shared" si="7"/>
        <v/>
      </c>
      <c r="AL3" s="18" t="str">
        <f t="shared" si="7"/>
        <v/>
      </c>
      <c r="AM3" s="43"/>
    </row>
    <row r="4">
      <c r="A4" s="7" t="s">
        <v>30</v>
      </c>
      <c r="B4" s="12">
        <v>44811.0</v>
      </c>
      <c r="C4" s="73" t="str">
        <f t="shared" si="3"/>
        <v/>
      </c>
      <c r="D4" s="54">
        <f t="array" ref="D4">IF(OR(ISBLANK($A4),$C4),IFERROR(0/0,""),INDEX('RFR Data - preExcl'!E$2:E447,$R4,1))</f>
        <v>13</v>
      </c>
      <c r="E4" s="54">
        <f t="array" ref="E4">IF(OR(ISBLANK($A4),$C4),IFERROR(0/0,""),INDEX('RFR Data - preExcl'!Z$2:Z447,$R4,1))</f>
        <v>13</v>
      </c>
      <c r="F4" s="54">
        <f t="array" ref="F4">IF(OR(ISBLANK(A4),C4),IFERROR(0/0,""),INDEX('RFR Data - preExcl'!AC$2:AC447,$R4,1))</f>
        <v>11</v>
      </c>
      <c r="G4" s="54">
        <f t="array" ref="G4">IF(OR(ISBLANK(A4),C4),IFERROR(0/0,""),INDEX('RFR Data - preExcl'!AK$2:AK447,$R4,1))</f>
        <v>11</v>
      </c>
      <c r="H4" s="54">
        <f t="array" ref="H4">IF(OR(ISBLANK(A4),C4),IFERROR(0/0,""),INDEX('RFR Data - preExcl'!AL$2:AL447,$R4,1))</f>
        <v>0</v>
      </c>
      <c r="I4" s="54">
        <f>IFERROR(VLOOKUP($B4,'APS Tubes by Date IMPORT'!$B$2:$J447,2,FALSE),"")</f>
        <v>11</v>
      </c>
      <c r="J4" s="54" t="str">
        <f>IFERROR(VLOOKUP($B4,'APS Tubes by Date IMPORT'!$B$2:$J447,9,FALSE),"")</f>
        <v/>
      </c>
      <c r="K4" s="54">
        <f>IFNA(VLOOKUP($B4,'APS Tubes by Date IMPORT'!$B$2:$J447,6,FALSE),"")</f>
        <v>0</v>
      </c>
      <c r="L4" s="74">
        <f t="shared" si="4"/>
        <v>11</v>
      </c>
      <c r="M4" s="54">
        <v>0.0</v>
      </c>
      <c r="N4" s="85">
        <v>1.1</v>
      </c>
      <c r="O4" s="76" t="b">
        <f t="shared" si="5"/>
        <v>1</v>
      </c>
      <c r="P4" s="77" t="str">
        <f>IF(ISBLANK(N4),IFERROR(0/0,""),IFERROR(VLOOKUP(N4, 'Process Ref'!$A$76:$D$124, 2, FALSE), IFERROR(0/0,"")))</f>
        <v>Use APS Collect = RFR (diff APS Result count but nets out) after Null called Neg</v>
      </c>
      <c r="Q4" s="77" t="s">
        <v>232</v>
      </c>
      <c r="R4" s="78">
        <f>IFNA(MATCH(A4,'RFR Data - preExcl'!A$2:A447,0),"")</f>
        <v>3</v>
      </c>
      <c r="S4" s="43"/>
      <c r="T4" s="18" t="str">
        <f>IF(EXACT('RFR Data - preExcl'!W4,"Initial"),'RFR Data - preExcl'!A4,IFERROR(0/0,""))</f>
        <v>RUN-ABRM_2022-09-07_RFR-003</v>
      </c>
      <c r="U4" s="79">
        <f>IF(EXACT('RFR Data - preExcl'!W4,"Initial"),'RFR Data - preExcl'!U4,IFERROR(0/0,""))</f>
        <v>44811</v>
      </c>
      <c r="X4" s="43"/>
      <c r="Y4" s="84" t="str">
        <f>IFERROR(__xludf.DUMMYFUNCTION("""COMPUTED_VALUE"""),"RUN-ABRM_2022-09-09_RFR-008_Re-run")</f>
        <v>RUN-ABRM_2022-09-09_RFR-008_Re-run</v>
      </c>
      <c r="Z4" s="82">
        <f>IFERROR(__xludf.DUMMYFUNCTION("""COMPUTED_VALUE"""),44813.60938657408)</f>
        <v>44813.60939</v>
      </c>
      <c r="AA4" s="83">
        <f>VLOOKUP($Y4,'RFR Data - preExcl'!$A$2:$AK447,29,FALSE)</f>
        <v>3</v>
      </c>
      <c r="AB4" s="83">
        <f>VLOOKUP($Y4,'RFR Data - preExcl'!$A$2:$AK447,37,FALSE)</f>
        <v>1</v>
      </c>
      <c r="AC4" s="70"/>
      <c r="AD4" s="84" t="str">
        <f>IFERROR(__xludf.DUMMYFUNCTION("""COMPUTED_VALUE"""),"RUN-ABRM_2023-01-27_APS-003")</f>
        <v>RUN-ABRM_2023-01-27_APS-003</v>
      </c>
      <c r="AE4" s="83">
        <f t="shared" si="6"/>
        <v>1</v>
      </c>
      <c r="AF4" s="70"/>
      <c r="AG4" s="74">
        <v>11.0</v>
      </c>
      <c r="AH4" s="54">
        <v>0.0</v>
      </c>
      <c r="AI4" s="85">
        <v>1.1</v>
      </c>
      <c r="AJ4" s="18" t="str">
        <f t="shared" ref="AJ4:AL4" si="8">IF(AG4=L4,IFERROR(0/0,""),FALSE)</f>
        <v/>
      </c>
      <c r="AK4" s="18" t="str">
        <f t="shared" si="8"/>
        <v/>
      </c>
      <c r="AL4" s="18" t="str">
        <f t="shared" si="8"/>
        <v/>
      </c>
      <c r="AM4" s="43"/>
    </row>
    <row r="5">
      <c r="A5" s="7" t="s">
        <v>31</v>
      </c>
      <c r="B5" s="12">
        <v>44812.0</v>
      </c>
      <c r="C5" s="73" t="str">
        <f t="shared" si="3"/>
        <v/>
      </c>
      <c r="D5" s="54">
        <f t="array" ref="D5">IF(OR(ISBLANK($A5),$C5),IFERROR(0/0,""),INDEX('RFR Data - preExcl'!E$2:E447,$R5,1))</f>
        <v>14</v>
      </c>
      <c r="E5" s="54">
        <f t="array" ref="E5">IF(OR(ISBLANK($A5),$C5),IFERROR(0/0,""),INDEX('RFR Data - preExcl'!Z$2:Z447,$R5,1))</f>
        <v>14</v>
      </c>
      <c r="F5" s="54">
        <f t="array" ref="F5">IF(OR(ISBLANK(A5),C5),IFERROR(0/0,""),INDEX('RFR Data - preExcl'!AC$2:AC447,$R5,1))</f>
        <v>12</v>
      </c>
      <c r="G5" s="54">
        <f t="array" ref="G5">IF(OR(ISBLANK(A5),C5),IFERROR(0/0,""),INDEX('RFR Data - preExcl'!AK$2:AK447,$R5,1))</f>
        <v>12</v>
      </c>
      <c r="H5" s="54">
        <f t="array" ref="H5">IF(OR(ISBLANK(A5),C5),IFERROR(0/0,""),INDEX('RFR Data - preExcl'!AL$2:AL447,$R5,1))</f>
        <v>1.1</v>
      </c>
      <c r="I5" s="54">
        <f>IFERROR(VLOOKUP($B5,'APS Tubes by Date IMPORT'!$B$2:$J447,2,FALSE),"")</f>
        <v>12</v>
      </c>
      <c r="J5" s="54" t="str">
        <f>IFERROR(VLOOKUP($B5,'APS Tubes by Date IMPORT'!$B$2:$J447,9,FALSE),"")</f>
        <v/>
      </c>
      <c r="K5" s="54">
        <f>IFNA(VLOOKUP($B5,'APS Tubes by Date IMPORT'!$B$2:$J447,6,FALSE),"")</f>
        <v>0</v>
      </c>
      <c r="L5" s="74">
        <f t="shared" si="4"/>
        <v>12</v>
      </c>
      <c r="M5" s="54">
        <v>0.0</v>
      </c>
      <c r="N5" s="86">
        <v>1.0</v>
      </c>
      <c r="O5" s="76" t="b">
        <f t="shared" si="5"/>
        <v>1</v>
      </c>
      <c r="P5" s="77" t="str">
        <f>IF(ISBLANK(N5),IFERROR(0/0,""),IFERROR(VLOOKUP(N5, 'Process Ref'!$A$76:$D$124, 2, FALSE), IFERROR(0/0,"")))</f>
        <v>Use APS Collect = RFR (diff APS Result count but nets out)</v>
      </c>
      <c r="Q5" s="77"/>
      <c r="R5" s="78">
        <f>IFNA(MATCH(A5,'RFR Data - preExcl'!A$2:A447,0),"")</f>
        <v>4</v>
      </c>
      <c r="S5" s="43"/>
      <c r="T5" s="18" t="str">
        <f>IF(EXACT('RFR Data - preExcl'!W5,"Initial"),'RFR Data - preExcl'!A5,IFERROR(0/0,""))</f>
        <v>RUN-ABRM_2022-09-08_RFR-004</v>
      </c>
      <c r="U5" s="79">
        <f>IF(EXACT('RFR Data - preExcl'!W5,"Initial"),'RFR Data - preExcl'!U5,IFERROR(0/0,""))</f>
        <v>44812</v>
      </c>
      <c r="X5" s="43"/>
      <c r="Y5" s="84" t="str">
        <f>IFERROR(__xludf.DUMMYFUNCTION("""COMPUTED_VALUE"""),"RUN-ABRM_2022-09-13_RFR-012_Re-run")</f>
        <v>RUN-ABRM_2022-09-13_RFR-012_Re-run</v>
      </c>
      <c r="Z5" s="82">
        <f>IFERROR(__xludf.DUMMYFUNCTION("""COMPUTED_VALUE"""),44817.412199074075)</f>
        <v>44817.4122</v>
      </c>
      <c r="AA5" s="83">
        <f>VLOOKUP($Y5,'RFR Data - preExcl'!$A$2:$AK447,29,FALSE)</f>
        <v>3</v>
      </c>
      <c r="AB5" s="83">
        <f>VLOOKUP($Y5,'RFR Data - preExcl'!$A$2:$AK447,37,FALSE)</f>
        <v>1</v>
      </c>
      <c r="AC5" s="70"/>
      <c r="AD5" s="84" t="str">
        <f>IFERROR(__xludf.DUMMYFUNCTION("""COMPUTED_VALUE"""),"RUN-ABRM_2023-02-07_APS-004")</f>
        <v>RUN-ABRM_2023-02-07_APS-004</v>
      </c>
      <c r="AE5" s="83">
        <f t="shared" si="6"/>
        <v>6</v>
      </c>
      <c r="AF5" s="70"/>
      <c r="AG5" s="74">
        <v>12.0</v>
      </c>
      <c r="AH5" s="54">
        <v>0.0</v>
      </c>
      <c r="AI5" s="86">
        <v>1.0</v>
      </c>
      <c r="AJ5" s="18" t="str">
        <f t="shared" ref="AJ5:AL5" si="9">IF(AG5=L5,IFERROR(0/0,""),FALSE)</f>
        <v/>
      </c>
      <c r="AK5" s="18" t="str">
        <f t="shared" si="9"/>
        <v/>
      </c>
      <c r="AL5" s="18" t="str">
        <f t="shared" si="9"/>
        <v/>
      </c>
      <c r="AM5" s="43"/>
    </row>
    <row r="6">
      <c r="A6" s="7" t="s">
        <v>32</v>
      </c>
      <c r="B6" s="12">
        <v>44813.0</v>
      </c>
      <c r="C6" s="73" t="str">
        <f t="shared" si="3"/>
        <v/>
      </c>
      <c r="D6" s="54">
        <f t="array" ref="D6">IF(OR(ISBLANK($A6),$C6),IFERROR(0/0,""),INDEX('RFR Data - preExcl'!E$2:E447,$R6,1))</f>
        <v>13</v>
      </c>
      <c r="E6" s="54">
        <f t="array" ref="E6">IF(OR(ISBLANK($A6),$C6),IFERROR(0/0,""),INDEX('RFR Data - preExcl'!Z$2:Z447,$R6,1))</f>
        <v>13</v>
      </c>
      <c r="F6" s="54">
        <f t="array" ref="F6">IF(OR(ISBLANK(A6),C6),IFERROR(0/0,""),INDEX('RFR Data - preExcl'!AC$2:AC447,$R6,1))</f>
        <v>11</v>
      </c>
      <c r="G6" s="54">
        <f t="array" ref="G6">IF(OR(ISBLANK(A6),C6),IFERROR(0/0,""),INDEX('RFR Data - preExcl'!AK$2:AK447,$R6,1))</f>
        <v>11</v>
      </c>
      <c r="H6" s="54">
        <f t="array" ref="H6">IF(OR(ISBLANK(A6),C6),IFERROR(0/0,""),INDEX('RFR Data - preExcl'!AL$2:AL447,$R6,1))</f>
        <v>4</v>
      </c>
      <c r="I6" s="54">
        <f>IFERROR(VLOOKUP($B6,'APS Tubes by Date IMPORT'!$B$2:$J447,2,FALSE),"")</f>
        <v>11</v>
      </c>
      <c r="J6" s="54" t="b">
        <f>IFERROR(VLOOKUP($B6,'APS Tubes by Date IMPORT'!$B$2:$J447,9,FALSE),"")</f>
        <v>1</v>
      </c>
      <c r="K6" s="54">
        <f>IFNA(VLOOKUP($B6,'APS Tubes by Date IMPORT'!$B$2:$J447,6,FALSE),"")</f>
        <v>0</v>
      </c>
      <c r="L6" s="74">
        <f t="shared" si="4"/>
        <v>11</v>
      </c>
      <c r="M6" s="54">
        <v>0.0</v>
      </c>
      <c r="N6" s="86">
        <v>3.0</v>
      </c>
      <c r="O6" s="76" t="b">
        <f t="shared" si="5"/>
        <v>1</v>
      </c>
      <c r="P6" s="77" t="str">
        <f>IF(ISBLANK(N6),IFERROR(0/0,""),IFERROR(VLOOKUP(N6, 'Process Ref'!$A$76:$D$124, 2, FALSE), IFERROR(0/0,"")))</f>
        <v>ALL 3 COUNTS SAME after Null deleted</v>
      </c>
      <c r="Q6" s="77" t="s">
        <v>232</v>
      </c>
      <c r="R6" s="78">
        <f>IFNA(MATCH(A6,'RFR Data - preExcl'!A$2:A447,0),"")</f>
        <v>6</v>
      </c>
      <c r="S6" s="43"/>
      <c r="T6" s="18" t="str">
        <f>IF(EXACT('RFR Data - preExcl'!W6,"Initial"),'RFR Data - preExcl'!A6,IFERROR(0/0,""))</f>
        <v/>
      </c>
      <c r="U6" s="18" t="str">
        <f>IF(EXACT('RFR Data - preExcl'!W6,"Initial"),'RFR Data - preExcl'!U6,IFERROR(0/0,""))</f>
        <v/>
      </c>
      <c r="X6" s="43"/>
      <c r="Y6" s="84" t="str">
        <f>IFERROR(__xludf.DUMMYFUNCTION("""COMPUTED_VALUE"""),"RUN-ABRM_2022-09-16_RFR-016_Re-run")</f>
        <v>RUN-ABRM_2022-09-16_RFR-016_Re-run</v>
      </c>
      <c r="Z6" s="82">
        <f>IFERROR(__xludf.DUMMYFUNCTION("""COMPUTED_VALUE"""),44820.4271875)</f>
        <v>44820.42719</v>
      </c>
      <c r="AA6" s="83">
        <f>VLOOKUP($Y6,'RFR Data - preExcl'!$A$2:$AK447,29,FALSE)</f>
        <v>3</v>
      </c>
      <c r="AB6" s="83">
        <f>VLOOKUP($Y6,'RFR Data - preExcl'!$A$2:$AK447,37,FALSE)</f>
        <v>1</v>
      </c>
      <c r="AC6" s="70"/>
      <c r="AD6" s="84" t="str">
        <f>IFERROR(__xludf.DUMMYFUNCTION("""COMPUTED_VALUE"""),"RUN-ABRM_2023-03-03_APS-005")</f>
        <v>RUN-ABRM_2023-03-03_APS-005</v>
      </c>
      <c r="AE6" s="83">
        <f t="shared" si="6"/>
        <v>3</v>
      </c>
      <c r="AF6" s="70"/>
      <c r="AG6" s="74">
        <v>11.0</v>
      </c>
      <c r="AH6" s="54">
        <v>0.0</v>
      </c>
      <c r="AI6" s="86">
        <v>3.0</v>
      </c>
      <c r="AJ6" s="18" t="str">
        <f t="shared" ref="AJ6:AL6" si="10">IF(AG6=L6,IFERROR(0/0,""),FALSE)</f>
        <v/>
      </c>
      <c r="AK6" s="18" t="str">
        <f t="shared" si="10"/>
        <v/>
      </c>
      <c r="AL6" s="18" t="str">
        <f t="shared" si="10"/>
        <v/>
      </c>
      <c r="AM6" s="43"/>
    </row>
    <row r="7">
      <c r="A7" s="7" t="s">
        <v>33</v>
      </c>
      <c r="B7" s="12">
        <v>44814.0</v>
      </c>
      <c r="C7" s="73" t="str">
        <f t="shared" si="3"/>
        <v/>
      </c>
      <c r="D7" s="54">
        <f t="array" ref="D7">IF(OR(ISBLANK($A7),$C7),IFERROR(0/0,""),INDEX('RFR Data - preExcl'!E$2:E447,$R7,1))</f>
        <v>2</v>
      </c>
      <c r="E7" s="54">
        <f t="array" ref="E7">IF(OR(ISBLANK($A7),$C7),IFERROR(0/0,""),INDEX('RFR Data - preExcl'!Z$2:Z447,$R7,1))</f>
        <v>8</v>
      </c>
      <c r="F7" s="54">
        <f t="array" ref="F7">IF(OR(ISBLANK(A7),C7),IFERROR(0/0,""),INDEX('RFR Data - preExcl'!AC$2:AC447,$R7,1))</f>
        <v>6</v>
      </c>
      <c r="G7" s="54">
        <f t="array" ref="G7">IF(OR(ISBLANK(A7),C7),IFERROR(0/0,""),INDEX('RFR Data - preExcl'!AK$2:AK447,$R7,1))</f>
        <v>2</v>
      </c>
      <c r="H7" s="54">
        <f t="array" ref="H7">IF(OR(ISBLANK(A7),C7),IFERROR(0/0,""),INDEX('RFR Data - preExcl'!AL$2:AL447,$R7,1))</f>
        <v>0</v>
      </c>
      <c r="I7" s="54">
        <f>IFERROR(VLOOKUP($B7,'APS Tubes by Date IMPORT'!$B$2:$J447,2,FALSE),"")</f>
        <v>2</v>
      </c>
      <c r="J7" s="54" t="str">
        <f>IFERROR(VLOOKUP($B7,'APS Tubes by Date IMPORT'!$B$2:$J447,9,FALSE),"")</f>
        <v/>
      </c>
      <c r="K7" s="54">
        <f>IFNA(VLOOKUP($B7,'APS Tubes by Date IMPORT'!$B$2:$J447,6,FALSE),"")</f>
        <v>0</v>
      </c>
      <c r="L7" s="74">
        <f t="shared" si="4"/>
        <v>2</v>
      </c>
      <c r="M7" s="54">
        <v>0.0</v>
      </c>
      <c r="N7" s="85">
        <v>1.0</v>
      </c>
      <c r="O7" s="76" t="b">
        <f t="shared" si="5"/>
        <v>1</v>
      </c>
      <c r="P7" s="77" t="str">
        <f>IF(ISBLANK(N7),IFERROR(0/0,""),IFERROR(VLOOKUP(N7, 'Process Ref'!$A$76:$D$124, 2, FALSE), IFERROR(0/0,"")))</f>
        <v>Use APS Collect = RFR (diff APS Result count but nets out)</v>
      </c>
      <c r="Q7" s="77"/>
      <c r="R7" s="78">
        <f>IFNA(MATCH(A7,'RFR Data - preExcl'!A$2:A447,0),"")</f>
        <v>9</v>
      </c>
      <c r="S7" s="43"/>
      <c r="T7" s="18" t="str">
        <f>IF(EXACT('RFR Data - preExcl'!W7,"Initial"),'RFR Data - preExcl'!A7,IFERROR(0/0,""))</f>
        <v>RUN-ABRM_2022-09-09_RFR-006</v>
      </c>
      <c r="U7" s="79">
        <f>IF(EXACT('RFR Data - preExcl'!W7,"Initial"),'RFR Data - preExcl'!U7,IFERROR(0/0,""))</f>
        <v>44813</v>
      </c>
      <c r="X7" s="43"/>
      <c r="Y7" s="84" t="str">
        <f>IFERROR(__xludf.DUMMYFUNCTION("""COMPUTED_VALUE"""),"RUN-ABRM_2022-09-21_RFR-020_Re-run")</f>
        <v>RUN-ABRM_2022-09-21_RFR-020_Re-run</v>
      </c>
      <c r="Z7" s="82">
        <f>IFERROR(__xludf.DUMMYFUNCTION("""COMPUTED_VALUE"""),44825.43472222222)</f>
        <v>44825.43472</v>
      </c>
      <c r="AA7" s="83">
        <f>VLOOKUP($Y7,'RFR Data - preExcl'!$A$2:$AK447,29,FALSE)</f>
        <v>3</v>
      </c>
      <c r="AB7" s="83">
        <f>VLOOKUP($Y7,'RFR Data - preExcl'!$A$2:$AK447,37,FALSE)</f>
        <v>1</v>
      </c>
      <c r="AC7" s="70"/>
      <c r="AD7" s="84" t="str">
        <f>IFERROR(__xludf.DUMMYFUNCTION("""COMPUTED_VALUE"""),"RUN-ABRM_2023-04-05_APS-006")</f>
        <v>RUN-ABRM_2023-04-05_APS-006</v>
      </c>
      <c r="AE7" s="83">
        <f t="shared" si="6"/>
        <v>1</v>
      </c>
      <c r="AF7" s="70"/>
      <c r="AG7" s="74">
        <v>2.0</v>
      </c>
      <c r="AH7" s="54">
        <v>0.0</v>
      </c>
      <c r="AI7" s="85">
        <v>1.0</v>
      </c>
      <c r="AJ7" s="18" t="str">
        <f t="shared" ref="AJ7:AL7" si="11">IF(AG7=L7,IFERROR(0/0,""),FALSE)</f>
        <v/>
      </c>
      <c r="AK7" s="18" t="str">
        <f t="shared" si="11"/>
        <v/>
      </c>
      <c r="AL7" s="18" t="str">
        <f t="shared" si="11"/>
        <v/>
      </c>
      <c r="AM7" s="43"/>
    </row>
    <row r="8">
      <c r="A8" s="7" t="s">
        <v>34</v>
      </c>
      <c r="B8" s="12">
        <v>44816.0</v>
      </c>
      <c r="C8" s="73" t="str">
        <f t="shared" si="3"/>
        <v/>
      </c>
      <c r="D8" s="54">
        <f t="array" ref="D8">IF(OR(ISBLANK($A8),$C8),IFERROR(0/0,""),INDEX('RFR Data - preExcl'!E$2:E447,$R8,1))</f>
        <v>14</v>
      </c>
      <c r="E8" s="54">
        <f t="array" ref="E8">IF(OR(ISBLANK($A8),$C8),IFERROR(0/0,""),INDEX('RFR Data - preExcl'!Z$2:Z447,$R8,1))</f>
        <v>14</v>
      </c>
      <c r="F8" s="54">
        <f t="array" ref="F8">IF(OR(ISBLANK(A8),C8),IFERROR(0/0,""),INDEX('RFR Data - preExcl'!AC$2:AC447,$R8,1))</f>
        <v>12</v>
      </c>
      <c r="G8" s="54">
        <f t="array" ref="G8">IF(OR(ISBLANK(A8),C8),IFERROR(0/0,""),INDEX('RFR Data - preExcl'!AK$2:AK447,$R8,1))</f>
        <v>12</v>
      </c>
      <c r="H8" s="54">
        <f t="array" ref="H8">IF(OR(ISBLANK(A8),C8),IFERROR(0/0,""),INDEX('RFR Data - preExcl'!AL$2:AL447,$R8,1))</f>
        <v>0</v>
      </c>
      <c r="I8" s="54">
        <f>IFERROR(VLOOKUP($B8,'APS Tubes by Date IMPORT'!$B$2:$J447,2,FALSE),"")</f>
        <v>12</v>
      </c>
      <c r="J8" s="54" t="b">
        <f>IFERROR(VLOOKUP($B8,'APS Tubes by Date IMPORT'!$B$2:$J447,9,FALSE),"")</f>
        <v>1</v>
      </c>
      <c r="K8" s="54">
        <f>IFNA(VLOOKUP($B8,'APS Tubes by Date IMPORT'!$B$2:$J447,6,FALSE),"")</f>
        <v>0</v>
      </c>
      <c r="L8" s="74">
        <f t="shared" si="4"/>
        <v>12</v>
      </c>
      <c r="M8" s="54">
        <v>0.0</v>
      </c>
      <c r="N8" s="86">
        <v>0.0</v>
      </c>
      <c r="O8" s="76" t="b">
        <f t="shared" si="5"/>
        <v>1</v>
      </c>
      <c r="P8" s="77" t="str">
        <f>IF(ISBLANK(N8),IFERROR(0/0,""),IFERROR(VLOOKUP(N8, 'Process Ref'!$A$76:$D$124, 2, FALSE), IFERROR(0/0,"")))</f>
        <v>ALL 3 COUNTS SAME meaning APS Collect = APS Result = RFR</v>
      </c>
      <c r="Q8" s="77"/>
      <c r="R8" s="78">
        <f>IFNA(MATCH(A8,'RFR Data - preExcl'!A$2:A447,0),"")</f>
        <v>10</v>
      </c>
      <c r="S8" s="43"/>
      <c r="T8" s="18" t="str">
        <f>IF(EXACT('RFR Data - preExcl'!W8,"Initial"),'RFR Data - preExcl'!A8,IFERROR(0/0,""))</f>
        <v/>
      </c>
      <c r="U8" s="18" t="str">
        <f>IF(EXACT('RFR Data - preExcl'!W8,"Initial"),'RFR Data - preExcl'!U8,IFERROR(0/0,""))</f>
        <v/>
      </c>
      <c r="X8" s="43"/>
      <c r="Y8" s="84" t="str">
        <f>IFERROR(__xludf.DUMMYFUNCTION("""COMPUTED_VALUE"""),"RUN-ABRM_2022-09-26_RFR-024_Re-run")</f>
        <v>RUN-ABRM_2022-09-26_RFR-024_Re-run</v>
      </c>
      <c r="Z8" s="82">
        <f>IFERROR(__xludf.DUMMYFUNCTION("""COMPUTED_VALUE"""),44830.42288194445)</f>
        <v>44830.42288</v>
      </c>
      <c r="AA8" s="83">
        <f>VLOOKUP($Y8,'RFR Data - preExcl'!$A$2:$AK447,29,FALSE)</f>
        <v>3</v>
      </c>
      <c r="AB8" s="83">
        <f>VLOOKUP($Y8,'RFR Data - preExcl'!$A$2:$AK447,37,FALSE)</f>
        <v>1</v>
      </c>
      <c r="AC8" s="70"/>
      <c r="AD8" s="84" t="str">
        <f>IFERROR(__xludf.DUMMYFUNCTION("""COMPUTED_VALUE"""),"RUN-ABRM_2023-04-12_APS-007")</f>
        <v>RUN-ABRM_2023-04-12_APS-007</v>
      </c>
      <c r="AE8" s="83">
        <f t="shared" si="6"/>
        <v>7</v>
      </c>
      <c r="AF8" s="70"/>
      <c r="AG8" s="74">
        <v>12.0</v>
      </c>
      <c r="AH8" s="54">
        <v>0.0</v>
      </c>
      <c r="AI8" s="86">
        <v>0.0</v>
      </c>
      <c r="AJ8" s="18" t="str">
        <f t="shared" ref="AJ8:AL8" si="12">IF(AG8=L8,IFERROR(0/0,""),FALSE)</f>
        <v/>
      </c>
      <c r="AK8" s="18" t="str">
        <f t="shared" si="12"/>
        <v/>
      </c>
      <c r="AL8" s="18" t="str">
        <f t="shared" si="12"/>
        <v/>
      </c>
      <c r="AM8" s="43"/>
    </row>
    <row r="9">
      <c r="A9" s="7" t="s">
        <v>35</v>
      </c>
      <c r="B9" s="12">
        <v>44817.0</v>
      </c>
      <c r="C9" s="73" t="str">
        <f t="shared" si="3"/>
        <v/>
      </c>
      <c r="D9" s="54">
        <f t="array" ref="D9">IF(OR(ISBLANK($A9),$C9),IFERROR(0/0,""),INDEX('RFR Data - preExcl'!E$2:E447,$R9,1))</f>
        <v>15</v>
      </c>
      <c r="E9" s="54">
        <f t="array" ref="E9">IF(OR(ISBLANK($A9),$C9),IFERROR(0/0,""),INDEX('RFR Data - preExcl'!Z$2:Z447,$R9,1))</f>
        <v>15</v>
      </c>
      <c r="F9" s="54">
        <f t="array" ref="F9">IF(OR(ISBLANK(A9),C9),IFERROR(0/0,""),INDEX('RFR Data - preExcl'!AC$2:AC447,$R9,1))</f>
        <v>13</v>
      </c>
      <c r="G9" s="54">
        <f t="array" ref="G9">IF(OR(ISBLANK(A9),C9),IFERROR(0/0,""),INDEX('RFR Data - preExcl'!AK$2:AK447,$R9,1))</f>
        <v>13</v>
      </c>
      <c r="H9" s="54">
        <f t="array" ref="H9">IF(OR(ISBLANK(A9),C9),IFERROR(0/0,""),INDEX('RFR Data - preExcl'!AL$2:AL447,$R9,1))</f>
        <v>1.1</v>
      </c>
      <c r="I9" s="54">
        <f>IFERROR(VLOOKUP($B9,'APS Tubes by Date IMPORT'!$B$2:$J447,2,FALSE),"")</f>
        <v>13</v>
      </c>
      <c r="J9" s="54" t="b">
        <f>IFERROR(VLOOKUP($B9,'APS Tubes by Date IMPORT'!$B$2:$J447,9,FALSE),"")</f>
        <v>1</v>
      </c>
      <c r="K9" s="54">
        <f>IFNA(VLOOKUP($B9,'APS Tubes by Date IMPORT'!$B$2:$J447,6,FALSE),"")</f>
        <v>0</v>
      </c>
      <c r="L9" s="74">
        <f t="shared" si="4"/>
        <v>13</v>
      </c>
      <c r="M9" s="54">
        <v>0.0</v>
      </c>
      <c r="N9" s="86">
        <v>0.0</v>
      </c>
      <c r="O9" s="76" t="b">
        <f t="shared" si="5"/>
        <v>1</v>
      </c>
      <c r="P9" s="77" t="str">
        <f>IF(ISBLANK(N9),IFERROR(0/0,""),IFERROR(VLOOKUP(N9, 'Process Ref'!$A$76:$D$124, 2, FALSE), IFERROR(0/0,"")))</f>
        <v>ALL 3 COUNTS SAME meaning APS Collect = APS Result = RFR</v>
      </c>
      <c r="Q9" s="77"/>
      <c r="R9" s="78">
        <f>IFNA(MATCH(A9,'RFR Data - preExcl'!A$2:A447,0),"")</f>
        <v>11</v>
      </c>
      <c r="S9" s="43"/>
      <c r="T9" s="18" t="str">
        <f>IF(EXACT('RFR Data - preExcl'!W9,"Initial"),'RFR Data - preExcl'!A9,IFERROR(0/0,""))</f>
        <v/>
      </c>
      <c r="U9" s="18" t="str">
        <f>IF(EXACT('RFR Data - preExcl'!W9,"Initial"),'RFR Data - preExcl'!U9,IFERROR(0/0,""))</f>
        <v/>
      </c>
      <c r="X9" s="43"/>
      <c r="Y9" s="84" t="str">
        <f>IFERROR(__xludf.DUMMYFUNCTION("""COMPUTED_VALUE"""),"RUN-ABRM_2022-09-28_RFR-027_Re-run")</f>
        <v>RUN-ABRM_2022-09-28_RFR-027_Re-run</v>
      </c>
      <c r="Z9" s="82">
        <f>IFERROR(__xludf.DUMMYFUNCTION("""COMPUTED_VALUE"""),44832.42729166667)</f>
        <v>44832.42729</v>
      </c>
      <c r="AA9" s="83">
        <f>VLOOKUP($Y9,'RFR Data - preExcl'!$A$2:$AK447,29,FALSE)</f>
        <v>3</v>
      </c>
      <c r="AB9" s="83">
        <f>VLOOKUP($Y9,'RFR Data - preExcl'!$A$2:$AK447,37,FALSE)</f>
        <v>1</v>
      </c>
      <c r="AC9" s="70"/>
      <c r="AD9" s="84" t="str">
        <f>IFERROR(__xludf.DUMMYFUNCTION("""COMPUTED_VALUE"""),"RUN-ABRM_2023-04-13_APS-008")</f>
        <v>RUN-ABRM_2023-04-13_APS-008</v>
      </c>
      <c r="AE9" s="83">
        <f t="shared" si="6"/>
        <v>8</v>
      </c>
      <c r="AF9" s="70"/>
      <c r="AG9" s="74">
        <v>13.0</v>
      </c>
      <c r="AH9" s="54">
        <v>0.0</v>
      </c>
      <c r="AI9" s="86">
        <v>0.0</v>
      </c>
      <c r="AJ9" s="18" t="str">
        <f t="shared" ref="AJ9:AL9" si="13">IF(AG9=L9,IFERROR(0/0,""),FALSE)</f>
        <v/>
      </c>
      <c r="AK9" s="18" t="str">
        <f t="shared" si="13"/>
        <v/>
      </c>
      <c r="AL9" s="18" t="str">
        <f t="shared" si="13"/>
        <v/>
      </c>
      <c r="AM9" s="43"/>
    </row>
    <row r="10">
      <c r="A10" s="7" t="s">
        <v>36</v>
      </c>
      <c r="B10" s="12">
        <v>44818.0</v>
      </c>
      <c r="C10" s="73" t="str">
        <f t="shared" si="3"/>
        <v/>
      </c>
      <c r="D10" s="54">
        <f t="array" ref="D10">IF(OR(ISBLANK($A10),$C10),IFERROR(0/0,""),INDEX('RFR Data - preExcl'!E$2:E447,$R10,1))</f>
        <v>11</v>
      </c>
      <c r="E10" s="54" t="str">
        <f t="array" ref="E10">IF(OR(ISBLANK($A10),$C10),IFERROR(0/0,""),INDEX('RFR Data - preExcl'!Z$2:Z447,$R10,1))</f>
        <v/>
      </c>
      <c r="F10" s="54">
        <f t="array" ref="F10">IF(OR(ISBLANK(A10),C10),IFERROR(0/0,""),INDEX('RFR Data - preExcl'!AC$2:AC447,$R10,1))</f>
        <v>9</v>
      </c>
      <c r="G10" s="54">
        <f t="array" ref="G10">IF(OR(ISBLANK(A10),C10),IFERROR(0/0,""),INDEX('RFR Data - preExcl'!AK$2:AK447,$R10,1))</f>
        <v>9</v>
      </c>
      <c r="H10" s="54">
        <f t="array" ref="H10">IF(OR(ISBLANK(A10),C10),IFERROR(0/0,""),INDEX('RFR Data - preExcl'!AL$2:AL447,$R10,1))</f>
        <v>0</v>
      </c>
      <c r="I10" s="54">
        <f>IFERROR(VLOOKUP($B10,'APS Tubes by Date IMPORT'!$B$2:$J447,2,FALSE),"")</f>
        <v>9</v>
      </c>
      <c r="J10" s="54" t="b">
        <f>IFERROR(VLOOKUP($B10,'APS Tubes by Date IMPORT'!$B$2:$J447,9,FALSE),"")</f>
        <v>1</v>
      </c>
      <c r="K10" s="54">
        <f>IFNA(VLOOKUP($B10,'APS Tubes by Date IMPORT'!$B$2:$J447,6,FALSE),"")</f>
        <v>0</v>
      </c>
      <c r="L10" s="74">
        <f t="shared" si="4"/>
        <v>9</v>
      </c>
      <c r="M10" s="54">
        <v>0.0</v>
      </c>
      <c r="N10" s="86">
        <v>3.0</v>
      </c>
      <c r="O10" s="76" t="b">
        <f t="shared" si="5"/>
        <v>1</v>
      </c>
      <c r="P10" s="77" t="str">
        <f>IF(ISBLANK(N10),IFERROR(0/0,""),IFERROR(VLOOKUP(N10, 'Process Ref'!$A$76:$D$124, 2, FALSE), IFERROR(0/0,"")))</f>
        <v>ALL 3 COUNTS SAME after Null deleted</v>
      </c>
      <c r="Q10" s="77" t="s">
        <v>232</v>
      </c>
      <c r="R10" s="78">
        <f>IFNA(MATCH(A10,'RFR Data - preExcl'!A$2:A447,0),"")</f>
        <v>13</v>
      </c>
      <c r="S10" s="43"/>
      <c r="T10" s="18" t="str">
        <f>IF(EXACT('RFR Data - preExcl'!W10,"Initial"),'RFR Data - preExcl'!A10,IFERROR(0/0,""))</f>
        <v>RUN-ABRM_2022-09-10_RFR-009</v>
      </c>
      <c r="U10" s="79">
        <f>IF(EXACT('RFR Data - preExcl'!W10,"Initial"),'RFR Data - preExcl'!U10,IFERROR(0/0,""))</f>
        <v>44814</v>
      </c>
      <c r="X10" s="43"/>
      <c r="Y10" s="84" t="str">
        <f>IFERROR(__xludf.DUMMYFUNCTION("""COMPUTED_VALUE"""),"RUN-ABRM_2022-09-29_RFR-029_Re-run")</f>
        <v>RUN-ABRM_2022-09-29_RFR-029_Re-run</v>
      </c>
      <c r="Z10" s="82">
        <f>IFERROR(__xludf.DUMMYFUNCTION("""COMPUTED_VALUE"""),44833.40924768519)</f>
        <v>44833.40925</v>
      </c>
      <c r="AA10" s="83">
        <f>VLOOKUP($Y10,'RFR Data - preExcl'!$A$2:$AK447,29,FALSE)</f>
        <v>3</v>
      </c>
      <c r="AB10" s="83">
        <f>VLOOKUP($Y10,'RFR Data - preExcl'!$A$2:$AK447,37,FALSE)</f>
        <v>1</v>
      </c>
      <c r="AC10" s="70"/>
      <c r="AD10" s="84" t="str">
        <f>IFERROR(__xludf.DUMMYFUNCTION("""COMPUTED_VALUE"""),"RUN-ABRM_2023-04-18_APS-009")</f>
        <v>RUN-ABRM_2023-04-18_APS-009</v>
      </c>
      <c r="AE10" s="83">
        <f t="shared" si="6"/>
        <v>3</v>
      </c>
      <c r="AF10" s="70"/>
      <c r="AG10" s="74">
        <v>9.0</v>
      </c>
      <c r="AH10" s="54">
        <v>0.0</v>
      </c>
      <c r="AI10" s="86">
        <v>3.0</v>
      </c>
      <c r="AJ10" s="18" t="str">
        <f t="shared" ref="AJ10:AL10" si="14">IF(AG10=L10,IFERROR(0/0,""),FALSE)</f>
        <v/>
      </c>
      <c r="AK10" s="18" t="str">
        <f t="shared" si="14"/>
        <v/>
      </c>
      <c r="AL10" s="18" t="str">
        <f t="shared" si="14"/>
        <v/>
      </c>
      <c r="AM10" s="43"/>
    </row>
    <row r="11">
      <c r="A11" s="12" t="s">
        <v>37</v>
      </c>
      <c r="B11" s="12">
        <v>44819.0</v>
      </c>
      <c r="C11" s="73" t="str">
        <f t="shared" si="3"/>
        <v/>
      </c>
      <c r="D11" s="54">
        <f t="array" ref="D11">IF(OR(ISBLANK($A11),$C11),IFERROR(0/0,""),INDEX('RFR Data - preExcl'!E$2:E447,$R11,1))</f>
        <v>12</v>
      </c>
      <c r="E11" s="54">
        <f t="array" ref="E11">IF(OR(ISBLANK($A11),$C11),IFERROR(0/0,""),INDEX('RFR Data - preExcl'!Z$2:Z447,$R11,1))</f>
        <v>12</v>
      </c>
      <c r="F11" s="54">
        <f t="array" ref="F11">IF(OR(ISBLANK(A11),C11),IFERROR(0/0,""),INDEX('RFR Data - preExcl'!AC$2:AC447,$R11,1))</f>
        <v>10</v>
      </c>
      <c r="G11" s="54">
        <f t="array" ref="G11">IF(OR(ISBLANK(A11),C11),IFERROR(0/0,""),INDEX('RFR Data - preExcl'!AK$2:AK447,$R11,1))</f>
        <v>10</v>
      </c>
      <c r="H11" s="54">
        <f t="array" ref="H11">IF(OR(ISBLANK(A11),C11),IFERROR(0/0,""),INDEX('RFR Data - preExcl'!AL$2:AL447,$R11,1))</f>
        <v>0</v>
      </c>
      <c r="I11" s="54">
        <f>IFERROR(VLOOKUP($B11,'APS Tubes by Date IMPORT'!$B$2:$J447,2,FALSE),"")</f>
        <v>10</v>
      </c>
      <c r="J11" s="54" t="b">
        <f>IFERROR(VLOOKUP($B11,'APS Tubes by Date IMPORT'!$B$2:$J447,9,FALSE),"")</f>
        <v>1</v>
      </c>
      <c r="K11" s="54">
        <f>IFNA(VLOOKUP($B11,'APS Tubes by Date IMPORT'!$B$2:$J447,6,FALSE),"")</f>
        <v>0</v>
      </c>
      <c r="L11" s="74">
        <f t="shared" si="4"/>
        <v>10</v>
      </c>
      <c r="M11" s="54">
        <v>0.0</v>
      </c>
      <c r="N11" s="86">
        <v>0.0</v>
      </c>
      <c r="O11" s="76" t="b">
        <f t="shared" si="5"/>
        <v>1</v>
      </c>
      <c r="P11" s="77" t="str">
        <f>IF(ISBLANK(N11),IFERROR(0/0,""),IFERROR(VLOOKUP(N11, 'Process Ref'!$A$76:$D$124, 2, FALSE), IFERROR(0/0,"")))</f>
        <v>ALL 3 COUNTS SAME meaning APS Collect = APS Result = RFR</v>
      </c>
      <c r="Q11" s="55" t="s">
        <v>233</v>
      </c>
      <c r="R11" s="78">
        <f>IFNA(MATCH(A11,'RFR Data - preExcl'!A$2:A447,0),"")</f>
        <v>14</v>
      </c>
      <c r="S11" s="43"/>
      <c r="T11" s="18" t="str">
        <f>IF(EXACT('RFR Data - preExcl'!W11,"Initial"),'RFR Data - preExcl'!A11,IFERROR(0/0,""))</f>
        <v>RUN-ABRM_2022-09-12_RFR-010</v>
      </c>
      <c r="U11" s="79">
        <f>IF(EXACT('RFR Data - preExcl'!W11,"Initial"),'RFR Data - preExcl'!U11,IFERROR(0/0,""))</f>
        <v>44816</v>
      </c>
      <c r="X11" s="43"/>
      <c r="Y11" s="84" t="str">
        <f>IFERROR(__xludf.DUMMYFUNCTION("""COMPUTED_VALUE"""),"RUN-ABRM_2022-09-30_RFR-031_Re-run")</f>
        <v>RUN-ABRM_2022-09-30_RFR-031_Re-run</v>
      </c>
      <c r="Z11" s="82">
        <f>IFERROR(__xludf.DUMMYFUNCTION("""COMPUTED_VALUE"""),44834.418344907404)</f>
        <v>44834.41834</v>
      </c>
      <c r="AA11" s="83">
        <f>VLOOKUP($Y11,'RFR Data - preExcl'!$A$2:$AK447,29,FALSE)</f>
        <v>3</v>
      </c>
      <c r="AB11" s="83">
        <f>VLOOKUP($Y11,'RFR Data - preExcl'!$A$2:$AK447,37,FALSE)</f>
        <v>1</v>
      </c>
      <c r="AC11" s="70"/>
      <c r="AD11" s="84" t="str">
        <f>IFERROR(__xludf.DUMMYFUNCTION("""COMPUTED_VALUE"""),"RUN-ABRM_2023-04-25_APS-010")</f>
        <v>RUN-ABRM_2023-04-25_APS-010</v>
      </c>
      <c r="AE11" s="83">
        <f t="shared" si="6"/>
        <v>5</v>
      </c>
      <c r="AF11" s="70"/>
      <c r="AG11" s="74">
        <v>10.0</v>
      </c>
      <c r="AH11" s="54">
        <v>0.0</v>
      </c>
      <c r="AI11" s="86">
        <v>0.0</v>
      </c>
      <c r="AJ11" s="18" t="str">
        <f t="shared" ref="AJ11:AL11" si="15">IF(AG11=L11,IFERROR(0/0,""),FALSE)</f>
        <v/>
      </c>
      <c r="AK11" s="18" t="str">
        <f t="shared" si="15"/>
        <v/>
      </c>
      <c r="AL11" s="18" t="str">
        <f t="shared" si="15"/>
        <v/>
      </c>
      <c r="AM11" s="43"/>
    </row>
    <row r="12">
      <c r="A12" s="7" t="s">
        <v>38</v>
      </c>
      <c r="B12" s="12">
        <v>44820.0</v>
      </c>
      <c r="C12" s="73" t="str">
        <f t="shared" si="3"/>
        <v/>
      </c>
      <c r="D12" s="54">
        <f t="array" ref="D12">IF(OR(ISBLANK($A12),$C12),IFERROR(0/0,""),INDEX('RFR Data - preExcl'!E$2:E447,$R12,1))</f>
        <v>8</v>
      </c>
      <c r="E12" s="54">
        <f t="array" ref="E12">IF(OR(ISBLANK($A12),$C12),IFERROR(0/0,""),INDEX('RFR Data - preExcl'!Z$2:Z447,$R12,1))</f>
        <v>10</v>
      </c>
      <c r="F12" s="54">
        <f t="array" ref="F12">IF(OR(ISBLANK(A12),C12),IFERROR(0/0,""),INDEX('RFR Data - preExcl'!AC$2:AC447,$R12,1))</f>
        <v>8</v>
      </c>
      <c r="G12" s="54">
        <f t="array" ref="G12">IF(OR(ISBLANK(A12),C12),IFERROR(0/0,""),INDEX('RFR Data - preExcl'!AK$2:AK447,$R12,1))</f>
        <v>8</v>
      </c>
      <c r="H12" s="54">
        <f t="array" ref="H12">IF(OR(ISBLANK(A12),C12),IFERROR(0/0,""),INDEX('RFR Data - preExcl'!AL$2:AL447,$R12,1))</f>
        <v>1.1</v>
      </c>
      <c r="I12" s="54">
        <f>IFERROR(VLOOKUP($B12,'APS Tubes by Date IMPORT'!$B$2:$J447,2,FALSE),"")</f>
        <v>8</v>
      </c>
      <c r="J12" s="54" t="str">
        <f>IFERROR(VLOOKUP($B12,'APS Tubes by Date IMPORT'!$B$2:$J447,9,FALSE),"")</f>
        <v/>
      </c>
      <c r="K12" s="54">
        <f>IFNA(VLOOKUP($B12,'APS Tubes by Date IMPORT'!$B$2:$J447,6,FALSE),"")</f>
        <v>0</v>
      </c>
      <c r="L12" s="74">
        <f t="shared" si="4"/>
        <v>8</v>
      </c>
      <c r="M12" s="54">
        <v>0.0</v>
      </c>
      <c r="N12" s="86">
        <v>1.0</v>
      </c>
      <c r="O12" s="76" t="b">
        <f t="shared" si="5"/>
        <v>1</v>
      </c>
      <c r="P12" s="77" t="str">
        <f>IF(ISBLANK(N12),IFERROR(0/0,""),IFERROR(VLOOKUP(N12, 'Process Ref'!$A$76:$D$124, 2, FALSE), IFERROR(0/0,"")))</f>
        <v>Use APS Collect = RFR (diff APS Result count but nets out)</v>
      </c>
      <c r="Q12" s="77"/>
      <c r="R12" s="78">
        <f>IFNA(MATCH(A12,'RFR Data - preExcl'!A$2:A447,0),"")</f>
        <v>15</v>
      </c>
      <c r="S12" s="43"/>
      <c r="T12" s="18" t="str">
        <f>IF(EXACT('RFR Data - preExcl'!W12,"Initial"),'RFR Data - preExcl'!A12,IFERROR(0/0,""))</f>
        <v>RUN-ABRM_2022-09-13_RFR-011</v>
      </c>
      <c r="U12" s="79">
        <f>IF(EXACT('RFR Data - preExcl'!W12,"Initial"),'RFR Data - preExcl'!U12,IFERROR(0/0,""))</f>
        <v>44817</v>
      </c>
      <c r="X12" s="43"/>
      <c r="Y12" s="84" t="str">
        <f>IFERROR(__xludf.DUMMYFUNCTION("""COMPUTED_VALUE"""),"RUN-ABRM_2022-10-05_RFR-035_Re-run")</f>
        <v>RUN-ABRM_2022-10-05_RFR-035_Re-run</v>
      </c>
      <c r="Z12" s="82">
        <f>IFERROR(__xludf.DUMMYFUNCTION("""COMPUTED_VALUE"""),44839.476331018515)</f>
        <v>44839.47633</v>
      </c>
      <c r="AA12" s="83">
        <f>VLOOKUP($Y12,'RFR Data - preExcl'!$A$2:$AK447,29,FALSE)</f>
        <v>3</v>
      </c>
      <c r="AB12" s="83">
        <f>VLOOKUP($Y12,'RFR Data - preExcl'!$A$2:$AK447,37,FALSE)</f>
        <v>1</v>
      </c>
      <c r="AC12" s="70"/>
      <c r="AD12" s="84" t="str">
        <f>IFERROR(__xludf.DUMMYFUNCTION("""COMPUTED_VALUE"""),"RUN-ABRM_2023-04-26_APS-011")</f>
        <v>RUN-ABRM_2023-04-26_APS-011</v>
      </c>
      <c r="AE12" s="83">
        <f t="shared" si="6"/>
        <v>5</v>
      </c>
      <c r="AF12" s="70"/>
      <c r="AG12" s="74">
        <v>8.0</v>
      </c>
      <c r="AH12" s="54">
        <v>0.0</v>
      </c>
      <c r="AI12" s="86">
        <v>1.0</v>
      </c>
      <c r="AJ12" s="18" t="str">
        <f t="shared" ref="AJ12:AL12" si="16">IF(AG12=L12,IFERROR(0/0,""),FALSE)</f>
        <v/>
      </c>
      <c r="AK12" s="18" t="str">
        <f t="shared" si="16"/>
        <v/>
      </c>
      <c r="AL12" s="18" t="str">
        <f t="shared" si="16"/>
        <v/>
      </c>
      <c r="AM12" s="43"/>
    </row>
    <row r="13">
      <c r="A13" s="7" t="s">
        <v>39</v>
      </c>
      <c r="B13" s="12">
        <v>44823.0</v>
      </c>
      <c r="C13" s="73" t="str">
        <f t="shared" si="3"/>
        <v/>
      </c>
      <c r="D13" s="54">
        <f t="array" ref="D13">IF(OR(ISBLANK($A13),$C13),IFERROR(0/0,""),INDEX('RFR Data - preExcl'!E$2:E447,$R13,1))</f>
        <v>12</v>
      </c>
      <c r="E13" s="54">
        <f t="array" ref="E13">IF(OR(ISBLANK($A13),$C13),IFERROR(0/0,""),INDEX('RFR Data - preExcl'!Z$2:Z447,$R13,1))</f>
        <v>12</v>
      </c>
      <c r="F13" s="54">
        <f t="array" ref="F13">IF(OR(ISBLANK(A13),C13),IFERROR(0/0,""),INDEX('RFR Data - preExcl'!AC$2:AC447,$R13,1))</f>
        <v>10</v>
      </c>
      <c r="G13" s="54">
        <f t="array" ref="G13">IF(OR(ISBLANK(A13),C13),IFERROR(0/0,""),INDEX('RFR Data - preExcl'!AK$2:AK447,$R13,1))</f>
        <v>10</v>
      </c>
      <c r="H13" s="54">
        <f t="array" ref="H13">IF(OR(ISBLANK(A13),C13),IFERROR(0/0,""),INDEX('RFR Data - preExcl'!AL$2:AL447,$R13,1))</f>
        <v>0</v>
      </c>
      <c r="I13" s="54">
        <f>IFERROR(VLOOKUP($B13,'APS Tubes by Date IMPORT'!$B$2:$J447,2,FALSE),"")</f>
        <v>10</v>
      </c>
      <c r="J13" s="54" t="str">
        <f>IFERROR(VLOOKUP($B13,'APS Tubes by Date IMPORT'!$B$2:$J447,9,FALSE),"")</f>
        <v/>
      </c>
      <c r="K13" s="54">
        <f>IFNA(VLOOKUP($B13,'APS Tubes by Date IMPORT'!$B$2:$J447,6,FALSE),"")</f>
        <v>0</v>
      </c>
      <c r="L13" s="74">
        <f t="shared" si="4"/>
        <v>10</v>
      </c>
      <c r="M13" s="54">
        <v>0.0</v>
      </c>
      <c r="N13" s="86">
        <v>1.0</v>
      </c>
      <c r="O13" s="76" t="b">
        <f t="shared" si="5"/>
        <v>1</v>
      </c>
      <c r="P13" s="77" t="str">
        <f>IF(ISBLANK(N13),IFERROR(0/0,""),IFERROR(VLOOKUP(N13, 'Process Ref'!$A$76:$D$124, 2, FALSE), IFERROR(0/0,"")))</f>
        <v>Use APS Collect = RFR (diff APS Result count but nets out)</v>
      </c>
      <c r="Q13" s="77"/>
      <c r="R13" s="78">
        <f>IFNA(MATCH(A13,'RFR Data - preExcl'!A$2:A447,0),"")</f>
        <v>17</v>
      </c>
      <c r="S13" s="43"/>
      <c r="T13" s="18" t="str">
        <f>IF(EXACT('RFR Data - preExcl'!W13,"Initial"),'RFR Data - preExcl'!A13,IFERROR(0/0,""))</f>
        <v/>
      </c>
      <c r="U13" s="18" t="str">
        <f>IF(EXACT('RFR Data - preExcl'!W13,"Initial"),'RFR Data - preExcl'!U13,IFERROR(0/0,""))</f>
        <v/>
      </c>
      <c r="X13" s="43"/>
      <c r="Y13" s="84" t="str">
        <f>IFERROR(__xludf.DUMMYFUNCTION("""COMPUTED_VALUE"""),"RUN-ABRM_2022-10-10_RFR-039_Re-run")</f>
        <v>RUN-ABRM_2022-10-10_RFR-039_Re-run</v>
      </c>
      <c r="Z13" s="82">
        <f>IFERROR(__xludf.DUMMYFUNCTION("""COMPUTED_VALUE"""),44844.45392361111)</f>
        <v>44844.45392</v>
      </c>
      <c r="AA13" s="83">
        <f>VLOOKUP($Y13,'RFR Data - preExcl'!$A$2:$AK447,29,FALSE)</f>
        <v>13</v>
      </c>
      <c r="AB13" s="83">
        <f>VLOOKUP($Y13,'RFR Data - preExcl'!$A$2:$AK447,37,FALSE)</f>
        <v>13</v>
      </c>
      <c r="AC13" s="70"/>
      <c r="AD13" s="84" t="str">
        <f>IFERROR(__xludf.DUMMYFUNCTION("""COMPUTED_VALUE"""),"RUN-ABRM_2023-04-27_APS-012")</f>
        <v>RUN-ABRM_2023-04-27_APS-012</v>
      </c>
      <c r="AE13" s="83">
        <f t="shared" si="6"/>
        <v>6</v>
      </c>
      <c r="AF13" s="70"/>
      <c r="AG13" s="74">
        <v>10.0</v>
      </c>
      <c r="AH13" s="54">
        <v>0.0</v>
      </c>
      <c r="AI13" s="86">
        <v>1.0</v>
      </c>
      <c r="AJ13" s="18" t="str">
        <f t="shared" ref="AJ13:AL13" si="17">IF(AG13=L13,IFERROR(0/0,""),FALSE)</f>
        <v/>
      </c>
      <c r="AK13" s="18" t="str">
        <f t="shared" si="17"/>
        <v/>
      </c>
      <c r="AL13" s="18" t="str">
        <f t="shared" si="17"/>
        <v/>
      </c>
      <c r="AM13" s="43"/>
    </row>
    <row r="14">
      <c r="A14" s="7" t="s">
        <v>40</v>
      </c>
      <c r="B14" s="12">
        <v>44824.0</v>
      </c>
      <c r="C14" s="73" t="str">
        <f t="shared" si="3"/>
        <v/>
      </c>
      <c r="D14" s="54">
        <f t="array" ref="D14">IF(OR(ISBLANK($A14),$C14),IFERROR(0/0,""),INDEX('RFR Data - preExcl'!E$2:E447,$R14,1))</f>
        <v>12</v>
      </c>
      <c r="E14" s="54">
        <f t="array" ref="E14">IF(OR(ISBLANK($A14),$C14),IFERROR(0/0,""),INDEX('RFR Data - preExcl'!Z$2:Z447,$R14,1))</f>
        <v>14</v>
      </c>
      <c r="F14" s="54">
        <f t="array" ref="F14">IF(OR(ISBLANK(A14),C14),IFERROR(0/0,""),INDEX('RFR Data - preExcl'!AC$2:AC447,$R14,1))</f>
        <v>12</v>
      </c>
      <c r="G14" s="54">
        <f t="array" ref="G14">IF(OR(ISBLANK(A14),C14),IFERROR(0/0,""),INDEX('RFR Data - preExcl'!AK$2:AK447,$R14,1))</f>
        <v>12</v>
      </c>
      <c r="H14" s="54">
        <f t="array" ref="H14">IF(OR(ISBLANK(A14),C14),IFERROR(0/0,""),INDEX('RFR Data - preExcl'!AL$2:AL447,$R14,1))</f>
        <v>0</v>
      </c>
      <c r="I14" s="54">
        <f>IFERROR(VLOOKUP($B14,'APS Tubes by Date IMPORT'!$B$2:$J447,2,FALSE),"")</f>
        <v>12</v>
      </c>
      <c r="J14" s="54" t="str">
        <f>IFERROR(VLOOKUP($B14,'APS Tubes by Date IMPORT'!$B$2:$J447,9,FALSE),"")</f>
        <v/>
      </c>
      <c r="K14" s="54">
        <f>IFNA(VLOOKUP($B14,'APS Tubes by Date IMPORT'!$B$2:$J447,6,FALSE),"")</f>
        <v>0</v>
      </c>
      <c r="L14" s="74">
        <f t="shared" si="4"/>
        <v>12</v>
      </c>
      <c r="M14" s="54">
        <v>0.0</v>
      </c>
      <c r="N14" s="86">
        <v>1.0</v>
      </c>
      <c r="O14" s="76" t="b">
        <f t="shared" si="5"/>
        <v>1</v>
      </c>
      <c r="P14" s="77" t="str">
        <f>IF(ISBLANK(N14),IFERROR(0/0,""),IFERROR(VLOOKUP(N14, 'Process Ref'!$A$76:$D$124, 2, FALSE), IFERROR(0/0,"")))</f>
        <v>Use APS Collect = RFR (diff APS Result count but nets out)</v>
      </c>
      <c r="Q14" s="77"/>
      <c r="R14" s="78">
        <f>IFNA(MATCH(A14,'RFR Data - preExcl'!A$2:A447,0),"")</f>
        <v>18</v>
      </c>
      <c r="S14" s="43"/>
      <c r="T14" s="18" t="str">
        <f>IF(EXACT('RFR Data - preExcl'!W14,"Initial"),'RFR Data - preExcl'!A14,IFERROR(0/0,""))</f>
        <v>RUN-ABRM_2022-09-14_RFR-013</v>
      </c>
      <c r="U14" s="79">
        <f>IF(EXACT('RFR Data - preExcl'!W14,"Initial"),'RFR Data - preExcl'!U14,IFERROR(0/0,""))</f>
        <v>44818</v>
      </c>
      <c r="X14" s="43"/>
      <c r="Y14" s="84" t="str">
        <f>IFERROR(__xludf.DUMMYFUNCTION("""COMPUTED_VALUE"""),"RUN-ABRM_2022-10-10_RFR-040_Re-run")</f>
        <v>RUN-ABRM_2022-10-10_RFR-040_Re-run</v>
      </c>
      <c r="Z14" s="82">
        <f>IFERROR(__xludf.DUMMYFUNCTION("""COMPUTED_VALUE"""),44844.45545138889)</f>
        <v>44844.45545</v>
      </c>
      <c r="AA14" s="83">
        <f>VLOOKUP($Y14,'RFR Data - preExcl'!$A$2:$AK447,29,FALSE)</f>
        <v>15</v>
      </c>
      <c r="AB14" s="83">
        <f>VLOOKUP($Y14,'RFR Data - preExcl'!$A$2:$AK447,37,FALSE)</f>
        <v>5</v>
      </c>
      <c r="AC14" s="70"/>
      <c r="AD14" s="84" t="str">
        <f>IFERROR(__xludf.DUMMYFUNCTION("""COMPUTED_VALUE"""),"RUN-ABRM_2023-05-02_APS-013")</f>
        <v>RUN-ABRM_2023-05-02_APS-013</v>
      </c>
      <c r="AE14" s="83">
        <f t="shared" si="6"/>
        <v>7</v>
      </c>
      <c r="AF14" s="70"/>
      <c r="AG14" s="74">
        <v>12.0</v>
      </c>
      <c r="AH14" s="54">
        <v>0.0</v>
      </c>
      <c r="AI14" s="86">
        <v>1.0</v>
      </c>
      <c r="AJ14" s="18" t="str">
        <f t="shared" ref="AJ14:AL14" si="18">IF(AG14=L14,IFERROR(0/0,""),FALSE)</f>
        <v/>
      </c>
      <c r="AK14" s="18" t="str">
        <f t="shared" si="18"/>
        <v/>
      </c>
      <c r="AL14" s="18" t="str">
        <f t="shared" si="18"/>
        <v/>
      </c>
      <c r="AM14" s="43"/>
    </row>
    <row r="15">
      <c r="A15" s="7" t="s">
        <v>41</v>
      </c>
      <c r="B15" s="12">
        <v>44825.0</v>
      </c>
      <c r="C15" s="73" t="str">
        <f t="shared" si="3"/>
        <v/>
      </c>
      <c r="D15" s="54">
        <f t="array" ref="D15">IF(OR(ISBLANK($A15),$C15),IFERROR(0/0,""),INDEX('RFR Data - preExcl'!E$2:E447,$R15,1))</f>
        <v>12</v>
      </c>
      <c r="E15" s="54">
        <f t="array" ref="E15">IF(OR(ISBLANK($A15),$C15),IFERROR(0/0,""),INDEX('RFR Data - preExcl'!Z$2:Z447,$R15,1))</f>
        <v>12</v>
      </c>
      <c r="F15" s="54">
        <f t="array" ref="F15">IF(OR(ISBLANK(A15),C15),IFERROR(0/0,""),INDEX('RFR Data - preExcl'!AC$2:AC447,$R15,1))</f>
        <v>10</v>
      </c>
      <c r="G15" s="54">
        <f t="array" ref="G15">IF(OR(ISBLANK(A15),C15),IFERROR(0/0,""),INDEX('RFR Data - preExcl'!AK$2:AK447,$R15,1))</f>
        <v>10</v>
      </c>
      <c r="H15" s="54">
        <f t="array" ref="H15">IF(OR(ISBLANK(A15),C15),IFERROR(0/0,""),INDEX('RFR Data - preExcl'!AL$2:AL447,$R15,1))</f>
        <v>1.1</v>
      </c>
      <c r="I15" s="54">
        <f>IFERROR(VLOOKUP($B15,'APS Tubes by Date IMPORT'!$B$2:$J447,2,FALSE),"")</f>
        <v>10</v>
      </c>
      <c r="J15" s="54" t="b">
        <f>IFERROR(VLOOKUP($B15,'APS Tubes by Date IMPORT'!$B$2:$J447,9,FALSE),"")</f>
        <v>1</v>
      </c>
      <c r="K15" s="54">
        <f>IFNA(VLOOKUP($B15,'APS Tubes by Date IMPORT'!$B$2:$J447,6,FALSE),"")</f>
        <v>0</v>
      </c>
      <c r="L15" s="74">
        <f t="shared" si="4"/>
        <v>10</v>
      </c>
      <c r="M15" s="54">
        <v>0.0</v>
      </c>
      <c r="N15" s="86">
        <v>1.0</v>
      </c>
      <c r="O15" s="76" t="b">
        <f t="shared" si="5"/>
        <v>1</v>
      </c>
      <c r="P15" s="77" t="str">
        <f>IF(ISBLANK(N15),IFERROR(0/0,""),IFERROR(VLOOKUP(N15, 'Process Ref'!$A$76:$D$124, 2, FALSE), IFERROR(0/0,"")))</f>
        <v>Use APS Collect = RFR (diff APS Result count but nets out)</v>
      </c>
      <c r="Q15" s="77"/>
      <c r="R15" s="78">
        <f>IFNA(MATCH(A15,'RFR Data - preExcl'!A$2:A447,0),"")</f>
        <v>19</v>
      </c>
      <c r="S15" s="43"/>
      <c r="T15" s="18" t="str">
        <f>IF(EXACT('RFR Data - preExcl'!W15,"Initial"),'RFR Data - preExcl'!A15,IFERROR(0/0,""))</f>
        <v>RUN-ABRM_2022-09-15_RFR-014</v>
      </c>
      <c r="U15" s="79">
        <f>IF(EXACT('RFR Data - preExcl'!W15,"Initial"),'RFR Data - preExcl'!U15,IFERROR(0/0,""))</f>
        <v>44819</v>
      </c>
      <c r="X15" s="43"/>
      <c r="Y15" s="84" t="str">
        <f>IFERROR(__xludf.DUMMYFUNCTION("""COMPUTED_VALUE"""),"RUN-ABRM_2022-10-11_RFR-042_Re-run")</f>
        <v>RUN-ABRM_2022-10-11_RFR-042_Re-run</v>
      </c>
      <c r="Z15" s="82">
        <f>IFERROR(__xludf.DUMMYFUNCTION("""COMPUTED_VALUE"""),44845.51509259259)</f>
        <v>44845.51509</v>
      </c>
      <c r="AA15" s="83">
        <f>VLOOKUP($Y15,'RFR Data - preExcl'!$A$2:$AK447,29,FALSE)</f>
        <v>9</v>
      </c>
      <c r="AB15" s="83">
        <f>VLOOKUP($Y15,'RFR Data - preExcl'!$A$2:$AK447,37,FALSE)</f>
        <v>3</v>
      </c>
      <c r="AC15" s="70"/>
      <c r="AD15" s="84" t="str">
        <f>IFERROR(__xludf.DUMMYFUNCTION("""COMPUTED_VALUE"""),"RUN-ABRM_2023-05-03_APS-014")</f>
        <v>RUN-ABRM_2023-05-03_APS-014</v>
      </c>
      <c r="AE15" s="83">
        <f t="shared" si="6"/>
        <v>5</v>
      </c>
      <c r="AF15" s="70"/>
      <c r="AG15" s="74">
        <v>10.0</v>
      </c>
      <c r="AH15" s="54">
        <v>0.0</v>
      </c>
      <c r="AI15" s="86">
        <v>1.0</v>
      </c>
      <c r="AJ15" s="18" t="str">
        <f t="shared" ref="AJ15:AL15" si="19">IF(AG15=L15,IFERROR(0/0,""),FALSE)</f>
        <v/>
      </c>
      <c r="AK15" s="18" t="str">
        <f t="shared" si="19"/>
        <v/>
      </c>
      <c r="AL15" s="18" t="str">
        <f t="shared" si="19"/>
        <v/>
      </c>
      <c r="AM15" s="43"/>
    </row>
    <row r="16">
      <c r="A16" s="7" t="s">
        <v>42</v>
      </c>
      <c r="B16" s="12">
        <v>44826.0</v>
      </c>
      <c r="C16" s="73" t="str">
        <f t="shared" si="3"/>
        <v/>
      </c>
      <c r="D16" s="54">
        <f t="array" ref="D16">IF(OR(ISBLANK($A16),$C16),IFERROR(0/0,""),INDEX('RFR Data - preExcl'!E$2:E447,$R16,1))</f>
        <v>9</v>
      </c>
      <c r="E16" s="54">
        <f t="array" ref="E16">IF(OR(ISBLANK($A16),$C16),IFERROR(0/0,""),INDEX('RFR Data - preExcl'!Z$2:Z447,$R16,1))</f>
        <v>9</v>
      </c>
      <c r="F16" s="54">
        <f t="array" ref="F16">IF(OR(ISBLANK(A16),C16),IFERROR(0/0,""),INDEX('RFR Data - preExcl'!AC$2:AC447,$R16,1))</f>
        <v>7</v>
      </c>
      <c r="G16" s="54">
        <f t="array" ref="G16">IF(OR(ISBLANK(A16),C16),IFERROR(0/0,""),INDEX('RFR Data - preExcl'!AK$2:AK447,$R16,1))</f>
        <v>7</v>
      </c>
      <c r="H16" s="54">
        <f t="array" ref="H16">IF(OR(ISBLANK(A16),C16),IFERROR(0/0,""),INDEX('RFR Data - preExcl'!AL$2:AL447,$R16,1))</f>
        <v>0</v>
      </c>
      <c r="I16" s="54">
        <f>IFERROR(VLOOKUP($B16,'APS Tubes by Date IMPORT'!$B$2:$J447,2,FALSE),"")</f>
        <v>7</v>
      </c>
      <c r="J16" s="54" t="b">
        <f>IFERROR(VLOOKUP($B16,'APS Tubes by Date IMPORT'!$B$2:$J447,9,FALSE),"")</f>
        <v>1</v>
      </c>
      <c r="K16" s="54">
        <f>IFNA(VLOOKUP($B16,'APS Tubes by Date IMPORT'!$B$2:$J447,6,FALSE),"")</f>
        <v>0</v>
      </c>
      <c r="L16" s="74">
        <f t="shared" si="4"/>
        <v>7</v>
      </c>
      <c r="M16" s="54">
        <v>0.0</v>
      </c>
      <c r="N16" s="86">
        <v>3.0</v>
      </c>
      <c r="O16" s="76" t="b">
        <f t="shared" si="5"/>
        <v>1</v>
      </c>
      <c r="P16" s="77" t="str">
        <f>IF(ISBLANK(N16),IFERROR(0/0,""),IFERROR(VLOOKUP(N16, 'Process Ref'!$A$76:$D$124, 2, FALSE), IFERROR(0/0,"")))</f>
        <v>ALL 3 COUNTS SAME after Null deleted</v>
      </c>
      <c r="Q16" s="77" t="s">
        <v>232</v>
      </c>
      <c r="R16" s="78">
        <f>IFNA(MATCH(A16,'RFR Data - preExcl'!A$2:A447,0),"")</f>
        <v>21</v>
      </c>
      <c r="S16" s="43"/>
      <c r="T16" s="18" t="str">
        <f>IF(EXACT('RFR Data - preExcl'!W16,"Initial"),'RFR Data - preExcl'!A16,IFERROR(0/0,""))</f>
        <v>RUN-ABRM_2022-09-16_RFR-015</v>
      </c>
      <c r="U16" s="79">
        <f>IF(EXACT('RFR Data - preExcl'!W16,"Initial"),'RFR Data - preExcl'!U16,IFERROR(0/0,""))</f>
        <v>44820</v>
      </c>
      <c r="X16" s="43"/>
      <c r="Y16" s="84" t="str">
        <f>IFERROR(__xludf.DUMMYFUNCTION("""COMPUTED_VALUE"""),"RUN-ABRM_2022-10-18_RFR-047_Re-run")</f>
        <v>RUN-ABRM_2022-10-18_RFR-047_Re-run</v>
      </c>
      <c r="Z16" s="82">
        <f>IFERROR(__xludf.DUMMYFUNCTION("""COMPUTED_VALUE"""),44852.408009259256)</f>
        <v>44852.40801</v>
      </c>
      <c r="AA16" s="83">
        <f>VLOOKUP($Y16,'RFR Data - preExcl'!$A$2:$AK447,29,FALSE)</f>
        <v>3</v>
      </c>
      <c r="AB16" s="83">
        <f>VLOOKUP($Y16,'RFR Data - preExcl'!$A$2:$AK447,37,FALSE)</f>
        <v>1</v>
      </c>
      <c r="AC16" s="70"/>
      <c r="AD16" s="84" t="str">
        <f>IFERROR(__xludf.DUMMYFUNCTION("""COMPUTED_VALUE"""),"RUN-ABRM_2023-05-04_APS-015")</f>
        <v>RUN-ABRM_2023-05-04_APS-015</v>
      </c>
      <c r="AE16" s="83">
        <f t="shared" si="6"/>
        <v>5</v>
      </c>
      <c r="AF16" s="70"/>
      <c r="AG16" s="74">
        <v>7.0</v>
      </c>
      <c r="AH16" s="54">
        <v>0.0</v>
      </c>
      <c r="AI16" s="86">
        <v>3.0</v>
      </c>
      <c r="AJ16" s="18" t="str">
        <f t="shared" ref="AJ16:AL16" si="20">IF(AG16=L16,IFERROR(0/0,""),FALSE)</f>
        <v/>
      </c>
      <c r="AK16" s="18" t="str">
        <f t="shared" si="20"/>
        <v/>
      </c>
      <c r="AL16" s="18" t="str">
        <f t="shared" si="20"/>
        <v/>
      </c>
      <c r="AM16" s="43"/>
    </row>
    <row r="17">
      <c r="A17" s="7" t="s">
        <v>43</v>
      </c>
      <c r="B17" s="12">
        <v>44827.0</v>
      </c>
      <c r="C17" s="73" t="str">
        <f t="shared" si="3"/>
        <v/>
      </c>
      <c r="D17" s="54">
        <f t="array" ref="D17">IF(OR(ISBLANK($A17),$C17),IFERROR(0/0,""),INDEX('RFR Data - preExcl'!E$2:E447,$R17,1))</f>
        <v>11</v>
      </c>
      <c r="E17" s="54">
        <f t="array" ref="E17">IF(OR(ISBLANK($A17),$C17),IFERROR(0/0,""),INDEX('RFR Data - preExcl'!Z$2:Z447,$R17,1))</f>
        <v>11</v>
      </c>
      <c r="F17" s="54">
        <f t="array" ref="F17">IF(OR(ISBLANK(A17),C17),IFERROR(0/0,""),INDEX('RFR Data - preExcl'!AC$2:AC447,$R17,1))</f>
        <v>9</v>
      </c>
      <c r="G17" s="54">
        <f t="array" ref="G17">IF(OR(ISBLANK(A17),C17),IFERROR(0/0,""),INDEX('RFR Data - preExcl'!AK$2:AK447,$R17,1))</f>
        <v>9</v>
      </c>
      <c r="H17" s="54">
        <f t="array" ref="H17">IF(OR(ISBLANK(A17),C17),IFERROR(0/0,""),INDEX('RFR Data - preExcl'!AL$2:AL447,$R17,1))</f>
        <v>0</v>
      </c>
      <c r="I17" s="54">
        <f>IFERROR(VLOOKUP($B17,'APS Tubes by Date IMPORT'!$B$2:$J447,2,FALSE),"")</f>
        <v>9</v>
      </c>
      <c r="J17" s="54" t="b">
        <f>IFERROR(VLOOKUP($B17,'APS Tubes by Date IMPORT'!$B$2:$J447,9,FALSE),"")</f>
        <v>1</v>
      </c>
      <c r="K17" s="54">
        <f>IFNA(VLOOKUP($B17,'APS Tubes by Date IMPORT'!$B$2:$J447,6,FALSE),"")</f>
        <v>0</v>
      </c>
      <c r="L17" s="74">
        <f t="shared" si="4"/>
        <v>9</v>
      </c>
      <c r="M17" s="54">
        <v>0.0</v>
      </c>
      <c r="N17" s="86">
        <v>0.0</v>
      </c>
      <c r="O17" s="76" t="b">
        <f t="shared" si="5"/>
        <v>1</v>
      </c>
      <c r="P17" s="77" t="str">
        <f>IF(ISBLANK(N17),IFERROR(0/0,""),IFERROR(VLOOKUP(N17, 'Process Ref'!$A$76:$D$124, 2, FALSE), IFERROR(0/0,"")))</f>
        <v>ALL 3 COUNTS SAME meaning APS Collect = APS Result = RFR</v>
      </c>
      <c r="Q17" s="77"/>
      <c r="R17" s="78">
        <f>IFNA(MATCH(A17,'RFR Data - preExcl'!A$2:A447,0),"")</f>
        <v>22</v>
      </c>
      <c r="S17" s="43"/>
      <c r="T17" s="18" t="str">
        <f>IF(EXACT('RFR Data - preExcl'!W17,"Initial"),'RFR Data - preExcl'!A17,IFERROR(0/0,""))</f>
        <v/>
      </c>
      <c r="U17" s="18" t="str">
        <f>IF(EXACT('RFR Data - preExcl'!W17,"Initial"),'RFR Data - preExcl'!U17,IFERROR(0/0,""))</f>
        <v/>
      </c>
      <c r="X17" s="43"/>
      <c r="Y17" s="84" t="str">
        <f>IFERROR(__xludf.DUMMYFUNCTION("""COMPUTED_VALUE"""),"RUN-ABRM_2022-10-25_RFR-053_Re-run")</f>
        <v>RUN-ABRM_2022-10-25_RFR-053_Re-run</v>
      </c>
      <c r="Z17" s="82">
        <f>IFERROR(__xludf.DUMMYFUNCTION("""COMPUTED_VALUE"""),44859.426574074074)</f>
        <v>44859.42657</v>
      </c>
      <c r="AA17" s="83">
        <f>VLOOKUP($Y17,'RFR Data - preExcl'!$A$2:$AK447,29,FALSE)</f>
        <v>1</v>
      </c>
      <c r="AB17" s="83">
        <f>VLOOKUP($Y17,'RFR Data - preExcl'!$A$2:$AK447,37,FALSE)</f>
        <v>1</v>
      </c>
      <c r="AC17" s="70"/>
      <c r="AD17" s="84" t="str">
        <f>IFERROR(__xludf.DUMMYFUNCTION("""COMPUTED_VALUE"""),"RUN-ABRM_2023-05-05_APS-016")</f>
        <v>RUN-ABRM_2023-05-05_APS-016</v>
      </c>
      <c r="AE17" s="83">
        <f t="shared" si="6"/>
        <v>5</v>
      </c>
      <c r="AF17" s="70"/>
      <c r="AG17" s="74">
        <v>9.0</v>
      </c>
      <c r="AH17" s="54">
        <v>0.0</v>
      </c>
      <c r="AI17" s="86">
        <v>0.0</v>
      </c>
      <c r="AJ17" s="18" t="str">
        <f t="shared" ref="AJ17:AL17" si="21">IF(AG17=L17,IFERROR(0/0,""),FALSE)</f>
        <v/>
      </c>
      <c r="AK17" s="18" t="str">
        <f t="shared" si="21"/>
        <v/>
      </c>
      <c r="AL17" s="18" t="str">
        <f t="shared" si="21"/>
        <v/>
      </c>
      <c r="AM17" s="43"/>
    </row>
    <row r="18">
      <c r="A18" s="7" t="s">
        <v>44</v>
      </c>
      <c r="B18" s="12">
        <v>44830.0</v>
      </c>
      <c r="C18" s="73" t="str">
        <f t="shared" si="3"/>
        <v/>
      </c>
      <c r="D18" s="54">
        <f t="array" ref="D18">IF(OR(ISBLANK($A18),$C18),IFERROR(0/0,""),INDEX('RFR Data - preExcl'!E$2:E447,$R18,1))</f>
        <v>14</v>
      </c>
      <c r="E18" s="54">
        <f t="array" ref="E18">IF(OR(ISBLANK($A18),$C18),IFERROR(0/0,""),INDEX('RFR Data - preExcl'!Z$2:Z447,$R18,1))</f>
        <v>14</v>
      </c>
      <c r="F18" s="54">
        <f t="array" ref="F18">IF(OR(ISBLANK(A18),C18),IFERROR(0/0,""),INDEX('RFR Data - preExcl'!AC$2:AC447,$R18,1))</f>
        <v>14</v>
      </c>
      <c r="G18" s="54">
        <f t="array" ref="G18">IF(OR(ISBLANK(A18),C18),IFERROR(0/0,""),INDEX('RFR Data - preExcl'!AK$2:AK447,$R18,1))</f>
        <v>12</v>
      </c>
      <c r="H18" s="54">
        <f t="array" ref="H18">IF(OR(ISBLANK(A18),C18),IFERROR(0/0,""),INDEX('RFR Data - preExcl'!AL$2:AL447,$R18,1))</f>
        <v>1.1</v>
      </c>
      <c r="I18" s="54">
        <f>IFERROR(VLOOKUP($B18,'APS Tubes by Date IMPORT'!$B$2:$J447,2,FALSE),"")</f>
        <v>12</v>
      </c>
      <c r="J18" s="54" t="b">
        <f>IFERROR(VLOOKUP($B18,'APS Tubes by Date IMPORT'!$B$2:$J447,9,FALSE),"")</f>
        <v>1</v>
      </c>
      <c r="K18" s="54">
        <f>IFNA(VLOOKUP($B18,'APS Tubes by Date IMPORT'!$B$2:$J447,6,FALSE),"")</f>
        <v>0</v>
      </c>
      <c r="L18" s="74">
        <f t="shared" si="4"/>
        <v>12</v>
      </c>
      <c r="M18" s="54">
        <v>0.0</v>
      </c>
      <c r="N18" s="86">
        <v>3.0</v>
      </c>
      <c r="O18" s="76" t="b">
        <f t="shared" si="5"/>
        <v>1</v>
      </c>
      <c r="P18" s="77" t="str">
        <f>IF(ISBLANK(N18),IFERROR(0/0,""),IFERROR(VLOOKUP(N18, 'Process Ref'!$A$76:$D$124, 2, FALSE), IFERROR(0/0,"")))</f>
        <v>ALL 3 COUNTS SAME after Null deleted</v>
      </c>
      <c r="Q18" s="77" t="s">
        <v>232</v>
      </c>
      <c r="R18" s="78">
        <f>IFNA(MATCH(A18,'RFR Data - preExcl'!A$2:A447,0),"")</f>
        <v>23</v>
      </c>
      <c r="S18" s="43"/>
      <c r="T18" s="18" t="str">
        <f>IF(EXACT('RFR Data - preExcl'!W18,"Initial"),'RFR Data - preExcl'!A18,IFERROR(0/0,""))</f>
        <v>RUN-ABRM_2022-09-19_RFR-017</v>
      </c>
      <c r="U18" s="79">
        <f>IF(EXACT('RFR Data - preExcl'!W18,"Initial"),'RFR Data - preExcl'!U18,IFERROR(0/0,""))</f>
        <v>44823</v>
      </c>
      <c r="X18" s="43"/>
      <c r="Y18" s="84" t="str">
        <f>IFERROR(__xludf.DUMMYFUNCTION("""COMPUTED_VALUE"""),"RUN-ABRM_2022-10-27_RFR-056_Re-run")</f>
        <v>RUN-ABRM_2022-10-27_RFR-056_Re-run</v>
      </c>
      <c r="Z18" s="82">
        <f>IFERROR(__xludf.DUMMYFUNCTION("""COMPUTED_VALUE"""),44861.41693287037)</f>
        <v>44861.41693</v>
      </c>
      <c r="AA18" s="83">
        <f>VLOOKUP($Y18,'RFR Data - preExcl'!$A$2:$AK447,29,FALSE)</f>
        <v>3</v>
      </c>
      <c r="AB18" s="83">
        <f>VLOOKUP($Y18,'RFR Data - preExcl'!$A$2:$AK447,37,FALSE)</f>
        <v>1</v>
      </c>
      <c r="AC18" s="70"/>
      <c r="AD18" s="84" t="str">
        <f>IFERROR(__xludf.DUMMYFUNCTION("""COMPUTED_VALUE"""),"RUN-ABRM_2023-05-09_APS-017")</f>
        <v>RUN-ABRM_2023-05-09_APS-017</v>
      </c>
      <c r="AE18" s="83">
        <f t="shared" si="6"/>
        <v>8</v>
      </c>
      <c r="AF18" s="70"/>
      <c r="AG18" s="74">
        <v>12.0</v>
      </c>
      <c r="AH18" s="54">
        <v>0.0</v>
      </c>
      <c r="AI18" s="86">
        <v>3.0</v>
      </c>
      <c r="AJ18" s="18" t="str">
        <f t="shared" ref="AJ18:AL18" si="22">IF(AG18=L18,IFERROR(0/0,""),FALSE)</f>
        <v/>
      </c>
      <c r="AK18" s="18" t="str">
        <f t="shared" si="22"/>
        <v/>
      </c>
      <c r="AL18" s="18" t="str">
        <f t="shared" si="22"/>
        <v/>
      </c>
      <c r="AM18" s="43"/>
    </row>
    <row r="19">
      <c r="A19" s="7" t="s">
        <v>45</v>
      </c>
      <c r="B19" s="12">
        <v>44831.0</v>
      </c>
      <c r="C19" s="73" t="str">
        <f t="shared" si="3"/>
        <v/>
      </c>
      <c r="D19" s="54">
        <f t="array" ref="D19">IF(OR(ISBLANK($A19),$C19),IFERROR(0/0,""),INDEX('RFR Data - preExcl'!E$2:E447,$R19,1))</f>
        <v>12</v>
      </c>
      <c r="E19" s="54">
        <f t="array" ref="E19">IF(OR(ISBLANK($A19),$C19),IFERROR(0/0,""),INDEX('RFR Data - preExcl'!Z$2:Z447,$R19,1))</f>
        <v>14</v>
      </c>
      <c r="F19" s="54">
        <f t="array" ref="F19">IF(OR(ISBLANK(A19),C19),IFERROR(0/0,""),INDEX('RFR Data - preExcl'!AC$2:AC447,$R19,1))</f>
        <v>12</v>
      </c>
      <c r="G19" s="54">
        <f t="array" ref="G19">IF(OR(ISBLANK(A19),C19),IFERROR(0/0,""),INDEX('RFR Data - preExcl'!AK$2:AK447,$R19,1))</f>
        <v>12</v>
      </c>
      <c r="H19" s="54">
        <f t="array" ref="H19">IF(OR(ISBLANK(A19),C19),IFERROR(0/0,""),INDEX('RFR Data - preExcl'!AL$2:AL447,$R19,1))</f>
        <v>0</v>
      </c>
      <c r="I19" s="54">
        <f>IFERROR(VLOOKUP($B19,'APS Tubes by Date IMPORT'!$B$2:$J447,2,FALSE),"")</f>
        <v>12</v>
      </c>
      <c r="J19" s="54" t="str">
        <f>IFERROR(VLOOKUP($B19,'APS Tubes by Date IMPORT'!$B$2:$J447,9,FALSE),"")</f>
        <v/>
      </c>
      <c r="K19" s="54">
        <f>IFNA(VLOOKUP($B19,'APS Tubes by Date IMPORT'!$B$2:$J447,6,FALSE),"")</f>
        <v>0</v>
      </c>
      <c r="L19" s="74">
        <f t="shared" si="4"/>
        <v>12</v>
      </c>
      <c r="M19" s="54">
        <v>0.0</v>
      </c>
      <c r="N19" s="86">
        <v>1.0</v>
      </c>
      <c r="O19" s="76" t="b">
        <f t="shared" si="5"/>
        <v>1</v>
      </c>
      <c r="P19" s="77" t="str">
        <f>IF(ISBLANK(N19),IFERROR(0/0,""),IFERROR(VLOOKUP(N19, 'Process Ref'!$A$76:$D$124, 2, FALSE), IFERROR(0/0,"")))</f>
        <v>Use APS Collect = RFR (diff APS Result count but nets out)</v>
      </c>
      <c r="Q19" s="77"/>
      <c r="R19" s="78">
        <f>IFNA(MATCH(A19,'RFR Data - preExcl'!A$2:A447,0),"")</f>
        <v>25</v>
      </c>
      <c r="S19" s="43"/>
      <c r="T19" s="18" t="str">
        <f>IF(EXACT('RFR Data - preExcl'!W19,"Initial"),'RFR Data - preExcl'!A19,IFERROR(0/0,""))</f>
        <v>RUN-ABRM_2022-09-20_RFR-018</v>
      </c>
      <c r="U19" s="79">
        <f>IF(EXACT('RFR Data - preExcl'!W19,"Initial"),'RFR Data - preExcl'!U19,IFERROR(0/0,""))</f>
        <v>44824</v>
      </c>
      <c r="X19" s="43"/>
      <c r="Y19" s="84" t="str">
        <f>IFERROR(__xludf.DUMMYFUNCTION("""COMPUTED_VALUE"""),"RUN-ABRM_2022-10-28_RFR-058_Re-run")</f>
        <v>RUN-ABRM_2022-10-28_RFR-058_Re-run</v>
      </c>
      <c r="Z19" s="82">
        <f>IFERROR(__xludf.DUMMYFUNCTION("""COMPUTED_VALUE"""),44862.43269675926)</f>
        <v>44862.4327</v>
      </c>
      <c r="AA19" s="83">
        <f>VLOOKUP($Y19,'RFR Data - preExcl'!$A$2:$AK447,29,FALSE)</f>
        <v>6</v>
      </c>
      <c r="AB19" s="83">
        <f>VLOOKUP($Y19,'RFR Data - preExcl'!$A$2:$AK447,37,FALSE)</f>
        <v>2</v>
      </c>
      <c r="AC19" s="70"/>
      <c r="AD19" s="84" t="str">
        <f>IFERROR(__xludf.DUMMYFUNCTION("""COMPUTED_VALUE"""),"RUN-ABRM_2023-05-10_APS-018")</f>
        <v>RUN-ABRM_2023-05-10_APS-018</v>
      </c>
      <c r="AE19" s="83">
        <f t="shared" si="6"/>
        <v>7</v>
      </c>
      <c r="AF19" s="70"/>
      <c r="AG19" s="74">
        <v>12.0</v>
      </c>
      <c r="AH19" s="54">
        <v>0.0</v>
      </c>
      <c r="AI19" s="86">
        <v>1.0</v>
      </c>
      <c r="AJ19" s="18" t="str">
        <f t="shared" ref="AJ19:AL19" si="23">IF(AG19=L19,IFERROR(0/0,""),FALSE)</f>
        <v/>
      </c>
      <c r="AK19" s="18" t="str">
        <f t="shared" si="23"/>
        <v/>
      </c>
      <c r="AL19" s="18" t="str">
        <f t="shared" si="23"/>
        <v/>
      </c>
      <c r="AM19" s="43"/>
    </row>
    <row r="20">
      <c r="A20" s="7" t="s">
        <v>46</v>
      </c>
      <c r="B20" s="12">
        <v>44832.0</v>
      </c>
      <c r="C20" s="73" t="str">
        <f t="shared" si="3"/>
        <v/>
      </c>
      <c r="D20" s="54">
        <f t="array" ref="D20">IF(OR(ISBLANK($A20),$C20),IFERROR(0/0,""),INDEX('RFR Data - preExcl'!E$2:E447,$R20,1))</f>
        <v>14</v>
      </c>
      <c r="E20" s="54">
        <f t="array" ref="E20">IF(OR(ISBLANK($A20),$C20),IFERROR(0/0,""),INDEX('RFR Data - preExcl'!Z$2:Z447,$R20,1))</f>
        <v>14</v>
      </c>
      <c r="F20" s="54">
        <f t="array" ref="F20">IF(OR(ISBLANK(A20),C20),IFERROR(0/0,""),INDEX('RFR Data - preExcl'!AC$2:AC447,$R20,1))</f>
        <v>12</v>
      </c>
      <c r="G20" s="54">
        <f t="array" ref="G20">IF(OR(ISBLANK(A20),C20),IFERROR(0/0,""),INDEX('RFR Data - preExcl'!AK$2:AK447,$R20,1))</f>
        <v>12</v>
      </c>
      <c r="H20" s="54">
        <f t="array" ref="H20">IF(OR(ISBLANK(A20),C20),IFERROR(0/0,""),INDEX('RFR Data - preExcl'!AL$2:AL447,$R20,1))</f>
        <v>1.1</v>
      </c>
      <c r="I20" s="54">
        <f>IFERROR(VLOOKUP($B20,'APS Tubes by Date IMPORT'!$B$2:$J447,2,FALSE),"")</f>
        <v>12</v>
      </c>
      <c r="J20" s="54" t="b">
        <f>IFERROR(VLOOKUP($B20,'APS Tubes by Date IMPORT'!$B$2:$J447,9,FALSE),"")</f>
        <v>1</v>
      </c>
      <c r="K20" s="54">
        <f>IFNA(VLOOKUP($B20,'APS Tubes by Date IMPORT'!$B$2:$J447,6,FALSE),"")</f>
        <v>0</v>
      </c>
      <c r="L20" s="74">
        <f t="shared" si="4"/>
        <v>12</v>
      </c>
      <c r="M20" s="54">
        <v>0.0</v>
      </c>
      <c r="N20" s="86">
        <v>3.0</v>
      </c>
      <c r="O20" s="76" t="b">
        <f t="shared" si="5"/>
        <v>1</v>
      </c>
      <c r="P20" s="77" t="str">
        <f>IF(ISBLANK(N20),IFERROR(0/0,""),IFERROR(VLOOKUP(N20, 'Process Ref'!$A$76:$D$124, 2, FALSE), IFERROR(0/0,"")))</f>
        <v>ALL 3 COUNTS SAME after Null deleted</v>
      </c>
      <c r="Q20" s="77" t="s">
        <v>232</v>
      </c>
      <c r="R20" s="78">
        <f>IFNA(MATCH(A20,'RFR Data - preExcl'!A$2:A447,0),"")</f>
        <v>26</v>
      </c>
      <c r="S20" s="43"/>
      <c r="T20" s="18" t="str">
        <f>IF(EXACT('RFR Data - preExcl'!W20,"Initial"),'RFR Data - preExcl'!A20,IFERROR(0/0,""))</f>
        <v>RUN-ABRM_2022-09-21_RFR-019</v>
      </c>
      <c r="U20" s="79">
        <f>IF(EXACT('RFR Data - preExcl'!W20,"Initial"),'RFR Data - preExcl'!U20,IFERROR(0/0,""))</f>
        <v>44825</v>
      </c>
      <c r="X20" s="43"/>
      <c r="Y20" s="84" t="str">
        <f>IFERROR(__xludf.DUMMYFUNCTION("""COMPUTED_VALUE"""),"RUN-ABRM_2022-10-28_RFR-059_Re-run")</f>
        <v>RUN-ABRM_2022-10-28_RFR-059_Re-run</v>
      </c>
      <c r="Z20" s="82">
        <f>IFERROR(__xludf.DUMMYFUNCTION("""COMPUTED_VALUE"""),44862.44611111111)</f>
        <v>44862.44611</v>
      </c>
      <c r="AA20" s="83">
        <f>VLOOKUP($Y20,'RFR Data - preExcl'!$A$2:$AK447,29,FALSE)</f>
        <v>3</v>
      </c>
      <c r="AB20" s="83">
        <f>VLOOKUP($Y20,'RFR Data - preExcl'!$A$2:$AK447,37,FALSE)</f>
        <v>1</v>
      </c>
      <c r="AC20" s="70"/>
      <c r="AD20" s="84" t="str">
        <f>IFERROR(__xludf.DUMMYFUNCTION("""COMPUTED_VALUE"""),"RUN-ABRM_2023-05-12_APS-019")</f>
        <v>RUN-ABRM_2023-05-12_APS-019</v>
      </c>
      <c r="AE20" s="83">
        <f t="shared" si="6"/>
        <v>3</v>
      </c>
      <c r="AF20" s="70"/>
      <c r="AG20" s="74">
        <v>12.0</v>
      </c>
      <c r="AH20" s="54">
        <v>0.0</v>
      </c>
      <c r="AI20" s="86">
        <v>3.0</v>
      </c>
      <c r="AJ20" s="18" t="str">
        <f t="shared" ref="AJ20:AL20" si="24">IF(AG20=L20,IFERROR(0/0,""),FALSE)</f>
        <v/>
      </c>
      <c r="AK20" s="18" t="str">
        <f t="shared" si="24"/>
        <v/>
      </c>
      <c r="AL20" s="18" t="str">
        <f t="shared" si="24"/>
        <v/>
      </c>
      <c r="AM20" s="43"/>
    </row>
    <row r="21">
      <c r="A21" s="7" t="s">
        <v>47</v>
      </c>
      <c r="B21" s="12">
        <v>44833.0</v>
      </c>
      <c r="C21" s="73" t="str">
        <f t="shared" si="3"/>
        <v/>
      </c>
      <c r="D21" s="54">
        <f t="array" ref="D21">IF(OR(ISBLANK($A21),$C21),IFERROR(0/0,""),INDEX('RFR Data - preExcl'!E$2:E447,$R21,1))</f>
        <v>15</v>
      </c>
      <c r="E21" s="54">
        <f t="array" ref="E21">IF(OR(ISBLANK($A21),$C21),IFERROR(0/0,""),INDEX('RFR Data - preExcl'!Z$2:Z447,$R21,1))</f>
        <v>15</v>
      </c>
      <c r="F21" s="54">
        <f t="array" ref="F21">IF(OR(ISBLANK(A21),C21),IFERROR(0/0,""),INDEX('RFR Data - preExcl'!AC$2:AC447,$R21,1))</f>
        <v>13</v>
      </c>
      <c r="G21" s="54">
        <f t="array" ref="G21">IF(OR(ISBLANK(A21),C21),IFERROR(0/0,""),INDEX('RFR Data - preExcl'!AK$2:AK447,$R21,1))</f>
        <v>13</v>
      </c>
      <c r="H21" s="54">
        <f t="array" ref="H21">IF(OR(ISBLANK(A21),C21),IFERROR(0/0,""),INDEX('RFR Data - preExcl'!AL$2:AL447,$R21,1))</f>
        <v>1.1</v>
      </c>
      <c r="I21" s="54">
        <f>IFERROR(VLOOKUP($B21,'APS Tubes by Date IMPORT'!$B$2:$J447,2,FALSE),"")</f>
        <v>13</v>
      </c>
      <c r="J21" s="54" t="b">
        <f>IFERROR(VLOOKUP($B21,'APS Tubes by Date IMPORT'!$B$2:$J447,9,FALSE),"")</f>
        <v>1</v>
      </c>
      <c r="K21" s="54">
        <f>IFNA(VLOOKUP($B21,'APS Tubes by Date IMPORT'!$B$2:$J447,6,FALSE),"")</f>
        <v>0</v>
      </c>
      <c r="L21" s="74">
        <f t="shared" si="4"/>
        <v>13</v>
      </c>
      <c r="M21" s="54">
        <v>0.0</v>
      </c>
      <c r="N21" s="86">
        <v>1.0</v>
      </c>
      <c r="O21" s="76" t="b">
        <f t="shared" si="5"/>
        <v>1</v>
      </c>
      <c r="P21" s="77" t="str">
        <f>IF(ISBLANK(N21),IFERROR(0/0,""),IFERROR(VLOOKUP(N21, 'Process Ref'!$A$76:$D$124, 2, FALSE), IFERROR(0/0,"")))</f>
        <v>Use APS Collect = RFR (diff APS Result count but nets out)</v>
      </c>
      <c r="Q21" s="77"/>
      <c r="R21" s="78">
        <f>IFNA(MATCH(A21,'RFR Data - preExcl'!A$2:A447,0),"")</f>
        <v>28</v>
      </c>
      <c r="S21" s="43"/>
      <c r="T21" s="18" t="str">
        <f>IF(EXACT('RFR Data - preExcl'!W21,"Initial"),'RFR Data - preExcl'!A21,IFERROR(0/0,""))</f>
        <v/>
      </c>
      <c r="U21" s="18" t="str">
        <f>IF(EXACT('RFR Data - preExcl'!W21,"Initial"),'RFR Data - preExcl'!U21,IFERROR(0/0,""))</f>
        <v/>
      </c>
      <c r="X21" s="43"/>
      <c r="Y21" s="84" t="str">
        <f>IFERROR(__xludf.DUMMYFUNCTION("""COMPUTED_VALUE"""),"RUN-ABRM_2022-11-04_RFR-065_Re-run")</f>
        <v>RUN-ABRM_2022-11-04_RFR-065_Re-run</v>
      </c>
      <c r="Z21" s="82">
        <f>IFERROR(__xludf.DUMMYFUNCTION("""COMPUTED_VALUE"""),44869.43371527778)</f>
        <v>44869.43372</v>
      </c>
      <c r="AA21" s="83">
        <f>VLOOKUP($Y21,'RFR Data - preExcl'!$A$2:$AK447,29,FALSE)</f>
        <v>3</v>
      </c>
      <c r="AB21" s="83">
        <f>VLOOKUP($Y21,'RFR Data - preExcl'!$A$2:$AK447,37,FALSE)</f>
        <v>1</v>
      </c>
      <c r="AC21" s="70"/>
      <c r="AD21" s="84" t="str">
        <f>IFERROR(__xludf.DUMMYFUNCTION("""COMPUTED_VALUE"""),"RUN-ABRM_2023-05-15_APS-020")</f>
        <v>RUN-ABRM_2023-05-15_APS-020</v>
      </c>
      <c r="AE21" s="83">
        <f t="shared" si="6"/>
        <v>5</v>
      </c>
      <c r="AF21" s="70"/>
      <c r="AG21" s="74">
        <v>13.0</v>
      </c>
      <c r="AH21" s="54">
        <v>0.0</v>
      </c>
      <c r="AI21" s="86">
        <v>1.0</v>
      </c>
      <c r="AJ21" s="18" t="str">
        <f t="shared" ref="AJ21:AL21" si="25">IF(AG21=L21,IFERROR(0/0,""),FALSE)</f>
        <v/>
      </c>
      <c r="AK21" s="18" t="str">
        <f t="shared" si="25"/>
        <v/>
      </c>
      <c r="AL21" s="18" t="str">
        <f t="shared" si="25"/>
        <v/>
      </c>
      <c r="AM21" s="43"/>
    </row>
    <row r="22">
      <c r="A22" s="7" t="s">
        <v>48</v>
      </c>
      <c r="B22" s="12">
        <v>44834.0</v>
      </c>
      <c r="C22" s="73" t="str">
        <f t="shared" si="3"/>
        <v/>
      </c>
      <c r="D22" s="54">
        <f t="array" ref="D22">IF(OR(ISBLANK($A22),$C22),IFERROR(0/0,""),INDEX('RFR Data - preExcl'!E$2:E447,$R22,1))</f>
        <v>12</v>
      </c>
      <c r="E22" s="54">
        <f t="array" ref="E22">IF(OR(ISBLANK($A22),$C22),IFERROR(0/0,""),INDEX('RFR Data - preExcl'!Z$2:Z447,$R22,1))</f>
        <v>12</v>
      </c>
      <c r="F22" s="54">
        <f t="array" ref="F22">IF(OR(ISBLANK(A22),C22),IFERROR(0/0,""),INDEX('RFR Data - preExcl'!AC$2:AC447,$R22,1))</f>
        <v>10</v>
      </c>
      <c r="G22" s="54">
        <f t="array" ref="G22">IF(OR(ISBLANK(A22),C22),IFERROR(0/0,""),INDEX('RFR Data - preExcl'!AK$2:AK447,$R22,1))</f>
        <v>10</v>
      </c>
      <c r="H22" s="54">
        <f t="array" ref="H22">IF(OR(ISBLANK(A22),C22),IFERROR(0/0,""),INDEX('RFR Data - preExcl'!AL$2:AL447,$R22,1))</f>
        <v>1.1</v>
      </c>
      <c r="I22" s="54">
        <f>IFERROR(VLOOKUP($B22,'APS Tubes by Date IMPORT'!$B$2:$J447,2,FALSE),"")</f>
        <v>10</v>
      </c>
      <c r="J22" s="54" t="b">
        <f>IFERROR(VLOOKUP($B22,'APS Tubes by Date IMPORT'!$B$2:$J447,9,FALSE),"")</f>
        <v>1</v>
      </c>
      <c r="K22" s="54">
        <f>IFNA(VLOOKUP($B22,'APS Tubes by Date IMPORT'!$B$2:$J447,6,FALSE),"")</f>
        <v>0</v>
      </c>
      <c r="L22" s="74">
        <f t="shared" si="4"/>
        <v>10</v>
      </c>
      <c r="M22" s="54">
        <v>0.0</v>
      </c>
      <c r="N22" s="86">
        <v>0.0</v>
      </c>
      <c r="O22" s="76" t="b">
        <f t="shared" si="5"/>
        <v>1</v>
      </c>
      <c r="P22" s="77" t="str">
        <f>IF(ISBLANK(N22),IFERROR(0/0,""),IFERROR(VLOOKUP(N22, 'Process Ref'!$A$76:$D$124, 2, FALSE), IFERROR(0/0,"")))</f>
        <v>ALL 3 COUNTS SAME meaning APS Collect = APS Result = RFR</v>
      </c>
      <c r="Q22" s="77"/>
      <c r="R22" s="78">
        <f>IFNA(MATCH(A22,'RFR Data - preExcl'!A$2:A447,0),"")</f>
        <v>30</v>
      </c>
      <c r="S22" s="43"/>
      <c r="T22" s="18" t="str">
        <f>IF(EXACT('RFR Data - preExcl'!W22,"Initial"),'RFR Data - preExcl'!A22,IFERROR(0/0,""))</f>
        <v>RUN-ABRM_2022-09-22_RFR-021</v>
      </c>
      <c r="U22" s="79">
        <f>IF(EXACT('RFR Data - preExcl'!W22,"Initial"),'RFR Data - preExcl'!U22,IFERROR(0/0,""))</f>
        <v>44826</v>
      </c>
      <c r="X22" s="43"/>
      <c r="Y22" s="84" t="str">
        <f>IFERROR(__xludf.DUMMYFUNCTION("""COMPUTED_VALUE"""),"RUN-ABRM_2022-11-07_RFR-067_Re-run")</f>
        <v>RUN-ABRM_2022-11-07_RFR-067_Re-run</v>
      </c>
      <c r="Z22" s="82">
        <f>IFERROR(__xludf.DUMMYFUNCTION("""COMPUTED_VALUE"""),44872.40484953704)</f>
        <v>44872.40485</v>
      </c>
      <c r="AA22" s="83">
        <f>VLOOKUP($Y22,'RFR Data - preExcl'!$A$2:$AK447,29,FALSE)</f>
        <v>3</v>
      </c>
      <c r="AB22" s="83">
        <f>VLOOKUP($Y22,'RFR Data - preExcl'!$A$2:$AK447,37,FALSE)</f>
        <v>1</v>
      </c>
      <c r="AC22" s="70"/>
      <c r="AD22" s="84" t="str">
        <f>IFERROR(__xludf.DUMMYFUNCTION("""COMPUTED_VALUE"""),"RUN-ABRM_2023-05-16_APS-021")</f>
        <v>RUN-ABRM_2023-05-16_APS-021</v>
      </c>
      <c r="AE22" s="83">
        <f t="shared" si="6"/>
        <v>3</v>
      </c>
      <c r="AF22" s="70"/>
      <c r="AG22" s="74">
        <v>10.0</v>
      </c>
      <c r="AH22" s="54">
        <v>0.0</v>
      </c>
      <c r="AI22" s="86">
        <v>0.0</v>
      </c>
      <c r="AJ22" s="18" t="str">
        <f t="shared" ref="AJ22:AL22" si="26">IF(AG22=L22,IFERROR(0/0,""),FALSE)</f>
        <v/>
      </c>
      <c r="AK22" s="18" t="str">
        <f t="shared" si="26"/>
        <v/>
      </c>
      <c r="AL22" s="18" t="str">
        <f t="shared" si="26"/>
        <v/>
      </c>
      <c r="AM22" s="43"/>
    </row>
    <row r="23">
      <c r="A23" s="7" t="s">
        <v>49</v>
      </c>
      <c r="B23" s="12">
        <v>44837.0</v>
      </c>
      <c r="C23" s="73" t="str">
        <f t="shared" si="3"/>
        <v/>
      </c>
      <c r="D23" s="54">
        <f t="array" ref="D23">IF(OR(ISBLANK($A23),$C23),IFERROR(0/0,""),INDEX('RFR Data - preExcl'!E$2:E447,$R23,1))</f>
        <v>13</v>
      </c>
      <c r="E23" s="54">
        <f t="array" ref="E23">IF(OR(ISBLANK($A23),$C23),IFERROR(0/0,""),INDEX('RFR Data - preExcl'!Z$2:Z447,$R23,1))</f>
        <v>13</v>
      </c>
      <c r="F23" s="54">
        <f t="array" ref="F23">IF(OR(ISBLANK(A23),C23),IFERROR(0/0,""),INDEX('RFR Data - preExcl'!AC$2:AC447,$R23,1))</f>
        <v>11</v>
      </c>
      <c r="G23" s="54">
        <f t="array" ref="G23">IF(OR(ISBLANK(A23),C23),IFERROR(0/0,""),INDEX('RFR Data - preExcl'!AK$2:AK447,$R23,1))</f>
        <v>11</v>
      </c>
      <c r="H23" s="54">
        <f t="array" ref="H23">IF(OR(ISBLANK(A23),C23),IFERROR(0/0,""),INDEX('RFR Data - preExcl'!AL$2:AL447,$R23,1))</f>
        <v>0</v>
      </c>
      <c r="I23" s="54">
        <f>IFERROR(VLOOKUP($B23,'APS Tubes by Date IMPORT'!$B$2:$J447,2,FALSE),"")</f>
        <v>11</v>
      </c>
      <c r="J23" s="54" t="b">
        <f>IFERROR(VLOOKUP($B23,'APS Tubes by Date IMPORT'!$B$2:$J447,9,FALSE),"")</f>
        <v>1</v>
      </c>
      <c r="K23" s="54">
        <f>IFNA(VLOOKUP($B23,'APS Tubes by Date IMPORT'!$B$2:$J447,6,FALSE),"")</f>
        <v>0</v>
      </c>
      <c r="L23" s="74">
        <f t="shared" si="4"/>
        <v>11</v>
      </c>
      <c r="M23" s="54">
        <v>0.0</v>
      </c>
      <c r="N23" s="86">
        <v>0.0</v>
      </c>
      <c r="O23" s="76" t="b">
        <f t="shared" si="5"/>
        <v>1</v>
      </c>
      <c r="P23" s="77" t="str">
        <f>IF(ISBLANK(N23),IFERROR(0/0,""),IFERROR(VLOOKUP(N23, 'Process Ref'!$A$76:$D$124, 2, FALSE), IFERROR(0/0,"")))</f>
        <v>ALL 3 COUNTS SAME meaning APS Collect = APS Result = RFR</v>
      </c>
      <c r="Q23" s="77"/>
      <c r="R23" s="78">
        <f>IFNA(MATCH(A23,'RFR Data - preExcl'!A$2:A447,0),"")</f>
        <v>32</v>
      </c>
      <c r="S23" s="43"/>
      <c r="T23" s="18" t="str">
        <f>IF(EXACT('RFR Data - preExcl'!W23,"Initial"),'RFR Data - preExcl'!A23,IFERROR(0/0,""))</f>
        <v>RUN-ABRM_2022-09-23_RFR-022</v>
      </c>
      <c r="U23" s="79">
        <f>IF(EXACT('RFR Data - preExcl'!W23,"Initial"),'RFR Data - preExcl'!U23,IFERROR(0/0,""))</f>
        <v>44827</v>
      </c>
      <c r="X23" s="43"/>
      <c r="Y23" s="84" t="str">
        <f>IFERROR(__xludf.DUMMYFUNCTION("""COMPUTED_VALUE"""),"RUN-ABRM_2022-11-09_RFR-070_Re-run")</f>
        <v>RUN-ABRM_2022-11-09_RFR-070_Re-run</v>
      </c>
      <c r="Z23" s="82">
        <f>IFERROR(__xludf.DUMMYFUNCTION("""COMPUTED_VALUE"""),44874.416400462964)</f>
        <v>44874.4164</v>
      </c>
      <c r="AA23" s="83">
        <f>VLOOKUP($Y23,'RFR Data - preExcl'!$A$2:$AK447,29,FALSE)</f>
        <v>3</v>
      </c>
      <c r="AB23" s="83">
        <f>VLOOKUP($Y23,'RFR Data - preExcl'!$A$2:$AK447,37,FALSE)</f>
        <v>1</v>
      </c>
      <c r="AC23" s="70"/>
      <c r="AD23" s="84" t="str">
        <f>IFERROR(__xludf.DUMMYFUNCTION("""COMPUTED_VALUE"""),"RUN-ABRM_2023-05-25_APS-022")</f>
        <v>RUN-ABRM_2023-05-25_APS-022</v>
      </c>
      <c r="AE23" s="83">
        <f t="shared" si="6"/>
        <v>1</v>
      </c>
      <c r="AF23" s="70"/>
      <c r="AG23" s="74">
        <v>11.0</v>
      </c>
      <c r="AH23" s="54">
        <v>0.0</v>
      </c>
      <c r="AI23" s="86">
        <v>0.0</v>
      </c>
      <c r="AJ23" s="18" t="str">
        <f t="shared" ref="AJ23:AL23" si="27">IF(AG23=L23,IFERROR(0/0,""),FALSE)</f>
        <v/>
      </c>
      <c r="AK23" s="18" t="str">
        <f t="shared" si="27"/>
        <v/>
      </c>
      <c r="AL23" s="18" t="str">
        <f t="shared" si="27"/>
        <v/>
      </c>
      <c r="AM23" s="43"/>
    </row>
    <row r="24">
      <c r="A24" s="7" t="s">
        <v>50</v>
      </c>
      <c r="B24" s="12">
        <v>44838.0</v>
      </c>
      <c r="C24" s="73" t="str">
        <f t="shared" si="3"/>
        <v/>
      </c>
      <c r="D24" s="54">
        <f t="array" ref="D24">IF(OR(ISBLANK($A24),$C24),IFERROR(0/0,""),INDEX('RFR Data - preExcl'!E$2:E447,$R24,1))</f>
        <v>13</v>
      </c>
      <c r="E24" s="54">
        <f t="array" ref="E24">IF(OR(ISBLANK($A24),$C24),IFERROR(0/0,""),INDEX('RFR Data - preExcl'!Z$2:Z447,$R24,1))</f>
        <v>13</v>
      </c>
      <c r="F24" s="54">
        <f t="array" ref="F24">IF(OR(ISBLANK(A24),C24),IFERROR(0/0,""),INDEX('RFR Data - preExcl'!AC$2:AC447,$R24,1))</f>
        <v>11</v>
      </c>
      <c r="G24" s="54">
        <f t="array" ref="G24">IF(OR(ISBLANK(A24),C24),IFERROR(0/0,""),INDEX('RFR Data - preExcl'!AK$2:AK447,$R24,1))</f>
        <v>11</v>
      </c>
      <c r="H24" s="54">
        <f t="array" ref="H24">IF(OR(ISBLANK(A24),C24),IFERROR(0/0,""),INDEX('RFR Data - preExcl'!AL$2:AL447,$R24,1))</f>
        <v>0</v>
      </c>
      <c r="I24" s="54">
        <f>IFERROR(VLOOKUP($B24,'APS Tubes by Date IMPORT'!$B$2:$J447,2,FALSE),"")</f>
        <v>11</v>
      </c>
      <c r="J24" s="54" t="b">
        <f>IFERROR(VLOOKUP($B24,'APS Tubes by Date IMPORT'!$B$2:$J447,9,FALSE),"")</f>
        <v>1</v>
      </c>
      <c r="K24" s="54">
        <f>IFNA(VLOOKUP($B24,'APS Tubes by Date IMPORT'!$B$2:$J447,6,FALSE),"")</f>
        <v>0</v>
      </c>
      <c r="L24" s="74">
        <f t="shared" si="4"/>
        <v>11</v>
      </c>
      <c r="M24" s="54">
        <v>0.0</v>
      </c>
      <c r="N24" s="86">
        <v>0.0</v>
      </c>
      <c r="O24" s="76" t="b">
        <f t="shared" si="5"/>
        <v>1</v>
      </c>
      <c r="P24" s="77" t="str">
        <f>IF(ISBLANK(N24),IFERROR(0/0,""),IFERROR(VLOOKUP(N24, 'Process Ref'!$A$76:$D$124, 2, FALSE), IFERROR(0/0,"")))</f>
        <v>ALL 3 COUNTS SAME meaning APS Collect = APS Result = RFR</v>
      </c>
      <c r="Q24" s="77"/>
      <c r="R24" s="78">
        <f>IFNA(MATCH(A24,'RFR Data - preExcl'!A$2:A447,0),"")</f>
        <v>33</v>
      </c>
      <c r="S24" s="43"/>
      <c r="T24" s="18" t="str">
        <f>IF(EXACT('RFR Data - preExcl'!W24,"Initial"),'RFR Data - preExcl'!A24,IFERROR(0/0,""))</f>
        <v>RUN-ABRM_2022-09-26_RFR-023</v>
      </c>
      <c r="U24" s="79">
        <f>IF(EXACT('RFR Data - preExcl'!W24,"Initial"),'RFR Data - preExcl'!U24,IFERROR(0/0,""))</f>
        <v>44830</v>
      </c>
      <c r="X24" s="43"/>
      <c r="Y24" s="84" t="str">
        <f>IFERROR(__xludf.DUMMYFUNCTION("""COMPUTED_VALUE"""),"RUN-ABRM_2022-11-11_RFR-074_Re-run")</f>
        <v>RUN-ABRM_2022-11-11_RFR-074_Re-run</v>
      </c>
      <c r="Z24" s="82">
        <f>IFERROR(__xludf.DUMMYFUNCTION("""COMPUTED_VALUE"""),44876.401979166665)</f>
        <v>44876.40198</v>
      </c>
      <c r="AA24" s="83">
        <f>VLOOKUP($Y24,'RFR Data - preExcl'!$A$2:$AK447,29,FALSE)</f>
        <v>3</v>
      </c>
      <c r="AB24" s="83">
        <f>VLOOKUP($Y24,'RFR Data - preExcl'!$A$2:$AK447,37,FALSE)</f>
        <v>1</v>
      </c>
      <c r="AC24" s="70"/>
      <c r="AD24" s="84" t="str">
        <f>IFERROR(__xludf.DUMMYFUNCTION("""COMPUTED_VALUE"""),"RUN-ABRM_2023-06-02_APS-023")</f>
        <v>RUN-ABRM_2023-06-02_APS-023</v>
      </c>
      <c r="AE24" s="83">
        <f t="shared" si="6"/>
        <v>4</v>
      </c>
      <c r="AF24" s="70"/>
      <c r="AG24" s="74">
        <v>11.0</v>
      </c>
      <c r="AH24" s="54">
        <v>0.0</v>
      </c>
      <c r="AI24" s="86">
        <v>0.0</v>
      </c>
      <c r="AJ24" s="18" t="str">
        <f t="shared" ref="AJ24:AL24" si="28">IF(AG24=L24,IFERROR(0/0,""),FALSE)</f>
        <v/>
      </c>
      <c r="AK24" s="18" t="str">
        <f t="shared" si="28"/>
        <v/>
      </c>
      <c r="AL24" s="18" t="str">
        <f t="shared" si="28"/>
        <v/>
      </c>
      <c r="AM24" s="43"/>
    </row>
    <row r="25">
      <c r="A25" s="7" t="s">
        <v>51</v>
      </c>
      <c r="B25" s="12">
        <v>44839.0</v>
      </c>
      <c r="C25" s="73" t="str">
        <f t="shared" si="3"/>
        <v/>
      </c>
      <c r="D25" s="54">
        <f t="array" ref="D25">IF(OR(ISBLANK($A25),$C25),IFERROR(0/0,""),INDEX('RFR Data - preExcl'!E$2:E447,$R25,1))</f>
        <v>15</v>
      </c>
      <c r="E25" s="54">
        <f t="array" ref="E25">IF(OR(ISBLANK($A25),$C25),IFERROR(0/0,""),INDEX('RFR Data - preExcl'!Z$2:Z447,$R25,1))</f>
        <v>15</v>
      </c>
      <c r="F25" s="54">
        <f t="array" ref="F25">IF(OR(ISBLANK(A25),C25),IFERROR(0/0,""),INDEX('RFR Data - preExcl'!AC$2:AC447,$R25,1))</f>
        <v>13</v>
      </c>
      <c r="G25" s="54">
        <f t="array" ref="G25">IF(OR(ISBLANK(A25),C25),IFERROR(0/0,""),INDEX('RFR Data - preExcl'!AK$2:AK447,$R25,1))</f>
        <v>13</v>
      </c>
      <c r="H25" s="54">
        <f t="array" ref="H25">IF(OR(ISBLANK(A25),C25),IFERROR(0/0,""),INDEX('RFR Data - preExcl'!AL$2:AL447,$R25,1))</f>
        <v>1.1</v>
      </c>
      <c r="I25" s="54">
        <f>IFERROR(VLOOKUP($B25,'APS Tubes by Date IMPORT'!$B$2:$J447,2,FALSE),"")</f>
        <v>13</v>
      </c>
      <c r="J25" s="54" t="b">
        <f>IFERROR(VLOOKUP($B25,'APS Tubes by Date IMPORT'!$B$2:$J447,9,FALSE),"")</f>
        <v>1</v>
      </c>
      <c r="K25" s="54">
        <f>IFNA(VLOOKUP($B25,'APS Tubes by Date IMPORT'!$B$2:$J447,6,FALSE),"")</f>
        <v>0</v>
      </c>
      <c r="L25" s="74">
        <f t="shared" si="4"/>
        <v>13</v>
      </c>
      <c r="M25" s="54">
        <v>0.0</v>
      </c>
      <c r="N25" s="86">
        <v>0.0</v>
      </c>
      <c r="O25" s="76" t="b">
        <f t="shared" si="5"/>
        <v>1</v>
      </c>
      <c r="P25" s="77" t="str">
        <f>IF(ISBLANK(N25),IFERROR(0/0,""),IFERROR(VLOOKUP(N25, 'Process Ref'!$A$76:$D$124, 2, FALSE), IFERROR(0/0,"")))</f>
        <v>ALL 3 COUNTS SAME meaning APS Collect = APS Result = RFR</v>
      </c>
      <c r="Q25" s="77"/>
      <c r="R25" s="78">
        <f>IFNA(MATCH(A25,'RFR Data - preExcl'!A$2:A447,0),"")</f>
        <v>34</v>
      </c>
      <c r="S25" s="43"/>
      <c r="T25" s="18" t="str">
        <f>IF(EXACT('RFR Data - preExcl'!W25,"Initial"),'RFR Data - preExcl'!A25,IFERROR(0/0,""))</f>
        <v/>
      </c>
      <c r="U25" s="18" t="str">
        <f>IF(EXACT('RFR Data - preExcl'!W25,"Initial"),'RFR Data - preExcl'!U25,IFERROR(0/0,""))</f>
        <v/>
      </c>
      <c r="X25" s="43"/>
      <c r="Y25" s="84" t="str">
        <f>IFERROR(__xludf.DUMMYFUNCTION("""COMPUTED_VALUE"""),"RUN-ABRM_2022-11-15_RFR-077_Re-run")</f>
        <v>RUN-ABRM_2022-11-15_RFR-077_Re-run</v>
      </c>
      <c r="Z25" s="82">
        <f>IFERROR(__xludf.DUMMYFUNCTION("""COMPUTED_VALUE"""),44880.41984953704)</f>
        <v>44880.41985</v>
      </c>
      <c r="AA25" s="83">
        <f>VLOOKUP($Y25,'RFR Data - preExcl'!$A$2:$AK447,29,FALSE)</f>
        <v>6</v>
      </c>
      <c r="AB25" s="83">
        <f>VLOOKUP($Y25,'RFR Data - preExcl'!$A$2:$AK447,37,FALSE)</f>
        <v>2</v>
      </c>
      <c r="AC25" s="70"/>
      <c r="AF25" s="70"/>
      <c r="AG25" s="74">
        <v>13.0</v>
      </c>
      <c r="AH25" s="54">
        <v>0.0</v>
      </c>
      <c r="AI25" s="86">
        <v>0.0</v>
      </c>
      <c r="AJ25" s="18" t="str">
        <f t="shared" ref="AJ25:AL25" si="29">IF(AG25=L25,IFERROR(0/0,""),FALSE)</f>
        <v/>
      </c>
      <c r="AK25" s="18" t="str">
        <f t="shared" si="29"/>
        <v/>
      </c>
      <c r="AL25" s="18" t="str">
        <f t="shared" si="29"/>
        <v/>
      </c>
      <c r="AM25" s="43"/>
    </row>
    <row r="26">
      <c r="A26" s="7" t="s">
        <v>52</v>
      </c>
      <c r="B26" s="12">
        <v>44840.0</v>
      </c>
      <c r="C26" s="73" t="str">
        <f t="shared" si="3"/>
        <v/>
      </c>
      <c r="D26" s="54">
        <f t="array" ref="D26">IF(OR(ISBLANK($A26),$C26),IFERROR(0/0,""),INDEX('RFR Data - preExcl'!E$2:E447,$R26,1))</f>
        <v>12</v>
      </c>
      <c r="E26" s="54">
        <f t="array" ref="E26">IF(OR(ISBLANK($A26),$C26),IFERROR(0/0,""),INDEX('RFR Data - preExcl'!Z$2:Z447,$R26,1))</f>
        <v>14</v>
      </c>
      <c r="F26" s="54">
        <f t="array" ref="F26">IF(OR(ISBLANK(A26),C26),IFERROR(0/0,""),INDEX('RFR Data - preExcl'!AC$2:AC447,$R26,1))</f>
        <v>12</v>
      </c>
      <c r="G26" s="54">
        <f t="array" ref="G26">IF(OR(ISBLANK(A26),C26),IFERROR(0/0,""),INDEX('RFR Data - preExcl'!AK$2:AK447,$R26,1))</f>
        <v>12</v>
      </c>
      <c r="H26" s="54">
        <f t="array" ref="H26">IF(OR(ISBLANK(A26),C26),IFERROR(0/0,""),INDEX('RFR Data - preExcl'!AL$2:AL447,$R26,1))</f>
        <v>0</v>
      </c>
      <c r="I26" s="54">
        <f>IFERROR(VLOOKUP($B26,'APS Tubes by Date IMPORT'!$B$2:$J447,2,FALSE),"")</f>
        <v>12</v>
      </c>
      <c r="J26" s="54" t="b">
        <f>IFERROR(VLOOKUP($B26,'APS Tubes by Date IMPORT'!$B$2:$J447,9,FALSE),"")</f>
        <v>1</v>
      </c>
      <c r="K26" s="54">
        <f>IFNA(VLOOKUP($B26,'APS Tubes by Date IMPORT'!$B$2:$J447,6,FALSE),"")</f>
        <v>0</v>
      </c>
      <c r="L26" s="74">
        <f t="shared" si="4"/>
        <v>12</v>
      </c>
      <c r="M26" s="54">
        <v>0.0</v>
      </c>
      <c r="N26" s="86">
        <v>3.0</v>
      </c>
      <c r="O26" s="76" t="b">
        <f t="shared" si="5"/>
        <v>1</v>
      </c>
      <c r="P26" s="77" t="str">
        <f>IF(ISBLANK(N26),IFERROR(0/0,""),IFERROR(VLOOKUP(N26, 'Process Ref'!$A$76:$D$124, 2, FALSE), IFERROR(0/0,"")))</f>
        <v>ALL 3 COUNTS SAME after Null deleted</v>
      </c>
      <c r="Q26" s="77" t="s">
        <v>232</v>
      </c>
      <c r="R26" s="78">
        <f>IFNA(MATCH(A26,'RFR Data - preExcl'!A$2:A447,0),"")</f>
        <v>36</v>
      </c>
      <c r="S26" s="43"/>
      <c r="T26" s="18" t="str">
        <f>IF(EXACT('RFR Data - preExcl'!W26,"Initial"),'RFR Data - preExcl'!A26,IFERROR(0/0,""))</f>
        <v>RUN-ABRM_2022-09-27_RFR-025</v>
      </c>
      <c r="U26" s="79">
        <f>IF(EXACT('RFR Data - preExcl'!W26,"Initial"),'RFR Data - preExcl'!U26,IFERROR(0/0,""))</f>
        <v>44831</v>
      </c>
      <c r="X26" s="43"/>
      <c r="Y26" s="84" t="str">
        <f>IFERROR(__xludf.DUMMYFUNCTION("""COMPUTED_VALUE"""),"RUN-ABRM_2022-11-17_RFR-080_Re-run")</f>
        <v>RUN-ABRM_2022-11-17_RFR-080_Re-run</v>
      </c>
      <c r="Z26" s="82">
        <f>IFERROR(__xludf.DUMMYFUNCTION("""COMPUTED_VALUE"""),44882.43261574074)</f>
        <v>44882.43262</v>
      </c>
      <c r="AA26" s="83">
        <f>VLOOKUP($Y26,'RFR Data - preExcl'!$A$2:$AK447,29,FALSE)</f>
        <v>3</v>
      </c>
      <c r="AB26" s="83">
        <f>VLOOKUP($Y26,'RFR Data - preExcl'!$A$2:$AK447,37,FALSE)</f>
        <v>1</v>
      </c>
      <c r="AC26" s="70"/>
      <c r="AF26" s="70"/>
      <c r="AG26" s="74">
        <v>12.0</v>
      </c>
      <c r="AH26" s="54">
        <v>0.0</v>
      </c>
      <c r="AI26" s="86">
        <v>3.0</v>
      </c>
      <c r="AJ26" s="18" t="str">
        <f t="shared" ref="AJ26:AL26" si="30">IF(AG26=L26,IFERROR(0/0,""),FALSE)</f>
        <v/>
      </c>
      <c r="AK26" s="18" t="str">
        <f t="shared" si="30"/>
        <v/>
      </c>
      <c r="AL26" s="18" t="str">
        <f t="shared" si="30"/>
        <v/>
      </c>
      <c r="AM26" s="43"/>
    </row>
    <row r="27">
      <c r="A27" s="7" t="s">
        <v>53</v>
      </c>
      <c r="B27" s="12">
        <v>44841.0</v>
      </c>
      <c r="C27" s="73" t="str">
        <f t="shared" si="3"/>
        <v/>
      </c>
      <c r="D27" s="54">
        <f t="array" ref="D27">IF(OR(ISBLANK($A27),$C27),IFERROR(0/0,""),INDEX('RFR Data - preExcl'!E$2:E447,$R27,1))</f>
        <v>12</v>
      </c>
      <c r="E27" s="54">
        <f t="array" ref="E27">IF(OR(ISBLANK($A27),$C27),IFERROR(0/0,""),INDEX('RFR Data - preExcl'!Z$2:Z447,$R27,1))</f>
        <v>14</v>
      </c>
      <c r="F27" s="54">
        <f t="array" ref="F27">IF(OR(ISBLANK(A27),C27),IFERROR(0/0,""),INDEX('RFR Data - preExcl'!AC$2:AC447,$R27,1))</f>
        <v>12</v>
      </c>
      <c r="G27" s="54">
        <f t="array" ref="G27">IF(OR(ISBLANK(A27),C27),IFERROR(0/0,""),INDEX('RFR Data - preExcl'!AK$2:AK447,$R27,1))</f>
        <v>12</v>
      </c>
      <c r="H27" s="54">
        <f t="array" ref="H27">IF(OR(ISBLANK(A27),C27),IFERROR(0/0,""),INDEX('RFR Data - preExcl'!AL$2:AL447,$R27,1))</f>
        <v>0</v>
      </c>
      <c r="I27" s="54">
        <f>IFERROR(VLOOKUP($B27,'APS Tubes by Date IMPORT'!$B$2:$J447,2,FALSE),"")</f>
        <v>12</v>
      </c>
      <c r="J27" s="54" t="str">
        <f>IFERROR(VLOOKUP($B27,'APS Tubes by Date IMPORT'!$B$2:$J447,9,FALSE),"")</f>
        <v/>
      </c>
      <c r="K27" s="54">
        <f>IFNA(VLOOKUP($B27,'APS Tubes by Date IMPORT'!$B$2:$J447,6,FALSE),"")</f>
        <v>0</v>
      </c>
      <c r="L27" s="74">
        <f t="shared" si="4"/>
        <v>12</v>
      </c>
      <c r="M27" s="54">
        <v>0.0</v>
      </c>
      <c r="N27" s="86">
        <v>1.0</v>
      </c>
      <c r="O27" s="76" t="b">
        <f t="shared" si="5"/>
        <v>1</v>
      </c>
      <c r="P27" s="77" t="str">
        <f>IF(ISBLANK(N27),IFERROR(0/0,""),IFERROR(VLOOKUP(N27, 'Process Ref'!$A$76:$D$124, 2, FALSE), IFERROR(0/0,"")))</f>
        <v>Use APS Collect = RFR (diff APS Result count but nets out)</v>
      </c>
      <c r="Q27" s="77"/>
      <c r="R27" s="78">
        <f>IFNA(MATCH(A27,'RFR Data - preExcl'!A$2:A447,0),"")</f>
        <v>37</v>
      </c>
      <c r="S27" s="43"/>
      <c r="T27" s="18" t="str">
        <f>IF(EXACT('RFR Data - preExcl'!W27,"Initial"),'RFR Data - preExcl'!A27,IFERROR(0/0,""))</f>
        <v>RUN-ABRM_2022-09-28_RFR-026</v>
      </c>
      <c r="U27" s="79">
        <f>IF(EXACT('RFR Data - preExcl'!W27,"Initial"),'RFR Data - preExcl'!U27,IFERROR(0/0,""))</f>
        <v>44832</v>
      </c>
      <c r="X27" s="43"/>
      <c r="Y27" s="84" t="str">
        <f>IFERROR(__xludf.DUMMYFUNCTION("""COMPUTED_VALUE"""),"RUN-ABRM_2022-11-19_RFR-083_Re-run")</f>
        <v>RUN-ABRM_2022-11-19_RFR-083_Re-run</v>
      </c>
      <c r="Z27" s="82">
        <f>IFERROR(__xludf.DUMMYFUNCTION("""COMPUTED_VALUE"""),44884.7743287037)</f>
        <v>44884.77433</v>
      </c>
      <c r="AA27" s="83">
        <f>VLOOKUP($Y27,'RFR Data - preExcl'!$A$2:$AK447,29,FALSE)</f>
        <v>3</v>
      </c>
      <c r="AB27" s="83">
        <f>VLOOKUP($Y27,'RFR Data - preExcl'!$A$2:$AK447,37,FALSE)</f>
        <v>1</v>
      </c>
      <c r="AC27" s="70"/>
      <c r="AF27" s="70"/>
      <c r="AG27" s="74">
        <v>12.0</v>
      </c>
      <c r="AH27" s="54">
        <v>0.0</v>
      </c>
      <c r="AI27" s="86">
        <v>1.0</v>
      </c>
      <c r="AJ27" s="18" t="str">
        <f t="shared" ref="AJ27:AL27" si="31">IF(AG27=L27,IFERROR(0/0,""),FALSE)</f>
        <v/>
      </c>
      <c r="AK27" s="18" t="str">
        <f t="shared" si="31"/>
        <v/>
      </c>
      <c r="AL27" s="18" t="str">
        <f t="shared" si="31"/>
        <v/>
      </c>
      <c r="AM27" s="43"/>
    </row>
    <row r="28">
      <c r="A28" s="7" t="s">
        <v>54</v>
      </c>
      <c r="B28" s="12">
        <v>44844.0</v>
      </c>
      <c r="C28" s="73" t="str">
        <f t="shared" si="3"/>
        <v/>
      </c>
      <c r="D28" s="54">
        <f t="array" ref="D28">IF(OR(ISBLANK($A28),$C28),IFERROR(0/0,""),INDEX('RFR Data - preExcl'!E$2:E447,$R28,1))</f>
        <v>15</v>
      </c>
      <c r="E28" s="54">
        <f t="array" ref="E28">IF(OR(ISBLANK($A28),$C28),IFERROR(0/0,""),INDEX('RFR Data - preExcl'!Z$2:Z447,$R28,1))</f>
        <v>15</v>
      </c>
      <c r="F28" s="54">
        <f t="array" ref="F28">IF(OR(ISBLANK(A28),C28),IFERROR(0/0,""),INDEX('RFR Data - preExcl'!AC$2:AC447,$R28,1))</f>
        <v>13</v>
      </c>
      <c r="G28" s="54">
        <f t="array" ref="G28">IF(OR(ISBLANK(A28),C28),IFERROR(0/0,""),INDEX('RFR Data - preExcl'!AK$2:AK447,$R28,1))</f>
        <v>13</v>
      </c>
      <c r="H28" s="54">
        <f t="array" ref="H28">IF(OR(ISBLANK(A28),C28),IFERROR(0/0,""),INDEX('RFR Data - preExcl'!AL$2:AL447,$R28,1))</f>
        <v>4</v>
      </c>
      <c r="I28" s="54">
        <f>IFERROR(VLOOKUP($B28,'APS Tubes by Date IMPORT'!$B$2:$J447,2,FALSE),"")</f>
        <v>13</v>
      </c>
      <c r="J28" s="54" t="b">
        <f>IFERROR(VLOOKUP($B28,'APS Tubes by Date IMPORT'!$B$2:$J447,9,FALSE),"")</f>
        <v>1</v>
      </c>
      <c r="K28" s="54">
        <f>IFNA(VLOOKUP($B28,'APS Tubes by Date IMPORT'!$B$2:$J447,6,FALSE),"")</f>
        <v>0</v>
      </c>
      <c r="L28" s="74">
        <f t="shared" si="4"/>
        <v>13</v>
      </c>
      <c r="M28" s="54">
        <v>0.0</v>
      </c>
      <c r="N28" s="86">
        <v>1.0</v>
      </c>
      <c r="O28" s="76" t="b">
        <f t="shared" si="5"/>
        <v>1</v>
      </c>
      <c r="P28" s="77" t="str">
        <f>IF(ISBLANK(N28),IFERROR(0/0,""),IFERROR(VLOOKUP(N28, 'Process Ref'!$A$76:$D$124, 2, FALSE), IFERROR(0/0,"")))</f>
        <v>Use APS Collect = RFR (diff APS Result count but nets out)</v>
      </c>
      <c r="Q28" s="77"/>
      <c r="R28" s="78">
        <f>IFNA(MATCH(A28,'RFR Data - preExcl'!A$2:A447,0),"")</f>
        <v>38</v>
      </c>
      <c r="S28" s="43"/>
      <c r="T28" s="18" t="str">
        <f>IF(EXACT('RFR Data - preExcl'!W28,"Initial"),'RFR Data - preExcl'!A28,IFERROR(0/0,""))</f>
        <v/>
      </c>
      <c r="U28" s="18" t="str">
        <f>IF(EXACT('RFR Data - preExcl'!W28,"Initial"),'RFR Data - preExcl'!U28,IFERROR(0/0,""))</f>
        <v/>
      </c>
      <c r="X28" s="43"/>
      <c r="Y28" s="84" t="str">
        <f>IFERROR(__xludf.DUMMYFUNCTION("""COMPUTED_VALUE"""),"RUN-ABRM_2022-11-20_RFR-085_Re-run")</f>
        <v>RUN-ABRM_2022-11-20_RFR-085_Re-run</v>
      </c>
      <c r="Z28" s="82">
        <f>IFERROR(__xludf.DUMMYFUNCTION("""COMPUTED_VALUE"""),44885.66133101852)</f>
        <v>44885.66133</v>
      </c>
      <c r="AA28" s="83">
        <f>VLOOKUP($Y28,'RFR Data - preExcl'!$A$2:$AK447,29,FALSE)</f>
        <v>3</v>
      </c>
      <c r="AB28" s="83">
        <f>VLOOKUP($Y28,'RFR Data - preExcl'!$A$2:$AK447,37,FALSE)</f>
        <v>1</v>
      </c>
      <c r="AC28" s="70"/>
      <c r="AF28" s="70"/>
      <c r="AG28" s="74">
        <v>13.0</v>
      </c>
      <c r="AH28" s="54">
        <v>0.0</v>
      </c>
      <c r="AI28" s="86">
        <v>1.0</v>
      </c>
      <c r="AJ28" s="18" t="str">
        <f t="shared" ref="AJ28:AL28" si="32">IF(AG28=L28,IFERROR(0/0,""),FALSE)</f>
        <v/>
      </c>
      <c r="AK28" s="18" t="str">
        <f t="shared" si="32"/>
        <v/>
      </c>
      <c r="AL28" s="18" t="str">
        <f t="shared" si="32"/>
        <v/>
      </c>
      <c r="AM28" s="43"/>
    </row>
    <row r="29">
      <c r="A29" s="7" t="s">
        <v>55</v>
      </c>
      <c r="B29" s="12">
        <v>44845.0</v>
      </c>
      <c r="C29" s="73" t="str">
        <f t="shared" si="3"/>
        <v/>
      </c>
      <c r="D29" s="54">
        <f t="array" ref="D29">IF(OR(ISBLANK($A29),$C29),IFERROR(0/0,""),INDEX('RFR Data - preExcl'!E$2:E447,$R29,1))</f>
        <v>14</v>
      </c>
      <c r="E29" s="54">
        <f t="array" ref="E29">IF(OR(ISBLANK($A29),$C29),IFERROR(0/0,""),INDEX('RFR Data - preExcl'!Z$2:Z447,$R29,1))</f>
        <v>14</v>
      </c>
      <c r="F29" s="54">
        <f t="array" ref="F29">IF(OR(ISBLANK(A29),C29),IFERROR(0/0,""),INDEX('RFR Data - preExcl'!AC$2:AC447,$R29,1))</f>
        <v>12</v>
      </c>
      <c r="G29" s="54">
        <f t="array" ref="G29">IF(OR(ISBLANK(A29),C29),IFERROR(0/0,""),INDEX('RFR Data - preExcl'!AK$2:AK447,$R29,1))</f>
        <v>12</v>
      </c>
      <c r="H29" s="54">
        <f t="array" ref="H29">IF(OR(ISBLANK(A29),C29),IFERROR(0/0,""),INDEX('RFR Data - preExcl'!AL$2:AL447,$R29,1))</f>
        <v>4</v>
      </c>
      <c r="I29" s="54">
        <f>IFERROR(VLOOKUP($B29,'APS Tubes by Date IMPORT'!$B$2:$J447,2,FALSE),"")</f>
        <v>12</v>
      </c>
      <c r="J29" s="54" t="b">
        <f>IFERROR(VLOOKUP($B29,'APS Tubes by Date IMPORT'!$B$2:$J447,9,FALSE),"")</f>
        <v>1</v>
      </c>
      <c r="K29" s="54">
        <f>IFNA(VLOOKUP($B29,'APS Tubes by Date IMPORT'!$B$2:$J447,6,FALSE),"")</f>
        <v>0</v>
      </c>
      <c r="L29" s="74">
        <f t="shared" si="4"/>
        <v>12</v>
      </c>
      <c r="M29" s="54">
        <v>0.0</v>
      </c>
      <c r="N29" s="86">
        <v>0.0</v>
      </c>
      <c r="O29" s="76" t="b">
        <f t="shared" si="5"/>
        <v>1</v>
      </c>
      <c r="P29" s="77" t="str">
        <f>IF(ISBLANK(N29),IFERROR(0/0,""),IFERROR(VLOOKUP(N29, 'Process Ref'!$A$76:$D$124, 2, FALSE), IFERROR(0/0,"")))</f>
        <v>ALL 3 COUNTS SAME meaning APS Collect = APS Result = RFR</v>
      </c>
      <c r="Q29" s="77"/>
      <c r="R29" s="78">
        <f>IFNA(MATCH(A29,'RFR Data - preExcl'!A$2:A447,0),"")</f>
        <v>41</v>
      </c>
      <c r="S29" s="43"/>
      <c r="T29" s="18" t="str">
        <f>IF(EXACT('RFR Data - preExcl'!W29,"Initial"),'RFR Data - preExcl'!A29,IFERROR(0/0,""))</f>
        <v>RUN-ABRM_2022-09-29_RFR-028</v>
      </c>
      <c r="U29" s="79">
        <f>IF(EXACT('RFR Data - preExcl'!W29,"Initial"),'RFR Data - preExcl'!U29,IFERROR(0/0,""))</f>
        <v>44833</v>
      </c>
      <c r="X29" s="43"/>
      <c r="Y29" s="84" t="str">
        <f>IFERROR(__xludf.DUMMYFUNCTION("""COMPUTED_VALUE"""),"RUN-ABRM_2022-11-20_RFR-086_Re-run")</f>
        <v>RUN-ABRM_2022-11-20_RFR-086_Re-run</v>
      </c>
      <c r="Z29" s="82">
        <f>IFERROR(__xludf.DUMMYFUNCTION("""COMPUTED_VALUE"""),44885.69611111111)</f>
        <v>44885.69611</v>
      </c>
      <c r="AA29" s="83">
        <f>VLOOKUP($Y29,'RFR Data - preExcl'!$A$2:$AK447,29,FALSE)</f>
        <v>3</v>
      </c>
      <c r="AB29" s="83">
        <f>VLOOKUP($Y29,'RFR Data - preExcl'!$A$2:$AK447,37,FALSE)</f>
        <v>1</v>
      </c>
      <c r="AC29" s="70"/>
      <c r="AF29" s="70"/>
      <c r="AG29" s="74">
        <v>12.0</v>
      </c>
      <c r="AH29" s="54">
        <v>0.0</v>
      </c>
      <c r="AI29" s="86">
        <v>0.0</v>
      </c>
      <c r="AJ29" s="18" t="str">
        <f t="shared" ref="AJ29:AL29" si="33">IF(AG29=L29,IFERROR(0/0,""),FALSE)</f>
        <v/>
      </c>
      <c r="AK29" s="18" t="str">
        <f t="shared" si="33"/>
        <v/>
      </c>
      <c r="AL29" s="18" t="str">
        <f t="shared" si="33"/>
        <v/>
      </c>
      <c r="AM29" s="43"/>
    </row>
    <row r="30">
      <c r="A30" s="7" t="s">
        <v>56</v>
      </c>
      <c r="B30" s="12">
        <v>44846.0</v>
      </c>
      <c r="C30" s="73" t="str">
        <f t="shared" si="3"/>
        <v/>
      </c>
      <c r="D30" s="54">
        <f t="array" ref="D30">IF(OR(ISBLANK($A30),$C30),IFERROR(0/0,""),INDEX('RFR Data - preExcl'!E$2:E447,$R30,1))</f>
        <v>12</v>
      </c>
      <c r="E30" s="54">
        <f t="array" ref="E30">IF(OR(ISBLANK($A30),$C30),IFERROR(0/0,""),INDEX('RFR Data - preExcl'!Z$2:Z447,$R30,1))</f>
        <v>12</v>
      </c>
      <c r="F30" s="54">
        <f t="array" ref="F30">IF(OR(ISBLANK(A30),C30),IFERROR(0/0,""),INDEX('RFR Data - preExcl'!AC$2:AC447,$R30,1))</f>
        <v>10</v>
      </c>
      <c r="G30" s="54">
        <f t="array" ref="G30">IF(OR(ISBLANK(A30),C30),IFERROR(0/0,""),INDEX('RFR Data - preExcl'!AK$2:AK447,$R30,1))</f>
        <v>10</v>
      </c>
      <c r="H30" s="54">
        <f t="array" ref="H30">IF(OR(ISBLANK(A30),C30),IFERROR(0/0,""),INDEX('RFR Data - preExcl'!AL$2:AL447,$R30,1))</f>
        <v>0</v>
      </c>
      <c r="I30" s="54">
        <f>IFERROR(VLOOKUP($B30,'APS Tubes by Date IMPORT'!$B$2:$J447,2,FALSE),"")</f>
        <v>10</v>
      </c>
      <c r="J30" s="54" t="b">
        <f>IFERROR(VLOOKUP($B30,'APS Tubes by Date IMPORT'!$B$2:$J447,9,FALSE),"")</f>
        <v>1</v>
      </c>
      <c r="K30" s="54">
        <f>IFNA(VLOOKUP($B30,'APS Tubes by Date IMPORT'!$B$2:$J447,6,FALSE),"")</f>
        <v>0</v>
      </c>
      <c r="L30" s="74">
        <f t="shared" si="4"/>
        <v>10</v>
      </c>
      <c r="M30" s="54">
        <v>0.0</v>
      </c>
      <c r="N30" s="86">
        <v>0.0</v>
      </c>
      <c r="O30" s="76" t="b">
        <f t="shared" si="5"/>
        <v>1</v>
      </c>
      <c r="P30" s="77" t="str">
        <f>IF(ISBLANK(N30),IFERROR(0/0,""),IFERROR(VLOOKUP(N30, 'Process Ref'!$A$76:$D$124, 2, FALSE), IFERROR(0/0,"")))</f>
        <v>ALL 3 COUNTS SAME meaning APS Collect = APS Result = RFR</v>
      </c>
      <c r="Q30" s="77"/>
      <c r="R30" s="78">
        <f>IFNA(MATCH(A30,'RFR Data - preExcl'!A$2:A447,0),"")</f>
        <v>43</v>
      </c>
      <c r="S30" s="43"/>
      <c r="T30" s="18" t="str">
        <f>IF(EXACT('RFR Data - preExcl'!W30,"Initial"),'RFR Data - preExcl'!A30,IFERROR(0/0,""))</f>
        <v/>
      </c>
      <c r="U30" s="18" t="str">
        <f>IF(EXACT('RFR Data - preExcl'!W30,"Initial"),'RFR Data - preExcl'!U30,IFERROR(0/0,""))</f>
        <v/>
      </c>
      <c r="X30" s="43"/>
      <c r="Y30" s="84" t="str">
        <f>IFERROR(__xludf.DUMMYFUNCTION("""COMPUTED_VALUE"""),"RUN-ABRM_2022-12-01_RFR-096_Re-run")</f>
        <v>RUN-ABRM_2022-12-01_RFR-096_Re-run</v>
      </c>
      <c r="Z30" s="82">
        <f>IFERROR(__xludf.DUMMYFUNCTION("""COMPUTED_VALUE"""),44896.47767361111)</f>
        <v>44896.47767</v>
      </c>
      <c r="AA30" s="83">
        <f>VLOOKUP($Y30,'RFR Data - preExcl'!$A$2:$AK447,29,FALSE)</f>
        <v>3</v>
      </c>
      <c r="AB30" s="83">
        <f>VLOOKUP($Y30,'RFR Data - preExcl'!$A$2:$AK447,37,FALSE)</f>
        <v>1</v>
      </c>
      <c r="AC30" s="70"/>
      <c r="AF30" s="70"/>
      <c r="AG30" s="74">
        <v>10.0</v>
      </c>
      <c r="AH30" s="54">
        <v>0.0</v>
      </c>
      <c r="AI30" s="86">
        <v>0.0</v>
      </c>
      <c r="AJ30" s="18" t="str">
        <f t="shared" ref="AJ30:AL30" si="34">IF(AG30=L30,IFERROR(0/0,""),FALSE)</f>
        <v/>
      </c>
      <c r="AK30" s="18" t="str">
        <f t="shared" si="34"/>
        <v/>
      </c>
      <c r="AL30" s="18" t="str">
        <f t="shared" si="34"/>
        <v/>
      </c>
      <c r="AM30" s="43"/>
    </row>
    <row r="31">
      <c r="A31" s="7" t="s">
        <v>57</v>
      </c>
      <c r="B31" s="12">
        <v>44847.0</v>
      </c>
      <c r="C31" s="73" t="str">
        <f t="shared" si="3"/>
        <v/>
      </c>
      <c r="D31" s="54">
        <f t="array" ref="D31">IF(OR(ISBLANK($A31),$C31),IFERROR(0/0,""),INDEX('RFR Data - preExcl'!E$2:E447,$R31,1))</f>
        <v>13</v>
      </c>
      <c r="E31" s="54">
        <f t="array" ref="E31">IF(OR(ISBLANK($A31),$C31),IFERROR(0/0,""),INDEX('RFR Data - preExcl'!Z$2:Z447,$R31,1))</f>
        <v>13</v>
      </c>
      <c r="F31" s="54">
        <f t="array" ref="F31">IF(OR(ISBLANK(A31),C31),IFERROR(0/0,""),INDEX('RFR Data - preExcl'!AC$2:AC447,$R31,1))</f>
        <v>11</v>
      </c>
      <c r="G31" s="54">
        <f t="array" ref="G31">IF(OR(ISBLANK(A31),C31),IFERROR(0/0,""),INDEX('RFR Data - preExcl'!AK$2:AK447,$R31,1))</f>
        <v>11</v>
      </c>
      <c r="H31" s="54">
        <f t="array" ref="H31">IF(OR(ISBLANK(A31),C31),IFERROR(0/0,""),INDEX('RFR Data - preExcl'!AL$2:AL447,$R31,1))</f>
        <v>0</v>
      </c>
      <c r="I31" s="54">
        <f>IFERROR(VLOOKUP($B31,'APS Tubes by Date IMPORT'!$B$2:$J447,2,FALSE),"")</f>
        <v>11</v>
      </c>
      <c r="J31" s="54" t="b">
        <f>IFERROR(VLOOKUP($B31,'APS Tubes by Date IMPORT'!$B$2:$J447,9,FALSE),"")</f>
        <v>1</v>
      </c>
      <c r="K31" s="54">
        <f>IFNA(VLOOKUP($B31,'APS Tubes by Date IMPORT'!$B$2:$J447,6,FALSE),"")</f>
        <v>0</v>
      </c>
      <c r="L31" s="74">
        <f t="shared" si="4"/>
        <v>11</v>
      </c>
      <c r="M31" s="54">
        <v>0.0</v>
      </c>
      <c r="N31" s="86">
        <v>0.0</v>
      </c>
      <c r="O31" s="76" t="b">
        <f t="shared" si="5"/>
        <v>1</v>
      </c>
      <c r="P31" s="77" t="str">
        <f>IF(ISBLANK(N31),IFERROR(0/0,""),IFERROR(VLOOKUP(N31, 'Process Ref'!$A$76:$D$124, 2, FALSE), IFERROR(0/0,"")))</f>
        <v>ALL 3 COUNTS SAME meaning APS Collect = APS Result = RFR</v>
      </c>
      <c r="Q31" s="77"/>
      <c r="R31" s="78">
        <f>IFNA(MATCH(A31,'RFR Data - preExcl'!A$2:A447,0),"")</f>
        <v>44</v>
      </c>
      <c r="S31" s="43"/>
      <c r="T31" s="18" t="str">
        <f>IF(EXACT('RFR Data - preExcl'!W31,"Initial"),'RFR Data - preExcl'!A31,IFERROR(0/0,""))</f>
        <v>RUN-ABRM_2022-09-30_RFR-030</v>
      </c>
      <c r="U31" s="79">
        <f>IF(EXACT('RFR Data - preExcl'!W31,"Initial"),'RFR Data - preExcl'!U31,IFERROR(0/0,""))</f>
        <v>44834</v>
      </c>
      <c r="X31" s="43"/>
      <c r="Y31" s="84" t="str">
        <f>IFERROR(__xludf.DUMMYFUNCTION("""COMPUTED_VALUE"""),"RUN-ABRM_2022-12-08_RFR-102_Re-run")</f>
        <v>RUN-ABRM_2022-12-08_RFR-102_Re-run</v>
      </c>
      <c r="Z31" s="82">
        <f>IFERROR(__xludf.DUMMYFUNCTION("""COMPUTED_VALUE"""),44903.48349537037)</f>
        <v>44903.4835</v>
      </c>
      <c r="AA31" s="83">
        <f>VLOOKUP($Y31,'RFR Data - preExcl'!$A$2:$AK447,29,FALSE)</f>
        <v>3</v>
      </c>
      <c r="AB31" s="83">
        <f>VLOOKUP($Y31,'RFR Data - preExcl'!$A$2:$AK447,37,FALSE)</f>
        <v>1</v>
      </c>
      <c r="AC31" s="70"/>
      <c r="AF31" s="70"/>
      <c r="AG31" s="74">
        <v>11.0</v>
      </c>
      <c r="AH31" s="54">
        <v>0.0</v>
      </c>
      <c r="AI31" s="86">
        <v>0.0</v>
      </c>
      <c r="AJ31" s="18" t="str">
        <f t="shared" ref="AJ31:AL31" si="35">IF(AG31=L31,IFERROR(0/0,""),FALSE)</f>
        <v/>
      </c>
      <c r="AK31" s="18" t="str">
        <f t="shared" si="35"/>
        <v/>
      </c>
      <c r="AL31" s="18" t="str">
        <f t="shared" si="35"/>
        <v/>
      </c>
      <c r="AM31" s="43"/>
    </row>
    <row r="32">
      <c r="A32" s="7" t="s">
        <v>58</v>
      </c>
      <c r="B32" s="12">
        <v>44851.0</v>
      </c>
      <c r="C32" s="73" t="str">
        <f t="shared" si="3"/>
        <v/>
      </c>
      <c r="D32" s="54">
        <f t="array" ref="D32">IF(OR(ISBLANK($A32),$C32),IFERROR(0/0,""),INDEX('RFR Data - preExcl'!E$2:E447,$R32,1))</f>
        <v>13</v>
      </c>
      <c r="E32" s="54">
        <f t="array" ref="E32">IF(OR(ISBLANK($A32),$C32),IFERROR(0/0,""),INDEX('RFR Data - preExcl'!Z$2:Z447,$R32,1))</f>
        <v>13</v>
      </c>
      <c r="F32" s="54">
        <f t="array" ref="F32">IF(OR(ISBLANK(A32),C32),IFERROR(0/0,""),INDEX('RFR Data - preExcl'!AC$2:AC447,$R32,1))</f>
        <v>11</v>
      </c>
      <c r="G32" s="54">
        <f t="array" ref="G32">IF(OR(ISBLANK(A32),C32),IFERROR(0/0,""),INDEX('RFR Data - preExcl'!AK$2:AK447,$R32,1))</f>
        <v>11</v>
      </c>
      <c r="H32" s="54">
        <f t="array" ref="H32">IF(OR(ISBLANK(A32),C32),IFERROR(0/0,""),INDEX('RFR Data - preExcl'!AL$2:AL447,$R32,1))</f>
        <v>0</v>
      </c>
      <c r="I32" s="54">
        <f>IFERROR(VLOOKUP($B32,'APS Tubes by Date IMPORT'!$B$2:$J447,2,FALSE),"")</f>
        <v>11</v>
      </c>
      <c r="J32" s="54" t="b">
        <f>IFERROR(VLOOKUP($B32,'APS Tubes by Date IMPORT'!$B$2:$J447,9,FALSE),"")</f>
        <v>1</v>
      </c>
      <c r="K32" s="54">
        <f>IFNA(VLOOKUP($B32,'APS Tubes by Date IMPORT'!$B$2:$J447,6,FALSE),"")</f>
        <v>0</v>
      </c>
      <c r="L32" s="74">
        <f t="shared" si="4"/>
        <v>11</v>
      </c>
      <c r="M32" s="54">
        <v>0.0</v>
      </c>
      <c r="N32" s="86">
        <v>3.0</v>
      </c>
      <c r="O32" s="76" t="b">
        <f t="shared" si="5"/>
        <v>1</v>
      </c>
      <c r="P32" s="77" t="str">
        <f>IF(ISBLANK(N32),IFERROR(0/0,""),IFERROR(VLOOKUP(N32, 'Process Ref'!$A$76:$D$124, 2, FALSE), IFERROR(0/0,"")))</f>
        <v>ALL 3 COUNTS SAME after Null deleted</v>
      </c>
      <c r="Q32" s="77" t="s">
        <v>232</v>
      </c>
      <c r="R32" s="78">
        <f>IFNA(MATCH(A32,'RFR Data - preExcl'!A$2:A447,0),"")</f>
        <v>45</v>
      </c>
      <c r="S32" s="43"/>
      <c r="T32" s="18" t="str">
        <f>IF(EXACT('RFR Data - preExcl'!W32,"Initial"),'RFR Data - preExcl'!A32,IFERROR(0/0,""))</f>
        <v/>
      </c>
      <c r="U32" s="18" t="str">
        <f>IF(EXACT('RFR Data - preExcl'!W32,"Initial"),'RFR Data - preExcl'!U32,IFERROR(0/0,""))</f>
        <v/>
      </c>
      <c r="X32" s="43"/>
      <c r="Y32" s="84" t="str">
        <f>IFERROR(__xludf.DUMMYFUNCTION("""COMPUTED_VALUE"""),"RUN-ABRM_2022-12-09_RFR-103_Re-run")</f>
        <v>RUN-ABRM_2022-12-09_RFR-103_Re-run</v>
      </c>
      <c r="Z32" s="82">
        <f>IFERROR(__xludf.DUMMYFUNCTION("""COMPUTED_VALUE"""),44904.45628472222)</f>
        <v>44904.45628</v>
      </c>
      <c r="AA32" s="83">
        <f>VLOOKUP($Y32,'RFR Data - preExcl'!$A$2:$AK447,29,FALSE)</f>
        <v>4</v>
      </c>
      <c r="AB32" s="83">
        <f>VLOOKUP($Y32,'RFR Data - preExcl'!$A$2:$AK447,37,FALSE)</f>
        <v>2</v>
      </c>
      <c r="AC32" s="70"/>
      <c r="AF32" s="70"/>
      <c r="AG32" s="74">
        <v>11.0</v>
      </c>
      <c r="AH32" s="54">
        <v>0.0</v>
      </c>
      <c r="AI32" s="86">
        <v>3.0</v>
      </c>
      <c r="AJ32" s="18" t="str">
        <f t="shared" ref="AJ32:AL32" si="36">IF(AG32=L32,IFERROR(0/0,""),FALSE)</f>
        <v/>
      </c>
      <c r="AK32" s="18" t="str">
        <f t="shared" si="36"/>
        <v/>
      </c>
      <c r="AL32" s="18" t="str">
        <f t="shared" si="36"/>
        <v/>
      </c>
      <c r="AM32" s="43"/>
    </row>
    <row r="33">
      <c r="A33" s="7" t="s">
        <v>59</v>
      </c>
      <c r="B33" s="12">
        <v>44852.0</v>
      </c>
      <c r="C33" s="73" t="str">
        <f t="shared" si="3"/>
        <v/>
      </c>
      <c r="D33" s="54">
        <f t="array" ref="D33">IF(OR(ISBLANK($A33),$C33),IFERROR(0/0,""),INDEX('RFR Data - preExcl'!E$2:E447,$R33,1))</f>
        <v>11</v>
      </c>
      <c r="E33" s="54">
        <f t="array" ref="E33">IF(OR(ISBLANK($A33),$C33),IFERROR(0/0,""),INDEX('RFR Data - preExcl'!Z$2:Z447,$R33,1))</f>
        <v>11</v>
      </c>
      <c r="F33" s="54">
        <f t="array" ref="F33">IF(OR(ISBLANK(A33),C33),IFERROR(0/0,""),INDEX('RFR Data - preExcl'!AC$2:AC447,$R33,1))</f>
        <v>9</v>
      </c>
      <c r="G33" s="54">
        <f t="array" ref="G33">IF(OR(ISBLANK(A33),C33),IFERROR(0/0,""),INDEX('RFR Data - preExcl'!AK$2:AK447,$R33,1))</f>
        <v>9</v>
      </c>
      <c r="H33" s="54">
        <f t="array" ref="H33">IF(OR(ISBLANK(A33),C33),IFERROR(0/0,""),INDEX('RFR Data - preExcl'!AL$2:AL447,$R33,1))</f>
        <v>1.1</v>
      </c>
      <c r="I33" s="54">
        <f>IFERROR(VLOOKUP($B33,'APS Tubes by Date IMPORT'!$B$2:$J447,2,FALSE),"")</f>
        <v>9</v>
      </c>
      <c r="J33" s="54" t="b">
        <f>IFERROR(VLOOKUP($B33,'APS Tubes by Date IMPORT'!$B$2:$J447,9,FALSE),"")</f>
        <v>1</v>
      </c>
      <c r="K33" s="54">
        <f>IFNA(VLOOKUP($B33,'APS Tubes by Date IMPORT'!$B$2:$J447,6,FALSE),"")</f>
        <v>0</v>
      </c>
      <c r="L33" s="74">
        <f t="shared" si="4"/>
        <v>9</v>
      </c>
      <c r="M33" s="54">
        <v>0.0</v>
      </c>
      <c r="N33" s="86">
        <v>0.0</v>
      </c>
      <c r="O33" s="76" t="b">
        <f t="shared" si="5"/>
        <v>1</v>
      </c>
      <c r="P33" s="77" t="str">
        <f>IF(ISBLANK(N33),IFERROR(0/0,""),IFERROR(VLOOKUP(N33, 'Process Ref'!$A$76:$D$124, 2, FALSE), IFERROR(0/0,"")))</f>
        <v>ALL 3 COUNTS SAME meaning APS Collect = APS Result = RFR</v>
      </c>
      <c r="Q33" s="77"/>
      <c r="R33" s="78">
        <f>IFNA(MATCH(A33,'RFR Data - preExcl'!A$2:A447,0),"")</f>
        <v>46</v>
      </c>
      <c r="S33" s="43"/>
      <c r="T33" s="18" t="str">
        <f>IF(EXACT('RFR Data - preExcl'!W33,"Initial"),'RFR Data - preExcl'!A33,IFERROR(0/0,""))</f>
        <v>RUN-ABRM_2022-10-03_RFR-032</v>
      </c>
      <c r="U33" s="79">
        <f>IF(EXACT('RFR Data - preExcl'!W33,"Initial"),'RFR Data - preExcl'!U33,IFERROR(0/0,""))</f>
        <v>44837</v>
      </c>
      <c r="X33" s="43"/>
      <c r="Y33" s="84" t="str">
        <f>IFERROR(__xludf.DUMMYFUNCTION("""COMPUTED_VALUE"""),"RUN-ABRM_2022-12-12_RFR-106_Re-run")</f>
        <v>RUN-ABRM_2022-12-12_RFR-106_Re-run</v>
      </c>
      <c r="Z33" s="82">
        <f>IFERROR(__xludf.DUMMYFUNCTION("""COMPUTED_VALUE"""),44907.46084490741)</f>
        <v>44907.46084</v>
      </c>
      <c r="AA33" s="83">
        <f>VLOOKUP($Y33,'RFR Data - preExcl'!$A$2:$AK447,29,FALSE)</f>
        <v>9</v>
      </c>
      <c r="AB33" s="83">
        <f>VLOOKUP($Y33,'RFR Data - preExcl'!$A$2:$AK447,37,FALSE)</f>
        <v>3</v>
      </c>
      <c r="AC33" s="70"/>
      <c r="AF33" s="70"/>
      <c r="AG33" s="74">
        <v>9.0</v>
      </c>
      <c r="AH33" s="54">
        <v>0.0</v>
      </c>
      <c r="AI33" s="86">
        <v>0.0</v>
      </c>
      <c r="AJ33" s="18" t="str">
        <f t="shared" ref="AJ33:AL33" si="37">IF(AG33=L33,IFERROR(0/0,""),FALSE)</f>
        <v/>
      </c>
      <c r="AK33" s="18" t="str">
        <f t="shared" si="37"/>
        <v/>
      </c>
      <c r="AL33" s="18" t="str">
        <f t="shared" si="37"/>
        <v/>
      </c>
      <c r="AM33" s="43"/>
    </row>
    <row r="34">
      <c r="A34" s="7" t="s">
        <v>60</v>
      </c>
      <c r="B34" s="12">
        <v>44853.0</v>
      </c>
      <c r="C34" s="73" t="str">
        <f t="shared" si="3"/>
        <v/>
      </c>
      <c r="D34" s="54">
        <f t="array" ref="D34">IF(OR(ISBLANK($A34),$C34),IFERROR(0/0,""),INDEX('RFR Data - preExcl'!E$2:E447,$R34,1))</f>
        <v>10</v>
      </c>
      <c r="E34" s="54">
        <f t="array" ref="E34">IF(OR(ISBLANK($A34),$C34),IFERROR(0/0,""),INDEX('RFR Data - preExcl'!Z$2:Z447,$R34,1))</f>
        <v>10</v>
      </c>
      <c r="F34" s="54">
        <f t="array" ref="F34">IF(OR(ISBLANK(A34),C34),IFERROR(0/0,""),INDEX('RFR Data - preExcl'!AC$2:AC447,$R34,1))</f>
        <v>8</v>
      </c>
      <c r="G34" s="54">
        <f t="array" ref="G34">IF(OR(ISBLANK(A34),C34),IFERROR(0/0,""),INDEX('RFR Data - preExcl'!AK$2:AK447,$R34,1))</f>
        <v>8</v>
      </c>
      <c r="H34" s="54">
        <f t="array" ref="H34">IF(OR(ISBLANK(A34),C34),IFERROR(0/0,""),INDEX('RFR Data - preExcl'!AL$2:AL447,$R34,1))</f>
        <v>0</v>
      </c>
      <c r="I34" s="54">
        <f>IFERROR(VLOOKUP($B34,'APS Tubes by Date IMPORT'!$B$2:$J447,2,FALSE),"")</f>
        <v>8</v>
      </c>
      <c r="J34" s="54" t="b">
        <f>IFERROR(VLOOKUP($B34,'APS Tubes by Date IMPORT'!$B$2:$J447,9,FALSE),"")</f>
        <v>1</v>
      </c>
      <c r="K34" s="54">
        <f>IFNA(VLOOKUP($B34,'APS Tubes by Date IMPORT'!$B$2:$J447,6,FALSE),"")</f>
        <v>0</v>
      </c>
      <c r="L34" s="74">
        <f t="shared" si="4"/>
        <v>8</v>
      </c>
      <c r="M34" s="54">
        <v>0.0</v>
      </c>
      <c r="N34" s="86">
        <v>0.0</v>
      </c>
      <c r="O34" s="76" t="b">
        <f t="shared" si="5"/>
        <v>1</v>
      </c>
      <c r="P34" s="77" t="str">
        <f>IF(ISBLANK(N34),IFERROR(0/0,""),IFERROR(VLOOKUP(N34, 'Process Ref'!$A$76:$D$124, 2, FALSE), IFERROR(0/0,"")))</f>
        <v>ALL 3 COUNTS SAME meaning APS Collect = APS Result = RFR</v>
      </c>
      <c r="Q34" s="77"/>
      <c r="R34" s="78">
        <f>IFNA(MATCH(A34,'RFR Data - preExcl'!A$2:A447,0),"")</f>
        <v>48</v>
      </c>
      <c r="S34" s="43"/>
      <c r="T34" s="18" t="str">
        <f>IF(EXACT('RFR Data - preExcl'!W34,"Initial"),'RFR Data - preExcl'!A34,IFERROR(0/0,""))</f>
        <v>RUN-ABRM_2022-10-04_RFR-033</v>
      </c>
      <c r="U34" s="79">
        <f>IF(EXACT('RFR Data - preExcl'!W34,"Initial"),'RFR Data - preExcl'!U34,IFERROR(0/0,""))</f>
        <v>44838</v>
      </c>
      <c r="X34" s="43"/>
      <c r="Y34" s="84" t="str">
        <f>IFERROR(__xludf.DUMMYFUNCTION("""COMPUTED_VALUE"""),"RUN-ABRM_2022-12-19_RFR-111_Re-run")</f>
        <v>RUN-ABRM_2022-12-19_RFR-111_Re-run</v>
      </c>
      <c r="Z34" s="82">
        <f>IFERROR(__xludf.DUMMYFUNCTION("""COMPUTED_VALUE"""),44914.43137815972)</f>
        <v>44914.43138</v>
      </c>
      <c r="AA34" s="83">
        <f>VLOOKUP($Y34,'RFR Data - preExcl'!$A$2:$AK447,29,FALSE)</f>
        <v>3</v>
      </c>
      <c r="AB34" s="83">
        <f>VLOOKUP($Y34,'RFR Data - preExcl'!$A$2:$AK447,37,FALSE)</f>
        <v>1</v>
      </c>
      <c r="AC34" s="70"/>
      <c r="AF34" s="70"/>
      <c r="AG34" s="74">
        <v>8.0</v>
      </c>
      <c r="AH34" s="54">
        <v>0.0</v>
      </c>
      <c r="AI34" s="86">
        <v>0.0</v>
      </c>
      <c r="AJ34" s="18" t="str">
        <f t="shared" ref="AJ34:AL34" si="38">IF(AG34=L34,IFERROR(0/0,""),FALSE)</f>
        <v/>
      </c>
      <c r="AK34" s="18" t="str">
        <f t="shared" si="38"/>
        <v/>
      </c>
      <c r="AL34" s="18" t="str">
        <f t="shared" si="38"/>
        <v/>
      </c>
      <c r="AM34" s="43"/>
    </row>
    <row r="35">
      <c r="A35" s="7" t="s">
        <v>61</v>
      </c>
      <c r="B35" s="12">
        <v>44854.0</v>
      </c>
      <c r="C35" s="73" t="str">
        <f t="shared" si="3"/>
        <v/>
      </c>
      <c r="D35" s="54">
        <f t="array" ref="D35">IF(OR(ISBLANK($A35),$C35),IFERROR(0/0,""),INDEX('RFR Data - preExcl'!E$2:E447,$R35,1))</f>
        <v>10</v>
      </c>
      <c r="E35" s="54">
        <f t="array" ref="E35">IF(OR(ISBLANK($A35),$C35),IFERROR(0/0,""),INDEX('RFR Data - preExcl'!Z$2:Z447,$R35,1))</f>
        <v>10</v>
      </c>
      <c r="F35" s="54">
        <f t="array" ref="F35">IF(OR(ISBLANK(A35),C35),IFERROR(0/0,""),INDEX('RFR Data - preExcl'!AC$2:AC447,$R35,1))</f>
        <v>8</v>
      </c>
      <c r="G35" s="54">
        <f t="array" ref="G35">IF(OR(ISBLANK(A35),C35),IFERROR(0/0,""),INDEX('RFR Data - preExcl'!AK$2:AK447,$R35,1))</f>
        <v>8</v>
      </c>
      <c r="H35" s="54">
        <f t="array" ref="H35">IF(OR(ISBLANK(A35),C35),IFERROR(0/0,""),INDEX('RFR Data - preExcl'!AL$2:AL447,$R35,1))</f>
        <v>0</v>
      </c>
      <c r="I35" s="54">
        <f>IFERROR(VLOOKUP($B35,'APS Tubes by Date IMPORT'!$B$2:$J447,2,FALSE),"")</f>
        <v>8</v>
      </c>
      <c r="J35" s="54" t="b">
        <f>IFERROR(VLOOKUP($B35,'APS Tubes by Date IMPORT'!$B$2:$J447,9,FALSE),"")</f>
        <v>1</v>
      </c>
      <c r="K35" s="54">
        <f>IFNA(VLOOKUP($B35,'APS Tubes by Date IMPORT'!$B$2:$J447,6,FALSE),"")</f>
        <v>0</v>
      </c>
      <c r="L35" s="74">
        <f t="shared" si="4"/>
        <v>8</v>
      </c>
      <c r="M35" s="54">
        <v>0.0</v>
      </c>
      <c r="N35" s="86">
        <v>0.0</v>
      </c>
      <c r="O35" s="76" t="b">
        <f t="shared" si="5"/>
        <v>1</v>
      </c>
      <c r="P35" s="77" t="str">
        <f>IF(ISBLANK(N35),IFERROR(0/0,""),IFERROR(VLOOKUP(N35, 'Process Ref'!$A$76:$D$124, 2, FALSE), IFERROR(0/0,"")))</f>
        <v>ALL 3 COUNTS SAME meaning APS Collect = APS Result = RFR</v>
      </c>
      <c r="Q35" s="77"/>
      <c r="R35" s="78">
        <f>IFNA(MATCH(A35,'RFR Data - preExcl'!A$2:A447,0),"")</f>
        <v>49</v>
      </c>
      <c r="S35" s="43"/>
      <c r="T35" s="18" t="str">
        <f>IF(EXACT('RFR Data - preExcl'!W35,"Initial"),'RFR Data - preExcl'!A35,IFERROR(0/0,""))</f>
        <v>RUN-ABRM_2022-10-05_RFR-034</v>
      </c>
      <c r="U35" s="79">
        <f>IF(EXACT('RFR Data - preExcl'!W35,"Initial"),'RFR Data - preExcl'!U35,IFERROR(0/0,""))</f>
        <v>44839</v>
      </c>
      <c r="X35" s="43"/>
      <c r="Y35" s="84" t="str">
        <f>IFERROR(__xludf.DUMMYFUNCTION("""COMPUTED_VALUE"""),"RUN-ABRM_2022-12-22_RFR-115_Re-run")</f>
        <v>RUN-ABRM_2022-12-22_RFR-115_Re-run</v>
      </c>
      <c r="Z35" s="82">
        <f>IFERROR(__xludf.DUMMYFUNCTION("""COMPUTED_VALUE"""),44917.45712412037)</f>
        <v>44917.45712</v>
      </c>
      <c r="AA35" s="83">
        <f>VLOOKUP($Y35,'RFR Data - preExcl'!$A$2:$AK447,29,FALSE)</f>
        <v>3</v>
      </c>
      <c r="AB35" s="83">
        <f>VLOOKUP($Y35,'RFR Data - preExcl'!$A$2:$AK447,37,FALSE)</f>
        <v>1</v>
      </c>
      <c r="AC35" s="70"/>
      <c r="AF35" s="70"/>
      <c r="AG35" s="74">
        <v>8.0</v>
      </c>
      <c r="AH35" s="54">
        <v>0.0</v>
      </c>
      <c r="AI35" s="86">
        <v>0.0</v>
      </c>
      <c r="AJ35" s="18" t="str">
        <f t="shared" ref="AJ35:AL35" si="39">IF(AG35=L35,IFERROR(0/0,""),FALSE)</f>
        <v/>
      </c>
      <c r="AK35" s="18" t="str">
        <f t="shared" si="39"/>
        <v/>
      </c>
      <c r="AL35" s="18" t="str">
        <f t="shared" si="39"/>
        <v/>
      </c>
      <c r="AM35" s="43"/>
    </row>
    <row r="36">
      <c r="A36" s="7" t="s">
        <v>62</v>
      </c>
      <c r="B36" s="12">
        <v>44855.0</v>
      </c>
      <c r="C36" s="73" t="str">
        <f t="shared" si="3"/>
        <v/>
      </c>
      <c r="D36" s="54">
        <f t="array" ref="D36">IF(OR(ISBLANK($A36),$C36),IFERROR(0/0,""),INDEX('RFR Data - preExcl'!E$2:E447,$R36,1))</f>
        <v>12</v>
      </c>
      <c r="E36" s="54">
        <f t="array" ref="E36">IF(OR(ISBLANK($A36),$C36),IFERROR(0/0,""),INDEX('RFR Data - preExcl'!Z$2:Z447,$R36,1))</f>
        <v>12</v>
      </c>
      <c r="F36" s="54">
        <f t="array" ref="F36">IF(OR(ISBLANK(A36),C36),IFERROR(0/0,""),INDEX('RFR Data - preExcl'!AC$2:AC447,$R36,1))</f>
        <v>10</v>
      </c>
      <c r="G36" s="54">
        <f t="array" ref="G36">IF(OR(ISBLANK(A36),C36),IFERROR(0/0,""),INDEX('RFR Data - preExcl'!AK$2:AK447,$R36,1))</f>
        <v>10</v>
      </c>
      <c r="H36" s="54">
        <f t="array" ref="H36">IF(OR(ISBLANK(A36),C36),IFERROR(0/0,""),INDEX('RFR Data - preExcl'!AL$2:AL447,$R36,1))</f>
        <v>0</v>
      </c>
      <c r="I36" s="54">
        <f>IFERROR(VLOOKUP($B36,'APS Tubes by Date IMPORT'!$B$2:$J447,2,FALSE),"")</f>
        <v>10</v>
      </c>
      <c r="J36" s="54" t="b">
        <f>IFERROR(VLOOKUP($B36,'APS Tubes by Date IMPORT'!$B$2:$J447,9,FALSE),"")</f>
        <v>1</v>
      </c>
      <c r="K36" s="54">
        <f>IFNA(VLOOKUP($B36,'APS Tubes by Date IMPORT'!$B$2:$J447,6,FALSE),"")</f>
        <v>0</v>
      </c>
      <c r="L36" s="74">
        <f t="shared" si="4"/>
        <v>10</v>
      </c>
      <c r="M36" s="54">
        <v>0.0</v>
      </c>
      <c r="N36" s="86">
        <v>0.0</v>
      </c>
      <c r="O36" s="76" t="b">
        <f t="shared" si="5"/>
        <v>1</v>
      </c>
      <c r="P36" s="77" t="str">
        <f>IF(ISBLANK(N36),IFERROR(0/0,""),IFERROR(VLOOKUP(N36, 'Process Ref'!$A$76:$D$124, 2, FALSE), IFERROR(0/0,"")))</f>
        <v>ALL 3 COUNTS SAME meaning APS Collect = APS Result = RFR</v>
      </c>
      <c r="Q36" s="77"/>
      <c r="R36" s="78">
        <f>IFNA(MATCH(A36,'RFR Data - preExcl'!A$2:A447,0),"")</f>
        <v>50</v>
      </c>
      <c r="S36" s="43"/>
      <c r="T36" s="18" t="str">
        <f>IF(EXACT('RFR Data - preExcl'!W36,"Initial"),'RFR Data - preExcl'!A36,IFERROR(0/0,""))</f>
        <v/>
      </c>
      <c r="U36" s="18" t="str">
        <f>IF(EXACT('RFR Data - preExcl'!W36,"Initial"),'RFR Data - preExcl'!U36,IFERROR(0/0,""))</f>
        <v/>
      </c>
      <c r="X36" s="43"/>
      <c r="Y36" s="84" t="str">
        <f>IFERROR(__xludf.DUMMYFUNCTION("""COMPUTED_VALUE"""),"RUN-ABRM_2022-12-22_RFR-116_Re-run")</f>
        <v>RUN-ABRM_2022-12-22_RFR-116_Re-run</v>
      </c>
      <c r="Z36" s="82">
        <f>IFERROR(__xludf.DUMMYFUNCTION("""COMPUTED_VALUE"""),44917.498148391205)</f>
        <v>44917.49815</v>
      </c>
      <c r="AA36" s="83">
        <f>VLOOKUP($Y36,'RFR Data - preExcl'!$A$2:$AK447,29,FALSE)</f>
        <v>1</v>
      </c>
      <c r="AB36" s="83">
        <f>VLOOKUP($Y36,'RFR Data - preExcl'!$A$2:$AK447,37,FALSE)</f>
        <v>1</v>
      </c>
      <c r="AC36" s="70"/>
      <c r="AF36" s="70"/>
      <c r="AG36" s="74">
        <v>10.0</v>
      </c>
      <c r="AH36" s="54">
        <v>0.0</v>
      </c>
      <c r="AI36" s="86">
        <v>0.0</v>
      </c>
      <c r="AJ36" s="18" t="str">
        <f t="shared" ref="AJ36:AL36" si="40">IF(AG36=L36,IFERROR(0/0,""),FALSE)</f>
        <v/>
      </c>
      <c r="AK36" s="18" t="str">
        <f t="shared" si="40"/>
        <v/>
      </c>
      <c r="AL36" s="18" t="str">
        <f t="shared" si="40"/>
        <v/>
      </c>
      <c r="AM36" s="43"/>
    </row>
    <row r="37">
      <c r="A37" s="7" t="s">
        <v>63</v>
      </c>
      <c r="B37" s="12">
        <v>44858.0</v>
      </c>
      <c r="C37" s="73" t="str">
        <f t="shared" si="3"/>
        <v/>
      </c>
      <c r="D37" s="54">
        <f t="array" ref="D37">IF(OR(ISBLANK($A37),$C37),IFERROR(0/0,""),INDEX('RFR Data - preExcl'!E$2:E447,$R37,1))</f>
        <v>13</v>
      </c>
      <c r="E37" s="54">
        <f t="array" ref="E37">IF(OR(ISBLANK($A37),$C37),IFERROR(0/0,""),INDEX('RFR Data - preExcl'!Z$2:Z447,$R37,1))</f>
        <v>13</v>
      </c>
      <c r="F37" s="54">
        <f t="array" ref="F37">IF(OR(ISBLANK(A37),C37),IFERROR(0/0,""),INDEX('RFR Data - preExcl'!AC$2:AC447,$R37,1))</f>
        <v>11</v>
      </c>
      <c r="G37" s="54">
        <f t="array" ref="G37">IF(OR(ISBLANK(A37),C37),IFERROR(0/0,""),INDEX('RFR Data - preExcl'!AK$2:AK447,$R37,1))</f>
        <v>11</v>
      </c>
      <c r="H37" s="54">
        <f t="array" ref="H37">IF(OR(ISBLANK(A37),C37),IFERROR(0/0,""),INDEX('RFR Data - preExcl'!AL$2:AL447,$R37,1))</f>
        <v>0</v>
      </c>
      <c r="I37" s="54">
        <f>IFERROR(VLOOKUP($B37,'APS Tubes by Date IMPORT'!$B$2:$J447,2,FALSE),"")</f>
        <v>11</v>
      </c>
      <c r="J37" s="54" t="b">
        <f>IFERROR(VLOOKUP($B37,'APS Tubes by Date IMPORT'!$B$2:$J447,9,FALSE),"")</f>
        <v>1</v>
      </c>
      <c r="K37" s="54">
        <f>IFNA(VLOOKUP($B37,'APS Tubes by Date IMPORT'!$B$2:$J447,6,FALSE),"")</f>
        <v>0</v>
      </c>
      <c r="L37" s="74">
        <f t="shared" si="4"/>
        <v>11</v>
      </c>
      <c r="M37" s="54">
        <v>0.0</v>
      </c>
      <c r="N37" s="86">
        <v>0.0</v>
      </c>
      <c r="O37" s="76" t="b">
        <f t="shared" si="5"/>
        <v>1</v>
      </c>
      <c r="P37" s="77" t="str">
        <f>IF(ISBLANK(N37),IFERROR(0/0,""),IFERROR(VLOOKUP(N37, 'Process Ref'!$A$76:$D$124, 2, FALSE), IFERROR(0/0,"")))</f>
        <v>ALL 3 COUNTS SAME meaning APS Collect = APS Result = RFR</v>
      </c>
      <c r="Q37" s="77"/>
      <c r="R37" s="78">
        <f>IFNA(MATCH(A37,'RFR Data - preExcl'!A$2:A447,0),"")</f>
        <v>51</v>
      </c>
      <c r="S37" s="43"/>
      <c r="T37" s="18" t="str">
        <f>IF(EXACT('RFR Data - preExcl'!W37,"Initial"),'RFR Data - preExcl'!A37,IFERROR(0/0,""))</f>
        <v>RUN-ABRM_2022-10-06_RFR-036</v>
      </c>
      <c r="U37" s="79">
        <f>IF(EXACT('RFR Data - preExcl'!W37,"Initial"),'RFR Data - preExcl'!U37,IFERROR(0/0,""))</f>
        <v>44840</v>
      </c>
      <c r="X37" s="43"/>
      <c r="Y37" s="84" t="str">
        <f>IFERROR(__xludf.DUMMYFUNCTION("""COMPUTED_VALUE"""),"RUN-ABRM_2023-01-03_RFR-119_Re-run")</f>
        <v>RUN-ABRM_2023-01-03_RFR-119_Re-run</v>
      </c>
      <c r="Z37" s="82">
        <f>IFERROR(__xludf.DUMMYFUNCTION("""COMPUTED_VALUE"""),44929.43715787037)</f>
        <v>44929.43716</v>
      </c>
      <c r="AA37" s="83">
        <f>VLOOKUP($Y37,'RFR Data - preExcl'!$A$2:$AK447,29,FALSE)</f>
        <v>5</v>
      </c>
      <c r="AB37" s="83">
        <f>VLOOKUP($Y37,'RFR Data - preExcl'!$A$2:$AK447,37,FALSE)</f>
        <v>1</v>
      </c>
      <c r="AC37" s="70"/>
      <c r="AF37" s="70"/>
      <c r="AG37" s="74">
        <v>11.0</v>
      </c>
      <c r="AH37" s="54">
        <v>0.0</v>
      </c>
      <c r="AI37" s="86">
        <v>0.0</v>
      </c>
      <c r="AJ37" s="18" t="str">
        <f t="shared" ref="AJ37:AL37" si="41">IF(AG37=L37,IFERROR(0/0,""),FALSE)</f>
        <v/>
      </c>
      <c r="AK37" s="18" t="str">
        <f t="shared" si="41"/>
        <v/>
      </c>
      <c r="AL37" s="18" t="str">
        <f t="shared" si="41"/>
        <v/>
      </c>
      <c r="AM37" s="43"/>
    </row>
    <row r="38">
      <c r="A38" s="7" t="s">
        <v>64</v>
      </c>
      <c r="B38" s="12">
        <v>44859.0</v>
      </c>
      <c r="C38" s="73" t="str">
        <f t="shared" si="3"/>
        <v/>
      </c>
      <c r="D38" s="54">
        <f t="array" ref="D38">IF(OR(ISBLANK($A38),$C38),IFERROR(0/0,""),INDEX('RFR Data - preExcl'!E$2:E447,$R38,1))</f>
        <v>9</v>
      </c>
      <c r="E38" s="54">
        <f t="array" ref="E38">IF(OR(ISBLANK($A38),$C38),IFERROR(0/0,""),INDEX('RFR Data - preExcl'!Z$2:Z447,$R38,1))</f>
        <v>11</v>
      </c>
      <c r="F38" s="54">
        <f t="array" ref="F38">IF(OR(ISBLANK(A38),C38),IFERROR(0/0,""),INDEX('RFR Data - preExcl'!AC$2:AC447,$R38,1))</f>
        <v>9</v>
      </c>
      <c r="G38" s="54">
        <f t="array" ref="G38">IF(OR(ISBLANK(A38),C38),IFERROR(0/0,""),INDEX('RFR Data - preExcl'!AK$2:AK447,$R38,1))</f>
        <v>9</v>
      </c>
      <c r="H38" s="54">
        <f t="array" ref="H38">IF(OR(ISBLANK(A38),C38),IFERROR(0/0,""),INDEX('RFR Data - preExcl'!AL$2:AL447,$R38,1))</f>
        <v>1.1</v>
      </c>
      <c r="I38" s="54">
        <f>IFERROR(VLOOKUP($B38,'APS Tubes by Date IMPORT'!$B$2:$J447,2,FALSE),"")</f>
        <v>9</v>
      </c>
      <c r="J38" s="54" t="str">
        <f>IFERROR(VLOOKUP($B38,'APS Tubes by Date IMPORT'!$B$2:$J447,9,FALSE),"")</f>
        <v/>
      </c>
      <c r="K38" s="54">
        <f>IFNA(VLOOKUP($B38,'APS Tubes by Date IMPORT'!$B$2:$J447,6,FALSE),"")</f>
        <v>0</v>
      </c>
      <c r="L38" s="74">
        <f t="shared" si="4"/>
        <v>9</v>
      </c>
      <c r="M38" s="54">
        <v>0.0</v>
      </c>
      <c r="N38" s="86">
        <v>1.0</v>
      </c>
      <c r="O38" s="76" t="b">
        <f t="shared" si="5"/>
        <v>1</v>
      </c>
      <c r="P38" s="77" t="str">
        <f>IF(ISBLANK(N38),IFERROR(0/0,""),IFERROR(VLOOKUP(N38, 'Process Ref'!$A$76:$D$124, 2, FALSE), IFERROR(0/0,"")))</f>
        <v>Use APS Collect = RFR (diff APS Result count but nets out)</v>
      </c>
      <c r="Q38" s="77"/>
      <c r="R38" s="78">
        <f>IFNA(MATCH(A38,'RFR Data - preExcl'!A$2:A447,0),"")</f>
        <v>52</v>
      </c>
      <c r="S38" s="43"/>
      <c r="T38" s="18" t="str">
        <f>IF(EXACT('RFR Data - preExcl'!W38,"Initial"),'RFR Data - preExcl'!A38,IFERROR(0/0,""))</f>
        <v>RUN-ABRM_2022-10-07_RFR-037</v>
      </c>
      <c r="U38" s="79">
        <f>IF(EXACT('RFR Data - preExcl'!W38,"Initial"),'RFR Data - preExcl'!U38,IFERROR(0/0,""))</f>
        <v>44841</v>
      </c>
      <c r="X38" s="43"/>
      <c r="Y38" s="84" t="str">
        <f>IFERROR(__xludf.DUMMYFUNCTION("""COMPUTED_VALUE"""),"RUN-ABRM_2023-01-05_RFR-122_Re-run")</f>
        <v>RUN-ABRM_2023-01-05_RFR-122_Re-run</v>
      </c>
      <c r="Z38" s="82">
        <f>IFERROR(__xludf.DUMMYFUNCTION("""COMPUTED_VALUE"""),44931.47734524305)</f>
        <v>44931.47735</v>
      </c>
      <c r="AA38" s="83">
        <f>VLOOKUP($Y38,'RFR Data - preExcl'!$A$2:$AK447,29,FALSE)</f>
        <v>3</v>
      </c>
      <c r="AB38" s="83">
        <f>VLOOKUP($Y38,'RFR Data - preExcl'!$A$2:$AK447,37,FALSE)</f>
        <v>1</v>
      </c>
      <c r="AC38" s="70"/>
      <c r="AF38" s="70"/>
      <c r="AG38" s="74">
        <v>9.0</v>
      </c>
      <c r="AH38" s="54">
        <v>0.0</v>
      </c>
      <c r="AI38" s="86">
        <v>1.0</v>
      </c>
      <c r="AJ38" s="18" t="str">
        <f t="shared" ref="AJ38:AL38" si="42">IF(AG38=L38,IFERROR(0/0,""),FALSE)</f>
        <v/>
      </c>
      <c r="AK38" s="18" t="str">
        <f t="shared" si="42"/>
        <v/>
      </c>
      <c r="AL38" s="18" t="str">
        <f t="shared" si="42"/>
        <v/>
      </c>
      <c r="AM38" s="43"/>
    </row>
    <row r="39">
      <c r="A39" s="7" t="s">
        <v>65</v>
      </c>
      <c r="B39" s="12">
        <v>44860.0</v>
      </c>
      <c r="C39" s="73" t="str">
        <f t="shared" si="3"/>
        <v/>
      </c>
      <c r="D39" s="54">
        <f t="array" ref="D39">IF(OR(ISBLANK($A39),$C39),IFERROR(0/0,""),INDEX('RFR Data - preExcl'!E$2:E447,$R39,1))</f>
        <v>10</v>
      </c>
      <c r="E39" s="54">
        <f t="array" ref="E39">IF(OR(ISBLANK($A39),$C39),IFERROR(0/0,""),INDEX('RFR Data - preExcl'!Z$2:Z447,$R39,1))</f>
        <v>10</v>
      </c>
      <c r="F39" s="54">
        <f t="array" ref="F39">IF(OR(ISBLANK(A39),C39),IFERROR(0/0,""),INDEX('RFR Data - preExcl'!AC$2:AC447,$R39,1))</f>
        <v>8</v>
      </c>
      <c r="G39" s="54">
        <f t="array" ref="G39">IF(OR(ISBLANK(A39),C39),IFERROR(0/0,""),INDEX('RFR Data - preExcl'!AK$2:AK447,$R39,1))</f>
        <v>8</v>
      </c>
      <c r="H39" s="54">
        <f t="array" ref="H39">IF(OR(ISBLANK(A39),C39),IFERROR(0/0,""),INDEX('RFR Data - preExcl'!AL$2:AL447,$R39,1))</f>
        <v>0</v>
      </c>
      <c r="I39" s="54">
        <f>IFERROR(VLOOKUP($B39,'APS Tubes by Date IMPORT'!$B$2:$J447,2,FALSE),"")</f>
        <v>8</v>
      </c>
      <c r="J39" s="54" t="b">
        <f>IFERROR(VLOOKUP($B39,'APS Tubes by Date IMPORT'!$B$2:$J447,9,FALSE),"")</f>
        <v>1</v>
      </c>
      <c r="K39" s="54">
        <f>IFNA(VLOOKUP($B39,'APS Tubes by Date IMPORT'!$B$2:$J447,6,FALSE),"")</f>
        <v>0</v>
      </c>
      <c r="L39" s="74">
        <f t="shared" si="4"/>
        <v>8</v>
      </c>
      <c r="M39" s="54">
        <v>0.0</v>
      </c>
      <c r="N39" s="86">
        <v>0.0</v>
      </c>
      <c r="O39" s="76" t="b">
        <f t="shared" si="5"/>
        <v>1</v>
      </c>
      <c r="P39" s="77" t="str">
        <f>IF(ISBLANK(N39),IFERROR(0/0,""),IFERROR(VLOOKUP(N39, 'Process Ref'!$A$76:$D$124, 2, FALSE), IFERROR(0/0,"")))</f>
        <v>ALL 3 COUNTS SAME meaning APS Collect = APS Result = RFR</v>
      </c>
      <c r="Q39" s="77"/>
      <c r="R39" s="78">
        <f>IFNA(MATCH(A39,'RFR Data - preExcl'!A$2:A447,0),"")</f>
        <v>54</v>
      </c>
      <c r="S39" s="43"/>
      <c r="T39" s="18" t="str">
        <f>IF(EXACT('RFR Data - preExcl'!W39,"Initial"),'RFR Data - preExcl'!A39,IFERROR(0/0,""))</f>
        <v>RUN-ABRM_2022-10-10_RFR-038</v>
      </c>
      <c r="U39" s="79">
        <f>IF(EXACT('RFR Data - preExcl'!W39,"Initial"),'RFR Data - preExcl'!U39,IFERROR(0/0,""))</f>
        <v>44844</v>
      </c>
      <c r="X39" s="43"/>
      <c r="Y39" s="84" t="str">
        <f>IFERROR(__xludf.DUMMYFUNCTION("""COMPUTED_VALUE"""),"RUN-ABRM_2023-01-06_RFR-124_Re-run")</f>
        <v>RUN-ABRM_2023-01-06_RFR-124_Re-run</v>
      </c>
      <c r="Z39" s="82">
        <f>IFERROR(__xludf.DUMMYFUNCTION("""COMPUTED_VALUE"""),44932.45203483796)</f>
        <v>44932.45203</v>
      </c>
      <c r="AA39" s="83">
        <f>VLOOKUP($Y39,'RFR Data - preExcl'!$A$2:$AK447,29,FALSE)</f>
        <v>6</v>
      </c>
      <c r="AB39" s="83">
        <f>VLOOKUP($Y39,'RFR Data - preExcl'!$A$2:$AK447,37,FALSE)</f>
        <v>2</v>
      </c>
      <c r="AC39" s="70"/>
      <c r="AF39" s="70"/>
      <c r="AG39" s="74">
        <v>8.0</v>
      </c>
      <c r="AH39" s="54">
        <v>0.0</v>
      </c>
      <c r="AI39" s="86">
        <v>0.0</v>
      </c>
      <c r="AJ39" s="18" t="str">
        <f t="shared" ref="AJ39:AL39" si="43">IF(AG39=L39,IFERROR(0/0,""),FALSE)</f>
        <v/>
      </c>
      <c r="AK39" s="18" t="str">
        <f t="shared" si="43"/>
        <v/>
      </c>
      <c r="AL39" s="18" t="str">
        <f t="shared" si="43"/>
        <v/>
      </c>
      <c r="AM39" s="43"/>
    </row>
    <row r="40">
      <c r="A40" s="7" t="s">
        <v>66</v>
      </c>
      <c r="B40" s="12">
        <v>44861.0</v>
      </c>
      <c r="C40" s="73" t="str">
        <f t="shared" si="3"/>
        <v/>
      </c>
      <c r="D40" s="54">
        <f t="array" ref="D40">IF(OR(ISBLANK($A40),$C40),IFERROR(0/0,""),INDEX('RFR Data - preExcl'!E$2:E447,$R40,1))</f>
        <v>12</v>
      </c>
      <c r="E40" s="54">
        <f t="array" ref="E40">IF(OR(ISBLANK($A40),$C40),IFERROR(0/0,""),INDEX('RFR Data - preExcl'!Z$2:Z447,$R40,1))</f>
        <v>12</v>
      </c>
      <c r="F40" s="54">
        <f t="array" ref="F40">IF(OR(ISBLANK(A40),C40),IFERROR(0/0,""),INDEX('RFR Data - preExcl'!AC$2:AC447,$R40,1))</f>
        <v>10</v>
      </c>
      <c r="G40" s="54">
        <f t="array" ref="G40">IF(OR(ISBLANK(A40),C40),IFERROR(0/0,""),INDEX('RFR Data - preExcl'!AK$2:AK447,$R40,1))</f>
        <v>10</v>
      </c>
      <c r="H40" s="54">
        <f t="array" ref="H40">IF(OR(ISBLANK(A40),C40),IFERROR(0/0,""),INDEX('RFR Data - preExcl'!AL$2:AL447,$R40,1))</f>
        <v>4</v>
      </c>
      <c r="I40" s="87">
        <f>IFERROR(VLOOKUP($B40,'APS Tubes by Date IMPORT'!$B$2:$J447,2,FALSE),"")</f>
        <v>11</v>
      </c>
      <c r="J40" s="54" t="str">
        <f>IFERROR(VLOOKUP($B40,'APS Tubes by Date IMPORT'!$B$2:$J447,9,FALSE),"")</f>
        <v/>
      </c>
      <c r="K40" s="54">
        <f>IFNA(VLOOKUP($B40,'APS Tubes by Date IMPORT'!$B$2:$J447,6,FALSE),"")</f>
        <v>0</v>
      </c>
      <c r="L40" s="88">
        <f t="shared" si="4"/>
        <v>10</v>
      </c>
      <c r="M40" s="89">
        <v>0.0</v>
      </c>
      <c r="N40" s="90">
        <v>6.0</v>
      </c>
      <c r="O40" s="91"/>
      <c r="P40" s="77" t="str">
        <f>IF(ISBLANK(N40),IFERROR(0/0,""),IFERROR(VLOOKUP(N40, 'Process Ref'!$A$76:$D$124, 2, FALSE), IFERROR(0/0,"")))</f>
        <v>Use Audit RFR - nets out with next or prev day</v>
      </c>
      <c r="Q40" s="92" t="s">
        <v>234</v>
      </c>
      <c r="R40" s="78">
        <f>IFNA(MATCH(A40,'RFR Data - preExcl'!A$2:A447,0),"")</f>
        <v>55</v>
      </c>
      <c r="S40" s="43"/>
      <c r="T40" s="18" t="str">
        <f>IF(EXACT('RFR Data - preExcl'!W40,"Initial"),'RFR Data - preExcl'!A40,IFERROR(0/0,""))</f>
        <v/>
      </c>
      <c r="U40" s="18" t="str">
        <f>IF(EXACT('RFR Data - preExcl'!W40,"Initial"),'RFR Data - preExcl'!U40,IFERROR(0/0,""))</f>
        <v/>
      </c>
      <c r="X40" s="43"/>
      <c r="Y40" s="84" t="str">
        <f>IFERROR(__xludf.DUMMYFUNCTION("""COMPUTED_VALUE"""),"RUN-ABRM_2023-01-10_RFR-127_Re-run")</f>
        <v>RUN-ABRM_2023-01-10_RFR-127_Re-run</v>
      </c>
      <c r="Z40" s="82">
        <f>IFERROR(__xludf.DUMMYFUNCTION("""COMPUTED_VALUE"""),44936.426209363424)</f>
        <v>44936.42621</v>
      </c>
      <c r="AA40" s="83">
        <f>VLOOKUP($Y40,'RFR Data - preExcl'!$A$2:$AK447,29,FALSE)</f>
        <v>6</v>
      </c>
      <c r="AB40" s="83">
        <f>VLOOKUP($Y40,'RFR Data - preExcl'!$A$2:$AK447,37,FALSE)</f>
        <v>6</v>
      </c>
      <c r="AC40" s="70"/>
      <c r="AF40" s="70"/>
      <c r="AG40" s="93">
        <v>10.0</v>
      </c>
      <c r="AH40" s="89">
        <v>0.0</v>
      </c>
      <c r="AI40" s="90">
        <v>6.0</v>
      </c>
      <c r="AJ40" s="18" t="str">
        <f t="shared" ref="AJ40:AL40" si="44">IF(AG40=L40,IFERROR(0/0,""),FALSE)</f>
        <v/>
      </c>
      <c r="AK40" s="18" t="str">
        <f t="shared" si="44"/>
        <v/>
      </c>
      <c r="AL40" s="18" t="str">
        <f t="shared" si="44"/>
        <v/>
      </c>
      <c r="AM40" s="43"/>
    </row>
    <row r="41">
      <c r="A41" s="7" t="s">
        <v>67</v>
      </c>
      <c r="B41" s="12">
        <v>44862.0</v>
      </c>
      <c r="C41" s="73" t="str">
        <f t="shared" si="3"/>
        <v/>
      </c>
      <c r="D41" s="54">
        <f t="array" ref="D41">IF(OR(ISBLANK($A41),$C41),IFERROR(0/0,""),INDEX('RFR Data - preExcl'!E$2:E447,$R41,1))</f>
        <v>12</v>
      </c>
      <c r="E41" s="54">
        <f t="array" ref="E41">IF(OR(ISBLANK($A41),$C41),IFERROR(0/0,""),INDEX('RFR Data - preExcl'!Z$2:Z447,$R41,1))</f>
        <v>12</v>
      </c>
      <c r="F41" s="54">
        <f t="array" ref="F41">IF(OR(ISBLANK(A41),C41),IFERROR(0/0,""),INDEX('RFR Data - preExcl'!AC$2:AC447,$R41,1))</f>
        <v>10</v>
      </c>
      <c r="G41" s="54">
        <f t="array" ref="G41">IF(OR(ISBLANK(A41),C41),IFERROR(0/0,""),INDEX('RFR Data - preExcl'!AK$2:AK447,$R41,1))</f>
        <v>10</v>
      </c>
      <c r="H41" s="54">
        <f t="array" ref="H41">IF(OR(ISBLANK(A41),C41),IFERROR(0/0,""),INDEX('RFR Data - preExcl'!AL$2:AL447,$R41,1))</f>
        <v>1.3</v>
      </c>
      <c r="I41" s="94">
        <f>IFERROR(VLOOKUP($B41,'APS Tubes by Date IMPORT'!$B$2:$J447,2,FALSE),"")</f>
        <v>9</v>
      </c>
      <c r="J41" s="54" t="b">
        <f>IFERROR(VLOOKUP($B41,'APS Tubes by Date IMPORT'!$B$2:$J447,9,FALSE),"")</f>
        <v>1</v>
      </c>
      <c r="K41" s="54">
        <f>IFNA(VLOOKUP($B41,'APS Tubes by Date IMPORT'!$B$2:$J447,6,FALSE),"")</f>
        <v>0</v>
      </c>
      <c r="L41" s="95">
        <f t="shared" si="4"/>
        <v>10</v>
      </c>
      <c r="M41" s="89">
        <v>0.0</v>
      </c>
      <c r="N41" s="90">
        <v>6.0</v>
      </c>
      <c r="O41" s="91"/>
      <c r="P41" s="77" t="str">
        <f>IF(ISBLANK(N41),IFERROR(0/0,""),IFERROR(VLOOKUP(N41, 'Process Ref'!$A$76:$D$124, 2, FALSE), IFERROR(0/0,"")))</f>
        <v>Use Audit RFR - nets out with next or prev day</v>
      </c>
      <c r="Q41" s="55" t="s">
        <v>235</v>
      </c>
      <c r="R41" s="78">
        <f>IFNA(MATCH(A41,'RFR Data - preExcl'!A$2:A447,0),"")</f>
        <v>57</v>
      </c>
      <c r="S41" s="43"/>
      <c r="T41" s="18" t="str">
        <f>IF(EXACT('RFR Data - preExcl'!W41,"Initial"),'RFR Data - preExcl'!A41,IFERROR(0/0,""))</f>
        <v/>
      </c>
      <c r="U41" s="18" t="str">
        <f>IF(EXACT('RFR Data - preExcl'!W41,"Initial"),'RFR Data - preExcl'!U41,IFERROR(0/0,""))</f>
        <v/>
      </c>
      <c r="X41" s="43"/>
      <c r="Y41" s="84" t="str">
        <f>IFERROR(__xludf.DUMMYFUNCTION("""COMPUTED_VALUE"""),"RUN-ABRM_2023-01-12_RFR-130_Re-run")</f>
        <v>RUN-ABRM_2023-01-12_RFR-130_Re-run</v>
      </c>
      <c r="Z41" s="82">
        <f>IFERROR(__xludf.DUMMYFUNCTION("""COMPUTED_VALUE"""),44938.60179755787)</f>
        <v>44938.6018</v>
      </c>
      <c r="AA41" s="83">
        <f>VLOOKUP($Y41,'RFR Data - preExcl'!$A$2:$AK447,29,FALSE)</f>
        <v>12</v>
      </c>
      <c r="AB41" s="83">
        <f>VLOOKUP($Y41,'RFR Data - preExcl'!$A$2:$AK447,37,FALSE)</f>
        <v>4</v>
      </c>
      <c r="AC41" s="70"/>
      <c r="AF41" s="70"/>
      <c r="AG41" s="96">
        <v>10.0</v>
      </c>
      <c r="AH41" s="89">
        <v>0.0</v>
      </c>
      <c r="AI41" s="90">
        <v>6.0</v>
      </c>
      <c r="AJ41" s="18" t="str">
        <f t="shared" ref="AJ41:AL41" si="45">IF(AG41=L41,IFERROR(0/0,""),FALSE)</f>
        <v/>
      </c>
      <c r="AK41" s="18" t="str">
        <f t="shared" si="45"/>
        <v/>
      </c>
      <c r="AL41" s="18" t="str">
        <f t="shared" si="45"/>
        <v/>
      </c>
      <c r="AM41" s="43"/>
    </row>
    <row r="42">
      <c r="A42" s="7" t="s">
        <v>68</v>
      </c>
      <c r="B42" s="12">
        <v>44865.0</v>
      </c>
      <c r="C42" s="73" t="str">
        <f t="shared" si="3"/>
        <v/>
      </c>
      <c r="D42" s="54">
        <f t="array" ref="D42">IF(OR(ISBLANK($A42),$C42),IFERROR(0/0,""),INDEX('RFR Data - preExcl'!E$2:E447,$R42,1))</f>
        <v>11</v>
      </c>
      <c r="E42" s="54">
        <f t="array" ref="E42">IF(OR(ISBLANK($A42),$C42),IFERROR(0/0,""),INDEX('RFR Data - preExcl'!Z$2:Z447,$R42,1))</f>
        <v>11</v>
      </c>
      <c r="F42" s="54">
        <f t="array" ref="F42">IF(OR(ISBLANK(A42),C42),IFERROR(0/0,""),INDEX('RFR Data - preExcl'!AC$2:AC447,$R42,1))</f>
        <v>9</v>
      </c>
      <c r="G42" s="54">
        <f t="array" ref="G42">IF(OR(ISBLANK(A42),C42),IFERROR(0/0,""),INDEX('RFR Data - preExcl'!AK$2:AK447,$R42,1))</f>
        <v>9</v>
      </c>
      <c r="H42" s="54">
        <f t="array" ref="H42">IF(OR(ISBLANK(A42),C42),IFERROR(0/0,""),INDEX('RFR Data - preExcl'!AL$2:AL447,$R42,1))</f>
        <v>0</v>
      </c>
      <c r="I42" s="54">
        <f>IFERROR(VLOOKUP($B42,'APS Tubes by Date IMPORT'!$B$2:$J447,2,FALSE),"")</f>
        <v>9</v>
      </c>
      <c r="J42" s="54" t="b">
        <f>IFERROR(VLOOKUP($B42,'APS Tubes by Date IMPORT'!$B$2:$J447,9,FALSE),"")</f>
        <v>1</v>
      </c>
      <c r="K42" s="54">
        <f>IFNA(VLOOKUP($B42,'APS Tubes by Date IMPORT'!$B$2:$J447,6,FALSE),"")</f>
        <v>0</v>
      </c>
      <c r="L42" s="74">
        <f t="shared" si="4"/>
        <v>9</v>
      </c>
      <c r="M42" s="54">
        <v>0.0</v>
      </c>
      <c r="N42" s="86">
        <v>3.0</v>
      </c>
      <c r="O42" s="76" t="b">
        <f t="shared" ref="O42:O58" si="47">IF(ISBLANK(M42),IFERROR(0/0,""),IF($CC42&lt;=4,TRUE,IFERROR(0/0,"")))</f>
        <v>1</v>
      </c>
      <c r="P42" s="77" t="str">
        <f>IF(ISBLANK(N42),IFERROR(0/0,""),IFERROR(VLOOKUP(N42, 'Process Ref'!$A$76:$D$124, 2, FALSE), IFERROR(0/0,"")))</f>
        <v>ALL 3 COUNTS SAME after Null deleted</v>
      </c>
      <c r="Q42" s="77" t="s">
        <v>232</v>
      </c>
      <c r="R42" s="78">
        <f>IFNA(MATCH(A42,'RFR Data - preExcl'!A$2:A447,0),"")</f>
        <v>60</v>
      </c>
      <c r="S42" s="43"/>
      <c r="T42" s="18" t="str">
        <f>IF(EXACT('RFR Data - preExcl'!W42,"Initial"),'RFR Data - preExcl'!A42,IFERROR(0/0,""))</f>
        <v>RUN-ABRM_2022-10-11_RFR-041</v>
      </c>
      <c r="U42" s="79">
        <f>IF(EXACT('RFR Data - preExcl'!W42,"Initial"),'RFR Data - preExcl'!U42,IFERROR(0/0,""))</f>
        <v>44845</v>
      </c>
      <c r="X42" s="43"/>
      <c r="Y42" s="84" t="str">
        <f>IFERROR(__xludf.DUMMYFUNCTION("""COMPUTED_VALUE"""),"RUN-ABRM_2023-01-13_RFR-132_Re-run")</f>
        <v>RUN-ABRM_2023-01-13_RFR-132_Re-run</v>
      </c>
      <c r="Z42" s="82">
        <f>IFERROR(__xludf.DUMMYFUNCTION("""COMPUTED_VALUE"""),44939.512083194444)</f>
        <v>44939.51208</v>
      </c>
      <c r="AA42" s="83">
        <f>VLOOKUP($Y42,'RFR Data - preExcl'!$A$2:$AK447,29,FALSE)</f>
        <v>3</v>
      </c>
      <c r="AB42" s="83">
        <f>VLOOKUP($Y42,'RFR Data - preExcl'!$A$2:$AK447,37,FALSE)</f>
        <v>1</v>
      </c>
      <c r="AC42" s="70"/>
      <c r="AF42" s="70"/>
      <c r="AG42" s="74">
        <v>9.0</v>
      </c>
      <c r="AH42" s="54">
        <v>0.0</v>
      </c>
      <c r="AI42" s="86">
        <v>3.0</v>
      </c>
      <c r="AJ42" s="18" t="str">
        <f t="shared" ref="AJ42:AL42" si="46">IF(AG42=L42,IFERROR(0/0,""),FALSE)</f>
        <v/>
      </c>
      <c r="AK42" s="18" t="str">
        <f t="shared" si="46"/>
        <v/>
      </c>
      <c r="AL42" s="18" t="str">
        <f t="shared" si="46"/>
        <v/>
      </c>
      <c r="AM42" s="43"/>
    </row>
    <row r="43">
      <c r="A43" s="7" t="s">
        <v>69</v>
      </c>
      <c r="B43" s="12">
        <v>44866.0</v>
      </c>
      <c r="C43" s="73" t="str">
        <f t="shared" si="3"/>
        <v/>
      </c>
      <c r="D43" s="54">
        <f t="array" ref="D43">IF(OR(ISBLANK($A43),$C43),IFERROR(0/0,""),INDEX('RFR Data - preExcl'!E$2:E447,$R43,1))</f>
        <v>9</v>
      </c>
      <c r="E43" s="54">
        <f t="array" ref="E43">IF(OR(ISBLANK($A43),$C43),IFERROR(0/0,""),INDEX('RFR Data - preExcl'!Z$2:Z447,$R43,1))</f>
        <v>9</v>
      </c>
      <c r="F43" s="54">
        <f t="array" ref="F43">IF(OR(ISBLANK(A43),C43),IFERROR(0/0,""),INDEX('RFR Data - preExcl'!AC$2:AC447,$R43,1))</f>
        <v>7</v>
      </c>
      <c r="G43" s="54">
        <f t="array" ref="G43">IF(OR(ISBLANK(A43),C43),IFERROR(0/0,""),INDEX('RFR Data - preExcl'!AK$2:AK447,$R43,1))</f>
        <v>7</v>
      </c>
      <c r="H43" s="54">
        <f t="array" ref="H43">IF(OR(ISBLANK(A43),C43),IFERROR(0/0,""),INDEX('RFR Data - preExcl'!AL$2:AL447,$R43,1))</f>
        <v>0</v>
      </c>
      <c r="I43" s="54">
        <f>IFERROR(VLOOKUP($B43,'APS Tubes by Date IMPORT'!$B$2:$J447,2,FALSE),"")</f>
        <v>7</v>
      </c>
      <c r="J43" s="54" t="b">
        <f>IFERROR(VLOOKUP($B43,'APS Tubes by Date IMPORT'!$B$2:$J447,9,FALSE),"")</f>
        <v>1</v>
      </c>
      <c r="K43" s="54">
        <f>IFNA(VLOOKUP($B43,'APS Tubes by Date IMPORT'!$B$2:$J447,6,FALSE),"")</f>
        <v>0</v>
      </c>
      <c r="L43" s="74">
        <f t="shared" si="4"/>
        <v>7</v>
      </c>
      <c r="M43" s="54">
        <v>0.0</v>
      </c>
      <c r="N43" s="86">
        <v>0.0</v>
      </c>
      <c r="O43" s="76" t="b">
        <f t="shared" si="47"/>
        <v>1</v>
      </c>
      <c r="P43" s="77" t="str">
        <f>IF(ISBLANK(N43),IFERROR(0/0,""),IFERROR(VLOOKUP(N43, 'Process Ref'!$A$76:$D$124, 2, FALSE), IFERROR(0/0,"")))</f>
        <v>ALL 3 COUNTS SAME meaning APS Collect = APS Result = RFR</v>
      </c>
      <c r="Q43" s="77"/>
      <c r="R43" s="78">
        <f>IFNA(MATCH(A43,'RFR Data - preExcl'!A$2:A447,0),"")</f>
        <v>61</v>
      </c>
      <c r="S43" s="43"/>
      <c r="T43" s="18" t="str">
        <f>IF(EXACT('RFR Data - preExcl'!W43,"Initial"),'RFR Data - preExcl'!A43,IFERROR(0/0,""))</f>
        <v/>
      </c>
      <c r="U43" s="18" t="str">
        <f>IF(EXACT('RFR Data - preExcl'!W43,"Initial"),'RFR Data - preExcl'!U43,IFERROR(0/0,""))</f>
        <v/>
      </c>
      <c r="X43" s="43"/>
      <c r="Y43" s="84" t="str">
        <f>IFERROR(__xludf.DUMMYFUNCTION("""COMPUTED_VALUE"""),"RUN-ABRM_2023-01-16_RFR-134_Re-run")</f>
        <v>RUN-ABRM_2023-01-16_RFR-134_Re-run</v>
      </c>
      <c r="Z43" s="82">
        <f>IFERROR(__xludf.DUMMYFUNCTION("""COMPUTED_VALUE"""),44942.41697052083)</f>
        <v>44942.41697</v>
      </c>
      <c r="AA43" s="83">
        <f>VLOOKUP($Y43,'RFR Data - preExcl'!$A$2:$AK447,29,FALSE)</f>
        <v>3</v>
      </c>
      <c r="AB43" s="83">
        <f>VLOOKUP($Y43,'RFR Data - preExcl'!$A$2:$AK447,37,FALSE)</f>
        <v>1</v>
      </c>
      <c r="AC43" s="70"/>
      <c r="AF43" s="70"/>
      <c r="AG43" s="74">
        <v>7.0</v>
      </c>
      <c r="AH43" s="54">
        <v>0.0</v>
      </c>
      <c r="AI43" s="86">
        <v>0.0</v>
      </c>
      <c r="AJ43" s="18" t="str">
        <f t="shared" ref="AJ43:AL43" si="48">IF(AG43=L43,IFERROR(0/0,""),FALSE)</f>
        <v/>
      </c>
      <c r="AK43" s="18" t="str">
        <f t="shared" si="48"/>
        <v/>
      </c>
      <c r="AL43" s="18" t="str">
        <f t="shared" si="48"/>
        <v/>
      </c>
      <c r="AM43" s="43"/>
    </row>
    <row r="44">
      <c r="A44" s="7" t="s">
        <v>70</v>
      </c>
      <c r="B44" s="12">
        <v>44867.0</v>
      </c>
      <c r="C44" s="73" t="str">
        <f t="shared" si="3"/>
        <v/>
      </c>
      <c r="D44" s="54">
        <f t="array" ref="D44">IF(OR(ISBLANK($A44),$C44),IFERROR(0/0,""),INDEX('RFR Data - preExcl'!E$2:E447,$R44,1))</f>
        <v>8</v>
      </c>
      <c r="E44" s="54">
        <f t="array" ref="E44">IF(OR(ISBLANK($A44),$C44),IFERROR(0/0,""),INDEX('RFR Data - preExcl'!Z$2:Z447,$R44,1))</f>
        <v>8</v>
      </c>
      <c r="F44" s="54">
        <f t="array" ref="F44">IF(OR(ISBLANK(A44),C44),IFERROR(0/0,""),INDEX('RFR Data - preExcl'!AC$2:AC447,$R44,1))</f>
        <v>6</v>
      </c>
      <c r="G44" s="54">
        <f t="array" ref="G44">IF(OR(ISBLANK(A44),C44),IFERROR(0/0,""),INDEX('RFR Data - preExcl'!AK$2:AK447,$R44,1))</f>
        <v>6</v>
      </c>
      <c r="H44" s="54">
        <f t="array" ref="H44">IF(OR(ISBLANK(A44),C44),IFERROR(0/0,""),INDEX('RFR Data - preExcl'!AL$2:AL447,$R44,1))</f>
        <v>0</v>
      </c>
      <c r="I44" s="54">
        <f>IFERROR(VLOOKUP($B44,'APS Tubes by Date IMPORT'!$B$2:$J447,2,FALSE),"")</f>
        <v>6</v>
      </c>
      <c r="J44" s="54" t="b">
        <f>IFERROR(VLOOKUP($B44,'APS Tubes by Date IMPORT'!$B$2:$J447,9,FALSE),"")</f>
        <v>1</v>
      </c>
      <c r="K44" s="54">
        <f>IFNA(VLOOKUP($B44,'APS Tubes by Date IMPORT'!$B$2:$J447,6,FALSE),"")</f>
        <v>0</v>
      </c>
      <c r="L44" s="74">
        <f t="shared" si="4"/>
        <v>6</v>
      </c>
      <c r="M44" s="54">
        <v>0.0</v>
      </c>
      <c r="N44" s="86">
        <v>3.0</v>
      </c>
      <c r="O44" s="76" t="b">
        <f t="shared" si="47"/>
        <v>1</v>
      </c>
      <c r="P44" s="77" t="str">
        <f>IF(ISBLANK(N44),IFERROR(0/0,""),IFERROR(VLOOKUP(N44, 'Process Ref'!$A$76:$D$124, 2, FALSE), IFERROR(0/0,"")))</f>
        <v>ALL 3 COUNTS SAME after Null deleted</v>
      </c>
      <c r="Q44" s="77" t="s">
        <v>232</v>
      </c>
      <c r="R44" s="78">
        <f>IFNA(MATCH(A44,'RFR Data - preExcl'!A$2:A447,0),"")</f>
        <v>62</v>
      </c>
      <c r="S44" s="43"/>
      <c r="T44" s="18" t="str">
        <f>IF(EXACT('RFR Data - preExcl'!W44,"Initial"),'RFR Data - preExcl'!A44,IFERROR(0/0,""))</f>
        <v>RUN-ABRM_2022-10-12_RFR-043</v>
      </c>
      <c r="U44" s="79">
        <f>IF(EXACT('RFR Data - preExcl'!W44,"Initial"),'RFR Data - preExcl'!U44,IFERROR(0/0,""))</f>
        <v>44846</v>
      </c>
      <c r="X44" s="43"/>
      <c r="Y44" s="84" t="str">
        <f>IFERROR(__xludf.DUMMYFUNCTION("""COMPUTED_VALUE"""),"RUN-ABRM_2023-01-19_RFR-138_Re-run")</f>
        <v>RUN-ABRM_2023-01-19_RFR-138_Re-run</v>
      </c>
      <c r="Z44" s="82">
        <f>IFERROR(__xludf.DUMMYFUNCTION("""COMPUTED_VALUE"""),44945.446373935185)</f>
        <v>44945.44637</v>
      </c>
      <c r="AA44" s="83">
        <f>VLOOKUP($Y44,'RFR Data - preExcl'!$A$2:$AK447,29,FALSE)</f>
        <v>3</v>
      </c>
      <c r="AB44" s="83">
        <f>VLOOKUP($Y44,'RFR Data - preExcl'!$A$2:$AK447,37,FALSE)</f>
        <v>1</v>
      </c>
      <c r="AC44" s="70"/>
      <c r="AF44" s="70"/>
      <c r="AG44" s="74">
        <v>6.0</v>
      </c>
      <c r="AH44" s="54">
        <v>0.0</v>
      </c>
      <c r="AI44" s="86">
        <v>3.0</v>
      </c>
      <c r="AJ44" s="18" t="str">
        <f t="shared" ref="AJ44:AL44" si="49">IF(AG44=L44,IFERROR(0/0,""),FALSE)</f>
        <v/>
      </c>
      <c r="AK44" s="18" t="str">
        <f t="shared" si="49"/>
        <v/>
      </c>
      <c r="AL44" s="18" t="str">
        <f t="shared" si="49"/>
        <v/>
      </c>
      <c r="AM44" s="43"/>
    </row>
    <row r="45">
      <c r="A45" s="7" t="s">
        <v>71</v>
      </c>
      <c r="B45" s="12">
        <v>44868.0</v>
      </c>
      <c r="C45" s="73" t="str">
        <f t="shared" si="3"/>
        <v/>
      </c>
      <c r="D45" s="54">
        <f t="array" ref="D45">IF(OR(ISBLANK($A45),$C45),IFERROR(0/0,""),INDEX('RFR Data - preExcl'!E$2:E447,$R45,1))</f>
        <v>8</v>
      </c>
      <c r="E45" s="54">
        <f t="array" ref="E45">IF(OR(ISBLANK($A45),$C45),IFERROR(0/0,""),INDEX('RFR Data - preExcl'!Z$2:Z447,$R45,1))</f>
        <v>8</v>
      </c>
      <c r="F45" s="54">
        <f t="array" ref="F45">IF(OR(ISBLANK(A45),C45),IFERROR(0/0,""),INDEX('RFR Data - preExcl'!AC$2:AC447,$R45,1))</f>
        <v>6</v>
      </c>
      <c r="G45" s="54">
        <f t="array" ref="G45">IF(OR(ISBLANK(A45),C45),IFERROR(0/0,""),INDEX('RFR Data - preExcl'!AK$2:AK447,$R45,1))</f>
        <v>6</v>
      </c>
      <c r="H45" s="54">
        <f t="array" ref="H45">IF(OR(ISBLANK(A45),C45),IFERROR(0/0,""),INDEX('RFR Data - preExcl'!AL$2:AL447,$R45,1))</f>
        <v>0</v>
      </c>
      <c r="I45" s="54">
        <f>IFERROR(VLOOKUP($B45,'APS Tubes by Date IMPORT'!$B$2:$J447,2,FALSE),"")</f>
        <v>6</v>
      </c>
      <c r="J45" s="54" t="b">
        <f>IFERROR(VLOOKUP($B45,'APS Tubes by Date IMPORT'!$B$2:$J447,9,FALSE),"")</f>
        <v>1</v>
      </c>
      <c r="K45" s="54">
        <f>IFNA(VLOOKUP($B45,'APS Tubes by Date IMPORT'!$B$2:$J447,6,FALSE),"")</f>
        <v>0</v>
      </c>
      <c r="L45" s="74">
        <f t="shared" si="4"/>
        <v>6</v>
      </c>
      <c r="M45" s="54">
        <v>0.0</v>
      </c>
      <c r="N45" s="97">
        <v>4.0</v>
      </c>
      <c r="O45" s="76" t="b">
        <f t="shared" si="47"/>
        <v>1</v>
      </c>
      <c r="P45" s="77" t="str">
        <f>IF(ISBLANK(N45),IFERROR(0/0,""),IFERROR(VLOOKUP(N45, 'Process Ref'!$A$76:$D$124, 2, FALSE), IFERROR(0/0,"")))</f>
        <v>Same Audit RFR: extra tube in Appivo not in LUM marked for delete</v>
      </c>
      <c r="Q45" s="55" t="s">
        <v>236</v>
      </c>
      <c r="R45" s="78">
        <f>IFNA(MATCH(A45,'RFR Data - preExcl'!A$2:A447,0),"")</f>
        <v>63</v>
      </c>
      <c r="S45" s="43"/>
      <c r="T45" s="18" t="str">
        <f>IF(EXACT('RFR Data - preExcl'!W45,"Initial"),'RFR Data - preExcl'!A45,IFERROR(0/0,""))</f>
        <v>RUN-ABRM_2022-10-13_RFR-044</v>
      </c>
      <c r="U45" s="79">
        <f>IF(EXACT('RFR Data - preExcl'!W45,"Initial"),'RFR Data - preExcl'!U45,IFERROR(0/0,""))</f>
        <v>44847</v>
      </c>
      <c r="X45" s="43"/>
      <c r="Y45" s="84" t="str">
        <f>IFERROR(__xludf.DUMMYFUNCTION("""COMPUTED_VALUE"""),"RUN-ABRM_2023-01-23_RFR-141_Re-run")</f>
        <v>RUN-ABRM_2023-01-23_RFR-141_Re-run</v>
      </c>
      <c r="Z45" s="82">
        <f>IFERROR(__xludf.DUMMYFUNCTION("""COMPUTED_VALUE"""),44949.431565)</f>
        <v>44949.43157</v>
      </c>
      <c r="AA45" s="83">
        <f>VLOOKUP($Y45,'RFR Data - preExcl'!$A$2:$AK447,29,FALSE)</f>
        <v>9</v>
      </c>
      <c r="AB45" s="83">
        <f>VLOOKUP($Y45,'RFR Data - preExcl'!$A$2:$AK447,37,FALSE)</f>
        <v>3</v>
      </c>
      <c r="AC45" s="70"/>
      <c r="AF45" s="70"/>
      <c r="AG45" s="74">
        <v>6.0</v>
      </c>
      <c r="AH45" s="54">
        <v>0.0</v>
      </c>
      <c r="AI45" s="97">
        <v>4.0</v>
      </c>
      <c r="AJ45" s="18" t="str">
        <f t="shared" ref="AJ45:AL45" si="50">IF(AG45=L45,IFERROR(0/0,""),FALSE)</f>
        <v/>
      </c>
      <c r="AK45" s="18" t="str">
        <f t="shared" si="50"/>
        <v/>
      </c>
      <c r="AL45" s="18" t="str">
        <f t="shared" si="50"/>
        <v/>
      </c>
      <c r="AM45" s="43"/>
    </row>
    <row r="46">
      <c r="A46" s="7" t="s">
        <v>72</v>
      </c>
      <c r="B46" s="12">
        <v>44869.0</v>
      </c>
      <c r="C46" s="73" t="str">
        <f t="shared" si="3"/>
        <v/>
      </c>
      <c r="D46" s="54">
        <f t="array" ref="D46">IF(OR(ISBLANK($A46),$C46),IFERROR(0/0,""),INDEX('RFR Data - preExcl'!E$2:E447,$R46,1))</f>
        <v>6</v>
      </c>
      <c r="E46" s="54">
        <f t="array" ref="E46">IF(OR(ISBLANK($A46),$C46),IFERROR(0/0,""),INDEX('RFR Data - preExcl'!Z$2:Z447,$R46,1))</f>
        <v>8</v>
      </c>
      <c r="F46" s="54">
        <f t="array" ref="F46">IF(OR(ISBLANK(A46),C46),IFERROR(0/0,""),INDEX('RFR Data - preExcl'!AC$2:AC447,$R46,1))</f>
        <v>6</v>
      </c>
      <c r="G46" s="54">
        <f t="array" ref="G46">IF(OR(ISBLANK(A46),C46),IFERROR(0/0,""),INDEX('RFR Data - preExcl'!AK$2:AK447,$R46,1))</f>
        <v>6</v>
      </c>
      <c r="H46" s="54">
        <f t="array" ref="H46">IF(OR(ISBLANK(A46),C46),IFERROR(0/0,""),INDEX('RFR Data - preExcl'!AL$2:AL447,$R46,1))</f>
        <v>4</v>
      </c>
      <c r="I46" s="54">
        <f>IFERROR(VLOOKUP($B46,'APS Tubes by Date IMPORT'!$B$2:$J447,2,FALSE),"")</f>
        <v>6</v>
      </c>
      <c r="J46" s="54" t="str">
        <f>IFERROR(VLOOKUP($B46,'APS Tubes by Date IMPORT'!$B$2:$J447,9,FALSE),"")</f>
        <v/>
      </c>
      <c r="K46" s="54">
        <f>IFNA(VLOOKUP($B46,'APS Tubes by Date IMPORT'!$B$2:$J447,6,FALSE),"")</f>
        <v>0</v>
      </c>
      <c r="L46" s="74">
        <f t="shared" si="4"/>
        <v>6</v>
      </c>
      <c r="M46" s="54">
        <v>0.0</v>
      </c>
      <c r="N46" s="85">
        <v>1.0</v>
      </c>
      <c r="O46" s="76" t="b">
        <f t="shared" si="47"/>
        <v>1</v>
      </c>
      <c r="P46" s="77" t="str">
        <f>IF(ISBLANK(N46),IFERROR(0/0,""),IFERROR(VLOOKUP(N46, 'Process Ref'!$A$76:$D$124, 2, FALSE), IFERROR(0/0,"")))</f>
        <v>Use APS Collect = RFR (diff APS Result count but nets out)</v>
      </c>
      <c r="Q46" s="77"/>
      <c r="R46" s="78">
        <f>IFNA(MATCH(A46,'RFR Data - preExcl'!A$2:A447,0),"")</f>
        <v>64</v>
      </c>
      <c r="S46" s="43"/>
      <c r="T46" s="18" t="str">
        <f>IF(EXACT('RFR Data - preExcl'!W46,"Initial"),'RFR Data - preExcl'!A46,IFERROR(0/0,""))</f>
        <v>RUN-ABRM_2022-10-17_RFR-045</v>
      </c>
      <c r="U46" s="79">
        <f>IF(EXACT('RFR Data - preExcl'!W46,"Initial"),'RFR Data - preExcl'!U46,IFERROR(0/0,""))</f>
        <v>44851</v>
      </c>
      <c r="X46" s="43"/>
      <c r="Y46" s="84" t="str">
        <f>IFERROR(__xludf.DUMMYFUNCTION("""COMPUTED_VALUE"""),"RUN-ABRM_2023-01-23_RFR-142_Re-run")</f>
        <v>RUN-ABRM_2023-01-23_RFR-142_Re-run</v>
      </c>
      <c r="Z46" s="82">
        <f>IFERROR(__xludf.DUMMYFUNCTION("""COMPUTED_VALUE"""),44949.47549131945)</f>
        <v>44949.47549</v>
      </c>
      <c r="AA46" s="83">
        <f>VLOOKUP($Y46,'RFR Data - preExcl'!$A$2:$AK447,29,FALSE)</f>
        <v>6</v>
      </c>
      <c r="AB46" s="83">
        <f>VLOOKUP($Y46,'RFR Data - preExcl'!$A$2:$AK447,37,FALSE)</f>
        <v>2</v>
      </c>
      <c r="AC46" s="70"/>
      <c r="AF46" s="70"/>
      <c r="AG46" s="74">
        <v>6.0</v>
      </c>
      <c r="AH46" s="54">
        <v>0.0</v>
      </c>
      <c r="AI46" s="85">
        <v>1.0</v>
      </c>
      <c r="AJ46" s="18" t="str">
        <f t="shared" ref="AJ46:AL46" si="51">IF(AG46=L46,IFERROR(0/0,""),FALSE)</f>
        <v/>
      </c>
      <c r="AK46" s="18" t="str">
        <f t="shared" si="51"/>
        <v/>
      </c>
      <c r="AL46" s="18" t="str">
        <f t="shared" si="51"/>
        <v/>
      </c>
      <c r="AM46" s="43"/>
    </row>
    <row r="47">
      <c r="A47" s="7" t="s">
        <v>73</v>
      </c>
      <c r="B47" s="12">
        <v>44872.0</v>
      </c>
      <c r="C47" s="73" t="str">
        <f t="shared" si="3"/>
        <v/>
      </c>
      <c r="D47" s="54">
        <f t="array" ref="D47">IF(OR(ISBLANK($A47),$C47),IFERROR(0/0,""),INDEX('RFR Data - preExcl'!E$2:E447,$R47,1))</f>
        <v>11</v>
      </c>
      <c r="E47" s="54">
        <f t="array" ref="E47">IF(OR(ISBLANK($A47),$C47),IFERROR(0/0,""),INDEX('RFR Data - preExcl'!Z$2:Z447,$R47,1))</f>
        <v>11</v>
      </c>
      <c r="F47" s="54">
        <f t="array" ref="F47">IF(OR(ISBLANK(A47),C47),IFERROR(0/0,""),INDEX('RFR Data - preExcl'!AC$2:AC447,$R47,1))</f>
        <v>9</v>
      </c>
      <c r="G47" s="54">
        <f t="array" ref="G47">IF(OR(ISBLANK(A47),C47),IFERROR(0/0,""),INDEX('RFR Data - preExcl'!AK$2:AK447,$R47,1))</f>
        <v>9</v>
      </c>
      <c r="H47" s="54">
        <f t="array" ref="H47">IF(OR(ISBLANK(A47),C47),IFERROR(0/0,""),INDEX('RFR Data - preExcl'!AL$2:AL447,$R47,1))</f>
        <v>0</v>
      </c>
      <c r="I47" s="54">
        <f>IFERROR(VLOOKUP($B47,'APS Tubes by Date IMPORT'!$B$2:$J447,2,FALSE),"")</f>
        <v>9</v>
      </c>
      <c r="J47" s="54" t="b">
        <f>IFERROR(VLOOKUP($B47,'APS Tubes by Date IMPORT'!$B$2:$J447,9,FALSE),"")</f>
        <v>1</v>
      </c>
      <c r="K47" s="54">
        <f>IFNA(VLOOKUP($B47,'APS Tubes by Date IMPORT'!$B$2:$J447,6,FALSE),"")</f>
        <v>0</v>
      </c>
      <c r="L47" s="74">
        <f t="shared" si="4"/>
        <v>9</v>
      </c>
      <c r="M47" s="54">
        <v>0.0</v>
      </c>
      <c r="N47" s="86">
        <v>0.1</v>
      </c>
      <c r="O47" s="76" t="b">
        <f t="shared" si="47"/>
        <v>1</v>
      </c>
      <c r="P47" s="77" t="str">
        <f>IF(ISBLANK(N47),IFERROR(0/0,""),IFERROR(VLOOKUP(N47, 'Process Ref'!$A$76:$D$124, 2, FALSE), IFERROR(0/0,"")))</f>
        <v>ALL 3 COUNTS SAME after Null called Neg</v>
      </c>
      <c r="Q47" s="92" t="s">
        <v>237</v>
      </c>
      <c r="R47" s="78">
        <f>IFNA(MATCH(A47,'RFR Data - preExcl'!A$2:A447,0),"")</f>
        <v>66</v>
      </c>
      <c r="S47" s="43"/>
      <c r="T47" s="18" t="str">
        <f>IF(EXACT('RFR Data - preExcl'!W47,"Initial"),'RFR Data - preExcl'!A47,IFERROR(0/0,""))</f>
        <v>RUN-ABRM_2022-10-18_RFR-046</v>
      </c>
      <c r="U47" s="79">
        <f>IF(EXACT('RFR Data - preExcl'!W47,"Initial"),'RFR Data - preExcl'!U47,IFERROR(0/0,""))</f>
        <v>44852</v>
      </c>
      <c r="X47" s="43"/>
      <c r="Y47" s="84" t="str">
        <f>IFERROR(__xludf.DUMMYFUNCTION("""COMPUTED_VALUE"""),"RUN-ABRM_2023-01-25_RFR-144_Re-run")</f>
        <v>RUN-ABRM_2023-01-25_RFR-144_Re-run</v>
      </c>
      <c r="Z47" s="82">
        <f>IFERROR(__xludf.DUMMYFUNCTION("""COMPUTED_VALUE"""),44951.41532425926)</f>
        <v>44951.41532</v>
      </c>
      <c r="AA47" s="83">
        <f>VLOOKUP($Y47,'RFR Data - preExcl'!$A$2:$AK447,29,FALSE)</f>
        <v>3</v>
      </c>
      <c r="AB47" s="83">
        <f>VLOOKUP($Y47,'RFR Data - preExcl'!$A$2:$AK447,37,FALSE)</f>
        <v>1</v>
      </c>
      <c r="AC47" s="70"/>
      <c r="AF47" s="70"/>
      <c r="AG47" s="74">
        <v>9.0</v>
      </c>
      <c r="AH47" s="54">
        <v>0.0</v>
      </c>
      <c r="AI47" s="86">
        <v>0.1</v>
      </c>
      <c r="AJ47" s="18" t="str">
        <f t="shared" ref="AJ47:AL47" si="52">IF(AG47=L47,IFERROR(0/0,""),FALSE)</f>
        <v/>
      </c>
      <c r="AK47" s="18" t="str">
        <f t="shared" si="52"/>
        <v/>
      </c>
      <c r="AL47" s="18" t="str">
        <f t="shared" si="52"/>
        <v/>
      </c>
      <c r="AM47" s="43"/>
    </row>
    <row r="48">
      <c r="A48" s="7" t="s">
        <v>74</v>
      </c>
      <c r="B48" s="12">
        <v>44873.0</v>
      </c>
      <c r="C48" s="73" t="str">
        <f t="shared" si="3"/>
        <v/>
      </c>
      <c r="D48" s="54">
        <f t="array" ref="D48">IF(OR(ISBLANK($A48),$C48),IFERROR(0/0,""),INDEX('RFR Data - preExcl'!E$2:E447,$R48,1))</f>
        <v>12</v>
      </c>
      <c r="E48" s="54">
        <f t="array" ref="E48">IF(OR(ISBLANK($A48),$C48),IFERROR(0/0,""),INDEX('RFR Data - preExcl'!Z$2:Z447,$R48,1))</f>
        <v>12</v>
      </c>
      <c r="F48" s="54">
        <f t="array" ref="F48">IF(OR(ISBLANK(A48),C48),IFERROR(0/0,""),INDEX('RFR Data - preExcl'!AC$2:AC447,$R48,1))</f>
        <v>10</v>
      </c>
      <c r="G48" s="54">
        <f t="array" ref="G48">IF(OR(ISBLANK(A48),C48),IFERROR(0/0,""),INDEX('RFR Data - preExcl'!AK$2:AK447,$R48,1))</f>
        <v>10</v>
      </c>
      <c r="H48" s="54">
        <f t="array" ref="H48">IF(OR(ISBLANK(A48),C48),IFERROR(0/0,""),INDEX('RFR Data - preExcl'!AL$2:AL447,$R48,1))</f>
        <v>0</v>
      </c>
      <c r="I48" s="54">
        <f>IFERROR(VLOOKUP($B48,'APS Tubes by Date IMPORT'!$B$2:$J447,2,FALSE),"")</f>
        <v>10</v>
      </c>
      <c r="J48" s="54" t="b">
        <f>IFERROR(VLOOKUP($B48,'APS Tubes by Date IMPORT'!$B$2:$J447,9,FALSE),"")</f>
        <v>1</v>
      </c>
      <c r="K48" s="54">
        <f>IFNA(VLOOKUP($B48,'APS Tubes by Date IMPORT'!$B$2:$J447,6,FALSE),"")</f>
        <v>0</v>
      </c>
      <c r="L48" s="74">
        <f t="shared" si="4"/>
        <v>10</v>
      </c>
      <c r="M48" s="54">
        <v>0.0</v>
      </c>
      <c r="N48" s="86">
        <v>0.0</v>
      </c>
      <c r="O48" s="76" t="b">
        <f t="shared" si="47"/>
        <v>1</v>
      </c>
      <c r="P48" s="77" t="str">
        <f>IF(ISBLANK(N48),IFERROR(0/0,""),IFERROR(VLOOKUP(N48, 'Process Ref'!$A$76:$D$124, 2, FALSE), IFERROR(0/0,"")))</f>
        <v>ALL 3 COUNTS SAME meaning APS Collect = APS Result = RFR</v>
      </c>
      <c r="Q48" s="77"/>
      <c r="R48" s="78">
        <f>IFNA(MATCH(A48,'RFR Data - preExcl'!A$2:A447,0),"")</f>
        <v>68</v>
      </c>
      <c r="S48" s="43"/>
      <c r="T48" s="18" t="str">
        <f>IF(EXACT('RFR Data - preExcl'!W48,"Initial"),'RFR Data - preExcl'!A48,IFERROR(0/0,""))</f>
        <v/>
      </c>
      <c r="U48" s="18" t="str">
        <f>IF(EXACT('RFR Data - preExcl'!W48,"Initial"),'RFR Data - preExcl'!U48,IFERROR(0/0,""))</f>
        <v/>
      </c>
      <c r="X48" s="43"/>
      <c r="Y48" s="84" t="str">
        <f>IFERROR(__xludf.DUMMYFUNCTION("""COMPUTED_VALUE"""),"RUN-ABRM_2023-01-26_RFR-146_Re-run")</f>
        <v>RUN-ABRM_2023-01-26_RFR-146_Re-run</v>
      </c>
      <c r="Z48" s="82">
        <f>IFERROR(__xludf.DUMMYFUNCTION("""COMPUTED_VALUE"""),44952.42708292824)</f>
        <v>44952.42708</v>
      </c>
      <c r="AA48" s="83">
        <f>VLOOKUP($Y48,'RFR Data - preExcl'!$A$2:$AK447,29,FALSE)</f>
        <v>6</v>
      </c>
      <c r="AB48" s="83">
        <f>VLOOKUP($Y48,'RFR Data - preExcl'!$A$2:$AK447,37,FALSE)</f>
        <v>2</v>
      </c>
      <c r="AC48" s="70"/>
      <c r="AF48" s="70"/>
      <c r="AG48" s="74">
        <v>10.0</v>
      </c>
      <c r="AH48" s="54">
        <v>0.0</v>
      </c>
      <c r="AI48" s="86">
        <v>0.0</v>
      </c>
      <c r="AJ48" s="18" t="str">
        <f t="shared" ref="AJ48:AL48" si="53">IF(AG48=L48,IFERROR(0/0,""),FALSE)</f>
        <v/>
      </c>
      <c r="AK48" s="18" t="str">
        <f t="shared" si="53"/>
        <v/>
      </c>
      <c r="AL48" s="18" t="str">
        <f t="shared" si="53"/>
        <v/>
      </c>
      <c r="AM48" s="43"/>
    </row>
    <row r="49">
      <c r="A49" s="7" t="s">
        <v>75</v>
      </c>
      <c r="B49" s="12">
        <v>44874.0</v>
      </c>
      <c r="C49" s="73" t="str">
        <f t="shared" si="3"/>
        <v/>
      </c>
      <c r="D49" s="54">
        <f t="array" ref="D49">IF(OR(ISBLANK($A49),$C49),IFERROR(0/0,""),INDEX('RFR Data - preExcl'!E$2:E447,$R49,1))</f>
        <v>10</v>
      </c>
      <c r="E49" s="54">
        <f t="array" ref="E49">IF(OR(ISBLANK($A49),$C49),IFERROR(0/0,""),INDEX('RFR Data - preExcl'!Z$2:Z447,$R49,1))</f>
        <v>10</v>
      </c>
      <c r="F49" s="54">
        <f t="array" ref="F49">IF(OR(ISBLANK(A49),C49),IFERROR(0/0,""),INDEX('RFR Data - preExcl'!AC$2:AC447,$R49,1))</f>
        <v>8</v>
      </c>
      <c r="G49" s="54">
        <f t="array" ref="G49">IF(OR(ISBLANK(A49),C49),IFERROR(0/0,""),INDEX('RFR Data - preExcl'!AK$2:AK447,$R49,1))</f>
        <v>8</v>
      </c>
      <c r="H49" s="54">
        <f t="array" ref="H49">IF(OR(ISBLANK(A49),C49),IFERROR(0/0,""),INDEX('RFR Data - preExcl'!AL$2:AL447,$R49,1))</f>
        <v>1.1</v>
      </c>
      <c r="I49" s="54">
        <f>IFERROR(VLOOKUP($B49,'APS Tubes by Date IMPORT'!$B$2:$J447,2,FALSE),"")</f>
        <v>8</v>
      </c>
      <c r="J49" s="54" t="b">
        <f>IFERROR(VLOOKUP($B49,'APS Tubes by Date IMPORT'!$B$2:$J447,9,FALSE),"")</f>
        <v>1</v>
      </c>
      <c r="K49" s="54">
        <f>IFNA(VLOOKUP($B49,'APS Tubes by Date IMPORT'!$B$2:$J447,6,FALSE),"")</f>
        <v>0</v>
      </c>
      <c r="L49" s="74">
        <f t="shared" si="4"/>
        <v>8</v>
      </c>
      <c r="M49" s="54">
        <v>0.0</v>
      </c>
      <c r="N49" s="86">
        <v>0.0</v>
      </c>
      <c r="O49" s="76" t="b">
        <f t="shared" si="47"/>
        <v>1</v>
      </c>
      <c r="P49" s="77" t="str">
        <f>IF(ISBLANK(N49),IFERROR(0/0,""),IFERROR(VLOOKUP(N49, 'Process Ref'!$A$76:$D$124, 2, FALSE), IFERROR(0/0,"")))</f>
        <v>ALL 3 COUNTS SAME meaning APS Collect = APS Result = RFR</v>
      </c>
      <c r="Q49" s="77"/>
      <c r="R49" s="78">
        <f>IFNA(MATCH(A49,'RFR Data - preExcl'!A$2:A447,0),"")</f>
        <v>69</v>
      </c>
      <c r="S49" s="43"/>
      <c r="T49" s="18" t="str">
        <f>IF(EXACT('RFR Data - preExcl'!W49,"Initial"),'RFR Data - preExcl'!A49,IFERROR(0/0,""))</f>
        <v>RUN-ABRM_2022-10-19_RFR-048</v>
      </c>
      <c r="U49" s="79">
        <f>IF(EXACT('RFR Data - preExcl'!W49,"Initial"),'RFR Data - preExcl'!U49,IFERROR(0/0,""))</f>
        <v>44853</v>
      </c>
      <c r="X49" s="43"/>
      <c r="Y49" s="84" t="str">
        <f>IFERROR(__xludf.DUMMYFUNCTION("""COMPUTED_VALUE"""),"RUN-ABRM_2023-01-27_RFR-148_Re-run")</f>
        <v>RUN-ABRM_2023-01-27_RFR-148_Re-run</v>
      </c>
      <c r="Z49" s="82">
        <f>IFERROR(__xludf.DUMMYFUNCTION("""COMPUTED_VALUE"""),44953.42863938658)</f>
        <v>44953.42864</v>
      </c>
      <c r="AA49" s="83">
        <f>VLOOKUP($Y49,'RFR Data - preExcl'!$A$2:$AK447,29,FALSE)</f>
        <v>6</v>
      </c>
      <c r="AB49" s="83">
        <f>VLOOKUP($Y49,'RFR Data - preExcl'!$A$2:$AK447,37,FALSE)</f>
        <v>2</v>
      </c>
      <c r="AC49" s="70"/>
      <c r="AF49" s="70"/>
      <c r="AG49" s="74">
        <v>8.0</v>
      </c>
      <c r="AH49" s="54">
        <v>0.0</v>
      </c>
      <c r="AI49" s="86">
        <v>0.0</v>
      </c>
      <c r="AJ49" s="18" t="str">
        <f t="shared" ref="AJ49:AL49" si="54">IF(AG49=L49,IFERROR(0/0,""),FALSE)</f>
        <v/>
      </c>
      <c r="AK49" s="18" t="str">
        <f t="shared" si="54"/>
        <v/>
      </c>
      <c r="AL49" s="18" t="str">
        <f t="shared" si="54"/>
        <v/>
      </c>
      <c r="AM49" s="43"/>
    </row>
    <row r="50">
      <c r="A50" s="7" t="s">
        <v>76</v>
      </c>
      <c r="B50" s="12">
        <v>44875.0</v>
      </c>
      <c r="C50" s="73" t="str">
        <f t="shared" si="3"/>
        <v/>
      </c>
      <c r="D50" s="54">
        <f t="array" ref="D50">IF(OR(ISBLANK($A50),$C50),IFERROR(0/0,""),INDEX('RFR Data - preExcl'!E$2:E447,$R50,1))</f>
        <v>11</v>
      </c>
      <c r="E50" s="54">
        <f t="array" ref="E50">IF(OR(ISBLANK($A50),$C50),IFERROR(0/0,""),INDEX('RFR Data - preExcl'!Z$2:Z447,$R50,1))</f>
        <v>11</v>
      </c>
      <c r="F50" s="54">
        <f t="array" ref="F50">IF(OR(ISBLANK(A50),C50),IFERROR(0/0,""),INDEX('RFR Data - preExcl'!AC$2:AC447,$R50,1))</f>
        <v>9</v>
      </c>
      <c r="G50" s="54">
        <f t="array" ref="G50">IF(OR(ISBLANK(A50),C50),IFERROR(0/0,""),INDEX('RFR Data - preExcl'!AK$2:AK447,$R50,1))</f>
        <v>9</v>
      </c>
      <c r="H50" s="54">
        <f t="array" ref="H50">IF(OR(ISBLANK(A50),C50),IFERROR(0/0,""),INDEX('RFR Data - preExcl'!AL$2:AL447,$R50,1))</f>
        <v>0</v>
      </c>
      <c r="I50" s="54">
        <f>IFERROR(VLOOKUP($B50,'APS Tubes by Date IMPORT'!$B$2:$J447,2,FALSE),"")</f>
        <v>9</v>
      </c>
      <c r="J50" s="54" t="b">
        <f>IFERROR(VLOOKUP($B50,'APS Tubes by Date IMPORT'!$B$2:$J447,9,FALSE),"")</f>
        <v>1</v>
      </c>
      <c r="K50" s="54">
        <f>IFNA(VLOOKUP($B50,'APS Tubes by Date IMPORT'!$B$2:$J447,6,FALSE),"")</f>
        <v>0</v>
      </c>
      <c r="L50" s="74">
        <f t="shared" si="4"/>
        <v>9</v>
      </c>
      <c r="M50" s="54">
        <v>0.0</v>
      </c>
      <c r="N50" s="86">
        <v>0.0</v>
      </c>
      <c r="O50" s="76" t="b">
        <f t="shared" si="47"/>
        <v>1</v>
      </c>
      <c r="P50" s="77" t="str">
        <f>IF(ISBLANK(N50),IFERROR(0/0,""),IFERROR(VLOOKUP(N50, 'Process Ref'!$A$76:$D$124, 2, FALSE), IFERROR(0/0,"")))</f>
        <v>ALL 3 COUNTS SAME meaning APS Collect = APS Result = RFR</v>
      </c>
      <c r="Q50" s="77"/>
      <c r="R50" s="78">
        <f>IFNA(MATCH(A50,'RFR Data - preExcl'!A$2:A447,0),"")</f>
        <v>72</v>
      </c>
      <c r="S50" s="43"/>
      <c r="T50" s="18" t="str">
        <f>IF(EXACT('RFR Data - preExcl'!W50,"Initial"),'RFR Data - preExcl'!A50,IFERROR(0/0,""))</f>
        <v>RUN-ABRM_2022-10-20_RFR-049</v>
      </c>
      <c r="U50" s="79">
        <f>IF(EXACT('RFR Data - preExcl'!W50,"Initial"),'RFR Data - preExcl'!U50,IFERROR(0/0,""))</f>
        <v>44854</v>
      </c>
      <c r="X50" s="43"/>
      <c r="Y50" s="84" t="str">
        <f>IFERROR(__xludf.DUMMYFUNCTION("""COMPUTED_VALUE"""),"RUN-ABRM_2023-02-08_RFR-152_Re-run")</f>
        <v>RUN-ABRM_2023-02-08_RFR-152_Re-run</v>
      </c>
      <c r="Z50" s="82">
        <f>IFERROR(__xludf.DUMMYFUNCTION("""COMPUTED_VALUE"""),44965.40954047454)</f>
        <v>44965.40954</v>
      </c>
      <c r="AA50" s="83">
        <f>VLOOKUP($Y50,'RFR Data - preExcl'!$A$2:$AK447,29,FALSE)</f>
        <v>3</v>
      </c>
      <c r="AB50" s="83">
        <f>VLOOKUP($Y50,'RFR Data - preExcl'!$A$2:$AK447,37,FALSE)</f>
        <v>1</v>
      </c>
      <c r="AC50" s="70"/>
      <c r="AF50" s="70"/>
      <c r="AG50" s="74">
        <v>9.0</v>
      </c>
      <c r="AH50" s="54">
        <v>0.0</v>
      </c>
      <c r="AI50" s="86">
        <v>0.0</v>
      </c>
      <c r="AJ50" s="18" t="str">
        <f t="shared" ref="AJ50:AL50" si="55">IF(AG50=L50,IFERROR(0/0,""),FALSE)</f>
        <v/>
      </c>
      <c r="AK50" s="18" t="str">
        <f t="shared" si="55"/>
        <v/>
      </c>
      <c r="AL50" s="18" t="str">
        <f t="shared" si="55"/>
        <v/>
      </c>
      <c r="AM50" s="43"/>
    </row>
    <row r="51">
      <c r="A51" s="7" t="s">
        <v>77</v>
      </c>
      <c r="B51" s="12">
        <v>44876.0</v>
      </c>
      <c r="C51" s="73" t="str">
        <f t="shared" si="3"/>
        <v/>
      </c>
      <c r="D51" s="54">
        <f t="array" ref="D51">IF(OR(ISBLANK($A51),$C51),IFERROR(0/0,""),INDEX('RFR Data - preExcl'!E$2:E447,$R51,1))</f>
        <v>5</v>
      </c>
      <c r="E51" s="54">
        <f t="array" ref="E51">IF(OR(ISBLANK($A51),$C51),IFERROR(0/0,""),INDEX('RFR Data - preExcl'!Z$2:Z447,$R51,1))</f>
        <v>7</v>
      </c>
      <c r="F51" s="54">
        <f t="array" ref="F51">IF(OR(ISBLANK(A51),C51),IFERROR(0/0,""),INDEX('RFR Data - preExcl'!AC$2:AC447,$R51,1))</f>
        <v>5</v>
      </c>
      <c r="G51" s="54">
        <f t="array" ref="G51">IF(OR(ISBLANK(A51),C51),IFERROR(0/0,""),INDEX('RFR Data - preExcl'!AK$2:AK447,$R51,1))</f>
        <v>5</v>
      </c>
      <c r="H51" s="54">
        <f t="array" ref="H51">IF(OR(ISBLANK(A51),C51),IFERROR(0/0,""),INDEX('RFR Data - preExcl'!AL$2:AL447,$R51,1))</f>
        <v>0</v>
      </c>
      <c r="I51" s="54">
        <f>IFERROR(VLOOKUP($B51,'APS Tubes by Date IMPORT'!$B$2:$J447,2,FALSE),"")</f>
        <v>5</v>
      </c>
      <c r="J51" s="54" t="b">
        <f>IFERROR(VLOOKUP($B51,'APS Tubes by Date IMPORT'!$B$2:$J447,9,FALSE),"")</f>
        <v>1</v>
      </c>
      <c r="K51" s="54">
        <f>IFNA(VLOOKUP($B51,'APS Tubes by Date IMPORT'!$B$2:$J447,6,FALSE),"")</f>
        <v>0</v>
      </c>
      <c r="L51" s="74">
        <f t="shared" si="4"/>
        <v>5</v>
      </c>
      <c r="M51" s="54">
        <v>0.0</v>
      </c>
      <c r="N51" s="86">
        <v>0.0</v>
      </c>
      <c r="O51" s="76" t="b">
        <f t="shared" si="47"/>
        <v>1</v>
      </c>
      <c r="P51" s="77" t="str">
        <f>IF(ISBLANK(N51),IFERROR(0/0,""),IFERROR(VLOOKUP(N51, 'Process Ref'!$A$76:$D$124, 2, FALSE), IFERROR(0/0,"")))</f>
        <v>ALL 3 COUNTS SAME meaning APS Collect = APS Result = RFR</v>
      </c>
      <c r="Q51" s="77"/>
      <c r="R51" s="78">
        <f>IFNA(MATCH(A51,'RFR Data - preExcl'!A$2:A447,0),"")</f>
        <v>73</v>
      </c>
      <c r="S51" s="43"/>
      <c r="T51" s="18" t="str">
        <f>IF(EXACT('RFR Data - preExcl'!W51,"Initial"),'RFR Data - preExcl'!A51,IFERROR(0/0,""))</f>
        <v>RUN-ABRM_2022-10-21_RFR-050</v>
      </c>
      <c r="U51" s="79">
        <f>IF(EXACT('RFR Data - preExcl'!W51,"Initial"),'RFR Data - preExcl'!U51,IFERROR(0/0,""))</f>
        <v>44855</v>
      </c>
      <c r="X51" s="43"/>
      <c r="Y51" s="84" t="str">
        <f>IFERROR(__xludf.DUMMYFUNCTION("""COMPUTED_VALUE"""),"RUN-ABRM_2023-02-10_RFR-155_Re-run")</f>
        <v>RUN-ABRM_2023-02-10_RFR-155_Re-run</v>
      </c>
      <c r="Z51" s="82">
        <f>IFERROR(__xludf.DUMMYFUNCTION("""COMPUTED_VALUE"""),44967.4323587963)</f>
        <v>44967.43236</v>
      </c>
      <c r="AA51" s="83">
        <f>VLOOKUP($Y51,'RFR Data - preExcl'!$A$2:$AK447,29,FALSE)</f>
        <v>5</v>
      </c>
      <c r="AB51" s="83">
        <f>VLOOKUP($Y51,'RFR Data - preExcl'!$A$2:$AK447,37,FALSE)</f>
        <v>1</v>
      </c>
      <c r="AC51" s="70"/>
      <c r="AF51" s="70"/>
      <c r="AG51" s="74">
        <v>5.0</v>
      </c>
      <c r="AH51" s="54">
        <v>0.0</v>
      </c>
      <c r="AI51" s="86">
        <v>0.0</v>
      </c>
      <c r="AJ51" s="18" t="str">
        <f t="shared" ref="AJ51:AL51" si="56">IF(AG51=L51,IFERROR(0/0,""),FALSE)</f>
        <v/>
      </c>
      <c r="AK51" s="18" t="str">
        <f t="shared" si="56"/>
        <v/>
      </c>
      <c r="AL51" s="18" t="str">
        <f t="shared" si="56"/>
        <v/>
      </c>
      <c r="AM51" s="43"/>
    </row>
    <row r="52">
      <c r="A52" s="7" t="s">
        <v>78</v>
      </c>
      <c r="B52" s="12">
        <v>44879.0</v>
      </c>
      <c r="C52" s="73" t="str">
        <f t="shared" si="3"/>
        <v/>
      </c>
      <c r="D52" s="54">
        <f t="array" ref="D52">IF(OR(ISBLANK($A52),$C52),IFERROR(0/0,""),INDEX('RFR Data - preExcl'!E$2:E447,$R52,1))</f>
        <v>8</v>
      </c>
      <c r="E52" s="54">
        <f t="array" ref="E52">IF(OR(ISBLANK($A52),$C52),IFERROR(0/0,""),INDEX('RFR Data - preExcl'!Z$2:Z447,$R52,1))</f>
        <v>10</v>
      </c>
      <c r="F52" s="54">
        <f t="array" ref="F52">IF(OR(ISBLANK(A52),C52),IFERROR(0/0,""),INDEX('RFR Data - preExcl'!AC$2:AC447,$R52,1))</f>
        <v>8</v>
      </c>
      <c r="G52" s="54">
        <f t="array" ref="G52">IF(OR(ISBLANK(A52),C52),IFERROR(0/0,""),INDEX('RFR Data - preExcl'!AK$2:AK447,$R52,1))</f>
        <v>8</v>
      </c>
      <c r="H52" s="54">
        <f t="array" ref="H52">IF(OR(ISBLANK(A52),C52),IFERROR(0/0,""),INDEX('RFR Data - preExcl'!AL$2:AL447,$R52,1))</f>
        <v>0</v>
      </c>
      <c r="I52" s="54">
        <f>IFERROR(VLOOKUP($B52,'APS Tubes by Date IMPORT'!$B$2:$J447,2,FALSE),"")</f>
        <v>8</v>
      </c>
      <c r="J52" s="54" t="str">
        <f>IFERROR(VLOOKUP($B52,'APS Tubes by Date IMPORT'!$B$2:$J447,9,FALSE),"")</f>
        <v/>
      </c>
      <c r="K52" s="54">
        <f>IFNA(VLOOKUP($B52,'APS Tubes by Date IMPORT'!$B$2:$J447,6,FALSE),"")</f>
        <v>0</v>
      </c>
      <c r="L52" s="74">
        <f t="shared" si="4"/>
        <v>8</v>
      </c>
      <c r="M52" s="54">
        <v>0.0</v>
      </c>
      <c r="N52" s="86">
        <v>1.1</v>
      </c>
      <c r="O52" s="76" t="b">
        <f t="shared" si="47"/>
        <v>1</v>
      </c>
      <c r="P52" s="77" t="str">
        <f>IF(ISBLANK(N52),IFERROR(0/0,""),IFERROR(VLOOKUP(N52, 'Process Ref'!$A$76:$D$124, 2, FALSE), IFERROR(0/0,"")))</f>
        <v>Use APS Collect = RFR (diff APS Result count but nets out) after Null called Neg</v>
      </c>
      <c r="Q52" s="77"/>
      <c r="R52" s="78">
        <f>IFNA(MATCH(A52,'RFR Data - preExcl'!A$2:A447,0),"")</f>
        <v>75</v>
      </c>
      <c r="S52" s="43"/>
      <c r="T52" s="18" t="str">
        <f>IF(EXACT('RFR Data - preExcl'!W52,"Initial"),'RFR Data - preExcl'!A52,IFERROR(0/0,""))</f>
        <v>RUN-ABRM_2022-10-24_RFR-051</v>
      </c>
      <c r="U52" s="79">
        <f>IF(EXACT('RFR Data - preExcl'!W52,"Initial"),'RFR Data - preExcl'!U52,IFERROR(0/0,""))</f>
        <v>44858</v>
      </c>
      <c r="X52" s="43"/>
      <c r="Y52" s="84" t="str">
        <f>IFERROR(__xludf.DUMMYFUNCTION("""COMPUTED_VALUE"""),"RUN-ABRM_2023-02-13_RFR-157_Re-run")</f>
        <v>RUN-ABRM_2023-02-13_RFR-157_Re-run</v>
      </c>
      <c r="Z52" s="82">
        <f>IFERROR(__xludf.DUMMYFUNCTION("""COMPUTED_VALUE"""),44970.434234375)</f>
        <v>44970.43423</v>
      </c>
      <c r="AA52" s="83">
        <f>VLOOKUP($Y52,'RFR Data - preExcl'!$A$2:$AK447,29,FALSE)</f>
        <v>3</v>
      </c>
      <c r="AB52" s="83">
        <f>VLOOKUP($Y52,'RFR Data - preExcl'!$A$2:$AK447,37,FALSE)</f>
        <v>1</v>
      </c>
      <c r="AC52" s="70"/>
      <c r="AF52" s="70"/>
      <c r="AG52" s="74">
        <v>8.0</v>
      </c>
      <c r="AH52" s="54">
        <v>0.0</v>
      </c>
      <c r="AI52" s="86">
        <v>1.1</v>
      </c>
      <c r="AJ52" s="18" t="str">
        <f t="shared" ref="AJ52:AL52" si="57">IF(AG52=L52,IFERROR(0/0,""),FALSE)</f>
        <v/>
      </c>
      <c r="AK52" s="18" t="str">
        <f t="shared" si="57"/>
        <v/>
      </c>
      <c r="AL52" s="18" t="str">
        <f t="shared" si="57"/>
        <v/>
      </c>
      <c r="AM52" s="43"/>
    </row>
    <row r="53">
      <c r="A53" s="7" t="s">
        <v>79</v>
      </c>
      <c r="B53" s="12">
        <v>44880.0</v>
      </c>
      <c r="C53" s="73" t="str">
        <f t="shared" si="3"/>
        <v/>
      </c>
      <c r="D53" s="54">
        <f t="array" ref="D53">IF(OR(ISBLANK($A53),$C53),IFERROR(0/0,""),INDEX('RFR Data - preExcl'!E$2:E447,$R53,1))</f>
        <v>8</v>
      </c>
      <c r="E53" s="54">
        <f t="array" ref="E53">IF(OR(ISBLANK($A53),$C53),IFERROR(0/0,""),INDEX('RFR Data - preExcl'!Z$2:Z447,$R53,1))</f>
        <v>10</v>
      </c>
      <c r="F53" s="54">
        <f t="array" ref="F53">IF(OR(ISBLANK(A53),C53),IFERROR(0/0,""),INDEX('RFR Data - preExcl'!AC$2:AC447,$R53,1))</f>
        <v>8</v>
      </c>
      <c r="G53" s="54">
        <f t="array" ref="G53">IF(OR(ISBLANK(A53),C53),IFERROR(0/0,""),INDEX('RFR Data - preExcl'!AK$2:AK447,$R53,1))</f>
        <v>8</v>
      </c>
      <c r="H53" s="54">
        <f t="array" ref="H53">IF(OR(ISBLANK(A53),C53),IFERROR(0/0,""),INDEX('RFR Data - preExcl'!AL$2:AL447,$R53,1))</f>
        <v>1.1</v>
      </c>
      <c r="I53" s="54">
        <f>IFERROR(VLOOKUP($B53,'APS Tubes by Date IMPORT'!$B$2:$J447,2,FALSE),"")</f>
        <v>8</v>
      </c>
      <c r="J53" s="54" t="b">
        <f>IFERROR(VLOOKUP($B53,'APS Tubes by Date IMPORT'!$B$2:$J447,9,FALSE),"")</f>
        <v>1</v>
      </c>
      <c r="K53" s="54">
        <f>IFNA(VLOOKUP($B53,'APS Tubes by Date IMPORT'!$B$2:$J447,6,FALSE),"")</f>
        <v>0</v>
      </c>
      <c r="L53" s="74">
        <f t="shared" si="4"/>
        <v>8</v>
      </c>
      <c r="M53" s="54">
        <v>0.0</v>
      </c>
      <c r="N53" s="86">
        <v>1.0</v>
      </c>
      <c r="O53" s="76" t="b">
        <f t="shared" si="47"/>
        <v>1</v>
      </c>
      <c r="P53" s="77" t="str">
        <f>IF(ISBLANK(N53),IFERROR(0/0,""),IFERROR(VLOOKUP(N53, 'Process Ref'!$A$76:$D$124, 2, FALSE), IFERROR(0/0,"")))</f>
        <v>Use APS Collect = RFR (diff APS Result count but nets out)</v>
      </c>
      <c r="Q53" s="77"/>
      <c r="R53" s="78">
        <f>IFNA(MATCH(A53,'RFR Data - preExcl'!A$2:A447,0),"")</f>
        <v>76</v>
      </c>
      <c r="S53" s="43"/>
      <c r="T53" s="18" t="str">
        <f>IF(EXACT('RFR Data - preExcl'!W53,"Initial"),'RFR Data - preExcl'!A53,IFERROR(0/0,""))</f>
        <v>RUN-ABRM_2022-10-25_RFR-052</v>
      </c>
      <c r="U53" s="79">
        <f>IF(EXACT('RFR Data - preExcl'!W53,"Initial"),'RFR Data - preExcl'!U53,IFERROR(0/0,""))</f>
        <v>44859</v>
      </c>
      <c r="X53" s="43"/>
      <c r="Y53" s="84" t="str">
        <f>IFERROR(__xludf.DUMMYFUNCTION("""COMPUTED_VALUE"""),"RUN-ABRM_2023-02-14_RFR-159_Re-run")</f>
        <v>RUN-ABRM_2023-02-14_RFR-159_Re-run</v>
      </c>
      <c r="Z53" s="82">
        <f>IFERROR(__xludf.DUMMYFUNCTION("""COMPUTED_VALUE"""),44971.42403475694)</f>
        <v>44971.42403</v>
      </c>
      <c r="AA53" s="83">
        <f>VLOOKUP($Y53,'RFR Data - preExcl'!$A$2:$AK447,29,FALSE)</f>
        <v>8</v>
      </c>
      <c r="AB53" s="83">
        <f>VLOOKUP($Y53,'RFR Data - preExcl'!$A$2:$AK447,37,FALSE)</f>
        <v>8</v>
      </c>
      <c r="AC53" s="70"/>
      <c r="AF53" s="70"/>
      <c r="AG53" s="74">
        <v>8.0</v>
      </c>
      <c r="AH53" s="54">
        <v>0.0</v>
      </c>
      <c r="AI53" s="86">
        <v>1.0</v>
      </c>
      <c r="AJ53" s="18" t="str">
        <f t="shared" ref="AJ53:AL53" si="58">IF(AG53=L53,IFERROR(0/0,""),FALSE)</f>
        <v/>
      </c>
      <c r="AK53" s="18" t="str">
        <f t="shared" si="58"/>
        <v/>
      </c>
      <c r="AL53" s="18" t="str">
        <f t="shared" si="58"/>
        <v/>
      </c>
      <c r="AM53" s="43"/>
    </row>
    <row r="54">
      <c r="A54" s="7" t="s">
        <v>80</v>
      </c>
      <c r="B54" s="12">
        <v>44881.0</v>
      </c>
      <c r="C54" s="73" t="str">
        <f t="shared" si="3"/>
        <v/>
      </c>
      <c r="D54" s="54">
        <f t="array" ref="D54">IF(OR(ISBLANK($A54),$C54),IFERROR(0/0,""),INDEX('RFR Data - preExcl'!E$2:E447,$R54,1))</f>
        <v>11</v>
      </c>
      <c r="E54" s="54">
        <f t="array" ref="E54">IF(OR(ISBLANK($A54),$C54),IFERROR(0/0,""),INDEX('RFR Data - preExcl'!Z$2:Z447,$R54,1))</f>
        <v>11</v>
      </c>
      <c r="F54" s="54">
        <f t="array" ref="F54">IF(OR(ISBLANK(A54),C54),IFERROR(0/0,""),INDEX('RFR Data - preExcl'!AC$2:AC447,$R54,1))</f>
        <v>9</v>
      </c>
      <c r="G54" s="54">
        <f t="array" ref="G54">IF(OR(ISBLANK(A54),C54),IFERROR(0/0,""),INDEX('RFR Data - preExcl'!AK$2:AK447,$R54,1))</f>
        <v>9</v>
      </c>
      <c r="H54" s="54">
        <f t="array" ref="H54">IF(OR(ISBLANK(A54),C54),IFERROR(0/0,""),INDEX('RFR Data - preExcl'!AL$2:AL447,$R54,1))</f>
        <v>0</v>
      </c>
      <c r="I54" s="54">
        <f>IFERROR(VLOOKUP($B54,'APS Tubes by Date IMPORT'!$B$2:$J447,2,FALSE),"")</f>
        <v>9</v>
      </c>
      <c r="J54" s="54" t="b">
        <f>IFERROR(VLOOKUP($B54,'APS Tubes by Date IMPORT'!$B$2:$J447,9,FALSE),"")</f>
        <v>1</v>
      </c>
      <c r="K54" s="54">
        <f>IFNA(VLOOKUP($B54,'APS Tubes by Date IMPORT'!$B$2:$J447,6,FALSE),"")</f>
        <v>0</v>
      </c>
      <c r="L54" s="74">
        <f t="shared" si="4"/>
        <v>9</v>
      </c>
      <c r="M54" s="54">
        <v>0.0</v>
      </c>
      <c r="N54" s="86">
        <v>0.0</v>
      </c>
      <c r="O54" s="76" t="b">
        <f t="shared" si="47"/>
        <v>1</v>
      </c>
      <c r="P54" s="77" t="str">
        <f>IF(ISBLANK(N54),IFERROR(0/0,""),IFERROR(VLOOKUP(N54, 'Process Ref'!$A$76:$D$124, 2, FALSE), IFERROR(0/0,"")))</f>
        <v>ALL 3 COUNTS SAME meaning APS Collect = APS Result = RFR</v>
      </c>
      <c r="Q54" s="77"/>
      <c r="R54" s="78">
        <f>IFNA(MATCH(A54,'RFR Data - preExcl'!A$2:A447,0),"")</f>
        <v>78</v>
      </c>
      <c r="S54" s="43"/>
      <c r="T54" s="18" t="str">
        <f>IF(EXACT('RFR Data - preExcl'!W54,"Initial"),'RFR Data - preExcl'!A54,IFERROR(0/0,""))</f>
        <v/>
      </c>
      <c r="U54" s="18" t="str">
        <f>IF(EXACT('RFR Data - preExcl'!W54,"Initial"),'RFR Data - preExcl'!U54,IFERROR(0/0,""))</f>
        <v/>
      </c>
      <c r="X54" s="43"/>
      <c r="Y54" s="84" t="str">
        <f>IFERROR(__xludf.DUMMYFUNCTION("""COMPUTED_VALUE"""),"RUN-ABRM_2023-02-21_RFR-165_Re-run")</f>
        <v>RUN-ABRM_2023-02-21_RFR-165_Re-run</v>
      </c>
      <c r="Z54" s="82">
        <f>IFERROR(__xludf.DUMMYFUNCTION("""COMPUTED_VALUE"""),44978.42049052083)</f>
        <v>44978.42049</v>
      </c>
      <c r="AA54" s="83">
        <f>VLOOKUP($Y54,'RFR Data - preExcl'!$A$2:$AK447,29,FALSE)</f>
        <v>3</v>
      </c>
      <c r="AB54" s="83">
        <f>VLOOKUP($Y54,'RFR Data - preExcl'!$A$2:$AK447,37,FALSE)</f>
        <v>1</v>
      </c>
      <c r="AC54" s="70"/>
      <c r="AF54" s="70"/>
      <c r="AG54" s="74">
        <v>9.0</v>
      </c>
      <c r="AH54" s="54">
        <v>0.0</v>
      </c>
      <c r="AI54" s="86">
        <v>0.0</v>
      </c>
      <c r="AJ54" s="18" t="str">
        <f t="shared" ref="AJ54:AL54" si="59">IF(AG54=L54,IFERROR(0/0,""),FALSE)</f>
        <v/>
      </c>
      <c r="AK54" s="18" t="str">
        <f t="shared" si="59"/>
        <v/>
      </c>
      <c r="AL54" s="18" t="str">
        <f t="shared" si="59"/>
        <v/>
      </c>
      <c r="AM54" s="43"/>
    </row>
    <row r="55">
      <c r="A55" s="7" t="s">
        <v>81</v>
      </c>
      <c r="B55" s="12">
        <v>44882.0</v>
      </c>
      <c r="C55" s="73" t="str">
        <f t="shared" si="3"/>
        <v/>
      </c>
      <c r="D55" s="54">
        <f t="array" ref="D55">IF(OR(ISBLANK($A55),$C55),IFERROR(0/0,""),INDEX('RFR Data - preExcl'!E$2:E447,$R55,1))</f>
        <v>7</v>
      </c>
      <c r="E55" s="54">
        <f t="array" ref="E55">IF(OR(ISBLANK($A55),$C55),IFERROR(0/0,""),INDEX('RFR Data - preExcl'!Z$2:Z447,$R55,1))</f>
        <v>9</v>
      </c>
      <c r="F55" s="54">
        <f t="array" ref="F55">IF(OR(ISBLANK(A55),C55),IFERROR(0/0,""),INDEX('RFR Data - preExcl'!AC$2:AC447,$R55,1))</f>
        <v>7</v>
      </c>
      <c r="G55" s="54">
        <f t="array" ref="G55">IF(OR(ISBLANK(A55),C55),IFERROR(0/0,""),INDEX('RFR Data - preExcl'!AK$2:AK447,$R55,1))</f>
        <v>7</v>
      </c>
      <c r="H55" s="54">
        <f t="array" ref="H55">IF(OR(ISBLANK(A55),C55),IFERROR(0/0,""),INDEX('RFR Data - preExcl'!AL$2:AL447,$R55,1))</f>
        <v>1.1</v>
      </c>
      <c r="I55" s="54">
        <f>IFERROR(VLOOKUP($B55,'APS Tubes by Date IMPORT'!$B$2:$J447,2,FALSE),"")</f>
        <v>5</v>
      </c>
      <c r="J55" s="54" t="str">
        <f>IFERROR(VLOOKUP($B55,'APS Tubes by Date IMPORT'!$B$2:$J447,9,FALSE),"")</f>
        <v/>
      </c>
      <c r="K55" s="54">
        <f>IFNA(VLOOKUP($B55,'APS Tubes by Date IMPORT'!$B$2:$J447,6,FALSE),"")</f>
        <v>0</v>
      </c>
      <c r="L55" s="74">
        <f t="shared" si="4"/>
        <v>7</v>
      </c>
      <c r="M55" s="54">
        <v>2.0</v>
      </c>
      <c r="N55" s="75">
        <v>2.1</v>
      </c>
      <c r="O55" s="76" t="b">
        <f t="shared" si="47"/>
        <v>1</v>
      </c>
      <c r="P55" s="77" t="str">
        <f>IF(ISBLANK(N55),IFERROR(0/0,""),IFERROR(VLOOKUP(N55, 'Process Ref'!$A$76:$D$124, 2, FALSE), IFERROR(0/0,"")))</f>
        <v>Use Audit RFR count (extra tubes in RFR not in Appivo) after Null called Neg</v>
      </c>
      <c r="Q55" s="92" t="s">
        <v>238</v>
      </c>
      <c r="R55" s="78">
        <f>IFNA(MATCH(A55,'RFR Data - preExcl'!A$2:A447,0),"")</f>
        <v>79</v>
      </c>
      <c r="S55" s="43"/>
      <c r="T55" s="18" t="str">
        <f>IF(EXACT('RFR Data - preExcl'!W55,"Initial"),'RFR Data - preExcl'!A55,IFERROR(0/0,""))</f>
        <v>RUN-ABRM_2022-10-26_RFR-054</v>
      </c>
      <c r="U55" s="79">
        <f>IF(EXACT('RFR Data - preExcl'!W55,"Initial"),'RFR Data - preExcl'!U55,IFERROR(0/0,""))</f>
        <v>44860</v>
      </c>
      <c r="X55" s="43"/>
      <c r="Y55" s="84" t="str">
        <f>IFERROR(__xludf.DUMMYFUNCTION("""COMPUTED_VALUE"""),"RUN-ABRM_2023-02-23_RFR-168_Re-run")</f>
        <v>RUN-ABRM_2023-02-23_RFR-168_Re-run</v>
      </c>
      <c r="Z55" s="82">
        <f>IFERROR(__xludf.DUMMYFUNCTION("""COMPUTED_VALUE"""),44980.45957490741)</f>
        <v>44980.45957</v>
      </c>
      <c r="AA55" s="83">
        <f>VLOOKUP($Y55,'RFR Data - preExcl'!$A$2:$AK447,29,FALSE)</f>
        <v>3</v>
      </c>
      <c r="AB55" s="83">
        <f>VLOOKUP($Y55,'RFR Data - preExcl'!$A$2:$AK447,37,FALSE)</f>
        <v>1</v>
      </c>
      <c r="AC55" s="70"/>
      <c r="AF55" s="70"/>
      <c r="AG55" s="74">
        <v>7.0</v>
      </c>
      <c r="AH55" s="54">
        <v>2.0</v>
      </c>
      <c r="AI55" s="75">
        <v>2.1</v>
      </c>
      <c r="AJ55" s="18" t="str">
        <f t="shared" ref="AJ55:AL55" si="60">IF(AG55=L55,IFERROR(0/0,""),FALSE)</f>
        <v/>
      </c>
      <c r="AK55" s="18" t="str">
        <f t="shared" si="60"/>
        <v/>
      </c>
      <c r="AL55" s="18" t="str">
        <f t="shared" si="60"/>
        <v/>
      </c>
      <c r="AM55" s="43"/>
    </row>
    <row r="56">
      <c r="A56" s="7" t="s">
        <v>82</v>
      </c>
      <c r="B56" s="12">
        <v>44883.0</v>
      </c>
      <c r="C56" s="73" t="str">
        <f t="shared" si="3"/>
        <v/>
      </c>
      <c r="D56" s="54">
        <f t="array" ref="D56">IF(OR(ISBLANK($A56),$C56),IFERROR(0/0,""),INDEX('RFR Data - preExcl'!E$2:E447,$R56,1))</f>
        <v>7</v>
      </c>
      <c r="E56" s="54">
        <f t="array" ref="E56">IF(OR(ISBLANK($A56),$C56),IFERROR(0/0,""),INDEX('RFR Data - preExcl'!Z$2:Z447,$R56,1))</f>
        <v>7</v>
      </c>
      <c r="F56" s="54">
        <f t="array" ref="F56">IF(OR(ISBLANK(A56),C56),IFERROR(0/0,""),INDEX('RFR Data - preExcl'!AC$2:AC447,$R56,1))</f>
        <v>5</v>
      </c>
      <c r="G56" s="54">
        <f t="array" ref="G56">IF(OR(ISBLANK(A56),C56),IFERROR(0/0,""),INDEX('RFR Data - preExcl'!AK$2:AK447,$R56,1))</f>
        <v>5</v>
      </c>
      <c r="H56" s="54">
        <f t="array" ref="H56">IF(OR(ISBLANK(A56),C56),IFERROR(0/0,""),INDEX('RFR Data - preExcl'!AL$2:AL447,$R56,1))</f>
        <v>0</v>
      </c>
      <c r="I56" s="54">
        <f>IFERROR(VLOOKUP($B56,'APS Tubes by Date IMPORT'!$B$2:$J447,2,FALSE),"")</f>
        <v>5</v>
      </c>
      <c r="J56" s="54" t="b">
        <f>IFERROR(VLOOKUP($B56,'APS Tubes by Date IMPORT'!$B$2:$J447,9,FALSE),"")</f>
        <v>1</v>
      </c>
      <c r="K56" s="54">
        <f>IFNA(VLOOKUP($B56,'APS Tubes by Date IMPORT'!$B$2:$J447,6,FALSE),"")</f>
        <v>0</v>
      </c>
      <c r="L56" s="74">
        <f t="shared" si="4"/>
        <v>5</v>
      </c>
      <c r="M56" s="54">
        <v>0.0</v>
      </c>
      <c r="N56" s="86">
        <v>3.0</v>
      </c>
      <c r="O56" s="76" t="b">
        <f t="shared" si="47"/>
        <v>1</v>
      </c>
      <c r="P56" s="77" t="str">
        <f>IF(ISBLANK(N56),IFERROR(0/0,""),IFERROR(VLOOKUP(N56, 'Process Ref'!$A$76:$D$124, 2, FALSE), IFERROR(0/0,"")))</f>
        <v>ALL 3 COUNTS SAME after Null deleted</v>
      </c>
      <c r="Q56" s="77" t="s">
        <v>232</v>
      </c>
      <c r="R56" s="78">
        <f>IFNA(MATCH(A56,'RFR Data - preExcl'!A$2:A447,0),"")</f>
        <v>81</v>
      </c>
      <c r="S56" s="43"/>
      <c r="T56" s="18" t="str">
        <f>IF(EXACT('RFR Data - preExcl'!W56,"Initial"),'RFR Data - preExcl'!A56,IFERROR(0/0,""))</f>
        <v>RUN-ABRM_2022-10-27_RFR-055</v>
      </c>
      <c r="U56" s="79">
        <f>IF(EXACT('RFR Data - preExcl'!W56,"Initial"),'RFR Data - preExcl'!U56,IFERROR(0/0,""))</f>
        <v>44861</v>
      </c>
      <c r="X56" s="43"/>
      <c r="Y56" s="84" t="str">
        <f>IFERROR(__xludf.DUMMYFUNCTION("""COMPUTED_VALUE"""),"RUN-ABRM_2023-02-24_RFR-170_Re-run")</f>
        <v>RUN-ABRM_2023-02-24_RFR-170_Re-run</v>
      </c>
      <c r="Z56" s="82">
        <f>IFERROR(__xludf.DUMMYFUNCTION("""COMPUTED_VALUE"""),44981.402470381945)</f>
        <v>44981.40247</v>
      </c>
      <c r="AA56" s="83">
        <f>VLOOKUP($Y56,'RFR Data - preExcl'!$A$2:$AK447,29,FALSE)</f>
        <v>3</v>
      </c>
      <c r="AB56" s="83">
        <f>VLOOKUP($Y56,'RFR Data - preExcl'!$A$2:$AK447,37,FALSE)</f>
        <v>1</v>
      </c>
      <c r="AC56" s="70"/>
      <c r="AF56" s="70"/>
      <c r="AG56" s="74">
        <v>5.0</v>
      </c>
      <c r="AH56" s="54">
        <v>0.0</v>
      </c>
      <c r="AI56" s="86">
        <v>3.0</v>
      </c>
      <c r="AJ56" s="18" t="str">
        <f t="shared" ref="AJ56:AL56" si="61">IF(AG56=L56,IFERROR(0/0,""),FALSE)</f>
        <v/>
      </c>
      <c r="AK56" s="18" t="str">
        <f t="shared" si="61"/>
        <v/>
      </c>
      <c r="AL56" s="18" t="str">
        <f t="shared" si="61"/>
        <v/>
      </c>
      <c r="AM56" s="43"/>
    </row>
    <row r="57">
      <c r="A57" s="7" t="s">
        <v>83</v>
      </c>
      <c r="B57" s="12">
        <v>44884.0</v>
      </c>
      <c r="C57" s="73" t="str">
        <f t="shared" si="3"/>
        <v/>
      </c>
      <c r="D57" s="54">
        <f t="array" ref="D57">IF(OR(ISBLANK($A57),$C57),IFERROR(0/0,""),INDEX('RFR Data - preExcl'!E$2:E447,$R57,1))</f>
        <v>4</v>
      </c>
      <c r="E57" s="54">
        <f t="array" ref="E57">IF(OR(ISBLANK($A57),$C57),IFERROR(0/0,""),INDEX('RFR Data - preExcl'!Z$2:Z447,$R57,1))</f>
        <v>4</v>
      </c>
      <c r="F57" s="54">
        <f t="array" ref="F57">IF(OR(ISBLANK(A57),C57),IFERROR(0/0,""),INDEX('RFR Data - preExcl'!AC$2:AC447,$R57,1))</f>
        <v>2</v>
      </c>
      <c r="G57" s="54">
        <f t="array" ref="G57">IF(OR(ISBLANK(A57),C57),IFERROR(0/0,""),INDEX('RFR Data - preExcl'!AK$2:AK447,$R57,1))</f>
        <v>2</v>
      </c>
      <c r="H57" s="54">
        <f t="array" ref="H57">IF(OR(ISBLANK(A57),C57),IFERROR(0/0,""),INDEX('RFR Data - preExcl'!AL$2:AL447,$R57,1))</f>
        <v>4</v>
      </c>
      <c r="I57" s="54">
        <f>IFERROR(VLOOKUP($B57,'APS Tubes by Date IMPORT'!$B$2:$J447,2,FALSE),"")</f>
        <v>2</v>
      </c>
      <c r="J57" s="54" t="b">
        <f>IFERROR(VLOOKUP($B57,'APS Tubes by Date IMPORT'!$B$2:$J447,9,FALSE),"")</f>
        <v>1</v>
      </c>
      <c r="K57" s="54">
        <f>IFNA(VLOOKUP($B57,'APS Tubes by Date IMPORT'!$B$2:$J447,6,FALSE),"")</f>
        <v>0</v>
      </c>
      <c r="L57" s="74">
        <f t="shared" si="4"/>
        <v>2</v>
      </c>
      <c r="M57" s="54">
        <v>0.0</v>
      </c>
      <c r="N57" s="86">
        <v>0.0</v>
      </c>
      <c r="O57" s="76" t="b">
        <f t="shared" si="47"/>
        <v>1</v>
      </c>
      <c r="P57" s="77" t="str">
        <f>IF(ISBLANK(N57),IFERROR(0/0,""),IFERROR(VLOOKUP(N57, 'Process Ref'!$A$76:$D$124, 2, FALSE), IFERROR(0/0,"")))</f>
        <v>ALL 3 COUNTS SAME meaning APS Collect = APS Result = RFR</v>
      </c>
      <c r="Q57" s="77"/>
      <c r="R57" s="78">
        <f>IFNA(MATCH(A57,'RFR Data - preExcl'!A$2:A447,0),"")</f>
        <v>82</v>
      </c>
      <c r="S57" s="43"/>
      <c r="T57" s="18" t="str">
        <f>IF(EXACT('RFR Data - preExcl'!W57,"Initial"),'RFR Data - preExcl'!A57,IFERROR(0/0,""))</f>
        <v/>
      </c>
      <c r="U57" s="18" t="str">
        <f>IF(EXACT('RFR Data - preExcl'!W57,"Initial"),'RFR Data - preExcl'!U57,IFERROR(0/0,""))</f>
        <v/>
      </c>
      <c r="X57" s="43"/>
      <c r="Y57" s="84" t="str">
        <f>IFERROR(__xludf.DUMMYFUNCTION("""COMPUTED_VALUE"""),"RUN-ABRM_2023-02-27_RFR-172_Re-run")</f>
        <v>RUN-ABRM_2023-02-27_RFR-172_Re-run</v>
      </c>
      <c r="Z57" s="82">
        <f>IFERROR(__xludf.DUMMYFUNCTION("""COMPUTED_VALUE"""),44984.43115813658)</f>
        <v>44984.43116</v>
      </c>
      <c r="AA57" s="83">
        <f>VLOOKUP($Y57,'RFR Data - preExcl'!$A$2:$AK447,29,FALSE)</f>
        <v>3</v>
      </c>
      <c r="AB57" s="83">
        <f>VLOOKUP($Y57,'RFR Data - preExcl'!$A$2:$AK447,37,FALSE)</f>
        <v>1</v>
      </c>
      <c r="AC57" s="70"/>
      <c r="AF57" s="70"/>
      <c r="AG57" s="74">
        <v>2.0</v>
      </c>
      <c r="AH57" s="54">
        <v>0.0</v>
      </c>
      <c r="AI57" s="86">
        <v>0.0</v>
      </c>
      <c r="AJ57" s="18" t="str">
        <f t="shared" ref="AJ57:AL57" si="62">IF(AG57=L57,IFERROR(0/0,""),FALSE)</f>
        <v/>
      </c>
      <c r="AK57" s="18" t="str">
        <f t="shared" si="62"/>
        <v/>
      </c>
      <c r="AL57" s="18" t="str">
        <f t="shared" si="62"/>
        <v/>
      </c>
      <c r="AM57" s="43"/>
    </row>
    <row r="58">
      <c r="A58" s="7" t="s">
        <v>84</v>
      </c>
      <c r="B58" s="12">
        <v>44885.0</v>
      </c>
      <c r="C58" s="73" t="str">
        <f t="shared" si="3"/>
        <v/>
      </c>
      <c r="D58" s="54">
        <f t="array" ref="D58">IF(OR(ISBLANK($A58),$C58),IFERROR(0/0,""),INDEX('RFR Data - preExcl'!E$2:E447,$R58,1))</f>
        <v>4</v>
      </c>
      <c r="E58" s="54">
        <f t="array" ref="E58">IF(OR(ISBLANK($A58),$C58),IFERROR(0/0,""),INDEX('RFR Data - preExcl'!Z$2:Z447,$R58,1))</f>
        <v>4</v>
      </c>
      <c r="F58" s="54">
        <f t="array" ref="F58">IF(OR(ISBLANK(A58),C58),IFERROR(0/0,""),INDEX('RFR Data - preExcl'!AC$2:AC447,$R58,1))</f>
        <v>2</v>
      </c>
      <c r="G58" s="54">
        <f t="array" ref="G58">IF(OR(ISBLANK(A58),C58),IFERROR(0/0,""),INDEX('RFR Data - preExcl'!AK$2:AK447,$R58,1))</f>
        <v>2</v>
      </c>
      <c r="H58" s="54">
        <f t="array" ref="H58">IF(OR(ISBLANK(A58),C58),IFERROR(0/0,""),INDEX('RFR Data - preExcl'!AL$2:AL447,$R58,1))</f>
        <v>1.2</v>
      </c>
      <c r="I58" s="54">
        <f>IFERROR(VLOOKUP($B58,'APS Tubes by Date IMPORT'!$B$2:$J447,2,FALSE),"")</f>
        <v>2</v>
      </c>
      <c r="J58" s="54" t="str">
        <f>IFERROR(VLOOKUP($B58,'APS Tubes by Date IMPORT'!$B$2:$J447,9,FALSE),"")</f>
        <v/>
      </c>
      <c r="K58" s="54">
        <f>IFNA(VLOOKUP($B58,'APS Tubes by Date IMPORT'!$B$2:$J447,6,FALSE),"")</f>
        <v>0</v>
      </c>
      <c r="L58" s="74">
        <f t="shared" si="4"/>
        <v>2</v>
      </c>
      <c r="M58" s="54">
        <v>0.0</v>
      </c>
      <c r="N58" s="86">
        <v>1.0</v>
      </c>
      <c r="O58" s="76" t="b">
        <f t="shared" si="47"/>
        <v>1</v>
      </c>
      <c r="P58" s="77" t="str">
        <f>IF(ISBLANK(N58),IFERROR(0/0,""),IFERROR(VLOOKUP(N58, 'Process Ref'!$A$76:$D$124, 2, FALSE), IFERROR(0/0,"")))</f>
        <v>Use APS Collect = RFR (diff APS Result count but nets out)</v>
      </c>
      <c r="Q58" s="77"/>
      <c r="R58" s="78">
        <f>IFNA(MATCH(A58,'RFR Data - preExcl'!A$2:A447,0),"")</f>
        <v>84</v>
      </c>
      <c r="S58" s="43"/>
      <c r="T58" s="18" t="str">
        <f>IF(EXACT('RFR Data - preExcl'!W58,"Initial"),'RFR Data - preExcl'!A58,IFERROR(0/0,""))</f>
        <v>RUN-ABRM_2022-10-28_RFR-057</v>
      </c>
      <c r="U58" s="79">
        <f>IF(EXACT('RFR Data - preExcl'!W58,"Initial"),'RFR Data - preExcl'!U58,IFERROR(0/0,""))</f>
        <v>44862</v>
      </c>
      <c r="X58" s="43"/>
      <c r="Y58" s="84" t="str">
        <f>IFERROR(__xludf.DUMMYFUNCTION("""COMPUTED_VALUE"""),"RUN-ABRM_2023-02-28_RFR-174_Re-run")</f>
        <v>RUN-ABRM_2023-02-28_RFR-174_Re-run</v>
      </c>
      <c r="Z58" s="82">
        <f>IFERROR(__xludf.DUMMYFUNCTION("""COMPUTED_VALUE"""),44985.41639251157)</f>
        <v>44985.41639</v>
      </c>
      <c r="AA58" s="83">
        <f>VLOOKUP($Y58,'RFR Data - preExcl'!$A$2:$AK447,29,FALSE)</f>
        <v>6</v>
      </c>
      <c r="AB58" s="83">
        <f>VLOOKUP($Y58,'RFR Data - preExcl'!$A$2:$AK447,37,FALSE)</f>
        <v>2</v>
      </c>
      <c r="AC58" s="70"/>
      <c r="AF58" s="70"/>
      <c r="AG58" s="74">
        <v>2.0</v>
      </c>
      <c r="AH58" s="54">
        <v>0.0</v>
      </c>
      <c r="AI58" s="86">
        <v>1.0</v>
      </c>
      <c r="AJ58" s="18" t="str">
        <f t="shared" ref="AJ58:AL58" si="63">IF(AG58=L58,IFERROR(0/0,""),FALSE)</f>
        <v/>
      </c>
      <c r="AK58" s="18" t="str">
        <f t="shared" si="63"/>
        <v/>
      </c>
      <c r="AL58" s="18" t="str">
        <f t="shared" si="63"/>
        <v/>
      </c>
      <c r="AM58" s="43"/>
    </row>
    <row r="59">
      <c r="A59" s="7" t="s">
        <v>85</v>
      </c>
      <c r="B59" s="12">
        <v>44886.0</v>
      </c>
      <c r="C59" s="73" t="str">
        <f t="shared" si="3"/>
        <v/>
      </c>
      <c r="D59" s="54">
        <f t="array" ref="D59">IF(OR(ISBLANK($A59),$C59),IFERROR(0/0,""),INDEX('RFR Data - preExcl'!E$2:E447,$R59,1))</f>
        <v>5</v>
      </c>
      <c r="E59" s="54">
        <f t="array" ref="E59">IF(OR(ISBLANK($A59),$C59),IFERROR(0/0,""),INDEX('RFR Data - preExcl'!Z$2:Z447,$R59,1))</f>
        <v>5</v>
      </c>
      <c r="F59" s="54">
        <f t="array" ref="F59">IF(OR(ISBLANK(A59),C59),IFERROR(0/0,""),INDEX('RFR Data - preExcl'!AC$2:AC447,$R59,1))</f>
        <v>3</v>
      </c>
      <c r="G59" s="54">
        <f t="array" ref="G59">IF(OR(ISBLANK(A59),C59),IFERROR(0/0,""),INDEX('RFR Data - preExcl'!AK$2:AK447,$R59,1))</f>
        <v>3</v>
      </c>
      <c r="H59" s="54">
        <f t="array" ref="H59">IF(OR(ISBLANK(A59),C59),IFERROR(0/0,""),INDEX('RFR Data - preExcl'!AL$2:AL447,$R59,1))</f>
        <v>0</v>
      </c>
      <c r="I59" s="98">
        <f>IFERROR(VLOOKUP($B59,'APS Tubes by Date IMPORT'!$B$2:$J447,2,FALSE),"")</f>
        <v>7</v>
      </c>
      <c r="J59" s="54" t="b">
        <f>IFERROR(VLOOKUP($B59,'APS Tubes by Date IMPORT'!$B$2:$J447,9,FALSE),"")</f>
        <v>1</v>
      </c>
      <c r="K59" s="54">
        <f>IFNA(VLOOKUP($B59,'APS Tubes by Date IMPORT'!$B$2:$J447,6,FALSE),"")</f>
        <v>0</v>
      </c>
      <c r="L59" s="99">
        <f t="shared" si="4"/>
        <v>3</v>
      </c>
      <c r="M59" s="54">
        <v>0.0</v>
      </c>
      <c r="N59" s="100">
        <v>5.1</v>
      </c>
      <c r="O59" s="91"/>
      <c r="P59" s="77" t="str">
        <f>IF(ISBLANK(N59),IFERROR(0/0,""),IFERROR(VLOOKUP(N59, 'Process Ref'!$A$76:$D$124, 2, FALSE), IFERROR(0/0,"")))</f>
        <v>Multiple Initial runs on same day - final count is sum of RFR Audit = APS Collect (NULL is deleted)</v>
      </c>
      <c r="Q59" s="55" t="s">
        <v>239</v>
      </c>
      <c r="R59" s="78">
        <f>IFNA(MATCH(A59,'RFR Data - preExcl'!A$2:A447,0),"")</f>
        <v>87</v>
      </c>
      <c r="S59" s="43"/>
      <c r="T59" s="18" t="str">
        <f>IF(EXACT('RFR Data - preExcl'!W59,"Initial"),'RFR Data - preExcl'!A59,IFERROR(0/0,""))</f>
        <v/>
      </c>
      <c r="U59" s="18" t="str">
        <f>IF(EXACT('RFR Data - preExcl'!W59,"Initial"),'RFR Data - preExcl'!U59,IFERROR(0/0,""))</f>
        <v/>
      </c>
      <c r="X59" s="43"/>
      <c r="Y59" s="84" t="str">
        <f>IFERROR(__xludf.DUMMYFUNCTION("""COMPUTED_VALUE"""),"RUN-ABRM_2023-03-01_RFR-176_Re-run")</f>
        <v>RUN-ABRM_2023-03-01_RFR-176_Re-run</v>
      </c>
      <c r="Z59" s="82">
        <f>IFERROR(__xludf.DUMMYFUNCTION("""COMPUTED_VALUE"""),44986.42883695602)</f>
        <v>44986.42884</v>
      </c>
      <c r="AA59" s="83">
        <f>VLOOKUP($Y59,'RFR Data - preExcl'!$A$2:$AK447,29,FALSE)</f>
        <v>6</v>
      </c>
      <c r="AB59" s="83">
        <f>VLOOKUP($Y59,'RFR Data - preExcl'!$A$2:$AK447,37,FALSE)</f>
        <v>2</v>
      </c>
      <c r="AC59" s="70"/>
      <c r="AF59" s="70"/>
      <c r="AG59" s="101">
        <v>3.0</v>
      </c>
      <c r="AH59" s="54">
        <v>0.0</v>
      </c>
      <c r="AI59" s="100">
        <v>5.1</v>
      </c>
      <c r="AJ59" s="18" t="str">
        <f t="shared" ref="AJ59:AL59" si="64">IF(AG59=L59,IFERROR(0/0,""),FALSE)</f>
        <v/>
      </c>
      <c r="AK59" s="18" t="str">
        <f t="shared" si="64"/>
        <v/>
      </c>
      <c r="AL59" s="18" t="str">
        <f t="shared" si="64"/>
        <v/>
      </c>
      <c r="AM59" s="43"/>
    </row>
    <row r="60">
      <c r="A60" s="102" t="s">
        <v>86</v>
      </c>
      <c r="B60" s="103">
        <v>44886.0</v>
      </c>
      <c r="C60" s="73" t="str">
        <f t="shared" si="3"/>
        <v/>
      </c>
      <c r="D60" s="54">
        <f t="array" ref="D60">IF(OR(ISBLANK($A60),$C60),IFERROR(0/0,""),INDEX('RFR Data - preExcl'!E$2:E447,$R60,1))</f>
        <v>6</v>
      </c>
      <c r="E60" s="54">
        <f t="array" ref="E60">IF(OR(ISBLANK($A60),$C60),IFERROR(0/0,""),INDEX('RFR Data - preExcl'!Z$2:Z447,$R60,1))</f>
        <v>6</v>
      </c>
      <c r="F60" s="54">
        <f t="array" ref="F60">IF(OR(ISBLANK(A60),C60),IFERROR(0/0,""),INDEX('RFR Data - preExcl'!AC$2:AC447,$R60,1))</f>
        <v>4</v>
      </c>
      <c r="G60" s="54">
        <f t="array" ref="G60">IF(OR(ISBLANK(A60),C60),IFERROR(0/0,""),INDEX('RFR Data - preExcl'!AK$2:AK447,$R60,1))</f>
        <v>4</v>
      </c>
      <c r="H60" s="54">
        <f t="array" ref="H60">IF(OR(ISBLANK(A60),C60),IFERROR(0/0,""),INDEX('RFR Data - preExcl'!AL$2:AL447,$R60,1))</f>
        <v>0</v>
      </c>
      <c r="I60" s="54"/>
      <c r="J60" s="54" t="b">
        <f>IFERROR(VLOOKUP($B60,'APS Tubes by Date IMPORT'!$B$2:$J447,9,FALSE),"")</f>
        <v>1</v>
      </c>
      <c r="K60" s="54">
        <f>IFNA(VLOOKUP($B60,'APS Tubes by Date IMPORT'!$B$2:$J447,6,FALSE),"")</f>
        <v>0</v>
      </c>
      <c r="L60" s="104">
        <f t="shared" si="4"/>
        <v>4</v>
      </c>
      <c r="M60" s="54"/>
      <c r="N60" s="100">
        <v>5.1</v>
      </c>
      <c r="O60" s="91" t="str">
        <f t="shared" ref="O60:O73" si="66">IF(ISBLANK(M60),IFERROR(0/0,""),IF($CC60&lt;=4,TRUE,IFERROR(0/0,"")))</f>
        <v/>
      </c>
      <c r="P60" s="77" t="str">
        <f>IF(ISBLANK(N60),IFERROR(0/0,""),IFERROR(VLOOKUP(N60, 'Process Ref'!$A$76:$D$124, 2, FALSE), IFERROR(0/0,"")))</f>
        <v>Multiple Initial runs on same day - final count is sum of RFR Audit = APS Collect (NULL is deleted)</v>
      </c>
      <c r="Q60" s="77"/>
      <c r="R60" s="78">
        <f>IFNA(MATCH(A60,'RFR Data - preExcl'!A$2:A447,0),"")</f>
        <v>88</v>
      </c>
      <c r="S60" s="43"/>
      <c r="T60" s="18" t="str">
        <f>IF(EXACT('RFR Data - preExcl'!W60,"Initial"),'RFR Data - preExcl'!A60,IFERROR(0/0,""))</f>
        <v/>
      </c>
      <c r="U60" s="18" t="str">
        <f>IF(EXACT('RFR Data - preExcl'!W60,"Initial"),'RFR Data - preExcl'!U60,IFERROR(0/0,""))</f>
        <v/>
      </c>
      <c r="X60" s="43"/>
      <c r="Y60" s="84" t="str">
        <f>IFERROR(__xludf.DUMMYFUNCTION("""COMPUTED_VALUE"""),"RUN-ABRM_2023-03-06_RFR-178_Re-run")</f>
        <v>RUN-ABRM_2023-03-06_RFR-178_Re-run</v>
      </c>
      <c r="Z60" s="82">
        <f>IFERROR(__xludf.DUMMYFUNCTION("""COMPUTED_VALUE"""),44991.4245508912)</f>
        <v>44991.42455</v>
      </c>
      <c r="AA60" s="83">
        <f>VLOOKUP($Y60,'RFR Data - preExcl'!$A$2:$AK447,29,FALSE)</f>
        <v>3</v>
      </c>
      <c r="AB60" s="83">
        <f>VLOOKUP($Y60,'RFR Data - preExcl'!$A$2:$AK447,37,FALSE)</f>
        <v>1</v>
      </c>
      <c r="AC60" s="70"/>
      <c r="AF60" s="70"/>
      <c r="AG60" s="105">
        <v>4.0</v>
      </c>
      <c r="AH60" s="54"/>
      <c r="AI60" s="100">
        <v>5.1</v>
      </c>
      <c r="AJ60" s="18" t="str">
        <f t="shared" ref="AJ60:AL60" si="65">IF(AG60=L60,IFERROR(0/0,""),FALSE)</f>
        <v/>
      </c>
      <c r="AK60" s="18" t="str">
        <f t="shared" si="65"/>
        <v/>
      </c>
      <c r="AL60" s="18" t="str">
        <f t="shared" si="65"/>
        <v/>
      </c>
      <c r="AM60" s="43"/>
    </row>
    <row r="61">
      <c r="A61" s="102" t="s">
        <v>87</v>
      </c>
      <c r="B61" s="103">
        <v>44887.0</v>
      </c>
      <c r="C61" s="73" t="str">
        <f t="shared" si="3"/>
        <v/>
      </c>
      <c r="D61" s="54">
        <f t="array" ref="D61">IF(OR(ISBLANK($A61),$C61),IFERROR(0/0,""),INDEX('RFR Data - preExcl'!E$2:E447,$R61,1))</f>
        <v>13</v>
      </c>
      <c r="E61" s="54">
        <f t="array" ref="E61">IF(OR(ISBLANK($A61),$C61),IFERROR(0/0,""),INDEX('RFR Data - preExcl'!Z$2:Z447,$R61,1))</f>
        <v>13</v>
      </c>
      <c r="F61" s="54">
        <f t="array" ref="F61">IF(OR(ISBLANK(A61),C61),IFERROR(0/0,""),INDEX('RFR Data - preExcl'!AC$2:AC447,$R61,1))</f>
        <v>11</v>
      </c>
      <c r="G61" s="54">
        <f t="array" ref="G61">IF(OR(ISBLANK(A61),C61),IFERROR(0/0,""),INDEX('RFR Data - preExcl'!AK$2:AK447,$R61,1))</f>
        <v>11</v>
      </c>
      <c r="H61" s="54">
        <f t="array" ref="H61">IF(OR(ISBLANK(A61),C61),IFERROR(0/0,""),INDEX('RFR Data - preExcl'!AL$2:AL447,$R61,1))</f>
        <v>0</v>
      </c>
      <c r="I61" s="54">
        <f>IFERROR(VLOOKUP($B61,'APS Tubes by Date IMPORT'!$B$2:$J447,2,FALSE),"")</f>
        <v>11</v>
      </c>
      <c r="J61" s="54" t="b">
        <f>IFERROR(VLOOKUP($B61,'APS Tubes by Date IMPORT'!$B$2:$J447,9,FALSE),"")</f>
        <v>1</v>
      </c>
      <c r="K61" s="54">
        <f>IFNA(VLOOKUP($B61,'APS Tubes by Date IMPORT'!$B$2:$J447,6,FALSE),"")</f>
        <v>0</v>
      </c>
      <c r="L61" s="74">
        <f t="shared" si="4"/>
        <v>11</v>
      </c>
      <c r="M61" s="54">
        <v>0.0</v>
      </c>
      <c r="N61" s="86">
        <v>0.0</v>
      </c>
      <c r="O61" s="76" t="b">
        <f t="shared" si="66"/>
        <v>1</v>
      </c>
      <c r="P61" s="77" t="str">
        <f>IF(ISBLANK(N61),IFERROR(0/0,""),IFERROR(VLOOKUP(N61, 'Process Ref'!$A$76:$D$124, 2, FALSE), IFERROR(0/0,"")))</f>
        <v>ALL 3 COUNTS SAME meaning APS Collect = APS Result = RFR</v>
      </c>
      <c r="Q61" s="77"/>
      <c r="R61" s="78">
        <f>IFNA(MATCH(A61,'RFR Data - preExcl'!A$2:A447,0),"")</f>
        <v>89</v>
      </c>
      <c r="S61" s="43"/>
      <c r="T61" s="18" t="str">
        <f>IF(EXACT('RFR Data - preExcl'!W61,"Initial"),'RFR Data - preExcl'!A61,IFERROR(0/0,""))</f>
        <v>RUN-ABRM_2022-10-31_RFR-060</v>
      </c>
      <c r="U61" s="79">
        <f>IF(EXACT('RFR Data - preExcl'!W61,"Initial"),'RFR Data - preExcl'!U61,IFERROR(0/0,""))</f>
        <v>44865</v>
      </c>
      <c r="X61" s="43"/>
      <c r="Y61" s="84" t="str">
        <f>IFERROR(__xludf.DUMMYFUNCTION("""COMPUTED_VALUE"""),"RUN-ABRM_2023-03-06_RFR-180_Re-run")</f>
        <v>RUN-ABRM_2023-03-06_RFR-180_Re-run</v>
      </c>
      <c r="Z61" s="82">
        <f>IFERROR(__xludf.DUMMYFUNCTION("""COMPUTED_VALUE"""),44991.42888032408)</f>
        <v>44991.42888</v>
      </c>
      <c r="AA61" s="83">
        <f>VLOOKUP($Y61,'RFR Data - preExcl'!$A$2:$AK447,29,FALSE)</f>
        <v>9</v>
      </c>
      <c r="AB61" s="83">
        <f>VLOOKUP($Y61,'RFR Data - preExcl'!$A$2:$AK447,37,FALSE)</f>
        <v>3</v>
      </c>
      <c r="AC61" s="70"/>
      <c r="AF61" s="70"/>
      <c r="AG61" s="74">
        <v>11.0</v>
      </c>
      <c r="AH61" s="54">
        <v>0.0</v>
      </c>
      <c r="AI61" s="86">
        <v>0.0</v>
      </c>
      <c r="AJ61" s="18" t="str">
        <f t="shared" ref="AJ61:AL61" si="67">IF(AG61=L61,IFERROR(0/0,""),FALSE)</f>
        <v/>
      </c>
      <c r="AK61" s="18" t="str">
        <f t="shared" si="67"/>
        <v/>
      </c>
      <c r="AL61" s="18" t="str">
        <f t="shared" si="67"/>
        <v/>
      </c>
      <c r="AM61" s="43"/>
    </row>
    <row r="62">
      <c r="A62" s="7" t="s">
        <v>88</v>
      </c>
      <c r="B62" s="12">
        <v>44890.0</v>
      </c>
      <c r="C62" s="73" t="str">
        <f t="shared" si="3"/>
        <v/>
      </c>
      <c r="D62" s="54">
        <f t="array" ref="D62">IF(OR(ISBLANK($A62),$C62),IFERROR(0/0,""),INDEX('RFR Data - preExcl'!E$2:E447,$R62,1))</f>
        <v>5</v>
      </c>
      <c r="E62" s="54">
        <f t="array" ref="E62">IF(OR(ISBLANK($A62),$C62),IFERROR(0/0,""),INDEX('RFR Data - preExcl'!Z$2:Z447,$R62,1))</f>
        <v>5</v>
      </c>
      <c r="F62" s="54">
        <f t="array" ref="F62">IF(OR(ISBLANK(A62),C62),IFERROR(0/0,""),INDEX('RFR Data - preExcl'!AC$2:AC447,$R62,1))</f>
        <v>3</v>
      </c>
      <c r="G62" s="54">
        <f t="array" ref="G62">IF(OR(ISBLANK(A62),C62),IFERROR(0/0,""),INDEX('RFR Data - preExcl'!AK$2:AK447,$R62,1))</f>
        <v>3</v>
      </c>
      <c r="H62" s="54">
        <f t="array" ref="H62">IF(OR(ISBLANK(A62),C62),IFERROR(0/0,""),INDEX('RFR Data - preExcl'!AL$2:AL447,$R62,1))</f>
        <v>0</v>
      </c>
      <c r="I62" s="54">
        <f>IFERROR(VLOOKUP($B62,'APS Tubes by Date IMPORT'!$B$2:$J447,2,FALSE),"")</f>
        <v>3</v>
      </c>
      <c r="J62" s="54" t="b">
        <f>IFERROR(VLOOKUP($B62,'APS Tubes by Date IMPORT'!$B$2:$J447,9,FALSE),"")</f>
        <v>1</v>
      </c>
      <c r="K62" s="54">
        <f>IFNA(VLOOKUP($B62,'APS Tubes by Date IMPORT'!$B$2:$J447,6,FALSE),"")</f>
        <v>0</v>
      </c>
      <c r="L62" s="74">
        <f t="shared" si="4"/>
        <v>3</v>
      </c>
      <c r="M62" s="54">
        <v>0.0</v>
      </c>
      <c r="N62" s="86">
        <v>0.0</v>
      </c>
      <c r="O62" s="76" t="b">
        <f t="shared" si="66"/>
        <v>1</v>
      </c>
      <c r="P62" s="77" t="str">
        <f>IF(ISBLANK(N62),IFERROR(0/0,""),IFERROR(VLOOKUP(N62, 'Process Ref'!$A$76:$D$124, 2, FALSE), IFERROR(0/0,"")))</f>
        <v>ALL 3 COUNTS SAME meaning APS Collect = APS Result = RFR</v>
      </c>
      <c r="Q62" s="77"/>
      <c r="R62" s="78">
        <f>IFNA(MATCH(A62,'RFR Data - preExcl'!A$2:A447,0),"")</f>
        <v>90</v>
      </c>
      <c r="S62" s="43"/>
      <c r="T62" s="18" t="str">
        <f>IF(EXACT('RFR Data - preExcl'!W62,"Initial"),'RFR Data - preExcl'!A62,IFERROR(0/0,""))</f>
        <v>RUN-ABRM_2022-11-01_RFR-061</v>
      </c>
      <c r="U62" s="79">
        <f>IF(EXACT('RFR Data - preExcl'!W62,"Initial"),'RFR Data - preExcl'!U62,IFERROR(0/0,""))</f>
        <v>44866</v>
      </c>
      <c r="X62" s="43"/>
      <c r="Y62" s="84" t="str">
        <f>IFERROR(__xludf.DUMMYFUNCTION("""COMPUTED_VALUE"""),"RUN-ABRM_2023-03-08_RFR-183_Re-run")</f>
        <v>RUN-ABRM_2023-03-08_RFR-183_Re-run</v>
      </c>
      <c r="Z62" s="82">
        <f>IFERROR(__xludf.DUMMYFUNCTION("""COMPUTED_VALUE"""),44993.42347471065)</f>
        <v>44993.42347</v>
      </c>
      <c r="AA62" s="83">
        <f>VLOOKUP($Y62,'RFR Data - preExcl'!$A$2:$AK447,29,FALSE)</f>
        <v>6</v>
      </c>
      <c r="AB62" s="83">
        <f>VLOOKUP($Y62,'RFR Data - preExcl'!$A$2:$AK447,37,FALSE)</f>
        <v>6</v>
      </c>
      <c r="AC62" s="70"/>
      <c r="AF62" s="70"/>
      <c r="AG62" s="74">
        <v>3.0</v>
      </c>
      <c r="AH62" s="54">
        <v>0.0</v>
      </c>
      <c r="AI62" s="86">
        <v>0.0</v>
      </c>
      <c r="AJ62" s="18" t="str">
        <f t="shared" ref="AJ62:AL62" si="68">IF(AG62=L62,IFERROR(0/0,""),FALSE)</f>
        <v/>
      </c>
      <c r="AK62" s="18" t="str">
        <f t="shared" si="68"/>
        <v/>
      </c>
      <c r="AL62" s="18" t="str">
        <f t="shared" si="68"/>
        <v/>
      </c>
      <c r="AM62" s="43"/>
    </row>
    <row r="63">
      <c r="A63" s="7" t="s">
        <v>89</v>
      </c>
      <c r="B63" s="12">
        <v>44892.0</v>
      </c>
      <c r="C63" s="73" t="str">
        <f t="shared" si="3"/>
        <v/>
      </c>
      <c r="D63" s="54">
        <f t="array" ref="D63">IF(OR(ISBLANK($A63),$C63),IFERROR(0/0,""),INDEX('RFR Data - preExcl'!E$2:E447,$R63,1))</f>
        <v>6</v>
      </c>
      <c r="E63" s="54">
        <f t="array" ref="E63">IF(OR(ISBLANK($A63),$C63),IFERROR(0/0,""),INDEX('RFR Data - preExcl'!Z$2:Z447,$R63,1))</f>
        <v>6</v>
      </c>
      <c r="F63" s="54">
        <f t="array" ref="F63">IF(OR(ISBLANK(A63),C63),IFERROR(0/0,""),INDEX('RFR Data - preExcl'!AC$2:AC447,$R63,1))</f>
        <v>4</v>
      </c>
      <c r="G63" s="54">
        <f t="array" ref="G63">IF(OR(ISBLANK(A63),C63),IFERROR(0/0,""),INDEX('RFR Data - preExcl'!AK$2:AK447,$R63,1))</f>
        <v>4</v>
      </c>
      <c r="H63" s="54">
        <f t="array" ref="H63">IF(OR(ISBLANK(A63),C63),IFERROR(0/0,""),INDEX('RFR Data - preExcl'!AL$2:AL447,$R63,1))</f>
        <v>0</v>
      </c>
      <c r="I63" s="54">
        <f>IFERROR(VLOOKUP($B63,'APS Tubes by Date IMPORT'!$B$2:$J447,2,FALSE),"")</f>
        <v>4</v>
      </c>
      <c r="J63" s="54" t="b">
        <f>IFERROR(VLOOKUP($B63,'APS Tubes by Date IMPORT'!$B$2:$J447,9,FALSE),"")</f>
        <v>1</v>
      </c>
      <c r="K63" s="54">
        <f>IFNA(VLOOKUP($B63,'APS Tubes by Date IMPORT'!$B$2:$J447,6,FALSE),"")</f>
        <v>0</v>
      </c>
      <c r="L63" s="74">
        <f t="shared" si="4"/>
        <v>4</v>
      </c>
      <c r="M63" s="54">
        <v>0.0</v>
      </c>
      <c r="N63" s="86">
        <v>0.0</v>
      </c>
      <c r="O63" s="76" t="b">
        <f t="shared" si="66"/>
        <v>1</v>
      </c>
      <c r="P63" s="77" t="str">
        <f>IF(ISBLANK(N63),IFERROR(0/0,""),IFERROR(VLOOKUP(N63, 'Process Ref'!$A$76:$D$124, 2, FALSE), IFERROR(0/0,"")))</f>
        <v>ALL 3 COUNTS SAME meaning APS Collect = APS Result = RFR</v>
      </c>
      <c r="Q63" s="77"/>
      <c r="R63" s="78">
        <f>IFNA(MATCH(A63,'RFR Data - preExcl'!A$2:A447,0),"")</f>
        <v>91</v>
      </c>
      <c r="S63" s="43"/>
      <c r="T63" s="18" t="str">
        <f>IF(EXACT('RFR Data - preExcl'!W63,"Initial"),'RFR Data - preExcl'!A63,IFERROR(0/0,""))</f>
        <v>RUN-ABRM_2022-11-02_RFR-062</v>
      </c>
      <c r="U63" s="79">
        <f>IF(EXACT('RFR Data - preExcl'!W63,"Initial"),'RFR Data - preExcl'!U63,IFERROR(0/0,""))</f>
        <v>44867</v>
      </c>
      <c r="X63" s="43"/>
      <c r="Y63" s="84" t="str">
        <f>IFERROR(__xludf.DUMMYFUNCTION("""COMPUTED_VALUE"""),"RUN-ABRM_2023-03-09_RFR-185_Re-run")</f>
        <v>RUN-ABRM_2023-03-09_RFR-185_Re-run</v>
      </c>
      <c r="Z63" s="82">
        <f>IFERROR(__xludf.DUMMYFUNCTION("""COMPUTED_VALUE"""),44994.410295925925)</f>
        <v>44994.4103</v>
      </c>
      <c r="AA63" s="83">
        <f>VLOOKUP($Y63,'RFR Data - preExcl'!$A$2:$AK447,29,FALSE)</f>
        <v>3</v>
      </c>
      <c r="AB63" s="83">
        <f>VLOOKUP($Y63,'RFR Data - preExcl'!$A$2:$AK447,37,FALSE)</f>
        <v>1</v>
      </c>
      <c r="AC63" s="70"/>
      <c r="AF63" s="70"/>
      <c r="AG63" s="74">
        <v>4.0</v>
      </c>
      <c r="AH63" s="54">
        <v>0.0</v>
      </c>
      <c r="AI63" s="86">
        <v>0.0</v>
      </c>
      <c r="AJ63" s="18" t="str">
        <f t="shared" ref="AJ63:AL63" si="69">IF(AG63=L63,IFERROR(0/0,""),FALSE)</f>
        <v/>
      </c>
      <c r="AK63" s="18" t="str">
        <f t="shared" si="69"/>
        <v/>
      </c>
      <c r="AL63" s="18" t="str">
        <f t="shared" si="69"/>
        <v/>
      </c>
      <c r="AM63" s="43"/>
    </row>
    <row r="64">
      <c r="A64" s="7" t="s">
        <v>90</v>
      </c>
      <c r="B64" s="12">
        <v>44893.0</v>
      </c>
      <c r="C64" s="73" t="str">
        <f t="shared" si="3"/>
        <v/>
      </c>
      <c r="D64" s="54">
        <f t="array" ref="D64">IF(OR(ISBLANK($A64),$C64),IFERROR(0/0,""),INDEX('RFR Data - preExcl'!E$2:E447,$R64,1))</f>
        <v>12</v>
      </c>
      <c r="E64" s="54">
        <f t="array" ref="E64">IF(OR(ISBLANK($A64),$C64),IFERROR(0/0,""),INDEX('RFR Data - preExcl'!Z$2:Z447,$R64,1))</f>
        <v>12</v>
      </c>
      <c r="F64" s="54">
        <f t="array" ref="F64">IF(OR(ISBLANK(A64),C64),IFERROR(0/0,""),INDEX('RFR Data - preExcl'!AC$2:AC447,$R64,1))</f>
        <v>10</v>
      </c>
      <c r="G64" s="54">
        <f t="array" ref="G64">IF(OR(ISBLANK(A64),C64),IFERROR(0/0,""),INDEX('RFR Data - preExcl'!AK$2:AK447,$R64,1))</f>
        <v>10</v>
      </c>
      <c r="H64" s="54">
        <f t="array" ref="H64">IF(OR(ISBLANK(A64),C64),IFERROR(0/0,""),INDEX('RFR Data - preExcl'!AL$2:AL447,$R64,1))</f>
        <v>0</v>
      </c>
      <c r="I64" s="54">
        <f>IFERROR(VLOOKUP($B64,'APS Tubes by Date IMPORT'!$B$2:$J447,2,FALSE),"")</f>
        <v>10</v>
      </c>
      <c r="J64" s="54" t="str">
        <f>IFERROR(VLOOKUP($B64,'APS Tubes by Date IMPORT'!$B$2:$J447,9,FALSE),"")</f>
        <v/>
      </c>
      <c r="K64" s="54">
        <f>IFNA(VLOOKUP($B64,'APS Tubes by Date IMPORT'!$B$2:$J447,6,FALSE),"")</f>
        <v>0</v>
      </c>
      <c r="L64" s="74">
        <f t="shared" si="4"/>
        <v>10</v>
      </c>
      <c r="M64" s="54">
        <v>0.0</v>
      </c>
      <c r="N64" s="85">
        <v>3.1</v>
      </c>
      <c r="O64" s="76" t="b">
        <f t="shared" si="66"/>
        <v>1</v>
      </c>
      <c r="P64" s="77" t="str">
        <f>IF(ISBLANK(N64),IFERROR(0/0,""),IFERROR(VLOOKUP(N64, 'Process Ref'!$A$76:$D$124, 2, FALSE), IFERROR(0/0,"")))</f>
        <v>Use APS Collect = RFR (diff APS Result count but nets out) after Null deleted</v>
      </c>
      <c r="Q64" s="77" t="s">
        <v>232</v>
      </c>
      <c r="R64" s="78">
        <f>IFNA(MATCH(A64,'RFR Data - preExcl'!A$2:A447,0),"")</f>
        <v>92</v>
      </c>
      <c r="S64" s="43"/>
      <c r="T64" s="18" t="str">
        <f>IF(EXACT('RFR Data - preExcl'!W64,"Initial"),'RFR Data - preExcl'!A64,IFERROR(0/0,""))</f>
        <v>RUN-ABRM_2022-11-03_RFR-063</v>
      </c>
      <c r="U64" s="79">
        <f>IF(EXACT('RFR Data - preExcl'!W64,"Initial"),'RFR Data - preExcl'!U64,IFERROR(0/0,""))</f>
        <v>44868</v>
      </c>
      <c r="X64" s="43"/>
      <c r="Y64" s="84" t="str">
        <f>IFERROR(__xludf.DUMMYFUNCTION("""COMPUTED_VALUE"""),"RUN-ABRM_2023-03-21_RFR-188_Re-run")</f>
        <v>RUN-ABRM_2023-03-21_RFR-188_Re-run</v>
      </c>
      <c r="Z64" s="82">
        <f>IFERROR(__xludf.DUMMYFUNCTION("""COMPUTED_VALUE"""),45006.453942465276)</f>
        <v>45006.45394</v>
      </c>
      <c r="AA64" s="83">
        <f>VLOOKUP($Y64,'RFR Data - preExcl'!$A$2:$AK447,29,FALSE)</f>
        <v>3</v>
      </c>
      <c r="AB64" s="83">
        <f>VLOOKUP($Y64,'RFR Data - preExcl'!$A$2:$AK447,37,FALSE)</f>
        <v>1</v>
      </c>
      <c r="AC64" s="70"/>
      <c r="AF64" s="70"/>
      <c r="AG64" s="74">
        <v>10.0</v>
      </c>
      <c r="AH64" s="54">
        <v>0.0</v>
      </c>
      <c r="AI64" s="85">
        <v>3.1</v>
      </c>
      <c r="AJ64" s="18" t="str">
        <f t="shared" ref="AJ64:AL64" si="70">IF(AG64=L64,IFERROR(0/0,""),FALSE)</f>
        <v/>
      </c>
      <c r="AK64" s="18" t="str">
        <f t="shared" si="70"/>
        <v/>
      </c>
      <c r="AL64" s="18" t="str">
        <f t="shared" si="70"/>
        <v/>
      </c>
      <c r="AM64" s="43"/>
    </row>
    <row r="65">
      <c r="A65" s="7" t="s">
        <v>91</v>
      </c>
      <c r="B65" s="12">
        <v>44894.0</v>
      </c>
      <c r="C65" s="73" t="str">
        <f t="shared" si="3"/>
        <v/>
      </c>
      <c r="D65" s="54">
        <f t="array" ref="D65">IF(OR(ISBLANK($A65),$C65),IFERROR(0/0,""),INDEX('RFR Data - preExcl'!E$2:E447,$R65,1))</f>
        <v>13</v>
      </c>
      <c r="E65" s="54">
        <f t="array" ref="E65">IF(OR(ISBLANK($A65),$C65),IFERROR(0/0,""),INDEX('RFR Data - preExcl'!Z$2:Z447,$R65,1))</f>
        <v>13</v>
      </c>
      <c r="F65" s="54">
        <f t="array" ref="F65">IF(OR(ISBLANK(A65),C65),IFERROR(0/0,""),INDEX('RFR Data - preExcl'!AC$2:AC447,$R65,1))</f>
        <v>11</v>
      </c>
      <c r="G65" s="54">
        <f t="array" ref="G65">IF(OR(ISBLANK(A65),C65),IFERROR(0/0,""),INDEX('RFR Data - preExcl'!AK$2:AK447,$R65,1))</f>
        <v>11</v>
      </c>
      <c r="H65" s="54">
        <f t="array" ref="H65">IF(OR(ISBLANK(A65),C65),IFERROR(0/0,""),INDEX('RFR Data - preExcl'!AL$2:AL447,$R65,1))</f>
        <v>0</v>
      </c>
      <c r="I65" s="54">
        <f>IFERROR(VLOOKUP($B65,'APS Tubes by Date IMPORT'!$B$2:$J447,2,FALSE),"")</f>
        <v>11</v>
      </c>
      <c r="J65" s="54" t="b">
        <f>IFERROR(VLOOKUP($B65,'APS Tubes by Date IMPORT'!$B$2:$J447,9,FALSE),"")</f>
        <v>1</v>
      </c>
      <c r="K65" s="54">
        <f>IFNA(VLOOKUP($B65,'APS Tubes by Date IMPORT'!$B$2:$J447,6,FALSE),"")</f>
        <v>0</v>
      </c>
      <c r="L65" s="74">
        <f t="shared" si="4"/>
        <v>11</v>
      </c>
      <c r="M65" s="54">
        <v>0.0</v>
      </c>
      <c r="N65" s="86">
        <v>3.0</v>
      </c>
      <c r="O65" s="76" t="b">
        <f t="shared" si="66"/>
        <v>1</v>
      </c>
      <c r="P65" s="77" t="str">
        <f>IF(ISBLANK(N65),IFERROR(0/0,""),IFERROR(VLOOKUP(N65, 'Process Ref'!$A$76:$D$124, 2, FALSE), IFERROR(0/0,"")))</f>
        <v>ALL 3 COUNTS SAME after Null deleted</v>
      </c>
      <c r="Q65" s="77" t="s">
        <v>232</v>
      </c>
      <c r="R65" s="78">
        <f>IFNA(MATCH(A65,'RFR Data - preExcl'!A$2:A447,0),"")</f>
        <v>93</v>
      </c>
      <c r="S65" s="43"/>
      <c r="T65" s="18" t="str">
        <f>IF(EXACT('RFR Data - preExcl'!W65,"Initial"),'RFR Data - preExcl'!A65,IFERROR(0/0,""))</f>
        <v>RUN-ABRM_2022-11-04_RFR-064</v>
      </c>
      <c r="U65" s="79">
        <f>IF(EXACT('RFR Data - preExcl'!W65,"Initial"),'RFR Data - preExcl'!U65,IFERROR(0/0,""))</f>
        <v>44869</v>
      </c>
      <c r="X65" s="43"/>
      <c r="Y65" s="84" t="str">
        <f>IFERROR(__xludf.DUMMYFUNCTION("""COMPUTED_VALUE"""),"RUN-ABRM_2023-03-22_RFR-190_Re-run")</f>
        <v>RUN-ABRM_2023-03-22_RFR-190_Re-run</v>
      </c>
      <c r="Z65" s="82">
        <f>IFERROR(__xludf.DUMMYFUNCTION("""COMPUTED_VALUE"""),45007.42084505787)</f>
        <v>45007.42085</v>
      </c>
      <c r="AA65" s="83">
        <f>VLOOKUP($Y65,'RFR Data - preExcl'!$A$2:$AK447,29,FALSE)</f>
        <v>3</v>
      </c>
      <c r="AB65" s="83">
        <f>VLOOKUP($Y65,'RFR Data - preExcl'!$A$2:$AK447,37,FALSE)</f>
        <v>1</v>
      </c>
      <c r="AC65" s="70"/>
      <c r="AF65" s="70"/>
      <c r="AG65" s="74">
        <v>11.0</v>
      </c>
      <c r="AH65" s="54">
        <v>0.0</v>
      </c>
      <c r="AI65" s="86">
        <v>3.0</v>
      </c>
      <c r="AJ65" s="18" t="str">
        <f t="shared" ref="AJ65:AL65" si="71">IF(AG65=L65,IFERROR(0/0,""),FALSE)</f>
        <v/>
      </c>
      <c r="AK65" s="18" t="str">
        <f t="shared" si="71"/>
        <v/>
      </c>
      <c r="AL65" s="18" t="str">
        <f t="shared" si="71"/>
        <v/>
      </c>
      <c r="AM65" s="43"/>
    </row>
    <row r="66">
      <c r="A66" s="7" t="s">
        <v>92</v>
      </c>
      <c r="B66" s="12">
        <v>44895.0</v>
      </c>
      <c r="C66" s="73" t="str">
        <f t="shared" si="3"/>
        <v/>
      </c>
      <c r="D66" s="54">
        <f t="array" ref="D66">IF(OR(ISBLANK($A66),$C66),IFERROR(0/0,""),INDEX('RFR Data - preExcl'!E$2:E447,$R66,1))</f>
        <v>11</v>
      </c>
      <c r="E66" s="54">
        <f t="array" ref="E66">IF(OR(ISBLANK($A66),$C66),IFERROR(0/0,""),INDEX('RFR Data - preExcl'!Z$2:Z447,$R66,1))</f>
        <v>11</v>
      </c>
      <c r="F66" s="54">
        <f t="array" ref="F66">IF(OR(ISBLANK(A66),C66),IFERROR(0/0,""),INDEX('RFR Data - preExcl'!AC$2:AC447,$R66,1))</f>
        <v>9</v>
      </c>
      <c r="G66" s="54">
        <f t="array" ref="G66">IF(OR(ISBLANK(A66),C66),IFERROR(0/0,""),INDEX('RFR Data - preExcl'!AK$2:AK447,$R66,1))</f>
        <v>9</v>
      </c>
      <c r="H66" s="54">
        <f t="array" ref="H66">IF(OR(ISBLANK(A66),C66),IFERROR(0/0,""),INDEX('RFR Data - preExcl'!AL$2:AL447,$R66,1))</f>
        <v>0</v>
      </c>
      <c r="I66" s="54">
        <f>IFERROR(VLOOKUP($B66,'APS Tubes by Date IMPORT'!$B$2:$J447,2,FALSE),"")</f>
        <v>9</v>
      </c>
      <c r="J66" s="54" t="b">
        <f>IFERROR(VLOOKUP($B66,'APS Tubes by Date IMPORT'!$B$2:$J447,9,FALSE),"")</f>
        <v>1</v>
      </c>
      <c r="K66" s="54">
        <f>IFNA(VLOOKUP($B66,'APS Tubes by Date IMPORT'!$B$2:$J447,6,FALSE),"")</f>
        <v>0</v>
      </c>
      <c r="L66" s="74">
        <f t="shared" si="4"/>
        <v>9</v>
      </c>
      <c r="M66" s="54">
        <v>0.0</v>
      </c>
      <c r="N66" s="86">
        <v>0.0</v>
      </c>
      <c r="O66" s="76" t="b">
        <f t="shared" si="66"/>
        <v>1</v>
      </c>
      <c r="P66" s="77" t="str">
        <f>IF(ISBLANK(N66),IFERROR(0/0,""),IFERROR(VLOOKUP(N66, 'Process Ref'!$A$76:$D$124, 2, FALSE), IFERROR(0/0,"")))</f>
        <v>ALL 3 COUNTS SAME meaning APS Collect = APS Result = RFR</v>
      </c>
      <c r="Q66" s="77"/>
      <c r="R66" s="78">
        <f>IFNA(MATCH(A66,'RFR Data - preExcl'!A$2:A447,0),"")</f>
        <v>94</v>
      </c>
      <c r="S66" s="43"/>
      <c r="T66" s="18" t="str">
        <f>IF(EXACT('RFR Data - preExcl'!W66,"Initial"),'RFR Data - preExcl'!A66,IFERROR(0/0,""))</f>
        <v/>
      </c>
      <c r="U66" s="18" t="str">
        <f>IF(EXACT('RFR Data - preExcl'!W66,"Initial"),'RFR Data - preExcl'!U66,IFERROR(0/0,""))</f>
        <v/>
      </c>
      <c r="X66" s="43"/>
      <c r="Y66" s="84" t="str">
        <f>IFERROR(__xludf.DUMMYFUNCTION("""COMPUTED_VALUE"""),"RUN-ABRM_2023-03-23_RFR-192_Re-run")</f>
        <v>RUN-ABRM_2023-03-23_RFR-192_Re-run</v>
      </c>
      <c r="Z66" s="82">
        <f>IFERROR(__xludf.DUMMYFUNCTION("""COMPUTED_VALUE"""),45008.52463513889)</f>
        <v>45008.52464</v>
      </c>
      <c r="AA66" s="83">
        <f>VLOOKUP($Y66,'RFR Data - preExcl'!$A$2:$AK447,29,FALSE)</f>
        <v>3</v>
      </c>
      <c r="AB66" s="83">
        <f>VLOOKUP($Y66,'RFR Data - preExcl'!$A$2:$AK447,37,FALSE)</f>
        <v>1</v>
      </c>
      <c r="AC66" s="70"/>
      <c r="AF66" s="70"/>
      <c r="AG66" s="74">
        <v>9.0</v>
      </c>
      <c r="AH66" s="54">
        <v>0.0</v>
      </c>
      <c r="AI66" s="86">
        <v>0.0</v>
      </c>
      <c r="AJ66" s="18" t="str">
        <f t="shared" ref="AJ66:AL66" si="72">IF(AG66=L66,IFERROR(0/0,""),FALSE)</f>
        <v/>
      </c>
      <c r="AK66" s="18" t="str">
        <f t="shared" si="72"/>
        <v/>
      </c>
      <c r="AL66" s="18" t="str">
        <f t="shared" si="72"/>
        <v/>
      </c>
      <c r="AM66" s="43"/>
    </row>
    <row r="67">
      <c r="A67" s="7" t="s">
        <v>93</v>
      </c>
      <c r="B67" s="12">
        <v>44896.0</v>
      </c>
      <c r="C67" s="73" t="str">
        <f t="shared" si="3"/>
        <v/>
      </c>
      <c r="D67" s="54">
        <f t="array" ref="D67">IF(OR(ISBLANK($A67),$C67),IFERROR(0/0,""),INDEX('RFR Data - preExcl'!E$2:E447,$R67,1))</f>
        <v>9</v>
      </c>
      <c r="E67" s="54">
        <f t="array" ref="E67">IF(OR(ISBLANK($A67),$C67),IFERROR(0/0,""),INDEX('RFR Data - preExcl'!Z$2:Z447,$R67,1))</f>
        <v>9</v>
      </c>
      <c r="F67" s="54">
        <f t="array" ref="F67">IF(OR(ISBLANK(A67),C67),IFERROR(0/0,""),INDEX('RFR Data - preExcl'!AC$2:AC447,$R67,1))</f>
        <v>7</v>
      </c>
      <c r="G67" s="54">
        <f t="array" ref="G67">IF(OR(ISBLANK(A67),C67),IFERROR(0/0,""),INDEX('RFR Data - preExcl'!AK$2:AK447,$R67,1))</f>
        <v>7</v>
      </c>
      <c r="H67" s="54">
        <f t="array" ref="H67">IF(OR(ISBLANK(A67),C67),IFERROR(0/0,""),INDEX('RFR Data - preExcl'!AL$2:AL447,$R67,1))</f>
        <v>1.1</v>
      </c>
      <c r="I67" s="54">
        <f>IFERROR(VLOOKUP($B67,'APS Tubes by Date IMPORT'!$B$2:$J447,2,FALSE),"")</f>
        <v>7</v>
      </c>
      <c r="J67" s="54" t="b">
        <f>IFERROR(VLOOKUP($B67,'APS Tubes by Date IMPORT'!$B$2:$J447,9,FALSE),"")</f>
        <v>1</v>
      </c>
      <c r="K67" s="54">
        <f>IFNA(VLOOKUP($B67,'APS Tubes by Date IMPORT'!$B$2:$J447,6,FALSE),"")</f>
        <v>0</v>
      </c>
      <c r="L67" s="74">
        <f t="shared" si="4"/>
        <v>7</v>
      </c>
      <c r="M67" s="54">
        <v>0.0</v>
      </c>
      <c r="N67" s="86">
        <v>0.0</v>
      </c>
      <c r="O67" s="76" t="b">
        <f t="shared" si="66"/>
        <v>1</v>
      </c>
      <c r="P67" s="77" t="str">
        <f>IF(ISBLANK(N67),IFERROR(0/0,""),IFERROR(VLOOKUP(N67, 'Process Ref'!$A$76:$D$124, 2, FALSE), IFERROR(0/0,"")))</f>
        <v>ALL 3 COUNTS SAME meaning APS Collect = APS Result = RFR</v>
      </c>
      <c r="Q67" s="77"/>
      <c r="R67" s="78">
        <f>IFNA(MATCH(A67,'RFR Data - preExcl'!A$2:A447,0),"")</f>
        <v>95</v>
      </c>
      <c r="S67" s="43"/>
      <c r="T67" s="18" t="str">
        <f>IF(EXACT('RFR Data - preExcl'!W67,"Initial"),'RFR Data - preExcl'!A67,IFERROR(0/0,""))</f>
        <v>RUN-ABRM_2022-11-07_RFR-066</v>
      </c>
      <c r="U67" s="79">
        <f>IF(EXACT('RFR Data - preExcl'!W67,"Initial"),'RFR Data - preExcl'!U67,IFERROR(0/0,""))</f>
        <v>44872</v>
      </c>
      <c r="X67" s="43"/>
      <c r="Y67" s="84" t="str">
        <f>IFERROR(__xludf.DUMMYFUNCTION("""COMPUTED_VALUE"""),"RUN-ABRM_2023-03-30_RFR-198_Re-run")</f>
        <v>RUN-ABRM_2023-03-30_RFR-198_Re-run</v>
      </c>
      <c r="Z67" s="82">
        <f>IFERROR(__xludf.DUMMYFUNCTION("""COMPUTED_VALUE"""),45016.4315965625)</f>
        <v>45016.4316</v>
      </c>
      <c r="AA67" s="83">
        <f>VLOOKUP($Y67,'RFR Data - preExcl'!$A$2:$AK447,29,FALSE)</f>
        <v>3</v>
      </c>
      <c r="AB67" s="83">
        <f>VLOOKUP($Y67,'RFR Data - preExcl'!$A$2:$AK447,37,FALSE)</f>
        <v>1</v>
      </c>
      <c r="AC67" s="70"/>
      <c r="AF67" s="70"/>
      <c r="AG67" s="74">
        <v>7.0</v>
      </c>
      <c r="AH67" s="54">
        <v>0.0</v>
      </c>
      <c r="AI67" s="86">
        <v>0.0</v>
      </c>
      <c r="AJ67" s="18" t="str">
        <f t="shared" ref="AJ67:AL67" si="73">IF(AG67=L67,IFERROR(0/0,""),FALSE)</f>
        <v/>
      </c>
      <c r="AK67" s="18" t="str">
        <f t="shared" si="73"/>
        <v/>
      </c>
      <c r="AL67" s="18" t="str">
        <f t="shared" si="73"/>
        <v/>
      </c>
      <c r="AM67" s="43"/>
    </row>
    <row r="68">
      <c r="A68" s="7" t="s">
        <v>94</v>
      </c>
      <c r="B68" s="12">
        <v>44897.0</v>
      </c>
      <c r="C68" s="73" t="str">
        <f t="shared" si="3"/>
        <v/>
      </c>
      <c r="D68" s="54">
        <f t="array" ref="D68">IF(OR(ISBLANK($A68),$C68),IFERROR(0/0,""),INDEX('RFR Data - preExcl'!E$2:E447,$R68,1))</f>
        <v>8</v>
      </c>
      <c r="E68" s="54">
        <f t="array" ref="E68">IF(OR(ISBLANK($A68),$C68),IFERROR(0/0,""),INDEX('RFR Data - preExcl'!Z$2:Z447,$R68,1))</f>
        <v>8</v>
      </c>
      <c r="F68" s="54">
        <f t="array" ref="F68">IF(OR(ISBLANK(A68),C68),IFERROR(0/0,""),INDEX('RFR Data - preExcl'!AC$2:AC447,$R68,1))</f>
        <v>6</v>
      </c>
      <c r="G68" s="54">
        <f t="array" ref="G68">IF(OR(ISBLANK(A68),C68),IFERROR(0/0,""),INDEX('RFR Data - preExcl'!AK$2:AK447,$R68,1))</f>
        <v>6</v>
      </c>
      <c r="H68" s="54">
        <f t="array" ref="H68">IF(OR(ISBLANK(A68),C68),IFERROR(0/0,""),INDEX('RFR Data - preExcl'!AL$2:AL447,$R68,1))</f>
        <v>0</v>
      </c>
      <c r="I68" s="54">
        <f>IFERROR(VLOOKUP($B68,'APS Tubes by Date IMPORT'!$B$2:$J447,2,FALSE),"")</f>
        <v>6</v>
      </c>
      <c r="J68" s="54" t="str">
        <f>IFERROR(VLOOKUP($B68,'APS Tubes by Date IMPORT'!$B$2:$J447,9,FALSE),"")</f>
        <v/>
      </c>
      <c r="K68" s="54">
        <f>IFNA(VLOOKUP($B68,'APS Tubes by Date IMPORT'!$B$2:$J447,6,FALSE),"")</f>
        <v>0</v>
      </c>
      <c r="L68" s="74">
        <f t="shared" si="4"/>
        <v>6</v>
      </c>
      <c r="M68" s="54">
        <v>0.0</v>
      </c>
      <c r="N68" s="86">
        <v>1.0</v>
      </c>
      <c r="O68" s="76" t="b">
        <f t="shared" si="66"/>
        <v>1</v>
      </c>
      <c r="P68" s="77" t="str">
        <f>IF(ISBLANK(N68),IFERROR(0/0,""),IFERROR(VLOOKUP(N68, 'Process Ref'!$A$76:$D$124, 2, FALSE), IFERROR(0/0,"")))</f>
        <v>Use APS Collect = RFR (diff APS Result count but nets out)</v>
      </c>
      <c r="Q68" s="77"/>
      <c r="R68" s="78">
        <f>IFNA(MATCH(A68,'RFR Data - preExcl'!A$2:A447,0),"")</f>
        <v>97</v>
      </c>
      <c r="S68" s="43"/>
      <c r="T68" s="18" t="str">
        <f>IF(EXACT('RFR Data - preExcl'!W68,"Initial"),'RFR Data - preExcl'!A68,IFERROR(0/0,""))</f>
        <v/>
      </c>
      <c r="U68" s="18" t="str">
        <f>IF(EXACT('RFR Data - preExcl'!W68,"Initial"),'RFR Data - preExcl'!U68,IFERROR(0/0,""))</f>
        <v/>
      </c>
      <c r="X68" s="43"/>
      <c r="Y68" s="84" t="str">
        <f>IFERROR(__xludf.DUMMYFUNCTION("""COMPUTED_VALUE"""),"RUN-ABRM_2023-04-04_RFR-202_Re-run")</f>
        <v>RUN-ABRM_2023-04-04_RFR-202_Re-run</v>
      </c>
      <c r="Z68" s="82">
        <f>IFERROR(__xludf.DUMMYFUNCTION("""COMPUTED_VALUE"""),45020.43052422453)</f>
        <v>45020.43052</v>
      </c>
      <c r="AA68" s="83">
        <f>VLOOKUP($Y68,'RFR Data - preExcl'!$A$2:$AK447,29,FALSE)</f>
        <v>3</v>
      </c>
      <c r="AB68" s="83">
        <f>VLOOKUP($Y68,'RFR Data - preExcl'!$A$2:$AK447,37,FALSE)</f>
        <v>1</v>
      </c>
      <c r="AC68" s="70"/>
      <c r="AF68" s="70"/>
      <c r="AG68" s="74">
        <v>6.0</v>
      </c>
      <c r="AH68" s="54">
        <v>0.0</v>
      </c>
      <c r="AI68" s="86">
        <v>1.0</v>
      </c>
      <c r="AJ68" s="18" t="str">
        <f t="shared" ref="AJ68:AL68" si="74">IF(AG68=L68,IFERROR(0/0,""),FALSE)</f>
        <v/>
      </c>
      <c r="AK68" s="18" t="str">
        <f t="shared" si="74"/>
        <v/>
      </c>
      <c r="AL68" s="18" t="str">
        <f t="shared" si="74"/>
        <v/>
      </c>
      <c r="AM68" s="43"/>
    </row>
    <row r="69">
      <c r="A69" s="7" t="s">
        <v>95</v>
      </c>
      <c r="B69" s="12">
        <v>44900.0</v>
      </c>
      <c r="C69" s="73" t="str">
        <f t="shared" si="3"/>
        <v/>
      </c>
      <c r="D69" s="54">
        <f t="array" ref="D69">IF(OR(ISBLANK($A69),$C69),IFERROR(0/0,""),INDEX('RFR Data - preExcl'!E$2:E447,$R69,1))</f>
        <v>10</v>
      </c>
      <c r="E69" s="54">
        <f t="array" ref="E69">IF(OR(ISBLANK($A69),$C69),IFERROR(0/0,""),INDEX('RFR Data - preExcl'!Z$2:Z447,$R69,1))</f>
        <v>10</v>
      </c>
      <c r="F69" s="54">
        <f t="array" ref="F69">IF(OR(ISBLANK(A69),C69),IFERROR(0/0,""),INDEX('RFR Data - preExcl'!AC$2:AC447,$R69,1))</f>
        <v>8</v>
      </c>
      <c r="G69" s="54">
        <f t="array" ref="G69">IF(OR(ISBLANK(A69),C69),IFERROR(0/0,""),INDEX('RFR Data - preExcl'!AK$2:AK447,$R69,1))</f>
        <v>8</v>
      </c>
      <c r="H69" s="54">
        <f t="array" ref="H69">IF(OR(ISBLANK(A69),C69),IFERROR(0/0,""),INDEX('RFR Data - preExcl'!AL$2:AL447,$R69,1))</f>
        <v>0</v>
      </c>
      <c r="I69" s="54">
        <f>IFERROR(VLOOKUP($B69,'APS Tubes by Date IMPORT'!$B$2:$J447,2,FALSE),"")</f>
        <v>8</v>
      </c>
      <c r="J69" s="54" t="b">
        <f>IFERROR(VLOOKUP($B69,'APS Tubes by Date IMPORT'!$B$2:$J447,9,FALSE),"")</f>
        <v>1</v>
      </c>
      <c r="K69" s="54">
        <f>IFNA(VLOOKUP($B69,'APS Tubes by Date IMPORT'!$B$2:$J447,6,FALSE),"")</f>
        <v>0</v>
      </c>
      <c r="L69" s="74">
        <f t="shared" si="4"/>
        <v>8</v>
      </c>
      <c r="M69" s="54">
        <v>0.0</v>
      </c>
      <c r="N69" s="86">
        <v>3.0</v>
      </c>
      <c r="O69" s="76" t="b">
        <f t="shared" si="66"/>
        <v>1</v>
      </c>
      <c r="P69" s="77" t="str">
        <f>IF(ISBLANK(N69),IFERROR(0/0,""),IFERROR(VLOOKUP(N69, 'Process Ref'!$A$76:$D$124, 2, FALSE), IFERROR(0/0,"")))</f>
        <v>ALL 3 COUNTS SAME after Null deleted</v>
      </c>
      <c r="Q69" s="77" t="s">
        <v>232</v>
      </c>
      <c r="R69" s="78">
        <f>IFNA(MATCH(A69,'RFR Data - preExcl'!A$2:A447,0),"")</f>
        <v>98</v>
      </c>
      <c r="S69" s="43"/>
      <c r="T69" s="18" t="str">
        <f>IF(EXACT('RFR Data - preExcl'!W69,"Initial"),'RFR Data - preExcl'!A69,IFERROR(0/0,""))</f>
        <v>RUN-ABRM_2022-11-08_RFR-068</v>
      </c>
      <c r="U69" s="79">
        <f>IF(EXACT('RFR Data - preExcl'!W69,"Initial"),'RFR Data - preExcl'!U69,IFERROR(0/0,""))</f>
        <v>44873</v>
      </c>
      <c r="X69" s="43"/>
      <c r="Y69" s="84" t="str">
        <f>IFERROR(__xludf.DUMMYFUNCTION("""COMPUTED_VALUE"""),"RUN-ABRM_2023-04-06_RFR-205_Re-run")</f>
        <v>RUN-ABRM_2023-04-06_RFR-205_Re-run</v>
      </c>
      <c r="Z69" s="82">
        <f>IFERROR(__xludf.DUMMYFUNCTION("""COMPUTED_VALUE"""),45022.42334487269)</f>
        <v>45022.42334</v>
      </c>
      <c r="AA69" s="83">
        <f>VLOOKUP($Y69,'RFR Data - preExcl'!$A$2:$AK447,29,FALSE)</f>
        <v>3</v>
      </c>
      <c r="AB69" s="83">
        <f>VLOOKUP($Y69,'RFR Data - preExcl'!$A$2:$AK447,37,FALSE)</f>
        <v>1</v>
      </c>
      <c r="AC69" s="70"/>
      <c r="AF69" s="70"/>
      <c r="AG69" s="74">
        <v>8.0</v>
      </c>
      <c r="AH69" s="54">
        <v>0.0</v>
      </c>
      <c r="AI69" s="86">
        <v>3.0</v>
      </c>
      <c r="AJ69" s="18" t="str">
        <f t="shared" ref="AJ69:AL69" si="75">IF(AG69=L69,IFERROR(0/0,""),FALSE)</f>
        <v/>
      </c>
      <c r="AK69" s="18" t="str">
        <f t="shared" si="75"/>
        <v/>
      </c>
      <c r="AL69" s="18" t="str">
        <f t="shared" si="75"/>
        <v/>
      </c>
      <c r="AM69" s="43"/>
    </row>
    <row r="70">
      <c r="A70" s="7" t="s">
        <v>96</v>
      </c>
      <c r="B70" s="12">
        <v>44901.0</v>
      </c>
      <c r="C70" s="73" t="str">
        <f t="shared" si="3"/>
        <v/>
      </c>
      <c r="D70" s="54">
        <f t="array" ref="D70">IF(OR(ISBLANK($A70),$C70),IFERROR(0/0,""),INDEX('RFR Data - preExcl'!E$2:E447,$R70,1))</f>
        <v>10</v>
      </c>
      <c r="E70" s="54">
        <f t="array" ref="E70">IF(OR(ISBLANK($A70),$C70),IFERROR(0/0,""),INDEX('RFR Data - preExcl'!Z$2:Z447,$R70,1))</f>
        <v>10</v>
      </c>
      <c r="F70" s="54">
        <f t="array" ref="F70">IF(OR(ISBLANK(A70),C70),IFERROR(0/0,""),INDEX('RFR Data - preExcl'!AC$2:AC447,$R70,1))</f>
        <v>8</v>
      </c>
      <c r="G70" s="54">
        <f t="array" ref="G70">IF(OR(ISBLANK(A70),C70),IFERROR(0/0,""),INDEX('RFR Data - preExcl'!AK$2:AK447,$R70,1))</f>
        <v>8</v>
      </c>
      <c r="H70" s="54">
        <f t="array" ref="H70">IF(OR(ISBLANK(A70),C70),IFERROR(0/0,""),INDEX('RFR Data - preExcl'!AL$2:AL447,$R70,1))</f>
        <v>0</v>
      </c>
      <c r="I70" s="54">
        <f>IFERROR(VLOOKUP($B70,'APS Tubes by Date IMPORT'!$B$2:$J447,2,FALSE),"")</f>
        <v>8</v>
      </c>
      <c r="J70" s="54" t="b">
        <f>IFERROR(VLOOKUP($B70,'APS Tubes by Date IMPORT'!$B$2:$J447,9,FALSE),"")</f>
        <v>1</v>
      </c>
      <c r="K70" s="54">
        <f>IFNA(VLOOKUP($B70,'APS Tubes by Date IMPORT'!$B$2:$J447,6,FALSE),"")</f>
        <v>0</v>
      </c>
      <c r="L70" s="74">
        <f t="shared" si="4"/>
        <v>8</v>
      </c>
      <c r="M70" s="54">
        <v>0.0</v>
      </c>
      <c r="N70" s="86">
        <v>3.0</v>
      </c>
      <c r="O70" s="76" t="b">
        <f t="shared" si="66"/>
        <v>1</v>
      </c>
      <c r="P70" s="77" t="str">
        <f>IF(ISBLANK(N70),IFERROR(0/0,""),IFERROR(VLOOKUP(N70, 'Process Ref'!$A$76:$D$124, 2, FALSE), IFERROR(0/0,"")))</f>
        <v>ALL 3 COUNTS SAME after Null deleted</v>
      </c>
      <c r="Q70" s="77" t="s">
        <v>232</v>
      </c>
      <c r="R70" s="78">
        <f>IFNA(MATCH(A70,'RFR Data - preExcl'!A$2:A447,0),"")</f>
        <v>99</v>
      </c>
      <c r="S70" s="43"/>
      <c r="T70" s="18" t="str">
        <f>IF(EXACT('RFR Data - preExcl'!W70,"Initial"),'RFR Data - preExcl'!A70,IFERROR(0/0,""))</f>
        <v>RUN-ABRM_2022-11-09_RFR-069</v>
      </c>
      <c r="U70" s="79">
        <f>IF(EXACT('RFR Data - preExcl'!W70,"Initial"),'RFR Data - preExcl'!U70,IFERROR(0/0,""))</f>
        <v>44874</v>
      </c>
      <c r="X70" s="43"/>
      <c r="Y70" s="84" t="str">
        <f>IFERROR(__xludf.DUMMYFUNCTION("""COMPUTED_VALUE"""),"RUN-ABRM_2023-04-11_RFR-209_Re-run")</f>
        <v>RUN-ABRM_2023-04-11_RFR-209_Re-run</v>
      </c>
      <c r="Z70" s="82">
        <f>IFERROR(__xludf.DUMMYFUNCTION("""COMPUTED_VALUE"""),45027.419922430556)</f>
        <v>45027.41992</v>
      </c>
      <c r="AA70" s="83">
        <f>VLOOKUP($Y70,'RFR Data - preExcl'!$A$2:$AK447,29,FALSE)</f>
        <v>6</v>
      </c>
      <c r="AB70" s="83">
        <f>VLOOKUP($Y70,'RFR Data - preExcl'!$A$2:$AK447,37,FALSE)</f>
        <v>2</v>
      </c>
      <c r="AC70" s="70"/>
      <c r="AF70" s="70"/>
      <c r="AG70" s="74">
        <v>8.0</v>
      </c>
      <c r="AH70" s="54">
        <v>0.0</v>
      </c>
      <c r="AI70" s="86">
        <v>3.0</v>
      </c>
      <c r="AJ70" s="18" t="str">
        <f t="shared" ref="AJ70:AL70" si="76">IF(AG70=L70,IFERROR(0/0,""),FALSE)</f>
        <v/>
      </c>
      <c r="AK70" s="18" t="str">
        <f t="shared" si="76"/>
        <v/>
      </c>
      <c r="AL70" s="18" t="str">
        <f t="shared" si="76"/>
        <v/>
      </c>
      <c r="AM70" s="43"/>
    </row>
    <row r="71">
      <c r="A71" s="7" t="s">
        <v>97</v>
      </c>
      <c r="B71" s="12">
        <v>44902.0</v>
      </c>
      <c r="C71" s="73" t="str">
        <f t="shared" si="3"/>
        <v/>
      </c>
      <c r="D71" s="54">
        <f t="array" ref="D71">IF(OR(ISBLANK($A71),$C71),IFERROR(0/0,""),INDEX('RFR Data - preExcl'!E$2:E447,$R71,1))</f>
        <v>10</v>
      </c>
      <c r="E71" s="54">
        <f t="array" ref="E71">IF(OR(ISBLANK($A71),$C71),IFERROR(0/0,""),INDEX('RFR Data - preExcl'!Z$2:Z447,$R71,1))</f>
        <v>10</v>
      </c>
      <c r="F71" s="54">
        <f t="array" ref="F71">IF(OR(ISBLANK(A71),C71),IFERROR(0/0,""),INDEX('RFR Data - preExcl'!AC$2:AC447,$R71,1))</f>
        <v>8</v>
      </c>
      <c r="G71" s="54">
        <f t="array" ref="G71">IF(OR(ISBLANK(A71),C71),IFERROR(0/0,""),INDEX('RFR Data - preExcl'!AK$2:AK447,$R71,1))</f>
        <v>8</v>
      </c>
      <c r="H71" s="54">
        <f t="array" ref="H71">IF(OR(ISBLANK(A71),C71),IFERROR(0/0,""),INDEX('RFR Data - preExcl'!AL$2:AL447,$R71,1))</f>
        <v>0</v>
      </c>
      <c r="I71" s="54">
        <f>IFERROR(VLOOKUP($B71,'APS Tubes by Date IMPORT'!$B$2:$J447,2,FALSE),"")</f>
        <v>8</v>
      </c>
      <c r="J71" s="54" t="b">
        <f>IFERROR(VLOOKUP($B71,'APS Tubes by Date IMPORT'!$B$2:$J447,9,FALSE),"")</f>
        <v>1</v>
      </c>
      <c r="K71" s="54">
        <f>IFNA(VLOOKUP($B71,'APS Tubes by Date IMPORT'!$B$2:$J447,6,FALSE),"")</f>
        <v>0</v>
      </c>
      <c r="L71" s="74">
        <f t="shared" si="4"/>
        <v>8</v>
      </c>
      <c r="M71" s="54">
        <v>0.0</v>
      </c>
      <c r="N71" s="85">
        <v>3.1</v>
      </c>
      <c r="O71" s="76" t="b">
        <f t="shared" si="66"/>
        <v>1</v>
      </c>
      <c r="P71" s="77" t="str">
        <f>IF(ISBLANK(N71),IFERROR(0/0,""),IFERROR(VLOOKUP(N71, 'Process Ref'!$A$76:$D$124, 2, FALSE), IFERROR(0/0,"")))</f>
        <v>Use APS Collect = RFR (diff APS Result count but nets out) after Null deleted</v>
      </c>
      <c r="Q71" s="77"/>
      <c r="R71" s="78">
        <f>IFNA(MATCH(A71,'RFR Data - preExcl'!A$2:A447,0),"")</f>
        <v>100</v>
      </c>
      <c r="S71" s="43"/>
      <c r="T71" s="18" t="str">
        <f>IF(EXACT('RFR Data - preExcl'!W71,"Initial"),'RFR Data - preExcl'!A71,IFERROR(0/0,""))</f>
        <v/>
      </c>
      <c r="U71" s="18" t="str">
        <f>IF(EXACT('RFR Data - preExcl'!W71,"Initial"),'RFR Data - preExcl'!U71,IFERROR(0/0,""))</f>
        <v/>
      </c>
      <c r="X71" s="43"/>
      <c r="Y71" s="84" t="str">
        <f>IFERROR(__xludf.DUMMYFUNCTION("""COMPUTED_VALUE"""),"RUN-ABRM_2023-04-12_RFR-210_Re-run")</f>
        <v>RUN-ABRM_2023-04-12_RFR-210_Re-run</v>
      </c>
      <c r="Z71" s="82">
        <f>IFERROR(__xludf.DUMMYFUNCTION("""COMPUTED_VALUE"""),45028.53137293982)</f>
        <v>45028.53137</v>
      </c>
      <c r="AA71" s="83">
        <f>VLOOKUP($Y71,'RFR Data - preExcl'!$A$2:$AK447,29,FALSE)</f>
        <v>4</v>
      </c>
      <c r="AB71" s="83">
        <f>VLOOKUP($Y71,'RFR Data - preExcl'!$A$2:$AK447,37,FALSE)</f>
        <v>3</v>
      </c>
      <c r="AC71" s="70"/>
      <c r="AF71" s="70"/>
      <c r="AG71" s="74">
        <v>8.0</v>
      </c>
      <c r="AH71" s="54">
        <v>0.0</v>
      </c>
      <c r="AI71" s="85">
        <v>3.1</v>
      </c>
      <c r="AJ71" s="18" t="str">
        <f t="shared" ref="AJ71:AL71" si="77">IF(AG71=L71,IFERROR(0/0,""),FALSE)</f>
        <v/>
      </c>
      <c r="AK71" s="18" t="str">
        <f t="shared" si="77"/>
        <v/>
      </c>
      <c r="AL71" s="18" t="str">
        <f t="shared" si="77"/>
        <v/>
      </c>
      <c r="AM71" s="43"/>
    </row>
    <row r="72">
      <c r="A72" s="7" t="s">
        <v>98</v>
      </c>
      <c r="B72" s="12">
        <v>44903.0</v>
      </c>
      <c r="C72" s="73" t="str">
        <f t="shared" si="3"/>
        <v/>
      </c>
      <c r="D72" s="54">
        <f t="array" ref="D72">IF(OR(ISBLANK($A72),$C72),IFERROR(0/0,""),INDEX('RFR Data - preExcl'!E$2:E447,$R72,1))</f>
        <v>9</v>
      </c>
      <c r="E72" s="54">
        <f t="array" ref="E72">IF(OR(ISBLANK($A72),$C72),IFERROR(0/0,""),INDEX('RFR Data - preExcl'!Z$2:Z447,$R72,1))</f>
        <v>9</v>
      </c>
      <c r="F72" s="54">
        <f t="array" ref="F72">IF(OR(ISBLANK(A72),C72),IFERROR(0/0,""),INDEX('RFR Data - preExcl'!AC$2:AC447,$R72,1))</f>
        <v>7</v>
      </c>
      <c r="G72" s="54">
        <f t="array" ref="G72">IF(OR(ISBLANK(A72),C72),IFERROR(0/0,""),INDEX('RFR Data - preExcl'!AK$2:AK447,$R72,1))</f>
        <v>7</v>
      </c>
      <c r="H72" s="54">
        <f t="array" ref="H72">IF(OR(ISBLANK(A72),C72),IFERROR(0/0,""),INDEX('RFR Data - preExcl'!AL$2:AL447,$R72,1))</f>
        <v>4</v>
      </c>
      <c r="I72" s="54">
        <f>IFERROR(VLOOKUP($B72,'APS Tubes by Date IMPORT'!$B$2:$J447,2,FALSE),"")</f>
        <v>7</v>
      </c>
      <c r="J72" s="54" t="b">
        <f>IFERROR(VLOOKUP($B72,'APS Tubes by Date IMPORT'!$B$2:$J447,9,FALSE),"")</f>
        <v>1</v>
      </c>
      <c r="K72" s="54">
        <f>IFNA(VLOOKUP($B72,'APS Tubes by Date IMPORT'!$B$2:$J447,6,FALSE),"")</f>
        <v>0</v>
      </c>
      <c r="L72" s="74">
        <f t="shared" si="4"/>
        <v>7</v>
      </c>
      <c r="M72" s="54">
        <v>0.0</v>
      </c>
      <c r="N72" s="86">
        <v>0.0</v>
      </c>
      <c r="O72" s="76" t="b">
        <f t="shared" si="66"/>
        <v>1</v>
      </c>
      <c r="P72" s="77" t="str">
        <f>IF(ISBLANK(N72),IFERROR(0/0,""),IFERROR(VLOOKUP(N72, 'Process Ref'!$A$76:$D$124, 2, FALSE), IFERROR(0/0,"")))</f>
        <v>ALL 3 COUNTS SAME meaning APS Collect = APS Result = RFR</v>
      </c>
      <c r="Q72" s="77"/>
      <c r="R72" s="78">
        <f>IFNA(MATCH(A72,'RFR Data - preExcl'!A$2:A447,0),"")</f>
        <v>101</v>
      </c>
      <c r="S72" s="43"/>
      <c r="T72" s="18" t="str">
        <f>IF(EXACT('RFR Data - preExcl'!W72,"Initial"),'RFR Data - preExcl'!A72,IFERROR(0/0,""))</f>
        <v/>
      </c>
      <c r="U72" s="18" t="str">
        <f>IF(EXACT('RFR Data - preExcl'!W72,"Initial"),'RFR Data - preExcl'!U72,IFERROR(0/0,""))</f>
        <v/>
      </c>
      <c r="X72" s="43"/>
      <c r="Y72" s="84" t="str">
        <f>IFERROR(__xludf.DUMMYFUNCTION("""COMPUTED_VALUE"""),"RUN-ABRM_2023-04-13_RFR-211_Re-run")</f>
        <v>RUN-ABRM_2023-04-13_RFR-211_Re-run</v>
      </c>
      <c r="Z72" s="82">
        <f>IFERROR(__xludf.DUMMYFUNCTION("""COMPUTED_VALUE"""),45029.43094289352)</f>
        <v>45029.43094</v>
      </c>
      <c r="AA72" s="83">
        <f>VLOOKUP($Y72,'RFR Data - preExcl'!$A$2:$AK447,29,FALSE)</f>
        <v>3</v>
      </c>
      <c r="AB72" s="83">
        <f>VLOOKUP($Y72,'RFR Data - preExcl'!$A$2:$AK447,37,FALSE)</f>
        <v>3</v>
      </c>
      <c r="AC72" s="70"/>
      <c r="AF72" s="70"/>
      <c r="AG72" s="74">
        <v>7.0</v>
      </c>
      <c r="AH72" s="54">
        <v>0.0</v>
      </c>
      <c r="AI72" s="86">
        <v>0.0</v>
      </c>
      <c r="AJ72" s="18" t="str">
        <f t="shared" ref="AJ72:AL72" si="78">IF(AG72=L72,IFERROR(0/0,""),FALSE)</f>
        <v/>
      </c>
      <c r="AK72" s="18" t="str">
        <f t="shared" si="78"/>
        <v/>
      </c>
      <c r="AL72" s="18" t="str">
        <f t="shared" si="78"/>
        <v/>
      </c>
      <c r="AM72" s="43"/>
    </row>
    <row r="73">
      <c r="A73" s="102" t="s">
        <v>99</v>
      </c>
      <c r="B73" s="103">
        <v>44904.0</v>
      </c>
      <c r="C73" s="73" t="str">
        <f t="shared" si="3"/>
        <v/>
      </c>
      <c r="D73" s="54">
        <f t="array" ref="D73">IF(OR(ISBLANK($A73),$C73),IFERROR(0/0,""),INDEX('RFR Data - preExcl'!E$2:E447,$R73,1))</f>
        <v>8</v>
      </c>
      <c r="E73" s="54" t="str">
        <f t="array" ref="E73">IF(OR(ISBLANK($A73),$C73),IFERROR(0/0,""),INDEX('RFR Data - preExcl'!Z$2:Z447,$R73,1))</f>
        <v/>
      </c>
      <c r="F73" s="54">
        <f t="array" ref="F73">IF(OR(ISBLANK(A73),C73),IFERROR(0/0,""),INDEX('RFR Data - preExcl'!AC$2:AC447,$R73,1))</f>
        <v>6</v>
      </c>
      <c r="G73" s="54">
        <f t="array" ref="G73">IF(OR(ISBLANK(A73),C73),IFERROR(0/0,""),INDEX('RFR Data - preExcl'!AK$2:AK447,$R73,1))</f>
        <v>6</v>
      </c>
      <c r="H73" s="54">
        <f t="array" ref="H73">IF(OR(ISBLANK(A73),C73),IFERROR(0/0,""),INDEX('RFR Data - preExcl'!AL$2:AL447,$R73,1))</f>
        <v>0</v>
      </c>
      <c r="I73" s="54">
        <f>IFERROR(VLOOKUP($B73,'APS Tubes by Date IMPORT'!$B$2:$J447,2,FALSE),"")</f>
        <v>5</v>
      </c>
      <c r="J73" s="54" t="str">
        <f>IFERROR(VLOOKUP($B73,'APS Tubes by Date IMPORT'!$B$2:$J447,9,FALSE),"")</f>
        <v/>
      </c>
      <c r="K73" s="54">
        <f>IFNA(VLOOKUP($B73,'APS Tubes by Date IMPORT'!$B$2:$J447,6,FALSE),"")</f>
        <v>0</v>
      </c>
      <c r="L73" s="74">
        <f t="shared" si="4"/>
        <v>6</v>
      </c>
      <c r="M73" s="54">
        <v>1.0</v>
      </c>
      <c r="N73" s="100">
        <v>7.1</v>
      </c>
      <c r="O73" s="76" t="b">
        <f t="shared" si="66"/>
        <v>1</v>
      </c>
      <c r="P73" s="77" t="str">
        <f>IF(ISBLANK(N73),IFERROR(0/0,""),IFERROR(VLOOKUP(N73, 'Process Ref'!$A$76:$D$124, 2, FALSE), IFERROR(0/0,"")))</f>
        <v>Use Audit RFR - all tubes assigned to 2nd initial run of day but with Extra tubes in RFR not in Appivo</v>
      </c>
      <c r="Q73" s="55" t="s">
        <v>240</v>
      </c>
      <c r="R73" s="78">
        <f>IFNA(MATCH(A73,'RFR Data - preExcl'!A$2:A447,0),"")</f>
        <v>104</v>
      </c>
      <c r="S73" s="43"/>
      <c r="T73" s="18" t="str">
        <f>IF(EXACT('RFR Data - preExcl'!W73,"Initial"),'RFR Data - preExcl'!A73,IFERROR(0/0,""))</f>
        <v>RUN-ABRM_2022-11-10_RFR-072</v>
      </c>
      <c r="U73" s="79">
        <f>IF(EXACT('RFR Data - preExcl'!W73,"Initial"),'RFR Data - preExcl'!U73,IFERROR(0/0,""))</f>
        <v>44875</v>
      </c>
      <c r="X73" s="43"/>
      <c r="Y73" s="84" t="str">
        <f>IFERROR(__xludf.DUMMYFUNCTION("""COMPUTED_VALUE"""),"RUN-ABRM_2023-04-21_RFR-218_Re-run")</f>
        <v>RUN-ABRM_2023-04-21_RFR-218_Re-run</v>
      </c>
      <c r="Z73" s="82">
        <f>IFERROR(__xludf.DUMMYFUNCTION("""COMPUTED_VALUE"""),45037.42862826389)</f>
        <v>45037.42863</v>
      </c>
      <c r="AA73" s="83">
        <f>VLOOKUP($Y73,'RFR Data - preExcl'!$A$2:$AK447,29,FALSE)</f>
        <v>3</v>
      </c>
      <c r="AB73" s="83">
        <f>VLOOKUP($Y73,'RFR Data - preExcl'!$A$2:$AK447,37,FALSE)</f>
        <v>1</v>
      </c>
      <c r="AC73" s="70"/>
      <c r="AF73" s="70"/>
      <c r="AG73" s="74">
        <v>6.0</v>
      </c>
      <c r="AH73" s="54">
        <v>1.0</v>
      </c>
      <c r="AI73" s="100">
        <v>7.1</v>
      </c>
      <c r="AJ73" s="18" t="str">
        <f t="shared" ref="AJ73:AL73" si="79">IF(AG73=L73,IFERROR(0/0,""),FALSE)</f>
        <v/>
      </c>
      <c r="AK73" s="18" t="str">
        <f t="shared" si="79"/>
        <v/>
      </c>
      <c r="AL73" s="18" t="str">
        <f t="shared" si="79"/>
        <v/>
      </c>
      <c r="AM73" s="43"/>
    </row>
    <row r="74">
      <c r="A74" s="102" t="s">
        <v>100</v>
      </c>
      <c r="B74" s="103">
        <v>44907.0</v>
      </c>
      <c r="C74" s="73" t="str">
        <f t="shared" si="3"/>
        <v/>
      </c>
      <c r="D74" s="54">
        <f t="array" ref="D74">IF(OR(ISBLANK($A74),$C74),IFERROR(0/0,""),INDEX('RFR Data - preExcl'!E$2:E447,$R74,1))</f>
        <v>5</v>
      </c>
      <c r="E74" s="54">
        <f t="array" ref="E74">IF(OR(ISBLANK($A74),$C74),IFERROR(0/0,""),INDEX('RFR Data - preExcl'!Z$2:Z447,$R74,1))</f>
        <v>5</v>
      </c>
      <c r="F74" s="54">
        <f t="array" ref="F74">IF(OR(ISBLANK(A74),C74),IFERROR(0/0,""),INDEX('RFR Data - preExcl'!AC$2:AC447,$R74,1))</f>
        <v>3</v>
      </c>
      <c r="G74" s="54">
        <f t="array" ref="G74">IF(OR(ISBLANK(A74),C74),IFERROR(0/0,""),INDEX('RFR Data - preExcl'!AK$2:AK447,$R74,1))</f>
        <v>3</v>
      </c>
      <c r="H74" s="54">
        <f t="array" ref="H74">IF(OR(ISBLANK(A74),C74),IFERROR(0/0,""),INDEX('RFR Data - preExcl'!AL$2:AL447,$R74,1))</f>
        <v>1.1</v>
      </c>
      <c r="I74" s="98">
        <f>IFERROR(VLOOKUP($B74,'APS Tubes by Date IMPORT'!$B$2:$J447,2,FALSE),"")</f>
        <v>5</v>
      </c>
      <c r="J74" s="54" t="b">
        <f>IFERROR(VLOOKUP($B74,'APS Tubes by Date IMPORT'!$B$2:$J447,9,FALSE),"")</f>
        <v>1</v>
      </c>
      <c r="K74" s="54">
        <f>IFNA(VLOOKUP($B74,'APS Tubes by Date IMPORT'!$B$2:$J447,6,FALSE),"")</f>
        <v>0</v>
      </c>
      <c r="L74" s="99">
        <f t="shared" si="4"/>
        <v>3</v>
      </c>
      <c r="M74" s="54">
        <v>0.0</v>
      </c>
      <c r="N74" s="100">
        <v>5.0</v>
      </c>
      <c r="O74" s="91"/>
      <c r="P74" s="77" t="str">
        <f>IF(ISBLANK(N74),IFERROR(0/0,""),IFERROR(VLOOKUP(N74, 'Process Ref'!$A$76:$D$124, 2, FALSE), IFERROR(0/0,"")))</f>
        <v>Multiple Initial runs on same day - final count is sum of RFR Audit = APS Collect</v>
      </c>
      <c r="Q74" s="55" t="s">
        <v>241</v>
      </c>
      <c r="R74" s="78">
        <f>IFNA(MATCH(A74,'RFR Data - preExcl'!A$2:A447,0),"")</f>
        <v>105</v>
      </c>
      <c r="S74" s="43"/>
      <c r="T74" s="18" t="str">
        <f>IF(EXACT('RFR Data - preExcl'!W74,"Initial"),'RFR Data - preExcl'!A74,IFERROR(0/0,""))</f>
        <v>RUN-ABRM_2022-11-11_RFR-073</v>
      </c>
      <c r="U74" s="79">
        <f>IF(EXACT('RFR Data - preExcl'!W74,"Initial"),'RFR Data - preExcl'!U74,IFERROR(0/0,""))</f>
        <v>44876</v>
      </c>
      <c r="X74" s="43"/>
      <c r="Y74" s="84" t="str">
        <f>IFERROR(__xludf.DUMMYFUNCTION("""COMPUTED_VALUE"""),"RUN-ABRM_2023-04-24_RFR-220_Re-run")</f>
        <v>RUN-ABRM_2023-04-24_RFR-220_Re-run</v>
      </c>
      <c r="Z74" s="82">
        <f>IFERROR(__xludf.DUMMYFUNCTION("""COMPUTED_VALUE"""),45040.416893622685)</f>
        <v>45040.41689</v>
      </c>
      <c r="AA74" s="83">
        <f>VLOOKUP($Y74,'RFR Data - preExcl'!$A$2:$AK447,29,FALSE)</f>
        <v>3</v>
      </c>
      <c r="AB74" s="83">
        <f>VLOOKUP($Y74,'RFR Data - preExcl'!$A$2:$AK447,37,FALSE)</f>
        <v>1</v>
      </c>
      <c r="AC74" s="70"/>
      <c r="AF74" s="70"/>
      <c r="AG74" s="101">
        <v>3.0</v>
      </c>
      <c r="AH74" s="54">
        <v>0.0</v>
      </c>
      <c r="AI74" s="100">
        <v>5.0</v>
      </c>
      <c r="AJ74" s="18" t="str">
        <f t="shared" ref="AJ74:AL74" si="80">IF(AG74=L74,IFERROR(0/0,""),FALSE)</f>
        <v/>
      </c>
      <c r="AK74" s="18" t="str">
        <f t="shared" si="80"/>
        <v/>
      </c>
      <c r="AL74" s="18" t="str">
        <f t="shared" si="80"/>
        <v/>
      </c>
      <c r="AM74" s="43"/>
    </row>
    <row r="75">
      <c r="A75" s="102" t="s">
        <v>101</v>
      </c>
      <c r="B75" s="103">
        <v>44907.0</v>
      </c>
      <c r="C75" s="73" t="str">
        <f t="shared" si="3"/>
        <v/>
      </c>
      <c r="D75" s="54">
        <f t="array" ref="D75">IF(OR(ISBLANK($A75),$C75),IFERROR(0/0,""),INDEX('RFR Data - preExcl'!E$2:E447,$R75,1))</f>
        <v>8</v>
      </c>
      <c r="E75" s="54">
        <f t="array" ref="E75">IF(OR(ISBLANK($A75),$C75),IFERROR(0/0,""),INDEX('RFR Data - preExcl'!Z$2:Z447,$R75,1))</f>
        <v>8</v>
      </c>
      <c r="F75" s="54">
        <f t="array" ref="F75">IF(OR(ISBLANK(A75),C75),IFERROR(0/0,""),INDEX('RFR Data - preExcl'!AC$2:AC447,$R75,1))</f>
        <v>6</v>
      </c>
      <c r="G75" s="54">
        <f t="array" ref="G75">IF(OR(ISBLANK(A75),C75),IFERROR(0/0,""),INDEX('RFR Data - preExcl'!AK$2:AK447,$R75,1))</f>
        <v>2</v>
      </c>
      <c r="H75" s="54">
        <f t="array" ref="H75">IF(OR(ISBLANK(A75),C75),IFERROR(0/0,""),INDEX('RFR Data - preExcl'!AL$2:AL447,$R75,1))</f>
        <v>0</v>
      </c>
      <c r="I75" s="54"/>
      <c r="J75" s="54" t="b">
        <f>IFERROR(VLOOKUP($B75,'APS Tubes by Date IMPORT'!$B$2:$J447,9,FALSE),"")</f>
        <v>1</v>
      </c>
      <c r="K75" s="54">
        <f>IFNA(VLOOKUP($B75,'APS Tubes by Date IMPORT'!$B$2:$J447,6,FALSE),"")</f>
        <v>0</v>
      </c>
      <c r="L75" s="104">
        <f t="shared" si="4"/>
        <v>2</v>
      </c>
      <c r="M75" s="54"/>
      <c r="N75" s="100">
        <v>5.0</v>
      </c>
      <c r="O75" s="91" t="str">
        <f t="shared" ref="O75:O77" si="82">IF(ISBLANK(M75),IFERROR(0/0,""),IF($CC76&lt;=4,TRUE,IFERROR(0/0,"")))</f>
        <v/>
      </c>
      <c r="P75" s="77" t="str">
        <f>IF(ISBLANK(N75),IFERROR(0/0,""),IFERROR(VLOOKUP(N75, 'Process Ref'!$A$76:$D$124, 2, FALSE), IFERROR(0/0,"")))</f>
        <v>Multiple Initial runs on same day - final count is sum of RFR Audit = APS Collect</v>
      </c>
      <c r="Q75" s="77"/>
      <c r="R75" s="78">
        <f>IFNA(MATCH(A75,'RFR Data - preExcl'!A$2:A447,0),"")</f>
        <v>107</v>
      </c>
      <c r="S75" s="43"/>
      <c r="T75" s="18" t="str">
        <f>IF(EXACT('RFR Data - preExcl'!W75,"Initial"),'RFR Data - preExcl'!A75,IFERROR(0/0,""))</f>
        <v/>
      </c>
      <c r="U75" s="18" t="str">
        <f>IF(EXACT('RFR Data - preExcl'!W75,"Initial"),'RFR Data - preExcl'!U75,IFERROR(0/0,""))</f>
        <v/>
      </c>
      <c r="X75" s="43"/>
      <c r="Y75" s="84" t="str">
        <f>IFERROR(__xludf.DUMMYFUNCTION("""COMPUTED_VALUE"""),"RUN-ABRM_2023-04-28_RFR-222_Re-run")</f>
        <v>RUN-ABRM_2023-04-28_RFR-222_Re-run</v>
      </c>
      <c r="Z75" s="82">
        <f>IFERROR(__xludf.DUMMYFUNCTION("""COMPUTED_VALUE"""),45044.41893451389)</f>
        <v>45044.41893</v>
      </c>
      <c r="AA75" s="83">
        <f>VLOOKUP($Y75,'RFR Data - preExcl'!$A$2:$AK447,29,FALSE)</f>
        <v>3</v>
      </c>
      <c r="AB75" s="83">
        <f>VLOOKUP($Y75,'RFR Data - preExcl'!$A$2:$AK447,37,FALSE)</f>
        <v>1</v>
      </c>
      <c r="AC75" s="70"/>
      <c r="AF75" s="70"/>
      <c r="AG75" s="105">
        <v>2.0</v>
      </c>
      <c r="AH75" s="54"/>
      <c r="AI75" s="100">
        <v>5.0</v>
      </c>
      <c r="AJ75" s="18" t="str">
        <f t="shared" ref="AJ75:AL75" si="81">IF(AG75=L75,IFERROR(0/0,""),FALSE)</f>
        <v/>
      </c>
      <c r="AK75" s="18" t="str">
        <f t="shared" si="81"/>
        <v/>
      </c>
      <c r="AL75" s="18" t="str">
        <f t="shared" si="81"/>
        <v/>
      </c>
      <c r="AM75" s="43"/>
    </row>
    <row r="76">
      <c r="A76" s="7" t="s">
        <v>102</v>
      </c>
      <c r="B76" s="12">
        <v>44908.0</v>
      </c>
      <c r="C76" s="73" t="str">
        <f t="shared" si="3"/>
        <v/>
      </c>
      <c r="D76" s="54">
        <f t="array" ref="D76">IF(OR(ISBLANK($A76),$C76),IFERROR(0/0,""),INDEX('RFR Data - preExcl'!E$2:E447,$R76,1))</f>
        <v>7</v>
      </c>
      <c r="E76" s="54">
        <f t="array" ref="E76">IF(OR(ISBLANK($A76),$C76),IFERROR(0/0,""),INDEX('RFR Data - preExcl'!Z$2:Z447,$R76,1))</f>
        <v>7</v>
      </c>
      <c r="F76" s="54">
        <f t="array" ref="F76">IF(OR(ISBLANK(A76),C76),IFERROR(0/0,""),INDEX('RFR Data - preExcl'!AC$2:AC447,$R76,1))</f>
        <v>5</v>
      </c>
      <c r="G76" s="54">
        <f t="array" ref="G76">IF(OR(ISBLANK(A76),C76),IFERROR(0/0,""),INDEX('RFR Data - preExcl'!AK$2:AK447,$R76,1))</f>
        <v>5</v>
      </c>
      <c r="H76" s="54">
        <f t="array" ref="H76">IF(OR(ISBLANK(A76),C76),IFERROR(0/0,""),INDEX('RFR Data - preExcl'!AL$2:AL447,$R76,1))</f>
        <v>0</v>
      </c>
      <c r="I76" s="54">
        <f>IFERROR(VLOOKUP($B76,'APS Tubes by Date IMPORT'!$B$2:$J447,2,FALSE),"")</f>
        <v>5</v>
      </c>
      <c r="J76" s="54" t="b">
        <f>IFERROR(VLOOKUP($B76,'APS Tubes by Date IMPORT'!$B$2:$J447,9,FALSE),"")</f>
        <v>1</v>
      </c>
      <c r="K76" s="54">
        <f>IFNA(VLOOKUP($B76,'APS Tubes by Date IMPORT'!$B$2:$J447,6,FALSE),"")</f>
        <v>0</v>
      </c>
      <c r="L76" s="74">
        <f t="shared" si="4"/>
        <v>5</v>
      </c>
      <c r="M76" s="54">
        <v>0.0</v>
      </c>
      <c r="N76" s="86">
        <v>0.0</v>
      </c>
      <c r="O76" s="76" t="b">
        <f t="shared" si="82"/>
        <v>1</v>
      </c>
      <c r="P76" s="77" t="str">
        <f>IF(ISBLANK(N76),IFERROR(0/0,""),IFERROR(VLOOKUP(N76, 'Process Ref'!$A$76:$D$124, 2, FALSE), IFERROR(0/0,"")))</f>
        <v>ALL 3 COUNTS SAME meaning APS Collect = APS Result = RFR</v>
      </c>
      <c r="Q76" s="77"/>
      <c r="R76" s="78">
        <f>IFNA(MATCH(A76,'RFR Data - preExcl'!A$2:A447,0),"")</f>
        <v>108</v>
      </c>
      <c r="S76" s="43"/>
      <c r="T76" s="18" t="str">
        <f>IF(EXACT('RFR Data - preExcl'!W76,"Initial"),'RFR Data - preExcl'!A76,IFERROR(0/0,""))</f>
        <v>RUN-ABRM_2022-11-14_RFR-075</v>
      </c>
      <c r="U76" s="79">
        <f>IF(EXACT('RFR Data - preExcl'!W76,"Initial"),'RFR Data - preExcl'!U76,IFERROR(0/0,""))</f>
        <v>44879</v>
      </c>
      <c r="X76" s="43"/>
      <c r="Y76" s="84" t="str">
        <f>IFERROR(__xludf.DUMMYFUNCTION("""COMPUTED_VALUE"""),"RUN-ABRM_2023-05-22_RFR-229_Re-run")</f>
        <v>RUN-ABRM_2023-05-22_RFR-229_Re-run</v>
      </c>
      <c r="Z76" s="82">
        <f>IFERROR(__xludf.DUMMYFUNCTION("""COMPUTED_VALUE"""),45068.413593703706)</f>
        <v>45068.41359</v>
      </c>
      <c r="AA76" s="83">
        <f>VLOOKUP($Y76,'RFR Data - preExcl'!$A$2:$AK447,29,FALSE)</f>
        <v>3</v>
      </c>
      <c r="AB76" s="83">
        <f>VLOOKUP($Y76,'RFR Data - preExcl'!$A$2:$AK447,37,FALSE)</f>
        <v>1</v>
      </c>
      <c r="AC76" s="70"/>
      <c r="AF76" s="70"/>
      <c r="AG76" s="74">
        <v>5.0</v>
      </c>
      <c r="AH76" s="54">
        <v>0.0</v>
      </c>
      <c r="AI76" s="86">
        <v>0.0</v>
      </c>
      <c r="AJ76" s="18" t="str">
        <f t="shared" ref="AJ76:AL76" si="83">IF(AG76=L76,IFERROR(0/0,""),FALSE)</f>
        <v/>
      </c>
      <c r="AK76" s="18" t="str">
        <f t="shared" si="83"/>
        <v/>
      </c>
      <c r="AL76" s="18" t="str">
        <f t="shared" si="83"/>
        <v/>
      </c>
      <c r="AM76" s="43"/>
    </row>
    <row r="77">
      <c r="A77" s="7" t="s">
        <v>103</v>
      </c>
      <c r="B77" s="12">
        <v>44911.0</v>
      </c>
      <c r="C77" s="73" t="str">
        <f t="shared" si="3"/>
        <v/>
      </c>
      <c r="D77" s="54">
        <f t="array" ref="D77">IF(OR(ISBLANK($A77),$C77),IFERROR(0/0,""),INDEX('RFR Data - preExcl'!E$2:E447,$R77,1))</f>
        <v>5</v>
      </c>
      <c r="E77" s="54">
        <f t="array" ref="E77">IF(OR(ISBLANK($A77),$C77),IFERROR(0/0,""),INDEX('RFR Data - preExcl'!Z$2:Z447,$R77,1))</f>
        <v>5</v>
      </c>
      <c r="F77" s="54">
        <f t="array" ref="F77">IF(OR(ISBLANK(A77),C77),IFERROR(0/0,""),INDEX('RFR Data - preExcl'!AC$2:AC447,$R77,1))</f>
        <v>3</v>
      </c>
      <c r="G77" s="54">
        <f t="array" ref="G77">IF(OR(ISBLANK(A77),C77),IFERROR(0/0,""),INDEX('RFR Data - preExcl'!AK$2:AK447,$R77,1))</f>
        <v>3</v>
      </c>
      <c r="H77" s="54">
        <f t="array" ref="H77">IF(OR(ISBLANK(A77),C77),IFERROR(0/0,""),INDEX('RFR Data - preExcl'!AL$2:AL447,$R77,1))</f>
        <v>0</v>
      </c>
      <c r="I77" s="54">
        <f>IFERROR(VLOOKUP($B77,'APS Tubes by Date IMPORT'!$B$2:$J447,2,FALSE),"")</f>
        <v>3</v>
      </c>
      <c r="J77" s="54" t="b">
        <f>IFERROR(VLOOKUP($B77,'APS Tubes by Date IMPORT'!$B$2:$J447,9,FALSE),"")</f>
        <v>1</v>
      </c>
      <c r="K77" s="54">
        <f>IFNA(VLOOKUP($B77,'APS Tubes by Date IMPORT'!$B$2:$J447,6,FALSE),"")</f>
        <v>0</v>
      </c>
      <c r="L77" s="74">
        <f t="shared" si="4"/>
        <v>3</v>
      </c>
      <c r="M77" s="54">
        <v>0.0</v>
      </c>
      <c r="N77" s="86">
        <v>0.0</v>
      </c>
      <c r="O77" s="76" t="b">
        <f t="shared" si="82"/>
        <v>1</v>
      </c>
      <c r="P77" s="77"/>
      <c r="Q77" s="77"/>
      <c r="R77" s="78">
        <f>IFNA(MATCH(A77,'RFR Data - preExcl'!A$2:A447,0),"")</f>
        <v>109</v>
      </c>
      <c r="S77" s="43"/>
      <c r="T77" s="18" t="str">
        <f>IF(EXACT('RFR Data - preExcl'!W77,"Initial"),'RFR Data - preExcl'!A77,IFERROR(0/0,""))</f>
        <v>RUN-ABRM_2022-11-15_RFR-076</v>
      </c>
      <c r="U77" s="79">
        <f>IF(EXACT('RFR Data - preExcl'!W77,"Initial"),'RFR Data - preExcl'!U77,IFERROR(0/0,""))</f>
        <v>44880</v>
      </c>
      <c r="X77" s="43"/>
      <c r="Y77" s="84" t="str">
        <f>IFERROR(__xludf.DUMMYFUNCTION("""COMPUTED_VALUE"""),"RUN-ABRM_2023-05-22_RFR-230_Re-run")</f>
        <v>RUN-ABRM_2023-05-22_RFR-230_Re-run</v>
      </c>
      <c r="Z77" s="82">
        <f>IFERROR(__xludf.DUMMYFUNCTION("""COMPUTED_VALUE"""),45068.43295674768)</f>
        <v>45068.43296</v>
      </c>
      <c r="AA77" s="83">
        <f>VLOOKUP($Y77,'RFR Data - preExcl'!$A$2:$AK447,29,FALSE)</f>
        <v>3</v>
      </c>
      <c r="AB77" s="83">
        <f>VLOOKUP($Y77,'RFR Data - preExcl'!$A$2:$AK447,37,FALSE)</f>
        <v>1</v>
      </c>
      <c r="AC77" s="70"/>
      <c r="AF77" s="70"/>
      <c r="AG77" s="74">
        <v>3.0</v>
      </c>
      <c r="AH77" s="54">
        <v>0.0</v>
      </c>
      <c r="AI77" s="86">
        <v>0.0</v>
      </c>
      <c r="AJ77" s="18" t="str">
        <f t="shared" ref="AJ77:AL77" si="84">IF(AG77=L77,IFERROR(0/0,""),FALSE)</f>
        <v/>
      </c>
      <c r="AK77" s="18" t="str">
        <f t="shared" si="84"/>
        <v/>
      </c>
      <c r="AL77" s="18" t="str">
        <f t="shared" si="84"/>
        <v/>
      </c>
      <c r="AM77" s="43"/>
    </row>
    <row r="78">
      <c r="A78" s="7" t="s">
        <v>104</v>
      </c>
      <c r="B78" s="12">
        <v>44914.0</v>
      </c>
      <c r="C78" s="73" t="str">
        <f t="shared" si="3"/>
        <v/>
      </c>
      <c r="D78" s="54">
        <f t="array" ref="D78">IF(OR(ISBLANK($A78),$C78),IFERROR(0/0,""),INDEX('RFR Data - preExcl'!E$2:E447,$R78,1))</f>
        <v>7</v>
      </c>
      <c r="E78" s="54">
        <f t="array" ref="E78">IF(OR(ISBLANK($A78),$C78),IFERROR(0/0,""),INDEX('RFR Data - preExcl'!Z$2:Z447,$R78,1))</f>
        <v>7</v>
      </c>
      <c r="F78" s="54">
        <f t="array" ref="F78">IF(OR(ISBLANK(A78),C78),IFERROR(0/0,""),INDEX('RFR Data - preExcl'!AC$2:AC447,$R78,1))</f>
        <v>5</v>
      </c>
      <c r="G78" s="54">
        <f t="array" ref="G78">IF(OR(ISBLANK(A78),C78),IFERROR(0/0,""),INDEX('RFR Data - preExcl'!AK$2:AK447,$R78,1))</f>
        <v>5</v>
      </c>
      <c r="H78" s="54">
        <f t="array" ref="H78">IF(OR(ISBLANK(A78),C78),IFERROR(0/0,""),INDEX('RFR Data - preExcl'!AL$2:AL447,$R78,1))</f>
        <v>1.1</v>
      </c>
      <c r="I78" s="54">
        <f>IFERROR(VLOOKUP($B78,'APS Tubes by Date IMPORT'!$B$2:$J447,2,FALSE),"")</f>
        <v>5</v>
      </c>
      <c r="J78" s="54" t="b">
        <f>IFERROR(VLOOKUP($B78,'APS Tubes by Date IMPORT'!$B$2:$J447,9,FALSE),"")</f>
        <v>1</v>
      </c>
      <c r="K78" s="54">
        <f>IFNA(VLOOKUP($B78,'APS Tubes by Date IMPORT'!$B$2:$J447,6,FALSE),"")</f>
        <v>0</v>
      </c>
      <c r="L78" s="74">
        <f t="shared" si="4"/>
        <v>5</v>
      </c>
      <c r="M78" s="54">
        <v>0.0</v>
      </c>
      <c r="N78" s="86">
        <v>0.0</v>
      </c>
      <c r="O78" s="76" t="b">
        <f t="shared" ref="O78:O79" si="86">IF(ISBLANK(M78),IFERROR(0/0,""),IF($CC78&lt;=4,TRUE,IFERROR(0/0,"")))</f>
        <v>1</v>
      </c>
      <c r="P78" s="77" t="str">
        <f>IF(ISBLANK(N77),IFERROR(0/0,""),IFERROR(VLOOKUP(N77, 'Process Ref'!$A$76:$D$124, 2, FALSE), IFERROR(0/0,"")))</f>
        <v>ALL 3 COUNTS SAME meaning APS Collect = APS Result = RFR</v>
      </c>
      <c r="Q78" s="77"/>
      <c r="R78" s="78">
        <f>IFNA(MATCH(A78,'RFR Data - preExcl'!A$2:A447,0),"")</f>
        <v>110</v>
      </c>
      <c r="S78" s="43"/>
      <c r="T78" s="18" t="str">
        <f>IF(EXACT('RFR Data - preExcl'!W78,"Initial"),'RFR Data - preExcl'!A78,IFERROR(0/0,""))</f>
        <v/>
      </c>
      <c r="U78" s="18" t="str">
        <f>IF(EXACT('RFR Data - preExcl'!W78,"Initial"),'RFR Data - preExcl'!U78,IFERROR(0/0,""))</f>
        <v/>
      </c>
      <c r="X78" s="43"/>
      <c r="Y78" s="84" t="str">
        <f>IFERROR(__xludf.DUMMYFUNCTION("""COMPUTED_VALUE"""),"RUN-ABRM_2023-05-24_RFR-233_Re-run")</f>
        <v>RUN-ABRM_2023-05-24_RFR-233_Re-run</v>
      </c>
      <c r="Z78" s="82">
        <f>IFERROR(__xludf.DUMMYFUNCTION("""COMPUTED_VALUE"""),45070.42311224537)</f>
        <v>45070.42311</v>
      </c>
      <c r="AA78" s="83">
        <f>VLOOKUP($Y78,'RFR Data - preExcl'!$A$2:$AK447,29,FALSE)</f>
        <v>3</v>
      </c>
      <c r="AB78" s="83">
        <f>VLOOKUP($Y78,'RFR Data - preExcl'!$A$2:$AK447,37,FALSE)</f>
        <v>1</v>
      </c>
      <c r="AC78" s="70"/>
      <c r="AF78" s="70"/>
      <c r="AG78" s="74">
        <v>5.0</v>
      </c>
      <c r="AH78" s="54">
        <v>0.0</v>
      </c>
      <c r="AI78" s="86">
        <v>0.0</v>
      </c>
      <c r="AJ78" s="18" t="str">
        <f t="shared" ref="AJ78:AL78" si="85">IF(AG78=L78,IFERROR(0/0,""),FALSE)</f>
        <v/>
      </c>
      <c r="AK78" s="18" t="str">
        <f t="shared" si="85"/>
        <v/>
      </c>
      <c r="AL78" s="18" t="str">
        <f t="shared" si="85"/>
        <v/>
      </c>
      <c r="AM78" s="43"/>
    </row>
    <row r="79">
      <c r="A79" s="7" t="s">
        <v>105</v>
      </c>
      <c r="B79" s="12">
        <v>44915.0</v>
      </c>
      <c r="C79" s="73" t="str">
        <f t="shared" si="3"/>
        <v/>
      </c>
      <c r="D79" s="54">
        <f t="array" ref="D79">IF(OR(ISBLANK($A79),$C79),IFERROR(0/0,""),INDEX('RFR Data - preExcl'!E$2:E447,$R79,1))</f>
        <v>11</v>
      </c>
      <c r="E79" s="54">
        <f t="array" ref="E79">IF(OR(ISBLANK($A79),$C79),IFERROR(0/0,""),INDEX('RFR Data - preExcl'!Z$2:Z447,$R79,1))</f>
        <v>11</v>
      </c>
      <c r="F79" s="54">
        <f t="array" ref="F79">IF(OR(ISBLANK(A79),C79),IFERROR(0/0,""),INDEX('RFR Data - preExcl'!AC$2:AC447,$R79,1))</f>
        <v>9</v>
      </c>
      <c r="G79" s="54">
        <f t="array" ref="G79">IF(OR(ISBLANK(A79),C79),IFERROR(0/0,""),INDEX('RFR Data - preExcl'!AK$2:AK447,$R79,1))</f>
        <v>9</v>
      </c>
      <c r="H79" s="54">
        <f t="array" ref="H79">IF(OR(ISBLANK(A79),C79),IFERROR(0/0,""),INDEX('RFR Data - preExcl'!AL$2:AL447,$R79,1))</f>
        <v>4</v>
      </c>
      <c r="I79" s="54">
        <f>IFERROR(VLOOKUP($B79,'APS Tubes by Date IMPORT'!$B$2:$J447,2,FALSE),"")</f>
        <v>9</v>
      </c>
      <c r="J79" s="54" t="b">
        <f>IFERROR(VLOOKUP($B79,'APS Tubes by Date IMPORT'!$B$2:$J447,9,FALSE),"")</f>
        <v>1</v>
      </c>
      <c r="K79" s="54">
        <f>IFNA(VLOOKUP($B79,'APS Tubes by Date IMPORT'!$B$2:$J447,6,FALSE),"")</f>
        <v>0</v>
      </c>
      <c r="L79" s="74">
        <f t="shared" si="4"/>
        <v>9</v>
      </c>
      <c r="M79" s="54">
        <v>0.0</v>
      </c>
      <c r="N79" s="86">
        <v>0.0</v>
      </c>
      <c r="O79" s="76" t="b">
        <f t="shared" si="86"/>
        <v>1</v>
      </c>
      <c r="P79" s="77" t="str">
        <f>IF(ISBLANK(N78),IFERROR(0/0,""),IFERROR(VLOOKUP(N78, 'Process Ref'!$A$76:$D$124, 2, FALSE), IFERROR(0/0,"")))</f>
        <v>ALL 3 COUNTS SAME meaning APS Collect = APS Result = RFR</v>
      </c>
      <c r="Q79" s="77"/>
      <c r="R79" s="78">
        <f>IFNA(MATCH(A79,'RFR Data - preExcl'!A$2:A447,0),"")</f>
        <v>112</v>
      </c>
      <c r="S79" s="43"/>
      <c r="T79" s="18" t="str">
        <f>IF(EXACT('RFR Data - preExcl'!W79,"Initial"),'RFR Data - preExcl'!A79,IFERROR(0/0,""))</f>
        <v>RUN-ABRM_2022-11-16_RFR-078</v>
      </c>
      <c r="U79" s="79">
        <f>IF(EXACT('RFR Data - preExcl'!W79,"Initial"),'RFR Data - preExcl'!U79,IFERROR(0/0,""))</f>
        <v>44881</v>
      </c>
      <c r="X79" s="43"/>
      <c r="Y79" s="84" t="str">
        <f>IFERROR(__xludf.DUMMYFUNCTION("""COMPUTED_VALUE"""),"RUN-ABRM_2023-05-30_RFR-238_Re-run")</f>
        <v>RUN-ABRM_2023-05-30_RFR-238_Re-run</v>
      </c>
      <c r="Z79" s="82">
        <f>IFERROR(__xludf.DUMMYFUNCTION("""COMPUTED_VALUE"""),45076.4673045949)</f>
        <v>45076.4673</v>
      </c>
      <c r="AA79" s="83">
        <f>VLOOKUP($Y79,'RFR Data - preExcl'!$A$2:$AK447,29,FALSE)</f>
        <v>5</v>
      </c>
      <c r="AB79" s="83">
        <f>VLOOKUP($Y79,'RFR Data - preExcl'!$A$2:$AK447,37,FALSE)</f>
        <v>5</v>
      </c>
      <c r="AC79" s="70"/>
      <c r="AF79" s="70"/>
      <c r="AG79" s="74">
        <v>9.0</v>
      </c>
      <c r="AH79" s="54">
        <v>0.0</v>
      </c>
      <c r="AI79" s="86">
        <v>0.0</v>
      </c>
      <c r="AJ79" s="18" t="str">
        <f t="shared" ref="AJ79:AL79" si="87">IF(AG79=L79,IFERROR(0/0,""),FALSE)</f>
        <v/>
      </c>
      <c r="AK79" s="18" t="str">
        <f t="shared" si="87"/>
        <v/>
      </c>
      <c r="AL79" s="18" t="str">
        <f t="shared" si="87"/>
        <v/>
      </c>
      <c r="AM79" s="43"/>
    </row>
    <row r="80">
      <c r="A80" s="106" t="s">
        <v>107</v>
      </c>
      <c r="B80" s="107">
        <v>44916.0</v>
      </c>
      <c r="C80" s="73" t="str">
        <f t="shared" si="3"/>
        <v/>
      </c>
      <c r="D80" s="54">
        <f t="array" ref="D80">IF(OR(ISBLANK($A80),$C80),IFERROR(0/0,""),INDEX('RFR Data - preExcl'!E$2:E447,$R80,1))</f>
        <v>7</v>
      </c>
      <c r="E80" s="54">
        <f t="array" ref="E80">IF(OR(ISBLANK($A80),$C80),IFERROR(0/0,""),INDEX('RFR Data - preExcl'!Z$2:Z447,$R80,1))</f>
        <v>7</v>
      </c>
      <c r="F80" s="54">
        <f t="array" ref="F80">IF(OR(ISBLANK(A80),C80),IFERROR(0/0,""),INDEX('RFR Data - preExcl'!AC$2:AC447,$R80,1))</f>
        <v>5</v>
      </c>
      <c r="G80" s="54">
        <f t="array" ref="G80">IF(OR(ISBLANK(A80),C80),IFERROR(0/0,""),INDEX('RFR Data - preExcl'!AK$2:AK447,$R80,1))</f>
        <v>5</v>
      </c>
      <c r="H80" s="54">
        <f t="array" ref="H80">IF(OR(ISBLANK(A80),C80),IFERROR(0/0,""),INDEX('RFR Data - preExcl'!AL$2:AL447,$R80,1))</f>
        <v>0</v>
      </c>
      <c r="I80" s="54">
        <f>IFERROR(VLOOKUP($B80,'APS Tubes by Date IMPORT'!$B$2:$J447,2,FALSE),"")</f>
        <v>6</v>
      </c>
      <c r="J80" s="54" t="str">
        <f>IFERROR(VLOOKUP($B80,'APS Tubes by Date IMPORT'!$B$2:$J447,9,FALSE),"")</f>
        <v/>
      </c>
      <c r="K80" s="54">
        <f>IFNA(VLOOKUP($B80,'APS Tubes by Date IMPORT'!$B$2:$J447,6,FALSE),"")</f>
        <v>0</v>
      </c>
      <c r="L80" s="74">
        <f t="shared" si="4"/>
        <v>5</v>
      </c>
      <c r="M80" s="54">
        <v>-1.0</v>
      </c>
      <c r="N80" s="108">
        <v>8.0</v>
      </c>
      <c r="O80" s="109"/>
      <c r="P80" s="77" t="str">
        <f>IF(ISBLANK(N80),IFERROR(0/0,""),IFERROR(VLOOKUP(N80, 'Process Ref'!$A$76:$D$124, 2, FALSE), IFERROR(0/0,"")))</f>
        <v>Use Audit RFR count (tube in Appivo not in RFR)</v>
      </c>
      <c r="Q80" s="110" t="s">
        <v>242</v>
      </c>
      <c r="R80" s="78">
        <f>IFNA(MATCH(A80,'RFR Data - preExcl'!A$2:A447,0),"")</f>
        <v>113</v>
      </c>
      <c r="S80" s="43"/>
      <c r="T80" s="18" t="str">
        <f>IF(EXACT('RFR Data - preExcl'!W80,"Initial"),'RFR Data - preExcl'!A80,IFERROR(0/0,""))</f>
        <v>RUN-ABRM_2022-11-17_RFR-079</v>
      </c>
      <c r="U80" s="79">
        <f>IF(EXACT('RFR Data - preExcl'!W80,"Initial"),'RFR Data - preExcl'!U80,IFERROR(0/0,""))</f>
        <v>44882</v>
      </c>
      <c r="X80" s="43"/>
      <c r="AC80" s="70"/>
      <c r="AF80" s="70"/>
      <c r="AG80" s="74">
        <v>5.0</v>
      </c>
      <c r="AH80" s="54">
        <v>-1.0</v>
      </c>
      <c r="AI80" s="108">
        <v>8.0</v>
      </c>
      <c r="AJ80" s="18" t="str">
        <f t="shared" ref="AJ80:AL80" si="88">IF(AG80=L80,IFERROR(0/0,""),FALSE)</f>
        <v/>
      </c>
      <c r="AK80" s="18" t="str">
        <f t="shared" si="88"/>
        <v/>
      </c>
      <c r="AL80" s="18" t="str">
        <f t="shared" si="88"/>
        <v/>
      </c>
      <c r="AM80" s="43"/>
    </row>
    <row r="81">
      <c r="A81" s="7" t="s">
        <v>106</v>
      </c>
      <c r="B81" s="12">
        <v>44916.0</v>
      </c>
      <c r="C81" s="73" t="b">
        <f t="shared" si="3"/>
        <v>1</v>
      </c>
      <c r="D81" s="54" t="str">
        <f t="array" ref="D81">IF(OR(ISBLANK($A81),$C81),IFERROR(0/0,""),INDEX('RFR Data - preExcl'!E$2:E447,$R81,1))</f>
        <v/>
      </c>
      <c r="E81" s="54" t="str">
        <f t="array" ref="E81">IF(OR(ISBLANK($A81),$C81),IFERROR(0/0,""),INDEX('RFR Data - preExcl'!Z$2:Z447,$R81,1))</f>
        <v/>
      </c>
      <c r="F81" s="54" t="str">
        <f t="array" ref="F81">IF(OR(ISBLANK(A81),C81),IFERROR(0/0,""),INDEX('RFR Data - preExcl'!AC$2:AC447,$R81,1))</f>
        <v/>
      </c>
      <c r="G81" s="54" t="str">
        <f t="array" ref="G81">IF(OR(ISBLANK(A81),C81),IFERROR(0/0,""),INDEX('RFR Data - preExcl'!AK$2:AK447,$R81,1))</f>
        <v/>
      </c>
      <c r="H81" s="54" t="str">
        <f t="array" ref="H81">IF(OR(ISBLANK(A81),C81),IFERROR(0/0,""),INDEX('RFR Data - preExcl'!AL$2:AL447,$R81,1))</f>
        <v/>
      </c>
      <c r="I81" s="54"/>
      <c r="J81" s="54" t="str">
        <f>IFERROR(VLOOKUP($B81,'APS Tubes by Date IMPORT'!$B$2:$J447,9,FALSE),"")</f>
        <v/>
      </c>
      <c r="K81" s="54">
        <f>IFNA(VLOOKUP($B81,'APS Tubes by Date IMPORT'!$B$2:$J447,6,FALSE),"")</f>
        <v>0</v>
      </c>
      <c r="L81" s="111">
        <f>I80-L80</f>
        <v>1</v>
      </c>
      <c r="M81" s="54">
        <v>1.0</v>
      </c>
      <c r="N81" s="112">
        <v>3.5</v>
      </c>
      <c r="O81" s="109"/>
      <c r="P81" s="113" t="str">
        <f>IF(ISBLANK(N81),IFERROR(0/0,""),IFERROR(VLOOKUP(N81, 'Process Ref'!$A$76:$D$124, 2, FALSE), IFERROR(0/0,"")))</f>
        <v>Add Run from APS with no RFR (extra APS tube and conclude done in sep run with no RFR)</v>
      </c>
      <c r="Q81" s="77"/>
      <c r="R81" s="78" t="str">
        <f>IFNA(MATCH(A81,'RFR Data - preExcl'!A$2:A447,0),"")</f>
        <v/>
      </c>
      <c r="S81" s="43"/>
      <c r="T81" s="18" t="str">
        <f>IF(EXACT('RFR Data - preExcl'!W81,"Initial"),'RFR Data - preExcl'!A81,IFERROR(0/0,""))</f>
        <v/>
      </c>
      <c r="U81" s="18" t="str">
        <f>IF(EXACT('RFR Data - preExcl'!W81,"Initial"),'RFR Data - preExcl'!U81,IFERROR(0/0,""))</f>
        <v/>
      </c>
      <c r="X81" s="43"/>
      <c r="AC81" s="70"/>
      <c r="AF81" s="70"/>
      <c r="AM81" s="43"/>
    </row>
    <row r="82">
      <c r="A82" s="7" t="s">
        <v>108</v>
      </c>
      <c r="B82" s="12">
        <v>44917.0</v>
      </c>
      <c r="C82" s="73" t="str">
        <f t="shared" si="3"/>
        <v/>
      </c>
      <c r="D82" s="54">
        <f t="array" ref="D82">IF(OR(ISBLANK($A82),$C82),IFERROR(0/0,""),INDEX('RFR Data - preExcl'!E$2:E447,$R82,1))</f>
        <v>8</v>
      </c>
      <c r="E82" s="54">
        <f t="array" ref="E82">IF(OR(ISBLANK($A82),$C82),IFERROR(0/0,""),INDEX('RFR Data - preExcl'!Z$2:Z447,$R82,1))</f>
        <v>8</v>
      </c>
      <c r="F82" s="54">
        <f t="array" ref="F82">IF(OR(ISBLANK(A82),C82),IFERROR(0/0,""),INDEX('RFR Data - preExcl'!AC$2:AC447,$R82,1))</f>
        <v>6</v>
      </c>
      <c r="G82" s="54">
        <f t="array" ref="G82">IF(OR(ISBLANK(A82),C82),IFERROR(0/0,""),INDEX('RFR Data - preExcl'!AK$2:AK447,$R82,1))</f>
        <v>6</v>
      </c>
      <c r="H82" s="54">
        <f t="array" ref="H82">IF(OR(ISBLANK(A82),C82),IFERROR(0/0,""),INDEX('RFR Data - preExcl'!AL$2:AL447,$R82,1))</f>
        <v>0</v>
      </c>
      <c r="I82" s="54">
        <f>IFERROR(VLOOKUP($B82,'APS Tubes by Date IMPORT'!$B$2:$J447,2,FALSE),"")</f>
        <v>6</v>
      </c>
      <c r="J82" s="54" t="b">
        <f>IFERROR(VLOOKUP($B82,'APS Tubes by Date IMPORT'!$B$2:$J447,9,FALSE),"")</f>
        <v>1</v>
      </c>
      <c r="K82" s="54">
        <f>IFNA(VLOOKUP($B82,'APS Tubes by Date IMPORT'!$B$2:$J447,6,FALSE),"")</f>
        <v>0</v>
      </c>
      <c r="L82" s="74">
        <f t="shared" ref="L82:L98" si="90">G82</f>
        <v>6</v>
      </c>
      <c r="M82" s="89">
        <v>0.0</v>
      </c>
      <c r="N82" s="85">
        <v>0.0</v>
      </c>
      <c r="O82" s="76" t="b">
        <f t="shared" ref="O82:O97" si="91">IF(ISBLANK(M82),IFERROR(0/0,""),IF($CC81&lt;=4,TRUE,IFERROR(0/0,"")))</f>
        <v>1</v>
      </c>
      <c r="P82" s="77" t="str">
        <f>IF(ISBLANK(N82),IFERROR(0/0,""),IFERROR(VLOOKUP(N82, 'Process Ref'!$A$76:$D$124, 2, FALSE), IFERROR(0/0,"")))</f>
        <v>ALL 3 COUNTS SAME meaning APS Collect = APS Result = RFR</v>
      </c>
      <c r="Q82" s="77"/>
      <c r="R82" s="78">
        <f>IFNA(MATCH(A82,'RFR Data - preExcl'!A$2:A447,0),"")</f>
        <v>114</v>
      </c>
      <c r="S82" s="43"/>
      <c r="T82" s="18" t="str">
        <f>IF(EXACT('RFR Data - preExcl'!W82,"Initial"),'RFR Data - preExcl'!A82,IFERROR(0/0,""))</f>
        <v>RUN-ABRM_2022-11-18_RFR-081</v>
      </c>
      <c r="U82" s="79">
        <f>IF(EXACT('RFR Data - preExcl'!W82,"Initial"),'RFR Data - preExcl'!U82,IFERROR(0/0,""))</f>
        <v>44883</v>
      </c>
      <c r="X82" s="43"/>
      <c r="AC82" s="70"/>
      <c r="AF82" s="70"/>
      <c r="AG82" s="74">
        <v>6.0</v>
      </c>
      <c r="AH82" s="54">
        <v>0.0</v>
      </c>
      <c r="AI82" s="85">
        <v>0.0</v>
      </c>
      <c r="AJ82" s="114" t="str">
        <f t="shared" ref="AJ82:AL82" si="89">IF(AG82=L82,IFERROR(0/0,""),FALSE)</f>
        <v/>
      </c>
      <c r="AK82" s="114" t="str">
        <f t="shared" si="89"/>
        <v/>
      </c>
      <c r="AL82" s="114" t="str">
        <f t="shared" si="89"/>
        <v/>
      </c>
      <c r="AM82" s="43"/>
    </row>
    <row r="83">
      <c r="A83" s="7" t="s">
        <v>109</v>
      </c>
      <c r="B83" s="12">
        <v>44928.0</v>
      </c>
      <c r="C83" s="73" t="str">
        <f t="shared" si="3"/>
        <v/>
      </c>
      <c r="D83" s="54">
        <f t="array" ref="D83">IF(OR(ISBLANK($A83),$C83),IFERROR(0/0,""),INDEX('RFR Data - preExcl'!E$2:E447,$R83,1))</f>
        <v>11</v>
      </c>
      <c r="E83" s="54">
        <f t="array" ref="E83">IF(OR(ISBLANK($A83),$C83),IFERROR(0/0,""),INDEX('RFR Data - preExcl'!Z$2:Z447,$R83,1))</f>
        <v>11</v>
      </c>
      <c r="F83" s="54">
        <f t="array" ref="F83">IF(OR(ISBLANK(A83),C83),IFERROR(0/0,""),INDEX('RFR Data - preExcl'!AC$2:AC447,$R83,1))</f>
        <v>9</v>
      </c>
      <c r="G83" s="54">
        <f t="array" ref="G83">IF(OR(ISBLANK(A83),C83),IFERROR(0/0,""),INDEX('RFR Data - preExcl'!AK$2:AK447,$R83,1))</f>
        <v>9</v>
      </c>
      <c r="H83" s="54">
        <f t="array" ref="H83">IF(OR(ISBLANK(A83),C83),IFERROR(0/0,""),INDEX('RFR Data - preExcl'!AL$2:AL447,$R83,1))</f>
        <v>0</v>
      </c>
      <c r="I83" s="54">
        <f>IFERROR(VLOOKUP($B83,'APS Tubes by Date IMPORT'!$B$2:$J447,2,FALSE),"")</f>
        <v>9</v>
      </c>
      <c r="J83" s="54" t="b">
        <f>IFERROR(VLOOKUP($B83,'APS Tubes by Date IMPORT'!$B$2:$J447,9,FALSE),"")</f>
        <v>1</v>
      </c>
      <c r="K83" s="54">
        <f>IFNA(VLOOKUP($B83,'APS Tubes by Date IMPORT'!$B$2:$J447,6,FALSE),"")</f>
        <v>0</v>
      </c>
      <c r="L83" s="74">
        <f t="shared" si="90"/>
        <v>9</v>
      </c>
      <c r="M83" s="89">
        <v>0.0</v>
      </c>
      <c r="N83" s="86">
        <v>0.0</v>
      </c>
      <c r="O83" s="76" t="b">
        <f t="shared" si="91"/>
        <v>1</v>
      </c>
      <c r="P83" s="77" t="str">
        <f>IF(ISBLANK(N83),IFERROR(0/0,""),IFERROR(VLOOKUP(N83, 'Process Ref'!$A$76:$D$124, 2, FALSE), IFERROR(0/0,"")))</f>
        <v>ALL 3 COUNTS SAME meaning APS Collect = APS Result = RFR</v>
      </c>
      <c r="Q83" s="77"/>
      <c r="R83" s="78">
        <f>IFNA(MATCH(A83,'RFR Data - preExcl'!A$2:A447,0),"")</f>
        <v>117</v>
      </c>
      <c r="S83" s="43"/>
      <c r="T83" s="18" t="str">
        <f>IF(EXACT('RFR Data - preExcl'!W83,"Initial"),'RFR Data - preExcl'!A83,IFERROR(0/0,""))</f>
        <v>RUN-ABRM_2022-11-19_RFR-082</v>
      </c>
      <c r="U83" s="79">
        <f>IF(EXACT('RFR Data - preExcl'!W83,"Initial"),'RFR Data - preExcl'!U83,IFERROR(0/0,""))</f>
        <v>44884</v>
      </c>
      <c r="X83" s="43"/>
      <c r="AC83" s="70"/>
      <c r="AF83" s="70"/>
      <c r="AG83" s="74">
        <v>9.0</v>
      </c>
      <c r="AH83" s="54">
        <v>0.0</v>
      </c>
      <c r="AI83" s="86">
        <v>0.0</v>
      </c>
      <c r="AJ83" s="114" t="str">
        <f t="shared" ref="AJ83:AL83" si="92">IF(AG83=L83,IFERROR(0/0,""),FALSE)</f>
        <v/>
      </c>
      <c r="AK83" s="114" t="str">
        <f t="shared" si="92"/>
        <v/>
      </c>
      <c r="AL83" s="114" t="str">
        <f t="shared" si="92"/>
        <v/>
      </c>
      <c r="AM83" s="43"/>
    </row>
    <row r="84">
      <c r="A84" s="7" t="s">
        <v>110</v>
      </c>
      <c r="B84" s="12">
        <v>44929.0</v>
      </c>
      <c r="C84" s="73" t="str">
        <f t="shared" si="3"/>
        <v/>
      </c>
      <c r="D84" s="54">
        <f t="array" ref="D84">IF(OR(ISBLANK($A84),$C84),IFERROR(0/0,""),INDEX('RFR Data - preExcl'!E$2:E447,$R84,1))</f>
        <v>13</v>
      </c>
      <c r="E84" s="54">
        <f t="array" ref="E84">IF(OR(ISBLANK($A84),$C84),IFERROR(0/0,""),INDEX('RFR Data - preExcl'!Z$2:Z447,$R84,1))</f>
        <v>13</v>
      </c>
      <c r="F84" s="54">
        <f t="array" ref="F84">IF(OR(ISBLANK(A84),C84),IFERROR(0/0,""),INDEX('RFR Data - preExcl'!AC$2:AC447,$R84,1))</f>
        <v>11</v>
      </c>
      <c r="G84" s="54">
        <f t="array" ref="G84">IF(OR(ISBLANK(A84),C84),IFERROR(0/0,""),INDEX('RFR Data - preExcl'!AK$2:AK447,$R84,1))</f>
        <v>11</v>
      </c>
      <c r="H84" s="54">
        <f t="array" ref="H84">IF(OR(ISBLANK(A84),C84),IFERROR(0/0,""),INDEX('RFR Data - preExcl'!AL$2:AL447,$R84,1))</f>
        <v>1.1</v>
      </c>
      <c r="I84" s="54">
        <f>IFERROR(VLOOKUP($B84,'APS Tubes by Date IMPORT'!$B$2:$J447,2,FALSE),"")</f>
        <v>11</v>
      </c>
      <c r="J84" s="54" t="b">
        <f>IFERROR(VLOOKUP($B84,'APS Tubes by Date IMPORT'!$B$2:$J447,9,FALSE),"")</f>
        <v>1</v>
      </c>
      <c r="K84" s="54">
        <f>IFNA(VLOOKUP($B84,'APS Tubes by Date IMPORT'!$B$2:$J447,6,FALSE),"")</f>
        <v>0</v>
      </c>
      <c r="L84" s="74">
        <f t="shared" si="90"/>
        <v>11</v>
      </c>
      <c r="M84" s="89">
        <v>0.0</v>
      </c>
      <c r="N84" s="115">
        <v>10.0</v>
      </c>
      <c r="O84" s="76" t="b">
        <f t="shared" si="91"/>
        <v>1</v>
      </c>
      <c r="P84" s="77" t="str">
        <f>IF(ISBLANK(N84),IFERROR(0/0,""),IFERROR(VLOOKUP(N84, 'Process Ref'!$A$76:$D$124, 2, FALSE), IFERROR(0/0,"")))</f>
        <v>see Notes for reason</v>
      </c>
      <c r="Q84" s="110" t="s">
        <v>243</v>
      </c>
      <c r="R84" s="78">
        <f>IFNA(MATCH(A84,'RFR Data - preExcl'!A$2:A447,0),"")</f>
        <v>118</v>
      </c>
      <c r="S84" s="43"/>
      <c r="T84" s="18" t="str">
        <f>IF(EXACT('RFR Data - preExcl'!W84,"Initial"),'RFR Data - preExcl'!A84,IFERROR(0/0,""))</f>
        <v/>
      </c>
      <c r="U84" s="18" t="str">
        <f>IF(EXACT('RFR Data - preExcl'!W84,"Initial"),'RFR Data - preExcl'!U84,IFERROR(0/0,""))</f>
        <v/>
      </c>
      <c r="X84" s="43"/>
      <c r="AC84" s="70"/>
      <c r="AF84" s="70"/>
      <c r="AG84" s="74">
        <v>11.0</v>
      </c>
      <c r="AH84" s="54">
        <v>0.0</v>
      </c>
      <c r="AI84" s="115">
        <v>10.0</v>
      </c>
      <c r="AJ84" s="114" t="str">
        <f t="shared" ref="AJ84:AL84" si="93">IF(AG84=L84,IFERROR(0/0,""),FALSE)</f>
        <v/>
      </c>
      <c r="AK84" s="114" t="str">
        <f t="shared" si="93"/>
        <v/>
      </c>
      <c r="AL84" s="114" t="str">
        <f t="shared" si="93"/>
        <v/>
      </c>
      <c r="AM84" s="43"/>
    </row>
    <row r="85">
      <c r="A85" s="7" t="s">
        <v>111</v>
      </c>
      <c r="B85" s="12">
        <v>44930.0</v>
      </c>
      <c r="C85" s="73" t="str">
        <f t="shared" si="3"/>
        <v/>
      </c>
      <c r="D85" s="54">
        <f t="array" ref="D85">IF(OR(ISBLANK($A85),$C85),IFERROR(0/0,""),INDEX('RFR Data - preExcl'!E$2:E447,$R85,1))</f>
        <v>8</v>
      </c>
      <c r="E85" s="54">
        <f t="array" ref="E85">IF(OR(ISBLANK($A85),$C85),IFERROR(0/0,""),INDEX('RFR Data - preExcl'!Z$2:Z447,$R85,1))</f>
        <v>8</v>
      </c>
      <c r="F85" s="54">
        <f t="array" ref="F85">IF(OR(ISBLANK(A85),C85),IFERROR(0/0,""),INDEX('RFR Data - preExcl'!AC$2:AC447,$R85,1))</f>
        <v>6</v>
      </c>
      <c r="G85" s="54">
        <f t="array" ref="G85">IF(OR(ISBLANK(A85),C85),IFERROR(0/0,""),INDEX('RFR Data - preExcl'!AK$2:AK447,$R85,1))</f>
        <v>6</v>
      </c>
      <c r="H85" s="54">
        <f t="array" ref="H85">IF(OR(ISBLANK(A85),C85),IFERROR(0/0,""),INDEX('RFR Data - preExcl'!AL$2:AL447,$R85,1))</f>
        <v>0</v>
      </c>
      <c r="I85" s="54">
        <f>IFERROR(VLOOKUP($B85,'APS Tubes by Date IMPORT'!$B$2:$J447,2,FALSE),"")</f>
        <v>6</v>
      </c>
      <c r="J85" s="54" t="b">
        <f>IFERROR(VLOOKUP($B85,'APS Tubes by Date IMPORT'!$B$2:$J447,9,FALSE),"")</f>
        <v>1</v>
      </c>
      <c r="K85" s="54">
        <f>IFNA(VLOOKUP($B85,'APS Tubes by Date IMPORT'!$B$2:$J447,6,FALSE),"")</f>
        <v>0</v>
      </c>
      <c r="L85" s="74">
        <f t="shared" si="90"/>
        <v>6</v>
      </c>
      <c r="M85" s="89">
        <v>0.0</v>
      </c>
      <c r="N85" s="116">
        <v>0.0</v>
      </c>
      <c r="O85" s="76" t="b">
        <f t="shared" si="91"/>
        <v>1</v>
      </c>
      <c r="P85" s="77" t="str">
        <f>IF(ISBLANK(N85),IFERROR(0/0,""),IFERROR(VLOOKUP(N85, 'Process Ref'!$A$76:$D$124, 2, FALSE), IFERROR(0/0,"")))</f>
        <v>ALL 3 COUNTS SAME meaning APS Collect = APS Result = RFR</v>
      </c>
      <c r="Q85" s="77"/>
      <c r="R85" s="78">
        <f>IFNA(MATCH(A85,'RFR Data - preExcl'!A$2:A447,0),"")</f>
        <v>120</v>
      </c>
      <c r="S85" s="43"/>
      <c r="T85" s="18" t="str">
        <f>IF(EXACT('RFR Data - preExcl'!W85,"Initial"),'RFR Data - preExcl'!A85,IFERROR(0/0,""))</f>
        <v>RUN-ABRM_2022-11-20_RFR-084</v>
      </c>
      <c r="U85" s="79">
        <f>IF(EXACT('RFR Data - preExcl'!W85,"Initial"),'RFR Data - preExcl'!U85,IFERROR(0/0,""))</f>
        <v>44885</v>
      </c>
      <c r="X85" s="43"/>
      <c r="AC85" s="70"/>
      <c r="AF85" s="70"/>
      <c r="AG85" s="74">
        <v>6.0</v>
      </c>
      <c r="AH85" s="54">
        <v>0.0</v>
      </c>
      <c r="AI85" s="116">
        <v>0.0</v>
      </c>
      <c r="AJ85" s="114" t="str">
        <f t="shared" ref="AJ85:AL85" si="94">IF(AG85=L85,IFERROR(0/0,""),FALSE)</f>
        <v/>
      </c>
      <c r="AK85" s="114" t="str">
        <f t="shared" si="94"/>
        <v/>
      </c>
      <c r="AL85" s="114" t="str">
        <f t="shared" si="94"/>
        <v/>
      </c>
      <c r="AM85" s="43"/>
    </row>
    <row r="86">
      <c r="A86" s="7" t="s">
        <v>112</v>
      </c>
      <c r="B86" s="12">
        <v>44931.0</v>
      </c>
      <c r="C86" s="73" t="str">
        <f t="shared" si="3"/>
        <v/>
      </c>
      <c r="D86" s="54">
        <f t="array" ref="D86">IF(OR(ISBLANK($A86),$C86),IFERROR(0/0,""),INDEX('RFR Data - preExcl'!E$2:E447,$R86,1))</f>
        <v>8</v>
      </c>
      <c r="E86" s="54">
        <f t="array" ref="E86">IF(OR(ISBLANK($A86),$C86),IFERROR(0/0,""),INDEX('RFR Data - preExcl'!Z$2:Z447,$R86,1))</f>
        <v>8</v>
      </c>
      <c r="F86" s="54">
        <f t="array" ref="F86">IF(OR(ISBLANK(A86),C86),IFERROR(0/0,""),INDEX('RFR Data - preExcl'!AC$2:AC447,$R86,1))</f>
        <v>6</v>
      </c>
      <c r="G86" s="54">
        <f t="array" ref="G86">IF(OR(ISBLANK(A86),C86),IFERROR(0/0,""),INDEX('RFR Data - preExcl'!AK$2:AK447,$R86,1))</f>
        <v>6</v>
      </c>
      <c r="H86" s="54">
        <f t="array" ref="H86">IF(OR(ISBLANK(A86),C86),IFERROR(0/0,""),INDEX('RFR Data - preExcl'!AL$2:AL447,$R86,1))</f>
        <v>1.1</v>
      </c>
      <c r="I86" s="54">
        <f>IFERROR(VLOOKUP($B86,'APS Tubes by Date IMPORT'!$B$2:$J447,2,FALSE),"")</f>
        <v>6</v>
      </c>
      <c r="J86" s="54" t="b">
        <f>IFERROR(VLOOKUP($B86,'APS Tubes by Date IMPORT'!$B$2:$J447,9,FALSE),"")</f>
        <v>1</v>
      </c>
      <c r="K86" s="54">
        <f>IFNA(VLOOKUP($B86,'APS Tubes by Date IMPORT'!$B$2:$J447,6,FALSE),"")</f>
        <v>0</v>
      </c>
      <c r="L86" s="74">
        <f t="shared" si="90"/>
        <v>6</v>
      </c>
      <c r="M86" s="89">
        <v>0.0</v>
      </c>
      <c r="N86" s="116">
        <v>0.0</v>
      </c>
      <c r="O86" s="76" t="b">
        <f t="shared" si="91"/>
        <v>1</v>
      </c>
      <c r="P86" s="77" t="str">
        <f>IF(ISBLANK(N86),IFERROR(0/0,""),IFERROR(VLOOKUP(N86, 'Process Ref'!$A$76:$D$124, 2, FALSE), IFERROR(0/0,"")))</f>
        <v>ALL 3 COUNTS SAME meaning APS Collect = APS Result = RFR</v>
      </c>
      <c r="Q86" s="77"/>
      <c r="R86" s="78">
        <f>IFNA(MATCH(A86,'RFR Data - preExcl'!A$2:A447,0),"")</f>
        <v>121</v>
      </c>
      <c r="S86" s="43"/>
      <c r="T86" s="18" t="str">
        <f>IF(EXACT('RFR Data - preExcl'!W86,"Initial"),'RFR Data - preExcl'!A86,IFERROR(0/0,""))</f>
        <v/>
      </c>
      <c r="U86" s="18" t="str">
        <f>IF(EXACT('RFR Data - preExcl'!W86,"Initial"),'RFR Data - preExcl'!U86,IFERROR(0/0,""))</f>
        <v/>
      </c>
      <c r="X86" s="43"/>
      <c r="AC86" s="70"/>
      <c r="AF86" s="70"/>
      <c r="AG86" s="74">
        <v>6.0</v>
      </c>
      <c r="AH86" s="54">
        <v>0.0</v>
      </c>
      <c r="AI86" s="116">
        <v>0.0</v>
      </c>
      <c r="AJ86" s="114" t="str">
        <f t="shared" ref="AJ86:AL86" si="95">IF(AG86=L86,IFERROR(0/0,""),FALSE)</f>
        <v/>
      </c>
      <c r="AK86" s="114" t="str">
        <f t="shared" si="95"/>
        <v/>
      </c>
      <c r="AL86" s="114" t="str">
        <f t="shared" si="95"/>
        <v/>
      </c>
      <c r="AM86" s="43"/>
    </row>
    <row r="87">
      <c r="A87" s="7" t="s">
        <v>113</v>
      </c>
      <c r="B87" s="12">
        <v>44932.0</v>
      </c>
      <c r="C87" s="73" t="str">
        <f t="shared" si="3"/>
        <v/>
      </c>
      <c r="D87" s="54">
        <f t="array" ref="D87">IF(OR(ISBLANK($A87),$C87),IFERROR(0/0,""),INDEX('RFR Data - preExcl'!E$2:E447,$R87,1))</f>
        <v>8</v>
      </c>
      <c r="E87" s="54" t="str">
        <f t="array" ref="E87">IF(OR(ISBLANK($A87),$C87),IFERROR(0/0,""),INDEX('RFR Data - preExcl'!Z$2:Z447,$R87,1))</f>
        <v/>
      </c>
      <c r="F87" s="54">
        <f t="array" ref="F87">IF(OR(ISBLANK(A87),C87),IFERROR(0/0,""),INDEX('RFR Data - preExcl'!AC$2:AC447,$R87,1))</f>
        <v>6</v>
      </c>
      <c r="G87" s="54">
        <f t="array" ref="G87">IF(OR(ISBLANK(A87),C87),IFERROR(0/0,""),INDEX('RFR Data - preExcl'!AK$2:AK447,$R87,1))</f>
        <v>6</v>
      </c>
      <c r="H87" s="54">
        <f t="array" ref="H87">IF(OR(ISBLANK(A87),C87),IFERROR(0/0,""),INDEX('RFR Data - preExcl'!AL$2:AL447,$R87,1))</f>
        <v>4</v>
      </c>
      <c r="I87" s="54">
        <f>IFERROR(VLOOKUP($B87,'APS Tubes by Date IMPORT'!$B$2:$J447,2,FALSE),"")</f>
        <v>6</v>
      </c>
      <c r="J87" s="54" t="b">
        <f>IFERROR(VLOOKUP($B87,'APS Tubes by Date IMPORT'!$B$2:$J447,9,FALSE),"")</f>
        <v>1</v>
      </c>
      <c r="K87" s="54">
        <f>IFNA(VLOOKUP($B87,'APS Tubes by Date IMPORT'!$B$2:$J447,6,FALSE),"")</f>
        <v>0</v>
      </c>
      <c r="L87" s="74">
        <f t="shared" si="90"/>
        <v>6</v>
      </c>
      <c r="M87" s="89">
        <v>0.0</v>
      </c>
      <c r="N87" s="116">
        <v>0.0</v>
      </c>
      <c r="O87" s="76" t="b">
        <f t="shared" si="91"/>
        <v>1</v>
      </c>
      <c r="P87" s="77" t="str">
        <f>IF(ISBLANK(N87),IFERROR(0/0,""),IFERROR(VLOOKUP(N87, 'Process Ref'!$A$76:$D$124, 2, FALSE), IFERROR(0/0,"")))</f>
        <v>ALL 3 COUNTS SAME meaning APS Collect = APS Result = RFR</v>
      </c>
      <c r="Q87" s="77"/>
      <c r="R87" s="78">
        <f>IFNA(MATCH(A87,'RFR Data - preExcl'!A$2:A447,0),"")</f>
        <v>123</v>
      </c>
      <c r="S87" s="43"/>
      <c r="T87" s="18" t="str">
        <f>IF(EXACT('RFR Data - preExcl'!W87,"Initial"),'RFR Data - preExcl'!A87,IFERROR(0/0,""))</f>
        <v/>
      </c>
      <c r="U87" s="18" t="str">
        <f>IF(EXACT('RFR Data - preExcl'!W87,"Initial"),'RFR Data - preExcl'!U87,IFERROR(0/0,""))</f>
        <v/>
      </c>
      <c r="W87" s="117" t="str">
        <f>IF(NOT(ISBLANK(U87)),MAX(W$1:W86)+1,IFERROR(0/0,""))</f>
        <v/>
      </c>
      <c r="X87" s="43"/>
      <c r="AC87" s="70"/>
      <c r="AF87" s="70"/>
      <c r="AG87" s="74">
        <v>6.0</v>
      </c>
      <c r="AH87" s="54">
        <v>0.0</v>
      </c>
      <c r="AI87" s="116">
        <v>0.0</v>
      </c>
      <c r="AJ87" s="114" t="str">
        <f t="shared" ref="AJ87:AL87" si="96">IF(AG87=L87,IFERROR(0/0,""),FALSE)</f>
        <v/>
      </c>
      <c r="AK87" s="114" t="str">
        <f t="shared" si="96"/>
        <v/>
      </c>
      <c r="AL87" s="114" t="str">
        <f t="shared" si="96"/>
        <v/>
      </c>
      <c r="AM87" s="43"/>
    </row>
    <row r="88">
      <c r="A88" s="7" t="s">
        <v>114</v>
      </c>
      <c r="B88" s="12">
        <v>44935.0</v>
      </c>
      <c r="C88" s="73" t="str">
        <f t="shared" si="3"/>
        <v/>
      </c>
      <c r="D88" s="54">
        <f t="array" ref="D88">IF(OR(ISBLANK($A88),$C88),IFERROR(0/0,""),INDEX('RFR Data - preExcl'!E$2:E447,$R88,1))</f>
        <v>11</v>
      </c>
      <c r="E88" s="54">
        <f t="array" ref="E88">IF(OR(ISBLANK($A88),$C88),IFERROR(0/0,""),INDEX('RFR Data - preExcl'!Z$2:Z447,$R88,1))</f>
        <v>11</v>
      </c>
      <c r="F88" s="54">
        <f t="array" ref="F88">IF(OR(ISBLANK(A88),C88),IFERROR(0/0,""),INDEX('RFR Data - preExcl'!AC$2:AC447,$R88,1))</f>
        <v>9</v>
      </c>
      <c r="G88" s="54">
        <f t="array" ref="G88">IF(OR(ISBLANK(A88),C88),IFERROR(0/0,""),INDEX('RFR Data - preExcl'!AK$2:AK447,$R88,1))</f>
        <v>9</v>
      </c>
      <c r="H88" s="54">
        <f t="array" ref="H88">IF(OR(ISBLANK(A88),C88),IFERROR(0/0,""),INDEX('RFR Data - preExcl'!AL$2:AL447,$R88,1))</f>
        <v>0</v>
      </c>
      <c r="I88" s="54">
        <f>IFERROR(VLOOKUP($B88,'APS Tubes by Date IMPORT'!$B$2:$J447,2,FALSE),"")</f>
        <v>9</v>
      </c>
      <c r="J88" s="54" t="b">
        <f>IFERROR(VLOOKUP($B88,'APS Tubes by Date IMPORT'!$B$2:$J447,9,FALSE),"")</f>
        <v>1</v>
      </c>
      <c r="K88" s="54">
        <f>IFNA(VLOOKUP($B88,'APS Tubes by Date IMPORT'!$B$2:$J447,6,FALSE),"")</f>
        <v>0</v>
      </c>
      <c r="L88" s="74">
        <f t="shared" si="90"/>
        <v>9</v>
      </c>
      <c r="M88" s="89">
        <v>0.0</v>
      </c>
      <c r="N88" s="116">
        <v>0.0</v>
      </c>
      <c r="O88" s="76" t="b">
        <f t="shared" si="91"/>
        <v>1</v>
      </c>
      <c r="P88" s="77" t="str">
        <f>IF(ISBLANK(N88),IFERROR(0/0,""),IFERROR(VLOOKUP(N88, 'Process Ref'!$A$76:$D$124, 2, FALSE), IFERROR(0/0,"")))</f>
        <v>ALL 3 COUNTS SAME meaning APS Collect = APS Result = RFR</v>
      </c>
      <c r="Q88" s="77"/>
      <c r="R88" s="78">
        <f>IFNA(MATCH(A88,'RFR Data - preExcl'!A$2:A447,0),"")</f>
        <v>125</v>
      </c>
      <c r="S88" s="43"/>
      <c r="T88" s="18" t="str">
        <f>IF(EXACT('RFR Data - preExcl'!W88,"Initial"),'RFR Data - preExcl'!A88,IFERROR(0/0,""))</f>
        <v>RUN-ABRM_2022-11-21_RFR-087</v>
      </c>
      <c r="U88" s="79">
        <f>IF(EXACT('RFR Data - preExcl'!W88,"Initial"),'RFR Data - preExcl'!U88,IFERROR(0/0,""))</f>
        <v>44886</v>
      </c>
      <c r="W88" s="117"/>
      <c r="X88" s="43"/>
      <c r="AC88" s="70"/>
      <c r="AF88" s="70"/>
      <c r="AG88" s="74">
        <v>9.0</v>
      </c>
      <c r="AH88" s="54">
        <v>0.0</v>
      </c>
      <c r="AI88" s="116">
        <v>0.0</v>
      </c>
      <c r="AJ88" s="114" t="str">
        <f t="shared" ref="AJ88:AL88" si="97">IF(AG88=L88,IFERROR(0/0,""),FALSE)</f>
        <v/>
      </c>
      <c r="AK88" s="114" t="str">
        <f t="shared" si="97"/>
        <v/>
      </c>
      <c r="AL88" s="114" t="str">
        <f t="shared" si="97"/>
        <v/>
      </c>
      <c r="AM88" s="43"/>
    </row>
    <row r="89">
      <c r="A89" s="7" t="s">
        <v>115</v>
      </c>
      <c r="B89" s="12">
        <v>44936.0</v>
      </c>
      <c r="C89" s="73" t="str">
        <f t="shared" si="3"/>
        <v/>
      </c>
      <c r="D89" s="54">
        <f t="array" ref="D89">IF(OR(ISBLANK($A89),$C89),IFERROR(0/0,""),INDEX('RFR Data - preExcl'!E$2:E447,$R89,1))</f>
        <v>10</v>
      </c>
      <c r="E89" s="54">
        <f t="array" ref="E89">IF(OR(ISBLANK($A89),$C89),IFERROR(0/0,""),INDEX('RFR Data - preExcl'!Z$2:Z447,$R89,1))</f>
        <v>10</v>
      </c>
      <c r="F89" s="54">
        <f t="array" ref="F89">IF(OR(ISBLANK(A89),C89),IFERROR(0/0,""),INDEX('RFR Data - preExcl'!AC$2:AC447,$R89,1))</f>
        <v>8</v>
      </c>
      <c r="G89" s="54">
        <f t="array" ref="G89">IF(OR(ISBLANK(A89),C89),IFERROR(0/0,""),INDEX('RFR Data - preExcl'!AK$2:AK447,$R89,1))</f>
        <v>8</v>
      </c>
      <c r="H89" s="54">
        <f t="array" ref="H89">IF(OR(ISBLANK(A89),C89),IFERROR(0/0,""),INDEX('RFR Data - preExcl'!AL$2:AL447,$R89,1))</f>
        <v>4</v>
      </c>
      <c r="I89" s="54">
        <f>IFERROR(VLOOKUP($B89,'APS Tubes by Date IMPORT'!$B$2:$J447,2,FALSE),"")</f>
        <v>8</v>
      </c>
      <c r="J89" s="54" t="b">
        <f>IFERROR(VLOOKUP($B89,'APS Tubes by Date IMPORT'!$B$2:$J447,9,FALSE),"")</f>
        <v>1</v>
      </c>
      <c r="K89" s="54">
        <f>IFNA(VLOOKUP($B89,'APS Tubes by Date IMPORT'!$B$2:$J447,6,FALSE),"")</f>
        <v>0</v>
      </c>
      <c r="L89" s="74">
        <f t="shared" si="90"/>
        <v>8</v>
      </c>
      <c r="M89" s="89">
        <v>0.0</v>
      </c>
      <c r="N89" s="116">
        <v>0.0</v>
      </c>
      <c r="O89" s="76" t="b">
        <f t="shared" si="91"/>
        <v>1</v>
      </c>
      <c r="P89" s="77" t="str">
        <f>IF(ISBLANK(N89),IFERROR(0/0,""),IFERROR(VLOOKUP(N89, 'Process Ref'!$A$76:$D$124, 2, FALSE), IFERROR(0/0,"")))</f>
        <v>ALL 3 COUNTS SAME meaning APS Collect = APS Result = RFR</v>
      </c>
      <c r="Q89" s="77"/>
      <c r="R89" s="78">
        <f>IFNA(MATCH(A89,'RFR Data - preExcl'!A$2:A447,0),"")</f>
        <v>126</v>
      </c>
      <c r="S89" s="43"/>
      <c r="T89" s="18" t="str">
        <f>IF(EXACT('RFR Data - preExcl'!W89,"Initial"),'RFR Data - preExcl'!A89,IFERROR(0/0,""))</f>
        <v>RUN-ABRM_2022-11-21_RFR-088</v>
      </c>
      <c r="U89" s="79">
        <f>IF(EXACT('RFR Data - preExcl'!W89,"Initial"),'RFR Data - preExcl'!U89,IFERROR(0/0,""))</f>
        <v>44886</v>
      </c>
      <c r="W89" s="118"/>
      <c r="X89" s="43"/>
      <c r="AC89" s="70"/>
      <c r="AF89" s="70"/>
      <c r="AG89" s="74">
        <v>8.0</v>
      </c>
      <c r="AH89" s="54">
        <v>0.0</v>
      </c>
      <c r="AI89" s="116">
        <v>0.0</v>
      </c>
      <c r="AJ89" s="114" t="str">
        <f t="shared" ref="AJ89:AL89" si="98">IF(AG89=L89,IFERROR(0/0,""),FALSE)</f>
        <v/>
      </c>
      <c r="AK89" s="114" t="str">
        <f t="shared" si="98"/>
        <v/>
      </c>
      <c r="AL89" s="114" t="str">
        <f t="shared" si="98"/>
        <v/>
      </c>
      <c r="AM89" s="43"/>
    </row>
    <row r="90">
      <c r="A90" s="7" t="s">
        <v>116</v>
      </c>
      <c r="B90" s="12">
        <v>44937.0</v>
      </c>
      <c r="C90" s="73" t="str">
        <f t="shared" si="3"/>
        <v/>
      </c>
      <c r="D90" s="54">
        <f t="array" ref="D90">IF(OR(ISBLANK($A90),$C90),IFERROR(0/0,""),INDEX('RFR Data - preExcl'!E$2:E447,$R90,1))</f>
        <v>10</v>
      </c>
      <c r="E90" s="54">
        <f t="array" ref="E90">IF(OR(ISBLANK($A90),$C90),IFERROR(0/0,""),INDEX('RFR Data - preExcl'!Z$2:Z447,$R90,1))</f>
        <v>10</v>
      </c>
      <c r="F90" s="54">
        <f t="array" ref="F90">IF(OR(ISBLANK(A90),C90),IFERROR(0/0,""),INDEX('RFR Data - preExcl'!AC$2:AC447,$R90,1))</f>
        <v>8</v>
      </c>
      <c r="G90" s="54">
        <f t="array" ref="G90">IF(OR(ISBLANK(A90),C90),IFERROR(0/0,""),INDEX('RFR Data - preExcl'!AK$2:AK447,$R90,1))</f>
        <v>8</v>
      </c>
      <c r="H90" s="54">
        <f t="array" ref="H90">IF(OR(ISBLANK(A90),C90),IFERROR(0/0,""),INDEX('RFR Data - preExcl'!AL$2:AL447,$R90,1))</f>
        <v>0</v>
      </c>
      <c r="I90" s="54">
        <f>IFERROR(VLOOKUP($B90,'APS Tubes by Date IMPORT'!$B$2:$J447,2,FALSE),"")</f>
        <v>8</v>
      </c>
      <c r="J90" s="54" t="b">
        <f>IFERROR(VLOOKUP($B90,'APS Tubes by Date IMPORT'!$B$2:$J447,9,FALSE),"")</f>
        <v>1</v>
      </c>
      <c r="K90" s="54">
        <f>IFNA(VLOOKUP($B90,'APS Tubes by Date IMPORT'!$B$2:$J447,6,FALSE),"")</f>
        <v>0</v>
      </c>
      <c r="L90" s="74">
        <f t="shared" si="90"/>
        <v>8</v>
      </c>
      <c r="M90" s="89">
        <v>0.0</v>
      </c>
      <c r="N90" s="116">
        <v>0.0</v>
      </c>
      <c r="O90" s="76" t="b">
        <f t="shared" si="91"/>
        <v>1</v>
      </c>
      <c r="P90" s="77" t="str">
        <f>IF(ISBLANK(N90),IFERROR(0/0,""),IFERROR(VLOOKUP(N90, 'Process Ref'!$A$76:$D$124, 2, FALSE), IFERROR(0/0,"")))</f>
        <v>ALL 3 COUNTS SAME meaning APS Collect = APS Result = RFR</v>
      </c>
      <c r="Q90" s="77"/>
      <c r="R90" s="78">
        <f>IFNA(MATCH(A90,'RFR Data - preExcl'!A$2:A447,0),"")</f>
        <v>128</v>
      </c>
      <c r="S90" s="43"/>
      <c r="T90" s="18" t="str">
        <f>IF(EXACT('RFR Data - preExcl'!W90,"Initial"),'RFR Data - preExcl'!A90,IFERROR(0/0,""))</f>
        <v>RUN-ABRM_2022-11-22_RFR-089</v>
      </c>
      <c r="U90" s="79">
        <f>IF(EXACT('RFR Data - preExcl'!W90,"Initial"),'RFR Data - preExcl'!U90,IFERROR(0/0,""))</f>
        <v>44887</v>
      </c>
      <c r="W90" s="118"/>
      <c r="X90" s="43"/>
      <c r="AC90" s="70"/>
      <c r="AF90" s="70"/>
      <c r="AG90" s="74">
        <v>8.0</v>
      </c>
      <c r="AH90" s="54">
        <v>0.0</v>
      </c>
      <c r="AI90" s="116">
        <v>0.0</v>
      </c>
      <c r="AJ90" s="114" t="str">
        <f t="shared" ref="AJ90:AL90" si="99">IF(AG90=L90,IFERROR(0/0,""),FALSE)</f>
        <v/>
      </c>
      <c r="AK90" s="114" t="str">
        <f t="shared" si="99"/>
        <v/>
      </c>
      <c r="AL90" s="114" t="str">
        <f t="shared" si="99"/>
        <v/>
      </c>
      <c r="AM90" s="43"/>
    </row>
    <row r="91">
      <c r="A91" s="7" t="s">
        <v>117</v>
      </c>
      <c r="B91" s="12">
        <v>44938.0</v>
      </c>
      <c r="C91" s="73" t="str">
        <f t="shared" si="3"/>
        <v/>
      </c>
      <c r="D91" s="54">
        <f t="array" ref="D91">IF(OR(ISBLANK($A91),$C91),IFERROR(0/0,""),INDEX('RFR Data - preExcl'!E$2:E447,$R91,1))</f>
        <v>6</v>
      </c>
      <c r="E91" s="54">
        <f t="array" ref="E91">IF(OR(ISBLANK($A91),$C91),IFERROR(0/0,""),INDEX('RFR Data - preExcl'!Z$2:Z447,$R91,1))</f>
        <v>6</v>
      </c>
      <c r="F91" s="54">
        <f t="array" ref="F91">IF(OR(ISBLANK(A91),C91),IFERROR(0/0,""),INDEX('RFR Data - preExcl'!AC$2:AC447,$R91,1))</f>
        <v>4</v>
      </c>
      <c r="G91" s="54">
        <f t="array" ref="G91">IF(OR(ISBLANK(A91),C91),IFERROR(0/0,""),INDEX('RFR Data - preExcl'!AK$2:AK447,$R91,1))</f>
        <v>4</v>
      </c>
      <c r="H91" s="54">
        <f t="array" ref="H91">IF(OR(ISBLANK(A91),C91),IFERROR(0/0,""),INDEX('RFR Data - preExcl'!AL$2:AL447,$R91,1))</f>
        <v>2</v>
      </c>
      <c r="I91" s="54">
        <f>IFERROR(VLOOKUP($B91,'APS Tubes by Date IMPORT'!$B$2:$J447,2,FALSE),"")</f>
        <v>4</v>
      </c>
      <c r="J91" s="54" t="b">
        <f>IFERROR(VLOOKUP($B91,'APS Tubes by Date IMPORT'!$B$2:$J447,9,FALSE),"")</f>
        <v>1</v>
      </c>
      <c r="K91" s="54">
        <f>IFNA(VLOOKUP($B91,'APS Tubes by Date IMPORT'!$B$2:$J447,6,FALSE),"")</f>
        <v>0</v>
      </c>
      <c r="L91" s="74">
        <f t="shared" si="90"/>
        <v>4</v>
      </c>
      <c r="M91" s="89">
        <v>0.0</v>
      </c>
      <c r="N91" s="116">
        <v>0.0</v>
      </c>
      <c r="O91" s="76" t="b">
        <f t="shared" si="91"/>
        <v>1</v>
      </c>
      <c r="P91" s="77" t="str">
        <f>IF(ISBLANK(N91),IFERROR(0/0,""),IFERROR(VLOOKUP(N91, 'Process Ref'!$A$76:$D$124, 2, FALSE), IFERROR(0/0,"")))</f>
        <v>ALL 3 COUNTS SAME meaning APS Collect = APS Result = RFR</v>
      </c>
      <c r="Q91" s="77"/>
      <c r="R91" s="78">
        <f>IFNA(MATCH(A91,'RFR Data - preExcl'!A$2:A447,0),"")</f>
        <v>129</v>
      </c>
      <c r="S91" s="43"/>
      <c r="T91" s="18" t="str">
        <f>IF(EXACT('RFR Data - preExcl'!W91,"Initial"),'RFR Data - preExcl'!A91,IFERROR(0/0,""))</f>
        <v>RUN-ABRM_2022-11-25_RFR-090</v>
      </c>
      <c r="U91" s="79">
        <f>IF(EXACT('RFR Data - preExcl'!W91,"Initial"),'RFR Data - preExcl'!U91,IFERROR(0/0,""))</f>
        <v>44890</v>
      </c>
      <c r="W91" s="118"/>
      <c r="X91" s="43"/>
      <c r="AC91" s="70"/>
      <c r="AF91" s="70"/>
      <c r="AG91" s="74">
        <v>4.0</v>
      </c>
      <c r="AH91" s="54">
        <v>0.0</v>
      </c>
      <c r="AI91" s="116">
        <v>0.0</v>
      </c>
      <c r="AJ91" s="114" t="str">
        <f t="shared" ref="AJ91:AL91" si="100">IF(AG91=L91,IFERROR(0/0,""),FALSE)</f>
        <v/>
      </c>
      <c r="AK91" s="114" t="str">
        <f t="shared" si="100"/>
        <v/>
      </c>
      <c r="AL91" s="114" t="str">
        <f t="shared" si="100"/>
        <v/>
      </c>
      <c r="AM91" s="43"/>
    </row>
    <row r="92">
      <c r="A92" s="7" t="s">
        <v>118</v>
      </c>
      <c r="B92" s="12">
        <v>44939.0</v>
      </c>
      <c r="C92" s="73" t="str">
        <f t="shared" si="3"/>
        <v/>
      </c>
      <c r="D92" s="54">
        <f t="array" ref="D92">IF(OR(ISBLANK($A92),$C92),IFERROR(0/0,""),INDEX('RFR Data - preExcl'!E$2:E447,$R92,1))</f>
        <v>5</v>
      </c>
      <c r="E92" s="54">
        <f t="array" ref="E92">IF(OR(ISBLANK($A92),$C92),IFERROR(0/0,""),INDEX('RFR Data - preExcl'!Z$2:Z447,$R92,1))</f>
        <v>12</v>
      </c>
      <c r="F92" s="54">
        <f t="array" ref="F92">IF(OR(ISBLANK(A92),C92),IFERROR(0/0,""),INDEX('RFR Data - preExcl'!AC$2:AC447,$R92,1))</f>
        <v>10</v>
      </c>
      <c r="G92" s="54">
        <f t="array" ref="G92">IF(OR(ISBLANK(A92),C92),IFERROR(0/0,""),INDEX('RFR Data - preExcl'!AK$2:AK447,$R92,1))</f>
        <v>10</v>
      </c>
      <c r="H92" s="54">
        <f t="array" ref="H92">IF(OR(ISBLANK(A92),C92),IFERROR(0/0,""),INDEX('RFR Data - preExcl'!AL$2:AL447,$R92,1))</f>
        <v>4</v>
      </c>
      <c r="I92" s="54">
        <f>IFERROR(VLOOKUP($B92,'APS Tubes by Date IMPORT'!$B$2:$J447,2,FALSE),"")</f>
        <v>10</v>
      </c>
      <c r="J92" s="54" t="b">
        <f>IFERROR(VLOOKUP($B92,'APS Tubes by Date IMPORT'!$B$2:$J447,9,FALSE),"")</f>
        <v>1</v>
      </c>
      <c r="K92" s="54">
        <f>IFNA(VLOOKUP($B92,'APS Tubes by Date IMPORT'!$B$2:$J447,6,FALSE),"")</f>
        <v>0</v>
      </c>
      <c r="L92" s="74">
        <f t="shared" si="90"/>
        <v>10</v>
      </c>
      <c r="M92" s="89">
        <v>0.0</v>
      </c>
      <c r="N92" s="116">
        <v>3.0</v>
      </c>
      <c r="O92" s="76" t="b">
        <f t="shared" si="91"/>
        <v>1</v>
      </c>
      <c r="P92" s="77" t="str">
        <f>IF(ISBLANK(N92),IFERROR(0/0,""),IFERROR(VLOOKUP(N92, 'Process Ref'!$A$76:$D$124, 2, FALSE), IFERROR(0/0,"")))</f>
        <v>ALL 3 COUNTS SAME after Null deleted</v>
      </c>
      <c r="Q92" s="110" t="s">
        <v>232</v>
      </c>
      <c r="R92" s="78">
        <f>IFNA(MATCH(A92,'RFR Data - preExcl'!A$2:A447,0),"")</f>
        <v>131</v>
      </c>
      <c r="S92" s="43"/>
      <c r="T92" s="18" t="str">
        <f>IF(EXACT('RFR Data - preExcl'!W92,"Initial"),'RFR Data - preExcl'!A92,IFERROR(0/0,""))</f>
        <v>RUN-ABRM_2022-11-27_RFR-091</v>
      </c>
      <c r="U92" s="79">
        <f>IF(EXACT('RFR Data - preExcl'!W92,"Initial"),'RFR Data - preExcl'!U92,IFERROR(0/0,""))</f>
        <v>44892</v>
      </c>
      <c r="W92" s="118"/>
      <c r="X92" s="43"/>
      <c r="AC92" s="70"/>
      <c r="AF92" s="70"/>
      <c r="AG92" s="74">
        <v>10.0</v>
      </c>
      <c r="AH92" s="54">
        <v>0.0</v>
      </c>
      <c r="AI92" s="116">
        <v>3.0</v>
      </c>
      <c r="AJ92" s="114" t="str">
        <f t="shared" ref="AJ92:AL92" si="101">IF(AG92=L92,IFERROR(0/0,""),FALSE)</f>
        <v/>
      </c>
      <c r="AK92" s="114" t="str">
        <f t="shared" si="101"/>
        <v/>
      </c>
      <c r="AL92" s="114" t="str">
        <f t="shared" si="101"/>
        <v/>
      </c>
      <c r="AM92" s="43"/>
    </row>
    <row r="93">
      <c r="A93" s="7" t="s">
        <v>119</v>
      </c>
      <c r="B93" s="12">
        <v>44942.0</v>
      </c>
      <c r="C93" s="73" t="str">
        <f t="shared" si="3"/>
        <v/>
      </c>
      <c r="D93" s="54">
        <f t="array" ref="D93">IF(OR(ISBLANK($A93),$C93),IFERROR(0/0,""),INDEX('RFR Data - preExcl'!E$2:E447,$R93,1))</f>
        <v>11</v>
      </c>
      <c r="E93" s="54">
        <f t="array" ref="E93">IF(OR(ISBLANK($A93),$C93),IFERROR(0/0,""),INDEX('RFR Data - preExcl'!Z$2:Z447,$R93,1))</f>
        <v>11</v>
      </c>
      <c r="F93" s="54">
        <f t="array" ref="F93">IF(OR(ISBLANK(A93),C93),IFERROR(0/0,""),INDEX('RFR Data - preExcl'!AC$2:AC447,$R93,1))</f>
        <v>9</v>
      </c>
      <c r="G93" s="54">
        <f t="array" ref="G93">IF(OR(ISBLANK(A93),C93),IFERROR(0/0,""),INDEX('RFR Data - preExcl'!AK$2:AK447,$R93,1))</f>
        <v>9</v>
      </c>
      <c r="H93" s="54">
        <f t="array" ref="H93">IF(OR(ISBLANK(A93),C93),IFERROR(0/0,""),INDEX('RFR Data - preExcl'!AL$2:AL447,$R93,1))</f>
        <v>1.1</v>
      </c>
      <c r="I93" s="54">
        <f>IFERROR(VLOOKUP($B93,'APS Tubes by Date IMPORT'!$B$2:$J447,2,FALSE),"")</f>
        <v>9</v>
      </c>
      <c r="J93" s="54" t="b">
        <f>IFERROR(VLOOKUP($B93,'APS Tubes by Date IMPORT'!$B$2:$J447,9,FALSE),"")</f>
        <v>1</v>
      </c>
      <c r="K93" s="54">
        <f>IFNA(VLOOKUP($B93,'APS Tubes by Date IMPORT'!$B$2:$J447,6,FALSE),"")</f>
        <v>0</v>
      </c>
      <c r="L93" s="74">
        <f t="shared" si="90"/>
        <v>9</v>
      </c>
      <c r="M93" s="89">
        <v>0.0</v>
      </c>
      <c r="N93" s="116">
        <v>0.0</v>
      </c>
      <c r="O93" s="76" t="b">
        <f t="shared" si="91"/>
        <v>1</v>
      </c>
      <c r="P93" s="77" t="str">
        <f>IF(ISBLANK(N93),IFERROR(0/0,""),IFERROR(VLOOKUP(N93, 'Process Ref'!$A$76:$D$124, 2, FALSE), IFERROR(0/0,"")))</f>
        <v>ALL 3 COUNTS SAME meaning APS Collect = APS Result = RFR</v>
      </c>
      <c r="Q93" s="77"/>
      <c r="R93" s="78">
        <f>IFNA(MATCH(A93,'RFR Data - preExcl'!A$2:A447,0),"")</f>
        <v>133</v>
      </c>
      <c r="S93" s="43"/>
      <c r="T93" s="18" t="str">
        <f>IF(EXACT('RFR Data - preExcl'!W93,"Initial"),'RFR Data - preExcl'!A93,IFERROR(0/0,""))</f>
        <v>RUN-ABRM_2022-11-28_RFR-092</v>
      </c>
      <c r="U93" s="79">
        <f>IF(EXACT('RFR Data - preExcl'!W93,"Initial"),'RFR Data - preExcl'!U93,IFERROR(0/0,""))</f>
        <v>44893</v>
      </c>
      <c r="W93" s="118"/>
      <c r="X93" s="43"/>
      <c r="AC93" s="70"/>
      <c r="AF93" s="70"/>
      <c r="AG93" s="74">
        <v>9.0</v>
      </c>
      <c r="AH93" s="54">
        <v>0.0</v>
      </c>
      <c r="AI93" s="116">
        <v>0.0</v>
      </c>
      <c r="AJ93" s="114" t="str">
        <f t="shared" ref="AJ93:AL93" si="102">IF(AG93=L93,IFERROR(0/0,""),FALSE)</f>
        <v/>
      </c>
      <c r="AK93" s="114" t="str">
        <f t="shared" si="102"/>
        <v/>
      </c>
      <c r="AL93" s="114" t="str">
        <f t="shared" si="102"/>
        <v/>
      </c>
      <c r="AM93" s="43"/>
    </row>
    <row r="94">
      <c r="A94" s="7" t="s">
        <v>120</v>
      </c>
      <c r="B94" s="12">
        <v>44943.0</v>
      </c>
      <c r="C94" s="73" t="str">
        <f t="shared" si="3"/>
        <v/>
      </c>
      <c r="D94" s="54">
        <f t="array" ref="D94">IF(OR(ISBLANK($A94),$C94),IFERROR(0/0,""),INDEX('RFR Data - preExcl'!E$2:E447,$R94,1))</f>
        <v>12</v>
      </c>
      <c r="E94" s="54">
        <f t="array" ref="E94">IF(OR(ISBLANK($A94),$C94),IFERROR(0/0,""),INDEX('RFR Data - preExcl'!Z$2:Z447,$R94,1))</f>
        <v>12</v>
      </c>
      <c r="F94" s="54">
        <f t="array" ref="F94">IF(OR(ISBLANK(A94),C94),IFERROR(0/0,""),INDEX('RFR Data - preExcl'!AC$2:AC447,$R94,1))</f>
        <v>10</v>
      </c>
      <c r="G94" s="54">
        <f t="array" ref="G94">IF(OR(ISBLANK(A94),C94),IFERROR(0/0,""),INDEX('RFR Data - preExcl'!AK$2:AK447,$R94,1))</f>
        <v>10</v>
      </c>
      <c r="H94" s="54">
        <f t="array" ref="H94">IF(OR(ISBLANK(A94),C94),IFERROR(0/0,""),INDEX('RFR Data - preExcl'!AL$2:AL447,$R94,1))</f>
        <v>0</v>
      </c>
      <c r="I94" s="54">
        <f>IFERROR(VLOOKUP($B94,'APS Tubes by Date IMPORT'!$B$2:$J447,2,FALSE),"")</f>
        <v>10</v>
      </c>
      <c r="J94" s="54" t="b">
        <f>IFERROR(VLOOKUP($B94,'APS Tubes by Date IMPORT'!$B$2:$J447,9,FALSE),"")</f>
        <v>1</v>
      </c>
      <c r="K94" s="54">
        <f>IFNA(VLOOKUP($B94,'APS Tubes by Date IMPORT'!$B$2:$J447,6,FALSE),"")</f>
        <v>0</v>
      </c>
      <c r="L94" s="74">
        <f t="shared" si="90"/>
        <v>10</v>
      </c>
      <c r="M94" s="89">
        <v>0.0</v>
      </c>
      <c r="N94" s="116">
        <v>0.0</v>
      </c>
      <c r="O94" s="76" t="b">
        <f t="shared" si="91"/>
        <v>1</v>
      </c>
      <c r="P94" s="77" t="str">
        <f>IF(ISBLANK(N94),IFERROR(0/0,""),IFERROR(VLOOKUP(N94, 'Process Ref'!$A$76:$D$124, 2, FALSE), IFERROR(0/0,"")))</f>
        <v>ALL 3 COUNTS SAME meaning APS Collect = APS Result = RFR</v>
      </c>
      <c r="Q94" s="77"/>
      <c r="R94" s="78">
        <f>IFNA(MATCH(A94,'RFR Data - preExcl'!A$2:A447,0),"")</f>
        <v>135</v>
      </c>
      <c r="S94" s="43"/>
      <c r="T94" s="18" t="str">
        <f>IF(EXACT('RFR Data - preExcl'!W94,"Initial"),'RFR Data - preExcl'!A94,IFERROR(0/0,""))</f>
        <v>RUN-ABRM_2022-11-29_RFR-093</v>
      </c>
      <c r="U94" s="79">
        <f>IF(EXACT('RFR Data - preExcl'!W94,"Initial"),'RFR Data - preExcl'!U94,IFERROR(0/0,""))</f>
        <v>44894</v>
      </c>
      <c r="W94" s="117"/>
      <c r="X94" s="43"/>
      <c r="AC94" s="70"/>
      <c r="AF94" s="70"/>
      <c r="AG94" s="74">
        <v>10.0</v>
      </c>
      <c r="AH94" s="54">
        <v>0.0</v>
      </c>
      <c r="AI94" s="116">
        <v>0.0</v>
      </c>
      <c r="AJ94" s="114" t="str">
        <f t="shared" ref="AJ94:AL94" si="103">IF(AG94=L94,IFERROR(0/0,""),FALSE)</f>
        <v/>
      </c>
      <c r="AK94" s="114" t="str">
        <f t="shared" si="103"/>
        <v/>
      </c>
      <c r="AL94" s="114" t="str">
        <f t="shared" si="103"/>
        <v/>
      </c>
      <c r="AM94" s="43"/>
    </row>
    <row r="95">
      <c r="A95" s="7" t="s">
        <v>121</v>
      </c>
      <c r="B95" s="12">
        <v>44944.0</v>
      </c>
      <c r="C95" s="73" t="str">
        <f t="shared" si="3"/>
        <v/>
      </c>
      <c r="D95" s="54">
        <f t="array" ref="D95">IF(OR(ISBLANK($A95),$C95),IFERROR(0/0,""),INDEX('RFR Data - preExcl'!E$2:E447,$R95,1))</f>
        <v>8</v>
      </c>
      <c r="E95" s="54" t="str">
        <f t="array" ref="E95">IF(OR(ISBLANK($A95),$C95),IFERROR(0/0,""),INDEX('RFR Data - preExcl'!Z$2:Z447,$R95,1))</f>
        <v/>
      </c>
      <c r="F95" s="54">
        <f t="array" ref="F95">IF(OR(ISBLANK(A95),C95),IFERROR(0/0,""),INDEX('RFR Data - preExcl'!AC$2:AC447,$R95,1))</f>
        <v>6</v>
      </c>
      <c r="G95" s="54">
        <f t="array" ref="G95">IF(OR(ISBLANK(A95),C95),IFERROR(0/0,""),INDEX('RFR Data - preExcl'!AK$2:AK447,$R95,1))</f>
        <v>6</v>
      </c>
      <c r="H95" s="54">
        <f t="array" ref="H95">IF(OR(ISBLANK(A95),C95),IFERROR(0/0,""),INDEX('RFR Data - preExcl'!AL$2:AL447,$R95,1))</f>
        <v>0</v>
      </c>
      <c r="I95" s="54">
        <f>IFERROR(VLOOKUP($B95,'APS Tubes by Date IMPORT'!$B$2:$J447,2,FALSE),"")</f>
        <v>6</v>
      </c>
      <c r="J95" s="54" t="b">
        <f>IFERROR(VLOOKUP($B95,'APS Tubes by Date IMPORT'!$B$2:$J447,9,FALSE),"")</f>
        <v>1</v>
      </c>
      <c r="K95" s="54">
        <f>IFNA(VLOOKUP($B95,'APS Tubes by Date IMPORT'!$B$2:$J447,6,FALSE),"")</f>
        <v>0</v>
      </c>
      <c r="L95" s="74">
        <f t="shared" si="90"/>
        <v>6</v>
      </c>
      <c r="M95" s="89">
        <v>0.0</v>
      </c>
      <c r="N95" s="116">
        <v>0.0</v>
      </c>
      <c r="O95" s="76" t="b">
        <f t="shared" si="91"/>
        <v>1</v>
      </c>
      <c r="P95" s="77" t="str">
        <f>IF(ISBLANK(N95),IFERROR(0/0,""),IFERROR(VLOOKUP(N95, 'Process Ref'!$A$76:$D$124, 2, FALSE), IFERROR(0/0,"")))</f>
        <v>ALL 3 COUNTS SAME meaning APS Collect = APS Result = RFR</v>
      </c>
      <c r="Q95" s="77"/>
      <c r="R95" s="78">
        <f>IFNA(MATCH(A95,'RFR Data - preExcl'!A$2:A447,0),"")</f>
        <v>136</v>
      </c>
      <c r="S95" s="43"/>
      <c r="T95" s="18" t="str">
        <f>IF(EXACT('RFR Data - preExcl'!W95,"Initial"),'RFR Data - preExcl'!A95,IFERROR(0/0,""))</f>
        <v>RUN-ABRM_2022-11-30_RFR-094</v>
      </c>
      <c r="U95" s="79">
        <f>IF(EXACT('RFR Data - preExcl'!W95,"Initial"),'RFR Data - preExcl'!U95,IFERROR(0/0,""))</f>
        <v>44895</v>
      </c>
      <c r="W95" s="117"/>
      <c r="X95" s="43"/>
      <c r="AC95" s="70"/>
      <c r="AF95" s="70"/>
      <c r="AG95" s="74">
        <v>6.0</v>
      </c>
      <c r="AH95" s="54">
        <v>0.0</v>
      </c>
      <c r="AI95" s="116">
        <v>0.0</v>
      </c>
      <c r="AJ95" s="114" t="str">
        <f t="shared" ref="AJ95:AL95" si="104">IF(AG95=L95,IFERROR(0/0,""),FALSE)</f>
        <v/>
      </c>
      <c r="AK95" s="114" t="str">
        <f t="shared" si="104"/>
        <v/>
      </c>
      <c r="AL95" s="114" t="str">
        <f t="shared" si="104"/>
        <v/>
      </c>
      <c r="AM95" s="43"/>
    </row>
    <row r="96">
      <c r="A96" s="7" t="s">
        <v>122</v>
      </c>
      <c r="B96" s="12">
        <v>44945.0</v>
      </c>
      <c r="C96" s="73" t="str">
        <f t="shared" si="3"/>
        <v/>
      </c>
      <c r="D96" s="54">
        <f t="array" ref="D96">IF(OR(ISBLANK($A96),$C96),IFERROR(0/0,""),INDEX('RFR Data - preExcl'!E$2:E447,$R96,1))</f>
        <v>11</v>
      </c>
      <c r="E96" s="54">
        <f t="array" ref="E96">IF(OR(ISBLANK($A96),$C96),IFERROR(0/0,""),INDEX('RFR Data - preExcl'!Z$2:Z447,$R96,1))</f>
        <v>11</v>
      </c>
      <c r="F96" s="54">
        <f t="array" ref="F96">IF(OR(ISBLANK(A96),C96),IFERROR(0/0,""),INDEX('RFR Data - preExcl'!AC$2:AC447,$R96,1))</f>
        <v>9</v>
      </c>
      <c r="G96" s="54">
        <f t="array" ref="G96">IF(OR(ISBLANK(A96),C96),IFERROR(0/0,""),INDEX('RFR Data - preExcl'!AK$2:AK447,$R96,1))</f>
        <v>9</v>
      </c>
      <c r="H96" s="54">
        <f t="array" ref="H96">IF(OR(ISBLANK(A96),C96),IFERROR(0/0,""),INDEX('RFR Data - preExcl'!AL$2:AL447,$R96,1))</f>
        <v>4</v>
      </c>
      <c r="I96" s="54">
        <f>IFERROR(VLOOKUP($B96,'APS Tubes by Date IMPORT'!$B$2:$J447,2,FALSE),"")</f>
        <v>9</v>
      </c>
      <c r="J96" s="54" t="b">
        <f>IFERROR(VLOOKUP($B96,'APS Tubes by Date IMPORT'!$B$2:$J447,9,FALSE),"")</f>
        <v>1</v>
      </c>
      <c r="K96" s="54">
        <f>IFNA(VLOOKUP($B96,'APS Tubes by Date IMPORT'!$B$2:$J447,6,FALSE),"")</f>
        <v>0</v>
      </c>
      <c r="L96" s="74">
        <f t="shared" si="90"/>
        <v>9</v>
      </c>
      <c r="M96" s="89">
        <v>0.0</v>
      </c>
      <c r="N96" s="116">
        <v>3.0</v>
      </c>
      <c r="O96" s="76" t="b">
        <f t="shared" si="91"/>
        <v>1</v>
      </c>
      <c r="P96" s="77" t="str">
        <f>IF(ISBLANK(N96),IFERROR(0/0,""),IFERROR(VLOOKUP(N96, 'Process Ref'!$A$76:$D$124, 2, FALSE), IFERROR(0/0,"")))</f>
        <v>ALL 3 COUNTS SAME after Null deleted</v>
      </c>
      <c r="Q96" s="110" t="s">
        <v>232</v>
      </c>
      <c r="R96" s="78">
        <f>IFNA(MATCH(A96,'RFR Data - preExcl'!A$2:A447,0),"")</f>
        <v>137</v>
      </c>
      <c r="S96" s="43"/>
      <c r="T96" s="18" t="str">
        <f>IF(EXACT('RFR Data - preExcl'!W96,"Initial"),'RFR Data - preExcl'!A96,IFERROR(0/0,""))</f>
        <v>RUN-ABRM_2022-12-01_RFR-095</v>
      </c>
      <c r="U96" s="79">
        <f>IF(EXACT('RFR Data - preExcl'!W96,"Initial"),'RFR Data - preExcl'!U96,IFERROR(0/0,""))</f>
        <v>44896</v>
      </c>
      <c r="W96" s="117"/>
      <c r="X96" s="43"/>
      <c r="AC96" s="70"/>
      <c r="AF96" s="70"/>
      <c r="AG96" s="74">
        <v>9.0</v>
      </c>
      <c r="AH96" s="54">
        <v>0.0</v>
      </c>
      <c r="AI96" s="116">
        <v>3.0</v>
      </c>
      <c r="AJ96" s="114" t="str">
        <f t="shared" ref="AJ96:AL96" si="105">IF(AG96=L96,IFERROR(0/0,""),FALSE)</f>
        <v/>
      </c>
      <c r="AK96" s="114" t="str">
        <f t="shared" si="105"/>
        <v/>
      </c>
      <c r="AL96" s="114" t="str">
        <f t="shared" si="105"/>
        <v/>
      </c>
      <c r="AM96" s="43"/>
    </row>
    <row r="97">
      <c r="A97" s="106" t="s">
        <v>123</v>
      </c>
      <c r="B97" s="107">
        <v>44946.0</v>
      </c>
      <c r="C97" s="73" t="str">
        <f t="shared" si="3"/>
        <v/>
      </c>
      <c r="D97" s="54">
        <f t="array" ref="D97">IF(OR(ISBLANK($A97),$C97),IFERROR(0/0,""),INDEX('RFR Data - preExcl'!E$2:E447,$R97,1))</f>
        <v>8</v>
      </c>
      <c r="E97" s="54">
        <f t="array" ref="E97">IF(OR(ISBLANK($A97),$C97),IFERROR(0/0,""),INDEX('RFR Data - preExcl'!Z$2:Z447,$R97,1))</f>
        <v>8</v>
      </c>
      <c r="F97" s="54">
        <f t="array" ref="F97">IF(OR(ISBLANK(A97),C97),IFERROR(0/0,""),INDEX('RFR Data - preExcl'!AC$2:AC447,$R97,1))</f>
        <v>6</v>
      </c>
      <c r="G97" s="54">
        <f t="array" ref="G97">IF(OR(ISBLANK(A97),C97),IFERROR(0/0,""),INDEX('RFR Data - preExcl'!AK$2:AK447,$R97,1))</f>
        <v>6</v>
      </c>
      <c r="H97" s="54">
        <f t="array" ref="H97">IF(OR(ISBLANK(A97),C97),IFERROR(0/0,""),INDEX('RFR Data - preExcl'!AL$2:AL447,$R97,1))</f>
        <v>1.1</v>
      </c>
      <c r="I97" s="119">
        <f>IFERROR(VLOOKUP($B97,'APS Tubes by Date IMPORT'!$B$2:$J447,2,FALSE),"")</f>
        <v>6</v>
      </c>
      <c r="J97" s="54" t="b">
        <f>IFERROR(VLOOKUP($B97,'APS Tubes by Date IMPORT'!$B$2:$J447,9,FALSE),"")</f>
        <v>1</v>
      </c>
      <c r="K97" s="54">
        <f>IFNA(VLOOKUP($B97,'APS Tubes by Date IMPORT'!$B$2:$J447,6,FALSE),"")</f>
        <v>0</v>
      </c>
      <c r="L97" s="74">
        <f t="shared" si="90"/>
        <v>6</v>
      </c>
      <c r="M97" s="89">
        <v>0.0</v>
      </c>
      <c r="N97" s="116">
        <v>3.0</v>
      </c>
      <c r="O97" s="76" t="b">
        <f t="shared" si="91"/>
        <v>1</v>
      </c>
      <c r="P97" s="77" t="str">
        <f>IF(ISBLANK(N97),IFERROR(0/0,""),IFERROR(VLOOKUP(N97, 'Process Ref'!$A$76:$D$124, 2, FALSE), IFERROR(0/0,"")))</f>
        <v>ALL 3 COUNTS SAME after Null deleted</v>
      </c>
      <c r="Q97" s="110" t="s">
        <v>232</v>
      </c>
      <c r="R97" s="78">
        <f>IFNA(MATCH(A97,'RFR Data - preExcl'!A$2:A447,0),"")</f>
        <v>139</v>
      </c>
      <c r="S97" s="43"/>
      <c r="T97" s="18" t="str">
        <f>IF(EXACT('RFR Data - preExcl'!W97,"Initial"),'RFR Data - preExcl'!A97,IFERROR(0/0,""))</f>
        <v/>
      </c>
      <c r="U97" s="18" t="str">
        <f>IF(EXACT('RFR Data - preExcl'!W97,"Initial"),'RFR Data - preExcl'!U97,IFERROR(0/0,""))</f>
        <v/>
      </c>
      <c r="W97" s="117"/>
      <c r="X97" s="43"/>
      <c r="AC97" s="70"/>
      <c r="AF97" s="70"/>
      <c r="AG97" s="74">
        <v>6.0</v>
      </c>
      <c r="AH97" s="54">
        <v>0.0</v>
      </c>
      <c r="AI97" s="116">
        <v>3.0</v>
      </c>
      <c r="AJ97" s="114" t="str">
        <f t="shared" ref="AJ97:AL97" si="106">IF(AG97=L97,IFERROR(0/0,""),FALSE)</f>
        <v/>
      </c>
      <c r="AK97" s="114" t="str">
        <f t="shared" si="106"/>
        <v/>
      </c>
      <c r="AL97" s="114" t="str">
        <f t="shared" si="106"/>
        <v/>
      </c>
      <c r="AM97" s="43"/>
    </row>
    <row r="98">
      <c r="A98" s="7" t="s">
        <v>125</v>
      </c>
      <c r="B98" s="12">
        <v>44949.0</v>
      </c>
      <c r="C98" s="73" t="str">
        <f t="shared" si="3"/>
        <v/>
      </c>
      <c r="D98" s="54">
        <f t="array" ref="D98">IF(OR(ISBLANK($A98),$C98),IFERROR(0/0,""),INDEX('RFR Data - preExcl'!E$2:E447,$R98,1))</f>
        <v>10</v>
      </c>
      <c r="E98" s="54">
        <f t="array" ref="E98">IF(OR(ISBLANK($A98),$C98),IFERROR(0/0,""),INDEX('RFR Data - preExcl'!Z$2:Z447,$R98,1))</f>
        <v>10</v>
      </c>
      <c r="F98" s="54">
        <f t="array" ref="F98">IF(OR(ISBLANK(A98),C98),IFERROR(0/0,""),INDEX('RFR Data - preExcl'!AC$2:AC447,$R98,1))</f>
        <v>8</v>
      </c>
      <c r="G98" s="54">
        <f t="array" ref="G98">IF(OR(ISBLANK(A98),C98),IFERROR(0/0,""),INDEX('RFR Data - preExcl'!AK$2:AK447,$R98,1))</f>
        <v>8</v>
      </c>
      <c r="H98" s="54">
        <f t="array" ref="H98">IF(OR(ISBLANK(A98),C98),IFERROR(0/0,""),INDEX('RFR Data - preExcl'!AL$2:AL447,$R98,1))</f>
        <v>4</v>
      </c>
      <c r="I98" s="54">
        <f>IFERROR(VLOOKUP($B98,'APS Tubes by Date IMPORT'!$B$2:$J447,2,FALSE),"")</f>
        <v>9</v>
      </c>
      <c r="J98" s="54" t="b">
        <f>IFERROR(VLOOKUP($B98,'APS Tubes by Date IMPORT'!$B$2:$J447,9,FALSE),"")</f>
        <v>1</v>
      </c>
      <c r="K98" s="54">
        <f>IFNA(VLOOKUP($B98,'APS Tubes by Date IMPORT'!$B$2:$J447,6,FALSE),"")</f>
        <v>0</v>
      </c>
      <c r="L98" s="74">
        <f t="shared" si="90"/>
        <v>8</v>
      </c>
      <c r="M98" s="89">
        <v>-1.0</v>
      </c>
      <c r="N98" s="108">
        <v>8.0</v>
      </c>
      <c r="O98" s="109"/>
      <c r="P98" s="77" t="str">
        <f>IF(ISBLANK(N98),IFERROR(0/0,""),IFERROR(VLOOKUP(N98, 'Process Ref'!$A$76:$D$124, 2, FALSE), IFERROR(0/0,"")))</f>
        <v>Use Audit RFR count (tube in Appivo not in RFR)</v>
      </c>
      <c r="Q98" s="110" t="s">
        <v>244</v>
      </c>
      <c r="R98" s="78">
        <f>IFNA(MATCH(A98,'RFR Data - preExcl'!A$2:A447,0),"")</f>
        <v>140</v>
      </c>
      <c r="S98" s="43"/>
      <c r="T98" s="18" t="str">
        <f>IF(EXACT('RFR Data - preExcl'!W98,"Initial"),'RFR Data - preExcl'!A98,IFERROR(0/0,""))</f>
        <v>RUN-ABRM_2022-12-02_RFR-097</v>
      </c>
      <c r="U98" s="79">
        <f>IF(EXACT('RFR Data - preExcl'!W98,"Initial"),'RFR Data - preExcl'!U98,IFERROR(0/0,""))</f>
        <v>44897</v>
      </c>
      <c r="W98" s="117"/>
      <c r="X98" s="43"/>
      <c r="AC98" s="70"/>
      <c r="AF98" s="70"/>
      <c r="AG98" s="74">
        <v>8.0</v>
      </c>
      <c r="AH98" s="54">
        <v>-1.0</v>
      </c>
      <c r="AI98" s="108">
        <v>8.0</v>
      </c>
      <c r="AJ98" s="114" t="str">
        <f t="shared" ref="AJ98:AL98" si="107">IF(AG98=L98,IFERROR(0/0,""),FALSE)</f>
        <v/>
      </c>
      <c r="AK98" s="114" t="str">
        <f t="shared" si="107"/>
        <v/>
      </c>
      <c r="AL98" s="114" t="str">
        <f t="shared" si="107"/>
        <v/>
      </c>
      <c r="AM98" s="43"/>
    </row>
    <row r="99">
      <c r="A99" s="120" t="s">
        <v>124</v>
      </c>
      <c r="B99" s="121">
        <v>44949.0</v>
      </c>
      <c r="C99" s="122" t="b">
        <f t="shared" si="3"/>
        <v>1</v>
      </c>
      <c r="D99" s="123" t="str">
        <f t="array" ref="D99">IF(OR(ISBLANK($A99),$C99),IFERROR(0/0,""),INDEX('RFR Data - preExcl'!E$2:E447,$R99,1))</f>
        <v/>
      </c>
      <c r="E99" s="123" t="str">
        <f t="array" ref="E99">IF(OR(ISBLANK($A99),$C99),IFERROR(0/0,""),INDEX('RFR Data - preExcl'!Z$2:Z447,$R99,1))</f>
        <v/>
      </c>
      <c r="F99" s="123" t="str">
        <f t="array" ref="F99">IF(OR(ISBLANK(A99),C99),IFERROR(0/0,""),INDEX('RFR Data - preExcl'!AC$2:AC447,$R99,1))</f>
        <v/>
      </c>
      <c r="G99" s="123" t="str">
        <f t="array" ref="G99">IF(OR(ISBLANK(A99),C99),IFERROR(0/0,""),INDEX('RFR Data - preExcl'!AK$2:AK447,$R99,1))</f>
        <v/>
      </c>
      <c r="H99" s="123" t="str">
        <f t="array" ref="H99">IF(OR(ISBLANK(A99),C99),IFERROR(0/0,""),INDEX('RFR Data - preExcl'!AL$2:AL447,$R99,1))</f>
        <v/>
      </c>
      <c r="I99" s="123">
        <f>IFERROR(VLOOKUP($B99,'APS Tubes by Date IMPORT'!$B$2:$J447,2,FALSE),"")</f>
        <v>9</v>
      </c>
      <c r="J99" s="123" t="b">
        <f>IFERROR(VLOOKUP($B99,'APS Tubes by Date IMPORT'!$B$2:$J447,9,FALSE),"")</f>
        <v>1</v>
      </c>
      <c r="K99" s="123">
        <f>IFNA(VLOOKUP($B99,'APS Tubes by Date IMPORT'!$B$2:$J447,6,FALSE),"")</f>
        <v>0</v>
      </c>
      <c r="L99" s="111">
        <f>I98-L98</f>
        <v>1</v>
      </c>
      <c r="M99" s="89">
        <v>0.0</v>
      </c>
      <c r="N99" s="112">
        <v>3.5</v>
      </c>
      <c r="O99" s="109"/>
      <c r="P99" s="113" t="str">
        <f>IF(ISBLANK(N99),IFERROR(0/0,""),IFERROR(VLOOKUP(N99, 'Process Ref'!$A$76:$D$124, 2, FALSE), IFERROR(0/0,"")))</f>
        <v>Add Run from APS with no RFR (extra APS tube and conclude done in sep run with no RFR)</v>
      </c>
      <c r="Q99" s="110"/>
      <c r="R99" s="124" t="str">
        <f>IFNA(MATCH(A99,'RFR Data - preExcl'!A$2:A447,0),"")</f>
        <v/>
      </c>
      <c r="S99" s="43"/>
      <c r="T99" s="18" t="str">
        <f>IF(EXACT('RFR Data - preExcl'!W99,"Initial"),'RFR Data - preExcl'!A99,IFERROR(0/0,""))</f>
        <v>RUN-ABRM_2022-12-05_RFR-098</v>
      </c>
      <c r="U99" s="79">
        <f>IF(EXACT('RFR Data - preExcl'!W99,"Initial"),'RFR Data - preExcl'!U99,IFERROR(0/0,""))</f>
        <v>44900</v>
      </c>
      <c r="W99" s="117"/>
      <c r="X99" s="43"/>
      <c r="AC99" s="70"/>
      <c r="AF99" s="70"/>
      <c r="AM99" s="125"/>
    </row>
    <row r="100">
      <c r="A100" s="106" t="s">
        <v>126</v>
      </c>
      <c r="B100" s="107">
        <v>44951.0</v>
      </c>
      <c r="C100" s="73" t="str">
        <f t="shared" si="3"/>
        <v/>
      </c>
      <c r="D100" s="54">
        <f t="array" ref="D100">IF(OR(ISBLANK($A100),$C100),IFERROR(0/0,""),INDEX('RFR Data - preExcl'!E$2:E447,$R100,1))</f>
        <v>9</v>
      </c>
      <c r="E100" s="54">
        <f t="array" ref="E100">IF(OR(ISBLANK($A100),$C100),IFERROR(0/0,""),INDEX('RFR Data - preExcl'!Z$2:Z447,$R100,1))</f>
        <v>9</v>
      </c>
      <c r="F100" s="54">
        <f t="array" ref="F100">IF(OR(ISBLANK(A100),C100),IFERROR(0/0,""),INDEX('RFR Data - preExcl'!AC$2:AC447,$R100,1))</f>
        <v>7</v>
      </c>
      <c r="G100" s="54">
        <f t="array" ref="G100">IF(OR(ISBLANK(A100),C100),IFERROR(0/0,""),INDEX('RFR Data - preExcl'!AK$2:AK447,$R100,1))</f>
        <v>7</v>
      </c>
      <c r="H100" s="54">
        <f t="array" ref="H100">IF(OR(ISBLANK(A100),C100),IFERROR(0/0,""),INDEX('RFR Data - preExcl'!AL$2:AL447,$R100,1))</f>
        <v>1.1</v>
      </c>
      <c r="I100" s="119">
        <f>IFERROR(VLOOKUP($B100,'APS Tubes by Date IMPORT'!$B$2:$J447,2,FALSE),"")</f>
        <v>7</v>
      </c>
      <c r="J100" s="54" t="str">
        <f>IFERROR(VLOOKUP($B100,'APS Tubes by Date IMPORT'!$B$2:$J447,9,FALSE),"")</f>
        <v/>
      </c>
      <c r="K100" s="54">
        <f>IFNA(VLOOKUP($B100,'APS Tubes by Date IMPORT'!$B$2:$J447,6,FALSE),"")</f>
        <v>0</v>
      </c>
      <c r="L100" s="126">
        <f t="shared" ref="L100:L102" si="109">G100</f>
        <v>7</v>
      </c>
      <c r="M100" s="127">
        <v>0.0</v>
      </c>
      <c r="N100" s="128">
        <v>1.0</v>
      </c>
      <c r="O100" s="76" t="b">
        <f t="shared" ref="O100:O101" si="110">IF(ISBLANK(M101),IFERROR(0/0,""),IF($CC99&lt;=4,TRUE,IFERROR(0/0,"")))</f>
        <v>1</v>
      </c>
      <c r="P100" s="129" t="str">
        <f>IF(ISBLANK(N100),IFERROR(0/0,""),IFERROR(VLOOKUP(N100, 'Process Ref'!$A$76:$D$124, 2, FALSE), IFERROR(0/0,"")))</f>
        <v>Use APS Collect = RFR (diff APS Result count but nets out)</v>
      </c>
      <c r="Q100" s="130" t="s">
        <v>245</v>
      </c>
      <c r="R100" s="78">
        <f>IFNA(MATCH(A100,'RFR Data - preExcl'!A$2:A447,0),"")</f>
        <v>143</v>
      </c>
      <c r="S100" s="43"/>
      <c r="T100" s="18" t="str">
        <f>IF(EXACT('RFR Data - preExcl'!W100,"Initial"),'RFR Data - preExcl'!A100,IFERROR(0/0,""))</f>
        <v>RUN-ABRM_2022-12-06_RFR-099</v>
      </c>
      <c r="U100" s="79">
        <f>IF(EXACT('RFR Data - preExcl'!W100,"Initial"),'RFR Data - preExcl'!U100,IFERROR(0/0,""))</f>
        <v>44901</v>
      </c>
      <c r="W100" s="117"/>
      <c r="X100" s="43"/>
      <c r="AC100" s="70"/>
      <c r="AF100" s="70"/>
      <c r="AG100" s="126">
        <v>7.0</v>
      </c>
      <c r="AH100" s="123">
        <v>0.0</v>
      </c>
      <c r="AI100" s="128">
        <v>1.0</v>
      </c>
      <c r="AJ100" s="114" t="str">
        <f t="shared" ref="AJ100:AL100" si="108">IF(AG100=L100,IFERROR(0/0,""),FALSE)</f>
        <v/>
      </c>
      <c r="AK100" s="114" t="str">
        <f t="shared" si="108"/>
        <v/>
      </c>
      <c r="AL100" s="114" t="str">
        <f t="shared" si="108"/>
        <v/>
      </c>
      <c r="AM100" s="43"/>
    </row>
    <row r="101">
      <c r="A101" s="7" t="s">
        <v>127</v>
      </c>
      <c r="B101" s="12">
        <v>44952.0</v>
      </c>
      <c r="C101" s="73" t="str">
        <f t="shared" si="3"/>
        <v/>
      </c>
      <c r="D101" s="54">
        <f t="array" ref="D101">IF(OR(ISBLANK($A101),$C101),IFERROR(0/0,""),INDEX('RFR Data - preExcl'!E$2:E447,$R101,1))</f>
        <v>8</v>
      </c>
      <c r="E101" s="54">
        <f t="array" ref="E101">IF(OR(ISBLANK($A101),$C101),IFERROR(0/0,""),INDEX('RFR Data - preExcl'!Z$2:Z447,$R101,1))</f>
        <v>8</v>
      </c>
      <c r="F101" s="54">
        <f t="array" ref="F101">IF(OR(ISBLANK(A101),C101),IFERROR(0/0,""),INDEX('RFR Data - preExcl'!AC$2:AC447,$R101,1))</f>
        <v>6</v>
      </c>
      <c r="G101" s="54">
        <f t="array" ref="G101">IF(OR(ISBLANK(A101),C101),IFERROR(0/0,""),INDEX('RFR Data - preExcl'!AK$2:AK447,$R101,1))</f>
        <v>6</v>
      </c>
      <c r="H101" s="54">
        <f t="array" ref="H101">IF(OR(ISBLANK(A101),C101),IFERROR(0/0,""),INDEX('RFR Data - preExcl'!AL$2:AL447,$R101,1))</f>
        <v>0</v>
      </c>
      <c r="I101" s="54">
        <f>IFERROR(VLOOKUP($B101,'APS Tubes by Date IMPORT'!$B$2:$J447,2,FALSE),"")</f>
        <v>6</v>
      </c>
      <c r="J101" s="54" t="b">
        <f>IFERROR(VLOOKUP($B101,'APS Tubes by Date IMPORT'!$B$2:$J447,9,FALSE),"")</f>
        <v>1</v>
      </c>
      <c r="K101" s="54">
        <f>IFNA(VLOOKUP($B101,'APS Tubes by Date IMPORT'!$B$2:$J447,6,FALSE),"")</f>
        <v>0</v>
      </c>
      <c r="L101" s="74">
        <f t="shared" si="109"/>
        <v>6</v>
      </c>
      <c r="M101" s="89">
        <v>0.0</v>
      </c>
      <c r="N101" s="116">
        <v>3.0</v>
      </c>
      <c r="O101" s="76" t="b">
        <f t="shared" si="110"/>
        <v>1</v>
      </c>
      <c r="P101" s="77" t="str">
        <f>IF(ISBLANK(N101),IFERROR(0/0,""),IFERROR(VLOOKUP(N101, 'Process Ref'!$A$76:$D$124, 2, FALSE), IFERROR(0/0,"")))</f>
        <v>ALL 3 COUNTS SAME after Null deleted</v>
      </c>
      <c r="Q101" s="77" t="s">
        <v>232</v>
      </c>
      <c r="R101" s="78">
        <f>IFNA(MATCH(A101,'RFR Data - preExcl'!A$2:A447,0),"")</f>
        <v>145</v>
      </c>
      <c r="S101" s="43"/>
      <c r="T101" s="18" t="str">
        <f>IF(EXACT('RFR Data - preExcl'!W101,"Initial"),'RFR Data - preExcl'!A101,IFERROR(0/0,""))</f>
        <v>RUN-ABRM_2022-12-07_RFR-100</v>
      </c>
      <c r="U101" s="79">
        <f>IF(EXACT('RFR Data - preExcl'!W101,"Initial"),'RFR Data - preExcl'!U101,IFERROR(0/0,""))</f>
        <v>44902</v>
      </c>
      <c r="W101" s="117"/>
      <c r="X101" s="43"/>
      <c r="AC101" s="70"/>
      <c r="AF101" s="70"/>
      <c r="AG101" s="74">
        <v>6.0</v>
      </c>
      <c r="AH101" s="54">
        <v>0.0</v>
      </c>
      <c r="AI101" s="116">
        <v>3.0</v>
      </c>
      <c r="AJ101" s="114" t="str">
        <f t="shared" ref="AJ101:AL101" si="111">IF(AG101=L101,IFERROR(0/0,""),FALSE)</f>
        <v/>
      </c>
      <c r="AK101" s="114" t="str">
        <f t="shared" si="111"/>
        <v/>
      </c>
      <c r="AL101" s="114" t="str">
        <f t="shared" si="111"/>
        <v/>
      </c>
      <c r="AM101" s="43"/>
    </row>
    <row r="102">
      <c r="A102" s="7" t="s">
        <v>129</v>
      </c>
      <c r="B102" s="12">
        <v>44953.0</v>
      </c>
      <c r="C102" s="73" t="str">
        <f t="shared" si="3"/>
        <v/>
      </c>
      <c r="D102" s="54">
        <f t="array" ref="D102">IF(OR(ISBLANK($A102),$C102),IFERROR(0/0,""),INDEX('RFR Data - preExcl'!E$2:E447,$R102,1))</f>
        <v>8</v>
      </c>
      <c r="E102" s="54">
        <f t="array" ref="E102">IF(OR(ISBLANK($A102),$C102),IFERROR(0/0,""),INDEX('RFR Data - preExcl'!Z$2:Z447,$R102,1))</f>
        <v>8</v>
      </c>
      <c r="F102" s="54">
        <f t="array" ref="F102">IF(OR(ISBLANK(A102),C102),IFERROR(0/0,""),INDEX('RFR Data - preExcl'!AC$2:AC447,$R102,1))</f>
        <v>6</v>
      </c>
      <c r="G102" s="54">
        <f t="array" ref="G102">IF(OR(ISBLANK(A102),C102),IFERROR(0/0,""),INDEX('RFR Data - preExcl'!AK$2:AK447,$R102,1))</f>
        <v>6</v>
      </c>
      <c r="H102" s="54">
        <f t="array" ref="H102">IF(OR(ISBLANK(A102),C102),IFERROR(0/0,""),INDEX('RFR Data - preExcl'!AL$2:AL447,$R102,1))</f>
        <v>1.1</v>
      </c>
      <c r="I102" s="54">
        <f>IFERROR(VLOOKUP($B102,'APS Tubes by Date IMPORT'!$B$2:$J447,2,FALSE),"")</f>
        <v>7</v>
      </c>
      <c r="J102" s="54" t="b">
        <f>IFERROR(VLOOKUP($B102,'APS Tubes by Date IMPORT'!$B$2:$J447,9,FALSE),"")</f>
        <v>1</v>
      </c>
      <c r="K102" s="54">
        <f>IFNA(VLOOKUP($B102,'APS Tubes by Date IMPORT'!$B$2:$J447,6,FALSE),"")</f>
        <v>0</v>
      </c>
      <c r="L102" s="74">
        <f t="shared" si="109"/>
        <v>6</v>
      </c>
      <c r="M102" s="89">
        <v>-1.0</v>
      </c>
      <c r="N102" s="108">
        <v>8.0</v>
      </c>
      <c r="O102" s="109"/>
      <c r="P102" s="77" t="str">
        <f>IF(ISBLANK(N102),IFERROR(0/0,""),IFERROR(VLOOKUP(N102, 'Process Ref'!$A$76:$D$124, 2, FALSE), IFERROR(0/0,"")))</f>
        <v>Use Audit RFR count (tube in Appivo not in RFR)</v>
      </c>
      <c r="R102" s="78">
        <f>IFNA(MATCH(A102,'RFR Data - preExcl'!A$2:A447,0),"")</f>
        <v>147</v>
      </c>
      <c r="S102" s="43"/>
      <c r="T102" s="18" t="str">
        <f>IF(EXACT('RFR Data - preExcl'!W102,"Initial"),'RFR Data - preExcl'!A102,IFERROR(0/0,""))</f>
        <v>RUN-ABRM_2022-12-08_RFR-101</v>
      </c>
      <c r="U102" s="79">
        <f>IF(EXACT('RFR Data - preExcl'!W102,"Initial"),'RFR Data - preExcl'!U102,IFERROR(0/0,""))</f>
        <v>44903</v>
      </c>
      <c r="W102" s="117"/>
      <c r="X102" s="43"/>
      <c r="AC102" s="70"/>
      <c r="AF102" s="70"/>
      <c r="AG102" s="74">
        <v>6.0</v>
      </c>
      <c r="AH102" s="54">
        <v>-1.0</v>
      </c>
      <c r="AI102" s="108">
        <v>8.0</v>
      </c>
      <c r="AJ102" s="114" t="str">
        <f t="shared" ref="AJ102:AL102" si="112">IF(AG102=L102,IFERROR(0/0,""),FALSE)</f>
        <v/>
      </c>
      <c r="AK102" s="114" t="str">
        <f t="shared" si="112"/>
        <v/>
      </c>
      <c r="AL102" s="114" t="str">
        <f t="shared" si="112"/>
        <v/>
      </c>
      <c r="AM102" s="43"/>
    </row>
    <row r="103">
      <c r="A103" s="120" t="s">
        <v>128</v>
      </c>
      <c r="B103" s="121">
        <v>44953.0</v>
      </c>
      <c r="C103" s="122" t="b">
        <f t="shared" si="3"/>
        <v>1</v>
      </c>
      <c r="D103" s="123" t="str">
        <f t="array" ref="D103">IF(OR(ISBLANK($A103),$C103),IFERROR(0/0,""),INDEX('RFR Data - preExcl'!E$2:E447,$R103,1))</f>
        <v/>
      </c>
      <c r="E103" s="123" t="str">
        <f t="array" ref="E103">IF(OR(ISBLANK($A103),$C103),IFERROR(0/0,""),INDEX('RFR Data - preExcl'!Z$2:Z447,$R103,1))</f>
        <v/>
      </c>
      <c r="F103" s="123" t="str">
        <f t="array" ref="F103">IF(OR(ISBLANK(A103),C103),IFERROR(0/0,""),INDEX('RFR Data - preExcl'!AC$2:AC447,$R103,1))</f>
        <v/>
      </c>
      <c r="G103" s="123" t="str">
        <f t="array" ref="G103">IF(OR(ISBLANK(A103),C103),IFERROR(0/0,""),INDEX('RFR Data - preExcl'!AK$2:AK447,$R103,1))</f>
        <v/>
      </c>
      <c r="H103" s="123" t="str">
        <f t="array" ref="H103">IF(OR(ISBLANK(A103),C103),IFERROR(0/0,""),INDEX('RFR Data - preExcl'!AL$2:AL447,$R103,1))</f>
        <v/>
      </c>
      <c r="I103" s="123">
        <f>IFERROR(VLOOKUP($B103,'APS Tubes by Date IMPORT'!$B$2:$J447,2,FALSE),"")</f>
        <v>7</v>
      </c>
      <c r="J103" s="123" t="b">
        <f>IFERROR(VLOOKUP($B103,'APS Tubes by Date IMPORT'!$B$2:$J447,9,FALSE),"")</f>
        <v>1</v>
      </c>
      <c r="K103" s="123">
        <f>IFNA(VLOOKUP($B103,'APS Tubes by Date IMPORT'!$B$2:$J447,6,FALSE),"")</f>
        <v>0</v>
      </c>
      <c r="L103" s="111">
        <f>I102-L102</f>
        <v>1</v>
      </c>
      <c r="M103" s="89">
        <v>0.0</v>
      </c>
      <c r="N103" s="112">
        <v>3.5</v>
      </c>
      <c r="O103" s="109"/>
      <c r="P103" s="113" t="str">
        <f>IF(ISBLANK(N103),IFERROR(0/0,""),IFERROR(VLOOKUP(N103, 'Process Ref'!$A$76:$D$124, 2, FALSE), IFERROR(0/0,"")))</f>
        <v>Add Run from APS with no RFR (extra APS tube and conclude done in sep run with no RFR)</v>
      </c>
      <c r="Q103" s="110"/>
      <c r="R103" s="124" t="str">
        <f>IFNA(MATCH(A103,'RFR Data - preExcl'!A$2:A447,0),"")</f>
        <v/>
      </c>
      <c r="S103" s="43"/>
      <c r="T103" s="18" t="str">
        <f>IF(EXACT('RFR Data - preExcl'!W103,"Initial"),'RFR Data - preExcl'!A103,IFERROR(0/0,""))</f>
        <v/>
      </c>
      <c r="U103" s="18" t="str">
        <f>IF(EXACT('RFR Data - preExcl'!W103,"Initial"),'RFR Data - preExcl'!U103,IFERROR(0/0,""))</f>
        <v/>
      </c>
      <c r="W103" s="117"/>
      <c r="X103" s="43"/>
      <c r="AC103" s="70"/>
      <c r="AF103" s="70"/>
      <c r="AM103" s="125"/>
    </row>
    <row r="104">
      <c r="A104" s="7" t="s">
        <v>130</v>
      </c>
      <c r="B104" s="12">
        <v>44956.0</v>
      </c>
      <c r="C104" s="73" t="str">
        <f t="shared" si="3"/>
        <v/>
      </c>
      <c r="D104" s="54">
        <f t="array" ref="D104">IF(OR(ISBLANK($A104),$C104),IFERROR(0/0,""),INDEX('RFR Data - preExcl'!E$2:E447,$R104,1))</f>
        <v>9</v>
      </c>
      <c r="E104" s="54">
        <f t="array" ref="E104">IF(OR(ISBLANK($A104),$C104),IFERROR(0/0,""),INDEX('RFR Data - preExcl'!Z$2:Z447,$R104,1))</f>
        <v>9</v>
      </c>
      <c r="F104" s="54">
        <f t="array" ref="F104">IF(OR(ISBLANK(A104),C104),IFERROR(0/0,""),INDEX('RFR Data - preExcl'!AC$2:AC447,$R104,1))</f>
        <v>7</v>
      </c>
      <c r="G104" s="54">
        <f t="array" ref="G104">IF(OR(ISBLANK(A104),C104),IFERROR(0/0,""),INDEX('RFR Data - preExcl'!AK$2:AK447,$R104,1))</f>
        <v>7</v>
      </c>
      <c r="H104" s="54">
        <f t="array" ref="H104">IF(OR(ISBLANK(A104),C104),IFERROR(0/0,""),INDEX('RFR Data - preExcl'!AL$2:AL447,$R104,1))</f>
        <v>0</v>
      </c>
      <c r="I104" s="54">
        <f>IFERROR(VLOOKUP($B104,'APS Tubes by Date IMPORT'!$B$2:$J447,2,FALSE),"")</f>
        <v>7</v>
      </c>
      <c r="J104" s="54" t="b">
        <f>IFERROR(VLOOKUP($B104,'APS Tubes by Date IMPORT'!$B$2:$J447,9,FALSE),"")</f>
        <v>1</v>
      </c>
      <c r="K104" s="54">
        <f>IFNA(VLOOKUP($B104,'APS Tubes by Date IMPORT'!$B$2:$J447,6,FALSE),"")</f>
        <v>0</v>
      </c>
      <c r="L104" s="126">
        <f t="shared" ref="L104:L105" si="114">G104</f>
        <v>7</v>
      </c>
      <c r="M104" s="127">
        <v>0.0</v>
      </c>
      <c r="N104" s="128">
        <v>3.0</v>
      </c>
      <c r="O104" s="76" t="b">
        <f t="shared" ref="O104:O105" si="115">IF(ISBLANK(M106),IFERROR(0/0,""),IF($CC103&lt;=4,TRUE,IFERROR(0/0,"")))</f>
        <v>1</v>
      </c>
      <c r="P104" s="129" t="str">
        <f>IF(ISBLANK(N104),IFERROR(0/0,""),IFERROR(VLOOKUP(N104, 'Process Ref'!$A$76:$D$124, 2, FALSE), IFERROR(0/0,"")))</f>
        <v>ALL 3 COUNTS SAME after Null deleted</v>
      </c>
      <c r="Q104" s="130" t="s">
        <v>246</v>
      </c>
      <c r="R104" s="78">
        <f>IFNA(MATCH(A104,'RFR Data - preExcl'!A$2:A447,0),"")</f>
        <v>149</v>
      </c>
      <c r="S104" s="43"/>
      <c r="T104" s="18" t="str">
        <f>IF(EXACT('RFR Data - preExcl'!W104,"Initial"),'RFR Data - preExcl'!A104,IFERROR(0/0,""))</f>
        <v/>
      </c>
      <c r="U104" s="18" t="str">
        <f>IF(EXACT('RFR Data - preExcl'!W104,"Initial"),'RFR Data - preExcl'!U104,IFERROR(0/0,""))</f>
        <v/>
      </c>
      <c r="W104" s="117"/>
      <c r="X104" s="43"/>
      <c r="AC104" s="70"/>
      <c r="AF104" s="70"/>
      <c r="AG104" s="126">
        <v>7.0</v>
      </c>
      <c r="AH104" s="123">
        <v>0.0</v>
      </c>
      <c r="AI104" s="128">
        <v>3.0</v>
      </c>
      <c r="AJ104" s="114" t="str">
        <f t="shared" ref="AJ104:AL104" si="113">IF(AG104=L104,IFERROR(0/0,""),FALSE)</f>
        <v/>
      </c>
      <c r="AK104" s="114" t="str">
        <f t="shared" si="113"/>
        <v/>
      </c>
      <c r="AL104" s="114" t="str">
        <f t="shared" si="113"/>
        <v/>
      </c>
      <c r="AM104" s="43"/>
    </row>
    <row r="105">
      <c r="A105" s="7" t="s">
        <v>131</v>
      </c>
      <c r="B105" s="12">
        <v>44963.0</v>
      </c>
      <c r="C105" s="131" t="str">
        <f t="shared" si="3"/>
        <v/>
      </c>
      <c r="D105" s="54">
        <f t="array" ref="D105">IF(OR(ISBLANK($A105),$C105),IFERROR(0/0,""),INDEX('RFR Data - preExcl'!E$2:E447,$R105,1))</f>
        <v>8</v>
      </c>
      <c r="E105" s="54">
        <f t="array" ref="E105">IF(OR(ISBLANK($A105),$C105),IFERROR(0/0,""),INDEX('RFR Data - preExcl'!Z$2:Z447,$R105,1))</f>
        <v>8</v>
      </c>
      <c r="F105" s="54">
        <f t="array" ref="F105">IF(OR(ISBLANK(A105),C105),IFERROR(0/0,""),INDEX('RFR Data - preExcl'!AC$2:AC447,$R105,1))</f>
        <v>6</v>
      </c>
      <c r="G105" s="54">
        <f t="array" ref="G105">IF(OR(ISBLANK(A105),C105),IFERROR(0/0,""),INDEX('RFR Data - preExcl'!AK$2:AK447,$R105,1))</f>
        <v>2</v>
      </c>
      <c r="H105" s="54">
        <f t="array" ref="H105">IF(OR(ISBLANK(A105),C105),IFERROR(0/0,""),INDEX('RFR Data - preExcl'!AL$2:AL447,$R105,1))</f>
        <v>0</v>
      </c>
      <c r="I105" s="54">
        <f>IFERROR(VLOOKUP($B105,'APS Tubes by Date IMPORT'!$B$2:$J447,2,FALSE),"")</f>
        <v>2</v>
      </c>
      <c r="J105" s="54" t="b">
        <f>IFERROR(VLOOKUP($B105,'APS Tubes by Date IMPORT'!$B$2:$J447,9,FALSE),"")</f>
        <v>1</v>
      </c>
      <c r="K105" s="54">
        <f>IFNA(VLOOKUP($B105,'APS Tubes by Date IMPORT'!$B$2:$J447,6,FALSE),"")</f>
        <v>0</v>
      </c>
      <c r="L105" s="74">
        <f t="shared" si="114"/>
        <v>2</v>
      </c>
      <c r="M105" s="89">
        <v>0.0</v>
      </c>
      <c r="N105" s="116">
        <v>3.0</v>
      </c>
      <c r="O105" s="76" t="b">
        <f t="shared" si="115"/>
        <v>1</v>
      </c>
      <c r="P105" s="77" t="str">
        <f>IF(ISBLANK(N105),IFERROR(0/0,""),IFERROR(VLOOKUP(N105, 'Process Ref'!$A$76:$D$124, 2, FALSE), IFERROR(0/0,"")))</f>
        <v>ALL 3 COUNTS SAME after Null deleted</v>
      </c>
      <c r="Q105" s="77" t="s">
        <v>232</v>
      </c>
      <c r="R105" s="78">
        <f>IFNA(MATCH(A105,'RFR Data - preExcl'!A$2:A447,0),"")</f>
        <v>150</v>
      </c>
      <c r="S105" s="43"/>
      <c r="T105" s="18" t="str">
        <f>IF(EXACT('RFR Data - preExcl'!W105,"Initial"),'RFR Data - preExcl'!A105,IFERROR(0/0,""))</f>
        <v>RUN-ABRM_2022-12-09_RFR-104</v>
      </c>
      <c r="U105" s="79">
        <f>IF(EXACT('RFR Data - preExcl'!W105,"Initial"),'RFR Data - preExcl'!U105,IFERROR(0/0,""))</f>
        <v>44904</v>
      </c>
      <c r="W105" s="117"/>
      <c r="X105" s="43"/>
      <c r="AC105" s="70"/>
      <c r="AF105" s="70"/>
      <c r="AG105" s="74">
        <v>2.0</v>
      </c>
      <c r="AH105" s="54">
        <v>0.0</v>
      </c>
      <c r="AI105" s="116">
        <v>3.0</v>
      </c>
      <c r="AJ105" s="114" t="str">
        <f t="shared" ref="AJ105:AL105" si="116">IF(AG105=L105,IFERROR(0/0,""),FALSE)</f>
        <v/>
      </c>
      <c r="AK105" s="114" t="str">
        <f t="shared" si="116"/>
        <v/>
      </c>
      <c r="AL105" s="114" t="str">
        <f t="shared" si="116"/>
        <v/>
      </c>
      <c r="AM105" s="43"/>
    </row>
    <row r="106">
      <c r="A106" s="7" t="s">
        <v>132</v>
      </c>
      <c r="B106" s="12">
        <v>44964.0</v>
      </c>
      <c r="C106" s="73" t="b">
        <f t="shared" si="3"/>
        <v>1</v>
      </c>
      <c r="D106" s="54" t="str">
        <f t="array" ref="D106">IF(OR(ISBLANK($A106),$C106),IFERROR(0/0,""),INDEX('RFR Data - preExcl'!E$2:E447,$R106,1))</f>
        <v/>
      </c>
      <c r="E106" s="54" t="str">
        <f t="array" ref="E106">IF(OR(ISBLANK($A106),$C106),IFERROR(0/0,""),INDEX('RFR Data - preExcl'!Z$2:Z447,$R106,1))</f>
        <v/>
      </c>
      <c r="F106" s="54" t="str">
        <f t="array" ref="F106">IF(OR(ISBLANK(A106),C106),IFERROR(0/0,""),INDEX('RFR Data - preExcl'!AC$2:AC447,$R106,1))</f>
        <v/>
      </c>
      <c r="G106" s="54" t="str">
        <f t="array" ref="G106">IF(OR(ISBLANK(A106),C106),IFERROR(0/0,""),INDEX('RFR Data - preExcl'!AK$2:AK447,$R106,1))</f>
        <v/>
      </c>
      <c r="H106" s="54" t="str">
        <f t="array" ref="H106">IF(OR(ISBLANK(A106),C106),IFERROR(0/0,""),INDEX('RFR Data - preExcl'!AL$2:AL447,$R106,1))</f>
        <v/>
      </c>
      <c r="I106" s="54">
        <f>IFERROR(VLOOKUP($B106,'APS Tubes by Date IMPORT'!$B$2:$J447,2,FALSE),"")</f>
        <v>6</v>
      </c>
      <c r="J106" s="54" t="b">
        <f>IFERROR(VLOOKUP($B106,'APS Tubes by Date IMPORT'!$B$2:$J447,9,FALSE),"")</f>
        <v>1</v>
      </c>
      <c r="K106" s="54">
        <f>IFNA(VLOOKUP($B106,'APS Tubes by Date IMPORT'!$B$2:$J447,6,FALSE),"")</f>
        <v>0</v>
      </c>
      <c r="L106" s="111">
        <f>I106</f>
        <v>6</v>
      </c>
      <c r="M106" s="89">
        <v>0.0</v>
      </c>
      <c r="N106" s="112">
        <v>3.4</v>
      </c>
      <c r="O106" s="76" t="b">
        <f t="shared" ref="O106:O122" si="118">IF(ISBLANK(M108),IFERROR(0/0,""),IF($CC104&lt;=4,TRUE,IFERROR(0/0,"")))</f>
        <v>1</v>
      </c>
      <c r="P106" s="113" t="str">
        <f>IF(ISBLANK(N106),IFERROR(0/0,""),IFERROR(VLOOKUP(N106, 'Process Ref'!$A$76:$D$124, 2, FALSE), IFERROR(0/0,"")))</f>
        <v>Add Run from APS with no RFR (assume run on same day as Collect, ignore Result day)</v>
      </c>
      <c r="Q106" s="110"/>
      <c r="R106" s="78" t="str">
        <f>IFNA(MATCH(A106,'RFR Data - preExcl'!A$2:A447,0),"")</f>
        <v/>
      </c>
      <c r="S106" s="43"/>
      <c r="T106" s="18" t="str">
        <f>IF(EXACT('RFR Data - preExcl'!W106,"Initial"),'RFR Data - preExcl'!A106,IFERROR(0/0,""))</f>
        <v>RUN-ABRM_2022-12-12_RFR-105</v>
      </c>
      <c r="U106" s="79">
        <f>IF(EXACT('RFR Data - preExcl'!W106,"Initial"),'RFR Data - preExcl'!U106,IFERROR(0/0,""))</f>
        <v>44907</v>
      </c>
      <c r="W106" s="117"/>
      <c r="X106" s="43"/>
      <c r="AC106" s="70"/>
      <c r="AF106" s="70"/>
      <c r="AG106" s="111">
        <v>6.0</v>
      </c>
      <c r="AH106" s="54">
        <v>0.0</v>
      </c>
      <c r="AI106" s="112">
        <v>3.4</v>
      </c>
      <c r="AJ106" s="114" t="str">
        <f t="shared" ref="AJ106:AL106" si="117">IF(AG106=L106,IFERROR(0/0,""),FALSE)</f>
        <v/>
      </c>
      <c r="AK106" s="114" t="str">
        <f t="shared" si="117"/>
        <v/>
      </c>
      <c r="AL106" s="114" t="str">
        <f t="shared" si="117"/>
        <v/>
      </c>
      <c r="AM106" s="43"/>
    </row>
    <row r="107">
      <c r="A107" s="7" t="s">
        <v>133</v>
      </c>
      <c r="B107" s="12">
        <v>44965.0</v>
      </c>
      <c r="C107" s="73" t="str">
        <f t="shared" si="3"/>
        <v/>
      </c>
      <c r="D107" s="54">
        <f t="array" ref="D107">IF(OR(ISBLANK($A107),$C107),IFERROR(0/0,""),INDEX('RFR Data - preExcl'!E$2:E447,$R107,1))</f>
        <v>10</v>
      </c>
      <c r="E107" s="54">
        <f t="array" ref="E107">IF(OR(ISBLANK($A107),$C107),IFERROR(0/0,""),INDEX('RFR Data - preExcl'!Z$2:Z447,$R107,1))</f>
        <v>10</v>
      </c>
      <c r="F107" s="54">
        <f t="array" ref="F107">IF(OR(ISBLANK(A107),C107),IFERROR(0/0,""),INDEX('RFR Data - preExcl'!AC$2:AC447,$R107,1))</f>
        <v>8</v>
      </c>
      <c r="G107" s="54">
        <f t="array" ref="G107">IF(OR(ISBLANK(A107),C107),IFERROR(0/0,""),INDEX('RFR Data - preExcl'!AK$2:AK447,$R107,1))</f>
        <v>8</v>
      </c>
      <c r="H107" s="54">
        <f t="array" ref="H107">IF(OR(ISBLANK(A107),C107),IFERROR(0/0,""),INDEX('RFR Data - preExcl'!AL$2:AL447,$R107,1))</f>
        <v>1.1</v>
      </c>
      <c r="I107" s="54">
        <f>IFERROR(VLOOKUP($B107,'APS Tubes by Date IMPORT'!$B$2:$J447,2,FALSE),"")</f>
        <v>8</v>
      </c>
      <c r="J107" s="54" t="b">
        <f>IFERROR(VLOOKUP($B107,'APS Tubes by Date IMPORT'!$B$2:$J447,9,FALSE),"")</f>
        <v>1</v>
      </c>
      <c r="K107" s="54">
        <f>IFNA(VLOOKUP($B107,'APS Tubes by Date IMPORT'!$B$2:$J447,6,FALSE),"")</f>
        <v>0</v>
      </c>
      <c r="L107" s="74">
        <f t="shared" ref="L107:L123" si="120">G107</f>
        <v>8</v>
      </c>
      <c r="M107" s="89">
        <v>0.0</v>
      </c>
      <c r="N107" s="116">
        <v>3.0</v>
      </c>
      <c r="O107" s="76" t="b">
        <f t="shared" si="118"/>
        <v>1</v>
      </c>
      <c r="P107" s="77" t="str">
        <f>IF(ISBLANK(N107),IFERROR(0/0,""),IFERROR(VLOOKUP(N107, 'Process Ref'!$A$76:$D$124, 2, FALSE), IFERROR(0/0,"")))</f>
        <v>ALL 3 COUNTS SAME after Null deleted</v>
      </c>
      <c r="Q107" s="77" t="s">
        <v>232</v>
      </c>
      <c r="R107" s="78">
        <f>IFNA(MATCH(A107,'RFR Data - preExcl'!A$2:A447,0),"")</f>
        <v>151</v>
      </c>
      <c r="S107" s="43"/>
      <c r="T107" s="18" t="str">
        <f>IF(EXACT('RFR Data - preExcl'!W107,"Initial"),'RFR Data - preExcl'!A107,IFERROR(0/0,""))</f>
        <v/>
      </c>
      <c r="U107" s="18" t="str">
        <f>IF(EXACT('RFR Data - preExcl'!W107,"Initial"),'RFR Data - preExcl'!U107,IFERROR(0/0,""))</f>
        <v/>
      </c>
      <c r="X107" s="43"/>
      <c r="AC107" s="70"/>
      <c r="AF107" s="70"/>
      <c r="AG107" s="74">
        <v>8.0</v>
      </c>
      <c r="AH107" s="54">
        <v>0.0</v>
      </c>
      <c r="AI107" s="116">
        <v>3.0</v>
      </c>
      <c r="AJ107" s="114" t="str">
        <f t="shared" ref="AJ107:AL107" si="119">IF(AG107=L107,IFERROR(0/0,""),FALSE)</f>
        <v/>
      </c>
      <c r="AK107" s="114" t="str">
        <f t="shared" si="119"/>
        <v/>
      </c>
      <c r="AL107" s="114" t="str">
        <f t="shared" si="119"/>
        <v/>
      </c>
      <c r="AM107" s="43"/>
    </row>
    <row r="108">
      <c r="A108" s="7" t="s">
        <v>134</v>
      </c>
      <c r="B108" s="12">
        <v>44966.0</v>
      </c>
      <c r="C108" s="73" t="str">
        <f t="shared" si="3"/>
        <v/>
      </c>
      <c r="D108" s="54">
        <f t="array" ref="D108">IF(OR(ISBLANK($A108),$C108),IFERROR(0/0,""),INDEX('RFR Data - preExcl'!E$2:E447,$R108,1))</f>
        <v>11</v>
      </c>
      <c r="E108" s="54">
        <f t="array" ref="E108">IF(OR(ISBLANK($A108),$C108),IFERROR(0/0,""),INDEX('RFR Data - preExcl'!Z$2:Z447,$R108,1))</f>
        <v>11</v>
      </c>
      <c r="F108" s="54">
        <f t="array" ref="F108">IF(OR(ISBLANK(A108),C108),IFERROR(0/0,""),INDEX('RFR Data - preExcl'!AC$2:AC447,$R108,1))</f>
        <v>9</v>
      </c>
      <c r="G108" s="54">
        <f t="array" ref="G108">IF(OR(ISBLANK(A108),C108),IFERROR(0/0,""),INDEX('RFR Data - preExcl'!AK$2:AK447,$R108,1))</f>
        <v>9</v>
      </c>
      <c r="H108" s="54">
        <f t="array" ref="H108">IF(OR(ISBLANK(A108),C108),IFERROR(0/0,""),INDEX('RFR Data - preExcl'!AL$2:AL447,$R108,1))</f>
        <v>0</v>
      </c>
      <c r="I108" s="54">
        <f>IFERROR(VLOOKUP($B108,'APS Tubes by Date IMPORT'!$B$2:$J447,2,FALSE),"")</f>
        <v>9</v>
      </c>
      <c r="J108" s="54" t="b">
        <f>IFERROR(VLOOKUP($B108,'APS Tubes by Date IMPORT'!$B$2:$J447,9,FALSE),"")</f>
        <v>1</v>
      </c>
      <c r="K108" s="54">
        <f>IFNA(VLOOKUP($B108,'APS Tubes by Date IMPORT'!$B$2:$J447,6,FALSE),"")</f>
        <v>0</v>
      </c>
      <c r="L108" s="74">
        <f t="shared" si="120"/>
        <v>9</v>
      </c>
      <c r="M108" s="89">
        <v>0.0</v>
      </c>
      <c r="N108" s="116">
        <v>0.0</v>
      </c>
      <c r="O108" s="76" t="b">
        <f t="shared" si="118"/>
        <v>1</v>
      </c>
      <c r="P108" s="77" t="str">
        <f>IF(ISBLANK(N108),IFERROR(0/0,""),IFERROR(VLOOKUP(N108, 'Process Ref'!$A$76:$D$124, 2, FALSE), IFERROR(0/0,"")))</f>
        <v>ALL 3 COUNTS SAME meaning APS Collect = APS Result = RFR</v>
      </c>
      <c r="Q108" s="110" t="s">
        <v>247</v>
      </c>
      <c r="R108" s="78">
        <f>IFNA(MATCH(A108,'RFR Data - preExcl'!A$2:A447,0),"")</f>
        <v>153</v>
      </c>
      <c r="S108" s="43"/>
      <c r="T108" s="18" t="str">
        <f>IF(EXACT('RFR Data - preExcl'!W108,"Initial"),'RFR Data - preExcl'!A108,IFERROR(0/0,""))</f>
        <v>RUN-ABRM_2022-12-12_RFR-107</v>
      </c>
      <c r="U108" s="79">
        <f>IF(EXACT('RFR Data - preExcl'!W108,"Initial"),'RFR Data - preExcl'!U108,IFERROR(0/0,""))</f>
        <v>44907</v>
      </c>
      <c r="X108" s="43"/>
      <c r="AC108" s="70"/>
      <c r="AF108" s="70"/>
      <c r="AG108" s="74">
        <v>9.0</v>
      </c>
      <c r="AH108" s="54">
        <v>0.0</v>
      </c>
      <c r="AI108" s="116">
        <v>0.0</v>
      </c>
      <c r="AJ108" s="114" t="str">
        <f t="shared" ref="AJ108:AL108" si="121">IF(AG108=L108,IFERROR(0/0,""),FALSE)</f>
        <v/>
      </c>
      <c r="AK108" s="114" t="str">
        <f t="shared" si="121"/>
        <v/>
      </c>
      <c r="AL108" s="114" t="str">
        <f t="shared" si="121"/>
        <v/>
      </c>
      <c r="AM108" s="43"/>
    </row>
    <row r="109">
      <c r="A109" s="7" t="s">
        <v>135</v>
      </c>
      <c r="B109" s="12">
        <v>44967.0</v>
      </c>
      <c r="C109" s="73" t="str">
        <f t="shared" si="3"/>
        <v/>
      </c>
      <c r="D109" s="54">
        <f t="array" ref="D109">IF(OR(ISBLANK($A109),$C109),IFERROR(0/0,""),INDEX('RFR Data - preExcl'!E$2:E447,$R109,1))</f>
        <v>10</v>
      </c>
      <c r="E109" s="54">
        <f t="array" ref="E109">IF(OR(ISBLANK($A109),$C109),IFERROR(0/0,""),INDEX('RFR Data - preExcl'!Z$2:Z447,$R109,1))</f>
        <v>10</v>
      </c>
      <c r="F109" s="54">
        <f t="array" ref="F109">IF(OR(ISBLANK(A109),C109),IFERROR(0/0,""),INDEX('RFR Data - preExcl'!AC$2:AC447,$R109,1))</f>
        <v>8</v>
      </c>
      <c r="G109" s="54">
        <f t="array" ref="G109">IF(OR(ISBLANK(A109),C109),IFERROR(0/0,""),INDEX('RFR Data - preExcl'!AK$2:AK447,$R109,1))</f>
        <v>8</v>
      </c>
      <c r="H109" s="54">
        <f t="array" ref="H109">IF(OR(ISBLANK(A109),C109),IFERROR(0/0,""),INDEX('RFR Data - preExcl'!AL$2:AL447,$R109,1))</f>
        <v>1.1</v>
      </c>
      <c r="I109" s="54">
        <f>IFERROR(VLOOKUP($B109,'APS Tubes by Date IMPORT'!$B$2:$J447,2,FALSE),"")</f>
        <v>8</v>
      </c>
      <c r="J109" s="54" t="b">
        <f>IFERROR(VLOOKUP($B109,'APS Tubes by Date IMPORT'!$B$2:$J447,9,FALSE),"")</f>
        <v>1</v>
      </c>
      <c r="K109" s="54">
        <f>IFNA(VLOOKUP($B109,'APS Tubes by Date IMPORT'!$B$2:$J447,6,FALSE),"")</f>
        <v>0</v>
      </c>
      <c r="L109" s="74">
        <f t="shared" si="120"/>
        <v>8</v>
      </c>
      <c r="M109" s="89">
        <v>0.0</v>
      </c>
      <c r="N109" s="116">
        <v>0.0</v>
      </c>
      <c r="O109" s="76" t="b">
        <f t="shared" si="118"/>
        <v>1</v>
      </c>
      <c r="P109" s="77" t="str">
        <f>IF(ISBLANK(N109),IFERROR(0/0,""),IFERROR(VLOOKUP(N109, 'Process Ref'!$A$76:$D$124, 2, FALSE), IFERROR(0/0,"")))</f>
        <v>ALL 3 COUNTS SAME meaning APS Collect = APS Result = RFR</v>
      </c>
      <c r="Q109" s="77" t="s">
        <v>232</v>
      </c>
      <c r="R109" s="78">
        <f>IFNA(MATCH(A109,'RFR Data - preExcl'!A$2:A447,0),"")</f>
        <v>154</v>
      </c>
      <c r="S109" s="43"/>
      <c r="T109" s="18" t="str">
        <f>IF(EXACT('RFR Data - preExcl'!W109,"Initial"),'RFR Data - preExcl'!A109,IFERROR(0/0,""))</f>
        <v>RUN-ABRM_2022-12-13_RFR-108</v>
      </c>
      <c r="U109" s="79">
        <f>IF(EXACT('RFR Data - preExcl'!W109,"Initial"),'RFR Data - preExcl'!U109,IFERROR(0/0,""))</f>
        <v>44908</v>
      </c>
      <c r="X109" s="43"/>
      <c r="AC109" s="70"/>
      <c r="AF109" s="70"/>
      <c r="AG109" s="74">
        <v>8.0</v>
      </c>
      <c r="AH109" s="54">
        <v>0.0</v>
      </c>
      <c r="AI109" s="116">
        <v>0.0</v>
      </c>
      <c r="AJ109" s="114" t="str">
        <f t="shared" ref="AJ109:AL109" si="122">IF(AG109=L109,IFERROR(0/0,""),FALSE)</f>
        <v/>
      </c>
      <c r="AK109" s="114" t="str">
        <f t="shared" si="122"/>
        <v/>
      </c>
      <c r="AL109" s="114" t="str">
        <f t="shared" si="122"/>
        <v/>
      </c>
      <c r="AM109" s="43"/>
    </row>
    <row r="110">
      <c r="A110" s="7" t="s">
        <v>136</v>
      </c>
      <c r="B110" s="12">
        <v>44970.0</v>
      </c>
      <c r="C110" s="73" t="str">
        <f t="shared" si="3"/>
        <v/>
      </c>
      <c r="D110" s="54">
        <f t="array" ref="D110">IF(OR(ISBLANK($A110),$C110),IFERROR(0/0,""),INDEX('RFR Data - preExcl'!E$2:E447,$R110,1))</f>
        <v>11</v>
      </c>
      <c r="E110" s="54">
        <f t="array" ref="E110">IF(OR(ISBLANK($A110),$C110),IFERROR(0/0,""),INDEX('RFR Data - preExcl'!Z$2:Z447,$R110,1))</f>
        <v>11</v>
      </c>
      <c r="F110" s="54">
        <f t="array" ref="F110">IF(OR(ISBLANK(A110),C110),IFERROR(0/0,""),INDEX('RFR Data - preExcl'!AC$2:AC447,$R110,1))</f>
        <v>9</v>
      </c>
      <c r="G110" s="54">
        <f t="array" ref="G110">IF(OR(ISBLANK(A110),C110),IFERROR(0/0,""),INDEX('RFR Data - preExcl'!AK$2:AK447,$R110,1))</f>
        <v>9</v>
      </c>
      <c r="H110" s="54">
        <f t="array" ref="H110">IF(OR(ISBLANK(A110),C110),IFERROR(0/0,""),INDEX('RFR Data - preExcl'!AL$2:AL447,$R110,1))</f>
        <v>1.1</v>
      </c>
      <c r="I110" s="54">
        <f>IFERROR(VLOOKUP($B110,'APS Tubes by Date IMPORT'!$B$2:$J447,2,FALSE),"")</f>
        <v>9</v>
      </c>
      <c r="J110" s="54" t="b">
        <f>IFERROR(VLOOKUP($B110,'APS Tubes by Date IMPORT'!$B$2:$J447,9,FALSE),"")</f>
        <v>1</v>
      </c>
      <c r="K110" s="54">
        <f>IFNA(VLOOKUP($B110,'APS Tubes by Date IMPORT'!$B$2:$J447,6,FALSE),"")</f>
        <v>0</v>
      </c>
      <c r="L110" s="74">
        <f t="shared" si="120"/>
        <v>9</v>
      </c>
      <c r="M110" s="89">
        <v>0.0</v>
      </c>
      <c r="N110" s="116">
        <v>0.0</v>
      </c>
      <c r="O110" s="76" t="b">
        <f t="shared" si="118"/>
        <v>1</v>
      </c>
      <c r="P110" s="77" t="str">
        <f>IF(ISBLANK(N110),IFERROR(0/0,""),IFERROR(VLOOKUP(N110, 'Process Ref'!$A$76:$D$124, 2, FALSE), IFERROR(0/0,"")))</f>
        <v>ALL 3 COUNTS SAME meaning APS Collect = APS Result = RFR</v>
      </c>
      <c r="Q110" s="110"/>
      <c r="R110" s="78">
        <f>IFNA(MATCH(A110,'RFR Data - preExcl'!A$2:A447,0),"")</f>
        <v>156</v>
      </c>
      <c r="S110" s="43"/>
      <c r="T110" s="18" t="str">
        <f>IF(EXACT('RFR Data - preExcl'!W110,"Initial"),'RFR Data - preExcl'!A110,IFERROR(0/0,""))</f>
        <v>RUN-ABRM_2022-12-16_RFR-109</v>
      </c>
      <c r="U110" s="79">
        <f>IF(EXACT('RFR Data - preExcl'!W110,"Initial"),'RFR Data - preExcl'!U110,IFERROR(0/0,""))</f>
        <v>44911</v>
      </c>
      <c r="X110" s="43"/>
      <c r="AC110" s="70"/>
      <c r="AF110" s="70"/>
      <c r="AG110" s="74">
        <v>9.0</v>
      </c>
      <c r="AH110" s="54">
        <v>0.0</v>
      </c>
      <c r="AI110" s="116">
        <v>0.0</v>
      </c>
      <c r="AJ110" s="114" t="str">
        <f t="shared" ref="AJ110:AL110" si="123">IF(AG110=L110,IFERROR(0/0,""),FALSE)</f>
        <v/>
      </c>
      <c r="AK110" s="114" t="str">
        <f t="shared" si="123"/>
        <v/>
      </c>
      <c r="AL110" s="114" t="str">
        <f t="shared" si="123"/>
        <v/>
      </c>
      <c r="AM110" s="43"/>
    </row>
    <row r="111">
      <c r="A111" s="7" t="s">
        <v>137</v>
      </c>
      <c r="B111" s="12">
        <v>44971.0</v>
      </c>
      <c r="C111" s="73" t="str">
        <f t="shared" si="3"/>
        <v/>
      </c>
      <c r="D111" s="54">
        <f t="array" ref="D111">IF(OR(ISBLANK($A111),$C111),IFERROR(0/0,""),INDEX('RFR Data - preExcl'!E$2:E447,$R111,1))</f>
        <v>10</v>
      </c>
      <c r="E111" s="54">
        <f t="array" ref="E111">IF(OR(ISBLANK($A111),$C111),IFERROR(0/0,""),INDEX('RFR Data - preExcl'!Z$2:Z447,$R111,1))</f>
        <v>10</v>
      </c>
      <c r="F111" s="54">
        <f t="array" ref="F111">IF(OR(ISBLANK(A111),C111),IFERROR(0/0,""),INDEX('RFR Data - preExcl'!AC$2:AC447,$R111,1))</f>
        <v>8</v>
      </c>
      <c r="G111" s="54">
        <f t="array" ref="G111">IF(OR(ISBLANK(A111),C111),IFERROR(0/0,""),INDEX('RFR Data - preExcl'!AK$2:AK447,$R111,1))</f>
        <v>8</v>
      </c>
      <c r="H111" s="54">
        <f t="array" ref="H111">IF(OR(ISBLANK(A111),C111),IFERROR(0/0,""),INDEX('RFR Data - preExcl'!AL$2:AL447,$R111,1))</f>
        <v>5</v>
      </c>
      <c r="I111" s="54">
        <f>IFERROR(VLOOKUP($B111,'APS Tubes by Date IMPORT'!$B$2:$J447,2,FALSE),"")</f>
        <v>8</v>
      </c>
      <c r="J111" s="54" t="b">
        <f>IFERROR(VLOOKUP($B111,'APS Tubes by Date IMPORT'!$B$2:$J447,9,FALSE),"")</f>
        <v>1</v>
      </c>
      <c r="K111" s="54">
        <f>IFNA(VLOOKUP($B111,'APS Tubes by Date IMPORT'!$B$2:$J447,6,FALSE),"")</f>
        <v>0</v>
      </c>
      <c r="L111" s="74">
        <f t="shared" si="120"/>
        <v>8</v>
      </c>
      <c r="M111" s="89">
        <v>0.0</v>
      </c>
      <c r="N111" s="116">
        <v>3.0</v>
      </c>
      <c r="O111" s="76" t="b">
        <f t="shared" si="118"/>
        <v>1</v>
      </c>
      <c r="P111" s="77" t="str">
        <f>IF(ISBLANK(N111),IFERROR(0/0,""),IFERROR(VLOOKUP(N111, 'Process Ref'!$A$76:$D$124, 2, FALSE), IFERROR(0/0,"")))</f>
        <v>ALL 3 COUNTS SAME after Null deleted</v>
      </c>
      <c r="Q111" s="77"/>
      <c r="R111" s="78">
        <f>IFNA(MATCH(A111,'RFR Data - preExcl'!A$2:A447,0),"")</f>
        <v>158</v>
      </c>
      <c r="S111" s="43"/>
      <c r="T111" s="18" t="str">
        <f>IF(EXACT('RFR Data - preExcl'!W111,"Initial"),'RFR Data - preExcl'!A111,IFERROR(0/0,""))</f>
        <v>RUN-ABRM_2022-12-19_RFR-110</v>
      </c>
      <c r="U111" s="79">
        <f>IF(EXACT('RFR Data - preExcl'!W111,"Initial"),'RFR Data - preExcl'!U111,IFERROR(0/0,""))</f>
        <v>44914</v>
      </c>
      <c r="X111" s="43"/>
      <c r="AC111" s="70"/>
      <c r="AF111" s="70"/>
      <c r="AG111" s="74">
        <v>8.0</v>
      </c>
      <c r="AH111" s="54">
        <v>0.0</v>
      </c>
      <c r="AI111" s="116">
        <v>3.0</v>
      </c>
      <c r="AJ111" s="114" t="str">
        <f t="shared" ref="AJ111:AL111" si="124">IF(AG111=L111,IFERROR(0/0,""),FALSE)</f>
        <v/>
      </c>
      <c r="AK111" s="114" t="str">
        <f t="shared" si="124"/>
        <v/>
      </c>
      <c r="AL111" s="114" t="str">
        <f t="shared" si="124"/>
        <v/>
      </c>
      <c r="AM111" s="43"/>
    </row>
    <row r="112">
      <c r="A112" s="7" t="s">
        <v>138</v>
      </c>
      <c r="B112" s="12">
        <v>44972.0</v>
      </c>
      <c r="C112" s="73" t="str">
        <f t="shared" si="3"/>
        <v/>
      </c>
      <c r="D112" s="54">
        <f t="array" ref="D112">IF(OR(ISBLANK($A112),$C112),IFERROR(0/0,""),INDEX('RFR Data - preExcl'!E$2:E447,$R112,1))</f>
        <v>9</v>
      </c>
      <c r="E112" s="54">
        <f t="array" ref="E112">IF(OR(ISBLANK($A112),$C112),IFERROR(0/0,""),INDEX('RFR Data - preExcl'!Z$2:Z447,$R112,1))</f>
        <v>9</v>
      </c>
      <c r="F112" s="54">
        <f t="array" ref="F112">IF(OR(ISBLANK(A112),C112),IFERROR(0/0,""),INDEX('RFR Data - preExcl'!AC$2:AC447,$R112,1))</f>
        <v>7</v>
      </c>
      <c r="G112" s="54">
        <f t="array" ref="G112">IF(OR(ISBLANK(A112),C112),IFERROR(0/0,""),INDEX('RFR Data - preExcl'!AK$2:AK447,$R112,1))</f>
        <v>7</v>
      </c>
      <c r="H112" s="54">
        <f t="array" ref="H112">IF(OR(ISBLANK(A112),C112),IFERROR(0/0,""),INDEX('RFR Data - preExcl'!AL$2:AL447,$R112,1))</f>
        <v>0</v>
      </c>
      <c r="I112" s="54">
        <f>IFERROR(VLOOKUP($B112,'APS Tubes by Date IMPORT'!$B$2:$J447,2,FALSE),"")</f>
        <v>7</v>
      </c>
      <c r="J112" s="54" t="b">
        <f>IFERROR(VLOOKUP($B112,'APS Tubes by Date IMPORT'!$B$2:$J447,9,FALSE),"")</f>
        <v>1</v>
      </c>
      <c r="K112" s="54">
        <f>IFNA(VLOOKUP($B112,'APS Tubes by Date IMPORT'!$B$2:$J447,6,FALSE),"")</f>
        <v>0</v>
      </c>
      <c r="L112" s="74">
        <f t="shared" si="120"/>
        <v>7</v>
      </c>
      <c r="M112" s="89">
        <v>0.0</v>
      </c>
      <c r="N112" s="116">
        <v>0.0</v>
      </c>
      <c r="O112" s="76" t="b">
        <f t="shared" si="118"/>
        <v>1</v>
      </c>
      <c r="P112" s="77" t="str">
        <f>IF(ISBLANK(N112),IFERROR(0/0,""),IFERROR(VLOOKUP(N112, 'Process Ref'!$A$76:$D$124, 2, FALSE), IFERROR(0/0,"")))</f>
        <v>ALL 3 COUNTS SAME meaning APS Collect = APS Result = RFR</v>
      </c>
      <c r="Q112" s="77"/>
      <c r="R112" s="78">
        <f>IFNA(MATCH(A112,'RFR Data - preExcl'!A$2:A447,0),"")</f>
        <v>160</v>
      </c>
      <c r="S112" s="43"/>
      <c r="T112" s="18" t="str">
        <f>IF(EXACT('RFR Data - preExcl'!W112,"Initial"),'RFR Data - preExcl'!A112,IFERROR(0/0,""))</f>
        <v/>
      </c>
      <c r="U112" s="18" t="str">
        <f>IF(EXACT('RFR Data - preExcl'!W112,"Initial"),'RFR Data - preExcl'!U112,IFERROR(0/0,""))</f>
        <v/>
      </c>
      <c r="X112" s="43"/>
      <c r="AC112" s="70"/>
      <c r="AF112" s="70"/>
      <c r="AG112" s="74">
        <v>7.0</v>
      </c>
      <c r="AH112" s="54">
        <v>0.0</v>
      </c>
      <c r="AI112" s="116">
        <v>0.0</v>
      </c>
      <c r="AJ112" s="114" t="str">
        <f t="shared" ref="AJ112:AL112" si="125">IF(AG112=L112,IFERROR(0/0,""),FALSE)</f>
        <v/>
      </c>
      <c r="AK112" s="114" t="str">
        <f t="shared" si="125"/>
        <v/>
      </c>
      <c r="AL112" s="114" t="str">
        <f t="shared" si="125"/>
        <v/>
      </c>
      <c r="AM112" s="43"/>
    </row>
    <row r="113">
      <c r="A113" s="7" t="s">
        <v>139</v>
      </c>
      <c r="B113" s="12">
        <v>44973.0</v>
      </c>
      <c r="C113" s="73" t="str">
        <f t="shared" si="3"/>
        <v/>
      </c>
      <c r="D113" s="54">
        <f t="array" ref="D113">IF(OR(ISBLANK($A113),$C113),IFERROR(0/0,""),INDEX('RFR Data - preExcl'!E$2:E447,$R113,1))</f>
        <v>9</v>
      </c>
      <c r="E113" s="54">
        <f t="array" ref="E113">IF(OR(ISBLANK($A113),$C113),IFERROR(0/0,""),INDEX('RFR Data - preExcl'!Z$2:Z447,$R113,1))</f>
        <v>9</v>
      </c>
      <c r="F113" s="54">
        <f t="array" ref="F113">IF(OR(ISBLANK(A113),C113),IFERROR(0/0,""),INDEX('RFR Data - preExcl'!AC$2:AC447,$R113,1))</f>
        <v>7</v>
      </c>
      <c r="G113" s="54">
        <f t="array" ref="G113">IF(OR(ISBLANK(A113),C113),IFERROR(0/0,""),INDEX('RFR Data - preExcl'!AK$2:AK447,$R113,1))</f>
        <v>7</v>
      </c>
      <c r="H113" s="54">
        <f t="array" ref="H113">IF(OR(ISBLANK(A113),C113),IFERROR(0/0,""),INDEX('RFR Data - preExcl'!AL$2:AL447,$R113,1))</f>
        <v>0</v>
      </c>
      <c r="I113" s="54">
        <f>IFERROR(VLOOKUP($B113,'APS Tubes by Date IMPORT'!$B$2:$J447,2,FALSE),"")</f>
        <v>7</v>
      </c>
      <c r="J113" s="54" t="b">
        <f>IFERROR(VLOOKUP($B113,'APS Tubes by Date IMPORT'!$B$2:$J447,9,FALSE),"")</f>
        <v>1</v>
      </c>
      <c r="K113" s="54">
        <f>IFNA(VLOOKUP($B113,'APS Tubes by Date IMPORT'!$B$2:$J447,6,FALSE),"")</f>
        <v>0</v>
      </c>
      <c r="L113" s="74">
        <f t="shared" si="120"/>
        <v>7</v>
      </c>
      <c r="M113" s="89">
        <v>0.0</v>
      </c>
      <c r="N113" s="116">
        <v>0.0</v>
      </c>
      <c r="O113" s="76" t="b">
        <f t="shared" si="118"/>
        <v>1</v>
      </c>
      <c r="P113" s="77" t="str">
        <f>IF(ISBLANK(N113),IFERROR(0/0,""),IFERROR(VLOOKUP(N113, 'Process Ref'!$A$76:$D$124, 2, FALSE), IFERROR(0/0,"")))</f>
        <v>ALL 3 COUNTS SAME meaning APS Collect = APS Result = RFR</v>
      </c>
      <c r="Q113" s="77"/>
      <c r="R113" s="78">
        <f>IFNA(MATCH(A113,'RFR Data - preExcl'!A$2:A447,0),"")</f>
        <v>161</v>
      </c>
      <c r="S113" s="43"/>
      <c r="T113" s="18" t="str">
        <f>IF(EXACT('RFR Data - preExcl'!W113,"Initial"),'RFR Data - preExcl'!A113,IFERROR(0/0,""))</f>
        <v>RUN-ABRM_2022-12-20_RFR-112</v>
      </c>
      <c r="U113" s="79">
        <f>IF(EXACT('RFR Data - preExcl'!W113,"Initial"),'RFR Data - preExcl'!U113,IFERROR(0/0,""))</f>
        <v>44915</v>
      </c>
      <c r="X113" s="43"/>
      <c r="AC113" s="70"/>
      <c r="AF113" s="70"/>
      <c r="AG113" s="74">
        <v>7.0</v>
      </c>
      <c r="AH113" s="54">
        <v>0.0</v>
      </c>
      <c r="AI113" s="116">
        <v>0.0</v>
      </c>
      <c r="AJ113" s="114" t="str">
        <f t="shared" ref="AJ113:AL113" si="126">IF(AG113=L113,IFERROR(0/0,""),FALSE)</f>
        <v/>
      </c>
      <c r="AK113" s="114" t="str">
        <f t="shared" si="126"/>
        <v/>
      </c>
      <c r="AL113" s="114" t="str">
        <f t="shared" si="126"/>
        <v/>
      </c>
      <c r="AM113" s="43"/>
    </row>
    <row r="114">
      <c r="A114" s="7" t="s">
        <v>140</v>
      </c>
      <c r="B114" s="12">
        <v>44974.0</v>
      </c>
      <c r="C114" s="73" t="str">
        <f t="shared" si="3"/>
        <v/>
      </c>
      <c r="D114" s="54">
        <f t="array" ref="D114">IF(OR(ISBLANK($A114),$C114),IFERROR(0/0,""),INDEX('RFR Data - preExcl'!E$2:E447,$R114,1))</f>
        <v>10</v>
      </c>
      <c r="E114" s="54">
        <f t="array" ref="E114">IF(OR(ISBLANK($A114),$C114),IFERROR(0/0,""),INDEX('RFR Data - preExcl'!Z$2:Z447,$R114,1))</f>
        <v>10</v>
      </c>
      <c r="F114" s="54">
        <f t="array" ref="F114">IF(OR(ISBLANK(A114),C114),IFERROR(0/0,""),INDEX('RFR Data - preExcl'!AC$2:AC447,$R114,1))</f>
        <v>8</v>
      </c>
      <c r="G114" s="54">
        <f t="array" ref="G114">IF(OR(ISBLANK(A114),C114),IFERROR(0/0,""),INDEX('RFR Data - preExcl'!AK$2:AK447,$R114,1))</f>
        <v>8</v>
      </c>
      <c r="H114" s="54">
        <f t="array" ref="H114">IF(OR(ISBLANK(A114),C114),IFERROR(0/0,""),INDEX('RFR Data - preExcl'!AL$2:AL447,$R114,1))</f>
        <v>0</v>
      </c>
      <c r="I114" s="54">
        <f>IFERROR(VLOOKUP($B114,'APS Tubes by Date IMPORT'!$B$2:$J447,2,FALSE),"")</f>
        <v>8</v>
      </c>
      <c r="J114" s="54" t="b">
        <f>IFERROR(VLOOKUP($B114,'APS Tubes by Date IMPORT'!$B$2:$J447,9,FALSE),"")</f>
        <v>1</v>
      </c>
      <c r="K114" s="54">
        <f>IFNA(VLOOKUP($B114,'APS Tubes by Date IMPORT'!$B$2:$J447,6,FALSE),"")</f>
        <v>0</v>
      </c>
      <c r="L114" s="74">
        <f t="shared" si="120"/>
        <v>8</v>
      </c>
      <c r="M114" s="89">
        <v>0.0</v>
      </c>
      <c r="N114" s="116">
        <v>0.0</v>
      </c>
      <c r="O114" s="76" t="b">
        <f t="shared" si="118"/>
        <v>1</v>
      </c>
      <c r="P114" s="77" t="str">
        <f>IF(ISBLANK(N114),IFERROR(0/0,""),IFERROR(VLOOKUP(N114, 'Process Ref'!$A$76:$D$124, 2, FALSE), IFERROR(0/0,"")))</f>
        <v>ALL 3 COUNTS SAME meaning APS Collect = APS Result = RFR</v>
      </c>
      <c r="Q114" s="77"/>
      <c r="R114" s="78">
        <f>IFNA(MATCH(A114,'RFR Data - preExcl'!A$2:A447,0),"")</f>
        <v>162</v>
      </c>
      <c r="S114" s="43"/>
      <c r="T114" s="18" t="str">
        <f>IF(EXACT('RFR Data - preExcl'!W114,"Initial"),'RFR Data - preExcl'!A114,IFERROR(0/0,""))</f>
        <v>RUN-ABRM_2022-12-21_RFR-113</v>
      </c>
      <c r="U114" s="79">
        <f>IF(EXACT('RFR Data - preExcl'!W114,"Initial"),'RFR Data - preExcl'!U114,IFERROR(0/0,""))</f>
        <v>44916</v>
      </c>
      <c r="X114" s="43"/>
      <c r="AC114" s="70"/>
      <c r="AF114" s="70"/>
      <c r="AG114" s="74">
        <v>8.0</v>
      </c>
      <c r="AH114" s="54">
        <v>0.0</v>
      </c>
      <c r="AI114" s="116">
        <v>0.0</v>
      </c>
      <c r="AJ114" s="114" t="str">
        <f t="shared" ref="AJ114:AL114" si="127">IF(AG114=L114,IFERROR(0/0,""),FALSE)</f>
        <v/>
      </c>
      <c r="AK114" s="114" t="str">
        <f t="shared" si="127"/>
        <v/>
      </c>
      <c r="AL114" s="114" t="str">
        <f t="shared" si="127"/>
        <v/>
      </c>
      <c r="AM114" s="43"/>
    </row>
    <row r="115">
      <c r="A115" s="7" t="s">
        <v>141</v>
      </c>
      <c r="B115" s="12">
        <v>44977.0</v>
      </c>
      <c r="C115" s="73" t="str">
        <f t="shared" si="3"/>
        <v/>
      </c>
      <c r="D115" s="54">
        <f t="array" ref="D115">IF(OR(ISBLANK($A115),$C115),IFERROR(0/0,""),INDEX('RFR Data - preExcl'!E$2:E447,$R115,1))</f>
        <v>11</v>
      </c>
      <c r="E115" s="54">
        <f t="array" ref="E115">IF(OR(ISBLANK($A115),$C115),IFERROR(0/0,""),INDEX('RFR Data - preExcl'!Z$2:Z447,$R115,1))</f>
        <v>11</v>
      </c>
      <c r="F115" s="54">
        <f t="array" ref="F115">IF(OR(ISBLANK(A115),C115),IFERROR(0/0,""),INDEX('RFR Data - preExcl'!AC$2:AC447,$R115,1))</f>
        <v>9</v>
      </c>
      <c r="G115" s="54">
        <f t="array" ref="G115">IF(OR(ISBLANK(A115),C115),IFERROR(0/0,""),INDEX('RFR Data - preExcl'!AK$2:AK447,$R115,1))</f>
        <v>9</v>
      </c>
      <c r="H115" s="54">
        <f t="array" ref="H115">IF(OR(ISBLANK(A115),C115),IFERROR(0/0,""),INDEX('RFR Data - preExcl'!AL$2:AL447,$R115,1))</f>
        <v>0</v>
      </c>
      <c r="I115" s="54">
        <f>IFERROR(VLOOKUP($B115,'APS Tubes by Date IMPORT'!$B$2:$J447,2,FALSE),"")</f>
        <v>9</v>
      </c>
      <c r="J115" s="54" t="b">
        <f>IFERROR(VLOOKUP($B115,'APS Tubes by Date IMPORT'!$B$2:$J447,9,FALSE),"")</f>
        <v>1</v>
      </c>
      <c r="K115" s="54">
        <f>IFNA(VLOOKUP($B115,'APS Tubes by Date IMPORT'!$B$2:$J447,6,FALSE),"")</f>
        <v>0</v>
      </c>
      <c r="L115" s="74">
        <f t="shared" si="120"/>
        <v>9</v>
      </c>
      <c r="M115" s="89">
        <v>0.0</v>
      </c>
      <c r="N115" s="116">
        <v>0.0</v>
      </c>
      <c r="O115" s="76" t="b">
        <f t="shared" si="118"/>
        <v>1</v>
      </c>
      <c r="P115" s="77" t="str">
        <f>IF(ISBLANK(N115),IFERROR(0/0,""),IFERROR(VLOOKUP(N115, 'Process Ref'!$A$76:$D$124, 2, FALSE), IFERROR(0/0,"")))</f>
        <v>ALL 3 COUNTS SAME meaning APS Collect = APS Result = RFR</v>
      </c>
      <c r="Q115" s="77"/>
      <c r="R115" s="78">
        <f>IFNA(MATCH(A115,'RFR Data - preExcl'!A$2:A447,0),"")</f>
        <v>163</v>
      </c>
      <c r="S115" s="43"/>
      <c r="T115" s="18" t="str">
        <f>IF(EXACT('RFR Data - preExcl'!W115,"Initial"),'RFR Data - preExcl'!A115,IFERROR(0/0,""))</f>
        <v>RUN-ABRM_2022-12-22_RFR-114</v>
      </c>
      <c r="U115" s="79">
        <f>IF(EXACT('RFR Data - preExcl'!W115,"Initial"),'RFR Data - preExcl'!U115,IFERROR(0/0,""))</f>
        <v>44917</v>
      </c>
      <c r="X115" s="43"/>
      <c r="AC115" s="70"/>
      <c r="AF115" s="70"/>
      <c r="AG115" s="74">
        <v>9.0</v>
      </c>
      <c r="AH115" s="54">
        <v>0.0</v>
      </c>
      <c r="AI115" s="116">
        <v>0.0</v>
      </c>
      <c r="AJ115" s="114" t="str">
        <f t="shared" ref="AJ115:AL115" si="128">IF(AG115=L115,IFERROR(0/0,""),FALSE)</f>
        <v/>
      </c>
      <c r="AK115" s="114" t="str">
        <f t="shared" si="128"/>
        <v/>
      </c>
      <c r="AL115" s="114" t="str">
        <f t="shared" si="128"/>
        <v/>
      </c>
      <c r="AM115" s="43"/>
    </row>
    <row r="116">
      <c r="A116" s="7" t="s">
        <v>142</v>
      </c>
      <c r="B116" s="12">
        <v>44978.0</v>
      </c>
      <c r="C116" s="73" t="str">
        <f t="shared" si="3"/>
        <v/>
      </c>
      <c r="D116" s="54">
        <f t="array" ref="D116">IF(OR(ISBLANK($A116),$C116),IFERROR(0/0,""),INDEX('RFR Data - preExcl'!E$2:E447,$R116,1))</f>
        <v>9</v>
      </c>
      <c r="E116" s="54">
        <f t="array" ref="E116">IF(OR(ISBLANK($A116),$C116),IFERROR(0/0,""),INDEX('RFR Data - preExcl'!Z$2:Z447,$R116,1))</f>
        <v>9</v>
      </c>
      <c r="F116" s="54">
        <f t="array" ref="F116">IF(OR(ISBLANK(A116),C116),IFERROR(0/0,""),INDEX('RFR Data - preExcl'!AC$2:AC447,$R116,1))</f>
        <v>7</v>
      </c>
      <c r="G116" s="54">
        <f t="array" ref="G116">IF(OR(ISBLANK(A116),C116),IFERROR(0/0,""),INDEX('RFR Data - preExcl'!AK$2:AK447,$R116,1))</f>
        <v>7</v>
      </c>
      <c r="H116" s="54">
        <f t="array" ref="H116">IF(OR(ISBLANK(A116),C116),IFERROR(0/0,""),INDEX('RFR Data - preExcl'!AL$2:AL447,$R116,1))</f>
        <v>4</v>
      </c>
      <c r="I116" s="54">
        <f>IFERROR(VLOOKUP($B116,'APS Tubes by Date IMPORT'!$B$2:$J447,2,FALSE),"")</f>
        <v>7</v>
      </c>
      <c r="J116" s="54" t="str">
        <f>IFERROR(VLOOKUP($B116,'APS Tubes by Date IMPORT'!$B$2:$J447,9,FALSE),"")</f>
        <v/>
      </c>
      <c r="K116" s="54">
        <f>IFNA(VLOOKUP($B116,'APS Tubes by Date IMPORT'!$B$2:$J447,6,FALSE),"")</f>
        <v>0</v>
      </c>
      <c r="L116" s="74">
        <f t="shared" si="120"/>
        <v>7</v>
      </c>
      <c r="M116" s="89">
        <v>0.0</v>
      </c>
      <c r="N116" s="116">
        <v>1.0</v>
      </c>
      <c r="O116" s="76" t="b">
        <f t="shared" si="118"/>
        <v>1</v>
      </c>
      <c r="P116" s="77" t="str">
        <f>IF(ISBLANK(N116),IFERROR(0/0,""),IFERROR(VLOOKUP(N116, 'Process Ref'!$A$76:$D$124, 2, FALSE), IFERROR(0/0,"")))</f>
        <v>Use APS Collect = RFR (diff APS Result count but nets out)</v>
      </c>
      <c r="Q116" s="77"/>
      <c r="R116" s="78">
        <f>IFNA(MATCH(A116,'RFR Data - preExcl'!A$2:A447,0),"")</f>
        <v>164</v>
      </c>
      <c r="S116" s="43"/>
      <c r="T116" s="18" t="str">
        <f>IF(EXACT('RFR Data - preExcl'!W116,"Initial"),'RFR Data - preExcl'!A116,IFERROR(0/0,""))</f>
        <v/>
      </c>
      <c r="U116" s="18" t="str">
        <f>IF(EXACT('RFR Data - preExcl'!W116,"Initial"),'RFR Data - preExcl'!U116,IFERROR(0/0,""))</f>
        <v/>
      </c>
      <c r="X116" s="43"/>
      <c r="AC116" s="70"/>
      <c r="AF116" s="70"/>
      <c r="AG116" s="74">
        <v>7.0</v>
      </c>
      <c r="AH116" s="54">
        <v>0.0</v>
      </c>
      <c r="AI116" s="116">
        <v>1.0</v>
      </c>
      <c r="AJ116" s="114" t="str">
        <f t="shared" ref="AJ116:AL116" si="129">IF(AG116=L116,IFERROR(0/0,""),FALSE)</f>
        <v/>
      </c>
      <c r="AK116" s="114" t="str">
        <f t="shared" si="129"/>
        <v/>
      </c>
      <c r="AL116" s="114" t="str">
        <f t="shared" si="129"/>
        <v/>
      </c>
      <c r="AM116" s="43"/>
    </row>
    <row r="117">
      <c r="A117" s="7" t="s">
        <v>143</v>
      </c>
      <c r="B117" s="12">
        <v>44979.0</v>
      </c>
      <c r="C117" s="73" t="str">
        <f t="shared" si="3"/>
        <v/>
      </c>
      <c r="D117" s="54">
        <f t="array" ref="D117">IF(OR(ISBLANK($A117),$C117),IFERROR(0/0,""),INDEX('RFR Data - preExcl'!E$2:E447,$R117,1))</f>
        <v>10</v>
      </c>
      <c r="E117" s="54">
        <f t="array" ref="E117">IF(OR(ISBLANK($A117),$C117),IFERROR(0/0,""),INDEX('RFR Data - preExcl'!Z$2:Z447,$R117,1))</f>
        <v>10</v>
      </c>
      <c r="F117" s="54">
        <f t="array" ref="F117">IF(OR(ISBLANK(A117),C117),IFERROR(0/0,""),INDEX('RFR Data - preExcl'!AC$2:AC447,$R117,1))</f>
        <v>8</v>
      </c>
      <c r="G117" s="54">
        <f t="array" ref="G117">IF(OR(ISBLANK(A117),C117),IFERROR(0/0,""),INDEX('RFR Data - preExcl'!AK$2:AK447,$R117,1))</f>
        <v>8</v>
      </c>
      <c r="H117" s="54">
        <f t="array" ref="H117">IF(OR(ISBLANK(A117),C117),IFERROR(0/0,""),INDEX('RFR Data - preExcl'!AL$2:AL447,$R117,1))</f>
        <v>0</v>
      </c>
      <c r="I117" s="54">
        <f>IFERROR(VLOOKUP($B117,'APS Tubes by Date IMPORT'!$B$2:$J447,2,FALSE),"")</f>
        <v>8</v>
      </c>
      <c r="J117" s="54" t="b">
        <f>IFERROR(VLOOKUP($B117,'APS Tubes by Date IMPORT'!$B$2:$J447,9,FALSE),"")</f>
        <v>1</v>
      </c>
      <c r="K117" s="54">
        <f>IFNA(VLOOKUP($B117,'APS Tubes by Date IMPORT'!$B$2:$J447,6,FALSE),"")</f>
        <v>0</v>
      </c>
      <c r="L117" s="74">
        <f t="shared" si="120"/>
        <v>8</v>
      </c>
      <c r="M117" s="89">
        <v>0.0</v>
      </c>
      <c r="N117" s="116">
        <v>0.0</v>
      </c>
      <c r="O117" s="76" t="b">
        <f t="shared" si="118"/>
        <v>1</v>
      </c>
      <c r="P117" s="77" t="str">
        <f>IF(ISBLANK(N117),IFERROR(0/0,""),IFERROR(VLOOKUP(N117, 'Process Ref'!$A$76:$D$124, 2, FALSE), IFERROR(0/0,"")))</f>
        <v>ALL 3 COUNTS SAME meaning APS Collect = APS Result = RFR</v>
      </c>
      <c r="Q117" s="77"/>
      <c r="R117" s="78">
        <f>IFNA(MATCH(A117,'RFR Data - preExcl'!A$2:A447,0),"")</f>
        <v>166</v>
      </c>
      <c r="S117" s="43"/>
      <c r="T117" s="18" t="str">
        <f>IF(EXACT('RFR Data - preExcl'!W117,"Initial"),'RFR Data - preExcl'!A117,IFERROR(0/0,""))</f>
        <v/>
      </c>
      <c r="U117" s="18" t="str">
        <f>IF(EXACT('RFR Data - preExcl'!W117,"Initial"),'RFR Data - preExcl'!U117,IFERROR(0/0,""))</f>
        <v/>
      </c>
      <c r="X117" s="43"/>
      <c r="AC117" s="70"/>
      <c r="AF117" s="70"/>
      <c r="AG117" s="74">
        <v>8.0</v>
      </c>
      <c r="AH117" s="54">
        <v>0.0</v>
      </c>
      <c r="AI117" s="116">
        <v>0.0</v>
      </c>
      <c r="AJ117" s="114" t="str">
        <f t="shared" ref="AJ117:AL117" si="130">IF(AG117=L117,IFERROR(0/0,""),FALSE)</f>
        <v/>
      </c>
      <c r="AK117" s="114" t="str">
        <f t="shared" si="130"/>
        <v/>
      </c>
      <c r="AL117" s="114" t="str">
        <f t="shared" si="130"/>
        <v/>
      </c>
      <c r="AM117" s="43"/>
    </row>
    <row r="118">
      <c r="A118" s="7" t="s">
        <v>144</v>
      </c>
      <c r="B118" s="12">
        <v>44980.0</v>
      </c>
      <c r="C118" s="73" t="str">
        <f t="shared" si="3"/>
        <v/>
      </c>
      <c r="D118" s="54">
        <f t="array" ref="D118">IF(OR(ISBLANK($A118),$C118),IFERROR(0/0,""),INDEX('RFR Data - preExcl'!E$2:E447,$R118,1))</f>
        <v>11</v>
      </c>
      <c r="E118" s="54">
        <f t="array" ref="E118">IF(OR(ISBLANK($A118),$C118),IFERROR(0/0,""),INDEX('RFR Data - preExcl'!Z$2:Z447,$R118,1))</f>
        <v>11</v>
      </c>
      <c r="F118" s="54">
        <f t="array" ref="F118">IF(OR(ISBLANK(A118),C118),IFERROR(0/0,""),INDEX('RFR Data - preExcl'!AC$2:AC447,$R118,1))</f>
        <v>9</v>
      </c>
      <c r="G118" s="54">
        <f t="array" ref="G118">IF(OR(ISBLANK(A118),C118),IFERROR(0/0,""),INDEX('RFR Data - preExcl'!AK$2:AK447,$R118,1))</f>
        <v>9</v>
      </c>
      <c r="H118" s="54">
        <f t="array" ref="H118">IF(OR(ISBLANK(A118),C118),IFERROR(0/0,""),INDEX('RFR Data - preExcl'!AL$2:AL447,$R118,1))</f>
        <v>0</v>
      </c>
      <c r="I118" s="54">
        <f>IFERROR(VLOOKUP($B118,'APS Tubes by Date IMPORT'!$B$2:$J447,2,FALSE),"")</f>
        <v>9</v>
      </c>
      <c r="J118" s="54" t="b">
        <f>IFERROR(VLOOKUP($B118,'APS Tubes by Date IMPORT'!$B$2:$J447,9,FALSE),"")</f>
        <v>1</v>
      </c>
      <c r="K118" s="54">
        <f>IFNA(VLOOKUP($B118,'APS Tubes by Date IMPORT'!$B$2:$J447,6,FALSE),"")</f>
        <v>0</v>
      </c>
      <c r="L118" s="74">
        <f t="shared" si="120"/>
        <v>9</v>
      </c>
      <c r="M118" s="89">
        <v>0.0</v>
      </c>
      <c r="N118" s="116">
        <v>0.0</v>
      </c>
      <c r="O118" s="76" t="b">
        <f t="shared" si="118"/>
        <v>1</v>
      </c>
      <c r="P118" s="77" t="str">
        <f>IF(ISBLANK(N118),IFERROR(0/0,""),IFERROR(VLOOKUP(N118, 'Process Ref'!$A$76:$D$124, 2, FALSE), IFERROR(0/0,"")))</f>
        <v>ALL 3 COUNTS SAME meaning APS Collect = APS Result = RFR</v>
      </c>
      <c r="Q118" s="77"/>
      <c r="R118" s="78">
        <f>IFNA(MATCH(A118,'RFR Data - preExcl'!A$2:A447,0),"")</f>
        <v>167</v>
      </c>
      <c r="S118" s="43"/>
      <c r="T118" s="18" t="str">
        <f>IF(EXACT('RFR Data - preExcl'!W118,"Initial"),'RFR Data - preExcl'!A118,IFERROR(0/0,""))</f>
        <v>RUN-ABRM_2023-01-02_RFR-117</v>
      </c>
      <c r="U118" s="79">
        <f>IF(EXACT('RFR Data - preExcl'!W118,"Initial"),'RFR Data - preExcl'!U118,IFERROR(0/0,""))</f>
        <v>44928</v>
      </c>
      <c r="X118" s="43"/>
      <c r="AC118" s="70"/>
      <c r="AF118" s="70"/>
      <c r="AG118" s="74">
        <v>9.0</v>
      </c>
      <c r="AH118" s="54">
        <v>0.0</v>
      </c>
      <c r="AI118" s="116">
        <v>0.0</v>
      </c>
      <c r="AJ118" s="114" t="str">
        <f t="shared" ref="AJ118:AL118" si="131">IF(AG118=L118,IFERROR(0/0,""),FALSE)</f>
        <v/>
      </c>
      <c r="AK118" s="114" t="str">
        <f t="shared" si="131"/>
        <v/>
      </c>
      <c r="AL118" s="114" t="str">
        <f t="shared" si="131"/>
        <v/>
      </c>
      <c r="AM118" s="43"/>
    </row>
    <row r="119">
      <c r="A119" s="7" t="s">
        <v>145</v>
      </c>
      <c r="B119" s="12">
        <v>44981.0</v>
      </c>
      <c r="C119" s="73" t="str">
        <f t="shared" si="3"/>
        <v/>
      </c>
      <c r="D119" s="54">
        <f t="array" ref="D119">IF(OR(ISBLANK($A119),$C119),IFERROR(0/0,""),INDEX('RFR Data - preExcl'!E$2:E447,$R119,1))</f>
        <v>9</v>
      </c>
      <c r="E119" s="54">
        <f t="array" ref="E119">IF(OR(ISBLANK($A119),$C119),IFERROR(0/0,""),INDEX('RFR Data - preExcl'!Z$2:Z447,$R119,1))</f>
        <v>9</v>
      </c>
      <c r="F119" s="54">
        <f t="array" ref="F119">IF(OR(ISBLANK(A119),C119),IFERROR(0/0,""),INDEX('RFR Data - preExcl'!AC$2:AC447,$R119,1))</f>
        <v>7</v>
      </c>
      <c r="G119" s="54">
        <f t="array" ref="G119">IF(OR(ISBLANK(A119),C119),IFERROR(0/0,""),INDEX('RFR Data - preExcl'!AK$2:AK447,$R119,1))</f>
        <v>7</v>
      </c>
      <c r="H119" s="54">
        <f t="array" ref="H119">IF(OR(ISBLANK(A119),C119),IFERROR(0/0,""),INDEX('RFR Data - preExcl'!AL$2:AL447,$R119,1))</f>
        <v>4</v>
      </c>
      <c r="I119" s="54">
        <f>IFERROR(VLOOKUP($B119,'APS Tubes by Date IMPORT'!$B$2:$J447,2,FALSE),"")</f>
        <v>7</v>
      </c>
      <c r="J119" s="54" t="b">
        <f>IFERROR(VLOOKUP($B119,'APS Tubes by Date IMPORT'!$B$2:$J447,9,FALSE),"")</f>
        <v>1</v>
      </c>
      <c r="K119" s="54">
        <f>IFNA(VLOOKUP($B119,'APS Tubes by Date IMPORT'!$B$2:$J447,6,FALSE),"")</f>
        <v>0</v>
      </c>
      <c r="L119" s="74">
        <f t="shared" si="120"/>
        <v>7</v>
      </c>
      <c r="M119" s="89">
        <v>0.0</v>
      </c>
      <c r="N119" s="116">
        <v>0.0</v>
      </c>
      <c r="O119" s="76" t="b">
        <f t="shared" si="118"/>
        <v>1</v>
      </c>
      <c r="P119" s="77" t="str">
        <f>IF(ISBLANK(N119),IFERROR(0/0,""),IFERROR(VLOOKUP(N119, 'Process Ref'!$A$76:$D$124, 2, FALSE), IFERROR(0/0,"")))</f>
        <v>ALL 3 COUNTS SAME meaning APS Collect = APS Result = RFR</v>
      </c>
      <c r="Q119" s="77"/>
      <c r="R119" s="78">
        <f>IFNA(MATCH(A119,'RFR Data - preExcl'!A$2:A447,0),"")</f>
        <v>169</v>
      </c>
      <c r="S119" s="43"/>
      <c r="T119" s="18" t="str">
        <f>IF(EXACT('RFR Data - preExcl'!W119,"Initial"),'RFR Data - preExcl'!A119,IFERROR(0/0,""))</f>
        <v>RUN-ABRM_2023-01-03_RFR-118</v>
      </c>
      <c r="U119" s="79">
        <f>IF(EXACT('RFR Data - preExcl'!W119,"Initial"),'RFR Data - preExcl'!U119,IFERROR(0/0,""))</f>
        <v>44929</v>
      </c>
      <c r="X119" s="43"/>
      <c r="AC119" s="70"/>
      <c r="AF119" s="70"/>
      <c r="AG119" s="74">
        <v>7.0</v>
      </c>
      <c r="AH119" s="54">
        <v>0.0</v>
      </c>
      <c r="AI119" s="116">
        <v>0.0</v>
      </c>
      <c r="AJ119" s="114" t="str">
        <f t="shared" ref="AJ119:AL119" si="132">IF(AG119=L119,IFERROR(0/0,""),FALSE)</f>
        <v/>
      </c>
      <c r="AK119" s="114" t="str">
        <f t="shared" si="132"/>
        <v/>
      </c>
      <c r="AL119" s="114" t="str">
        <f t="shared" si="132"/>
        <v/>
      </c>
      <c r="AM119" s="43"/>
    </row>
    <row r="120">
      <c r="A120" s="7" t="s">
        <v>146</v>
      </c>
      <c r="B120" s="12">
        <v>44984.0</v>
      </c>
      <c r="C120" s="73" t="str">
        <f t="shared" si="3"/>
        <v/>
      </c>
      <c r="D120" s="54">
        <f t="array" ref="D120">IF(OR(ISBLANK($A120),$C120),IFERROR(0/0,""),INDEX('RFR Data - preExcl'!E$2:E447,$R120,1))</f>
        <v>12</v>
      </c>
      <c r="E120" s="54">
        <f t="array" ref="E120">IF(OR(ISBLANK($A120),$C120),IFERROR(0/0,""),INDEX('RFR Data - preExcl'!Z$2:Z447,$R120,1))</f>
        <v>12</v>
      </c>
      <c r="F120" s="54">
        <f t="array" ref="F120">IF(OR(ISBLANK(A120),C120),IFERROR(0/0,""),INDEX('RFR Data - preExcl'!AC$2:AC447,$R120,1))</f>
        <v>10</v>
      </c>
      <c r="G120" s="54">
        <f t="array" ref="G120">IF(OR(ISBLANK(A120),C120),IFERROR(0/0,""),INDEX('RFR Data - preExcl'!AK$2:AK447,$R120,1))</f>
        <v>10</v>
      </c>
      <c r="H120" s="54">
        <f t="array" ref="H120">IF(OR(ISBLANK(A120),C120),IFERROR(0/0,""),INDEX('RFR Data - preExcl'!AL$2:AL447,$R120,1))</f>
        <v>1.1</v>
      </c>
      <c r="I120" s="54">
        <f>IFERROR(VLOOKUP($B120,'APS Tubes by Date IMPORT'!$B$2:$J447,2,FALSE),"")</f>
        <v>10</v>
      </c>
      <c r="J120" s="54" t="b">
        <f>IFERROR(VLOOKUP($B120,'APS Tubes by Date IMPORT'!$B$2:$J447,9,FALSE),"")</f>
        <v>1</v>
      </c>
      <c r="K120" s="54">
        <f>IFNA(VLOOKUP($B120,'APS Tubes by Date IMPORT'!$B$2:$J447,6,FALSE),"")</f>
        <v>0</v>
      </c>
      <c r="L120" s="74">
        <f t="shared" si="120"/>
        <v>10</v>
      </c>
      <c r="M120" s="89">
        <v>0.0</v>
      </c>
      <c r="N120" s="116">
        <v>3.0</v>
      </c>
      <c r="O120" s="76" t="b">
        <f t="shared" si="118"/>
        <v>1</v>
      </c>
      <c r="P120" s="77" t="str">
        <f>IF(ISBLANK(N120),IFERROR(0/0,""),IFERROR(VLOOKUP(N120, 'Process Ref'!$A$76:$D$124, 2, FALSE), IFERROR(0/0,"")))</f>
        <v>ALL 3 COUNTS SAME after Null deleted</v>
      </c>
      <c r="Q120" s="77" t="s">
        <v>232</v>
      </c>
      <c r="R120" s="78">
        <f>IFNA(MATCH(A120,'RFR Data - preExcl'!A$2:A447,0),"")</f>
        <v>171</v>
      </c>
      <c r="S120" s="43"/>
      <c r="T120" s="18" t="str">
        <f>IF(EXACT('RFR Data - preExcl'!W120,"Initial"),'RFR Data - preExcl'!A120,IFERROR(0/0,""))</f>
        <v/>
      </c>
      <c r="U120" s="18" t="str">
        <f>IF(EXACT('RFR Data - preExcl'!W120,"Initial"),'RFR Data - preExcl'!U120,IFERROR(0/0,""))</f>
        <v/>
      </c>
      <c r="X120" s="43"/>
      <c r="AC120" s="70"/>
      <c r="AF120" s="70"/>
      <c r="AG120" s="74">
        <v>10.0</v>
      </c>
      <c r="AH120" s="54">
        <v>0.0</v>
      </c>
      <c r="AI120" s="116">
        <v>3.0</v>
      </c>
      <c r="AJ120" s="114" t="str">
        <f t="shared" ref="AJ120:AL120" si="133">IF(AG120=L120,IFERROR(0/0,""),FALSE)</f>
        <v/>
      </c>
      <c r="AK120" s="114" t="str">
        <f t="shared" si="133"/>
        <v/>
      </c>
      <c r="AL120" s="114" t="str">
        <f t="shared" si="133"/>
        <v/>
      </c>
      <c r="AM120" s="43"/>
    </row>
    <row r="121">
      <c r="A121" s="7" t="s">
        <v>147</v>
      </c>
      <c r="B121" s="12">
        <v>44985.0</v>
      </c>
      <c r="C121" s="73" t="str">
        <f t="shared" si="3"/>
        <v/>
      </c>
      <c r="D121" s="54">
        <f t="array" ref="D121">IF(OR(ISBLANK($A121),$C121),IFERROR(0/0,""),INDEX('RFR Data - preExcl'!E$2:E447,$R121,1))</f>
        <v>9</v>
      </c>
      <c r="E121" s="54">
        <f t="array" ref="E121">IF(OR(ISBLANK($A121),$C121),IFERROR(0/0,""),INDEX('RFR Data - preExcl'!Z$2:Z447,$R121,1))</f>
        <v>9</v>
      </c>
      <c r="F121" s="54">
        <f t="array" ref="F121">IF(OR(ISBLANK(A121),C121),IFERROR(0/0,""),INDEX('RFR Data - preExcl'!AC$2:AC447,$R121,1))</f>
        <v>7</v>
      </c>
      <c r="G121" s="54">
        <f t="array" ref="G121">IF(OR(ISBLANK(A121),C121),IFERROR(0/0,""),INDEX('RFR Data - preExcl'!AK$2:AK447,$R121,1))</f>
        <v>7</v>
      </c>
      <c r="H121" s="54">
        <f t="array" ref="H121">IF(OR(ISBLANK(A121),C121),IFERROR(0/0,""),INDEX('RFR Data - preExcl'!AL$2:AL447,$R121,1))</f>
        <v>4</v>
      </c>
      <c r="I121" s="54">
        <f>IFERROR(VLOOKUP($B121,'APS Tubes by Date IMPORT'!$B$2:$J447,2,FALSE),"")</f>
        <v>7</v>
      </c>
      <c r="J121" s="54" t="b">
        <f>IFERROR(VLOOKUP($B121,'APS Tubes by Date IMPORT'!$B$2:$J447,9,FALSE),"")</f>
        <v>1</v>
      </c>
      <c r="K121" s="54">
        <f>IFNA(VLOOKUP($B121,'APS Tubes by Date IMPORT'!$B$2:$J447,6,FALSE),"")</f>
        <v>0</v>
      </c>
      <c r="L121" s="74">
        <f t="shared" si="120"/>
        <v>7</v>
      </c>
      <c r="M121" s="89">
        <v>0.0</v>
      </c>
      <c r="N121" s="116">
        <v>0.0</v>
      </c>
      <c r="O121" s="76" t="b">
        <f t="shared" si="118"/>
        <v>1</v>
      </c>
      <c r="P121" s="77" t="str">
        <f>IF(ISBLANK(N121),IFERROR(0/0,""),IFERROR(VLOOKUP(N121, 'Process Ref'!$A$76:$D$124, 2, FALSE), IFERROR(0/0,"")))</f>
        <v>ALL 3 COUNTS SAME meaning APS Collect = APS Result = RFR</v>
      </c>
      <c r="Q121" s="77"/>
      <c r="R121" s="78">
        <f>IFNA(MATCH(A121,'RFR Data - preExcl'!A$2:A447,0),"")</f>
        <v>173</v>
      </c>
      <c r="S121" s="43"/>
      <c r="T121" s="18" t="str">
        <f>IF(EXACT('RFR Data - preExcl'!W121,"Initial"),'RFR Data - preExcl'!A121,IFERROR(0/0,""))</f>
        <v>RUN-ABRM_2023-01-04_RFR-120</v>
      </c>
      <c r="U121" s="79">
        <f>IF(EXACT('RFR Data - preExcl'!W121,"Initial"),'RFR Data - preExcl'!U121,IFERROR(0/0,""))</f>
        <v>44930</v>
      </c>
      <c r="X121" s="43"/>
      <c r="AC121" s="70"/>
      <c r="AF121" s="70"/>
      <c r="AG121" s="74">
        <v>7.0</v>
      </c>
      <c r="AH121" s="54">
        <v>0.0</v>
      </c>
      <c r="AI121" s="116">
        <v>0.0</v>
      </c>
      <c r="AJ121" s="114" t="str">
        <f t="shared" ref="AJ121:AL121" si="134">IF(AG121=L121,IFERROR(0/0,""),FALSE)</f>
        <v/>
      </c>
      <c r="AK121" s="114" t="str">
        <f t="shared" si="134"/>
        <v/>
      </c>
      <c r="AL121" s="114" t="str">
        <f t="shared" si="134"/>
        <v/>
      </c>
      <c r="AM121" s="43"/>
    </row>
    <row r="122">
      <c r="A122" s="7" t="s">
        <v>148</v>
      </c>
      <c r="B122" s="12">
        <v>44986.0</v>
      </c>
      <c r="C122" s="73" t="str">
        <f t="shared" si="3"/>
        <v/>
      </c>
      <c r="D122" s="54">
        <f t="array" ref="D122">IF(OR(ISBLANK($A122),$C122),IFERROR(0/0,""),INDEX('RFR Data - preExcl'!E$2:E447,$R122,1))</f>
        <v>11</v>
      </c>
      <c r="E122" s="54">
        <f t="array" ref="E122">IF(OR(ISBLANK($A122),$C122),IFERROR(0/0,""),INDEX('RFR Data - preExcl'!Z$2:Z447,$R122,1))</f>
        <v>11</v>
      </c>
      <c r="F122" s="54">
        <f t="array" ref="F122">IF(OR(ISBLANK(A122),C122),IFERROR(0/0,""),INDEX('RFR Data - preExcl'!AC$2:AC447,$R122,1))</f>
        <v>9</v>
      </c>
      <c r="G122" s="54">
        <f t="array" ref="G122">IF(OR(ISBLANK(A122),C122),IFERROR(0/0,""),INDEX('RFR Data - preExcl'!AK$2:AK447,$R122,1))</f>
        <v>9</v>
      </c>
      <c r="H122" s="54">
        <f t="array" ref="H122">IF(OR(ISBLANK(A122),C122),IFERROR(0/0,""),INDEX('RFR Data - preExcl'!AL$2:AL447,$R122,1))</f>
        <v>1.1</v>
      </c>
      <c r="I122" s="54">
        <f>IFERROR(VLOOKUP($B122,'APS Tubes by Date IMPORT'!$B$2:$J447,2,FALSE),"")</f>
        <v>9</v>
      </c>
      <c r="J122" s="54" t="b">
        <f>IFERROR(VLOOKUP($B122,'APS Tubes by Date IMPORT'!$B$2:$J447,9,FALSE),"")</f>
        <v>1</v>
      </c>
      <c r="K122" s="54">
        <f>IFNA(VLOOKUP($B122,'APS Tubes by Date IMPORT'!$B$2:$J447,6,FALSE),"")</f>
        <v>0</v>
      </c>
      <c r="L122" s="74">
        <f t="shared" si="120"/>
        <v>9</v>
      </c>
      <c r="M122" s="89">
        <v>0.0</v>
      </c>
      <c r="N122" s="116">
        <v>3.0</v>
      </c>
      <c r="O122" s="76" t="b">
        <f t="shared" si="118"/>
        <v>1</v>
      </c>
      <c r="P122" s="77" t="str">
        <f>IF(ISBLANK(N122),IFERROR(0/0,""),IFERROR(VLOOKUP(N122, 'Process Ref'!$A$76:$D$124, 2, FALSE), IFERROR(0/0,"")))</f>
        <v>ALL 3 COUNTS SAME after Null deleted</v>
      </c>
      <c r="Q122" s="77" t="s">
        <v>232</v>
      </c>
      <c r="R122" s="78">
        <f>IFNA(MATCH(A122,'RFR Data - preExcl'!A$2:A447,0),"")</f>
        <v>175</v>
      </c>
      <c r="S122" s="43"/>
      <c r="T122" s="18" t="str">
        <f>IF(EXACT('RFR Data - preExcl'!W122,"Initial"),'RFR Data - preExcl'!A122,IFERROR(0/0,""))</f>
        <v>RUN-ABRM_2023-01-05_RFR-121</v>
      </c>
      <c r="U122" s="79">
        <f>IF(EXACT('RFR Data - preExcl'!W122,"Initial"),'RFR Data - preExcl'!U122,IFERROR(0/0,""))</f>
        <v>44931</v>
      </c>
      <c r="X122" s="43"/>
      <c r="AC122" s="70"/>
      <c r="AF122" s="70"/>
      <c r="AG122" s="74">
        <v>9.0</v>
      </c>
      <c r="AH122" s="54">
        <v>0.0</v>
      </c>
      <c r="AI122" s="116">
        <v>3.0</v>
      </c>
      <c r="AJ122" s="114" t="str">
        <f t="shared" ref="AJ122:AL122" si="135">IF(AG122=L122,IFERROR(0/0,""),FALSE)</f>
        <v/>
      </c>
      <c r="AK122" s="114" t="str">
        <f t="shared" si="135"/>
        <v/>
      </c>
      <c r="AL122" s="114" t="str">
        <f t="shared" si="135"/>
        <v/>
      </c>
      <c r="AM122" s="43"/>
    </row>
    <row r="123">
      <c r="A123" s="7" t="s">
        <v>149</v>
      </c>
      <c r="B123" s="12">
        <v>44987.0</v>
      </c>
      <c r="C123" s="73" t="str">
        <f t="shared" si="3"/>
        <v/>
      </c>
      <c r="D123" s="54">
        <f t="array" ref="D123">IF(OR(ISBLANK($A123),$C123),IFERROR(0/0,""),INDEX('RFR Data - preExcl'!E$2:E447,$R123,1))</f>
        <v>10</v>
      </c>
      <c r="E123" s="54">
        <f t="array" ref="E123">IF(OR(ISBLANK($A123),$C123),IFERROR(0/0,""),INDEX('RFR Data - preExcl'!Z$2:Z447,$R123,1))</f>
        <v>10</v>
      </c>
      <c r="F123" s="54">
        <f t="array" ref="F123">IF(OR(ISBLANK(A123),C123),IFERROR(0/0,""),INDEX('RFR Data - preExcl'!AC$2:AC447,$R123,1))</f>
        <v>8</v>
      </c>
      <c r="G123" s="54">
        <f t="array" ref="G123">IF(OR(ISBLANK(A123),C123),IFERROR(0/0,""),INDEX('RFR Data - preExcl'!AK$2:AK447,$R123,1))</f>
        <v>8</v>
      </c>
      <c r="H123" s="54">
        <f t="array" ref="H123">IF(OR(ISBLANK(A123),C123),IFERROR(0/0,""),INDEX('RFR Data - preExcl'!AL$2:AL447,$R123,1))</f>
        <v>1.1</v>
      </c>
      <c r="I123" s="54">
        <f>IFERROR(VLOOKUP($B123,'APS Tubes by Date IMPORT'!$B$2:$J447,2,FALSE),"")</f>
        <v>8</v>
      </c>
      <c r="J123" s="54" t="str">
        <f>IFERROR(VLOOKUP($B123,'APS Tubes by Date IMPORT'!$B$2:$J447,9,FALSE),"")</f>
        <v/>
      </c>
      <c r="K123" s="54">
        <f>IFNA(VLOOKUP($B123,'APS Tubes by Date IMPORT'!$B$2:$J447,6,FALSE),"")</f>
        <v>0</v>
      </c>
      <c r="L123" s="74">
        <f t="shared" si="120"/>
        <v>8</v>
      </c>
      <c r="M123" s="89">
        <v>0.0</v>
      </c>
      <c r="N123" s="116">
        <v>3.1</v>
      </c>
      <c r="O123" s="76"/>
      <c r="P123" s="77" t="str">
        <f>IF(ISBLANK(N123),IFERROR(0/0,""),IFERROR(VLOOKUP(N123, 'Process Ref'!$A$76:$D$124, 2, FALSE), IFERROR(0/0,"")))</f>
        <v>Use APS Collect = RFR (diff APS Result count but nets out) after Null deleted</v>
      </c>
      <c r="Q123" s="77" t="s">
        <v>232</v>
      </c>
      <c r="R123" s="78">
        <f>IFNA(MATCH(A123,'RFR Data - preExcl'!A$2:A447,0),"")</f>
        <v>177</v>
      </c>
      <c r="S123" s="43"/>
      <c r="T123" s="18" t="str">
        <f>IF(EXACT('RFR Data - preExcl'!W123,"Initial"),'RFR Data - preExcl'!A123,IFERROR(0/0,""))</f>
        <v/>
      </c>
      <c r="U123" s="18" t="str">
        <f>IF(EXACT('RFR Data - preExcl'!W123,"Initial"),'RFR Data - preExcl'!U123,IFERROR(0/0,""))</f>
        <v/>
      </c>
      <c r="X123" s="43"/>
      <c r="AC123" s="70"/>
      <c r="AF123" s="70"/>
      <c r="AG123" s="74">
        <v>8.0</v>
      </c>
      <c r="AH123" s="54">
        <v>0.0</v>
      </c>
      <c r="AI123" s="116">
        <v>3.1</v>
      </c>
      <c r="AJ123" s="114" t="str">
        <f t="shared" ref="AJ123:AL123" si="136">IF(AG123=L123,IFERROR(0/0,""),FALSE)</f>
        <v/>
      </c>
      <c r="AK123" s="114" t="str">
        <f t="shared" si="136"/>
        <v/>
      </c>
      <c r="AL123" s="114" t="str">
        <f t="shared" si="136"/>
        <v/>
      </c>
      <c r="AM123" s="43"/>
    </row>
    <row r="124">
      <c r="A124" s="7" t="s">
        <v>150</v>
      </c>
      <c r="B124" s="12">
        <v>44988.0</v>
      </c>
      <c r="C124" s="73" t="b">
        <f t="shared" si="3"/>
        <v>1</v>
      </c>
      <c r="D124" s="54" t="str">
        <f t="array" ref="D124">IF(OR(ISBLANK($A124),$C124),IFERROR(0/0,""),INDEX('RFR Data - preExcl'!E$2:E447,$R124,1))</f>
        <v/>
      </c>
      <c r="E124" s="54" t="str">
        <f t="array" ref="E124">IF(OR(ISBLANK($A124),$C124),IFERROR(0/0,""),INDEX('RFR Data - preExcl'!Z$2:Z447,$R124,1))</f>
        <v/>
      </c>
      <c r="F124" s="54" t="str">
        <f t="array" ref="F124">IF(OR(ISBLANK(A124),C124),IFERROR(0/0,""),INDEX('RFR Data - preExcl'!AC$2:AC447,$R124,1))</f>
        <v/>
      </c>
      <c r="G124" s="54" t="str">
        <f t="array" ref="G124">IF(OR(ISBLANK(A124),C124),IFERROR(0/0,""),INDEX('RFR Data - preExcl'!AK$2:AK447,$R124,1))</f>
        <v/>
      </c>
      <c r="H124" s="54" t="str">
        <f t="array" ref="H124">IF(OR(ISBLANK(A124),C124),IFERROR(0/0,""),INDEX('RFR Data - preExcl'!AL$2:AL447,$R124,1))</f>
        <v/>
      </c>
      <c r="I124" s="54">
        <f>IFERROR(VLOOKUP($B124,'APS Tubes by Date IMPORT'!$B$2:$J447,2,FALSE),"")</f>
        <v>3</v>
      </c>
      <c r="J124" s="54" t="str">
        <f>IFERROR(VLOOKUP($B124,'APS Tubes by Date IMPORT'!$B$2:$J447,9,FALSE),"")</f>
        <v/>
      </c>
      <c r="K124" s="54">
        <f>IFNA(VLOOKUP($B124,'APS Tubes by Date IMPORT'!$B$2:$J447,6,FALSE),"")</f>
        <v>0</v>
      </c>
      <c r="L124" s="111">
        <f>I124</f>
        <v>3</v>
      </c>
      <c r="M124" s="89">
        <v>0.0</v>
      </c>
      <c r="N124" s="112">
        <v>3.4</v>
      </c>
      <c r="O124" s="76" t="b">
        <f t="shared" ref="O124:O137" si="138">IF(ISBLANK(M126),IFERROR(0/0,""),IF($CC121&lt;=4,TRUE,IFERROR(0/0,"")))</f>
        <v>1</v>
      </c>
      <c r="P124" s="113" t="str">
        <f>IF(ISBLANK(N124),IFERROR(0/0,""),IFERROR(VLOOKUP(N124, 'Process Ref'!$A$76:$D$124, 2, FALSE), IFERROR(0/0,"")))</f>
        <v>Add Run from APS with no RFR (assume run on same day as Collect, ignore Result day)</v>
      </c>
      <c r="Q124" s="77"/>
      <c r="R124" s="78" t="str">
        <f>IFNA(MATCH(A124,'RFR Data - preExcl'!A$2:A447,0),"")</f>
        <v/>
      </c>
      <c r="S124" s="43"/>
      <c r="T124" s="18" t="str">
        <f>IF(EXACT('RFR Data - preExcl'!W124,"Initial"),'RFR Data - preExcl'!A124,IFERROR(0/0,""))</f>
        <v>RUN-ABRM_2023-01-06_RFR-123</v>
      </c>
      <c r="U124" s="79">
        <f>IF(EXACT('RFR Data - preExcl'!W124,"Initial"),'RFR Data - preExcl'!U124,IFERROR(0/0,""))</f>
        <v>44932</v>
      </c>
      <c r="X124" s="43"/>
      <c r="AC124" s="70"/>
      <c r="AF124" s="70"/>
      <c r="AG124" s="111">
        <v>3.0</v>
      </c>
      <c r="AH124" s="54">
        <v>0.0</v>
      </c>
      <c r="AI124" s="112">
        <v>3.4</v>
      </c>
      <c r="AJ124" s="114" t="str">
        <f t="shared" ref="AJ124:AL124" si="137">IF(AG124=L124,IFERROR(0/0,""),FALSE)</f>
        <v/>
      </c>
      <c r="AK124" s="114" t="str">
        <f t="shared" si="137"/>
        <v/>
      </c>
      <c r="AL124" s="114" t="str">
        <f t="shared" si="137"/>
        <v/>
      </c>
      <c r="AM124" s="43"/>
    </row>
    <row r="125">
      <c r="A125" s="7" t="s">
        <v>151</v>
      </c>
      <c r="B125" s="12">
        <v>44991.0</v>
      </c>
      <c r="C125" s="73" t="str">
        <f t="shared" si="3"/>
        <v/>
      </c>
      <c r="D125" s="54">
        <f t="array" ref="D125">IF(OR(ISBLANK($A125),$C125),IFERROR(0/0,""),INDEX('RFR Data - preExcl'!E$2:E447,$R125,1))</f>
        <v>12</v>
      </c>
      <c r="E125" s="54">
        <f t="array" ref="E125">IF(OR(ISBLANK($A125),$C125),IFERROR(0/0,""),INDEX('RFR Data - preExcl'!Z$2:Z447,$R125,1))</f>
        <v>12</v>
      </c>
      <c r="F125" s="54">
        <f t="array" ref="F125">IF(OR(ISBLANK(A125),C125),IFERROR(0/0,""),INDEX('RFR Data - preExcl'!AC$2:AC447,$R125,1))</f>
        <v>10</v>
      </c>
      <c r="G125" s="54">
        <f t="array" ref="G125">IF(OR(ISBLANK(A125),C125),IFERROR(0/0,""),INDEX('RFR Data - preExcl'!AK$2:AK447,$R125,1))</f>
        <v>10</v>
      </c>
      <c r="H125" s="54">
        <f t="array" ref="H125">IF(OR(ISBLANK(A125),C125),IFERROR(0/0,""),INDEX('RFR Data - preExcl'!AL$2:AL447,$R125,1))</f>
        <v>4</v>
      </c>
      <c r="I125" s="54">
        <f>IFERROR(VLOOKUP($B125,'APS Tubes by Date IMPORT'!$B$2:$J447,2,FALSE),"")</f>
        <v>10</v>
      </c>
      <c r="J125" s="54" t="b">
        <f>IFERROR(VLOOKUP($B125,'APS Tubes by Date IMPORT'!$B$2:$J447,9,FALSE),"")</f>
        <v>1</v>
      </c>
      <c r="K125" s="54">
        <f>IFNA(VLOOKUP($B125,'APS Tubes by Date IMPORT'!$B$2:$J447,6,FALSE),"")</f>
        <v>0</v>
      </c>
      <c r="L125" s="74">
        <f t="shared" ref="L125:L141" si="140">G125</f>
        <v>10</v>
      </c>
      <c r="M125" s="89">
        <v>0.0</v>
      </c>
      <c r="N125" s="116">
        <v>0.0</v>
      </c>
      <c r="O125" s="76" t="b">
        <f t="shared" si="138"/>
        <v>1</v>
      </c>
      <c r="P125" s="77" t="str">
        <f>IF(ISBLANK(N125),IFERROR(0/0,""),IFERROR(VLOOKUP(N125, 'Process Ref'!$A$76:$D$124, 2, FALSE), IFERROR(0/0,"")))</f>
        <v>ALL 3 COUNTS SAME meaning APS Collect = APS Result = RFR</v>
      </c>
      <c r="Q125" s="77"/>
      <c r="R125" s="78">
        <f>IFNA(MATCH(A125,'RFR Data - preExcl'!A$2:A447,0),"")</f>
        <v>179</v>
      </c>
      <c r="S125" s="43"/>
      <c r="T125" s="18" t="str">
        <f>IF(EXACT('RFR Data - preExcl'!W125,"Initial"),'RFR Data - preExcl'!A125,IFERROR(0/0,""))</f>
        <v/>
      </c>
      <c r="U125" s="18" t="str">
        <f>IF(EXACT('RFR Data - preExcl'!W125,"Initial"),'RFR Data - preExcl'!U125,IFERROR(0/0,""))</f>
        <v/>
      </c>
      <c r="X125" s="43"/>
      <c r="AC125" s="70"/>
      <c r="AF125" s="70"/>
      <c r="AG125" s="74">
        <v>10.0</v>
      </c>
      <c r="AH125" s="54">
        <v>0.0</v>
      </c>
      <c r="AI125" s="116">
        <v>0.0</v>
      </c>
      <c r="AJ125" s="114" t="str">
        <f t="shared" ref="AJ125:AL125" si="139">IF(AG125=L125,IFERROR(0/0,""),FALSE)</f>
        <v/>
      </c>
      <c r="AK125" s="114" t="str">
        <f t="shared" si="139"/>
        <v/>
      </c>
      <c r="AL125" s="114" t="str">
        <f t="shared" si="139"/>
        <v/>
      </c>
      <c r="AM125" s="43"/>
    </row>
    <row r="126">
      <c r="A126" s="7" t="s">
        <v>152</v>
      </c>
      <c r="B126" s="12">
        <v>44992.0</v>
      </c>
      <c r="C126" s="73" t="str">
        <f t="shared" si="3"/>
        <v/>
      </c>
      <c r="D126" s="54">
        <f t="array" ref="D126">IF(OR(ISBLANK($A126),$C126),IFERROR(0/0,""),INDEX('RFR Data - preExcl'!E$2:E447,$R126,1))</f>
        <v>10</v>
      </c>
      <c r="E126" s="54">
        <f t="array" ref="E126">IF(OR(ISBLANK($A126),$C126),IFERROR(0/0,""),INDEX('RFR Data - preExcl'!Z$2:Z447,$R126,1))</f>
        <v>10</v>
      </c>
      <c r="F126" s="54">
        <f t="array" ref="F126">IF(OR(ISBLANK(A126),C126),IFERROR(0/0,""),INDEX('RFR Data - preExcl'!AC$2:AC447,$R126,1))</f>
        <v>8</v>
      </c>
      <c r="G126" s="54">
        <f t="array" ref="G126">IF(OR(ISBLANK(A126),C126),IFERROR(0/0,""),INDEX('RFR Data - preExcl'!AK$2:AK447,$R126,1))</f>
        <v>8</v>
      </c>
      <c r="H126" s="54">
        <f t="array" ref="H126">IF(OR(ISBLANK(A126),C126),IFERROR(0/0,""),INDEX('RFR Data - preExcl'!AL$2:AL447,$R126,1))</f>
        <v>0</v>
      </c>
      <c r="I126" s="54">
        <f>IFERROR(VLOOKUP($B126,'APS Tubes by Date IMPORT'!$B$2:$J447,2,FALSE),"")</f>
        <v>8</v>
      </c>
      <c r="J126" s="54" t="str">
        <f>IFERROR(VLOOKUP($B126,'APS Tubes by Date IMPORT'!$B$2:$J447,9,FALSE),"")</f>
        <v/>
      </c>
      <c r="K126" s="54">
        <f>IFNA(VLOOKUP($B126,'APS Tubes by Date IMPORT'!$B$2:$J447,6,FALSE),"")</f>
        <v>0</v>
      </c>
      <c r="L126" s="74">
        <f t="shared" si="140"/>
        <v>8</v>
      </c>
      <c r="M126" s="89">
        <v>0.0</v>
      </c>
      <c r="N126" s="116">
        <v>1.0</v>
      </c>
      <c r="O126" s="76" t="b">
        <f t="shared" si="138"/>
        <v>1</v>
      </c>
      <c r="P126" s="77" t="str">
        <f>IF(ISBLANK(N126),IFERROR(0/0,""),IFERROR(VLOOKUP(N126, 'Process Ref'!$A$76:$D$124, 2, FALSE), IFERROR(0/0,"")))</f>
        <v>Use APS Collect = RFR (diff APS Result count but nets out)</v>
      </c>
      <c r="Q126" s="77"/>
      <c r="R126" s="78">
        <f>IFNA(MATCH(A126,'RFR Data - preExcl'!A$2:A447,0),"")</f>
        <v>181</v>
      </c>
      <c r="S126" s="43"/>
      <c r="T126" s="18" t="str">
        <f>IF(EXACT('RFR Data - preExcl'!W126,"Initial"),'RFR Data - preExcl'!A126,IFERROR(0/0,""))</f>
        <v>RUN-ABRM_2023-01-09_RFR-125</v>
      </c>
      <c r="U126" s="79">
        <f>IF(EXACT('RFR Data - preExcl'!W126,"Initial"),'RFR Data - preExcl'!U126,IFERROR(0/0,""))</f>
        <v>44935</v>
      </c>
      <c r="X126" s="43"/>
      <c r="AC126" s="70"/>
      <c r="AF126" s="70"/>
      <c r="AG126" s="74">
        <v>8.0</v>
      </c>
      <c r="AH126" s="54">
        <v>0.0</v>
      </c>
      <c r="AI126" s="116">
        <v>1.0</v>
      </c>
      <c r="AJ126" s="114" t="str">
        <f t="shared" ref="AJ126:AL126" si="141">IF(AG126=L126,IFERROR(0/0,""),FALSE)</f>
        <v/>
      </c>
      <c r="AK126" s="114" t="str">
        <f t="shared" si="141"/>
        <v/>
      </c>
      <c r="AL126" s="114" t="str">
        <f t="shared" si="141"/>
        <v/>
      </c>
      <c r="AM126" s="43"/>
    </row>
    <row r="127">
      <c r="A127" s="7" t="s">
        <v>153</v>
      </c>
      <c r="B127" s="12">
        <v>44993.0</v>
      </c>
      <c r="C127" s="73" t="str">
        <f t="shared" si="3"/>
        <v/>
      </c>
      <c r="D127" s="54">
        <f t="array" ref="D127">IF(OR(ISBLANK($A127),$C127),IFERROR(0/0,""),INDEX('RFR Data - preExcl'!E$2:E447,$R127,1))</f>
        <v>13</v>
      </c>
      <c r="E127" s="54">
        <f t="array" ref="E127">IF(OR(ISBLANK($A127),$C127),IFERROR(0/0,""),INDEX('RFR Data - preExcl'!Z$2:Z447,$R127,1))</f>
        <v>13</v>
      </c>
      <c r="F127" s="54">
        <f t="array" ref="F127">IF(OR(ISBLANK(A127),C127),IFERROR(0/0,""),INDEX('RFR Data - preExcl'!AC$2:AC447,$R127,1))</f>
        <v>11</v>
      </c>
      <c r="G127" s="54">
        <f t="array" ref="G127">IF(OR(ISBLANK(A127),C127),IFERROR(0/0,""),INDEX('RFR Data - preExcl'!AK$2:AK447,$R127,1))</f>
        <v>11</v>
      </c>
      <c r="H127" s="54">
        <f t="array" ref="H127">IF(OR(ISBLANK(A127),C127),IFERROR(0/0,""),INDEX('RFR Data - preExcl'!AL$2:AL447,$R127,1))</f>
        <v>0</v>
      </c>
      <c r="I127" s="54">
        <f>IFERROR(VLOOKUP($B127,'APS Tubes by Date IMPORT'!$B$2:$J447,2,FALSE),"")</f>
        <v>11</v>
      </c>
      <c r="J127" s="54" t="b">
        <f>IFERROR(VLOOKUP($B127,'APS Tubes by Date IMPORT'!$B$2:$J447,9,FALSE),"")</f>
        <v>1</v>
      </c>
      <c r="K127" s="54">
        <f>IFNA(VLOOKUP($B127,'APS Tubes by Date IMPORT'!$B$2:$J447,6,FALSE),"")</f>
        <v>0</v>
      </c>
      <c r="L127" s="74">
        <f t="shared" si="140"/>
        <v>11</v>
      </c>
      <c r="M127" s="89">
        <v>0.0</v>
      </c>
      <c r="N127" s="116">
        <v>0.0</v>
      </c>
      <c r="O127" s="76" t="b">
        <f t="shared" si="138"/>
        <v>1</v>
      </c>
      <c r="P127" s="77" t="str">
        <f>IF(ISBLANK(N127),IFERROR(0/0,""),IFERROR(VLOOKUP(N127, 'Process Ref'!$A$76:$D$124, 2, FALSE), IFERROR(0/0,"")))</f>
        <v>ALL 3 COUNTS SAME meaning APS Collect = APS Result = RFR</v>
      </c>
      <c r="Q127" s="77"/>
      <c r="R127" s="78">
        <f>IFNA(MATCH(A127,'RFR Data - preExcl'!A$2:A447,0),"")</f>
        <v>182</v>
      </c>
      <c r="S127" s="43"/>
      <c r="T127" s="18" t="str">
        <f>IF(EXACT('RFR Data - preExcl'!W127,"Initial"),'RFR Data - preExcl'!A127,IFERROR(0/0,""))</f>
        <v>RUN-ABRM_2023-01-10_RFR-126</v>
      </c>
      <c r="U127" s="79">
        <f>IF(EXACT('RFR Data - preExcl'!W127,"Initial"),'RFR Data - preExcl'!U127,IFERROR(0/0,""))</f>
        <v>44936</v>
      </c>
      <c r="X127" s="43"/>
      <c r="AC127" s="70"/>
      <c r="AF127" s="70"/>
      <c r="AG127" s="74">
        <v>11.0</v>
      </c>
      <c r="AH127" s="54">
        <v>0.0</v>
      </c>
      <c r="AI127" s="116">
        <v>0.0</v>
      </c>
      <c r="AJ127" s="114" t="str">
        <f t="shared" ref="AJ127:AL127" si="142">IF(AG127=L127,IFERROR(0/0,""),FALSE)</f>
        <v/>
      </c>
      <c r="AK127" s="114" t="str">
        <f t="shared" si="142"/>
        <v/>
      </c>
      <c r="AL127" s="114" t="str">
        <f t="shared" si="142"/>
        <v/>
      </c>
      <c r="AM127" s="43"/>
    </row>
    <row r="128">
      <c r="A128" s="7" t="s">
        <v>154</v>
      </c>
      <c r="B128" s="12">
        <v>44994.0</v>
      </c>
      <c r="C128" s="73" t="str">
        <f t="shared" si="3"/>
        <v/>
      </c>
      <c r="D128" s="54">
        <f t="array" ref="D128">IF(OR(ISBLANK($A128),$C128),IFERROR(0/0,""),INDEX('RFR Data - preExcl'!E$2:E447,$R128,1))</f>
        <v>10</v>
      </c>
      <c r="E128" s="54">
        <f t="array" ref="E128">IF(OR(ISBLANK($A128),$C128),IFERROR(0/0,""),INDEX('RFR Data - preExcl'!Z$2:Z447,$R128,1))</f>
        <v>10</v>
      </c>
      <c r="F128" s="54">
        <f t="array" ref="F128">IF(OR(ISBLANK(A128),C128),IFERROR(0/0,""),INDEX('RFR Data - preExcl'!AC$2:AC447,$R128,1))</f>
        <v>8</v>
      </c>
      <c r="G128" s="54">
        <f t="array" ref="G128">IF(OR(ISBLANK(A128),C128),IFERROR(0/0,""),INDEX('RFR Data - preExcl'!AK$2:AK447,$R128,1))</f>
        <v>8</v>
      </c>
      <c r="H128" s="54">
        <f t="array" ref="H128">IF(OR(ISBLANK(A128),C128),IFERROR(0/0,""),INDEX('RFR Data - preExcl'!AL$2:AL447,$R128,1))</f>
        <v>1.1</v>
      </c>
      <c r="I128" s="54">
        <f>IFERROR(VLOOKUP($B128,'APS Tubes by Date IMPORT'!$B$2:$J447,2,FALSE),"")</f>
        <v>8</v>
      </c>
      <c r="J128" s="54" t="str">
        <f>IFERROR(VLOOKUP($B128,'APS Tubes by Date IMPORT'!$B$2:$J447,9,FALSE),"")</f>
        <v/>
      </c>
      <c r="K128" s="54">
        <f>IFNA(VLOOKUP($B128,'APS Tubes by Date IMPORT'!$B$2:$J447,6,FALSE),"")</f>
        <v>0</v>
      </c>
      <c r="L128" s="74">
        <f t="shared" si="140"/>
        <v>8</v>
      </c>
      <c r="M128" s="89">
        <v>0.0</v>
      </c>
      <c r="N128" s="116">
        <v>3.1</v>
      </c>
      <c r="O128" s="76" t="b">
        <f t="shared" si="138"/>
        <v>1</v>
      </c>
      <c r="P128" s="77" t="str">
        <f>IF(ISBLANK(N128),IFERROR(0/0,""),IFERROR(VLOOKUP(N128, 'Process Ref'!$A$76:$D$124, 2, FALSE), IFERROR(0/0,"")))</f>
        <v>Use APS Collect = RFR (diff APS Result count but nets out) after Null deleted</v>
      </c>
      <c r="Q128" s="77" t="s">
        <v>232</v>
      </c>
      <c r="R128" s="78">
        <f>IFNA(MATCH(A128,'RFR Data - preExcl'!A$2:A447,0),"")</f>
        <v>184</v>
      </c>
      <c r="S128" s="43"/>
      <c r="T128" s="18" t="str">
        <f>IF(EXACT('RFR Data - preExcl'!W128,"Initial"),'RFR Data - preExcl'!A128,IFERROR(0/0,""))</f>
        <v/>
      </c>
      <c r="U128" s="18" t="str">
        <f>IF(EXACT('RFR Data - preExcl'!W128,"Initial"),'RFR Data - preExcl'!U128,IFERROR(0/0,""))</f>
        <v/>
      </c>
      <c r="X128" s="43"/>
      <c r="AC128" s="70"/>
      <c r="AF128" s="70"/>
      <c r="AG128" s="74">
        <v>8.0</v>
      </c>
      <c r="AH128" s="54">
        <v>0.0</v>
      </c>
      <c r="AI128" s="116">
        <v>3.1</v>
      </c>
      <c r="AJ128" s="114" t="str">
        <f t="shared" ref="AJ128:AL128" si="143">IF(AG128=L128,IFERROR(0/0,""),FALSE)</f>
        <v/>
      </c>
      <c r="AK128" s="114" t="str">
        <f t="shared" si="143"/>
        <v/>
      </c>
      <c r="AL128" s="114" t="str">
        <f t="shared" si="143"/>
        <v/>
      </c>
      <c r="AM128" s="43"/>
    </row>
    <row r="129">
      <c r="A129" s="7" t="s">
        <v>155</v>
      </c>
      <c r="B129" s="12">
        <v>44995.0</v>
      </c>
      <c r="C129" s="73" t="str">
        <f t="shared" si="3"/>
        <v/>
      </c>
      <c r="D129" s="54">
        <f t="array" ref="D129">IF(OR(ISBLANK($A129),$C129),IFERROR(0/0,""),INDEX('RFR Data - preExcl'!E$2:E447,$R129,1))</f>
        <v>12</v>
      </c>
      <c r="E129" s="54">
        <f t="array" ref="E129">IF(OR(ISBLANK($A129),$C129),IFERROR(0/0,""),INDEX('RFR Data - preExcl'!Z$2:Z447,$R129,1))</f>
        <v>12</v>
      </c>
      <c r="F129" s="54">
        <f t="array" ref="F129">IF(OR(ISBLANK(A129),C129),IFERROR(0/0,""),INDEX('RFR Data - preExcl'!AC$2:AC447,$R129,1))</f>
        <v>10</v>
      </c>
      <c r="G129" s="54">
        <f t="array" ref="G129">IF(OR(ISBLANK(A129),C129),IFERROR(0/0,""),INDEX('RFR Data - preExcl'!AK$2:AK447,$R129,1))</f>
        <v>10</v>
      </c>
      <c r="H129" s="54">
        <f t="array" ref="H129">IF(OR(ISBLANK(A129),C129),IFERROR(0/0,""),INDEX('RFR Data - preExcl'!AL$2:AL447,$R129,1))</f>
        <v>1.1</v>
      </c>
      <c r="I129" s="54">
        <f>IFERROR(VLOOKUP($B129,'APS Tubes by Date IMPORT'!$B$2:$J447,2,FALSE),"")</f>
        <v>10</v>
      </c>
      <c r="J129" s="54" t="b">
        <f>IFERROR(VLOOKUP($B129,'APS Tubes by Date IMPORT'!$B$2:$J447,9,FALSE),"")</f>
        <v>1</v>
      </c>
      <c r="K129" s="54">
        <f>IFNA(VLOOKUP($B129,'APS Tubes by Date IMPORT'!$B$2:$J447,6,FALSE),"")</f>
        <v>0</v>
      </c>
      <c r="L129" s="74">
        <f t="shared" si="140"/>
        <v>10</v>
      </c>
      <c r="M129" s="89">
        <v>0.0</v>
      </c>
      <c r="N129" s="116">
        <v>0.0</v>
      </c>
      <c r="O129" s="76" t="b">
        <f t="shared" si="138"/>
        <v>1</v>
      </c>
      <c r="P129" s="77" t="str">
        <f>IF(ISBLANK(N129),IFERROR(0/0,""),IFERROR(VLOOKUP(N129, 'Process Ref'!$A$76:$D$124, 2, FALSE), IFERROR(0/0,"")))</f>
        <v>ALL 3 COUNTS SAME meaning APS Collect = APS Result = RFR</v>
      </c>
      <c r="Q129" s="77"/>
      <c r="R129" s="78">
        <f>IFNA(MATCH(A129,'RFR Data - preExcl'!A$2:A447,0),"")</f>
        <v>186</v>
      </c>
      <c r="S129" s="43"/>
      <c r="T129" s="18" t="str">
        <f>IF(EXACT('RFR Data - preExcl'!W129,"Initial"),'RFR Data - preExcl'!A129,IFERROR(0/0,""))</f>
        <v>RUN-ABRM_2023-01-11_RFR-128</v>
      </c>
      <c r="U129" s="79">
        <f>IF(EXACT('RFR Data - preExcl'!W129,"Initial"),'RFR Data - preExcl'!U129,IFERROR(0/0,""))</f>
        <v>44937</v>
      </c>
      <c r="X129" s="43"/>
      <c r="AC129" s="70"/>
      <c r="AF129" s="70"/>
      <c r="AG129" s="74">
        <v>10.0</v>
      </c>
      <c r="AH129" s="54">
        <v>0.0</v>
      </c>
      <c r="AI129" s="116">
        <v>0.0</v>
      </c>
      <c r="AJ129" s="114" t="str">
        <f t="shared" ref="AJ129:AL129" si="144">IF(AG129=L129,IFERROR(0/0,""),FALSE)</f>
        <v/>
      </c>
      <c r="AK129" s="114" t="str">
        <f t="shared" si="144"/>
        <v/>
      </c>
      <c r="AL129" s="114" t="str">
        <f t="shared" si="144"/>
        <v/>
      </c>
      <c r="AM129" s="43"/>
    </row>
    <row r="130">
      <c r="A130" s="7" t="s">
        <v>156</v>
      </c>
      <c r="B130" s="12">
        <v>45006.0</v>
      </c>
      <c r="C130" s="73" t="str">
        <f t="shared" si="3"/>
        <v/>
      </c>
      <c r="D130" s="54">
        <f t="array" ref="D130">IF(OR(ISBLANK($A130),$C130),IFERROR(0/0,""),INDEX('RFR Data - preExcl'!E$2:E447,$R130,1))</f>
        <v>12</v>
      </c>
      <c r="E130" s="54">
        <f t="array" ref="E130">IF(OR(ISBLANK($A130),$C130),IFERROR(0/0,""),INDEX('RFR Data - preExcl'!Z$2:Z447,$R130,1))</f>
        <v>12</v>
      </c>
      <c r="F130" s="54">
        <f t="array" ref="F130">IF(OR(ISBLANK(A130),C130),IFERROR(0/0,""),INDEX('RFR Data - preExcl'!AC$2:AC447,$R130,1))</f>
        <v>9</v>
      </c>
      <c r="G130" s="54">
        <f t="array" ref="G130">IF(OR(ISBLANK(A130),C130),IFERROR(0/0,""),INDEX('RFR Data - preExcl'!AK$2:AK447,$R130,1))</f>
        <v>9</v>
      </c>
      <c r="H130" s="54">
        <f t="array" ref="H130">IF(OR(ISBLANK(A130),C130),IFERROR(0/0,""),INDEX('RFR Data - preExcl'!AL$2:AL447,$R130,1))</f>
        <v>0</v>
      </c>
      <c r="I130" s="54">
        <f>IFERROR(VLOOKUP($B130,'APS Tubes by Date IMPORT'!$B$2:$J447,2,FALSE),"")</f>
        <v>9</v>
      </c>
      <c r="J130" s="54" t="str">
        <f>IFERROR(VLOOKUP($B130,'APS Tubes by Date IMPORT'!$B$2:$J447,9,FALSE),"")</f>
        <v/>
      </c>
      <c r="K130" s="54">
        <f>IFNA(VLOOKUP($B130,'APS Tubes by Date IMPORT'!$B$2:$J447,6,FALSE),"")</f>
        <v>0</v>
      </c>
      <c r="L130" s="74">
        <f t="shared" si="140"/>
        <v>9</v>
      </c>
      <c r="M130" s="89">
        <v>0.0</v>
      </c>
      <c r="N130" s="116">
        <v>1.0</v>
      </c>
      <c r="O130" s="76" t="b">
        <f t="shared" si="138"/>
        <v>1</v>
      </c>
      <c r="P130" s="77" t="str">
        <f>IF(ISBLANK(N130),IFERROR(0/0,""),IFERROR(VLOOKUP(N130, 'Process Ref'!$A$76:$D$124, 2, FALSE), IFERROR(0/0,"")))</f>
        <v>Use APS Collect = RFR (diff APS Result count but nets out)</v>
      </c>
      <c r="Q130" s="77"/>
      <c r="R130" s="78">
        <f>IFNA(MATCH(A130,'RFR Data - preExcl'!A$2:A447,0),"")</f>
        <v>187</v>
      </c>
      <c r="S130" s="43"/>
      <c r="T130" s="18" t="str">
        <f>IF(EXACT('RFR Data - preExcl'!W130,"Initial"),'RFR Data - preExcl'!A130,IFERROR(0/0,""))</f>
        <v>RUN-ABRM_2023-01-12_RFR-129</v>
      </c>
      <c r="U130" s="79">
        <f>IF(EXACT('RFR Data - preExcl'!W130,"Initial"),'RFR Data - preExcl'!U130,IFERROR(0/0,""))</f>
        <v>44938</v>
      </c>
      <c r="X130" s="43"/>
      <c r="AC130" s="70"/>
      <c r="AF130" s="70"/>
      <c r="AG130" s="74">
        <v>9.0</v>
      </c>
      <c r="AH130" s="54">
        <v>0.0</v>
      </c>
      <c r="AI130" s="116">
        <v>1.0</v>
      </c>
      <c r="AJ130" s="114" t="str">
        <f t="shared" ref="AJ130:AL130" si="145">IF(AG130=L130,IFERROR(0/0,""),FALSE)</f>
        <v/>
      </c>
      <c r="AK130" s="114" t="str">
        <f t="shared" si="145"/>
        <v/>
      </c>
      <c r="AL130" s="114" t="str">
        <f t="shared" si="145"/>
        <v/>
      </c>
      <c r="AM130" s="43"/>
    </row>
    <row r="131">
      <c r="A131" s="7" t="s">
        <v>157</v>
      </c>
      <c r="B131" s="12">
        <v>45007.0</v>
      </c>
      <c r="C131" s="73" t="str">
        <f t="shared" si="3"/>
        <v/>
      </c>
      <c r="D131" s="54">
        <f t="array" ref="D131">IF(OR(ISBLANK($A131),$C131),IFERROR(0/0,""),INDEX('RFR Data - preExcl'!E$2:E447,$R131,1))</f>
        <v>13</v>
      </c>
      <c r="E131" s="54">
        <f t="array" ref="E131">IF(OR(ISBLANK($A131),$C131),IFERROR(0/0,""),INDEX('RFR Data - preExcl'!Z$2:Z447,$R131,1))</f>
        <v>13</v>
      </c>
      <c r="F131" s="54">
        <f t="array" ref="F131">IF(OR(ISBLANK(A131),C131),IFERROR(0/0,""),INDEX('RFR Data - preExcl'!AC$2:AC447,$R131,1))</f>
        <v>11</v>
      </c>
      <c r="G131" s="54">
        <f t="array" ref="G131">IF(OR(ISBLANK(A131),C131),IFERROR(0/0,""),INDEX('RFR Data - preExcl'!AK$2:AK447,$R131,1))</f>
        <v>11</v>
      </c>
      <c r="H131" s="54">
        <f t="array" ref="H131">IF(OR(ISBLANK(A131),C131),IFERROR(0/0,""),INDEX('RFR Data - preExcl'!AL$2:AL447,$R131,1))</f>
        <v>1.1</v>
      </c>
      <c r="I131" s="54">
        <f>IFERROR(VLOOKUP($B131,'APS Tubes by Date IMPORT'!$B$2:$J447,2,FALSE),"")</f>
        <v>11</v>
      </c>
      <c r="J131" s="54" t="b">
        <f>IFERROR(VLOOKUP($B131,'APS Tubes by Date IMPORT'!$B$2:$J447,9,FALSE),"")</f>
        <v>1</v>
      </c>
      <c r="K131" s="54">
        <f>IFNA(VLOOKUP($B131,'APS Tubes by Date IMPORT'!$B$2:$J447,6,FALSE),"")</f>
        <v>0</v>
      </c>
      <c r="L131" s="74">
        <f t="shared" si="140"/>
        <v>11</v>
      </c>
      <c r="M131" s="89">
        <v>0.0</v>
      </c>
      <c r="N131" s="116">
        <v>0.0</v>
      </c>
      <c r="O131" s="76" t="b">
        <f t="shared" si="138"/>
        <v>1</v>
      </c>
      <c r="P131" s="77" t="str">
        <f>IF(ISBLANK(N131),IFERROR(0/0,""),IFERROR(VLOOKUP(N131, 'Process Ref'!$A$76:$D$124, 2, FALSE), IFERROR(0/0,"")))</f>
        <v>ALL 3 COUNTS SAME meaning APS Collect = APS Result = RFR</v>
      </c>
      <c r="Q131" s="77"/>
      <c r="R131" s="78">
        <f>IFNA(MATCH(A131,'RFR Data - preExcl'!A$2:A447,0),"")</f>
        <v>189</v>
      </c>
      <c r="S131" s="43"/>
      <c r="T131" s="18" t="str">
        <f>IF(EXACT('RFR Data - preExcl'!W131,"Initial"),'RFR Data - preExcl'!A131,IFERROR(0/0,""))</f>
        <v/>
      </c>
      <c r="U131" s="18" t="str">
        <f>IF(EXACT('RFR Data - preExcl'!W131,"Initial"),'RFR Data - preExcl'!U131,IFERROR(0/0,""))</f>
        <v/>
      </c>
      <c r="X131" s="43"/>
      <c r="AC131" s="70"/>
      <c r="AF131" s="70"/>
      <c r="AG131" s="74">
        <v>11.0</v>
      </c>
      <c r="AH131" s="54">
        <v>0.0</v>
      </c>
      <c r="AI131" s="116">
        <v>0.0</v>
      </c>
      <c r="AJ131" s="114" t="str">
        <f t="shared" ref="AJ131:AL131" si="146">IF(AG131=L131,IFERROR(0/0,""),FALSE)</f>
        <v/>
      </c>
      <c r="AK131" s="114" t="str">
        <f t="shared" si="146"/>
        <v/>
      </c>
      <c r="AL131" s="114" t="str">
        <f t="shared" si="146"/>
        <v/>
      </c>
      <c r="AM131" s="43"/>
    </row>
    <row r="132">
      <c r="A132" s="7" t="s">
        <v>158</v>
      </c>
      <c r="B132" s="12">
        <v>45008.0</v>
      </c>
      <c r="C132" s="73" t="str">
        <f t="shared" si="3"/>
        <v/>
      </c>
      <c r="D132" s="54">
        <f t="array" ref="D132">IF(OR(ISBLANK($A132),$C132),IFERROR(0/0,""),INDEX('RFR Data - preExcl'!E$2:E447,$R132,1))</f>
        <v>12</v>
      </c>
      <c r="E132" s="54">
        <f t="array" ref="E132">IF(OR(ISBLANK($A132),$C132),IFERROR(0/0,""),INDEX('RFR Data - preExcl'!Z$2:Z447,$R132,1))</f>
        <v>12</v>
      </c>
      <c r="F132" s="54">
        <f t="array" ref="F132">IF(OR(ISBLANK(A132),C132),IFERROR(0/0,""),INDEX('RFR Data - preExcl'!AC$2:AC447,$R132,1))</f>
        <v>10</v>
      </c>
      <c r="G132" s="54">
        <f t="array" ref="G132">IF(OR(ISBLANK(A132),C132),IFERROR(0/0,""),INDEX('RFR Data - preExcl'!AK$2:AK447,$R132,1))</f>
        <v>10</v>
      </c>
      <c r="H132" s="54">
        <f t="array" ref="H132">IF(OR(ISBLANK(A132),C132),IFERROR(0/0,""),INDEX('RFR Data - preExcl'!AL$2:AL447,$R132,1))</f>
        <v>0</v>
      </c>
      <c r="I132" s="54">
        <f>IFERROR(VLOOKUP($B132,'APS Tubes by Date IMPORT'!$B$2:$J447,2,FALSE),"")</f>
        <v>10</v>
      </c>
      <c r="J132" s="54" t="b">
        <f>IFERROR(VLOOKUP($B132,'APS Tubes by Date IMPORT'!$B$2:$J447,9,FALSE),"")</f>
        <v>1</v>
      </c>
      <c r="K132" s="54">
        <f>IFNA(VLOOKUP($B132,'APS Tubes by Date IMPORT'!$B$2:$J447,6,FALSE),"")</f>
        <v>0</v>
      </c>
      <c r="L132" s="74">
        <f t="shared" si="140"/>
        <v>10</v>
      </c>
      <c r="M132" s="89">
        <v>0.0</v>
      </c>
      <c r="N132" s="116">
        <v>0.0</v>
      </c>
      <c r="O132" s="76" t="b">
        <f t="shared" si="138"/>
        <v>1</v>
      </c>
      <c r="P132" s="77" t="str">
        <f>IF(ISBLANK(N132),IFERROR(0/0,""),IFERROR(VLOOKUP(N132, 'Process Ref'!$A$76:$D$124, 2, FALSE), IFERROR(0/0,"")))</f>
        <v>ALL 3 COUNTS SAME meaning APS Collect = APS Result = RFR</v>
      </c>
      <c r="Q132" s="77"/>
      <c r="R132" s="78">
        <f>IFNA(MATCH(A132,'RFR Data - preExcl'!A$2:A447,0),"")</f>
        <v>191</v>
      </c>
      <c r="S132" s="43"/>
      <c r="T132" s="18" t="str">
        <f>IF(EXACT('RFR Data - preExcl'!W132,"Initial"),'RFR Data - preExcl'!A132,IFERROR(0/0,""))</f>
        <v>RUN-ABRM_2023-01-13_RFR-131</v>
      </c>
      <c r="U132" s="79">
        <f>IF(EXACT('RFR Data - preExcl'!W132,"Initial"),'RFR Data - preExcl'!U132,IFERROR(0/0,""))</f>
        <v>44939</v>
      </c>
      <c r="X132" s="43"/>
      <c r="AC132" s="70"/>
      <c r="AF132" s="70"/>
      <c r="AG132" s="74">
        <v>10.0</v>
      </c>
      <c r="AH132" s="54">
        <v>0.0</v>
      </c>
      <c r="AI132" s="116">
        <v>0.0</v>
      </c>
      <c r="AJ132" s="114" t="str">
        <f t="shared" ref="AJ132:AL132" si="147">IF(AG132=L132,IFERROR(0/0,""),FALSE)</f>
        <v/>
      </c>
      <c r="AK132" s="114" t="str">
        <f t="shared" si="147"/>
        <v/>
      </c>
      <c r="AL132" s="114" t="str">
        <f t="shared" si="147"/>
        <v/>
      </c>
      <c r="AM132" s="43"/>
    </row>
    <row r="133">
      <c r="A133" s="7" t="s">
        <v>159</v>
      </c>
      <c r="B133" s="12">
        <v>45009.0</v>
      </c>
      <c r="C133" s="73" t="str">
        <f t="shared" si="3"/>
        <v/>
      </c>
      <c r="D133" s="54">
        <f t="array" ref="D133">IF(OR(ISBLANK($A133),$C133),IFERROR(0/0,""),INDEX('RFR Data - preExcl'!E$2:E447,$R133,1))</f>
        <v>12</v>
      </c>
      <c r="E133" s="54">
        <f t="array" ref="E133">IF(OR(ISBLANK($A133),$C133),IFERROR(0/0,""),INDEX('RFR Data - preExcl'!Z$2:Z447,$R133,1))</f>
        <v>9</v>
      </c>
      <c r="F133" s="54">
        <f t="array" ref="F133">IF(OR(ISBLANK(A133),C133),IFERROR(0/0,""),INDEX('RFR Data - preExcl'!AC$2:AC447,$R133,1))</f>
        <v>7</v>
      </c>
      <c r="G133" s="54">
        <f t="array" ref="G133">IF(OR(ISBLANK(A133),C133),IFERROR(0/0,""),INDEX('RFR Data - preExcl'!AK$2:AK447,$R133,1))</f>
        <v>7</v>
      </c>
      <c r="H133" s="54">
        <f t="array" ref="H133">IF(OR(ISBLANK(A133),C133),IFERROR(0/0,""),INDEX('RFR Data - preExcl'!AL$2:AL447,$R133,1))</f>
        <v>0</v>
      </c>
      <c r="I133" s="54">
        <f>IFERROR(VLOOKUP($B133,'APS Tubes by Date IMPORT'!$B$2:$J447,2,FALSE),"")</f>
        <v>7</v>
      </c>
      <c r="J133" s="54" t="str">
        <f>IFERROR(VLOOKUP($B133,'APS Tubes by Date IMPORT'!$B$2:$J447,9,FALSE),"")</f>
        <v/>
      </c>
      <c r="K133" s="54">
        <f>IFNA(VLOOKUP($B133,'APS Tubes by Date IMPORT'!$B$2:$J447,6,FALSE),"")</f>
        <v>0</v>
      </c>
      <c r="L133" s="74">
        <f t="shared" si="140"/>
        <v>7</v>
      </c>
      <c r="M133" s="89">
        <v>0.0</v>
      </c>
      <c r="N133" s="116">
        <v>3.1</v>
      </c>
      <c r="O133" s="76" t="b">
        <f t="shared" si="138"/>
        <v>1</v>
      </c>
      <c r="P133" s="77" t="str">
        <f>IF(ISBLANK(N133),IFERROR(0/0,""),IFERROR(VLOOKUP(N133, 'Process Ref'!$A$76:$D$124, 2, FALSE), IFERROR(0/0,"")))</f>
        <v>Use APS Collect = RFR (diff APS Result count but nets out) after Null deleted</v>
      </c>
      <c r="Q133" s="77" t="s">
        <v>232</v>
      </c>
      <c r="R133" s="78">
        <f>IFNA(MATCH(A133,'RFR Data - preExcl'!A$2:A447,0),"")</f>
        <v>193</v>
      </c>
      <c r="S133" s="43"/>
      <c r="T133" s="18" t="str">
        <f>IF(EXACT('RFR Data - preExcl'!W133,"Initial"),'RFR Data - preExcl'!A133,IFERROR(0/0,""))</f>
        <v/>
      </c>
      <c r="U133" s="18" t="str">
        <f>IF(EXACT('RFR Data - preExcl'!W133,"Initial"),'RFR Data - preExcl'!U133,IFERROR(0/0,""))</f>
        <v/>
      </c>
      <c r="X133" s="43"/>
      <c r="AC133" s="70"/>
      <c r="AF133" s="70"/>
      <c r="AG133" s="74">
        <v>7.0</v>
      </c>
      <c r="AH133" s="54">
        <v>0.0</v>
      </c>
      <c r="AI133" s="116">
        <v>3.1</v>
      </c>
      <c r="AJ133" s="114" t="str">
        <f t="shared" ref="AJ133:AL133" si="148">IF(AG133=L133,IFERROR(0/0,""),FALSE)</f>
        <v/>
      </c>
      <c r="AK133" s="114" t="str">
        <f t="shared" si="148"/>
        <v/>
      </c>
      <c r="AL133" s="114" t="str">
        <f t="shared" si="148"/>
        <v/>
      </c>
      <c r="AM133" s="43"/>
    </row>
    <row r="134">
      <c r="A134" s="7" t="s">
        <v>160</v>
      </c>
      <c r="B134" s="12">
        <v>45012.0</v>
      </c>
      <c r="C134" s="73" t="str">
        <f t="shared" si="3"/>
        <v/>
      </c>
      <c r="D134" s="54">
        <f t="array" ref="D134">IF(OR(ISBLANK($A134),$C134),IFERROR(0/0,""),INDEX('RFR Data - preExcl'!E$2:E447,$R134,1))</f>
        <v>12</v>
      </c>
      <c r="E134" s="54">
        <f t="array" ref="E134">IF(OR(ISBLANK($A134),$C134),IFERROR(0/0,""),INDEX('RFR Data - preExcl'!Z$2:Z447,$R134,1))</f>
        <v>12</v>
      </c>
      <c r="F134" s="54">
        <f t="array" ref="F134">IF(OR(ISBLANK(A134),C134),IFERROR(0/0,""),INDEX('RFR Data - preExcl'!AC$2:AC447,$R134,1))</f>
        <v>10</v>
      </c>
      <c r="G134" s="54">
        <f t="array" ref="G134">IF(OR(ISBLANK(A134),C134),IFERROR(0/0,""),INDEX('RFR Data - preExcl'!AK$2:AK447,$R134,1))</f>
        <v>10</v>
      </c>
      <c r="H134" s="54">
        <f t="array" ref="H134">IF(OR(ISBLANK(A134),C134),IFERROR(0/0,""),INDEX('RFR Data - preExcl'!AL$2:AL447,$R134,1))</f>
        <v>0</v>
      </c>
      <c r="I134" s="54">
        <f>IFERROR(VLOOKUP($B134,'APS Tubes by Date IMPORT'!$B$2:$J447,2,FALSE),"")</f>
        <v>9</v>
      </c>
      <c r="J134" s="54" t="b">
        <f>IFERROR(VLOOKUP($B134,'APS Tubes by Date IMPORT'!$B$2:$J447,9,FALSE),"")</f>
        <v>1</v>
      </c>
      <c r="K134" s="54">
        <f>IFNA(VLOOKUP($B134,'APS Tubes by Date IMPORT'!$B$2:$J447,6,FALSE),"")</f>
        <v>0</v>
      </c>
      <c r="L134" s="74">
        <f t="shared" si="140"/>
        <v>10</v>
      </c>
      <c r="M134" s="89">
        <v>1.0</v>
      </c>
      <c r="N134" s="75">
        <v>2.1</v>
      </c>
      <c r="O134" s="76" t="b">
        <f t="shared" si="138"/>
        <v>1</v>
      </c>
      <c r="P134" s="77" t="str">
        <f>IF(ISBLANK(N134),IFERROR(0/0,""),IFERROR(VLOOKUP(N134, 'Process Ref'!$A$76:$D$124, 2, FALSE), IFERROR(0/0,"")))</f>
        <v>Use Audit RFR count (extra tubes in RFR not in Appivo) after Null called Neg</v>
      </c>
      <c r="Q134" s="77" t="s">
        <v>231</v>
      </c>
      <c r="R134" s="78">
        <f>IFNA(MATCH(A134,'RFR Data - preExcl'!A$2:A447,0),"")</f>
        <v>194</v>
      </c>
      <c r="S134" s="43"/>
      <c r="T134" s="18" t="str">
        <f>IF(EXACT('RFR Data - preExcl'!W134,"Initial"),'RFR Data - preExcl'!A134,IFERROR(0/0,""))</f>
        <v>RUN-ABRM_2023-01-16_RFR-133</v>
      </c>
      <c r="U134" s="79">
        <f>IF(EXACT('RFR Data - preExcl'!W134,"Initial"),'RFR Data - preExcl'!U134,IFERROR(0/0,""))</f>
        <v>44942</v>
      </c>
      <c r="X134" s="43"/>
      <c r="AC134" s="70"/>
      <c r="AF134" s="70"/>
      <c r="AG134" s="74">
        <v>10.0</v>
      </c>
      <c r="AH134" s="54">
        <v>1.0</v>
      </c>
      <c r="AI134" s="75">
        <v>2.1</v>
      </c>
      <c r="AJ134" s="114" t="str">
        <f t="shared" ref="AJ134:AL134" si="149">IF(AG134=L134,IFERROR(0/0,""),FALSE)</f>
        <v/>
      </c>
      <c r="AK134" s="114" t="str">
        <f t="shared" si="149"/>
        <v/>
      </c>
      <c r="AL134" s="114" t="str">
        <f t="shared" si="149"/>
        <v/>
      </c>
      <c r="AM134" s="43"/>
    </row>
    <row r="135">
      <c r="A135" s="7" t="s">
        <v>161</v>
      </c>
      <c r="B135" s="12">
        <v>45013.0</v>
      </c>
      <c r="C135" s="73" t="str">
        <f t="shared" si="3"/>
        <v/>
      </c>
      <c r="D135" s="54">
        <f t="array" ref="D135">IF(OR(ISBLANK($A135),$C135),IFERROR(0/0,""),INDEX('RFR Data - preExcl'!E$2:E447,$R135,1))</f>
        <v>10</v>
      </c>
      <c r="E135" s="54">
        <f t="array" ref="E135">IF(OR(ISBLANK($A135),$C135),IFERROR(0/0,""),INDEX('RFR Data - preExcl'!Z$2:Z447,$R135,1))</f>
        <v>10</v>
      </c>
      <c r="F135" s="54">
        <f t="array" ref="F135">IF(OR(ISBLANK(A135),C135),IFERROR(0/0,""),INDEX('RFR Data - preExcl'!AC$2:AC447,$R135,1))</f>
        <v>8</v>
      </c>
      <c r="G135" s="47">
        <f t="array" ref="G135">IF(OR(ISBLANK(A135),C135),IFERROR(0/0,""),INDEX('RFR Data - preExcl'!AK$2:AK447,$R135,1))</f>
        <v>8</v>
      </c>
      <c r="H135" s="54">
        <f t="array" ref="H135">IF(OR(ISBLANK(A135),C135),IFERROR(0/0,""),INDEX('RFR Data - preExcl'!AL$2:AL447,$R135,1))</f>
        <v>0</v>
      </c>
      <c r="I135" s="47">
        <f>IFERROR(VLOOKUP($B135,'APS Tubes by Date IMPORT'!$B$2:$J447,2,FALSE),"")</f>
        <v>8</v>
      </c>
      <c r="J135" s="54" t="b">
        <f>IFERROR(VLOOKUP($B135,'APS Tubes by Date IMPORT'!$B$2:$J447,9,FALSE),"")</f>
        <v>1</v>
      </c>
      <c r="K135" s="54">
        <f>IFNA(VLOOKUP($B135,'APS Tubes by Date IMPORT'!$B$2:$J447,6,FALSE),"")</f>
        <v>0</v>
      </c>
      <c r="L135" s="74">
        <f t="shared" si="140"/>
        <v>8</v>
      </c>
      <c r="M135" s="89">
        <v>0.0</v>
      </c>
      <c r="N135" s="116">
        <v>0.0</v>
      </c>
      <c r="O135" s="76" t="b">
        <f t="shared" si="138"/>
        <v>1</v>
      </c>
      <c r="P135" s="77" t="str">
        <f>IF(ISBLANK(N135),IFERROR(0/0,""),IFERROR(VLOOKUP(N135, 'Process Ref'!$A$76:$D$124, 2, FALSE), IFERROR(0/0,"")))</f>
        <v>ALL 3 COUNTS SAME meaning APS Collect = APS Result = RFR</v>
      </c>
      <c r="Q135" s="77"/>
      <c r="R135" s="78">
        <f>IFNA(MATCH(A135,'RFR Data - preExcl'!A$2:A447,0),"")</f>
        <v>195</v>
      </c>
      <c r="S135" s="43"/>
      <c r="T135" s="18" t="str">
        <f>IF(EXACT('RFR Data - preExcl'!W135,"Initial"),'RFR Data - preExcl'!A135,IFERROR(0/0,""))</f>
        <v/>
      </c>
      <c r="U135" s="18" t="str">
        <f>IF(EXACT('RFR Data - preExcl'!W135,"Initial"),'RFR Data - preExcl'!U135,IFERROR(0/0,""))</f>
        <v/>
      </c>
      <c r="X135" s="43"/>
      <c r="AC135" s="70"/>
      <c r="AF135" s="70"/>
      <c r="AG135" s="74">
        <v>8.0</v>
      </c>
      <c r="AH135" s="54">
        <v>0.0</v>
      </c>
      <c r="AI135" s="116">
        <v>0.0</v>
      </c>
      <c r="AJ135" s="114" t="str">
        <f t="shared" ref="AJ135:AL135" si="150">IF(AG135=L135,IFERROR(0/0,""),FALSE)</f>
        <v/>
      </c>
      <c r="AK135" s="114" t="str">
        <f t="shared" si="150"/>
        <v/>
      </c>
      <c r="AL135" s="114" t="str">
        <f t="shared" si="150"/>
        <v/>
      </c>
      <c r="AM135" s="43"/>
    </row>
    <row r="136">
      <c r="A136" s="7" t="s">
        <v>162</v>
      </c>
      <c r="B136" s="12">
        <v>45014.0</v>
      </c>
      <c r="C136" s="73" t="str">
        <f t="shared" si="3"/>
        <v/>
      </c>
      <c r="D136" s="54">
        <f t="array" ref="D136">IF(OR(ISBLANK($A136),$C136),IFERROR(0/0,""),INDEX('RFR Data - preExcl'!E$2:E447,$R136,1))</f>
        <v>12</v>
      </c>
      <c r="E136" s="54" t="str">
        <f t="array" ref="E136">IF(OR(ISBLANK($A136),$C136),IFERROR(0/0,""),INDEX('RFR Data - preExcl'!Z$2:Z447,$R136,1))</f>
        <v/>
      </c>
      <c r="F136" s="54">
        <f t="array" ref="F136">IF(OR(ISBLANK(A136),C136),IFERROR(0/0,""),INDEX('RFR Data - preExcl'!AC$2:AC447,$R136,1))</f>
        <v>10</v>
      </c>
      <c r="G136" s="54">
        <f t="array" ref="G136">IF(OR(ISBLANK(A136),C136),IFERROR(0/0,""),INDEX('RFR Data - preExcl'!AK$2:AK447,$R136,1))</f>
        <v>10</v>
      </c>
      <c r="H136" s="54">
        <f t="array" ref="H136">IF(OR(ISBLANK(A136),C136),IFERROR(0/0,""),INDEX('RFR Data - preExcl'!AL$2:AL447,$R136,1))</f>
        <v>0</v>
      </c>
      <c r="I136" s="54">
        <f>IFERROR(VLOOKUP($B136,'APS Tubes by Date IMPORT'!$B$2:$J447,2,FALSE),"")</f>
        <v>10</v>
      </c>
      <c r="J136" s="54" t="str">
        <f>IFERROR(VLOOKUP($B136,'APS Tubes by Date IMPORT'!$B$2:$J447,9,FALSE),"")</f>
        <v/>
      </c>
      <c r="K136" s="54">
        <f>IFNA(VLOOKUP($B136,'APS Tubes by Date IMPORT'!$B$2:$J447,6,FALSE),"")</f>
        <v>0</v>
      </c>
      <c r="L136" s="74">
        <f t="shared" si="140"/>
        <v>10</v>
      </c>
      <c r="M136" s="89">
        <v>0.0</v>
      </c>
      <c r="N136" s="116">
        <v>0.1</v>
      </c>
      <c r="O136" s="76" t="b">
        <f t="shared" si="138"/>
        <v>1</v>
      </c>
      <c r="P136" s="77" t="str">
        <f>IF(ISBLANK(N136),IFERROR(0/0,""),IFERROR(VLOOKUP(N136, 'Process Ref'!$A$76:$D$124, 2, FALSE), IFERROR(0/0,"")))</f>
        <v>ALL 3 COUNTS SAME after Null called Neg</v>
      </c>
      <c r="Q136" s="77" t="s">
        <v>231</v>
      </c>
      <c r="R136" s="78">
        <f>IFNA(MATCH(A136,'RFR Data - preExcl'!A$2:A447,0),"")</f>
        <v>196</v>
      </c>
      <c r="S136" s="43"/>
      <c r="T136" s="18" t="str">
        <f>IF(EXACT('RFR Data - preExcl'!W136,"Initial"),'RFR Data - preExcl'!A136,IFERROR(0/0,""))</f>
        <v>RUN-ABRM_2023-01-17_RFR-135</v>
      </c>
      <c r="U136" s="79">
        <f>IF(EXACT('RFR Data - preExcl'!W136,"Initial"),'RFR Data - preExcl'!U136,IFERROR(0/0,""))</f>
        <v>44943</v>
      </c>
      <c r="X136" s="43"/>
      <c r="AC136" s="70"/>
      <c r="AF136" s="70"/>
      <c r="AG136" s="74">
        <v>10.0</v>
      </c>
      <c r="AH136" s="54">
        <v>0.0</v>
      </c>
      <c r="AI136" s="116">
        <v>0.1</v>
      </c>
      <c r="AJ136" s="114" t="str">
        <f t="shared" ref="AJ136:AL136" si="151">IF(AG136=L136,IFERROR(0/0,""),FALSE)</f>
        <v/>
      </c>
      <c r="AK136" s="114" t="str">
        <f t="shared" si="151"/>
        <v/>
      </c>
      <c r="AL136" s="114" t="str">
        <f t="shared" si="151"/>
        <v/>
      </c>
      <c r="AM136" s="43"/>
    </row>
    <row r="137">
      <c r="A137" s="7" t="s">
        <v>163</v>
      </c>
      <c r="B137" s="12">
        <v>45015.0</v>
      </c>
      <c r="C137" s="73" t="str">
        <f t="shared" si="3"/>
        <v/>
      </c>
      <c r="D137" s="54">
        <f t="array" ref="D137">IF(OR(ISBLANK($A137),$C137),IFERROR(0/0,""),INDEX('RFR Data - preExcl'!E$2:E447,$R137,1))</f>
        <v>12</v>
      </c>
      <c r="E137" s="54">
        <f t="array" ref="E137">IF(OR(ISBLANK($A137),$C137),IFERROR(0/0,""),INDEX('RFR Data - preExcl'!Z$2:Z447,$R137,1))</f>
        <v>12</v>
      </c>
      <c r="F137" s="54">
        <f t="array" ref="F137">IF(OR(ISBLANK(A137),C137),IFERROR(0/0,""),INDEX('RFR Data - preExcl'!AC$2:AC447,$R137,1))</f>
        <v>10</v>
      </c>
      <c r="G137" s="54">
        <f t="array" ref="G137">IF(OR(ISBLANK(A137),C137),IFERROR(0/0,""),INDEX('RFR Data - preExcl'!AK$2:AK447,$R137,1))</f>
        <v>10</v>
      </c>
      <c r="H137" s="54">
        <f t="array" ref="H137">IF(OR(ISBLANK(A137),C137),IFERROR(0/0,""),INDEX('RFR Data - preExcl'!AL$2:AL447,$R137,1))</f>
        <v>4</v>
      </c>
      <c r="I137" s="54">
        <f>IFERROR(VLOOKUP($B137,'APS Tubes by Date IMPORT'!$B$2:$J447,2,FALSE),"")</f>
        <v>10</v>
      </c>
      <c r="J137" s="54" t="b">
        <f>IFERROR(VLOOKUP($B137,'APS Tubes by Date IMPORT'!$B$2:$J447,9,FALSE),"")</f>
        <v>1</v>
      </c>
      <c r="K137" s="54">
        <f>IFNA(VLOOKUP($B137,'APS Tubes by Date IMPORT'!$B$2:$J447,6,FALSE),"")</f>
        <v>0</v>
      </c>
      <c r="L137" s="74">
        <f t="shared" si="140"/>
        <v>10</v>
      </c>
      <c r="M137" s="89">
        <v>0.0</v>
      </c>
      <c r="N137" s="116">
        <v>0.0</v>
      </c>
      <c r="O137" s="76" t="b">
        <f t="shared" si="138"/>
        <v>1</v>
      </c>
      <c r="P137" s="77" t="str">
        <f>IF(ISBLANK(N137),IFERROR(0/0,""),IFERROR(VLOOKUP(N137, 'Process Ref'!$A$76:$D$124, 2, FALSE), IFERROR(0/0,"")))</f>
        <v>ALL 3 COUNTS SAME meaning APS Collect = APS Result = RFR</v>
      </c>
      <c r="Q137" s="77"/>
      <c r="R137" s="78">
        <f>IFNA(MATCH(A137,'RFR Data - preExcl'!A$2:A447,0),"")</f>
        <v>197</v>
      </c>
      <c r="S137" s="43"/>
      <c r="T137" s="18" t="str">
        <f>IF(EXACT('RFR Data - preExcl'!W137,"Initial"),'RFR Data - preExcl'!A137,IFERROR(0/0,""))</f>
        <v>RUN-ABRM_2023-01-18_RFR-136</v>
      </c>
      <c r="U137" s="79">
        <f>IF(EXACT('RFR Data - preExcl'!W137,"Initial"),'RFR Data - preExcl'!U137,IFERROR(0/0,""))</f>
        <v>44944</v>
      </c>
      <c r="X137" s="43"/>
      <c r="AC137" s="70"/>
      <c r="AF137" s="70"/>
      <c r="AG137" s="74">
        <v>10.0</v>
      </c>
      <c r="AH137" s="54">
        <v>0.0</v>
      </c>
      <c r="AI137" s="116">
        <v>0.0</v>
      </c>
      <c r="AJ137" s="114" t="str">
        <f t="shared" ref="AJ137:AL137" si="152">IF(AG137=L137,IFERROR(0/0,""),FALSE)</f>
        <v/>
      </c>
      <c r="AK137" s="114" t="str">
        <f t="shared" si="152"/>
        <v/>
      </c>
      <c r="AL137" s="114" t="str">
        <f t="shared" si="152"/>
        <v/>
      </c>
      <c r="AM137" s="43"/>
    </row>
    <row r="138">
      <c r="A138" s="106" t="s">
        <v>164</v>
      </c>
      <c r="B138" s="107">
        <v>45016.0</v>
      </c>
      <c r="C138" s="73" t="str">
        <f t="shared" si="3"/>
        <v/>
      </c>
      <c r="D138" s="54">
        <f t="array" ref="D138">IF(OR(ISBLANK($A138),$C138),IFERROR(0/0,""),INDEX('RFR Data - preExcl'!E$2:E447,$R138,1))</f>
        <v>8</v>
      </c>
      <c r="E138" s="54">
        <f t="array" ref="E138">IF(OR(ISBLANK($A138),$C138),IFERROR(0/0,""),INDEX('RFR Data - preExcl'!Z$2:Z447,$R138,1))</f>
        <v>8</v>
      </c>
      <c r="F138" s="54">
        <f t="array" ref="F138">IF(OR(ISBLANK(A138),C138),IFERROR(0/0,""),INDEX('RFR Data - preExcl'!AC$2:AC447,$R138,1))</f>
        <v>6</v>
      </c>
      <c r="G138" s="54">
        <f t="array" ref="G138">IF(OR(ISBLANK(A138),C138),IFERROR(0/0,""),INDEX('RFR Data - preExcl'!AK$2:AK447,$R138,1))</f>
        <v>2</v>
      </c>
      <c r="H138" s="54">
        <f t="array" ref="H138">IF(OR(ISBLANK(A138),C138),IFERROR(0/0,""),INDEX('RFR Data - preExcl'!AL$2:AL447,$R138,1))</f>
        <v>0</v>
      </c>
      <c r="I138" s="54">
        <f>IFERROR(VLOOKUP($B138,'APS Tubes by Date IMPORT'!$B$2:$J447,2,FALSE),"")</f>
        <v>2</v>
      </c>
      <c r="J138" s="54" t="b">
        <f>IFERROR(VLOOKUP($B138,'APS Tubes by Date IMPORT'!$B$2:$J447,9,FALSE),"")</f>
        <v>1</v>
      </c>
      <c r="K138" s="54">
        <f>IFNA(VLOOKUP($B138,'APS Tubes by Date IMPORT'!$B$2:$J447,6,FALSE),"")</f>
        <v>0</v>
      </c>
      <c r="L138" s="74">
        <f t="shared" si="140"/>
        <v>2</v>
      </c>
      <c r="M138" s="89">
        <v>0.0</v>
      </c>
      <c r="N138" s="132">
        <v>1.4</v>
      </c>
      <c r="O138" s="76"/>
      <c r="P138" s="77" t="str">
        <f>IF(ISBLANK(N138),IFERROR(0/0,""),IFERROR(VLOOKUP(N138, 'Process Ref'!$A$76:$D$124, 2, FALSE), IFERROR(0/0,"")))</f>
        <v>Use APS Collect = RFR Audit (ignore APS Result and GFORM Num samples is different)</v>
      </c>
      <c r="Q138" s="110" t="s">
        <v>248</v>
      </c>
      <c r="R138" s="78">
        <f>IFNA(MATCH(A138,'RFR Data - preExcl'!A$2:A447,0),"")</f>
        <v>199</v>
      </c>
      <c r="S138" s="43"/>
      <c r="T138" s="18" t="str">
        <f>IF(EXACT('RFR Data - preExcl'!W138,"Initial"),'RFR Data - preExcl'!A138,IFERROR(0/0,""))</f>
        <v>RUN-ABRM_2023-01-19_RFR-137</v>
      </c>
      <c r="U138" s="79">
        <f>IF(EXACT('RFR Data - preExcl'!W138,"Initial"),'RFR Data - preExcl'!U138,IFERROR(0/0,""))</f>
        <v>44945</v>
      </c>
      <c r="X138" s="43"/>
      <c r="AC138" s="70"/>
      <c r="AF138" s="70"/>
      <c r="AG138" s="74">
        <v>2.0</v>
      </c>
      <c r="AH138" s="54">
        <v>0.0</v>
      </c>
      <c r="AI138" s="132">
        <v>1.4</v>
      </c>
      <c r="AJ138" s="114" t="str">
        <f t="shared" ref="AJ138:AL138" si="153">IF(AG138=L138,IFERROR(0/0,""),FALSE)</f>
        <v/>
      </c>
      <c r="AK138" s="114" t="str">
        <f t="shared" si="153"/>
        <v/>
      </c>
      <c r="AL138" s="114" t="str">
        <f t="shared" si="153"/>
        <v/>
      </c>
      <c r="AM138" s="43"/>
    </row>
    <row r="139">
      <c r="A139" s="7" t="s">
        <v>165</v>
      </c>
      <c r="B139" s="12">
        <v>45019.0</v>
      </c>
      <c r="C139" s="73" t="str">
        <f t="shared" si="3"/>
        <v/>
      </c>
      <c r="D139" s="54">
        <f t="array" ref="D139">IF(OR(ISBLANK($A139),$C139),IFERROR(0/0,""),INDEX('RFR Data - preExcl'!E$2:E447,$R139,1))</f>
        <v>9</v>
      </c>
      <c r="E139" s="54">
        <f t="array" ref="E139">IF(OR(ISBLANK($A139),$C139),IFERROR(0/0,""),INDEX('RFR Data - preExcl'!Z$2:Z447,$R139,1))</f>
        <v>9</v>
      </c>
      <c r="F139" s="54">
        <f t="array" ref="F139">IF(OR(ISBLANK(A139),C139),IFERROR(0/0,""),INDEX('RFR Data - preExcl'!AC$2:AC447,$R139,1))</f>
        <v>7</v>
      </c>
      <c r="G139" s="54">
        <f t="array" ref="G139">IF(OR(ISBLANK(A139),C139),IFERROR(0/0,""),INDEX('RFR Data - preExcl'!AK$2:AK447,$R139,1))</f>
        <v>7</v>
      </c>
      <c r="H139" s="54">
        <f t="array" ref="H139">IF(OR(ISBLANK(A139),C139),IFERROR(0/0,""),INDEX('RFR Data - preExcl'!AL$2:AL447,$R139,1))</f>
        <v>0</v>
      </c>
      <c r="I139" s="54">
        <f>IFERROR(VLOOKUP($B139,'APS Tubes by Date IMPORT'!$B$2:$J447,2,FALSE),"")</f>
        <v>7</v>
      </c>
      <c r="J139" s="54" t="b">
        <f>IFERROR(VLOOKUP($B139,'APS Tubes by Date IMPORT'!$B$2:$J447,9,FALSE),"")</f>
        <v>1</v>
      </c>
      <c r="K139" s="54">
        <f>IFNA(VLOOKUP($B139,'APS Tubes by Date IMPORT'!$B$2:$J447,6,FALSE),"")</f>
        <v>0</v>
      </c>
      <c r="L139" s="74">
        <f t="shared" si="140"/>
        <v>7</v>
      </c>
      <c r="M139" s="89">
        <v>0.0</v>
      </c>
      <c r="N139" s="116">
        <v>0.0</v>
      </c>
      <c r="O139" s="76" t="b">
        <f>IF(ISBLANK(M141),IFERROR(0/0,""),IF($CC135&lt;=4,TRUE,IFERROR(0/0,"")))</f>
        <v>1</v>
      </c>
      <c r="P139" s="77" t="str">
        <f>IF(ISBLANK(N139),IFERROR(0/0,""),IFERROR(VLOOKUP(N139, 'Process Ref'!$A$76:$D$124, 2, FALSE), IFERROR(0/0,"")))</f>
        <v>ALL 3 COUNTS SAME meaning APS Collect = APS Result = RFR</v>
      </c>
      <c r="Q139" s="77"/>
      <c r="R139" s="78">
        <f>IFNA(MATCH(A139,'RFR Data - preExcl'!A$2:A447,0),"")</f>
        <v>200</v>
      </c>
      <c r="S139" s="43"/>
      <c r="T139" s="18" t="str">
        <f>IF(EXACT('RFR Data - preExcl'!W139,"Initial"),'RFR Data - preExcl'!A139,IFERROR(0/0,""))</f>
        <v/>
      </c>
      <c r="U139" s="18" t="str">
        <f>IF(EXACT('RFR Data - preExcl'!W139,"Initial"),'RFR Data - preExcl'!U139,IFERROR(0/0,""))</f>
        <v/>
      </c>
      <c r="X139" s="43"/>
      <c r="AC139" s="70"/>
      <c r="AF139" s="70"/>
      <c r="AG139" s="74">
        <v>7.0</v>
      </c>
      <c r="AH139" s="54">
        <v>0.0</v>
      </c>
      <c r="AI139" s="116">
        <v>0.0</v>
      </c>
      <c r="AJ139" s="114" t="str">
        <f t="shared" ref="AJ139:AL139" si="154">IF(AG139=L139,IFERROR(0/0,""),FALSE)</f>
        <v/>
      </c>
      <c r="AK139" s="114" t="str">
        <f t="shared" si="154"/>
        <v/>
      </c>
      <c r="AL139" s="114" t="str">
        <f t="shared" si="154"/>
        <v/>
      </c>
      <c r="AM139" s="43"/>
    </row>
    <row r="140">
      <c r="A140" s="7" t="s">
        <v>166</v>
      </c>
      <c r="B140" s="12">
        <v>45020.0</v>
      </c>
      <c r="C140" s="73" t="str">
        <f t="shared" si="3"/>
        <v/>
      </c>
      <c r="D140" s="54">
        <f t="array" ref="D140">IF(OR(ISBLANK($A140),$C140),IFERROR(0/0,""),INDEX('RFR Data - preExcl'!E$2:E447,$R140,1))</f>
        <v>9</v>
      </c>
      <c r="E140" s="54">
        <f t="array" ref="E140">IF(OR(ISBLANK($A140),$C140),IFERROR(0/0,""),INDEX('RFR Data - preExcl'!Z$2:Z447,$R140,1))</f>
        <v>9</v>
      </c>
      <c r="F140" s="54">
        <f t="array" ref="F140">IF(OR(ISBLANK(A140),C140),IFERROR(0/0,""),INDEX('RFR Data - preExcl'!AC$2:AC447,$R140,1))</f>
        <v>7</v>
      </c>
      <c r="G140" s="54">
        <f t="array" ref="G140">IF(OR(ISBLANK(A140),C140),IFERROR(0/0,""),INDEX('RFR Data - preExcl'!AK$2:AK447,$R140,1))</f>
        <v>7</v>
      </c>
      <c r="H140" s="54">
        <f t="array" ref="H140">IF(OR(ISBLANK(A140),C140),IFERROR(0/0,""),INDEX('RFR Data - preExcl'!AL$2:AL447,$R140,1))</f>
        <v>0</v>
      </c>
      <c r="I140" s="54">
        <f>IFERROR(VLOOKUP($B140,'APS Tubes by Date IMPORT'!$B$2:$J447,2,FALSE),"")</f>
        <v>7</v>
      </c>
      <c r="J140" s="54" t="b">
        <f>IFERROR(VLOOKUP($B140,'APS Tubes by Date IMPORT'!$B$2:$J447,9,FALSE),"")</f>
        <v>1</v>
      </c>
      <c r="K140" s="54">
        <f>IFNA(VLOOKUP($B140,'APS Tubes by Date IMPORT'!$B$2:$J447,6,FALSE),"")</f>
        <v>0</v>
      </c>
      <c r="L140" s="74">
        <f t="shared" si="140"/>
        <v>7</v>
      </c>
      <c r="M140" s="89">
        <v>0.0</v>
      </c>
      <c r="N140" s="116">
        <v>0.0</v>
      </c>
      <c r="O140" s="76" t="b">
        <f>IF(ISBLANK(M143),IFERROR(0/0,""),IF($CC136&lt;=4,TRUE,IFERROR(0/0,"")))</f>
        <v>1</v>
      </c>
      <c r="P140" s="77" t="str">
        <f>IF(ISBLANK(N140),IFERROR(0/0,""),IFERROR(VLOOKUP(N140, 'Process Ref'!$A$76:$D$124, 2, FALSE), IFERROR(0/0,"")))</f>
        <v>ALL 3 COUNTS SAME meaning APS Collect = APS Result = RFR</v>
      </c>
      <c r="Q140" s="77"/>
      <c r="R140" s="78">
        <f>IFNA(MATCH(A140,'RFR Data - preExcl'!A$2:A447,0),"")</f>
        <v>201</v>
      </c>
      <c r="S140" s="43"/>
      <c r="T140" s="18" t="str">
        <f>IF(EXACT('RFR Data - preExcl'!W140,"Initial"),'RFR Data - preExcl'!A140,IFERROR(0/0,""))</f>
        <v>RUN-ABRM_2023-01-20_RFR-139</v>
      </c>
      <c r="U140" s="79">
        <f>IF(EXACT('RFR Data - preExcl'!W140,"Initial"),'RFR Data - preExcl'!U140,IFERROR(0/0,""))</f>
        <v>44946</v>
      </c>
      <c r="X140" s="43"/>
      <c r="AC140" s="70"/>
      <c r="AF140" s="70"/>
      <c r="AG140" s="74">
        <v>7.0</v>
      </c>
      <c r="AH140" s="54">
        <v>0.0</v>
      </c>
      <c r="AI140" s="116">
        <v>0.0</v>
      </c>
      <c r="AJ140" s="114" t="str">
        <f t="shared" ref="AJ140:AL140" si="155">IF(AG140=L140,IFERROR(0/0,""),FALSE)</f>
        <v/>
      </c>
      <c r="AK140" s="114" t="str">
        <f t="shared" si="155"/>
        <v/>
      </c>
      <c r="AL140" s="114" t="str">
        <f t="shared" si="155"/>
        <v/>
      </c>
      <c r="AM140" s="43"/>
    </row>
    <row r="141">
      <c r="A141" s="7" t="s">
        <v>168</v>
      </c>
      <c r="B141" s="12">
        <v>45021.0</v>
      </c>
      <c r="C141" s="73" t="str">
        <f t="shared" si="3"/>
        <v/>
      </c>
      <c r="D141" s="54">
        <f t="array" ref="D141">IF(OR(ISBLANK($A141),$C141),IFERROR(0/0,""),INDEX('RFR Data - preExcl'!E$2:E447,$R141,1))</f>
        <v>5</v>
      </c>
      <c r="E141" s="54">
        <f t="array" ref="E141">IF(OR(ISBLANK($A141),$C141),IFERROR(0/0,""),INDEX('RFR Data - preExcl'!Z$2:Z447,$R141,1))</f>
        <v>5</v>
      </c>
      <c r="F141" s="54">
        <f t="array" ref="F141">IF(OR(ISBLANK(A141),C141),IFERROR(0/0,""),INDEX('RFR Data - preExcl'!AC$2:AC447,$R141,1))</f>
        <v>3</v>
      </c>
      <c r="G141" s="54">
        <f t="array" ref="G141">IF(OR(ISBLANK(A141),C141),IFERROR(0/0,""),INDEX('RFR Data - preExcl'!AK$2:AK447,$R141,1))</f>
        <v>1</v>
      </c>
      <c r="H141" s="54">
        <f t="array" ref="H141">IF(OR(ISBLANK(A141),C141),IFERROR(0/0,""),INDEX('RFR Data - preExcl'!AL$2:AL447,$R141,1))</f>
        <v>0</v>
      </c>
      <c r="I141" s="54">
        <f>IFERROR(VLOOKUP($B141,'APS Tubes by Date IMPORT'!$B$2:$J447,2,FALSE),"")</f>
        <v>2</v>
      </c>
      <c r="J141" s="54" t="str">
        <f>IFERROR(VLOOKUP($B141,'APS Tubes by Date IMPORT'!$B$2:$J447,9,FALSE),"")</f>
        <v/>
      </c>
      <c r="K141" s="54">
        <f>IFNA(VLOOKUP($B141,'APS Tubes by Date IMPORT'!$B$2:$J447,6,FALSE),"")</f>
        <v>0</v>
      </c>
      <c r="L141" s="74">
        <f t="shared" si="140"/>
        <v>1</v>
      </c>
      <c r="M141" s="89">
        <v>-1.0</v>
      </c>
      <c r="N141" s="108">
        <v>8.0</v>
      </c>
      <c r="O141" s="109"/>
      <c r="P141" s="77" t="str">
        <f>IF(ISBLANK(N141),IFERROR(0/0,""),IFERROR(VLOOKUP(N141, 'Process Ref'!$A$76:$D$124, 2, FALSE), IFERROR(0/0,"")))</f>
        <v>Use Audit RFR count (tube in Appivo not in RFR)</v>
      </c>
      <c r="Q141" s="77"/>
      <c r="R141" s="78">
        <f>IFNA(MATCH(A141,'RFR Data - preExcl'!A$2:A447,0),"")</f>
        <v>203</v>
      </c>
      <c r="S141" s="43"/>
      <c r="T141" s="18" t="str">
        <f>IF(EXACT('RFR Data - preExcl'!W141,"Initial"),'RFR Data - preExcl'!A141,IFERROR(0/0,""))</f>
        <v>RUN-ABRM_2023-01-23_RFR-140</v>
      </c>
      <c r="U141" s="79">
        <f>IF(EXACT('RFR Data - preExcl'!W141,"Initial"),'RFR Data - preExcl'!U141,IFERROR(0/0,""))</f>
        <v>44949</v>
      </c>
      <c r="X141" s="43"/>
      <c r="AC141" s="70"/>
      <c r="AF141" s="70"/>
      <c r="AG141" s="74">
        <v>1.0</v>
      </c>
      <c r="AH141" s="54">
        <v>-1.0</v>
      </c>
      <c r="AI141" s="108">
        <v>8.0</v>
      </c>
      <c r="AJ141" s="114" t="str">
        <f t="shared" ref="AJ141:AL141" si="156">IF(AG141=L141,IFERROR(0/0,""),FALSE)</f>
        <v/>
      </c>
      <c r="AK141" s="114" t="str">
        <f t="shared" si="156"/>
        <v/>
      </c>
      <c r="AL141" s="114" t="str">
        <f t="shared" si="156"/>
        <v/>
      </c>
      <c r="AM141" s="43"/>
    </row>
    <row r="142">
      <c r="A142" s="120" t="s">
        <v>167</v>
      </c>
      <c r="B142" s="121">
        <v>45021.0</v>
      </c>
      <c r="C142" s="122" t="b">
        <f t="shared" si="3"/>
        <v>1</v>
      </c>
      <c r="D142" s="123" t="str">
        <f t="array" ref="D142">IF(OR(ISBLANK($A142),$C142),IFERROR(0/0,""),INDEX('RFR Data - preExcl'!E$2:E447,$R142,1))</f>
        <v/>
      </c>
      <c r="E142" s="123" t="str">
        <f t="array" ref="E142">IF(OR(ISBLANK($A142),$C142),IFERROR(0/0,""),INDEX('RFR Data - preExcl'!Z$2:Z447,$R142,1))</f>
        <v/>
      </c>
      <c r="F142" s="123" t="str">
        <f t="array" ref="F142">IF(OR(ISBLANK(A142),C142),IFERROR(0/0,""),INDEX('RFR Data - preExcl'!AC$2:AC447,$R142,1))</f>
        <v/>
      </c>
      <c r="G142" s="123" t="str">
        <f t="array" ref="G142">IF(OR(ISBLANK(A142),C142),IFERROR(0/0,""),INDEX('RFR Data - preExcl'!AK$2:AK447,$R142,1))</f>
        <v/>
      </c>
      <c r="H142" s="123" t="str">
        <f t="array" ref="H142">IF(OR(ISBLANK(A142),C142),IFERROR(0/0,""),INDEX('RFR Data - preExcl'!AL$2:AL447,$R142,1))</f>
        <v/>
      </c>
      <c r="I142" s="123">
        <f>IFERROR(VLOOKUP($B142,'APS Tubes by Date IMPORT'!$B$2:$J447,2,FALSE),"")</f>
        <v>2</v>
      </c>
      <c r="J142" s="123" t="str">
        <f>IFERROR(VLOOKUP($B142,'APS Tubes by Date IMPORT'!$B$2:$J447,9,FALSE),"")</f>
        <v/>
      </c>
      <c r="K142" s="123">
        <f>IFNA(VLOOKUP($B142,'APS Tubes by Date IMPORT'!$B$2:$J447,6,FALSE),"")</f>
        <v>0</v>
      </c>
      <c r="L142" s="111">
        <f>I141-L141</f>
        <v>1</v>
      </c>
      <c r="M142" s="89">
        <v>0.0</v>
      </c>
      <c r="N142" s="112">
        <v>3.5</v>
      </c>
      <c r="O142" s="109"/>
      <c r="P142" s="113" t="str">
        <f>IF(ISBLANK(N142),IFERROR(0/0,""),IFERROR(VLOOKUP(N142, 'Process Ref'!$A$76:$D$124, 2, FALSE), IFERROR(0/0,"")))</f>
        <v>Add Run from APS with no RFR (extra APS tube and conclude done in sep run with no RFR)</v>
      </c>
      <c r="Q142" s="77"/>
      <c r="R142" s="124" t="str">
        <f>IFNA(MATCH(A142,'RFR Data - preExcl'!A$2:A447,0),"")</f>
        <v/>
      </c>
      <c r="S142" s="43"/>
      <c r="T142" s="18" t="str">
        <f>IF(EXACT('RFR Data - preExcl'!W142,"Initial"),'RFR Data - preExcl'!A142,IFERROR(0/0,""))</f>
        <v/>
      </c>
      <c r="U142" s="18" t="str">
        <f>IF(EXACT('RFR Data - preExcl'!W142,"Initial"),'RFR Data - preExcl'!U142,IFERROR(0/0,""))</f>
        <v/>
      </c>
      <c r="X142" s="43"/>
      <c r="AC142" s="70"/>
      <c r="AF142" s="70"/>
      <c r="AJ142" s="120"/>
      <c r="AK142" s="120"/>
      <c r="AL142" s="120"/>
      <c r="AM142" s="125"/>
    </row>
    <row r="143">
      <c r="A143" s="7" t="s">
        <v>169</v>
      </c>
      <c r="B143" s="12">
        <v>45022.0</v>
      </c>
      <c r="C143" s="73" t="str">
        <f t="shared" si="3"/>
        <v/>
      </c>
      <c r="D143" s="54">
        <f t="array" ref="D143">IF(OR(ISBLANK($A143),$C143),IFERROR(0/0,""),INDEX('RFR Data - preExcl'!E$2:E447,$R143,1))</f>
        <v>9</v>
      </c>
      <c r="E143" s="54">
        <f t="array" ref="E143">IF(OR(ISBLANK($A143),$C143),IFERROR(0/0,""),INDEX('RFR Data - preExcl'!Z$2:Z447,$R143,1))</f>
        <v>9</v>
      </c>
      <c r="F143" s="54">
        <f t="array" ref="F143">IF(OR(ISBLANK(A143),C143),IFERROR(0/0,""),INDEX('RFR Data - preExcl'!AC$2:AC447,$R143,1))</f>
        <v>7</v>
      </c>
      <c r="G143" s="54">
        <f t="array" ref="G143">IF(OR(ISBLANK(A143),C143),IFERROR(0/0,""),INDEX('RFR Data - preExcl'!AK$2:AK447,$R143,1))</f>
        <v>7</v>
      </c>
      <c r="H143" s="54">
        <f t="array" ref="H143">IF(OR(ISBLANK(A143),C143),IFERROR(0/0,""),INDEX('RFR Data - preExcl'!AL$2:AL447,$R143,1))</f>
        <v>4</v>
      </c>
      <c r="I143" s="54">
        <f>IFERROR(VLOOKUP($B143,'APS Tubes by Date IMPORT'!$B$2:$J447,2,FALSE),"")</f>
        <v>7</v>
      </c>
      <c r="J143" s="54" t="b">
        <f>IFERROR(VLOOKUP($B143,'APS Tubes by Date IMPORT'!$B$2:$J447,9,FALSE),"")</f>
        <v>1</v>
      </c>
      <c r="K143" s="54">
        <f>IFNA(VLOOKUP($B143,'APS Tubes by Date IMPORT'!$B$2:$J447,6,FALSE),"")</f>
        <v>0</v>
      </c>
      <c r="L143" s="126">
        <f t="shared" ref="L143:L146" si="158">G143</f>
        <v>7</v>
      </c>
      <c r="M143" s="127">
        <v>0.0</v>
      </c>
      <c r="N143" s="128">
        <v>0.0</v>
      </c>
      <c r="O143" s="76" t="b">
        <f t="shared" ref="O143:O148" si="159">IF(ISBLANK(M146),IFERROR(0/0,""),IF($CC139&lt;=4,TRUE,IFERROR(0/0,"")))</f>
        <v>1</v>
      </c>
      <c r="P143" s="129" t="str">
        <f>IF(ISBLANK(N143),IFERROR(0/0,""),IFERROR(VLOOKUP(N143, 'Process Ref'!$A$76:$D$124, 2, FALSE), IFERROR(0/0,"")))</f>
        <v>ALL 3 COUNTS SAME meaning APS Collect = APS Result = RFR</v>
      </c>
      <c r="Q143" s="129"/>
      <c r="R143" s="78">
        <f>IFNA(MATCH(A143,'RFR Data - preExcl'!A$2:A447,0),"")</f>
        <v>204</v>
      </c>
      <c r="S143" s="43"/>
      <c r="T143" s="18" t="str">
        <f>IF(EXACT('RFR Data - preExcl'!W143,"Initial"),'RFR Data - preExcl'!A143,IFERROR(0/0,""))</f>
        <v/>
      </c>
      <c r="U143" s="18" t="str">
        <f>IF(EXACT('RFR Data - preExcl'!W143,"Initial"),'RFR Data - preExcl'!U143,IFERROR(0/0,""))</f>
        <v/>
      </c>
      <c r="X143" s="43"/>
      <c r="AC143" s="70"/>
      <c r="AF143" s="70"/>
      <c r="AG143" s="126">
        <v>7.0</v>
      </c>
      <c r="AH143" s="123">
        <v>0.0</v>
      </c>
      <c r="AI143" s="128">
        <v>0.0</v>
      </c>
      <c r="AJ143" s="114" t="str">
        <f t="shared" ref="AJ143:AL143" si="157">IF(AG143=L143,IFERROR(0/0,""),FALSE)</f>
        <v/>
      </c>
      <c r="AK143" s="114" t="str">
        <f t="shared" si="157"/>
        <v/>
      </c>
      <c r="AL143" s="114" t="str">
        <f t="shared" si="157"/>
        <v/>
      </c>
      <c r="AM143" s="43"/>
    </row>
    <row r="144">
      <c r="A144" s="7" t="s">
        <v>170</v>
      </c>
      <c r="B144" s="12">
        <v>45023.0</v>
      </c>
      <c r="C144" s="73" t="str">
        <f t="shared" si="3"/>
        <v/>
      </c>
      <c r="D144" s="54">
        <f t="array" ref="D144">IF(OR(ISBLANK($A144),$C144),IFERROR(0/0,""),INDEX('RFR Data - preExcl'!E$2:E447,$R144,1))</f>
        <v>7</v>
      </c>
      <c r="E144" s="54">
        <f t="array" ref="E144">IF(OR(ISBLANK($A144),$C144),IFERROR(0/0,""),INDEX('RFR Data - preExcl'!Z$2:Z447,$R144,1))</f>
        <v>7</v>
      </c>
      <c r="F144" s="54">
        <f t="array" ref="F144">IF(OR(ISBLANK(A144),C144),IFERROR(0/0,""),INDEX('RFR Data - preExcl'!AC$2:AC447,$R144,1))</f>
        <v>5</v>
      </c>
      <c r="G144" s="54">
        <f t="array" ref="G144">IF(OR(ISBLANK(A144),C144),IFERROR(0/0,""),INDEX('RFR Data - preExcl'!AK$2:AK447,$R144,1))</f>
        <v>5</v>
      </c>
      <c r="H144" s="54">
        <f t="array" ref="H144">IF(OR(ISBLANK(A144),C144),IFERROR(0/0,""),INDEX('RFR Data - preExcl'!AL$2:AL447,$R144,1))</f>
        <v>0</v>
      </c>
      <c r="I144" s="54">
        <f>IFERROR(VLOOKUP($B144,'APS Tubes by Date IMPORT'!$B$2:$J447,2,FALSE),"")</f>
        <v>5</v>
      </c>
      <c r="J144" s="54" t="b">
        <f>IFERROR(VLOOKUP($B144,'APS Tubes by Date IMPORT'!$B$2:$J447,9,FALSE),"")</f>
        <v>1</v>
      </c>
      <c r="K144" s="54">
        <f>IFNA(VLOOKUP($B144,'APS Tubes by Date IMPORT'!$B$2:$J447,6,FALSE),"")</f>
        <v>0</v>
      </c>
      <c r="L144" s="74">
        <f t="shared" si="158"/>
        <v>5</v>
      </c>
      <c r="M144" s="89">
        <v>0.0</v>
      </c>
      <c r="N144" s="116">
        <v>0.0</v>
      </c>
      <c r="O144" s="76" t="b">
        <f t="shared" si="159"/>
        <v>1</v>
      </c>
      <c r="P144" s="77" t="str">
        <f>IF(ISBLANK(N144),IFERROR(0/0,""),IFERROR(VLOOKUP(N144, 'Process Ref'!$A$76:$D$124, 2, FALSE), IFERROR(0/0,"")))</f>
        <v>ALL 3 COUNTS SAME meaning APS Collect = APS Result = RFR</v>
      </c>
      <c r="Q144" s="77"/>
      <c r="R144" s="78">
        <f>IFNA(MATCH(A144,'RFR Data - preExcl'!A$2:A447,0),"")</f>
        <v>206</v>
      </c>
      <c r="S144" s="43"/>
      <c r="T144" s="18" t="str">
        <f>IF(EXACT('RFR Data - preExcl'!W144,"Initial"),'RFR Data - preExcl'!A144,IFERROR(0/0,""))</f>
        <v>RUN-ABRM_2023-01-25_RFR-143</v>
      </c>
      <c r="U144" s="79">
        <f>IF(EXACT('RFR Data - preExcl'!W144,"Initial"),'RFR Data - preExcl'!U144,IFERROR(0/0,""))</f>
        <v>44951</v>
      </c>
      <c r="X144" s="43"/>
      <c r="AC144" s="70"/>
      <c r="AF144" s="70"/>
      <c r="AG144" s="74">
        <v>5.0</v>
      </c>
      <c r="AH144" s="54">
        <v>0.0</v>
      </c>
      <c r="AI144" s="116">
        <v>0.0</v>
      </c>
      <c r="AJ144" s="114" t="str">
        <f t="shared" ref="AJ144:AL144" si="160">IF(AG144=L144,IFERROR(0/0,""),FALSE)</f>
        <v/>
      </c>
      <c r="AK144" s="114" t="str">
        <f t="shared" si="160"/>
        <v/>
      </c>
      <c r="AL144" s="114" t="str">
        <f t="shared" si="160"/>
        <v/>
      </c>
      <c r="AM144" s="43"/>
    </row>
    <row r="145">
      <c r="A145" s="7" t="s">
        <v>171</v>
      </c>
      <c r="B145" s="12">
        <v>45026.0</v>
      </c>
      <c r="C145" s="73" t="str">
        <f t="shared" si="3"/>
        <v/>
      </c>
      <c r="D145" s="54">
        <f t="array" ref="D145">IF(OR(ISBLANK($A145),$C145),IFERROR(0/0,""),INDEX('RFR Data - preExcl'!E$2:E447,$R145,1))</f>
        <v>11</v>
      </c>
      <c r="E145" s="54">
        <f t="array" ref="E145">IF(OR(ISBLANK($A145),$C145),IFERROR(0/0,""),INDEX('RFR Data - preExcl'!Z$2:Z447,$R145,1))</f>
        <v>11</v>
      </c>
      <c r="F145" s="54">
        <f t="array" ref="F145">IF(OR(ISBLANK(A145),C145),IFERROR(0/0,""),INDEX('RFR Data - preExcl'!AC$2:AC447,$R145,1))</f>
        <v>9</v>
      </c>
      <c r="G145" s="54">
        <f t="array" ref="G145">IF(OR(ISBLANK(A145),C145),IFERROR(0/0,""),INDEX('RFR Data - preExcl'!AK$2:AK447,$R145,1))</f>
        <v>9</v>
      </c>
      <c r="H145" s="54">
        <f t="array" ref="H145">IF(OR(ISBLANK(A145),C145),IFERROR(0/0,""),INDEX('RFR Data - preExcl'!AL$2:AL447,$R145,1))</f>
        <v>0</v>
      </c>
      <c r="I145" s="54">
        <f>IFERROR(VLOOKUP($B145,'APS Tubes by Date IMPORT'!$B$2:$J447,2,FALSE),"")</f>
        <v>9</v>
      </c>
      <c r="J145" s="54" t="b">
        <f>IFERROR(VLOOKUP($B145,'APS Tubes by Date IMPORT'!$B$2:$J447,9,FALSE),"")</f>
        <v>1</v>
      </c>
      <c r="K145" s="54">
        <f>IFNA(VLOOKUP($B145,'APS Tubes by Date IMPORT'!$B$2:$J447,6,FALSE),"")</f>
        <v>0</v>
      </c>
      <c r="L145" s="74">
        <f t="shared" si="158"/>
        <v>9</v>
      </c>
      <c r="M145" s="89">
        <v>0.0</v>
      </c>
      <c r="N145" s="116">
        <v>0.0</v>
      </c>
      <c r="O145" s="76" t="b">
        <f t="shared" si="159"/>
        <v>1</v>
      </c>
      <c r="P145" s="77" t="str">
        <f>IF(ISBLANK(N145),IFERROR(0/0,""),IFERROR(VLOOKUP(N145, 'Process Ref'!$A$76:$D$124, 2, FALSE), IFERROR(0/0,"")))</f>
        <v>ALL 3 COUNTS SAME meaning APS Collect = APS Result = RFR</v>
      </c>
      <c r="Q145" s="77"/>
      <c r="R145" s="78">
        <f>IFNA(MATCH(A145,'RFR Data - preExcl'!A$2:A447,0),"")</f>
        <v>207</v>
      </c>
      <c r="S145" s="43"/>
      <c r="T145" s="18" t="str">
        <f>IF(EXACT('RFR Data - preExcl'!W145,"Initial"),'RFR Data - preExcl'!A145,IFERROR(0/0,""))</f>
        <v/>
      </c>
      <c r="U145" s="18" t="str">
        <f>IF(EXACT('RFR Data - preExcl'!W145,"Initial"),'RFR Data - preExcl'!U145,IFERROR(0/0,""))</f>
        <v/>
      </c>
      <c r="X145" s="43"/>
      <c r="AC145" s="70"/>
      <c r="AF145" s="70"/>
      <c r="AG145" s="74">
        <v>9.0</v>
      </c>
      <c r="AH145" s="54">
        <v>0.0</v>
      </c>
      <c r="AI145" s="116">
        <v>0.0</v>
      </c>
      <c r="AJ145" s="114" t="str">
        <f t="shared" ref="AJ145:AL145" si="161">IF(AG145=L145,IFERROR(0/0,""),FALSE)</f>
        <v/>
      </c>
      <c r="AK145" s="114" t="str">
        <f t="shared" si="161"/>
        <v/>
      </c>
      <c r="AL145" s="114" t="str">
        <f t="shared" si="161"/>
        <v/>
      </c>
      <c r="AM145" s="43"/>
    </row>
    <row r="146">
      <c r="A146" s="7" t="s">
        <v>172</v>
      </c>
      <c r="B146" s="12">
        <v>45027.0</v>
      </c>
      <c r="C146" s="73" t="str">
        <f t="shared" si="3"/>
        <v/>
      </c>
      <c r="D146" s="54">
        <f t="array" ref="D146">IF(OR(ISBLANK($A146),$C146),IFERROR(0/0,""),INDEX('RFR Data - preExcl'!E$2:E447,$R146,1))</f>
        <v>9</v>
      </c>
      <c r="E146" s="54">
        <f t="array" ref="E146">IF(OR(ISBLANK($A146),$C146),IFERROR(0/0,""),INDEX('RFR Data - preExcl'!Z$2:Z447,$R146,1))</f>
        <v>9</v>
      </c>
      <c r="F146" s="54">
        <f t="array" ref="F146">IF(OR(ISBLANK(A146),C146),IFERROR(0/0,""),INDEX('RFR Data - preExcl'!AC$2:AC447,$R146,1))</f>
        <v>7</v>
      </c>
      <c r="G146" s="54">
        <f t="array" ref="G146">IF(OR(ISBLANK(A146),C146),IFERROR(0/0,""),INDEX('RFR Data - preExcl'!AK$2:AK447,$R146,1))</f>
        <v>7</v>
      </c>
      <c r="H146" s="54">
        <f t="array" ref="H146">IF(OR(ISBLANK(A146),C146),IFERROR(0/0,""),INDEX('RFR Data - preExcl'!AL$2:AL447,$R146,1))</f>
        <v>1.1</v>
      </c>
      <c r="I146" s="54">
        <f>IFERROR(VLOOKUP($B146,'APS Tubes by Date IMPORT'!$B$2:$J447,2,FALSE),"")</f>
        <v>7</v>
      </c>
      <c r="J146" s="54" t="str">
        <f>IFERROR(VLOOKUP($B146,'APS Tubes by Date IMPORT'!$B$2:$J447,9,FALSE),"")</f>
        <v/>
      </c>
      <c r="K146" s="54">
        <f>IFNA(VLOOKUP($B146,'APS Tubes by Date IMPORT'!$B$2:$J447,6,FALSE),"")</f>
        <v>0</v>
      </c>
      <c r="L146" s="74">
        <f t="shared" si="158"/>
        <v>7</v>
      </c>
      <c r="M146" s="89">
        <v>0.0</v>
      </c>
      <c r="N146" s="116">
        <v>0.1</v>
      </c>
      <c r="O146" s="76" t="b">
        <f t="shared" si="159"/>
        <v>1</v>
      </c>
      <c r="P146" s="77" t="str">
        <f>IF(ISBLANK(N146),IFERROR(0/0,""),IFERROR(VLOOKUP(N146, 'Process Ref'!$A$76:$D$124, 2, FALSE), IFERROR(0/0,"")))</f>
        <v>ALL 3 COUNTS SAME after Null called Neg</v>
      </c>
      <c r="Q146" s="77" t="s">
        <v>231</v>
      </c>
      <c r="R146" s="78">
        <f>IFNA(MATCH(A146,'RFR Data - preExcl'!A$2:A447,0),"")</f>
        <v>208</v>
      </c>
      <c r="S146" s="43"/>
      <c r="T146" s="18" t="str">
        <f>IF(EXACT('RFR Data - preExcl'!W146,"Initial"),'RFR Data - preExcl'!A146,IFERROR(0/0,""))</f>
        <v>RUN-ABRM_2023-01-26_RFR-145</v>
      </c>
      <c r="U146" s="79">
        <f>IF(EXACT('RFR Data - preExcl'!W146,"Initial"),'RFR Data - preExcl'!U146,IFERROR(0/0,""))</f>
        <v>44952</v>
      </c>
      <c r="X146" s="43"/>
      <c r="AC146" s="70"/>
      <c r="AF146" s="70"/>
      <c r="AG146" s="74">
        <v>7.0</v>
      </c>
      <c r="AH146" s="54">
        <v>0.0</v>
      </c>
      <c r="AI146" s="116">
        <v>0.1</v>
      </c>
      <c r="AJ146" s="114" t="str">
        <f t="shared" ref="AJ146:AL146" si="162">IF(AG146=L146,IFERROR(0/0,""),FALSE)</f>
        <v/>
      </c>
      <c r="AK146" s="114" t="str">
        <f t="shared" si="162"/>
        <v/>
      </c>
      <c r="AL146" s="114" t="str">
        <f t="shared" si="162"/>
        <v/>
      </c>
      <c r="AM146" s="43"/>
    </row>
    <row r="147">
      <c r="A147" s="106" t="s">
        <v>173</v>
      </c>
      <c r="B147" s="107">
        <v>45028.0</v>
      </c>
      <c r="C147" s="73" t="b">
        <f t="shared" si="3"/>
        <v>1</v>
      </c>
      <c r="D147" s="54" t="str">
        <f t="array" ref="D147">IF(OR(ISBLANK($A147),$C147),IFERROR(0/0,""),INDEX('RFR Data - preExcl'!E$2:E447,$R147,1))</f>
        <v/>
      </c>
      <c r="E147" s="54" t="str">
        <f t="array" ref="E147">IF(OR(ISBLANK($A147),$C147),IFERROR(0/0,""),INDEX('RFR Data - preExcl'!Z$2:Z447,$R147,1))</f>
        <v/>
      </c>
      <c r="F147" s="54" t="str">
        <f t="array" ref="F147">IF(OR(ISBLANK(A147),C147),IFERROR(0/0,""),INDEX('RFR Data - preExcl'!AC$2:AC447,$R147,1))</f>
        <v/>
      </c>
      <c r="G147" s="54" t="str">
        <f t="array" ref="G147">IF(OR(ISBLANK(A147),C147),IFERROR(0/0,""),INDEX('RFR Data - preExcl'!AK$2:AK447,$R147,1))</f>
        <v/>
      </c>
      <c r="H147" s="54" t="str">
        <f t="array" ref="H147">IF(OR(ISBLANK(A147),C147),IFERROR(0/0,""),INDEX('RFR Data - preExcl'!AL$2:AL447,$R147,1))</f>
        <v/>
      </c>
      <c r="I147" s="54">
        <f>IFERROR(VLOOKUP($B147,'APS Tubes by Date IMPORT'!$B$2:$J447,2,FALSE),"")</f>
        <v>7</v>
      </c>
      <c r="J147" s="54" t="str">
        <f>IFERROR(VLOOKUP($B147,'APS Tubes by Date IMPORT'!$B$2:$J447,9,FALSE),"")</f>
        <v/>
      </c>
      <c r="K147" s="54">
        <f>IFNA(VLOOKUP($B147,'APS Tubes by Date IMPORT'!$B$2:$J447,6,FALSE),"")</f>
        <v>0</v>
      </c>
      <c r="L147" s="111">
        <f t="shared" ref="L147:L148" si="164">I147</f>
        <v>7</v>
      </c>
      <c r="M147" s="89">
        <v>0.0</v>
      </c>
      <c r="N147" s="112">
        <v>3.4</v>
      </c>
      <c r="O147" s="76" t="b">
        <f t="shared" si="159"/>
        <v>1</v>
      </c>
      <c r="P147" s="113" t="str">
        <f>IF(ISBLANK(N147),IFERROR(0/0,""),IFERROR(VLOOKUP(N147, 'Process Ref'!$A$76:$D$124, 2, FALSE), IFERROR(0/0,"")))</f>
        <v>Add Run from APS with no RFR (assume run on same day as Collect, ignore Result day)</v>
      </c>
      <c r="Q147" s="110" t="s">
        <v>249</v>
      </c>
      <c r="R147" s="78" t="str">
        <f>IFNA(MATCH(A147,'RFR Data - preExcl'!A$2:A447,0),"")</f>
        <v/>
      </c>
      <c r="S147" s="43"/>
      <c r="T147" s="18" t="str">
        <f>IF(EXACT('RFR Data - preExcl'!W147,"Initial"),'RFR Data - preExcl'!A147,IFERROR(0/0,""))</f>
        <v/>
      </c>
      <c r="U147" s="18" t="str">
        <f>IF(EXACT('RFR Data - preExcl'!W147,"Initial"),'RFR Data - preExcl'!U147,IFERROR(0/0,""))</f>
        <v/>
      </c>
      <c r="X147" s="43"/>
      <c r="AC147" s="70"/>
      <c r="AF147" s="70"/>
      <c r="AG147" s="111">
        <v>7.0</v>
      </c>
      <c r="AH147" s="54">
        <v>0.0</v>
      </c>
      <c r="AI147" s="112">
        <v>3.4</v>
      </c>
      <c r="AJ147" s="114" t="str">
        <f t="shared" ref="AJ147:AL147" si="163">IF(AG147=L147,IFERROR(0/0,""),FALSE)</f>
        <v/>
      </c>
      <c r="AK147" s="114" t="str">
        <f t="shared" si="163"/>
        <v/>
      </c>
      <c r="AL147" s="114" t="str">
        <f t="shared" si="163"/>
        <v/>
      </c>
      <c r="AM147" s="43"/>
    </row>
    <row r="148">
      <c r="A148" s="7" t="s">
        <v>174</v>
      </c>
      <c r="B148" s="12">
        <v>45029.0</v>
      </c>
      <c r="C148" s="73" t="b">
        <f t="shared" si="3"/>
        <v>1</v>
      </c>
      <c r="D148" s="54" t="str">
        <f t="array" ref="D148">IF(OR(ISBLANK($A148),$C148),IFERROR(0/0,""),INDEX('RFR Data - preExcl'!E$2:E447,$R148,1))</f>
        <v/>
      </c>
      <c r="E148" s="54" t="str">
        <f t="array" ref="E148">IF(OR(ISBLANK($A148),$C148),IFERROR(0/0,""),INDEX('RFR Data - preExcl'!Z$2:Z447,$R148,1))</f>
        <v/>
      </c>
      <c r="F148" s="54" t="str">
        <f t="array" ref="F148">IF(OR(ISBLANK(A148),C148),IFERROR(0/0,""),INDEX('RFR Data - preExcl'!AC$2:AC447,$R148,1))</f>
        <v/>
      </c>
      <c r="G148" s="54" t="str">
        <f t="array" ref="G148">IF(OR(ISBLANK(A148),C148),IFERROR(0/0,""),INDEX('RFR Data - preExcl'!AK$2:AK447,$R148,1))</f>
        <v/>
      </c>
      <c r="H148" s="54" t="str">
        <f t="array" ref="H148">IF(OR(ISBLANK(A148),C148),IFERROR(0/0,""),INDEX('RFR Data - preExcl'!AL$2:AL447,$R148,1))</f>
        <v/>
      </c>
      <c r="I148" s="54">
        <f>IFERROR(VLOOKUP($B148,'APS Tubes by Date IMPORT'!$B$2:$J447,2,FALSE),"")</f>
        <v>8</v>
      </c>
      <c r="J148" s="54" t="str">
        <f>IFERROR(VLOOKUP($B148,'APS Tubes by Date IMPORT'!$B$2:$J447,9,FALSE),"")</f>
        <v/>
      </c>
      <c r="K148" s="54">
        <f>IFNA(VLOOKUP($B148,'APS Tubes by Date IMPORT'!$B$2:$J447,6,FALSE),"")</f>
        <v>0</v>
      </c>
      <c r="L148" s="111">
        <f t="shared" si="164"/>
        <v>8</v>
      </c>
      <c r="M148" s="89">
        <v>0.0</v>
      </c>
      <c r="N148" s="112">
        <v>3.4</v>
      </c>
      <c r="O148" s="76" t="b">
        <f t="shared" si="159"/>
        <v>1</v>
      </c>
      <c r="P148" s="77" t="str">
        <f>IF(ISBLANK(N148),IFERROR(0/0,""),IFERROR(VLOOKUP(N148, 'Process Ref'!$A$76:$D$124, 2, FALSE), IFERROR(0/0,"")))</f>
        <v>Add Run from APS with no RFR (assume run on same day as Collect, ignore Result day)</v>
      </c>
      <c r="Q148" s="110" t="s">
        <v>250</v>
      </c>
      <c r="R148" s="78" t="str">
        <f>IFNA(MATCH(A148,'RFR Data - preExcl'!A$2:A447,0),"")</f>
        <v/>
      </c>
      <c r="S148" s="43"/>
      <c r="T148" s="18" t="str">
        <f>IF(EXACT('RFR Data - preExcl'!W148,"Initial"),'RFR Data - preExcl'!A148,IFERROR(0/0,""))</f>
        <v>RUN-ABRM_2023-01-27_RFR-147</v>
      </c>
      <c r="U148" s="79">
        <f>IF(EXACT('RFR Data - preExcl'!W148,"Initial"),'RFR Data - preExcl'!U148,IFERROR(0/0,""))</f>
        <v>44953</v>
      </c>
      <c r="X148" s="43"/>
      <c r="AC148" s="70"/>
      <c r="AF148" s="70"/>
      <c r="AG148" s="111">
        <v>8.0</v>
      </c>
      <c r="AH148" s="54">
        <v>0.0</v>
      </c>
      <c r="AI148" s="112">
        <v>3.4</v>
      </c>
      <c r="AJ148" s="114" t="str">
        <f t="shared" ref="AJ148:AL148" si="165">IF(AG148=L148,IFERROR(0/0,""),FALSE)</f>
        <v/>
      </c>
      <c r="AK148" s="114" t="str">
        <f t="shared" si="165"/>
        <v/>
      </c>
      <c r="AL148" s="114" t="str">
        <f t="shared" si="165"/>
        <v/>
      </c>
      <c r="AM148" s="43"/>
    </row>
    <row r="149">
      <c r="A149" s="7" t="s">
        <v>175</v>
      </c>
      <c r="B149" s="12">
        <v>45030.0</v>
      </c>
      <c r="C149" s="73" t="str">
        <f t="shared" si="3"/>
        <v/>
      </c>
      <c r="D149" s="54">
        <f t="array" ref="D149">IF(OR(ISBLANK($A149),$C149),IFERROR(0/0,""),INDEX('RFR Data - preExcl'!E$2:E447,$R149,1))</f>
        <v>10</v>
      </c>
      <c r="E149" s="54">
        <f t="array" ref="E149">IF(OR(ISBLANK($A149),$C149),IFERROR(0/0,""),INDEX('RFR Data - preExcl'!Z$2:Z447,$R149,1))</f>
        <v>10</v>
      </c>
      <c r="F149" s="54">
        <f t="array" ref="F149">IF(OR(ISBLANK(A149),C149),IFERROR(0/0,""),INDEX('RFR Data - preExcl'!AC$2:AC447,$R149,1))</f>
        <v>8</v>
      </c>
      <c r="G149" s="54">
        <f t="array" ref="G149">IF(OR(ISBLANK(A149),C149),IFERROR(0/0,""),INDEX('RFR Data - preExcl'!AK$2:AK447,$R149,1))</f>
        <v>8</v>
      </c>
      <c r="H149" s="54">
        <f t="array" ref="H149">IF(OR(ISBLANK(A149),C149),IFERROR(0/0,""),INDEX('RFR Data - preExcl'!AL$2:AL447,$R149,1))</f>
        <v>0</v>
      </c>
      <c r="I149" s="54">
        <f>IFERROR(VLOOKUP($B149,'APS Tubes by Date IMPORT'!$B$2:$J447,2,FALSE),"")</f>
        <v>8</v>
      </c>
      <c r="J149" s="54" t="str">
        <f>IFERROR(VLOOKUP($B149,'APS Tubes by Date IMPORT'!$B$2:$J447,9,FALSE),"")</f>
        <v/>
      </c>
      <c r="K149" s="54">
        <f>IFNA(VLOOKUP($B149,'APS Tubes by Date IMPORT'!$B$2:$J447,6,FALSE),"")</f>
        <v>0</v>
      </c>
      <c r="L149" s="74">
        <f t="shared" ref="L149:L151" si="167">G149</f>
        <v>8</v>
      </c>
      <c r="M149" s="89">
        <v>0.0</v>
      </c>
      <c r="N149" s="116">
        <v>0.0</v>
      </c>
      <c r="O149" s="76" t="b">
        <f t="shared" ref="O149:O150" si="168">IF(ISBLANK(M153),IFERROR(0/0,""),IF($CC145&lt;=4,TRUE,IFERROR(0/0,"")))</f>
        <v>1</v>
      </c>
      <c r="P149" s="77" t="str">
        <f>IF(ISBLANK(N149),IFERROR(0/0,""),IFERROR(VLOOKUP(N149, 'Process Ref'!$A$76:$D$124, 2, FALSE), IFERROR(0/0,"")))</f>
        <v>ALL 3 COUNTS SAME meaning APS Collect = APS Result = RFR</v>
      </c>
      <c r="Q149" s="77"/>
      <c r="R149" s="78">
        <f>IFNA(MATCH(A149,'RFR Data - preExcl'!A$2:A447,0),"")</f>
        <v>212</v>
      </c>
      <c r="S149" s="43"/>
      <c r="T149" s="18" t="str">
        <f>IF(EXACT('RFR Data - preExcl'!W149,"Initial"),'RFR Data - preExcl'!A149,IFERROR(0/0,""))</f>
        <v/>
      </c>
      <c r="U149" s="18" t="str">
        <f>IF(EXACT('RFR Data - preExcl'!W149,"Initial"),'RFR Data - preExcl'!U149,IFERROR(0/0,""))</f>
        <v/>
      </c>
      <c r="V149" s="117"/>
      <c r="X149" s="43"/>
      <c r="AC149" s="70"/>
      <c r="AF149" s="70"/>
      <c r="AG149" s="74">
        <v>8.0</v>
      </c>
      <c r="AH149" s="54">
        <v>0.0</v>
      </c>
      <c r="AI149" s="116">
        <v>0.0</v>
      </c>
      <c r="AJ149" s="114" t="str">
        <f t="shared" ref="AJ149:AL149" si="166">IF(AG149=L149,IFERROR(0/0,""),FALSE)</f>
        <v/>
      </c>
      <c r="AK149" s="114" t="str">
        <f t="shared" si="166"/>
        <v/>
      </c>
      <c r="AL149" s="114" t="str">
        <f t="shared" si="166"/>
        <v/>
      </c>
      <c r="AM149" s="43"/>
    </row>
    <row r="150">
      <c r="A150" s="7" t="s">
        <v>176</v>
      </c>
      <c r="B150" s="12">
        <v>45033.0</v>
      </c>
      <c r="C150" s="73" t="str">
        <f t="shared" si="3"/>
        <v/>
      </c>
      <c r="D150" s="54">
        <f t="array" ref="D150">IF(OR(ISBLANK($A150),$C150),IFERROR(0/0,""),INDEX('RFR Data - preExcl'!E$2:E447,$R150,1))</f>
        <v>11</v>
      </c>
      <c r="E150" s="54">
        <f t="array" ref="E150">IF(OR(ISBLANK($A150),$C150),IFERROR(0/0,""),INDEX('RFR Data - preExcl'!Z$2:Z447,$R150,1))</f>
        <v>11</v>
      </c>
      <c r="F150" s="54">
        <f t="array" ref="F150">IF(OR(ISBLANK(A150),C150),IFERROR(0/0,""),INDEX('RFR Data - preExcl'!AC$2:AC447,$R150,1))</f>
        <v>9</v>
      </c>
      <c r="G150" s="54">
        <f t="array" ref="G150">IF(OR(ISBLANK(A150),C150),IFERROR(0/0,""),INDEX('RFR Data - preExcl'!AK$2:AK447,$R150,1))</f>
        <v>9</v>
      </c>
      <c r="H150" s="54">
        <f t="array" ref="H150">IF(OR(ISBLANK(A150),C150),IFERROR(0/0,""),INDEX('RFR Data - preExcl'!AL$2:AL447,$R150,1))</f>
        <v>0</v>
      </c>
      <c r="I150" s="54">
        <f>IFERROR(VLOOKUP($B150,'APS Tubes by Date IMPORT'!$B$2:$J447,2,FALSE),"")</f>
        <v>9</v>
      </c>
      <c r="J150" s="54" t="b">
        <f>IFERROR(VLOOKUP($B150,'APS Tubes by Date IMPORT'!$B$2:$J447,9,FALSE),"")</f>
        <v>1</v>
      </c>
      <c r="K150" s="54">
        <f>IFNA(VLOOKUP($B150,'APS Tubes by Date IMPORT'!$B$2:$J447,6,FALSE),"")</f>
        <v>0</v>
      </c>
      <c r="L150" s="74">
        <f t="shared" si="167"/>
        <v>9</v>
      </c>
      <c r="M150" s="89">
        <v>0.0</v>
      </c>
      <c r="N150" s="116">
        <v>0.0</v>
      </c>
      <c r="O150" s="76" t="b">
        <f t="shared" si="168"/>
        <v>1</v>
      </c>
      <c r="P150" s="77" t="str">
        <f>IF(ISBLANK(N150),IFERROR(0/0,""),IFERROR(VLOOKUP(N150, 'Process Ref'!$A$76:$D$124, 2, FALSE), IFERROR(0/0,"")))</f>
        <v>ALL 3 COUNTS SAME meaning APS Collect = APS Result = RFR</v>
      </c>
      <c r="Q150" s="77"/>
      <c r="R150" s="78">
        <f>IFNA(MATCH(A150,'RFR Data - preExcl'!A$2:A447,0),"")</f>
        <v>213</v>
      </c>
      <c r="S150" s="43"/>
      <c r="T150" s="18" t="str">
        <f>IF(EXACT('RFR Data - preExcl'!W150,"Initial"),'RFR Data - preExcl'!A150,IFERROR(0/0,""))</f>
        <v>RUN-ABRM_2023-01-30_RFR-149</v>
      </c>
      <c r="U150" s="79">
        <f>IF(EXACT('RFR Data - preExcl'!W150,"Initial"),'RFR Data - preExcl'!U150,IFERROR(0/0,""))</f>
        <v>44956</v>
      </c>
      <c r="V150" s="117"/>
      <c r="X150" s="43"/>
      <c r="AC150" s="70"/>
      <c r="AF150" s="70"/>
      <c r="AG150" s="74">
        <v>9.0</v>
      </c>
      <c r="AH150" s="54">
        <v>0.0</v>
      </c>
      <c r="AI150" s="116">
        <v>0.0</v>
      </c>
      <c r="AJ150" s="114" t="str">
        <f t="shared" ref="AJ150:AL150" si="169">IF(AG150=L150,IFERROR(0/0,""),FALSE)</f>
        <v/>
      </c>
      <c r="AK150" s="114" t="str">
        <f t="shared" si="169"/>
        <v/>
      </c>
      <c r="AL150" s="114" t="str">
        <f t="shared" si="169"/>
        <v/>
      </c>
      <c r="AM150" s="43"/>
    </row>
    <row r="151">
      <c r="A151" s="7" t="s">
        <v>178</v>
      </c>
      <c r="B151" s="12">
        <v>45034.0</v>
      </c>
      <c r="C151" s="73" t="str">
        <f t="shared" si="3"/>
        <v/>
      </c>
      <c r="D151" s="54">
        <f t="array" ref="D151">IF(OR(ISBLANK($A151),$C151),IFERROR(0/0,""),INDEX('RFR Data - preExcl'!E$2:E447,$R151,1))</f>
        <v>9</v>
      </c>
      <c r="E151" s="54">
        <f t="array" ref="E151">IF(OR(ISBLANK($A151),$C151),IFERROR(0/0,""),INDEX('RFR Data - preExcl'!Z$2:Z447,$R151,1))</f>
        <v>9</v>
      </c>
      <c r="F151" s="54">
        <f t="array" ref="F151">IF(OR(ISBLANK(A151),C151),IFERROR(0/0,""),INDEX('RFR Data - preExcl'!AC$2:AC447,$R151,1))</f>
        <v>7</v>
      </c>
      <c r="G151" s="54">
        <f t="array" ref="G151">IF(OR(ISBLANK(A151),C151),IFERROR(0/0,""),INDEX('RFR Data - preExcl'!AK$2:AK447,$R151,1))</f>
        <v>7</v>
      </c>
      <c r="H151" s="54">
        <f t="array" ref="H151">IF(OR(ISBLANK(A151),C151),IFERROR(0/0,""),INDEX('RFR Data - preExcl'!AL$2:AL447,$R151,1))</f>
        <v>0</v>
      </c>
      <c r="I151" s="54">
        <f>IFERROR(VLOOKUP($B151,'APS Tubes by Date IMPORT'!$B$2:$J447,2,FALSE),"")</f>
        <v>10</v>
      </c>
      <c r="J151" s="54" t="b">
        <f>IFERROR(VLOOKUP($B151,'APS Tubes by Date IMPORT'!$B$2:$J447,9,FALSE),"")</f>
        <v>1</v>
      </c>
      <c r="K151" s="54">
        <f>IFNA(VLOOKUP($B151,'APS Tubes by Date IMPORT'!$B$2:$J447,6,FALSE),"")</f>
        <v>0</v>
      </c>
      <c r="L151" s="74">
        <f t="shared" si="167"/>
        <v>7</v>
      </c>
      <c r="M151" s="89">
        <v>-3.0</v>
      </c>
      <c r="N151" s="108">
        <v>8.0</v>
      </c>
      <c r="O151" s="109"/>
      <c r="P151" s="77" t="str">
        <f>IF(ISBLANK(N151),IFERROR(0/0,""),IFERROR(VLOOKUP(N151, 'Process Ref'!$A$76:$D$124, 2, FALSE), IFERROR(0/0,"")))</f>
        <v>Use Audit RFR count (tube in Appivo not in RFR)</v>
      </c>
      <c r="Q151" s="77"/>
      <c r="R151" s="78">
        <f>IFNA(MATCH(A151,'RFR Data - preExcl'!A$2:A447,0),"")</f>
        <v>214</v>
      </c>
      <c r="S151" s="43"/>
      <c r="T151" s="18" t="str">
        <f>IF(EXACT('RFR Data - preExcl'!W151,"Initial"),'RFR Data - preExcl'!A151,IFERROR(0/0,""))</f>
        <v>RUN-ABRM_2023-02-06_RFR-150</v>
      </c>
      <c r="U151" s="79">
        <f>IF(EXACT('RFR Data - preExcl'!W151,"Initial"),'RFR Data - preExcl'!U151,IFERROR(0/0,""))</f>
        <v>44963</v>
      </c>
      <c r="V151" s="117"/>
      <c r="X151" s="43"/>
      <c r="AC151" s="70"/>
      <c r="AF151" s="70"/>
      <c r="AG151" s="74">
        <v>9.0</v>
      </c>
      <c r="AH151" s="54">
        <v>-1.0</v>
      </c>
      <c r="AI151" s="108">
        <v>8.0</v>
      </c>
      <c r="AJ151" s="55"/>
      <c r="AK151" s="55"/>
      <c r="AL151" s="55" t="str">
        <f>IF(AI151=N151,IFERROR(0/0,""),FALSE)</f>
        <v/>
      </c>
      <c r="AM151" s="43"/>
    </row>
    <row r="152">
      <c r="A152" s="120" t="s">
        <v>177</v>
      </c>
      <c r="B152" s="121">
        <v>45034.0</v>
      </c>
      <c r="C152" s="122" t="b">
        <f t="shared" si="3"/>
        <v>1</v>
      </c>
      <c r="D152" s="123" t="str">
        <f t="array" ref="D152">IF(OR(ISBLANK($A152),$C152),IFERROR(0/0,""),INDEX('RFR Data - preExcl'!E$2:E447,$R152,1))</f>
        <v/>
      </c>
      <c r="E152" s="123" t="str">
        <f t="array" ref="E152">IF(OR(ISBLANK($A152),$C152),IFERROR(0/0,""),INDEX('RFR Data - preExcl'!Z$2:Z447,$R152,1))</f>
        <v/>
      </c>
      <c r="F152" s="123" t="str">
        <f t="array" ref="F152">IF(OR(ISBLANK(A152),C152),IFERROR(0/0,""),INDEX('RFR Data - preExcl'!AC$2:AC447,$R152,1))</f>
        <v/>
      </c>
      <c r="G152" s="123" t="str">
        <f t="array" ref="G152">IF(OR(ISBLANK(A152),C152),IFERROR(0/0,""),INDEX('RFR Data - preExcl'!AK$2:AK447,$R152,1))</f>
        <v/>
      </c>
      <c r="H152" s="123" t="str">
        <f t="array" ref="H152">IF(OR(ISBLANK(A152),C152),IFERROR(0/0,""),INDEX('RFR Data - preExcl'!AL$2:AL447,$R152,1))</f>
        <v/>
      </c>
      <c r="I152" s="123">
        <f>IFERROR(VLOOKUP($B152,'APS Tubes by Date IMPORT'!$B$2:$J447,2,FALSE),"")</f>
        <v>10</v>
      </c>
      <c r="J152" s="123" t="b">
        <f>IFERROR(VLOOKUP($B152,'APS Tubes by Date IMPORT'!$B$2:$J447,9,FALSE),"")</f>
        <v>1</v>
      </c>
      <c r="K152" s="123">
        <f>IFNA(VLOOKUP($B152,'APS Tubes by Date IMPORT'!$B$2:$J447,6,FALSE),"")</f>
        <v>0</v>
      </c>
      <c r="L152" s="111">
        <f>I151-L151</f>
        <v>3</v>
      </c>
      <c r="M152" s="89">
        <v>0.0</v>
      </c>
      <c r="N152" s="112">
        <v>3.5</v>
      </c>
      <c r="O152" s="109"/>
      <c r="P152" s="113" t="str">
        <f>IF(ISBLANK(N152),IFERROR(0/0,""),IFERROR(VLOOKUP(N152, 'Process Ref'!$A$76:$D$124, 2, FALSE), IFERROR(0/0,"")))</f>
        <v>Add Run from APS with no RFR (extra APS tube and conclude done in sep run with no RFR)</v>
      </c>
      <c r="Q152" s="77"/>
      <c r="R152" s="124" t="str">
        <f>IFNA(MATCH(A152,'RFR Data - preExcl'!A$2:A447,0),"")</f>
        <v/>
      </c>
      <c r="S152" s="43"/>
      <c r="T152" s="18" t="str">
        <f>IF(EXACT('RFR Data - preExcl'!W152,"Initial"),'RFR Data - preExcl'!A152,IFERROR(0/0,""))</f>
        <v>RUN-ABRM_2023-02-08_RFR-151</v>
      </c>
      <c r="U152" s="79">
        <f>IF(EXACT('RFR Data - preExcl'!W152,"Initial"),'RFR Data - preExcl'!U152,IFERROR(0/0,""))</f>
        <v>44965</v>
      </c>
      <c r="V152" s="117"/>
      <c r="X152" s="43"/>
      <c r="AC152" s="70"/>
      <c r="AF152" s="70"/>
      <c r="AJ152" s="55"/>
      <c r="AK152" s="55"/>
      <c r="AL152" s="55" t="str">
        <f>IF(AI153=N153,IFERROR(0/0,""),FALSE)</f>
        <v/>
      </c>
      <c r="AM152" s="43"/>
    </row>
    <row r="153">
      <c r="A153" s="7" t="s">
        <v>179</v>
      </c>
      <c r="B153" s="12">
        <v>45035.0</v>
      </c>
      <c r="C153" s="73" t="str">
        <f t="shared" si="3"/>
        <v/>
      </c>
      <c r="D153" s="54">
        <f t="array" ref="D153">IF(OR(ISBLANK($A153),$C153),IFERROR(0/0,""),INDEX('RFR Data - preExcl'!E$2:E447,$R153,1))</f>
        <v>8</v>
      </c>
      <c r="E153" s="54">
        <f t="array" ref="E153">IF(OR(ISBLANK($A153),$C153),IFERROR(0/0,""),INDEX('RFR Data - preExcl'!Z$2:Z447,$R153,1))</f>
        <v>8</v>
      </c>
      <c r="F153" s="54">
        <f t="array" ref="F153">IF(OR(ISBLANK(A153),C153),IFERROR(0/0,""),INDEX('RFR Data - preExcl'!AC$2:AC447,$R153,1))</f>
        <v>6</v>
      </c>
      <c r="G153" s="54">
        <f t="array" ref="G153">IF(OR(ISBLANK(A153),C153),IFERROR(0/0,""),INDEX('RFR Data - preExcl'!AK$2:AK447,$R153,1))</f>
        <v>6</v>
      </c>
      <c r="H153" s="54">
        <f t="array" ref="H153">IF(OR(ISBLANK(A153),C153),IFERROR(0/0,""),INDEX('RFR Data - preExcl'!AL$2:AL447,$R153,1))</f>
        <v>0</v>
      </c>
      <c r="I153" s="54">
        <f>IFERROR(VLOOKUP($B153,'APS Tubes by Date IMPORT'!$B$2:$J447,2,FALSE),"")</f>
        <v>5</v>
      </c>
      <c r="J153" s="54" t="str">
        <f>IFERROR(VLOOKUP($B153,'APS Tubes by Date IMPORT'!$B$2:$J447,9,FALSE),"")</f>
        <v/>
      </c>
      <c r="K153" s="54">
        <f>IFNA(VLOOKUP($B153,'APS Tubes by Date IMPORT'!$B$2:$J447,6,FALSE),"")</f>
        <v>0</v>
      </c>
      <c r="L153" s="126">
        <f t="shared" ref="L153:L156" si="171">G153</f>
        <v>6</v>
      </c>
      <c r="M153" s="127">
        <v>1.0</v>
      </c>
      <c r="N153" s="133">
        <v>2.0</v>
      </c>
      <c r="O153" s="76" t="b">
        <f t="shared" ref="O153:O170" si="172">IF(ISBLANK(M157),IFERROR(0/0,""),IF($CC149&lt;=4,TRUE,IFERROR(0/0,"")))</f>
        <v>1</v>
      </c>
      <c r="P153" s="129" t="str">
        <f>IF(ISBLANK(N153),IFERROR(0/0,""),IFERROR(VLOOKUP(N153, 'Process Ref'!$A$76:$D$124, 2, FALSE), IFERROR(0/0,"")))</f>
        <v>Use Audit RFR count (extra tubes in RFR not in Appivo)</v>
      </c>
      <c r="Q153" s="130" t="s">
        <v>251</v>
      </c>
      <c r="R153" s="78">
        <f>IFNA(MATCH(A153,'RFR Data - preExcl'!A$2:A447,0),"")</f>
        <v>215</v>
      </c>
      <c r="S153" s="43"/>
      <c r="T153" s="18" t="str">
        <f>IF(EXACT('RFR Data - preExcl'!W153,"Initial"),'RFR Data - preExcl'!A153,IFERROR(0/0,""))</f>
        <v/>
      </c>
      <c r="U153" s="18" t="str">
        <f>IF(EXACT('RFR Data - preExcl'!W153,"Initial"),'RFR Data - preExcl'!U153,IFERROR(0/0,""))</f>
        <v/>
      </c>
      <c r="V153" s="117"/>
      <c r="X153" s="43"/>
      <c r="AC153" s="70"/>
      <c r="AF153" s="70"/>
      <c r="AG153" s="74">
        <v>6.0</v>
      </c>
      <c r="AH153" s="54">
        <v>1.0</v>
      </c>
      <c r="AI153" s="134">
        <v>2.0</v>
      </c>
      <c r="AJ153" s="114" t="str">
        <f t="shared" ref="AJ153:AL153" si="170">IF(AG153=L153,IFERROR(0/0,""),FALSE)</f>
        <v/>
      </c>
      <c r="AK153" s="114" t="str">
        <f t="shared" si="170"/>
        <v/>
      </c>
      <c r="AL153" s="114" t="str">
        <f t="shared" si="170"/>
        <v/>
      </c>
      <c r="AM153" s="43"/>
    </row>
    <row r="154">
      <c r="A154" s="7" t="s">
        <v>180</v>
      </c>
      <c r="B154" s="12">
        <v>45036.0</v>
      </c>
      <c r="C154" s="73" t="str">
        <f t="shared" si="3"/>
        <v/>
      </c>
      <c r="D154" s="54">
        <f t="array" ref="D154">IF(OR(ISBLANK($A154),$C154),IFERROR(0/0,""),INDEX('RFR Data - preExcl'!E$2:E447,$R154,1))</f>
        <v>10</v>
      </c>
      <c r="E154" s="54">
        <f t="array" ref="E154">IF(OR(ISBLANK($A154),$C154),IFERROR(0/0,""),INDEX('RFR Data - preExcl'!Z$2:Z447,$R154,1))</f>
        <v>10</v>
      </c>
      <c r="F154" s="54">
        <f t="array" ref="F154">IF(OR(ISBLANK(A154),C154),IFERROR(0/0,""),INDEX('RFR Data - preExcl'!AC$2:AC447,$R154,1))</f>
        <v>8</v>
      </c>
      <c r="G154" s="54">
        <f t="array" ref="G154">IF(OR(ISBLANK(A154),C154),IFERROR(0/0,""),INDEX('RFR Data - preExcl'!AK$2:AK447,$R154,1))</f>
        <v>8</v>
      </c>
      <c r="H154" s="54">
        <f t="array" ref="H154">IF(OR(ISBLANK(A154),C154),IFERROR(0/0,""),INDEX('RFR Data - preExcl'!AL$2:AL447,$R154,1))</f>
        <v>1.1</v>
      </c>
      <c r="I154" s="54">
        <f>IFERROR(VLOOKUP($B154,'APS Tubes by Date IMPORT'!$B$2:$J447,2,FALSE),"")</f>
        <v>8</v>
      </c>
      <c r="J154" s="54" t="str">
        <f>IFERROR(VLOOKUP($B154,'APS Tubes by Date IMPORT'!$B$2:$J447,9,FALSE),"")</f>
        <v/>
      </c>
      <c r="K154" s="54">
        <f>IFNA(VLOOKUP($B154,'APS Tubes by Date IMPORT'!$B$2:$J447,6,FALSE),"")</f>
        <v>0</v>
      </c>
      <c r="L154" s="74">
        <f t="shared" si="171"/>
        <v>8</v>
      </c>
      <c r="M154" s="89">
        <v>0.0</v>
      </c>
      <c r="N154" s="116">
        <v>0.0</v>
      </c>
      <c r="O154" s="76" t="b">
        <f t="shared" si="172"/>
        <v>1</v>
      </c>
      <c r="P154" s="77" t="str">
        <f>IF(ISBLANK(N154),IFERROR(0/0,""),IFERROR(VLOOKUP(N154, 'Process Ref'!$A$76:$D$124, 2, FALSE), IFERROR(0/0,"")))</f>
        <v>ALL 3 COUNTS SAME meaning APS Collect = APS Result = RFR</v>
      </c>
      <c r="Q154" s="77"/>
      <c r="R154" s="78">
        <f>IFNA(MATCH(A154,'RFR Data - preExcl'!A$2:A447,0),"")</f>
        <v>216</v>
      </c>
      <c r="S154" s="43"/>
      <c r="T154" s="18" t="str">
        <f>IF(EXACT('RFR Data - preExcl'!W154,"Initial"),'RFR Data - preExcl'!A154,IFERROR(0/0,""))</f>
        <v>RUN-ABRM_2023-02-09_RFR-153</v>
      </c>
      <c r="U154" s="79">
        <f>IF(EXACT('RFR Data - preExcl'!W154,"Initial"),'RFR Data - preExcl'!U154,IFERROR(0/0,""))</f>
        <v>44966</v>
      </c>
      <c r="V154" s="117"/>
      <c r="X154" s="43"/>
      <c r="AC154" s="70"/>
      <c r="AF154" s="70"/>
      <c r="AG154" s="74">
        <v>8.0</v>
      </c>
      <c r="AH154" s="54">
        <v>0.0</v>
      </c>
      <c r="AI154" s="116">
        <v>0.0</v>
      </c>
      <c r="AJ154" s="114" t="str">
        <f t="shared" ref="AJ154:AL154" si="173">IF(AG154=L154,IFERROR(0/0,""),FALSE)</f>
        <v/>
      </c>
      <c r="AK154" s="114" t="str">
        <f t="shared" si="173"/>
        <v/>
      </c>
      <c r="AL154" s="114" t="str">
        <f t="shared" si="173"/>
        <v/>
      </c>
      <c r="AM154" s="43"/>
    </row>
    <row r="155">
      <c r="A155" s="7" t="s">
        <v>181</v>
      </c>
      <c r="B155" s="12">
        <v>45037.0</v>
      </c>
      <c r="C155" s="73" t="str">
        <f t="shared" si="3"/>
        <v/>
      </c>
      <c r="D155" s="54">
        <f t="array" ref="D155">IF(OR(ISBLANK($A155),$C155),IFERROR(0/0,""),INDEX('RFR Data - preExcl'!E$2:E447,$R155,1))</f>
        <v>5</v>
      </c>
      <c r="E155" s="54">
        <f t="array" ref="E155">IF(OR(ISBLANK($A155),$C155),IFERROR(0/0,""),INDEX('RFR Data - preExcl'!Z$2:Z447,$R155,1))</f>
        <v>8</v>
      </c>
      <c r="F155" s="54">
        <f t="array" ref="F155">IF(OR(ISBLANK(A155),C155),IFERROR(0/0,""),INDEX('RFR Data - preExcl'!AC$2:AC447,$R155,1))</f>
        <v>6</v>
      </c>
      <c r="G155" s="54">
        <f t="array" ref="G155">IF(OR(ISBLANK(A155),C155),IFERROR(0/0,""),INDEX('RFR Data - preExcl'!AK$2:AK447,$R155,1))</f>
        <v>6</v>
      </c>
      <c r="H155" s="54">
        <f t="array" ref="H155">IF(OR(ISBLANK(A155),C155),IFERROR(0/0,""),INDEX('RFR Data - preExcl'!AL$2:AL447,$R155,1))</f>
        <v>0</v>
      </c>
      <c r="I155" s="54">
        <f>IFERROR(VLOOKUP($B155,'APS Tubes by Date IMPORT'!$B$2:$J447,2,FALSE),"")</f>
        <v>4</v>
      </c>
      <c r="J155" s="54" t="b">
        <f>IFERROR(VLOOKUP($B155,'APS Tubes by Date IMPORT'!$B$2:$J447,9,FALSE),"")</f>
        <v>1</v>
      </c>
      <c r="K155" s="54">
        <f>IFNA(VLOOKUP($B155,'APS Tubes by Date IMPORT'!$B$2:$J447,6,FALSE),"")</f>
        <v>0</v>
      </c>
      <c r="L155" s="74">
        <f t="shared" si="171"/>
        <v>6</v>
      </c>
      <c r="M155" s="89">
        <v>2.0</v>
      </c>
      <c r="N155" s="75">
        <v>2.1</v>
      </c>
      <c r="O155" s="76" t="b">
        <f t="shared" si="172"/>
        <v>1</v>
      </c>
      <c r="P155" s="77" t="str">
        <f>IF(ISBLANK(N155),IFERROR(0/0,""),IFERROR(VLOOKUP(N155, 'Process Ref'!$A$76:$D$124, 2, FALSE), IFERROR(0/0,"")))</f>
        <v>Use Audit RFR count (extra tubes in RFR not in Appivo) after Null called Neg</v>
      </c>
      <c r="Q155" s="77" t="s">
        <v>231</v>
      </c>
      <c r="R155" s="78">
        <f>IFNA(MATCH(A155,'RFR Data - preExcl'!A$2:A447,0),"")</f>
        <v>217</v>
      </c>
      <c r="S155" s="43"/>
      <c r="T155" s="18" t="str">
        <f>IF(EXACT('RFR Data - preExcl'!W155,"Initial"),'RFR Data - preExcl'!A155,IFERROR(0/0,""))</f>
        <v>RUN-ABRM_2023-02-10_RFR-154</v>
      </c>
      <c r="U155" s="79">
        <f>IF(EXACT('RFR Data - preExcl'!W155,"Initial"),'RFR Data - preExcl'!U155,IFERROR(0/0,""))</f>
        <v>44967</v>
      </c>
      <c r="V155" s="117"/>
      <c r="X155" s="43"/>
      <c r="AC155" s="70"/>
      <c r="AF155" s="70"/>
      <c r="AG155" s="74">
        <v>6.0</v>
      </c>
      <c r="AH155" s="54">
        <v>2.0</v>
      </c>
      <c r="AI155" s="75">
        <v>2.1</v>
      </c>
      <c r="AJ155" s="114" t="str">
        <f t="shared" ref="AJ155:AL155" si="174">IF(AG155=L155,IFERROR(0/0,""),FALSE)</f>
        <v/>
      </c>
      <c r="AK155" s="114" t="str">
        <f t="shared" si="174"/>
        <v/>
      </c>
      <c r="AL155" s="114" t="str">
        <f t="shared" si="174"/>
        <v/>
      </c>
      <c r="AM155" s="43"/>
    </row>
    <row r="156">
      <c r="A156" s="7" t="s">
        <v>182</v>
      </c>
      <c r="B156" s="12">
        <v>45040.0</v>
      </c>
      <c r="C156" s="73" t="str">
        <f t="shared" si="3"/>
        <v/>
      </c>
      <c r="D156" s="54">
        <f t="array" ref="D156">IF(OR(ISBLANK($A156),$C156),IFERROR(0/0,""),INDEX('RFR Data - preExcl'!E$2:E447,$R156,1))</f>
        <v>12</v>
      </c>
      <c r="E156" s="54">
        <f t="array" ref="E156">IF(OR(ISBLANK($A156),$C156),IFERROR(0/0,""),INDEX('RFR Data - preExcl'!Z$2:Z447,$R156,1))</f>
        <v>12</v>
      </c>
      <c r="F156" s="54">
        <f t="array" ref="F156">IF(OR(ISBLANK(A156),C156),IFERROR(0/0,""),INDEX('RFR Data - preExcl'!AC$2:AC447,$R156,1))</f>
        <v>10</v>
      </c>
      <c r="G156" s="54">
        <f t="array" ref="G156">IF(OR(ISBLANK(A156),C156),IFERROR(0/0,""),INDEX('RFR Data - preExcl'!AK$2:AK447,$R156,1))</f>
        <v>10</v>
      </c>
      <c r="H156" s="54">
        <f t="array" ref="H156">IF(OR(ISBLANK(A156),C156),IFERROR(0/0,""),INDEX('RFR Data - preExcl'!AL$2:AL447,$R156,1))</f>
        <v>0</v>
      </c>
      <c r="I156" s="54">
        <f>IFERROR(VLOOKUP($B156,'APS Tubes by Date IMPORT'!$B$2:$J447,2,FALSE),"")</f>
        <v>9</v>
      </c>
      <c r="J156" s="54" t="str">
        <f>IFERROR(VLOOKUP($B156,'APS Tubes by Date IMPORT'!$B$2:$J447,9,FALSE),"")</f>
        <v/>
      </c>
      <c r="K156" s="54">
        <f>IFNA(VLOOKUP($B156,'APS Tubes by Date IMPORT'!$B$2:$J447,6,FALSE),"")</f>
        <v>0</v>
      </c>
      <c r="L156" s="74">
        <f t="shared" si="171"/>
        <v>10</v>
      </c>
      <c r="M156" s="89">
        <v>1.0</v>
      </c>
      <c r="N156" s="75">
        <v>2.1</v>
      </c>
      <c r="O156" s="76" t="b">
        <f t="shared" si="172"/>
        <v>1</v>
      </c>
      <c r="P156" s="77" t="str">
        <f>IF(ISBLANK(N156),IFERROR(0/0,""),IFERROR(VLOOKUP(N156, 'Process Ref'!$A$76:$D$124, 2, FALSE), IFERROR(0/0,"")))</f>
        <v>Use Audit RFR count (extra tubes in RFR not in Appivo) after Null called Neg</v>
      </c>
      <c r="Q156" s="77" t="s">
        <v>231</v>
      </c>
      <c r="R156" s="78">
        <f>IFNA(MATCH(A156,'RFR Data - preExcl'!A$2:A447,0),"")</f>
        <v>219</v>
      </c>
      <c r="S156" s="43"/>
      <c r="T156" s="18" t="str">
        <f>IF(EXACT('RFR Data - preExcl'!W156,"Initial"),'RFR Data - preExcl'!A156,IFERROR(0/0,""))</f>
        <v/>
      </c>
      <c r="U156" s="18" t="str">
        <f>IF(EXACT('RFR Data - preExcl'!W156,"Initial"),'RFR Data - preExcl'!U156,IFERROR(0/0,""))</f>
        <v/>
      </c>
      <c r="V156" s="117"/>
      <c r="X156" s="43"/>
      <c r="AC156" s="70"/>
      <c r="AF156" s="70"/>
      <c r="AG156" s="74">
        <v>10.0</v>
      </c>
      <c r="AH156" s="54">
        <v>1.0</v>
      </c>
      <c r="AI156" s="75">
        <v>2.1</v>
      </c>
      <c r="AJ156" s="114" t="str">
        <f t="shared" ref="AJ156:AL156" si="175">IF(AG156=L156,IFERROR(0/0,""),FALSE)</f>
        <v/>
      </c>
      <c r="AK156" s="114" t="str">
        <f t="shared" si="175"/>
        <v/>
      </c>
      <c r="AL156" s="114" t="str">
        <f t="shared" si="175"/>
        <v/>
      </c>
      <c r="AM156" s="43"/>
    </row>
    <row r="157">
      <c r="A157" s="7" t="s">
        <v>183</v>
      </c>
      <c r="B157" s="12">
        <v>45041.0</v>
      </c>
      <c r="C157" s="73" t="b">
        <f t="shared" si="3"/>
        <v>1</v>
      </c>
      <c r="D157" s="54" t="str">
        <f t="array" ref="D157">IF(OR(ISBLANK($A157),$C157),IFERROR(0/0,""),INDEX('RFR Data - preExcl'!E$2:E447,$R157,1))</f>
        <v/>
      </c>
      <c r="E157" s="54" t="str">
        <f t="array" ref="E157">IF(OR(ISBLANK($A157),$C157),IFERROR(0/0,""),INDEX('RFR Data - preExcl'!Z$2:Z447,$R157,1))</f>
        <v/>
      </c>
      <c r="F157" s="54" t="str">
        <f t="array" ref="F157">IF(OR(ISBLANK(A157),C157),IFERROR(0/0,""),INDEX('RFR Data - preExcl'!AC$2:AC447,$R157,1))</f>
        <v/>
      </c>
      <c r="G157" s="54" t="str">
        <f t="array" ref="G157">IF(OR(ISBLANK(A157),C157),IFERROR(0/0,""),INDEX('RFR Data - preExcl'!AK$2:AK447,$R157,1))</f>
        <v/>
      </c>
      <c r="H157" s="54" t="str">
        <f t="array" ref="H157">IF(OR(ISBLANK(A157),C157),IFERROR(0/0,""),INDEX('RFR Data - preExcl'!AL$2:AL447,$R157,1))</f>
        <v/>
      </c>
      <c r="I157" s="54">
        <f>IFERROR(VLOOKUP($B157,'APS Tubes by Date IMPORT'!$B$2:$J447,2,FALSE),"")</f>
        <v>5</v>
      </c>
      <c r="J157" s="54" t="str">
        <f>IFERROR(VLOOKUP($B157,'APS Tubes by Date IMPORT'!$B$2:$J447,9,FALSE),"")</f>
        <v/>
      </c>
      <c r="K157" s="54">
        <f>IFNA(VLOOKUP($B157,'APS Tubes by Date IMPORT'!$B$2:$J447,6,FALSE),"")</f>
        <v>0</v>
      </c>
      <c r="L157" s="111">
        <f t="shared" ref="L157:L159" si="177">I157</f>
        <v>5</v>
      </c>
      <c r="M157" s="89">
        <v>0.0</v>
      </c>
      <c r="N157" s="112">
        <v>3.4</v>
      </c>
      <c r="O157" s="76" t="b">
        <f t="shared" si="172"/>
        <v>1</v>
      </c>
      <c r="P157" s="77" t="str">
        <f>IF(ISBLANK(#REF!),IFERROR(0/0,""),IFERROR(VLOOKUP(#REF!, 'Process Ref'!$A$76:$D$124, 2, FALSE), IFERROR(0/0,"")))</f>
        <v/>
      </c>
      <c r="Q157" s="77"/>
      <c r="R157" s="78" t="str">
        <f>IFNA(MATCH(A157,'RFR Data - preExcl'!A$2:A447,0),"")</f>
        <v/>
      </c>
      <c r="S157" s="43"/>
      <c r="T157" s="18" t="str">
        <f>IF(EXACT('RFR Data - preExcl'!W157,"Initial"),'RFR Data - preExcl'!A157,IFERROR(0/0,""))</f>
        <v>RUN-ABRM_2023-02-13_RFR-156</v>
      </c>
      <c r="U157" s="79">
        <f>IF(EXACT('RFR Data - preExcl'!W157,"Initial"),'RFR Data - preExcl'!U157,IFERROR(0/0,""))</f>
        <v>44970</v>
      </c>
      <c r="V157" s="117"/>
      <c r="X157" s="43"/>
      <c r="AC157" s="70"/>
      <c r="AF157" s="70"/>
      <c r="AG157" s="111">
        <v>5.0</v>
      </c>
      <c r="AH157" s="54">
        <v>0.0</v>
      </c>
      <c r="AI157" s="112">
        <v>3.4</v>
      </c>
      <c r="AJ157" s="114" t="str">
        <f t="shared" ref="AJ157:AL157" si="176">IF(AG157=L157,IFERROR(0/0,""),FALSE)</f>
        <v/>
      </c>
      <c r="AK157" s="114" t="str">
        <f t="shared" si="176"/>
        <v/>
      </c>
      <c r="AL157" s="114" t="str">
        <f t="shared" si="176"/>
        <v/>
      </c>
      <c r="AM157" s="43"/>
    </row>
    <row r="158">
      <c r="A158" s="7" t="s">
        <v>184</v>
      </c>
      <c r="B158" s="12">
        <v>45042.0</v>
      </c>
      <c r="C158" s="73" t="b">
        <f t="shared" si="3"/>
        <v>1</v>
      </c>
      <c r="D158" s="54" t="str">
        <f t="array" ref="D158">IF(OR(ISBLANK($A158),$C158),IFERROR(0/0,""),INDEX('RFR Data - preExcl'!E$2:E447,$R158,1))</f>
        <v/>
      </c>
      <c r="E158" s="54" t="str">
        <f t="array" ref="E158">IF(OR(ISBLANK($A158),$C158),IFERROR(0/0,""),INDEX('RFR Data - preExcl'!Z$2:Z447,$R158,1))</f>
        <v/>
      </c>
      <c r="F158" s="54" t="str">
        <f t="array" ref="F158">IF(OR(ISBLANK(A158),C158),IFERROR(0/0,""),INDEX('RFR Data - preExcl'!AC$2:AC447,$R158,1))</f>
        <v/>
      </c>
      <c r="G158" s="54" t="str">
        <f t="array" ref="G158">IF(OR(ISBLANK(A158),C158),IFERROR(0/0,""),INDEX('RFR Data - preExcl'!AK$2:AK447,$R158,1))</f>
        <v/>
      </c>
      <c r="H158" s="54" t="str">
        <f t="array" ref="H158">IF(OR(ISBLANK(A158),C158),IFERROR(0/0,""),INDEX('RFR Data - preExcl'!AL$2:AL447,$R158,1))</f>
        <v/>
      </c>
      <c r="I158" s="54">
        <f>IFERROR(VLOOKUP($B158,'APS Tubes by Date IMPORT'!$B$2:$J447,2,FALSE),"")</f>
        <v>5</v>
      </c>
      <c r="J158" s="54" t="str">
        <f>IFERROR(VLOOKUP($B158,'APS Tubes by Date IMPORT'!$B$2:$J447,9,FALSE),"")</f>
        <v/>
      </c>
      <c r="K158" s="54">
        <f>IFNA(VLOOKUP($B158,'APS Tubes by Date IMPORT'!$B$2:$J447,6,FALSE),"")</f>
        <v>0</v>
      </c>
      <c r="L158" s="111">
        <f t="shared" si="177"/>
        <v>5</v>
      </c>
      <c r="M158" s="89">
        <v>0.0</v>
      </c>
      <c r="N158" s="112">
        <v>3.4</v>
      </c>
      <c r="O158" s="76" t="b">
        <f t="shared" si="172"/>
        <v>1</v>
      </c>
      <c r="P158" s="77" t="str">
        <f>IF(ISBLANK(N157),IFERROR(0/0,""),IFERROR(VLOOKUP(N157, 'Process Ref'!$A$76:$D$124, 2, FALSE), IFERROR(0/0,"")))</f>
        <v>Add Run from APS with no RFR (assume run on same day as Collect, ignore Result day)</v>
      </c>
      <c r="Q158" s="77" t="s">
        <v>231</v>
      </c>
      <c r="R158" s="78" t="str">
        <f>IFNA(MATCH(A158,'RFR Data - preExcl'!A$2:A447,0),"")</f>
        <v/>
      </c>
      <c r="S158" s="43"/>
      <c r="T158" s="18" t="str">
        <f>IF(EXACT('RFR Data - preExcl'!W158,"Initial"),'RFR Data - preExcl'!A158,IFERROR(0/0,""))</f>
        <v/>
      </c>
      <c r="U158" s="18" t="str">
        <f>IF(EXACT('RFR Data - preExcl'!W158,"Initial"),'RFR Data - preExcl'!U158,IFERROR(0/0,""))</f>
        <v/>
      </c>
      <c r="V158" s="117"/>
      <c r="X158" s="43"/>
      <c r="AC158" s="70"/>
      <c r="AF158" s="70"/>
      <c r="AG158" s="111">
        <v>5.0</v>
      </c>
      <c r="AH158" s="54">
        <v>0.0</v>
      </c>
      <c r="AI158" s="112">
        <v>3.4</v>
      </c>
      <c r="AJ158" s="114" t="str">
        <f t="shared" ref="AJ158:AL158" si="178">IF(AG158=L158,IFERROR(0/0,""),FALSE)</f>
        <v/>
      </c>
      <c r="AK158" s="114" t="str">
        <f t="shared" si="178"/>
        <v/>
      </c>
      <c r="AL158" s="114" t="str">
        <f t="shared" si="178"/>
        <v/>
      </c>
      <c r="AM158" s="43"/>
    </row>
    <row r="159">
      <c r="A159" s="7" t="s">
        <v>185</v>
      </c>
      <c r="B159" s="12">
        <v>45043.0</v>
      </c>
      <c r="C159" s="73" t="b">
        <f t="shared" si="3"/>
        <v>1</v>
      </c>
      <c r="D159" s="54" t="str">
        <f t="array" ref="D159">IF(OR(ISBLANK($A159),$C159),IFERROR(0/0,""),INDEX('RFR Data - preExcl'!E$2:E447,$R159,1))</f>
        <v/>
      </c>
      <c r="E159" s="54" t="str">
        <f t="array" ref="E159">IF(OR(ISBLANK($A159),$C159),IFERROR(0/0,""),INDEX('RFR Data - preExcl'!Z$2:Z447,$R159,1))</f>
        <v/>
      </c>
      <c r="F159" s="54" t="str">
        <f t="array" ref="F159">IF(OR(ISBLANK(A159),C159),IFERROR(0/0,""),INDEX('RFR Data - preExcl'!AC$2:AC447,$R159,1))</f>
        <v/>
      </c>
      <c r="G159" s="54" t="str">
        <f t="array" ref="G159">IF(OR(ISBLANK(A159),C159),IFERROR(0/0,""),INDEX('RFR Data - preExcl'!AK$2:AK447,$R159,1))</f>
        <v/>
      </c>
      <c r="H159" s="54" t="str">
        <f t="array" ref="H159">IF(OR(ISBLANK(A159),C159),IFERROR(0/0,""),INDEX('RFR Data - preExcl'!AL$2:AL447,$R159,1))</f>
        <v/>
      </c>
      <c r="I159" s="54">
        <f>IFERROR(VLOOKUP($B159,'APS Tubes by Date IMPORT'!$B$2:$J447,2,FALSE),"")</f>
        <v>6</v>
      </c>
      <c r="J159" s="54" t="str">
        <f>IFERROR(VLOOKUP($B159,'APS Tubes by Date IMPORT'!$B$2:$J447,9,FALSE),"")</f>
        <v/>
      </c>
      <c r="K159" s="54">
        <f>IFNA(VLOOKUP($B159,'APS Tubes by Date IMPORT'!$B$2:$J447,6,FALSE),"")</f>
        <v>0</v>
      </c>
      <c r="L159" s="111">
        <f t="shared" si="177"/>
        <v>6</v>
      </c>
      <c r="M159" s="89">
        <v>0.0</v>
      </c>
      <c r="N159" s="112">
        <v>3.4</v>
      </c>
      <c r="O159" s="76" t="b">
        <f t="shared" si="172"/>
        <v>1</v>
      </c>
      <c r="P159" s="77" t="str">
        <f>IF(ISBLANK(N159),IFERROR(0/0,""),IFERROR(VLOOKUP(N159, 'Process Ref'!$A$76:$D$124, 2, FALSE), IFERROR(0/0,"")))</f>
        <v>Add Run from APS with no RFR (assume run on same day as Collect, ignore Result day)</v>
      </c>
      <c r="Q159" s="77"/>
      <c r="R159" s="78" t="str">
        <f>IFNA(MATCH(A159,'RFR Data - preExcl'!A$2:A447,0),"")</f>
        <v/>
      </c>
      <c r="S159" s="43"/>
      <c r="T159" s="18" t="str">
        <f>IF(EXACT('RFR Data - preExcl'!W159,"Initial"),'RFR Data - preExcl'!A159,IFERROR(0/0,""))</f>
        <v>RUN-ABRM_2023-02-14_RFR-158</v>
      </c>
      <c r="U159" s="79">
        <f>IF(EXACT('RFR Data - preExcl'!W159,"Initial"),'RFR Data - preExcl'!U159,IFERROR(0/0,""))</f>
        <v>44971</v>
      </c>
      <c r="V159" s="117"/>
      <c r="X159" s="43"/>
      <c r="AC159" s="70"/>
      <c r="AF159" s="70"/>
      <c r="AG159" s="111">
        <v>6.0</v>
      </c>
      <c r="AH159" s="54">
        <v>0.0</v>
      </c>
      <c r="AI159" s="112">
        <v>3.4</v>
      </c>
      <c r="AJ159" s="114" t="str">
        <f t="shared" ref="AJ159:AL159" si="179">IF(AG159=L159,IFERROR(0/0,""),FALSE)</f>
        <v/>
      </c>
      <c r="AK159" s="114" t="str">
        <f t="shared" si="179"/>
        <v/>
      </c>
      <c r="AL159" s="114" t="str">
        <f t="shared" si="179"/>
        <v/>
      </c>
      <c r="AM159" s="43"/>
    </row>
    <row r="160">
      <c r="A160" s="7" t="s">
        <v>186</v>
      </c>
      <c r="B160" s="12">
        <v>45044.0</v>
      </c>
      <c r="C160" s="73" t="str">
        <f t="shared" si="3"/>
        <v/>
      </c>
      <c r="D160" s="54">
        <f t="array" ref="D160">IF(OR(ISBLANK($A160),$C160),IFERROR(0/0,""),INDEX('RFR Data - preExcl'!E$2:E447,$R160,1))</f>
        <v>9</v>
      </c>
      <c r="E160" s="54">
        <f t="array" ref="E160">IF(OR(ISBLANK($A160),$C160),IFERROR(0/0,""),INDEX('RFR Data - preExcl'!Z$2:Z447,$R160,1))</f>
        <v>9</v>
      </c>
      <c r="F160" s="54">
        <f t="array" ref="F160">IF(OR(ISBLANK(A160),C160),IFERROR(0/0,""),INDEX('RFR Data - preExcl'!AC$2:AC447,$R160,1))</f>
        <v>7</v>
      </c>
      <c r="G160" s="54">
        <f t="array" ref="G160">IF(OR(ISBLANK(A160),C160),IFERROR(0/0,""),INDEX('RFR Data - preExcl'!AK$2:AK447,$R160,1))</f>
        <v>7</v>
      </c>
      <c r="H160" s="54">
        <f t="array" ref="H160">IF(OR(ISBLANK(A160),C160),IFERROR(0/0,""),INDEX('RFR Data - preExcl'!AL$2:AL447,$R160,1))</f>
        <v>0</v>
      </c>
      <c r="I160" s="54">
        <f>IFERROR(VLOOKUP($B160,'APS Tubes by Date IMPORT'!$B$2:$J447,2,FALSE),"")</f>
        <v>5</v>
      </c>
      <c r="J160" s="54" t="b">
        <f>IFERROR(VLOOKUP($B160,'APS Tubes by Date IMPORT'!$B$2:$J447,9,FALSE),"")</f>
        <v>1</v>
      </c>
      <c r="K160" s="54">
        <f>IFNA(VLOOKUP($B160,'APS Tubes by Date IMPORT'!$B$2:$J447,6,FALSE),"")</f>
        <v>0</v>
      </c>
      <c r="L160" s="74">
        <f>G160</f>
        <v>7</v>
      </c>
      <c r="M160" s="89">
        <v>2.0</v>
      </c>
      <c r="N160" s="134">
        <v>2.0</v>
      </c>
      <c r="O160" s="76" t="b">
        <f t="shared" si="172"/>
        <v>1</v>
      </c>
      <c r="P160" s="77" t="str">
        <f>IF(ISBLANK(N160),IFERROR(0/0,""),IFERROR(VLOOKUP(N160, 'Process Ref'!$A$76:$D$124, 2, FALSE), IFERROR(0/0,"")))</f>
        <v>Use Audit RFR count (extra tubes in RFR not in Appivo)</v>
      </c>
      <c r="Q160" s="77"/>
      <c r="R160" s="78">
        <f>IFNA(MATCH(A160,'RFR Data - preExcl'!A$2:A447,0),"")</f>
        <v>221</v>
      </c>
      <c r="S160" s="43"/>
      <c r="T160" s="18" t="str">
        <f>IF(EXACT('RFR Data - preExcl'!W160,"Initial"),'RFR Data - preExcl'!A160,IFERROR(0/0,""))</f>
        <v/>
      </c>
      <c r="U160" s="18" t="str">
        <f>IF(EXACT('RFR Data - preExcl'!W160,"Initial"),'RFR Data - preExcl'!U160,IFERROR(0/0,""))</f>
        <v/>
      </c>
      <c r="V160" s="117"/>
      <c r="X160" s="43"/>
      <c r="AC160" s="70"/>
      <c r="AF160" s="70"/>
      <c r="AG160" s="74">
        <v>7.0</v>
      </c>
      <c r="AH160" s="54">
        <v>2.0</v>
      </c>
      <c r="AI160" s="134">
        <v>2.0</v>
      </c>
      <c r="AJ160" s="114" t="str">
        <f t="shared" ref="AJ160:AL160" si="180">IF(AG160=L160,IFERROR(0/0,""),FALSE)</f>
        <v/>
      </c>
      <c r="AK160" s="114" t="str">
        <f t="shared" si="180"/>
        <v/>
      </c>
      <c r="AL160" s="114" t="str">
        <f t="shared" si="180"/>
        <v/>
      </c>
      <c r="AM160" s="43"/>
    </row>
    <row r="161">
      <c r="A161" s="7" t="s">
        <v>187</v>
      </c>
      <c r="B161" s="12">
        <v>45048.0</v>
      </c>
      <c r="C161" s="73" t="b">
        <f t="shared" si="3"/>
        <v>1</v>
      </c>
      <c r="D161" s="54" t="str">
        <f t="array" ref="D161">IF(OR(ISBLANK($A161),$C161),IFERROR(0/0,""),INDEX('RFR Data - preExcl'!E$2:E447,$R161,1))</f>
        <v/>
      </c>
      <c r="E161" s="54" t="str">
        <f t="array" ref="E161">IF(OR(ISBLANK($A161),$C161),IFERROR(0/0,""),INDEX('RFR Data - preExcl'!Z$2:Z447,$R161,1))</f>
        <v/>
      </c>
      <c r="F161" s="54" t="str">
        <f t="array" ref="F161">IF(OR(ISBLANK(A161),C161),IFERROR(0/0,""),INDEX('RFR Data - preExcl'!AC$2:AC447,$R161,1))</f>
        <v/>
      </c>
      <c r="G161" s="54" t="str">
        <f t="array" ref="G161">IF(OR(ISBLANK(A161),C161),IFERROR(0/0,""),INDEX('RFR Data - preExcl'!AK$2:AK447,$R161,1))</f>
        <v/>
      </c>
      <c r="H161" s="54" t="str">
        <f t="array" ref="H161">IF(OR(ISBLANK(A161),C161),IFERROR(0/0,""),INDEX('RFR Data - preExcl'!AL$2:AL447,$R161,1))</f>
        <v/>
      </c>
      <c r="I161" s="54">
        <f>IFERROR(VLOOKUP($B161,'APS Tubes by Date IMPORT'!$B$2:$J447,2,FALSE),"")</f>
        <v>7</v>
      </c>
      <c r="J161" s="54" t="b">
        <f>IFERROR(VLOOKUP($B161,'APS Tubes by Date IMPORT'!$B$2:$J447,9,FALSE),"")</f>
        <v>1</v>
      </c>
      <c r="K161" s="54">
        <f>IFNA(VLOOKUP($B161,'APS Tubes by Date IMPORT'!$B$2:$J447,6,FALSE),"")</f>
        <v>0</v>
      </c>
      <c r="L161" s="111">
        <f t="shared" ref="L161:L164" si="182">I161</f>
        <v>7</v>
      </c>
      <c r="M161" s="89">
        <v>0.0</v>
      </c>
      <c r="N161" s="112">
        <v>3.4</v>
      </c>
      <c r="O161" s="76" t="b">
        <f t="shared" si="172"/>
        <v>1</v>
      </c>
      <c r="P161" s="77" t="str">
        <f>IF(ISBLANK(N161),IFERROR(0/0,""),IFERROR(VLOOKUP(N161, 'Process Ref'!$A$76:$D$124, 2, FALSE), IFERROR(0/0,"")))</f>
        <v>Add Run from APS with no RFR (assume run on same day as Collect, ignore Result day)</v>
      </c>
      <c r="Q161" s="77"/>
      <c r="R161" s="78" t="str">
        <f>IFNA(MATCH(A161,'RFR Data - preExcl'!A$2:A447,0),"")</f>
        <v/>
      </c>
      <c r="S161" s="43"/>
      <c r="T161" s="18" t="str">
        <f>IF(EXACT('RFR Data - preExcl'!W161,"Initial"),'RFR Data - preExcl'!A161,IFERROR(0/0,""))</f>
        <v>RUN-ABRM_2023-02-15_RFR-160</v>
      </c>
      <c r="U161" s="79">
        <f>IF(EXACT('RFR Data - preExcl'!W161,"Initial"),'RFR Data - preExcl'!U161,IFERROR(0/0,""))</f>
        <v>44972</v>
      </c>
      <c r="V161" s="117"/>
      <c r="X161" s="43"/>
      <c r="AC161" s="70"/>
      <c r="AF161" s="70"/>
      <c r="AG161" s="111">
        <v>7.0</v>
      </c>
      <c r="AH161" s="54">
        <v>0.0</v>
      </c>
      <c r="AI161" s="112">
        <v>3.4</v>
      </c>
      <c r="AJ161" s="114" t="str">
        <f t="shared" ref="AJ161:AL161" si="181">IF(AG161=L161,IFERROR(0/0,""),FALSE)</f>
        <v/>
      </c>
      <c r="AK161" s="114" t="str">
        <f t="shared" si="181"/>
        <v/>
      </c>
      <c r="AL161" s="114" t="str">
        <f t="shared" si="181"/>
        <v/>
      </c>
      <c r="AM161" s="43"/>
    </row>
    <row r="162">
      <c r="A162" s="7" t="s">
        <v>188</v>
      </c>
      <c r="B162" s="12">
        <v>45049.0</v>
      </c>
      <c r="C162" s="73" t="b">
        <f t="shared" si="3"/>
        <v>1</v>
      </c>
      <c r="D162" s="54" t="str">
        <f t="array" ref="D162">IF(OR(ISBLANK($A162),$C162),IFERROR(0/0,""),INDEX('RFR Data - preExcl'!E$2:E447,$R162,1))</f>
        <v/>
      </c>
      <c r="E162" s="54" t="str">
        <f t="array" ref="E162">IF(OR(ISBLANK($A162),$C162),IFERROR(0/0,""),INDEX('RFR Data - preExcl'!Z$2:Z447,$R162,1))</f>
        <v/>
      </c>
      <c r="F162" s="54" t="str">
        <f t="array" ref="F162">IF(OR(ISBLANK(A162),C162),IFERROR(0/0,""),INDEX('RFR Data - preExcl'!AC$2:AC447,$R162,1))</f>
        <v/>
      </c>
      <c r="G162" s="54" t="str">
        <f t="array" ref="G162">IF(OR(ISBLANK(A162),C162),IFERROR(0/0,""),INDEX('RFR Data - preExcl'!AK$2:AK447,$R162,1))</f>
        <v/>
      </c>
      <c r="H162" s="54" t="str">
        <f t="array" ref="H162">IF(OR(ISBLANK(A162),C162),IFERROR(0/0,""),INDEX('RFR Data - preExcl'!AL$2:AL447,$R162,1))</f>
        <v/>
      </c>
      <c r="I162" s="54">
        <f>IFERROR(VLOOKUP($B162,'APS Tubes by Date IMPORT'!$B$2:$J447,2,FALSE),"")</f>
        <v>5</v>
      </c>
      <c r="J162" s="54" t="str">
        <f>IFERROR(VLOOKUP($B162,'APS Tubes by Date IMPORT'!$B$2:$J447,9,FALSE),"")</f>
        <v/>
      </c>
      <c r="K162" s="54">
        <f>IFNA(VLOOKUP($B162,'APS Tubes by Date IMPORT'!$B$2:$J447,6,FALSE),"")</f>
        <v>0</v>
      </c>
      <c r="L162" s="111">
        <f t="shared" si="182"/>
        <v>5</v>
      </c>
      <c r="M162" s="89">
        <v>0.0</v>
      </c>
      <c r="N162" s="112">
        <v>3.4</v>
      </c>
      <c r="O162" s="76" t="b">
        <f t="shared" si="172"/>
        <v>1</v>
      </c>
      <c r="P162" s="77" t="str">
        <f>IF(ISBLANK(N162),IFERROR(0/0,""),IFERROR(VLOOKUP(N162, 'Process Ref'!$A$76:$D$124, 2, FALSE), IFERROR(0/0,"")))</f>
        <v>Add Run from APS with no RFR (assume run on same day as Collect, ignore Result day)</v>
      </c>
      <c r="Q162" s="77"/>
      <c r="R162" s="78" t="str">
        <f>IFNA(MATCH(A162,'RFR Data - preExcl'!A$2:A447,0),"")</f>
        <v/>
      </c>
      <c r="S162" s="43"/>
      <c r="T162" s="18" t="str">
        <f>IF(EXACT('RFR Data - preExcl'!W162,"Initial"),'RFR Data - preExcl'!A162,IFERROR(0/0,""))</f>
        <v>RUN-ABRM_2023-02-16_RFR-161</v>
      </c>
      <c r="U162" s="79">
        <f>IF(EXACT('RFR Data - preExcl'!W162,"Initial"),'RFR Data - preExcl'!U162,IFERROR(0/0,""))</f>
        <v>44973</v>
      </c>
      <c r="V162" s="117"/>
      <c r="X162" s="43"/>
      <c r="AC162" s="70"/>
      <c r="AF162" s="70"/>
      <c r="AG162" s="111">
        <v>5.0</v>
      </c>
      <c r="AH162" s="54">
        <v>0.0</v>
      </c>
      <c r="AI162" s="112">
        <v>3.4</v>
      </c>
      <c r="AJ162" s="114" t="str">
        <f t="shared" ref="AJ162:AL162" si="183">IF(AG162=L162,IFERROR(0/0,""),FALSE)</f>
        <v/>
      </c>
      <c r="AK162" s="114" t="str">
        <f t="shared" si="183"/>
        <v/>
      </c>
      <c r="AL162" s="114" t="str">
        <f t="shared" si="183"/>
        <v/>
      </c>
      <c r="AM162" s="43"/>
    </row>
    <row r="163">
      <c r="A163" s="7" t="s">
        <v>189</v>
      </c>
      <c r="B163" s="12">
        <v>45050.0</v>
      </c>
      <c r="C163" s="73" t="b">
        <f t="shared" si="3"/>
        <v>1</v>
      </c>
      <c r="D163" s="54" t="str">
        <f t="array" ref="D163">IF(OR(ISBLANK($A163),$C163),IFERROR(0/0,""),INDEX('RFR Data - preExcl'!E$2:E447,$R163,1))</f>
        <v/>
      </c>
      <c r="E163" s="54" t="str">
        <f t="array" ref="E163">IF(OR(ISBLANK($A163),$C163),IFERROR(0/0,""),INDEX('RFR Data - preExcl'!Z$2:Z447,$R163,1))</f>
        <v/>
      </c>
      <c r="F163" s="54" t="str">
        <f t="array" ref="F163">IF(OR(ISBLANK(A163),C163),IFERROR(0/0,""),INDEX('RFR Data - preExcl'!AC$2:AC447,$R163,1))</f>
        <v/>
      </c>
      <c r="G163" s="54" t="str">
        <f t="array" ref="G163">IF(OR(ISBLANK(A163),C163),IFERROR(0/0,""),INDEX('RFR Data - preExcl'!AK$2:AK447,$R163,1))</f>
        <v/>
      </c>
      <c r="H163" s="54" t="str">
        <f t="array" ref="H163">IF(OR(ISBLANK(A163),C163),IFERROR(0/0,""),INDEX('RFR Data - preExcl'!AL$2:AL447,$R163,1))</f>
        <v/>
      </c>
      <c r="I163" s="54">
        <f>IFERROR(VLOOKUP($B163,'APS Tubes by Date IMPORT'!$B$2:$J447,2,FALSE),"")</f>
        <v>5</v>
      </c>
      <c r="J163" s="54" t="b">
        <f>IFERROR(VLOOKUP($B163,'APS Tubes by Date IMPORT'!$B$2:$J447,9,FALSE),"")</f>
        <v>1</v>
      </c>
      <c r="K163" s="54">
        <f>IFNA(VLOOKUP($B163,'APS Tubes by Date IMPORT'!$B$2:$J447,6,FALSE),"")</f>
        <v>0</v>
      </c>
      <c r="L163" s="111">
        <f t="shared" si="182"/>
        <v>5</v>
      </c>
      <c r="M163" s="89">
        <v>0.0</v>
      </c>
      <c r="N163" s="112">
        <v>3.4</v>
      </c>
      <c r="O163" s="76" t="b">
        <f t="shared" si="172"/>
        <v>1</v>
      </c>
      <c r="P163" s="77" t="str">
        <f>IF(ISBLANK(N163),IFERROR(0/0,""),IFERROR(VLOOKUP(N163, 'Process Ref'!$A$76:$D$124, 2, FALSE), IFERROR(0/0,"")))</f>
        <v>Add Run from APS with no RFR (assume run on same day as Collect, ignore Result day)</v>
      </c>
      <c r="Q163" s="77"/>
      <c r="R163" s="78" t="str">
        <f>IFNA(MATCH(A163,'RFR Data - preExcl'!A$2:A447,0),"")</f>
        <v/>
      </c>
      <c r="S163" s="43"/>
      <c r="T163" s="18" t="str">
        <f>IF(EXACT('RFR Data - preExcl'!W163,"Initial"),'RFR Data - preExcl'!A163,IFERROR(0/0,""))</f>
        <v>RUN-ABRM_2023-02-17_RFR-162</v>
      </c>
      <c r="U163" s="79">
        <f>IF(EXACT('RFR Data - preExcl'!W163,"Initial"),'RFR Data - preExcl'!U163,IFERROR(0/0,""))</f>
        <v>44974</v>
      </c>
      <c r="V163" s="117"/>
      <c r="X163" s="43"/>
      <c r="AC163" s="70"/>
      <c r="AF163" s="70"/>
      <c r="AG163" s="111">
        <v>5.0</v>
      </c>
      <c r="AH163" s="54">
        <v>0.0</v>
      </c>
      <c r="AI163" s="112">
        <v>3.4</v>
      </c>
      <c r="AJ163" s="114" t="str">
        <f t="shared" ref="AJ163:AL163" si="184">IF(AG163=L163,IFERROR(0/0,""),FALSE)</f>
        <v/>
      </c>
      <c r="AK163" s="114" t="str">
        <f t="shared" si="184"/>
        <v/>
      </c>
      <c r="AL163" s="114" t="str">
        <f t="shared" si="184"/>
        <v/>
      </c>
      <c r="AM163" s="43"/>
    </row>
    <row r="164">
      <c r="A164" s="7" t="s">
        <v>190</v>
      </c>
      <c r="B164" s="12">
        <v>45051.0</v>
      </c>
      <c r="C164" s="73" t="b">
        <f t="shared" si="3"/>
        <v>1</v>
      </c>
      <c r="D164" s="54" t="str">
        <f t="array" ref="D164">IF(OR(ISBLANK($A164),$C164),IFERROR(0/0,""),INDEX('RFR Data - preExcl'!E$2:E447,$R164,1))</f>
        <v/>
      </c>
      <c r="E164" s="54" t="str">
        <f t="array" ref="E164">IF(OR(ISBLANK($A164),$C164),IFERROR(0/0,""),INDEX('RFR Data - preExcl'!Z$2:Z447,$R164,1))</f>
        <v/>
      </c>
      <c r="F164" s="54" t="str">
        <f t="array" ref="F164">IF(OR(ISBLANK(A164),C164),IFERROR(0/0,""),INDEX('RFR Data - preExcl'!AC$2:AC447,$R164,1))</f>
        <v/>
      </c>
      <c r="G164" s="54" t="str">
        <f t="array" ref="G164">IF(OR(ISBLANK(A164),C164),IFERROR(0/0,""),INDEX('RFR Data - preExcl'!AK$2:AK447,$R164,1))</f>
        <v/>
      </c>
      <c r="H164" s="54" t="str">
        <f t="array" ref="H164">IF(OR(ISBLANK(A164),C164),IFERROR(0/0,""),INDEX('RFR Data - preExcl'!AL$2:AL447,$R164,1))</f>
        <v/>
      </c>
      <c r="I164" s="54">
        <f>IFERROR(VLOOKUP($B164,'APS Tubes by Date IMPORT'!$B$2:$J447,2,FALSE),"")</f>
        <v>5</v>
      </c>
      <c r="J164" s="54" t="str">
        <f>IFERROR(VLOOKUP($B164,'APS Tubes by Date IMPORT'!$B$2:$J447,9,FALSE),"")</f>
        <v/>
      </c>
      <c r="K164" s="54">
        <f>IFNA(VLOOKUP($B164,'APS Tubes by Date IMPORT'!$B$2:$J447,6,FALSE),"")</f>
        <v>0</v>
      </c>
      <c r="L164" s="111">
        <f t="shared" si="182"/>
        <v>5</v>
      </c>
      <c r="M164" s="89">
        <v>0.0</v>
      </c>
      <c r="N164" s="112">
        <v>3.4</v>
      </c>
      <c r="O164" s="76" t="b">
        <f t="shared" si="172"/>
        <v>1</v>
      </c>
      <c r="P164" s="77" t="str">
        <f>IF(ISBLANK(N164),IFERROR(0/0,""),IFERROR(VLOOKUP(N164, 'Process Ref'!$A$76:$D$124, 2, FALSE), IFERROR(0/0,"")))</f>
        <v>Add Run from APS with no RFR (assume run on same day as Collect, ignore Result day)</v>
      </c>
      <c r="Q164" s="77"/>
      <c r="R164" s="78" t="str">
        <f>IFNA(MATCH(A164,'RFR Data - preExcl'!A$2:A447,0),"")</f>
        <v/>
      </c>
      <c r="S164" s="43"/>
      <c r="T164" s="18" t="str">
        <f>IF(EXACT('RFR Data - preExcl'!W164,"Initial"),'RFR Data - preExcl'!A164,IFERROR(0/0,""))</f>
        <v>RUN-ABRM_2023-02-20_RFR-163</v>
      </c>
      <c r="U164" s="79">
        <f>IF(EXACT('RFR Data - preExcl'!W164,"Initial"),'RFR Data - preExcl'!U164,IFERROR(0/0,""))</f>
        <v>44977</v>
      </c>
      <c r="V164" s="117"/>
      <c r="X164" s="43"/>
      <c r="AC164" s="70"/>
      <c r="AF164" s="70"/>
      <c r="AG164" s="111">
        <v>5.0</v>
      </c>
      <c r="AH164" s="54">
        <v>0.0</v>
      </c>
      <c r="AI164" s="112">
        <v>3.4</v>
      </c>
      <c r="AJ164" s="114" t="str">
        <f t="shared" ref="AJ164:AL164" si="185">IF(AG164=L164,IFERROR(0/0,""),FALSE)</f>
        <v/>
      </c>
      <c r="AK164" s="114" t="str">
        <f t="shared" si="185"/>
        <v/>
      </c>
      <c r="AL164" s="114" t="str">
        <f t="shared" si="185"/>
        <v/>
      </c>
      <c r="AM164" s="43"/>
    </row>
    <row r="165">
      <c r="A165" s="7" t="s">
        <v>191</v>
      </c>
      <c r="B165" s="12">
        <v>45054.0</v>
      </c>
      <c r="C165" s="73" t="str">
        <f t="shared" si="3"/>
        <v/>
      </c>
      <c r="D165" s="54">
        <f t="array" ref="D165">IF(OR(ISBLANK($A165),$C165),IFERROR(0/0,""),INDEX('RFR Data - preExcl'!E$2:E447,$R165,1))</f>
        <v>9</v>
      </c>
      <c r="E165" s="54">
        <f t="array" ref="E165">IF(OR(ISBLANK($A165),$C165),IFERROR(0/0,""),INDEX('RFR Data - preExcl'!Z$2:Z447,$R165,1))</f>
        <v>9</v>
      </c>
      <c r="F165" s="54">
        <f t="array" ref="F165">IF(OR(ISBLANK(A165),C165),IFERROR(0/0,""),INDEX('RFR Data - preExcl'!AC$2:AC447,$R165,1))</f>
        <v>7</v>
      </c>
      <c r="G165" s="54">
        <f t="array" ref="G165">IF(OR(ISBLANK(A165),C165),IFERROR(0/0,""),INDEX('RFR Data - preExcl'!AK$2:AK447,$R165,1))</f>
        <v>7</v>
      </c>
      <c r="H165" s="54">
        <f t="array" ref="H165">IF(OR(ISBLANK(A165),C165),IFERROR(0/0,""),INDEX('RFR Data - preExcl'!AL$2:AL447,$R165,1))</f>
        <v>0</v>
      </c>
      <c r="I165" s="54">
        <f>IFERROR(VLOOKUP($B165,'APS Tubes by Date IMPORT'!$B$2:$J447,2,FALSE),"")</f>
        <v>7</v>
      </c>
      <c r="J165" s="54" t="b">
        <f>IFERROR(VLOOKUP($B165,'APS Tubes by Date IMPORT'!$B$2:$J447,9,FALSE),"")</f>
        <v>1</v>
      </c>
      <c r="K165" s="54">
        <f>IFNA(VLOOKUP($B165,'APS Tubes by Date IMPORT'!$B$2:$J447,6,FALSE),"")</f>
        <v>0</v>
      </c>
      <c r="L165" s="74">
        <f>G165</f>
        <v>7</v>
      </c>
      <c r="M165" s="89">
        <v>0.0</v>
      </c>
      <c r="N165" s="116">
        <v>0.0</v>
      </c>
      <c r="O165" s="76" t="b">
        <f t="shared" si="172"/>
        <v>1</v>
      </c>
      <c r="P165" s="77" t="str">
        <f>IF(ISBLANK(N165),IFERROR(0/0,""),IFERROR(VLOOKUP(N165, 'Process Ref'!$A$76:$D$124, 2, FALSE), IFERROR(0/0,"")))</f>
        <v>ALL 3 COUNTS SAME meaning APS Collect = APS Result = RFR</v>
      </c>
      <c r="Q165" s="77"/>
      <c r="R165" s="78">
        <f>IFNA(MATCH(A165,'RFR Data - preExcl'!A$2:A447,0),"")</f>
        <v>223</v>
      </c>
      <c r="S165" s="43"/>
      <c r="T165" s="18" t="str">
        <f>IF(EXACT('RFR Data - preExcl'!W165,"Initial"),'RFR Data - preExcl'!A165,IFERROR(0/0,""))</f>
        <v>RUN-ABRM_2023-02-21_RFR-164</v>
      </c>
      <c r="U165" s="79">
        <f>IF(EXACT('RFR Data - preExcl'!W165,"Initial"),'RFR Data - preExcl'!U165,IFERROR(0/0,""))</f>
        <v>44978</v>
      </c>
      <c r="V165" s="117"/>
      <c r="X165" s="43"/>
      <c r="AC165" s="70"/>
      <c r="AF165" s="70"/>
      <c r="AG165" s="74">
        <v>7.0</v>
      </c>
      <c r="AH165" s="54">
        <v>0.0</v>
      </c>
      <c r="AI165" s="116">
        <v>0.0</v>
      </c>
      <c r="AJ165" s="114" t="str">
        <f t="shared" ref="AJ165:AL165" si="186">IF(AG165=L165,IFERROR(0/0,""),FALSE)</f>
        <v/>
      </c>
      <c r="AK165" s="114" t="str">
        <f t="shared" si="186"/>
        <v/>
      </c>
      <c r="AL165" s="114" t="str">
        <f t="shared" si="186"/>
        <v/>
      </c>
      <c r="AM165" s="43"/>
    </row>
    <row r="166">
      <c r="A166" s="7" t="s">
        <v>192</v>
      </c>
      <c r="B166" s="12">
        <v>45055.0</v>
      </c>
      <c r="C166" s="73" t="b">
        <f t="shared" si="3"/>
        <v>1</v>
      </c>
      <c r="D166" s="54" t="str">
        <f t="array" ref="D166">IF(OR(ISBLANK($A166),$C166),IFERROR(0/0,""),INDEX('RFR Data - preExcl'!E$2:E447,$R166,1))</f>
        <v/>
      </c>
      <c r="E166" s="54" t="str">
        <f t="array" ref="E166">IF(OR(ISBLANK($A166),$C166),IFERROR(0/0,""),INDEX('RFR Data - preExcl'!Z$2:Z447,$R166,1))</f>
        <v/>
      </c>
      <c r="F166" s="54" t="str">
        <f t="array" ref="F166">IF(OR(ISBLANK(A166),C166),IFERROR(0/0,""),INDEX('RFR Data - preExcl'!AC$2:AC447,$R166,1))</f>
        <v/>
      </c>
      <c r="G166" s="54" t="str">
        <f t="array" ref="G166">IF(OR(ISBLANK(A166),C166),IFERROR(0/0,""),INDEX('RFR Data - preExcl'!AK$2:AK447,$R166,1))</f>
        <v/>
      </c>
      <c r="H166" s="54" t="str">
        <f t="array" ref="H166">IF(OR(ISBLANK(A166),C166),IFERROR(0/0,""),INDEX('RFR Data - preExcl'!AL$2:AL447,$R166,1))</f>
        <v/>
      </c>
      <c r="I166" s="54">
        <f>IFERROR(VLOOKUP($B166,'APS Tubes by Date IMPORT'!$B$2:$J447,2,FALSE),"")</f>
        <v>8</v>
      </c>
      <c r="J166" s="54" t="str">
        <f>IFERROR(VLOOKUP($B166,'APS Tubes by Date IMPORT'!$B$2:$J447,9,FALSE),"")</f>
        <v/>
      </c>
      <c r="K166" s="54">
        <f>IFNA(VLOOKUP($B166,'APS Tubes by Date IMPORT'!$B$2:$J447,6,FALSE),"")</f>
        <v>0</v>
      </c>
      <c r="L166" s="111">
        <f t="shared" ref="L166:L167" si="188">I166</f>
        <v>8</v>
      </c>
      <c r="M166" s="89">
        <v>0.0</v>
      </c>
      <c r="N166" s="112">
        <v>3.4</v>
      </c>
      <c r="O166" s="76" t="b">
        <f t="shared" si="172"/>
        <v>1</v>
      </c>
      <c r="P166" s="77" t="str">
        <f>IF(ISBLANK(N166),IFERROR(0/0,""),IFERROR(VLOOKUP(N166, 'Process Ref'!$A$76:$D$124, 2, FALSE), IFERROR(0/0,"")))</f>
        <v>Add Run from APS with no RFR (assume run on same day as Collect, ignore Result day)</v>
      </c>
      <c r="Q166" s="77"/>
      <c r="R166" s="78" t="str">
        <f>IFNA(MATCH(A166,'RFR Data - preExcl'!A$2:A447,0),"")</f>
        <v/>
      </c>
      <c r="S166" s="43"/>
      <c r="T166" s="18" t="str">
        <f>IF(EXACT('RFR Data - preExcl'!W166,"Initial"),'RFR Data - preExcl'!A166,IFERROR(0/0,""))</f>
        <v/>
      </c>
      <c r="U166" s="18" t="str">
        <f>IF(EXACT('RFR Data - preExcl'!W166,"Initial"),'RFR Data - preExcl'!U166,IFERROR(0/0,""))</f>
        <v/>
      </c>
      <c r="V166" s="117"/>
      <c r="X166" s="43"/>
      <c r="AC166" s="70"/>
      <c r="AF166" s="70"/>
      <c r="AG166" s="111">
        <v>8.0</v>
      </c>
      <c r="AH166" s="54">
        <v>0.0</v>
      </c>
      <c r="AI166" s="112">
        <v>3.4</v>
      </c>
      <c r="AJ166" s="114" t="str">
        <f t="shared" ref="AJ166:AL166" si="187">IF(AG166=L166,IFERROR(0/0,""),FALSE)</f>
        <v/>
      </c>
      <c r="AK166" s="114" t="str">
        <f t="shared" si="187"/>
        <v/>
      </c>
      <c r="AL166" s="114" t="str">
        <f t="shared" si="187"/>
        <v/>
      </c>
      <c r="AM166" s="43"/>
    </row>
    <row r="167">
      <c r="A167" s="7" t="s">
        <v>193</v>
      </c>
      <c r="B167" s="12">
        <v>45056.0</v>
      </c>
      <c r="C167" s="73" t="b">
        <f t="shared" si="3"/>
        <v>1</v>
      </c>
      <c r="D167" s="54" t="str">
        <f t="array" ref="D167">IF(OR(ISBLANK($A167),$C167),IFERROR(0/0,""),INDEX('RFR Data - preExcl'!E$2:E447,$R167,1))</f>
        <v/>
      </c>
      <c r="E167" s="54" t="str">
        <f t="array" ref="E167">IF(OR(ISBLANK($A167),$C167),IFERROR(0/0,""),INDEX('RFR Data - preExcl'!Z$2:Z447,$R167,1))</f>
        <v/>
      </c>
      <c r="F167" s="54" t="str">
        <f t="array" ref="F167">IF(OR(ISBLANK(A167),C167),IFERROR(0/0,""),INDEX('RFR Data - preExcl'!AC$2:AC447,$R167,1))</f>
        <v/>
      </c>
      <c r="G167" s="54" t="str">
        <f t="array" ref="G167">IF(OR(ISBLANK(A167),C167),IFERROR(0/0,""),INDEX('RFR Data - preExcl'!AK$2:AK447,$R167,1))</f>
        <v/>
      </c>
      <c r="H167" s="54" t="str">
        <f t="array" ref="H167">IF(OR(ISBLANK(A167),C167),IFERROR(0/0,""),INDEX('RFR Data - preExcl'!AL$2:AL447,$R167,1))</f>
        <v/>
      </c>
      <c r="I167" s="54">
        <f>IFERROR(VLOOKUP($B167,'APS Tubes by Date IMPORT'!$B$2:$J447,2,FALSE),"")</f>
        <v>7</v>
      </c>
      <c r="J167" s="54" t="str">
        <f>IFERROR(VLOOKUP($B167,'APS Tubes by Date IMPORT'!$B$2:$J447,9,FALSE),"")</f>
        <v/>
      </c>
      <c r="K167" s="54">
        <f>IFNA(VLOOKUP($B167,'APS Tubes by Date IMPORT'!$B$2:$J447,6,FALSE),"")</f>
        <v>0</v>
      </c>
      <c r="L167" s="111">
        <f t="shared" si="188"/>
        <v>7</v>
      </c>
      <c r="M167" s="89">
        <v>0.0</v>
      </c>
      <c r="N167" s="112">
        <v>3.4</v>
      </c>
      <c r="O167" s="76" t="b">
        <f t="shared" si="172"/>
        <v>1</v>
      </c>
      <c r="P167" s="77" t="str">
        <f>IF(ISBLANK(N167),IFERROR(0/0,""),IFERROR(VLOOKUP(N167, 'Process Ref'!$A$76:$D$124, 2, FALSE), IFERROR(0/0,"")))</f>
        <v>Add Run from APS with no RFR (assume run on same day as Collect, ignore Result day)</v>
      </c>
      <c r="Q167" s="77"/>
      <c r="R167" s="78" t="str">
        <f>IFNA(MATCH(A167,'RFR Data - preExcl'!A$2:A447,0),"")</f>
        <v/>
      </c>
      <c r="S167" s="43"/>
      <c r="T167" s="18" t="str">
        <f>IF(EXACT('RFR Data - preExcl'!W167,"Initial"),'RFR Data - preExcl'!A167,IFERROR(0/0,""))</f>
        <v>RUN-ABRM_2023-02-22_RFR-166</v>
      </c>
      <c r="U167" s="79">
        <f>IF(EXACT('RFR Data - preExcl'!W167,"Initial"),'RFR Data - preExcl'!U167,IFERROR(0/0,""))</f>
        <v>44979</v>
      </c>
      <c r="V167" s="117"/>
      <c r="X167" s="43"/>
      <c r="AC167" s="70"/>
      <c r="AF167" s="70"/>
      <c r="AG167" s="111">
        <v>7.0</v>
      </c>
      <c r="AH167" s="54">
        <v>0.0</v>
      </c>
      <c r="AI167" s="112">
        <v>3.4</v>
      </c>
      <c r="AJ167" s="114" t="str">
        <f t="shared" ref="AJ167:AL167" si="189">IF(AG167=L167,IFERROR(0/0,""),FALSE)</f>
        <v/>
      </c>
      <c r="AK167" s="114" t="str">
        <f t="shared" si="189"/>
        <v/>
      </c>
      <c r="AL167" s="114" t="str">
        <f t="shared" si="189"/>
        <v/>
      </c>
      <c r="AM167" s="43"/>
    </row>
    <row r="168">
      <c r="A168" s="7" t="s">
        <v>194</v>
      </c>
      <c r="B168" s="12">
        <v>45057.0</v>
      </c>
      <c r="C168" s="73" t="str">
        <f t="shared" si="3"/>
        <v/>
      </c>
      <c r="D168" s="54">
        <f t="array" ref="D168">IF(OR(ISBLANK($A168),$C168),IFERROR(0/0,""),INDEX('RFR Data - preExcl'!E$2:E447,$R168,1))</f>
        <v>10</v>
      </c>
      <c r="E168" s="54">
        <f t="array" ref="E168">IF(OR(ISBLANK($A168),$C168),IFERROR(0/0,""),INDEX('RFR Data - preExcl'!Z$2:Z447,$R168,1))</f>
        <v>8</v>
      </c>
      <c r="F168" s="54">
        <f t="array" ref="F168">IF(OR(ISBLANK(A168),C168),IFERROR(0/0,""),INDEX('RFR Data - preExcl'!AC$2:AC447,$R168,1))</f>
        <v>6</v>
      </c>
      <c r="G168" s="54">
        <f t="array" ref="G168">IF(OR(ISBLANK(A168),C168),IFERROR(0/0,""),INDEX('RFR Data - preExcl'!AK$2:AK447,$R168,1))</f>
        <v>6</v>
      </c>
      <c r="H168" s="54">
        <f t="array" ref="H168">IF(OR(ISBLANK(A168),C168),IFERROR(0/0,""),INDEX('RFR Data - preExcl'!AL$2:AL447,$R168,1))</f>
        <v>0</v>
      </c>
      <c r="I168" s="54">
        <f>IFERROR(VLOOKUP($B168,'APS Tubes by Date IMPORT'!$B$2:$J447,2,FALSE),"")</f>
        <v>6</v>
      </c>
      <c r="J168" s="54" t="str">
        <f>IFERROR(VLOOKUP($B168,'APS Tubes by Date IMPORT'!$B$2:$J447,9,FALSE),"")</f>
        <v/>
      </c>
      <c r="K168" s="54">
        <f>IFNA(VLOOKUP($B168,'APS Tubes by Date IMPORT'!$B$2:$J447,6,FALSE),"")</f>
        <v>0</v>
      </c>
      <c r="L168" s="74">
        <f>G168</f>
        <v>6</v>
      </c>
      <c r="M168" s="89">
        <v>0.0</v>
      </c>
      <c r="N168" s="116">
        <v>0.0</v>
      </c>
      <c r="O168" s="76" t="b">
        <f t="shared" si="172"/>
        <v>1</v>
      </c>
      <c r="P168" s="77" t="str">
        <f>IF(ISBLANK(N168),IFERROR(0/0,""),IFERROR(VLOOKUP(N168, 'Process Ref'!$A$76:$D$124, 2, FALSE), IFERROR(0/0,"")))</f>
        <v>ALL 3 COUNTS SAME meaning APS Collect = APS Result = RFR</v>
      </c>
      <c r="Q168" s="77"/>
      <c r="R168" s="78">
        <f>IFNA(MATCH(A168,'RFR Data - preExcl'!A$2:A447,0),"")</f>
        <v>224</v>
      </c>
      <c r="S168" s="43"/>
      <c r="T168" s="18" t="str">
        <f>IF(EXACT('RFR Data - preExcl'!W168,"Initial"),'RFR Data - preExcl'!A168,IFERROR(0/0,""))</f>
        <v>RUN-ABRM_2023-02-23_RFR-167</v>
      </c>
      <c r="U168" s="79">
        <f>IF(EXACT('RFR Data - preExcl'!W168,"Initial"),'RFR Data - preExcl'!U168,IFERROR(0/0,""))</f>
        <v>44980</v>
      </c>
      <c r="V168" s="117"/>
      <c r="X168" s="43"/>
      <c r="AC168" s="70"/>
      <c r="AF168" s="70"/>
      <c r="AG168" s="74">
        <v>6.0</v>
      </c>
      <c r="AH168" s="54">
        <v>0.0</v>
      </c>
      <c r="AI168" s="116">
        <v>0.0</v>
      </c>
      <c r="AJ168" s="114" t="str">
        <f t="shared" ref="AJ168:AL168" si="190">IF(AG168=L168,IFERROR(0/0,""),FALSE)</f>
        <v/>
      </c>
      <c r="AK168" s="114" t="str">
        <f t="shared" si="190"/>
        <v/>
      </c>
      <c r="AL168" s="114" t="str">
        <f t="shared" si="190"/>
        <v/>
      </c>
      <c r="AM168" s="43"/>
    </row>
    <row r="169">
      <c r="A169" s="7" t="s">
        <v>195</v>
      </c>
      <c r="B169" s="12">
        <v>45058.0</v>
      </c>
      <c r="C169" s="73" t="b">
        <f t="shared" si="3"/>
        <v>1</v>
      </c>
      <c r="D169" s="54" t="str">
        <f t="array" ref="D169">IF(OR(ISBLANK($A169),$C169),IFERROR(0/0,""),INDEX('RFR Data - preExcl'!E$2:E447,$R169,1))</f>
        <v/>
      </c>
      <c r="E169" s="54" t="str">
        <f t="array" ref="E169">IF(OR(ISBLANK($A169),$C169),IFERROR(0/0,""),INDEX('RFR Data - preExcl'!Z$2:Z447,$R169,1))</f>
        <v/>
      </c>
      <c r="F169" s="54" t="str">
        <f t="array" ref="F169">IF(OR(ISBLANK(A169),C169),IFERROR(0/0,""),INDEX('RFR Data - preExcl'!AC$2:AC447,$R169,1))</f>
        <v/>
      </c>
      <c r="G169" s="54" t="str">
        <f t="array" ref="G169">IF(OR(ISBLANK(A169),C169),IFERROR(0/0,""),INDEX('RFR Data - preExcl'!AK$2:AK447,$R169,1))</f>
        <v/>
      </c>
      <c r="H169" s="54" t="str">
        <f t="array" ref="H169">IF(OR(ISBLANK(A169),C169),IFERROR(0/0,""),INDEX('RFR Data - preExcl'!AL$2:AL447,$R169,1))</f>
        <v/>
      </c>
      <c r="I169" s="54">
        <f>IFERROR(VLOOKUP($B169,'APS Tubes by Date IMPORT'!$B$2:$J447,2,FALSE),"")</f>
        <v>3</v>
      </c>
      <c r="J169" s="54" t="b">
        <f>IFERROR(VLOOKUP($B169,'APS Tubes by Date IMPORT'!$B$2:$J447,9,FALSE),"")</f>
        <v>1</v>
      </c>
      <c r="K169" s="54">
        <f>IFNA(VLOOKUP($B169,'APS Tubes by Date IMPORT'!$B$2:$J447,6,FALSE),"")</f>
        <v>0</v>
      </c>
      <c r="L169" s="111">
        <f t="shared" ref="L169:L171" si="192">I169</f>
        <v>3</v>
      </c>
      <c r="M169" s="89">
        <v>0.0</v>
      </c>
      <c r="N169" s="112">
        <v>3.4</v>
      </c>
      <c r="O169" s="76" t="b">
        <f t="shared" si="172"/>
        <v>1</v>
      </c>
      <c r="P169" s="77" t="str">
        <f>IF(ISBLANK(N169),IFERROR(0/0,""),IFERROR(VLOOKUP(N169, 'Process Ref'!$A$76:$D$124, 2, FALSE), IFERROR(0/0,"")))</f>
        <v>Add Run from APS with no RFR (assume run on same day as Collect, ignore Result day)</v>
      </c>
      <c r="Q169" s="77"/>
      <c r="R169" s="78" t="str">
        <f>IFNA(MATCH(A169,'RFR Data - preExcl'!A$2:A447,0),"")</f>
        <v/>
      </c>
      <c r="S169" s="43"/>
      <c r="T169" s="18" t="str">
        <f>IF(EXACT('RFR Data - preExcl'!W169,"Initial"),'RFR Data - preExcl'!A169,IFERROR(0/0,""))</f>
        <v/>
      </c>
      <c r="U169" s="18" t="str">
        <f>IF(EXACT('RFR Data - preExcl'!W169,"Initial"),'RFR Data - preExcl'!U169,IFERROR(0/0,""))</f>
        <v/>
      </c>
      <c r="V169" s="117"/>
      <c r="X169" s="43"/>
      <c r="AC169" s="70"/>
      <c r="AF169" s="70"/>
      <c r="AG169" s="111">
        <v>3.0</v>
      </c>
      <c r="AH169" s="54">
        <v>0.0</v>
      </c>
      <c r="AI169" s="112">
        <v>3.4</v>
      </c>
      <c r="AJ169" s="114" t="str">
        <f t="shared" ref="AJ169:AL169" si="191">IF(AG169=L169,IFERROR(0/0,""),FALSE)</f>
        <v/>
      </c>
      <c r="AK169" s="114" t="str">
        <f t="shared" si="191"/>
        <v/>
      </c>
      <c r="AL169" s="114" t="str">
        <f t="shared" si="191"/>
        <v/>
      </c>
      <c r="AM169" s="43"/>
    </row>
    <row r="170">
      <c r="A170" s="7" t="s">
        <v>196</v>
      </c>
      <c r="B170" s="12">
        <v>45061.0</v>
      </c>
      <c r="C170" s="73" t="b">
        <f t="shared" si="3"/>
        <v>1</v>
      </c>
      <c r="D170" s="54" t="str">
        <f t="array" ref="D170">IF(OR(ISBLANK($A170),$C170),IFERROR(0/0,""),INDEX('RFR Data - preExcl'!E$2:E447,$R170,1))</f>
        <v/>
      </c>
      <c r="E170" s="54" t="str">
        <f t="array" ref="E170">IF(OR(ISBLANK($A170),$C170),IFERROR(0/0,""),INDEX('RFR Data - preExcl'!Z$2:Z447,$R170,1))</f>
        <v/>
      </c>
      <c r="F170" s="54" t="str">
        <f t="array" ref="F170">IF(OR(ISBLANK(A170),C170),IFERROR(0/0,""),INDEX('RFR Data - preExcl'!AC$2:AC447,$R170,1))</f>
        <v/>
      </c>
      <c r="G170" s="54" t="str">
        <f t="array" ref="G170">IF(OR(ISBLANK(A170),C170),IFERROR(0/0,""),INDEX('RFR Data - preExcl'!AK$2:AK447,$R170,1))</f>
        <v/>
      </c>
      <c r="H170" s="54" t="str">
        <f t="array" ref="H170">IF(OR(ISBLANK(A170),C170),IFERROR(0/0,""),INDEX('RFR Data - preExcl'!AL$2:AL447,$R170,1))</f>
        <v/>
      </c>
      <c r="I170" s="54">
        <f>IFERROR(VLOOKUP($B170,'APS Tubes by Date IMPORT'!$B$2:$J447,2,FALSE),"")</f>
        <v>5</v>
      </c>
      <c r="J170" s="54" t="str">
        <f>IFERROR(VLOOKUP($B170,'APS Tubes by Date IMPORT'!$B$2:$J447,9,FALSE),"")</f>
        <v/>
      </c>
      <c r="K170" s="54">
        <f>IFNA(VLOOKUP($B170,'APS Tubes by Date IMPORT'!$B$2:$J447,6,FALSE),"")</f>
        <v>0</v>
      </c>
      <c r="L170" s="111">
        <f t="shared" si="192"/>
        <v>5</v>
      </c>
      <c r="M170" s="89">
        <v>0.0</v>
      </c>
      <c r="N170" s="112">
        <v>3.4</v>
      </c>
      <c r="O170" s="76" t="b">
        <f t="shared" si="172"/>
        <v>1</v>
      </c>
      <c r="P170" s="77" t="str">
        <f>IF(ISBLANK(N170),IFERROR(0/0,""),IFERROR(VLOOKUP(N170, 'Process Ref'!$A$76:$D$124, 2, FALSE), IFERROR(0/0,"")))</f>
        <v>Add Run from APS with no RFR (assume run on same day as Collect, ignore Result day)</v>
      </c>
      <c r="Q170" s="77"/>
      <c r="R170" s="78" t="str">
        <f>IFNA(MATCH(A170,'RFR Data - preExcl'!A$2:A447,0),"")</f>
        <v/>
      </c>
      <c r="S170" s="43"/>
      <c r="T170" s="18" t="str">
        <f>IF(EXACT('RFR Data - preExcl'!W170,"Initial"),'RFR Data - preExcl'!A170,IFERROR(0/0,""))</f>
        <v>RUN-ABRM_2023-02-24_RFR-169</v>
      </c>
      <c r="U170" s="79">
        <f>IF(EXACT('RFR Data - preExcl'!W170,"Initial"),'RFR Data - preExcl'!U170,IFERROR(0/0,""))</f>
        <v>44981</v>
      </c>
      <c r="V170" s="117"/>
      <c r="X170" s="43"/>
      <c r="AC170" s="70"/>
      <c r="AF170" s="70"/>
      <c r="AG170" s="111">
        <v>5.0</v>
      </c>
      <c r="AH170" s="54">
        <v>0.0</v>
      </c>
      <c r="AI170" s="112">
        <v>3.4</v>
      </c>
      <c r="AJ170" s="114" t="str">
        <f t="shared" ref="AJ170:AL170" si="193">IF(AG170=L170,IFERROR(0/0,""),FALSE)</f>
        <v/>
      </c>
      <c r="AK170" s="114" t="str">
        <f t="shared" si="193"/>
        <v/>
      </c>
      <c r="AL170" s="114" t="str">
        <f t="shared" si="193"/>
        <v/>
      </c>
      <c r="AM170" s="43"/>
    </row>
    <row r="171">
      <c r="A171" s="7" t="s">
        <v>197</v>
      </c>
      <c r="B171" s="12">
        <v>45062.0</v>
      </c>
      <c r="C171" s="73" t="b">
        <f t="shared" si="3"/>
        <v>1</v>
      </c>
      <c r="D171" s="54" t="str">
        <f t="array" ref="D171">IF(OR(ISBLANK($A171),$C171),IFERROR(0/0,""),INDEX('RFR Data - preExcl'!E$2:E447,$R171,1))</f>
        <v/>
      </c>
      <c r="E171" s="54" t="str">
        <f t="array" ref="E171">IF(OR(ISBLANK($A171),$C171),IFERROR(0/0,""),INDEX('RFR Data - preExcl'!Z$2:Z447,$R171,1))</f>
        <v/>
      </c>
      <c r="F171" s="54" t="str">
        <f t="array" ref="F171">IF(OR(ISBLANK(A171),C171),IFERROR(0/0,""),INDEX('RFR Data - preExcl'!AC$2:AC447,$R171,1))</f>
        <v/>
      </c>
      <c r="G171" s="54" t="str">
        <f t="array" ref="G171">IF(OR(ISBLANK(A171),C171),IFERROR(0/0,""),INDEX('RFR Data - preExcl'!AK$2:AK447,$R171,1))</f>
        <v/>
      </c>
      <c r="H171" s="54" t="str">
        <f t="array" ref="H171">IF(OR(ISBLANK(A171),C171),IFERROR(0/0,""),INDEX('RFR Data - preExcl'!AL$2:AL447,$R171,1))</f>
        <v/>
      </c>
      <c r="I171" s="54">
        <f>IFERROR(VLOOKUP($B171,'APS Tubes by Date IMPORT'!$B$2:$J447,2,FALSE),"")</f>
        <v>3</v>
      </c>
      <c r="J171" s="54" t="b">
        <f>IFERROR(VLOOKUP($B171,'APS Tubes by Date IMPORT'!$B$2:$J447,9,FALSE),"")</f>
        <v>1</v>
      </c>
      <c r="K171" s="54">
        <f>IFNA(VLOOKUP($B171,'APS Tubes by Date IMPORT'!$B$2:$J447,6,FALSE),"")</f>
        <v>0</v>
      </c>
      <c r="L171" s="111">
        <f t="shared" si="192"/>
        <v>3</v>
      </c>
      <c r="M171" s="89">
        <v>0.0</v>
      </c>
      <c r="N171" s="112">
        <v>3.4</v>
      </c>
      <c r="O171" s="76" t="b">
        <f t="shared" ref="O171:O174" si="195">IF(ISBLANK(M175),IFERROR(0/0,""),IF($CC158&lt;=4,TRUE,IFERROR(0/0,"")))</f>
        <v>1</v>
      </c>
      <c r="P171" s="77" t="str">
        <f>IF(ISBLANK(N171),IFERROR(0/0,""),IFERROR(VLOOKUP(N171, 'Process Ref'!$A$76:$D$124, 2, FALSE), IFERROR(0/0,"")))</f>
        <v>Add Run from APS with no RFR (assume run on same day as Collect, ignore Result day)</v>
      </c>
      <c r="Q171" s="77"/>
      <c r="R171" s="78" t="str">
        <f>IFNA(MATCH(A171,'RFR Data - preExcl'!A$2:A447,0),"")</f>
        <v/>
      </c>
      <c r="S171" s="43"/>
      <c r="T171" s="18" t="str">
        <f>IF(EXACT('RFR Data - preExcl'!W171,"Initial"),'RFR Data - preExcl'!A171,IFERROR(0/0,""))</f>
        <v/>
      </c>
      <c r="U171" s="18" t="str">
        <f>IF(EXACT('RFR Data - preExcl'!W171,"Initial"),'RFR Data - preExcl'!U171,IFERROR(0/0,""))</f>
        <v/>
      </c>
      <c r="V171" s="117"/>
      <c r="X171" s="43"/>
      <c r="AC171" s="70"/>
      <c r="AF171" s="70"/>
      <c r="AG171" s="111">
        <v>3.0</v>
      </c>
      <c r="AH171" s="54">
        <v>0.0</v>
      </c>
      <c r="AI171" s="112">
        <v>3.4</v>
      </c>
      <c r="AJ171" s="114" t="str">
        <f t="shared" ref="AJ171:AL171" si="194">IF(AG171=L171,IFERROR(0/0,""),FALSE)</f>
        <v/>
      </c>
      <c r="AK171" s="114" t="str">
        <f t="shared" si="194"/>
        <v/>
      </c>
      <c r="AL171" s="114" t="str">
        <f t="shared" si="194"/>
        <v/>
      </c>
      <c r="AM171" s="43"/>
    </row>
    <row r="172">
      <c r="A172" s="7" t="s">
        <v>198</v>
      </c>
      <c r="B172" s="12">
        <v>45063.0</v>
      </c>
      <c r="C172" s="73" t="str">
        <f t="shared" si="3"/>
        <v/>
      </c>
      <c r="D172" s="54">
        <f t="array" ref="D172">IF(OR(ISBLANK($A172),$C172),IFERROR(0/0,""),INDEX('RFR Data - preExcl'!E$2:E447,$R172,1))</f>
        <v>9</v>
      </c>
      <c r="E172" s="54">
        <f t="array" ref="E172">IF(OR(ISBLANK($A172),$C172),IFERROR(0/0,""),INDEX('RFR Data - preExcl'!Z$2:Z447,$R172,1))</f>
        <v>8</v>
      </c>
      <c r="F172" s="54">
        <f t="array" ref="F172">IF(OR(ISBLANK(A172),C172),IFERROR(0/0,""),INDEX('RFR Data - preExcl'!AC$2:AC447,$R172,1))</f>
        <v>6</v>
      </c>
      <c r="G172" s="54">
        <f t="array" ref="G172">IF(OR(ISBLANK(A172),C172),IFERROR(0/0,""),INDEX('RFR Data - preExcl'!AK$2:AK447,$R172,1))</f>
        <v>6</v>
      </c>
      <c r="H172" s="54">
        <f t="array" ref="H172">IF(OR(ISBLANK(A172),C172),IFERROR(0/0,""),INDEX('RFR Data - preExcl'!AL$2:AL447,$R172,1))</f>
        <v>0</v>
      </c>
      <c r="I172" s="54">
        <f>IFERROR(VLOOKUP($B172,'APS Tubes by Date IMPORT'!$B$2:$J447,2,FALSE),"")</f>
        <v>5</v>
      </c>
      <c r="J172" s="54" t="str">
        <f>IFERROR(VLOOKUP($B172,'APS Tubes by Date IMPORT'!$B$2:$J447,9,FALSE),"")</f>
        <v/>
      </c>
      <c r="K172" s="54">
        <f>IFNA(VLOOKUP($B172,'APS Tubes by Date IMPORT'!$B$2:$J447,6,FALSE),"")</f>
        <v>0</v>
      </c>
      <c r="L172" s="74">
        <f t="shared" ref="L172:L178" si="197">G172</f>
        <v>6</v>
      </c>
      <c r="M172" s="89">
        <v>1.0</v>
      </c>
      <c r="N172" s="134">
        <v>2.0</v>
      </c>
      <c r="O172" s="76" t="b">
        <f t="shared" si="195"/>
        <v>1</v>
      </c>
      <c r="P172" s="77" t="str">
        <f>IF(ISBLANK(N172),IFERROR(0/0,""),IFERROR(VLOOKUP(N172, 'Process Ref'!$A$76:$D$124, 2, FALSE), IFERROR(0/0,"")))</f>
        <v>Use Audit RFR count (extra tubes in RFR not in Appivo)</v>
      </c>
      <c r="Q172" s="77"/>
      <c r="R172" s="78">
        <f>IFNA(MATCH(A172,'RFR Data - preExcl'!A$2:A447,0),"")</f>
        <v>225</v>
      </c>
      <c r="S172" s="43"/>
      <c r="T172" s="18" t="str">
        <f>IF(EXACT('RFR Data - preExcl'!W172,"Initial"),'RFR Data - preExcl'!A172,IFERROR(0/0,""))</f>
        <v>RUN-ABRM_2023-02-27_RFR-171</v>
      </c>
      <c r="U172" s="79">
        <f>IF(EXACT('RFR Data - preExcl'!W172,"Initial"),'RFR Data - preExcl'!U172,IFERROR(0/0,""))</f>
        <v>44984</v>
      </c>
      <c r="V172" s="117"/>
      <c r="X172" s="43"/>
      <c r="AC172" s="70"/>
      <c r="AF172" s="70"/>
      <c r="AG172" s="74">
        <v>6.0</v>
      </c>
      <c r="AH172" s="54">
        <v>1.0</v>
      </c>
      <c r="AI172" s="134">
        <v>2.0</v>
      </c>
      <c r="AJ172" s="114" t="str">
        <f t="shared" ref="AJ172:AL172" si="196">IF(AG172=L172,IFERROR(0/0,""),FALSE)</f>
        <v/>
      </c>
      <c r="AK172" s="114" t="str">
        <f t="shared" si="196"/>
        <v/>
      </c>
      <c r="AL172" s="114" t="str">
        <f t="shared" si="196"/>
        <v/>
      </c>
      <c r="AM172" s="43"/>
    </row>
    <row r="173">
      <c r="A173" s="7" t="s">
        <v>199</v>
      </c>
      <c r="B173" s="12">
        <v>45064.0</v>
      </c>
      <c r="C173" s="73" t="str">
        <f t="shared" si="3"/>
        <v/>
      </c>
      <c r="D173" s="54">
        <f t="array" ref="D173">IF(OR(ISBLANK($A173),$C173),IFERROR(0/0,""),INDEX('RFR Data - preExcl'!E$2:E447,$R173,1))</f>
        <v>11</v>
      </c>
      <c r="E173" s="54" t="str">
        <f t="array" ref="E173">IF(OR(ISBLANK($A173),$C173),IFERROR(0/0,""),INDEX('RFR Data - preExcl'!Z$2:Z447,$R173,1))</f>
        <v/>
      </c>
      <c r="F173" s="54">
        <f t="array" ref="F173">IF(OR(ISBLANK(A173),C173),IFERROR(0/0,""),INDEX('RFR Data - preExcl'!AC$2:AC447,$R173,1))</f>
        <v>9</v>
      </c>
      <c r="G173" s="54">
        <f t="array" ref="G173">IF(OR(ISBLANK(A173),C173),IFERROR(0/0,""),INDEX('RFR Data - preExcl'!AK$2:AK447,$R173,1))</f>
        <v>9</v>
      </c>
      <c r="H173" s="54">
        <f t="array" ref="H173">IF(OR(ISBLANK(A173),C173),IFERROR(0/0,""),INDEX('RFR Data - preExcl'!AL$2:AL447,$R173,1))</f>
        <v>0</v>
      </c>
      <c r="I173" s="54">
        <f>IFERROR(VLOOKUP($B173,'APS Tubes by Date IMPORT'!$B$2:$J447,2,FALSE),"")</f>
        <v>9</v>
      </c>
      <c r="J173" s="54" t="str">
        <f>IFERROR(VLOOKUP($B173,'APS Tubes by Date IMPORT'!$B$2:$J447,9,FALSE),"")</f>
        <v/>
      </c>
      <c r="K173" s="54">
        <f>IFNA(VLOOKUP($B173,'APS Tubes by Date IMPORT'!$B$2:$J447,6,FALSE),"")</f>
        <v>0</v>
      </c>
      <c r="L173" s="74">
        <f t="shared" si="197"/>
        <v>9</v>
      </c>
      <c r="M173" s="89">
        <v>0.0</v>
      </c>
      <c r="N173" s="116">
        <v>1.0</v>
      </c>
      <c r="O173" s="76" t="b">
        <f t="shared" si="195"/>
        <v>1</v>
      </c>
      <c r="P173" s="77" t="str">
        <f>IF(ISBLANK(N173),IFERROR(0/0,""),IFERROR(VLOOKUP(N173, 'Process Ref'!$A$76:$D$124, 2, FALSE), IFERROR(0/0,"")))</f>
        <v>Use APS Collect = RFR (diff APS Result count but nets out)</v>
      </c>
      <c r="Q173" s="77"/>
      <c r="R173" s="78">
        <f>IFNA(MATCH(A173,'RFR Data - preExcl'!A$2:A447,0),"")</f>
        <v>226</v>
      </c>
      <c r="S173" s="43"/>
      <c r="T173" s="18" t="str">
        <f>IF(EXACT('RFR Data - preExcl'!W173,"Initial"),'RFR Data - preExcl'!A173,IFERROR(0/0,""))</f>
        <v/>
      </c>
      <c r="U173" s="18" t="str">
        <f>IF(EXACT('RFR Data - preExcl'!W173,"Initial"),'RFR Data - preExcl'!U173,IFERROR(0/0,""))</f>
        <v/>
      </c>
      <c r="V173" s="117"/>
      <c r="X173" s="43"/>
      <c r="AC173" s="70"/>
      <c r="AF173" s="70"/>
      <c r="AG173" s="74">
        <v>9.0</v>
      </c>
      <c r="AH173" s="54">
        <v>0.0</v>
      </c>
      <c r="AI173" s="116">
        <v>1.0</v>
      </c>
      <c r="AJ173" s="114" t="str">
        <f t="shared" ref="AJ173:AL173" si="198">IF(AG173=L173,IFERROR(0/0,""),FALSE)</f>
        <v/>
      </c>
      <c r="AK173" s="114" t="str">
        <f t="shared" si="198"/>
        <v/>
      </c>
      <c r="AL173" s="114" t="str">
        <f t="shared" si="198"/>
        <v/>
      </c>
      <c r="AM173" s="43"/>
    </row>
    <row r="174">
      <c r="A174" s="7" t="s">
        <v>200</v>
      </c>
      <c r="B174" s="12">
        <v>45065.0</v>
      </c>
      <c r="C174" s="73" t="str">
        <f t="shared" si="3"/>
        <v/>
      </c>
      <c r="D174" s="54">
        <f t="array" ref="D174">IF(OR(ISBLANK($A174),$C174),IFERROR(0/0,""),INDEX('RFR Data - preExcl'!E$2:E447,$R174,1))</f>
        <v>10</v>
      </c>
      <c r="E174" s="54">
        <f t="array" ref="E174">IF(OR(ISBLANK($A174),$C174),IFERROR(0/0,""),INDEX('RFR Data - preExcl'!Z$2:Z447,$R174,1))</f>
        <v>10</v>
      </c>
      <c r="F174" s="54">
        <f t="array" ref="F174">IF(OR(ISBLANK(A174),C174),IFERROR(0/0,""),INDEX('RFR Data - preExcl'!AC$2:AC447,$R174,1))</f>
        <v>8</v>
      </c>
      <c r="G174" s="54">
        <f t="array" ref="G174">IF(OR(ISBLANK(A174),C174),IFERROR(0/0,""),INDEX('RFR Data - preExcl'!AK$2:AK447,$R174,1))</f>
        <v>8</v>
      </c>
      <c r="H174" s="54">
        <f t="array" ref="H174">IF(OR(ISBLANK(A174),C174),IFERROR(0/0,""),INDEX('RFR Data - preExcl'!AL$2:AL447,$R174,1))</f>
        <v>4</v>
      </c>
      <c r="I174" s="54">
        <f>IFERROR(VLOOKUP($B174,'APS Tubes by Date IMPORT'!$B$2:$J447,2,FALSE),"")</f>
        <v>6</v>
      </c>
      <c r="J174" s="54" t="str">
        <f>IFERROR(VLOOKUP($B174,'APS Tubes by Date IMPORT'!$B$2:$J447,9,FALSE),"")</f>
        <v/>
      </c>
      <c r="K174" s="54">
        <f>IFNA(VLOOKUP($B174,'APS Tubes by Date IMPORT'!$B$2:$J447,6,FALSE),"")</f>
        <v>0</v>
      </c>
      <c r="L174" s="74">
        <f t="shared" si="197"/>
        <v>8</v>
      </c>
      <c r="M174" s="89">
        <v>2.0</v>
      </c>
      <c r="N174" s="134">
        <v>2.0</v>
      </c>
      <c r="O174" s="76" t="b">
        <f t="shared" si="195"/>
        <v>1</v>
      </c>
      <c r="P174" s="77" t="str">
        <f>IF(ISBLANK(N174),IFERROR(0/0,""),IFERROR(VLOOKUP(N174, 'Process Ref'!$A$76:$D$124, 2, FALSE), IFERROR(0/0,"")))</f>
        <v>Use Audit RFR count (extra tubes in RFR not in Appivo)</v>
      </c>
      <c r="Q174" s="77"/>
      <c r="R174" s="78">
        <f>IFNA(MATCH(A174,'RFR Data - preExcl'!A$2:A447,0),"")</f>
        <v>227</v>
      </c>
      <c r="S174" s="43"/>
      <c r="T174" s="18" t="str">
        <f>IF(EXACT('RFR Data - preExcl'!W174,"Initial"),'RFR Data - preExcl'!A174,IFERROR(0/0,""))</f>
        <v>RUN-ABRM_2023-02-28_RFR-173</v>
      </c>
      <c r="U174" s="79">
        <f>IF(EXACT('RFR Data - preExcl'!W174,"Initial"),'RFR Data - preExcl'!U174,IFERROR(0/0,""))</f>
        <v>44985</v>
      </c>
      <c r="V174" s="117"/>
      <c r="X174" s="43"/>
      <c r="AC174" s="70"/>
      <c r="AF174" s="70"/>
      <c r="AG174" s="74">
        <v>8.0</v>
      </c>
      <c r="AH174" s="54">
        <v>2.0</v>
      </c>
      <c r="AI174" s="134">
        <v>2.0</v>
      </c>
      <c r="AJ174" s="114" t="str">
        <f t="shared" ref="AJ174:AL174" si="199">IF(AG174=L174,IFERROR(0/0,""),FALSE)</f>
        <v/>
      </c>
      <c r="AK174" s="114" t="str">
        <f t="shared" si="199"/>
        <v/>
      </c>
      <c r="AL174" s="114" t="str">
        <f t="shared" si="199"/>
        <v/>
      </c>
      <c r="AM174" s="43"/>
    </row>
    <row r="175">
      <c r="A175" s="7" t="s">
        <v>201</v>
      </c>
      <c r="B175" s="12">
        <v>45068.0</v>
      </c>
      <c r="C175" s="73" t="str">
        <f t="shared" si="3"/>
        <v/>
      </c>
      <c r="D175" s="54">
        <f t="array" ref="D175">IF(OR(ISBLANK($A175),$C175),IFERROR(0/0,""),INDEX('RFR Data - preExcl'!E$2:E447,$R175,1))</f>
        <v>6</v>
      </c>
      <c r="E175" s="54">
        <f t="array" ref="E175">IF(OR(ISBLANK($A175),$C175),IFERROR(0/0,""),INDEX('RFR Data - preExcl'!Z$2:Z447,$R175,1))</f>
        <v>6</v>
      </c>
      <c r="F175" s="54">
        <f t="array" ref="F175">IF(OR(ISBLANK(A175),C175),IFERROR(0/0,""),INDEX('RFR Data - preExcl'!AC$2:AC447,$R175,1))</f>
        <v>4</v>
      </c>
      <c r="G175" s="54">
        <f t="array" ref="G175">IF(OR(ISBLANK(A175),C175),IFERROR(0/0,""),INDEX('RFR Data - preExcl'!AK$2:AK447,$R175,1))</f>
        <v>4</v>
      </c>
      <c r="H175" s="54">
        <f t="array" ref="H175">IF(OR(ISBLANK(A175),C175),IFERROR(0/0,""),INDEX('RFR Data - preExcl'!AL$2:AL447,$R175,1))</f>
        <v>1.3</v>
      </c>
      <c r="I175" s="54">
        <f>IFERROR(VLOOKUP($B175,'APS Tubes by Date IMPORT'!$B$2:$J447,2,FALSE),"")</f>
        <v>4</v>
      </c>
      <c r="J175" s="54" t="b">
        <f>IFERROR(VLOOKUP($B175,'APS Tubes by Date IMPORT'!$B$2:$J447,9,FALSE),"")</f>
        <v>1</v>
      </c>
      <c r="K175" s="54">
        <f>IFNA(VLOOKUP($B175,'APS Tubes by Date IMPORT'!$B$2:$J447,6,FALSE),"")</f>
        <v>0</v>
      </c>
      <c r="L175" s="74">
        <f t="shared" si="197"/>
        <v>4</v>
      </c>
      <c r="M175" s="89">
        <v>0.0</v>
      </c>
      <c r="N175" s="116">
        <v>0.0</v>
      </c>
      <c r="O175" s="76" t="b">
        <f t="shared" ref="O175:O177" si="201">IF(ISBLANK(M180),IFERROR(0/0,""),IF($CC162&lt;=4,TRUE,IFERROR(0/0,"")))</f>
        <v>1</v>
      </c>
      <c r="P175" s="77" t="str">
        <f>IF(ISBLANK(N175),IFERROR(0/0,""),IFERROR(VLOOKUP(N175, 'Process Ref'!$A$76:$D$124, 2, FALSE), IFERROR(0/0,"")))</f>
        <v>ALL 3 COUNTS SAME meaning APS Collect = APS Result = RFR</v>
      </c>
      <c r="Q175" s="77"/>
      <c r="R175" s="78">
        <f>IFNA(MATCH(A175,'RFR Data - preExcl'!A$2:A447,0),"")</f>
        <v>228</v>
      </c>
      <c r="S175" s="43"/>
      <c r="T175" s="18" t="str">
        <f>IF(EXACT('RFR Data - preExcl'!W175,"Initial"),'RFR Data - preExcl'!A175,IFERROR(0/0,""))</f>
        <v/>
      </c>
      <c r="U175" s="18" t="str">
        <f>IF(EXACT('RFR Data - preExcl'!W175,"Initial"),'RFR Data - preExcl'!U175,IFERROR(0/0,""))</f>
        <v/>
      </c>
      <c r="V175" s="117"/>
      <c r="X175" s="43"/>
      <c r="AC175" s="70"/>
      <c r="AF175" s="70"/>
      <c r="AG175" s="74">
        <v>4.0</v>
      </c>
      <c r="AH175" s="54">
        <v>0.0</v>
      </c>
      <c r="AI175" s="116">
        <v>0.0</v>
      </c>
      <c r="AJ175" s="114" t="str">
        <f t="shared" ref="AJ175:AL175" si="200">IF(AG175=L175,IFERROR(0/0,""),FALSE)</f>
        <v/>
      </c>
      <c r="AK175" s="114" t="str">
        <f t="shared" si="200"/>
        <v/>
      </c>
      <c r="AL175" s="114" t="str">
        <f t="shared" si="200"/>
        <v/>
      </c>
      <c r="AM175" s="43"/>
    </row>
    <row r="176">
      <c r="A176" s="7" t="s">
        <v>202</v>
      </c>
      <c r="B176" s="12">
        <v>45069.0</v>
      </c>
      <c r="C176" s="73" t="str">
        <f t="shared" si="3"/>
        <v/>
      </c>
      <c r="D176" s="54">
        <f t="array" ref="D176">IF(OR(ISBLANK($A176),$C176),IFERROR(0/0,""),INDEX('RFR Data - preExcl'!E$2:E447,$R176,1))</f>
        <v>11</v>
      </c>
      <c r="E176" s="54">
        <f t="array" ref="E176">IF(OR(ISBLANK($A176),$C176),IFERROR(0/0,""),INDEX('RFR Data - preExcl'!Z$2:Z447,$R176,1))</f>
        <v>11</v>
      </c>
      <c r="F176" s="54">
        <f t="array" ref="F176">IF(OR(ISBLANK(A176),C176),IFERROR(0/0,""),INDEX('RFR Data - preExcl'!AC$2:AC447,$R176,1))</f>
        <v>9</v>
      </c>
      <c r="G176" s="54">
        <f t="array" ref="G176">IF(OR(ISBLANK(A176),C176),IFERROR(0/0,""),INDEX('RFR Data - preExcl'!AK$2:AK447,$R176,1))</f>
        <v>9</v>
      </c>
      <c r="H176" s="54">
        <f t="array" ref="H176">IF(OR(ISBLANK(A176),C176),IFERROR(0/0,""),INDEX('RFR Data - preExcl'!AL$2:AL447,$R176,1))</f>
        <v>4</v>
      </c>
      <c r="I176" s="54">
        <f>IFERROR(VLOOKUP($B176,'APS Tubes by Date IMPORT'!$B$2:$J447,2,FALSE),"")</f>
        <v>9</v>
      </c>
      <c r="J176" s="54" t="b">
        <f>IFERROR(VLOOKUP($B176,'APS Tubes by Date IMPORT'!$B$2:$J447,9,FALSE),"")</f>
        <v>1</v>
      </c>
      <c r="K176" s="54">
        <f>IFNA(VLOOKUP($B176,'APS Tubes by Date IMPORT'!$B$2:$J447,6,FALSE),"")</f>
        <v>0</v>
      </c>
      <c r="L176" s="74">
        <f t="shared" si="197"/>
        <v>9</v>
      </c>
      <c r="M176" s="89">
        <v>0.0</v>
      </c>
      <c r="N176" s="116">
        <v>0.1</v>
      </c>
      <c r="O176" s="76" t="b">
        <f t="shared" si="201"/>
        <v>1</v>
      </c>
      <c r="P176" s="77" t="str">
        <f>IF(ISBLANK(N176),IFERROR(0/0,""),IFERROR(VLOOKUP(N176, 'Process Ref'!$A$76:$D$124, 2, FALSE), IFERROR(0/0,"")))</f>
        <v>ALL 3 COUNTS SAME after Null called Neg</v>
      </c>
      <c r="Q176" s="77" t="s">
        <v>231</v>
      </c>
      <c r="R176" s="78">
        <f>IFNA(MATCH(A176,'RFR Data - preExcl'!A$2:A447,0),"")</f>
        <v>231</v>
      </c>
      <c r="S176" s="43"/>
      <c r="T176" s="18" t="str">
        <f>IF(EXACT('RFR Data - preExcl'!W176,"Initial"),'RFR Data - preExcl'!A176,IFERROR(0/0,""))</f>
        <v>RUN-ABRM_2023-03-01_RFR-175</v>
      </c>
      <c r="U176" s="79">
        <f>IF(EXACT('RFR Data - preExcl'!W176,"Initial"),'RFR Data - preExcl'!U176,IFERROR(0/0,""))</f>
        <v>44986</v>
      </c>
      <c r="V176" s="117"/>
      <c r="X176" s="43"/>
      <c r="AC176" s="70"/>
      <c r="AF176" s="70"/>
      <c r="AG176" s="74">
        <v>9.0</v>
      </c>
      <c r="AH176" s="54">
        <v>0.0</v>
      </c>
      <c r="AI176" s="116">
        <v>0.1</v>
      </c>
      <c r="AJ176" s="114" t="str">
        <f t="shared" ref="AJ176:AL176" si="202">IF(AG176=L176,IFERROR(0/0,""),FALSE)</f>
        <v/>
      </c>
      <c r="AK176" s="114" t="str">
        <f t="shared" si="202"/>
        <v/>
      </c>
      <c r="AL176" s="114" t="str">
        <f t="shared" si="202"/>
        <v/>
      </c>
      <c r="AM176" s="43"/>
    </row>
    <row r="177">
      <c r="A177" s="7" t="s">
        <v>203</v>
      </c>
      <c r="B177" s="12">
        <v>45070.0</v>
      </c>
      <c r="C177" s="73" t="str">
        <f t="shared" si="3"/>
        <v/>
      </c>
      <c r="D177" s="54">
        <f t="array" ref="D177">IF(OR(ISBLANK($A177),$C177),IFERROR(0/0,""),INDEX('RFR Data - preExcl'!E$2:E447,$R177,1))</f>
        <v>6</v>
      </c>
      <c r="E177" s="54">
        <f t="array" ref="E177">IF(OR(ISBLANK($A177),$C177),IFERROR(0/0,""),INDEX('RFR Data - preExcl'!Z$2:Z447,$R177,1))</f>
        <v>6</v>
      </c>
      <c r="F177" s="54">
        <f t="array" ref="F177">IF(OR(ISBLANK(A177),C177),IFERROR(0/0,""),INDEX('RFR Data - preExcl'!AC$2:AC447,$R177,1))</f>
        <v>4</v>
      </c>
      <c r="G177" s="54">
        <f t="array" ref="G177">IF(OR(ISBLANK(A177),C177),IFERROR(0/0,""),INDEX('RFR Data - preExcl'!AK$2:AK447,$R177,1))</f>
        <v>4</v>
      </c>
      <c r="H177" s="54">
        <f t="array" ref="H177">IF(OR(ISBLANK(A177),C177),IFERROR(0/0,""),INDEX('RFR Data - preExcl'!AL$2:AL447,$R177,1))</f>
        <v>0</v>
      </c>
      <c r="I177" s="54">
        <f>IFERROR(VLOOKUP($B177,'APS Tubes by Date IMPORT'!$B$2:$J447,2,FALSE),"")</f>
        <v>3</v>
      </c>
      <c r="J177" s="54" t="b">
        <f>IFERROR(VLOOKUP($B177,'APS Tubes by Date IMPORT'!$B$2:$J447,9,FALSE),"")</f>
        <v>1</v>
      </c>
      <c r="K177" s="54">
        <f>IFNA(VLOOKUP($B177,'APS Tubes by Date IMPORT'!$B$2:$J447,6,FALSE),"")</f>
        <v>0</v>
      </c>
      <c r="L177" s="74">
        <f t="shared" si="197"/>
        <v>4</v>
      </c>
      <c r="M177" s="89">
        <v>1.0</v>
      </c>
      <c r="N177" s="134">
        <v>2.0</v>
      </c>
      <c r="O177" s="76" t="b">
        <f t="shared" si="201"/>
        <v>1</v>
      </c>
      <c r="P177" s="77" t="str">
        <f>IF(ISBLANK(N177),IFERROR(0/0,""),IFERROR(VLOOKUP(N177, 'Process Ref'!$A$76:$D$124, 2, FALSE), IFERROR(0/0,"")))</f>
        <v>Use Audit RFR count (extra tubes in RFR not in Appivo)</v>
      </c>
      <c r="Q177" s="77"/>
      <c r="R177" s="78">
        <f>IFNA(MATCH(A177,'RFR Data - preExcl'!A$2:A447,0),"")</f>
        <v>232</v>
      </c>
      <c r="S177" s="43"/>
      <c r="T177" s="18" t="str">
        <f>IF(EXACT('RFR Data - preExcl'!W177,"Initial"),'RFR Data - preExcl'!A177,IFERROR(0/0,""))</f>
        <v/>
      </c>
      <c r="U177" s="18" t="str">
        <f>IF(EXACT('RFR Data - preExcl'!W177,"Initial"),'RFR Data - preExcl'!U177,IFERROR(0/0,""))</f>
        <v/>
      </c>
      <c r="V177" s="117"/>
      <c r="X177" s="43"/>
      <c r="AC177" s="70"/>
      <c r="AF177" s="70"/>
      <c r="AG177" s="74">
        <v>4.0</v>
      </c>
      <c r="AH177" s="54">
        <v>0.0</v>
      </c>
      <c r="AI177" s="134">
        <v>2.0</v>
      </c>
      <c r="AJ177" s="114" t="str">
        <f t="shared" ref="AJ177:AL177" si="203">IF(AG177=L177,IFERROR(0/0,""),FALSE)</f>
        <v/>
      </c>
      <c r="AK177" s="114" t="b">
        <f t="shared" si="203"/>
        <v>0</v>
      </c>
      <c r="AL177" s="114" t="str">
        <f t="shared" si="203"/>
        <v/>
      </c>
      <c r="AM177" s="43"/>
    </row>
    <row r="178">
      <c r="A178" s="7" t="s">
        <v>205</v>
      </c>
      <c r="B178" s="12">
        <v>45071.0</v>
      </c>
      <c r="C178" s="73" t="str">
        <f t="shared" si="3"/>
        <v/>
      </c>
      <c r="D178" s="54">
        <f t="array" ref="D178">IF(OR(ISBLANK($A178),$C178),IFERROR(0/0,""),INDEX('RFR Data - preExcl'!E$2:E447,$R178,1))</f>
        <v>6</v>
      </c>
      <c r="E178" s="54">
        <f t="array" ref="E178">IF(OR(ISBLANK($A178),$C178),IFERROR(0/0,""),INDEX('RFR Data - preExcl'!Z$2:Z447,$R178,1))</f>
        <v>6</v>
      </c>
      <c r="F178" s="54">
        <f t="array" ref="F178">IF(OR(ISBLANK(A178),C178),IFERROR(0/0,""),INDEX('RFR Data - preExcl'!AC$2:AC447,$R178,1))</f>
        <v>4</v>
      </c>
      <c r="G178" s="54">
        <f t="array" ref="G178">IF(OR(ISBLANK(A178),C178),IFERROR(0/0,""),INDEX('RFR Data - preExcl'!AK$2:AK447,$R178,1))</f>
        <v>4</v>
      </c>
      <c r="H178" s="54">
        <f t="array" ref="H178">IF(OR(ISBLANK(A178),C178),IFERROR(0/0,""),INDEX('RFR Data - preExcl'!AL$2:AL447,$R178,1))</f>
        <v>0</v>
      </c>
      <c r="I178" s="54">
        <f>IFERROR(VLOOKUP($B178,'APS Tubes by Date IMPORT'!$B$2:$J447,2,FALSE),"")</f>
        <v>5</v>
      </c>
      <c r="J178" s="54" t="b">
        <f>IFERROR(VLOOKUP($B178,'APS Tubes by Date IMPORT'!$B$2:$J447,9,FALSE),"")</f>
        <v>1</v>
      </c>
      <c r="K178" s="54">
        <f>IFNA(VLOOKUP($B178,'APS Tubes by Date IMPORT'!$B$2:$J447,6,FALSE),"")</f>
        <v>0</v>
      </c>
      <c r="L178" s="74">
        <f t="shared" si="197"/>
        <v>4</v>
      </c>
      <c r="M178" s="89">
        <v>0.0</v>
      </c>
      <c r="N178" s="116">
        <v>1.0</v>
      </c>
      <c r="O178" s="109"/>
      <c r="P178" s="77" t="str">
        <f>IF(ISBLANK(N178),IFERROR(0/0,""),IFERROR(VLOOKUP(N178, 'Process Ref'!$A$76:$D$124, 2, FALSE), IFERROR(0/0,"")))</f>
        <v>Use APS Collect = RFR (diff APS Result count but nets out)</v>
      </c>
      <c r="Q178" s="110" t="s">
        <v>252</v>
      </c>
      <c r="R178" s="78">
        <f>IFNA(MATCH(A178,'RFR Data - preExcl'!A$2:A447,0),"")</f>
        <v>234</v>
      </c>
      <c r="S178" s="43"/>
      <c r="T178" s="18" t="str">
        <f>IF(EXACT('RFR Data - preExcl'!W178,"Initial"),'RFR Data - preExcl'!A178,IFERROR(0/0,""))</f>
        <v>RUN-ABRM_2023-03-02_RFR-177</v>
      </c>
      <c r="U178" s="79">
        <f>IF(EXACT('RFR Data - preExcl'!W178,"Initial"),'RFR Data - preExcl'!U178,IFERROR(0/0,""))</f>
        <v>44987</v>
      </c>
      <c r="V178" s="117"/>
      <c r="X178" s="43"/>
      <c r="AC178" s="70"/>
      <c r="AF178" s="70"/>
      <c r="AG178" s="74">
        <v>4.0</v>
      </c>
      <c r="AH178" s="54">
        <v>0.0</v>
      </c>
      <c r="AI178" s="116">
        <v>1.0</v>
      </c>
      <c r="AJ178" s="114" t="str">
        <f t="shared" ref="AJ178:AL178" si="204">IF(AG178=L178,IFERROR(0/0,""),FALSE)</f>
        <v/>
      </c>
      <c r="AK178" s="114" t="str">
        <f t="shared" si="204"/>
        <v/>
      </c>
      <c r="AL178" s="114" t="str">
        <f t="shared" si="204"/>
        <v/>
      </c>
      <c r="AM178" s="43"/>
    </row>
    <row r="179">
      <c r="A179" s="120" t="s">
        <v>204</v>
      </c>
      <c r="B179" s="121">
        <v>45071.0</v>
      </c>
      <c r="C179" s="122" t="b">
        <f t="shared" si="3"/>
        <v>1</v>
      </c>
      <c r="D179" s="123" t="str">
        <f t="array" ref="D179">IF(OR(ISBLANK($A179),$C179),IFERROR(0/0,""),INDEX('RFR Data - preExcl'!E$2:E447,$R179,1))</f>
        <v/>
      </c>
      <c r="E179" s="123" t="str">
        <f t="array" ref="E179">IF(OR(ISBLANK($A179),$C179),IFERROR(0/0,""),INDEX('RFR Data - preExcl'!Z$2:Z447,$R179,1))</f>
        <v/>
      </c>
      <c r="F179" s="123" t="str">
        <f t="array" ref="F179">IF(OR(ISBLANK(A179),C179),IFERROR(0/0,""),INDEX('RFR Data - preExcl'!AC$2:AC447,$R179,1))</f>
        <v/>
      </c>
      <c r="G179" s="123" t="str">
        <f t="array" ref="G179">IF(OR(ISBLANK(A179),C179),IFERROR(0/0,""),INDEX('RFR Data - preExcl'!AK$2:AK447,$R179,1))</f>
        <v/>
      </c>
      <c r="H179" s="123" t="str">
        <f t="array" ref="H179">IF(OR(ISBLANK(A179),C179),IFERROR(0/0,""),INDEX('RFR Data - preExcl'!AL$2:AL447,$R179,1))</f>
        <v/>
      </c>
      <c r="I179" s="123">
        <f>IFERROR(VLOOKUP($B179,'APS Tubes by Date IMPORT'!$B$2:$J447,2,FALSE),"")</f>
        <v>5</v>
      </c>
      <c r="J179" s="123" t="b">
        <f>IFERROR(VLOOKUP($B179,'APS Tubes by Date IMPORT'!$B$2:$J447,9,FALSE),"")</f>
        <v>1</v>
      </c>
      <c r="K179" s="123">
        <f>IFNA(VLOOKUP($B179,'APS Tubes by Date IMPORT'!$B$2:$J447,6,FALSE),"")</f>
        <v>0</v>
      </c>
      <c r="L179" s="111">
        <f>I178-L178</f>
        <v>1</v>
      </c>
      <c r="M179" s="89">
        <v>0.0</v>
      </c>
      <c r="N179" s="112">
        <v>3.5</v>
      </c>
      <c r="O179" s="109"/>
      <c r="P179" s="113" t="str">
        <f>IF(ISBLANK(N179),IFERROR(0/0,""),IFERROR(VLOOKUP(N179, 'Process Ref'!$A$76:$D$124, 2, FALSE), IFERROR(0/0,"")))</f>
        <v>Add Run from APS with no RFR (extra APS tube and conclude done in sep run with no RFR)</v>
      </c>
      <c r="Q179" s="129"/>
      <c r="R179" s="124" t="str">
        <f>IFNA(MATCH(A179,'RFR Data - preExcl'!A$2:A447,0),"")</f>
        <v/>
      </c>
      <c r="S179" s="43"/>
      <c r="T179" s="18" t="str">
        <f>IF(EXACT('RFR Data - preExcl'!W179,"Initial"),'RFR Data - preExcl'!A179,IFERROR(0/0,""))</f>
        <v/>
      </c>
      <c r="U179" s="18" t="str">
        <f>IF(EXACT('RFR Data - preExcl'!W179,"Initial"),'RFR Data - preExcl'!U179,IFERROR(0/0,""))</f>
        <v/>
      </c>
      <c r="V179" s="117"/>
      <c r="X179" s="43"/>
      <c r="AC179" s="70"/>
      <c r="AF179" s="70"/>
      <c r="AJ179" s="55"/>
      <c r="AK179" s="55"/>
      <c r="AL179" s="55"/>
      <c r="AM179" s="43"/>
    </row>
    <row r="180">
      <c r="A180" s="7" t="s">
        <v>206</v>
      </c>
      <c r="B180" s="12">
        <v>45072.0</v>
      </c>
      <c r="C180" s="131" t="str">
        <f t="shared" si="3"/>
        <v/>
      </c>
      <c r="D180" s="54">
        <f t="array" ref="D180">IF(OR(ISBLANK($A180),$C180),IFERROR(0/0,""),INDEX('RFR Data - preExcl'!E$2:E447,$R180,1))</f>
        <v>6</v>
      </c>
      <c r="E180" s="54">
        <f t="array" ref="E180">IF(OR(ISBLANK($A180),$C180),IFERROR(0/0,""),INDEX('RFR Data - preExcl'!Z$2:Z447,$R180,1))</f>
        <v>6</v>
      </c>
      <c r="F180" s="54">
        <f t="array" ref="F180">IF(OR(ISBLANK(A180),C180),IFERROR(0/0,""),INDEX('RFR Data - preExcl'!AC$2:AC447,$R180,1))</f>
        <v>4</v>
      </c>
      <c r="G180" s="54">
        <f t="array" ref="G180">IF(OR(ISBLANK(A180),C180),IFERROR(0/0,""),INDEX('RFR Data - preExcl'!AK$2:AK447,$R180,1))</f>
        <v>4</v>
      </c>
      <c r="H180" s="54">
        <f t="array" ref="H180">IF(OR(ISBLANK(A180),C180),IFERROR(0/0,""),INDEX('RFR Data - preExcl'!AL$2:AL447,$R180,1))</f>
        <v>0</v>
      </c>
      <c r="I180" s="54">
        <f>IFERROR(VLOOKUP($B180,'APS Tubes by Date IMPORT'!$B$2:$J447,2,FALSE),"")</f>
        <v>4</v>
      </c>
      <c r="J180" s="54" t="b">
        <f>IFERROR(VLOOKUP($B180,'APS Tubes by Date IMPORT'!$B$2:$J447,9,FALSE),"")</f>
        <v>1</v>
      </c>
      <c r="K180" s="54">
        <f>IFNA(VLOOKUP($B180,'APS Tubes by Date IMPORT'!$B$2:$J447,6,FALSE),"")</f>
        <v>0</v>
      </c>
      <c r="L180" s="126">
        <f t="shared" ref="L180:L184" si="206">G180</f>
        <v>4</v>
      </c>
      <c r="M180" s="127">
        <v>0.0</v>
      </c>
      <c r="N180" s="128">
        <v>0.2</v>
      </c>
      <c r="O180" s="76" t="b">
        <f t="shared" ref="O180:O184" si="207">IF(ISBLANK(M185),IFERROR(0/0,""),IF($CC167&lt;=4,TRUE,IFERROR(0/0,"")))</f>
        <v>1</v>
      </c>
      <c r="P180" s="77" t="str">
        <f>IF(ISBLANK(N181),IFERROR(0/0,""),IFERROR(VLOOKUP(N181, 'Process Ref'!$A$76:$D$124, 2, FALSE), IFERROR(0/0,"")))</f>
        <v>Use Audit RFR count (extra tubes in RFR not in Appivo)</v>
      </c>
      <c r="Q180" s="77"/>
      <c r="R180" s="135">
        <f>IFNA(MATCH(A180,'RFR Data - preExcl'!A$2:A447,0),"")</f>
        <v>235</v>
      </c>
      <c r="S180" s="43"/>
      <c r="T180" s="18" t="str">
        <f>IF(EXACT('RFR Data - preExcl'!W180,"Initial"),'RFR Data - preExcl'!A180,IFERROR(0/0,""))</f>
        <v>RUN-ABRM_2023-03-06_RFR-179</v>
      </c>
      <c r="U180" s="79">
        <f>IF(EXACT('RFR Data - preExcl'!W180,"Initial"),'RFR Data - preExcl'!U180,IFERROR(0/0,""))</f>
        <v>44991</v>
      </c>
      <c r="V180" s="117"/>
      <c r="X180" s="43"/>
      <c r="AC180" s="70"/>
      <c r="AF180" s="70"/>
      <c r="AG180" s="74">
        <v>4.0</v>
      </c>
      <c r="AH180" s="54">
        <v>0.0</v>
      </c>
      <c r="AI180" s="116">
        <v>0.2</v>
      </c>
      <c r="AJ180" s="114" t="str">
        <f t="shared" ref="AJ180:AL180" si="205">IF(AG180=L180,IFERROR(0/0,""),FALSE)</f>
        <v/>
      </c>
      <c r="AK180" s="114" t="str">
        <f t="shared" si="205"/>
        <v/>
      </c>
      <c r="AL180" s="114" t="str">
        <f t="shared" si="205"/>
        <v/>
      </c>
      <c r="AM180" s="43"/>
      <c r="AN180" s="126">
        <f t="shared" ref="AN180:AN184" si="209">AI180</f>
        <v>0.2</v>
      </c>
    </row>
    <row r="181">
      <c r="A181" s="7" t="s">
        <v>207</v>
      </c>
      <c r="B181" s="12">
        <v>45075.0</v>
      </c>
      <c r="C181" s="131" t="str">
        <f t="shared" si="3"/>
        <v/>
      </c>
      <c r="D181" s="54">
        <f t="array" ref="D181">IF(OR(ISBLANK($A181),$C181),IFERROR(0/0,""),INDEX('RFR Data - preExcl'!E$2:E447,$R181,1))</f>
        <v>7</v>
      </c>
      <c r="E181" s="54">
        <f t="array" ref="E181">IF(OR(ISBLANK($A181),$C181),IFERROR(0/0,""),INDEX('RFR Data - preExcl'!Z$2:Z447,$R181,1))</f>
        <v>7</v>
      </c>
      <c r="F181" s="54">
        <f t="array" ref="F181">IF(OR(ISBLANK(A181),C181),IFERROR(0/0,""),INDEX('RFR Data - preExcl'!AC$2:AC447,$R181,1))</f>
        <v>5</v>
      </c>
      <c r="G181" s="54">
        <f t="array" ref="G181">IF(OR(ISBLANK(A181),C181),IFERROR(0/0,""),INDEX('RFR Data - preExcl'!AK$2:AK447,$R181,1))</f>
        <v>5</v>
      </c>
      <c r="H181" s="54">
        <f t="array" ref="H181">IF(OR(ISBLANK(A181),C181),IFERROR(0/0,""),INDEX('RFR Data - preExcl'!AL$2:AL447,$R181,1))</f>
        <v>0</v>
      </c>
      <c r="I181" s="54">
        <f>IFERROR(VLOOKUP($B181,'APS Tubes by Date IMPORT'!$B$2:$J447,2,FALSE),"")</f>
        <v>4</v>
      </c>
      <c r="J181" s="54" t="b">
        <f>IFERROR(VLOOKUP($B181,'APS Tubes by Date IMPORT'!$B$2:$J447,9,FALSE),"")</f>
        <v>1</v>
      </c>
      <c r="K181" s="54">
        <f>IFNA(VLOOKUP($B181,'APS Tubes by Date IMPORT'!$B$2:$J447,6,FALSE),"")</f>
        <v>0</v>
      </c>
      <c r="L181" s="74">
        <f t="shared" si="206"/>
        <v>5</v>
      </c>
      <c r="M181" s="89">
        <v>1.0</v>
      </c>
      <c r="N181" s="134">
        <v>2.0</v>
      </c>
      <c r="O181" s="76" t="str">
        <f t="shared" si="207"/>
        <v/>
      </c>
      <c r="P181" s="77" t="str">
        <f>IF(ISBLANK(N182),IFERROR(0/0,""),IFERROR(VLOOKUP(N182, 'Process Ref'!$A$76:$D$124, 2, FALSE), IFERROR(0/0,"")))</f>
        <v>ALL 3 COUNTS SAME meaning APS Collect = APS Result = RFR</v>
      </c>
      <c r="Q181" s="77"/>
      <c r="R181" s="135">
        <f>IFNA(MATCH(A181,'RFR Data - preExcl'!A$2:A447,0),"")</f>
        <v>236</v>
      </c>
      <c r="S181" s="43"/>
      <c r="T181" s="18" t="str">
        <f>IF(EXACT('RFR Data - preExcl'!W181,"Initial"),'RFR Data - preExcl'!A181,IFERROR(0/0,""))</f>
        <v/>
      </c>
      <c r="U181" s="18" t="str">
        <f>IF(EXACT('RFR Data - preExcl'!W181,"Initial"),'RFR Data - preExcl'!U181,IFERROR(0/0,""))</f>
        <v/>
      </c>
      <c r="V181" s="117"/>
      <c r="X181" s="43"/>
      <c r="AC181" s="70"/>
      <c r="AF181" s="70"/>
      <c r="AG181" s="74">
        <v>5.0</v>
      </c>
      <c r="AH181" s="54">
        <v>1.0</v>
      </c>
      <c r="AI181" s="134">
        <v>2.0</v>
      </c>
      <c r="AJ181" s="114" t="str">
        <f t="shared" ref="AJ181:AL181" si="208">IF(AG181=L181,IFERROR(0/0,""),FALSE)</f>
        <v/>
      </c>
      <c r="AK181" s="114" t="str">
        <f t="shared" si="208"/>
        <v/>
      </c>
      <c r="AL181" s="114" t="str">
        <f t="shared" si="208"/>
        <v/>
      </c>
      <c r="AM181" s="43"/>
      <c r="AN181" s="74">
        <f t="shared" si="209"/>
        <v>2</v>
      </c>
    </row>
    <row r="182">
      <c r="A182" s="7" t="s">
        <v>208</v>
      </c>
      <c r="B182" s="12">
        <v>45076.0</v>
      </c>
      <c r="C182" s="131" t="str">
        <f t="shared" si="3"/>
        <v/>
      </c>
      <c r="D182" s="54">
        <f t="array" ref="D182">IF(OR(ISBLANK($A182),$C182),IFERROR(0/0,""),INDEX('RFR Data - preExcl'!E$2:E447,$R182,1))</f>
        <v>7</v>
      </c>
      <c r="E182" s="54">
        <f t="array" ref="E182">IF(OR(ISBLANK($A182),$C182),IFERROR(0/0,""),INDEX('RFR Data - preExcl'!Z$2:Z447,$R182,1))</f>
        <v>7</v>
      </c>
      <c r="F182" s="54">
        <f t="array" ref="F182">IF(OR(ISBLANK(A182),C182),IFERROR(0/0,""),INDEX('RFR Data - preExcl'!AC$2:AC447,$R182,1))</f>
        <v>5</v>
      </c>
      <c r="G182" s="54">
        <f t="array" ref="G182">IF(OR(ISBLANK(A182),C182),IFERROR(0/0,""),INDEX('RFR Data - preExcl'!AK$2:AK447,$R182,1))</f>
        <v>5</v>
      </c>
      <c r="H182" s="54">
        <f t="array" ref="H182">IF(OR(ISBLANK(A182),C182),IFERROR(0/0,""),INDEX('RFR Data - preExcl'!AL$2:AL447,$R182,1))</f>
        <v>1.1</v>
      </c>
      <c r="I182" s="54">
        <f>IFERROR(VLOOKUP($B182,'APS Tubes by Date IMPORT'!$B$2:$J447,2,FALSE),"")</f>
        <v>5</v>
      </c>
      <c r="J182" s="54" t="b">
        <f>IFERROR(VLOOKUP($B182,'APS Tubes by Date IMPORT'!$B$2:$J447,9,FALSE),"")</f>
        <v>1</v>
      </c>
      <c r="K182" s="54">
        <f>IFNA(VLOOKUP($B182,'APS Tubes by Date IMPORT'!$B$2:$J447,6,FALSE),"")</f>
        <v>0</v>
      </c>
      <c r="L182" s="74">
        <f t="shared" si="206"/>
        <v>5</v>
      </c>
      <c r="M182" s="89">
        <v>0.0</v>
      </c>
      <c r="N182" s="116">
        <v>0.0</v>
      </c>
      <c r="O182" s="76" t="str">
        <f t="shared" si="207"/>
        <v/>
      </c>
      <c r="P182" s="77" t="str">
        <f>IF(ISBLANK(N183),IFERROR(0/0,""),IFERROR(VLOOKUP(N183, 'Process Ref'!$A$76:$D$124, 2, FALSE), IFERROR(0/0,"")))</f>
        <v>ALL 3 COUNTS SAME meaning APS Collect = APS Result = RFR</v>
      </c>
      <c r="Q182" s="77"/>
      <c r="R182" s="135">
        <f>IFNA(MATCH(A182,'RFR Data - preExcl'!A$2:A447,0),"")</f>
        <v>237</v>
      </c>
      <c r="S182" s="43"/>
      <c r="T182" s="18" t="str">
        <f>IF(EXACT('RFR Data - preExcl'!W182,"Initial"),'RFR Data - preExcl'!A182,IFERROR(0/0,""))</f>
        <v>RUN-ABRM_2023-03-07_RFR-181</v>
      </c>
      <c r="U182" s="79">
        <f>IF(EXACT('RFR Data - preExcl'!W182,"Initial"),'RFR Data - preExcl'!U182,IFERROR(0/0,""))</f>
        <v>44992</v>
      </c>
      <c r="V182" s="117"/>
      <c r="X182" s="43"/>
      <c r="AC182" s="70"/>
      <c r="AF182" s="70"/>
      <c r="AG182" s="74">
        <v>5.0</v>
      </c>
      <c r="AH182" s="54">
        <v>0.0</v>
      </c>
      <c r="AI182" s="116">
        <v>0.0</v>
      </c>
      <c r="AJ182" s="114" t="str">
        <f t="shared" ref="AJ182:AL182" si="210">IF(AG182=L182,IFERROR(0/0,""),FALSE)</f>
        <v/>
      </c>
      <c r="AK182" s="114" t="str">
        <f t="shared" si="210"/>
        <v/>
      </c>
      <c r="AL182" s="114" t="str">
        <f t="shared" si="210"/>
        <v/>
      </c>
      <c r="AM182" s="43"/>
      <c r="AN182" s="74">
        <f t="shared" si="209"/>
        <v>0</v>
      </c>
    </row>
    <row r="183">
      <c r="A183" s="7" t="s">
        <v>209</v>
      </c>
      <c r="B183" s="12">
        <v>45077.0</v>
      </c>
      <c r="C183" s="131" t="str">
        <f t="shared" si="3"/>
        <v/>
      </c>
      <c r="D183" s="54">
        <f t="array" ref="D183">IF(OR(ISBLANK($A183),$C183),IFERROR(0/0,""),INDEX('RFR Data - preExcl'!E$2:E447,$R183,1))</f>
        <v>8</v>
      </c>
      <c r="E183" s="54">
        <f t="array" ref="E183">IF(OR(ISBLANK($A183),$C183),IFERROR(0/0,""),INDEX('RFR Data - preExcl'!Z$2:Z447,$R183,1))</f>
        <v>8</v>
      </c>
      <c r="F183" s="54">
        <f t="array" ref="F183">IF(OR(ISBLANK(A183),C183),IFERROR(0/0,""),INDEX('RFR Data - preExcl'!AC$2:AC447,$R183,1))</f>
        <v>6</v>
      </c>
      <c r="G183" s="54">
        <f t="array" ref="G183">IF(OR(ISBLANK(A183),C183),IFERROR(0/0,""),INDEX('RFR Data - preExcl'!AK$2:AK447,$R183,1))</f>
        <v>6</v>
      </c>
      <c r="H183" s="54">
        <f t="array" ref="H183">IF(OR(ISBLANK(A183),C183),IFERROR(0/0,""),INDEX('RFR Data - preExcl'!AL$2:AL447,$R183,1))</f>
        <v>0</v>
      </c>
      <c r="I183" s="54">
        <f>IFERROR(VLOOKUP($B183,'APS Tubes by Date IMPORT'!$B$2:$J447,2,FALSE),"")</f>
        <v>6</v>
      </c>
      <c r="J183" s="54" t="str">
        <f>IFERROR(VLOOKUP($B183,'APS Tubes by Date IMPORT'!$B$2:$J447,9,FALSE),"")</f>
        <v/>
      </c>
      <c r="K183" s="54">
        <f>IFNA(VLOOKUP($B183,'APS Tubes by Date IMPORT'!$B$2:$J447,6,FALSE),"")</f>
        <v>0</v>
      </c>
      <c r="L183" s="74">
        <f t="shared" si="206"/>
        <v>6</v>
      </c>
      <c r="M183" s="89">
        <v>0.0</v>
      </c>
      <c r="N183" s="116">
        <v>0.0</v>
      </c>
      <c r="O183" s="76" t="str">
        <f t="shared" si="207"/>
        <v/>
      </c>
      <c r="P183" s="77" t="str">
        <f>IF(ISBLANK(N184),IFERROR(0/0,""),IFERROR(VLOOKUP(N184, 'Process Ref'!$A$76:$D$124, 2, FALSE), IFERROR(0/0,"")))</f>
        <v>ALL 3 COUNTS SAME meaning APS Collect = APS Result = RFR</v>
      </c>
      <c r="Q183" s="77"/>
      <c r="R183" s="135">
        <f>IFNA(MATCH(A183,'RFR Data - preExcl'!A$2:A447,0),"")</f>
        <v>239</v>
      </c>
      <c r="S183" s="43"/>
      <c r="T183" s="18" t="str">
        <f>IF(EXACT('RFR Data - preExcl'!W183,"Initial"),'RFR Data - preExcl'!A183,IFERROR(0/0,""))</f>
        <v>RUN-ABRM_2023-03-08_RFR-182</v>
      </c>
      <c r="U183" s="79">
        <f>IF(EXACT('RFR Data - preExcl'!W183,"Initial"),'RFR Data - preExcl'!U183,IFERROR(0/0,""))</f>
        <v>44993</v>
      </c>
      <c r="V183" s="117"/>
      <c r="X183" s="43"/>
      <c r="AC183" s="70"/>
      <c r="AF183" s="70"/>
      <c r="AG183" s="74">
        <v>6.0</v>
      </c>
      <c r="AH183" s="54">
        <v>0.0</v>
      </c>
      <c r="AI183" s="116">
        <v>0.0</v>
      </c>
      <c r="AJ183" s="114" t="str">
        <f t="shared" ref="AJ183:AL183" si="211">IF(AG183=L183,IFERROR(0/0,""),FALSE)</f>
        <v/>
      </c>
      <c r="AK183" s="114" t="str">
        <f t="shared" si="211"/>
        <v/>
      </c>
      <c r="AL183" s="114" t="str">
        <f t="shared" si="211"/>
        <v/>
      </c>
      <c r="AM183" s="43"/>
      <c r="AN183" s="74">
        <f t="shared" si="209"/>
        <v>0</v>
      </c>
    </row>
    <row r="184">
      <c r="A184" s="7" t="s">
        <v>210</v>
      </c>
      <c r="B184" s="12">
        <v>45078.0</v>
      </c>
      <c r="C184" s="131" t="str">
        <f t="shared" si="3"/>
        <v/>
      </c>
      <c r="D184" s="54">
        <f t="array" ref="D184">IF(OR(ISBLANK($A184),$C184),IFERROR(0/0,""),INDEX('RFR Data - preExcl'!E$2:E447,$R184,1))</f>
        <v>7</v>
      </c>
      <c r="E184" s="54">
        <f t="array" ref="E184">IF(OR(ISBLANK($A184),$C184),IFERROR(0/0,""),INDEX('RFR Data - preExcl'!Z$2:Z447,$R184,1))</f>
        <v>7</v>
      </c>
      <c r="F184" s="54">
        <f t="array" ref="F184">IF(OR(ISBLANK(A184),C184),IFERROR(0/0,""),INDEX('RFR Data - preExcl'!AC$2:AC447,$R184,1))</f>
        <v>5</v>
      </c>
      <c r="G184" s="54">
        <f t="array" ref="G184">IF(OR(ISBLANK(A184),C184),IFERROR(0/0,""),INDEX('RFR Data - preExcl'!AK$2:AK447,$R184,1))</f>
        <v>5</v>
      </c>
      <c r="H184" s="54">
        <f t="array" ref="H184">IF(OR(ISBLANK(A184),C184),IFERROR(0/0,""),INDEX('RFR Data - preExcl'!AL$2:AL447,$R184,1))</f>
        <v>0</v>
      </c>
      <c r="I184" s="54">
        <f>IFERROR(VLOOKUP($B184,'APS Tubes by Date IMPORT'!$B$2:$J447,2,FALSE),"")</f>
        <v>5</v>
      </c>
      <c r="J184" s="54" t="b">
        <f>IFERROR(VLOOKUP($B184,'APS Tubes by Date IMPORT'!$B$2:$J447,9,FALSE),"")</f>
        <v>1</v>
      </c>
      <c r="K184" s="54">
        <f>IFNA(VLOOKUP($B184,'APS Tubes by Date IMPORT'!$B$2:$J447,6,FALSE),"")</f>
        <v>0</v>
      </c>
      <c r="L184" s="74">
        <f t="shared" si="206"/>
        <v>5</v>
      </c>
      <c r="M184" s="89">
        <v>0.0</v>
      </c>
      <c r="N184" s="116">
        <v>0.0</v>
      </c>
      <c r="O184" s="76" t="str">
        <f t="shared" si="207"/>
        <v/>
      </c>
      <c r="P184" s="77" t="str">
        <f>IF(ISBLANK(N185),IFERROR(0/0,""),IFERROR(VLOOKUP(N185, 'Process Ref'!$A$76:$D$124, 2, FALSE), IFERROR(0/0,"")))</f>
        <v>Add Run from APS with no RFR (assume run on same day as Collect, ignore Result day)</v>
      </c>
      <c r="Q184" s="77"/>
      <c r="R184" s="135">
        <f>IFNA(MATCH(A184,'RFR Data - preExcl'!A$2:A447,0),"")</f>
        <v>240</v>
      </c>
      <c r="S184" s="43"/>
      <c r="T184" s="18" t="str">
        <f>IF(EXACT('RFR Data - preExcl'!W184,"Initial"),'RFR Data - preExcl'!A184,IFERROR(0/0,""))</f>
        <v/>
      </c>
      <c r="U184" s="18" t="str">
        <f>IF(EXACT('RFR Data - preExcl'!W184,"Initial"),'RFR Data - preExcl'!U184,IFERROR(0/0,""))</f>
        <v/>
      </c>
      <c r="V184" s="117"/>
      <c r="X184" s="43"/>
      <c r="AC184" s="70"/>
      <c r="AF184" s="70"/>
      <c r="AG184" s="74">
        <v>5.0</v>
      </c>
      <c r="AH184" s="54">
        <v>0.0</v>
      </c>
      <c r="AI184" s="116">
        <v>0.0</v>
      </c>
      <c r="AJ184" s="114" t="str">
        <f t="shared" ref="AJ184:AL184" si="212">IF(AG184=L184,IFERROR(0/0,""),FALSE)</f>
        <v/>
      </c>
      <c r="AK184" s="114" t="str">
        <f t="shared" si="212"/>
        <v/>
      </c>
      <c r="AL184" s="114" t="str">
        <f t="shared" si="212"/>
        <v/>
      </c>
      <c r="AM184" s="43"/>
      <c r="AN184" s="74">
        <f t="shared" si="209"/>
        <v>0</v>
      </c>
    </row>
    <row r="185">
      <c r="A185" s="7" t="s">
        <v>211</v>
      </c>
      <c r="B185" s="12">
        <v>45079.0</v>
      </c>
      <c r="C185" s="131" t="b">
        <f t="shared" si="3"/>
        <v>1</v>
      </c>
      <c r="D185" s="54" t="str">
        <f t="array" ref="D185">IF(OR(ISBLANK($A185),$C185),IFERROR(0/0,""),INDEX('RFR Data - preExcl'!E$2:E447,$R185,1))</f>
        <v/>
      </c>
      <c r="E185" s="54" t="str">
        <f t="array" ref="E185">IF(OR(ISBLANK($A185),$C185),IFERROR(0/0,""),INDEX('RFR Data - preExcl'!Z$2:Z447,$R185,1))</f>
        <v/>
      </c>
      <c r="F185" s="54" t="str">
        <f t="array" ref="F185">IF(OR(ISBLANK(A185),C185),IFERROR(0/0,""),INDEX('RFR Data - preExcl'!AC$2:AC447,$R185,1))</f>
        <v/>
      </c>
      <c r="G185" s="54" t="str">
        <f t="array" ref="G185">IF(OR(ISBLANK(A185),C185),IFERROR(0/0,""),INDEX('RFR Data - preExcl'!AK$2:AK447,$R185,1))</f>
        <v/>
      </c>
      <c r="H185" s="54" t="str">
        <f t="array" ref="H185">IF(OR(ISBLANK(A185),C185),IFERROR(0/0,""),INDEX('RFR Data - preExcl'!AL$2:AL447,$R185,1))</f>
        <v/>
      </c>
      <c r="I185" s="54">
        <f>IFERROR(VLOOKUP($B185,'APS Tubes by Date IMPORT'!$B$2:$J447,2,FALSE),"")</f>
        <v>4</v>
      </c>
      <c r="J185" s="54" t="b">
        <f>IFERROR(VLOOKUP($B185,'APS Tubes by Date IMPORT'!$B$2:$J447,9,FALSE),"")</f>
        <v>1</v>
      </c>
      <c r="K185" s="54">
        <f>IFNA(VLOOKUP($B185,'APS Tubes by Date IMPORT'!$B$2:$J447,6,FALSE),"")</f>
        <v>0</v>
      </c>
      <c r="L185" s="111">
        <f>I185</f>
        <v>4</v>
      </c>
      <c r="M185" s="89">
        <v>0.0</v>
      </c>
      <c r="N185" s="112">
        <v>3.4</v>
      </c>
      <c r="O185" s="109"/>
      <c r="P185" s="113" t="str">
        <f>IF(ISBLANK(N185),IFERROR(0/0,""),IFERROR(VLOOKUP(N185, 'Process Ref'!$A$76:$D$124, 2, FALSE), IFERROR(0/0,"")))</f>
        <v>Add Run from APS with no RFR (assume run on same day as Collect, ignore Result day)</v>
      </c>
      <c r="Q185" s="77"/>
      <c r="R185" s="135" t="str">
        <f>IFNA(MATCH(A185,'RFR Data - preExcl'!A$2:A447,0),"")</f>
        <v/>
      </c>
      <c r="S185" s="43"/>
      <c r="T185" s="18" t="str">
        <f>IF(EXACT('RFR Data - preExcl'!W185,"Initial"),'RFR Data - preExcl'!A185,IFERROR(0/0,""))</f>
        <v>RUN-ABRM_2023-03-09_RFR-184</v>
      </c>
      <c r="U185" s="79">
        <f>IF(EXACT('RFR Data - preExcl'!W185,"Initial"),'RFR Data - preExcl'!U185,IFERROR(0/0,""))</f>
        <v>44994</v>
      </c>
      <c r="V185" s="117"/>
      <c r="X185" s="43"/>
      <c r="AC185" s="70"/>
      <c r="AF185" s="70"/>
      <c r="AG185" s="111">
        <v>4.0</v>
      </c>
      <c r="AH185" s="54">
        <v>0.0</v>
      </c>
      <c r="AI185" s="112">
        <v>3.4</v>
      </c>
      <c r="AJ185" s="114" t="str">
        <f t="shared" ref="AJ185:AL185" si="213">IF(AG185=L185,IFERROR(0/0,""),FALSE)</f>
        <v/>
      </c>
      <c r="AK185" s="114" t="str">
        <f t="shared" si="213"/>
        <v/>
      </c>
      <c r="AL185" s="114" t="str">
        <f t="shared" si="213"/>
        <v/>
      </c>
      <c r="AM185" s="43"/>
      <c r="AN185" s="111" t="str">
        <f>AK185</f>
        <v/>
      </c>
    </row>
    <row r="186">
      <c r="A186" s="7"/>
      <c r="B186" s="7"/>
      <c r="C186" s="131"/>
      <c r="D186" s="54"/>
      <c r="E186" s="54"/>
      <c r="F186" s="54"/>
      <c r="G186" s="54"/>
      <c r="H186" s="54"/>
      <c r="I186" s="54"/>
      <c r="J186" s="54"/>
      <c r="K186" s="54"/>
      <c r="L186" s="54"/>
      <c r="M186" s="54"/>
      <c r="N186" s="89"/>
      <c r="P186" s="77"/>
      <c r="Q186" s="77"/>
      <c r="R186" s="78" t="str">
        <f>IFNA(MATCH(A186,'RFR Data - preExcl'!A$2:A447,0),"")</f>
        <v/>
      </c>
      <c r="S186" s="43"/>
      <c r="T186" s="18" t="str">
        <f>IF(EXACT('RFR Data - preExcl'!W186,"Initial"),'RFR Data - preExcl'!A186,IFERROR(0/0,""))</f>
        <v/>
      </c>
      <c r="U186" s="18" t="str">
        <f>IF(EXACT('RFR Data - preExcl'!W186,"Initial"),'RFR Data - preExcl'!U186,IFERROR(0/0,""))</f>
        <v/>
      </c>
      <c r="V186" s="117"/>
      <c r="X186" s="43"/>
      <c r="AC186" s="70"/>
      <c r="AF186" s="70"/>
      <c r="AJ186" s="7" t="str">
        <f t="shared" ref="AJ186:AL186" si="214">IF(AG186=L186,IFERROR(0/0,""),FALSE)</f>
        <v/>
      </c>
      <c r="AK186" s="7" t="str">
        <f t="shared" si="214"/>
        <v/>
      </c>
      <c r="AL186" s="7" t="str">
        <f t="shared" si="214"/>
        <v/>
      </c>
      <c r="AM186" s="43"/>
    </row>
    <row r="187">
      <c r="C187" s="131"/>
      <c r="D187" s="54"/>
      <c r="E187" s="54"/>
      <c r="F187" s="54"/>
      <c r="G187" s="54"/>
      <c r="H187" s="54"/>
      <c r="I187" s="54"/>
      <c r="J187" s="54"/>
      <c r="K187" s="54"/>
      <c r="L187" s="54"/>
      <c r="M187" s="54"/>
      <c r="N187" s="89"/>
      <c r="P187" s="77"/>
      <c r="Q187" s="77"/>
      <c r="R187" s="78" t="str">
        <f>IFNA(MATCH(A187,'RFR Data - preExcl'!A$2:A447,0),"")</f>
        <v/>
      </c>
      <c r="S187" s="43"/>
      <c r="T187" s="18" t="str">
        <f>IF(EXACT('RFR Data - preExcl'!W187,"Initial"),'RFR Data - preExcl'!A187,IFERROR(0/0,""))</f>
        <v>RUN-ABRM_2023-03-10_RFR-186</v>
      </c>
      <c r="U187" s="79">
        <f>IF(EXACT('RFR Data - preExcl'!W187,"Initial"),'RFR Data - preExcl'!U187,IFERROR(0/0,""))</f>
        <v>44995</v>
      </c>
      <c r="V187" s="117"/>
      <c r="X187" s="43"/>
      <c r="AC187" s="70"/>
      <c r="AF187" s="70"/>
      <c r="AJ187" s="7" t="str">
        <f t="shared" ref="AJ187:AL187" si="215">IF(AG187=L187,IFERROR(0/0,""),FALSE)</f>
        <v/>
      </c>
      <c r="AK187" s="7" t="str">
        <f t="shared" si="215"/>
        <v/>
      </c>
      <c r="AL187" s="7" t="str">
        <f t="shared" si="215"/>
        <v/>
      </c>
      <c r="AM187" s="43"/>
    </row>
    <row r="188">
      <c r="C188" s="131"/>
      <c r="D188" s="54"/>
      <c r="E188" s="54"/>
      <c r="F188" s="54"/>
      <c r="G188" s="54"/>
      <c r="H188" s="54"/>
      <c r="I188" s="54"/>
      <c r="J188" s="54"/>
      <c r="K188" s="54"/>
      <c r="L188" s="54"/>
      <c r="M188" s="54"/>
      <c r="N188" s="89"/>
      <c r="P188" s="77"/>
      <c r="Q188" s="77"/>
      <c r="R188" s="78" t="str">
        <f>IFNA(MATCH(A188,'RFR Data - preExcl'!A$2:A447,0),"")</f>
        <v/>
      </c>
      <c r="S188" s="43"/>
      <c r="T188" s="18" t="str">
        <f>IF(EXACT('RFR Data - preExcl'!W188,"Initial"),'RFR Data - preExcl'!A188,IFERROR(0/0,""))</f>
        <v>RUN-ABRM_2023-03-21_RFR-187</v>
      </c>
      <c r="U188" s="79">
        <f>IF(EXACT('RFR Data - preExcl'!W188,"Initial"),'RFR Data - preExcl'!U188,IFERROR(0/0,""))</f>
        <v>45006</v>
      </c>
      <c r="V188" s="117"/>
      <c r="X188" s="43"/>
      <c r="AC188" s="70"/>
      <c r="AF188" s="70"/>
      <c r="AJ188" s="7" t="str">
        <f t="shared" ref="AJ188:AL188" si="216">IF(AG188=L188,IFERROR(0/0,""),FALSE)</f>
        <v/>
      </c>
      <c r="AK188" s="7" t="str">
        <f t="shared" si="216"/>
        <v/>
      </c>
      <c r="AL188" s="7" t="str">
        <f t="shared" si="216"/>
        <v/>
      </c>
      <c r="AM188" s="43"/>
    </row>
    <row r="189">
      <c r="C189" s="131"/>
      <c r="D189" s="54"/>
      <c r="E189" s="54"/>
      <c r="F189" s="54"/>
      <c r="G189" s="54"/>
      <c r="H189" s="54"/>
      <c r="I189" s="54"/>
      <c r="J189" s="54"/>
      <c r="K189" s="54"/>
      <c r="L189" s="54"/>
      <c r="M189" s="54"/>
      <c r="N189" s="89"/>
      <c r="P189" s="77"/>
      <c r="Q189" s="77"/>
      <c r="R189" s="78" t="str">
        <f>IFNA(MATCH(A189,'RFR Data - preExcl'!A$2:A447,0),"")</f>
        <v/>
      </c>
      <c r="S189" s="43"/>
      <c r="T189" s="18" t="str">
        <f>IF(EXACT('RFR Data - preExcl'!W189,"Initial"),'RFR Data - preExcl'!A189,IFERROR(0/0,""))</f>
        <v/>
      </c>
      <c r="U189" s="18" t="str">
        <f>IF(EXACT('RFR Data - preExcl'!W189,"Initial"),'RFR Data - preExcl'!U189,IFERROR(0/0,""))</f>
        <v/>
      </c>
      <c r="V189" s="117"/>
      <c r="X189" s="43"/>
      <c r="AC189" s="70"/>
      <c r="AF189" s="70"/>
      <c r="AJ189" s="7" t="str">
        <f t="shared" ref="AJ189:AL189" si="217">IF(AG189=L189,IFERROR(0/0,""),FALSE)</f>
        <v/>
      </c>
      <c r="AK189" s="7" t="str">
        <f t="shared" si="217"/>
        <v/>
      </c>
      <c r="AL189" s="7" t="str">
        <f t="shared" si="217"/>
        <v/>
      </c>
      <c r="AM189" s="43"/>
    </row>
    <row r="190">
      <c r="C190" s="131"/>
      <c r="D190" s="54"/>
      <c r="E190" s="54"/>
      <c r="F190" s="54"/>
      <c r="G190" s="54"/>
      <c r="H190" s="54"/>
      <c r="I190" s="54"/>
      <c r="J190" s="54"/>
      <c r="K190" s="54"/>
      <c r="L190" s="54"/>
      <c r="M190" s="54"/>
      <c r="N190" s="89"/>
      <c r="P190" s="77" t="str">
        <f>IF(ISBLANK(#REF!),IFERROR(0/0,""),IFERROR(VLOOKUP(#REF!, 'Process Ref'!$A$76:$D$124, 2, FALSE), IFERROR(0/0,"")))</f>
        <v/>
      </c>
      <c r="R190" s="78" t="str">
        <f>IFNA(MATCH(A190,'RFR Data - preExcl'!A$2:A447,0),"")</f>
        <v/>
      </c>
      <c r="S190" s="43"/>
      <c r="T190" s="18" t="str">
        <f>IF(EXACT('RFR Data - preExcl'!W190,"Initial"),'RFR Data - preExcl'!A190,IFERROR(0/0,""))</f>
        <v>RUN-ABRM_2023-03-22_RFR-189</v>
      </c>
      <c r="U190" s="79">
        <f>IF(EXACT('RFR Data - preExcl'!W190,"Initial"),'RFR Data - preExcl'!U190,IFERROR(0/0,""))</f>
        <v>45007</v>
      </c>
      <c r="V190" s="117"/>
      <c r="X190" s="43"/>
      <c r="AC190" s="70"/>
      <c r="AF190" s="70"/>
      <c r="AJ190" s="7" t="str">
        <f t="shared" ref="AJ190:AL190" si="218">IF(AG190=L190,IFERROR(0/0,""),FALSE)</f>
        <v/>
      </c>
      <c r="AK190" s="7" t="str">
        <f t="shared" si="218"/>
        <v/>
      </c>
      <c r="AL190" s="7" t="str">
        <f t="shared" si="218"/>
        <v/>
      </c>
      <c r="AM190" s="43"/>
    </row>
    <row r="191">
      <c r="C191" s="131"/>
      <c r="D191" s="54"/>
      <c r="E191" s="54"/>
      <c r="F191" s="54"/>
      <c r="G191" s="54"/>
      <c r="H191" s="54"/>
      <c r="I191" s="54"/>
      <c r="J191" s="54"/>
      <c r="K191" s="54"/>
      <c r="L191" s="54"/>
      <c r="M191" s="54"/>
      <c r="N191" s="89"/>
      <c r="P191" s="77" t="str">
        <f>IF(ISBLANK(N186),IFERROR(0/0,""),IFERROR(VLOOKUP(N186, 'Process Ref'!$A$76:$D$124, 2, FALSE), IFERROR(0/0,"")))</f>
        <v/>
      </c>
      <c r="R191" s="78" t="str">
        <f>IFNA(MATCH(A191,'RFR Data - preExcl'!A$2:A447,0),"")</f>
        <v/>
      </c>
      <c r="S191" s="43"/>
      <c r="T191" s="18" t="str">
        <f>IF(EXACT('RFR Data - preExcl'!W191,"Initial"),'RFR Data - preExcl'!A191,IFERROR(0/0,""))</f>
        <v/>
      </c>
      <c r="U191" s="18" t="str">
        <f>IF(EXACT('RFR Data - preExcl'!W191,"Initial"),'RFR Data - preExcl'!U191,IFERROR(0/0,""))</f>
        <v/>
      </c>
      <c r="V191" s="117"/>
      <c r="X191" s="43"/>
      <c r="AC191" s="70"/>
      <c r="AF191" s="70"/>
      <c r="AJ191" s="7" t="str">
        <f t="shared" ref="AJ191:AL191" si="219">IF(AG191=L191,IFERROR(0/0,""),FALSE)</f>
        <v/>
      </c>
      <c r="AK191" s="7" t="str">
        <f t="shared" si="219"/>
        <v/>
      </c>
      <c r="AL191" s="7" t="str">
        <f t="shared" si="219"/>
        <v/>
      </c>
      <c r="AM191" s="43"/>
    </row>
    <row r="192">
      <c r="C192" s="131"/>
      <c r="D192" s="54"/>
      <c r="E192" s="54"/>
      <c r="F192" s="54"/>
      <c r="G192" s="54"/>
      <c r="H192" s="54"/>
      <c r="I192" s="54"/>
      <c r="J192" s="54"/>
      <c r="K192" s="54"/>
      <c r="L192" s="54"/>
      <c r="M192" s="54"/>
      <c r="N192" s="89"/>
      <c r="P192" s="77" t="str">
        <f>IF(ISBLANK(N187),IFERROR(0/0,""),IFERROR(VLOOKUP(N187, 'Process Ref'!$A$76:$D$124, 2, FALSE), IFERROR(0/0,"")))</f>
        <v/>
      </c>
      <c r="R192" s="78" t="str">
        <f>IFNA(MATCH(A192,'RFR Data - preExcl'!A$2:A447,0),"")</f>
        <v/>
      </c>
      <c r="S192" s="43"/>
      <c r="T192" s="18" t="str">
        <f>IF(EXACT('RFR Data - preExcl'!W192,"Initial"),'RFR Data - preExcl'!A192,IFERROR(0/0,""))</f>
        <v>RUN-ABRM_2023-03-23_RFR-191</v>
      </c>
      <c r="U192" s="79">
        <f>IF(EXACT('RFR Data - preExcl'!W192,"Initial"),'RFR Data - preExcl'!U192,IFERROR(0/0,""))</f>
        <v>45008</v>
      </c>
      <c r="V192" s="117"/>
      <c r="X192" s="43"/>
      <c r="AC192" s="70"/>
      <c r="AF192" s="70"/>
      <c r="AJ192" s="7" t="str">
        <f t="shared" ref="AJ192:AL192" si="220">IF(AG192=L192,IFERROR(0/0,""),FALSE)</f>
        <v/>
      </c>
      <c r="AK192" s="7" t="str">
        <f t="shared" si="220"/>
        <v/>
      </c>
      <c r="AL192" s="7" t="str">
        <f t="shared" si="220"/>
        <v/>
      </c>
      <c r="AM192" s="43"/>
    </row>
    <row r="193">
      <c r="C193" s="131"/>
      <c r="D193" s="54"/>
      <c r="E193" s="54"/>
      <c r="F193" s="54"/>
      <c r="G193" s="54"/>
      <c r="H193" s="54"/>
      <c r="I193" s="54"/>
      <c r="J193" s="54"/>
      <c r="K193" s="54"/>
      <c r="L193" s="54"/>
      <c r="M193" s="54"/>
      <c r="N193" s="89"/>
      <c r="P193" s="77" t="str">
        <f>IF(ISBLANK(N188),IFERROR(0/0,""),IFERROR(VLOOKUP(N188, 'Process Ref'!$A$76:$D$124, 2, FALSE), IFERROR(0/0,"")))</f>
        <v/>
      </c>
      <c r="R193" s="78" t="str">
        <f>IFNA(MATCH(A193,'RFR Data - preExcl'!A$2:A447,0),"")</f>
        <v/>
      </c>
      <c r="S193" s="43"/>
      <c r="T193" s="18" t="str">
        <f>IF(EXACT('RFR Data - preExcl'!W193,"Initial"),'RFR Data - preExcl'!A193,IFERROR(0/0,""))</f>
        <v/>
      </c>
      <c r="U193" s="18" t="str">
        <f>IF(EXACT('RFR Data - preExcl'!W193,"Initial"),'RFR Data - preExcl'!U193,IFERROR(0/0,""))</f>
        <v/>
      </c>
      <c r="V193" s="117"/>
      <c r="X193" s="43"/>
      <c r="AC193" s="70"/>
      <c r="AF193" s="70"/>
      <c r="AJ193" s="7" t="str">
        <f t="shared" ref="AJ193:AL193" si="221">IF(AG193=L193,IFERROR(0/0,""),FALSE)</f>
        <v/>
      </c>
      <c r="AK193" s="7" t="str">
        <f t="shared" si="221"/>
        <v/>
      </c>
      <c r="AL193" s="7" t="str">
        <f t="shared" si="221"/>
        <v/>
      </c>
      <c r="AM193" s="43"/>
    </row>
    <row r="194">
      <c r="C194" s="131"/>
      <c r="D194" s="54"/>
      <c r="E194" s="54"/>
      <c r="F194" s="54"/>
      <c r="G194" s="54"/>
      <c r="H194" s="54"/>
      <c r="I194" s="54"/>
      <c r="J194" s="54"/>
      <c r="K194" s="54"/>
      <c r="L194" s="54"/>
      <c r="M194" s="54"/>
      <c r="N194" s="89"/>
      <c r="P194" s="77" t="str">
        <f>IF(ISBLANK(N189),IFERROR(0/0,""),IFERROR(VLOOKUP(N189, 'Process Ref'!$A$76:$D$124, 2, FALSE), IFERROR(0/0,"")))</f>
        <v/>
      </c>
      <c r="R194" s="78" t="str">
        <f>IFNA(MATCH(A194,'RFR Data - preExcl'!A$2:A447,0),"")</f>
        <v/>
      </c>
      <c r="S194" s="43"/>
      <c r="T194" s="18" t="str">
        <f>IF(EXACT('RFR Data - preExcl'!W194,"Initial"),'RFR Data - preExcl'!A194,IFERROR(0/0,""))</f>
        <v>RUN-ABRM_2023-03-24_RFR-193</v>
      </c>
      <c r="U194" s="79">
        <f>IF(EXACT('RFR Data - preExcl'!W194,"Initial"),'RFR Data - preExcl'!U194,IFERROR(0/0,""))</f>
        <v>45009</v>
      </c>
      <c r="V194" s="117"/>
      <c r="X194" s="43"/>
      <c r="AC194" s="70"/>
      <c r="AF194" s="70"/>
      <c r="AJ194" s="7" t="str">
        <f t="shared" ref="AJ194:AL194" si="222">IF(AG194=L194,IFERROR(0/0,""),FALSE)</f>
        <v/>
      </c>
      <c r="AK194" s="7" t="str">
        <f t="shared" si="222"/>
        <v/>
      </c>
      <c r="AL194" s="7" t="str">
        <f t="shared" si="222"/>
        <v/>
      </c>
      <c r="AM194" s="43"/>
    </row>
    <row r="195">
      <c r="C195" s="131"/>
      <c r="D195" s="54"/>
      <c r="E195" s="54"/>
      <c r="F195" s="54"/>
      <c r="G195" s="54"/>
      <c r="H195" s="54"/>
      <c r="I195" s="54"/>
      <c r="J195" s="54"/>
      <c r="K195" s="54"/>
      <c r="L195" s="54"/>
      <c r="M195" s="54"/>
      <c r="N195" s="89"/>
      <c r="P195" s="77" t="str">
        <f>IF(ISBLANK(N190),IFERROR(0/0,""),IFERROR(VLOOKUP(N190, 'Process Ref'!$A$76:$D$124, 2, FALSE), IFERROR(0/0,"")))</f>
        <v/>
      </c>
      <c r="R195" s="78" t="str">
        <f>IFNA(MATCH(A195,'RFR Data - preExcl'!A$2:A447,0),"")</f>
        <v/>
      </c>
      <c r="S195" s="43"/>
      <c r="T195" s="18" t="str">
        <f>IF(EXACT('RFR Data - preExcl'!W195,"Initial"),'RFR Data - preExcl'!A195,IFERROR(0/0,""))</f>
        <v>RUN-ABRM_2023-03-27_RFR-194</v>
      </c>
      <c r="U195" s="79">
        <f>IF(EXACT('RFR Data - preExcl'!W195,"Initial"),'RFR Data - preExcl'!U195,IFERROR(0/0,""))</f>
        <v>45012</v>
      </c>
      <c r="V195" s="117"/>
      <c r="X195" s="43"/>
      <c r="AC195" s="70"/>
      <c r="AF195" s="70"/>
      <c r="AJ195" s="7" t="str">
        <f t="shared" ref="AJ195:AL195" si="223">IF(AG195=L195,IFERROR(0/0,""),FALSE)</f>
        <v/>
      </c>
      <c r="AK195" s="7" t="str">
        <f t="shared" si="223"/>
        <v/>
      </c>
      <c r="AL195" s="7" t="str">
        <f t="shared" si="223"/>
        <v/>
      </c>
      <c r="AM195" s="43"/>
    </row>
    <row r="196">
      <c r="C196" s="131"/>
      <c r="D196" s="54"/>
      <c r="E196" s="54"/>
      <c r="F196" s="54"/>
      <c r="G196" s="54"/>
      <c r="H196" s="54"/>
      <c r="I196" s="54"/>
      <c r="J196" s="54"/>
      <c r="K196" s="54"/>
      <c r="L196" s="54"/>
      <c r="M196" s="54"/>
      <c r="N196" s="89"/>
      <c r="P196" s="77" t="str">
        <f>IF(ISBLANK(N191),IFERROR(0/0,""),IFERROR(VLOOKUP(N191, 'Process Ref'!$A$76:$D$124, 2, FALSE), IFERROR(0/0,"")))</f>
        <v/>
      </c>
      <c r="R196" s="78" t="str">
        <f>IFNA(MATCH(A196,'RFR Data - preExcl'!A$2:A447,0),"")</f>
        <v/>
      </c>
      <c r="S196" s="43"/>
      <c r="T196" s="18" t="str">
        <f>IF(EXACT('RFR Data - preExcl'!W196,"Initial"),'RFR Data - preExcl'!A196,IFERROR(0/0,""))</f>
        <v>RUN-ABRM_2023-03-28_RFR-195</v>
      </c>
      <c r="U196" s="79">
        <f>IF(EXACT('RFR Data - preExcl'!W196,"Initial"),'RFR Data - preExcl'!U196,IFERROR(0/0,""))</f>
        <v>45013</v>
      </c>
      <c r="V196" s="117"/>
      <c r="X196" s="43"/>
      <c r="AC196" s="70"/>
      <c r="AF196" s="70"/>
      <c r="AJ196" s="7" t="str">
        <f t="shared" ref="AJ196:AL196" si="224">IF(AG196=L196,IFERROR(0/0,""),FALSE)</f>
        <v/>
      </c>
      <c r="AK196" s="7" t="str">
        <f t="shared" si="224"/>
        <v/>
      </c>
      <c r="AL196" s="7" t="str">
        <f t="shared" si="224"/>
        <v/>
      </c>
      <c r="AM196" s="43"/>
    </row>
    <row r="197">
      <c r="C197" s="131"/>
      <c r="D197" s="54"/>
      <c r="E197" s="54"/>
      <c r="F197" s="54"/>
      <c r="G197" s="54"/>
      <c r="H197" s="54"/>
      <c r="I197" s="54"/>
      <c r="J197" s="54"/>
      <c r="K197" s="54"/>
      <c r="L197" s="54"/>
      <c r="M197" s="54"/>
      <c r="N197" s="89"/>
      <c r="P197" s="77" t="str">
        <f>IF(ISBLANK(N192),IFERROR(0/0,""),IFERROR(VLOOKUP(N192, 'Process Ref'!$A$76:$D$124, 2, FALSE), IFERROR(0/0,"")))</f>
        <v/>
      </c>
      <c r="R197" s="78" t="str">
        <f>IFNA(MATCH(A197,'RFR Data - preExcl'!A$2:A447,0),"")</f>
        <v/>
      </c>
      <c r="S197" s="43"/>
      <c r="T197" s="18" t="str">
        <f>IF(EXACT('RFR Data - preExcl'!W197,"Initial"),'RFR Data - preExcl'!A197,IFERROR(0/0,""))</f>
        <v>RUN-ABRM_2023-03-29_RFR-196</v>
      </c>
      <c r="U197" s="79">
        <f>IF(EXACT('RFR Data - preExcl'!W197,"Initial"),'RFR Data - preExcl'!U197,IFERROR(0/0,""))</f>
        <v>45014</v>
      </c>
      <c r="V197" s="117"/>
      <c r="X197" s="43"/>
      <c r="AC197" s="70"/>
      <c r="AF197" s="70"/>
      <c r="AJ197" s="7" t="str">
        <f t="shared" ref="AJ197:AL197" si="225">IF(AG197=L197,IFERROR(0/0,""),FALSE)</f>
        <v/>
      </c>
      <c r="AK197" s="7" t="str">
        <f t="shared" si="225"/>
        <v/>
      </c>
      <c r="AL197" s="7" t="str">
        <f t="shared" si="225"/>
        <v/>
      </c>
      <c r="AM197" s="43"/>
    </row>
    <row r="198">
      <c r="C198" s="131"/>
      <c r="D198" s="54"/>
      <c r="E198" s="54"/>
      <c r="F198" s="54"/>
      <c r="G198" s="54"/>
      <c r="H198" s="54"/>
      <c r="I198" s="54"/>
      <c r="J198" s="54"/>
      <c r="K198" s="54"/>
      <c r="L198" s="54"/>
      <c r="M198" s="54"/>
      <c r="N198" s="89"/>
      <c r="P198" s="77" t="str">
        <f>IF(ISBLANK(N193),IFERROR(0/0,""),IFERROR(VLOOKUP(N193, 'Process Ref'!$A$76:$D$124, 2, FALSE), IFERROR(0/0,"")))</f>
        <v/>
      </c>
      <c r="R198" s="78" t="str">
        <f>IFNA(MATCH(A198,'RFR Data - preExcl'!A$2:A447,0),"")</f>
        <v/>
      </c>
      <c r="S198" s="43"/>
      <c r="T198" s="18" t="str">
        <f>IF(EXACT('RFR Data - preExcl'!W198,"Initial"),'RFR Data - preExcl'!A198,IFERROR(0/0,""))</f>
        <v>RUN-ABRM_2023-03-30_RFR-197</v>
      </c>
      <c r="U198" s="79">
        <f>IF(EXACT('RFR Data - preExcl'!W198,"Initial"),'RFR Data - preExcl'!U198,IFERROR(0/0,""))</f>
        <v>45015</v>
      </c>
      <c r="V198" s="117"/>
      <c r="X198" s="43"/>
      <c r="AC198" s="70"/>
      <c r="AF198" s="70"/>
      <c r="AJ198" s="7" t="str">
        <f t="shared" ref="AJ198:AL198" si="226">IF(AG198=L198,IFERROR(0/0,""),FALSE)</f>
        <v/>
      </c>
      <c r="AK198" s="7" t="str">
        <f t="shared" si="226"/>
        <v/>
      </c>
      <c r="AL198" s="7" t="str">
        <f t="shared" si="226"/>
        <v/>
      </c>
      <c r="AM198" s="43"/>
    </row>
    <row r="199">
      <c r="C199" s="131"/>
      <c r="D199" s="54"/>
      <c r="E199" s="54"/>
      <c r="F199" s="54"/>
      <c r="G199" s="54"/>
      <c r="H199" s="54"/>
      <c r="I199" s="54"/>
      <c r="J199" s="54"/>
      <c r="K199" s="54"/>
      <c r="L199" s="54"/>
      <c r="M199" s="54"/>
      <c r="N199" s="89"/>
      <c r="P199" s="77" t="str">
        <f>IF(ISBLANK(N194),IFERROR(0/0,""),IFERROR(VLOOKUP(N194, 'Process Ref'!$A$76:$D$124, 2, FALSE), IFERROR(0/0,"")))</f>
        <v/>
      </c>
      <c r="R199" s="78" t="str">
        <f>IFNA(MATCH(A199,'RFR Data - preExcl'!A$2:A447,0),"")</f>
        <v/>
      </c>
      <c r="S199" s="43"/>
      <c r="T199" s="18" t="str">
        <f>IF(EXACT('RFR Data - preExcl'!W199,"Initial"),'RFR Data - preExcl'!A199,IFERROR(0/0,""))</f>
        <v/>
      </c>
      <c r="U199" s="18" t="str">
        <f>IF(EXACT('RFR Data - preExcl'!W199,"Initial"),'RFR Data - preExcl'!U199,IFERROR(0/0,""))</f>
        <v/>
      </c>
      <c r="V199" s="117"/>
      <c r="X199" s="43"/>
      <c r="AC199" s="70"/>
      <c r="AF199" s="70"/>
      <c r="AJ199" s="7" t="str">
        <f t="shared" ref="AJ199:AL199" si="227">IF(AG199=L199,IFERROR(0/0,""),FALSE)</f>
        <v/>
      </c>
      <c r="AK199" s="7" t="str">
        <f t="shared" si="227"/>
        <v/>
      </c>
      <c r="AL199" s="7" t="str">
        <f t="shared" si="227"/>
        <v/>
      </c>
      <c r="AM199" s="43"/>
    </row>
    <row r="200">
      <c r="C200" s="131"/>
      <c r="D200" s="54"/>
      <c r="E200" s="54"/>
      <c r="F200" s="54"/>
      <c r="G200" s="54"/>
      <c r="H200" s="54"/>
      <c r="I200" s="54"/>
      <c r="J200" s="54"/>
      <c r="K200" s="54"/>
      <c r="L200" s="54"/>
      <c r="M200" s="54"/>
      <c r="N200" s="89"/>
      <c r="P200" s="77" t="str">
        <f>IF(ISBLANK(N195),IFERROR(0/0,""),IFERROR(VLOOKUP(N195, 'Process Ref'!$A$76:$D$124, 2, FALSE), IFERROR(0/0,"")))</f>
        <v/>
      </c>
      <c r="R200" s="78" t="str">
        <f>IFNA(MATCH(A200,'RFR Data - preExcl'!A$2:A447,0),"")</f>
        <v/>
      </c>
      <c r="S200" s="43"/>
      <c r="T200" s="18" t="str">
        <f>IF(EXACT('RFR Data - preExcl'!W200,"Initial"),'RFR Data - preExcl'!A200,IFERROR(0/0,""))</f>
        <v>RUN-ABRM_2023-03-31_RFR-199</v>
      </c>
      <c r="U200" s="79">
        <f>IF(EXACT('RFR Data - preExcl'!W200,"Initial"),'RFR Data - preExcl'!U200,IFERROR(0/0,""))</f>
        <v>45016</v>
      </c>
      <c r="V200" s="117"/>
      <c r="X200" s="43"/>
      <c r="AC200" s="70"/>
      <c r="AF200" s="70"/>
      <c r="AJ200" s="7" t="str">
        <f t="shared" ref="AJ200:AL200" si="228">IF(AG200=L200,IFERROR(0/0,""),FALSE)</f>
        <v/>
      </c>
      <c r="AK200" s="7" t="str">
        <f t="shared" si="228"/>
        <v/>
      </c>
      <c r="AL200" s="7" t="str">
        <f t="shared" si="228"/>
        <v/>
      </c>
      <c r="AM200" s="43"/>
    </row>
    <row r="201">
      <c r="C201" s="131"/>
      <c r="D201" s="54"/>
      <c r="E201" s="54"/>
      <c r="F201" s="54"/>
      <c r="G201" s="54"/>
      <c r="H201" s="54"/>
      <c r="I201" s="54"/>
      <c r="J201" s="54"/>
      <c r="K201" s="54"/>
      <c r="L201" s="54"/>
      <c r="M201" s="54"/>
      <c r="N201" s="89"/>
      <c r="P201" s="77" t="str">
        <f>IF(ISBLANK(N196),IFERROR(0/0,""),IFERROR(VLOOKUP(N196, 'Process Ref'!$A$76:$D$124, 2, FALSE), IFERROR(0/0,"")))</f>
        <v/>
      </c>
      <c r="R201" s="78" t="str">
        <f>IFNA(MATCH(A201,'RFR Data - preExcl'!A$2:A447,0),"")</f>
        <v/>
      </c>
      <c r="S201" s="43"/>
      <c r="T201" s="18" t="str">
        <f>IF(EXACT('RFR Data - preExcl'!W201,"Initial"),'RFR Data - preExcl'!A201,IFERROR(0/0,""))</f>
        <v>RUN-ABRM_2023-04-03_RFR-200</v>
      </c>
      <c r="U201" s="79">
        <f>IF(EXACT('RFR Data - preExcl'!W201,"Initial"),'RFR Data - preExcl'!U201,IFERROR(0/0,""))</f>
        <v>45019</v>
      </c>
      <c r="V201" s="117"/>
      <c r="X201" s="43"/>
      <c r="AC201" s="70"/>
      <c r="AF201" s="70"/>
      <c r="AJ201" s="7" t="str">
        <f t="shared" ref="AJ201:AL201" si="229">IF(AG201=L201,IFERROR(0/0,""),FALSE)</f>
        <v/>
      </c>
      <c r="AK201" s="7" t="str">
        <f t="shared" si="229"/>
        <v/>
      </c>
      <c r="AL201" s="7" t="str">
        <f t="shared" si="229"/>
        <v/>
      </c>
      <c r="AM201" s="43"/>
    </row>
    <row r="202">
      <c r="C202" s="131"/>
      <c r="D202" s="54"/>
      <c r="E202" s="54"/>
      <c r="F202" s="54"/>
      <c r="G202" s="54"/>
      <c r="H202" s="54"/>
      <c r="I202" s="54"/>
      <c r="J202" s="54"/>
      <c r="K202" s="54"/>
      <c r="L202" s="54"/>
      <c r="M202" s="54"/>
      <c r="N202" s="89"/>
      <c r="P202" s="77" t="str">
        <f>IF(ISBLANK(N197),IFERROR(0/0,""),IFERROR(VLOOKUP(N197, 'Process Ref'!$A$76:$D$124, 2, FALSE), IFERROR(0/0,"")))</f>
        <v/>
      </c>
      <c r="R202" s="78" t="str">
        <f>IFNA(MATCH(A202,'RFR Data - preExcl'!A$2:A447,0),"")</f>
        <v/>
      </c>
      <c r="S202" s="43"/>
      <c r="T202" s="18" t="str">
        <f>IF(EXACT('RFR Data - preExcl'!W202,"Initial"),'RFR Data - preExcl'!A202,IFERROR(0/0,""))</f>
        <v>RUN-ABRM_2023-04-04_RFR-201</v>
      </c>
      <c r="U202" s="79">
        <f>IF(EXACT('RFR Data - preExcl'!W202,"Initial"),'RFR Data - preExcl'!U202,IFERROR(0/0,""))</f>
        <v>45020</v>
      </c>
      <c r="V202" s="117"/>
      <c r="X202" s="43"/>
      <c r="AC202" s="70"/>
      <c r="AF202" s="70"/>
      <c r="AJ202" s="7" t="str">
        <f t="shared" ref="AJ202:AL202" si="230">IF(AG202=L202,IFERROR(0/0,""),FALSE)</f>
        <v/>
      </c>
      <c r="AK202" s="7" t="str">
        <f t="shared" si="230"/>
        <v/>
      </c>
      <c r="AL202" s="7" t="str">
        <f t="shared" si="230"/>
        <v/>
      </c>
      <c r="AM202" s="43"/>
    </row>
    <row r="203">
      <c r="C203" s="131"/>
      <c r="D203" s="54"/>
      <c r="E203" s="54"/>
      <c r="F203" s="54"/>
      <c r="G203" s="54"/>
      <c r="H203" s="54"/>
      <c r="I203" s="54"/>
      <c r="J203" s="54"/>
      <c r="K203" s="54"/>
      <c r="L203" s="54"/>
      <c r="M203" s="54"/>
      <c r="N203" s="89"/>
      <c r="P203" s="77" t="str">
        <f>IF(ISBLANK(N198),IFERROR(0/0,""),IFERROR(VLOOKUP(N198, 'Process Ref'!$A$76:$D$124, 2, FALSE), IFERROR(0/0,"")))</f>
        <v/>
      </c>
      <c r="R203" s="78" t="str">
        <f>IFNA(MATCH(A203,'RFR Data - preExcl'!A$2:A447,0),"")</f>
        <v/>
      </c>
      <c r="S203" s="43"/>
      <c r="T203" s="18" t="str">
        <f>IF(EXACT('RFR Data - preExcl'!W203,"Initial"),'RFR Data - preExcl'!A203,IFERROR(0/0,""))</f>
        <v/>
      </c>
      <c r="U203" s="18" t="str">
        <f>IF(EXACT('RFR Data - preExcl'!W203,"Initial"),'RFR Data - preExcl'!U203,IFERROR(0/0,""))</f>
        <v/>
      </c>
      <c r="V203" s="117"/>
      <c r="X203" s="43"/>
      <c r="AC203" s="70"/>
      <c r="AF203" s="70"/>
      <c r="AJ203" s="7" t="str">
        <f t="shared" ref="AJ203:AL203" si="231">IF(AG203=L203,IFERROR(0/0,""),FALSE)</f>
        <v/>
      </c>
      <c r="AK203" s="7" t="str">
        <f t="shared" si="231"/>
        <v/>
      </c>
      <c r="AL203" s="7" t="str">
        <f t="shared" si="231"/>
        <v/>
      </c>
      <c r="AM203" s="43"/>
    </row>
    <row r="204">
      <c r="C204" s="131"/>
      <c r="D204" s="54"/>
      <c r="E204" s="54"/>
      <c r="F204" s="54"/>
      <c r="G204" s="54"/>
      <c r="H204" s="54"/>
      <c r="I204" s="54"/>
      <c r="J204" s="54"/>
      <c r="K204" s="54"/>
      <c r="L204" s="54"/>
      <c r="M204" s="54"/>
      <c r="N204" s="89"/>
      <c r="P204" s="77" t="str">
        <f>IF(ISBLANK(N199),IFERROR(0/0,""),IFERROR(VLOOKUP(N199, 'Process Ref'!$A$76:$D$124, 2, FALSE), IFERROR(0/0,"")))</f>
        <v/>
      </c>
      <c r="R204" s="78" t="str">
        <f>IFNA(MATCH(A204,'RFR Data - preExcl'!A$2:A447,0),"")</f>
        <v/>
      </c>
      <c r="S204" s="43"/>
      <c r="T204" s="18" t="str">
        <f>IF(EXACT('RFR Data - preExcl'!W204,"Initial"),'RFR Data - preExcl'!A204,IFERROR(0/0,""))</f>
        <v>RUN-ABRM_2023-04-05_RFR-203</v>
      </c>
      <c r="U204" s="79">
        <f>IF(EXACT('RFR Data - preExcl'!W204,"Initial"),'RFR Data - preExcl'!U204,IFERROR(0/0,""))</f>
        <v>45021</v>
      </c>
      <c r="V204" s="117"/>
      <c r="X204" s="43"/>
      <c r="AC204" s="70"/>
      <c r="AF204" s="70"/>
      <c r="AJ204" s="7" t="str">
        <f t="shared" ref="AJ204:AL204" si="232">IF(AG204=L204,IFERROR(0/0,""),FALSE)</f>
        <v/>
      </c>
      <c r="AK204" s="7" t="str">
        <f t="shared" si="232"/>
        <v/>
      </c>
      <c r="AL204" s="7" t="str">
        <f t="shared" si="232"/>
        <v/>
      </c>
      <c r="AM204" s="43"/>
    </row>
    <row r="205">
      <c r="C205" s="131"/>
      <c r="D205" s="54"/>
      <c r="E205" s="54"/>
      <c r="F205" s="54"/>
      <c r="G205" s="54"/>
      <c r="H205" s="54"/>
      <c r="I205" s="54"/>
      <c r="J205" s="54"/>
      <c r="K205" s="54"/>
      <c r="L205" s="54"/>
      <c r="M205" s="54"/>
      <c r="N205" s="89"/>
      <c r="P205" s="77" t="str">
        <f>IF(ISBLANK(N200),IFERROR(0/0,""),IFERROR(VLOOKUP(N200, 'Process Ref'!$A$76:$D$124, 2, FALSE), IFERROR(0/0,"")))</f>
        <v/>
      </c>
      <c r="R205" s="78" t="str">
        <f>IFNA(MATCH(A205,'RFR Data - preExcl'!A$2:A447,0),"")</f>
        <v/>
      </c>
      <c r="S205" s="43"/>
      <c r="T205" s="18" t="str">
        <f>IF(EXACT('RFR Data - preExcl'!W205,"Initial"),'RFR Data - preExcl'!A205,IFERROR(0/0,""))</f>
        <v>RUN-ABRM_2023-04-06_RFR-204</v>
      </c>
      <c r="U205" s="79">
        <f>IF(EXACT('RFR Data - preExcl'!W205,"Initial"),'RFR Data - preExcl'!U205,IFERROR(0/0,""))</f>
        <v>45022</v>
      </c>
      <c r="V205" s="117"/>
      <c r="X205" s="43"/>
      <c r="AC205" s="70"/>
      <c r="AF205" s="70"/>
      <c r="AJ205" s="7" t="str">
        <f t="shared" ref="AJ205:AL205" si="233">IF(AG205=L205,IFERROR(0/0,""),FALSE)</f>
        <v/>
      </c>
      <c r="AK205" s="7" t="str">
        <f t="shared" si="233"/>
        <v/>
      </c>
      <c r="AL205" s="7" t="str">
        <f t="shared" si="233"/>
        <v/>
      </c>
      <c r="AM205" s="43"/>
    </row>
    <row r="206">
      <c r="C206" s="131"/>
      <c r="D206" s="54"/>
      <c r="E206" s="54"/>
      <c r="F206" s="54"/>
      <c r="G206" s="54"/>
      <c r="H206" s="54"/>
      <c r="I206" s="54"/>
      <c r="J206" s="54"/>
      <c r="K206" s="54"/>
      <c r="L206" s="54"/>
      <c r="M206" s="54"/>
      <c r="N206" s="89"/>
      <c r="P206" s="77" t="str">
        <f>IF(ISBLANK(N201),IFERROR(0/0,""),IFERROR(VLOOKUP(N201, 'Process Ref'!$A$76:$D$124, 2, FALSE), IFERROR(0/0,"")))</f>
        <v/>
      </c>
      <c r="R206" s="78" t="str">
        <f>IFNA(MATCH(A206,'RFR Data - preExcl'!A$2:A447,0),"")</f>
        <v/>
      </c>
      <c r="S206" s="43"/>
      <c r="T206" s="18" t="str">
        <f>IF(EXACT('RFR Data - preExcl'!W206,"Initial"),'RFR Data - preExcl'!A206,IFERROR(0/0,""))</f>
        <v/>
      </c>
      <c r="U206" s="18" t="str">
        <f>IF(EXACT('RFR Data - preExcl'!W206,"Initial"),'RFR Data - preExcl'!U206,IFERROR(0/0,""))</f>
        <v/>
      </c>
      <c r="V206" s="117"/>
      <c r="X206" s="43"/>
      <c r="AC206" s="70"/>
      <c r="AF206" s="70"/>
      <c r="AJ206" s="7" t="str">
        <f t="shared" ref="AJ206:AL206" si="234">IF(AG206=L206,IFERROR(0/0,""),FALSE)</f>
        <v/>
      </c>
      <c r="AK206" s="7" t="str">
        <f t="shared" si="234"/>
        <v/>
      </c>
      <c r="AL206" s="7" t="str">
        <f t="shared" si="234"/>
        <v/>
      </c>
      <c r="AM206" s="43"/>
    </row>
    <row r="207">
      <c r="C207" s="131"/>
      <c r="D207" s="54"/>
      <c r="E207" s="54"/>
      <c r="F207" s="54"/>
      <c r="G207" s="54"/>
      <c r="H207" s="54"/>
      <c r="I207" s="54"/>
      <c r="J207" s="54"/>
      <c r="K207" s="54"/>
      <c r="L207" s="54"/>
      <c r="M207" s="54"/>
      <c r="N207" s="89"/>
      <c r="P207" s="77" t="str">
        <f>IF(ISBLANK(N202),IFERROR(0/0,""),IFERROR(VLOOKUP(N202, 'Process Ref'!$A$76:$D$124, 2, FALSE), IFERROR(0/0,"")))</f>
        <v/>
      </c>
      <c r="R207" s="78" t="str">
        <f>IFNA(MATCH(A207,'RFR Data - preExcl'!A$2:A447,0),"")</f>
        <v/>
      </c>
      <c r="S207" s="43"/>
      <c r="T207" s="18" t="str">
        <f>IF(EXACT('RFR Data - preExcl'!W207,"Initial"),'RFR Data - preExcl'!A207,IFERROR(0/0,""))</f>
        <v>RUN-ABRM_2023-04-07_RFR-206</v>
      </c>
      <c r="U207" s="79">
        <f>IF(EXACT('RFR Data - preExcl'!W207,"Initial"),'RFR Data - preExcl'!U207,IFERROR(0/0,""))</f>
        <v>45023</v>
      </c>
      <c r="V207" s="117"/>
      <c r="X207" s="43"/>
      <c r="AC207" s="70"/>
      <c r="AF207" s="70"/>
      <c r="AJ207" s="7" t="str">
        <f t="shared" ref="AJ207:AL207" si="235">IF(AG207=L207,IFERROR(0/0,""),FALSE)</f>
        <v/>
      </c>
      <c r="AK207" s="7" t="str">
        <f t="shared" si="235"/>
        <v/>
      </c>
      <c r="AL207" s="7" t="str">
        <f t="shared" si="235"/>
        <v/>
      </c>
      <c r="AM207" s="43"/>
    </row>
    <row r="208">
      <c r="C208" s="131"/>
      <c r="D208" s="54"/>
      <c r="E208" s="54"/>
      <c r="F208" s="54"/>
      <c r="G208" s="54"/>
      <c r="H208" s="54"/>
      <c r="I208" s="54"/>
      <c r="J208" s="54"/>
      <c r="K208" s="54"/>
      <c r="L208" s="54"/>
      <c r="M208" s="54"/>
      <c r="N208" s="89"/>
      <c r="P208" s="77" t="str">
        <f>IF(ISBLANK(N203),IFERROR(0/0,""),IFERROR(VLOOKUP(N203, 'Process Ref'!$A$76:$D$124, 2, FALSE), IFERROR(0/0,"")))</f>
        <v/>
      </c>
      <c r="R208" s="78" t="str">
        <f>IFNA(MATCH(A208,'RFR Data - preExcl'!A$2:A447,0),"")</f>
        <v/>
      </c>
      <c r="S208" s="43"/>
      <c r="T208" s="18" t="str">
        <f>IF(EXACT('RFR Data - preExcl'!W208,"Initial"),'RFR Data - preExcl'!A208,IFERROR(0/0,""))</f>
        <v>RUN-ABRM_2023-04-10_RFR-207</v>
      </c>
      <c r="U208" s="79">
        <f>IF(EXACT('RFR Data - preExcl'!W208,"Initial"),'RFR Data - preExcl'!U208,IFERROR(0/0,""))</f>
        <v>45026</v>
      </c>
      <c r="V208" s="117"/>
      <c r="X208" s="43"/>
      <c r="AC208" s="70"/>
      <c r="AF208" s="70"/>
      <c r="AJ208" s="7" t="str">
        <f t="shared" ref="AJ208:AL208" si="236">IF(AG208=L208,IFERROR(0/0,""),FALSE)</f>
        <v/>
      </c>
      <c r="AK208" s="7" t="str">
        <f t="shared" si="236"/>
        <v/>
      </c>
      <c r="AL208" s="7" t="str">
        <f t="shared" si="236"/>
        <v/>
      </c>
      <c r="AM208" s="43"/>
    </row>
    <row r="209">
      <c r="C209" s="131"/>
      <c r="D209" s="54"/>
      <c r="E209" s="54"/>
      <c r="F209" s="54"/>
      <c r="G209" s="54"/>
      <c r="H209" s="54"/>
      <c r="I209" s="54"/>
      <c r="J209" s="54"/>
      <c r="K209" s="54"/>
      <c r="L209" s="54"/>
      <c r="M209" s="54"/>
      <c r="N209" s="89"/>
      <c r="P209" s="77" t="str">
        <f>IF(ISBLANK(N204),IFERROR(0/0,""),IFERROR(VLOOKUP(N204, 'Process Ref'!$A$76:$D$124, 2, FALSE), IFERROR(0/0,"")))</f>
        <v/>
      </c>
      <c r="R209" s="78" t="str">
        <f>IFNA(MATCH(A209,'RFR Data - preExcl'!A$2:A447,0),"")</f>
        <v/>
      </c>
      <c r="S209" s="43"/>
      <c r="T209" s="18" t="str">
        <f>IF(EXACT('RFR Data - preExcl'!W209,"Initial"),'RFR Data - preExcl'!A209,IFERROR(0/0,""))</f>
        <v>RUN-ABRM_2023-04-11_RFR-208</v>
      </c>
      <c r="U209" s="79">
        <f>IF(EXACT('RFR Data - preExcl'!W209,"Initial"),'RFR Data - preExcl'!U209,IFERROR(0/0,""))</f>
        <v>45027</v>
      </c>
      <c r="V209" s="117"/>
      <c r="X209" s="43"/>
      <c r="AC209" s="70"/>
      <c r="AF209" s="70"/>
      <c r="AJ209" s="7" t="str">
        <f t="shared" ref="AJ209:AL209" si="237">IF(AG209=L209,IFERROR(0/0,""),FALSE)</f>
        <v/>
      </c>
      <c r="AK209" s="7" t="str">
        <f t="shared" si="237"/>
        <v/>
      </c>
      <c r="AL209" s="7" t="str">
        <f t="shared" si="237"/>
        <v/>
      </c>
      <c r="AM209" s="43"/>
    </row>
    <row r="210">
      <c r="C210" s="131"/>
      <c r="D210" s="54"/>
      <c r="E210" s="54"/>
      <c r="F210" s="54"/>
      <c r="G210" s="54"/>
      <c r="H210" s="54"/>
      <c r="I210" s="54"/>
      <c r="J210" s="54"/>
      <c r="K210" s="54"/>
      <c r="L210" s="54"/>
      <c r="M210" s="54"/>
      <c r="N210" s="89"/>
      <c r="P210" s="77" t="str">
        <f>IF(ISBLANK(N205),IFERROR(0/0,""),IFERROR(VLOOKUP(N205, 'Process Ref'!$A$76:$D$124, 2, FALSE), IFERROR(0/0,"")))</f>
        <v/>
      </c>
      <c r="R210" s="78" t="str">
        <f>IFNA(MATCH(A210,'RFR Data - preExcl'!A$2:A447,0),"")</f>
        <v/>
      </c>
      <c r="S210" s="43"/>
      <c r="T210" s="18" t="str">
        <f>IF(EXACT('RFR Data - preExcl'!W210,"Initial"),'RFR Data - preExcl'!A210,IFERROR(0/0,""))</f>
        <v/>
      </c>
      <c r="U210" s="18" t="str">
        <f>IF(EXACT('RFR Data - preExcl'!W210,"Initial"),'RFR Data - preExcl'!U210,IFERROR(0/0,""))</f>
        <v/>
      </c>
      <c r="V210" s="117"/>
      <c r="X210" s="43"/>
      <c r="AC210" s="70"/>
      <c r="AF210" s="70"/>
      <c r="AJ210" s="7" t="str">
        <f t="shared" ref="AJ210:AL210" si="238">IF(AG210=L210,IFERROR(0/0,""),FALSE)</f>
        <v/>
      </c>
      <c r="AK210" s="7" t="str">
        <f t="shared" si="238"/>
        <v/>
      </c>
      <c r="AL210" s="7" t="str">
        <f t="shared" si="238"/>
        <v/>
      </c>
      <c r="AM210" s="43"/>
    </row>
    <row r="211">
      <c r="C211" s="131"/>
      <c r="D211" s="54"/>
      <c r="E211" s="54"/>
      <c r="F211" s="54"/>
      <c r="G211" s="54"/>
      <c r="H211" s="54"/>
      <c r="I211" s="54"/>
      <c r="J211" s="54"/>
      <c r="K211" s="54"/>
      <c r="L211" s="54"/>
      <c r="M211" s="54"/>
      <c r="N211" s="89"/>
      <c r="P211" s="77" t="str">
        <f>IF(ISBLANK(N206),IFERROR(0/0,""),IFERROR(VLOOKUP(N206, 'Process Ref'!$A$76:$D$124, 2, FALSE), IFERROR(0/0,"")))</f>
        <v/>
      </c>
      <c r="R211" s="78" t="str">
        <f>IFNA(MATCH(A211,'RFR Data - preExcl'!A$2:A447,0),"")</f>
        <v/>
      </c>
      <c r="S211" s="43"/>
      <c r="T211" s="18" t="str">
        <f>IF(EXACT('RFR Data - preExcl'!W211,"Initial"),'RFR Data - preExcl'!A211,IFERROR(0/0,""))</f>
        <v/>
      </c>
      <c r="U211" s="18" t="str">
        <f>IF(EXACT('RFR Data - preExcl'!W211,"Initial"),'RFR Data - preExcl'!U211,IFERROR(0/0,""))</f>
        <v/>
      </c>
      <c r="V211" s="117"/>
      <c r="X211" s="43"/>
      <c r="AC211" s="70"/>
      <c r="AF211" s="70"/>
      <c r="AJ211" s="7" t="str">
        <f t="shared" ref="AJ211:AL211" si="239">IF(AG211=L211,IFERROR(0/0,""),FALSE)</f>
        <v/>
      </c>
      <c r="AK211" s="7" t="str">
        <f t="shared" si="239"/>
        <v/>
      </c>
      <c r="AL211" s="7" t="str">
        <f t="shared" si="239"/>
        <v/>
      </c>
      <c r="AM211" s="43"/>
    </row>
    <row r="212">
      <c r="C212" s="131"/>
      <c r="D212" s="54"/>
      <c r="E212" s="54"/>
      <c r="F212" s="54"/>
      <c r="G212" s="54"/>
      <c r="H212" s="54"/>
      <c r="I212" s="54"/>
      <c r="J212" s="54"/>
      <c r="K212" s="54"/>
      <c r="L212" s="54"/>
      <c r="M212" s="54"/>
      <c r="N212" s="89"/>
      <c r="P212" s="77" t="str">
        <f>IF(ISBLANK(N207),IFERROR(0/0,""),IFERROR(VLOOKUP(N207, 'Process Ref'!$A$76:$D$124, 2, FALSE), IFERROR(0/0,"")))</f>
        <v/>
      </c>
      <c r="R212" s="78" t="str">
        <f>IFNA(MATCH(A212,'RFR Data - preExcl'!A$2:A447,0),"")</f>
        <v/>
      </c>
      <c r="S212" s="43"/>
      <c r="T212" s="18" t="str">
        <f>IF(EXACT('RFR Data - preExcl'!W212,"Initial"),'RFR Data - preExcl'!A212,IFERROR(0/0,""))</f>
        <v/>
      </c>
      <c r="U212" s="18" t="str">
        <f>IF(EXACT('RFR Data - preExcl'!W212,"Initial"),'RFR Data - preExcl'!U212,IFERROR(0/0,""))</f>
        <v/>
      </c>
      <c r="V212" s="117"/>
      <c r="X212" s="43"/>
      <c r="AC212" s="70"/>
      <c r="AF212" s="70"/>
      <c r="AJ212" s="7" t="str">
        <f t="shared" ref="AJ212:AL212" si="240">IF(AG212=L212,IFERROR(0/0,""),FALSE)</f>
        <v/>
      </c>
      <c r="AK212" s="7" t="str">
        <f t="shared" si="240"/>
        <v/>
      </c>
      <c r="AL212" s="7" t="str">
        <f t="shared" si="240"/>
        <v/>
      </c>
      <c r="AM212" s="43"/>
    </row>
    <row r="213">
      <c r="C213" s="131"/>
      <c r="D213" s="54"/>
      <c r="E213" s="54"/>
      <c r="F213" s="54"/>
      <c r="G213" s="54"/>
      <c r="H213" s="54"/>
      <c r="I213" s="54"/>
      <c r="J213" s="54"/>
      <c r="K213" s="54"/>
      <c r="L213" s="54"/>
      <c r="M213" s="54"/>
      <c r="N213" s="89"/>
      <c r="P213" s="77" t="str">
        <f>IF(ISBLANK(N208),IFERROR(0/0,""),IFERROR(VLOOKUP(N208, 'Process Ref'!$A$76:$D$124, 2, FALSE), IFERROR(0/0,"")))</f>
        <v/>
      </c>
      <c r="R213" s="78" t="str">
        <f>IFNA(MATCH(A213,'RFR Data - preExcl'!A$2:A447,0),"")</f>
        <v/>
      </c>
      <c r="S213" s="43"/>
      <c r="T213" s="18" t="str">
        <f>IF(EXACT('RFR Data - preExcl'!W213,"Initial"),'RFR Data - preExcl'!A213,IFERROR(0/0,""))</f>
        <v>RUN-ABRM_2023-04-14_RFR-212</v>
      </c>
      <c r="U213" s="79">
        <f>IF(EXACT('RFR Data - preExcl'!W213,"Initial"),'RFR Data - preExcl'!U213,IFERROR(0/0,""))</f>
        <v>45030</v>
      </c>
      <c r="V213" s="117"/>
      <c r="X213" s="43"/>
      <c r="AC213" s="70"/>
      <c r="AF213" s="70"/>
      <c r="AJ213" s="7" t="str">
        <f t="shared" ref="AJ213:AL213" si="241">IF(AG213=L213,IFERROR(0/0,""),FALSE)</f>
        <v/>
      </c>
      <c r="AK213" s="7" t="str">
        <f t="shared" si="241"/>
        <v/>
      </c>
      <c r="AL213" s="7" t="str">
        <f t="shared" si="241"/>
        <v/>
      </c>
      <c r="AM213" s="43"/>
    </row>
    <row r="214">
      <c r="C214" s="131"/>
      <c r="D214" s="54"/>
      <c r="E214" s="54"/>
      <c r="F214" s="54"/>
      <c r="G214" s="54"/>
      <c r="H214" s="54"/>
      <c r="I214" s="54"/>
      <c r="J214" s="54"/>
      <c r="K214" s="54"/>
      <c r="L214" s="54"/>
      <c r="M214" s="54"/>
      <c r="N214" s="89"/>
      <c r="P214" s="77" t="str">
        <f>IF(ISBLANK(N209),IFERROR(0/0,""),IFERROR(VLOOKUP(N209, 'Process Ref'!$A$76:$D$124, 2, FALSE), IFERROR(0/0,"")))</f>
        <v/>
      </c>
      <c r="R214" s="78" t="str">
        <f>IFNA(MATCH(A214,'RFR Data - preExcl'!A$2:A447,0),"")</f>
        <v/>
      </c>
      <c r="S214" s="43"/>
      <c r="T214" s="18" t="str">
        <f>IF(EXACT('RFR Data - preExcl'!W214,"Initial"),'RFR Data - preExcl'!A214,IFERROR(0/0,""))</f>
        <v>RUN-ABRM_2023-04-17_RFR-213</v>
      </c>
      <c r="U214" s="79">
        <f>IF(EXACT('RFR Data - preExcl'!W214,"Initial"),'RFR Data - preExcl'!U214,IFERROR(0/0,""))</f>
        <v>45033</v>
      </c>
      <c r="V214" s="117"/>
      <c r="X214" s="43"/>
      <c r="AC214" s="70"/>
      <c r="AF214" s="70"/>
      <c r="AJ214" s="7" t="str">
        <f t="shared" ref="AJ214:AL214" si="242">IF(AG214=L214,IFERROR(0/0,""),FALSE)</f>
        <v/>
      </c>
      <c r="AK214" s="7" t="str">
        <f t="shared" si="242"/>
        <v/>
      </c>
      <c r="AL214" s="7" t="str">
        <f t="shared" si="242"/>
        <v/>
      </c>
      <c r="AM214" s="43"/>
    </row>
    <row r="215">
      <c r="C215" s="131"/>
      <c r="D215" s="54"/>
      <c r="E215" s="54"/>
      <c r="F215" s="54"/>
      <c r="G215" s="54"/>
      <c r="H215" s="54"/>
      <c r="I215" s="54"/>
      <c r="J215" s="54"/>
      <c r="K215" s="54"/>
      <c r="L215" s="54"/>
      <c r="M215" s="54"/>
      <c r="N215" s="89"/>
      <c r="P215" s="77" t="str">
        <f>IF(ISBLANK(N210),IFERROR(0/0,""),IFERROR(VLOOKUP(N210, 'Process Ref'!$A$76:$D$124, 2, FALSE), IFERROR(0/0,"")))</f>
        <v/>
      </c>
      <c r="R215" s="78" t="str">
        <f>IFNA(MATCH(A215,'RFR Data - preExcl'!A$2:A447,0),"")</f>
        <v/>
      </c>
      <c r="S215" s="43"/>
      <c r="T215" s="18" t="str">
        <f>IF(EXACT('RFR Data - preExcl'!W215,"Initial"),'RFR Data - preExcl'!A215,IFERROR(0/0,""))</f>
        <v>RUN-ABRM_2023-04-18_RFR-214</v>
      </c>
      <c r="U215" s="79">
        <f>IF(EXACT('RFR Data - preExcl'!W215,"Initial"),'RFR Data - preExcl'!U215,IFERROR(0/0,""))</f>
        <v>45034</v>
      </c>
      <c r="V215" s="117"/>
      <c r="X215" s="43"/>
      <c r="AC215" s="70"/>
      <c r="AF215" s="70"/>
      <c r="AJ215" s="7" t="str">
        <f t="shared" ref="AJ215:AL215" si="243">IF(AG215=L215,IFERROR(0/0,""),FALSE)</f>
        <v/>
      </c>
      <c r="AK215" s="7" t="str">
        <f t="shared" si="243"/>
        <v/>
      </c>
      <c r="AL215" s="7" t="str">
        <f t="shared" si="243"/>
        <v/>
      </c>
      <c r="AM215" s="43"/>
    </row>
    <row r="216">
      <c r="C216" s="131"/>
      <c r="D216" s="54"/>
      <c r="E216" s="54"/>
      <c r="F216" s="54"/>
      <c r="G216" s="54"/>
      <c r="H216" s="54"/>
      <c r="I216" s="54"/>
      <c r="J216" s="54"/>
      <c r="K216" s="54"/>
      <c r="L216" s="54"/>
      <c r="M216" s="54"/>
      <c r="N216" s="89"/>
      <c r="P216" s="77" t="str">
        <f>IF(ISBLANK(N211),IFERROR(0/0,""),IFERROR(VLOOKUP(N211, 'Process Ref'!$A$76:$D$124, 2, FALSE), IFERROR(0/0,"")))</f>
        <v/>
      </c>
      <c r="R216" s="78" t="str">
        <f>IFNA(MATCH(A216,'RFR Data - preExcl'!A$2:A447,0),"")</f>
        <v/>
      </c>
      <c r="S216" s="43"/>
      <c r="T216" s="18" t="str">
        <f>IF(EXACT('RFR Data - preExcl'!W216,"Initial"),'RFR Data - preExcl'!A216,IFERROR(0/0,""))</f>
        <v>RUN-ABRM_2023-04-19_RFR-215</v>
      </c>
      <c r="U216" s="79">
        <f>IF(EXACT('RFR Data - preExcl'!W216,"Initial"),'RFR Data - preExcl'!U216,IFERROR(0/0,""))</f>
        <v>45035</v>
      </c>
      <c r="V216" s="117"/>
      <c r="X216" s="43"/>
      <c r="AC216" s="70"/>
      <c r="AF216" s="70"/>
      <c r="AJ216" s="7" t="str">
        <f t="shared" ref="AJ216:AL216" si="244">IF(AG216=L216,IFERROR(0/0,""),FALSE)</f>
        <v/>
      </c>
      <c r="AK216" s="7" t="str">
        <f t="shared" si="244"/>
        <v/>
      </c>
      <c r="AL216" s="7" t="str">
        <f t="shared" si="244"/>
        <v/>
      </c>
      <c r="AM216" s="43"/>
    </row>
    <row r="217">
      <c r="C217" s="131"/>
      <c r="D217" s="54"/>
      <c r="E217" s="54"/>
      <c r="F217" s="54"/>
      <c r="G217" s="54"/>
      <c r="H217" s="54"/>
      <c r="I217" s="54"/>
      <c r="J217" s="54"/>
      <c r="K217" s="54"/>
      <c r="L217" s="54"/>
      <c r="M217" s="54"/>
      <c r="N217" s="89"/>
      <c r="P217" s="77" t="str">
        <f>IF(ISBLANK(N212),IFERROR(0/0,""),IFERROR(VLOOKUP(N212, 'Process Ref'!$A$76:$D$124, 2, FALSE), IFERROR(0/0,"")))</f>
        <v/>
      </c>
      <c r="R217" s="78" t="str">
        <f>IFNA(MATCH(A217,'RFR Data - preExcl'!A$2:A447,0),"")</f>
        <v/>
      </c>
      <c r="S217" s="43"/>
      <c r="T217" s="18" t="str">
        <f>IF(EXACT('RFR Data - preExcl'!W217,"Initial"),'RFR Data - preExcl'!A217,IFERROR(0/0,""))</f>
        <v>RUN-ABRM_2023-04-20_RFR-216</v>
      </c>
      <c r="U217" s="79">
        <f>IF(EXACT('RFR Data - preExcl'!W217,"Initial"),'RFR Data - preExcl'!U217,IFERROR(0/0,""))</f>
        <v>45036</v>
      </c>
      <c r="V217" s="117"/>
      <c r="X217" s="43"/>
      <c r="AC217" s="70"/>
      <c r="AF217" s="70"/>
      <c r="AJ217" s="7" t="str">
        <f t="shared" ref="AJ217:AL217" si="245">IF(AG217=L217,IFERROR(0/0,""),FALSE)</f>
        <v/>
      </c>
      <c r="AK217" s="7" t="str">
        <f t="shared" si="245"/>
        <v/>
      </c>
      <c r="AL217" s="7" t="str">
        <f t="shared" si="245"/>
        <v/>
      </c>
      <c r="AM217" s="43"/>
    </row>
    <row r="218">
      <c r="C218" s="131"/>
      <c r="D218" s="54"/>
      <c r="E218" s="54"/>
      <c r="F218" s="54"/>
      <c r="G218" s="54"/>
      <c r="H218" s="54"/>
      <c r="I218" s="54"/>
      <c r="J218" s="54"/>
      <c r="K218" s="54"/>
      <c r="L218" s="54"/>
      <c r="M218" s="54"/>
      <c r="N218" s="89"/>
      <c r="P218" s="77" t="str">
        <f>IF(ISBLANK(N213),IFERROR(0/0,""),IFERROR(VLOOKUP(N213, 'Process Ref'!$A$76:$D$124, 2, FALSE), IFERROR(0/0,"")))</f>
        <v/>
      </c>
      <c r="R218" s="78" t="str">
        <f>IFNA(MATCH(A218,'RFR Data - preExcl'!A$2:A447,0),"")</f>
        <v/>
      </c>
      <c r="S218" s="43"/>
      <c r="T218" s="18" t="str">
        <f>IF(EXACT('RFR Data - preExcl'!W218,"Initial"),'RFR Data - preExcl'!A218,IFERROR(0/0,""))</f>
        <v>RUN-ABRM_2023-04-21_RFR-217</v>
      </c>
      <c r="U218" s="79">
        <f>IF(EXACT('RFR Data - preExcl'!W218,"Initial"),'RFR Data - preExcl'!U218,IFERROR(0/0,""))</f>
        <v>45037</v>
      </c>
      <c r="V218" s="117"/>
      <c r="X218" s="43"/>
      <c r="AC218" s="70"/>
      <c r="AF218" s="70"/>
      <c r="AJ218" s="7" t="str">
        <f t="shared" ref="AJ218:AL218" si="246">IF(AG218=L218,IFERROR(0/0,""),FALSE)</f>
        <v/>
      </c>
      <c r="AK218" s="7" t="str">
        <f t="shared" si="246"/>
        <v/>
      </c>
      <c r="AL218" s="7" t="str">
        <f t="shared" si="246"/>
        <v/>
      </c>
      <c r="AM218" s="43"/>
    </row>
    <row r="219">
      <c r="C219" s="131"/>
      <c r="D219" s="54"/>
      <c r="E219" s="54"/>
      <c r="F219" s="54"/>
      <c r="G219" s="54"/>
      <c r="H219" s="54"/>
      <c r="I219" s="54"/>
      <c r="J219" s="54"/>
      <c r="K219" s="54"/>
      <c r="L219" s="54"/>
      <c r="M219" s="54"/>
      <c r="N219" s="89"/>
      <c r="P219" s="77" t="str">
        <f>IF(ISBLANK(N214),IFERROR(0/0,""),IFERROR(VLOOKUP(N214, 'Process Ref'!$A$76:$D$124, 2, FALSE), IFERROR(0/0,"")))</f>
        <v/>
      </c>
      <c r="R219" s="78" t="str">
        <f>IFNA(MATCH(A219,'RFR Data - preExcl'!A$2:A447,0),"")</f>
        <v/>
      </c>
      <c r="S219" s="43"/>
      <c r="T219" s="18" t="str">
        <f>IF(EXACT('RFR Data - preExcl'!W219,"Initial"),'RFR Data - preExcl'!A219,IFERROR(0/0,""))</f>
        <v/>
      </c>
      <c r="U219" s="18" t="str">
        <f>IF(EXACT('RFR Data - preExcl'!W219,"Initial"),'RFR Data - preExcl'!U219,IFERROR(0/0,""))</f>
        <v/>
      </c>
      <c r="V219" s="117"/>
      <c r="X219" s="43"/>
      <c r="AC219" s="70"/>
      <c r="AF219" s="70"/>
      <c r="AJ219" s="7" t="str">
        <f t="shared" ref="AJ219:AL219" si="247">IF(AG219=L219,IFERROR(0/0,""),FALSE)</f>
        <v/>
      </c>
      <c r="AK219" s="7" t="str">
        <f t="shared" si="247"/>
        <v/>
      </c>
      <c r="AL219" s="7" t="str">
        <f t="shared" si="247"/>
        <v/>
      </c>
      <c r="AM219" s="43"/>
    </row>
    <row r="220">
      <c r="C220" s="131"/>
      <c r="D220" s="54"/>
      <c r="E220" s="54"/>
      <c r="F220" s="54"/>
      <c r="G220" s="54"/>
      <c r="H220" s="54"/>
      <c r="I220" s="54"/>
      <c r="J220" s="54"/>
      <c r="K220" s="54"/>
      <c r="L220" s="54"/>
      <c r="M220" s="54"/>
      <c r="N220" s="89"/>
      <c r="P220" s="77" t="str">
        <f>IF(ISBLANK(N215),IFERROR(0/0,""),IFERROR(VLOOKUP(N215, 'Process Ref'!$A$76:$D$124, 2, FALSE), IFERROR(0/0,"")))</f>
        <v/>
      </c>
      <c r="R220" s="78" t="str">
        <f>IFNA(MATCH(A220,'RFR Data - preExcl'!A$2:A447,0),"")</f>
        <v/>
      </c>
      <c r="S220" s="43"/>
      <c r="T220" s="18" t="str">
        <f>IF(EXACT('RFR Data - preExcl'!W220,"Initial"),'RFR Data - preExcl'!A220,IFERROR(0/0,""))</f>
        <v>RUN-ABRM_2023-04-24_RFR-219</v>
      </c>
      <c r="U220" s="79">
        <f>IF(EXACT('RFR Data - preExcl'!W220,"Initial"),'RFR Data - preExcl'!U220,IFERROR(0/0,""))</f>
        <v>45040</v>
      </c>
      <c r="V220" s="117"/>
      <c r="X220" s="43"/>
      <c r="AC220" s="70"/>
      <c r="AF220" s="70"/>
      <c r="AJ220" s="7" t="str">
        <f t="shared" ref="AJ220:AL220" si="248">IF(AG220=L220,IFERROR(0/0,""),FALSE)</f>
        <v/>
      </c>
      <c r="AK220" s="7" t="str">
        <f t="shared" si="248"/>
        <v/>
      </c>
      <c r="AL220" s="7" t="str">
        <f t="shared" si="248"/>
        <v/>
      </c>
      <c r="AM220" s="43"/>
    </row>
    <row r="221">
      <c r="C221" s="131"/>
      <c r="D221" s="54"/>
      <c r="E221" s="54"/>
      <c r="F221" s="54"/>
      <c r="G221" s="54"/>
      <c r="H221" s="54"/>
      <c r="I221" s="54"/>
      <c r="J221" s="54"/>
      <c r="K221" s="54"/>
      <c r="L221" s="54"/>
      <c r="M221" s="54"/>
      <c r="N221" s="89"/>
      <c r="P221" s="77" t="str">
        <f>IF(ISBLANK(N216),IFERROR(0/0,""),IFERROR(VLOOKUP(N216, 'Process Ref'!$A$76:$D$124, 2, FALSE), IFERROR(0/0,"")))</f>
        <v/>
      </c>
      <c r="R221" s="78" t="str">
        <f>IFNA(MATCH(A221,'RFR Data - preExcl'!A$2:A447,0),"")</f>
        <v/>
      </c>
      <c r="S221" s="43"/>
      <c r="T221" s="18" t="str">
        <f>IF(EXACT('RFR Data - preExcl'!W221,"Initial"),'RFR Data - preExcl'!A221,IFERROR(0/0,""))</f>
        <v/>
      </c>
      <c r="U221" s="18" t="str">
        <f>IF(EXACT('RFR Data - preExcl'!W221,"Initial"),'RFR Data - preExcl'!U221,IFERROR(0/0,""))</f>
        <v/>
      </c>
      <c r="V221" s="117"/>
      <c r="X221" s="43"/>
      <c r="AC221" s="70"/>
      <c r="AF221" s="70"/>
      <c r="AJ221" s="7" t="str">
        <f t="shared" ref="AJ221:AL221" si="249">IF(AG221=L221,IFERROR(0/0,""),FALSE)</f>
        <v/>
      </c>
      <c r="AK221" s="7" t="str">
        <f t="shared" si="249"/>
        <v/>
      </c>
      <c r="AL221" s="7" t="str">
        <f t="shared" si="249"/>
        <v/>
      </c>
      <c r="AM221" s="43"/>
    </row>
    <row r="222">
      <c r="C222" s="131"/>
      <c r="D222" s="54"/>
      <c r="E222" s="54"/>
      <c r="F222" s="54"/>
      <c r="G222" s="54"/>
      <c r="H222" s="54"/>
      <c r="I222" s="54"/>
      <c r="J222" s="54"/>
      <c r="K222" s="54"/>
      <c r="L222" s="54"/>
      <c r="M222" s="54"/>
      <c r="N222" s="89"/>
      <c r="P222" s="77" t="str">
        <f>IF(ISBLANK(N217),IFERROR(0/0,""),IFERROR(VLOOKUP(N217, 'Process Ref'!$A$76:$D$124, 2, FALSE), IFERROR(0/0,"")))</f>
        <v/>
      </c>
      <c r="R222" s="78" t="str">
        <f>IFNA(MATCH(A222,'RFR Data - preExcl'!A$2:A447,0),"")</f>
        <v/>
      </c>
      <c r="S222" s="43"/>
      <c r="T222" s="18" t="str">
        <f>IF(EXACT('RFR Data - preExcl'!W222,"Initial"),'RFR Data - preExcl'!A222,IFERROR(0/0,""))</f>
        <v>RUN-ABRM_2023-04-28_RFR-221</v>
      </c>
      <c r="U222" s="79">
        <f>IF(EXACT('RFR Data - preExcl'!W222,"Initial"),'RFR Data - preExcl'!U222,IFERROR(0/0,""))</f>
        <v>45044</v>
      </c>
      <c r="V222" s="117"/>
      <c r="X222" s="43"/>
      <c r="AC222" s="70"/>
      <c r="AF222" s="70"/>
      <c r="AJ222" s="7" t="str">
        <f t="shared" ref="AJ222:AL222" si="250">IF(AG222=L222,IFERROR(0/0,""),FALSE)</f>
        <v/>
      </c>
      <c r="AK222" s="7" t="str">
        <f t="shared" si="250"/>
        <v/>
      </c>
      <c r="AL222" s="7" t="str">
        <f t="shared" si="250"/>
        <v/>
      </c>
      <c r="AM222" s="43"/>
    </row>
    <row r="223">
      <c r="C223" s="131"/>
      <c r="D223" s="54"/>
      <c r="E223" s="54"/>
      <c r="F223" s="54"/>
      <c r="G223" s="54"/>
      <c r="H223" s="54"/>
      <c r="I223" s="54"/>
      <c r="J223" s="54"/>
      <c r="K223" s="54"/>
      <c r="L223" s="54"/>
      <c r="M223" s="54"/>
      <c r="N223" s="89"/>
      <c r="P223" s="77" t="str">
        <f>IF(ISBLANK(N218),IFERROR(0/0,""),IFERROR(VLOOKUP(N218, 'Process Ref'!$A$76:$D$124, 2, FALSE), IFERROR(0/0,"")))</f>
        <v/>
      </c>
      <c r="R223" s="78" t="str">
        <f>IFNA(MATCH(A223,'RFR Data - preExcl'!A$2:A447,0),"")</f>
        <v/>
      </c>
      <c r="S223" s="43"/>
      <c r="T223" s="18" t="str">
        <f>IF(EXACT('RFR Data - preExcl'!W223,"Initial"),'RFR Data - preExcl'!A223,IFERROR(0/0,""))</f>
        <v/>
      </c>
      <c r="U223" s="18" t="str">
        <f>IF(EXACT('RFR Data - preExcl'!W223,"Initial"),'RFR Data - preExcl'!U223,IFERROR(0/0,""))</f>
        <v/>
      </c>
      <c r="V223" s="117"/>
      <c r="X223" s="43"/>
      <c r="AC223" s="70"/>
      <c r="AF223" s="70"/>
      <c r="AJ223" s="7" t="str">
        <f t="shared" ref="AJ223:AL223" si="251">IF(AG223=L223,IFERROR(0/0,""),FALSE)</f>
        <v/>
      </c>
      <c r="AK223" s="7" t="str">
        <f t="shared" si="251"/>
        <v/>
      </c>
      <c r="AL223" s="7" t="str">
        <f t="shared" si="251"/>
        <v/>
      </c>
      <c r="AM223" s="43"/>
    </row>
    <row r="224">
      <c r="C224" s="131"/>
      <c r="D224" s="54"/>
      <c r="E224" s="54"/>
      <c r="F224" s="54"/>
      <c r="G224" s="54"/>
      <c r="H224" s="54"/>
      <c r="I224" s="54"/>
      <c r="J224" s="54"/>
      <c r="K224" s="54"/>
      <c r="L224" s="54"/>
      <c r="M224" s="54"/>
      <c r="N224" s="89"/>
      <c r="P224" s="77" t="str">
        <f>IF(ISBLANK(N219),IFERROR(0/0,""),IFERROR(VLOOKUP(N219, 'Process Ref'!$A$76:$D$124, 2, FALSE), IFERROR(0/0,"")))</f>
        <v/>
      </c>
      <c r="R224" s="78" t="str">
        <f>IFNA(MATCH(A224,'RFR Data - preExcl'!A$2:A447,0),"")</f>
        <v/>
      </c>
      <c r="S224" s="43"/>
      <c r="T224" s="18" t="str">
        <f>IF(EXACT('RFR Data - preExcl'!W224,"Initial"),'RFR Data - preExcl'!A224,IFERROR(0/0,""))</f>
        <v>RUN-ABRM_2023-05-08_RFR-223</v>
      </c>
      <c r="U224" s="79">
        <f>IF(EXACT('RFR Data - preExcl'!W224,"Initial"),'RFR Data - preExcl'!U224,IFERROR(0/0,""))</f>
        <v>45054</v>
      </c>
      <c r="V224" s="117"/>
      <c r="X224" s="43"/>
      <c r="AC224" s="70"/>
      <c r="AF224" s="70"/>
      <c r="AJ224" s="7" t="str">
        <f t="shared" ref="AJ224:AL224" si="252">IF(AG224=L224,IFERROR(0/0,""),FALSE)</f>
        <v/>
      </c>
      <c r="AK224" s="7" t="str">
        <f t="shared" si="252"/>
        <v/>
      </c>
      <c r="AL224" s="7" t="str">
        <f t="shared" si="252"/>
        <v/>
      </c>
      <c r="AM224" s="43"/>
    </row>
    <row r="225">
      <c r="C225" s="131"/>
      <c r="D225" s="54"/>
      <c r="E225" s="54"/>
      <c r="F225" s="54"/>
      <c r="G225" s="54"/>
      <c r="H225" s="54"/>
      <c r="I225" s="54"/>
      <c r="J225" s="54"/>
      <c r="K225" s="54"/>
      <c r="L225" s="54"/>
      <c r="M225" s="54"/>
      <c r="N225" s="89"/>
      <c r="P225" s="77" t="str">
        <f>IF(ISBLANK(N220),IFERROR(0/0,""),IFERROR(VLOOKUP(N220, 'Process Ref'!$A$76:$D$124, 2, FALSE), IFERROR(0/0,"")))</f>
        <v/>
      </c>
      <c r="R225" s="78" t="str">
        <f>IFNA(MATCH(A225,'RFR Data - preExcl'!A$2:A447,0),"")</f>
        <v/>
      </c>
      <c r="S225" s="43"/>
      <c r="T225" s="18" t="str">
        <f>IF(EXACT('RFR Data - preExcl'!W225,"Initial"),'RFR Data - preExcl'!A225,IFERROR(0/0,""))</f>
        <v>RUN-ABRM_2023-05-11_RFR-224</v>
      </c>
      <c r="U225" s="79">
        <f>IF(EXACT('RFR Data - preExcl'!W225,"Initial"),'RFR Data - preExcl'!U225,IFERROR(0/0,""))</f>
        <v>45057</v>
      </c>
      <c r="V225" s="117"/>
      <c r="X225" s="43"/>
      <c r="AC225" s="70"/>
      <c r="AF225" s="70"/>
      <c r="AJ225" s="7" t="str">
        <f t="shared" ref="AJ225:AL225" si="253">IF(AG225=L225,IFERROR(0/0,""),FALSE)</f>
        <v/>
      </c>
      <c r="AK225" s="7" t="str">
        <f t="shared" si="253"/>
        <v/>
      </c>
      <c r="AL225" s="7" t="str">
        <f t="shared" si="253"/>
        <v/>
      </c>
      <c r="AM225" s="43"/>
    </row>
    <row r="226">
      <c r="C226" s="131"/>
      <c r="D226" s="54"/>
      <c r="E226" s="54"/>
      <c r="F226" s="54"/>
      <c r="G226" s="54"/>
      <c r="H226" s="54"/>
      <c r="I226" s="54"/>
      <c r="J226" s="54"/>
      <c r="K226" s="54"/>
      <c r="L226" s="54"/>
      <c r="M226" s="54"/>
      <c r="N226" s="89"/>
      <c r="P226" s="77" t="str">
        <f>IF(ISBLANK(N221),IFERROR(0/0,""),IFERROR(VLOOKUP(N221, 'Process Ref'!$A$76:$D$124, 2, FALSE), IFERROR(0/0,"")))</f>
        <v/>
      </c>
      <c r="R226" s="78" t="str">
        <f>IFNA(MATCH(A226,'RFR Data - preExcl'!A$2:A447,0),"")</f>
        <v/>
      </c>
      <c r="S226" s="43"/>
      <c r="T226" s="18" t="str">
        <f>IF(EXACT('RFR Data - preExcl'!W226,"Initial"),'RFR Data - preExcl'!A226,IFERROR(0/0,""))</f>
        <v>RUN-ABRM_2023-05-17_RFR-225</v>
      </c>
      <c r="U226" s="79">
        <f>IF(EXACT('RFR Data - preExcl'!W226,"Initial"),'RFR Data - preExcl'!U226,IFERROR(0/0,""))</f>
        <v>45063</v>
      </c>
      <c r="V226" s="117"/>
      <c r="X226" s="43"/>
      <c r="AC226" s="70"/>
      <c r="AF226" s="70"/>
      <c r="AJ226" s="7" t="str">
        <f t="shared" ref="AJ226:AL226" si="254">IF(AG226=L226,IFERROR(0/0,""),FALSE)</f>
        <v/>
      </c>
      <c r="AK226" s="7" t="str">
        <f t="shared" si="254"/>
        <v/>
      </c>
      <c r="AL226" s="7" t="str">
        <f t="shared" si="254"/>
        <v/>
      </c>
      <c r="AM226" s="43"/>
    </row>
    <row r="227">
      <c r="C227" s="131"/>
      <c r="D227" s="54"/>
      <c r="E227" s="54"/>
      <c r="F227" s="54"/>
      <c r="G227" s="54"/>
      <c r="H227" s="54"/>
      <c r="I227" s="54"/>
      <c r="J227" s="54"/>
      <c r="K227" s="54"/>
      <c r="L227" s="54"/>
      <c r="M227" s="54"/>
      <c r="N227" s="89"/>
      <c r="P227" s="77" t="str">
        <f>IF(ISBLANK(N222),IFERROR(0/0,""),IFERROR(VLOOKUP(N222, 'Process Ref'!$A$76:$D$124, 2, FALSE), IFERROR(0/0,"")))</f>
        <v/>
      </c>
      <c r="R227" s="78" t="str">
        <f>IFNA(MATCH(A227,'RFR Data - preExcl'!A$2:A447,0),"")</f>
        <v/>
      </c>
      <c r="S227" s="43"/>
      <c r="T227" s="18" t="str">
        <f>IF(EXACT('RFR Data - preExcl'!W227,"Initial"),'RFR Data - preExcl'!A227,IFERROR(0/0,""))</f>
        <v>RUN-ABRM_2023-05-18_RFR-226</v>
      </c>
      <c r="U227" s="79">
        <f>IF(EXACT('RFR Data - preExcl'!W227,"Initial"),'RFR Data - preExcl'!U227,IFERROR(0/0,""))</f>
        <v>45064</v>
      </c>
      <c r="V227" s="117"/>
      <c r="X227" s="43"/>
      <c r="AC227" s="70"/>
      <c r="AF227" s="70"/>
      <c r="AJ227" s="7" t="str">
        <f t="shared" ref="AJ227:AL227" si="255">IF(AG227=L227,IFERROR(0/0,""),FALSE)</f>
        <v/>
      </c>
      <c r="AK227" s="7" t="str">
        <f t="shared" si="255"/>
        <v/>
      </c>
      <c r="AL227" s="7" t="str">
        <f t="shared" si="255"/>
        <v/>
      </c>
      <c r="AM227" s="43"/>
    </row>
    <row r="228">
      <c r="C228" s="131"/>
      <c r="D228" s="54"/>
      <c r="E228" s="54"/>
      <c r="F228" s="54"/>
      <c r="G228" s="54"/>
      <c r="H228" s="54"/>
      <c r="I228" s="54"/>
      <c r="J228" s="54"/>
      <c r="K228" s="54"/>
      <c r="L228" s="54"/>
      <c r="M228" s="54"/>
      <c r="N228" s="89"/>
      <c r="P228" s="77" t="str">
        <f>IF(ISBLANK(N223),IFERROR(0/0,""),IFERROR(VLOOKUP(N223, 'Process Ref'!$A$76:$D$124, 2, FALSE), IFERROR(0/0,"")))</f>
        <v/>
      </c>
      <c r="R228" s="78" t="str">
        <f>IFNA(MATCH(A228,'RFR Data - preExcl'!A$2:A447,0),"")</f>
        <v/>
      </c>
      <c r="S228" s="43"/>
      <c r="T228" s="18" t="str">
        <f>IF(EXACT('RFR Data - preExcl'!W228,"Initial"),'RFR Data - preExcl'!A228,IFERROR(0/0,""))</f>
        <v>RUN-ABRM_2023-05-19_RFR-227</v>
      </c>
      <c r="U228" s="79">
        <f>IF(EXACT('RFR Data - preExcl'!W228,"Initial"),'RFR Data - preExcl'!U228,IFERROR(0/0,""))</f>
        <v>45065</v>
      </c>
      <c r="V228" s="117"/>
      <c r="X228" s="43"/>
      <c r="AC228" s="70"/>
      <c r="AF228" s="70"/>
      <c r="AJ228" s="7" t="str">
        <f t="shared" ref="AJ228:AL228" si="256">IF(AG228=L228,IFERROR(0/0,""),FALSE)</f>
        <v/>
      </c>
      <c r="AK228" s="7" t="str">
        <f t="shared" si="256"/>
        <v/>
      </c>
      <c r="AL228" s="7" t="str">
        <f t="shared" si="256"/>
        <v/>
      </c>
      <c r="AM228" s="43"/>
    </row>
    <row r="229">
      <c r="C229" s="131"/>
      <c r="D229" s="54"/>
      <c r="E229" s="54"/>
      <c r="F229" s="54"/>
      <c r="G229" s="54"/>
      <c r="H229" s="54"/>
      <c r="I229" s="54"/>
      <c r="J229" s="54"/>
      <c r="K229" s="54"/>
      <c r="L229" s="54"/>
      <c r="M229" s="54"/>
      <c r="N229" s="89"/>
      <c r="P229" s="77" t="str">
        <f>IF(ISBLANK(N224),IFERROR(0/0,""),IFERROR(VLOOKUP(N224, 'Process Ref'!$A$76:$D$124, 2, FALSE), IFERROR(0/0,"")))</f>
        <v/>
      </c>
      <c r="R229" s="78" t="str">
        <f>IFNA(MATCH(A229,'RFR Data - preExcl'!A$2:A447,0),"")</f>
        <v/>
      </c>
      <c r="S229" s="43"/>
      <c r="T229" s="18" t="str">
        <f>IF(EXACT('RFR Data - preExcl'!W229,"Initial"),'RFR Data - preExcl'!A229,IFERROR(0/0,""))</f>
        <v>RUN-ABRM_2023-05-22_RFR-228</v>
      </c>
      <c r="U229" s="79">
        <f>IF(EXACT('RFR Data - preExcl'!W229,"Initial"),'RFR Data - preExcl'!U229,IFERROR(0/0,""))</f>
        <v>45068</v>
      </c>
      <c r="V229" s="117"/>
      <c r="X229" s="43"/>
      <c r="AC229" s="70"/>
      <c r="AF229" s="70"/>
      <c r="AJ229" s="7" t="str">
        <f t="shared" ref="AJ229:AL229" si="257">IF(AG229=L229,IFERROR(0/0,""),FALSE)</f>
        <v/>
      </c>
      <c r="AK229" s="7" t="str">
        <f t="shared" si="257"/>
        <v/>
      </c>
      <c r="AL229" s="7" t="str">
        <f t="shared" si="257"/>
        <v/>
      </c>
      <c r="AM229" s="43"/>
    </row>
    <row r="230">
      <c r="C230" s="131"/>
      <c r="D230" s="54"/>
      <c r="E230" s="54"/>
      <c r="F230" s="54"/>
      <c r="G230" s="54"/>
      <c r="H230" s="54"/>
      <c r="I230" s="54"/>
      <c r="J230" s="54"/>
      <c r="K230" s="54"/>
      <c r="L230" s="54"/>
      <c r="M230" s="54"/>
      <c r="N230" s="89"/>
      <c r="P230" s="77" t="str">
        <f>IF(ISBLANK(N225),IFERROR(0/0,""),IFERROR(VLOOKUP(N225, 'Process Ref'!$A$76:$D$124, 2, FALSE), IFERROR(0/0,"")))</f>
        <v/>
      </c>
      <c r="R230" s="78" t="str">
        <f>IFNA(MATCH(A230,'RFR Data - preExcl'!A$2:A447,0),"")</f>
        <v/>
      </c>
      <c r="S230" s="43"/>
      <c r="T230" s="18" t="str">
        <f>IF(EXACT('RFR Data - preExcl'!W230,"Initial"),'RFR Data - preExcl'!A230,IFERROR(0/0,""))</f>
        <v/>
      </c>
      <c r="U230" s="18" t="str">
        <f>IF(EXACT('RFR Data - preExcl'!W230,"Initial"),'RFR Data - preExcl'!U230,IFERROR(0/0,""))</f>
        <v/>
      </c>
      <c r="V230" s="117"/>
      <c r="X230" s="43"/>
      <c r="AC230" s="70"/>
      <c r="AF230" s="70"/>
      <c r="AJ230" s="7" t="str">
        <f t="shared" ref="AJ230:AL230" si="258">IF(AG230=L230,IFERROR(0/0,""),FALSE)</f>
        <v/>
      </c>
      <c r="AK230" s="7" t="str">
        <f t="shared" si="258"/>
        <v/>
      </c>
      <c r="AL230" s="7" t="str">
        <f t="shared" si="258"/>
        <v/>
      </c>
      <c r="AM230" s="43"/>
    </row>
    <row r="231">
      <c r="C231" s="131"/>
      <c r="D231" s="54"/>
      <c r="E231" s="54"/>
      <c r="F231" s="54"/>
      <c r="G231" s="54"/>
      <c r="H231" s="54"/>
      <c r="I231" s="54"/>
      <c r="J231" s="54"/>
      <c r="K231" s="54"/>
      <c r="L231" s="54"/>
      <c r="M231" s="54"/>
      <c r="N231" s="89"/>
      <c r="P231" s="77" t="str">
        <f>IF(ISBLANK(N226),IFERROR(0/0,""),IFERROR(VLOOKUP(N226, 'Process Ref'!$A$76:$D$124, 2, FALSE), IFERROR(0/0,"")))</f>
        <v/>
      </c>
      <c r="R231" s="78" t="str">
        <f>IFNA(MATCH(A231,'RFR Data - preExcl'!A$2:A447,0),"")</f>
        <v/>
      </c>
      <c r="S231" s="43"/>
      <c r="T231" s="18" t="str">
        <f>IF(EXACT('RFR Data - preExcl'!W231,"Initial"),'RFR Data - preExcl'!A231,IFERROR(0/0,""))</f>
        <v/>
      </c>
      <c r="U231" s="18" t="str">
        <f>IF(EXACT('RFR Data - preExcl'!W231,"Initial"),'RFR Data - preExcl'!U231,IFERROR(0/0,""))</f>
        <v/>
      </c>
      <c r="V231" s="117"/>
      <c r="X231" s="43"/>
      <c r="AC231" s="70"/>
      <c r="AF231" s="70"/>
      <c r="AJ231" s="7" t="str">
        <f t="shared" ref="AJ231:AL231" si="259">IF(AG231=L231,IFERROR(0/0,""),FALSE)</f>
        <v/>
      </c>
      <c r="AK231" s="7" t="str">
        <f t="shared" si="259"/>
        <v/>
      </c>
      <c r="AL231" s="7" t="str">
        <f t="shared" si="259"/>
        <v/>
      </c>
      <c r="AM231" s="43"/>
    </row>
    <row r="232">
      <c r="C232" s="131"/>
      <c r="D232" s="54"/>
      <c r="E232" s="54"/>
      <c r="F232" s="54"/>
      <c r="G232" s="54"/>
      <c r="H232" s="54"/>
      <c r="I232" s="54"/>
      <c r="J232" s="54"/>
      <c r="K232" s="54"/>
      <c r="L232" s="54"/>
      <c r="M232" s="54"/>
      <c r="N232" s="89"/>
      <c r="P232" s="77" t="str">
        <f>IF(ISBLANK(N227),IFERROR(0/0,""),IFERROR(VLOOKUP(N227, 'Process Ref'!$A$76:$D$124, 2, FALSE), IFERROR(0/0,"")))</f>
        <v/>
      </c>
      <c r="R232" s="78" t="str">
        <f>IFNA(MATCH(A232,'RFR Data - preExcl'!A$2:A447,0),"")</f>
        <v/>
      </c>
      <c r="S232" s="43"/>
      <c r="T232" s="18" t="str">
        <f>IF(EXACT('RFR Data - preExcl'!W232,"Initial"),'RFR Data - preExcl'!A232,IFERROR(0/0,""))</f>
        <v>RUN-ABRM_2023-05-23_RFR-231</v>
      </c>
      <c r="U232" s="79">
        <f>IF(EXACT('RFR Data - preExcl'!W232,"Initial"),'RFR Data - preExcl'!U232,IFERROR(0/0,""))</f>
        <v>45069</v>
      </c>
      <c r="V232" s="117"/>
      <c r="X232" s="43"/>
      <c r="AC232" s="70"/>
      <c r="AF232" s="70"/>
      <c r="AJ232" s="7" t="str">
        <f t="shared" ref="AJ232:AL232" si="260">IF(AG232=L232,IFERROR(0/0,""),FALSE)</f>
        <v/>
      </c>
      <c r="AK232" s="7" t="str">
        <f t="shared" si="260"/>
        <v/>
      </c>
      <c r="AL232" s="7" t="str">
        <f t="shared" si="260"/>
        <v/>
      </c>
      <c r="AM232" s="43"/>
    </row>
    <row r="233">
      <c r="C233" s="131"/>
      <c r="D233" s="54"/>
      <c r="E233" s="54"/>
      <c r="F233" s="54"/>
      <c r="G233" s="54"/>
      <c r="H233" s="54"/>
      <c r="I233" s="54"/>
      <c r="J233" s="54"/>
      <c r="K233" s="54"/>
      <c r="L233" s="54"/>
      <c r="M233" s="54"/>
      <c r="N233" s="89"/>
      <c r="P233" s="77" t="str">
        <f>IF(ISBLANK(N228),IFERROR(0/0,""),IFERROR(VLOOKUP(N228, 'Process Ref'!$A$76:$D$124, 2, FALSE), IFERROR(0/0,"")))</f>
        <v/>
      </c>
      <c r="R233" s="78" t="str">
        <f>IFNA(MATCH(A233,'RFR Data - preExcl'!A$2:A447,0),"")</f>
        <v/>
      </c>
      <c r="S233" s="43"/>
      <c r="T233" s="18" t="str">
        <f>IF(EXACT('RFR Data - preExcl'!W233,"Initial"),'RFR Data - preExcl'!A233,IFERROR(0/0,""))</f>
        <v>RUN-ABRM_2023-05-24_RFR-232</v>
      </c>
      <c r="U233" s="79">
        <f>IF(EXACT('RFR Data - preExcl'!W233,"Initial"),'RFR Data - preExcl'!U233,IFERROR(0/0,""))</f>
        <v>45070</v>
      </c>
      <c r="V233" s="117"/>
      <c r="X233" s="43"/>
      <c r="AC233" s="70"/>
      <c r="AF233" s="70"/>
      <c r="AJ233" s="7" t="str">
        <f t="shared" ref="AJ233:AL233" si="261">IF(AG233=L233,IFERROR(0/0,""),FALSE)</f>
        <v/>
      </c>
      <c r="AK233" s="7" t="str">
        <f t="shared" si="261"/>
        <v/>
      </c>
      <c r="AL233" s="7" t="str">
        <f t="shared" si="261"/>
        <v/>
      </c>
      <c r="AM233" s="43"/>
    </row>
    <row r="234">
      <c r="C234" s="131"/>
      <c r="D234" s="54"/>
      <c r="E234" s="54"/>
      <c r="F234" s="54"/>
      <c r="G234" s="54"/>
      <c r="H234" s="54"/>
      <c r="I234" s="54"/>
      <c r="J234" s="54"/>
      <c r="K234" s="54"/>
      <c r="L234" s="54"/>
      <c r="M234" s="54"/>
      <c r="N234" s="89"/>
      <c r="P234" s="77" t="str">
        <f>IF(ISBLANK(N229),IFERROR(0/0,""),IFERROR(VLOOKUP(N229, 'Process Ref'!$A$76:$D$124, 2, FALSE), IFERROR(0/0,"")))</f>
        <v/>
      </c>
      <c r="R234" s="78" t="str">
        <f>IFNA(MATCH(A234,'RFR Data - preExcl'!A$2:A447,0),"")</f>
        <v/>
      </c>
      <c r="S234" s="43"/>
      <c r="T234" s="18" t="str">
        <f>IF(EXACT('RFR Data - preExcl'!W234,"Initial"),'RFR Data - preExcl'!A234,IFERROR(0/0,""))</f>
        <v/>
      </c>
      <c r="U234" s="18" t="str">
        <f>IF(EXACT('RFR Data - preExcl'!W234,"Initial"),'RFR Data - preExcl'!U234,IFERROR(0/0,""))</f>
        <v/>
      </c>
      <c r="V234" s="117"/>
      <c r="X234" s="43"/>
      <c r="AC234" s="70"/>
      <c r="AF234" s="70"/>
      <c r="AJ234" s="7" t="str">
        <f t="shared" ref="AJ234:AL234" si="262">IF(AG234=L234,IFERROR(0/0,""),FALSE)</f>
        <v/>
      </c>
      <c r="AK234" s="7" t="str">
        <f t="shared" si="262"/>
        <v/>
      </c>
      <c r="AL234" s="7" t="str">
        <f t="shared" si="262"/>
        <v/>
      </c>
      <c r="AM234" s="43"/>
    </row>
    <row r="235">
      <c r="C235" s="131"/>
      <c r="D235" s="54"/>
      <c r="E235" s="54"/>
      <c r="F235" s="54"/>
      <c r="G235" s="54"/>
      <c r="H235" s="54"/>
      <c r="I235" s="54"/>
      <c r="J235" s="54"/>
      <c r="K235" s="54"/>
      <c r="L235" s="54"/>
      <c r="M235" s="54"/>
      <c r="N235" s="89"/>
      <c r="P235" s="77" t="str">
        <f>IF(ISBLANK(N230),IFERROR(0/0,""),IFERROR(VLOOKUP(N230, 'Process Ref'!$A$76:$D$124, 2, FALSE), IFERROR(0/0,"")))</f>
        <v/>
      </c>
      <c r="R235" s="78" t="str">
        <f>IFNA(MATCH(A235,'RFR Data - preExcl'!A$2:A447,0),"")</f>
        <v/>
      </c>
      <c r="S235" s="43"/>
      <c r="T235" s="18" t="str">
        <f>IF(EXACT('RFR Data - preExcl'!W235,"Initial"),'RFR Data - preExcl'!A235,IFERROR(0/0,""))</f>
        <v>RUN-ABRM_2023-05-25_RFR-234</v>
      </c>
      <c r="U235" s="79">
        <f>IF(EXACT('RFR Data - preExcl'!W235,"Initial"),'RFR Data - preExcl'!U235,IFERROR(0/0,""))</f>
        <v>45071</v>
      </c>
      <c r="V235" s="117"/>
      <c r="X235" s="43"/>
      <c r="AC235" s="70"/>
      <c r="AF235" s="70"/>
      <c r="AJ235" s="7" t="str">
        <f t="shared" ref="AJ235:AL235" si="263">IF(AG235=L235,IFERROR(0/0,""),FALSE)</f>
        <v/>
      </c>
      <c r="AK235" s="7" t="str">
        <f t="shared" si="263"/>
        <v/>
      </c>
      <c r="AL235" s="7" t="str">
        <f t="shared" si="263"/>
        <v/>
      </c>
      <c r="AM235" s="43"/>
    </row>
    <row r="236">
      <c r="C236" s="131"/>
      <c r="D236" s="54"/>
      <c r="E236" s="54"/>
      <c r="F236" s="54"/>
      <c r="G236" s="54"/>
      <c r="H236" s="54"/>
      <c r="I236" s="54"/>
      <c r="J236" s="54"/>
      <c r="K236" s="54"/>
      <c r="L236" s="54"/>
      <c r="M236" s="54"/>
      <c r="N236" s="89"/>
      <c r="P236" s="77" t="str">
        <f>IF(ISBLANK(N231),IFERROR(0/0,""),IFERROR(VLOOKUP(N231, 'Process Ref'!$A$76:$D$124, 2, FALSE), IFERROR(0/0,"")))</f>
        <v/>
      </c>
      <c r="R236" s="78" t="str">
        <f>IFNA(MATCH(A236,'RFR Data - preExcl'!A$2:A447,0),"")</f>
        <v/>
      </c>
      <c r="S236" s="43"/>
      <c r="T236" s="18" t="str">
        <f>IF(EXACT('RFR Data - preExcl'!W236,"Initial"),'RFR Data - preExcl'!A236,IFERROR(0/0,""))</f>
        <v>RUN-ABRM_2023-05-26_RFR-235</v>
      </c>
      <c r="U236" s="79">
        <f>IF(EXACT('RFR Data - preExcl'!W236,"Initial"),'RFR Data - preExcl'!U236,IFERROR(0/0,""))</f>
        <v>45072</v>
      </c>
      <c r="V236" s="117"/>
      <c r="X236" s="43"/>
      <c r="AC236" s="70"/>
      <c r="AF236" s="70"/>
      <c r="AJ236" s="7" t="str">
        <f t="shared" ref="AJ236:AL236" si="264">IF(AG236=L236,IFERROR(0/0,""),FALSE)</f>
        <v/>
      </c>
      <c r="AK236" s="7" t="str">
        <f t="shared" si="264"/>
        <v/>
      </c>
      <c r="AL236" s="7" t="str">
        <f t="shared" si="264"/>
        <v/>
      </c>
      <c r="AM236" s="43"/>
    </row>
    <row r="237">
      <c r="C237" s="131"/>
      <c r="D237" s="54"/>
      <c r="E237" s="54"/>
      <c r="F237" s="54"/>
      <c r="G237" s="54"/>
      <c r="H237" s="54"/>
      <c r="I237" s="54"/>
      <c r="J237" s="54"/>
      <c r="K237" s="54"/>
      <c r="L237" s="54"/>
      <c r="M237" s="54"/>
      <c r="N237" s="89"/>
      <c r="P237" s="77" t="str">
        <f>IF(ISBLANK(N232),IFERROR(0/0,""),IFERROR(VLOOKUP(N232, 'Process Ref'!$A$76:$D$124, 2, FALSE), IFERROR(0/0,"")))</f>
        <v/>
      </c>
      <c r="R237" s="78" t="str">
        <f>IFNA(MATCH(A237,'RFR Data - preExcl'!A$2:A447,0),"")</f>
        <v/>
      </c>
      <c r="S237" s="43"/>
      <c r="T237" s="18" t="str">
        <f>IF(EXACT('RFR Data - preExcl'!W237,"Initial"),'RFR Data - preExcl'!A237,IFERROR(0/0,""))</f>
        <v>RUN-ABRM_2023-05-29_RFR-236</v>
      </c>
      <c r="U237" s="79">
        <f>IF(EXACT('RFR Data - preExcl'!W237,"Initial"),'RFR Data - preExcl'!U237,IFERROR(0/0,""))</f>
        <v>45075</v>
      </c>
      <c r="V237" s="117"/>
      <c r="X237" s="43"/>
      <c r="AC237" s="70"/>
      <c r="AF237" s="70"/>
      <c r="AJ237" s="7" t="str">
        <f t="shared" ref="AJ237:AL237" si="265">IF(AG237=L237,IFERROR(0/0,""),FALSE)</f>
        <v/>
      </c>
      <c r="AK237" s="7" t="str">
        <f t="shared" si="265"/>
        <v/>
      </c>
      <c r="AL237" s="7" t="str">
        <f t="shared" si="265"/>
        <v/>
      </c>
      <c r="AM237" s="43"/>
    </row>
    <row r="238">
      <c r="C238" s="131"/>
      <c r="D238" s="54"/>
      <c r="E238" s="54"/>
      <c r="F238" s="54"/>
      <c r="G238" s="54"/>
      <c r="H238" s="54"/>
      <c r="I238" s="54"/>
      <c r="J238" s="54"/>
      <c r="K238" s="54"/>
      <c r="L238" s="54"/>
      <c r="M238" s="54"/>
      <c r="N238" s="89"/>
      <c r="P238" s="77" t="str">
        <f>IF(ISBLANK(N233),IFERROR(0/0,""),IFERROR(VLOOKUP(N233, 'Process Ref'!$A$76:$D$124, 2, FALSE), IFERROR(0/0,"")))</f>
        <v/>
      </c>
      <c r="R238" s="78" t="str">
        <f>IFNA(MATCH(A238,'RFR Data - preExcl'!A$2:A447,0),"")</f>
        <v/>
      </c>
      <c r="S238" s="43"/>
      <c r="T238" s="18" t="str">
        <f>IF(EXACT('RFR Data - preExcl'!W238,"Initial"),'RFR Data - preExcl'!A238,IFERROR(0/0,""))</f>
        <v>RUN-ABRM_2023-05-30_RFR-237</v>
      </c>
      <c r="U238" s="79">
        <f>IF(EXACT('RFR Data - preExcl'!W238,"Initial"),'RFR Data - preExcl'!U238,IFERROR(0/0,""))</f>
        <v>45076</v>
      </c>
      <c r="V238" s="117"/>
      <c r="X238" s="43"/>
      <c r="AC238" s="70"/>
      <c r="AF238" s="70"/>
      <c r="AJ238" s="7" t="str">
        <f t="shared" ref="AJ238:AL238" si="266">IF(AG238=L238,IFERROR(0/0,""),FALSE)</f>
        <v/>
      </c>
      <c r="AK238" s="7" t="str">
        <f t="shared" si="266"/>
        <v/>
      </c>
      <c r="AL238" s="7" t="str">
        <f t="shared" si="266"/>
        <v/>
      </c>
      <c r="AM238" s="43"/>
    </row>
    <row r="239">
      <c r="C239" s="131"/>
      <c r="D239" s="54"/>
      <c r="E239" s="54"/>
      <c r="F239" s="54"/>
      <c r="G239" s="54"/>
      <c r="H239" s="54"/>
      <c r="I239" s="54"/>
      <c r="J239" s="54"/>
      <c r="K239" s="54"/>
      <c r="L239" s="54"/>
      <c r="M239" s="54"/>
      <c r="N239" s="89"/>
      <c r="P239" s="77" t="str">
        <f>IF(ISBLANK(N234),IFERROR(0/0,""),IFERROR(VLOOKUP(N234, 'Process Ref'!$A$76:$D$124, 2, FALSE), IFERROR(0/0,"")))</f>
        <v/>
      </c>
      <c r="R239" s="78" t="str">
        <f>IFNA(MATCH(A239,'RFR Data - preExcl'!A$2:A447,0),"")</f>
        <v/>
      </c>
      <c r="S239" s="43"/>
      <c r="T239" s="18" t="str">
        <f>IF(EXACT('RFR Data - preExcl'!W239,"Initial"),'RFR Data - preExcl'!A239,IFERROR(0/0,""))</f>
        <v/>
      </c>
      <c r="U239" s="18" t="str">
        <f>IF(EXACT('RFR Data - preExcl'!W239,"Initial"),'RFR Data - preExcl'!U239,IFERROR(0/0,""))</f>
        <v/>
      </c>
      <c r="V239" s="117"/>
      <c r="X239" s="43"/>
      <c r="AC239" s="70"/>
      <c r="AF239" s="70"/>
      <c r="AJ239" s="7" t="str">
        <f t="shared" ref="AJ239:AL239" si="267">IF(AG239=L239,IFERROR(0/0,""),FALSE)</f>
        <v/>
      </c>
      <c r="AK239" s="7" t="str">
        <f t="shared" si="267"/>
        <v/>
      </c>
      <c r="AL239" s="7" t="str">
        <f t="shared" si="267"/>
        <v/>
      </c>
      <c r="AM239" s="43"/>
    </row>
    <row r="240">
      <c r="C240" s="131"/>
      <c r="D240" s="54"/>
      <c r="E240" s="54"/>
      <c r="F240" s="54"/>
      <c r="G240" s="54"/>
      <c r="H240" s="54"/>
      <c r="I240" s="54"/>
      <c r="J240" s="54"/>
      <c r="K240" s="54"/>
      <c r="L240" s="54"/>
      <c r="M240" s="54"/>
      <c r="N240" s="89"/>
      <c r="P240" s="77" t="str">
        <f>IF(ISBLANK(N235),IFERROR(0/0,""),IFERROR(VLOOKUP(N235, 'Process Ref'!$A$76:$D$124, 2, FALSE), IFERROR(0/0,"")))</f>
        <v/>
      </c>
      <c r="R240" s="78" t="str">
        <f>IFNA(MATCH(A240,'RFR Data - preExcl'!A$2:A447,0),"")</f>
        <v/>
      </c>
      <c r="S240" s="43"/>
      <c r="T240" s="18" t="str">
        <f>IF(EXACT('RFR Data - preExcl'!W240,"Initial"),'RFR Data - preExcl'!A240,IFERROR(0/0,""))</f>
        <v>RUN-ABRM_2023-05-31_RFR-239</v>
      </c>
      <c r="U240" s="79">
        <f>IF(EXACT('RFR Data - preExcl'!W240,"Initial"),'RFR Data - preExcl'!U240,IFERROR(0/0,""))</f>
        <v>45077</v>
      </c>
      <c r="V240" s="117"/>
      <c r="X240" s="43"/>
      <c r="AC240" s="70"/>
      <c r="AF240" s="70"/>
      <c r="AJ240" s="7" t="str">
        <f t="shared" ref="AJ240:AL240" si="268">IF(AG240=L240,IFERROR(0/0,""),FALSE)</f>
        <v/>
      </c>
      <c r="AK240" s="7" t="str">
        <f t="shared" si="268"/>
        <v/>
      </c>
      <c r="AL240" s="7" t="str">
        <f t="shared" si="268"/>
        <v/>
      </c>
      <c r="AM240" s="43"/>
    </row>
    <row r="241">
      <c r="C241" s="131"/>
      <c r="D241" s="54"/>
      <c r="E241" s="54"/>
      <c r="F241" s="54"/>
      <c r="G241" s="54"/>
      <c r="H241" s="54"/>
      <c r="I241" s="54"/>
      <c r="J241" s="54"/>
      <c r="K241" s="54"/>
      <c r="L241" s="54"/>
      <c r="M241" s="54"/>
      <c r="N241" s="89"/>
      <c r="P241" s="77" t="str">
        <f>IF(ISBLANK(N236),IFERROR(0/0,""),IFERROR(VLOOKUP(N236, 'Process Ref'!$A$76:$D$124, 2, FALSE), IFERROR(0/0,"")))</f>
        <v/>
      </c>
      <c r="R241" s="78" t="str">
        <f>IFNA(MATCH(A241,'RFR Data - preExcl'!A$2:A447,0),"")</f>
        <v/>
      </c>
      <c r="S241" s="43"/>
      <c r="T241" s="18" t="str">
        <f>IF(EXACT('RFR Data - preExcl'!W241,"Initial"),'RFR Data - preExcl'!A241,IFERROR(0/0,""))</f>
        <v>RUN-ABRM_2023-06-01_RFR-240</v>
      </c>
      <c r="U241" s="79">
        <f>IF(EXACT('RFR Data - preExcl'!W241,"Initial"),'RFR Data - preExcl'!U241,IFERROR(0/0,""))</f>
        <v>45078</v>
      </c>
      <c r="V241" s="117"/>
      <c r="W241" s="55" t="s">
        <v>253</v>
      </c>
      <c r="X241" s="43"/>
      <c r="AC241" s="70"/>
      <c r="AF241" s="70"/>
      <c r="AJ241" s="7" t="str">
        <f t="shared" ref="AJ241:AL241" si="269">IF(AG241=L241,IFERROR(0/0,""),FALSE)</f>
        <v/>
      </c>
      <c r="AK241" s="7" t="str">
        <f t="shared" si="269"/>
        <v/>
      </c>
      <c r="AL241" s="7" t="str">
        <f t="shared" si="269"/>
        <v/>
      </c>
      <c r="AM241" s="43"/>
    </row>
    <row r="242">
      <c r="C242" s="131"/>
      <c r="D242" s="54"/>
      <c r="E242" s="54"/>
      <c r="F242" s="54"/>
      <c r="G242" s="54"/>
      <c r="H242" s="54"/>
      <c r="I242" s="54"/>
      <c r="J242" s="54"/>
      <c r="K242" s="54"/>
      <c r="L242" s="54"/>
      <c r="M242" s="54"/>
      <c r="N242" s="89"/>
      <c r="P242" s="77" t="str">
        <f>IF(ISBLANK(N237),IFERROR(0/0,""),IFERROR(VLOOKUP(N237, 'Process Ref'!$A$76:$D$124, 2, FALSE), IFERROR(0/0,"")))</f>
        <v/>
      </c>
      <c r="R242" s="78" t="str">
        <f>IFNA(MATCH(A242,'RFR Data - preExcl'!A$2:A447,0),"")</f>
        <v/>
      </c>
      <c r="S242" s="43"/>
      <c r="T242" s="18" t="str">
        <f>IF(EXACT('RFR Data - preExcl'!W242,"Initial"),'RFR Data - preExcl'!A242,IFERROR(0/0,""))</f>
        <v/>
      </c>
      <c r="U242" s="18" t="str">
        <f>IF(EXACT('RFR Data - preExcl'!W242,"Initial"),'RFR Data - preExcl'!U242,IFERROR(0/0,""))</f>
        <v/>
      </c>
      <c r="W242" s="136">
        <v>0.0</v>
      </c>
      <c r="X242" s="43"/>
      <c r="AC242" s="70"/>
      <c r="AF242" s="70"/>
      <c r="AJ242" s="7" t="str">
        <f t="shared" ref="AJ242:AL242" si="270">IF(AG242=L242,IFERROR(0/0,""),FALSE)</f>
        <v/>
      </c>
      <c r="AK242" s="7" t="str">
        <f t="shared" si="270"/>
        <v/>
      </c>
      <c r="AL242" s="7" t="str">
        <f t="shared" si="270"/>
        <v/>
      </c>
      <c r="AM242" s="43"/>
    </row>
    <row r="243">
      <c r="C243" s="131"/>
      <c r="D243" s="54"/>
      <c r="E243" s="54"/>
      <c r="F243" s="54"/>
      <c r="G243" s="54"/>
      <c r="H243" s="54"/>
      <c r="I243" s="54"/>
      <c r="J243" s="54"/>
      <c r="K243" s="54"/>
      <c r="L243" s="54"/>
      <c r="M243" s="54"/>
      <c r="N243" s="89"/>
      <c r="P243" s="77" t="str">
        <f>IF(ISBLANK(N238),IFERROR(0/0,""),IFERROR(VLOOKUP(N238, 'Process Ref'!$A$76:$D$124, 2, FALSE), IFERROR(0/0,"")))</f>
        <v/>
      </c>
      <c r="R243" s="78" t="str">
        <f>IFNA(MATCH(A243,'RFR Data - preExcl'!A$2:A447,0),"")</f>
        <v/>
      </c>
      <c r="S243" s="43"/>
      <c r="T243" s="137" t="str">
        <f>IF(AND(NOT(ISBLANK(U243)),NOT(ISBLANK(V243)),NOT(ISBLANK(W243))),CONCATENATE("RUN-",'Process Ref'!$A$1,"_",TEXT(V243,"YYYY-MM-DD"),"_APS-",TEXT(W243,"000")),IFERROR(0/0,""))</f>
        <v/>
      </c>
      <c r="U243" s="138" t="str">
        <f t="shared" ref="U243:U318" si="272">IF(COUNTIF(U$2:U$242,V243)=0,V243,IFERROR(0/0,""))</f>
        <v/>
      </c>
      <c r="V243" s="139">
        <f t="array" ref="V243:V1239">SORT('APS Tubes by Date IMPORT'!$B$2:$B447,1,TRUE)</f>
        <v>44809</v>
      </c>
      <c r="W243" s="140" t="str">
        <f t="shared" ref="W243:W373" si="273">IF(NOT(ISBLANK(U243)),MAX(W$1:W242)+1,IFERROR(0/0,""))</f>
        <v/>
      </c>
      <c r="X243" s="43"/>
      <c r="AC243" s="70"/>
      <c r="AF243" s="70"/>
      <c r="AJ243" s="7" t="str">
        <f t="shared" ref="AJ243:AL243" si="271">IF(AG243=L243,IFERROR(0/0,""),FALSE)</f>
        <v/>
      </c>
      <c r="AK243" s="7" t="str">
        <f t="shared" si="271"/>
        <v/>
      </c>
      <c r="AL243" s="7" t="str">
        <f t="shared" si="271"/>
        <v/>
      </c>
      <c r="AM243" s="43"/>
    </row>
    <row r="244">
      <c r="C244" s="131"/>
      <c r="D244" s="54"/>
      <c r="E244" s="54"/>
      <c r="F244" s="54"/>
      <c r="G244" s="54"/>
      <c r="H244" s="54"/>
      <c r="I244" s="54"/>
      <c r="J244" s="54"/>
      <c r="K244" s="54"/>
      <c r="L244" s="54"/>
      <c r="M244" s="54"/>
      <c r="N244" s="89"/>
      <c r="P244" s="77" t="str">
        <f>IF(ISBLANK(N239),IFERROR(0/0,""),IFERROR(VLOOKUP(N239, 'Process Ref'!$A$76:$D$124, 2, FALSE), IFERROR(0/0,"")))</f>
        <v/>
      </c>
      <c r="R244" s="78" t="str">
        <f>IFNA(MATCH(A244,'RFR Data - preExcl'!A$2:A447,0),"")</f>
        <v/>
      </c>
      <c r="S244" s="43"/>
      <c r="T244" s="114" t="str">
        <f>IF(AND(NOT(ISBLANK(U244)),NOT(ISBLANK(V244)),NOT(ISBLANK(W244))),CONCATENATE("RUN-",'Process Ref'!$A$1,"_",TEXT(V244,"YYYY-MM-DD"),"_APS-",TEXT(W244,"000")),IFERROR(0/0,""))</f>
        <v/>
      </c>
      <c r="U244" s="8" t="str">
        <f t="shared" si="272"/>
        <v/>
      </c>
      <c r="V244" s="141">
        <v>44810.0</v>
      </c>
      <c r="W244" s="142" t="str">
        <f t="shared" si="273"/>
        <v/>
      </c>
      <c r="X244" s="43"/>
      <c r="AC244" s="70"/>
      <c r="AF244" s="70"/>
      <c r="AJ244" s="7" t="str">
        <f t="shared" ref="AJ244:AL244" si="274">IF(AG244=L244,IFERROR(0/0,""),FALSE)</f>
        <v/>
      </c>
      <c r="AK244" s="7" t="str">
        <f t="shared" si="274"/>
        <v/>
      </c>
      <c r="AL244" s="7" t="str">
        <f t="shared" si="274"/>
        <v/>
      </c>
      <c r="AM244" s="43"/>
    </row>
    <row r="245">
      <c r="C245" s="131"/>
      <c r="D245" s="54"/>
      <c r="E245" s="54"/>
      <c r="F245" s="54"/>
      <c r="G245" s="54"/>
      <c r="H245" s="54"/>
      <c r="I245" s="54"/>
      <c r="J245" s="54"/>
      <c r="K245" s="54"/>
      <c r="L245" s="54"/>
      <c r="M245" s="54"/>
      <c r="N245" s="89"/>
      <c r="P245" s="77" t="str">
        <f>IF(ISBLANK(N240),IFERROR(0/0,""),IFERROR(VLOOKUP(N240, 'Process Ref'!$A$76:$D$124, 2, FALSE), IFERROR(0/0,"")))</f>
        <v/>
      </c>
      <c r="R245" s="78" t="str">
        <f>IFNA(MATCH(A245,'RFR Data - preExcl'!A$2:A447,0),"")</f>
        <v/>
      </c>
      <c r="S245" s="43"/>
      <c r="T245" s="114" t="str">
        <f>IF(AND(NOT(ISBLANK(U245)),NOT(ISBLANK(V245)),NOT(ISBLANK(W245))),CONCATENATE("RUN-",'Process Ref'!$A$1,"_",TEXT(V245,"YYYY-MM-DD"),"_APS-",TEXT(W245,"000")),IFERROR(0/0,""))</f>
        <v/>
      </c>
      <c r="U245" s="8" t="str">
        <f t="shared" si="272"/>
        <v/>
      </c>
      <c r="V245" s="141">
        <v>44811.0</v>
      </c>
      <c r="W245" s="142" t="str">
        <f t="shared" si="273"/>
        <v/>
      </c>
      <c r="X245" s="43"/>
      <c r="AC245" s="70"/>
      <c r="AF245" s="70"/>
      <c r="AJ245" s="7" t="str">
        <f t="shared" ref="AJ245:AL245" si="275">IF(AG245=L245,IFERROR(0/0,""),FALSE)</f>
        <v/>
      </c>
      <c r="AK245" s="7" t="str">
        <f t="shared" si="275"/>
        <v/>
      </c>
      <c r="AL245" s="7" t="str">
        <f t="shared" si="275"/>
        <v/>
      </c>
      <c r="AM245" s="43"/>
    </row>
    <row r="246">
      <c r="C246" s="131"/>
      <c r="D246" s="54"/>
      <c r="E246" s="54"/>
      <c r="F246" s="54"/>
      <c r="G246" s="54"/>
      <c r="H246" s="54"/>
      <c r="I246" s="54"/>
      <c r="J246" s="54"/>
      <c r="K246" s="54"/>
      <c r="L246" s="54"/>
      <c r="M246" s="54"/>
      <c r="N246" s="89"/>
      <c r="P246" s="77" t="str">
        <f>IF(ISBLANK(N241),IFERROR(0/0,""),IFERROR(VLOOKUP(N241, 'Process Ref'!$A$76:$D$124, 2, FALSE), IFERROR(0/0,"")))</f>
        <v/>
      </c>
      <c r="R246" s="78" t="str">
        <f>IFNA(MATCH(A246,'RFR Data - preExcl'!A$2:A447,0),"")</f>
        <v/>
      </c>
      <c r="S246" s="43"/>
      <c r="T246" s="114" t="str">
        <f>IF(AND(NOT(ISBLANK(U246)),NOT(ISBLANK(V246)),NOT(ISBLANK(W246))),CONCATENATE("RUN-",'Process Ref'!$A$1,"_",TEXT(V246,"YYYY-MM-DD"),"_APS-",TEXT(W246,"000")),IFERROR(0/0,""))</f>
        <v/>
      </c>
      <c r="U246" s="8" t="str">
        <f t="shared" si="272"/>
        <v/>
      </c>
      <c r="V246" s="141">
        <v>44812.0</v>
      </c>
      <c r="W246" s="142" t="str">
        <f t="shared" si="273"/>
        <v/>
      </c>
      <c r="X246" s="43"/>
      <c r="AC246" s="70"/>
      <c r="AF246" s="70"/>
      <c r="AJ246" s="7" t="str">
        <f t="shared" ref="AJ246:AL246" si="276">IF(AG246=L246,IFERROR(0/0,""),FALSE)</f>
        <v/>
      </c>
      <c r="AK246" s="7" t="str">
        <f t="shared" si="276"/>
        <v/>
      </c>
      <c r="AL246" s="7" t="str">
        <f t="shared" si="276"/>
        <v/>
      </c>
      <c r="AM246" s="43"/>
    </row>
    <row r="247">
      <c r="C247" s="131"/>
      <c r="D247" s="54"/>
      <c r="E247" s="54"/>
      <c r="F247" s="54"/>
      <c r="G247" s="54"/>
      <c r="H247" s="54"/>
      <c r="I247" s="54"/>
      <c r="J247" s="54"/>
      <c r="K247" s="54"/>
      <c r="L247" s="54"/>
      <c r="M247" s="54"/>
      <c r="N247" s="89"/>
      <c r="P247" s="77" t="str">
        <f>IF(ISBLANK(N242),IFERROR(0/0,""),IFERROR(VLOOKUP(N242, 'Process Ref'!$A$76:$D$124, 2, FALSE), IFERROR(0/0,"")))</f>
        <v/>
      </c>
      <c r="R247" s="78" t="str">
        <f>IFNA(MATCH(A247,'RFR Data - preExcl'!A$2:A447,0),"")</f>
        <v/>
      </c>
      <c r="S247" s="43"/>
      <c r="T247" s="114" t="str">
        <f>IF(AND(NOT(ISBLANK(U247)),NOT(ISBLANK(V247)),NOT(ISBLANK(W247))),CONCATENATE("RUN-",'Process Ref'!$A$1,"_",TEXT(V247,"YYYY-MM-DD"),"_APS-",TEXT(W247,"000")),IFERROR(0/0,""))</f>
        <v/>
      </c>
      <c r="U247" s="8" t="str">
        <f t="shared" si="272"/>
        <v/>
      </c>
      <c r="V247" s="141">
        <v>44813.0</v>
      </c>
      <c r="W247" s="142" t="str">
        <f t="shared" si="273"/>
        <v/>
      </c>
      <c r="X247" s="43"/>
      <c r="AC247" s="70"/>
      <c r="AF247" s="70"/>
      <c r="AJ247" s="7" t="str">
        <f t="shared" ref="AJ247:AL247" si="277">IF(AG247=L247,IFERROR(0/0,""),FALSE)</f>
        <v/>
      </c>
      <c r="AK247" s="7" t="str">
        <f t="shared" si="277"/>
        <v/>
      </c>
      <c r="AL247" s="7" t="str">
        <f t="shared" si="277"/>
        <v/>
      </c>
      <c r="AM247" s="43"/>
    </row>
    <row r="248">
      <c r="C248" s="131"/>
      <c r="D248" s="54"/>
      <c r="E248" s="54"/>
      <c r="F248" s="54"/>
      <c r="G248" s="54"/>
      <c r="H248" s="54"/>
      <c r="I248" s="54"/>
      <c r="J248" s="54"/>
      <c r="K248" s="54"/>
      <c r="L248" s="54"/>
      <c r="M248" s="54"/>
      <c r="N248" s="89"/>
      <c r="P248" s="77" t="str">
        <f>IF(ISBLANK(N243),IFERROR(0/0,""),IFERROR(VLOOKUP(N243, 'Process Ref'!$A$76:$D$124, 2, FALSE), IFERROR(0/0,"")))</f>
        <v/>
      </c>
      <c r="R248" s="78" t="str">
        <f>IFNA(MATCH(A248,'RFR Data - preExcl'!A$2:A447,0),"")</f>
        <v/>
      </c>
      <c r="S248" s="43"/>
      <c r="T248" s="114" t="str">
        <f>IF(AND(NOT(ISBLANK(U248)),NOT(ISBLANK(V248)),NOT(ISBLANK(W248))),CONCATENATE("RUN-",'Process Ref'!$A$1,"_",TEXT(V248,"YYYY-MM-DD"),"_APS-",TEXT(W248,"000")),IFERROR(0/0,""))</f>
        <v/>
      </c>
      <c r="U248" s="8" t="str">
        <f t="shared" si="272"/>
        <v/>
      </c>
      <c r="V248" s="141">
        <v>44814.0</v>
      </c>
      <c r="W248" s="142" t="str">
        <f t="shared" si="273"/>
        <v/>
      </c>
      <c r="X248" s="43"/>
      <c r="AC248" s="70"/>
      <c r="AF248" s="70"/>
      <c r="AJ248" s="7" t="str">
        <f t="shared" ref="AJ248:AL248" si="278">IF(AG248=L248,IFERROR(0/0,""),FALSE)</f>
        <v/>
      </c>
      <c r="AK248" s="7" t="str">
        <f t="shared" si="278"/>
        <v/>
      </c>
      <c r="AL248" s="7" t="str">
        <f t="shared" si="278"/>
        <v/>
      </c>
      <c r="AM248" s="43"/>
    </row>
    <row r="249">
      <c r="C249" s="131"/>
      <c r="D249" s="54"/>
      <c r="E249" s="54"/>
      <c r="F249" s="54"/>
      <c r="G249" s="54"/>
      <c r="H249" s="54"/>
      <c r="I249" s="54"/>
      <c r="J249" s="54"/>
      <c r="K249" s="54"/>
      <c r="L249" s="54"/>
      <c r="M249" s="54"/>
      <c r="N249" s="89"/>
      <c r="P249" s="77" t="str">
        <f>IF(ISBLANK(N244),IFERROR(0/0,""),IFERROR(VLOOKUP(N244, 'Process Ref'!$A$76:$D$124, 2, FALSE), IFERROR(0/0,"")))</f>
        <v/>
      </c>
      <c r="R249" s="78" t="str">
        <f>IFNA(MATCH(A249,'RFR Data - preExcl'!A$2:A447,0),"")</f>
        <v/>
      </c>
      <c r="S249" s="43"/>
      <c r="T249" s="114" t="str">
        <f>IF(AND(NOT(ISBLANK(U249)),NOT(ISBLANK(V249)),NOT(ISBLANK(W249))),CONCATENATE("RUN-",'Process Ref'!$A$1,"_",TEXT(V249,"YYYY-MM-DD"),"_APS-",TEXT(W249,"000")),IFERROR(0/0,""))</f>
        <v/>
      </c>
      <c r="U249" s="8" t="str">
        <f t="shared" si="272"/>
        <v/>
      </c>
      <c r="V249" s="141">
        <v>44816.0</v>
      </c>
      <c r="W249" s="142" t="str">
        <f t="shared" si="273"/>
        <v/>
      </c>
      <c r="X249" s="43"/>
      <c r="AC249" s="70"/>
      <c r="AF249" s="70"/>
      <c r="AJ249" s="7" t="str">
        <f t="shared" ref="AJ249:AL249" si="279">IF(AG249=L249,IFERROR(0/0,""),FALSE)</f>
        <v/>
      </c>
      <c r="AK249" s="7" t="str">
        <f t="shared" si="279"/>
        <v/>
      </c>
      <c r="AL249" s="7" t="str">
        <f t="shared" si="279"/>
        <v/>
      </c>
      <c r="AM249" s="43"/>
    </row>
    <row r="250">
      <c r="C250" s="131"/>
      <c r="D250" s="54"/>
      <c r="E250" s="54"/>
      <c r="F250" s="54"/>
      <c r="G250" s="54"/>
      <c r="H250" s="54"/>
      <c r="I250" s="54"/>
      <c r="J250" s="54"/>
      <c r="K250" s="54"/>
      <c r="L250" s="54"/>
      <c r="M250" s="54"/>
      <c r="N250" s="89"/>
      <c r="P250" s="77" t="str">
        <f>IF(ISBLANK(N245),IFERROR(0/0,""),IFERROR(VLOOKUP(N245, 'Process Ref'!$A$76:$D$124, 2, FALSE), IFERROR(0/0,"")))</f>
        <v/>
      </c>
      <c r="R250" s="78" t="str">
        <f>IFNA(MATCH(A250,'RFR Data - preExcl'!A$2:A447,0),"")</f>
        <v/>
      </c>
      <c r="S250" s="43"/>
      <c r="T250" s="114" t="str">
        <f>IF(AND(NOT(ISBLANK(U250)),NOT(ISBLANK(V250)),NOT(ISBLANK(W250))),CONCATENATE("RUN-",'Process Ref'!$A$1,"_",TEXT(V250,"YYYY-MM-DD"),"_APS-",TEXT(W250,"000")),IFERROR(0/0,""))</f>
        <v/>
      </c>
      <c r="U250" s="8" t="str">
        <f t="shared" si="272"/>
        <v/>
      </c>
      <c r="V250" s="141">
        <v>44817.0</v>
      </c>
      <c r="W250" s="142" t="str">
        <f t="shared" si="273"/>
        <v/>
      </c>
      <c r="X250" s="43"/>
      <c r="AC250" s="70"/>
      <c r="AF250" s="70"/>
      <c r="AJ250" s="7" t="str">
        <f t="shared" ref="AJ250:AL250" si="280">IF(AG250=L250,IFERROR(0/0,""),FALSE)</f>
        <v/>
      </c>
      <c r="AK250" s="7" t="str">
        <f t="shared" si="280"/>
        <v/>
      </c>
      <c r="AL250" s="7" t="str">
        <f t="shared" si="280"/>
        <v/>
      </c>
      <c r="AM250" s="43"/>
    </row>
    <row r="251">
      <c r="C251" s="131"/>
      <c r="D251" s="54"/>
      <c r="E251" s="54"/>
      <c r="F251" s="54"/>
      <c r="G251" s="54"/>
      <c r="H251" s="54"/>
      <c r="I251" s="54"/>
      <c r="J251" s="54"/>
      <c r="K251" s="54"/>
      <c r="L251" s="54"/>
      <c r="M251" s="54"/>
      <c r="N251" s="89"/>
      <c r="P251" s="77" t="str">
        <f>IF(ISBLANK(N246),IFERROR(0/0,""),IFERROR(VLOOKUP(N246, 'Process Ref'!$A$76:$D$124, 2, FALSE), IFERROR(0/0,"")))</f>
        <v/>
      </c>
      <c r="R251" s="78" t="str">
        <f>IFNA(MATCH(A251,'RFR Data - preExcl'!A$2:A447,0),"")</f>
        <v/>
      </c>
      <c r="S251" s="43"/>
      <c r="T251" s="114" t="str">
        <f>IF(AND(NOT(ISBLANK(U251)),NOT(ISBLANK(V251)),NOT(ISBLANK(W251))),CONCATENATE("RUN-",'Process Ref'!$A$1,"_",TEXT(V251,"YYYY-MM-DD"),"_APS-",TEXT(W251,"000")),IFERROR(0/0,""))</f>
        <v/>
      </c>
      <c r="U251" s="8" t="str">
        <f t="shared" si="272"/>
        <v/>
      </c>
      <c r="V251" s="141">
        <v>44818.0</v>
      </c>
      <c r="W251" s="142" t="str">
        <f t="shared" si="273"/>
        <v/>
      </c>
      <c r="X251" s="43"/>
      <c r="AC251" s="70"/>
      <c r="AF251" s="70"/>
      <c r="AJ251" s="7" t="str">
        <f t="shared" ref="AJ251:AL251" si="281">IF(AG251=L251,IFERROR(0/0,""),FALSE)</f>
        <v/>
      </c>
      <c r="AK251" s="7" t="str">
        <f t="shared" si="281"/>
        <v/>
      </c>
      <c r="AL251" s="7" t="str">
        <f t="shared" si="281"/>
        <v/>
      </c>
      <c r="AM251" s="43"/>
    </row>
    <row r="252">
      <c r="C252" s="131"/>
      <c r="D252" s="54"/>
      <c r="E252" s="54"/>
      <c r="F252" s="54"/>
      <c r="G252" s="54"/>
      <c r="H252" s="54"/>
      <c r="I252" s="54"/>
      <c r="J252" s="54"/>
      <c r="K252" s="54"/>
      <c r="L252" s="54"/>
      <c r="M252" s="54"/>
      <c r="N252" s="89"/>
      <c r="P252" s="77" t="str">
        <f>IF(ISBLANK(N247),IFERROR(0/0,""),IFERROR(VLOOKUP(N247, 'Process Ref'!$A$76:$D$124, 2, FALSE), IFERROR(0/0,"")))</f>
        <v/>
      </c>
      <c r="R252" s="78" t="str">
        <f>IFNA(MATCH(A252,'RFR Data - preExcl'!A$2:A447,0),"")</f>
        <v/>
      </c>
      <c r="S252" s="43"/>
      <c r="T252" s="114" t="str">
        <f>IF(AND(NOT(ISBLANK(U252)),NOT(ISBLANK(V252)),NOT(ISBLANK(W252))),CONCATENATE("RUN-",'Process Ref'!$A$1,"_",TEXT(V252,"YYYY-MM-DD"),"_APS-",TEXT(W252,"000")),IFERROR(0/0,""))</f>
        <v/>
      </c>
      <c r="U252" s="8" t="str">
        <f t="shared" si="272"/>
        <v/>
      </c>
      <c r="V252" s="141">
        <v>44819.0</v>
      </c>
      <c r="W252" s="142" t="str">
        <f t="shared" si="273"/>
        <v/>
      </c>
      <c r="X252" s="43"/>
      <c r="AC252" s="70"/>
      <c r="AF252" s="70"/>
      <c r="AJ252" s="7" t="str">
        <f t="shared" ref="AJ252:AL252" si="282">IF(AG252=L252,IFERROR(0/0,""),FALSE)</f>
        <v/>
      </c>
      <c r="AK252" s="7" t="str">
        <f t="shared" si="282"/>
        <v/>
      </c>
      <c r="AL252" s="7" t="str">
        <f t="shared" si="282"/>
        <v/>
      </c>
      <c r="AM252" s="43"/>
    </row>
    <row r="253">
      <c r="C253" s="131"/>
      <c r="D253" s="54"/>
      <c r="E253" s="54"/>
      <c r="F253" s="54"/>
      <c r="G253" s="54"/>
      <c r="H253" s="54"/>
      <c r="I253" s="54"/>
      <c r="J253" s="54"/>
      <c r="K253" s="54"/>
      <c r="L253" s="54"/>
      <c r="M253" s="54"/>
      <c r="N253" s="89"/>
      <c r="P253" s="77" t="str">
        <f>IF(ISBLANK(N248),IFERROR(0/0,""),IFERROR(VLOOKUP(N248, 'Process Ref'!$A$76:$D$124, 2, FALSE), IFERROR(0/0,"")))</f>
        <v/>
      </c>
      <c r="R253" s="78" t="str">
        <f>IFNA(MATCH(A253,'RFR Data - preExcl'!A$2:A447,0),"")</f>
        <v/>
      </c>
      <c r="S253" s="43"/>
      <c r="T253" s="114" t="str">
        <f>IF(AND(NOT(ISBLANK(U253)),NOT(ISBLANK(V253)),NOT(ISBLANK(W253))),CONCATENATE("RUN-",'Process Ref'!$A$1,"_",TEXT(V253,"YYYY-MM-DD"),"_APS-",TEXT(W253,"000")),IFERROR(0/0,""))</f>
        <v/>
      </c>
      <c r="U253" s="8" t="str">
        <f t="shared" si="272"/>
        <v/>
      </c>
      <c r="V253" s="141">
        <v>44820.0</v>
      </c>
      <c r="W253" s="142" t="str">
        <f t="shared" si="273"/>
        <v/>
      </c>
      <c r="X253" s="43"/>
      <c r="AC253" s="70"/>
      <c r="AF253" s="70"/>
      <c r="AJ253" s="7" t="str">
        <f t="shared" ref="AJ253:AL253" si="283">IF(AG253=L253,IFERROR(0/0,""),FALSE)</f>
        <v/>
      </c>
      <c r="AK253" s="7" t="str">
        <f t="shared" si="283"/>
        <v/>
      </c>
      <c r="AL253" s="7" t="str">
        <f t="shared" si="283"/>
        <v/>
      </c>
      <c r="AM253" s="43"/>
    </row>
    <row r="254">
      <c r="C254" s="131"/>
      <c r="D254" s="54"/>
      <c r="E254" s="54"/>
      <c r="F254" s="54"/>
      <c r="G254" s="54"/>
      <c r="H254" s="54"/>
      <c r="I254" s="54"/>
      <c r="J254" s="54"/>
      <c r="K254" s="54"/>
      <c r="L254" s="54"/>
      <c r="M254" s="54"/>
      <c r="N254" s="89"/>
      <c r="P254" s="77" t="str">
        <f>IF(ISBLANK(N249),IFERROR(0/0,""),IFERROR(VLOOKUP(N249, 'Process Ref'!$A$76:$D$124, 2, FALSE), IFERROR(0/0,"")))</f>
        <v/>
      </c>
      <c r="R254" s="78" t="str">
        <f>IFNA(MATCH(A254,'RFR Data - preExcl'!A$2:A447,0),"")</f>
        <v/>
      </c>
      <c r="S254" s="43"/>
      <c r="T254" s="114" t="str">
        <f>IF(AND(NOT(ISBLANK(U254)),NOT(ISBLANK(V254)),NOT(ISBLANK(W254))),CONCATENATE("RUN-",'Process Ref'!$A$1,"_",TEXT(V254,"YYYY-MM-DD"),"_APS-",TEXT(W254,"000")),IFERROR(0/0,""))</f>
        <v/>
      </c>
      <c r="U254" s="8" t="str">
        <f t="shared" si="272"/>
        <v/>
      </c>
      <c r="V254" s="141">
        <v>44823.0</v>
      </c>
      <c r="W254" s="142" t="str">
        <f t="shared" si="273"/>
        <v/>
      </c>
      <c r="X254" s="43"/>
      <c r="AC254" s="70"/>
      <c r="AF254" s="70"/>
      <c r="AJ254" s="7" t="str">
        <f t="shared" ref="AJ254:AL254" si="284">IF(AG254=L254,IFERROR(0/0,""),FALSE)</f>
        <v/>
      </c>
      <c r="AK254" s="7" t="str">
        <f t="shared" si="284"/>
        <v/>
      </c>
      <c r="AL254" s="7" t="str">
        <f t="shared" si="284"/>
        <v/>
      </c>
      <c r="AM254" s="43"/>
    </row>
    <row r="255">
      <c r="C255" s="131"/>
      <c r="D255" s="54"/>
      <c r="E255" s="54"/>
      <c r="F255" s="54"/>
      <c r="G255" s="54"/>
      <c r="H255" s="54"/>
      <c r="I255" s="54"/>
      <c r="J255" s="54"/>
      <c r="K255" s="54"/>
      <c r="L255" s="54"/>
      <c r="M255" s="54"/>
      <c r="N255" s="89"/>
      <c r="P255" s="77" t="str">
        <f>IF(ISBLANK(N250),IFERROR(0/0,""),IFERROR(VLOOKUP(N250, 'Process Ref'!$A$76:$D$124, 2, FALSE), IFERROR(0/0,"")))</f>
        <v/>
      </c>
      <c r="R255" s="78" t="str">
        <f>IFNA(MATCH(A255,'RFR Data - preExcl'!A$2:A447,0),"")</f>
        <v/>
      </c>
      <c r="S255" s="43"/>
      <c r="T255" s="114" t="str">
        <f>IF(AND(NOT(ISBLANK(U255)),NOT(ISBLANK(V255)),NOT(ISBLANK(W255))),CONCATENATE("RUN-",'Process Ref'!$A$1,"_",TEXT(V255,"YYYY-MM-DD"),"_APS-",TEXT(W255,"000")),IFERROR(0/0,""))</f>
        <v/>
      </c>
      <c r="U255" s="8" t="str">
        <f t="shared" si="272"/>
        <v/>
      </c>
      <c r="V255" s="141">
        <v>44824.0</v>
      </c>
      <c r="W255" s="142" t="str">
        <f t="shared" si="273"/>
        <v/>
      </c>
      <c r="X255" s="43"/>
      <c r="AC255" s="70"/>
      <c r="AF255" s="70"/>
      <c r="AJ255" s="7" t="str">
        <f t="shared" ref="AJ255:AL255" si="285">IF(AG255=L255,IFERROR(0/0,""),FALSE)</f>
        <v/>
      </c>
      <c r="AK255" s="7" t="str">
        <f t="shared" si="285"/>
        <v/>
      </c>
      <c r="AL255" s="7" t="str">
        <f t="shared" si="285"/>
        <v/>
      </c>
      <c r="AM255" s="43"/>
    </row>
    <row r="256">
      <c r="C256" s="131"/>
      <c r="D256" s="54"/>
      <c r="E256" s="54"/>
      <c r="F256" s="54"/>
      <c r="G256" s="54"/>
      <c r="H256" s="54"/>
      <c r="I256" s="54"/>
      <c r="J256" s="54"/>
      <c r="K256" s="54"/>
      <c r="L256" s="54"/>
      <c r="M256" s="54"/>
      <c r="N256" s="89"/>
      <c r="P256" s="77" t="str">
        <f>IF(ISBLANK(N251),IFERROR(0/0,""),IFERROR(VLOOKUP(N251, 'Process Ref'!$A$76:$D$124, 2, FALSE), IFERROR(0/0,"")))</f>
        <v/>
      </c>
      <c r="R256" s="78" t="str">
        <f>IFNA(MATCH(A256,'RFR Data - preExcl'!A$2:A447,0),"")</f>
        <v/>
      </c>
      <c r="S256" s="43"/>
      <c r="T256" s="114" t="str">
        <f>IF(AND(NOT(ISBLANK(U256)),NOT(ISBLANK(V256)),NOT(ISBLANK(W256))),CONCATENATE("RUN-",'Process Ref'!$A$1,"_",TEXT(V256,"YYYY-MM-DD"),"_APS-",TEXT(W256,"000")),IFERROR(0/0,""))</f>
        <v/>
      </c>
      <c r="U256" s="8" t="str">
        <f t="shared" si="272"/>
        <v/>
      </c>
      <c r="V256" s="141">
        <v>44825.0</v>
      </c>
      <c r="W256" s="142" t="str">
        <f t="shared" si="273"/>
        <v/>
      </c>
      <c r="X256" s="43"/>
      <c r="AC256" s="70"/>
      <c r="AF256" s="70"/>
      <c r="AJ256" s="7" t="str">
        <f t="shared" ref="AJ256:AL256" si="286">IF(AG256=L256,IFERROR(0/0,""),FALSE)</f>
        <v/>
      </c>
      <c r="AK256" s="7" t="str">
        <f t="shared" si="286"/>
        <v/>
      </c>
      <c r="AL256" s="7" t="str">
        <f t="shared" si="286"/>
        <v/>
      </c>
      <c r="AM256" s="43"/>
    </row>
    <row r="257">
      <c r="C257" s="131"/>
      <c r="D257" s="54"/>
      <c r="E257" s="54"/>
      <c r="F257" s="54"/>
      <c r="G257" s="54"/>
      <c r="H257" s="54"/>
      <c r="I257" s="54"/>
      <c r="J257" s="54"/>
      <c r="K257" s="54"/>
      <c r="L257" s="54"/>
      <c r="M257" s="54"/>
      <c r="N257" s="89"/>
      <c r="P257" s="77" t="str">
        <f>IF(ISBLANK(N252),IFERROR(0/0,""),IFERROR(VLOOKUP(N252, 'Process Ref'!$A$76:$D$124, 2, FALSE), IFERROR(0/0,"")))</f>
        <v/>
      </c>
      <c r="R257" s="78" t="str">
        <f>IFNA(MATCH(A257,'RFR Data - preExcl'!A$2:A447,0),"")</f>
        <v/>
      </c>
      <c r="S257" s="43"/>
      <c r="T257" s="114" t="str">
        <f>IF(AND(NOT(ISBLANK(U257)),NOT(ISBLANK(V257)),NOT(ISBLANK(W257))),CONCATENATE("RUN-",'Process Ref'!$A$1,"_",TEXT(V257,"YYYY-MM-DD"),"_APS-",TEXT(W257,"000")),IFERROR(0/0,""))</f>
        <v/>
      </c>
      <c r="U257" s="8" t="str">
        <f t="shared" si="272"/>
        <v/>
      </c>
      <c r="V257" s="141">
        <v>44826.0</v>
      </c>
      <c r="W257" s="142" t="str">
        <f t="shared" si="273"/>
        <v/>
      </c>
      <c r="X257" s="43"/>
      <c r="AC257" s="70"/>
      <c r="AF257" s="70"/>
      <c r="AJ257" s="7" t="str">
        <f t="shared" ref="AJ257:AL257" si="287">IF(AG257=L257,IFERROR(0/0,""),FALSE)</f>
        <v/>
      </c>
      <c r="AK257" s="7" t="str">
        <f t="shared" si="287"/>
        <v/>
      </c>
      <c r="AL257" s="7" t="str">
        <f t="shared" si="287"/>
        <v/>
      </c>
      <c r="AM257" s="43"/>
    </row>
    <row r="258">
      <c r="C258" s="131"/>
      <c r="D258" s="54"/>
      <c r="E258" s="54"/>
      <c r="F258" s="54"/>
      <c r="G258" s="54"/>
      <c r="H258" s="54"/>
      <c r="I258" s="54"/>
      <c r="J258" s="54"/>
      <c r="K258" s="54"/>
      <c r="L258" s="54"/>
      <c r="M258" s="54"/>
      <c r="N258" s="89"/>
      <c r="P258" s="77" t="str">
        <f>IF(ISBLANK(N253),IFERROR(0/0,""),IFERROR(VLOOKUP(N253, 'Process Ref'!$A$76:$D$124, 2, FALSE), IFERROR(0/0,"")))</f>
        <v/>
      </c>
      <c r="R258" s="78" t="str">
        <f>IFNA(MATCH(A258,'RFR Data - preExcl'!A$2:A447,0),"")</f>
        <v/>
      </c>
      <c r="S258" s="43"/>
      <c r="T258" s="114" t="str">
        <f>IF(AND(NOT(ISBLANK(U258)),NOT(ISBLANK(V258)),NOT(ISBLANK(W258))),CONCATENATE("RUN-",'Process Ref'!$A$1,"_",TEXT(V258,"YYYY-MM-DD"),"_APS-",TEXT(W258,"000")),IFERROR(0/0,""))</f>
        <v/>
      </c>
      <c r="U258" s="8" t="str">
        <f t="shared" si="272"/>
        <v/>
      </c>
      <c r="V258" s="141">
        <v>44827.0</v>
      </c>
      <c r="W258" s="142" t="str">
        <f t="shared" si="273"/>
        <v/>
      </c>
      <c r="X258" s="43"/>
      <c r="AC258" s="70"/>
      <c r="AF258" s="70"/>
      <c r="AJ258" s="7" t="str">
        <f t="shared" ref="AJ258:AL258" si="288">IF(AG258=L258,IFERROR(0/0,""),FALSE)</f>
        <v/>
      </c>
      <c r="AK258" s="7" t="str">
        <f t="shared" si="288"/>
        <v/>
      </c>
      <c r="AL258" s="7" t="str">
        <f t="shared" si="288"/>
        <v/>
      </c>
      <c r="AM258" s="43"/>
    </row>
    <row r="259">
      <c r="C259" s="131"/>
      <c r="D259" s="54"/>
      <c r="E259" s="54"/>
      <c r="F259" s="54"/>
      <c r="G259" s="54"/>
      <c r="H259" s="54"/>
      <c r="I259" s="54"/>
      <c r="J259" s="54"/>
      <c r="K259" s="54"/>
      <c r="L259" s="54"/>
      <c r="M259" s="54"/>
      <c r="N259" s="89"/>
      <c r="P259" s="77" t="str">
        <f>IF(ISBLANK(N254),IFERROR(0/0,""),IFERROR(VLOOKUP(N254, 'Process Ref'!$A$76:$D$124, 2, FALSE), IFERROR(0/0,"")))</f>
        <v/>
      </c>
      <c r="R259" s="78" t="str">
        <f>IFNA(MATCH(A259,'RFR Data - preExcl'!A$2:A447,0),"")</f>
        <v/>
      </c>
      <c r="S259" s="43"/>
      <c r="T259" s="114" t="str">
        <f>IF(AND(NOT(ISBLANK(U259)),NOT(ISBLANK(V259)),NOT(ISBLANK(W259))),CONCATENATE("RUN-",'Process Ref'!$A$1,"_",TEXT(V259,"YYYY-MM-DD"),"_APS-",TEXT(W259,"000")),IFERROR(0/0,""))</f>
        <v/>
      </c>
      <c r="U259" s="8" t="str">
        <f t="shared" si="272"/>
        <v/>
      </c>
      <c r="V259" s="141">
        <v>44830.0</v>
      </c>
      <c r="W259" s="142" t="str">
        <f t="shared" si="273"/>
        <v/>
      </c>
      <c r="X259" s="43"/>
      <c r="AC259" s="70"/>
      <c r="AF259" s="70"/>
      <c r="AJ259" s="7" t="str">
        <f t="shared" ref="AJ259:AL259" si="289">IF(AG259=L259,IFERROR(0/0,""),FALSE)</f>
        <v/>
      </c>
      <c r="AK259" s="7" t="str">
        <f t="shared" si="289"/>
        <v/>
      </c>
      <c r="AL259" s="7" t="str">
        <f t="shared" si="289"/>
        <v/>
      </c>
      <c r="AM259" s="43"/>
    </row>
    <row r="260">
      <c r="C260" s="131"/>
      <c r="D260" s="54"/>
      <c r="E260" s="54"/>
      <c r="F260" s="54"/>
      <c r="G260" s="54"/>
      <c r="H260" s="54"/>
      <c r="I260" s="54"/>
      <c r="J260" s="54"/>
      <c r="K260" s="54"/>
      <c r="L260" s="54"/>
      <c r="M260" s="54"/>
      <c r="N260" s="89"/>
      <c r="P260" s="77" t="str">
        <f>IF(ISBLANK(N255),IFERROR(0/0,""),IFERROR(VLOOKUP(N255, 'Process Ref'!$A$76:$D$124, 2, FALSE), IFERROR(0/0,"")))</f>
        <v/>
      </c>
      <c r="R260" s="78" t="str">
        <f>IFNA(MATCH(A260,'RFR Data - preExcl'!A$2:A447,0),"")</f>
        <v/>
      </c>
      <c r="S260" s="43"/>
      <c r="T260" s="114" t="str">
        <f>IF(AND(NOT(ISBLANK(U260)),NOT(ISBLANK(V260)),NOT(ISBLANK(W260))),CONCATENATE("RUN-",'Process Ref'!$A$1,"_",TEXT(V260,"YYYY-MM-DD"),"_APS-",TEXT(W260,"000")),IFERROR(0/0,""))</f>
        <v/>
      </c>
      <c r="U260" s="8" t="str">
        <f t="shared" si="272"/>
        <v/>
      </c>
      <c r="V260" s="141">
        <v>44831.0</v>
      </c>
      <c r="W260" s="142" t="str">
        <f t="shared" si="273"/>
        <v/>
      </c>
      <c r="X260" s="43"/>
      <c r="AC260" s="70"/>
      <c r="AF260" s="70"/>
      <c r="AJ260" s="7" t="str">
        <f t="shared" ref="AJ260:AL260" si="290">IF(AG260=L260,IFERROR(0/0,""),FALSE)</f>
        <v/>
      </c>
      <c r="AK260" s="7" t="str">
        <f t="shared" si="290"/>
        <v/>
      </c>
      <c r="AL260" s="7" t="str">
        <f t="shared" si="290"/>
        <v/>
      </c>
      <c r="AM260" s="43"/>
    </row>
    <row r="261">
      <c r="C261" s="131"/>
      <c r="D261" s="54"/>
      <c r="E261" s="54"/>
      <c r="F261" s="54"/>
      <c r="G261" s="54"/>
      <c r="H261" s="54"/>
      <c r="I261" s="54"/>
      <c r="J261" s="54"/>
      <c r="K261" s="54"/>
      <c r="L261" s="54"/>
      <c r="M261" s="54"/>
      <c r="N261" s="89"/>
      <c r="P261" s="77" t="str">
        <f>IF(ISBLANK(N256),IFERROR(0/0,""),IFERROR(VLOOKUP(N256, 'Process Ref'!$A$76:$D$124, 2, FALSE), IFERROR(0/0,"")))</f>
        <v/>
      </c>
      <c r="R261" s="78" t="str">
        <f>IFNA(MATCH(A261,'RFR Data - preExcl'!A$2:A447,0),"")</f>
        <v/>
      </c>
      <c r="S261" s="43"/>
      <c r="T261" s="114" t="str">
        <f>IF(AND(NOT(ISBLANK(U261)),NOT(ISBLANK(V261)),NOT(ISBLANK(W261))),CONCATENATE("RUN-",'Process Ref'!$A$1,"_",TEXT(V261,"YYYY-MM-DD"),"_APS-",TEXT(W261,"000")),IFERROR(0/0,""))</f>
        <v/>
      </c>
      <c r="U261" s="8" t="str">
        <f t="shared" si="272"/>
        <v/>
      </c>
      <c r="V261" s="141">
        <v>44832.0</v>
      </c>
      <c r="W261" s="142" t="str">
        <f t="shared" si="273"/>
        <v/>
      </c>
      <c r="X261" s="43"/>
      <c r="AC261" s="70"/>
      <c r="AF261" s="70"/>
      <c r="AJ261" s="7" t="str">
        <f t="shared" ref="AJ261:AL261" si="291">IF(AG261=L261,IFERROR(0/0,""),FALSE)</f>
        <v/>
      </c>
      <c r="AK261" s="7" t="str">
        <f t="shared" si="291"/>
        <v/>
      </c>
      <c r="AL261" s="7" t="str">
        <f t="shared" si="291"/>
        <v/>
      </c>
      <c r="AM261" s="43"/>
    </row>
    <row r="262">
      <c r="C262" s="131"/>
      <c r="D262" s="54"/>
      <c r="E262" s="54"/>
      <c r="F262" s="54"/>
      <c r="G262" s="54"/>
      <c r="H262" s="54"/>
      <c r="I262" s="54"/>
      <c r="J262" s="54"/>
      <c r="K262" s="54"/>
      <c r="L262" s="54"/>
      <c r="M262" s="54"/>
      <c r="N262" s="89"/>
      <c r="P262" s="77" t="str">
        <f>IF(ISBLANK(N257),IFERROR(0/0,""),IFERROR(VLOOKUP(N257, 'Process Ref'!$A$76:$D$124, 2, FALSE), IFERROR(0/0,"")))</f>
        <v/>
      </c>
      <c r="R262" s="78" t="str">
        <f>IFNA(MATCH(A262,'RFR Data - preExcl'!A$2:A447,0),"")</f>
        <v/>
      </c>
      <c r="S262" s="43"/>
      <c r="T262" s="114" t="str">
        <f>IF(AND(NOT(ISBLANK(U262)),NOT(ISBLANK(V262)),NOT(ISBLANK(W262))),CONCATENATE("RUN-",'Process Ref'!$A$1,"_",TEXT(V262,"YYYY-MM-DD"),"_APS-",TEXT(W262,"000")),IFERROR(0/0,""))</f>
        <v/>
      </c>
      <c r="U262" s="8" t="str">
        <f t="shared" si="272"/>
        <v/>
      </c>
      <c r="V262" s="141">
        <v>44833.0</v>
      </c>
      <c r="W262" s="142" t="str">
        <f t="shared" si="273"/>
        <v/>
      </c>
      <c r="X262" s="43"/>
      <c r="AC262" s="70"/>
      <c r="AF262" s="70"/>
      <c r="AJ262" s="7" t="str">
        <f t="shared" ref="AJ262:AL262" si="292">IF(AG262=L262,IFERROR(0/0,""),FALSE)</f>
        <v/>
      </c>
      <c r="AK262" s="7" t="str">
        <f t="shared" si="292"/>
        <v/>
      </c>
      <c r="AL262" s="7" t="str">
        <f t="shared" si="292"/>
        <v/>
      </c>
      <c r="AM262" s="43"/>
    </row>
    <row r="263">
      <c r="C263" s="131"/>
      <c r="D263" s="54"/>
      <c r="E263" s="54"/>
      <c r="F263" s="54"/>
      <c r="G263" s="54"/>
      <c r="H263" s="54"/>
      <c r="I263" s="54"/>
      <c r="J263" s="54"/>
      <c r="K263" s="54"/>
      <c r="L263" s="54"/>
      <c r="M263" s="54"/>
      <c r="N263" s="89"/>
      <c r="P263" s="77" t="str">
        <f>IF(ISBLANK(N258),IFERROR(0/0,""),IFERROR(VLOOKUP(N258, 'Process Ref'!$A$76:$D$124, 2, FALSE), IFERROR(0/0,"")))</f>
        <v/>
      </c>
      <c r="R263" s="78" t="str">
        <f>IFNA(MATCH(A263,'RFR Data - preExcl'!A$2:A447,0),"")</f>
        <v/>
      </c>
      <c r="S263" s="43"/>
      <c r="T263" s="114" t="str">
        <f>IF(AND(NOT(ISBLANK(U263)),NOT(ISBLANK(V263)),NOT(ISBLANK(W263))),CONCATENATE("RUN-",'Process Ref'!$A$1,"_",TEXT(V263,"YYYY-MM-DD"),"_APS-",TEXT(W263,"000")),IFERROR(0/0,""))</f>
        <v/>
      </c>
      <c r="U263" s="8" t="str">
        <f t="shared" si="272"/>
        <v/>
      </c>
      <c r="V263" s="141">
        <v>44834.0</v>
      </c>
      <c r="W263" s="142" t="str">
        <f t="shared" si="273"/>
        <v/>
      </c>
      <c r="X263" s="43"/>
      <c r="AC263" s="70"/>
      <c r="AF263" s="70"/>
      <c r="AJ263" s="7" t="str">
        <f t="shared" ref="AJ263:AL263" si="293">IF(AG263=L263,IFERROR(0/0,""),FALSE)</f>
        <v/>
      </c>
      <c r="AK263" s="7" t="str">
        <f t="shared" si="293"/>
        <v/>
      </c>
      <c r="AL263" s="7" t="str">
        <f t="shared" si="293"/>
        <v/>
      </c>
      <c r="AM263" s="43"/>
    </row>
    <row r="264">
      <c r="C264" s="131"/>
      <c r="D264" s="54"/>
      <c r="E264" s="54"/>
      <c r="F264" s="54"/>
      <c r="G264" s="54"/>
      <c r="H264" s="54"/>
      <c r="I264" s="54"/>
      <c r="J264" s="54"/>
      <c r="K264" s="54"/>
      <c r="L264" s="54"/>
      <c r="M264" s="54"/>
      <c r="N264" s="89"/>
      <c r="P264" s="77" t="str">
        <f>IF(ISBLANK(N259),IFERROR(0/0,""),IFERROR(VLOOKUP(N259, 'Process Ref'!$A$76:$D$124, 2, FALSE), IFERROR(0/0,"")))</f>
        <v/>
      </c>
      <c r="R264" s="78" t="str">
        <f>IFNA(MATCH(A264,'RFR Data - preExcl'!A$2:A447,0),"")</f>
        <v/>
      </c>
      <c r="S264" s="43"/>
      <c r="T264" s="114" t="str">
        <f>IF(AND(NOT(ISBLANK(U264)),NOT(ISBLANK(V264)),NOT(ISBLANK(W264))),CONCATENATE("RUN-",'Process Ref'!$A$1,"_",TEXT(V264,"YYYY-MM-DD"),"_APS-",TEXT(W264,"000")),IFERROR(0/0,""))</f>
        <v/>
      </c>
      <c r="U264" s="8" t="str">
        <f t="shared" si="272"/>
        <v/>
      </c>
      <c r="V264" s="141">
        <v>44837.0</v>
      </c>
      <c r="W264" s="142" t="str">
        <f t="shared" si="273"/>
        <v/>
      </c>
      <c r="X264" s="43"/>
      <c r="AC264" s="70"/>
      <c r="AF264" s="70"/>
      <c r="AJ264" s="7" t="str">
        <f t="shared" ref="AJ264:AL264" si="294">IF(AG264=L264,IFERROR(0/0,""),FALSE)</f>
        <v/>
      </c>
      <c r="AK264" s="7" t="str">
        <f t="shared" si="294"/>
        <v/>
      </c>
      <c r="AL264" s="7" t="str">
        <f t="shared" si="294"/>
        <v/>
      </c>
      <c r="AM264" s="43"/>
    </row>
    <row r="265">
      <c r="C265" s="131"/>
      <c r="D265" s="54"/>
      <c r="E265" s="54"/>
      <c r="F265" s="54"/>
      <c r="G265" s="54"/>
      <c r="H265" s="54"/>
      <c r="I265" s="54"/>
      <c r="J265" s="54"/>
      <c r="K265" s="54"/>
      <c r="L265" s="54"/>
      <c r="M265" s="54"/>
      <c r="N265" s="89"/>
      <c r="P265" s="77" t="str">
        <f>IF(ISBLANK(N260),IFERROR(0/0,""),IFERROR(VLOOKUP(N260, 'Process Ref'!$A$76:$D$124, 2, FALSE), IFERROR(0/0,"")))</f>
        <v/>
      </c>
      <c r="R265" s="78" t="str">
        <f>IFNA(MATCH(A265,'RFR Data - preExcl'!A$2:A447,0),"")</f>
        <v/>
      </c>
      <c r="S265" s="43"/>
      <c r="T265" s="114" t="str">
        <f>IF(AND(NOT(ISBLANK(U265)),NOT(ISBLANK(V265)),NOT(ISBLANK(W265))),CONCATENATE("RUN-",'Process Ref'!$A$1,"_",TEXT(V265,"YYYY-MM-DD"),"_APS-",TEXT(W265,"000")),IFERROR(0/0,""))</f>
        <v/>
      </c>
      <c r="U265" s="8" t="str">
        <f t="shared" si="272"/>
        <v/>
      </c>
      <c r="V265" s="141">
        <v>44838.0</v>
      </c>
      <c r="W265" s="142" t="str">
        <f t="shared" si="273"/>
        <v/>
      </c>
      <c r="X265" s="43"/>
      <c r="AC265" s="70"/>
      <c r="AF265" s="70"/>
      <c r="AJ265" s="7" t="str">
        <f t="shared" ref="AJ265:AL265" si="295">IF(AG265=L265,IFERROR(0/0,""),FALSE)</f>
        <v/>
      </c>
      <c r="AK265" s="7" t="str">
        <f t="shared" si="295"/>
        <v/>
      </c>
      <c r="AL265" s="7" t="str">
        <f t="shared" si="295"/>
        <v/>
      </c>
      <c r="AM265" s="43"/>
    </row>
    <row r="266">
      <c r="C266" s="131"/>
      <c r="D266" s="54"/>
      <c r="E266" s="54"/>
      <c r="F266" s="54"/>
      <c r="G266" s="54"/>
      <c r="H266" s="54"/>
      <c r="I266" s="54"/>
      <c r="J266" s="54"/>
      <c r="K266" s="54"/>
      <c r="L266" s="54"/>
      <c r="M266" s="54"/>
      <c r="N266" s="89"/>
      <c r="P266" s="77" t="str">
        <f>IF(ISBLANK(N261),IFERROR(0/0,""),IFERROR(VLOOKUP(N261, 'Process Ref'!$A$76:$D$124, 2, FALSE), IFERROR(0/0,"")))</f>
        <v/>
      </c>
      <c r="R266" s="78" t="str">
        <f>IFNA(MATCH(A266,'RFR Data - preExcl'!A$2:A447,0),"")</f>
        <v/>
      </c>
      <c r="S266" s="43"/>
      <c r="T266" s="114" t="str">
        <f>IF(AND(NOT(ISBLANK(U266)),NOT(ISBLANK(V266)),NOT(ISBLANK(W266))),CONCATENATE("RUN-",'Process Ref'!$A$1,"_",TEXT(V266,"YYYY-MM-DD"),"_APS-",TEXT(W266,"000")),IFERROR(0/0,""))</f>
        <v/>
      </c>
      <c r="U266" s="8" t="str">
        <f t="shared" si="272"/>
        <v/>
      </c>
      <c r="V266" s="141">
        <v>44839.0</v>
      </c>
      <c r="W266" s="142" t="str">
        <f t="shared" si="273"/>
        <v/>
      </c>
      <c r="X266" s="43"/>
      <c r="AC266" s="70"/>
      <c r="AF266" s="70"/>
      <c r="AJ266" s="7" t="str">
        <f t="shared" ref="AJ266:AL266" si="296">IF(AG266=L266,IFERROR(0/0,""),FALSE)</f>
        <v/>
      </c>
      <c r="AK266" s="7" t="str">
        <f t="shared" si="296"/>
        <v/>
      </c>
      <c r="AL266" s="7" t="str">
        <f t="shared" si="296"/>
        <v/>
      </c>
      <c r="AM266" s="43"/>
    </row>
    <row r="267">
      <c r="C267" s="131"/>
      <c r="D267" s="54"/>
      <c r="E267" s="54"/>
      <c r="F267" s="54"/>
      <c r="G267" s="54"/>
      <c r="H267" s="54"/>
      <c r="I267" s="54"/>
      <c r="J267" s="54"/>
      <c r="K267" s="54"/>
      <c r="L267" s="54"/>
      <c r="M267" s="54"/>
      <c r="N267" s="89"/>
      <c r="P267" s="77" t="str">
        <f>IF(ISBLANK(N262),IFERROR(0/0,""),IFERROR(VLOOKUP(N262, 'Process Ref'!$A$76:$D$124, 2, FALSE), IFERROR(0/0,"")))</f>
        <v/>
      </c>
      <c r="R267" s="78" t="str">
        <f>IFNA(MATCH(A267,'RFR Data - preExcl'!A$2:A447,0),"")</f>
        <v/>
      </c>
      <c r="S267" s="43"/>
      <c r="T267" s="114" t="str">
        <f>IF(AND(NOT(ISBLANK(U267)),NOT(ISBLANK(V267)),NOT(ISBLANK(W267))),CONCATENATE("RUN-",'Process Ref'!$A$1,"_",TEXT(V267,"YYYY-MM-DD"),"_APS-",TEXT(W267,"000")),IFERROR(0/0,""))</f>
        <v/>
      </c>
      <c r="U267" s="8" t="str">
        <f t="shared" si="272"/>
        <v/>
      </c>
      <c r="V267" s="141">
        <v>44840.0</v>
      </c>
      <c r="W267" s="142" t="str">
        <f t="shared" si="273"/>
        <v/>
      </c>
      <c r="X267" s="43"/>
      <c r="AC267" s="70"/>
      <c r="AF267" s="70"/>
      <c r="AJ267" s="7" t="str">
        <f t="shared" ref="AJ267:AL267" si="297">IF(AG267=L267,IFERROR(0/0,""),FALSE)</f>
        <v/>
      </c>
      <c r="AK267" s="7" t="str">
        <f t="shared" si="297"/>
        <v/>
      </c>
      <c r="AL267" s="7" t="str">
        <f t="shared" si="297"/>
        <v/>
      </c>
      <c r="AM267" s="43"/>
    </row>
    <row r="268">
      <c r="C268" s="131"/>
      <c r="D268" s="54"/>
      <c r="E268" s="54"/>
      <c r="F268" s="54"/>
      <c r="G268" s="54"/>
      <c r="H268" s="54"/>
      <c r="I268" s="54"/>
      <c r="J268" s="54"/>
      <c r="K268" s="54"/>
      <c r="L268" s="54"/>
      <c r="M268" s="54"/>
      <c r="N268" s="89"/>
      <c r="P268" s="77" t="str">
        <f>IF(ISBLANK(N263),IFERROR(0/0,""),IFERROR(VLOOKUP(N263, 'Process Ref'!$A$76:$D$124, 2, FALSE), IFERROR(0/0,"")))</f>
        <v/>
      </c>
      <c r="R268" s="78" t="str">
        <f>IFNA(MATCH(A268,'RFR Data - preExcl'!A$2:A447,0),"")</f>
        <v/>
      </c>
      <c r="S268" s="43"/>
      <c r="T268" s="114" t="str">
        <f>IF(AND(NOT(ISBLANK(U268)),NOT(ISBLANK(V268)),NOT(ISBLANK(W268))),CONCATENATE("RUN-",'Process Ref'!$A$1,"_",TEXT(V268,"YYYY-MM-DD"),"_APS-",TEXT(W268,"000")),IFERROR(0/0,""))</f>
        <v/>
      </c>
      <c r="U268" s="8" t="str">
        <f t="shared" si="272"/>
        <v/>
      </c>
      <c r="V268" s="141">
        <v>44841.0</v>
      </c>
      <c r="W268" s="142" t="str">
        <f t="shared" si="273"/>
        <v/>
      </c>
      <c r="X268" s="43"/>
      <c r="AC268" s="70"/>
      <c r="AF268" s="70"/>
      <c r="AJ268" s="7" t="str">
        <f t="shared" ref="AJ268:AL268" si="298">IF(AG268=L268,IFERROR(0/0,""),FALSE)</f>
        <v/>
      </c>
      <c r="AK268" s="7" t="str">
        <f t="shared" si="298"/>
        <v/>
      </c>
      <c r="AL268" s="7" t="str">
        <f t="shared" si="298"/>
        <v/>
      </c>
      <c r="AM268" s="43"/>
    </row>
    <row r="269">
      <c r="C269" s="131"/>
      <c r="D269" s="54"/>
      <c r="E269" s="54"/>
      <c r="F269" s="54"/>
      <c r="G269" s="54"/>
      <c r="H269" s="54"/>
      <c r="I269" s="54"/>
      <c r="J269" s="54"/>
      <c r="K269" s="54"/>
      <c r="L269" s="54"/>
      <c r="M269" s="54"/>
      <c r="N269" s="89"/>
      <c r="P269" s="77" t="str">
        <f>IF(ISBLANK(N264),IFERROR(0/0,""),IFERROR(VLOOKUP(N264, 'Process Ref'!$A$76:$D$124, 2, FALSE), IFERROR(0/0,"")))</f>
        <v/>
      </c>
      <c r="R269" s="78" t="str">
        <f>IFNA(MATCH(A269,'RFR Data - preExcl'!A$2:A447,0),"")</f>
        <v/>
      </c>
      <c r="S269" s="43"/>
      <c r="T269" s="114" t="str">
        <f>IF(AND(NOT(ISBLANK(U269)),NOT(ISBLANK(V269)),NOT(ISBLANK(W269))),CONCATENATE("RUN-",'Process Ref'!$A$1,"_",TEXT(V269,"YYYY-MM-DD"),"_APS-",TEXT(W269,"000")),IFERROR(0/0,""))</f>
        <v/>
      </c>
      <c r="U269" s="8" t="str">
        <f t="shared" si="272"/>
        <v/>
      </c>
      <c r="V269" s="141">
        <v>44844.0</v>
      </c>
      <c r="W269" s="142" t="str">
        <f t="shared" si="273"/>
        <v/>
      </c>
      <c r="X269" s="43"/>
      <c r="AC269" s="70"/>
      <c r="AF269" s="70"/>
      <c r="AJ269" s="7" t="str">
        <f t="shared" ref="AJ269:AL269" si="299">IF(AG269=L269,IFERROR(0/0,""),FALSE)</f>
        <v/>
      </c>
      <c r="AK269" s="7" t="str">
        <f t="shared" si="299"/>
        <v/>
      </c>
      <c r="AL269" s="7" t="str">
        <f t="shared" si="299"/>
        <v/>
      </c>
      <c r="AM269" s="43"/>
    </row>
    <row r="270">
      <c r="C270" s="131"/>
      <c r="D270" s="54"/>
      <c r="E270" s="54"/>
      <c r="F270" s="54"/>
      <c r="G270" s="54"/>
      <c r="H270" s="54"/>
      <c r="I270" s="54"/>
      <c r="J270" s="54"/>
      <c r="K270" s="54"/>
      <c r="L270" s="54"/>
      <c r="M270" s="54"/>
      <c r="N270" s="89"/>
      <c r="P270" s="77" t="str">
        <f>IF(ISBLANK(N265),IFERROR(0/0,""),IFERROR(VLOOKUP(N265, 'Process Ref'!$A$76:$D$124, 2, FALSE), IFERROR(0/0,"")))</f>
        <v/>
      </c>
      <c r="R270" s="78" t="str">
        <f>IFNA(MATCH(A270,'RFR Data - preExcl'!A$2:A447,0),"")</f>
        <v/>
      </c>
      <c r="S270" s="43"/>
      <c r="T270" s="114" t="str">
        <f>IF(AND(NOT(ISBLANK(U270)),NOT(ISBLANK(V270)),NOT(ISBLANK(W270))),CONCATENATE("RUN-",'Process Ref'!$A$1,"_",TEXT(V270,"YYYY-MM-DD"),"_APS-",TEXT(W270,"000")),IFERROR(0/0,""))</f>
        <v/>
      </c>
      <c r="U270" s="8" t="str">
        <f t="shared" si="272"/>
        <v/>
      </c>
      <c r="V270" s="141">
        <v>44845.0</v>
      </c>
      <c r="W270" s="142" t="str">
        <f t="shared" si="273"/>
        <v/>
      </c>
      <c r="X270" s="43"/>
      <c r="AC270" s="70"/>
      <c r="AF270" s="70"/>
      <c r="AJ270" s="7" t="str">
        <f t="shared" ref="AJ270:AL270" si="300">IF(AG270=L270,IFERROR(0/0,""),FALSE)</f>
        <v/>
      </c>
      <c r="AK270" s="7" t="str">
        <f t="shared" si="300"/>
        <v/>
      </c>
      <c r="AL270" s="7" t="str">
        <f t="shared" si="300"/>
        <v/>
      </c>
      <c r="AM270" s="43"/>
    </row>
    <row r="271">
      <c r="C271" s="131"/>
      <c r="D271" s="54"/>
      <c r="E271" s="54"/>
      <c r="F271" s="54"/>
      <c r="G271" s="54"/>
      <c r="H271" s="54"/>
      <c r="I271" s="54"/>
      <c r="J271" s="54"/>
      <c r="K271" s="54"/>
      <c r="L271" s="54"/>
      <c r="M271" s="54"/>
      <c r="N271" s="89"/>
      <c r="P271" s="77" t="str">
        <f>IF(ISBLANK(N266),IFERROR(0/0,""),IFERROR(VLOOKUP(N266, 'Process Ref'!$A$76:$D$124, 2, FALSE), IFERROR(0/0,"")))</f>
        <v/>
      </c>
      <c r="R271" s="78" t="str">
        <f>IFNA(MATCH(A271,'RFR Data - preExcl'!A$2:A447,0),"")</f>
        <v/>
      </c>
      <c r="S271" s="43"/>
      <c r="T271" s="114" t="str">
        <f>IF(AND(NOT(ISBLANK(U271)),NOT(ISBLANK(V271)),NOT(ISBLANK(W271))),CONCATENATE("RUN-",'Process Ref'!$A$1,"_",TEXT(V271,"YYYY-MM-DD"),"_APS-",TEXT(W271,"000")),IFERROR(0/0,""))</f>
        <v/>
      </c>
      <c r="U271" s="8" t="str">
        <f t="shared" si="272"/>
        <v/>
      </c>
      <c r="V271" s="141">
        <v>44846.0</v>
      </c>
      <c r="W271" s="142" t="str">
        <f t="shared" si="273"/>
        <v/>
      </c>
      <c r="X271" s="43"/>
      <c r="AC271" s="70"/>
      <c r="AF271" s="70"/>
      <c r="AJ271" s="7" t="str">
        <f t="shared" ref="AJ271:AL271" si="301">IF(AG271=L271,IFERROR(0/0,""),FALSE)</f>
        <v/>
      </c>
      <c r="AK271" s="7" t="str">
        <f t="shared" si="301"/>
        <v/>
      </c>
      <c r="AL271" s="7" t="str">
        <f t="shared" si="301"/>
        <v/>
      </c>
      <c r="AM271" s="43"/>
    </row>
    <row r="272">
      <c r="C272" s="131"/>
      <c r="D272" s="54"/>
      <c r="E272" s="54"/>
      <c r="F272" s="54"/>
      <c r="G272" s="54"/>
      <c r="H272" s="54"/>
      <c r="I272" s="54"/>
      <c r="J272" s="54"/>
      <c r="K272" s="54"/>
      <c r="L272" s="54"/>
      <c r="M272" s="54"/>
      <c r="N272" s="89"/>
      <c r="P272" s="77" t="str">
        <f>IF(ISBLANK(N267),IFERROR(0/0,""),IFERROR(VLOOKUP(N267, 'Process Ref'!$A$76:$D$124, 2, FALSE), IFERROR(0/0,"")))</f>
        <v/>
      </c>
      <c r="R272" s="78" t="str">
        <f>IFNA(MATCH(A272,'RFR Data - preExcl'!A$2:A447,0),"")</f>
        <v/>
      </c>
      <c r="S272" s="43"/>
      <c r="T272" s="114" t="str">
        <f>IF(AND(NOT(ISBLANK(U272)),NOT(ISBLANK(V272)),NOT(ISBLANK(W272))),CONCATENATE("RUN-",'Process Ref'!$A$1,"_",TEXT(V272,"YYYY-MM-DD"),"_APS-",TEXT(W272,"000")),IFERROR(0/0,""))</f>
        <v/>
      </c>
      <c r="U272" s="8" t="str">
        <f t="shared" si="272"/>
        <v/>
      </c>
      <c r="V272" s="141">
        <v>44847.0</v>
      </c>
      <c r="W272" s="142" t="str">
        <f t="shared" si="273"/>
        <v/>
      </c>
      <c r="X272" s="43"/>
      <c r="AC272" s="70"/>
      <c r="AF272" s="70"/>
      <c r="AJ272" s="7" t="str">
        <f t="shared" ref="AJ272:AL272" si="302">IF(AG272=L272,IFERROR(0/0,""),FALSE)</f>
        <v/>
      </c>
      <c r="AK272" s="7" t="str">
        <f t="shared" si="302"/>
        <v/>
      </c>
      <c r="AL272" s="7" t="str">
        <f t="shared" si="302"/>
        <v/>
      </c>
      <c r="AM272" s="43"/>
    </row>
    <row r="273">
      <c r="C273" s="131"/>
      <c r="D273" s="54"/>
      <c r="E273" s="54"/>
      <c r="F273" s="54"/>
      <c r="G273" s="54"/>
      <c r="H273" s="54"/>
      <c r="I273" s="54"/>
      <c r="J273" s="54"/>
      <c r="K273" s="54"/>
      <c r="L273" s="54"/>
      <c r="M273" s="54"/>
      <c r="N273" s="89"/>
      <c r="P273" s="77" t="str">
        <f>IF(ISBLANK(N268),IFERROR(0/0,""),IFERROR(VLOOKUP(N268, 'Process Ref'!$A$76:$D$124, 2, FALSE), IFERROR(0/0,"")))</f>
        <v/>
      </c>
      <c r="R273" s="78" t="str">
        <f>IFNA(MATCH(A273,'RFR Data - preExcl'!A$2:A447,0),"")</f>
        <v/>
      </c>
      <c r="S273" s="43"/>
      <c r="T273" s="114" t="str">
        <f>IF(AND(NOT(ISBLANK(U273)),NOT(ISBLANK(V273)),NOT(ISBLANK(W273))),CONCATENATE("RUN-",'Process Ref'!$A$1,"_",TEXT(V273,"YYYY-MM-DD"),"_APS-",TEXT(W273,"000")),IFERROR(0/0,""))</f>
        <v/>
      </c>
      <c r="U273" s="8" t="str">
        <f t="shared" si="272"/>
        <v/>
      </c>
      <c r="V273" s="141">
        <v>44851.0</v>
      </c>
      <c r="W273" s="142" t="str">
        <f t="shared" si="273"/>
        <v/>
      </c>
      <c r="X273" s="43"/>
      <c r="AC273" s="70"/>
      <c r="AF273" s="70"/>
      <c r="AJ273" s="7" t="str">
        <f t="shared" ref="AJ273:AL273" si="303">IF(AG273=L273,IFERROR(0/0,""),FALSE)</f>
        <v/>
      </c>
      <c r="AK273" s="7" t="str">
        <f t="shared" si="303"/>
        <v/>
      </c>
      <c r="AL273" s="7" t="str">
        <f t="shared" si="303"/>
        <v/>
      </c>
      <c r="AM273" s="43"/>
    </row>
    <row r="274">
      <c r="C274" s="131"/>
      <c r="D274" s="54"/>
      <c r="E274" s="54"/>
      <c r="F274" s="54"/>
      <c r="G274" s="54"/>
      <c r="H274" s="54"/>
      <c r="I274" s="54"/>
      <c r="J274" s="54"/>
      <c r="K274" s="54"/>
      <c r="L274" s="54"/>
      <c r="M274" s="54"/>
      <c r="N274" s="89"/>
      <c r="P274" s="77" t="str">
        <f>IF(ISBLANK(N269),IFERROR(0/0,""),IFERROR(VLOOKUP(N269, 'Process Ref'!$A$76:$D$124, 2, FALSE), IFERROR(0/0,"")))</f>
        <v/>
      </c>
      <c r="R274" s="78" t="str">
        <f>IFNA(MATCH(A274,'RFR Data - preExcl'!A$2:A447,0),"")</f>
        <v/>
      </c>
      <c r="S274" s="43"/>
      <c r="T274" s="114" t="str">
        <f>IF(AND(NOT(ISBLANK(U274)),NOT(ISBLANK(V274)),NOT(ISBLANK(W274))),CONCATENATE("RUN-",'Process Ref'!$A$1,"_",TEXT(V274,"YYYY-MM-DD"),"_APS-",TEXT(W274,"000")),IFERROR(0/0,""))</f>
        <v/>
      </c>
      <c r="U274" s="8" t="str">
        <f t="shared" si="272"/>
        <v/>
      </c>
      <c r="V274" s="141">
        <v>44852.0</v>
      </c>
      <c r="W274" s="142" t="str">
        <f t="shared" si="273"/>
        <v/>
      </c>
      <c r="X274" s="43"/>
      <c r="AC274" s="70"/>
      <c r="AF274" s="70"/>
      <c r="AJ274" s="7" t="str">
        <f t="shared" ref="AJ274:AL274" si="304">IF(AG274=L274,IFERROR(0/0,""),FALSE)</f>
        <v/>
      </c>
      <c r="AK274" s="7" t="str">
        <f t="shared" si="304"/>
        <v/>
      </c>
      <c r="AL274" s="7" t="str">
        <f t="shared" si="304"/>
        <v/>
      </c>
      <c r="AM274" s="43"/>
    </row>
    <row r="275">
      <c r="C275" s="131"/>
      <c r="D275" s="54"/>
      <c r="E275" s="54"/>
      <c r="F275" s="54"/>
      <c r="G275" s="54"/>
      <c r="H275" s="54"/>
      <c r="I275" s="54"/>
      <c r="J275" s="54"/>
      <c r="K275" s="54"/>
      <c r="L275" s="54"/>
      <c r="M275" s="54"/>
      <c r="N275" s="89"/>
      <c r="P275" s="77" t="str">
        <f>IF(ISBLANK(N270),IFERROR(0/0,""),IFERROR(VLOOKUP(N270, 'Process Ref'!$A$76:$D$124, 2, FALSE), IFERROR(0/0,"")))</f>
        <v/>
      </c>
      <c r="R275" s="78" t="str">
        <f>IFNA(MATCH(A275,'RFR Data - preExcl'!A$2:A447,0),"")</f>
        <v/>
      </c>
      <c r="S275" s="43"/>
      <c r="T275" s="114" t="str">
        <f>IF(AND(NOT(ISBLANK(U275)),NOT(ISBLANK(V275)),NOT(ISBLANK(W275))),CONCATENATE("RUN-",'Process Ref'!$A$1,"_",TEXT(V275,"YYYY-MM-DD"),"_APS-",TEXT(W275,"000")),IFERROR(0/0,""))</f>
        <v/>
      </c>
      <c r="U275" s="8" t="str">
        <f t="shared" si="272"/>
        <v/>
      </c>
      <c r="V275" s="141">
        <v>44853.0</v>
      </c>
      <c r="W275" s="142" t="str">
        <f t="shared" si="273"/>
        <v/>
      </c>
      <c r="X275" s="43"/>
      <c r="AC275" s="70"/>
      <c r="AF275" s="70"/>
      <c r="AJ275" s="7" t="str">
        <f t="shared" ref="AJ275:AL275" si="305">IF(AG275=L275,IFERROR(0/0,""),FALSE)</f>
        <v/>
      </c>
      <c r="AK275" s="7" t="str">
        <f t="shared" si="305"/>
        <v/>
      </c>
      <c r="AL275" s="7" t="str">
        <f t="shared" si="305"/>
        <v/>
      </c>
      <c r="AM275" s="43"/>
    </row>
    <row r="276">
      <c r="C276" s="131"/>
      <c r="D276" s="54"/>
      <c r="E276" s="54"/>
      <c r="F276" s="54"/>
      <c r="G276" s="54"/>
      <c r="H276" s="54"/>
      <c r="I276" s="54"/>
      <c r="J276" s="54"/>
      <c r="K276" s="54"/>
      <c r="L276" s="54"/>
      <c r="M276" s="54"/>
      <c r="N276" s="89"/>
      <c r="P276" s="77" t="str">
        <f>IF(ISBLANK(N271),IFERROR(0/0,""),IFERROR(VLOOKUP(N271, 'Process Ref'!$A$76:$D$124, 2, FALSE), IFERROR(0/0,"")))</f>
        <v/>
      </c>
      <c r="R276" s="78" t="str">
        <f>IFNA(MATCH(A276,'RFR Data - preExcl'!A$2:A447,0),"")</f>
        <v/>
      </c>
      <c r="S276" s="43"/>
      <c r="T276" s="114" t="str">
        <f>IF(AND(NOT(ISBLANK(U276)),NOT(ISBLANK(V276)),NOT(ISBLANK(W276))),CONCATENATE("RUN-",'Process Ref'!$A$1,"_",TEXT(V276,"YYYY-MM-DD"),"_APS-",TEXT(W276,"000")),IFERROR(0/0,""))</f>
        <v/>
      </c>
      <c r="U276" s="8" t="str">
        <f t="shared" si="272"/>
        <v/>
      </c>
      <c r="V276" s="141">
        <v>44854.0</v>
      </c>
      <c r="W276" s="142" t="str">
        <f t="shared" si="273"/>
        <v/>
      </c>
      <c r="X276" s="43"/>
      <c r="AC276" s="70"/>
      <c r="AF276" s="70"/>
      <c r="AJ276" s="7" t="str">
        <f t="shared" ref="AJ276:AL276" si="306">IF(AG276=L276,IFERROR(0/0,""),FALSE)</f>
        <v/>
      </c>
      <c r="AK276" s="7" t="str">
        <f t="shared" si="306"/>
        <v/>
      </c>
      <c r="AL276" s="7" t="str">
        <f t="shared" si="306"/>
        <v/>
      </c>
      <c r="AM276" s="43"/>
    </row>
    <row r="277">
      <c r="C277" s="131"/>
      <c r="D277" s="54"/>
      <c r="E277" s="54"/>
      <c r="F277" s="54"/>
      <c r="G277" s="54"/>
      <c r="H277" s="54"/>
      <c r="I277" s="54"/>
      <c r="J277" s="54"/>
      <c r="K277" s="54"/>
      <c r="L277" s="54"/>
      <c r="M277" s="54"/>
      <c r="N277" s="89"/>
      <c r="P277" s="77" t="str">
        <f>IF(ISBLANK(N272),IFERROR(0/0,""),IFERROR(VLOOKUP(N272, 'Process Ref'!$A$76:$D$124, 2, FALSE), IFERROR(0/0,"")))</f>
        <v/>
      </c>
      <c r="R277" s="78" t="str">
        <f>IFNA(MATCH(A277,'RFR Data - preExcl'!A$2:A447,0),"")</f>
        <v/>
      </c>
      <c r="S277" s="43"/>
      <c r="T277" s="114" t="str">
        <f>IF(AND(NOT(ISBLANK(U277)),NOT(ISBLANK(V277)),NOT(ISBLANK(W277))),CONCATENATE("RUN-",'Process Ref'!$A$1,"_",TEXT(V277,"YYYY-MM-DD"),"_APS-",TEXT(W277,"000")),IFERROR(0/0,""))</f>
        <v/>
      </c>
      <c r="U277" s="8" t="str">
        <f t="shared" si="272"/>
        <v/>
      </c>
      <c r="V277" s="141">
        <v>44855.0</v>
      </c>
      <c r="W277" s="142" t="str">
        <f t="shared" si="273"/>
        <v/>
      </c>
      <c r="X277" s="43"/>
      <c r="AC277" s="70"/>
      <c r="AF277" s="70"/>
      <c r="AJ277" s="7" t="str">
        <f t="shared" ref="AJ277:AL277" si="307">IF(AG277=L277,IFERROR(0/0,""),FALSE)</f>
        <v/>
      </c>
      <c r="AK277" s="7" t="str">
        <f t="shared" si="307"/>
        <v/>
      </c>
      <c r="AL277" s="7" t="str">
        <f t="shared" si="307"/>
        <v/>
      </c>
      <c r="AM277" s="43"/>
    </row>
    <row r="278">
      <c r="C278" s="131"/>
      <c r="D278" s="54"/>
      <c r="E278" s="54"/>
      <c r="F278" s="54"/>
      <c r="G278" s="54"/>
      <c r="H278" s="54"/>
      <c r="I278" s="54"/>
      <c r="J278" s="54"/>
      <c r="K278" s="54"/>
      <c r="L278" s="54"/>
      <c r="M278" s="54"/>
      <c r="N278" s="89"/>
      <c r="P278" s="77" t="str">
        <f>IF(ISBLANK(N273),IFERROR(0/0,""),IFERROR(VLOOKUP(N273, 'Process Ref'!$A$76:$D$124, 2, FALSE), IFERROR(0/0,"")))</f>
        <v/>
      </c>
      <c r="R278" s="78" t="str">
        <f>IFNA(MATCH(A278,'RFR Data - preExcl'!A$2:A447,0),"")</f>
        <v/>
      </c>
      <c r="S278" s="43"/>
      <c r="T278" s="114" t="str">
        <f>IF(AND(NOT(ISBLANK(U278)),NOT(ISBLANK(V278)),NOT(ISBLANK(W278))),CONCATENATE("RUN-",'Process Ref'!$A$1,"_",TEXT(V278,"YYYY-MM-DD"),"_APS-",TEXT(W278,"000")),IFERROR(0/0,""))</f>
        <v/>
      </c>
      <c r="U278" s="8" t="str">
        <f t="shared" si="272"/>
        <v/>
      </c>
      <c r="V278" s="141">
        <v>44858.0</v>
      </c>
      <c r="W278" s="142" t="str">
        <f t="shared" si="273"/>
        <v/>
      </c>
      <c r="X278" s="43"/>
      <c r="AC278" s="70"/>
      <c r="AF278" s="70"/>
      <c r="AJ278" s="7" t="str">
        <f t="shared" ref="AJ278:AL278" si="308">IF(AG278=L278,IFERROR(0/0,""),FALSE)</f>
        <v/>
      </c>
      <c r="AK278" s="7" t="str">
        <f t="shared" si="308"/>
        <v/>
      </c>
      <c r="AL278" s="7" t="str">
        <f t="shared" si="308"/>
        <v/>
      </c>
      <c r="AM278" s="43"/>
    </row>
    <row r="279">
      <c r="C279" s="131"/>
      <c r="D279" s="54"/>
      <c r="E279" s="54"/>
      <c r="F279" s="54"/>
      <c r="G279" s="54"/>
      <c r="H279" s="54"/>
      <c r="I279" s="54"/>
      <c r="J279" s="54"/>
      <c r="K279" s="54"/>
      <c r="L279" s="54"/>
      <c r="M279" s="54"/>
      <c r="N279" s="89"/>
      <c r="P279" s="77" t="str">
        <f>IF(ISBLANK(N274),IFERROR(0/0,""),IFERROR(VLOOKUP(N274, 'Process Ref'!$A$76:$D$124, 2, FALSE), IFERROR(0/0,"")))</f>
        <v/>
      </c>
      <c r="R279" s="78" t="str">
        <f>IFNA(MATCH(A279,'RFR Data - preExcl'!A$2:A447,0),"")</f>
        <v/>
      </c>
      <c r="S279" s="43"/>
      <c r="T279" s="114" t="str">
        <f>IF(AND(NOT(ISBLANK(U279)),NOT(ISBLANK(V279)),NOT(ISBLANK(W279))),CONCATENATE("RUN-",'Process Ref'!$A$1,"_",TEXT(V279,"YYYY-MM-DD"),"_APS-",TEXT(W279,"000")),IFERROR(0/0,""))</f>
        <v/>
      </c>
      <c r="U279" s="8" t="str">
        <f t="shared" si="272"/>
        <v/>
      </c>
      <c r="V279" s="141">
        <v>44859.0</v>
      </c>
      <c r="W279" s="142" t="str">
        <f t="shared" si="273"/>
        <v/>
      </c>
      <c r="X279" s="43"/>
      <c r="AC279" s="70"/>
      <c r="AF279" s="70"/>
      <c r="AJ279" s="7" t="str">
        <f t="shared" ref="AJ279:AL279" si="309">IF(AG279=L279,IFERROR(0/0,""),FALSE)</f>
        <v/>
      </c>
      <c r="AK279" s="7" t="str">
        <f t="shared" si="309"/>
        <v/>
      </c>
      <c r="AL279" s="7" t="str">
        <f t="shared" si="309"/>
        <v/>
      </c>
      <c r="AM279" s="43"/>
    </row>
    <row r="280">
      <c r="C280" s="131"/>
      <c r="D280" s="54"/>
      <c r="E280" s="54"/>
      <c r="F280" s="54"/>
      <c r="G280" s="54"/>
      <c r="H280" s="54"/>
      <c r="I280" s="54"/>
      <c r="J280" s="54"/>
      <c r="K280" s="54"/>
      <c r="L280" s="54"/>
      <c r="M280" s="54"/>
      <c r="N280" s="89"/>
      <c r="P280" s="77" t="str">
        <f>IF(ISBLANK(N275),IFERROR(0/0,""),IFERROR(VLOOKUP(N275, 'Process Ref'!$A$76:$D$124, 2, FALSE), IFERROR(0/0,"")))</f>
        <v/>
      </c>
      <c r="R280" s="78" t="str">
        <f>IFNA(MATCH(A280,'RFR Data - preExcl'!A$2:A447,0),"")</f>
        <v/>
      </c>
      <c r="S280" s="43"/>
      <c r="T280" s="114" t="str">
        <f>IF(AND(NOT(ISBLANK(U280)),NOT(ISBLANK(V280)),NOT(ISBLANK(W280))),CONCATENATE("RUN-",'Process Ref'!$A$1,"_",TEXT(V280,"YYYY-MM-DD"),"_APS-",TEXT(W280,"000")),IFERROR(0/0,""))</f>
        <v/>
      </c>
      <c r="U280" s="8" t="str">
        <f t="shared" si="272"/>
        <v/>
      </c>
      <c r="V280" s="141">
        <v>44860.0</v>
      </c>
      <c r="W280" s="142" t="str">
        <f t="shared" si="273"/>
        <v/>
      </c>
      <c r="X280" s="43"/>
      <c r="AC280" s="70"/>
      <c r="AF280" s="70"/>
      <c r="AJ280" s="7" t="str">
        <f t="shared" ref="AJ280:AL280" si="310">IF(AG280=L280,IFERROR(0/0,""),FALSE)</f>
        <v/>
      </c>
      <c r="AK280" s="7" t="str">
        <f t="shared" si="310"/>
        <v/>
      </c>
      <c r="AL280" s="7" t="str">
        <f t="shared" si="310"/>
        <v/>
      </c>
      <c r="AM280" s="43"/>
    </row>
    <row r="281">
      <c r="C281" s="131"/>
      <c r="D281" s="54"/>
      <c r="E281" s="54"/>
      <c r="F281" s="54"/>
      <c r="G281" s="54"/>
      <c r="H281" s="54"/>
      <c r="I281" s="54"/>
      <c r="J281" s="54"/>
      <c r="K281" s="54"/>
      <c r="L281" s="54"/>
      <c r="M281" s="54"/>
      <c r="N281" s="89"/>
      <c r="P281" s="77" t="str">
        <f>IF(ISBLANK(N276),IFERROR(0/0,""),IFERROR(VLOOKUP(N276, 'Process Ref'!$A$76:$D$124, 2, FALSE), IFERROR(0/0,"")))</f>
        <v/>
      </c>
      <c r="R281" s="78" t="str">
        <f>IFNA(MATCH(A281,'RFR Data - preExcl'!A$2:A447,0),"")</f>
        <v/>
      </c>
      <c r="S281" s="43"/>
      <c r="T281" s="114" t="str">
        <f>IF(AND(NOT(ISBLANK(U281)),NOT(ISBLANK(V281)),NOT(ISBLANK(W281))),CONCATENATE("RUN-",'Process Ref'!$A$1,"_",TEXT(V281,"YYYY-MM-DD"),"_APS-",TEXT(W281,"000")),IFERROR(0/0,""))</f>
        <v/>
      </c>
      <c r="U281" s="8" t="str">
        <f t="shared" si="272"/>
        <v/>
      </c>
      <c r="V281" s="141">
        <v>44861.0</v>
      </c>
      <c r="W281" s="142" t="str">
        <f t="shared" si="273"/>
        <v/>
      </c>
      <c r="X281" s="43"/>
      <c r="AC281" s="70"/>
      <c r="AF281" s="70"/>
      <c r="AJ281" s="7" t="str">
        <f t="shared" ref="AJ281:AL281" si="311">IF(AG281=L281,IFERROR(0/0,""),FALSE)</f>
        <v/>
      </c>
      <c r="AK281" s="7" t="str">
        <f t="shared" si="311"/>
        <v/>
      </c>
      <c r="AL281" s="7" t="str">
        <f t="shared" si="311"/>
        <v/>
      </c>
      <c r="AM281" s="43"/>
    </row>
    <row r="282">
      <c r="C282" s="131"/>
      <c r="D282" s="54"/>
      <c r="E282" s="54"/>
      <c r="F282" s="54"/>
      <c r="G282" s="54"/>
      <c r="H282" s="54"/>
      <c r="I282" s="54"/>
      <c r="J282" s="54"/>
      <c r="K282" s="54"/>
      <c r="L282" s="54"/>
      <c r="M282" s="54"/>
      <c r="N282" s="89"/>
      <c r="P282" s="77" t="str">
        <f>IF(ISBLANK(N277),IFERROR(0/0,""),IFERROR(VLOOKUP(N277, 'Process Ref'!$A$76:$D$124, 2, FALSE), IFERROR(0/0,"")))</f>
        <v/>
      </c>
      <c r="R282" s="78" t="str">
        <f>IFNA(MATCH(A282,'RFR Data - preExcl'!A$2:A447,0),"")</f>
        <v/>
      </c>
      <c r="S282" s="43"/>
      <c r="T282" s="114" t="str">
        <f>IF(AND(NOT(ISBLANK(U282)),NOT(ISBLANK(V282)),NOT(ISBLANK(W282))),CONCATENATE("RUN-",'Process Ref'!$A$1,"_",TEXT(V282,"YYYY-MM-DD"),"_APS-",TEXT(W282,"000")),IFERROR(0/0,""))</f>
        <v/>
      </c>
      <c r="U282" s="8" t="str">
        <f t="shared" si="272"/>
        <v/>
      </c>
      <c r="V282" s="141">
        <v>44862.0</v>
      </c>
      <c r="W282" s="142" t="str">
        <f t="shared" si="273"/>
        <v/>
      </c>
      <c r="X282" s="43"/>
      <c r="AC282" s="70"/>
      <c r="AF282" s="70"/>
      <c r="AJ282" s="7" t="str">
        <f t="shared" ref="AJ282:AL282" si="312">IF(AG282=L282,IFERROR(0/0,""),FALSE)</f>
        <v/>
      </c>
      <c r="AK282" s="7" t="str">
        <f t="shared" si="312"/>
        <v/>
      </c>
      <c r="AL282" s="7" t="str">
        <f t="shared" si="312"/>
        <v/>
      </c>
      <c r="AM282" s="43"/>
    </row>
    <row r="283">
      <c r="C283" s="131"/>
      <c r="D283" s="54"/>
      <c r="E283" s="54"/>
      <c r="F283" s="54"/>
      <c r="G283" s="54"/>
      <c r="H283" s="54"/>
      <c r="I283" s="54"/>
      <c r="J283" s="54"/>
      <c r="K283" s="54"/>
      <c r="L283" s="54"/>
      <c r="M283" s="54"/>
      <c r="N283" s="89"/>
      <c r="P283" s="77" t="str">
        <f>IF(ISBLANK(N278),IFERROR(0/0,""),IFERROR(VLOOKUP(N278, 'Process Ref'!$A$76:$D$124, 2, FALSE), IFERROR(0/0,"")))</f>
        <v/>
      </c>
      <c r="R283" s="78" t="str">
        <f>IFNA(MATCH(A283,'RFR Data - preExcl'!A$2:A447,0),"")</f>
        <v/>
      </c>
      <c r="S283" s="43"/>
      <c r="T283" s="114" t="str">
        <f>IF(AND(NOT(ISBLANK(U283)),NOT(ISBLANK(V283)),NOT(ISBLANK(W283))),CONCATENATE("RUN-",'Process Ref'!$A$1,"_",TEXT(V283,"YYYY-MM-DD"),"_APS-",TEXT(W283,"000")),IFERROR(0/0,""))</f>
        <v/>
      </c>
      <c r="U283" s="8" t="str">
        <f t="shared" si="272"/>
        <v/>
      </c>
      <c r="V283" s="141">
        <v>44865.0</v>
      </c>
      <c r="W283" s="142" t="str">
        <f t="shared" si="273"/>
        <v/>
      </c>
      <c r="X283" s="43"/>
      <c r="AC283" s="70"/>
      <c r="AF283" s="70"/>
      <c r="AJ283" s="7" t="str">
        <f t="shared" ref="AJ283:AL283" si="313">IF(AG283=L283,IFERROR(0/0,""),FALSE)</f>
        <v/>
      </c>
      <c r="AK283" s="7" t="str">
        <f t="shared" si="313"/>
        <v/>
      </c>
      <c r="AL283" s="7" t="str">
        <f t="shared" si="313"/>
        <v/>
      </c>
      <c r="AM283" s="43"/>
    </row>
    <row r="284">
      <c r="C284" s="131"/>
      <c r="D284" s="54"/>
      <c r="E284" s="54"/>
      <c r="F284" s="54"/>
      <c r="G284" s="54"/>
      <c r="H284" s="54"/>
      <c r="I284" s="54"/>
      <c r="J284" s="54"/>
      <c r="K284" s="54"/>
      <c r="L284" s="54"/>
      <c r="M284" s="54"/>
      <c r="N284" s="89"/>
      <c r="P284" s="77" t="str">
        <f>IF(ISBLANK(N279),IFERROR(0/0,""),IFERROR(VLOOKUP(N279, 'Process Ref'!$A$76:$D$124, 2, FALSE), IFERROR(0/0,"")))</f>
        <v/>
      </c>
      <c r="R284" s="78" t="str">
        <f>IFNA(MATCH(A284,'RFR Data - preExcl'!A$2:A447,0),"")</f>
        <v/>
      </c>
      <c r="S284" s="43"/>
      <c r="T284" s="114" t="str">
        <f>IF(AND(NOT(ISBLANK(U284)),NOT(ISBLANK(V284)),NOT(ISBLANK(W284))),CONCATENATE("RUN-",'Process Ref'!$A$1,"_",TEXT(V284,"YYYY-MM-DD"),"_APS-",TEXT(W284,"000")),IFERROR(0/0,""))</f>
        <v/>
      </c>
      <c r="U284" s="8" t="str">
        <f t="shared" si="272"/>
        <v/>
      </c>
      <c r="V284" s="141">
        <v>44866.0</v>
      </c>
      <c r="W284" s="142" t="str">
        <f t="shared" si="273"/>
        <v/>
      </c>
      <c r="X284" s="43"/>
      <c r="AC284" s="70"/>
      <c r="AF284" s="70"/>
      <c r="AJ284" s="7" t="str">
        <f t="shared" ref="AJ284:AL284" si="314">IF(AG284=L284,IFERROR(0/0,""),FALSE)</f>
        <v/>
      </c>
      <c r="AK284" s="7" t="str">
        <f t="shared" si="314"/>
        <v/>
      </c>
      <c r="AL284" s="7" t="str">
        <f t="shared" si="314"/>
        <v/>
      </c>
      <c r="AM284" s="43"/>
    </row>
    <row r="285">
      <c r="C285" s="131"/>
      <c r="D285" s="54"/>
      <c r="E285" s="54"/>
      <c r="F285" s="54"/>
      <c r="G285" s="54"/>
      <c r="H285" s="54"/>
      <c r="I285" s="54"/>
      <c r="J285" s="54"/>
      <c r="K285" s="54"/>
      <c r="L285" s="54"/>
      <c r="M285" s="54"/>
      <c r="N285" s="89"/>
      <c r="P285" s="77" t="str">
        <f>IF(ISBLANK(N280),IFERROR(0/0,""),IFERROR(VLOOKUP(N280, 'Process Ref'!$A$76:$D$124, 2, FALSE), IFERROR(0/0,"")))</f>
        <v/>
      </c>
      <c r="R285" s="78" t="str">
        <f>IFNA(MATCH(A285,'RFR Data - preExcl'!A$2:A447,0),"")</f>
        <v/>
      </c>
      <c r="S285" s="43"/>
      <c r="T285" s="114" t="str">
        <f>IF(AND(NOT(ISBLANK(U285)),NOT(ISBLANK(V285)),NOT(ISBLANK(W285))),CONCATENATE("RUN-",'Process Ref'!$A$1,"_",TEXT(V285,"YYYY-MM-DD"),"_APS-",TEXT(W285,"000")),IFERROR(0/0,""))</f>
        <v/>
      </c>
      <c r="U285" s="8" t="str">
        <f t="shared" si="272"/>
        <v/>
      </c>
      <c r="V285" s="141">
        <v>44867.0</v>
      </c>
      <c r="W285" s="142" t="str">
        <f t="shared" si="273"/>
        <v/>
      </c>
      <c r="X285" s="43"/>
      <c r="AC285" s="70"/>
      <c r="AF285" s="70"/>
      <c r="AJ285" s="7" t="str">
        <f t="shared" ref="AJ285:AL285" si="315">IF(AG285=L285,IFERROR(0/0,""),FALSE)</f>
        <v/>
      </c>
      <c r="AK285" s="7" t="str">
        <f t="shared" si="315"/>
        <v/>
      </c>
      <c r="AL285" s="7" t="str">
        <f t="shared" si="315"/>
        <v/>
      </c>
      <c r="AM285" s="43"/>
    </row>
    <row r="286">
      <c r="C286" s="131"/>
      <c r="D286" s="54"/>
      <c r="E286" s="54"/>
      <c r="F286" s="54"/>
      <c r="G286" s="54"/>
      <c r="H286" s="54"/>
      <c r="I286" s="54"/>
      <c r="J286" s="54"/>
      <c r="K286" s="54"/>
      <c r="L286" s="54"/>
      <c r="M286" s="54"/>
      <c r="N286" s="89"/>
      <c r="P286" s="77" t="str">
        <f>IF(ISBLANK(N281),IFERROR(0/0,""),IFERROR(VLOOKUP(N281, 'Process Ref'!$A$76:$D$124, 2, FALSE), IFERROR(0/0,"")))</f>
        <v/>
      </c>
      <c r="R286" s="78" t="str">
        <f>IFNA(MATCH(A286,'RFR Data - preExcl'!A$2:A447,0),"")</f>
        <v/>
      </c>
      <c r="S286" s="43"/>
      <c r="T286" s="114" t="str">
        <f>IF(AND(NOT(ISBLANK(U286)),NOT(ISBLANK(V286)),NOT(ISBLANK(W286))),CONCATENATE("RUN-",'Process Ref'!$A$1,"_",TEXT(V286,"YYYY-MM-DD"),"_APS-",TEXT(W286,"000")),IFERROR(0/0,""))</f>
        <v/>
      </c>
      <c r="U286" s="8" t="str">
        <f t="shared" si="272"/>
        <v/>
      </c>
      <c r="V286" s="141">
        <v>44868.0</v>
      </c>
      <c r="W286" s="142" t="str">
        <f t="shared" si="273"/>
        <v/>
      </c>
      <c r="X286" s="43"/>
      <c r="AC286" s="70"/>
      <c r="AF286" s="70"/>
      <c r="AJ286" s="7" t="str">
        <f t="shared" ref="AJ286:AL286" si="316">IF(AG286=L286,IFERROR(0/0,""),FALSE)</f>
        <v/>
      </c>
      <c r="AK286" s="7" t="str">
        <f t="shared" si="316"/>
        <v/>
      </c>
      <c r="AL286" s="7" t="str">
        <f t="shared" si="316"/>
        <v/>
      </c>
      <c r="AM286" s="43"/>
    </row>
    <row r="287">
      <c r="C287" s="131"/>
      <c r="D287" s="54"/>
      <c r="E287" s="54"/>
      <c r="F287" s="54"/>
      <c r="G287" s="54"/>
      <c r="H287" s="54"/>
      <c r="I287" s="54"/>
      <c r="J287" s="54"/>
      <c r="K287" s="54"/>
      <c r="L287" s="54"/>
      <c r="M287" s="54"/>
      <c r="N287" s="89"/>
      <c r="P287" s="77" t="str">
        <f>IF(ISBLANK(N282),IFERROR(0/0,""),IFERROR(VLOOKUP(N282, 'Process Ref'!$A$76:$D$124, 2, FALSE), IFERROR(0/0,"")))</f>
        <v/>
      </c>
      <c r="R287" s="78" t="str">
        <f>IFNA(MATCH(A287,'RFR Data - preExcl'!A$2:A447,0),"")</f>
        <v/>
      </c>
      <c r="S287" s="43"/>
      <c r="T287" s="114" t="str">
        <f>IF(AND(NOT(ISBLANK(U287)),NOT(ISBLANK(V287)),NOT(ISBLANK(W287))),CONCATENATE("RUN-",'Process Ref'!$A$1,"_",TEXT(V287,"YYYY-MM-DD"),"_APS-",TEXT(W287,"000")),IFERROR(0/0,""))</f>
        <v/>
      </c>
      <c r="U287" s="8" t="str">
        <f t="shared" si="272"/>
        <v/>
      </c>
      <c r="V287" s="141">
        <v>44869.0</v>
      </c>
      <c r="W287" s="142" t="str">
        <f t="shared" si="273"/>
        <v/>
      </c>
      <c r="X287" s="43"/>
      <c r="AC287" s="70"/>
      <c r="AF287" s="70"/>
      <c r="AJ287" s="7" t="str">
        <f t="shared" ref="AJ287:AL287" si="317">IF(AG287=L287,IFERROR(0/0,""),FALSE)</f>
        <v/>
      </c>
      <c r="AK287" s="7" t="str">
        <f t="shared" si="317"/>
        <v/>
      </c>
      <c r="AL287" s="7" t="str">
        <f t="shared" si="317"/>
        <v/>
      </c>
      <c r="AM287" s="43"/>
    </row>
    <row r="288">
      <c r="C288" s="131"/>
      <c r="D288" s="54"/>
      <c r="E288" s="54"/>
      <c r="F288" s="54"/>
      <c r="G288" s="54"/>
      <c r="H288" s="54"/>
      <c r="I288" s="54"/>
      <c r="J288" s="54"/>
      <c r="K288" s="54"/>
      <c r="L288" s="54"/>
      <c r="M288" s="54"/>
      <c r="N288" s="89"/>
      <c r="P288" s="77" t="str">
        <f>IF(ISBLANK(N283),IFERROR(0/0,""),IFERROR(VLOOKUP(N283, 'Process Ref'!$A$76:$D$124, 2, FALSE), IFERROR(0/0,"")))</f>
        <v/>
      </c>
      <c r="R288" s="78" t="str">
        <f>IFNA(MATCH(A288,'RFR Data - preExcl'!A$2:A447,0),"")</f>
        <v/>
      </c>
      <c r="S288" s="43"/>
      <c r="T288" s="114" t="str">
        <f>IF(AND(NOT(ISBLANK(U288)),NOT(ISBLANK(V288)),NOT(ISBLANK(W288))),CONCATENATE("RUN-",'Process Ref'!$A$1,"_",TEXT(V288,"YYYY-MM-DD"),"_APS-",TEXT(W288,"000")),IFERROR(0/0,""))</f>
        <v/>
      </c>
      <c r="U288" s="8" t="str">
        <f t="shared" si="272"/>
        <v/>
      </c>
      <c r="V288" s="141">
        <v>44872.0</v>
      </c>
      <c r="W288" s="142" t="str">
        <f t="shared" si="273"/>
        <v/>
      </c>
      <c r="X288" s="43"/>
      <c r="AC288" s="70"/>
      <c r="AF288" s="70"/>
      <c r="AJ288" s="7" t="str">
        <f t="shared" ref="AJ288:AL288" si="318">IF(AG288=L288,IFERROR(0/0,""),FALSE)</f>
        <v/>
      </c>
      <c r="AK288" s="7" t="str">
        <f t="shared" si="318"/>
        <v/>
      </c>
      <c r="AL288" s="7" t="str">
        <f t="shared" si="318"/>
        <v/>
      </c>
      <c r="AM288" s="43"/>
    </row>
    <row r="289">
      <c r="C289" s="131"/>
      <c r="D289" s="54"/>
      <c r="E289" s="54"/>
      <c r="F289" s="54"/>
      <c r="G289" s="54"/>
      <c r="H289" s="54"/>
      <c r="I289" s="54"/>
      <c r="J289" s="54"/>
      <c r="K289" s="54"/>
      <c r="L289" s="54"/>
      <c r="M289" s="54"/>
      <c r="N289" s="89"/>
      <c r="P289" s="77" t="str">
        <f>IF(ISBLANK(N284),IFERROR(0/0,""),IFERROR(VLOOKUP(N284, 'Process Ref'!$A$76:$D$124, 2, FALSE), IFERROR(0/0,"")))</f>
        <v/>
      </c>
      <c r="R289" s="78" t="str">
        <f>IFNA(MATCH(A289,'RFR Data - preExcl'!A$2:A447,0),"")</f>
        <v/>
      </c>
      <c r="S289" s="43"/>
      <c r="T289" s="114" t="str">
        <f>IF(AND(NOT(ISBLANK(U289)),NOT(ISBLANK(V289)),NOT(ISBLANK(W289))),CONCATENATE("RUN-",'Process Ref'!$A$1,"_",TEXT(V289,"YYYY-MM-DD"),"_APS-",TEXT(W289,"000")),IFERROR(0/0,""))</f>
        <v/>
      </c>
      <c r="U289" s="8" t="str">
        <f t="shared" si="272"/>
        <v/>
      </c>
      <c r="V289" s="141">
        <v>44873.0</v>
      </c>
      <c r="W289" s="142" t="str">
        <f t="shared" si="273"/>
        <v/>
      </c>
      <c r="X289" s="43"/>
      <c r="AC289" s="70"/>
      <c r="AF289" s="70"/>
      <c r="AJ289" s="7" t="str">
        <f t="shared" ref="AJ289:AL289" si="319">IF(AG289=L289,IFERROR(0/0,""),FALSE)</f>
        <v/>
      </c>
      <c r="AK289" s="7" t="str">
        <f t="shared" si="319"/>
        <v/>
      </c>
      <c r="AL289" s="7" t="str">
        <f t="shared" si="319"/>
        <v/>
      </c>
      <c r="AM289" s="43"/>
    </row>
    <row r="290">
      <c r="C290" s="131"/>
      <c r="D290" s="54"/>
      <c r="E290" s="54"/>
      <c r="F290" s="54"/>
      <c r="G290" s="54"/>
      <c r="H290" s="54"/>
      <c r="I290" s="54"/>
      <c r="J290" s="54"/>
      <c r="K290" s="54"/>
      <c r="L290" s="54"/>
      <c r="M290" s="54"/>
      <c r="N290" s="89"/>
      <c r="P290" s="77" t="str">
        <f>IF(ISBLANK(N285),IFERROR(0/0,""),IFERROR(VLOOKUP(N285, 'Process Ref'!$A$76:$D$124, 2, FALSE), IFERROR(0/0,"")))</f>
        <v/>
      </c>
      <c r="R290" s="78" t="str">
        <f>IFNA(MATCH(A290,'RFR Data - preExcl'!A$2:A447,0),"")</f>
        <v/>
      </c>
      <c r="S290" s="43"/>
      <c r="T290" s="114" t="str">
        <f>IF(AND(NOT(ISBLANK(U290)),NOT(ISBLANK(V290)),NOT(ISBLANK(W290))),CONCATENATE("RUN-",'Process Ref'!$A$1,"_",TEXT(V290,"YYYY-MM-DD"),"_APS-",TEXT(W290,"000")),IFERROR(0/0,""))</f>
        <v/>
      </c>
      <c r="U290" s="8" t="str">
        <f t="shared" si="272"/>
        <v/>
      </c>
      <c r="V290" s="141">
        <v>44874.0</v>
      </c>
      <c r="W290" s="142" t="str">
        <f t="shared" si="273"/>
        <v/>
      </c>
      <c r="X290" s="43"/>
      <c r="AC290" s="70"/>
      <c r="AF290" s="70"/>
      <c r="AJ290" s="7" t="str">
        <f t="shared" ref="AJ290:AL290" si="320">IF(AG290=L290,IFERROR(0/0,""),FALSE)</f>
        <v/>
      </c>
      <c r="AK290" s="7" t="str">
        <f t="shared" si="320"/>
        <v/>
      </c>
      <c r="AL290" s="7" t="str">
        <f t="shared" si="320"/>
        <v/>
      </c>
      <c r="AM290" s="43"/>
    </row>
    <row r="291">
      <c r="C291" s="131"/>
      <c r="D291" s="54"/>
      <c r="E291" s="54"/>
      <c r="F291" s="54"/>
      <c r="G291" s="54"/>
      <c r="H291" s="54"/>
      <c r="I291" s="54"/>
      <c r="J291" s="54"/>
      <c r="K291" s="54"/>
      <c r="L291" s="54"/>
      <c r="M291" s="54"/>
      <c r="N291" s="89"/>
      <c r="P291" s="77" t="str">
        <f>IF(ISBLANK(N286),IFERROR(0/0,""),IFERROR(VLOOKUP(N286, 'Process Ref'!$A$76:$D$124, 2, FALSE), IFERROR(0/0,"")))</f>
        <v/>
      </c>
      <c r="R291" s="78" t="str">
        <f>IFNA(MATCH(A291,'RFR Data - preExcl'!A$2:A447,0),"")</f>
        <v/>
      </c>
      <c r="S291" s="43"/>
      <c r="T291" s="114" t="str">
        <f>IF(AND(NOT(ISBLANK(U291)),NOT(ISBLANK(V291)),NOT(ISBLANK(W291))),CONCATENATE("RUN-",'Process Ref'!$A$1,"_",TEXT(V291,"YYYY-MM-DD"),"_APS-",TEXT(W291,"000")),IFERROR(0/0,""))</f>
        <v/>
      </c>
      <c r="U291" s="8" t="str">
        <f t="shared" si="272"/>
        <v/>
      </c>
      <c r="V291" s="141">
        <v>44875.0</v>
      </c>
      <c r="W291" s="142" t="str">
        <f t="shared" si="273"/>
        <v/>
      </c>
      <c r="X291" s="43"/>
      <c r="AC291" s="70"/>
      <c r="AF291" s="70"/>
      <c r="AJ291" s="7" t="str">
        <f t="shared" ref="AJ291:AL291" si="321">IF(AG291=L291,IFERROR(0/0,""),FALSE)</f>
        <v/>
      </c>
      <c r="AK291" s="7" t="str">
        <f t="shared" si="321"/>
        <v/>
      </c>
      <c r="AL291" s="7" t="str">
        <f t="shared" si="321"/>
        <v/>
      </c>
      <c r="AM291" s="43"/>
    </row>
    <row r="292">
      <c r="C292" s="131"/>
      <c r="D292" s="54"/>
      <c r="E292" s="54"/>
      <c r="F292" s="54"/>
      <c r="G292" s="54"/>
      <c r="H292" s="54"/>
      <c r="I292" s="54"/>
      <c r="J292" s="54"/>
      <c r="K292" s="54"/>
      <c r="L292" s="54"/>
      <c r="M292" s="54"/>
      <c r="N292" s="89"/>
      <c r="P292" s="77" t="str">
        <f>IF(ISBLANK(N287),IFERROR(0/0,""),IFERROR(VLOOKUP(N287, 'Process Ref'!$A$76:$D$124, 2, FALSE), IFERROR(0/0,"")))</f>
        <v/>
      </c>
      <c r="R292" s="78" t="str">
        <f>IFNA(MATCH(A292,'RFR Data - preExcl'!A$2:A447,0),"")</f>
        <v/>
      </c>
      <c r="S292" s="43"/>
      <c r="T292" s="114" t="str">
        <f>IF(AND(NOT(ISBLANK(U292)),NOT(ISBLANK(V292)),NOT(ISBLANK(W292))),CONCATENATE("RUN-",'Process Ref'!$A$1,"_",TEXT(V292,"YYYY-MM-DD"),"_APS-",TEXT(W292,"000")),IFERROR(0/0,""))</f>
        <v/>
      </c>
      <c r="U292" s="8" t="str">
        <f t="shared" si="272"/>
        <v/>
      </c>
      <c r="V292" s="141">
        <v>44876.0</v>
      </c>
      <c r="W292" s="142" t="str">
        <f t="shared" si="273"/>
        <v/>
      </c>
      <c r="X292" s="43"/>
      <c r="AC292" s="70"/>
      <c r="AF292" s="70"/>
      <c r="AJ292" s="7" t="str">
        <f t="shared" ref="AJ292:AL292" si="322">IF(AG292=L292,IFERROR(0/0,""),FALSE)</f>
        <v/>
      </c>
      <c r="AK292" s="7" t="str">
        <f t="shared" si="322"/>
        <v/>
      </c>
      <c r="AL292" s="7" t="str">
        <f t="shared" si="322"/>
        <v/>
      </c>
      <c r="AM292" s="43"/>
    </row>
    <row r="293">
      <c r="C293" s="131"/>
      <c r="D293" s="54"/>
      <c r="E293" s="54"/>
      <c r="F293" s="54"/>
      <c r="G293" s="54"/>
      <c r="H293" s="54"/>
      <c r="I293" s="54"/>
      <c r="J293" s="54"/>
      <c r="K293" s="54"/>
      <c r="L293" s="54"/>
      <c r="M293" s="54"/>
      <c r="N293" s="89"/>
      <c r="P293" s="77" t="str">
        <f>IF(ISBLANK(N288),IFERROR(0/0,""),IFERROR(VLOOKUP(N288, 'Process Ref'!$A$76:$D$124, 2, FALSE), IFERROR(0/0,"")))</f>
        <v/>
      </c>
      <c r="R293" s="78" t="str">
        <f>IFNA(MATCH(A293,'RFR Data - preExcl'!A$2:A447,0),"")</f>
        <v/>
      </c>
      <c r="S293" s="43"/>
      <c r="T293" s="114" t="str">
        <f>IF(AND(NOT(ISBLANK(U293)),NOT(ISBLANK(V293)),NOT(ISBLANK(W293))),CONCATENATE("RUN-",'Process Ref'!$A$1,"_",TEXT(V293,"YYYY-MM-DD"),"_APS-",TEXT(W293,"000")),IFERROR(0/0,""))</f>
        <v/>
      </c>
      <c r="U293" s="8" t="str">
        <f t="shared" si="272"/>
        <v/>
      </c>
      <c r="V293" s="141">
        <v>44879.0</v>
      </c>
      <c r="W293" s="142" t="str">
        <f t="shared" si="273"/>
        <v/>
      </c>
      <c r="X293" s="43"/>
      <c r="AC293" s="70"/>
      <c r="AF293" s="70"/>
      <c r="AJ293" s="7" t="str">
        <f t="shared" ref="AJ293:AL293" si="323">IF(AG293=L293,IFERROR(0/0,""),FALSE)</f>
        <v/>
      </c>
      <c r="AK293" s="7" t="str">
        <f t="shared" si="323"/>
        <v/>
      </c>
      <c r="AL293" s="7" t="str">
        <f t="shared" si="323"/>
        <v/>
      </c>
      <c r="AM293" s="43"/>
    </row>
    <row r="294">
      <c r="C294" s="131"/>
      <c r="D294" s="54"/>
      <c r="E294" s="54"/>
      <c r="F294" s="54"/>
      <c r="G294" s="54"/>
      <c r="H294" s="54"/>
      <c r="I294" s="54"/>
      <c r="J294" s="54"/>
      <c r="K294" s="54"/>
      <c r="L294" s="54"/>
      <c r="M294" s="54"/>
      <c r="N294" s="89"/>
      <c r="P294" s="77" t="str">
        <f>IF(ISBLANK(N289),IFERROR(0/0,""),IFERROR(VLOOKUP(N289, 'Process Ref'!$A$76:$D$124, 2, FALSE), IFERROR(0/0,"")))</f>
        <v/>
      </c>
      <c r="R294" s="78" t="str">
        <f>IFNA(MATCH(A294,'RFR Data - preExcl'!A$2:A447,0),"")</f>
        <v/>
      </c>
      <c r="S294" s="43"/>
      <c r="T294" s="114" t="str">
        <f>IF(AND(NOT(ISBLANK(U294)),NOT(ISBLANK(V294)),NOT(ISBLANK(W294))),CONCATENATE("RUN-",'Process Ref'!$A$1,"_",TEXT(V294,"YYYY-MM-DD"),"_APS-",TEXT(W294,"000")),IFERROR(0/0,""))</f>
        <v/>
      </c>
      <c r="U294" s="8" t="str">
        <f t="shared" si="272"/>
        <v/>
      </c>
      <c r="V294" s="141">
        <v>44880.0</v>
      </c>
      <c r="W294" s="142" t="str">
        <f t="shared" si="273"/>
        <v/>
      </c>
      <c r="X294" s="43"/>
      <c r="AC294" s="70"/>
      <c r="AF294" s="70"/>
      <c r="AJ294" s="7" t="str">
        <f t="shared" ref="AJ294:AL294" si="324">IF(AG294=L294,IFERROR(0/0,""),FALSE)</f>
        <v/>
      </c>
      <c r="AK294" s="7" t="str">
        <f t="shared" si="324"/>
        <v/>
      </c>
      <c r="AL294" s="7" t="str">
        <f t="shared" si="324"/>
        <v/>
      </c>
      <c r="AM294" s="43"/>
    </row>
    <row r="295">
      <c r="C295" s="131"/>
      <c r="D295" s="54"/>
      <c r="E295" s="54"/>
      <c r="F295" s="54"/>
      <c r="G295" s="54"/>
      <c r="H295" s="54"/>
      <c r="I295" s="54"/>
      <c r="J295" s="54"/>
      <c r="K295" s="54"/>
      <c r="L295" s="54"/>
      <c r="M295" s="54"/>
      <c r="N295" s="89"/>
      <c r="P295" s="77" t="str">
        <f>IF(ISBLANK(N290),IFERROR(0/0,""),IFERROR(VLOOKUP(N290, 'Process Ref'!$A$76:$D$124, 2, FALSE), IFERROR(0/0,"")))</f>
        <v/>
      </c>
      <c r="R295" s="78" t="str">
        <f>IFNA(MATCH(A295,'RFR Data - preExcl'!A$2:A447,0),"")</f>
        <v/>
      </c>
      <c r="S295" s="43"/>
      <c r="T295" s="114" t="str">
        <f>IF(AND(NOT(ISBLANK(U295)),NOT(ISBLANK(V295)),NOT(ISBLANK(W295))),CONCATENATE("RUN-",'Process Ref'!$A$1,"_",TEXT(V295,"YYYY-MM-DD"),"_APS-",TEXT(W295,"000")),IFERROR(0/0,""))</f>
        <v/>
      </c>
      <c r="U295" s="8" t="str">
        <f t="shared" si="272"/>
        <v/>
      </c>
      <c r="V295" s="141">
        <v>44881.0</v>
      </c>
      <c r="W295" s="142" t="str">
        <f t="shared" si="273"/>
        <v/>
      </c>
      <c r="X295" s="43"/>
      <c r="AC295" s="70"/>
      <c r="AF295" s="70"/>
      <c r="AJ295" s="7" t="str">
        <f t="shared" ref="AJ295:AL295" si="325">IF(AG295=L295,IFERROR(0/0,""),FALSE)</f>
        <v/>
      </c>
      <c r="AK295" s="7" t="str">
        <f t="shared" si="325"/>
        <v/>
      </c>
      <c r="AL295" s="7" t="str">
        <f t="shared" si="325"/>
        <v/>
      </c>
      <c r="AM295" s="43"/>
    </row>
    <row r="296">
      <c r="C296" s="131"/>
      <c r="D296" s="54"/>
      <c r="E296" s="54"/>
      <c r="F296" s="54"/>
      <c r="G296" s="54"/>
      <c r="H296" s="54"/>
      <c r="I296" s="54"/>
      <c r="J296" s="54"/>
      <c r="K296" s="54"/>
      <c r="L296" s="54"/>
      <c r="M296" s="54"/>
      <c r="N296" s="89"/>
      <c r="P296" s="77" t="str">
        <f>IF(ISBLANK(N291),IFERROR(0/0,""),IFERROR(VLOOKUP(N291, 'Process Ref'!$A$76:$D$124, 2, FALSE), IFERROR(0/0,"")))</f>
        <v/>
      </c>
      <c r="R296" s="78" t="str">
        <f>IFNA(MATCH(A296,'RFR Data - preExcl'!A$2:A447,0),"")</f>
        <v/>
      </c>
      <c r="S296" s="43"/>
      <c r="T296" s="114" t="str">
        <f>IF(AND(NOT(ISBLANK(U296)),NOT(ISBLANK(V296)),NOT(ISBLANK(W296))),CONCATENATE("RUN-",'Process Ref'!$A$1,"_",TEXT(V296,"YYYY-MM-DD"),"_APS-",TEXT(W296,"000")),IFERROR(0/0,""))</f>
        <v/>
      </c>
      <c r="U296" s="8" t="str">
        <f t="shared" si="272"/>
        <v/>
      </c>
      <c r="V296" s="141">
        <v>44882.0</v>
      </c>
      <c r="W296" s="142" t="str">
        <f t="shared" si="273"/>
        <v/>
      </c>
      <c r="X296" s="43"/>
      <c r="AC296" s="70"/>
      <c r="AF296" s="70"/>
      <c r="AJ296" s="7" t="str">
        <f t="shared" ref="AJ296:AL296" si="326">IF(AG296=L296,IFERROR(0/0,""),FALSE)</f>
        <v/>
      </c>
      <c r="AK296" s="7" t="str">
        <f t="shared" si="326"/>
        <v/>
      </c>
      <c r="AL296" s="7" t="str">
        <f t="shared" si="326"/>
        <v/>
      </c>
      <c r="AM296" s="43"/>
    </row>
    <row r="297">
      <c r="C297" s="131"/>
      <c r="D297" s="54"/>
      <c r="E297" s="54"/>
      <c r="F297" s="54"/>
      <c r="G297" s="54"/>
      <c r="H297" s="54"/>
      <c r="I297" s="54"/>
      <c r="J297" s="54"/>
      <c r="K297" s="54"/>
      <c r="L297" s="54"/>
      <c r="M297" s="54"/>
      <c r="N297" s="89"/>
      <c r="P297" s="77" t="str">
        <f>IF(ISBLANK(N292),IFERROR(0/0,""),IFERROR(VLOOKUP(N292, 'Process Ref'!$A$76:$D$124, 2, FALSE), IFERROR(0/0,"")))</f>
        <v/>
      </c>
      <c r="R297" s="78" t="str">
        <f>IFNA(MATCH(A297,'RFR Data - preExcl'!A$2:A447,0),"")</f>
        <v/>
      </c>
      <c r="S297" s="43"/>
      <c r="T297" s="114" t="str">
        <f>IF(AND(NOT(ISBLANK(U297)),NOT(ISBLANK(V297)),NOT(ISBLANK(W297))),CONCATENATE("RUN-",'Process Ref'!$A$1,"_",TEXT(V297,"YYYY-MM-DD"),"_APS-",TEXT(W297,"000")),IFERROR(0/0,""))</f>
        <v/>
      </c>
      <c r="U297" s="8" t="str">
        <f t="shared" si="272"/>
        <v/>
      </c>
      <c r="V297" s="141">
        <v>44883.0</v>
      </c>
      <c r="W297" s="142" t="str">
        <f t="shared" si="273"/>
        <v/>
      </c>
      <c r="X297" s="43"/>
      <c r="AC297" s="70"/>
      <c r="AF297" s="70"/>
      <c r="AJ297" s="7" t="str">
        <f t="shared" ref="AJ297:AL297" si="327">IF(AG297=L297,IFERROR(0/0,""),FALSE)</f>
        <v/>
      </c>
      <c r="AK297" s="7" t="str">
        <f t="shared" si="327"/>
        <v/>
      </c>
      <c r="AL297" s="7" t="str">
        <f t="shared" si="327"/>
        <v/>
      </c>
      <c r="AM297" s="43"/>
    </row>
    <row r="298">
      <c r="C298" s="131"/>
      <c r="D298" s="54"/>
      <c r="E298" s="54"/>
      <c r="F298" s="54"/>
      <c r="G298" s="54"/>
      <c r="H298" s="54"/>
      <c r="I298" s="54"/>
      <c r="J298" s="54"/>
      <c r="K298" s="54"/>
      <c r="L298" s="54"/>
      <c r="M298" s="54"/>
      <c r="N298" s="89"/>
      <c r="P298" s="77" t="str">
        <f>IF(ISBLANK(N293),IFERROR(0/0,""),IFERROR(VLOOKUP(N293, 'Process Ref'!$A$76:$D$124, 2, FALSE), IFERROR(0/0,"")))</f>
        <v/>
      </c>
      <c r="R298" s="78" t="str">
        <f>IFNA(MATCH(A298,'RFR Data - preExcl'!A$2:A447,0),"")</f>
        <v/>
      </c>
      <c r="S298" s="43"/>
      <c r="T298" s="114" t="str">
        <f>IF(AND(NOT(ISBLANK(U298)),NOT(ISBLANK(V298)),NOT(ISBLANK(W298))),CONCATENATE("RUN-",'Process Ref'!$A$1,"_",TEXT(V298,"YYYY-MM-DD"),"_APS-",TEXT(W298,"000")),IFERROR(0/0,""))</f>
        <v/>
      </c>
      <c r="U298" s="8" t="str">
        <f t="shared" si="272"/>
        <v/>
      </c>
      <c r="V298" s="141">
        <v>44884.0</v>
      </c>
      <c r="W298" s="142" t="str">
        <f t="shared" si="273"/>
        <v/>
      </c>
      <c r="X298" s="43"/>
      <c r="AC298" s="70"/>
      <c r="AF298" s="70"/>
      <c r="AJ298" s="7" t="str">
        <f t="shared" ref="AJ298:AL298" si="328">IF(AG298=L298,IFERROR(0/0,""),FALSE)</f>
        <v/>
      </c>
      <c r="AK298" s="7" t="str">
        <f t="shared" si="328"/>
        <v/>
      </c>
      <c r="AL298" s="7" t="str">
        <f t="shared" si="328"/>
        <v/>
      </c>
      <c r="AM298" s="43"/>
    </row>
    <row r="299">
      <c r="C299" s="131"/>
      <c r="D299" s="54"/>
      <c r="E299" s="54"/>
      <c r="F299" s="54"/>
      <c r="G299" s="54"/>
      <c r="H299" s="54"/>
      <c r="I299" s="54"/>
      <c r="J299" s="54"/>
      <c r="K299" s="54"/>
      <c r="L299" s="54"/>
      <c r="M299" s="54"/>
      <c r="N299" s="89"/>
      <c r="P299" s="77" t="str">
        <f>IF(ISBLANK(N294),IFERROR(0/0,""),IFERROR(VLOOKUP(N294, 'Process Ref'!$A$76:$D$124, 2, FALSE), IFERROR(0/0,"")))</f>
        <v/>
      </c>
      <c r="R299" s="78" t="str">
        <f>IFNA(MATCH(A299,'RFR Data - preExcl'!A$2:A447,0),"")</f>
        <v/>
      </c>
      <c r="S299" s="43"/>
      <c r="T299" s="114" t="str">
        <f>IF(AND(NOT(ISBLANK(U299)),NOT(ISBLANK(V299)),NOT(ISBLANK(W299))),CONCATENATE("RUN-",'Process Ref'!$A$1,"_",TEXT(V299,"YYYY-MM-DD"),"_APS-",TEXT(W299,"000")),IFERROR(0/0,""))</f>
        <v/>
      </c>
      <c r="U299" s="8" t="str">
        <f t="shared" si="272"/>
        <v/>
      </c>
      <c r="V299" s="141">
        <v>44885.0</v>
      </c>
      <c r="W299" s="142" t="str">
        <f t="shared" si="273"/>
        <v/>
      </c>
      <c r="X299" s="43"/>
      <c r="AC299" s="70"/>
      <c r="AF299" s="70"/>
      <c r="AJ299" s="7" t="str">
        <f t="shared" ref="AJ299:AL299" si="329">IF(AG299=L299,IFERROR(0/0,""),FALSE)</f>
        <v/>
      </c>
      <c r="AK299" s="7" t="str">
        <f t="shared" si="329"/>
        <v/>
      </c>
      <c r="AL299" s="7" t="str">
        <f t="shared" si="329"/>
        <v/>
      </c>
      <c r="AM299" s="43"/>
    </row>
    <row r="300">
      <c r="C300" s="131"/>
      <c r="D300" s="54"/>
      <c r="E300" s="54"/>
      <c r="F300" s="54"/>
      <c r="G300" s="54"/>
      <c r="H300" s="54"/>
      <c r="I300" s="54"/>
      <c r="J300" s="54"/>
      <c r="K300" s="54"/>
      <c r="L300" s="54"/>
      <c r="M300" s="54"/>
      <c r="N300" s="89"/>
      <c r="P300" s="77" t="str">
        <f>IF(ISBLANK(N295),IFERROR(0/0,""),IFERROR(VLOOKUP(N295, 'Process Ref'!$A$76:$D$124, 2, FALSE), IFERROR(0/0,"")))</f>
        <v/>
      </c>
      <c r="R300" s="78" t="str">
        <f>IFNA(MATCH(A300,'RFR Data - preExcl'!A$2:A447,0),"")</f>
        <v/>
      </c>
      <c r="S300" s="43"/>
      <c r="T300" s="114" t="str">
        <f>IF(AND(NOT(ISBLANK(U300)),NOT(ISBLANK(V300)),NOT(ISBLANK(W300))),CONCATENATE("RUN-",'Process Ref'!$A$1,"_",TEXT(V300,"YYYY-MM-DD"),"_APS-",TEXT(W300,"000")),IFERROR(0/0,""))</f>
        <v/>
      </c>
      <c r="U300" s="8" t="str">
        <f t="shared" si="272"/>
        <v/>
      </c>
      <c r="V300" s="141">
        <v>44886.0</v>
      </c>
      <c r="W300" s="142" t="str">
        <f t="shared" si="273"/>
        <v/>
      </c>
      <c r="X300" s="43"/>
      <c r="AC300" s="70"/>
      <c r="AF300" s="70"/>
      <c r="AJ300" s="7" t="str">
        <f t="shared" ref="AJ300:AL300" si="330">IF(AG300=L300,IFERROR(0/0,""),FALSE)</f>
        <v/>
      </c>
      <c r="AK300" s="7" t="str">
        <f t="shared" si="330"/>
        <v/>
      </c>
      <c r="AL300" s="7" t="str">
        <f t="shared" si="330"/>
        <v/>
      </c>
      <c r="AM300" s="43"/>
    </row>
    <row r="301">
      <c r="C301" s="131"/>
      <c r="D301" s="54"/>
      <c r="E301" s="54"/>
      <c r="F301" s="54"/>
      <c r="G301" s="54"/>
      <c r="H301" s="54"/>
      <c r="I301" s="54"/>
      <c r="J301" s="54"/>
      <c r="K301" s="54"/>
      <c r="L301" s="54"/>
      <c r="M301" s="54"/>
      <c r="N301" s="89"/>
      <c r="P301" s="77" t="str">
        <f>IF(ISBLANK(N296),IFERROR(0/0,""),IFERROR(VLOOKUP(N296, 'Process Ref'!$A$76:$D$124, 2, FALSE), IFERROR(0/0,"")))</f>
        <v/>
      </c>
      <c r="R301" s="78" t="str">
        <f>IFNA(MATCH(A301,'RFR Data - preExcl'!A$2:A447,0),"")</f>
        <v/>
      </c>
      <c r="S301" s="43"/>
      <c r="T301" s="114" t="str">
        <f>IF(AND(NOT(ISBLANK(U301)),NOT(ISBLANK(V301)),NOT(ISBLANK(W301))),CONCATENATE("RUN-",'Process Ref'!$A$1,"_",TEXT(V301,"YYYY-MM-DD"),"_APS-",TEXT(W301,"000")),IFERROR(0/0,""))</f>
        <v/>
      </c>
      <c r="U301" s="8" t="str">
        <f t="shared" si="272"/>
        <v/>
      </c>
      <c r="V301" s="141">
        <v>44887.0</v>
      </c>
      <c r="W301" s="142" t="str">
        <f t="shared" si="273"/>
        <v/>
      </c>
      <c r="X301" s="43"/>
      <c r="AC301" s="70"/>
      <c r="AF301" s="70"/>
      <c r="AJ301" s="7" t="str">
        <f t="shared" ref="AJ301:AL301" si="331">IF(AG301=L301,IFERROR(0/0,""),FALSE)</f>
        <v/>
      </c>
      <c r="AK301" s="7" t="str">
        <f t="shared" si="331"/>
        <v/>
      </c>
      <c r="AL301" s="7" t="str">
        <f t="shared" si="331"/>
        <v/>
      </c>
      <c r="AM301" s="43"/>
    </row>
    <row r="302">
      <c r="C302" s="131"/>
      <c r="D302" s="54"/>
      <c r="E302" s="54"/>
      <c r="F302" s="54"/>
      <c r="G302" s="54"/>
      <c r="H302" s="54"/>
      <c r="I302" s="54"/>
      <c r="J302" s="54"/>
      <c r="K302" s="54"/>
      <c r="L302" s="54"/>
      <c r="M302" s="54"/>
      <c r="N302" s="89"/>
      <c r="P302" s="77" t="str">
        <f>IF(ISBLANK(N297),IFERROR(0/0,""),IFERROR(VLOOKUP(N297, 'Process Ref'!$A$76:$D$124, 2, FALSE), IFERROR(0/0,"")))</f>
        <v/>
      </c>
      <c r="R302" s="78" t="str">
        <f>IFNA(MATCH(A302,'RFR Data - preExcl'!A$2:A447,0),"")</f>
        <v/>
      </c>
      <c r="S302" s="43"/>
      <c r="T302" s="114" t="str">
        <f>IF(AND(NOT(ISBLANK(U302)),NOT(ISBLANK(V302)),NOT(ISBLANK(W302))),CONCATENATE("RUN-",'Process Ref'!$A$1,"_",TEXT(V302,"YYYY-MM-DD"),"_APS-",TEXT(W302,"000")),IFERROR(0/0,""))</f>
        <v/>
      </c>
      <c r="U302" s="8" t="str">
        <f t="shared" si="272"/>
        <v/>
      </c>
      <c r="V302" s="141">
        <v>44890.0</v>
      </c>
      <c r="W302" s="142" t="str">
        <f t="shared" si="273"/>
        <v/>
      </c>
      <c r="X302" s="43"/>
      <c r="AC302" s="70"/>
      <c r="AF302" s="70"/>
      <c r="AJ302" s="7" t="str">
        <f t="shared" ref="AJ302:AL302" si="332">IF(AG302=L302,IFERROR(0/0,""),FALSE)</f>
        <v/>
      </c>
      <c r="AK302" s="7" t="str">
        <f t="shared" si="332"/>
        <v/>
      </c>
      <c r="AL302" s="7" t="str">
        <f t="shared" si="332"/>
        <v/>
      </c>
      <c r="AM302" s="43"/>
    </row>
    <row r="303">
      <c r="C303" s="131"/>
      <c r="D303" s="54"/>
      <c r="E303" s="54"/>
      <c r="F303" s="54"/>
      <c r="G303" s="54"/>
      <c r="H303" s="54"/>
      <c r="I303" s="54"/>
      <c r="J303" s="54"/>
      <c r="K303" s="54"/>
      <c r="L303" s="54"/>
      <c r="M303" s="54"/>
      <c r="N303" s="89"/>
      <c r="P303" s="77" t="str">
        <f>IF(ISBLANK(N298),IFERROR(0/0,""),IFERROR(VLOOKUP(N298, 'Process Ref'!$A$76:$D$124, 2, FALSE), IFERROR(0/0,"")))</f>
        <v/>
      </c>
      <c r="R303" s="78" t="str">
        <f>IFNA(MATCH(A303,'RFR Data - preExcl'!A$2:A447,0),"")</f>
        <v/>
      </c>
      <c r="S303" s="43"/>
      <c r="T303" s="114" t="str">
        <f>IF(AND(NOT(ISBLANK(U303)),NOT(ISBLANK(V303)),NOT(ISBLANK(W303))),CONCATENATE("RUN-",'Process Ref'!$A$1,"_",TEXT(V303,"YYYY-MM-DD"),"_APS-",TEXT(W303,"000")),IFERROR(0/0,""))</f>
        <v/>
      </c>
      <c r="U303" s="8" t="str">
        <f t="shared" si="272"/>
        <v/>
      </c>
      <c r="V303" s="141">
        <v>44892.0</v>
      </c>
      <c r="W303" s="142" t="str">
        <f t="shared" si="273"/>
        <v/>
      </c>
      <c r="X303" s="43"/>
      <c r="AC303" s="70"/>
      <c r="AF303" s="70"/>
      <c r="AJ303" s="7" t="str">
        <f t="shared" ref="AJ303:AL303" si="333">IF(AG303=L303,IFERROR(0/0,""),FALSE)</f>
        <v/>
      </c>
      <c r="AK303" s="7" t="str">
        <f t="shared" si="333"/>
        <v/>
      </c>
      <c r="AL303" s="7" t="str">
        <f t="shared" si="333"/>
        <v/>
      </c>
      <c r="AM303" s="43"/>
    </row>
    <row r="304">
      <c r="C304" s="131"/>
      <c r="D304" s="54"/>
      <c r="E304" s="54"/>
      <c r="F304" s="54"/>
      <c r="G304" s="54"/>
      <c r="H304" s="54"/>
      <c r="I304" s="54"/>
      <c r="J304" s="54"/>
      <c r="K304" s="54"/>
      <c r="L304" s="54"/>
      <c r="M304" s="54"/>
      <c r="N304" s="89"/>
      <c r="P304" s="77" t="str">
        <f>IF(ISBLANK(N299),IFERROR(0/0,""),IFERROR(VLOOKUP(N299, 'Process Ref'!$A$76:$D$124, 2, FALSE), IFERROR(0/0,"")))</f>
        <v/>
      </c>
      <c r="R304" s="78" t="str">
        <f>IFNA(MATCH(A304,'RFR Data - preExcl'!A$2:A447,0),"")</f>
        <v/>
      </c>
      <c r="S304" s="43"/>
      <c r="T304" s="114" t="str">
        <f>IF(AND(NOT(ISBLANK(U304)),NOT(ISBLANK(V304)),NOT(ISBLANK(W304))),CONCATENATE("RUN-",'Process Ref'!$A$1,"_",TEXT(V304,"YYYY-MM-DD"),"_APS-",TEXT(W304,"000")),IFERROR(0/0,""))</f>
        <v/>
      </c>
      <c r="U304" s="8" t="str">
        <f t="shared" si="272"/>
        <v/>
      </c>
      <c r="V304" s="141">
        <v>44893.0</v>
      </c>
      <c r="W304" s="142" t="str">
        <f t="shared" si="273"/>
        <v/>
      </c>
      <c r="X304" s="43"/>
      <c r="AC304" s="70"/>
      <c r="AF304" s="70"/>
      <c r="AJ304" s="7" t="str">
        <f t="shared" ref="AJ304:AL304" si="334">IF(AG304=L304,IFERROR(0/0,""),FALSE)</f>
        <v/>
      </c>
      <c r="AK304" s="7" t="str">
        <f t="shared" si="334"/>
        <v/>
      </c>
      <c r="AL304" s="7" t="str">
        <f t="shared" si="334"/>
        <v/>
      </c>
      <c r="AM304" s="43"/>
    </row>
    <row r="305">
      <c r="C305" s="131"/>
      <c r="D305" s="54"/>
      <c r="E305" s="54"/>
      <c r="F305" s="54"/>
      <c r="G305" s="54"/>
      <c r="H305" s="54"/>
      <c r="I305" s="54"/>
      <c r="J305" s="54"/>
      <c r="K305" s="54"/>
      <c r="L305" s="54"/>
      <c r="M305" s="54"/>
      <c r="N305" s="89"/>
      <c r="P305" s="77" t="str">
        <f>IF(ISBLANK(N300),IFERROR(0/0,""),IFERROR(VLOOKUP(N300, 'Process Ref'!$A$76:$D$124, 2, FALSE), IFERROR(0/0,"")))</f>
        <v/>
      </c>
      <c r="R305" s="78" t="str">
        <f>IFNA(MATCH(A305,'RFR Data - preExcl'!A$2:A447,0),"")</f>
        <v/>
      </c>
      <c r="S305" s="43"/>
      <c r="T305" s="114" t="str">
        <f>IF(AND(NOT(ISBLANK(U305)),NOT(ISBLANK(V305)),NOT(ISBLANK(W305))),CONCATENATE("RUN-",'Process Ref'!$A$1,"_",TEXT(V305,"YYYY-MM-DD"),"_APS-",TEXT(W305,"000")),IFERROR(0/0,""))</f>
        <v/>
      </c>
      <c r="U305" s="8" t="str">
        <f t="shared" si="272"/>
        <v/>
      </c>
      <c r="V305" s="141">
        <v>44894.0</v>
      </c>
      <c r="W305" s="142" t="str">
        <f t="shared" si="273"/>
        <v/>
      </c>
      <c r="X305" s="43"/>
      <c r="AC305" s="70"/>
      <c r="AF305" s="70"/>
      <c r="AJ305" s="7" t="str">
        <f t="shared" ref="AJ305:AL305" si="335">IF(AG305=L305,IFERROR(0/0,""),FALSE)</f>
        <v/>
      </c>
      <c r="AK305" s="7" t="str">
        <f t="shared" si="335"/>
        <v/>
      </c>
      <c r="AL305" s="7" t="str">
        <f t="shared" si="335"/>
        <v/>
      </c>
      <c r="AM305" s="43"/>
    </row>
    <row r="306">
      <c r="C306" s="131"/>
      <c r="D306" s="54"/>
      <c r="E306" s="54"/>
      <c r="F306" s="54"/>
      <c r="G306" s="54"/>
      <c r="H306" s="54"/>
      <c r="I306" s="54"/>
      <c r="J306" s="54"/>
      <c r="K306" s="54"/>
      <c r="L306" s="54"/>
      <c r="M306" s="54"/>
      <c r="N306" s="89"/>
      <c r="P306" s="77" t="str">
        <f>IF(ISBLANK(N301),IFERROR(0/0,""),IFERROR(VLOOKUP(N301, 'Process Ref'!$A$76:$D$124, 2, FALSE), IFERROR(0/0,"")))</f>
        <v/>
      </c>
      <c r="R306" s="78" t="str">
        <f>IFNA(MATCH(A306,'RFR Data - preExcl'!A$2:A447,0),"")</f>
        <v/>
      </c>
      <c r="S306" s="43"/>
      <c r="T306" s="114" t="str">
        <f>IF(AND(NOT(ISBLANK(U306)),NOT(ISBLANK(V306)),NOT(ISBLANK(W306))),CONCATENATE("RUN-",'Process Ref'!$A$1,"_",TEXT(V306,"YYYY-MM-DD"),"_APS-",TEXT(W306,"000")),IFERROR(0/0,""))</f>
        <v/>
      </c>
      <c r="U306" s="8" t="str">
        <f t="shared" si="272"/>
        <v/>
      </c>
      <c r="V306" s="141">
        <v>44895.0</v>
      </c>
      <c r="W306" s="142" t="str">
        <f t="shared" si="273"/>
        <v/>
      </c>
      <c r="X306" s="43"/>
      <c r="AC306" s="70"/>
      <c r="AF306" s="70"/>
      <c r="AJ306" s="7" t="str">
        <f t="shared" ref="AJ306:AL306" si="336">IF(AG306=L306,IFERROR(0/0,""),FALSE)</f>
        <v/>
      </c>
      <c r="AK306" s="7" t="str">
        <f t="shared" si="336"/>
        <v/>
      </c>
      <c r="AL306" s="7" t="str">
        <f t="shared" si="336"/>
        <v/>
      </c>
      <c r="AM306" s="43"/>
    </row>
    <row r="307">
      <c r="C307" s="131"/>
      <c r="D307" s="54"/>
      <c r="E307" s="54"/>
      <c r="F307" s="54"/>
      <c r="G307" s="54"/>
      <c r="H307" s="54"/>
      <c r="I307" s="54"/>
      <c r="J307" s="54"/>
      <c r="K307" s="54"/>
      <c r="L307" s="54"/>
      <c r="M307" s="54"/>
      <c r="N307" s="89"/>
      <c r="P307" s="77" t="str">
        <f>IF(ISBLANK(N302),IFERROR(0/0,""),IFERROR(VLOOKUP(N302, 'Process Ref'!$A$76:$D$124, 2, FALSE), IFERROR(0/0,"")))</f>
        <v/>
      </c>
      <c r="R307" s="78" t="str">
        <f>IFNA(MATCH(A307,'RFR Data - preExcl'!A$2:A447,0),"")</f>
        <v/>
      </c>
      <c r="S307" s="43"/>
      <c r="T307" s="114" t="str">
        <f>IF(AND(NOT(ISBLANK(U307)),NOT(ISBLANK(V307)),NOT(ISBLANK(W307))),CONCATENATE("RUN-",'Process Ref'!$A$1,"_",TEXT(V307,"YYYY-MM-DD"),"_APS-",TEXT(W307,"000")),IFERROR(0/0,""))</f>
        <v/>
      </c>
      <c r="U307" s="8" t="str">
        <f t="shared" si="272"/>
        <v/>
      </c>
      <c r="V307" s="141">
        <v>44896.0</v>
      </c>
      <c r="W307" s="142" t="str">
        <f t="shared" si="273"/>
        <v/>
      </c>
      <c r="X307" s="43"/>
      <c r="AC307" s="70"/>
      <c r="AF307" s="70"/>
      <c r="AJ307" s="7" t="str">
        <f t="shared" ref="AJ307:AL307" si="337">IF(AG307=L307,IFERROR(0/0,""),FALSE)</f>
        <v/>
      </c>
      <c r="AK307" s="7" t="str">
        <f t="shared" si="337"/>
        <v/>
      </c>
      <c r="AL307" s="7" t="str">
        <f t="shared" si="337"/>
        <v/>
      </c>
      <c r="AM307" s="43"/>
    </row>
    <row r="308">
      <c r="C308" s="131"/>
      <c r="D308" s="54"/>
      <c r="E308" s="54"/>
      <c r="F308" s="54"/>
      <c r="G308" s="54"/>
      <c r="H308" s="54"/>
      <c r="I308" s="54"/>
      <c r="J308" s="54"/>
      <c r="K308" s="54"/>
      <c r="L308" s="54"/>
      <c r="M308" s="54"/>
      <c r="N308" s="89"/>
      <c r="P308" s="77" t="str">
        <f>IF(ISBLANK(N303),IFERROR(0/0,""),IFERROR(VLOOKUP(N303, 'Process Ref'!$A$76:$D$124, 2, FALSE), IFERROR(0/0,"")))</f>
        <v/>
      </c>
      <c r="R308" s="78" t="str">
        <f>IFNA(MATCH(A308,'RFR Data - preExcl'!A$2:A447,0),"")</f>
        <v/>
      </c>
      <c r="S308" s="43"/>
      <c r="T308" s="114" t="str">
        <f>IF(AND(NOT(ISBLANK(U308)),NOT(ISBLANK(V308)),NOT(ISBLANK(W308))),CONCATENATE("RUN-",'Process Ref'!$A$1,"_",TEXT(V308,"YYYY-MM-DD"),"_APS-",TEXT(W308,"000")),IFERROR(0/0,""))</f>
        <v/>
      </c>
      <c r="U308" s="8" t="str">
        <f t="shared" si="272"/>
        <v/>
      </c>
      <c r="V308" s="141">
        <v>44897.0</v>
      </c>
      <c r="W308" s="142" t="str">
        <f t="shared" si="273"/>
        <v/>
      </c>
      <c r="X308" s="43"/>
      <c r="AC308" s="70"/>
      <c r="AF308" s="70"/>
      <c r="AJ308" s="7" t="str">
        <f t="shared" ref="AJ308:AL308" si="338">IF(AG308=L308,IFERROR(0/0,""),FALSE)</f>
        <v/>
      </c>
      <c r="AK308" s="7" t="str">
        <f t="shared" si="338"/>
        <v/>
      </c>
      <c r="AL308" s="7" t="str">
        <f t="shared" si="338"/>
        <v/>
      </c>
      <c r="AM308" s="43"/>
    </row>
    <row r="309">
      <c r="C309" s="131"/>
      <c r="D309" s="54"/>
      <c r="E309" s="54"/>
      <c r="F309" s="54"/>
      <c r="G309" s="54"/>
      <c r="H309" s="54"/>
      <c r="I309" s="54"/>
      <c r="J309" s="54"/>
      <c r="K309" s="54"/>
      <c r="L309" s="54"/>
      <c r="M309" s="54"/>
      <c r="N309" s="89"/>
      <c r="P309" s="77" t="str">
        <f>IF(ISBLANK(N304),IFERROR(0/0,""),IFERROR(VLOOKUP(N304, 'Process Ref'!$A$76:$D$124, 2, FALSE), IFERROR(0/0,"")))</f>
        <v/>
      </c>
      <c r="R309" s="78" t="str">
        <f>IFNA(MATCH(A309,'RFR Data - preExcl'!A$2:A447,0),"")</f>
        <v/>
      </c>
      <c r="S309" s="43"/>
      <c r="T309" s="114" t="str">
        <f>IF(AND(NOT(ISBLANK(U309)),NOT(ISBLANK(V309)),NOT(ISBLANK(W309))),CONCATENATE("RUN-",'Process Ref'!$A$1,"_",TEXT(V309,"YYYY-MM-DD"),"_APS-",TEXT(W309,"000")),IFERROR(0/0,""))</f>
        <v/>
      </c>
      <c r="U309" s="8" t="str">
        <f t="shared" si="272"/>
        <v/>
      </c>
      <c r="V309" s="141">
        <v>44900.0</v>
      </c>
      <c r="W309" s="142" t="str">
        <f t="shared" si="273"/>
        <v/>
      </c>
      <c r="X309" s="43"/>
      <c r="AC309" s="70"/>
      <c r="AF309" s="70"/>
      <c r="AJ309" s="7" t="str">
        <f t="shared" ref="AJ309:AL309" si="339">IF(AG309=L309,IFERROR(0/0,""),FALSE)</f>
        <v/>
      </c>
      <c r="AK309" s="7" t="str">
        <f t="shared" si="339"/>
        <v/>
      </c>
      <c r="AL309" s="7" t="str">
        <f t="shared" si="339"/>
        <v/>
      </c>
      <c r="AM309" s="43"/>
    </row>
    <row r="310">
      <c r="C310" s="131"/>
      <c r="D310" s="54"/>
      <c r="E310" s="54"/>
      <c r="F310" s="54"/>
      <c r="G310" s="54"/>
      <c r="H310" s="54"/>
      <c r="I310" s="54"/>
      <c r="J310" s="54"/>
      <c r="K310" s="54"/>
      <c r="L310" s="54"/>
      <c r="M310" s="54"/>
      <c r="N310" s="89"/>
      <c r="P310" s="77" t="str">
        <f>IF(ISBLANK(N305),IFERROR(0/0,""),IFERROR(VLOOKUP(N305, 'Process Ref'!$A$76:$D$124, 2, FALSE), IFERROR(0/0,"")))</f>
        <v/>
      </c>
      <c r="R310" s="78" t="str">
        <f>IFNA(MATCH(A310,'RFR Data - preExcl'!A$2:A447,0),"")</f>
        <v/>
      </c>
      <c r="S310" s="43"/>
      <c r="T310" s="114" t="str">
        <f>IF(AND(NOT(ISBLANK(U310)),NOT(ISBLANK(V310)),NOT(ISBLANK(W310))),CONCATENATE("RUN-",'Process Ref'!$A$1,"_",TEXT(V310,"YYYY-MM-DD"),"_APS-",TEXT(W310,"000")),IFERROR(0/0,""))</f>
        <v/>
      </c>
      <c r="U310" s="8" t="str">
        <f t="shared" si="272"/>
        <v/>
      </c>
      <c r="V310" s="141">
        <v>44901.0</v>
      </c>
      <c r="W310" s="142" t="str">
        <f t="shared" si="273"/>
        <v/>
      </c>
      <c r="X310" s="43"/>
      <c r="AC310" s="70"/>
      <c r="AF310" s="70"/>
      <c r="AJ310" s="7" t="str">
        <f t="shared" ref="AJ310:AL310" si="340">IF(AG310=L310,IFERROR(0/0,""),FALSE)</f>
        <v/>
      </c>
      <c r="AK310" s="7" t="str">
        <f t="shared" si="340"/>
        <v/>
      </c>
      <c r="AL310" s="7" t="str">
        <f t="shared" si="340"/>
        <v/>
      </c>
      <c r="AM310" s="43"/>
    </row>
    <row r="311">
      <c r="C311" s="131"/>
      <c r="D311" s="54"/>
      <c r="E311" s="54"/>
      <c r="F311" s="54"/>
      <c r="G311" s="54"/>
      <c r="H311" s="54"/>
      <c r="I311" s="54"/>
      <c r="J311" s="54"/>
      <c r="K311" s="54"/>
      <c r="L311" s="54"/>
      <c r="M311" s="54"/>
      <c r="N311" s="89"/>
      <c r="P311" s="77" t="str">
        <f>IF(ISBLANK(N306),IFERROR(0/0,""),IFERROR(VLOOKUP(N306, 'Process Ref'!$A$76:$D$124, 2, FALSE), IFERROR(0/0,"")))</f>
        <v/>
      </c>
      <c r="R311" s="78" t="str">
        <f>IFNA(MATCH(A311,'RFR Data - preExcl'!A$2:A447,0),"")</f>
        <v/>
      </c>
      <c r="S311" s="43"/>
      <c r="T311" s="114" t="str">
        <f>IF(AND(NOT(ISBLANK(U311)),NOT(ISBLANK(V311)),NOT(ISBLANK(W311))),CONCATENATE("RUN-",'Process Ref'!$A$1,"_",TEXT(V311,"YYYY-MM-DD"),"_APS-",TEXT(W311,"000")),IFERROR(0/0,""))</f>
        <v/>
      </c>
      <c r="U311" s="8" t="str">
        <f t="shared" si="272"/>
        <v/>
      </c>
      <c r="V311" s="141">
        <v>44902.0</v>
      </c>
      <c r="W311" s="142" t="str">
        <f t="shared" si="273"/>
        <v/>
      </c>
      <c r="X311" s="43"/>
      <c r="AC311" s="70"/>
      <c r="AF311" s="70"/>
      <c r="AJ311" s="7" t="str">
        <f t="shared" ref="AJ311:AL311" si="341">IF(AG311=L311,IFERROR(0/0,""),FALSE)</f>
        <v/>
      </c>
      <c r="AK311" s="7" t="str">
        <f t="shared" si="341"/>
        <v/>
      </c>
      <c r="AL311" s="7" t="str">
        <f t="shared" si="341"/>
        <v/>
      </c>
      <c r="AM311" s="43"/>
    </row>
    <row r="312">
      <c r="C312" s="131"/>
      <c r="D312" s="54"/>
      <c r="E312" s="54"/>
      <c r="F312" s="54"/>
      <c r="G312" s="54"/>
      <c r="H312" s="54"/>
      <c r="I312" s="54"/>
      <c r="J312" s="54"/>
      <c r="K312" s="54"/>
      <c r="L312" s="54"/>
      <c r="M312" s="54"/>
      <c r="N312" s="89"/>
      <c r="P312" s="77" t="str">
        <f>IF(ISBLANK(N307),IFERROR(0/0,""),IFERROR(VLOOKUP(N307, 'Process Ref'!$A$76:$D$124, 2, FALSE), IFERROR(0/0,"")))</f>
        <v/>
      </c>
      <c r="R312" s="78" t="str">
        <f>IFNA(MATCH(A312,'RFR Data - preExcl'!A$2:A447,0),"")</f>
        <v/>
      </c>
      <c r="S312" s="43"/>
      <c r="T312" s="114" t="str">
        <f>IF(AND(NOT(ISBLANK(U312)),NOT(ISBLANK(V312)),NOT(ISBLANK(W312))),CONCATENATE("RUN-",'Process Ref'!$A$1,"_",TEXT(V312,"YYYY-MM-DD"),"_APS-",TEXT(W312,"000")),IFERROR(0/0,""))</f>
        <v/>
      </c>
      <c r="U312" s="8" t="str">
        <f t="shared" si="272"/>
        <v/>
      </c>
      <c r="V312" s="141">
        <v>44903.0</v>
      </c>
      <c r="W312" s="142" t="str">
        <f t="shared" si="273"/>
        <v/>
      </c>
      <c r="X312" s="43"/>
      <c r="AC312" s="70"/>
      <c r="AF312" s="70"/>
      <c r="AJ312" s="7" t="str">
        <f t="shared" ref="AJ312:AL312" si="342">IF(AG312=L312,IFERROR(0/0,""),FALSE)</f>
        <v/>
      </c>
      <c r="AK312" s="7" t="str">
        <f t="shared" si="342"/>
        <v/>
      </c>
      <c r="AL312" s="7" t="str">
        <f t="shared" si="342"/>
        <v/>
      </c>
      <c r="AM312" s="43"/>
    </row>
    <row r="313">
      <c r="C313" s="131"/>
      <c r="D313" s="54"/>
      <c r="E313" s="54"/>
      <c r="F313" s="54"/>
      <c r="G313" s="54"/>
      <c r="H313" s="54"/>
      <c r="I313" s="54"/>
      <c r="J313" s="54"/>
      <c r="K313" s="54"/>
      <c r="L313" s="54"/>
      <c r="M313" s="54"/>
      <c r="N313" s="89"/>
      <c r="P313" s="77" t="str">
        <f>IF(ISBLANK(N308),IFERROR(0/0,""),IFERROR(VLOOKUP(N308, 'Process Ref'!$A$76:$D$124, 2, FALSE), IFERROR(0/0,"")))</f>
        <v/>
      </c>
      <c r="R313" s="78" t="str">
        <f>IFNA(MATCH(A313,'RFR Data - preExcl'!A$2:A447,0),"")</f>
        <v/>
      </c>
      <c r="S313" s="43"/>
      <c r="T313" s="114" t="str">
        <f>IF(AND(NOT(ISBLANK(U313)),NOT(ISBLANK(V313)),NOT(ISBLANK(W313))),CONCATENATE("RUN-",'Process Ref'!$A$1,"_",TEXT(V313,"YYYY-MM-DD"),"_APS-",TEXT(W313,"000")),IFERROR(0/0,""))</f>
        <v/>
      </c>
      <c r="U313" s="8" t="str">
        <f t="shared" si="272"/>
        <v/>
      </c>
      <c r="V313" s="141">
        <v>44904.0</v>
      </c>
      <c r="W313" s="142" t="str">
        <f t="shared" si="273"/>
        <v/>
      </c>
      <c r="X313" s="43"/>
      <c r="AC313" s="70"/>
      <c r="AF313" s="70"/>
      <c r="AJ313" s="7" t="str">
        <f t="shared" ref="AJ313:AL313" si="343">IF(AG313=L313,IFERROR(0/0,""),FALSE)</f>
        <v/>
      </c>
      <c r="AK313" s="7" t="str">
        <f t="shared" si="343"/>
        <v/>
      </c>
      <c r="AL313" s="7" t="str">
        <f t="shared" si="343"/>
        <v/>
      </c>
      <c r="AM313" s="43"/>
    </row>
    <row r="314">
      <c r="C314" s="131"/>
      <c r="D314" s="54"/>
      <c r="E314" s="54"/>
      <c r="F314" s="54"/>
      <c r="G314" s="54"/>
      <c r="H314" s="54"/>
      <c r="I314" s="54"/>
      <c r="J314" s="54"/>
      <c r="K314" s="54"/>
      <c r="L314" s="54"/>
      <c r="M314" s="54"/>
      <c r="N314" s="89"/>
      <c r="P314" s="77" t="str">
        <f>IF(ISBLANK(N309),IFERROR(0/0,""),IFERROR(VLOOKUP(N309, 'Process Ref'!$A$76:$D$124, 2, FALSE), IFERROR(0/0,"")))</f>
        <v/>
      </c>
      <c r="R314" s="78" t="str">
        <f>IFNA(MATCH(A314,'RFR Data - preExcl'!A$2:A447,0),"")</f>
        <v/>
      </c>
      <c r="S314" s="43"/>
      <c r="T314" s="114" t="str">
        <f>IF(AND(NOT(ISBLANK(U314)),NOT(ISBLANK(V314)),NOT(ISBLANK(W314))),CONCATENATE("RUN-",'Process Ref'!$A$1,"_",TEXT(V314,"YYYY-MM-DD"),"_APS-",TEXT(W314,"000")),IFERROR(0/0,""))</f>
        <v/>
      </c>
      <c r="U314" s="8" t="str">
        <f t="shared" si="272"/>
        <v/>
      </c>
      <c r="V314" s="141">
        <v>44907.0</v>
      </c>
      <c r="W314" s="142" t="str">
        <f t="shared" si="273"/>
        <v/>
      </c>
      <c r="X314" s="43"/>
      <c r="AC314" s="70"/>
      <c r="AF314" s="70"/>
      <c r="AJ314" s="7" t="str">
        <f t="shared" ref="AJ314:AL314" si="344">IF(AG314=L314,IFERROR(0/0,""),FALSE)</f>
        <v/>
      </c>
      <c r="AK314" s="7" t="str">
        <f t="shared" si="344"/>
        <v/>
      </c>
      <c r="AL314" s="7" t="str">
        <f t="shared" si="344"/>
        <v/>
      </c>
      <c r="AM314" s="43"/>
    </row>
    <row r="315">
      <c r="C315" s="131"/>
      <c r="D315" s="54"/>
      <c r="E315" s="54"/>
      <c r="F315" s="54"/>
      <c r="G315" s="54"/>
      <c r="H315" s="54"/>
      <c r="I315" s="54"/>
      <c r="J315" s="54"/>
      <c r="K315" s="54"/>
      <c r="L315" s="54"/>
      <c r="M315" s="54"/>
      <c r="N315" s="89"/>
      <c r="P315" s="77" t="str">
        <f>IF(ISBLANK(N310),IFERROR(0/0,""),IFERROR(VLOOKUP(N310, 'Process Ref'!$A$76:$D$124, 2, FALSE), IFERROR(0/0,"")))</f>
        <v/>
      </c>
      <c r="R315" s="78" t="str">
        <f>IFNA(MATCH(A315,'RFR Data - preExcl'!A$2:A447,0),"")</f>
        <v/>
      </c>
      <c r="S315" s="43"/>
      <c r="T315" s="114" t="str">
        <f>IF(AND(NOT(ISBLANK(U315)),NOT(ISBLANK(V315)),NOT(ISBLANK(W315))),CONCATENATE("RUN-",'Process Ref'!$A$1,"_",TEXT(V315,"YYYY-MM-DD"),"_APS-",TEXT(W315,"000")),IFERROR(0/0,""))</f>
        <v/>
      </c>
      <c r="U315" s="8" t="str">
        <f t="shared" si="272"/>
        <v/>
      </c>
      <c r="V315" s="141">
        <v>44908.0</v>
      </c>
      <c r="W315" s="142" t="str">
        <f t="shared" si="273"/>
        <v/>
      </c>
      <c r="X315" s="43"/>
      <c r="AC315" s="70"/>
      <c r="AF315" s="70"/>
      <c r="AG315" s="12"/>
      <c r="AJ315" s="7" t="str">
        <f t="shared" ref="AJ315:AL315" si="345">IF(AG315=L315,IFERROR(0/0,""),FALSE)</f>
        <v/>
      </c>
      <c r="AK315" s="7" t="str">
        <f t="shared" si="345"/>
        <v/>
      </c>
      <c r="AL315" s="7" t="str">
        <f t="shared" si="345"/>
        <v/>
      </c>
      <c r="AM315" s="43"/>
    </row>
    <row r="316">
      <c r="C316" s="131"/>
      <c r="D316" s="54"/>
      <c r="E316" s="54"/>
      <c r="F316" s="54"/>
      <c r="G316" s="54"/>
      <c r="H316" s="54"/>
      <c r="I316" s="54"/>
      <c r="J316" s="54"/>
      <c r="K316" s="54"/>
      <c r="L316" s="54"/>
      <c r="M316" s="54"/>
      <c r="N316" s="89"/>
      <c r="P316" s="77" t="str">
        <f>IF(ISBLANK(N311),IFERROR(0/0,""),IFERROR(VLOOKUP(N311, 'Process Ref'!$A$76:$D$124, 2, FALSE), IFERROR(0/0,"")))</f>
        <v/>
      </c>
      <c r="R316" s="78" t="str">
        <f>IFNA(MATCH(A316,'RFR Data - preExcl'!A$2:A447,0),"")</f>
        <v/>
      </c>
      <c r="S316" s="43"/>
      <c r="T316" s="114" t="str">
        <f>IF(AND(NOT(ISBLANK(U316)),NOT(ISBLANK(V316)),NOT(ISBLANK(W316))),CONCATENATE("RUN-",'Process Ref'!$A$1,"_",TEXT(V316,"YYYY-MM-DD"),"_APS-",TEXT(W316,"000")),IFERROR(0/0,""))</f>
        <v/>
      </c>
      <c r="U316" s="8" t="str">
        <f t="shared" si="272"/>
        <v/>
      </c>
      <c r="V316" s="141">
        <v>44911.0</v>
      </c>
      <c r="W316" s="142" t="str">
        <f t="shared" si="273"/>
        <v/>
      </c>
      <c r="X316" s="43"/>
      <c r="AC316" s="70"/>
      <c r="AF316" s="70"/>
      <c r="AG316" s="12"/>
      <c r="AJ316" s="7" t="str">
        <f t="shared" ref="AJ316:AL316" si="346">IF(AG316=L316,IFERROR(0/0,""),FALSE)</f>
        <v/>
      </c>
      <c r="AK316" s="7" t="str">
        <f t="shared" si="346"/>
        <v/>
      </c>
      <c r="AL316" s="7" t="str">
        <f t="shared" si="346"/>
        <v/>
      </c>
      <c r="AM316" s="43"/>
    </row>
    <row r="317">
      <c r="C317" s="131"/>
      <c r="D317" s="54"/>
      <c r="E317" s="54"/>
      <c r="F317" s="54"/>
      <c r="G317" s="54"/>
      <c r="H317" s="54"/>
      <c r="I317" s="54"/>
      <c r="J317" s="54"/>
      <c r="K317" s="54"/>
      <c r="L317" s="54"/>
      <c r="M317" s="54"/>
      <c r="N317" s="89"/>
      <c r="P317" s="77" t="str">
        <f>IF(ISBLANK(N312),IFERROR(0/0,""),IFERROR(VLOOKUP(N312, 'Process Ref'!$A$76:$D$124, 2, FALSE), IFERROR(0/0,"")))</f>
        <v/>
      </c>
      <c r="R317" s="78" t="str">
        <f>IFNA(MATCH(A317,'RFR Data - preExcl'!A$2:A447,0),"")</f>
        <v/>
      </c>
      <c r="S317" s="43"/>
      <c r="T317" s="114" t="str">
        <f>IF(AND(NOT(ISBLANK(U317)),NOT(ISBLANK(V317)),NOT(ISBLANK(W317))),CONCATENATE("RUN-",'Process Ref'!$A$1,"_",TEXT(V317,"YYYY-MM-DD"),"_APS-",TEXT(W317,"000")),IFERROR(0/0,""))</f>
        <v/>
      </c>
      <c r="U317" s="8" t="str">
        <f t="shared" si="272"/>
        <v/>
      </c>
      <c r="V317" s="141">
        <v>44914.0</v>
      </c>
      <c r="W317" s="142" t="str">
        <f t="shared" si="273"/>
        <v/>
      </c>
      <c r="X317" s="43"/>
      <c r="AC317" s="70"/>
      <c r="AF317" s="70"/>
      <c r="AG317" s="12"/>
      <c r="AJ317" s="7" t="str">
        <f t="shared" ref="AJ317:AL317" si="347">IF(AG317=L317,IFERROR(0/0,""),FALSE)</f>
        <v/>
      </c>
      <c r="AK317" s="7" t="str">
        <f t="shared" si="347"/>
        <v/>
      </c>
      <c r="AL317" s="7" t="str">
        <f t="shared" si="347"/>
        <v/>
      </c>
      <c r="AM317" s="43"/>
    </row>
    <row r="318">
      <c r="C318" s="131"/>
      <c r="D318" s="54"/>
      <c r="E318" s="54"/>
      <c r="F318" s="54"/>
      <c r="G318" s="54"/>
      <c r="H318" s="54"/>
      <c r="I318" s="54"/>
      <c r="J318" s="54"/>
      <c r="K318" s="54"/>
      <c r="L318" s="54"/>
      <c r="M318" s="54"/>
      <c r="N318" s="89"/>
      <c r="P318" s="77" t="str">
        <f>IF(ISBLANK(N313),IFERROR(0/0,""),IFERROR(VLOOKUP(N313, 'Process Ref'!$A$76:$D$124, 2, FALSE), IFERROR(0/0,"")))</f>
        <v/>
      </c>
      <c r="R318" s="78" t="str">
        <f>IFNA(MATCH(A318,'RFR Data - preExcl'!A$2:A447,0),"")</f>
        <v/>
      </c>
      <c r="S318" s="43"/>
      <c r="T318" s="114" t="str">
        <f>IF(AND(NOT(ISBLANK(U318)),NOT(ISBLANK(V318)),NOT(ISBLANK(W318))),CONCATENATE("RUN-",'Process Ref'!$A$1,"_",TEXT(V318,"YYYY-MM-DD"),"_APS-",TEXT(W318,"000")),IFERROR(0/0,""))</f>
        <v/>
      </c>
      <c r="U318" s="8" t="str">
        <f t="shared" si="272"/>
        <v/>
      </c>
      <c r="V318" s="141">
        <v>44915.0</v>
      </c>
      <c r="W318" s="142" t="str">
        <f t="shared" si="273"/>
        <v/>
      </c>
      <c r="X318" s="43"/>
      <c r="AC318" s="70"/>
      <c r="AF318" s="70"/>
      <c r="AG318" s="12"/>
      <c r="AJ318" s="7" t="str">
        <f t="shared" ref="AJ318:AL318" si="348">IF(AG318=L318,IFERROR(0/0,""),FALSE)</f>
        <v/>
      </c>
      <c r="AK318" s="7" t="str">
        <f t="shared" si="348"/>
        <v/>
      </c>
      <c r="AL318" s="7" t="str">
        <f t="shared" si="348"/>
        <v/>
      </c>
      <c r="AM318" s="43"/>
    </row>
    <row r="319">
      <c r="C319" s="131"/>
      <c r="D319" s="54"/>
      <c r="E319" s="54"/>
      <c r="F319" s="54"/>
      <c r="G319" s="54"/>
      <c r="H319" s="54"/>
      <c r="I319" s="54"/>
      <c r="J319" s="54"/>
      <c r="K319" s="54"/>
      <c r="L319" s="54"/>
      <c r="M319" s="54"/>
      <c r="N319" s="89"/>
      <c r="P319" s="77" t="str">
        <f>IF(ISBLANK(N314),IFERROR(0/0,""),IFERROR(VLOOKUP(N314, 'Process Ref'!$A$76:$D$124, 2, FALSE), IFERROR(0/0,"")))</f>
        <v/>
      </c>
      <c r="R319" s="78" t="str">
        <f>IFNA(MATCH(A319,'RFR Data - preExcl'!A$2:A447,0),"")</f>
        <v/>
      </c>
      <c r="S319" s="43"/>
      <c r="T319" s="114" t="str">
        <f>IF(AND(NOT(ISBLANK(U319)),NOT(ISBLANK(V319)),NOT(ISBLANK(W319))),CONCATENATE("RUN-",'Process Ref'!$A$1,"_",TEXT(V319,"YYYY-MM-DD"),"_APS-",TEXT(W319,"000")),IFERROR(0/0,""))</f>
        <v>RUN-ABRM_2022-12-21_APS-001</v>
      </c>
      <c r="U319" s="141">
        <v>44916.0</v>
      </c>
      <c r="V319" s="141">
        <v>44916.0</v>
      </c>
      <c r="W319" s="142">
        <f t="shared" si="273"/>
        <v>1</v>
      </c>
      <c r="X319" s="43"/>
      <c r="AC319" s="70"/>
      <c r="AF319" s="70"/>
      <c r="AG319" s="12"/>
      <c r="AJ319" s="7" t="str">
        <f t="shared" ref="AJ319:AL319" si="349">IF(AG319=L319,IFERROR(0/0,""),FALSE)</f>
        <v/>
      </c>
      <c r="AK319" s="7" t="str">
        <f t="shared" si="349"/>
        <v/>
      </c>
      <c r="AL319" s="7" t="str">
        <f t="shared" si="349"/>
        <v/>
      </c>
      <c r="AM319" s="43"/>
    </row>
    <row r="320">
      <c r="C320" s="131"/>
      <c r="D320" s="54"/>
      <c r="E320" s="54"/>
      <c r="F320" s="54"/>
      <c r="G320" s="54"/>
      <c r="H320" s="54"/>
      <c r="I320" s="54"/>
      <c r="J320" s="54"/>
      <c r="K320" s="54"/>
      <c r="L320" s="54"/>
      <c r="M320" s="54"/>
      <c r="N320" s="89"/>
      <c r="P320" s="77" t="str">
        <f>IF(ISBLANK(N315),IFERROR(0/0,""),IFERROR(VLOOKUP(N315, 'Process Ref'!$A$76:$D$124, 2, FALSE), IFERROR(0/0,"")))</f>
        <v/>
      </c>
      <c r="R320" s="78" t="str">
        <f>IFNA(MATCH(A320,'RFR Data - preExcl'!A$2:A447,0),"")</f>
        <v/>
      </c>
      <c r="S320" s="43"/>
      <c r="T320" s="114" t="str">
        <f>IF(AND(NOT(ISBLANK(U320)),NOT(ISBLANK(V320)),NOT(ISBLANK(W320))),CONCATENATE("RUN-",'Process Ref'!$A$1,"_",TEXT(V320,"YYYY-MM-DD"),"_APS-",TEXT(W320,"000")),IFERROR(0/0,""))</f>
        <v/>
      </c>
      <c r="U320" s="8" t="str">
        <f t="shared" ref="U320:U335" si="351">IF(COUNTIF(U$2:U$242,V320)=0,V320,IFERROR(0/0,""))</f>
        <v/>
      </c>
      <c r="V320" s="141">
        <v>44917.0</v>
      </c>
      <c r="W320" s="142" t="str">
        <f t="shared" si="273"/>
        <v/>
      </c>
      <c r="X320" s="43"/>
      <c r="AC320" s="70"/>
      <c r="AF320" s="70"/>
      <c r="AG320" s="12"/>
      <c r="AJ320" s="7" t="str">
        <f t="shared" ref="AJ320:AL320" si="350">IF(AG320=L320,IFERROR(0/0,""),FALSE)</f>
        <v/>
      </c>
      <c r="AK320" s="7" t="str">
        <f t="shared" si="350"/>
        <v/>
      </c>
      <c r="AL320" s="7" t="str">
        <f t="shared" si="350"/>
        <v/>
      </c>
      <c r="AM320" s="43"/>
    </row>
    <row r="321">
      <c r="C321" s="131"/>
      <c r="D321" s="54"/>
      <c r="E321" s="54"/>
      <c r="F321" s="54"/>
      <c r="G321" s="54"/>
      <c r="H321" s="54"/>
      <c r="I321" s="54"/>
      <c r="J321" s="54"/>
      <c r="K321" s="54"/>
      <c r="L321" s="54"/>
      <c r="M321" s="54"/>
      <c r="N321" s="89"/>
      <c r="P321" s="77" t="str">
        <f>IF(ISBLANK(N316),IFERROR(0/0,""),IFERROR(VLOOKUP(N316, 'Process Ref'!$A$76:$D$124, 2, FALSE), IFERROR(0/0,"")))</f>
        <v/>
      </c>
      <c r="R321" s="78" t="str">
        <f>IFNA(MATCH(A321,'RFR Data - preExcl'!A$2:A447,0),"")</f>
        <v/>
      </c>
      <c r="S321" s="43"/>
      <c r="T321" s="114" t="str">
        <f>IF(AND(NOT(ISBLANK(U321)),NOT(ISBLANK(V321)),NOT(ISBLANK(W321))),CONCATENATE("RUN-",'Process Ref'!$A$1,"_",TEXT(V321,"YYYY-MM-DD"),"_APS-",TEXT(W321,"000")),IFERROR(0/0,""))</f>
        <v/>
      </c>
      <c r="U321" s="8" t="str">
        <f t="shared" si="351"/>
        <v/>
      </c>
      <c r="V321" s="141">
        <v>44928.0</v>
      </c>
      <c r="W321" s="142" t="str">
        <f t="shared" si="273"/>
        <v/>
      </c>
      <c r="X321" s="43"/>
      <c r="AC321" s="70"/>
      <c r="AF321" s="70"/>
      <c r="AG321" s="12"/>
      <c r="AJ321" s="7" t="str">
        <f t="shared" ref="AJ321:AL321" si="352">IF(AG321=L321,IFERROR(0/0,""),FALSE)</f>
        <v/>
      </c>
      <c r="AK321" s="7" t="str">
        <f t="shared" si="352"/>
        <v/>
      </c>
      <c r="AL321" s="7" t="str">
        <f t="shared" si="352"/>
        <v/>
      </c>
      <c r="AM321" s="43"/>
    </row>
    <row r="322">
      <c r="C322" s="131"/>
      <c r="D322" s="54"/>
      <c r="E322" s="54"/>
      <c r="F322" s="54"/>
      <c r="G322" s="54"/>
      <c r="H322" s="54"/>
      <c r="I322" s="54"/>
      <c r="J322" s="54"/>
      <c r="K322" s="54"/>
      <c r="L322" s="54"/>
      <c r="M322" s="54"/>
      <c r="N322" s="89"/>
      <c r="P322" s="77" t="str">
        <f>IF(ISBLANK(N317),IFERROR(0/0,""),IFERROR(VLOOKUP(N317, 'Process Ref'!$A$76:$D$124, 2, FALSE), IFERROR(0/0,"")))</f>
        <v/>
      </c>
      <c r="R322" s="78" t="str">
        <f>IFNA(MATCH(A322,'RFR Data - preExcl'!A$2:A447,0),"")</f>
        <v/>
      </c>
      <c r="S322" s="43"/>
      <c r="T322" s="114" t="str">
        <f>IF(AND(NOT(ISBLANK(U322)),NOT(ISBLANK(V322)),NOT(ISBLANK(W322))),CONCATENATE("RUN-",'Process Ref'!$A$1,"_",TEXT(V322,"YYYY-MM-DD"),"_APS-",TEXT(W322,"000")),IFERROR(0/0,""))</f>
        <v/>
      </c>
      <c r="U322" s="8" t="str">
        <f t="shared" si="351"/>
        <v/>
      </c>
      <c r="V322" s="141">
        <v>44929.0</v>
      </c>
      <c r="W322" s="142" t="str">
        <f t="shared" si="273"/>
        <v/>
      </c>
      <c r="X322" s="43"/>
      <c r="AC322" s="70"/>
      <c r="AF322" s="70"/>
      <c r="AG322" s="12"/>
      <c r="AJ322" s="7" t="str">
        <f t="shared" ref="AJ322:AL322" si="353">IF(AG322=L322,IFERROR(0/0,""),FALSE)</f>
        <v/>
      </c>
      <c r="AK322" s="7" t="str">
        <f t="shared" si="353"/>
        <v/>
      </c>
      <c r="AL322" s="7" t="str">
        <f t="shared" si="353"/>
        <v/>
      </c>
      <c r="AM322" s="43"/>
    </row>
    <row r="323">
      <c r="C323" s="131"/>
      <c r="D323" s="54"/>
      <c r="E323" s="54"/>
      <c r="F323" s="54"/>
      <c r="G323" s="54"/>
      <c r="H323" s="54"/>
      <c r="I323" s="54"/>
      <c r="J323" s="54"/>
      <c r="K323" s="54"/>
      <c r="L323" s="54"/>
      <c r="M323" s="54"/>
      <c r="N323" s="89"/>
      <c r="P323" s="77" t="str">
        <f>IF(ISBLANK(N318),IFERROR(0/0,""),IFERROR(VLOOKUP(N318, 'Process Ref'!$A$76:$D$124, 2, FALSE), IFERROR(0/0,"")))</f>
        <v/>
      </c>
      <c r="R323" s="78" t="str">
        <f>IFNA(MATCH(A323,'RFR Data - preExcl'!A$2:A447,0),"")</f>
        <v/>
      </c>
      <c r="S323" s="43"/>
      <c r="T323" s="114" t="str">
        <f>IF(AND(NOT(ISBLANK(U323)),NOT(ISBLANK(V323)),NOT(ISBLANK(W323))),CONCATENATE("RUN-",'Process Ref'!$A$1,"_",TEXT(V323,"YYYY-MM-DD"),"_APS-",TEXT(W323,"000")),IFERROR(0/0,""))</f>
        <v/>
      </c>
      <c r="U323" s="8" t="str">
        <f t="shared" si="351"/>
        <v/>
      </c>
      <c r="V323" s="141">
        <v>44930.0</v>
      </c>
      <c r="W323" s="142" t="str">
        <f t="shared" si="273"/>
        <v/>
      </c>
      <c r="X323" s="43"/>
      <c r="AC323" s="70"/>
      <c r="AF323" s="70"/>
      <c r="AG323" s="12"/>
      <c r="AJ323" s="7" t="str">
        <f t="shared" ref="AJ323:AL323" si="354">IF(AG323=L323,IFERROR(0/0,""),FALSE)</f>
        <v/>
      </c>
      <c r="AK323" s="7" t="str">
        <f t="shared" si="354"/>
        <v/>
      </c>
      <c r="AL323" s="7" t="str">
        <f t="shared" si="354"/>
        <v/>
      </c>
      <c r="AM323" s="43"/>
    </row>
    <row r="324">
      <c r="C324" s="131"/>
      <c r="D324" s="54"/>
      <c r="E324" s="54"/>
      <c r="F324" s="54"/>
      <c r="G324" s="54"/>
      <c r="H324" s="54"/>
      <c r="I324" s="54"/>
      <c r="J324" s="54"/>
      <c r="K324" s="54"/>
      <c r="L324" s="54"/>
      <c r="M324" s="54"/>
      <c r="N324" s="89"/>
      <c r="P324" s="77" t="str">
        <f>IF(ISBLANK(N319),IFERROR(0/0,""),IFERROR(VLOOKUP(N319, 'Process Ref'!$A$76:$D$124, 2, FALSE), IFERROR(0/0,"")))</f>
        <v/>
      </c>
      <c r="R324" s="78" t="str">
        <f>IFNA(MATCH(A324,'RFR Data - preExcl'!A$2:A447,0),"")</f>
        <v/>
      </c>
      <c r="S324" s="43"/>
      <c r="T324" s="114" t="str">
        <f>IF(AND(NOT(ISBLANK(U324)),NOT(ISBLANK(V324)),NOT(ISBLANK(W324))),CONCATENATE("RUN-",'Process Ref'!$A$1,"_",TEXT(V324,"YYYY-MM-DD"),"_APS-",TEXT(W324,"000")),IFERROR(0/0,""))</f>
        <v/>
      </c>
      <c r="U324" s="8" t="str">
        <f t="shared" si="351"/>
        <v/>
      </c>
      <c r="V324" s="141">
        <v>44931.0</v>
      </c>
      <c r="W324" s="142" t="str">
        <f t="shared" si="273"/>
        <v/>
      </c>
      <c r="X324" s="43"/>
      <c r="AC324" s="70"/>
      <c r="AF324" s="70"/>
      <c r="AG324" s="12"/>
      <c r="AJ324" s="7" t="str">
        <f t="shared" ref="AJ324:AL324" si="355">IF(AG324=L324,IFERROR(0/0,""),FALSE)</f>
        <v/>
      </c>
      <c r="AK324" s="7" t="str">
        <f t="shared" si="355"/>
        <v/>
      </c>
      <c r="AL324" s="7" t="str">
        <f t="shared" si="355"/>
        <v/>
      </c>
      <c r="AM324" s="43"/>
    </row>
    <row r="325">
      <c r="C325" s="131"/>
      <c r="D325" s="54"/>
      <c r="E325" s="54"/>
      <c r="F325" s="54"/>
      <c r="G325" s="54"/>
      <c r="H325" s="54"/>
      <c r="I325" s="54"/>
      <c r="J325" s="54"/>
      <c r="K325" s="54"/>
      <c r="L325" s="54"/>
      <c r="M325" s="54"/>
      <c r="N325" s="89"/>
      <c r="P325" s="77" t="str">
        <f>IF(ISBLANK(N320),IFERROR(0/0,""),IFERROR(VLOOKUP(N320, 'Process Ref'!$A$76:$D$124, 2, FALSE), IFERROR(0/0,"")))</f>
        <v/>
      </c>
      <c r="R325" s="78" t="str">
        <f>IFNA(MATCH(A325,'RFR Data - preExcl'!A$2:A447,0),"")</f>
        <v/>
      </c>
      <c r="S325" s="43"/>
      <c r="T325" s="114" t="str">
        <f>IF(AND(NOT(ISBLANK(U325)),NOT(ISBLANK(V325)),NOT(ISBLANK(W325))),CONCATENATE("RUN-",'Process Ref'!$A$1,"_",TEXT(V325,"YYYY-MM-DD"),"_APS-",TEXT(W325,"000")),IFERROR(0/0,""))</f>
        <v/>
      </c>
      <c r="U325" s="8" t="str">
        <f t="shared" si="351"/>
        <v/>
      </c>
      <c r="V325" s="141">
        <v>44932.0</v>
      </c>
      <c r="W325" s="142" t="str">
        <f t="shared" si="273"/>
        <v/>
      </c>
      <c r="X325" s="43"/>
      <c r="AC325" s="70"/>
      <c r="AF325" s="70"/>
      <c r="AG325" s="12"/>
      <c r="AJ325" s="7" t="str">
        <f t="shared" ref="AJ325:AL325" si="356">IF(AG325=L325,IFERROR(0/0,""),FALSE)</f>
        <v/>
      </c>
      <c r="AK325" s="7" t="str">
        <f t="shared" si="356"/>
        <v/>
      </c>
      <c r="AL325" s="7" t="str">
        <f t="shared" si="356"/>
        <v/>
      </c>
      <c r="AM325" s="43"/>
    </row>
    <row r="326">
      <c r="C326" s="131"/>
      <c r="D326" s="54"/>
      <c r="E326" s="54"/>
      <c r="F326" s="54"/>
      <c r="G326" s="54"/>
      <c r="H326" s="54"/>
      <c r="I326" s="54"/>
      <c r="J326" s="54"/>
      <c r="K326" s="54"/>
      <c r="L326" s="54"/>
      <c r="M326" s="54"/>
      <c r="N326" s="89"/>
      <c r="P326" s="77" t="str">
        <f>IF(ISBLANK(N321),IFERROR(0/0,""),IFERROR(VLOOKUP(N321, 'Process Ref'!$A$76:$D$124, 2, FALSE), IFERROR(0/0,"")))</f>
        <v/>
      </c>
      <c r="R326" s="78" t="str">
        <f>IFNA(MATCH(A326,'RFR Data - preExcl'!A$2:A447,0),"")</f>
        <v/>
      </c>
      <c r="S326" s="43"/>
      <c r="T326" s="114" t="str">
        <f>IF(AND(NOT(ISBLANK(U326)),NOT(ISBLANK(V326)),NOT(ISBLANK(W326))),CONCATENATE("RUN-",'Process Ref'!$A$1,"_",TEXT(V326,"YYYY-MM-DD"),"_APS-",TEXT(W326,"000")),IFERROR(0/0,""))</f>
        <v/>
      </c>
      <c r="U326" s="8" t="str">
        <f t="shared" si="351"/>
        <v/>
      </c>
      <c r="V326" s="141">
        <v>44935.0</v>
      </c>
      <c r="W326" s="142" t="str">
        <f t="shared" si="273"/>
        <v/>
      </c>
      <c r="X326" s="43"/>
      <c r="AC326" s="70"/>
      <c r="AF326" s="70"/>
      <c r="AG326" s="12"/>
      <c r="AJ326" s="7" t="str">
        <f t="shared" ref="AJ326:AL326" si="357">IF(AG326=L326,IFERROR(0/0,""),FALSE)</f>
        <v/>
      </c>
      <c r="AK326" s="7" t="str">
        <f t="shared" si="357"/>
        <v/>
      </c>
      <c r="AL326" s="7" t="str">
        <f t="shared" si="357"/>
        <v/>
      </c>
      <c r="AM326" s="43"/>
    </row>
    <row r="327">
      <c r="C327" s="131"/>
      <c r="D327" s="54"/>
      <c r="E327" s="54"/>
      <c r="F327" s="54"/>
      <c r="G327" s="54"/>
      <c r="H327" s="54"/>
      <c r="I327" s="54"/>
      <c r="J327" s="54"/>
      <c r="K327" s="54"/>
      <c r="L327" s="54"/>
      <c r="M327" s="54"/>
      <c r="N327" s="89"/>
      <c r="P327" s="77" t="str">
        <f>IF(ISBLANK(N322),IFERROR(0/0,""),IFERROR(VLOOKUP(N322, 'Process Ref'!$A$76:$D$124, 2, FALSE), IFERROR(0/0,"")))</f>
        <v/>
      </c>
      <c r="R327" s="78" t="str">
        <f>IFNA(MATCH(A327,'RFR Data - preExcl'!A$2:A447,0),"")</f>
        <v/>
      </c>
      <c r="S327" s="43"/>
      <c r="T327" s="114" t="str">
        <f>IF(AND(NOT(ISBLANK(U327)),NOT(ISBLANK(V327)),NOT(ISBLANK(W327))),CONCATENATE("RUN-",'Process Ref'!$A$1,"_",TEXT(V327,"YYYY-MM-DD"),"_APS-",TEXT(W327,"000")),IFERROR(0/0,""))</f>
        <v/>
      </c>
      <c r="U327" s="8" t="str">
        <f t="shared" si="351"/>
        <v/>
      </c>
      <c r="V327" s="141">
        <v>44936.0</v>
      </c>
      <c r="W327" s="142" t="str">
        <f t="shared" si="273"/>
        <v/>
      </c>
      <c r="X327" s="43"/>
      <c r="AC327" s="70"/>
      <c r="AF327" s="70"/>
      <c r="AG327" s="12"/>
      <c r="AJ327" s="7" t="str">
        <f t="shared" ref="AJ327:AL327" si="358">IF(AG327=L327,IFERROR(0/0,""),FALSE)</f>
        <v/>
      </c>
      <c r="AK327" s="7" t="str">
        <f t="shared" si="358"/>
        <v/>
      </c>
      <c r="AL327" s="7" t="str">
        <f t="shared" si="358"/>
        <v/>
      </c>
      <c r="AM327" s="43"/>
    </row>
    <row r="328">
      <c r="C328" s="131"/>
      <c r="D328" s="54"/>
      <c r="E328" s="54"/>
      <c r="F328" s="54"/>
      <c r="G328" s="54"/>
      <c r="H328" s="54"/>
      <c r="I328" s="54"/>
      <c r="J328" s="54"/>
      <c r="K328" s="54"/>
      <c r="L328" s="54"/>
      <c r="M328" s="54"/>
      <c r="N328" s="89"/>
      <c r="P328" s="77" t="str">
        <f>IF(ISBLANK(N323),IFERROR(0/0,""),IFERROR(VLOOKUP(N323, 'Process Ref'!$A$76:$D$124, 2, FALSE), IFERROR(0/0,"")))</f>
        <v/>
      </c>
      <c r="R328" s="78" t="str">
        <f>IFNA(MATCH(A328,'RFR Data - preExcl'!A$2:A447,0),"")</f>
        <v/>
      </c>
      <c r="S328" s="43"/>
      <c r="T328" s="114" t="str">
        <f>IF(AND(NOT(ISBLANK(U328)),NOT(ISBLANK(V328)),NOT(ISBLANK(W328))),CONCATENATE("RUN-",'Process Ref'!$A$1,"_",TEXT(V328,"YYYY-MM-DD"),"_APS-",TEXT(W328,"000")),IFERROR(0/0,""))</f>
        <v/>
      </c>
      <c r="U328" s="8" t="str">
        <f t="shared" si="351"/>
        <v/>
      </c>
      <c r="V328" s="141">
        <v>44937.0</v>
      </c>
      <c r="W328" s="142" t="str">
        <f t="shared" si="273"/>
        <v/>
      </c>
      <c r="X328" s="43"/>
      <c r="AC328" s="70"/>
      <c r="AF328" s="70"/>
      <c r="AG328" s="12"/>
      <c r="AJ328" s="7" t="str">
        <f t="shared" ref="AJ328:AL328" si="359">IF(AG328=L328,IFERROR(0/0,""),FALSE)</f>
        <v/>
      </c>
      <c r="AK328" s="7" t="str">
        <f t="shared" si="359"/>
        <v/>
      </c>
      <c r="AL328" s="7" t="str">
        <f t="shared" si="359"/>
        <v/>
      </c>
      <c r="AM328" s="43"/>
    </row>
    <row r="329">
      <c r="C329" s="131"/>
      <c r="D329" s="54"/>
      <c r="E329" s="54"/>
      <c r="F329" s="54"/>
      <c r="G329" s="54"/>
      <c r="H329" s="54"/>
      <c r="I329" s="54"/>
      <c r="J329" s="54"/>
      <c r="K329" s="54"/>
      <c r="L329" s="54"/>
      <c r="M329" s="54"/>
      <c r="N329" s="89"/>
      <c r="P329" s="77" t="str">
        <f>IF(ISBLANK(N324),IFERROR(0/0,""),IFERROR(VLOOKUP(N324, 'Process Ref'!$A$76:$D$124, 2, FALSE), IFERROR(0/0,"")))</f>
        <v/>
      </c>
      <c r="R329" s="78" t="str">
        <f>IFNA(MATCH(A329,'RFR Data - preExcl'!A$2:A447,0),"")</f>
        <v/>
      </c>
      <c r="S329" s="43"/>
      <c r="T329" s="114" t="str">
        <f>IF(AND(NOT(ISBLANK(U329)),NOT(ISBLANK(V329)),NOT(ISBLANK(W329))),CONCATENATE("RUN-",'Process Ref'!$A$1,"_",TEXT(V329,"YYYY-MM-DD"),"_APS-",TEXT(W329,"000")),IFERROR(0/0,""))</f>
        <v/>
      </c>
      <c r="U329" s="8" t="str">
        <f t="shared" si="351"/>
        <v/>
      </c>
      <c r="V329" s="141">
        <v>44938.0</v>
      </c>
      <c r="W329" s="142" t="str">
        <f t="shared" si="273"/>
        <v/>
      </c>
      <c r="X329" s="43"/>
      <c r="AC329" s="70"/>
      <c r="AF329" s="70"/>
      <c r="AG329" s="12"/>
      <c r="AJ329" s="7" t="str">
        <f t="shared" ref="AJ329:AL329" si="360">IF(AG329=L329,IFERROR(0/0,""),FALSE)</f>
        <v/>
      </c>
      <c r="AK329" s="7" t="str">
        <f t="shared" si="360"/>
        <v/>
      </c>
      <c r="AL329" s="7" t="str">
        <f t="shared" si="360"/>
        <v/>
      </c>
      <c r="AM329" s="43"/>
    </row>
    <row r="330">
      <c r="C330" s="131"/>
      <c r="D330" s="54"/>
      <c r="E330" s="54"/>
      <c r="F330" s="54"/>
      <c r="G330" s="54"/>
      <c r="H330" s="54"/>
      <c r="I330" s="54"/>
      <c r="J330" s="54"/>
      <c r="K330" s="54"/>
      <c r="L330" s="54"/>
      <c r="M330" s="54"/>
      <c r="N330" s="89"/>
      <c r="P330" s="77" t="str">
        <f>IF(ISBLANK(N325),IFERROR(0/0,""),IFERROR(VLOOKUP(N325, 'Process Ref'!$A$76:$D$124, 2, FALSE), IFERROR(0/0,"")))</f>
        <v/>
      </c>
      <c r="R330" s="78" t="str">
        <f>IFNA(MATCH(A330,'RFR Data - preExcl'!A$2:A447,0),"")</f>
        <v/>
      </c>
      <c r="S330" s="43"/>
      <c r="T330" s="114" t="str">
        <f>IF(AND(NOT(ISBLANK(U330)),NOT(ISBLANK(V330)),NOT(ISBLANK(W330))),CONCATENATE("RUN-",'Process Ref'!$A$1,"_",TEXT(V330,"YYYY-MM-DD"),"_APS-",TEXT(W330,"000")),IFERROR(0/0,""))</f>
        <v/>
      </c>
      <c r="U330" s="8" t="str">
        <f t="shared" si="351"/>
        <v/>
      </c>
      <c r="V330" s="141">
        <v>44939.0</v>
      </c>
      <c r="W330" s="142" t="str">
        <f t="shared" si="273"/>
        <v/>
      </c>
      <c r="X330" s="43"/>
      <c r="AC330" s="70"/>
      <c r="AF330" s="70"/>
      <c r="AG330" s="12"/>
      <c r="AJ330" s="7" t="str">
        <f t="shared" ref="AJ330:AL330" si="361">IF(AG330=L330,IFERROR(0/0,""),FALSE)</f>
        <v/>
      </c>
      <c r="AK330" s="7" t="str">
        <f t="shared" si="361"/>
        <v/>
      </c>
      <c r="AL330" s="7" t="str">
        <f t="shared" si="361"/>
        <v/>
      </c>
      <c r="AM330" s="43"/>
    </row>
    <row r="331">
      <c r="C331" s="131"/>
      <c r="D331" s="54"/>
      <c r="E331" s="54"/>
      <c r="F331" s="54"/>
      <c r="G331" s="54"/>
      <c r="H331" s="54"/>
      <c r="I331" s="54"/>
      <c r="J331" s="54"/>
      <c r="K331" s="54"/>
      <c r="L331" s="54"/>
      <c r="M331" s="54"/>
      <c r="N331" s="89"/>
      <c r="P331" s="77" t="str">
        <f>IF(ISBLANK(N326),IFERROR(0/0,""),IFERROR(VLOOKUP(N326, 'Process Ref'!$A$76:$D$124, 2, FALSE), IFERROR(0/0,"")))</f>
        <v/>
      </c>
      <c r="R331" s="78" t="str">
        <f>IFNA(MATCH(A331,'RFR Data - preExcl'!A$2:A447,0),"")</f>
        <v/>
      </c>
      <c r="S331" s="43"/>
      <c r="T331" s="114" t="str">
        <f>IF(AND(NOT(ISBLANK(U331)),NOT(ISBLANK(V331)),NOT(ISBLANK(W331))),CONCATENATE("RUN-",'Process Ref'!$A$1,"_",TEXT(V331,"YYYY-MM-DD"),"_APS-",TEXT(W331,"000")),IFERROR(0/0,""))</f>
        <v/>
      </c>
      <c r="U331" s="8" t="str">
        <f t="shared" si="351"/>
        <v/>
      </c>
      <c r="V331" s="141">
        <v>44942.0</v>
      </c>
      <c r="W331" s="142" t="str">
        <f t="shared" si="273"/>
        <v/>
      </c>
      <c r="X331" s="43"/>
      <c r="AC331" s="70"/>
      <c r="AF331" s="70"/>
      <c r="AG331" s="12"/>
      <c r="AJ331" s="7" t="str">
        <f t="shared" ref="AJ331:AL331" si="362">IF(AG331=L331,IFERROR(0/0,""),FALSE)</f>
        <v/>
      </c>
      <c r="AK331" s="7" t="str">
        <f t="shared" si="362"/>
        <v/>
      </c>
      <c r="AL331" s="7" t="str">
        <f t="shared" si="362"/>
        <v/>
      </c>
      <c r="AM331" s="43"/>
    </row>
    <row r="332">
      <c r="C332" s="131"/>
      <c r="D332" s="54"/>
      <c r="E332" s="54"/>
      <c r="F332" s="54"/>
      <c r="G332" s="54"/>
      <c r="H332" s="54"/>
      <c r="I332" s="54"/>
      <c r="J332" s="54"/>
      <c r="K332" s="54"/>
      <c r="L332" s="54"/>
      <c r="M332" s="54"/>
      <c r="N332" s="89"/>
      <c r="P332" s="77" t="str">
        <f>IF(ISBLANK(N327),IFERROR(0/0,""),IFERROR(VLOOKUP(N327, 'Process Ref'!$A$76:$D$124, 2, FALSE), IFERROR(0/0,"")))</f>
        <v/>
      </c>
      <c r="R332" s="78" t="str">
        <f>IFNA(MATCH(A332,'RFR Data - preExcl'!A$2:A447,0),"")</f>
        <v/>
      </c>
      <c r="S332" s="43"/>
      <c r="T332" s="114" t="str">
        <f>IF(AND(NOT(ISBLANK(U332)),NOT(ISBLANK(V332)),NOT(ISBLANK(W332))),CONCATENATE("RUN-",'Process Ref'!$A$1,"_",TEXT(V332,"YYYY-MM-DD"),"_APS-",TEXT(W332,"000")),IFERROR(0/0,""))</f>
        <v/>
      </c>
      <c r="U332" s="8" t="str">
        <f t="shared" si="351"/>
        <v/>
      </c>
      <c r="V332" s="141">
        <v>44943.0</v>
      </c>
      <c r="W332" s="142" t="str">
        <f t="shared" si="273"/>
        <v/>
      </c>
      <c r="X332" s="43"/>
      <c r="AC332" s="70"/>
      <c r="AF332" s="70"/>
      <c r="AG332" s="12"/>
      <c r="AJ332" s="7" t="str">
        <f t="shared" ref="AJ332:AL332" si="363">IF(AG332=L332,IFERROR(0/0,""),FALSE)</f>
        <v/>
      </c>
      <c r="AK332" s="7" t="str">
        <f t="shared" si="363"/>
        <v/>
      </c>
      <c r="AL332" s="7" t="str">
        <f t="shared" si="363"/>
        <v/>
      </c>
      <c r="AM332" s="43"/>
    </row>
    <row r="333">
      <c r="C333" s="131"/>
      <c r="D333" s="54"/>
      <c r="E333" s="54"/>
      <c r="F333" s="54"/>
      <c r="G333" s="54"/>
      <c r="H333" s="54"/>
      <c r="I333" s="54"/>
      <c r="J333" s="54"/>
      <c r="K333" s="54"/>
      <c r="L333" s="54"/>
      <c r="M333" s="54"/>
      <c r="N333" s="89"/>
      <c r="P333" s="77" t="str">
        <f>IF(ISBLANK(N328),IFERROR(0/0,""),IFERROR(VLOOKUP(N328, 'Process Ref'!$A$76:$D$124, 2, FALSE), IFERROR(0/0,"")))</f>
        <v/>
      </c>
      <c r="R333" s="78" t="str">
        <f>IFNA(MATCH(A333,'RFR Data - preExcl'!A$2:A447,0),"")</f>
        <v/>
      </c>
      <c r="S333" s="43"/>
      <c r="T333" s="114" t="str">
        <f>IF(AND(NOT(ISBLANK(U333)),NOT(ISBLANK(V333)),NOT(ISBLANK(W333))),CONCATENATE("RUN-",'Process Ref'!$A$1,"_",TEXT(V333,"YYYY-MM-DD"),"_APS-",TEXT(W333,"000")),IFERROR(0/0,""))</f>
        <v/>
      </c>
      <c r="U333" s="8" t="str">
        <f t="shared" si="351"/>
        <v/>
      </c>
      <c r="V333" s="141">
        <v>44944.0</v>
      </c>
      <c r="W333" s="142" t="str">
        <f t="shared" si="273"/>
        <v/>
      </c>
      <c r="X333" s="43"/>
      <c r="AC333" s="70"/>
      <c r="AF333" s="70"/>
      <c r="AG333" s="12"/>
      <c r="AJ333" s="7" t="str">
        <f t="shared" ref="AJ333:AL333" si="364">IF(AG333=L333,IFERROR(0/0,""),FALSE)</f>
        <v/>
      </c>
      <c r="AK333" s="7" t="str">
        <f t="shared" si="364"/>
        <v/>
      </c>
      <c r="AL333" s="7" t="str">
        <f t="shared" si="364"/>
        <v/>
      </c>
      <c r="AM333" s="43"/>
    </row>
    <row r="334">
      <c r="C334" s="131"/>
      <c r="D334" s="54"/>
      <c r="E334" s="54"/>
      <c r="F334" s="54"/>
      <c r="G334" s="54"/>
      <c r="H334" s="54"/>
      <c r="I334" s="54"/>
      <c r="J334" s="54"/>
      <c r="K334" s="54"/>
      <c r="L334" s="54"/>
      <c r="M334" s="54"/>
      <c r="N334" s="89"/>
      <c r="P334" s="77" t="str">
        <f>IF(ISBLANK(N329),IFERROR(0/0,""),IFERROR(VLOOKUP(N329, 'Process Ref'!$A$76:$D$124, 2, FALSE), IFERROR(0/0,"")))</f>
        <v/>
      </c>
      <c r="R334" s="78" t="str">
        <f>IFNA(MATCH(A334,'RFR Data - preExcl'!A$2:A447,0),"")</f>
        <v/>
      </c>
      <c r="S334" s="43"/>
      <c r="T334" s="114" t="str">
        <f>IF(AND(NOT(ISBLANK(U334)),NOT(ISBLANK(V334)),NOT(ISBLANK(W334))),CONCATENATE("RUN-",'Process Ref'!$A$1,"_",TEXT(V334,"YYYY-MM-DD"),"_APS-",TEXT(W334,"000")),IFERROR(0/0,""))</f>
        <v/>
      </c>
      <c r="U334" s="8" t="str">
        <f t="shared" si="351"/>
        <v/>
      </c>
      <c r="V334" s="141">
        <v>44945.0</v>
      </c>
      <c r="W334" s="142" t="str">
        <f t="shared" si="273"/>
        <v/>
      </c>
      <c r="X334" s="43"/>
      <c r="AC334" s="70"/>
      <c r="AF334" s="70"/>
      <c r="AG334" s="12"/>
      <c r="AJ334" s="7" t="str">
        <f t="shared" ref="AJ334:AL334" si="365">IF(AG334=L334,IFERROR(0/0,""),FALSE)</f>
        <v/>
      </c>
      <c r="AK334" s="7" t="str">
        <f t="shared" si="365"/>
        <v/>
      </c>
      <c r="AL334" s="7" t="str">
        <f t="shared" si="365"/>
        <v/>
      </c>
      <c r="AM334" s="43"/>
    </row>
    <row r="335">
      <c r="C335" s="131"/>
      <c r="D335" s="54"/>
      <c r="E335" s="54"/>
      <c r="F335" s="54"/>
      <c r="G335" s="54"/>
      <c r="H335" s="54"/>
      <c r="I335" s="54"/>
      <c r="J335" s="54"/>
      <c r="K335" s="54"/>
      <c r="L335" s="54"/>
      <c r="M335" s="54"/>
      <c r="N335" s="89"/>
      <c r="P335" s="77" t="str">
        <f>IF(ISBLANK(N330),IFERROR(0/0,""),IFERROR(VLOOKUP(N330, 'Process Ref'!$A$76:$D$124, 2, FALSE), IFERROR(0/0,"")))</f>
        <v/>
      </c>
      <c r="R335" s="78" t="str">
        <f>IFNA(MATCH(A335,'RFR Data - preExcl'!A$2:A447,0),"")</f>
        <v/>
      </c>
      <c r="S335" s="43"/>
      <c r="T335" s="114" t="str">
        <f>IF(AND(NOT(ISBLANK(U335)),NOT(ISBLANK(V335)),NOT(ISBLANK(W335))),CONCATENATE("RUN-",'Process Ref'!$A$1,"_",TEXT(V335,"YYYY-MM-DD"),"_APS-",TEXT(W335,"000")),IFERROR(0/0,""))</f>
        <v/>
      </c>
      <c r="U335" s="8" t="str">
        <f t="shared" si="351"/>
        <v/>
      </c>
      <c r="V335" s="141">
        <v>44946.0</v>
      </c>
      <c r="W335" s="142" t="str">
        <f t="shared" si="273"/>
        <v/>
      </c>
      <c r="X335" s="43"/>
      <c r="AC335" s="70"/>
      <c r="AF335" s="70"/>
      <c r="AG335" s="12"/>
      <c r="AJ335" s="7" t="str">
        <f t="shared" ref="AJ335:AL335" si="366">IF(AG335=L335,IFERROR(0/0,""),FALSE)</f>
        <v/>
      </c>
      <c r="AK335" s="7" t="str">
        <f t="shared" si="366"/>
        <v/>
      </c>
      <c r="AL335" s="7" t="str">
        <f t="shared" si="366"/>
        <v/>
      </c>
      <c r="AM335" s="43"/>
    </row>
    <row r="336">
      <c r="C336" s="131"/>
      <c r="D336" s="54"/>
      <c r="E336" s="54"/>
      <c r="F336" s="54"/>
      <c r="G336" s="54"/>
      <c r="H336" s="54"/>
      <c r="I336" s="54"/>
      <c r="J336" s="54"/>
      <c r="K336" s="54"/>
      <c r="L336" s="54"/>
      <c r="M336" s="54"/>
      <c r="N336" s="89"/>
      <c r="P336" s="77" t="str">
        <f>IF(ISBLANK(N331),IFERROR(0/0,""),IFERROR(VLOOKUP(N331, 'Process Ref'!$A$76:$D$124, 2, FALSE), IFERROR(0/0,"")))</f>
        <v/>
      </c>
      <c r="R336" s="78" t="str">
        <f>IFNA(MATCH(A336,'RFR Data - preExcl'!A$2:A447,0),"")</f>
        <v/>
      </c>
      <c r="S336" s="43"/>
      <c r="T336" s="114" t="str">
        <f>IF(AND(NOT(ISBLANK(U336)),NOT(ISBLANK(V336)),NOT(ISBLANK(W336))),CONCATENATE("RUN-",'Process Ref'!$A$1,"_",TEXT(V336,"YYYY-MM-DD"),"_APS-",TEXT(W336,"000")),IFERROR(0/0,""))</f>
        <v>RUN-ABRM_2023-01-23_APS-002</v>
      </c>
      <c r="U336" s="14">
        <v>44949.0</v>
      </c>
      <c r="V336" s="141">
        <v>44949.0</v>
      </c>
      <c r="W336" s="142">
        <f t="shared" si="273"/>
        <v>2</v>
      </c>
      <c r="X336" s="43"/>
      <c r="AC336" s="70"/>
      <c r="AF336" s="70"/>
      <c r="AG336" s="12"/>
      <c r="AJ336" s="7" t="str">
        <f t="shared" ref="AJ336:AL336" si="367">IF(AG336=L336,IFERROR(0/0,""),FALSE)</f>
        <v/>
      </c>
      <c r="AK336" s="7" t="str">
        <f t="shared" si="367"/>
        <v/>
      </c>
      <c r="AL336" s="7" t="str">
        <f t="shared" si="367"/>
        <v/>
      </c>
      <c r="AM336" s="43"/>
    </row>
    <row r="337">
      <c r="C337" s="131"/>
      <c r="D337" s="54"/>
      <c r="E337" s="54"/>
      <c r="F337" s="54"/>
      <c r="G337" s="54"/>
      <c r="H337" s="54"/>
      <c r="I337" s="54"/>
      <c r="J337" s="54"/>
      <c r="K337" s="54"/>
      <c r="L337" s="54"/>
      <c r="M337" s="54"/>
      <c r="N337" s="89"/>
      <c r="P337" s="77" t="str">
        <f>IF(ISBLANK(N332),IFERROR(0/0,""),IFERROR(VLOOKUP(N332, 'Process Ref'!$A$76:$D$124, 2, FALSE), IFERROR(0/0,"")))</f>
        <v/>
      </c>
      <c r="R337" s="78" t="str">
        <f>IFNA(MATCH(A337,'RFR Data - preExcl'!A$2:A447,0),"")</f>
        <v/>
      </c>
      <c r="S337" s="43"/>
      <c r="T337" s="114" t="str">
        <f>IF(AND(NOT(ISBLANK(U337)),NOT(ISBLANK(V337)),NOT(ISBLANK(W337))),CONCATENATE("RUN-",'Process Ref'!$A$1,"_",TEXT(V337,"YYYY-MM-DD"),"_APS-",TEXT(W337,"000")),IFERROR(0/0,""))</f>
        <v/>
      </c>
      <c r="U337" s="8" t="str">
        <f t="shared" ref="U337:U338" si="369">IF(COUNTIF(U$2:U$242,V337)=0,V337,IFERROR(0/0,""))</f>
        <v/>
      </c>
      <c r="V337" s="141">
        <v>44951.0</v>
      </c>
      <c r="W337" s="142" t="str">
        <f t="shared" si="273"/>
        <v/>
      </c>
      <c r="X337" s="43"/>
      <c r="AC337" s="70"/>
      <c r="AF337" s="70"/>
      <c r="AG337" s="12"/>
      <c r="AJ337" s="7" t="str">
        <f t="shared" ref="AJ337:AL337" si="368">IF(AG337=L337,IFERROR(0/0,""),FALSE)</f>
        <v/>
      </c>
      <c r="AK337" s="7" t="str">
        <f t="shared" si="368"/>
        <v/>
      </c>
      <c r="AL337" s="7" t="str">
        <f t="shared" si="368"/>
        <v/>
      </c>
      <c r="AM337" s="43"/>
    </row>
    <row r="338">
      <c r="C338" s="131"/>
      <c r="D338" s="54"/>
      <c r="E338" s="54"/>
      <c r="F338" s="54"/>
      <c r="G338" s="54"/>
      <c r="H338" s="54"/>
      <c r="I338" s="54"/>
      <c r="J338" s="54"/>
      <c r="K338" s="54"/>
      <c r="L338" s="54"/>
      <c r="M338" s="54"/>
      <c r="N338" s="89"/>
      <c r="P338" s="77" t="str">
        <f>IF(ISBLANK(N333),IFERROR(0/0,""),IFERROR(VLOOKUP(N333, 'Process Ref'!$A$76:$D$124, 2, FALSE), IFERROR(0/0,"")))</f>
        <v/>
      </c>
      <c r="R338" s="78" t="str">
        <f>IFNA(MATCH(A338,'RFR Data - preExcl'!A$2:A447,0),"")</f>
        <v/>
      </c>
      <c r="S338" s="43"/>
      <c r="T338" s="114" t="str">
        <f>IF(AND(NOT(ISBLANK(U338)),NOT(ISBLANK(V338)),NOT(ISBLANK(W338))),CONCATENATE("RUN-",'Process Ref'!$A$1,"_",TEXT(V338,"YYYY-MM-DD"),"_APS-",TEXT(W338,"000")),IFERROR(0/0,""))</f>
        <v/>
      </c>
      <c r="U338" s="8" t="str">
        <f t="shared" si="369"/>
        <v/>
      </c>
      <c r="V338" s="141">
        <v>44952.0</v>
      </c>
      <c r="W338" s="142" t="str">
        <f t="shared" si="273"/>
        <v/>
      </c>
      <c r="X338" s="43"/>
      <c r="AC338" s="70"/>
      <c r="AF338" s="70"/>
      <c r="AG338" s="12"/>
      <c r="AJ338" s="7" t="str">
        <f t="shared" ref="AJ338:AL338" si="370">IF(AG338=L338,IFERROR(0/0,""),FALSE)</f>
        <v/>
      </c>
      <c r="AK338" s="7" t="str">
        <f t="shared" si="370"/>
        <v/>
      </c>
      <c r="AL338" s="7" t="str">
        <f t="shared" si="370"/>
        <v/>
      </c>
      <c r="AM338" s="43"/>
    </row>
    <row r="339">
      <c r="C339" s="131"/>
      <c r="D339" s="54"/>
      <c r="E339" s="54"/>
      <c r="F339" s="54"/>
      <c r="G339" s="54"/>
      <c r="H339" s="54"/>
      <c r="I339" s="54"/>
      <c r="J339" s="54"/>
      <c r="K339" s="54"/>
      <c r="L339" s="54"/>
      <c r="M339" s="54"/>
      <c r="N339" s="89"/>
      <c r="P339" s="77" t="str">
        <f>IF(ISBLANK(N334),IFERROR(0/0,""),IFERROR(VLOOKUP(N334, 'Process Ref'!$A$76:$D$124, 2, FALSE), IFERROR(0/0,"")))</f>
        <v/>
      </c>
      <c r="R339" s="78" t="str">
        <f>IFNA(MATCH(A339,'RFR Data - preExcl'!A$2:A447,0),"")</f>
        <v/>
      </c>
      <c r="S339" s="43"/>
      <c r="T339" s="114" t="str">
        <f>IF(AND(NOT(ISBLANK(U339)),NOT(ISBLANK(V339)),NOT(ISBLANK(W339))),CONCATENATE("RUN-",'Process Ref'!$A$1,"_",TEXT(V339,"YYYY-MM-DD"),"_APS-",TEXT(W339,"000")),IFERROR(0/0,""))</f>
        <v>RUN-ABRM_2023-01-27_APS-003</v>
      </c>
      <c r="U339" s="141">
        <v>44953.0</v>
      </c>
      <c r="V339" s="141">
        <v>44953.0</v>
      </c>
      <c r="W339" s="142">
        <f t="shared" si="273"/>
        <v>3</v>
      </c>
      <c r="X339" s="43"/>
      <c r="AC339" s="70"/>
      <c r="AF339" s="70"/>
      <c r="AG339" s="12"/>
      <c r="AJ339" s="7" t="str">
        <f t="shared" ref="AJ339:AL339" si="371">IF(AG339=L339,IFERROR(0/0,""),FALSE)</f>
        <v/>
      </c>
      <c r="AK339" s="7" t="str">
        <f t="shared" si="371"/>
        <v/>
      </c>
      <c r="AL339" s="7" t="str">
        <f t="shared" si="371"/>
        <v/>
      </c>
      <c r="AM339" s="43"/>
    </row>
    <row r="340">
      <c r="C340" s="131"/>
      <c r="D340" s="54"/>
      <c r="E340" s="54"/>
      <c r="F340" s="54"/>
      <c r="G340" s="54"/>
      <c r="H340" s="54"/>
      <c r="I340" s="54"/>
      <c r="J340" s="54"/>
      <c r="K340" s="54"/>
      <c r="L340" s="54"/>
      <c r="M340" s="54"/>
      <c r="N340" s="89"/>
      <c r="P340" s="77" t="str">
        <f>IF(ISBLANK(N335),IFERROR(0/0,""),IFERROR(VLOOKUP(N335, 'Process Ref'!$A$76:$D$124, 2, FALSE), IFERROR(0/0,"")))</f>
        <v/>
      </c>
      <c r="R340" s="78" t="str">
        <f>IFNA(MATCH(A340,'RFR Data - preExcl'!A$2:A447,0),"")</f>
        <v/>
      </c>
      <c r="S340" s="43"/>
      <c r="T340" s="114" t="str">
        <f>IF(AND(NOT(ISBLANK(U340)),NOT(ISBLANK(V340)),NOT(ISBLANK(W340))),CONCATENATE("RUN-",'Process Ref'!$A$1,"_",TEXT(V340,"YYYY-MM-DD"),"_APS-",TEXT(W340,"000")),IFERROR(0/0,""))</f>
        <v/>
      </c>
      <c r="U340" s="8" t="str">
        <f t="shared" ref="U340:U376" si="373">IF(COUNTIF(U$2:U$242,V340)=0,V340,IFERROR(0/0,""))</f>
        <v/>
      </c>
      <c r="V340" s="141">
        <v>44956.0</v>
      </c>
      <c r="W340" s="142" t="str">
        <f t="shared" si="273"/>
        <v/>
      </c>
      <c r="X340" s="43"/>
      <c r="AC340" s="70"/>
      <c r="AF340" s="70"/>
      <c r="AG340" s="12"/>
      <c r="AJ340" s="7" t="str">
        <f t="shared" ref="AJ340:AL340" si="372">IF(AG340=L340,IFERROR(0/0,""),FALSE)</f>
        <v/>
      </c>
      <c r="AK340" s="7" t="str">
        <f t="shared" si="372"/>
        <v/>
      </c>
      <c r="AL340" s="7" t="str">
        <f t="shared" si="372"/>
        <v/>
      </c>
      <c r="AM340" s="43"/>
    </row>
    <row r="341">
      <c r="C341" s="131"/>
      <c r="D341" s="54"/>
      <c r="E341" s="54"/>
      <c r="F341" s="54"/>
      <c r="G341" s="54"/>
      <c r="H341" s="54"/>
      <c r="I341" s="54"/>
      <c r="J341" s="54"/>
      <c r="K341" s="54"/>
      <c r="L341" s="54"/>
      <c r="M341" s="54"/>
      <c r="N341" s="89"/>
      <c r="P341" s="77" t="str">
        <f>IF(ISBLANK(N336),IFERROR(0/0,""),IFERROR(VLOOKUP(N336, 'Process Ref'!$A$76:$D$124, 2, FALSE), IFERROR(0/0,"")))</f>
        <v/>
      </c>
      <c r="R341" s="78" t="str">
        <f>IFNA(MATCH(A341,'RFR Data - preExcl'!A$2:A447,0),"")</f>
        <v/>
      </c>
      <c r="S341" s="43"/>
      <c r="T341" s="114" t="str">
        <f>IF(AND(NOT(ISBLANK(U341)),NOT(ISBLANK(V341)),NOT(ISBLANK(W341))),CONCATENATE("RUN-",'Process Ref'!$A$1,"_",TEXT(V341,"YYYY-MM-DD"),"_APS-",TEXT(W341,"000")),IFERROR(0/0,""))</f>
        <v/>
      </c>
      <c r="U341" s="8" t="str">
        <f t="shared" si="373"/>
        <v/>
      </c>
      <c r="V341" s="141">
        <v>44963.0</v>
      </c>
      <c r="W341" s="142" t="str">
        <f t="shared" si="273"/>
        <v/>
      </c>
      <c r="X341" s="43"/>
      <c r="AC341" s="70"/>
      <c r="AF341" s="70"/>
      <c r="AG341" s="12"/>
      <c r="AJ341" s="7" t="str">
        <f t="shared" ref="AJ341:AL341" si="374">IF(AG341=L341,IFERROR(0/0,""),FALSE)</f>
        <v/>
      </c>
      <c r="AK341" s="7" t="str">
        <f t="shared" si="374"/>
        <v/>
      </c>
      <c r="AL341" s="7" t="str">
        <f t="shared" si="374"/>
        <v/>
      </c>
      <c r="AM341" s="43"/>
    </row>
    <row r="342">
      <c r="C342" s="131"/>
      <c r="D342" s="54"/>
      <c r="E342" s="54"/>
      <c r="F342" s="54"/>
      <c r="G342" s="54"/>
      <c r="H342" s="54"/>
      <c r="I342" s="54"/>
      <c r="J342" s="54"/>
      <c r="K342" s="54"/>
      <c r="L342" s="54"/>
      <c r="M342" s="54"/>
      <c r="N342" s="89"/>
      <c r="P342" s="77" t="str">
        <f>IF(ISBLANK(N337),IFERROR(0/0,""),IFERROR(VLOOKUP(N337, 'Process Ref'!$A$76:$D$124, 2, FALSE), IFERROR(0/0,"")))</f>
        <v/>
      </c>
      <c r="R342" s="78" t="str">
        <f>IFNA(MATCH(A342,'RFR Data - preExcl'!A$2:A447,0),"")</f>
        <v/>
      </c>
      <c r="S342" s="43"/>
      <c r="T342" s="114" t="str">
        <f>IF(AND(NOT(ISBLANK(U342)),NOT(ISBLANK(V342)),NOT(ISBLANK(W342))),CONCATENATE("RUN-",'Process Ref'!$A$1,"_",TEXT(V342,"YYYY-MM-DD"),"_APS-",TEXT(W342,"000")),IFERROR(0/0,""))</f>
        <v>RUN-ABRM_2023-02-07_APS-004</v>
      </c>
      <c r="U342" s="8">
        <f t="shared" si="373"/>
        <v>44964</v>
      </c>
      <c r="V342" s="141">
        <v>44964.0</v>
      </c>
      <c r="W342" s="142">
        <f t="shared" si="273"/>
        <v>4</v>
      </c>
      <c r="X342" s="43"/>
      <c r="AC342" s="70"/>
      <c r="AF342" s="70"/>
      <c r="AJ342" s="7" t="str">
        <f t="shared" ref="AJ342:AL342" si="375">IF(AG342=L342,IFERROR(0/0,""),FALSE)</f>
        <v/>
      </c>
      <c r="AK342" s="7" t="str">
        <f t="shared" si="375"/>
        <v/>
      </c>
      <c r="AL342" s="7" t="str">
        <f t="shared" si="375"/>
        <v/>
      </c>
      <c r="AM342" s="43"/>
    </row>
    <row r="343">
      <c r="C343" s="131"/>
      <c r="D343" s="54"/>
      <c r="E343" s="54"/>
      <c r="F343" s="54"/>
      <c r="G343" s="54"/>
      <c r="H343" s="54"/>
      <c r="I343" s="54"/>
      <c r="J343" s="54"/>
      <c r="K343" s="54"/>
      <c r="L343" s="54"/>
      <c r="M343" s="54"/>
      <c r="N343" s="89"/>
      <c r="P343" s="77" t="str">
        <f>IF(ISBLANK(N338),IFERROR(0/0,""),IFERROR(VLOOKUP(N338, 'Process Ref'!$A$76:$D$124, 2, FALSE), IFERROR(0/0,"")))</f>
        <v/>
      </c>
      <c r="R343" s="78" t="str">
        <f>IFNA(MATCH(A343,'RFR Data - preExcl'!A$2:A447,0),"")</f>
        <v/>
      </c>
      <c r="S343" s="43"/>
      <c r="T343" s="114" t="str">
        <f>IF(AND(NOT(ISBLANK(U343)),NOT(ISBLANK(V343)),NOT(ISBLANK(W343))),CONCATENATE("RUN-",'Process Ref'!$A$1,"_",TEXT(V343,"YYYY-MM-DD"),"_APS-",TEXT(W343,"000")),IFERROR(0/0,""))</f>
        <v/>
      </c>
      <c r="U343" s="8" t="str">
        <f t="shared" si="373"/>
        <v/>
      </c>
      <c r="V343" s="141">
        <v>44965.0</v>
      </c>
      <c r="W343" s="142" t="str">
        <f t="shared" si="273"/>
        <v/>
      </c>
      <c r="X343" s="43"/>
      <c r="AC343" s="70"/>
      <c r="AF343" s="70"/>
      <c r="AJ343" s="7" t="str">
        <f t="shared" ref="AJ343:AL343" si="376">IF(AG343=L343,IFERROR(0/0,""),FALSE)</f>
        <v/>
      </c>
      <c r="AK343" s="7" t="str">
        <f t="shared" si="376"/>
        <v/>
      </c>
      <c r="AL343" s="7" t="str">
        <f t="shared" si="376"/>
        <v/>
      </c>
      <c r="AM343" s="43"/>
    </row>
    <row r="344">
      <c r="C344" s="131"/>
      <c r="D344" s="54"/>
      <c r="E344" s="54"/>
      <c r="F344" s="54"/>
      <c r="G344" s="54"/>
      <c r="H344" s="54"/>
      <c r="I344" s="54"/>
      <c r="J344" s="54"/>
      <c r="K344" s="54"/>
      <c r="L344" s="54"/>
      <c r="M344" s="54"/>
      <c r="N344" s="89"/>
      <c r="P344" s="77" t="str">
        <f>IF(ISBLANK(N339),IFERROR(0/0,""),IFERROR(VLOOKUP(N339, 'Process Ref'!$A$76:$D$124, 2, FALSE), IFERROR(0/0,"")))</f>
        <v/>
      </c>
      <c r="R344" s="78" t="str">
        <f>IFNA(MATCH(A344,'RFR Data - preExcl'!A$2:A447,0),"")</f>
        <v/>
      </c>
      <c r="S344" s="43"/>
      <c r="T344" s="114" t="str">
        <f>IF(AND(NOT(ISBLANK(U344)),NOT(ISBLANK(V344)),NOT(ISBLANK(W344))),CONCATENATE("RUN-",'Process Ref'!$A$1,"_",TEXT(V344,"YYYY-MM-DD"),"_APS-",TEXT(W344,"000")),IFERROR(0/0,""))</f>
        <v/>
      </c>
      <c r="U344" s="8" t="str">
        <f t="shared" si="373"/>
        <v/>
      </c>
      <c r="V344" s="141">
        <v>44966.0</v>
      </c>
      <c r="W344" s="142" t="str">
        <f t="shared" si="273"/>
        <v/>
      </c>
      <c r="X344" s="43"/>
      <c r="AC344" s="70"/>
      <c r="AF344" s="70"/>
      <c r="AJ344" s="7" t="str">
        <f t="shared" ref="AJ344:AL344" si="377">IF(AG344=L344,IFERROR(0/0,""),FALSE)</f>
        <v/>
      </c>
      <c r="AK344" s="7" t="str">
        <f t="shared" si="377"/>
        <v/>
      </c>
      <c r="AL344" s="7" t="str">
        <f t="shared" si="377"/>
        <v/>
      </c>
      <c r="AM344" s="43"/>
    </row>
    <row r="345">
      <c r="C345" s="131"/>
      <c r="D345" s="54"/>
      <c r="E345" s="54"/>
      <c r="F345" s="54"/>
      <c r="G345" s="54"/>
      <c r="H345" s="54"/>
      <c r="I345" s="54"/>
      <c r="J345" s="54"/>
      <c r="K345" s="54"/>
      <c r="L345" s="54"/>
      <c r="M345" s="54"/>
      <c r="N345" s="89"/>
      <c r="P345" s="77" t="str">
        <f>IF(ISBLANK(N340),IFERROR(0/0,""),IFERROR(VLOOKUP(N340, 'Process Ref'!$A$76:$D$124, 2, FALSE), IFERROR(0/0,"")))</f>
        <v/>
      </c>
      <c r="R345" s="78" t="str">
        <f>IFNA(MATCH(A345,'RFR Data - preExcl'!A$2:A447,0),"")</f>
        <v/>
      </c>
      <c r="S345" s="43"/>
      <c r="T345" s="114" t="str">
        <f>IF(AND(NOT(ISBLANK(U345)),NOT(ISBLANK(V345)),NOT(ISBLANK(W345))),CONCATENATE("RUN-",'Process Ref'!$A$1,"_",TEXT(V345,"YYYY-MM-DD"),"_APS-",TEXT(W345,"000")),IFERROR(0/0,""))</f>
        <v/>
      </c>
      <c r="U345" s="8" t="str">
        <f t="shared" si="373"/>
        <v/>
      </c>
      <c r="V345" s="141">
        <v>44967.0</v>
      </c>
      <c r="W345" s="142" t="str">
        <f t="shared" si="273"/>
        <v/>
      </c>
      <c r="X345" s="43"/>
      <c r="AC345" s="70"/>
      <c r="AF345" s="70"/>
      <c r="AJ345" s="7" t="str">
        <f t="shared" ref="AJ345:AL345" si="378">IF(AG345=L345,IFERROR(0/0,""),FALSE)</f>
        <v/>
      </c>
      <c r="AK345" s="7" t="str">
        <f t="shared" si="378"/>
        <v/>
      </c>
      <c r="AL345" s="7" t="str">
        <f t="shared" si="378"/>
        <v/>
      </c>
      <c r="AM345" s="43"/>
    </row>
    <row r="346">
      <c r="C346" s="131"/>
      <c r="D346" s="54"/>
      <c r="E346" s="54"/>
      <c r="F346" s="54"/>
      <c r="G346" s="54"/>
      <c r="H346" s="54"/>
      <c r="I346" s="54"/>
      <c r="J346" s="54"/>
      <c r="K346" s="54"/>
      <c r="L346" s="54"/>
      <c r="M346" s="54"/>
      <c r="N346" s="89"/>
      <c r="P346" s="77" t="str">
        <f>IF(ISBLANK(N341),IFERROR(0/0,""),IFERROR(VLOOKUP(N341, 'Process Ref'!$A$76:$D$124, 2, FALSE), IFERROR(0/0,"")))</f>
        <v/>
      </c>
      <c r="R346" s="78" t="str">
        <f>IFNA(MATCH(A346,'RFR Data - preExcl'!A$2:A447,0),"")</f>
        <v/>
      </c>
      <c r="S346" s="43"/>
      <c r="T346" s="114" t="str">
        <f>IF(AND(NOT(ISBLANK(U346)),NOT(ISBLANK(V346)),NOT(ISBLANK(W346))),CONCATENATE("RUN-",'Process Ref'!$A$1,"_",TEXT(V346,"YYYY-MM-DD"),"_APS-",TEXT(W346,"000")),IFERROR(0/0,""))</f>
        <v/>
      </c>
      <c r="U346" s="8" t="str">
        <f t="shared" si="373"/>
        <v/>
      </c>
      <c r="V346" s="141">
        <v>44970.0</v>
      </c>
      <c r="W346" s="142" t="str">
        <f t="shared" si="273"/>
        <v/>
      </c>
      <c r="X346" s="43"/>
      <c r="AC346" s="70"/>
      <c r="AF346" s="70"/>
      <c r="AJ346" s="7" t="str">
        <f t="shared" ref="AJ346:AL346" si="379">IF(AG346=L346,IFERROR(0/0,""),FALSE)</f>
        <v/>
      </c>
      <c r="AK346" s="7" t="str">
        <f t="shared" si="379"/>
        <v/>
      </c>
      <c r="AL346" s="7" t="str">
        <f t="shared" si="379"/>
        <v/>
      </c>
      <c r="AM346" s="43"/>
    </row>
    <row r="347">
      <c r="C347" s="131"/>
      <c r="D347" s="54"/>
      <c r="E347" s="54"/>
      <c r="F347" s="54"/>
      <c r="G347" s="54"/>
      <c r="H347" s="54"/>
      <c r="I347" s="54"/>
      <c r="J347" s="54"/>
      <c r="K347" s="54"/>
      <c r="L347" s="54"/>
      <c r="M347" s="54"/>
      <c r="N347" s="89"/>
      <c r="P347" s="77" t="str">
        <f>IF(ISBLANK(N342),IFERROR(0/0,""),IFERROR(VLOOKUP(N342, 'Process Ref'!$A$76:$D$124, 2, FALSE), IFERROR(0/0,"")))</f>
        <v/>
      </c>
      <c r="R347" s="78" t="str">
        <f>IFNA(MATCH(A347,'RFR Data - preExcl'!A$2:A447,0),"")</f>
        <v/>
      </c>
      <c r="S347" s="43"/>
      <c r="T347" s="114" t="str">
        <f>IF(AND(NOT(ISBLANK(U347)),NOT(ISBLANK(V347)),NOT(ISBLANK(W347))),CONCATENATE("RUN-",'Process Ref'!$A$1,"_",TEXT(V347,"YYYY-MM-DD"),"_APS-",TEXT(W347,"000")),IFERROR(0/0,""))</f>
        <v/>
      </c>
      <c r="U347" s="8" t="str">
        <f t="shared" si="373"/>
        <v/>
      </c>
      <c r="V347" s="141">
        <v>44971.0</v>
      </c>
      <c r="W347" s="142" t="str">
        <f t="shared" si="273"/>
        <v/>
      </c>
      <c r="X347" s="43"/>
      <c r="AC347" s="70"/>
      <c r="AF347" s="70"/>
      <c r="AJ347" s="7" t="str">
        <f t="shared" ref="AJ347:AL347" si="380">IF(AG347=L347,IFERROR(0/0,""),FALSE)</f>
        <v/>
      </c>
      <c r="AK347" s="7" t="str">
        <f t="shared" si="380"/>
        <v/>
      </c>
      <c r="AL347" s="7" t="str">
        <f t="shared" si="380"/>
        <v/>
      </c>
      <c r="AM347" s="43"/>
    </row>
    <row r="348">
      <c r="C348" s="131"/>
      <c r="D348" s="54"/>
      <c r="E348" s="54"/>
      <c r="F348" s="54"/>
      <c r="G348" s="54"/>
      <c r="H348" s="54"/>
      <c r="I348" s="54"/>
      <c r="J348" s="54"/>
      <c r="K348" s="54"/>
      <c r="L348" s="54"/>
      <c r="M348" s="54"/>
      <c r="N348" s="89"/>
      <c r="P348" s="77" t="str">
        <f>IF(ISBLANK(N343),IFERROR(0/0,""),IFERROR(VLOOKUP(N343, 'Process Ref'!$A$76:$D$124, 2, FALSE), IFERROR(0/0,"")))</f>
        <v/>
      </c>
      <c r="R348" s="78" t="str">
        <f>IFNA(MATCH(A348,'RFR Data - preExcl'!A$2:A447,0),"")</f>
        <v/>
      </c>
      <c r="S348" s="43"/>
      <c r="T348" s="114" t="str">
        <f>IF(AND(NOT(ISBLANK(U348)),NOT(ISBLANK(V348)),NOT(ISBLANK(W348))),CONCATENATE("RUN-",'Process Ref'!$A$1,"_",TEXT(V348,"YYYY-MM-DD"),"_APS-",TEXT(W348,"000")),IFERROR(0/0,""))</f>
        <v/>
      </c>
      <c r="U348" s="8" t="str">
        <f t="shared" si="373"/>
        <v/>
      </c>
      <c r="V348" s="141">
        <v>44972.0</v>
      </c>
      <c r="W348" s="142" t="str">
        <f t="shared" si="273"/>
        <v/>
      </c>
      <c r="X348" s="43"/>
      <c r="AC348" s="70"/>
      <c r="AF348" s="70"/>
      <c r="AJ348" s="7" t="str">
        <f t="shared" ref="AJ348:AL348" si="381">IF(AG348=L348,IFERROR(0/0,""),FALSE)</f>
        <v/>
      </c>
      <c r="AK348" s="7" t="str">
        <f t="shared" si="381"/>
        <v/>
      </c>
      <c r="AL348" s="7" t="str">
        <f t="shared" si="381"/>
        <v/>
      </c>
      <c r="AM348" s="43"/>
    </row>
    <row r="349">
      <c r="C349" s="131"/>
      <c r="D349" s="54"/>
      <c r="E349" s="54"/>
      <c r="F349" s="54"/>
      <c r="G349" s="54"/>
      <c r="H349" s="54"/>
      <c r="I349" s="54"/>
      <c r="J349" s="54"/>
      <c r="K349" s="54"/>
      <c r="L349" s="54"/>
      <c r="M349" s="54"/>
      <c r="N349" s="89"/>
      <c r="P349" s="77" t="str">
        <f>IF(ISBLANK(N344),IFERROR(0/0,""),IFERROR(VLOOKUP(N344, 'Process Ref'!$A$76:$D$124, 2, FALSE), IFERROR(0/0,"")))</f>
        <v/>
      </c>
      <c r="R349" s="78" t="str">
        <f>IFNA(MATCH(A349,'RFR Data - preExcl'!A$2:A447,0),"")</f>
        <v/>
      </c>
      <c r="S349" s="43"/>
      <c r="T349" s="114" t="str">
        <f>IF(AND(NOT(ISBLANK(U349)),NOT(ISBLANK(V349)),NOT(ISBLANK(W349))),CONCATENATE("RUN-",'Process Ref'!$A$1,"_",TEXT(V349,"YYYY-MM-DD"),"_APS-",TEXT(W349,"000")),IFERROR(0/0,""))</f>
        <v/>
      </c>
      <c r="U349" s="8" t="str">
        <f t="shared" si="373"/>
        <v/>
      </c>
      <c r="V349" s="141">
        <v>44973.0</v>
      </c>
      <c r="W349" s="142" t="str">
        <f t="shared" si="273"/>
        <v/>
      </c>
      <c r="X349" s="43"/>
      <c r="AC349" s="70"/>
      <c r="AF349" s="70"/>
      <c r="AJ349" s="7" t="str">
        <f t="shared" ref="AJ349:AL349" si="382">IF(AG349=L349,IFERROR(0/0,""),FALSE)</f>
        <v/>
      </c>
      <c r="AK349" s="7" t="str">
        <f t="shared" si="382"/>
        <v/>
      </c>
      <c r="AL349" s="7" t="str">
        <f t="shared" si="382"/>
        <v/>
      </c>
      <c r="AM349" s="43"/>
    </row>
    <row r="350">
      <c r="C350" s="131"/>
      <c r="D350" s="54"/>
      <c r="E350" s="54"/>
      <c r="F350" s="54"/>
      <c r="G350" s="54"/>
      <c r="H350" s="54"/>
      <c r="I350" s="54"/>
      <c r="J350" s="54"/>
      <c r="K350" s="54"/>
      <c r="L350" s="54"/>
      <c r="M350" s="54"/>
      <c r="N350" s="89"/>
      <c r="P350" s="77" t="str">
        <f>IF(ISBLANK(N345),IFERROR(0/0,""),IFERROR(VLOOKUP(N345, 'Process Ref'!$A$76:$D$124, 2, FALSE), IFERROR(0/0,"")))</f>
        <v/>
      </c>
      <c r="R350" s="78"/>
      <c r="S350" s="43"/>
      <c r="T350" s="114" t="str">
        <f>IF(AND(NOT(ISBLANK(U350)),NOT(ISBLANK(V350)),NOT(ISBLANK(W350))),CONCATENATE("RUN-",'Process Ref'!$A$1,"_",TEXT(V350,"YYYY-MM-DD"),"_APS-",TEXT(W350,"000")),IFERROR(0/0,""))</f>
        <v/>
      </c>
      <c r="U350" s="8" t="str">
        <f t="shared" si="373"/>
        <v/>
      </c>
      <c r="V350" s="141">
        <v>44974.0</v>
      </c>
      <c r="W350" s="142" t="str">
        <f t="shared" si="273"/>
        <v/>
      </c>
      <c r="X350" s="43"/>
      <c r="AC350" s="70"/>
      <c r="AF350" s="70"/>
      <c r="AJ350" s="7" t="str">
        <f t="shared" ref="AJ350:AL350" si="383">IF(AG350=L350,IFERROR(0/0,""),FALSE)</f>
        <v/>
      </c>
      <c r="AK350" s="7" t="str">
        <f t="shared" si="383"/>
        <v/>
      </c>
      <c r="AL350" s="7" t="str">
        <f t="shared" si="383"/>
        <v/>
      </c>
      <c r="AM350" s="43"/>
    </row>
    <row r="351">
      <c r="C351" s="131"/>
      <c r="D351" s="54"/>
      <c r="E351" s="54"/>
      <c r="F351" s="54"/>
      <c r="G351" s="54"/>
      <c r="H351" s="54"/>
      <c r="I351" s="54"/>
      <c r="J351" s="54"/>
      <c r="K351" s="54"/>
      <c r="L351" s="54"/>
      <c r="M351" s="54"/>
      <c r="N351" s="89"/>
      <c r="P351" s="77" t="str">
        <f>IF(ISBLANK(N346),IFERROR(0/0,""),IFERROR(VLOOKUP(N346, 'Process Ref'!$A$76:$D$124, 2, FALSE), IFERROR(0/0,"")))</f>
        <v/>
      </c>
      <c r="R351" s="78"/>
      <c r="S351" s="43"/>
      <c r="T351" s="114" t="str">
        <f>IF(AND(NOT(ISBLANK(U351)),NOT(ISBLANK(V351)),NOT(ISBLANK(W351))),CONCATENATE("RUN-",'Process Ref'!$A$1,"_",TEXT(V351,"YYYY-MM-DD"),"_APS-",TEXT(W351,"000")),IFERROR(0/0,""))</f>
        <v/>
      </c>
      <c r="U351" s="8" t="str">
        <f t="shared" si="373"/>
        <v/>
      </c>
      <c r="V351" s="141">
        <v>44977.0</v>
      </c>
      <c r="W351" s="142" t="str">
        <f t="shared" si="273"/>
        <v/>
      </c>
      <c r="X351" s="43"/>
      <c r="AC351" s="70"/>
      <c r="AF351" s="70"/>
      <c r="AJ351" s="7" t="str">
        <f t="shared" ref="AJ351:AL351" si="384">IF(AG351=L351,IFERROR(0/0,""),FALSE)</f>
        <v/>
      </c>
      <c r="AK351" s="7" t="str">
        <f t="shared" si="384"/>
        <v/>
      </c>
      <c r="AL351" s="7" t="str">
        <f t="shared" si="384"/>
        <v/>
      </c>
      <c r="AM351" s="43"/>
    </row>
    <row r="352">
      <c r="C352" s="131"/>
      <c r="D352" s="54"/>
      <c r="E352" s="54"/>
      <c r="F352" s="54"/>
      <c r="G352" s="54"/>
      <c r="H352" s="54"/>
      <c r="I352" s="54"/>
      <c r="J352" s="54"/>
      <c r="K352" s="54"/>
      <c r="L352" s="54"/>
      <c r="M352" s="54"/>
      <c r="N352" s="89"/>
      <c r="P352" s="77" t="str">
        <f>IF(ISBLANK(N347),IFERROR(0/0,""),IFERROR(VLOOKUP(N347, 'Process Ref'!$A$76:$D$124, 2, FALSE), IFERROR(0/0,"")))</f>
        <v/>
      </c>
      <c r="R352" s="78"/>
      <c r="S352" s="43"/>
      <c r="T352" s="114" t="str">
        <f>IF(AND(NOT(ISBLANK(U352)),NOT(ISBLANK(V352)),NOT(ISBLANK(W352))),CONCATENATE("RUN-",'Process Ref'!$A$1,"_",TEXT(V352,"YYYY-MM-DD"),"_APS-",TEXT(W352,"000")),IFERROR(0/0,""))</f>
        <v/>
      </c>
      <c r="U352" s="8" t="str">
        <f t="shared" si="373"/>
        <v/>
      </c>
      <c r="V352" s="141">
        <v>44978.0</v>
      </c>
      <c r="W352" s="142" t="str">
        <f t="shared" si="273"/>
        <v/>
      </c>
      <c r="X352" s="43"/>
      <c r="AC352" s="70"/>
      <c r="AF352" s="70"/>
      <c r="AJ352" s="7" t="str">
        <f t="shared" ref="AJ352:AL352" si="385">IF(AG352=L352,IFERROR(0/0,""),FALSE)</f>
        <v/>
      </c>
      <c r="AK352" s="7" t="str">
        <f t="shared" si="385"/>
        <v/>
      </c>
      <c r="AL352" s="7" t="str">
        <f t="shared" si="385"/>
        <v/>
      </c>
      <c r="AM352" s="43"/>
    </row>
    <row r="353">
      <c r="C353" s="131"/>
      <c r="D353" s="54"/>
      <c r="E353" s="54"/>
      <c r="F353" s="54"/>
      <c r="G353" s="54"/>
      <c r="H353" s="54"/>
      <c r="I353" s="54"/>
      <c r="J353" s="54"/>
      <c r="K353" s="54"/>
      <c r="L353" s="54"/>
      <c r="M353" s="54"/>
      <c r="N353" s="89"/>
      <c r="P353" s="77" t="str">
        <f>IF(ISBLANK(N348),IFERROR(0/0,""),IFERROR(VLOOKUP(N348, 'Process Ref'!$A$76:$D$124, 2, FALSE), IFERROR(0/0,"")))</f>
        <v/>
      </c>
      <c r="R353" s="78"/>
      <c r="S353" s="43"/>
      <c r="T353" s="114" t="str">
        <f>IF(AND(NOT(ISBLANK(U353)),NOT(ISBLANK(V353)),NOT(ISBLANK(W353))),CONCATENATE("RUN-",'Process Ref'!$A$1,"_",TEXT(V353,"YYYY-MM-DD"),"_APS-",TEXT(W353,"000")),IFERROR(0/0,""))</f>
        <v/>
      </c>
      <c r="U353" s="8" t="str">
        <f t="shared" si="373"/>
        <v/>
      </c>
      <c r="V353" s="141">
        <v>44979.0</v>
      </c>
      <c r="W353" s="142" t="str">
        <f t="shared" si="273"/>
        <v/>
      </c>
      <c r="X353" s="43"/>
      <c r="AC353" s="70"/>
      <c r="AF353" s="70"/>
      <c r="AJ353" s="7" t="str">
        <f t="shared" ref="AJ353:AL353" si="386">IF(AG353=L353,IFERROR(0/0,""),FALSE)</f>
        <v/>
      </c>
      <c r="AK353" s="7" t="str">
        <f t="shared" si="386"/>
        <v/>
      </c>
      <c r="AL353" s="7" t="str">
        <f t="shared" si="386"/>
        <v/>
      </c>
      <c r="AM353" s="43"/>
    </row>
    <row r="354">
      <c r="C354" s="131"/>
      <c r="D354" s="54"/>
      <c r="E354" s="54"/>
      <c r="F354" s="54"/>
      <c r="G354" s="54"/>
      <c r="H354" s="54"/>
      <c r="I354" s="54"/>
      <c r="J354" s="54"/>
      <c r="K354" s="54"/>
      <c r="L354" s="54"/>
      <c r="M354" s="54"/>
      <c r="N354" s="89"/>
      <c r="P354" s="77" t="str">
        <f>IF(ISBLANK(N349),IFERROR(0/0,""),IFERROR(VLOOKUP(N349, 'Process Ref'!$A$76:$D$124, 2, FALSE), IFERROR(0/0,"")))</f>
        <v/>
      </c>
      <c r="R354" s="78"/>
      <c r="S354" s="43"/>
      <c r="T354" s="114" t="str">
        <f>IF(AND(NOT(ISBLANK(U354)),NOT(ISBLANK(V354)),NOT(ISBLANK(W354))),CONCATENATE("RUN-",'Process Ref'!$A$1,"_",TEXT(V354,"YYYY-MM-DD"),"_APS-",TEXT(W354,"000")),IFERROR(0/0,""))</f>
        <v/>
      </c>
      <c r="U354" s="8" t="str">
        <f t="shared" si="373"/>
        <v/>
      </c>
      <c r="V354" s="141">
        <v>44980.0</v>
      </c>
      <c r="W354" s="142" t="str">
        <f t="shared" si="273"/>
        <v/>
      </c>
      <c r="X354" s="43"/>
      <c r="AC354" s="70"/>
      <c r="AF354" s="70"/>
      <c r="AJ354" s="7" t="str">
        <f t="shared" ref="AJ354:AL354" si="387">IF(AG354=L354,IFERROR(0/0,""),FALSE)</f>
        <v/>
      </c>
      <c r="AK354" s="7" t="str">
        <f t="shared" si="387"/>
        <v/>
      </c>
      <c r="AL354" s="7" t="str">
        <f t="shared" si="387"/>
        <v/>
      </c>
      <c r="AM354" s="43"/>
    </row>
    <row r="355">
      <c r="C355" s="131"/>
      <c r="D355" s="54"/>
      <c r="E355" s="54"/>
      <c r="F355" s="54"/>
      <c r="G355" s="54"/>
      <c r="H355" s="54"/>
      <c r="I355" s="54"/>
      <c r="J355" s="54"/>
      <c r="K355" s="54"/>
      <c r="L355" s="54"/>
      <c r="M355" s="54"/>
      <c r="N355" s="89"/>
      <c r="P355" s="77" t="str">
        <f>IF(ISBLANK(N350),IFERROR(0/0,""),IFERROR(VLOOKUP(N350, 'Process Ref'!$A$76:$D$124, 2, FALSE), IFERROR(0/0,"")))</f>
        <v/>
      </c>
      <c r="R355" s="78"/>
      <c r="S355" s="43"/>
      <c r="T355" s="114" t="str">
        <f>IF(AND(NOT(ISBLANK(U355)),NOT(ISBLANK(V355)),NOT(ISBLANK(W355))),CONCATENATE("RUN-",'Process Ref'!$A$1,"_",TEXT(V355,"YYYY-MM-DD"),"_APS-",TEXT(W355,"000")),IFERROR(0/0,""))</f>
        <v/>
      </c>
      <c r="U355" s="8" t="str">
        <f t="shared" si="373"/>
        <v/>
      </c>
      <c r="V355" s="141">
        <v>44981.0</v>
      </c>
      <c r="W355" s="142" t="str">
        <f t="shared" si="273"/>
        <v/>
      </c>
      <c r="X355" s="43"/>
      <c r="AC355" s="70"/>
      <c r="AF355" s="70"/>
      <c r="AJ355" s="7" t="str">
        <f t="shared" ref="AJ355:AL355" si="388">IF(AG355=L355,IFERROR(0/0,""),FALSE)</f>
        <v/>
      </c>
      <c r="AK355" s="7" t="str">
        <f t="shared" si="388"/>
        <v/>
      </c>
      <c r="AL355" s="7" t="str">
        <f t="shared" si="388"/>
        <v/>
      </c>
      <c r="AM355" s="43"/>
    </row>
    <row r="356">
      <c r="C356" s="131"/>
      <c r="D356" s="54"/>
      <c r="E356" s="54"/>
      <c r="F356" s="54"/>
      <c r="G356" s="54"/>
      <c r="H356" s="54"/>
      <c r="I356" s="54"/>
      <c r="J356" s="54"/>
      <c r="K356" s="54"/>
      <c r="L356" s="54"/>
      <c r="M356" s="54"/>
      <c r="N356" s="89"/>
      <c r="P356" s="77" t="str">
        <f>IF(ISBLANK(N351),IFERROR(0/0,""),IFERROR(VLOOKUP(N351, 'Process Ref'!$A$76:$D$124, 2, FALSE), IFERROR(0/0,"")))</f>
        <v/>
      </c>
      <c r="R356" s="78"/>
      <c r="S356" s="43"/>
      <c r="T356" s="114" t="str">
        <f>IF(AND(NOT(ISBLANK(U356)),NOT(ISBLANK(V356)),NOT(ISBLANK(W356))),CONCATENATE("RUN-",'Process Ref'!$A$1,"_",TEXT(V356,"YYYY-MM-DD"),"_APS-",TEXT(W356,"000")),IFERROR(0/0,""))</f>
        <v/>
      </c>
      <c r="U356" s="8" t="str">
        <f t="shared" si="373"/>
        <v/>
      </c>
      <c r="V356" s="141">
        <v>44984.0</v>
      </c>
      <c r="W356" s="142" t="str">
        <f t="shared" si="273"/>
        <v/>
      </c>
      <c r="X356" s="43"/>
      <c r="AC356" s="70"/>
      <c r="AF356" s="70"/>
      <c r="AJ356" s="7" t="str">
        <f t="shared" ref="AJ356:AL356" si="389">IF(AG356=L356,IFERROR(0/0,""),FALSE)</f>
        <v/>
      </c>
      <c r="AK356" s="7" t="str">
        <f t="shared" si="389"/>
        <v/>
      </c>
      <c r="AL356" s="7" t="str">
        <f t="shared" si="389"/>
        <v/>
      </c>
      <c r="AM356" s="43"/>
    </row>
    <row r="357">
      <c r="C357" s="131"/>
      <c r="D357" s="54"/>
      <c r="E357" s="54"/>
      <c r="F357" s="54"/>
      <c r="G357" s="54"/>
      <c r="H357" s="54"/>
      <c r="I357" s="54"/>
      <c r="J357" s="54"/>
      <c r="K357" s="54"/>
      <c r="L357" s="54"/>
      <c r="M357" s="54"/>
      <c r="N357" s="89"/>
      <c r="P357" s="77" t="str">
        <f>IF(ISBLANK(N352),IFERROR(0/0,""),IFERROR(VLOOKUP(N352, 'Process Ref'!$A$76:$D$124, 2, FALSE), IFERROR(0/0,"")))</f>
        <v/>
      </c>
      <c r="R357" s="78"/>
      <c r="S357" s="43"/>
      <c r="T357" s="114" t="str">
        <f>IF(AND(NOT(ISBLANK(U357)),NOT(ISBLANK(V357)),NOT(ISBLANK(W357))),CONCATENATE("RUN-",'Process Ref'!$A$1,"_",TEXT(V357,"YYYY-MM-DD"),"_APS-",TEXT(W357,"000")),IFERROR(0/0,""))</f>
        <v/>
      </c>
      <c r="U357" s="8" t="str">
        <f t="shared" si="373"/>
        <v/>
      </c>
      <c r="V357" s="141">
        <v>44985.0</v>
      </c>
      <c r="W357" s="142" t="str">
        <f t="shared" si="273"/>
        <v/>
      </c>
      <c r="X357" s="43"/>
      <c r="AC357" s="70"/>
      <c r="AF357" s="70"/>
      <c r="AJ357" s="7" t="str">
        <f t="shared" ref="AJ357:AL357" si="390">IF(AG357=L357,IFERROR(0/0,""),FALSE)</f>
        <v/>
      </c>
      <c r="AK357" s="7" t="str">
        <f t="shared" si="390"/>
        <v/>
      </c>
      <c r="AL357" s="7" t="str">
        <f t="shared" si="390"/>
        <v/>
      </c>
      <c r="AM357" s="43"/>
    </row>
    <row r="358">
      <c r="C358" s="131"/>
      <c r="D358" s="54"/>
      <c r="E358" s="54"/>
      <c r="F358" s="54"/>
      <c r="G358" s="54"/>
      <c r="H358" s="54"/>
      <c r="I358" s="54"/>
      <c r="J358" s="54"/>
      <c r="K358" s="54"/>
      <c r="L358" s="54"/>
      <c r="M358" s="54"/>
      <c r="N358" s="89"/>
      <c r="P358" s="77" t="str">
        <f>IF(ISBLANK(N353),IFERROR(0/0,""),IFERROR(VLOOKUP(N353, 'Process Ref'!$A$76:$D$124, 2, FALSE), IFERROR(0/0,"")))</f>
        <v/>
      </c>
      <c r="R358" s="78"/>
      <c r="S358" s="43"/>
      <c r="T358" s="114" t="str">
        <f>IF(AND(NOT(ISBLANK(U358)),NOT(ISBLANK(V358)),NOT(ISBLANK(W358))),CONCATENATE("RUN-",'Process Ref'!$A$1,"_",TEXT(V358,"YYYY-MM-DD"),"_APS-",TEXT(W358,"000")),IFERROR(0/0,""))</f>
        <v/>
      </c>
      <c r="U358" s="8" t="str">
        <f t="shared" si="373"/>
        <v/>
      </c>
      <c r="V358" s="141">
        <v>44986.0</v>
      </c>
      <c r="W358" s="142" t="str">
        <f t="shared" si="273"/>
        <v/>
      </c>
      <c r="X358" s="43"/>
      <c r="AC358" s="70"/>
      <c r="AF358" s="70"/>
      <c r="AJ358" s="7" t="str">
        <f t="shared" ref="AJ358:AL358" si="391">IF(AG358=L358,IFERROR(0/0,""),FALSE)</f>
        <v/>
      </c>
      <c r="AK358" s="7" t="str">
        <f t="shared" si="391"/>
        <v/>
      </c>
      <c r="AL358" s="7" t="str">
        <f t="shared" si="391"/>
        <v/>
      </c>
      <c r="AM358" s="43"/>
    </row>
    <row r="359">
      <c r="C359" s="131"/>
      <c r="D359" s="54"/>
      <c r="E359" s="54"/>
      <c r="F359" s="54"/>
      <c r="G359" s="54"/>
      <c r="H359" s="54"/>
      <c r="I359" s="54"/>
      <c r="J359" s="54"/>
      <c r="K359" s="54"/>
      <c r="L359" s="54"/>
      <c r="M359" s="54"/>
      <c r="N359" s="89"/>
      <c r="P359" s="77" t="str">
        <f>IF(ISBLANK(N354),IFERROR(0/0,""),IFERROR(VLOOKUP(N354, 'Process Ref'!$A$76:$D$124, 2, FALSE), IFERROR(0/0,"")))</f>
        <v/>
      </c>
      <c r="R359" s="78"/>
      <c r="S359" s="43"/>
      <c r="T359" s="114" t="str">
        <f>IF(AND(NOT(ISBLANK(U359)),NOT(ISBLANK(V359)),NOT(ISBLANK(W359))),CONCATENATE("RUN-",'Process Ref'!$A$1,"_",TEXT(V359,"YYYY-MM-DD"),"_APS-",TEXT(W359,"000")),IFERROR(0/0,""))</f>
        <v/>
      </c>
      <c r="U359" s="8" t="str">
        <f t="shared" si="373"/>
        <v/>
      </c>
      <c r="V359" s="141">
        <v>44987.0</v>
      </c>
      <c r="W359" s="142" t="str">
        <f t="shared" si="273"/>
        <v/>
      </c>
      <c r="X359" s="43"/>
      <c r="AC359" s="70"/>
      <c r="AF359" s="70"/>
      <c r="AJ359" s="7" t="str">
        <f t="shared" ref="AJ359:AL359" si="392">IF(AG359=L359,IFERROR(0/0,""),FALSE)</f>
        <v/>
      </c>
      <c r="AK359" s="7" t="str">
        <f t="shared" si="392"/>
        <v/>
      </c>
      <c r="AL359" s="7" t="str">
        <f t="shared" si="392"/>
        <v/>
      </c>
      <c r="AM359" s="43"/>
    </row>
    <row r="360">
      <c r="C360" s="131"/>
      <c r="D360" s="54"/>
      <c r="E360" s="54"/>
      <c r="F360" s="54"/>
      <c r="G360" s="54"/>
      <c r="H360" s="54"/>
      <c r="I360" s="54"/>
      <c r="J360" s="54"/>
      <c r="K360" s="54"/>
      <c r="L360" s="54"/>
      <c r="M360" s="54"/>
      <c r="N360" s="89"/>
      <c r="P360" s="77" t="str">
        <f>IF(ISBLANK(N355),IFERROR(0/0,""),IFERROR(VLOOKUP(N355, 'Process Ref'!$A$76:$D$124, 2, FALSE), IFERROR(0/0,"")))</f>
        <v/>
      </c>
      <c r="R360" s="78"/>
      <c r="S360" s="43"/>
      <c r="T360" s="114" t="str">
        <f>IF(AND(NOT(ISBLANK(U360)),NOT(ISBLANK(V360)),NOT(ISBLANK(W360))),CONCATENATE("RUN-",'Process Ref'!$A$1,"_",TEXT(V360,"YYYY-MM-DD"),"_APS-",TEXT(W360,"000")),IFERROR(0/0,""))</f>
        <v>RUN-ABRM_2023-03-03_APS-005</v>
      </c>
      <c r="U360" s="8">
        <f t="shared" si="373"/>
        <v>44988</v>
      </c>
      <c r="V360" s="141">
        <v>44988.0</v>
      </c>
      <c r="W360" s="142">
        <f t="shared" si="273"/>
        <v>5</v>
      </c>
      <c r="X360" s="43"/>
      <c r="AC360" s="70"/>
      <c r="AF360" s="70"/>
      <c r="AJ360" s="7" t="str">
        <f t="shared" ref="AJ360:AL360" si="393">IF(AG360=L360,IFERROR(0/0,""),FALSE)</f>
        <v/>
      </c>
      <c r="AK360" s="7" t="str">
        <f t="shared" si="393"/>
        <v/>
      </c>
      <c r="AL360" s="7" t="str">
        <f t="shared" si="393"/>
        <v/>
      </c>
      <c r="AM360" s="43"/>
    </row>
    <row r="361">
      <c r="C361" s="131"/>
      <c r="D361" s="54"/>
      <c r="E361" s="54"/>
      <c r="F361" s="54"/>
      <c r="G361" s="54"/>
      <c r="H361" s="54"/>
      <c r="I361" s="54"/>
      <c r="J361" s="54"/>
      <c r="K361" s="54"/>
      <c r="L361" s="54"/>
      <c r="M361" s="54"/>
      <c r="N361" s="89"/>
      <c r="P361" s="77" t="str">
        <f>IF(ISBLANK(N356),IFERROR(0/0,""),IFERROR(VLOOKUP(N356, 'Process Ref'!$A$76:$D$124, 2, FALSE), IFERROR(0/0,"")))</f>
        <v/>
      </c>
      <c r="R361" s="78"/>
      <c r="S361" s="43"/>
      <c r="T361" s="114" t="str">
        <f>IF(AND(NOT(ISBLANK(U361)),NOT(ISBLANK(V361)),NOT(ISBLANK(W361))),CONCATENATE("RUN-",'Process Ref'!$A$1,"_",TEXT(V361,"YYYY-MM-DD"),"_APS-",TEXT(W361,"000")),IFERROR(0/0,""))</f>
        <v/>
      </c>
      <c r="U361" s="8" t="str">
        <f t="shared" si="373"/>
        <v/>
      </c>
      <c r="V361" s="141">
        <v>44991.0</v>
      </c>
      <c r="W361" s="142" t="str">
        <f t="shared" si="273"/>
        <v/>
      </c>
      <c r="X361" s="43"/>
      <c r="AC361" s="70"/>
      <c r="AF361" s="70"/>
      <c r="AJ361" s="7" t="str">
        <f t="shared" ref="AJ361:AL361" si="394">IF(AG361=L361,IFERROR(0/0,""),FALSE)</f>
        <v/>
      </c>
      <c r="AK361" s="7" t="str">
        <f t="shared" si="394"/>
        <v/>
      </c>
      <c r="AL361" s="7" t="str">
        <f t="shared" si="394"/>
        <v/>
      </c>
      <c r="AM361" s="43"/>
    </row>
    <row r="362">
      <c r="C362" s="131"/>
      <c r="D362" s="54"/>
      <c r="E362" s="54"/>
      <c r="F362" s="54"/>
      <c r="G362" s="54"/>
      <c r="H362" s="54"/>
      <c r="I362" s="54"/>
      <c r="J362" s="54"/>
      <c r="K362" s="54"/>
      <c r="L362" s="54"/>
      <c r="M362" s="54"/>
      <c r="N362" s="89"/>
      <c r="P362" s="77" t="str">
        <f>IF(ISBLANK(N357),IFERROR(0/0,""),IFERROR(VLOOKUP(N357, 'Process Ref'!$A$76:$D$124, 2, FALSE), IFERROR(0/0,"")))</f>
        <v/>
      </c>
      <c r="R362" s="78"/>
      <c r="S362" s="43"/>
      <c r="T362" s="114" t="str">
        <f>IF(AND(NOT(ISBLANK(U362)),NOT(ISBLANK(V362)),NOT(ISBLANK(W362))),CONCATENATE("RUN-",'Process Ref'!$A$1,"_",TEXT(V362,"YYYY-MM-DD"),"_APS-",TEXT(W362,"000")),IFERROR(0/0,""))</f>
        <v/>
      </c>
      <c r="U362" s="8" t="str">
        <f t="shared" si="373"/>
        <v/>
      </c>
      <c r="V362" s="141">
        <v>44992.0</v>
      </c>
      <c r="W362" s="142" t="str">
        <f t="shared" si="273"/>
        <v/>
      </c>
      <c r="X362" s="43"/>
      <c r="AC362" s="70"/>
      <c r="AF362" s="70"/>
      <c r="AJ362" s="7" t="str">
        <f t="shared" ref="AJ362:AL362" si="395">IF(AG362=L362,IFERROR(0/0,""),FALSE)</f>
        <v/>
      </c>
      <c r="AK362" s="7" t="str">
        <f t="shared" si="395"/>
        <v/>
      </c>
      <c r="AL362" s="7" t="str">
        <f t="shared" si="395"/>
        <v/>
      </c>
      <c r="AM362" s="43"/>
    </row>
    <row r="363">
      <c r="C363" s="131"/>
      <c r="D363" s="54"/>
      <c r="E363" s="54"/>
      <c r="F363" s="54"/>
      <c r="G363" s="54"/>
      <c r="H363" s="54"/>
      <c r="I363" s="54"/>
      <c r="J363" s="54"/>
      <c r="K363" s="54"/>
      <c r="L363" s="54"/>
      <c r="M363" s="54"/>
      <c r="N363" s="89"/>
      <c r="P363" s="77" t="str">
        <f>IF(ISBLANK(N358),IFERROR(0/0,""),IFERROR(VLOOKUP(N358, 'Process Ref'!$A$76:$D$124, 2, FALSE), IFERROR(0/0,"")))</f>
        <v/>
      </c>
      <c r="R363" s="78"/>
      <c r="S363" s="43"/>
      <c r="T363" s="114" t="str">
        <f>IF(AND(NOT(ISBLANK(U363)),NOT(ISBLANK(V363)),NOT(ISBLANK(W363))),CONCATENATE("RUN-",'Process Ref'!$A$1,"_",TEXT(V363,"YYYY-MM-DD"),"_APS-",TEXT(W363,"000")),IFERROR(0/0,""))</f>
        <v/>
      </c>
      <c r="U363" s="8" t="str">
        <f t="shared" si="373"/>
        <v/>
      </c>
      <c r="V363" s="141">
        <v>44993.0</v>
      </c>
      <c r="W363" s="142" t="str">
        <f t="shared" si="273"/>
        <v/>
      </c>
      <c r="X363" s="43"/>
      <c r="AC363" s="70"/>
      <c r="AF363" s="70"/>
      <c r="AJ363" s="7" t="str">
        <f t="shared" ref="AJ363:AL363" si="396">IF(AG363=L363,IFERROR(0/0,""),FALSE)</f>
        <v/>
      </c>
      <c r="AK363" s="7" t="str">
        <f t="shared" si="396"/>
        <v/>
      </c>
      <c r="AL363" s="7" t="str">
        <f t="shared" si="396"/>
        <v/>
      </c>
      <c r="AM363" s="43"/>
    </row>
    <row r="364">
      <c r="C364" s="131"/>
      <c r="D364" s="54"/>
      <c r="E364" s="54"/>
      <c r="F364" s="54"/>
      <c r="G364" s="54"/>
      <c r="H364" s="54"/>
      <c r="I364" s="54"/>
      <c r="J364" s="54"/>
      <c r="K364" s="54"/>
      <c r="L364" s="54"/>
      <c r="M364" s="54"/>
      <c r="N364" s="89"/>
      <c r="P364" s="77" t="str">
        <f>IF(ISBLANK(N359),IFERROR(0/0,""),IFERROR(VLOOKUP(N359, 'Process Ref'!$A$76:$D$124, 2, FALSE), IFERROR(0/0,"")))</f>
        <v/>
      </c>
      <c r="R364" s="78"/>
      <c r="S364" s="43"/>
      <c r="T364" s="114" t="str">
        <f>IF(AND(NOT(ISBLANK(U364)),NOT(ISBLANK(V364)),NOT(ISBLANK(W364))),CONCATENATE("RUN-",'Process Ref'!$A$1,"_",TEXT(V364,"YYYY-MM-DD"),"_APS-",TEXT(W364,"000")),IFERROR(0/0,""))</f>
        <v/>
      </c>
      <c r="U364" s="8" t="str">
        <f t="shared" si="373"/>
        <v/>
      </c>
      <c r="V364" s="141">
        <v>44994.0</v>
      </c>
      <c r="W364" s="142" t="str">
        <f t="shared" si="273"/>
        <v/>
      </c>
      <c r="X364" s="43"/>
      <c r="AC364" s="70"/>
      <c r="AF364" s="70"/>
      <c r="AJ364" s="7" t="str">
        <f t="shared" ref="AJ364:AL364" si="397">IF(AG364=L364,IFERROR(0/0,""),FALSE)</f>
        <v/>
      </c>
      <c r="AK364" s="7" t="str">
        <f t="shared" si="397"/>
        <v/>
      </c>
      <c r="AL364" s="7" t="str">
        <f t="shared" si="397"/>
        <v/>
      </c>
      <c r="AM364" s="43"/>
    </row>
    <row r="365">
      <c r="C365" s="131"/>
      <c r="D365" s="54"/>
      <c r="E365" s="54"/>
      <c r="F365" s="54"/>
      <c r="G365" s="54"/>
      <c r="H365" s="54"/>
      <c r="I365" s="54"/>
      <c r="J365" s="54"/>
      <c r="K365" s="54"/>
      <c r="L365" s="54"/>
      <c r="M365" s="54"/>
      <c r="N365" s="89"/>
      <c r="P365" s="77" t="str">
        <f>IF(ISBLANK(N360),IFERROR(0/0,""),IFERROR(VLOOKUP(N360, 'Process Ref'!$A$76:$D$124, 2, FALSE), IFERROR(0/0,"")))</f>
        <v/>
      </c>
      <c r="R365" s="78"/>
      <c r="S365" s="43"/>
      <c r="T365" s="114" t="str">
        <f>IF(AND(NOT(ISBLANK(U365)),NOT(ISBLANK(V365)),NOT(ISBLANK(W365))),CONCATENATE("RUN-",'Process Ref'!$A$1,"_",TEXT(V365,"YYYY-MM-DD"),"_APS-",TEXT(W365,"000")),IFERROR(0/0,""))</f>
        <v/>
      </c>
      <c r="U365" s="8" t="str">
        <f t="shared" si="373"/>
        <v/>
      </c>
      <c r="V365" s="141">
        <v>44995.0</v>
      </c>
      <c r="W365" s="142" t="str">
        <f t="shared" si="273"/>
        <v/>
      </c>
      <c r="X365" s="43"/>
      <c r="AC365" s="70"/>
      <c r="AF365" s="70"/>
      <c r="AJ365" s="7" t="str">
        <f t="shared" ref="AJ365:AL365" si="398">IF(AG365=L365,IFERROR(0/0,""),FALSE)</f>
        <v/>
      </c>
      <c r="AK365" s="7" t="str">
        <f t="shared" si="398"/>
        <v/>
      </c>
      <c r="AL365" s="7" t="str">
        <f t="shared" si="398"/>
        <v/>
      </c>
      <c r="AM365" s="43"/>
    </row>
    <row r="366">
      <c r="C366" s="131"/>
      <c r="D366" s="54"/>
      <c r="E366" s="54"/>
      <c r="F366" s="54"/>
      <c r="G366" s="54"/>
      <c r="H366" s="54"/>
      <c r="I366" s="54"/>
      <c r="J366" s="54"/>
      <c r="K366" s="54"/>
      <c r="L366" s="54"/>
      <c r="M366" s="54"/>
      <c r="N366" s="89"/>
      <c r="P366" s="77" t="str">
        <f>IF(ISBLANK(N361),IFERROR(0/0,""),IFERROR(VLOOKUP(N361, 'Process Ref'!$A$76:$D$124, 2, FALSE), IFERROR(0/0,"")))</f>
        <v/>
      </c>
      <c r="R366" s="78"/>
      <c r="S366" s="43"/>
      <c r="T366" s="114" t="str">
        <f>IF(AND(NOT(ISBLANK(U366)),NOT(ISBLANK(V366)),NOT(ISBLANK(W366))),CONCATENATE("RUN-",'Process Ref'!$A$1,"_",TEXT(V366,"YYYY-MM-DD"),"_APS-",TEXT(W366,"000")),IFERROR(0/0,""))</f>
        <v/>
      </c>
      <c r="U366" s="8" t="str">
        <f t="shared" si="373"/>
        <v/>
      </c>
      <c r="V366" s="141">
        <v>45006.0</v>
      </c>
      <c r="W366" s="142" t="str">
        <f t="shared" si="273"/>
        <v/>
      </c>
      <c r="X366" s="43"/>
      <c r="AC366" s="70"/>
      <c r="AF366" s="70"/>
      <c r="AJ366" s="7" t="str">
        <f t="shared" ref="AJ366:AL366" si="399">IF(AG366=L366,IFERROR(0/0,""),FALSE)</f>
        <v/>
      </c>
      <c r="AK366" s="7" t="str">
        <f t="shared" si="399"/>
        <v/>
      </c>
      <c r="AL366" s="7" t="str">
        <f t="shared" si="399"/>
        <v/>
      </c>
      <c r="AM366" s="43"/>
    </row>
    <row r="367">
      <c r="C367" s="131"/>
      <c r="D367" s="54"/>
      <c r="E367" s="54"/>
      <c r="F367" s="54"/>
      <c r="G367" s="54"/>
      <c r="H367" s="54"/>
      <c r="I367" s="54"/>
      <c r="J367" s="54"/>
      <c r="K367" s="54"/>
      <c r="L367" s="54"/>
      <c r="M367" s="54"/>
      <c r="N367" s="89"/>
      <c r="P367" s="77" t="str">
        <f>IF(ISBLANK(N362),IFERROR(0/0,""),IFERROR(VLOOKUP(N362, 'Process Ref'!$A$76:$D$124, 2, FALSE), IFERROR(0/0,"")))</f>
        <v/>
      </c>
      <c r="R367" s="78"/>
      <c r="S367" s="43"/>
      <c r="T367" s="114" t="str">
        <f>IF(AND(NOT(ISBLANK(U367)),NOT(ISBLANK(V367)),NOT(ISBLANK(W367))),CONCATENATE("RUN-",'Process Ref'!$A$1,"_",TEXT(V367,"YYYY-MM-DD"),"_APS-",TEXT(W367,"000")),IFERROR(0/0,""))</f>
        <v/>
      </c>
      <c r="U367" s="8" t="str">
        <f t="shared" si="373"/>
        <v/>
      </c>
      <c r="V367" s="141">
        <v>45007.0</v>
      </c>
      <c r="W367" s="142" t="str">
        <f t="shared" si="273"/>
        <v/>
      </c>
      <c r="X367" s="43"/>
      <c r="AC367" s="70"/>
      <c r="AF367" s="70"/>
      <c r="AJ367" s="7" t="str">
        <f t="shared" ref="AJ367:AL367" si="400">IF(AG367=L367,IFERROR(0/0,""),FALSE)</f>
        <v/>
      </c>
      <c r="AK367" s="7" t="str">
        <f t="shared" si="400"/>
        <v/>
      </c>
      <c r="AL367" s="7" t="str">
        <f t="shared" si="400"/>
        <v/>
      </c>
      <c r="AM367" s="43"/>
    </row>
    <row r="368">
      <c r="C368" s="131"/>
      <c r="D368" s="54"/>
      <c r="E368" s="54"/>
      <c r="F368" s="54"/>
      <c r="G368" s="54"/>
      <c r="H368" s="54"/>
      <c r="I368" s="54"/>
      <c r="J368" s="54"/>
      <c r="K368" s="54"/>
      <c r="L368" s="54"/>
      <c r="M368" s="54"/>
      <c r="N368" s="89"/>
      <c r="P368" s="77" t="str">
        <f>IF(ISBLANK(N363),IFERROR(0/0,""),IFERROR(VLOOKUP(N363, 'Process Ref'!$A$76:$D$124, 2, FALSE), IFERROR(0/0,"")))</f>
        <v/>
      </c>
      <c r="R368" s="78"/>
      <c r="S368" s="43"/>
      <c r="T368" s="114" t="str">
        <f>IF(AND(NOT(ISBLANK(U368)),NOT(ISBLANK(V368)),NOT(ISBLANK(W368))),CONCATENATE("RUN-",'Process Ref'!$A$1,"_",TEXT(V368,"YYYY-MM-DD"),"_APS-",TEXT(W368,"000")),IFERROR(0/0,""))</f>
        <v/>
      </c>
      <c r="U368" s="8" t="str">
        <f t="shared" si="373"/>
        <v/>
      </c>
      <c r="V368" s="141">
        <v>45008.0</v>
      </c>
      <c r="W368" s="142" t="str">
        <f t="shared" si="273"/>
        <v/>
      </c>
      <c r="X368" s="43"/>
      <c r="AC368" s="70"/>
      <c r="AF368" s="70"/>
      <c r="AJ368" s="7" t="str">
        <f t="shared" ref="AJ368:AL368" si="401">IF(AG368=L368,IFERROR(0/0,""),FALSE)</f>
        <v/>
      </c>
      <c r="AK368" s="7" t="str">
        <f t="shared" si="401"/>
        <v/>
      </c>
      <c r="AL368" s="7" t="str">
        <f t="shared" si="401"/>
        <v/>
      </c>
      <c r="AM368" s="43"/>
    </row>
    <row r="369">
      <c r="C369" s="131"/>
      <c r="D369" s="54"/>
      <c r="E369" s="54"/>
      <c r="F369" s="54"/>
      <c r="G369" s="54"/>
      <c r="H369" s="54"/>
      <c r="I369" s="54"/>
      <c r="J369" s="54"/>
      <c r="K369" s="54"/>
      <c r="L369" s="54"/>
      <c r="M369" s="54"/>
      <c r="N369" s="89"/>
      <c r="P369" s="77" t="str">
        <f>IF(ISBLANK(N364),IFERROR(0/0,""),IFERROR(VLOOKUP(N364, 'Process Ref'!$A$76:$D$124, 2, FALSE), IFERROR(0/0,"")))</f>
        <v/>
      </c>
      <c r="R369" s="78"/>
      <c r="S369" s="43"/>
      <c r="T369" s="114" t="str">
        <f>IF(AND(NOT(ISBLANK(U369)),NOT(ISBLANK(V369)),NOT(ISBLANK(W369))),CONCATENATE("RUN-",'Process Ref'!$A$1,"_",TEXT(V369,"YYYY-MM-DD"),"_APS-",TEXT(W369,"000")),IFERROR(0/0,""))</f>
        <v/>
      </c>
      <c r="U369" s="8" t="str">
        <f t="shared" si="373"/>
        <v/>
      </c>
      <c r="V369" s="141">
        <v>45009.0</v>
      </c>
      <c r="W369" s="142" t="str">
        <f t="shared" si="273"/>
        <v/>
      </c>
      <c r="X369" s="43"/>
      <c r="AC369" s="70"/>
      <c r="AF369" s="70"/>
      <c r="AJ369" s="7" t="str">
        <f t="shared" ref="AJ369:AL369" si="402">IF(AG369=L369,IFERROR(0/0,""),FALSE)</f>
        <v/>
      </c>
      <c r="AK369" s="7" t="str">
        <f t="shared" si="402"/>
        <v/>
      </c>
      <c r="AL369" s="7" t="str">
        <f t="shared" si="402"/>
        <v/>
      </c>
      <c r="AM369" s="43"/>
    </row>
    <row r="370">
      <c r="C370" s="131"/>
      <c r="D370" s="54"/>
      <c r="E370" s="54"/>
      <c r="F370" s="54"/>
      <c r="G370" s="54"/>
      <c r="H370" s="54"/>
      <c r="I370" s="54"/>
      <c r="J370" s="54"/>
      <c r="K370" s="54"/>
      <c r="L370" s="54"/>
      <c r="M370" s="54"/>
      <c r="N370" s="89"/>
      <c r="P370" s="77" t="str">
        <f>IF(ISBLANK(N365),IFERROR(0/0,""),IFERROR(VLOOKUP(N365, 'Process Ref'!$A$76:$D$124, 2, FALSE), IFERROR(0/0,"")))</f>
        <v/>
      </c>
      <c r="R370" s="78"/>
      <c r="S370" s="43"/>
      <c r="T370" s="114" t="str">
        <f>IF(AND(NOT(ISBLANK(U370)),NOT(ISBLANK(V370)),NOT(ISBLANK(W370))),CONCATENATE("RUN-",'Process Ref'!$A$1,"_",TEXT(V370,"YYYY-MM-DD"),"_APS-",TEXT(W370,"000")),IFERROR(0/0,""))</f>
        <v/>
      </c>
      <c r="U370" s="8" t="str">
        <f t="shared" si="373"/>
        <v/>
      </c>
      <c r="V370" s="141">
        <v>45012.0</v>
      </c>
      <c r="W370" s="142" t="str">
        <f t="shared" si="273"/>
        <v/>
      </c>
      <c r="X370" s="43"/>
      <c r="AC370" s="70"/>
      <c r="AF370" s="70"/>
      <c r="AJ370" s="7" t="str">
        <f t="shared" ref="AJ370:AL370" si="403">IF(AG370=L370,IFERROR(0/0,""),FALSE)</f>
        <v/>
      </c>
      <c r="AK370" s="7" t="str">
        <f t="shared" si="403"/>
        <v/>
      </c>
      <c r="AL370" s="7" t="str">
        <f t="shared" si="403"/>
        <v/>
      </c>
      <c r="AM370" s="43"/>
    </row>
    <row r="371">
      <c r="C371" s="131"/>
      <c r="D371" s="54"/>
      <c r="E371" s="54"/>
      <c r="F371" s="54"/>
      <c r="G371" s="54"/>
      <c r="H371" s="54"/>
      <c r="I371" s="54"/>
      <c r="J371" s="54"/>
      <c r="K371" s="54"/>
      <c r="L371" s="54"/>
      <c r="M371" s="54"/>
      <c r="N371" s="89"/>
      <c r="P371" s="77" t="str">
        <f>IF(ISBLANK(N366),IFERROR(0/0,""),IFERROR(VLOOKUP(N366, 'Process Ref'!$A$76:$D$124, 2, FALSE), IFERROR(0/0,"")))</f>
        <v/>
      </c>
      <c r="R371" s="78"/>
      <c r="S371" s="43"/>
      <c r="T371" s="114" t="str">
        <f>IF(AND(NOT(ISBLANK(U371)),NOT(ISBLANK(V371)),NOT(ISBLANK(W371))),CONCATENATE("RUN-",'Process Ref'!$A$1,"_",TEXT(V371,"YYYY-MM-DD"),"_APS-",TEXT(W371,"000")),IFERROR(0/0,""))</f>
        <v/>
      </c>
      <c r="U371" s="8" t="str">
        <f t="shared" si="373"/>
        <v/>
      </c>
      <c r="V371" s="141">
        <v>45013.0</v>
      </c>
      <c r="W371" s="142" t="str">
        <f t="shared" si="273"/>
        <v/>
      </c>
      <c r="X371" s="43"/>
      <c r="AC371" s="70"/>
      <c r="AF371" s="70"/>
      <c r="AJ371" s="7" t="str">
        <f t="shared" ref="AJ371:AL371" si="404">IF(AG371=L371,IFERROR(0/0,""),FALSE)</f>
        <v/>
      </c>
      <c r="AK371" s="7" t="str">
        <f t="shared" si="404"/>
        <v/>
      </c>
      <c r="AL371" s="7" t="str">
        <f t="shared" si="404"/>
        <v/>
      </c>
      <c r="AM371" s="43"/>
    </row>
    <row r="372">
      <c r="C372" s="131"/>
      <c r="D372" s="54"/>
      <c r="E372" s="54"/>
      <c r="F372" s="54"/>
      <c r="G372" s="54"/>
      <c r="H372" s="54"/>
      <c r="I372" s="54"/>
      <c r="J372" s="54"/>
      <c r="K372" s="54"/>
      <c r="L372" s="54"/>
      <c r="M372" s="54"/>
      <c r="N372" s="89"/>
      <c r="P372" s="77" t="str">
        <f>IF(ISBLANK(N367),IFERROR(0/0,""),IFERROR(VLOOKUP(N367, 'Process Ref'!$A$76:$D$124, 2, FALSE), IFERROR(0/0,"")))</f>
        <v/>
      </c>
      <c r="R372" s="78"/>
      <c r="S372" s="43"/>
      <c r="T372" s="114" t="str">
        <f>IF(AND(NOT(ISBLANK(U372)),NOT(ISBLANK(V372)),NOT(ISBLANK(W372))),CONCATENATE("RUN-",'Process Ref'!$A$1,"_",TEXT(V372,"YYYY-MM-DD"),"_APS-",TEXT(W372,"000")),IFERROR(0/0,""))</f>
        <v/>
      </c>
      <c r="U372" s="8" t="str">
        <f t="shared" si="373"/>
        <v/>
      </c>
      <c r="V372" s="141">
        <v>45014.0</v>
      </c>
      <c r="W372" s="142" t="str">
        <f t="shared" si="273"/>
        <v/>
      </c>
      <c r="X372" s="43"/>
      <c r="AC372" s="70"/>
      <c r="AF372" s="70"/>
      <c r="AJ372" s="7" t="str">
        <f t="shared" ref="AJ372:AL372" si="405">IF(AG372=L372,IFERROR(0/0,""),FALSE)</f>
        <v/>
      </c>
      <c r="AK372" s="7" t="str">
        <f t="shared" si="405"/>
        <v/>
      </c>
      <c r="AL372" s="7" t="str">
        <f t="shared" si="405"/>
        <v/>
      </c>
      <c r="AM372" s="43"/>
    </row>
    <row r="373">
      <c r="C373" s="131"/>
      <c r="D373" s="54"/>
      <c r="E373" s="54"/>
      <c r="F373" s="54"/>
      <c r="G373" s="54"/>
      <c r="H373" s="54"/>
      <c r="I373" s="54"/>
      <c r="J373" s="54"/>
      <c r="K373" s="54"/>
      <c r="L373" s="54"/>
      <c r="M373" s="54"/>
      <c r="N373" s="89"/>
      <c r="P373" s="77" t="str">
        <f>IF(ISBLANK(N368),IFERROR(0/0,""),IFERROR(VLOOKUP(N368, 'Process Ref'!$A$76:$D$124, 2, FALSE), IFERROR(0/0,"")))</f>
        <v/>
      </c>
      <c r="R373" s="78"/>
      <c r="S373" s="43"/>
      <c r="T373" s="114" t="str">
        <f>IF(AND(NOT(ISBLANK(U373)),NOT(ISBLANK(V373)),NOT(ISBLANK(W373))),CONCATENATE("RUN-",'Process Ref'!$A$1,"_",TEXT(V373,"YYYY-MM-DD"),"_APS-",TEXT(W373,"000")),IFERROR(0/0,""))</f>
        <v/>
      </c>
      <c r="U373" s="8" t="str">
        <f t="shared" si="373"/>
        <v/>
      </c>
      <c r="V373" s="141">
        <v>45015.0</v>
      </c>
      <c r="W373" s="142" t="str">
        <f t="shared" si="273"/>
        <v/>
      </c>
      <c r="X373" s="43"/>
      <c r="AC373" s="70"/>
      <c r="AF373" s="70"/>
      <c r="AJ373" s="7" t="str">
        <f t="shared" ref="AJ373:AL373" si="406">IF(AG373=L373,IFERROR(0/0,""),FALSE)</f>
        <v/>
      </c>
      <c r="AK373" s="7" t="str">
        <f t="shared" si="406"/>
        <v/>
      </c>
      <c r="AL373" s="7" t="str">
        <f t="shared" si="406"/>
        <v/>
      </c>
      <c r="AM373" s="43"/>
    </row>
    <row r="374">
      <c r="C374" s="131"/>
      <c r="D374" s="54"/>
      <c r="E374" s="54"/>
      <c r="F374" s="54"/>
      <c r="G374" s="54"/>
      <c r="H374" s="54"/>
      <c r="I374" s="54"/>
      <c r="J374" s="54"/>
      <c r="K374" s="54"/>
      <c r="L374" s="54"/>
      <c r="M374" s="54"/>
      <c r="N374" s="89"/>
      <c r="P374" s="77" t="str">
        <f>IF(ISBLANK(N369),IFERROR(0/0,""),IFERROR(VLOOKUP(N369, 'Process Ref'!$A$76:$D$124, 2, FALSE), IFERROR(0/0,"")))</f>
        <v/>
      </c>
      <c r="R374" s="78"/>
      <c r="S374" s="43"/>
      <c r="T374" s="114" t="str">
        <f>IF(AND(NOT(ISBLANK(U374)),NOT(ISBLANK(V374)),NOT(ISBLANK(W374))),CONCATENATE("RUN-",'Process Ref'!$A$1,"_",TEXT(V374,"YYYY-MM-DD"),"_APS-",TEXT(W374,"000")),IFERROR(0/0,""))</f>
        <v/>
      </c>
      <c r="U374" s="8" t="str">
        <f t="shared" si="373"/>
        <v/>
      </c>
      <c r="V374" s="141">
        <v>45016.0</v>
      </c>
      <c r="W374" s="143"/>
      <c r="X374" s="43"/>
      <c r="AC374" s="70"/>
      <c r="AF374" s="70"/>
      <c r="AJ374" s="7" t="str">
        <f t="shared" ref="AJ374:AL374" si="407">IF(AG374=L374,IFERROR(0/0,""),FALSE)</f>
        <v/>
      </c>
      <c r="AK374" s="7" t="str">
        <f t="shared" si="407"/>
        <v/>
      </c>
      <c r="AL374" s="7" t="str">
        <f t="shared" si="407"/>
        <v/>
      </c>
      <c r="AM374" s="43"/>
    </row>
    <row r="375">
      <c r="C375" s="131"/>
      <c r="D375" s="54"/>
      <c r="E375" s="54"/>
      <c r="F375" s="54"/>
      <c r="G375" s="54"/>
      <c r="H375" s="54"/>
      <c r="I375" s="54"/>
      <c r="J375" s="54"/>
      <c r="K375" s="54"/>
      <c r="L375" s="54"/>
      <c r="M375" s="54"/>
      <c r="N375" s="89"/>
      <c r="P375" s="77" t="str">
        <f>IF(ISBLANK(N370),IFERROR(0/0,""),IFERROR(VLOOKUP(N370, 'Process Ref'!$A$76:$D$124, 2, FALSE), IFERROR(0/0,"")))</f>
        <v/>
      </c>
      <c r="R375" s="78"/>
      <c r="S375" s="43"/>
      <c r="T375" s="114" t="str">
        <f>IF(AND(NOT(ISBLANK(U375)),NOT(ISBLANK(V375)),NOT(ISBLANK(W375))),CONCATENATE("RUN-",'Process Ref'!$A$1,"_",TEXT(V375,"YYYY-MM-DD"),"_APS-",TEXT(W375,"000")),IFERROR(0/0,""))</f>
        <v/>
      </c>
      <c r="U375" s="8" t="str">
        <f t="shared" si="373"/>
        <v/>
      </c>
      <c r="V375" s="141">
        <v>45019.0</v>
      </c>
      <c r="W375" s="142" t="str">
        <f t="shared" ref="W375:W418" si="409">IF(NOT(ISBLANK(U375)),MAX(W$1:W374)+1,IFERROR(0/0,""))</f>
        <v/>
      </c>
      <c r="X375" s="43"/>
      <c r="AC375" s="70"/>
      <c r="AF375" s="70"/>
      <c r="AJ375" s="7" t="str">
        <f t="shared" ref="AJ375:AL375" si="408">IF(AG375=L375,IFERROR(0/0,""),FALSE)</f>
        <v/>
      </c>
      <c r="AK375" s="7" t="str">
        <f t="shared" si="408"/>
        <v/>
      </c>
      <c r="AL375" s="7" t="str">
        <f t="shared" si="408"/>
        <v/>
      </c>
      <c r="AM375" s="43"/>
    </row>
    <row r="376">
      <c r="C376" s="131"/>
      <c r="D376" s="54"/>
      <c r="E376" s="54"/>
      <c r="F376" s="54"/>
      <c r="G376" s="54"/>
      <c r="H376" s="54"/>
      <c r="I376" s="54"/>
      <c r="J376" s="54"/>
      <c r="K376" s="54"/>
      <c r="L376" s="54"/>
      <c r="M376" s="54"/>
      <c r="N376" s="89"/>
      <c r="P376" s="77" t="str">
        <f>IF(ISBLANK(N371),IFERROR(0/0,""),IFERROR(VLOOKUP(N371, 'Process Ref'!$A$76:$D$124, 2, FALSE), IFERROR(0/0,"")))</f>
        <v/>
      </c>
      <c r="R376" s="78"/>
      <c r="S376" s="43"/>
      <c r="T376" s="114" t="str">
        <f>IF(AND(NOT(ISBLANK(U376)),NOT(ISBLANK(V376)),NOT(ISBLANK(W376))),CONCATENATE("RUN-",'Process Ref'!$A$1,"_",TEXT(V376,"YYYY-MM-DD"),"_APS-",TEXT(W376,"000")),IFERROR(0/0,""))</f>
        <v/>
      </c>
      <c r="U376" s="8" t="str">
        <f t="shared" si="373"/>
        <v/>
      </c>
      <c r="V376" s="141">
        <v>45020.0</v>
      </c>
      <c r="W376" s="142" t="str">
        <f t="shared" si="409"/>
        <v/>
      </c>
      <c r="X376" s="43"/>
      <c r="AC376" s="70"/>
      <c r="AF376" s="70"/>
      <c r="AJ376" s="7" t="str">
        <f t="shared" ref="AJ376:AL376" si="410">IF(AG376=L376,IFERROR(0/0,""),FALSE)</f>
        <v/>
      </c>
      <c r="AK376" s="7" t="str">
        <f t="shared" si="410"/>
        <v/>
      </c>
      <c r="AL376" s="7" t="str">
        <f t="shared" si="410"/>
        <v/>
      </c>
      <c r="AM376" s="43"/>
    </row>
    <row r="377">
      <c r="C377" s="131"/>
      <c r="D377" s="54"/>
      <c r="E377" s="54"/>
      <c r="F377" s="54"/>
      <c r="G377" s="54"/>
      <c r="H377" s="54"/>
      <c r="I377" s="54"/>
      <c r="J377" s="54"/>
      <c r="K377" s="54"/>
      <c r="L377" s="54"/>
      <c r="M377" s="54"/>
      <c r="N377" s="89"/>
      <c r="P377" s="77" t="str">
        <f>IF(ISBLANK(N372),IFERROR(0/0,""),IFERROR(VLOOKUP(N372, 'Process Ref'!$A$76:$D$124, 2, FALSE), IFERROR(0/0,"")))</f>
        <v/>
      </c>
      <c r="R377" s="78"/>
      <c r="S377" s="43"/>
      <c r="T377" s="114" t="str">
        <f>IF(AND(NOT(ISBLANK(U377)),NOT(ISBLANK(V377)),NOT(ISBLANK(W377))),CONCATENATE("RUN-",'Process Ref'!$A$1,"_",TEXT(V377,"YYYY-MM-DD"),"_APS-",TEXT(W377,"000")),IFERROR(0/0,""))</f>
        <v>RUN-ABRM_2023-04-05_APS-006</v>
      </c>
      <c r="U377" s="141">
        <v>45021.0</v>
      </c>
      <c r="V377" s="141">
        <v>45021.0</v>
      </c>
      <c r="W377" s="142">
        <f t="shared" si="409"/>
        <v>6</v>
      </c>
      <c r="X377" s="43"/>
      <c r="AC377" s="70"/>
      <c r="AF377" s="70"/>
      <c r="AJ377" s="7" t="str">
        <f t="shared" ref="AJ377:AL377" si="411">IF(AG377=L377,IFERROR(0/0,""),FALSE)</f>
        <v/>
      </c>
      <c r="AK377" s="7" t="str">
        <f t="shared" si="411"/>
        <v/>
      </c>
      <c r="AL377" s="7" t="str">
        <f t="shared" si="411"/>
        <v/>
      </c>
      <c r="AM377" s="43"/>
    </row>
    <row r="378">
      <c r="C378" s="131"/>
      <c r="D378" s="54"/>
      <c r="E378" s="54"/>
      <c r="F378" s="54"/>
      <c r="G378" s="54"/>
      <c r="H378" s="54"/>
      <c r="I378" s="54"/>
      <c r="J378" s="54"/>
      <c r="K378" s="54"/>
      <c r="L378" s="54"/>
      <c r="M378" s="54"/>
      <c r="N378" s="89"/>
      <c r="P378" s="77" t="str">
        <f>IF(ISBLANK(N373),IFERROR(0/0,""),IFERROR(VLOOKUP(N373, 'Process Ref'!$A$76:$D$124, 2, FALSE), IFERROR(0/0,"")))</f>
        <v/>
      </c>
      <c r="R378" s="78"/>
      <c r="S378" s="43"/>
      <c r="T378" s="114" t="str">
        <f>IF(AND(NOT(ISBLANK(U378)),NOT(ISBLANK(V378)),NOT(ISBLANK(W378))),CONCATENATE("RUN-",'Process Ref'!$A$1,"_",TEXT(V378,"YYYY-MM-DD"),"_APS-",TEXT(W378,"000")),IFERROR(0/0,""))</f>
        <v/>
      </c>
      <c r="U378" s="8" t="str">
        <f t="shared" ref="U378:U385" si="413">IF(COUNTIF(U$2:U$242,V378)=0,V378,IFERROR(0/0,""))</f>
        <v/>
      </c>
      <c r="V378" s="141">
        <v>45022.0</v>
      </c>
      <c r="W378" s="142" t="str">
        <f t="shared" si="409"/>
        <v/>
      </c>
      <c r="X378" s="43"/>
      <c r="AC378" s="70"/>
      <c r="AF378" s="70"/>
      <c r="AJ378" s="7" t="str">
        <f t="shared" ref="AJ378:AL378" si="412">IF(AG378=L378,IFERROR(0/0,""),FALSE)</f>
        <v/>
      </c>
      <c r="AK378" s="7" t="str">
        <f t="shared" si="412"/>
        <v/>
      </c>
      <c r="AL378" s="7" t="str">
        <f t="shared" si="412"/>
        <v/>
      </c>
      <c r="AM378" s="43"/>
    </row>
    <row r="379">
      <c r="C379" s="131"/>
      <c r="D379" s="54"/>
      <c r="E379" s="54"/>
      <c r="F379" s="54"/>
      <c r="G379" s="54"/>
      <c r="H379" s="54"/>
      <c r="I379" s="54"/>
      <c r="J379" s="54"/>
      <c r="K379" s="54"/>
      <c r="L379" s="54"/>
      <c r="M379" s="54"/>
      <c r="N379" s="89"/>
      <c r="P379" s="77" t="str">
        <f>IF(ISBLANK(N374),IFERROR(0/0,""),IFERROR(VLOOKUP(N374, 'Process Ref'!$A$76:$D$124, 2, FALSE), IFERROR(0/0,"")))</f>
        <v/>
      </c>
      <c r="R379" s="78"/>
      <c r="S379" s="43"/>
      <c r="T379" s="114" t="str">
        <f>IF(AND(NOT(ISBLANK(U379)),NOT(ISBLANK(V379)),NOT(ISBLANK(W379))),CONCATENATE("RUN-",'Process Ref'!$A$1,"_",TEXT(V379,"YYYY-MM-DD"),"_APS-",TEXT(W379,"000")),IFERROR(0/0,""))</f>
        <v/>
      </c>
      <c r="U379" s="8" t="str">
        <f t="shared" si="413"/>
        <v/>
      </c>
      <c r="V379" s="141">
        <v>45023.0</v>
      </c>
      <c r="W379" s="142" t="str">
        <f t="shared" si="409"/>
        <v/>
      </c>
      <c r="X379" s="43"/>
      <c r="AC379" s="70"/>
      <c r="AF379" s="70"/>
      <c r="AJ379" s="7" t="str">
        <f t="shared" ref="AJ379:AL379" si="414">IF(AG379=L379,IFERROR(0/0,""),FALSE)</f>
        <v/>
      </c>
      <c r="AK379" s="7" t="str">
        <f t="shared" si="414"/>
        <v/>
      </c>
      <c r="AL379" s="7" t="str">
        <f t="shared" si="414"/>
        <v/>
      </c>
      <c r="AM379" s="43"/>
    </row>
    <row r="380">
      <c r="C380" s="131"/>
      <c r="D380" s="54"/>
      <c r="E380" s="54"/>
      <c r="F380" s="54"/>
      <c r="G380" s="54"/>
      <c r="H380" s="54"/>
      <c r="I380" s="54"/>
      <c r="J380" s="54"/>
      <c r="K380" s="54"/>
      <c r="L380" s="54"/>
      <c r="M380" s="54"/>
      <c r="N380" s="89"/>
      <c r="P380" s="77" t="str">
        <f>IF(ISBLANK(N375),IFERROR(0/0,""),IFERROR(VLOOKUP(N375, 'Process Ref'!$A$76:$D$124, 2, FALSE), IFERROR(0/0,"")))</f>
        <v/>
      </c>
      <c r="R380" s="78"/>
      <c r="S380" s="43"/>
      <c r="T380" s="114" t="str">
        <f>IF(AND(NOT(ISBLANK(U380)),NOT(ISBLANK(V380)),NOT(ISBLANK(W380))),CONCATENATE("RUN-",'Process Ref'!$A$1,"_",TEXT(V380,"YYYY-MM-DD"),"_APS-",TEXT(W380,"000")),IFERROR(0/0,""))</f>
        <v/>
      </c>
      <c r="U380" s="8" t="str">
        <f t="shared" si="413"/>
        <v/>
      </c>
      <c r="V380" s="141">
        <v>45026.0</v>
      </c>
      <c r="W380" s="142" t="str">
        <f t="shared" si="409"/>
        <v/>
      </c>
      <c r="X380" s="43"/>
      <c r="AC380" s="70"/>
      <c r="AF380" s="70"/>
      <c r="AJ380" s="7" t="str">
        <f t="shared" ref="AJ380:AL380" si="415">IF(AG380=L380,IFERROR(0/0,""),FALSE)</f>
        <v/>
      </c>
      <c r="AK380" s="7" t="str">
        <f t="shared" si="415"/>
        <v/>
      </c>
      <c r="AL380" s="7" t="str">
        <f t="shared" si="415"/>
        <v/>
      </c>
      <c r="AM380" s="43"/>
    </row>
    <row r="381">
      <c r="C381" s="131"/>
      <c r="D381" s="54"/>
      <c r="E381" s="54"/>
      <c r="F381" s="54"/>
      <c r="G381" s="54"/>
      <c r="H381" s="54"/>
      <c r="I381" s="54"/>
      <c r="J381" s="54"/>
      <c r="K381" s="54"/>
      <c r="L381" s="54"/>
      <c r="M381" s="54"/>
      <c r="N381" s="89"/>
      <c r="P381" s="77" t="str">
        <f>IF(ISBLANK(N376),IFERROR(0/0,""),IFERROR(VLOOKUP(N376, 'Process Ref'!$A$76:$D$124, 2, FALSE), IFERROR(0/0,"")))</f>
        <v/>
      </c>
      <c r="R381" s="78"/>
      <c r="S381" s="43"/>
      <c r="T381" s="114" t="str">
        <f>IF(AND(NOT(ISBLANK(U381)),NOT(ISBLANK(V381)),NOT(ISBLANK(W381))),CONCATENATE("RUN-",'Process Ref'!$A$1,"_",TEXT(V381,"YYYY-MM-DD"),"_APS-",TEXT(W381,"000")),IFERROR(0/0,""))</f>
        <v/>
      </c>
      <c r="U381" s="8" t="str">
        <f t="shared" si="413"/>
        <v/>
      </c>
      <c r="V381" s="141">
        <v>45027.0</v>
      </c>
      <c r="W381" s="142" t="str">
        <f t="shared" si="409"/>
        <v/>
      </c>
      <c r="X381" s="43"/>
      <c r="AC381" s="70"/>
      <c r="AF381" s="70"/>
      <c r="AJ381" s="7" t="str">
        <f t="shared" ref="AJ381:AL381" si="416">IF(AG381=L381,IFERROR(0/0,""),FALSE)</f>
        <v/>
      </c>
      <c r="AK381" s="7" t="str">
        <f t="shared" si="416"/>
        <v/>
      </c>
      <c r="AL381" s="7" t="str">
        <f t="shared" si="416"/>
        <v/>
      </c>
      <c r="AM381" s="43"/>
    </row>
    <row r="382">
      <c r="C382" s="131"/>
      <c r="D382" s="54"/>
      <c r="E382" s="54"/>
      <c r="F382" s="54"/>
      <c r="G382" s="54"/>
      <c r="H382" s="54"/>
      <c r="I382" s="54"/>
      <c r="J382" s="54"/>
      <c r="K382" s="54"/>
      <c r="L382" s="54"/>
      <c r="M382" s="54"/>
      <c r="N382" s="89"/>
      <c r="P382" s="77" t="str">
        <f>IF(ISBLANK(N377),IFERROR(0/0,""),IFERROR(VLOOKUP(N377, 'Process Ref'!$A$76:$D$124, 2, FALSE), IFERROR(0/0,"")))</f>
        <v/>
      </c>
      <c r="R382" s="78"/>
      <c r="S382" s="43"/>
      <c r="T382" s="114" t="str">
        <f>IF(AND(NOT(ISBLANK(U382)),NOT(ISBLANK(V382)),NOT(ISBLANK(W382))),CONCATENATE("RUN-",'Process Ref'!$A$1,"_",TEXT(V382,"YYYY-MM-DD"),"_APS-",TEXT(W382,"000")),IFERROR(0/0,""))</f>
        <v>RUN-ABRM_2023-04-12_APS-007</v>
      </c>
      <c r="U382" s="8">
        <f t="shared" si="413"/>
        <v>45028</v>
      </c>
      <c r="V382" s="141">
        <v>45028.0</v>
      </c>
      <c r="W382" s="142">
        <f t="shared" si="409"/>
        <v>7</v>
      </c>
      <c r="X382" s="43"/>
      <c r="AC382" s="70"/>
      <c r="AF382" s="70"/>
      <c r="AJ382" s="7" t="str">
        <f t="shared" ref="AJ382:AL382" si="417">IF(AG382=L382,IFERROR(0/0,""),FALSE)</f>
        <v/>
      </c>
      <c r="AK382" s="7" t="str">
        <f t="shared" si="417"/>
        <v/>
      </c>
      <c r="AL382" s="7" t="str">
        <f t="shared" si="417"/>
        <v/>
      </c>
      <c r="AM382" s="43"/>
    </row>
    <row r="383">
      <c r="C383" s="131"/>
      <c r="D383" s="54"/>
      <c r="E383" s="54"/>
      <c r="F383" s="54"/>
      <c r="G383" s="54"/>
      <c r="H383" s="54"/>
      <c r="I383" s="54"/>
      <c r="J383" s="54"/>
      <c r="K383" s="54"/>
      <c r="L383" s="54"/>
      <c r="M383" s="54"/>
      <c r="N383" s="89"/>
      <c r="P383" s="77" t="str">
        <f>IF(ISBLANK(N378),IFERROR(0/0,""),IFERROR(VLOOKUP(N378, 'Process Ref'!$A$76:$D$124, 2, FALSE), IFERROR(0/0,"")))</f>
        <v/>
      </c>
      <c r="R383" s="78"/>
      <c r="S383" s="43"/>
      <c r="T383" s="114" t="str">
        <f>IF(AND(NOT(ISBLANK(U383)),NOT(ISBLANK(V383)),NOT(ISBLANK(W383))),CONCATENATE("RUN-",'Process Ref'!$A$1,"_",TEXT(V383,"YYYY-MM-DD"),"_APS-",TEXT(W383,"000")),IFERROR(0/0,""))</f>
        <v>RUN-ABRM_2023-04-13_APS-008</v>
      </c>
      <c r="U383" s="8">
        <f t="shared" si="413"/>
        <v>45029</v>
      </c>
      <c r="V383" s="141">
        <v>45029.0</v>
      </c>
      <c r="W383" s="142">
        <f t="shared" si="409"/>
        <v>8</v>
      </c>
      <c r="X383" s="43"/>
      <c r="AC383" s="70"/>
      <c r="AF383" s="70"/>
      <c r="AJ383" s="7" t="str">
        <f t="shared" ref="AJ383:AL383" si="418">IF(AG383=L383,IFERROR(0/0,""),FALSE)</f>
        <v/>
      </c>
      <c r="AK383" s="7" t="str">
        <f t="shared" si="418"/>
        <v/>
      </c>
      <c r="AL383" s="7" t="str">
        <f t="shared" si="418"/>
        <v/>
      </c>
      <c r="AM383" s="43"/>
    </row>
    <row r="384">
      <c r="C384" s="131"/>
      <c r="D384" s="54"/>
      <c r="E384" s="54"/>
      <c r="F384" s="54"/>
      <c r="G384" s="54"/>
      <c r="H384" s="54"/>
      <c r="I384" s="54"/>
      <c r="J384" s="54"/>
      <c r="K384" s="54"/>
      <c r="L384" s="54"/>
      <c r="M384" s="54"/>
      <c r="N384" s="89"/>
      <c r="P384" s="77" t="str">
        <f>IF(ISBLANK(N379),IFERROR(0/0,""),IFERROR(VLOOKUP(N379, 'Process Ref'!$A$76:$D$124, 2, FALSE), IFERROR(0/0,"")))</f>
        <v/>
      </c>
      <c r="R384" s="78"/>
      <c r="S384" s="43"/>
      <c r="T384" s="114" t="str">
        <f>IF(AND(NOT(ISBLANK(U384)),NOT(ISBLANK(V384)),NOT(ISBLANK(W384))),CONCATENATE("RUN-",'Process Ref'!$A$1,"_",TEXT(V384,"YYYY-MM-DD"),"_APS-",TEXT(W384,"000")),IFERROR(0/0,""))</f>
        <v/>
      </c>
      <c r="U384" s="8" t="str">
        <f t="shared" si="413"/>
        <v/>
      </c>
      <c r="V384" s="141">
        <v>45030.0</v>
      </c>
      <c r="W384" s="142" t="str">
        <f t="shared" si="409"/>
        <v/>
      </c>
      <c r="X384" s="43"/>
      <c r="AC384" s="70"/>
      <c r="AF384" s="70"/>
      <c r="AJ384" s="7" t="str">
        <f t="shared" ref="AJ384:AL384" si="419">IF(AG384=L384,IFERROR(0/0,""),FALSE)</f>
        <v/>
      </c>
      <c r="AK384" s="7" t="str">
        <f t="shared" si="419"/>
        <v/>
      </c>
      <c r="AL384" s="7" t="str">
        <f t="shared" si="419"/>
        <v/>
      </c>
      <c r="AM384" s="43"/>
    </row>
    <row r="385">
      <c r="C385" s="131"/>
      <c r="D385" s="54"/>
      <c r="E385" s="54"/>
      <c r="F385" s="54"/>
      <c r="G385" s="54"/>
      <c r="H385" s="54"/>
      <c r="I385" s="54"/>
      <c r="J385" s="54"/>
      <c r="K385" s="54"/>
      <c r="L385" s="54"/>
      <c r="M385" s="54"/>
      <c r="N385" s="89"/>
      <c r="P385" s="77" t="str">
        <f>IF(ISBLANK(N380),IFERROR(0/0,""),IFERROR(VLOOKUP(N380, 'Process Ref'!$A$76:$D$124, 2, FALSE), IFERROR(0/0,"")))</f>
        <v/>
      </c>
      <c r="R385" s="78"/>
      <c r="S385" s="43"/>
      <c r="T385" s="114" t="str">
        <f>IF(AND(NOT(ISBLANK(U385)),NOT(ISBLANK(V385)),NOT(ISBLANK(W385))),CONCATENATE("RUN-",'Process Ref'!$A$1,"_",TEXT(V385,"YYYY-MM-DD"),"_APS-",TEXT(W385,"000")),IFERROR(0/0,""))</f>
        <v/>
      </c>
      <c r="U385" s="8" t="str">
        <f t="shared" si="413"/>
        <v/>
      </c>
      <c r="V385" s="141">
        <v>45033.0</v>
      </c>
      <c r="W385" s="142" t="str">
        <f t="shared" si="409"/>
        <v/>
      </c>
      <c r="X385" s="43"/>
      <c r="AC385" s="70"/>
      <c r="AF385" s="70"/>
      <c r="AJ385" s="7" t="str">
        <f t="shared" ref="AJ385:AL385" si="420">IF(AG385=L385,IFERROR(0/0,""),FALSE)</f>
        <v/>
      </c>
      <c r="AK385" s="7" t="str">
        <f t="shared" si="420"/>
        <v/>
      </c>
      <c r="AL385" s="7" t="str">
        <f t="shared" si="420"/>
        <v/>
      </c>
      <c r="AM385" s="43"/>
    </row>
    <row r="386">
      <c r="C386" s="131"/>
      <c r="D386" s="54"/>
      <c r="E386" s="54"/>
      <c r="F386" s="54"/>
      <c r="G386" s="54"/>
      <c r="H386" s="54"/>
      <c r="I386" s="54"/>
      <c r="J386" s="54"/>
      <c r="K386" s="54"/>
      <c r="L386" s="54"/>
      <c r="M386" s="54"/>
      <c r="N386" s="89"/>
      <c r="P386" s="77" t="str">
        <f>IF(ISBLANK(N381),IFERROR(0/0,""),IFERROR(VLOOKUP(N381, 'Process Ref'!$A$76:$D$124, 2, FALSE), IFERROR(0/0,"")))</f>
        <v/>
      </c>
      <c r="R386" s="78"/>
      <c r="S386" s="43"/>
      <c r="T386" s="114" t="str">
        <f>IF(AND(NOT(ISBLANK(U386)),NOT(ISBLANK(V386)),NOT(ISBLANK(W386))),CONCATENATE("RUN-",'Process Ref'!$A$1,"_",TEXT(V386,"YYYY-MM-DD"),"_APS-",TEXT(W386,"000")),IFERROR(0/0,""))</f>
        <v>RUN-ABRM_2023-04-18_APS-009</v>
      </c>
      <c r="U386" s="141">
        <v>45034.0</v>
      </c>
      <c r="V386" s="141">
        <v>45034.0</v>
      </c>
      <c r="W386" s="142">
        <f t="shared" si="409"/>
        <v>9</v>
      </c>
      <c r="X386" s="43"/>
      <c r="AC386" s="70"/>
      <c r="AF386" s="70"/>
      <c r="AJ386" s="7" t="str">
        <f t="shared" ref="AJ386:AL386" si="421">IF(AG386=L386,IFERROR(0/0,""),FALSE)</f>
        <v/>
      </c>
      <c r="AK386" s="7" t="str">
        <f t="shared" si="421"/>
        <v/>
      </c>
      <c r="AL386" s="7" t="str">
        <f t="shared" si="421"/>
        <v/>
      </c>
      <c r="AM386" s="43"/>
    </row>
    <row r="387">
      <c r="C387" s="131"/>
      <c r="D387" s="54"/>
      <c r="E387" s="54"/>
      <c r="F387" s="54"/>
      <c r="G387" s="54"/>
      <c r="H387" s="54"/>
      <c r="I387" s="54"/>
      <c r="J387" s="54"/>
      <c r="K387" s="54"/>
      <c r="L387" s="54"/>
      <c r="M387" s="54"/>
      <c r="N387" s="89"/>
      <c r="P387" s="77" t="str">
        <f>IF(ISBLANK(N382),IFERROR(0/0,""),IFERROR(VLOOKUP(N382, 'Process Ref'!$A$76:$D$124, 2, FALSE), IFERROR(0/0,"")))</f>
        <v/>
      </c>
      <c r="R387" s="78"/>
      <c r="S387" s="43"/>
      <c r="T387" s="114" t="str">
        <f>IF(AND(NOT(ISBLANK(U387)),NOT(ISBLANK(V387)),NOT(ISBLANK(W387))),CONCATENATE("RUN-",'Process Ref'!$A$1,"_",TEXT(V387,"YYYY-MM-DD"),"_APS-",TEXT(W387,"000")),IFERROR(0/0,""))</f>
        <v/>
      </c>
      <c r="U387" s="8" t="str">
        <f t="shared" ref="U387:U411" si="423">IF(COUNTIF(U$2:U$242,V387)=0,V387,IFERROR(0/0,""))</f>
        <v/>
      </c>
      <c r="V387" s="141">
        <v>45035.0</v>
      </c>
      <c r="W387" s="142" t="str">
        <f t="shared" si="409"/>
        <v/>
      </c>
      <c r="X387" s="43"/>
      <c r="AC387" s="70"/>
      <c r="AF387" s="70"/>
      <c r="AJ387" s="7" t="str">
        <f t="shared" ref="AJ387:AL387" si="422">IF(AG387=L387,IFERROR(0/0,""),FALSE)</f>
        <v/>
      </c>
      <c r="AK387" s="7" t="str">
        <f t="shared" si="422"/>
        <v/>
      </c>
      <c r="AL387" s="7" t="str">
        <f t="shared" si="422"/>
        <v/>
      </c>
      <c r="AM387" s="43"/>
    </row>
    <row r="388">
      <c r="C388" s="131"/>
      <c r="D388" s="54"/>
      <c r="E388" s="54"/>
      <c r="F388" s="54"/>
      <c r="G388" s="54"/>
      <c r="H388" s="54"/>
      <c r="I388" s="54"/>
      <c r="J388" s="54"/>
      <c r="K388" s="54"/>
      <c r="L388" s="54"/>
      <c r="M388" s="54"/>
      <c r="N388" s="89"/>
      <c r="P388" s="77" t="str">
        <f>IF(ISBLANK(N383),IFERROR(0/0,""),IFERROR(VLOOKUP(N383, 'Process Ref'!$A$76:$D$124, 2, FALSE), IFERROR(0/0,"")))</f>
        <v/>
      </c>
      <c r="R388" s="78"/>
      <c r="S388" s="43"/>
      <c r="T388" s="114" t="str">
        <f>IF(AND(NOT(ISBLANK(U388)),NOT(ISBLANK(V388)),NOT(ISBLANK(W388))),CONCATENATE("RUN-",'Process Ref'!$A$1,"_",TEXT(V388,"YYYY-MM-DD"),"_APS-",TEXT(W388,"000")),IFERROR(0/0,""))</f>
        <v/>
      </c>
      <c r="U388" s="8" t="str">
        <f t="shared" si="423"/>
        <v/>
      </c>
      <c r="V388" s="141">
        <v>45036.0</v>
      </c>
      <c r="W388" s="142" t="str">
        <f t="shared" si="409"/>
        <v/>
      </c>
      <c r="X388" s="43"/>
      <c r="AC388" s="70"/>
      <c r="AF388" s="70"/>
      <c r="AJ388" s="7" t="str">
        <f t="shared" ref="AJ388:AL388" si="424">IF(AG388=L388,IFERROR(0/0,""),FALSE)</f>
        <v/>
      </c>
      <c r="AK388" s="7" t="str">
        <f t="shared" si="424"/>
        <v/>
      </c>
      <c r="AL388" s="7" t="str">
        <f t="shared" si="424"/>
        <v/>
      </c>
      <c r="AM388" s="43"/>
    </row>
    <row r="389">
      <c r="C389" s="131"/>
      <c r="D389" s="54"/>
      <c r="E389" s="54"/>
      <c r="F389" s="54"/>
      <c r="G389" s="54"/>
      <c r="H389" s="54"/>
      <c r="I389" s="54"/>
      <c r="J389" s="54"/>
      <c r="K389" s="54"/>
      <c r="L389" s="54"/>
      <c r="M389" s="54"/>
      <c r="N389" s="89"/>
      <c r="P389" s="77" t="str">
        <f>IF(ISBLANK(N384),IFERROR(0/0,""),IFERROR(VLOOKUP(N384, 'Process Ref'!$A$76:$D$124, 2, FALSE), IFERROR(0/0,"")))</f>
        <v/>
      </c>
      <c r="R389" s="78"/>
      <c r="S389" s="43"/>
      <c r="T389" s="114" t="str">
        <f>IF(AND(NOT(ISBLANK(U389)),NOT(ISBLANK(V389)),NOT(ISBLANK(W389))),CONCATENATE("RUN-",'Process Ref'!$A$1,"_",TEXT(V389,"YYYY-MM-DD"),"_APS-",TEXT(W389,"000")),IFERROR(0/0,""))</f>
        <v/>
      </c>
      <c r="U389" s="8" t="str">
        <f t="shared" si="423"/>
        <v/>
      </c>
      <c r="V389" s="141">
        <v>45037.0</v>
      </c>
      <c r="W389" s="142" t="str">
        <f t="shared" si="409"/>
        <v/>
      </c>
      <c r="X389" s="43"/>
      <c r="AC389" s="70"/>
      <c r="AF389" s="70"/>
      <c r="AJ389" s="7" t="str">
        <f t="shared" ref="AJ389:AL389" si="425">IF(AG389=L389,IFERROR(0/0,""),FALSE)</f>
        <v/>
      </c>
      <c r="AK389" s="7" t="str">
        <f t="shared" si="425"/>
        <v/>
      </c>
      <c r="AL389" s="7" t="str">
        <f t="shared" si="425"/>
        <v/>
      </c>
      <c r="AM389" s="43"/>
    </row>
    <row r="390">
      <c r="C390" s="131"/>
      <c r="D390" s="54"/>
      <c r="E390" s="54"/>
      <c r="F390" s="54"/>
      <c r="G390" s="54"/>
      <c r="H390" s="54"/>
      <c r="I390" s="54"/>
      <c r="J390" s="54"/>
      <c r="K390" s="54"/>
      <c r="L390" s="54"/>
      <c r="M390" s="54"/>
      <c r="N390" s="89"/>
      <c r="P390" s="77" t="str">
        <f>IF(ISBLANK(N385),IFERROR(0/0,""),IFERROR(VLOOKUP(N385, 'Process Ref'!$A$76:$D$124, 2, FALSE), IFERROR(0/0,"")))</f>
        <v/>
      </c>
      <c r="R390" s="78"/>
      <c r="S390" s="43"/>
      <c r="T390" s="114" t="str">
        <f>IF(AND(NOT(ISBLANK(U390)),NOT(ISBLANK(V390)),NOT(ISBLANK(W390))),CONCATENATE("RUN-",'Process Ref'!$A$1,"_",TEXT(V390,"YYYY-MM-DD"),"_APS-",TEXT(W390,"000")),IFERROR(0/0,""))</f>
        <v/>
      </c>
      <c r="U390" s="8" t="str">
        <f t="shared" si="423"/>
        <v/>
      </c>
      <c r="V390" s="141">
        <v>45040.0</v>
      </c>
      <c r="W390" s="142" t="str">
        <f t="shared" si="409"/>
        <v/>
      </c>
      <c r="X390" s="43"/>
      <c r="AC390" s="70"/>
      <c r="AF390" s="70"/>
      <c r="AJ390" s="7" t="str">
        <f t="shared" ref="AJ390:AL390" si="426">IF(AG390=L390,IFERROR(0/0,""),FALSE)</f>
        <v/>
      </c>
      <c r="AK390" s="7" t="str">
        <f t="shared" si="426"/>
        <v/>
      </c>
      <c r="AL390" s="7" t="str">
        <f t="shared" si="426"/>
        <v/>
      </c>
      <c r="AM390" s="43"/>
    </row>
    <row r="391">
      <c r="C391" s="131"/>
      <c r="D391" s="54"/>
      <c r="E391" s="54"/>
      <c r="F391" s="54"/>
      <c r="G391" s="54"/>
      <c r="H391" s="54"/>
      <c r="I391" s="54"/>
      <c r="J391" s="54"/>
      <c r="K391" s="54"/>
      <c r="L391" s="54"/>
      <c r="M391" s="54"/>
      <c r="N391" s="89"/>
      <c r="P391" s="77" t="str">
        <f>IF(ISBLANK(N386),IFERROR(0/0,""),IFERROR(VLOOKUP(N386, 'Process Ref'!$A$76:$D$124, 2, FALSE), IFERROR(0/0,"")))</f>
        <v/>
      </c>
      <c r="R391" s="78"/>
      <c r="S391" s="43"/>
      <c r="T391" s="114" t="str">
        <f>IF(AND(NOT(ISBLANK(U391)),NOT(ISBLANK(V391)),NOT(ISBLANK(W391))),CONCATENATE("RUN-",'Process Ref'!$A$1,"_",TEXT(V391,"YYYY-MM-DD"),"_APS-",TEXT(W391,"000")),IFERROR(0/0,""))</f>
        <v>RUN-ABRM_2023-04-25_APS-010</v>
      </c>
      <c r="U391" s="8">
        <f t="shared" si="423"/>
        <v>45041</v>
      </c>
      <c r="V391" s="141">
        <v>45041.0</v>
      </c>
      <c r="W391" s="142">
        <f t="shared" si="409"/>
        <v>10</v>
      </c>
      <c r="X391" s="43"/>
      <c r="AC391" s="70"/>
      <c r="AF391" s="70"/>
      <c r="AJ391" s="7" t="str">
        <f t="shared" ref="AJ391:AL391" si="427">IF(AG391=L391,IFERROR(0/0,""),FALSE)</f>
        <v/>
      </c>
      <c r="AK391" s="7" t="str">
        <f t="shared" si="427"/>
        <v/>
      </c>
      <c r="AL391" s="7" t="str">
        <f t="shared" si="427"/>
        <v/>
      </c>
      <c r="AM391" s="43"/>
    </row>
    <row r="392">
      <c r="C392" s="131"/>
      <c r="D392" s="54"/>
      <c r="E392" s="54"/>
      <c r="F392" s="54"/>
      <c r="G392" s="54"/>
      <c r="H392" s="54"/>
      <c r="I392" s="54"/>
      <c r="J392" s="54"/>
      <c r="K392" s="54"/>
      <c r="L392" s="54"/>
      <c r="M392" s="54"/>
      <c r="N392" s="89"/>
      <c r="P392" s="77" t="str">
        <f>IF(ISBLANK(N387),IFERROR(0/0,""),IFERROR(VLOOKUP(N387, 'Process Ref'!$A$76:$D$124, 2, FALSE), IFERROR(0/0,"")))</f>
        <v/>
      </c>
      <c r="R392" s="78"/>
      <c r="S392" s="43"/>
      <c r="T392" s="114" t="str">
        <f>IF(AND(NOT(ISBLANK(U392)),NOT(ISBLANK(V392)),NOT(ISBLANK(W392))),CONCATENATE("RUN-",'Process Ref'!$A$1,"_",TEXT(V392,"YYYY-MM-DD"),"_APS-",TEXT(W392,"000")),IFERROR(0/0,""))</f>
        <v>RUN-ABRM_2023-04-26_APS-011</v>
      </c>
      <c r="U392" s="8">
        <f t="shared" si="423"/>
        <v>45042</v>
      </c>
      <c r="V392" s="141">
        <v>45042.0</v>
      </c>
      <c r="W392" s="142">
        <f t="shared" si="409"/>
        <v>11</v>
      </c>
      <c r="X392" s="43"/>
      <c r="AC392" s="70"/>
      <c r="AF392" s="70"/>
      <c r="AJ392" s="7" t="str">
        <f t="shared" ref="AJ392:AL392" si="428">IF(AG392=L392,IFERROR(0/0,""),FALSE)</f>
        <v/>
      </c>
      <c r="AK392" s="7" t="str">
        <f t="shared" si="428"/>
        <v/>
      </c>
      <c r="AL392" s="7" t="str">
        <f t="shared" si="428"/>
        <v/>
      </c>
      <c r="AM392" s="43"/>
    </row>
    <row r="393">
      <c r="C393" s="131"/>
      <c r="D393" s="54"/>
      <c r="E393" s="54"/>
      <c r="F393" s="54"/>
      <c r="G393" s="54"/>
      <c r="H393" s="54"/>
      <c r="I393" s="54"/>
      <c r="J393" s="54"/>
      <c r="K393" s="54"/>
      <c r="L393" s="54"/>
      <c r="M393" s="54"/>
      <c r="N393" s="89"/>
      <c r="P393" s="77" t="str">
        <f>IF(ISBLANK(N388),IFERROR(0/0,""),IFERROR(VLOOKUP(N388, 'Process Ref'!$A$76:$D$124, 2, FALSE), IFERROR(0/0,"")))</f>
        <v/>
      </c>
      <c r="R393" s="78"/>
      <c r="S393" s="43"/>
      <c r="T393" s="114" t="str">
        <f>IF(AND(NOT(ISBLANK(U393)),NOT(ISBLANK(V393)),NOT(ISBLANK(W393))),CONCATENATE("RUN-",'Process Ref'!$A$1,"_",TEXT(V393,"YYYY-MM-DD"),"_APS-",TEXT(W393,"000")),IFERROR(0/0,""))</f>
        <v>RUN-ABRM_2023-04-27_APS-012</v>
      </c>
      <c r="U393" s="8">
        <f t="shared" si="423"/>
        <v>45043</v>
      </c>
      <c r="V393" s="141">
        <v>45043.0</v>
      </c>
      <c r="W393" s="142">
        <f t="shared" si="409"/>
        <v>12</v>
      </c>
      <c r="X393" s="43"/>
      <c r="AC393" s="70"/>
      <c r="AF393" s="70"/>
      <c r="AJ393" s="7" t="str">
        <f t="shared" ref="AJ393:AL393" si="429">IF(AG393=L393,IFERROR(0/0,""),FALSE)</f>
        <v/>
      </c>
      <c r="AK393" s="7" t="str">
        <f t="shared" si="429"/>
        <v/>
      </c>
      <c r="AL393" s="7" t="str">
        <f t="shared" si="429"/>
        <v/>
      </c>
      <c r="AM393" s="43"/>
    </row>
    <row r="394">
      <c r="C394" s="131"/>
      <c r="D394" s="54"/>
      <c r="E394" s="54"/>
      <c r="F394" s="54"/>
      <c r="G394" s="54"/>
      <c r="H394" s="54"/>
      <c r="I394" s="54"/>
      <c r="J394" s="54"/>
      <c r="K394" s="54"/>
      <c r="L394" s="54"/>
      <c r="M394" s="54"/>
      <c r="N394" s="89"/>
      <c r="P394" s="77" t="str">
        <f>IF(ISBLANK(N389),IFERROR(0/0,""),IFERROR(VLOOKUP(N389, 'Process Ref'!$A$76:$D$124, 2, FALSE), IFERROR(0/0,"")))</f>
        <v/>
      </c>
      <c r="R394" s="78"/>
      <c r="S394" s="43"/>
      <c r="T394" s="114" t="str">
        <f>IF(AND(NOT(ISBLANK(U394)),NOT(ISBLANK(V394)),NOT(ISBLANK(W394))),CONCATENATE("RUN-",'Process Ref'!$A$1,"_",TEXT(V394,"YYYY-MM-DD"),"_APS-",TEXT(W394,"000")),IFERROR(0/0,""))</f>
        <v/>
      </c>
      <c r="U394" s="8" t="str">
        <f t="shared" si="423"/>
        <v/>
      </c>
      <c r="V394" s="141">
        <v>45044.0</v>
      </c>
      <c r="W394" s="142" t="str">
        <f t="shared" si="409"/>
        <v/>
      </c>
      <c r="X394" s="43"/>
      <c r="AC394" s="70"/>
      <c r="AF394" s="70"/>
      <c r="AJ394" s="7" t="str">
        <f t="shared" ref="AJ394:AL394" si="430">IF(AG394=L394,IFERROR(0/0,""),FALSE)</f>
        <v/>
      </c>
      <c r="AK394" s="7" t="str">
        <f t="shared" si="430"/>
        <v/>
      </c>
      <c r="AL394" s="7" t="str">
        <f t="shared" si="430"/>
        <v/>
      </c>
      <c r="AM394" s="43"/>
    </row>
    <row r="395">
      <c r="C395" s="131"/>
      <c r="D395" s="54"/>
      <c r="E395" s="54"/>
      <c r="F395" s="54"/>
      <c r="G395" s="54"/>
      <c r="H395" s="54"/>
      <c r="I395" s="54"/>
      <c r="J395" s="54"/>
      <c r="K395" s="54"/>
      <c r="L395" s="54"/>
      <c r="M395" s="54"/>
      <c r="N395" s="89"/>
      <c r="P395" s="77" t="str">
        <f>IF(ISBLANK(N390),IFERROR(0/0,""),IFERROR(VLOOKUP(N390, 'Process Ref'!$A$76:$D$124, 2, FALSE), IFERROR(0/0,"")))</f>
        <v/>
      </c>
      <c r="R395" s="78"/>
      <c r="S395" s="43"/>
      <c r="T395" s="114" t="str">
        <f>IF(AND(NOT(ISBLANK(U395)),NOT(ISBLANK(V395)),NOT(ISBLANK(W395))),CONCATENATE("RUN-",'Process Ref'!$A$1,"_",TEXT(V395,"YYYY-MM-DD"),"_APS-",TEXT(W395,"000")),IFERROR(0/0,""))</f>
        <v>RUN-ABRM_2023-05-02_APS-013</v>
      </c>
      <c r="U395" s="8">
        <f t="shared" si="423"/>
        <v>45048</v>
      </c>
      <c r="V395" s="141">
        <v>45048.0</v>
      </c>
      <c r="W395" s="142">
        <f t="shared" si="409"/>
        <v>13</v>
      </c>
      <c r="X395" s="43"/>
      <c r="AC395" s="70"/>
      <c r="AF395" s="70"/>
      <c r="AJ395" s="7" t="str">
        <f t="shared" ref="AJ395:AL395" si="431">IF(AG395=L395,IFERROR(0/0,""),FALSE)</f>
        <v/>
      </c>
      <c r="AK395" s="7" t="str">
        <f t="shared" si="431"/>
        <v/>
      </c>
      <c r="AL395" s="7" t="str">
        <f t="shared" si="431"/>
        <v/>
      </c>
      <c r="AM395" s="43"/>
    </row>
    <row r="396">
      <c r="C396" s="131"/>
      <c r="D396" s="54"/>
      <c r="E396" s="54"/>
      <c r="F396" s="54"/>
      <c r="G396" s="54"/>
      <c r="H396" s="54"/>
      <c r="I396" s="54"/>
      <c r="J396" s="54"/>
      <c r="K396" s="54"/>
      <c r="L396" s="54"/>
      <c r="M396" s="54"/>
      <c r="N396" s="89"/>
      <c r="P396" s="77" t="str">
        <f>IF(ISBLANK(N391),IFERROR(0/0,""),IFERROR(VLOOKUP(N391, 'Process Ref'!$A$76:$D$124, 2, FALSE), IFERROR(0/0,"")))</f>
        <v/>
      </c>
      <c r="R396" s="78"/>
      <c r="S396" s="43"/>
      <c r="T396" s="114" t="str">
        <f>IF(AND(NOT(ISBLANK(U396)),NOT(ISBLANK(V396)),NOT(ISBLANK(W396))),CONCATENATE("RUN-",'Process Ref'!$A$1,"_",TEXT(V396,"YYYY-MM-DD"),"_APS-",TEXT(W396,"000")),IFERROR(0/0,""))</f>
        <v>RUN-ABRM_2023-05-03_APS-014</v>
      </c>
      <c r="U396" s="8">
        <f t="shared" si="423"/>
        <v>45049</v>
      </c>
      <c r="V396" s="141">
        <v>45049.0</v>
      </c>
      <c r="W396" s="142">
        <f t="shared" si="409"/>
        <v>14</v>
      </c>
      <c r="X396" s="43"/>
      <c r="AC396" s="70"/>
      <c r="AF396" s="70"/>
      <c r="AJ396" s="7" t="str">
        <f t="shared" ref="AJ396:AL396" si="432">IF(AG396=L396,IFERROR(0/0,""),FALSE)</f>
        <v/>
      </c>
      <c r="AK396" s="7" t="str">
        <f t="shared" si="432"/>
        <v/>
      </c>
      <c r="AL396" s="7" t="str">
        <f t="shared" si="432"/>
        <v/>
      </c>
      <c r="AM396" s="43"/>
    </row>
    <row r="397">
      <c r="C397" s="131"/>
      <c r="D397" s="54"/>
      <c r="E397" s="54"/>
      <c r="F397" s="54"/>
      <c r="G397" s="54"/>
      <c r="H397" s="54"/>
      <c r="I397" s="54"/>
      <c r="J397" s="54"/>
      <c r="K397" s="54"/>
      <c r="L397" s="54"/>
      <c r="M397" s="54"/>
      <c r="N397" s="89"/>
      <c r="P397" s="77" t="str">
        <f>IF(ISBLANK(N392),IFERROR(0/0,""),IFERROR(VLOOKUP(N392, 'Process Ref'!$A$76:$D$124, 2, FALSE), IFERROR(0/0,"")))</f>
        <v/>
      </c>
      <c r="R397" s="78"/>
      <c r="S397" s="43"/>
      <c r="T397" s="114" t="str">
        <f>IF(AND(NOT(ISBLANK(U397)),NOT(ISBLANK(V397)),NOT(ISBLANK(W397))),CONCATENATE("RUN-",'Process Ref'!$A$1,"_",TEXT(V397,"YYYY-MM-DD"),"_APS-",TEXT(W397,"000")),IFERROR(0/0,""))</f>
        <v>RUN-ABRM_2023-05-04_APS-015</v>
      </c>
      <c r="U397" s="8">
        <f t="shared" si="423"/>
        <v>45050</v>
      </c>
      <c r="V397" s="141">
        <v>45050.0</v>
      </c>
      <c r="W397" s="142">
        <f t="shared" si="409"/>
        <v>15</v>
      </c>
      <c r="X397" s="43"/>
      <c r="AC397" s="70"/>
      <c r="AF397" s="70"/>
      <c r="AJ397" s="7" t="str">
        <f t="shared" ref="AJ397:AL397" si="433">IF(AG397=L397,IFERROR(0/0,""),FALSE)</f>
        <v/>
      </c>
      <c r="AK397" s="7" t="str">
        <f t="shared" si="433"/>
        <v/>
      </c>
      <c r="AL397" s="7" t="str">
        <f t="shared" si="433"/>
        <v/>
      </c>
      <c r="AM397" s="43"/>
    </row>
    <row r="398">
      <c r="C398" s="131"/>
      <c r="D398" s="54"/>
      <c r="E398" s="54"/>
      <c r="F398" s="54"/>
      <c r="G398" s="54"/>
      <c r="H398" s="54"/>
      <c r="I398" s="54"/>
      <c r="J398" s="54"/>
      <c r="K398" s="54"/>
      <c r="L398" s="54"/>
      <c r="M398" s="54"/>
      <c r="N398" s="89"/>
      <c r="P398" s="77" t="str">
        <f>IF(ISBLANK(N393),IFERROR(0/0,""),IFERROR(VLOOKUP(N393, 'Process Ref'!$A$76:$D$124, 2, FALSE), IFERROR(0/0,"")))</f>
        <v/>
      </c>
      <c r="R398" s="78"/>
      <c r="S398" s="43"/>
      <c r="T398" s="114" t="str">
        <f>IF(AND(NOT(ISBLANK(U398)),NOT(ISBLANK(V398)),NOT(ISBLANK(W398))),CONCATENATE("RUN-",'Process Ref'!$A$1,"_",TEXT(V398,"YYYY-MM-DD"),"_APS-",TEXT(W398,"000")),IFERROR(0/0,""))</f>
        <v>RUN-ABRM_2023-05-05_APS-016</v>
      </c>
      <c r="U398" s="8">
        <f t="shared" si="423"/>
        <v>45051</v>
      </c>
      <c r="V398" s="141">
        <v>45051.0</v>
      </c>
      <c r="W398" s="142">
        <f t="shared" si="409"/>
        <v>16</v>
      </c>
      <c r="X398" s="43"/>
      <c r="AC398" s="70"/>
      <c r="AF398" s="70"/>
      <c r="AJ398" s="7" t="str">
        <f t="shared" ref="AJ398:AL398" si="434">IF(AG398=L398,IFERROR(0/0,""),FALSE)</f>
        <v/>
      </c>
      <c r="AK398" s="7" t="str">
        <f t="shared" si="434"/>
        <v/>
      </c>
      <c r="AL398" s="7" t="str">
        <f t="shared" si="434"/>
        <v/>
      </c>
      <c r="AM398" s="43"/>
    </row>
    <row r="399">
      <c r="C399" s="131"/>
      <c r="D399" s="54"/>
      <c r="E399" s="54"/>
      <c r="F399" s="54"/>
      <c r="G399" s="54"/>
      <c r="H399" s="54"/>
      <c r="I399" s="54"/>
      <c r="J399" s="54"/>
      <c r="K399" s="54"/>
      <c r="L399" s="54"/>
      <c r="M399" s="54"/>
      <c r="N399" s="89"/>
      <c r="P399" s="77" t="str">
        <f>IF(ISBLANK(N394),IFERROR(0/0,""),IFERROR(VLOOKUP(N394, 'Process Ref'!$A$76:$D$124, 2, FALSE), IFERROR(0/0,"")))</f>
        <v/>
      </c>
      <c r="R399" s="78"/>
      <c r="S399" s="43"/>
      <c r="T399" s="114" t="str">
        <f>IF(AND(NOT(ISBLANK(U399)),NOT(ISBLANK(V399)),NOT(ISBLANK(W399))),CONCATENATE("RUN-",'Process Ref'!$A$1,"_",TEXT(V399,"YYYY-MM-DD"),"_APS-",TEXT(W399,"000")),IFERROR(0/0,""))</f>
        <v/>
      </c>
      <c r="U399" s="8" t="str">
        <f t="shared" si="423"/>
        <v/>
      </c>
      <c r="V399" s="141">
        <v>45054.0</v>
      </c>
      <c r="W399" s="142" t="str">
        <f t="shared" si="409"/>
        <v/>
      </c>
      <c r="X399" s="43"/>
      <c r="AC399" s="70"/>
      <c r="AF399" s="70"/>
      <c r="AJ399" s="7" t="str">
        <f t="shared" ref="AJ399:AL399" si="435">IF(AG399=L399,IFERROR(0/0,""),FALSE)</f>
        <v/>
      </c>
      <c r="AK399" s="7" t="str">
        <f t="shared" si="435"/>
        <v/>
      </c>
      <c r="AL399" s="7" t="str">
        <f t="shared" si="435"/>
        <v/>
      </c>
      <c r="AM399" s="43"/>
    </row>
    <row r="400">
      <c r="C400" s="131"/>
      <c r="D400" s="54"/>
      <c r="E400" s="54"/>
      <c r="F400" s="54"/>
      <c r="G400" s="54"/>
      <c r="H400" s="54"/>
      <c r="I400" s="54"/>
      <c r="J400" s="54"/>
      <c r="K400" s="54"/>
      <c r="L400" s="54"/>
      <c r="M400" s="54"/>
      <c r="N400" s="89"/>
      <c r="P400" s="77" t="str">
        <f>IF(ISBLANK(N395),IFERROR(0/0,""),IFERROR(VLOOKUP(N395, 'Process Ref'!$A$76:$D$124, 2, FALSE), IFERROR(0/0,"")))</f>
        <v/>
      </c>
      <c r="R400" s="78"/>
      <c r="S400" s="43"/>
      <c r="T400" s="114" t="str">
        <f>IF(AND(NOT(ISBLANK(U400)),NOT(ISBLANK(V400)),NOT(ISBLANK(W400))),CONCATENATE("RUN-",'Process Ref'!$A$1,"_",TEXT(V400,"YYYY-MM-DD"),"_APS-",TEXT(W400,"000")),IFERROR(0/0,""))</f>
        <v>RUN-ABRM_2023-05-09_APS-017</v>
      </c>
      <c r="U400" s="8">
        <f t="shared" si="423"/>
        <v>45055</v>
      </c>
      <c r="V400" s="141">
        <v>45055.0</v>
      </c>
      <c r="W400" s="142">
        <f t="shared" si="409"/>
        <v>17</v>
      </c>
      <c r="X400" s="43"/>
      <c r="AC400" s="70"/>
      <c r="AF400" s="70"/>
      <c r="AJ400" s="7" t="str">
        <f t="shared" ref="AJ400:AL400" si="436">IF(AG400=L400,IFERROR(0/0,""),FALSE)</f>
        <v/>
      </c>
      <c r="AK400" s="7" t="str">
        <f t="shared" si="436"/>
        <v/>
      </c>
      <c r="AL400" s="7" t="str">
        <f t="shared" si="436"/>
        <v/>
      </c>
      <c r="AM400" s="43"/>
    </row>
    <row r="401">
      <c r="C401" s="131"/>
      <c r="D401" s="54"/>
      <c r="E401" s="54"/>
      <c r="F401" s="54"/>
      <c r="G401" s="54"/>
      <c r="H401" s="54"/>
      <c r="I401" s="54"/>
      <c r="J401" s="54"/>
      <c r="K401" s="54"/>
      <c r="L401" s="54"/>
      <c r="M401" s="54"/>
      <c r="N401" s="89"/>
      <c r="P401" s="77" t="str">
        <f>IF(ISBLANK(N396),IFERROR(0/0,""),IFERROR(VLOOKUP(N396, 'Process Ref'!$A$76:$D$124, 2, FALSE), IFERROR(0/0,"")))</f>
        <v/>
      </c>
      <c r="R401" s="78"/>
      <c r="S401" s="43"/>
      <c r="T401" s="114" t="str">
        <f>IF(AND(NOT(ISBLANK(U401)),NOT(ISBLANK(V401)),NOT(ISBLANK(W401))),CONCATENATE("RUN-",'Process Ref'!$A$1,"_",TEXT(V401,"YYYY-MM-DD"),"_APS-",TEXT(W401,"000")),IFERROR(0/0,""))</f>
        <v>RUN-ABRM_2023-05-10_APS-018</v>
      </c>
      <c r="U401" s="8">
        <f t="shared" si="423"/>
        <v>45056</v>
      </c>
      <c r="V401" s="141">
        <v>45056.0</v>
      </c>
      <c r="W401" s="142">
        <f t="shared" si="409"/>
        <v>18</v>
      </c>
      <c r="X401" s="43"/>
      <c r="AC401" s="70"/>
      <c r="AF401" s="70"/>
      <c r="AJ401" s="7" t="str">
        <f t="shared" ref="AJ401:AL401" si="437">IF(AG401=L401,IFERROR(0/0,""),FALSE)</f>
        <v/>
      </c>
      <c r="AK401" s="7" t="str">
        <f t="shared" si="437"/>
        <v/>
      </c>
      <c r="AL401" s="7" t="str">
        <f t="shared" si="437"/>
        <v/>
      </c>
      <c r="AM401" s="43"/>
    </row>
    <row r="402">
      <c r="C402" s="131"/>
      <c r="D402" s="54"/>
      <c r="E402" s="54"/>
      <c r="F402" s="54"/>
      <c r="G402" s="54"/>
      <c r="H402" s="54"/>
      <c r="I402" s="54"/>
      <c r="J402" s="54"/>
      <c r="K402" s="54"/>
      <c r="L402" s="54"/>
      <c r="M402" s="54"/>
      <c r="N402" s="89"/>
      <c r="P402" s="77" t="str">
        <f>IF(ISBLANK(N397),IFERROR(0/0,""),IFERROR(VLOOKUP(N397, 'Process Ref'!$A$76:$D$124, 2, FALSE), IFERROR(0/0,"")))</f>
        <v/>
      </c>
      <c r="R402" s="78"/>
      <c r="S402" s="43"/>
      <c r="T402" s="114" t="str">
        <f>IF(AND(NOT(ISBLANK(U402)),NOT(ISBLANK(V402)),NOT(ISBLANK(W402))),CONCATENATE("RUN-",'Process Ref'!$A$1,"_",TEXT(V402,"YYYY-MM-DD"),"_APS-",TEXT(W402,"000")),IFERROR(0/0,""))</f>
        <v/>
      </c>
      <c r="U402" s="8" t="str">
        <f t="shared" si="423"/>
        <v/>
      </c>
      <c r="V402" s="141">
        <v>45057.0</v>
      </c>
      <c r="W402" s="142" t="str">
        <f t="shared" si="409"/>
        <v/>
      </c>
      <c r="X402" s="43"/>
      <c r="AC402" s="70"/>
      <c r="AF402" s="70"/>
      <c r="AJ402" s="7" t="str">
        <f t="shared" ref="AJ402:AL402" si="438">IF(AG402=L402,IFERROR(0/0,""),FALSE)</f>
        <v/>
      </c>
      <c r="AK402" s="7" t="str">
        <f t="shared" si="438"/>
        <v/>
      </c>
      <c r="AL402" s="7" t="str">
        <f t="shared" si="438"/>
        <v/>
      </c>
      <c r="AM402" s="43"/>
    </row>
    <row r="403">
      <c r="C403" s="131"/>
      <c r="D403" s="54"/>
      <c r="E403" s="54"/>
      <c r="F403" s="54"/>
      <c r="G403" s="54"/>
      <c r="H403" s="54"/>
      <c r="I403" s="54"/>
      <c r="J403" s="54"/>
      <c r="K403" s="54"/>
      <c r="L403" s="54"/>
      <c r="M403" s="54"/>
      <c r="N403" s="89"/>
      <c r="P403" s="77" t="str">
        <f>IF(ISBLANK(N398),IFERROR(0/0,""),IFERROR(VLOOKUP(N398, 'Process Ref'!$A$76:$D$124, 2, FALSE), IFERROR(0/0,"")))</f>
        <v/>
      </c>
      <c r="R403" s="78"/>
      <c r="S403" s="43"/>
      <c r="T403" s="114" t="str">
        <f>IF(AND(NOT(ISBLANK(U403)),NOT(ISBLANK(V403)),NOT(ISBLANK(W403))),CONCATENATE("RUN-",'Process Ref'!$A$1,"_",TEXT(V403,"YYYY-MM-DD"),"_APS-",TEXT(W403,"000")),IFERROR(0/0,""))</f>
        <v>RUN-ABRM_2023-05-12_APS-019</v>
      </c>
      <c r="U403" s="8">
        <f t="shared" si="423"/>
        <v>45058</v>
      </c>
      <c r="V403" s="141">
        <v>45058.0</v>
      </c>
      <c r="W403" s="142">
        <f t="shared" si="409"/>
        <v>19</v>
      </c>
      <c r="X403" s="43"/>
      <c r="AC403" s="70"/>
      <c r="AF403" s="70"/>
      <c r="AJ403" s="7" t="str">
        <f t="shared" ref="AJ403:AL403" si="439">IF(AG403=L403,IFERROR(0/0,""),FALSE)</f>
        <v/>
      </c>
      <c r="AK403" s="7" t="str">
        <f t="shared" si="439"/>
        <v/>
      </c>
      <c r="AL403" s="7" t="str">
        <f t="shared" si="439"/>
        <v/>
      </c>
      <c r="AM403" s="43"/>
    </row>
    <row r="404">
      <c r="C404" s="131"/>
      <c r="D404" s="54"/>
      <c r="E404" s="54"/>
      <c r="F404" s="54"/>
      <c r="G404" s="54"/>
      <c r="H404" s="54"/>
      <c r="I404" s="54"/>
      <c r="J404" s="54"/>
      <c r="K404" s="54"/>
      <c r="L404" s="54"/>
      <c r="M404" s="54"/>
      <c r="N404" s="89"/>
      <c r="P404" s="77" t="str">
        <f>IF(ISBLANK(N399),IFERROR(0/0,""),IFERROR(VLOOKUP(N399, 'Process Ref'!$A$76:$D$124, 2, FALSE), IFERROR(0/0,"")))</f>
        <v/>
      </c>
      <c r="R404" s="78"/>
      <c r="S404" s="43"/>
      <c r="T404" s="114" t="str">
        <f>IF(AND(NOT(ISBLANK(U404)),NOT(ISBLANK(V404)),NOT(ISBLANK(W404))),CONCATENATE("RUN-",'Process Ref'!$A$1,"_",TEXT(V404,"YYYY-MM-DD"),"_APS-",TEXT(W404,"000")),IFERROR(0/0,""))</f>
        <v>RUN-ABRM_2023-05-15_APS-020</v>
      </c>
      <c r="U404" s="8">
        <f t="shared" si="423"/>
        <v>45061</v>
      </c>
      <c r="V404" s="141">
        <v>45061.0</v>
      </c>
      <c r="W404" s="142">
        <f t="shared" si="409"/>
        <v>20</v>
      </c>
      <c r="X404" s="43"/>
      <c r="AC404" s="70"/>
      <c r="AF404" s="70"/>
      <c r="AJ404" s="7" t="str">
        <f t="shared" ref="AJ404:AL404" si="440">IF(AG404=L404,IFERROR(0/0,""),FALSE)</f>
        <v/>
      </c>
      <c r="AK404" s="7" t="str">
        <f t="shared" si="440"/>
        <v/>
      </c>
      <c r="AL404" s="7" t="str">
        <f t="shared" si="440"/>
        <v/>
      </c>
      <c r="AM404" s="43"/>
    </row>
    <row r="405">
      <c r="C405" s="131"/>
      <c r="D405" s="54"/>
      <c r="E405" s="54"/>
      <c r="F405" s="54"/>
      <c r="G405" s="54"/>
      <c r="H405" s="54"/>
      <c r="I405" s="54"/>
      <c r="J405" s="54"/>
      <c r="K405" s="54"/>
      <c r="L405" s="54"/>
      <c r="M405" s="54"/>
      <c r="N405" s="89"/>
      <c r="P405" s="77" t="str">
        <f>IF(ISBLANK(N400),IFERROR(0/0,""),IFERROR(VLOOKUP(N400, 'Process Ref'!$A$76:$D$124, 2, FALSE), IFERROR(0/0,"")))</f>
        <v/>
      </c>
      <c r="R405" s="78"/>
      <c r="S405" s="43"/>
      <c r="T405" s="114" t="str">
        <f>IF(AND(NOT(ISBLANK(U405)),NOT(ISBLANK(V405)),NOT(ISBLANK(W405))),CONCATENATE("RUN-",'Process Ref'!$A$1,"_",TEXT(V405,"YYYY-MM-DD"),"_APS-",TEXT(W405,"000")),IFERROR(0/0,""))</f>
        <v>RUN-ABRM_2023-05-16_APS-021</v>
      </c>
      <c r="U405" s="8">
        <f t="shared" si="423"/>
        <v>45062</v>
      </c>
      <c r="V405" s="141">
        <v>45062.0</v>
      </c>
      <c r="W405" s="142">
        <f t="shared" si="409"/>
        <v>21</v>
      </c>
      <c r="X405" s="43"/>
      <c r="AC405" s="70"/>
      <c r="AF405" s="70"/>
      <c r="AJ405" s="7" t="str">
        <f t="shared" ref="AJ405:AL405" si="441">IF(AG405=L405,IFERROR(0/0,""),FALSE)</f>
        <v/>
      </c>
      <c r="AK405" s="7" t="str">
        <f t="shared" si="441"/>
        <v/>
      </c>
      <c r="AL405" s="7" t="str">
        <f t="shared" si="441"/>
        <v/>
      </c>
      <c r="AM405" s="43"/>
    </row>
    <row r="406">
      <c r="C406" s="131"/>
      <c r="D406" s="54"/>
      <c r="E406" s="54"/>
      <c r="F406" s="54"/>
      <c r="G406" s="54"/>
      <c r="H406" s="54"/>
      <c r="I406" s="54"/>
      <c r="J406" s="54"/>
      <c r="K406" s="54"/>
      <c r="L406" s="54"/>
      <c r="M406" s="54"/>
      <c r="N406" s="89"/>
      <c r="P406" s="77" t="str">
        <f>IF(ISBLANK(N401),IFERROR(0/0,""),IFERROR(VLOOKUP(N401, 'Process Ref'!$A$76:$D$124, 2, FALSE), IFERROR(0/0,"")))</f>
        <v/>
      </c>
      <c r="R406" s="78"/>
      <c r="S406" s="43"/>
      <c r="T406" s="114" t="str">
        <f>IF(AND(NOT(ISBLANK(U406)),NOT(ISBLANK(V406)),NOT(ISBLANK(W406))),CONCATENATE("RUN-",'Process Ref'!$A$1,"_",TEXT(V406,"YYYY-MM-DD"),"_APS-",TEXT(W406,"000")),IFERROR(0/0,""))</f>
        <v/>
      </c>
      <c r="U406" s="8" t="str">
        <f t="shared" si="423"/>
        <v/>
      </c>
      <c r="V406" s="141">
        <v>45063.0</v>
      </c>
      <c r="W406" s="142" t="str">
        <f t="shared" si="409"/>
        <v/>
      </c>
      <c r="X406" s="43"/>
      <c r="AC406" s="70"/>
      <c r="AF406" s="70"/>
      <c r="AJ406" s="7" t="str">
        <f t="shared" ref="AJ406:AL406" si="442">IF(AG406=L406,IFERROR(0/0,""),FALSE)</f>
        <v/>
      </c>
      <c r="AK406" s="7" t="str">
        <f t="shared" si="442"/>
        <v/>
      </c>
      <c r="AL406" s="7" t="str">
        <f t="shared" si="442"/>
        <v/>
      </c>
      <c r="AM406" s="43"/>
    </row>
    <row r="407">
      <c r="C407" s="131"/>
      <c r="D407" s="54"/>
      <c r="E407" s="54"/>
      <c r="F407" s="54"/>
      <c r="G407" s="54"/>
      <c r="H407" s="54"/>
      <c r="I407" s="54"/>
      <c r="J407" s="54"/>
      <c r="K407" s="54"/>
      <c r="L407" s="54"/>
      <c r="M407" s="54"/>
      <c r="N407" s="89"/>
      <c r="P407" s="77" t="str">
        <f>IF(ISBLANK(N402),IFERROR(0/0,""),IFERROR(VLOOKUP(N402, 'Process Ref'!$A$76:$D$124, 2, FALSE), IFERROR(0/0,"")))</f>
        <v/>
      </c>
      <c r="R407" s="78"/>
      <c r="S407" s="43"/>
      <c r="T407" s="114" t="str">
        <f>IF(AND(NOT(ISBLANK(U407)),NOT(ISBLANK(V407)),NOT(ISBLANK(W407))),CONCATENATE("RUN-",'Process Ref'!$A$1,"_",TEXT(V407,"YYYY-MM-DD"),"_APS-",TEXT(W407,"000")),IFERROR(0/0,""))</f>
        <v/>
      </c>
      <c r="U407" s="8" t="str">
        <f t="shared" si="423"/>
        <v/>
      </c>
      <c r="V407" s="141">
        <v>45064.0</v>
      </c>
      <c r="W407" s="142" t="str">
        <f t="shared" si="409"/>
        <v/>
      </c>
      <c r="X407" s="43"/>
      <c r="AC407" s="70"/>
      <c r="AF407" s="70"/>
      <c r="AJ407" s="7" t="str">
        <f t="shared" ref="AJ407:AL407" si="443">IF(AG407=L407,IFERROR(0/0,""),FALSE)</f>
        <v/>
      </c>
      <c r="AK407" s="7" t="str">
        <f t="shared" si="443"/>
        <v/>
      </c>
      <c r="AL407" s="7" t="str">
        <f t="shared" si="443"/>
        <v/>
      </c>
      <c r="AM407" s="43"/>
    </row>
    <row r="408">
      <c r="C408" s="131"/>
      <c r="D408" s="54"/>
      <c r="E408" s="54"/>
      <c r="F408" s="54"/>
      <c r="G408" s="54"/>
      <c r="H408" s="54"/>
      <c r="I408" s="54"/>
      <c r="J408" s="54"/>
      <c r="K408" s="54"/>
      <c r="L408" s="54"/>
      <c r="M408" s="54"/>
      <c r="N408" s="89"/>
      <c r="P408" s="77" t="str">
        <f>IF(ISBLANK(N403),IFERROR(0/0,""),IFERROR(VLOOKUP(N403, 'Process Ref'!$A$76:$D$124, 2, FALSE), IFERROR(0/0,"")))</f>
        <v/>
      </c>
      <c r="R408" s="78"/>
      <c r="S408" s="43"/>
      <c r="T408" s="114" t="str">
        <f>IF(AND(NOT(ISBLANK(U408)),NOT(ISBLANK(V408)),NOT(ISBLANK(W408))),CONCATENATE("RUN-",'Process Ref'!$A$1,"_",TEXT(V408,"YYYY-MM-DD"),"_APS-",TEXT(W408,"000")),IFERROR(0/0,""))</f>
        <v/>
      </c>
      <c r="U408" s="8" t="str">
        <f t="shared" si="423"/>
        <v/>
      </c>
      <c r="V408" s="141">
        <v>45065.0</v>
      </c>
      <c r="W408" s="142" t="str">
        <f t="shared" si="409"/>
        <v/>
      </c>
      <c r="X408" s="43"/>
      <c r="AC408" s="70"/>
      <c r="AF408" s="70"/>
      <c r="AJ408" s="7" t="str">
        <f t="shared" ref="AJ408:AL408" si="444">IF(AG408=L408,IFERROR(0/0,""),FALSE)</f>
        <v/>
      </c>
      <c r="AK408" s="7" t="str">
        <f t="shared" si="444"/>
        <v/>
      </c>
      <c r="AL408" s="7" t="str">
        <f t="shared" si="444"/>
        <v/>
      </c>
      <c r="AM408" s="43"/>
    </row>
    <row r="409">
      <c r="C409" s="131"/>
      <c r="D409" s="54"/>
      <c r="E409" s="54"/>
      <c r="F409" s="54"/>
      <c r="G409" s="54"/>
      <c r="H409" s="54"/>
      <c r="I409" s="54"/>
      <c r="J409" s="54"/>
      <c r="K409" s="54"/>
      <c r="L409" s="54"/>
      <c r="M409" s="54"/>
      <c r="N409" s="89"/>
      <c r="P409" s="77" t="str">
        <f>IF(ISBLANK(N404),IFERROR(0/0,""),IFERROR(VLOOKUP(N404, 'Process Ref'!$A$76:$D$124, 2, FALSE), IFERROR(0/0,"")))</f>
        <v/>
      </c>
      <c r="R409" s="78"/>
      <c r="S409" s="43"/>
      <c r="T409" s="114" t="str">
        <f>IF(AND(NOT(ISBLANK(U409)),NOT(ISBLANK(V409)),NOT(ISBLANK(W409))),CONCATENATE("RUN-",'Process Ref'!$A$1,"_",TEXT(V409,"YYYY-MM-DD"),"_APS-",TEXT(W409,"000")),IFERROR(0/0,""))</f>
        <v/>
      </c>
      <c r="U409" s="8" t="str">
        <f t="shared" si="423"/>
        <v/>
      </c>
      <c r="V409" s="141">
        <v>45068.0</v>
      </c>
      <c r="W409" s="142" t="str">
        <f t="shared" si="409"/>
        <v/>
      </c>
      <c r="X409" s="43"/>
      <c r="AC409" s="70"/>
      <c r="AF409" s="70"/>
      <c r="AJ409" s="7" t="str">
        <f t="shared" ref="AJ409:AL409" si="445">IF(AG409=L409,IFERROR(0/0,""),FALSE)</f>
        <v/>
      </c>
      <c r="AK409" s="7" t="str">
        <f t="shared" si="445"/>
        <v/>
      </c>
      <c r="AL409" s="7" t="str">
        <f t="shared" si="445"/>
        <v/>
      </c>
      <c r="AM409" s="43"/>
    </row>
    <row r="410">
      <c r="C410" s="131"/>
      <c r="D410" s="54"/>
      <c r="E410" s="54"/>
      <c r="F410" s="54"/>
      <c r="G410" s="54"/>
      <c r="H410" s="54"/>
      <c r="I410" s="54"/>
      <c r="J410" s="54"/>
      <c r="K410" s="54"/>
      <c r="L410" s="54"/>
      <c r="M410" s="54"/>
      <c r="N410" s="89"/>
      <c r="P410" s="77" t="str">
        <f>IF(ISBLANK(N405),IFERROR(0/0,""),IFERROR(VLOOKUP(N405, 'Process Ref'!$A$76:$D$124, 2, FALSE), IFERROR(0/0,"")))</f>
        <v/>
      </c>
      <c r="R410" s="78"/>
      <c r="S410" s="43"/>
      <c r="T410" s="114" t="str">
        <f>IF(AND(NOT(ISBLANK(U410)),NOT(ISBLANK(V410)),NOT(ISBLANK(W410))),CONCATENATE("RUN-",'Process Ref'!$A$1,"_",TEXT(V410,"YYYY-MM-DD"),"_APS-",TEXT(W410,"000")),IFERROR(0/0,""))</f>
        <v/>
      </c>
      <c r="U410" s="8" t="str">
        <f t="shared" si="423"/>
        <v/>
      </c>
      <c r="V410" s="141">
        <v>45069.0</v>
      </c>
      <c r="W410" s="142" t="str">
        <f t="shared" si="409"/>
        <v/>
      </c>
      <c r="X410" s="43"/>
      <c r="AC410" s="70"/>
      <c r="AF410" s="70"/>
      <c r="AJ410" s="7" t="str">
        <f t="shared" ref="AJ410:AL410" si="446">IF(AG410=L410,IFERROR(0/0,""),FALSE)</f>
        <v/>
      </c>
      <c r="AK410" s="7" t="str">
        <f t="shared" si="446"/>
        <v/>
      </c>
      <c r="AL410" s="7" t="str">
        <f t="shared" si="446"/>
        <v/>
      </c>
      <c r="AM410" s="43"/>
    </row>
    <row r="411">
      <c r="C411" s="131"/>
      <c r="D411" s="54"/>
      <c r="E411" s="54"/>
      <c r="F411" s="54"/>
      <c r="G411" s="54"/>
      <c r="H411" s="54"/>
      <c r="I411" s="54"/>
      <c r="J411" s="54"/>
      <c r="K411" s="54"/>
      <c r="L411" s="54"/>
      <c r="M411" s="54"/>
      <c r="N411" s="89"/>
      <c r="P411" s="77" t="str">
        <f>IF(ISBLANK(N406),IFERROR(0/0,""),IFERROR(VLOOKUP(N406, 'Process Ref'!$A$76:$D$124, 2, FALSE), IFERROR(0/0,"")))</f>
        <v/>
      </c>
      <c r="R411" s="78"/>
      <c r="S411" s="43"/>
      <c r="T411" s="114" t="str">
        <f>IF(AND(NOT(ISBLANK(U411)),NOT(ISBLANK(V411)),NOT(ISBLANK(W411))),CONCATENATE("RUN-",'Process Ref'!$A$1,"_",TEXT(V411,"YYYY-MM-DD"),"_APS-",TEXT(W411,"000")),IFERROR(0/0,""))</f>
        <v/>
      </c>
      <c r="U411" s="8" t="str">
        <f t="shared" si="423"/>
        <v/>
      </c>
      <c r="V411" s="141">
        <v>45070.0</v>
      </c>
      <c r="W411" s="142" t="str">
        <f t="shared" si="409"/>
        <v/>
      </c>
      <c r="X411" s="43"/>
      <c r="AC411" s="70"/>
      <c r="AF411" s="70"/>
      <c r="AJ411" s="7" t="str">
        <f t="shared" ref="AJ411:AL411" si="447">IF(AG411=L411,IFERROR(0/0,""),FALSE)</f>
        <v/>
      </c>
      <c r="AK411" s="7" t="str">
        <f t="shared" si="447"/>
        <v/>
      </c>
      <c r="AL411" s="7" t="str">
        <f t="shared" si="447"/>
        <v/>
      </c>
      <c r="AM411" s="43"/>
    </row>
    <row r="412">
      <c r="C412" s="131"/>
      <c r="D412" s="54"/>
      <c r="E412" s="54"/>
      <c r="F412" s="54"/>
      <c r="G412" s="54"/>
      <c r="H412" s="54"/>
      <c r="I412" s="54"/>
      <c r="J412" s="54"/>
      <c r="K412" s="54"/>
      <c r="L412" s="54"/>
      <c r="M412" s="54"/>
      <c r="N412" s="89"/>
      <c r="P412" s="77" t="str">
        <f>IF(ISBLANK(N407),IFERROR(0/0,""),IFERROR(VLOOKUP(N407, 'Process Ref'!$A$76:$D$124, 2, FALSE), IFERROR(0/0,"")))</f>
        <v/>
      </c>
      <c r="R412" s="78"/>
      <c r="S412" s="43"/>
      <c r="T412" s="114" t="str">
        <f>IF(AND(NOT(ISBLANK(U412)),NOT(ISBLANK(V412)),NOT(ISBLANK(W412))),CONCATENATE("RUN-",'Process Ref'!$A$1,"_",TEXT(V412,"YYYY-MM-DD"),"_APS-",TEXT(W412,"000")),IFERROR(0/0,""))</f>
        <v>RUN-ABRM_2023-05-25_APS-022</v>
      </c>
      <c r="U412" s="141">
        <v>45071.0</v>
      </c>
      <c r="V412" s="141">
        <v>45071.0</v>
      </c>
      <c r="W412" s="142">
        <f t="shared" si="409"/>
        <v>22</v>
      </c>
      <c r="X412" s="43"/>
      <c r="AC412" s="70"/>
      <c r="AF412" s="70"/>
      <c r="AJ412" s="7" t="str">
        <f t="shared" ref="AJ412:AL412" si="448">IF(AG412=L412,IFERROR(0/0,""),FALSE)</f>
        <v/>
      </c>
      <c r="AK412" s="7" t="str">
        <f t="shared" si="448"/>
        <v/>
      </c>
      <c r="AL412" s="7" t="str">
        <f t="shared" si="448"/>
        <v/>
      </c>
      <c r="AM412" s="43"/>
    </row>
    <row r="413">
      <c r="C413" s="131"/>
      <c r="D413" s="54"/>
      <c r="E413" s="54"/>
      <c r="F413" s="54"/>
      <c r="G413" s="54"/>
      <c r="H413" s="54"/>
      <c r="I413" s="54"/>
      <c r="J413" s="54"/>
      <c r="K413" s="54"/>
      <c r="L413" s="54"/>
      <c r="M413" s="54"/>
      <c r="N413" s="89"/>
      <c r="P413" s="77" t="str">
        <f>IF(ISBLANK(N408),IFERROR(0/0,""),IFERROR(VLOOKUP(N408, 'Process Ref'!$A$76:$D$124, 2, FALSE), IFERROR(0/0,"")))</f>
        <v/>
      </c>
      <c r="R413" s="78"/>
      <c r="S413" s="43"/>
      <c r="T413" s="114" t="str">
        <f>IF(AND(NOT(ISBLANK(U413)),NOT(ISBLANK(V413)),NOT(ISBLANK(W413))),CONCATENATE("RUN-",'Process Ref'!$A$1,"_",TEXT(V413,"YYYY-MM-DD"),"_APS-",TEXT(W413,"000")),IFERROR(0/0,""))</f>
        <v/>
      </c>
      <c r="U413" s="8" t="str">
        <f t="shared" ref="U413:U418" si="450">IF(COUNTIF(U$2:U$242,V413)=0,V413,IFERROR(0/0,""))</f>
        <v/>
      </c>
      <c r="V413" s="141">
        <v>45072.0</v>
      </c>
      <c r="W413" s="142" t="str">
        <f t="shared" si="409"/>
        <v/>
      </c>
      <c r="X413" s="43"/>
      <c r="AC413" s="70"/>
      <c r="AF413" s="70"/>
      <c r="AJ413" s="7" t="str">
        <f t="shared" ref="AJ413:AL413" si="449">IF(AG413=L413,IFERROR(0/0,""),FALSE)</f>
        <v/>
      </c>
      <c r="AK413" s="7" t="str">
        <f t="shared" si="449"/>
        <v/>
      </c>
      <c r="AL413" s="7" t="str">
        <f t="shared" si="449"/>
        <v/>
      </c>
      <c r="AM413" s="43"/>
    </row>
    <row r="414">
      <c r="C414" s="131"/>
      <c r="D414" s="54"/>
      <c r="E414" s="54"/>
      <c r="F414" s="54"/>
      <c r="G414" s="54"/>
      <c r="H414" s="54"/>
      <c r="I414" s="54"/>
      <c r="J414" s="54"/>
      <c r="K414" s="54"/>
      <c r="L414" s="54"/>
      <c r="M414" s="54"/>
      <c r="N414" s="89"/>
      <c r="P414" s="77" t="str">
        <f>IF(ISBLANK(N409),IFERROR(0/0,""),IFERROR(VLOOKUP(N409, 'Process Ref'!$A$76:$D$124, 2, FALSE), IFERROR(0/0,"")))</f>
        <v/>
      </c>
      <c r="R414" s="78"/>
      <c r="S414" s="43"/>
      <c r="T414" s="114" t="str">
        <f>IF(AND(NOT(ISBLANK(U414)),NOT(ISBLANK(V414)),NOT(ISBLANK(W414))),CONCATENATE("RUN-",'Process Ref'!$A$1,"_",TEXT(V414,"YYYY-MM-DD"),"_APS-",TEXT(W414,"000")),IFERROR(0/0,""))</f>
        <v/>
      </c>
      <c r="U414" s="8" t="str">
        <f t="shared" si="450"/>
        <v/>
      </c>
      <c r="V414" s="141">
        <v>45075.0</v>
      </c>
      <c r="W414" s="142" t="str">
        <f t="shared" si="409"/>
        <v/>
      </c>
      <c r="X414" s="43"/>
      <c r="AC414" s="70"/>
      <c r="AF414" s="70"/>
      <c r="AJ414" s="7" t="str">
        <f t="shared" ref="AJ414:AL414" si="451">IF(AG414=L414,IFERROR(0/0,""),FALSE)</f>
        <v/>
      </c>
      <c r="AK414" s="7" t="str">
        <f t="shared" si="451"/>
        <v/>
      </c>
      <c r="AL414" s="7" t="str">
        <f t="shared" si="451"/>
        <v/>
      </c>
      <c r="AM414" s="43"/>
    </row>
    <row r="415">
      <c r="C415" s="131"/>
      <c r="D415" s="54"/>
      <c r="E415" s="54"/>
      <c r="F415" s="54"/>
      <c r="G415" s="54"/>
      <c r="H415" s="54"/>
      <c r="I415" s="54"/>
      <c r="J415" s="54"/>
      <c r="K415" s="54"/>
      <c r="L415" s="54"/>
      <c r="M415" s="54"/>
      <c r="N415" s="89"/>
      <c r="P415" s="77" t="str">
        <f>IF(ISBLANK(N410),IFERROR(0/0,""),IFERROR(VLOOKUP(N410, 'Process Ref'!$A$76:$D$124, 2, FALSE), IFERROR(0/0,"")))</f>
        <v/>
      </c>
      <c r="R415" s="78"/>
      <c r="S415" s="43"/>
      <c r="T415" s="114" t="str">
        <f>IF(AND(NOT(ISBLANK(U415)),NOT(ISBLANK(V415)),NOT(ISBLANK(W415))),CONCATENATE("RUN-",'Process Ref'!$A$1,"_",TEXT(V415,"YYYY-MM-DD"),"_APS-",TEXT(W415,"000")),IFERROR(0/0,""))</f>
        <v/>
      </c>
      <c r="U415" s="8" t="str">
        <f t="shared" si="450"/>
        <v/>
      </c>
      <c r="V415" s="141">
        <v>45076.0</v>
      </c>
      <c r="W415" s="142" t="str">
        <f t="shared" si="409"/>
        <v/>
      </c>
      <c r="X415" s="43"/>
      <c r="AC415" s="70"/>
      <c r="AF415" s="70"/>
      <c r="AJ415" s="7" t="str">
        <f t="shared" ref="AJ415:AL415" si="452">IF(AG415=L415,IFERROR(0/0,""),FALSE)</f>
        <v/>
      </c>
      <c r="AK415" s="7" t="str">
        <f t="shared" si="452"/>
        <v/>
      </c>
      <c r="AL415" s="7" t="str">
        <f t="shared" si="452"/>
        <v/>
      </c>
      <c r="AM415" s="43"/>
    </row>
    <row r="416">
      <c r="C416" s="131"/>
      <c r="D416" s="54"/>
      <c r="E416" s="54"/>
      <c r="F416" s="54"/>
      <c r="G416" s="54"/>
      <c r="H416" s="54"/>
      <c r="I416" s="54"/>
      <c r="J416" s="54"/>
      <c r="K416" s="54"/>
      <c r="L416" s="54"/>
      <c r="M416" s="54"/>
      <c r="N416" s="89"/>
      <c r="P416" s="77" t="str">
        <f>IF(ISBLANK(N411),IFERROR(0/0,""),IFERROR(VLOOKUP(N411, 'Process Ref'!$A$76:$D$124, 2, FALSE), IFERROR(0/0,"")))</f>
        <v/>
      </c>
      <c r="R416" s="78"/>
      <c r="S416" s="43"/>
      <c r="T416" s="114" t="str">
        <f>IF(AND(NOT(ISBLANK(U416)),NOT(ISBLANK(V416)),NOT(ISBLANK(W416))),CONCATENATE("RUN-",'Process Ref'!$A$1,"_",TEXT(V416,"YYYY-MM-DD"),"_APS-",TEXT(W416,"000")),IFERROR(0/0,""))</f>
        <v/>
      </c>
      <c r="U416" s="8" t="str">
        <f t="shared" si="450"/>
        <v/>
      </c>
      <c r="V416" s="141">
        <v>45077.0</v>
      </c>
      <c r="W416" s="142" t="str">
        <f t="shared" si="409"/>
        <v/>
      </c>
      <c r="X416" s="43"/>
      <c r="AC416" s="70"/>
      <c r="AF416" s="70"/>
      <c r="AJ416" s="7" t="str">
        <f t="shared" ref="AJ416:AL416" si="453">IF(AG416=L416,IFERROR(0/0,""),FALSE)</f>
        <v/>
      </c>
      <c r="AK416" s="7" t="str">
        <f t="shared" si="453"/>
        <v/>
      </c>
      <c r="AL416" s="7" t="str">
        <f t="shared" si="453"/>
        <v/>
      </c>
      <c r="AM416" s="43"/>
    </row>
    <row r="417">
      <c r="C417" s="131"/>
      <c r="D417" s="54"/>
      <c r="E417" s="54"/>
      <c r="F417" s="54"/>
      <c r="G417" s="54"/>
      <c r="H417" s="54"/>
      <c r="I417" s="54"/>
      <c r="J417" s="54"/>
      <c r="K417" s="54"/>
      <c r="L417" s="54"/>
      <c r="M417" s="54"/>
      <c r="N417" s="89"/>
      <c r="P417" s="77" t="str">
        <f>IF(ISBLANK(N412),IFERROR(0/0,""),IFERROR(VLOOKUP(N412, 'Process Ref'!$A$76:$D$124, 2, FALSE), IFERROR(0/0,"")))</f>
        <v/>
      </c>
      <c r="R417" s="78"/>
      <c r="S417" s="43"/>
      <c r="T417" s="114" t="str">
        <f>IF(AND(NOT(ISBLANK(U417)),NOT(ISBLANK(V417)),NOT(ISBLANK(W417))),CONCATENATE("RUN-",'Process Ref'!$A$1,"_",TEXT(V417,"YYYY-MM-DD"),"_APS-",TEXT(W417,"000")),IFERROR(0/0,""))</f>
        <v/>
      </c>
      <c r="U417" s="8" t="str">
        <f t="shared" si="450"/>
        <v/>
      </c>
      <c r="V417" s="141">
        <v>45078.0</v>
      </c>
      <c r="W417" s="142" t="str">
        <f t="shared" si="409"/>
        <v/>
      </c>
      <c r="X417" s="43"/>
      <c r="AC417" s="70"/>
      <c r="AF417" s="70"/>
      <c r="AJ417" s="7" t="str">
        <f t="shared" ref="AJ417:AL417" si="454">IF(AG417=L417,IFERROR(0/0,""),FALSE)</f>
        <v/>
      </c>
      <c r="AK417" s="7" t="str">
        <f t="shared" si="454"/>
        <v/>
      </c>
      <c r="AL417" s="7" t="str">
        <f t="shared" si="454"/>
        <v/>
      </c>
      <c r="AM417" s="43"/>
    </row>
    <row r="418">
      <c r="C418" s="131"/>
      <c r="D418" s="54"/>
      <c r="E418" s="54"/>
      <c r="F418" s="54"/>
      <c r="G418" s="54"/>
      <c r="H418" s="54"/>
      <c r="I418" s="54"/>
      <c r="J418" s="54"/>
      <c r="K418" s="54"/>
      <c r="L418" s="54"/>
      <c r="M418" s="54"/>
      <c r="N418" s="89"/>
      <c r="P418" s="77" t="str">
        <f>IF(ISBLANK(N413),IFERROR(0/0,""),IFERROR(VLOOKUP(N413, 'Process Ref'!$A$76:$D$124, 2, FALSE), IFERROR(0/0,"")))</f>
        <v/>
      </c>
      <c r="R418" s="78"/>
      <c r="S418" s="43"/>
      <c r="T418" s="114" t="str">
        <f>IF(AND(NOT(ISBLANK(U418)),NOT(ISBLANK(V418)),NOT(ISBLANK(W418))),CONCATENATE("RUN-",'Process Ref'!$A$1,"_",TEXT(V418,"YYYY-MM-DD"),"_APS-",TEXT(W418,"000")),IFERROR(0/0,""))</f>
        <v>RUN-ABRM_2023-06-02_APS-023</v>
      </c>
      <c r="U418" s="8">
        <f t="shared" si="450"/>
        <v>45079</v>
      </c>
      <c r="V418" s="141">
        <v>45079.0</v>
      </c>
      <c r="W418" s="142">
        <f t="shared" si="409"/>
        <v>23</v>
      </c>
      <c r="X418" s="43"/>
      <c r="AC418" s="70"/>
      <c r="AF418" s="70"/>
      <c r="AJ418" s="7" t="str">
        <f t="shared" ref="AJ418:AL418" si="455">IF(AG418=L418,IFERROR(0/0,""),FALSE)</f>
        <v/>
      </c>
      <c r="AK418" s="7" t="str">
        <f t="shared" si="455"/>
        <v/>
      </c>
      <c r="AL418" s="7" t="str">
        <f t="shared" si="455"/>
        <v/>
      </c>
      <c r="AM418" s="43"/>
    </row>
    <row r="419">
      <c r="C419" s="131"/>
      <c r="D419" s="54"/>
      <c r="E419" s="54"/>
      <c r="F419" s="54"/>
      <c r="G419" s="54"/>
      <c r="H419" s="54"/>
      <c r="I419" s="54"/>
      <c r="J419" s="54"/>
      <c r="K419" s="54"/>
      <c r="L419" s="54"/>
      <c r="M419" s="54"/>
      <c r="N419" s="89"/>
      <c r="P419" s="77" t="str">
        <f>IF(ISBLANK(N414),IFERROR(0/0,""),IFERROR(VLOOKUP(N414, 'Process Ref'!$A$76:$D$124, 2, FALSE), IFERROR(0/0,"")))</f>
        <v/>
      </c>
      <c r="R419" s="78"/>
      <c r="S419" s="43"/>
      <c r="U419" s="144"/>
      <c r="V419" s="117"/>
      <c r="X419" s="43"/>
      <c r="AC419" s="70"/>
      <c r="AF419" s="70"/>
      <c r="AJ419" s="7" t="str">
        <f t="shared" ref="AJ419:AL419" si="456">IF(AG419=L419,IFERROR(0/0,""),FALSE)</f>
        <v/>
      </c>
      <c r="AK419" s="7" t="str">
        <f t="shared" si="456"/>
        <v/>
      </c>
      <c r="AL419" s="7" t="str">
        <f t="shared" si="456"/>
        <v/>
      </c>
      <c r="AM419" s="43"/>
    </row>
    <row r="420">
      <c r="C420" s="131"/>
      <c r="D420" s="54"/>
      <c r="E420" s="54"/>
      <c r="F420" s="54"/>
      <c r="G420" s="54"/>
      <c r="H420" s="54"/>
      <c r="I420" s="54"/>
      <c r="J420" s="54"/>
      <c r="K420" s="54"/>
      <c r="L420" s="54"/>
      <c r="M420" s="54"/>
      <c r="N420" s="89"/>
      <c r="P420" s="77" t="str">
        <f>IF(ISBLANK(N415),IFERROR(0/0,""),IFERROR(VLOOKUP(N415, 'Process Ref'!$A$76:$D$124, 2, FALSE), IFERROR(0/0,"")))</f>
        <v/>
      </c>
      <c r="R420" s="78"/>
      <c r="S420" s="43"/>
      <c r="U420" s="144"/>
      <c r="V420" s="117"/>
      <c r="X420" s="43"/>
      <c r="AC420" s="70"/>
      <c r="AF420" s="70"/>
      <c r="AJ420" s="7" t="str">
        <f t="shared" ref="AJ420:AL420" si="457">IF(AG420=L420,IFERROR(0/0,""),FALSE)</f>
        <v/>
      </c>
      <c r="AK420" s="7" t="str">
        <f t="shared" si="457"/>
        <v/>
      </c>
      <c r="AL420" s="7" t="str">
        <f t="shared" si="457"/>
        <v/>
      </c>
      <c r="AM420" s="43"/>
    </row>
    <row r="421">
      <c r="C421" s="131"/>
      <c r="D421" s="54"/>
      <c r="E421" s="54"/>
      <c r="F421" s="54"/>
      <c r="G421" s="54"/>
      <c r="H421" s="54"/>
      <c r="I421" s="54"/>
      <c r="J421" s="54"/>
      <c r="K421" s="54"/>
      <c r="L421" s="54"/>
      <c r="M421" s="54"/>
      <c r="N421" s="89"/>
      <c r="P421" s="77" t="str">
        <f>IF(ISBLANK(N416),IFERROR(0/0,""),IFERROR(VLOOKUP(N416, 'Process Ref'!$A$76:$D$124, 2, FALSE), IFERROR(0/0,"")))</f>
        <v/>
      </c>
      <c r="R421" s="78"/>
      <c r="S421" s="43"/>
      <c r="U421" s="144"/>
      <c r="V421" s="117"/>
      <c r="X421" s="43"/>
      <c r="AC421" s="70"/>
      <c r="AF421" s="70"/>
      <c r="AJ421" s="7" t="str">
        <f t="shared" ref="AJ421:AL421" si="458">IF(AG421=L421,IFERROR(0/0,""),FALSE)</f>
        <v/>
      </c>
      <c r="AK421" s="7" t="str">
        <f t="shared" si="458"/>
        <v/>
      </c>
      <c r="AL421" s="7" t="str">
        <f t="shared" si="458"/>
        <v/>
      </c>
      <c r="AM421" s="43"/>
    </row>
    <row r="422">
      <c r="C422" s="131"/>
      <c r="D422" s="54"/>
      <c r="E422" s="54"/>
      <c r="F422" s="54"/>
      <c r="G422" s="54"/>
      <c r="H422" s="54"/>
      <c r="I422" s="54"/>
      <c r="J422" s="54"/>
      <c r="K422" s="54"/>
      <c r="L422" s="54"/>
      <c r="M422" s="54"/>
      <c r="N422" s="89"/>
      <c r="P422" s="77" t="str">
        <f>IF(ISBLANK(N417),IFERROR(0/0,""),IFERROR(VLOOKUP(N417, 'Process Ref'!$A$76:$D$124, 2, FALSE), IFERROR(0/0,"")))</f>
        <v/>
      </c>
      <c r="R422" s="78"/>
      <c r="S422" s="43"/>
      <c r="U422" s="144"/>
      <c r="V422" s="117"/>
      <c r="X422" s="43"/>
      <c r="AC422" s="70"/>
      <c r="AF422" s="70"/>
      <c r="AJ422" s="7" t="str">
        <f t="shared" ref="AJ422:AL422" si="459">IF(AG422=L422,IFERROR(0/0,""),FALSE)</f>
        <v/>
      </c>
      <c r="AK422" s="7" t="str">
        <f t="shared" si="459"/>
        <v/>
      </c>
      <c r="AL422" s="7" t="str">
        <f t="shared" si="459"/>
        <v/>
      </c>
      <c r="AM422" s="43"/>
    </row>
    <row r="423">
      <c r="C423" s="131"/>
      <c r="D423" s="54"/>
      <c r="E423" s="54"/>
      <c r="F423" s="54"/>
      <c r="G423" s="54"/>
      <c r="H423" s="54"/>
      <c r="I423" s="54"/>
      <c r="J423" s="54"/>
      <c r="K423" s="54"/>
      <c r="L423" s="54"/>
      <c r="M423" s="54"/>
      <c r="N423" s="89"/>
      <c r="P423" s="77" t="str">
        <f>IF(ISBLANK(N418),IFERROR(0/0,""),IFERROR(VLOOKUP(N418, 'Process Ref'!$A$76:$D$124, 2, FALSE), IFERROR(0/0,"")))</f>
        <v/>
      </c>
      <c r="R423" s="78"/>
      <c r="S423" s="43"/>
      <c r="U423" s="144"/>
      <c r="V423" s="117"/>
      <c r="X423" s="43"/>
      <c r="AC423" s="70"/>
      <c r="AF423" s="70"/>
      <c r="AJ423" s="7" t="str">
        <f t="shared" ref="AJ423:AL423" si="460">IF(AG423=L423,IFERROR(0/0,""),FALSE)</f>
        <v/>
      </c>
      <c r="AK423" s="7" t="str">
        <f t="shared" si="460"/>
        <v/>
      </c>
      <c r="AL423" s="7" t="str">
        <f t="shared" si="460"/>
        <v/>
      </c>
      <c r="AM423" s="43"/>
    </row>
    <row r="424">
      <c r="C424" s="131"/>
      <c r="D424" s="54"/>
      <c r="E424" s="54"/>
      <c r="F424" s="54"/>
      <c r="G424" s="54"/>
      <c r="H424" s="54"/>
      <c r="I424" s="54"/>
      <c r="J424" s="54"/>
      <c r="K424" s="54"/>
      <c r="L424" s="54"/>
      <c r="M424" s="54"/>
      <c r="N424" s="89"/>
      <c r="P424" s="77" t="str">
        <f>IF(ISBLANK(N419),IFERROR(0/0,""),IFERROR(VLOOKUP(N419, 'Process Ref'!$A$76:$D$124, 2, FALSE), IFERROR(0/0,"")))</f>
        <v/>
      </c>
      <c r="R424" s="78"/>
      <c r="S424" s="43"/>
      <c r="U424" s="144"/>
      <c r="V424" s="117"/>
      <c r="X424" s="43"/>
      <c r="AC424" s="70"/>
      <c r="AF424" s="70"/>
      <c r="AJ424" s="7" t="str">
        <f t="shared" ref="AJ424:AL424" si="461">IF(AG424=L424,IFERROR(0/0,""),FALSE)</f>
        <v/>
      </c>
      <c r="AK424" s="7" t="str">
        <f t="shared" si="461"/>
        <v/>
      </c>
      <c r="AL424" s="7" t="str">
        <f t="shared" si="461"/>
        <v/>
      </c>
      <c r="AM424" s="43"/>
    </row>
    <row r="425">
      <c r="C425" s="131"/>
      <c r="D425" s="54"/>
      <c r="E425" s="54"/>
      <c r="F425" s="54"/>
      <c r="G425" s="54"/>
      <c r="H425" s="54"/>
      <c r="I425" s="54"/>
      <c r="J425" s="54"/>
      <c r="K425" s="54"/>
      <c r="L425" s="54"/>
      <c r="M425" s="54"/>
      <c r="N425" s="89"/>
      <c r="P425" s="77" t="str">
        <f>IF(ISBLANK(N420),IFERROR(0/0,""),IFERROR(VLOOKUP(N420, 'Process Ref'!$A$76:$D$124, 2, FALSE), IFERROR(0/0,"")))</f>
        <v/>
      </c>
      <c r="R425" s="78"/>
      <c r="S425" s="43"/>
      <c r="U425" s="144"/>
      <c r="V425" s="117"/>
      <c r="X425" s="43"/>
      <c r="AC425" s="70"/>
      <c r="AF425" s="70"/>
      <c r="AJ425" s="7" t="str">
        <f t="shared" ref="AJ425:AL425" si="462">IF(AG425=L425,IFERROR(0/0,""),FALSE)</f>
        <v/>
      </c>
      <c r="AK425" s="7" t="str">
        <f t="shared" si="462"/>
        <v/>
      </c>
      <c r="AL425" s="7" t="str">
        <f t="shared" si="462"/>
        <v/>
      </c>
      <c r="AM425" s="43"/>
    </row>
    <row r="426">
      <c r="C426" s="131"/>
      <c r="D426" s="54"/>
      <c r="E426" s="54"/>
      <c r="F426" s="54"/>
      <c r="G426" s="54"/>
      <c r="H426" s="54"/>
      <c r="I426" s="54"/>
      <c r="J426" s="54"/>
      <c r="K426" s="54"/>
      <c r="L426" s="54"/>
      <c r="M426" s="54"/>
      <c r="N426" s="89"/>
      <c r="P426" s="77" t="str">
        <f>IF(ISBLANK(N421),IFERROR(0/0,""),IFERROR(VLOOKUP(N421, 'Process Ref'!$A$76:$D$124, 2, FALSE), IFERROR(0/0,"")))</f>
        <v/>
      </c>
      <c r="R426" s="78"/>
      <c r="S426" s="43"/>
      <c r="U426" s="144"/>
      <c r="V426" s="117"/>
      <c r="X426" s="43"/>
      <c r="AC426" s="70"/>
      <c r="AF426" s="70"/>
      <c r="AJ426" s="7" t="str">
        <f t="shared" ref="AJ426:AL426" si="463">IF(AG426=L426,IFERROR(0/0,""),FALSE)</f>
        <v/>
      </c>
      <c r="AK426" s="7" t="str">
        <f t="shared" si="463"/>
        <v/>
      </c>
      <c r="AL426" s="7" t="str">
        <f t="shared" si="463"/>
        <v/>
      </c>
      <c r="AM426" s="43"/>
    </row>
    <row r="427">
      <c r="C427" s="131"/>
      <c r="D427" s="54"/>
      <c r="E427" s="54"/>
      <c r="F427" s="54"/>
      <c r="G427" s="54"/>
      <c r="H427" s="54"/>
      <c r="I427" s="54"/>
      <c r="J427" s="54"/>
      <c r="K427" s="54"/>
      <c r="L427" s="54"/>
      <c r="M427" s="54"/>
      <c r="N427" s="89"/>
      <c r="P427" s="77" t="str">
        <f>IF(ISBLANK(N422),IFERROR(0/0,""),IFERROR(VLOOKUP(N422, 'Process Ref'!$A$76:$D$124, 2, FALSE), IFERROR(0/0,"")))</f>
        <v/>
      </c>
      <c r="R427" s="78"/>
      <c r="S427" s="43"/>
      <c r="U427" s="144"/>
      <c r="V427" s="117"/>
      <c r="X427" s="43"/>
      <c r="AC427" s="70"/>
      <c r="AF427" s="70"/>
      <c r="AJ427" s="7" t="str">
        <f t="shared" ref="AJ427:AL427" si="464">IF(AG427=L427,IFERROR(0/0,""),FALSE)</f>
        <v/>
      </c>
      <c r="AK427" s="7" t="str">
        <f t="shared" si="464"/>
        <v/>
      </c>
      <c r="AL427" s="7" t="str">
        <f t="shared" si="464"/>
        <v/>
      </c>
      <c r="AM427" s="43"/>
    </row>
    <row r="428">
      <c r="C428" s="131"/>
      <c r="D428" s="54"/>
      <c r="E428" s="54"/>
      <c r="F428" s="54"/>
      <c r="G428" s="54"/>
      <c r="H428" s="54"/>
      <c r="I428" s="54"/>
      <c r="J428" s="54"/>
      <c r="K428" s="54"/>
      <c r="L428" s="54"/>
      <c r="M428" s="54"/>
      <c r="N428" s="89"/>
      <c r="P428" s="77" t="str">
        <f>IF(ISBLANK(N423),IFERROR(0/0,""),IFERROR(VLOOKUP(N423, 'Process Ref'!$A$76:$D$124, 2, FALSE), IFERROR(0/0,"")))</f>
        <v/>
      </c>
      <c r="R428" s="78"/>
      <c r="S428" s="43"/>
      <c r="U428" s="144"/>
      <c r="V428" s="117"/>
      <c r="X428" s="43"/>
      <c r="AC428" s="70"/>
      <c r="AF428" s="70"/>
      <c r="AJ428" s="7" t="str">
        <f t="shared" ref="AJ428:AL428" si="465">IF(AG428=L428,IFERROR(0/0,""),FALSE)</f>
        <v/>
      </c>
      <c r="AK428" s="7" t="str">
        <f t="shared" si="465"/>
        <v/>
      </c>
      <c r="AL428" s="7" t="str">
        <f t="shared" si="465"/>
        <v/>
      </c>
      <c r="AM428" s="43"/>
    </row>
    <row r="429">
      <c r="C429" s="131"/>
      <c r="D429" s="54"/>
      <c r="E429" s="54"/>
      <c r="F429" s="54"/>
      <c r="G429" s="54"/>
      <c r="H429" s="54"/>
      <c r="I429" s="54"/>
      <c r="J429" s="54"/>
      <c r="K429" s="54"/>
      <c r="L429" s="54"/>
      <c r="M429" s="54"/>
      <c r="N429" s="89"/>
      <c r="P429" s="77" t="str">
        <f>IF(ISBLANK(N424),IFERROR(0/0,""),IFERROR(VLOOKUP(N424, 'Process Ref'!$A$76:$D$124, 2, FALSE), IFERROR(0/0,"")))</f>
        <v/>
      </c>
      <c r="R429" s="78"/>
      <c r="S429" s="43"/>
      <c r="U429" s="144"/>
      <c r="V429" s="117"/>
      <c r="X429" s="43"/>
      <c r="AC429" s="70"/>
      <c r="AF429" s="70"/>
      <c r="AJ429" s="7" t="str">
        <f t="shared" ref="AJ429:AL429" si="466">IF(AG429=L429,IFERROR(0/0,""),FALSE)</f>
        <v/>
      </c>
      <c r="AK429" s="7" t="str">
        <f t="shared" si="466"/>
        <v/>
      </c>
      <c r="AL429" s="7" t="str">
        <f t="shared" si="466"/>
        <v/>
      </c>
      <c r="AM429" s="43"/>
    </row>
    <row r="430">
      <c r="C430" s="131"/>
      <c r="D430" s="54"/>
      <c r="E430" s="54"/>
      <c r="F430" s="54"/>
      <c r="G430" s="54"/>
      <c r="H430" s="54"/>
      <c r="I430" s="54"/>
      <c r="J430" s="54"/>
      <c r="K430" s="54"/>
      <c r="L430" s="54"/>
      <c r="M430" s="54"/>
      <c r="N430" s="89"/>
      <c r="P430" s="77" t="str">
        <f>IF(ISBLANK(N425),IFERROR(0/0,""),IFERROR(VLOOKUP(N425, 'Process Ref'!$A$76:$D$124, 2, FALSE), IFERROR(0/0,"")))</f>
        <v/>
      </c>
      <c r="R430" s="78"/>
      <c r="S430" s="43"/>
      <c r="U430" s="144"/>
      <c r="V430" s="117"/>
      <c r="X430" s="43"/>
      <c r="AC430" s="70"/>
      <c r="AF430" s="70"/>
      <c r="AJ430" s="7" t="str">
        <f t="shared" ref="AJ430:AL430" si="467">IF(AG430=L430,IFERROR(0/0,""),FALSE)</f>
        <v/>
      </c>
      <c r="AK430" s="7" t="str">
        <f t="shared" si="467"/>
        <v/>
      </c>
      <c r="AL430" s="7" t="str">
        <f t="shared" si="467"/>
        <v/>
      </c>
      <c r="AM430" s="43"/>
    </row>
    <row r="431">
      <c r="C431" s="131"/>
      <c r="D431" s="54"/>
      <c r="E431" s="54"/>
      <c r="F431" s="54"/>
      <c r="G431" s="54"/>
      <c r="H431" s="54"/>
      <c r="I431" s="54"/>
      <c r="J431" s="54"/>
      <c r="K431" s="54"/>
      <c r="L431" s="54"/>
      <c r="M431" s="54"/>
      <c r="N431" s="89"/>
      <c r="P431" s="77" t="str">
        <f>IF(ISBLANK(N426),IFERROR(0/0,""),IFERROR(VLOOKUP(N426, 'Process Ref'!$A$76:$D$124, 2, FALSE), IFERROR(0/0,"")))</f>
        <v/>
      </c>
      <c r="R431" s="78"/>
      <c r="S431" s="43"/>
      <c r="U431" s="144"/>
      <c r="V431" s="117"/>
      <c r="X431" s="43"/>
      <c r="AC431" s="70"/>
      <c r="AF431" s="70"/>
      <c r="AJ431" s="7" t="str">
        <f t="shared" ref="AJ431:AL431" si="468">IF(AG431=L431,IFERROR(0/0,""),FALSE)</f>
        <v/>
      </c>
      <c r="AK431" s="7" t="str">
        <f t="shared" si="468"/>
        <v/>
      </c>
      <c r="AL431" s="7" t="str">
        <f t="shared" si="468"/>
        <v/>
      </c>
      <c r="AM431" s="43"/>
    </row>
    <row r="432">
      <c r="C432" s="131"/>
      <c r="D432" s="54"/>
      <c r="E432" s="54"/>
      <c r="F432" s="54"/>
      <c r="G432" s="54"/>
      <c r="H432" s="54"/>
      <c r="I432" s="54"/>
      <c r="J432" s="54"/>
      <c r="K432" s="54"/>
      <c r="L432" s="54"/>
      <c r="M432" s="54"/>
      <c r="N432" s="89"/>
      <c r="P432" s="77" t="str">
        <f>IF(ISBLANK(N427),IFERROR(0/0,""),IFERROR(VLOOKUP(N427, 'Process Ref'!$A$76:$D$124, 2, FALSE), IFERROR(0/0,"")))</f>
        <v/>
      </c>
      <c r="R432" s="78"/>
      <c r="S432" s="43"/>
      <c r="U432" s="144"/>
      <c r="V432" s="117"/>
      <c r="X432" s="43"/>
      <c r="AC432" s="70"/>
      <c r="AF432" s="70"/>
      <c r="AJ432" s="7" t="str">
        <f t="shared" ref="AJ432:AL432" si="469">IF(AG432=L432,IFERROR(0/0,""),FALSE)</f>
        <v/>
      </c>
      <c r="AK432" s="7" t="str">
        <f t="shared" si="469"/>
        <v/>
      </c>
      <c r="AL432" s="7" t="str">
        <f t="shared" si="469"/>
        <v/>
      </c>
      <c r="AM432" s="43"/>
    </row>
    <row r="433">
      <c r="C433" s="131"/>
      <c r="D433" s="54"/>
      <c r="E433" s="54"/>
      <c r="F433" s="54"/>
      <c r="G433" s="54"/>
      <c r="H433" s="54"/>
      <c r="I433" s="54"/>
      <c r="J433" s="54"/>
      <c r="K433" s="54"/>
      <c r="L433" s="54"/>
      <c r="M433" s="54"/>
      <c r="N433" s="89"/>
      <c r="P433" s="77" t="str">
        <f>IF(ISBLANK(N428),IFERROR(0/0,""),IFERROR(VLOOKUP(N428, 'Process Ref'!$A$76:$D$124, 2, FALSE), IFERROR(0/0,"")))</f>
        <v/>
      </c>
      <c r="R433" s="78"/>
      <c r="S433" s="43"/>
      <c r="U433" s="144"/>
      <c r="V433" s="117"/>
      <c r="X433" s="43"/>
      <c r="AC433" s="70"/>
      <c r="AF433" s="70"/>
      <c r="AJ433" s="7" t="str">
        <f t="shared" ref="AJ433:AL433" si="470">IF(AG433=L433,IFERROR(0/0,""),FALSE)</f>
        <v/>
      </c>
      <c r="AK433" s="7" t="str">
        <f t="shared" si="470"/>
        <v/>
      </c>
      <c r="AL433" s="7" t="str">
        <f t="shared" si="470"/>
        <v/>
      </c>
      <c r="AM433" s="43"/>
    </row>
    <row r="434">
      <c r="C434" s="131"/>
      <c r="D434" s="54"/>
      <c r="E434" s="54"/>
      <c r="F434" s="54"/>
      <c r="G434" s="54"/>
      <c r="H434" s="54"/>
      <c r="I434" s="54"/>
      <c r="J434" s="54"/>
      <c r="K434" s="54"/>
      <c r="L434" s="54"/>
      <c r="M434" s="54"/>
      <c r="N434" s="89"/>
      <c r="P434" s="77" t="str">
        <f>IF(ISBLANK(N429),IFERROR(0/0,""),IFERROR(VLOOKUP(N429, 'Process Ref'!$A$76:$D$124, 2, FALSE), IFERROR(0/0,"")))</f>
        <v/>
      </c>
      <c r="R434" s="78"/>
      <c r="S434" s="43"/>
      <c r="U434" s="144"/>
      <c r="V434" s="117"/>
      <c r="X434" s="43"/>
      <c r="AC434" s="70"/>
      <c r="AF434" s="70"/>
      <c r="AJ434" s="7" t="str">
        <f t="shared" ref="AJ434:AL434" si="471">IF(AG434=L434,IFERROR(0/0,""),FALSE)</f>
        <v/>
      </c>
      <c r="AK434" s="7" t="str">
        <f t="shared" si="471"/>
        <v/>
      </c>
      <c r="AL434" s="7" t="str">
        <f t="shared" si="471"/>
        <v/>
      </c>
      <c r="AM434" s="43"/>
    </row>
    <row r="435">
      <c r="C435" s="131"/>
      <c r="D435" s="54"/>
      <c r="E435" s="54"/>
      <c r="F435" s="54"/>
      <c r="G435" s="54"/>
      <c r="H435" s="54"/>
      <c r="I435" s="54"/>
      <c r="J435" s="54"/>
      <c r="K435" s="54"/>
      <c r="L435" s="54"/>
      <c r="M435" s="54"/>
      <c r="N435" s="89"/>
      <c r="P435" s="77" t="str">
        <f>IF(ISBLANK(N430),IFERROR(0/0,""),IFERROR(VLOOKUP(N430, 'Process Ref'!$A$76:$D$124, 2, FALSE), IFERROR(0/0,"")))</f>
        <v/>
      </c>
      <c r="R435" s="78"/>
      <c r="S435" s="43"/>
      <c r="U435" s="144"/>
      <c r="V435" s="117"/>
      <c r="X435" s="43"/>
      <c r="AC435" s="70"/>
      <c r="AF435" s="70"/>
      <c r="AJ435" s="7" t="str">
        <f t="shared" ref="AJ435:AL435" si="472">IF(AG435=L435,IFERROR(0/0,""),FALSE)</f>
        <v/>
      </c>
      <c r="AK435" s="7" t="str">
        <f t="shared" si="472"/>
        <v/>
      </c>
      <c r="AL435" s="7" t="str">
        <f t="shared" si="472"/>
        <v/>
      </c>
      <c r="AM435" s="43"/>
    </row>
    <row r="436">
      <c r="C436" s="131"/>
      <c r="D436" s="54"/>
      <c r="E436" s="54"/>
      <c r="F436" s="54"/>
      <c r="G436" s="54"/>
      <c r="H436" s="54"/>
      <c r="I436" s="54"/>
      <c r="J436" s="54"/>
      <c r="K436" s="54"/>
      <c r="L436" s="54"/>
      <c r="M436" s="54"/>
      <c r="N436" s="89"/>
      <c r="P436" s="77" t="str">
        <f>IF(ISBLANK(N431),IFERROR(0/0,""),IFERROR(VLOOKUP(N431, 'Process Ref'!$A$76:$D$124, 2, FALSE), IFERROR(0/0,"")))</f>
        <v/>
      </c>
      <c r="R436" s="78"/>
      <c r="S436" s="43"/>
      <c r="U436" s="144"/>
      <c r="V436" s="117"/>
      <c r="X436" s="43"/>
      <c r="AC436" s="70"/>
      <c r="AF436" s="70"/>
      <c r="AJ436" s="7" t="str">
        <f t="shared" ref="AJ436:AL436" si="473">IF(AG436=L436,IFERROR(0/0,""),FALSE)</f>
        <v/>
      </c>
      <c r="AK436" s="7" t="str">
        <f t="shared" si="473"/>
        <v/>
      </c>
      <c r="AL436" s="7" t="str">
        <f t="shared" si="473"/>
        <v/>
      </c>
      <c r="AM436" s="43"/>
    </row>
    <row r="437">
      <c r="C437" s="131"/>
      <c r="D437" s="54"/>
      <c r="E437" s="54"/>
      <c r="F437" s="54"/>
      <c r="G437" s="54"/>
      <c r="H437" s="54"/>
      <c r="I437" s="54"/>
      <c r="J437" s="54"/>
      <c r="K437" s="54"/>
      <c r="L437" s="54"/>
      <c r="M437" s="54"/>
      <c r="N437" s="89"/>
      <c r="P437" s="77" t="str">
        <f>IF(ISBLANK(N432),IFERROR(0/0,""),IFERROR(VLOOKUP(N432, 'Process Ref'!$A$76:$D$124, 2, FALSE), IFERROR(0/0,"")))</f>
        <v/>
      </c>
      <c r="R437" s="78"/>
      <c r="S437" s="43"/>
      <c r="U437" s="144"/>
      <c r="V437" s="117"/>
      <c r="X437" s="43"/>
      <c r="AC437" s="70"/>
      <c r="AF437" s="70"/>
      <c r="AJ437" s="7" t="str">
        <f t="shared" ref="AJ437:AL437" si="474">IF(AG437=L437,IFERROR(0/0,""),FALSE)</f>
        <v/>
      </c>
      <c r="AK437" s="7" t="str">
        <f t="shared" si="474"/>
        <v/>
      </c>
      <c r="AL437" s="7" t="str">
        <f t="shared" si="474"/>
        <v/>
      </c>
      <c r="AM437" s="43"/>
    </row>
    <row r="438">
      <c r="C438" s="131"/>
      <c r="D438" s="54"/>
      <c r="E438" s="54"/>
      <c r="F438" s="54"/>
      <c r="G438" s="54"/>
      <c r="H438" s="54"/>
      <c r="I438" s="54"/>
      <c r="J438" s="54"/>
      <c r="K438" s="54"/>
      <c r="L438" s="54"/>
      <c r="M438" s="54"/>
      <c r="N438" s="89"/>
      <c r="P438" s="77" t="str">
        <f>IF(ISBLANK(N433),IFERROR(0/0,""),IFERROR(VLOOKUP(N433, 'Process Ref'!$A$76:$D$124, 2, FALSE), IFERROR(0/0,"")))</f>
        <v/>
      </c>
      <c r="R438" s="78"/>
      <c r="S438" s="43"/>
      <c r="U438" s="144"/>
      <c r="V438" s="117"/>
      <c r="X438" s="43"/>
      <c r="AC438" s="70"/>
      <c r="AF438" s="70"/>
      <c r="AJ438" s="7" t="str">
        <f t="shared" ref="AJ438:AL438" si="475">IF(AG438=L438,IFERROR(0/0,""),FALSE)</f>
        <v/>
      </c>
      <c r="AK438" s="7" t="str">
        <f t="shared" si="475"/>
        <v/>
      </c>
      <c r="AL438" s="7" t="str">
        <f t="shared" si="475"/>
        <v/>
      </c>
      <c r="AM438" s="43"/>
    </row>
    <row r="439">
      <c r="C439" s="131"/>
      <c r="D439" s="54"/>
      <c r="E439" s="54"/>
      <c r="F439" s="54"/>
      <c r="G439" s="54"/>
      <c r="H439" s="54"/>
      <c r="I439" s="54"/>
      <c r="J439" s="54"/>
      <c r="K439" s="54"/>
      <c r="L439" s="54"/>
      <c r="M439" s="54"/>
      <c r="N439" s="89"/>
      <c r="P439" s="77" t="str">
        <f>IF(ISBLANK(N434),IFERROR(0/0,""),IFERROR(VLOOKUP(N434, 'Process Ref'!$A$76:$D$124, 2, FALSE), IFERROR(0/0,"")))</f>
        <v/>
      </c>
      <c r="R439" s="78"/>
      <c r="S439" s="43"/>
      <c r="U439" s="144"/>
      <c r="V439" s="117"/>
      <c r="X439" s="43"/>
      <c r="AC439" s="70"/>
      <c r="AF439" s="70"/>
      <c r="AJ439" s="7" t="str">
        <f t="shared" ref="AJ439:AL439" si="476">IF(AG439=L439,IFERROR(0/0,""),FALSE)</f>
        <v/>
      </c>
      <c r="AK439" s="7" t="str">
        <f t="shared" si="476"/>
        <v/>
      </c>
      <c r="AL439" s="7" t="str">
        <f t="shared" si="476"/>
        <v/>
      </c>
      <c r="AM439" s="43"/>
    </row>
    <row r="440">
      <c r="C440" s="131"/>
      <c r="D440" s="54"/>
      <c r="E440" s="54"/>
      <c r="F440" s="54"/>
      <c r="G440" s="54"/>
      <c r="H440" s="54"/>
      <c r="I440" s="54"/>
      <c r="J440" s="54"/>
      <c r="K440" s="54"/>
      <c r="L440" s="54"/>
      <c r="M440" s="54"/>
      <c r="N440" s="89"/>
      <c r="P440" s="77" t="str">
        <f>IF(ISBLANK(N435),IFERROR(0/0,""),IFERROR(VLOOKUP(N435, 'Process Ref'!$A$76:$D$124, 2, FALSE), IFERROR(0/0,"")))</f>
        <v/>
      </c>
      <c r="R440" s="78"/>
      <c r="S440" s="43"/>
      <c r="U440" s="144"/>
      <c r="V440" s="117"/>
      <c r="X440" s="43"/>
      <c r="AC440" s="70"/>
      <c r="AF440" s="70"/>
      <c r="AJ440" s="7" t="str">
        <f t="shared" ref="AJ440:AL440" si="477">IF(AG440=L440,IFERROR(0/0,""),FALSE)</f>
        <v/>
      </c>
      <c r="AK440" s="7" t="str">
        <f t="shared" si="477"/>
        <v/>
      </c>
      <c r="AL440" s="7" t="str">
        <f t="shared" si="477"/>
        <v/>
      </c>
      <c r="AM440" s="43"/>
    </row>
    <row r="441">
      <c r="C441" s="131"/>
      <c r="D441" s="54"/>
      <c r="E441" s="54"/>
      <c r="F441" s="54"/>
      <c r="G441" s="54"/>
      <c r="H441" s="54"/>
      <c r="I441" s="54"/>
      <c r="J441" s="54"/>
      <c r="K441" s="54"/>
      <c r="L441" s="54"/>
      <c r="M441" s="54"/>
      <c r="N441" s="89"/>
      <c r="P441" s="77" t="str">
        <f>IF(ISBLANK(N436),IFERROR(0/0,""),IFERROR(VLOOKUP(N436, 'Process Ref'!$A$76:$D$124, 2, FALSE), IFERROR(0/0,"")))</f>
        <v/>
      </c>
      <c r="R441" s="78"/>
      <c r="S441" s="43"/>
      <c r="U441" s="144"/>
      <c r="V441" s="117"/>
      <c r="X441" s="43"/>
      <c r="AC441" s="70"/>
      <c r="AF441" s="70"/>
      <c r="AJ441" s="7" t="str">
        <f t="shared" ref="AJ441:AL441" si="478">IF(AG441=L441,IFERROR(0/0,""),FALSE)</f>
        <v/>
      </c>
      <c r="AK441" s="7" t="str">
        <f t="shared" si="478"/>
        <v/>
      </c>
      <c r="AL441" s="7" t="str">
        <f t="shared" si="478"/>
        <v/>
      </c>
      <c r="AM441" s="43"/>
    </row>
    <row r="442">
      <c r="C442" s="131"/>
      <c r="D442" s="54"/>
      <c r="E442" s="54"/>
      <c r="F442" s="54"/>
      <c r="G442" s="54"/>
      <c r="H442" s="54"/>
      <c r="I442" s="54"/>
      <c r="J442" s="54"/>
      <c r="K442" s="54"/>
      <c r="L442" s="54"/>
      <c r="M442" s="54"/>
      <c r="N442" s="89"/>
      <c r="P442" s="77" t="str">
        <f>IF(ISBLANK(N437),IFERROR(0/0,""),IFERROR(VLOOKUP(N437, 'Process Ref'!$A$76:$D$124, 2, FALSE), IFERROR(0/0,"")))</f>
        <v/>
      </c>
      <c r="R442" s="78"/>
      <c r="S442" s="43"/>
      <c r="U442" s="144"/>
      <c r="V442" s="117"/>
      <c r="X442" s="43"/>
      <c r="AC442" s="70"/>
      <c r="AF442" s="70"/>
      <c r="AJ442" s="7" t="str">
        <f t="shared" ref="AJ442:AL442" si="479">IF(AG442=L442,IFERROR(0/0,""),FALSE)</f>
        <v/>
      </c>
      <c r="AK442" s="7" t="str">
        <f t="shared" si="479"/>
        <v/>
      </c>
      <c r="AL442" s="7" t="str">
        <f t="shared" si="479"/>
        <v/>
      </c>
      <c r="AM442" s="43"/>
    </row>
    <row r="443">
      <c r="C443" s="131"/>
      <c r="D443" s="54"/>
      <c r="E443" s="54"/>
      <c r="F443" s="54"/>
      <c r="G443" s="54"/>
      <c r="H443" s="54"/>
      <c r="I443" s="54"/>
      <c r="J443" s="54"/>
      <c r="K443" s="54"/>
      <c r="P443" s="77" t="str">
        <f>IF(ISBLANK(N438),IFERROR(0/0,""),IFERROR(VLOOKUP(N438, 'Process Ref'!$A$76:$D$124, 2, FALSE), IFERROR(0/0,"")))</f>
        <v/>
      </c>
      <c r="R443" s="78"/>
      <c r="S443" s="43"/>
      <c r="U443" s="144"/>
      <c r="V443" s="117"/>
      <c r="X443" s="43"/>
      <c r="AC443" s="70"/>
      <c r="AF443" s="70"/>
      <c r="AJ443" s="7" t="str">
        <f t="shared" ref="AJ443:AL443" si="480">IF(AG443=L443,IFERROR(0/0,""),FALSE)</f>
        <v/>
      </c>
      <c r="AK443" s="7" t="str">
        <f t="shared" si="480"/>
        <v/>
      </c>
      <c r="AL443" s="7" t="str">
        <f t="shared" si="480"/>
        <v/>
      </c>
      <c r="AM443" s="43"/>
    </row>
    <row r="444">
      <c r="C444" s="131"/>
      <c r="D444" s="54"/>
      <c r="E444" s="54"/>
      <c r="F444" s="54"/>
      <c r="G444" s="54"/>
      <c r="H444" s="54"/>
      <c r="I444" s="54"/>
      <c r="J444" s="54"/>
      <c r="K444" s="54"/>
      <c r="P444" s="77" t="str">
        <f>IF(ISBLANK(N439),IFERROR(0/0,""),IFERROR(VLOOKUP(N439, 'Process Ref'!$A$76:$D$124, 2, FALSE), IFERROR(0/0,"")))</f>
        <v/>
      </c>
      <c r="R444" s="78"/>
      <c r="S444" s="43"/>
      <c r="U444" s="144"/>
      <c r="V444" s="117"/>
      <c r="X444" s="43"/>
      <c r="AC444" s="70"/>
      <c r="AF444" s="70"/>
      <c r="AJ444" s="7" t="str">
        <f t="shared" ref="AJ444:AL444" si="481">IF(AG444=L444,IFERROR(0/0,""),FALSE)</f>
        <v/>
      </c>
      <c r="AK444" s="7" t="str">
        <f t="shared" si="481"/>
        <v/>
      </c>
      <c r="AL444" s="7" t="str">
        <f t="shared" si="481"/>
        <v/>
      </c>
      <c r="AM444" s="43"/>
    </row>
    <row r="445">
      <c r="C445" s="131"/>
      <c r="D445" s="54"/>
      <c r="E445" s="54"/>
      <c r="F445" s="54"/>
      <c r="G445" s="54"/>
      <c r="H445" s="54"/>
      <c r="I445" s="54"/>
      <c r="J445" s="54"/>
      <c r="K445" s="54"/>
      <c r="P445" s="77" t="str">
        <f>IF(ISBLANK(N440),IFERROR(0/0,""),IFERROR(VLOOKUP(N440, 'Process Ref'!$A$76:$D$124, 2, FALSE), IFERROR(0/0,"")))</f>
        <v/>
      </c>
      <c r="R445" s="78"/>
      <c r="S445" s="43"/>
      <c r="U445" s="144"/>
      <c r="V445" s="117"/>
      <c r="X445" s="43"/>
      <c r="AC445" s="70"/>
      <c r="AF445" s="70"/>
      <c r="AM445" s="43"/>
    </row>
    <row r="446">
      <c r="C446" s="131"/>
      <c r="D446" s="54"/>
      <c r="E446" s="54"/>
      <c r="F446" s="54"/>
      <c r="G446" s="54"/>
      <c r="H446" s="54"/>
      <c r="I446" s="54"/>
      <c r="J446" s="54"/>
      <c r="K446" s="54"/>
      <c r="P446" s="77" t="str">
        <f>IF(ISBLANK(N441),IFERROR(0/0,""),IFERROR(VLOOKUP(N441, 'Process Ref'!$A$76:$D$124, 2, FALSE), IFERROR(0/0,"")))</f>
        <v/>
      </c>
      <c r="R446" s="78"/>
      <c r="S446" s="43"/>
      <c r="U446" s="144"/>
      <c r="V446" s="117"/>
      <c r="X446" s="43"/>
      <c r="AC446" s="70"/>
      <c r="AF446" s="70"/>
      <c r="AM446" s="43"/>
    </row>
    <row r="447">
      <c r="C447" s="131"/>
      <c r="D447" s="54"/>
      <c r="E447" s="54"/>
      <c r="F447" s="54"/>
      <c r="G447" s="54"/>
      <c r="H447" s="54"/>
      <c r="I447" s="54"/>
      <c r="J447" s="54"/>
      <c r="K447" s="54"/>
      <c r="P447" s="77" t="str">
        <f>IF(ISBLANK(N442),IFERROR(0/0,""),IFERROR(VLOOKUP(N442, 'Process Ref'!$A$76:$D$124, 2, FALSE), IFERROR(0/0,"")))</f>
        <v/>
      </c>
      <c r="R447" s="78"/>
      <c r="S447" s="43"/>
      <c r="U447" s="144"/>
      <c r="V447" s="117"/>
      <c r="X447" s="43"/>
      <c r="AC447" s="70"/>
      <c r="AF447" s="70"/>
      <c r="AM447" s="43"/>
    </row>
  </sheetData>
  <conditionalFormatting sqref="K1">
    <cfRule type="expression" dxfId="0" priority="1">
      <formula>SUM(K3:K447)&gt;0</formula>
    </cfRule>
  </conditionalFormatting>
  <conditionalFormatting sqref="K1">
    <cfRule type="expression" dxfId="1" priority="2">
      <formula>SUM(K3:K447)=0</formula>
    </cfRule>
  </conditionalFormatting>
  <conditionalFormatting sqref="M2:M447 AH2:AH185">
    <cfRule type="colorScale" priority="3">
      <colorScale>
        <cfvo type="formula" val="-1"/>
        <cfvo type="formula" val="0"/>
        <cfvo type="formula" val="1"/>
        <color rgb="FFCC0000"/>
        <color rgb="FF6AA84F"/>
        <color rgb="FF3C78D8"/>
      </colorScale>
    </cfRule>
  </conditionalFormatting>
  <conditionalFormatting sqref="K1:K447">
    <cfRule type="cellIs" dxfId="2" priority="4" operator="greaterThan">
      <formula>0</formula>
    </cfRule>
  </conditionalFormatting>
  <conditionalFormatting sqref="A2:B447">
    <cfRule type="expression" dxfId="3" priority="5">
      <formula>$C2</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2.63" defaultRowHeight="15.75" outlineLevelCol="2"/>
  <cols>
    <col customWidth="1" min="1" max="1" width="35.75"/>
    <col customWidth="1" min="2" max="2" width="17.38"/>
    <col min="3" max="3" width="12.63" outlineLevel="1"/>
    <col customWidth="1" min="4" max="4" width="11.13" outlineLevel="1"/>
    <col min="5" max="6" width="12.63" outlineLevel="1"/>
    <col customWidth="1" min="9" max="9" width="10.0"/>
    <col customWidth="1" min="11" max="11" width="47.0"/>
    <col customWidth="1" min="12" max="12" width="9.75"/>
    <col customWidth="1" min="22" max="22" width="11.88"/>
    <col customWidth="1" min="23" max="23" width="8.38"/>
    <col min="24" max="26" width="12.63" outlineLevel="1"/>
    <col customWidth="1" min="27" max="27" width="10.75" outlineLevel="1"/>
    <col min="28" max="28" width="12.63" outlineLevel="1"/>
    <col customWidth="1" min="29" max="29" width="9.38" outlineLevel="1"/>
    <col customWidth="1" min="30" max="30" width="10.5" outlineLevel="1"/>
    <col customWidth="1" min="31" max="31" width="9.38" outlineLevel="1"/>
    <col customWidth="1" min="32" max="32" width="10.63" outlineLevel="1"/>
    <col customWidth="1" min="33" max="34" width="9.38" outlineLevel="1"/>
    <col customWidth="1" min="35" max="35" width="11.13" outlineLevel="1"/>
    <col customWidth="1" min="36" max="36" width="11.25" outlineLevel="1"/>
    <col customWidth="1" min="37" max="37" width="10.88" outlineLevel="1"/>
    <col customWidth="1" min="39" max="39" width="9.75"/>
    <col customWidth="1" min="40" max="43" width="10.13" outlineLevel="1"/>
    <col min="44" max="44" width="12.63" outlineLevel="1"/>
    <col customWidth="1" min="45" max="45" width="30.75" outlineLevel="1"/>
    <col customWidth="1" min="46" max="46" width="29.13" outlineLevel="1"/>
    <col customWidth="1" min="47" max="47" width="14.38" outlineLevel="1"/>
    <col min="48" max="49" width="12.63" outlineLevel="2"/>
    <col customWidth="1" min="50" max="50" width="9.5" outlineLevel="2"/>
    <col customWidth="1" min="51" max="51" width="11.88" outlineLevel="2"/>
    <col customWidth="1" min="52" max="52" width="6.63" outlineLevel="2"/>
    <col customWidth="1" min="53" max="53" width="12.25" outlineLevel="2"/>
    <col customWidth="1" min="54" max="54" width="11.13" outlineLevel="2"/>
    <col customWidth="1" min="55" max="55" width="12.88" outlineLevel="2"/>
    <col customWidth="1" min="56" max="56" width="8.0" outlineLevel="2"/>
    <col customWidth="1" min="57" max="57" width="11.0" outlineLevel="2"/>
    <col customWidth="1" min="58" max="58" width="12.5" outlineLevel="2"/>
    <col customWidth="1" min="59" max="59" width="33.25" outlineLevel="2"/>
    <col customWidth="1" min="60" max="60" width="10.5" outlineLevel="2"/>
    <col customWidth="1" min="61" max="61" width="10.38" outlineLevel="2"/>
    <col customWidth="1" min="62" max="62" width="7.75" outlineLevel="2"/>
    <col customWidth="1" min="63" max="63" width="7.63" outlineLevel="2"/>
    <col customWidth="1" min="64" max="69" width="12.0" outlineLevel="2"/>
    <col customWidth="1" min="70" max="70" width="11.75" outlineLevel="2"/>
    <col customWidth="1" min="71" max="71" width="9.63" outlineLevel="2"/>
    <col customWidth="1" min="72" max="72" width="41.13" outlineLevel="2"/>
    <col customWidth="1" min="73" max="76" width="19.13"/>
  </cols>
  <sheetData>
    <row r="1">
      <c r="A1" s="63" t="s">
        <v>8</v>
      </c>
      <c r="B1" s="145" t="s">
        <v>254</v>
      </c>
      <c r="C1" s="145" t="s">
        <v>255</v>
      </c>
      <c r="D1" s="145" t="s">
        <v>256</v>
      </c>
      <c r="E1" s="42" t="s">
        <v>257</v>
      </c>
      <c r="F1" s="145" t="s">
        <v>258</v>
      </c>
      <c r="G1" s="145" t="s">
        <v>259</v>
      </c>
      <c r="H1" s="145" t="s">
        <v>260</v>
      </c>
      <c r="I1" s="145" t="s">
        <v>261</v>
      </c>
      <c r="J1" s="42" t="s">
        <v>262</v>
      </c>
      <c r="K1" s="146" t="s">
        <v>263</v>
      </c>
      <c r="L1" s="42" t="s">
        <v>264</v>
      </c>
      <c r="M1" s="42" t="s">
        <v>265</v>
      </c>
      <c r="N1" s="42" t="s">
        <v>266</v>
      </c>
      <c r="O1" s="147" t="s">
        <v>267</v>
      </c>
      <c r="P1" s="148" t="s">
        <v>268</v>
      </c>
      <c r="Q1" s="42" t="s">
        <v>269</v>
      </c>
      <c r="R1" s="42" t="s">
        <v>270</v>
      </c>
      <c r="S1" s="42" t="s">
        <v>271</v>
      </c>
      <c r="T1" s="149" t="s">
        <v>272</v>
      </c>
      <c r="U1" s="38" t="s">
        <v>273</v>
      </c>
      <c r="V1" s="38" t="s">
        <v>274</v>
      </c>
      <c r="W1" s="42" t="s">
        <v>275</v>
      </c>
      <c r="X1" s="42" t="s">
        <v>276</v>
      </c>
      <c r="Y1" s="42" t="s">
        <v>277</v>
      </c>
      <c r="Z1" s="38" t="s">
        <v>278</v>
      </c>
      <c r="AA1" s="63" t="s">
        <v>279</v>
      </c>
      <c r="AB1" s="150" t="s">
        <v>280</v>
      </c>
      <c r="AC1" s="42" t="s">
        <v>281</v>
      </c>
      <c r="AD1" s="38" t="s">
        <v>282</v>
      </c>
      <c r="AE1" s="151" t="s">
        <v>283</v>
      </c>
      <c r="AF1" s="152" t="s">
        <v>284</v>
      </c>
      <c r="AG1" s="38" t="s">
        <v>285</v>
      </c>
      <c r="AH1" s="153" t="s">
        <v>286</v>
      </c>
      <c r="AI1" s="154" t="s">
        <v>287</v>
      </c>
      <c r="AJ1" s="42" t="s">
        <v>288</v>
      </c>
      <c r="AK1" s="155" t="s">
        <v>229</v>
      </c>
      <c r="AL1" s="42" t="s">
        <v>289</v>
      </c>
      <c r="AM1" s="42" t="s">
        <v>290</v>
      </c>
      <c r="AN1" s="156" t="s">
        <v>291</v>
      </c>
      <c r="AO1" s="157" t="str">
        <f>IF(COUNT(AO89:AO259),"ERROR","TRT CHECK")</f>
        <v>TRT CHECK</v>
      </c>
      <c r="AP1" s="158" t="s">
        <v>292</v>
      </c>
      <c r="AQ1" s="63" t="s">
        <v>293</v>
      </c>
      <c r="AR1" s="159" t="s">
        <v>294</v>
      </c>
      <c r="AS1" s="160" t="s">
        <v>295</v>
      </c>
      <c r="AT1" s="42" t="s">
        <v>296</v>
      </c>
      <c r="AU1" s="161" t="s">
        <v>297</v>
      </c>
      <c r="AV1" s="161" t="s">
        <v>298</v>
      </c>
      <c r="AW1" s="161" t="s">
        <v>299</v>
      </c>
      <c r="AX1" s="162" t="s">
        <v>300</v>
      </c>
      <c r="AY1" s="163" t="s">
        <v>301</v>
      </c>
      <c r="AZ1" s="161" t="s">
        <v>302</v>
      </c>
      <c r="BA1" s="164" t="s">
        <v>303</v>
      </c>
      <c r="BB1" s="62" t="s">
        <v>304</v>
      </c>
      <c r="BC1" s="62" t="s">
        <v>305</v>
      </c>
      <c r="BD1" s="163" t="str">
        <f>AK1</f>
        <v>RFR Audit
Num
Run Tubes</v>
      </c>
      <c r="BE1" s="165" t="s">
        <v>306</v>
      </c>
      <c r="BF1" s="63" t="s">
        <v>307</v>
      </c>
      <c r="BG1" s="63" t="s">
        <v>212</v>
      </c>
      <c r="BH1" s="63" t="str">
        <f>E1</f>
        <v>RAW Num of Samples (Gform)</v>
      </c>
      <c r="BI1" s="63" t="s">
        <v>228</v>
      </c>
      <c r="BJ1" s="63" t="str">
        <f>AK1</f>
        <v>RFR Audit
Num
Run Tubes</v>
      </c>
      <c r="BK1" s="63" t="s">
        <v>216</v>
      </c>
      <c r="BL1" s="63" t="s">
        <v>308</v>
      </c>
      <c r="BM1" s="63" t="s">
        <v>217</v>
      </c>
      <c r="BN1" s="63" t="s">
        <v>309</v>
      </c>
      <c r="BO1" s="166" t="str">
        <f>IF(SUM(BO2:BO100)&gt;0,"Num NULL &gt; 0 NEEDS CHANGE", "Num NULL = 0 OK")</f>
        <v>#N/A</v>
      </c>
      <c r="BP1" s="63" t="s">
        <v>310</v>
      </c>
      <c r="BQ1" s="42" t="s">
        <v>311</v>
      </c>
      <c r="BR1" s="42" t="s">
        <v>219</v>
      </c>
      <c r="BS1" s="63" t="s">
        <v>312</v>
      </c>
      <c r="BT1" s="167" t="s">
        <v>222</v>
      </c>
      <c r="BU1" s="65"/>
      <c r="BV1" s="65"/>
      <c r="BW1" s="65"/>
      <c r="BX1" s="65"/>
    </row>
    <row r="2">
      <c r="A2" s="18" t="str">
        <f>CONCATENATE("RUN-",'Process Ref'!$A$1,"_",TEXT(U2,"YYYY-MM-DD"),"_RFR-",TEXT(AR2,"000"),IF(EXACT(W2,"Initial"),"",CONCATENATE("_",W2)))</f>
        <v>RUN-ABRM_2022-09-05_RFR-001</v>
      </c>
      <c r="B2" s="168">
        <v>44809.6421412037</v>
      </c>
      <c r="C2" s="110"/>
      <c r="D2" s="110" t="s">
        <v>313</v>
      </c>
      <c r="E2" s="169">
        <v>14.0</v>
      </c>
      <c r="F2" s="110" t="s">
        <v>314</v>
      </c>
      <c r="G2" s="170" t="s">
        <v>315</v>
      </c>
      <c r="H2" s="171" t="s">
        <v>316</v>
      </c>
      <c r="I2" s="171" t="s">
        <v>317</v>
      </c>
      <c r="J2" s="172"/>
      <c r="K2" s="173" t="s">
        <v>318</v>
      </c>
      <c r="L2" s="131"/>
      <c r="M2" s="174"/>
      <c r="N2" s="174"/>
      <c r="O2" s="175"/>
      <c r="P2" s="118" t="b">
        <v>0</v>
      </c>
      <c r="Q2" s="176" t="b">
        <v>1</v>
      </c>
      <c r="R2" s="110" t="s">
        <v>319</v>
      </c>
      <c r="S2" s="118" t="b">
        <v>0</v>
      </c>
      <c r="T2" s="177" t="b">
        <v>0</v>
      </c>
      <c r="U2" s="178">
        <v>44809.0</v>
      </c>
      <c r="V2" s="179">
        <v>0.625</v>
      </c>
      <c r="W2" s="110" t="s">
        <v>320</v>
      </c>
      <c r="X2" s="180"/>
      <c r="Y2" s="118" t="b">
        <v>0</v>
      </c>
      <c r="Z2" s="169">
        <v>14.0</v>
      </c>
      <c r="AA2" s="73">
        <f t="shared" ref="AA2:AA259" si="1">Z2-E2</f>
        <v>0</v>
      </c>
      <c r="AB2" s="181" t="b">
        <f t="shared" ref="AB2:AB259" si="2">IF(AA2 = 2,FALSE,TRUE)</f>
        <v>1</v>
      </c>
      <c r="AC2" s="169">
        <v>12.0</v>
      </c>
      <c r="AD2" s="169">
        <v>0.0</v>
      </c>
      <c r="AE2" s="169">
        <v>0.0</v>
      </c>
      <c r="AF2" s="169">
        <v>0.0</v>
      </c>
      <c r="AG2" s="169">
        <v>0.0</v>
      </c>
      <c r="AH2" s="169">
        <v>0.0</v>
      </c>
      <c r="AI2" s="169">
        <v>0.0</v>
      </c>
      <c r="AJ2" s="182" t="b">
        <v>1</v>
      </c>
      <c r="AK2" s="183">
        <v>12.0</v>
      </c>
      <c r="AL2" s="169">
        <v>0.0</v>
      </c>
      <c r="AM2" s="169">
        <v>0.0</v>
      </c>
      <c r="AN2" s="184" t="str">
        <f>IFNA(VLOOKUP($A2,'Tube Reactions'!$J$2:$K259,2,FALSE),"")</f>
        <v/>
      </c>
      <c r="AO2" s="185" t="str">
        <f t="shared" ref="AO2:AO5" si="3">IF(AND(AM2&gt;0,AM2&lt;&gt;AN2),"NOT EQUAL","")</f>
        <v/>
      </c>
      <c r="AP2" s="186" t="str">
        <f t="shared" ref="AP2:AP57" si="4">IF(ISTEXT(H2),"", "Absent")</f>
        <v/>
      </c>
      <c r="AQ2" s="187" t="b">
        <f t="shared" ref="AQ2:AQ259" si="5">NOT(ISBLANK(H2))</f>
        <v>1</v>
      </c>
      <c r="AR2" s="188">
        <v>1.0</v>
      </c>
      <c r="AS2" s="189"/>
      <c r="AT2" s="110"/>
      <c r="AU2" s="110" t="s">
        <v>321</v>
      </c>
      <c r="AV2" s="169">
        <v>14.0</v>
      </c>
      <c r="AW2" s="118" t="b">
        <v>1</v>
      </c>
      <c r="AX2" s="190" t="b">
        <f t="shared" ref="AX2:AX7" si="6">IF(OR(AND(AL2=0,AW2),AND(AL2&lt;&gt;0,NOT(AW2))),TRUE,FALSE)</f>
        <v>1</v>
      </c>
      <c r="AY2" s="48">
        <f t="shared" ref="AY2:AY4" si="7">AV2-AC2</f>
        <v>2</v>
      </c>
      <c r="BA2" s="191" t="b">
        <v>1</v>
      </c>
      <c r="BB2" s="18" t="b">
        <f t="shared" ref="BB2:BB109" si="8">IF(BA2,IF(EXACT(W2,"Initial"),TRUE,FALSE),"")</f>
        <v>1</v>
      </c>
      <c r="BC2" s="18" t="b">
        <f t="shared" ref="BC2:BC71" si="9">IF(BB2,IF(AL2=0,TRUE,AL2),"")</f>
        <v>1</v>
      </c>
      <c r="BD2" s="48">
        <f t="shared" ref="BD2:BD71" si="10">IF(BC2,AK2,"")</f>
        <v>12</v>
      </c>
      <c r="BE2" s="192"/>
      <c r="BF2" s="76">
        <f t="shared" ref="BF2:BF259" si="11">IF(EXACT($W2,"Initial"),$U2,IFERROR(0/0,""))</f>
        <v>44809</v>
      </c>
      <c r="BG2" s="114" t="str">
        <f t="shared" ref="BG2:BG259" si="12">IF(EXACT($W2,"Initial"),$A2,IFERROR(0/0,""))</f>
        <v>RUN-ABRM_2022-09-05_RFR-001</v>
      </c>
      <c r="BH2" s="83">
        <f t="shared" ref="BH2:BH241" si="13">IF(EXACT($W2,"Initial"),E2,IFERROR(0/0,""))</f>
        <v>14</v>
      </c>
      <c r="BI2" s="83">
        <f t="shared" ref="BI2:BI241" si="14">IF(EXACT($W2,"Initial"),AC2,IFERROR(0/0,""))</f>
        <v>12</v>
      </c>
      <c r="BJ2" s="83">
        <f t="shared" ref="BJ2:BJ241" si="15">IF(EXACT($W2,"Initial"),$AK2,IFERROR(0/0,""))</f>
        <v>12</v>
      </c>
      <c r="BK2" s="83">
        <f t="shared" ref="BK2:BK241" si="16">IF(EXACT($W2,"Initial"),$AL2,IFERROR(0/0,""))</f>
        <v>0</v>
      </c>
      <c r="BL2" s="8">
        <f>VLOOKUP(FLOOR($B2,1),'APS Tubes by Date IMPORT'!$B$2:$J259,1,FALSE)</f>
        <v>44809</v>
      </c>
      <c r="BM2" s="83">
        <f>IF(ISBLANK($BL2),IFERROR(0/0,""),VLOOKUP(FLOOR($B2,1),'APS Tubes by Date IMPORT'!$B$2:$J259,2,FALSE))</f>
        <v>11</v>
      </c>
      <c r="BN2" s="114"/>
      <c r="BO2" s="83">
        <f>VLOOKUP(FLOOR($B2,1),'APS Tubes by Date IMPORT'!$B2:$I259,6,FALSE)</f>
        <v>0</v>
      </c>
      <c r="BP2" s="83">
        <v>7.0</v>
      </c>
      <c r="BQ2" s="193">
        <f t="shared" ref="BQ2:BQ241" si="17">BP2-BM2</f>
        <v>-4</v>
      </c>
      <c r="BR2" s="131">
        <v>3.0</v>
      </c>
      <c r="BS2" s="76" t="b">
        <f t="shared" ref="BS2:BS241" si="18">IF(ISBLANK(BP2),IFERROR(0/0,""),IF($BR2&lt;=4,TRUE,IFERROR(0/0,"")))</f>
        <v>1</v>
      </c>
      <c r="BT2" s="194" t="str">
        <f t="shared" ref="BT2:BT241" si="19">IFS(OR(BR2=0.1,BR2=1.1,BR2=2.1),"NULL &gt; NEG",BR2=3, "Delete NULL",TRUE,IFERROR(0/0,""))</f>
        <v>Delete NULL</v>
      </c>
      <c r="BU2" s="195"/>
      <c r="BV2" s="195"/>
      <c r="BW2" s="195"/>
      <c r="BX2" s="195"/>
    </row>
    <row r="3">
      <c r="A3" s="18" t="str">
        <f>CONCATENATE("RUN-",'Process Ref'!$A$1,"_",TEXT(U3,"YYYY-MM-DD"),"_RFR-",TEXT(AR3,"000"),IF(EXACT(W3,"Initial"),"",CONCATENATE("_",W3)))</f>
        <v>RUN-ABRM_2022-09-06_RFR-002</v>
      </c>
      <c r="B3" s="168">
        <v>44810.41616898148</v>
      </c>
      <c r="C3" s="110"/>
      <c r="D3" s="110" t="s">
        <v>313</v>
      </c>
      <c r="E3" s="169">
        <v>15.0</v>
      </c>
      <c r="F3" s="110" t="s">
        <v>322</v>
      </c>
      <c r="G3" s="170" t="s">
        <v>323</v>
      </c>
      <c r="H3" s="171" t="s">
        <v>324</v>
      </c>
      <c r="I3" s="171" t="s">
        <v>325</v>
      </c>
      <c r="J3" s="131"/>
      <c r="K3" s="173" t="s">
        <v>326</v>
      </c>
      <c r="L3" s="131"/>
      <c r="M3" s="174"/>
      <c r="N3" s="174"/>
      <c r="O3" s="175"/>
      <c r="P3" s="118" t="b">
        <v>0</v>
      </c>
      <c r="Q3" s="176" t="b">
        <v>0</v>
      </c>
      <c r="R3" s="55"/>
      <c r="S3" s="118" t="b">
        <v>0</v>
      </c>
      <c r="T3" s="177" t="b">
        <v>0</v>
      </c>
      <c r="U3" s="178">
        <v>44810.0</v>
      </c>
      <c r="V3" s="179">
        <v>0.4375</v>
      </c>
      <c r="W3" s="110" t="s">
        <v>320</v>
      </c>
      <c r="X3" s="180"/>
      <c r="Y3" s="118" t="b">
        <v>0</v>
      </c>
      <c r="Z3" s="169">
        <v>15.0</v>
      </c>
      <c r="AA3" s="196">
        <f t="shared" si="1"/>
        <v>0</v>
      </c>
      <c r="AB3" s="197" t="b">
        <f t="shared" si="2"/>
        <v>1</v>
      </c>
      <c r="AC3" s="169">
        <v>13.0</v>
      </c>
      <c r="AD3" s="169">
        <v>0.0</v>
      </c>
      <c r="AE3" s="169">
        <v>0.0</v>
      </c>
      <c r="AF3" s="169">
        <v>0.0</v>
      </c>
      <c r="AG3" s="169">
        <v>0.0</v>
      </c>
      <c r="AH3" s="169">
        <v>0.0</v>
      </c>
      <c r="AI3" s="169">
        <v>0.0</v>
      </c>
      <c r="AJ3" s="182" t="b">
        <v>0</v>
      </c>
      <c r="AK3" s="183">
        <v>13.0</v>
      </c>
      <c r="AL3" s="169">
        <v>0.0</v>
      </c>
      <c r="AM3" s="169">
        <v>0.0</v>
      </c>
      <c r="AN3" s="198" t="str">
        <f>IFNA(VLOOKUP($A3,'Tube Reactions'!$J$2:$K259,2,FALSE),"")</f>
        <v/>
      </c>
      <c r="AO3" s="199" t="str">
        <f t="shared" si="3"/>
        <v/>
      </c>
      <c r="AP3" s="186" t="str">
        <f t="shared" si="4"/>
        <v/>
      </c>
      <c r="AQ3" s="187" t="b">
        <f t="shared" si="5"/>
        <v>1</v>
      </c>
      <c r="AR3" s="188">
        <v>2.0</v>
      </c>
      <c r="AS3" s="189"/>
      <c r="AT3" s="110"/>
      <c r="AU3" s="110" t="s">
        <v>321</v>
      </c>
      <c r="AV3" s="169">
        <v>15.0</v>
      </c>
      <c r="AW3" s="118" t="b">
        <v>1</v>
      </c>
      <c r="AX3" s="190" t="b">
        <f t="shared" si="6"/>
        <v>1</v>
      </c>
      <c r="AY3" s="48">
        <f t="shared" si="7"/>
        <v>2</v>
      </c>
      <c r="BA3" s="191" t="b">
        <v>1</v>
      </c>
      <c r="BB3" s="18" t="b">
        <f t="shared" si="8"/>
        <v>1</v>
      </c>
      <c r="BC3" s="18" t="b">
        <f t="shared" si="9"/>
        <v>1</v>
      </c>
      <c r="BD3" s="48">
        <f t="shared" si="10"/>
        <v>13</v>
      </c>
      <c r="BE3" s="192"/>
      <c r="BF3" s="76">
        <f t="shared" si="11"/>
        <v>44810</v>
      </c>
      <c r="BG3" s="114" t="str">
        <f t="shared" si="12"/>
        <v>RUN-ABRM_2022-09-06_RFR-002</v>
      </c>
      <c r="BH3" s="83">
        <f t="shared" si="13"/>
        <v>15</v>
      </c>
      <c r="BI3" s="83">
        <f t="shared" si="14"/>
        <v>13</v>
      </c>
      <c r="BJ3" s="83">
        <f t="shared" si="15"/>
        <v>13</v>
      </c>
      <c r="BK3" s="83">
        <f t="shared" si="16"/>
        <v>0</v>
      </c>
      <c r="BL3" s="200">
        <f>IFNA(IF(VLOOKUP(FLOOR($B3,1),'APS Tubes by Date IMPORT'!$B$2:$J259,1,FALSE)=FLOOR($BL2,1),IFERROR(0/0,""),VLOOKUP(FLOOR($B3,1),'APS Tubes by Date IMPORT'!$B$2:$J259,1,FALSE)),"")</f>
        <v>44810</v>
      </c>
      <c r="BM3" s="83">
        <f>IF(ISBLANK($BL3),IFERROR(0/0,""),VLOOKUP(FLOOR($B3,1),'APS Tubes by Date IMPORT'!$B$2:$J259,2,FALSE))</f>
        <v>7</v>
      </c>
      <c r="BN3" s="114"/>
      <c r="BO3" s="83">
        <f>VLOOKUP(FLOOR($B3,1),'APS Tubes by Date IMPORT'!$B3:$I259,6,FALSE)</f>
        <v>0</v>
      </c>
      <c r="BP3" s="83">
        <v>7.0</v>
      </c>
      <c r="BQ3" s="193">
        <f t="shared" si="17"/>
        <v>0</v>
      </c>
      <c r="BR3" s="131">
        <v>3.0</v>
      </c>
      <c r="BS3" s="76" t="b">
        <f t="shared" si="18"/>
        <v>1</v>
      </c>
      <c r="BT3" s="194" t="str">
        <f t="shared" si="19"/>
        <v>Delete NULL</v>
      </c>
      <c r="BU3" s="195"/>
      <c r="BV3" s="195"/>
      <c r="BW3" s="195"/>
      <c r="BX3" s="195"/>
    </row>
    <row r="4">
      <c r="A4" s="18" t="str">
        <f>CONCATENATE("RUN-",'Process Ref'!$A$1,"_",TEXT(U4,"YYYY-MM-DD"),"_RFR-",TEXT(AR4,"000"),IF(EXACT(W4,"Initial"),"",CONCATENATE("_",W4)))</f>
        <v>RUN-ABRM_2022-09-07_RFR-003</v>
      </c>
      <c r="B4" s="168">
        <v>44811.43394675926</v>
      </c>
      <c r="C4" s="110"/>
      <c r="D4" s="110" t="s">
        <v>313</v>
      </c>
      <c r="E4" s="169">
        <v>13.0</v>
      </c>
      <c r="F4" s="110" t="s">
        <v>327</v>
      </c>
      <c r="G4" s="170" t="s">
        <v>328</v>
      </c>
      <c r="H4" s="171" t="s">
        <v>329</v>
      </c>
      <c r="I4" s="171" t="s">
        <v>330</v>
      </c>
      <c r="J4" s="172"/>
      <c r="K4" s="173" t="s">
        <v>331</v>
      </c>
      <c r="L4" s="131"/>
      <c r="M4" s="174"/>
      <c r="N4" s="174"/>
      <c r="O4" s="175"/>
      <c r="P4" s="118" t="b">
        <v>0</v>
      </c>
      <c r="Q4" s="176" t="b">
        <v>0</v>
      </c>
      <c r="R4" s="55"/>
      <c r="S4" s="118" t="b">
        <v>0</v>
      </c>
      <c r="T4" s="177" t="b">
        <v>0</v>
      </c>
      <c r="U4" s="178">
        <v>44811.0</v>
      </c>
      <c r="V4" s="179">
        <v>0.4375</v>
      </c>
      <c r="W4" s="110" t="s">
        <v>320</v>
      </c>
      <c r="X4" s="180"/>
      <c r="Y4" s="118" t="b">
        <v>0</v>
      </c>
      <c r="Z4" s="169">
        <v>13.0</v>
      </c>
      <c r="AA4" s="196">
        <f t="shared" si="1"/>
        <v>0</v>
      </c>
      <c r="AB4" s="197" t="b">
        <f t="shared" si="2"/>
        <v>1</v>
      </c>
      <c r="AC4" s="169">
        <v>11.0</v>
      </c>
      <c r="AD4" s="169">
        <v>0.0</v>
      </c>
      <c r="AE4" s="169">
        <v>0.0</v>
      </c>
      <c r="AF4" s="169">
        <v>0.0</v>
      </c>
      <c r="AG4" s="169">
        <v>0.0</v>
      </c>
      <c r="AH4" s="169">
        <v>0.0</v>
      </c>
      <c r="AI4" s="89">
        <v>0.0</v>
      </c>
      <c r="AJ4" s="182" t="b">
        <v>0</v>
      </c>
      <c r="AK4" s="183">
        <v>11.0</v>
      </c>
      <c r="AL4" s="169">
        <v>0.0</v>
      </c>
      <c r="AM4" s="169">
        <v>0.0</v>
      </c>
      <c r="AN4" s="198" t="str">
        <f>IFNA(VLOOKUP($A4,'Tube Reactions'!$J$2:$K259,2,FALSE),"")</f>
        <v/>
      </c>
      <c r="AO4" s="199" t="str">
        <f t="shared" si="3"/>
        <v/>
      </c>
      <c r="AP4" s="186" t="str">
        <f t="shared" si="4"/>
        <v/>
      </c>
      <c r="AQ4" s="187" t="b">
        <f t="shared" si="5"/>
        <v>1</v>
      </c>
      <c r="AR4" s="188">
        <v>3.0</v>
      </c>
      <c r="AS4" s="189"/>
      <c r="AT4" s="110"/>
      <c r="AU4" s="110" t="s">
        <v>321</v>
      </c>
      <c r="AV4" s="169">
        <v>13.0</v>
      </c>
      <c r="AW4" s="118" t="b">
        <v>1</v>
      </c>
      <c r="AX4" s="190" t="b">
        <f t="shared" si="6"/>
        <v>1</v>
      </c>
      <c r="AY4" s="48">
        <f t="shared" si="7"/>
        <v>2</v>
      </c>
      <c r="BA4" s="191" t="b">
        <v>1</v>
      </c>
      <c r="BB4" s="18" t="b">
        <f t="shared" si="8"/>
        <v>1</v>
      </c>
      <c r="BC4" s="18" t="b">
        <f t="shared" si="9"/>
        <v>1</v>
      </c>
      <c r="BD4" s="48">
        <f t="shared" si="10"/>
        <v>11</v>
      </c>
      <c r="BE4" s="192"/>
      <c r="BF4" s="76">
        <f t="shared" si="11"/>
        <v>44811</v>
      </c>
      <c r="BG4" s="114" t="str">
        <f t="shared" si="12"/>
        <v>RUN-ABRM_2022-09-07_RFR-003</v>
      </c>
      <c r="BH4" s="83">
        <f t="shared" si="13"/>
        <v>13</v>
      </c>
      <c r="BI4" s="83">
        <f t="shared" si="14"/>
        <v>11</v>
      </c>
      <c r="BJ4" s="83">
        <f t="shared" si="15"/>
        <v>11</v>
      </c>
      <c r="BK4" s="83">
        <f t="shared" si="16"/>
        <v>0</v>
      </c>
      <c r="BL4" s="200">
        <f>IFNA(IF(VLOOKUP(FLOOR($B4,1),'APS Tubes by Date IMPORT'!$B$2:$J259,1,FALSE)=FLOOR($BL3,1),IFERROR(0/0,""),VLOOKUP(FLOOR($B4,1),'APS Tubes by Date IMPORT'!$B$2:$J259,1,FALSE)),"")</f>
        <v>44811</v>
      </c>
      <c r="BM4" s="83">
        <f>IF(ISBLANK($BL4),IFERROR(0/0,""),VLOOKUP(FLOOR($B4,1),'APS Tubes by Date IMPORT'!$B$2:$J259,2,FALSE))</f>
        <v>11</v>
      </c>
      <c r="BN4" s="114"/>
      <c r="BO4" s="83">
        <f>VLOOKUP(FLOOR($B4,1),'APS Tubes by Date IMPORT'!$B4:$I259,6,FALSE)</f>
        <v>0</v>
      </c>
      <c r="BP4" s="83">
        <v>7.0</v>
      </c>
      <c r="BQ4" s="193">
        <f t="shared" si="17"/>
        <v>-4</v>
      </c>
      <c r="BR4" s="131">
        <v>3.0</v>
      </c>
      <c r="BS4" s="76" t="b">
        <f t="shared" si="18"/>
        <v>1</v>
      </c>
      <c r="BT4" s="194" t="str">
        <f t="shared" si="19"/>
        <v>Delete NULL</v>
      </c>
      <c r="BU4" s="195"/>
      <c r="BV4" s="195"/>
      <c r="BW4" s="195"/>
      <c r="BX4" s="195"/>
    </row>
    <row r="5">
      <c r="A5" s="18" t="str">
        <f>CONCATENATE("RUN-",'Process Ref'!$A$1,"_",TEXT(U5,"YYYY-MM-DD"),"_RFR-",TEXT(AR5,"000"),IF(EXACT(W5,"Initial"),"",CONCATENATE("_",W5)))</f>
        <v>RUN-ABRM_2022-09-08_RFR-004</v>
      </c>
      <c r="B5" s="168">
        <v>44812.431655092594</v>
      </c>
      <c r="C5" s="110"/>
      <c r="D5" s="110" t="s">
        <v>313</v>
      </c>
      <c r="E5" s="169">
        <v>14.0</v>
      </c>
      <c r="F5" s="110" t="s">
        <v>332</v>
      </c>
      <c r="G5" s="171" t="s">
        <v>333</v>
      </c>
      <c r="H5" s="171" t="s">
        <v>334</v>
      </c>
      <c r="I5" s="171" t="s">
        <v>335</v>
      </c>
      <c r="J5" s="169">
        <v>1.0</v>
      </c>
      <c r="K5" s="201" t="s">
        <v>336</v>
      </c>
      <c r="L5" s="131"/>
      <c r="M5" s="174"/>
      <c r="N5" s="174"/>
      <c r="O5" s="175"/>
      <c r="P5" s="118" t="b">
        <v>0</v>
      </c>
      <c r="Q5" s="176" t="b">
        <v>0</v>
      </c>
      <c r="R5" s="55"/>
      <c r="S5" s="118" t="b">
        <v>0</v>
      </c>
      <c r="T5" s="177" t="b">
        <v>1</v>
      </c>
      <c r="U5" s="178">
        <v>44812.0</v>
      </c>
      <c r="V5" s="179">
        <v>0.4201388888888889</v>
      </c>
      <c r="W5" s="110" t="s">
        <v>320</v>
      </c>
      <c r="X5" s="202"/>
      <c r="Y5" s="118" t="b">
        <v>1</v>
      </c>
      <c r="Z5" s="169">
        <v>14.0</v>
      </c>
      <c r="AA5" s="196">
        <f t="shared" si="1"/>
        <v>0</v>
      </c>
      <c r="AB5" s="197" t="b">
        <f t="shared" si="2"/>
        <v>1</v>
      </c>
      <c r="AC5" s="169">
        <v>12.0</v>
      </c>
      <c r="AD5" s="169">
        <v>1.0</v>
      </c>
      <c r="AE5" s="169">
        <v>1.0</v>
      </c>
      <c r="AF5" s="169">
        <v>0.0</v>
      </c>
      <c r="AG5" s="169">
        <v>0.0</v>
      </c>
      <c r="AH5" s="169">
        <v>0.0</v>
      </c>
      <c r="AI5" s="169">
        <v>0.0</v>
      </c>
      <c r="AJ5" s="182" t="b">
        <v>0</v>
      </c>
      <c r="AK5" s="183">
        <v>12.0</v>
      </c>
      <c r="AL5" s="169">
        <v>1.1</v>
      </c>
      <c r="AM5" s="169">
        <v>1.0</v>
      </c>
      <c r="AN5" s="198" t="str">
        <f>IFNA(VLOOKUP($A5,'Tube Reactions'!$J$2:$K259,2,FALSE),"")</f>
        <v/>
      </c>
      <c r="AO5" s="199" t="str">
        <f t="shared" si="3"/>
        <v>NOT EQUAL</v>
      </c>
      <c r="AP5" s="186" t="str">
        <f t="shared" si="4"/>
        <v/>
      </c>
      <c r="AQ5" s="187" t="b">
        <f t="shared" si="5"/>
        <v>1</v>
      </c>
      <c r="AR5" s="188">
        <v>4.0</v>
      </c>
      <c r="AS5" s="189"/>
      <c r="AT5" s="110"/>
      <c r="AU5" s="110" t="s">
        <v>321</v>
      </c>
      <c r="AV5" s="169">
        <v>19.0</v>
      </c>
      <c r="AW5" s="118" t="b">
        <v>0</v>
      </c>
      <c r="AX5" s="190" t="b">
        <f t="shared" si="6"/>
        <v>1</v>
      </c>
      <c r="AY5" s="48">
        <f>AV5-AC5-AC6</f>
        <v>4</v>
      </c>
      <c r="AZ5" s="110" t="s">
        <v>337</v>
      </c>
      <c r="BA5" s="191" t="b">
        <v>0</v>
      </c>
      <c r="BB5" s="18" t="str">
        <f t="shared" si="8"/>
        <v/>
      </c>
      <c r="BC5" s="18" t="str">
        <f t="shared" si="9"/>
        <v/>
      </c>
      <c r="BD5" s="48" t="str">
        <f t="shared" si="10"/>
        <v/>
      </c>
      <c r="BE5" s="192"/>
      <c r="BF5" s="76">
        <f t="shared" si="11"/>
        <v>44812</v>
      </c>
      <c r="BG5" s="114" t="str">
        <f t="shared" si="12"/>
        <v>RUN-ABRM_2022-09-08_RFR-004</v>
      </c>
      <c r="BH5" s="83">
        <f t="shared" si="13"/>
        <v>14</v>
      </c>
      <c r="BI5" s="83">
        <f t="shared" si="14"/>
        <v>12</v>
      </c>
      <c r="BJ5" s="83">
        <f t="shared" si="15"/>
        <v>12</v>
      </c>
      <c r="BK5" s="83">
        <f t="shared" si="16"/>
        <v>1.1</v>
      </c>
      <c r="BL5" s="200">
        <f>IFNA(IF(VLOOKUP(FLOOR($B5,1),'APS Tubes by Date IMPORT'!$B$2:$J259,1,FALSE)=FLOOR($BL4,1),IFERROR(0/0,""),VLOOKUP(FLOOR($B5,1),'APS Tubes by Date IMPORT'!$B$2:$J259,1,FALSE)),"")</f>
        <v>44812</v>
      </c>
      <c r="BM5" s="83">
        <f>IF(ISBLANK($BL5),IFERROR(0/0,""),VLOOKUP(FLOOR($B5,1),'APS Tubes by Date IMPORT'!$B$2:$J259,2,FALSE))</f>
        <v>12</v>
      </c>
      <c r="BN5" s="114"/>
      <c r="BO5" s="83">
        <f>VLOOKUP(FLOOR($B5,1),'APS Tubes by Date IMPORT'!$B5:$I259,6,FALSE)</f>
        <v>0</v>
      </c>
      <c r="BP5" s="83">
        <v>7.0</v>
      </c>
      <c r="BQ5" s="193">
        <f t="shared" si="17"/>
        <v>-5</v>
      </c>
      <c r="BR5" s="131">
        <v>3.0</v>
      </c>
      <c r="BS5" s="76" t="b">
        <f t="shared" si="18"/>
        <v>1</v>
      </c>
      <c r="BT5" s="194" t="str">
        <f t="shared" si="19"/>
        <v>Delete NULL</v>
      </c>
      <c r="BU5" s="195"/>
      <c r="BV5" s="195"/>
      <c r="BW5" s="195"/>
      <c r="BX5" s="195"/>
    </row>
    <row r="6">
      <c r="A6" s="18" t="str">
        <f>CONCATENATE("RUN-",'Process Ref'!$A$1,"_",TEXT(U6,"YYYY-MM-DD"),"_RFR-",TEXT(AR6,"000"),IF(EXACT(W6,"Initial"),"",CONCATENATE("_",W6)))</f>
        <v>RUN-ABRM_2022-09-08_RFR-005_Re-run</v>
      </c>
      <c r="B6" s="168">
        <v>44812.431655092594</v>
      </c>
      <c r="C6" s="110"/>
      <c r="D6" s="110" t="s">
        <v>313</v>
      </c>
      <c r="E6" s="131"/>
      <c r="F6" s="110" t="s">
        <v>332</v>
      </c>
      <c r="G6" s="171" t="s">
        <v>333</v>
      </c>
      <c r="H6" s="202"/>
      <c r="I6" s="203" t="s">
        <v>338</v>
      </c>
      <c r="J6" s="131"/>
      <c r="K6" s="204"/>
      <c r="L6" s="131"/>
      <c r="M6" s="174"/>
      <c r="N6" s="174"/>
      <c r="O6" s="175"/>
      <c r="P6" s="118" t="b">
        <v>0</v>
      </c>
      <c r="Q6" s="176" t="b">
        <v>0</v>
      </c>
      <c r="R6" s="55"/>
      <c r="S6" s="118" t="b">
        <v>1</v>
      </c>
      <c r="T6" s="177" t="b">
        <v>1</v>
      </c>
      <c r="U6" s="178">
        <v>44812.0</v>
      </c>
      <c r="V6" s="179">
        <v>0.4618055555555556</v>
      </c>
      <c r="W6" s="110" t="s">
        <v>339</v>
      </c>
      <c r="X6" s="202"/>
      <c r="Y6" s="118" t="b">
        <v>1</v>
      </c>
      <c r="Z6" s="172"/>
      <c r="AA6" s="196">
        <f t="shared" si="1"/>
        <v>0</v>
      </c>
      <c r="AB6" s="197" t="b">
        <f t="shared" si="2"/>
        <v>1</v>
      </c>
      <c r="AC6" s="169">
        <v>3.0</v>
      </c>
      <c r="AD6" s="169">
        <v>0.0</v>
      </c>
      <c r="AE6" s="169">
        <v>0.0</v>
      </c>
      <c r="AF6" s="169">
        <v>0.0</v>
      </c>
      <c r="AG6" s="169">
        <v>0.0</v>
      </c>
      <c r="AH6" s="169">
        <v>0.0</v>
      </c>
      <c r="AI6" s="169">
        <v>0.0</v>
      </c>
      <c r="AJ6" s="182" t="b">
        <v>0</v>
      </c>
      <c r="AK6" s="183">
        <v>1.0</v>
      </c>
      <c r="AL6" s="169">
        <v>0.0</v>
      </c>
      <c r="AM6" s="205"/>
      <c r="AN6" s="198" t="str">
        <f>IFNA(VLOOKUP($A6,'Tube Reactions'!$J$2:$K259,2,FALSE),"")</f>
        <v/>
      </c>
      <c r="AO6" s="206"/>
      <c r="AP6" s="186" t="str">
        <f t="shared" si="4"/>
        <v>Absent</v>
      </c>
      <c r="AQ6" s="187" t="b">
        <f t="shared" si="5"/>
        <v>0</v>
      </c>
      <c r="AR6" s="188">
        <v>5.0</v>
      </c>
      <c r="AS6" s="189"/>
      <c r="AT6" s="110"/>
      <c r="AU6" s="110" t="s">
        <v>321</v>
      </c>
      <c r="AV6" s="172"/>
      <c r="AW6" s="118" t="b">
        <v>0</v>
      </c>
      <c r="AX6" s="190" t="b">
        <f t="shared" si="6"/>
        <v>0</v>
      </c>
      <c r="AY6" s="48"/>
      <c r="AZ6" s="55"/>
      <c r="BA6" s="191" t="b">
        <v>0</v>
      </c>
      <c r="BB6" s="18" t="str">
        <f t="shared" si="8"/>
        <v/>
      </c>
      <c r="BC6" s="18" t="str">
        <f t="shared" si="9"/>
        <v/>
      </c>
      <c r="BD6" s="48" t="str">
        <f t="shared" si="10"/>
        <v/>
      </c>
      <c r="BE6" s="192"/>
      <c r="BF6" s="76" t="str">
        <f t="shared" si="11"/>
        <v/>
      </c>
      <c r="BG6" s="114" t="str">
        <f t="shared" si="12"/>
        <v/>
      </c>
      <c r="BH6" s="83" t="str">
        <f t="shared" si="13"/>
        <v/>
      </c>
      <c r="BI6" s="83" t="str">
        <f t="shared" si="14"/>
        <v/>
      </c>
      <c r="BJ6" s="83" t="str">
        <f t="shared" si="15"/>
        <v/>
      </c>
      <c r="BK6" s="83" t="str">
        <f t="shared" si="16"/>
        <v/>
      </c>
      <c r="BL6" s="200" t="str">
        <f>IFNA(IF(VLOOKUP(FLOOR($B6,1),'APS Tubes by Date IMPORT'!$B$2:$J259,1,FALSE)=FLOOR($BL5,1),IFERROR(0/0,""),VLOOKUP(FLOOR($B6,1),'APS Tubes by Date IMPORT'!$B$2:$J259,1,FALSE)),"")</f>
        <v/>
      </c>
      <c r="BM6" s="83" t="str">
        <f>IF(ISBLANK($BL6),IFERROR(0/0,""),VLOOKUP(FLOOR($B6,1),'APS Tubes by Date IMPORT'!$B$2:$J259,2,FALSE))</f>
        <v/>
      </c>
      <c r="BN6" s="114"/>
      <c r="BO6" s="83" t="str">
        <f>VLOOKUP(FLOOR($B6,1),'APS Tubes by Date IMPORT'!$B6:$I259,6,FALSE)</f>
        <v>#N/A</v>
      </c>
      <c r="BP6" s="83">
        <v>7.0</v>
      </c>
      <c r="BQ6" s="193">
        <f t="shared" si="17"/>
        <v>7</v>
      </c>
      <c r="BR6" s="131">
        <v>3.0</v>
      </c>
      <c r="BS6" s="76" t="b">
        <f t="shared" si="18"/>
        <v>1</v>
      </c>
      <c r="BT6" s="194" t="str">
        <f t="shared" si="19"/>
        <v>Delete NULL</v>
      </c>
      <c r="BU6" s="195"/>
      <c r="BV6" s="195"/>
      <c r="BW6" s="195"/>
      <c r="BX6" s="195"/>
    </row>
    <row r="7">
      <c r="A7" s="18" t="str">
        <f>CONCATENATE("RUN-",'Process Ref'!$A$1,"_",TEXT(U7,"YYYY-MM-DD"),"_RFR-",TEXT(AR7,"000"),IF(EXACT(W7,"Initial"),"",CONCATENATE("_",W7)))</f>
        <v>RUN-ABRM_2022-09-09_RFR-006</v>
      </c>
      <c r="B7" s="168">
        <v>44813.60938657408</v>
      </c>
      <c r="C7" s="110"/>
      <c r="D7" s="110" t="s">
        <v>313</v>
      </c>
      <c r="E7" s="169">
        <v>13.0</v>
      </c>
      <c r="F7" s="110" t="s">
        <v>340</v>
      </c>
      <c r="G7" s="171" t="s">
        <v>341</v>
      </c>
      <c r="H7" s="171" t="s">
        <v>342</v>
      </c>
      <c r="I7" s="171" t="s">
        <v>343</v>
      </c>
      <c r="J7" s="169">
        <v>1.0</v>
      </c>
      <c r="K7" s="173" t="s">
        <v>344</v>
      </c>
      <c r="L7" s="131"/>
      <c r="M7" s="174"/>
      <c r="N7" s="174"/>
      <c r="O7" s="175"/>
      <c r="P7" s="118" t="b">
        <v>0</v>
      </c>
      <c r="Q7" s="176" t="b">
        <v>0</v>
      </c>
      <c r="R7" s="55"/>
      <c r="S7" s="118" t="b">
        <v>0</v>
      </c>
      <c r="T7" s="177" t="b">
        <v>1</v>
      </c>
      <c r="U7" s="178">
        <v>44813.0</v>
      </c>
      <c r="V7" s="179">
        <v>0.4236111111111111</v>
      </c>
      <c r="W7" s="110" t="s">
        <v>320</v>
      </c>
      <c r="X7" s="202"/>
      <c r="Y7" s="118" t="b">
        <v>1</v>
      </c>
      <c r="Z7" s="169">
        <v>13.0</v>
      </c>
      <c r="AA7" s="196">
        <f t="shared" si="1"/>
        <v>0</v>
      </c>
      <c r="AB7" s="197" t="b">
        <f t="shared" si="2"/>
        <v>1</v>
      </c>
      <c r="AC7" s="169">
        <v>11.0</v>
      </c>
      <c r="AD7" s="169">
        <v>0.0</v>
      </c>
      <c r="AE7" s="169">
        <v>0.0</v>
      </c>
      <c r="AF7" s="169">
        <v>0.0</v>
      </c>
      <c r="AG7" s="169">
        <v>1.0</v>
      </c>
      <c r="AH7" s="169">
        <v>1.0</v>
      </c>
      <c r="AI7" s="169">
        <v>0.0</v>
      </c>
      <c r="AJ7" s="182" t="b">
        <v>0</v>
      </c>
      <c r="AK7" s="183">
        <v>11.0</v>
      </c>
      <c r="AL7" s="169">
        <v>4.0</v>
      </c>
      <c r="AM7" s="169">
        <v>1.0</v>
      </c>
      <c r="AN7" s="198" t="str">
        <f>IFNA(VLOOKUP($A7,'Tube Reactions'!$J$2:$K259,2,FALSE),"")</f>
        <v/>
      </c>
      <c r="AO7" s="199" t="str">
        <f t="shared" ref="AO7:AO259" si="20">IF(AND(AM7&gt;0,AM7&lt;&gt;AN7),"NOT EQUAL","")</f>
        <v>NOT EQUAL</v>
      </c>
      <c r="AP7" s="186" t="str">
        <f t="shared" si="4"/>
        <v/>
      </c>
      <c r="AQ7" s="187" t="b">
        <f t="shared" si="5"/>
        <v>1</v>
      </c>
      <c r="AR7" s="188">
        <v>6.0</v>
      </c>
      <c r="AS7" s="189"/>
      <c r="AT7" s="110"/>
      <c r="AU7" s="110" t="s">
        <v>321</v>
      </c>
      <c r="AV7" s="169">
        <v>23.0</v>
      </c>
      <c r="AW7" s="118" t="b">
        <v>0</v>
      </c>
      <c r="AX7" s="190" t="b">
        <f t="shared" si="6"/>
        <v>1</v>
      </c>
      <c r="AY7" s="48">
        <f>AV7-AC7-AC8-AC9</f>
        <v>6</v>
      </c>
      <c r="AZ7" s="110" t="s">
        <v>337</v>
      </c>
      <c r="BA7" s="191" t="b">
        <v>0</v>
      </c>
      <c r="BB7" s="18" t="str">
        <f t="shared" si="8"/>
        <v/>
      </c>
      <c r="BC7" s="18" t="str">
        <f t="shared" si="9"/>
        <v/>
      </c>
      <c r="BD7" s="48" t="str">
        <f t="shared" si="10"/>
        <v/>
      </c>
      <c r="BE7" s="192"/>
      <c r="BF7" s="76">
        <f t="shared" si="11"/>
        <v>44813</v>
      </c>
      <c r="BG7" s="114" t="str">
        <f t="shared" si="12"/>
        <v>RUN-ABRM_2022-09-09_RFR-006</v>
      </c>
      <c r="BH7" s="83">
        <f t="shared" si="13"/>
        <v>13</v>
      </c>
      <c r="BI7" s="83">
        <f t="shared" si="14"/>
        <v>11</v>
      </c>
      <c r="BJ7" s="83">
        <f t="shared" si="15"/>
        <v>11</v>
      </c>
      <c r="BK7" s="83">
        <f t="shared" si="16"/>
        <v>4</v>
      </c>
      <c r="BL7" s="200">
        <f>IFNA(IF(VLOOKUP(FLOOR($B7,1),'APS Tubes by Date IMPORT'!$B$2:$J259,1,FALSE)=FLOOR($BL6,1),IFERROR(0/0,""),VLOOKUP(FLOOR($B7,1),'APS Tubes by Date IMPORT'!$B$2:$J259,1,FALSE)),"")</f>
        <v>44813</v>
      </c>
      <c r="BM7" s="83">
        <f>IF(ISBLANK($BL7),IFERROR(0/0,""),VLOOKUP(FLOOR($B7,1),'APS Tubes by Date IMPORT'!$B$2:$J259,2,FALSE))</f>
        <v>11</v>
      </c>
      <c r="BN7" s="114"/>
      <c r="BO7" s="83" t="str">
        <f>VLOOKUP(FLOOR($B7,1),'APS Tubes by Date IMPORT'!$B7:$I259,6,FALSE)</f>
        <v>#N/A</v>
      </c>
      <c r="BP7" s="83">
        <v>7.0</v>
      </c>
      <c r="BQ7" s="193">
        <f t="shared" si="17"/>
        <v>-4</v>
      </c>
      <c r="BR7" s="131">
        <v>3.0</v>
      </c>
      <c r="BS7" s="76" t="b">
        <f t="shared" si="18"/>
        <v>1</v>
      </c>
      <c r="BT7" s="194" t="str">
        <f t="shared" si="19"/>
        <v>Delete NULL</v>
      </c>
      <c r="BU7" s="195"/>
      <c r="BV7" s="195"/>
      <c r="BW7" s="195"/>
      <c r="BX7" s="195"/>
    </row>
    <row r="8">
      <c r="A8" s="18" t="str">
        <f>CONCATENATE("RUN-",'Process Ref'!$A$1,"_",TEXT(U8,"YYYY-MM-DD"),"_RFR-",TEXT(AR8,"000"),IF(EXACT(W8,"Initial"),"",CONCATENATE("_",W8)))</f>
        <v>RUN-ABRM_2022-09-09_RFR-007_Re-run</v>
      </c>
      <c r="B8" s="168">
        <v>44813.60938657408</v>
      </c>
      <c r="C8" s="110"/>
      <c r="D8" s="110" t="s">
        <v>313</v>
      </c>
      <c r="E8" s="131"/>
      <c r="F8" s="110" t="s">
        <v>340</v>
      </c>
      <c r="G8" s="170" t="s">
        <v>341</v>
      </c>
      <c r="H8" s="202"/>
      <c r="I8" s="203" t="s">
        <v>338</v>
      </c>
      <c r="J8" s="131"/>
      <c r="K8" s="204"/>
      <c r="L8" s="131"/>
      <c r="M8" s="174"/>
      <c r="N8" s="174"/>
      <c r="O8" s="175"/>
      <c r="P8" s="118" t="b">
        <v>0</v>
      </c>
      <c r="Q8" s="176" t="b">
        <v>0</v>
      </c>
      <c r="R8" s="55"/>
      <c r="S8" s="118" t="b">
        <v>0</v>
      </c>
      <c r="T8" s="177" t="b">
        <v>1</v>
      </c>
      <c r="U8" s="178">
        <v>44813.0</v>
      </c>
      <c r="V8" s="179">
        <v>0.4652777777777778</v>
      </c>
      <c r="W8" s="110" t="s">
        <v>339</v>
      </c>
      <c r="X8" s="202"/>
      <c r="Y8" s="118" t="b">
        <v>1</v>
      </c>
      <c r="Z8" s="172"/>
      <c r="AA8" s="196">
        <f t="shared" si="1"/>
        <v>0</v>
      </c>
      <c r="AB8" s="197" t="b">
        <f t="shared" si="2"/>
        <v>1</v>
      </c>
      <c r="AC8" s="169">
        <v>3.0</v>
      </c>
      <c r="AD8" s="169">
        <v>0.0</v>
      </c>
      <c r="AE8" s="169">
        <v>0.0</v>
      </c>
      <c r="AF8" s="169">
        <v>0.0</v>
      </c>
      <c r="AG8" s="169">
        <v>0.0</v>
      </c>
      <c r="AH8" s="169">
        <v>0.0</v>
      </c>
      <c r="AI8" s="169">
        <v>0.0</v>
      </c>
      <c r="AJ8" s="182" t="b">
        <v>0</v>
      </c>
      <c r="AK8" s="183">
        <v>1.0</v>
      </c>
      <c r="AL8" s="169">
        <v>0.0</v>
      </c>
      <c r="AM8" s="172" t="str">
        <f t="shared" ref="AM8:AM9" si="21">IF(EXACT(W8,"Initial"),"Audit","")</f>
        <v/>
      </c>
      <c r="AN8" s="198" t="str">
        <f>IFNA(VLOOKUP($A8,'Tube Reactions'!$J$2:$K259,2,FALSE),"")</f>
        <v/>
      </c>
      <c r="AO8" s="199" t="str">
        <f t="shared" si="20"/>
        <v/>
      </c>
      <c r="AP8" s="186" t="str">
        <f t="shared" si="4"/>
        <v>Absent</v>
      </c>
      <c r="AQ8" s="187" t="b">
        <f t="shared" si="5"/>
        <v>0</v>
      </c>
      <c r="AR8" s="188">
        <v>7.0</v>
      </c>
      <c r="AS8" s="189"/>
      <c r="AT8" s="110"/>
      <c r="AU8" s="110" t="s">
        <v>321</v>
      </c>
      <c r="AV8" s="172"/>
      <c r="AW8" s="118"/>
      <c r="AX8" s="190"/>
      <c r="AY8" s="48"/>
      <c r="AZ8" s="55"/>
      <c r="BA8" s="191" t="b">
        <v>0</v>
      </c>
      <c r="BB8" s="18" t="str">
        <f t="shared" si="8"/>
        <v/>
      </c>
      <c r="BC8" s="18" t="str">
        <f t="shared" si="9"/>
        <v/>
      </c>
      <c r="BD8" s="48" t="str">
        <f t="shared" si="10"/>
        <v/>
      </c>
      <c r="BE8" s="192"/>
      <c r="BF8" s="76" t="str">
        <f t="shared" si="11"/>
        <v/>
      </c>
      <c r="BG8" s="114" t="str">
        <f t="shared" si="12"/>
        <v/>
      </c>
      <c r="BH8" s="83" t="str">
        <f t="shared" si="13"/>
        <v/>
      </c>
      <c r="BI8" s="83" t="str">
        <f t="shared" si="14"/>
        <v/>
      </c>
      <c r="BJ8" s="83" t="str">
        <f t="shared" si="15"/>
        <v/>
      </c>
      <c r="BK8" s="83" t="str">
        <f t="shared" si="16"/>
        <v/>
      </c>
      <c r="BL8" s="200" t="str">
        <f>IFNA(IF(VLOOKUP(FLOOR($B8,1),'APS Tubes by Date IMPORT'!$B$2:$J259,1,FALSE)=FLOOR($BL7,1),IFERROR(0/0,""),VLOOKUP(FLOOR($B8,1),'APS Tubes by Date IMPORT'!$B$2:$J259,1,FALSE)),"")</f>
        <v/>
      </c>
      <c r="BM8" s="83" t="str">
        <f>IF(ISBLANK($BL8),IFERROR(0/0,""),VLOOKUP(FLOOR($B8,1),'APS Tubes by Date IMPORT'!$B$2:$J259,2,FALSE))</f>
        <v/>
      </c>
      <c r="BN8" s="114"/>
      <c r="BO8" s="83" t="str">
        <f>VLOOKUP(FLOOR($B8,1),'APS Tubes by Date IMPORT'!$B8:$I259,6,FALSE)</f>
        <v>#N/A</v>
      </c>
      <c r="BP8" s="83">
        <v>7.0</v>
      </c>
      <c r="BQ8" s="193">
        <f t="shared" si="17"/>
        <v>7</v>
      </c>
      <c r="BR8" s="131">
        <v>3.0</v>
      </c>
      <c r="BS8" s="76" t="b">
        <f t="shared" si="18"/>
        <v>1</v>
      </c>
      <c r="BT8" s="194" t="str">
        <f t="shared" si="19"/>
        <v>Delete NULL</v>
      </c>
      <c r="BU8" s="195"/>
      <c r="BV8" s="195"/>
      <c r="BW8" s="195"/>
      <c r="BX8" s="195"/>
    </row>
    <row r="9">
      <c r="A9" s="18" t="str">
        <f>CONCATENATE("RUN-",'Process Ref'!$A$1,"_",TEXT(U9,"YYYY-MM-DD"),"_RFR-",TEXT(AR9,"000"),IF(EXACT(W9,"Initial"),"",CONCATENATE("_",W9)))</f>
        <v>RUN-ABRM_2022-09-09_RFR-008_Re-run</v>
      </c>
      <c r="B9" s="168">
        <v>44813.60938657408</v>
      </c>
      <c r="C9" s="110"/>
      <c r="D9" s="110" t="s">
        <v>313</v>
      </c>
      <c r="E9" s="131"/>
      <c r="F9" s="110" t="s">
        <v>340</v>
      </c>
      <c r="G9" s="170" t="s">
        <v>341</v>
      </c>
      <c r="H9" s="202"/>
      <c r="I9" s="203" t="s">
        <v>338</v>
      </c>
      <c r="J9" s="131"/>
      <c r="K9" s="204"/>
      <c r="L9" s="131"/>
      <c r="M9" s="174"/>
      <c r="N9" s="174"/>
      <c r="O9" s="175"/>
      <c r="P9" s="118" t="b">
        <v>0</v>
      </c>
      <c r="Q9" s="176" t="b">
        <v>0</v>
      </c>
      <c r="R9" s="55"/>
      <c r="S9" s="118" t="b">
        <v>0</v>
      </c>
      <c r="T9" s="177" t="b">
        <v>1</v>
      </c>
      <c r="U9" s="178">
        <v>44813.0</v>
      </c>
      <c r="V9" s="179">
        <v>0.5069444444444444</v>
      </c>
      <c r="W9" s="110" t="s">
        <v>339</v>
      </c>
      <c r="X9" s="202"/>
      <c r="Y9" s="118" t="b">
        <v>0</v>
      </c>
      <c r="Z9" s="172"/>
      <c r="AA9" s="196">
        <f t="shared" si="1"/>
        <v>0</v>
      </c>
      <c r="AB9" s="197" t="b">
        <f t="shared" si="2"/>
        <v>1</v>
      </c>
      <c r="AC9" s="169">
        <v>3.0</v>
      </c>
      <c r="AD9" s="169">
        <v>0.0</v>
      </c>
      <c r="AE9" s="169">
        <v>0.0</v>
      </c>
      <c r="AF9" s="169">
        <v>0.0</v>
      </c>
      <c r="AG9" s="169">
        <v>0.0</v>
      </c>
      <c r="AH9" s="169">
        <v>0.0</v>
      </c>
      <c r="AI9" s="169">
        <v>0.0</v>
      </c>
      <c r="AJ9" s="182" t="b">
        <v>0</v>
      </c>
      <c r="AK9" s="183">
        <v>1.0</v>
      </c>
      <c r="AL9" s="169">
        <v>0.0</v>
      </c>
      <c r="AM9" s="172" t="str">
        <f t="shared" si="21"/>
        <v/>
      </c>
      <c r="AN9" s="198" t="str">
        <f>IFNA(VLOOKUP($A9,'Tube Reactions'!$J$2:$K259,2,FALSE),"")</f>
        <v/>
      </c>
      <c r="AO9" s="199" t="str">
        <f t="shared" si="20"/>
        <v/>
      </c>
      <c r="AP9" s="186" t="str">
        <f t="shared" si="4"/>
        <v>Absent</v>
      </c>
      <c r="AQ9" s="187" t="b">
        <f t="shared" si="5"/>
        <v>0</v>
      </c>
      <c r="AR9" s="188">
        <v>8.0</v>
      </c>
      <c r="AS9" s="189"/>
      <c r="AT9" s="110"/>
      <c r="AU9" s="110" t="s">
        <v>321</v>
      </c>
      <c r="AV9" s="172"/>
      <c r="AW9" s="118"/>
      <c r="AX9" s="190"/>
      <c r="AY9" s="48"/>
      <c r="AZ9" s="55"/>
      <c r="BA9" s="191" t="b">
        <v>0</v>
      </c>
      <c r="BB9" s="18" t="str">
        <f t="shared" si="8"/>
        <v/>
      </c>
      <c r="BC9" s="18" t="str">
        <f t="shared" si="9"/>
        <v/>
      </c>
      <c r="BD9" s="48" t="str">
        <f t="shared" si="10"/>
        <v/>
      </c>
      <c r="BE9" s="192"/>
      <c r="BF9" s="76" t="str">
        <f t="shared" si="11"/>
        <v/>
      </c>
      <c r="BG9" s="114" t="str">
        <f t="shared" si="12"/>
        <v/>
      </c>
      <c r="BH9" s="83" t="str">
        <f t="shared" si="13"/>
        <v/>
      </c>
      <c r="BI9" s="83" t="str">
        <f t="shared" si="14"/>
        <v/>
      </c>
      <c r="BJ9" s="83" t="str">
        <f t="shared" si="15"/>
        <v/>
      </c>
      <c r="BK9" s="83" t="str">
        <f t="shared" si="16"/>
        <v/>
      </c>
      <c r="BL9" s="200">
        <f>IFNA(IF(VLOOKUP(FLOOR($B9,1),'APS Tubes by Date IMPORT'!$B$2:$J259,1,FALSE)=FLOOR($BL8,1),IFERROR(0/0,""),VLOOKUP(FLOOR($B9,1),'APS Tubes by Date IMPORT'!$B$2:$J259,1,FALSE)),"")</f>
        <v>44813</v>
      </c>
      <c r="BM9" s="83">
        <f>IF(ISBLANK($BL9),IFERROR(0/0,""),VLOOKUP(FLOOR($B9,1),'APS Tubes by Date IMPORT'!$B$2:$J259,2,FALSE))</f>
        <v>11</v>
      </c>
      <c r="BN9" s="114"/>
      <c r="BO9" s="83" t="str">
        <f>VLOOKUP(FLOOR($B9,1),'APS Tubes by Date IMPORT'!$B9:$I259,6,FALSE)</f>
        <v>#N/A</v>
      </c>
      <c r="BP9" s="83">
        <v>7.0</v>
      </c>
      <c r="BQ9" s="193">
        <f t="shared" si="17"/>
        <v>-4</v>
      </c>
      <c r="BR9" s="131">
        <v>3.0</v>
      </c>
      <c r="BS9" s="76" t="b">
        <f t="shared" si="18"/>
        <v>1</v>
      </c>
      <c r="BT9" s="194" t="str">
        <f t="shared" si="19"/>
        <v>Delete NULL</v>
      </c>
      <c r="BU9" s="195"/>
      <c r="BV9" s="195"/>
      <c r="BW9" s="195"/>
      <c r="BX9" s="195"/>
    </row>
    <row r="10">
      <c r="A10" s="18" t="str">
        <f>CONCATENATE("RUN-",'Process Ref'!$A$1,"_",TEXT(U10,"YYYY-MM-DD"),"_RFR-",TEXT(AR10,"000"),IF(EXACT(W10,"Initial"),"",CONCATENATE("_",W10)))</f>
        <v>RUN-ABRM_2022-09-10_RFR-009</v>
      </c>
      <c r="B10" s="168">
        <v>44814.31849537037</v>
      </c>
      <c r="C10" s="110"/>
      <c r="D10" s="110" t="s">
        <v>313</v>
      </c>
      <c r="E10" s="169">
        <v>2.0</v>
      </c>
      <c r="F10" s="110" t="s">
        <v>345</v>
      </c>
      <c r="G10" s="170" t="s">
        <v>346</v>
      </c>
      <c r="H10" s="170"/>
      <c r="I10" s="170" t="s">
        <v>347</v>
      </c>
      <c r="J10" s="169" t="s">
        <v>348</v>
      </c>
      <c r="K10" s="173" t="s">
        <v>349</v>
      </c>
      <c r="L10" s="131"/>
      <c r="M10" s="174"/>
      <c r="N10" s="174"/>
      <c r="O10" s="175"/>
      <c r="P10" s="118" t="b">
        <v>0</v>
      </c>
      <c r="Q10" s="176" t="b">
        <v>0</v>
      </c>
      <c r="R10" s="55"/>
      <c r="S10" s="118" t="b">
        <v>0</v>
      </c>
      <c r="T10" s="177" t="b">
        <v>0</v>
      </c>
      <c r="U10" s="178">
        <v>44814.0</v>
      </c>
      <c r="V10" s="179">
        <v>0.3090277777777778</v>
      </c>
      <c r="W10" s="110" t="s">
        <v>320</v>
      </c>
      <c r="X10" s="203" t="s">
        <v>350</v>
      </c>
      <c r="Y10" s="118" t="b">
        <v>0</v>
      </c>
      <c r="Z10" s="169">
        <v>8.0</v>
      </c>
      <c r="AA10" s="196">
        <f t="shared" si="1"/>
        <v>6</v>
      </c>
      <c r="AB10" s="197" t="b">
        <f t="shared" si="2"/>
        <v>1</v>
      </c>
      <c r="AC10" s="169">
        <v>6.0</v>
      </c>
      <c r="AD10" s="169">
        <v>0.0</v>
      </c>
      <c r="AE10" s="169">
        <v>0.0</v>
      </c>
      <c r="AF10" s="169">
        <v>0.0</v>
      </c>
      <c r="AG10" s="169">
        <v>0.0</v>
      </c>
      <c r="AH10" s="169">
        <v>0.0</v>
      </c>
      <c r="AI10" s="169">
        <v>0.0</v>
      </c>
      <c r="AJ10" s="182" t="b">
        <v>0</v>
      </c>
      <c r="AK10" s="183">
        <v>2.0</v>
      </c>
      <c r="AL10" s="169">
        <v>0.0</v>
      </c>
      <c r="AM10" s="169">
        <v>0.0</v>
      </c>
      <c r="AN10" s="198" t="str">
        <f>IFNA(VLOOKUP($A10,'Tube Reactions'!$J$2:$K259,2,FALSE),"")</f>
        <v/>
      </c>
      <c r="AO10" s="199" t="str">
        <f t="shared" si="20"/>
        <v/>
      </c>
      <c r="AP10" s="186" t="str">
        <f t="shared" si="4"/>
        <v>Absent</v>
      </c>
      <c r="AQ10" s="187" t="b">
        <f t="shared" si="5"/>
        <v>0</v>
      </c>
      <c r="AR10" s="188">
        <v>9.0</v>
      </c>
      <c r="AS10" s="189"/>
      <c r="AT10" s="110"/>
      <c r="AU10" s="110" t="s">
        <v>321</v>
      </c>
      <c r="AV10" s="169">
        <v>8.0</v>
      </c>
      <c r="AW10" s="118" t="b">
        <v>1</v>
      </c>
      <c r="AX10" s="190" t="b">
        <f t="shared" ref="AX10:AX15" si="22">IF(OR(AND(AL10=0,AW10),AND(AL10&lt;&gt;0,NOT(AW10))),TRUE,FALSE)</f>
        <v>1</v>
      </c>
      <c r="AY10" s="48">
        <f t="shared" ref="AY10:AY12" si="23">AV10-AC10</f>
        <v>2</v>
      </c>
      <c r="BA10" s="191" t="b">
        <v>1</v>
      </c>
      <c r="BB10" s="18" t="b">
        <f t="shared" si="8"/>
        <v>1</v>
      </c>
      <c r="BC10" s="18" t="b">
        <f t="shared" si="9"/>
        <v>1</v>
      </c>
      <c r="BD10" s="48">
        <f t="shared" si="10"/>
        <v>2</v>
      </c>
      <c r="BE10" s="192"/>
      <c r="BF10" s="76">
        <f t="shared" si="11"/>
        <v>44814</v>
      </c>
      <c r="BG10" s="114" t="str">
        <f t="shared" si="12"/>
        <v>RUN-ABRM_2022-09-10_RFR-009</v>
      </c>
      <c r="BH10" s="83">
        <f t="shared" si="13"/>
        <v>2</v>
      </c>
      <c r="BI10" s="83">
        <f t="shared" si="14"/>
        <v>6</v>
      </c>
      <c r="BJ10" s="83">
        <f t="shared" si="15"/>
        <v>2</v>
      </c>
      <c r="BK10" s="83">
        <f t="shared" si="16"/>
        <v>0</v>
      </c>
      <c r="BL10" s="200">
        <f>IFNA(IF(VLOOKUP(FLOOR($B10,1),'APS Tubes by Date IMPORT'!$B$2:$J259,1,FALSE)=FLOOR($BL9,1),IFERROR(0/0,""),VLOOKUP(FLOOR($B10,1),'APS Tubes by Date IMPORT'!$B$2:$J259,1,FALSE)),"")</f>
        <v>44814</v>
      </c>
      <c r="BM10" s="83">
        <f>IF(ISBLANK($BL10),IFERROR(0/0,""),VLOOKUP(FLOOR($B10,1),'APS Tubes by Date IMPORT'!$B$2:$J259,2,FALSE))</f>
        <v>2</v>
      </c>
      <c r="BN10" s="114"/>
      <c r="BO10" s="83" t="str">
        <f>VLOOKUP(FLOOR($B10,1),'APS Tubes by Date IMPORT'!$B10:$I259,6,FALSE)</f>
        <v>#N/A</v>
      </c>
      <c r="BP10" s="83">
        <v>7.0</v>
      </c>
      <c r="BQ10" s="193">
        <f t="shared" si="17"/>
        <v>5</v>
      </c>
      <c r="BR10" s="131">
        <v>3.0</v>
      </c>
      <c r="BS10" s="76" t="b">
        <f t="shared" si="18"/>
        <v>1</v>
      </c>
      <c r="BT10" s="194" t="str">
        <f t="shared" si="19"/>
        <v>Delete NULL</v>
      </c>
      <c r="BU10" s="195"/>
      <c r="BV10" s="195"/>
      <c r="BW10" s="195"/>
      <c r="BX10" s="195"/>
    </row>
    <row r="11">
      <c r="A11" s="18" t="str">
        <f>CONCATENATE("RUN-",'Process Ref'!$A$1,"_",TEXT(U11,"YYYY-MM-DD"),"_RFR-",TEXT(AR11,"000"),IF(EXACT(W11,"Initial"),"",CONCATENATE("_",W11)))</f>
        <v>RUN-ABRM_2022-09-12_RFR-010</v>
      </c>
      <c r="B11" s="168">
        <v>44816.39408564815</v>
      </c>
      <c r="C11" s="110"/>
      <c r="D11" s="110" t="s">
        <v>313</v>
      </c>
      <c r="E11" s="169">
        <v>14.0</v>
      </c>
      <c r="F11" s="110" t="s">
        <v>351</v>
      </c>
      <c r="G11" s="170" t="s">
        <v>352</v>
      </c>
      <c r="H11" s="170" t="s">
        <v>353</v>
      </c>
      <c r="I11" s="170" t="s">
        <v>354</v>
      </c>
      <c r="J11" s="131"/>
      <c r="K11" s="207"/>
      <c r="L11" s="131"/>
      <c r="M11" s="174"/>
      <c r="N11" s="174"/>
      <c r="O11" s="175"/>
      <c r="P11" s="118" t="b">
        <v>0</v>
      </c>
      <c r="Q11" s="176" t="b">
        <v>0</v>
      </c>
      <c r="R11" s="55"/>
      <c r="S11" s="118" t="b">
        <v>0</v>
      </c>
      <c r="T11" s="177" t="b">
        <v>0</v>
      </c>
      <c r="U11" s="178">
        <v>44816.0</v>
      </c>
      <c r="V11" s="179">
        <v>0.4166666666666667</v>
      </c>
      <c r="W11" s="110" t="s">
        <v>320</v>
      </c>
      <c r="X11" s="180"/>
      <c r="Y11" s="118" t="b">
        <v>0</v>
      </c>
      <c r="Z11" s="169">
        <v>14.0</v>
      </c>
      <c r="AA11" s="196">
        <f t="shared" si="1"/>
        <v>0</v>
      </c>
      <c r="AB11" s="197" t="b">
        <f t="shared" si="2"/>
        <v>1</v>
      </c>
      <c r="AC11" s="169">
        <v>12.0</v>
      </c>
      <c r="AD11" s="169">
        <v>0.0</v>
      </c>
      <c r="AE11" s="169">
        <v>0.0</v>
      </c>
      <c r="AF11" s="169">
        <v>0.0</v>
      </c>
      <c r="AG11" s="169">
        <v>0.0</v>
      </c>
      <c r="AH11" s="169">
        <v>0.0</v>
      </c>
      <c r="AI11" s="169">
        <v>0.0</v>
      </c>
      <c r="AJ11" s="182" t="b">
        <v>0</v>
      </c>
      <c r="AK11" s="183">
        <v>12.0</v>
      </c>
      <c r="AL11" s="169">
        <v>0.0</v>
      </c>
      <c r="AM11" s="169">
        <v>0.0</v>
      </c>
      <c r="AN11" s="198" t="str">
        <f>IFNA(VLOOKUP($A11,'Tube Reactions'!$J$2:$K259,2,FALSE),"")</f>
        <v/>
      </c>
      <c r="AO11" s="199" t="str">
        <f t="shared" si="20"/>
        <v/>
      </c>
      <c r="AP11" s="186" t="str">
        <f t="shared" si="4"/>
        <v/>
      </c>
      <c r="AQ11" s="187" t="b">
        <f t="shared" si="5"/>
        <v>1</v>
      </c>
      <c r="AR11" s="188">
        <v>10.0</v>
      </c>
      <c r="AS11" s="189"/>
      <c r="AT11" s="110"/>
      <c r="AU11" s="110" t="s">
        <v>321</v>
      </c>
      <c r="AV11" s="169">
        <v>14.0</v>
      </c>
      <c r="AW11" s="118" t="b">
        <v>1</v>
      </c>
      <c r="AX11" s="190" t="b">
        <f t="shared" si="22"/>
        <v>1</v>
      </c>
      <c r="AY11" s="48">
        <f t="shared" si="23"/>
        <v>2</v>
      </c>
      <c r="BA11" s="191" t="b">
        <v>1</v>
      </c>
      <c r="BB11" s="18" t="b">
        <f t="shared" si="8"/>
        <v>1</v>
      </c>
      <c r="BC11" s="18" t="b">
        <f t="shared" si="9"/>
        <v>1</v>
      </c>
      <c r="BD11" s="48">
        <f t="shared" si="10"/>
        <v>12</v>
      </c>
      <c r="BE11" s="192"/>
      <c r="BF11" s="76">
        <f t="shared" si="11"/>
        <v>44816</v>
      </c>
      <c r="BG11" s="114" t="str">
        <f t="shared" si="12"/>
        <v>RUN-ABRM_2022-09-12_RFR-010</v>
      </c>
      <c r="BH11" s="83">
        <f t="shared" si="13"/>
        <v>14</v>
      </c>
      <c r="BI11" s="83">
        <f t="shared" si="14"/>
        <v>12</v>
      </c>
      <c r="BJ11" s="83">
        <f t="shared" si="15"/>
        <v>12</v>
      </c>
      <c r="BK11" s="83">
        <f t="shared" si="16"/>
        <v>0</v>
      </c>
      <c r="BL11" s="200">
        <f>IFNA(IF(VLOOKUP(FLOOR($B11,1),'APS Tubes by Date IMPORT'!$B$2:$J259,1,FALSE)=FLOOR($BL10,1),IFERROR(0/0,""),VLOOKUP(FLOOR($B11,1),'APS Tubes by Date IMPORT'!$B$2:$J259,1,FALSE)),"")</f>
        <v>44816</v>
      </c>
      <c r="BM11" s="83">
        <f>IF(ISBLANK($BL11),IFERROR(0/0,""),VLOOKUP(FLOOR($B11,1),'APS Tubes by Date IMPORT'!$B$2:$J259,2,FALSE))</f>
        <v>12</v>
      </c>
      <c r="BN11" s="114"/>
      <c r="BO11" s="83" t="str">
        <f>VLOOKUP(FLOOR($B11,1),'APS Tubes by Date IMPORT'!$B11:$I259,6,FALSE)</f>
        <v>#N/A</v>
      </c>
      <c r="BP11" s="83">
        <v>7.0</v>
      </c>
      <c r="BQ11" s="193">
        <f t="shared" si="17"/>
        <v>-5</v>
      </c>
      <c r="BR11" s="131">
        <v>3.0</v>
      </c>
      <c r="BS11" s="76" t="b">
        <f t="shared" si="18"/>
        <v>1</v>
      </c>
      <c r="BT11" s="194" t="str">
        <f t="shared" si="19"/>
        <v>Delete NULL</v>
      </c>
      <c r="BU11" s="195"/>
      <c r="BV11" s="195"/>
      <c r="BW11" s="195"/>
      <c r="BX11" s="195"/>
    </row>
    <row r="12">
      <c r="A12" s="18" t="str">
        <f>CONCATENATE("RUN-",'Process Ref'!$A$1,"_",TEXT(U12,"YYYY-MM-DD"),"_RFR-",TEXT(AR12,"000"),IF(EXACT(W12,"Initial"),"",CONCATENATE("_",W12)))</f>
        <v>RUN-ABRM_2022-09-13_RFR-011</v>
      </c>
      <c r="B12" s="168">
        <v>44817.412199074075</v>
      </c>
      <c r="C12" s="110"/>
      <c r="D12" s="110" t="s">
        <v>313</v>
      </c>
      <c r="E12" s="169">
        <v>15.0</v>
      </c>
      <c r="F12" s="110" t="s">
        <v>355</v>
      </c>
      <c r="G12" s="171" t="s">
        <v>356</v>
      </c>
      <c r="H12" s="171" t="s">
        <v>357</v>
      </c>
      <c r="I12" s="171" t="s">
        <v>358</v>
      </c>
      <c r="J12" s="169">
        <v>1.0</v>
      </c>
      <c r="K12" s="173" t="s">
        <v>359</v>
      </c>
      <c r="L12" s="131"/>
      <c r="M12" s="174"/>
      <c r="N12" s="174"/>
      <c r="O12" s="175"/>
      <c r="P12" s="118" t="b">
        <v>0</v>
      </c>
      <c r="Q12" s="176" t="b">
        <v>0</v>
      </c>
      <c r="R12" s="55"/>
      <c r="S12" s="118" t="b">
        <v>0</v>
      </c>
      <c r="T12" s="177" t="b">
        <v>1</v>
      </c>
      <c r="U12" s="178">
        <v>44817.0</v>
      </c>
      <c r="V12" s="179">
        <v>0.3993055555555556</v>
      </c>
      <c r="W12" s="110" t="s">
        <v>320</v>
      </c>
      <c r="X12" s="180"/>
      <c r="Y12" s="118" t="b">
        <v>1</v>
      </c>
      <c r="Z12" s="169">
        <v>15.0</v>
      </c>
      <c r="AA12" s="196">
        <f t="shared" si="1"/>
        <v>0</v>
      </c>
      <c r="AB12" s="197" t="b">
        <f t="shared" si="2"/>
        <v>1</v>
      </c>
      <c r="AC12" s="169">
        <v>13.0</v>
      </c>
      <c r="AD12" s="169">
        <v>1.0</v>
      </c>
      <c r="AE12" s="169">
        <v>1.0</v>
      </c>
      <c r="AF12" s="169">
        <v>0.0</v>
      </c>
      <c r="AG12" s="169">
        <v>0.0</v>
      </c>
      <c r="AH12" s="169">
        <v>0.0</v>
      </c>
      <c r="AI12" s="169">
        <v>0.0</v>
      </c>
      <c r="AJ12" s="182" t="b">
        <v>0</v>
      </c>
      <c r="AK12" s="183">
        <v>13.0</v>
      </c>
      <c r="AL12" s="169">
        <v>1.1</v>
      </c>
      <c r="AM12" s="169">
        <v>1.0</v>
      </c>
      <c r="AN12" s="198" t="str">
        <f>IFNA(VLOOKUP($A12,'Tube Reactions'!$J$2:$K259,2,FALSE),"")</f>
        <v/>
      </c>
      <c r="AO12" s="199" t="str">
        <f t="shared" si="20"/>
        <v>NOT EQUAL</v>
      </c>
      <c r="AP12" s="186" t="str">
        <f t="shared" si="4"/>
        <v/>
      </c>
      <c r="AQ12" s="187" t="b">
        <f t="shared" si="5"/>
        <v>1</v>
      </c>
      <c r="AR12" s="188">
        <v>11.0</v>
      </c>
      <c r="AS12" s="189"/>
      <c r="AT12" s="110"/>
      <c r="AU12" s="110" t="s">
        <v>321</v>
      </c>
      <c r="AV12" s="169">
        <v>15.0</v>
      </c>
      <c r="AW12" s="118" t="b">
        <v>0</v>
      </c>
      <c r="AX12" s="190" t="b">
        <f t="shared" si="22"/>
        <v>1</v>
      </c>
      <c r="AY12" s="48">
        <f t="shared" si="23"/>
        <v>2</v>
      </c>
      <c r="BA12" s="191" t="b">
        <v>0</v>
      </c>
      <c r="BB12" s="18" t="str">
        <f t="shared" si="8"/>
        <v/>
      </c>
      <c r="BC12" s="18" t="str">
        <f t="shared" si="9"/>
        <v/>
      </c>
      <c r="BD12" s="48" t="str">
        <f t="shared" si="10"/>
        <v/>
      </c>
      <c r="BE12" s="192"/>
      <c r="BF12" s="76">
        <f t="shared" si="11"/>
        <v>44817</v>
      </c>
      <c r="BG12" s="114" t="str">
        <f t="shared" si="12"/>
        <v>RUN-ABRM_2022-09-13_RFR-011</v>
      </c>
      <c r="BH12" s="83">
        <f t="shared" si="13"/>
        <v>15</v>
      </c>
      <c r="BI12" s="83">
        <f t="shared" si="14"/>
        <v>13</v>
      </c>
      <c r="BJ12" s="83">
        <f t="shared" si="15"/>
        <v>13</v>
      </c>
      <c r="BK12" s="83">
        <f t="shared" si="16"/>
        <v>1.1</v>
      </c>
      <c r="BL12" s="200">
        <f>IFNA(IF(VLOOKUP(FLOOR($B12,1),'APS Tubes by Date IMPORT'!$B$2:$J259,1,FALSE)=FLOOR($BL11,1),IFERROR(0/0,""),VLOOKUP(FLOOR($B12,1),'APS Tubes by Date IMPORT'!$B$2:$J259,1,FALSE)),"")</f>
        <v>44817</v>
      </c>
      <c r="BM12" s="83">
        <f>IF(ISBLANK($BL12),IFERROR(0/0,""),VLOOKUP(FLOOR($B12,1),'APS Tubes by Date IMPORT'!$B$2:$J259,2,FALSE))</f>
        <v>13</v>
      </c>
      <c r="BN12" s="114"/>
      <c r="BO12" s="83" t="str">
        <f>VLOOKUP(FLOOR($B12,1),'APS Tubes by Date IMPORT'!$B12:$I259,6,FALSE)</f>
        <v>#N/A</v>
      </c>
      <c r="BP12" s="83">
        <v>7.0</v>
      </c>
      <c r="BQ12" s="193">
        <f t="shared" si="17"/>
        <v>-6</v>
      </c>
      <c r="BR12" s="131">
        <v>3.0</v>
      </c>
      <c r="BS12" s="76" t="b">
        <f t="shared" si="18"/>
        <v>1</v>
      </c>
      <c r="BT12" s="194" t="str">
        <f t="shared" si="19"/>
        <v>Delete NULL</v>
      </c>
      <c r="BU12" s="195"/>
      <c r="BV12" s="195"/>
      <c r="BW12" s="195"/>
      <c r="BX12" s="195"/>
    </row>
    <row r="13">
      <c r="A13" s="18" t="str">
        <f>CONCATENATE("RUN-",'Process Ref'!$A$1,"_",TEXT(U13,"YYYY-MM-DD"),"_RFR-",TEXT(AR13,"000"),IF(EXACT(W13,"Initial"),"",CONCATENATE("_",W13)))</f>
        <v>RUN-ABRM_2022-09-13_RFR-012_Re-run</v>
      </c>
      <c r="B13" s="168">
        <v>44817.412199074075</v>
      </c>
      <c r="C13" s="110"/>
      <c r="D13" s="110" t="s">
        <v>313</v>
      </c>
      <c r="E13" s="131"/>
      <c r="F13" s="110" t="s">
        <v>355</v>
      </c>
      <c r="G13" s="171" t="s">
        <v>356</v>
      </c>
      <c r="H13" s="202"/>
      <c r="I13" s="203" t="s">
        <v>360</v>
      </c>
      <c r="J13" s="131"/>
      <c r="K13" s="207"/>
      <c r="L13" s="131"/>
      <c r="M13" s="174"/>
      <c r="N13" s="174"/>
      <c r="O13" s="175"/>
      <c r="P13" s="118" t="b">
        <v>0</v>
      </c>
      <c r="Q13" s="176" t="b">
        <v>0</v>
      </c>
      <c r="R13" s="55"/>
      <c r="S13" s="118" t="b">
        <v>1</v>
      </c>
      <c r="T13" s="177" t="b">
        <v>1</v>
      </c>
      <c r="U13" s="178">
        <v>44817.0</v>
      </c>
      <c r="V13" s="179">
        <v>0.4409722222222222</v>
      </c>
      <c r="W13" s="110" t="s">
        <v>339</v>
      </c>
      <c r="X13" s="180"/>
      <c r="Y13" s="118" t="b">
        <v>0</v>
      </c>
      <c r="Z13" s="172"/>
      <c r="AA13" s="196">
        <f t="shared" si="1"/>
        <v>0</v>
      </c>
      <c r="AB13" s="197" t="b">
        <f t="shared" si="2"/>
        <v>1</v>
      </c>
      <c r="AC13" s="169">
        <v>3.0</v>
      </c>
      <c r="AD13" s="169">
        <v>0.0</v>
      </c>
      <c r="AE13" s="169">
        <v>0.0</v>
      </c>
      <c r="AF13" s="169">
        <v>0.0</v>
      </c>
      <c r="AG13" s="169">
        <v>0.0</v>
      </c>
      <c r="AH13" s="169">
        <v>0.0</v>
      </c>
      <c r="AI13" s="169">
        <v>0.0</v>
      </c>
      <c r="AJ13" s="182" t="b">
        <v>0</v>
      </c>
      <c r="AK13" s="183">
        <v>1.0</v>
      </c>
      <c r="AL13" s="169">
        <v>0.0</v>
      </c>
      <c r="AM13" s="169"/>
      <c r="AN13" s="198" t="str">
        <f>IFNA(VLOOKUP($A13,'Tube Reactions'!$J$2:$K259,2,FALSE),"")</f>
        <v/>
      </c>
      <c r="AO13" s="199" t="str">
        <f t="shared" si="20"/>
        <v/>
      </c>
      <c r="AP13" s="186" t="str">
        <f t="shared" si="4"/>
        <v>Absent</v>
      </c>
      <c r="AQ13" s="187" t="b">
        <f t="shared" si="5"/>
        <v>0</v>
      </c>
      <c r="AR13" s="188">
        <v>12.0</v>
      </c>
      <c r="AS13" s="189"/>
      <c r="AT13" s="110"/>
      <c r="AU13" s="110" t="s">
        <v>321</v>
      </c>
      <c r="AV13" s="172"/>
      <c r="AW13" s="118" t="b">
        <v>0</v>
      </c>
      <c r="AX13" s="190" t="b">
        <f t="shared" si="22"/>
        <v>0</v>
      </c>
      <c r="AY13" s="48"/>
      <c r="BA13" s="191" t="b">
        <v>0</v>
      </c>
      <c r="BB13" s="18" t="str">
        <f t="shared" si="8"/>
        <v/>
      </c>
      <c r="BC13" s="18" t="str">
        <f t="shared" si="9"/>
        <v/>
      </c>
      <c r="BD13" s="48" t="str">
        <f t="shared" si="10"/>
        <v/>
      </c>
      <c r="BE13" s="192"/>
      <c r="BF13" s="76" t="str">
        <f t="shared" si="11"/>
        <v/>
      </c>
      <c r="BG13" s="114" t="str">
        <f t="shared" si="12"/>
        <v/>
      </c>
      <c r="BH13" s="83" t="str">
        <f t="shared" si="13"/>
        <v/>
      </c>
      <c r="BI13" s="83" t="str">
        <f t="shared" si="14"/>
        <v/>
      </c>
      <c r="BJ13" s="83" t="str">
        <f t="shared" si="15"/>
        <v/>
      </c>
      <c r="BK13" s="83" t="str">
        <f t="shared" si="16"/>
        <v/>
      </c>
      <c r="BL13" s="200" t="str">
        <f>IFNA(IF(VLOOKUP(FLOOR($B13,1),'APS Tubes by Date IMPORT'!$B$2:$J259,1,FALSE)=FLOOR($BL12,1),IFERROR(0/0,""),VLOOKUP(FLOOR($B13,1),'APS Tubes by Date IMPORT'!$B$2:$J259,1,FALSE)),"")</f>
        <v/>
      </c>
      <c r="BM13" s="83" t="str">
        <f>IF(ISBLANK($BL13),IFERROR(0/0,""),VLOOKUP(FLOOR($B13,1),'APS Tubes by Date IMPORT'!$B$2:$J259,2,FALSE))</f>
        <v/>
      </c>
      <c r="BN13" s="114"/>
      <c r="BO13" s="83" t="str">
        <f>VLOOKUP(FLOOR($B13,1),'APS Tubes by Date IMPORT'!$B13:$I259,6,FALSE)</f>
        <v>#N/A</v>
      </c>
      <c r="BP13" s="83">
        <v>7.0</v>
      </c>
      <c r="BQ13" s="193">
        <f t="shared" si="17"/>
        <v>7</v>
      </c>
      <c r="BR13" s="131">
        <v>3.0</v>
      </c>
      <c r="BS13" s="76" t="b">
        <f t="shared" si="18"/>
        <v>1</v>
      </c>
      <c r="BT13" s="194" t="str">
        <f t="shared" si="19"/>
        <v>Delete NULL</v>
      </c>
      <c r="BU13" s="195"/>
      <c r="BV13" s="195"/>
      <c r="BW13" s="195"/>
      <c r="BX13" s="195"/>
    </row>
    <row r="14">
      <c r="A14" s="18" t="str">
        <f>CONCATENATE("RUN-",'Process Ref'!$A$1,"_",TEXT(U14,"YYYY-MM-DD"),"_RFR-",TEXT(AR14,"000"),IF(EXACT(W14,"Initial"),"",CONCATENATE("_",W14)))</f>
        <v>RUN-ABRM_2022-09-14_RFR-013</v>
      </c>
      <c r="B14" s="168">
        <v>44818.40149305556</v>
      </c>
      <c r="C14" s="110"/>
      <c r="D14" s="110" t="s">
        <v>313</v>
      </c>
      <c r="E14" s="131">
        <v>11.0</v>
      </c>
      <c r="F14" s="110" t="s">
        <v>361</v>
      </c>
      <c r="G14" s="170" t="s">
        <v>362</v>
      </c>
      <c r="H14" s="170" t="s">
        <v>363</v>
      </c>
      <c r="I14" s="170" t="s">
        <v>364</v>
      </c>
      <c r="J14" s="131"/>
      <c r="K14" s="207"/>
      <c r="L14" s="131"/>
      <c r="M14" s="174">
        <v>1.8</v>
      </c>
      <c r="N14" s="174"/>
      <c r="O14" s="175" t="s">
        <v>365</v>
      </c>
      <c r="P14" s="118" t="b">
        <v>0</v>
      </c>
      <c r="Q14" s="176" t="b">
        <v>0</v>
      </c>
      <c r="R14" s="55"/>
      <c r="S14" s="118" t="b">
        <v>0</v>
      </c>
      <c r="T14" s="177" t="b">
        <v>0</v>
      </c>
      <c r="U14" s="178">
        <v>44818.0</v>
      </c>
      <c r="V14" s="179">
        <v>0.4027777777777778</v>
      </c>
      <c r="W14" s="110" t="s">
        <v>320</v>
      </c>
      <c r="X14" s="180"/>
      <c r="Y14" s="118" t="b">
        <v>0</v>
      </c>
      <c r="Z14" s="172"/>
      <c r="AA14" s="196">
        <f t="shared" si="1"/>
        <v>-11</v>
      </c>
      <c r="AB14" s="197" t="b">
        <f t="shared" si="2"/>
        <v>1</v>
      </c>
      <c r="AC14" s="169">
        <v>9.0</v>
      </c>
      <c r="AD14" s="169">
        <v>0.0</v>
      </c>
      <c r="AE14" s="169">
        <v>0.0</v>
      </c>
      <c r="AF14" s="169">
        <v>0.0</v>
      </c>
      <c r="AG14" s="169">
        <v>0.0</v>
      </c>
      <c r="AH14" s="169">
        <v>0.0</v>
      </c>
      <c r="AI14" s="169">
        <v>0.0</v>
      </c>
      <c r="AJ14" s="182" t="b">
        <v>0</v>
      </c>
      <c r="AK14" s="183">
        <v>9.0</v>
      </c>
      <c r="AL14" s="169">
        <v>0.0</v>
      </c>
      <c r="AM14" s="169">
        <v>0.0</v>
      </c>
      <c r="AN14" s="198" t="str">
        <f>IFNA(VLOOKUP($A14,'Tube Reactions'!$J$2:$K259,2,FALSE),"")</f>
        <v/>
      </c>
      <c r="AO14" s="199" t="str">
        <f t="shared" si="20"/>
        <v/>
      </c>
      <c r="AP14" s="186" t="str">
        <f t="shared" si="4"/>
        <v/>
      </c>
      <c r="AQ14" s="187" t="b">
        <f t="shared" si="5"/>
        <v>1</v>
      </c>
      <c r="AR14" s="188">
        <v>13.0</v>
      </c>
      <c r="AS14" s="189"/>
      <c r="AT14" s="110"/>
      <c r="AU14" s="110" t="s">
        <v>321</v>
      </c>
      <c r="AV14" s="169">
        <v>11.0</v>
      </c>
      <c r="AW14" s="118" t="b">
        <v>1</v>
      </c>
      <c r="AX14" s="190" t="b">
        <f t="shared" si="22"/>
        <v>1</v>
      </c>
      <c r="AY14" s="48">
        <f t="shared" ref="AY14:AY16" si="24">AV14-AC14</f>
        <v>2</v>
      </c>
      <c r="BA14" s="191" t="b">
        <v>1</v>
      </c>
      <c r="BB14" s="18" t="b">
        <f t="shared" si="8"/>
        <v>1</v>
      </c>
      <c r="BC14" s="18" t="b">
        <f t="shared" si="9"/>
        <v>1</v>
      </c>
      <c r="BD14" s="48">
        <f t="shared" si="10"/>
        <v>9</v>
      </c>
      <c r="BE14" s="192"/>
      <c r="BF14" s="76">
        <f t="shared" si="11"/>
        <v>44818</v>
      </c>
      <c r="BG14" s="114" t="str">
        <f t="shared" si="12"/>
        <v>RUN-ABRM_2022-09-14_RFR-013</v>
      </c>
      <c r="BH14" s="83">
        <f t="shared" si="13"/>
        <v>11</v>
      </c>
      <c r="BI14" s="83">
        <f t="shared" si="14"/>
        <v>9</v>
      </c>
      <c r="BJ14" s="83">
        <f t="shared" si="15"/>
        <v>9</v>
      </c>
      <c r="BK14" s="83">
        <f t="shared" si="16"/>
        <v>0</v>
      </c>
      <c r="BL14" s="200">
        <f>IFNA(IF(VLOOKUP(FLOOR($B14,1),'APS Tubes by Date IMPORT'!$B$2:$J259,1,FALSE)=FLOOR($BL13,1),IFERROR(0/0,""),VLOOKUP(FLOOR($B14,1),'APS Tubes by Date IMPORT'!$B$2:$J259,1,FALSE)),"")</f>
        <v>44818</v>
      </c>
      <c r="BM14" s="83">
        <f>IF(ISBLANK($BL14),IFERROR(0/0,""),VLOOKUP(FLOOR($B14,1),'APS Tubes by Date IMPORT'!$B$2:$J259,2,FALSE))</f>
        <v>9</v>
      </c>
      <c r="BN14" s="114"/>
      <c r="BO14" s="83" t="str">
        <f>VLOOKUP(FLOOR($B14,1),'APS Tubes by Date IMPORT'!$B14:$I259,6,FALSE)</f>
        <v>#N/A</v>
      </c>
      <c r="BP14" s="83">
        <v>7.0</v>
      </c>
      <c r="BQ14" s="193">
        <f t="shared" si="17"/>
        <v>-2</v>
      </c>
      <c r="BR14" s="131">
        <v>3.0</v>
      </c>
      <c r="BS14" s="76" t="b">
        <f t="shared" si="18"/>
        <v>1</v>
      </c>
      <c r="BT14" s="194" t="str">
        <f t="shared" si="19"/>
        <v>Delete NULL</v>
      </c>
      <c r="BU14" s="195"/>
      <c r="BV14" s="195"/>
      <c r="BW14" s="195"/>
      <c r="BX14" s="195"/>
    </row>
    <row r="15">
      <c r="A15" s="18" t="str">
        <f>CONCATENATE("RUN-",'Process Ref'!$A$1,"_",TEXT(U15,"YYYY-MM-DD"),"_RFR-",TEXT(AR15,"000"),IF(EXACT(W15,"Initial"),"",CONCATENATE("_",W15)))</f>
        <v>RUN-ABRM_2022-09-15_RFR-014</v>
      </c>
      <c r="B15" s="168">
        <v>44819.39443287037</v>
      </c>
      <c r="C15" s="110"/>
      <c r="D15" s="110" t="s">
        <v>313</v>
      </c>
      <c r="E15" s="169">
        <v>12.0</v>
      </c>
      <c r="F15" s="110" t="s">
        <v>366</v>
      </c>
      <c r="G15" s="170" t="s">
        <v>367</v>
      </c>
      <c r="H15" s="170" t="s">
        <v>368</v>
      </c>
      <c r="I15" s="208" t="s">
        <v>369</v>
      </c>
      <c r="J15" s="172"/>
      <c r="K15" s="173" t="s">
        <v>370</v>
      </c>
      <c r="L15" s="131"/>
      <c r="M15" s="209">
        <v>1.2</v>
      </c>
      <c r="N15" s="174"/>
      <c r="O15" s="210"/>
      <c r="P15" s="118" t="b">
        <v>0</v>
      </c>
      <c r="Q15" s="176" t="b">
        <v>1</v>
      </c>
      <c r="R15" s="55"/>
      <c r="S15" s="118" t="b">
        <v>0</v>
      </c>
      <c r="T15" s="177" t="b">
        <v>0</v>
      </c>
      <c r="U15" s="178">
        <v>44819.0</v>
      </c>
      <c r="V15" s="179">
        <v>0.3958333333333333</v>
      </c>
      <c r="W15" s="110" t="s">
        <v>320</v>
      </c>
      <c r="X15" s="180"/>
      <c r="Y15" s="118" t="b">
        <v>0</v>
      </c>
      <c r="Z15" s="169">
        <v>12.0</v>
      </c>
      <c r="AA15" s="196">
        <f t="shared" si="1"/>
        <v>0</v>
      </c>
      <c r="AB15" s="197" t="b">
        <f t="shared" si="2"/>
        <v>1</v>
      </c>
      <c r="AC15" s="85">
        <v>10.0</v>
      </c>
      <c r="AD15" s="169">
        <v>0.0</v>
      </c>
      <c r="AE15" s="169">
        <v>0.0</v>
      </c>
      <c r="AF15" s="169">
        <v>0.0</v>
      </c>
      <c r="AG15" s="169">
        <v>0.0</v>
      </c>
      <c r="AH15" s="169">
        <v>0.0</v>
      </c>
      <c r="AI15" s="169">
        <v>0.0</v>
      </c>
      <c r="AJ15" s="182" t="b">
        <v>1</v>
      </c>
      <c r="AK15" s="183">
        <v>10.0</v>
      </c>
      <c r="AL15" s="169">
        <v>0.0</v>
      </c>
      <c r="AM15" s="169">
        <v>0.0</v>
      </c>
      <c r="AN15" s="198" t="str">
        <f>IFNA(VLOOKUP($A15,'Tube Reactions'!$J$2:$K259,2,FALSE),"")</f>
        <v/>
      </c>
      <c r="AO15" s="199" t="str">
        <f t="shared" si="20"/>
        <v/>
      </c>
      <c r="AP15" s="186" t="str">
        <f t="shared" si="4"/>
        <v/>
      </c>
      <c r="AQ15" s="187" t="b">
        <f t="shared" si="5"/>
        <v>1</v>
      </c>
      <c r="AR15" s="188">
        <v>14.0</v>
      </c>
      <c r="AS15" s="189" t="s">
        <v>371</v>
      </c>
      <c r="AT15" s="110"/>
      <c r="AU15" s="110" t="s">
        <v>321</v>
      </c>
      <c r="AV15" s="169"/>
      <c r="AW15" s="118"/>
      <c r="AX15" s="190" t="b">
        <f t="shared" si="22"/>
        <v>1</v>
      </c>
      <c r="AY15" s="48">
        <f t="shared" si="24"/>
        <v>-10</v>
      </c>
      <c r="BA15" s="191" t="b">
        <v>1</v>
      </c>
      <c r="BB15" s="18" t="b">
        <f t="shared" si="8"/>
        <v>1</v>
      </c>
      <c r="BC15" s="18" t="b">
        <f t="shared" si="9"/>
        <v>1</v>
      </c>
      <c r="BD15" s="48">
        <f t="shared" si="10"/>
        <v>10</v>
      </c>
      <c r="BE15" s="192"/>
      <c r="BF15" s="76">
        <f t="shared" si="11"/>
        <v>44819</v>
      </c>
      <c r="BG15" s="114" t="str">
        <f t="shared" si="12"/>
        <v>RUN-ABRM_2022-09-15_RFR-014</v>
      </c>
      <c r="BH15" s="83">
        <f t="shared" si="13"/>
        <v>12</v>
      </c>
      <c r="BI15" s="83">
        <f t="shared" si="14"/>
        <v>10</v>
      </c>
      <c r="BJ15" s="83">
        <f t="shared" si="15"/>
        <v>10</v>
      </c>
      <c r="BK15" s="83">
        <f t="shared" si="16"/>
        <v>0</v>
      </c>
      <c r="BL15" s="200">
        <f>IFNA(IF(VLOOKUP(FLOOR($B15,1),'APS Tubes by Date IMPORT'!$B$2:$J259,1,FALSE)=FLOOR($BL14,1),IFERROR(0/0,""),VLOOKUP(FLOOR($B15,1),'APS Tubes by Date IMPORT'!$B$2:$J259,1,FALSE)),"")</f>
        <v>44819</v>
      </c>
      <c r="BM15" s="83">
        <f>IF(ISBLANK($BL15),IFERROR(0/0,""),VLOOKUP(FLOOR($B15,1),'APS Tubes by Date IMPORT'!$B$2:$J259,2,FALSE))</f>
        <v>10</v>
      </c>
      <c r="BN15" s="114"/>
      <c r="BO15" s="83" t="str">
        <f>VLOOKUP(FLOOR($B15,1),'APS Tubes by Date IMPORT'!$B15:$I259,6,FALSE)</f>
        <v>#N/A</v>
      </c>
      <c r="BP15" s="83">
        <v>7.0</v>
      </c>
      <c r="BQ15" s="193">
        <f t="shared" si="17"/>
        <v>-3</v>
      </c>
      <c r="BR15" s="131">
        <v>3.0</v>
      </c>
      <c r="BS15" s="76" t="b">
        <f t="shared" si="18"/>
        <v>1</v>
      </c>
      <c r="BT15" s="194" t="str">
        <f t="shared" si="19"/>
        <v>Delete NULL</v>
      </c>
      <c r="BU15" s="195"/>
      <c r="BV15" s="195"/>
      <c r="BW15" s="195"/>
      <c r="BX15" s="195"/>
    </row>
    <row r="16">
      <c r="A16" s="18" t="str">
        <f>CONCATENATE("RUN-",'Process Ref'!$A$1,"_",TEXT(U16,"YYYY-MM-DD"),"_RFR-",TEXT(AR16,"000"),IF(EXACT(W16,"Initial"),"",CONCATENATE("_",W16)))</f>
        <v>RUN-ABRM_2022-09-16_RFR-015</v>
      </c>
      <c r="B16" s="168">
        <v>44820.4271875</v>
      </c>
      <c r="C16" s="110"/>
      <c r="D16" s="110" t="s">
        <v>313</v>
      </c>
      <c r="E16" s="169">
        <v>8.0</v>
      </c>
      <c r="F16" s="110" t="s">
        <v>372</v>
      </c>
      <c r="G16" s="171" t="s">
        <v>373</v>
      </c>
      <c r="H16" s="171" t="s">
        <v>374</v>
      </c>
      <c r="I16" s="171" t="s">
        <v>375</v>
      </c>
      <c r="J16" s="169">
        <v>1.0</v>
      </c>
      <c r="K16" s="204"/>
      <c r="L16" s="131"/>
      <c r="M16" s="209"/>
      <c r="N16" s="209">
        <v>2.1</v>
      </c>
      <c r="O16" s="210"/>
      <c r="P16" s="118" t="b">
        <v>1</v>
      </c>
      <c r="Q16" s="176" t="b">
        <v>0</v>
      </c>
      <c r="R16" s="55"/>
      <c r="S16" s="118" t="b">
        <v>0</v>
      </c>
      <c r="T16" s="177" t="b">
        <v>1</v>
      </c>
      <c r="U16" s="178">
        <v>44820.0</v>
      </c>
      <c r="V16" s="179">
        <v>0.3541666666666667</v>
      </c>
      <c r="W16" s="110" t="s">
        <v>320</v>
      </c>
      <c r="X16" s="203" t="s">
        <v>376</v>
      </c>
      <c r="Y16" s="118" t="b">
        <v>1</v>
      </c>
      <c r="Z16" s="169">
        <v>10.0</v>
      </c>
      <c r="AA16" s="196">
        <f t="shared" si="1"/>
        <v>2</v>
      </c>
      <c r="AB16" s="197" t="b">
        <f t="shared" si="2"/>
        <v>0</v>
      </c>
      <c r="AC16" s="169">
        <v>8.0</v>
      </c>
      <c r="AD16" s="169">
        <v>0.0</v>
      </c>
      <c r="AE16" s="169">
        <v>0.0</v>
      </c>
      <c r="AF16" s="169">
        <v>0.0</v>
      </c>
      <c r="AG16" s="169">
        <v>0.0</v>
      </c>
      <c r="AH16" s="169">
        <v>0.0</v>
      </c>
      <c r="AI16" s="169">
        <v>0.0</v>
      </c>
      <c r="AJ16" s="182" t="b">
        <v>0</v>
      </c>
      <c r="AK16" s="183">
        <v>8.0</v>
      </c>
      <c r="AL16" s="211">
        <v>1.1</v>
      </c>
      <c r="AM16" s="169">
        <v>1.0</v>
      </c>
      <c r="AN16" s="198" t="str">
        <f>IFNA(VLOOKUP($A16,'Tube Reactions'!$J$2:$K259,2,FALSE),"")</f>
        <v/>
      </c>
      <c r="AO16" s="199" t="str">
        <f t="shared" si="20"/>
        <v>NOT EQUAL</v>
      </c>
      <c r="AP16" s="186" t="str">
        <f t="shared" si="4"/>
        <v/>
      </c>
      <c r="AQ16" s="187" t="b">
        <f t="shared" si="5"/>
        <v>1</v>
      </c>
      <c r="AR16" s="188">
        <v>15.0</v>
      </c>
      <c r="AS16" s="189"/>
      <c r="AT16" s="110"/>
      <c r="AU16" s="110" t="s">
        <v>321</v>
      </c>
      <c r="AV16" s="169">
        <v>10.0</v>
      </c>
      <c r="AW16" s="118" t="b">
        <v>1</v>
      </c>
      <c r="AX16" s="212" t="s">
        <v>377</v>
      </c>
      <c r="AY16" s="48">
        <f t="shared" si="24"/>
        <v>2</v>
      </c>
      <c r="BA16" s="191" t="b">
        <v>0</v>
      </c>
      <c r="BB16" s="18" t="str">
        <f t="shared" si="8"/>
        <v/>
      </c>
      <c r="BC16" s="18" t="str">
        <f t="shared" si="9"/>
        <v/>
      </c>
      <c r="BD16" s="48" t="str">
        <f t="shared" si="10"/>
        <v/>
      </c>
      <c r="BE16" s="192"/>
      <c r="BF16" s="76">
        <f t="shared" si="11"/>
        <v>44820</v>
      </c>
      <c r="BG16" s="114" t="str">
        <f t="shared" si="12"/>
        <v>RUN-ABRM_2022-09-16_RFR-015</v>
      </c>
      <c r="BH16" s="83">
        <f t="shared" si="13"/>
        <v>8</v>
      </c>
      <c r="BI16" s="83">
        <f t="shared" si="14"/>
        <v>8</v>
      </c>
      <c r="BJ16" s="83">
        <f t="shared" si="15"/>
        <v>8</v>
      </c>
      <c r="BK16" s="83">
        <f t="shared" si="16"/>
        <v>1.1</v>
      </c>
      <c r="BL16" s="200">
        <f>IFNA(IF(VLOOKUP(FLOOR($B16,1),'APS Tubes by Date IMPORT'!$B$2:$J259,1,FALSE)=FLOOR($BL15,1),IFERROR(0/0,""),VLOOKUP(FLOOR($B16,1),'APS Tubes by Date IMPORT'!$B$2:$J259,1,FALSE)),"")</f>
        <v>44820</v>
      </c>
      <c r="BM16" s="83">
        <f>IF(ISBLANK($BL16),IFERROR(0/0,""),VLOOKUP(FLOOR($B16,1),'APS Tubes by Date IMPORT'!$B$2:$J259,2,FALSE))</f>
        <v>8</v>
      </c>
      <c r="BN16" s="114"/>
      <c r="BO16" s="83" t="str">
        <f>VLOOKUP(FLOOR($B16,1),'APS Tubes by Date IMPORT'!$B16:$I259,6,FALSE)</f>
        <v>#N/A</v>
      </c>
      <c r="BP16" s="83">
        <v>7.0</v>
      </c>
      <c r="BQ16" s="193">
        <f t="shared" si="17"/>
        <v>-1</v>
      </c>
      <c r="BR16" s="131">
        <v>3.0</v>
      </c>
      <c r="BS16" s="76" t="b">
        <f t="shared" si="18"/>
        <v>1</v>
      </c>
      <c r="BT16" s="194" t="str">
        <f t="shared" si="19"/>
        <v>Delete NULL</v>
      </c>
      <c r="BU16" s="195"/>
      <c r="BV16" s="195"/>
      <c r="BW16" s="195"/>
      <c r="BX16" s="195"/>
    </row>
    <row r="17">
      <c r="A17" s="18" t="str">
        <f>CONCATENATE("RUN-",'Process Ref'!$A$1,"_",TEXT(U17,"YYYY-MM-DD"),"_RFR-",TEXT(AR17,"000"),IF(EXACT(W17,"Initial"),"",CONCATENATE("_",W17)))</f>
        <v>RUN-ABRM_2022-09-16_RFR-016_Re-run</v>
      </c>
      <c r="B17" s="168">
        <v>44820.4271875</v>
      </c>
      <c r="C17" s="110"/>
      <c r="D17" s="110" t="s">
        <v>313</v>
      </c>
      <c r="E17" s="131"/>
      <c r="F17" s="110" t="s">
        <v>372</v>
      </c>
      <c r="G17" s="171" t="s">
        <v>373</v>
      </c>
      <c r="H17" s="213"/>
      <c r="I17" s="203" t="s">
        <v>360</v>
      </c>
      <c r="J17" s="172"/>
      <c r="K17" s="204"/>
      <c r="L17" s="131"/>
      <c r="M17" s="174"/>
      <c r="N17" s="174"/>
      <c r="O17" s="175"/>
      <c r="P17" s="118" t="b">
        <v>0</v>
      </c>
      <c r="Q17" s="176" t="b">
        <v>0</v>
      </c>
      <c r="R17" s="55"/>
      <c r="S17" s="118" t="b">
        <v>1</v>
      </c>
      <c r="T17" s="177" t="b">
        <v>1</v>
      </c>
      <c r="U17" s="178">
        <v>44820.0</v>
      </c>
      <c r="V17" s="179">
        <v>0.3958333333333333</v>
      </c>
      <c r="W17" s="110" t="s">
        <v>339</v>
      </c>
      <c r="X17" s="203" t="s">
        <v>376</v>
      </c>
      <c r="Y17" s="118" t="b">
        <v>1</v>
      </c>
      <c r="Z17" s="172"/>
      <c r="AA17" s="196">
        <f t="shared" si="1"/>
        <v>0</v>
      </c>
      <c r="AB17" s="197" t="b">
        <f t="shared" si="2"/>
        <v>1</v>
      </c>
      <c r="AC17" s="169">
        <v>3.0</v>
      </c>
      <c r="AD17" s="169">
        <v>0.0</v>
      </c>
      <c r="AE17" s="169">
        <v>0.0</v>
      </c>
      <c r="AF17" s="169">
        <v>0.0</v>
      </c>
      <c r="AG17" s="169">
        <v>0.0</v>
      </c>
      <c r="AH17" s="169">
        <v>0.0</v>
      </c>
      <c r="AI17" s="169">
        <v>0.0</v>
      </c>
      <c r="AJ17" s="182" t="b">
        <v>0</v>
      </c>
      <c r="AK17" s="183">
        <v>1.0</v>
      </c>
      <c r="AL17" s="169">
        <v>0.0</v>
      </c>
      <c r="AM17" s="172" t="str">
        <f>IF(EXACT(W17,"Initial"),"Audit","")</f>
        <v/>
      </c>
      <c r="AN17" s="198" t="str">
        <f>IFNA(VLOOKUP($A17,'Tube Reactions'!$J$2:$K259,2,FALSE),"")</f>
        <v/>
      </c>
      <c r="AO17" s="199" t="str">
        <f t="shared" si="20"/>
        <v/>
      </c>
      <c r="AP17" s="186" t="str">
        <f t="shared" si="4"/>
        <v>Absent</v>
      </c>
      <c r="AQ17" s="187" t="b">
        <f t="shared" si="5"/>
        <v>0</v>
      </c>
      <c r="AR17" s="188">
        <v>16.0</v>
      </c>
      <c r="AS17" s="189"/>
      <c r="AT17" s="110"/>
      <c r="AU17" s="110" t="s">
        <v>321</v>
      </c>
      <c r="AV17" s="172"/>
      <c r="AW17" s="118" t="b">
        <v>0</v>
      </c>
      <c r="AX17" s="190" t="b">
        <f t="shared" ref="AX17:AX19" si="25">IF(OR(AND(AL17=0,AW17),AND(AL17&lt;&gt;0,NOT(AW17))),TRUE,FALSE)</f>
        <v>0</v>
      </c>
      <c r="AY17" s="48"/>
      <c r="BA17" s="191" t="b">
        <v>0</v>
      </c>
      <c r="BB17" s="18" t="str">
        <f t="shared" si="8"/>
        <v/>
      </c>
      <c r="BC17" s="18" t="str">
        <f t="shared" si="9"/>
        <v/>
      </c>
      <c r="BD17" s="48" t="str">
        <f t="shared" si="10"/>
        <v/>
      </c>
      <c r="BE17" s="192"/>
      <c r="BF17" s="76" t="str">
        <f t="shared" si="11"/>
        <v/>
      </c>
      <c r="BG17" s="114" t="str">
        <f t="shared" si="12"/>
        <v/>
      </c>
      <c r="BH17" s="83" t="str">
        <f t="shared" si="13"/>
        <v/>
      </c>
      <c r="BI17" s="83" t="str">
        <f t="shared" si="14"/>
        <v/>
      </c>
      <c r="BJ17" s="83" t="str">
        <f t="shared" si="15"/>
        <v/>
      </c>
      <c r="BK17" s="83" t="str">
        <f t="shared" si="16"/>
        <v/>
      </c>
      <c r="BL17" s="200" t="str">
        <f>IFNA(IF(VLOOKUP(FLOOR($B17,1),'APS Tubes by Date IMPORT'!$B$2:$J259,1,FALSE)=FLOOR($BL16,1),IFERROR(0/0,""),VLOOKUP(FLOOR($B17,1),'APS Tubes by Date IMPORT'!$B$2:$J259,1,FALSE)),"")</f>
        <v/>
      </c>
      <c r="BM17" s="83" t="str">
        <f>IF(ISBLANK($BL17),IFERROR(0/0,""),VLOOKUP(FLOOR($B17,1),'APS Tubes by Date IMPORT'!$B$2:$J259,2,FALSE))</f>
        <v/>
      </c>
      <c r="BN17" s="114"/>
      <c r="BO17" s="83" t="str">
        <f>VLOOKUP(FLOOR($B17,1),'APS Tubes by Date IMPORT'!$B17:$I259,6,FALSE)</f>
        <v>#N/A</v>
      </c>
      <c r="BP17" s="83">
        <v>7.0</v>
      </c>
      <c r="BQ17" s="193">
        <f t="shared" si="17"/>
        <v>7</v>
      </c>
      <c r="BR17" s="131">
        <v>3.0</v>
      </c>
      <c r="BS17" s="76" t="b">
        <f t="shared" si="18"/>
        <v>1</v>
      </c>
      <c r="BT17" s="194" t="str">
        <f t="shared" si="19"/>
        <v>Delete NULL</v>
      </c>
      <c r="BU17" s="195"/>
      <c r="BV17" s="195"/>
      <c r="BW17" s="195"/>
      <c r="BX17" s="195"/>
    </row>
    <row r="18">
      <c r="A18" s="18" t="str">
        <f>CONCATENATE("RUN-",'Process Ref'!$A$1,"_",TEXT(U18,"YYYY-MM-DD"),"_RFR-",TEXT(AR18,"000"),IF(EXACT(W18,"Initial"),"",CONCATENATE("_",W18)))</f>
        <v>RUN-ABRM_2022-09-19_RFR-017</v>
      </c>
      <c r="B18" s="168">
        <v>44823.41144675926</v>
      </c>
      <c r="C18" s="110"/>
      <c r="D18" s="110" t="s">
        <v>313</v>
      </c>
      <c r="E18" s="169">
        <v>12.0</v>
      </c>
      <c r="F18" s="110" t="s">
        <v>378</v>
      </c>
      <c r="G18" s="170" t="s">
        <v>379</v>
      </c>
      <c r="H18" s="170" t="s">
        <v>380</v>
      </c>
      <c r="I18" s="170" t="s">
        <v>381</v>
      </c>
      <c r="J18" s="172"/>
      <c r="K18" s="173" t="s">
        <v>382</v>
      </c>
      <c r="L18" s="131"/>
      <c r="M18" s="174"/>
      <c r="N18" s="174"/>
      <c r="O18" s="175"/>
      <c r="P18" s="118" t="b">
        <v>0</v>
      </c>
      <c r="Q18" s="176" t="b">
        <v>0</v>
      </c>
      <c r="R18" s="55"/>
      <c r="S18" s="118" t="b">
        <v>0</v>
      </c>
      <c r="T18" s="177" t="b">
        <v>0</v>
      </c>
      <c r="U18" s="178">
        <v>44823.0</v>
      </c>
      <c r="V18" s="179">
        <v>0.4166666666666667</v>
      </c>
      <c r="W18" s="110" t="s">
        <v>320</v>
      </c>
      <c r="X18" s="203" t="s">
        <v>383</v>
      </c>
      <c r="Y18" s="118" t="b">
        <v>0</v>
      </c>
      <c r="Z18" s="169">
        <v>12.0</v>
      </c>
      <c r="AA18" s="196">
        <f t="shared" si="1"/>
        <v>0</v>
      </c>
      <c r="AB18" s="197" t="b">
        <f t="shared" si="2"/>
        <v>1</v>
      </c>
      <c r="AC18" s="169">
        <v>10.0</v>
      </c>
      <c r="AD18" s="169">
        <v>0.0</v>
      </c>
      <c r="AE18" s="169">
        <v>0.0</v>
      </c>
      <c r="AF18" s="169">
        <v>0.0</v>
      </c>
      <c r="AG18" s="169">
        <v>0.0</v>
      </c>
      <c r="AH18" s="169">
        <v>0.0</v>
      </c>
      <c r="AI18" s="169">
        <v>0.0</v>
      </c>
      <c r="AJ18" s="182" t="b">
        <v>0</v>
      </c>
      <c r="AK18" s="183">
        <v>10.0</v>
      </c>
      <c r="AL18" s="169">
        <v>0.0</v>
      </c>
      <c r="AM18" s="169">
        <v>0.0</v>
      </c>
      <c r="AN18" s="198" t="str">
        <f>IFNA(VLOOKUP($A18,'Tube Reactions'!$J$2:$K259,2,FALSE),"")</f>
        <v/>
      </c>
      <c r="AO18" s="199" t="str">
        <f t="shared" si="20"/>
        <v/>
      </c>
      <c r="AP18" s="186" t="str">
        <f t="shared" si="4"/>
        <v/>
      </c>
      <c r="AQ18" s="187" t="b">
        <f t="shared" si="5"/>
        <v>1</v>
      </c>
      <c r="AR18" s="188">
        <v>17.0</v>
      </c>
      <c r="AS18" s="189"/>
      <c r="AT18" s="110"/>
      <c r="AU18" s="110" t="s">
        <v>384</v>
      </c>
      <c r="AV18" s="169">
        <v>12.0</v>
      </c>
      <c r="AW18" s="118" t="b">
        <v>1</v>
      </c>
      <c r="AX18" s="190" t="b">
        <f t="shared" si="25"/>
        <v>1</v>
      </c>
      <c r="AY18" s="48">
        <f t="shared" ref="AY18:AY20" si="26">AV18-AC18</f>
        <v>2</v>
      </c>
      <c r="BA18" s="191" t="b">
        <v>1</v>
      </c>
      <c r="BB18" s="18" t="b">
        <f t="shared" si="8"/>
        <v>1</v>
      </c>
      <c r="BC18" s="18" t="b">
        <f t="shared" si="9"/>
        <v>1</v>
      </c>
      <c r="BD18" s="48">
        <f t="shared" si="10"/>
        <v>10</v>
      </c>
      <c r="BE18" s="192"/>
      <c r="BF18" s="76">
        <f t="shared" si="11"/>
        <v>44823</v>
      </c>
      <c r="BG18" s="114" t="str">
        <f t="shared" si="12"/>
        <v>RUN-ABRM_2022-09-19_RFR-017</v>
      </c>
      <c r="BH18" s="83">
        <f t="shared" si="13"/>
        <v>12</v>
      </c>
      <c r="BI18" s="83">
        <f t="shared" si="14"/>
        <v>10</v>
      </c>
      <c r="BJ18" s="83">
        <f t="shared" si="15"/>
        <v>10</v>
      </c>
      <c r="BK18" s="83">
        <f t="shared" si="16"/>
        <v>0</v>
      </c>
      <c r="BL18" s="200">
        <f>IFNA(IF(VLOOKUP(FLOOR($B18,1),'APS Tubes by Date IMPORT'!$B$2:$J259,1,FALSE)=FLOOR($BL17,1),IFERROR(0/0,""),VLOOKUP(FLOOR($B18,1),'APS Tubes by Date IMPORT'!$B$2:$J259,1,FALSE)),"")</f>
        <v>44823</v>
      </c>
      <c r="BM18" s="83">
        <f>IF(ISBLANK($BL18),IFERROR(0/0,""),VLOOKUP(FLOOR($B18,1),'APS Tubes by Date IMPORT'!$B$2:$J259,2,FALSE))</f>
        <v>10</v>
      </c>
      <c r="BN18" s="114"/>
      <c r="BO18" s="83" t="str">
        <f>VLOOKUP(FLOOR($B18,1),'APS Tubes by Date IMPORT'!$B18:$I259,6,FALSE)</f>
        <v>#N/A</v>
      </c>
      <c r="BP18" s="83">
        <v>7.0</v>
      </c>
      <c r="BQ18" s="193">
        <f t="shared" si="17"/>
        <v>-3</v>
      </c>
      <c r="BR18" s="131">
        <v>3.0</v>
      </c>
      <c r="BS18" s="76" t="b">
        <f t="shared" si="18"/>
        <v>1</v>
      </c>
      <c r="BT18" s="194" t="str">
        <f t="shared" si="19"/>
        <v>Delete NULL</v>
      </c>
      <c r="BU18" s="195"/>
      <c r="BV18" s="195"/>
      <c r="BW18" s="195"/>
      <c r="BX18" s="195"/>
    </row>
    <row r="19">
      <c r="A19" s="18" t="str">
        <f>CONCATENATE("RUN-",'Process Ref'!$A$1,"_",TEXT(U19,"YYYY-MM-DD"),"_RFR-",TEXT(AR19,"000"),IF(EXACT(W19,"Initial"),"",CONCATENATE("_",W19)))</f>
        <v>RUN-ABRM_2022-09-20_RFR-018</v>
      </c>
      <c r="B19" s="168">
        <v>44824.42590277778</v>
      </c>
      <c r="C19" s="110"/>
      <c r="D19" s="110" t="s">
        <v>313</v>
      </c>
      <c r="E19" s="169">
        <v>12.0</v>
      </c>
      <c r="F19" s="110" t="s">
        <v>385</v>
      </c>
      <c r="G19" s="170" t="s">
        <v>386</v>
      </c>
      <c r="H19" s="170" t="s">
        <v>387</v>
      </c>
      <c r="I19" s="170" t="s">
        <v>388</v>
      </c>
      <c r="J19" s="169">
        <v>0.0</v>
      </c>
      <c r="K19" s="204"/>
      <c r="L19" s="131"/>
      <c r="M19" s="174"/>
      <c r="N19" s="174"/>
      <c r="O19" s="175"/>
      <c r="P19" s="118" t="b">
        <v>0</v>
      </c>
      <c r="Q19" s="176" t="b">
        <v>0</v>
      </c>
      <c r="R19" s="55"/>
      <c r="S19" s="118" t="b">
        <v>0</v>
      </c>
      <c r="T19" s="177" t="b">
        <v>0</v>
      </c>
      <c r="U19" s="178">
        <v>44824.0</v>
      </c>
      <c r="V19" s="179">
        <v>0.4166666666666667</v>
      </c>
      <c r="W19" s="110" t="s">
        <v>320</v>
      </c>
      <c r="X19" s="180"/>
      <c r="Y19" s="118" t="b">
        <v>0</v>
      </c>
      <c r="Z19" s="169">
        <v>14.0</v>
      </c>
      <c r="AA19" s="196">
        <f t="shared" si="1"/>
        <v>2</v>
      </c>
      <c r="AB19" s="197" t="b">
        <f t="shared" si="2"/>
        <v>0</v>
      </c>
      <c r="AC19" s="169">
        <v>12.0</v>
      </c>
      <c r="AD19" s="169">
        <v>0.0</v>
      </c>
      <c r="AE19" s="169">
        <v>0.0</v>
      </c>
      <c r="AF19" s="169">
        <v>0.0</v>
      </c>
      <c r="AG19" s="169">
        <v>0.0</v>
      </c>
      <c r="AH19" s="169">
        <v>0.0</v>
      </c>
      <c r="AI19" s="169">
        <v>0.0</v>
      </c>
      <c r="AJ19" s="182" t="b">
        <v>0</v>
      </c>
      <c r="AK19" s="183">
        <v>12.0</v>
      </c>
      <c r="AL19" s="169">
        <v>0.0</v>
      </c>
      <c r="AM19" s="169">
        <v>0.0</v>
      </c>
      <c r="AN19" s="198" t="str">
        <f>IFNA(VLOOKUP($A19,'Tube Reactions'!$J$2:$K259,2,FALSE),"")</f>
        <v/>
      </c>
      <c r="AO19" s="199" t="str">
        <f t="shared" si="20"/>
        <v/>
      </c>
      <c r="AP19" s="186" t="str">
        <f t="shared" si="4"/>
        <v/>
      </c>
      <c r="AQ19" s="187" t="b">
        <f t="shared" si="5"/>
        <v>1</v>
      </c>
      <c r="AR19" s="188">
        <v>18.0</v>
      </c>
      <c r="AS19" s="189"/>
      <c r="AT19" s="110"/>
      <c r="AU19" s="110" t="s">
        <v>384</v>
      </c>
      <c r="AV19" s="169">
        <v>14.0</v>
      </c>
      <c r="AW19" s="118" t="b">
        <v>1</v>
      </c>
      <c r="AX19" s="190" t="b">
        <f t="shared" si="25"/>
        <v>1</v>
      </c>
      <c r="AY19" s="48">
        <f t="shared" si="26"/>
        <v>2</v>
      </c>
      <c r="BA19" s="191" t="b">
        <v>1</v>
      </c>
      <c r="BB19" s="18" t="b">
        <f t="shared" si="8"/>
        <v>1</v>
      </c>
      <c r="BC19" s="18" t="b">
        <f t="shared" si="9"/>
        <v>1</v>
      </c>
      <c r="BD19" s="48">
        <f t="shared" si="10"/>
        <v>12</v>
      </c>
      <c r="BE19" s="192"/>
      <c r="BF19" s="76">
        <f t="shared" si="11"/>
        <v>44824</v>
      </c>
      <c r="BG19" s="114" t="str">
        <f t="shared" si="12"/>
        <v>RUN-ABRM_2022-09-20_RFR-018</v>
      </c>
      <c r="BH19" s="83">
        <f t="shared" si="13"/>
        <v>12</v>
      </c>
      <c r="BI19" s="83">
        <f t="shared" si="14"/>
        <v>12</v>
      </c>
      <c r="BJ19" s="83">
        <f t="shared" si="15"/>
        <v>12</v>
      </c>
      <c r="BK19" s="83">
        <f t="shared" si="16"/>
        <v>0</v>
      </c>
      <c r="BL19" s="200">
        <f>IFNA(IF(VLOOKUP(FLOOR($B19,1),'APS Tubes by Date IMPORT'!$B$2:$J259,1,FALSE)=FLOOR($BL18,1),IFERROR(0/0,""),VLOOKUP(FLOOR($B19,1),'APS Tubes by Date IMPORT'!$B$2:$J259,1,FALSE)),"")</f>
        <v>44824</v>
      </c>
      <c r="BM19" s="83">
        <f>IF(ISBLANK($BL19),IFERROR(0/0,""),VLOOKUP(FLOOR($B19,1),'APS Tubes by Date IMPORT'!$B$2:$J259,2,FALSE))</f>
        <v>12</v>
      </c>
      <c r="BN19" s="114"/>
      <c r="BO19" s="83" t="str">
        <f>VLOOKUP(FLOOR($B19,1),'APS Tubes by Date IMPORT'!$B19:$I259,6,FALSE)</f>
        <v>#N/A</v>
      </c>
      <c r="BP19" s="83">
        <v>7.0</v>
      </c>
      <c r="BQ19" s="193">
        <f t="shared" si="17"/>
        <v>-5</v>
      </c>
      <c r="BR19" s="131">
        <v>3.0</v>
      </c>
      <c r="BS19" s="76" t="b">
        <f t="shared" si="18"/>
        <v>1</v>
      </c>
      <c r="BT19" s="194" t="str">
        <f t="shared" si="19"/>
        <v>Delete NULL</v>
      </c>
      <c r="BU19" s="195"/>
      <c r="BV19" s="195"/>
      <c r="BW19" s="195"/>
      <c r="BX19" s="195"/>
    </row>
    <row r="20">
      <c r="A20" s="18" t="str">
        <f>CONCATENATE("RUN-",'Process Ref'!$A$1,"_",TEXT(U20,"YYYY-MM-DD"),"_RFR-",TEXT(AR20,"000"),IF(EXACT(W20,"Initial"),"",CONCATENATE("_",W20)))</f>
        <v>RUN-ABRM_2022-09-21_RFR-019</v>
      </c>
      <c r="B20" s="168">
        <v>44825.43472222222</v>
      </c>
      <c r="C20" s="110"/>
      <c r="D20" s="110" t="s">
        <v>313</v>
      </c>
      <c r="E20" s="169">
        <v>12.0</v>
      </c>
      <c r="F20" s="110" t="s">
        <v>389</v>
      </c>
      <c r="G20" s="171" t="s">
        <v>390</v>
      </c>
      <c r="H20" s="171" t="s">
        <v>391</v>
      </c>
      <c r="I20" s="171" t="s">
        <v>392</v>
      </c>
      <c r="J20" s="169">
        <v>1.0</v>
      </c>
      <c r="K20" s="173" t="s">
        <v>393</v>
      </c>
      <c r="L20" s="131"/>
      <c r="M20" s="174"/>
      <c r="N20" s="209">
        <v>2.1</v>
      </c>
      <c r="O20" s="210" t="s">
        <v>394</v>
      </c>
      <c r="P20" s="118" t="b">
        <v>1</v>
      </c>
      <c r="Q20" s="176" t="b">
        <v>0</v>
      </c>
      <c r="R20" s="55"/>
      <c r="S20" s="118" t="b">
        <v>0</v>
      </c>
      <c r="T20" s="177" t="b">
        <v>1</v>
      </c>
      <c r="U20" s="178">
        <v>44825.0</v>
      </c>
      <c r="V20" s="179">
        <v>0.4166666666666667</v>
      </c>
      <c r="W20" s="110" t="s">
        <v>320</v>
      </c>
      <c r="X20" s="180"/>
      <c r="Y20" s="118" t="b">
        <v>1</v>
      </c>
      <c r="Z20" s="169">
        <v>12.0</v>
      </c>
      <c r="AA20" s="196">
        <f t="shared" si="1"/>
        <v>0</v>
      </c>
      <c r="AB20" s="197" t="b">
        <f t="shared" si="2"/>
        <v>1</v>
      </c>
      <c r="AC20" s="169">
        <v>10.0</v>
      </c>
      <c r="AD20" s="169">
        <v>0.0</v>
      </c>
      <c r="AE20" s="169">
        <v>0.0</v>
      </c>
      <c r="AF20" s="169">
        <v>0.0</v>
      </c>
      <c r="AG20" s="169">
        <v>0.0</v>
      </c>
      <c r="AH20" s="169">
        <v>0.0</v>
      </c>
      <c r="AI20" s="169">
        <v>0.0</v>
      </c>
      <c r="AJ20" s="182" t="b">
        <v>0</v>
      </c>
      <c r="AK20" s="183">
        <v>10.0</v>
      </c>
      <c r="AL20" s="214">
        <v>1.1</v>
      </c>
      <c r="AM20" s="169">
        <v>1.0</v>
      </c>
      <c r="AN20" s="198" t="str">
        <f>IFNA(VLOOKUP($A20,'Tube Reactions'!$J$2:$K259,2,FALSE),"")</f>
        <v/>
      </c>
      <c r="AO20" s="199" t="str">
        <f t="shared" si="20"/>
        <v>NOT EQUAL</v>
      </c>
      <c r="AP20" s="186" t="str">
        <f t="shared" si="4"/>
        <v/>
      </c>
      <c r="AQ20" s="187" t="b">
        <f t="shared" si="5"/>
        <v>1</v>
      </c>
      <c r="AR20" s="188">
        <v>19.0</v>
      </c>
      <c r="AS20" s="189"/>
      <c r="AT20" s="110"/>
      <c r="AU20" s="110" t="s">
        <v>384</v>
      </c>
      <c r="AV20" s="169">
        <v>12.0</v>
      </c>
      <c r="AW20" s="118" t="b">
        <v>1</v>
      </c>
      <c r="AX20" s="212" t="s">
        <v>377</v>
      </c>
      <c r="AY20" s="48">
        <f t="shared" si="26"/>
        <v>2</v>
      </c>
      <c r="BA20" s="191" t="b">
        <v>0</v>
      </c>
      <c r="BB20" s="18" t="str">
        <f t="shared" si="8"/>
        <v/>
      </c>
      <c r="BC20" s="18" t="str">
        <f t="shared" si="9"/>
        <v/>
      </c>
      <c r="BD20" s="48" t="str">
        <f t="shared" si="10"/>
        <v/>
      </c>
      <c r="BE20" s="192"/>
      <c r="BF20" s="76">
        <f t="shared" si="11"/>
        <v>44825</v>
      </c>
      <c r="BG20" s="114" t="str">
        <f t="shared" si="12"/>
        <v>RUN-ABRM_2022-09-21_RFR-019</v>
      </c>
      <c r="BH20" s="83">
        <f t="shared" si="13"/>
        <v>12</v>
      </c>
      <c r="BI20" s="83">
        <f t="shared" si="14"/>
        <v>10</v>
      </c>
      <c r="BJ20" s="83">
        <f t="shared" si="15"/>
        <v>10</v>
      </c>
      <c r="BK20" s="83">
        <f t="shared" si="16"/>
        <v>1.1</v>
      </c>
      <c r="BL20" s="200">
        <f>IFNA(IF(VLOOKUP(FLOOR($B20,1),'APS Tubes by Date IMPORT'!$B$2:$J259,1,FALSE)=FLOOR($BL19,1),IFERROR(0/0,""),VLOOKUP(FLOOR($B20,1),'APS Tubes by Date IMPORT'!$B$2:$J259,1,FALSE)),"")</f>
        <v>44825</v>
      </c>
      <c r="BM20" s="83">
        <f>IF(ISBLANK($BL20),IFERROR(0/0,""),VLOOKUP(FLOOR($B20,1),'APS Tubes by Date IMPORT'!$B$2:$J259,2,FALSE))</f>
        <v>10</v>
      </c>
      <c r="BN20" s="114"/>
      <c r="BO20" s="83" t="str">
        <f>VLOOKUP(FLOOR($B20,1),'APS Tubes by Date IMPORT'!$B20:$I259,6,FALSE)</f>
        <v>#N/A</v>
      </c>
      <c r="BP20" s="83">
        <v>7.0</v>
      </c>
      <c r="BQ20" s="193">
        <f t="shared" si="17"/>
        <v>-3</v>
      </c>
      <c r="BR20" s="131">
        <v>3.0</v>
      </c>
      <c r="BS20" s="76" t="b">
        <f t="shared" si="18"/>
        <v>1</v>
      </c>
      <c r="BT20" s="194" t="str">
        <f t="shared" si="19"/>
        <v>Delete NULL</v>
      </c>
      <c r="BU20" s="195"/>
      <c r="BV20" s="195"/>
      <c r="BW20" s="195"/>
      <c r="BX20" s="195"/>
    </row>
    <row r="21">
      <c r="A21" s="18" t="str">
        <f>CONCATENATE("RUN-",'Process Ref'!$A$1,"_",TEXT(U21,"YYYY-MM-DD"),"_RFR-",TEXT(AR21,"000"),IF(EXACT(W21,"Initial"),"",CONCATENATE("_",W21)))</f>
        <v>RUN-ABRM_2022-09-21_RFR-020_Re-run</v>
      </c>
      <c r="B21" s="168">
        <v>44825.43472222222</v>
      </c>
      <c r="C21" s="110"/>
      <c r="D21" s="110" t="s">
        <v>313</v>
      </c>
      <c r="E21" s="131"/>
      <c r="F21" s="110" t="s">
        <v>389</v>
      </c>
      <c r="G21" s="171" t="s">
        <v>390</v>
      </c>
      <c r="H21" s="213"/>
      <c r="I21" s="203" t="s">
        <v>360</v>
      </c>
      <c r="J21" s="172"/>
      <c r="K21" s="204"/>
      <c r="L21" s="131"/>
      <c r="M21" s="174"/>
      <c r="N21" s="174"/>
      <c r="O21" s="175"/>
      <c r="P21" s="118" t="b">
        <v>0</v>
      </c>
      <c r="Q21" s="176" t="b">
        <v>0</v>
      </c>
      <c r="R21" s="55"/>
      <c r="S21" s="118" t="b">
        <v>1</v>
      </c>
      <c r="T21" s="177" t="b">
        <v>1</v>
      </c>
      <c r="U21" s="178">
        <v>44825.0</v>
      </c>
      <c r="V21" s="179">
        <v>0.4583333333333333</v>
      </c>
      <c r="W21" s="110" t="s">
        <v>339</v>
      </c>
      <c r="X21" s="180"/>
      <c r="Y21" s="118" t="b">
        <v>0</v>
      </c>
      <c r="Z21" s="172"/>
      <c r="AA21" s="196">
        <f t="shared" si="1"/>
        <v>0</v>
      </c>
      <c r="AB21" s="197" t="b">
        <f t="shared" si="2"/>
        <v>1</v>
      </c>
      <c r="AC21" s="169">
        <v>3.0</v>
      </c>
      <c r="AD21" s="169">
        <v>0.0</v>
      </c>
      <c r="AE21" s="169">
        <v>0.0</v>
      </c>
      <c r="AF21" s="169">
        <v>0.0</v>
      </c>
      <c r="AG21" s="169">
        <v>0.0</v>
      </c>
      <c r="AH21" s="169">
        <v>0.0</v>
      </c>
      <c r="AI21" s="169">
        <v>0.0</v>
      </c>
      <c r="AJ21" s="182" t="b">
        <v>0</v>
      </c>
      <c r="AK21" s="183">
        <v>1.0</v>
      </c>
      <c r="AL21" s="169">
        <v>0.0</v>
      </c>
      <c r="AM21" s="172" t="str">
        <f>IF(EXACT(W21,"Initial"),"Audit","")</f>
        <v/>
      </c>
      <c r="AN21" s="198" t="str">
        <f>IFNA(VLOOKUP($A21,'Tube Reactions'!$J$2:$K259,2,FALSE),"")</f>
        <v/>
      </c>
      <c r="AO21" s="199" t="str">
        <f t="shared" si="20"/>
        <v/>
      </c>
      <c r="AP21" s="186" t="str">
        <f t="shared" si="4"/>
        <v>Absent</v>
      </c>
      <c r="AQ21" s="187" t="b">
        <f t="shared" si="5"/>
        <v>0</v>
      </c>
      <c r="AR21" s="188">
        <v>20.0</v>
      </c>
      <c r="AS21" s="189"/>
      <c r="AT21" s="110"/>
      <c r="AU21" s="110" t="s">
        <v>384</v>
      </c>
      <c r="AV21" s="172"/>
      <c r="AW21" s="118" t="b">
        <v>0</v>
      </c>
      <c r="AX21" s="190" t="b">
        <f t="shared" ref="AX21:AX47" si="27">IF(OR(AND(AL21=0,AW21),AND(AL21&lt;&gt;0,NOT(AW21))),TRUE,FALSE)</f>
        <v>0</v>
      </c>
      <c r="AY21" s="48"/>
      <c r="BA21" s="191" t="b">
        <v>0</v>
      </c>
      <c r="BB21" s="18" t="str">
        <f t="shared" si="8"/>
        <v/>
      </c>
      <c r="BC21" s="18" t="str">
        <f t="shared" si="9"/>
        <v/>
      </c>
      <c r="BD21" s="48" t="str">
        <f t="shared" si="10"/>
        <v/>
      </c>
      <c r="BE21" s="192"/>
      <c r="BF21" s="76" t="str">
        <f t="shared" si="11"/>
        <v/>
      </c>
      <c r="BG21" s="114" t="str">
        <f t="shared" si="12"/>
        <v/>
      </c>
      <c r="BH21" s="83" t="str">
        <f t="shared" si="13"/>
        <v/>
      </c>
      <c r="BI21" s="83" t="str">
        <f t="shared" si="14"/>
        <v/>
      </c>
      <c r="BJ21" s="83" t="str">
        <f t="shared" si="15"/>
        <v/>
      </c>
      <c r="BK21" s="83" t="str">
        <f t="shared" si="16"/>
        <v/>
      </c>
      <c r="BL21" s="200" t="str">
        <f>IFNA(IF(VLOOKUP(FLOOR($B21,1),'APS Tubes by Date IMPORT'!$B$2:$J259,1,FALSE)=FLOOR($BL20,1),IFERROR(0/0,""),VLOOKUP(FLOOR($B21,1),'APS Tubes by Date IMPORT'!$B$2:$J259,1,FALSE)),"")</f>
        <v/>
      </c>
      <c r="BM21" s="83" t="str">
        <f>IF(ISBLANK($BL21),IFERROR(0/0,""),VLOOKUP(FLOOR($B21,1),'APS Tubes by Date IMPORT'!$B$2:$J259,2,FALSE))</f>
        <v/>
      </c>
      <c r="BN21" s="114"/>
      <c r="BO21" s="83" t="str">
        <f>VLOOKUP(FLOOR($B21,1),'APS Tubes by Date IMPORT'!$B21:$I259,6,FALSE)</f>
        <v>#N/A</v>
      </c>
      <c r="BP21" s="83">
        <v>7.0</v>
      </c>
      <c r="BQ21" s="193">
        <f t="shared" si="17"/>
        <v>7</v>
      </c>
      <c r="BR21" s="131">
        <v>3.0</v>
      </c>
      <c r="BS21" s="76" t="b">
        <f t="shared" si="18"/>
        <v>1</v>
      </c>
      <c r="BT21" s="194" t="str">
        <f t="shared" si="19"/>
        <v>Delete NULL</v>
      </c>
      <c r="BU21" s="195"/>
      <c r="BV21" s="195"/>
      <c r="BW21" s="195"/>
      <c r="BX21" s="195"/>
    </row>
    <row r="22">
      <c r="A22" s="18" t="str">
        <f>CONCATENATE("RUN-",'Process Ref'!$A$1,"_",TEXT(U22,"YYYY-MM-DD"),"_RFR-",TEXT(AR22,"000"),IF(EXACT(W22,"Initial"),"",CONCATENATE("_",W22)))</f>
        <v>RUN-ABRM_2022-09-22_RFR-021</v>
      </c>
      <c r="B22" s="168">
        <v>44826.40550925926</v>
      </c>
      <c r="C22" s="110"/>
      <c r="D22" s="110" t="s">
        <v>313</v>
      </c>
      <c r="E22" s="169">
        <v>9.0</v>
      </c>
      <c r="F22" s="110" t="s">
        <v>395</v>
      </c>
      <c r="G22" s="170" t="s">
        <v>396</v>
      </c>
      <c r="H22" s="170" t="s">
        <v>397</v>
      </c>
      <c r="I22" s="170" t="s">
        <v>398</v>
      </c>
      <c r="J22" s="172"/>
      <c r="K22" s="215" t="s">
        <v>399</v>
      </c>
      <c r="L22" s="131"/>
      <c r="M22" s="174"/>
      <c r="N22" s="174"/>
      <c r="O22" s="175"/>
      <c r="P22" s="118" t="b">
        <v>0</v>
      </c>
      <c r="Q22" s="176" t="b">
        <v>0</v>
      </c>
      <c r="R22" s="55"/>
      <c r="S22" s="118" t="b">
        <v>0</v>
      </c>
      <c r="T22" s="177" t="b">
        <v>0</v>
      </c>
      <c r="U22" s="178">
        <v>44826.0</v>
      </c>
      <c r="V22" s="179">
        <v>0.4375</v>
      </c>
      <c r="W22" s="110" t="s">
        <v>320</v>
      </c>
      <c r="X22" s="180"/>
      <c r="Y22" s="118" t="b">
        <v>0</v>
      </c>
      <c r="Z22" s="169">
        <v>9.0</v>
      </c>
      <c r="AA22" s="196">
        <f t="shared" si="1"/>
        <v>0</v>
      </c>
      <c r="AB22" s="197" t="b">
        <f t="shared" si="2"/>
        <v>1</v>
      </c>
      <c r="AC22" s="169">
        <v>7.0</v>
      </c>
      <c r="AD22" s="169">
        <v>0.0</v>
      </c>
      <c r="AE22" s="169">
        <v>0.0</v>
      </c>
      <c r="AF22" s="169">
        <v>0.0</v>
      </c>
      <c r="AG22" s="169">
        <v>0.0</v>
      </c>
      <c r="AH22" s="169">
        <v>0.0</v>
      </c>
      <c r="AI22" s="169">
        <v>0.0</v>
      </c>
      <c r="AJ22" s="182" t="b">
        <v>0</v>
      </c>
      <c r="AK22" s="183">
        <v>7.0</v>
      </c>
      <c r="AL22" s="169">
        <v>0.0</v>
      </c>
      <c r="AM22" s="169">
        <v>0.0</v>
      </c>
      <c r="AN22" s="198" t="str">
        <f>IFNA(VLOOKUP($A22,'Tube Reactions'!$J$2:$K259,2,FALSE),"")</f>
        <v/>
      </c>
      <c r="AO22" s="199" t="str">
        <f t="shared" si="20"/>
        <v/>
      </c>
      <c r="AP22" s="186" t="str">
        <f t="shared" si="4"/>
        <v/>
      </c>
      <c r="AQ22" s="187" t="b">
        <f t="shared" si="5"/>
        <v>1</v>
      </c>
      <c r="AR22" s="188">
        <v>21.0</v>
      </c>
      <c r="AS22" s="189"/>
      <c r="AT22" s="110"/>
      <c r="AU22" s="110" t="s">
        <v>384</v>
      </c>
      <c r="AV22" s="169">
        <v>9.0</v>
      </c>
      <c r="AW22" s="118" t="b">
        <v>1</v>
      </c>
      <c r="AX22" s="190" t="b">
        <f t="shared" si="27"/>
        <v>1</v>
      </c>
      <c r="AY22" s="48">
        <f t="shared" ref="AY22:AY24" si="28">AV22-AC22</f>
        <v>2</v>
      </c>
      <c r="BA22" s="191" t="b">
        <v>1</v>
      </c>
      <c r="BB22" s="18" t="b">
        <f t="shared" si="8"/>
        <v>1</v>
      </c>
      <c r="BC22" s="18" t="b">
        <f t="shared" si="9"/>
        <v>1</v>
      </c>
      <c r="BD22" s="48">
        <f t="shared" si="10"/>
        <v>7</v>
      </c>
      <c r="BE22" s="192"/>
      <c r="BF22" s="76">
        <f t="shared" si="11"/>
        <v>44826</v>
      </c>
      <c r="BG22" s="114" t="str">
        <f t="shared" si="12"/>
        <v>RUN-ABRM_2022-09-22_RFR-021</v>
      </c>
      <c r="BH22" s="83">
        <f t="shared" si="13"/>
        <v>9</v>
      </c>
      <c r="BI22" s="83">
        <f t="shared" si="14"/>
        <v>7</v>
      </c>
      <c r="BJ22" s="83">
        <f t="shared" si="15"/>
        <v>7</v>
      </c>
      <c r="BK22" s="83">
        <f t="shared" si="16"/>
        <v>0</v>
      </c>
      <c r="BL22" s="200">
        <f>IFNA(IF(VLOOKUP(FLOOR($B22,1),'APS Tubes by Date IMPORT'!$B$2:$J259,1,FALSE)=FLOOR($BL21,1),IFERROR(0/0,""),VLOOKUP(FLOOR($B22,1),'APS Tubes by Date IMPORT'!$B$2:$J259,1,FALSE)),"")</f>
        <v>44826</v>
      </c>
      <c r="BM22" s="83">
        <f>IF(ISBLANK($BL22),IFERROR(0/0,""),VLOOKUP(FLOOR($B22,1),'APS Tubes by Date IMPORT'!$B$2:$J259,2,FALSE))</f>
        <v>7</v>
      </c>
      <c r="BN22" s="114"/>
      <c r="BO22" s="83" t="str">
        <f>VLOOKUP(FLOOR($B22,1),'APS Tubes by Date IMPORT'!$B22:$I259,6,FALSE)</f>
        <v>#N/A</v>
      </c>
      <c r="BP22" s="83">
        <v>7.0</v>
      </c>
      <c r="BQ22" s="193">
        <f t="shared" si="17"/>
        <v>0</v>
      </c>
      <c r="BR22" s="131">
        <v>3.0</v>
      </c>
      <c r="BS22" s="76" t="b">
        <f t="shared" si="18"/>
        <v>1</v>
      </c>
      <c r="BT22" s="194" t="str">
        <f t="shared" si="19"/>
        <v>Delete NULL</v>
      </c>
      <c r="BU22" s="195"/>
      <c r="BV22" s="195"/>
      <c r="BW22" s="195"/>
      <c r="BX22" s="195"/>
    </row>
    <row r="23">
      <c r="A23" s="18" t="str">
        <f>CONCATENATE("RUN-",'Process Ref'!$A$1,"_",TEXT(U23,"YYYY-MM-DD"),"_RFR-",TEXT(AR23,"000"),IF(EXACT(W23,"Initial"),"",CONCATENATE("_",W23)))</f>
        <v>RUN-ABRM_2022-09-23_RFR-022</v>
      </c>
      <c r="B23" s="168">
        <v>44827.39702546296</v>
      </c>
      <c r="C23" s="110"/>
      <c r="D23" s="110" t="s">
        <v>313</v>
      </c>
      <c r="E23" s="169">
        <v>11.0</v>
      </c>
      <c r="F23" s="110" t="s">
        <v>400</v>
      </c>
      <c r="G23" s="170" t="s">
        <v>401</v>
      </c>
      <c r="H23" s="170" t="s">
        <v>402</v>
      </c>
      <c r="I23" s="170" t="s">
        <v>403</v>
      </c>
      <c r="J23" s="172"/>
      <c r="K23" s="173" t="s">
        <v>404</v>
      </c>
      <c r="L23" s="131"/>
      <c r="M23" s="174"/>
      <c r="N23" s="174"/>
      <c r="O23" s="175"/>
      <c r="P23" s="118" t="b">
        <v>0</v>
      </c>
      <c r="Q23" s="176" t="b">
        <v>0</v>
      </c>
      <c r="R23" s="55"/>
      <c r="S23" s="118" t="b">
        <v>0</v>
      </c>
      <c r="T23" s="177" t="b">
        <v>0</v>
      </c>
      <c r="U23" s="178">
        <v>44827.0</v>
      </c>
      <c r="V23" s="179">
        <v>0.4166666666666667</v>
      </c>
      <c r="W23" s="110" t="s">
        <v>320</v>
      </c>
      <c r="X23" s="180"/>
      <c r="Y23" s="118" t="b">
        <v>0</v>
      </c>
      <c r="Z23" s="169">
        <v>11.0</v>
      </c>
      <c r="AA23" s="196">
        <f t="shared" si="1"/>
        <v>0</v>
      </c>
      <c r="AB23" s="197" t="b">
        <f t="shared" si="2"/>
        <v>1</v>
      </c>
      <c r="AC23" s="169">
        <v>9.0</v>
      </c>
      <c r="AD23" s="169">
        <v>0.0</v>
      </c>
      <c r="AE23" s="169">
        <v>0.0</v>
      </c>
      <c r="AF23" s="169">
        <v>0.0</v>
      </c>
      <c r="AG23" s="169">
        <v>0.0</v>
      </c>
      <c r="AH23" s="169">
        <v>0.0</v>
      </c>
      <c r="AI23" s="169">
        <v>0.0</v>
      </c>
      <c r="AJ23" s="182" t="b">
        <v>0</v>
      </c>
      <c r="AK23" s="183">
        <v>9.0</v>
      </c>
      <c r="AL23" s="169">
        <v>0.0</v>
      </c>
      <c r="AM23" s="169">
        <v>0.0</v>
      </c>
      <c r="AN23" s="198" t="str">
        <f>IFNA(VLOOKUP($A23,'Tube Reactions'!$J$2:$K259,2,FALSE),"")</f>
        <v/>
      </c>
      <c r="AO23" s="199" t="str">
        <f t="shared" si="20"/>
        <v/>
      </c>
      <c r="AP23" s="186" t="str">
        <f t="shared" si="4"/>
        <v/>
      </c>
      <c r="AQ23" s="187" t="b">
        <f t="shared" si="5"/>
        <v>1</v>
      </c>
      <c r="AR23" s="188">
        <v>22.0</v>
      </c>
      <c r="AS23" s="189"/>
      <c r="AT23" s="110"/>
      <c r="AU23" s="110" t="s">
        <v>384</v>
      </c>
      <c r="AV23" s="169">
        <v>11.0</v>
      </c>
      <c r="AW23" s="118" t="b">
        <v>1</v>
      </c>
      <c r="AX23" s="190" t="b">
        <f t="shared" si="27"/>
        <v>1</v>
      </c>
      <c r="AY23" s="48">
        <f t="shared" si="28"/>
        <v>2</v>
      </c>
      <c r="BA23" s="191" t="b">
        <v>1</v>
      </c>
      <c r="BB23" s="18" t="b">
        <f t="shared" si="8"/>
        <v>1</v>
      </c>
      <c r="BC23" s="18" t="b">
        <f t="shared" si="9"/>
        <v>1</v>
      </c>
      <c r="BD23" s="48">
        <f t="shared" si="10"/>
        <v>9</v>
      </c>
      <c r="BE23" s="192"/>
      <c r="BF23" s="76">
        <f t="shared" si="11"/>
        <v>44827</v>
      </c>
      <c r="BG23" s="114" t="str">
        <f t="shared" si="12"/>
        <v>RUN-ABRM_2022-09-23_RFR-022</v>
      </c>
      <c r="BH23" s="83">
        <f t="shared" si="13"/>
        <v>11</v>
      </c>
      <c r="BI23" s="83">
        <f t="shared" si="14"/>
        <v>9</v>
      </c>
      <c r="BJ23" s="83">
        <f t="shared" si="15"/>
        <v>9</v>
      </c>
      <c r="BK23" s="83">
        <f t="shared" si="16"/>
        <v>0</v>
      </c>
      <c r="BL23" s="200">
        <f>IFNA(IF(VLOOKUP(FLOOR($B23,1),'APS Tubes by Date IMPORT'!$B$2:$J259,1,FALSE)=FLOOR($BL22,1),IFERROR(0/0,""),VLOOKUP(FLOOR($B23,1),'APS Tubes by Date IMPORT'!$B$2:$J259,1,FALSE)),"")</f>
        <v>44827</v>
      </c>
      <c r="BM23" s="83">
        <f>IF(ISBLANK($BL23),IFERROR(0/0,""),VLOOKUP(FLOOR($B23,1),'APS Tubes by Date IMPORT'!$B$2:$J259,2,FALSE))</f>
        <v>9</v>
      </c>
      <c r="BN23" s="114"/>
      <c r="BO23" s="83" t="str">
        <f>VLOOKUP(FLOOR($B23,1),'APS Tubes by Date IMPORT'!$B23:$I259,6,FALSE)</f>
        <v>#N/A</v>
      </c>
      <c r="BP23" s="83">
        <v>7.0</v>
      </c>
      <c r="BQ23" s="193">
        <f t="shared" si="17"/>
        <v>-2</v>
      </c>
      <c r="BR23" s="131">
        <v>3.0</v>
      </c>
      <c r="BS23" s="76" t="b">
        <f t="shared" si="18"/>
        <v>1</v>
      </c>
      <c r="BT23" s="194" t="str">
        <f t="shared" si="19"/>
        <v>Delete NULL</v>
      </c>
      <c r="BU23" s="195"/>
      <c r="BV23" s="195"/>
      <c r="BW23" s="195"/>
      <c r="BX23" s="195"/>
    </row>
    <row r="24">
      <c r="A24" s="18" t="str">
        <f>CONCATENATE("RUN-",'Process Ref'!$A$1,"_",TEXT(U24,"YYYY-MM-DD"),"_RFR-",TEXT(AR24,"000"),IF(EXACT(W24,"Initial"),"",CONCATENATE("_",W24)))</f>
        <v>RUN-ABRM_2022-09-26_RFR-023</v>
      </c>
      <c r="B24" s="168">
        <v>44830.42288194445</v>
      </c>
      <c r="C24" s="110"/>
      <c r="D24" s="110" t="s">
        <v>313</v>
      </c>
      <c r="E24" s="169">
        <v>14.0</v>
      </c>
      <c r="F24" s="110" t="s">
        <v>405</v>
      </c>
      <c r="G24" s="171" t="s">
        <v>406</v>
      </c>
      <c r="H24" s="171" t="s">
        <v>407</v>
      </c>
      <c r="I24" s="171" t="s">
        <v>408</v>
      </c>
      <c r="J24" s="169">
        <v>1.0</v>
      </c>
      <c r="K24" s="204"/>
      <c r="L24" s="131"/>
      <c r="M24" s="174"/>
      <c r="N24" s="174"/>
      <c r="O24" s="175"/>
      <c r="P24" s="118" t="b">
        <v>0</v>
      </c>
      <c r="Q24" s="176" t="b">
        <v>0</v>
      </c>
      <c r="R24" s="55"/>
      <c r="S24" s="118" t="b">
        <v>0</v>
      </c>
      <c r="T24" s="177" t="b">
        <v>1</v>
      </c>
      <c r="U24" s="178">
        <v>44830.0</v>
      </c>
      <c r="V24" s="179">
        <v>0.4305555555555556</v>
      </c>
      <c r="W24" s="110" t="s">
        <v>320</v>
      </c>
      <c r="X24" s="203" t="s">
        <v>409</v>
      </c>
      <c r="Y24" s="118" t="b">
        <v>1</v>
      </c>
      <c r="Z24" s="169">
        <v>14.0</v>
      </c>
      <c r="AA24" s="196">
        <f t="shared" si="1"/>
        <v>0</v>
      </c>
      <c r="AB24" s="197" t="b">
        <f t="shared" si="2"/>
        <v>1</v>
      </c>
      <c r="AC24" s="214">
        <v>14.0</v>
      </c>
      <c r="AD24" s="169">
        <v>1.0</v>
      </c>
      <c r="AE24" s="169">
        <v>1.0</v>
      </c>
      <c r="AF24" s="169">
        <v>0.0</v>
      </c>
      <c r="AG24" s="169">
        <v>0.0</v>
      </c>
      <c r="AH24" s="169">
        <v>0.0</v>
      </c>
      <c r="AI24" s="169">
        <v>0.0</v>
      </c>
      <c r="AJ24" s="182" t="b">
        <v>0</v>
      </c>
      <c r="AK24" s="183">
        <v>12.0</v>
      </c>
      <c r="AL24" s="169">
        <v>1.1</v>
      </c>
      <c r="AM24" s="169">
        <v>1.0</v>
      </c>
      <c r="AN24" s="198" t="str">
        <f>IFNA(VLOOKUP($A24,'Tube Reactions'!$J$2:$K259,2,FALSE),"")</f>
        <v/>
      </c>
      <c r="AO24" s="199" t="str">
        <f t="shared" si="20"/>
        <v>NOT EQUAL</v>
      </c>
      <c r="AP24" s="186" t="str">
        <f t="shared" si="4"/>
        <v/>
      </c>
      <c r="AQ24" s="187" t="b">
        <f t="shared" si="5"/>
        <v>1</v>
      </c>
      <c r="AR24" s="188">
        <v>23.0</v>
      </c>
      <c r="AS24" s="189"/>
      <c r="AT24" s="110"/>
      <c r="AU24" s="110" t="s">
        <v>384</v>
      </c>
      <c r="AV24" s="169">
        <v>19.0</v>
      </c>
      <c r="AW24" s="118" t="b">
        <v>0</v>
      </c>
      <c r="AX24" s="190" t="b">
        <f t="shared" si="27"/>
        <v>1</v>
      </c>
      <c r="AY24" s="48">
        <f t="shared" si="28"/>
        <v>5</v>
      </c>
      <c r="AZ24" s="176" t="s">
        <v>337</v>
      </c>
      <c r="BA24" s="191" t="b">
        <v>0</v>
      </c>
      <c r="BB24" s="18" t="str">
        <f t="shared" si="8"/>
        <v/>
      </c>
      <c r="BC24" s="18" t="str">
        <f t="shared" si="9"/>
        <v/>
      </c>
      <c r="BD24" s="48" t="str">
        <f t="shared" si="10"/>
        <v/>
      </c>
      <c r="BE24" s="192"/>
      <c r="BF24" s="76">
        <f t="shared" si="11"/>
        <v>44830</v>
      </c>
      <c r="BG24" s="114" t="str">
        <f t="shared" si="12"/>
        <v>RUN-ABRM_2022-09-26_RFR-023</v>
      </c>
      <c r="BH24" s="83">
        <f t="shared" si="13"/>
        <v>14</v>
      </c>
      <c r="BI24" s="83">
        <f t="shared" si="14"/>
        <v>14</v>
      </c>
      <c r="BJ24" s="83">
        <f t="shared" si="15"/>
        <v>12</v>
      </c>
      <c r="BK24" s="83">
        <f t="shared" si="16"/>
        <v>1.1</v>
      </c>
      <c r="BL24" s="200">
        <f>IFNA(IF(VLOOKUP(FLOOR($B24,1),'APS Tubes by Date IMPORT'!$B$2:$J259,1,FALSE)=FLOOR($BL23,1),IFERROR(0/0,""),VLOOKUP(FLOOR($B24,1),'APS Tubes by Date IMPORT'!$B$2:$J259,1,FALSE)),"")</f>
        <v>44830</v>
      </c>
      <c r="BM24" s="83">
        <f>IF(ISBLANK($BL24),IFERROR(0/0,""),VLOOKUP(FLOOR($B24,1),'APS Tubes by Date IMPORT'!$B$2:$J259,2,FALSE))</f>
        <v>12</v>
      </c>
      <c r="BN24" s="114"/>
      <c r="BO24" s="83" t="str">
        <f>VLOOKUP(FLOOR($B24,1),'APS Tubes by Date IMPORT'!$B24:$I259,6,FALSE)</f>
        <v>#N/A</v>
      </c>
      <c r="BP24" s="83">
        <v>7.0</v>
      </c>
      <c r="BQ24" s="193">
        <f t="shared" si="17"/>
        <v>-5</v>
      </c>
      <c r="BR24" s="131">
        <v>3.0</v>
      </c>
      <c r="BS24" s="76" t="b">
        <f t="shared" si="18"/>
        <v>1</v>
      </c>
      <c r="BT24" s="194" t="str">
        <f t="shared" si="19"/>
        <v>Delete NULL</v>
      </c>
      <c r="BU24" s="195"/>
      <c r="BV24" s="195"/>
      <c r="BW24" s="195"/>
      <c r="BX24" s="195"/>
    </row>
    <row r="25">
      <c r="A25" s="18" t="str">
        <f>CONCATENATE("RUN-",'Process Ref'!$A$1,"_",TEXT(U25,"YYYY-MM-DD"),"_RFR-",TEXT(AR25,"000"),IF(EXACT(W25,"Initial"),"",CONCATENATE("_",W25)))</f>
        <v>RUN-ABRM_2022-09-26_RFR-024_Re-run</v>
      </c>
      <c r="B25" s="168">
        <v>44830.42288194445</v>
      </c>
      <c r="C25" s="110"/>
      <c r="D25" s="110" t="s">
        <v>313</v>
      </c>
      <c r="E25" s="131"/>
      <c r="F25" s="110" t="s">
        <v>405</v>
      </c>
      <c r="G25" s="171" t="s">
        <v>406</v>
      </c>
      <c r="H25" s="213"/>
      <c r="I25" s="203" t="s">
        <v>338</v>
      </c>
      <c r="J25" s="172"/>
      <c r="K25" s="204"/>
      <c r="L25" s="131"/>
      <c r="M25" s="174"/>
      <c r="N25" s="174"/>
      <c r="O25" s="175"/>
      <c r="P25" s="118" t="b">
        <v>0</v>
      </c>
      <c r="Q25" s="176" t="b">
        <v>0</v>
      </c>
      <c r="R25" s="55"/>
      <c r="S25" s="118" t="b">
        <v>1</v>
      </c>
      <c r="T25" s="177" t="b">
        <v>1</v>
      </c>
      <c r="U25" s="178">
        <v>44830.0</v>
      </c>
      <c r="V25" s="179">
        <v>0.4722222222222222</v>
      </c>
      <c r="W25" s="110" t="s">
        <v>339</v>
      </c>
      <c r="X25" s="180"/>
      <c r="Y25" s="118" t="b">
        <v>0</v>
      </c>
      <c r="Z25" s="172"/>
      <c r="AA25" s="196">
        <f t="shared" si="1"/>
        <v>0</v>
      </c>
      <c r="AB25" s="197" t="b">
        <f t="shared" si="2"/>
        <v>1</v>
      </c>
      <c r="AC25" s="169">
        <v>3.0</v>
      </c>
      <c r="AD25" s="169">
        <v>0.0</v>
      </c>
      <c r="AE25" s="169">
        <v>0.0</v>
      </c>
      <c r="AF25" s="169">
        <v>0.0</v>
      </c>
      <c r="AG25" s="169">
        <v>0.0</v>
      </c>
      <c r="AH25" s="169">
        <v>0.0</v>
      </c>
      <c r="AI25" s="169">
        <v>0.0</v>
      </c>
      <c r="AJ25" s="182" t="b">
        <v>0</v>
      </c>
      <c r="AK25" s="183">
        <v>1.0</v>
      </c>
      <c r="AL25" s="169">
        <v>0.0</v>
      </c>
      <c r="AM25" s="172" t="str">
        <f>IF(EXACT(W25,"Initial"),"Audit","")</f>
        <v/>
      </c>
      <c r="AN25" s="198" t="str">
        <f>IFNA(VLOOKUP($A25,'Tube Reactions'!$J$2:$K259,2,FALSE),"")</f>
        <v/>
      </c>
      <c r="AO25" s="199" t="str">
        <f t="shared" si="20"/>
        <v/>
      </c>
      <c r="AP25" s="186" t="str">
        <f t="shared" si="4"/>
        <v>Absent</v>
      </c>
      <c r="AQ25" s="187" t="b">
        <f t="shared" si="5"/>
        <v>0</v>
      </c>
      <c r="AR25" s="188">
        <v>24.0</v>
      </c>
      <c r="AS25" s="189"/>
      <c r="AT25" s="110"/>
      <c r="AU25" s="110" t="s">
        <v>384</v>
      </c>
      <c r="AV25" s="172"/>
      <c r="AW25" s="118" t="b">
        <v>0</v>
      </c>
      <c r="AX25" s="190" t="b">
        <f t="shared" si="27"/>
        <v>0</v>
      </c>
      <c r="AY25" s="48"/>
      <c r="BA25" s="191" t="b">
        <v>0</v>
      </c>
      <c r="BB25" s="18" t="str">
        <f t="shared" si="8"/>
        <v/>
      </c>
      <c r="BC25" s="18" t="str">
        <f t="shared" si="9"/>
        <v/>
      </c>
      <c r="BD25" s="48" t="str">
        <f t="shared" si="10"/>
        <v/>
      </c>
      <c r="BE25" s="192"/>
      <c r="BF25" s="76" t="str">
        <f t="shared" si="11"/>
        <v/>
      </c>
      <c r="BG25" s="114" t="str">
        <f t="shared" si="12"/>
        <v/>
      </c>
      <c r="BH25" s="83" t="str">
        <f t="shared" si="13"/>
        <v/>
      </c>
      <c r="BI25" s="83" t="str">
        <f t="shared" si="14"/>
        <v/>
      </c>
      <c r="BJ25" s="83" t="str">
        <f t="shared" si="15"/>
        <v/>
      </c>
      <c r="BK25" s="83" t="str">
        <f t="shared" si="16"/>
        <v/>
      </c>
      <c r="BL25" s="200" t="str">
        <f>IFNA(IF(VLOOKUP(FLOOR($B25,1),'APS Tubes by Date IMPORT'!$B$2:$J259,1,FALSE)=FLOOR($BL24,1),IFERROR(0/0,""),VLOOKUP(FLOOR($B25,1),'APS Tubes by Date IMPORT'!$B$2:$J259,1,FALSE)),"")</f>
        <v/>
      </c>
      <c r="BM25" s="83" t="str">
        <f>IF(ISBLANK($BL25),IFERROR(0/0,""),VLOOKUP(FLOOR($B25,1),'APS Tubes by Date IMPORT'!$B$2:$J259,2,FALSE))</f>
        <v/>
      </c>
      <c r="BN25" s="114"/>
      <c r="BO25" s="83" t="str">
        <f>VLOOKUP(FLOOR($B25,1),'APS Tubes by Date IMPORT'!$B25:$I259,6,FALSE)</f>
        <v>#N/A</v>
      </c>
      <c r="BP25" s="83">
        <v>7.0</v>
      </c>
      <c r="BQ25" s="193">
        <f t="shared" si="17"/>
        <v>7</v>
      </c>
      <c r="BR25" s="131">
        <v>3.0</v>
      </c>
      <c r="BS25" s="76" t="b">
        <f t="shared" si="18"/>
        <v>1</v>
      </c>
      <c r="BT25" s="194" t="str">
        <f t="shared" si="19"/>
        <v>Delete NULL</v>
      </c>
      <c r="BU25" s="195"/>
      <c r="BV25" s="195"/>
      <c r="BW25" s="195"/>
      <c r="BX25" s="195"/>
    </row>
    <row r="26">
      <c r="A26" s="18" t="str">
        <f>CONCATENATE("RUN-",'Process Ref'!$A$1,"_",TEXT(U26,"YYYY-MM-DD"),"_RFR-",TEXT(AR26,"000"),IF(EXACT(W26,"Initial"),"",CONCATENATE("_",W26)))</f>
        <v>RUN-ABRM_2022-09-27_RFR-025</v>
      </c>
      <c r="B26" s="168">
        <v>44831.40771990741</v>
      </c>
      <c r="C26" s="110"/>
      <c r="D26" s="110" t="s">
        <v>313</v>
      </c>
      <c r="E26" s="169">
        <v>12.0</v>
      </c>
      <c r="F26" s="110" t="s">
        <v>410</v>
      </c>
      <c r="G26" s="170" t="s">
        <v>411</v>
      </c>
      <c r="H26" s="170" t="s">
        <v>412</v>
      </c>
      <c r="I26" s="170" t="s">
        <v>413</v>
      </c>
      <c r="J26" s="169" t="s">
        <v>348</v>
      </c>
      <c r="K26" s="204"/>
      <c r="L26" s="131"/>
      <c r="M26" s="174"/>
      <c r="N26" s="174"/>
      <c r="O26" s="175"/>
      <c r="P26" s="118" t="b">
        <v>0</v>
      </c>
      <c r="Q26" s="176" t="b">
        <v>0</v>
      </c>
      <c r="R26" s="55"/>
      <c r="S26" s="118" t="b">
        <v>0</v>
      </c>
      <c r="T26" s="177" t="b">
        <v>0</v>
      </c>
      <c r="U26" s="178">
        <v>44831.0</v>
      </c>
      <c r="V26" s="179">
        <v>0.425</v>
      </c>
      <c r="W26" s="110" t="s">
        <v>320</v>
      </c>
      <c r="X26" s="180"/>
      <c r="Y26" s="118" t="b">
        <v>0</v>
      </c>
      <c r="Z26" s="169">
        <v>14.0</v>
      </c>
      <c r="AA26" s="196">
        <f t="shared" si="1"/>
        <v>2</v>
      </c>
      <c r="AB26" s="197" t="b">
        <f t="shared" si="2"/>
        <v>0</v>
      </c>
      <c r="AC26" s="169">
        <v>12.0</v>
      </c>
      <c r="AD26" s="169">
        <v>0.0</v>
      </c>
      <c r="AE26" s="169">
        <v>0.0</v>
      </c>
      <c r="AF26" s="169">
        <v>0.0</v>
      </c>
      <c r="AG26" s="169">
        <v>0.0</v>
      </c>
      <c r="AH26" s="169">
        <v>0.0</v>
      </c>
      <c r="AI26" s="169">
        <v>0.0</v>
      </c>
      <c r="AJ26" s="182" t="b">
        <v>0</v>
      </c>
      <c r="AK26" s="183">
        <v>12.0</v>
      </c>
      <c r="AL26" s="169">
        <v>0.0</v>
      </c>
      <c r="AM26" s="169">
        <v>0.0</v>
      </c>
      <c r="AN26" s="198" t="str">
        <f>IFNA(VLOOKUP($A26,'Tube Reactions'!$J$2:$K259,2,FALSE),"")</f>
        <v/>
      </c>
      <c r="AO26" s="199" t="str">
        <f t="shared" si="20"/>
        <v/>
      </c>
      <c r="AP26" s="186" t="str">
        <f t="shared" si="4"/>
        <v/>
      </c>
      <c r="AQ26" s="187" t="b">
        <f t="shared" si="5"/>
        <v>1</v>
      </c>
      <c r="AR26" s="188">
        <v>25.0</v>
      </c>
      <c r="AS26" s="189"/>
      <c r="AT26" s="110"/>
      <c r="AU26" s="110" t="s">
        <v>384</v>
      </c>
      <c r="AV26" s="169">
        <v>14.0</v>
      </c>
      <c r="AW26" s="118" t="b">
        <v>1</v>
      </c>
      <c r="AX26" s="190" t="b">
        <f t="shared" si="27"/>
        <v>1</v>
      </c>
      <c r="AY26" s="48">
        <f t="shared" ref="AY26:AY27" si="29">AV26-AC26</f>
        <v>2</v>
      </c>
      <c r="BA26" s="191" t="b">
        <v>1</v>
      </c>
      <c r="BB26" s="18" t="b">
        <f t="shared" si="8"/>
        <v>1</v>
      </c>
      <c r="BC26" s="18" t="b">
        <f t="shared" si="9"/>
        <v>1</v>
      </c>
      <c r="BD26" s="48">
        <f t="shared" si="10"/>
        <v>12</v>
      </c>
      <c r="BE26" s="192"/>
      <c r="BF26" s="76">
        <f t="shared" si="11"/>
        <v>44831</v>
      </c>
      <c r="BG26" s="114" t="str">
        <f t="shared" si="12"/>
        <v>RUN-ABRM_2022-09-27_RFR-025</v>
      </c>
      <c r="BH26" s="83">
        <f t="shared" si="13"/>
        <v>12</v>
      </c>
      <c r="BI26" s="83">
        <f t="shared" si="14"/>
        <v>12</v>
      </c>
      <c r="BJ26" s="83">
        <f t="shared" si="15"/>
        <v>12</v>
      </c>
      <c r="BK26" s="83">
        <f t="shared" si="16"/>
        <v>0</v>
      </c>
      <c r="BL26" s="200">
        <f>IFNA(IF(VLOOKUP(FLOOR($B26,1),'APS Tubes by Date IMPORT'!$B$2:$J259,1,FALSE)=FLOOR($BL25,1),IFERROR(0/0,""),VLOOKUP(FLOOR($B26,1),'APS Tubes by Date IMPORT'!$B$2:$J259,1,FALSE)),"")</f>
        <v>44831</v>
      </c>
      <c r="BM26" s="83">
        <f>IF(ISBLANK($BL26),IFERROR(0/0,""),VLOOKUP(FLOOR($B26,1),'APS Tubes by Date IMPORT'!$B$2:$J259,2,FALSE))</f>
        <v>12</v>
      </c>
      <c r="BN26" s="114"/>
      <c r="BO26" s="83" t="str">
        <f>VLOOKUP(FLOOR($B26,1),'APS Tubes by Date IMPORT'!$B26:$I259,6,FALSE)</f>
        <v>#N/A</v>
      </c>
      <c r="BP26" s="83">
        <v>7.0</v>
      </c>
      <c r="BQ26" s="193">
        <f t="shared" si="17"/>
        <v>-5</v>
      </c>
      <c r="BR26" s="131">
        <v>3.0</v>
      </c>
      <c r="BS26" s="76" t="b">
        <f t="shared" si="18"/>
        <v>1</v>
      </c>
      <c r="BT26" s="194" t="str">
        <f t="shared" si="19"/>
        <v>Delete NULL</v>
      </c>
      <c r="BU26" s="195"/>
      <c r="BV26" s="195"/>
      <c r="BW26" s="195"/>
      <c r="BX26" s="195"/>
    </row>
    <row r="27">
      <c r="A27" s="18" t="str">
        <f>CONCATENATE("RUN-",'Process Ref'!$A$1,"_",TEXT(U27,"YYYY-MM-DD"),"_RFR-",TEXT(AR27,"000"),IF(EXACT(W27,"Initial"),"",CONCATENATE("_",W27)))</f>
        <v>RUN-ABRM_2022-09-28_RFR-026</v>
      </c>
      <c r="B27" s="168">
        <v>44832.42729166667</v>
      </c>
      <c r="C27" s="110"/>
      <c r="D27" s="110" t="s">
        <v>313</v>
      </c>
      <c r="E27" s="169">
        <v>14.0</v>
      </c>
      <c r="F27" s="110" t="s">
        <v>414</v>
      </c>
      <c r="G27" s="171" t="s">
        <v>415</v>
      </c>
      <c r="H27" s="171" t="s">
        <v>416</v>
      </c>
      <c r="I27" s="171" t="s">
        <v>417</v>
      </c>
      <c r="J27" s="169">
        <v>1.0</v>
      </c>
      <c r="K27" s="173" t="s">
        <v>418</v>
      </c>
      <c r="L27" s="131"/>
      <c r="M27" s="174"/>
      <c r="N27" s="174"/>
      <c r="O27" s="175"/>
      <c r="P27" s="118" t="b">
        <v>0</v>
      </c>
      <c r="Q27" s="176" t="b">
        <v>0</v>
      </c>
      <c r="R27" s="55"/>
      <c r="S27" s="118" t="b">
        <v>0</v>
      </c>
      <c r="T27" s="177" t="b">
        <v>1</v>
      </c>
      <c r="U27" s="178">
        <v>44832.0</v>
      </c>
      <c r="V27" s="179">
        <v>0.4166666666666667</v>
      </c>
      <c r="W27" s="110" t="s">
        <v>320</v>
      </c>
      <c r="X27" s="180"/>
      <c r="Y27" s="118" t="b">
        <v>1</v>
      </c>
      <c r="Z27" s="169">
        <v>14.0</v>
      </c>
      <c r="AA27" s="196">
        <f t="shared" si="1"/>
        <v>0</v>
      </c>
      <c r="AB27" s="197" t="b">
        <f t="shared" si="2"/>
        <v>1</v>
      </c>
      <c r="AC27" s="169">
        <v>12.0</v>
      </c>
      <c r="AD27" s="169">
        <v>1.0</v>
      </c>
      <c r="AE27" s="169">
        <v>1.0</v>
      </c>
      <c r="AF27" s="169">
        <v>0.0</v>
      </c>
      <c r="AG27" s="169">
        <v>0.0</v>
      </c>
      <c r="AH27" s="169">
        <v>0.0</v>
      </c>
      <c r="AI27" s="169">
        <v>0.0</v>
      </c>
      <c r="AJ27" s="182" t="b">
        <v>0</v>
      </c>
      <c r="AK27" s="183">
        <v>12.0</v>
      </c>
      <c r="AL27" s="169">
        <v>1.1</v>
      </c>
      <c r="AM27" s="169">
        <v>1.0</v>
      </c>
      <c r="AN27" s="198" t="str">
        <f>IFNA(VLOOKUP($A27,'Tube Reactions'!$J$2:$K259,2,FALSE),"")</f>
        <v/>
      </c>
      <c r="AO27" s="199" t="str">
        <f t="shared" si="20"/>
        <v>NOT EQUAL</v>
      </c>
      <c r="AP27" s="186" t="str">
        <f t="shared" si="4"/>
        <v/>
      </c>
      <c r="AQ27" s="187" t="b">
        <f t="shared" si="5"/>
        <v>1</v>
      </c>
      <c r="AR27" s="188">
        <v>26.0</v>
      </c>
      <c r="AS27" s="189"/>
      <c r="AT27" s="110"/>
      <c r="AU27" s="110" t="s">
        <v>384</v>
      </c>
      <c r="AV27" s="169">
        <v>14.0</v>
      </c>
      <c r="AW27" s="118" t="b">
        <v>0</v>
      </c>
      <c r="AX27" s="190" t="b">
        <f t="shared" si="27"/>
        <v>1</v>
      </c>
      <c r="AY27" s="48">
        <f t="shared" si="29"/>
        <v>2</v>
      </c>
      <c r="BA27" s="191" t="b">
        <v>0</v>
      </c>
      <c r="BB27" s="18" t="str">
        <f t="shared" si="8"/>
        <v/>
      </c>
      <c r="BC27" s="18" t="str">
        <f t="shared" si="9"/>
        <v/>
      </c>
      <c r="BD27" s="48" t="str">
        <f t="shared" si="10"/>
        <v/>
      </c>
      <c r="BE27" s="192"/>
      <c r="BF27" s="76">
        <f t="shared" si="11"/>
        <v>44832</v>
      </c>
      <c r="BG27" s="114" t="str">
        <f t="shared" si="12"/>
        <v>RUN-ABRM_2022-09-28_RFR-026</v>
      </c>
      <c r="BH27" s="83">
        <f t="shared" si="13"/>
        <v>14</v>
      </c>
      <c r="BI27" s="83">
        <f t="shared" si="14"/>
        <v>12</v>
      </c>
      <c r="BJ27" s="83">
        <f t="shared" si="15"/>
        <v>12</v>
      </c>
      <c r="BK27" s="83">
        <f t="shared" si="16"/>
        <v>1.1</v>
      </c>
      <c r="BL27" s="200">
        <f>IFNA(IF(VLOOKUP(FLOOR($B27,1),'APS Tubes by Date IMPORT'!$B$2:$J259,1,FALSE)=FLOOR($BL26,1),IFERROR(0/0,""),VLOOKUP(FLOOR($B27,1),'APS Tubes by Date IMPORT'!$B$2:$J259,1,FALSE)),"")</f>
        <v>44832</v>
      </c>
      <c r="BM27" s="83">
        <f>IF(ISBLANK($BL27),IFERROR(0/0,""),VLOOKUP(FLOOR($B27,1),'APS Tubes by Date IMPORT'!$B$2:$J259,2,FALSE))</f>
        <v>12</v>
      </c>
      <c r="BN27" s="114"/>
      <c r="BO27" s="83" t="str">
        <f>VLOOKUP(FLOOR($B27,1),'APS Tubes by Date IMPORT'!$B27:$I259,6,FALSE)</f>
        <v>#N/A</v>
      </c>
      <c r="BP27" s="83">
        <v>7.0</v>
      </c>
      <c r="BQ27" s="193">
        <f t="shared" si="17"/>
        <v>-5</v>
      </c>
      <c r="BR27" s="131">
        <v>3.0</v>
      </c>
      <c r="BS27" s="76" t="b">
        <f t="shared" si="18"/>
        <v>1</v>
      </c>
      <c r="BT27" s="194" t="str">
        <f t="shared" si="19"/>
        <v>Delete NULL</v>
      </c>
      <c r="BU27" s="195"/>
      <c r="BV27" s="195"/>
      <c r="BW27" s="195"/>
      <c r="BX27" s="195"/>
    </row>
    <row r="28">
      <c r="A28" s="18" t="str">
        <f>CONCATENATE("RUN-",'Process Ref'!$A$1,"_",TEXT(U28,"YYYY-MM-DD"),"_RFR-",TEXT(AR28,"000"),IF(EXACT(W28,"Initial"),"",CONCATENATE("_",W28)))</f>
        <v>RUN-ABRM_2022-09-28_RFR-027_Re-run</v>
      </c>
      <c r="B28" s="168">
        <v>44832.42729166667</v>
      </c>
      <c r="C28" s="110"/>
      <c r="D28" s="110" t="s">
        <v>313</v>
      </c>
      <c r="E28" s="131"/>
      <c r="F28" s="110" t="s">
        <v>414</v>
      </c>
      <c r="G28" s="171" t="s">
        <v>415</v>
      </c>
      <c r="H28" s="213"/>
      <c r="I28" s="203" t="s">
        <v>360</v>
      </c>
      <c r="J28" s="172"/>
      <c r="K28" s="204"/>
      <c r="L28" s="131"/>
      <c r="M28" s="174"/>
      <c r="N28" s="174"/>
      <c r="O28" s="175"/>
      <c r="P28" s="118" t="b">
        <v>0</v>
      </c>
      <c r="Q28" s="176" t="b">
        <v>0</v>
      </c>
      <c r="R28" s="55"/>
      <c r="S28" s="118" t="b">
        <v>1</v>
      </c>
      <c r="T28" s="177" t="b">
        <v>1</v>
      </c>
      <c r="U28" s="178">
        <v>44832.0</v>
      </c>
      <c r="V28" s="179">
        <v>0.4583333333333333</v>
      </c>
      <c r="W28" s="110" t="s">
        <v>339</v>
      </c>
      <c r="X28" s="180"/>
      <c r="Y28" s="118" t="b">
        <v>0</v>
      </c>
      <c r="Z28" s="169">
        <v>0.0</v>
      </c>
      <c r="AA28" s="196">
        <f t="shared" si="1"/>
        <v>0</v>
      </c>
      <c r="AB28" s="197" t="b">
        <f t="shared" si="2"/>
        <v>1</v>
      </c>
      <c r="AC28" s="169">
        <v>3.0</v>
      </c>
      <c r="AD28" s="169">
        <v>0.0</v>
      </c>
      <c r="AE28" s="169">
        <v>0.0</v>
      </c>
      <c r="AF28" s="169">
        <v>0.0</v>
      </c>
      <c r="AG28" s="169">
        <v>0.0</v>
      </c>
      <c r="AH28" s="169">
        <v>0.0</v>
      </c>
      <c r="AI28" s="169">
        <v>0.0</v>
      </c>
      <c r="AJ28" s="182" t="b">
        <v>0</v>
      </c>
      <c r="AK28" s="183">
        <v>1.0</v>
      </c>
      <c r="AL28" s="169">
        <v>0.0</v>
      </c>
      <c r="AM28" s="172" t="str">
        <f>IF(EXACT(W28,"Initial"),"Audit","")</f>
        <v/>
      </c>
      <c r="AN28" s="198" t="str">
        <f>IFNA(VLOOKUP($A28,'Tube Reactions'!$J$2:$K259,2,FALSE),"")</f>
        <v/>
      </c>
      <c r="AO28" s="199" t="str">
        <f t="shared" si="20"/>
        <v/>
      </c>
      <c r="AP28" s="186" t="str">
        <f t="shared" si="4"/>
        <v>Absent</v>
      </c>
      <c r="AQ28" s="187" t="b">
        <f t="shared" si="5"/>
        <v>0</v>
      </c>
      <c r="AR28" s="188">
        <v>27.0</v>
      </c>
      <c r="AS28" s="189"/>
      <c r="AT28" s="110"/>
      <c r="AU28" s="110" t="s">
        <v>384</v>
      </c>
      <c r="AV28" s="172"/>
      <c r="AW28" s="118" t="b">
        <v>0</v>
      </c>
      <c r="AX28" s="190" t="b">
        <f t="shared" si="27"/>
        <v>0</v>
      </c>
      <c r="AY28" s="48"/>
      <c r="BA28" s="191" t="b">
        <v>0</v>
      </c>
      <c r="BB28" s="18" t="str">
        <f t="shared" si="8"/>
        <v/>
      </c>
      <c r="BC28" s="18" t="str">
        <f t="shared" si="9"/>
        <v/>
      </c>
      <c r="BD28" s="48" t="str">
        <f t="shared" si="10"/>
        <v/>
      </c>
      <c r="BE28" s="192"/>
      <c r="BF28" s="76" t="str">
        <f t="shared" si="11"/>
        <v/>
      </c>
      <c r="BG28" s="114" t="str">
        <f t="shared" si="12"/>
        <v/>
      </c>
      <c r="BH28" s="83" t="str">
        <f t="shared" si="13"/>
        <v/>
      </c>
      <c r="BI28" s="83" t="str">
        <f t="shared" si="14"/>
        <v/>
      </c>
      <c r="BJ28" s="83" t="str">
        <f t="shared" si="15"/>
        <v/>
      </c>
      <c r="BK28" s="83" t="str">
        <f t="shared" si="16"/>
        <v/>
      </c>
      <c r="BL28" s="200" t="str">
        <f>IFNA(IF(VLOOKUP(FLOOR($B28,1),'APS Tubes by Date IMPORT'!$B$2:$J259,1,FALSE)=FLOOR($BL27,1),IFERROR(0/0,""),VLOOKUP(FLOOR($B28,1),'APS Tubes by Date IMPORT'!$B$2:$J259,1,FALSE)),"")</f>
        <v/>
      </c>
      <c r="BM28" s="83" t="str">
        <f>IF(ISBLANK($BL28),IFERROR(0/0,""),VLOOKUP(FLOOR($B28,1),'APS Tubes by Date IMPORT'!$B$2:$J259,2,FALSE))</f>
        <v/>
      </c>
      <c r="BN28" s="114"/>
      <c r="BO28" s="83" t="str">
        <f>VLOOKUP(FLOOR($B28,1),'APS Tubes by Date IMPORT'!$B28:$I259,6,FALSE)</f>
        <v>#N/A</v>
      </c>
      <c r="BP28" s="83">
        <v>7.0</v>
      </c>
      <c r="BQ28" s="193">
        <f t="shared" si="17"/>
        <v>7</v>
      </c>
      <c r="BR28" s="131">
        <v>3.0</v>
      </c>
      <c r="BS28" s="76" t="b">
        <f t="shared" si="18"/>
        <v>1</v>
      </c>
      <c r="BT28" s="194" t="str">
        <f t="shared" si="19"/>
        <v>Delete NULL</v>
      </c>
      <c r="BU28" s="195"/>
      <c r="BV28" s="195"/>
      <c r="BW28" s="195"/>
      <c r="BX28" s="195"/>
    </row>
    <row r="29">
      <c r="A29" s="18" t="str">
        <f>CONCATENATE("RUN-",'Process Ref'!$A$1,"_",TEXT(U29,"YYYY-MM-DD"),"_RFR-",TEXT(AR29,"000"),IF(EXACT(W29,"Initial"),"",CONCATENATE("_",W29)))</f>
        <v>RUN-ABRM_2022-09-29_RFR-028</v>
      </c>
      <c r="B29" s="168">
        <v>44833.40924768519</v>
      </c>
      <c r="C29" s="110"/>
      <c r="D29" s="110" t="s">
        <v>313</v>
      </c>
      <c r="E29" s="169">
        <v>15.0</v>
      </c>
      <c r="F29" s="110" t="s">
        <v>419</v>
      </c>
      <c r="G29" s="171" t="s">
        <v>420</v>
      </c>
      <c r="H29" s="171" t="s">
        <v>421</v>
      </c>
      <c r="I29" s="171" t="s">
        <v>422</v>
      </c>
      <c r="J29" s="169">
        <v>1.0</v>
      </c>
      <c r="K29" s="173" t="s">
        <v>423</v>
      </c>
      <c r="L29" s="131"/>
      <c r="M29" s="174"/>
      <c r="N29" s="174"/>
      <c r="O29" s="175"/>
      <c r="P29" s="118" t="b">
        <v>0</v>
      </c>
      <c r="Q29" s="176" t="b">
        <v>0</v>
      </c>
      <c r="R29" s="55"/>
      <c r="S29" s="118" t="b">
        <v>0</v>
      </c>
      <c r="T29" s="177" t="b">
        <v>1</v>
      </c>
      <c r="U29" s="178">
        <v>44833.0</v>
      </c>
      <c r="V29" s="179">
        <v>0.4166666666666667</v>
      </c>
      <c r="W29" s="110" t="s">
        <v>320</v>
      </c>
      <c r="X29" s="180"/>
      <c r="Y29" s="118" t="b">
        <v>1</v>
      </c>
      <c r="Z29" s="169">
        <v>15.0</v>
      </c>
      <c r="AA29" s="196">
        <f t="shared" si="1"/>
        <v>0</v>
      </c>
      <c r="AB29" s="197" t="b">
        <f t="shared" si="2"/>
        <v>1</v>
      </c>
      <c r="AC29" s="169">
        <v>13.0</v>
      </c>
      <c r="AD29" s="169">
        <v>1.0</v>
      </c>
      <c r="AE29" s="169">
        <v>1.0</v>
      </c>
      <c r="AF29" s="169">
        <v>0.0</v>
      </c>
      <c r="AG29" s="169">
        <v>0.0</v>
      </c>
      <c r="AH29" s="169">
        <v>0.0</v>
      </c>
      <c r="AI29" s="169">
        <v>0.0</v>
      </c>
      <c r="AJ29" s="182" t="b">
        <v>0</v>
      </c>
      <c r="AK29" s="183">
        <v>13.0</v>
      </c>
      <c r="AL29" s="169">
        <v>1.1</v>
      </c>
      <c r="AM29" s="169">
        <v>1.0</v>
      </c>
      <c r="AN29" s="198" t="str">
        <f>IFNA(VLOOKUP($A29,'Tube Reactions'!$J$2:$K259,2,FALSE),"")</f>
        <v/>
      </c>
      <c r="AO29" s="199" t="str">
        <f t="shared" si="20"/>
        <v>NOT EQUAL</v>
      </c>
      <c r="AP29" s="186" t="str">
        <f t="shared" si="4"/>
        <v/>
      </c>
      <c r="AQ29" s="187" t="b">
        <f t="shared" si="5"/>
        <v>1</v>
      </c>
      <c r="AR29" s="188">
        <v>28.0</v>
      </c>
      <c r="AS29" s="189"/>
      <c r="AT29" s="110"/>
      <c r="AU29" s="110" t="s">
        <v>384</v>
      </c>
      <c r="AV29" s="169">
        <v>15.0</v>
      </c>
      <c r="AW29" s="118" t="b">
        <v>0</v>
      </c>
      <c r="AX29" s="190" t="b">
        <f t="shared" si="27"/>
        <v>1</v>
      </c>
      <c r="AY29" s="48">
        <f>AV29-AC29</f>
        <v>2</v>
      </c>
      <c r="BA29" s="191" t="b">
        <v>0</v>
      </c>
      <c r="BB29" s="18" t="str">
        <f t="shared" si="8"/>
        <v/>
      </c>
      <c r="BC29" s="18" t="str">
        <f t="shared" si="9"/>
        <v/>
      </c>
      <c r="BD29" s="48" t="str">
        <f t="shared" si="10"/>
        <v/>
      </c>
      <c r="BE29" s="192"/>
      <c r="BF29" s="76">
        <f t="shared" si="11"/>
        <v>44833</v>
      </c>
      <c r="BG29" s="114" t="str">
        <f t="shared" si="12"/>
        <v>RUN-ABRM_2022-09-29_RFR-028</v>
      </c>
      <c r="BH29" s="83">
        <f t="shared" si="13"/>
        <v>15</v>
      </c>
      <c r="BI29" s="83">
        <f t="shared" si="14"/>
        <v>13</v>
      </c>
      <c r="BJ29" s="83">
        <f t="shared" si="15"/>
        <v>13</v>
      </c>
      <c r="BK29" s="83">
        <f t="shared" si="16"/>
        <v>1.1</v>
      </c>
      <c r="BL29" s="200">
        <f>IFNA(IF(VLOOKUP(FLOOR($B29,1),'APS Tubes by Date IMPORT'!$B$2:$J259,1,FALSE)=FLOOR($BL28,1),IFERROR(0/0,""),VLOOKUP(FLOOR($B29,1),'APS Tubes by Date IMPORT'!$B$2:$J259,1,FALSE)),"")</f>
        <v>44833</v>
      </c>
      <c r="BM29" s="83">
        <f>IF(ISBLANK($BL29),IFERROR(0/0,""),VLOOKUP(FLOOR($B29,1),'APS Tubes by Date IMPORT'!$B$2:$J259,2,FALSE))</f>
        <v>13</v>
      </c>
      <c r="BN29" s="114"/>
      <c r="BO29" s="83" t="str">
        <f>VLOOKUP(FLOOR($B29,1),'APS Tubes by Date IMPORT'!$B29:$I259,6,FALSE)</f>
        <v>#N/A</v>
      </c>
      <c r="BP29" s="83">
        <v>7.0</v>
      </c>
      <c r="BQ29" s="193">
        <f t="shared" si="17"/>
        <v>-6</v>
      </c>
      <c r="BR29" s="131">
        <v>3.0</v>
      </c>
      <c r="BS29" s="76" t="b">
        <f t="shared" si="18"/>
        <v>1</v>
      </c>
      <c r="BT29" s="194" t="str">
        <f t="shared" si="19"/>
        <v>Delete NULL</v>
      </c>
      <c r="BU29" s="195"/>
      <c r="BV29" s="195"/>
      <c r="BW29" s="195"/>
      <c r="BX29" s="195"/>
    </row>
    <row r="30">
      <c r="A30" s="18" t="str">
        <f>CONCATENATE("RUN-",'Process Ref'!$A$1,"_",TEXT(U30,"YYYY-MM-DD"),"_RFR-",TEXT(AR30,"000"),IF(EXACT(W30,"Initial"),"",CONCATENATE("_",W30)))</f>
        <v>RUN-ABRM_2022-09-29_RFR-029_Re-run</v>
      </c>
      <c r="B30" s="168">
        <v>44833.40924768519</v>
      </c>
      <c r="C30" s="110"/>
      <c r="D30" s="110" t="s">
        <v>313</v>
      </c>
      <c r="E30" s="131"/>
      <c r="F30" s="92"/>
      <c r="G30" s="171" t="s">
        <v>420</v>
      </c>
      <c r="H30" s="213"/>
      <c r="I30" s="203" t="s">
        <v>360</v>
      </c>
      <c r="J30" s="172"/>
      <c r="K30" s="204"/>
      <c r="L30" s="131"/>
      <c r="M30" s="174"/>
      <c r="N30" s="174"/>
      <c r="O30" s="175"/>
      <c r="P30" s="118" t="b">
        <v>0</v>
      </c>
      <c r="Q30" s="176" t="b">
        <v>0</v>
      </c>
      <c r="R30" s="55"/>
      <c r="S30" s="118" t="b">
        <v>1</v>
      </c>
      <c r="T30" s="177" t="b">
        <v>1</v>
      </c>
      <c r="U30" s="178">
        <v>44833.0</v>
      </c>
      <c r="V30" s="179">
        <v>0.4583333333333333</v>
      </c>
      <c r="W30" s="110" t="s">
        <v>339</v>
      </c>
      <c r="X30" s="180"/>
      <c r="Y30" s="118" t="b">
        <v>0</v>
      </c>
      <c r="Z30" s="172"/>
      <c r="AA30" s="196">
        <f t="shared" si="1"/>
        <v>0</v>
      </c>
      <c r="AB30" s="197" t="b">
        <f t="shared" si="2"/>
        <v>1</v>
      </c>
      <c r="AC30" s="169">
        <v>3.0</v>
      </c>
      <c r="AD30" s="169">
        <v>0.0</v>
      </c>
      <c r="AE30" s="169">
        <v>0.0</v>
      </c>
      <c r="AF30" s="169">
        <v>0.0</v>
      </c>
      <c r="AG30" s="169">
        <v>0.0</v>
      </c>
      <c r="AH30" s="169">
        <v>0.0</v>
      </c>
      <c r="AI30" s="169">
        <v>0.0</v>
      </c>
      <c r="AJ30" s="182" t="b">
        <v>0</v>
      </c>
      <c r="AK30" s="183">
        <v>1.0</v>
      </c>
      <c r="AL30" s="169">
        <v>0.0</v>
      </c>
      <c r="AM30" s="172" t="str">
        <f>IF(EXACT(W30,"Initial"),"Audit","")</f>
        <v/>
      </c>
      <c r="AN30" s="198" t="str">
        <f>IFNA(VLOOKUP($A30,'Tube Reactions'!$J$2:$K259,2,FALSE),"")</f>
        <v/>
      </c>
      <c r="AO30" s="199" t="str">
        <f t="shared" si="20"/>
        <v/>
      </c>
      <c r="AP30" s="186" t="str">
        <f t="shared" si="4"/>
        <v>Absent</v>
      </c>
      <c r="AQ30" s="187" t="b">
        <f t="shared" si="5"/>
        <v>0</v>
      </c>
      <c r="AR30" s="188">
        <v>29.0</v>
      </c>
      <c r="AS30" s="189"/>
      <c r="AT30" s="110"/>
      <c r="AU30" s="110" t="s">
        <v>384</v>
      </c>
      <c r="AV30" s="172"/>
      <c r="AW30" s="118" t="b">
        <v>0</v>
      </c>
      <c r="AX30" s="190" t="b">
        <f t="shared" si="27"/>
        <v>0</v>
      </c>
      <c r="AY30" s="48"/>
      <c r="BA30" s="191" t="b">
        <v>0</v>
      </c>
      <c r="BB30" s="18" t="str">
        <f t="shared" si="8"/>
        <v/>
      </c>
      <c r="BC30" s="18" t="str">
        <f t="shared" si="9"/>
        <v/>
      </c>
      <c r="BD30" s="48" t="str">
        <f t="shared" si="10"/>
        <v/>
      </c>
      <c r="BE30" s="192"/>
      <c r="BF30" s="76" t="str">
        <f t="shared" si="11"/>
        <v/>
      </c>
      <c r="BG30" s="114" t="str">
        <f t="shared" si="12"/>
        <v/>
      </c>
      <c r="BH30" s="83" t="str">
        <f t="shared" si="13"/>
        <v/>
      </c>
      <c r="BI30" s="83" t="str">
        <f t="shared" si="14"/>
        <v/>
      </c>
      <c r="BJ30" s="83" t="str">
        <f t="shared" si="15"/>
        <v/>
      </c>
      <c r="BK30" s="83" t="str">
        <f t="shared" si="16"/>
        <v/>
      </c>
      <c r="BL30" s="200" t="str">
        <f>IFNA(IF(VLOOKUP(FLOOR($B30,1),'APS Tubes by Date IMPORT'!$B$2:$J259,1,FALSE)=FLOOR($BL29,1),IFERROR(0/0,""),VLOOKUP(FLOOR($B30,1),'APS Tubes by Date IMPORT'!$B$2:$J259,1,FALSE)),"")</f>
        <v/>
      </c>
      <c r="BM30" s="83" t="str">
        <f>IF(ISBLANK($BL30),IFERROR(0/0,""),VLOOKUP(FLOOR($B30,1),'APS Tubes by Date IMPORT'!$B$2:$J259,2,FALSE))</f>
        <v/>
      </c>
      <c r="BN30" s="114"/>
      <c r="BO30" s="83" t="str">
        <f>VLOOKUP(FLOOR($B30,1),'APS Tubes by Date IMPORT'!$B30:$I259,6,FALSE)</f>
        <v>#N/A</v>
      </c>
      <c r="BP30" s="83">
        <v>7.0</v>
      </c>
      <c r="BQ30" s="193">
        <f t="shared" si="17"/>
        <v>7</v>
      </c>
      <c r="BR30" s="131">
        <v>3.0</v>
      </c>
      <c r="BS30" s="76" t="b">
        <f t="shared" si="18"/>
        <v>1</v>
      </c>
      <c r="BT30" s="194" t="str">
        <f t="shared" si="19"/>
        <v>Delete NULL</v>
      </c>
      <c r="BU30" s="195"/>
      <c r="BV30" s="195"/>
      <c r="BW30" s="195"/>
      <c r="BX30" s="195"/>
    </row>
    <row r="31">
      <c r="A31" s="18" t="str">
        <f>CONCATENATE("RUN-",'Process Ref'!$A$1,"_",TEXT(U31,"YYYY-MM-DD"),"_RFR-",TEXT(AR31,"000"),IF(EXACT(W31,"Initial"),"",CONCATENATE("_",W31)))</f>
        <v>RUN-ABRM_2022-09-30_RFR-030</v>
      </c>
      <c r="B31" s="168">
        <v>44834.418344907404</v>
      </c>
      <c r="C31" s="110"/>
      <c r="D31" s="110" t="s">
        <v>313</v>
      </c>
      <c r="E31" s="169">
        <v>12.0</v>
      </c>
      <c r="F31" s="110" t="s">
        <v>424</v>
      </c>
      <c r="G31" s="171" t="s">
        <v>425</v>
      </c>
      <c r="H31" s="171" t="s">
        <v>426</v>
      </c>
      <c r="I31" s="171" t="s">
        <v>427</v>
      </c>
      <c r="J31" s="169">
        <v>1.0</v>
      </c>
      <c r="K31" s="173" t="s">
        <v>428</v>
      </c>
      <c r="L31" s="131"/>
      <c r="M31" s="174"/>
      <c r="N31" s="174"/>
      <c r="O31" s="175"/>
      <c r="P31" s="118" t="b">
        <v>0</v>
      </c>
      <c r="Q31" s="176" t="b">
        <v>0</v>
      </c>
      <c r="R31" s="55"/>
      <c r="S31" s="118" t="b">
        <v>0</v>
      </c>
      <c r="T31" s="177" t="b">
        <v>1</v>
      </c>
      <c r="U31" s="178">
        <v>44834.0</v>
      </c>
      <c r="V31" s="179">
        <v>0.4222222222222222</v>
      </c>
      <c r="W31" s="110" t="s">
        <v>320</v>
      </c>
      <c r="X31" s="180"/>
      <c r="Y31" s="118" t="b">
        <v>1</v>
      </c>
      <c r="Z31" s="169">
        <v>12.0</v>
      </c>
      <c r="AA31" s="196">
        <f t="shared" si="1"/>
        <v>0</v>
      </c>
      <c r="AB31" s="197" t="b">
        <f t="shared" si="2"/>
        <v>1</v>
      </c>
      <c r="AC31" s="169">
        <v>10.0</v>
      </c>
      <c r="AD31" s="169">
        <v>1.0</v>
      </c>
      <c r="AE31" s="169">
        <v>1.0</v>
      </c>
      <c r="AF31" s="169">
        <v>0.0</v>
      </c>
      <c r="AG31" s="169">
        <v>0.0</v>
      </c>
      <c r="AH31" s="169">
        <v>0.0</v>
      </c>
      <c r="AI31" s="169">
        <v>0.0</v>
      </c>
      <c r="AJ31" s="182" t="b">
        <v>0</v>
      </c>
      <c r="AK31" s="183">
        <v>10.0</v>
      </c>
      <c r="AL31" s="169">
        <v>1.1</v>
      </c>
      <c r="AM31" s="169">
        <v>1.0</v>
      </c>
      <c r="AN31" s="198" t="str">
        <f>IFNA(VLOOKUP($A31,'Tube Reactions'!$J$2:$K259,2,FALSE),"")</f>
        <v/>
      </c>
      <c r="AO31" s="199" t="str">
        <f t="shared" si="20"/>
        <v>NOT EQUAL</v>
      </c>
      <c r="AP31" s="186" t="str">
        <f t="shared" si="4"/>
        <v/>
      </c>
      <c r="AQ31" s="187" t="b">
        <f t="shared" si="5"/>
        <v>1</v>
      </c>
      <c r="AR31" s="188">
        <v>30.0</v>
      </c>
      <c r="AS31" s="189"/>
      <c r="AT31" s="110"/>
      <c r="AU31" s="110" t="s">
        <v>384</v>
      </c>
      <c r="AV31" s="169">
        <v>12.0</v>
      </c>
      <c r="AW31" s="118" t="b">
        <v>0</v>
      </c>
      <c r="AX31" s="190" t="b">
        <f t="shared" si="27"/>
        <v>1</v>
      </c>
      <c r="AY31" s="48">
        <f>AV31-AC31</f>
        <v>2</v>
      </c>
      <c r="BA31" s="191" t="b">
        <v>0</v>
      </c>
      <c r="BB31" s="18" t="str">
        <f t="shared" si="8"/>
        <v/>
      </c>
      <c r="BC31" s="18" t="str">
        <f t="shared" si="9"/>
        <v/>
      </c>
      <c r="BD31" s="48" t="str">
        <f t="shared" si="10"/>
        <v/>
      </c>
      <c r="BE31" s="192"/>
      <c r="BF31" s="76">
        <f t="shared" si="11"/>
        <v>44834</v>
      </c>
      <c r="BG31" s="114" t="str">
        <f t="shared" si="12"/>
        <v>RUN-ABRM_2022-09-30_RFR-030</v>
      </c>
      <c r="BH31" s="83">
        <f t="shared" si="13"/>
        <v>12</v>
      </c>
      <c r="BI31" s="83">
        <f t="shared" si="14"/>
        <v>10</v>
      </c>
      <c r="BJ31" s="83">
        <f t="shared" si="15"/>
        <v>10</v>
      </c>
      <c r="BK31" s="83">
        <f t="shared" si="16"/>
        <v>1.1</v>
      </c>
      <c r="BL31" s="200">
        <f>IFNA(IF(VLOOKUP(FLOOR($B31,1),'APS Tubes by Date IMPORT'!$B$2:$J259,1,FALSE)=FLOOR($BL30,1),IFERROR(0/0,""),VLOOKUP(FLOOR($B31,1),'APS Tubes by Date IMPORT'!$B$2:$J259,1,FALSE)),"")</f>
        <v>44834</v>
      </c>
      <c r="BM31" s="83">
        <f>IF(ISBLANK($BL31),IFERROR(0/0,""),VLOOKUP(FLOOR($B31,1),'APS Tubes by Date IMPORT'!$B$2:$J259,2,FALSE))</f>
        <v>10</v>
      </c>
      <c r="BN31" s="114"/>
      <c r="BO31" s="83" t="str">
        <f>VLOOKUP(FLOOR($B31,1),'APS Tubes by Date IMPORT'!$B31:$I259,6,FALSE)</f>
        <v>#N/A</v>
      </c>
      <c r="BP31" s="83">
        <v>7.0</v>
      </c>
      <c r="BQ31" s="193">
        <f t="shared" si="17"/>
        <v>-3</v>
      </c>
      <c r="BR31" s="131">
        <v>3.0</v>
      </c>
      <c r="BS31" s="76" t="b">
        <f t="shared" si="18"/>
        <v>1</v>
      </c>
      <c r="BT31" s="194" t="str">
        <f t="shared" si="19"/>
        <v>Delete NULL</v>
      </c>
      <c r="BU31" s="195"/>
      <c r="BV31" s="195"/>
      <c r="BW31" s="195"/>
      <c r="BX31" s="195"/>
    </row>
    <row r="32">
      <c r="A32" s="18" t="str">
        <f>CONCATENATE("RUN-",'Process Ref'!$A$1,"_",TEXT(U32,"YYYY-MM-DD"),"_RFR-",TEXT(AR32,"000"),IF(EXACT(W32,"Initial"),"",CONCATENATE("_",W32)))</f>
        <v>RUN-ABRM_2022-09-30_RFR-031_Re-run</v>
      </c>
      <c r="B32" s="168">
        <v>44834.418344907404</v>
      </c>
      <c r="C32" s="110"/>
      <c r="D32" s="110" t="s">
        <v>313</v>
      </c>
      <c r="E32" s="131"/>
      <c r="F32" s="92"/>
      <c r="G32" s="171" t="s">
        <v>425</v>
      </c>
      <c r="H32" s="213"/>
      <c r="I32" s="203" t="s">
        <v>360</v>
      </c>
      <c r="J32" s="172"/>
      <c r="K32" s="204"/>
      <c r="L32" s="131"/>
      <c r="M32" s="174"/>
      <c r="N32" s="174"/>
      <c r="O32" s="175"/>
      <c r="P32" s="118" t="b">
        <v>0</v>
      </c>
      <c r="Q32" s="176" t="b">
        <v>0</v>
      </c>
      <c r="R32" s="55"/>
      <c r="S32" s="118" t="b">
        <v>1</v>
      </c>
      <c r="T32" s="177" t="b">
        <v>1</v>
      </c>
      <c r="U32" s="178">
        <v>44834.0</v>
      </c>
      <c r="V32" s="179">
        <v>0.4638888888888889</v>
      </c>
      <c r="W32" s="110" t="s">
        <v>339</v>
      </c>
      <c r="X32" s="180"/>
      <c r="Y32" s="118" t="b">
        <v>0</v>
      </c>
      <c r="Z32" s="172"/>
      <c r="AA32" s="196">
        <f t="shared" si="1"/>
        <v>0</v>
      </c>
      <c r="AB32" s="197" t="b">
        <f t="shared" si="2"/>
        <v>1</v>
      </c>
      <c r="AC32" s="169">
        <v>3.0</v>
      </c>
      <c r="AD32" s="169">
        <v>0.0</v>
      </c>
      <c r="AE32" s="169">
        <v>0.0</v>
      </c>
      <c r="AF32" s="169">
        <v>0.0</v>
      </c>
      <c r="AG32" s="169">
        <v>0.0</v>
      </c>
      <c r="AH32" s="169">
        <v>0.0</v>
      </c>
      <c r="AI32" s="169">
        <v>0.0</v>
      </c>
      <c r="AJ32" s="182" t="b">
        <v>0</v>
      </c>
      <c r="AK32" s="183">
        <v>1.0</v>
      </c>
      <c r="AL32" s="169">
        <v>0.0</v>
      </c>
      <c r="AM32" s="172" t="str">
        <f>IF(EXACT(W32,"Initial"),"Audit","")</f>
        <v/>
      </c>
      <c r="AN32" s="198" t="str">
        <f>IFNA(VLOOKUP($A32,'Tube Reactions'!$J$2:$K259,2,FALSE),"")</f>
        <v/>
      </c>
      <c r="AO32" s="199" t="str">
        <f t="shared" si="20"/>
        <v/>
      </c>
      <c r="AP32" s="186" t="str">
        <f t="shared" si="4"/>
        <v>Absent</v>
      </c>
      <c r="AQ32" s="187" t="b">
        <f t="shared" si="5"/>
        <v>0</v>
      </c>
      <c r="AR32" s="188">
        <v>31.0</v>
      </c>
      <c r="AS32" s="189" t="s">
        <v>429</v>
      </c>
      <c r="AT32" s="110"/>
      <c r="AU32" s="110" t="s">
        <v>384</v>
      </c>
      <c r="AV32" s="172"/>
      <c r="AW32" s="118" t="b">
        <v>0</v>
      </c>
      <c r="AX32" s="190" t="b">
        <f t="shared" si="27"/>
        <v>0</v>
      </c>
      <c r="AY32" s="48"/>
      <c r="BA32" s="191" t="b">
        <v>0</v>
      </c>
      <c r="BB32" s="18" t="str">
        <f t="shared" si="8"/>
        <v/>
      </c>
      <c r="BC32" s="18" t="str">
        <f t="shared" si="9"/>
        <v/>
      </c>
      <c r="BD32" s="48" t="str">
        <f t="shared" si="10"/>
        <v/>
      </c>
      <c r="BE32" s="192"/>
      <c r="BF32" s="76" t="str">
        <f t="shared" si="11"/>
        <v/>
      </c>
      <c r="BG32" s="114" t="str">
        <f t="shared" si="12"/>
        <v/>
      </c>
      <c r="BH32" s="83" t="str">
        <f t="shared" si="13"/>
        <v/>
      </c>
      <c r="BI32" s="83" t="str">
        <f t="shared" si="14"/>
        <v/>
      </c>
      <c r="BJ32" s="83" t="str">
        <f t="shared" si="15"/>
        <v/>
      </c>
      <c r="BK32" s="83" t="str">
        <f t="shared" si="16"/>
        <v/>
      </c>
      <c r="BL32" s="200" t="str">
        <f>IFNA(IF(VLOOKUP(FLOOR($B32,1),'APS Tubes by Date IMPORT'!$B$2:$J259,1,FALSE)=FLOOR($BL31,1),IFERROR(0/0,""),VLOOKUP(FLOOR($B32,1),'APS Tubes by Date IMPORT'!$B$2:$J259,1,FALSE)),"")</f>
        <v/>
      </c>
      <c r="BM32" s="83" t="str">
        <f>IF(ISBLANK($BL32),IFERROR(0/0,""),VLOOKUP(FLOOR($B32,1),'APS Tubes by Date IMPORT'!$B$2:$J259,2,FALSE))</f>
        <v/>
      </c>
      <c r="BN32" s="114"/>
      <c r="BO32" s="83" t="str">
        <f>VLOOKUP(FLOOR($B32,1),'APS Tubes by Date IMPORT'!$B32:$I259,6,FALSE)</f>
        <v>#N/A</v>
      </c>
      <c r="BP32" s="83">
        <v>7.0</v>
      </c>
      <c r="BQ32" s="193">
        <f t="shared" si="17"/>
        <v>7</v>
      </c>
      <c r="BR32" s="131">
        <v>3.0</v>
      </c>
      <c r="BS32" s="76" t="b">
        <f t="shared" si="18"/>
        <v>1</v>
      </c>
      <c r="BT32" s="194" t="str">
        <f t="shared" si="19"/>
        <v>Delete NULL</v>
      </c>
      <c r="BU32" s="195"/>
      <c r="BV32" s="195"/>
      <c r="BW32" s="195"/>
      <c r="BX32" s="195"/>
    </row>
    <row r="33">
      <c r="A33" s="18" t="str">
        <f>CONCATENATE("RUN-",'Process Ref'!$A$1,"_",TEXT(U33,"YYYY-MM-DD"),"_RFR-",TEXT(AR33,"000"),IF(EXACT(W33,"Initial"),"",CONCATENATE("_",W33)))</f>
        <v>RUN-ABRM_2022-10-03_RFR-032</v>
      </c>
      <c r="B33" s="168">
        <v>44837.38363425926</v>
      </c>
      <c r="C33" s="110"/>
      <c r="D33" s="110" t="s">
        <v>313</v>
      </c>
      <c r="E33" s="169">
        <v>13.0</v>
      </c>
      <c r="F33" s="110" t="s">
        <v>430</v>
      </c>
      <c r="G33" s="170" t="s">
        <v>431</v>
      </c>
      <c r="H33" s="170" t="s">
        <v>432</v>
      </c>
      <c r="I33" s="170" t="s">
        <v>433</v>
      </c>
      <c r="J33" s="172"/>
      <c r="K33" s="204"/>
      <c r="L33" s="131"/>
      <c r="M33" s="174"/>
      <c r="N33" s="174"/>
      <c r="O33" s="175"/>
      <c r="P33" s="118" t="b">
        <v>0</v>
      </c>
      <c r="Q33" s="176" t="b">
        <v>0</v>
      </c>
      <c r="R33" s="55"/>
      <c r="S33" s="118" t="b">
        <v>0</v>
      </c>
      <c r="T33" s="177" t="b">
        <v>0</v>
      </c>
      <c r="U33" s="178">
        <v>44837.0</v>
      </c>
      <c r="V33" s="179">
        <v>0.4166666666666667</v>
      </c>
      <c r="W33" s="110" t="s">
        <v>320</v>
      </c>
      <c r="X33" s="180"/>
      <c r="Y33" s="118" t="b">
        <v>0</v>
      </c>
      <c r="Z33" s="169">
        <v>13.0</v>
      </c>
      <c r="AA33" s="196">
        <f t="shared" si="1"/>
        <v>0</v>
      </c>
      <c r="AB33" s="197" t="b">
        <f t="shared" si="2"/>
        <v>1</v>
      </c>
      <c r="AC33" s="169">
        <v>11.0</v>
      </c>
      <c r="AD33" s="169">
        <v>0.0</v>
      </c>
      <c r="AE33" s="169">
        <v>0.0</v>
      </c>
      <c r="AF33" s="169">
        <v>0.0</v>
      </c>
      <c r="AG33" s="169">
        <v>0.0</v>
      </c>
      <c r="AH33" s="169">
        <v>0.0</v>
      </c>
      <c r="AI33" s="169">
        <v>0.0</v>
      </c>
      <c r="AJ33" s="182" t="b">
        <v>0</v>
      </c>
      <c r="AK33" s="183">
        <v>11.0</v>
      </c>
      <c r="AL33" s="169">
        <v>0.0</v>
      </c>
      <c r="AM33" s="169">
        <v>0.0</v>
      </c>
      <c r="AN33" s="198" t="str">
        <f>IFNA(VLOOKUP($A33,'Tube Reactions'!$J$2:$K259,2,FALSE),"")</f>
        <v/>
      </c>
      <c r="AO33" s="199" t="str">
        <f t="shared" si="20"/>
        <v/>
      </c>
      <c r="AP33" s="186" t="str">
        <f t="shared" si="4"/>
        <v/>
      </c>
      <c r="AQ33" s="187" t="b">
        <f t="shared" si="5"/>
        <v>1</v>
      </c>
      <c r="AR33" s="188">
        <v>32.0</v>
      </c>
      <c r="AS33" s="189"/>
      <c r="AT33" s="110"/>
      <c r="AU33" s="110" t="s">
        <v>384</v>
      </c>
      <c r="AV33" s="169">
        <v>13.0</v>
      </c>
      <c r="AW33" s="118" t="b">
        <v>1</v>
      </c>
      <c r="AX33" s="190" t="b">
        <f t="shared" si="27"/>
        <v>1</v>
      </c>
      <c r="AY33" s="48">
        <f t="shared" ref="AY33:AY35" si="30">AV33-AC33</f>
        <v>2</v>
      </c>
      <c r="BA33" s="191" t="b">
        <v>1</v>
      </c>
      <c r="BB33" s="18" t="b">
        <f t="shared" si="8"/>
        <v>1</v>
      </c>
      <c r="BC33" s="18" t="b">
        <f t="shared" si="9"/>
        <v>1</v>
      </c>
      <c r="BD33" s="48">
        <f t="shared" si="10"/>
        <v>11</v>
      </c>
      <c r="BE33" s="192"/>
      <c r="BF33" s="76">
        <f t="shared" si="11"/>
        <v>44837</v>
      </c>
      <c r="BG33" s="114" t="str">
        <f t="shared" si="12"/>
        <v>RUN-ABRM_2022-10-03_RFR-032</v>
      </c>
      <c r="BH33" s="83">
        <f t="shared" si="13"/>
        <v>13</v>
      </c>
      <c r="BI33" s="83">
        <f t="shared" si="14"/>
        <v>11</v>
      </c>
      <c r="BJ33" s="83">
        <f t="shared" si="15"/>
        <v>11</v>
      </c>
      <c r="BK33" s="83">
        <f t="shared" si="16"/>
        <v>0</v>
      </c>
      <c r="BL33" s="200">
        <f>IFNA(IF(VLOOKUP(FLOOR($B33,1),'APS Tubes by Date IMPORT'!$B$2:$J259,1,FALSE)=FLOOR($BL32,1),IFERROR(0/0,""),VLOOKUP(FLOOR($B33,1),'APS Tubes by Date IMPORT'!$B$2:$J259,1,FALSE)),"")</f>
        <v>44837</v>
      </c>
      <c r="BM33" s="83">
        <f>IF(ISBLANK($BL33),IFERROR(0/0,""),VLOOKUP(FLOOR($B33,1),'APS Tubes by Date IMPORT'!$B$2:$J259,2,FALSE))</f>
        <v>11</v>
      </c>
      <c r="BN33" s="114"/>
      <c r="BO33" s="83" t="str">
        <f>VLOOKUP(FLOOR($B33,1),'APS Tubes by Date IMPORT'!$B33:$I259,6,FALSE)</f>
        <v>#N/A</v>
      </c>
      <c r="BP33" s="83">
        <v>7.0</v>
      </c>
      <c r="BQ33" s="193">
        <f t="shared" si="17"/>
        <v>-4</v>
      </c>
      <c r="BR33" s="131">
        <v>3.0</v>
      </c>
      <c r="BS33" s="76" t="b">
        <f t="shared" si="18"/>
        <v>1</v>
      </c>
      <c r="BT33" s="194" t="str">
        <f t="shared" si="19"/>
        <v>Delete NULL</v>
      </c>
      <c r="BU33" s="195"/>
      <c r="BV33" s="195"/>
      <c r="BW33" s="195"/>
      <c r="BX33" s="195"/>
    </row>
    <row r="34">
      <c r="A34" s="18" t="str">
        <f>CONCATENATE("RUN-",'Process Ref'!$A$1,"_",TEXT(U34,"YYYY-MM-DD"),"_RFR-",TEXT(AR34,"000"),IF(EXACT(W34,"Initial"),"",CONCATENATE("_",W34)))</f>
        <v>RUN-ABRM_2022-10-04_RFR-033</v>
      </c>
      <c r="B34" s="168">
        <v>44838.39263888889</v>
      </c>
      <c r="C34" s="110"/>
      <c r="D34" s="110" t="s">
        <v>313</v>
      </c>
      <c r="E34" s="169">
        <v>13.0</v>
      </c>
      <c r="F34" s="110" t="s">
        <v>434</v>
      </c>
      <c r="G34" s="170" t="s">
        <v>435</v>
      </c>
      <c r="H34" s="170" t="s">
        <v>436</v>
      </c>
      <c r="I34" s="170" t="s">
        <v>437</v>
      </c>
      <c r="J34" s="172"/>
      <c r="K34" s="204"/>
      <c r="L34" s="131"/>
      <c r="M34" s="174"/>
      <c r="N34" s="174"/>
      <c r="O34" s="175"/>
      <c r="P34" s="118" t="b">
        <v>0</v>
      </c>
      <c r="Q34" s="176" t="b">
        <v>0</v>
      </c>
      <c r="R34" s="55"/>
      <c r="S34" s="118" t="b">
        <v>0</v>
      </c>
      <c r="T34" s="177" t="b">
        <v>0</v>
      </c>
      <c r="U34" s="178">
        <v>44838.0</v>
      </c>
      <c r="V34" s="179">
        <v>0.4270833333333333</v>
      </c>
      <c r="W34" s="110" t="s">
        <v>320</v>
      </c>
      <c r="X34" s="180"/>
      <c r="Y34" s="118" t="b">
        <v>0</v>
      </c>
      <c r="Z34" s="169">
        <v>13.0</v>
      </c>
      <c r="AA34" s="196">
        <f t="shared" si="1"/>
        <v>0</v>
      </c>
      <c r="AB34" s="197" t="b">
        <f t="shared" si="2"/>
        <v>1</v>
      </c>
      <c r="AC34" s="169">
        <v>11.0</v>
      </c>
      <c r="AD34" s="169">
        <v>0.0</v>
      </c>
      <c r="AE34" s="169">
        <v>0.0</v>
      </c>
      <c r="AF34" s="169">
        <v>0.0</v>
      </c>
      <c r="AG34" s="169">
        <v>0.0</v>
      </c>
      <c r="AH34" s="169">
        <v>0.0</v>
      </c>
      <c r="AI34" s="169">
        <v>0.0</v>
      </c>
      <c r="AJ34" s="182" t="b">
        <v>0</v>
      </c>
      <c r="AK34" s="183">
        <v>11.0</v>
      </c>
      <c r="AL34" s="169">
        <v>0.0</v>
      </c>
      <c r="AM34" s="169">
        <v>0.0</v>
      </c>
      <c r="AN34" s="198" t="str">
        <f>IFNA(VLOOKUP($A34,'Tube Reactions'!$J$2:$K259,2,FALSE),"")</f>
        <v/>
      </c>
      <c r="AO34" s="199" t="str">
        <f t="shared" si="20"/>
        <v/>
      </c>
      <c r="AP34" s="186" t="str">
        <f t="shared" si="4"/>
        <v/>
      </c>
      <c r="AQ34" s="187" t="b">
        <f t="shared" si="5"/>
        <v>1</v>
      </c>
      <c r="AR34" s="188">
        <v>33.0</v>
      </c>
      <c r="AS34" s="189"/>
      <c r="AT34" s="110"/>
      <c r="AU34" s="110" t="s">
        <v>384</v>
      </c>
      <c r="AV34" s="169">
        <v>13.0</v>
      </c>
      <c r="AW34" s="118" t="b">
        <v>1</v>
      </c>
      <c r="AX34" s="190" t="b">
        <f t="shared" si="27"/>
        <v>1</v>
      </c>
      <c r="AY34" s="48">
        <f t="shared" si="30"/>
        <v>2</v>
      </c>
      <c r="BA34" s="191" t="b">
        <v>1</v>
      </c>
      <c r="BB34" s="18" t="b">
        <f t="shared" si="8"/>
        <v>1</v>
      </c>
      <c r="BC34" s="18" t="b">
        <f t="shared" si="9"/>
        <v>1</v>
      </c>
      <c r="BD34" s="48">
        <f t="shared" si="10"/>
        <v>11</v>
      </c>
      <c r="BE34" s="192"/>
      <c r="BF34" s="76">
        <f t="shared" si="11"/>
        <v>44838</v>
      </c>
      <c r="BG34" s="114" t="str">
        <f t="shared" si="12"/>
        <v>RUN-ABRM_2022-10-04_RFR-033</v>
      </c>
      <c r="BH34" s="83">
        <f t="shared" si="13"/>
        <v>13</v>
      </c>
      <c r="BI34" s="83">
        <f t="shared" si="14"/>
        <v>11</v>
      </c>
      <c r="BJ34" s="83">
        <f t="shared" si="15"/>
        <v>11</v>
      </c>
      <c r="BK34" s="83">
        <f t="shared" si="16"/>
        <v>0</v>
      </c>
      <c r="BL34" s="200">
        <f>IFNA(IF(VLOOKUP(FLOOR($B34,1),'APS Tubes by Date IMPORT'!$B$2:$J259,1,FALSE)=FLOOR($BL33,1),IFERROR(0/0,""),VLOOKUP(FLOOR($B34,1),'APS Tubes by Date IMPORT'!$B$2:$J259,1,FALSE)),"")</f>
        <v>44838</v>
      </c>
      <c r="BM34" s="83">
        <f>IF(ISBLANK($BL34),IFERROR(0/0,""),VLOOKUP(FLOOR($B34,1),'APS Tubes by Date IMPORT'!$B$2:$J259,2,FALSE))</f>
        <v>11</v>
      </c>
      <c r="BN34" s="114"/>
      <c r="BO34" s="83" t="str">
        <f>VLOOKUP(FLOOR($B34,1),'APS Tubes by Date IMPORT'!$B34:$I259,6,FALSE)</f>
        <v>#N/A</v>
      </c>
      <c r="BP34" s="83">
        <v>7.0</v>
      </c>
      <c r="BQ34" s="193">
        <f t="shared" si="17"/>
        <v>-4</v>
      </c>
      <c r="BR34" s="131">
        <v>3.0</v>
      </c>
      <c r="BS34" s="76" t="b">
        <f t="shared" si="18"/>
        <v>1</v>
      </c>
      <c r="BT34" s="194" t="str">
        <f t="shared" si="19"/>
        <v>Delete NULL</v>
      </c>
      <c r="BU34" s="195"/>
      <c r="BV34" s="195"/>
      <c r="BW34" s="195"/>
      <c r="BX34" s="195"/>
    </row>
    <row r="35">
      <c r="A35" s="18" t="str">
        <f>CONCATENATE("RUN-",'Process Ref'!$A$1,"_",TEXT(U35,"YYYY-MM-DD"),"_RFR-",TEXT(AR35,"000"),IF(EXACT(W35,"Initial"),"",CONCATENATE("_",W35)))</f>
        <v>RUN-ABRM_2022-10-05_RFR-034</v>
      </c>
      <c r="B35" s="168">
        <v>44839.476331018515</v>
      </c>
      <c r="C35" s="110"/>
      <c r="D35" s="110" t="s">
        <v>313</v>
      </c>
      <c r="E35" s="169">
        <v>15.0</v>
      </c>
      <c r="F35" s="110" t="s">
        <v>438</v>
      </c>
      <c r="G35" s="171" t="s">
        <v>439</v>
      </c>
      <c r="H35" s="171" t="s">
        <v>440</v>
      </c>
      <c r="I35" s="171" t="s">
        <v>441</v>
      </c>
      <c r="J35" s="169">
        <v>1.0</v>
      </c>
      <c r="K35" s="173" t="s">
        <v>442</v>
      </c>
      <c r="L35" s="131"/>
      <c r="M35" s="174"/>
      <c r="N35" s="174"/>
      <c r="O35" s="175"/>
      <c r="P35" s="118" t="b">
        <v>0</v>
      </c>
      <c r="Q35" s="176" t="b">
        <v>0</v>
      </c>
      <c r="R35" s="55"/>
      <c r="S35" s="118" t="b">
        <v>0</v>
      </c>
      <c r="T35" s="177" t="b">
        <v>1</v>
      </c>
      <c r="U35" s="178">
        <v>44839.0</v>
      </c>
      <c r="V35" s="179">
        <v>0.4791666666666667</v>
      </c>
      <c r="W35" s="110" t="s">
        <v>320</v>
      </c>
      <c r="X35" s="180"/>
      <c r="Y35" s="118" t="b">
        <v>1</v>
      </c>
      <c r="Z35" s="169">
        <v>15.0</v>
      </c>
      <c r="AA35" s="196">
        <f t="shared" si="1"/>
        <v>0</v>
      </c>
      <c r="AB35" s="197" t="b">
        <f t="shared" si="2"/>
        <v>1</v>
      </c>
      <c r="AC35" s="169">
        <v>13.0</v>
      </c>
      <c r="AD35" s="169">
        <v>1.0</v>
      </c>
      <c r="AE35" s="169">
        <v>1.0</v>
      </c>
      <c r="AF35" s="169">
        <v>0.0</v>
      </c>
      <c r="AG35" s="169">
        <v>0.0</v>
      </c>
      <c r="AH35" s="169">
        <v>0.0</v>
      </c>
      <c r="AI35" s="169">
        <v>0.0</v>
      </c>
      <c r="AJ35" s="182" t="b">
        <v>0</v>
      </c>
      <c r="AK35" s="183">
        <v>13.0</v>
      </c>
      <c r="AL35" s="169">
        <v>1.1</v>
      </c>
      <c r="AM35" s="169">
        <v>1.0</v>
      </c>
      <c r="AN35" s="198" t="str">
        <f>IFNA(VLOOKUP($A35,'Tube Reactions'!$J$2:$K259,2,FALSE),"")</f>
        <v/>
      </c>
      <c r="AO35" s="199" t="str">
        <f t="shared" si="20"/>
        <v>NOT EQUAL</v>
      </c>
      <c r="AP35" s="186" t="str">
        <f t="shared" si="4"/>
        <v/>
      </c>
      <c r="AQ35" s="187" t="b">
        <f t="shared" si="5"/>
        <v>1</v>
      </c>
      <c r="AR35" s="188">
        <v>34.0</v>
      </c>
      <c r="AS35" s="189"/>
      <c r="AT35" s="110"/>
      <c r="AU35" s="110" t="s">
        <v>384</v>
      </c>
      <c r="AV35" s="169">
        <v>15.0</v>
      </c>
      <c r="AW35" s="118" t="b">
        <v>0</v>
      </c>
      <c r="AX35" s="190" t="b">
        <f t="shared" si="27"/>
        <v>1</v>
      </c>
      <c r="AY35" s="48">
        <f t="shared" si="30"/>
        <v>2</v>
      </c>
      <c r="BA35" s="191" t="b">
        <v>0</v>
      </c>
      <c r="BB35" s="18" t="str">
        <f t="shared" si="8"/>
        <v/>
      </c>
      <c r="BC35" s="18" t="str">
        <f t="shared" si="9"/>
        <v/>
      </c>
      <c r="BD35" s="48" t="str">
        <f t="shared" si="10"/>
        <v/>
      </c>
      <c r="BE35" s="192"/>
      <c r="BF35" s="76">
        <f t="shared" si="11"/>
        <v>44839</v>
      </c>
      <c r="BG35" s="114" t="str">
        <f t="shared" si="12"/>
        <v>RUN-ABRM_2022-10-05_RFR-034</v>
      </c>
      <c r="BH35" s="83">
        <f t="shared" si="13"/>
        <v>15</v>
      </c>
      <c r="BI35" s="83">
        <f t="shared" si="14"/>
        <v>13</v>
      </c>
      <c r="BJ35" s="83">
        <f t="shared" si="15"/>
        <v>13</v>
      </c>
      <c r="BK35" s="83">
        <f t="shared" si="16"/>
        <v>1.1</v>
      </c>
      <c r="BL35" s="200">
        <f>IFNA(IF(VLOOKUP(FLOOR($B35,1),'APS Tubes by Date IMPORT'!$B$2:$J259,1,FALSE)=FLOOR($BL34,1),IFERROR(0/0,""),VLOOKUP(FLOOR($B35,1),'APS Tubes by Date IMPORT'!$B$2:$J259,1,FALSE)),"")</f>
        <v>44839</v>
      </c>
      <c r="BM35" s="83">
        <f>IF(ISBLANK($BL35),IFERROR(0/0,""),VLOOKUP(FLOOR($B35,1),'APS Tubes by Date IMPORT'!$B$2:$J259,2,FALSE))</f>
        <v>13</v>
      </c>
      <c r="BN35" s="114"/>
      <c r="BO35" s="83" t="str">
        <f>VLOOKUP(FLOOR($B35,1),'APS Tubes by Date IMPORT'!$B35:$I259,6,FALSE)</f>
        <v>#N/A</v>
      </c>
      <c r="BP35" s="83">
        <v>7.0</v>
      </c>
      <c r="BQ35" s="193">
        <f t="shared" si="17"/>
        <v>-6</v>
      </c>
      <c r="BR35" s="131">
        <v>3.0</v>
      </c>
      <c r="BS35" s="76" t="b">
        <f t="shared" si="18"/>
        <v>1</v>
      </c>
      <c r="BT35" s="194" t="str">
        <f t="shared" si="19"/>
        <v>Delete NULL</v>
      </c>
      <c r="BU35" s="195"/>
      <c r="BV35" s="195"/>
      <c r="BW35" s="195"/>
      <c r="BX35" s="195"/>
    </row>
    <row r="36">
      <c r="A36" s="18" t="str">
        <f>CONCATENATE("RUN-",'Process Ref'!$A$1,"_",TEXT(U36,"YYYY-MM-DD"),"_RFR-",TEXT(AR36,"000"),IF(EXACT(W36,"Initial"),"",CONCATENATE("_",W36)))</f>
        <v>RUN-ABRM_2022-10-05_RFR-035_Re-run</v>
      </c>
      <c r="B36" s="168">
        <v>44839.476331018515</v>
      </c>
      <c r="C36" s="110"/>
      <c r="D36" s="110" t="s">
        <v>313</v>
      </c>
      <c r="E36" s="131"/>
      <c r="F36" s="110" t="s">
        <v>438</v>
      </c>
      <c r="G36" s="171" t="s">
        <v>439</v>
      </c>
      <c r="H36" s="213"/>
      <c r="I36" s="203" t="s">
        <v>360</v>
      </c>
      <c r="J36" s="172"/>
      <c r="K36" s="204"/>
      <c r="L36" s="131"/>
      <c r="M36" s="174"/>
      <c r="N36" s="174"/>
      <c r="O36" s="175"/>
      <c r="P36" s="118" t="b">
        <v>0</v>
      </c>
      <c r="Q36" s="176" t="b">
        <v>0</v>
      </c>
      <c r="R36" s="55"/>
      <c r="S36" s="118" t="b">
        <v>0</v>
      </c>
      <c r="T36" s="177" t="b">
        <v>1</v>
      </c>
      <c r="U36" s="178">
        <v>44839.0</v>
      </c>
      <c r="V36" s="179">
        <v>0.5208333333333334</v>
      </c>
      <c r="W36" s="110" t="s">
        <v>339</v>
      </c>
      <c r="X36" s="180"/>
      <c r="Y36" s="118" t="b">
        <v>0</v>
      </c>
      <c r="Z36" s="172"/>
      <c r="AA36" s="196">
        <f t="shared" si="1"/>
        <v>0</v>
      </c>
      <c r="AB36" s="197" t="b">
        <f t="shared" si="2"/>
        <v>1</v>
      </c>
      <c r="AC36" s="169">
        <v>3.0</v>
      </c>
      <c r="AD36" s="169">
        <v>0.0</v>
      </c>
      <c r="AE36" s="169">
        <v>0.0</v>
      </c>
      <c r="AF36" s="169">
        <v>0.0</v>
      </c>
      <c r="AG36" s="169">
        <v>0.0</v>
      </c>
      <c r="AH36" s="169">
        <v>0.0</v>
      </c>
      <c r="AI36" s="169">
        <v>0.0</v>
      </c>
      <c r="AJ36" s="182" t="b">
        <v>0</v>
      </c>
      <c r="AK36" s="183">
        <v>1.0</v>
      </c>
      <c r="AL36" s="169">
        <v>0.0</v>
      </c>
      <c r="AM36" s="172" t="str">
        <f>IF(EXACT(W36,"Initial"),"Audit","")</f>
        <v/>
      </c>
      <c r="AN36" s="198" t="str">
        <f>IFNA(VLOOKUP($A36,'Tube Reactions'!$J$2:$K259,2,FALSE),"")</f>
        <v/>
      </c>
      <c r="AO36" s="199" t="str">
        <f t="shared" si="20"/>
        <v/>
      </c>
      <c r="AP36" s="186" t="str">
        <f t="shared" si="4"/>
        <v>Absent</v>
      </c>
      <c r="AQ36" s="187" t="b">
        <f t="shared" si="5"/>
        <v>0</v>
      </c>
      <c r="AR36" s="188">
        <v>35.0</v>
      </c>
      <c r="AS36" s="189" t="s">
        <v>429</v>
      </c>
      <c r="AT36" s="110"/>
      <c r="AU36" s="110" t="s">
        <v>384</v>
      </c>
      <c r="AV36" s="172"/>
      <c r="AW36" s="118" t="b">
        <v>0</v>
      </c>
      <c r="AX36" s="190" t="b">
        <f t="shared" si="27"/>
        <v>0</v>
      </c>
      <c r="AY36" s="48"/>
      <c r="BA36" s="191" t="b">
        <v>0</v>
      </c>
      <c r="BB36" s="18" t="str">
        <f t="shared" si="8"/>
        <v/>
      </c>
      <c r="BC36" s="18" t="str">
        <f t="shared" si="9"/>
        <v/>
      </c>
      <c r="BD36" s="48" t="str">
        <f t="shared" si="10"/>
        <v/>
      </c>
      <c r="BE36" s="192"/>
      <c r="BF36" s="76" t="str">
        <f t="shared" si="11"/>
        <v/>
      </c>
      <c r="BG36" s="114" t="str">
        <f t="shared" si="12"/>
        <v/>
      </c>
      <c r="BH36" s="83" t="str">
        <f t="shared" si="13"/>
        <v/>
      </c>
      <c r="BI36" s="83" t="str">
        <f t="shared" si="14"/>
        <v/>
      </c>
      <c r="BJ36" s="83" t="str">
        <f t="shared" si="15"/>
        <v/>
      </c>
      <c r="BK36" s="83" t="str">
        <f t="shared" si="16"/>
        <v/>
      </c>
      <c r="BL36" s="200" t="str">
        <f>IFNA(IF(VLOOKUP(FLOOR($B36,1),'APS Tubes by Date IMPORT'!$B$2:$J259,1,FALSE)=FLOOR($BL35,1),IFERROR(0/0,""),VLOOKUP(FLOOR($B36,1),'APS Tubes by Date IMPORT'!$B$2:$J259,1,FALSE)),"")</f>
        <v/>
      </c>
      <c r="BM36" s="83" t="str">
        <f>IF(ISBLANK($BL36),IFERROR(0/0,""),VLOOKUP(FLOOR($B36,1),'APS Tubes by Date IMPORT'!$B$2:$J259,2,FALSE))</f>
        <v/>
      </c>
      <c r="BN36" s="114"/>
      <c r="BO36" s="83" t="str">
        <f>VLOOKUP(FLOOR($B36,1),'APS Tubes by Date IMPORT'!$B36:$I259,6,FALSE)</f>
        <v>#N/A</v>
      </c>
      <c r="BP36" s="83">
        <v>7.0</v>
      </c>
      <c r="BQ36" s="193">
        <f t="shared" si="17"/>
        <v>7</v>
      </c>
      <c r="BR36" s="131">
        <v>3.0</v>
      </c>
      <c r="BS36" s="76" t="b">
        <f t="shared" si="18"/>
        <v>1</v>
      </c>
      <c r="BT36" s="194" t="str">
        <f t="shared" si="19"/>
        <v>Delete NULL</v>
      </c>
      <c r="BU36" s="195"/>
      <c r="BV36" s="195"/>
      <c r="BW36" s="195"/>
      <c r="BX36" s="195"/>
    </row>
    <row r="37">
      <c r="A37" s="18" t="str">
        <f>CONCATENATE("RUN-",'Process Ref'!$A$1,"_",TEXT(U37,"YYYY-MM-DD"),"_RFR-",TEXT(AR37,"000"),IF(EXACT(W37,"Initial"),"",CONCATENATE("_",W37)))</f>
        <v>RUN-ABRM_2022-10-06_RFR-036</v>
      </c>
      <c r="B37" s="168">
        <v>44840.40373842593</v>
      </c>
      <c r="C37" s="110"/>
      <c r="D37" s="110" t="s">
        <v>313</v>
      </c>
      <c r="E37" s="169">
        <v>12.0</v>
      </c>
      <c r="F37" s="110" t="s">
        <v>443</v>
      </c>
      <c r="G37" s="170" t="s">
        <v>444</v>
      </c>
      <c r="H37" s="170" t="s">
        <v>445</v>
      </c>
      <c r="I37" s="170" t="s">
        <v>446</v>
      </c>
      <c r="J37" s="169">
        <v>0.0</v>
      </c>
      <c r="K37" s="173" t="s">
        <v>447</v>
      </c>
      <c r="L37" s="131"/>
      <c r="M37" s="174"/>
      <c r="N37" s="174"/>
      <c r="O37" s="175"/>
      <c r="P37" s="118" t="b">
        <v>0</v>
      </c>
      <c r="Q37" s="176" t="b">
        <v>0</v>
      </c>
      <c r="R37" s="55"/>
      <c r="S37" s="118" t="b">
        <v>0</v>
      </c>
      <c r="T37" s="177" t="b">
        <v>0</v>
      </c>
      <c r="U37" s="178">
        <v>44840.0</v>
      </c>
      <c r="V37" s="179">
        <v>0.4166666666666667</v>
      </c>
      <c r="W37" s="110" t="s">
        <v>320</v>
      </c>
      <c r="X37" s="180"/>
      <c r="Y37" s="118" t="b">
        <v>0</v>
      </c>
      <c r="Z37" s="169">
        <v>14.0</v>
      </c>
      <c r="AA37" s="196">
        <f t="shared" si="1"/>
        <v>2</v>
      </c>
      <c r="AB37" s="197" t="b">
        <f t="shared" si="2"/>
        <v>0</v>
      </c>
      <c r="AC37" s="169">
        <v>12.0</v>
      </c>
      <c r="AD37" s="169">
        <v>0.0</v>
      </c>
      <c r="AE37" s="169">
        <v>0.0</v>
      </c>
      <c r="AF37" s="169">
        <v>0.0</v>
      </c>
      <c r="AG37" s="169">
        <v>0.0</v>
      </c>
      <c r="AH37" s="169">
        <v>0.0</v>
      </c>
      <c r="AI37" s="169">
        <v>0.0</v>
      </c>
      <c r="AJ37" s="182" t="b">
        <v>0</v>
      </c>
      <c r="AK37" s="183">
        <v>12.0</v>
      </c>
      <c r="AL37" s="169">
        <v>0.0</v>
      </c>
      <c r="AM37" s="169">
        <v>0.0</v>
      </c>
      <c r="AN37" s="198" t="str">
        <f>IFNA(VLOOKUP($A37,'Tube Reactions'!$J$2:$K259,2,FALSE),"")</f>
        <v/>
      </c>
      <c r="AO37" s="199" t="str">
        <f t="shared" si="20"/>
        <v/>
      </c>
      <c r="AP37" s="186" t="str">
        <f t="shared" si="4"/>
        <v/>
      </c>
      <c r="AQ37" s="187" t="b">
        <f t="shared" si="5"/>
        <v>1</v>
      </c>
      <c r="AR37" s="188">
        <v>36.0</v>
      </c>
      <c r="AS37" s="189"/>
      <c r="AT37" s="110"/>
      <c r="AU37" s="110" t="s">
        <v>384</v>
      </c>
      <c r="AV37" s="169">
        <v>14.0</v>
      </c>
      <c r="AW37" s="118" t="b">
        <v>1</v>
      </c>
      <c r="AX37" s="190" t="b">
        <f t="shared" si="27"/>
        <v>1</v>
      </c>
      <c r="AY37" s="48">
        <f t="shared" ref="AY37:AY53" si="31">AV37-AC37</f>
        <v>2</v>
      </c>
      <c r="BA37" s="191" t="b">
        <v>1</v>
      </c>
      <c r="BB37" s="18" t="b">
        <f t="shared" si="8"/>
        <v>1</v>
      </c>
      <c r="BC37" s="18" t="b">
        <f t="shared" si="9"/>
        <v>1</v>
      </c>
      <c r="BD37" s="48">
        <f t="shared" si="10"/>
        <v>12</v>
      </c>
      <c r="BE37" s="192"/>
      <c r="BF37" s="76">
        <f t="shared" si="11"/>
        <v>44840</v>
      </c>
      <c r="BG37" s="114" t="str">
        <f t="shared" si="12"/>
        <v>RUN-ABRM_2022-10-06_RFR-036</v>
      </c>
      <c r="BH37" s="83">
        <f t="shared" si="13"/>
        <v>12</v>
      </c>
      <c r="BI37" s="83">
        <f t="shared" si="14"/>
        <v>12</v>
      </c>
      <c r="BJ37" s="83">
        <f t="shared" si="15"/>
        <v>12</v>
      </c>
      <c r="BK37" s="83">
        <f t="shared" si="16"/>
        <v>0</v>
      </c>
      <c r="BL37" s="200">
        <f>IFNA(IF(VLOOKUP(FLOOR($B37,1),'APS Tubes by Date IMPORT'!$B$2:$J259,1,FALSE)=FLOOR($BL36,1),IFERROR(0/0,""),VLOOKUP(FLOOR($B37,1),'APS Tubes by Date IMPORT'!$B$2:$J259,1,FALSE)),"")</f>
        <v>44840</v>
      </c>
      <c r="BM37" s="83">
        <f>IF(ISBLANK($BL37),IFERROR(0/0,""),VLOOKUP(FLOOR($B37,1),'APS Tubes by Date IMPORT'!$B$2:$J259,2,FALSE))</f>
        <v>12</v>
      </c>
      <c r="BN37" s="114"/>
      <c r="BO37" s="83" t="str">
        <f>VLOOKUP(FLOOR($B37,1),'APS Tubes by Date IMPORT'!$B37:$I259,6,FALSE)</f>
        <v>#N/A</v>
      </c>
      <c r="BP37" s="83">
        <v>7.0</v>
      </c>
      <c r="BQ37" s="193">
        <f t="shared" si="17"/>
        <v>-5</v>
      </c>
      <c r="BR37" s="131">
        <v>3.0</v>
      </c>
      <c r="BS37" s="76" t="b">
        <f t="shared" si="18"/>
        <v>1</v>
      </c>
      <c r="BT37" s="194" t="str">
        <f t="shared" si="19"/>
        <v>Delete NULL</v>
      </c>
      <c r="BU37" s="195"/>
      <c r="BV37" s="195"/>
      <c r="BW37" s="195"/>
      <c r="BX37" s="195"/>
    </row>
    <row r="38">
      <c r="A38" s="18" t="str">
        <f>CONCATENATE("RUN-",'Process Ref'!$A$1,"_",TEXT(U38,"YYYY-MM-DD"),"_RFR-",TEXT(AR38,"000"),IF(EXACT(W38,"Initial"),"",CONCATENATE("_",W38)))</f>
        <v>RUN-ABRM_2022-10-07_RFR-037</v>
      </c>
      <c r="B38" s="168">
        <v>44841.42332175926</v>
      </c>
      <c r="C38" s="110"/>
      <c r="D38" s="110" t="s">
        <v>313</v>
      </c>
      <c r="E38" s="169">
        <v>12.0</v>
      </c>
      <c r="F38" s="110" t="s">
        <v>448</v>
      </c>
      <c r="G38" s="170" t="s">
        <v>449</v>
      </c>
      <c r="H38" s="170" t="s">
        <v>450</v>
      </c>
      <c r="I38" s="170" t="s">
        <v>451</v>
      </c>
      <c r="J38" s="169">
        <v>3.0</v>
      </c>
      <c r="K38" s="173" t="s">
        <v>452</v>
      </c>
      <c r="L38" s="131"/>
      <c r="M38" s="174"/>
      <c r="N38" s="174"/>
      <c r="O38" s="175"/>
      <c r="P38" s="118" t="b">
        <v>0</v>
      </c>
      <c r="Q38" s="176" t="b">
        <v>0</v>
      </c>
      <c r="R38" s="55"/>
      <c r="S38" s="118" t="b">
        <v>0</v>
      </c>
      <c r="T38" s="177" t="b">
        <v>0</v>
      </c>
      <c r="U38" s="178">
        <v>44841.0</v>
      </c>
      <c r="V38" s="179">
        <v>0.4166666666666667</v>
      </c>
      <c r="W38" s="110" t="s">
        <v>320</v>
      </c>
      <c r="X38" s="180"/>
      <c r="Y38" s="118" t="b">
        <v>1</v>
      </c>
      <c r="Z38" s="169">
        <v>14.0</v>
      </c>
      <c r="AA38" s="196">
        <f t="shared" si="1"/>
        <v>2</v>
      </c>
      <c r="AB38" s="197" t="b">
        <f t="shared" si="2"/>
        <v>0</v>
      </c>
      <c r="AC38" s="169">
        <v>12.0</v>
      </c>
      <c r="AD38" s="169">
        <v>0.0</v>
      </c>
      <c r="AE38" s="169">
        <v>0.0</v>
      </c>
      <c r="AF38" s="169">
        <v>0.0</v>
      </c>
      <c r="AG38" s="169">
        <v>0.0</v>
      </c>
      <c r="AH38" s="169">
        <v>0.0</v>
      </c>
      <c r="AI38" s="169">
        <v>0.0</v>
      </c>
      <c r="AJ38" s="182" t="b">
        <v>1</v>
      </c>
      <c r="AK38" s="183">
        <v>12.0</v>
      </c>
      <c r="AL38" s="169">
        <v>0.0</v>
      </c>
      <c r="AM38" s="169">
        <v>0.0</v>
      </c>
      <c r="AN38" s="198" t="str">
        <f>IFNA(VLOOKUP($A38,'Tube Reactions'!$J$2:$K259,2,FALSE),"")</f>
        <v/>
      </c>
      <c r="AO38" s="199" t="str">
        <f t="shared" si="20"/>
        <v/>
      </c>
      <c r="AP38" s="186" t="str">
        <f t="shared" si="4"/>
        <v/>
      </c>
      <c r="AQ38" s="187" t="b">
        <f t="shared" si="5"/>
        <v>1</v>
      </c>
      <c r="AR38" s="188">
        <v>37.0</v>
      </c>
      <c r="AS38" s="189"/>
      <c r="AT38" s="110"/>
      <c r="AU38" s="110" t="s">
        <v>384</v>
      </c>
      <c r="AV38" s="169">
        <v>14.0</v>
      </c>
      <c r="AW38" s="118" t="b">
        <v>1</v>
      </c>
      <c r="AX38" s="190" t="b">
        <f t="shared" si="27"/>
        <v>1</v>
      </c>
      <c r="AY38" s="48">
        <f t="shared" si="31"/>
        <v>2</v>
      </c>
      <c r="BA38" s="191" t="b">
        <v>1</v>
      </c>
      <c r="BB38" s="18" t="b">
        <f t="shared" si="8"/>
        <v>1</v>
      </c>
      <c r="BC38" s="18" t="b">
        <f t="shared" si="9"/>
        <v>1</v>
      </c>
      <c r="BD38" s="48">
        <f t="shared" si="10"/>
        <v>12</v>
      </c>
      <c r="BE38" s="192"/>
      <c r="BF38" s="76">
        <f t="shared" si="11"/>
        <v>44841</v>
      </c>
      <c r="BG38" s="114" t="str">
        <f t="shared" si="12"/>
        <v>RUN-ABRM_2022-10-07_RFR-037</v>
      </c>
      <c r="BH38" s="83">
        <f t="shared" si="13"/>
        <v>12</v>
      </c>
      <c r="BI38" s="83">
        <f t="shared" si="14"/>
        <v>12</v>
      </c>
      <c r="BJ38" s="83">
        <f t="shared" si="15"/>
        <v>12</v>
      </c>
      <c r="BK38" s="83">
        <f t="shared" si="16"/>
        <v>0</v>
      </c>
      <c r="BL38" s="200">
        <f>IFNA(IF(VLOOKUP(FLOOR($B38,1),'APS Tubes by Date IMPORT'!$B$2:$J259,1,FALSE)=FLOOR($BL37,1),IFERROR(0/0,""),VLOOKUP(FLOOR($B38,1),'APS Tubes by Date IMPORT'!$B$2:$J259,1,FALSE)),"")</f>
        <v>44841</v>
      </c>
      <c r="BM38" s="83">
        <f>IF(ISBLANK($BL38),IFERROR(0/0,""),VLOOKUP(FLOOR($B38,1),'APS Tubes by Date IMPORT'!$B$2:$J259,2,FALSE))</f>
        <v>12</v>
      </c>
      <c r="BN38" s="114"/>
      <c r="BO38" s="83" t="str">
        <f>VLOOKUP(FLOOR($B38,1),'APS Tubes by Date IMPORT'!$B38:$I259,6,FALSE)</f>
        <v>#N/A</v>
      </c>
      <c r="BP38" s="83">
        <v>7.0</v>
      </c>
      <c r="BQ38" s="193">
        <f t="shared" si="17"/>
        <v>-5</v>
      </c>
      <c r="BR38" s="131">
        <v>3.0</v>
      </c>
      <c r="BS38" s="76" t="b">
        <f t="shared" si="18"/>
        <v>1</v>
      </c>
      <c r="BT38" s="194" t="str">
        <f t="shared" si="19"/>
        <v>Delete NULL</v>
      </c>
      <c r="BU38" s="195"/>
      <c r="BV38" s="195"/>
      <c r="BW38" s="195"/>
      <c r="BX38" s="195"/>
    </row>
    <row r="39">
      <c r="A39" s="18" t="str">
        <f>CONCATENATE("RUN-",'Process Ref'!$A$1,"_",TEXT(U39,"YYYY-MM-DD"),"_RFR-",TEXT(AR39,"000"),IF(EXACT(W39,"Initial"),"",CONCATENATE("_",W39)))</f>
        <v>RUN-ABRM_2022-10-10_RFR-038</v>
      </c>
      <c r="B39" s="168">
        <v>44844.452256944445</v>
      </c>
      <c r="C39" s="110"/>
      <c r="D39" s="110" t="s">
        <v>313</v>
      </c>
      <c r="E39" s="169">
        <v>15.0</v>
      </c>
      <c r="F39" s="110" t="s">
        <v>453</v>
      </c>
      <c r="G39" s="171" t="s">
        <v>454</v>
      </c>
      <c r="H39" s="171" t="s">
        <v>455</v>
      </c>
      <c r="I39" s="171" t="s">
        <v>456</v>
      </c>
      <c r="J39" s="172" t="s">
        <v>457</v>
      </c>
      <c r="K39" s="173" t="s">
        <v>458</v>
      </c>
      <c r="L39" s="131"/>
      <c r="M39" s="174"/>
      <c r="N39" s="174"/>
      <c r="O39" s="175" t="s">
        <v>459</v>
      </c>
      <c r="P39" s="118" t="b">
        <v>0</v>
      </c>
      <c r="Q39" s="176" t="b">
        <v>1</v>
      </c>
      <c r="R39" s="110" t="s">
        <v>460</v>
      </c>
      <c r="S39" s="118" t="b">
        <v>0</v>
      </c>
      <c r="T39" s="177" t="b">
        <v>1</v>
      </c>
      <c r="U39" s="178">
        <v>44844.0</v>
      </c>
      <c r="V39" s="179">
        <v>0.4166666666666667</v>
      </c>
      <c r="W39" s="110" t="s">
        <v>320</v>
      </c>
      <c r="X39" s="180"/>
      <c r="Y39" s="118" t="b">
        <v>1</v>
      </c>
      <c r="Z39" s="169">
        <v>15.0</v>
      </c>
      <c r="AA39" s="196">
        <f t="shared" si="1"/>
        <v>0</v>
      </c>
      <c r="AB39" s="197" t="b">
        <f t="shared" si="2"/>
        <v>1</v>
      </c>
      <c r="AC39" s="169">
        <v>13.0</v>
      </c>
      <c r="AD39" s="169">
        <v>0.0</v>
      </c>
      <c r="AE39" s="169">
        <v>0.0</v>
      </c>
      <c r="AF39" s="169">
        <v>0.0</v>
      </c>
      <c r="AG39" s="169">
        <v>0.0</v>
      </c>
      <c r="AH39" s="169">
        <v>0.0</v>
      </c>
      <c r="AI39" s="169">
        <v>0.0</v>
      </c>
      <c r="AJ39" s="182" t="b">
        <v>0</v>
      </c>
      <c r="AK39" s="183">
        <v>13.0</v>
      </c>
      <c r="AL39" s="169">
        <v>4.0</v>
      </c>
      <c r="AM39" s="169">
        <v>5.0</v>
      </c>
      <c r="AN39" s="198" t="str">
        <f>IFNA(VLOOKUP($A39,'Tube Reactions'!$J$2:$K259,2,FALSE),"")</f>
        <v/>
      </c>
      <c r="AO39" s="199" t="str">
        <f t="shared" si="20"/>
        <v>NOT EQUAL</v>
      </c>
      <c r="AP39" s="186" t="str">
        <f t="shared" si="4"/>
        <v/>
      </c>
      <c r="AQ39" s="187" t="b">
        <f t="shared" si="5"/>
        <v>1</v>
      </c>
      <c r="AR39" s="188">
        <v>38.0</v>
      </c>
      <c r="AS39" s="189" t="s">
        <v>460</v>
      </c>
      <c r="AT39" s="110"/>
      <c r="AU39" s="110" t="s">
        <v>384</v>
      </c>
      <c r="AV39" s="169">
        <v>15.0</v>
      </c>
      <c r="AW39" s="118" t="b">
        <v>0</v>
      </c>
      <c r="AX39" s="190" t="b">
        <f t="shared" si="27"/>
        <v>1</v>
      </c>
      <c r="AY39" s="48">
        <f t="shared" si="31"/>
        <v>2</v>
      </c>
      <c r="BA39" s="191" t="b">
        <v>0</v>
      </c>
      <c r="BB39" s="18" t="str">
        <f t="shared" si="8"/>
        <v/>
      </c>
      <c r="BC39" s="18" t="str">
        <f t="shared" si="9"/>
        <v/>
      </c>
      <c r="BD39" s="48" t="str">
        <f t="shared" si="10"/>
        <v/>
      </c>
      <c r="BE39" s="192"/>
      <c r="BF39" s="76">
        <f t="shared" si="11"/>
        <v>44844</v>
      </c>
      <c r="BG39" s="114" t="str">
        <f t="shared" si="12"/>
        <v>RUN-ABRM_2022-10-10_RFR-038</v>
      </c>
      <c r="BH39" s="83">
        <f t="shared" si="13"/>
        <v>15</v>
      </c>
      <c r="BI39" s="83">
        <f t="shared" si="14"/>
        <v>13</v>
      </c>
      <c r="BJ39" s="83">
        <f t="shared" si="15"/>
        <v>13</v>
      </c>
      <c r="BK39" s="83">
        <f t="shared" si="16"/>
        <v>4</v>
      </c>
      <c r="BL39" s="200">
        <f>IFNA(IF(VLOOKUP(FLOOR($B39,1),'APS Tubes by Date IMPORT'!$B$2:$J259,1,FALSE)=FLOOR($BL38,1),IFERROR(0/0,""),VLOOKUP(FLOOR($B39,1),'APS Tubes by Date IMPORT'!$B$2:$J259,1,FALSE)),"")</f>
        <v>44844</v>
      </c>
      <c r="BM39" s="83">
        <f>IF(ISBLANK($BL39),IFERROR(0/0,""),VLOOKUP(FLOOR($B39,1),'APS Tubes by Date IMPORT'!$B$2:$J259,2,FALSE))</f>
        <v>13</v>
      </c>
      <c r="BN39" s="114"/>
      <c r="BO39" s="83" t="str">
        <f>VLOOKUP(FLOOR($B39,1),'APS Tubes by Date IMPORT'!$B39:$I259,6,FALSE)</f>
        <v>#N/A</v>
      </c>
      <c r="BP39" s="83">
        <v>7.0</v>
      </c>
      <c r="BQ39" s="193">
        <f t="shared" si="17"/>
        <v>-6</v>
      </c>
      <c r="BR39" s="131">
        <v>3.0</v>
      </c>
      <c r="BS39" s="76" t="b">
        <f t="shared" si="18"/>
        <v>1</v>
      </c>
      <c r="BT39" s="194" t="str">
        <f t="shared" si="19"/>
        <v>Delete NULL</v>
      </c>
      <c r="BU39" s="195"/>
      <c r="BV39" s="195"/>
      <c r="BW39" s="195"/>
      <c r="BX39" s="195"/>
    </row>
    <row r="40">
      <c r="A40" s="18" t="str">
        <f>CONCATENATE("RUN-",'Process Ref'!$A$1,"_",TEXT(U40,"YYYY-MM-DD"),"_RFR-",TEXT(AR40,"000"),IF(EXACT(W40,"Initial"),"",CONCATENATE("_",W40)))</f>
        <v>RUN-ABRM_2022-10-10_RFR-039_Re-run</v>
      </c>
      <c r="B40" s="168">
        <v>44844.45392361111</v>
      </c>
      <c r="C40" s="110"/>
      <c r="D40" s="110" t="s">
        <v>313</v>
      </c>
      <c r="E40" s="169">
        <v>15.0</v>
      </c>
      <c r="F40" s="110" t="s">
        <v>453</v>
      </c>
      <c r="G40" s="171" t="s">
        <v>461</v>
      </c>
      <c r="H40" s="171" t="s">
        <v>462</v>
      </c>
      <c r="I40" s="171" t="s">
        <v>463</v>
      </c>
      <c r="J40" s="172"/>
      <c r="K40" s="173" t="s">
        <v>464</v>
      </c>
      <c r="L40" s="131"/>
      <c r="M40" s="174"/>
      <c r="N40" s="174"/>
      <c r="O40" s="175" t="s">
        <v>465</v>
      </c>
      <c r="P40" s="118" t="b">
        <v>0</v>
      </c>
      <c r="Q40" s="176" t="b">
        <v>1</v>
      </c>
      <c r="R40" s="55" t="s">
        <v>465</v>
      </c>
      <c r="S40" s="118" t="b">
        <v>1</v>
      </c>
      <c r="T40" s="177" t="b">
        <v>1</v>
      </c>
      <c r="U40" s="178">
        <v>44844.0</v>
      </c>
      <c r="V40" s="179">
        <v>0.4583333333333333</v>
      </c>
      <c r="W40" s="110" t="s">
        <v>339</v>
      </c>
      <c r="X40" s="180"/>
      <c r="Y40" s="118" t="b">
        <v>1</v>
      </c>
      <c r="Z40" s="169">
        <v>15.0</v>
      </c>
      <c r="AA40" s="196">
        <f t="shared" si="1"/>
        <v>0</v>
      </c>
      <c r="AB40" s="197" t="b">
        <f t="shared" si="2"/>
        <v>1</v>
      </c>
      <c r="AC40" s="169">
        <v>13.0</v>
      </c>
      <c r="AD40" s="169">
        <v>0.0</v>
      </c>
      <c r="AE40" s="169">
        <v>0.0</v>
      </c>
      <c r="AF40" s="169">
        <v>0.0</v>
      </c>
      <c r="AG40" s="169">
        <v>0.0</v>
      </c>
      <c r="AH40" s="169">
        <v>0.0</v>
      </c>
      <c r="AI40" s="169">
        <v>0.0</v>
      </c>
      <c r="AJ40" s="182" t="b">
        <v>1</v>
      </c>
      <c r="AK40" s="183">
        <v>13.0</v>
      </c>
      <c r="AL40" s="169">
        <v>5.0</v>
      </c>
      <c r="AM40" s="169" t="str">
        <f>IF(EXACT(W40,"Initial"),"Audit","")</f>
        <v/>
      </c>
      <c r="AN40" s="198" t="str">
        <f>IFNA(VLOOKUP($A40,'Tube Reactions'!$J$2:$K259,2,FALSE),"")</f>
        <v/>
      </c>
      <c r="AO40" s="199" t="str">
        <f t="shared" si="20"/>
        <v/>
      </c>
      <c r="AP40" s="186" t="str">
        <f t="shared" si="4"/>
        <v/>
      </c>
      <c r="AQ40" s="187" t="b">
        <f t="shared" si="5"/>
        <v>1</v>
      </c>
      <c r="AR40" s="188">
        <v>39.0</v>
      </c>
      <c r="AS40" s="216" t="s">
        <v>465</v>
      </c>
      <c r="AT40" s="110"/>
      <c r="AU40" s="110" t="s">
        <v>384</v>
      </c>
      <c r="AV40" s="169">
        <v>15.0</v>
      </c>
      <c r="AW40" s="118" t="b">
        <v>0</v>
      </c>
      <c r="AX40" s="190" t="b">
        <f t="shared" si="27"/>
        <v>1</v>
      </c>
      <c r="AY40" s="48">
        <f t="shared" si="31"/>
        <v>2</v>
      </c>
      <c r="BA40" s="191" t="b">
        <v>0</v>
      </c>
      <c r="BB40" s="18" t="str">
        <f t="shared" si="8"/>
        <v/>
      </c>
      <c r="BC40" s="18" t="str">
        <f t="shared" si="9"/>
        <v/>
      </c>
      <c r="BD40" s="48" t="str">
        <f t="shared" si="10"/>
        <v/>
      </c>
      <c r="BE40" s="192"/>
      <c r="BF40" s="76" t="str">
        <f t="shared" si="11"/>
        <v/>
      </c>
      <c r="BG40" s="114" t="str">
        <f t="shared" si="12"/>
        <v/>
      </c>
      <c r="BH40" s="83" t="str">
        <f t="shared" si="13"/>
        <v/>
      </c>
      <c r="BI40" s="83" t="str">
        <f t="shared" si="14"/>
        <v/>
      </c>
      <c r="BJ40" s="83" t="str">
        <f t="shared" si="15"/>
        <v/>
      </c>
      <c r="BK40" s="83" t="str">
        <f t="shared" si="16"/>
        <v/>
      </c>
      <c r="BL40" s="200" t="str">
        <f>IFNA(IF(VLOOKUP(FLOOR($B40,1),'APS Tubes by Date IMPORT'!$B$2:$J259,1,FALSE)=FLOOR($BL39,1),IFERROR(0/0,""),VLOOKUP(FLOOR($B40,1),'APS Tubes by Date IMPORT'!$B$2:$J259,1,FALSE)),"")</f>
        <v/>
      </c>
      <c r="BM40" s="83" t="str">
        <f>IF(ISBLANK($BL40),IFERROR(0/0,""),VLOOKUP(FLOOR($B40,1),'APS Tubes by Date IMPORT'!$B$2:$J259,2,FALSE))</f>
        <v/>
      </c>
      <c r="BN40" s="114"/>
      <c r="BO40" s="83" t="str">
        <f>VLOOKUP(FLOOR($B40,1),'APS Tubes by Date IMPORT'!$B40:$I259,6,FALSE)</f>
        <v>#N/A</v>
      </c>
      <c r="BP40" s="83">
        <v>7.0</v>
      </c>
      <c r="BQ40" s="193">
        <f t="shared" si="17"/>
        <v>7</v>
      </c>
      <c r="BR40" s="131">
        <v>3.0</v>
      </c>
      <c r="BS40" s="76" t="b">
        <f t="shared" si="18"/>
        <v>1</v>
      </c>
      <c r="BT40" s="194" t="str">
        <f t="shared" si="19"/>
        <v>Delete NULL</v>
      </c>
      <c r="BU40" s="195"/>
      <c r="BV40" s="195"/>
      <c r="BW40" s="195"/>
      <c r="BX40" s="195"/>
    </row>
    <row r="41">
      <c r="A41" s="18" t="str">
        <f>CONCATENATE("RUN-",'Process Ref'!$A$1,"_",TEXT(U41,"YYYY-MM-DD"),"_RFR-",TEXT(AR41,"000"),IF(EXACT(W41,"Initial"),"",CONCATENATE("_",W41)))</f>
        <v>RUN-ABRM_2022-10-10_RFR-040_Re-run</v>
      </c>
      <c r="B41" s="168">
        <v>44844.45545138889</v>
      </c>
      <c r="C41" s="110"/>
      <c r="D41" s="110" t="s">
        <v>313</v>
      </c>
      <c r="E41" s="169">
        <v>17.0</v>
      </c>
      <c r="F41" s="110" t="s">
        <v>453</v>
      </c>
      <c r="G41" s="170" t="s">
        <v>466</v>
      </c>
      <c r="H41" s="170" t="s">
        <v>467</v>
      </c>
      <c r="I41" s="170" t="s">
        <v>468</v>
      </c>
      <c r="J41" s="172"/>
      <c r="K41" s="173" t="s">
        <v>469</v>
      </c>
      <c r="L41" s="131"/>
      <c r="M41" s="174"/>
      <c r="N41" s="174"/>
      <c r="O41" s="175"/>
      <c r="P41" s="118" t="b">
        <v>0</v>
      </c>
      <c r="Q41" s="176" t="b">
        <v>0</v>
      </c>
      <c r="R41" s="55"/>
      <c r="S41" s="118" t="b">
        <v>0</v>
      </c>
      <c r="T41" s="177" t="b">
        <v>1</v>
      </c>
      <c r="U41" s="178">
        <v>44844.0</v>
      </c>
      <c r="V41" s="179">
        <v>0.5</v>
      </c>
      <c r="W41" s="110" t="s">
        <v>339</v>
      </c>
      <c r="X41" s="180"/>
      <c r="Y41" s="118" t="b">
        <v>0</v>
      </c>
      <c r="Z41" s="169">
        <v>17.0</v>
      </c>
      <c r="AA41" s="196">
        <f t="shared" si="1"/>
        <v>0</v>
      </c>
      <c r="AB41" s="197" t="b">
        <f t="shared" si="2"/>
        <v>1</v>
      </c>
      <c r="AC41" s="169">
        <v>15.0</v>
      </c>
      <c r="AD41" s="169">
        <v>0.0</v>
      </c>
      <c r="AE41" s="169">
        <v>0.0</v>
      </c>
      <c r="AF41" s="169">
        <v>0.0</v>
      </c>
      <c r="AG41" s="169">
        <v>0.0</v>
      </c>
      <c r="AH41" s="169">
        <v>0.0</v>
      </c>
      <c r="AI41" s="169">
        <v>0.0</v>
      </c>
      <c r="AJ41" s="182" t="b">
        <v>0</v>
      </c>
      <c r="AK41" s="183">
        <v>5.0</v>
      </c>
      <c r="AL41" s="169">
        <v>0.0</v>
      </c>
      <c r="AM41" s="169">
        <v>0.0</v>
      </c>
      <c r="AN41" s="198" t="str">
        <f>IFNA(VLOOKUP($A41,'Tube Reactions'!$J$2:$K259,2,FALSE),"")</f>
        <v/>
      </c>
      <c r="AO41" s="199" t="str">
        <f t="shared" si="20"/>
        <v/>
      </c>
      <c r="AP41" s="186" t="str">
        <f t="shared" si="4"/>
        <v/>
      </c>
      <c r="AQ41" s="187" t="b">
        <f t="shared" si="5"/>
        <v>1</v>
      </c>
      <c r="AR41" s="188">
        <v>40.0</v>
      </c>
      <c r="AS41" s="189"/>
      <c r="AT41" s="110"/>
      <c r="AU41" s="110" t="s">
        <v>384</v>
      </c>
      <c r="AV41" s="169">
        <v>17.0</v>
      </c>
      <c r="AW41" s="118" t="b">
        <v>1</v>
      </c>
      <c r="AX41" s="190" t="b">
        <f t="shared" si="27"/>
        <v>1</v>
      </c>
      <c r="AY41" s="48">
        <f t="shared" si="31"/>
        <v>2</v>
      </c>
      <c r="BA41" s="191" t="b">
        <v>0</v>
      </c>
      <c r="BB41" s="18" t="str">
        <f t="shared" si="8"/>
        <v/>
      </c>
      <c r="BC41" s="18" t="str">
        <f t="shared" si="9"/>
        <v/>
      </c>
      <c r="BD41" s="48" t="str">
        <f t="shared" si="10"/>
        <v/>
      </c>
      <c r="BE41" s="192"/>
      <c r="BF41" s="76" t="str">
        <f t="shared" si="11"/>
        <v/>
      </c>
      <c r="BG41" s="114" t="str">
        <f t="shared" si="12"/>
        <v/>
      </c>
      <c r="BH41" s="83" t="str">
        <f t="shared" si="13"/>
        <v/>
      </c>
      <c r="BI41" s="83" t="str">
        <f t="shared" si="14"/>
        <v/>
      </c>
      <c r="BJ41" s="83" t="str">
        <f t="shared" si="15"/>
        <v/>
      </c>
      <c r="BK41" s="83" t="str">
        <f t="shared" si="16"/>
        <v/>
      </c>
      <c r="BL41" s="200">
        <f>IFNA(IF(VLOOKUP(FLOOR($B41,1),'APS Tubes by Date IMPORT'!$B$2:$J259,1,FALSE)=FLOOR($BL40,1),IFERROR(0/0,""),VLOOKUP(FLOOR($B41,1),'APS Tubes by Date IMPORT'!$B$2:$J259,1,FALSE)),"")</f>
        <v>44844</v>
      </c>
      <c r="BM41" s="83">
        <f>IF(ISBLANK($BL41),IFERROR(0/0,""),VLOOKUP(FLOOR($B41,1),'APS Tubes by Date IMPORT'!$B$2:$J259,2,FALSE))</f>
        <v>13</v>
      </c>
      <c r="BN41" s="114"/>
      <c r="BO41" s="83" t="str">
        <f>VLOOKUP(FLOOR($B41,1),'APS Tubes by Date IMPORT'!$B41:$I259,6,FALSE)</f>
        <v>#N/A</v>
      </c>
      <c r="BP41" s="83">
        <v>7.0</v>
      </c>
      <c r="BQ41" s="193">
        <f t="shared" si="17"/>
        <v>-6</v>
      </c>
      <c r="BR41" s="131">
        <v>3.0</v>
      </c>
      <c r="BS41" s="76" t="b">
        <f t="shared" si="18"/>
        <v>1</v>
      </c>
      <c r="BT41" s="194" t="str">
        <f t="shared" si="19"/>
        <v>Delete NULL</v>
      </c>
      <c r="BU41" s="195"/>
      <c r="BV41" s="195"/>
      <c r="BW41" s="195"/>
      <c r="BX41" s="195"/>
    </row>
    <row r="42">
      <c r="A42" s="18" t="str">
        <f>CONCATENATE("RUN-",'Process Ref'!$A$1,"_",TEXT(U42,"YYYY-MM-DD"),"_RFR-",TEXT(AR42,"000"),IF(EXACT(W42,"Initial"),"",CONCATENATE("_",W42)))</f>
        <v>RUN-ABRM_2022-10-11_RFR-041</v>
      </c>
      <c r="B42" s="168">
        <v>44845.51422453704</v>
      </c>
      <c r="C42" s="110"/>
      <c r="D42" s="110" t="s">
        <v>313</v>
      </c>
      <c r="E42" s="169">
        <v>14.0</v>
      </c>
      <c r="F42" s="110" t="s">
        <v>470</v>
      </c>
      <c r="G42" s="171" t="s">
        <v>471</v>
      </c>
      <c r="H42" s="171" t="s">
        <v>472</v>
      </c>
      <c r="I42" s="171" t="s">
        <v>473</v>
      </c>
      <c r="J42" s="172"/>
      <c r="K42" s="173" t="s">
        <v>474</v>
      </c>
      <c r="L42" s="131"/>
      <c r="M42" s="174"/>
      <c r="N42" s="174"/>
      <c r="O42" s="175"/>
      <c r="P42" s="118" t="b">
        <v>0</v>
      </c>
      <c r="Q42" s="176" t="b">
        <v>0</v>
      </c>
      <c r="R42" s="55"/>
      <c r="S42" s="118" t="b">
        <v>0</v>
      </c>
      <c r="T42" s="177" t="b">
        <v>1</v>
      </c>
      <c r="U42" s="178">
        <v>44845.0</v>
      </c>
      <c r="V42" s="179">
        <v>0.9270833333333334</v>
      </c>
      <c r="W42" s="110" t="s">
        <v>320</v>
      </c>
      <c r="X42" s="180"/>
      <c r="Y42" s="118" t="b">
        <v>1</v>
      </c>
      <c r="Z42" s="169">
        <v>14.0</v>
      </c>
      <c r="AA42" s="196">
        <f t="shared" si="1"/>
        <v>0</v>
      </c>
      <c r="AB42" s="197" t="b">
        <f t="shared" si="2"/>
        <v>1</v>
      </c>
      <c r="AC42" s="169">
        <v>12.0</v>
      </c>
      <c r="AD42" s="169">
        <v>0.0</v>
      </c>
      <c r="AE42" s="169">
        <v>0.0</v>
      </c>
      <c r="AF42" s="169">
        <v>0.0</v>
      </c>
      <c r="AG42" s="169">
        <v>1.0</v>
      </c>
      <c r="AH42" s="169">
        <v>1.0</v>
      </c>
      <c r="AI42" s="169">
        <v>0.0</v>
      </c>
      <c r="AJ42" s="182" t="b">
        <v>0</v>
      </c>
      <c r="AK42" s="183">
        <v>12.0</v>
      </c>
      <c r="AL42" s="169">
        <v>4.0</v>
      </c>
      <c r="AM42" s="169">
        <v>2.0</v>
      </c>
      <c r="AN42" s="198" t="str">
        <f>IFNA(VLOOKUP($A42,'Tube Reactions'!$J$2:$K259,2,FALSE),"")</f>
        <v/>
      </c>
      <c r="AO42" s="199" t="str">
        <f t="shared" si="20"/>
        <v>NOT EQUAL</v>
      </c>
      <c r="AP42" s="186" t="str">
        <f t="shared" si="4"/>
        <v/>
      </c>
      <c r="AQ42" s="187" t="b">
        <f t="shared" si="5"/>
        <v>1</v>
      </c>
      <c r="AR42" s="188">
        <v>41.0</v>
      </c>
      <c r="AS42" s="189"/>
      <c r="AT42" s="110"/>
      <c r="AU42" s="110" t="s">
        <v>384</v>
      </c>
      <c r="AV42" s="169">
        <v>14.0</v>
      </c>
      <c r="AW42" s="118" t="b">
        <v>0</v>
      </c>
      <c r="AX42" s="190" t="b">
        <f t="shared" si="27"/>
        <v>1</v>
      </c>
      <c r="AY42" s="48">
        <f t="shared" si="31"/>
        <v>2</v>
      </c>
      <c r="BA42" s="191" t="b">
        <v>0</v>
      </c>
      <c r="BB42" s="18" t="str">
        <f t="shared" si="8"/>
        <v/>
      </c>
      <c r="BC42" s="18" t="str">
        <f t="shared" si="9"/>
        <v/>
      </c>
      <c r="BD42" s="48" t="str">
        <f t="shared" si="10"/>
        <v/>
      </c>
      <c r="BE42" s="192"/>
      <c r="BF42" s="76">
        <f t="shared" si="11"/>
        <v>44845</v>
      </c>
      <c r="BG42" s="114" t="str">
        <f t="shared" si="12"/>
        <v>RUN-ABRM_2022-10-11_RFR-041</v>
      </c>
      <c r="BH42" s="83">
        <f t="shared" si="13"/>
        <v>14</v>
      </c>
      <c r="BI42" s="83">
        <f t="shared" si="14"/>
        <v>12</v>
      </c>
      <c r="BJ42" s="83">
        <f t="shared" si="15"/>
        <v>12</v>
      </c>
      <c r="BK42" s="83">
        <f t="shared" si="16"/>
        <v>4</v>
      </c>
      <c r="BL42" s="200">
        <f>IFNA(IF(VLOOKUP(FLOOR($B42,1),'APS Tubes by Date IMPORT'!$B$2:$J259,1,FALSE)=FLOOR($BL41,1),IFERROR(0/0,""),VLOOKUP(FLOOR($B42,1),'APS Tubes by Date IMPORT'!$B$2:$J259,1,FALSE)),"")</f>
        <v>44845</v>
      </c>
      <c r="BM42" s="83">
        <f>IF(ISBLANK($BL42),IFERROR(0/0,""),VLOOKUP(FLOOR($B42,1),'APS Tubes by Date IMPORT'!$B$2:$J259,2,FALSE))</f>
        <v>12</v>
      </c>
      <c r="BN42" s="114"/>
      <c r="BO42" s="83" t="str">
        <f>VLOOKUP(FLOOR($B42,1),'APS Tubes by Date IMPORT'!$B42:$I259,6,FALSE)</f>
        <v>#N/A</v>
      </c>
      <c r="BP42" s="83">
        <v>7.0</v>
      </c>
      <c r="BQ42" s="193">
        <f t="shared" si="17"/>
        <v>-5</v>
      </c>
      <c r="BR42" s="131">
        <v>3.0</v>
      </c>
      <c r="BS42" s="76" t="b">
        <f t="shared" si="18"/>
        <v>1</v>
      </c>
      <c r="BT42" s="194" t="str">
        <f t="shared" si="19"/>
        <v>Delete NULL</v>
      </c>
      <c r="BU42" s="195"/>
      <c r="BV42" s="195"/>
      <c r="BW42" s="195"/>
      <c r="BX42" s="195"/>
    </row>
    <row r="43">
      <c r="A43" s="18" t="str">
        <f>CONCATENATE("RUN-",'Process Ref'!$A$1,"_",TEXT(U43,"YYYY-MM-DD"),"_RFR-",TEXT(AR43,"000"),IF(EXACT(W43,"Initial"),"",CONCATENATE("_",W43)))</f>
        <v>RUN-ABRM_2022-10-11_RFR-042_Re-run</v>
      </c>
      <c r="B43" s="168">
        <v>44845.51509259259</v>
      </c>
      <c r="C43" s="110"/>
      <c r="D43" s="110" t="s">
        <v>313</v>
      </c>
      <c r="E43" s="169">
        <v>11.0</v>
      </c>
      <c r="F43" s="110" t="s">
        <v>470</v>
      </c>
      <c r="G43" s="171" t="s">
        <v>475</v>
      </c>
      <c r="H43" s="171" t="s">
        <v>476</v>
      </c>
      <c r="I43" s="171" t="s">
        <v>477</v>
      </c>
      <c r="J43" s="172"/>
      <c r="K43" s="173" t="s">
        <v>478</v>
      </c>
      <c r="L43" s="131"/>
      <c r="M43" s="174"/>
      <c r="N43" s="174"/>
      <c r="O43" s="175"/>
      <c r="P43" s="118" t="b">
        <v>0</v>
      </c>
      <c r="Q43" s="176" t="b">
        <v>0</v>
      </c>
      <c r="R43" s="55"/>
      <c r="S43" s="118" t="b">
        <v>0</v>
      </c>
      <c r="T43" s="177" t="b">
        <v>1</v>
      </c>
      <c r="U43" s="178">
        <v>44845.0</v>
      </c>
      <c r="V43" s="179">
        <v>0.9375</v>
      </c>
      <c r="W43" s="110" t="s">
        <v>339</v>
      </c>
      <c r="X43" s="180"/>
      <c r="Y43" s="118" t="b">
        <v>0</v>
      </c>
      <c r="Z43" s="169">
        <v>11.0</v>
      </c>
      <c r="AA43" s="196">
        <f t="shared" si="1"/>
        <v>0</v>
      </c>
      <c r="AB43" s="197" t="b">
        <f t="shared" si="2"/>
        <v>1</v>
      </c>
      <c r="AC43" s="169">
        <v>9.0</v>
      </c>
      <c r="AD43" s="169">
        <v>1.0</v>
      </c>
      <c r="AE43" s="169">
        <v>0.0</v>
      </c>
      <c r="AF43" s="169">
        <v>0.0</v>
      </c>
      <c r="AG43" s="169">
        <v>0.0</v>
      </c>
      <c r="AH43" s="169">
        <v>0.0</v>
      </c>
      <c r="AI43" s="169">
        <v>0.0</v>
      </c>
      <c r="AJ43" s="182" t="b">
        <v>0</v>
      </c>
      <c r="AK43" s="183">
        <v>3.0</v>
      </c>
      <c r="AL43" s="169">
        <v>1.6</v>
      </c>
      <c r="AM43" s="172" t="str">
        <f>IF(EXACT(W43,"Initial"),"Audit","")</f>
        <v/>
      </c>
      <c r="AN43" s="198" t="str">
        <f>IFNA(VLOOKUP($A43,'Tube Reactions'!$J$2:$K259,2,FALSE),"")</f>
        <v/>
      </c>
      <c r="AO43" s="199" t="str">
        <f t="shared" si="20"/>
        <v/>
      </c>
      <c r="AP43" s="186" t="str">
        <f t="shared" si="4"/>
        <v/>
      </c>
      <c r="AQ43" s="187" t="b">
        <f t="shared" si="5"/>
        <v>1</v>
      </c>
      <c r="AR43" s="188">
        <v>42.0</v>
      </c>
      <c r="AS43" s="189"/>
      <c r="AT43" s="110"/>
      <c r="AU43" s="110" t="s">
        <v>384</v>
      </c>
      <c r="AV43" s="169">
        <v>11.0</v>
      </c>
      <c r="AW43" s="118" t="b">
        <v>0</v>
      </c>
      <c r="AX43" s="190" t="b">
        <f t="shared" si="27"/>
        <v>1</v>
      </c>
      <c r="AY43" s="48">
        <f t="shared" si="31"/>
        <v>2</v>
      </c>
      <c r="BA43" s="191" t="b">
        <v>0</v>
      </c>
      <c r="BB43" s="18" t="str">
        <f t="shared" si="8"/>
        <v/>
      </c>
      <c r="BC43" s="18" t="str">
        <f t="shared" si="9"/>
        <v/>
      </c>
      <c r="BD43" s="48" t="str">
        <f t="shared" si="10"/>
        <v/>
      </c>
      <c r="BE43" s="192"/>
      <c r="BF43" s="76" t="str">
        <f t="shared" si="11"/>
        <v/>
      </c>
      <c r="BG43" s="114" t="str">
        <f t="shared" si="12"/>
        <v/>
      </c>
      <c r="BH43" s="83" t="str">
        <f t="shared" si="13"/>
        <v/>
      </c>
      <c r="BI43" s="83" t="str">
        <f t="shared" si="14"/>
        <v/>
      </c>
      <c r="BJ43" s="83" t="str">
        <f t="shared" si="15"/>
        <v/>
      </c>
      <c r="BK43" s="83" t="str">
        <f t="shared" si="16"/>
        <v/>
      </c>
      <c r="BL43" s="200" t="str">
        <f>IFNA(IF(VLOOKUP(FLOOR($B43,1),'APS Tubes by Date IMPORT'!$B$2:$J259,1,FALSE)=FLOOR($BL42,1),IFERROR(0/0,""),VLOOKUP(FLOOR($B43,1),'APS Tubes by Date IMPORT'!$B$2:$J259,1,FALSE)),"")</f>
        <v/>
      </c>
      <c r="BM43" s="83" t="str">
        <f>IF(ISBLANK($BL43),IFERROR(0/0,""),VLOOKUP(FLOOR($B43,1),'APS Tubes by Date IMPORT'!$B$2:$J259,2,FALSE))</f>
        <v/>
      </c>
      <c r="BN43" s="114"/>
      <c r="BO43" s="83" t="str">
        <f>VLOOKUP(FLOOR($B43,1),'APS Tubes by Date IMPORT'!$B43:$I259,6,FALSE)</f>
        <v>#N/A</v>
      </c>
      <c r="BP43" s="83">
        <v>7.0</v>
      </c>
      <c r="BQ43" s="193">
        <f t="shared" si="17"/>
        <v>7</v>
      </c>
      <c r="BR43" s="131">
        <v>3.0</v>
      </c>
      <c r="BS43" s="76" t="b">
        <f t="shared" si="18"/>
        <v>1</v>
      </c>
      <c r="BT43" s="194" t="str">
        <f t="shared" si="19"/>
        <v>Delete NULL</v>
      </c>
      <c r="BU43" s="195"/>
      <c r="BV43" s="195"/>
      <c r="BW43" s="195"/>
      <c r="BX43" s="195"/>
    </row>
    <row r="44">
      <c r="A44" s="18" t="str">
        <f>CONCATENATE("RUN-",'Process Ref'!$A$1,"_",TEXT(U44,"YYYY-MM-DD"),"_RFR-",TEXT(AR44,"000"),IF(EXACT(W44,"Initial"),"",CONCATENATE("_",W44)))</f>
        <v>RUN-ABRM_2022-10-12_RFR-043</v>
      </c>
      <c r="B44" s="168">
        <v>44846.37732638889</v>
      </c>
      <c r="C44" s="110"/>
      <c r="D44" s="110" t="s">
        <v>313</v>
      </c>
      <c r="E44" s="169">
        <v>12.0</v>
      </c>
      <c r="F44" s="110" t="s">
        <v>479</v>
      </c>
      <c r="G44" s="170" t="s">
        <v>480</v>
      </c>
      <c r="H44" s="170" t="s">
        <v>481</v>
      </c>
      <c r="I44" s="170" t="s">
        <v>482</v>
      </c>
      <c r="J44" s="172"/>
      <c r="K44" s="173" t="s">
        <v>483</v>
      </c>
      <c r="L44" s="131"/>
      <c r="M44" s="174"/>
      <c r="N44" s="174"/>
      <c r="O44" s="175"/>
      <c r="P44" s="118" t="b">
        <v>0</v>
      </c>
      <c r="Q44" s="176" t="b">
        <v>0</v>
      </c>
      <c r="R44" s="55"/>
      <c r="S44" s="118" t="b">
        <v>0</v>
      </c>
      <c r="T44" s="177" t="b">
        <v>0</v>
      </c>
      <c r="U44" s="178">
        <v>44846.0</v>
      </c>
      <c r="V44" s="179">
        <v>0.4166666666666667</v>
      </c>
      <c r="W44" s="110" t="s">
        <v>320</v>
      </c>
      <c r="X44" s="180"/>
      <c r="Y44" s="118" t="b">
        <v>0</v>
      </c>
      <c r="Z44" s="169">
        <v>12.0</v>
      </c>
      <c r="AA44" s="196">
        <f t="shared" si="1"/>
        <v>0</v>
      </c>
      <c r="AB44" s="197" t="b">
        <f t="shared" si="2"/>
        <v>1</v>
      </c>
      <c r="AC44" s="169">
        <v>10.0</v>
      </c>
      <c r="AD44" s="169">
        <v>0.0</v>
      </c>
      <c r="AE44" s="169">
        <v>0.0</v>
      </c>
      <c r="AF44" s="169">
        <v>0.0</v>
      </c>
      <c r="AG44" s="169">
        <v>0.0</v>
      </c>
      <c r="AH44" s="169">
        <v>0.0</v>
      </c>
      <c r="AI44" s="169">
        <v>0.0</v>
      </c>
      <c r="AJ44" s="182" t="b">
        <v>0</v>
      </c>
      <c r="AK44" s="183">
        <v>10.0</v>
      </c>
      <c r="AL44" s="169">
        <v>0.0</v>
      </c>
      <c r="AM44" s="169">
        <v>0.0</v>
      </c>
      <c r="AN44" s="198" t="str">
        <f>IFNA(VLOOKUP($A44,'Tube Reactions'!$J$2:$K259,2,FALSE),"")</f>
        <v/>
      </c>
      <c r="AO44" s="199" t="str">
        <f t="shared" si="20"/>
        <v/>
      </c>
      <c r="AP44" s="186" t="str">
        <f t="shared" si="4"/>
        <v/>
      </c>
      <c r="AQ44" s="187" t="b">
        <f t="shared" si="5"/>
        <v>1</v>
      </c>
      <c r="AR44" s="188">
        <v>43.0</v>
      </c>
      <c r="AS44" s="189"/>
      <c r="AT44" s="110"/>
      <c r="AU44" s="110" t="s">
        <v>384</v>
      </c>
      <c r="AV44" s="169">
        <v>12.0</v>
      </c>
      <c r="AW44" s="118" t="b">
        <v>1</v>
      </c>
      <c r="AX44" s="190" t="b">
        <f t="shared" si="27"/>
        <v>1</v>
      </c>
      <c r="AY44" s="48">
        <f t="shared" si="31"/>
        <v>2</v>
      </c>
      <c r="BA44" s="191" t="b">
        <v>1</v>
      </c>
      <c r="BB44" s="18" t="b">
        <f t="shared" si="8"/>
        <v>1</v>
      </c>
      <c r="BC44" s="18" t="b">
        <f t="shared" si="9"/>
        <v>1</v>
      </c>
      <c r="BD44" s="48">
        <f t="shared" si="10"/>
        <v>10</v>
      </c>
      <c r="BE44" s="192"/>
      <c r="BF44" s="76">
        <f t="shared" si="11"/>
        <v>44846</v>
      </c>
      <c r="BG44" s="114" t="str">
        <f t="shared" si="12"/>
        <v>RUN-ABRM_2022-10-12_RFR-043</v>
      </c>
      <c r="BH44" s="83">
        <f t="shared" si="13"/>
        <v>12</v>
      </c>
      <c r="BI44" s="83">
        <f t="shared" si="14"/>
        <v>10</v>
      </c>
      <c r="BJ44" s="83">
        <f t="shared" si="15"/>
        <v>10</v>
      </c>
      <c r="BK44" s="83">
        <f t="shared" si="16"/>
        <v>0</v>
      </c>
      <c r="BL44" s="200">
        <f>IFNA(IF(VLOOKUP(FLOOR($B44,1),'APS Tubes by Date IMPORT'!$B$2:$J259,1,FALSE)=FLOOR($BL43,1),IFERROR(0/0,""),VLOOKUP(FLOOR($B44,1),'APS Tubes by Date IMPORT'!$B$2:$J259,1,FALSE)),"")</f>
        <v>44846</v>
      </c>
      <c r="BM44" s="83">
        <f>IF(ISBLANK($BL44),IFERROR(0/0,""),VLOOKUP(FLOOR($B44,1),'APS Tubes by Date IMPORT'!$B$2:$J259,2,FALSE))</f>
        <v>10</v>
      </c>
      <c r="BN44" s="114"/>
      <c r="BO44" s="83" t="str">
        <f>VLOOKUP(FLOOR($B44,1),'APS Tubes by Date IMPORT'!$B44:$I259,6,FALSE)</f>
        <v>#N/A</v>
      </c>
      <c r="BP44" s="83">
        <v>7.0</v>
      </c>
      <c r="BQ44" s="193">
        <f t="shared" si="17"/>
        <v>-3</v>
      </c>
      <c r="BR44" s="131">
        <v>3.0</v>
      </c>
      <c r="BS44" s="76" t="b">
        <f t="shared" si="18"/>
        <v>1</v>
      </c>
      <c r="BT44" s="194" t="str">
        <f t="shared" si="19"/>
        <v>Delete NULL</v>
      </c>
      <c r="BU44" s="195"/>
      <c r="BV44" s="195"/>
      <c r="BW44" s="195"/>
      <c r="BX44" s="195"/>
    </row>
    <row r="45">
      <c r="A45" s="18" t="str">
        <f>CONCATENATE("RUN-",'Process Ref'!$A$1,"_",TEXT(U45,"YYYY-MM-DD"),"_RFR-",TEXT(AR45,"000"),IF(EXACT(W45,"Initial"),"",CONCATENATE("_",W45)))</f>
        <v>RUN-ABRM_2022-10-13_RFR-044</v>
      </c>
      <c r="B45" s="168">
        <v>44847.38880787037</v>
      </c>
      <c r="C45" s="110"/>
      <c r="D45" s="110" t="s">
        <v>313</v>
      </c>
      <c r="E45" s="169">
        <v>13.0</v>
      </c>
      <c r="F45" s="110" t="s">
        <v>484</v>
      </c>
      <c r="G45" s="170" t="s">
        <v>485</v>
      </c>
      <c r="H45" s="170" t="s">
        <v>486</v>
      </c>
      <c r="I45" s="170" t="s">
        <v>487</v>
      </c>
      <c r="J45" s="172"/>
      <c r="K45" s="204"/>
      <c r="L45" s="131"/>
      <c r="M45" s="174"/>
      <c r="N45" s="174"/>
      <c r="O45" s="175"/>
      <c r="P45" s="118" t="b">
        <v>0</v>
      </c>
      <c r="Q45" s="176" t="b">
        <v>0</v>
      </c>
      <c r="R45" s="55"/>
      <c r="S45" s="118" t="b">
        <v>0</v>
      </c>
      <c r="T45" s="177" t="b">
        <v>0</v>
      </c>
      <c r="U45" s="178">
        <v>44847.0</v>
      </c>
      <c r="V45" s="179">
        <v>0.4166666666666667</v>
      </c>
      <c r="W45" s="110" t="s">
        <v>320</v>
      </c>
      <c r="X45" s="180"/>
      <c r="Y45" s="118" t="b">
        <v>0</v>
      </c>
      <c r="Z45" s="169">
        <v>13.0</v>
      </c>
      <c r="AA45" s="196">
        <f t="shared" si="1"/>
        <v>0</v>
      </c>
      <c r="AB45" s="197" t="b">
        <f t="shared" si="2"/>
        <v>1</v>
      </c>
      <c r="AC45" s="169">
        <v>11.0</v>
      </c>
      <c r="AD45" s="169">
        <v>0.0</v>
      </c>
      <c r="AE45" s="169">
        <v>0.0</v>
      </c>
      <c r="AF45" s="169">
        <v>0.0</v>
      </c>
      <c r="AG45" s="169">
        <v>0.0</v>
      </c>
      <c r="AH45" s="169">
        <v>0.0</v>
      </c>
      <c r="AI45" s="169">
        <v>0.0</v>
      </c>
      <c r="AJ45" s="182" t="b">
        <v>0</v>
      </c>
      <c r="AK45" s="183">
        <v>11.0</v>
      </c>
      <c r="AL45" s="169">
        <v>0.0</v>
      </c>
      <c r="AM45" s="169">
        <v>0.0</v>
      </c>
      <c r="AN45" s="198" t="str">
        <f>IFNA(VLOOKUP($A45,'Tube Reactions'!$J$2:$K259,2,FALSE),"")</f>
        <v/>
      </c>
      <c r="AO45" s="199" t="str">
        <f t="shared" si="20"/>
        <v/>
      </c>
      <c r="AP45" s="186" t="str">
        <f t="shared" si="4"/>
        <v/>
      </c>
      <c r="AQ45" s="187" t="b">
        <f t="shared" si="5"/>
        <v>1</v>
      </c>
      <c r="AR45" s="188">
        <v>44.0</v>
      </c>
      <c r="AS45" s="189"/>
      <c r="AT45" s="110"/>
      <c r="AU45" s="110" t="s">
        <v>384</v>
      </c>
      <c r="AV45" s="169">
        <v>13.0</v>
      </c>
      <c r="AW45" s="118" t="b">
        <v>1</v>
      </c>
      <c r="AX45" s="190" t="b">
        <f t="shared" si="27"/>
        <v>1</v>
      </c>
      <c r="AY45" s="48">
        <f t="shared" si="31"/>
        <v>2</v>
      </c>
      <c r="BA45" s="191" t="b">
        <v>1</v>
      </c>
      <c r="BB45" s="18" t="b">
        <f t="shared" si="8"/>
        <v>1</v>
      </c>
      <c r="BC45" s="18" t="b">
        <f t="shared" si="9"/>
        <v>1</v>
      </c>
      <c r="BD45" s="48">
        <f t="shared" si="10"/>
        <v>11</v>
      </c>
      <c r="BE45" s="192"/>
      <c r="BF45" s="76">
        <f t="shared" si="11"/>
        <v>44847</v>
      </c>
      <c r="BG45" s="114" t="str">
        <f t="shared" si="12"/>
        <v>RUN-ABRM_2022-10-13_RFR-044</v>
      </c>
      <c r="BH45" s="83">
        <f t="shared" si="13"/>
        <v>13</v>
      </c>
      <c r="BI45" s="83">
        <f t="shared" si="14"/>
        <v>11</v>
      </c>
      <c r="BJ45" s="83">
        <f t="shared" si="15"/>
        <v>11</v>
      </c>
      <c r="BK45" s="83">
        <f t="shared" si="16"/>
        <v>0</v>
      </c>
      <c r="BL45" s="200">
        <f>IFNA(IF(VLOOKUP(FLOOR($B45,1),'APS Tubes by Date IMPORT'!$B$2:$J259,1,FALSE)=FLOOR($BL44,1),IFERROR(0/0,""),VLOOKUP(FLOOR($B45,1),'APS Tubes by Date IMPORT'!$B$2:$J259,1,FALSE)),"")</f>
        <v>44847</v>
      </c>
      <c r="BM45" s="83">
        <f>IF(ISBLANK($BL45),IFERROR(0/0,""),VLOOKUP(FLOOR($B45,1),'APS Tubes by Date IMPORT'!$B$2:$J259,2,FALSE))</f>
        <v>11</v>
      </c>
      <c r="BN45" s="114"/>
      <c r="BO45" s="83" t="str">
        <f>VLOOKUP(FLOOR($B45,1),'APS Tubes by Date IMPORT'!$B45:$I259,6,FALSE)</f>
        <v>#N/A</v>
      </c>
      <c r="BP45" s="83">
        <v>7.0</v>
      </c>
      <c r="BQ45" s="193">
        <f t="shared" si="17"/>
        <v>-4</v>
      </c>
      <c r="BR45" s="131">
        <v>3.0</v>
      </c>
      <c r="BS45" s="76" t="b">
        <f t="shared" si="18"/>
        <v>1</v>
      </c>
      <c r="BT45" s="194" t="str">
        <f t="shared" si="19"/>
        <v>Delete NULL</v>
      </c>
      <c r="BU45" s="195"/>
      <c r="BV45" s="195"/>
      <c r="BW45" s="195"/>
      <c r="BX45" s="195"/>
    </row>
    <row r="46">
      <c r="A46" s="18" t="str">
        <f>CONCATENATE("RUN-",'Process Ref'!$A$1,"_",TEXT(U46,"YYYY-MM-DD"),"_RFR-",TEXT(AR46,"000"),IF(EXACT(W46,"Initial"),"",CONCATENATE("_",W46)))</f>
        <v>RUN-ABRM_2022-10-17_RFR-045</v>
      </c>
      <c r="B46" s="168">
        <v>44851.38447916666</v>
      </c>
      <c r="C46" s="110"/>
      <c r="D46" s="110" t="s">
        <v>313</v>
      </c>
      <c r="E46" s="169">
        <v>13.0</v>
      </c>
      <c r="F46" s="110" t="s">
        <v>488</v>
      </c>
      <c r="G46" s="170" t="s">
        <v>489</v>
      </c>
      <c r="H46" s="170" t="s">
        <v>490</v>
      </c>
      <c r="I46" s="170" t="s">
        <v>491</v>
      </c>
      <c r="J46" s="172"/>
      <c r="K46" s="204"/>
      <c r="L46" s="131"/>
      <c r="M46" s="174"/>
      <c r="N46" s="174"/>
      <c r="O46" s="175"/>
      <c r="P46" s="118" t="b">
        <v>0</v>
      </c>
      <c r="Q46" s="176" t="b">
        <v>0</v>
      </c>
      <c r="R46" s="55"/>
      <c r="S46" s="118" t="b">
        <v>0</v>
      </c>
      <c r="T46" s="177" t="b">
        <v>0</v>
      </c>
      <c r="U46" s="178">
        <v>44851.0</v>
      </c>
      <c r="V46" s="179">
        <v>0.4166666666666667</v>
      </c>
      <c r="W46" s="110" t="s">
        <v>320</v>
      </c>
      <c r="X46" s="180"/>
      <c r="Y46" s="118" t="b">
        <v>0</v>
      </c>
      <c r="Z46" s="169">
        <v>13.0</v>
      </c>
      <c r="AA46" s="196">
        <f t="shared" si="1"/>
        <v>0</v>
      </c>
      <c r="AB46" s="197" t="b">
        <f t="shared" si="2"/>
        <v>1</v>
      </c>
      <c r="AC46" s="169">
        <v>11.0</v>
      </c>
      <c r="AD46" s="169">
        <v>0.0</v>
      </c>
      <c r="AE46" s="169">
        <v>0.0</v>
      </c>
      <c r="AF46" s="169">
        <v>0.0</v>
      </c>
      <c r="AG46" s="169">
        <v>0.0</v>
      </c>
      <c r="AH46" s="169">
        <v>0.0</v>
      </c>
      <c r="AI46" s="169">
        <v>0.0</v>
      </c>
      <c r="AJ46" s="182" t="b">
        <v>0</v>
      </c>
      <c r="AK46" s="183">
        <v>11.0</v>
      </c>
      <c r="AL46" s="169">
        <v>0.0</v>
      </c>
      <c r="AM46" s="169">
        <v>0.0</v>
      </c>
      <c r="AN46" s="198" t="str">
        <f>IFNA(VLOOKUP($A46,'Tube Reactions'!$J$2:$K259,2,FALSE),"")</f>
        <v/>
      </c>
      <c r="AO46" s="199" t="str">
        <f t="shared" si="20"/>
        <v/>
      </c>
      <c r="AP46" s="186" t="str">
        <f t="shared" si="4"/>
        <v/>
      </c>
      <c r="AQ46" s="187" t="b">
        <f t="shared" si="5"/>
        <v>1</v>
      </c>
      <c r="AR46" s="188">
        <v>45.0</v>
      </c>
      <c r="AS46" s="189"/>
      <c r="AT46" s="110"/>
      <c r="AU46" s="110" t="s">
        <v>384</v>
      </c>
      <c r="AV46" s="169">
        <v>13.0</v>
      </c>
      <c r="AW46" s="118" t="b">
        <v>1</v>
      </c>
      <c r="AX46" s="190" t="b">
        <f t="shared" si="27"/>
        <v>1</v>
      </c>
      <c r="AY46" s="48">
        <f t="shared" si="31"/>
        <v>2</v>
      </c>
      <c r="BA46" s="191" t="b">
        <v>1</v>
      </c>
      <c r="BB46" s="18" t="b">
        <f t="shared" si="8"/>
        <v>1</v>
      </c>
      <c r="BC46" s="18" t="b">
        <f t="shared" si="9"/>
        <v>1</v>
      </c>
      <c r="BD46" s="48">
        <f t="shared" si="10"/>
        <v>11</v>
      </c>
      <c r="BE46" s="192"/>
      <c r="BF46" s="76">
        <f t="shared" si="11"/>
        <v>44851</v>
      </c>
      <c r="BG46" s="114" t="str">
        <f t="shared" si="12"/>
        <v>RUN-ABRM_2022-10-17_RFR-045</v>
      </c>
      <c r="BH46" s="83">
        <f t="shared" si="13"/>
        <v>13</v>
      </c>
      <c r="BI46" s="83">
        <f t="shared" si="14"/>
        <v>11</v>
      </c>
      <c r="BJ46" s="83">
        <f t="shared" si="15"/>
        <v>11</v>
      </c>
      <c r="BK46" s="83">
        <f t="shared" si="16"/>
        <v>0</v>
      </c>
      <c r="BL46" s="200">
        <f>IFNA(IF(VLOOKUP(FLOOR($B46,1),'APS Tubes by Date IMPORT'!$B$2:$J259,1,FALSE)=FLOOR($BL45,1),IFERROR(0/0,""),VLOOKUP(FLOOR($B46,1),'APS Tubes by Date IMPORT'!$B$2:$J259,1,FALSE)),"")</f>
        <v>44851</v>
      </c>
      <c r="BM46" s="83">
        <f>IF(ISBLANK($BL46),IFERROR(0/0,""),VLOOKUP(FLOOR($B46,1),'APS Tubes by Date IMPORT'!$B$2:$J259,2,FALSE))</f>
        <v>11</v>
      </c>
      <c r="BN46" s="114"/>
      <c r="BO46" s="83" t="str">
        <f>VLOOKUP(FLOOR($B46,1),'APS Tubes by Date IMPORT'!$B46:$I259,6,FALSE)</f>
        <v>#N/A</v>
      </c>
      <c r="BP46" s="83">
        <v>7.0</v>
      </c>
      <c r="BQ46" s="193">
        <f t="shared" si="17"/>
        <v>-4</v>
      </c>
      <c r="BR46" s="131">
        <v>3.0</v>
      </c>
      <c r="BS46" s="76" t="b">
        <f t="shared" si="18"/>
        <v>1</v>
      </c>
      <c r="BT46" s="194" t="str">
        <f t="shared" si="19"/>
        <v>Delete NULL</v>
      </c>
      <c r="BU46" s="195"/>
      <c r="BV46" s="195"/>
      <c r="BW46" s="195"/>
      <c r="BX46" s="195"/>
    </row>
    <row r="47">
      <c r="A47" s="18" t="str">
        <f>CONCATENATE("RUN-",'Process Ref'!$A$1,"_",TEXT(U47,"YYYY-MM-DD"),"_RFR-",TEXT(AR47,"000"),IF(EXACT(W47,"Initial"),"",CONCATENATE("_",W47)))</f>
        <v>RUN-ABRM_2022-10-18_RFR-046</v>
      </c>
      <c r="B47" s="168">
        <v>44852.401770833334</v>
      </c>
      <c r="C47" s="110"/>
      <c r="D47" s="110" t="s">
        <v>313</v>
      </c>
      <c r="E47" s="169">
        <v>11.0</v>
      </c>
      <c r="F47" s="110" t="s">
        <v>492</v>
      </c>
      <c r="G47" s="171" t="s">
        <v>493</v>
      </c>
      <c r="H47" s="171" t="s">
        <v>494</v>
      </c>
      <c r="I47" s="171" t="s">
        <v>495</v>
      </c>
      <c r="J47" s="169">
        <v>1.0</v>
      </c>
      <c r="K47" s="173" t="s">
        <v>496</v>
      </c>
      <c r="L47" s="131"/>
      <c r="M47" s="174"/>
      <c r="N47" s="174"/>
      <c r="O47" s="175"/>
      <c r="P47" s="118" t="b">
        <v>0</v>
      </c>
      <c r="Q47" s="176" t="b">
        <v>0</v>
      </c>
      <c r="R47" s="55"/>
      <c r="S47" s="118" t="b">
        <v>0</v>
      </c>
      <c r="T47" s="177" t="b">
        <v>1</v>
      </c>
      <c r="U47" s="178">
        <v>44852.0</v>
      </c>
      <c r="V47" s="179">
        <v>0.4166666666666667</v>
      </c>
      <c r="W47" s="110" t="s">
        <v>320</v>
      </c>
      <c r="X47" s="180"/>
      <c r="Y47" s="118" t="b">
        <v>1</v>
      </c>
      <c r="Z47" s="169">
        <v>11.0</v>
      </c>
      <c r="AA47" s="196">
        <f t="shared" si="1"/>
        <v>0</v>
      </c>
      <c r="AB47" s="197" t="b">
        <f t="shared" si="2"/>
        <v>1</v>
      </c>
      <c r="AC47" s="169">
        <v>9.0</v>
      </c>
      <c r="AD47" s="169">
        <v>1.0</v>
      </c>
      <c r="AE47" s="169">
        <v>1.0</v>
      </c>
      <c r="AF47" s="169">
        <v>0.0</v>
      </c>
      <c r="AG47" s="169">
        <v>0.0</v>
      </c>
      <c r="AH47" s="169">
        <v>0.0</v>
      </c>
      <c r="AI47" s="169">
        <v>0.0</v>
      </c>
      <c r="AJ47" s="182" t="b">
        <v>0</v>
      </c>
      <c r="AK47" s="183">
        <v>9.0</v>
      </c>
      <c r="AL47" s="169">
        <v>1.1</v>
      </c>
      <c r="AM47" s="169">
        <v>1.0</v>
      </c>
      <c r="AN47" s="198" t="str">
        <f>IFNA(VLOOKUP($A47,'Tube Reactions'!$J$2:$K259,2,FALSE),"")</f>
        <v/>
      </c>
      <c r="AO47" s="199" t="str">
        <f t="shared" si="20"/>
        <v>NOT EQUAL</v>
      </c>
      <c r="AP47" s="186" t="str">
        <f t="shared" si="4"/>
        <v/>
      </c>
      <c r="AQ47" s="187" t="b">
        <f t="shared" si="5"/>
        <v>1</v>
      </c>
      <c r="AR47" s="188">
        <v>46.0</v>
      </c>
      <c r="AS47" s="189"/>
      <c r="AT47" s="110"/>
      <c r="AU47" s="110" t="s">
        <v>384</v>
      </c>
      <c r="AV47" s="169">
        <v>11.0</v>
      </c>
      <c r="AW47" s="118" t="b">
        <v>0</v>
      </c>
      <c r="AX47" s="190" t="b">
        <f t="shared" si="27"/>
        <v>1</v>
      </c>
      <c r="AY47" s="48">
        <f t="shared" si="31"/>
        <v>2</v>
      </c>
      <c r="BA47" s="191" t="b">
        <v>0</v>
      </c>
      <c r="BB47" s="18" t="str">
        <f t="shared" si="8"/>
        <v/>
      </c>
      <c r="BC47" s="18" t="str">
        <f t="shared" si="9"/>
        <v/>
      </c>
      <c r="BD47" s="48" t="str">
        <f t="shared" si="10"/>
        <v/>
      </c>
      <c r="BE47" s="192"/>
      <c r="BF47" s="76">
        <f t="shared" si="11"/>
        <v>44852</v>
      </c>
      <c r="BG47" s="114" t="str">
        <f t="shared" si="12"/>
        <v>RUN-ABRM_2022-10-18_RFR-046</v>
      </c>
      <c r="BH47" s="83">
        <f t="shared" si="13"/>
        <v>11</v>
      </c>
      <c r="BI47" s="83">
        <f t="shared" si="14"/>
        <v>9</v>
      </c>
      <c r="BJ47" s="83">
        <f t="shared" si="15"/>
        <v>9</v>
      </c>
      <c r="BK47" s="83">
        <f t="shared" si="16"/>
        <v>1.1</v>
      </c>
      <c r="BL47" s="200">
        <f>IFNA(IF(VLOOKUP(FLOOR($B47,1),'APS Tubes by Date IMPORT'!$B$2:$J259,1,FALSE)=FLOOR($BL46,1),IFERROR(0/0,""),VLOOKUP(FLOOR($B47,1),'APS Tubes by Date IMPORT'!$B$2:$J259,1,FALSE)),"")</f>
        <v>44852</v>
      </c>
      <c r="BM47" s="83">
        <f>IF(ISBLANK($BL47),IFERROR(0/0,""),VLOOKUP(FLOOR($B47,1),'APS Tubes by Date IMPORT'!$B$2:$J259,2,FALSE))</f>
        <v>9</v>
      </c>
      <c r="BN47" s="114"/>
      <c r="BO47" s="83" t="str">
        <f>VLOOKUP(FLOOR($B47,1),'APS Tubes by Date IMPORT'!$B47:$I259,6,FALSE)</f>
        <v>#N/A</v>
      </c>
      <c r="BP47" s="83">
        <v>7.0</v>
      </c>
      <c r="BQ47" s="193">
        <f t="shared" si="17"/>
        <v>-2</v>
      </c>
      <c r="BR47" s="131">
        <v>3.0</v>
      </c>
      <c r="BS47" s="76" t="b">
        <f t="shared" si="18"/>
        <v>1</v>
      </c>
      <c r="BT47" s="194" t="str">
        <f t="shared" si="19"/>
        <v>Delete NULL</v>
      </c>
      <c r="BU47" s="195"/>
      <c r="BV47" s="195"/>
      <c r="BW47" s="195"/>
      <c r="BX47" s="195"/>
    </row>
    <row r="48">
      <c r="A48" s="18" t="str">
        <f>CONCATENATE("RUN-",'Process Ref'!$A$1,"_",TEXT(U48,"YYYY-MM-DD"),"_RFR-",TEXT(AR48,"000"),IF(EXACT(W48,"Initial"),"",CONCATENATE("_",W48)))</f>
        <v>RUN-ABRM_2022-10-18_RFR-047_Re-run</v>
      </c>
      <c r="B48" s="168">
        <v>44852.408009259256</v>
      </c>
      <c r="C48" s="110"/>
      <c r="D48" s="110" t="s">
        <v>313</v>
      </c>
      <c r="E48" s="169">
        <v>5.0</v>
      </c>
      <c r="F48" s="110" t="s">
        <v>492</v>
      </c>
      <c r="G48" s="171" t="s">
        <v>497</v>
      </c>
      <c r="H48" s="171" t="s">
        <v>498</v>
      </c>
      <c r="I48" s="171" t="s">
        <v>499</v>
      </c>
      <c r="J48" s="172"/>
      <c r="K48" s="173" t="s">
        <v>500</v>
      </c>
      <c r="L48" s="131"/>
      <c r="M48" s="174"/>
      <c r="N48" s="174"/>
      <c r="O48" s="175"/>
      <c r="P48" s="118" t="b">
        <v>0</v>
      </c>
      <c r="Q48" s="176" t="b">
        <v>0</v>
      </c>
      <c r="R48" s="55"/>
      <c r="S48" s="118" t="b">
        <v>0</v>
      </c>
      <c r="T48" s="177" t="b">
        <v>1</v>
      </c>
      <c r="U48" s="178">
        <v>44852.0</v>
      </c>
      <c r="V48" s="179">
        <v>0.4583333333333333</v>
      </c>
      <c r="W48" s="110" t="s">
        <v>339</v>
      </c>
      <c r="X48" s="180"/>
      <c r="Y48" s="118" t="b">
        <v>0</v>
      </c>
      <c r="Z48" s="169">
        <v>5.0</v>
      </c>
      <c r="AA48" s="196">
        <f t="shared" si="1"/>
        <v>0</v>
      </c>
      <c r="AB48" s="197" t="b">
        <f t="shared" si="2"/>
        <v>1</v>
      </c>
      <c r="AC48" s="169">
        <v>3.0</v>
      </c>
      <c r="AD48" s="169">
        <v>0.0</v>
      </c>
      <c r="AE48" s="169">
        <v>0.0</v>
      </c>
      <c r="AF48" s="169">
        <v>0.0</v>
      </c>
      <c r="AG48" s="169">
        <v>0.0</v>
      </c>
      <c r="AH48" s="169">
        <v>0.0</v>
      </c>
      <c r="AI48" s="169">
        <v>0.0</v>
      </c>
      <c r="AJ48" s="182" t="b">
        <v>0</v>
      </c>
      <c r="AK48" s="183">
        <v>1.0</v>
      </c>
      <c r="AL48" s="169">
        <v>0.0</v>
      </c>
      <c r="AM48" s="172" t="str">
        <f>IF(EXACT(W48,"Initial"),"Audit","")</f>
        <v/>
      </c>
      <c r="AN48" s="198" t="str">
        <f>IFNA(VLOOKUP($A48,'Tube Reactions'!$J$2:$K259,2,FALSE),"")</f>
        <v/>
      </c>
      <c r="AO48" s="199" t="str">
        <f t="shared" si="20"/>
        <v/>
      </c>
      <c r="AP48" s="186" t="str">
        <f t="shared" si="4"/>
        <v/>
      </c>
      <c r="AQ48" s="187" t="b">
        <f t="shared" si="5"/>
        <v>1</v>
      </c>
      <c r="AR48" s="188">
        <v>47.0</v>
      </c>
      <c r="AS48" s="189"/>
      <c r="AT48" s="110"/>
      <c r="AU48" s="110" t="s">
        <v>384</v>
      </c>
      <c r="AV48" s="169">
        <v>5.0</v>
      </c>
      <c r="AW48" s="118"/>
      <c r="AX48" s="190"/>
      <c r="AY48" s="48">
        <f t="shared" si="31"/>
        <v>2</v>
      </c>
      <c r="BA48" s="191" t="b">
        <v>0</v>
      </c>
      <c r="BB48" s="18" t="str">
        <f t="shared" si="8"/>
        <v/>
      </c>
      <c r="BC48" s="18" t="str">
        <f t="shared" si="9"/>
        <v/>
      </c>
      <c r="BD48" s="48" t="str">
        <f t="shared" si="10"/>
        <v/>
      </c>
      <c r="BE48" s="192"/>
      <c r="BF48" s="76" t="str">
        <f t="shared" si="11"/>
        <v/>
      </c>
      <c r="BG48" s="114" t="str">
        <f t="shared" si="12"/>
        <v/>
      </c>
      <c r="BH48" s="83" t="str">
        <f t="shared" si="13"/>
        <v/>
      </c>
      <c r="BI48" s="83" t="str">
        <f t="shared" si="14"/>
        <v/>
      </c>
      <c r="BJ48" s="83" t="str">
        <f t="shared" si="15"/>
        <v/>
      </c>
      <c r="BK48" s="83" t="str">
        <f t="shared" si="16"/>
        <v/>
      </c>
      <c r="BL48" s="200" t="str">
        <f>IFNA(IF(VLOOKUP(FLOOR($B48,1),'APS Tubes by Date IMPORT'!$B$2:$J259,1,FALSE)=FLOOR($BL47,1),IFERROR(0/0,""),VLOOKUP(FLOOR($B48,1),'APS Tubes by Date IMPORT'!$B$2:$J259,1,FALSE)),"")</f>
        <v/>
      </c>
      <c r="BM48" s="83" t="str">
        <f>IF(ISBLANK($BL48),IFERROR(0/0,""),VLOOKUP(FLOOR($B48,1),'APS Tubes by Date IMPORT'!$B$2:$J259,2,FALSE))</f>
        <v/>
      </c>
      <c r="BN48" s="114"/>
      <c r="BO48" s="83" t="str">
        <f>VLOOKUP(FLOOR($B48,1),'APS Tubes by Date IMPORT'!$B48:$I259,6,FALSE)</f>
        <v>#N/A</v>
      </c>
      <c r="BP48" s="83">
        <v>7.0</v>
      </c>
      <c r="BQ48" s="193">
        <f t="shared" si="17"/>
        <v>7</v>
      </c>
      <c r="BR48" s="131">
        <v>3.0</v>
      </c>
      <c r="BS48" s="76" t="b">
        <f t="shared" si="18"/>
        <v>1</v>
      </c>
      <c r="BT48" s="194" t="str">
        <f t="shared" si="19"/>
        <v>Delete NULL</v>
      </c>
      <c r="BU48" s="195"/>
      <c r="BV48" s="195"/>
      <c r="BW48" s="195"/>
      <c r="BX48" s="195"/>
    </row>
    <row r="49">
      <c r="A49" s="18" t="str">
        <f>CONCATENATE("RUN-",'Process Ref'!$A$1,"_",TEXT(U49,"YYYY-MM-DD"),"_RFR-",TEXT(AR49,"000"),IF(EXACT(W49,"Initial"),"",CONCATENATE("_",W49)))</f>
        <v>RUN-ABRM_2022-10-19_RFR-048</v>
      </c>
      <c r="B49" s="168">
        <v>44853.383726851855</v>
      </c>
      <c r="C49" s="110"/>
      <c r="D49" s="110" t="s">
        <v>313</v>
      </c>
      <c r="E49" s="169">
        <v>10.0</v>
      </c>
      <c r="F49" s="110" t="s">
        <v>501</v>
      </c>
      <c r="G49" s="170" t="s">
        <v>502</v>
      </c>
      <c r="H49" s="170" t="s">
        <v>503</v>
      </c>
      <c r="I49" s="170" t="s">
        <v>504</v>
      </c>
      <c r="J49" s="172"/>
      <c r="K49" s="173" t="s">
        <v>505</v>
      </c>
      <c r="L49" s="131"/>
      <c r="M49" s="174"/>
      <c r="N49" s="174"/>
      <c r="O49" s="175"/>
      <c r="P49" s="118" t="b">
        <v>0</v>
      </c>
      <c r="Q49" s="176" t="b">
        <v>0</v>
      </c>
      <c r="R49" s="55"/>
      <c r="S49" s="118" t="b">
        <v>0</v>
      </c>
      <c r="T49" s="177" t="b">
        <v>0</v>
      </c>
      <c r="U49" s="178">
        <v>44853.0</v>
      </c>
      <c r="V49" s="179">
        <v>0.4166666666666667</v>
      </c>
      <c r="W49" s="110" t="s">
        <v>320</v>
      </c>
      <c r="X49" s="180"/>
      <c r="Y49" s="118" t="b">
        <v>0</v>
      </c>
      <c r="Z49" s="169">
        <v>10.0</v>
      </c>
      <c r="AA49" s="196">
        <f t="shared" si="1"/>
        <v>0</v>
      </c>
      <c r="AB49" s="197" t="b">
        <f t="shared" si="2"/>
        <v>1</v>
      </c>
      <c r="AC49" s="169">
        <v>8.0</v>
      </c>
      <c r="AD49" s="169">
        <v>0.0</v>
      </c>
      <c r="AE49" s="169">
        <v>0.0</v>
      </c>
      <c r="AF49" s="169">
        <v>0.0</v>
      </c>
      <c r="AG49" s="169">
        <v>0.0</v>
      </c>
      <c r="AH49" s="169">
        <v>0.0</v>
      </c>
      <c r="AI49" s="169">
        <v>0.0</v>
      </c>
      <c r="AJ49" s="182" t="b">
        <v>0</v>
      </c>
      <c r="AK49" s="183">
        <v>8.0</v>
      </c>
      <c r="AL49" s="169">
        <v>0.0</v>
      </c>
      <c r="AM49" s="169">
        <v>0.0</v>
      </c>
      <c r="AN49" s="198" t="str">
        <f>IFNA(VLOOKUP($A49,'Tube Reactions'!$J$2:$K259,2,FALSE),"")</f>
        <v/>
      </c>
      <c r="AO49" s="199" t="str">
        <f t="shared" si="20"/>
        <v/>
      </c>
      <c r="AP49" s="186" t="str">
        <f t="shared" si="4"/>
        <v/>
      </c>
      <c r="AQ49" s="187" t="b">
        <f t="shared" si="5"/>
        <v>1</v>
      </c>
      <c r="AR49" s="188">
        <v>48.0</v>
      </c>
      <c r="AS49" s="189"/>
      <c r="AT49" s="110"/>
      <c r="AU49" s="110" t="s">
        <v>384</v>
      </c>
      <c r="AV49" s="169">
        <v>10.0</v>
      </c>
      <c r="AW49" s="118" t="b">
        <v>1</v>
      </c>
      <c r="AX49" s="190" t="b">
        <f t="shared" ref="AX49:AX56" si="32">IF(OR(AND(AL49=0,AW49),AND(AL49&lt;&gt;0,NOT(AW49))),TRUE,FALSE)</f>
        <v>1</v>
      </c>
      <c r="AY49" s="48">
        <f t="shared" si="31"/>
        <v>2</v>
      </c>
      <c r="BA49" s="191" t="b">
        <v>1</v>
      </c>
      <c r="BB49" s="18" t="b">
        <f t="shared" si="8"/>
        <v>1</v>
      </c>
      <c r="BC49" s="18" t="b">
        <f t="shared" si="9"/>
        <v>1</v>
      </c>
      <c r="BD49" s="48">
        <f t="shared" si="10"/>
        <v>8</v>
      </c>
      <c r="BE49" s="192"/>
      <c r="BF49" s="76">
        <f t="shared" si="11"/>
        <v>44853</v>
      </c>
      <c r="BG49" s="114" t="str">
        <f t="shared" si="12"/>
        <v>RUN-ABRM_2022-10-19_RFR-048</v>
      </c>
      <c r="BH49" s="83">
        <f t="shared" si="13"/>
        <v>10</v>
      </c>
      <c r="BI49" s="83">
        <f t="shared" si="14"/>
        <v>8</v>
      </c>
      <c r="BJ49" s="83">
        <f t="shared" si="15"/>
        <v>8</v>
      </c>
      <c r="BK49" s="83">
        <f t="shared" si="16"/>
        <v>0</v>
      </c>
      <c r="BL49" s="200">
        <f>IFNA(IF(VLOOKUP(FLOOR($B49,1),'APS Tubes by Date IMPORT'!$B$2:$J259,1,FALSE)=FLOOR($BL48,1),IFERROR(0/0,""),VLOOKUP(FLOOR($B49,1),'APS Tubes by Date IMPORT'!$B$2:$J259,1,FALSE)),"")</f>
        <v>44853</v>
      </c>
      <c r="BM49" s="83">
        <f>IF(ISBLANK($BL49),IFERROR(0/0,""),VLOOKUP(FLOOR($B49,1),'APS Tubes by Date IMPORT'!$B$2:$J259,2,FALSE))</f>
        <v>8</v>
      </c>
      <c r="BN49" s="114"/>
      <c r="BO49" s="83" t="str">
        <f>VLOOKUP(FLOOR($B49,1),'APS Tubes by Date IMPORT'!$B49:$I259,6,FALSE)</f>
        <v>#N/A</v>
      </c>
      <c r="BP49" s="83">
        <v>7.0</v>
      </c>
      <c r="BQ49" s="193">
        <f t="shared" si="17"/>
        <v>-1</v>
      </c>
      <c r="BR49" s="131">
        <v>3.0</v>
      </c>
      <c r="BS49" s="76" t="b">
        <f t="shared" si="18"/>
        <v>1</v>
      </c>
      <c r="BT49" s="194" t="str">
        <f t="shared" si="19"/>
        <v>Delete NULL</v>
      </c>
      <c r="BU49" s="195"/>
      <c r="BV49" s="195"/>
      <c r="BW49" s="195"/>
      <c r="BX49" s="195"/>
    </row>
    <row r="50">
      <c r="A50" s="18" t="str">
        <f>CONCATENATE("RUN-",'Process Ref'!$A$1,"_",TEXT(U50,"YYYY-MM-DD"),"_RFR-",TEXT(AR50,"000"),IF(EXACT(W50,"Initial"),"",CONCATENATE("_",W50)))</f>
        <v>RUN-ABRM_2022-10-20_RFR-049</v>
      </c>
      <c r="B50" s="168">
        <v>44854.3921875</v>
      </c>
      <c r="C50" s="110"/>
      <c r="D50" s="110" t="s">
        <v>313</v>
      </c>
      <c r="E50" s="169">
        <v>10.0</v>
      </c>
      <c r="F50" s="110" t="s">
        <v>506</v>
      </c>
      <c r="G50" s="170" t="s">
        <v>507</v>
      </c>
      <c r="H50" s="170" t="s">
        <v>508</v>
      </c>
      <c r="I50" s="170" t="s">
        <v>509</v>
      </c>
      <c r="J50" s="172"/>
      <c r="K50" s="173" t="s">
        <v>510</v>
      </c>
      <c r="L50" s="131"/>
      <c r="M50" s="174"/>
      <c r="N50" s="174"/>
      <c r="O50" s="175"/>
      <c r="P50" s="118" t="b">
        <v>0</v>
      </c>
      <c r="Q50" s="176" t="b">
        <v>0</v>
      </c>
      <c r="R50" s="55"/>
      <c r="S50" s="118" t="b">
        <v>0</v>
      </c>
      <c r="T50" s="177" t="b">
        <v>0</v>
      </c>
      <c r="U50" s="178">
        <v>44854.0</v>
      </c>
      <c r="V50" s="179">
        <v>0.4166666666666667</v>
      </c>
      <c r="W50" s="110" t="s">
        <v>320</v>
      </c>
      <c r="X50" s="180"/>
      <c r="Y50" s="118" t="b">
        <v>0</v>
      </c>
      <c r="Z50" s="169">
        <v>10.0</v>
      </c>
      <c r="AA50" s="196">
        <f t="shared" si="1"/>
        <v>0</v>
      </c>
      <c r="AB50" s="197" t="b">
        <f t="shared" si="2"/>
        <v>1</v>
      </c>
      <c r="AC50" s="169">
        <v>8.0</v>
      </c>
      <c r="AD50" s="169">
        <v>0.0</v>
      </c>
      <c r="AE50" s="169">
        <v>0.0</v>
      </c>
      <c r="AF50" s="169">
        <v>0.0</v>
      </c>
      <c r="AG50" s="169">
        <v>0.0</v>
      </c>
      <c r="AH50" s="169">
        <v>0.0</v>
      </c>
      <c r="AI50" s="169">
        <v>0.0</v>
      </c>
      <c r="AJ50" s="182" t="b">
        <v>0</v>
      </c>
      <c r="AK50" s="183">
        <v>8.0</v>
      </c>
      <c r="AL50" s="169">
        <v>0.0</v>
      </c>
      <c r="AM50" s="169">
        <v>0.0</v>
      </c>
      <c r="AN50" s="198" t="str">
        <f>IFNA(VLOOKUP($A50,'Tube Reactions'!$J$2:$K259,2,FALSE),"")</f>
        <v/>
      </c>
      <c r="AO50" s="199" t="str">
        <f t="shared" si="20"/>
        <v/>
      </c>
      <c r="AP50" s="186" t="str">
        <f t="shared" si="4"/>
        <v/>
      </c>
      <c r="AQ50" s="187" t="b">
        <f t="shared" si="5"/>
        <v>1</v>
      </c>
      <c r="AR50" s="188">
        <v>49.0</v>
      </c>
      <c r="AS50" s="189"/>
      <c r="AT50" s="110"/>
      <c r="AU50" s="110" t="s">
        <v>384</v>
      </c>
      <c r="AV50" s="169">
        <v>10.0</v>
      </c>
      <c r="AW50" s="118" t="b">
        <v>1</v>
      </c>
      <c r="AX50" s="190" t="b">
        <f t="shared" si="32"/>
        <v>1</v>
      </c>
      <c r="AY50" s="48">
        <f t="shared" si="31"/>
        <v>2</v>
      </c>
      <c r="BA50" s="191" t="b">
        <v>1</v>
      </c>
      <c r="BB50" s="18" t="b">
        <f t="shared" si="8"/>
        <v>1</v>
      </c>
      <c r="BC50" s="18" t="b">
        <f t="shared" si="9"/>
        <v>1</v>
      </c>
      <c r="BD50" s="48">
        <f t="shared" si="10"/>
        <v>8</v>
      </c>
      <c r="BE50" s="192"/>
      <c r="BF50" s="76">
        <f t="shared" si="11"/>
        <v>44854</v>
      </c>
      <c r="BG50" s="114" t="str">
        <f t="shared" si="12"/>
        <v>RUN-ABRM_2022-10-20_RFR-049</v>
      </c>
      <c r="BH50" s="83">
        <f t="shared" si="13"/>
        <v>10</v>
      </c>
      <c r="BI50" s="83">
        <f t="shared" si="14"/>
        <v>8</v>
      </c>
      <c r="BJ50" s="83">
        <f t="shared" si="15"/>
        <v>8</v>
      </c>
      <c r="BK50" s="83">
        <f t="shared" si="16"/>
        <v>0</v>
      </c>
      <c r="BL50" s="200">
        <f>IFNA(IF(VLOOKUP(FLOOR($B50,1),'APS Tubes by Date IMPORT'!$B$2:$J259,1,FALSE)=FLOOR($BL49,1),IFERROR(0/0,""),VLOOKUP(FLOOR($B50,1),'APS Tubes by Date IMPORT'!$B$2:$J259,1,FALSE)),"")</f>
        <v>44854</v>
      </c>
      <c r="BM50" s="83">
        <f>IF(ISBLANK($BL50),IFERROR(0/0,""),VLOOKUP(FLOOR($B50,1),'APS Tubes by Date IMPORT'!$B$2:$J259,2,FALSE))</f>
        <v>8</v>
      </c>
      <c r="BN50" s="114"/>
      <c r="BO50" s="83" t="str">
        <f>VLOOKUP(FLOOR($B50,1),'APS Tubes by Date IMPORT'!$B50:$I259,6,FALSE)</f>
        <v>#N/A</v>
      </c>
      <c r="BP50" s="83">
        <v>7.0</v>
      </c>
      <c r="BQ50" s="193">
        <f t="shared" si="17"/>
        <v>-1</v>
      </c>
      <c r="BR50" s="131">
        <v>3.0</v>
      </c>
      <c r="BS50" s="76" t="b">
        <f t="shared" si="18"/>
        <v>1</v>
      </c>
      <c r="BT50" s="194" t="str">
        <f t="shared" si="19"/>
        <v>Delete NULL</v>
      </c>
      <c r="BU50" s="195"/>
      <c r="BV50" s="195"/>
      <c r="BW50" s="195"/>
      <c r="BX50" s="195"/>
    </row>
    <row r="51">
      <c r="A51" s="18" t="str">
        <f>CONCATENATE("RUN-",'Process Ref'!$A$1,"_",TEXT(U51,"YYYY-MM-DD"),"_RFR-",TEXT(AR51,"000"),IF(EXACT(W51,"Initial"),"",CONCATENATE("_",W51)))</f>
        <v>RUN-ABRM_2022-10-21_RFR-050</v>
      </c>
      <c r="B51" s="168">
        <v>44855.38670138889</v>
      </c>
      <c r="C51" s="110"/>
      <c r="D51" s="110" t="s">
        <v>313</v>
      </c>
      <c r="E51" s="169">
        <v>12.0</v>
      </c>
      <c r="F51" s="110" t="s">
        <v>511</v>
      </c>
      <c r="G51" s="170" t="s">
        <v>512</v>
      </c>
      <c r="H51" s="170" t="s">
        <v>513</v>
      </c>
      <c r="I51" s="170" t="s">
        <v>514</v>
      </c>
      <c r="J51" s="172"/>
      <c r="K51" s="173" t="s">
        <v>515</v>
      </c>
      <c r="L51" s="131"/>
      <c r="M51" s="174"/>
      <c r="N51" s="174"/>
      <c r="O51" s="175"/>
      <c r="P51" s="118" t="b">
        <v>0</v>
      </c>
      <c r="Q51" s="176" t="b">
        <v>0</v>
      </c>
      <c r="R51" s="55"/>
      <c r="S51" s="118" t="b">
        <v>0</v>
      </c>
      <c r="T51" s="177" t="b">
        <v>0</v>
      </c>
      <c r="U51" s="178">
        <v>44855.0</v>
      </c>
      <c r="V51" s="179">
        <v>0.4166666666666667</v>
      </c>
      <c r="W51" s="110" t="s">
        <v>320</v>
      </c>
      <c r="X51" s="203" t="s">
        <v>516</v>
      </c>
      <c r="Y51" s="118" t="b">
        <v>0</v>
      </c>
      <c r="Z51" s="169">
        <v>12.0</v>
      </c>
      <c r="AA51" s="196">
        <f t="shared" si="1"/>
        <v>0</v>
      </c>
      <c r="AB51" s="197" t="b">
        <f t="shared" si="2"/>
        <v>1</v>
      </c>
      <c r="AC51" s="169">
        <v>10.0</v>
      </c>
      <c r="AD51" s="169">
        <v>0.0</v>
      </c>
      <c r="AE51" s="169">
        <v>0.0</v>
      </c>
      <c r="AF51" s="169">
        <v>0.0</v>
      </c>
      <c r="AG51" s="169">
        <v>0.0</v>
      </c>
      <c r="AH51" s="169">
        <v>0.0</v>
      </c>
      <c r="AI51" s="169">
        <v>0.0</v>
      </c>
      <c r="AJ51" s="182" t="b">
        <v>0</v>
      </c>
      <c r="AK51" s="183">
        <v>10.0</v>
      </c>
      <c r="AL51" s="169">
        <v>0.0</v>
      </c>
      <c r="AM51" s="169">
        <v>0.0</v>
      </c>
      <c r="AN51" s="198" t="str">
        <f>IFNA(VLOOKUP($A51,'Tube Reactions'!$J$2:$K259,2,FALSE),"")</f>
        <v/>
      </c>
      <c r="AO51" s="199" t="str">
        <f t="shared" si="20"/>
        <v/>
      </c>
      <c r="AP51" s="186" t="str">
        <f t="shared" si="4"/>
        <v/>
      </c>
      <c r="AQ51" s="187" t="b">
        <f t="shared" si="5"/>
        <v>1</v>
      </c>
      <c r="AR51" s="188">
        <v>50.0</v>
      </c>
      <c r="AS51" s="189"/>
      <c r="AT51" s="110"/>
      <c r="AU51" s="110" t="s">
        <v>384</v>
      </c>
      <c r="AV51" s="169">
        <v>12.0</v>
      </c>
      <c r="AW51" s="118" t="b">
        <v>1</v>
      </c>
      <c r="AX51" s="190" t="b">
        <f t="shared" si="32"/>
        <v>1</v>
      </c>
      <c r="AY51" s="48">
        <f t="shared" si="31"/>
        <v>2</v>
      </c>
      <c r="BA51" s="191" t="b">
        <v>1</v>
      </c>
      <c r="BB51" s="18" t="b">
        <f t="shared" si="8"/>
        <v>1</v>
      </c>
      <c r="BC51" s="18" t="b">
        <f t="shared" si="9"/>
        <v>1</v>
      </c>
      <c r="BD51" s="48">
        <f t="shared" si="10"/>
        <v>10</v>
      </c>
      <c r="BE51" s="192"/>
      <c r="BF51" s="76">
        <f t="shared" si="11"/>
        <v>44855</v>
      </c>
      <c r="BG51" s="114" t="str">
        <f t="shared" si="12"/>
        <v>RUN-ABRM_2022-10-21_RFR-050</v>
      </c>
      <c r="BH51" s="83">
        <f t="shared" si="13"/>
        <v>12</v>
      </c>
      <c r="BI51" s="83">
        <f t="shared" si="14"/>
        <v>10</v>
      </c>
      <c r="BJ51" s="83">
        <f t="shared" si="15"/>
        <v>10</v>
      </c>
      <c r="BK51" s="83">
        <f t="shared" si="16"/>
        <v>0</v>
      </c>
      <c r="BL51" s="200">
        <f>IFNA(IF(VLOOKUP(FLOOR($B51,1),'APS Tubes by Date IMPORT'!$B$2:$J259,1,FALSE)=FLOOR($BL50,1),IFERROR(0/0,""),VLOOKUP(FLOOR($B51,1),'APS Tubes by Date IMPORT'!$B$2:$J259,1,FALSE)),"")</f>
        <v>44855</v>
      </c>
      <c r="BM51" s="83">
        <f>IF(ISBLANK($BL51),IFERROR(0/0,""),VLOOKUP(FLOOR($B51,1),'APS Tubes by Date IMPORT'!$B$2:$J259,2,FALSE))</f>
        <v>10</v>
      </c>
      <c r="BN51" s="114"/>
      <c r="BO51" s="83" t="str">
        <f>VLOOKUP(FLOOR($B51,1),'APS Tubes by Date IMPORT'!$B51:$I259,6,FALSE)</f>
        <v>#N/A</v>
      </c>
      <c r="BP51" s="83">
        <v>7.0</v>
      </c>
      <c r="BQ51" s="193">
        <f t="shared" si="17"/>
        <v>-3</v>
      </c>
      <c r="BR51" s="131">
        <v>3.0</v>
      </c>
      <c r="BS51" s="76" t="b">
        <f t="shared" si="18"/>
        <v>1</v>
      </c>
      <c r="BT51" s="194" t="str">
        <f t="shared" si="19"/>
        <v>Delete NULL</v>
      </c>
      <c r="BU51" s="195"/>
      <c r="BV51" s="195"/>
      <c r="BW51" s="195"/>
      <c r="BX51" s="195"/>
    </row>
    <row r="52">
      <c r="A52" s="18" t="str">
        <f>CONCATENATE("RUN-",'Process Ref'!$A$1,"_",TEXT(U52,"YYYY-MM-DD"),"_RFR-",TEXT(AR52,"000"),IF(EXACT(W52,"Initial"),"",CONCATENATE("_",W52)))</f>
        <v>RUN-ABRM_2022-10-24_RFR-051</v>
      </c>
      <c r="B52" s="168">
        <v>44858.38872685185</v>
      </c>
      <c r="C52" s="110"/>
      <c r="D52" s="110" t="s">
        <v>313</v>
      </c>
      <c r="E52" s="169">
        <v>13.0</v>
      </c>
      <c r="F52" s="110" t="s">
        <v>517</v>
      </c>
      <c r="G52" s="170" t="s">
        <v>518</v>
      </c>
      <c r="H52" s="170" t="s">
        <v>519</v>
      </c>
      <c r="I52" s="170" t="s">
        <v>520</v>
      </c>
      <c r="J52" s="172"/>
      <c r="K52" s="173" t="s">
        <v>515</v>
      </c>
      <c r="L52" s="131"/>
      <c r="M52" s="174"/>
      <c r="N52" s="174"/>
      <c r="O52" s="175"/>
      <c r="P52" s="118" t="b">
        <v>0</v>
      </c>
      <c r="Q52" s="176" t="b">
        <v>0</v>
      </c>
      <c r="R52" s="55"/>
      <c r="S52" s="118" t="b">
        <v>0</v>
      </c>
      <c r="T52" s="177" t="b">
        <v>0</v>
      </c>
      <c r="U52" s="178">
        <v>44858.0</v>
      </c>
      <c r="V52" s="179">
        <v>0.4166666666666667</v>
      </c>
      <c r="W52" s="110" t="s">
        <v>320</v>
      </c>
      <c r="X52" s="180"/>
      <c r="Y52" s="118" t="b">
        <v>0</v>
      </c>
      <c r="Z52" s="169">
        <v>13.0</v>
      </c>
      <c r="AA52" s="196">
        <f t="shared" si="1"/>
        <v>0</v>
      </c>
      <c r="AB52" s="197" t="b">
        <f t="shared" si="2"/>
        <v>1</v>
      </c>
      <c r="AC52" s="169">
        <v>11.0</v>
      </c>
      <c r="AD52" s="169">
        <v>0.0</v>
      </c>
      <c r="AE52" s="169">
        <v>0.0</v>
      </c>
      <c r="AF52" s="169">
        <v>0.0</v>
      </c>
      <c r="AG52" s="169">
        <v>0.0</v>
      </c>
      <c r="AH52" s="169">
        <v>0.0</v>
      </c>
      <c r="AI52" s="169">
        <v>0.0</v>
      </c>
      <c r="AJ52" s="182" t="b">
        <v>0</v>
      </c>
      <c r="AK52" s="183">
        <v>11.0</v>
      </c>
      <c r="AL52" s="169">
        <v>0.0</v>
      </c>
      <c r="AM52" s="169">
        <v>0.0</v>
      </c>
      <c r="AN52" s="198" t="str">
        <f>IFNA(VLOOKUP($A52,'Tube Reactions'!$J$2:$K259,2,FALSE),"")</f>
        <v/>
      </c>
      <c r="AO52" s="199" t="str">
        <f t="shared" si="20"/>
        <v/>
      </c>
      <c r="AP52" s="186" t="str">
        <f t="shared" si="4"/>
        <v/>
      </c>
      <c r="AQ52" s="187" t="b">
        <f t="shared" si="5"/>
        <v>1</v>
      </c>
      <c r="AR52" s="188">
        <v>51.0</v>
      </c>
      <c r="AS52" s="189"/>
      <c r="AT52" s="110"/>
      <c r="AU52" s="110" t="s">
        <v>384</v>
      </c>
      <c r="AV52" s="169">
        <v>13.0</v>
      </c>
      <c r="AW52" s="118" t="b">
        <v>1</v>
      </c>
      <c r="AX52" s="190" t="b">
        <f t="shared" si="32"/>
        <v>1</v>
      </c>
      <c r="AY52" s="48">
        <f t="shared" si="31"/>
        <v>2</v>
      </c>
      <c r="BA52" s="191" t="b">
        <v>1</v>
      </c>
      <c r="BB52" s="18" t="b">
        <f t="shared" si="8"/>
        <v>1</v>
      </c>
      <c r="BC52" s="18" t="b">
        <f t="shared" si="9"/>
        <v>1</v>
      </c>
      <c r="BD52" s="48">
        <f t="shared" si="10"/>
        <v>11</v>
      </c>
      <c r="BE52" s="192"/>
      <c r="BF52" s="76">
        <f t="shared" si="11"/>
        <v>44858</v>
      </c>
      <c r="BG52" s="114" t="str">
        <f t="shared" si="12"/>
        <v>RUN-ABRM_2022-10-24_RFR-051</v>
      </c>
      <c r="BH52" s="83">
        <f t="shared" si="13"/>
        <v>13</v>
      </c>
      <c r="BI52" s="83">
        <f t="shared" si="14"/>
        <v>11</v>
      </c>
      <c r="BJ52" s="83">
        <f t="shared" si="15"/>
        <v>11</v>
      </c>
      <c r="BK52" s="83">
        <f t="shared" si="16"/>
        <v>0</v>
      </c>
      <c r="BL52" s="200">
        <f>IFNA(IF(VLOOKUP(FLOOR($B52,1),'APS Tubes by Date IMPORT'!$B$2:$J259,1,FALSE)=FLOOR($BL51,1),IFERROR(0/0,""),VLOOKUP(FLOOR($B52,1),'APS Tubes by Date IMPORT'!$B$2:$J259,1,FALSE)),"")</f>
        <v>44858</v>
      </c>
      <c r="BM52" s="83">
        <f>IF(ISBLANK($BL52),IFERROR(0/0,""),VLOOKUP(FLOOR($B52,1),'APS Tubes by Date IMPORT'!$B$2:$J259,2,FALSE))</f>
        <v>11</v>
      </c>
      <c r="BN52" s="114"/>
      <c r="BO52" s="83" t="str">
        <f>VLOOKUP(FLOOR($B52,1),'APS Tubes by Date IMPORT'!$B52:$I259,6,FALSE)</f>
        <v>#N/A</v>
      </c>
      <c r="BP52" s="83">
        <v>7.0</v>
      </c>
      <c r="BQ52" s="193">
        <f t="shared" si="17"/>
        <v>-4</v>
      </c>
      <c r="BR52" s="131">
        <v>3.0</v>
      </c>
      <c r="BS52" s="76" t="b">
        <f t="shared" si="18"/>
        <v>1</v>
      </c>
      <c r="BT52" s="194" t="str">
        <f t="shared" si="19"/>
        <v>Delete NULL</v>
      </c>
      <c r="BU52" s="195"/>
      <c r="BV52" s="195"/>
      <c r="BW52" s="195"/>
      <c r="BX52" s="195"/>
    </row>
    <row r="53">
      <c r="A53" s="18" t="str">
        <f>CONCATENATE("RUN-",'Process Ref'!$A$1,"_",TEXT(U53,"YYYY-MM-DD"),"_RFR-",TEXT(AR53,"000"),IF(EXACT(W53,"Initial"),"",CONCATENATE("_",W53)))</f>
        <v>RUN-ABRM_2022-10-25_RFR-052</v>
      </c>
      <c r="B53" s="168">
        <v>44859.426574074074</v>
      </c>
      <c r="C53" s="110"/>
      <c r="D53" s="110" t="s">
        <v>313</v>
      </c>
      <c r="E53" s="169">
        <v>9.0</v>
      </c>
      <c r="F53" s="110" t="s">
        <v>521</v>
      </c>
      <c r="G53" s="171" t="s">
        <v>522</v>
      </c>
      <c r="H53" s="171" t="s">
        <v>523</v>
      </c>
      <c r="I53" s="171" t="s">
        <v>524</v>
      </c>
      <c r="J53" s="169">
        <v>1.0</v>
      </c>
      <c r="K53" s="173" t="s">
        <v>525</v>
      </c>
      <c r="L53" s="131"/>
      <c r="M53" s="174"/>
      <c r="N53" s="174"/>
      <c r="O53" s="175"/>
      <c r="P53" s="118" t="b">
        <v>0</v>
      </c>
      <c r="Q53" s="176" t="b">
        <v>0</v>
      </c>
      <c r="R53" s="55"/>
      <c r="S53" s="118" t="b">
        <v>0</v>
      </c>
      <c r="T53" s="177" t="b">
        <v>1</v>
      </c>
      <c r="U53" s="178">
        <v>44859.0</v>
      </c>
      <c r="V53" s="179">
        <v>0.4305555555555556</v>
      </c>
      <c r="W53" s="110" t="s">
        <v>320</v>
      </c>
      <c r="X53" s="180"/>
      <c r="Y53" s="118" t="b">
        <v>1</v>
      </c>
      <c r="Z53" s="169">
        <v>11.0</v>
      </c>
      <c r="AA53" s="196">
        <f t="shared" si="1"/>
        <v>2</v>
      </c>
      <c r="AB53" s="197" t="b">
        <f t="shared" si="2"/>
        <v>0</v>
      </c>
      <c r="AC53" s="169">
        <v>9.0</v>
      </c>
      <c r="AD53" s="169">
        <v>1.0</v>
      </c>
      <c r="AE53" s="169">
        <v>1.0</v>
      </c>
      <c r="AF53" s="169">
        <v>0.0</v>
      </c>
      <c r="AG53" s="169">
        <v>0.0</v>
      </c>
      <c r="AH53" s="169">
        <v>0.0</v>
      </c>
      <c r="AI53" s="169">
        <v>0.0</v>
      </c>
      <c r="AJ53" s="182" t="b">
        <v>0</v>
      </c>
      <c r="AK53" s="183">
        <v>9.0</v>
      </c>
      <c r="AL53" s="169">
        <v>1.1</v>
      </c>
      <c r="AM53" s="169">
        <v>1.0</v>
      </c>
      <c r="AN53" s="198" t="str">
        <f>IFNA(VLOOKUP($A53,'Tube Reactions'!$J$2:$K259,2,FALSE),"")</f>
        <v/>
      </c>
      <c r="AO53" s="199" t="str">
        <f t="shared" si="20"/>
        <v>NOT EQUAL</v>
      </c>
      <c r="AP53" s="186" t="str">
        <f t="shared" si="4"/>
        <v/>
      </c>
      <c r="AQ53" s="187" t="b">
        <f t="shared" si="5"/>
        <v>1</v>
      </c>
      <c r="AR53" s="188">
        <v>52.0</v>
      </c>
      <c r="AS53" s="189"/>
      <c r="AT53" s="110"/>
      <c r="AU53" s="110" t="s">
        <v>384</v>
      </c>
      <c r="AV53" s="169">
        <v>14.0</v>
      </c>
      <c r="AW53" s="118" t="b">
        <v>0</v>
      </c>
      <c r="AX53" s="190" t="b">
        <f t="shared" si="32"/>
        <v>1</v>
      </c>
      <c r="AY53" s="48">
        <f t="shared" si="31"/>
        <v>5</v>
      </c>
      <c r="AZ53" s="176" t="s">
        <v>337</v>
      </c>
      <c r="BA53" s="191" t="b">
        <v>0</v>
      </c>
      <c r="BB53" s="18" t="str">
        <f t="shared" si="8"/>
        <v/>
      </c>
      <c r="BC53" s="18" t="str">
        <f t="shared" si="9"/>
        <v/>
      </c>
      <c r="BD53" s="48" t="str">
        <f t="shared" si="10"/>
        <v/>
      </c>
      <c r="BE53" s="192"/>
      <c r="BF53" s="76">
        <f t="shared" si="11"/>
        <v>44859</v>
      </c>
      <c r="BG53" s="114" t="str">
        <f t="shared" si="12"/>
        <v>RUN-ABRM_2022-10-25_RFR-052</v>
      </c>
      <c r="BH53" s="83">
        <f t="shared" si="13"/>
        <v>9</v>
      </c>
      <c r="BI53" s="83">
        <f t="shared" si="14"/>
        <v>9</v>
      </c>
      <c r="BJ53" s="83">
        <f t="shared" si="15"/>
        <v>9</v>
      </c>
      <c r="BK53" s="83">
        <f t="shared" si="16"/>
        <v>1.1</v>
      </c>
      <c r="BL53" s="200">
        <f>IFNA(IF(VLOOKUP(FLOOR($B53,1),'APS Tubes by Date IMPORT'!$B$2:$J259,1,FALSE)=FLOOR($BL52,1),IFERROR(0/0,""),VLOOKUP(FLOOR($B53,1),'APS Tubes by Date IMPORT'!$B$2:$J259,1,FALSE)),"")</f>
        <v>44859</v>
      </c>
      <c r="BM53" s="83">
        <f>IF(ISBLANK($BL53),IFERROR(0/0,""),VLOOKUP(FLOOR($B53,1),'APS Tubes by Date IMPORT'!$B$2:$J259,2,FALSE))</f>
        <v>9</v>
      </c>
      <c r="BN53" s="114"/>
      <c r="BO53" s="83" t="str">
        <f>VLOOKUP(FLOOR($B53,1),'APS Tubes by Date IMPORT'!$B53:$I259,6,FALSE)</f>
        <v>#N/A</v>
      </c>
      <c r="BP53" s="83">
        <v>7.0</v>
      </c>
      <c r="BQ53" s="193">
        <f t="shared" si="17"/>
        <v>-2</v>
      </c>
      <c r="BR53" s="131">
        <v>3.0</v>
      </c>
      <c r="BS53" s="76" t="b">
        <f t="shared" si="18"/>
        <v>1</v>
      </c>
      <c r="BT53" s="194" t="str">
        <f t="shared" si="19"/>
        <v>Delete NULL</v>
      </c>
      <c r="BU53" s="195"/>
      <c r="BV53" s="195"/>
      <c r="BW53" s="195"/>
      <c r="BX53" s="195"/>
    </row>
    <row r="54">
      <c r="A54" s="18" t="str">
        <f>CONCATENATE("RUN-",'Process Ref'!$A$1,"_",TEXT(U54,"YYYY-MM-DD"),"_RFR-",TEXT(AR54,"000"),IF(EXACT(W54,"Initial"),"",CONCATENATE("_",W54)))</f>
        <v>RUN-ABRM_2022-10-25_RFR-053_Re-run</v>
      </c>
      <c r="B54" s="168">
        <v>44859.426574074074</v>
      </c>
      <c r="C54" s="110"/>
      <c r="D54" s="110" t="s">
        <v>313</v>
      </c>
      <c r="E54" s="131"/>
      <c r="F54" s="110" t="s">
        <v>521</v>
      </c>
      <c r="G54" s="171" t="s">
        <v>522</v>
      </c>
      <c r="H54" s="213"/>
      <c r="I54" s="203" t="s">
        <v>338</v>
      </c>
      <c r="J54" s="172"/>
      <c r="K54" s="204"/>
      <c r="L54" s="131"/>
      <c r="M54" s="174"/>
      <c r="N54" s="174"/>
      <c r="O54" s="175"/>
      <c r="P54" s="118" t="b">
        <v>0</v>
      </c>
      <c r="Q54" s="176" t="b">
        <v>0</v>
      </c>
      <c r="R54" s="55"/>
      <c r="S54" s="118" t="b">
        <v>1</v>
      </c>
      <c r="T54" s="177" t="b">
        <v>1</v>
      </c>
      <c r="U54" s="178">
        <v>44859.0</v>
      </c>
      <c r="V54" s="179">
        <v>0.4722222222222222</v>
      </c>
      <c r="W54" s="110" t="s">
        <v>339</v>
      </c>
      <c r="X54" s="180"/>
      <c r="Y54" s="118" t="b">
        <v>0</v>
      </c>
      <c r="Z54" s="172"/>
      <c r="AA54" s="196">
        <f t="shared" si="1"/>
        <v>0</v>
      </c>
      <c r="AB54" s="197" t="b">
        <f t="shared" si="2"/>
        <v>1</v>
      </c>
      <c r="AC54" s="169">
        <v>1.0</v>
      </c>
      <c r="AD54" s="169">
        <v>0.0</v>
      </c>
      <c r="AE54" s="169">
        <v>0.0</v>
      </c>
      <c r="AF54" s="169">
        <v>0.0</v>
      </c>
      <c r="AG54" s="169">
        <v>0.0</v>
      </c>
      <c r="AH54" s="169">
        <v>0.0</v>
      </c>
      <c r="AI54" s="169">
        <v>0.0</v>
      </c>
      <c r="AJ54" s="182" t="b">
        <v>1</v>
      </c>
      <c r="AK54" s="183">
        <v>1.0</v>
      </c>
      <c r="AL54" s="169">
        <v>0.0</v>
      </c>
      <c r="AM54" s="169"/>
      <c r="AN54" s="198" t="str">
        <f>IFNA(VLOOKUP($A54,'Tube Reactions'!$J$2:$K259,2,FALSE),"")</f>
        <v/>
      </c>
      <c r="AO54" s="199" t="str">
        <f t="shared" si="20"/>
        <v/>
      </c>
      <c r="AP54" s="186" t="str">
        <f t="shared" si="4"/>
        <v>Absent</v>
      </c>
      <c r="AQ54" s="187" t="b">
        <f t="shared" si="5"/>
        <v>0</v>
      </c>
      <c r="AR54" s="188">
        <v>53.0</v>
      </c>
      <c r="AS54" s="189"/>
      <c r="AT54" s="110"/>
      <c r="AU54" s="110" t="s">
        <v>384</v>
      </c>
      <c r="AV54" s="169"/>
      <c r="AW54" s="118" t="b">
        <v>0</v>
      </c>
      <c r="AX54" s="190" t="b">
        <f t="shared" si="32"/>
        <v>0</v>
      </c>
      <c r="AY54" s="48"/>
      <c r="BA54" s="191" t="b">
        <v>0</v>
      </c>
      <c r="BB54" s="18" t="str">
        <f t="shared" si="8"/>
        <v/>
      </c>
      <c r="BC54" s="18" t="str">
        <f t="shared" si="9"/>
        <v/>
      </c>
      <c r="BD54" s="48" t="str">
        <f t="shared" si="10"/>
        <v/>
      </c>
      <c r="BE54" s="192"/>
      <c r="BF54" s="76" t="str">
        <f t="shared" si="11"/>
        <v/>
      </c>
      <c r="BG54" s="114" t="str">
        <f t="shared" si="12"/>
        <v/>
      </c>
      <c r="BH54" s="83" t="str">
        <f t="shared" si="13"/>
        <v/>
      </c>
      <c r="BI54" s="83" t="str">
        <f t="shared" si="14"/>
        <v/>
      </c>
      <c r="BJ54" s="83" t="str">
        <f t="shared" si="15"/>
        <v/>
      </c>
      <c r="BK54" s="83" t="str">
        <f t="shared" si="16"/>
        <v/>
      </c>
      <c r="BL54" s="200" t="str">
        <f>IFNA(IF(VLOOKUP(FLOOR($B54,1),'APS Tubes by Date IMPORT'!$B$2:$J259,1,FALSE)=FLOOR($BL53,1),IFERROR(0/0,""),VLOOKUP(FLOOR($B54,1),'APS Tubes by Date IMPORT'!$B$2:$J259,1,FALSE)),"")</f>
        <v/>
      </c>
      <c r="BM54" s="83" t="str">
        <f>IF(ISBLANK($BL54),IFERROR(0/0,""),VLOOKUP(FLOOR($B54,1),'APS Tubes by Date IMPORT'!$B$2:$J259,2,FALSE))</f>
        <v/>
      </c>
      <c r="BN54" s="114"/>
      <c r="BO54" s="83" t="str">
        <f>VLOOKUP(FLOOR($B54,1),'APS Tubes by Date IMPORT'!$B54:$I259,6,FALSE)</f>
        <v>#N/A</v>
      </c>
      <c r="BP54" s="83">
        <v>7.0</v>
      </c>
      <c r="BQ54" s="193">
        <f t="shared" si="17"/>
        <v>7</v>
      </c>
      <c r="BR54" s="131">
        <v>3.0</v>
      </c>
      <c r="BS54" s="76" t="b">
        <f t="shared" si="18"/>
        <v>1</v>
      </c>
      <c r="BT54" s="194" t="str">
        <f t="shared" si="19"/>
        <v>Delete NULL</v>
      </c>
      <c r="BU54" s="195"/>
      <c r="BV54" s="195"/>
      <c r="BW54" s="195"/>
      <c r="BX54" s="195"/>
    </row>
    <row r="55">
      <c r="A55" s="18" t="str">
        <f>CONCATENATE("RUN-",'Process Ref'!$A$1,"_",TEXT(U55,"YYYY-MM-DD"),"_RFR-",TEXT(AR55,"000"),IF(EXACT(W55,"Initial"),"",CONCATENATE("_",W55)))</f>
        <v>RUN-ABRM_2022-10-26_RFR-054</v>
      </c>
      <c r="B55" s="168">
        <v>44860.381631944445</v>
      </c>
      <c r="C55" s="110"/>
      <c r="D55" s="110" t="s">
        <v>313</v>
      </c>
      <c r="E55" s="169">
        <v>10.0</v>
      </c>
      <c r="F55" s="110" t="s">
        <v>526</v>
      </c>
      <c r="G55" s="170" t="s">
        <v>527</v>
      </c>
      <c r="H55" s="170" t="s">
        <v>528</v>
      </c>
      <c r="I55" s="170" t="s">
        <v>529</v>
      </c>
      <c r="J55" s="172"/>
      <c r="K55" s="204"/>
      <c r="L55" s="131"/>
      <c r="M55" s="174"/>
      <c r="N55" s="174"/>
      <c r="O55" s="175"/>
      <c r="P55" s="118" t="b">
        <v>0</v>
      </c>
      <c r="Q55" s="176" t="b">
        <v>0</v>
      </c>
      <c r="R55" s="55"/>
      <c r="S55" s="118" t="b">
        <v>0</v>
      </c>
      <c r="T55" s="177" t="b">
        <v>0</v>
      </c>
      <c r="U55" s="178">
        <v>44860.0</v>
      </c>
      <c r="V55" s="179">
        <v>0.4166666666666667</v>
      </c>
      <c r="W55" s="110" t="s">
        <v>320</v>
      </c>
      <c r="X55" s="180"/>
      <c r="Y55" s="118" t="b">
        <v>0</v>
      </c>
      <c r="Z55" s="169">
        <v>10.0</v>
      </c>
      <c r="AA55" s="196">
        <f t="shared" si="1"/>
        <v>0</v>
      </c>
      <c r="AB55" s="197" t="b">
        <f t="shared" si="2"/>
        <v>1</v>
      </c>
      <c r="AC55" s="169">
        <v>8.0</v>
      </c>
      <c r="AD55" s="169">
        <v>0.0</v>
      </c>
      <c r="AE55" s="169">
        <v>0.0</v>
      </c>
      <c r="AF55" s="169">
        <v>0.0</v>
      </c>
      <c r="AG55" s="169">
        <v>0.0</v>
      </c>
      <c r="AH55" s="169">
        <v>0.0</v>
      </c>
      <c r="AI55" s="169">
        <v>0.0</v>
      </c>
      <c r="AJ55" s="182" t="b">
        <v>0</v>
      </c>
      <c r="AK55" s="183">
        <v>8.0</v>
      </c>
      <c r="AL55" s="169">
        <v>0.0</v>
      </c>
      <c r="AM55" s="169">
        <v>0.0</v>
      </c>
      <c r="AN55" s="198" t="str">
        <f>IFNA(VLOOKUP($A55,'Tube Reactions'!$J$2:$K259,2,FALSE),"")</f>
        <v/>
      </c>
      <c r="AO55" s="199" t="str">
        <f t="shared" si="20"/>
        <v/>
      </c>
      <c r="AP55" s="186" t="str">
        <f t="shared" si="4"/>
        <v/>
      </c>
      <c r="AQ55" s="187" t="b">
        <f t="shared" si="5"/>
        <v>1</v>
      </c>
      <c r="AR55" s="188">
        <v>54.0</v>
      </c>
      <c r="AS55" s="189"/>
      <c r="AT55" s="110"/>
      <c r="AU55" s="110" t="s">
        <v>384</v>
      </c>
      <c r="AV55" s="169">
        <v>10.0</v>
      </c>
      <c r="AW55" s="118" t="b">
        <v>1</v>
      </c>
      <c r="AX55" s="190" t="b">
        <f t="shared" si="32"/>
        <v>1</v>
      </c>
      <c r="AY55" s="48">
        <f t="shared" ref="AY55:AY109" si="33">AV55-AC55</f>
        <v>2</v>
      </c>
      <c r="BA55" s="191" t="b">
        <v>1</v>
      </c>
      <c r="BB55" s="18" t="b">
        <f t="shared" si="8"/>
        <v>1</v>
      </c>
      <c r="BC55" s="18" t="b">
        <f t="shared" si="9"/>
        <v>1</v>
      </c>
      <c r="BD55" s="48">
        <f t="shared" si="10"/>
        <v>8</v>
      </c>
      <c r="BE55" s="192"/>
      <c r="BF55" s="76">
        <f t="shared" si="11"/>
        <v>44860</v>
      </c>
      <c r="BG55" s="114" t="str">
        <f t="shared" si="12"/>
        <v>RUN-ABRM_2022-10-26_RFR-054</v>
      </c>
      <c r="BH55" s="83">
        <f t="shared" si="13"/>
        <v>10</v>
      </c>
      <c r="BI55" s="83">
        <f t="shared" si="14"/>
        <v>8</v>
      </c>
      <c r="BJ55" s="83">
        <f t="shared" si="15"/>
        <v>8</v>
      </c>
      <c r="BK55" s="83">
        <f t="shared" si="16"/>
        <v>0</v>
      </c>
      <c r="BL55" s="200">
        <f>IFNA(IF(VLOOKUP(FLOOR($B55,1),'APS Tubes by Date IMPORT'!$B$2:$J259,1,FALSE)=FLOOR($BL54,1),IFERROR(0/0,""),VLOOKUP(FLOOR($B55,1),'APS Tubes by Date IMPORT'!$B$2:$J259,1,FALSE)),"")</f>
        <v>44860</v>
      </c>
      <c r="BM55" s="83">
        <f>IF(ISBLANK($BL55),IFERROR(0/0,""),VLOOKUP(FLOOR($B55,1),'APS Tubes by Date IMPORT'!$B$2:$J259,2,FALSE))</f>
        <v>8</v>
      </c>
      <c r="BN55" s="114"/>
      <c r="BO55" s="83" t="str">
        <f>VLOOKUP(FLOOR($B55,1),'APS Tubes by Date IMPORT'!$B55:$I259,6,FALSE)</f>
        <v>#N/A</v>
      </c>
      <c r="BP55" s="83">
        <v>7.0</v>
      </c>
      <c r="BQ55" s="193">
        <f t="shared" si="17"/>
        <v>-1</v>
      </c>
      <c r="BR55" s="131">
        <v>3.0</v>
      </c>
      <c r="BS55" s="76" t="b">
        <f t="shared" si="18"/>
        <v>1</v>
      </c>
      <c r="BT55" s="194" t="str">
        <f t="shared" si="19"/>
        <v>Delete NULL</v>
      </c>
      <c r="BU55" s="195"/>
      <c r="BV55" s="195"/>
      <c r="BW55" s="195"/>
      <c r="BX55" s="195"/>
    </row>
    <row r="56">
      <c r="A56" s="18" t="str">
        <f>CONCATENATE("RUN-",'Process Ref'!$A$1,"_",TEXT(U56,"YYYY-MM-DD"),"_RFR-",TEXT(AR56,"000"),IF(EXACT(W56,"Initial"),"",CONCATENATE("_",W56)))</f>
        <v>RUN-ABRM_2022-10-27_RFR-055</v>
      </c>
      <c r="B56" s="168">
        <v>44861.40734953704</v>
      </c>
      <c r="C56" s="110"/>
      <c r="D56" s="110" t="s">
        <v>313</v>
      </c>
      <c r="E56" s="169">
        <v>12.0</v>
      </c>
      <c r="F56" s="110" t="s">
        <v>530</v>
      </c>
      <c r="G56" s="170" t="s">
        <v>531</v>
      </c>
      <c r="H56" s="170" t="s">
        <v>532</v>
      </c>
      <c r="I56" s="170" t="s">
        <v>533</v>
      </c>
      <c r="J56" s="172">
        <v>1.0</v>
      </c>
      <c r="K56" s="204" t="s">
        <v>534</v>
      </c>
      <c r="L56" s="131"/>
      <c r="M56" s="174"/>
      <c r="N56" s="174">
        <v>2.2</v>
      </c>
      <c r="O56" s="175"/>
      <c r="P56" s="118" t="b">
        <v>1</v>
      </c>
      <c r="Q56" s="176" t="b">
        <v>0</v>
      </c>
      <c r="R56" s="55"/>
      <c r="S56" s="118" t="b">
        <v>0</v>
      </c>
      <c r="T56" s="177" t="b">
        <v>1</v>
      </c>
      <c r="U56" s="178">
        <v>44861.0</v>
      </c>
      <c r="V56" s="179">
        <v>0.4166666666666667</v>
      </c>
      <c r="W56" s="110" t="s">
        <v>320</v>
      </c>
      <c r="X56" s="180"/>
      <c r="Y56" s="118" t="b">
        <v>1</v>
      </c>
      <c r="Z56" s="169">
        <v>12.0</v>
      </c>
      <c r="AA56" s="196">
        <f t="shared" si="1"/>
        <v>0</v>
      </c>
      <c r="AB56" s="197" t="b">
        <f t="shared" si="2"/>
        <v>1</v>
      </c>
      <c r="AC56" s="169">
        <v>10.0</v>
      </c>
      <c r="AD56" s="169">
        <v>0.0</v>
      </c>
      <c r="AE56" s="169">
        <v>0.0</v>
      </c>
      <c r="AF56" s="169">
        <v>0.0</v>
      </c>
      <c r="AG56" s="169">
        <v>1.0</v>
      </c>
      <c r="AH56" s="169">
        <v>1.0</v>
      </c>
      <c r="AI56" s="169">
        <v>0.0</v>
      </c>
      <c r="AJ56" s="182" t="b">
        <v>0</v>
      </c>
      <c r="AK56" s="183">
        <v>10.0</v>
      </c>
      <c r="AL56" s="169">
        <v>4.0</v>
      </c>
      <c r="AM56" s="169">
        <v>1.0</v>
      </c>
      <c r="AN56" s="198" t="str">
        <f>IFNA(VLOOKUP($A56,'Tube Reactions'!$J$2:$K259,2,FALSE),"")</f>
        <v/>
      </c>
      <c r="AO56" s="199" t="str">
        <f t="shared" si="20"/>
        <v>NOT EQUAL</v>
      </c>
      <c r="AP56" s="186" t="str">
        <f t="shared" si="4"/>
        <v/>
      </c>
      <c r="AQ56" s="187" t="b">
        <f t="shared" si="5"/>
        <v>1</v>
      </c>
      <c r="AR56" s="188">
        <v>55.0</v>
      </c>
      <c r="AS56" s="189" t="s">
        <v>535</v>
      </c>
      <c r="AT56" s="110"/>
      <c r="AU56" s="110" t="s">
        <v>384</v>
      </c>
      <c r="AV56" s="169">
        <v>12.0</v>
      </c>
      <c r="AW56" s="118" t="b">
        <v>0</v>
      </c>
      <c r="AX56" s="190" t="b">
        <f t="shared" si="32"/>
        <v>1</v>
      </c>
      <c r="AY56" s="48">
        <f t="shared" si="33"/>
        <v>2</v>
      </c>
      <c r="BA56" s="191" t="b">
        <v>0</v>
      </c>
      <c r="BB56" s="18" t="str">
        <f t="shared" si="8"/>
        <v/>
      </c>
      <c r="BC56" s="18" t="str">
        <f t="shared" si="9"/>
        <v/>
      </c>
      <c r="BD56" s="48" t="str">
        <f t="shared" si="10"/>
        <v/>
      </c>
      <c r="BE56" s="192"/>
      <c r="BF56" s="76">
        <f t="shared" si="11"/>
        <v>44861</v>
      </c>
      <c r="BG56" s="114" t="str">
        <f t="shared" si="12"/>
        <v>RUN-ABRM_2022-10-27_RFR-055</v>
      </c>
      <c r="BH56" s="83">
        <f t="shared" si="13"/>
        <v>12</v>
      </c>
      <c r="BI56" s="83">
        <f t="shared" si="14"/>
        <v>10</v>
      </c>
      <c r="BJ56" s="83">
        <f t="shared" si="15"/>
        <v>10</v>
      </c>
      <c r="BK56" s="83">
        <f t="shared" si="16"/>
        <v>4</v>
      </c>
      <c r="BL56" s="200">
        <f>IFNA(IF(VLOOKUP(FLOOR($B56,1),'APS Tubes by Date IMPORT'!$B$2:$J259,1,FALSE)=FLOOR($BL55,1),IFERROR(0/0,""),VLOOKUP(FLOOR($B56,1),'APS Tubes by Date IMPORT'!$B$2:$J259,1,FALSE)),"")</f>
        <v>44861</v>
      </c>
      <c r="BM56" s="83">
        <f>IF(ISBLANK($BL56),IFERROR(0/0,""),VLOOKUP(FLOOR($B56,1),'APS Tubes by Date IMPORT'!$B$2:$J259,2,FALSE))</f>
        <v>11</v>
      </c>
      <c r="BN56" s="114"/>
      <c r="BO56" s="83" t="str">
        <f>VLOOKUP(FLOOR($B56,1),'APS Tubes by Date IMPORT'!$B56:$I259,6,FALSE)</f>
        <v>#N/A</v>
      </c>
      <c r="BP56" s="83">
        <v>7.0</v>
      </c>
      <c r="BQ56" s="193">
        <f t="shared" si="17"/>
        <v>-4</v>
      </c>
      <c r="BR56" s="131">
        <v>3.0</v>
      </c>
      <c r="BS56" s="76" t="b">
        <f t="shared" si="18"/>
        <v>1</v>
      </c>
      <c r="BT56" s="194" t="str">
        <f t="shared" si="19"/>
        <v>Delete NULL</v>
      </c>
      <c r="BU56" s="195"/>
      <c r="BV56" s="195"/>
      <c r="BW56" s="195"/>
      <c r="BX56" s="195"/>
    </row>
    <row r="57">
      <c r="A57" s="18" t="str">
        <f>CONCATENATE("RUN-",'Process Ref'!$A$1,"_",TEXT(U57,"YYYY-MM-DD"),"_RFR-",TEXT(AR57,"000"),IF(EXACT(W57,"Initial"),"",CONCATENATE("_",W57)))</f>
        <v>RUN-ABRM_2022-10-27_RFR-056_Re-run</v>
      </c>
      <c r="B57" s="168">
        <v>44861.41693287037</v>
      </c>
      <c r="C57" s="110"/>
      <c r="D57" s="110" t="s">
        <v>313</v>
      </c>
      <c r="E57" s="169">
        <v>5.0</v>
      </c>
      <c r="F57" s="110" t="s">
        <v>530</v>
      </c>
      <c r="G57" s="170" t="s">
        <v>536</v>
      </c>
      <c r="H57" s="170" t="s">
        <v>537</v>
      </c>
      <c r="I57" s="170" t="s">
        <v>538</v>
      </c>
      <c r="J57" s="172"/>
      <c r="K57" s="173" t="s">
        <v>539</v>
      </c>
      <c r="L57" s="131"/>
      <c r="M57" s="174"/>
      <c r="N57" s="174"/>
      <c r="O57" s="175"/>
      <c r="P57" s="118" t="b">
        <v>0</v>
      </c>
      <c r="Q57" s="176" t="b">
        <v>0</v>
      </c>
      <c r="R57" s="55"/>
      <c r="S57" s="118" t="b">
        <v>0</v>
      </c>
      <c r="T57" s="177" t="b">
        <v>1</v>
      </c>
      <c r="U57" s="178">
        <v>44861.0</v>
      </c>
      <c r="V57" s="179">
        <v>0.4722222222222222</v>
      </c>
      <c r="W57" s="110" t="s">
        <v>339</v>
      </c>
      <c r="X57" s="180"/>
      <c r="Y57" s="118" t="b">
        <v>0</v>
      </c>
      <c r="Z57" s="169">
        <v>5.0</v>
      </c>
      <c r="AA57" s="196">
        <f t="shared" si="1"/>
        <v>0</v>
      </c>
      <c r="AB57" s="197" t="b">
        <f t="shared" si="2"/>
        <v>1</v>
      </c>
      <c r="AC57" s="169">
        <v>3.0</v>
      </c>
      <c r="AD57" s="169">
        <v>0.0</v>
      </c>
      <c r="AE57" s="169">
        <v>0.0</v>
      </c>
      <c r="AF57" s="169">
        <v>0.0</v>
      </c>
      <c r="AG57" s="169">
        <v>0.0</v>
      </c>
      <c r="AH57" s="169">
        <v>0.0</v>
      </c>
      <c r="AI57" s="169">
        <v>0.0</v>
      </c>
      <c r="AJ57" s="182" t="b">
        <v>0</v>
      </c>
      <c r="AK57" s="183">
        <v>1.0</v>
      </c>
      <c r="AL57" s="169">
        <v>0.0</v>
      </c>
      <c r="AM57" s="172" t="str">
        <f>IF(EXACT(W57,"Initial"),"Audit","")</f>
        <v/>
      </c>
      <c r="AN57" s="198" t="str">
        <f>IFNA(VLOOKUP($A57,'Tube Reactions'!$J$2:$K259,2,FALSE),"")</f>
        <v/>
      </c>
      <c r="AO57" s="199" t="str">
        <f t="shared" si="20"/>
        <v/>
      </c>
      <c r="AP57" s="186" t="str">
        <f t="shared" si="4"/>
        <v/>
      </c>
      <c r="AQ57" s="187" t="b">
        <f t="shared" si="5"/>
        <v>1</v>
      </c>
      <c r="AR57" s="188">
        <v>56.0</v>
      </c>
      <c r="AS57" s="189"/>
      <c r="AT57" s="110"/>
      <c r="AU57" s="110" t="s">
        <v>384</v>
      </c>
      <c r="AV57" s="169">
        <v>5.0</v>
      </c>
      <c r="AW57" s="118"/>
      <c r="AX57" s="190"/>
      <c r="AY57" s="48">
        <f t="shared" si="33"/>
        <v>2</v>
      </c>
      <c r="BA57" s="191" t="b">
        <v>0</v>
      </c>
      <c r="BB57" s="18" t="str">
        <f t="shared" si="8"/>
        <v/>
      </c>
      <c r="BC57" s="18" t="str">
        <f t="shared" si="9"/>
        <v/>
      </c>
      <c r="BD57" s="48" t="str">
        <f t="shared" si="10"/>
        <v/>
      </c>
      <c r="BE57" s="192"/>
      <c r="BF57" s="76" t="str">
        <f t="shared" si="11"/>
        <v/>
      </c>
      <c r="BG57" s="114" t="str">
        <f t="shared" si="12"/>
        <v/>
      </c>
      <c r="BH57" s="83" t="str">
        <f t="shared" si="13"/>
        <v/>
      </c>
      <c r="BI57" s="83" t="str">
        <f t="shared" si="14"/>
        <v/>
      </c>
      <c r="BJ57" s="83" t="str">
        <f t="shared" si="15"/>
        <v/>
      </c>
      <c r="BK57" s="83" t="str">
        <f t="shared" si="16"/>
        <v/>
      </c>
      <c r="BL57" s="200" t="str">
        <f>IFNA(IF(VLOOKUP(FLOOR($B57,1),'APS Tubes by Date IMPORT'!$B$2:$J259,1,FALSE)=FLOOR($BL56,1),IFERROR(0/0,""),VLOOKUP(FLOOR($B57,1),'APS Tubes by Date IMPORT'!$B$2:$J259,1,FALSE)),"")</f>
        <v/>
      </c>
      <c r="BM57" s="83" t="str">
        <f>IF(ISBLANK($BL57),IFERROR(0/0,""),VLOOKUP(FLOOR($B57,1),'APS Tubes by Date IMPORT'!$B$2:$J259,2,FALSE))</f>
        <v/>
      </c>
      <c r="BN57" s="114"/>
      <c r="BO57" s="83" t="str">
        <f>VLOOKUP(FLOOR($B57,1),'APS Tubes by Date IMPORT'!$B57:$I259,6,FALSE)</f>
        <v>#N/A</v>
      </c>
      <c r="BP57" s="83">
        <v>7.0</v>
      </c>
      <c r="BQ57" s="193">
        <f t="shared" si="17"/>
        <v>7</v>
      </c>
      <c r="BR57" s="131">
        <v>3.0</v>
      </c>
      <c r="BS57" s="76" t="b">
        <f t="shared" si="18"/>
        <v>1</v>
      </c>
      <c r="BT57" s="194" t="str">
        <f t="shared" si="19"/>
        <v>Delete NULL</v>
      </c>
      <c r="BU57" s="195"/>
      <c r="BV57" s="195"/>
      <c r="BW57" s="195"/>
      <c r="BX57" s="195"/>
    </row>
    <row r="58">
      <c r="A58" s="18" t="str">
        <f>CONCATENATE("RUN-",'Process Ref'!$A$1,"_",TEXT(U58,"YYYY-MM-DD"),"_RFR-",TEXT(AR58,"000"),IF(EXACT(W58,"Initial"),"",CONCATENATE("_",W58)))</f>
        <v>RUN-ABRM_2022-10-28_RFR-057</v>
      </c>
      <c r="B58" s="168">
        <v>44862.43082175926</v>
      </c>
      <c r="C58" s="110"/>
      <c r="D58" s="110" t="s">
        <v>313</v>
      </c>
      <c r="E58" s="169">
        <v>12.0</v>
      </c>
      <c r="F58" s="110" t="s">
        <v>540</v>
      </c>
      <c r="G58" s="170" t="s">
        <v>541</v>
      </c>
      <c r="H58" s="217" t="s">
        <v>542</v>
      </c>
      <c r="I58" s="170" t="s">
        <v>543</v>
      </c>
      <c r="J58" s="169">
        <v>2.0</v>
      </c>
      <c r="K58" s="173" t="s">
        <v>544</v>
      </c>
      <c r="L58" s="131"/>
      <c r="M58" s="174"/>
      <c r="N58" s="174"/>
      <c r="O58" s="210" t="s">
        <v>545</v>
      </c>
      <c r="P58" s="118" t="b">
        <v>0</v>
      </c>
      <c r="Q58" s="176" t="b">
        <v>0</v>
      </c>
      <c r="R58" s="55"/>
      <c r="S58" s="118" t="b">
        <v>0</v>
      </c>
      <c r="T58" s="177" t="b">
        <v>1</v>
      </c>
      <c r="U58" s="178">
        <v>44862.0</v>
      </c>
      <c r="V58" s="179">
        <v>0.4166666666666667</v>
      </c>
      <c r="W58" s="110" t="s">
        <v>320</v>
      </c>
      <c r="X58" s="180"/>
      <c r="Y58" s="118" t="b">
        <v>1</v>
      </c>
      <c r="Z58" s="169">
        <v>12.0</v>
      </c>
      <c r="AA58" s="196">
        <f t="shared" si="1"/>
        <v>0</v>
      </c>
      <c r="AB58" s="197" t="b">
        <f t="shared" si="2"/>
        <v>1</v>
      </c>
      <c r="AC58" s="169">
        <v>10.0</v>
      </c>
      <c r="AD58" s="169">
        <v>2.0</v>
      </c>
      <c r="AE58" s="169">
        <v>2.0</v>
      </c>
      <c r="AF58" s="169">
        <v>0.0</v>
      </c>
      <c r="AG58" s="169">
        <v>0.0</v>
      </c>
      <c r="AH58" s="169">
        <v>0.0</v>
      </c>
      <c r="AI58" s="169">
        <v>0.0</v>
      </c>
      <c r="AJ58" s="182" t="b">
        <v>0</v>
      </c>
      <c r="AK58" s="183">
        <v>10.0</v>
      </c>
      <c r="AL58" s="169">
        <v>1.3</v>
      </c>
      <c r="AM58" s="169">
        <v>2.0</v>
      </c>
      <c r="AN58" s="198" t="str">
        <f>IFNA(VLOOKUP($A58,'Tube Reactions'!$J$2:$K259,2,FALSE),"")</f>
        <v/>
      </c>
      <c r="AO58" s="199" t="str">
        <f t="shared" si="20"/>
        <v>NOT EQUAL</v>
      </c>
      <c r="AP58" s="218" t="s">
        <v>546</v>
      </c>
      <c r="AQ58" s="187" t="b">
        <f t="shared" si="5"/>
        <v>1</v>
      </c>
      <c r="AR58" s="188">
        <v>57.0</v>
      </c>
      <c r="AS58" s="189"/>
      <c r="AT58" s="110"/>
      <c r="AU58" s="110" t="s">
        <v>384</v>
      </c>
      <c r="AV58" s="169">
        <v>12.0</v>
      </c>
      <c r="AW58" s="118" t="b">
        <v>0</v>
      </c>
      <c r="AX58" s="190" t="b">
        <f t="shared" ref="AX58:AX59" si="34">IF(OR(AND(AL58=0,AW58),AND(AL58&lt;&gt;0,NOT(AW58))),TRUE,FALSE)</f>
        <v>1</v>
      </c>
      <c r="AY58" s="48">
        <f t="shared" si="33"/>
        <v>2</v>
      </c>
      <c r="BA58" s="191" t="b">
        <v>0</v>
      </c>
      <c r="BB58" s="18" t="str">
        <f t="shared" si="8"/>
        <v/>
      </c>
      <c r="BC58" s="18" t="str">
        <f t="shared" si="9"/>
        <v/>
      </c>
      <c r="BD58" s="48" t="str">
        <f t="shared" si="10"/>
        <v/>
      </c>
      <c r="BE58" s="192"/>
      <c r="BF58" s="76">
        <f t="shared" si="11"/>
        <v>44862</v>
      </c>
      <c r="BG58" s="114" t="str">
        <f t="shared" si="12"/>
        <v>RUN-ABRM_2022-10-28_RFR-057</v>
      </c>
      <c r="BH58" s="83">
        <f t="shared" si="13"/>
        <v>12</v>
      </c>
      <c r="BI58" s="83">
        <f t="shared" si="14"/>
        <v>10</v>
      </c>
      <c r="BJ58" s="83">
        <f t="shared" si="15"/>
        <v>10</v>
      </c>
      <c r="BK58" s="83">
        <f t="shared" si="16"/>
        <v>1.3</v>
      </c>
      <c r="BL58" s="200">
        <f>IFNA(IF(VLOOKUP(FLOOR($B58,1),'APS Tubes by Date IMPORT'!$B$2:$J259,1,FALSE)=FLOOR($BL57,1),IFERROR(0/0,""),VLOOKUP(FLOOR($B58,1),'APS Tubes by Date IMPORT'!$B$2:$J259,1,FALSE)),"")</f>
        <v>44862</v>
      </c>
      <c r="BM58" s="83">
        <f>IF(ISBLANK($BL58),IFERROR(0/0,""),VLOOKUP(FLOOR($B58,1),'APS Tubes by Date IMPORT'!$B$2:$J259,2,FALSE))</f>
        <v>9</v>
      </c>
      <c r="BN58" s="114"/>
      <c r="BO58" s="83" t="str">
        <f>VLOOKUP(FLOOR($B58,1),'APS Tubes by Date IMPORT'!$B58:$I259,6,FALSE)</f>
        <v>#N/A</v>
      </c>
      <c r="BP58" s="83">
        <v>7.0</v>
      </c>
      <c r="BQ58" s="193">
        <f t="shared" si="17"/>
        <v>-2</v>
      </c>
      <c r="BR58" s="131">
        <v>3.0</v>
      </c>
      <c r="BS58" s="76" t="b">
        <f t="shared" si="18"/>
        <v>1</v>
      </c>
      <c r="BT58" s="194" t="str">
        <f t="shared" si="19"/>
        <v>Delete NULL</v>
      </c>
      <c r="BU58" s="195"/>
      <c r="BV58" s="195"/>
      <c r="BW58" s="195"/>
      <c r="BX58" s="195"/>
    </row>
    <row r="59">
      <c r="A59" s="18" t="str">
        <f>CONCATENATE("RUN-",'Process Ref'!$A$1,"_",TEXT(U59,"YYYY-MM-DD"),"_RFR-",TEXT(AR59,"000"),IF(EXACT(W59,"Initial"),"",CONCATENATE("_",W59)))</f>
        <v>RUN-ABRM_2022-10-28_RFR-058_Re-run</v>
      </c>
      <c r="B59" s="168">
        <v>44862.43269675926</v>
      </c>
      <c r="C59" s="110"/>
      <c r="D59" s="110" t="s">
        <v>313</v>
      </c>
      <c r="E59" s="169">
        <v>8.0</v>
      </c>
      <c r="F59" s="110" t="s">
        <v>540</v>
      </c>
      <c r="G59" s="170" t="s">
        <v>547</v>
      </c>
      <c r="H59" s="170" t="s">
        <v>548</v>
      </c>
      <c r="I59" s="170" t="s">
        <v>549</v>
      </c>
      <c r="J59" s="169">
        <v>1.0</v>
      </c>
      <c r="K59" s="201" t="s">
        <v>550</v>
      </c>
      <c r="L59" s="131"/>
      <c r="M59" s="174"/>
      <c r="N59" s="174"/>
      <c r="O59" s="175"/>
      <c r="P59" s="118" t="b">
        <v>0</v>
      </c>
      <c r="Q59" s="176" t="b">
        <v>0</v>
      </c>
      <c r="R59" s="55"/>
      <c r="S59" s="118" t="b">
        <v>0</v>
      </c>
      <c r="T59" s="177" t="b">
        <v>1</v>
      </c>
      <c r="U59" s="178">
        <v>44862.0</v>
      </c>
      <c r="V59" s="179">
        <v>0.46875</v>
      </c>
      <c r="W59" s="110" t="s">
        <v>339</v>
      </c>
      <c r="X59" s="180"/>
      <c r="Y59" s="118" t="b">
        <v>1</v>
      </c>
      <c r="Z59" s="169">
        <v>8.0</v>
      </c>
      <c r="AA59" s="196">
        <f t="shared" si="1"/>
        <v>0</v>
      </c>
      <c r="AB59" s="197" t="b">
        <f t="shared" si="2"/>
        <v>1</v>
      </c>
      <c r="AC59" s="169">
        <v>6.0</v>
      </c>
      <c r="AD59" s="169">
        <v>0.0</v>
      </c>
      <c r="AE59" s="169">
        <v>0.0</v>
      </c>
      <c r="AF59" s="169">
        <v>0.0</v>
      </c>
      <c r="AG59" s="169">
        <v>1.0</v>
      </c>
      <c r="AH59" s="169">
        <v>0.0</v>
      </c>
      <c r="AI59" s="169">
        <v>0.0</v>
      </c>
      <c r="AJ59" s="182" t="b">
        <v>0</v>
      </c>
      <c r="AK59" s="183">
        <v>2.0</v>
      </c>
      <c r="AL59" s="169">
        <v>0.0</v>
      </c>
      <c r="AM59" s="172" t="str">
        <f t="shared" ref="AM59:AM60" si="35">IF(EXACT(W59,"Initial"),"Audit","")</f>
        <v/>
      </c>
      <c r="AN59" s="198" t="str">
        <f>IFNA(VLOOKUP($A59,'Tube Reactions'!$J$2:$K259,2,FALSE),"")</f>
        <v/>
      </c>
      <c r="AO59" s="199" t="str">
        <f t="shared" si="20"/>
        <v/>
      </c>
      <c r="AP59" s="186" t="str">
        <f t="shared" ref="AP59:AP259" si="36">IF(ISTEXT(H59),"", "Absent")</f>
        <v/>
      </c>
      <c r="AQ59" s="187" t="b">
        <f t="shared" si="5"/>
        <v>1</v>
      </c>
      <c r="AR59" s="188">
        <v>58.0</v>
      </c>
      <c r="AS59" s="189"/>
      <c r="AT59" s="110"/>
      <c r="AU59" s="110" t="s">
        <v>384</v>
      </c>
      <c r="AV59" s="169">
        <v>8.0</v>
      </c>
      <c r="AW59" s="118" t="b">
        <v>0</v>
      </c>
      <c r="AX59" s="190" t="b">
        <f t="shared" si="34"/>
        <v>0</v>
      </c>
      <c r="AY59" s="48">
        <f t="shared" si="33"/>
        <v>2</v>
      </c>
      <c r="BA59" s="191" t="b">
        <v>0</v>
      </c>
      <c r="BB59" s="18" t="str">
        <f t="shared" si="8"/>
        <v/>
      </c>
      <c r="BC59" s="18" t="str">
        <f t="shared" si="9"/>
        <v/>
      </c>
      <c r="BD59" s="48" t="str">
        <f t="shared" si="10"/>
        <v/>
      </c>
      <c r="BE59" s="192"/>
      <c r="BF59" s="76" t="str">
        <f t="shared" si="11"/>
        <v/>
      </c>
      <c r="BG59" s="114" t="str">
        <f t="shared" si="12"/>
        <v/>
      </c>
      <c r="BH59" s="83" t="str">
        <f t="shared" si="13"/>
        <v/>
      </c>
      <c r="BI59" s="83" t="str">
        <f t="shared" si="14"/>
        <v/>
      </c>
      <c r="BJ59" s="83" t="str">
        <f t="shared" si="15"/>
        <v/>
      </c>
      <c r="BK59" s="83" t="str">
        <f t="shared" si="16"/>
        <v/>
      </c>
      <c r="BL59" s="200" t="str">
        <f>IFNA(IF(VLOOKUP(FLOOR($B59,1),'APS Tubes by Date IMPORT'!$B$2:$J259,1,FALSE)=FLOOR($BL58,1),IFERROR(0/0,""),VLOOKUP(FLOOR($B59,1),'APS Tubes by Date IMPORT'!$B$2:$J259,1,FALSE)),"")</f>
        <v/>
      </c>
      <c r="BM59" s="83" t="str">
        <f>IF(ISBLANK($BL59),IFERROR(0/0,""),VLOOKUP(FLOOR($B59,1),'APS Tubes by Date IMPORT'!$B$2:$J259,2,FALSE))</f>
        <v/>
      </c>
      <c r="BN59" s="114"/>
      <c r="BO59" s="83" t="str">
        <f>VLOOKUP(FLOOR($B59,1),'APS Tubes by Date IMPORT'!$B59:$I259,6,FALSE)</f>
        <v>#N/A</v>
      </c>
      <c r="BP59" s="83">
        <v>7.0</v>
      </c>
      <c r="BQ59" s="193">
        <f t="shared" si="17"/>
        <v>7</v>
      </c>
      <c r="BR59" s="131">
        <v>3.0</v>
      </c>
      <c r="BS59" s="76" t="b">
        <f t="shared" si="18"/>
        <v>1</v>
      </c>
      <c r="BT59" s="194" t="str">
        <f t="shared" si="19"/>
        <v>Delete NULL</v>
      </c>
      <c r="BU59" s="195"/>
      <c r="BV59" s="195"/>
      <c r="BW59" s="195"/>
      <c r="BX59" s="195"/>
    </row>
    <row r="60">
      <c r="A60" s="18" t="str">
        <f>CONCATENATE("RUN-",'Process Ref'!$A$1,"_",TEXT(U60,"YYYY-MM-DD"),"_RFR-",TEXT(AR60,"000"),IF(EXACT(W60,"Initial"),"",CONCATENATE("_",W60)))</f>
        <v>RUN-ABRM_2022-10-28_RFR-059_Re-run</v>
      </c>
      <c r="B60" s="168">
        <v>44862.44611111111</v>
      </c>
      <c r="C60" s="110"/>
      <c r="D60" s="110" t="s">
        <v>313</v>
      </c>
      <c r="E60" s="169">
        <v>5.0</v>
      </c>
      <c r="F60" s="110" t="s">
        <v>540</v>
      </c>
      <c r="G60" s="170" t="s">
        <v>551</v>
      </c>
      <c r="H60" s="170" t="s">
        <v>552</v>
      </c>
      <c r="I60" s="170" t="s">
        <v>553</v>
      </c>
      <c r="J60" s="172"/>
      <c r="K60" s="173" t="s">
        <v>554</v>
      </c>
      <c r="L60" s="131"/>
      <c r="M60" s="174"/>
      <c r="N60" s="174"/>
      <c r="O60" s="175"/>
      <c r="P60" s="118" t="b">
        <v>0</v>
      </c>
      <c r="Q60" s="176" t="b">
        <v>0</v>
      </c>
      <c r="R60" s="55"/>
      <c r="S60" s="118" t="b">
        <v>0</v>
      </c>
      <c r="T60" s="177" t="b">
        <v>1</v>
      </c>
      <c r="U60" s="178">
        <v>44862.0</v>
      </c>
      <c r="V60" s="179">
        <v>0.5027777777777778</v>
      </c>
      <c r="W60" s="110" t="s">
        <v>339</v>
      </c>
      <c r="X60" s="180"/>
      <c r="Y60" s="118" t="b">
        <v>0</v>
      </c>
      <c r="Z60" s="169">
        <v>5.0</v>
      </c>
      <c r="AA60" s="196">
        <f t="shared" si="1"/>
        <v>0</v>
      </c>
      <c r="AB60" s="197" t="b">
        <f t="shared" si="2"/>
        <v>1</v>
      </c>
      <c r="AC60" s="169">
        <v>3.0</v>
      </c>
      <c r="AD60" s="169">
        <v>0.0</v>
      </c>
      <c r="AE60" s="169">
        <v>0.0</v>
      </c>
      <c r="AF60" s="169">
        <v>0.0</v>
      </c>
      <c r="AG60" s="169">
        <v>0.0</v>
      </c>
      <c r="AH60" s="169">
        <v>0.0</v>
      </c>
      <c r="AI60" s="169">
        <v>0.0</v>
      </c>
      <c r="AJ60" s="182" t="b">
        <v>0</v>
      </c>
      <c r="AK60" s="183">
        <v>1.0</v>
      </c>
      <c r="AL60" s="169">
        <v>0.0</v>
      </c>
      <c r="AM60" s="172" t="str">
        <f t="shared" si="35"/>
        <v/>
      </c>
      <c r="AN60" s="198" t="str">
        <f>IFNA(VLOOKUP($A60,'Tube Reactions'!$J$2:$K259,2,FALSE),"")</f>
        <v/>
      </c>
      <c r="AO60" s="199" t="str">
        <f t="shared" si="20"/>
        <v/>
      </c>
      <c r="AP60" s="186" t="str">
        <f t="shared" si="36"/>
        <v/>
      </c>
      <c r="AQ60" s="187" t="b">
        <f t="shared" si="5"/>
        <v>1</v>
      </c>
      <c r="AR60" s="188">
        <v>59.0</v>
      </c>
      <c r="AS60" s="189"/>
      <c r="AT60" s="110"/>
      <c r="AU60" s="110" t="s">
        <v>384</v>
      </c>
      <c r="AV60" s="169">
        <v>5.0</v>
      </c>
      <c r="AW60" s="118"/>
      <c r="AX60" s="190"/>
      <c r="AY60" s="48">
        <f t="shared" si="33"/>
        <v>2</v>
      </c>
      <c r="BA60" s="191" t="b">
        <v>0</v>
      </c>
      <c r="BB60" s="18" t="str">
        <f t="shared" si="8"/>
        <v/>
      </c>
      <c r="BC60" s="18" t="str">
        <f t="shared" si="9"/>
        <v/>
      </c>
      <c r="BD60" s="48" t="str">
        <f t="shared" si="10"/>
        <v/>
      </c>
      <c r="BE60" s="192"/>
      <c r="BF60" s="76" t="str">
        <f t="shared" si="11"/>
        <v/>
      </c>
      <c r="BG60" s="114" t="str">
        <f t="shared" si="12"/>
        <v/>
      </c>
      <c r="BH60" s="83" t="str">
        <f t="shared" si="13"/>
        <v/>
      </c>
      <c r="BI60" s="83" t="str">
        <f t="shared" si="14"/>
        <v/>
      </c>
      <c r="BJ60" s="83" t="str">
        <f t="shared" si="15"/>
        <v/>
      </c>
      <c r="BK60" s="83" t="str">
        <f t="shared" si="16"/>
        <v/>
      </c>
      <c r="BL60" s="200">
        <f>IFNA(IF(VLOOKUP(FLOOR($B60,1),'APS Tubes by Date IMPORT'!$B$2:$J259,1,FALSE)=FLOOR($BL59,1),IFERROR(0/0,""),VLOOKUP(FLOOR($B60,1),'APS Tubes by Date IMPORT'!$B$2:$J259,1,FALSE)),"")</f>
        <v>44862</v>
      </c>
      <c r="BM60" s="83">
        <f>IF(ISBLANK($BL60),IFERROR(0/0,""),VLOOKUP(FLOOR($B60,1),'APS Tubes by Date IMPORT'!$B$2:$J259,2,FALSE))</f>
        <v>9</v>
      </c>
      <c r="BN60" s="114"/>
      <c r="BO60" s="83" t="str">
        <f>VLOOKUP(FLOOR($B60,1),'APS Tubes by Date IMPORT'!$B60:$I259,6,FALSE)</f>
        <v>#N/A</v>
      </c>
      <c r="BP60" s="83">
        <v>7.0</v>
      </c>
      <c r="BQ60" s="193">
        <f t="shared" si="17"/>
        <v>-2</v>
      </c>
      <c r="BR60" s="131">
        <v>3.0</v>
      </c>
      <c r="BS60" s="76" t="b">
        <f t="shared" si="18"/>
        <v>1</v>
      </c>
      <c r="BT60" s="194" t="str">
        <f t="shared" si="19"/>
        <v>Delete NULL</v>
      </c>
      <c r="BU60" s="195"/>
      <c r="BV60" s="195"/>
      <c r="BW60" s="195"/>
      <c r="BX60" s="195"/>
    </row>
    <row r="61">
      <c r="A61" s="18" t="str">
        <f>CONCATENATE("RUN-",'Process Ref'!$A$1,"_",TEXT(U61,"YYYY-MM-DD"),"_RFR-",TEXT(AR61,"000"),IF(EXACT(W61,"Initial"),"",CONCATENATE("_",W61)))</f>
        <v>RUN-ABRM_2022-10-31_RFR-060</v>
      </c>
      <c r="B61" s="168">
        <v>44865.38888888889</v>
      </c>
      <c r="C61" s="110"/>
      <c r="D61" s="110" t="s">
        <v>313</v>
      </c>
      <c r="E61" s="169">
        <v>11.0</v>
      </c>
      <c r="F61" s="110" t="s">
        <v>555</v>
      </c>
      <c r="G61" s="170" t="s">
        <v>556</v>
      </c>
      <c r="H61" s="170" t="s">
        <v>557</v>
      </c>
      <c r="I61" s="170" t="s">
        <v>558</v>
      </c>
      <c r="J61" s="172"/>
      <c r="K61" s="173" t="s">
        <v>559</v>
      </c>
      <c r="L61" s="131"/>
      <c r="M61" s="174"/>
      <c r="N61" s="174"/>
      <c r="O61" s="175"/>
      <c r="P61" s="118" t="b">
        <v>0</v>
      </c>
      <c r="Q61" s="176" t="b">
        <v>0</v>
      </c>
      <c r="R61" s="55"/>
      <c r="S61" s="118" t="b">
        <v>0</v>
      </c>
      <c r="T61" s="177" t="b">
        <v>0</v>
      </c>
      <c r="U61" s="178">
        <v>44865.0</v>
      </c>
      <c r="V61" s="179">
        <v>0.4201388888888889</v>
      </c>
      <c r="W61" s="110" t="s">
        <v>320</v>
      </c>
      <c r="X61" s="180"/>
      <c r="Y61" s="118" t="b">
        <v>0</v>
      </c>
      <c r="Z61" s="169">
        <v>11.0</v>
      </c>
      <c r="AA61" s="196">
        <f t="shared" si="1"/>
        <v>0</v>
      </c>
      <c r="AB61" s="197" t="b">
        <f t="shared" si="2"/>
        <v>1</v>
      </c>
      <c r="AC61" s="169">
        <v>9.0</v>
      </c>
      <c r="AD61" s="169">
        <v>0.0</v>
      </c>
      <c r="AE61" s="169">
        <v>0.0</v>
      </c>
      <c r="AF61" s="169">
        <v>0.0</v>
      </c>
      <c r="AG61" s="169">
        <v>0.0</v>
      </c>
      <c r="AH61" s="169">
        <v>0.0</v>
      </c>
      <c r="AI61" s="169">
        <v>0.0</v>
      </c>
      <c r="AJ61" s="182" t="b">
        <v>0</v>
      </c>
      <c r="AK61" s="183">
        <v>9.0</v>
      </c>
      <c r="AL61" s="169">
        <v>0.0</v>
      </c>
      <c r="AM61" s="169">
        <v>0.0</v>
      </c>
      <c r="AN61" s="198" t="str">
        <f>IFNA(VLOOKUP($A61,'Tube Reactions'!$J$2:$K259,2,FALSE),"")</f>
        <v/>
      </c>
      <c r="AO61" s="199" t="str">
        <f t="shared" si="20"/>
        <v/>
      </c>
      <c r="AP61" s="186" t="str">
        <f t="shared" si="36"/>
        <v/>
      </c>
      <c r="AQ61" s="187" t="b">
        <f t="shared" si="5"/>
        <v>1</v>
      </c>
      <c r="AR61" s="188">
        <v>60.0</v>
      </c>
      <c r="AS61" s="189"/>
      <c r="AT61" s="55"/>
      <c r="AU61" s="110" t="s">
        <v>560</v>
      </c>
      <c r="AV61" s="169">
        <v>11.0</v>
      </c>
      <c r="AW61" s="118" t="b">
        <v>1</v>
      </c>
      <c r="AX61" s="190" t="b">
        <f t="shared" ref="AX61:AX65" si="37">IF(OR(AND(AL61=0,AW61),AND(AL61&lt;&gt;0,NOT(AW61))),TRUE,FALSE)</f>
        <v>1</v>
      </c>
      <c r="AY61" s="48">
        <f t="shared" si="33"/>
        <v>2</v>
      </c>
      <c r="BA61" s="191" t="b">
        <v>1</v>
      </c>
      <c r="BB61" s="18" t="b">
        <f t="shared" si="8"/>
        <v>1</v>
      </c>
      <c r="BC61" s="18" t="b">
        <f t="shared" si="9"/>
        <v>1</v>
      </c>
      <c r="BD61" s="48">
        <f t="shared" si="10"/>
        <v>9</v>
      </c>
      <c r="BE61" s="192"/>
      <c r="BF61" s="76">
        <f t="shared" si="11"/>
        <v>44865</v>
      </c>
      <c r="BG61" s="114" t="str">
        <f t="shared" si="12"/>
        <v>RUN-ABRM_2022-10-31_RFR-060</v>
      </c>
      <c r="BH61" s="83">
        <f t="shared" si="13"/>
        <v>11</v>
      </c>
      <c r="BI61" s="83">
        <f t="shared" si="14"/>
        <v>9</v>
      </c>
      <c r="BJ61" s="83">
        <f t="shared" si="15"/>
        <v>9</v>
      </c>
      <c r="BK61" s="83">
        <f t="shared" si="16"/>
        <v>0</v>
      </c>
      <c r="BL61" s="200">
        <f>IFNA(IF(VLOOKUP(FLOOR($B61,1),'APS Tubes by Date IMPORT'!$B$2:$J259,1,FALSE)=FLOOR($BL60,1),IFERROR(0/0,""),VLOOKUP(FLOOR($B61,1),'APS Tubes by Date IMPORT'!$B$2:$J259,1,FALSE)),"")</f>
        <v>44865</v>
      </c>
      <c r="BM61" s="83">
        <f>IF(ISBLANK($BL61),IFERROR(0/0,""),VLOOKUP(FLOOR($B61,1),'APS Tubes by Date IMPORT'!$B$2:$J259,2,FALSE))</f>
        <v>9</v>
      </c>
      <c r="BN61" s="114"/>
      <c r="BO61" s="83" t="str">
        <f>VLOOKUP(FLOOR($B61,1),'APS Tubes by Date IMPORT'!$B61:$I259,6,FALSE)</f>
        <v>#N/A</v>
      </c>
      <c r="BP61" s="83">
        <v>7.0</v>
      </c>
      <c r="BQ61" s="193">
        <f t="shared" si="17"/>
        <v>-2</v>
      </c>
      <c r="BR61" s="131">
        <v>3.0</v>
      </c>
      <c r="BS61" s="76" t="b">
        <f t="shared" si="18"/>
        <v>1</v>
      </c>
      <c r="BT61" s="194" t="str">
        <f t="shared" si="19"/>
        <v>Delete NULL</v>
      </c>
      <c r="BU61" s="195"/>
      <c r="BV61" s="195"/>
      <c r="BW61" s="195"/>
      <c r="BX61" s="195"/>
    </row>
    <row r="62">
      <c r="A62" s="18" t="str">
        <f>CONCATENATE("RUN-",'Process Ref'!$A$1,"_",TEXT(U62,"YYYY-MM-DD"),"_RFR-",TEXT(AR62,"000"),IF(EXACT(W62,"Initial"),"",CONCATENATE("_",W62)))</f>
        <v>RUN-ABRM_2022-11-01_RFR-061</v>
      </c>
      <c r="B62" s="168">
        <v>44866.377071759256</v>
      </c>
      <c r="C62" s="110"/>
      <c r="D62" s="110" t="s">
        <v>313</v>
      </c>
      <c r="E62" s="169">
        <v>9.0</v>
      </c>
      <c r="F62" s="110" t="s">
        <v>561</v>
      </c>
      <c r="G62" s="170" t="s">
        <v>562</v>
      </c>
      <c r="H62" s="170" t="s">
        <v>563</v>
      </c>
      <c r="I62" s="170" t="s">
        <v>564</v>
      </c>
      <c r="J62" s="172"/>
      <c r="K62" s="204"/>
      <c r="L62" s="131"/>
      <c r="M62" s="174"/>
      <c r="N62" s="174"/>
      <c r="O62" s="175"/>
      <c r="P62" s="118" t="b">
        <v>0</v>
      </c>
      <c r="Q62" s="176" t="b">
        <v>0</v>
      </c>
      <c r="R62" s="55"/>
      <c r="S62" s="118" t="b">
        <v>0</v>
      </c>
      <c r="T62" s="177" t="b">
        <v>0</v>
      </c>
      <c r="U62" s="178">
        <v>44866.0</v>
      </c>
      <c r="V62" s="179">
        <v>0.4166666666666667</v>
      </c>
      <c r="W62" s="110" t="s">
        <v>320</v>
      </c>
      <c r="X62" s="180"/>
      <c r="Y62" s="118" t="b">
        <v>0</v>
      </c>
      <c r="Z62" s="169">
        <v>9.0</v>
      </c>
      <c r="AA62" s="196">
        <f t="shared" si="1"/>
        <v>0</v>
      </c>
      <c r="AB62" s="197" t="b">
        <f t="shared" si="2"/>
        <v>1</v>
      </c>
      <c r="AC62" s="169">
        <v>7.0</v>
      </c>
      <c r="AD62" s="169">
        <v>0.0</v>
      </c>
      <c r="AE62" s="169">
        <v>0.0</v>
      </c>
      <c r="AF62" s="169">
        <v>0.0</v>
      </c>
      <c r="AG62" s="169">
        <v>0.0</v>
      </c>
      <c r="AH62" s="169">
        <v>0.0</v>
      </c>
      <c r="AI62" s="169">
        <v>0.0</v>
      </c>
      <c r="AJ62" s="182" t="b">
        <v>0</v>
      </c>
      <c r="AK62" s="183">
        <v>7.0</v>
      </c>
      <c r="AL62" s="169">
        <v>0.0</v>
      </c>
      <c r="AM62" s="169">
        <v>0.0</v>
      </c>
      <c r="AN62" s="198" t="str">
        <f>IFNA(VLOOKUP($A62,'Tube Reactions'!$J$2:$K259,2,FALSE),"")</f>
        <v/>
      </c>
      <c r="AO62" s="199" t="str">
        <f t="shared" si="20"/>
        <v/>
      </c>
      <c r="AP62" s="186" t="str">
        <f t="shared" si="36"/>
        <v/>
      </c>
      <c r="AQ62" s="187" t="b">
        <f t="shared" si="5"/>
        <v>1</v>
      </c>
      <c r="AR62" s="188">
        <v>61.0</v>
      </c>
      <c r="AS62" s="189"/>
      <c r="AT62" s="55"/>
      <c r="AU62" s="110" t="s">
        <v>560</v>
      </c>
      <c r="AV62" s="169">
        <v>9.0</v>
      </c>
      <c r="AW62" s="118" t="b">
        <v>1</v>
      </c>
      <c r="AX62" s="190" t="b">
        <f t="shared" si="37"/>
        <v>1</v>
      </c>
      <c r="AY62" s="48">
        <f t="shared" si="33"/>
        <v>2</v>
      </c>
      <c r="BA62" s="191" t="b">
        <v>1</v>
      </c>
      <c r="BB62" s="18" t="b">
        <f t="shared" si="8"/>
        <v>1</v>
      </c>
      <c r="BC62" s="18" t="b">
        <f t="shared" si="9"/>
        <v>1</v>
      </c>
      <c r="BD62" s="48">
        <f t="shared" si="10"/>
        <v>7</v>
      </c>
      <c r="BE62" s="192"/>
      <c r="BF62" s="76">
        <f t="shared" si="11"/>
        <v>44866</v>
      </c>
      <c r="BG62" s="114" t="str">
        <f t="shared" si="12"/>
        <v>RUN-ABRM_2022-11-01_RFR-061</v>
      </c>
      <c r="BH62" s="83">
        <f t="shared" si="13"/>
        <v>9</v>
      </c>
      <c r="BI62" s="83">
        <f t="shared" si="14"/>
        <v>7</v>
      </c>
      <c r="BJ62" s="83">
        <f t="shared" si="15"/>
        <v>7</v>
      </c>
      <c r="BK62" s="83">
        <f t="shared" si="16"/>
        <v>0</v>
      </c>
      <c r="BL62" s="200">
        <f>IFNA(IF(VLOOKUP(FLOOR($B62,1),'APS Tubes by Date IMPORT'!$B$2:$J259,1,FALSE)=FLOOR($BL61,1),IFERROR(0/0,""),VLOOKUP(FLOOR($B62,1),'APS Tubes by Date IMPORT'!$B$2:$J259,1,FALSE)),"")</f>
        <v>44866</v>
      </c>
      <c r="BM62" s="83">
        <f>IF(ISBLANK($BL62),IFERROR(0/0,""),VLOOKUP(FLOOR($B62,1),'APS Tubes by Date IMPORT'!$B$2:$J259,2,FALSE))</f>
        <v>7</v>
      </c>
      <c r="BN62" s="114"/>
      <c r="BO62" s="83" t="str">
        <f>VLOOKUP(FLOOR($B62,1),'APS Tubes by Date IMPORT'!$B62:$I259,6,FALSE)</f>
        <v>#N/A</v>
      </c>
      <c r="BP62" s="83">
        <v>7.0</v>
      </c>
      <c r="BQ62" s="193">
        <f t="shared" si="17"/>
        <v>0</v>
      </c>
      <c r="BR62" s="131">
        <v>3.0</v>
      </c>
      <c r="BS62" s="76" t="b">
        <f t="shared" si="18"/>
        <v>1</v>
      </c>
      <c r="BT62" s="194" t="str">
        <f t="shared" si="19"/>
        <v>Delete NULL</v>
      </c>
      <c r="BU62" s="195"/>
      <c r="BV62" s="195"/>
      <c r="BW62" s="195"/>
      <c r="BX62" s="195"/>
    </row>
    <row r="63">
      <c r="A63" s="18" t="str">
        <f>CONCATENATE("RUN-",'Process Ref'!$A$1,"_",TEXT(U63,"YYYY-MM-DD"),"_RFR-",TEXT(AR63,"000"),IF(EXACT(W63,"Initial"),"",CONCATENATE("_",W63)))</f>
        <v>RUN-ABRM_2022-11-02_RFR-062</v>
      </c>
      <c r="B63" s="168">
        <v>44867.408472222225</v>
      </c>
      <c r="C63" s="110"/>
      <c r="D63" s="110" t="s">
        <v>313</v>
      </c>
      <c r="E63" s="169">
        <v>8.0</v>
      </c>
      <c r="F63" s="110" t="s">
        <v>565</v>
      </c>
      <c r="G63" s="170" t="s">
        <v>566</v>
      </c>
      <c r="H63" s="170" t="s">
        <v>567</v>
      </c>
      <c r="I63" s="170" t="s">
        <v>568</v>
      </c>
      <c r="J63" s="172"/>
      <c r="K63" s="204"/>
      <c r="L63" s="131"/>
      <c r="M63" s="174"/>
      <c r="N63" s="174"/>
      <c r="O63" s="175"/>
      <c r="P63" s="118" t="b">
        <v>0</v>
      </c>
      <c r="Q63" s="176" t="b">
        <v>0</v>
      </c>
      <c r="R63" s="55"/>
      <c r="S63" s="118" t="b">
        <v>0</v>
      </c>
      <c r="T63" s="177" t="b">
        <v>0</v>
      </c>
      <c r="U63" s="178">
        <v>44867.0</v>
      </c>
      <c r="V63" s="179">
        <v>0.4444444444444444</v>
      </c>
      <c r="W63" s="110" t="s">
        <v>320</v>
      </c>
      <c r="X63" s="180"/>
      <c r="Y63" s="118" t="b">
        <v>0</v>
      </c>
      <c r="Z63" s="169">
        <v>8.0</v>
      </c>
      <c r="AA63" s="196">
        <f t="shared" si="1"/>
        <v>0</v>
      </c>
      <c r="AB63" s="197" t="b">
        <f t="shared" si="2"/>
        <v>1</v>
      </c>
      <c r="AC63" s="169">
        <v>6.0</v>
      </c>
      <c r="AD63" s="169">
        <v>0.0</v>
      </c>
      <c r="AE63" s="169">
        <v>0.0</v>
      </c>
      <c r="AF63" s="169">
        <v>0.0</v>
      </c>
      <c r="AG63" s="169">
        <v>0.0</v>
      </c>
      <c r="AH63" s="169">
        <v>0.0</v>
      </c>
      <c r="AI63" s="169">
        <v>0.0</v>
      </c>
      <c r="AJ63" s="182" t="b">
        <v>0</v>
      </c>
      <c r="AK63" s="183">
        <v>6.0</v>
      </c>
      <c r="AL63" s="169">
        <v>0.0</v>
      </c>
      <c r="AM63" s="169">
        <v>0.0</v>
      </c>
      <c r="AN63" s="198" t="str">
        <f>IFNA(VLOOKUP($A63,'Tube Reactions'!$J$2:$K259,2,FALSE),"")</f>
        <v/>
      </c>
      <c r="AO63" s="199" t="str">
        <f t="shared" si="20"/>
        <v/>
      </c>
      <c r="AP63" s="186" t="str">
        <f t="shared" si="36"/>
        <v/>
      </c>
      <c r="AQ63" s="187" t="b">
        <f t="shared" si="5"/>
        <v>1</v>
      </c>
      <c r="AR63" s="188">
        <v>62.0</v>
      </c>
      <c r="AS63" s="189"/>
      <c r="AT63" s="55"/>
      <c r="AU63" s="110" t="s">
        <v>560</v>
      </c>
      <c r="AV63" s="169">
        <v>8.0</v>
      </c>
      <c r="AW63" s="118" t="b">
        <v>1</v>
      </c>
      <c r="AX63" s="190" t="b">
        <f t="shared" si="37"/>
        <v>1</v>
      </c>
      <c r="AY63" s="48">
        <f t="shared" si="33"/>
        <v>2</v>
      </c>
      <c r="BA63" s="191" t="b">
        <v>1</v>
      </c>
      <c r="BB63" s="18" t="b">
        <f t="shared" si="8"/>
        <v>1</v>
      </c>
      <c r="BC63" s="18" t="b">
        <f t="shared" si="9"/>
        <v>1</v>
      </c>
      <c r="BD63" s="48">
        <f t="shared" si="10"/>
        <v>6</v>
      </c>
      <c r="BE63" s="192"/>
      <c r="BF63" s="76">
        <f t="shared" si="11"/>
        <v>44867</v>
      </c>
      <c r="BG63" s="114" t="str">
        <f t="shared" si="12"/>
        <v>RUN-ABRM_2022-11-02_RFR-062</v>
      </c>
      <c r="BH63" s="83">
        <f t="shared" si="13"/>
        <v>8</v>
      </c>
      <c r="BI63" s="83">
        <f t="shared" si="14"/>
        <v>6</v>
      </c>
      <c r="BJ63" s="83">
        <f t="shared" si="15"/>
        <v>6</v>
      </c>
      <c r="BK63" s="83">
        <f t="shared" si="16"/>
        <v>0</v>
      </c>
      <c r="BL63" s="200">
        <f>IFNA(IF(VLOOKUP(FLOOR($B63,1),'APS Tubes by Date IMPORT'!$B$2:$J259,1,FALSE)=FLOOR($BL62,1),IFERROR(0/0,""),VLOOKUP(FLOOR($B63,1),'APS Tubes by Date IMPORT'!$B$2:$J259,1,FALSE)),"")</f>
        <v>44867</v>
      </c>
      <c r="BM63" s="83">
        <f>IF(ISBLANK($BL63),IFERROR(0/0,""),VLOOKUP(FLOOR($B63,1),'APS Tubes by Date IMPORT'!$B$2:$J259,2,FALSE))</f>
        <v>6</v>
      </c>
      <c r="BN63" s="114"/>
      <c r="BO63" s="83" t="str">
        <f>VLOOKUP(FLOOR($B63,1),'APS Tubes by Date IMPORT'!$B63:$I259,6,FALSE)</f>
        <v>#N/A</v>
      </c>
      <c r="BP63" s="83">
        <v>7.0</v>
      </c>
      <c r="BQ63" s="193">
        <f t="shared" si="17"/>
        <v>1</v>
      </c>
      <c r="BR63" s="131">
        <v>3.0</v>
      </c>
      <c r="BS63" s="76" t="b">
        <f t="shared" si="18"/>
        <v>1</v>
      </c>
      <c r="BT63" s="194" t="str">
        <f t="shared" si="19"/>
        <v>Delete NULL</v>
      </c>
      <c r="BU63" s="195"/>
      <c r="BV63" s="195"/>
      <c r="BW63" s="195"/>
      <c r="BX63" s="195"/>
    </row>
    <row r="64">
      <c r="A64" s="18" t="str">
        <f>CONCATENATE("RUN-",'Process Ref'!$A$1,"_",TEXT(U64,"YYYY-MM-DD"),"_RFR-",TEXT(AR64,"000"),IF(EXACT(W64,"Initial"),"",CONCATENATE("_",W64)))</f>
        <v>RUN-ABRM_2022-11-03_RFR-063</v>
      </c>
      <c r="B64" s="168">
        <v>44868.40515046296</v>
      </c>
      <c r="C64" s="110"/>
      <c r="D64" s="110" t="s">
        <v>313</v>
      </c>
      <c r="E64" s="169">
        <v>8.0</v>
      </c>
      <c r="F64" s="110" t="s">
        <v>569</v>
      </c>
      <c r="G64" s="170" t="s">
        <v>570</v>
      </c>
      <c r="H64" s="170" t="s">
        <v>571</v>
      </c>
      <c r="I64" s="170" t="s">
        <v>572</v>
      </c>
      <c r="J64" s="172"/>
      <c r="K64" s="173" t="s">
        <v>573</v>
      </c>
      <c r="L64" s="131"/>
      <c r="M64" s="174"/>
      <c r="N64" s="174"/>
      <c r="O64" s="175"/>
      <c r="P64" s="118" t="b">
        <v>0</v>
      </c>
      <c r="Q64" s="176" t="b">
        <v>0</v>
      </c>
      <c r="R64" s="55"/>
      <c r="S64" s="118" t="b">
        <v>0</v>
      </c>
      <c r="T64" s="177" t="b">
        <v>0</v>
      </c>
      <c r="U64" s="178">
        <v>44868.0</v>
      </c>
      <c r="V64" s="179">
        <v>0.4444444444444444</v>
      </c>
      <c r="W64" s="110" t="s">
        <v>320</v>
      </c>
      <c r="X64" s="180"/>
      <c r="Y64" s="118" t="b">
        <v>0</v>
      </c>
      <c r="Z64" s="169">
        <v>8.0</v>
      </c>
      <c r="AA64" s="196">
        <f t="shared" si="1"/>
        <v>0</v>
      </c>
      <c r="AB64" s="197" t="b">
        <f t="shared" si="2"/>
        <v>1</v>
      </c>
      <c r="AC64" s="169">
        <v>6.0</v>
      </c>
      <c r="AD64" s="169">
        <v>0.0</v>
      </c>
      <c r="AE64" s="169">
        <v>0.0</v>
      </c>
      <c r="AF64" s="169">
        <v>0.0</v>
      </c>
      <c r="AG64" s="169">
        <v>0.0</v>
      </c>
      <c r="AH64" s="169">
        <v>0.0</v>
      </c>
      <c r="AI64" s="169">
        <v>0.0</v>
      </c>
      <c r="AJ64" s="182" t="b">
        <v>0</v>
      </c>
      <c r="AK64" s="183">
        <v>6.0</v>
      </c>
      <c r="AL64" s="169">
        <v>0.0</v>
      </c>
      <c r="AM64" s="169">
        <v>0.0</v>
      </c>
      <c r="AN64" s="198" t="str">
        <f>IFNA(VLOOKUP($A64,'Tube Reactions'!$J$2:$K259,2,FALSE),"")</f>
        <v/>
      </c>
      <c r="AO64" s="199" t="str">
        <f t="shared" si="20"/>
        <v/>
      </c>
      <c r="AP64" s="186" t="str">
        <f t="shared" si="36"/>
        <v/>
      </c>
      <c r="AQ64" s="187" t="b">
        <f t="shared" si="5"/>
        <v>1</v>
      </c>
      <c r="AR64" s="188">
        <v>63.0</v>
      </c>
      <c r="AS64" s="189"/>
      <c r="AT64" s="55"/>
      <c r="AU64" s="110" t="s">
        <v>560</v>
      </c>
      <c r="AV64" s="169">
        <v>8.0</v>
      </c>
      <c r="AW64" s="118" t="b">
        <v>1</v>
      </c>
      <c r="AX64" s="190" t="b">
        <f t="shared" si="37"/>
        <v>1</v>
      </c>
      <c r="AY64" s="48">
        <f t="shared" si="33"/>
        <v>2</v>
      </c>
      <c r="BA64" s="191" t="b">
        <v>1</v>
      </c>
      <c r="BB64" s="18" t="b">
        <f t="shared" si="8"/>
        <v>1</v>
      </c>
      <c r="BC64" s="18" t="b">
        <f t="shared" si="9"/>
        <v>1</v>
      </c>
      <c r="BD64" s="48">
        <f t="shared" si="10"/>
        <v>6</v>
      </c>
      <c r="BE64" s="192"/>
      <c r="BF64" s="76">
        <f t="shared" si="11"/>
        <v>44868</v>
      </c>
      <c r="BG64" s="114" t="str">
        <f t="shared" si="12"/>
        <v>RUN-ABRM_2022-11-03_RFR-063</v>
      </c>
      <c r="BH64" s="83">
        <f t="shared" si="13"/>
        <v>8</v>
      </c>
      <c r="BI64" s="83">
        <f t="shared" si="14"/>
        <v>6</v>
      </c>
      <c r="BJ64" s="83">
        <f t="shared" si="15"/>
        <v>6</v>
      </c>
      <c r="BK64" s="83">
        <f t="shared" si="16"/>
        <v>0</v>
      </c>
      <c r="BL64" s="200">
        <f>IFNA(IF(VLOOKUP(FLOOR($B64,1),'APS Tubes by Date IMPORT'!$B$2:$J259,1,FALSE)=FLOOR($BL63,1),IFERROR(0/0,""),VLOOKUP(FLOOR($B64,1),'APS Tubes by Date IMPORT'!$B$2:$J259,1,FALSE)),"")</f>
        <v>44868</v>
      </c>
      <c r="BM64" s="83">
        <f>IF(ISBLANK($BL64),IFERROR(0/0,""),VLOOKUP(FLOOR($B64,1),'APS Tubes by Date IMPORT'!$B$2:$J259,2,FALSE))</f>
        <v>6</v>
      </c>
      <c r="BN64" s="114"/>
      <c r="BO64" s="83" t="str">
        <f>VLOOKUP(FLOOR($B64,1),'APS Tubes by Date IMPORT'!$B64:$I259,6,FALSE)</f>
        <v>#N/A</v>
      </c>
      <c r="BP64" s="83">
        <v>7.0</v>
      </c>
      <c r="BQ64" s="193">
        <f t="shared" si="17"/>
        <v>1</v>
      </c>
      <c r="BR64" s="131">
        <v>3.0</v>
      </c>
      <c r="BS64" s="76" t="b">
        <f t="shared" si="18"/>
        <v>1</v>
      </c>
      <c r="BT64" s="194" t="str">
        <f t="shared" si="19"/>
        <v>Delete NULL</v>
      </c>
      <c r="BU64" s="195"/>
      <c r="BV64" s="195"/>
      <c r="BW64" s="195"/>
      <c r="BX64" s="195"/>
    </row>
    <row r="65">
      <c r="A65" s="18" t="str">
        <f>CONCATENATE("RUN-",'Process Ref'!$A$1,"_",TEXT(U65,"YYYY-MM-DD"),"_RFR-",TEXT(AR65,"000"),IF(EXACT(W65,"Initial"),"",CONCATENATE("_",W65)))</f>
        <v>RUN-ABRM_2022-11-04_RFR-064</v>
      </c>
      <c r="B65" s="168">
        <v>44869.4315162037</v>
      </c>
      <c r="C65" s="110"/>
      <c r="D65" s="110" t="s">
        <v>313</v>
      </c>
      <c r="E65" s="169">
        <v>6.0</v>
      </c>
      <c r="F65" s="110" t="s">
        <v>574</v>
      </c>
      <c r="G65" s="170" t="s">
        <v>575</v>
      </c>
      <c r="H65" s="170" t="s">
        <v>576</v>
      </c>
      <c r="I65" s="170" t="s">
        <v>577</v>
      </c>
      <c r="J65" s="169">
        <v>1.0</v>
      </c>
      <c r="K65" s="173" t="s">
        <v>578</v>
      </c>
      <c r="L65" s="131"/>
      <c r="M65" s="174"/>
      <c r="N65" s="209">
        <v>2.2</v>
      </c>
      <c r="O65" s="210"/>
      <c r="P65" s="118" t="b">
        <v>1</v>
      </c>
      <c r="Q65" s="176" t="b">
        <v>0</v>
      </c>
      <c r="R65" s="55"/>
      <c r="S65" s="118" t="b">
        <v>0</v>
      </c>
      <c r="T65" s="177" t="b">
        <v>1</v>
      </c>
      <c r="U65" s="178">
        <v>44869.0</v>
      </c>
      <c r="V65" s="179">
        <v>0.4305555555555556</v>
      </c>
      <c r="W65" s="110" t="s">
        <v>320</v>
      </c>
      <c r="X65" s="180"/>
      <c r="Y65" s="118" t="b">
        <v>1</v>
      </c>
      <c r="Z65" s="169">
        <v>8.0</v>
      </c>
      <c r="AA65" s="196">
        <f t="shared" si="1"/>
        <v>2</v>
      </c>
      <c r="AB65" s="197" t="b">
        <f t="shared" si="2"/>
        <v>0</v>
      </c>
      <c r="AC65" s="169">
        <v>6.0</v>
      </c>
      <c r="AD65" s="169">
        <v>0.0</v>
      </c>
      <c r="AE65" s="169">
        <v>0.0</v>
      </c>
      <c r="AF65" s="169">
        <v>0.0</v>
      </c>
      <c r="AG65" s="169">
        <v>1.0</v>
      </c>
      <c r="AH65" s="169">
        <v>1.0</v>
      </c>
      <c r="AI65" s="169">
        <v>0.0</v>
      </c>
      <c r="AJ65" s="182" t="b">
        <v>0</v>
      </c>
      <c r="AK65" s="183">
        <v>6.0</v>
      </c>
      <c r="AL65" s="169">
        <v>4.0</v>
      </c>
      <c r="AM65" s="169">
        <v>1.0</v>
      </c>
      <c r="AN65" s="198" t="str">
        <f>IFNA(VLOOKUP($A65,'Tube Reactions'!$J$2:$K259,2,FALSE),"")</f>
        <v/>
      </c>
      <c r="AO65" s="199" t="str">
        <f t="shared" si="20"/>
        <v>NOT EQUAL</v>
      </c>
      <c r="AP65" s="186" t="str">
        <f t="shared" si="36"/>
        <v/>
      </c>
      <c r="AQ65" s="187" t="b">
        <f t="shared" si="5"/>
        <v>1</v>
      </c>
      <c r="AR65" s="188">
        <v>64.0</v>
      </c>
      <c r="AS65" s="189"/>
      <c r="AT65" s="55"/>
      <c r="AU65" s="110" t="s">
        <v>560</v>
      </c>
      <c r="AV65" s="169">
        <v>8.0</v>
      </c>
      <c r="AW65" s="118" t="b">
        <v>0</v>
      </c>
      <c r="AX65" s="190" t="b">
        <f t="shared" si="37"/>
        <v>1</v>
      </c>
      <c r="AY65" s="48">
        <f t="shared" si="33"/>
        <v>2</v>
      </c>
      <c r="BA65" s="191" t="b">
        <v>0</v>
      </c>
      <c r="BB65" s="18" t="str">
        <f t="shared" si="8"/>
        <v/>
      </c>
      <c r="BC65" s="18" t="str">
        <f t="shared" si="9"/>
        <v/>
      </c>
      <c r="BD65" s="48" t="str">
        <f t="shared" si="10"/>
        <v/>
      </c>
      <c r="BE65" s="192"/>
      <c r="BF65" s="76">
        <f t="shared" si="11"/>
        <v>44869</v>
      </c>
      <c r="BG65" s="114" t="str">
        <f t="shared" si="12"/>
        <v>RUN-ABRM_2022-11-04_RFR-064</v>
      </c>
      <c r="BH65" s="83">
        <f t="shared" si="13"/>
        <v>6</v>
      </c>
      <c r="BI65" s="83">
        <f t="shared" si="14"/>
        <v>6</v>
      </c>
      <c r="BJ65" s="83">
        <f t="shared" si="15"/>
        <v>6</v>
      </c>
      <c r="BK65" s="83">
        <f t="shared" si="16"/>
        <v>4</v>
      </c>
      <c r="BL65" s="200">
        <f>IFNA(IF(VLOOKUP(FLOOR($B65,1),'APS Tubes by Date IMPORT'!$B$2:$J259,1,FALSE)=FLOOR($BL64,1),IFERROR(0/0,""),VLOOKUP(FLOOR($B65,1),'APS Tubes by Date IMPORT'!$B$2:$J259,1,FALSE)),"")</f>
        <v>44869</v>
      </c>
      <c r="BM65" s="83">
        <f>IF(ISBLANK($BL65),IFERROR(0/0,""),VLOOKUP(FLOOR($B65,1),'APS Tubes by Date IMPORT'!$B$2:$J259,2,FALSE))</f>
        <v>6</v>
      </c>
      <c r="BN65" s="114"/>
      <c r="BO65" s="83" t="str">
        <f>VLOOKUP(FLOOR($B65,1),'APS Tubes by Date IMPORT'!$B65:$I259,6,FALSE)</f>
        <v>#N/A</v>
      </c>
      <c r="BP65" s="83">
        <v>7.0</v>
      </c>
      <c r="BQ65" s="193">
        <f t="shared" si="17"/>
        <v>1</v>
      </c>
      <c r="BR65" s="131">
        <v>3.0</v>
      </c>
      <c r="BS65" s="76" t="b">
        <f t="shared" si="18"/>
        <v>1</v>
      </c>
      <c r="BT65" s="194" t="str">
        <f t="shared" si="19"/>
        <v>Delete NULL</v>
      </c>
      <c r="BU65" s="195"/>
      <c r="BV65" s="195"/>
      <c r="BW65" s="195"/>
      <c r="BX65" s="195"/>
    </row>
    <row r="66">
      <c r="A66" s="18" t="str">
        <f>CONCATENATE("RUN-",'Process Ref'!$A$1,"_",TEXT(U66,"YYYY-MM-DD"),"_RFR-",TEXT(AR66,"000"),IF(EXACT(W66,"Initial"),"",CONCATENATE("_",W66)))</f>
        <v>RUN-ABRM_2022-11-04_RFR-065_Re-run</v>
      </c>
      <c r="B66" s="168">
        <v>44869.43371527778</v>
      </c>
      <c r="C66" s="110"/>
      <c r="D66" s="110" t="s">
        <v>313</v>
      </c>
      <c r="E66" s="169">
        <v>3.0</v>
      </c>
      <c r="F66" s="110" t="s">
        <v>574</v>
      </c>
      <c r="G66" s="170" t="s">
        <v>579</v>
      </c>
      <c r="H66" s="170" t="s">
        <v>580</v>
      </c>
      <c r="I66" s="170" t="s">
        <v>581</v>
      </c>
      <c r="J66" s="169">
        <v>0.0</v>
      </c>
      <c r="K66" s="173" t="s">
        <v>582</v>
      </c>
      <c r="L66" s="131"/>
      <c r="M66" s="174"/>
      <c r="N66" s="174"/>
      <c r="O66" s="175"/>
      <c r="P66" s="118" t="b">
        <v>0</v>
      </c>
      <c r="Q66" s="176" t="b">
        <v>0</v>
      </c>
      <c r="R66" s="55"/>
      <c r="S66" s="118" t="b">
        <v>0</v>
      </c>
      <c r="T66" s="177" t="b">
        <v>1</v>
      </c>
      <c r="U66" s="178">
        <v>44869.0</v>
      </c>
      <c r="V66" s="179">
        <v>0.49166666666666664</v>
      </c>
      <c r="W66" s="110" t="s">
        <v>339</v>
      </c>
      <c r="X66" s="180"/>
      <c r="Y66" s="118" t="b">
        <v>0</v>
      </c>
      <c r="Z66" s="169">
        <v>5.0</v>
      </c>
      <c r="AA66" s="196">
        <f t="shared" si="1"/>
        <v>2</v>
      </c>
      <c r="AB66" s="197" t="b">
        <f t="shared" si="2"/>
        <v>0</v>
      </c>
      <c r="AC66" s="169">
        <v>3.0</v>
      </c>
      <c r="AD66" s="169">
        <v>0.0</v>
      </c>
      <c r="AE66" s="169">
        <v>0.0</v>
      </c>
      <c r="AF66" s="169">
        <v>0.0</v>
      </c>
      <c r="AG66" s="169">
        <v>0.0</v>
      </c>
      <c r="AH66" s="169">
        <v>0.0</v>
      </c>
      <c r="AI66" s="169">
        <v>0.0</v>
      </c>
      <c r="AJ66" s="182" t="b">
        <v>0</v>
      </c>
      <c r="AK66" s="183">
        <v>1.0</v>
      </c>
      <c r="AL66" s="169">
        <v>0.0</v>
      </c>
      <c r="AM66" s="172" t="str">
        <f>IF(EXACT(W66,"Initial"),"Audit","")</f>
        <v/>
      </c>
      <c r="AN66" s="198" t="str">
        <f>IFNA(VLOOKUP($A66,'Tube Reactions'!$J$2:$K259,2,FALSE),"")</f>
        <v/>
      </c>
      <c r="AO66" s="199" t="str">
        <f t="shared" si="20"/>
        <v/>
      </c>
      <c r="AP66" s="186" t="str">
        <f t="shared" si="36"/>
        <v/>
      </c>
      <c r="AQ66" s="187" t="b">
        <f t="shared" si="5"/>
        <v>1</v>
      </c>
      <c r="AR66" s="188">
        <v>65.0</v>
      </c>
      <c r="AS66" s="189"/>
      <c r="AT66" s="55"/>
      <c r="AU66" s="110" t="s">
        <v>560</v>
      </c>
      <c r="AV66" s="169">
        <v>5.0</v>
      </c>
      <c r="AW66" s="118"/>
      <c r="AX66" s="190"/>
      <c r="AY66" s="48">
        <f t="shared" si="33"/>
        <v>2</v>
      </c>
      <c r="BA66" s="191" t="b">
        <v>0</v>
      </c>
      <c r="BB66" s="18" t="str">
        <f t="shared" si="8"/>
        <v/>
      </c>
      <c r="BC66" s="18" t="str">
        <f t="shared" si="9"/>
        <v/>
      </c>
      <c r="BD66" s="48" t="str">
        <f t="shared" si="10"/>
        <v/>
      </c>
      <c r="BE66" s="192"/>
      <c r="BF66" s="76" t="str">
        <f t="shared" si="11"/>
        <v/>
      </c>
      <c r="BG66" s="114" t="str">
        <f t="shared" si="12"/>
        <v/>
      </c>
      <c r="BH66" s="83" t="str">
        <f t="shared" si="13"/>
        <v/>
      </c>
      <c r="BI66" s="83" t="str">
        <f t="shared" si="14"/>
        <v/>
      </c>
      <c r="BJ66" s="83" t="str">
        <f t="shared" si="15"/>
        <v/>
      </c>
      <c r="BK66" s="83" t="str">
        <f t="shared" si="16"/>
        <v/>
      </c>
      <c r="BL66" s="200" t="str">
        <f>IFNA(IF(VLOOKUP(FLOOR($B66,1),'APS Tubes by Date IMPORT'!$B$2:$J259,1,FALSE)=FLOOR($BL65,1),IFERROR(0/0,""),VLOOKUP(FLOOR($B66,1),'APS Tubes by Date IMPORT'!$B$2:$J259,1,FALSE)),"")</f>
        <v/>
      </c>
      <c r="BM66" s="83" t="str">
        <f>IF(ISBLANK($BL66),IFERROR(0/0,""),VLOOKUP(FLOOR($B66,1),'APS Tubes by Date IMPORT'!$B$2:$J259,2,FALSE))</f>
        <v/>
      </c>
      <c r="BN66" s="114"/>
      <c r="BO66" s="83" t="str">
        <f>VLOOKUP(FLOOR($B66,1),'APS Tubes by Date IMPORT'!$B66:$I259,6,FALSE)</f>
        <v>#N/A</v>
      </c>
      <c r="BP66" s="83">
        <v>7.0</v>
      </c>
      <c r="BQ66" s="193">
        <f t="shared" si="17"/>
        <v>7</v>
      </c>
      <c r="BR66" s="131">
        <v>3.0</v>
      </c>
      <c r="BS66" s="76" t="b">
        <f t="shared" si="18"/>
        <v>1</v>
      </c>
      <c r="BT66" s="194" t="str">
        <f t="shared" si="19"/>
        <v>Delete NULL</v>
      </c>
      <c r="BU66" s="195"/>
      <c r="BV66" s="195"/>
      <c r="BW66" s="195"/>
      <c r="BX66" s="195"/>
    </row>
    <row r="67">
      <c r="A67" s="18" t="str">
        <f>CONCATENATE("RUN-",'Process Ref'!$A$1,"_",TEXT(U67,"YYYY-MM-DD"),"_RFR-",TEXT(AR67,"000"),IF(EXACT(W67,"Initial"),"",CONCATENATE("_",W67)))</f>
        <v>RUN-ABRM_2022-11-07_RFR-066</v>
      </c>
      <c r="B67" s="168">
        <v>44872.400613425925</v>
      </c>
      <c r="C67" s="110"/>
      <c r="D67" s="110" t="s">
        <v>313</v>
      </c>
      <c r="E67" s="169">
        <v>11.0</v>
      </c>
      <c r="F67" s="110" t="s">
        <v>583</v>
      </c>
      <c r="G67" s="170" t="s">
        <v>584</v>
      </c>
      <c r="H67" s="170" t="s">
        <v>585</v>
      </c>
      <c r="I67" s="170" t="s">
        <v>586</v>
      </c>
      <c r="J67" s="169">
        <v>1.0</v>
      </c>
      <c r="K67" s="173" t="s">
        <v>587</v>
      </c>
      <c r="L67" s="131"/>
      <c r="M67" s="174"/>
      <c r="N67" s="209">
        <v>2.1</v>
      </c>
      <c r="O67" s="210" t="s">
        <v>588</v>
      </c>
      <c r="P67" s="118" t="b">
        <v>1</v>
      </c>
      <c r="Q67" s="176" t="b">
        <v>1</v>
      </c>
      <c r="R67" s="55" t="s">
        <v>465</v>
      </c>
      <c r="S67" s="118" t="b">
        <v>0</v>
      </c>
      <c r="T67" s="177" t="b">
        <v>1</v>
      </c>
      <c r="U67" s="178">
        <v>44872.0</v>
      </c>
      <c r="V67" s="179">
        <v>0.4166666666666667</v>
      </c>
      <c r="W67" s="110" t="s">
        <v>320</v>
      </c>
      <c r="X67" s="180" t="s">
        <v>589</v>
      </c>
      <c r="Y67" s="118" t="b">
        <v>1</v>
      </c>
      <c r="Z67" s="169">
        <v>11.0</v>
      </c>
      <c r="AA67" s="196">
        <f t="shared" si="1"/>
        <v>0</v>
      </c>
      <c r="AB67" s="197" t="b">
        <f t="shared" si="2"/>
        <v>1</v>
      </c>
      <c r="AC67" s="169">
        <v>9.0</v>
      </c>
      <c r="AD67" s="169">
        <v>0.0</v>
      </c>
      <c r="AE67" s="169">
        <v>0.0</v>
      </c>
      <c r="AF67" s="169">
        <v>0.0</v>
      </c>
      <c r="AG67" s="169">
        <v>0.0</v>
      </c>
      <c r="AH67" s="169">
        <v>0.0</v>
      </c>
      <c r="AI67" s="169">
        <v>0.0</v>
      </c>
      <c r="AJ67" s="182" t="b">
        <v>0</v>
      </c>
      <c r="AK67" s="183">
        <v>9.0</v>
      </c>
      <c r="AL67" s="169">
        <v>0.0</v>
      </c>
      <c r="AM67" s="169">
        <v>1.0</v>
      </c>
      <c r="AN67" s="198" t="str">
        <f>IFNA(VLOOKUP($A67,'Tube Reactions'!$J$2:$K259,2,FALSE),"")</f>
        <v/>
      </c>
      <c r="AO67" s="199" t="str">
        <f t="shared" si="20"/>
        <v>NOT EQUAL</v>
      </c>
      <c r="AP67" s="186" t="str">
        <f t="shared" si="36"/>
        <v/>
      </c>
      <c r="AQ67" s="187" t="b">
        <f t="shared" si="5"/>
        <v>1</v>
      </c>
      <c r="AR67" s="188">
        <v>66.0</v>
      </c>
      <c r="AS67" s="189"/>
      <c r="AT67" s="55"/>
      <c r="AU67" s="110" t="s">
        <v>560</v>
      </c>
      <c r="AV67" s="169">
        <v>11.0</v>
      </c>
      <c r="AW67" s="118" t="b">
        <v>0</v>
      </c>
      <c r="AX67" s="190" t="b">
        <f t="shared" ref="AX67:AX71" si="38">IF(OR(AND(AL67=0,AW67),AND(AL67&lt;&gt;0,NOT(AW67))),TRUE,FALSE)</f>
        <v>0</v>
      </c>
      <c r="AY67" s="48">
        <f t="shared" si="33"/>
        <v>2</v>
      </c>
      <c r="BA67" s="191" t="b">
        <v>0</v>
      </c>
      <c r="BB67" s="18" t="str">
        <f t="shared" si="8"/>
        <v/>
      </c>
      <c r="BC67" s="18" t="str">
        <f t="shared" si="9"/>
        <v/>
      </c>
      <c r="BD67" s="48" t="str">
        <f t="shared" si="10"/>
        <v/>
      </c>
      <c r="BE67" s="192"/>
      <c r="BF67" s="76">
        <f t="shared" si="11"/>
        <v>44872</v>
      </c>
      <c r="BG67" s="114" t="str">
        <f t="shared" si="12"/>
        <v>RUN-ABRM_2022-11-07_RFR-066</v>
      </c>
      <c r="BH67" s="83">
        <f t="shared" si="13"/>
        <v>11</v>
      </c>
      <c r="BI67" s="83">
        <f t="shared" si="14"/>
        <v>9</v>
      </c>
      <c r="BJ67" s="83">
        <f t="shared" si="15"/>
        <v>9</v>
      </c>
      <c r="BK67" s="83">
        <f t="shared" si="16"/>
        <v>0</v>
      </c>
      <c r="BL67" s="200">
        <f>IFNA(IF(VLOOKUP(FLOOR($B67,1),'APS Tubes by Date IMPORT'!$B$2:$J259,1,FALSE)=FLOOR($BL66,1),IFERROR(0/0,""),VLOOKUP(FLOOR($B67,1),'APS Tubes by Date IMPORT'!$B$2:$J259,1,FALSE)),"")</f>
        <v>44872</v>
      </c>
      <c r="BM67" s="83">
        <f>IF(ISBLANK($BL67),IFERROR(0/0,""),VLOOKUP(FLOOR($B67,1),'APS Tubes by Date IMPORT'!$B$2:$J259,2,FALSE))</f>
        <v>9</v>
      </c>
      <c r="BN67" s="114"/>
      <c r="BO67" s="83" t="str">
        <f>VLOOKUP(FLOOR($B67,1),'APS Tubes by Date IMPORT'!$B67:$I259,6,FALSE)</f>
        <v>#N/A</v>
      </c>
      <c r="BP67" s="83">
        <v>7.0</v>
      </c>
      <c r="BQ67" s="193">
        <f t="shared" si="17"/>
        <v>-2</v>
      </c>
      <c r="BR67" s="131">
        <v>3.0</v>
      </c>
      <c r="BS67" s="76" t="b">
        <f t="shared" si="18"/>
        <v>1</v>
      </c>
      <c r="BT67" s="194" t="str">
        <f t="shared" si="19"/>
        <v>Delete NULL</v>
      </c>
      <c r="BU67" s="195"/>
      <c r="BV67" s="195"/>
      <c r="BW67" s="195"/>
      <c r="BX67" s="195"/>
    </row>
    <row r="68">
      <c r="A68" s="18" t="str">
        <f>CONCATENATE("RUN-",'Process Ref'!$A$1,"_",TEXT(U68,"YYYY-MM-DD"),"_RFR-",TEXT(AR68,"000"),IF(EXACT(W68,"Initial"),"",CONCATENATE("_",W68)))</f>
        <v>RUN-ABRM_2022-11-07_RFR-067_Re-run</v>
      </c>
      <c r="B68" s="168">
        <v>44872.40484953704</v>
      </c>
      <c r="C68" s="110"/>
      <c r="D68" s="110" t="s">
        <v>313</v>
      </c>
      <c r="E68" s="169">
        <v>5.0</v>
      </c>
      <c r="F68" s="110" t="s">
        <v>583</v>
      </c>
      <c r="G68" s="170" t="s">
        <v>590</v>
      </c>
      <c r="H68" s="170" t="s">
        <v>591</v>
      </c>
      <c r="I68" s="170" t="s">
        <v>592</v>
      </c>
      <c r="J68" s="172"/>
      <c r="K68" s="173" t="s">
        <v>593</v>
      </c>
      <c r="L68" s="131"/>
      <c r="M68" s="174"/>
      <c r="N68" s="174"/>
      <c r="O68" s="175"/>
      <c r="P68" s="118" t="b">
        <v>0</v>
      </c>
      <c r="Q68" s="176" t="b">
        <v>0</v>
      </c>
      <c r="R68" s="55"/>
      <c r="S68" s="118" t="b">
        <v>0</v>
      </c>
      <c r="T68" s="177" t="b">
        <v>1</v>
      </c>
      <c r="U68" s="178">
        <v>44872.0</v>
      </c>
      <c r="V68" s="179">
        <v>0.4583333333333333</v>
      </c>
      <c r="W68" s="110" t="s">
        <v>339</v>
      </c>
      <c r="X68" s="180"/>
      <c r="Y68" s="118" t="b">
        <v>0</v>
      </c>
      <c r="Z68" s="169">
        <v>5.0</v>
      </c>
      <c r="AA68" s="196">
        <f t="shared" si="1"/>
        <v>0</v>
      </c>
      <c r="AB68" s="197" t="b">
        <f t="shared" si="2"/>
        <v>1</v>
      </c>
      <c r="AC68" s="169">
        <v>3.0</v>
      </c>
      <c r="AD68" s="169">
        <v>0.0</v>
      </c>
      <c r="AE68" s="169">
        <v>0.0</v>
      </c>
      <c r="AF68" s="169">
        <v>0.0</v>
      </c>
      <c r="AG68" s="169">
        <v>0.0</v>
      </c>
      <c r="AH68" s="169">
        <v>0.0</v>
      </c>
      <c r="AI68" s="169">
        <v>0.0</v>
      </c>
      <c r="AJ68" s="182" t="b">
        <v>0</v>
      </c>
      <c r="AK68" s="183">
        <v>1.0</v>
      </c>
      <c r="AL68" s="169">
        <v>0.0</v>
      </c>
      <c r="AM68" s="169">
        <v>0.0</v>
      </c>
      <c r="AN68" s="198" t="str">
        <f>IFNA(VLOOKUP($A68,'Tube Reactions'!$J$2:$K259,2,FALSE),"")</f>
        <v/>
      </c>
      <c r="AO68" s="199" t="str">
        <f t="shared" si="20"/>
        <v/>
      </c>
      <c r="AP68" s="186" t="str">
        <f t="shared" si="36"/>
        <v/>
      </c>
      <c r="AQ68" s="187" t="b">
        <f t="shared" si="5"/>
        <v>1</v>
      </c>
      <c r="AR68" s="188">
        <v>67.0</v>
      </c>
      <c r="AS68" s="189"/>
      <c r="AT68" s="55"/>
      <c r="AU68" s="110" t="s">
        <v>560</v>
      </c>
      <c r="AV68" s="169">
        <v>5.0</v>
      </c>
      <c r="AW68" s="118" t="b">
        <v>1</v>
      </c>
      <c r="AX68" s="190" t="b">
        <f t="shared" si="38"/>
        <v>1</v>
      </c>
      <c r="AY68" s="48">
        <f t="shared" si="33"/>
        <v>2</v>
      </c>
      <c r="BA68" s="191" t="b">
        <v>0</v>
      </c>
      <c r="BB68" s="18" t="str">
        <f t="shared" si="8"/>
        <v/>
      </c>
      <c r="BC68" s="18" t="str">
        <f t="shared" si="9"/>
        <v/>
      </c>
      <c r="BD68" s="48" t="str">
        <f t="shared" si="10"/>
        <v/>
      </c>
      <c r="BE68" s="192"/>
      <c r="BF68" s="76" t="str">
        <f t="shared" si="11"/>
        <v/>
      </c>
      <c r="BG68" s="114" t="str">
        <f t="shared" si="12"/>
        <v/>
      </c>
      <c r="BH68" s="83" t="str">
        <f t="shared" si="13"/>
        <v/>
      </c>
      <c r="BI68" s="83" t="str">
        <f t="shared" si="14"/>
        <v/>
      </c>
      <c r="BJ68" s="83" t="str">
        <f t="shared" si="15"/>
        <v/>
      </c>
      <c r="BK68" s="83" t="str">
        <f t="shared" si="16"/>
        <v/>
      </c>
      <c r="BL68" s="200" t="str">
        <f>IFNA(IF(VLOOKUP(FLOOR($B68,1),'APS Tubes by Date IMPORT'!$B$2:$J259,1,FALSE)=FLOOR($BL67,1),IFERROR(0/0,""),VLOOKUP(FLOOR($B68,1),'APS Tubes by Date IMPORT'!$B$2:$J259,1,FALSE)),"")</f>
        <v/>
      </c>
      <c r="BM68" s="83" t="str">
        <f>IF(ISBLANK($BL68),IFERROR(0/0,""),VLOOKUP(FLOOR($B68,1),'APS Tubes by Date IMPORT'!$B$2:$J259,2,FALSE))</f>
        <v/>
      </c>
      <c r="BN68" s="114"/>
      <c r="BO68" s="83" t="str">
        <f>VLOOKUP(FLOOR($B68,1),'APS Tubes by Date IMPORT'!$B68:$I259,6,FALSE)</f>
        <v>#N/A</v>
      </c>
      <c r="BP68" s="83">
        <v>7.0</v>
      </c>
      <c r="BQ68" s="193">
        <f t="shared" si="17"/>
        <v>7</v>
      </c>
      <c r="BR68" s="131">
        <v>3.0</v>
      </c>
      <c r="BS68" s="76" t="b">
        <f t="shared" si="18"/>
        <v>1</v>
      </c>
      <c r="BT68" s="194" t="str">
        <f t="shared" si="19"/>
        <v>Delete NULL</v>
      </c>
      <c r="BU68" s="195"/>
      <c r="BV68" s="195"/>
      <c r="BW68" s="195"/>
      <c r="BX68" s="195"/>
    </row>
    <row r="69">
      <c r="A69" s="18" t="str">
        <f>CONCATENATE("RUN-",'Process Ref'!$A$1,"_",TEXT(U69,"YYYY-MM-DD"),"_RFR-",TEXT(AR69,"000"),IF(EXACT(W69,"Initial"),"",CONCATENATE("_",W69)))</f>
        <v>RUN-ABRM_2022-11-08_RFR-068</v>
      </c>
      <c r="B69" s="168">
        <v>44873.38329861111</v>
      </c>
      <c r="C69" s="110"/>
      <c r="D69" s="110" t="s">
        <v>313</v>
      </c>
      <c r="E69" s="169">
        <v>12.0</v>
      </c>
      <c r="F69" s="110" t="s">
        <v>594</v>
      </c>
      <c r="G69" s="170" t="s">
        <v>595</v>
      </c>
      <c r="H69" s="170" t="s">
        <v>596</v>
      </c>
      <c r="I69" s="170" t="s">
        <v>597</v>
      </c>
      <c r="J69" s="172"/>
      <c r="K69" s="173" t="s">
        <v>598</v>
      </c>
      <c r="L69" s="131"/>
      <c r="M69" s="174"/>
      <c r="N69" s="174"/>
      <c r="O69" s="175"/>
      <c r="P69" s="118" t="b">
        <v>0</v>
      </c>
      <c r="Q69" s="176" t="b">
        <v>0</v>
      </c>
      <c r="R69" s="55"/>
      <c r="S69" s="118" t="b">
        <v>0</v>
      </c>
      <c r="T69" s="177" t="b">
        <v>0</v>
      </c>
      <c r="U69" s="178">
        <v>44873.0</v>
      </c>
      <c r="V69" s="179">
        <v>0.4166666666666667</v>
      </c>
      <c r="W69" s="110" t="s">
        <v>320</v>
      </c>
      <c r="X69" s="180"/>
      <c r="Y69" s="118" t="b">
        <v>0</v>
      </c>
      <c r="Z69" s="169">
        <v>12.0</v>
      </c>
      <c r="AA69" s="196">
        <f t="shared" si="1"/>
        <v>0</v>
      </c>
      <c r="AB69" s="197" t="b">
        <f t="shared" si="2"/>
        <v>1</v>
      </c>
      <c r="AC69" s="169">
        <v>10.0</v>
      </c>
      <c r="AD69" s="169">
        <v>0.0</v>
      </c>
      <c r="AE69" s="169">
        <v>0.0</v>
      </c>
      <c r="AF69" s="169">
        <v>0.0</v>
      </c>
      <c r="AG69" s="169">
        <v>0.0</v>
      </c>
      <c r="AH69" s="169">
        <v>0.0</v>
      </c>
      <c r="AI69" s="169">
        <v>0.0</v>
      </c>
      <c r="AJ69" s="182" t="b">
        <v>0</v>
      </c>
      <c r="AK69" s="183">
        <v>10.0</v>
      </c>
      <c r="AL69" s="169">
        <v>0.0</v>
      </c>
      <c r="AM69" s="169">
        <v>0.0</v>
      </c>
      <c r="AN69" s="198" t="str">
        <f>IFNA(VLOOKUP($A69,'Tube Reactions'!$J$2:$K259,2,FALSE),"")</f>
        <v/>
      </c>
      <c r="AO69" s="199" t="str">
        <f t="shared" si="20"/>
        <v/>
      </c>
      <c r="AP69" s="186" t="str">
        <f t="shared" si="36"/>
        <v/>
      </c>
      <c r="AQ69" s="187" t="b">
        <f t="shared" si="5"/>
        <v>1</v>
      </c>
      <c r="AR69" s="188">
        <v>68.0</v>
      </c>
      <c r="AS69" s="189"/>
      <c r="AT69" s="55"/>
      <c r="AU69" s="110" t="s">
        <v>560</v>
      </c>
      <c r="AV69" s="169">
        <v>12.0</v>
      </c>
      <c r="AW69" s="118" t="b">
        <v>1</v>
      </c>
      <c r="AX69" s="190" t="b">
        <f t="shared" si="38"/>
        <v>1</v>
      </c>
      <c r="AY69" s="48">
        <f t="shared" si="33"/>
        <v>2</v>
      </c>
      <c r="BA69" s="191" t="b">
        <v>1</v>
      </c>
      <c r="BB69" s="18" t="b">
        <f t="shared" si="8"/>
        <v>1</v>
      </c>
      <c r="BC69" s="18" t="b">
        <f t="shared" si="9"/>
        <v>1</v>
      </c>
      <c r="BD69" s="48">
        <f t="shared" si="10"/>
        <v>10</v>
      </c>
      <c r="BE69" s="192"/>
      <c r="BF69" s="76">
        <f t="shared" si="11"/>
        <v>44873</v>
      </c>
      <c r="BG69" s="114" t="str">
        <f t="shared" si="12"/>
        <v>RUN-ABRM_2022-11-08_RFR-068</v>
      </c>
      <c r="BH69" s="83">
        <f t="shared" si="13"/>
        <v>12</v>
      </c>
      <c r="BI69" s="83">
        <f t="shared" si="14"/>
        <v>10</v>
      </c>
      <c r="BJ69" s="83">
        <f t="shared" si="15"/>
        <v>10</v>
      </c>
      <c r="BK69" s="83">
        <f t="shared" si="16"/>
        <v>0</v>
      </c>
      <c r="BL69" s="200">
        <f>IFNA(IF(VLOOKUP(FLOOR($B69,1),'APS Tubes by Date IMPORT'!$B$2:$J259,1,FALSE)=FLOOR($BL68,1),IFERROR(0/0,""),VLOOKUP(FLOOR($B69,1),'APS Tubes by Date IMPORT'!$B$2:$J259,1,FALSE)),"")</f>
        <v>44873</v>
      </c>
      <c r="BM69" s="83">
        <f>IF(ISBLANK($BL69),IFERROR(0/0,""),VLOOKUP(FLOOR($B69,1),'APS Tubes by Date IMPORT'!$B$2:$J259,2,FALSE))</f>
        <v>10</v>
      </c>
      <c r="BN69" s="114"/>
      <c r="BO69" s="83" t="str">
        <f>VLOOKUP(FLOOR($B69,1),'APS Tubes by Date IMPORT'!$B69:$I259,6,FALSE)</f>
        <v>#N/A</v>
      </c>
      <c r="BP69" s="83">
        <v>7.0</v>
      </c>
      <c r="BQ69" s="193">
        <f t="shared" si="17"/>
        <v>-3</v>
      </c>
      <c r="BR69" s="131">
        <v>3.0</v>
      </c>
      <c r="BS69" s="76" t="b">
        <f t="shared" si="18"/>
        <v>1</v>
      </c>
      <c r="BT69" s="194" t="str">
        <f t="shared" si="19"/>
        <v>Delete NULL</v>
      </c>
      <c r="BU69" s="195"/>
      <c r="BV69" s="195"/>
      <c r="BW69" s="195"/>
      <c r="BX69" s="195"/>
    </row>
    <row r="70">
      <c r="A70" s="18" t="str">
        <f>CONCATENATE("RUN-",'Process Ref'!$A$1,"_",TEXT(U70,"YYYY-MM-DD"),"_RFR-",TEXT(AR70,"000"),IF(EXACT(W70,"Initial"),"",CONCATENATE("_",W70)))</f>
        <v>RUN-ABRM_2022-11-09_RFR-069</v>
      </c>
      <c r="B70" s="168">
        <v>44874.4153125</v>
      </c>
      <c r="C70" s="110"/>
      <c r="D70" s="110" t="s">
        <v>313</v>
      </c>
      <c r="E70" s="169">
        <v>10.0</v>
      </c>
      <c r="F70" s="110" t="s">
        <v>599</v>
      </c>
      <c r="G70" s="170" t="s">
        <v>600</v>
      </c>
      <c r="H70" s="170" t="s">
        <v>601</v>
      </c>
      <c r="I70" s="170" t="s">
        <v>602</v>
      </c>
      <c r="J70" s="169">
        <v>1.0</v>
      </c>
      <c r="K70" s="173" t="s">
        <v>603</v>
      </c>
      <c r="L70" s="131"/>
      <c r="M70" s="174"/>
      <c r="N70" s="174"/>
      <c r="O70" s="175"/>
      <c r="P70" s="118" t="b">
        <v>0</v>
      </c>
      <c r="Q70" s="176" t="b">
        <v>0</v>
      </c>
      <c r="R70" s="55"/>
      <c r="S70" s="118" t="b">
        <v>0</v>
      </c>
      <c r="T70" s="177" t="b">
        <v>1</v>
      </c>
      <c r="U70" s="178">
        <v>44874.0</v>
      </c>
      <c r="V70" s="179">
        <v>0.4166666666666667</v>
      </c>
      <c r="W70" s="110" t="s">
        <v>320</v>
      </c>
      <c r="X70" s="180"/>
      <c r="Y70" s="118" t="b">
        <v>1</v>
      </c>
      <c r="Z70" s="169">
        <v>10.0</v>
      </c>
      <c r="AA70" s="196">
        <f t="shared" si="1"/>
        <v>0</v>
      </c>
      <c r="AB70" s="197" t="b">
        <f t="shared" si="2"/>
        <v>1</v>
      </c>
      <c r="AC70" s="169">
        <v>8.0</v>
      </c>
      <c r="AD70" s="169">
        <v>1.0</v>
      </c>
      <c r="AE70" s="169">
        <v>1.0</v>
      </c>
      <c r="AF70" s="169">
        <v>0.0</v>
      </c>
      <c r="AG70" s="169">
        <v>0.0</v>
      </c>
      <c r="AH70" s="169">
        <v>0.0</v>
      </c>
      <c r="AI70" s="169">
        <v>0.0</v>
      </c>
      <c r="AJ70" s="182" t="b">
        <v>0</v>
      </c>
      <c r="AK70" s="183">
        <v>8.0</v>
      </c>
      <c r="AL70" s="169">
        <v>1.1</v>
      </c>
      <c r="AM70" s="169">
        <v>1.0</v>
      </c>
      <c r="AN70" s="198" t="str">
        <f>IFNA(VLOOKUP($A70,'Tube Reactions'!$J$2:$K259,2,FALSE),"")</f>
        <v/>
      </c>
      <c r="AO70" s="199" t="str">
        <f t="shared" si="20"/>
        <v>NOT EQUAL</v>
      </c>
      <c r="AP70" s="186" t="str">
        <f t="shared" si="36"/>
        <v/>
      </c>
      <c r="AQ70" s="187" t="b">
        <f t="shared" si="5"/>
        <v>1</v>
      </c>
      <c r="AR70" s="188">
        <v>69.0</v>
      </c>
      <c r="AS70" s="189"/>
      <c r="AT70" s="55"/>
      <c r="AU70" s="110" t="s">
        <v>560</v>
      </c>
      <c r="AV70" s="169">
        <v>10.0</v>
      </c>
      <c r="AW70" s="118" t="b">
        <v>0</v>
      </c>
      <c r="AX70" s="190" t="b">
        <f t="shared" si="38"/>
        <v>1</v>
      </c>
      <c r="AY70" s="48">
        <f t="shared" si="33"/>
        <v>2</v>
      </c>
      <c r="BA70" s="191" t="b">
        <v>0</v>
      </c>
      <c r="BB70" s="18" t="str">
        <f t="shared" si="8"/>
        <v/>
      </c>
      <c r="BC70" s="18" t="str">
        <f t="shared" si="9"/>
        <v/>
      </c>
      <c r="BD70" s="48" t="str">
        <f t="shared" si="10"/>
        <v/>
      </c>
      <c r="BE70" s="192"/>
      <c r="BF70" s="76">
        <f t="shared" si="11"/>
        <v>44874</v>
      </c>
      <c r="BG70" s="114" t="str">
        <f t="shared" si="12"/>
        <v>RUN-ABRM_2022-11-09_RFR-069</v>
      </c>
      <c r="BH70" s="83">
        <f t="shared" si="13"/>
        <v>10</v>
      </c>
      <c r="BI70" s="83">
        <f t="shared" si="14"/>
        <v>8</v>
      </c>
      <c r="BJ70" s="83">
        <f t="shared" si="15"/>
        <v>8</v>
      </c>
      <c r="BK70" s="83">
        <f t="shared" si="16"/>
        <v>1.1</v>
      </c>
      <c r="BL70" s="200">
        <f>IFNA(IF(VLOOKUP(FLOOR($B70,1),'APS Tubes by Date IMPORT'!$B$2:$J259,1,FALSE)=FLOOR($BL69,1),IFERROR(0/0,""),VLOOKUP(FLOOR($B70,1),'APS Tubes by Date IMPORT'!$B$2:$J259,1,FALSE)),"")</f>
        <v>44874</v>
      </c>
      <c r="BM70" s="83">
        <f>IF(ISBLANK($BL70),IFERROR(0/0,""),VLOOKUP(FLOOR($B70,1),'APS Tubes by Date IMPORT'!$B$2:$J259,2,FALSE))</f>
        <v>8</v>
      </c>
      <c r="BN70" s="114"/>
      <c r="BO70" s="83" t="str">
        <f>VLOOKUP(FLOOR($B70,1),'APS Tubes by Date IMPORT'!$B70:$I259,6,FALSE)</f>
        <v>#N/A</v>
      </c>
      <c r="BP70" s="83">
        <v>7.0</v>
      </c>
      <c r="BQ70" s="193">
        <f t="shared" si="17"/>
        <v>-1</v>
      </c>
      <c r="BR70" s="131">
        <v>3.0</v>
      </c>
      <c r="BS70" s="76" t="b">
        <f t="shared" si="18"/>
        <v>1</v>
      </c>
      <c r="BT70" s="194" t="str">
        <f t="shared" si="19"/>
        <v>Delete NULL</v>
      </c>
      <c r="BU70" s="195"/>
      <c r="BV70" s="195"/>
      <c r="BW70" s="195"/>
      <c r="BX70" s="195"/>
    </row>
    <row r="71">
      <c r="A71" s="18" t="str">
        <f>CONCATENATE("RUN-",'Process Ref'!$A$1,"_",TEXT(U71,"YYYY-MM-DD"),"_RFR-",TEXT(AR71,"000"),IF(EXACT(W71,"Initial"),"",CONCATENATE("_",W71)))</f>
        <v>RUN-ABRM_2022-11-09_RFR-070_Re-run</v>
      </c>
      <c r="B71" s="168">
        <v>44874.416400462964</v>
      </c>
      <c r="C71" s="110"/>
      <c r="D71" s="110" t="s">
        <v>313</v>
      </c>
      <c r="E71" s="169">
        <v>5.0</v>
      </c>
      <c r="F71" s="110" t="s">
        <v>599</v>
      </c>
      <c r="G71" s="170" t="s">
        <v>604</v>
      </c>
      <c r="H71" s="170" t="s">
        <v>605</v>
      </c>
      <c r="I71" s="170" t="s">
        <v>606</v>
      </c>
      <c r="J71" s="172"/>
      <c r="K71" s="173" t="s">
        <v>593</v>
      </c>
      <c r="L71" s="131"/>
      <c r="M71" s="174"/>
      <c r="N71" s="174"/>
      <c r="O71" s="175"/>
      <c r="P71" s="118" t="b">
        <v>0</v>
      </c>
      <c r="Q71" s="176" t="b">
        <v>0</v>
      </c>
      <c r="R71" s="55"/>
      <c r="S71" s="118" t="b">
        <v>0</v>
      </c>
      <c r="T71" s="177" t="b">
        <v>1</v>
      </c>
      <c r="U71" s="178">
        <v>44874.0</v>
      </c>
      <c r="V71" s="179">
        <v>0.4583333333333333</v>
      </c>
      <c r="W71" s="110" t="s">
        <v>339</v>
      </c>
      <c r="X71" s="180"/>
      <c r="Y71" s="118" t="b">
        <v>0</v>
      </c>
      <c r="Z71" s="169">
        <v>5.0</v>
      </c>
      <c r="AA71" s="196">
        <f t="shared" si="1"/>
        <v>0</v>
      </c>
      <c r="AB71" s="197" t="b">
        <f t="shared" si="2"/>
        <v>1</v>
      </c>
      <c r="AC71" s="169">
        <v>3.0</v>
      </c>
      <c r="AD71" s="169">
        <v>0.0</v>
      </c>
      <c r="AE71" s="169">
        <v>0.0</v>
      </c>
      <c r="AF71" s="169">
        <v>0.0</v>
      </c>
      <c r="AG71" s="169">
        <v>0.0</v>
      </c>
      <c r="AH71" s="169">
        <v>0.0</v>
      </c>
      <c r="AI71" s="169">
        <v>0.0</v>
      </c>
      <c r="AJ71" s="182" t="b">
        <v>0</v>
      </c>
      <c r="AK71" s="183">
        <v>1.0</v>
      </c>
      <c r="AL71" s="169">
        <v>0.0</v>
      </c>
      <c r="AM71" s="172" t="str">
        <f t="shared" ref="AM71:AM72" si="39">IF(EXACT(W71,"Initial"),"Audit","")</f>
        <v/>
      </c>
      <c r="AN71" s="198" t="str">
        <f>IFNA(VLOOKUP($A71,'Tube Reactions'!$J$2:$K259,2,FALSE),"")</f>
        <v/>
      </c>
      <c r="AO71" s="199" t="str">
        <f t="shared" si="20"/>
        <v/>
      </c>
      <c r="AP71" s="186" t="str">
        <f t="shared" si="36"/>
        <v/>
      </c>
      <c r="AQ71" s="187" t="b">
        <f t="shared" si="5"/>
        <v>1</v>
      </c>
      <c r="AR71" s="188">
        <v>70.0</v>
      </c>
      <c r="AS71" s="189"/>
      <c r="AT71" s="55"/>
      <c r="AU71" s="110" t="s">
        <v>560</v>
      </c>
      <c r="AV71" s="169">
        <v>5.0</v>
      </c>
      <c r="AW71" s="118" t="b">
        <v>1</v>
      </c>
      <c r="AX71" s="190" t="b">
        <f t="shared" si="38"/>
        <v>1</v>
      </c>
      <c r="AY71" s="48">
        <f t="shared" si="33"/>
        <v>2</v>
      </c>
      <c r="BA71" s="191" t="b">
        <v>0</v>
      </c>
      <c r="BB71" s="18" t="str">
        <f t="shared" si="8"/>
        <v/>
      </c>
      <c r="BC71" s="18" t="str">
        <f t="shared" si="9"/>
        <v/>
      </c>
      <c r="BD71" s="48" t="str">
        <f t="shared" si="10"/>
        <v/>
      </c>
      <c r="BE71" s="192"/>
      <c r="BF71" s="76" t="str">
        <f t="shared" si="11"/>
        <v/>
      </c>
      <c r="BG71" s="114" t="str">
        <f t="shared" si="12"/>
        <v/>
      </c>
      <c r="BH71" s="83" t="str">
        <f t="shared" si="13"/>
        <v/>
      </c>
      <c r="BI71" s="83" t="str">
        <f t="shared" si="14"/>
        <v/>
      </c>
      <c r="BJ71" s="83" t="str">
        <f t="shared" si="15"/>
        <v/>
      </c>
      <c r="BK71" s="83" t="str">
        <f t="shared" si="16"/>
        <v/>
      </c>
      <c r="BL71" s="200" t="str">
        <f>IFNA(IF(VLOOKUP(FLOOR($B71,1),'APS Tubes by Date IMPORT'!$B$2:$J259,1,FALSE)=FLOOR($BL70,1),IFERROR(0/0,""),VLOOKUP(FLOOR($B71,1),'APS Tubes by Date IMPORT'!$B$2:$J259,1,FALSE)),"")</f>
        <v/>
      </c>
      <c r="BM71" s="83" t="str">
        <f>IF(ISBLANK($BL71),IFERROR(0/0,""),VLOOKUP(FLOOR($B71,1),'APS Tubes by Date IMPORT'!$B$2:$J259,2,FALSE))</f>
        <v/>
      </c>
      <c r="BN71" s="114"/>
      <c r="BO71" s="83" t="str">
        <f>VLOOKUP(FLOOR($B71,1),'APS Tubes by Date IMPORT'!$B71:$I259,6,FALSE)</f>
        <v>#N/A</v>
      </c>
      <c r="BP71" s="83">
        <v>7.0</v>
      </c>
      <c r="BQ71" s="193">
        <f t="shared" si="17"/>
        <v>7</v>
      </c>
      <c r="BR71" s="131">
        <v>3.0</v>
      </c>
      <c r="BS71" s="76" t="b">
        <f t="shared" si="18"/>
        <v>1</v>
      </c>
      <c r="BT71" s="194" t="str">
        <f t="shared" si="19"/>
        <v>Delete NULL</v>
      </c>
      <c r="BU71" s="195"/>
      <c r="BV71" s="195"/>
      <c r="BW71" s="195"/>
      <c r="BX71" s="195"/>
    </row>
    <row r="72">
      <c r="A72" s="219" t="str">
        <f>CONCATENATE("RUN-",'Process Ref'!$A$1,"_",TEXT(U72,"YYYY-MM-DD"),"_RFR-",TEXT(AR72,"000"),IF(EXACT(W72,"Initial"),"",CONCATENATE("_",W72)))</f>
        <v>RUN-ABRM_2022-11-09_RFR-071_Exclude</v>
      </c>
      <c r="B72" s="220">
        <v>44874.41782407407</v>
      </c>
      <c r="C72" s="221"/>
      <c r="D72" s="221" t="s">
        <v>313</v>
      </c>
      <c r="E72" s="222">
        <v>1.0</v>
      </c>
      <c r="F72" s="221" t="s">
        <v>607</v>
      </c>
      <c r="G72" s="223" t="s">
        <v>608</v>
      </c>
      <c r="H72" s="223" t="s">
        <v>609</v>
      </c>
      <c r="I72" s="223" t="s">
        <v>610</v>
      </c>
      <c r="J72" s="224"/>
      <c r="K72" s="225" t="s">
        <v>611</v>
      </c>
      <c r="L72" s="226">
        <v>4.0</v>
      </c>
      <c r="M72" s="227"/>
      <c r="N72" s="227"/>
      <c r="O72" s="228" t="s">
        <v>612</v>
      </c>
      <c r="P72" s="229" t="b">
        <v>0</v>
      </c>
      <c r="Q72" s="230" t="b">
        <v>0</v>
      </c>
      <c r="R72" s="231"/>
      <c r="S72" s="229" t="b">
        <v>0</v>
      </c>
      <c r="T72" s="232" t="b">
        <v>0</v>
      </c>
      <c r="U72" s="233">
        <v>44874.0</v>
      </c>
      <c r="V72" s="234">
        <v>0.4166666666666667</v>
      </c>
      <c r="W72" s="221" t="s">
        <v>613</v>
      </c>
      <c r="X72" s="235"/>
      <c r="Y72" s="229" t="b">
        <v>0</v>
      </c>
      <c r="Z72" s="222"/>
      <c r="AA72" s="222">
        <f t="shared" si="1"/>
        <v>-1</v>
      </c>
      <c r="AB72" s="232" t="b">
        <f t="shared" si="2"/>
        <v>1</v>
      </c>
      <c r="AC72" s="222">
        <v>0.0</v>
      </c>
      <c r="AD72" s="222">
        <v>0.0</v>
      </c>
      <c r="AE72" s="222">
        <v>0.0</v>
      </c>
      <c r="AF72" s="222">
        <v>0.0</v>
      </c>
      <c r="AG72" s="222">
        <v>0.0</v>
      </c>
      <c r="AH72" s="222">
        <v>0.0</v>
      </c>
      <c r="AI72" s="222">
        <v>0.0</v>
      </c>
      <c r="AJ72" s="236" t="b">
        <v>0</v>
      </c>
      <c r="AK72" s="237">
        <v>0.0</v>
      </c>
      <c r="AL72" s="222"/>
      <c r="AM72" s="224" t="str">
        <f t="shared" si="39"/>
        <v/>
      </c>
      <c r="AN72" s="238" t="str">
        <f>IFNA(VLOOKUP($A72,'Tube Reactions'!$J$2:$K259,2,FALSE),"")</f>
        <v/>
      </c>
      <c r="AO72" s="239" t="str">
        <f t="shared" si="20"/>
        <v/>
      </c>
      <c r="AP72" s="238" t="str">
        <f t="shared" si="36"/>
        <v/>
      </c>
      <c r="AQ72" s="224" t="b">
        <f t="shared" si="5"/>
        <v>1</v>
      </c>
      <c r="AR72" s="224">
        <v>71.0</v>
      </c>
      <c r="AS72" s="240"/>
      <c r="AT72" s="231"/>
      <c r="AU72" s="221" t="s">
        <v>560</v>
      </c>
      <c r="AV72" s="222"/>
      <c r="AW72" s="229"/>
      <c r="AX72" s="219"/>
      <c r="AY72" s="241">
        <f t="shared" si="33"/>
        <v>0</v>
      </c>
      <c r="AZ72" s="219"/>
      <c r="BA72" s="242" t="b">
        <v>1</v>
      </c>
      <c r="BB72" s="219" t="b">
        <f t="shared" si="8"/>
        <v>0</v>
      </c>
      <c r="BC72" s="219"/>
      <c r="BD72" s="241"/>
      <c r="BE72" s="243"/>
      <c r="BF72" s="76" t="str">
        <f t="shared" si="11"/>
        <v/>
      </c>
      <c r="BG72" s="114" t="str">
        <f t="shared" si="12"/>
        <v/>
      </c>
      <c r="BH72" s="83" t="str">
        <f t="shared" si="13"/>
        <v/>
      </c>
      <c r="BI72" s="83" t="str">
        <f t="shared" si="14"/>
        <v/>
      </c>
      <c r="BJ72" s="83" t="str">
        <f t="shared" si="15"/>
        <v/>
      </c>
      <c r="BK72" s="83" t="str">
        <f t="shared" si="16"/>
        <v/>
      </c>
      <c r="BL72" s="200">
        <f>IFNA(IF(VLOOKUP(FLOOR($B72,1),'APS Tubes by Date IMPORT'!$B$2:$J259,1,FALSE)=FLOOR($BL71,1),IFERROR(0/0,""),VLOOKUP(FLOOR($B72,1),'APS Tubes by Date IMPORT'!$B$2:$J259,1,FALSE)),"")</f>
        <v>44874</v>
      </c>
      <c r="BM72" s="83">
        <f>IF(ISBLANK($BL72),IFERROR(0/0,""),VLOOKUP(FLOOR($B72,1),'APS Tubes by Date IMPORT'!$B$2:$J259,2,FALSE))</f>
        <v>8</v>
      </c>
      <c r="BN72" s="114"/>
      <c r="BO72" s="83" t="str">
        <f>VLOOKUP(FLOOR($B72,1),'APS Tubes by Date IMPORT'!$B72:$I259,6,FALSE)</f>
        <v>#N/A</v>
      </c>
      <c r="BP72" s="83">
        <v>7.0</v>
      </c>
      <c r="BQ72" s="193">
        <f t="shared" si="17"/>
        <v>-1</v>
      </c>
      <c r="BR72" s="131">
        <v>3.0</v>
      </c>
      <c r="BS72" s="76" t="b">
        <f t="shared" si="18"/>
        <v>1</v>
      </c>
      <c r="BT72" s="194" t="str">
        <f t="shared" si="19"/>
        <v>Delete NULL</v>
      </c>
      <c r="BU72" s="244"/>
      <c r="BV72" s="244"/>
      <c r="BW72" s="244"/>
      <c r="BX72" s="244"/>
    </row>
    <row r="73">
      <c r="A73" s="18" t="str">
        <f>CONCATENATE("RUN-",'Process Ref'!$A$1,"_",TEXT(U73,"YYYY-MM-DD"),"_RFR-",TEXT(AR73,"000"),IF(EXACT(W73,"Initial"),"",CONCATENATE("_",W73)))</f>
        <v>RUN-ABRM_2022-11-10_RFR-072</v>
      </c>
      <c r="B73" s="168">
        <v>44875.44449074074</v>
      </c>
      <c r="C73" s="110"/>
      <c r="D73" s="110" t="s">
        <v>313</v>
      </c>
      <c r="E73" s="169">
        <v>11.0</v>
      </c>
      <c r="F73" s="110" t="s">
        <v>614</v>
      </c>
      <c r="G73" s="170" t="s">
        <v>615</v>
      </c>
      <c r="H73" s="170" t="s">
        <v>616</v>
      </c>
      <c r="I73" s="170" t="s">
        <v>617</v>
      </c>
      <c r="J73" s="172"/>
      <c r="K73" s="204"/>
      <c r="L73" s="131"/>
      <c r="M73" s="174"/>
      <c r="N73" s="174"/>
      <c r="O73" s="175"/>
      <c r="P73" s="118" t="b">
        <v>0</v>
      </c>
      <c r="Q73" s="176" t="b">
        <v>0</v>
      </c>
      <c r="R73" s="55"/>
      <c r="S73" s="118" t="b">
        <v>0</v>
      </c>
      <c r="T73" s="177" t="b">
        <v>0</v>
      </c>
      <c r="U73" s="178">
        <v>44875.0</v>
      </c>
      <c r="V73" s="179">
        <v>0.4583333333333333</v>
      </c>
      <c r="W73" s="110" t="s">
        <v>320</v>
      </c>
      <c r="X73" s="180"/>
      <c r="Y73" s="118" t="b">
        <v>0</v>
      </c>
      <c r="Z73" s="169">
        <v>11.0</v>
      </c>
      <c r="AA73" s="196">
        <f t="shared" si="1"/>
        <v>0</v>
      </c>
      <c r="AB73" s="197" t="b">
        <f t="shared" si="2"/>
        <v>1</v>
      </c>
      <c r="AC73" s="169">
        <v>9.0</v>
      </c>
      <c r="AD73" s="169">
        <v>0.0</v>
      </c>
      <c r="AE73" s="169">
        <v>0.0</v>
      </c>
      <c r="AF73" s="169">
        <v>0.0</v>
      </c>
      <c r="AG73" s="169">
        <v>0.0</v>
      </c>
      <c r="AH73" s="169">
        <v>0.0</v>
      </c>
      <c r="AI73" s="169">
        <v>0.0</v>
      </c>
      <c r="AJ73" s="182" t="b">
        <v>0</v>
      </c>
      <c r="AK73" s="183">
        <v>9.0</v>
      </c>
      <c r="AL73" s="169">
        <v>0.0</v>
      </c>
      <c r="AM73" s="169">
        <v>0.0</v>
      </c>
      <c r="AN73" s="198" t="str">
        <f>IFNA(VLOOKUP($A73,'Tube Reactions'!$J$2:$K259,2,FALSE),"")</f>
        <v/>
      </c>
      <c r="AO73" s="199" t="str">
        <f t="shared" si="20"/>
        <v/>
      </c>
      <c r="AP73" s="186" t="str">
        <f t="shared" si="36"/>
        <v/>
      </c>
      <c r="AQ73" s="187" t="b">
        <f t="shared" si="5"/>
        <v>1</v>
      </c>
      <c r="AR73" s="188">
        <v>72.0</v>
      </c>
      <c r="AS73" s="189"/>
      <c r="AT73" s="55"/>
      <c r="AU73" s="110" t="s">
        <v>560</v>
      </c>
      <c r="AV73" s="169">
        <v>11.0</v>
      </c>
      <c r="AW73" s="118" t="b">
        <v>1</v>
      </c>
      <c r="AX73" s="190" t="b">
        <f t="shared" ref="AX73:AX74" si="40">IF(OR(AND(AL73=0,AW73),AND(AL73&lt;&gt;0,NOT(AW73))),TRUE,FALSE)</f>
        <v>1</v>
      </c>
      <c r="AY73" s="48">
        <f t="shared" si="33"/>
        <v>2</v>
      </c>
      <c r="BA73" s="191" t="b">
        <v>1</v>
      </c>
      <c r="BB73" s="18" t="b">
        <f t="shared" si="8"/>
        <v>1</v>
      </c>
      <c r="BC73" s="18" t="b">
        <f t="shared" ref="BC73:BC109" si="41">IF(BB73,IF(AL73=0,TRUE,AL73),"")</f>
        <v>1</v>
      </c>
      <c r="BD73" s="48">
        <f t="shared" ref="BD73:BD109" si="42">IF(BC73,AK73,"")</f>
        <v>9</v>
      </c>
      <c r="BE73" s="192"/>
      <c r="BF73" s="76">
        <f t="shared" si="11"/>
        <v>44875</v>
      </c>
      <c r="BG73" s="114" t="str">
        <f t="shared" si="12"/>
        <v>RUN-ABRM_2022-11-10_RFR-072</v>
      </c>
      <c r="BH73" s="83">
        <f t="shared" si="13"/>
        <v>11</v>
      </c>
      <c r="BI73" s="83">
        <f t="shared" si="14"/>
        <v>9</v>
      </c>
      <c r="BJ73" s="83">
        <f t="shared" si="15"/>
        <v>9</v>
      </c>
      <c r="BK73" s="83">
        <f t="shared" si="16"/>
        <v>0</v>
      </c>
      <c r="BL73" s="200">
        <f>IFNA(IF(VLOOKUP(FLOOR($B73,1),'APS Tubes by Date IMPORT'!$B$2:$J259,1,FALSE)=FLOOR($BL72,1),IFERROR(0/0,""),VLOOKUP(FLOOR($B73,1),'APS Tubes by Date IMPORT'!$B$2:$J259,1,FALSE)),"")</f>
        <v>44875</v>
      </c>
      <c r="BM73" s="83">
        <f>IF(ISBLANK($BL73),IFERROR(0/0,""),VLOOKUP(FLOOR($B73,1),'APS Tubes by Date IMPORT'!$B$2:$J259,2,FALSE))</f>
        <v>9</v>
      </c>
      <c r="BN73" s="114"/>
      <c r="BO73" s="83" t="str">
        <f>VLOOKUP(FLOOR($B73,1),'APS Tubes by Date IMPORT'!$B73:$I259,6,FALSE)</f>
        <v>#N/A</v>
      </c>
      <c r="BP73" s="83">
        <v>7.0</v>
      </c>
      <c r="BQ73" s="193">
        <f t="shared" si="17"/>
        <v>-2</v>
      </c>
      <c r="BR73" s="131">
        <v>3.0</v>
      </c>
      <c r="BS73" s="76" t="b">
        <f t="shared" si="18"/>
        <v>1</v>
      </c>
      <c r="BT73" s="194" t="str">
        <f t="shared" si="19"/>
        <v>Delete NULL</v>
      </c>
      <c r="BU73" s="195"/>
      <c r="BV73" s="195"/>
      <c r="BW73" s="195"/>
      <c r="BX73" s="195"/>
    </row>
    <row r="74">
      <c r="A74" s="18" t="str">
        <f>CONCATENATE("RUN-",'Process Ref'!$A$1,"_",TEXT(U74,"YYYY-MM-DD"),"_RFR-",TEXT(AR74,"000"),IF(EXACT(W74,"Initial"),"",CONCATENATE("_",W74)))</f>
        <v>RUN-ABRM_2022-11-11_RFR-073</v>
      </c>
      <c r="B74" s="168">
        <v>44876.36855324074</v>
      </c>
      <c r="C74" s="110"/>
      <c r="D74" s="110" t="s">
        <v>313</v>
      </c>
      <c r="E74" s="169">
        <v>5.0</v>
      </c>
      <c r="F74" s="110" t="s">
        <v>618</v>
      </c>
      <c r="G74" s="170" t="s">
        <v>619</v>
      </c>
      <c r="H74" s="170" t="s">
        <v>620</v>
      </c>
      <c r="I74" s="170" t="s">
        <v>621</v>
      </c>
      <c r="J74" s="172"/>
      <c r="K74" s="173" t="s">
        <v>515</v>
      </c>
      <c r="L74" s="131"/>
      <c r="M74" s="174"/>
      <c r="N74" s="174"/>
      <c r="O74" s="175"/>
      <c r="P74" s="118" t="b">
        <v>0</v>
      </c>
      <c r="Q74" s="176" t="b">
        <v>0</v>
      </c>
      <c r="R74" s="55"/>
      <c r="S74" s="118" t="b">
        <v>0</v>
      </c>
      <c r="T74" s="177" t="b">
        <v>1</v>
      </c>
      <c r="U74" s="178">
        <v>44876.0</v>
      </c>
      <c r="V74" s="179">
        <v>0.4027777777777778</v>
      </c>
      <c r="W74" s="110" t="s">
        <v>320</v>
      </c>
      <c r="X74" s="203" t="s">
        <v>622</v>
      </c>
      <c r="Y74" s="118" t="b">
        <v>0</v>
      </c>
      <c r="Z74" s="169">
        <v>7.0</v>
      </c>
      <c r="AA74" s="196">
        <f t="shared" si="1"/>
        <v>2</v>
      </c>
      <c r="AB74" s="197" t="b">
        <f t="shared" si="2"/>
        <v>0</v>
      </c>
      <c r="AC74" s="169">
        <v>5.0</v>
      </c>
      <c r="AD74" s="169">
        <v>0.0</v>
      </c>
      <c r="AE74" s="169">
        <v>0.0</v>
      </c>
      <c r="AF74" s="169">
        <v>0.0</v>
      </c>
      <c r="AG74" s="169">
        <v>0.0</v>
      </c>
      <c r="AH74" s="169">
        <v>0.0</v>
      </c>
      <c r="AI74" s="169">
        <v>0.0</v>
      </c>
      <c r="AJ74" s="182" t="b">
        <v>0</v>
      </c>
      <c r="AK74" s="183">
        <v>5.0</v>
      </c>
      <c r="AL74" s="169">
        <v>0.0</v>
      </c>
      <c r="AM74" s="169">
        <v>0.0</v>
      </c>
      <c r="AN74" s="198" t="str">
        <f>IFNA(VLOOKUP($A74,'Tube Reactions'!$J$2:$K259,2,FALSE),"")</f>
        <v/>
      </c>
      <c r="AO74" s="199" t="str">
        <f t="shared" si="20"/>
        <v/>
      </c>
      <c r="AP74" s="186" t="str">
        <f t="shared" si="36"/>
        <v/>
      </c>
      <c r="AQ74" s="187" t="b">
        <f t="shared" si="5"/>
        <v>1</v>
      </c>
      <c r="AR74" s="188">
        <v>73.0</v>
      </c>
      <c r="AS74" s="189"/>
      <c r="AT74" s="55"/>
      <c r="AU74" s="110" t="s">
        <v>560</v>
      </c>
      <c r="AV74" s="169">
        <v>7.0</v>
      </c>
      <c r="AW74" s="118" t="b">
        <v>1</v>
      </c>
      <c r="AX74" s="190" t="b">
        <f t="shared" si="40"/>
        <v>1</v>
      </c>
      <c r="AY74" s="48">
        <f t="shared" si="33"/>
        <v>2</v>
      </c>
      <c r="BA74" s="191" t="b">
        <v>0</v>
      </c>
      <c r="BB74" s="18" t="str">
        <f t="shared" si="8"/>
        <v/>
      </c>
      <c r="BC74" s="18" t="str">
        <f t="shared" si="41"/>
        <v/>
      </c>
      <c r="BD74" s="48" t="str">
        <f t="shared" si="42"/>
        <v/>
      </c>
      <c r="BE74" s="192"/>
      <c r="BF74" s="76">
        <f t="shared" si="11"/>
        <v>44876</v>
      </c>
      <c r="BG74" s="114" t="str">
        <f t="shared" si="12"/>
        <v>RUN-ABRM_2022-11-11_RFR-073</v>
      </c>
      <c r="BH74" s="83">
        <f t="shared" si="13"/>
        <v>5</v>
      </c>
      <c r="BI74" s="83">
        <f t="shared" si="14"/>
        <v>5</v>
      </c>
      <c r="BJ74" s="83">
        <f t="shared" si="15"/>
        <v>5</v>
      </c>
      <c r="BK74" s="83">
        <f t="shared" si="16"/>
        <v>0</v>
      </c>
      <c r="BL74" s="200">
        <f>IFNA(IF(VLOOKUP(FLOOR($B74,1),'APS Tubes by Date IMPORT'!$B$2:$J259,1,FALSE)=FLOOR($BL73,1),IFERROR(0/0,""),VLOOKUP(FLOOR($B74,1),'APS Tubes by Date IMPORT'!$B$2:$J259,1,FALSE)),"")</f>
        <v>44876</v>
      </c>
      <c r="BM74" s="83">
        <f>IF(ISBLANK($BL74),IFERROR(0/0,""),VLOOKUP(FLOOR($B74,1),'APS Tubes by Date IMPORT'!$B$2:$J259,2,FALSE))</f>
        <v>5</v>
      </c>
      <c r="BN74" s="114"/>
      <c r="BO74" s="83" t="str">
        <f>VLOOKUP(FLOOR($B74,1),'APS Tubes by Date IMPORT'!$B74:$I259,6,FALSE)</f>
        <v>#N/A</v>
      </c>
      <c r="BP74" s="83">
        <v>7.0</v>
      </c>
      <c r="BQ74" s="193">
        <f t="shared" si="17"/>
        <v>2</v>
      </c>
      <c r="BR74" s="131">
        <v>3.0</v>
      </c>
      <c r="BS74" s="76" t="b">
        <f t="shared" si="18"/>
        <v>1</v>
      </c>
      <c r="BT74" s="194" t="str">
        <f t="shared" si="19"/>
        <v>Delete NULL</v>
      </c>
      <c r="BU74" s="195"/>
      <c r="BV74" s="195"/>
      <c r="BW74" s="195"/>
      <c r="BX74" s="195"/>
    </row>
    <row r="75">
      <c r="A75" s="18" t="str">
        <f>CONCATENATE("RUN-",'Process Ref'!$A$1,"_",TEXT(U75,"YYYY-MM-DD"),"_RFR-",TEXT(AR75,"000"),IF(EXACT(W75,"Initial"),"",CONCATENATE("_",W75)))</f>
        <v>RUN-ABRM_2022-11-11_RFR-074_Re-run</v>
      </c>
      <c r="B75" s="168">
        <v>44876.401979166665</v>
      </c>
      <c r="C75" s="110"/>
      <c r="D75" s="110" t="s">
        <v>313</v>
      </c>
      <c r="E75" s="169">
        <v>5.0</v>
      </c>
      <c r="F75" s="110" t="s">
        <v>618</v>
      </c>
      <c r="G75" s="170" t="s">
        <v>623</v>
      </c>
      <c r="H75" s="170" t="s">
        <v>624</v>
      </c>
      <c r="I75" s="170" t="s">
        <v>625</v>
      </c>
      <c r="J75" s="172"/>
      <c r="K75" s="173" t="s">
        <v>626</v>
      </c>
      <c r="L75" s="131"/>
      <c r="M75" s="174"/>
      <c r="N75" s="174"/>
      <c r="O75" s="175"/>
      <c r="P75" s="118" t="b">
        <v>0</v>
      </c>
      <c r="Q75" s="176" t="b">
        <v>0</v>
      </c>
      <c r="R75" s="55"/>
      <c r="S75" s="118" t="b">
        <v>0</v>
      </c>
      <c r="T75" s="177" t="b">
        <v>1</v>
      </c>
      <c r="U75" s="178">
        <v>44876.0</v>
      </c>
      <c r="V75" s="179">
        <v>0.4513888888888889</v>
      </c>
      <c r="W75" s="110" t="s">
        <v>339</v>
      </c>
      <c r="X75" s="203" t="s">
        <v>627</v>
      </c>
      <c r="Y75" s="118" t="b">
        <v>0</v>
      </c>
      <c r="Z75" s="169">
        <v>5.0</v>
      </c>
      <c r="AA75" s="196">
        <f t="shared" si="1"/>
        <v>0</v>
      </c>
      <c r="AB75" s="197" t="b">
        <f t="shared" si="2"/>
        <v>1</v>
      </c>
      <c r="AC75" s="169">
        <v>3.0</v>
      </c>
      <c r="AD75" s="169">
        <v>0.0</v>
      </c>
      <c r="AE75" s="169">
        <v>0.0</v>
      </c>
      <c r="AF75" s="169">
        <v>0.0</v>
      </c>
      <c r="AG75" s="169">
        <v>0.0</v>
      </c>
      <c r="AH75" s="169">
        <v>0.0</v>
      </c>
      <c r="AI75" s="169">
        <v>0.0</v>
      </c>
      <c r="AJ75" s="182" t="b">
        <v>0</v>
      </c>
      <c r="AK75" s="183">
        <v>1.0</v>
      </c>
      <c r="AL75" s="169">
        <v>0.0</v>
      </c>
      <c r="AM75" s="172" t="str">
        <f>IF(EXACT(W75,"Initial"),"Audit","")</f>
        <v/>
      </c>
      <c r="AN75" s="198" t="str">
        <f>IFNA(VLOOKUP($A75,'Tube Reactions'!$J$2:$K259,2,FALSE),"")</f>
        <v/>
      </c>
      <c r="AO75" s="199" t="str">
        <f t="shared" si="20"/>
        <v/>
      </c>
      <c r="AP75" s="186" t="str">
        <f t="shared" si="36"/>
        <v/>
      </c>
      <c r="AQ75" s="187" t="b">
        <f t="shared" si="5"/>
        <v>1</v>
      </c>
      <c r="AR75" s="188">
        <v>74.0</v>
      </c>
      <c r="AS75" s="189"/>
      <c r="AT75" s="55"/>
      <c r="AU75" s="110" t="s">
        <v>560</v>
      </c>
      <c r="AV75" s="169">
        <v>5.0</v>
      </c>
      <c r="AW75" s="118"/>
      <c r="AX75" s="190"/>
      <c r="AY75" s="48">
        <f t="shared" si="33"/>
        <v>2</v>
      </c>
      <c r="BA75" s="191" t="b">
        <v>0</v>
      </c>
      <c r="BB75" s="18" t="str">
        <f t="shared" si="8"/>
        <v/>
      </c>
      <c r="BC75" s="18" t="str">
        <f t="shared" si="41"/>
        <v/>
      </c>
      <c r="BD75" s="48" t="str">
        <f t="shared" si="42"/>
        <v/>
      </c>
      <c r="BE75" s="192"/>
      <c r="BF75" s="76" t="str">
        <f t="shared" si="11"/>
        <v/>
      </c>
      <c r="BG75" s="114" t="str">
        <f t="shared" si="12"/>
        <v/>
      </c>
      <c r="BH75" s="83" t="str">
        <f t="shared" si="13"/>
        <v/>
      </c>
      <c r="BI75" s="83" t="str">
        <f t="shared" si="14"/>
        <v/>
      </c>
      <c r="BJ75" s="83" t="str">
        <f t="shared" si="15"/>
        <v/>
      </c>
      <c r="BK75" s="83" t="str">
        <f t="shared" si="16"/>
        <v/>
      </c>
      <c r="BL75" s="200" t="str">
        <f>IFNA(IF(VLOOKUP(FLOOR($B75,1),'APS Tubes by Date IMPORT'!$B$2:$J259,1,FALSE)=FLOOR($BL74,1),IFERROR(0/0,""),VLOOKUP(FLOOR($B75,1),'APS Tubes by Date IMPORT'!$B$2:$J259,1,FALSE)),"")</f>
        <v/>
      </c>
      <c r="BM75" s="83" t="str">
        <f>IF(ISBLANK($BL75),IFERROR(0/0,""),VLOOKUP(FLOOR($B75,1),'APS Tubes by Date IMPORT'!$B$2:$J259,2,FALSE))</f>
        <v/>
      </c>
      <c r="BN75" s="114"/>
      <c r="BO75" s="83" t="str">
        <f>VLOOKUP(FLOOR($B75,1),'APS Tubes by Date IMPORT'!$B75:$I259,6,FALSE)</f>
        <v>#N/A</v>
      </c>
      <c r="BP75" s="83">
        <v>7.0</v>
      </c>
      <c r="BQ75" s="193">
        <f t="shared" si="17"/>
        <v>7</v>
      </c>
      <c r="BR75" s="131">
        <v>3.0</v>
      </c>
      <c r="BS75" s="76" t="b">
        <f t="shared" si="18"/>
        <v>1</v>
      </c>
      <c r="BT75" s="194" t="str">
        <f t="shared" si="19"/>
        <v>Delete NULL</v>
      </c>
      <c r="BU75" s="195"/>
      <c r="BV75" s="195"/>
      <c r="BW75" s="195"/>
      <c r="BX75" s="195"/>
    </row>
    <row r="76">
      <c r="A76" s="18" t="str">
        <f>CONCATENATE("RUN-",'Process Ref'!$A$1,"_",TEXT(U76,"YYYY-MM-DD"),"_RFR-",TEXT(AR76,"000"),IF(EXACT(W76,"Initial"),"",CONCATENATE("_",W76)))</f>
        <v>RUN-ABRM_2022-11-14_RFR-075</v>
      </c>
      <c r="B76" s="168">
        <v>44879.408842592595</v>
      </c>
      <c r="C76" s="110"/>
      <c r="D76" s="110" t="s">
        <v>313</v>
      </c>
      <c r="E76" s="169">
        <v>8.0</v>
      </c>
      <c r="F76" s="110" t="s">
        <v>628</v>
      </c>
      <c r="G76" s="170" t="s">
        <v>629</v>
      </c>
      <c r="H76" s="170" t="s">
        <v>630</v>
      </c>
      <c r="I76" s="170" t="s">
        <v>631</v>
      </c>
      <c r="J76" s="169">
        <v>0.0</v>
      </c>
      <c r="K76" s="204"/>
      <c r="L76" s="131"/>
      <c r="M76" s="174"/>
      <c r="N76" s="174"/>
      <c r="O76" s="175"/>
      <c r="P76" s="118" t="b">
        <v>0</v>
      </c>
      <c r="Q76" s="176" t="b">
        <v>0</v>
      </c>
      <c r="R76" s="55"/>
      <c r="S76" s="118" t="b">
        <v>0</v>
      </c>
      <c r="T76" s="177" t="b">
        <v>0</v>
      </c>
      <c r="U76" s="178">
        <v>44879.0</v>
      </c>
      <c r="V76" s="179">
        <v>0.42569444444444443</v>
      </c>
      <c r="W76" s="110" t="s">
        <v>320</v>
      </c>
      <c r="X76" s="180"/>
      <c r="Y76" s="118" t="b">
        <v>0</v>
      </c>
      <c r="Z76" s="169">
        <v>10.0</v>
      </c>
      <c r="AA76" s="196">
        <f t="shared" si="1"/>
        <v>2</v>
      </c>
      <c r="AB76" s="197" t="b">
        <f t="shared" si="2"/>
        <v>0</v>
      </c>
      <c r="AC76" s="169">
        <v>8.0</v>
      </c>
      <c r="AD76" s="169">
        <v>0.0</v>
      </c>
      <c r="AE76" s="169">
        <v>0.0</v>
      </c>
      <c r="AF76" s="169">
        <v>0.0</v>
      </c>
      <c r="AG76" s="169">
        <v>0.0</v>
      </c>
      <c r="AH76" s="169">
        <v>0.0</v>
      </c>
      <c r="AI76" s="169">
        <v>0.0</v>
      </c>
      <c r="AJ76" s="182" t="b">
        <v>0</v>
      </c>
      <c r="AK76" s="183">
        <v>8.0</v>
      </c>
      <c r="AL76" s="169">
        <v>0.0</v>
      </c>
      <c r="AM76" s="169">
        <v>0.0</v>
      </c>
      <c r="AN76" s="198" t="str">
        <f>IFNA(VLOOKUP($A76,'Tube Reactions'!$J$2:$K259,2,FALSE),"")</f>
        <v/>
      </c>
      <c r="AO76" s="199" t="str">
        <f t="shared" si="20"/>
        <v/>
      </c>
      <c r="AP76" s="186" t="str">
        <f t="shared" si="36"/>
        <v/>
      </c>
      <c r="AQ76" s="187" t="b">
        <f t="shared" si="5"/>
        <v>1</v>
      </c>
      <c r="AR76" s="188">
        <v>75.0</v>
      </c>
      <c r="AS76" s="189"/>
      <c r="AT76" s="55"/>
      <c r="AU76" s="110" t="s">
        <v>560</v>
      </c>
      <c r="AV76" s="169">
        <v>10.0</v>
      </c>
      <c r="AW76" s="118" t="b">
        <v>1</v>
      </c>
      <c r="AX76" s="190" t="b">
        <f t="shared" ref="AX76:AX77" si="43">IF(OR(AND(AL76=0,AW76),AND(AL76&lt;&gt;0,NOT(AW76))),TRUE,FALSE)</f>
        <v>1</v>
      </c>
      <c r="AY76" s="48">
        <f t="shared" si="33"/>
        <v>2</v>
      </c>
      <c r="BA76" s="191" t="b">
        <v>1</v>
      </c>
      <c r="BB76" s="18" t="b">
        <f t="shared" si="8"/>
        <v>1</v>
      </c>
      <c r="BC76" s="18" t="b">
        <f t="shared" si="41"/>
        <v>1</v>
      </c>
      <c r="BD76" s="48">
        <f t="shared" si="42"/>
        <v>8</v>
      </c>
      <c r="BE76" s="192"/>
      <c r="BF76" s="76">
        <f t="shared" si="11"/>
        <v>44879</v>
      </c>
      <c r="BG76" s="114" t="str">
        <f t="shared" si="12"/>
        <v>RUN-ABRM_2022-11-14_RFR-075</v>
      </c>
      <c r="BH76" s="83">
        <f t="shared" si="13"/>
        <v>8</v>
      </c>
      <c r="BI76" s="83">
        <f t="shared" si="14"/>
        <v>8</v>
      </c>
      <c r="BJ76" s="83">
        <f t="shared" si="15"/>
        <v>8</v>
      </c>
      <c r="BK76" s="83">
        <f t="shared" si="16"/>
        <v>0</v>
      </c>
      <c r="BL76" s="200">
        <f>IFNA(IF(VLOOKUP(FLOOR($B76,1),'APS Tubes by Date IMPORT'!$B$2:$J259,1,FALSE)=FLOOR($BL75,1),IFERROR(0/0,""),VLOOKUP(FLOOR($B76,1),'APS Tubes by Date IMPORT'!$B$2:$J259,1,FALSE)),"")</f>
        <v>44879</v>
      </c>
      <c r="BM76" s="83">
        <f>IF(ISBLANK($BL76),IFERROR(0/0,""),VLOOKUP(FLOOR($B76,1),'APS Tubes by Date IMPORT'!$B$2:$J259,2,FALSE))</f>
        <v>8</v>
      </c>
      <c r="BN76" s="114"/>
      <c r="BO76" s="83" t="str">
        <f>VLOOKUP(FLOOR($B76,1),'APS Tubes by Date IMPORT'!$B76:$I259,6,FALSE)</f>
        <v>#N/A</v>
      </c>
      <c r="BP76" s="83">
        <v>7.0</v>
      </c>
      <c r="BQ76" s="193">
        <f t="shared" si="17"/>
        <v>-1</v>
      </c>
      <c r="BR76" s="131">
        <v>3.0</v>
      </c>
      <c r="BS76" s="76" t="b">
        <f t="shared" si="18"/>
        <v>1</v>
      </c>
      <c r="BT76" s="194" t="str">
        <f t="shared" si="19"/>
        <v>Delete NULL</v>
      </c>
      <c r="BU76" s="195"/>
      <c r="BV76" s="195"/>
      <c r="BW76" s="195"/>
      <c r="BX76" s="195"/>
    </row>
    <row r="77">
      <c r="A77" s="18" t="str">
        <f>CONCATENATE("RUN-",'Process Ref'!$A$1,"_",TEXT(U77,"YYYY-MM-DD"),"_RFR-",TEXT(AR77,"000"),IF(EXACT(W77,"Initial"),"",CONCATENATE("_",W77)))</f>
        <v>RUN-ABRM_2022-11-15_RFR-076</v>
      </c>
      <c r="B77" s="168">
        <v>44880.41762731481</v>
      </c>
      <c r="C77" s="110"/>
      <c r="D77" s="110" t="s">
        <v>313</v>
      </c>
      <c r="E77" s="169">
        <v>8.0</v>
      </c>
      <c r="F77" s="110" t="s">
        <v>632</v>
      </c>
      <c r="G77" s="170" t="s">
        <v>633</v>
      </c>
      <c r="H77" s="170" t="s">
        <v>634</v>
      </c>
      <c r="I77" s="170" t="s">
        <v>635</v>
      </c>
      <c r="J77" s="169">
        <v>2.0</v>
      </c>
      <c r="K77" s="173" t="s">
        <v>636</v>
      </c>
      <c r="L77" s="131"/>
      <c r="M77" s="174"/>
      <c r="N77" s="209">
        <v>2.6</v>
      </c>
      <c r="O77" s="210"/>
      <c r="P77" s="118" t="b">
        <v>1</v>
      </c>
      <c r="Q77" s="176" t="b">
        <v>0</v>
      </c>
      <c r="R77" s="55"/>
      <c r="S77" s="118" t="b">
        <v>0</v>
      </c>
      <c r="T77" s="177" t="b">
        <v>1</v>
      </c>
      <c r="U77" s="178">
        <v>44880.0</v>
      </c>
      <c r="V77" s="179">
        <v>0.4465277777777778</v>
      </c>
      <c r="W77" s="110" t="s">
        <v>320</v>
      </c>
      <c r="X77" s="180"/>
      <c r="Y77" s="118" t="b">
        <v>1</v>
      </c>
      <c r="Z77" s="169">
        <v>10.0</v>
      </c>
      <c r="AA77" s="196">
        <f t="shared" si="1"/>
        <v>2</v>
      </c>
      <c r="AB77" s="197" t="b">
        <f t="shared" si="2"/>
        <v>0</v>
      </c>
      <c r="AC77" s="169">
        <v>8.0</v>
      </c>
      <c r="AD77" s="169">
        <v>1.0</v>
      </c>
      <c r="AE77" s="169">
        <v>1.0</v>
      </c>
      <c r="AF77" s="169">
        <v>0.0</v>
      </c>
      <c r="AG77" s="169">
        <v>0.0</v>
      </c>
      <c r="AH77" s="169">
        <v>0.0</v>
      </c>
      <c r="AI77" s="169">
        <v>0.0</v>
      </c>
      <c r="AJ77" s="182" t="b">
        <v>0</v>
      </c>
      <c r="AK77" s="183">
        <v>8.0</v>
      </c>
      <c r="AL77" s="169">
        <v>1.1</v>
      </c>
      <c r="AM77" s="169">
        <v>1.0</v>
      </c>
      <c r="AN77" s="198" t="str">
        <f>IFNA(VLOOKUP($A77,'Tube Reactions'!$J$2:$K259,2,FALSE),"")</f>
        <v/>
      </c>
      <c r="AO77" s="199" t="str">
        <f t="shared" si="20"/>
        <v>NOT EQUAL</v>
      </c>
      <c r="AP77" s="186" t="str">
        <f t="shared" si="36"/>
        <v/>
      </c>
      <c r="AQ77" s="187" t="b">
        <f t="shared" si="5"/>
        <v>1</v>
      </c>
      <c r="AR77" s="188">
        <v>76.0</v>
      </c>
      <c r="AS77" s="189"/>
      <c r="AT77" s="55"/>
      <c r="AU77" s="110" t="s">
        <v>560</v>
      </c>
      <c r="AV77" s="169">
        <v>10.0</v>
      </c>
      <c r="AW77" s="118" t="b">
        <v>0</v>
      </c>
      <c r="AX77" s="190" t="b">
        <f t="shared" si="43"/>
        <v>1</v>
      </c>
      <c r="AY77" s="48">
        <f t="shared" si="33"/>
        <v>2</v>
      </c>
      <c r="BA77" s="191" t="b">
        <v>0</v>
      </c>
      <c r="BB77" s="18" t="str">
        <f t="shared" si="8"/>
        <v/>
      </c>
      <c r="BC77" s="18" t="str">
        <f t="shared" si="41"/>
        <v/>
      </c>
      <c r="BD77" s="48" t="str">
        <f t="shared" si="42"/>
        <v/>
      </c>
      <c r="BE77" s="192"/>
      <c r="BF77" s="76">
        <f t="shared" si="11"/>
        <v>44880</v>
      </c>
      <c r="BG77" s="114" t="str">
        <f t="shared" si="12"/>
        <v>RUN-ABRM_2022-11-15_RFR-076</v>
      </c>
      <c r="BH77" s="83">
        <f t="shared" si="13"/>
        <v>8</v>
      </c>
      <c r="BI77" s="83">
        <f t="shared" si="14"/>
        <v>8</v>
      </c>
      <c r="BJ77" s="83">
        <f t="shared" si="15"/>
        <v>8</v>
      </c>
      <c r="BK77" s="83">
        <f t="shared" si="16"/>
        <v>1.1</v>
      </c>
      <c r="BL77" s="200">
        <f>IFNA(IF(VLOOKUP(FLOOR($B77,1),'APS Tubes by Date IMPORT'!$B$2:$J259,1,FALSE)=FLOOR($BL76,1),IFERROR(0/0,""),VLOOKUP(FLOOR($B77,1),'APS Tubes by Date IMPORT'!$B$2:$J259,1,FALSE)),"")</f>
        <v>44880</v>
      </c>
      <c r="BM77" s="83">
        <f>IF(ISBLANK($BL77),IFERROR(0/0,""),VLOOKUP(FLOOR($B77,1),'APS Tubes by Date IMPORT'!$B$2:$J259,2,FALSE))</f>
        <v>8</v>
      </c>
      <c r="BN77" s="114"/>
      <c r="BO77" s="83" t="str">
        <f>VLOOKUP(FLOOR($B77,1),'APS Tubes by Date IMPORT'!$B77:$I259,6,FALSE)</f>
        <v>#N/A</v>
      </c>
      <c r="BP77" s="83">
        <v>7.0</v>
      </c>
      <c r="BQ77" s="193">
        <f t="shared" si="17"/>
        <v>-1</v>
      </c>
      <c r="BR77" s="131">
        <v>3.0</v>
      </c>
      <c r="BS77" s="76" t="b">
        <f t="shared" si="18"/>
        <v>1</v>
      </c>
      <c r="BT77" s="194" t="str">
        <f t="shared" si="19"/>
        <v>Delete NULL</v>
      </c>
      <c r="BU77" s="195"/>
      <c r="BV77" s="195"/>
      <c r="BW77" s="195"/>
      <c r="BX77" s="195"/>
    </row>
    <row r="78">
      <c r="A78" s="18" t="str">
        <f>CONCATENATE("RUN-",'Process Ref'!$A$1,"_",TEXT(U78,"YYYY-MM-DD"),"_RFR-",TEXT(AR78,"000"),IF(EXACT(W78,"Initial"),"",CONCATENATE("_",W78)))</f>
        <v>RUN-ABRM_2022-11-15_RFR-077_Re-run</v>
      </c>
      <c r="B78" s="168">
        <v>44880.41984953704</v>
      </c>
      <c r="C78" s="110"/>
      <c r="D78" s="110" t="s">
        <v>313</v>
      </c>
      <c r="E78" s="169">
        <v>2.0</v>
      </c>
      <c r="F78" s="110" t="s">
        <v>632</v>
      </c>
      <c r="G78" s="170" t="s">
        <v>637</v>
      </c>
      <c r="H78" s="170" t="s">
        <v>638</v>
      </c>
      <c r="I78" s="170" t="s">
        <v>639</v>
      </c>
      <c r="J78" s="169">
        <v>0.0</v>
      </c>
      <c r="K78" s="173" t="s">
        <v>640</v>
      </c>
      <c r="L78" s="131"/>
      <c r="M78" s="174"/>
      <c r="N78" s="174"/>
      <c r="O78" s="175"/>
      <c r="P78" s="118" t="b">
        <v>0</v>
      </c>
      <c r="Q78" s="176" t="b">
        <v>0</v>
      </c>
      <c r="R78" s="55"/>
      <c r="S78" s="118" t="b">
        <v>0</v>
      </c>
      <c r="T78" s="177" t="b">
        <v>1</v>
      </c>
      <c r="U78" s="178">
        <v>44880.0</v>
      </c>
      <c r="V78" s="179">
        <v>0.46875</v>
      </c>
      <c r="W78" s="110" t="s">
        <v>339</v>
      </c>
      <c r="X78" s="180"/>
      <c r="Y78" s="118" t="b">
        <v>0</v>
      </c>
      <c r="Z78" s="169">
        <v>8.0</v>
      </c>
      <c r="AA78" s="196">
        <f t="shared" si="1"/>
        <v>6</v>
      </c>
      <c r="AB78" s="197" t="b">
        <f t="shared" si="2"/>
        <v>1</v>
      </c>
      <c r="AC78" s="169">
        <v>6.0</v>
      </c>
      <c r="AD78" s="169">
        <v>0.0</v>
      </c>
      <c r="AE78" s="169">
        <v>0.0</v>
      </c>
      <c r="AF78" s="169">
        <v>0.0</v>
      </c>
      <c r="AG78" s="169">
        <v>0.0</v>
      </c>
      <c r="AH78" s="169">
        <v>0.0</v>
      </c>
      <c r="AI78" s="169">
        <v>0.0</v>
      </c>
      <c r="AJ78" s="182" t="b">
        <v>0</v>
      </c>
      <c r="AK78" s="183">
        <v>2.0</v>
      </c>
      <c r="AL78" s="169">
        <v>0.0</v>
      </c>
      <c r="AM78" s="172" t="str">
        <f>IF(EXACT(W78,"Initial"),"Audit","")</f>
        <v/>
      </c>
      <c r="AN78" s="198" t="str">
        <f>IFNA(VLOOKUP($A78,'Tube Reactions'!$J$2:$K259,2,FALSE),"")</f>
        <v/>
      </c>
      <c r="AO78" s="199" t="str">
        <f t="shared" si="20"/>
        <v/>
      </c>
      <c r="AP78" s="186" t="str">
        <f t="shared" si="36"/>
        <v/>
      </c>
      <c r="AQ78" s="187" t="b">
        <f t="shared" si="5"/>
        <v>1</v>
      </c>
      <c r="AR78" s="188">
        <v>77.0</v>
      </c>
      <c r="AS78" s="189"/>
      <c r="AT78" s="55"/>
      <c r="AU78" s="110" t="s">
        <v>560</v>
      </c>
      <c r="AV78" s="169">
        <v>8.0</v>
      </c>
      <c r="AW78" s="118"/>
      <c r="AX78" s="190"/>
      <c r="AY78" s="48">
        <f t="shared" si="33"/>
        <v>2</v>
      </c>
      <c r="BA78" s="191" t="b">
        <v>0</v>
      </c>
      <c r="BB78" s="18" t="str">
        <f t="shared" si="8"/>
        <v/>
      </c>
      <c r="BC78" s="18" t="str">
        <f t="shared" si="41"/>
        <v/>
      </c>
      <c r="BD78" s="48" t="str">
        <f t="shared" si="42"/>
        <v/>
      </c>
      <c r="BE78" s="192"/>
      <c r="BF78" s="76" t="str">
        <f t="shared" si="11"/>
        <v/>
      </c>
      <c r="BG78" s="114" t="str">
        <f t="shared" si="12"/>
        <v/>
      </c>
      <c r="BH78" s="83" t="str">
        <f t="shared" si="13"/>
        <v/>
      </c>
      <c r="BI78" s="83" t="str">
        <f t="shared" si="14"/>
        <v/>
      </c>
      <c r="BJ78" s="83" t="str">
        <f t="shared" si="15"/>
        <v/>
      </c>
      <c r="BK78" s="83" t="str">
        <f t="shared" si="16"/>
        <v/>
      </c>
      <c r="BL78" s="200" t="str">
        <f>IFNA(IF(VLOOKUP(FLOOR($B78,1),'APS Tubes by Date IMPORT'!$B$2:$J259,1,FALSE)=FLOOR($BL77,1),IFERROR(0/0,""),VLOOKUP(FLOOR($B78,1),'APS Tubes by Date IMPORT'!$B$2:$J259,1,FALSE)),"")</f>
        <v/>
      </c>
      <c r="BM78" s="83" t="str">
        <f>IF(ISBLANK($BL78),IFERROR(0/0,""),VLOOKUP(FLOOR($B78,1),'APS Tubes by Date IMPORT'!$B$2:$J259,2,FALSE))</f>
        <v/>
      </c>
      <c r="BN78" s="114"/>
      <c r="BO78" s="83" t="str">
        <f>VLOOKUP(FLOOR($B78,1),'APS Tubes by Date IMPORT'!$B78:$I259,6,FALSE)</f>
        <v>#N/A</v>
      </c>
      <c r="BP78" s="83">
        <v>7.0</v>
      </c>
      <c r="BQ78" s="193">
        <f t="shared" si="17"/>
        <v>7</v>
      </c>
      <c r="BR78" s="131">
        <v>3.0</v>
      </c>
      <c r="BS78" s="76" t="b">
        <f t="shared" si="18"/>
        <v>1</v>
      </c>
      <c r="BT78" s="194" t="str">
        <f t="shared" si="19"/>
        <v>Delete NULL</v>
      </c>
      <c r="BU78" s="195"/>
      <c r="BV78" s="195"/>
      <c r="BW78" s="195"/>
      <c r="BX78" s="195"/>
    </row>
    <row r="79">
      <c r="A79" s="18" t="str">
        <f>CONCATENATE("RUN-",'Process Ref'!$A$1,"_",TEXT(U79,"YYYY-MM-DD"),"_RFR-",TEXT(AR79,"000"),IF(EXACT(W79,"Initial"),"",CONCATENATE("_",W79)))</f>
        <v>RUN-ABRM_2022-11-16_RFR-078</v>
      </c>
      <c r="B79" s="168">
        <v>44881.404502314814</v>
      </c>
      <c r="C79" s="110"/>
      <c r="D79" s="110" t="s">
        <v>313</v>
      </c>
      <c r="E79" s="169">
        <v>11.0</v>
      </c>
      <c r="F79" s="110" t="s">
        <v>641</v>
      </c>
      <c r="G79" s="170" t="s">
        <v>642</v>
      </c>
      <c r="H79" s="170" t="s">
        <v>643</v>
      </c>
      <c r="I79" s="170" t="s">
        <v>644</v>
      </c>
      <c r="J79" s="172"/>
      <c r="K79" s="204"/>
      <c r="L79" s="131"/>
      <c r="M79" s="174"/>
      <c r="N79" s="174"/>
      <c r="O79" s="175"/>
      <c r="P79" s="118" t="b">
        <v>0</v>
      </c>
      <c r="Q79" s="176" t="b">
        <v>0</v>
      </c>
      <c r="R79" s="55"/>
      <c r="S79" s="118" t="b">
        <v>0</v>
      </c>
      <c r="T79" s="177" t="b">
        <v>0</v>
      </c>
      <c r="U79" s="178">
        <v>44881.0</v>
      </c>
      <c r="V79" s="179">
        <v>0.4375</v>
      </c>
      <c r="W79" s="110" t="s">
        <v>320</v>
      </c>
      <c r="X79" s="180"/>
      <c r="Y79" s="118" t="b">
        <v>0</v>
      </c>
      <c r="Z79" s="169">
        <v>11.0</v>
      </c>
      <c r="AA79" s="196">
        <f t="shared" si="1"/>
        <v>0</v>
      </c>
      <c r="AB79" s="197" t="b">
        <f t="shared" si="2"/>
        <v>1</v>
      </c>
      <c r="AC79" s="169">
        <v>9.0</v>
      </c>
      <c r="AD79" s="169">
        <v>0.0</v>
      </c>
      <c r="AE79" s="169">
        <v>0.0</v>
      </c>
      <c r="AF79" s="169">
        <v>0.0</v>
      </c>
      <c r="AG79" s="169">
        <v>0.0</v>
      </c>
      <c r="AH79" s="169">
        <v>0.0</v>
      </c>
      <c r="AI79" s="169">
        <v>0.0</v>
      </c>
      <c r="AJ79" s="182" t="b">
        <v>0</v>
      </c>
      <c r="AK79" s="183">
        <v>9.0</v>
      </c>
      <c r="AL79" s="169">
        <v>0.0</v>
      </c>
      <c r="AM79" s="169">
        <v>0.0</v>
      </c>
      <c r="AN79" s="198" t="str">
        <f>IFNA(VLOOKUP($A79,'Tube Reactions'!$J$2:$K259,2,FALSE),"")</f>
        <v/>
      </c>
      <c r="AO79" s="199" t="str">
        <f t="shared" si="20"/>
        <v/>
      </c>
      <c r="AP79" s="186" t="str">
        <f t="shared" si="36"/>
        <v/>
      </c>
      <c r="AQ79" s="187" t="b">
        <f t="shared" si="5"/>
        <v>1</v>
      </c>
      <c r="AR79" s="188">
        <v>78.0</v>
      </c>
      <c r="AS79" s="189"/>
      <c r="AT79" s="55"/>
      <c r="AU79" s="110" t="s">
        <v>560</v>
      </c>
      <c r="AV79" s="169">
        <v>11.0</v>
      </c>
      <c r="AW79" s="118" t="b">
        <v>1</v>
      </c>
      <c r="AX79" s="190" t="b">
        <f>IF(OR(AND(AL79=0,AW79),AND(AL79&lt;&gt;0,NOT(AW79))),TRUE,FALSE)</f>
        <v>1</v>
      </c>
      <c r="AY79" s="48">
        <f t="shared" si="33"/>
        <v>2</v>
      </c>
      <c r="BA79" s="191" t="b">
        <v>1</v>
      </c>
      <c r="BB79" s="18" t="b">
        <f t="shared" si="8"/>
        <v>1</v>
      </c>
      <c r="BC79" s="18" t="b">
        <f t="shared" si="41"/>
        <v>1</v>
      </c>
      <c r="BD79" s="48">
        <f t="shared" si="42"/>
        <v>9</v>
      </c>
      <c r="BE79" s="192"/>
      <c r="BF79" s="76">
        <f t="shared" si="11"/>
        <v>44881</v>
      </c>
      <c r="BG79" s="114" t="str">
        <f t="shared" si="12"/>
        <v>RUN-ABRM_2022-11-16_RFR-078</v>
      </c>
      <c r="BH79" s="83">
        <f t="shared" si="13"/>
        <v>11</v>
      </c>
      <c r="BI79" s="83">
        <f t="shared" si="14"/>
        <v>9</v>
      </c>
      <c r="BJ79" s="83">
        <f t="shared" si="15"/>
        <v>9</v>
      </c>
      <c r="BK79" s="83">
        <f t="shared" si="16"/>
        <v>0</v>
      </c>
      <c r="BL79" s="200">
        <f>IFNA(IF(VLOOKUP(FLOOR($B79,1),'APS Tubes by Date IMPORT'!$B$2:$J259,1,FALSE)=FLOOR($BL78,1),IFERROR(0/0,""),VLOOKUP(FLOOR($B79,1),'APS Tubes by Date IMPORT'!$B$2:$J259,1,FALSE)),"")</f>
        <v>44881</v>
      </c>
      <c r="BM79" s="83">
        <f>IF(ISBLANK($BL79),IFERROR(0/0,""),VLOOKUP(FLOOR($B79,1),'APS Tubes by Date IMPORT'!$B$2:$J259,2,FALSE))</f>
        <v>9</v>
      </c>
      <c r="BN79" s="114"/>
      <c r="BO79" s="83" t="str">
        <f>VLOOKUP(FLOOR($B79,1),'APS Tubes by Date IMPORT'!$B79:$I259,6,FALSE)</f>
        <v>#N/A</v>
      </c>
      <c r="BP79" s="83">
        <v>7.0</v>
      </c>
      <c r="BQ79" s="193">
        <f t="shared" si="17"/>
        <v>-2</v>
      </c>
      <c r="BR79" s="131">
        <v>3.0</v>
      </c>
      <c r="BS79" s="76" t="b">
        <f t="shared" si="18"/>
        <v>1</v>
      </c>
      <c r="BT79" s="194" t="str">
        <f t="shared" si="19"/>
        <v>Delete NULL</v>
      </c>
      <c r="BU79" s="195"/>
      <c r="BV79" s="195"/>
      <c r="BW79" s="195"/>
      <c r="BX79" s="195"/>
    </row>
    <row r="80">
      <c r="A80" s="18" t="str">
        <f>CONCATENATE("RUN-",'Process Ref'!$A$1,"_",TEXT(U80,"YYYY-MM-DD"),"_RFR-",TEXT(AR80,"000"),IF(EXACT(W80,"Initial"),"",CONCATENATE("_",W80)))</f>
        <v>RUN-ABRM_2022-11-17_RFR-079</v>
      </c>
      <c r="B80" s="168">
        <v>44882.4312037037</v>
      </c>
      <c r="C80" s="110"/>
      <c r="D80" s="110" t="s">
        <v>313</v>
      </c>
      <c r="E80" s="169">
        <v>7.0</v>
      </c>
      <c r="F80" s="110" t="s">
        <v>645</v>
      </c>
      <c r="G80" s="170" t="s">
        <v>646</v>
      </c>
      <c r="H80" s="170" t="s">
        <v>647</v>
      </c>
      <c r="I80" s="170" t="s">
        <v>648</v>
      </c>
      <c r="J80" s="169">
        <v>1.0</v>
      </c>
      <c r="K80" s="201" t="s">
        <v>649</v>
      </c>
      <c r="L80" s="131"/>
      <c r="M80" s="174"/>
      <c r="N80" s="174"/>
      <c r="O80" s="175"/>
      <c r="P80" s="118" t="b">
        <v>0</v>
      </c>
      <c r="Q80" s="176" t="b">
        <v>0</v>
      </c>
      <c r="R80" s="55"/>
      <c r="S80" s="118" t="b">
        <v>0</v>
      </c>
      <c r="T80" s="177" t="b">
        <v>1</v>
      </c>
      <c r="U80" s="178">
        <v>44882.0</v>
      </c>
      <c r="V80" s="179">
        <v>0.4270833333333333</v>
      </c>
      <c r="W80" s="110" t="s">
        <v>320</v>
      </c>
      <c r="X80" s="180"/>
      <c r="Y80" s="118" t="b">
        <v>1</v>
      </c>
      <c r="Z80" s="169">
        <v>9.0</v>
      </c>
      <c r="AA80" s="196">
        <f t="shared" si="1"/>
        <v>2</v>
      </c>
      <c r="AB80" s="197" t="b">
        <f t="shared" si="2"/>
        <v>0</v>
      </c>
      <c r="AC80" s="169">
        <v>7.0</v>
      </c>
      <c r="AD80" s="169">
        <v>1.0</v>
      </c>
      <c r="AE80" s="169">
        <v>1.0</v>
      </c>
      <c r="AF80" s="169">
        <v>0.0</v>
      </c>
      <c r="AG80" s="169">
        <v>0.0</v>
      </c>
      <c r="AH80" s="169">
        <v>0.0</v>
      </c>
      <c r="AI80" s="169">
        <v>0.0</v>
      </c>
      <c r="AJ80" s="182" t="b">
        <v>0</v>
      </c>
      <c r="AK80" s="183">
        <v>7.0</v>
      </c>
      <c r="AL80" s="211">
        <v>1.1</v>
      </c>
      <c r="AM80" s="169">
        <v>1.0</v>
      </c>
      <c r="AN80" s="198" t="str">
        <f>IFNA(VLOOKUP($A80,'Tube Reactions'!$J$2:$K259,2,FALSE),"")</f>
        <v/>
      </c>
      <c r="AO80" s="199" t="str">
        <f t="shared" si="20"/>
        <v>NOT EQUAL</v>
      </c>
      <c r="AP80" s="186" t="str">
        <f t="shared" si="36"/>
        <v/>
      </c>
      <c r="AQ80" s="187" t="b">
        <f t="shared" si="5"/>
        <v>1</v>
      </c>
      <c r="AR80" s="188">
        <v>79.0</v>
      </c>
      <c r="AS80" s="189"/>
      <c r="AT80" s="55"/>
      <c r="AU80" s="110" t="s">
        <v>560</v>
      </c>
      <c r="AV80" s="169">
        <v>9.0</v>
      </c>
      <c r="AW80" s="118" t="b">
        <v>1</v>
      </c>
      <c r="AX80" s="212" t="s">
        <v>377</v>
      </c>
      <c r="AY80" s="48">
        <f t="shared" si="33"/>
        <v>2</v>
      </c>
      <c r="BA80" s="191" t="b">
        <v>0</v>
      </c>
      <c r="BB80" s="18" t="str">
        <f t="shared" si="8"/>
        <v/>
      </c>
      <c r="BC80" s="18" t="str">
        <f t="shared" si="41"/>
        <v/>
      </c>
      <c r="BD80" s="48" t="str">
        <f t="shared" si="42"/>
        <v/>
      </c>
      <c r="BE80" s="192"/>
      <c r="BF80" s="76">
        <f t="shared" si="11"/>
        <v>44882</v>
      </c>
      <c r="BG80" s="114" t="str">
        <f t="shared" si="12"/>
        <v>RUN-ABRM_2022-11-17_RFR-079</v>
      </c>
      <c r="BH80" s="83">
        <f t="shared" si="13"/>
        <v>7</v>
      </c>
      <c r="BI80" s="83">
        <f t="shared" si="14"/>
        <v>7</v>
      </c>
      <c r="BJ80" s="83">
        <f t="shared" si="15"/>
        <v>7</v>
      </c>
      <c r="BK80" s="83">
        <f t="shared" si="16"/>
        <v>1.1</v>
      </c>
      <c r="BL80" s="200">
        <f>IFNA(IF(VLOOKUP(FLOOR($B80,1),'APS Tubes by Date IMPORT'!$B$2:$J259,1,FALSE)=FLOOR($BL79,1),IFERROR(0/0,""),VLOOKUP(FLOOR($B80,1),'APS Tubes by Date IMPORT'!$B$2:$J259,1,FALSE)),"")</f>
        <v>44882</v>
      </c>
      <c r="BM80" s="83">
        <f>IF(ISBLANK($BL80),IFERROR(0/0,""),VLOOKUP(FLOOR($B80,1),'APS Tubes by Date IMPORT'!$B$2:$J259,2,FALSE))</f>
        <v>5</v>
      </c>
      <c r="BN80" s="114"/>
      <c r="BO80" s="83" t="str">
        <f>VLOOKUP(FLOOR($B80,1),'APS Tubes by Date IMPORT'!$B80:$I259,6,FALSE)</f>
        <v>#N/A</v>
      </c>
      <c r="BP80" s="83">
        <v>7.0</v>
      </c>
      <c r="BQ80" s="193">
        <f t="shared" si="17"/>
        <v>2</v>
      </c>
      <c r="BR80" s="131">
        <v>3.0</v>
      </c>
      <c r="BS80" s="76" t="b">
        <f t="shared" si="18"/>
        <v>1</v>
      </c>
      <c r="BT80" s="194" t="str">
        <f t="shared" si="19"/>
        <v>Delete NULL</v>
      </c>
      <c r="BU80" s="195"/>
      <c r="BV80" s="195"/>
      <c r="BW80" s="195"/>
      <c r="BX80" s="195"/>
    </row>
    <row r="81">
      <c r="A81" s="18" t="str">
        <f>CONCATENATE("RUN-",'Process Ref'!$A$1,"_",TEXT(U81,"YYYY-MM-DD"),"_RFR-",TEXT(AR81,"000"),IF(EXACT(W81,"Initial"),"",CONCATENATE("_",W81)))</f>
        <v>RUN-ABRM_2022-11-17_RFR-080_Re-run</v>
      </c>
      <c r="B81" s="168">
        <v>44882.43261574074</v>
      </c>
      <c r="C81" s="110"/>
      <c r="D81" s="110" t="s">
        <v>313</v>
      </c>
      <c r="E81" s="169">
        <v>1.0</v>
      </c>
      <c r="F81" s="110" t="s">
        <v>645</v>
      </c>
      <c r="G81" s="170" t="s">
        <v>650</v>
      </c>
      <c r="H81" s="170" t="s">
        <v>651</v>
      </c>
      <c r="I81" s="170" t="s">
        <v>652</v>
      </c>
      <c r="J81" s="172"/>
      <c r="K81" s="173" t="s">
        <v>653</v>
      </c>
      <c r="L81" s="131"/>
      <c r="M81" s="174"/>
      <c r="N81" s="209">
        <v>1.3</v>
      </c>
      <c r="O81" s="210"/>
      <c r="P81" s="118" t="b">
        <v>0</v>
      </c>
      <c r="Q81" s="176" t="b">
        <v>0</v>
      </c>
      <c r="R81" s="55"/>
      <c r="S81" s="118" t="b">
        <v>0</v>
      </c>
      <c r="T81" s="177" t="b">
        <v>1</v>
      </c>
      <c r="U81" s="178">
        <v>44882.0</v>
      </c>
      <c r="V81" s="179">
        <v>0.5097222222222222</v>
      </c>
      <c r="W81" s="110" t="s">
        <v>339</v>
      </c>
      <c r="X81" s="180"/>
      <c r="Y81" s="118" t="b">
        <v>1</v>
      </c>
      <c r="Z81" s="169">
        <v>5.0</v>
      </c>
      <c r="AA81" s="196">
        <f t="shared" si="1"/>
        <v>4</v>
      </c>
      <c r="AB81" s="197" t="b">
        <f t="shared" si="2"/>
        <v>1</v>
      </c>
      <c r="AC81" s="169">
        <v>3.0</v>
      </c>
      <c r="AD81" s="169">
        <v>0.0</v>
      </c>
      <c r="AE81" s="169">
        <v>0.0</v>
      </c>
      <c r="AF81" s="169">
        <v>0.0</v>
      </c>
      <c r="AG81" s="169">
        <v>0.0</v>
      </c>
      <c r="AH81" s="169">
        <v>0.0</v>
      </c>
      <c r="AI81" s="169">
        <v>0.0</v>
      </c>
      <c r="AJ81" s="182" t="b">
        <v>0</v>
      </c>
      <c r="AK81" s="183">
        <v>1.0</v>
      </c>
      <c r="AL81" s="169">
        <v>0.0</v>
      </c>
      <c r="AM81" s="169">
        <v>0.0</v>
      </c>
      <c r="AN81" s="198" t="str">
        <f>IFNA(VLOOKUP($A81,'Tube Reactions'!$J$2:$K259,2,FALSE),"")</f>
        <v/>
      </c>
      <c r="AO81" s="199" t="str">
        <f t="shared" si="20"/>
        <v/>
      </c>
      <c r="AP81" s="186" t="str">
        <f t="shared" si="36"/>
        <v/>
      </c>
      <c r="AQ81" s="187" t="b">
        <f t="shared" si="5"/>
        <v>1</v>
      </c>
      <c r="AR81" s="188">
        <v>80.0</v>
      </c>
      <c r="AS81" s="189"/>
      <c r="AT81" s="55"/>
      <c r="AU81" s="110" t="s">
        <v>560</v>
      </c>
      <c r="AV81" s="169">
        <v>5.0</v>
      </c>
      <c r="AW81" s="118" t="b">
        <v>1</v>
      </c>
      <c r="AX81" s="190" t="b">
        <f t="shared" ref="AX81:AX83" si="44">IF(OR(AND(AL81=0,AW81),AND(AL81&lt;&gt;0,NOT(AW81))),TRUE,FALSE)</f>
        <v>1</v>
      </c>
      <c r="AY81" s="48">
        <f t="shared" si="33"/>
        <v>2</v>
      </c>
      <c r="BA81" s="191" t="b">
        <v>0</v>
      </c>
      <c r="BB81" s="18" t="str">
        <f t="shared" si="8"/>
        <v/>
      </c>
      <c r="BC81" s="18" t="str">
        <f t="shared" si="41"/>
        <v/>
      </c>
      <c r="BD81" s="48" t="str">
        <f t="shared" si="42"/>
        <v/>
      </c>
      <c r="BE81" s="192"/>
      <c r="BF81" s="76" t="str">
        <f t="shared" si="11"/>
        <v/>
      </c>
      <c r="BG81" s="114" t="str">
        <f t="shared" si="12"/>
        <v/>
      </c>
      <c r="BH81" s="83" t="str">
        <f t="shared" si="13"/>
        <v/>
      </c>
      <c r="BI81" s="83" t="str">
        <f t="shared" si="14"/>
        <v/>
      </c>
      <c r="BJ81" s="83" t="str">
        <f t="shared" si="15"/>
        <v/>
      </c>
      <c r="BK81" s="83" t="str">
        <f t="shared" si="16"/>
        <v/>
      </c>
      <c r="BL81" s="200" t="str">
        <f>IFNA(IF(VLOOKUP(FLOOR($B81,1),'APS Tubes by Date IMPORT'!$B$2:$J259,1,FALSE)=FLOOR($BL80,1),IFERROR(0/0,""),VLOOKUP(FLOOR($B81,1),'APS Tubes by Date IMPORT'!$B$2:$J259,1,FALSE)),"")</f>
        <v/>
      </c>
      <c r="BM81" s="83" t="str">
        <f>IF(ISBLANK($BL81),IFERROR(0/0,""),VLOOKUP(FLOOR($B81,1),'APS Tubes by Date IMPORT'!$B$2:$J259,2,FALSE))</f>
        <v/>
      </c>
      <c r="BN81" s="114"/>
      <c r="BO81" s="83" t="str">
        <f>VLOOKUP(FLOOR($B81,1),'APS Tubes by Date IMPORT'!$B81:$I259,6,FALSE)</f>
        <v>#N/A</v>
      </c>
      <c r="BP81" s="83">
        <v>7.0</v>
      </c>
      <c r="BQ81" s="193">
        <f t="shared" si="17"/>
        <v>7</v>
      </c>
      <c r="BR81" s="131">
        <v>3.0</v>
      </c>
      <c r="BS81" s="76" t="b">
        <f t="shared" si="18"/>
        <v>1</v>
      </c>
      <c r="BT81" s="194" t="str">
        <f t="shared" si="19"/>
        <v>Delete NULL</v>
      </c>
      <c r="BU81" s="195"/>
      <c r="BV81" s="195"/>
      <c r="BW81" s="195"/>
      <c r="BX81" s="195"/>
    </row>
    <row r="82">
      <c r="A82" s="18" t="str">
        <f>CONCATENATE("RUN-",'Process Ref'!$A$1,"_",TEXT(U82,"YYYY-MM-DD"),"_RFR-",TEXT(AR82,"000"),IF(EXACT(W82,"Initial"),"",CONCATENATE("_",W82)))</f>
        <v>RUN-ABRM_2022-11-18_RFR-081</v>
      </c>
      <c r="B82" s="168">
        <v>44883.374340277776</v>
      </c>
      <c r="C82" s="110"/>
      <c r="D82" s="110" t="s">
        <v>313</v>
      </c>
      <c r="E82" s="169">
        <v>7.0</v>
      </c>
      <c r="F82" s="110" t="s">
        <v>654</v>
      </c>
      <c r="G82" s="170" t="s">
        <v>655</v>
      </c>
      <c r="H82" s="170" t="s">
        <v>656</v>
      </c>
      <c r="I82" s="170" t="s">
        <v>657</v>
      </c>
      <c r="J82" s="172"/>
      <c r="K82" s="204"/>
      <c r="L82" s="131"/>
      <c r="M82" s="174"/>
      <c r="N82" s="174"/>
      <c r="O82" s="175"/>
      <c r="P82" s="118" t="b">
        <v>0</v>
      </c>
      <c r="Q82" s="176" t="b">
        <v>0</v>
      </c>
      <c r="R82" s="55"/>
      <c r="S82" s="118" t="b">
        <v>0</v>
      </c>
      <c r="T82" s="177" t="b">
        <v>0</v>
      </c>
      <c r="U82" s="178">
        <v>44883.0</v>
      </c>
      <c r="V82" s="179">
        <v>0.4131944444444444</v>
      </c>
      <c r="W82" s="110" t="s">
        <v>320</v>
      </c>
      <c r="X82" s="180"/>
      <c r="Y82" s="118" t="b">
        <v>0</v>
      </c>
      <c r="Z82" s="169">
        <v>7.0</v>
      </c>
      <c r="AA82" s="196">
        <f t="shared" si="1"/>
        <v>0</v>
      </c>
      <c r="AB82" s="197" t="b">
        <f t="shared" si="2"/>
        <v>1</v>
      </c>
      <c r="AC82" s="169">
        <v>5.0</v>
      </c>
      <c r="AD82" s="169">
        <v>0.0</v>
      </c>
      <c r="AE82" s="169">
        <v>0.0</v>
      </c>
      <c r="AF82" s="169">
        <v>0.0</v>
      </c>
      <c r="AG82" s="169">
        <v>0.0</v>
      </c>
      <c r="AH82" s="169">
        <v>0.0</v>
      </c>
      <c r="AI82" s="169">
        <v>0.0</v>
      </c>
      <c r="AJ82" s="182" t="b">
        <v>0</v>
      </c>
      <c r="AK82" s="183">
        <v>5.0</v>
      </c>
      <c r="AL82" s="169">
        <v>0.0</v>
      </c>
      <c r="AM82" s="169">
        <v>0.0</v>
      </c>
      <c r="AN82" s="198" t="str">
        <f>IFNA(VLOOKUP($A82,'Tube Reactions'!$J$2:$K259,2,FALSE),"")</f>
        <v/>
      </c>
      <c r="AO82" s="199" t="str">
        <f t="shared" si="20"/>
        <v/>
      </c>
      <c r="AP82" s="186" t="str">
        <f t="shared" si="36"/>
        <v/>
      </c>
      <c r="AQ82" s="187" t="b">
        <f t="shared" si="5"/>
        <v>1</v>
      </c>
      <c r="AR82" s="188">
        <v>81.0</v>
      </c>
      <c r="AS82" s="189"/>
      <c r="AT82" s="55"/>
      <c r="AU82" s="110" t="s">
        <v>560</v>
      </c>
      <c r="AV82" s="169">
        <v>7.0</v>
      </c>
      <c r="AW82" s="118" t="b">
        <v>1</v>
      </c>
      <c r="AX82" s="190" t="b">
        <f t="shared" si="44"/>
        <v>1</v>
      </c>
      <c r="AY82" s="48">
        <f t="shared" si="33"/>
        <v>2</v>
      </c>
      <c r="BA82" s="191" t="b">
        <v>1</v>
      </c>
      <c r="BB82" s="18" t="b">
        <f t="shared" si="8"/>
        <v>1</v>
      </c>
      <c r="BC82" s="18" t="b">
        <f t="shared" si="41"/>
        <v>1</v>
      </c>
      <c r="BD82" s="48">
        <f t="shared" si="42"/>
        <v>5</v>
      </c>
      <c r="BE82" s="192"/>
      <c r="BF82" s="76">
        <f t="shared" si="11"/>
        <v>44883</v>
      </c>
      <c r="BG82" s="114" t="str">
        <f t="shared" si="12"/>
        <v>RUN-ABRM_2022-11-18_RFR-081</v>
      </c>
      <c r="BH82" s="83">
        <f t="shared" si="13"/>
        <v>7</v>
      </c>
      <c r="BI82" s="83">
        <f t="shared" si="14"/>
        <v>5</v>
      </c>
      <c r="BJ82" s="83">
        <f t="shared" si="15"/>
        <v>5</v>
      </c>
      <c r="BK82" s="83">
        <f t="shared" si="16"/>
        <v>0</v>
      </c>
      <c r="BL82" s="200">
        <f>IFNA(IF(VLOOKUP(FLOOR($B82,1),'APS Tubes by Date IMPORT'!$B$2:$J259,1,FALSE)=FLOOR($BL81,1),IFERROR(0/0,""),VLOOKUP(FLOOR($B82,1),'APS Tubes by Date IMPORT'!$B$2:$J259,1,FALSE)),"")</f>
        <v>44883</v>
      </c>
      <c r="BM82" s="83">
        <f>IF(ISBLANK($BL82),IFERROR(0/0,""),VLOOKUP(FLOOR($B82,1),'APS Tubes by Date IMPORT'!$B$2:$J259,2,FALSE))</f>
        <v>5</v>
      </c>
      <c r="BN82" s="114"/>
      <c r="BO82" s="83" t="str">
        <f>VLOOKUP(FLOOR($B82,1),'APS Tubes by Date IMPORT'!$B82:$I259,6,FALSE)</f>
        <v>#N/A</v>
      </c>
      <c r="BP82" s="83">
        <v>7.0</v>
      </c>
      <c r="BQ82" s="193">
        <f t="shared" si="17"/>
        <v>2</v>
      </c>
      <c r="BR82" s="131">
        <v>3.0</v>
      </c>
      <c r="BS82" s="76" t="b">
        <f t="shared" si="18"/>
        <v>1</v>
      </c>
      <c r="BT82" s="194" t="str">
        <f t="shared" si="19"/>
        <v>Delete NULL</v>
      </c>
      <c r="BU82" s="195"/>
      <c r="BV82" s="195"/>
      <c r="BW82" s="195"/>
      <c r="BX82" s="195"/>
    </row>
    <row r="83">
      <c r="A83" s="18" t="str">
        <f>CONCATENATE("RUN-",'Process Ref'!$A$1,"_",TEXT(U83,"YYYY-MM-DD"),"_RFR-",TEXT(AR83,"000"),IF(EXACT(W83,"Initial"),"",CONCATENATE("_",W83)))</f>
        <v>RUN-ABRM_2022-11-19_RFR-082</v>
      </c>
      <c r="B83" s="168">
        <v>44884.7487962963</v>
      </c>
      <c r="C83" s="110"/>
      <c r="D83" s="110" t="s">
        <v>313</v>
      </c>
      <c r="E83" s="169">
        <v>4.0</v>
      </c>
      <c r="F83" s="110" t="s">
        <v>658</v>
      </c>
      <c r="G83" s="170" t="s">
        <v>659</v>
      </c>
      <c r="H83" s="170" t="s">
        <v>660</v>
      </c>
      <c r="I83" s="170" t="s">
        <v>661</v>
      </c>
      <c r="J83" s="169">
        <v>1.0</v>
      </c>
      <c r="K83" s="204"/>
      <c r="L83" s="131"/>
      <c r="M83" s="174"/>
      <c r="N83" s="209">
        <v>2.4</v>
      </c>
      <c r="O83" s="210"/>
      <c r="P83" s="118" t="b">
        <v>1</v>
      </c>
      <c r="Q83" s="176" t="b">
        <v>0</v>
      </c>
      <c r="R83" s="55"/>
      <c r="S83" s="118" t="b">
        <v>0</v>
      </c>
      <c r="T83" s="177" t="b">
        <v>0</v>
      </c>
      <c r="U83" s="178">
        <v>44884.0</v>
      </c>
      <c r="V83" s="179">
        <v>0.7916666666666666</v>
      </c>
      <c r="W83" s="110" t="s">
        <v>320</v>
      </c>
      <c r="X83" s="180"/>
      <c r="Y83" s="118" t="b">
        <v>0</v>
      </c>
      <c r="Z83" s="169">
        <v>4.0</v>
      </c>
      <c r="AA83" s="196">
        <f t="shared" si="1"/>
        <v>0</v>
      </c>
      <c r="AB83" s="197" t="b">
        <f t="shared" si="2"/>
        <v>1</v>
      </c>
      <c r="AC83" s="169">
        <v>2.0</v>
      </c>
      <c r="AD83" s="169">
        <v>0.0</v>
      </c>
      <c r="AE83" s="169">
        <v>0.0</v>
      </c>
      <c r="AF83" s="169">
        <v>0.0</v>
      </c>
      <c r="AG83" s="169">
        <v>1.0</v>
      </c>
      <c r="AH83" s="169">
        <v>1.0</v>
      </c>
      <c r="AI83" s="169">
        <v>0.0</v>
      </c>
      <c r="AJ83" s="182" t="b">
        <v>0</v>
      </c>
      <c r="AK83" s="183">
        <v>2.0</v>
      </c>
      <c r="AL83" s="169">
        <v>4.0</v>
      </c>
      <c r="AM83" s="169">
        <v>1.0</v>
      </c>
      <c r="AN83" s="198" t="str">
        <f>IFNA(VLOOKUP($A83,'Tube Reactions'!$J$2:$K259,2,FALSE),"")</f>
        <v/>
      </c>
      <c r="AO83" s="199" t="str">
        <f t="shared" si="20"/>
        <v>NOT EQUAL</v>
      </c>
      <c r="AP83" s="186" t="str">
        <f t="shared" si="36"/>
        <v/>
      </c>
      <c r="AQ83" s="187" t="b">
        <f t="shared" si="5"/>
        <v>1</v>
      </c>
      <c r="AR83" s="188">
        <v>82.0</v>
      </c>
      <c r="AS83" s="189"/>
      <c r="AT83" s="55"/>
      <c r="AU83" s="110" t="s">
        <v>560</v>
      </c>
      <c r="AV83" s="169">
        <v>4.0</v>
      </c>
      <c r="AW83" s="118" t="b">
        <v>0</v>
      </c>
      <c r="AX83" s="190" t="b">
        <f t="shared" si="44"/>
        <v>1</v>
      </c>
      <c r="AY83" s="48">
        <f t="shared" si="33"/>
        <v>2</v>
      </c>
      <c r="BA83" s="191" t="b">
        <v>0</v>
      </c>
      <c r="BB83" s="18" t="str">
        <f t="shared" si="8"/>
        <v/>
      </c>
      <c r="BC83" s="18" t="str">
        <f t="shared" si="41"/>
        <v/>
      </c>
      <c r="BD83" s="48" t="str">
        <f t="shared" si="42"/>
        <v/>
      </c>
      <c r="BE83" s="192"/>
      <c r="BF83" s="76">
        <f t="shared" si="11"/>
        <v>44884</v>
      </c>
      <c r="BG83" s="114" t="str">
        <f t="shared" si="12"/>
        <v>RUN-ABRM_2022-11-19_RFR-082</v>
      </c>
      <c r="BH83" s="83">
        <f t="shared" si="13"/>
        <v>4</v>
      </c>
      <c r="BI83" s="83">
        <f t="shared" si="14"/>
        <v>2</v>
      </c>
      <c r="BJ83" s="83">
        <f t="shared" si="15"/>
        <v>2</v>
      </c>
      <c r="BK83" s="83">
        <f t="shared" si="16"/>
        <v>4</v>
      </c>
      <c r="BL83" s="200">
        <f>IFNA(IF(VLOOKUP(FLOOR($B83,1),'APS Tubes by Date IMPORT'!$B$2:$J259,1,FALSE)=FLOOR($BL82,1),IFERROR(0/0,""),VLOOKUP(FLOOR($B83,1),'APS Tubes by Date IMPORT'!$B$2:$J259,1,FALSE)),"")</f>
        <v>44884</v>
      </c>
      <c r="BM83" s="83">
        <f>IF(ISBLANK($BL83),IFERROR(0/0,""),VLOOKUP(FLOOR($B83,1),'APS Tubes by Date IMPORT'!$B$2:$J259,2,FALSE))</f>
        <v>2</v>
      </c>
      <c r="BN83" s="114"/>
      <c r="BO83" s="83" t="str">
        <f>VLOOKUP(FLOOR($B83,1),'APS Tubes by Date IMPORT'!$B83:$I259,6,FALSE)</f>
        <v>#N/A</v>
      </c>
      <c r="BP83" s="83">
        <v>7.0</v>
      </c>
      <c r="BQ83" s="193">
        <f t="shared" si="17"/>
        <v>5</v>
      </c>
      <c r="BR83" s="131">
        <v>3.0</v>
      </c>
      <c r="BS83" s="76" t="b">
        <f t="shared" si="18"/>
        <v>1</v>
      </c>
      <c r="BT83" s="194" t="str">
        <f t="shared" si="19"/>
        <v>Delete NULL</v>
      </c>
      <c r="BU83" s="195"/>
      <c r="BV83" s="195"/>
      <c r="BW83" s="195"/>
      <c r="BX83" s="195"/>
    </row>
    <row r="84">
      <c r="A84" s="18" t="str">
        <f>CONCATENATE("RUN-",'Process Ref'!$A$1,"_",TEXT(U84,"YYYY-MM-DD"),"_RFR-",TEXT(AR84,"000"),IF(EXACT(W84,"Initial"),"",CONCATENATE("_",W84)))</f>
        <v>RUN-ABRM_2022-11-19_RFR-083_Re-run</v>
      </c>
      <c r="B84" s="168">
        <v>44884.7743287037</v>
      </c>
      <c r="C84" s="110"/>
      <c r="D84" s="110" t="s">
        <v>313</v>
      </c>
      <c r="E84" s="169">
        <v>5.0</v>
      </c>
      <c r="F84" s="110" t="s">
        <v>658</v>
      </c>
      <c r="G84" s="170" t="s">
        <v>662</v>
      </c>
      <c r="H84" s="170" t="s">
        <v>663</v>
      </c>
      <c r="I84" s="170" t="s">
        <v>664</v>
      </c>
      <c r="J84" s="172"/>
      <c r="K84" s="173" t="s">
        <v>665</v>
      </c>
      <c r="L84" s="131"/>
      <c r="M84" s="174"/>
      <c r="N84" s="174"/>
      <c r="O84" s="175"/>
      <c r="P84" s="118" t="b">
        <v>0</v>
      </c>
      <c r="Q84" s="176" t="b">
        <v>0</v>
      </c>
      <c r="R84" s="55"/>
      <c r="S84" s="118" t="b">
        <v>0</v>
      </c>
      <c r="T84" s="177" t="b">
        <v>0</v>
      </c>
      <c r="U84" s="178">
        <v>44884.0</v>
      </c>
      <c r="V84" s="179">
        <v>0.8194444444444444</v>
      </c>
      <c r="W84" s="110" t="s">
        <v>339</v>
      </c>
      <c r="X84" s="180"/>
      <c r="Y84" s="118" t="b">
        <v>0</v>
      </c>
      <c r="Z84" s="169">
        <v>5.0</v>
      </c>
      <c r="AA84" s="196">
        <f t="shared" si="1"/>
        <v>0</v>
      </c>
      <c r="AB84" s="197" t="b">
        <f t="shared" si="2"/>
        <v>1</v>
      </c>
      <c r="AC84" s="169">
        <v>3.0</v>
      </c>
      <c r="AD84" s="169">
        <v>0.0</v>
      </c>
      <c r="AE84" s="169">
        <v>0.0</v>
      </c>
      <c r="AF84" s="169">
        <v>0.0</v>
      </c>
      <c r="AG84" s="169">
        <v>0.0</v>
      </c>
      <c r="AH84" s="169">
        <v>0.0</v>
      </c>
      <c r="AI84" s="169">
        <v>0.0</v>
      </c>
      <c r="AJ84" s="182" t="b">
        <v>0</v>
      </c>
      <c r="AK84" s="183">
        <v>1.0</v>
      </c>
      <c r="AL84" s="169">
        <v>0.0</v>
      </c>
      <c r="AM84" s="172" t="str">
        <f>IF(EXACT(W84,"Initial"),"Audit","")</f>
        <v/>
      </c>
      <c r="AN84" s="198" t="str">
        <f>IFNA(VLOOKUP($A84,'Tube Reactions'!$J$2:$K259,2,FALSE),"")</f>
        <v/>
      </c>
      <c r="AO84" s="199" t="str">
        <f t="shared" si="20"/>
        <v/>
      </c>
      <c r="AP84" s="186" t="str">
        <f t="shared" si="36"/>
        <v/>
      </c>
      <c r="AQ84" s="187" t="b">
        <f t="shared" si="5"/>
        <v>1</v>
      </c>
      <c r="AR84" s="188">
        <v>83.0</v>
      </c>
      <c r="AS84" s="189"/>
      <c r="AT84" s="55"/>
      <c r="AU84" s="110" t="s">
        <v>560</v>
      </c>
      <c r="AV84" s="169">
        <v>5.0</v>
      </c>
      <c r="AW84" s="118"/>
      <c r="AX84" s="190"/>
      <c r="AY84" s="48">
        <f t="shared" si="33"/>
        <v>2</v>
      </c>
      <c r="BA84" s="191" t="b">
        <v>0</v>
      </c>
      <c r="BB84" s="18" t="str">
        <f t="shared" si="8"/>
        <v/>
      </c>
      <c r="BC84" s="18" t="str">
        <f t="shared" si="41"/>
        <v/>
      </c>
      <c r="BD84" s="48" t="str">
        <f t="shared" si="42"/>
        <v/>
      </c>
      <c r="BE84" s="192"/>
      <c r="BF84" s="76" t="str">
        <f t="shared" si="11"/>
        <v/>
      </c>
      <c r="BG84" s="114" t="str">
        <f t="shared" si="12"/>
        <v/>
      </c>
      <c r="BH84" s="83" t="str">
        <f t="shared" si="13"/>
        <v/>
      </c>
      <c r="BI84" s="83" t="str">
        <f t="shared" si="14"/>
        <v/>
      </c>
      <c r="BJ84" s="83" t="str">
        <f t="shared" si="15"/>
        <v/>
      </c>
      <c r="BK84" s="83" t="str">
        <f t="shared" si="16"/>
        <v/>
      </c>
      <c r="BL84" s="200" t="str">
        <f>IFNA(IF(VLOOKUP(FLOOR($B84,1),'APS Tubes by Date IMPORT'!$B$2:$J259,1,FALSE)=FLOOR($BL83,1),IFERROR(0/0,""),VLOOKUP(FLOOR($B84,1),'APS Tubes by Date IMPORT'!$B$2:$J259,1,FALSE)),"")</f>
        <v/>
      </c>
      <c r="BM84" s="83" t="str">
        <f>IF(ISBLANK($BL84),IFERROR(0/0,""),VLOOKUP(FLOOR($B84,1),'APS Tubes by Date IMPORT'!$B$2:$J259,2,FALSE))</f>
        <v/>
      </c>
      <c r="BN84" s="114"/>
      <c r="BO84" s="83" t="str">
        <f>VLOOKUP(FLOOR($B84,1),'APS Tubes by Date IMPORT'!$B84:$I259,6,FALSE)</f>
        <v>#N/A</v>
      </c>
      <c r="BP84" s="83">
        <v>7.0</v>
      </c>
      <c r="BQ84" s="193">
        <f t="shared" si="17"/>
        <v>7</v>
      </c>
      <c r="BR84" s="131">
        <v>3.0</v>
      </c>
      <c r="BS84" s="76" t="b">
        <f t="shared" si="18"/>
        <v>1</v>
      </c>
      <c r="BT84" s="194" t="str">
        <f t="shared" si="19"/>
        <v>Delete NULL</v>
      </c>
      <c r="BU84" s="195"/>
      <c r="BV84" s="195"/>
      <c r="BW84" s="195"/>
      <c r="BX84" s="195"/>
    </row>
    <row r="85">
      <c r="A85" s="18" t="str">
        <f>CONCATENATE("RUN-",'Process Ref'!$A$1,"_",TEXT(U85,"YYYY-MM-DD"),"_RFR-",TEXT(AR85,"000"),IF(EXACT(W85,"Initial"),"",CONCATENATE("_",W85)))</f>
        <v>RUN-ABRM_2022-11-20_RFR-084</v>
      </c>
      <c r="B85" s="168">
        <v>44885.62415509259</v>
      </c>
      <c r="C85" s="110"/>
      <c r="D85" s="110" t="s">
        <v>313</v>
      </c>
      <c r="E85" s="169">
        <v>4.0</v>
      </c>
      <c r="F85" s="110" t="s">
        <v>666</v>
      </c>
      <c r="G85" s="170" t="s">
        <v>667</v>
      </c>
      <c r="H85" s="170" t="s">
        <v>668</v>
      </c>
      <c r="I85" s="170" t="s">
        <v>669</v>
      </c>
      <c r="J85" s="169">
        <v>1.0</v>
      </c>
      <c r="K85" s="204"/>
      <c r="L85" s="131"/>
      <c r="M85" s="174"/>
      <c r="N85" s="174"/>
      <c r="O85" s="175"/>
      <c r="P85" s="118" t="b">
        <v>0</v>
      </c>
      <c r="Q85" s="176" t="b">
        <v>0</v>
      </c>
      <c r="R85" s="55"/>
      <c r="S85" s="118" t="b">
        <v>0</v>
      </c>
      <c r="T85" s="177" t="b">
        <v>1</v>
      </c>
      <c r="U85" s="178">
        <v>44885.0</v>
      </c>
      <c r="V85" s="179">
        <v>0.6631944444444444</v>
      </c>
      <c r="W85" s="110" t="s">
        <v>320</v>
      </c>
      <c r="X85" s="180"/>
      <c r="Y85" s="118" t="b">
        <v>0</v>
      </c>
      <c r="Z85" s="169">
        <v>4.0</v>
      </c>
      <c r="AA85" s="196">
        <f t="shared" si="1"/>
        <v>0</v>
      </c>
      <c r="AB85" s="197" t="b">
        <f t="shared" si="2"/>
        <v>1</v>
      </c>
      <c r="AC85" s="169">
        <v>2.0</v>
      </c>
      <c r="AD85" s="169">
        <v>1.0</v>
      </c>
      <c r="AE85" s="169">
        <v>1.0</v>
      </c>
      <c r="AF85" s="169">
        <v>0.0</v>
      </c>
      <c r="AG85" s="169">
        <v>0.0</v>
      </c>
      <c r="AH85" s="169">
        <v>0.0</v>
      </c>
      <c r="AI85" s="169">
        <v>0.0</v>
      </c>
      <c r="AJ85" s="182" t="b">
        <v>0</v>
      </c>
      <c r="AK85" s="183">
        <v>2.0</v>
      </c>
      <c r="AL85" s="169">
        <v>1.2</v>
      </c>
      <c r="AM85" s="169">
        <v>1.0</v>
      </c>
      <c r="AN85" s="198" t="str">
        <f>IFNA(VLOOKUP($A85,'Tube Reactions'!$J$2:$K259,2,FALSE),"")</f>
        <v/>
      </c>
      <c r="AO85" s="199" t="str">
        <f t="shared" si="20"/>
        <v>NOT EQUAL</v>
      </c>
      <c r="AP85" s="186" t="str">
        <f t="shared" si="36"/>
        <v/>
      </c>
      <c r="AQ85" s="187" t="b">
        <f t="shared" si="5"/>
        <v>1</v>
      </c>
      <c r="AR85" s="188">
        <v>84.0</v>
      </c>
      <c r="AS85" s="189"/>
      <c r="AT85" s="55"/>
      <c r="AU85" s="110" t="s">
        <v>560</v>
      </c>
      <c r="AV85" s="169">
        <v>4.0</v>
      </c>
      <c r="AW85" s="118" t="b">
        <v>0</v>
      </c>
      <c r="AX85" s="190" t="b">
        <f t="shared" ref="AX85:AX86" si="45">IF(OR(AND(AL85=0,AW85),AND(AL85&lt;&gt;0,NOT(AW85))),TRUE,FALSE)</f>
        <v>1</v>
      </c>
      <c r="AY85" s="48">
        <f t="shared" si="33"/>
        <v>2</v>
      </c>
      <c r="BA85" s="191" t="b">
        <v>0</v>
      </c>
      <c r="BB85" s="18" t="str">
        <f t="shared" si="8"/>
        <v/>
      </c>
      <c r="BC85" s="18" t="str">
        <f t="shared" si="41"/>
        <v/>
      </c>
      <c r="BD85" s="48" t="str">
        <f t="shared" si="42"/>
        <v/>
      </c>
      <c r="BE85" s="192"/>
      <c r="BF85" s="76">
        <f t="shared" si="11"/>
        <v>44885</v>
      </c>
      <c r="BG85" s="114" t="str">
        <f t="shared" si="12"/>
        <v>RUN-ABRM_2022-11-20_RFR-084</v>
      </c>
      <c r="BH85" s="83">
        <f t="shared" si="13"/>
        <v>4</v>
      </c>
      <c r="BI85" s="83">
        <f t="shared" si="14"/>
        <v>2</v>
      </c>
      <c r="BJ85" s="83">
        <f t="shared" si="15"/>
        <v>2</v>
      </c>
      <c r="BK85" s="83">
        <f t="shared" si="16"/>
        <v>1.2</v>
      </c>
      <c r="BL85" s="200">
        <f>IFNA(IF(VLOOKUP(FLOOR($B85,1),'APS Tubes by Date IMPORT'!$B$2:$J259,1,FALSE)=FLOOR($BL84,1),IFERROR(0/0,""),VLOOKUP(FLOOR($B85,1),'APS Tubes by Date IMPORT'!$B$2:$J259,1,FALSE)),"")</f>
        <v>44885</v>
      </c>
      <c r="BM85" s="83">
        <f>IF(ISBLANK($BL85),IFERROR(0/0,""),VLOOKUP(FLOOR($B85,1),'APS Tubes by Date IMPORT'!$B$2:$J259,2,FALSE))</f>
        <v>2</v>
      </c>
      <c r="BN85" s="114"/>
      <c r="BO85" s="83" t="str">
        <f>VLOOKUP(FLOOR($B85,1),'APS Tubes by Date IMPORT'!$B85:$I259,6,FALSE)</f>
        <v>#N/A</v>
      </c>
      <c r="BP85" s="83">
        <v>7.0</v>
      </c>
      <c r="BQ85" s="193">
        <f t="shared" si="17"/>
        <v>5</v>
      </c>
      <c r="BR85" s="131">
        <v>3.0</v>
      </c>
      <c r="BS85" s="76" t="b">
        <f t="shared" si="18"/>
        <v>1</v>
      </c>
      <c r="BT85" s="194" t="str">
        <f t="shared" si="19"/>
        <v>Delete NULL</v>
      </c>
      <c r="BU85" s="195"/>
      <c r="BV85" s="195"/>
      <c r="BW85" s="195"/>
      <c r="BX85" s="195"/>
    </row>
    <row r="86">
      <c r="A86" s="18" t="str">
        <f>CONCATENATE("RUN-",'Process Ref'!$A$1,"_",TEXT(U86,"YYYY-MM-DD"),"_RFR-",TEXT(AR86,"000"),IF(EXACT(W86,"Initial"),"",CONCATENATE("_",W86)))</f>
        <v>RUN-ABRM_2022-11-20_RFR-085_Re-run</v>
      </c>
      <c r="B86" s="168">
        <v>44885.66133101852</v>
      </c>
      <c r="C86" s="110"/>
      <c r="D86" s="110" t="s">
        <v>313</v>
      </c>
      <c r="E86" s="169">
        <v>5.0</v>
      </c>
      <c r="F86" s="110" t="s">
        <v>666</v>
      </c>
      <c r="G86" s="170" t="s">
        <v>670</v>
      </c>
      <c r="H86" s="170" t="s">
        <v>671</v>
      </c>
      <c r="I86" s="170" t="s">
        <v>672</v>
      </c>
      <c r="J86" s="169">
        <v>2.0</v>
      </c>
      <c r="K86" s="173" t="s">
        <v>673</v>
      </c>
      <c r="L86" s="131"/>
      <c r="M86" s="174"/>
      <c r="N86" s="174"/>
      <c r="O86" s="175"/>
      <c r="P86" s="118" t="b">
        <v>0</v>
      </c>
      <c r="Q86" s="176" t="b">
        <v>0</v>
      </c>
      <c r="R86" s="55"/>
      <c r="S86" s="118" t="b">
        <v>0</v>
      </c>
      <c r="T86" s="177" t="b">
        <v>1</v>
      </c>
      <c r="U86" s="178">
        <v>44885.0</v>
      </c>
      <c r="V86" s="179">
        <v>0.7097222222222223</v>
      </c>
      <c r="W86" s="110" t="s">
        <v>339</v>
      </c>
      <c r="X86" s="180"/>
      <c r="Y86" s="118" t="b">
        <v>1</v>
      </c>
      <c r="Z86" s="169">
        <v>5.0</v>
      </c>
      <c r="AA86" s="196">
        <f t="shared" si="1"/>
        <v>0</v>
      </c>
      <c r="AB86" s="197" t="b">
        <f t="shared" si="2"/>
        <v>1</v>
      </c>
      <c r="AC86" s="169">
        <v>3.0</v>
      </c>
      <c r="AD86" s="169">
        <v>2.0</v>
      </c>
      <c r="AE86" s="169">
        <v>1.0</v>
      </c>
      <c r="AF86" s="169">
        <v>0.0</v>
      </c>
      <c r="AG86" s="169">
        <v>0.0</v>
      </c>
      <c r="AH86" s="169">
        <v>0.0</v>
      </c>
      <c r="AI86" s="169">
        <v>0.0</v>
      </c>
      <c r="AJ86" s="182" t="b">
        <v>0</v>
      </c>
      <c r="AK86" s="183">
        <v>1.0</v>
      </c>
      <c r="AL86" s="169">
        <v>1.7</v>
      </c>
      <c r="AM86" s="172" t="str">
        <f t="shared" ref="AM86:AM87" si="46">IF(EXACT(W86,"Initial"),"Audit","")</f>
        <v/>
      </c>
      <c r="AN86" s="198" t="str">
        <f>IFNA(VLOOKUP($A86,'Tube Reactions'!$J$2:$K259,2,FALSE),"")</f>
        <v/>
      </c>
      <c r="AO86" s="199" t="str">
        <f t="shared" si="20"/>
        <v/>
      </c>
      <c r="AP86" s="186" t="str">
        <f t="shared" si="36"/>
        <v/>
      </c>
      <c r="AQ86" s="187" t="b">
        <f t="shared" si="5"/>
        <v>1</v>
      </c>
      <c r="AR86" s="188">
        <v>85.0</v>
      </c>
      <c r="AS86" s="189"/>
      <c r="AT86" s="55"/>
      <c r="AU86" s="110" t="s">
        <v>560</v>
      </c>
      <c r="AV86" s="169">
        <v>5.0</v>
      </c>
      <c r="AW86" s="118" t="b">
        <v>0</v>
      </c>
      <c r="AX86" s="190" t="b">
        <f t="shared" si="45"/>
        <v>1</v>
      </c>
      <c r="AY86" s="48">
        <f t="shared" si="33"/>
        <v>2</v>
      </c>
      <c r="BA86" s="191" t="b">
        <v>0</v>
      </c>
      <c r="BB86" s="18" t="str">
        <f t="shared" si="8"/>
        <v/>
      </c>
      <c r="BC86" s="18" t="str">
        <f t="shared" si="41"/>
        <v/>
      </c>
      <c r="BD86" s="48" t="str">
        <f t="shared" si="42"/>
        <v/>
      </c>
      <c r="BE86" s="192"/>
      <c r="BF86" s="76" t="str">
        <f t="shared" si="11"/>
        <v/>
      </c>
      <c r="BG86" s="114" t="str">
        <f t="shared" si="12"/>
        <v/>
      </c>
      <c r="BH86" s="83" t="str">
        <f t="shared" si="13"/>
        <v/>
      </c>
      <c r="BI86" s="83" t="str">
        <f t="shared" si="14"/>
        <v/>
      </c>
      <c r="BJ86" s="83" t="str">
        <f t="shared" si="15"/>
        <v/>
      </c>
      <c r="BK86" s="83" t="str">
        <f t="shared" si="16"/>
        <v/>
      </c>
      <c r="BL86" s="200" t="str">
        <f>IFNA(IF(VLOOKUP(FLOOR($B86,1),'APS Tubes by Date IMPORT'!$B$2:$J259,1,FALSE)=FLOOR($BL85,1),IFERROR(0/0,""),VLOOKUP(FLOOR($B86,1),'APS Tubes by Date IMPORT'!$B$2:$J259,1,FALSE)),"")</f>
        <v/>
      </c>
      <c r="BM86" s="83" t="str">
        <f>IF(ISBLANK($BL86),IFERROR(0/0,""),VLOOKUP(FLOOR($B86,1),'APS Tubes by Date IMPORT'!$B$2:$J259,2,FALSE))</f>
        <v/>
      </c>
      <c r="BN86" s="114"/>
      <c r="BO86" s="83" t="str">
        <f>VLOOKUP(FLOOR($B86,1),'APS Tubes by Date IMPORT'!$B86:$I259,6,FALSE)</f>
        <v>#N/A</v>
      </c>
      <c r="BP86" s="83">
        <v>7.0</v>
      </c>
      <c r="BQ86" s="193">
        <f t="shared" si="17"/>
        <v>7</v>
      </c>
      <c r="BR86" s="131">
        <v>3.0</v>
      </c>
      <c r="BS86" s="76" t="b">
        <f t="shared" si="18"/>
        <v>1</v>
      </c>
      <c r="BT86" s="194" t="str">
        <f t="shared" si="19"/>
        <v>Delete NULL</v>
      </c>
      <c r="BU86" s="195"/>
      <c r="BV86" s="195"/>
      <c r="BW86" s="195"/>
      <c r="BX86" s="195"/>
    </row>
    <row r="87">
      <c r="A87" s="18" t="str">
        <f>CONCATENATE("RUN-",'Process Ref'!$A$1,"_",TEXT(U87,"YYYY-MM-DD"),"_RFR-",TEXT(AR87,"000"),IF(EXACT(W87,"Initial"),"",CONCATENATE("_",W87)))</f>
        <v>RUN-ABRM_2022-11-20_RFR-086_Re-run</v>
      </c>
      <c r="B87" s="168">
        <v>44885.69611111111</v>
      </c>
      <c r="C87" s="110"/>
      <c r="D87" s="110" t="s">
        <v>313</v>
      </c>
      <c r="E87" s="169">
        <v>5.0</v>
      </c>
      <c r="F87" s="110" t="s">
        <v>666</v>
      </c>
      <c r="G87" s="170" t="s">
        <v>674</v>
      </c>
      <c r="H87" s="170" t="s">
        <v>675</v>
      </c>
      <c r="I87" s="170" t="s">
        <v>676</v>
      </c>
      <c r="J87" s="169">
        <v>0.0</v>
      </c>
      <c r="K87" s="173" t="s">
        <v>677</v>
      </c>
      <c r="L87" s="131"/>
      <c r="M87" s="174"/>
      <c r="N87" s="174"/>
      <c r="O87" s="175"/>
      <c r="P87" s="118" t="b">
        <v>0</v>
      </c>
      <c r="Q87" s="176" t="b">
        <v>0</v>
      </c>
      <c r="R87" s="55"/>
      <c r="S87" s="118" t="b">
        <v>0</v>
      </c>
      <c r="T87" s="177" t="b">
        <v>1</v>
      </c>
      <c r="U87" s="178">
        <v>44885.0</v>
      </c>
      <c r="V87" s="179">
        <v>0.7486111111111111</v>
      </c>
      <c r="W87" s="110" t="s">
        <v>339</v>
      </c>
      <c r="X87" s="180"/>
      <c r="Y87" s="118" t="b">
        <v>0</v>
      </c>
      <c r="Z87" s="169">
        <v>5.0</v>
      </c>
      <c r="AA87" s="196">
        <f t="shared" si="1"/>
        <v>0</v>
      </c>
      <c r="AB87" s="197" t="b">
        <f t="shared" si="2"/>
        <v>1</v>
      </c>
      <c r="AC87" s="169">
        <v>3.0</v>
      </c>
      <c r="AD87" s="169">
        <v>0.0</v>
      </c>
      <c r="AE87" s="169">
        <v>0.0</v>
      </c>
      <c r="AF87" s="169">
        <v>0.0</v>
      </c>
      <c r="AG87" s="169">
        <v>0.0</v>
      </c>
      <c r="AH87" s="169">
        <v>0.0</v>
      </c>
      <c r="AI87" s="169">
        <v>0.0</v>
      </c>
      <c r="AJ87" s="182" t="b">
        <v>0</v>
      </c>
      <c r="AK87" s="183">
        <v>1.0</v>
      </c>
      <c r="AL87" s="169">
        <v>0.0</v>
      </c>
      <c r="AM87" s="172" t="str">
        <f t="shared" si="46"/>
        <v/>
      </c>
      <c r="AN87" s="198" t="str">
        <f>IFNA(VLOOKUP($A87,'Tube Reactions'!$J$2:$K259,2,FALSE),"")</f>
        <v/>
      </c>
      <c r="AO87" s="199" t="str">
        <f t="shared" si="20"/>
        <v/>
      </c>
      <c r="AP87" s="186" t="str">
        <f t="shared" si="36"/>
        <v/>
      </c>
      <c r="AQ87" s="187" t="b">
        <f t="shared" si="5"/>
        <v>1</v>
      </c>
      <c r="AR87" s="188">
        <v>86.0</v>
      </c>
      <c r="AS87" s="189"/>
      <c r="AT87" s="55"/>
      <c r="AU87" s="110" t="s">
        <v>560</v>
      </c>
      <c r="AV87" s="169">
        <v>5.0</v>
      </c>
      <c r="AW87" s="118"/>
      <c r="AX87" s="190"/>
      <c r="AY87" s="48">
        <f t="shared" si="33"/>
        <v>2</v>
      </c>
      <c r="BA87" s="191" t="b">
        <v>0</v>
      </c>
      <c r="BB87" s="18" t="str">
        <f t="shared" si="8"/>
        <v/>
      </c>
      <c r="BC87" s="18" t="str">
        <f t="shared" si="41"/>
        <v/>
      </c>
      <c r="BD87" s="48" t="str">
        <f t="shared" si="42"/>
        <v/>
      </c>
      <c r="BE87" s="192"/>
      <c r="BF87" s="76" t="str">
        <f t="shared" si="11"/>
        <v/>
      </c>
      <c r="BG87" s="114" t="str">
        <f t="shared" si="12"/>
        <v/>
      </c>
      <c r="BH87" s="83" t="str">
        <f t="shared" si="13"/>
        <v/>
      </c>
      <c r="BI87" s="83" t="str">
        <f t="shared" si="14"/>
        <v/>
      </c>
      <c r="BJ87" s="83" t="str">
        <f t="shared" si="15"/>
        <v/>
      </c>
      <c r="BK87" s="83" t="str">
        <f t="shared" si="16"/>
        <v/>
      </c>
      <c r="BL87" s="200">
        <f>IFNA(IF(VLOOKUP(FLOOR($B87,1),'APS Tubes by Date IMPORT'!$B$2:$J259,1,FALSE)=FLOOR($BL86,1),IFERROR(0/0,""),VLOOKUP(FLOOR($B87,1),'APS Tubes by Date IMPORT'!$B$2:$J259,1,FALSE)),"")</f>
        <v>44885</v>
      </c>
      <c r="BM87" s="83">
        <f>IF(ISBLANK($BL87),IFERROR(0/0,""),VLOOKUP(FLOOR($B87,1),'APS Tubes by Date IMPORT'!$B$2:$J259,2,FALSE))</f>
        <v>2</v>
      </c>
      <c r="BN87" s="114"/>
      <c r="BO87" s="83" t="str">
        <f>VLOOKUP(FLOOR($B87,1),'APS Tubes by Date IMPORT'!$B87:$I259,6,FALSE)</f>
        <v>#N/A</v>
      </c>
      <c r="BP87" s="83">
        <v>7.0</v>
      </c>
      <c r="BQ87" s="193">
        <f t="shared" si="17"/>
        <v>5</v>
      </c>
      <c r="BR87" s="131">
        <v>3.0</v>
      </c>
      <c r="BS87" s="76" t="b">
        <f t="shared" si="18"/>
        <v>1</v>
      </c>
      <c r="BT87" s="194" t="str">
        <f t="shared" si="19"/>
        <v>Delete NULL</v>
      </c>
      <c r="BU87" s="195"/>
      <c r="BV87" s="195"/>
      <c r="BW87" s="195"/>
      <c r="BX87" s="195"/>
    </row>
    <row r="88">
      <c r="A88" s="18" t="str">
        <f>CONCATENATE("RUN-",'Process Ref'!$A$1,"_",TEXT(U88,"YYYY-MM-DD"),"_RFR-",TEXT(AR88,"000"),IF(EXACT(W88,"Initial"),"",CONCATENATE("_",W88)))</f>
        <v>RUN-ABRM_2022-11-21_RFR-087</v>
      </c>
      <c r="B88" s="168">
        <v>44886.272465277776</v>
      </c>
      <c r="C88" s="110"/>
      <c r="D88" s="110" t="s">
        <v>313</v>
      </c>
      <c r="E88" s="169">
        <v>5.0</v>
      </c>
      <c r="F88" s="110" t="s">
        <v>678</v>
      </c>
      <c r="G88" s="170" t="s">
        <v>679</v>
      </c>
      <c r="H88" s="170" t="s">
        <v>680</v>
      </c>
      <c r="I88" s="170" t="s">
        <v>681</v>
      </c>
      <c r="J88" s="172"/>
      <c r="K88" s="204"/>
      <c r="L88" s="131"/>
      <c r="M88" s="174"/>
      <c r="N88" s="174"/>
      <c r="O88" s="175"/>
      <c r="P88" s="118" t="b">
        <v>0</v>
      </c>
      <c r="Q88" s="176" t="b">
        <v>0</v>
      </c>
      <c r="R88" s="55"/>
      <c r="S88" s="118" t="b">
        <v>0</v>
      </c>
      <c r="T88" s="177" t="b">
        <v>0</v>
      </c>
      <c r="U88" s="178">
        <v>44886.0</v>
      </c>
      <c r="V88" s="179">
        <v>0.3194444444444444</v>
      </c>
      <c r="W88" s="245" t="s">
        <v>320</v>
      </c>
      <c r="X88" s="180"/>
      <c r="Y88" s="118" t="b">
        <v>0</v>
      </c>
      <c r="Z88" s="169">
        <v>5.0</v>
      </c>
      <c r="AA88" s="196">
        <f t="shared" si="1"/>
        <v>0</v>
      </c>
      <c r="AB88" s="197" t="b">
        <f t="shared" si="2"/>
        <v>1</v>
      </c>
      <c r="AC88" s="169">
        <v>3.0</v>
      </c>
      <c r="AD88" s="169">
        <v>0.0</v>
      </c>
      <c r="AE88" s="169">
        <v>0.0</v>
      </c>
      <c r="AF88" s="169">
        <v>0.0</v>
      </c>
      <c r="AG88" s="169">
        <v>0.0</v>
      </c>
      <c r="AH88" s="169">
        <v>0.0</v>
      </c>
      <c r="AI88" s="169">
        <v>0.0</v>
      </c>
      <c r="AJ88" s="182" t="b">
        <v>0</v>
      </c>
      <c r="AK88" s="183">
        <v>3.0</v>
      </c>
      <c r="AL88" s="169">
        <v>0.0</v>
      </c>
      <c r="AM88" s="169">
        <v>0.0</v>
      </c>
      <c r="AN88" s="198" t="str">
        <f>IFNA(VLOOKUP($A88,'Tube Reactions'!$J$2:$K259,2,FALSE),"")</f>
        <v/>
      </c>
      <c r="AO88" s="199" t="str">
        <f t="shared" si="20"/>
        <v/>
      </c>
      <c r="AP88" s="186" t="str">
        <f t="shared" si="36"/>
        <v/>
      </c>
      <c r="AQ88" s="187" t="b">
        <f t="shared" si="5"/>
        <v>1</v>
      </c>
      <c r="AR88" s="188">
        <v>87.0</v>
      </c>
      <c r="AS88" s="189"/>
      <c r="AT88" s="55"/>
      <c r="AU88" s="110" t="s">
        <v>560</v>
      </c>
      <c r="AV88" s="169">
        <v>5.0</v>
      </c>
      <c r="AW88" s="118" t="b">
        <v>1</v>
      </c>
      <c r="AX88" s="190" t="b">
        <f t="shared" ref="AX88:AX96" si="47">IF(OR(AND(AL88=0,AW88),AND(AL88&lt;&gt;0,NOT(AW88))),TRUE,FALSE)</f>
        <v>1</v>
      </c>
      <c r="AY88" s="48">
        <f t="shared" si="33"/>
        <v>2</v>
      </c>
      <c r="BA88" s="191" t="b">
        <v>0</v>
      </c>
      <c r="BB88" s="18" t="str">
        <f t="shared" si="8"/>
        <v/>
      </c>
      <c r="BC88" s="18" t="str">
        <f t="shared" si="41"/>
        <v/>
      </c>
      <c r="BD88" s="48" t="str">
        <f t="shared" si="42"/>
        <v/>
      </c>
      <c r="BE88" s="192"/>
      <c r="BF88" s="76">
        <f t="shared" si="11"/>
        <v>44886</v>
      </c>
      <c r="BG88" s="114" t="str">
        <f t="shared" si="12"/>
        <v>RUN-ABRM_2022-11-21_RFR-087</v>
      </c>
      <c r="BH88" s="83">
        <f t="shared" si="13"/>
        <v>5</v>
      </c>
      <c r="BI88" s="83">
        <f t="shared" si="14"/>
        <v>3</v>
      </c>
      <c r="BJ88" s="83">
        <f t="shared" si="15"/>
        <v>3</v>
      </c>
      <c r="BK88" s="83">
        <f t="shared" si="16"/>
        <v>0</v>
      </c>
      <c r="BL88" s="200">
        <f>IFNA(IF(VLOOKUP(FLOOR($B88,1),'APS Tubes by Date IMPORT'!$B$2:$J259,1,FALSE)=FLOOR($BL87,1),IFERROR(0/0,""),VLOOKUP(FLOOR($B88,1),'APS Tubes by Date IMPORT'!$B$2:$J259,1,FALSE)),"")</f>
        <v>44886</v>
      </c>
      <c r="BM88" s="83">
        <f>IF(ISBLANK($BL88),IFERROR(0/0,""),VLOOKUP(FLOOR($B88,1),'APS Tubes by Date IMPORT'!$B$2:$J259,2,FALSE))</f>
        <v>7</v>
      </c>
      <c r="BN88" s="114"/>
      <c r="BO88" s="83" t="str">
        <f>VLOOKUP(FLOOR($B88,1),'APS Tubes by Date IMPORT'!$B88:$I259,6,FALSE)</f>
        <v>#N/A</v>
      </c>
      <c r="BP88" s="83">
        <v>7.0</v>
      </c>
      <c r="BQ88" s="193">
        <f t="shared" si="17"/>
        <v>0</v>
      </c>
      <c r="BR88" s="131">
        <v>3.0</v>
      </c>
      <c r="BS88" s="76" t="b">
        <f t="shared" si="18"/>
        <v>1</v>
      </c>
      <c r="BT88" s="194" t="str">
        <f t="shared" si="19"/>
        <v>Delete NULL</v>
      </c>
      <c r="BU88" s="195"/>
      <c r="BV88" s="195"/>
      <c r="BW88" s="195"/>
      <c r="BX88" s="195"/>
    </row>
    <row r="89">
      <c r="A89" s="18" t="str">
        <f>CONCATENATE("RUN-",'Process Ref'!$A$1,"_",TEXT(U89,"YYYY-MM-DD"),"_RFR-",TEXT(AR89,"000"),IF(EXACT(W89,"Initial"),"",CONCATENATE("_",W89)))</f>
        <v>RUN-ABRM_2022-11-21_RFR-088</v>
      </c>
      <c r="B89" s="168">
        <v>44886.4366087963</v>
      </c>
      <c r="C89" s="110"/>
      <c r="D89" s="110" t="s">
        <v>313</v>
      </c>
      <c r="E89" s="169">
        <v>6.0</v>
      </c>
      <c r="F89" s="110" t="s">
        <v>682</v>
      </c>
      <c r="G89" s="170" t="s">
        <v>683</v>
      </c>
      <c r="H89" s="170" t="s">
        <v>684</v>
      </c>
      <c r="I89" s="170" t="s">
        <v>685</v>
      </c>
      <c r="J89" s="172"/>
      <c r="K89" s="204"/>
      <c r="L89" s="246"/>
      <c r="M89" s="174"/>
      <c r="N89" s="174"/>
      <c r="O89" s="175"/>
      <c r="P89" s="118" t="b">
        <v>0</v>
      </c>
      <c r="Q89" s="176" t="b">
        <v>0</v>
      </c>
      <c r="R89" s="55"/>
      <c r="S89" s="118" t="b">
        <v>0</v>
      </c>
      <c r="T89" s="177" t="b">
        <v>0</v>
      </c>
      <c r="U89" s="178">
        <v>44886.0</v>
      </c>
      <c r="V89" s="179">
        <v>0.44375</v>
      </c>
      <c r="W89" s="245" t="s">
        <v>320</v>
      </c>
      <c r="X89" s="180"/>
      <c r="Y89" s="118" t="b">
        <v>0</v>
      </c>
      <c r="Z89" s="169">
        <v>6.0</v>
      </c>
      <c r="AA89" s="196">
        <f t="shared" si="1"/>
        <v>0</v>
      </c>
      <c r="AB89" s="197" t="b">
        <f t="shared" si="2"/>
        <v>1</v>
      </c>
      <c r="AC89" s="247">
        <v>4.0</v>
      </c>
      <c r="AD89" s="169">
        <v>0.0</v>
      </c>
      <c r="AE89" s="169">
        <v>0.0</v>
      </c>
      <c r="AF89" s="169">
        <v>0.0</v>
      </c>
      <c r="AG89" s="169">
        <v>0.0</v>
      </c>
      <c r="AH89" s="169">
        <v>0.0</v>
      </c>
      <c r="AI89" s="169">
        <v>0.0</v>
      </c>
      <c r="AJ89" s="182" t="b">
        <v>0</v>
      </c>
      <c r="AK89" s="183">
        <v>4.0</v>
      </c>
      <c r="AL89" s="169">
        <v>0.0</v>
      </c>
      <c r="AM89" s="169">
        <v>0.0</v>
      </c>
      <c r="AN89" s="198" t="str">
        <f>IFNA(VLOOKUP($A89,'Tube Reactions'!$J$2:$K259,2,FALSE),"")</f>
        <v/>
      </c>
      <c r="AO89" s="199" t="str">
        <f t="shared" si="20"/>
        <v/>
      </c>
      <c r="AP89" s="186" t="str">
        <f t="shared" si="36"/>
        <v/>
      </c>
      <c r="AQ89" s="187" t="b">
        <f t="shared" si="5"/>
        <v>1</v>
      </c>
      <c r="AR89" s="188">
        <v>88.0</v>
      </c>
      <c r="AS89" s="189"/>
      <c r="AT89" s="55"/>
      <c r="AU89" s="110" t="s">
        <v>560</v>
      </c>
      <c r="AV89" s="169">
        <v>6.0</v>
      </c>
      <c r="AW89" s="118" t="b">
        <v>1</v>
      </c>
      <c r="AX89" s="190" t="b">
        <f t="shared" si="47"/>
        <v>1</v>
      </c>
      <c r="AY89" s="48">
        <f t="shared" si="33"/>
        <v>2</v>
      </c>
      <c r="BA89" s="191" t="b">
        <v>0</v>
      </c>
      <c r="BB89" s="18" t="str">
        <f t="shared" si="8"/>
        <v/>
      </c>
      <c r="BC89" s="18" t="str">
        <f t="shared" si="41"/>
        <v/>
      </c>
      <c r="BD89" s="48" t="str">
        <f t="shared" si="42"/>
        <v/>
      </c>
      <c r="BE89" s="192"/>
      <c r="BF89" s="76">
        <f t="shared" si="11"/>
        <v>44886</v>
      </c>
      <c r="BG89" s="114" t="str">
        <f t="shared" si="12"/>
        <v>RUN-ABRM_2022-11-21_RFR-088</v>
      </c>
      <c r="BH89" s="83">
        <f t="shared" si="13"/>
        <v>6</v>
      </c>
      <c r="BI89" s="83">
        <f t="shared" si="14"/>
        <v>4</v>
      </c>
      <c r="BJ89" s="83">
        <f t="shared" si="15"/>
        <v>4</v>
      </c>
      <c r="BK89" s="83">
        <f t="shared" si="16"/>
        <v>0</v>
      </c>
      <c r="BL89" s="200" t="str">
        <f>IFNA(IF(VLOOKUP(FLOOR($B89,1),'APS Tubes by Date IMPORT'!$B$2:$J259,1,FALSE)=FLOOR($BL88,1),IFERROR(0/0,""),VLOOKUP(FLOOR($B89,1),'APS Tubes by Date IMPORT'!$B$2:$J259,1,FALSE)),"")</f>
        <v/>
      </c>
      <c r="BM89" s="83" t="str">
        <f>IF(ISBLANK($BL89),IFERROR(0/0,""),VLOOKUP(FLOOR($B89,1),'APS Tubes by Date IMPORT'!$B$2:$J259,2,FALSE))</f>
        <v/>
      </c>
      <c r="BN89" s="114"/>
      <c r="BO89" s="83" t="str">
        <f>VLOOKUP(FLOOR($B89,1),'APS Tubes by Date IMPORT'!$B89:$I259,6,FALSE)</f>
        <v>#N/A</v>
      </c>
      <c r="BP89" s="83">
        <v>7.0</v>
      </c>
      <c r="BQ89" s="193">
        <f t="shared" si="17"/>
        <v>7</v>
      </c>
      <c r="BR89" s="131">
        <v>3.0</v>
      </c>
      <c r="BS89" s="76" t="b">
        <f t="shared" si="18"/>
        <v>1</v>
      </c>
      <c r="BT89" s="194" t="str">
        <f t="shared" si="19"/>
        <v>Delete NULL</v>
      </c>
      <c r="BU89" s="195"/>
      <c r="BV89" s="195"/>
      <c r="BW89" s="195"/>
      <c r="BX89" s="195"/>
    </row>
    <row r="90">
      <c r="A90" s="18" t="str">
        <f>CONCATENATE("RUN-",'Process Ref'!$A$1,"_",TEXT(U90,"YYYY-MM-DD"),"_RFR-",TEXT(AR90,"000"),IF(EXACT(W90,"Initial"),"",CONCATENATE("_",W90)))</f>
        <v>RUN-ABRM_2022-11-22_RFR-089</v>
      </c>
      <c r="B90" s="168">
        <v>44887.39625</v>
      </c>
      <c r="C90" s="110"/>
      <c r="D90" s="110" t="s">
        <v>313</v>
      </c>
      <c r="E90" s="169">
        <v>13.0</v>
      </c>
      <c r="F90" s="110" t="s">
        <v>686</v>
      </c>
      <c r="G90" s="170" t="s">
        <v>687</v>
      </c>
      <c r="H90" s="170" t="s">
        <v>688</v>
      </c>
      <c r="I90" s="170" t="s">
        <v>689</v>
      </c>
      <c r="J90" s="172"/>
      <c r="K90" s="173" t="s">
        <v>690</v>
      </c>
      <c r="L90" s="246"/>
      <c r="M90" s="174"/>
      <c r="N90" s="174"/>
      <c r="O90" s="175"/>
      <c r="P90" s="118" t="b">
        <v>0</v>
      </c>
      <c r="Q90" s="176" t="b">
        <v>0</v>
      </c>
      <c r="R90" s="55"/>
      <c r="S90" s="118" t="b">
        <v>0</v>
      </c>
      <c r="T90" s="177" t="b">
        <v>0</v>
      </c>
      <c r="U90" s="178">
        <v>44887.0</v>
      </c>
      <c r="V90" s="179">
        <v>0.4375</v>
      </c>
      <c r="W90" s="110" t="s">
        <v>320</v>
      </c>
      <c r="X90" s="180"/>
      <c r="Y90" s="118" t="b">
        <v>0</v>
      </c>
      <c r="Z90" s="169">
        <v>13.0</v>
      </c>
      <c r="AA90" s="196">
        <f t="shared" si="1"/>
        <v>0</v>
      </c>
      <c r="AB90" s="197" t="b">
        <f t="shared" si="2"/>
        <v>1</v>
      </c>
      <c r="AC90" s="247">
        <v>11.0</v>
      </c>
      <c r="AD90" s="169">
        <v>0.0</v>
      </c>
      <c r="AE90" s="169">
        <v>0.0</v>
      </c>
      <c r="AF90" s="169">
        <v>0.0</v>
      </c>
      <c r="AG90" s="169">
        <v>0.0</v>
      </c>
      <c r="AH90" s="169">
        <v>0.0</v>
      </c>
      <c r="AI90" s="169">
        <v>0.0</v>
      </c>
      <c r="AJ90" s="182" t="b">
        <v>0</v>
      </c>
      <c r="AK90" s="183">
        <v>11.0</v>
      </c>
      <c r="AL90" s="169">
        <v>0.0</v>
      </c>
      <c r="AM90" s="169">
        <v>0.0</v>
      </c>
      <c r="AN90" s="198" t="str">
        <f>IFNA(VLOOKUP($A90,'Tube Reactions'!$J$2:$K259,2,FALSE),"")</f>
        <v/>
      </c>
      <c r="AO90" s="199" t="str">
        <f t="shared" si="20"/>
        <v/>
      </c>
      <c r="AP90" s="186" t="str">
        <f t="shared" si="36"/>
        <v/>
      </c>
      <c r="AQ90" s="187" t="b">
        <f t="shared" si="5"/>
        <v>1</v>
      </c>
      <c r="AR90" s="188">
        <v>89.0</v>
      </c>
      <c r="AS90" s="189"/>
      <c r="AT90" s="55"/>
      <c r="AU90" s="110" t="s">
        <v>560</v>
      </c>
      <c r="AV90" s="169">
        <v>13.0</v>
      </c>
      <c r="AW90" s="118" t="b">
        <v>1</v>
      </c>
      <c r="AX90" s="190" t="b">
        <f t="shared" si="47"/>
        <v>1</v>
      </c>
      <c r="AY90" s="48">
        <f t="shared" si="33"/>
        <v>2</v>
      </c>
      <c r="BA90" s="191" t="b">
        <v>1</v>
      </c>
      <c r="BB90" s="18" t="b">
        <f t="shared" si="8"/>
        <v>1</v>
      </c>
      <c r="BC90" s="18" t="b">
        <f t="shared" si="41"/>
        <v>1</v>
      </c>
      <c r="BD90" s="48">
        <f t="shared" si="42"/>
        <v>11</v>
      </c>
      <c r="BE90" s="192"/>
      <c r="BF90" s="76">
        <f t="shared" si="11"/>
        <v>44887</v>
      </c>
      <c r="BG90" s="114" t="str">
        <f t="shared" si="12"/>
        <v>RUN-ABRM_2022-11-22_RFR-089</v>
      </c>
      <c r="BH90" s="83">
        <f t="shared" si="13"/>
        <v>13</v>
      </c>
      <c r="BI90" s="83">
        <f t="shared" si="14"/>
        <v>11</v>
      </c>
      <c r="BJ90" s="83">
        <f t="shared" si="15"/>
        <v>11</v>
      </c>
      <c r="BK90" s="83">
        <f t="shared" si="16"/>
        <v>0</v>
      </c>
      <c r="BL90" s="200">
        <f>IFNA(IF(VLOOKUP(FLOOR($B90,1),'APS Tubes by Date IMPORT'!$B$2:$J259,1,FALSE)=FLOOR($BL89,1),IFERROR(0/0,""),VLOOKUP(FLOOR($B90,1),'APS Tubes by Date IMPORT'!$B$2:$J259,1,FALSE)),"")</f>
        <v>44887</v>
      </c>
      <c r="BM90" s="83">
        <f>IF(ISBLANK($BL90),IFERROR(0/0,""),VLOOKUP(FLOOR($B90,1),'APS Tubes by Date IMPORT'!$B$2:$J259,2,FALSE))</f>
        <v>11</v>
      </c>
      <c r="BN90" s="114"/>
      <c r="BO90" s="83" t="str">
        <f>VLOOKUP(FLOOR($B90,1),'APS Tubes by Date IMPORT'!$B90:$I259,6,FALSE)</f>
        <v>#N/A</v>
      </c>
      <c r="BP90" s="83">
        <v>7.0</v>
      </c>
      <c r="BQ90" s="193">
        <f t="shared" si="17"/>
        <v>-4</v>
      </c>
      <c r="BR90" s="131">
        <v>3.0</v>
      </c>
      <c r="BS90" s="76" t="b">
        <f t="shared" si="18"/>
        <v>1</v>
      </c>
      <c r="BT90" s="194" t="str">
        <f t="shared" si="19"/>
        <v>Delete NULL</v>
      </c>
      <c r="BU90" s="195"/>
      <c r="BV90" s="195"/>
      <c r="BW90" s="195"/>
      <c r="BX90" s="195"/>
    </row>
    <row r="91">
      <c r="A91" s="18" t="str">
        <f>CONCATENATE("RUN-",'Process Ref'!$A$1,"_",TEXT(U91,"YYYY-MM-DD"),"_RFR-",TEXT(AR91,"000"),IF(EXACT(W91,"Initial"),"",CONCATENATE("_",W91)))</f>
        <v>RUN-ABRM_2022-11-25_RFR-090</v>
      </c>
      <c r="B91" s="168">
        <v>44890.17716435185</v>
      </c>
      <c r="C91" s="110"/>
      <c r="D91" s="110" t="s">
        <v>313</v>
      </c>
      <c r="E91" s="169">
        <v>5.0</v>
      </c>
      <c r="F91" s="110" t="s">
        <v>691</v>
      </c>
      <c r="G91" s="170" t="s">
        <v>692</v>
      </c>
      <c r="H91" s="170" t="s">
        <v>693</v>
      </c>
      <c r="I91" s="170" t="s">
        <v>694</v>
      </c>
      <c r="J91" s="172"/>
      <c r="K91" s="204"/>
      <c r="L91" s="246"/>
      <c r="M91" s="174"/>
      <c r="N91" s="174"/>
      <c r="O91" s="175"/>
      <c r="P91" s="118" t="b">
        <v>0</v>
      </c>
      <c r="Q91" s="176" t="b">
        <v>0</v>
      </c>
      <c r="R91" s="55"/>
      <c r="S91" s="118" t="b">
        <v>0</v>
      </c>
      <c r="T91" s="177" t="b">
        <v>0</v>
      </c>
      <c r="U91" s="178">
        <v>44890.0</v>
      </c>
      <c r="V91" s="179">
        <v>0.20833333333333334</v>
      </c>
      <c r="W91" s="110" t="s">
        <v>320</v>
      </c>
      <c r="X91" s="180"/>
      <c r="Y91" s="118" t="b">
        <v>0</v>
      </c>
      <c r="Z91" s="169">
        <v>5.0</v>
      </c>
      <c r="AA91" s="196">
        <f t="shared" si="1"/>
        <v>0</v>
      </c>
      <c r="AB91" s="197" t="b">
        <f t="shared" si="2"/>
        <v>1</v>
      </c>
      <c r="AC91" s="247">
        <v>3.0</v>
      </c>
      <c r="AD91" s="169">
        <v>0.0</v>
      </c>
      <c r="AE91" s="169">
        <v>0.0</v>
      </c>
      <c r="AF91" s="169">
        <v>0.0</v>
      </c>
      <c r="AG91" s="169">
        <v>0.0</v>
      </c>
      <c r="AH91" s="169">
        <v>0.0</v>
      </c>
      <c r="AI91" s="169">
        <v>0.0</v>
      </c>
      <c r="AJ91" s="182" t="b">
        <v>0</v>
      </c>
      <c r="AK91" s="183">
        <v>3.0</v>
      </c>
      <c r="AL91" s="169">
        <v>0.0</v>
      </c>
      <c r="AM91" s="169">
        <v>0.0</v>
      </c>
      <c r="AN91" s="198" t="str">
        <f>IFNA(VLOOKUP($A91,'Tube Reactions'!$J$2:$K259,2,FALSE),"")</f>
        <v/>
      </c>
      <c r="AO91" s="199" t="str">
        <f t="shared" si="20"/>
        <v/>
      </c>
      <c r="AP91" s="186" t="str">
        <f t="shared" si="36"/>
        <v/>
      </c>
      <c r="AQ91" s="187" t="b">
        <f t="shared" si="5"/>
        <v>1</v>
      </c>
      <c r="AR91" s="188">
        <v>90.0</v>
      </c>
      <c r="AS91" s="189"/>
      <c r="AT91" s="55"/>
      <c r="AU91" s="110" t="s">
        <v>560</v>
      </c>
      <c r="AV91" s="169">
        <v>5.0</v>
      </c>
      <c r="AW91" s="118" t="b">
        <v>1</v>
      </c>
      <c r="AX91" s="190" t="b">
        <f t="shared" si="47"/>
        <v>1</v>
      </c>
      <c r="AY91" s="48">
        <f t="shared" si="33"/>
        <v>2</v>
      </c>
      <c r="BA91" s="191" t="b">
        <v>1</v>
      </c>
      <c r="BB91" s="18" t="b">
        <f t="shared" si="8"/>
        <v>1</v>
      </c>
      <c r="BC91" s="18" t="b">
        <f t="shared" si="41"/>
        <v>1</v>
      </c>
      <c r="BD91" s="48">
        <f t="shared" si="42"/>
        <v>3</v>
      </c>
      <c r="BE91" s="192"/>
      <c r="BF91" s="76">
        <f t="shared" si="11"/>
        <v>44890</v>
      </c>
      <c r="BG91" s="114" t="str">
        <f t="shared" si="12"/>
        <v>RUN-ABRM_2022-11-25_RFR-090</v>
      </c>
      <c r="BH91" s="83">
        <f t="shared" si="13"/>
        <v>5</v>
      </c>
      <c r="BI91" s="83">
        <f t="shared" si="14"/>
        <v>3</v>
      </c>
      <c r="BJ91" s="83">
        <f t="shared" si="15"/>
        <v>3</v>
      </c>
      <c r="BK91" s="83">
        <f t="shared" si="16"/>
        <v>0</v>
      </c>
      <c r="BL91" s="200">
        <f>IFNA(IF(VLOOKUP(FLOOR($B91,1),'APS Tubes by Date IMPORT'!$B$2:$J259,1,FALSE)=FLOOR($BL90,1),IFERROR(0/0,""),VLOOKUP(FLOOR($B91,1),'APS Tubes by Date IMPORT'!$B$2:$J259,1,FALSE)),"")</f>
        <v>44890</v>
      </c>
      <c r="BM91" s="83">
        <f>IF(ISBLANK($BL91),IFERROR(0/0,""),VLOOKUP(FLOOR($B91,1),'APS Tubes by Date IMPORT'!$B$2:$J259,2,FALSE))</f>
        <v>3</v>
      </c>
      <c r="BN91" s="114"/>
      <c r="BO91" s="83" t="str">
        <f>VLOOKUP(FLOOR($B91,1),'APS Tubes by Date IMPORT'!$B91:$I259,6,FALSE)</f>
        <v>#N/A</v>
      </c>
      <c r="BP91" s="83">
        <v>7.0</v>
      </c>
      <c r="BQ91" s="193">
        <f t="shared" si="17"/>
        <v>4</v>
      </c>
      <c r="BR91" s="131">
        <v>3.0</v>
      </c>
      <c r="BS91" s="76" t="b">
        <f t="shared" si="18"/>
        <v>1</v>
      </c>
      <c r="BT91" s="194" t="str">
        <f t="shared" si="19"/>
        <v>Delete NULL</v>
      </c>
      <c r="BU91" s="195"/>
      <c r="BV91" s="195"/>
      <c r="BW91" s="195"/>
      <c r="BX91" s="195"/>
    </row>
    <row r="92">
      <c r="A92" s="18" t="str">
        <f>CONCATENATE("RUN-",'Process Ref'!$A$1,"_",TEXT(U92,"YYYY-MM-DD"),"_RFR-",TEXT(AR92,"000"),IF(EXACT(W92,"Initial"),"",CONCATENATE("_",W92)))</f>
        <v>RUN-ABRM_2022-11-27_RFR-091</v>
      </c>
      <c r="B92" s="168">
        <v>44892.44872685185</v>
      </c>
      <c r="C92" s="110"/>
      <c r="D92" s="110" t="s">
        <v>313</v>
      </c>
      <c r="E92" s="169">
        <v>6.0</v>
      </c>
      <c r="F92" s="110" t="s">
        <v>695</v>
      </c>
      <c r="G92" s="170" t="s">
        <v>696</v>
      </c>
      <c r="H92" s="170" t="s">
        <v>697</v>
      </c>
      <c r="I92" s="170" t="s">
        <v>698</v>
      </c>
      <c r="J92" s="172"/>
      <c r="K92" s="173" t="s">
        <v>699</v>
      </c>
      <c r="L92" s="246"/>
      <c r="M92" s="174"/>
      <c r="N92" s="174"/>
      <c r="O92" s="175"/>
      <c r="P92" s="118" t="b">
        <v>0</v>
      </c>
      <c r="Q92" s="176" t="b">
        <v>0</v>
      </c>
      <c r="R92" s="55"/>
      <c r="S92" s="118" t="b">
        <v>0</v>
      </c>
      <c r="T92" s="177" t="b">
        <v>0</v>
      </c>
      <c r="U92" s="178">
        <v>44892.0</v>
      </c>
      <c r="V92" s="179">
        <v>0.4930555555555556</v>
      </c>
      <c r="W92" s="110" t="s">
        <v>320</v>
      </c>
      <c r="X92" s="203" t="s">
        <v>700</v>
      </c>
      <c r="Y92" s="118" t="b">
        <v>0</v>
      </c>
      <c r="Z92" s="169">
        <v>6.0</v>
      </c>
      <c r="AA92" s="196">
        <f t="shared" si="1"/>
        <v>0</v>
      </c>
      <c r="AB92" s="197" t="b">
        <f t="shared" si="2"/>
        <v>1</v>
      </c>
      <c r="AC92" s="247">
        <v>4.0</v>
      </c>
      <c r="AD92" s="169">
        <v>0.0</v>
      </c>
      <c r="AE92" s="169">
        <v>0.0</v>
      </c>
      <c r="AF92" s="169">
        <v>0.0</v>
      </c>
      <c r="AG92" s="169">
        <v>0.0</v>
      </c>
      <c r="AH92" s="169">
        <v>0.0</v>
      </c>
      <c r="AI92" s="169">
        <v>0.0</v>
      </c>
      <c r="AJ92" s="182" t="b">
        <v>0</v>
      </c>
      <c r="AK92" s="183">
        <v>4.0</v>
      </c>
      <c r="AL92" s="169">
        <v>0.0</v>
      </c>
      <c r="AM92" s="169">
        <v>0.0</v>
      </c>
      <c r="AN92" s="198" t="str">
        <f>IFNA(VLOOKUP($A92,'Tube Reactions'!$J$2:$K259,2,FALSE),"")</f>
        <v/>
      </c>
      <c r="AO92" s="199" t="str">
        <f t="shared" si="20"/>
        <v/>
      </c>
      <c r="AP92" s="186" t="str">
        <f t="shared" si="36"/>
        <v/>
      </c>
      <c r="AQ92" s="187" t="b">
        <f t="shared" si="5"/>
        <v>1</v>
      </c>
      <c r="AR92" s="188">
        <v>91.0</v>
      </c>
      <c r="AS92" s="189"/>
      <c r="AT92" s="55"/>
      <c r="AU92" s="110" t="s">
        <v>560</v>
      </c>
      <c r="AV92" s="169">
        <v>6.0</v>
      </c>
      <c r="AW92" s="118" t="b">
        <v>1</v>
      </c>
      <c r="AX92" s="190" t="b">
        <f t="shared" si="47"/>
        <v>1</v>
      </c>
      <c r="AY92" s="48">
        <f t="shared" si="33"/>
        <v>2</v>
      </c>
      <c r="BA92" s="191" t="b">
        <v>1</v>
      </c>
      <c r="BB92" s="18" t="b">
        <f t="shared" si="8"/>
        <v>1</v>
      </c>
      <c r="BC92" s="18" t="b">
        <f t="shared" si="41"/>
        <v>1</v>
      </c>
      <c r="BD92" s="48">
        <f t="shared" si="42"/>
        <v>4</v>
      </c>
      <c r="BE92" s="192"/>
      <c r="BF92" s="76">
        <f t="shared" si="11"/>
        <v>44892</v>
      </c>
      <c r="BG92" s="114" t="str">
        <f t="shared" si="12"/>
        <v>RUN-ABRM_2022-11-27_RFR-091</v>
      </c>
      <c r="BH92" s="83">
        <f t="shared" si="13"/>
        <v>6</v>
      </c>
      <c r="BI92" s="83">
        <f t="shared" si="14"/>
        <v>4</v>
      </c>
      <c r="BJ92" s="83">
        <f t="shared" si="15"/>
        <v>4</v>
      </c>
      <c r="BK92" s="83">
        <f t="shared" si="16"/>
        <v>0</v>
      </c>
      <c r="BL92" s="200">
        <f>IFNA(IF(VLOOKUP(FLOOR($B92,1),'APS Tubes by Date IMPORT'!$B$2:$J259,1,FALSE)=FLOOR($BL91,1),IFERROR(0/0,""),VLOOKUP(FLOOR($B92,1),'APS Tubes by Date IMPORT'!$B$2:$J259,1,FALSE)),"")</f>
        <v>44892</v>
      </c>
      <c r="BM92" s="83">
        <f>IF(ISBLANK($BL92),IFERROR(0/0,""),VLOOKUP(FLOOR($B92,1),'APS Tubes by Date IMPORT'!$B$2:$J259,2,FALSE))</f>
        <v>4</v>
      </c>
      <c r="BN92" s="114"/>
      <c r="BO92" s="83" t="str">
        <f>VLOOKUP(FLOOR($B92,1),'APS Tubes by Date IMPORT'!$B92:$I259,6,FALSE)</f>
        <v>#N/A</v>
      </c>
      <c r="BP92" s="83">
        <v>7.0</v>
      </c>
      <c r="BQ92" s="193">
        <f t="shared" si="17"/>
        <v>3</v>
      </c>
      <c r="BR92" s="131">
        <v>3.0</v>
      </c>
      <c r="BS92" s="76" t="b">
        <f t="shared" si="18"/>
        <v>1</v>
      </c>
      <c r="BT92" s="194" t="str">
        <f t="shared" si="19"/>
        <v>Delete NULL</v>
      </c>
      <c r="BU92" s="195"/>
      <c r="BV92" s="195"/>
      <c r="BW92" s="195"/>
      <c r="BX92" s="195"/>
    </row>
    <row r="93">
      <c r="A93" s="18" t="str">
        <f>CONCATENATE("RUN-",'Process Ref'!$A$1,"_",TEXT(U93,"YYYY-MM-DD"),"_RFR-",TEXT(AR93,"000"),IF(EXACT(W93,"Initial"),"",CONCATENATE("_",W93)))</f>
        <v>RUN-ABRM_2022-11-28_RFR-092</v>
      </c>
      <c r="B93" s="168">
        <v>44893.40788194445</v>
      </c>
      <c r="C93" s="110"/>
      <c r="D93" s="110" t="s">
        <v>313</v>
      </c>
      <c r="E93" s="169">
        <v>12.0</v>
      </c>
      <c r="F93" s="110" t="s">
        <v>701</v>
      </c>
      <c r="G93" s="170" t="s">
        <v>702</v>
      </c>
      <c r="H93" s="170" t="s">
        <v>703</v>
      </c>
      <c r="I93" s="170" t="s">
        <v>704</v>
      </c>
      <c r="J93" s="172"/>
      <c r="K93" s="173" t="s">
        <v>705</v>
      </c>
      <c r="L93" s="246"/>
      <c r="M93" s="174"/>
      <c r="N93" s="174"/>
      <c r="O93" s="175"/>
      <c r="P93" s="118" t="b">
        <v>0</v>
      </c>
      <c r="Q93" s="176" t="b">
        <v>0</v>
      </c>
      <c r="R93" s="55"/>
      <c r="S93" s="118" t="b">
        <v>0</v>
      </c>
      <c r="T93" s="177" t="b">
        <v>0</v>
      </c>
      <c r="U93" s="178">
        <v>44893.0</v>
      </c>
      <c r="V93" s="179">
        <v>0.4375</v>
      </c>
      <c r="W93" s="110" t="s">
        <v>320</v>
      </c>
      <c r="X93" s="180"/>
      <c r="Y93" s="118" t="b">
        <v>0</v>
      </c>
      <c r="Z93" s="169">
        <v>12.0</v>
      </c>
      <c r="AA93" s="196">
        <f t="shared" si="1"/>
        <v>0</v>
      </c>
      <c r="AB93" s="197" t="b">
        <f t="shared" si="2"/>
        <v>1</v>
      </c>
      <c r="AC93" s="247">
        <v>10.0</v>
      </c>
      <c r="AD93" s="169">
        <v>0.0</v>
      </c>
      <c r="AE93" s="169">
        <v>0.0</v>
      </c>
      <c r="AF93" s="169">
        <v>0.0</v>
      </c>
      <c r="AG93" s="169">
        <v>0.0</v>
      </c>
      <c r="AH93" s="169">
        <v>0.0</v>
      </c>
      <c r="AI93" s="169">
        <v>0.0</v>
      </c>
      <c r="AJ93" s="182" t="b">
        <v>0</v>
      </c>
      <c r="AK93" s="183">
        <v>10.0</v>
      </c>
      <c r="AL93" s="169">
        <v>0.0</v>
      </c>
      <c r="AM93" s="169">
        <v>0.0</v>
      </c>
      <c r="AN93" s="198" t="str">
        <f>IFNA(VLOOKUP($A93,'Tube Reactions'!$J$2:$K259,2,FALSE),"")</f>
        <v/>
      </c>
      <c r="AO93" s="199" t="str">
        <f t="shared" si="20"/>
        <v/>
      </c>
      <c r="AP93" s="186" t="str">
        <f t="shared" si="36"/>
        <v/>
      </c>
      <c r="AQ93" s="187" t="b">
        <f t="shared" si="5"/>
        <v>1</v>
      </c>
      <c r="AR93" s="188">
        <v>92.0</v>
      </c>
      <c r="AS93" s="189"/>
      <c r="AT93" s="55"/>
      <c r="AU93" s="110" t="s">
        <v>560</v>
      </c>
      <c r="AV93" s="169">
        <v>12.0</v>
      </c>
      <c r="AW93" s="118" t="b">
        <v>1</v>
      </c>
      <c r="AX93" s="190" t="b">
        <f t="shared" si="47"/>
        <v>1</v>
      </c>
      <c r="AY93" s="48">
        <f t="shared" si="33"/>
        <v>2</v>
      </c>
      <c r="BA93" s="191" t="b">
        <v>1</v>
      </c>
      <c r="BB93" s="18" t="b">
        <f t="shared" si="8"/>
        <v>1</v>
      </c>
      <c r="BC93" s="18" t="b">
        <f t="shared" si="41"/>
        <v>1</v>
      </c>
      <c r="BD93" s="48">
        <f t="shared" si="42"/>
        <v>10</v>
      </c>
      <c r="BE93" s="192"/>
      <c r="BF93" s="76">
        <f t="shared" si="11"/>
        <v>44893</v>
      </c>
      <c r="BG93" s="114" t="str">
        <f t="shared" si="12"/>
        <v>RUN-ABRM_2022-11-28_RFR-092</v>
      </c>
      <c r="BH93" s="83">
        <f t="shared" si="13"/>
        <v>12</v>
      </c>
      <c r="BI93" s="83">
        <f t="shared" si="14"/>
        <v>10</v>
      </c>
      <c r="BJ93" s="83">
        <f t="shared" si="15"/>
        <v>10</v>
      </c>
      <c r="BK93" s="83">
        <f t="shared" si="16"/>
        <v>0</v>
      </c>
      <c r="BL93" s="200">
        <f>IFNA(IF(VLOOKUP(FLOOR($B93,1),'APS Tubes by Date IMPORT'!$B$2:$J259,1,FALSE)=FLOOR($BL92,1),IFERROR(0/0,""),VLOOKUP(FLOOR($B93,1),'APS Tubes by Date IMPORT'!$B$2:$J259,1,FALSE)),"")</f>
        <v>44893</v>
      </c>
      <c r="BM93" s="83">
        <f>IF(ISBLANK($BL93),IFERROR(0/0,""),VLOOKUP(FLOOR($B93,1),'APS Tubes by Date IMPORT'!$B$2:$J259,2,FALSE))</f>
        <v>10</v>
      </c>
      <c r="BN93" s="114"/>
      <c r="BO93" s="83" t="str">
        <f>VLOOKUP(FLOOR($B93,1),'APS Tubes by Date IMPORT'!$B93:$I259,6,FALSE)</f>
        <v>#N/A</v>
      </c>
      <c r="BP93" s="83">
        <v>7.0</v>
      </c>
      <c r="BQ93" s="193">
        <f t="shared" si="17"/>
        <v>-3</v>
      </c>
      <c r="BR93" s="131">
        <v>3.0</v>
      </c>
      <c r="BS93" s="76" t="b">
        <f t="shared" si="18"/>
        <v>1</v>
      </c>
      <c r="BT93" s="194" t="str">
        <f t="shared" si="19"/>
        <v>Delete NULL</v>
      </c>
      <c r="BU93" s="195"/>
      <c r="BV93" s="195"/>
      <c r="BW93" s="195"/>
      <c r="BX93" s="195"/>
    </row>
    <row r="94">
      <c r="A94" s="18" t="str">
        <f>CONCATENATE("RUN-",'Process Ref'!$A$1,"_",TEXT(U94,"YYYY-MM-DD"),"_RFR-",TEXT(AR94,"000"),IF(EXACT(W94,"Initial"),"",CONCATENATE("_",W94)))</f>
        <v>RUN-ABRM_2022-11-29_RFR-093</v>
      </c>
      <c r="B94" s="168">
        <v>44894.495046296295</v>
      </c>
      <c r="C94" s="110"/>
      <c r="D94" s="110" t="s">
        <v>313</v>
      </c>
      <c r="E94" s="169">
        <v>13.0</v>
      </c>
      <c r="F94" s="110" t="s">
        <v>706</v>
      </c>
      <c r="G94" s="170" t="s">
        <v>707</v>
      </c>
      <c r="H94" s="170" t="s">
        <v>708</v>
      </c>
      <c r="I94" s="170" t="s">
        <v>709</v>
      </c>
      <c r="J94" s="172"/>
      <c r="K94" s="173" t="s">
        <v>710</v>
      </c>
      <c r="L94" s="246"/>
      <c r="M94" s="174"/>
      <c r="N94" s="174"/>
      <c r="O94" s="175"/>
      <c r="P94" s="118" t="b">
        <v>0</v>
      </c>
      <c r="Q94" s="176" t="b">
        <v>0</v>
      </c>
      <c r="R94" s="55"/>
      <c r="S94" s="118" t="b">
        <v>0</v>
      </c>
      <c r="T94" s="177" t="b">
        <v>0</v>
      </c>
      <c r="U94" s="178">
        <v>44894.0</v>
      </c>
      <c r="V94" s="179">
        <v>0.5208333333333334</v>
      </c>
      <c r="W94" s="110" t="s">
        <v>320</v>
      </c>
      <c r="X94" s="180"/>
      <c r="Y94" s="118" t="b">
        <v>0</v>
      </c>
      <c r="Z94" s="169">
        <v>13.0</v>
      </c>
      <c r="AA94" s="196">
        <f t="shared" si="1"/>
        <v>0</v>
      </c>
      <c r="AB94" s="197" t="b">
        <f t="shared" si="2"/>
        <v>1</v>
      </c>
      <c r="AC94" s="247">
        <v>11.0</v>
      </c>
      <c r="AD94" s="169">
        <v>0.0</v>
      </c>
      <c r="AE94" s="169">
        <v>0.0</v>
      </c>
      <c r="AF94" s="169">
        <v>0.0</v>
      </c>
      <c r="AG94" s="169">
        <v>0.0</v>
      </c>
      <c r="AH94" s="169">
        <v>0.0</v>
      </c>
      <c r="AI94" s="169">
        <v>0.0</v>
      </c>
      <c r="AJ94" s="182" t="b">
        <v>0</v>
      </c>
      <c r="AK94" s="183">
        <v>11.0</v>
      </c>
      <c r="AL94" s="169">
        <v>0.0</v>
      </c>
      <c r="AM94" s="169">
        <v>0.0</v>
      </c>
      <c r="AN94" s="198" t="str">
        <f>IFNA(VLOOKUP($A94,'Tube Reactions'!$J$2:$K259,2,FALSE),"")</f>
        <v/>
      </c>
      <c r="AO94" s="199" t="str">
        <f t="shared" si="20"/>
        <v/>
      </c>
      <c r="AP94" s="186" t="str">
        <f t="shared" si="36"/>
        <v/>
      </c>
      <c r="AQ94" s="187" t="b">
        <f t="shared" si="5"/>
        <v>1</v>
      </c>
      <c r="AR94" s="188">
        <v>93.0</v>
      </c>
      <c r="AS94" s="189"/>
      <c r="AT94" s="55"/>
      <c r="AU94" s="110" t="s">
        <v>560</v>
      </c>
      <c r="AV94" s="169">
        <v>13.0</v>
      </c>
      <c r="AW94" s="118" t="b">
        <v>1</v>
      </c>
      <c r="AX94" s="190" t="b">
        <f t="shared" si="47"/>
        <v>1</v>
      </c>
      <c r="AY94" s="48">
        <f t="shared" si="33"/>
        <v>2</v>
      </c>
      <c r="BA94" s="191" t="b">
        <v>1</v>
      </c>
      <c r="BB94" s="18" t="b">
        <f t="shared" si="8"/>
        <v>1</v>
      </c>
      <c r="BC94" s="18" t="b">
        <f t="shared" si="41"/>
        <v>1</v>
      </c>
      <c r="BD94" s="48">
        <f t="shared" si="42"/>
        <v>11</v>
      </c>
      <c r="BE94" s="192"/>
      <c r="BF94" s="76">
        <f t="shared" si="11"/>
        <v>44894</v>
      </c>
      <c r="BG94" s="114" t="str">
        <f t="shared" si="12"/>
        <v>RUN-ABRM_2022-11-29_RFR-093</v>
      </c>
      <c r="BH94" s="83">
        <f t="shared" si="13"/>
        <v>13</v>
      </c>
      <c r="BI94" s="83">
        <f t="shared" si="14"/>
        <v>11</v>
      </c>
      <c r="BJ94" s="83">
        <f t="shared" si="15"/>
        <v>11</v>
      </c>
      <c r="BK94" s="83">
        <f t="shared" si="16"/>
        <v>0</v>
      </c>
      <c r="BL94" s="200">
        <f>IFNA(IF(VLOOKUP(FLOOR($B94,1),'APS Tubes by Date IMPORT'!$B$2:$J259,1,FALSE)=FLOOR($BL93,1),IFERROR(0/0,""),VLOOKUP(FLOOR($B94,1),'APS Tubes by Date IMPORT'!$B$2:$J259,1,FALSE)),"")</f>
        <v>44894</v>
      </c>
      <c r="BM94" s="83">
        <f>IF(ISBLANK($BL94),IFERROR(0/0,""),VLOOKUP(FLOOR($B94,1),'APS Tubes by Date IMPORT'!$B$2:$J259,2,FALSE))</f>
        <v>11</v>
      </c>
      <c r="BN94" s="114"/>
      <c r="BO94" s="83" t="str">
        <f>VLOOKUP(FLOOR($B94,1),'APS Tubes by Date IMPORT'!$B94:$I259,6,FALSE)</f>
        <v>#N/A</v>
      </c>
      <c r="BP94" s="83">
        <v>7.0</v>
      </c>
      <c r="BQ94" s="193">
        <f t="shared" si="17"/>
        <v>-4</v>
      </c>
      <c r="BR94" s="131">
        <v>3.0</v>
      </c>
      <c r="BS94" s="76" t="b">
        <f t="shared" si="18"/>
        <v>1</v>
      </c>
      <c r="BT94" s="194" t="str">
        <f t="shared" si="19"/>
        <v>Delete NULL</v>
      </c>
      <c r="BU94" s="195"/>
      <c r="BV94" s="195"/>
      <c r="BW94" s="195"/>
      <c r="BX94" s="195"/>
    </row>
    <row r="95">
      <c r="A95" s="18" t="str">
        <f>CONCATENATE("RUN-",'Process Ref'!$A$1,"_",TEXT(U95,"YYYY-MM-DD"),"_RFR-",TEXT(AR95,"000"),IF(EXACT(W95,"Initial"),"",CONCATENATE("_",W95)))</f>
        <v>RUN-ABRM_2022-11-30_RFR-094</v>
      </c>
      <c r="B95" s="168">
        <v>44895.447488425925</v>
      </c>
      <c r="C95" s="110"/>
      <c r="D95" s="110" t="s">
        <v>313</v>
      </c>
      <c r="E95" s="169">
        <v>11.0</v>
      </c>
      <c r="F95" s="110" t="s">
        <v>711</v>
      </c>
      <c r="G95" s="170" t="s">
        <v>712</v>
      </c>
      <c r="H95" s="170" t="s">
        <v>713</v>
      </c>
      <c r="I95" s="170" t="s">
        <v>714</v>
      </c>
      <c r="J95" s="172"/>
      <c r="K95" s="173" t="s">
        <v>715</v>
      </c>
      <c r="L95" s="246"/>
      <c r="M95" s="174"/>
      <c r="N95" s="174"/>
      <c r="O95" s="175"/>
      <c r="P95" s="118" t="b">
        <v>0</v>
      </c>
      <c r="Q95" s="176" t="b">
        <v>0</v>
      </c>
      <c r="R95" s="55"/>
      <c r="S95" s="118" t="b">
        <v>0</v>
      </c>
      <c r="T95" s="177" t="b">
        <v>0</v>
      </c>
      <c r="U95" s="178">
        <v>44895.0</v>
      </c>
      <c r="V95" s="179">
        <v>0.4583333333333333</v>
      </c>
      <c r="W95" s="110" t="s">
        <v>320</v>
      </c>
      <c r="X95" s="180"/>
      <c r="Y95" s="118" t="b">
        <v>0</v>
      </c>
      <c r="Z95" s="169">
        <v>11.0</v>
      </c>
      <c r="AA95" s="196">
        <f t="shared" si="1"/>
        <v>0</v>
      </c>
      <c r="AB95" s="197" t="b">
        <f t="shared" si="2"/>
        <v>1</v>
      </c>
      <c r="AC95" s="247">
        <v>9.0</v>
      </c>
      <c r="AD95" s="169">
        <v>0.0</v>
      </c>
      <c r="AE95" s="169">
        <v>0.0</v>
      </c>
      <c r="AF95" s="169">
        <v>0.0</v>
      </c>
      <c r="AG95" s="169">
        <v>0.0</v>
      </c>
      <c r="AH95" s="169">
        <v>0.0</v>
      </c>
      <c r="AI95" s="169">
        <v>0.0</v>
      </c>
      <c r="AJ95" s="182" t="b">
        <v>0</v>
      </c>
      <c r="AK95" s="183">
        <v>9.0</v>
      </c>
      <c r="AL95" s="169">
        <v>0.0</v>
      </c>
      <c r="AM95" s="169">
        <v>0.0</v>
      </c>
      <c r="AN95" s="198" t="str">
        <f>IFNA(VLOOKUP($A95,'Tube Reactions'!$J$2:$K259,2,FALSE),"")</f>
        <v/>
      </c>
      <c r="AO95" s="199" t="str">
        <f t="shared" si="20"/>
        <v/>
      </c>
      <c r="AP95" s="186" t="str">
        <f t="shared" si="36"/>
        <v/>
      </c>
      <c r="AQ95" s="187" t="b">
        <f t="shared" si="5"/>
        <v>1</v>
      </c>
      <c r="AR95" s="188">
        <v>94.0</v>
      </c>
      <c r="AS95" s="189"/>
      <c r="AT95" s="55"/>
      <c r="AU95" s="110" t="s">
        <v>560</v>
      </c>
      <c r="AV95" s="169">
        <v>11.0</v>
      </c>
      <c r="AW95" s="118" t="b">
        <v>1</v>
      </c>
      <c r="AX95" s="190" t="b">
        <f t="shared" si="47"/>
        <v>1</v>
      </c>
      <c r="AY95" s="48">
        <f t="shared" si="33"/>
        <v>2</v>
      </c>
      <c r="BA95" s="191" t="b">
        <v>1</v>
      </c>
      <c r="BB95" s="18" t="b">
        <f t="shared" si="8"/>
        <v>1</v>
      </c>
      <c r="BC95" s="18" t="b">
        <f t="shared" si="41"/>
        <v>1</v>
      </c>
      <c r="BD95" s="48">
        <f t="shared" si="42"/>
        <v>9</v>
      </c>
      <c r="BE95" s="192"/>
      <c r="BF95" s="76">
        <f t="shared" si="11"/>
        <v>44895</v>
      </c>
      <c r="BG95" s="114" t="str">
        <f t="shared" si="12"/>
        <v>RUN-ABRM_2022-11-30_RFR-094</v>
      </c>
      <c r="BH95" s="83">
        <f t="shared" si="13"/>
        <v>11</v>
      </c>
      <c r="BI95" s="83">
        <f t="shared" si="14"/>
        <v>9</v>
      </c>
      <c r="BJ95" s="83">
        <f t="shared" si="15"/>
        <v>9</v>
      </c>
      <c r="BK95" s="83">
        <f t="shared" si="16"/>
        <v>0</v>
      </c>
      <c r="BL95" s="200">
        <f>IFNA(IF(VLOOKUP(FLOOR($B95,1),'APS Tubes by Date IMPORT'!$B$2:$J259,1,FALSE)=FLOOR($BL94,1),IFERROR(0/0,""),VLOOKUP(FLOOR($B95,1),'APS Tubes by Date IMPORT'!$B$2:$J259,1,FALSE)),"")</f>
        <v>44895</v>
      </c>
      <c r="BM95" s="83">
        <f>IF(ISBLANK($BL95),IFERROR(0/0,""),VLOOKUP(FLOOR($B95,1),'APS Tubes by Date IMPORT'!$B$2:$J259,2,FALSE))</f>
        <v>9</v>
      </c>
      <c r="BN95" s="114"/>
      <c r="BO95" s="83" t="str">
        <f>VLOOKUP(FLOOR($B95,1),'APS Tubes by Date IMPORT'!$B95:$I259,6,FALSE)</f>
        <v>#N/A</v>
      </c>
      <c r="BP95" s="83">
        <v>7.0</v>
      </c>
      <c r="BQ95" s="193">
        <f t="shared" si="17"/>
        <v>-2</v>
      </c>
      <c r="BR95" s="131">
        <v>3.0</v>
      </c>
      <c r="BS95" s="76" t="b">
        <f t="shared" si="18"/>
        <v>1</v>
      </c>
      <c r="BT95" s="194" t="str">
        <f t="shared" si="19"/>
        <v>Delete NULL</v>
      </c>
      <c r="BU95" s="195"/>
      <c r="BV95" s="195"/>
      <c r="BW95" s="195"/>
      <c r="BX95" s="195"/>
    </row>
    <row r="96">
      <c r="A96" s="18" t="str">
        <f>CONCATENATE("RUN-",'Process Ref'!$A$1,"_",TEXT(U96,"YYYY-MM-DD"),"_RFR-",TEXT(AR96,"000"),IF(EXACT(W96,"Initial"),"",CONCATENATE("_",W96)))</f>
        <v>RUN-ABRM_2022-12-01_RFR-095</v>
      </c>
      <c r="B96" s="168">
        <v>44896.475381944445</v>
      </c>
      <c r="C96" s="110"/>
      <c r="D96" s="110" t="s">
        <v>313</v>
      </c>
      <c r="E96" s="169">
        <v>9.0</v>
      </c>
      <c r="F96" s="110" t="s">
        <v>716</v>
      </c>
      <c r="G96" s="170" t="s">
        <v>717</v>
      </c>
      <c r="H96" s="170" t="s">
        <v>718</v>
      </c>
      <c r="I96" s="170" t="s">
        <v>719</v>
      </c>
      <c r="J96" s="169">
        <v>1.0</v>
      </c>
      <c r="K96" s="204"/>
      <c r="L96" s="246"/>
      <c r="M96" s="174"/>
      <c r="N96" s="174"/>
      <c r="O96" s="175"/>
      <c r="P96" s="118" t="b">
        <v>0</v>
      </c>
      <c r="Q96" s="176" t="b">
        <v>0</v>
      </c>
      <c r="R96" s="55"/>
      <c r="S96" s="118" t="b">
        <v>0</v>
      </c>
      <c r="T96" s="177" t="b">
        <v>1</v>
      </c>
      <c r="U96" s="178">
        <v>44896.0</v>
      </c>
      <c r="V96" s="179">
        <v>0.4791666666666667</v>
      </c>
      <c r="W96" s="110" t="s">
        <v>320</v>
      </c>
      <c r="X96" s="180"/>
      <c r="Y96" s="118" t="b">
        <v>0</v>
      </c>
      <c r="Z96" s="169">
        <v>9.0</v>
      </c>
      <c r="AA96" s="196">
        <f t="shared" si="1"/>
        <v>0</v>
      </c>
      <c r="AB96" s="197" t="b">
        <f t="shared" si="2"/>
        <v>1</v>
      </c>
      <c r="AC96" s="247">
        <v>7.0</v>
      </c>
      <c r="AD96" s="169">
        <v>1.0</v>
      </c>
      <c r="AE96" s="169">
        <v>1.0</v>
      </c>
      <c r="AF96" s="169">
        <v>0.0</v>
      </c>
      <c r="AG96" s="169">
        <v>0.0</v>
      </c>
      <c r="AH96" s="169">
        <v>0.0</v>
      </c>
      <c r="AI96" s="169">
        <v>0.0</v>
      </c>
      <c r="AJ96" s="182" t="b">
        <v>0</v>
      </c>
      <c r="AK96" s="183">
        <v>7.0</v>
      </c>
      <c r="AL96" s="169">
        <v>1.1</v>
      </c>
      <c r="AM96" s="169">
        <v>1.0</v>
      </c>
      <c r="AN96" s="198" t="str">
        <f>IFNA(VLOOKUP($A96,'Tube Reactions'!$J$2:$K259,2,FALSE),"")</f>
        <v/>
      </c>
      <c r="AO96" s="199" t="str">
        <f t="shared" si="20"/>
        <v>NOT EQUAL</v>
      </c>
      <c r="AP96" s="186" t="str">
        <f t="shared" si="36"/>
        <v/>
      </c>
      <c r="AQ96" s="187" t="b">
        <f t="shared" si="5"/>
        <v>1</v>
      </c>
      <c r="AR96" s="188">
        <v>95.0</v>
      </c>
      <c r="AS96" s="189"/>
      <c r="AT96" s="55"/>
      <c r="AU96" s="110" t="s">
        <v>560</v>
      </c>
      <c r="AV96" s="169">
        <v>9.0</v>
      </c>
      <c r="AW96" s="118" t="b">
        <v>0</v>
      </c>
      <c r="AX96" s="190" t="b">
        <f t="shared" si="47"/>
        <v>1</v>
      </c>
      <c r="AY96" s="48">
        <f t="shared" si="33"/>
        <v>2</v>
      </c>
      <c r="BA96" s="191" t="b">
        <v>0</v>
      </c>
      <c r="BB96" s="18" t="str">
        <f t="shared" si="8"/>
        <v/>
      </c>
      <c r="BC96" s="18" t="str">
        <f t="shared" si="41"/>
        <v/>
      </c>
      <c r="BD96" s="48" t="str">
        <f t="shared" si="42"/>
        <v/>
      </c>
      <c r="BE96" s="192"/>
      <c r="BF96" s="76">
        <f t="shared" si="11"/>
        <v>44896</v>
      </c>
      <c r="BG96" s="114" t="str">
        <f t="shared" si="12"/>
        <v>RUN-ABRM_2022-12-01_RFR-095</v>
      </c>
      <c r="BH96" s="83">
        <f t="shared" si="13"/>
        <v>9</v>
      </c>
      <c r="BI96" s="83">
        <f t="shared" si="14"/>
        <v>7</v>
      </c>
      <c r="BJ96" s="83">
        <f t="shared" si="15"/>
        <v>7</v>
      </c>
      <c r="BK96" s="83">
        <f t="shared" si="16"/>
        <v>1.1</v>
      </c>
      <c r="BL96" s="200">
        <f>IFNA(IF(VLOOKUP(FLOOR($B96,1),'APS Tubes by Date IMPORT'!$B$2:$J259,1,FALSE)=FLOOR($BL95,1),IFERROR(0/0,""),VLOOKUP(FLOOR($B96,1),'APS Tubes by Date IMPORT'!$B$2:$J259,1,FALSE)),"")</f>
        <v>44896</v>
      </c>
      <c r="BM96" s="83">
        <f>IF(ISBLANK($BL96),IFERROR(0/0,""),VLOOKUP(FLOOR($B96,1),'APS Tubes by Date IMPORT'!$B$2:$J259,2,FALSE))</f>
        <v>7</v>
      </c>
      <c r="BN96" s="114"/>
      <c r="BO96" s="83" t="str">
        <f>VLOOKUP(FLOOR($B96,1),'APS Tubes by Date IMPORT'!$B96:$I259,6,FALSE)</f>
        <v>#N/A</v>
      </c>
      <c r="BP96" s="83">
        <v>7.0</v>
      </c>
      <c r="BQ96" s="193">
        <f t="shared" si="17"/>
        <v>0</v>
      </c>
      <c r="BR96" s="131">
        <v>3.0</v>
      </c>
      <c r="BS96" s="76" t="b">
        <f t="shared" si="18"/>
        <v>1</v>
      </c>
      <c r="BT96" s="194" t="str">
        <f t="shared" si="19"/>
        <v>Delete NULL</v>
      </c>
      <c r="BU96" s="195"/>
      <c r="BV96" s="195"/>
      <c r="BW96" s="195"/>
      <c r="BX96" s="195"/>
    </row>
    <row r="97">
      <c r="A97" s="18" t="str">
        <f>CONCATENATE("RUN-",'Process Ref'!$A$1,"_",TEXT(U97,"YYYY-MM-DD"),"_RFR-",TEXT(AR97,"000"),IF(EXACT(W97,"Initial"),"",CONCATENATE("_",W97)))</f>
        <v>RUN-ABRM_2022-12-01_RFR-096_Re-run</v>
      </c>
      <c r="B97" s="168">
        <v>44896.47767361111</v>
      </c>
      <c r="C97" s="110"/>
      <c r="D97" s="110" t="s">
        <v>313</v>
      </c>
      <c r="E97" s="169">
        <v>5.0</v>
      </c>
      <c r="F97" s="110" t="s">
        <v>716</v>
      </c>
      <c r="G97" s="170" t="s">
        <v>720</v>
      </c>
      <c r="H97" s="170" t="s">
        <v>721</v>
      </c>
      <c r="I97" s="170" t="s">
        <v>722</v>
      </c>
      <c r="J97" s="172"/>
      <c r="K97" s="173" t="s">
        <v>723</v>
      </c>
      <c r="L97" s="246"/>
      <c r="M97" s="174"/>
      <c r="N97" s="174"/>
      <c r="O97" s="175"/>
      <c r="P97" s="118" t="b">
        <v>0</v>
      </c>
      <c r="Q97" s="176" t="b">
        <v>0</v>
      </c>
      <c r="R97" s="55"/>
      <c r="S97" s="118" t="b">
        <v>0</v>
      </c>
      <c r="T97" s="177" t="b">
        <v>1</v>
      </c>
      <c r="U97" s="178">
        <v>44896.0</v>
      </c>
      <c r="V97" s="179">
        <v>0.5277777777777778</v>
      </c>
      <c r="W97" s="110" t="s">
        <v>339</v>
      </c>
      <c r="X97" s="180"/>
      <c r="Y97" s="118" t="b">
        <v>0</v>
      </c>
      <c r="Z97" s="169">
        <v>5.0</v>
      </c>
      <c r="AA97" s="196">
        <f t="shared" si="1"/>
        <v>0</v>
      </c>
      <c r="AB97" s="197" t="b">
        <f t="shared" si="2"/>
        <v>1</v>
      </c>
      <c r="AC97" s="247">
        <v>3.0</v>
      </c>
      <c r="AD97" s="169">
        <v>0.0</v>
      </c>
      <c r="AE97" s="169">
        <v>0.0</v>
      </c>
      <c r="AF97" s="169">
        <v>0.0</v>
      </c>
      <c r="AG97" s="169">
        <v>0.0</v>
      </c>
      <c r="AH97" s="169">
        <v>0.0</v>
      </c>
      <c r="AI97" s="169">
        <v>0.0</v>
      </c>
      <c r="AJ97" s="182" t="b">
        <v>0</v>
      </c>
      <c r="AK97" s="183">
        <v>1.0</v>
      </c>
      <c r="AL97" s="169">
        <v>0.0</v>
      </c>
      <c r="AM97" s="172" t="str">
        <f>IF(EXACT(W97,"Initial"),"Audit","")</f>
        <v/>
      </c>
      <c r="AN97" s="198" t="str">
        <f>IFNA(VLOOKUP($A97,'Tube Reactions'!$J$2:$K259,2,FALSE),"")</f>
        <v/>
      </c>
      <c r="AO97" s="199" t="str">
        <f t="shared" si="20"/>
        <v/>
      </c>
      <c r="AP97" s="186" t="str">
        <f t="shared" si="36"/>
        <v/>
      </c>
      <c r="AQ97" s="187" t="b">
        <f t="shared" si="5"/>
        <v>1</v>
      </c>
      <c r="AR97" s="188">
        <v>96.0</v>
      </c>
      <c r="AS97" s="189"/>
      <c r="AT97" s="55"/>
      <c r="AU97" s="110" t="s">
        <v>560</v>
      </c>
      <c r="AV97" s="169">
        <v>5.0</v>
      </c>
      <c r="AW97" s="118"/>
      <c r="AX97" s="190"/>
      <c r="AY97" s="48">
        <f t="shared" si="33"/>
        <v>2</v>
      </c>
      <c r="BA97" s="191" t="b">
        <v>0</v>
      </c>
      <c r="BB97" s="18" t="str">
        <f t="shared" si="8"/>
        <v/>
      </c>
      <c r="BC97" s="18" t="str">
        <f t="shared" si="41"/>
        <v/>
      </c>
      <c r="BD97" s="48" t="str">
        <f t="shared" si="42"/>
        <v/>
      </c>
      <c r="BE97" s="192"/>
      <c r="BF97" s="76" t="str">
        <f t="shared" si="11"/>
        <v/>
      </c>
      <c r="BG97" s="114" t="str">
        <f t="shared" si="12"/>
        <v/>
      </c>
      <c r="BH97" s="83" t="str">
        <f t="shared" si="13"/>
        <v/>
      </c>
      <c r="BI97" s="83" t="str">
        <f t="shared" si="14"/>
        <v/>
      </c>
      <c r="BJ97" s="83" t="str">
        <f t="shared" si="15"/>
        <v/>
      </c>
      <c r="BK97" s="83" t="str">
        <f t="shared" si="16"/>
        <v/>
      </c>
      <c r="BL97" s="200" t="str">
        <f>IFNA(IF(VLOOKUP(FLOOR($B97,1),'APS Tubes by Date IMPORT'!$B$2:$J259,1,FALSE)=FLOOR($BL96,1),IFERROR(0/0,""),VLOOKUP(FLOOR($B97,1),'APS Tubes by Date IMPORT'!$B$2:$J259,1,FALSE)),"")</f>
        <v/>
      </c>
      <c r="BM97" s="83" t="str">
        <f>IF(ISBLANK($BL97),IFERROR(0/0,""),VLOOKUP(FLOOR($B97,1),'APS Tubes by Date IMPORT'!$B$2:$J259,2,FALSE))</f>
        <v/>
      </c>
      <c r="BN97" s="114"/>
      <c r="BO97" s="83" t="str">
        <f>VLOOKUP(FLOOR($B97,1),'APS Tubes by Date IMPORT'!$B97:$I259,6,FALSE)</f>
        <v>#N/A</v>
      </c>
      <c r="BP97" s="83">
        <v>7.0</v>
      </c>
      <c r="BQ97" s="193">
        <f t="shared" si="17"/>
        <v>7</v>
      </c>
      <c r="BR97" s="131">
        <v>3.0</v>
      </c>
      <c r="BS97" s="76" t="b">
        <f t="shared" si="18"/>
        <v>1</v>
      </c>
      <c r="BT97" s="194" t="str">
        <f t="shared" si="19"/>
        <v>Delete NULL</v>
      </c>
      <c r="BU97" s="195"/>
      <c r="BV97" s="195"/>
      <c r="BW97" s="195"/>
      <c r="BX97" s="195"/>
    </row>
    <row r="98">
      <c r="A98" s="18" t="str">
        <f>CONCATENATE("RUN-",'Process Ref'!$A$1,"_",TEXT(U98,"YYYY-MM-DD"),"_RFR-",TEXT(AR98,"000"),IF(EXACT(W98,"Initial"),"",CONCATENATE("_",W98)))</f>
        <v>RUN-ABRM_2022-12-02_RFR-097</v>
      </c>
      <c r="B98" s="168">
        <v>44897.3983912037</v>
      </c>
      <c r="C98" s="110"/>
      <c r="D98" s="110" t="s">
        <v>313</v>
      </c>
      <c r="E98" s="169">
        <v>8.0</v>
      </c>
      <c r="F98" s="110" t="s">
        <v>724</v>
      </c>
      <c r="G98" s="170" t="s">
        <v>725</v>
      </c>
      <c r="H98" s="170" t="s">
        <v>726</v>
      </c>
      <c r="I98" s="170" t="s">
        <v>727</v>
      </c>
      <c r="J98" s="172"/>
      <c r="K98" s="204"/>
      <c r="L98" s="246"/>
      <c r="M98" s="174"/>
      <c r="N98" s="174"/>
      <c r="O98" s="175"/>
      <c r="P98" s="118" t="b">
        <v>0</v>
      </c>
      <c r="Q98" s="176" t="b">
        <v>0</v>
      </c>
      <c r="R98" s="55"/>
      <c r="S98" s="118" t="b">
        <v>0</v>
      </c>
      <c r="T98" s="177" t="b">
        <v>0</v>
      </c>
      <c r="U98" s="178">
        <v>44897.0</v>
      </c>
      <c r="V98" s="179">
        <v>0.4270833333333333</v>
      </c>
      <c r="W98" s="110" t="s">
        <v>320</v>
      </c>
      <c r="X98" s="180"/>
      <c r="Y98" s="118" t="b">
        <v>0</v>
      </c>
      <c r="Z98" s="169">
        <v>8.0</v>
      </c>
      <c r="AA98" s="196">
        <f t="shared" si="1"/>
        <v>0</v>
      </c>
      <c r="AB98" s="197" t="b">
        <f t="shared" si="2"/>
        <v>1</v>
      </c>
      <c r="AC98" s="247">
        <v>6.0</v>
      </c>
      <c r="AD98" s="169">
        <v>0.0</v>
      </c>
      <c r="AE98" s="169">
        <v>0.0</v>
      </c>
      <c r="AF98" s="169">
        <v>0.0</v>
      </c>
      <c r="AG98" s="169">
        <v>0.0</v>
      </c>
      <c r="AH98" s="169">
        <v>0.0</v>
      </c>
      <c r="AI98" s="169">
        <v>0.0</v>
      </c>
      <c r="AJ98" s="182" t="b">
        <v>0</v>
      </c>
      <c r="AK98" s="183">
        <v>6.0</v>
      </c>
      <c r="AL98" s="169">
        <v>0.0</v>
      </c>
      <c r="AM98" s="169">
        <v>0.0</v>
      </c>
      <c r="AN98" s="198" t="str">
        <f>IFNA(VLOOKUP($A98,'Tube Reactions'!$J$2:$K259,2,FALSE),"")</f>
        <v/>
      </c>
      <c r="AO98" s="199" t="str">
        <f t="shared" si="20"/>
        <v/>
      </c>
      <c r="AP98" s="186" t="str">
        <f t="shared" si="36"/>
        <v/>
      </c>
      <c r="AQ98" s="187" t="b">
        <f t="shared" si="5"/>
        <v>1</v>
      </c>
      <c r="AR98" s="188">
        <v>97.0</v>
      </c>
      <c r="AS98" s="189"/>
      <c r="AT98" s="55"/>
      <c r="AU98" s="110" t="s">
        <v>560</v>
      </c>
      <c r="AV98" s="169">
        <v>8.0</v>
      </c>
      <c r="AW98" s="118" t="b">
        <v>1</v>
      </c>
      <c r="AX98" s="190" t="b">
        <f t="shared" ref="AX98:AX104" si="48">IF(OR(AND(AL98=0,AW98),AND(AL98&lt;&gt;0,NOT(AW98))),TRUE,FALSE)</f>
        <v>1</v>
      </c>
      <c r="AY98" s="48">
        <f t="shared" si="33"/>
        <v>2</v>
      </c>
      <c r="BA98" s="191" t="b">
        <v>1</v>
      </c>
      <c r="BB98" s="18" t="b">
        <f t="shared" si="8"/>
        <v>1</v>
      </c>
      <c r="BC98" s="18" t="b">
        <f t="shared" si="41"/>
        <v>1</v>
      </c>
      <c r="BD98" s="48">
        <f t="shared" si="42"/>
        <v>6</v>
      </c>
      <c r="BE98" s="192"/>
      <c r="BF98" s="76">
        <f t="shared" si="11"/>
        <v>44897</v>
      </c>
      <c r="BG98" s="114" t="str">
        <f t="shared" si="12"/>
        <v>RUN-ABRM_2022-12-02_RFR-097</v>
      </c>
      <c r="BH98" s="83">
        <f t="shared" si="13"/>
        <v>8</v>
      </c>
      <c r="BI98" s="83">
        <f t="shared" si="14"/>
        <v>6</v>
      </c>
      <c r="BJ98" s="83">
        <f t="shared" si="15"/>
        <v>6</v>
      </c>
      <c r="BK98" s="83">
        <f t="shared" si="16"/>
        <v>0</v>
      </c>
      <c r="BL98" s="200">
        <f>IFNA(IF(VLOOKUP(FLOOR($B98,1),'APS Tubes by Date IMPORT'!$B$2:$J259,1,FALSE)=FLOOR($BL97,1),IFERROR(0/0,""),VLOOKUP(FLOOR($B98,1),'APS Tubes by Date IMPORT'!$B$2:$J259,1,FALSE)),"")</f>
        <v>44897</v>
      </c>
      <c r="BM98" s="83">
        <f>IF(ISBLANK($BL98),IFERROR(0/0,""),VLOOKUP(FLOOR($B98,1),'APS Tubes by Date IMPORT'!$B$2:$J259,2,FALSE))</f>
        <v>6</v>
      </c>
      <c r="BN98" s="114"/>
      <c r="BO98" s="83" t="str">
        <f>VLOOKUP(FLOOR($B98,1),'APS Tubes by Date IMPORT'!$B98:$I259,6,FALSE)</f>
        <v>#N/A</v>
      </c>
      <c r="BP98" s="83">
        <v>7.0</v>
      </c>
      <c r="BQ98" s="193">
        <f t="shared" si="17"/>
        <v>1</v>
      </c>
      <c r="BR98" s="131">
        <v>3.0</v>
      </c>
      <c r="BS98" s="76" t="b">
        <f t="shared" si="18"/>
        <v>1</v>
      </c>
      <c r="BT98" s="194" t="str">
        <f t="shared" si="19"/>
        <v>Delete NULL</v>
      </c>
      <c r="BU98" s="248"/>
      <c r="BV98" s="248"/>
      <c r="BW98" s="248"/>
      <c r="BX98" s="248"/>
    </row>
    <row r="99">
      <c r="A99" s="18" t="str">
        <f>CONCATENATE("RUN-",'Process Ref'!$A$1,"_",TEXT(U99,"YYYY-MM-DD"),"_RFR-",TEXT(AR99,"000"),IF(EXACT(W99,"Initial"),"",CONCATENATE("_",W99)))</f>
        <v>RUN-ABRM_2022-12-05_RFR-098</v>
      </c>
      <c r="B99" s="168">
        <v>44900.44559027778</v>
      </c>
      <c r="C99" s="110"/>
      <c r="D99" s="110" t="s">
        <v>313</v>
      </c>
      <c r="E99" s="169">
        <v>10.0</v>
      </c>
      <c r="F99" s="110" t="s">
        <v>728</v>
      </c>
      <c r="G99" s="170" t="s">
        <v>729</v>
      </c>
      <c r="H99" s="170" t="s">
        <v>730</v>
      </c>
      <c r="I99" s="170" t="s">
        <v>731</v>
      </c>
      <c r="J99" s="172"/>
      <c r="K99" s="204"/>
      <c r="L99" s="246"/>
      <c r="M99" s="174"/>
      <c r="N99" s="174"/>
      <c r="O99" s="175"/>
      <c r="P99" s="118" t="b">
        <v>0</v>
      </c>
      <c r="Q99" s="176" t="b">
        <v>0</v>
      </c>
      <c r="R99" s="55"/>
      <c r="S99" s="118" t="b">
        <v>0</v>
      </c>
      <c r="T99" s="177" t="b">
        <v>0</v>
      </c>
      <c r="U99" s="178">
        <v>44900.0</v>
      </c>
      <c r="V99" s="179">
        <v>0.4583333333333333</v>
      </c>
      <c r="W99" s="110" t="s">
        <v>320</v>
      </c>
      <c r="X99" s="180"/>
      <c r="Y99" s="118" t="b">
        <v>0</v>
      </c>
      <c r="Z99" s="169">
        <v>10.0</v>
      </c>
      <c r="AA99" s="196">
        <f t="shared" si="1"/>
        <v>0</v>
      </c>
      <c r="AB99" s="197" t="b">
        <f t="shared" si="2"/>
        <v>1</v>
      </c>
      <c r="AC99" s="247">
        <v>8.0</v>
      </c>
      <c r="AD99" s="169">
        <v>0.0</v>
      </c>
      <c r="AE99" s="169">
        <v>0.0</v>
      </c>
      <c r="AF99" s="169">
        <v>0.0</v>
      </c>
      <c r="AG99" s="169">
        <v>0.0</v>
      </c>
      <c r="AH99" s="169">
        <v>0.0</v>
      </c>
      <c r="AI99" s="169">
        <v>0.0</v>
      </c>
      <c r="AJ99" s="182" t="b">
        <v>0</v>
      </c>
      <c r="AK99" s="183">
        <v>8.0</v>
      </c>
      <c r="AL99" s="169">
        <v>0.0</v>
      </c>
      <c r="AM99" s="169">
        <v>0.0</v>
      </c>
      <c r="AN99" s="198" t="str">
        <f>IFNA(VLOOKUP($A99,'Tube Reactions'!$J$2:$K259,2,FALSE),"")</f>
        <v/>
      </c>
      <c r="AO99" s="199" t="str">
        <f t="shared" si="20"/>
        <v/>
      </c>
      <c r="AP99" s="186" t="str">
        <f t="shared" si="36"/>
        <v/>
      </c>
      <c r="AQ99" s="187" t="b">
        <f t="shared" si="5"/>
        <v>1</v>
      </c>
      <c r="AR99" s="188">
        <v>98.0</v>
      </c>
      <c r="AS99" s="189"/>
      <c r="AT99" s="55"/>
      <c r="AU99" s="110" t="s">
        <v>560</v>
      </c>
      <c r="AV99" s="169">
        <v>10.0</v>
      </c>
      <c r="AW99" s="118" t="b">
        <v>1</v>
      </c>
      <c r="AX99" s="190" t="b">
        <f t="shared" si="48"/>
        <v>1</v>
      </c>
      <c r="AY99" s="48">
        <f t="shared" si="33"/>
        <v>2</v>
      </c>
      <c r="BA99" s="191" t="b">
        <v>1</v>
      </c>
      <c r="BB99" s="18" t="b">
        <f t="shared" si="8"/>
        <v>1</v>
      </c>
      <c r="BC99" s="18" t="b">
        <f t="shared" si="41"/>
        <v>1</v>
      </c>
      <c r="BD99" s="48">
        <f t="shared" si="42"/>
        <v>8</v>
      </c>
      <c r="BE99" s="192"/>
      <c r="BF99" s="76">
        <f t="shared" si="11"/>
        <v>44900</v>
      </c>
      <c r="BG99" s="114" t="str">
        <f t="shared" si="12"/>
        <v>RUN-ABRM_2022-12-05_RFR-098</v>
      </c>
      <c r="BH99" s="83">
        <f t="shared" si="13"/>
        <v>10</v>
      </c>
      <c r="BI99" s="83">
        <f t="shared" si="14"/>
        <v>8</v>
      </c>
      <c r="BJ99" s="83">
        <f t="shared" si="15"/>
        <v>8</v>
      </c>
      <c r="BK99" s="83">
        <f t="shared" si="16"/>
        <v>0</v>
      </c>
      <c r="BL99" s="200">
        <f>IFNA(IF(VLOOKUP(FLOOR($B99,1),'APS Tubes by Date IMPORT'!$B$2:$J259,1,FALSE)=FLOOR($BL98,1),IFERROR(0/0,""),VLOOKUP(FLOOR($B99,1),'APS Tubes by Date IMPORT'!$B$2:$J259,1,FALSE)),"")</f>
        <v>44900</v>
      </c>
      <c r="BM99" s="83">
        <f>IF(ISBLANK($BL99),IFERROR(0/0,""),VLOOKUP(FLOOR($B99,1),'APS Tubes by Date IMPORT'!$B$2:$J259,2,FALSE))</f>
        <v>8</v>
      </c>
      <c r="BN99" s="114"/>
      <c r="BO99" s="83" t="str">
        <f>VLOOKUP(FLOOR($B99,1),'APS Tubes by Date IMPORT'!$B99:$I259,6,FALSE)</f>
        <v>#N/A</v>
      </c>
      <c r="BP99" s="83">
        <v>7.0</v>
      </c>
      <c r="BQ99" s="193">
        <f t="shared" si="17"/>
        <v>-1</v>
      </c>
      <c r="BR99" s="131">
        <v>3.0</v>
      </c>
      <c r="BS99" s="76" t="b">
        <f t="shared" si="18"/>
        <v>1</v>
      </c>
      <c r="BT99" s="194" t="str">
        <f t="shared" si="19"/>
        <v>Delete NULL</v>
      </c>
      <c r="BU99" s="249"/>
      <c r="BV99" s="249"/>
      <c r="BW99" s="249"/>
      <c r="BX99" s="249"/>
    </row>
    <row r="100">
      <c r="A100" s="18" t="str">
        <f>CONCATENATE("RUN-",'Process Ref'!$A$1,"_",TEXT(U100,"YYYY-MM-DD"),"_RFR-",TEXT(AR100,"000"),IF(EXACT(W100,"Initial"),"",CONCATENATE("_",W100)))</f>
        <v>RUN-ABRM_2022-12-06_RFR-099</v>
      </c>
      <c r="B100" s="168">
        <v>44901.42532407407</v>
      </c>
      <c r="C100" s="110"/>
      <c r="D100" s="110" t="s">
        <v>313</v>
      </c>
      <c r="E100" s="169">
        <v>10.0</v>
      </c>
      <c r="F100" s="110" t="s">
        <v>732</v>
      </c>
      <c r="G100" s="170" t="s">
        <v>733</v>
      </c>
      <c r="H100" s="170" t="s">
        <v>734</v>
      </c>
      <c r="I100" s="170" t="s">
        <v>735</v>
      </c>
      <c r="J100" s="172"/>
      <c r="K100" s="204"/>
      <c r="L100" s="246"/>
      <c r="M100" s="174"/>
      <c r="N100" s="174"/>
      <c r="O100" s="175"/>
      <c r="P100" s="118" t="b">
        <v>0</v>
      </c>
      <c r="Q100" s="176" t="b">
        <v>0</v>
      </c>
      <c r="R100" s="55"/>
      <c r="S100" s="118" t="b">
        <v>0</v>
      </c>
      <c r="T100" s="177" t="b">
        <v>0</v>
      </c>
      <c r="U100" s="178">
        <v>44901.0</v>
      </c>
      <c r="V100" s="179">
        <v>0.4513888888888889</v>
      </c>
      <c r="W100" s="110" t="s">
        <v>320</v>
      </c>
      <c r="X100" s="180"/>
      <c r="Y100" s="118" t="b">
        <v>0</v>
      </c>
      <c r="Z100" s="169">
        <v>10.0</v>
      </c>
      <c r="AA100" s="196">
        <f t="shared" si="1"/>
        <v>0</v>
      </c>
      <c r="AB100" s="197" t="b">
        <f t="shared" si="2"/>
        <v>1</v>
      </c>
      <c r="AC100" s="247">
        <v>8.0</v>
      </c>
      <c r="AD100" s="169">
        <v>0.0</v>
      </c>
      <c r="AE100" s="169">
        <v>0.0</v>
      </c>
      <c r="AF100" s="169">
        <v>0.0</v>
      </c>
      <c r="AG100" s="169">
        <v>0.0</v>
      </c>
      <c r="AH100" s="169">
        <v>0.0</v>
      </c>
      <c r="AI100" s="169">
        <v>0.0</v>
      </c>
      <c r="AJ100" s="182" t="b">
        <v>0</v>
      </c>
      <c r="AK100" s="183">
        <v>8.0</v>
      </c>
      <c r="AL100" s="169">
        <v>0.0</v>
      </c>
      <c r="AM100" s="169">
        <v>0.0</v>
      </c>
      <c r="AN100" s="198" t="str">
        <f>IFNA(VLOOKUP($A100,'Tube Reactions'!$J$2:$K259,2,FALSE),"")</f>
        <v/>
      </c>
      <c r="AO100" s="199" t="str">
        <f t="shared" si="20"/>
        <v/>
      </c>
      <c r="AP100" s="186" t="str">
        <f t="shared" si="36"/>
        <v/>
      </c>
      <c r="AQ100" s="187" t="b">
        <f t="shared" si="5"/>
        <v>1</v>
      </c>
      <c r="AR100" s="188">
        <v>99.0</v>
      </c>
      <c r="AS100" s="189"/>
      <c r="AT100" s="55"/>
      <c r="AU100" s="110" t="s">
        <v>560</v>
      </c>
      <c r="AV100" s="169">
        <v>10.0</v>
      </c>
      <c r="AW100" s="118" t="b">
        <v>1</v>
      </c>
      <c r="AX100" s="190" t="b">
        <f t="shared" si="48"/>
        <v>1</v>
      </c>
      <c r="AY100" s="48">
        <f t="shared" si="33"/>
        <v>2</v>
      </c>
      <c r="BA100" s="191" t="b">
        <v>1</v>
      </c>
      <c r="BB100" s="18" t="b">
        <f t="shared" si="8"/>
        <v>1</v>
      </c>
      <c r="BC100" s="18" t="b">
        <f t="shared" si="41"/>
        <v>1</v>
      </c>
      <c r="BD100" s="48">
        <f t="shared" si="42"/>
        <v>8</v>
      </c>
      <c r="BE100" s="192"/>
      <c r="BF100" s="76">
        <f t="shared" si="11"/>
        <v>44901</v>
      </c>
      <c r="BG100" s="114" t="str">
        <f t="shared" si="12"/>
        <v>RUN-ABRM_2022-12-06_RFR-099</v>
      </c>
      <c r="BH100" s="83">
        <f t="shared" si="13"/>
        <v>10</v>
      </c>
      <c r="BI100" s="83">
        <f t="shared" si="14"/>
        <v>8</v>
      </c>
      <c r="BJ100" s="83">
        <f t="shared" si="15"/>
        <v>8</v>
      </c>
      <c r="BK100" s="83">
        <f t="shared" si="16"/>
        <v>0</v>
      </c>
      <c r="BL100" s="200">
        <f>IFNA(IF(VLOOKUP(FLOOR($B100,1),'APS Tubes by Date IMPORT'!$B$2:$J259,1,FALSE)=FLOOR($BL99,1),IFERROR(0/0,""),VLOOKUP(FLOOR($B100,1),'APS Tubes by Date IMPORT'!$B$2:$J259,1,FALSE)),"")</f>
        <v>44901</v>
      </c>
      <c r="BM100" s="83">
        <f>IF(ISBLANK($BL100),IFERROR(0/0,""),VLOOKUP(FLOOR($B100,1),'APS Tubes by Date IMPORT'!$B$2:$J259,2,FALSE))</f>
        <v>8</v>
      </c>
      <c r="BN100" s="114"/>
      <c r="BO100" s="83" t="str">
        <f>VLOOKUP(FLOOR($B100,1),'APS Tubes by Date IMPORT'!$B100:$I259,6,FALSE)</f>
        <v>#N/A</v>
      </c>
      <c r="BP100" s="83">
        <v>7.0</v>
      </c>
      <c r="BQ100" s="193">
        <f t="shared" si="17"/>
        <v>-1</v>
      </c>
      <c r="BR100" s="131">
        <v>3.0</v>
      </c>
      <c r="BS100" s="76" t="b">
        <f t="shared" si="18"/>
        <v>1</v>
      </c>
      <c r="BT100" s="194" t="str">
        <f t="shared" si="19"/>
        <v>Delete NULL</v>
      </c>
      <c r="BU100" s="249"/>
      <c r="BV100" s="249"/>
      <c r="BW100" s="249"/>
      <c r="BX100" s="249"/>
    </row>
    <row r="101">
      <c r="A101" s="18" t="str">
        <f>CONCATENATE("RUN-",'Process Ref'!$A$1,"_",TEXT(U101,"YYYY-MM-DD"),"_RFR-",TEXT(AR101,"000"),IF(EXACT(W101,"Initial"),"",CONCATENATE("_",W101)))</f>
        <v>RUN-ABRM_2022-12-07_RFR-100</v>
      </c>
      <c r="B101" s="168">
        <v>44902.416041666664</v>
      </c>
      <c r="C101" s="110"/>
      <c r="D101" s="110" t="s">
        <v>313</v>
      </c>
      <c r="E101" s="169">
        <v>10.0</v>
      </c>
      <c r="F101" s="110" t="s">
        <v>736</v>
      </c>
      <c r="G101" s="170" t="s">
        <v>737</v>
      </c>
      <c r="H101" s="170" t="s">
        <v>738</v>
      </c>
      <c r="I101" s="170" t="s">
        <v>739</v>
      </c>
      <c r="J101" s="172"/>
      <c r="K101" s="204"/>
      <c r="L101" s="246"/>
      <c r="M101" s="174"/>
      <c r="N101" s="174"/>
      <c r="O101" s="175"/>
      <c r="P101" s="118" t="b">
        <v>0</v>
      </c>
      <c r="Q101" s="176" t="b">
        <v>0</v>
      </c>
      <c r="R101" s="55"/>
      <c r="S101" s="118" t="b">
        <v>0</v>
      </c>
      <c r="T101" s="177" t="b">
        <v>0</v>
      </c>
      <c r="U101" s="178">
        <v>44902.0</v>
      </c>
      <c r="V101" s="179">
        <v>0.4444444444444444</v>
      </c>
      <c r="W101" s="110" t="s">
        <v>320</v>
      </c>
      <c r="X101" s="180"/>
      <c r="Y101" s="118" t="b">
        <v>0</v>
      </c>
      <c r="Z101" s="169">
        <v>10.0</v>
      </c>
      <c r="AA101" s="196">
        <f t="shared" si="1"/>
        <v>0</v>
      </c>
      <c r="AB101" s="197" t="b">
        <f t="shared" si="2"/>
        <v>1</v>
      </c>
      <c r="AC101" s="247">
        <v>8.0</v>
      </c>
      <c r="AD101" s="169">
        <v>0.0</v>
      </c>
      <c r="AE101" s="169">
        <v>0.0</v>
      </c>
      <c r="AF101" s="169">
        <v>0.0</v>
      </c>
      <c r="AG101" s="169">
        <v>0.0</v>
      </c>
      <c r="AH101" s="169">
        <v>0.0</v>
      </c>
      <c r="AI101" s="169">
        <v>0.0</v>
      </c>
      <c r="AJ101" s="182" t="b">
        <v>0</v>
      </c>
      <c r="AK101" s="183">
        <v>8.0</v>
      </c>
      <c r="AL101" s="169">
        <v>0.0</v>
      </c>
      <c r="AM101" s="169">
        <v>0.0</v>
      </c>
      <c r="AN101" s="198" t="str">
        <f>IFNA(VLOOKUP($A101,'Tube Reactions'!$J$2:$K259,2,FALSE),"")</f>
        <v/>
      </c>
      <c r="AO101" s="199" t="str">
        <f t="shared" si="20"/>
        <v/>
      </c>
      <c r="AP101" s="186" t="str">
        <f t="shared" si="36"/>
        <v/>
      </c>
      <c r="AQ101" s="187" t="b">
        <f t="shared" si="5"/>
        <v>1</v>
      </c>
      <c r="AR101" s="188">
        <v>100.0</v>
      </c>
      <c r="AS101" s="189"/>
      <c r="AT101" s="55"/>
      <c r="AU101" s="110" t="s">
        <v>560</v>
      </c>
      <c r="AV101" s="169">
        <v>10.0</v>
      </c>
      <c r="AW101" s="118" t="b">
        <v>1</v>
      </c>
      <c r="AX101" s="190" t="b">
        <f t="shared" si="48"/>
        <v>1</v>
      </c>
      <c r="AY101" s="48">
        <f t="shared" si="33"/>
        <v>2</v>
      </c>
      <c r="BA101" s="191" t="b">
        <v>1</v>
      </c>
      <c r="BB101" s="18" t="b">
        <f t="shared" si="8"/>
        <v>1</v>
      </c>
      <c r="BC101" s="18" t="b">
        <f t="shared" si="41"/>
        <v>1</v>
      </c>
      <c r="BD101" s="48">
        <f t="shared" si="42"/>
        <v>8</v>
      </c>
      <c r="BE101" s="192"/>
      <c r="BF101" s="76">
        <f t="shared" si="11"/>
        <v>44902</v>
      </c>
      <c r="BG101" s="114" t="str">
        <f t="shared" si="12"/>
        <v>RUN-ABRM_2022-12-07_RFR-100</v>
      </c>
      <c r="BH101" s="83">
        <f t="shared" si="13"/>
        <v>10</v>
      </c>
      <c r="BI101" s="83">
        <f t="shared" si="14"/>
        <v>8</v>
      </c>
      <c r="BJ101" s="83">
        <f t="shared" si="15"/>
        <v>8</v>
      </c>
      <c r="BK101" s="83">
        <f t="shared" si="16"/>
        <v>0</v>
      </c>
      <c r="BL101" s="200">
        <f>IFNA(IF(VLOOKUP(FLOOR($B101,1),'APS Tubes by Date IMPORT'!$B$2:$J259,1,FALSE)=FLOOR($BL100,1),IFERROR(0/0,""),VLOOKUP(FLOOR($B101,1),'APS Tubes by Date IMPORT'!$B$2:$J259,1,FALSE)),"")</f>
        <v>44902</v>
      </c>
      <c r="BM101" s="83">
        <f>IF(ISBLANK($BL101),IFERROR(0/0,""),VLOOKUP(FLOOR($B101,1),'APS Tubes by Date IMPORT'!$B$2:$J259,2,FALSE))</f>
        <v>8</v>
      </c>
      <c r="BN101" s="114"/>
      <c r="BO101" s="83" t="str">
        <f>VLOOKUP(FLOOR($B101,1),'APS Tubes by Date IMPORT'!$B101:$I259,6,FALSE)</f>
        <v>#N/A</v>
      </c>
      <c r="BP101" s="83">
        <v>7.0</v>
      </c>
      <c r="BQ101" s="193">
        <f t="shared" si="17"/>
        <v>-1</v>
      </c>
      <c r="BR101" s="131">
        <v>3.0</v>
      </c>
      <c r="BS101" s="76" t="b">
        <f t="shared" si="18"/>
        <v>1</v>
      </c>
      <c r="BT101" s="194" t="str">
        <f t="shared" si="19"/>
        <v>Delete NULL</v>
      </c>
      <c r="BU101" s="249"/>
      <c r="BV101" s="249"/>
      <c r="BW101" s="249"/>
      <c r="BX101" s="249"/>
    </row>
    <row r="102">
      <c r="A102" s="18" t="str">
        <f>CONCATENATE("RUN-",'Process Ref'!$A$1,"_",TEXT(U102,"YYYY-MM-DD"),"_RFR-",TEXT(AR102,"000"),IF(EXACT(W102,"Initial"),"",CONCATENATE("_",W102)))</f>
        <v>RUN-ABRM_2022-12-08_RFR-101</v>
      </c>
      <c r="B102" s="168">
        <v>44903.42423611111</v>
      </c>
      <c r="C102" s="110"/>
      <c r="D102" s="110" t="s">
        <v>313</v>
      </c>
      <c r="E102" s="169">
        <v>9.0</v>
      </c>
      <c r="F102" s="110" t="s">
        <v>740</v>
      </c>
      <c r="G102" s="170" t="s">
        <v>741</v>
      </c>
      <c r="H102" s="170" t="s">
        <v>742</v>
      </c>
      <c r="I102" s="170" t="s">
        <v>743</v>
      </c>
      <c r="J102" s="172"/>
      <c r="K102" s="173" t="s">
        <v>744</v>
      </c>
      <c r="L102" s="246"/>
      <c r="M102" s="174"/>
      <c r="N102" s="174"/>
      <c r="O102" s="175"/>
      <c r="P102" s="118" t="b">
        <v>0</v>
      </c>
      <c r="Q102" s="176" t="b">
        <v>0</v>
      </c>
      <c r="R102" s="55"/>
      <c r="S102" s="118" t="b">
        <v>0</v>
      </c>
      <c r="T102" s="177" t="b">
        <v>1</v>
      </c>
      <c r="U102" s="178">
        <v>44903.0</v>
      </c>
      <c r="V102" s="179">
        <v>0.4375</v>
      </c>
      <c r="W102" s="110" t="s">
        <v>320</v>
      </c>
      <c r="X102" s="180"/>
      <c r="Y102" s="118" t="b">
        <v>1</v>
      </c>
      <c r="Z102" s="169">
        <v>9.0</v>
      </c>
      <c r="AA102" s="196">
        <f t="shared" si="1"/>
        <v>0</v>
      </c>
      <c r="AB102" s="197" t="b">
        <f t="shared" si="2"/>
        <v>1</v>
      </c>
      <c r="AC102" s="247">
        <v>7.0</v>
      </c>
      <c r="AD102" s="169">
        <v>0.0</v>
      </c>
      <c r="AE102" s="169">
        <v>0.0</v>
      </c>
      <c r="AF102" s="169">
        <v>0.0</v>
      </c>
      <c r="AG102" s="169">
        <v>1.0</v>
      </c>
      <c r="AH102" s="169">
        <v>1.0</v>
      </c>
      <c r="AI102" s="169">
        <v>1.0</v>
      </c>
      <c r="AJ102" s="182" t="b">
        <v>0</v>
      </c>
      <c r="AK102" s="183">
        <v>7.0</v>
      </c>
      <c r="AL102" s="169">
        <v>4.0</v>
      </c>
      <c r="AM102" s="169">
        <v>1.0</v>
      </c>
      <c r="AN102" s="198" t="str">
        <f>IFNA(VLOOKUP($A102,'Tube Reactions'!$J$2:$K259,2,FALSE),"")</f>
        <v/>
      </c>
      <c r="AO102" s="199" t="str">
        <f t="shared" si="20"/>
        <v>NOT EQUAL</v>
      </c>
      <c r="AP102" s="186" t="str">
        <f t="shared" si="36"/>
        <v/>
      </c>
      <c r="AQ102" s="187" t="b">
        <f t="shared" si="5"/>
        <v>1</v>
      </c>
      <c r="AR102" s="188">
        <v>101.0</v>
      </c>
      <c r="AS102" s="189"/>
      <c r="AT102" s="55"/>
      <c r="AU102" s="110" t="s">
        <v>560</v>
      </c>
      <c r="AV102" s="169">
        <v>9.0</v>
      </c>
      <c r="AW102" s="118" t="b">
        <v>0</v>
      </c>
      <c r="AX102" s="190" t="b">
        <f t="shared" si="48"/>
        <v>1</v>
      </c>
      <c r="AY102" s="48">
        <f t="shared" si="33"/>
        <v>2</v>
      </c>
      <c r="BA102" s="191" t="b">
        <v>0</v>
      </c>
      <c r="BB102" s="18" t="str">
        <f t="shared" si="8"/>
        <v/>
      </c>
      <c r="BC102" s="18" t="str">
        <f t="shared" si="41"/>
        <v/>
      </c>
      <c r="BD102" s="48" t="str">
        <f t="shared" si="42"/>
        <v/>
      </c>
      <c r="BE102" s="192"/>
      <c r="BF102" s="76">
        <f t="shared" si="11"/>
        <v>44903</v>
      </c>
      <c r="BG102" s="114" t="str">
        <f t="shared" si="12"/>
        <v>RUN-ABRM_2022-12-08_RFR-101</v>
      </c>
      <c r="BH102" s="83">
        <f t="shared" si="13"/>
        <v>9</v>
      </c>
      <c r="BI102" s="83">
        <f t="shared" si="14"/>
        <v>7</v>
      </c>
      <c r="BJ102" s="83">
        <f t="shared" si="15"/>
        <v>7</v>
      </c>
      <c r="BK102" s="83">
        <f t="shared" si="16"/>
        <v>4</v>
      </c>
      <c r="BL102" s="200">
        <f>IFNA(IF(VLOOKUP(FLOOR($B102,1),'APS Tubes by Date IMPORT'!$B$2:$J259,1,FALSE)=FLOOR($BL101,1),IFERROR(0/0,""),VLOOKUP(FLOOR($B102,1),'APS Tubes by Date IMPORT'!$B$2:$J259,1,FALSE)),"")</f>
        <v>44903</v>
      </c>
      <c r="BM102" s="83">
        <f>IF(ISBLANK($BL102),IFERROR(0/0,""),VLOOKUP(FLOOR($B102,1),'APS Tubes by Date IMPORT'!$B$2:$J259,2,FALSE))</f>
        <v>7</v>
      </c>
      <c r="BN102" s="114"/>
      <c r="BO102" s="83" t="str">
        <f>VLOOKUP(FLOOR($B102,1),'APS Tubes by Date IMPORT'!$B102:$I259,6,FALSE)</f>
        <v>#N/A</v>
      </c>
      <c r="BP102" s="83">
        <v>7.0</v>
      </c>
      <c r="BQ102" s="193">
        <f t="shared" si="17"/>
        <v>0</v>
      </c>
      <c r="BR102" s="131">
        <v>3.0</v>
      </c>
      <c r="BS102" s="76" t="b">
        <f t="shared" si="18"/>
        <v>1</v>
      </c>
      <c r="BT102" s="194" t="str">
        <f t="shared" si="19"/>
        <v>Delete NULL</v>
      </c>
      <c r="BU102" s="249"/>
      <c r="BV102" s="249"/>
      <c r="BW102" s="249"/>
      <c r="BX102" s="249"/>
    </row>
    <row r="103">
      <c r="A103" s="18" t="str">
        <f>CONCATENATE("RUN-",'Process Ref'!$A$1,"_",TEXT(U103,"YYYY-MM-DD"),"_RFR-",TEXT(AR103,"000"),IF(EXACT(W103,"Initial"),"",CONCATENATE("_",W103)))</f>
        <v>RUN-ABRM_2022-12-08_RFR-102_Re-run</v>
      </c>
      <c r="B103" s="168">
        <v>44903.48349537037</v>
      </c>
      <c r="C103" s="110"/>
      <c r="D103" s="110" t="s">
        <v>313</v>
      </c>
      <c r="E103" s="169">
        <v>5.0</v>
      </c>
      <c r="F103" s="110" t="s">
        <v>740</v>
      </c>
      <c r="G103" s="170" t="s">
        <v>745</v>
      </c>
      <c r="H103" s="170" t="s">
        <v>746</v>
      </c>
      <c r="I103" s="170" t="s">
        <v>747</v>
      </c>
      <c r="J103" s="172"/>
      <c r="K103" s="201" t="s">
        <v>748</v>
      </c>
      <c r="L103" s="246"/>
      <c r="M103" s="174"/>
      <c r="N103" s="174"/>
      <c r="O103" s="175"/>
      <c r="P103" s="118" t="b">
        <v>0</v>
      </c>
      <c r="Q103" s="176" t="b">
        <v>0</v>
      </c>
      <c r="R103" s="55"/>
      <c r="S103" s="118" t="b">
        <v>0</v>
      </c>
      <c r="T103" s="177" t="b">
        <v>1</v>
      </c>
      <c r="U103" s="178">
        <v>44903.0</v>
      </c>
      <c r="V103" s="179">
        <v>0.5</v>
      </c>
      <c r="W103" s="110" t="s">
        <v>339</v>
      </c>
      <c r="X103" s="180"/>
      <c r="Y103" s="118" t="b">
        <v>1</v>
      </c>
      <c r="Z103" s="169">
        <v>5.0</v>
      </c>
      <c r="AA103" s="196">
        <f t="shared" si="1"/>
        <v>0</v>
      </c>
      <c r="AB103" s="197" t="b">
        <f t="shared" si="2"/>
        <v>1</v>
      </c>
      <c r="AC103" s="247">
        <v>3.0</v>
      </c>
      <c r="AD103" s="169">
        <v>0.0</v>
      </c>
      <c r="AE103" s="169">
        <v>0.0</v>
      </c>
      <c r="AF103" s="169">
        <v>0.0</v>
      </c>
      <c r="AG103" s="169">
        <v>2.0</v>
      </c>
      <c r="AH103" s="169">
        <v>1.0</v>
      </c>
      <c r="AI103" s="169">
        <v>1.0</v>
      </c>
      <c r="AJ103" s="182" t="b">
        <v>0</v>
      </c>
      <c r="AK103" s="183">
        <v>1.0</v>
      </c>
      <c r="AL103" s="169">
        <v>0.0</v>
      </c>
      <c r="AM103" s="172" t="str">
        <f>IF(EXACT(W103,"Initial"),"Audit","")</f>
        <v/>
      </c>
      <c r="AN103" s="198" t="str">
        <f>IFNA(VLOOKUP($A103,'Tube Reactions'!$J$2:$K259,2,FALSE),"")</f>
        <v/>
      </c>
      <c r="AO103" s="199" t="str">
        <f t="shared" si="20"/>
        <v/>
      </c>
      <c r="AP103" s="186" t="str">
        <f t="shared" si="36"/>
        <v/>
      </c>
      <c r="AQ103" s="187" t="b">
        <f t="shared" si="5"/>
        <v>1</v>
      </c>
      <c r="AR103" s="188">
        <v>102.0</v>
      </c>
      <c r="AS103" s="189"/>
      <c r="AT103" s="55"/>
      <c r="AU103" s="110" t="s">
        <v>560</v>
      </c>
      <c r="AV103" s="169">
        <v>5.0</v>
      </c>
      <c r="AW103" s="118" t="b">
        <v>0</v>
      </c>
      <c r="AX103" s="190" t="b">
        <f t="shared" si="48"/>
        <v>0</v>
      </c>
      <c r="AY103" s="48">
        <f t="shared" si="33"/>
        <v>2</v>
      </c>
      <c r="BA103" s="191" t="b">
        <v>0</v>
      </c>
      <c r="BB103" s="18" t="str">
        <f t="shared" si="8"/>
        <v/>
      </c>
      <c r="BC103" s="18" t="str">
        <f t="shared" si="41"/>
        <v/>
      </c>
      <c r="BD103" s="48" t="str">
        <f t="shared" si="42"/>
        <v/>
      </c>
      <c r="BE103" s="192"/>
      <c r="BF103" s="76" t="str">
        <f t="shared" si="11"/>
        <v/>
      </c>
      <c r="BG103" s="114" t="str">
        <f t="shared" si="12"/>
        <v/>
      </c>
      <c r="BH103" s="83" t="str">
        <f t="shared" si="13"/>
        <v/>
      </c>
      <c r="BI103" s="83" t="str">
        <f t="shared" si="14"/>
        <v/>
      </c>
      <c r="BJ103" s="83" t="str">
        <f t="shared" si="15"/>
        <v/>
      </c>
      <c r="BK103" s="83" t="str">
        <f t="shared" si="16"/>
        <v/>
      </c>
      <c r="BL103" s="200" t="str">
        <f>IFNA(IF(VLOOKUP(FLOOR($B103,1),'APS Tubes by Date IMPORT'!$B$2:$J259,1,FALSE)=FLOOR($BL102,1),IFERROR(0/0,""),VLOOKUP(FLOOR($B103,1),'APS Tubes by Date IMPORT'!$B$2:$J259,1,FALSE)),"")</f>
        <v/>
      </c>
      <c r="BM103" s="83" t="str">
        <f>IF(ISBLANK($BL103),IFERROR(0/0,""),VLOOKUP(FLOOR($B103,1),'APS Tubes by Date IMPORT'!$B$2:$J259,2,FALSE))</f>
        <v/>
      </c>
      <c r="BN103" s="114"/>
      <c r="BO103" s="83" t="str">
        <f>VLOOKUP(FLOOR($B103,1),'APS Tubes by Date IMPORT'!$B103:$I259,6,FALSE)</f>
        <v>#N/A</v>
      </c>
      <c r="BP103" s="83">
        <v>7.0</v>
      </c>
      <c r="BQ103" s="193">
        <f t="shared" si="17"/>
        <v>7</v>
      </c>
      <c r="BR103" s="131">
        <v>3.0</v>
      </c>
      <c r="BS103" s="76" t="b">
        <f t="shared" si="18"/>
        <v>1</v>
      </c>
      <c r="BT103" s="194" t="str">
        <f t="shared" si="19"/>
        <v>Delete NULL</v>
      </c>
      <c r="BU103" s="249"/>
      <c r="BV103" s="249"/>
      <c r="BW103" s="249"/>
      <c r="BX103" s="249"/>
    </row>
    <row r="104">
      <c r="A104" s="18" t="str">
        <f>CONCATENATE("RUN-",'Process Ref'!$A$1,"_",TEXT(U104,"YYYY-MM-DD"),"_RFR-",TEXT(AR104,"000"),IF(EXACT(W104,"Initial"),"",CONCATENATE("_",W104)))</f>
        <v>RUN-ABRM_2022-12-09_RFR-103_Re-run</v>
      </c>
      <c r="B104" s="168">
        <v>44904.45628472222</v>
      </c>
      <c r="C104" s="110"/>
      <c r="D104" s="110" t="s">
        <v>313</v>
      </c>
      <c r="E104" s="169">
        <v>6.0</v>
      </c>
      <c r="F104" s="110" t="s">
        <v>749</v>
      </c>
      <c r="G104" s="170" t="s">
        <v>750</v>
      </c>
      <c r="H104" s="170" t="s">
        <v>751</v>
      </c>
      <c r="I104" s="170" t="s">
        <v>752</v>
      </c>
      <c r="J104" s="172"/>
      <c r="K104" s="204"/>
      <c r="L104" s="246"/>
      <c r="M104" s="174"/>
      <c r="N104" s="174"/>
      <c r="O104" s="175"/>
      <c r="P104" s="118" t="b">
        <v>0</v>
      </c>
      <c r="Q104" s="176" t="b">
        <v>0</v>
      </c>
      <c r="R104" s="55"/>
      <c r="S104" s="118" t="b">
        <v>0</v>
      </c>
      <c r="T104" s="250" t="b">
        <v>0</v>
      </c>
      <c r="U104" s="178">
        <v>44904.0</v>
      </c>
      <c r="V104" s="179">
        <v>0.35138888888888886</v>
      </c>
      <c r="W104" s="110" t="s">
        <v>339</v>
      </c>
      <c r="X104" s="180"/>
      <c r="Y104" s="118" t="b">
        <v>0</v>
      </c>
      <c r="Z104" s="169">
        <v>6.0</v>
      </c>
      <c r="AA104" s="196">
        <f t="shared" si="1"/>
        <v>0</v>
      </c>
      <c r="AB104" s="197" t="b">
        <f t="shared" si="2"/>
        <v>1</v>
      </c>
      <c r="AC104" s="247">
        <v>4.0</v>
      </c>
      <c r="AD104" s="169">
        <v>0.0</v>
      </c>
      <c r="AE104" s="169">
        <v>0.0</v>
      </c>
      <c r="AF104" s="169">
        <v>0.0</v>
      </c>
      <c r="AG104" s="169">
        <v>0.0</v>
      </c>
      <c r="AH104" s="169">
        <v>0.0</v>
      </c>
      <c r="AI104" s="169">
        <v>0.0</v>
      </c>
      <c r="AJ104" s="182" t="b">
        <v>0</v>
      </c>
      <c r="AK104" s="183">
        <v>2.0</v>
      </c>
      <c r="AL104" s="169">
        <v>0.0</v>
      </c>
      <c r="AM104" s="169">
        <v>0.0</v>
      </c>
      <c r="AN104" s="198" t="str">
        <f>IFNA(VLOOKUP($A104,'Tube Reactions'!$J$2:$K259,2,FALSE),"")</f>
        <v/>
      </c>
      <c r="AO104" s="199" t="str">
        <f t="shared" si="20"/>
        <v/>
      </c>
      <c r="AP104" s="186" t="str">
        <f t="shared" si="36"/>
        <v/>
      </c>
      <c r="AQ104" s="187" t="b">
        <f t="shared" si="5"/>
        <v>1</v>
      </c>
      <c r="AR104" s="188">
        <v>103.0</v>
      </c>
      <c r="AS104" s="189"/>
      <c r="AT104" s="55"/>
      <c r="AU104" s="110" t="s">
        <v>560</v>
      </c>
      <c r="AV104" s="169">
        <v>6.0</v>
      </c>
      <c r="AW104" s="118" t="b">
        <v>1</v>
      </c>
      <c r="AX104" s="190" t="b">
        <f t="shared" si="48"/>
        <v>1</v>
      </c>
      <c r="AY104" s="48">
        <f t="shared" si="33"/>
        <v>2</v>
      </c>
      <c r="BA104" s="191" t="b">
        <v>0</v>
      </c>
      <c r="BB104" s="18" t="str">
        <f t="shared" si="8"/>
        <v/>
      </c>
      <c r="BC104" s="18" t="str">
        <f t="shared" si="41"/>
        <v/>
      </c>
      <c r="BD104" s="48" t="str">
        <f t="shared" si="42"/>
        <v/>
      </c>
      <c r="BE104" s="192"/>
      <c r="BF104" s="76" t="str">
        <f t="shared" si="11"/>
        <v/>
      </c>
      <c r="BG104" s="114" t="str">
        <f t="shared" si="12"/>
        <v/>
      </c>
      <c r="BH104" s="83" t="str">
        <f t="shared" si="13"/>
        <v/>
      </c>
      <c r="BI104" s="83" t="str">
        <f t="shared" si="14"/>
        <v/>
      </c>
      <c r="BJ104" s="83" t="str">
        <f t="shared" si="15"/>
        <v/>
      </c>
      <c r="BK104" s="83" t="str">
        <f t="shared" si="16"/>
        <v/>
      </c>
      <c r="BL104" s="200">
        <f>IFNA(IF(VLOOKUP(FLOOR($B104,1),'APS Tubes by Date IMPORT'!$B$2:$J259,1,FALSE)=FLOOR($BL103,1),IFERROR(0/0,""),VLOOKUP(FLOOR($B104,1),'APS Tubes by Date IMPORT'!$B$2:$J259,1,FALSE)),"")</f>
        <v>44904</v>
      </c>
      <c r="BM104" s="83">
        <f>IF(ISBLANK($BL104),IFERROR(0/0,""),VLOOKUP(FLOOR($B104,1),'APS Tubes by Date IMPORT'!$B$2:$J259,2,FALSE))</f>
        <v>5</v>
      </c>
      <c r="BN104" s="114"/>
      <c r="BO104" s="83" t="str">
        <f>VLOOKUP(FLOOR($B104,1),'APS Tubes by Date IMPORT'!$B104:$I259,6,FALSE)</f>
        <v>#N/A</v>
      </c>
      <c r="BP104" s="83">
        <v>7.0</v>
      </c>
      <c r="BQ104" s="193">
        <f t="shared" si="17"/>
        <v>2</v>
      </c>
      <c r="BR104" s="131">
        <v>3.0</v>
      </c>
      <c r="BS104" s="76" t="b">
        <f t="shared" si="18"/>
        <v>1</v>
      </c>
      <c r="BT104" s="194" t="str">
        <f t="shared" si="19"/>
        <v>Delete NULL</v>
      </c>
      <c r="BU104" s="249"/>
      <c r="BV104" s="249"/>
      <c r="BW104" s="249"/>
      <c r="BX104" s="249"/>
    </row>
    <row r="105">
      <c r="A105" s="18" t="str">
        <f>CONCATENATE("RUN-",'Process Ref'!$A$1,"_",TEXT(U105,"YYYY-MM-DD"),"_RFR-",TEXT(AR105,"000"),IF(EXACT(W105,"Initial"),"",CONCATENATE("_",W105)))</f>
        <v>RUN-ABRM_2022-12-09_RFR-104</v>
      </c>
      <c r="B105" s="168">
        <v>44904.4578587963</v>
      </c>
      <c r="C105" s="110"/>
      <c r="D105" s="110" t="s">
        <v>313</v>
      </c>
      <c r="E105" s="169">
        <v>8.0</v>
      </c>
      <c r="F105" s="110" t="s">
        <v>753</v>
      </c>
      <c r="G105" s="170" t="s">
        <v>754</v>
      </c>
      <c r="H105" s="170" t="s">
        <v>755</v>
      </c>
      <c r="I105" s="170" t="s">
        <v>756</v>
      </c>
      <c r="J105" s="172"/>
      <c r="K105" s="173" t="s">
        <v>757</v>
      </c>
      <c r="L105" s="246"/>
      <c r="M105" s="174"/>
      <c r="N105" s="174"/>
      <c r="O105" s="175"/>
      <c r="P105" s="118" t="b">
        <v>0</v>
      </c>
      <c r="Q105" s="176" t="b">
        <v>0</v>
      </c>
      <c r="R105" s="55"/>
      <c r="S105" s="118" t="b">
        <v>0</v>
      </c>
      <c r="T105" s="250" t="b">
        <v>0</v>
      </c>
      <c r="U105" s="178">
        <v>44904.0</v>
      </c>
      <c r="V105" s="179">
        <v>0.4166666666666667</v>
      </c>
      <c r="W105" s="245" t="s">
        <v>320</v>
      </c>
      <c r="X105" s="180"/>
      <c r="Y105" s="118" t="b">
        <v>0</v>
      </c>
      <c r="Z105" s="172"/>
      <c r="AA105" s="196">
        <f t="shared" si="1"/>
        <v>-8</v>
      </c>
      <c r="AB105" s="197" t="b">
        <f t="shared" si="2"/>
        <v>1</v>
      </c>
      <c r="AC105" s="247">
        <v>6.0</v>
      </c>
      <c r="AD105" s="169">
        <v>0.0</v>
      </c>
      <c r="AE105" s="169">
        <v>0.0</v>
      </c>
      <c r="AF105" s="169">
        <v>0.0</v>
      </c>
      <c r="AG105" s="169">
        <v>0.0</v>
      </c>
      <c r="AH105" s="169">
        <v>0.0</v>
      </c>
      <c r="AI105" s="169">
        <v>0.0</v>
      </c>
      <c r="AJ105" s="182" t="b">
        <v>0</v>
      </c>
      <c r="AK105" s="183">
        <v>6.0</v>
      </c>
      <c r="AL105" s="169">
        <v>0.0</v>
      </c>
      <c r="AM105" s="172" t="str">
        <f>IF(EXACT(W105,"Initial"),"Audit","")</f>
        <v>Audit</v>
      </c>
      <c r="AN105" s="198" t="str">
        <f>IFNA(VLOOKUP($A105,'Tube Reactions'!$J$2:$K259,2,FALSE),"")</f>
        <v/>
      </c>
      <c r="AO105" s="199" t="str">
        <f t="shared" si="20"/>
        <v>NOT EQUAL</v>
      </c>
      <c r="AP105" s="186" t="str">
        <f t="shared" si="36"/>
        <v/>
      </c>
      <c r="AQ105" s="187" t="b">
        <f t="shared" si="5"/>
        <v>1</v>
      </c>
      <c r="AR105" s="188">
        <v>104.0</v>
      </c>
      <c r="AS105" s="189"/>
      <c r="AT105" s="55"/>
      <c r="AU105" s="110" t="s">
        <v>560</v>
      </c>
      <c r="AV105" s="169">
        <v>8.0</v>
      </c>
      <c r="AW105" s="118"/>
      <c r="AX105" s="190"/>
      <c r="AY105" s="48">
        <f t="shared" si="33"/>
        <v>2</v>
      </c>
      <c r="BA105" s="191" t="b">
        <v>0</v>
      </c>
      <c r="BB105" s="18" t="str">
        <f t="shared" si="8"/>
        <v/>
      </c>
      <c r="BC105" s="18" t="str">
        <f t="shared" si="41"/>
        <v/>
      </c>
      <c r="BD105" s="48" t="str">
        <f t="shared" si="42"/>
        <v/>
      </c>
      <c r="BE105" s="192"/>
      <c r="BF105" s="76">
        <f t="shared" si="11"/>
        <v>44904</v>
      </c>
      <c r="BG105" s="114" t="str">
        <f t="shared" si="12"/>
        <v>RUN-ABRM_2022-12-09_RFR-104</v>
      </c>
      <c r="BH105" s="83">
        <f t="shared" si="13"/>
        <v>8</v>
      </c>
      <c r="BI105" s="83">
        <f t="shared" si="14"/>
        <v>6</v>
      </c>
      <c r="BJ105" s="83">
        <f t="shared" si="15"/>
        <v>6</v>
      </c>
      <c r="BK105" s="83">
        <f t="shared" si="16"/>
        <v>0</v>
      </c>
      <c r="BL105" s="200" t="str">
        <f>IFNA(IF(VLOOKUP(FLOOR($B105,1),'APS Tubes by Date IMPORT'!$B$2:$J259,1,FALSE)=FLOOR($BL104,1),IFERROR(0/0,""),VLOOKUP(FLOOR($B105,1),'APS Tubes by Date IMPORT'!$B$2:$J259,1,FALSE)),"")</f>
        <v/>
      </c>
      <c r="BM105" s="83" t="str">
        <f>IF(ISBLANK($BL105),IFERROR(0/0,""),VLOOKUP(FLOOR($B105,1),'APS Tubes by Date IMPORT'!$B$2:$J259,2,FALSE))</f>
        <v/>
      </c>
      <c r="BN105" s="114"/>
      <c r="BO105" s="83" t="str">
        <f>VLOOKUP(FLOOR($B105,1),'APS Tubes by Date IMPORT'!$B105:$I259,6,FALSE)</f>
        <v>#N/A</v>
      </c>
      <c r="BP105" s="83">
        <v>7.0</v>
      </c>
      <c r="BQ105" s="193">
        <f t="shared" si="17"/>
        <v>7</v>
      </c>
      <c r="BR105" s="131">
        <v>3.0</v>
      </c>
      <c r="BS105" s="76" t="b">
        <f t="shared" si="18"/>
        <v>1</v>
      </c>
      <c r="BT105" s="194" t="str">
        <f t="shared" si="19"/>
        <v>Delete NULL</v>
      </c>
      <c r="BU105" s="249"/>
      <c r="BV105" s="249"/>
      <c r="BW105" s="249"/>
      <c r="BX105" s="249"/>
    </row>
    <row r="106">
      <c r="A106" s="18" t="str">
        <f>CONCATENATE("RUN-",'Process Ref'!$A$1,"_",TEXT(U106,"YYYY-MM-DD"),"_RFR-",TEXT(AR106,"000"),IF(EXACT(W106,"Initial"),"",CONCATENATE("_",W106)))</f>
        <v>RUN-ABRM_2022-12-12_RFR-105</v>
      </c>
      <c r="B106" s="168">
        <v>44907.40079861111</v>
      </c>
      <c r="C106" s="110"/>
      <c r="D106" s="110" t="s">
        <v>313</v>
      </c>
      <c r="E106" s="169">
        <v>5.0</v>
      </c>
      <c r="F106" s="110" t="s">
        <v>758</v>
      </c>
      <c r="G106" s="170" t="s">
        <v>759</v>
      </c>
      <c r="H106" s="170" t="s">
        <v>760</v>
      </c>
      <c r="I106" s="170" t="s">
        <v>761</v>
      </c>
      <c r="J106" s="169">
        <v>2.0</v>
      </c>
      <c r="K106" s="204"/>
      <c r="L106" s="246"/>
      <c r="M106" s="174"/>
      <c r="N106" s="174"/>
      <c r="O106" s="175"/>
      <c r="P106" s="118" t="b">
        <v>0</v>
      </c>
      <c r="Q106" s="176" t="b">
        <v>0</v>
      </c>
      <c r="R106" s="55"/>
      <c r="S106" s="118" t="b">
        <v>0</v>
      </c>
      <c r="T106" s="250" t="b">
        <v>1</v>
      </c>
      <c r="U106" s="178">
        <v>44907.0</v>
      </c>
      <c r="V106" s="179">
        <v>0.375</v>
      </c>
      <c r="W106" s="110" t="s">
        <v>320</v>
      </c>
      <c r="X106" s="203" t="s">
        <v>762</v>
      </c>
      <c r="Y106" s="118" t="b">
        <v>1</v>
      </c>
      <c r="Z106" s="169">
        <v>5.0</v>
      </c>
      <c r="AA106" s="196">
        <f t="shared" si="1"/>
        <v>0</v>
      </c>
      <c r="AB106" s="197" t="b">
        <f t="shared" si="2"/>
        <v>1</v>
      </c>
      <c r="AC106" s="247">
        <v>3.0</v>
      </c>
      <c r="AD106" s="169">
        <v>2.0</v>
      </c>
      <c r="AE106" s="169">
        <v>2.0</v>
      </c>
      <c r="AF106" s="169">
        <v>0.0</v>
      </c>
      <c r="AG106" s="169">
        <v>0.0</v>
      </c>
      <c r="AH106" s="169">
        <v>0.0</v>
      </c>
      <c r="AI106" s="169">
        <v>0.0</v>
      </c>
      <c r="AJ106" s="182" t="b">
        <v>0</v>
      </c>
      <c r="AK106" s="183">
        <v>3.0</v>
      </c>
      <c r="AL106" s="169">
        <v>1.1</v>
      </c>
      <c r="AM106" s="169">
        <v>2.0</v>
      </c>
      <c r="AN106" s="198" t="str">
        <f>IFNA(VLOOKUP($A106,'Tube Reactions'!$J$2:$K259,2,FALSE),"")</f>
        <v/>
      </c>
      <c r="AO106" s="199" t="str">
        <f t="shared" si="20"/>
        <v>NOT EQUAL</v>
      </c>
      <c r="AP106" s="186" t="str">
        <f t="shared" si="36"/>
        <v/>
      </c>
      <c r="AQ106" s="187" t="b">
        <f t="shared" si="5"/>
        <v>1</v>
      </c>
      <c r="AR106" s="188">
        <v>105.0</v>
      </c>
      <c r="AS106" s="189"/>
      <c r="AT106" s="55"/>
      <c r="AU106" s="110" t="s">
        <v>560</v>
      </c>
      <c r="AV106" s="169">
        <v>5.0</v>
      </c>
      <c r="AW106" s="118" t="b">
        <v>0</v>
      </c>
      <c r="AX106" s="190" t="b">
        <f>IF(OR(AND(AL106=0,AW106),AND(AL106&lt;&gt;0,NOT(AW106))),TRUE,FALSE)</f>
        <v>1</v>
      </c>
      <c r="AY106" s="48">
        <f t="shared" si="33"/>
        <v>2</v>
      </c>
      <c r="BA106" s="191" t="b">
        <v>0</v>
      </c>
      <c r="BB106" s="18" t="str">
        <f t="shared" si="8"/>
        <v/>
      </c>
      <c r="BC106" s="18" t="str">
        <f t="shared" si="41"/>
        <v/>
      </c>
      <c r="BD106" s="48" t="str">
        <f t="shared" si="42"/>
        <v/>
      </c>
      <c r="BE106" s="192"/>
      <c r="BF106" s="76">
        <f t="shared" si="11"/>
        <v>44907</v>
      </c>
      <c r="BG106" s="114" t="str">
        <f t="shared" si="12"/>
        <v>RUN-ABRM_2022-12-12_RFR-105</v>
      </c>
      <c r="BH106" s="83">
        <f t="shared" si="13"/>
        <v>5</v>
      </c>
      <c r="BI106" s="83">
        <f t="shared" si="14"/>
        <v>3</v>
      </c>
      <c r="BJ106" s="83">
        <f t="shared" si="15"/>
        <v>3</v>
      </c>
      <c r="BK106" s="83">
        <f t="shared" si="16"/>
        <v>1.1</v>
      </c>
      <c r="BL106" s="200">
        <f>IFNA(IF(VLOOKUP(FLOOR($B106,1),'APS Tubes by Date IMPORT'!$B$2:$J259,1,FALSE)=FLOOR($BL105,1),IFERROR(0/0,""),VLOOKUP(FLOOR($B106,1),'APS Tubes by Date IMPORT'!$B$2:$J259,1,FALSE)),"")</f>
        <v>44907</v>
      </c>
      <c r="BM106" s="83">
        <f>IF(ISBLANK($BL106),IFERROR(0/0,""),VLOOKUP(FLOOR($B106,1),'APS Tubes by Date IMPORT'!$B$2:$J259,2,FALSE))</f>
        <v>5</v>
      </c>
      <c r="BN106" s="114"/>
      <c r="BO106" s="83" t="str">
        <f>VLOOKUP(FLOOR($B106,1),'APS Tubes by Date IMPORT'!$B106:$I259,6,FALSE)</f>
        <v>#N/A</v>
      </c>
      <c r="BP106" s="83">
        <v>7.0</v>
      </c>
      <c r="BQ106" s="193">
        <f t="shared" si="17"/>
        <v>2</v>
      </c>
      <c r="BR106" s="131">
        <v>3.0</v>
      </c>
      <c r="BS106" s="76" t="b">
        <f t="shared" si="18"/>
        <v>1</v>
      </c>
      <c r="BT106" s="194" t="str">
        <f t="shared" si="19"/>
        <v>Delete NULL</v>
      </c>
      <c r="BU106" s="249"/>
      <c r="BV106" s="249"/>
      <c r="BW106" s="249"/>
      <c r="BX106" s="249"/>
    </row>
    <row r="107">
      <c r="A107" s="18" t="str">
        <f>CONCATENATE("RUN-",'Process Ref'!$A$1,"_",TEXT(U107,"YYYY-MM-DD"),"_RFR-",TEXT(AR107,"000"),IF(EXACT(W107,"Initial"),"",CONCATENATE("_",W107)))</f>
        <v>RUN-ABRM_2022-12-12_RFR-106_Re-run</v>
      </c>
      <c r="B107" s="168">
        <v>44907.46084490741</v>
      </c>
      <c r="C107" s="110"/>
      <c r="D107" s="110" t="s">
        <v>313</v>
      </c>
      <c r="E107" s="169">
        <v>11.0</v>
      </c>
      <c r="F107" s="110" t="s">
        <v>758</v>
      </c>
      <c r="G107" s="170" t="s">
        <v>763</v>
      </c>
      <c r="H107" s="170" t="s">
        <v>764</v>
      </c>
      <c r="I107" s="170" t="s">
        <v>765</v>
      </c>
      <c r="J107" s="172"/>
      <c r="K107" s="204"/>
      <c r="L107" s="246"/>
      <c r="M107" s="174"/>
      <c r="N107" s="174"/>
      <c r="O107" s="175"/>
      <c r="P107" s="118" t="b">
        <v>0</v>
      </c>
      <c r="Q107" s="176" t="b">
        <v>0</v>
      </c>
      <c r="R107" s="55"/>
      <c r="S107" s="118" t="b">
        <v>0</v>
      </c>
      <c r="T107" s="177" t="b">
        <v>1</v>
      </c>
      <c r="U107" s="178">
        <v>44907.0</v>
      </c>
      <c r="V107" s="179">
        <v>0.4375</v>
      </c>
      <c r="W107" s="110" t="s">
        <v>339</v>
      </c>
      <c r="X107" s="180"/>
      <c r="Y107" s="118" t="b">
        <v>0</v>
      </c>
      <c r="Z107" s="169">
        <v>11.0</v>
      </c>
      <c r="AA107" s="196">
        <f t="shared" si="1"/>
        <v>0</v>
      </c>
      <c r="AB107" s="197" t="b">
        <f t="shared" si="2"/>
        <v>1</v>
      </c>
      <c r="AC107" s="247">
        <v>9.0</v>
      </c>
      <c r="AD107" s="169">
        <v>0.0</v>
      </c>
      <c r="AE107" s="169">
        <v>0.0</v>
      </c>
      <c r="AF107" s="169">
        <v>0.0</v>
      </c>
      <c r="AG107" s="169">
        <v>0.0</v>
      </c>
      <c r="AH107" s="169">
        <v>0.0</v>
      </c>
      <c r="AI107" s="169">
        <v>0.0</v>
      </c>
      <c r="AJ107" s="182" t="b">
        <v>0</v>
      </c>
      <c r="AK107" s="183">
        <v>3.0</v>
      </c>
      <c r="AL107" s="169">
        <v>0.0</v>
      </c>
      <c r="AM107" s="172" t="str">
        <f>IF(EXACT(W107,"Initial"),"Audit","")</f>
        <v/>
      </c>
      <c r="AN107" s="198" t="str">
        <f>IFNA(VLOOKUP($A107,'Tube Reactions'!$J$2:$K259,2,FALSE),"")</f>
        <v/>
      </c>
      <c r="AO107" s="199" t="str">
        <f t="shared" si="20"/>
        <v/>
      </c>
      <c r="AP107" s="186" t="str">
        <f t="shared" si="36"/>
        <v/>
      </c>
      <c r="AQ107" s="187" t="b">
        <f t="shared" si="5"/>
        <v>1</v>
      </c>
      <c r="AR107" s="188">
        <v>106.0</v>
      </c>
      <c r="AS107" s="189"/>
      <c r="AT107" s="55"/>
      <c r="AU107" s="110" t="s">
        <v>560</v>
      </c>
      <c r="AV107" s="169">
        <v>11.0</v>
      </c>
      <c r="AW107" s="118"/>
      <c r="AX107" s="190"/>
      <c r="AY107" s="48">
        <f t="shared" si="33"/>
        <v>2</v>
      </c>
      <c r="BA107" s="191" t="b">
        <v>0</v>
      </c>
      <c r="BB107" s="18" t="str">
        <f t="shared" si="8"/>
        <v/>
      </c>
      <c r="BC107" s="18" t="str">
        <f t="shared" si="41"/>
        <v/>
      </c>
      <c r="BD107" s="48" t="str">
        <f t="shared" si="42"/>
        <v/>
      </c>
      <c r="BE107" s="192"/>
      <c r="BF107" s="76" t="str">
        <f t="shared" si="11"/>
        <v/>
      </c>
      <c r="BG107" s="114" t="str">
        <f t="shared" si="12"/>
        <v/>
      </c>
      <c r="BH107" s="83" t="str">
        <f t="shared" si="13"/>
        <v/>
      </c>
      <c r="BI107" s="83" t="str">
        <f t="shared" si="14"/>
        <v/>
      </c>
      <c r="BJ107" s="83" t="str">
        <f t="shared" si="15"/>
        <v/>
      </c>
      <c r="BK107" s="83" t="str">
        <f t="shared" si="16"/>
        <v/>
      </c>
      <c r="BL107" s="200" t="str">
        <f>IFNA(IF(VLOOKUP(FLOOR($B107,1),'APS Tubes by Date IMPORT'!$B$2:$J259,1,FALSE)=FLOOR($BL106,1),IFERROR(0/0,""),VLOOKUP(FLOOR($B107,1),'APS Tubes by Date IMPORT'!$B$2:$J259,1,FALSE)),"")</f>
        <v/>
      </c>
      <c r="BM107" s="83" t="str">
        <f>IF(ISBLANK($BL107),IFERROR(0/0,""),VLOOKUP(FLOOR($B107,1),'APS Tubes by Date IMPORT'!$B$2:$J259,2,FALSE))</f>
        <v/>
      </c>
      <c r="BN107" s="114"/>
      <c r="BO107" s="83" t="str">
        <f>VLOOKUP(FLOOR($B107,1),'APS Tubes by Date IMPORT'!$B107:$I259,6,FALSE)</f>
        <v>#N/A</v>
      </c>
      <c r="BP107" s="83">
        <v>7.0</v>
      </c>
      <c r="BQ107" s="193">
        <f t="shared" si="17"/>
        <v>7</v>
      </c>
      <c r="BR107" s="131">
        <v>3.0</v>
      </c>
      <c r="BS107" s="76" t="b">
        <f t="shared" si="18"/>
        <v>1</v>
      </c>
      <c r="BT107" s="194" t="str">
        <f t="shared" si="19"/>
        <v>Delete NULL</v>
      </c>
      <c r="BU107" s="249"/>
      <c r="BV107" s="249"/>
      <c r="BW107" s="249"/>
      <c r="BX107" s="249"/>
    </row>
    <row r="108">
      <c r="A108" s="18" t="str">
        <f>CONCATENATE("RUN-",'Process Ref'!$A$1,"_",TEXT(U108,"YYYY-MM-DD"),"_RFR-",TEXT(AR108,"000"),IF(EXACT(W108,"Initial"),"",CONCATENATE("_",W108)))</f>
        <v>RUN-ABRM_2022-12-12_RFR-107</v>
      </c>
      <c r="B108" s="168">
        <v>44907.501608796294</v>
      </c>
      <c r="C108" s="110"/>
      <c r="D108" s="110" t="s">
        <v>313</v>
      </c>
      <c r="E108" s="169">
        <v>8.0</v>
      </c>
      <c r="F108" s="110" t="s">
        <v>766</v>
      </c>
      <c r="G108" s="170" t="s">
        <v>767</v>
      </c>
      <c r="H108" s="170" t="s">
        <v>768</v>
      </c>
      <c r="I108" s="170" t="s">
        <v>769</v>
      </c>
      <c r="J108" s="172"/>
      <c r="K108" s="173" t="s">
        <v>770</v>
      </c>
      <c r="L108" s="246"/>
      <c r="M108" s="174"/>
      <c r="N108" s="174"/>
      <c r="O108" s="175"/>
      <c r="P108" s="118" t="b">
        <v>0</v>
      </c>
      <c r="Q108" s="176" t="b">
        <v>0</v>
      </c>
      <c r="R108" s="55"/>
      <c r="S108" s="118" t="b">
        <v>0</v>
      </c>
      <c r="T108" s="250" t="b">
        <v>0</v>
      </c>
      <c r="U108" s="178">
        <v>44907.0</v>
      </c>
      <c r="V108" s="179">
        <v>0.4583333333333333</v>
      </c>
      <c r="W108" s="245" t="s">
        <v>320</v>
      </c>
      <c r="X108" s="180"/>
      <c r="Y108" s="118" t="b">
        <v>0</v>
      </c>
      <c r="Z108" s="169">
        <v>8.0</v>
      </c>
      <c r="AA108" s="196">
        <f t="shared" si="1"/>
        <v>0</v>
      </c>
      <c r="AB108" s="197" t="b">
        <f t="shared" si="2"/>
        <v>1</v>
      </c>
      <c r="AC108" s="247">
        <v>6.0</v>
      </c>
      <c r="AD108" s="169">
        <v>0.0</v>
      </c>
      <c r="AE108" s="169">
        <v>0.0</v>
      </c>
      <c r="AF108" s="169">
        <v>0.0</v>
      </c>
      <c r="AG108" s="169">
        <v>0.0</v>
      </c>
      <c r="AH108" s="169">
        <v>0.0</v>
      </c>
      <c r="AI108" s="169">
        <v>0.0</v>
      </c>
      <c r="AJ108" s="182" t="b">
        <v>0</v>
      </c>
      <c r="AK108" s="183">
        <v>2.0</v>
      </c>
      <c r="AL108" s="169">
        <v>0.0</v>
      </c>
      <c r="AM108" s="169">
        <v>0.0</v>
      </c>
      <c r="AN108" s="198" t="str">
        <f>IFNA(VLOOKUP($A108,'Tube Reactions'!$J$2:$K259,2,FALSE),"")</f>
        <v/>
      </c>
      <c r="AO108" s="199" t="str">
        <f t="shared" si="20"/>
        <v/>
      </c>
      <c r="AP108" s="186" t="str">
        <f t="shared" si="36"/>
        <v/>
      </c>
      <c r="AQ108" s="187" t="b">
        <f t="shared" si="5"/>
        <v>1</v>
      </c>
      <c r="AR108" s="188">
        <v>107.0</v>
      </c>
      <c r="AS108" s="189"/>
      <c r="AT108" s="55"/>
      <c r="AU108" s="110" t="s">
        <v>560</v>
      </c>
      <c r="AV108" s="169">
        <v>8.0</v>
      </c>
      <c r="AW108" s="118"/>
      <c r="AX108" s="190"/>
      <c r="AY108" s="48">
        <f t="shared" si="33"/>
        <v>2</v>
      </c>
      <c r="BA108" s="191" t="b">
        <v>0</v>
      </c>
      <c r="BB108" s="18" t="str">
        <f t="shared" si="8"/>
        <v/>
      </c>
      <c r="BC108" s="18" t="str">
        <f t="shared" si="41"/>
        <v/>
      </c>
      <c r="BD108" s="48" t="str">
        <f t="shared" si="42"/>
        <v/>
      </c>
      <c r="BE108" s="192"/>
      <c r="BF108" s="76">
        <f t="shared" si="11"/>
        <v>44907</v>
      </c>
      <c r="BG108" s="114" t="str">
        <f t="shared" si="12"/>
        <v>RUN-ABRM_2022-12-12_RFR-107</v>
      </c>
      <c r="BH108" s="83">
        <f t="shared" si="13"/>
        <v>8</v>
      </c>
      <c r="BI108" s="83">
        <f t="shared" si="14"/>
        <v>6</v>
      </c>
      <c r="BJ108" s="83">
        <f t="shared" si="15"/>
        <v>2</v>
      </c>
      <c r="BK108" s="83">
        <f t="shared" si="16"/>
        <v>0</v>
      </c>
      <c r="BL108" s="200">
        <f>IFNA(IF(VLOOKUP(FLOOR($B108,1),'APS Tubes by Date IMPORT'!$B$2:$J259,1,FALSE)=FLOOR($BL107,1),IFERROR(0/0,""),VLOOKUP(FLOOR($B108,1),'APS Tubes by Date IMPORT'!$B$2:$J259,1,FALSE)),"")</f>
        <v>44907</v>
      </c>
      <c r="BM108" s="83">
        <f>IF(ISBLANK($BL108),IFERROR(0/0,""),VLOOKUP(FLOOR($B108,1),'APS Tubes by Date IMPORT'!$B$2:$J259,2,FALSE))</f>
        <v>5</v>
      </c>
      <c r="BN108" s="114"/>
      <c r="BO108" s="83" t="str">
        <f>VLOOKUP(FLOOR($B108,1),'APS Tubes by Date IMPORT'!$B108:$I259,6,FALSE)</f>
        <v>#N/A</v>
      </c>
      <c r="BP108" s="83">
        <v>7.0</v>
      </c>
      <c r="BQ108" s="193">
        <f t="shared" si="17"/>
        <v>2</v>
      </c>
      <c r="BR108" s="131">
        <v>3.0</v>
      </c>
      <c r="BS108" s="76" t="b">
        <f t="shared" si="18"/>
        <v>1</v>
      </c>
      <c r="BT108" s="194" t="str">
        <f t="shared" si="19"/>
        <v>Delete NULL</v>
      </c>
      <c r="BU108" s="249"/>
      <c r="BV108" s="249"/>
      <c r="BW108" s="249"/>
      <c r="BX108" s="249"/>
    </row>
    <row r="109">
      <c r="A109" s="18" t="str">
        <f>CONCATENATE("RUN-",'Process Ref'!$A$1,"_",TEXT(U109,"YYYY-MM-DD"),"_RFR-",TEXT(AR109,"000"),IF(EXACT(W109,"Initial"),"",CONCATENATE("_",W109)))</f>
        <v>RUN-ABRM_2022-12-13_RFR-108</v>
      </c>
      <c r="B109" s="168">
        <v>44908.57240740741</v>
      </c>
      <c r="C109" s="110"/>
      <c r="D109" s="110" t="s">
        <v>313</v>
      </c>
      <c r="E109" s="169">
        <v>7.0</v>
      </c>
      <c r="F109" s="110" t="s">
        <v>771</v>
      </c>
      <c r="G109" s="170" t="s">
        <v>772</v>
      </c>
      <c r="H109" s="170" t="s">
        <v>773</v>
      </c>
      <c r="I109" s="170" t="s">
        <v>774</v>
      </c>
      <c r="J109" s="172"/>
      <c r="K109" s="204"/>
      <c r="L109" s="246"/>
      <c r="M109" s="174"/>
      <c r="N109" s="174"/>
      <c r="O109" s="175"/>
      <c r="P109" s="118" t="b">
        <v>0</v>
      </c>
      <c r="Q109" s="176" t="b">
        <v>0</v>
      </c>
      <c r="R109" s="55"/>
      <c r="S109" s="118" t="b">
        <v>0</v>
      </c>
      <c r="T109" s="177" t="b">
        <v>0</v>
      </c>
      <c r="U109" s="178">
        <v>44908.0</v>
      </c>
      <c r="V109" s="179">
        <v>0.6041666666666666</v>
      </c>
      <c r="W109" s="110" t="s">
        <v>320</v>
      </c>
      <c r="X109" s="180"/>
      <c r="Y109" s="118" t="b">
        <v>0</v>
      </c>
      <c r="Z109" s="169">
        <v>7.0</v>
      </c>
      <c r="AA109" s="196">
        <f t="shared" si="1"/>
        <v>0</v>
      </c>
      <c r="AB109" s="197" t="b">
        <f t="shared" si="2"/>
        <v>1</v>
      </c>
      <c r="AC109" s="247">
        <v>5.0</v>
      </c>
      <c r="AD109" s="169">
        <v>0.0</v>
      </c>
      <c r="AE109" s="169">
        <v>0.0</v>
      </c>
      <c r="AF109" s="169">
        <v>0.0</v>
      </c>
      <c r="AG109" s="169">
        <v>0.0</v>
      </c>
      <c r="AH109" s="169">
        <v>0.0</v>
      </c>
      <c r="AI109" s="169">
        <v>0.0</v>
      </c>
      <c r="AJ109" s="182" t="b">
        <v>0</v>
      </c>
      <c r="AK109" s="183">
        <v>5.0</v>
      </c>
      <c r="AL109" s="169">
        <v>0.0</v>
      </c>
      <c r="AM109" s="169">
        <v>0.0</v>
      </c>
      <c r="AN109" s="198" t="str">
        <f>IFNA(VLOOKUP($A109,'Tube Reactions'!$J$2:$K259,2,FALSE),"")</f>
        <v/>
      </c>
      <c r="AO109" s="199" t="str">
        <f t="shared" si="20"/>
        <v/>
      </c>
      <c r="AP109" s="186" t="str">
        <f t="shared" si="36"/>
        <v/>
      </c>
      <c r="AQ109" s="187" t="b">
        <f t="shared" si="5"/>
        <v>1</v>
      </c>
      <c r="AR109" s="188">
        <v>108.0</v>
      </c>
      <c r="AS109" s="189"/>
      <c r="AT109" s="55"/>
      <c r="AU109" s="110" t="s">
        <v>560</v>
      </c>
      <c r="AV109" s="169">
        <v>7.0</v>
      </c>
      <c r="AW109" s="118" t="b">
        <v>1</v>
      </c>
      <c r="AX109" s="190"/>
      <c r="AY109" s="48">
        <f t="shared" si="33"/>
        <v>2</v>
      </c>
      <c r="BA109" s="191" t="b">
        <v>1</v>
      </c>
      <c r="BB109" s="18" t="b">
        <f t="shared" si="8"/>
        <v>1</v>
      </c>
      <c r="BC109" s="18" t="b">
        <f t="shared" si="41"/>
        <v>1</v>
      </c>
      <c r="BD109" s="48">
        <f t="shared" si="42"/>
        <v>5</v>
      </c>
      <c r="BE109" s="192"/>
      <c r="BF109" s="76">
        <f t="shared" si="11"/>
        <v>44908</v>
      </c>
      <c r="BG109" s="114" t="str">
        <f t="shared" si="12"/>
        <v>RUN-ABRM_2022-12-13_RFR-108</v>
      </c>
      <c r="BH109" s="83">
        <f t="shared" si="13"/>
        <v>7</v>
      </c>
      <c r="BI109" s="83">
        <f t="shared" si="14"/>
        <v>5</v>
      </c>
      <c r="BJ109" s="83">
        <f t="shared" si="15"/>
        <v>5</v>
      </c>
      <c r="BK109" s="83">
        <f t="shared" si="16"/>
        <v>0</v>
      </c>
      <c r="BL109" s="200">
        <f>IFNA(IF(VLOOKUP(FLOOR($B109,1),'APS Tubes by Date IMPORT'!$B$2:$J259,1,FALSE)=FLOOR($BL108,1),IFERROR(0/0,""),VLOOKUP(FLOOR($B109,1),'APS Tubes by Date IMPORT'!$B$2:$J259,1,FALSE)),"")</f>
        <v>44908</v>
      </c>
      <c r="BM109" s="83">
        <f>IF(ISBLANK($BL109),IFERROR(0/0,""),VLOOKUP(FLOOR($B109,1),'APS Tubes by Date IMPORT'!$B$2:$J259,2,FALSE))</f>
        <v>5</v>
      </c>
      <c r="BN109" s="114"/>
      <c r="BO109" s="83" t="str">
        <f>VLOOKUP(FLOOR($B109,1),'APS Tubes by Date IMPORT'!$B109:$I259,6,FALSE)</f>
        <v>#N/A</v>
      </c>
      <c r="BP109" s="83">
        <v>7.0</v>
      </c>
      <c r="BQ109" s="193">
        <f t="shared" si="17"/>
        <v>2</v>
      </c>
      <c r="BR109" s="131">
        <v>3.0</v>
      </c>
      <c r="BS109" s="76" t="b">
        <f t="shared" si="18"/>
        <v>1</v>
      </c>
      <c r="BT109" s="194" t="str">
        <f t="shared" si="19"/>
        <v>Delete NULL</v>
      </c>
      <c r="BU109" s="249"/>
      <c r="BV109" s="249"/>
      <c r="BW109" s="249"/>
      <c r="BX109" s="249"/>
    </row>
    <row r="110">
      <c r="A110" s="18" t="str">
        <f>CONCATENATE("RUN-",'Process Ref'!$A$1,"_",TEXT(U110,"YYYY-MM-DD"),"_RFR-",TEXT(AR110,"000"),IF(EXACT(W110,"Initial"),"",CONCATENATE("_",W110)))</f>
        <v>RUN-ABRM_2022-12-16_RFR-109</v>
      </c>
      <c r="B110" s="251">
        <v>44911.39381273148</v>
      </c>
      <c r="C110" s="92"/>
      <c r="D110" s="92" t="s">
        <v>313</v>
      </c>
      <c r="E110" s="131">
        <v>5.0</v>
      </c>
      <c r="F110" s="92" t="s">
        <v>775</v>
      </c>
      <c r="G110" s="252" t="s">
        <v>776</v>
      </c>
      <c r="H110" s="252" t="s">
        <v>777</v>
      </c>
      <c r="I110" s="252" t="s">
        <v>778</v>
      </c>
      <c r="J110" s="172"/>
      <c r="K110" s="202"/>
      <c r="L110" s="246"/>
      <c r="M110" s="174"/>
      <c r="N110" s="174"/>
      <c r="O110" s="175"/>
      <c r="P110" s="118" t="b">
        <v>0</v>
      </c>
      <c r="Q110" s="176" t="b">
        <v>0</v>
      </c>
      <c r="R110" s="55"/>
      <c r="S110" s="118" t="b">
        <v>0</v>
      </c>
      <c r="T110" s="177" t="b">
        <v>0</v>
      </c>
      <c r="U110" s="178">
        <v>44911.0</v>
      </c>
      <c r="V110" s="179">
        <v>0.4305555555555556</v>
      </c>
      <c r="W110" s="110" t="s">
        <v>320</v>
      </c>
      <c r="X110" s="180"/>
      <c r="Y110" s="118" t="b">
        <v>0</v>
      </c>
      <c r="Z110" s="169">
        <v>5.0</v>
      </c>
      <c r="AA110" s="196">
        <f t="shared" si="1"/>
        <v>0</v>
      </c>
      <c r="AB110" s="197" t="b">
        <f t="shared" si="2"/>
        <v>1</v>
      </c>
      <c r="AC110" s="247">
        <v>3.0</v>
      </c>
      <c r="AD110" s="169">
        <v>0.0</v>
      </c>
      <c r="AE110" s="169">
        <v>0.0</v>
      </c>
      <c r="AF110" s="169">
        <v>0.0</v>
      </c>
      <c r="AG110" s="169">
        <v>0.0</v>
      </c>
      <c r="AH110" s="169">
        <v>0.0</v>
      </c>
      <c r="AI110" s="169">
        <v>0.0</v>
      </c>
      <c r="AJ110" s="182" t="b">
        <v>0</v>
      </c>
      <c r="AK110" s="183">
        <v>3.0</v>
      </c>
      <c r="AL110" s="169">
        <v>0.0</v>
      </c>
      <c r="AM110" s="169">
        <v>0.0</v>
      </c>
      <c r="AN110" s="198" t="str">
        <f>IFNA(VLOOKUP($A110,'Tube Reactions'!$J$2:$K259,2,FALSE),"")</f>
        <v/>
      </c>
      <c r="AO110" s="199" t="str">
        <f t="shared" si="20"/>
        <v/>
      </c>
      <c r="AP110" s="186" t="str">
        <f t="shared" si="36"/>
        <v/>
      </c>
      <c r="AQ110" s="187" t="b">
        <f t="shared" si="5"/>
        <v>1</v>
      </c>
      <c r="AR110" s="188">
        <v>109.0</v>
      </c>
      <c r="AS110" s="189"/>
      <c r="AT110" s="55"/>
      <c r="AU110" s="110" t="s">
        <v>779</v>
      </c>
      <c r="AV110" s="169"/>
      <c r="AW110" s="118"/>
      <c r="AX110" s="190"/>
      <c r="AY110" s="48"/>
      <c r="BA110" s="191"/>
      <c r="BB110" s="18"/>
      <c r="BC110" s="18"/>
      <c r="BD110" s="48"/>
      <c r="BE110" s="192"/>
      <c r="BF110" s="76">
        <f t="shared" si="11"/>
        <v>44911</v>
      </c>
      <c r="BG110" s="114" t="str">
        <f t="shared" si="12"/>
        <v>RUN-ABRM_2022-12-16_RFR-109</v>
      </c>
      <c r="BH110" s="83">
        <f t="shared" si="13"/>
        <v>5</v>
      </c>
      <c r="BI110" s="83">
        <f t="shared" si="14"/>
        <v>3</v>
      </c>
      <c r="BJ110" s="83">
        <f t="shared" si="15"/>
        <v>3</v>
      </c>
      <c r="BK110" s="83">
        <f t="shared" si="16"/>
        <v>0</v>
      </c>
      <c r="BL110" s="200">
        <f>IFNA(IF(VLOOKUP(FLOOR($B110,1),'APS Tubes by Date IMPORT'!$B$2:$J259,1,FALSE)=FLOOR($BL109,1),IFERROR(0/0,""),VLOOKUP(FLOOR($B110,1),'APS Tubes by Date IMPORT'!$B$2:$J259,1,FALSE)),"")</f>
        <v>44911</v>
      </c>
      <c r="BM110" s="83">
        <f>IF(ISBLANK($BL110),IFERROR(0/0,""),VLOOKUP(FLOOR($B110,1),'APS Tubes by Date IMPORT'!$B$2:$J259,2,FALSE))</f>
        <v>3</v>
      </c>
      <c r="BN110" s="114"/>
      <c r="BO110" s="83" t="str">
        <f>VLOOKUP(FLOOR($B110,1),'APS Tubes by Date IMPORT'!$B110:$I259,6,FALSE)</f>
        <v>#N/A</v>
      </c>
      <c r="BP110" s="83">
        <v>7.0</v>
      </c>
      <c r="BQ110" s="193">
        <f t="shared" si="17"/>
        <v>4</v>
      </c>
      <c r="BR110" s="131">
        <v>3.0</v>
      </c>
      <c r="BS110" s="76" t="b">
        <f t="shared" si="18"/>
        <v>1</v>
      </c>
      <c r="BT110" s="194" t="str">
        <f t="shared" si="19"/>
        <v>Delete NULL</v>
      </c>
      <c r="BU110" s="249"/>
      <c r="BV110" s="249"/>
      <c r="BW110" s="249"/>
      <c r="BX110" s="249"/>
    </row>
    <row r="111">
      <c r="A111" s="18" t="str">
        <f>CONCATENATE("RUN-",'Process Ref'!$A$1,"_",TEXT(U111,"YYYY-MM-DD"),"_RFR-",TEXT(AR111,"000"),IF(EXACT(W111,"Initial"),"",CONCATENATE("_",W111)))</f>
        <v>RUN-ABRM_2022-12-19_RFR-110</v>
      </c>
      <c r="B111" s="251">
        <v>44914.4259921412</v>
      </c>
      <c r="C111" s="92"/>
      <c r="D111" s="92" t="s">
        <v>313</v>
      </c>
      <c r="E111" s="131">
        <v>7.0</v>
      </c>
      <c r="F111" s="92" t="s">
        <v>780</v>
      </c>
      <c r="G111" s="253" t="s">
        <v>781</v>
      </c>
      <c r="H111" s="252" t="s">
        <v>782</v>
      </c>
      <c r="I111" s="252" t="s">
        <v>783</v>
      </c>
      <c r="J111" s="172">
        <v>1.0</v>
      </c>
      <c r="K111" s="202"/>
      <c r="L111" s="246"/>
      <c r="M111" s="174"/>
      <c r="N111" s="174"/>
      <c r="O111" s="175"/>
      <c r="P111" s="118" t="b">
        <v>0</v>
      </c>
      <c r="Q111" s="176" t="b">
        <v>0</v>
      </c>
      <c r="R111" s="55"/>
      <c r="S111" s="118" t="b">
        <v>0</v>
      </c>
      <c r="T111" s="177" t="b">
        <v>1</v>
      </c>
      <c r="U111" s="178">
        <v>44914.0</v>
      </c>
      <c r="V111" s="179">
        <v>0.4375</v>
      </c>
      <c r="W111" s="110" t="s">
        <v>320</v>
      </c>
      <c r="X111" s="180"/>
      <c r="Y111" s="118" t="b">
        <v>0</v>
      </c>
      <c r="Z111" s="169">
        <v>7.0</v>
      </c>
      <c r="AA111" s="196">
        <f t="shared" si="1"/>
        <v>0</v>
      </c>
      <c r="AB111" s="197" t="b">
        <f t="shared" si="2"/>
        <v>1</v>
      </c>
      <c r="AC111" s="247">
        <v>5.0</v>
      </c>
      <c r="AD111" s="169">
        <v>1.0</v>
      </c>
      <c r="AE111" s="169">
        <v>1.0</v>
      </c>
      <c r="AF111" s="169">
        <v>0.0</v>
      </c>
      <c r="AG111" s="169">
        <v>0.0</v>
      </c>
      <c r="AH111" s="169">
        <v>0.0</v>
      </c>
      <c r="AI111" s="169">
        <v>0.0</v>
      </c>
      <c r="AJ111" s="182" t="b">
        <v>0</v>
      </c>
      <c r="AK111" s="183">
        <v>5.0</v>
      </c>
      <c r="AL111" s="169">
        <v>1.1</v>
      </c>
      <c r="AM111" s="169">
        <v>1.0</v>
      </c>
      <c r="AN111" s="198" t="str">
        <f>IFNA(VLOOKUP($A111,'Tube Reactions'!$J$2:$K259,2,FALSE),"")</f>
        <v/>
      </c>
      <c r="AO111" s="199" t="str">
        <f t="shared" si="20"/>
        <v>NOT EQUAL</v>
      </c>
      <c r="AP111" s="186" t="str">
        <f t="shared" si="36"/>
        <v/>
      </c>
      <c r="AQ111" s="187" t="b">
        <f t="shared" si="5"/>
        <v>1</v>
      </c>
      <c r="AR111" s="188">
        <v>110.0</v>
      </c>
      <c r="AS111" s="189"/>
      <c r="AT111" s="55"/>
      <c r="AU111" s="110" t="s">
        <v>779</v>
      </c>
      <c r="AV111" s="169"/>
      <c r="AW111" s="118"/>
      <c r="AX111" s="190"/>
      <c r="AY111" s="48"/>
      <c r="BA111" s="191"/>
      <c r="BB111" s="18"/>
      <c r="BC111" s="18"/>
      <c r="BD111" s="48"/>
      <c r="BE111" s="192"/>
      <c r="BF111" s="76">
        <f t="shared" si="11"/>
        <v>44914</v>
      </c>
      <c r="BG111" s="114" t="str">
        <f t="shared" si="12"/>
        <v>RUN-ABRM_2022-12-19_RFR-110</v>
      </c>
      <c r="BH111" s="83">
        <f t="shared" si="13"/>
        <v>7</v>
      </c>
      <c r="BI111" s="83">
        <f t="shared" si="14"/>
        <v>5</v>
      </c>
      <c r="BJ111" s="83">
        <f t="shared" si="15"/>
        <v>5</v>
      </c>
      <c r="BK111" s="83">
        <f t="shared" si="16"/>
        <v>1.1</v>
      </c>
      <c r="BL111" s="200">
        <f>IFNA(IF(VLOOKUP(FLOOR($B111,1),'APS Tubes by Date IMPORT'!$B$2:$J259,1,FALSE)=FLOOR($BL110,1),IFERROR(0/0,""),VLOOKUP(FLOOR($B111,1),'APS Tubes by Date IMPORT'!$B$2:$J259,1,FALSE)),"")</f>
        <v>44914</v>
      </c>
      <c r="BM111" s="83">
        <f>IF(ISBLANK($BL111),IFERROR(0/0,""),VLOOKUP(FLOOR($B111,1),'APS Tubes by Date IMPORT'!$B$2:$J259,2,FALSE))</f>
        <v>5</v>
      </c>
      <c r="BN111" s="114"/>
      <c r="BO111" s="83" t="str">
        <f>VLOOKUP(FLOOR($B111,1),'APS Tubes by Date IMPORT'!$B111:$I259,6,FALSE)</f>
        <v>#N/A</v>
      </c>
      <c r="BP111" s="83">
        <v>7.0</v>
      </c>
      <c r="BQ111" s="193">
        <f t="shared" si="17"/>
        <v>2</v>
      </c>
      <c r="BR111" s="131">
        <v>3.0</v>
      </c>
      <c r="BS111" s="76" t="b">
        <f t="shared" si="18"/>
        <v>1</v>
      </c>
      <c r="BT111" s="194" t="str">
        <f t="shared" si="19"/>
        <v>Delete NULL</v>
      </c>
      <c r="BU111" s="249"/>
      <c r="BV111" s="249"/>
      <c r="BW111" s="249"/>
      <c r="BX111" s="249"/>
    </row>
    <row r="112">
      <c r="A112" s="18" t="str">
        <f>CONCATENATE("RUN-",'Process Ref'!$A$1,"_",TEXT(U112,"YYYY-MM-DD"),"_RFR-",TEXT(AR112,"000"),IF(EXACT(W112,"Initial"),"",CONCATENATE("_",W112)))</f>
        <v>RUN-ABRM_2022-12-19_RFR-111_Re-run</v>
      </c>
      <c r="B112" s="251">
        <v>44914.43137815972</v>
      </c>
      <c r="C112" s="92"/>
      <c r="D112" s="92" t="s">
        <v>313</v>
      </c>
      <c r="E112" s="131">
        <v>5.0</v>
      </c>
      <c r="F112" s="92" t="s">
        <v>780</v>
      </c>
      <c r="G112" s="252" t="s">
        <v>784</v>
      </c>
      <c r="H112" s="252" t="s">
        <v>785</v>
      </c>
      <c r="I112" s="252" t="s">
        <v>786</v>
      </c>
      <c r="J112" s="172"/>
      <c r="K112" s="202"/>
      <c r="L112" s="246"/>
      <c r="M112" s="174"/>
      <c r="N112" s="174"/>
      <c r="O112" s="175"/>
      <c r="P112" s="118" t="b">
        <v>0</v>
      </c>
      <c r="Q112" s="176" t="b">
        <v>0</v>
      </c>
      <c r="R112" s="55"/>
      <c r="S112" s="118" t="b">
        <v>0</v>
      </c>
      <c r="T112" s="177" t="b">
        <v>1</v>
      </c>
      <c r="U112" s="178">
        <v>44914.0</v>
      </c>
      <c r="V112" s="179">
        <v>0.4791666666666667</v>
      </c>
      <c r="W112" s="110" t="s">
        <v>339</v>
      </c>
      <c r="X112" s="180"/>
      <c r="Y112" s="118" t="b">
        <v>0</v>
      </c>
      <c r="Z112" s="169">
        <v>5.0</v>
      </c>
      <c r="AA112" s="196">
        <f t="shared" si="1"/>
        <v>0</v>
      </c>
      <c r="AB112" s="197" t="b">
        <f t="shared" si="2"/>
        <v>1</v>
      </c>
      <c r="AC112" s="247">
        <v>3.0</v>
      </c>
      <c r="AD112" s="169">
        <v>0.0</v>
      </c>
      <c r="AE112" s="169">
        <v>0.0</v>
      </c>
      <c r="AF112" s="169">
        <v>0.0</v>
      </c>
      <c r="AG112" s="169">
        <v>0.0</v>
      </c>
      <c r="AH112" s="169">
        <v>0.0</v>
      </c>
      <c r="AI112" s="169">
        <v>0.0</v>
      </c>
      <c r="AJ112" s="182" t="b">
        <v>0</v>
      </c>
      <c r="AK112" s="183">
        <v>1.0</v>
      </c>
      <c r="AL112" s="169">
        <v>0.0</v>
      </c>
      <c r="AM112" s="172" t="str">
        <f>IF(EXACT(W112,"Initial"),"Audit","")</f>
        <v/>
      </c>
      <c r="AN112" s="198" t="str">
        <f>IFNA(VLOOKUP($A112,'Tube Reactions'!$J$2:$K259,2,FALSE),"")</f>
        <v/>
      </c>
      <c r="AO112" s="199" t="str">
        <f t="shared" si="20"/>
        <v/>
      </c>
      <c r="AP112" s="186" t="str">
        <f t="shared" si="36"/>
        <v/>
      </c>
      <c r="AQ112" s="187" t="b">
        <f t="shared" si="5"/>
        <v>1</v>
      </c>
      <c r="AR112" s="188">
        <v>111.0</v>
      </c>
      <c r="AS112" s="189"/>
      <c r="AT112" s="55"/>
      <c r="AU112" s="110" t="s">
        <v>779</v>
      </c>
      <c r="AV112" s="169"/>
      <c r="AW112" s="118"/>
      <c r="AX112" s="190"/>
      <c r="AY112" s="48"/>
      <c r="BA112" s="191"/>
      <c r="BB112" s="18"/>
      <c r="BC112" s="18"/>
      <c r="BD112" s="48"/>
      <c r="BE112" s="192"/>
      <c r="BF112" s="76" t="str">
        <f t="shared" si="11"/>
        <v/>
      </c>
      <c r="BG112" s="114" t="str">
        <f t="shared" si="12"/>
        <v/>
      </c>
      <c r="BH112" s="83" t="str">
        <f t="shared" si="13"/>
        <v/>
      </c>
      <c r="BI112" s="83" t="str">
        <f t="shared" si="14"/>
        <v/>
      </c>
      <c r="BJ112" s="83" t="str">
        <f t="shared" si="15"/>
        <v/>
      </c>
      <c r="BK112" s="83" t="str">
        <f t="shared" si="16"/>
        <v/>
      </c>
      <c r="BL112" s="200" t="str">
        <f>IFNA(IF(VLOOKUP(FLOOR($B112,1),'APS Tubes by Date IMPORT'!$B$2:$J259,1,FALSE)=FLOOR($BL111,1),IFERROR(0/0,""),VLOOKUP(FLOOR($B112,1),'APS Tubes by Date IMPORT'!$B$2:$J259,1,FALSE)),"")</f>
        <v/>
      </c>
      <c r="BM112" s="83" t="str">
        <f>IF(ISBLANK($BL112),IFERROR(0/0,""),VLOOKUP(FLOOR($B112,1),'APS Tubes by Date IMPORT'!$B$2:$J259,2,FALSE))</f>
        <v/>
      </c>
      <c r="BN112" s="114"/>
      <c r="BO112" s="83" t="str">
        <f>VLOOKUP(FLOOR($B112,1),'APS Tubes by Date IMPORT'!$B112:$I259,6,FALSE)</f>
        <v>#N/A</v>
      </c>
      <c r="BP112" s="83">
        <v>7.0</v>
      </c>
      <c r="BQ112" s="193">
        <f t="shared" si="17"/>
        <v>7</v>
      </c>
      <c r="BR112" s="131">
        <v>3.0</v>
      </c>
      <c r="BS112" s="76" t="b">
        <f t="shared" si="18"/>
        <v>1</v>
      </c>
      <c r="BT112" s="194" t="str">
        <f t="shared" si="19"/>
        <v>Delete NULL</v>
      </c>
      <c r="BU112" s="249"/>
      <c r="BV112" s="249"/>
      <c r="BW112" s="249"/>
      <c r="BX112" s="249"/>
    </row>
    <row r="113">
      <c r="A113" s="18" t="str">
        <f>CONCATENATE("RUN-",'Process Ref'!$A$1,"_",TEXT(U113,"YYYY-MM-DD"),"_RFR-",TEXT(AR113,"000"),IF(EXACT(W113,"Initial"),"",CONCATENATE("_",W113)))</f>
        <v>RUN-ABRM_2022-12-20_RFR-112</v>
      </c>
      <c r="B113" s="251">
        <v>44915.47174995371</v>
      </c>
      <c r="C113" s="92"/>
      <c r="D113" s="92" t="s">
        <v>313</v>
      </c>
      <c r="E113" s="131">
        <v>11.0</v>
      </c>
      <c r="F113" s="92" t="s">
        <v>787</v>
      </c>
      <c r="G113" s="252" t="s">
        <v>788</v>
      </c>
      <c r="H113" s="252" t="s">
        <v>789</v>
      </c>
      <c r="I113" s="252" t="s">
        <v>790</v>
      </c>
      <c r="J113" s="172"/>
      <c r="K113" s="202" t="s">
        <v>791</v>
      </c>
      <c r="L113" s="246"/>
      <c r="M113" s="174"/>
      <c r="N113" s="174"/>
      <c r="O113" s="175"/>
      <c r="P113" s="118" t="b">
        <v>0</v>
      </c>
      <c r="Q113" s="176" t="b">
        <v>0</v>
      </c>
      <c r="R113" s="55"/>
      <c r="S113" s="118" t="b">
        <v>0</v>
      </c>
      <c r="T113" s="177" t="b">
        <v>0</v>
      </c>
      <c r="U113" s="178">
        <v>44915.0</v>
      </c>
      <c r="V113" s="179">
        <v>0.4375</v>
      </c>
      <c r="W113" s="110" t="s">
        <v>320</v>
      </c>
      <c r="X113" s="180"/>
      <c r="Y113" s="118" t="b">
        <v>1</v>
      </c>
      <c r="Z113" s="169">
        <v>11.0</v>
      </c>
      <c r="AA113" s="196">
        <f t="shared" si="1"/>
        <v>0</v>
      </c>
      <c r="AB113" s="197" t="b">
        <f t="shared" si="2"/>
        <v>1</v>
      </c>
      <c r="AC113" s="247">
        <v>9.0</v>
      </c>
      <c r="AD113" s="169">
        <v>0.0</v>
      </c>
      <c r="AE113" s="169">
        <v>0.0</v>
      </c>
      <c r="AF113" s="169">
        <v>0.0</v>
      </c>
      <c r="AG113" s="169">
        <v>2.0</v>
      </c>
      <c r="AH113" s="169">
        <v>2.0</v>
      </c>
      <c r="AI113" s="169">
        <v>2.0</v>
      </c>
      <c r="AJ113" s="182" t="b">
        <v>0</v>
      </c>
      <c r="AK113" s="183">
        <v>9.0</v>
      </c>
      <c r="AL113" s="169">
        <v>4.0</v>
      </c>
      <c r="AM113" s="169">
        <v>0.0</v>
      </c>
      <c r="AN113" s="198" t="str">
        <f>IFNA(VLOOKUP($A113,'Tube Reactions'!$J$2:$K259,2,FALSE),"")</f>
        <v/>
      </c>
      <c r="AO113" s="199" t="str">
        <f t="shared" si="20"/>
        <v/>
      </c>
      <c r="AP113" s="186" t="str">
        <f t="shared" si="36"/>
        <v/>
      </c>
      <c r="AQ113" s="187" t="b">
        <f t="shared" si="5"/>
        <v>1</v>
      </c>
      <c r="AR113" s="188">
        <v>112.0</v>
      </c>
      <c r="AS113" s="189" t="s">
        <v>792</v>
      </c>
      <c r="AT113" s="55"/>
      <c r="AU113" s="110" t="s">
        <v>779</v>
      </c>
      <c r="AV113" s="169"/>
      <c r="AW113" s="118"/>
      <c r="AX113" s="190"/>
      <c r="AY113" s="48"/>
      <c r="BA113" s="191"/>
      <c r="BB113" s="18"/>
      <c r="BC113" s="18"/>
      <c r="BD113" s="48"/>
      <c r="BE113" s="192"/>
      <c r="BF113" s="76">
        <f t="shared" si="11"/>
        <v>44915</v>
      </c>
      <c r="BG113" s="114" t="str">
        <f t="shared" si="12"/>
        <v>RUN-ABRM_2022-12-20_RFR-112</v>
      </c>
      <c r="BH113" s="83">
        <f t="shared" si="13"/>
        <v>11</v>
      </c>
      <c r="BI113" s="83">
        <f t="shared" si="14"/>
        <v>9</v>
      </c>
      <c r="BJ113" s="83">
        <f t="shared" si="15"/>
        <v>9</v>
      </c>
      <c r="BK113" s="83">
        <f t="shared" si="16"/>
        <v>4</v>
      </c>
      <c r="BL113" s="200">
        <f>IFNA(IF(VLOOKUP(FLOOR($B113,1),'APS Tubes by Date IMPORT'!$B$2:$J259,1,FALSE)=FLOOR($BL112,1),IFERROR(0/0,""),VLOOKUP(FLOOR($B113,1),'APS Tubes by Date IMPORT'!$B$2:$J259,1,FALSE)),"")</f>
        <v>44915</v>
      </c>
      <c r="BM113" s="83">
        <f>IF(ISBLANK($BL113),IFERROR(0/0,""),VLOOKUP(FLOOR($B113,1),'APS Tubes by Date IMPORT'!$B$2:$J259,2,FALSE))</f>
        <v>9</v>
      </c>
      <c r="BN113" s="114"/>
      <c r="BO113" s="83" t="str">
        <f>VLOOKUP(FLOOR($B113,1),'APS Tubes by Date IMPORT'!$B113:$I259,6,FALSE)</f>
        <v>#N/A</v>
      </c>
      <c r="BP113" s="83">
        <v>7.0</v>
      </c>
      <c r="BQ113" s="193">
        <f t="shared" si="17"/>
        <v>-2</v>
      </c>
      <c r="BR113" s="131">
        <v>3.0</v>
      </c>
      <c r="BS113" s="76" t="b">
        <f t="shared" si="18"/>
        <v>1</v>
      </c>
      <c r="BT113" s="194" t="str">
        <f t="shared" si="19"/>
        <v>Delete NULL</v>
      </c>
      <c r="BU113" s="249"/>
      <c r="BV113" s="249"/>
      <c r="BW113" s="249"/>
      <c r="BX113" s="249"/>
    </row>
    <row r="114">
      <c r="A114" s="18" t="str">
        <f>CONCATENATE("RUN-",'Process Ref'!$A$1,"_",TEXT(U114,"YYYY-MM-DD"),"_RFR-",TEXT(AR114,"000"),IF(EXACT(W114,"Initial"),"",CONCATENATE("_",W114)))</f>
        <v>RUN-ABRM_2022-12-21_RFR-113</v>
      </c>
      <c r="B114" s="251">
        <v>44916.39077362268</v>
      </c>
      <c r="C114" s="92"/>
      <c r="D114" s="92" t="s">
        <v>313</v>
      </c>
      <c r="E114" s="131">
        <v>7.0</v>
      </c>
      <c r="F114" s="92" t="s">
        <v>793</v>
      </c>
      <c r="G114" s="252" t="s">
        <v>794</v>
      </c>
      <c r="H114" s="252" t="s">
        <v>795</v>
      </c>
      <c r="I114" s="252" t="s">
        <v>796</v>
      </c>
      <c r="J114" s="172"/>
      <c r="K114" s="202"/>
      <c r="L114" s="246"/>
      <c r="M114" s="174"/>
      <c r="N114" s="174"/>
      <c r="O114" s="175"/>
      <c r="P114" s="118" t="b">
        <v>0</v>
      </c>
      <c r="Q114" s="118" t="b">
        <v>0</v>
      </c>
      <c r="R114" s="55"/>
      <c r="S114" s="118" t="b">
        <v>0</v>
      </c>
      <c r="T114" s="177" t="b">
        <v>0</v>
      </c>
      <c r="U114" s="178">
        <v>44916.0</v>
      </c>
      <c r="V114" s="179">
        <v>0.4236111111111111</v>
      </c>
      <c r="W114" s="110" t="s">
        <v>320</v>
      </c>
      <c r="X114" s="180"/>
      <c r="Y114" s="118" t="b">
        <v>0</v>
      </c>
      <c r="Z114" s="169">
        <v>7.0</v>
      </c>
      <c r="AA114" s="196">
        <f t="shared" si="1"/>
        <v>0</v>
      </c>
      <c r="AB114" s="197" t="b">
        <f t="shared" si="2"/>
        <v>1</v>
      </c>
      <c r="AC114" s="247">
        <v>5.0</v>
      </c>
      <c r="AD114" s="169">
        <v>0.0</v>
      </c>
      <c r="AE114" s="169">
        <v>0.0</v>
      </c>
      <c r="AF114" s="169">
        <v>0.0</v>
      </c>
      <c r="AG114" s="169">
        <v>0.0</v>
      </c>
      <c r="AH114" s="169">
        <v>0.0</v>
      </c>
      <c r="AI114" s="169">
        <v>0.0</v>
      </c>
      <c r="AJ114" s="182" t="b">
        <v>0</v>
      </c>
      <c r="AK114" s="183">
        <v>5.0</v>
      </c>
      <c r="AL114" s="169">
        <v>0.0</v>
      </c>
      <c r="AM114" s="169">
        <v>0.0</v>
      </c>
      <c r="AN114" s="198" t="str">
        <f>IFNA(VLOOKUP($A114,'Tube Reactions'!$J$2:$K259,2,FALSE),"")</f>
        <v/>
      </c>
      <c r="AO114" s="199" t="str">
        <f t="shared" si="20"/>
        <v/>
      </c>
      <c r="AP114" s="186" t="str">
        <f t="shared" si="36"/>
        <v/>
      </c>
      <c r="AQ114" s="187" t="b">
        <f t="shared" si="5"/>
        <v>1</v>
      </c>
      <c r="AR114" s="188">
        <v>113.0</v>
      </c>
      <c r="AS114" s="189"/>
      <c r="AT114" s="55"/>
      <c r="AU114" s="110" t="s">
        <v>797</v>
      </c>
      <c r="AV114" s="169"/>
      <c r="AW114" s="118"/>
      <c r="AX114" s="190"/>
      <c r="AY114" s="48"/>
      <c r="BA114" s="191"/>
      <c r="BB114" s="18"/>
      <c r="BC114" s="18"/>
      <c r="BD114" s="48"/>
      <c r="BE114" s="192"/>
      <c r="BF114" s="76">
        <f t="shared" si="11"/>
        <v>44916</v>
      </c>
      <c r="BG114" s="114" t="str">
        <f t="shared" si="12"/>
        <v>RUN-ABRM_2022-12-21_RFR-113</v>
      </c>
      <c r="BH114" s="83">
        <f t="shared" si="13"/>
        <v>7</v>
      </c>
      <c r="BI114" s="83">
        <f t="shared" si="14"/>
        <v>5</v>
      </c>
      <c r="BJ114" s="83">
        <f t="shared" si="15"/>
        <v>5</v>
      </c>
      <c r="BK114" s="83">
        <f t="shared" si="16"/>
        <v>0</v>
      </c>
      <c r="BL114" s="200">
        <f>IFNA(IF(VLOOKUP(FLOOR($B114,1),'APS Tubes by Date IMPORT'!$B$2:$J259,1,FALSE)=FLOOR($BL113,1),IFERROR(0/0,""),VLOOKUP(FLOOR($B114,1),'APS Tubes by Date IMPORT'!$B$2:$J259,1,FALSE)),"")</f>
        <v>44916</v>
      </c>
      <c r="BM114" s="83">
        <f>IF(ISBLANK($BL114),IFERROR(0/0,""),VLOOKUP(FLOOR($B114,1),'APS Tubes by Date IMPORT'!$B$2:$J259,2,FALSE))</f>
        <v>6</v>
      </c>
      <c r="BN114" s="114"/>
      <c r="BO114" s="83" t="str">
        <f>VLOOKUP(FLOOR($B114,1),'APS Tubes by Date IMPORT'!$B114:$I259,6,FALSE)</f>
        <v>#N/A</v>
      </c>
      <c r="BP114" s="83">
        <v>7.0</v>
      </c>
      <c r="BQ114" s="193">
        <f t="shared" si="17"/>
        <v>1</v>
      </c>
      <c r="BR114" s="131">
        <v>3.0</v>
      </c>
      <c r="BS114" s="76" t="b">
        <f t="shared" si="18"/>
        <v>1</v>
      </c>
      <c r="BT114" s="194" t="str">
        <f t="shared" si="19"/>
        <v>Delete NULL</v>
      </c>
      <c r="BU114" s="249"/>
      <c r="BV114" s="249"/>
      <c r="BW114" s="249"/>
      <c r="BX114" s="249"/>
    </row>
    <row r="115">
      <c r="A115" s="18" t="str">
        <f>CONCATENATE("RUN-",'Process Ref'!$A$1,"_",TEXT(U115,"YYYY-MM-DD"),"_RFR-",TEXT(AR115,"000"),IF(EXACT(W115,"Initial"),"",CONCATENATE("_",W115)))</f>
        <v>RUN-ABRM_2022-12-22_RFR-114</v>
      </c>
      <c r="B115" s="251">
        <v>44917.41170298611</v>
      </c>
      <c r="C115" s="92"/>
      <c r="D115" s="92" t="s">
        <v>313</v>
      </c>
      <c r="E115" s="131">
        <v>8.0</v>
      </c>
      <c r="F115" s="92" t="s">
        <v>798</v>
      </c>
      <c r="G115" s="252" t="s">
        <v>799</v>
      </c>
      <c r="H115" s="252" t="s">
        <v>800</v>
      </c>
      <c r="I115" s="252" t="s">
        <v>801</v>
      </c>
      <c r="J115" s="172">
        <v>1.0</v>
      </c>
      <c r="K115" s="202" t="s">
        <v>802</v>
      </c>
      <c r="L115" s="246"/>
      <c r="M115" s="174"/>
      <c r="N115" s="174"/>
      <c r="O115" s="175"/>
      <c r="P115" s="118" t="b">
        <v>0</v>
      </c>
      <c r="Q115" s="118" t="b">
        <v>0</v>
      </c>
      <c r="R115" s="55"/>
      <c r="S115" s="118" t="b">
        <v>0</v>
      </c>
      <c r="T115" s="177" t="b">
        <v>0</v>
      </c>
      <c r="U115" s="178">
        <v>44917.0</v>
      </c>
      <c r="V115" s="179">
        <v>0.4375</v>
      </c>
      <c r="W115" s="110" t="s">
        <v>320</v>
      </c>
      <c r="X115" s="203" t="s">
        <v>803</v>
      </c>
      <c r="Y115" s="118" t="b">
        <v>0</v>
      </c>
      <c r="Z115" s="169">
        <v>8.0</v>
      </c>
      <c r="AA115" s="196">
        <f t="shared" si="1"/>
        <v>0</v>
      </c>
      <c r="AB115" s="197" t="b">
        <f t="shared" si="2"/>
        <v>1</v>
      </c>
      <c r="AC115" s="247">
        <v>6.0</v>
      </c>
      <c r="AD115" s="169">
        <v>0.0</v>
      </c>
      <c r="AE115" s="169">
        <v>0.0</v>
      </c>
      <c r="AF115" s="169">
        <v>0.0</v>
      </c>
      <c r="AG115" s="169">
        <v>0.0</v>
      </c>
      <c r="AH115" s="169">
        <v>0.0</v>
      </c>
      <c r="AI115" s="169">
        <v>0.0</v>
      </c>
      <c r="AJ115" s="182" t="b">
        <v>0</v>
      </c>
      <c r="AK115" s="183">
        <v>6.0</v>
      </c>
      <c r="AL115" s="169">
        <v>0.0</v>
      </c>
      <c r="AM115" s="169">
        <v>0.0</v>
      </c>
      <c r="AN115" s="198" t="str">
        <f>IFNA(VLOOKUP($A115,'Tube Reactions'!$J$2:$K259,2,FALSE),"")</f>
        <v/>
      </c>
      <c r="AO115" s="199" t="str">
        <f t="shared" si="20"/>
        <v/>
      </c>
      <c r="AP115" s="186" t="str">
        <f t="shared" si="36"/>
        <v/>
      </c>
      <c r="AQ115" s="187" t="b">
        <f t="shared" si="5"/>
        <v>1</v>
      </c>
      <c r="AR115" s="188">
        <v>114.0</v>
      </c>
      <c r="AS115" s="189" t="s">
        <v>804</v>
      </c>
      <c r="AT115" s="55"/>
      <c r="AU115" s="110" t="s">
        <v>797</v>
      </c>
      <c r="AV115" s="169"/>
      <c r="AW115" s="118"/>
      <c r="AX115" s="190"/>
      <c r="AY115" s="48"/>
      <c r="BA115" s="191"/>
      <c r="BB115" s="18"/>
      <c r="BC115" s="18"/>
      <c r="BD115" s="48"/>
      <c r="BE115" s="192"/>
      <c r="BF115" s="76">
        <f t="shared" si="11"/>
        <v>44917</v>
      </c>
      <c r="BG115" s="114" t="str">
        <f t="shared" si="12"/>
        <v>RUN-ABRM_2022-12-22_RFR-114</v>
      </c>
      <c r="BH115" s="83">
        <f t="shared" si="13"/>
        <v>8</v>
      </c>
      <c r="BI115" s="83">
        <f t="shared" si="14"/>
        <v>6</v>
      </c>
      <c r="BJ115" s="83">
        <f t="shared" si="15"/>
        <v>6</v>
      </c>
      <c r="BK115" s="83">
        <f t="shared" si="16"/>
        <v>0</v>
      </c>
      <c r="BL115" s="200">
        <f>IFNA(IF(VLOOKUP(FLOOR($B115,1),'APS Tubes by Date IMPORT'!$B$2:$J259,1,FALSE)=FLOOR($BL114,1),IFERROR(0/0,""),VLOOKUP(FLOOR($B115,1),'APS Tubes by Date IMPORT'!$B$2:$J259,1,FALSE)),"")</f>
        <v>44917</v>
      </c>
      <c r="BM115" s="83">
        <f>IF(ISBLANK($BL115),IFERROR(0/0,""),VLOOKUP(FLOOR($B115,1),'APS Tubes by Date IMPORT'!$B$2:$J259,2,FALSE))</f>
        <v>6</v>
      </c>
      <c r="BN115" s="114"/>
      <c r="BO115" s="83" t="str">
        <f>VLOOKUP(FLOOR($B115,1),'APS Tubes by Date IMPORT'!$B115:$I259,6,FALSE)</f>
        <v>#N/A</v>
      </c>
      <c r="BP115" s="83">
        <v>7.0</v>
      </c>
      <c r="BQ115" s="193">
        <f t="shared" si="17"/>
        <v>1</v>
      </c>
      <c r="BR115" s="131">
        <v>3.0</v>
      </c>
      <c r="BS115" s="76" t="b">
        <f t="shared" si="18"/>
        <v>1</v>
      </c>
      <c r="BT115" s="194" t="str">
        <f t="shared" si="19"/>
        <v>Delete NULL</v>
      </c>
      <c r="BU115" s="249"/>
      <c r="BV115" s="249"/>
      <c r="BW115" s="249"/>
      <c r="BX115" s="249"/>
    </row>
    <row r="116">
      <c r="A116" s="18" t="str">
        <f>CONCATENATE("RUN-",'Process Ref'!$A$1,"_",TEXT(U116,"YYYY-MM-DD"),"_RFR-",TEXT(AR116,"000"),IF(EXACT(W116,"Initial"),"",CONCATENATE("_",W116)))</f>
        <v>RUN-ABRM_2022-12-22_RFR-115_Re-run</v>
      </c>
      <c r="B116" s="251">
        <v>44917.45712412037</v>
      </c>
      <c r="C116" s="92"/>
      <c r="D116" s="92" t="s">
        <v>313</v>
      </c>
      <c r="E116" s="131">
        <v>5.0</v>
      </c>
      <c r="F116" s="92" t="s">
        <v>798</v>
      </c>
      <c r="G116" s="252" t="s">
        <v>805</v>
      </c>
      <c r="H116" s="252" t="s">
        <v>806</v>
      </c>
      <c r="I116" s="252" t="s">
        <v>807</v>
      </c>
      <c r="J116" s="172" t="s">
        <v>808</v>
      </c>
      <c r="K116" s="202" t="s">
        <v>809</v>
      </c>
      <c r="L116" s="246"/>
      <c r="M116" s="174"/>
      <c r="N116" s="174"/>
      <c r="O116" s="175"/>
      <c r="P116" s="118" t="b">
        <v>0</v>
      </c>
      <c r="Q116" s="118" t="b">
        <v>0</v>
      </c>
      <c r="R116" s="55"/>
      <c r="S116" s="118" t="b">
        <v>0</v>
      </c>
      <c r="T116" s="177" t="b">
        <v>1</v>
      </c>
      <c r="U116" s="178">
        <v>44917.0</v>
      </c>
      <c r="V116" s="179">
        <v>0.4930555555555556</v>
      </c>
      <c r="W116" s="110" t="s">
        <v>339</v>
      </c>
      <c r="X116" s="180"/>
      <c r="Y116" s="118" t="b">
        <v>1</v>
      </c>
      <c r="Z116" s="169">
        <v>5.0</v>
      </c>
      <c r="AA116" s="196">
        <f t="shared" si="1"/>
        <v>0</v>
      </c>
      <c r="AB116" s="197" t="b">
        <f t="shared" si="2"/>
        <v>1</v>
      </c>
      <c r="AC116" s="247">
        <v>3.0</v>
      </c>
      <c r="AD116" s="169">
        <v>0.0</v>
      </c>
      <c r="AE116" s="169">
        <v>1.0</v>
      </c>
      <c r="AF116" s="169">
        <v>0.0</v>
      </c>
      <c r="AG116" s="169">
        <v>1.0</v>
      </c>
      <c r="AH116" s="169">
        <v>0.0</v>
      </c>
      <c r="AI116" s="169">
        <v>0.0</v>
      </c>
      <c r="AJ116" s="182" t="b">
        <v>0</v>
      </c>
      <c r="AK116" s="183">
        <v>1.0</v>
      </c>
      <c r="AL116" s="169">
        <v>2.0</v>
      </c>
      <c r="AM116" s="172" t="str">
        <f t="shared" ref="AM116:AM117" si="49">IF(EXACT(W116,"Initial"),"Audit","")</f>
        <v/>
      </c>
      <c r="AN116" s="198" t="str">
        <f>IFNA(VLOOKUP($A116,'Tube Reactions'!$J$2:$K259,2,FALSE),"")</f>
        <v/>
      </c>
      <c r="AO116" s="199" t="str">
        <f t="shared" si="20"/>
        <v/>
      </c>
      <c r="AP116" s="186" t="str">
        <f t="shared" si="36"/>
        <v/>
      </c>
      <c r="AQ116" s="187" t="b">
        <f t="shared" si="5"/>
        <v>1</v>
      </c>
      <c r="AR116" s="188">
        <v>115.0</v>
      </c>
      <c r="AS116" s="189"/>
      <c r="AT116" s="55"/>
      <c r="AU116" s="110" t="s">
        <v>797</v>
      </c>
      <c r="AV116" s="169"/>
      <c r="AW116" s="118"/>
      <c r="AX116" s="190"/>
      <c r="AY116" s="48"/>
      <c r="BA116" s="191"/>
      <c r="BB116" s="18"/>
      <c r="BC116" s="18"/>
      <c r="BD116" s="48"/>
      <c r="BE116" s="192"/>
      <c r="BF116" s="76" t="str">
        <f t="shared" si="11"/>
        <v/>
      </c>
      <c r="BG116" s="114" t="str">
        <f t="shared" si="12"/>
        <v/>
      </c>
      <c r="BH116" s="83" t="str">
        <f t="shared" si="13"/>
        <v/>
      </c>
      <c r="BI116" s="83" t="str">
        <f t="shared" si="14"/>
        <v/>
      </c>
      <c r="BJ116" s="83" t="str">
        <f t="shared" si="15"/>
        <v/>
      </c>
      <c r="BK116" s="83" t="str">
        <f t="shared" si="16"/>
        <v/>
      </c>
      <c r="BL116" s="200" t="str">
        <f>IFNA(IF(VLOOKUP(FLOOR($B116,1),'APS Tubes by Date IMPORT'!$B$2:$J259,1,FALSE)=FLOOR($BL115,1),IFERROR(0/0,""),VLOOKUP(FLOOR($B116,1),'APS Tubes by Date IMPORT'!$B$2:$J259,1,FALSE)),"")</f>
        <v/>
      </c>
      <c r="BM116" s="83" t="str">
        <f>IF(ISBLANK($BL116),IFERROR(0/0,""),VLOOKUP(FLOOR($B116,1),'APS Tubes by Date IMPORT'!$B$2:$J259,2,FALSE))</f>
        <v/>
      </c>
      <c r="BN116" s="114"/>
      <c r="BO116" s="83" t="str">
        <f>VLOOKUP(FLOOR($B116,1),'APS Tubes by Date IMPORT'!$B116:$I259,6,FALSE)</f>
        <v>#N/A</v>
      </c>
      <c r="BP116" s="83">
        <v>7.0</v>
      </c>
      <c r="BQ116" s="193">
        <f t="shared" si="17"/>
        <v>7</v>
      </c>
      <c r="BR116" s="131">
        <v>3.0</v>
      </c>
      <c r="BS116" s="76" t="b">
        <f t="shared" si="18"/>
        <v>1</v>
      </c>
      <c r="BT116" s="194" t="str">
        <f t="shared" si="19"/>
        <v>Delete NULL</v>
      </c>
      <c r="BU116" s="249"/>
      <c r="BV116" s="249"/>
      <c r="BW116" s="249"/>
      <c r="BX116" s="249"/>
    </row>
    <row r="117">
      <c r="A117" s="18" t="str">
        <f>CONCATENATE("RUN-",'Process Ref'!$A$1,"_",TEXT(U117,"YYYY-MM-DD"),"_RFR-",TEXT(AR117,"000"),IF(EXACT(W117,"Initial"),"",CONCATENATE("_",W117)))</f>
        <v>RUN-ABRM_2022-12-22_RFR-116_Re-run</v>
      </c>
      <c r="B117" s="251">
        <v>44917.498148391205</v>
      </c>
      <c r="C117" s="92"/>
      <c r="D117" s="92" t="s">
        <v>313</v>
      </c>
      <c r="E117" s="131">
        <v>5.0</v>
      </c>
      <c r="F117" s="92" t="s">
        <v>810</v>
      </c>
      <c r="G117" s="252" t="s">
        <v>811</v>
      </c>
      <c r="H117" s="252" t="s">
        <v>812</v>
      </c>
      <c r="I117" s="252" t="s">
        <v>813</v>
      </c>
      <c r="J117" s="172">
        <v>1.0</v>
      </c>
      <c r="K117" s="202" t="s">
        <v>814</v>
      </c>
      <c r="L117" s="246"/>
      <c r="M117" s="174"/>
      <c r="N117" s="174"/>
      <c r="O117" s="175"/>
      <c r="P117" s="118" t="b">
        <v>0</v>
      </c>
      <c r="Q117" s="118" t="b">
        <v>0</v>
      </c>
      <c r="R117" s="55"/>
      <c r="S117" s="118" t="b">
        <v>0</v>
      </c>
      <c r="T117" s="177" t="b">
        <v>1</v>
      </c>
      <c r="U117" s="178">
        <v>44917.0</v>
      </c>
      <c r="V117" s="179">
        <v>0.5277777777777778</v>
      </c>
      <c r="W117" s="110" t="s">
        <v>339</v>
      </c>
      <c r="X117" s="180"/>
      <c r="Y117" s="118" t="b">
        <v>1</v>
      </c>
      <c r="Z117" s="169">
        <v>5.0</v>
      </c>
      <c r="AA117" s="196">
        <f t="shared" si="1"/>
        <v>0</v>
      </c>
      <c r="AB117" s="197" t="b">
        <f t="shared" si="2"/>
        <v>1</v>
      </c>
      <c r="AC117" s="247">
        <v>1.0</v>
      </c>
      <c r="AD117" s="169">
        <v>1.0</v>
      </c>
      <c r="AE117" s="169">
        <v>0.0</v>
      </c>
      <c r="AF117" s="169">
        <v>0.0</v>
      </c>
      <c r="AG117" s="169">
        <v>0.0</v>
      </c>
      <c r="AH117" s="169">
        <v>0.0</v>
      </c>
      <c r="AI117" s="169">
        <v>0.0</v>
      </c>
      <c r="AJ117" s="182" t="b">
        <v>0</v>
      </c>
      <c r="AK117" s="183">
        <v>1.0</v>
      </c>
      <c r="AL117" s="169">
        <v>2.0</v>
      </c>
      <c r="AM117" s="172" t="str">
        <f t="shared" si="49"/>
        <v/>
      </c>
      <c r="AN117" s="198" t="str">
        <f>IFNA(VLOOKUP($A117,'Tube Reactions'!$J$2:$K259,2,FALSE),"")</f>
        <v/>
      </c>
      <c r="AO117" s="199" t="str">
        <f t="shared" si="20"/>
        <v/>
      </c>
      <c r="AP117" s="186" t="str">
        <f t="shared" si="36"/>
        <v/>
      </c>
      <c r="AQ117" s="187" t="b">
        <f t="shared" si="5"/>
        <v>1</v>
      </c>
      <c r="AR117" s="188">
        <v>116.0</v>
      </c>
      <c r="AS117" s="189"/>
      <c r="AT117" s="55"/>
      <c r="AU117" s="110" t="s">
        <v>797</v>
      </c>
      <c r="AV117" s="169"/>
      <c r="AW117" s="118"/>
      <c r="AX117" s="190"/>
      <c r="AY117" s="48"/>
      <c r="BA117" s="191"/>
      <c r="BB117" s="18"/>
      <c r="BC117" s="18"/>
      <c r="BD117" s="48"/>
      <c r="BE117" s="192"/>
      <c r="BF117" s="76" t="str">
        <f t="shared" si="11"/>
        <v/>
      </c>
      <c r="BG117" s="114" t="str">
        <f t="shared" si="12"/>
        <v/>
      </c>
      <c r="BH117" s="83" t="str">
        <f t="shared" si="13"/>
        <v/>
      </c>
      <c r="BI117" s="83" t="str">
        <f t="shared" si="14"/>
        <v/>
      </c>
      <c r="BJ117" s="83" t="str">
        <f t="shared" si="15"/>
        <v/>
      </c>
      <c r="BK117" s="83" t="str">
        <f t="shared" si="16"/>
        <v/>
      </c>
      <c r="BL117" s="200">
        <f>IFNA(IF(VLOOKUP(FLOOR($B117,1),'APS Tubes by Date IMPORT'!$B$2:$J259,1,FALSE)=FLOOR($BL116,1),IFERROR(0/0,""),VLOOKUP(FLOOR($B117,1),'APS Tubes by Date IMPORT'!$B$2:$J259,1,FALSE)),"")</f>
        <v>44917</v>
      </c>
      <c r="BM117" s="83">
        <f>IF(ISBLANK($BL117),IFERROR(0/0,""),VLOOKUP(FLOOR($B117,1),'APS Tubes by Date IMPORT'!$B$2:$J259,2,FALSE))</f>
        <v>6</v>
      </c>
      <c r="BN117" s="114"/>
      <c r="BO117" s="83" t="str">
        <f>VLOOKUP(FLOOR($B117,1),'APS Tubes by Date IMPORT'!$B117:$I259,6,FALSE)</f>
        <v>#N/A</v>
      </c>
      <c r="BP117" s="83">
        <v>7.0</v>
      </c>
      <c r="BQ117" s="193">
        <f t="shared" si="17"/>
        <v>1</v>
      </c>
      <c r="BR117" s="131">
        <v>3.0</v>
      </c>
      <c r="BS117" s="76" t="b">
        <f t="shared" si="18"/>
        <v>1</v>
      </c>
      <c r="BT117" s="194" t="str">
        <f t="shared" si="19"/>
        <v>Delete NULL</v>
      </c>
      <c r="BU117" s="249"/>
      <c r="BV117" s="249"/>
      <c r="BW117" s="249"/>
      <c r="BX117" s="249"/>
    </row>
    <row r="118">
      <c r="A118" s="18" t="str">
        <f>CONCATENATE("RUN-",'Process Ref'!$A$1,"_",TEXT(U118,"YYYY-MM-DD"),"_RFR-",TEXT(AR118,"000"),IF(EXACT(W118,"Initial"),"",CONCATENATE("_",W118)))</f>
        <v>RUN-ABRM_2023-01-02_RFR-117</v>
      </c>
      <c r="B118" s="251">
        <v>44928.42027854167</v>
      </c>
      <c r="C118" s="92"/>
      <c r="D118" s="92" t="s">
        <v>313</v>
      </c>
      <c r="E118" s="131">
        <v>11.0</v>
      </c>
      <c r="F118" s="92" t="s">
        <v>815</v>
      </c>
      <c r="G118" s="252" t="s">
        <v>816</v>
      </c>
      <c r="H118" s="252" t="s">
        <v>817</v>
      </c>
      <c r="I118" s="252" t="s">
        <v>818</v>
      </c>
      <c r="J118" s="172"/>
      <c r="K118" s="202" t="s">
        <v>819</v>
      </c>
      <c r="L118" s="246"/>
      <c r="M118" s="174"/>
      <c r="N118" s="174"/>
      <c r="O118" s="175"/>
      <c r="P118" s="118" t="b">
        <v>0</v>
      </c>
      <c r="Q118" s="118" t="b">
        <v>0</v>
      </c>
      <c r="R118" s="55"/>
      <c r="S118" s="118" t="b">
        <v>0</v>
      </c>
      <c r="T118" s="177" t="b">
        <v>0</v>
      </c>
      <c r="U118" s="178">
        <v>44928.0</v>
      </c>
      <c r="V118" s="179">
        <v>0.4375</v>
      </c>
      <c r="W118" s="110" t="s">
        <v>320</v>
      </c>
      <c r="X118" s="203" t="s">
        <v>820</v>
      </c>
      <c r="Y118" s="118" t="b">
        <v>0</v>
      </c>
      <c r="Z118" s="169">
        <v>11.0</v>
      </c>
      <c r="AA118" s="196">
        <f t="shared" si="1"/>
        <v>0</v>
      </c>
      <c r="AB118" s="197" t="b">
        <f t="shared" si="2"/>
        <v>1</v>
      </c>
      <c r="AC118" s="247">
        <v>9.0</v>
      </c>
      <c r="AD118" s="169">
        <v>0.0</v>
      </c>
      <c r="AE118" s="169">
        <v>0.0</v>
      </c>
      <c r="AF118" s="169">
        <v>0.0</v>
      </c>
      <c r="AG118" s="169">
        <v>0.0</v>
      </c>
      <c r="AH118" s="169">
        <v>0.0</v>
      </c>
      <c r="AI118" s="169">
        <v>0.0</v>
      </c>
      <c r="AJ118" s="182" t="b">
        <v>0</v>
      </c>
      <c r="AK118" s="183">
        <v>9.0</v>
      </c>
      <c r="AL118" s="169">
        <v>0.0</v>
      </c>
      <c r="AM118" s="169">
        <v>0.0</v>
      </c>
      <c r="AN118" s="198" t="str">
        <f>IFNA(VLOOKUP($A118,'Tube Reactions'!$J$2:$K259,2,FALSE),"")</f>
        <v/>
      </c>
      <c r="AO118" s="199" t="str">
        <f t="shared" si="20"/>
        <v/>
      </c>
      <c r="AP118" s="186" t="str">
        <f t="shared" si="36"/>
        <v/>
      </c>
      <c r="AQ118" s="187" t="b">
        <f t="shared" si="5"/>
        <v>1</v>
      </c>
      <c r="AR118" s="188">
        <v>117.0</v>
      </c>
      <c r="AS118" s="189"/>
      <c r="AT118" s="55"/>
      <c r="AU118" s="110" t="s">
        <v>779</v>
      </c>
      <c r="AV118" s="169"/>
      <c r="AW118" s="118"/>
      <c r="AX118" s="190"/>
      <c r="AY118" s="48"/>
      <c r="BA118" s="191"/>
      <c r="BB118" s="18"/>
      <c r="BC118" s="18"/>
      <c r="BD118" s="48"/>
      <c r="BE118" s="192"/>
      <c r="BF118" s="76">
        <f t="shared" si="11"/>
        <v>44928</v>
      </c>
      <c r="BG118" s="114" t="str">
        <f t="shared" si="12"/>
        <v>RUN-ABRM_2023-01-02_RFR-117</v>
      </c>
      <c r="BH118" s="83">
        <f t="shared" si="13"/>
        <v>11</v>
      </c>
      <c r="BI118" s="83">
        <f t="shared" si="14"/>
        <v>9</v>
      </c>
      <c r="BJ118" s="83">
        <f t="shared" si="15"/>
        <v>9</v>
      </c>
      <c r="BK118" s="83">
        <f t="shared" si="16"/>
        <v>0</v>
      </c>
      <c r="BL118" s="200">
        <f>IFNA(IF(VLOOKUP(FLOOR($B118,1),'APS Tubes by Date IMPORT'!$B$2:$J259,1,FALSE)=FLOOR($BL117,1),IFERROR(0/0,""),VLOOKUP(FLOOR($B118,1),'APS Tubes by Date IMPORT'!$B$2:$J259,1,FALSE)),"")</f>
        <v>44928</v>
      </c>
      <c r="BM118" s="83">
        <f>IF(ISBLANK($BL118),IFERROR(0/0,""),VLOOKUP(FLOOR($B118,1),'APS Tubes by Date IMPORT'!$B$2:$J259,2,FALSE))</f>
        <v>9</v>
      </c>
      <c r="BN118" s="114"/>
      <c r="BO118" s="83" t="str">
        <f>VLOOKUP(FLOOR($B118,1),'APS Tubes by Date IMPORT'!$B118:$I259,6,FALSE)</f>
        <v>#N/A</v>
      </c>
      <c r="BP118" s="83">
        <v>7.0</v>
      </c>
      <c r="BQ118" s="193">
        <f t="shared" si="17"/>
        <v>-2</v>
      </c>
      <c r="BR118" s="131">
        <v>3.0</v>
      </c>
      <c r="BS118" s="76" t="b">
        <f t="shared" si="18"/>
        <v>1</v>
      </c>
      <c r="BT118" s="194" t="str">
        <f t="shared" si="19"/>
        <v>Delete NULL</v>
      </c>
      <c r="BU118" s="249"/>
      <c r="BV118" s="249"/>
      <c r="BW118" s="249"/>
      <c r="BX118" s="249"/>
    </row>
    <row r="119">
      <c r="A119" s="18" t="str">
        <f>CONCATENATE("RUN-",'Process Ref'!$A$1,"_",TEXT(U119,"YYYY-MM-DD"),"_RFR-",TEXT(AR119,"000"),IF(EXACT(W119,"Initial"),"",CONCATENATE("_",W119)))</f>
        <v>RUN-ABRM_2023-01-03_RFR-118</v>
      </c>
      <c r="B119" s="251">
        <v>44929.40901256945</v>
      </c>
      <c r="C119" s="92"/>
      <c r="D119" s="92" t="s">
        <v>313</v>
      </c>
      <c r="E119" s="131">
        <v>13.0</v>
      </c>
      <c r="F119" s="92" t="s">
        <v>821</v>
      </c>
      <c r="G119" s="252" t="s">
        <v>822</v>
      </c>
      <c r="H119" s="252" t="s">
        <v>823</v>
      </c>
      <c r="I119" s="252" t="s">
        <v>824</v>
      </c>
      <c r="J119" s="172">
        <v>1.0</v>
      </c>
      <c r="K119" s="202"/>
      <c r="L119" s="246"/>
      <c r="M119" s="174"/>
      <c r="N119" s="174"/>
      <c r="O119" s="175"/>
      <c r="P119" s="118" t="b">
        <v>0</v>
      </c>
      <c r="Q119" s="118" t="b">
        <v>0</v>
      </c>
      <c r="R119" s="55"/>
      <c r="S119" s="118" t="b">
        <v>0</v>
      </c>
      <c r="T119" s="177" t="b">
        <v>1</v>
      </c>
      <c r="U119" s="178">
        <v>44929.0</v>
      </c>
      <c r="V119" s="179">
        <v>0.4375</v>
      </c>
      <c r="W119" s="110" t="s">
        <v>320</v>
      </c>
      <c r="X119" s="180"/>
      <c r="Y119" s="118" t="b">
        <v>0</v>
      </c>
      <c r="Z119" s="169">
        <v>13.0</v>
      </c>
      <c r="AA119" s="196">
        <f t="shared" si="1"/>
        <v>0</v>
      </c>
      <c r="AB119" s="197" t="b">
        <f t="shared" si="2"/>
        <v>1</v>
      </c>
      <c r="AC119" s="247">
        <v>11.0</v>
      </c>
      <c r="AD119" s="169">
        <v>1.0</v>
      </c>
      <c r="AE119" s="169">
        <v>1.0</v>
      </c>
      <c r="AF119" s="169">
        <v>0.0</v>
      </c>
      <c r="AG119" s="169">
        <v>0.0</v>
      </c>
      <c r="AH119" s="169">
        <v>0.0</v>
      </c>
      <c r="AI119" s="169">
        <v>0.0</v>
      </c>
      <c r="AJ119" s="182" t="b">
        <v>0</v>
      </c>
      <c r="AK119" s="183">
        <v>11.0</v>
      </c>
      <c r="AL119" s="169">
        <v>1.1</v>
      </c>
      <c r="AM119" s="169">
        <v>1.0</v>
      </c>
      <c r="AN119" s="198" t="str">
        <f>IFNA(VLOOKUP($A119,'Tube Reactions'!$J$2:$K259,2,FALSE),"")</f>
        <v/>
      </c>
      <c r="AO119" s="199" t="str">
        <f t="shared" si="20"/>
        <v>NOT EQUAL</v>
      </c>
      <c r="AP119" s="186" t="str">
        <f t="shared" si="36"/>
        <v/>
      </c>
      <c r="AQ119" s="187" t="b">
        <f t="shared" si="5"/>
        <v>1</v>
      </c>
      <c r="AR119" s="188">
        <v>118.0</v>
      </c>
      <c r="AS119" s="189"/>
      <c r="AT119" s="55"/>
      <c r="AU119" s="110" t="s">
        <v>779</v>
      </c>
      <c r="AV119" s="169"/>
      <c r="AW119" s="118"/>
      <c r="AX119" s="190"/>
      <c r="AY119" s="48"/>
      <c r="BA119" s="191"/>
      <c r="BB119" s="18"/>
      <c r="BC119" s="18"/>
      <c r="BD119" s="48"/>
      <c r="BE119" s="192"/>
      <c r="BF119" s="76">
        <f t="shared" si="11"/>
        <v>44929</v>
      </c>
      <c r="BG119" s="114" t="str">
        <f t="shared" si="12"/>
        <v>RUN-ABRM_2023-01-03_RFR-118</v>
      </c>
      <c r="BH119" s="83">
        <f t="shared" si="13"/>
        <v>13</v>
      </c>
      <c r="BI119" s="83">
        <f t="shared" si="14"/>
        <v>11</v>
      </c>
      <c r="BJ119" s="83">
        <f t="shared" si="15"/>
        <v>11</v>
      </c>
      <c r="BK119" s="83">
        <f t="shared" si="16"/>
        <v>1.1</v>
      </c>
      <c r="BL119" s="200">
        <f>IFNA(IF(VLOOKUP(FLOOR($B119,1),'APS Tubes by Date IMPORT'!$B$2:$J259,1,FALSE)=FLOOR($BL118,1),IFERROR(0/0,""),VLOOKUP(FLOOR($B119,1),'APS Tubes by Date IMPORT'!$B$2:$J259,1,FALSE)),"")</f>
        <v>44929</v>
      </c>
      <c r="BM119" s="83">
        <f>IF(ISBLANK($BL119),IFERROR(0/0,""),VLOOKUP(FLOOR($B119,1),'APS Tubes by Date IMPORT'!$B$2:$J259,2,FALSE))</f>
        <v>11</v>
      </c>
      <c r="BN119" s="114"/>
      <c r="BO119" s="83" t="str">
        <f>VLOOKUP(FLOOR($B119,1),'APS Tubes by Date IMPORT'!$B119:$I259,6,FALSE)</f>
        <v>#N/A</v>
      </c>
      <c r="BP119" s="83">
        <v>7.0</v>
      </c>
      <c r="BQ119" s="193">
        <f t="shared" si="17"/>
        <v>-4</v>
      </c>
      <c r="BR119" s="131">
        <v>3.0</v>
      </c>
      <c r="BS119" s="76" t="b">
        <f t="shared" si="18"/>
        <v>1</v>
      </c>
      <c r="BT119" s="194" t="str">
        <f t="shared" si="19"/>
        <v>Delete NULL</v>
      </c>
      <c r="BU119" s="249"/>
      <c r="BV119" s="249"/>
      <c r="BW119" s="249"/>
      <c r="BX119" s="249"/>
    </row>
    <row r="120">
      <c r="A120" s="18" t="str">
        <f>CONCATENATE("RUN-",'Process Ref'!$A$1,"_",TEXT(U120,"YYYY-MM-DD"),"_RFR-",TEXT(AR120,"000"),IF(EXACT(W120,"Initial"),"",CONCATENATE("_",W120)))</f>
        <v>RUN-ABRM_2023-01-03_RFR-119_Re-run</v>
      </c>
      <c r="B120" s="251">
        <v>44929.43715787037</v>
      </c>
      <c r="C120" s="92"/>
      <c r="D120" s="92" t="s">
        <v>313</v>
      </c>
      <c r="E120" s="131">
        <v>5.0</v>
      </c>
      <c r="F120" s="92" t="s">
        <v>821</v>
      </c>
      <c r="G120" s="252" t="s">
        <v>825</v>
      </c>
      <c r="H120" s="252" t="s">
        <v>826</v>
      </c>
      <c r="I120" s="252" t="s">
        <v>827</v>
      </c>
      <c r="J120" s="172"/>
      <c r="K120" s="202"/>
      <c r="L120" s="246"/>
      <c r="M120" s="174"/>
      <c r="N120" s="174"/>
      <c r="O120" s="175"/>
      <c r="P120" s="118" t="b">
        <v>0</v>
      </c>
      <c r="Q120" s="118" t="b">
        <v>0</v>
      </c>
      <c r="R120" s="55"/>
      <c r="S120" s="118" t="b">
        <v>0</v>
      </c>
      <c r="T120" s="177" t="b">
        <v>1</v>
      </c>
      <c r="U120" s="178">
        <v>44929.0</v>
      </c>
      <c r="V120" s="179">
        <v>0.4444444444444444</v>
      </c>
      <c r="W120" s="110" t="s">
        <v>339</v>
      </c>
      <c r="X120" s="180"/>
      <c r="Y120" s="118" t="b">
        <v>0</v>
      </c>
      <c r="Z120" s="169">
        <v>5.0</v>
      </c>
      <c r="AA120" s="196">
        <f t="shared" si="1"/>
        <v>0</v>
      </c>
      <c r="AB120" s="197" t="b">
        <f t="shared" si="2"/>
        <v>1</v>
      </c>
      <c r="AC120" s="247">
        <v>5.0</v>
      </c>
      <c r="AD120" s="169">
        <v>0.0</v>
      </c>
      <c r="AE120" s="169">
        <v>0.0</v>
      </c>
      <c r="AF120" s="169">
        <v>0.0</v>
      </c>
      <c r="AG120" s="169">
        <v>0.0</v>
      </c>
      <c r="AH120" s="169">
        <v>0.0</v>
      </c>
      <c r="AI120" s="169">
        <v>0.0</v>
      </c>
      <c r="AJ120" s="182" t="b">
        <v>0</v>
      </c>
      <c r="AK120" s="183">
        <v>1.0</v>
      </c>
      <c r="AL120" s="169">
        <v>0.0</v>
      </c>
      <c r="AM120" s="172" t="str">
        <f>IF(EXACT(W120,"Initial"),"Audit","")</f>
        <v/>
      </c>
      <c r="AN120" s="198" t="str">
        <f>IFNA(VLOOKUP($A120,'Tube Reactions'!$J$2:$K259,2,FALSE),"")</f>
        <v/>
      </c>
      <c r="AO120" s="199" t="str">
        <f t="shared" si="20"/>
        <v/>
      </c>
      <c r="AP120" s="186" t="str">
        <f t="shared" si="36"/>
        <v/>
      </c>
      <c r="AQ120" s="187" t="b">
        <f t="shared" si="5"/>
        <v>1</v>
      </c>
      <c r="AR120" s="188">
        <v>119.0</v>
      </c>
      <c r="AS120" s="189"/>
      <c r="AT120" s="55"/>
      <c r="AU120" s="110" t="s">
        <v>779</v>
      </c>
      <c r="AV120" s="169"/>
      <c r="AW120" s="118"/>
      <c r="AX120" s="190"/>
      <c r="AY120" s="48"/>
      <c r="BA120" s="191"/>
      <c r="BB120" s="18"/>
      <c r="BC120" s="18"/>
      <c r="BD120" s="48"/>
      <c r="BE120" s="192"/>
      <c r="BF120" s="76" t="str">
        <f t="shared" si="11"/>
        <v/>
      </c>
      <c r="BG120" s="114" t="str">
        <f t="shared" si="12"/>
        <v/>
      </c>
      <c r="BH120" s="83" t="str">
        <f t="shared" si="13"/>
        <v/>
      </c>
      <c r="BI120" s="83" t="str">
        <f t="shared" si="14"/>
        <v/>
      </c>
      <c r="BJ120" s="83" t="str">
        <f t="shared" si="15"/>
        <v/>
      </c>
      <c r="BK120" s="83" t="str">
        <f t="shared" si="16"/>
        <v/>
      </c>
      <c r="BL120" s="200" t="str">
        <f>IFNA(IF(VLOOKUP(FLOOR($B120,1),'APS Tubes by Date IMPORT'!$B$2:$J259,1,FALSE)=FLOOR($BL119,1),IFERROR(0/0,""),VLOOKUP(FLOOR($B120,1),'APS Tubes by Date IMPORT'!$B$2:$J259,1,FALSE)),"")</f>
        <v/>
      </c>
      <c r="BM120" s="83" t="str">
        <f>IF(ISBLANK($BL120),IFERROR(0/0,""),VLOOKUP(FLOOR($B120,1),'APS Tubes by Date IMPORT'!$B$2:$J259,2,FALSE))</f>
        <v/>
      </c>
      <c r="BN120" s="114"/>
      <c r="BO120" s="83" t="str">
        <f>VLOOKUP(FLOOR($B120,1),'APS Tubes by Date IMPORT'!$B120:$I259,6,FALSE)</f>
        <v>#N/A</v>
      </c>
      <c r="BP120" s="83">
        <v>7.0</v>
      </c>
      <c r="BQ120" s="193">
        <f t="shared" si="17"/>
        <v>7</v>
      </c>
      <c r="BR120" s="131">
        <v>3.0</v>
      </c>
      <c r="BS120" s="76" t="b">
        <f t="shared" si="18"/>
        <v>1</v>
      </c>
      <c r="BT120" s="194" t="str">
        <f t="shared" si="19"/>
        <v>Delete NULL</v>
      </c>
      <c r="BU120" s="249"/>
      <c r="BV120" s="249"/>
      <c r="BW120" s="249"/>
      <c r="BX120" s="249"/>
    </row>
    <row r="121">
      <c r="A121" s="18" t="str">
        <f>CONCATENATE("RUN-",'Process Ref'!$A$1,"_",TEXT(U121,"YYYY-MM-DD"),"_RFR-",TEXT(AR121,"000"),IF(EXACT(W121,"Initial"),"",CONCATENATE("_",W121)))</f>
        <v>RUN-ABRM_2023-01-04_RFR-120</v>
      </c>
      <c r="B121" s="251">
        <v>44930.430930069444</v>
      </c>
      <c r="C121" s="92"/>
      <c r="D121" s="92" t="s">
        <v>313</v>
      </c>
      <c r="E121" s="131">
        <v>8.0</v>
      </c>
      <c r="F121" s="92" t="s">
        <v>828</v>
      </c>
      <c r="G121" s="252" t="s">
        <v>829</v>
      </c>
      <c r="H121" s="252" t="s">
        <v>830</v>
      </c>
      <c r="I121" s="252" t="s">
        <v>831</v>
      </c>
      <c r="J121" s="172"/>
      <c r="K121" s="202"/>
      <c r="L121" s="246"/>
      <c r="M121" s="174"/>
      <c r="N121" s="174"/>
      <c r="O121" s="175"/>
      <c r="P121" s="118" t="b">
        <v>0</v>
      </c>
      <c r="Q121" s="118" t="b">
        <v>0</v>
      </c>
      <c r="R121" s="55"/>
      <c r="S121" s="118" t="b">
        <v>0</v>
      </c>
      <c r="T121" s="177" t="b">
        <v>0</v>
      </c>
      <c r="U121" s="178">
        <v>44930.0</v>
      </c>
      <c r="V121" s="179">
        <v>0.4375</v>
      </c>
      <c r="W121" s="110" t="s">
        <v>320</v>
      </c>
      <c r="X121" s="180"/>
      <c r="Y121" s="118" t="b">
        <v>0</v>
      </c>
      <c r="Z121" s="169">
        <v>8.0</v>
      </c>
      <c r="AA121" s="196">
        <f t="shared" si="1"/>
        <v>0</v>
      </c>
      <c r="AB121" s="197" t="b">
        <f t="shared" si="2"/>
        <v>1</v>
      </c>
      <c r="AC121" s="247">
        <v>6.0</v>
      </c>
      <c r="AD121" s="169">
        <v>0.0</v>
      </c>
      <c r="AE121" s="169">
        <v>0.0</v>
      </c>
      <c r="AF121" s="169">
        <v>0.0</v>
      </c>
      <c r="AG121" s="169">
        <v>0.0</v>
      </c>
      <c r="AH121" s="169">
        <v>0.0</v>
      </c>
      <c r="AI121" s="169">
        <v>0.0</v>
      </c>
      <c r="AJ121" s="182" t="b">
        <v>0</v>
      </c>
      <c r="AK121" s="183">
        <v>6.0</v>
      </c>
      <c r="AL121" s="169">
        <v>0.0</v>
      </c>
      <c r="AM121" s="169">
        <v>0.0</v>
      </c>
      <c r="AN121" s="198" t="str">
        <f>IFNA(VLOOKUP($A121,'Tube Reactions'!$J$2:$K259,2,FALSE),"")</f>
        <v/>
      </c>
      <c r="AO121" s="199" t="str">
        <f t="shared" si="20"/>
        <v/>
      </c>
      <c r="AP121" s="186" t="str">
        <f t="shared" si="36"/>
        <v/>
      </c>
      <c r="AQ121" s="187" t="b">
        <f t="shared" si="5"/>
        <v>1</v>
      </c>
      <c r="AR121" s="188">
        <v>120.0</v>
      </c>
      <c r="AS121" s="189"/>
      <c r="AT121" s="55"/>
      <c r="AU121" s="110" t="s">
        <v>779</v>
      </c>
      <c r="AV121" s="169"/>
      <c r="AW121" s="118"/>
      <c r="AX121" s="190"/>
      <c r="AY121" s="48"/>
      <c r="BA121" s="191"/>
      <c r="BB121" s="18"/>
      <c r="BC121" s="18"/>
      <c r="BD121" s="48"/>
      <c r="BE121" s="192"/>
      <c r="BF121" s="76">
        <f t="shared" si="11"/>
        <v>44930</v>
      </c>
      <c r="BG121" s="114" t="str">
        <f t="shared" si="12"/>
        <v>RUN-ABRM_2023-01-04_RFR-120</v>
      </c>
      <c r="BH121" s="83">
        <f t="shared" si="13"/>
        <v>8</v>
      </c>
      <c r="BI121" s="83">
        <f t="shared" si="14"/>
        <v>6</v>
      </c>
      <c r="BJ121" s="83">
        <f t="shared" si="15"/>
        <v>6</v>
      </c>
      <c r="BK121" s="83">
        <f t="shared" si="16"/>
        <v>0</v>
      </c>
      <c r="BL121" s="200">
        <f>IFNA(IF(VLOOKUP(FLOOR($B121,1),'APS Tubes by Date IMPORT'!$B$2:$J259,1,FALSE)=FLOOR($BL120,1),IFERROR(0/0,""),VLOOKUP(FLOOR($B121,1),'APS Tubes by Date IMPORT'!$B$2:$J259,1,FALSE)),"")</f>
        <v>44930</v>
      </c>
      <c r="BM121" s="83">
        <f>IF(ISBLANK($BL121),IFERROR(0/0,""),VLOOKUP(FLOOR($B121,1),'APS Tubes by Date IMPORT'!$B$2:$J259,2,FALSE))</f>
        <v>6</v>
      </c>
      <c r="BN121" s="114"/>
      <c r="BO121" s="83" t="str">
        <f>VLOOKUP(FLOOR($B121,1),'APS Tubes by Date IMPORT'!$B121:$I259,6,FALSE)</f>
        <v>#N/A</v>
      </c>
      <c r="BP121" s="83">
        <v>7.0</v>
      </c>
      <c r="BQ121" s="193">
        <f t="shared" si="17"/>
        <v>1</v>
      </c>
      <c r="BR121" s="131">
        <v>3.0</v>
      </c>
      <c r="BS121" s="76" t="b">
        <f t="shared" si="18"/>
        <v>1</v>
      </c>
      <c r="BT121" s="194" t="str">
        <f t="shared" si="19"/>
        <v>Delete NULL</v>
      </c>
      <c r="BU121" s="249"/>
      <c r="BV121" s="249"/>
      <c r="BW121" s="249"/>
      <c r="BX121" s="249"/>
    </row>
    <row r="122">
      <c r="A122" s="18" t="str">
        <f>CONCATENATE("RUN-",'Process Ref'!$A$1,"_",TEXT(U122,"YYYY-MM-DD"),"_RFR-",TEXT(AR122,"000"),IF(EXACT(W122,"Initial"),"",CONCATENATE("_",W122)))</f>
        <v>RUN-ABRM_2023-01-05_RFR-121</v>
      </c>
      <c r="B122" s="251">
        <v>44931.45089586805</v>
      </c>
      <c r="C122" s="92"/>
      <c r="D122" s="92" t="s">
        <v>313</v>
      </c>
      <c r="E122" s="131">
        <v>8.0</v>
      </c>
      <c r="F122" s="92" t="s">
        <v>832</v>
      </c>
      <c r="G122" s="252" t="s">
        <v>833</v>
      </c>
      <c r="H122" s="252" t="s">
        <v>834</v>
      </c>
      <c r="I122" s="252" t="s">
        <v>835</v>
      </c>
      <c r="J122" s="172">
        <v>1.0</v>
      </c>
      <c r="K122" s="202"/>
      <c r="L122" s="246"/>
      <c r="M122" s="174"/>
      <c r="N122" s="174"/>
      <c r="O122" s="175"/>
      <c r="P122" s="118" t="b">
        <v>0</v>
      </c>
      <c r="Q122" s="118" t="b">
        <v>0</v>
      </c>
      <c r="R122" s="55"/>
      <c r="S122" s="118" t="b">
        <v>0</v>
      </c>
      <c r="T122" s="177" t="b">
        <v>1</v>
      </c>
      <c r="U122" s="178">
        <v>44931.0</v>
      </c>
      <c r="V122" s="179">
        <v>0.4479166666666667</v>
      </c>
      <c r="W122" s="110" t="s">
        <v>320</v>
      </c>
      <c r="X122" s="180"/>
      <c r="Y122" s="118" t="b">
        <v>0</v>
      </c>
      <c r="Z122" s="169">
        <v>8.0</v>
      </c>
      <c r="AA122" s="196">
        <f t="shared" si="1"/>
        <v>0</v>
      </c>
      <c r="AB122" s="197" t="b">
        <f t="shared" si="2"/>
        <v>1</v>
      </c>
      <c r="AC122" s="247">
        <v>6.0</v>
      </c>
      <c r="AD122" s="169">
        <v>1.0</v>
      </c>
      <c r="AE122" s="169">
        <v>1.0</v>
      </c>
      <c r="AF122" s="169">
        <v>0.0</v>
      </c>
      <c r="AG122" s="169">
        <v>0.0</v>
      </c>
      <c r="AH122" s="169">
        <v>0.0</v>
      </c>
      <c r="AI122" s="169">
        <v>0.0</v>
      </c>
      <c r="AJ122" s="182" t="b">
        <v>0</v>
      </c>
      <c r="AK122" s="183">
        <v>6.0</v>
      </c>
      <c r="AL122" s="169">
        <v>1.1</v>
      </c>
      <c r="AM122" s="169">
        <v>1.0</v>
      </c>
      <c r="AN122" s="198" t="str">
        <f>IFNA(VLOOKUP($A122,'Tube Reactions'!$J$2:$K259,2,FALSE),"")</f>
        <v/>
      </c>
      <c r="AO122" s="199" t="str">
        <f t="shared" si="20"/>
        <v>NOT EQUAL</v>
      </c>
      <c r="AP122" s="186" t="str">
        <f t="shared" si="36"/>
        <v/>
      </c>
      <c r="AQ122" s="187" t="b">
        <f t="shared" si="5"/>
        <v>1</v>
      </c>
      <c r="AR122" s="188">
        <v>121.0</v>
      </c>
      <c r="AS122" s="189"/>
      <c r="AT122" s="55"/>
      <c r="AU122" s="110" t="s">
        <v>779</v>
      </c>
      <c r="AV122" s="169"/>
      <c r="AW122" s="118"/>
      <c r="AX122" s="190"/>
      <c r="AY122" s="48"/>
      <c r="BA122" s="191"/>
      <c r="BB122" s="18"/>
      <c r="BC122" s="18"/>
      <c r="BD122" s="48"/>
      <c r="BE122" s="192"/>
      <c r="BF122" s="76">
        <f t="shared" si="11"/>
        <v>44931</v>
      </c>
      <c r="BG122" s="114" t="str">
        <f t="shared" si="12"/>
        <v>RUN-ABRM_2023-01-05_RFR-121</v>
      </c>
      <c r="BH122" s="83">
        <f t="shared" si="13"/>
        <v>8</v>
      </c>
      <c r="BI122" s="83">
        <f t="shared" si="14"/>
        <v>6</v>
      </c>
      <c r="BJ122" s="83">
        <f t="shared" si="15"/>
        <v>6</v>
      </c>
      <c r="BK122" s="83">
        <f t="shared" si="16"/>
        <v>1.1</v>
      </c>
      <c r="BL122" s="200">
        <f>IFNA(IF(VLOOKUP(FLOOR($B122,1),'APS Tubes by Date IMPORT'!$B$2:$J259,1,FALSE)=FLOOR($BL121,1),IFERROR(0/0,""),VLOOKUP(FLOOR($B122,1),'APS Tubes by Date IMPORT'!$B$2:$J259,1,FALSE)),"")</f>
        <v>44931</v>
      </c>
      <c r="BM122" s="83">
        <f>IF(ISBLANK($BL122),IFERROR(0/0,""),VLOOKUP(FLOOR($B122,1),'APS Tubes by Date IMPORT'!$B$2:$J259,2,FALSE))</f>
        <v>6</v>
      </c>
      <c r="BN122" s="114"/>
      <c r="BO122" s="83" t="str">
        <f>VLOOKUP(FLOOR($B122,1),'APS Tubes by Date IMPORT'!$B122:$I259,6,FALSE)</f>
        <v>#N/A</v>
      </c>
      <c r="BP122" s="83">
        <v>7.0</v>
      </c>
      <c r="BQ122" s="193">
        <f t="shared" si="17"/>
        <v>1</v>
      </c>
      <c r="BR122" s="131">
        <v>3.0</v>
      </c>
      <c r="BS122" s="76" t="b">
        <f t="shared" si="18"/>
        <v>1</v>
      </c>
      <c r="BT122" s="194" t="str">
        <f t="shared" si="19"/>
        <v>Delete NULL</v>
      </c>
      <c r="BU122" s="249"/>
      <c r="BV122" s="249"/>
      <c r="BW122" s="249"/>
      <c r="BX122" s="249"/>
    </row>
    <row r="123">
      <c r="A123" s="18" t="str">
        <f>CONCATENATE("RUN-",'Process Ref'!$A$1,"_",TEXT(U123,"YYYY-MM-DD"),"_RFR-",TEXT(AR123,"000"),IF(EXACT(W123,"Initial"),"",CONCATENATE("_",W123)))</f>
        <v>RUN-ABRM_2023-01-05_RFR-122_Re-run</v>
      </c>
      <c r="B123" s="251">
        <v>44931.47734524305</v>
      </c>
      <c r="C123" s="92"/>
      <c r="D123" s="92" t="s">
        <v>313</v>
      </c>
      <c r="E123" s="131">
        <v>5.0</v>
      </c>
      <c r="F123" s="92" t="s">
        <v>832</v>
      </c>
      <c r="G123" s="252" t="s">
        <v>836</v>
      </c>
      <c r="H123" s="252" t="s">
        <v>837</v>
      </c>
      <c r="I123" s="252" t="s">
        <v>838</v>
      </c>
      <c r="J123" s="172"/>
      <c r="K123" s="202" t="s">
        <v>839</v>
      </c>
      <c r="L123" s="246"/>
      <c r="M123" s="174"/>
      <c r="N123" s="174"/>
      <c r="O123" s="175"/>
      <c r="P123" s="118" t="b">
        <v>0</v>
      </c>
      <c r="Q123" s="118" t="b">
        <v>0</v>
      </c>
      <c r="R123" s="55"/>
      <c r="S123" s="118" t="b">
        <v>0</v>
      </c>
      <c r="T123" s="177" t="b">
        <v>1</v>
      </c>
      <c r="U123" s="178">
        <v>44931.0</v>
      </c>
      <c r="V123" s="179">
        <v>0.5305555555555556</v>
      </c>
      <c r="W123" s="110" t="s">
        <v>339</v>
      </c>
      <c r="X123" s="203" t="s">
        <v>840</v>
      </c>
      <c r="Y123" s="118" t="b">
        <v>0</v>
      </c>
      <c r="Z123" s="169">
        <v>5.0</v>
      </c>
      <c r="AA123" s="196">
        <f t="shared" si="1"/>
        <v>0</v>
      </c>
      <c r="AB123" s="197" t="b">
        <f t="shared" si="2"/>
        <v>1</v>
      </c>
      <c r="AC123" s="247">
        <v>3.0</v>
      </c>
      <c r="AD123" s="169">
        <v>0.0</v>
      </c>
      <c r="AE123" s="169">
        <v>0.0</v>
      </c>
      <c r="AF123" s="169">
        <v>0.0</v>
      </c>
      <c r="AG123" s="169">
        <v>0.0</v>
      </c>
      <c r="AH123" s="169">
        <v>0.0</v>
      </c>
      <c r="AI123" s="169">
        <v>0.0</v>
      </c>
      <c r="AJ123" s="182" t="b">
        <v>0</v>
      </c>
      <c r="AK123" s="183">
        <v>1.0</v>
      </c>
      <c r="AL123" s="169">
        <v>0.0</v>
      </c>
      <c r="AM123" s="172" t="str">
        <f>IF(EXACT(W123,"Initial"),"Audit","")</f>
        <v/>
      </c>
      <c r="AN123" s="198" t="str">
        <f>IFNA(VLOOKUP($A123,'Tube Reactions'!$J$2:$K259,2,FALSE),"")</f>
        <v/>
      </c>
      <c r="AO123" s="199" t="str">
        <f t="shared" si="20"/>
        <v/>
      </c>
      <c r="AP123" s="186" t="str">
        <f t="shared" si="36"/>
        <v/>
      </c>
      <c r="AQ123" s="187" t="b">
        <f t="shared" si="5"/>
        <v>1</v>
      </c>
      <c r="AR123" s="188">
        <v>122.0</v>
      </c>
      <c r="AS123" s="189"/>
      <c r="AT123" s="55"/>
      <c r="AU123" s="110" t="s">
        <v>779</v>
      </c>
      <c r="AV123" s="169"/>
      <c r="AW123" s="118"/>
      <c r="AX123" s="190"/>
      <c r="AY123" s="48"/>
      <c r="BA123" s="191"/>
      <c r="BB123" s="18"/>
      <c r="BC123" s="18"/>
      <c r="BD123" s="48"/>
      <c r="BE123" s="192"/>
      <c r="BF123" s="76" t="str">
        <f t="shared" si="11"/>
        <v/>
      </c>
      <c r="BG123" s="114" t="str">
        <f t="shared" si="12"/>
        <v/>
      </c>
      <c r="BH123" s="83" t="str">
        <f t="shared" si="13"/>
        <v/>
      </c>
      <c r="BI123" s="83" t="str">
        <f t="shared" si="14"/>
        <v/>
      </c>
      <c r="BJ123" s="83" t="str">
        <f t="shared" si="15"/>
        <v/>
      </c>
      <c r="BK123" s="83" t="str">
        <f t="shared" si="16"/>
        <v/>
      </c>
      <c r="BL123" s="200" t="str">
        <f>IFNA(IF(VLOOKUP(FLOOR($B123,1),'APS Tubes by Date IMPORT'!$B$2:$J259,1,FALSE)=FLOOR($BL122,1),IFERROR(0/0,""),VLOOKUP(FLOOR($B123,1),'APS Tubes by Date IMPORT'!$B$2:$J259,1,FALSE)),"")</f>
        <v/>
      </c>
      <c r="BM123" s="83" t="str">
        <f>IF(ISBLANK($BL123),IFERROR(0/0,""),VLOOKUP(FLOOR($B123,1),'APS Tubes by Date IMPORT'!$B$2:$J259,2,FALSE))</f>
        <v/>
      </c>
      <c r="BN123" s="114"/>
      <c r="BO123" s="83" t="str">
        <f>VLOOKUP(FLOOR($B123,1),'APS Tubes by Date IMPORT'!$B123:$I259,6,FALSE)</f>
        <v>#N/A</v>
      </c>
      <c r="BP123" s="83">
        <v>7.0</v>
      </c>
      <c r="BQ123" s="193">
        <f t="shared" si="17"/>
        <v>7</v>
      </c>
      <c r="BR123" s="131">
        <v>3.0</v>
      </c>
      <c r="BS123" s="76" t="b">
        <f t="shared" si="18"/>
        <v>1</v>
      </c>
      <c r="BT123" s="194" t="str">
        <f t="shared" si="19"/>
        <v>Delete NULL</v>
      </c>
      <c r="BU123" s="249"/>
      <c r="BV123" s="249"/>
      <c r="BW123" s="249"/>
      <c r="BX123" s="249"/>
    </row>
    <row r="124">
      <c r="A124" s="18" t="str">
        <f>CONCATENATE("RUN-",'Process Ref'!$A$1,"_",TEXT(U124,"YYYY-MM-DD"),"_RFR-",TEXT(AR124,"000"),IF(EXACT(W124,"Initial"),"",CONCATENATE("_",W124)))</f>
        <v>RUN-ABRM_2023-01-06_RFR-123</v>
      </c>
      <c r="B124" s="251">
        <v>44932.44961855324</v>
      </c>
      <c r="C124" s="92"/>
      <c r="D124" s="92" t="s">
        <v>313</v>
      </c>
      <c r="E124" s="131">
        <v>8.0</v>
      </c>
      <c r="F124" s="92" t="s">
        <v>841</v>
      </c>
      <c r="G124" s="252" t="s">
        <v>842</v>
      </c>
      <c r="H124" s="252" t="s">
        <v>843</v>
      </c>
      <c r="I124" s="252" t="s">
        <v>844</v>
      </c>
      <c r="J124" s="172">
        <v>1.0</v>
      </c>
      <c r="K124" s="202" t="s">
        <v>845</v>
      </c>
      <c r="L124" s="246"/>
      <c r="M124" s="174"/>
      <c r="N124" s="174"/>
      <c r="O124" s="175"/>
      <c r="P124" s="118" t="b">
        <v>0</v>
      </c>
      <c r="Q124" s="118" t="b">
        <v>0</v>
      </c>
      <c r="R124" s="55"/>
      <c r="S124" s="118" t="b">
        <v>0</v>
      </c>
      <c r="T124" s="177" t="b">
        <v>1</v>
      </c>
      <c r="U124" s="178">
        <v>44932.0</v>
      </c>
      <c r="V124" s="179">
        <v>0.4583333333333333</v>
      </c>
      <c r="W124" s="110" t="s">
        <v>320</v>
      </c>
      <c r="X124" s="203" t="s">
        <v>846</v>
      </c>
      <c r="Y124" s="118" t="b">
        <v>1</v>
      </c>
      <c r="Z124" s="169"/>
      <c r="AA124" s="196">
        <f t="shared" si="1"/>
        <v>-8</v>
      </c>
      <c r="AB124" s="197" t="b">
        <f t="shared" si="2"/>
        <v>1</v>
      </c>
      <c r="AC124" s="247">
        <v>6.0</v>
      </c>
      <c r="AD124" s="169">
        <v>1.0</v>
      </c>
      <c r="AE124" s="169">
        <v>1.0</v>
      </c>
      <c r="AF124" s="169">
        <v>0.0</v>
      </c>
      <c r="AG124" s="169">
        <v>1.0</v>
      </c>
      <c r="AH124" s="169">
        <v>1.0</v>
      </c>
      <c r="AI124" s="169">
        <v>0.0</v>
      </c>
      <c r="AJ124" s="182" t="b">
        <v>0</v>
      </c>
      <c r="AK124" s="183">
        <v>6.0</v>
      </c>
      <c r="AL124" s="169">
        <v>4.0</v>
      </c>
      <c r="AM124" s="169">
        <v>2.0</v>
      </c>
      <c r="AN124" s="198" t="str">
        <f>IFNA(VLOOKUP($A124,'Tube Reactions'!$J$2:$K259,2,FALSE),"")</f>
        <v/>
      </c>
      <c r="AO124" s="199" t="str">
        <f t="shared" si="20"/>
        <v>NOT EQUAL</v>
      </c>
      <c r="AP124" s="186" t="str">
        <f t="shared" si="36"/>
        <v/>
      </c>
      <c r="AQ124" s="187" t="b">
        <f t="shared" si="5"/>
        <v>1</v>
      </c>
      <c r="AR124" s="188">
        <v>123.0</v>
      </c>
      <c r="AS124" s="189"/>
      <c r="AT124" s="55"/>
      <c r="AU124" s="110" t="s">
        <v>779</v>
      </c>
      <c r="AV124" s="169"/>
      <c r="AW124" s="118"/>
      <c r="AX124" s="190"/>
      <c r="AY124" s="48"/>
      <c r="BA124" s="191"/>
      <c r="BB124" s="18"/>
      <c r="BC124" s="18"/>
      <c r="BD124" s="48"/>
      <c r="BE124" s="192"/>
      <c r="BF124" s="76">
        <f t="shared" si="11"/>
        <v>44932</v>
      </c>
      <c r="BG124" s="114" t="str">
        <f t="shared" si="12"/>
        <v>RUN-ABRM_2023-01-06_RFR-123</v>
      </c>
      <c r="BH124" s="83">
        <f t="shared" si="13"/>
        <v>8</v>
      </c>
      <c r="BI124" s="83">
        <f t="shared" si="14"/>
        <v>6</v>
      </c>
      <c r="BJ124" s="83">
        <f t="shared" si="15"/>
        <v>6</v>
      </c>
      <c r="BK124" s="83">
        <f t="shared" si="16"/>
        <v>4</v>
      </c>
      <c r="BL124" s="200">
        <f>IFNA(IF(VLOOKUP(FLOOR($B124,1),'APS Tubes by Date IMPORT'!$B$2:$J259,1,FALSE)=FLOOR($BL123,1),IFERROR(0/0,""),VLOOKUP(FLOOR($B124,1),'APS Tubes by Date IMPORT'!$B$2:$J259,1,FALSE)),"")</f>
        <v>44932</v>
      </c>
      <c r="BM124" s="83">
        <f>IF(ISBLANK($BL124),IFERROR(0/0,""),VLOOKUP(FLOOR($B124,1),'APS Tubes by Date IMPORT'!$B$2:$J259,2,FALSE))</f>
        <v>6</v>
      </c>
      <c r="BN124" s="114"/>
      <c r="BO124" s="83" t="str">
        <f>VLOOKUP(FLOOR($B124,1),'APS Tubes by Date IMPORT'!$B124:$I259,6,FALSE)</f>
        <v>#N/A</v>
      </c>
      <c r="BP124" s="83">
        <v>7.0</v>
      </c>
      <c r="BQ124" s="193">
        <f t="shared" si="17"/>
        <v>1</v>
      </c>
      <c r="BR124" s="131">
        <v>3.0</v>
      </c>
      <c r="BS124" s="76" t="b">
        <f t="shared" si="18"/>
        <v>1</v>
      </c>
      <c r="BT124" s="194" t="str">
        <f t="shared" si="19"/>
        <v>Delete NULL</v>
      </c>
      <c r="BU124" s="249"/>
      <c r="BV124" s="249"/>
      <c r="BW124" s="249"/>
      <c r="BX124" s="249"/>
    </row>
    <row r="125">
      <c r="A125" s="18" t="str">
        <f>CONCATENATE("RUN-",'Process Ref'!$A$1,"_",TEXT(U125,"YYYY-MM-DD"),"_RFR-",TEXT(AR125,"000"),IF(EXACT(W125,"Initial"),"",CONCATENATE("_",W125)))</f>
        <v>RUN-ABRM_2023-01-06_RFR-124_Re-run</v>
      </c>
      <c r="B125" s="251">
        <v>44932.45203483796</v>
      </c>
      <c r="C125" s="92"/>
      <c r="D125" s="92" t="s">
        <v>313</v>
      </c>
      <c r="E125" s="131">
        <v>8.0</v>
      </c>
      <c r="F125" s="92" t="s">
        <v>841</v>
      </c>
      <c r="G125" s="252" t="s">
        <v>847</v>
      </c>
      <c r="H125" s="252" t="s">
        <v>848</v>
      </c>
      <c r="I125" s="252" t="s">
        <v>849</v>
      </c>
      <c r="J125" s="172"/>
      <c r="K125" s="202"/>
      <c r="L125" s="246"/>
      <c r="M125" s="174"/>
      <c r="N125" s="174"/>
      <c r="O125" s="175"/>
      <c r="P125" s="118" t="b">
        <v>0</v>
      </c>
      <c r="Q125" s="118" t="b">
        <v>0</v>
      </c>
      <c r="R125" s="55"/>
      <c r="S125" s="118" t="b">
        <v>0</v>
      </c>
      <c r="T125" s="177" t="b">
        <v>1</v>
      </c>
      <c r="U125" s="178">
        <v>44932.0</v>
      </c>
      <c r="V125" s="179">
        <v>0.5069444444444444</v>
      </c>
      <c r="W125" s="110" t="s">
        <v>339</v>
      </c>
      <c r="X125" s="180"/>
      <c r="Y125" s="118" t="b">
        <v>0</v>
      </c>
      <c r="Z125" s="169">
        <v>8.0</v>
      </c>
      <c r="AA125" s="196">
        <f t="shared" si="1"/>
        <v>0</v>
      </c>
      <c r="AB125" s="197" t="b">
        <f t="shared" si="2"/>
        <v>1</v>
      </c>
      <c r="AC125" s="247">
        <v>6.0</v>
      </c>
      <c r="AD125" s="169">
        <v>0.0</v>
      </c>
      <c r="AE125" s="169">
        <v>0.0</v>
      </c>
      <c r="AF125" s="169">
        <v>0.0</v>
      </c>
      <c r="AG125" s="169">
        <v>0.0</v>
      </c>
      <c r="AH125" s="169">
        <v>0.0</v>
      </c>
      <c r="AI125" s="169">
        <v>0.0</v>
      </c>
      <c r="AJ125" s="182" t="b">
        <v>0</v>
      </c>
      <c r="AK125" s="183">
        <v>2.0</v>
      </c>
      <c r="AL125" s="169">
        <v>4.0</v>
      </c>
      <c r="AM125" s="172" t="str">
        <f>IF(EXACT(W125,"Initial"),"Audit","")</f>
        <v/>
      </c>
      <c r="AN125" s="198" t="str">
        <f>IFNA(VLOOKUP($A125,'Tube Reactions'!$J$2:$K259,2,FALSE),"")</f>
        <v/>
      </c>
      <c r="AO125" s="199" t="str">
        <f t="shared" si="20"/>
        <v/>
      </c>
      <c r="AP125" s="186" t="str">
        <f t="shared" si="36"/>
        <v/>
      </c>
      <c r="AQ125" s="187" t="b">
        <f t="shared" si="5"/>
        <v>1</v>
      </c>
      <c r="AR125" s="188">
        <v>124.0</v>
      </c>
      <c r="AS125" s="189"/>
      <c r="AT125" s="55"/>
      <c r="AU125" s="110" t="s">
        <v>779</v>
      </c>
      <c r="AV125" s="169"/>
      <c r="AW125" s="118"/>
      <c r="AX125" s="190"/>
      <c r="AY125" s="48"/>
      <c r="BA125" s="191"/>
      <c r="BB125" s="18"/>
      <c r="BC125" s="18"/>
      <c r="BD125" s="48"/>
      <c r="BE125" s="192"/>
      <c r="BF125" s="76" t="str">
        <f t="shared" si="11"/>
        <v/>
      </c>
      <c r="BG125" s="114" t="str">
        <f t="shared" si="12"/>
        <v/>
      </c>
      <c r="BH125" s="83" t="str">
        <f t="shared" si="13"/>
        <v/>
      </c>
      <c r="BI125" s="83" t="str">
        <f t="shared" si="14"/>
        <v/>
      </c>
      <c r="BJ125" s="83" t="str">
        <f t="shared" si="15"/>
        <v/>
      </c>
      <c r="BK125" s="83" t="str">
        <f t="shared" si="16"/>
        <v/>
      </c>
      <c r="BL125" s="200" t="str">
        <f>IFNA(IF(VLOOKUP(FLOOR($B125,1),'APS Tubes by Date IMPORT'!$B$2:$J259,1,FALSE)=FLOOR($BL124,1),IFERROR(0/0,""),VLOOKUP(FLOOR($B125,1),'APS Tubes by Date IMPORT'!$B$2:$J259,1,FALSE)),"")</f>
        <v/>
      </c>
      <c r="BM125" s="83" t="str">
        <f>IF(ISBLANK($BL125),IFERROR(0/0,""),VLOOKUP(FLOOR($B125,1),'APS Tubes by Date IMPORT'!$B$2:$J259,2,FALSE))</f>
        <v/>
      </c>
      <c r="BN125" s="114"/>
      <c r="BO125" s="83" t="str">
        <f>VLOOKUP(FLOOR($B125,1),'APS Tubes by Date IMPORT'!$B125:$I259,6,FALSE)</f>
        <v>#N/A</v>
      </c>
      <c r="BP125" s="83">
        <v>7.0</v>
      </c>
      <c r="BQ125" s="193">
        <f t="shared" si="17"/>
        <v>7</v>
      </c>
      <c r="BR125" s="131">
        <v>3.0</v>
      </c>
      <c r="BS125" s="76" t="b">
        <f t="shared" si="18"/>
        <v>1</v>
      </c>
      <c r="BT125" s="194" t="str">
        <f t="shared" si="19"/>
        <v>Delete NULL</v>
      </c>
      <c r="BU125" s="249"/>
      <c r="BV125" s="249"/>
      <c r="BW125" s="249"/>
      <c r="BX125" s="249"/>
    </row>
    <row r="126">
      <c r="A126" s="18" t="str">
        <f>CONCATENATE("RUN-",'Process Ref'!$A$1,"_",TEXT(U126,"YYYY-MM-DD"),"_RFR-",TEXT(AR126,"000"),IF(EXACT(W126,"Initial"),"",CONCATENATE("_",W126)))</f>
        <v>RUN-ABRM_2023-01-09_RFR-125</v>
      </c>
      <c r="B126" s="251">
        <v>44935.48595703703</v>
      </c>
      <c r="C126" s="92"/>
      <c r="D126" s="92" t="s">
        <v>313</v>
      </c>
      <c r="E126" s="131">
        <v>11.0</v>
      </c>
      <c r="F126" s="92" t="s">
        <v>850</v>
      </c>
      <c r="G126" s="252" t="s">
        <v>851</v>
      </c>
      <c r="H126" s="252" t="s">
        <v>852</v>
      </c>
      <c r="I126" s="252" t="s">
        <v>853</v>
      </c>
      <c r="J126" s="172">
        <v>1.0</v>
      </c>
      <c r="K126" s="202"/>
      <c r="L126" s="246"/>
      <c r="M126" s="174"/>
      <c r="N126" s="209">
        <v>2.1</v>
      </c>
      <c r="O126" s="175"/>
      <c r="P126" s="118" t="b">
        <v>1</v>
      </c>
      <c r="Q126" s="118" t="b">
        <v>0</v>
      </c>
      <c r="R126" s="55"/>
      <c r="S126" s="118" t="b">
        <v>0</v>
      </c>
      <c r="T126" s="177" t="b">
        <v>0</v>
      </c>
      <c r="U126" s="178">
        <v>44935.0</v>
      </c>
      <c r="V126" s="179">
        <v>0.4166666666666667</v>
      </c>
      <c r="W126" s="110" t="s">
        <v>320</v>
      </c>
      <c r="X126" s="180"/>
      <c r="Y126" s="118" t="b">
        <v>0</v>
      </c>
      <c r="Z126" s="169">
        <v>11.0</v>
      </c>
      <c r="AA126" s="196">
        <f t="shared" si="1"/>
        <v>0</v>
      </c>
      <c r="AB126" s="197" t="b">
        <f t="shared" si="2"/>
        <v>1</v>
      </c>
      <c r="AC126" s="247">
        <v>9.0</v>
      </c>
      <c r="AD126" s="169">
        <v>0.0</v>
      </c>
      <c r="AE126" s="169">
        <v>0.0</v>
      </c>
      <c r="AF126" s="169">
        <v>0.0</v>
      </c>
      <c r="AG126" s="169">
        <v>0.0</v>
      </c>
      <c r="AH126" s="169">
        <v>0.0</v>
      </c>
      <c r="AI126" s="169">
        <v>0.0</v>
      </c>
      <c r="AJ126" s="182" t="b">
        <v>0</v>
      </c>
      <c r="AK126" s="183">
        <v>9.0</v>
      </c>
      <c r="AL126" s="169">
        <v>0.0</v>
      </c>
      <c r="AM126" s="169">
        <v>1.0</v>
      </c>
      <c r="AN126" s="254">
        <v>1.0</v>
      </c>
      <c r="AO126" s="199" t="str">
        <f t="shared" si="20"/>
        <v/>
      </c>
      <c r="AP126" s="186" t="str">
        <f t="shared" si="36"/>
        <v/>
      </c>
      <c r="AQ126" s="187" t="b">
        <f t="shared" si="5"/>
        <v>1</v>
      </c>
      <c r="AR126" s="188">
        <v>125.0</v>
      </c>
      <c r="AS126" s="189"/>
      <c r="AT126" s="55"/>
      <c r="AU126" s="110" t="s">
        <v>779</v>
      </c>
      <c r="AV126" s="169"/>
      <c r="AW126" s="118"/>
      <c r="AX126" s="190"/>
      <c r="AY126" s="48"/>
      <c r="BA126" s="191"/>
      <c r="BB126" s="18"/>
      <c r="BC126" s="18"/>
      <c r="BD126" s="48"/>
      <c r="BE126" s="192"/>
      <c r="BF126" s="76">
        <f t="shared" si="11"/>
        <v>44935</v>
      </c>
      <c r="BG126" s="114" t="str">
        <f t="shared" si="12"/>
        <v>RUN-ABRM_2023-01-09_RFR-125</v>
      </c>
      <c r="BH126" s="83">
        <f t="shared" si="13"/>
        <v>11</v>
      </c>
      <c r="BI126" s="83">
        <f t="shared" si="14"/>
        <v>9</v>
      </c>
      <c r="BJ126" s="83">
        <f t="shared" si="15"/>
        <v>9</v>
      </c>
      <c r="BK126" s="83">
        <f t="shared" si="16"/>
        <v>0</v>
      </c>
      <c r="BL126" s="200">
        <f>IFNA(IF(VLOOKUP(FLOOR($B126,1),'APS Tubes by Date IMPORT'!$B$2:$J259,1,FALSE)=FLOOR($BL125,1),IFERROR(0/0,""),VLOOKUP(FLOOR($B126,1),'APS Tubes by Date IMPORT'!$B$2:$J259,1,FALSE)),"")</f>
        <v>44935</v>
      </c>
      <c r="BM126" s="83">
        <f>IF(ISBLANK($BL126),IFERROR(0/0,""),VLOOKUP(FLOOR($B126,1),'APS Tubes by Date IMPORT'!$B$2:$J259,2,FALSE))</f>
        <v>9</v>
      </c>
      <c r="BN126" s="114"/>
      <c r="BO126" s="83" t="str">
        <f>VLOOKUP(FLOOR($B126,1),'APS Tubes by Date IMPORT'!$B126:$I259,6,FALSE)</f>
        <v>#N/A</v>
      </c>
      <c r="BP126" s="83">
        <v>7.0</v>
      </c>
      <c r="BQ126" s="193">
        <f t="shared" si="17"/>
        <v>-2</v>
      </c>
      <c r="BR126" s="131">
        <v>3.0</v>
      </c>
      <c r="BS126" s="76" t="b">
        <f t="shared" si="18"/>
        <v>1</v>
      </c>
      <c r="BT126" s="194" t="str">
        <f t="shared" si="19"/>
        <v>Delete NULL</v>
      </c>
      <c r="BU126" s="249"/>
      <c r="BV126" s="249"/>
      <c r="BW126" s="249"/>
      <c r="BX126" s="249"/>
    </row>
    <row r="127">
      <c r="A127" s="18" t="str">
        <f>CONCATENATE("RUN-",'Process Ref'!$A$1,"_",TEXT(U127,"YYYY-MM-DD"),"_RFR-",TEXT(AR127,"000"),IF(EXACT(W127,"Initial"),"",CONCATENATE("_",W127)))</f>
        <v>RUN-ABRM_2023-01-10_RFR-126</v>
      </c>
      <c r="B127" s="251">
        <v>44936.39957421296</v>
      </c>
      <c r="C127" s="92"/>
      <c r="D127" s="92" t="s">
        <v>313</v>
      </c>
      <c r="E127" s="131">
        <v>10.0</v>
      </c>
      <c r="F127" s="92" t="s">
        <v>854</v>
      </c>
      <c r="G127" s="252" t="s">
        <v>855</v>
      </c>
      <c r="H127" s="252" t="s">
        <v>856</v>
      </c>
      <c r="I127" s="252" t="s">
        <v>857</v>
      </c>
      <c r="J127" s="172">
        <v>1.0</v>
      </c>
      <c r="K127" s="202" t="s">
        <v>858</v>
      </c>
      <c r="L127" s="246"/>
      <c r="M127" s="174"/>
      <c r="N127" s="174"/>
      <c r="O127" s="175"/>
      <c r="P127" s="118" t="b">
        <v>0</v>
      </c>
      <c r="Q127" s="118" t="b">
        <v>0</v>
      </c>
      <c r="R127" s="55"/>
      <c r="S127" s="118" t="b">
        <v>0</v>
      </c>
      <c r="T127" s="177" t="b">
        <v>1</v>
      </c>
      <c r="U127" s="178">
        <v>44936.0</v>
      </c>
      <c r="V127" s="179">
        <v>0.4270833333333333</v>
      </c>
      <c r="W127" s="110" t="s">
        <v>320</v>
      </c>
      <c r="X127" s="180" t="s">
        <v>858</v>
      </c>
      <c r="Y127" s="118" t="b">
        <v>1</v>
      </c>
      <c r="Z127" s="169">
        <v>10.0</v>
      </c>
      <c r="AA127" s="196">
        <f t="shared" si="1"/>
        <v>0</v>
      </c>
      <c r="AB127" s="197" t="b">
        <f t="shared" si="2"/>
        <v>1</v>
      </c>
      <c r="AC127" s="247">
        <v>8.0</v>
      </c>
      <c r="AD127" s="169">
        <v>1.0</v>
      </c>
      <c r="AE127" s="169">
        <v>1.0</v>
      </c>
      <c r="AF127" s="169">
        <v>0.0</v>
      </c>
      <c r="AG127" s="169">
        <v>1.0</v>
      </c>
      <c r="AH127" s="169">
        <v>1.0</v>
      </c>
      <c r="AI127" s="169">
        <v>0.0</v>
      </c>
      <c r="AJ127" s="182" t="b">
        <v>0</v>
      </c>
      <c r="AK127" s="183">
        <v>8.0</v>
      </c>
      <c r="AL127" s="169">
        <v>4.0</v>
      </c>
      <c r="AM127" s="169">
        <v>2.0</v>
      </c>
      <c r="AN127" s="198" t="str">
        <f>IFNA(VLOOKUP($A127,'Tube Reactions'!$J$2:$K259,2,FALSE),"")</f>
        <v/>
      </c>
      <c r="AO127" s="199" t="str">
        <f t="shared" si="20"/>
        <v>NOT EQUAL</v>
      </c>
      <c r="AP127" s="186" t="str">
        <f t="shared" si="36"/>
        <v/>
      </c>
      <c r="AQ127" s="187" t="b">
        <f t="shared" si="5"/>
        <v>1</v>
      </c>
      <c r="AR127" s="188">
        <v>126.0</v>
      </c>
      <c r="AS127" s="189"/>
      <c r="AT127" s="55"/>
      <c r="AU127" s="110" t="s">
        <v>779</v>
      </c>
      <c r="AV127" s="169"/>
      <c r="AW127" s="118"/>
      <c r="AX127" s="190"/>
      <c r="AY127" s="48"/>
      <c r="BA127" s="191"/>
      <c r="BB127" s="18"/>
      <c r="BC127" s="18"/>
      <c r="BD127" s="48"/>
      <c r="BE127" s="192"/>
      <c r="BF127" s="76">
        <f t="shared" si="11"/>
        <v>44936</v>
      </c>
      <c r="BG127" s="114" t="str">
        <f t="shared" si="12"/>
        <v>RUN-ABRM_2023-01-10_RFR-126</v>
      </c>
      <c r="BH127" s="83">
        <f t="shared" si="13"/>
        <v>10</v>
      </c>
      <c r="BI127" s="83">
        <f t="shared" si="14"/>
        <v>8</v>
      </c>
      <c r="BJ127" s="83">
        <f t="shared" si="15"/>
        <v>8</v>
      </c>
      <c r="BK127" s="83">
        <f t="shared" si="16"/>
        <v>4</v>
      </c>
      <c r="BL127" s="200">
        <f>IFNA(IF(VLOOKUP(FLOOR($B127,1),'APS Tubes by Date IMPORT'!$B$2:$J259,1,FALSE)=FLOOR($BL126,1),IFERROR(0/0,""),VLOOKUP(FLOOR($B127,1),'APS Tubes by Date IMPORT'!$B$2:$J259,1,FALSE)),"")</f>
        <v>44936</v>
      </c>
      <c r="BM127" s="83">
        <f>IF(ISBLANK($BL127),IFERROR(0/0,""),VLOOKUP(FLOOR($B127,1),'APS Tubes by Date IMPORT'!$B$2:$J259,2,FALSE))</f>
        <v>8</v>
      </c>
      <c r="BN127" s="114"/>
      <c r="BO127" s="83" t="str">
        <f>VLOOKUP(FLOOR($B127,1),'APS Tubes by Date IMPORT'!$B127:$I259,6,FALSE)</f>
        <v>#N/A</v>
      </c>
      <c r="BP127" s="83">
        <v>7.0</v>
      </c>
      <c r="BQ127" s="193">
        <f t="shared" si="17"/>
        <v>-1</v>
      </c>
      <c r="BR127" s="131">
        <v>3.0</v>
      </c>
      <c r="BS127" s="76" t="b">
        <f t="shared" si="18"/>
        <v>1</v>
      </c>
      <c r="BT127" s="194" t="str">
        <f t="shared" si="19"/>
        <v>Delete NULL</v>
      </c>
      <c r="BU127" s="248"/>
      <c r="BV127" s="248"/>
      <c r="BW127" s="248"/>
      <c r="BX127" s="248"/>
    </row>
    <row r="128">
      <c r="A128" s="18" t="str">
        <f>CONCATENATE("RUN-",'Process Ref'!$A$1,"_",TEXT(U128,"YYYY-MM-DD"),"_RFR-",TEXT(AR128,"000"),IF(EXACT(W128,"Initial"),"",CONCATENATE("_",W128)))</f>
        <v>RUN-ABRM_2023-01-10_RFR-127_Re-run</v>
      </c>
      <c r="B128" s="251">
        <v>44936.426209363424</v>
      </c>
      <c r="C128" s="92"/>
      <c r="D128" s="92" t="s">
        <v>313</v>
      </c>
      <c r="E128" s="131">
        <v>8.0</v>
      </c>
      <c r="F128" s="92" t="s">
        <v>854</v>
      </c>
      <c r="G128" s="252" t="s">
        <v>859</v>
      </c>
      <c r="H128" s="252" t="s">
        <v>860</v>
      </c>
      <c r="I128" s="252" t="s">
        <v>861</v>
      </c>
      <c r="J128" s="172"/>
      <c r="K128" s="202"/>
      <c r="L128" s="246"/>
      <c r="M128" s="174"/>
      <c r="N128" s="174"/>
      <c r="O128" s="175"/>
      <c r="P128" s="118" t="b">
        <v>0</v>
      </c>
      <c r="Q128" s="118" t="b">
        <v>0</v>
      </c>
      <c r="R128" s="55"/>
      <c r="S128" s="118" t="b">
        <v>0</v>
      </c>
      <c r="T128" s="177" t="b">
        <v>1</v>
      </c>
      <c r="U128" s="178">
        <v>44936.0</v>
      </c>
      <c r="V128" s="179">
        <v>0.4652777777777778</v>
      </c>
      <c r="W128" s="110" t="s">
        <v>339</v>
      </c>
      <c r="X128" s="180"/>
      <c r="Y128" s="118" t="b">
        <v>0</v>
      </c>
      <c r="Z128" s="169">
        <v>8.0</v>
      </c>
      <c r="AA128" s="196">
        <f t="shared" si="1"/>
        <v>0</v>
      </c>
      <c r="AB128" s="197" t="b">
        <f t="shared" si="2"/>
        <v>1</v>
      </c>
      <c r="AC128" s="247">
        <v>6.0</v>
      </c>
      <c r="AD128" s="169">
        <v>0.0</v>
      </c>
      <c r="AE128" s="169">
        <v>0.0</v>
      </c>
      <c r="AF128" s="169">
        <v>0.0</v>
      </c>
      <c r="AG128" s="169">
        <v>0.0</v>
      </c>
      <c r="AH128" s="169">
        <v>0.0</v>
      </c>
      <c r="AI128" s="169">
        <v>0.0</v>
      </c>
      <c r="AJ128" s="182" t="b">
        <v>0</v>
      </c>
      <c r="AK128" s="183">
        <v>6.0</v>
      </c>
      <c r="AL128" s="169">
        <v>0.0</v>
      </c>
      <c r="AM128" s="172" t="str">
        <f>IF(EXACT(W128,"Initial"),"Audit","")</f>
        <v/>
      </c>
      <c r="AN128" s="198" t="str">
        <f>IFNA(VLOOKUP($A128,'Tube Reactions'!$J$2:$K259,2,FALSE),"")</f>
        <v/>
      </c>
      <c r="AO128" s="199" t="str">
        <f t="shared" si="20"/>
        <v/>
      </c>
      <c r="AP128" s="186" t="str">
        <f t="shared" si="36"/>
        <v/>
      </c>
      <c r="AQ128" s="187" t="b">
        <f t="shared" si="5"/>
        <v>1</v>
      </c>
      <c r="AR128" s="188">
        <v>127.0</v>
      </c>
      <c r="AS128" s="189"/>
      <c r="AT128" s="55"/>
      <c r="AU128" s="110" t="s">
        <v>779</v>
      </c>
      <c r="AV128" s="169"/>
      <c r="AW128" s="118"/>
      <c r="AX128" s="190"/>
      <c r="AY128" s="48"/>
      <c r="BA128" s="191"/>
      <c r="BB128" s="18"/>
      <c r="BC128" s="18"/>
      <c r="BD128" s="48"/>
      <c r="BE128" s="192"/>
      <c r="BF128" s="76" t="str">
        <f t="shared" si="11"/>
        <v/>
      </c>
      <c r="BG128" s="114" t="str">
        <f t="shared" si="12"/>
        <v/>
      </c>
      <c r="BH128" s="83" t="str">
        <f t="shared" si="13"/>
        <v/>
      </c>
      <c r="BI128" s="83" t="str">
        <f t="shared" si="14"/>
        <v/>
      </c>
      <c r="BJ128" s="83" t="str">
        <f t="shared" si="15"/>
        <v/>
      </c>
      <c r="BK128" s="83" t="str">
        <f t="shared" si="16"/>
        <v/>
      </c>
      <c r="BL128" s="200" t="str">
        <f>IFNA(IF(VLOOKUP(FLOOR($B128,1),'APS Tubes by Date IMPORT'!$B$2:$J259,1,FALSE)=FLOOR($BL127,1),IFERROR(0/0,""),VLOOKUP(FLOOR($B128,1),'APS Tubes by Date IMPORT'!$B$2:$J259,1,FALSE)),"")</f>
        <v/>
      </c>
      <c r="BM128" s="83" t="str">
        <f>IF(ISBLANK($BL128),IFERROR(0/0,""),VLOOKUP(FLOOR($B128,1),'APS Tubes by Date IMPORT'!$B$2:$J259,2,FALSE))</f>
        <v/>
      </c>
      <c r="BN128" s="114"/>
      <c r="BO128" s="83" t="str">
        <f>VLOOKUP(FLOOR($B128,1),'APS Tubes by Date IMPORT'!$B128:$I259,6,FALSE)</f>
        <v>#N/A</v>
      </c>
      <c r="BP128" s="83">
        <v>7.0</v>
      </c>
      <c r="BQ128" s="193">
        <f t="shared" si="17"/>
        <v>7</v>
      </c>
      <c r="BR128" s="131">
        <v>3.0</v>
      </c>
      <c r="BS128" s="76" t="b">
        <f t="shared" si="18"/>
        <v>1</v>
      </c>
      <c r="BT128" s="194" t="str">
        <f t="shared" si="19"/>
        <v>Delete NULL</v>
      </c>
      <c r="BU128" s="248"/>
      <c r="BV128" s="248"/>
      <c r="BW128" s="248"/>
      <c r="BX128" s="248"/>
    </row>
    <row r="129">
      <c r="A129" s="18" t="str">
        <f>CONCATENATE("RUN-",'Process Ref'!$A$1,"_",TEXT(U129,"YYYY-MM-DD"),"_RFR-",TEXT(AR129,"000"),IF(EXACT(W129,"Initial"),"",CONCATENATE("_",W129)))</f>
        <v>RUN-ABRM_2023-01-11_RFR-128</v>
      </c>
      <c r="B129" s="251">
        <v>44937.381963402775</v>
      </c>
      <c r="C129" s="92"/>
      <c r="D129" s="92" t="s">
        <v>313</v>
      </c>
      <c r="E129" s="131">
        <v>10.0</v>
      </c>
      <c r="F129" s="92" t="s">
        <v>862</v>
      </c>
      <c r="G129" s="252" t="s">
        <v>863</v>
      </c>
      <c r="H129" s="252" t="s">
        <v>864</v>
      </c>
      <c r="I129" s="252" t="s">
        <v>865</v>
      </c>
      <c r="J129" s="172"/>
      <c r="K129" s="202"/>
      <c r="L129" s="246"/>
      <c r="M129" s="174"/>
      <c r="N129" s="174"/>
      <c r="O129" s="175"/>
      <c r="P129" s="118" t="b">
        <v>0</v>
      </c>
      <c r="Q129" s="118" t="b">
        <v>0</v>
      </c>
      <c r="R129" s="55"/>
      <c r="S129" s="118" t="b">
        <v>0</v>
      </c>
      <c r="T129" s="177" t="b">
        <v>0</v>
      </c>
      <c r="U129" s="178">
        <v>44937.0</v>
      </c>
      <c r="V129" s="179">
        <v>0.4236111111111111</v>
      </c>
      <c r="W129" s="110" t="s">
        <v>320</v>
      </c>
      <c r="X129" s="180"/>
      <c r="Y129" s="118" t="b">
        <v>0</v>
      </c>
      <c r="Z129" s="169">
        <v>10.0</v>
      </c>
      <c r="AA129" s="196">
        <f t="shared" si="1"/>
        <v>0</v>
      </c>
      <c r="AB129" s="197" t="b">
        <f t="shared" si="2"/>
        <v>1</v>
      </c>
      <c r="AC129" s="247">
        <v>8.0</v>
      </c>
      <c r="AD129" s="169">
        <v>0.0</v>
      </c>
      <c r="AE129" s="169">
        <v>0.0</v>
      </c>
      <c r="AF129" s="169">
        <v>0.0</v>
      </c>
      <c r="AG129" s="169">
        <v>0.0</v>
      </c>
      <c r="AH129" s="169">
        <v>0.0</v>
      </c>
      <c r="AI129" s="169">
        <v>0.0</v>
      </c>
      <c r="AJ129" s="182" t="b">
        <v>0</v>
      </c>
      <c r="AK129" s="183">
        <v>8.0</v>
      </c>
      <c r="AL129" s="169">
        <v>0.0</v>
      </c>
      <c r="AM129" s="169">
        <v>0.0</v>
      </c>
      <c r="AN129" s="198" t="str">
        <f>IFNA(VLOOKUP($A129,'Tube Reactions'!$J$2:$K259,2,FALSE),"")</f>
        <v/>
      </c>
      <c r="AO129" s="199" t="str">
        <f t="shared" si="20"/>
        <v/>
      </c>
      <c r="AP129" s="186" t="str">
        <f t="shared" si="36"/>
        <v/>
      </c>
      <c r="AQ129" s="187" t="b">
        <f t="shared" si="5"/>
        <v>1</v>
      </c>
      <c r="AR129" s="188">
        <v>128.0</v>
      </c>
      <c r="AS129" s="189"/>
      <c r="AT129" s="55"/>
      <c r="AU129" s="110" t="s">
        <v>779</v>
      </c>
      <c r="AV129" s="169"/>
      <c r="AW129" s="118"/>
      <c r="AX129" s="190"/>
      <c r="AY129" s="48"/>
      <c r="BA129" s="191"/>
      <c r="BB129" s="18"/>
      <c r="BC129" s="18"/>
      <c r="BD129" s="48"/>
      <c r="BE129" s="192"/>
      <c r="BF129" s="76">
        <f t="shared" si="11"/>
        <v>44937</v>
      </c>
      <c r="BG129" s="114" t="str">
        <f t="shared" si="12"/>
        <v>RUN-ABRM_2023-01-11_RFR-128</v>
      </c>
      <c r="BH129" s="83">
        <f t="shared" si="13"/>
        <v>10</v>
      </c>
      <c r="BI129" s="83">
        <f t="shared" si="14"/>
        <v>8</v>
      </c>
      <c r="BJ129" s="83">
        <f t="shared" si="15"/>
        <v>8</v>
      </c>
      <c r="BK129" s="83">
        <f t="shared" si="16"/>
        <v>0</v>
      </c>
      <c r="BL129" s="200">
        <f>IFNA(IF(VLOOKUP(FLOOR($B129,1),'APS Tubes by Date IMPORT'!$B$2:$J259,1,FALSE)=FLOOR($BL128,1),IFERROR(0/0,""),VLOOKUP(FLOOR($B129,1),'APS Tubes by Date IMPORT'!$B$2:$J259,1,FALSE)),"")</f>
        <v>44937</v>
      </c>
      <c r="BM129" s="83">
        <f>IF(ISBLANK($BL129),IFERROR(0/0,""),VLOOKUP(FLOOR($B129,1),'APS Tubes by Date IMPORT'!$B$2:$J259,2,FALSE))</f>
        <v>8</v>
      </c>
      <c r="BN129" s="114"/>
      <c r="BO129" s="83" t="str">
        <f>VLOOKUP(FLOOR($B129,1),'APS Tubes by Date IMPORT'!$B129:$I259,6,FALSE)</f>
        <v>#N/A</v>
      </c>
      <c r="BP129" s="83">
        <v>7.0</v>
      </c>
      <c r="BQ129" s="193">
        <f t="shared" si="17"/>
        <v>-1</v>
      </c>
      <c r="BR129" s="131">
        <v>3.0</v>
      </c>
      <c r="BS129" s="76" t="b">
        <f t="shared" si="18"/>
        <v>1</v>
      </c>
      <c r="BT129" s="194" t="str">
        <f t="shared" si="19"/>
        <v>Delete NULL</v>
      </c>
      <c r="BU129" s="249"/>
      <c r="BV129" s="249"/>
      <c r="BW129" s="249"/>
      <c r="BX129" s="249"/>
    </row>
    <row r="130">
      <c r="A130" s="18" t="str">
        <f>CONCATENATE("RUN-",'Process Ref'!$A$1,"_",TEXT(U130,"YYYY-MM-DD"),"_RFR-",TEXT(AR130,"000"),IF(EXACT(W130,"Initial"),"",CONCATENATE("_",W130)))</f>
        <v>RUN-ABRM_2023-01-12_RFR-129</v>
      </c>
      <c r="B130" s="251">
        <v>44938.60068394676</v>
      </c>
      <c r="C130" s="92"/>
      <c r="D130" s="92" t="s">
        <v>313</v>
      </c>
      <c r="E130" s="131">
        <v>6.0</v>
      </c>
      <c r="F130" s="92" t="s">
        <v>866</v>
      </c>
      <c r="G130" s="252" t="s">
        <v>867</v>
      </c>
      <c r="H130" s="252" t="s">
        <v>868</v>
      </c>
      <c r="I130" s="252" t="s">
        <v>869</v>
      </c>
      <c r="J130" s="172">
        <v>1.0</v>
      </c>
      <c r="K130" s="202"/>
      <c r="L130" s="246"/>
      <c r="M130" s="174"/>
      <c r="N130" s="174"/>
      <c r="O130" s="175"/>
      <c r="P130" s="118" t="b">
        <v>0</v>
      </c>
      <c r="Q130" s="118" t="b">
        <v>0</v>
      </c>
      <c r="R130" s="55"/>
      <c r="S130" s="118" t="b">
        <v>0</v>
      </c>
      <c r="T130" s="177" t="b">
        <v>1</v>
      </c>
      <c r="U130" s="178">
        <v>44938.0</v>
      </c>
      <c r="V130" s="179">
        <v>0.375</v>
      </c>
      <c r="W130" s="110" t="s">
        <v>320</v>
      </c>
      <c r="X130" s="180"/>
      <c r="Y130" s="118" t="b">
        <v>0</v>
      </c>
      <c r="Z130" s="169">
        <v>6.0</v>
      </c>
      <c r="AA130" s="196">
        <f t="shared" si="1"/>
        <v>0</v>
      </c>
      <c r="AB130" s="197" t="b">
        <f t="shared" si="2"/>
        <v>1</v>
      </c>
      <c r="AC130" s="247">
        <v>4.0</v>
      </c>
      <c r="AD130" s="169">
        <v>1.0</v>
      </c>
      <c r="AE130" s="169">
        <v>1.0</v>
      </c>
      <c r="AF130" s="169">
        <v>0.0</v>
      </c>
      <c r="AG130" s="169">
        <v>0.0</v>
      </c>
      <c r="AH130" s="169">
        <v>0.0</v>
      </c>
      <c r="AI130" s="169">
        <v>0.0</v>
      </c>
      <c r="AJ130" s="182" t="b">
        <v>0</v>
      </c>
      <c r="AK130" s="183">
        <v>4.0</v>
      </c>
      <c r="AL130" s="169">
        <v>2.0</v>
      </c>
      <c r="AM130" s="169">
        <v>4.0</v>
      </c>
      <c r="AN130" s="198" t="str">
        <f>IFNA(VLOOKUP($A130,'Tube Reactions'!$J$2:$K259,2,FALSE),"")</f>
        <v/>
      </c>
      <c r="AO130" s="199" t="str">
        <f t="shared" si="20"/>
        <v>NOT EQUAL</v>
      </c>
      <c r="AP130" s="186" t="str">
        <f t="shared" si="36"/>
        <v/>
      </c>
      <c r="AQ130" s="187" t="b">
        <f t="shared" si="5"/>
        <v>1</v>
      </c>
      <c r="AR130" s="188">
        <v>129.0</v>
      </c>
      <c r="AS130" s="189"/>
      <c r="AT130" s="55"/>
      <c r="AU130" s="110" t="s">
        <v>797</v>
      </c>
      <c r="AV130" s="169"/>
      <c r="AW130" s="118"/>
      <c r="AX130" s="190"/>
      <c r="AY130" s="48"/>
      <c r="BA130" s="191"/>
      <c r="BB130" s="18"/>
      <c r="BC130" s="18"/>
      <c r="BD130" s="48"/>
      <c r="BE130" s="192"/>
      <c r="BF130" s="76">
        <f t="shared" si="11"/>
        <v>44938</v>
      </c>
      <c r="BG130" s="114" t="str">
        <f t="shared" si="12"/>
        <v>RUN-ABRM_2023-01-12_RFR-129</v>
      </c>
      <c r="BH130" s="83">
        <f t="shared" si="13"/>
        <v>6</v>
      </c>
      <c r="BI130" s="83">
        <f t="shared" si="14"/>
        <v>4</v>
      </c>
      <c r="BJ130" s="83">
        <f t="shared" si="15"/>
        <v>4</v>
      </c>
      <c r="BK130" s="83">
        <f t="shared" si="16"/>
        <v>2</v>
      </c>
      <c r="BL130" s="200">
        <f>IFNA(IF(VLOOKUP(FLOOR($B130,1),'APS Tubes by Date IMPORT'!$B$2:$J259,1,FALSE)=FLOOR($BL129,1),IFERROR(0/0,""),VLOOKUP(FLOOR($B130,1),'APS Tubes by Date IMPORT'!$B$2:$J259,1,FALSE)),"")</f>
        <v>44938</v>
      </c>
      <c r="BM130" s="83">
        <f>IF(ISBLANK($BL130),IFERROR(0/0,""),VLOOKUP(FLOOR($B130,1),'APS Tubes by Date IMPORT'!$B$2:$J259,2,FALSE))</f>
        <v>4</v>
      </c>
      <c r="BN130" s="114"/>
      <c r="BO130" s="83" t="str">
        <f>VLOOKUP(FLOOR($B130,1),'APS Tubes by Date IMPORT'!$B130:$I259,6,FALSE)</f>
        <v>#N/A</v>
      </c>
      <c r="BP130" s="83">
        <v>7.0</v>
      </c>
      <c r="BQ130" s="193">
        <f t="shared" si="17"/>
        <v>3</v>
      </c>
      <c r="BR130" s="131">
        <v>3.0</v>
      </c>
      <c r="BS130" s="76" t="b">
        <f t="shared" si="18"/>
        <v>1</v>
      </c>
      <c r="BT130" s="194" t="str">
        <f t="shared" si="19"/>
        <v>Delete NULL</v>
      </c>
      <c r="BU130" s="249"/>
      <c r="BV130" s="249"/>
      <c r="BW130" s="249"/>
      <c r="BX130" s="249"/>
    </row>
    <row r="131">
      <c r="A131" s="18" t="str">
        <f>CONCATENATE("RUN-",'Process Ref'!$A$1,"_",TEXT(U131,"YYYY-MM-DD"),"_RFR-",TEXT(AR131,"000"),IF(EXACT(W131,"Initial"),"",CONCATENATE("_",W131)))</f>
        <v>RUN-ABRM_2023-01-12_RFR-130_Re-run</v>
      </c>
      <c r="B131" s="251">
        <v>44938.60179755787</v>
      </c>
      <c r="C131" s="92"/>
      <c r="D131" s="92" t="s">
        <v>313</v>
      </c>
      <c r="E131" s="131">
        <v>14.0</v>
      </c>
      <c r="F131" s="92" t="s">
        <v>866</v>
      </c>
      <c r="G131" s="252" t="s">
        <v>870</v>
      </c>
      <c r="H131" s="252" t="s">
        <v>871</v>
      </c>
      <c r="I131" s="252" t="s">
        <v>872</v>
      </c>
      <c r="J131" s="172">
        <v>1.0</v>
      </c>
      <c r="K131" s="202" t="s">
        <v>873</v>
      </c>
      <c r="L131" s="246"/>
      <c r="M131" s="174"/>
      <c r="N131" s="174"/>
      <c r="O131" s="175"/>
      <c r="P131" s="118" t="b">
        <v>0</v>
      </c>
      <c r="Q131" s="118" t="b">
        <v>0</v>
      </c>
      <c r="R131" s="55"/>
      <c r="S131" s="118" t="b">
        <v>0</v>
      </c>
      <c r="T131" s="177" t="b">
        <v>1</v>
      </c>
      <c r="U131" s="178">
        <v>44938.0</v>
      </c>
      <c r="V131" s="179">
        <v>0.4097222222222222</v>
      </c>
      <c r="W131" s="110" t="s">
        <v>339</v>
      </c>
      <c r="X131" s="180"/>
      <c r="Y131" s="118" t="b">
        <v>1</v>
      </c>
      <c r="Z131" s="169">
        <v>14.0</v>
      </c>
      <c r="AA131" s="196">
        <f t="shared" si="1"/>
        <v>0</v>
      </c>
      <c r="AB131" s="197" t="b">
        <f t="shared" si="2"/>
        <v>1</v>
      </c>
      <c r="AC131" s="247">
        <v>12.0</v>
      </c>
      <c r="AD131" s="169">
        <v>0.0</v>
      </c>
      <c r="AE131" s="169">
        <v>1.0</v>
      </c>
      <c r="AF131" s="169">
        <v>1.0</v>
      </c>
      <c r="AG131" s="169">
        <v>1.0</v>
      </c>
      <c r="AH131" s="169">
        <v>0.0</v>
      </c>
      <c r="AI131" s="169">
        <v>0.0</v>
      </c>
      <c r="AJ131" s="182" t="b">
        <v>0</v>
      </c>
      <c r="AK131" s="183">
        <v>4.0</v>
      </c>
      <c r="AL131" s="169">
        <v>2.0</v>
      </c>
      <c r="AM131" s="172" t="str">
        <f t="shared" ref="AM131:AM135" si="50">IF(EXACT(W131,"Initial"),"Audit","")</f>
        <v/>
      </c>
      <c r="AN131" s="198" t="str">
        <f>IFNA(VLOOKUP($A131,'Tube Reactions'!$J$2:$K259,2,FALSE),"")</f>
        <v/>
      </c>
      <c r="AO131" s="199" t="str">
        <f t="shared" si="20"/>
        <v/>
      </c>
      <c r="AP131" s="186" t="str">
        <f t="shared" si="36"/>
        <v/>
      </c>
      <c r="AQ131" s="187" t="b">
        <f t="shared" si="5"/>
        <v>1</v>
      </c>
      <c r="AR131" s="188">
        <v>130.0</v>
      </c>
      <c r="AS131" s="189"/>
      <c r="AT131" s="55"/>
      <c r="AU131" s="110" t="s">
        <v>797</v>
      </c>
      <c r="AV131" s="169"/>
      <c r="AW131" s="118"/>
      <c r="AX131" s="190"/>
      <c r="AY131" s="48"/>
      <c r="BA131" s="191"/>
      <c r="BB131" s="18"/>
      <c r="BC131" s="18"/>
      <c r="BD131" s="48"/>
      <c r="BE131" s="192"/>
      <c r="BF131" s="76" t="str">
        <f t="shared" si="11"/>
        <v/>
      </c>
      <c r="BG131" s="114" t="str">
        <f t="shared" si="12"/>
        <v/>
      </c>
      <c r="BH131" s="83" t="str">
        <f t="shared" si="13"/>
        <v/>
      </c>
      <c r="BI131" s="83" t="str">
        <f t="shared" si="14"/>
        <v/>
      </c>
      <c r="BJ131" s="83" t="str">
        <f t="shared" si="15"/>
        <v/>
      </c>
      <c r="BK131" s="83" t="str">
        <f t="shared" si="16"/>
        <v/>
      </c>
      <c r="BL131" s="200" t="str">
        <f>IFNA(IF(VLOOKUP(FLOOR($B131,1),'APS Tubes by Date IMPORT'!$B$2:$J259,1,FALSE)=FLOOR($BL130,1),IFERROR(0/0,""),VLOOKUP(FLOOR($B131,1),'APS Tubes by Date IMPORT'!$B$2:$J259,1,FALSE)),"")</f>
        <v/>
      </c>
      <c r="BM131" s="83" t="str">
        <f>IF(ISBLANK($BL131),IFERROR(0/0,""),VLOOKUP(FLOOR($B131,1),'APS Tubes by Date IMPORT'!$B$2:$J259,2,FALSE))</f>
        <v/>
      </c>
      <c r="BN131" s="114"/>
      <c r="BO131" s="83" t="str">
        <f>VLOOKUP(FLOOR($B131,1),'APS Tubes by Date IMPORT'!$B131:$I259,6,FALSE)</f>
        <v>#N/A</v>
      </c>
      <c r="BP131" s="83">
        <v>7.0</v>
      </c>
      <c r="BQ131" s="193">
        <f t="shared" si="17"/>
        <v>7</v>
      </c>
      <c r="BR131" s="131">
        <v>3.0</v>
      </c>
      <c r="BS131" s="76" t="b">
        <f t="shared" si="18"/>
        <v>1</v>
      </c>
      <c r="BT131" s="194" t="str">
        <f t="shared" si="19"/>
        <v>Delete NULL</v>
      </c>
      <c r="BU131" s="249"/>
      <c r="BV131" s="249"/>
      <c r="BW131" s="249"/>
      <c r="BX131" s="249"/>
    </row>
    <row r="132">
      <c r="A132" s="18" t="str">
        <f>CONCATENATE("RUN-",'Process Ref'!$A$1,"_",TEXT(U132,"YYYY-MM-DD"),"_RFR-",TEXT(AR132,"000"),IF(EXACT(W132,"Initial"),"",CONCATENATE("_",W132)))</f>
        <v>RUN-ABRM_2023-01-13_RFR-131</v>
      </c>
      <c r="B132" s="251">
        <v>44939.43596590278</v>
      </c>
      <c r="C132" s="92"/>
      <c r="D132" s="92" t="s">
        <v>313</v>
      </c>
      <c r="E132" s="131">
        <v>5.0</v>
      </c>
      <c r="F132" s="92" t="s">
        <v>874</v>
      </c>
      <c r="G132" s="252" t="s">
        <v>875</v>
      </c>
      <c r="H132" s="252" t="s">
        <v>876</v>
      </c>
      <c r="I132" s="252" t="s">
        <v>877</v>
      </c>
      <c r="J132" s="172">
        <v>1.0</v>
      </c>
      <c r="K132" s="202"/>
      <c r="L132" s="246"/>
      <c r="M132" s="174"/>
      <c r="N132" s="174"/>
      <c r="O132" s="175"/>
      <c r="P132" s="118" t="b">
        <v>0</v>
      </c>
      <c r="Q132" s="118" t="b">
        <v>0</v>
      </c>
      <c r="R132" s="55"/>
      <c r="S132" s="118" t="b">
        <v>0</v>
      </c>
      <c r="T132" s="177" t="b">
        <v>1</v>
      </c>
      <c r="U132" s="178">
        <v>44939.0</v>
      </c>
      <c r="V132" s="179">
        <v>0.4583333333333333</v>
      </c>
      <c r="W132" s="110" t="s">
        <v>320</v>
      </c>
      <c r="X132" s="180"/>
      <c r="Y132" s="118" t="b">
        <v>0</v>
      </c>
      <c r="Z132" s="169">
        <v>12.0</v>
      </c>
      <c r="AA132" s="196">
        <f t="shared" si="1"/>
        <v>7</v>
      </c>
      <c r="AB132" s="197" t="b">
        <f t="shared" si="2"/>
        <v>1</v>
      </c>
      <c r="AC132" s="247">
        <v>10.0</v>
      </c>
      <c r="AD132" s="169">
        <v>1.0</v>
      </c>
      <c r="AE132" s="169">
        <v>1.0</v>
      </c>
      <c r="AF132" s="169">
        <v>1.0</v>
      </c>
      <c r="AG132" s="169">
        <v>0.0</v>
      </c>
      <c r="AH132" s="169">
        <v>0.0</v>
      </c>
      <c r="AI132" s="169">
        <v>0.0</v>
      </c>
      <c r="AJ132" s="182" t="b">
        <v>0</v>
      </c>
      <c r="AK132" s="183">
        <v>10.0</v>
      </c>
      <c r="AL132" s="169">
        <v>4.0</v>
      </c>
      <c r="AM132" s="172" t="str">
        <f t="shared" si="50"/>
        <v>Audit</v>
      </c>
      <c r="AN132" s="198" t="str">
        <f>IFNA(VLOOKUP($A132,'Tube Reactions'!$J$2:$K259,2,FALSE),"")</f>
        <v/>
      </c>
      <c r="AO132" s="199" t="str">
        <f t="shared" si="20"/>
        <v>NOT EQUAL</v>
      </c>
      <c r="AP132" s="186" t="str">
        <f t="shared" si="36"/>
        <v/>
      </c>
      <c r="AQ132" s="187" t="b">
        <f t="shared" si="5"/>
        <v>1</v>
      </c>
      <c r="AR132" s="188">
        <v>131.0</v>
      </c>
      <c r="AS132" s="189"/>
      <c r="AT132" s="55"/>
      <c r="AU132" s="110" t="s">
        <v>779</v>
      </c>
      <c r="AV132" s="169"/>
      <c r="AW132" s="118"/>
      <c r="AX132" s="190"/>
      <c r="AY132" s="48"/>
      <c r="BA132" s="191"/>
      <c r="BB132" s="18"/>
      <c r="BC132" s="18"/>
      <c r="BD132" s="48"/>
      <c r="BE132" s="192"/>
      <c r="BF132" s="76">
        <f t="shared" si="11"/>
        <v>44939</v>
      </c>
      <c r="BG132" s="114" t="str">
        <f t="shared" si="12"/>
        <v>RUN-ABRM_2023-01-13_RFR-131</v>
      </c>
      <c r="BH132" s="83">
        <f t="shared" si="13"/>
        <v>5</v>
      </c>
      <c r="BI132" s="83">
        <f t="shared" si="14"/>
        <v>10</v>
      </c>
      <c r="BJ132" s="83">
        <f t="shared" si="15"/>
        <v>10</v>
      </c>
      <c r="BK132" s="83">
        <f t="shared" si="16"/>
        <v>4</v>
      </c>
      <c r="BL132" s="200">
        <f>IFNA(IF(VLOOKUP(FLOOR($B132,1),'APS Tubes by Date IMPORT'!$B$2:$J259,1,FALSE)=FLOOR($BL131,1),IFERROR(0/0,""),VLOOKUP(FLOOR($B132,1),'APS Tubes by Date IMPORT'!$B$2:$J259,1,FALSE)),"")</f>
        <v>44939</v>
      </c>
      <c r="BM132" s="83">
        <f>IF(ISBLANK($BL132),IFERROR(0/0,""),VLOOKUP(FLOOR($B132,1),'APS Tubes by Date IMPORT'!$B$2:$J259,2,FALSE))</f>
        <v>10</v>
      </c>
      <c r="BN132" s="114"/>
      <c r="BO132" s="83" t="str">
        <f>VLOOKUP(FLOOR($B132,1),'APS Tubes by Date IMPORT'!$B132:$I259,6,FALSE)</f>
        <v>#N/A</v>
      </c>
      <c r="BP132" s="83">
        <v>7.0</v>
      </c>
      <c r="BQ132" s="193">
        <f t="shared" si="17"/>
        <v>-3</v>
      </c>
      <c r="BR132" s="131">
        <v>3.0</v>
      </c>
      <c r="BS132" s="76" t="b">
        <f t="shared" si="18"/>
        <v>1</v>
      </c>
      <c r="BT132" s="194" t="str">
        <f t="shared" si="19"/>
        <v>Delete NULL</v>
      </c>
      <c r="BU132" s="248"/>
      <c r="BV132" s="248"/>
      <c r="BW132" s="248"/>
      <c r="BX132" s="248"/>
    </row>
    <row r="133">
      <c r="A133" s="18" t="str">
        <f>CONCATENATE("RUN-",'Process Ref'!$A$1,"_",TEXT(U133,"YYYY-MM-DD"),"_RFR-",TEXT(AR133,"000"),IF(EXACT(W133,"Initial"),"",CONCATENATE("_",W133)))</f>
        <v>RUN-ABRM_2023-01-13_RFR-132_Re-run</v>
      </c>
      <c r="B133" s="251">
        <v>44939.512083194444</v>
      </c>
      <c r="C133" s="92"/>
      <c r="D133" s="92" t="s">
        <v>313</v>
      </c>
      <c r="E133" s="131">
        <v>5.0</v>
      </c>
      <c r="F133" s="92" t="s">
        <v>874</v>
      </c>
      <c r="G133" s="252" t="s">
        <v>878</v>
      </c>
      <c r="H133" s="252" t="s">
        <v>879</v>
      </c>
      <c r="I133" s="252" t="s">
        <v>880</v>
      </c>
      <c r="J133" s="172">
        <v>1.0</v>
      </c>
      <c r="K133" s="202" t="s">
        <v>881</v>
      </c>
      <c r="L133" s="246"/>
      <c r="M133" s="174"/>
      <c r="N133" s="174"/>
      <c r="O133" s="175"/>
      <c r="P133" s="118" t="b">
        <v>0</v>
      </c>
      <c r="Q133" s="118" t="b">
        <v>0</v>
      </c>
      <c r="R133" s="55"/>
      <c r="S133" s="118" t="b">
        <v>0</v>
      </c>
      <c r="T133" s="177" t="b">
        <v>1</v>
      </c>
      <c r="U133" s="178">
        <v>44939.0</v>
      </c>
      <c r="V133" s="179">
        <v>0.5173611111111112</v>
      </c>
      <c r="W133" s="110" t="s">
        <v>339</v>
      </c>
      <c r="X133" s="203" t="s">
        <v>882</v>
      </c>
      <c r="Y133" s="118" t="b">
        <v>1</v>
      </c>
      <c r="Z133" s="169">
        <v>5.0</v>
      </c>
      <c r="AA133" s="196">
        <f t="shared" si="1"/>
        <v>0</v>
      </c>
      <c r="AB133" s="197" t="b">
        <f t="shared" si="2"/>
        <v>1</v>
      </c>
      <c r="AC133" s="247">
        <v>3.0</v>
      </c>
      <c r="AD133" s="169">
        <v>1.0</v>
      </c>
      <c r="AE133" s="169">
        <v>1.0</v>
      </c>
      <c r="AF133" s="169">
        <v>1.0</v>
      </c>
      <c r="AG133" s="169">
        <v>1.0</v>
      </c>
      <c r="AH133" s="169">
        <v>0.0</v>
      </c>
      <c r="AI133" s="169">
        <v>0.0</v>
      </c>
      <c r="AJ133" s="182" t="b">
        <v>0</v>
      </c>
      <c r="AK133" s="183">
        <v>1.0</v>
      </c>
      <c r="AL133" s="169">
        <v>4.0</v>
      </c>
      <c r="AM133" s="172" t="str">
        <f t="shared" si="50"/>
        <v/>
      </c>
      <c r="AN133" s="198" t="str">
        <f>IFNA(VLOOKUP($A133,'Tube Reactions'!$J$2:$K259,2,FALSE),"")</f>
        <v/>
      </c>
      <c r="AO133" s="199" t="str">
        <f t="shared" si="20"/>
        <v/>
      </c>
      <c r="AP133" s="186" t="str">
        <f t="shared" si="36"/>
        <v/>
      </c>
      <c r="AQ133" s="187" t="b">
        <f t="shared" si="5"/>
        <v>1</v>
      </c>
      <c r="AR133" s="188">
        <v>132.0</v>
      </c>
      <c r="AS133" s="189"/>
      <c r="AT133" s="55"/>
      <c r="AU133" s="110" t="s">
        <v>779</v>
      </c>
      <c r="AV133" s="169"/>
      <c r="AW133" s="118"/>
      <c r="AX133" s="190"/>
      <c r="AY133" s="48"/>
      <c r="BA133" s="191"/>
      <c r="BB133" s="18"/>
      <c r="BC133" s="18"/>
      <c r="BD133" s="48"/>
      <c r="BE133" s="192"/>
      <c r="BF133" s="76" t="str">
        <f t="shared" si="11"/>
        <v/>
      </c>
      <c r="BG133" s="114" t="str">
        <f t="shared" si="12"/>
        <v/>
      </c>
      <c r="BH133" s="83" t="str">
        <f t="shared" si="13"/>
        <v/>
      </c>
      <c r="BI133" s="83" t="str">
        <f t="shared" si="14"/>
        <v/>
      </c>
      <c r="BJ133" s="83" t="str">
        <f t="shared" si="15"/>
        <v/>
      </c>
      <c r="BK133" s="83" t="str">
        <f t="shared" si="16"/>
        <v/>
      </c>
      <c r="BL133" s="200" t="str">
        <f>IFNA(IF(VLOOKUP(FLOOR($B133,1),'APS Tubes by Date IMPORT'!$B$2:$J259,1,FALSE)=FLOOR($BL132,1),IFERROR(0/0,""),VLOOKUP(FLOOR($B133,1),'APS Tubes by Date IMPORT'!$B$2:$J259,1,FALSE)),"")</f>
        <v/>
      </c>
      <c r="BM133" s="83" t="str">
        <f>IF(ISBLANK($BL133),IFERROR(0/0,""),VLOOKUP(FLOOR($B133,1),'APS Tubes by Date IMPORT'!$B$2:$J259,2,FALSE))</f>
        <v/>
      </c>
      <c r="BN133" s="114"/>
      <c r="BO133" s="83" t="str">
        <f>VLOOKUP(FLOOR($B133,1),'APS Tubes by Date IMPORT'!$B133:$I259,6,FALSE)</f>
        <v>#N/A</v>
      </c>
      <c r="BP133" s="83">
        <v>7.0</v>
      </c>
      <c r="BQ133" s="193">
        <f t="shared" si="17"/>
        <v>7</v>
      </c>
      <c r="BR133" s="131">
        <v>3.0</v>
      </c>
      <c r="BS133" s="76" t="b">
        <f t="shared" si="18"/>
        <v>1</v>
      </c>
      <c r="BT133" s="194" t="str">
        <f t="shared" si="19"/>
        <v>Delete NULL</v>
      </c>
      <c r="BU133" s="249"/>
      <c r="BV133" s="249"/>
      <c r="BW133" s="249"/>
      <c r="BX133" s="249"/>
    </row>
    <row r="134">
      <c r="A134" s="18" t="str">
        <f>CONCATENATE("RUN-",'Process Ref'!$A$1,"_",TEXT(U134,"YYYY-MM-DD"),"_RFR-",TEXT(AR134,"000"),IF(EXACT(W134,"Initial"),"",CONCATENATE("_",W134)))</f>
        <v>RUN-ABRM_2023-01-16_RFR-133</v>
      </c>
      <c r="B134" s="251">
        <v>44942.4028640162</v>
      </c>
      <c r="C134" s="92"/>
      <c r="D134" s="92" t="s">
        <v>313</v>
      </c>
      <c r="E134" s="131">
        <v>11.0</v>
      </c>
      <c r="F134" s="92" t="s">
        <v>883</v>
      </c>
      <c r="G134" s="252" t="s">
        <v>884</v>
      </c>
      <c r="H134" s="252" t="s">
        <v>885</v>
      </c>
      <c r="I134" s="252" t="s">
        <v>886</v>
      </c>
      <c r="J134" s="172">
        <v>1.0</v>
      </c>
      <c r="K134" s="202" t="s">
        <v>887</v>
      </c>
      <c r="L134" s="246"/>
      <c r="M134" s="174"/>
      <c r="N134" s="174"/>
      <c r="O134" s="175"/>
      <c r="P134" s="118" t="b">
        <v>0</v>
      </c>
      <c r="Q134" s="118" t="b">
        <v>0</v>
      </c>
      <c r="R134" s="55"/>
      <c r="S134" s="118" t="b">
        <v>0</v>
      </c>
      <c r="T134" s="177" t="b">
        <v>1</v>
      </c>
      <c r="U134" s="178">
        <v>44942.0</v>
      </c>
      <c r="V134" s="179">
        <v>0.4166666666666667</v>
      </c>
      <c r="W134" s="110" t="s">
        <v>320</v>
      </c>
      <c r="X134" s="203" t="s">
        <v>888</v>
      </c>
      <c r="Y134" s="118" t="b">
        <v>0</v>
      </c>
      <c r="Z134" s="169">
        <v>11.0</v>
      </c>
      <c r="AA134" s="196">
        <f t="shared" si="1"/>
        <v>0</v>
      </c>
      <c r="AB134" s="197" t="b">
        <f t="shared" si="2"/>
        <v>1</v>
      </c>
      <c r="AC134" s="247">
        <v>9.0</v>
      </c>
      <c r="AD134" s="169">
        <v>1.0</v>
      </c>
      <c r="AE134" s="169">
        <v>1.0</v>
      </c>
      <c r="AF134" s="169">
        <v>0.0</v>
      </c>
      <c r="AG134" s="169">
        <v>0.0</v>
      </c>
      <c r="AH134" s="169">
        <v>0.0</v>
      </c>
      <c r="AI134" s="169">
        <v>0.0</v>
      </c>
      <c r="AJ134" s="182" t="b">
        <v>0</v>
      </c>
      <c r="AK134" s="183">
        <v>9.0</v>
      </c>
      <c r="AL134" s="169">
        <v>1.1</v>
      </c>
      <c r="AM134" s="172" t="str">
        <f t="shared" si="50"/>
        <v>Audit</v>
      </c>
      <c r="AN134" s="198" t="str">
        <f>IFNA(VLOOKUP($A134,'Tube Reactions'!$J$2:$K259,2,FALSE),"")</f>
        <v/>
      </c>
      <c r="AO134" s="199" t="str">
        <f t="shared" si="20"/>
        <v>NOT EQUAL</v>
      </c>
      <c r="AP134" s="186" t="str">
        <f t="shared" si="36"/>
        <v/>
      </c>
      <c r="AQ134" s="187" t="b">
        <f t="shared" si="5"/>
        <v>1</v>
      </c>
      <c r="AR134" s="188">
        <v>133.0</v>
      </c>
      <c r="AS134" s="189"/>
      <c r="AT134" s="55"/>
      <c r="AU134" s="110" t="s">
        <v>779</v>
      </c>
      <c r="AV134" s="169"/>
      <c r="AW134" s="118"/>
      <c r="AX134" s="190"/>
      <c r="AY134" s="48"/>
      <c r="BA134" s="191"/>
      <c r="BB134" s="18"/>
      <c r="BC134" s="18"/>
      <c r="BD134" s="48"/>
      <c r="BE134" s="192"/>
      <c r="BF134" s="76">
        <f t="shared" si="11"/>
        <v>44942</v>
      </c>
      <c r="BG134" s="114" t="str">
        <f t="shared" si="12"/>
        <v>RUN-ABRM_2023-01-16_RFR-133</v>
      </c>
      <c r="BH134" s="83">
        <f t="shared" si="13"/>
        <v>11</v>
      </c>
      <c r="BI134" s="83">
        <f t="shared" si="14"/>
        <v>9</v>
      </c>
      <c r="BJ134" s="83">
        <f t="shared" si="15"/>
        <v>9</v>
      </c>
      <c r="BK134" s="83">
        <f t="shared" si="16"/>
        <v>1.1</v>
      </c>
      <c r="BL134" s="200">
        <f>IFNA(IF(VLOOKUP(FLOOR($B134,1),'APS Tubes by Date IMPORT'!$B$2:$J259,1,FALSE)=FLOOR($BL133,1),IFERROR(0/0,""),VLOOKUP(FLOOR($B134,1),'APS Tubes by Date IMPORT'!$B$2:$J259,1,FALSE)),"")</f>
        <v>44942</v>
      </c>
      <c r="BM134" s="83">
        <f>IF(ISBLANK($BL134),IFERROR(0/0,""),VLOOKUP(FLOOR($B134,1),'APS Tubes by Date IMPORT'!$B$2:$J259,2,FALSE))</f>
        <v>9</v>
      </c>
      <c r="BN134" s="114"/>
      <c r="BO134" s="83" t="str">
        <f>VLOOKUP(FLOOR($B134,1),'APS Tubes by Date IMPORT'!$B134:$I259,6,FALSE)</f>
        <v>#N/A</v>
      </c>
      <c r="BP134" s="83">
        <v>7.0</v>
      </c>
      <c r="BQ134" s="193">
        <f t="shared" si="17"/>
        <v>-2</v>
      </c>
      <c r="BR134" s="131">
        <v>3.0</v>
      </c>
      <c r="BS134" s="76" t="b">
        <f t="shared" si="18"/>
        <v>1</v>
      </c>
      <c r="BT134" s="194" t="str">
        <f t="shared" si="19"/>
        <v>Delete NULL</v>
      </c>
      <c r="BU134" s="248"/>
      <c r="BV134" s="248"/>
      <c r="BW134" s="248"/>
      <c r="BX134" s="248"/>
    </row>
    <row r="135">
      <c r="A135" s="18" t="str">
        <f>CONCATENATE("RUN-",'Process Ref'!$A$1,"_",TEXT(U135,"YYYY-MM-DD"),"_RFR-",TEXT(AR135,"000"),IF(EXACT(W135,"Initial"),"",CONCATENATE("_",W135)))</f>
        <v>RUN-ABRM_2023-01-16_RFR-134_Re-run</v>
      </c>
      <c r="B135" s="251">
        <v>44942.41697052083</v>
      </c>
      <c r="C135" s="92"/>
      <c r="D135" s="92" t="s">
        <v>313</v>
      </c>
      <c r="E135" s="131">
        <v>5.0</v>
      </c>
      <c r="F135" s="92" t="s">
        <v>883</v>
      </c>
      <c r="G135" s="252" t="s">
        <v>889</v>
      </c>
      <c r="H135" s="252" t="s">
        <v>890</v>
      </c>
      <c r="I135" s="252" t="s">
        <v>891</v>
      </c>
      <c r="J135" s="172"/>
      <c r="K135" s="202" t="s">
        <v>892</v>
      </c>
      <c r="L135" s="246"/>
      <c r="M135" s="174"/>
      <c r="N135" s="209">
        <v>2.1</v>
      </c>
      <c r="O135" s="175"/>
      <c r="P135" s="118" t="b">
        <v>1</v>
      </c>
      <c r="Q135" s="118" t="b">
        <v>0</v>
      </c>
      <c r="R135" s="55"/>
      <c r="S135" s="118" t="b">
        <v>0</v>
      </c>
      <c r="T135" s="177" t="b">
        <v>1</v>
      </c>
      <c r="U135" s="178">
        <v>44942.0</v>
      </c>
      <c r="V135" s="179">
        <v>0.46875</v>
      </c>
      <c r="W135" s="110" t="s">
        <v>339</v>
      </c>
      <c r="X135" s="203" t="s">
        <v>882</v>
      </c>
      <c r="Y135" s="118" t="b">
        <v>1</v>
      </c>
      <c r="Z135" s="169">
        <v>5.0</v>
      </c>
      <c r="AA135" s="196">
        <f t="shared" si="1"/>
        <v>0</v>
      </c>
      <c r="AB135" s="197" t="b">
        <f t="shared" si="2"/>
        <v>1</v>
      </c>
      <c r="AC135" s="247">
        <v>3.0</v>
      </c>
      <c r="AD135" s="169">
        <v>0.0</v>
      </c>
      <c r="AE135" s="169">
        <v>0.0</v>
      </c>
      <c r="AF135" s="169">
        <v>0.0</v>
      </c>
      <c r="AG135" s="169">
        <v>0.0</v>
      </c>
      <c r="AH135" s="169">
        <v>0.0</v>
      </c>
      <c r="AI135" s="169">
        <v>0.0</v>
      </c>
      <c r="AJ135" s="182" t="b">
        <v>0</v>
      </c>
      <c r="AK135" s="183">
        <v>1.0</v>
      </c>
      <c r="AL135" s="169">
        <v>0.0</v>
      </c>
      <c r="AM135" s="172" t="str">
        <f t="shared" si="50"/>
        <v/>
      </c>
      <c r="AN135" s="198" t="str">
        <f>IFNA(VLOOKUP($A135,'Tube Reactions'!$J$2:$K259,2,FALSE),"")</f>
        <v/>
      </c>
      <c r="AO135" s="199" t="str">
        <f t="shared" si="20"/>
        <v/>
      </c>
      <c r="AP135" s="186" t="str">
        <f t="shared" si="36"/>
        <v/>
      </c>
      <c r="AQ135" s="187" t="b">
        <f t="shared" si="5"/>
        <v>1</v>
      </c>
      <c r="AR135" s="188">
        <v>134.0</v>
      </c>
      <c r="AS135" s="189"/>
      <c r="AT135" s="55"/>
      <c r="AU135" s="110" t="s">
        <v>779</v>
      </c>
      <c r="AV135" s="169"/>
      <c r="AW135" s="118"/>
      <c r="AX135" s="190"/>
      <c r="AY135" s="48"/>
      <c r="BA135" s="191"/>
      <c r="BB135" s="18"/>
      <c r="BC135" s="18"/>
      <c r="BD135" s="48"/>
      <c r="BE135" s="192"/>
      <c r="BF135" s="76" t="str">
        <f t="shared" si="11"/>
        <v/>
      </c>
      <c r="BG135" s="114" t="str">
        <f t="shared" si="12"/>
        <v/>
      </c>
      <c r="BH135" s="83" t="str">
        <f t="shared" si="13"/>
        <v/>
      </c>
      <c r="BI135" s="83" t="str">
        <f t="shared" si="14"/>
        <v/>
      </c>
      <c r="BJ135" s="83" t="str">
        <f t="shared" si="15"/>
        <v/>
      </c>
      <c r="BK135" s="83" t="str">
        <f t="shared" si="16"/>
        <v/>
      </c>
      <c r="BL135" s="200" t="str">
        <f>IFNA(IF(VLOOKUP(FLOOR($B135,1),'APS Tubes by Date IMPORT'!$B$2:$J259,1,FALSE)=FLOOR($BL134,1),IFERROR(0/0,""),VLOOKUP(FLOOR($B135,1),'APS Tubes by Date IMPORT'!$B$2:$J259,1,FALSE)),"")</f>
        <v/>
      </c>
      <c r="BM135" s="83" t="str">
        <f>IF(ISBLANK($BL135),IFERROR(0/0,""),VLOOKUP(FLOOR($B135,1),'APS Tubes by Date IMPORT'!$B$2:$J259,2,FALSE))</f>
        <v/>
      </c>
      <c r="BN135" s="114"/>
      <c r="BO135" s="83" t="str">
        <f>VLOOKUP(FLOOR($B135,1),'APS Tubes by Date IMPORT'!$B135:$I259,6,FALSE)</f>
        <v>#N/A</v>
      </c>
      <c r="BP135" s="83">
        <v>7.0</v>
      </c>
      <c r="BQ135" s="193">
        <f t="shared" si="17"/>
        <v>7</v>
      </c>
      <c r="BR135" s="131">
        <v>3.0</v>
      </c>
      <c r="BS135" s="76" t="b">
        <f t="shared" si="18"/>
        <v>1</v>
      </c>
      <c r="BT135" s="194" t="str">
        <f t="shared" si="19"/>
        <v>Delete NULL</v>
      </c>
      <c r="BU135" s="249"/>
      <c r="BV135" s="249"/>
      <c r="BW135" s="249"/>
      <c r="BX135" s="249"/>
    </row>
    <row r="136">
      <c r="A136" s="18" t="str">
        <f>CONCATENATE("RUN-",'Process Ref'!$A$1,"_",TEXT(U136,"YYYY-MM-DD"),"_RFR-",TEXT(AR136,"000"),IF(EXACT(W136,"Initial"),"",CONCATENATE("_",W136)))</f>
        <v>RUN-ABRM_2023-01-17_RFR-135</v>
      </c>
      <c r="B136" s="251">
        <v>44943.4000308449</v>
      </c>
      <c r="C136" s="92"/>
      <c r="D136" s="92" t="s">
        <v>313</v>
      </c>
      <c r="E136" s="131">
        <v>12.0</v>
      </c>
      <c r="F136" s="92" t="s">
        <v>893</v>
      </c>
      <c r="G136" s="252" t="s">
        <v>894</v>
      </c>
      <c r="H136" s="252" t="s">
        <v>895</v>
      </c>
      <c r="I136" s="252" t="s">
        <v>896</v>
      </c>
      <c r="J136" s="172"/>
      <c r="K136" s="202"/>
      <c r="L136" s="246"/>
      <c r="M136" s="174"/>
      <c r="N136" s="174"/>
      <c r="O136" s="175"/>
      <c r="P136" s="118" t="b">
        <v>0</v>
      </c>
      <c r="Q136" s="118" t="b">
        <v>0</v>
      </c>
      <c r="R136" s="55"/>
      <c r="S136" s="118" t="b">
        <v>0</v>
      </c>
      <c r="T136" s="177" t="b">
        <v>0</v>
      </c>
      <c r="U136" s="178">
        <v>44943.0</v>
      </c>
      <c r="V136" s="179">
        <v>0.4375</v>
      </c>
      <c r="W136" s="110" t="s">
        <v>320</v>
      </c>
      <c r="X136" s="180"/>
      <c r="Y136" s="118" t="b">
        <v>0</v>
      </c>
      <c r="Z136" s="169">
        <v>12.0</v>
      </c>
      <c r="AA136" s="196">
        <f t="shared" si="1"/>
        <v>0</v>
      </c>
      <c r="AB136" s="197" t="b">
        <f t="shared" si="2"/>
        <v>1</v>
      </c>
      <c r="AC136" s="247">
        <v>10.0</v>
      </c>
      <c r="AD136" s="169">
        <v>0.0</v>
      </c>
      <c r="AE136" s="169">
        <v>0.0</v>
      </c>
      <c r="AF136" s="169">
        <v>0.0</v>
      </c>
      <c r="AG136" s="169">
        <v>0.0</v>
      </c>
      <c r="AH136" s="169">
        <v>0.0</v>
      </c>
      <c r="AI136" s="169">
        <v>0.0</v>
      </c>
      <c r="AJ136" s="182" t="b">
        <v>0</v>
      </c>
      <c r="AK136" s="183">
        <v>10.0</v>
      </c>
      <c r="AL136" s="169">
        <v>0.0</v>
      </c>
      <c r="AM136" s="169">
        <v>0.0</v>
      </c>
      <c r="AN136" s="198" t="str">
        <f>IFNA(VLOOKUP($A136,'Tube Reactions'!$J$2:$K259,2,FALSE),"")</f>
        <v/>
      </c>
      <c r="AO136" s="199" t="str">
        <f t="shared" si="20"/>
        <v/>
      </c>
      <c r="AP136" s="186" t="str">
        <f t="shared" si="36"/>
        <v/>
      </c>
      <c r="AQ136" s="187" t="b">
        <f t="shared" si="5"/>
        <v>1</v>
      </c>
      <c r="AR136" s="188">
        <v>135.0</v>
      </c>
      <c r="AS136" s="189"/>
      <c r="AT136" s="55"/>
      <c r="AU136" s="110" t="s">
        <v>779</v>
      </c>
      <c r="AV136" s="169"/>
      <c r="AW136" s="118"/>
      <c r="AX136" s="190"/>
      <c r="AY136" s="48"/>
      <c r="BA136" s="191"/>
      <c r="BB136" s="18"/>
      <c r="BC136" s="18"/>
      <c r="BD136" s="48"/>
      <c r="BE136" s="192"/>
      <c r="BF136" s="76">
        <f t="shared" si="11"/>
        <v>44943</v>
      </c>
      <c r="BG136" s="114" t="str">
        <f t="shared" si="12"/>
        <v>RUN-ABRM_2023-01-17_RFR-135</v>
      </c>
      <c r="BH136" s="83">
        <f t="shared" si="13"/>
        <v>12</v>
      </c>
      <c r="BI136" s="83">
        <f t="shared" si="14"/>
        <v>10</v>
      </c>
      <c r="BJ136" s="83">
        <f t="shared" si="15"/>
        <v>10</v>
      </c>
      <c r="BK136" s="83">
        <f t="shared" si="16"/>
        <v>0</v>
      </c>
      <c r="BL136" s="200">
        <f>IFNA(IF(VLOOKUP(FLOOR($B136,1),'APS Tubes by Date IMPORT'!$B$2:$J259,1,FALSE)=FLOOR($BL135,1),IFERROR(0/0,""),VLOOKUP(FLOOR($B136,1),'APS Tubes by Date IMPORT'!$B$2:$J259,1,FALSE)),"")</f>
        <v>44943</v>
      </c>
      <c r="BM136" s="83">
        <f>IF(ISBLANK($BL136),IFERROR(0/0,""),VLOOKUP(FLOOR($B136,1),'APS Tubes by Date IMPORT'!$B$2:$J259,2,FALSE))</f>
        <v>10</v>
      </c>
      <c r="BN136" s="114"/>
      <c r="BO136" s="83" t="str">
        <f>VLOOKUP(FLOOR($B136,1),'APS Tubes by Date IMPORT'!$B136:$I259,6,FALSE)</f>
        <v>#N/A</v>
      </c>
      <c r="BP136" s="83">
        <v>7.0</v>
      </c>
      <c r="BQ136" s="193">
        <f t="shared" si="17"/>
        <v>-3</v>
      </c>
      <c r="BR136" s="131">
        <v>3.0</v>
      </c>
      <c r="BS136" s="76" t="b">
        <f t="shared" si="18"/>
        <v>1</v>
      </c>
      <c r="BT136" s="194" t="str">
        <f t="shared" si="19"/>
        <v>Delete NULL</v>
      </c>
      <c r="BU136" s="249"/>
      <c r="BV136" s="249"/>
      <c r="BW136" s="249"/>
      <c r="BX136" s="249"/>
    </row>
    <row r="137">
      <c r="A137" s="18" t="str">
        <f>CONCATENATE("RUN-",'Process Ref'!$A$1,"_",TEXT(U137,"YYYY-MM-DD"),"_RFR-",TEXT(AR137,"000"),IF(EXACT(W137,"Initial"),"",CONCATENATE("_",W137)))</f>
        <v>RUN-ABRM_2023-01-18_RFR-136</v>
      </c>
      <c r="B137" s="251">
        <v>44944.38324144676</v>
      </c>
      <c r="C137" s="92"/>
      <c r="D137" s="92" t="s">
        <v>313</v>
      </c>
      <c r="E137" s="131">
        <v>8.0</v>
      </c>
      <c r="F137" s="92" t="s">
        <v>897</v>
      </c>
      <c r="G137" s="252" t="s">
        <v>898</v>
      </c>
      <c r="H137" s="252" t="s">
        <v>899</v>
      </c>
      <c r="I137" s="252" t="s">
        <v>900</v>
      </c>
      <c r="J137" s="172"/>
      <c r="K137" s="202"/>
      <c r="L137" s="246"/>
      <c r="M137" s="174"/>
      <c r="N137" s="174"/>
      <c r="O137" s="175"/>
      <c r="P137" s="118" t="b">
        <v>0</v>
      </c>
      <c r="Q137" s="118" t="b">
        <v>0</v>
      </c>
      <c r="R137" s="55"/>
      <c r="S137" s="118" t="b">
        <v>0</v>
      </c>
      <c r="T137" s="177" t="b">
        <v>0</v>
      </c>
      <c r="U137" s="178">
        <v>44944.0</v>
      </c>
      <c r="V137" s="179">
        <v>0.4270833333333333</v>
      </c>
      <c r="W137" s="110" t="s">
        <v>320</v>
      </c>
      <c r="X137" s="180"/>
      <c r="Y137" s="118" t="b">
        <v>0</v>
      </c>
      <c r="Z137" s="169"/>
      <c r="AA137" s="196">
        <f t="shared" si="1"/>
        <v>-8</v>
      </c>
      <c r="AB137" s="197" t="b">
        <f t="shared" si="2"/>
        <v>1</v>
      </c>
      <c r="AC137" s="247">
        <v>6.0</v>
      </c>
      <c r="AD137" s="169">
        <v>0.0</v>
      </c>
      <c r="AE137" s="169">
        <v>0.0</v>
      </c>
      <c r="AF137" s="169">
        <v>0.0</v>
      </c>
      <c r="AG137" s="169">
        <v>0.0</v>
      </c>
      <c r="AH137" s="169">
        <v>0.0</v>
      </c>
      <c r="AI137" s="169">
        <v>0.0</v>
      </c>
      <c r="AJ137" s="182" t="b">
        <v>0</v>
      </c>
      <c r="AK137" s="183">
        <v>6.0</v>
      </c>
      <c r="AL137" s="169">
        <v>0.0</v>
      </c>
      <c r="AM137" s="169">
        <v>0.0</v>
      </c>
      <c r="AN137" s="198" t="str">
        <f>IFNA(VLOOKUP($A137,'Tube Reactions'!$J$2:$K259,2,FALSE),"")</f>
        <v/>
      </c>
      <c r="AO137" s="199" t="str">
        <f t="shared" si="20"/>
        <v/>
      </c>
      <c r="AP137" s="186" t="str">
        <f t="shared" si="36"/>
        <v/>
      </c>
      <c r="AQ137" s="187" t="b">
        <f t="shared" si="5"/>
        <v>1</v>
      </c>
      <c r="AR137" s="188">
        <v>136.0</v>
      </c>
      <c r="AS137" s="189"/>
      <c r="AT137" s="55"/>
      <c r="AU137" s="110" t="s">
        <v>779</v>
      </c>
      <c r="AV137" s="169"/>
      <c r="AW137" s="118"/>
      <c r="AX137" s="190"/>
      <c r="AY137" s="48"/>
      <c r="BA137" s="191"/>
      <c r="BB137" s="18"/>
      <c r="BC137" s="18"/>
      <c r="BD137" s="48"/>
      <c r="BE137" s="192"/>
      <c r="BF137" s="76">
        <f t="shared" si="11"/>
        <v>44944</v>
      </c>
      <c r="BG137" s="114" t="str">
        <f t="shared" si="12"/>
        <v>RUN-ABRM_2023-01-18_RFR-136</v>
      </c>
      <c r="BH137" s="83">
        <f t="shared" si="13"/>
        <v>8</v>
      </c>
      <c r="BI137" s="83">
        <f t="shared" si="14"/>
        <v>6</v>
      </c>
      <c r="BJ137" s="83">
        <f t="shared" si="15"/>
        <v>6</v>
      </c>
      <c r="BK137" s="83">
        <f t="shared" si="16"/>
        <v>0</v>
      </c>
      <c r="BL137" s="200">
        <f>IFNA(IF(VLOOKUP(FLOOR($B137,1),'APS Tubes by Date IMPORT'!$B$2:$J259,1,FALSE)=FLOOR($BL136,1),IFERROR(0/0,""),VLOOKUP(FLOOR($B137,1),'APS Tubes by Date IMPORT'!$B$2:$J259,1,FALSE)),"")</f>
        <v>44944</v>
      </c>
      <c r="BM137" s="83">
        <f>IF(ISBLANK($BL137),IFERROR(0/0,""),VLOOKUP(FLOOR($B137,1),'APS Tubes by Date IMPORT'!$B$2:$J259,2,FALSE))</f>
        <v>6</v>
      </c>
      <c r="BN137" s="114"/>
      <c r="BO137" s="83" t="str">
        <f>VLOOKUP(FLOOR($B137,1),'APS Tubes by Date IMPORT'!$B137:$I259,6,FALSE)</f>
        <v>#N/A</v>
      </c>
      <c r="BP137" s="83">
        <v>7.0</v>
      </c>
      <c r="BQ137" s="193">
        <f t="shared" si="17"/>
        <v>1</v>
      </c>
      <c r="BR137" s="131">
        <v>3.0</v>
      </c>
      <c r="BS137" s="76" t="b">
        <f t="shared" si="18"/>
        <v>1</v>
      </c>
      <c r="BT137" s="194" t="str">
        <f t="shared" si="19"/>
        <v>Delete NULL</v>
      </c>
      <c r="BU137" s="249"/>
      <c r="BV137" s="249"/>
      <c r="BW137" s="249"/>
      <c r="BX137" s="249"/>
    </row>
    <row r="138">
      <c r="A138" s="18" t="str">
        <f>CONCATENATE("RUN-",'Process Ref'!$A$1,"_",TEXT(U138,"YYYY-MM-DD"),"_RFR-",TEXT(AR138,"000"),IF(EXACT(W138,"Initial"),"",CONCATENATE("_",W138)))</f>
        <v>RUN-ABRM_2023-01-19_RFR-137</v>
      </c>
      <c r="B138" s="251">
        <v>44945.41978465278</v>
      </c>
      <c r="C138" s="92"/>
      <c r="D138" s="92" t="s">
        <v>313</v>
      </c>
      <c r="E138" s="131">
        <v>11.0</v>
      </c>
      <c r="F138" s="92" t="s">
        <v>901</v>
      </c>
      <c r="G138" s="252" t="s">
        <v>902</v>
      </c>
      <c r="H138" s="252" t="s">
        <v>903</v>
      </c>
      <c r="I138" s="252" t="s">
        <v>904</v>
      </c>
      <c r="J138" s="172"/>
      <c r="K138" s="202" t="s">
        <v>905</v>
      </c>
      <c r="L138" s="246"/>
      <c r="M138" s="174"/>
      <c r="N138" s="174"/>
      <c r="O138" s="175"/>
      <c r="P138" s="118" t="b">
        <v>0</v>
      </c>
      <c r="Q138" s="118" t="b">
        <v>0</v>
      </c>
      <c r="R138" s="55"/>
      <c r="S138" s="118" t="b">
        <v>0</v>
      </c>
      <c r="T138" s="177" t="b">
        <v>1</v>
      </c>
      <c r="U138" s="178">
        <v>44945.0</v>
      </c>
      <c r="V138" s="179">
        <v>0.4513888888888889</v>
      </c>
      <c r="W138" s="110" t="s">
        <v>320</v>
      </c>
      <c r="X138" s="203" t="s">
        <v>906</v>
      </c>
      <c r="Y138" s="118" t="b">
        <v>1</v>
      </c>
      <c r="Z138" s="169">
        <v>11.0</v>
      </c>
      <c r="AA138" s="196">
        <f t="shared" si="1"/>
        <v>0</v>
      </c>
      <c r="AB138" s="197" t="b">
        <f t="shared" si="2"/>
        <v>1</v>
      </c>
      <c r="AC138" s="247">
        <v>9.0</v>
      </c>
      <c r="AD138" s="169">
        <v>0.0</v>
      </c>
      <c r="AE138" s="169">
        <v>0.0</v>
      </c>
      <c r="AF138" s="169">
        <v>0.0</v>
      </c>
      <c r="AG138" s="169">
        <v>1.0</v>
      </c>
      <c r="AH138" s="169">
        <v>1.0</v>
      </c>
      <c r="AI138" s="169">
        <v>0.0</v>
      </c>
      <c r="AJ138" s="182" t="b">
        <v>0</v>
      </c>
      <c r="AK138" s="183">
        <v>9.0</v>
      </c>
      <c r="AL138" s="169">
        <v>4.0</v>
      </c>
      <c r="AM138" s="169">
        <v>4.0</v>
      </c>
      <c r="AN138" s="198" t="str">
        <f>IFNA(VLOOKUP($A138,'Tube Reactions'!$J$2:$K259,2,FALSE),"")</f>
        <v/>
      </c>
      <c r="AO138" s="199" t="str">
        <f t="shared" si="20"/>
        <v>NOT EQUAL</v>
      </c>
      <c r="AP138" s="186" t="str">
        <f t="shared" si="36"/>
        <v/>
      </c>
      <c r="AQ138" s="187" t="b">
        <f t="shared" si="5"/>
        <v>1</v>
      </c>
      <c r="AR138" s="188">
        <v>137.0</v>
      </c>
      <c r="AS138" s="189"/>
      <c r="AT138" s="55"/>
      <c r="AU138" s="110" t="s">
        <v>779</v>
      </c>
      <c r="AV138" s="169"/>
      <c r="AW138" s="118"/>
      <c r="AX138" s="190"/>
      <c r="AY138" s="48"/>
      <c r="BA138" s="191"/>
      <c r="BB138" s="18"/>
      <c r="BC138" s="18"/>
      <c r="BD138" s="48"/>
      <c r="BE138" s="192"/>
      <c r="BF138" s="76">
        <f t="shared" si="11"/>
        <v>44945</v>
      </c>
      <c r="BG138" s="114" t="str">
        <f t="shared" si="12"/>
        <v>RUN-ABRM_2023-01-19_RFR-137</v>
      </c>
      <c r="BH138" s="83">
        <f t="shared" si="13"/>
        <v>11</v>
      </c>
      <c r="BI138" s="83">
        <f t="shared" si="14"/>
        <v>9</v>
      </c>
      <c r="BJ138" s="83">
        <f t="shared" si="15"/>
        <v>9</v>
      </c>
      <c r="BK138" s="83">
        <f t="shared" si="16"/>
        <v>4</v>
      </c>
      <c r="BL138" s="200">
        <f>IFNA(IF(VLOOKUP(FLOOR($B138,1),'APS Tubes by Date IMPORT'!$B$2:$J259,1,FALSE)=FLOOR($BL137,1),IFERROR(0/0,""),VLOOKUP(FLOOR($B138,1),'APS Tubes by Date IMPORT'!$B$2:$J259,1,FALSE)),"")</f>
        <v>44945</v>
      </c>
      <c r="BM138" s="83">
        <f>IF(ISBLANK($BL138),IFERROR(0/0,""),VLOOKUP(FLOOR($B138,1),'APS Tubes by Date IMPORT'!$B$2:$J259,2,FALSE))</f>
        <v>9</v>
      </c>
      <c r="BN138" s="114"/>
      <c r="BO138" s="83" t="str">
        <f>VLOOKUP(FLOOR($B138,1),'APS Tubes by Date IMPORT'!$B138:$I259,6,FALSE)</f>
        <v>#N/A</v>
      </c>
      <c r="BP138" s="83">
        <v>7.0</v>
      </c>
      <c r="BQ138" s="193">
        <f t="shared" si="17"/>
        <v>-2</v>
      </c>
      <c r="BR138" s="131">
        <v>3.0</v>
      </c>
      <c r="BS138" s="76" t="b">
        <f t="shared" si="18"/>
        <v>1</v>
      </c>
      <c r="BT138" s="194" t="str">
        <f t="shared" si="19"/>
        <v>Delete NULL</v>
      </c>
      <c r="BU138" s="249"/>
      <c r="BV138" s="249"/>
      <c r="BW138" s="249"/>
      <c r="BX138" s="249"/>
    </row>
    <row r="139">
      <c r="A139" s="18" t="str">
        <f>CONCATENATE("RUN-",'Process Ref'!$A$1,"_",TEXT(U139,"YYYY-MM-DD"),"_RFR-",TEXT(AR139,"000"),IF(EXACT(W139,"Initial"),"",CONCATENATE("_",W139)))</f>
        <v>RUN-ABRM_2023-01-19_RFR-138_Re-run</v>
      </c>
      <c r="B139" s="251">
        <v>44945.446373935185</v>
      </c>
      <c r="C139" s="92"/>
      <c r="D139" s="92" t="s">
        <v>313</v>
      </c>
      <c r="E139" s="131">
        <v>5.0</v>
      </c>
      <c r="F139" s="92" t="s">
        <v>901</v>
      </c>
      <c r="G139" s="252" t="s">
        <v>907</v>
      </c>
      <c r="H139" s="252" t="s">
        <v>908</v>
      </c>
      <c r="I139" s="252" t="s">
        <v>909</v>
      </c>
      <c r="J139" s="172"/>
      <c r="K139" s="202"/>
      <c r="L139" s="246"/>
      <c r="M139" s="174"/>
      <c r="N139" s="174"/>
      <c r="O139" s="175"/>
      <c r="P139" s="118" t="b">
        <v>0</v>
      </c>
      <c r="Q139" s="118" t="b">
        <v>0</v>
      </c>
      <c r="R139" s="55"/>
      <c r="S139" s="118" t="b">
        <v>0</v>
      </c>
      <c r="T139" s="177" t="b">
        <v>1</v>
      </c>
      <c r="U139" s="178">
        <v>44945.0</v>
      </c>
      <c r="V139" s="179">
        <v>0.5</v>
      </c>
      <c r="W139" s="110" t="s">
        <v>339</v>
      </c>
      <c r="X139" s="180"/>
      <c r="Y139" s="118" t="b">
        <v>0</v>
      </c>
      <c r="Z139" s="169">
        <v>5.0</v>
      </c>
      <c r="AA139" s="196">
        <f t="shared" si="1"/>
        <v>0</v>
      </c>
      <c r="AB139" s="197" t="b">
        <f t="shared" si="2"/>
        <v>1</v>
      </c>
      <c r="AC139" s="247">
        <v>3.0</v>
      </c>
      <c r="AD139" s="169">
        <v>0.0</v>
      </c>
      <c r="AE139" s="169">
        <v>0.0</v>
      </c>
      <c r="AF139" s="169">
        <v>0.0</v>
      </c>
      <c r="AG139" s="169">
        <v>0.0</v>
      </c>
      <c r="AH139" s="169">
        <v>0.0</v>
      </c>
      <c r="AI139" s="169">
        <v>0.0</v>
      </c>
      <c r="AJ139" s="182" t="b">
        <v>0</v>
      </c>
      <c r="AK139" s="183">
        <v>1.0</v>
      </c>
      <c r="AL139" s="169">
        <v>4.0</v>
      </c>
      <c r="AM139" s="172" t="str">
        <f t="shared" ref="AM139:AM143" si="51">IF(EXACT(W139,"Initial"),"Audit","")</f>
        <v/>
      </c>
      <c r="AN139" s="198" t="str">
        <f>IFNA(VLOOKUP($A139,'Tube Reactions'!$J$2:$K259,2,FALSE),"")</f>
        <v/>
      </c>
      <c r="AO139" s="199" t="str">
        <f t="shared" si="20"/>
        <v/>
      </c>
      <c r="AP139" s="186" t="str">
        <f t="shared" si="36"/>
        <v/>
      </c>
      <c r="AQ139" s="187" t="b">
        <f t="shared" si="5"/>
        <v>1</v>
      </c>
      <c r="AR139" s="188">
        <v>138.0</v>
      </c>
      <c r="AS139" s="189"/>
      <c r="AT139" s="55"/>
      <c r="AU139" s="110" t="s">
        <v>779</v>
      </c>
      <c r="AV139" s="169"/>
      <c r="AW139" s="118"/>
      <c r="AX139" s="190"/>
      <c r="AY139" s="48"/>
      <c r="BA139" s="191"/>
      <c r="BB139" s="18"/>
      <c r="BC139" s="18"/>
      <c r="BD139" s="48"/>
      <c r="BE139" s="192"/>
      <c r="BF139" s="76" t="str">
        <f t="shared" si="11"/>
        <v/>
      </c>
      <c r="BG139" s="114" t="str">
        <f t="shared" si="12"/>
        <v/>
      </c>
      <c r="BH139" s="83" t="str">
        <f t="shared" si="13"/>
        <v/>
      </c>
      <c r="BI139" s="83" t="str">
        <f t="shared" si="14"/>
        <v/>
      </c>
      <c r="BJ139" s="83" t="str">
        <f t="shared" si="15"/>
        <v/>
      </c>
      <c r="BK139" s="83" t="str">
        <f t="shared" si="16"/>
        <v/>
      </c>
      <c r="BL139" s="200" t="str">
        <f>IFNA(IF(VLOOKUP(FLOOR($B139,1),'APS Tubes by Date IMPORT'!$B$2:$J259,1,FALSE)=FLOOR($BL138,1),IFERROR(0/0,""),VLOOKUP(FLOOR($B139,1),'APS Tubes by Date IMPORT'!$B$2:$J259,1,FALSE)),"")</f>
        <v/>
      </c>
      <c r="BM139" s="83" t="str">
        <f>IF(ISBLANK($BL139),IFERROR(0/0,""),VLOOKUP(FLOOR($B139,1),'APS Tubes by Date IMPORT'!$B$2:$J259,2,FALSE))</f>
        <v/>
      </c>
      <c r="BN139" s="114"/>
      <c r="BO139" s="83" t="str">
        <f>VLOOKUP(FLOOR($B139,1),'APS Tubes by Date IMPORT'!$B139:$I259,6,FALSE)</f>
        <v>#N/A</v>
      </c>
      <c r="BP139" s="83">
        <v>7.0</v>
      </c>
      <c r="BQ139" s="193">
        <f t="shared" si="17"/>
        <v>7</v>
      </c>
      <c r="BR139" s="131">
        <v>3.0</v>
      </c>
      <c r="BS139" s="76" t="b">
        <f t="shared" si="18"/>
        <v>1</v>
      </c>
      <c r="BT139" s="194" t="str">
        <f t="shared" si="19"/>
        <v>Delete NULL</v>
      </c>
      <c r="BU139" s="249"/>
      <c r="BV139" s="249"/>
      <c r="BW139" s="249"/>
      <c r="BX139" s="249"/>
    </row>
    <row r="140">
      <c r="A140" s="18" t="str">
        <f>CONCATENATE("RUN-",'Process Ref'!$A$1,"_",TEXT(U140,"YYYY-MM-DD"),"_RFR-",TEXT(AR140,"000"),IF(EXACT(W140,"Initial"),"",CONCATENATE("_",W140)))</f>
        <v>RUN-ABRM_2023-01-20_RFR-139</v>
      </c>
      <c r="B140" s="251">
        <v>44946.40330015046</v>
      </c>
      <c r="C140" s="92"/>
      <c r="D140" s="92" t="s">
        <v>313</v>
      </c>
      <c r="E140" s="131">
        <v>8.0</v>
      </c>
      <c r="F140" s="92" t="s">
        <v>910</v>
      </c>
      <c r="G140" s="252" t="s">
        <v>911</v>
      </c>
      <c r="H140" s="252" t="s">
        <v>912</v>
      </c>
      <c r="I140" s="252" t="s">
        <v>913</v>
      </c>
      <c r="J140" s="172">
        <v>1.0</v>
      </c>
      <c r="K140" s="202" t="s">
        <v>914</v>
      </c>
      <c r="L140" s="246"/>
      <c r="M140" s="174"/>
      <c r="N140" s="174"/>
      <c r="O140" s="175"/>
      <c r="P140" s="118" t="b">
        <v>0</v>
      </c>
      <c r="Q140" s="118" t="b">
        <v>0</v>
      </c>
      <c r="R140" s="55"/>
      <c r="S140" s="118" t="b">
        <v>0</v>
      </c>
      <c r="T140" s="177" t="b">
        <v>0</v>
      </c>
      <c r="U140" s="178">
        <v>44946.0</v>
      </c>
      <c r="V140" s="179">
        <v>0.4305555555555556</v>
      </c>
      <c r="W140" s="110" t="s">
        <v>320</v>
      </c>
      <c r="X140" s="203" t="s">
        <v>915</v>
      </c>
      <c r="Y140" s="118" t="b">
        <v>1</v>
      </c>
      <c r="Z140" s="169">
        <v>8.0</v>
      </c>
      <c r="AA140" s="196">
        <f t="shared" si="1"/>
        <v>0</v>
      </c>
      <c r="AB140" s="197" t="b">
        <f t="shared" si="2"/>
        <v>1</v>
      </c>
      <c r="AC140" s="247">
        <v>6.0</v>
      </c>
      <c r="AD140" s="169">
        <v>1.0</v>
      </c>
      <c r="AE140" s="169">
        <v>1.0</v>
      </c>
      <c r="AF140" s="169">
        <v>1.0</v>
      </c>
      <c r="AG140" s="169">
        <v>0.0</v>
      </c>
      <c r="AH140" s="169">
        <v>0.0</v>
      </c>
      <c r="AI140" s="169">
        <v>0.0</v>
      </c>
      <c r="AJ140" s="182" t="b">
        <v>0</v>
      </c>
      <c r="AK140" s="183">
        <v>6.0</v>
      </c>
      <c r="AL140" s="169">
        <v>1.1</v>
      </c>
      <c r="AM140" s="172" t="str">
        <f t="shared" si="51"/>
        <v>Audit</v>
      </c>
      <c r="AN140" s="198" t="str">
        <f>IFNA(VLOOKUP($A140,'Tube Reactions'!$J$2:$K259,2,FALSE),"")</f>
        <v/>
      </c>
      <c r="AO140" s="199" t="str">
        <f t="shared" si="20"/>
        <v>NOT EQUAL</v>
      </c>
      <c r="AP140" s="186" t="str">
        <f t="shared" si="36"/>
        <v/>
      </c>
      <c r="AQ140" s="187" t="b">
        <f t="shared" si="5"/>
        <v>1</v>
      </c>
      <c r="AR140" s="188">
        <v>139.0</v>
      </c>
      <c r="AS140" s="189" t="s">
        <v>916</v>
      </c>
      <c r="AT140" s="55"/>
      <c r="AU140" s="110" t="s">
        <v>797</v>
      </c>
      <c r="AV140" s="169"/>
      <c r="AW140" s="118"/>
      <c r="AX140" s="190"/>
      <c r="AY140" s="48"/>
      <c r="BA140" s="191"/>
      <c r="BB140" s="18"/>
      <c r="BC140" s="18"/>
      <c r="BD140" s="48"/>
      <c r="BE140" s="192"/>
      <c r="BF140" s="76">
        <f t="shared" si="11"/>
        <v>44946</v>
      </c>
      <c r="BG140" s="114" t="str">
        <f t="shared" si="12"/>
        <v>RUN-ABRM_2023-01-20_RFR-139</v>
      </c>
      <c r="BH140" s="83">
        <f t="shared" si="13"/>
        <v>8</v>
      </c>
      <c r="BI140" s="83">
        <f t="shared" si="14"/>
        <v>6</v>
      </c>
      <c r="BJ140" s="83">
        <f t="shared" si="15"/>
        <v>6</v>
      </c>
      <c r="BK140" s="83">
        <f t="shared" si="16"/>
        <v>1.1</v>
      </c>
      <c r="BL140" s="200">
        <f>IFNA(IF(VLOOKUP(FLOOR($B140,1),'APS Tubes by Date IMPORT'!$B$2:$J259,1,FALSE)=FLOOR($BL139,1),IFERROR(0/0,""),VLOOKUP(FLOOR($B140,1),'APS Tubes by Date IMPORT'!$B$2:$J259,1,FALSE)),"")</f>
        <v>44946</v>
      </c>
      <c r="BM140" s="83">
        <f>IF(ISBLANK($BL140),IFERROR(0/0,""),VLOOKUP(FLOOR($B140,1),'APS Tubes by Date IMPORT'!$B$2:$J259,2,FALSE))</f>
        <v>6</v>
      </c>
      <c r="BN140" s="114"/>
      <c r="BO140" s="83" t="str">
        <f>VLOOKUP(FLOOR($B140,1),'APS Tubes by Date IMPORT'!$B140:$I259,6,FALSE)</f>
        <v>#N/A</v>
      </c>
      <c r="BP140" s="83">
        <v>7.0</v>
      </c>
      <c r="BQ140" s="193">
        <f t="shared" si="17"/>
        <v>1</v>
      </c>
      <c r="BR140" s="131">
        <v>3.0</v>
      </c>
      <c r="BS140" s="76" t="b">
        <f t="shared" si="18"/>
        <v>1</v>
      </c>
      <c r="BT140" s="194" t="str">
        <f t="shared" si="19"/>
        <v>Delete NULL</v>
      </c>
      <c r="BU140" s="249"/>
      <c r="BV140" s="249"/>
      <c r="BW140" s="249"/>
      <c r="BX140" s="249"/>
    </row>
    <row r="141">
      <c r="A141" s="18" t="str">
        <f>CONCATENATE("RUN-",'Process Ref'!$A$1,"_",TEXT(U141,"YYYY-MM-DD"),"_RFR-",TEXT(AR141,"000"),IF(EXACT(W141,"Initial"),"",CONCATENATE("_",W141)))</f>
        <v>RUN-ABRM_2023-01-23_RFR-140</v>
      </c>
      <c r="B141" s="251">
        <v>44949.411048194444</v>
      </c>
      <c r="C141" s="92"/>
      <c r="D141" s="92" t="s">
        <v>313</v>
      </c>
      <c r="E141" s="131">
        <v>10.0</v>
      </c>
      <c r="F141" s="92" t="s">
        <v>917</v>
      </c>
      <c r="G141" s="252" t="s">
        <v>918</v>
      </c>
      <c r="H141" s="252" t="s">
        <v>919</v>
      </c>
      <c r="I141" s="252" t="s">
        <v>920</v>
      </c>
      <c r="J141" s="172">
        <v>1.0</v>
      </c>
      <c r="K141" s="202" t="s">
        <v>921</v>
      </c>
      <c r="L141" s="246"/>
      <c r="M141" s="174"/>
      <c r="N141" s="209">
        <v>2.1</v>
      </c>
      <c r="O141" s="175"/>
      <c r="P141" s="118" t="b">
        <v>1</v>
      </c>
      <c r="Q141" s="118" t="b">
        <v>0</v>
      </c>
      <c r="R141" s="55"/>
      <c r="S141" s="118" t="b">
        <v>0</v>
      </c>
      <c r="T141" s="177" t="b">
        <v>1</v>
      </c>
      <c r="U141" s="178">
        <v>44949.0</v>
      </c>
      <c r="V141" s="179">
        <v>0.4166666666666667</v>
      </c>
      <c r="W141" s="110" t="s">
        <v>320</v>
      </c>
      <c r="X141" s="203" t="s">
        <v>922</v>
      </c>
      <c r="Y141" s="118" t="b">
        <v>1</v>
      </c>
      <c r="Z141" s="169">
        <v>10.0</v>
      </c>
      <c r="AA141" s="196">
        <f t="shared" si="1"/>
        <v>0</v>
      </c>
      <c r="AB141" s="197" t="b">
        <f t="shared" si="2"/>
        <v>1</v>
      </c>
      <c r="AC141" s="247">
        <v>8.0</v>
      </c>
      <c r="AD141" s="169">
        <v>0.0</v>
      </c>
      <c r="AE141" s="169">
        <v>0.0</v>
      </c>
      <c r="AF141" s="169">
        <v>0.0</v>
      </c>
      <c r="AG141" s="169">
        <v>2.0</v>
      </c>
      <c r="AH141" s="169">
        <v>2.0</v>
      </c>
      <c r="AI141" s="169">
        <v>0.0</v>
      </c>
      <c r="AJ141" s="182" t="b">
        <v>0</v>
      </c>
      <c r="AK141" s="183">
        <v>8.0</v>
      </c>
      <c r="AL141" s="169">
        <v>4.0</v>
      </c>
      <c r="AM141" s="172" t="str">
        <f t="shared" si="51"/>
        <v>Audit</v>
      </c>
      <c r="AN141" s="198" t="str">
        <f>IFNA(VLOOKUP($A141,'Tube Reactions'!$J$2:$K259,2,FALSE),"")</f>
        <v/>
      </c>
      <c r="AO141" s="199" t="str">
        <f t="shared" si="20"/>
        <v>NOT EQUAL</v>
      </c>
      <c r="AP141" s="186" t="str">
        <f t="shared" si="36"/>
        <v/>
      </c>
      <c r="AQ141" s="187" t="b">
        <f t="shared" si="5"/>
        <v>1</v>
      </c>
      <c r="AR141" s="188">
        <v>140.0</v>
      </c>
      <c r="AS141" s="189"/>
      <c r="AT141" s="55"/>
      <c r="AU141" s="110" t="s">
        <v>779</v>
      </c>
      <c r="AV141" s="169"/>
      <c r="AW141" s="118"/>
      <c r="AX141" s="190"/>
      <c r="AY141" s="48"/>
      <c r="BA141" s="191"/>
      <c r="BB141" s="18"/>
      <c r="BC141" s="18"/>
      <c r="BD141" s="48"/>
      <c r="BE141" s="192"/>
      <c r="BF141" s="76">
        <f t="shared" si="11"/>
        <v>44949</v>
      </c>
      <c r="BG141" s="114" t="str">
        <f t="shared" si="12"/>
        <v>RUN-ABRM_2023-01-23_RFR-140</v>
      </c>
      <c r="BH141" s="83">
        <f t="shared" si="13"/>
        <v>10</v>
      </c>
      <c r="BI141" s="83">
        <f t="shared" si="14"/>
        <v>8</v>
      </c>
      <c r="BJ141" s="83">
        <f t="shared" si="15"/>
        <v>8</v>
      </c>
      <c r="BK141" s="83">
        <f t="shared" si="16"/>
        <v>4</v>
      </c>
      <c r="BL141" s="200">
        <f>IFNA(IF(VLOOKUP(FLOOR($B141,1),'APS Tubes by Date IMPORT'!$B$2:$J259,1,FALSE)=FLOOR($BL140,1),IFERROR(0/0,""),VLOOKUP(FLOOR($B141,1),'APS Tubes by Date IMPORT'!$B$2:$J259,1,FALSE)),"")</f>
        <v>44949</v>
      </c>
      <c r="BM141" s="83">
        <f>IF(ISBLANK($BL141),IFERROR(0/0,""),VLOOKUP(FLOOR($B141,1),'APS Tubes by Date IMPORT'!$B$2:$J259,2,FALSE))</f>
        <v>9</v>
      </c>
      <c r="BN141" s="114"/>
      <c r="BO141" s="83" t="str">
        <f>VLOOKUP(FLOOR($B141,1),'APS Tubes by Date IMPORT'!$B141:$I259,6,FALSE)</f>
        <v>#N/A</v>
      </c>
      <c r="BP141" s="83">
        <v>7.0</v>
      </c>
      <c r="BQ141" s="193">
        <f t="shared" si="17"/>
        <v>-2</v>
      </c>
      <c r="BR141" s="131">
        <v>3.0</v>
      </c>
      <c r="BS141" s="76" t="b">
        <f t="shared" si="18"/>
        <v>1</v>
      </c>
      <c r="BT141" s="194" t="str">
        <f t="shared" si="19"/>
        <v>Delete NULL</v>
      </c>
      <c r="BU141" s="249"/>
      <c r="BV141" s="249"/>
      <c r="BW141" s="249"/>
      <c r="BX141" s="249"/>
    </row>
    <row r="142">
      <c r="A142" s="18" t="str">
        <f>CONCATENATE("RUN-",'Process Ref'!$A$1,"_",TEXT(U142,"YYYY-MM-DD"),"_RFR-",TEXT(AR142,"000"),IF(EXACT(W142,"Initial"),"",CONCATENATE("_",W142)))</f>
        <v>RUN-ABRM_2023-01-23_RFR-141_Re-run</v>
      </c>
      <c r="B142" s="251">
        <v>44949.431565</v>
      </c>
      <c r="C142" s="92"/>
      <c r="D142" s="92" t="s">
        <v>313</v>
      </c>
      <c r="E142" s="131">
        <v>11.0</v>
      </c>
      <c r="F142" s="92" t="s">
        <v>917</v>
      </c>
      <c r="G142" s="252" t="s">
        <v>923</v>
      </c>
      <c r="H142" s="252" t="s">
        <v>924</v>
      </c>
      <c r="I142" s="252" t="s">
        <v>925</v>
      </c>
      <c r="J142" s="172">
        <v>1.0</v>
      </c>
      <c r="K142" s="202" t="s">
        <v>926</v>
      </c>
      <c r="L142" s="246"/>
      <c r="M142" s="174"/>
      <c r="N142" s="174"/>
      <c r="O142" s="175"/>
      <c r="P142" s="118" t="b">
        <v>0</v>
      </c>
      <c r="Q142" s="118" t="b">
        <v>0</v>
      </c>
      <c r="R142" s="55"/>
      <c r="S142" s="118" t="b">
        <v>0</v>
      </c>
      <c r="T142" s="177" t="b">
        <v>1</v>
      </c>
      <c r="U142" s="178">
        <v>44949.0</v>
      </c>
      <c r="V142" s="179">
        <v>0.4791666666666667</v>
      </c>
      <c r="W142" s="110" t="s">
        <v>339</v>
      </c>
      <c r="X142" s="203" t="s">
        <v>927</v>
      </c>
      <c r="Y142" s="118" t="b">
        <v>1</v>
      </c>
      <c r="Z142" s="169">
        <v>11.0</v>
      </c>
      <c r="AA142" s="196">
        <f t="shared" si="1"/>
        <v>0</v>
      </c>
      <c r="AB142" s="197" t="b">
        <f t="shared" si="2"/>
        <v>1</v>
      </c>
      <c r="AC142" s="247">
        <v>9.0</v>
      </c>
      <c r="AD142" s="169">
        <v>0.0</v>
      </c>
      <c r="AE142" s="169">
        <v>1.0</v>
      </c>
      <c r="AF142" s="169">
        <v>0.0</v>
      </c>
      <c r="AG142" s="169">
        <v>1.0</v>
      </c>
      <c r="AH142" s="169">
        <v>0.0</v>
      </c>
      <c r="AI142" s="169">
        <v>0.0</v>
      </c>
      <c r="AJ142" s="182" t="b">
        <v>0</v>
      </c>
      <c r="AK142" s="183">
        <v>3.0</v>
      </c>
      <c r="AL142" s="169">
        <v>4.0</v>
      </c>
      <c r="AM142" s="172" t="str">
        <f t="shared" si="51"/>
        <v/>
      </c>
      <c r="AN142" s="198" t="str">
        <f>IFNA(VLOOKUP($A142,'Tube Reactions'!$J$2:$K259,2,FALSE),"")</f>
        <v/>
      </c>
      <c r="AO142" s="199" t="str">
        <f t="shared" si="20"/>
        <v/>
      </c>
      <c r="AP142" s="186" t="str">
        <f t="shared" si="36"/>
        <v/>
      </c>
      <c r="AQ142" s="187" t="b">
        <f t="shared" si="5"/>
        <v>1</v>
      </c>
      <c r="AR142" s="188">
        <v>141.0</v>
      </c>
      <c r="AS142" s="189"/>
      <c r="AT142" s="55"/>
      <c r="AU142" s="110" t="s">
        <v>779</v>
      </c>
      <c r="AV142" s="169"/>
      <c r="AW142" s="118"/>
      <c r="AX142" s="190"/>
      <c r="AY142" s="48"/>
      <c r="BA142" s="191"/>
      <c r="BB142" s="18"/>
      <c r="BC142" s="18"/>
      <c r="BD142" s="48"/>
      <c r="BE142" s="192"/>
      <c r="BF142" s="76" t="str">
        <f t="shared" si="11"/>
        <v/>
      </c>
      <c r="BG142" s="114" t="str">
        <f t="shared" si="12"/>
        <v/>
      </c>
      <c r="BH142" s="83" t="str">
        <f t="shared" si="13"/>
        <v/>
      </c>
      <c r="BI142" s="83" t="str">
        <f t="shared" si="14"/>
        <v/>
      </c>
      <c r="BJ142" s="83" t="str">
        <f t="shared" si="15"/>
        <v/>
      </c>
      <c r="BK142" s="83" t="str">
        <f t="shared" si="16"/>
        <v/>
      </c>
      <c r="BL142" s="200" t="str">
        <f>IFNA(IF(VLOOKUP(FLOOR($B142,1),'APS Tubes by Date IMPORT'!$B$2:$J259,1,FALSE)=FLOOR($BL141,1),IFERROR(0/0,""),VLOOKUP(FLOOR($B142,1),'APS Tubes by Date IMPORT'!$B$2:$J259,1,FALSE)),"")</f>
        <v/>
      </c>
      <c r="BM142" s="83" t="str">
        <f>IF(ISBLANK($BL142),IFERROR(0/0,""),VLOOKUP(FLOOR($B142,1),'APS Tubes by Date IMPORT'!$B$2:$J259,2,FALSE))</f>
        <v/>
      </c>
      <c r="BN142" s="114"/>
      <c r="BO142" s="83" t="str">
        <f>VLOOKUP(FLOOR($B142,1),'APS Tubes by Date IMPORT'!$B142:$I259,6,FALSE)</f>
        <v>#N/A</v>
      </c>
      <c r="BP142" s="83">
        <v>7.0</v>
      </c>
      <c r="BQ142" s="193">
        <f t="shared" si="17"/>
        <v>7</v>
      </c>
      <c r="BR142" s="131">
        <v>3.0</v>
      </c>
      <c r="BS142" s="76" t="b">
        <f t="shared" si="18"/>
        <v>1</v>
      </c>
      <c r="BT142" s="194" t="str">
        <f t="shared" si="19"/>
        <v>Delete NULL</v>
      </c>
      <c r="BU142" s="248"/>
      <c r="BV142" s="248"/>
      <c r="BW142" s="248"/>
      <c r="BX142" s="248"/>
    </row>
    <row r="143">
      <c r="A143" s="18" t="str">
        <f>CONCATENATE("RUN-",'Process Ref'!$A$1,"_",TEXT(U143,"YYYY-MM-DD"),"_RFR-",TEXT(AR143,"000"),IF(EXACT(W143,"Initial"),"",CONCATENATE("_",W143)))</f>
        <v>RUN-ABRM_2023-01-23_RFR-142_Re-run</v>
      </c>
      <c r="B143" s="251">
        <v>44949.47549131945</v>
      </c>
      <c r="C143" s="92"/>
      <c r="D143" s="92" t="s">
        <v>313</v>
      </c>
      <c r="E143" s="131">
        <v>8.0</v>
      </c>
      <c r="F143" s="92" t="s">
        <v>928</v>
      </c>
      <c r="G143" s="252" t="s">
        <v>929</v>
      </c>
      <c r="H143" s="252" t="s">
        <v>930</v>
      </c>
      <c r="I143" s="252" t="s">
        <v>931</v>
      </c>
      <c r="J143" s="172"/>
      <c r="K143" s="202" t="s">
        <v>932</v>
      </c>
      <c r="L143" s="246"/>
      <c r="M143" s="174"/>
      <c r="N143" s="174"/>
      <c r="O143" s="175"/>
      <c r="P143" s="118" t="b">
        <v>0</v>
      </c>
      <c r="Q143" s="118" t="b">
        <v>0</v>
      </c>
      <c r="R143" s="55"/>
      <c r="S143" s="118" t="b">
        <v>0</v>
      </c>
      <c r="T143" s="177" t="b">
        <v>1</v>
      </c>
      <c r="U143" s="178">
        <v>44949.0</v>
      </c>
      <c r="V143" s="179">
        <v>0.5152777777777777</v>
      </c>
      <c r="W143" s="110" t="s">
        <v>339</v>
      </c>
      <c r="X143" s="203" t="s">
        <v>933</v>
      </c>
      <c r="Y143" s="118" t="b">
        <v>0</v>
      </c>
      <c r="Z143" s="169">
        <v>8.0</v>
      </c>
      <c r="AA143" s="196">
        <f t="shared" si="1"/>
        <v>0</v>
      </c>
      <c r="AB143" s="197" t="b">
        <f t="shared" si="2"/>
        <v>1</v>
      </c>
      <c r="AC143" s="247">
        <v>6.0</v>
      </c>
      <c r="AD143" s="169">
        <v>0.0</v>
      </c>
      <c r="AE143" s="169">
        <v>0.0</v>
      </c>
      <c r="AF143" s="169">
        <v>0.0</v>
      </c>
      <c r="AG143" s="169">
        <v>0.0</v>
      </c>
      <c r="AH143" s="169">
        <v>0.0</v>
      </c>
      <c r="AI143" s="169">
        <v>0.0</v>
      </c>
      <c r="AJ143" s="182" t="b">
        <v>0</v>
      </c>
      <c r="AK143" s="183">
        <v>2.0</v>
      </c>
      <c r="AL143" s="169">
        <v>4.0</v>
      </c>
      <c r="AM143" s="172" t="str">
        <f t="shared" si="51"/>
        <v/>
      </c>
      <c r="AN143" s="198" t="str">
        <f>IFNA(VLOOKUP($A143,'Tube Reactions'!$J$2:$K259,2,FALSE),"")</f>
        <v/>
      </c>
      <c r="AO143" s="199" t="str">
        <f t="shared" si="20"/>
        <v/>
      </c>
      <c r="AP143" s="186" t="str">
        <f t="shared" si="36"/>
        <v/>
      </c>
      <c r="AQ143" s="187" t="b">
        <f t="shared" si="5"/>
        <v>1</v>
      </c>
      <c r="AR143" s="188">
        <v>142.0</v>
      </c>
      <c r="AS143" s="189"/>
      <c r="AT143" s="55"/>
      <c r="AU143" s="110" t="s">
        <v>934</v>
      </c>
      <c r="AV143" s="169"/>
      <c r="AW143" s="118"/>
      <c r="AX143" s="190"/>
      <c r="AY143" s="48"/>
      <c r="BA143" s="191"/>
      <c r="BB143" s="18"/>
      <c r="BC143" s="18"/>
      <c r="BD143" s="48"/>
      <c r="BE143" s="192"/>
      <c r="BF143" s="76" t="str">
        <f t="shared" si="11"/>
        <v/>
      </c>
      <c r="BG143" s="114" t="str">
        <f t="shared" si="12"/>
        <v/>
      </c>
      <c r="BH143" s="83" t="str">
        <f t="shared" si="13"/>
        <v/>
      </c>
      <c r="BI143" s="83" t="str">
        <f t="shared" si="14"/>
        <v/>
      </c>
      <c r="BJ143" s="83" t="str">
        <f t="shared" si="15"/>
        <v/>
      </c>
      <c r="BK143" s="83" t="str">
        <f t="shared" si="16"/>
        <v/>
      </c>
      <c r="BL143" s="200">
        <f>IFNA(IF(VLOOKUP(FLOOR($B143,1),'APS Tubes by Date IMPORT'!$B$2:$J259,1,FALSE)=FLOOR($BL142,1),IFERROR(0/0,""),VLOOKUP(FLOOR($B143,1),'APS Tubes by Date IMPORT'!$B$2:$J259,1,FALSE)),"")</f>
        <v>44949</v>
      </c>
      <c r="BM143" s="83">
        <f>IF(ISBLANK($BL143),IFERROR(0/0,""),VLOOKUP(FLOOR($B143,1),'APS Tubes by Date IMPORT'!$B$2:$J259,2,FALSE))</f>
        <v>9</v>
      </c>
      <c r="BN143" s="114"/>
      <c r="BO143" s="83" t="str">
        <f>VLOOKUP(FLOOR($B143,1),'APS Tubes by Date IMPORT'!$B143:$I259,6,FALSE)</f>
        <v>#N/A</v>
      </c>
      <c r="BP143" s="83">
        <v>7.0</v>
      </c>
      <c r="BQ143" s="193">
        <f t="shared" si="17"/>
        <v>-2</v>
      </c>
      <c r="BR143" s="131">
        <v>3.0</v>
      </c>
      <c r="BS143" s="76" t="b">
        <f t="shared" si="18"/>
        <v>1</v>
      </c>
      <c r="BT143" s="194" t="str">
        <f t="shared" si="19"/>
        <v>Delete NULL</v>
      </c>
      <c r="BU143" s="249"/>
      <c r="BV143" s="249"/>
      <c r="BW143" s="249"/>
      <c r="BX143" s="249"/>
    </row>
    <row r="144">
      <c r="A144" s="18" t="str">
        <f>CONCATENATE("RUN-",'Process Ref'!$A$1,"_",TEXT(U144,"YYYY-MM-DD"),"_RFR-",TEXT(AR144,"000"),IF(EXACT(W144,"Initial"),"",CONCATENATE("_",W144)))</f>
        <v>RUN-ABRM_2023-01-25_RFR-143</v>
      </c>
      <c r="B144" s="251">
        <v>44951.39663188657</v>
      </c>
      <c r="C144" s="92"/>
      <c r="D144" s="92" t="s">
        <v>313</v>
      </c>
      <c r="E144" s="131">
        <v>9.0</v>
      </c>
      <c r="F144" s="92" t="s">
        <v>935</v>
      </c>
      <c r="G144" s="252" t="s">
        <v>936</v>
      </c>
      <c r="H144" s="252" t="s">
        <v>937</v>
      </c>
      <c r="I144" s="252" t="s">
        <v>938</v>
      </c>
      <c r="J144" s="172">
        <v>1.0</v>
      </c>
      <c r="K144" s="202" t="s">
        <v>939</v>
      </c>
      <c r="L144" s="246"/>
      <c r="M144" s="174"/>
      <c r="N144" s="174"/>
      <c r="O144" s="175"/>
      <c r="P144" s="118" t="b">
        <v>0</v>
      </c>
      <c r="Q144" s="118" t="b">
        <v>0</v>
      </c>
      <c r="R144" s="55"/>
      <c r="S144" s="118" t="b">
        <v>0</v>
      </c>
      <c r="T144" s="177" t="b">
        <v>1</v>
      </c>
      <c r="U144" s="178">
        <v>44951.0</v>
      </c>
      <c r="V144" s="179">
        <v>0.4270833333333333</v>
      </c>
      <c r="W144" s="110" t="s">
        <v>320</v>
      </c>
      <c r="X144" s="203" t="s">
        <v>940</v>
      </c>
      <c r="Y144" s="118" t="b">
        <v>1</v>
      </c>
      <c r="Z144" s="169">
        <v>9.0</v>
      </c>
      <c r="AA144" s="196">
        <f t="shared" si="1"/>
        <v>0</v>
      </c>
      <c r="AB144" s="197" t="b">
        <f t="shared" si="2"/>
        <v>1</v>
      </c>
      <c r="AC144" s="247">
        <v>7.0</v>
      </c>
      <c r="AD144" s="169">
        <v>1.0</v>
      </c>
      <c r="AE144" s="169">
        <v>0.0</v>
      </c>
      <c r="AF144" s="169">
        <v>0.0</v>
      </c>
      <c r="AG144" s="169">
        <v>0.0</v>
      </c>
      <c r="AH144" s="169">
        <v>0.0</v>
      </c>
      <c r="AI144" s="169">
        <v>0.0</v>
      </c>
      <c r="AJ144" s="182" t="b">
        <v>0</v>
      </c>
      <c r="AK144" s="183">
        <v>7.0</v>
      </c>
      <c r="AL144" s="169">
        <v>1.1</v>
      </c>
      <c r="AM144" s="169">
        <v>1.0</v>
      </c>
      <c r="AN144" s="198" t="str">
        <f>IFNA(VLOOKUP($A144,'Tube Reactions'!$J$2:$K259,2,FALSE),"")</f>
        <v/>
      </c>
      <c r="AO144" s="199" t="str">
        <f t="shared" si="20"/>
        <v>NOT EQUAL</v>
      </c>
      <c r="AP144" s="186" t="str">
        <f t="shared" si="36"/>
        <v/>
      </c>
      <c r="AQ144" s="187" t="b">
        <f t="shared" si="5"/>
        <v>1</v>
      </c>
      <c r="AR144" s="188">
        <v>143.0</v>
      </c>
      <c r="AS144" s="189"/>
      <c r="AT144" s="55"/>
      <c r="AU144" s="110" t="s">
        <v>934</v>
      </c>
      <c r="AV144" s="169"/>
      <c r="AW144" s="118"/>
      <c r="AX144" s="190"/>
      <c r="AY144" s="48"/>
      <c r="BA144" s="191"/>
      <c r="BB144" s="18"/>
      <c r="BC144" s="18"/>
      <c r="BD144" s="48"/>
      <c r="BE144" s="192"/>
      <c r="BF144" s="76">
        <f t="shared" si="11"/>
        <v>44951</v>
      </c>
      <c r="BG144" s="114" t="str">
        <f t="shared" si="12"/>
        <v>RUN-ABRM_2023-01-25_RFR-143</v>
      </c>
      <c r="BH144" s="83">
        <f t="shared" si="13"/>
        <v>9</v>
      </c>
      <c r="BI144" s="83">
        <f t="shared" si="14"/>
        <v>7</v>
      </c>
      <c r="BJ144" s="83">
        <f t="shared" si="15"/>
        <v>7</v>
      </c>
      <c r="BK144" s="83">
        <f t="shared" si="16"/>
        <v>1.1</v>
      </c>
      <c r="BL144" s="200">
        <f>IFNA(IF(VLOOKUP(FLOOR($B144,1),'APS Tubes by Date IMPORT'!$B$2:$J259,1,FALSE)=FLOOR($BL143,1),IFERROR(0/0,""),VLOOKUP(FLOOR($B144,1),'APS Tubes by Date IMPORT'!$B$2:$J259,1,FALSE)),"")</f>
        <v>44951</v>
      </c>
      <c r="BM144" s="83">
        <f>IF(ISBLANK($BL144),IFERROR(0/0,""),VLOOKUP(FLOOR($B144,1),'APS Tubes by Date IMPORT'!$B$2:$J259,2,FALSE))</f>
        <v>7</v>
      </c>
      <c r="BN144" s="114"/>
      <c r="BO144" s="83" t="str">
        <f>VLOOKUP(FLOOR($B144,1),'APS Tubes by Date IMPORT'!$B144:$I259,6,FALSE)</f>
        <v>#N/A</v>
      </c>
      <c r="BP144" s="83">
        <v>7.0</v>
      </c>
      <c r="BQ144" s="193">
        <f t="shared" si="17"/>
        <v>0</v>
      </c>
      <c r="BR144" s="131">
        <v>3.0</v>
      </c>
      <c r="BS144" s="76" t="b">
        <f t="shared" si="18"/>
        <v>1</v>
      </c>
      <c r="BT144" s="194" t="str">
        <f t="shared" si="19"/>
        <v>Delete NULL</v>
      </c>
      <c r="BU144" s="249"/>
      <c r="BV144" s="249"/>
      <c r="BW144" s="249"/>
      <c r="BX144" s="249"/>
    </row>
    <row r="145">
      <c r="A145" s="18" t="str">
        <f>CONCATENATE("RUN-",'Process Ref'!$A$1,"_",TEXT(U145,"YYYY-MM-DD"),"_RFR-",TEXT(AR145,"000"),IF(EXACT(W145,"Initial"),"",CONCATENATE("_",W145)))</f>
        <v>RUN-ABRM_2023-01-25_RFR-144_Re-run</v>
      </c>
      <c r="B145" s="251">
        <v>44951.41532425926</v>
      </c>
      <c r="C145" s="92"/>
      <c r="D145" s="92" t="s">
        <v>313</v>
      </c>
      <c r="E145" s="131">
        <v>5.0</v>
      </c>
      <c r="F145" s="92" t="s">
        <v>935</v>
      </c>
      <c r="G145" s="252" t="s">
        <v>941</v>
      </c>
      <c r="H145" s="252" t="s">
        <v>942</v>
      </c>
      <c r="I145" s="252" t="s">
        <v>943</v>
      </c>
      <c r="J145" s="172"/>
      <c r="K145" s="202"/>
      <c r="L145" s="246"/>
      <c r="M145" s="174"/>
      <c r="N145" s="174"/>
      <c r="O145" s="175"/>
      <c r="P145" s="118" t="b">
        <v>0</v>
      </c>
      <c r="Q145" s="118" t="b">
        <v>0</v>
      </c>
      <c r="R145" s="55"/>
      <c r="S145" s="118" t="b">
        <v>0</v>
      </c>
      <c r="T145" s="177" t="b">
        <v>1</v>
      </c>
      <c r="U145" s="178">
        <v>44951.0</v>
      </c>
      <c r="V145" s="179">
        <v>0.4652777777777778</v>
      </c>
      <c r="W145" s="110" t="s">
        <v>339</v>
      </c>
      <c r="X145" s="180"/>
      <c r="Y145" s="118" t="b">
        <v>0</v>
      </c>
      <c r="Z145" s="169">
        <v>5.0</v>
      </c>
      <c r="AA145" s="196">
        <f t="shared" si="1"/>
        <v>0</v>
      </c>
      <c r="AB145" s="197" t="b">
        <f t="shared" si="2"/>
        <v>1</v>
      </c>
      <c r="AC145" s="247">
        <v>3.0</v>
      </c>
      <c r="AD145" s="169">
        <v>0.0</v>
      </c>
      <c r="AE145" s="169">
        <v>0.0</v>
      </c>
      <c r="AF145" s="169">
        <v>0.0</v>
      </c>
      <c r="AG145" s="169">
        <v>0.0</v>
      </c>
      <c r="AH145" s="169">
        <v>0.0</v>
      </c>
      <c r="AI145" s="169">
        <v>0.0</v>
      </c>
      <c r="AJ145" s="182" t="b">
        <v>0</v>
      </c>
      <c r="AK145" s="183">
        <v>1.0</v>
      </c>
      <c r="AL145" s="169">
        <v>0.0</v>
      </c>
      <c r="AM145" s="172" t="str">
        <f t="shared" ref="AM145:AM149" si="52">IF(EXACT(W145,"Initial"),"Audit","")</f>
        <v/>
      </c>
      <c r="AN145" s="198" t="str">
        <f>IFNA(VLOOKUP($A145,'Tube Reactions'!$J$2:$K259,2,FALSE),"")</f>
        <v/>
      </c>
      <c r="AO145" s="199" t="str">
        <f t="shared" si="20"/>
        <v/>
      </c>
      <c r="AP145" s="186" t="str">
        <f t="shared" si="36"/>
        <v/>
      </c>
      <c r="AQ145" s="187" t="b">
        <f t="shared" si="5"/>
        <v>1</v>
      </c>
      <c r="AR145" s="188">
        <v>144.0</v>
      </c>
      <c r="AS145" s="189"/>
      <c r="AT145" s="55"/>
      <c r="AU145" s="110" t="s">
        <v>934</v>
      </c>
      <c r="AV145" s="169"/>
      <c r="AW145" s="118"/>
      <c r="AX145" s="190"/>
      <c r="AY145" s="48"/>
      <c r="BA145" s="191"/>
      <c r="BB145" s="18"/>
      <c r="BC145" s="18"/>
      <c r="BD145" s="48"/>
      <c r="BE145" s="192"/>
      <c r="BF145" s="76" t="str">
        <f t="shared" si="11"/>
        <v/>
      </c>
      <c r="BG145" s="114" t="str">
        <f t="shared" si="12"/>
        <v/>
      </c>
      <c r="BH145" s="83" t="str">
        <f t="shared" si="13"/>
        <v/>
      </c>
      <c r="BI145" s="83" t="str">
        <f t="shared" si="14"/>
        <v/>
      </c>
      <c r="BJ145" s="83" t="str">
        <f t="shared" si="15"/>
        <v/>
      </c>
      <c r="BK145" s="83" t="str">
        <f t="shared" si="16"/>
        <v/>
      </c>
      <c r="BL145" s="200" t="str">
        <f>IFNA(IF(VLOOKUP(FLOOR($B145,1),'APS Tubes by Date IMPORT'!$B$2:$J259,1,FALSE)=FLOOR($BL144,1),IFERROR(0/0,""),VLOOKUP(FLOOR($B145,1),'APS Tubes by Date IMPORT'!$B$2:$J259,1,FALSE)),"")</f>
        <v/>
      </c>
      <c r="BM145" s="83" t="str">
        <f>IF(ISBLANK($BL145),IFERROR(0/0,""),VLOOKUP(FLOOR($B145,1),'APS Tubes by Date IMPORT'!$B$2:$J259,2,FALSE))</f>
        <v/>
      </c>
      <c r="BN145" s="114"/>
      <c r="BO145" s="83" t="str">
        <f>VLOOKUP(FLOOR($B145,1),'APS Tubes by Date IMPORT'!$B145:$I259,6,FALSE)</f>
        <v>#N/A</v>
      </c>
      <c r="BP145" s="83">
        <v>7.0</v>
      </c>
      <c r="BQ145" s="193">
        <f t="shared" si="17"/>
        <v>7</v>
      </c>
      <c r="BR145" s="131">
        <v>3.0</v>
      </c>
      <c r="BS145" s="76" t="b">
        <f t="shared" si="18"/>
        <v>1</v>
      </c>
      <c r="BT145" s="194" t="str">
        <f t="shared" si="19"/>
        <v>Delete NULL</v>
      </c>
      <c r="BU145" s="249"/>
      <c r="BV145" s="249"/>
      <c r="BW145" s="249"/>
      <c r="BX145" s="249"/>
    </row>
    <row r="146">
      <c r="A146" s="18" t="str">
        <f>CONCATENATE("RUN-",'Process Ref'!$A$1,"_",TEXT(U146,"YYYY-MM-DD"),"_RFR-",TEXT(AR146,"000"),IF(EXACT(W146,"Initial"),"",CONCATENATE("_",W146)))</f>
        <v>RUN-ABRM_2023-01-26_RFR-145</v>
      </c>
      <c r="B146" s="251">
        <v>44952.42433613426</v>
      </c>
      <c r="C146" s="92"/>
      <c r="D146" s="92" t="s">
        <v>313</v>
      </c>
      <c r="E146" s="131">
        <v>8.0</v>
      </c>
      <c r="F146" s="92" t="s">
        <v>944</v>
      </c>
      <c r="G146" s="252" t="s">
        <v>945</v>
      </c>
      <c r="H146" s="252" t="s">
        <v>946</v>
      </c>
      <c r="I146" s="252" t="s">
        <v>947</v>
      </c>
      <c r="J146" s="172">
        <v>2.0</v>
      </c>
      <c r="K146" s="202" t="s">
        <v>948</v>
      </c>
      <c r="L146" s="246"/>
      <c r="M146" s="174"/>
      <c r="N146" s="174"/>
      <c r="O146" s="175"/>
      <c r="P146" s="118" t="b">
        <v>0</v>
      </c>
      <c r="Q146" s="118" t="b">
        <v>0</v>
      </c>
      <c r="R146" s="55"/>
      <c r="S146" s="118" t="b">
        <v>0</v>
      </c>
      <c r="T146" s="177" t="b">
        <v>1</v>
      </c>
      <c r="U146" s="178">
        <v>44952.0</v>
      </c>
      <c r="V146" s="179">
        <v>0.4375</v>
      </c>
      <c r="W146" s="110" t="s">
        <v>320</v>
      </c>
      <c r="X146" s="202" t="s">
        <v>948</v>
      </c>
      <c r="Y146" s="118" t="b">
        <v>1</v>
      </c>
      <c r="Z146" s="169">
        <v>8.0</v>
      </c>
      <c r="AA146" s="196">
        <f t="shared" si="1"/>
        <v>0</v>
      </c>
      <c r="AB146" s="197" t="b">
        <f t="shared" si="2"/>
        <v>1</v>
      </c>
      <c r="AC146" s="247">
        <v>6.0</v>
      </c>
      <c r="AD146" s="169">
        <v>0.0</v>
      </c>
      <c r="AE146" s="169">
        <v>0.0</v>
      </c>
      <c r="AF146" s="169">
        <v>0.0</v>
      </c>
      <c r="AG146" s="169">
        <v>0.0</v>
      </c>
      <c r="AH146" s="169">
        <v>0.0</v>
      </c>
      <c r="AI146" s="169">
        <v>0.0</v>
      </c>
      <c r="AJ146" s="182" t="b">
        <v>0</v>
      </c>
      <c r="AK146" s="183">
        <v>6.0</v>
      </c>
      <c r="AL146" s="169">
        <v>0.0</v>
      </c>
      <c r="AM146" s="172" t="str">
        <f t="shared" si="52"/>
        <v>Audit</v>
      </c>
      <c r="AN146" s="198" t="str">
        <f>IFNA(VLOOKUP($A146,'Tube Reactions'!$J$2:$K259,2,FALSE),"")</f>
        <v/>
      </c>
      <c r="AO146" s="199" t="str">
        <f t="shared" si="20"/>
        <v>NOT EQUAL</v>
      </c>
      <c r="AP146" s="186" t="str">
        <f t="shared" si="36"/>
        <v/>
      </c>
      <c r="AQ146" s="187" t="b">
        <f t="shared" si="5"/>
        <v>1</v>
      </c>
      <c r="AR146" s="188">
        <v>145.0</v>
      </c>
      <c r="AS146" s="189" t="s">
        <v>949</v>
      </c>
      <c r="AT146" s="55"/>
      <c r="AU146" s="110" t="s">
        <v>934</v>
      </c>
      <c r="AV146" s="169"/>
      <c r="AW146" s="118"/>
      <c r="AX146" s="190"/>
      <c r="AY146" s="48"/>
      <c r="BA146" s="191"/>
      <c r="BB146" s="18"/>
      <c r="BC146" s="18"/>
      <c r="BD146" s="48"/>
      <c r="BE146" s="192"/>
      <c r="BF146" s="76">
        <f t="shared" si="11"/>
        <v>44952</v>
      </c>
      <c r="BG146" s="114" t="str">
        <f t="shared" si="12"/>
        <v>RUN-ABRM_2023-01-26_RFR-145</v>
      </c>
      <c r="BH146" s="83">
        <f t="shared" si="13"/>
        <v>8</v>
      </c>
      <c r="BI146" s="83">
        <f t="shared" si="14"/>
        <v>6</v>
      </c>
      <c r="BJ146" s="83">
        <f t="shared" si="15"/>
        <v>6</v>
      </c>
      <c r="BK146" s="83">
        <f t="shared" si="16"/>
        <v>0</v>
      </c>
      <c r="BL146" s="200">
        <f>IFNA(IF(VLOOKUP(FLOOR($B146,1),'APS Tubes by Date IMPORT'!$B$2:$J259,1,FALSE)=FLOOR($BL145,1),IFERROR(0/0,""),VLOOKUP(FLOOR($B146,1),'APS Tubes by Date IMPORT'!$B$2:$J259,1,FALSE)),"")</f>
        <v>44952</v>
      </c>
      <c r="BM146" s="83">
        <f>IF(ISBLANK($BL146),IFERROR(0/0,""),VLOOKUP(FLOOR($B146,1),'APS Tubes by Date IMPORT'!$B$2:$J259,2,FALSE))</f>
        <v>6</v>
      </c>
      <c r="BN146" s="114"/>
      <c r="BO146" s="83" t="str">
        <f>VLOOKUP(FLOOR($B146,1),'APS Tubes by Date IMPORT'!$B146:$I259,6,FALSE)</f>
        <v>#N/A</v>
      </c>
      <c r="BP146" s="83">
        <v>7.0</v>
      </c>
      <c r="BQ146" s="193">
        <f t="shared" si="17"/>
        <v>1</v>
      </c>
      <c r="BR146" s="131">
        <v>3.0</v>
      </c>
      <c r="BS146" s="76" t="b">
        <f t="shared" si="18"/>
        <v>1</v>
      </c>
      <c r="BT146" s="194" t="str">
        <f t="shared" si="19"/>
        <v>Delete NULL</v>
      </c>
      <c r="BU146" s="248"/>
      <c r="BV146" s="248"/>
      <c r="BW146" s="248"/>
      <c r="BX146" s="248"/>
    </row>
    <row r="147">
      <c r="A147" s="18" t="str">
        <f>CONCATENATE("RUN-",'Process Ref'!$A$1,"_",TEXT(U147,"YYYY-MM-DD"),"_RFR-",TEXT(AR147,"000"),IF(EXACT(W147,"Initial"),"",CONCATENATE("_",W147)))</f>
        <v>RUN-ABRM_2023-01-26_RFR-146_Re-run</v>
      </c>
      <c r="B147" s="251">
        <v>44952.42708292824</v>
      </c>
      <c r="C147" s="92"/>
      <c r="D147" s="92" t="s">
        <v>313</v>
      </c>
      <c r="E147" s="131">
        <v>8.0</v>
      </c>
      <c r="F147" s="92" t="s">
        <v>944</v>
      </c>
      <c r="G147" s="252" t="s">
        <v>950</v>
      </c>
      <c r="H147" s="252" t="s">
        <v>951</v>
      </c>
      <c r="I147" s="252" t="s">
        <v>952</v>
      </c>
      <c r="J147" s="172"/>
      <c r="K147" s="202"/>
      <c r="L147" s="246"/>
      <c r="M147" s="174"/>
      <c r="N147" s="174"/>
      <c r="O147" s="175"/>
      <c r="P147" s="118" t="b">
        <v>0</v>
      </c>
      <c r="Q147" s="118" t="b">
        <v>0</v>
      </c>
      <c r="R147" s="55"/>
      <c r="S147" s="118" t="b">
        <v>0</v>
      </c>
      <c r="T147" s="177" t="b">
        <v>1</v>
      </c>
      <c r="U147" s="178">
        <v>44952.0</v>
      </c>
      <c r="V147" s="179">
        <v>0.4861111111111111</v>
      </c>
      <c r="W147" s="110" t="s">
        <v>339</v>
      </c>
      <c r="X147" s="180"/>
      <c r="Y147" s="118" t="b">
        <v>0</v>
      </c>
      <c r="Z147" s="169">
        <v>8.0</v>
      </c>
      <c r="AA147" s="196">
        <f t="shared" si="1"/>
        <v>0</v>
      </c>
      <c r="AB147" s="197" t="b">
        <f t="shared" si="2"/>
        <v>1</v>
      </c>
      <c r="AC147" s="247">
        <v>6.0</v>
      </c>
      <c r="AD147" s="169">
        <v>0.0</v>
      </c>
      <c r="AE147" s="169">
        <v>0.0</v>
      </c>
      <c r="AF147" s="169">
        <v>0.0</v>
      </c>
      <c r="AG147" s="169">
        <v>0.0</v>
      </c>
      <c r="AH147" s="169">
        <v>0.0</v>
      </c>
      <c r="AI147" s="169">
        <v>0.0</v>
      </c>
      <c r="AJ147" s="182" t="b">
        <v>0</v>
      </c>
      <c r="AK147" s="183">
        <v>2.0</v>
      </c>
      <c r="AL147" s="169">
        <v>0.0</v>
      </c>
      <c r="AM147" s="172" t="str">
        <f t="shared" si="52"/>
        <v/>
      </c>
      <c r="AN147" s="198" t="str">
        <f>IFNA(VLOOKUP($A147,'Tube Reactions'!$J$2:$K259,2,FALSE),"")</f>
        <v/>
      </c>
      <c r="AO147" s="199" t="str">
        <f t="shared" si="20"/>
        <v/>
      </c>
      <c r="AP147" s="186" t="str">
        <f t="shared" si="36"/>
        <v/>
      </c>
      <c r="AQ147" s="187" t="b">
        <f t="shared" si="5"/>
        <v>1</v>
      </c>
      <c r="AR147" s="188">
        <v>146.0</v>
      </c>
      <c r="AS147" s="189"/>
      <c r="AT147" s="55"/>
      <c r="AU147" s="110" t="s">
        <v>934</v>
      </c>
      <c r="AV147" s="169"/>
      <c r="AW147" s="118"/>
      <c r="AX147" s="190"/>
      <c r="AY147" s="48"/>
      <c r="BA147" s="191"/>
      <c r="BB147" s="18"/>
      <c r="BC147" s="18"/>
      <c r="BD147" s="48"/>
      <c r="BE147" s="192"/>
      <c r="BF147" s="76" t="str">
        <f t="shared" si="11"/>
        <v/>
      </c>
      <c r="BG147" s="114" t="str">
        <f t="shared" si="12"/>
        <v/>
      </c>
      <c r="BH147" s="83" t="str">
        <f t="shared" si="13"/>
        <v/>
      </c>
      <c r="BI147" s="83" t="str">
        <f t="shared" si="14"/>
        <v/>
      </c>
      <c r="BJ147" s="83" t="str">
        <f t="shared" si="15"/>
        <v/>
      </c>
      <c r="BK147" s="83" t="str">
        <f t="shared" si="16"/>
        <v/>
      </c>
      <c r="BL147" s="200" t="str">
        <f>IFNA(IF(VLOOKUP(FLOOR($B147,1),'APS Tubes by Date IMPORT'!$B$2:$J259,1,FALSE)=FLOOR($BL146,1),IFERROR(0/0,""),VLOOKUP(FLOOR($B147,1),'APS Tubes by Date IMPORT'!$B$2:$J259,1,FALSE)),"")</f>
        <v/>
      </c>
      <c r="BM147" s="83" t="str">
        <f>IF(ISBLANK($BL147),IFERROR(0/0,""),VLOOKUP(FLOOR($B147,1),'APS Tubes by Date IMPORT'!$B$2:$J259,2,FALSE))</f>
        <v/>
      </c>
      <c r="BN147" s="114"/>
      <c r="BO147" s="83" t="str">
        <f>VLOOKUP(FLOOR($B147,1),'APS Tubes by Date IMPORT'!$B147:$I259,6,FALSE)</f>
        <v>#N/A</v>
      </c>
      <c r="BP147" s="83">
        <v>7.0</v>
      </c>
      <c r="BQ147" s="193">
        <f t="shared" si="17"/>
        <v>7</v>
      </c>
      <c r="BR147" s="131">
        <v>3.0</v>
      </c>
      <c r="BS147" s="76" t="b">
        <f t="shared" si="18"/>
        <v>1</v>
      </c>
      <c r="BT147" s="194" t="str">
        <f t="shared" si="19"/>
        <v>Delete NULL</v>
      </c>
      <c r="BU147" s="249"/>
      <c r="BV147" s="249"/>
      <c r="BW147" s="249"/>
      <c r="BX147" s="249"/>
    </row>
    <row r="148">
      <c r="A148" s="18" t="str">
        <f>CONCATENATE("RUN-",'Process Ref'!$A$1,"_",TEXT(U148,"YYYY-MM-DD"),"_RFR-",TEXT(AR148,"000"),IF(EXACT(W148,"Initial"),"",CONCATENATE("_",W148)))</f>
        <v>RUN-ABRM_2023-01-27_RFR-147</v>
      </c>
      <c r="B148" s="251">
        <v>44953.41025332176</v>
      </c>
      <c r="C148" s="92"/>
      <c r="D148" s="92" t="s">
        <v>313</v>
      </c>
      <c r="E148" s="131">
        <v>8.0</v>
      </c>
      <c r="F148" s="92" t="s">
        <v>953</v>
      </c>
      <c r="G148" s="252" t="s">
        <v>954</v>
      </c>
      <c r="H148" s="252" t="s">
        <v>955</v>
      </c>
      <c r="I148" s="252" t="s">
        <v>956</v>
      </c>
      <c r="J148" s="172">
        <v>1.0</v>
      </c>
      <c r="K148" s="202"/>
      <c r="L148" s="246"/>
      <c r="M148" s="174"/>
      <c r="N148" s="174"/>
      <c r="O148" s="175"/>
      <c r="P148" s="118" t="b">
        <v>0</v>
      </c>
      <c r="Q148" s="118" t="b">
        <v>0</v>
      </c>
      <c r="R148" s="55"/>
      <c r="S148" s="118" t="b">
        <v>0</v>
      </c>
      <c r="T148" s="177" t="b">
        <v>1</v>
      </c>
      <c r="U148" s="178">
        <v>44953.0</v>
      </c>
      <c r="V148" s="179">
        <v>0.4444444444444444</v>
      </c>
      <c r="W148" s="110" t="s">
        <v>320</v>
      </c>
      <c r="X148" s="180"/>
      <c r="Y148" s="118" t="b">
        <v>0</v>
      </c>
      <c r="Z148" s="169">
        <v>8.0</v>
      </c>
      <c r="AA148" s="196">
        <f t="shared" si="1"/>
        <v>0</v>
      </c>
      <c r="AB148" s="197" t="b">
        <f t="shared" si="2"/>
        <v>1</v>
      </c>
      <c r="AC148" s="247">
        <v>6.0</v>
      </c>
      <c r="AD148" s="169">
        <v>1.0</v>
      </c>
      <c r="AE148" s="169">
        <v>1.0</v>
      </c>
      <c r="AF148" s="169">
        <v>0.0</v>
      </c>
      <c r="AG148" s="169">
        <v>0.0</v>
      </c>
      <c r="AH148" s="169">
        <v>0.0</v>
      </c>
      <c r="AI148" s="169">
        <v>0.0</v>
      </c>
      <c r="AJ148" s="182" t="b">
        <v>0</v>
      </c>
      <c r="AK148" s="183">
        <v>6.0</v>
      </c>
      <c r="AL148" s="169">
        <v>1.1</v>
      </c>
      <c r="AM148" s="172" t="str">
        <f t="shared" si="52"/>
        <v>Audit</v>
      </c>
      <c r="AN148" s="198" t="str">
        <f>IFNA(VLOOKUP($A148,'Tube Reactions'!$J$2:$K259,2,FALSE),"")</f>
        <v/>
      </c>
      <c r="AO148" s="199" t="str">
        <f t="shared" si="20"/>
        <v>NOT EQUAL</v>
      </c>
      <c r="AP148" s="186" t="str">
        <f t="shared" si="36"/>
        <v/>
      </c>
      <c r="AQ148" s="187" t="b">
        <f t="shared" si="5"/>
        <v>1</v>
      </c>
      <c r="AR148" s="188">
        <v>147.0</v>
      </c>
      <c r="AS148" s="189"/>
      <c r="AT148" s="55"/>
      <c r="AU148" s="110" t="s">
        <v>797</v>
      </c>
      <c r="AV148" s="169"/>
      <c r="AW148" s="118"/>
      <c r="AX148" s="190"/>
      <c r="AY148" s="48"/>
      <c r="BA148" s="191"/>
      <c r="BB148" s="18"/>
      <c r="BC148" s="18"/>
      <c r="BD148" s="48"/>
      <c r="BE148" s="192"/>
      <c r="BF148" s="76">
        <f t="shared" si="11"/>
        <v>44953</v>
      </c>
      <c r="BG148" s="114" t="str">
        <f t="shared" si="12"/>
        <v>RUN-ABRM_2023-01-27_RFR-147</v>
      </c>
      <c r="BH148" s="83">
        <f t="shared" si="13"/>
        <v>8</v>
      </c>
      <c r="BI148" s="83">
        <f t="shared" si="14"/>
        <v>6</v>
      </c>
      <c r="BJ148" s="83">
        <f t="shared" si="15"/>
        <v>6</v>
      </c>
      <c r="BK148" s="83">
        <f t="shared" si="16"/>
        <v>1.1</v>
      </c>
      <c r="BL148" s="200">
        <f>IFNA(IF(VLOOKUP(FLOOR($B148,1),'APS Tubes by Date IMPORT'!$B$2:$J259,1,FALSE)=FLOOR($BL147,1),IFERROR(0/0,""),VLOOKUP(FLOOR($B148,1),'APS Tubes by Date IMPORT'!$B$2:$J259,1,FALSE)),"")</f>
        <v>44953</v>
      </c>
      <c r="BM148" s="83">
        <f>IF(ISBLANK($BL148),IFERROR(0/0,""),VLOOKUP(FLOOR($B148,1),'APS Tubes by Date IMPORT'!$B$2:$J259,2,FALSE))</f>
        <v>7</v>
      </c>
      <c r="BN148" s="114"/>
      <c r="BO148" s="83" t="str">
        <f>VLOOKUP(FLOOR($B148,1),'APS Tubes by Date IMPORT'!$B148:$I259,6,FALSE)</f>
        <v>#N/A</v>
      </c>
      <c r="BP148" s="83">
        <v>7.0</v>
      </c>
      <c r="BQ148" s="193">
        <f t="shared" si="17"/>
        <v>0</v>
      </c>
      <c r="BR148" s="131">
        <v>3.0</v>
      </c>
      <c r="BS148" s="76" t="b">
        <f t="shared" si="18"/>
        <v>1</v>
      </c>
      <c r="BT148" s="194" t="str">
        <f t="shared" si="19"/>
        <v>Delete NULL</v>
      </c>
      <c r="BU148" s="249"/>
      <c r="BV148" s="249"/>
      <c r="BW148" s="249"/>
      <c r="BX148" s="249"/>
    </row>
    <row r="149">
      <c r="A149" s="18" t="str">
        <f>CONCATENATE("RUN-",'Process Ref'!$A$1,"_",TEXT(U149,"YYYY-MM-DD"),"_RFR-",TEXT(AR149,"000"),IF(EXACT(W149,"Initial"),"",CONCATENATE("_",W149)))</f>
        <v>RUN-ABRM_2023-01-27_RFR-148_Re-run</v>
      </c>
      <c r="B149" s="251">
        <v>44953.42863938658</v>
      </c>
      <c r="C149" s="92"/>
      <c r="D149" s="92" t="s">
        <v>313</v>
      </c>
      <c r="E149" s="131">
        <v>8.0</v>
      </c>
      <c r="F149" s="92" t="s">
        <v>957</v>
      </c>
      <c r="G149" s="252" t="s">
        <v>958</v>
      </c>
      <c r="H149" s="252" t="s">
        <v>959</v>
      </c>
      <c r="I149" s="252" t="s">
        <v>960</v>
      </c>
      <c r="J149" s="172"/>
      <c r="K149" s="202" t="s">
        <v>961</v>
      </c>
      <c r="L149" s="246"/>
      <c r="M149" s="174"/>
      <c r="N149" s="174"/>
      <c r="O149" s="175"/>
      <c r="P149" s="118" t="b">
        <v>0</v>
      </c>
      <c r="Q149" s="118" t="b">
        <v>0</v>
      </c>
      <c r="R149" s="55"/>
      <c r="S149" s="118" t="b">
        <v>0</v>
      </c>
      <c r="T149" s="177" t="b">
        <v>1</v>
      </c>
      <c r="U149" s="178">
        <v>44953.0</v>
      </c>
      <c r="V149" s="179">
        <v>0.4791666666666667</v>
      </c>
      <c r="W149" s="110" t="s">
        <v>339</v>
      </c>
      <c r="X149" s="203" t="s">
        <v>962</v>
      </c>
      <c r="Y149" s="118" t="b">
        <v>0</v>
      </c>
      <c r="Z149" s="169">
        <v>8.0</v>
      </c>
      <c r="AA149" s="196">
        <f t="shared" si="1"/>
        <v>0</v>
      </c>
      <c r="AB149" s="197" t="b">
        <f t="shared" si="2"/>
        <v>1</v>
      </c>
      <c r="AC149" s="247">
        <v>6.0</v>
      </c>
      <c r="AD149" s="169">
        <v>0.0</v>
      </c>
      <c r="AE149" s="169">
        <v>0.0</v>
      </c>
      <c r="AF149" s="169">
        <v>0.0</v>
      </c>
      <c r="AG149" s="169">
        <v>0.0</v>
      </c>
      <c r="AH149" s="169">
        <v>0.0</v>
      </c>
      <c r="AI149" s="169">
        <v>0.0</v>
      </c>
      <c r="AJ149" s="182" t="b">
        <v>0</v>
      </c>
      <c r="AK149" s="183">
        <v>2.0</v>
      </c>
      <c r="AL149" s="169"/>
      <c r="AM149" s="172" t="str">
        <f t="shared" si="52"/>
        <v/>
      </c>
      <c r="AN149" s="198" t="str">
        <f>IFNA(VLOOKUP($A149,'Tube Reactions'!$J$2:$K259,2,FALSE),"")</f>
        <v/>
      </c>
      <c r="AO149" s="199" t="str">
        <f t="shared" si="20"/>
        <v/>
      </c>
      <c r="AP149" s="186" t="str">
        <f t="shared" si="36"/>
        <v/>
      </c>
      <c r="AQ149" s="187" t="b">
        <f t="shared" si="5"/>
        <v>1</v>
      </c>
      <c r="AR149" s="188">
        <v>148.0</v>
      </c>
      <c r="AS149" s="189"/>
      <c r="AT149" s="55"/>
      <c r="AU149" s="110" t="s">
        <v>797</v>
      </c>
      <c r="AV149" s="169"/>
      <c r="AW149" s="118"/>
      <c r="AX149" s="190"/>
      <c r="AY149" s="48"/>
      <c r="BA149" s="191"/>
      <c r="BB149" s="18"/>
      <c r="BC149" s="18"/>
      <c r="BD149" s="48"/>
      <c r="BE149" s="192"/>
      <c r="BF149" s="76" t="str">
        <f t="shared" si="11"/>
        <v/>
      </c>
      <c r="BG149" s="114" t="str">
        <f t="shared" si="12"/>
        <v/>
      </c>
      <c r="BH149" s="83" t="str">
        <f t="shared" si="13"/>
        <v/>
      </c>
      <c r="BI149" s="83" t="str">
        <f t="shared" si="14"/>
        <v/>
      </c>
      <c r="BJ149" s="83" t="str">
        <f t="shared" si="15"/>
        <v/>
      </c>
      <c r="BK149" s="83" t="str">
        <f t="shared" si="16"/>
        <v/>
      </c>
      <c r="BL149" s="200" t="str">
        <f>IFNA(IF(VLOOKUP(FLOOR($B149,1),'APS Tubes by Date IMPORT'!$B$2:$J259,1,FALSE)=FLOOR($BL148,1),IFERROR(0/0,""),VLOOKUP(FLOOR($B149,1),'APS Tubes by Date IMPORT'!$B$2:$J259,1,FALSE)),"")</f>
        <v/>
      </c>
      <c r="BM149" s="83" t="str">
        <f>IF(ISBLANK($BL149),IFERROR(0/0,""),VLOOKUP(FLOOR($B149,1),'APS Tubes by Date IMPORT'!$B$2:$J259,2,FALSE))</f>
        <v/>
      </c>
      <c r="BN149" s="114"/>
      <c r="BO149" s="83" t="str">
        <f>VLOOKUP(FLOOR($B149,1),'APS Tubes by Date IMPORT'!$B149:$I259,6,FALSE)</f>
        <v>#N/A</v>
      </c>
      <c r="BP149" s="83">
        <v>7.0</v>
      </c>
      <c r="BQ149" s="193">
        <f t="shared" si="17"/>
        <v>7</v>
      </c>
      <c r="BR149" s="131">
        <v>3.0</v>
      </c>
      <c r="BS149" s="76" t="b">
        <f t="shared" si="18"/>
        <v>1</v>
      </c>
      <c r="BT149" s="194" t="str">
        <f t="shared" si="19"/>
        <v>Delete NULL</v>
      </c>
      <c r="BU149" s="249"/>
      <c r="BV149" s="249"/>
      <c r="BW149" s="249"/>
      <c r="BX149" s="249"/>
    </row>
    <row r="150">
      <c r="A150" s="18" t="str">
        <f>CONCATENATE("RUN-",'Process Ref'!$A$1,"_",TEXT(U150,"YYYY-MM-DD"),"_RFR-",TEXT(AR150,"000"),IF(EXACT(W150,"Initial"),"",CONCATENATE("_",W150)))</f>
        <v>RUN-ABRM_2023-01-30_RFR-149</v>
      </c>
      <c r="B150" s="251">
        <v>44956.41716939815</v>
      </c>
      <c r="C150" s="92"/>
      <c r="D150" s="92" t="s">
        <v>313</v>
      </c>
      <c r="E150" s="131">
        <v>9.0</v>
      </c>
      <c r="F150" s="92" t="s">
        <v>963</v>
      </c>
      <c r="G150" s="252" t="s">
        <v>964</v>
      </c>
      <c r="H150" s="252" t="s">
        <v>965</v>
      </c>
      <c r="I150" s="252" t="s">
        <v>966</v>
      </c>
      <c r="J150" s="172"/>
      <c r="K150" s="202"/>
      <c r="L150" s="246"/>
      <c r="M150" s="174"/>
      <c r="N150" s="174"/>
      <c r="O150" s="175"/>
      <c r="P150" s="118" t="b">
        <v>0</v>
      </c>
      <c r="Q150" s="118" t="b">
        <v>0</v>
      </c>
      <c r="R150" s="55"/>
      <c r="S150" s="118" t="b">
        <v>0</v>
      </c>
      <c r="T150" s="177" t="b">
        <v>0</v>
      </c>
      <c r="U150" s="178">
        <v>44956.0</v>
      </c>
      <c r="V150" s="179">
        <v>0.4375</v>
      </c>
      <c r="W150" s="110" t="s">
        <v>320</v>
      </c>
      <c r="X150" s="180"/>
      <c r="Y150" s="118" t="b">
        <v>0</v>
      </c>
      <c r="Z150" s="169">
        <v>9.0</v>
      </c>
      <c r="AA150" s="196">
        <f t="shared" si="1"/>
        <v>0</v>
      </c>
      <c r="AB150" s="197" t="b">
        <f t="shared" si="2"/>
        <v>1</v>
      </c>
      <c r="AC150" s="247">
        <v>7.0</v>
      </c>
      <c r="AD150" s="169">
        <v>0.0</v>
      </c>
      <c r="AE150" s="169">
        <v>0.0</v>
      </c>
      <c r="AF150" s="169">
        <v>0.0</v>
      </c>
      <c r="AG150" s="169">
        <v>0.0</v>
      </c>
      <c r="AH150" s="169">
        <v>0.0</v>
      </c>
      <c r="AI150" s="169">
        <v>0.0</v>
      </c>
      <c r="AJ150" s="182" t="b">
        <v>0</v>
      </c>
      <c r="AK150" s="183">
        <v>7.0</v>
      </c>
      <c r="AL150" s="169">
        <v>0.0</v>
      </c>
      <c r="AM150" s="169">
        <v>0.0</v>
      </c>
      <c r="AN150" s="198" t="str">
        <f>IFNA(VLOOKUP($A150,'Tube Reactions'!$J$2:$K259,2,FALSE),"")</f>
        <v/>
      </c>
      <c r="AO150" s="199" t="str">
        <f t="shared" si="20"/>
        <v/>
      </c>
      <c r="AP150" s="186" t="str">
        <f t="shared" si="36"/>
        <v/>
      </c>
      <c r="AQ150" s="187" t="b">
        <f t="shared" si="5"/>
        <v>1</v>
      </c>
      <c r="AR150" s="188">
        <v>149.0</v>
      </c>
      <c r="AS150" s="189"/>
      <c r="AT150" s="55"/>
      <c r="AU150" s="110" t="s">
        <v>934</v>
      </c>
      <c r="AV150" s="169"/>
      <c r="AW150" s="118"/>
      <c r="AX150" s="190"/>
      <c r="AY150" s="48"/>
      <c r="BA150" s="191"/>
      <c r="BB150" s="18"/>
      <c r="BC150" s="18"/>
      <c r="BD150" s="48"/>
      <c r="BE150" s="192"/>
      <c r="BF150" s="76">
        <f t="shared" si="11"/>
        <v>44956</v>
      </c>
      <c r="BG150" s="114" t="str">
        <f t="shared" si="12"/>
        <v>RUN-ABRM_2023-01-30_RFR-149</v>
      </c>
      <c r="BH150" s="83">
        <f t="shared" si="13"/>
        <v>9</v>
      </c>
      <c r="BI150" s="83">
        <f t="shared" si="14"/>
        <v>7</v>
      </c>
      <c r="BJ150" s="83">
        <f t="shared" si="15"/>
        <v>7</v>
      </c>
      <c r="BK150" s="83">
        <f t="shared" si="16"/>
        <v>0</v>
      </c>
      <c r="BL150" s="200">
        <f>IFNA(IF(VLOOKUP(FLOOR($B150,1),'APS Tubes by Date IMPORT'!$B$2:$J259,1,FALSE)=FLOOR($BL149,1),IFERROR(0/0,""),VLOOKUP(FLOOR($B150,1),'APS Tubes by Date IMPORT'!$B$2:$J259,1,FALSE)),"")</f>
        <v>44956</v>
      </c>
      <c r="BM150" s="83">
        <f>IF(ISBLANK($BL150),IFERROR(0/0,""),VLOOKUP(FLOOR($B150,1),'APS Tubes by Date IMPORT'!$B$2:$J259,2,FALSE))</f>
        <v>7</v>
      </c>
      <c r="BN150" s="114"/>
      <c r="BO150" s="83" t="str">
        <f>VLOOKUP(FLOOR($B150,1),'APS Tubes by Date IMPORT'!$B150:$I259,6,FALSE)</f>
        <v>#N/A</v>
      </c>
      <c r="BP150" s="83">
        <v>7.0</v>
      </c>
      <c r="BQ150" s="193">
        <f t="shared" si="17"/>
        <v>0</v>
      </c>
      <c r="BR150" s="131">
        <v>3.0</v>
      </c>
      <c r="BS150" s="76" t="b">
        <f t="shared" si="18"/>
        <v>1</v>
      </c>
      <c r="BT150" s="194" t="str">
        <f t="shared" si="19"/>
        <v>Delete NULL</v>
      </c>
      <c r="BU150" s="249"/>
      <c r="BV150" s="249"/>
      <c r="BW150" s="249"/>
      <c r="BX150" s="249"/>
    </row>
    <row r="151">
      <c r="A151" s="18" t="str">
        <f>CONCATENATE("RUN-",'Process Ref'!$A$1,"_",TEXT(U151,"YYYY-MM-DD"),"_RFR-",TEXT(AR151,"000"),IF(EXACT(W151,"Initial"),"",CONCATENATE("_",W151)))</f>
        <v>RUN-ABRM_2023-02-06_RFR-150</v>
      </c>
      <c r="B151" s="251">
        <v>44963.39087236111</v>
      </c>
      <c r="C151" s="92"/>
      <c r="D151" s="92" t="s">
        <v>313</v>
      </c>
      <c r="E151" s="131">
        <v>8.0</v>
      </c>
      <c r="F151" s="92" t="s">
        <v>967</v>
      </c>
      <c r="G151" s="252" t="s">
        <v>968</v>
      </c>
      <c r="H151" s="252" t="s">
        <v>969</v>
      </c>
      <c r="I151" s="252" t="s">
        <v>970</v>
      </c>
      <c r="J151" s="172"/>
      <c r="K151" s="202" t="s">
        <v>971</v>
      </c>
      <c r="L151" s="246"/>
      <c r="M151" s="174"/>
      <c r="N151" s="174"/>
      <c r="O151" s="175"/>
      <c r="P151" s="118" t="b">
        <v>0</v>
      </c>
      <c r="Q151" s="118" t="b">
        <v>0</v>
      </c>
      <c r="R151" s="55"/>
      <c r="S151" s="118" t="b">
        <v>0</v>
      </c>
      <c r="T151" s="177" t="b">
        <v>0</v>
      </c>
      <c r="U151" s="178">
        <v>44963.0</v>
      </c>
      <c r="V151" s="179">
        <v>0.4166666666666667</v>
      </c>
      <c r="W151" s="110" t="s">
        <v>320</v>
      </c>
      <c r="X151" s="180"/>
      <c r="Y151" s="118" t="b">
        <v>0</v>
      </c>
      <c r="Z151" s="169">
        <v>8.0</v>
      </c>
      <c r="AA151" s="196">
        <f t="shared" si="1"/>
        <v>0</v>
      </c>
      <c r="AB151" s="197" t="b">
        <f t="shared" si="2"/>
        <v>1</v>
      </c>
      <c r="AC151" s="247">
        <v>6.0</v>
      </c>
      <c r="AD151" s="169">
        <v>0.0</v>
      </c>
      <c r="AE151" s="169">
        <v>0.0</v>
      </c>
      <c r="AF151" s="169">
        <v>0.0</v>
      </c>
      <c r="AG151" s="169">
        <v>0.0</v>
      </c>
      <c r="AH151" s="169">
        <v>0.0</v>
      </c>
      <c r="AI151" s="169">
        <v>0.0</v>
      </c>
      <c r="AJ151" s="182" t="b">
        <v>0</v>
      </c>
      <c r="AK151" s="183">
        <v>2.0</v>
      </c>
      <c r="AL151" s="169">
        <v>0.0</v>
      </c>
      <c r="AM151" s="169">
        <v>0.0</v>
      </c>
      <c r="AN151" s="198" t="str">
        <f>IFNA(VLOOKUP($A151,'Tube Reactions'!$J$2:$K259,2,FALSE),"")</f>
        <v/>
      </c>
      <c r="AO151" s="199" t="str">
        <f t="shared" si="20"/>
        <v/>
      </c>
      <c r="AP151" s="186" t="str">
        <f t="shared" si="36"/>
        <v/>
      </c>
      <c r="AQ151" s="187" t="b">
        <f t="shared" si="5"/>
        <v>1</v>
      </c>
      <c r="AR151" s="188">
        <v>150.0</v>
      </c>
      <c r="AS151" s="189"/>
      <c r="AT151" s="55"/>
      <c r="AU151" s="110" t="s">
        <v>934</v>
      </c>
      <c r="AV151" s="169"/>
      <c r="AW151" s="118"/>
      <c r="AX151" s="190"/>
      <c r="AY151" s="48"/>
      <c r="BA151" s="191"/>
      <c r="BB151" s="18"/>
      <c r="BC151" s="18"/>
      <c r="BD151" s="48"/>
      <c r="BE151" s="192"/>
      <c r="BF151" s="76">
        <f t="shared" si="11"/>
        <v>44963</v>
      </c>
      <c r="BG151" s="114" t="str">
        <f t="shared" si="12"/>
        <v>RUN-ABRM_2023-02-06_RFR-150</v>
      </c>
      <c r="BH151" s="83">
        <f t="shared" si="13"/>
        <v>8</v>
      </c>
      <c r="BI151" s="83">
        <f t="shared" si="14"/>
        <v>6</v>
      </c>
      <c r="BJ151" s="83">
        <f t="shared" si="15"/>
        <v>2</v>
      </c>
      <c r="BK151" s="83">
        <f t="shared" si="16"/>
        <v>0</v>
      </c>
      <c r="BL151" s="200">
        <f>IFNA(IF(VLOOKUP(FLOOR($B151,1),'APS Tubes by Date IMPORT'!$B$2:$J259,1,FALSE)=FLOOR($BL150,1),IFERROR(0/0,""),VLOOKUP(FLOOR($B151,1),'APS Tubes by Date IMPORT'!$B$2:$J259,1,FALSE)),"")</f>
        <v>44963</v>
      </c>
      <c r="BM151" s="83">
        <f>IF(ISBLANK($BL151),IFERROR(0/0,""),VLOOKUP(FLOOR($B151,1),'APS Tubes by Date IMPORT'!$B$2:$J259,2,FALSE))</f>
        <v>2</v>
      </c>
      <c r="BN151" s="114"/>
      <c r="BO151" s="83" t="str">
        <f>VLOOKUP(FLOOR($B151,1),'APS Tubes by Date IMPORT'!$B151:$I259,6,FALSE)</f>
        <v>#N/A</v>
      </c>
      <c r="BP151" s="83">
        <v>7.0</v>
      </c>
      <c r="BQ151" s="193">
        <f t="shared" si="17"/>
        <v>5</v>
      </c>
      <c r="BR151" s="131">
        <v>3.0</v>
      </c>
      <c r="BS151" s="76" t="b">
        <f t="shared" si="18"/>
        <v>1</v>
      </c>
      <c r="BT151" s="194" t="str">
        <f t="shared" si="19"/>
        <v>Delete NULL</v>
      </c>
      <c r="BU151" s="249"/>
      <c r="BV151" s="249"/>
      <c r="BW151" s="249"/>
      <c r="BX151" s="249"/>
    </row>
    <row r="152">
      <c r="A152" s="18" t="str">
        <f>CONCATENATE("RUN-",'Process Ref'!$A$1,"_",TEXT(U152,"YYYY-MM-DD"),"_RFR-",TEXT(AR152,"000"),IF(EXACT(W152,"Initial"),"",CONCATENATE("_",W152)))</f>
        <v>RUN-ABRM_2023-02-08_RFR-151</v>
      </c>
      <c r="B152" s="251">
        <v>44965.38285730324</v>
      </c>
      <c r="C152" s="92"/>
      <c r="D152" s="92" t="s">
        <v>313</v>
      </c>
      <c r="E152" s="131">
        <v>10.0</v>
      </c>
      <c r="F152" s="92" t="s">
        <v>972</v>
      </c>
      <c r="G152" s="252" t="s">
        <v>973</v>
      </c>
      <c r="H152" s="252" t="s">
        <v>974</v>
      </c>
      <c r="I152" s="252" t="s">
        <v>975</v>
      </c>
      <c r="J152" s="172">
        <v>1.0</v>
      </c>
      <c r="K152" s="202"/>
      <c r="L152" s="246"/>
      <c r="M152" s="174"/>
      <c r="N152" s="174"/>
      <c r="O152" s="175"/>
      <c r="P152" s="118" t="b">
        <v>0</v>
      </c>
      <c r="Q152" s="118" t="b">
        <v>0</v>
      </c>
      <c r="R152" s="55"/>
      <c r="S152" s="118" t="b">
        <v>0</v>
      </c>
      <c r="T152" s="177" t="b">
        <v>1</v>
      </c>
      <c r="U152" s="178">
        <v>44965.0</v>
      </c>
      <c r="V152" s="179">
        <v>0.4305555555555556</v>
      </c>
      <c r="W152" s="110" t="s">
        <v>320</v>
      </c>
      <c r="X152" s="180"/>
      <c r="Y152" s="118" t="b">
        <v>0</v>
      </c>
      <c r="Z152" s="169">
        <v>10.0</v>
      </c>
      <c r="AA152" s="196">
        <f t="shared" si="1"/>
        <v>0</v>
      </c>
      <c r="AB152" s="197" t="b">
        <f t="shared" si="2"/>
        <v>1</v>
      </c>
      <c r="AC152" s="247">
        <v>8.0</v>
      </c>
      <c r="AD152" s="169">
        <v>1.0</v>
      </c>
      <c r="AE152" s="169">
        <v>0.0</v>
      </c>
      <c r="AF152" s="169">
        <v>0.0</v>
      </c>
      <c r="AG152" s="169">
        <v>0.0</v>
      </c>
      <c r="AH152" s="169">
        <v>0.0</v>
      </c>
      <c r="AI152" s="169">
        <v>0.0</v>
      </c>
      <c r="AJ152" s="182" t="b">
        <v>0</v>
      </c>
      <c r="AK152" s="183">
        <v>8.0</v>
      </c>
      <c r="AL152" s="169">
        <v>1.1</v>
      </c>
      <c r="AM152" s="172" t="str">
        <f t="shared" ref="AM152:AM171" si="53">IF(EXACT(W152,"Initial"),"Audit","")</f>
        <v>Audit</v>
      </c>
      <c r="AN152" s="198" t="str">
        <f>IFNA(VLOOKUP($A152,'Tube Reactions'!$J$2:$K259,2,FALSE),"")</f>
        <v/>
      </c>
      <c r="AO152" s="199" t="str">
        <f t="shared" si="20"/>
        <v>NOT EQUAL</v>
      </c>
      <c r="AP152" s="186" t="str">
        <f t="shared" si="36"/>
        <v/>
      </c>
      <c r="AQ152" s="187" t="b">
        <f t="shared" si="5"/>
        <v>1</v>
      </c>
      <c r="AR152" s="188">
        <v>151.0</v>
      </c>
      <c r="AS152" s="189"/>
      <c r="AT152" s="55"/>
      <c r="AU152" s="110" t="s">
        <v>934</v>
      </c>
      <c r="AV152" s="169"/>
      <c r="AW152" s="118"/>
      <c r="AX152" s="190"/>
      <c r="AY152" s="48"/>
      <c r="BA152" s="191"/>
      <c r="BB152" s="18"/>
      <c r="BC152" s="18"/>
      <c r="BD152" s="48"/>
      <c r="BE152" s="192"/>
      <c r="BF152" s="76">
        <f t="shared" si="11"/>
        <v>44965</v>
      </c>
      <c r="BG152" s="114" t="str">
        <f t="shared" si="12"/>
        <v>RUN-ABRM_2023-02-08_RFR-151</v>
      </c>
      <c r="BH152" s="83">
        <f t="shared" si="13"/>
        <v>10</v>
      </c>
      <c r="BI152" s="83">
        <f t="shared" si="14"/>
        <v>8</v>
      </c>
      <c r="BJ152" s="83">
        <f t="shared" si="15"/>
        <v>8</v>
      </c>
      <c r="BK152" s="83">
        <f t="shared" si="16"/>
        <v>1.1</v>
      </c>
      <c r="BL152" s="200">
        <f>IFNA(IF(VLOOKUP(FLOOR($B152,1),'APS Tubes by Date IMPORT'!$B$2:$J259,1,FALSE)=FLOOR($BL151,1),IFERROR(0/0,""),VLOOKUP(FLOOR($B152,1),'APS Tubes by Date IMPORT'!$B$2:$J259,1,FALSE)),"")</f>
        <v>44965</v>
      </c>
      <c r="BM152" s="83">
        <f>IF(ISBLANK($BL152),IFERROR(0/0,""),VLOOKUP(FLOOR($B152,1),'APS Tubes by Date IMPORT'!$B$2:$J259,2,FALSE))</f>
        <v>8</v>
      </c>
      <c r="BN152" s="114"/>
      <c r="BO152" s="83" t="str">
        <f>VLOOKUP(FLOOR($B152,1),'APS Tubes by Date IMPORT'!$B152:$I259,6,FALSE)</f>
        <v>#N/A</v>
      </c>
      <c r="BP152" s="83">
        <v>7.0</v>
      </c>
      <c r="BQ152" s="193">
        <f t="shared" si="17"/>
        <v>-1</v>
      </c>
      <c r="BR152" s="131">
        <v>3.0</v>
      </c>
      <c r="BS152" s="76" t="b">
        <f t="shared" si="18"/>
        <v>1</v>
      </c>
      <c r="BT152" s="194" t="str">
        <f t="shared" si="19"/>
        <v>Delete NULL</v>
      </c>
      <c r="BU152" s="249"/>
      <c r="BV152" s="249"/>
      <c r="BW152" s="249"/>
      <c r="BX152" s="249"/>
    </row>
    <row r="153">
      <c r="A153" s="18" t="str">
        <f>CONCATENATE("RUN-",'Process Ref'!$A$1,"_",TEXT(U153,"YYYY-MM-DD"),"_RFR-",TEXT(AR153,"000"),IF(EXACT(W153,"Initial"),"",CONCATENATE("_",W153)))</f>
        <v>RUN-ABRM_2023-02-08_RFR-152_Re-run</v>
      </c>
      <c r="B153" s="251">
        <v>44965.40954047454</v>
      </c>
      <c r="C153" s="92"/>
      <c r="D153" s="92" t="s">
        <v>313</v>
      </c>
      <c r="E153" s="131">
        <v>5.0</v>
      </c>
      <c r="F153" s="92" t="s">
        <v>972</v>
      </c>
      <c r="G153" s="252" t="s">
        <v>976</v>
      </c>
      <c r="H153" s="252" t="s">
        <v>977</v>
      </c>
      <c r="I153" s="252" t="s">
        <v>978</v>
      </c>
      <c r="J153" s="172"/>
      <c r="K153" s="202" t="s">
        <v>979</v>
      </c>
      <c r="L153" s="246"/>
      <c r="M153" s="174"/>
      <c r="N153" s="174"/>
      <c r="O153" s="175"/>
      <c r="P153" s="118" t="b">
        <v>0</v>
      </c>
      <c r="Q153" s="118" t="b">
        <v>0</v>
      </c>
      <c r="R153" s="55"/>
      <c r="S153" s="118" t="b">
        <v>0</v>
      </c>
      <c r="T153" s="177" t="b">
        <v>1</v>
      </c>
      <c r="U153" s="178">
        <v>44965.0</v>
      </c>
      <c r="V153" s="179">
        <v>0.46597222222222223</v>
      </c>
      <c r="W153" s="110" t="s">
        <v>339</v>
      </c>
      <c r="X153" s="180"/>
      <c r="Y153" s="118" t="b">
        <v>0</v>
      </c>
      <c r="Z153" s="169">
        <v>5.0</v>
      </c>
      <c r="AA153" s="196">
        <f t="shared" si="1"/>
        <v>0</v>
      </c>
      <c r="AB153" s="197" t="b">
        <f t="shared" si="2"/>
        <v>1</v>
      </c>
      <c r="AC153" s="247">
        <v>3.0</v>
      </c>
      <c r="AD153" s="169">
        <v>0.0</v>
      </c>
      <c r="AE153" s="169">
        <v>0.0</v>
      </c>
      <c r="AF153" s="169">
        <v>0.0</v>
      </c>
      <c r="AG153" s="169">
        <v>0.0</v>
      </c>
      <c r="AH153" s="169">
        <v>0.0</v>
      </c>
      <c r="AI153" s="169">
        <v>0.0</v>
      </c>
      <c r="AJ153" s="182" t="b">
        <v>0</v>
      </c>
      <c r="AK153" s="183">
        <v>1.0</v>
      </c>
      <c r="AL153" s="169">
        <v>0.0</v>
      </c>
      <c r="AM153" s="172" t="str">
        <f t="shared" si="53"/>
        <v/>
      </c>
      <c r="AN153" s="198" t="str">
        <f>IFNA(VLOOKUP($A153,'Tube Reactions'!$J$2:$K259,2,FALSE),"")</f>
        <v/>
      </c>
      <c r="AO153" s="199" t="str">
        <f t="shared" si="20"/>
        <v/>
      </c>
      <c r="AP153" s="186" t="str">
        <f t="shared" si="36"/>
        <v/>
      </c>
      <c r="AQ153" s="187" t="b">
        <f t="shared" si="5"/>
        <v>1</v>
      </c>
      <c r="AR153" s="188">
        <v>152.0</v>
      </c>
      <c r="AS153" s="189"/>
      <c r="AT153" s="55"/>
      <c r="AU153" s="110" t="s">
        <v>934</v>
      </c>
      <c r="AV153" s="169"/>
      <c r="AW153" s="118"/>
      <c r="AX153" s="190"/>
      <c r="AY153" s="48"/>
      <c r="BA153" s="191"/>
      <c r="BB153" s="18"/>
      <c r="BC153" s="18"/>
      <c r="BD153" s="48"/>
      <c r="BE153" s="192"/>
      <c r="BF153" s="76" t="str">
        <f t="shared" si="11"/>
        <v/>
      </c>
      <c r="BG153" s="114" t="str">
        <f t="shared" si="12"/>
        <v/>
      </c>
      <c r="BH153" s="83" t="str">
        <f t="shared" si="13"/>
        <v/>
      </c>
      <c r="BI153" s="83" t="str">
        <f t="shared" si="14"/>
        <v/>
      </c>
      <c r="BJ153" s="83" t="str">
        <f t="shared" si="15"/>
        <v/>
      </c>
      <c r="BK153" s="83" t="str">
        <f t="shared" si="16"/>
        <v/>
      </c>
      <c r="BL153" s="200" t="str">
        <f>IFNA(IF(VLOOKUP(FLOOR($B153,1),'APS Tubes by Date IMPORT'!$B$2:$J259,1,FALSE)=FLOOR($BL152,1),IFERROR(0/0,""),VLOOKUP(FLOOR($B153,1),'APS Tubes by Date IMPORT'!$B$2:$J259,1,FALSE)),"")</f>
        <v/>
      </c>
      <c r="BM153" s="83" t="str">
        <f>IF(ISBLANK($BL153),IFERROR(0/0,""),VLOOKUP(FLOOR($B153,1),'APS Tubes by Date IMPORT'!$B$2:$J259,2,FALSE))</f>
        <v/>
      </c>
      <c r="BN153" s="114"/>
      <c r="BO153" s="83" t="str">
        <f>VLOOKUP(FLOOR($B153,1),'APS Tubes by Date IMPORT'!$B153:$I259,6,FALSE)</f>
        <v>#N/A</v>
      </c>
      <c r="BP153" s="83">
        <v>7.0</v>
      </c>
      <c r="BQ153" s="193">
        <f t="shared" si="17"/>
        <v>7</v>
      </c>
      <c r="BR153" s="131">
        <v>3.0</v>
      </c>
      <c r="BS153" s="76" t="b">
        <f t="shared" si="18"/>
        <v>1</v>
      </c>
      <c r="BT153" s="194" t="str">
        <f t="shared" si="19"/>
        <v>Delete NULL</v>
      </c>
      <c r="BU153" s="249"/>
      <c r="BV153" s="249"/>
      <c r="BW153" s="249"/>
      <c r="BX153" s="249"/>
    </row>
    <row r="154">
      <c r="A154" s="18" t="str">
        <f>CONCATENATE("RUN-",'Process Ref'!$A$1,"_",TEXT(U154,"YYYY-MM-DD"),"_RFR-",TEXT(AR154,"000"),IF(EXACT(W154,"Initial"),"",CONCATENATE("_",W154)))</f>
        <v>RUN-ABRM_2023-02-09_RFR-153</v>
      </c>
      <c r="B154" s="251">
        <v>44966.40044157408</v>
      </c>
      <c r="C154" s="92"/>
      <c r="D154" s="92" t="s">
        <v>313</v>
      </c>
      <c r="E154" s="131">
        <v>11.0</v>
      </c>
      <c r="F154" s="92" t="s">
        <v>980</v>
      </c>
      <c r="G154" s="252" t="s">
        <v>981</v>
      </c>
      <c r="H154" s="252" t="s">
        <v>982</v>
      </c>
      <c r="I154" s="252" t="s">
        <v>983</v>
      </c>
      <c r="J154" s="172"/>
      <c r="K154" s="202"/>
      <c r="L154" s="246"/>
      <c r="M154" s="174"/>
      <c r="N154" s="174"/>
      <c r="O154" s="175"/>
      <c r="P154" s="118" t="b">
        <v>0</v>
      </c>
      <c r="Q154" s="118" t="b">
        <v>0</v>
      </c>
      <c r="R154" s="55"/>
      <c r="S154" s="118" t="b">
        <v>0</v>
      </c>
      <c r="T154" s="177" t="b">
        <v>0</v>
      </c>
      <c r="U154" s="178">
        <v>44966.0</v>
      </c>
      <c r="V154" s="179">
        <v>0.4305555555555556</v>
      </c>
      <c r="W154" s="110" t="s">
        <v>320</v>
      </c>
      <c r="X154" s="180"/>
      <c r="Y154" s="118" t="b">
        <v>0</v>
      </c>
      <c r="Z154" s="169">
        <v>11.0</v>
      </c>
      <c r="AA154" s="196">
        <f t="shared" si="1"/>
        <v>0</v>
      </c>
      <c r="AB154" s="197" t="b">
        <f t="shared" si="2"/>
        <v>1</v>
      </c>
      <c r="AC154" s="247">
        <v>9.0</v>
      </c>
      <c r="AD154" s="169">
        <v>0.0</v>
      </c>
      <c r="AE154" s="169">
        <v>0.0</v>
      </c>
      <c r="AF154" s="169">
        <v>0.0</v>
      </c>
      <c r="AG154" s="169">
        <v>0.0</v>
      </c>
      <c r="AH154" s="169">
        <v>0.0</v>
      </c>
      <c r="AI154" s="169">
        <v>0.0</v>
      </c>
      <c r="AJ154" s="182" t="b">
        <v>0</v>
      </c>
      <c r="AK154" s="183">
        <v>9.0</v>
      </c>
      <c r="AL154" s="169">
        <v>0.0</v>
      </c>
      <c r="AM154" s="172" t="str">
        <f t="shared" si="53"/>
        <v>Audit</v>
      </c>
      <c r="AN154" s="198" t="str">
        <f>IFNA(VLOOKUP($A154,'Tube Reactions'!$J$2:$K259,2,FALSE),"")</f>
        <v/>
      </c>
      <c r="AO154" s="199" t="str">
        <f t="shared" si="20"/>
        <v>NOT EQUAL</v>
      </c>
      <c r="AP154" s="186" t="str">
        <f t="shared" si="36"/>
        <v/>
      </c>
      <c r="AQ154" s="187" t="b">
        <f t="shared" si="5"/>
        <v>1</v>
      </c>
      <c r="AR154" s="188">
        <v>153.0</v>
      </c>
      <c r="AS154" s="189"/>
      <c r="AT154" s="55"/>
      <c r="AU154" s="110" t="s">
        <v>934</v>
      </c>
      <c r="AV154" s="169"/>
      <c r="AW154" s="118"/>
      <c r="AX154" s="190"/>
      <c r="AY154" s="48"/>
      <c r="BA154" s="191"/>
      <c r="BB154" s="18"/>
      <c r="BC154" s="18"/>
      <c r="BD154" s="48"/>
      <c r="BE154" s="192"/>
      <c r="BF154" s="76">
        <f t="shared" si="11"/>
        <v>44966</v>
      </c>
      <c r="BG154" s="114" t="str">
        <f t="shared" si="12"/>
        <v>RUN-ABRM_2023-02-09_RFR-153</v>
      </c>
      <c r="BH154" s="83">
        <f t="shared" si="13"/>
        <v>11</v>
      </c>
      <c r="BI154" s="83">
        <f t="shared" si="14"/>
        <v>9</v>
      </c>
      <c r="BJ154" s="83">
        <f t="shared" si="15"/>
        <v>9</v>
      </c>
      <c r="BK154" s="83">
        <f t="shared" si="16"/>
        <v>0</v>
      </c>
      <c r="BL154" s="200">
        <f>IFNA(IF(VLOOKUP(FLOOR($B154,1),'APS Tubes by Date IMPORT'!$B$2:$J259,1,FALSE)=FLOOR($BL153,1),IFERROR(0/0,""),VLOOKUP(FLOOR($B154,1),'APS Tubes by Date IMPORT'!$B$2:$J259,1,FALSE)),"")</f>
        <v>44966</v>
      </c>
      <c r="BM154" s="83">
        <f>IF(ISBLANK($BL154),IFERROR(0/0,""),VLOOKUP(FLOOR($B154,1),'APS Tubes by Date IMPORT'!$B$2:$J259,2,FALSE))</f>
        <v>9</v>
      </c>
      <c r="BN154" s="114"/>
      <c r="BO154" s="83" t="str">
        <f>VLOOKUP(FLOOR($B154,1),'APS Tubes by Date IMPORT'!$B154:$I259,6,FALSE)</f>
        <v>#N/A</v>
      </c>
      <c r="BP154" s="83">
        <v>7.0</v>
      </c>
      <c r="BQ154" s="193">
        <f t="shared" si="17"/>
        <v>-2</v>
      </c>
      <c r="BR154" s="131">
        <v>3.0</v>
      </c>
      <c r="BS154" s="76" t="b">
        <f t="shared" si="18"/>
        <v>1</v>
      </c>
      <c r="BT154" s="194" t="str">
        <f t="shared" si="19"/>
        <v>Delete NULL</v>
      </c>
      <c r="BU154" s="249"/>
      <c r="BV154" s="249"/>
      <c r="BW154" s="249"/>
      <c r="BX154" s="249"/>
    </row>
    <row r="155">
      <c r="A155" s="18" t="str">
        <f>CONCATENATE("RUN-",'Process Ref'!$A$1,"_",TEXT(U155,"YYYY-MM-DD"),"_RFR-",TEXT(AR155,"000"),IF(EXACT(W155,"Initial"),"",CONCATENATE("_",W155)))</f>
        <v>RUN-ABRM_2023-02-10_RFR-154</v>
      </c>
      <c r="B155" s="251">
        <v>44967.40403363426</v>
      </c>
      <c r="C155" s="92"/>
      <c r="D155" s="92" t="s">
        <v>313</v>
      </c>
      <c r="E155" s="131">
        <v>10.0</v>
      </c>
      <c r="F155" s="92" t="s">
        <v>984</v>
      </c>
      <c r="G155" s="252" t="s">
        <v>985</v>
      </c>
      <c r="H155" s="252" t="s">
        <v>986</v>
      </c>
      <c r="I155" s="252" t="s">
        <v>987</v>
      </c>
      <c r="J155" s="172">
        <v>1.0</v>
      </c>
      <c r="K155" s="202"/>
      <c r="L155" s="246"/>
      <c r="M155" s="174"/>
      <c r="N155" s="174"/>
      <c r="O155" s="175"/>
      <c r="P155" s="118" t="b">
        <v>0</v>
      </c>
      <c r="Q155" s="118" t="b">
        <v>0</v>
      </c>
      <c r="R155" s="55"/>
      <c r="S155" s="118" t="b">
        <v>0</v>
      </c>
      <c r="T155" s="177" t="b">
        <v>1</v>
      </c>
      <c r="U155" s="178">
        <v>44967.0</v>
      </c>
      <c r="V155" s="179">
        <v>0.4444444444444444</v>
      </c>
      <c r="W155" s="110" t="s">
        <v>320</v>
      </c>
      <c r="X155" s="180"/>
      <c r="Y155" s="118" t="b">
        <v>0</v>
      </c>
      <c r="Z155" s="169">
        <v>10.0</v>
      </c>
      <c r="AA155" s="196">
        <f t="shared" si="1"/>
        <v>0</v>
      </c>
      <c r="AB155" s="197" t="b">
        <f t="shared" si="2"/>
        <v>1</v>
      </c>
      <c r="AC155" s="247">
        <v>8.0</v>
      </c>
      <c r="AD155" s="169">
        <v>1.0</v>
      </c>
      <c r="AE155" s="169">
        <v>1.0</v>
      </c>
      <c r="AF155" s="169">
        <v>0.0</v>
      </c>
      <c r="AG155" s="169">
        <v>0.0</v>
      </c>
      <c r="AH155" s="169">
        <v>0.0</v>
      </c>
      <c r="AI155" s="169">
        <v>0.0</v>
      </c>
      <c r="AJ155" s="182" t="b">
        <v>0</v>
      </c>
      <c r="AK155" s="183">
        <v>8.0</v>
      </c>
      <c r="AL155" s="169">
        <v>1.1</v>
      </c>
      <c r="AM155" s="172" t="str">
        <f t="shared" si="53"/>
        <v>Audit</v>
      </c>
      <c r="AN155" s="198" t="str">
        <f>IFNA(VLOOKUP($A155,'Tube Reactions'!$J$2:$K259,2,FALSE),"")</f>
        <v/>
      </c>
      <c r="AO155" s="199" t="str">
        <f t="shared" si="20"/>
        <v>NOT EQUAL</v>
      </c>
      <c r="AP155" s="186" t="str">
        <f t="shared" si="36"/>
        <v/>
      </c>
      <c r="AQ155" s="187" t="b">
        <f t="shared" si="5"/>
        <v>1</v>
      </c>
      <c r="AR155" s="188">
        <v>154.0</v>
      </c>
      <c r="AS155" s="189"/>
      <c r="AT155" s="55"/>
      <c r="AU155" s="110" t="s">
        <v>934</v>
      </c>
      <c r="AV155" s="169"/>
      <c r="AW155" s="118"/>
      <c r="AX155" s="190"/>
      <c r="AY155" s="48"/>
      <c r="BA155" s="191"/>
      <c r="BB155" s="18"/>
      <c r="BC155" s="18"/>
      <c r="BD155" s="48"/>
      <c r="BE155" s="192"/>
      <c r="BF155" s="76">
        <f t="shared" si="11"/>
        <v>44967</v>
      </c>
      <c r="BG155" s="114" t="str">
        <f t="shared" si="12"/>
        <v>RUN-ABRM_2023-02-10_RFR-154</v>
      </c>
      <c r="BH155" s="83">
        <f t="shared" si="13"/>
        <v>10</v>
      </c>
      <c r="BI155" s="83">
        <f t="shared" si="14"/>
        <v>8</v>
      </c>
      <c r="BJ155" s="83">
        <f t="shared" si="15"/>
        <v>8</v>
      </c>
      <c r="BK155" s="83">
        <f t="shared" si="16"/>
        <v>1.1</v>
      </c>
      <c r="BL155" s="200">
        <f>IFNA(IF(VLOOKUP(FLOOR($B155,1),'APS Tubes by Date IMPORT'!$B$2:$J259,1,FALSE)=FLOOR($BL154,1),IFERROR(0/0,""),VLOOKUP(FLOOR($B155,1),'APS Tubes by Date IMPORT'!$B$2:$J259,1,FALSE)),"")</f>
        <v>44967</v>
      </c>
      <c r="BM155" s="83">
        <f>IF(ISBLANK($BL155),IFERROR(0/0,""),VLOOKUP(FLOOR($B155,1),'APS Tubes by Date IMPORT'!$B$2:$J259,2,FALSE))</f>
        <v>8</v>
      </c>
      <c r="BN155" s="114"/>
      <c r="BO155" s="83" t="str">
        <f>VLOOKUP(FLOOR($B155,1),'APS Tubes by Date IMPORT'!$B155:$I259,6,FALSE)</f>
        <v>#N/A</v>
      </c>
      <c r="BP155" s="83">
        <v>7.0</v>
      </c>
      <c r="BQ155" s="193">
        <f t="shared" si="17"/>
        <v>-1</v>
      </c>
      <c r="BR155" s="131">
        <v>3.0</v>
      </c>
      <c r="BS155" s="76" t="b">
        <f t="shared" si="18"/>
        <v>1</v>
      </c>
      <c r="BT155" s="194" t="str">
        <f t="shared" si="19"/>
        <v>Delete NULL</v>
      </c>
      <c r="BU155" s="249"/>
      <c r="BV155" s="249"/>
      <c r="BW155" s="249"/>
      <c r="BX155" s="249"/>
    </row>
    <row r="156">
      <c r="A156" s="18" t="str">
        <f>CONCATENATE("RUN-",'Process Ref'!$A$1,"_",TEXT(U156,"YYYY-MM-DD"),"_RFR-",TEXT(AR156,"000"),IF(EXACT(W156,"Initial"),"",CONCATENATE("_",W156)))</f>
        <v>RUN-ABRM_2023-02-10_RFR-155_Re-run</v>
      </c>
      <c r="B156" s="251">
        <v>44967.4323587963</v>
      </c>
      <c r="C156" s="92"/>
      <c r="D156" s="92" t="s">
        <v>313</v>
      </c>
      <c r="E156" s="131">
        <v>5.0</v>
      </c>
      <c r="F156" s="92" t="s">
        <v>984</v>
      </c>
      <c r="G156" s="252" t="s">
        <v>988</v>
      </c>
      <c r="H156" s="252" t="s">
        <v>989</v>
      </c>
      <c r="I156" s="252" t="s">
        <v>990</v>
      </c>
      <c r="J156" s="172"/>
      <c r="K156" s="202" t="s">
        <v>991</v>
      </c>
      <c r="L156" s="246"/>
      <c r="M156" s="174"/>
      <c r="N156" s="174"/>
      <c r="O156" s="175"/>
      <c r="P156" s="118" t="b">
        <v>0</v>
      </c>
      <c r="Q156" s="118" t="b">
        <v>0</v>
      </c>
      <c r="R156" s="55"/>
      <c r="S156" s="118" t="b">
        <v>0</v>
      </c>
      <c r="T156" s="177" t="b">
        <v>1</v>
      </c>
      <c r="U156" s="178">
        <v>44967.0</v>
      </c>
      <c r="V156" s="179">
        <v>0.4875</v>
      </c>
      <c r="W156" s="110" t="s">
        <v>339</v>
      </c>
      <c r="X156" s="180"/>
      <c r="Y156" s="118" t="b">
        <v>0</v>
      </c>
      <c r="Z156" s="169">
        <v>5.0</v>
      </c>
      <c r="AA156" s="196">
        <f t="shared" si="1"/>
        <v>0</v>
      </c>
      <c r="AB156" s="197" t="b">
        <f t="shared" si="2"/>
        <v>1</v>
      </c>
      <c r="AC156" s="247">
        <v>5.0</v>
      </c>
      <c r="AD156" s="169">
        <v>0.0</v>
      </c>
      <c r="AE156" s="169">
        <v>0.0</v>
      </c>
      <c r="AF156" s="169">
        <v>0.0</v>
      </c>
      <c r="AG156" s="169">
        <v>0.0</v>
      </c>
      <c r="AH156" s="169">
        <v>0.0</v>
      </c>
      <c r="AI156" s="169">
        <v>0.0</v>
      </c>
      <c r="AJ156" s="182" t="b">
        <v>0</v>
      </c>
      <c r="AK156" s="183">
        <v>1.0</v>
      </c>
      <c r="AL156" s="169">
        <v>0.0</v>
      </c>
      <c r="AM156" s="172" t="str">
        <f t="shared" si="53"/>
        <v/>
      </c>
      <c r="AN156" s="198" t="str">
        <f>IFNA(VLOOKUP($A156,'Tube Reactions'!$J$2:$K259,2,FALSE),"")</f>
        <v/>
      </c>
      <c r="AO156" s="199" t="str">
        <f t="shared" si="20"/>
        <v/>
      </c>
      <c r="AP156" s="186" t="str">
        <f t="shared" si="36"/>
        <v/>
      </c>
      <c r="AQ156" s="187" t="b">
        <f t="shared" si="5"/>
        <v>1</v>
      </c>
      <c r="AR156" s="188">
        <v>155.0</v>
      </c>
      <c r="AS156" s="189"/>
      <c r="AT156" s="55"/>
      <c r="AU156" s="110" t="s">
        <v>934</v>
      </c>
      <c r="AV156" s="169"/>
      <c r="AW156" s="118"/>
      <c r="AX156" s="190"/>
      <c r="AY156" s="48"/>
      <c r="BA156" s="191"/>
      <c r="BB156" s="18"/>
      <c r="BC156" s="18"/>
      <c r="BD156" s="48"/>
      <c r="BE156" s="192"/>
      <c r="BF156" s="76" t="str">
        <f t="shared" si="11"/>
        <v/>
      </c>
      <c r="BG156" s="114" t="str">
        <f t="shared" si="12"/>
        <v/>
      </c>
      <c r="BH156" s="83" t="str">
        <f t="shared" si="13"/>
        <v/>
      </c>
      <c r="BI156" s="83" t="str">
        <f t="shared" si="14"/>
        <v/>
      </c>
      <c r="BJ156" s="83" t="str">
        <f t="shared" si="15"/>
        <v/>
      </c>
      <c r="BK156" s="83" t="str">
        <f t="shared" si="16"/>
        <v/>
      </c>
      <c r="BL156" s="200" t="str">
        <f>IFNA(IF(VLOOKUP(FLOOR($B156,1),'APS Tubes by Date IMPORT'!$B$2:$J259,1,FALSE)=FLOOR($BL155,1),IFERROR(0/0,""),VLOOKUP(FLOOR($B156,1),'APS Tubes by Date IMPORT'!$B$2:$J259,1,FALSE)),"")</f>
        <v/>
      </c>
      <c r="BM156" s="83" t="str">
        <f>IF(ISBLANK($BL156),IFERROR(0/0,""),VLOOKUP(FLOOR($B156,1),'APS Tubes by Date IMPORT'!$B$2:$J259,2,FALSE))</f>
        <v/>
      </c>
      <c r="BN156" s="114"/>
      <c r="BO156" s="83" t="str">
        <f>VLOOKUP(FLOOR($B156,1),'APS Tubes by Date IMPORT'!$B156:$I259,6,FALSE)</f>
        <v>#N/A</v>
      </c>
      <c r="BP156" s="83">
        <v>7.0</v>
      </c>
      <c r="BQ156" s="193">
        <f t="shared" si="17"/>
        <v>7</v>
      </c>
      <c r="BR156" s="131">
        <v>3.0</v>
      </c>
      <c r="BS156" s="76" t="b">
        <f t="shared" si="18"/>
        <v>1</v>
      </c>
      <c r="BT156" s="194" t="str">
        <f t="shared" si="19"/>
        <v>Delete NULL</v>
      </c>
      <c r="BU156" s="249"/>
      <c r="BV156" s="249"/>
      <c r="BW156" s="249"/>
      <c r="BX156" s="249"/>
    </row>
    <row r="157">
      <c r="A157" s="18" t="str">
        <f>CONCATENATE("RUN-",'Process Ref'!$A$1,"_",TEXT(U157,"YYYY-MM-DD"),"_RFR-",TEXT(AR157,"000"),IF(EXACT(W157,"Initial"),"",CONCATENATE("_",W157)))</f>
        <v>RUN-ABRM_2023-02-13_RFR-156</v>
      </c>
      <c r="B157" s="251">
        <v>44970.43258537037</v>
      </c>
      <c r="C157" s="92"/>
      <c r="D157" s="92" t="s">
        <v>313</v>
      </c>
      <c r="E157" s="131">
        <v>11.0</v>
      </c>
      <c r="F157" s="92" t="s">
        <v>992</v>
      </c>
      <c r="G157" s="252" t="s">
        <v>993</v>
      </c>
      <c r="H157" s="252" t="s">
        <v>994</v>
      </c>
      <c r="I157" s="252" t="s">
        <v>995</v>
      </c>
      <c r="J157" s="172">
        <v>1.0</v>
      </c>
      <c r="K157" s="202"/>
      <c r="L157" s="246"/>
      <c r="M157" s="174"/>
      <c r="N157" s="174"/>
      <c r="O157" s="175"/>
      <c r="P157" s="118" t="b">
        <v>0</v>
      </c>
      <c r="Q157" s="118" t="b">
        <v>0</v>
      </c>
      <c r="R157" s="55"/>
      <c r="S157" s="118" t="b">
        <v>0</v>
      </c>
      <c r="T157" s="177" t="b">
        <v>1</v>
      </c>
      <c r="U157" s="178">
        <v>44970.0</v>
      </c>
      <c r="V157" s="179">
        <v>0.4166666666666667</v>
      </c>
      <c r="W157" s="110" t="s">
        <v>320</v>
      </c>
      <c r="X157" s="180"/>
      <c r="Y157" s="118" t="b">
        <v>0</v>
      </c>
      <c r="Z157" s="169">
        <v>11.0</v>
      </c>
      <c r="AA157" s="196">
        <f t="shared" si="1"/>
        <v>0</v>
      </c>
      <c r="AB157" s="197" t="b">
        <f t="shared" si="2"/>
        <v>1</v>
      </c>
      <c r="AC157" s="247">
        <v>9.0</v>
      </c>
      <c r="AD157" s="169">
        <v>1.0</v>
      </c>
      <c r="AE157" s="169">
        <v>1.0</v>
      </c>
      <c r="AF157" s="169">
        <v>0.0</v>
      </c>
      <c r="AG157" s="169">
        <v>0.0</v>
      </c>
      <c r="AH157" s="169">
        <v>0.0</v>
      </c>
      <c r="AI157" s="169">
        <v>0.0</v>
      </c>
      <c r="AJ157" s="182" t="b">
        <v>0</v>
      </c>
      <c r="AK157" s="183">
        <v>9.0</v>
      </c>
      <c r="AL157" s="169">
        <v>1.1</v>
      </c>
      <c r="AM157" s="172" t="str">
        <f t="shared" si="53"/>
        <v>Audit</v>
      </c>
      <c r="AN157" s="198" t="str">
        <f>IFNA(VLOOKUP($A157,'Tube Reactions'!$J$2:$K259,2,FALSE),"")</f>
        <v/>
      </c>
      <c r="AO157" s="199" t="str">
        <f t="shared" si="20"/>
        <v>NOT EQUAL</v>
      </c>
      <c r="AP157" s="186" t="str">
        <f t="shared" si="36"/>
        <v/>
      </c>
      <c r="AQ157" s="187" t="b">
        <f t="shared" si="5"/>
        <v>1</v>
      </c>
      <c r="AR157" s="188">
        <v>156.0</v>
      </c>
      <c r="AS157" s="189"/>
      <c r="AT157" s="55"/>
      <c r="AU157" s="110" t="s">
        <v>934</v>
      </c>
      <c r="AV157" s="169"/>
      <c r="AW157" s="118"/>
      <c r="AX157" s="190"/>
      <c r="AY157" s="48"/>
      <c r="BA157" s="191"/>
      <c r="BB157" s="18"/>
      <c r="BC157" s="18"/>
      <c r="BD157" s="48"/>
      <c r="BE157" s="192"/>
      <c r="BF157" s="76">
        <f t="shared" si="11"/>
        <v>44970</v>
      </c>
      <c r="BG157" s="114" t="str">
        <f t="shared" si="12"/>
        <v>RUN-ABRM_2023-02-13_RFR-156</v>
      </c>
      <c r="BH157" s="83">
        <f t="shared" si="13"/>
        <v>11</v>
      </c>
      <c r="BI157" s="83">
        <f t="shared" si="14"/>
        <v>9</v>
      </c>
      <c r="BJ157" s="83">
        <f t="shared" si="15"/>
        <v>9</v>
      </c>
      <c r="BK157" s="83">
        <f t="shared" si="16"/>
        <v>1.1</v>
      </c>
      <c r="BL157" s="200">
        <f>IFNA(IF(VLOOKUP(FLOOR($B157,1),'APS Tubes by Date IMPORT'!$B$2:$J259,1,FALSE)=FLOOR($BL156,1),IFERROR(0/0,""),VLOOKUP(FLOOR($B157,1),'APS Tubes by Date IMPORT'!$B$2:$J259,1,FALSE)),"")</f>
        <v>44970</v>
      </c>
      <c r="BM157" s="83">
        <f>IF(ISBLANK($BL157),IFERROR(0/0,""),VLOOKUP(FLOOR($B157,1),'APS Tubes by Date IMPORT'!$B$2:$J259,2,FALSE))</f>
        <v>9</v>
      </c>
      <c r="BN157" s="114"/>
      <c r="BO157" s="83" t="str">
        <f>VLOOKUP(FLOOR($B157,1),'APS Tubes by Date IMPORT'!$B157:$I259,6,FALSE)</f>
        <v>#N/A</v>
      </c>
      <c r="BP157" s="83">
        <v>7.0</v>
      </c>
      <c r="BQ157" s="193">
        <f t="shared" si="17"/>
        <v>-2</v>
      </c>
      <c r="BR157" s="131">
        <v>3.0</v>
      </c>
      <c r="BS157" s="76" t="b">
        <f t="shared" si="18"/>
        <v>1</v>
      </c>
      <c r="BT157" s="194" t="str">
        <f t="shared" si="19"/>
        <v>Delete NULL</v>
      </c>
      <c r="BU157" s="249"/>
      <c r="BV157" s="249"/>
      <c r="BW157" s="249"/>
      <c r="BX157" s="249"/>
    </row>
    <row r="158">
      <c r="A158" s="18" t="str">
        <f>CONCATENATE("RUN-",'Process Ref'!$A$1,"_",TEXT(U158,"YYYY-MM-DD"),"_RFR-",TEXT(AR158,"000"),IF(EXACT(W158,"Initial"),"",CONCATENATE("_",W158)))</f>
        <v>RUN-ABRM_2023-02-13_RFR-157_Re-run</v>
      </c>
      <c r="B158" s="251">
        <v>44970.434234375</v>
      </c>
      <c r="C158" s="92"/>
      <c r="D158" s="92" t="s">
        <v>313</v>
      </c>
      <c r="E158" s="131">
        <v>5.0</v>
      </c>
      <c r="F158" s="92" t="s">
        <v>992</v>
      </c>
      <c r="G158" s="252" t="s">
        <v>996</v>
      </c>
      <c r="H158" s="252" t="s">
        <v>997</v>
      </c>
      <c r="I158" s="252" t="s">
        <v>998</v>
      </c>
      <c r="J158" s="172"/>
      <c r="K158" s="202" t="s">
        <v>999</v>
      </c>
      <c r="L158" s="246"/>
      <c r="M158" s="174"/>
      <c r="N158" s="174"/>
      <c r="O158" s="175"/>
      <c r="P158" s="118" t="b">
        <v>0</v>
      </c>
      <c r="Q158" s="118" t="b">
        <v>0</v>
      </c>
      <c r="R158" s="55"/>
      <c r="S158" s="118" t="b">
        <v>0</v>
      </c>
      <c r="T158" s="177" t="b">
        <v>1</v>
      </c>
      <c r="U158" s="178">
        <v>44970.0</v>
      </c>
      <c r="V158" s="179">
        <v>0.46875</v>
      </c>
      <c r="W158" s="110" t="s">
        <v>339</v>
      </c>
      <c r="X158" s="180"/>
      <c r="Y158" s="118" t="b">
        <v>0</v>
      </c>
      <c r="Z158" s="169">
        <v>5.0</v>
      </c>
      <c r="AA158" s="196">
        <f t="shared" si="1"/>
        <v>0</v>
      </c>
      <c r="AB158" s="197" t="b">
        <f t="shared" si="2"/>
        <v>1</v>
      </c>
      <c r="AC158" s="247">
        <v>3.0</v>
      </c>
      <c r="AD158" s="169">
        <v>0.0</v>
      </c>
      <c r="AE158" s="169">
        <v>0.0</v>
      </c>
      <c r="AF158" s="169">
        <v>0.0</v>
      </c>
      <c r="AG158" s="169">
        <v>0.0</v>
      </c>
      <c r="AH158" s="169">
        <v>0.0</v>
      </c>
      <c r="AI158" s="169">
        <v>0.0</v>
      </c>
      <c r="AJ158" s="182" t="b">
        <v>0</v>
      </c>
      <c r="AK158" s="183">
        <v>1.0</v>
      </c>
      <c r="AL158" s="169">
        <v>0.0</v>
      </c>
      <c r="AM158" s="172" t="str">
        <f t="shared" si="53"/>
        <v/>
      </c>
      <c r="AN158" s="198" t="str">
        <f>IFNA(VLOOKUP($A158,'Tube Reactions'!$J$2:$K259,2,FALSE),"")</f>
        <v/>
      </c>
      <c r="AO158" s="199" t="str">
        <f t="shared" si="20"/>
        <v/>
      </c>
      <c r="AP158" s="186" t="str">
        <f t="shared" si="36"/>
        <v/>
      </c>
      <c r="AQ158" s="187" t="b">
        <f t="shared" si="5"/>
        <v>1</v>
      </c>
      <c r="AR158" s="188">
        <v>157.0</v>
      </c>
      <c r="AS158" s="189"/>
      <c r="AT158" s="55"/>
      <c r="AU158" s="110" t="s">
        <v>934</v>
      </c>
      <c r="AV158" s="169"/>
      <c r="AW158" s="118"/>
      <c r="AX158" s="190"/>
      <c r="AY158" s="48"/>
      <c r="BA158" s="191"/>
      <c r="BB158" s="18"/>
      <c r="BC158" s="18"/>
      <c r="BD158" s="48"/>
      <c r="BE158" s="192"/>
      <c r="BF158" s="76" t="str">
        <f t="shared" si="11"/>
        <v/>
      </c>
      <c r="BG158" s="114" t="str">
        <f t="shared" si="12"/>
        <v/>
      </c>
      <c r="BH158" s="83" t="str">
        <f t="shared" si="13"/>
        <v/>
      </c>
      <c r="BI158" s="83" t="str">
        <f t="shared" si="14"/>
        <v/>
      </c>
      <c r="BJ158" s="83" t="str">
        <f t="shared" si="15"/>
        <v/>
      </c>
      <c r="BK158" s="83" t="str">
        <f t="shared" si="16"/>
        <v/>
      </c>
      <c r="BL158" s="200" t="str">
        <f>IFNA(IF(VLOOKUP(FLOOR($B158,1),'APS Tubes by Date IMPORT'!$B$2:$J259,1,FALSE)=FLOOR($BL157,1),IFERROR(0/0,""),VLOOKUP(FLOOR($B158,1),'APS Tubes by Date IMPORT'!$B$2:$J259,1,FALSE)),"")</f>
        <v/>
      </c>
      <c r="BM158" s="83" t="str">
        <f>IF(ISBLANK($BL158),IFERROR(0/0,""),VLOOKUP(FLOOR($B158,1),'APS Tubes by Date IMPORT'!$B$2:$J259,2,FALSE))</f>
        <v/>
      </c>
      <c r="BN158" s="114"/>
      <c r="BO158" s="83" t="str">
        <f>VLOOKUP(FLOOR($B158,1),'APS Tubes by Date IMPORT'!$B158:$I259,6,FALSE)</f>
        <v>#N/A</v>
      </c>
      <c r="BP158" s="83">
        <v>7.0</v>
      </c>
      <c r="BQ158" s="193">
        <f t="shared" si="17"/>
        <v>7</v>
      </c>
      <c r="BR158" s="131">
        <v>3.0</v>
      </c>
      <c r="BS158" s="76" t="b">
        <f t="shared" si="18"/>
        <v>1</v>
      </c>
      <c r="BT158" s="194" t="str">
        <f t="shared" si="19"/>
        <v>Delete NULL</v>
      </c>
      <c r="BU158" s="249"/>
      <c r="BV158" s="249"/>
      <c r="BW158" s="249"/>
      <c r="BX158" s="249"/>
    </row>
    <row r="159">
      <c r="A159" s="18" t="str">
        <f>CONCATENATE("RUN-",'Process Ref'!$A$1,"_",TEXT(U159,"YYYY-MM-DD"),"_RFR-",TEXT(AR159,"000"),IF(EXACT(W159,"Initial"),"",CONCATENATE("_",W159)))</f>
        <v>RUN-ABRM_2023-02-14_RFR-158</v>
      </c>
      <c r="B159" s="251">
        <v>44971.388522071764</v>
      </c>
      <c r="C159" s="92"/>
      <c r="D159" s="92" t="s">
        <v>313</v>
      </c>
      <c r="E159" s="131">
        <v>10.0</v>
      </c>
      <c r="F159" s="92" t="s">
        <v>1000</v>
      </c>
      <c r="G159" s="252" t="s">
        <v>1001</v>
      </c>
      <c r="H159" s="252" t="s">
        <v>1002</v>
      </c>
      <c r="I159" s="252" t="s">
        <v>1003</v>
      </c>
      <c r="J159" s="172">
        <v>1.0</v>
      </c>
      <c r="K159" s="202" t="s">
        <v>1004</v>
      </c>
      <c r="L159" s="246"/>
      <c r="M159" s="174"/>
      <c r="N159" s="174"/>
      <c r="O159" s="175"/>
      <c r="P159" s="118" t="b">
        <v>0</v>
      </c>
      <c r="Q159" s="176" t="b">
        <v>1</v>
      </c>
      <c r="R159" s="55"/>
      <c r="S159" s="118" t="b">
        <v>0</v>
      </c>
      <c r="T159" s="177" t="b">
        <v>1</v>
      </c>
      <c r="U159" s="178">
        <v>44971.0</v>
      </c>
      <c r="V159" s="179">
        <v>0.4166666666666667</v>
      </c>
      <c r="W159" s="110" t="s">
        <v>320</v>
      </c>
      <c r="X159" s="203" t="s">
        <v>1005</v>
      </c>
      <c r="Y159" s="118" t="b">
        <v>0</v>
      </c>
      <c r="Z159" s="169">
        <v>10.0</v>
      </c>
      <c r="AA159" s="196">
        <f t="shared" si="1"/>
        <v>0</v>
      </c>
      <c r="AB159" s="197" t="b">
        <f t="shared" si="2"/>
        <v>1</v>
      </c>
      <c r="AC159" s="247">
        <v>8.0</v>
      </c>
      <c r="AD159" s="169">
        <v>1.0</v>
      </c>
      <c r="AE159" s="169">
        <v>1.0</v>
      </c>
      <c r="AF159" s="169">
        <v>0.0</v>
      </c>
      <c r="AG159" s="169">
        <v>0.0</v>
      </c>
      <c r="AH159" s="169">
        <v>0.0</v>
      </c>
      <c r="AI159" s="169">
        <v>0.0</v>
      </c>
      <c r="AJ159" s="182" t="b">
        <v>0</v>
      </c>
      <c r="AK159" s="183">
        <v>8.0</v>
      </c>
      <c r="AL159" s="169">
        <v>5.0</v>
      </c>
      <c r="AM159" s="172" t="str">
        <f t="shared" si="53"/>
        <v>Audit</v>
      </c>
      <c r="AN159" s="198" t="str">
        <f>IFNA(VLOOKUP($A159,'Tube Reactions'!$J$2:$K259,2,FALSE),"")</f>
        <v/>
      </c>
      <c r="AO159" s="199" t="str">
        <f t="shared" si="20"/>
        <v>NOT EQUAL</v>
      </c>
      <c r="AP159" s="186" t="str">
        <f t="shared" si="36"/>
        <v/>
      </c>
      <c r="AQ159" s="187" t="b">
        <f t="shared" si="5"/>
        <v>1</v>
      </c>
      <c r="AR159" s="188">
        <v>158.0</v>
      </c>
      <c r="AS159" s="189"/>
      <c r="AT159" s="55"/>
      <c r="AU159" s="110" t="s">
        <v>797</v>
      </c>
      <c r="AV159" s="169"/>
      <c r="AW159" s="118"/>
      <c r="AX159" s="190"/>
      <c r="AY159" s="48"/>
      <c r="BA159" s="191"/>
      <c r="BB159" s="18"/>
      <c r="BC159" s="18"/>
      <c r="BD159" s="48"/>
      <c r="BE159" s="192"/>
      <c r="BF159" s="76">
        <f t="shared" si="11"/>
        <v>44971</v>
      </c>
      <c r="BG159" s="114" t="str">
        <f t="shared" si="12"/>
        <v>RUN-ABRM_2023-02-14_RFR-158</v>
      </c>
      <c r="BH159" s="83">
        <f t="shared" si="13"/>
        <v>10</v>
      </c>
      <c r="BI159" s="83">
        <f t="shared" si="14"/>
        <v>8</v>
      </c>
      <c r="BJ159" s="83">
        <f t="shared" si="15"/>
        <v>8</v>
      </c>
      <c r="BK159" s="83">
        <f t="shared" si="16"/>
        <v>5</v>
      </c>
      <c r="BL159" s="200">
        <f>IFNA(IF(VLOOKUP(FLOOR($B159,1),'APS Tubes by Date IMPORT'!$B$2:$J259,1,FALSE)=FLOOR($BL158,1),IFERROR(0/0,""),VLOOKUP(FLOOR($B159,1),'APS Tubes by Date IMPORT'!$B$2:$J259,1,FALSE)),"")</f>
        <v>44971</v>
      </c>
      <c r="BM159" s="83">
        <f>IF(ISBLANK($BL159),IFERROR(0/0,""),VLOOKUP(FLOOR($B159,1),'APS Tubes by Date IMPORT'!$B$2:$J259,2,FALSE))</f>
        <v>8</v>
      </c>
      <c r="BN159" s="114"/>
      <c r="BO159" s="83" t="str">
        <f>VLOOKUP(FLOOR($B159,1),'APS Tubes by Date IMPORT'!$B159:$I259,6,FALSE)</f>
        <v>#N/A</v>
      </c>
      <c r="BP159" s="83">
        <v>7.0</v>
      </c>
      <c r="BQ159" s="193">
        <f t="shared" si="17"/>
        <v>-1</v>
      </c>
      <c r="BR159" s="131">
        <v>3.0</v>
      </c>
      <c r="BS159" s="76" t="b">
        <f t="shared" si="18"/>
        <v>1</v>
      </c>
      <c r="BT159" s="194" t="str">
        <f t="shared" si="19"/>
        <v>Delete NULL</v>
      </c>
      <c r="BU159" s="249"/>
      <c r="BV159" s="249"/>
      <c r="BW159" s="249"/>
      <c r="BX159" s="249"/>
    </row>
    <row r="160">
      <c r="A160" s="18" t="str">
        <f>CONCATENATE("RUN-",'Process Ref'!$A$1,"_",TEXT(U160,"YYYY-MM-DD"),"_RFR-",TEXT(AR160,"000"),IF(EXACT(W160,"Initial"),"",CONCATENATE("_",W160)))</f>
        <v>RUN-ABRM_2023-02-14_RFR-159_Re-run</v>
      </c>
      <c r="B160" s="251">
        <v>44971.42403475694</v>
      </c>
      <c r="C160" s="92"/>
      <c r="D160" s="92" t="s">
        <v>313</v>
      </c>
      <c r="E160" s="131">
        <v>5.0</v>
      </c>
      <c r="F160" s="92" t="s">
        <v>1000</v>
      </c>
      <c r="G160" s="252" t="s">
        <v>1006</v>
      </c>
      <c r="H160" s="252" t="s">
        <v>1007</v>
      </c>
      <c r="I160" s="252" t="s">
        <v>1008</v>
      </c>
      <c r="J160" s="172"/>
      <c r="K160" s="202" t="s">
        <v>1009</v>
      </c>
      <c r="L160" s="246"/>
      <c r="M160" s="174"/>
      <c r="N160" s="174"/>
      <c r="O160" s="175"/>
      <c r="P160" s="118" t="b">
        <v>0</v>
      </c>
      <c r="Q160" s="118" t="b">
        <v>0</v>
      </c>
      <c r="R160" s="55"/>
      <c r="S160" s="118" t="b">
        <v>0</v>
      </c>
      <c r="T160" s="177" t="b">
        <v>1</v>
      </c>
      <c r="U160" s="178">
        <v>44971.0</v>
      </c>
      <c r="V160" s="179">
        <v>0.4722222222222222</v>
      </c>
      <c r="W160" s="110" t="s">
        <v>339</v>
      </c>
      <c r="X160" s="180"/>
      <c r="Y160" s="118" t="b">
        <v>0</v>
      </c>
      <c r="Z160" s="169">
        <v>15.0</v>
      </c>
      <c r="AA160" s="196">
        <f t="shared" si="1"/>
        <v>10</v>
      </c>
      <c r="AB160" s="197" t="b">
        <f t="shared" si="2"/>
        <v>1</v>
      </c>
      <c r="AC160" s="247">
        <v>8.0</v>
      </c>
      <c r="AD160" s="169">
        <v>0.0</v>
      </c>
      <c r="AE160" s="169">
        <v>0.0</v>
      </c>
      <c r="AF160" s="169">
        <v>0.0</v>
      </c>
      <c r="AG160" s="169">
        <v>0.0</v>
      </c>
      <c r="AH160" s="169">
        <v>0.0</v>
      </c>
      <c r="AI160" s="169">
        <v>0.0</v>
      </c>
      <c r="AJ160" s="182" t="b">
        <v>0</v>
      </c>
      <c r="AK160" s="183">
        <v>8.0</v>
      </c>
      <c r="AL160" s="169">
        <v>0.0</v>
      </c>
      <c r="AM160" s="172" t="str">
        <f t="shared" si="53"/>
        <v/>
      </c>
      <c r="AN160" s="198" t="str">
        <f>IFNA(VLOOKUP($A160,'Tube Reactions'!$J$2:$K259,2,FALSE),"")</f>
        <v/>
      </c>
      <c r="AO160" s="199" t="str">
        <f t="shared" si="20"/>
        <v/>
      </c>
      <c r="AP160" s="186" t="str">
        <f t="shared" si="36"/>
        <v/>
      </c>
      <c r="AQ160" s="187" t="b">
        <f t="shared" si="5"/>
        <v>1</v>
      </c>
      <c r="AR160" s="188">
        <v>159.0</v>
      </c>
      <c r="AS160" s="189"/>
      <c r="AT160" s="55"/>
      <c r="AU160" s="110" t="s">
        <v>797</v>
      </c>
      <c r="AV160" s="169"/>
      <c r="AW160" s="118"/>
      <c r="AX160" s="190"/>
      <c r="AY160" s="48"/>
      <c r="BA160" s="191"/>
      <c r="BB160" s="18"/>
      <c r="BC160" s="18"/>
      <c r="BD160" s="48"/>
      <c r="BE160" s="192"/>
      <c r="BF160" s="76" t="str">
        <f t="shared" si="11"/>
        <v/>
      </c>
      <c r="BG160" s="114" t="str">
        <f t="shared" si="12"/>
        <v/>
      </c>
      <c r="BH160" s="83" t="str">
        <f t="shared" si="13"/>
        <v/>
      </c>
      <c r="BI160" s="83" t="str">
        <f t="shared" si="14"/>
        <v/>
      </c>
      <c r="BJ160" s="83" t="str">
        <f t="shared" si="15"/>
        <v/>
      </c>
      <c r="BK160" s="83" t="str">
        <f t="shared" si="16"/>
        <v/>
      </c>
      <c r="BL160" s="200" t="str">
        <f>IFNA(IF(VLOOKUP(FLOOR($B160,1),'APS Tubes by Date IMPORT'!$B$2:$J259,1,FALSE)=FLOOR($BL159,1),IFERROR(0/0,""),VLOOKUP(FLOOR($B160,1),'APS Tubes by Date IMPORT'!$B$2:$J259,1,FALSE)),"")</f>
        <v/>
      </c>
      <c r="BM160" s="83" t="str">
        <f>IF(ISBLANK($BL160),IFERROR(0/0,""),VLOOKUP(FLOOR($B160,1),'APS Tubes by Date IMPORT'!$B$2:$J259,2,FALSE))</f>
        <v/>
      </c>
      <c r="BN160" s="114"/>
      <c r="BO160" s="83" t="str">
        <f>VLOOKUP(FLOOR($B160,1),'APS Tubes by Date IMPORT'!$B160:$I259,6,FALSE)</f>
        <v>#N/A</v>
      </c>
      <c r="BP160" s="83">
        <v>7.0</v>
      </c>
      <c r="BQ160" s="193">
        <f t="shared" si="17"/>
        <v>7</v>
      </c>
      <c r="BR160" s="131">
        <v>3.0</v>
      </c>
      <c r="BS160" s="76" t="b">
        <f t="shared" si="18"/>
        <v>1</v>
      </c>
      <c r="BT160" s="194" t="str">
        <f t="shared" si="19"/>
        <v>Delete NULL</v>
      </c>
      <c r="BU160" s="255"/>
      <c r="BV160" s="255"/>
      <c r="BW160" s="255"/>
      <c r="BX160" s="255"/>
    </row>
    <row r="161">
      <c r="A161" s="18" t="str">
        <f>CONCATENATE("RUN-",'Process Ref'!$A$1,"_",TEXT(U161,"YYYY-MM-DD"),"_RFR-",TEXT(AR161,"000"),IF(EXACT(W161,"Initial"),"",CONCATENATE("_",W161)))</f>
        <v>RUN-ABRM_2023-02-15_RFR-160</v>
      </c>
      <c r="B161" s="251">
        <v>44972.39417883102</v>
      </c>
      <c r="C161" s="92"/>
      <c r="D161" s="92" t="s">
        <v>313</v>
      </c>
      <c r="E161" s="131">
        <v>9.0</v>
      </c>
      <c r="F161" s="92" t="s">
        <v>1010</v>
      </c>
      <c r="G161" s="252" t="s">
        <v>1011</v>
      </c>
      <c r="H161" s="252" t="s">
        <v>1012</v>
      </c>
      <c r="I161" s="252" t="s">
        <v>1013</v>
      </c>
      <c r="J161" s="172"/>
      <c r="K161" s="202"/>
      <c r="L161" s="246"/>
      <c r="M161" s="174"/>
      <c r="N161" s="174"/>
      <c r="O161" s="175"/>
      <c r="P161" s="118" t="b">
        <v>0</v>
      </c>
      <c r="Q161" s="118" t="b">
        <v>0</v>
      </c>
      <c r="R161" s="55"/>
      <c r="S161" s="118" t="b">
        <v>0</v>
      </c>
      <c r="T161" s="177" t="b">
        <v>0</v>
      </c>
      <c r="U161" s="178">
        <v>44972.0</v>
      </c>
      <c r="V161" s="179">
        <v>0.4305555555555556</v>
      </c>
      <c r="W161" s="110" t="s">
        <v>320</v>
      </c>
      <c r="X161" s="180"/>
      <c r="Y161" s="118" t="b">
        <v>0</v>
      </c>
      <c r="Z161" s="169">
        <v>9.0</v>
      </c>
      <c r="AA161" s="196">
        <f t="shared" si="1"/>
        <v>0</v>
      </c>
      <c r="AB161" s="197" t="b">
        <f t="shared" si="2"/>
        <v>1</v>
      </c>
      <c r="AC161" s="247">
        <v>7.0</v>
      </c>
      <c r="AD161" s="169">
        <v>0.0</v>
      </c>
      <c r="AE161" s="169">
        <v>0.0</v>
      </c>
      <c r="AF161" s="169">
        <v>0.0</v>
      </c>
      <c r="AG161" s="169">
        <v>0.0</v>
      </c>
      <c r="AH161" s="169">
        <v>0.0</v>
      </c>
      <c r="AI161" s="169">
        <v>0.0</v>
      </c>
      <c r="AJ161" s="182" t="b">
        <v>0</v>
      </c>
      <c r="AK161" s="183">
        <v>7.0</v>
      </c>
      <c r="AL161" s="169">
        <v>0.0</v>
      </c>
      <c r="AM161" s="172" t="str">
        <f t="shared" si="53"/>
        <v>Audit</v>
      </c>
      <c r="AN161" s="198" t="str">
        <f>IFNA(VLOOKUP($A161,'Tube Reactions'!$J$2:$K259,2,FALSE),"")</f>
        <v/>
      </c>
      <c r="AO161" s="199" t="str">
        <f t="shared" si="20"/>
        <v>NOT EQUAL</v>
      </c>
      <c r="AP161" s="186" t="str">
        <f t="shared" si="36"/>
        <v/>
      </c>
      <c r="AQ161" s="187" t="b">
        <f t="shared" si="5"/>
        <v>1</v>
      </c>
      <c r="AR161" s="188">
        <v>160.0</v>
      </c>
      <c r="AS161" s="189"/>
      <c r="AT161" s="55"/>
      <c r="AU161" s="110" t="s">
        <v>934</v>
      </c>
      <c r="AV161" s="169"/>
      <c r="AW161" s="118"/>
      <c r="AX161" s="190"/>
      <c r="AY161" s="48"/>
      <c r="BA161" s="191"/>
      <c r="BB161" s="18"/>
      <c r="BC161" s="18"/>
      <c r="BD161" s="48"/>
      <c r="BE161" s="192"/>
      <c r="BF161" s="76">
        <f t="shared" si="11"/>
        <v>44972</v>
      </c>
      <c r="BG161" s="114" t="str">
        <f t="shared" si="12"/>
        <v>RUN-ABRM_2023-02-15_RFR-160</v>
      </c>
      <c r="BH161" s="83">
        <f t="shared" si="13"/>
        <v>9</v>
      </c>
      <c r="BI161" s="83">
        <f t="shared" si="14"/>
        <v>7</v>
      </c>
      <c r="BJ161" s="83">
        <f t="shared" si="15"/>
        <v>7</v>
      </c>
      <c r="BK161" s="83">
        <f t="shared" si="16"/>
        <v>0</v>
      </c>
      <c r="BL161" s="200">
        <f>IFNA(IF(VLOOKUP(FLOOR($B161,1),'APS Tubes by Date IMPORT'!$B$2:$J259,1,FALSE)=FLOOR($BL160,1),IFERROR(0/0,""),VLOOKUP(FLOOR($B161,1),'APS Tubes by Date IMPORT'!$B$2:$J259,1,FALSE)),"")</f>
        <v>44972</v>
      </c>
      <c r="BM161" s="83">
        <f>IF(ISBLANK($BL161),IFERROR(0/0,""),VLOOKUP(FLOOR($B161,1),'APS Tubes by Date IMPORT'!$B$2:$J259,2,FALSE))</f>
        <v>7</v>
      </c>
      <c r="BN161" s="114"/>
      <c r="BO161" s="83" t="str">
        <f>VLOOKUP(FLOOR($B161,1),'APS Tubes by Date IMPORT'!$B161:$I259,6,FALSE)</f>
        <v>#N/A</v>
      </c>
      <c r="BP161" s="83">
        <v>7.0</v>
      </c>
      <c r="BQ161" s="193">
        <f t="shared" si="17"/>
        <v>0</v>
      </c>
      <c r="BR161" s="131">
        <v>3.0</v>
      </c>
      <c r="BS161" s="76" t="b">
        <f t="shared" si="18"/>
        <v>1</v>
      </c>
      <c r="BT161" s="194" t="str">
        <f t="shared" si="19"/>
        <v>Delete NULL</v>
      </c>
      <c r="BU161" s="255"/>
      <c r="BV161" s="255"/>
      <c r="BW161" s="255"/>
      <c r="BX161" s="255"/>
    </row>
    <row r="162">
      <c r="A162" s="18" t="str">
        <f>CONCATENATE("RUN-",'Process Ref'!$A$1,"_",TEXT(U162,"YYYY-MM-DD"),"_RFR-",TEXT(AR162,"000"),IF(EXACT(W162,"Initial"),"",CONCATENATE("_",W162)))</f>
        <v>RUN-ABRM_2023-02-16_RFR-161</v>
      </c>
      <c r="B162" s="251">
        <v>44973.385486643514</v>
      </c>
      <c r="C162" s="92"/>
      <c r="D162" s="92" t="s">
        <v>313</v>
      </c>
      <c r="E162" s="131">
        <v>9.0</v>
      </c>
      <c r="F162" s="92" t="s">
        <v>1014</v>
      </c>
      <c r="G162" s="252" t="s">
        <v>1015</v>
      </c>
      <c r="H162" s="252" t="s">
        <v>1016</v>
      </c>
      <c r="I162" s="252" t="s">
        <v>1017</v>
      </c>
      <c r="J162" s="172"/>
      <c r="K162" s="202"/>
      <c r="L162" s="246"/>
      <c r="M162" s="174"/>
      <c r="N162" s="174"/>
      <c r="O162" s="175"/>
      <c r="P162" s="118" t="b">
        <v>0</v>
      </c>
      <c r="Q162" s="118" t="b">
        <v>0</v>
      </c>
      <c r="R162" s="55"/>
      <c r="S162" s="118" t="b">
        <v>0</v>
      </c>
      <c r="T162" s="177" t="b">
        <v>0</v>
      </c>
      <c r="U162" s="178">
        <v>44973.0</v>
      </c>
      <c r="V162" s="179">
        <v>0.4270833333333333</v>
      </c>
      <c r="W162" s="110" t="s">
        <v>320</v>
      </c>
      <c r="X162" s="180"/>
      <c r="Y162" s="118" t="b">
        <v>0</v>
      </c>
      <c r="Z162" s="169">
        <v>9.0</v>
      </c>
      <c r="AA162" s="196">
        <f t="shared" si="1"/>
        <v>0</v>
      </c>
      <c r="AB162" s="197" t="b">
        <f t="shared" si="2"/>
        <v>1</v>
      </c>
      <c r="AC162" s="247">
        <v>7.0</v>
      </c>
      <c r="AD162" s="169">
        <v>0.0</v>
      </c>
      <c r="AE162" s="169">
        <v>0.0</v>
      </c>
      <c r="AF162" s="169">
        <v>0.0</v>
      </c>
      <c r="AG162" s="169">
        <v>0.0</v>
      </c>
      <c r="AH162" s="169">
        <v>0.0</v>
      </c>
      <c r="AI162" s="169">
        <v>0.0</v>
      </c>
      <c r="AJ162" s="182" t="b">
        <v>0</v>
      </c>
      <c r="AK162" s="183">
        <v>7.0</v>
      </c>
      <c r="AL162" s="169">
        <v>0.0</v>
      </c>
      <c r="AM162" s="172" t="str">
        <f t="shared" si="53"/>
        <v>Audit</v>
      </c>
      <c r="AN162" s="198" t="str">
        <f>IFNA(VLOOKUP($A162,'Tube Reactions'!$J$2:$K259,2,FALSE),"")</f>
        <v/>
      </c>
      <c r="AO162" s="199" t="str">
        <f t="shared" si="20"/>
        <v>NOT EQUAL</v>
      </c>
      <c r="AP162" s="186" t="str">
        <f t="shared" si="36"/>
        <v/>
      </c>
      <c r="AQ162" s="187" t="b">
        <f t="shared" si="5"/>
        <v>1</v>
      </c>
      <c r="AR162" s="188">
        <v>161.0</v>
      </c>
      <c r="AS162" s="189"/>
      <c r="AT162" s="55"/>
      <c r="AU162" s="110" t="s">
        <v>934</v>
      </c>
      <c r="AV162" s="169"/>
      <c r="AW162" s="118"/>
      <c r="AX162" s="190"/>
      <c r="AY162" s="48"/>
      <c r="BA162" s="191"/>
      <c r="BB162" s="18"/>
      <c r="BC162" s="18"/>
      <c r="BD162" s="48"/>
      <c r="BE162" s="192"/>
      <c r="BF162" s="76">
        <f t="shared" si="11"/>
        <v>44973</v>
      </c>
      <c r="BG162" s="114" t="str">
        <f t="shared" si="12"/>
        <v>RUN-ABRM_2023-02-16_RFR-161</v>
      </c>
      <c r="BH162" s="83">
        <f t="shared" si="13"/>
        <v>9</v>
      </c>
      <c r="BI162" s="83">
        <f t="shared" si="14"/>
        <v>7</v>
      </c>
      <c r="BJ162" s="83">
        <f t="shared" si="15"/>
        <v>7</v>
      </c>
      <c r="BK162" s="83">
        <f t="shared" si="16"/>
        <v>0</v>
      </c>
      <c r="BL162" s="200">
        <f>IFNA(IF(VLOOKUP(FLOOR($B162,1),'APS Tubes by Date IMPORT'!$B$2:$J259,1,FALSE)=FLOOR($BL161,1),IFERROR(0/0,""),VLOOKUP(FLOOR($B162,1),'APS Tubes by Date IMPORT'!$B$2:$J259,1,FALSE)),"")</f>
        <v>44973</v>
      </c>
      <c r="BM162" s="83">
        <f>IF(ISBLANK($BL162),IFERROR(0/0,""),VLOOKUP(FLOOR($B162,1),'APS Tubes by Date IMPORT'!$B$2:$J259,2,FALSE))</f>
        <v>7</v>
      </c>
      <c r="BN162" s="114"/>
      <c r="BO162" s="83" t="str">
        <f>VLOOKUP(FLOOR($B162,1),'APS Tubes by Date IMPORT'!$B162:$I259,6,FALSE)</f>
        <v>#N/A</v>
      </c>
      <c r="BP162" s="83">
        <v>7.0</v>
      </c>
      <c r="BQ162" s="193">
        <f t="shared" si="17"/>
        <v>0</v>
      </c>
      <c r="BR162" s="131">
        <v>3.0</v>
      </c>
      <c r="BS162" s="76" t="b">
        <f t="shared" si="18"/>
        <v>1</v>
      </c>
      <c r="BT162" s="194" t="str">
        <f t="shared" si="19"/>
        <v>Delete NULL</v>
      </c>
      <c r="BU162" s="248"/>
      <c r="BV162" s="248"/>
      <c r="BW162" s="248"/>
      <c r="BX162" s="248"/>
    </row>
    <row r="163">
      <c r="A163" s="18" t="str">
        <f>CONCATENATE("RUN-",'Process Ref'!$A$1,"_",TEXT(U163,"YYYY-MM-DD"),"_RFR-",TEXT(AR163,"000"),IF(EXACT(W163,"Initial"),"",CONCATENATE("_",W163)))</f>
        <v>RUN-ABRM_2023-02-17_RFR-162</v>
      </c>
      <c r="B163" s="251">
        <v>44974.39973914352</v>
      </c>
      <c r="C163" s="92"/>
      <c r="D163" s="92" t="s">
        <v>313</v>
      </c>
      <c r="E163" s="131">
        <v>10.0</v>
      </c>
      <c r="F163" s="92" t="s">
        <v>1018</v>
      </c>
      <c r="G163" s="252" t="s">
        <v>1019</v>
      </c>
      <c r="H163" s="252" t="s">
        <v>1020</v>
      </c>
      <c r="I163" s="252" t="s">
        <v>1021</v>
      </c>
      <c r="J163" s="172"/>
      <c r="K163" s="202"/>
      <c r="L163" s="246"/>
      <c r="M163" s="174"/>
      <c r="N163" s="174"/>
      <c r="O163" s="175"/>
      <c r="P163" s="118" t="b">
        <v>0</v>
      </c>
      <c r="Q163" s="118" t="b">
        <v>0</v>
      </c>
      <c r="R163" s="55"/>
      <c r="S163" s="118" t="b">
        <v>0</v>
      </c>
      <c r="T163" s="177" t="b">
        <v>0</v>
      </c>
      <c r="U163" s="178">
        <v>44974.0</v>
      </c>
      <c r="V163" s="179">
        <v>0.4375</v>
      </c>
      <c r="W163" s="110" t="s">
        <v>320</v>
      </c>
      <c r="X163" s="180"/>
      <c r="Y163" s="118" t="b">
        <v>0</v>
      </c>
      <c r="Z163" s="169">
        <v>10.0</v>
      </c>
      <c r="AA163" s="196">
        <f t="shared" si="1"/>
        <v>0</v>
      </c>
      <c r="AB163" s="197" t="b">
        <f t="shared" si="2"/>
        <v>1</v>
      </c>
      <c r="AC163" s="247">
        <v>8.0</v>
      </c>
      <c r="AD163" s="169">
        <v>0.0</v>
      </c>
      <c r="AE163" s="169">
        <v>0.0</v>
      </c>
      <c r="AF163" s="169">
        <v>0.0</v>
      </c>
      <c r="AG163" s="169">
        <v>0.0</v>
      </c>
      <c r="AH163" s="169">
        <v>0.0</v>
      </c>
      <c r="AI163" s="169">
        <v>0.0</v>
      </c>
      <c r="AJ163" s="182" t="b">
        <v>0</v>
      </c>
      <c r="AK163" s="183">
        <v>8.0</v>
      </c>
      <c r="AL163" s="169">
        <v>0.0</v>
      </c>
      <c r="AM163" s="172" t="str">
        <f t="shared" si="53"/>
        <v>Audit</v>
      </c>
      <c r="AN163" s="198" t="str">
        <f>IFNA(VLOOKUP($A163,'Tube Reactions'!$J$2:$K259,2,FALSE),"")</f>
        <v/>
      </c>
      <c r="AO163" s="199" t="str">
        <f t="shared" si="20"/>
        <v>NOT EQUAL</v>
      </c>
      <c r="AP163" s="186" t="str">
        <f t="shared" si="36"/>
        <v/>
      </c>
      <c r="AQ163" s="187" t="b">
        <f t="shared" si="5"/>
        <v>1</v>
      </c>
      <c r="AR163" s="188">
        <v>162.0</v>
      </c>
      <c r="AS163" s="189"/>
      <c r="AT163" s="55"/>
      <c r="AU163" s="110" t="s">
        <v>934</v>
      </c>
      <c r="AV163" s="169"/>
      <c r="AW163" s="118"/>
      <c r="AX163" s="190"/>
      <c r="AY163" s="48"/>
      <c r="BA163" s="191"/>
      <c r="BB163" s="18"/>
      <c r="BC163" s="18"/>
      <c r="BD163" s="48"/>
      <c r="BE163" s="192"/>
      <c r="BF163" s="76">
        <f t="shared" si="11"/>
        <v>44974</v>
      </c>
      <c r="BG163" s="114" t="str">
        <f t="shared" si="12"/>
        <v>RUN-ABRM_2023-02-17_RFR-162</v>
      </c>
      <c r="BH163" s="83">
        <f t="shared" si="13"/>
        <v>10</v>
      </c>
      <c r="BI163" s="83">
        <f t="shared" si="14"/>
        <v>8</v>
      </c>
      <c r="BJ163" s="83">
        <f t="shared" si="15"/>
        <v>8</v>
      </c>
      <c r="BK163" s="83">
        <f t="shared" si="16"/>
        <v>0</v>
      </c>
      <c r="BL163" s="200">
        <f>IFNA(IF(VLOOKUP(FLOOR($B163,1),'APS Tubes by Date IMPORT'!$B$2:$J259,1,FALSE)=FLOOR($BL162,1),IFERROR(0/0,""),VLOOKUP(FLOOR($B163,1),'APS Tubes by Date IMPORT'!$B$2:$J259,1,FALSE)),"")</f>
        <v>44974</v>
      </c>
      <c r="BM163" s="83">
        <f>IF(ISBLANK($BL163),IFERROR(0/0,""),VLOOKUP(FLOOR($B163,1),'APS Tubes by Date IMPORT'!$B$2:$J259,2,FALSE))</f>
        <v>8</v>
      </c>
      <c r="BN163" s="114"/>
      <c r="BO163" s="83" t="str">
        <f>VLOOKUP(FLOOR($B163,1),'APS Tubes by Date IMPORT'!$B163:$I259,6,FALSE)</f>
        <v>#N/A</v>
      </c>
      <c r="BP163" s="83">
        <v>7.0</v>
      </c>
      <c r="BQ163" s="193">
        <f t="shared" si="17"/>
        <v>-1</v>
      </c>
      <c r="BR163" s="131">
        <v>3.0</v>
      </c>
      <c r="BS163" s="76" t="b">
        <f t="shared" si="18"/>
        <v>1</v>
      </c>
      <c r="BT163" s="194" t="str">
        <f t="shared" si="19"/>
        <v>Delete NULL</v>
      </c>
      <c r="BU163" s="249"/>
      <c r="BV163" s="249"/>
      <c r="BW163" s="249"/>
      <c r="BX163" s="249"/>
    </row>
    <row r="164">
      <c r="A164" s="18" t="str">
        <f>CONCATENATE("RUN-",'Process Ref'!$A$1,"_",TEXT(U164,"YYYY-MM-DD"),"_RFR-",TEXT(AR164,"000"),IF(EXACT(W164,"Initial"),"",CONCATENATE("_",W164)))</f>
        <v>RUN-ABRM_2023-02-20_RFR-163</v>
      </c>
      <c r="B164" s="251">
        <v>44977.40230887731</v>
      </c>
      <c r="C164" s="92"/>
      <c r="D164" s="92" t="s">
        <v>313</v>
      </c>
      <c r="E164" s="131">
        <v>11.0</v>
      </c>
      <c r="F164" s="92" t="s">
        <v>1022</v>
      </c>
      <c r="G164" s="252" t="s">
        <v>1023</v>
      </c>
      <c r="H164" s="252" t="s">
        <v>1024</v>
      </c>
      <c r="I164" s="252" t="s">
        <v>1025</v>
      </c>
      <c r="J164" s="172"/>
      <c r="K164" s="202"/>
      <c r="L164" s="246"/>
      <c r="M164" s="174"/>
      <c r="N164" s="174"/>
      <c r="O164" s="175"/>
      <c r="P164" s="118" t="b">
        <v>0</v>
      </c>
      <c r="Q164" s="118" t="b">
        <v>0</v>
      </c>
      <c r="R164" s="55"/>
      <c r="S164" s="118" t="b">
        <v>0</v>
      </c>
      <c r="T164" s="177" t="b">
        <v>0</v>
      </c>
      <c r="U164" s="178">
        <v>44977.0</v>
      </c>
      <c r="V164" s="179">
        <v>0.4305555555555556</v>
      </c>
      <c r="W164" s="110" t="s">
        <v>320</v>
      </c>
      <c r="X164" s="180"/>
      <c r="Y164" s="118" t="b">
        <v>0</v>
      </c>
      <c r="Z164" s="169">
        <v>11.0</v>
      </c>
      <c r="AA164" s="196">
        <f t="shared" si="1"/>
        <v>0</v>
      </c>
      <c r="AB164" s="197" t="b">
        <f t="shared" si="2"/>
        <v>1</v>
      </c>
      <c r="AC164" s="247">
        <v>9.0</v>
      </c>
      <c r="AD164" s="169">
        <v>0.0</v>
      </c>
      <c r="AE164" s="169">
        <v>0.0</v>
      </c>
      <c r="AF164" s="169">
        <v>0.0</v>
      </c>
      <c r="AG164" s="169">
        <v>0.0</v>
      </c>
      <c r="AH164" s="169">
        <v>0.0</v>
      </c>
      <c r="AI164" s="169">
        <v>0.0</v>
      </c>
      <c r="AJ164" s="182" t="b">
        <v>0</v>
      </c>
      <c r="AK164" s="183">
        <v>9.0</v>
      </c>
      <c r="AL164" s="169">
        <v>0.0</v>
      </c>
      <c r="AM164" s="172" t="str">
        <f t="shared" si="53"/>
        <v>Audit</v>
      </c>
      <c r="AN164" s="198" t="str">
        <f>IFNA(VLOOKUP($A164,'Tube Reactions'!$J$2:$K259,2,FALSE),"")</f>
        <v/>
      </c>
      <c r="AO164" s="199" t="str">
        <f t="shared" si="20"/>
        <v>NOT EQUAL</v>
      </c>
      <c r="AP164" s="186" t="str">
        <f t="shared" si="36"/>
        <v/>
      </c>
      <c r="AQ164" s="187" t="b">
        <f t="shared" si="5"/>
        <v>1</v>
      </c>
      <c r="AR164" s="188">
        <v>163.0</v>
      </c>
      <c r="AS164" s="189"/>
      <c r="AT164" s="55"/>
      <c r="AU164" s="110" t="s">
        <v>934</v>
      </c>
      <c r="AV164" s="169"/>
      <c r="AW164" s="118"/>
      <c r="AX164" s="190"/>
      <c r="AY164" s="48"/>
      <c r="BA164" s="191"/>
      <c r="BB164" s="18"/>
      <c r="BC164" s="18"/>
      <c r="BD164" s="48"/>
      <c r="BE164" s="192"/>
      <c r="BF164" s="76">
        <f t="shared" si="11"/>
        <v>44977</v>
      </c>
      <c r="BG164" s="114" t="str">
        <f t="shared" si="12"/>
        <v>RUN-ABRM_2023-02-20_RFR-163</v>
      </c>
      <c r="BH164" s="83">
        <f t="shared" si="13"/>
        <v>11</v>
      </c>
      <c r="BI164" s="83">
        <f t="shared" si="14"/>
        <v>9</v>
      </c>
      <c r="BJ164" s="83">
        <f t="shared" si="15"/>
        <v>9</v>
      </c>
      <c r="BK164" s="83">
        <f t="shared" si="16"/>
        <v>0</v>
      </c>
      <c r="BL164" s="200">
        <f>IFNA(IF(VLOOKUP(FLOOR($B164,1),'APS Tubes by Date IMPORT'!$B$2:$J259,1,FALSE)=FLOOR($BL163,1),IFERROR(0/0,""),VLOOKUP(FLOOR($B164,1),'APS Tubes by Date IMPORT'!$B$2:$J259,1,FALSE)),"")</f>
        <v>44977</v>
      </c>
      <c r="BM164" s="83">
        <f>IF(ISBLANK($BL164),IFERROR(0/0,""),VLOOKUP(FLOOR($B164,1),'APS Tubes by Date IMPORT'!$B$2:$J259,2,FALSE))</f>
        <v>9</v>
      </c>
      <c r="BN164" s="114"/>
      <c r="BO164" s="83" t="str">
        <f>VLOOKUP(FLOOR($B164,1),'APS Tubes by Date IMPORT'!$B164:$I259,6,FALSE)</f>
        <v>#N/A</v>
      </c>
      <c r="BP164" s="83">
        <v>7.0</v>
      </c>
      <c r="BQ164" s="193">
        <f t="shared" si="17"/>
        <v>-2</v>
      </c>
      <c r="BR164" s="131">
        <v>3.0</v>
      </c>
      <c r="BS164" s="76" t="b">
        <f t="shared" si="18"/>
        <v>1</v>
      </c>
      <c r="BT164" s="194" t="str">
        <f t="shared" si="19"/>
        <v>Delete NULL</v>
      </c>
      <c r="BU164" s="249"/>
      <c r="BV164" s="249"/>
      <c r="BW164" s="249"/>
      <c r="BX164" s="249"/>
    </row>
    <row r="165">
      <c r="A165" s="18" t="str">
        <f>CONCATENATE("RUN-",'Process Ref'!$A$1,"_",TEXT(U165,"YYYY-MM-DD"),"_RFR-",TEXT(AR165,"000"),IF(EXACT(W165,"Initial"),"",CONCATENATE("_",W165)))</f>
        <v>RUN-ABRM_2023-02-21_RFR-164</v>
      </c>
      <c r="B165" s="251">
        <v>44978.395681875</v>
      </c>
      <c r="C165" s="92"/>
      <c r="D165" s="92" t="s">
        <v>313</v>
      </c>
      <c r="E165" s="131">
        <v>9.0</v>
      </c>
      <c r="F165" s="92" t="s">
        <v>1026</v>
      </c>
      <c r="G165" s="252" t="s">
        <v>1027</v>
      </c>
      <c r="H165" s="252" t="s">
        <v>1028</v>
      </c>
      <c r="I165" s="252" t="s">
        <v>1029</v>
      </c>
      <c r="J165" s="172">
        <v>1.0</v>
      </c>
      <c r="K165" s="202"/>
      <c r="L165" s="246"/>
      <c r="M165" s="174"/>
      <c r="N165" s="209">
        <v>2.2</v>
      </c>
      <c r="O165" s="175"/>
      <c r="P165" s="118" t="b">
        <v>1</v>
      </c>
      <c r="Q165" s="118" t="b">
        <v>0</v>
      </c>
      <c r="R165" s="55"/>
      <c r="S165" s="118" t="b">
        <v>0</v>
      </c>
      <c r="T165" s="177" t="b">
        <v>1</v>
      </c>
      <c r="U165" s="178">
        <v>44978.0</v>
      </c>
      <c r="V165" s="179">
        <v>0.4270833333333333</v>
      </c>
      <c r="W165" s="110" t="s">
        <v>320</v>
      </c>
      <c r="X165" s="180"/>
      <c r="Y165" s="118" t="b">
        <v>0</v>
      </c>
      <c r="Z165" s="169">
        <v>9.0</v>
      </c>
      <c r="AA165" s="196">
        <f t="shared" si="1"/>
        <v>0</v>
      </c>
      <c r="AB165" s="197" t="b">
        <f t="shared" si="2"/>
        <v>1</v>
      </c>
      <c r="AC165" s="247">
        <v>7.0</v>
      </c>
      <c r="AD165" s="169">
        <v>0.0</v>
      </c>
      <c r="AE165" s="169">
        <v>0.0</v>
      </c>
      <c r="AF165" s="169">
        <v>0.0</v>
      </c>
      <c r="AG165" s="169">
        <v>1.0</v>
      </c>
      <c r="AH165" s="169">
        <v>1.0</v>
      </c>
      <c r="AI165" s="169">
        <v>0.0</v>
      </c>
      <c r="AJ165" s="182" t="b">
        <v>0</v>
      </c>
      <c r="AK165" s="183">
        <v>7.0</v>
      </c>
      <c r="AL165" s="169">
        <v>4.0</v>
      </c>
      <c r="AM165" s="172" t="str">
        <f t="shared" si="53"/>
        <v>Audit</v>
      </c>
      <c r="AN165" s="198" t="str">
        <f>IFNA(VLOOKUP($A165,'Tube Reactions'!$J$2:$K259,2,FALSE),"")</f>
        <v/>
      </c>
      <c r="AO165" s="199" t="str">
        <f t="shared" si="20"/>
        <v>NOT EQUAL</v>
      </c>
      <c r="AP165" s="186" t="str">
        <f t="shared" si="36"/>
        <v/>
      </c>
      <c r="AQ165" s="187" t="b">
        <f t="shared" si="5"/>
        <v>1</v>
      </c>
      <c r="AR165" s="188">
        <v>164.0</v>
      </c>
      <c r="AS165" s="189"/>
      <c r="AT165" s="55"/>
      <c r="AU165" s="110" t="s">
        <v>934</v>
      </c>
      <c r="AV165" s="169"/>
      <c r="AW165" s="118"/>
      <c r="AX165" s="190"/>
      <c r="AY165" s="48"/>
      <c r="BA165" s="191"/>
      <c r="BB165" s="18"/>
      <c r="BC165" s="18"/>
      <c r="BD165" s="48"/>
      <c r="BE165" s="192"/>
      <c r="BF165" s="76">
        <f t="shared" si="11"/>
        <v>44978</v>
      </c>
      <c r="BG165" s="114" t="str">
        <f t="shared" si="12"/>
        <v>RUN-ABRM_2023-02-21_RFR-164</v>
      </c>
      <c r="BH165" s="83">
        <f t="shared" si="13"/>
        <v>9</v>
      </c>
      <c r="BI165" s="83">
        <f t="shared" si="14"/>
        <v>7</v>
      </c>
      <c r="BJ165" s="83">
        <f t="shared" si="15"/>
        <v>7</v>
      </c>
      <c r="BK165" s="83">
        <f t="shared" si="16"/>
        <v>4</v>
      </c>
      <c r="BL165" s="200">
        <f>IFNA(IF(VLOOKUP(FLOOR($B165,1),'APS Tubes by Date IMPORT'!$B$2:$J259,1,FALSE)=FLOOR($BL164,1),IFERROR(0/0,""),VLOOKUP(FLOOR($B165,1),'APS Tubes by Date IMPORT'!$B$2:$J259,1,FALSE)),"")</f>
        <v>44978</v>
      </c>
      <c r="BM165" s="83">
        <f>IF(ISBLANK($BL165),IFERROR(0/0,""),VLOOKUP(FLOOR($B165,1),'APS Tubes by Date IMPORT'!$B$2:$J259,2,FALSE))</f>
        <v>7</v>
      </c>
      <c r="BN165" s="114"/>
      <c r="BO165" s="83" t="str">
        <f>VLOOKUP(FLOOR($B165,1),'APS Tubes by Date IMPORT'!$B165:$I259,6,FALSE)</f>
        <v>#N/A</v>
      </c>
      <c r="BP165" s="83">
        <v>7.0</v>
      </c>
      <c r="BQ165" s="193">
        <f t="shared" si="17"/>
        <v>0</v>
      </c>
      <c r="BR165" s="131">
        <v>3.0</v>
      </c>
      <c r="BS165" s="76" t="b">
        <f t="shared" si="18"/>
        <v>1</v>
      </c>
      <c r="BT165" s="194" t="str">
        <f t="shared" si="19"/>
        <v>Delete NULL</v>
      </c>
      <c r="BU165" s="256"/>
      <c r="BV165" s="256"/>
      <c r="BW165" s="256"/>
      <c r="BX165" s="256"/>
    </row>
    <row r="166">
      <c r="A166" s="18" t="str">
        <f>CONCATENATE("RUN-",'Process Ref'!$A$1,"_",TEXT(U166,"YYYY-MM-DD"),"_RFR-",TEXT(AR166,"000"),IF(EXACT(W166,"Initial"),"",CONCATENATE("_",W166)))</f>
        <v>RUN-ABRM_2023-02-21_RFR-165_Re-run</v>
      </c>
      <c r="B166" s="251">
        <v>44978.42049052083</v>
      </c>
      <c r="C166" s="92"/>
      <c r="D166" s="92" t="s">
        <v>313</v>
      </c>
      <c r="E166" s="131">
        <v>5.0</v>
      </c>
      <c r="F166" s="92" t="s">
        <v>1026</v>
      </c>
      <c r="G166" s="252" t="s">
        <v>1030</v>
      </c>
      <c r="H166" s="252" t="s">
        <v>1031</v>
      </c>
      <c r="I166" s="252" t="s">
        <v>1032</v>
      </c>
      <c r="J166" s="172"/>
      <c r="K166" s="202"/>
      <c r="L166" s="246"/>
      <c r="M166" s="174"/>
      <c r="N166" s="174"/>
      <c r="O166" s="175"/>
      <c r="P166" s="118" t="b">
        <v>0</v>
      </c>
      <c r="Q166" s="118" t="b">
        <v>0</v>
      </c>
      <c r="R166" s="55"/>
      <c r="S166" s="118" t="b">
        <v>0</v>
      </c>
      <c r="T166" s="177" t="b">
        <v>1</v>
      </c>
      <c r="U166" s="178">
        <v>44978.0</v>
      </c>
      <c r="V166" s="179">
        <v>0.4722222222222222</v>
      </c>
      <c r="W166" s="110" t="s">
        <v>339</v>
      </c>
      <c r="X166" s="180"/>
      <c r="Y166" s="118" t="b">
        <v>0</v>
      </c>
      <c r="Z166" s="169">
        <v>5.0</v>
      </c>
      <c r="AA166" s="196">
        <f t="shared" si="1"/>
        <v>0</v>
      </c>
      <c r="AB166" s="197" t="b">
        <f t="shared" si="2"/>
        <v>1</v>
      </c>
      <c r="AC166" s="247">
        <v>3.0</v>
      </c>
      <c r="AD166" s="169">
        <v>0.0</v>
      </c>
      <c r="AE166" s="169">
        <v>0.0</v>
      </c>
      <c r="AF166" s="169">
        <v>0.0</v>
      </c>
      <c r="AG166" s="169">
        <v>0.0</v>
      </c>
      <c r="AH166" s="169">
        <v>0.0</v>
      </c>
      <c r="AI166" s="169">
        <v>0.0</v>
      </c>
      <c r="AJ166" s="182" t="b">
        <v>0</v>
      </c>
      <c r="AK166" s="183">
        <v>1.0</v>
      </c>
      <c r="AL166" s="169">
        <v>0.0</v>
      </c>
      <c r="AM166" s="172" t="str">
        <f t="shared" si="53"/>
        <v/>
      </c>
      <c r="AN166" s="198" t="str">
        <f>IFNA(VLOOKUP($A166,'Tube Reactions'!$J$2:$K259,2,FALSE),"")</f>
        <v/>
      </c>
      <c r="AO166" s="199" t="str">
        <f t="shared" si="20"/>
        <v/>
      </c>
      <c r="AP166" s="186" t="str">
        <f t="shared" si="36"/>
        <v/>
      </c>
      <c r="AQ166" s="187" t="b">
        <f t="shared" si="5"/>
        <v>1</v>
      </c>
      <c r="AR166" s="188">
        <v>165.0</v>
      </c>
      <c r="AS166" s="189"/>
      <c r="AT166" s="55"/>
      <c r="AU166" s="110" t="s">
        <v>934</v>
      </c>
      <c r="AV166" s="169"/>
      <c r="AW166" s="118"/>
      <c r="AX166" s="190"/>
      <c r="AY166" s="48"/>
      <c r="BA166" s="191"/>
      <c r="BB166" s="18"/>
      <c r="BC166" s="18"/>
      <c r="BD166" s="48"/>
      <c r="BE166" s="192"/>
      <c r="BF166" s="76" t="str">
        <f t="shared" si="11"/>
        <v/>
      </c>
      <c r="BG166" s="114" t="str">
        <f t="shared" si="12"/>
        <v/>
      </c>
      <c r="BH166" s="83" t="str">
        <f t="shared" si="13"/>
        <v/>
      </c>
      <c r="BI166" s="83" t="str">
        <f t="shared" si="14"/>
        <v/>
      </c>
      <c r="BJ166" s="83" t="str">
        <f t="shared" si="15"/>
        <v/>
      </c>
      <c r="BK166" s="83" t="str">
        <f t="shared" si="16"/>
        <v/>
      </c>
      <c r="BL166" s="200" t="str">
        <f>IFNA(IF(VLOOKUP(FLOOR($B166,1),'APS Tubes by Date IMPORT'!$B$2:$J259,1,FALSE)=FLOOR($BL165,1),IFERROR(0/0,""),VLOOKUP(FLOOR($B166,1),'APS Tubes by Date IMPORT'!$B$2:$J259,1,FALSE)),"")</f>
        <v/>
      </c>
      <c r="BM166" s="83" t="str">
        <f>IF(ISBLANK($BL166),IFERROR(0/0,""),VLOOKUP(FLOOR($B166,1),'APS Tubes by Date IMPORT'!$B$2:$J259,2,FALSE))</f>
        <v/>
      </c>
      <c r="BN166" s="114"/>
      <c r="BO166" s="83" t="str">
        <f>VLOOKUP(FLOOR($B166,1),'APS Tubes by Date IMPORT'!$B166:$I259,6,FALSE)</f>
        <v>#N/A</v>
      </c>
      <c r="BP166" s="83">
        <v>7.0</v>
      </c>
      <c r="BQ166" s="193">
        <f t="shared" si="17"/>
        <v>7</v>
      </c>
      <c r="BR166" s="131">
        <v>3.0</v>
      </c>
      <c r="BS166" s="76" t="b">
        <f t="shared" si="18"/>
        <v>1</v>
      </c>
      <c r="BT166" s="194" t="str">
        <f t="shared" si="19"/>
        <v>Delete NULL</v>
      </c>
      <c r="BU166" s="256"/>
      <c r="BV166" s="256"/>
      <c r="BW166" s="256"/>
      <c r="BX166" s="256"/>
    </row>
    <row r="167">
      <c r="A167" s="18" t="str">
        <f>CONCATENATE("RUN-",'Process Ref'!$A$1,"_",TEXT(U167,"YYYY-MM-DD"),"_RFR-",TEXT(AR167,"000"),IF(EXACT(W167,"Initial"),"",CONCATENATE("_",W167)))</f>
        <v>RUN-ABRM_2023-02-22_RFR-166</v>
      </c>
      <c r="B167" s="251">
        <v>44979.399154432875</v>
      </c>
      <c r="C167" s="92"/>
      <c r="D167" s="92" t="s">
        <v>313</v>
      </c>
      <c r="E167" s="131">
        <v>10.0</v>
      </c>
      <c r="F167" s="92" t="s">
        <v>1033</v>
      </c>
      <c r="G167" s="252" t="s">
        <v>1034</v>
      </c>
      <c r="H167" s="252" t="s">
        <v>1035</v>
      </c>
      <c r="I167" s="252" t="s">
        <v>1036</v>
      </c>
      <c r="J167" s="172"/>
      <c r="K167" s="202"/>
      <c r="L167" s="246"/>
      <c r="M167" s="174"/>
      <c r="N167" s="174"/>
      <c r="O167" s="175"/>
      <c r="P167" s="118" t="b">
        <v>0</v>
      </c>
      <c r="Q167" s="118" t="b">
        <v>0</v>
      </c>
      <c r="R167" s="55"/>
      <c r="S167" s="118" t="b">
        <v>0</v>
      </c>
      <c r="T167" s="177" t="b">
        <v>0</v>
      </c>
      <c r="U167" s="178">
        <v>44979.0</v>
      </c>
      <c r="V167" s="179">
        <v>0.4201388888888889</v>
      </c>
      <c r="W167" s="110" t="s">
        <v>320</v>
      </c>
      <c r="X167" s="180"/>
      <c r="Y167" s="118" t="b">
        <v>0</v>
      </c>
      <c r="Z167" s="169">
        <v>10.0</v>
      </c>
      <c r="AA167" s="196">
        <f t="shared" si="1"/>
        <v>0</v>
      </c>
      <c r="AB167" s="197" t="b">
        <f t="shared" si="2"/>
        <v>1</v>
      </c>
      <c r="AC167" s="247">
        <v>8.0</v>
      </c>
      <c r="AD167" s="169">
        <v>0.0</v>
      </c>
      <c r="AE167" s="169">
        <v>0.0</v>
      </c>
      <c r="AF167" s="169">
        <v>0.0</v>
      </c>
      <c r="AG167" s="169">
        <v>0.0</v>
      </c>
      <c r="AH167" s="169">
        <v>0.0</v>
      </c>
      <c r="AI167" s="169">
        <v>0.0</v>
      </c>
      <c r="AJ167" s="182" t="b">
        <v>0</v>
      </c>
      <c r="AK167" s="183">
        <v>8.0</v>
      </c>
      <c r="AL167" s="169">
        <v>0.0</v>
      </c>
      <c r="AM167" s="172" t="str">
        <f t="shared" si="53"/>
        <v>Audit</v>
      </c>
      <c r="AN167" s="198" t="str">
        <f>IFNA(VLOOKUP($A167,'Tube Reactions'!$J$2:$K259,2,FALSE),"")</f>
        <v/>
      </c>
      <c r="AO167" s="199" t="str">
        <f t="shared" si="20"/>
        <v>NOT EQUAL</v>
      </c>
      <c r="AP167" s="186" t="str">
        <f t="shared" si="36"/>
        <v/>
      </c>
      <c r="AQ167" s="187" t="b">
        <f t="shared" si="5"/>
        <v>1</v>
      </c>
      <c r="AR167" s="188">
        <v>166.0</v>
      </c>
      <c r="AS167" s="189"/>
      <c r="AT167" s="55"/>
      <c r="AU167" s="110" t="s">
        <v>934</v>
      </c>
      <c r="AV167" s="169"/>
      <c r="AW167" s="118"/>
      <c r="AX167" s="190"/>
      <c r="AY167" s="48"/>
      <c r="BA167" s="191"/>
      <c r="BB167" s="18"/>
      <c r="BC167" s="18"/>
      <c r="BD167" s="48"/>
      <c r="BE167" s="192"/>
      <c r="BF167" s="76">
        <f t="shared" si="11"/>
        <v>44979</v>
      </c>
      <c r="BG167" s="114" t="str">
        <f t="shared" si="12"/>
        <v>RUN-ABRM_2023-02-22_RFR-166</v>
      </c>
      <c r="BH167" s="83">
        <f t="shared" si="13"/>
        <v>10</v>
      </c>
      <c r="BI167" s="83">
        <f t="shared" si="14"/>
        <v>8</v>
      </c>
      <c r="BJ167" s="83">
        <f t="shared" si="15"/>
        <v>8</v>
      </c>
      <c r="BK167" s="83">
        <f t="shared" si="16"/>
        <v>0</v>
      </c>
      <c r="BL167" s="200">
        <f>IFNA(IF(VLOOKUP(FLOOR($B167,1),'APS Tubes by Date IMPORT'!$B$2:$J259,1,FALSE)=FLOOR($BL166,1),IFERROR(0/0,""),VLOOKUP(FLOOR($B167,1),'APS Tubes by Date IMPORT'!$B$2:$J259,1,FALSE)),"")</f>
        <v>44979</v>
      </c>
      <c r="BM167" s="83">
        <f>IF(ISBLANK($BL167),IFERROR(0/0,""),VLOOKUP(FLOOR($B167,1),'APS Tubes by Date IMPORT'!$B$2:$J259,2,FALSE))</f>
        <v>8</v>
      </c>
      <c r="BN167" s="114"/>
      <c r="BO167" s="83" t="str">
        <f>VLOOKUP(FLOOR($B167,1),'APS Tubes by Date IMPORT'!$B167:$I259,6,FALSE)</f>
        <v>#N/A</v>
      </c>
      <c r="BP167" s="83">
        <v>7.0</v>
      </c>
      <c r="BQ167" s="193">
        <f t="shared" si="17"/>
        <v>-1</v>
      </c>
      <c r="BR167" s="131">
        <v>3.0</v>
      </c>
      <c r="BS167" s="76" t="b">
        <f t="shared" si="18"/>
        <v>1</v>
      </c>
      <c r="BT167" s="194" t="str">
        <f t="shared" si="19"/>
        <v>Delete NULL</v>
      </c>
      <c r="BU167" s="256"/>
      <c r="BV167" s="256"/>
      <c r="BW167" s="256"/>
      <c r="BX167" s="256"/>
    </row>
    <row r="168">
      <c r="A168" s="18" t="str">
        <f>CONCATENATE("RUN-",'Process Ref'!$A$1,"_",TEXT(U168,"YYYY-MM-DD"),"_RFR-",TEXT(AR168,"000"),IF(EXACT(W168,"Initial"),"",CONCATENATE("_",W168)))</f>
        <v>RUN-ABRM_2023-02-23_RFR-167</v>
      </c>
      <c r="B168" s="251">
        <v>44980.43223344907</v>
      </c>
      <c r="C168" s="92"/>
      <c r="D168" s="92" t="s">
        <v>313</v>
      </c>
      <c r="E168" s="131">
        <v>11.0</v>
      </c>
      <c r="F168" s="92" t="s">
        <v>1037</v>
      </c>
      <c r="G168" s="252" t="s">
        <v>1038</v>
      </c>
      <c r="H168" s="252" t="s">
        <v>1039</v>
      </c>
      <c r="I168" s="252" t="s">
        <v>1040</v>
      </c>
      <c r="J168" s="172">
        <v>1.0</v>
      </c>
      <c r="K168" s="202"/>
      <c r="L168" s="246"/>
      <c r="M168" s="174"/>
      <c r="N168" s="209">
        <v>2.1</v>
      </c>
      <c r="O168" s="175"/>
      <c r="P168" s="118" t="b">
        <v>1</v>
      </c>
      <c r="Q168" s="118" t="b">
        <v>0</v>
      </c>
      <c r="R168" s="55"/>
      <c r="S168" s="118" t="b">
        <v>0</v>
      </c>
      <c r="T168" s="177" t="b">
        <v>1</v>
      </c>
      <c r="U168" s="178">
        <v>44980.0</v>
      </c>
      <c r="V168" s="179">
        <v>0.4652777777777778</v>
      </c>
      <c r="W168" s="110" t="s">
        <v>320</v>
      </c>
      <c r="X168" s="180"/>
      <c r="Y168" s="118" t="b">
        <v>0</v>
      </c>
      <c r="Z168" s="169">
        <v>11.0</v>
      </c>
      <c r="AA168" s="196">
        <f t="shared" si="1"/>
        <v>0</v>
      </c>
      <c r="AB168" s="197" t="b">
        <f t="shared" si="2"/>
        <v>1</v>
      </c>
      <c r="AC168" s="247">
        <v>9.0</v>
      </c>
      <c r="AD168" s="169">
        <v>0.0</v>
      </c>
      <c r="AE168" s="169">
        <v>0.0</v>
      </c>
      <c r="AF168" s="169">
        <v>0.0</v>
      </c>
      <c r="AG168" s="169">
        <v>0.0</v>
      </c>
      <c r="AH168" s="169">
        <v>0.0</v>
      </c>
      <c r="AI168" s="169">
        <v>0.0</v>
      </c>
      <c r="AJ168" s="182" t="b">
        <v>0</v>
      </c>
      <c r="AK168" s="183">
        <v>9.0</v>
      </c>
      <c r="AL168" s="169">
        <v>0.0</v>
      </c>
      <c r="AM168" s="172" t="str">
        <f t="shared" si="53"/>
        <v>Audit</v>
      </c>
      <c r="AN168" s="198" t="str">
        <f>IFNA(VLOOKUP($A168,'Tube Reactions'!$J$2:$K259,2,FALSE),"")</f>
        <v/>
      </c>
      <c r="AO168" s="199" t="str">
        <f t="shared" si="20"/>
        <v>NOT EQUAL</v>
      </c>
      <c r="AP168" s="186" t="str">
        <f t="shared" si="36"/>
        <v/>
      </c>
      <c r="AQ168" s="187" t="b">
        <f t="shared" si="5"/>
        <v>1</v>
      </c>
      <c r="AR168" s="188">
        <v>167.0</v>
      </c>
      <c r="AS168" s="189"/>
      <c r="AT168" s="55"/>
      <c r="AU168" s="110" t="s">
        <v>934</v>
      </c>
      <c r="AV168" s="169"/>
      <c r="AW168" s="118"/>
      <c r="AX168" s="190"/>
      <c r="AY168" s="48"/>
      <c r="BA168" s="191"/>
      <c r="BB168" s="18"/>
      <c r="BC168" s="18"/>
      <c r="BD168" s="48"/>
      <c r="BE168" s="192"/>
      <c r="BF168" s="76">
        <f t="shared" si="11"/>
        <v>44980</v>
      </c>
      <c r="BG168" s="114" t="str">
        <f t="shared" si="12"/>
        <v>RUN-ABRM_2023-02-23_RFR-167</v>
      </c>
      <c r="BH168" s="83">
        <f t="shared" si="13"/>
        <v>11</v>
      </c>
      <c r="BI168" s="83">
        <f t="shared" si="14"/>
        <v>9</v>
      </c>
      <c r="BJ168" s="83">
        <f t="shared" si="15"/>
        <v>9</v>
      </c>
      <c r="BK168" s="83">
        <f t="shared" si="16"/>
        <v>0</v>
      </c>
      <c r="BL168" s="200">
        <f>IFNA(IF(VLOOKUP(FLOOR($B168,1),'APS Tubes by Date IMPORT'!$B$2:$J259,1,FALSE)=FLOOR($BL167,1),IFERROR(0/0,""),VLOOKUP(FLOOR($B168,1),'APS Tubes by Date IMPORT'!$B$2:$J259,1,FALSE)),"")</f>
        <v>44980</v>
      </c>
      <c r="BM168" s="83">
        <f>IF(ISBLANK($BL168),IFERROR(0/0,""),VLOOKUP(FLOOR($B168,1),'APS Tubes by Date IMPORT'!$B$2:$J259,2,FALSE))</f>
        <v>9</v>
      </c>
      <c r="BN168" s="114"/>
      <c r="BO168" s="83" t="str">
        <f>VLOOKUP(FLOOR($B168,1),'APS Tubes by Date IMPORT'!$B168:$I259,6,FALSE)</f>
        <v>#N/A</v>
      </c>
      <c r="BP168" s="83">
        <v>7.0</v>
      </c>
      <c r="BQ168" s="193">
        <f t="shared" si="17"/>
        <v>-2</v>
      </c>
      <c r="BR168" s="131">
        <v>3.0</v>
      </c>
      <c r="BS168" s="76" t="b">
        <f t="shared" si="18"/>
        <v>1</v>
      </c>
      <c r="BT168" s="194" t="str">
        <f t="shared" si="19"/>
        <v>Delete NULL</v>
      </c>
      <c r="BU168" s="256"/>
      <c r="BV168" s="256"/>
      <c r="BW168" s="256"/>
      <c r="BX168" s="256"/>
    </row>
    <row r="169">
      <c r="A169" s="18" t="str">
        <f>CONCATENATE("RUN-",'Process Ref'!$A$1,"_",TEXT(U169,"YYYY-MM-DD"),"_RFR-",TEXT(AR169,"000"),IF(EXACT(W169,"Initial"),"",CONCATENATE("_",W169)))</f>
        <v>RUN-ABRM_2023-02-23_RFR-168_Re-run</v>
      </c>
      <c r="B169" s="251">
        <v>44980.45957490741</v>
      </c>
      <c r="C169" s="92"/>
      <c r="D169" s="92" t="s">
        <v>313</v>
      </c>
      <c r="E169" s="131">
        <v>5.0</v>
      </c>
      <c r="F169" s="92" t="s">
        <v>1037</v>
      </c>
      <c r="G169" s="252" t="s">
        <v>1041</v>
      </c>
      <c r="H169" s="252" t="s">
        <v>1042</v>
      </c>
      <c r="I169" s="252" t="s">
        <v>1043</v>
      </c>
      <c r="J169" s="172"/>
      <c r="K169" s="202"/>
      <c r="L169" s="246"/>
      <c r="M169" s="174"/>
      <c r="N169" s="174"/>
      <c r="O169" s="175"/>
      <c r="P169" s="118" t="b">
        <v>0</v>
      </c>
      <c r="Q169" s="118" t="b">
        <v>0</v>
      </c>
      <c r="R169" s="55"/>
      <c r="S169" s="118" t="b">
        <v>0</v>
      </c>
      <c r="T169" s="177" t="b">
        <v>1</v>
      </c>
      <c r="U169" s="178">
        <v>44980.0</v>
      </c>
      <c r="V169" s="179">
        <v>0.5208333333333334</v>
      </c>
      <c r="W169" s="110" t="s">
        <v>339</v>
      </c>
      <c r="X169" s="180"/>
      <c r="Y169" s="118" t="b">
        <v>0</v>
      </c>
      <c r="Z169" s="169">
        <v>5.0</v>
      </c>
      <c r="AA169" s="196">
        <f t="shared" si="1"/>
        <v>0</v>
      </c>
      <c r="AB169" s="197" t="b">
        <f t="shared" si="2"/>
        <v>1</v>
      </c>
      <c r="AC169" s="247">
        <v>3.0</v>
      </c>
      <c r="AD169" s="169">
        <v>0.0</v>
      </c>
      <c r="AE169" s="169">
        <v>0.0</v>
      </c>
      <c r="AF169" s="169">
        <v>0.0</v>
      </c>
      <c r="AG169" s="169">
        <v>0.0</v>
      </c>
      <c r="AH169" s="169">
        <v>0.0</v>
      </c>
      <c r="AI169" s="169">
        <v>0.0</v>
      </c>
      <c r="AJ169" s="182" t="b">
        <v>0</v>
      </c>
      <c r="AK169" s="183">
        <v>1.0</v>
      </c>
      <c r="AL169" s="169">
        <v>0.0</v>
      </c>
      <c r="AM169" s="172" t="str">
        <f t="shared" si="53"/>
        <v/>
      </c>
      <c r="AN169" s="198" t="str">
        <f>IFNA(VLOOKUP($A169,'Tube Reactions'!$J$2:$K259,2,FALSE),"")</f>
        <v/>
      </c>
      <c r="AO169" s="199" t="str">
        <f t="shared" si="20"/>
        <v/>
      </c>
      <c r="AP169" s="186" t="str">
        <f t="shared" si="36"/>
        <v/>
      </c>
      <c r="AQ169" s="187" t="b">
        <f t="shared" si="5"/>
        <v>1</v>
      </c>
      <c r="AR169" s="188">
        <v>168.0</v>
      </c>
      <c r="AS169" s="189"/>
      <c r="AT169" s="55"/>
      <c r="AU169" s="110" t="s">
        <v>934</v>
      </c>
      <c r="AV169" s="169"/>
      <c r="AW169" s="118"/>
      <c r="AX169" s="190"/>
      <c r="AY169" s="48"/>
      <c r="BA169" s="191"/>
      <c r="BB169" s="18"/>
      <c r="BC169" s="18"/>
      <c r="BD169" s="48"/>
      <c r="BE169" s="192"/>
      <c r="BF169" s="76" t="str">
        <f t="shared" si="11"/>
        <v/>
      </c>
      <c r="BG169" s="114" t="str">
        <f t="shared" si="12"/>
        <v/>
      </c>
      <c r="BH169" s="83" t="str">
        <f t="shared" si="13"/>
        <v/>
      </c>
      <c r="BI169" s="83" t="str">
        <f t="shared" si="14"/>
        <v/>
      </c>
      <c r="BJ169" s="83" t="str">
        <f t="shared" si="15"/>
        <v/>
      </c>
      <c r="BK169" s="83" t="str">
        <f t="shared" si="16"/>
        <v/>
      </c>
      <c r="BL169" s="200" t="str">
        <f>IFNA(IF(VLOOKUP(FLOOR($B169,1),'APS Tubes by Date IMPORT'!$B$2:$J259,1,FALSE)=FLOOR($BL168,1),IFERROR(0/0,""),VLOOKUP(FLOOR($B169,1),'APS Tubes by Date IMPORT'!$B$2:$J259,1,FALSE)),"")</f>
        <v/>
      </c>
      <c r="BM169" s="83" t="str">
        <f>IF(ISBLANK($BL169),IFERROR(0/0,""),VLOOKUP(FLOOR($B169,1),'APS Tubes by Date IMPORT'!$B$2:$J259,2,FALSE))</f>
        <v/>
      </c>
      <c r="BN169" s="114"/>
      <c r="BO169" s="83" t="str">
        <f>VLOOKUP(FLOOR($B169,1),'APS Tubes by Date IMPORT'!$B169:$I259,6,FALSE)</f>
        <v>#N/A</v>
      </c>
      <c r="BP169" s="83">
        <v>7.0</v>
      </c>
      <c r="BQ169" s="193">
        <f t="shared" si="17"/>
        <v>7</v>
      </c>
      <c r="BR169" s="131">
        <v>3.0</v>
      </c>
      <c r="BS169" s="76" t="b">
        <f t="shared" si="18"/>
        <v>1</v>
      </c>
      <c r="BT169" s="194" t="str">
        <f t="shared" si="19"/>
        <v>Delete NULL</v>
      </c>
      <c r="BU169" s="256"/>
      <c r="BV169" s="256"/>
      <c r="BW169" s="256"/>
      <c r="BX169" s="256"/>
    </row>
    <row r="170">
      <c r="A170" s="18" t="str">
        <f>CONCATENATE("RUN-",'Process Ref'!$A$1,"_",TEXT(U170,"YYYY-MM-DD"),"_RFR-",TEXT(AR170,"000"),IF(EXACT(W170,"Initial"),"",CONCATENATE("_",W170)))</f>
        <v>RUN-ABRM_2023-02-24_RFR-169</v>
      </c>
      <c r="B170" s="251">
        <v>44981.377105277774</v>
      </c>
      <c r="C170" s="92"/>
      <c r="D170" s="92" t="s">
        <v>313</v>
      </c>
      <c r="E170" s="131">
        <v>9.0</v>
      </c>
      <c r="F170" s="92" t="s">
        <v>1037</v>
      </c>
      <c r="G170" s="252" t="s">
        <v>1044</v>
      </c>
      <c r="H170" s="252" t="s">
        <v>1045</v>
      </c>
      <c r="I170" s="252" t="s">
        <v>1046</v>
      </c>
      <c r="J170" s="172"/>
      <c r="K170" s="202" t="s">
        <v>1047</v>
      </c>
      <c r="L170" s="246"/>
      <c r="M170" s="174"/>
      <c r="N170" s="174"/>
      <c r="O170" s="175"/>
      <c r="P170" s="118" t="b">
        <v>0</v>
      </c>
      <c r="Q170" s="118" t="b">
        <v>0</v>
      </c>
      <c r="R170" s="55"/>
      <c r="S170" s="118" t="b">
        <v>0</v>
      </c>
      <c r="T170" s="177" t="b">
        <v>1</v>
      </c>
      <c r="U170" s="178">
        <v>44981.0</v>
      </c>
      <c r="V170" s="179">
        <v>0.4166666666666667</v>
      </c>
      <c r="W170" s="110" t="s">
        <v>320</v>
      </c>
      <c r="X170" s="202" t="s">
        <v>1047</v>
      </c>
      <c r="Y170" s="118" t="b">
        <v>1</v>
      </c>
      <c r="Z170" s="169">
        <v>9.0</v>
      </c>
      <c r="AA170" s="196">
        <f t="shared" si="1"/>
        <v>0</v>
      </c>
      <c r="AB170" s="197" t="b">
        <f t="shared" si="2"/>
        <v>1</v>
      </c>
      <c r="AC170" s="247">
        <v>7.0</v>
      </c>
      <c r="AD170" s="169">
        <v>0.0</v>
      </c>
      <c r="AE170" s="169">
        <v>0.0</v>
      </c>
      <c r="AF170" s="169">
        <v>0.0</v>
      </c>
      <c r="AG170" s="169">
        <v>1.0</v>
      </c>
      <c r="AH170" s="169">
        <v>1.0</v>
      </c>
      <c r="AI170" s="169">
        <v>0.0</v>
      </c>
      <c r="AJ170" s="182" t="b">
        <v>0</v>
      </c>
      <c r="AK170" s="183">
        <v>7.0</v>
      </c>
      <c r="AL170" s="169">
        <v>4.0</v>
      </c>
      <c r="AM170" s="172" t="str">
        <f t="shared" si="53"/>
        <v>Audit</v>
      </c>
      <c r="AN170" s="198" t="str">
        <f>IFNA(VLOOKUP($A170,'Tube Reactions'!$J$2:$K259,2,FALSE),"")</f>
        <v/>
      </c>
      <c r="AO170" s="199" t="str">
        <f t="shared" si="20"/>
        <v>NOT EQUAL</v>
      </c>
      <c r="AP170" s="186" t="str">
        <f t="shared" si="36"/>
        <v/>
      </c>
      <c r="AQ170" s="187" t="b">
        <f t="shared" si="5"/>
        <v>1</v>
      </c>
      <c r="AR170" s="188">
        <v>169.0</v>
      </c>
      <c r="AS170" s="189"/>
      <c r="AT170" s="55"/>
      <c r="AU170" s="110" t="s">
        <v>934</v>
      </c>
      <c r="AV170" s="169"/>
      <c r="AW170" s="118"/>
      <c r="AX170" s="190"/>
      <c r="AY170" s="48"/>
      <c r="BA170" s="191"/>
      <c r="BB170" s="18"/>
      <c r="BC170" s="18"/>
      <c r="BD170" s="48"/>
      <c r="BE170" s="192"/>
      <c r="BF170" s="76">
        <f t="shared" si="11"/>
        <v>44981</v>
      </c>
      <c r="BG170" s="114" t="str">
        <f t="shared" si="12"/>
        <v>RUN-ABRM_2023-02-24_RFR-169</v>
      </c>
      <c r="BH170" s="83">
        <f t="shared" si="13"/>
        <v>9</v>
      </c>
      <c r="BI170" s="83">
        <f t="shared" si="14"/>
        <v>7</v>
      </c>
      <c r="BJ170" s="83">
        <f t="shared" si="15"/>
        <v>7</v>
      </c>
      <c r="BK170" s="83">
        <f t="shared" si="16"/>
        <v>4</v>
      </c>
      <c r="BL170" s="200">
        <f>IFNA(IF(VLOOKUP(FLOOR($B170,1),'APS Tubes by Date IMPORT'!$B$2:$J259,1,FALSE)=FLOOR($BL169,1),IFERROR(0/0,""),VLOOKUP(FLOOR($B170,1),'APS Tubes by Date IMPORT'!$B$2:$J259,1,FALSE)),"")</f>
        <v>44981</v>
      </c>
      <c r="BM170" s="83">
        <f>IF(ISBLANK($BL170),IFERROR(0/0,""),VLOOKUP(FLOOR($B170,1),'APS Tubes by Date IMPORT'!$B$2:$J259,2,FALSE))</f>
        <v>7</v>
      </c>
      <c r="BN170" s="114"/>
      <c r="BO170" s="83" t="str">
        <f>VLOOKUP(FLOOR($B170,1),'APS Tubes by Date IMPORT'!$B170:$I259,6,FALSE)</f>
        <v>#N/A</v>
      </c>
      <c r="BP170" s="83">
        <v>7.0</v>
      </c>
      <c r="BQ170" s="193">
        <f t="shared" si="17"/>
        <v>0</v>
      </c>
      <c r="BR170" s="131">
        <v>3.0</v>
      </c>
      <c r="BS170" s="76" t="b">
        <f t="shared" si="18"/>
        <v>1</v>
      </c>
      <c r="BT170" s="194" t="str">
        <f t="shared" si="19"/>
        <v>Delete NULL</v>
      </c>
      <c r="BU170" s="256"/>
      <c r="BV170" s="256"/>
      <c r="BW170" s="256"/>
      <c r="BX170" s="256"/>
    </row>
    <row r="171">
      <c r="A171" s="18" t="str">
        <f>CONCATENATE("RUN-",'Process Ref'!$A$1,"_",TEXT(U171,"YYYY-MM-DD"),"_RFR-",TEXT(AR171,"000"),IF(EXACT(W171,"Initial"),"",CONCATENATE("_",W171)))</f>
        <v>RUN-ABRM_2023-02-24_RFR-170_Re-run</v>
      </c>
      <c r="B171" s="251">
        <v>44981.402470381945</v>
      </c>
      <c r="C171" s="92"/>
      <c r="D171" s="92" t="s">
        <v>313</v>
      </c>
      <c r="E171" s="131">
        <v>5.0</v>
      </c>
      <c r="F171" s="92" t="s">
        <v>1048</v>
      </c>
      <c r="G171" s="252" t="s">
        <v>1049</v>
      </c>
      <c r="H171" s="252" t="s">
        <v>1050</v>
      </c>
      <c r="I171" s="252" t="s">
        <v>1051</v>
      </c>
      <c r="J171" s="172"/>
      <c r="K171" s="202"/>
      <c r="L171" s="246"/>
      <c r="M171" s="174"/>
      <c r="N171" s="174"/>
      <c r="O171" s="175"/>
      <c r="P171" s="118" t="b">
        <v>0</v>
      </c>
      <c r="Q171" s="118" t="b">
        <v>0</v>
      </c>
      <c r="R171" s="55"/>
      <c r="S171" s="118" t="b">
        <v>0</v>
      </c>
      <c r="T171" s="177" t="b">
        <v>1</v>
      </c>
      <c r="U171" s="178">
        <v>44981.0</v>
      </c>
      <c r="V171" s="179">
        <v>0.4618055555555556</v>
      </c>
      <c r="W171" s="110" t="s">
        <v>339</v>
      </c>
      <c r="X171" s="180"/>
      <c r="Y171" s="118" t="b">
        <v>0</v>
      </c>
      <c r="Z171" s="169">
        <v>5.0</v>
      </c>
      <c r="AA171" s="196">
        <f t="shared" si="1"/>
        <v>0</v>
      </c>
      <c r="AB171" s="197" t="b">
        <f t="shared" si="2"/>
        <v>1</v>
      </c>
      <c r="AC171" s="247">
        <v>3.0</v>
      </c>
      <c r="AD171" s="169">
        <v>0.0</v>
      </c>
      <c r="AE171" s="169">
        <v>0.0</v>
      </c>
      <c r="AF171" s="169">
        <v>0.0</v>
      </c>
      <c r="AG171" s="169">
        <v>0.0</v>
      </c>
      <c r="AH171" s="169">
        <v>0.0</v>
      </c>
      <c r="AI171" s="169">
        <v>0.0</v>
      </c>
      <c r="AJ171" s="182" t="b">
        <v>0</v>
      </c>
      <c r="AK171" s="183">
        <v>1.0</v>
      </c>
      <c r="AL171" s="169">
        <v>0.0</v>
      </c>
      <c r="AM171" s="172" t="str">
        <f t="shared" si="53"/>
        <v/>
      </c>
      <c r="AN171" s="198" t="str">
        <f>IFNA(VLOOKUP($A171,'Tube Reactions'!$J$2:$K259,2,FALSE),"")</f>
        <v/>
      </c>
      <c r="AO171" s="199" t="str">
        <f t="shared" si="20"/>
        <v/>
      </c>
      <c r="AP171" s="186" t="str">
        <f t="shared" si="36"/>
        <v/>
      </c>
      <c r="AQ171" s="187" t="b">
        <f t="shared" si="5"/>
        <v>1</v>
      </c>
      <c r="AR171" s="188">
        <v>170.0</v>
      </c>
      <c r="AS171" s="189"/>
      <c r="AT171" s="55"/>
      <c r="AU171" s="110" t="s">
        <v>934</v>
      </c>
      <c r="AV171" s="169"/>
      <c r="AW171" s="118"/>
      <c r="AX171" s="190"/>
      <c r="AY171" s="48"/>
      <c r="BA171" s="191"/>
      <c r="BB171" s="18"/>
      <c r="BC171" s="18"/>
      <c r="BD171" s="48"/>
      <c r="BE171" s="192"/>
      <c r="BF171" s="76" t="str">
        <f t="shared" si="11"/>
        <v/>
      </c>
      <c r="BG171" s="114" t="str">
        <f t="shared" si="12"/>
        <v/>
      </c>
      <c r="BH171" s="83" t="str">
        <f t="shared" si="13"/>
        <v/>
      </c>
      <c r="BI171" s="83" t="str">
        <f t="shared" si="14"/>
        <v/>
      </c>
      <c r="BJ171" s="83" t="str">
        <f t="shared" si="15"/>
        <v/>
      </c>
      <c r="BK171" s="83" t="str">
        <f t="shared" si="16"/>
        <v/>
      </c>
      <c r="BL171" s="200" t="str">
        <f>IFNA(IF(VLOOKUP(FLOOR($B171,1),'APS Tubes by Date IMPORT'!$B$2:$J259,1,FALSE)=FLOOR($BL170,1),IFERROR(0/0,""),VLOOKUP(FLOOR($B171,1),'APS Tubes by Date IMPORT'!$B$2:$J259,1,FALSE)),"")</f>
        <v/>
      </c>
      <c r="BM171" s="83" t="str">
        <f>IF(ISBLANK($BL171),IFERROR(0/0,""),VLOOKUP(FLOOR($B171,1),'APS Tubes by Date IMPORT'!$B$2:$J259,2,FALSE))</f>
        <v/>
      </c>
      <c r="BN171" s="114"/>
      <c r="BO171" s="83" t="str">
        <f>VLOOKUP(FLOOR($B171,1),'APS Tubes by Date IMPORT'!$B171:$I259,6,FALSE)</f>
        <v>#N/A</v>
      </c>
      <c r="BP171" s="83">
        <v>7.0</v>
      </c>
      <c r="BQ171" s="193">
        <f t="shared" si="17"/>
        <v>7</v>
      </c>
      <c r="BR171" s="131">
        <v>3.0</v>
      </c>
      <c r="BS171" s="76" t="b">
        <f t="shared" si="18"/>
        <v>1</v>
      </c>
      <c r="BT171" s="194" t="str">
        <f t="shared" si="19"/>
        <v>Delete NULL</v>
      </c>
      <c r="BU171" s="256"/>
      <c r="BV171" s="256"/>
      <c r="BW171" s="256"/>
      <c r="BX171" s="256"/>
    </row>
    <row r="172">
      <c r="A172" s="18" t="str">
        <f>CONCATENATE("RUN-",'Process Ref'!$A$1,"_",TEXT(U172,"YYYY-MM-DD"),"_RFR-",TEXT(AR172,"000"),IF(EXACT(W172,"Initial"),"",CONCATENATE("_",W172)))</f>
        <v>RUN-ABRM_2023-02-27_RFR-171</v>
      </c>
      <c r="B172" s="251">
        <v>44984.41875747685</v>
      </c>
      <c r="C172" s="92"/>
      <c r="D172" s="92" t="s">
        <v>313</v>
      </c>
      <c r="E172" s="131">
        <v>12.0</v>
      </c>
      <c r="F172" s="92" t="s">
        <v>1052</v>
      </c>
      <c r="G172" s="252" t="s">
        <v>1053</v>
      </c>
      <c r="H172" s="252" t="s">
        <v>1054</v>
      </c>
      <c r="I172" s="252" t="s">
        <v>1055</v>
      </c>
      <c r="J172" s="172">
        <v>1.0</v>
      </c>
      <c r="K172" s="202"/>
      <c r="L172" s="246"/>
      <c r="M172" s="174"/>
      <c r="N172" s="174"/>
      <c r="O172" s="175"/>
      <c r="P172" s="118" t="b">
        <v>0</v>
      </c>
      <c r="Q172" s="118" t="b">
        <v>0</v>
      </c>
      <c r="R172" s="55"/>
      <c r="S172" s="118" t="b">
        <v>0</v>
      </c>
      <c r="T172" s="177" t="b">
        <v>1</v>
      </c>
      <c r="U172" s="178">
        <v>44984.0</v>
      </c>
      <c r="V172" s="179">
        <v>0.4270833333333333</v>
      </c>
      <c r="W172" s="110" t="s">
        <v>320</v>
      </c>
      <c r="X172" s="180"/>
      <c r="Y172" s="118" t="b">
        <v>0</v>
      </c>
      <c r="Z172" s="169">
        <v>12.0</v>
      </c>
      <c r="AA172" s="196">
        <f t="shared" si="1"/>
        <v>0</v>
      </c>
      <c r="AB172" s="197" t="b">
        <f t="shared" si="2"/>
        <v>1</v>
      </c>
      <c r="AC172" s="247">
        <v>10.0</v>
      </c>
      <c r="AD172" s="169">
        <v>1.0</v>
      </c>
      <c r="AE172" s="169">
        <v>1.0</v>
      </c>
      <c r="AF172" s="169">
        <v>0.0</v>
      </c>
      <c r="AG172" s="169">
        <v>0.0</v>
      </c>
      <c r="AH172" s="169">
        <v>0.0</v>
      </c>
      <c r="AI172" s="169">
        <v>0.0</v>
      </c>
      <c r="AJ172" s="182" t="b">
        <v>0</v>
      </c>
      <c r="AK172" s="183">
        <v>10.0</v>
      </c>
      <c r="AL172" s="169">
        <v>1.1</v>
      </c>
      <c r="AM172" s="169">
        <v>1.0</v>
      </c>
      <c r="AN172" s="198" t="str">
        <f>IFNA(VLOOKUP($A172,'Tube Reactions'!$J$2:$K259,2,FALSE),"")</f>
        <v/>
      </c>
      <c r="AO172" s="199" t="str">
        <f t="shared" si="20"/>
        <v>NOT EQUAL</v>
      </c>
      <c r="AP172" s="186" t="str">
        <f t="shared" si="36"/>
        <v/>
      </c>
      <c r="AQ172" s="187" t="b">
        <f t="shared" si="5"/>
        <v>1</v>
      </c>
      <c r="AR172" s="188">
        <v>171.0</v>
      </c>
      <c r="AS172" s="189"/>
      <c r="AT172" s="55"/>
      <c r="AU172" s="110" t="s">
        <v>934</v>
      </c>
      <c r="AV172" s="169"/>
      <c r="AW172" s="118"/>
      <c r="AX172" s="190"/>
      <c r="AY172" s="48"/>
      <c r="BA172" s="191"/>
      <c r="BB172" s="18"/>
      <c r="BC172" s="18"/>
      <c r="BD172" s="48"/>
      <c r="BE172" s="192"/>
      <c r="BF172" s="76">
        <f t="shared" si="11"/>
        <v>44984</v>
      </c>
      <c r="BG172" s="114" t="str">
        <f t="shared" si="12"/>
        <v>RUN-ABRM_2023-02-27_RFR-171</v>
      </c>
      <c r="BH172" s="83">
        <f t="shared" si="13"/>
        <v>12</v>
      </c>
      <c r="BI172" s="83">
        <f t="shared" si="14"/>
        <v>10</v>
      </c>
      <c r="BJ172" s="83">
        <f t="shared" si="15"/>
        <v>10</v>
      </c>
      <c r="BK172" s="83">
        <f t="shared" si="16"/>
        <v>1.1</v>
      </c>
      <c r="BL172" s="200">
        <f>IFNA(IF(VLOOKUP(FLOOR($B172,1),'APS Tubes by Date IMPORT'!$B$2:$J259,1,FALSE)=FLOOR($BL171,1),IFERROR(0/0,""),VLOOKUP(FLOOR($B172,1),'APS Tubes by Date IMPORT'!$B$2:$J259,1,FALSE)),"")</f>
        <v>44984</v>
      </c>
      <c r="BM172" s="83">
        <f>IF(ISBLANK($BL172),IFERROR(0/0,""),VLOOKUP(FLOOR($B172,1),'APS Tubes by Date IMPORT'!$B$2:$J259,2,FALSE))</f>
        <v>10</v>
      </c>
      <c r="BN172" s="114"/>
      <c r="BO172" s="83" t="str">
        <f>VLOOKUP(FLOOR($B172,1),'APS Tubes by Date IMPORT'!$B172:$I259,6,FALSE)</f>
        <v>#N/A</v>
      </c>
      <c r="BP172" s="83">
        <v>7.0</v>
      </c>
      <c r="BQ172" s="193">
        <f t="shared" si="17"/>
        <v>-3</v>
      </c>
      <c r="BR172" s="131">
        <v>3.0</v>
      </c>
      <c r="BS172" s="76" t="b">
        <f t="shared" si="18"/>
        <v>1</v>
      </c>
      <c r="BT172" s="194" t="str">
        <f t="shared" si="19"/>
        <v>Delete NULL</v>
      </c>
      <c r="BU172" s="256"/>
      <c r="BV172" s="256"/>
      <c r="BW172" s="256"/>
      <c r="BX172" s="256"/>
    </row>
    <row r="173">
      <c r="A173" s="18" t="str">
        <f>CONCATENATE("RUN-",'Process Ref'!$A$1,"_",TEXT(U173,"YYYY-MM-DD"),"_RFR-",TEXT(AR173,"000"),IF(EXACT(W173,"Initial"),"",CONCATENATE("_",W173)))</f>
        <v>RUN-ABRM_2023-02-27_RFR-172_Re-run</v>
      </c>
      <c r="B173" s="251">
        <v>44984.43115813658</v>
      </c>
      <c r="C173" s="92"/>
      <c r="D173" s="92" t="s">
        <v>313</v>
      </c>
      <c r="E173" s="131">
        <v>5.0</v>
      </c>
      <c r="F173" s="92" t="s">
        <v>1052</v>
      </c>
      <c r="G173" s="252" t="s">
        <v>1056</v>
      </c>
      <c r="H173" s="252" t="s">
        <v>1057</v>
      </c>
      <c r="I173" s="252" t="s">
        <v>1058</v>
      </c>
      <c r="J173" s="172"/>
      <c r="K173" s="202" t="s">
        <v>1059</v>
      </c>
      <c r="L173" s="246"/>
      <c r="M173" s="174"/>
      <c r="N173" s="174"/>
      <c r="O173" s="175"/>
      <c r="P173" s="118" t="b">
        <v>0</v>
      </c>
      <c r="Q173" s="118" t="b">
        <v>0</v>
      </c>
      <c r="R173" s="55"/>
      <c r="S173" s="118" t="b">
        <v>0</v>
      </c>
      <c r="T173" s="177" t="b">
        <v>1</v>
      </c>
      <c r="U173" s="178">
        <v>44984.0</v>
      </c>
      <c r="V173" s="179">
        <v>0.5</v>
      </c>
      <c r="W173" s="110" t="s">
        <v>339</v>
      </c>
      <c r="X173" s="180"/>
      <c r="Y173" s="118" t="b">
        <v>0</v>
      </c>
      <c r="Z173" s="169">
        <v>5.0</v>
      </c>
      <c r="AA173" s="196">
        <f t="shared" si="1"/>
        <v>0</v>
      </c>
      <c r="AB173" s="197" t="b">
        <f t="shared" si="2"/>
        <v>1</v>
      </c>
      <c r="AC173" s="247">
        <v>3.0</v>
      </c>
      <c r="AD173" s="169">
        <v>0.0</v>
      </c>
      <c r="AE173" s="169">
        <v>0.0</v>
      </c>
      <c r="AF173" s="169">
        <v>0.0</v>
      </c>
      <c r="AG173" s="169">
        <v>0.0</v>
      </c>
      <c r="AH173" s="169">
        <v>0.0</v>
      </c>
      <c r="AI173" s="169">
        <v>0.0</v>
      </c>
      <c r="AJ173" s="182" t="b">
        <v>0</v>
      </c>
      <c r="AK173" s="183">
        <v>1.0</v>
      </c>
      <c r="AL173" s="169">
        <v>0.0</v>
      </c>
      <c r="AM173" s="172" t="str">
        <f t="shared" ref="AM173:AM200" si="54">IF(EXACT(W173,"Initial"),"Audit","")</f>
        <v/>
      </c>
      <c r="AN173" s="198" t="str">
        <f>IFNA(VLOOKUP($A173,'Tube Reactions'!$J$2:$K259,2,FALSE),"")</f>
        <v/>
      </c>
      <c r="AO173" s="199" t="str">
        <f t="shared" si="20"/>
        <v/>
      </c>
      <c r="AP173" s="186" t="str">
        <f t="shared" si="36"/>
        <v/>
      </c>
      <c r="AQ173" s="187" t="b">
        <f t="shared" si="5"/>
        <v>1</v>
      </c>
      <c r="AR173" s="188">
        <v>172.0</v>
      </c>
      <c r="AS173" s="189"/>
      <c r="AT173" s="55"/>
      <c r="AU173" s="110" t="s">
        <v>934</v>
      </c>
      <c r="AV173" s="169"/>
      <c r="AW173" s="118"/>
      <c r="AX173" s="190"/>
      <c r="AY173" s="48"/>
      <c r="BA173" s="191"/>
      <c r="BB173" s="18"/>
      <c r="BC173" s="18"/>
      <c r="BD173" s="48"/>
      <c r="BE173" s="192"/>
      <c r="BF173" s="76" t="str">
        <f t="shared" si="11"/>
        <v/>
      </c>
      <c r="BG173" s="114" t="str">
        <f t="shared" si="12"/>
        <v/>
      </c>
      <c r="BH173" s="83" t="str">
        <f t="shared" si="13"/>
        <v/>
      </c>
      <c r="BI173" s="83" t="str">
        <f t="shared" si="14"/>
        <v/>
      </c>
      <c r="BJ173" s="83" t="str">
        <f t="shared" si="15"/>
        <v/>
      </c>
      <c r="BK173" s="83" t="str">
        <f t="shared" si="16"/>
        <v/>
      </c>
      <c r="BL173" s="200" t="str">
        <f>IFNA(IF(VLOOKUP(FLOOR($B173,1),'APS Tubes by Date IMPORT'!$B$2:$J259,1,FALSE)=FLOOR($BL172,1),IFERROR(0/0,""),VLOOKUP(FLOOR($B173,1),'APS Tubes by Date IMPORT'!$B$2:$J259,1,FALSE)),"")</f>
        <v/>
      </c>
      <c r="BM173" s="83" t="str">
        <f>IF(ISBLANK($BL173),IFERROR(0/0,""),VLOOKUP(FLOOR($B173,1),'APS Tubes by Date IMPORT'!$B$2:$J259,2,FALSE))</f>
        <v/>
      </c>
      <c r="BN173" s="114"/>
      <c r="BO173" s="83" t="str">
        <f>VLOOKUP(FLOOR($B173,1),'APS Tubes by Date IMPORT'!$B173:$I259,6,FALSE)</f>
        <v>#N/A</v>
      </c>
      <c r="BP173" s="83">
        <v>7.0</v>
      </c>
      <c r="BQ173" s="193">
        <f t="shared" si="17"/>
        <v>7</v>
      </c>
      <c r="BR173" s="131">
        <v>3.0</v>
      </c>
      <c r="BS173" s="76" t="b">
        <f t="shared" si="18"/>
        <v>1</v>
      </c>
      <c r="BT173" s="194" t="str">
        <f t="shared" si="19"/>
        <v>Delete NULL</v>
      </c>
      <c r="BU173" s="256"/>
      <c r="BV173" s="256"/>
      <c r="BW173" s="256"/>
      <c r="BX173" s="256"/>
    </row>
    <row r="174">
      <c r="A174" s="18" t="str">
        <f>CONCATENATE("RUN-",'Process Ref'!$A$1,"_",TEXT(U174,"YYYY-MM-DD"),"_RFR-",TEXT(AR174,"000"),IF(EXACT(W174,"Initial"),"",CONCATENATE("_",W174)))</f>
        <v>RUN-ABRM_2023-02-28_RFR-173</v>
      </c>
      <c r="B174" s="251">
        <v>44985.384916111114</v>
      </c>
      <c r="C174" s="92"/>
      <c r="D174" s="92" t="s">
        <v>313</v>
      </c>
      <c r="E174" s="131">
        <v>9.0</v>
      </c>
      <c r="F174" s="92" t="s">
        <v>1060</v>
      </c>
      <c r="G174" s="252" t="s">
        <v>1061</v>
      </c>
      <c r="H174" s="252" t="s">
        <v>1062</v>
      </c>
      <c r="I174" s="252" t="s">
        <v>1063</v>
      </c>
      <c r="J174" s="172">
        <v>1.0</v>
      </c>
      <c r="K174" s="202" t="s">
        <v>1064</v>
      </c>
      <c r="L174" s="246"/>
      <c r="M174" s="174"/>
      <c r="N174" s="174"/>
      <c r="O174" s="175"/>
      <c r="P174" s="118" t="b">
        <v>0</v>
      </c>
      <c r="Q174" s="118" t="b">
        <v>0</v>
      </c>
      <c r="R174" s="55"/>
      <c r="S174" s="118" t="b">
        <v>0</v>
      </c>
      <c r="T174" s="177" t="b">
        <v>1</v>
      </c>
      <c r="U174" s="178">
        <v>44985.0</v>
      </c>
      <c r="V174" s="179">
        <v>0.4166666666666667</v>
      </c>
      <c r="W174" s="110" t="s">
        <v>320</v>
      </c>
      <c r="X174" s="203" t="s">
        <v>1065</v>
      </c>
      <c r="Y174" s="118" t="b">
        <v>0</v>
      </c>
      <c r="Z174" s="169">
        <v>9.0</v>
      </c>
      <c r="AA174" s="196">
        <f t="shared" si="1"/>
        <v>0</v>
      </c>
      <c r="AB174" s="197" t="b">
        <f t="shared" si="2"/>
        <v>1</v>
      </c>
      <c r="AC174" s="247">
        <v>7.0</v>
      </c>
      <c r="AD174" s="169">
        <v>0.0</v>
      </c>
      <c r="AE174" s="169">
        <v>0.0</v>
      </c>
      <c r="AF174" s="169">
        <v>0.0</v>
      </c>
      <c r="AG174" s="169">
        <v>1.0</v>
      </c>
      <c r="AH174" s="169">
        <v>0.0</v>
      </c>
      <c r="AI174" s="169">
        <v>0.0</v>
      </c>
      <c r="AJ174" s="182" t="b">
        <v>0</v>
      </c>
      <c r="AK174" s="183">
        <v>7.0</v>
      </c>
      <c r="AL174" s="169">
        <v>4.0</v>
      </c>
      <c r="AM174" s="172" t="str">
        <f t="shared" si="54"/>
        <v>Audit</v>
      </c>
      <c r="AN174" s="198" t="str">
        <f>IFNA(VLOOKUP($A174,'Tube Reactions'!$J$2:$K259,2,FALSE),"")</f>
        <v/>
      </c>
      <c r="AO174" s="199" t="str">
        <f t="shared" si="20"/>
        <v>NOT EQUAL</v>
      </c>
      <c r="AP174" s="186" t="str">
        <f t="shared" si="36"/>
        <v/>
      </c>
      <c r="AQ174" s="187" t="b">
        <f t="shared" si="5"/>
        <v>1</v>
      </c>
      <c r="AR174" s="188">
        <v>173.0</v>
      </c>
      <c r="AS174" s="189"/>
      <c r="AT174" s="55"/>
      <c r="AU174" s="110" t="s">
        <v>934</v>
      </c>
      <c r="AV174" s="169"/>
      <c r="AW174" s="118"/>
      <c r="AX174" s="190"/>
      <c r="AY174" s="48"/>
      <c r="BA174" s="191"/>
      <c r="BB174" s="18"/>
      <c r="BC174" s="18"/>
      <c r="BD174" s="48"/>
      <c r="BE174" s="192"/>
      <c r="BF174" s="76">
        <f t="shared" si="11"/>
        <v>44985</v>
      </c>
      <c r="BG174" s="114" t="str">
        <f t="shared" si="12"/>
        <v>RUN-ABRM_2023-02-28_RFR-173</v>
      </c>
      <c r="BH174" s="83">
        <f t="shared" si="13"/>
        <v>9</v>
      </c>
      <c r="BI174" s="83">
        <f t="shared" si="14"/>
        <v>7</v>
      </c>
      <c r="BJ174" s="83">
        <f t="shared" si="15"/>
        <v>7</v>
      </c>
      <c r="BK174" s="83">
        <f t="shared" si="16"/>
        <v>4</v>
      </c>
      <c r="BL174" s="200">
        <f>IFNA(IF(VLOOKUP(FLOOR($B174,1),'APS Tubes by Date IMPORT'!$B$2:$J259,1,FALSE)=FLOOR($BL173,1),IFERROR(0/0,""),VLOOKUP(FLOOR($B174,1),'APS Tubes by Date IMPORT'!$B$2:$J259,1,FALSE)),"")</f>
        <v>44985</v>
      </c>
      <c r="BM174" s="83">
        <f>IF(ISBLANK($BL174),IFERROR(0/0,""),VLOOKUP(FLOOR($B174,1),'APS Tubes by Date IMPORT'!$B$2:$J259,2,FALSE))</f>
        <v>7</v>
      </c>
      <c r="BN174" s="114"/>
      <c r="BO174" s="83" t="str">
        <f>VLOOKUP(FLOOR($B174,1),'APS Tubes by Date IMPORT'!$B174:$I259,6,FALSE)</f>
        <v>#N/A</v>
      </c>
      <c r="BP174" s="83">
        <v>7.0</v>
      </c>
      <c r="BQ174" s="193">
        <f t="shared" si="17"/>
        <v>0</v>
      </c>
      <c r="BR174" s="131">
        <v>3.0</v>
      </c>
      <c r="BS174" s="76" t="b">
        <f t="shared" si="18"/>
        <v>1</v>
      </c>
      <c r="BT174" s="194" t="str">
        <f t="shared" si="19"/>
        <v>Delete NULL</v>
      </c>
      <c r="BU174" s="256"/>
      <c r="BV174" s="256"/>
      <c r="BW174" s="256"/>
      <c r="BX174" s="256"/>
    </row>
    <row r="175">
      <c r="A175" s="18" t="str">
        <f>CONCATENATE("RUN-",'Process Ref'!$A$1,"_",TEXT(U175,"YYYY-MM-DD"),"_RFR-",TEXT(AR175,"000"),IF(EXACT(W175,"Initial"),"",CONCATENATE("_",W175)))</f>
        <v>RUN-ABRM_2023-02-28_RFR-174_Re-run</v>
      </c>
      <c r="B175" s="251">
        <v>44985.41639251157</v>
      </c>
      <c r="C175" s="92"/>
      <c r="D175" s="92" t="s">
        <v>313</v>
      </c>
      <c r="E175" s="131">
        <v>8.0</v>
      </c>
      <c r="F175" s="92" t="s">
        <v>1060</v>
      </c>
      <c r="G175" s="252" t="s">
        <v>1066</v>
      </c>
      <c r="H175" s="252" t="s">
        <v>1067</v>
      </c>
      <c r="I175" s="252" t="s">
        <v>1068</v>
      </c>
      <c r="J175" s="172"/>
      <c r="K175" s="202"/>
      <c r="L175" s="246"/>
      <c r="M175" s="174"/>
      <c r="N175" s="174"/>
      <c r="O175" s="175"/>
      <c r="P175" s="118" t="b">
        <v>0</v>
      </c>
      <c r="Q175" s="118" t="b">
        <v>0</v>
      </c>
      <c r="R175" s="55"/>
      <c r="S175" s="118" t="b">
        <v>0</v>
      </c>
      <c r="T175" s="177" t="b">
        <v>1</v>
      </c>
      <c r="U175" s="178">
        <v>44985.0</v>
      </c>
      <c r="V175" s="179">
        <v>0.46805555555555556</v>
      </c>
      <c r="W175" s="110" t="s">
        <v>339</v>
      </c>
      <c r="X175" s="180"/>
      <c r="Y175" s="118" t="b">
        <v>0</v>
      </c>
      <c r="Z175" s="169">
        <v>8.0</v>
      </c>
      <c r="AA175" s="196">
        <f t="shared" si="1"/>
        <v>0</v>
      </c>
      <c r="AB175" s="197" t="b">
        <f t="shared" si="2"/>
        <v>1</v>
      </c>
      <c r="AC175" s="247">
        <v>6.0</v>
      </c>
      <c r="AD175" s="169">
        <v>0.0</v>
      </c>
      <c r="AE175" s="169">
        <v>0.0</v>
      </c>
      <c r="AF175" s="169">
        <v>0.0</v>
      </c>
      <c r="AG175" s="169">
        <v>0.0</v>
      </c>
      <c r="AH175" s="169">
        <v>0.0</v>
      </c>
      <c r="AI175" s="169">
        <v>0.0</v>
      </c>
      <c r="AJ175" s="182" t="b">
        <v>0</v>
      </c>
      <c r="AK175" s="183">
        <v>2.0</v>
      </c>
      <c r="AL175" s="169"/>
      <c r="AM175" s="172" t="str">
        <f t="shared" si="54"/>
        <v/>
      </c>
      <c r="AN175" s="198" t="str">
        <f>IFNA(VLOOKUP($A175,'Tube Reactions'!$J$2:$K259,2,FALSE),"")</f>
        <v/>
      </c>
      <c r="AO175" s="199" t="str">
        <f t="shared" si="20"/>
        <v/>
      </c>
      <c r="AP175" s="186" t="str">
        <f t="shared" si="36"/>
        <v/>
      </c>
      <c r="AQ175" s="187" t="b">
        <f t="shared" si="5"/>
        <v>1</v>
      </c>
      <c r="AR175" s="188">
        <v>174.0</v>
      </c>
      <c r="AS175" s="189"/>
      <c r="AT175" s="55"/>
      <c r="AU175" s="110" t="s">
        <v>934</v>
      </c>
      <c r="AV175" s="169"/>
      <c r="AW175" s="118"/>
      <c r="AX175" s="190"/>
      <c r="AY175" s="48"/>
      <c r="BA175" s="191"/>
      <c r="BB175" s="18"/>
      <c r="BC175" s="18"/>
      <c r="BD175" s="48"/>
      <c r="BE175" s="192"/>
      <c r="BF175" s="76" t="str">
        <f t="shared" si="11"/>
        <v/>
      </c>
      <c r="BG175" s="114" t="str">
        <f t="shared" si="12"/>
        <v/>
      </c>
      <c r="BH175" s="83" t="str">
        <f t="shared" si="13"/>
        <v/>
      </c>
      <c r="BI175" s="83" t="str">
        <f t="shared" si="14"/>
        <v/>
      </c>
      <c r="BJ175" s="83" t="str">
        <f t="shared" si="15"/>
        <v/>
      </c>
      <c r="BK175" s="83" t="str">
        <f t="shared" si="16"/>
        <v/>
      </c>
      <c r="BL175" s="200" t="str">
        <f>IFNA(IF(VLOOKUP(FLOOR($B175,1),'APS Tubes by Date IMPORT'!$B$2:$J259,1,FALSE)=FLOOR($BL174,1),IFERROR(0/0,""),VLOOKUP(FLOOR($B175,1),'APS Tubes by Date IMPORT'!$B$2:$J259,1,FALSE)),"")</f>
        <v/>
      </c>
      <c r="BM175" s="83" t="str">
        <f>IF(ISBLANK($BL175),IFERROR(0/0,""),VLOOKUP(FLOOR($B175,1),'APS Tubes by Date IMPORT'!$B$2:$J259,2,FALSE))</f>
        <v/>
      </c>
      <c r="BN175" s="114"/>
      <c r="BO175" s="83" t="str">
        <f>VLOOKUP(FLOOR($B175,1),'APS Tubes by Date IMPORT'!$B175:$I259,6,FALSE)</f>
        <v>#N/A</v>
      </c>
      <c r="BP175" s="83">
        <v>7.0</v>
      </c>
      <c r="BQ175" s="193">
        <f t="shared" si="17"/>
        <v>7</v>
      </c>
      <c r="BR175" s="131">
        <v>3.0</v>
      </c>
      <c r="BS175" s="76" t="b">
        <f t="shared" si="18"/>
        <v>1</v>
      </c>
      <c r="BT175" s="194" t="str">
        <f t="shared" si="19"/>
        <v>Delete NULL</v>
      </c>
      <c r="BU175" s="256"/>
      <c r="BV175" s="256"/>
      <c r="BW175" s="256"/>
      <c r="BX175" s="256"/>
    </row>
    <row r="176">
      <c r="A176" s="18" t="str">
        <f>CONCATENATE("RUN-",'Process Ref'!$A$1,"_",TEXT(U176,"YYYY-MM-DD"),"_RFR-",TEXT(AR176,"000"),IF(EXACT(W176,"Initial"),"",CONCATENATE("_",W176)))</f>
        <v>RUN-ABRM_2023-03-01_RFR-175</v>
      </c>
      <c r="B176" s="251">
        <v>44986.399371886575</v>
      </c>
      <c r="C176" s="92"/>
      <c r="D176" s="92" t="s">
        <v>313</v>
      </c>
      <c r="E176" s="131">
        <v>11.0</v>
      </c>
      <c r="F176" s="92" t="s">
        <v>1069</v>
      </c>
      <c r="G176" s="252" t="s">
        <v>1070</v>
      </c>
      <c r="H176" s="252" t="s">
        <v>1071</v>
      </c>
      <c r="I176" s="252" t="s">
        <v>1072</v>
      </c>
      <c r="J176" s="172">
        <v>2.0</v>
      </c>
      <c r="K176" s="202" t="s">
        <v>1073</v>
      </c>
      <c r="L176" s="246"/>
      <c r="M176" s="174"/>
      <c r="N176" s="174"/>
      <c r="O176" s="175"/>
      <c r="P176" s="118" t="b">
        <v>0</v>
      </c>
      <c r="Q176" s="118" t="b">
        <v>0</v>
      </c>
      <c r="R176" s="55"/>
      <c r="S176" s="118" t="b">
        <v>0</v>
      </c>
      <c r="T176" s="177" t="b">
        <v>1</v>
      </c>
      <c r="U176" s="178">
        <v>44986.0</v>
      </c>
      <c r="V176" s="179">
        <v>0.4270833333333333</v>
      </c>
      <c r="W176" s="110" t="s">
        <v>320</v>
      </c>
      <c r="X176" s="180"/>
      <c r="Y176" s="118" t="b">
        <v>1</v>
      </c>
      <c r="Z176" s="169">
        <v>11.0</v>
      </c>
      <c r="AA176" s="196">
        <f t="shared" si="1"/>
        <v>0</v>
      </c>
      <c r="AB176" s="197" t="b">
        <f t="shared" si="2"/>
        <v>1</v>
      </c>
      <c r="AC176" s="247">
        <v>9.0</v>
      </c>
      <c r="AD176" s="169">
        <v>1.0</v>
      </c>
      <c r="AE176" s="169">
        <v>1.0</v>
      </c>
      <c r="AF176" s="169">
        <v>0.0</v>
      </c>
      <c r="AG176" s="169">
        <v>0.0</v>
      </c>
      <c r="AH176" s="169">
        <v>0.0</v>
      </c>
      <c r="AI176" s="169">
        <v>0.0</v>
      </c>
      <c r="AJ176" s="182" t="b">
        <v>0</v>
      </c>
      <c r="AK176" s="183">
        <v>9.0</v>
      </c>
      <c r="AL176" s="169">
        <v>1.1</v>
      </c>
      <c r="AM176" s="172" t="str">
        <f t="shared" si="54"/>
        <v>Audit</v>
      </c>
      <c r="AN176" s="198" t="str">
        <f>IFNA(VLOOKUP($A176,'Tube Reactions'!$J$2:$K259,2,FALSE),"")</f>
        <v/>
      </c>
      <c r="AO176" s="199" t="str">
        <f t="shared" si="20"/>
        <v>NOT EQUAL</v>
      </c>
      <c r="AP176" s="186" t="str">
        <f t="shared" si="36"/>
        <v/>
      </c>
      <c r="AQ176" s="187" t="b">
        <f t="shared" si="5"/>
        <v>1</v>
      </c>
      <c r="AR176" s="188">
        <v>175.0</v>
      </c>
      <c r="AS176" s="189"/>
      <c r="AT176" s="55"/>
      <c r="AU176" s="110" t="s">
        <v>934</v>
      </c>
      <c r="AV176" s="169"/>
      <c r="AW176" s="118"/>
      <c r="AX176" s="190"/>
      <c r="AY176" s="48"/>
      <c r="BA176" s="191"/>
      <c r="BB176" s="18"/>
      <c r="BC176" s="18"/>
      <c r="BD176" s="48"/>
      <c r="BE176" s="192"/>
      <c r="BF176" s="76">
        <f t="shared" si="11"/>
        <v>44986</v>
      </c>
      <c r="BG176" s="114" t="str">
        <f t="shared" si="12"/>
        <v>RUN-ABRM_2023-03-01_RFR-175</v>
      </c>
      <c r="BH176" s="83">
        <f t="shared" si="13"/>
        <v>11</v>
      </c>
      <c r="BI176" s="83">
        <f t="shared" si="14"/>
        <v>9</v>
      </c>
      <c r="BJ176" s="83">
        <f t="shared" si="15"/>
        <v>9</v>
      </c>
      <c r="BK176" s="83">
        <f t="shared" si="16"/>
        <v>1.1</v>
      </c>
      <c r="BL176" s="200">
        <f>IFNA(IF(VLOOKUP(FLOOR($B176,1),'APS Tubes by Date IMPORT'!$B$2:$J259,1,FALSE)=FLOOR($BL175,1),IFERROR(0/0,""),VLOOKUP(FLOOR($B176,1),'APS Tubes by Date IMPORT'!$B$2:$J259,1,FALSE)),"")</f>
        <v>44986</v>
      </c>
      <c r="BM176" s="83">
        <f>IF(ISBLANK($BL176),IFERROR(0/0,""),VLOOKUP(FLOOR($B176,1),'APS Tubes by Date IMPORT'!$B$2:$J259,2,FALSE))</f>
        <v>9</v>
      </c>
      <c r="BN176" s="114"/>
      <c r="BO176" s="83" t="str">
        <f>VLOOKUP(FLOOR($B176,1),'APS Tubes by Date IMPORT'!$B176:$I259,6,FALSE)</f>
        <v>#N/A</v>
      </c>
      <c r="BP176" s="83">
        <v>7.0</v>
      </c>
      <c r="BQ176" s="193">
        <f t="shared" si="17"/>
        <v>-2</v>
      </c>
      <c r="BR176" s="131">
        <v>3.0</v>
      </c>
      <c r="BS176" s="76" t="b">
        <f t="shared" si="18"/>
        <v>1</v>
      </c>
      <c r="BT176" s="194" t="str">
        <f t="shared" si="19"/>
        <v>Delete NULL</v>
      </c>
      <c r="BU176" s="256"/>
      <c r="BV176" s="256"/>
      <c r="BW176" s="256"/>
      <c r="BX176" s="256"/>
    </row>
    <row r="177">
      <c r="A177" s="18" t="str">
        <f>CONCATENATE("RUN-",'Process Ref'!$A$1,"_",TEXT(U177,"YYYY-MM-DD"),"_RFR-",TEXT(AR177,"000"),IF(EXACT(W177,"Initial"),"",CONCATENATE("_",W177)))</f>
        <v>RUN-ABRM_2023-03-01_RFR-176_Re-run</v>
      </c>
      <c r="B177" s="251">
        <v>44986.42883695602</v>
      </c>
      <c r="C177" s="92"/>
      <c r="D177" s="92" t="s">
        <v>313</v>
      </c>
      <c r="E177" s="131">
        <v>8.0</v>
      </c>
      <c r="F177" s="92" t="s">
        <v>1069</v>
      </c>
      <c r="G177" s="252" t="s">
        <v>1074</v>
      </c>
      <c r="H177" s="252" t="s">
        <v>1075</v>
      </c>
      <c r="I177" s="252" t="s">
        <v>1076</v>
      </c>
      <c r="J177" s="172"/>
      <c r="K177" s="202"/>
      <c r="L177" s="246"/>
      <c r="M177" s="174"/>
      <c r="N177" s="174"/>
      <c r="O177" s="175"/>
      <c r="P177" s="118" t="b">
        <v>0</v>
      </c>
      <c r="Q177" s="118" t="b">
        <v>0</v>
      </c>
      <c r="R177" s="55"/>
      <c r="S177" s="118" t="b">
        <v>0</v>
      </c>
      <c r="T177" s="177" t="b">
        <v>1</v>
      </c>
      <c r="U177" s="178">
        <v>44986.0</v>
      </c>
      <c r="V177" s="179">
        <v>0.46875</v>
      </c>
      <c r="W177" s="110" t="s">
        <v>339</v>
      </c>
      <c r="X177" s="180"/>
      <c r="Y177" s="118" t="b">
        <v>0</v>
      </c>
      <c r="Z177" s="169">
        <v>8.0</v>
      </c>
      <c r="AA177" s="196">
        <f t="shared" si="1"/>
        <v>0</v>
      </c>
      <c r="AB177" s="197" t="b">
        <f t="shared" si="2"/>
        <v>1</v>
      </c>
      <c r="AC177" s="247">
        <v>6.0</v>
      </c>
      <c r="AD177" s="169">
        <v>0.0</v>
      </c>
      <c r="AE177" s="169">
        <v>0.0</v>
      </c>
      <c r="AF177" s="169">
        <v>0.0</v>
      </c>
      <c r="AG177" s="169">
        <v>0.0</v>
      </c>
      <c r="AH177" s="169">
        <v>0.0</v>
      </c>
      <c r="AI177" s="169">
        <v>0.0</v>
      </c>
      <c r="AJ177" s="182" t="b">
        <v>0</v>
      </c>
      <c r="AK177" s="183">
        <v>2.0</v>
      </c>
      <c r="AL177" s="169">
        <v>0.0</v>
      </c>
      <c r="AM177" s="172" t="str">
        <f t="shared" si="54"/>
        <v/>
      </c>
      <c r="AN177" s="198" t="str">
        <f>IFNA(VLOOKUP($A177,'Tube Reactions'!$J$2:$K259,2,FALSE),"")</f>
        <v/>
      </c>
      <c r="AO177" s="199" t="str">
        <f t="shared" si="20"/>
        <v/>
      </c>
      <c r="AP177" s="186" t="str">
        <f t="shared" si="36"/>
        <v/>
      </c>
      <c r="AQ177" s="187" t="b">
        <f t="shared" si="5"/>
        <v>1</v>
      </c>
      <c r="AR177" s="188">
        <v>176.0</v>
      </c>
      <c r="AS177" s="189"/>
      <c r="AT177" s="55"/>
      <c r="AU177" s="110" t="s">
        <v>934</v>
      </c>
      <c r="AV177" s="169"/>
      <c r="AW177" s="118"/>
      <c r="AX177" s="190"/>
      <c r="AY177" s="48"/>
      <c r="BA177" s="191"/>
      <c r="BB177" s="18"/>
      <c r="BC177" s="18"/>
      <c r="BD177" s="48"/>
      <c r="BE177" s="192"/>
      <c r="BF177" s="76" t="str">
        <f t="shared" si="11"/>
        <v/>
      </c>
      <c r="BG177" s="114" t="str">
        <f t="shared" si="12"/>
        <v/>
      </c>
      <c r="BH177" s="83" t="str">
        <f t="shared" si="13"/>
        <v/>
      </c>
      <c r="BI177" s="83" t="str">
        <f t="shared" si="14"/>
        <v/>
      </c>
      <c r="BJ177" s="83" t="str">
        <f t="shared" si="15"/>
        <v/>
      </c>
      <c r="BK177" s="83" t="str">
        <f t="shared" si="16"/>
        <v/>
      </c>
      <c r="BL177" s="200" t="str">
        <f>IFNA(IF(VLOOKUP(FLOOR($B177,1),'APS Tubes by Date IMPORT'!$B$2:$J259,1,FALSE)=FLOOR($BL176,1),IFERROR(0/0,""),VLOOKUP(FLOOR($B177,1),'APS Tubes by Date IMPORT'!$B$2:$J259,1,FALSE)),"")</f>
        <v/>
      </c>
      <c r="BM177" s="83" t="str">
        <f>IF(ISBLANK($BL177),IFERROR(0/0,""),VLOOKUP(FLOOR($B177,1),'APS Tubes by Date IMPORT'!$B$2:$J259,2,FALSE))</f>
        <v/>
      </c>
      <c r="BN177" s="114"/>
      <c r="BO177" s="83" t="str">
        <f>VLOOKUP(FLOOR($B177,1),'APS Tubes by Date IMPORT'!$B177:$I259,6,FALSE)</f>
        <v>#N/A</v>
      </c>
      <c r="BP177" s="83">
        <v>7.0</v>
      </c>
      <c r="BQ177" s="193">
        <f t="shared" si="17"/>
        <v>7</v>
      </c>
      <c r="BR177" s="131">
        <v>3.0</v>
      </c>
      <c r="BS177" s="76" t="b">
        <f t="shared" si="18"/>
        <v>1</v>
      </c>
      <c r="BT177" s="194" t="str">
        <f t="shared" si="19"/>
        <v>Delete NULL</v>
      </c>
      <c r="BU177" s="256"/>
      <c r="BV177" s="256"/>
      <c r="BW177" s="256"/>
      <c r="BX177" s="256"/>
    </row>
    <row r="178">
      <c r="A178" s="18" t="str">
        <f>CONCATENATE("RUN-",'Process Ref'!$A$1,"_",TEXT(U178,"YYYY-MM-DD"),"_RFR-",TEXT(AR178,"000"),IF(EXACT(W178,"Initial"),"",CONCATENATE("_",W178)))</f>
        <v>RUN-ABRM_2023-03-02_RFR-177</v>
      </c>
      <c r="B178" s="251">
        <v>44987.43015550926</v>
      </c>
      <c r="C178" s="92"/>
      <c r="D178" s="92" t="s">
        <v>313</v>
      </c>
      <c r="E178" s="131">
        <v>10.0</v>
      </c>
      <c r="F178" s="92" t="s">
        <v>1077</v>
      </c>
      <c r="G178" s="252" t="s">
        <v>1078</v>
      </c>
      <c r="H178" s="252" t="s">
        <v>1079</v>
      </c>
      <c r="I178" s="252" t="s">
        <v>1080</v>
      </c>
      <c r="J178" s="172">
        <v>1.0</v>
      </c>
      <c r="K178" s="202"/>
      <c r="L178" s="246"/>
      <c r="M178" s="174"/>
      <c r="N178" s="174"/>
      <c r="O178" s="175"/>
      <c r="P178" s="118" t="b">
        <v>0</v>
      </c>
      <c r="Q178" s="118" t="b">
        <v>0</v>
      </c>
      <c r="R178" s="55"/>
      <c r="S178" s="118" t="b">
        <v>0</v>
      </c>
      <c r="T178" s="177" t="b">
        <v>1</v>
      </c>
      <c r="U178" s="178">
        <v>44987.0</v>
      </c>
      <c r="V178" s="179">
        <v>0.4375</v>
      </c>
      <c r="W178" s="110" t="s">
        <v>320</v>
      </c>
      <c r="X178" s="180"/>
      <c r="Y178" s="118" t="b">
        <v>0</v>
      </c>
      <c r="Z178" s="169">
        <v>10.0</v>
      </c>
      <c r="AA178" s="196">
        <f t="shared" si="1"/>
        <v>0</v>
      </c>
      <c r="AB178" s="197" t="b">
        <f t="shared" si="2"/>
        <v>1</v>
      </c>
      <c r="AC178" s="247">
        <v>8.0</v>
      </c>
      <c r="AD178" s="169">
        <v>1.0</v>
      </c>
      <c r="AE178" s="169">
        <v>1.0</v>
      </c>
      <c r="AF178" s="169">
        <v>0.0</v>
      </c>
      <c r="AG178" s="169">
        <v>0.0</v>
      </c>
      <c r="AH178" s="169">
        <v>0.0</v>
      </c>
      <c r="AI178" s="169">
        <v>0.0</v>
      </c>
      <c r="AJ178" s="182" t="b">
        <v>0</v>
      </c>
      <c r="AK178" s="183">
        <v>8.0</v>
      </c>
      <c r="AL178" s="169">
        <v>1.1</v>
      </c>
      <c r="AM178" s="172" t="str">
        <f t="shared" si="54"/>
        <v>Audit</v>
      </c>
      <c r="AN178" s="198" t="str">
        <f>IFNA(VLOOKUP($A178,'Tube Reactions'!$J$2:$K259,2,FALSE),"")</f>
        <v/>
      </c>
      <c r="AO178" s="199" t="str">
        <f t="shared" si="20"/>
        <v>NOT EQUAL</v>
      </c>
      <c r="AP178" s="186" t="str">
        <f t="shared" si="36"/>
        <v/>
      </c>
      <c r="AQ178" s="187" t="b">
        <f t="shared" si="5"/>
        <v>1</v>
      </c>
      <c r="AR178" s="188">
        <v>177.0</v>
      </c>
      <c r="AS178" s="189"/>
      <c r="AT178" s="55"/>
      <c r="AU178" s="110" t="s">
        <v>934</v>
      </c>
      <c r="AV178" s="169"/>
      <c r="AW178" s="118"/>
      <c r="AX178" s="190"/>
      <c r="AY178" s="48"/>
      <c r="BA178" s="191"/>
      <c r="BB178" s="18"/>
      <c r="BC178" s="18"/>
      <c r="BD178" s="48"/>
      <c r="BE178" s="192"/>
      <c r="BF178" s="76">
        <f t="shared" si="11"/>
        <v>44987</v>
      </c>
      <c r="BG178" s="114" t="str">
        <f t="shared" si="12"/>
        <v>RUN-ABRM_2023-03-02_RFR-177</v>
      </c>
      <c r="BH178" s="83">
        <f t="shared" si="13"/>
        <v>10</v>
      </c>
      <c r="BI178" s="83">
        <f t="shared" si="14"/>
        <v>8</v>
      </c>
      <c r="BJ178" s="83">
        <f t="shared" si="15"/>
        <v>8</v>
      </c>
      <c r="BK178" s="83">
        <f t="shared" si="16"/>
        <v>1.1</v>
      </c>
      <c r="BL178" s="200">
        <f>IFNA(IF(VLOOKUP(FLOOR($B178,1),'APS Tubes by Date IMPORT'!$B$2:$J259,1,FALSE)=FLOOR($BL177,1),IFERROR(0/0,""),VLOOKUP(FLOOR($B178,1),'APS Tubes by Date IMPORT'!$B$2:$J259,1,FALSE)),"")</f>
        <v>44987</v>
      </c>
      <c r="BM178" s="83">
        <f>IF(ISBLANK($BL178),IFERROR(0/0,""),VLOOKUP(FLOOR($B178,1),'APS Tubes by Date IMPORT'!$B$2:$J259,2,FALSE))</f>
        <v>8</v>
      </c>
      <c r="BN178" s="114"/>
      <c r="BO178" s="83" t="str">
        <f>VLOOKUP(FLOOR($B178,1),'APS Tubes by Date IMPORT'!$B178:$I259,6,FALSE)</f>
        <v>#N/A</v>
      </c>
      <c r="BP178" s="83">
        <v>7.0</v>
      </c>
      <c r="BQ178" s="193">
        <f t="shared" si="17"/>
        <v>-1</v>
      </c>
      <c r="BR178" s="131">
        <v>3.0</v>
      </c>
      <c r="BS178" s="76" t="b">
        <f t="shared" si="18"/>
        <v>1</v>
      </c>
      <c r="BT178" s="194" t="str">
        <f t="shared" si="19"/>
        <v>Delete NULL</v>
      </c>
      <c r="BU178" s="256"/>
      <c r="BV178" s="256"/>
      <c r="BW178" s="256"/>
      <c r="BX178" s="256"/>
    </row>
    <row r="179">
      <c r="A179" s="18" t="str">
        <f>CONCATENATE("RUN-",'Process Ref'!$A$1,"_",TEXT(U179,"YYYY-MM-DD"),"_RFR-",TEXT(AR179,"000"),IF(EXACT(W179,"Initial"),"",CONCATENATE("_",W179)))</f>
        <v>RUN-ABRM_2023-03-06_RFR-178_Re-run</v>
      </c>
      <c r="B179" s="251">
        <v>44991.4245508912</v>
      </c>
      <c r="C179" s="92"/>
      <c r="D179" s="92" t="s">
        <v>313</v>
      </c>
      <c r="E179" s="131">
        <v>5.0</v>
      </c>
      <c r="F179" s="92" t="s">
        <v>1081</v>
      </c>
      <c r="G179" s="252" t="s">
        <v>1082</v>
      </c>
      <c r="H179" s="252" t="s">
        <v>1083</v>
      </c>
      <c r="I179" s="252" t="s">
        <v>1084</v>
      </c>
      <c r="J179" s="172"/>
      <c r="K179" s="202"/>
      <c r="L179" s="246"/>
      <c r="M179" s="174"/>
      <c r="N179" s="174"/>
      <c r="O179" s="175"/>
      <c r="P179" s="118" t="b">
        <v>0</v>
      </c>
      <c r="Q179" s="118" t="b">
        <v>0</v>
      </c>
      <c r="R179" s="55"/>
      <c r="S179" s="118" t="b">
        <v>0</v>
      </c>
      <c r="T179" s="177" t="b">
        <v>1</v>
      </c>
      <c r="U179" s="178">
        <v>44991.0</v>
      </c>
      <c r="V179" s="179">
        <v>0.4166666666666667</v>
      </c>
      <c r="W179" s="110" t="s">
        <v>339</v>
      </c>
      <c r="X179" s="180"/>
      <c r="Y179" s="118" t="b">
        <v>0</v>
      </c>
      <c r="Z179" s="169">
        <v>5.0</v>
      </c>
      <c r="AA179" s="196">
        <f t="shared" si="1"/>
        <v>0</v>
      </c>
      <c r="AB179" s="197" t="b">
        <f t="shared" si="2"/>
        <v>1</v>
      </c>
      <c r="AC179" s="247">
        <v>3.0</v>
      </c>
      <c r="AD179" s="169">
        <v>0.0</v>
      </c>
      <c r="AE179" s="169">
        <v>0.0</v>
      </c>
      <c r="AF179" s="169">
        <v>0.0</v>
      </c>
      <c r="AG179" s="169">
        <v>0.0</v>
      </c>
      <c r="AH179" s="169">
        <v>0.0</v>
      </c>
      <c r="AI179" s="169">
        <v>0.0</v>
      </c>
      <c r="AJ179" s="182" t="b">
        <v>0</v>
      </c>
      <c r="AK179" s="183">
        <v>1.0</v>
      </c>
      <c r="AL179" s="169">
        <v>0.0</v>
      </c>
      <c r="AM179" s="172" t="str">
        <f t="shared" si="54"/>
        <v/>
      </c>
      <c r="AN179" s="198" t="str">
        <f>IFNA(VLOOKUP($A179,'Tube Reactions'!$J$2:$K259,2,FALSE),"")</f>
        <v/>
      </c>
      <c r="AO179" s="199" t="str">
        <f t="shared" si="20"/>
        <v/>
      </c>
      <c r="AP179" s="186" t="str">
        <f t="shared" si="36"/>
        <v/>
      </c>
      <c r="AQ179" s="187" t="b">
        <f t="shared" si="5"/>
        <v>1</v>
      </c>
      <c r="AR179" s="188">
        <v>178.0</v>
      </c>
      <c r="AS179" s="189" t="s">
        <v>1085</v>
      </c>
      <c r="AT179" s="55"/>
      <c r="AU179" s="110" t="s">
        <v>934</v>
      </c>
      <c r="AV179" s="169"/>
      <c r="AW179" s="118"/>
      <c r="AX179" s="190"/>
      <c r="AY179" s="48"/>
      <c r="BA179" s="191"/>
      <c r="BB179" s="18"/>
      <c r="BC179" s="18"/>
      <c r="BD179" s="48"/>
      <c r="BE179" s="192"/>
      <c r="BF179" s="76" t="str">
        <f t="shared" si="11"/>
        <v/>
      </c>
      <c r="BG179" s="114" t="str">
        <f t="shared" si="12"/>
        <v/>
      </c>
      <c r="BH179" s="83" t="str">
        <f t="shared" si="13"/>
        <v/>
      </c>
      <c r="BI179" s="83" t="str">
        <f t="shared" si="14"/>
        <v/>
      </c>
      <c r="BJ179" s="83" t="str">
        <f t="shared" si="15"/>
        <v/>
      </c>
      <c r="BK179" s="83" t="str">
        <f t="shared" si="16"/>
        <v/>
      </c>
      <c r="BL179" s="200">
        <f>IFNA(IF(VLOOKUP(FLOOR($B179,1),'APS Tubes by Date IMPORT'!$B$2:$J259,1,FALSE)=FLOOR($BL178,1),IFERROR(0/0,""),VLOOKUP(FLOOR($B179,1),'APS Tubes by Date IMPORT'!$B$2:$J259,1,FALSE)),"")</f>
        <v>44991</v>
      </c>
      <c r="BM179" s="83">
        <f>IF(ISBLANK($BL179),IFERROR(0/0,""),VLOOKUP(FLOOR($B179,1),'APS Tubes by Date IMPORT'!$B$2:$J259,2,FALSE))</f>
        <v>10</v>
      </c>
      <c r="BN179" s="114"/>
      <c r="BO179" s="83" t="str">
        <f>VLOOKUP(FLOOR($B179,1),'APS Tubes by Date IMPORT'!$B179:$I259,6,FALSE)</f>
        <v>#N/A</v>
      </c>
      <c r="BP179" s="83">
        <v>7.0</v>
      </c>
      <c r="BQ179" s="193">
        <f t="shared" si="17"/>
        <v>-3</v>
      </c>
      <c r="BR179" s="131">
        <v>3.0</v>
      </c>
      <c r="BS179" s="76" t="b">
        <f t="shared" si="18"/>
        <v>1</v>
      </c>
      <c r="BT179" s="194" t="str">
        <f t="shared" si="19"/>
        <v>Delete NULL</v>
      </c>
      <c r="BU179" s="256"/>
      <c r="BV179" s="256"/>
      <c r="BW179" s="256"/>
      <c r="BX179" s="256"/>
    </row>
    <row r="180">
      <c r="A180" s="18" t="str">
        <f>CONCATENATE("RUN-",'Process Ref'!$A$1,"_",TEXT(U180,"YYYY-MM-DD"),"_RFR-",TEXT(AR180,"000"),IF(EXACT(W180,"Initial"),"",CONCATENATE("_",W180)))</f>
        <v>RUN-ABRM_2023-03-06_RFR-179</v>
      </c>
      <c r="B180" s="251">
        <v>44991.42758204861</v>
      </c>
      <c r="C180" s="92"/>
      <c r="D180" s="92" t="s">
        <v>313</v>
      </c>
      <c r="E180" s="131">
        <v>12.0</v>
      </c>
      <c r="F180" s="92" t="s">
        <v>1086</v>
      </c>
      <c r="G180" s="252" t="s">
        <v>1087</v>
      </c>
      <c r="H180" s="252" t="s">
        <v>1088</v>
      </c>
      <c r="I180" s="252" t="s">
        <v>1089</v>
      </c>
      <c r="J180" s="172">
        <v>2.0</v>
      </c>
      <c r="K180" s="202" t="s">
        <v>1090</v>
      </c>
      <c r="L180" s="246"/>
      <c r="M180" s="174"/>
      <c r="N180" s="174"/>
      <c r="O180" s="175"/>
      <c r="P180" s="118" t="b">
        <v>0</v>
      </c>
      <c r="Q180" s="118" t="b">
        <v>0</v>
      </c>
      <c r="R180" s="55"/>
      <c r="S180" s="118" t="b">
        <v>0</v>
      </c>
      <c r="T180" s="177" t="b">
        <v>1</v>
      </c>
      <c r="U180" s="178">
        <v>44991.0</v>
      </c>
      <c r="V180" s="179">
        <v>0.43194444444444446</v>
      </c>
      <c r="W180" s="110" t="s">
        <v>320</v>
      </c>
      <c r="X180" s="203" t="s">
        <v>1065</v>
      </c>
      <c r="Y180" s="118" t="b">
        <v>1</v>
      </c>
      <c r="Z180" s="169">
        <v>12.0</v>
      </c>
      <c r="AA180" s="196">
        <f t="shared" si="1"/>
        <v>0</v>
      </c>
      <c r="AB180" s="197" t="b">
        <f t="shared" si="2"/>
        <v>1</v>
      </c>
      <c r="AC180" s="247">
        <v>10.0</v>
      </c>
      <c r="AD180" s="169">
        <v>1.0</v>
      </c>
      <c r="AE180" s="169">
        <v>1.0</v>
      </c>
      <c r="AF180" s="169">
        <v>0.0</v>
      </c>
      <c r="AG180" s="169">
        <v>1.0</v>
      </c>
      <c r="AH180" s="169">
        <v>1.0</v>
      </c>
      <c r="AI180" s="169">
        <v>0.0</v>
      </c>
      <c r="AJ180" s="182" t="b">
        <v>0</v>
      </c>
      <c r="AK180" s="183">
        <v>10.0</v>
      </c>
      <c r="AL180" s="169">
        <v>4.0</v>
      </c>
      <c r="AM180" s="172" t="str">
        <f t="shared" si="54"/>
        <v>Audit</v>
      </c>
      <c r="AN180" s="198" t="str">
        <f>IFNA(VLOOKUP($A180,'Tube Reactions'!$J$2:$K259,2,FALSE),"")</f>
        <v/>
      </c>
      <c r="AO180" s="199" t="str">
        <f t="shared" si="20"/>
        <v>NOT EQUAL</v>
      </c>
      <c r="AP180" s="186" t="str">
        <f t="shared" si="36"/>
        <v/>
      </c>
      <c r="AQ180" s="187" t="b">
        <f t="shared" si="5"/>
        <v>1</v>
      </c>
      <c r="AR180" s="188">
        <v>179.0</v>
      </c>
      <c r="AS180" s="189" t="s">
        <v>1091</v>
      </c>
      <c r="AT180" s="55"/>
      <c r="AU180" s="110" t="s">
        <v>934</v>
      </c>
      <c r="AV180" s="169"/>
      <c r="AW180" s="118"/>
      <c r="AX180" s="190"/>
      <c r="AY180" s="48"/>
      <c r="BA180" s="191"/>
      <c r="BB180" s="18"/>
      <c r="BC180" s="18"/>
      <c r="BD180" s="48"/>
      <c r="BE180" s="192"/>
      <c r="BF180" s="76">
        <f t="shared" si="11"/>
        <v>44991</v>
      </c>
      <c r="BG180" s="114" t="str">
        <f t="shared" si="12"/>
        <v>RUN-ABRM_2023-03-06_RFR-179</v>
      </c>
      <c r="BH180" s="83">
        <f t="shared" si="13"/>
        <v>12</v>
      </c>
      <c r="BI180" s="83">
        <f t="shared" si="14"/>
        <v>10</v>
      </c>
      <c r="BJ180" s="83">
        <f t="shared" si="15"/>
        <v>10</v>
      </c>
      <c r="BK180" s="83">
        <f t="shared" si="16"/>
        <v>4</v>
      </c>
      <c r="BL180" s="200" t="str">
        <f>IFNA(IF(VLOOKUP(FLOOR($B180,1),'APS Tubes by Date IMPORT'!$B$2:$J259,1,FALSE)=FLOOR($BL179,1),IFERROR(0/0,""),VLOOKUP(FLOOR($B180,1),'APS Tubes by Date IMPORT'!$B$2:$J259,1,FALSE)),"")</f>
        <v/>
      </c>
      <c r="BM180" s="83" t="str">
        <f>IF(ISBLANK($BL180),IFERROR(0/0,""),VLOOKUP(FLOOR($B180,1),'APS Tubes by Date IMPORT'!$B$2:$J259,2,FALSE))</f>
        <v/>
      </c>
      <c r="BN180" s="114"/>
      <c r="BO180" s="83" t="str">
        <f>VLOOKUP(FLOOR($B180,1),'APS Tubes by Date IMPORT'!$B180:$I259,6,FALSE)</f>
        <v>#N/A</v>
      </c>
      <c r="BP180" s="83">
        <v>7.0</v>
      </c>
      <c r="BQ180" s="193">
        <f t="shared" si="17"/>
        <v>7</v>
      </c>
      <c r="BR180" s="131">
        <v>3.0</v>
      </c>
      <c r="BS180" s="76" t="b">
        <f t="shared" si="18"/>
        <v>1</v>
      </c>
      <c r="BT180" s="194" t="str">
        <f t="shared" si="19"/>
        <v>Delete NULL</v>
      </c>
      <c r="BU180" s="256"/>
      <c r="BV180" s="256"/>
      <c r="BW180" s="256"/>
      <c r="BX180" s="256"/>
    </row>
    <row r="181">
      <c r="A181" s="18" t="str">
        <f>CONCATENATE("RUN-",'Process Ref'!$A$1,"_",TEXT(U181,"YYYY-MM-DD"),"_RFR-",TEXT(AR181,"000"),IF(EXACT(W181,"Initial"),"",CONCATENATE("_",W181)))</f>
        <v>RUN-ABRM_2023-03-06_RFR-180_Re-run</v>
      </c>
      <c r="B181" s="251">
        <v>44991.42888032408</v>
      </c>
      <c r="C181" s="92"/>
      <c r="D181" s="92" t="s">
        <v>313</v>
      </c>
      <c r="E181" s="131">
        <v>11.0</v>
      </c>
      <c r="F181" s="92" t="s">
        <v>1086</v>
      </c>
      <c r="G181" s="252" t="s">
        <v>1092</v>
      </c>
      <c r="H181" s="252" t="s">
        <v>1093</v>
      </c>
      <c r="I181" s="252" t="s">
        <v>1094</v>
      </c>
      <c r="J181" s="172"/>
      <c r="K181" s="202"/>
      <c r="L181" s="246"/>
      <c r="M181" s="174"/>
      <c r="N181" s="174"/>
      <c r="O181" s="175"/>
      <c r="P181" s="118" t="b">
        <v>0</v>
      </c>
      <c r="Q181" s="118" t="b">
        <v>0</v>
      </c>
      <c r="R181" s="55"/>
      <c r="S181" s="118" t="b">
        <v>0</v>
      </c>
      <c r="T181" s="177" t="b">
        <v>1</v>
      </c>
      <c r="U181" s="178">
        <v>44991.0</v>
      </c>
      <c r="V181" s="179">
        <v>0.4791666666666667</v>
      </c>
      <c r="W181" s="110" t="s">
        <v>339</v>
      </c>
      <c r="X181" s="180"/>
      <c r="Y181" s="118" t="b">
        <v>0</v>
      </c>
      <c r="Z181" s="169">
        <v>11.0</v>
      </c>
      <c r="AA181" s="196">
        <f t="shared" si="1"/>
        <v>0</v>
      </c>
      <c r="AB181" s="197" t="b">
        <f t="shared" si="2"/>
        <v>1</v>
      </c>
      <c r="AC181" s="247">
        <v>9.0</v>
      </c>
      <c r="AD181" s="169">
        <v>0.0</v>
      </c>
      <c r="AE181" s="169">
        <v>0.0</v>
      </c>
      <c r="AF181" s="169">
        <v>0.0</v>
      </c>
      <c r="AG181" s="169">
        <v>0.0</v>
      </c>
      <c r="AH181" s="169">
        <v>0.0</v>
      </c>
      <c r="AI181" s="169">
        <v>0.0</v>
      </c>
      <c r="AJ181" s="182" t="b">
        <v>0</v>
      </c>
      <c r="AK181" s="183">
        <v>3.0</v>
      </c>
      <c r="AL181" s="169">
        <v>0.0</v>
      </c>
      <c r="AM181" s="172" t="str">
        <f t="shared" si="54"/>
        <v/>
      </c>
      <c r="AN181" s="198" t="str">
        <f>IFNA(VLOOKUP($A181,'Tube Reactions'!$J$2:$K259,2,FALSE),"")</f>
        <v/>
      </c>
      <c r="AO181" s="199" t="str">
        <f t="shared" si="20"/>
        <v/>
      </c>
      <c r="AP181" s="186" t="str">
        <f t="shared" si="36"/>
        <v/>
      </c>
      <c r="AQ181" s="187" t="b">
        <f t="shared" si="5"/>
        <v>1</v>
      </c>
      <c r="AR181" s="188">
        <v>180.0</v>
      </c>
      <c r="AS181" s="189"/>
      <c r="AT181" s="55"/>
      <c r="AU181" s="110" t="s">
        <v>934</v>
      </c>
      <c r="AV181" s="169"/>
      <c r="AW181" s="118"/>
      <c r="AX181" s="190"/>
      <c r="AY181" s="48"/>
      <c r="BA181" s="191"/>
      <c r="BB181" s="18"/>
      <c r="BC181" s="18"/>
      <c r="BD181" s="48"/>
      <c r="BE181" s="192"/>
      <c r="BF181" s="76" t="str">
        <f t="shared" si="11"/>
        <v/>
      </c>
      <c r="BG181" s="114" t="str">
        <f t="shared" si="12"/>
        <v/>
      </c>
      <c r="BH181" s="83" t="str">
        <f t="shared" si="13"/>
        <v/>
      </c>
      <c r="BI181" s="83" t="str">
        <f t="shared" si="14"/>
        <v/>
      </c>
      <c r="BJ181" s="83" t="str">
        <f t="shared" si="15"/>
        <v/>
      </c>
      <c r="BK181" s="83" t="str">
        <f t="shared" si="16"/>
        <v/>
      </c>
      <c r="BL181" s="200">
        <f>IFNA(IF(VLOOKUP(FLOOR($B181,1),'APS Tubes by Date IMPORT'!$B$2:$J259,1,FALSE)=FLOOR($BL180,1),IFERROR(0/0,""),VLOOKUP(FLOOR($B181,1),'APS Tubes by Date IMPORT'!$B$2:$J259,1,FALSE)),"")</f>
        <v>44991</v>
      </c>
      <c r="BM181" s="83">
        <f>IF(ISBLANK($BL181),IFERROR(0/0,""),VLOOKUP(FLOOR($B181,1),'APS Tubes by Date IMPORT'!$B$2:$J259,2,FALSE))</f>
        <v>10</v>
      </c>
      <c r="BN181" s="114"/>
      <c r="BO181" s="83" t="str">
        <f>VLOOKUP(FLOOR($B181,1),'APS Tubes by Date IMPORT'!$B181:$I259,6,FALSE)</f>
        <v>#N/A</v>
      </c>
      <c r="BP181" s="83">
        <v>7.0</v>
      </c>
      <c r="BQ181" s="193">
        <f t="shared" si="17"/>
        <v>-3</v>
      </c>
      <c r="BR181" s="131">
        <v>3.0</v>
      </c>
      <c r="BS181" s="76" t="b">
        <f t="shared" si="18"/>
        <v>1</v>
      </c>
      <c r="BT181" s="194" t="str">
        <f t="shared" si="19"/>
        <v>Delete NULL</v>
      </c>
      <c r="BU181" s="256"/>
      <c r="BV181" s="256"/>
      <c r="BW181" s="256"/>
      <c r="BX181" s="256"/>
    </row>
    <row r="182">
      <c r="A182" s="18" t="str">
        <f>CONCATENATE("RUN-",'Process Ref'!$A$1,"_",TEXT(U182,"YYYY-MM-DD"),"_RFR-",TEXT(AR182,"000"),IF(EXACT(W182,"Initial"),"",CONCATENATE("_",W182)))</f>
        <v>RUN-ABRM_2023-03-07_RFR-181</v>
      </c>
      <c r="B182" s="251">
        <v>44992.512113703706</v>
      </c>
      <c r="C182" s="92"/>
      <c r="D182" s="92" t="s">
        <v>313</v>
      </c>
      <c r="E182" s="131">
        <v>10.0</v>
      </c>
      <c r="F182" s="92" t="s">
        <v>1095</v>
      </c>
      <c r="G182" s="252" t="s">
        <v>1096</v>
      </c>
      <c r="H182" s="252" t="s">
        <v>1097</v>
      </c>
      <c r="I182" s="252" t="s">
        <v>1098</v>
      </c>
      <c r="J182" s="172"/>
      <c r="K182" s="202"/>
      <c r="L182" s="246"/>
      <c r="M182" s="174"/>
      <c r="N182" s="174"/>
      <c r="O182" s="175"/>
      <c r="P182" s="118" t="b">
        <v>0</v>
      </c>
      <c r="Q182" s="118" t="b">
        <v>0</v>
      </c>
      <c r="R182" s="55"/>
      <c r="S182" s="118" t="b">
        <v>0</v>
      </c>
      <c r="T182" s="177" t="b">
        <v>0</v>
      </c>
      <c r="U182" s="178">
        <v>44992.0</v>
      </c>
      <c r="V182" s="179">
        <v>0.4270833333333333</v>
      </c>
      <c r="W182" s="110" t="s">
        <v>320</v>
      </c>
      <c r="X182" s="180"/>
      <c r="Y182" s="118" t="b">
        <v>0</v>
      </c>
      <c r="Z182" s="169">
        <v>10.0</v>
      </c>
      <c r="AA182" s="196">
        <f t="shared" si="1"/>
        <v>0</v>
      </c>
      <c r="AB182" s="197" t="b">
        <f t="shared" si="2"/>
        <v>1</v>
      </c>
      <c r="AC182" s="247">
        <v>8.0</v>
      </c>
      <c r="AD182" s="169">
        <v>0.0</v>
      </c>
      <c r="AE182" s="169">
        <v>0.0</v>
      </c>
      <c r="AF182" s="169">
        <v>0.0</v>
      </c>
      <c r="AG182" s="169">
        <v>0.0</v>
      </c>
      <c r="AH182" s="169">
        <v>0.0</v>
      </c>
      <c r="AI182" s="169">
        <v>0.0</v>
      </c>
      <c r="AJ182" s="182" t="b">
        <v>0</v>
      </c>
      <c r="AK182" s="183">
        <v>8.0</v>
      </c>
      <c r="AL182" s="169">
        <v>0.0</v>
      </c>
      <c r="AM182" s="172" t="str">
        <f t="shared" si="54"/>
        <v>Audit</v>
      </c>
      <c r="AN182" s="198" t="str">
        <f>IFNA(VLOOKUP($A182,'Tube Reactions'!$J$2:$K259,2,FALSE),"")</f>
        <v/>
      </c>
      <c r="AO182" s="199" t="str">
        <f t="shared" si="20"/>
        <v>NOT EQUAL</v>
      </c>
      <c r="AP182" s="186" t="str">
        <f t="shared" si="36"/>
        <v/>
      </c>
      <c r="AQ182" s="187" t="b">
        <f t="shared" si="5"/>
        <v>1</v>
      </c>
      <c r="AR182" s="188">
        <v>181.0</v>
      </c>
      <c r="AS182" s="189"/>
      <c r="AT182" s="55"/>
      <c r="AU182" s="110" t="s">
        <v>934</v>
      </c>
      <c r="AV182" s="169"/>
      <c r="AW182" s="118"/>
      <c r="AX182" s="190"/>
      <c r="AY182" s="48"/>
      <c r="BA182" s="191"/>
      <c r="BB182" s="18"/>
      <c r="BC182" s="18"/>
      <c r="BD182" s="48"/>
      <c r="BE182" s="192"/>
      <c r="BF182" s="76">
        <f t="shared" si="11"/>
        <v>44992</v>
      </c>
      <c r="BG182" s="114" t="str">
        <f t="shared" si="12"/>
        <v>RUN-ABRM_2023-03-07_RFR-181</v>
      </c>
      <c r="BH182" s="83">
        <f t="shared" si="13"/>
        <v>10</v>
      </c>
      <c r="BI182" s="83">
        <f t="shared" si="14"/>
        <v>8</v>
      </c>
      <c r="BJ182" s="83">
        <f t="shared" si="15"/>
        <v>8</v>
      </c>
      <c r="BK182" s="83">
        <f t="shared" si="16"/>
        <v>0</v>
      </c>
      <c r="BL182" s="200">
        <f>IFNA(IF(VLOOKUP(FLOOR($B182,1),'APS Tubes by Date IMPORT'!$B$2:$J259,1,FALSE)=FLOOR($BL181,1),IFERROR(0/0,""),VLOOKUP(FLOOR($B182,1),'APS Tubes by Date IMPORT'!$B$2:$J259,1,FALSE)),"")</f>
        <v>44992</v>
      </c>
      <c r="BM182" s="83">
        <f>IF(ISBLANK($BL182),IFERROR(0/0,""),VLOOKUP(FLOOR($B182,1),'APS Tubes by Date IMPORT'!$B$2:$J259,2,FALSE))</f>
        <v>8</v>
      </c>
      <c r="BN182" s="114"/>
      <c r="BO182" s="83" t="str">
        <f>VLOOKUP(FLOOR($B182,1),'APS Tubes by Date IMPORT'!$B182:$I259,6,FALSE)</f>
        <v>#N/A</v>
      </c>
      <c r="BP182" s="83">
        <v>7.0</v>
      </c>
      <c r="BQ182" s="193">
        <f t="shared" si="17"/>
        <v>-1</v>
      </c>
      <c r="BR182" s="131">
        <v>3.0</v>
      </c>
      <c r="BS182" s="76" t="b">
        <f t="shared" si="18"/>
        <v>1</v>
      </c>
      <c r="BT182" s="194" t="str">
        <f t="shared" si="19"/>
        <v>Delete NULL</v>
      </c>
      <c r="BU182" s="256"/>
      <c r="BV182" s="256"/>
      <c r="BW182" s="256"/>
      <c r="BX182" s="256"/>
    </row>
    <row r="183">
      <c r="A183" s="18" t="str">
        <f>CONCATENATE("RUN-",'Process Ref'!$A$1,"_",TEXT(U183,"YYYY-MM-DD"),"_RFR-",TEXT(AR183,"000"),IF(EXACT(W183,"Initial"),"",CONCATENATE("_",W183)))</f>
        <v>RUN-ABRM_2023-03-08_RFR-182</v>
      </c>
      <c r="B183" s="251">
        <v>44993.39288126158</v>
      </c>
      <c r="C183" s="92"/>
      <c r="D183" s="92" t="s">
        <v>313</v>
      </c>
      <c r="E183" s="131">
        <v>13.0</v>
      </c>
      <c r="F183" s="92" t="s">
        <v>1099</v>
      </c>
      <c r="G183" s="252" t="s">
        <v>1100</v>
      </c>
      <c r="H183" s="252" t="s">
        <v>1101</v>
      </c>
      <c r="I183" s="252" t="s">
        <v>1102</v>
      </c>
      <c r="J183" s="172">
        <v>2.0</v>
      </c>
      <c r="K183" s="202"/>
      <c r="L183" s="246"/>
      <c r="M183" s="174"/>
      <c r="N183" s="209">
        <v>2.1</v>
      </c>
      <c r="O183" s="210" t="s">
        <v>1103</v>
      </c>
      <c r="P183" s="118" t="b">
        <v>1</v>
      </c>
      <c r="Q183" s="118" t="b">
        <v>0</v>
      </c>
      <c r="R183" s="55"/>
      <c r="S183" s="118" t="b">
        <v>0</v>
      </c>
      <c r="T183" s="177" t="b">
        <v>1</v>
      </c>
      <c r="U183" s="178">
        <v>44993.0</v>
      </c>
      <c r="V183" s="179">
        <v>0.4236111111111111</v>
      </c>
      <c r="W183" s="110" t="s">
        <v>320</v>
      </c>
      <c r="X183" s="180"/>
      <c r="Y183" s="118" t="b">
        <v>0</v>
      </c>
      <c r="Z183" s="169">
        <v>13.0</v>
      </c>
      <c r="AA183" s="196">
        <f t="shared" si="1"/>
        <v>0</v>
      </c>
      <c r="AB183" s="197" t="b">
        <f t="shared" si="2"/>
        <v>1</v>
      </c>
      <c r="AC183" s="247">
        <v>11.0</v>
      </c>
      <c r="AD183" s="169">
        <v>0.0</v>
      </c>
      <c r="AE183" s="169">
        <v>0.0</v>
      </c>
      <c r="AF183" s="169">
        <v>0.0</v>
      </c>
      <c r="AG183" s="169">
        <v>0.0</v>
      </c>
      <c r="AH183" s="169">
        <v>0.0</v>
      </c>
      <c r="AI183" s="169">
        <v>0.0</v>
      </c>
      <c r="AJ183" s="182" t="b">
        <v>0</v>
      </c>
      <c r="AK183" s="183">
        <v>11.0</v>
      </c>
      <c r="AL183" s="169">
        <v>0.0</v>
      </c>
      <c r="AM183" s="172" t="str">
        <f t="shared" si="54"/>
        <v>Audit</v>
      </c>
      <c r="AN183" s="198" t="str">
        <f>IFNA(VLOOKUP($A183,'Tube Reactions'!$J$2:$K259,2,FALSE),"")</f>
        <v/>
      </c>
      <c r="AO183" s="199" t="str">
        <f t="shared" si="20"/>
        <v>NOT EQUAL</v>
      </c>
      <c r="AP183" s="186" t="str">
        <f t="shared" si="36"/>
        <v/>
      </c>
      <c r="AQ183" s="187" t="b">
        <f t="shared" si="5"/>
        <v>1</v>
      </c>
      <c r="AR183" s="188">
        <v>182.0</v>
      </c>
      <c r="AS183" s="189"/>
      <c r="AT183" s="55"/>
      <c r="AU183" s="110" t="s">
        <v>934</v>
      </c>
      <c r="AV183" s="169"/>
      <c r="AW183" s="118"/>
      <c r="AX183" s="190"/>
      <c r="AY183" s="48"/>
      <c r="BA183" s="191"/>
      <c r="BB183" s="18"/>
      <c r="BC183" s="18"/>
      <c r="BD183" s="48"/>
      <c r="BE183" s="192"/>
      <c r="BF183" s="76">
        <f t="shared" si="11"/>
        <v>44993</v>
      </c>
      <c r="BG183" s="114" t="str">
        <f t="shared" si="12"/>
        <v>RUN-ABRM_2023-03-08_RFR-182</v>
      </c>
      <c r="BH183" s="83">
        <f t="shared" si="13"/>
        <v>13</v>
      </c>
      <c r="BI183" s="83">
        <f t="shared" si="14"/>
        <v>11</v>
      </c>
      <c r="BJ183" s="83">
        <f t="shared" si="15"/>
        <v>11</v>
      </c>
      <c r="BK183" s="83">
        <f t="shared" si="16"/>
        <v>0</v>
      </c>
      <c r="BL183" s="200">
        <f>IFNA(IF(VLOOKUP(FLOOR($B183,1),'APS Tubes by Date IMPORT'!$B$2:$J259,1,FALSE)=FLOOR($BL182,1),IFERROR(0/0,""),VLOOKUP(FLOOR($B183,1),'APS Tubes by Date IMPORT'!$B$2:$J259,1,FALSE)),"")</f>
        <v>44993</v>
      </c>
      <c r="BM183" s="83">
        <f>IF(ISBLANK($BL183),IFERROR(0/0,""),VLOOKUP(FLOOR($B183,1),'APS Tubes by Date IMPORT'!$B$2:$J259,2,FALSE))</f>
        <v>11</v>
      </c>
      <c r="BN183" s="114"/>
      <c r="BO183" s="83" t="str">
        <f>VLOOKUP(FLOOR($B183,1),'APS Tubes by Date IMPORT'!$B183:$I259,6,FALSE)</f>
        <v>#N/A</v>
      </c>
      <c r="BP183" s="83">
        <v>7.0</v>
      </c>
      <c r="BQ183" s="193">
        <f t="shared" si="17"/>
        <v>-4</v>
      </c>
      <c r="BR183" s="131">
        <v>3.0</v>
      </c>
      <c r="BS183" s="76" t="b">
        <f t="shared" si="18"/>
        <v>1</v>
      </c>
      <c r="BT183" s="194" t="str">
        <f t="shared" si="19"/>
        <v>Delete NULL</v>
      </c>
      <c r="BU183" s="256"/>
      <c r="BV183" s="256"/>
      <c r="BW183" s="256"/>
      <c r="BX183" s="256"/>
    </row>
    <row r="184">
      <c r="A184" s="18" t="str">
        <f>CONCATENATE("RUN-",'Process Ref'!$A$1,"_",TEXT(U184,"YYYY-MM-DD"),"_RFR-",TEXT(AR184,"000"),IF(EXACT(W184,"Initial"),"",CONCATENATE("_",W184)))</f>
        <v>RUN-ABRM_2023-03-08_RFR-183_Re-run</v>
      </c>
      <c r="B184" s="251">
        <v>44993.42347471065</v>
      </c>
      <c r="C184" s="92"/>
      <c r="D184" s="92" t="s">
        <v>313</v>
      </c>
      <c r="E184" s="131">
        <v>8.0</v>
      </c>
      <c r="F184" s="257">
        <v>230308.0</v>
      </c>
      <c r="G184" s="252" t="s">
        <v>1104</v>
      </c>
      <c r="H184" s="252" t="s">
        <v>1105</v>
      </c>
      <c r="I184" s="252" t="s">
        <v>1106</v>
      </c>
      <c r="J184" s="172"/>
      <c r="K184" s="202"/>
      <c r="L184" s="246"/>
      <c r="M184" s="174"/>
      <c r="N184" s="174"/>
      <c r="O184" s="175"/>
      <c r="P184" s="118" t="b">
        <v>0</v>
      </c>
      <c r="Q184" s="118" t="b">
        <v>0</v>
      </c>
      <c r="R184" s="55"/>
      <c r="S184" s="118" t="b">
        <v>0</v>
      </c>
      <c r="T184" s="177" t="b">
        <v>1</v>
      </c>
      <c r="U184" s="178">
        <v>44993.0</v>
      </c>
      <c r="V184" s="179">
        <v>0.4791666666666667</v>
      </c>
      <c r="W184" s="110" t="s">
        <v>339</v>
      </c>
      <c r="X184" s="180"/>
      <c r="Y184" s="118" t="b">
        <v>0</v>
      </c>
      <c r="Z184" s="169">
        <v>8.0</v>
      </c>
      <c r="AA184" s="196">
        <f t="shared" si="1"/>
        <v>0</v>
      </c>
      <c r="AB184" s="197" t="b">
        <f t="shared" si="2"/>
        <v>1</v>
      </c>
      <c r="AC184" s="247">
        <v>6.0</v>
      </c>
      <c r="AD184" s="169">
        <v>0.0</v>
      </c>
      <c r="AE184" s="169">
        <v>0.0</v>
      </c>
      <c r="AF184" s="169">
        <v>0.0</v>
      </c>
      <c r="AG184" s="169">
        <v>0.0</v>
      </c>
      <c r="AH184" s="169">
        <v>0.0</v>
      </c>
      <c r="AI184" s="169">
        <v>0.0</v>
      </c>
      <c r="AJ184" s="182" t="b">
        <v>0</v>
      </c>
      <c r="AK184" s="183">
        <v>6.0</v>
      </c>
      <c r="AL184" s="169">
        <v>0.0</v>
      </c>
      <c r="AM184" s="172" t="str">
        <f t="shared" si="54"/>
        <v/>
      </c>
      <c r="AN184" s="198" t="str">
        <f>IFNA(VLOOKUP($A184,'Tube Reactions'!$J$2:$K259,2,FALSE),"")</f>
        <v/>
      </c>
      <c r="AO184" s="199" t="str">
        <f t="shared" si="20"/>
        <v/>
      </c>
      <c r="AP184" s="186" t="str">
        <f t="shared" si="36"/>
        <v/>
      </c>
      <c r="AQ184" s="187" t="b">
        <f t="shared" si="5"/>
        <v>1</v>
      </c>
      <c r="AR184" s="188">
        <v>183.0</v>
      </c>
      <c r="AS184" s="189"/>
      <c r="AT184" s="55"/>
      <c r="AU184" s="110" t="s">
        <v>934</v>
      </c>
      <c r="AV184" s="169"/>
      <c r="AW184" s="118"/>
      <c r="AX184" s="190"/>
      <c r="AY184" s="48"/>
      <c r="BA184" s="191"/>
      <c r="BB184" s="18"/>
      <c r="BC184" s="18"/>
      <c r="BD184" s="48"/>
      <c r="BE184" s="192"/>
      <c r="BF184" s="76" t="str">
        <f t="shared" si="11"/>
        <v/>
      </c>
      <c r="BG184" s="114" t="str">
        <f t="shared" si="12"/>
        <v/>
      </c>
      <c r="BH184" s="83" t="str">
        <f t="shared" si="13"/>
        <v/>
      </c>
      <c r="BI184" s="83" t="str">
        <f t="shared" si="14"/>
        <v/>
      </c>
      <c r="BJ184" s="83" t="str">
        <f t="shared" si="15"/>
        <v/>
      </c>
      <c r="BK184" s="83" t="str">
        <f t="shared" si="16"/>
        <v/>
      </c>
      <c r="BL184" s="200" t="str">
        <f>IFNA(IF(VLOOKUP(FLOOR($B184,1),'APS Tubes by Date IMPORT'!$B$2:$J259,1,FALSE)=FLOOR($BL183,1),IFERROR(0/0,""),VLOOKUP(FLOOR($B184,1),'APS Tubes by Date IMPORT'!$B$2:$J259,1,FALSE)),"")</f>
        <v/>
      </c>
      <c r="BM184" s="83" t="str">
        <f>IF(ISBLANK($BL184),IFERROR(0/0,""),VLOOKUP(FLOOR($B184,1),'APS Tubes by Date IMPORT'!$B$2:$J259,2,FALSE))</f>
        <v/>
      </c>
      <c r="BN184" s="114"/>
      <c r="BO184" s="83" t="str">
        <f>VLOOKUP(FLOOR($B184,1),'APS Tubes by Date IMPORT'!$B184:$I259,6,FALSE)</f>
        <v>#N/A</v>
      </c>
      <c r="BP184" s="83">
        <v>7.0</v>
      </c>
      <c r="BQ184" s="193">
        <f t="shared" si="17"/>
        <v>7</v>
      </c>
      <c r="BR184" s="131">
        <v>3.0</v>
      </c>
      <c r="BS184" s="76" t="b">
        <f t="shared" si="18"/>
        <v>1</v>
      </c>
      <c r="BT184" s="194" t="str">
        <f t="shared" si="19"/>
        <v>Delete NULL</v>
      </c>
      <c r="BU184" s="256"/>
      <c r="BV184" s="256"/>
      <c r="BW184" s="256"/>
      <c r="BX184" s="256"/>
    </row>
    <row r="185">
      <c r="A185" s="18" t="str">
        <f>CONCATENATE("RUN-",'Process Ref'!$A$1,"_",TEXT(U185,"YYYY-MM-DD"),"_RFR-",TEXT(AR185,"000"),IF(EXACT(W185,"Initial"),"",CONCATENATE("_",W185)))</f>
        <v>RUN-ABRM_2023-03-09_RFR-184</v>
      </c>
      <c r="B185" s="251">
        <v>44994.39539188657</v>
      </c>
      <c r="C185" s="92"/>
      <c r="D185" s="92" t="s">
        <v>313</v>
      </c>
      <c r="E185" s="131">
        <v>10.0</v>
      </c>
      <c r="F185" s="92" t="s">
        <v>1107</v>
      </c>
      <c r="G185" s="252" t="s">
        <v>1108</v>
      </c>
      <c r="H185" s="252" t="s">
        <v>1109</v>
      </c>
      <c r="I185" s="252" t="s">
        <v>1110</v>
      </c>
      <c r="J185" s="172">
        <v>1.0</v>
      </c>
      <c r="K185" s="202"/>
      <c r="L185" s="246"/>
      <c r="M185" s="174"/>
      <c r="N185" s="174"/>
      <c r="O185" s="175"/>
      <c r="P185" s="118" t="b">
        <v>0</v>
      </c>
      <c r="Q185" s="118" t="b">
        <v>0</v>
      </c>
      <c r="R185" s="55"/>
      <c r="S185" s="118" t="b">
        <v>0</v>
      </c>
      <c r="T185" s="177" t="b">
        <v>1</v>
      </c>
      <c r="U185" s="178">
        <v>44994.0</v>
      </c>
      <c r="V185" s="179">
        <v>0.4236111111111111</v>
      </c>
      <c r="W185" s="110" t="s">
        <v>320</v>
      </c>
      <c r="X185" s="180"/>
      <c r="Y185" s="118" t="b">
        <v>0</v>
      </c>
      <c r="Z185" s="169">
        <v>10.0</v>
      </c>
      <c r="AA185" s="196">
        <f t="shared" si="1"/>
        <v>0</v>
      </c>
      <c r="AB185" s="197" t="b">
        <f t="shared" si="2"/>
        <v>1</v>
      </c>
      <c r="AC185" s="247">
        <v>8.0</v>
      </c>
      <c r="AD185" s="169">
        <v>1.0</v>
      </c>
      <c r="AE185" s="169">
        <v>1.0</v>
      </c>
      <c r="AF185" s="169">
        <v>0.0</v>
      </c>
      <c r="AG185" s="169">
        <v>0.0</v>
      </c>
      <c r="AH185" s="169">
        <v>0.0</v>
      </c>
      <c r="AI185" s="169">
        <v>0.0</v>
      </c>
      <c r="AJ185" s="182" t="b">
        <v>0</v>
      </c>
      <c r="AK185" s="183">
        <v>8.0</v>
      </c>
      <c r="AL185" s="169">
        <v>1.1</v>
      </c>
      <c r="AM185" s="172" t="str">
        <f t="shared" si="54"/>
        <v>Audit</v>
      </c>
      <c r="AN185" s="198" t="str">
        <f>IFNA(VLOOKUP($A185,'Tube Reactions'!$J$2:$K259,2,FALSE),"")</f>
        <v/>
      </c>
      <c r="AO185" s="199" t="str">
        <f t="shared" si="20"/>
        <v>NOT EQUAL</v>
      </c>
      <c r="AP185" s="186" t="str">
        <f t="shared" si="36"/>
        <v/>
      </c>
      <c r="AQ185" s="187" t="b">
        <f t="shared" si="5"/>
        <v>1</v>
      </c>
      <c r="AR185" s="188">
        <v>184.0</v>
      </c>
      <c r="AS185" s="189"/>
      <c r="AT185" s="55"/>
      <c r="AU185" s="110" t="s">
        <v>934</v>
      </c>
      <c r="AV185" s="169"/>
      <c r="AW185" s="118"/>
      <c r="AX185" s="190"/>
      <c r="AY185" s="48"/>
      <c r="BA185" s="191"/>
      <c r="BB185" s="18"/>
      <c r="BC185" s="18"/>
      <c r="BD185" s="48"/>
      <c r="BE185" s="192"/>
      <c r="BF185" s="76">
        <f t="shared" si="11"/>
        <v>44994</v>
      </c>
      <c r="BG185" s="114" t="str">
        <f t="shared" si="12"/>
        <v>RUN-ABRM_2023-03-09_RFR-184</v>
      </c>
      <c r="BH185" s="83">
        <f t="shared" si="13"/>
        <v>10</v>
      </c>
      <c r="BI185" s="83">
        <f t="shared" si="14"/>
        <v>8</v>
      </c>
      <c r="BJ185" s="83">
        <f t="shared" si="15"/>
        <v>8</v>
      </c>
      <c r="BK185" s="83">
        <f t="shared" si="16"/>
        <v>1.1</v>
      </c>
      <c r="BL185" s="200">
        <f>IFNA(IF(VLOOKUP(FLOOR($B185,1),'APS Tubes by Date IMPORT'!$B$2:$J259,1,FALSE)=FLOOR($BL184,1),IFERROR(0/0,""),VLOOKUP(FLOOR($B185,1),'APS Tubes by Date IMPORT'!$B$2:$J259,1,FALSE)),"")</f>
        <v>44994</v>
      </c>
      <c r="BM185" s="83">
        <f>IF(ISBLANK($BL185),IFERROR(0/0,""),VLOOKUP(FLOOR($B185,1),'APS Tubes by Date IMPORT'!$B$2:$J259,2,FALSE))</f>
        <v>8</v>
      </c>
      <c r="BN185" s="114"/>
      <c r="BO185" s="83" t="str">
        <f>VLOOKUP(FLOOR($B185,1),'APS Tubes by Date IMPORT'!$B185:$I259,6,FALSE)</f>
        <v>#N/A</v>
      </c>
      <c r="BP185" s="83">
        <v>7.0</v>
      </c>
      <c r="BQ185" s="193">
        <f t="shared" si="17"/>
        <v>-1</v>
      </c>
      <c r="BR185" s="131">
        <v>3.0</v>
      </c>
      <c r="BS185" s="76" t="b">
        <f t="shared" si="18"/>
        <v>1</v>
      </c>
      <c r="BT185" s="194" t="str">
        <f t="shared" si="19"/>
        <v>Delete NULL</v>
      </c>
      <c r="BU185" s="256"/>
      <c r="BV185" s="256"/>
      <c r="BW185" s="256"/>
      <c r="BX185" s="256"/>
    </row>
    <row r="186">
      <c r="A186" s="18" t="str">
        <f>CONCATENATE("RUN-",'Process Ref'!$A$1,"_",TEXT(U186,"YYYY-MM-DD"),"_RFR-",TEXT(AR186,"000"),IF(EXACT(W186,"Initial"),"",CONCATENATE("_",W186)))</f>
        <v>RUN-ABRM_2023-03-09_RFR-185_Re-run</v>
      </c>
      <c r="B186" s="251">
        <v>44994.410295925925</v>
      </c>
      <c r="C186" s="92"/>
      <c r="D186" s="92" t="s">
        <v>313</v>
      </c>
      <c r="E186" s="131">
        <v>5.0</v>
      </c>
      <c r="F186" s="92" t="s">
        <v>1107</v>
      </c>
      <c r="G186" s="252" t="s">
        <v>1111</v>
      </c>
      <c r="H186" s="252" t="s">
        <v>1112</v>
      </c>
      <c r="I186" s="252" t="s">
        <v>1113</v>
      </c>
      <c r="J186" s="172"/>
      <c r="K186" s="202"/>
      <c r="L186" s="246"/>
      <c r="M186" s="174"/>
      <c r="N186" s="174"/>
      <c r="O186" s="175"/>
      <c r="P186" s="118" t="b">
        <v>0</v>
      </c>
      <c r="Q186" s="118" t="b">
        <v>0</v>
      </c>
      <c r="R186" s="55"/>
      <c r="S186" s="118" t="b">
        <v>0</v>
      </c>
      <c r="T186" s="177" t="b">
        <v>1</v>
      </c>
      <c r="U186" s="178">
        <v>44994.0</v>
      </c>
      <c r="V186" s="179">
        <v>0.4722222222222222</v>
      </c>
      <c r="W186" s="110" t="s">
        <v>339</v>
      </c>
      <c r="X186" s="180"/>
      <c r="Y186" s="118" t="b">
        <v>0</v>
      </c>
      <c r="Z186" s="169">
        <v>5.0</v>
      </c>
      <c r="AA186" s="196">
        <f t="shared" si="1"/>
        <v>0</v>
      </c>
      <c r="AB186" s="197" t="b">
        <f t="shared" si="2"/>
        <v>1</v>
      </c>
      <c r="AC186" s="247">
        <v>3.0</v>
      </c>
      <c r="AD186" s="169">
        <v>0.0</v>
      </c>
      <c r="AE186" s="169">
        <v>0.0</v>
      </c>
      <c r="AF186" s="169">
        <v>0.0</v>
      </c>
      <c r="AG186" s="169">
        <v>0.0</v>
      </c>
      <c r="AH186" s="169">
        <v>0.0</v>
      </c>
      <c r="AI186" s="169">
        <v>0.0</v>
      </c>
      <c r="AJ186" s="182" t="b">
        <v>0</v>
      </c>
      <c r="AK186" s="183">
        <v>1.0</v>
      </c>
      <c r="AL186" s="169">
        <v>0.0</v>
      </c>
      <c r="AM186" s="172" t="str">
        <f t="shared" si="54"/>
        <v/>
      </c>
      <c r="AN186" s="198" t="str">
        <f>IFNA(VLOOKUP($A186,'Tube Reactions'!$J$2:$K259,2,FALSE),"")</f>
        <v/>
      </c>
      <c r="AO186" s="199" t="str">
        <f t="shared" si="20"/>
        <v/>
      </c>
      <c r="AP186" s="186" t="str">
        <f t="shared" si="36"/>
        <v/>
      </c>
      <c r="AQ186" s="187" t="b">
        <f t="shared" si="5"/>
        <v>1</v>
      </c>
      <c r="AR186" s="188">
        <v>185.0</v>
      </c>
      <c r="AS186" s="189"/>
      <c r="AT186" s="55"/>
      <c r="AU186" s="110" t="s">
        <v>934</v>
      </c>
      <c r="AV186" s="169"/>
      <c r="AW186" s="118"/>
      <c r="AX186" s="190"/>
      <c r="AY186" s="48"/>
      <c r="BA186" s="191"/>
      <c r="BB186" s="18"/>
      <c r="BC186" s="18"/>
      <c r="BD186" s="48"/>
      <c r="BE186" s="192"/>
      <c r="BF186" s="76" t="str">
        <f t="shared" si="11"/>
        <v/>
      </c>
      <c r="BG186" s="114" t="str">
        <f t="shared" si="12"/>
        <v/>
      </c>
      <c r="BH186" s="83" t="str">
        <f t="shared" si="13"/>
        <v/>
      </c>
      <c r="BI186" s="83" t="str">
        <f t="shared" si="14"/>
        <v/>
      </c>
      <c r="BJ186" s="83" t="str">
        <f t="shared" si="15"/>
        <v/>
      </c>
      <c r="BK186" s="83" t="str">
        <f t="shared" si="16"/>
        <v/>
      </c>
      <c r="BL186" s="200" t="str">
        <f>IFNA(IF(VLOOKUP(FLOOR($B186,1),'APS Tubes by Date IMPORT'!$B$2:$J259,1,FALSE)=FLOOR($BL185,1),IFERROR(0/0,""),VLOOKUP(FLOOR($B186,1),'APS Tubes by Date IMPORT'!$B$2:$J259,1,FALSE)),"")</f>
        <v/>
      </c>
      <c r="BM186" s="83" t="str">
        <f>IF(ISBLANK($BL186),IFERROR(0/0,""),VLOOKUP(FLOOR($B186,1),'APS Tubes by Date IMPORT'!$B$2:$J259,2,FALSE))</f>
        <v/>
      </c>
      <c r="BN186" s="114"/>
      <c r="BO186" s="83" t="str">
        <f>VLOOKUP(FLOOR($B186,1),'APS Tubes by Date IMPORT'!$B186:$I259,6,FALSE)</f>
        <v>#N/A</v>
      </c>
      <c r="BP186" s="83">
        <v>7.0</v>
      </c>
      <c r="BQ186" s="193">
        <f t="shared" si="17"/>
        <v>7</v>
      </c>
      <c r="BR186" s="131">
        <v>3.0</v>
      </c>
      <c r="BS186" s="76" t="b">
        <f t="shared" si="18"/>
        <v>1</v>
      </c>
      <c r="BT186" s="194" t="str">
        <f t="shared" si="19"/>
        <v>Delete NULL</v>
      </c>
      <c r="BU186" s="256"/>
      <c r="BV186" s="256"/>
      <c r="BW186" s="256"/>
      <c r="BX186" s="256"/>
    </row>
    <row r="187">
      <c r="A187" s="18" t="str">
        <f>CONCATENATE("RUN-",'Process Ref'!$A$1,"_",TEXT(U187,"YYYY-MM-DD"),"_RFR-",TEXT(AR187,"000"),IF(EXACT(W187,"Initial"),"",CONCATENATE("_",W187)))</f>
        <v>RUN-ABRM_2023-03-10_RFR-186</v>
      </c>
      <c r="B187" s="251">
        <v>44995.402183530095</v>
      </c>
      <c r="C187" s="92"/>
      <c r="D187" s="92" t="s">
        <v>313</v>
      </c>
      <c r="E187" s="131">
        <v>12.0</v>
      </c>
      <c r="F187" s="257">
        <v>230310.0</v>
      </c>
      <c r="G187" s="252" t="s">
        <v>1114</v>
      </c>
      <c r="H187" s="252" t="s">
        <v>1115</v>
      </c>
      <c r="I187" s="252" t="s">
        <v>1116</v>
      </c>
      <c r="J187" s="172"/>
      <c r="K187" s="202"/>
      <c r="L187" s="246"/>
      <c r="M187" s="174"/>
      <c r="N187" s="174"/>
      <c r="O187" s="175"/>
      <c r="P187" s="118" t="b">
        <v>0</v>
      </c>
      <c r="Q187" s="118" t="b">
        <v>0</v>
      </c>
      <c r="R187" s="55"/>
      <c r="S187" s="118" t="b">
        <v>0</v>
      </c>
      <c r="T187" s="177" t="b">
        <v>0</v>
      </c>
      <c r="U187" s="178">
        <v>44995.0</v>
      </c>
      <c r="V187" s="179">
        <v>0.4444444444444444</v>
      </c>
      <c r="W187" s="110" t="s">
        <v>320</v>
      </c>
      <c r="X187" s="180"/>
      <c r="Y187" s="118" t="b">
        <v>0</v>
      </c>
      <c r="Z187" s="169">
        <v>12.0</v>
      </c>
      <c r="AA187" s="196">
        <f t="shared" si="1"/>
        <v>0</v>
      </c>
      <c r="AB187" s="197" t="b">
        <f t="shared" si="2"/>
        <v>1</v>
      </c>
      <c r="AC187" s="247">
        <v>10.0</v>
      </c>
      <c r="AD187" s="169">
        <v>0.0</v>
      </c>
      <c r="AE187" s="169">
        <v>0.0</v>
      </c>
      <c r="AF187" s="169">
        <v>0.0</v>
      </c>
      <c r="AG187" s="169">
        <v>0.0</v>
      </c>
      <c r="AH187" s="169">
        <v>0.0</v>
      </c>
      <c r="AI187" s="169">
        <v>0.0</v>
      </c>
      <c r="AJ187" s="182" t="b">
        <v>0</v>
      </c>
      <c r="AK187" s="183">
        <v>10.0</v>
      </c>
      <c r="AL187" s="169">
        <v>1.1</v>
      </c>
      <c r="AM187" s="172" t="str">
        <f t="shared" si="54"/>
        <v>Audit</v>
      </c>
      <c r="AN187" s="198" t="str">
        <f>IFNA(VLOOKUP($A187,'Tube Reactions'!$J$2:$K259,2,FALSE),"")</f>
        <v/>
      </c>
      <c r="AO187" s="199" t="str">
        <f t="shared" si="20"/>
        <v>NOT EQUAL</v>
      </c>
      <c r="AP187" s="186" t="str">
        <f t="shared" si="36"/>
        <v/>
      </c>
      <c r="AQ187" s="187" t="b">
        <f t="shared" si="5"/>
        <v>1</v>
      </c>
      <c r="AR187" s="188">
        <v>186.0</v>
      </c>
      <c r="AS187" s="189"/>
      <c r="AT187" s="55"/>
      <c r="AU187" s="110" t="s">
        <v>934</v>
      </c>
      <c r="AV187" s="169"/>
      <c r="AW187" s="118"/>
      <c r="AX187" s="190"/>
      <c r="AY187" s="48"/>
      <c r="BA187" s="191"/>
      <c r="BB187" s="18"/>
      <c r="BC187" s="18"/>
      <c r="BD187" s="48"/>
      <c r="BE187" s="192"/>
      <c r="BF187" s="76">
        <f t="shared" si="11"/>
        <v>44995</v>
      </c>
      <c r="BG187" s="114" t="str">
        <f t="shared" si="12"/>
        <v>RUN-ABRM_2023-03-10_RFR-186</v>
      </c>
      <c r="BH187" s="83">
        <f t="shared" si="13"/>
        <v>12</v>
      </c>
      <c r="BI187" s="83">
        <f t="shared" si="14"/>
        <v>10</v>
      </c>
      <c r="BJ187" s="83">
        <f t="shared" si="15"/>
        <v>10</v>
      </c>
      <c r="BK187" s="83">
        <f t="shared" si="16"/>
        <v>1.1</v>
      </c>
      <c r="BL187" s="200">
        <f>IFNA(IF(VLOOKUP(FLOOR($B187,1),'APS Tubes by Date IMPORT'!$B$2:$J259,1,FALSE)=FLOOR($BL186,1),IFERROR(0/0,""),VLOOKUP(FLOOR($B187,1),'APS Tubes by Date IMPORT'!$B$2:$J259,1,FALSE)),"")</f>
        <v>44995</v>
      </c>
      <c r="BM187" s="83">
        <f>IF(ISBLANK($BL187),IFERROR(0/0,""),VLOOKUP(FLOOR($B187,1),'APS Tubes by Date IMPORT'!$B$2:$J259,2,FALSE))</f>
        <v>10</v>
      </c>
      <c r="BN187" s="114"/>
      <c r="BO187" s="83" t="str">
        <f>VLOOKUP(FLOOR($B187,1),'APS Tubes by Date IMPORT'!$B187:$I259,6,FALSE)</f>
        <v>#N/A</v>
      </c>
      <c r="BP187" s="83">
        <v>7.0</v>
      </c>
      <c r="BQ187" s="193">
        <f t="shared" si="17"/>
        <v>-3</v>
      </c>
      <c r="BR187" s="131">
        <v>3.0</v>
      </c>
      <c r="BS187" s="76" t="b">
        <f t="shared" si="18"/>
        <v>1</v>
      </c>
      <c r="BT187" s="194" t="str">
        <f t="shared" si="19"/>
        <v>Delete NULL</v>
      </c>
      <c r="BU187" s="256"/>
      <c r="BV187" s="256"/>
      <c r="BW187" s="256"/>
      <c r="BX187" s="256"/>
    </row>
    <row r="188">
      <c r="A188" s="18" t="str">
        <f>CONCATENATE("RUN-",'Process Ref'!$A$1,"_",TEXT(U188,"YYYY-MM-DD"),"_RFR-",TEXT(AR188,"000"),IF(EXACT(W188,"Initial"),"",CONCATENATE("_",W188)))</f>
        <v>RUN-ABRM_2023-03-21_RFR-187</v>
      </c>
      <c r="B188" s="251">
        <v>45006.42450547454</v>
      </c>
      <c r="C188" s="92"/>
      <c r="D188" s="92" t="s">
        <v>313</v>
      </c>
      <c r="E188" s="131">
        <v>12.0</v>
      </c>
      <c r="F188" s="257">
        <v>230321.0</v>
      </c>
      <c r="G188" s="252" t="s">
        <v>1117</v>
      </c>
      <c r="H188" s="252" t="s">
        <v>1118</v>
      </c>
      <c r="I188" s="252" t="s">
        <v>1119</v>
      </c>
      <c r="J188" s="172">
        <v>1.0</v>
      </c>
      <c r="K188" s="202"/>
      <c r="L188" s="246"/>
      <c r="M188" s="174"/>
      <c r="N188" s="209">
        <v>2.1</v>
      </c>
      <c r="O188" s="175"/>
      <c r="P188" s="118" t="b">
        <v>1</v>
      </c>
      <c r="Q188" s="118" t="b">
        <v>0</v>
      </c>
      <c r="R188" s="55"/>
      <c r="S188" s="118" t="b">
        <v>0</v>
      </c>
      <c r="T188" s="177" t="b">
        <v>1</v>
      </c>
      <c r="U188" s="178">
        <v>45006.0</v>
      </c>
      <c r="V188" s="179">
        <v>0.4652777777777778</v>
      </c>
      <c r="W188" s="110" t="s">
        <v>320</v>
      </c>
      <c r="X188" s="180"/>
      <c r="Y188" s="118" t="b">
        <v>0</v>
      </c>
      <c r="Z188" s="169">
        <v>12.0</v>
      </c>
      <c r="AA188" s="196">
        <f t="shared" si="1"/>
        <v>0</v>
      </c>
      <c r="AB188" s="197" t="b">
        <f t="shared" si="2"/>
        <v>1</v>
      </c>
      <c r="AC188" s="247">
        <v>9.0</v>
      </c>
      <c r="AD188" s="169">
        <v>0.0</v>
      </c>
      <c r="AE188" s="169">
        <v>0.0</v>
      </c>
      <c r="AF188" s="169">
        <v>0.0</v>
      </c>
      <c r="AG188" s="169">
        <v>0.0</v>
      </c>
      <c r="AH188" s="169">
        <v>0.0</v>
      </c>
      <c r="AI188" s="169">
        <v>0.0</v>
      </c>
      <c r="AJ188" s="182" t="b">
        <v>0</v>
      </c>
      <c r="AK188" s="183">
        <v>9.0</v>
      </c>
      <c r="AL188" s="169">
        <v>0.0</v>
      </c>
      <c r="AM188" s="172" t="str">
        <f t="shared" si="54"/>
        <v>Audit</v>
      </c>
      <c r="AN188" s="198" t="str">
        <f>IFNA(VLOOKUP($A188,'Tube Reactions'!$J$2:$K259,2,FALSE),"")</f>
        <v/>
      </c>
      <c r="AO188" s="199" t="str">
        <f t="shared" si="20"/>
        <v>NOT EQUAL</v>
      </c>
      <c r="AP188" s="186" t="str">
        <f t="shared" si="36"/>
        <v/>
      </c>
      <c r="AQ188" s="187" t="b">
        <f t="shared" si="5"/>
        <v>1</v>
      </c>
      <c r="AR188" s="188">
        <v>187.0</v>
      </c>
      <c r="AS188" s="189"/>
      <c r="AT188" s="55"/>
      <c r="AU188" s="110" t="s">
        <v>934</v>
      </c>
      <c r="AV188" s="169"/>
      <c r="AW188" s="118"/>
      <c r="AX188" s="190"/>
      <c r="AY188" s="48"/>
      <c r="BA188" s="191"/>
      <c r="BB188" s="18"/>
      <c r="BC188" s="18"/>
      <c r="BD188" s="48"/>
      <c r="BE188" s="192"/>
      <c r="BF188" s="76">
        <f t="shared" si="11"/>
        <v>45006</v>
      </c>
      <c r="BG188" s="114" t="str">
        <f t="shared" si="12"/>
        <v>RUN-ABRM_2023-03-21_RFR-187</v>
      </c>
      <c r="BH188" s="83">
        <f t="shared" si="13"/>
        <v>12</v>
      </c>
      <c r="BI188" s="83">
        <f t="shared" si="14"/>
        <v>9</v>
      </c>
      <c r="BJ188" s="83">
        <f t="shared" si="15"/>
        <v>9</v>
      </c>
      <c r="BK188" s="83">
        <f t="shared" si="16"/>
        <v>0</v>
      </c>
      <c r="BL188" s="200">
        <f>IFNA(IF(VLOOKUP(FLOOR($B188,1),'APS Tubes by Date IMPORT'!$B$2:$J259,1,FALSE)=FLOOR($BL187,1),IFERROR(0/0,""),VLOOKUP(FLOOR($B188,1),'APS Tubes by Date IMPORT'!$B$2:$J259,1,FALSE)),"")</f>
        <v>45006</v>
      </c>
      <c r="BM188" s="83">
        <f>IF(ISBLANK($BL188),IFERROR(0/0,""),VLOOKUP(FLOOR($B188,1),'APS Tubes by Date IMPORT'!$B$2:$J259,2,FALSE))</f>
        <v>9</v>
      </c>
      <c r="BN188" s="114"/>
      <c r="BO188" s="83" t="str">
        <f>VLOOKUP(FLOOR($B188,1),'APS Tubes by Date IMPORT'!$B188:$I259,6,FALSE)</f>
        <v>#N/A</v>
      </c>
      <c r="BP188" s="83">
        <v>7.0</v>
      </c>
      <c r="BQ188" s="193">
        <f t="shared" si="17"/>
        <v>-2</v>
      </c>
      <c r="BR188" s="131">
        <v>3.0</v>
      </c>
      <c r="BS188" s="76" t="b">
        <f t="shared" si="18"/>
        <v>1</v>
      </c>
      <c r="BT188" s="194" t="str">
        <f t="shared" si="19"/>
        <v>Delete NULL</v>
      </c>
      <c r="BU188" s="256"/>
      <c r="BV188" s="256"/>
      <c r="BW188" s="256"/>
      <c r="BX188" s="256"/>
    </row>
    <row r="189">
      <c r="A189" s="18" t="str">
        <f>CONCATENATE("RUN-",'Process Ref'!$A$1,"_",TEXT(U189,"YYYY-MM-DD"),"_RFR-",TEXT(AR189,"000"),IF(EXACT(W189,"Initial"),"",CONCATENATE("_",W189)))</f>
        <v>RUN-ABRM_2023-03-21_RFR-188_Re-run</v>
      </c>
      <c r="B189" s="251">
        <v>45006.453942465276</v>
      </c>
      <c r="C189" s="92"/>
      <c r="D189" s="92" t="s">
        <v>313</v>
      </c>
      <c r="E189" s="131">
        <v>5.0</v>
      </c>
      <c r="F189" s="92" t="s">
        <v>1120</v>
      </c>
      <c r="G189" s="252" t="s">
        <v>1121</v>
      </c>
      <c r="H189" s="252" t="s">
        <v>1122</v>
      </c>
      <c r="I189" s="252" t="s">
        <v>1123</v>
      </c>
      <c r="J189" s="172"/>
      <c r="K189" s="202"/>
      <c r="L189" s="246"/>
      <c r="M189" s="174"/>
      <c r="N189" s="174"/>
      <c r="O189" s="175"/>
      <c r="P189" s="118" t="b">
        <v>0</v>
      </c>
      <c r="Q189" s="118" t="b">
        <v>0</v>
      </c>
      <c r="R189" s="55"/>
      <c r="S189" s="118" t="b">
        <v>0</v>
      </c>
      <c r="T189" s="177" t="b">
        <v>1</v>
      </c>
      <c r="U189" s="178">
        <v>45006.0</v>
      </c>
      <c r="V189" s="179">
        <v>0.4965277777777778</v>
      </c>
      <c r="W189" s="110" t="s">
        <v>339</v>
      </c>
      <c r="X189" s="180"/>
      <c r="Y189" s="118" t="b">
        <v>0</v>
      </c>
      <c r="Z189" s="169">
        <v>12.0</v>
      </c>
      <c r="AA189" s="196">
        <f t="shared" si="1"/>
        <v>7</v>
      </c>
      <c r="AB189" s="197" t="b">
        <f t="shared" si="2"/>
        <v>1</v>
      </c>
      <c r="AC189" s="247">
        <v>3.0</v>
      </c>
      <c r="AD189" s="169">
        <v>0.0</v>
      </c>
      <c r="AE189" s="169">
        <v>0.0</v>
      </c>
      <c r="AF189" s="169">
        <v>0.0</v>
      </c>
      <c r="AG189" s="169">
        <v>0.0</v>
      </c>
      <c r="AH189" s="169">
        <v>0.0</v>
      </c>
      <c r="AI189" s="169">
        <v>0.0</v>
      </c>
      <c r="AJ189" s="182" t="b">
        <v>0</v>
      </c>
      <c r="AK189" s="183">
        <v>1.0</v>
      </c>
      <c r="AL189" s="169">
        <v>0.0</v>
      </c>
      <c r="AM189" s="172" t="str">
        <f t="shared" si="54"/>
        <v/>
      </c>
      <c r="AN189" s="198" t="str">
        <f>IFNA(VLOOKUP($A189,'Tube Reactions'!$J$2:$K259,2,FALSE),"")</f>
        <v/>
      </c>
      <c r="AO189" s="199" t="str">
        <f t="shared" si="20"/>
        <v/>
      </c>
      <c r="AP189" s="186" t="str">
        <f t="shared" si="36"/>
        <v/>
      </c>
      <c r="AQ189" s="187" t="b">
        <f t="shared" si="5"/>
        <v>1</v>
      </c>
      <c r="AR189" s="188">
        <v>188.0</v>
      </c>
      <c r="AS189" s="189"/>
      <c r="AT189" s="55"/>
      <c r="AU189" s="110" t="s">
        <v>934</v>
      </c>
      <c r="AV189" s="169"/>
      <c r="AW189" s="118"/>
      <c r="AX189" s="190"/>
      <c r="AY189" s="48"/>
      <c r="BA189" s="191"/>
      <c r="BB189" s="18"/>
      <c r="BC189" s="18"/>
      <c r="BD189" s="48"/>
      <c r="BE189" s="192"/>
      <c r="BF189" s="76" t="str">
        <f t="shared" si="11"/>
        <v/>
      </c>
      <c r="BG189" s="114" t="str">
        <f t="shared" si="12"/>
        <v/>
      </c>
      <c r="BH189" s="83" t="str">
        <f t="shared" si="13"/>
        <v/>
      </c>
      <c r="BI189" s="83" t="str">
        <f t="shared" si="14"/>
        <v/>
      </c>
      <c r="BJ189" s="83" t="str">
        <f t="shared" si="15"/>
        <v/>
      </c>
      <c r="BK189" s="83" t="str">
        <f t="shared" si="16"/>
        <v/>
      </c>
      <c r="BL189" s="200" t="str">
        <f>IFNA(IF(VLOOKUP(FLOOR($B189,1),'APS Tubes by Date IMPORT'!$B$2:$J259,1,FALSE)=FLOOR($BL188,1),IFERROR(0/0,""),VLOOKUP(FLOOR($B189,1),'APS Tubes by Date IMPORT'!$B$2:$J259,1,FALSE)),"")</f>
        <v/>
      </c>
      <c r="BM189" s="83" t="str">
        <f>IF(ISBLANK($BL189),IFERROR(0/0,""),VLOOKUP(FLOOR($B189,1),'APS Tubes by Date IMPORT'!$B$2:$J259,2,FALSE))</f>
        <v/>
      </c>
      <c r="BN189" s="114"/>
      <c r="BO189" s="83" t="str">
        <f>VLOOKUP(FLOOR($B189,1),'APS Tubes by Date IMPORT'!$B189:$I259,6,FALSE)</f>
        <v>#N/A</v>
      </c>
      <c r="BP189" s="83">
        <v>7.0</v>
      </c>
      <c r="BQ189" s="193">
        <f t="shared" si="17"/>
        <v>7</v>
      </c>
      <c r="BR189" s="131">
        <v>3.0</v>
      </c>
      <c r="BS189" s="76" t="b">
        <f t="shared" si="18"/>
        <v>1</v>
      </c>
      <c r="BT189" s="194" t="str">
        <f t="shared" si="19"/>
        <v>Delete NULL</v>
      </c>
      <c r="BU189" s="256"/>
      <c r="BV189" s="256"/>
      <c r="BW189" s="256"/>
      <c r="BX189" s="256"/>
    </row>
    <row r="190">
      <c r="A190" s="18" t="str">
        <f>CONCATENATE("RUN-",'Process Ref'!$A$1,"_",TEXT(U190,"YYYY-MM-DD"),"_RFR-",TEXT(AR190,"000"),IF(EXACT(W190,"Initial"),"",CONCATENATE("_",W190)))</f>
        <v>RUN-ABRM_2023-03-22_RFR-189</v>
      </c>
      <c r="B190" s="251">
        <v>45007.40740336805</v>
      </c>
      <c r="C190" s="92"/>
      <c r="D190" s="92" t="s">
        <v>313</v>
      </c>
      <c r="E190" s="131">
        <v>13.0</v>
      </c>
      <c r="F190" s="92" t="s">
        <v>1124</v>
      </c>
      <c r="G190" s="252" t="s">
        <v>1125</v>
      </c>
      <c r="H190" s="252" t="s">
        <v>1126</v>
      </c>
      <c r="I190" s="252" t="s">
        <v>1127</v>
      </c>
      <c r="J190" s="172">
        <v>1.0</v>
      </c>
      <c r="K190" s="202"/>
      <c r="L190" s="246"/>
      <c r="M190" s="174"/>
      <c r="N190" s="174"/>
      <c r="O190" s="175"/>
      <c r="P190" s="118" t="b">
        <v>0</v>
      </c>
      <c r="Q190" s="118" t="b">
        <v>0</v>
      </c>
      <c r="R190" s="55"/>
      <c r="S190" s="118" t="b">
        <v>0</v>
      </c>
      <c r="T190" s="177" t="b">
        <v>1</v>
      </c>
      <c r="U190" s="178">
        <v>45007.0</v>
      </c>
      <c r="V190" s="179">
        <v>0.4284722222222222</v>
      </c>
      <c r="W190" s="110" t="s">
        <v>320</v>
      </c>
      <c r="X190" s="180"/>
      <c r="Y190" s="118" t="b">
        <v>0</v>
      </c>
      <c r="Z190" s="169">
        <v>13.0</v>
      </c>
      <c r="AA190" s="196">
        <f t="shared" si="1"/>
        <v>0</v>
      </c>
      <c r="AB190" s="197" t="b">
        <f t="shared" si="2"/>
        <v>1</v>
      </c>
      <c r="AC190" s="247">
        <v>11.0</v>
      </c>
      <c r="AD190" s="169">
        <v>1.0</v>
      </c>
      <c r="AE190" s="169">
        <v>1.0</v>
      </c>
      <c r="AF190" s="169">
        <v>0.0</v>
      </c>
      <c r="AG190" s="169">
        <v>0.0</v>
      </c>
      <c r="AH190" s="169">
        <v>0.0</v>
      </c>
      <c r="AI190" s="169">
        <v>0.0</v>
      </c>
      <c r="AJ190" s="182" t="b">
        <v>0</v>
      </c>
      <c r="AK190" s="183">
        <v>11.0</v>
      </c>
      <c r="AL190" s="169">
        <v>1.1</v>
      </c>
      <c r="AM190" s="172" t="str">
        <f t="shared" si="54"/>
        <v>Audit</v>
      </c>
      <c r="AN190" s="198" t="str">
        <f>IFNA(VLOOKUP($A190,'Tube Reactions'!$J$2:$K259,2,FALSE),"")</f>
        <v/>
      </c>
      <c r="AO190" s="199" t="str">
        <f t="shared" si="20"/>
        <v>NOT EQUAL</v>
      </c>
      <c r="AP190" s="186" t="str">
        <f t="shared" si="36"/>
        <v/>
      </c>
      <c r="AQ190" s="187" t="b">
        <f t="shared" si="5"/>
        <v>1</v>
      </c>
      <c r="AR190" s="188">
        <v>189.0</v>
      </c>
      <c r="AS190" s="189"/>
      <c r="AT190" s="55"/>
      <c r="AU190" s="110" t="s">
        <v>934</v>
      </c>
      <c r="AV190" s="169"/>
      <c r="AW190" s="118"/>
      <c r="AX190" s="190"/>
      <c r="AY190" s="48"/>
      <c r="BA190" s="191"/>
      <c r="BB190" s="18"/>
      <c r="BC190" s="18"/>
      <c r="BD190" s="48"/>
      <c r="BE190" s="192"/>
      <c r="BF190" s="76">
        <f t="shared" si="11"/>
        <v>45007</v>
      </c>
      <c r="BG190" s="114" t="str">
        <f t="shared" si="12"/>
        <v>RUN-ABRM_2023-03-22_RFR-189</v>
      </c>
      <c r="BH190" s="83">
        <f t="shared" si="13"/>
        <v>13</v>
      </c>
      <c r="BI190" s="83">
        <f t="shared" si="14"/>
        <v>11</v>
      </c>
      <c r="BJ190" s="83">
        <f t="shared" si="15"/>
        <v>11</v>
      </c>
      <c r="BK190" s="83">
        <f t="shared" si="16"/>
        <v>1.1</v>
      </c>
      <c r="BL190" s="200">
        <f>IFNA(IF(VLOOKUP(FLOOR($B190,1),'APS Tubes by Date IMPORT'!$B$2:$J259,1,FALSE)=FLOOR($BL189,1),IFERROR(0/0,""),VLOOKUP(FLOOR($B190,1),'APS Tubes by Date IMPORT'!$B$2:$J259,1,FALSE)),"")</f>
        <v>45007</v>
      </c>
      <c r="BM190" s="83">
        <f>IF(ISBLANK($BL190),IFERROR(0/0,""),VLOOKUP(FLOOR($B190,1),'APS Tubes by Date IMPORT'!$B$2:$J259,2,FALSE))</f>
        <v>11</v>
      </c>
      <c r="BN190" s="114"/>
      <c r="BO190" s="83" t="str">
        <f>VLOOKUP(FLOOR($B190,1),'APS Tubes by Date IMPORT'!$B190:$I259,6,FALSE)</f>
        <v>#N/A</v>
      </c>
      <c r="BP190" s="83">
        <v>7.0</v>
      </c>
      <c r="BQ190" s="193">
        <f t="shared" si="17"/>
        <v>-4</v>
      </c>
      <c r="BR190" s="131">
        <v>3.0</v>
      </c>
      <c r="BS190" s="76" t="b">
        <f t="shared" si="18"/>
        <v>1</v>
      </c>
      <c r="BT190" s="194" t="str">
        <f t="shared" si="19"/>
        <v>Delete NULL</v>
      </c>
      <c r="BU190" s="256"/>
      <c r="BV190" s="256"/>
      <c r="BW190" s="256"/>
      <c r="BX190" s="256"/>
    </row>
    <row r="191">
      <c r="A191" s="18" t="str">
        <f>CONCATENATE("RUN-",'Process Ref'!$A$1,"_",TEXT(U191,"YYYY-MM-DD"),"_RFR-",TEXT(AR191,"000"),IF(EXACT(W191,"Initial"),"",CONCATENATE("_",W191)))</f>
        <v>RUN-ABRM_2023-03-22_RFR-190_Re-run</v>
      </c>
      <c r="B191" s="251">
        <v>45007.42084505787</v>
      </c>
      <c r="C191" s="92"/>
      <c r="D191" s="92" t="s">
        <v>313</v>
      </c>
      <c r="E191" s="131">
        <v>5.0</v>
      </c>
      <c r="F191" s="92" t="s">
        <v>1124</v>
      </c>
      <c r="G191" s="252" t="s">
        <v>1128</v>
      </c>
      <c r="H191" s="252" t="s">
        <v>1129</v>
      </c>
      <c r="I191" s="252" t="s">
        <v>1130</v>
      </c>
      <c r="J191" s="172"/>
      <c r="K191" s="202"/>
      <c r="L191" s="246"/>
      <c r="M191" s="174"/>
      <c r="N191" s="174"/>
      <c r="O191" s="175"/>
      <c r="P191" s="118" t="b">
        <v>0</v>
      </c>
      <c r="Q191" s="118" t="b">
        <v>0</v>
      </c>
      <c r="R191" s="55"/>
      <c r="S191" s="118" t="b">
        <v>0</v>
      </c>
      <c r="T191" s="177" t="b">
        <v>1</v>
      </c>
      <c r="U191" s="178">
        <v>45007.0</v>
      </c>
      <c r="V191" s="179">
        <v>0.4791666666666667</v>
      </c>
      <c r="W191" s="110" t="s">
        <v>339</v>
      </c>
      <c r="X191" s="180"/>
      <c r="Y191" s="118" t="b">
        <v>0</v>
      </c>
      <c r="Z191" s="169">
        <v>5.0</v>
      </c>
      <c r="AA191" s="196">
        <f t="shared" si="1"/>
        <v>0</v>
      </c>
      <c r="AB191" s="197" t="b">
        <f t="shared" si="2"/>
        <v>1</v>
      </c>
      <c r="AC191" s="247">
        <v>3.0</v>
      </c>
      <c r="AD191" s="169">
        <v>0.0</v>
      </c>
      <c r="AE191" s="169">
        <v>0.0</v>
      </c>
      <c r="AF191" s="169">
        <v>0.0</v>
      </c>
      <c r="AG191" s="169">
        <v>0.0</v>
      </c>
      <c r="AH191" s="169">
        <v>0.0</v>
      </c>
      <c r="AI191" s="169">
        <v>0.0</v>
      </c>
      <c r="AJ191" s="182" t="b">
        <v>0</v>
      </c>
      <c r="AK191" s="183">
        <v>1.0</v>
      </c>
      <c r="AL191" s="169">
        <v>0.0</v>
      </c>
      <c r="AM191" s="172" t="str">
        <f t="shared" si="54"/>
        <v/>
      </c>
      <c r="AN191" s="198" t="str">
        <f>IFNA(VLOOKUP($A191,'Tube Reactions'!$J$2:$K259,2,FALSE),"")</f>
        <v/>
      </c>
      <c r="AO191" s="199" t="str">
        <f t="shared" si="20"/>
        <v/>
      </c>
      <c r="AP191" s="186" t="str">
        <f t="shared" si="36"/>
        <v/>
      </c>
      <c r="AQ191" s="187" t="b">
        <f t="shared" si="5"/>
        <v>1</v>
      </c>
      <c r="AR191" s="188">
        <v>190.0</v>
      </c>
      <c r="AS191" s="189"/>
      <c r="AT191" s="55"/>
      <c r="AU191" s="110" t="s">
        <v>934</v>
      </c>
      <c r="AV191" s="169"/>
      <c r="AW191" s="118"/>
      <c r="AX191" s="190"/>
      <c r="AY191" s="48"/>
      <c r="BA191" s="191"/>
      <c r="BB191" s="18"/>
      <c r="BC191" s="18"/>
      <c r="BD191" s="48"/>
      <c r="BE191" s="192"/>
      <c r="BF191" s="76" t="str">
        <f t="shared" si="11"/>
        <v/>
      </c>
      <c r="BG191" s="114" t="str">
        <f t="shared" si="12"/>
        <v/>
      </c>
      <c r="BH191" s="83" t="str">
        <f t="shared" si="13"/>
        <v/>
      </c>
      <c r="BI191" s="83" t="str">
        <f t="shared" si="14"/>
        <v/>
      </c>
      <c r="BJ191" s="83" t="str">
        <f t="shared" si="15"/>
        <v/>
      </c>
      <c r="BK191" s="83" t="str">
        <f t="shared" si="16"/>
        <v/>
      </c>
      <c r="BL191" s="200" t="str">
        <f>IFNA(IF(VLOOKUP(FLOOR($B191,1),'APS Tubes by Date IMPORT'!$B$2:$J259,1,FALSE)=FLOOR($BL190,1),IFERROR(0/0,""),VLOOKUP(FLOOR($B191,1),'APS Tubes by Date IMPORT'!$B$2:$J259,1,FALSE)),"")</f>
        <v/>
      </c>
      <c r="BM191" s="83" t="str">
        <f>IF(ISBLANK($BL191),IFERROR(0/0,""),VLOOKUP(FLOOR($B191,1),'APS Tubes by Date IMPORT'!$B$2:$J259,2,FALSE))</f>
        <v/>
      </c>
      <c r="BN191" s="114"/>
      <c r="BO191" s="83" t="str">
        <f>VLOOKUP(FLOOR($B191,1),'APS Tubes by Date IMPORT'!$B191:$I259,6,FALSE)</f>
        <v>#N/A</v>
      </c>
      <c r="BP191" s="83">
        <v>7.0</v>
      </c>
      <c r="BQ191" s="193">
        <f t="shared" si="17"/>
        <v>7</v>
      </c>
      <c r="BR191" s="131">
        <v>3.0</v>
      </c>
      <c r="BS191" s="76" t="b">
        <f t="shared" si="18"/>
        <v>1</v>
      </c>
      <c r="BT191" s="194" t="str">
        <f t="shared" si="19"/>
        <v>Delete NULL</v>
      </c>
      <c r="BU191" s="256"/>
      <c r="BV191" s="256"/>
      <c r="BW191" s="256"/>
      <c r="BX191" s="256"/>
    </row>
    <row r="192">
      <c r="A192" s="18" t="str">
        <f>CONCATENATE("RUN-",'Process Ref'!$A$1,"_",TEXT(U192,"YYYY-MM-DD"),"_RFR-",TEXT(AR192,"000"),IF(EXACT(W192,"Initial"),"",CONCATENATE("_",W192)))</f>
        <v>RUN-ABRM_2023-03-23_RFR-191</v>
      </c>
      <c r="B192" s="251">
        <v>45008.41673114583</v>
      </c>
      <c r="C192" s="92"/>
      <c r="D192" s="92" t="s">
        <v>313</v>
      </c>
      <c r="E192" s="131">
        <v>12.0</v>
      </c>
      <c r="F192" s="92" t="s">
        <v>1124</v>
      </c>
      <c r="G192" s="252" t="s">
        <v>1131</v>
      </c>
      <c r="H192" s="252" t="s">
        <v>1132</v>
      </c>
      <c r="I192" s="252" t="s">
        <v>1133</v>
      </c>
      <c r="J192" s="172">
        <v>1.0</v>
      </c>
      <c r="K192" s="202" t="s">
        <v>1134</v>
      </c>
      <c r="L192" s="246"/>
      <c r="M192" s="174"/>
      <c r="N192" s="209">
        <v>2.1</v>
      </c>
      <c r="O192" s="175"/>
      <c r="P192" s="118" t="b">
        <v>1</v>
      </c>
      <c r="Q192" s="118" t="b">
        <v>0</v>
      </c>
      <c r="R192" s="55"/>
      <c r="S192" s="118" t="b">
        <v>0</v>
      </c>
      <c r="T192" s="177" t="b">
        <v>1</v>
      </c>
      <c r="U192" s="178">
        <v>45008.0</v>
      </c>
      <c r="V192" s="179">
        <v>0.4305555555555556</v>
      </c>
      <c r="W192" s="110" t="s">
        <v>320</v>
      </c>
      <c r="X192" s="180"/>
      <c r="Y192" s="118" t="b">
        <v>0</v>
      </c>
      <c r="Z192" s="169">
        <v>12.0</v>
      </c>
      <c r="AA192" s="196">
        <f t="shared" si="1"/>
        <v>0</v>
      </c>
      <c r="AB192" s="197" t="b">
        <f t="shared" si="2"/>
        <v>1</v>
      </c>
      <c r="AC192" s="247">
        <v>10.0</v>
      </c>
      <c r="AD192" s="169">
        <v>0.0</v>
      </c>
      <c r="AE192" s="169">
        <v>0.0</v>
      </c>
      <c r="AF192" s="169">
        <v>0.0</v>
      </c>
      <c r="AG192" s="169">
        <v>0.0</v>
      </c>
      <c r="AH192" s="169">
        <v>0.0</v>
      </c>
      <c r="AI192" s="169">
        <v>0.0</v>
      </c>
      <c r="AJ192" s="182" t="b">
        <v>0</v>
      </c>
      <c r="AK192" s="183">
        <v>10.0</v>
      </c>
      <c r="AL192" s="169">
        <v>0.0</v>
      </c>
      <c r="AM192" s="172" t="str">
        <f t="shared" si="54"/>
        <v>Audit</v>
      </c>
      <c r="AN192" s="198" t="str">
        <f>IFNA(VLOOKUP($A192,'Tube Reactions'!$J$2:$K259,2,FALSE),"")</f>
        <v/>
      </c>
      <c r="AO192" s="199" t="str">
        <f t="shared" si="20"/>
        <v>NOT EQUAL</v>
      </c>
      <c r="AP192" s="186" t="str">
        <f t="shared" si="36"/>
        <v/>
      </c>
      <c r="AQ192" s="187" t="b">
        <f t="shared" si="5"/>
        <v>1</v>
      </c>
      <c r="AR192" s="188">
        <v>191.0</v>
      </c>
      <c r="AS192" s="189"/>
      <c r="AT192" s="55"/>
      <c r="AU192" s="110" t="s">
        <v>934</v>
      </c>
      <c r="AV192" s="169"/>
      <c r="AW192" s="118"/>
      <c r="AX192" s="190"/>
      <c r="AY192" s="48"/>
      <c r="BA192" s="191"/>
      <c r="BB192" s="18"/>
      <c r="BC192" s="18"/>
      <c r="BD192" s="48"/>
      <c r="BE192" s="192"/>
      <c r="BF192" s="76">
        <f t="shared" si="11"/>
        <v>45008</v>
      </c>
      <c r="BG192" s="114" t="str">
        <f t="shared" si="12"/>
        <v>RUN-ABRM_2023-03-23_RFR-191</v>
      </c>
      <c r="BH192" s="83">
        <f t="shared" si="13"/>
        <v>12</v>
      </c>
      <c r="BI192" s="83">
        <f t="shared" si="14"/>
        <v>10</v>
      </c>
      <c r="BJ192" s="83">
        <f t="shared" si="15"/>
        <v>10</v>
      </c>
      <c r="BK192" s="83">
        <f t="shared" si="16"/>
        <v>0</v>
      </c>
      <c r="BL192" s="200">
        <f>IFNA(IF(VLOOKUP(FLOOR($B192,1),'APS Tubes by Date IMPORT'!$B$2:$J259,1,FALSE)=FLOOR($BL191,1),IFERROR(0/0,""),VLOOKUP(FLOOR($B192,1),'APS Tubes by Date IMPORT'!$B$2:$J259,1,FALSE)),"")</f>
        <v>45008</v>
      </c>
      <c r="BM192" s="83">
        <f>IF(ISBLANK($BL192),IFERROR(0/0,""),VLOOKUP(FLOOR($B192,1),'APS Tubes by Date IMPORT'!$B$2:$J259,2,FALSE))</f>
        <v>10</v>
      </c>
      <c r="BN192" s="114"/>
      <c r="BO192" s="83" t="str">
        <f>VLOOKUP(FLOOR($B192,1),'APS Tubes by Date IMPORT'!$B192:$I259,6,FALSE)</f>
        <v>#N/A</v>
      </c>
      <c r="BP192" s="83">
        <v>7.0</v>
      </c>
      <c r="BQ192" s="193">
        <f t="shared" si="17"/>
        <v>-3</v>
      </c>
      <c r="BR192" s="131">
        <v>3.0</v>
      </c>
      <c r="BS192" s="76" t="b">
        <f t="shared" si="18"/>
        <v>1</v>
      </c>
      <c r="BT192" s="194" t="str">
        <f t="shared" si="19"/>
        <v>Delete NULL</v>
      </c>
      <c r="BU192" s="256"/>
      <c r="BV192" s="256"/>
      <c r="BW192" s="256"/>
      <c r="BX192" s="256"/>
    </row>
    <row r="193">
      <c r="A193" s="18" t="str">
        <f>CONCATENATE("RUN-",'Process Ref'!$A$1,"_",TEXT(U193,"YYYY-MM-DD"),"_RFR-",TEXT(AR193,"000"),IF(EXACT(W193,"Initial"),"",CONCATENATE("_",W193)))</f>
        <v>RUN-ABRM_2023-03-23_RFR-192_Re-run</v>
      </c>
      <c r="B193" s="251">
        <v>45008.52463513889</v>
      </c>
      <c r="C193" s="258"/>
      <c r="D193" s="258" t="s">
        <v>313</v>
      </c>
      <c r="E193" s="259">
        <v>5.0</v>
      </c>
      <c r="F193" s="258" t="s">
        <v>1135</v>
      </c>
      <c r="G193" s="260" t="s">
        <v>1136</v>
      </c>
      <c r="H193" s="260" t="s">
        <v>1137</v>
      </c>
      <c r="I193" s="260" t="s">
        <v>1138</v>
      </c>
      <c r="J193" s="172"/>
      <c r="K193" s="202"/>
      <c r="L193" s="246"/>
      <c r="M193" s="174"/>
      <c r="N193" s="174"/>
      <c r="O193" s="175"/>
      <c r="P193" s="118" t="b">
        <v>0</v>
      </c>
      <c r="Q193" s="118" t="b">
        <v>0</v>
      </c>
      <c r="R193" s="55"/>
      <c r="S193" s="118" t="b">
        <v>0</v>
      </c>
      <c r="T193" s="177" t="b">
        <v>1</v>
      </c>
      <c r="U193" s="178">
        <v>45008.0</v>
      </c>
      <c r="V193" s="179">
        <v>0.4375</v>
      </c>
      <c r="W193" s="110" t="s">
        <v>339</v>
      </c>
      <c r="X193" s="180"/>
      <c r="Y193" s="118"/>
      <c r="Z193" s="169"/>
      <c r="AA193" s="196">
        <f t="shared" si="1"/>
        <v>-5</v>
      </c>
      <c r="AB193" s="197" t="b">
        <f t="shared" si="2"/>
        <v>1</v>
      </c>
      <c r="AC193" s="247">
        <v>3.0</v>
      </c>
      <c r="AD193" s="169">
        <v>0.0</v>
      </c>
      <c r="AE193" s="169">
        <v>0.0</v>
      </c>
      <c r="AF193" s="169">
        <v>0.0</v>
      </c>
      <c r="AG193" s="169">
        <v>0.0</v>
      </c>
      <c r="AH193" s="169">
        <v>0.0</v>
      </c>
      <c r="AI193" s="169">
        <v>0.0</v>
      </c>
      <c r="AJ193" s="182" t="b">
        <v>0</v>
      </c>
      <c r="AK193" s="183">
        <v>1.0</v>
      </c>
      <c r="AL193" s="169"/>
      <c r="AM193" s="172" t="str">
        <f t="shared" si="54"/>
        <v/>
      </c>
      <c r="AN193" s="198" t="str">
        <f>IFNA(VLOOKUP($A193,'Tube Reactions'!$J$2:$K259,2,FALSE),"")</f>
        <v/>
      </c>
      <c r="AO193" s="199" t="str">
        <f t="shared" si="20"/>
        <v/>
      </c>
      <c r="AP193" s="186" t="str">
        <f t="shared" si="36"/>
        <v/>
      </c>
      <c r="AQ193" s="187" t="b">
        <f t="shared" si="5"/>
        <v>1</v>
      </c>
      <c r="AR193" s="188">
        <v>192.0</v>
      </c>
      <c r="AS193" s="189"/>
      <c r="AT193" s="55"/>
      <c r="AU193" s="110" t="s">
        <v>934</v>
      </c>
      <c r="AV193" s="169"/>
      <c r="AW193" s="118"/>
      <c r="AX193" s="190"/>
      <c r="AY193" s="48"/>
      <c r="BA193" s="191"/>
      <c r="BB193" s="18"/>
      <c r="BC193" s="18"/>
      <c r="BD193" s="48"/>
      <c r="BE193" s="192"/>
      <c r="BF193" s="76" t="str">
        <f t="shared" si="11"/>
        <v/>
      </c>
      <c r="BG193" s="114" t="str">
        <f t="shared" si="12"/>
        <v/>
      </c>
      <c r="BH193" s="83" t="str">
        <f t="shared" si="13"/>
        <v/>
      </c>
      <c r="BI193" s="83" t="str">
        <f t="shared" si="14"/>
        <v/>
      </c>
      <c r="BJ193" s="83" t="str">
        <f t="shared" si="15"/>
        <v/>
      </c>
      <c r="BK193" s="83" t="str">
        <f t="shared" si="16"/>
        <v/>
      </c>
      <c r="BL193" s="200" t="str">
        <f>IFNA(IF(VLOOKUP(FLOOR($B193,1),'APS Tubes by Date IMPORT'!$B$2:$J259,1,FALSE)=FLOOR($BL192,1),IFERROR(0/0,""),VLOOKUP(FLOOR($B193,1),'APS Tubes by Date IMPORT'!$B$2:$J259,1,FALSE)),"")</f>
        <v/>
      </c>
      <c r="BM193" s="83" t="str">
        <f>IF(ISBLANK($BL193),IFERROR(0/0,""),VLOOKUP(FLOOR($B193,1),'APS Tubes by Date IMPORT'!$B$2:$J259,2,FALSE))</f>
        <v/>
      </c>
      <c r="BN193" s="114"/>
      <c r="BO193" s="83" t="str">
        <f>VLOOKUP(FLOOR($B193,1),'APS Tubes by Date IMPORT'!$B193:$I259,6,FALSE)</f>
        <v>#N/A</v>
      </c>
      <c r="BP193" s="83">
        <v>7.0</v>
      </c>
      <c r="BQ193" s="193">
        <f t="shared" si="17"/>
        <v>7</v>
      </c>
      <c r="BR193" s="131">
        <v>3.0</v>
      </c>
      <c r="BS193" s="76" t="b">
        <f t="shared" si="18"/>
        <v>1</v>
      </c>
      <c r="BT193" s="194" t="str">
        <f t="shared" si="19"/>
        <v>Delete NULL</v>
      </c>
      <c r="BU193" s="256"/>
      <c r="BV193" s="256"/>
      <c r="BW193" s="256"/>
      <c r="BX193" s="256"/>
    </row>
    <row r="194">
      <c r="A194" s="18" t="str">
        <f>CONCATENATE("RUN-",'Process Ref'!$A$1,"_",TEXT(U194,"YYYY-MM-DD"),"_RFR-",TEXT(AR194,"000"),IF(EXACT(W194,"Initial"),"",CONCATENATE("_",W194)))</f>
        <v>RUN-ABRM_2023-03-24_RFR-193</v>
      </c>
      <c r="B194" s="251">
        <v>45009.44736048611</v>
      </c>
      <c r="C194" s="92"/>
      <c r="D194" s="92" t="s">
        <v>313</v>
      </c>
      <c r="E194" s="131">
        <v>12.0</v>
      </c>
      <c r="F194" s="92" t="s">
        <v>1139</v>
      </c>
      <c r="G194" s="252" t="s">
        <v>1140</v>
      </c>
      <c r="H194" s="252" t="s">
        <v>1141</v>
      </c>
      <c r="I194" s="252" t="s">
        <v>1142</v>
      </c>
      <c r="J194" s="172">
        <v>1.0</v>
      </c>
      <c r="K194" s="202"/>
      <c r="L194" s="246"/>
      <c r="M194" s="174"/>
      <c r="N194" s="174"/>
      <c r="O194" s="175"/>
      <c r="P194" s="118" t="b">
        <v>0</v>
      </c>
      <c r="Q194" s="118" t="b">
        <v>0</v>
      </c>
      <c r="R194" s="55"/>
      <c r="S194" s="118" t="b">
        <v>0</v>
      </c>
      <c r="T194" s="177" t="b">
        <v>0</v>
      </c>
      <c r="U194" s="178">
        <v>45009.0</v>
      </c>
      <c r="V194" s="179">
        <v>0.4583333333333333</v>
      </c>
      <c r="W194" s="110" t="s">
        <v>320</v>
      </c>
      <c r="X194" s="180"/>
      <c r="Y194" s="118" t="b">
        <v>0</v>
      </c>
      <c r="Z194" s="169">
        <v>9.0</v>
      </c>
      <c r="AA194" s="196">
        <f t="shared" si="1"/>
        <v>-3</v>
      </c>
      <c r="AB194" s="197" t="b">
        <f t="shared" si="2"/>
        <v>1</v>
      </c>
      <c r="AC194" s="247">
        <v>7.0</v>
      </c>
      <c r="AD194" s="169">
        <v>0.0</v>
      </c>
      <c r="AE194" s="169">
        <v>0.0</v>
      </c>
      <c r="AF194" s="169">
        <v>0.0</v>
      </c>
      <c r="AG194" s="169">
        <v>0.0</v>
      </c>
      <c r="AH194" s="169">
        <v>0.0</v>
      </c>
      <c r="AI194" s="169">
        <v>0.0</v>
      </c>
      <c r="AJ194" s="182" t="b">
        <v>0</v>
      </c>
      <c r="AK194" s="183">
        <v>7.0</v>
      </c>
      <c r="AL194" s="169">
        <v>0.0</v>
      </c>
      <c r="AM194" s="172" t="str">
        <f t="shared" si="54"/>
        <v>Audit</v>
      </c>
      <c r="AN194" s="198" t="str">
        <f>IFNA(VLOOKUP($A194,'Tube Reactions'!$J$2:$K259,2,FALSE),"")</f>
        <v/>
      </c>
      <c r="AO194" s="199" t="str">
        <f t="shared" si="20"/>
        <v>NOT EQUAL</v>
      </c>
      <c r="AP194" s="186" t="str">
        <f t="shared" si="36"/>
        <v/>
      </c>
      <c r="AQ194" s="187" t="b">
        <f t="shared" si="5"/>
        <v>1</v>
      </c>
      <c r="AR194" s="188">
        <v>193.0</v>
      </c>
      <c r="AS194" s="189"/>
      <c r="AT194" s="55"/>
      <c r="AU194" s="110" t="s">
        <v>934</v>
      </c>
      <c r="AV194" s="169"/>
      <c r="AW194" s="118"/>
      <c r="AX194" s="190"/>
      <c r="AY194" s="48"/>
      <c r="BA194" s="191"/>
      <c r="BB194" s="18"/>
      <c r="BC194" s="18"/>
      <c r="BD194" s="48"/>
      <c r="BE194" s="192"/>
      <c r="BF194" s="76">
        <f t="shared" si="11"/>
        <v>45009</v>
      </c>
      <c r="BG194" s="114" t="str">
        <f t="shared" si="12"/>
        <v>RUN-ABRM_2023-03-24_RFR-193</v>
      </c>
      <c r="BH194" s="83">
        <f t="shared" si="13"/>
        <v>12</v>
      </c>
      <c r="BI194" s="83">
        <f t="shared" si="14"/>
        <v>7</v>
      </c>
      <c r="BJ194" s="83">
        <f t="shared" si="15"/>
        <v>7</v>
      </c>
      <c r="BK194" s="83">
        <f t="shared" si="16"/>
        <v>0</v>
      </c>
      <c r="BL194" s="200">
        <f>IFNA(IF(VLOOKUP(FLOOR($B194,1),'APS Tubes by Date IMPORT'!$B$2:$J259,1,FALSE)=FLOOR($BL193,1),IFERROR(0/0,""),VLOOKUP(FLOOR($B194,1),'APS Tubes by Date IMPORT'!$B$2:$J259,1,FALSE)),"")</f>
        <v>45009</v>
      </c>
      <c r="BM194" s="83">
        <f>IF(ISBLANK($BL194),IFERROR(0/0,""),VLOOKUP(FLOOR($B194,1),'APS Tubes by Date IMPORT'!$B$2:$J259,2,FALSE))</f>
        <v>7</v>
      </c>
      <c r="BN194" s="114"/>
      <c r="BO194" s="83" t="str">
        <f>VLOOKUP(FLOOR($B194,1),'APS Tubes by Date IMPORT'!$B194:$I259,6,FALSE)</f>
        <v>#N/A</v>
      </c>
      <c r="BP194" s="83">
        <v>7.0</v>
      </c>
      <c r="BQ194" s="193">
        <f t="shared" si="17"/>
        <v>0</v>
      </c>
      <c r="BR194" s="131">
        <v>3.0</v>
      </c>
      <c r="BS194" s="76" t="b">
        <f t="shared" si="18"/>
        <v>1</v>
      </c>
      <c r="BT194" s="194" t="str">
        <f t="shared" si="19"/>
        <v>Delete NULL</v>
      </c>
      <c r="BU194" s="256"/>
      <c r="BV194" s="256"/>
      <c r="BW194" s="256"/>
      <c r="BX194" s="256"/>
    </row>
    <row r="195">
      <c r="A195" s="18" t="str">
        <f>CONCATENATE("RUN-",'Process Ref'!$A$1,"_",TEXT(U195,"YYYY-MM-DD"),"_RFR-",TEXT(AR195,"000"),IF(EXACT(W195,"Initial"),"",CONCATENATE("_",W195)))</f>
        <v>RUN-ABRM_2023-03-27_RFR-194</v>
      </c>
      <c r="B195" s="251">
        <v>45012.42197303241</v>
      </c>
      <c r="C195" s="92"/>
      <c r="D195" s="92" t="s">
        <v>313</v>
      </c>
      <c r="E195" s="131">
        <v>12.0</v>
      </c>
      <c r="F195" s="257">
        <v>230327.0</v>
      </c>
      <c r="G195" s="252" t="s">
        <v>1143</v>
      </c>
      <c r="H195" s="252" t="s">
        <v>1144</v>
      </c>
      <c r="I195" s="252" t="s">
        <v>1145</v>
      </c>
      <c r="J195" s="172"/>
      <c r="K195" s="202"/>
      <c r="L195" s="246"/>
      <c r="M195" s="174"/>
      <c r="N195" s="174"/>
      <c r="O195" s="175"/>
      <c r="P195" s="118" t="b">
        <v>0</v>
      </c>
      <c r="Q195" s="118" t="b">
        <v>0</v>
      </c>
      <c r="R195" s="55"/>
      <c r="S195" s="118" t="b">
        <v>0</v>
      </c>
      <c r="T195" s="177" t="b">
        <v>0</v>
      </c>
      <c r="U195" s="178">
        <v>45012.0</v>
      </c>
      <c r="V195" s="179">
        <v>0.4479166666666667</v>
      </c>
      <c r="W195" s="110" t="s">
        <v>320</v>
      </c>
      <c r="X195" s="180"/>
      <c r="Y195" s="118" t="b">
        <v>0</v>
      </c>
      <c r="Z195" s="169">
        <v>12.0</v>
      </c>
      <c r="AA195" s="196">
        <f t="shared" si="1"/>
        <v>0</v>
      </c>
      <c r="AB195" s="197" t="b">
        <f t="shared" si="2"/>
        <v>1</v>
      </c>
      <c r="AC195" s="247">
        <v>10.0</v>
      </c>
      <c r="AD195" s="169">
        <v>0.0</v>
      </c>
      <c r="AE195" s="169">
        <v>0.0</v>
      </c>
      <c r="AF195" s="169">
        <v>0.0</v>
      </c>
      <c r="AG195" s="169">
        <v>0.0</v>
      </c>
      <c r="AH195" s="169">
        <v>0.0</v>
      </c>
      <c r="AI195" s="169">
        <v>0.0</v>
      </c>
      <c r="AJ195" s="182" t="b">
        <v>0</v>
      </c>
      <c r="AK195" s="183">
        <v>10.0</v>
      </c>
      <c r="AL195" s="169">
        <v>0.0</v>
      </c>
      <c r="AM195" s="172" t="str">
        <f t="shared" si="54"/>
        <v>Audit</v>
      </c>
      <c r="AN195" s="198" t="str">
        <f>IFNA(VLOOKUP($A195,'Tube Reactions'!$J$2:$K259,2,FALSE),"")</f>
        <v/>
      </c>
      <c r="AO195" s="199" t="str">
        <f t="shared" si="20"/>
        <v>NOT EQUAL</v>
      </c>
      <c r="AP195" s="186" t="str">
        <f t="shared" si="36"/>
        <v/>
      </c>
      <c r="AQ195" s="187" t="b">
        <f t="shared" si="5"/>
        <v>1</v>
      </c>
      <c r="AR195" s="188">
        <v>194.0</v>
      </c>
      <c r="AS195" s="189"/>
      <c r="AT195" s="55"/>
      <c r="AU195" s="110" t="s">
        <v>934</v>
      </c>
      <c r="AV195" s="169"/>
      <c r="AW195" s="118"/>
      <c r="AX195" s="190"/>
      <c r="AY195" s="48"/>
      <c r="BA195" s="191"/>
      <c r="BB195" s="18"/>
      <c r="BC195" s="18"/>
      <c r="BD195" s="48"/>
      <c r="BE195" s="192"/>
      <c r="BF195" s="76">
        <f t="shared" si="11"/>
        <v>45012</v>
      </c>
      <c r="BG195" s="114" t="str">
        <f t="shared" si="12"/>
        <v>RUN-ABRM_2023-03-27_RFR-194</v>
      </c>
      <c r="BH195" s="83">
        <f t="shared" si="13"/>
        <v>12</v>
      </c>
      <c r="BI195" s="83">
        <f t="shared" si="14"/>
        <v>10</v>
      </c>
      <c r="BJ195" s="83">
        <f t="shared" si="15"/>
        <v>10</v>
      </c>
      <c r="BK195" s="83">
        <f t="shared" si="16"/>
        <v>0</v>
      </c>
      <c r="BL195" s="200">
        <f>IFNA(IF(VLOOKUP(FLOOR($B195,1),'APS Tubes by Date IMPORT'!$B$2:$J259,1,FALSE)=FLOOR($BL194,1),IFERROR(0/0,""),VLOOKUP(FLOOR($B195,1),'APS Tubes by Date IMPORT'!$B$2:$J259,1,FALSE)),"")</f>
        <v>45012</v>
      </c>
      <c r="BM195" s="83">
        <f>IF(ISBLANK($BL195),IFERROR(0/0,""),VLOOKUP(FLOOR($B195,1),'APS Tubes by Date IMPORT'!$B$2:$J259,2,FALSE))</f>
        <v>9</v>
      </c>
      <c r="BN195" s="114"/>
      <c r="BO195" s="83" t="str">
        <f>VLOOKUP(FLOOR($B195,1),'APS Tubes by Date IMPORT'!$B195:$I259,6,FALSE)</f>
        <v>#N/A</v>
      </c>
      <c r="BP195" s="83">
        <v>7.0</v>
      </c>
      <c r="BQ195" s="193">
        <f t="shared" si="17"/>
        <v>-2</v>
      </c>
      <c r="BR195" s="131">
        <v>3.0</v>
      </c>
      <c r="BS195" s="76" t="b">
        <f t="shared" si="18"/>
        <v>1</v>
      </c>
      <c r="BT195" s="194" t="str">
        <f t="shared" si="19"/>
        <v>Delete NULL</v>
      </c>
      <c r="BU195" s="256"/>
      <c r="BV195" s="256"/>
      <c r="BW195" s="256"/>
      <c r="BX195" s="256"/>
    </row>
    <row r="196">
      <c r="A196" s="18" t="str">
        <f>CONCATENATE("RUN-",'Process Ref'!$A$1,"_",TEXT(U196,"YYYY-MM-DD"),"_RFR-",TEXT(AR196,"000"),IF(EXACT(W196,"Initial"),"",CONCATENATE("_",W196)))</f>
        <v>RUN-ABRM_2023-03-28_RFR-195</v>
      </c>
      <c r="B196" s="251">
        <v>45013.538940185186</v>
      </c>
      <c r="C196" s="92"/>
      <c r="D196" s="92" t="s">
        <v>313</v>
      </c>
      <c r="E196" s="131">
        <v>10.0</v>
      </c>
      <c r="F196" s="92" t="s">
        <v>1146</v>
      </c>
      <c r="G196" s="252" t="s">
        <v>1147</v>
      </c>
      <c r="H196" s="252" t="s">
        <v>1148</v>
      </c>
      <c r="I196" s="252" t="s">
        <v>1149</v>
      </c>
      <c r="J196" s="172"/>
      <c r="K196" s="202"/>
      <c r="L196" s="246"/>
      <c r="M196" s="174"/>
      <c r="N196" s="174"/>
      <c r="O196" s="175"/>
      <c r="P196" s="118" t="b">
        <v>0</v>
      </c>
      <c r="Q196" s="118" t="b">
        <v>0</v>
      </c>
      <c r="R196" s="55"/>
      <c r="S196" s="118" t="b">
        <v>0</v>
      </c>
      <c r="T196" s="177" t="b">
        <v>0</v>
      </c>
      <c r="U196" s="178">
        <v>45013.0</v>
      </c>
      <c r="V196" s="179">
        <v>0.4270833333333333</v>
      </c>
      <c r="W196" s="110" t="s">
        <v>320</v>
      </c>
      <c r="X196" s="180"/>
      <c r="Y196" s="118" t="b">
        <v>0</v>
      </c>
      <c r="Z196" s="169">
        <v>10.0</v>
      </c>
      <c r="AA196" s="196">
        <f t="shared" si="1"/>
        <v>0</v>
      </c>
      <c r="AB196" s="197" t="b">
        <f t="shared" si="2"/>
        <v>1</v>
      </c>
      <c r="AC196" s="247">
        <v>8.0</v>
      </c>
      <c r="AD196" s="169">
        <v>0.0</v>
      </c>
      <c r="AE196" s="169">
        <v>0.0</v>
      </c>
      <c r="AF196" s="169">
        <v>0.0</v>
      </c>
      <c r="AG196" s="169">
        <v>0.0</v>
      </c>
      <c r="AH196" s="169">
        <v>0.0</v>
      </c>
      <c r="AI196" s="169">
        <v>0.0</v>
      </c>
      <c r="AJ196" s="182" t="b">
        <v>0</v>
      </c>
      <c r="AK196" s="183">
        <v>8.0</v>
      </c>
      <c r="AL196" s="169">
        <v>0.0</v>
      </c>
      <c r="AM196" s="172" t="str">
        <f t="shared" si="54"/>
        <v>Audit</v>
      </c>
      <c r="AN196" s="198" t="str">
        <f>IFNA(VLOOKUP($A196,'Tube Reactions'!$J$2:$K259,2,FALSE),"")</f>
        <v/>
      </c>
      <c r="AO196" s="199" t="str">
        <f t="shared" si="20"/>
        <v>NOT EQUAL</v>
      </c>
      <c r="AP196" s="186" t="str">
        <f t="shared" si="36"/>
        <v/>
      </c>
      <c r="AQ196" s="187" t="b">
        <f t="shared" si="5"/>
        <v>1</v>
      </c>
      <c r="AR196" s="188">
        <v>195.0</v>
      </c>
      <c r="AS196" s="189"/>
      <c r="AT196" s="55"/>
      <c r="AU196" s="110" t="s">
        <v>934</v>
      </c>
      <c r="AV196" s="169"/>
      <c r="AW196" s="118"/>
      <c r="AX196" s="190"/>
      <c r="AY196" s="48"/>
      <c r="BA196" s="191"/>
      <c r="BB196" s="18"/>
      <c r="BC196" s="18"/>
      <c r="BD196" s="48"/>
      <c r="BE196" s="192"/>
      <c r="BF196" s="76">
        <f t="shared" si="11"/>
        <v>45013</v>
      </c>
      <c r="BG196" s="114" t="str">
        <f t="shared" si="12"/>
        <v>RUN-ABRM_2023-03-28_RFR-195</v>
      </c>
      <c r="BH196" s="83">
        <f t="shared" si="13"/>
        <v>10</v>
      </c>
      <c r="BI196" s="83">
        <f t="shared" si="14"/>
        <v>8</v>
      </c>
      <c r="BJ196" s="83">
        <f t="shared" si="15"/>
        <v>8</v>
      </c>
      <c r="BK196" s="83">
        <f t="shared" si="16"/>
        <v>0</v>
      </c>
      <c r="BL196" s="200">
        <f>IFNA(IF(VLOOKUP(FLOOR($B196,1),'APS Tubes by Date IMPORT'!$B$2:$J259,1,FALSE)=FLOOR($BL195,1),IFERROR(0/0,""),VLOOKUP(FLOOR($B196,1),'APS Tubes by Date IMPORT'!$B$2:$J259,1,FALSE)),"")</f>
        <v>45013</v>
      </c>
      <c r="BM196" s="83">
        <f>IF(ISBLANK($BL196),IFERROR(0/0,""),VLOOKUP(FLOOR($B196,1),'APS Tubes by Date IMPORT'!$B$2:$J259,2,FALSE))</f>
        <v>8</v>
      </c>
      <c r="BN196" s="114"/>
      <c r="BO196" s="83" t="str">
        <f>VLOOKUP(FLOOR($B196,1),'APS Tubes by Date IMPORT'!$B196:$I259,6,FALSE)</f>
        <v>#N/A</v>
      </c>
      <c r="BP196" s="83">
        <v>7.0</v>
      </c>
      <c r="BQ196" s="193">
        <f t="shared" si="17"/>
        <v>-1</v>
      </c>
      <c r="BR196" s="131">
        <v>3.0</v>
      </c>
      <c r="BS196" s="76" t="b">
        <f t="shared" si="18"/>
        <v>1</v>
      </c>
      <c r="BT196" s="194" t="str">
        <f t="shared" si="19"/>
        <v>Delete NULL</v>
      </c>
      <c r="BU196" s="256"/>
      <c r="BV196" s="256"/>
      <c r="BW196" s="256"/>
      <c r="BX196" s="256"/>
    </row>
    <row r="197">
      <c r="A197" s="18" t="str">
        <f>CONCATENATE("RUN-",'Process Ref'!$A$1,"_",TEXT(U197,"YYYY-MM-DD"),"_RFR-",TEXT(AR197,"000"),IF(EXACT(W197,"Initial"),"",CONCATENATE("_",W197)))</f>
        <v>RUN-ABRM_2023-03-29_RFR-196</v>
      </c>
      <c r="B197" s="251">
        <v>45014.40984298611</v>
      </c>
      <c r="C197" s="92"/>
      <c r="D197" s="92" t="s">
        <v>313</v>
      </c>
      <c r="E197" s="131">
        <v>12.0</v>
      </c>
      <c r="F197" s="92" t="s">
        <v>1150</v>
      </c>
      <c r="G197" s="252" t="s">
        <v>1151</v>
      </c>
      <c r="H197" s="252" t="s">
        <v>1152</v>
      </c>
      <c r="I197" s="252" t="s">
        <v>1153</v>
      </c>
      <c r="J197" s="172"/>
      <c r="K197" s="202"/>
      <c r="L197" s="246"/>
      <c r="M197" s="174"/>
      <c r="N197" s="174"/>
      <c r="O197" s="175"/>
      <c r="P197" s="118" t="b">
        <v>0</v>
      </c>
      <c r="Q197" s="118" t="b">
        <v>0</v>
      </c>
      <c r="R197" s="55"/>
      <c r="S197" s="118" t="b">
        <v>0</v>
      </c>
      <c r="T197" s="177" t="b">
        <v>0</v>
      </c>
      <c r="U197" s="178">
        <v>45014.0</v>
      </c>
      <c r="V197" s="179">
        <v>0.4479166666666667</v>
      </c>
      <c r="W197" s="110" t="s">
        <v>320</v>
      </c>
      <c r="X197" s="180"/>
      <c r="Y197" s="118" t="b">
        <v>0</v>
      </c>
      <c r="Z197" s="169"/>
      <c r="AA197" s="196">
        <f t="shared" si="1"/>
        <v>-12</v>
      </c>
      <c r="AB197" s="197" t="b">
        <f t="shared" si="2"/>
        <v>1</v>
      </c>
      <c r="AC197" s="169">
        <v>10.0</v>
      </c>
      <c r="AD197" s="169">
        <v>0.0</v>
      </c>
      <c r="AE197" s="169">
        <v>0.0</v>
      </c>
      <c r="AF197" s="169">
        <v>0.0</v>
      </c>
      <c r="AG197" s="169">
        <v>0.0</v>
      </c>
      <c r="AH197" s="169">
        <v>0.0</v>
      </c>
      <c r="AI197" s="169">
        <v>0.0</v>
      </c>
      <c r="AJ197" s="182" t="b">
        <v>0</v>
      </c>
      <c r="AK197" s="183">
        <v>10.0</v>
      </c>
      <c r="AL197" s="169">
        <v>0.0</v>
      </c>
      <c r="AM197" s="172" t="str">
        <f t="shared" si="54"/>
        <v>Audit</v>
      </c>
      <c r="AN197" s="198" t="str">
        <f>IFNA(VLOOKUP($A197,'Tube Reactions'!$J$2:$K259,2,FALSE),"")</f>
        <v/>
      </c>
      <c r="AO197" s="199" t="str">
        <f t="shared" si="20"/>
        <v>NOT EQUAL</v>
      </c>
      <c r="AP197" s="186" t="str">
        <f t="shared" si="36"/>
        <v/>
      </c>
      <c r="AQ197" s="187" t="b">
        <f t="shared" si="5"/>
        <v>1</v>
      </c>
      <c r="AR197" s="188">
        <v>196.0</v>
      </c>
      <c r="AS197" s="189"/>
      <c r="AT197" s="55"/>
      <c r="AU197" s="110" t="s">
        <v>934</v>
      </c>
      <c r="AV197" s="169"/>
      <c r="AW197" s="118"/>
      <c r="AX197" s="190"/>
      <c r="AY197" s="48"/>
      <c r="BA197" s="169"/>
      <c r="BB197" s="18"/>
      <c r="BC197" s="18"/>
      <c r="BD197" s="48"/>
      <c r="BE197" s="192"/>
      <c r="BF197" s="76">
        <f t="shared" si="11"/>
        <v>45014</v>
      </c>
      <c r="BG197" s="114" t="str">
        <f t="shared" si="12"/>
        <v>RUN-ABRM_2023-03-29_RFR-196</v>
      </c>
      <c r="BH197" s="83">
        <f t="shared" si="13"/>
        <v>12</v>
      </c>
      <c r="BI197" s="83">
        <f t="shared" si="14"/>
        <v>10</v>
      </c>
      <c r="BJ197" s="83">
        <f t="shared" si="15"/>
        <v>10</v>
      </c>
      <c r="BK197" s="83">
        <f t="shared" si="16"/>
        <v>0</v>
      </c>
      <c r="BL197" s="200">
        <f>IFNA(IF(VLOOKUP(FLOOR($B197,1),'APS Tubes by Date IMPORT'!$B$2:$J259,1,FALSE)=FLOOR($BL196,1),IFERROR(0/0,""),VLOOKUP(FLOOR($B197,1),'APS Tubes by Date IMPORT'!$B$2:$J259,1,FALSE)),"")</f>
        <v>45014</v>
      </c>
      <c r="BM197" s="83">
        <f>IF(ISBLANK($BL197),IFERROR(0/0,""),VLOOKUP(FLOOR($B197,1),'APS Tubes by Date IMPORT'!$B$2:$J259,2,FALSE))</f>
        <v>10</v>
      </c>
      <c r="BN197" s="114"/>
      <c r="BO197" s="83" t="str">
        <f>VLOOKUP(FLOOR($B197,1),'APS Tubes by Date IMPORT'!$B197:$I259,6,FALSE)</f>
        <v>#N/A</v>
      </c>
      <c r="BP197" s="83">
        <v>7.0</v>
      </c>
      <c r="BQ197" s="193">
        <f t="shared" si="17"/>
        <v>-3</v>
      </c>
      <c r="BR197" s="131">
        <v>3.0</v>
      </c>
      <c r="BS197" s="76" t="b">
        <f t="shared" si="18"/>
        <v>1</v>
      </c>
      <c r="BT197" s="194" t="str">
        <f t="shared" si="19"/>
        <v>Delete NULL</v>
      </c>
      <c r="BU197" s="256"/>
      <c r="BV197" s="256"/>
      <c r="BW197" s="256"/>
      <c r="BX197" s="256"/>
    </row>
    <row r="198">
      <c r="A198" s="18" t="str">
        <f>CONCATENATE("RUN-",'Process Ref'!$A$1,"_",TEXT(U198,"YYYY-MM-DD"),"_RFR-",TEXT(AR198,"000"),IF(EXACT(W198,"Initial"),"",CONCATENATE("_",W198)))</f>
        <v>RUN-ABRM_2023-03-30_RFR-197</v>
      </c>
      <c r="B198" s="251">
        <v>45015.410686400464</v>
      </c>
      <c r="C198" s="92"/>
      <c r="D198" s="92" t="s">
        <v>313</v>
      </c>
      <c r="E198" s="131">
        <v>12.0</v>
      </c>
      <c r="F198" s="92" t="s">
        <v>1154</v>
      </c>
      <c r="G198" s="252" t="s">
        <v>1155</v>
      </c>
      <c r="H198" s="252" t="s">
        <v>1156</v>
      </c>
      <c r="I198" s="252" t="s">
        <v>1157</v>
      </c>
      <c r="J198" s="172"/>
      <c r="K198" s="202" t="s">
        <v>1158</v>
      </c>
      <c r="L198" s="246"/>
      <c r="M198" s="174"/>
      <c r="N198" s="174"/>
      <c r="O198" s="175"/>
      <c r="P198" s="118" t="b">
        <v>0</v>
      </c>
      <c r="Q198" s="118" t="b">
        <v>0</v>
      </c>
      <c r="R198" s="55"/>
      <c r="S198" s="118" t="b">
        <v>0</v>
      </c>
      <c r="T198" s="177" t="b">
        <v>1</v>
      </c>
      <c r="U198" s="178">
        <v>45015.0</v>
      </c>
      <c r="V198" s="179">
        <v>0.43194444444444446</v>
      </c>
      <c r="W198" s="110" t="s">
        <v>320</v>
      </c>
      <c r="X198" s="203" t="s">
        <v>1159</v>
      </c>
      <c r="Y198" s="118" t="b">
        <v>1</v>
      </c>
      <c r="Z198" s="169">
        <v>12.0</v>
      </c>
      <c r="AA198" s="196">
        <f t="shared" si="1"/>
        <v>0</v>
      </c>
      <c r="AB198" s="197" t="b">
        <f t="shared" si="2"/>
        <v>1</v>
      </c>
      <c r="AC198" s="169">
        <v>10.0</v>
      </c>
      <c r="AD198" s="169">
        <v>0.0</v>
      </c>
      <c r="AE198" s="169">
        <v>0.0</v>
      </c>
      <c r="AF198" s="169">
        <v>0.0</v>
      </c>
      <c r="AG198" s="169">
        <v>1.0</v>
      </c>
      <c r="AH198" s="169">
        <v>1.0</v>
      </c>
      <c r="AI198" s="169">
        <v>1.0</v>
      </c>
      <c r="AJ198" s="182" t="b">
        <v>0</v>
      </c>
      <c r="AK198" s="183">
        <v>10.0</v>
      </c>
      <c r="AL198" s="169">
        <v>4.0</v>
      </c>
      <c r="AM198" s="172" t="str">
        <f t="shared" si="54"/>
        <v>Audit</v>
      </c>
      <c r="AN198" s="198" t="str">
        <f>IFNA(VLOOKUP($A198,'Tube Reactions'!$J$2:$K259,2,FALSE),"")</f>
        <v/>
      </c>
      <c r="AO198" s="199" t="str">
        <f t="shared" si="20"/>
        <v>NOT EQUAL</v>
      </c>
      <c r="AP198" s="186" t="str">
        <f t="shared" si="36"/>
        <v/>
      </c>
      <c r="AQ198" s="187" t="b">
        <f t="shared" si="5"/>
        <v>1</v>
      </c>
      <c r="AR198" s="188">
        <v>197.0</v>
      </c>
      <c r="AS198" s="189"/>
      <c r="AT198" s="55"/>
      <c r="AU198" s="110" t="s">
        <v>934</v>
      </c>
      <c r="AV198" s="169"/>
      <c r="AW198" s="118"/>
      <c r="AX198" s="190"/>
      <c r="AY198" s="48"/>
      <c r="BA198" s="169"/>
      <c r="BB198" s="18"/>
      <c r="BC198" s="18"/>
      <c r="BD198" s="48"/>
      <c r="BE198" s="192"/>
      <c r="BF198" s="76">
        <f t="shared" si="11"/>
        <v>45015</v>
      </c>
      <c r="BG198" s="114" t="str">
        <f t="shared" si="12"/>
        <v>RUN-ABRM_2023-03-30_RFR-197</v>
      </c>
      <c r="BH198" s="83">
        <f t="shared" si="13"/>
        <v>12</v>
      </c>
      <c r="BI198" s="83">
        <f t="shared" si="14"/>
        <v>10</v>
      </c>
      <c r="BJ198" s="83">
        <f t="shared" si="15"/>
        <v>10</v>
      </c>
      <c r="BK198" s="83">
        <f t="shared" si="16"/>
        <v>4</v>
      </c>
      <c r="BL198" s="200">
        <f>IFNA(IF(VLOOKUP(FLOOR($B198,1),'APS Tubes by Date IMPORT'!$B$2:$J259,1,FALSE)=FLOOR($BL197,1),IFERROR(0/0,""),VLOOKUP(FLOOR($B198,1),'APS Tubes by Date IMPORT'!$B$2:$J259,1,FALSE)),"")</f>
        <v>45015</v>
      </c>
      <c r="BM198" s="83">
        <f>IF(ISBLANK($BL198),IFERROR(0/0,""),VLOOKUP(FLOOR($B198,1),'APS Tubes by Date IMPORT'!$B$2:$J259,2,FALSE))</f>
        <v>10</v>
      </c>
      <c r="BN198" s="114"/>
      <c r="BO198" s="83" t="str">
        <f>VLOOKUP(FLOOR($B198,1),'APS Tubes by Date IMPORT'!$B198:$I259,6,FALSE)</f>
        <v>#N/A</v>
      </c>
      <c r="BP198" s="83">
        <v>7.0</v>
      </c>
      <c r="BQ198" s="193">
        <f t="shared" si="17"/>
        <v>-3</v>
      </c>
      <c r="BR198" s="131">
        <v>3.0</v>
      </c>
      <c r="BS198" s="76" t="b">
        <f t="shared" si="18"/>
        <v>1</v>
      </c>
      <c r="BT198" s="194" t="str">
        <f t="shared" si="19"/>
        <v>Delete NULL</v>
      </c>
      <c r="BU198" s="256"/>
      <c r="BV198" s="256"/>
      <c r="BW198" s="256"/>
      <c r="BX198" s="256"/>
    </row>
    <row r="199">
      <c r="A199" s="18" t="str">
        <f>CONCATENATE("RUN-",'Process Ref'!$A$1,"_",TEXT(U199,"YYYY-MM-DD"),"_RFR-",TEXT(AR199,"000"),IF(EXACT(W199,"Initial"),"",CONCATENATE("_",W199)))</f>
        <v>RUN-ABRM_2023-03-30_RFR-198_Re-run</v>
      </c>
      <c r="B199" s="251">
        <v>45016.4315965625</v>
      </c>
      <c r="C199" s="92"/>
      <c r="D199" s="92" t="s">
        <v>313</v>
      </c>
      <c r="E199" s="131">
        <v>5.0</v>
      </c>
      <c r="F199" s="92" t="s">
        <v>1154</v>
      </c>
      <c r="G199" s="252" t="s">
        <v>1160</v>
      </c>
      <c r="H199" s="252" t="s">
        <v>1161</v>
      </c>
      <c r="I199" s="252" t="s">
        <v>1162</v>
      </c>
      <c r="J199" s="172"/>
      <c r="K199" s="202" t="s">
        <v>1163</v>
      </c>
      <c r="L199" s="246"/>
      <c r="M199" s="174"/>
      <c r="N199" s="174"/>
      <c r="O199" s="175"/>
      <c r="P199" s="118" t="b">
        <v>0</v>
      </c>
      <c r="Q199" s="118" t="b">
        <v>0</v>
      </c>
      <c r="R199" s="55"/>
      <c r="S199" s="118" t="b">
        <v>0</v>
      </c>
      <c r="T199" s="177" t="b">
        <v>0</v>
      </c>
      <c r="U199" s="178">
        <v>45015.0</v>
      </c>
      <c r="V199" s="179">
        <v>0.4826388888888889</v>
      </c>
      <c r="W199" s="110" t="s">
        <v>339</v>
      </c>
      <c r="X199" s="203" t="s">
        <v>1164</v>
      </c>
      <c r="Y199" s="118" t="b">
        <v>1</v>
      </c>
      <c r="Z199" s="169">
        <v>5.0</v>
      </c>
      <c r="AA199" s="196">
        <f t="shared" si="1"/>
        <v>0</v>
      </c>
      <c r="AB199" s="197" t="b">
        <f t="shared" si="2"/>
        <v>1</v>
      </c>
      <c r="AC199" s="169">
        <v>3.0</v>
      </c>
      <c r="AD199" s="169">
        <v>0.0</v>
      </c>
      <c r="AE199" s="169">
        <v>0.0</v>
      </c>
      <c r="AF199" s="169">
        <v>0.0</v>
      </c>
      <c r="AG199" s="169">
        <v>3.0</v>
      </c>
      <c r="AH199" s="169">
        <v>1.0</v>
      </c>
      <c r="AI199" s="169">
        <v>1.0</v>
      </c>
      <c r="AJ199" s="182" t="b">
        <v>0</v>
      </c>
      <c r="AK199" s="183">
        <v>1.0</v>
      </c>
      <c r="AL199" s="169">
        <v>4.0</v>
      </c>
      <c r="AM199" s="172" t="str">
        <f t="shared" si="54"/>
        <v/>
      </c>
      <c r="AN199" s="198" t="str">
        <f>IFNA(VLOOKUP($A199,'Tube Reactions'!$J$2:$K259,2,FALSE),"")</f>
        <v/>
      </c>
      <c r="AO199" s="199" t="str">
        <f t="shared" si="20"/>
        <v/>
      </c>
      <c r="AP199" s="186" t="str">
        <f t="shared" si="36"/>
        <v/>
      </c>
      <c r="AQ199" s="187" t="b">
        <f t="shared" si="5"/>
        <v>1</v>
      </c>
      <c r="AR199" s="188">
        <v>198.0</v>
      </c>
      <c r="AS199" s="189"/>
      <c r="AT199" s="55"/>
      <c r="AU199" s="110" t="s">
        <v>934</v>
      </c>
      <c r="AV199" s="169"/>
      <c r="AW199" s="118"/>
      <c r="AX199" s="190"/>
      <c r="AY199" s="48"/>
      <c r="BA199" s="169"/>
      <c r="BB199" s="18"/>
      <c r="BC199" s="18"/>
      <c r="BD199" s="48"/>
      <c r="BE199" s="192"/>
      <c r="BF199" s="76" t="str">
        <f t="shared" si="11"/>
        <v/>
      </c>
      <c r="BG199" s="114" t="str">
        <f t="shared" si="12"/>
        <v/>
      </c>
      <c r="BH199" s="83" t="str">
        <f t="shared" si="13"/>
        <v/>
      </c>
      <c r="BI199" s="83" t="str">
        <f t="shared" si="14"/>
        <v/>
      </c>
      <c r="BJ199" s="83" t="str">
        <f t="shared" si="15"/>
        <v/>
      </c>
      <c r="BK199" s="83" t="str">
        <f t="shared" si="16"/>
        <v/>
      </c>
      <c r="BL199" s="200">
        <f>IFNA(IF(VLOOKUP(FLOOR($B199,1),'APS Tubes by Date IMPORT'!$B$2:$J259,1,FALSE)=FLOOR($BL198,1),IFERROR(0/0,""),VLOOKUP(FLOOR($B199,1),'APS Tubes by Date IMPORT'!$B$2:$J259,1,FALSE)),"")</f>
        <v>45016</v>
      </c>
      <c r="BM199" s="83">
        <f>IF(ISBLANK($BL199),IFERROR(0/0,""),VLOOKUP(FLOOR($B199,1),'APS Tubes by Date IMPORT'!$B$2:$J259,2,FALSE))</f>
        <v>2</v>
      </c>
      <c r="BN199" s="114"/>
      <c r="BO199" s="83" t="str">
        <f>VLOOKUP(FLOOR($B199,1),'APS Tubes by Date IMPORT'!$B199:$I259,6,FALSE)</f>
        <v>#N/A</v>
      </c>
      <c r="BP199" s="83">
        <v>7.0</v>
      </c>
      <c r="BQ199" s="193">
        <f t="shared" si="17"/>
        <v>5</v>
      </c>
      <c r="BR199" s="131">
        <v>3.0</v>
      </c>
      <c r="BS199" s="76" t="b">
        <f t="shared" si="18"/>
        <v>1</v>
      </c>
      <c r="BT199" s="194" t="str">
        <f t="shared" si="19"/>
        <v>Delete NULL</v>
      </c>
      <c r="BU199" s="256"/>
      <c r="BV199" s="256"/>
      <c r="BW199" s="256"/>
      <c r="BX199" s="256"/>
    </row>
    <row r="200">
      <c r="A200" s="18" t="str">
        <f>CONCATENATE("RUN-",'Process Ref'!$A$1,"_",TEXT(U200,"YYYY-MM-DD"),"_RFR-",TEXT(AR200,"000"),IF(EXACT(W200,"Initial"),"",CONCATENATE("_",W200)))</f>
        <v>RUN-ABRM_2023-03-31_RFR-199</v>
      </c>
      <c r="B200" s="251">
        <v>45016.47153962963</v>
      </c>
      <c r="C200" s="92"/>
      <c r="D200" s="92" t="s">
        <v>313</v>
      </c>
      <c r="E200" s="131">
        <v>8.0</v>
      </c>
      <c r="F200" s="92" t="s">
        <v>1165</v>
      </c>
      <c r="G200" s="252" t="s">
        <v>1166</v>
      </c>
      <c r="H200" s="252" t="s">
        <v>1167</v>
      </c>
      <c r="I200" s="252" t="s">
        <v>1168</v>
      </c>
      <c r="J200" s="172">
        <v>1.0</v>
      </c>
      <c r="K200" s="202" t="s">
        <v>1169</v>
      </c>
      <c r="L200" s="246"/>
      <c r="M200" s="174"/>
      <c r="N200" s="174"/>
      <c r="O200" s="175"/>
      <c r="P200" s="118" t="b">
        <v>0</v>
      </c>
      <c r="Q200" s="118" t="b">
        <v>0</v>
      </c>
      <c r="R200" s="55"/>
      <c r="S200" s="118" t="b">
        <v>0</v>
      </c>
      <c r="T200" s="177" t="b">
        <v>0</v>
      </c>
      <c r="U200" s="178">
        <v>45016.0</v>
      </c>
      <c r="V200" s="179">
        <v>0.5034722222222222</v>
      </c>
      <c r="W200" s="110" t="s">
        <v>320</v>
      </c>
      <c r="X200" s="180"/>
      <c r="Y200" s="118" t="b">
        <v>0</v>
      </c>
      <c r="Z200" s="169">
        <v>8.0</v>
      </c>
      <c r="AA200" s="196">
        <f t="shared" si="1"/>
        <v>0</v>
      </c>
      <c r="AB200" s="197" t="b">
        <f t="shared" si="2"/>
        <v>1</v>
      </c>
      <c r="AC200" s="169">
        <v>6.0</v>
      </c>
      <c r="AD200" s="169">
        <v>0.0</v>
      </c>
      <c r="AE200" s="169">
        <v>0.0</v>
      </c>
      <c r="AF200" s="169">
        <v>0.0</v>
      </c>
      <c r="AG200" s="169">
        <v>0.0</v>
      </c>
      <c r="AH200" s="169">
        <v>0.0</v>
      </c>
      <c r="AI200" s="169">
        <v>0.0</v>
      </c>
      <c r="AJ200" s="182" t="b">
        <v>0</v>
      </c>
      <c r="AK200" s="183">
        <v>2.0</v>
      </c>
      <c r="AL200" s="169">
        <v>0.0</v>
      </c>
      <c r="AM200" s="172" t="str">
        <f t="shared" si="54"/>
        <v>Audit</v>
      </c>
      <c r="AN200" s="198" t="str">
        <f>IFNA(VLOOKUP($A200,'Tube Reactions'!$J$2:$K259,2,FALSE),"")</f>
        <v/>
      </c>
      <c r="AO200" s="199" t="str">
        <f t="shared" si="20"/>
        <v>NOT EQUAL</v>
      </c>
      <c r="AP200" s="186" t="str">
        <f t="shared" si="36"/>
        <v/>
      </c>
      <c r="AQ200" s="187" t="b">
        <f t="shared" si="5"/>
        <v>1</v>
      </c>
      <c r="AR200" s="188">
        <v>199.0</v>
      </c>
      <c r="AS200" s="189"/>
      <c r="AT200" s="55"/>
      <c r="AU200" s="55"/>
      <c r="AV200" s="169"/>
      <c r="AW200" s="118"/>
      <c r="AX200" s="190"/>
      <c r="AY200" s="48"/>
      <c r="BA200" s="169"/>
      <c r="BB200" s="18"/>
      <c r="BC200" s="18"/>
      <c r="BD200" s="48"/>
      <c r="BE200" s="192"/>
      <c r="BF200" s="76">
        <f t="shared" si="11"/>
        <v>45016</v>
      </c>
      <c r="BG200" s="114" t="str">
        <f t="shared" si="12"/>
        <v>RUN-ABRM_2023-03-31_RFR-199</v>
      </c>
      <c r="BH200" s="83">
        <f t="shared" si="13"/>
        <v>8</v>
      </c>
      <c r="BI200" s="83">
        <f t="shared" si="14"/>
        <v>6</v>
      </c>
      <c r="BJ200" s="83">
        <f t="shared" si="15"/>
        <v>2</v>
      </c>
      <c r="BK200" s="83">
        <f t="shared" si="16"/>
        <v>0</v>
      </c>
      <c r="BL200" s="200" t="str">
        <f>IFNA(IF(VLOOKUP(FLOOR($B200,1),'APS Tubes by Date IMPORT'!$B$2:$J259,1,FALSE)=FLOOR($BL199,1),IFERROR(0/0,""),VLOOKUP(FLOOR($B200,1),'APS Tubes by Date IMPORT'!$B$2:$J259,1,FALSE)),"")</f>
        <v/>
      </c>
      <c r="BM200" s="83" t="str">
        <f>IF(ISBLANK($BL200),IFERROR(0/0,""),VLOOKUP(FLOOR($B200,1),'APS Tubes by Date IMPORT'!$B$2:$J259,2,FALSE))</f>
        <v/>
      </c>
      <c r="BN200" s="114"/>
      <c r="BO200" s="83" t="str">
        <f>VLOOKUP(FLOOR($B200,1),'APS Tubes by Date IMPORT'!$B200:$I259,6,FALSE)</f>
        <v>#N/A</v>
      </c>
      <c r="BP200" s="83">
        <v>7.0</v>
      </c>
      <c r="BQ200" s="193">
        <f t="shared" si="17"/>
        <v>7</v>
      </c>
      <c r="BR200" s="131">
        <v>3.0</v>
      </c>
      <c r="BS200" s="76" t="b">
        <f t="shared" si="18"/>
        <v>1</v>
      </c>
      <c r="BT200" s="194" t="str">
        <f t="shared" si="19"/>
        <v>Delete NULL</v>
      </c>
      <c r="BU200" s="256"/>
      <c r="BV200" s="256"/>
      <c r="BW200" s="256"/>
      <c r="BX200" s="256"/>
    </row>
    <row r="201">
      <c r="A201" s="18" t="str">
        <f>CONCATENATE("RUN-",'Process Ref'!$A$1,"_",TEXT(U201,"YYYY-MM-DD"),"_RFR-",TEXT(AR201,"000"),IF(EXACT(W201,"Initial"),"",CONCATENATE("_",W201)))</f>
        <v>RUN-ABRM_2023-04-03_RFR-200</v>
      </c>
      <c r="B201" s="251">
        <v>45019.406988159724</v>
      </c>
      <c r="C201" s="261"/>
      <c r="D201" s="92" t="s">
        <v>313</v>
      </c>
      <c r="E201" s="131">
        <v>9.0</v>
      </c>
      <c r="F201" s="92" t="s">
        <v>1170</v>
      </c>
      <c r="G201" s="252" t="s">
        <v>1171</v>
      </c>
      <c r="H201" s="252" t="s">
        <v>1172</v>
      </c>
      <c r="I201" s="252" t="s">
        <v>1173</v>
      </c>
      <c r="J201" s="172"/>
      <c r="K201" s="202"/>
      <c r="L201" s="246"/>
      <c r="M201" s="174"/>
      <c r="N201" s="174"/>
      <c r="O201" s="175"/>
      <c r="P201" s="118" t="b">
        <v>0</v>
      </c>
      <c r="Q201" s="118" t="b">
        <v>0</v>
      </c>
      <c r="R201" s="55"/>
      <c r="S201" s="118" t="b">
        <v>0</v>
      </c>
      <c r="T201" s="177" t="b">
        <v>0</v>
      </c>
      <c r="U201" s="178">
        <v>45019.0</v>
      </c>
      <c r="V201" s="179">
        <v>0.4375</v>
      </c>
      <c r="W201" s="110" t="s">
        <v>320</v>
      </c>
      <c r="X201" s="180"/>
      <c r="Y201" s="118" t="b">
        <v>0</v>
      </c>
      <c r="Z201" s="169">
        <v>9.0</v>
      </c>
      <c r="AA201" s="196">
        <f t="shared" si="1"/>
        <v>0</v>
      </c>
      <c r="AB201" s="197" t="b">
        <f t="shared" si="2"/>
        <v>1</v>
      </c>
      <c r="AC201" s="169">
        <v>7.0</v>
      </c>
      <c r="AD201" s="169">
        <v>0.0</v>
      </c>
      <c r="AE201" s="169">
        <v>0.0</v>
      </c>
      <c r="AF201" s="169">
        <v>0.0</v>
      </c>
      <c r="AG201" s="169">
        <v>0.0</v>
      </c>
      <c r="AH201" s="169">
        <v>0.0</v>
      </c>
      <c r="AI201" s="169">
        <v>0.0</v>
      </c>
      <c r="AJ201" s="182" t="b">
        <v>0</v>
      </c>
      <c r="AK201" s="183">
        <v>7.0</v>
      </c>
      <c r="AL201" s="169">
        <v>0.0</v>
      </c>
      <c r="AM201" s="169">
        <v>0.0</v>
      </c>
      <c r="AN201" s="198" t="str">
        <f>IFNA(VLOOKUP($A201,'Tube Reactions'!$J$2:$K259,2,FALSE),"")</f>
        <v/>
      </c>
      <c r="AO201" s="199" t="str">
        <f t="shared" si="20"/>
        <v/>
      </c>
      <c r="AP201" s="186" t="str">
        <f t="shared" si="36"/>
        <v/>
      </c>
      <c r="AQ201" s="187" t="b">
        <f t="shared" si="5"/>
        <v>1</v>
      </c>
      <c r="AR201" s="188">
        <v>200.0</v>
      </c>
      <c r="AS201" s="189"/>
      <c r="AT201" s="55"/>
      <c r="AU201" s="110" t="s">
        <v>1174</v>
      </c>
      <c r="AV201" s="169"/>
      <c r="AW201" s="118"/>
      <c r="AX201" s="190"/>
      <c r="AY201" s="48"/>
      <c r="BA201" s="169"/>
      <c r="BB201" s="18"/>
      <c r="BC201" s="18"/>
      <c r="BD201" s="48"/>
      <c r="BE201" s="192"/>
      <c r="BF201" s="76">
        <f t="shared" si="11"/>
        <v>45019</v>
      </c>
      <c r="BG201" s="114" t="str">
        <f t="shared" si="12"/>
        <v>RUN-ABRM_2023-04-03_RFR-200</v>
      </c>
      <c r="BH201" s="83">
        <f t="shared" si="13"/>
        <v>9</v>
      </c>
      <c r="BI201" s="83">
        <f t="shared" si="14"/>
        <v>7</v>
      </c>
      <c r="BJ201" s="83">
        <f t="shared" si="15"/>
        <v>7</v>
      </c>
      <c r="BK201" s="83">
        <f t="shared" si="16"/>
        <v>0</v>
      </c>
      <c r="BL201" s="200">
        <f>IFNA(IF(VLOOKUP(FLOOR($B201,1),'APS Tubes by Date IMPORT'!$B$2:$J259,1,FALSE)=FLOOR($BL200,1),IFERROR(0/0,""),VLOOKUP(FLOOR($B201,1),'APS Tubes by Date IMPORT'!$B$2:$J259,1,FALSE)),"")</f>
        <v>45019</v>
      </c>
      <c r="BM201" s="83">
        <f>IF(ISBLANK($BL201),IFERROR(0/0,""),VLOOKUP(FLOOR($B201,1),'APS Tubes by Date IMPORT'!$B$2:$J259,2,FALSE))</f>
        <v>7</v>
      </c>
      <c r="BN201" s="114"/>
      <c r="BO201" s="83" t="str">
        <f>VLOOKUP(FLOOR($B201,1),'APS Tubes by Date IMPORT'!$B201:$I259,6,FALSE)</f>
        <v>#N/A</v>
      </c>
      <c r="BP201" s="83">
        <v>7.0</v>
      </c>
      <c r="BQ201" s="193">
        <f t="shared" si="17"/>
        <v>0</v>
      </c>
      <c r="BR201" s="131">
        <v>3.0</v>
      </c>
      <c r="BS201" s="76" t="b">
        <f t="shared" si="18"/>
        <v>1</v>
      </c>
      <c r="BT201" s="194" t="str">
        <f t="shared" si="19"/>
        <v>Delete NULL</v>
      </c>
      <c r="BU201" s="256"/>
      <c r="BV201" s="256"/>
      <c r="BW201" s="256"/>
      <c r="BX201" s="256"/>
    </row>
    <row r="202">
      <c r="A202" s="18" t="str">
        <f>CONCATENATE("RUN-",'Process Ref'!$A$1,"_",TEXT(U202,"YYYY-MM-DD"),"_RFR-",TEXT(AR202,"000"),IF(EXACT(W202,"Initial"),"",CONCATENATE("_",W202)))</f>
        <v>RUN-ABRM_2023-04-04_RFR-201</v>
      </c>
      <c r="B202" s="251">
        <v>45020.41453891204</v>
      </c>
      <c r="C202" s="92"/>
      <c r="D202" s="92" t="s">
        <v>313</v>
      </c>
      <c r="E202" s="131">
        <v>9.0</v>
      </c>
      <c r="F202" s="92" t="s">
        <v>1175</v>
      </c>
      <c r="G202" s="252" t="s">
        <v>1176</v>
      </c>
      <c r="H202" s="252" t="s">
        <v>1177</v>
      </c>
      <c r="I202" s="252" t="s">
        <v>1178</v>
      </c>
      <c r="J202" s="172">
        <v>1.0</v>
      </c>
      <c r="K202" s="202"/>
      <c r="L202" s="246"/>
      <c r="M202" s="174"/>
      <c r="N202" s="209">
        <v>2.1</v>
      </c>
      <c r="O202" s="175"/>
      <c r="P202" s="118" t="b">
        <v>1</v>
      </c>
      <c r="Q202" s="118" t="b">
        <v>0</v>
      </c>
      <c r="R202" s="55"/>
      <c r="S202" s="118" t="b">
        <v>0</v>
      </c>
      <c r="T202" s="177" t="b">
        <v>1</v>
      </c>
      <c r="U202" s="178">
        <v>45020.0</v>
      </c>
      <c r="V202" s="179">
        <v>0.4340277777777778</v>
      </c>
      <c r="W202" s="110" t="s">
        <v>320</v>
      </c>
      <c r="X202" s="180"/>
      <c r="Y202" s="118" t="b">
        <v>0</v>
      </c>
      <c r="Z202" s="169">
        <v>9.0</v>
      </c>
      <c r="AA202" s="196">
        <f t="shared" si="1"/>
        <v>0</v>
      </c>
      <c r="AB202" s="197" t="b">
        <f t="shared" si="2"/>
        <v>1</v>
      </c>
      <c r="AC202" s="169">
        <v>7.0</v>
      </c>
      <c r="AD202" s="169">
        <v>0.0</v>
      </c>
      <c r="AE202" s="169">
        <v>0.0</v>
      </c>
      <c r="AF202" s="169">
        <v>0.0</v>
      </c>
      <c r="AG202" s="169">
        <v>0.0</v>
      </c>
      <c r="AH202" s="169">
        <v>0.0</v>
      </c>
      <c r="AI202" s="169">
        <v>0.0</v>
      </c>
      <c r="AJ202" s="182" t="b">
        <v>0</v>
      </c>
      <c r="AK202" s="183">
        <v>7.0</v>
      </c>
      <c r="AL202" s="169">
        <v>0.0</v>
      </c>
      <c r="AM202" s="169">
        <v>0.0</v>
      </c>
      <c r="AN202" s="198" t="str">
        <f>IFNA(VLOOKUP($A202,'Tube Reactions'!$J$2:$K259,2,FALSE),"")</f>
        <v/>
      </c>
      <c r="AO202" s="199" t="str">
        <f t="shared" si="20"/>
        <v/>
      </c>
      <c r="AP202" s="186" t="str">
        <f t="shared" si="36"/>
        <v/>
      </c>
      <c r="AQ202" s="187" t="b">
        <f t="shared" si="5"/>
        <v>1</v>
      </c>
      <c r="AR202" s="188">
        <v>201.0</v>
      </c>
      <c r="AS202" s="189"/>
      <c r="AT202" s="55"/>
      <c r="AU202" s="110" t="s">
        <v>1174</v>
      </c>
      <c r="AV202" s="169"/>
      <c r="AW202" s="118"/>
      <c r="AX202" s="190"/>
      <c r="AY202" s="48"/>
      <c r="BA202" s="169"/>
      <c r="BB202" s="18"/>
      <c r="BC202" s="18"/>
      <c r="BD202" s="48"/>
      <c r="BE202" s="192"/>
      <c r="BF202" s="76">
        <f t="shared" si="11"/>
        <v>45020</v>
      </c>
      <c r="BG202" s="114" t="str">
        <f t="shared" si="12"/>
        <v>RUN-ABRM_2023-04-04_RFR-201</v>
      </c>
      <c r="BH202" s="83">
        <f t="shared" si="13"/>
        <v>9</v>
      </c>
      <c r="BI202" s="83">
        <f t="shared" si="14"/>
        <v>7</v>
      </c>
      <c r="BJ202" s="83">
        <f t="shared" si="15"/>
        <v>7</v>
      </c>
      <c r="BK202" s="83">
        <f t="shared" si="16"/>
        <v>0</v>
      </c>
      <c r="BL202" s="200">
        <f>IFNA(IF(VLOOKUP(FLOOR($B202,1),'APS Tubes by Date IMPORT'!$B$2:$J259,1,FALSE)=FLOOR($BL201,1),IFERROR(0/0,""),VLOOKUP(FLOOR($B202,1),'APS Tubes by Date IMPORT'!$B$2:$J259,1,FALSE)),"")</f>
        <v>45020</v>
      </c>
      <c r="BM202" s="83">
        <f>IF(ISBLANK($BL202),IFERROR(0/0,""),VLOOKUP(FLOOR($B202,1),'APS Tubes by Date IMPORT'!$B$2:$J259,2,FALSE))</f>
        <v>7</v>
      </c>
      <c r="BN202" s="114"/>
      <c r="BO202" s="83" t="str">
        <f>VLOOKUP(FLOOR($B202,1),'APS Tubes by Date IMPORT'!$B202:$I259,6,FALSE)</f>
        <v>#N/A</v>
      </c>
      <c r="BP202" s="83">
        <v>7.0</v>
      </c>
      <c r="BQ202" s="193">
        <f t="shared" si="17"/>
        <v>0</v>
      </c>
      <c r="BR202" s="131">
        <v>3.0</v>
      </c>
      <c r="BS202" s="76" t="b">
        <f t="shared" si="18"/>
        <v>1</v>
      </c>
      <c r="BT202" s="194" t="str">
        <f t="shared" si="19"/>
        <v>Delete NULL</v>
      </c>
      <c r="BU202" s="256"/>
      <c r="BV202" s="256"/>
      <c r="BW202" s="256"/>
      <c r="BX202" s="256"/>
    </row>
    <row r="203">
      <c r="A203" s="18" t="str">
        <f>CONCATENATE("RUN-",'Process Ref'!$A$1,"_",TEXT(U203,"YYYY-MM-DD"),"_RFR-",TEXT(AR203,"000"),IF(EXACT(W203,"Initial"),"",CONCATENATE("_",W203)))</f>
        <v>RUN-ABRM_2023-04-04_RFR-202_Re-run</v>
      </c>
      <c r="B203" s="251">
        <v>45020.43052422453</v>
      </c>
      <c r="C203" s="92"/>
      <c r="D203" s="92" t="s">
        <v>313</v>
      </c>
      <c r="E203" s="131">
        <v>5.0</v>
      </c>
      <c r="F203" s="92" t="s">
        <v>1175</v>
      </c>
      <c r="G203" s="252" t="s">
        <v>1179</v>
      </c>
      <c r="H203" s="252" t="s">
        <v>1180</v>
      </c>
      <c r="I203" s="252" t="s">
        <v>1181</v>
      </c>
      <c r="J203" s="172"/>
      <c r="K203" s="202"/>
      <c r="L203" s="246"/>
      <c r="M203" s="174"/>
      <c r="N203" s="174"/>
      <c r="O203" s="175"/>
      <c r="P203" s="118" t="b">
        <v>0</v>
      </c>
      <c r="Q203" s="118" t="b">
        <v>0</v>
      </c>
      <c r="R203" s="55"/>
      <c r="S203" s="118" t="b">
        <v>0</v>
      </c>
      <c r="T203" s="177" t="b">
        <v>1</v>
      </c>
      <c r="U203" s="178">
        <v>45020.0</v>
      </c>
      <c r="V203" s="179">
        <v>0.4791666666666667</v>
      </c>
      <c r="W203" s="110" t="s">
        <v>339</v>
      </c>
      <c r="X203" s="180"/>
      <c r="Y203" s="118" t="b">
        <v>0</v>
      </c>
      <c r="Z203" s="169">
        <v>5.0</v>
      </c>
      <c r="AA203" s="196">
        <f t="shared" si="1"/>
        <v>0</v>
      </c>
      <c r="AB203" s="197" t="b">
        <f t="shared" si="2"/>
        <v>1</v>
      </c>
      <c r="AC203" s="169">
        <v>3.0</v>
      </c>
      <c r="AD203" s="169">
        <v>0.0</v>
      </c>
      <c r="AE203" s="169">
        <v>0.0</v>
      </c>
      <c r="AF203" s="169">
        <v>0.0</v>
      </c>
      <c r="AG203" s="169">
        <v>0.0</v>
      </c>
      <c r="AH203" s="169">
        <v>0.0</v>
      </c>
      <c r="AI203" s="169">
        <v>0.0</v>
      </c>
      <c r="AJ203" s="182" t="b">
        <v>0</v>
      </c>
      <c r="AK203" s="183">
        <v>1.0</v>
      </c>
      <c r="AL203" s="169">
        <v>0.0</v>
      </c>
      <c r="AM203" s="172" t="str">
        <f t="shared" ref="AM203:AM206" si="55">IF(EXACT(W203,"Initial"),"Audit","")</f>
        <v/>
      </c>
      <c r="AN203" s="198" t="str">
        <f>IFNA(VLOOKUP($A203,'Tube Reactions'!$J$2:$K259,2,FALSE),"")</f>
        <v/>
      </c>
      <c r="AO203" s="199" t="str">
        <f t="shared" si="20"/>
        <v/>
      </c>
      <c r="AP203" s="186" t="str">
        <f t="shared" si="36"/>
        <v/>
      </c>
      <c r="AQ203" s="187" t="b">
        <f t="shared" si="5"/>
        <v>1</v>
      </c>
      <c r="AR203" s="188">
        <v>202.0</v>
      </c>
      <c r="AS203" s="189"/>
      <c r="AT203" s="55"/>
      <c r="AU203" s="110" t="s">
        <v>1174</v>
      </c>
      <c r="AV203" s="169"/>
      <c r="AW203" s="118"/>
      <c r="AX203" s="190"/>
      <c r="AY203" s="48"/>
      <c r="BA203" s="169"/>
      <c r="BB203" s="18"/>
      <c r="BC203" s="18"/>
      <c r="BD203" s="48"/>
      <c r="BE203" s="192"/>
      <c r="BF203" s="76" t="str">
        <f t="shared" si="11"/>
        <v/>
      </c>
      <c r="BG203" s="114" t="str">
        <f t="shared" si="12"/>
        <v/>
      </c>
      <c r="BH203" s="83" t="str">
        <f t="shared" si="13"/>
        <v/>
      </c>
      <c r="BI203" s="83" t="str">
        <f t="shared" si="14"/>
        <v/>
      </c>
      <c r="BJ203" s="83" t="str">
        <f t="shared" si="15"/>
        <v/>
      </c>
      <c r="BK203" s="83" t="str">
        <f t="shared" si="16"/>
        <v/>
      </c>
      <c r="BL203" s="200" t="str">
        <f>IFNA(IF(VLOOKUP(FLOOR($B203,1),'APS Tubes by Date IMPORT'!$B$2:$J259,1,FALSE)=FLOOR($BL202,1),IFERROR(0/0,""),VLOOKUP(FLOOR($B203,1),'APS Tubes by Date IMPORT'!$B$2:$J259,1,FALSE)),"")</f>
        <v/>
      </c>
      <c r="BM203" s="83" t="str">
        <f>IF(ISBLANK($BL203),IFERROR(0/0,""),VLOOKUP(FLOOR($B203,1),'APS Tubes by Date IMPORT'!$B$2:$J259,2,FALSE))</f>
        <v/>
      </c>
      <c r="BN203" s="114"/>
      <c r="BO203" s="83" t="str">
        <f>VLOOKUP(FLOOR($B203,1),'APS Tubes by Date IMPORT'!$B203:$I259,6,FALSE)</f>
        <v>#N/A</v>
      </c>
      <c r="BP203" s="83">
        <v>7.0</v>
      </c>
      <c r="BQ203" s="193">
        <f t="shared" si="17"/>
        <v>7</v>
      </c>
      <c r="BR203" s="131">
        <v>3.0</v>
      </c>
      <c r="BS203" s="76" t="b">
        <f t="shared" si="18"/>
        <v>1</v>
      </c>
      <c r="BT203" s="194" t="str">
        <f t="shared" si="19"/>
        <v>Delete NULL</v>
      </c>
      <c r="BU203" s="256"/>
      <c r="BV203" s="256"/>
      <c r="BW203" s="256"/>
      <c r="BX203" s="256"/>
    </row>
    <row r="204">
      <c r="A204" s="18" t="str">
        <f>CONCATENATE("RUN-",'Process Ref'!$A$1,"_",TEXT(U204,"YYYY-MM-DD"),"_RFR-",TEXT(AR204,"000"),IF(EXACT(W204,"Initial"),"",CONCATENATE("_",W204)))</f>
        <v>RUN-ABRM_2023-04-05_RFR-203</v>
      </c>
      <c r="B204" s="251">
        <v>45021.451315</v>
      </c>
      <c r="C204" s="92"/>
      <c r="D204" s="92" t="s">
        <v>313</v>
      </c>
      <c r="E204" s="131">
        <v>5.0</v>
      </c>
      <c r="F204" s="92" t="s">
        <v>1182</v>
      </c>
      <c r="G204" s="252" t="s">
        <v>1183</v>
      </c>
      <c r="H204" s="252" t="s">
        <v>1184</v>
      </c>
      <c r="I204" s="252" t="s">
        <v>1185</v>
      </c>
      <c r="J204" s="172"/>
      <c r="K204" s="202"/>
      <c r="L204" s="246"/>
      <c r="M204" s="174"/>
      <c r="N204" s="174"/>
      <c r="O204" s="175"/>
      <c r="P204" s="118" t="b">
        <v>0</v>
      </c>
      <c r="Q204" s="118" t="b">
        <v>0</v>
      </c>
      <c r="R204" s="55"/>
      <c r="S204" s="118" t="b">
        <v>0</v>
      </c>
      <c r="T204" s="177" t="b">
        <v>0</v>
      </c>
      <c r="U204" s="178">
        <v>45021.0</v>
      </c>
      <c r="V204" s="179">
        <v>0.5</v>
      </c>
      <c r="W204" s="110" t="s">
        <v>320</v>
      </c>
      <c r="X204" s="180"/>
      <c r="Y204" s="118" t="b">
        <v>0</v>
      </c>
      <c r="Z204" s="169">
        <v>5.0</v>
      </c>
      <c r="AA204" s="196">
        <f t="shared" si="1"/>
        <v>0</v>
      </c>
      <c r="AB204" s="197" t="b">
        <f t="shared" si="2"/>
        <v>1</v>
      </c>
      <c r="AC204" s="169">
        <v>3.0</v>
      </c>
      <c r="AD204" s="169">
        <v>0.0</v>
      </c>
      <c r="AE204" s="169">
        <v>0.0</v>
      </c>
      <c r="AF204" s="169">
        <v>0.0</v>
      </c>
      <c r="AG204" s="169">
        <v>0.0</v>
      </c>
      <c r="AH204" s="169">
        <v>0.0</v>
      </c>
      <c r="AI204" s="169">
        <v>0.0</v>
      </c>
      <c r="AJ204" s="182" t="b">
        <v>0</v>
      </c>
      <c r="AK204" s="183">
        <v>1.0</v>
      </c>
      <c r="AL204" s="169">
        <v>0.0</v>
      </c>
      <c r="AM204" s="172" t="str">
        <f t="shared" si="55"/>
        <v>Audit</v>
      </c>
      <c r="AN204" s="198" t="str">
        <f>IFNA(VLOOKUP($A204,'Tube Reactions'!$J$2:$K259,2,FALSE),"")</f>
        <v/>
      </c>
      <c r="AO204" s="199" t="str">
        <f t="shared" si="20"/>
        <v>NOT EQUAL</v>
      </c>
      <c r="AP204" s="186" t="str">
        <f t="shared" si="36"/>
        <v/>
      </c>
      <c r="AQ204" s="187" t="b">
        <f t="shared" si="5"/>
        <v>1</v>
      </c>
      <c r="AR204" s="188">
        <v>203.0</v>
      </c>
      <c r="AS204" s="189"/>
      <c r="AT204" s="55"/>
      <c r="AU204" s="110" t="s">
        <v>1174</v>
      </c>
      <c r="AV204" s="169"/>
      <c r="AW204" s="118"/>
      <c r="AX204" s="190"/>
      <c r="AY204" s="48"/>
      <c r="BA204" s="169"/>
      <c r="BB204" s="18"/>
      <c r="BC204" s="18"/>
      <c r="BD204" s="48"/>
      <c r="BE204" s="192"/>
      <c r="BF204" s="76">
        <f t="shared" si="11"/>
        <v>45021</v>
      </c>
      <c r="BG204" s="114" t="str">
        <f t="shared" si="12"/>
        <v>RUN-ABRM_2023-04-05_RFR-203</v>
      </c>
      <c r="BH204" s="83">
        <f t="shared" si="13"/>
        <v>5</v>
      </c>
      <c r="BI204" s="83">
        <f t="shared" si="14"/>
        <v>3</v>
      </c>
      <c r="BJ204" s="83">
        <f t="shared" si="15"/>
        <v>1</v>
      </c>
      <c r="BK204" s="83">
        <f t="shared" si="16"/>
        <v>0</v>
      </c>
      <c r="BL204" s="200">
        <f>IFNA(IF(VLOOKUP(FLOOR($B204,1),'APS Tubes by Date IMPORT'!$B$2:$J259,1,FALSE)=FLOOR($BL203,1),IFERROR(0/0,""),VLOOKUP(FLOOR($B204,1),'APS Tubes by Date IMPORT'!$B$2:$J259,1,FALSE)),"")</f>
        <v>45021</v>
      </c>
      <c r="BM204" s="83">
        <f>IF(ISBLANK($BL204),IFERROR(0/0,""),VLOOKUP(FLOOR($B204,1),'APS Tubes by Date IMPORT'!$B$2:$J259,2,FALSE))</f>
        <v>2</v>
      </c>
      <c r="BN204" s="114"/>
      <c r="BO204" s="83" t="str">
        <f>VLOOKUP(FLOOR($B204,1),'APS Tubes by Date IMPORT'!$B204:$I259,6,FALSE)</f>
        <v>#N/A</v>
      </c>
      <c r="BP204" s="83">
        <v>7.0</v>
      </c>
      <c r="BQ204" s="193">
        <f t="shared" si="17"/>
        <v>5</v>
      </c>
      <c r="BR204" s="131">
        <v>3.0</v>
      </c>
      <c r="BS204" s="76" t="b">
        <f t="shared" si="18"/>
        <v>1</v>
      </c>
      <c r="BT204" s="194" t="str">
        <f t="shared" si="19"/>
        <v>Delete NULL</v>
      </c>
      <c r="BU204" s="256"/>
      <c r="BV204" s="256"/>
      <c r="BW204" s="256"/>
      <c r="BX204" s="256"/>
    </row>
    <row r="205">
      <c r="A205" s="18" t="str">
        <f>CONCATENATE("RUN-",'Process Ref'!$A$1,"_",TEXT(U205,"YYYY-MM-DD"),"_RFR-",TEXT(AR205,"000"),IF(EXACT(W205,"Initial"),"",CONCATENATE("_",W205)))</f>
        <v>RUN-ABRM_2023-04-06_RFR-204</v>
      </c>
      <c r="B205" s="251">
        <v>45022.39067303241</v>
      </c>
      <c r="C205" s="92"/>
      <c r="D205" s="92" t="s">
        <v>313</v>
      </c>
      <c r="E205" s="131">
        <v>9.0</v>
      </c>
      <c r="F205" s="92" t="s">
        <v>1186</v>
      </c>
      <c r="G205" s="252" t="s">
        <v>1187</v>
      </c>
      <c r="H205" s="252" t="s">
        <v>1188</v>
      </c>
      <c r="I205" s="252" t="s">
        <v>1189</v>
      </c>
      <c r="J205" s="172">
        <v>1.0</v>
      </c>
      <c r="K205" s="202" t="s">
        <v>1190</v>
      </c>
      <c r="L205" s="246"/>
      <c r="M205" s="174"/>
      <c r="N205" s="174"/>
      <c r="O205" s="175"/>
      <c r="P205" s="118" t="b">
        <v>0</v>
      </c>
      <c r="Q205" s="118" t="b">
        <v>0</v>
      </c>
      <c r="R205" s="55"/>
      <c r="S205" s="118" t="b">
        <v>0</v>
      </c>
      <c r="T205" s="177" t="b">
        <v>1</v>
      </c>
      <c r="U205" s="178">
        <v>45022.0</v>
      </c>
      <c r="V205" s="179">
        <v>0.4236111111111111</v>
      </c>
      <c r="W205" s="110" t="s">
        <v>320</v>
      </c>
      <c r="X205" s="180"/>
      <c r="Y205" s="118" t="b">
        <v>1</v>
      </c>
      <c r="Z205" s="169">
        <v>9.0</v>
      </c>
      <c r="AA205" s="196">
        <f t="shared" si="1"/>
        <v>0</v>
      </c>
      <c r="AB205" s="197" t="b">
        <f t="shared" si="2"/>
        <v>1</v>
      </c>
      <c r="AC205" s="169">
        <v>7.0</v>
      </c>
      <c r="AD205" s="169">
        <v>0.0</v>
      </c>
      <c r="AE205" s="169">
        <v>0.0</v>
      </c>
      <c r="AF205" s="169">
        <v>0.0</v>
      </c>
      <c r="AG205" s="169">
        <v>1.0</v>
      </c>
      <c r="AH205" s="169">
        <v>1.0</v>
      </c>
      <c r="AI205" s="169">
        <v>0.0</v>
      </c>
      <c r="AJ205" s="182" t="b">
        <v>0</v>
      </c>
      <c r="AK205" s="183">
        <v>7.0</v>
      </c>
      <c r="AL205" s="169">
        <v>4.0</v>
      </c>
      <c r="AM205" s="172" t="str">
        <f t="shared" si="55"/>
        <v>Audit</v>
      </c>
      <c r="AN205" s="198" t="str">
        <f>IFNA(VLOOKUP($A205,'Tube Reactions'!$J$2:$K259,2,FALSE),"")</f>
        <v/>
      </c>
      <c r="AO205" s="199" t="str">
        <f t="shared" si="20"/>
        <v>NOT EQUAL</v>
      </c>
      <c r="AP205" s="186" t="str">
        <f t="shared" si="36"/>
        <v/>
      </c>
      <c r="AQ205" s="187" t="b">
        <f t="shared" si="5"/>
        <v>1</v>
      </c>
      <c r="AR205" s="188">
        <v>204.0</v>
      </c>
      <c r="AS205" s="189"/>
      <c r="AT205" s="55"/>
      <c r="AU205" s="110" t="s">
        <v>1174</v>
      </c>
      <c r="AV205" s="169"/>
      <c r="AW205" s="118"/>
      <c r="AX205" s="190"/>
      <c r="AY205" s="48"/>
      <c r="BA205" s="169"/>
      <c r="BB205" s="18"/>
      <c r="BC205" s="18"/>
      <c r="BD205" s="48"/>
      <c r="BE205" s="192"/>
      <c r="BF205" s="76">
        <f t="shared" si="11"/>
        <v>45022</v>
      </c>
      <c r="BG205" s="114" t="str">
        <f t="shared" si="12"/>
        <v>RUN-ABRM_2023-04-06_RFR-204</v>
      </c>
      <c r="BH205" s="83">
        <f t="shared" si="13"/>
        <v>9</v>
      </c>
      <c r="BI205" s="83">
        <f t="shared" si="14"/>
        <v>7</v>
      </c>
      <c r="BJ205" s="83">
        <f t="shared" si="15"/>
        <v>7</v>
      </c>
      <c r="BK205" s="83">
        <f t="shared" si="16"/>
        <v>4</v>
      </c>
      <c r="BL205" s="200">
        <f>IFNA(IF(VLOOKUP(FLOOR($B205,1),'APS Tubes by Date IMPORT'!$B$2:$J259,1,FALSE)=FLOOR($BL204,1),IFERROR(0/0,""),VLOOKUP(FLOOR($B205,1),'APS Tubes by Date IMPORT'!$B$2:$J259,1,FALSE)),"")</f>
        <v>45022</v>
      </c>
      <c r="BM205" s="83">
        <f>IF(ISBLANK($BL205),IFERROR(0/0,""),VLOOKUP(FLOOR($B205,1),'APS Tubes by Date IMPORT'!$B$2:$J259,2,FALSE))</f>
        <v>7</v>
      </c>
      <c r="BN205" s="114"/>
      <c r="BO205" s="83" t="str">
        <f>VLOOKUP(FLOOR($B205,1),'APS Tubes by Date IMPORT'!$B205:$I259,6,FALSE)</f>
        <v>#N/A</v>
      </c>
      <c r="BP205" s="83">
        <v>7.0</v>
      </c>
      <c r="BQ205" s="193">
        <f t="shared" si="17"/>
        <v>0</v>
      </c>
      <c r="BR205" s="131">
        <v>3.0</v>
      </c>
      <c r="BS205" s="76" t="b">
        <f t="shared" si="18"/>
        <v>1</v>
      </c>
      <c r="BT205" s="194" t="str">
        <f t="shared" si="19"/>
        <v>Delete NULL</v>
      </c>
      <c r="BU205" s="256"/>
      <c r="BV205" s="256"/>
      <c r="BW205" s="256"/>
      <c r="BX205" s="256"/>
    </row>
    <row r="206">
      <c r="A206" s="18" t="str">
        <f>CONCATENATE("RUN-",'Process Ref'!$A$1,"_",TEXT(U206,"YYYY-MM-DD"),"_RFR-",TEXT(AR206,"000"),IF(EXACT(W206,"Initial"),"",CONCATENATE("_",W206)))</f>
        <v>RUN-ABRM_2023-04-06_RFR-205_Re-run</v>
      </c>
      <c r="B206" s="251">
        <v>45022.42334487269</v>
      </c>
      <c r="C206" s="92"/>
      <c r="D206" s="92" t="s">
        <v>313</v>
      </c>
      <c r="E206" s="131">
        <v>5.0</v>
      </c>
      <c r="F206" s="92" t="s">
        <v>1186</v>
      </c>
      <c r="G206" s="252" t="s">
        <v>1191</v>
      </c>
      <c r="H206" s="252" t="s">
        <v>1192</v>
      </c>
      <c r="I206" s="252" t="s">
        <v>1193</v>
      </c>
      <c r="J206" s="172"/>
      <c r="K206" s="202"/>
      <c r="L206" s="246"/>
      <c r="M206" s="174"/>
      <c r="N206" s="174"/>
      <c r="O206" s="175"/>
      <c r="P206" s="118" t="b">
        <v>0</v>
      </c>
      <c r="Q206" s="118" t="b">
        <v>0</v>
      </c>
      <c r="R206" s="55"/>
      <c r="S206" s="118" t="b">
        <v>0</v>
      </c>
      <c r="T206" s="177" t="b">
        <v>1</v>
      </c>
      <c r="U206" s="178">
        <v>45022.0</v>
      </c>
      <c r="V206" s="179">
        <v>0.4652777777777778</v>
      </c>
      <c r="W206" s="110" t="s">
        <v>339</v>
      </c>
      <c r="X206" s="180"/>
      <c r="Y206" s="118" t="b">
        <v>0</v>
      </c>
      <c r="Z206" s="169">
        <v>5.0</v>
      </c>
      <c r="AA206" s="196">
        <f t="shared" si="1"/>
        <v>0</v>
      </c>
      <c r="AB206" s="197" t="b">
        <f t="shared" si="2"/>
        <v>1</v>
      </c>
      <c r="AC206" s="169">
        <v>3.0</v>
      </c>
      <c r="AD206" s="169">
        <v>0.0</v>
      </c>
      <c r="AE206" s="169">
        <v>0.0</v>
      </c>
      <c r="AF206" s="169">
        <v>0.0</v>
      </c>
      <c r="AG206" s="169">
        <v>0.0</v>
      </c>
      <c r="AH206" s="169">
        <v>0.0</v>
      </c>
      <c r="AI206" s="169">
        <v>0.0</v>
      </c>
      <c r="AJ206" s="182" t="b">
        <v>0</v>
      </c>
      <c r="AK206" s="183">
        <v>1.0</v>
      </c>
      <c r="AL206" s="169">
        <v>0.0</v>
      </c>
      <c r="AM206" s="172" t="str">
        <f t="shared" si="55"/>
        <v/>
      </c>
      <c r="AN206" s="198" t="str">
        <f>IFNA(VLOOKUP($A206,'Tube Reactions'!$J$2:$K259,2,FALSE),"")</f>
        <v/>
      </c>
      <c r="AO206" s="199" t="str">
        <f t="shared" si="20"/>
        <v/>
      </c>
      <c r="AP206" s="186" t="str">
        <f t="shared" si="36"/>
        <v/>
      </c>
      <c r="AQ206" s="187" t="b">
        <f t="shared" si="5"/>
        <v>1</v>
      </c>
      <c r="AR206" s="188">
        <v>205.0</v>
      </c>
      <c r="AS206" s="189"/>
      <c r="AT206" s="55"/>
      <c r="AU206" s="110" t="s">
        <v>1174</v>
      </c>
      <c r="AV206" s="169"/>
      <c r="AW206" s="118"/>
      <c r="AX206" s="190"/>
      <c r="AY206" s="48"/>
      <c r="BA206" s="169"/>
      <c r="BB206" s="18"/>
      <c r="BC206" s="18"/>
      <c r="BD206" s="48"/>
      <c r="BE206" s="192"/>
      <c r="BF206" s="76" t="str">
        <f t="shared" si="11"/>
        <v/>
      </c>
      <c r="BG206" s="114" t="str">
        <f t="shared" si="12"/>
        <v/>
      </c>
      <c r="BH206" s="83" t="str">
        <f t="shared" si="13"/>
        <v/>
      </c>
      <c r="BI206" s="83" t="str">
        <f t="shared" si="14"/>
        <v/>
      </c>
      <c r="BJ206" s="83" t="str">
        <f t="shared" si="15"/>
        <v/>
      </c>
      <c r="BK206" s="83" t="str">
        <f t="shared" si="16"/>
        <v/>
      </c>
      <c r="BL206" s="200" t="str">
        <f>IFNA(IF(VLOOKUP(FLOOR($B206,1),'APS Tubes by Date IMPORT'!$B$2:$J259,1,FALSE)=FLOOR($BL205,1),IFERROR(0/0,""),VLOOKUP(FLOOR($B206,1),'APS Tubes by Date IMPORT'!$B$2:$J259,1,FALSE)),"")</f>
        <v/>
      </c>
      <c r="BM206" s="83" t="str">
        <f>IF(ISBLANK($BL206),IFERROR(0/0,""),VLOOKUP(FLOOR($B206,1),'APS Tubes by Date IMPORT'!$B$2:$J259,2,FALSE))</f>
        <v/>
      </c>
      <c r="BN206" s="114"/>
      <c r="BO206" s="83" t="str">
        <f>VLOOKUP(FLOOR($B206,1),'APS Tubes by Date IMPORT'!$B206:$I259,6,FALSE)</f>
        <v>#N/A</v>
      </c>
      <c r="BP206" s="83">
        <v>7.0</v>
      </c>
      <c r="BQ206" s="193">
        <f t="shared" si="17"/>
        <v>7</v>
      </c>
      <c r="BR206" s="131">
        <v>3.0</v>
      </c>
      <c r="BS206" s="76" t="b">
        <f t="shared" si="18"/>
        <v>1</v>
      </c>
      <c r="BT206" s="194" t="str">
        <f t="shared" si="19"/>
        <v>Delete NULL</v>
      </c>
      <c r="BU206" s="256"/>
      <c r="BV206" s="256"/>
      <c r="BW206" s="256"/>
      <c r="BX206" s="256"/>
    </row>
    <row r="207">
      <c r="A207" s="18" t="str">
        <f>CONCATENATE("RUN-",'Process Ref'!$A$1,"_",TEXT(U207,"YYYY-MM-DD"),"_RFR-",TEXT(AR207,"000"),IF(EXACT(W207,"Initial"),"",CONCATENATE("_",W207)))</f>
        <v>RUN-ABRM_2023-04-07_RFR-206</v>
      </c>
      <c r="B207" s="251">
        <v>45023.417679039354</v>
      </c>
      <c r="C207" s="92"/>
      <c r="D207" s="92" t="s">
        <v>313</v>
      </c>
      <c r="E207" s="131">
        <v>7.0</v>
      </c>
      <c r="F207" s="92" t="s">
        <v>1194</v>
      </c>
      <c r="G207" s="252" t="s">
        <v>1195</v>
      </c>
      <c r="H207" s="252" t="s">
        <v>1196</v>
      </c>
      <c r="I207" s="252" t="s">
        <v>1197</v>
      </c>
      <c r="J207" s="172"/>
      <c r="K207" s="202"/>
      <c r="L207" s="246"/>
      <c r="M207" s="174"/>
      <c r="N207" s="174"/>
      <c r="O207" s="175"/>
      <c r="P207" s="118" t="b">
        <v>0</v>
      </c>
      <c r="Q207" s="118" t="b">
        <v>0</v>
      </c>
      <c r="R207" s="55"/>
      <c r="S207" s="118" t="b">
        <v>0</v>
      </c>
      <c r="T207" s="177" t="b">
        <v>0</v>
      </c>
      <c r="U207" s="178">
        <v>45023.0</v>
      </c>
      <c r="V207" s="179">
        <v>0.4409722222222222</v>
      </c>
      <c r="W207" s="110" t="s">
        <v>320</v>
      </c>
      <c r="X207" s="180"/>
      <c r="Y207" s="118" t="b">
        <v>0</v>
      </c>
      <c r="Z207" s="169">
        <v>7.0</v>
      </c>
      <c r="AA207" s="196">
        <f t="shared" si="1"/>
        <v>0</v>
      </c>
      <c r="AB207" s="197" t="b">
        <f t="shared" si="2"/>
        <v>1</v>
      </c>
      <c r="AC207" s="169">
        <v>5.0</v>
      </c>
      <c r="AD207" s="169">
        <v>0.0</v>
      </c>
      <c r="AE207" s="169">
        <v>0.0</v>
      </c>
      <c r="AF207" s="169">
        <v>0.0</v>
      </c>
      <c r="AG207" s="169">
        <v>0.0</v>
      </c>
      <c r="AH207" s="169">
        <v>0.0</v>
      </c>
      <c r="AI207" s="169">
        <v>0.0</v>
      </c>
      <c r="AJ207" s="182" t="b">
        <v>0</v>
      </c>
      <c r="AK207" s="183">
        <v>5.0</v>
      </c>
      <c r="AL207" s="169">
        <v>0.0</v>
      </c>
      <c r="AM207" s="169">
        <v>0.0</v>
      </c>
      <c r="AN207" s="198" t="str">
        <f>IFNA(VLOOKUP($A207,'Tube Reactions'!$J$2:$K259,2,FALSE),"")</f>
        <v/>
      </c>
      <c r="AO207" s="199" t="str">
        <f t="shared" si="20"/>
        <v/>
      </c>
      <c r="AP207" s="186" t="str">
        <f t="shared" si="36"/>
        <v/>
      </c>
      <c r="AQ207" s="187" t="b">
        <f t="shared" si="5"/>
        <v>1</v>
      </c>
      <c r="AR207" s="188">
        <v>206.0</v>
      </c>
      <c r="AS207" s="189"/>
      <c r="AT207" s="55"/>
      <c r="AU207" s="110" t="s">
        <v>1174</v>
      </c>
      <c r="AV207" s="169"/>
      <c r="AW207" s="118"/>
      <c r="AX207" s="190"/>
      <c r="AY207" s="48"/>
      <c r="BA207" s="169"/>
      <c r="BB207" s="18"/>
      <c r="BC207" s="18"/>
      <c r="BD207" s="48"/>
      <c r="BE207" s="192"/>
      <c r="BF207" s="76">
        <f t="shared" si="11"/>
        <v>45023</v>
      </c>
      <c r="BG207" s="114" t="str">
        <f t="shared" si="12"/>
        <v>RUN-ABRM_2023-04-07_RFR-206</v>
      </c>
      <c r="BH207" s="83">
        <f t="shared" si="13"/>
        <v>7</v>
      </c>
      <c r="BI207" s="83">
        <f t="shared" si="14"/>
        <v>5</v>
      </c>
      <c r="BJ207" s="83">
        <f t="shared" si="15"/>
        <v>5</v>
      </c>
      <c r="BK207" s="83">
        <f t="shared" si="16"/>
        <v>0</v>
      </c>
      <c r="BL207" s="200">
        <f>IFNA(IF(VLOOKUP(FLOOR($B207,1),'APS Tubes by Date IMPORT'!$B$2:$J259,1,FALSE)=FLOOR($BL206,1),IFERROR(0/0,""),VLOOKUP(FLOOR($B207,1),'APS Tubes by Date IMPORT'!$B$2:$J259,1,FALSE)),"")</f>
        <v>45023</v>
      </c>
      <c r="BM207" s="83">
        <f>IF(ISBLANK($BL207),IFERROR(0/0,""),VLOOKUP(FLOOR($B207,1),'APS Tubes by Date IMPORT'!$B$2:$J259,2,FALSE))</f>
        <v>5</v>
      </c>
      <c r="BN207" s="114"/>
      <c r="BO207" s="83" t="str">
        <f>VLOOKUP(FLOOR($B207,1),'APS Tubes by Date IMPORT'!$B207:$I259,6,FALSE)</f>
        <v>#N/A</v>
      </c>
      <c r="BP207" s="83">
        <v>7.0</v>
      </c>
      <c r="BQ207" s="193">
        <f t="shared" si="17"/>
        <v>2</v>
      </c>
      <c r="BR207" s="131">
        <v>3.0</v>
      </c>
      <c r="BS207" s="76" t="b">
        <f t="shared" si="18"/>
        <v>1</v>
      </c>
      <c r="BT207" s="194" t="str">
        <f t="shared" si="19"/>
        <v>Delete NULL</v>
      </c>
      <c r="BU207" s="256"/>
      <c r="BV207" s="256"/>
      <c r="BW207" s="256"/>
      <c r="BX207" s="256"/>
    </row>
    <row r="208">
      <c r="A208" s="18" t="str">
        <f>CONCATENATE("RUN-",'Process Ref'!$A$1,"_",TEXT(U208,"YYYY-MM-DD"),"_RFR-",TEXT(AR208,"000"),IF(EXACT(W208,"Initial"),"",CONCATENATE("_",W208)))</f>
        <v>RUN-ABRM_2023-04-10_RFR-207</v>
      </c>
      <c r="B208" s="251">
        <v>45026.40170203704</v>
      </c>
      <c r="C208" s="92"/>
      <c r="D208" s="92" t="s">
        <v>313</v>
      </c>
      <c r="E208" s="131">
        <v>11.0</v>
      </c>
      <c r="F208" s="92" t="s">
        <v>1198</v>
      </c>
      <c r="G208" s="252" t="s">
        <v>1199</v>
      </c>
      <c r="H208" s="252" t="s">
        <v>1200</v>
      </c>
      <c r="I208" s="252" t="s">
        <v>1201</v>
      </c>
      <c r="J208" s="172"/>
      <c r="K208" s="202"/>
      <c r="L208" s="246"/>
      <c r="M208" s="174"/>
      <c r="N208" s="174"/>
      <c r="O208" s="175"/>
      <c r="P208" s="118" t="b">
        <v>0</v>
      </c>
      <c r="Q208" s="118" t="b">
        <v>0</v>
      </c>
      <c r="R208" s="55"/>
      <c r="S208" s="118" t="b">
        <v>0</v>
      </c>
      <c r="T208" s="177" t="b">
        <v>0</v>
      </c>
      <c r="U208" s="178">
        <v>45026.0</v>
      </c>
      <c r="V208" s="179">
        <v>0.4375</v>
      </c>
      <c r="W208" s="110" t="s">
        <v>320</v>
      </c>
      <c r="X208" s="180"/>
      <c r="Y208" s="118" t="b">
        <v>0</v>
      </c>
      <c r="Z208" s="169">
        <v>11.0</v>
      </c>
      <c r="AA208" s="196">
        <f t="shared" si="1"/>
        <v>0</v>
      </c>
      <c r="AB208" s="197" t="b">
        <f t="shared" si="2"/>
        <v>1</v>
      </c>
      <c r="AC208" s="169">
        <v>9.0</v>
      </c>
      <c r="AD208" s="169">
        <v>0.0</v>
      </c>
      <c r="AE208" s="169">
        <v>0.0</v>
      </c>
      <c r="AF208" s="169">
        <v>0.0</v>
      </c>
      <c r="AG208" s="169">
        <v>0.0</v>
      </c>
      <c r="AH208" s="169">
        <v>0.0</v>
      </c>
      <c r="AI208" s="169">
        <v>0.0</v>
      </c>
      <c r="AJ208" s="182" t="b">
        <v>0</v>
      </c>
      <c r="AK208" s="183">
        <v>9.0</v>
      </c>
      <c r="AL208" s="169">
        <v>0.0</v>
      </c>
      <c r="AM208" s="169">
        <v>0.0</v>
      </c>
      <c r="AN208" s="198" t="str">
        <f>IFNA(VLOOKUP($A208,'Tube Reactions'!$J$2:$K259,2,FALSE),"")</f>
        <v/>
      </c>
      <c r="AO208" s="199" t="str">
        <f t="shared" si="20"/>
        <v/>
      </c>
      <c r="AP208" s="186" t="str">
        <f t="shared" si="36"/>
        <v/>
      </c>
      <c r="AQ208" s="187" t="b">
        <f t="shared" si="5"/>
        <v>1</v>
      </c>
      <c r="AR208" s="188">
        <v>207.0</v>
      </c>
      <c r="AS208" s="189"/>
      <c r="AT208" s="55"/>
      <c r="AU208" s="110" t="s">
        <v>1174</v>
      </c>
      <c r="AV208" s="169"/>
      <c r="AW208" s="118"/>
      <c r="AX208" s="190"/>
      <c r="AY208" s="48"/>
      <c r="BA208" s="169"/>
      <c r="BB208" s="18"/>
      <c r="BC208" s="18"/>
      <c r="BD208" s="48"/>
      <c r="BE208" s="192"/>
      <c r="BF208" s="76">
        <f t="shared" si="11"/>
        <v>45026</v>
      </c>
      <c r="BG208" s="114" t="str">
        <f t="shared" si="12"/>
        <v>RUN-ABRM_2023-04-10_RFR-207</v>
      </c>
      <c r="BH208" s="83">
        <f t="shared" si="13"/>
        <v>11</v>
      </c>
      <c r="BI208" s="83">
        <f t="shared" si="14"/>
        <v>9</v>
      </c>
      <c r="BJ208" s="83">
        <f t="shared" si="15"/>
        <v>9</v>
      </c>
      <c r="BK208" s="83">
        <f t="shared" si="16"/>
        <v>0</v>
      </c>
      <c r="BL208" s="200">
        <f>IFNA(IF(VLOOKUP(FLOOR($B208,1),'APS Tubes by Date IMPORT'!$B$2:$J259,1,FALSE)=FLOOR($BL207,1),IFERROR(0/0,""),VLOOKUP(FLOOR($B208,1),'APS Tubes by Date IMPORT'!$B$2:$J259,1,FALSE)),"")</f>
        <v>45026</v>
      </c>
      <c r="BM208" s="83">
        <f>IF(ISBLANK($BL208),IFERROR(0/0,""),VLOOKUP(FLOOR($B208,1),'APS Tubes by Date IMPORT'!$B$2:$J259,2,FALSE))</f>
        <v>9</v>
      </c>
      <c r="BN208" s="114"/>
      <c r="BO208" s="83" t="str">
        <f>VLOOKUP(FLOOR($B208,1),'APS Tubes by Date IMPORT'!$B208:$I259,6,FALSE)</f>
        <v>#N/A</v>
      </c>
      <c r="BP208" s="83">
        <v>7.0</v>
      </c>
      <c r="BQ208" s="193">
        <f t="shared" si="17"/>
        <v>-2</v>
      </c>
      <c r="BR208" s="131">
        <v>3.0</v>
      </c>
      <c r="BS208" s="76" t="b">
        <f t="shared" si="18"/>
        <v>1</v>
      </c>
      <c r="BT208" s="194" t="str">
        <f t="shared" si="19"/>
        <v>Delete NULL</v>
      </c>
      <c r="BU208" s="256"/>
      <c r="BV208" s="256"/>
      <c r="BW208" s="256"/>
      <c r="BX208" s="256"/>
    </row>
    <row r="209">
      <c r="A209" s="18" t="str">
        <f>CONCATENATE("RUN-",'Process Ref'!$A$1,"_",TEXT(U209,"YYYY-MM-DD"),"_RFR-",TEXT(AR209,"000"),IF(EXACT(W209,"Initial"),"",CONCATENATE("_",W209)))</f>
        <v>RUN-ABRM_2023-04-11_RFR-208</v>
      </c>
      <c r="B209" s="251">
        <v>45027.388576736106</v>
      </c>
      <c r="C209" s="92"/>
      <c r="D209" s="92" t="s">
        <v>313</v>
      </c>
      <c r="E209" s="131">
        <v>9.0</v>
      </c>
      <c r="F209" s="92" t="s">
        <v>1202</v>
      </c>
      <c r="G209" s="252" t="s">
        <v>1203</v>
      </c>
      <c r="H209" s="253" t="s">
        <v>1204</v>
      </c>
      <c r="I209" s="252" t="s">
        <v>1205</v>
      </c>
      <c r="J209" s="262">
        <v>2.0</v>
      </c>
      <c r="K209" s="202"/>
      <c r="L209" s="246"/>
      <c r="M209" s="174"/>
      <c r="N209" s="174"/>
      <c r="O209" s="175"/>
      <c r="P209" s="118" t="b">
        <v>0</v>
      </c>
      <c r="Q209" s="118" t="b">
        <v>0</v>
      </c>
      <c r="R209" s="55"/>
      <c r="S209" s="118" t="b">
        <v>0</v>
      </c>
      <c r="T209" s="177" t="b">
        <v>1</v>
      </c>
      <c r="U209" s="178">
        <v>45027.0</v>
      </c>
      <c r="V209" s="179">
        <v>0.4375</v>
      </c>
      <c r="W209" s="110" t="s">
        <v>320</v>
      </c>
      <c r="X209" s="180"/>
      <c r="Y209" s="118" t="b">
        <v>0</v>
      </c>
      <c r="Z209" s="169">
        <v>9.0</v>
      </c>
      <c r="AA209" s="196">
        <f t="shared" si="1"/>
        <v>0</v>
      </c>
      <c r="AB209" s="197" t="b">
        <f t="shared" si="2"/>
        <v>1</v>
      </c>
      <c r="AC209" s="169">
        <v>7.0</v>
      </c>
      <c r="AD209" s="169">
        <v>2.0</v>
      </c>
      <c r="AE209" s="169">
        <v>2.0</v>
      </c>
      <c r="AF209" s="169">
        <v>0.0</v>
      </c>
      <c r="AG209" s="169">
        <v>0.0</v>
      </c>
      <c r="AH209" s="169">
        <v>0.0</v>
      </c>
      <c r="AI209" s="169">
        <v>0.0</v>
      </c>
      <c r="AJ209" s="182" t="b">
        <v>0</v>
      </c>
      <c r="AK209" s="183">
        <v>7.0</v>
      </c>
      <c r="AL209" s="169">
        <v>1.1</v>
      </c>
      <c r="AM209" s="172" t="str">
        <f t="shared" ref="AM209:AM259" si="56">IF(EXACT(W209,"Initial"),"Audit","")</f>
        <v>Audit</v>
      </c>
      <c r="AN209" s="198" t="str">
        <f>IFNA(VLOOKUP($A209,'Tube Reactions'!$J$2:$K259,2,FALSE),"")</f>
        <v/>
      </c>
      <c r="AO209" s="199" t="str">
        <f t="shared" si="20"/>
        <v>NOT EQUAL</v>
      </c>
      <c r="AP209" s="186" t="str">
        <f t="shared" si="36"/>
        <v/>
      </c>
      <c r="AQ209" s="187" t="b">
        <f t="shared" si="5"/>
        <v>1</v>
      </c>
      <c r="AR209" s="188">
        <v>208.0</v>
      </c>
      <c r="AS209" s="189"/>
      <c r="AT209" s="55"/>
      <c r="AU209" s="110" t="s">
        <v>1206</v>
      </c>
      <c r="AV209" s="169"/>
      <c r="AW209" s="118"/>
      <c r="AX209" s="190"/>
      <c r="AY209" s="48"/>
      <c r="BA209" s="169"/>
      <c r="BB209" s="18"/>
      <c r="BC209" s="18"/>
      <c r="BD209" s="48"/>
      <c r="BE209" s="192"/>
      <c r="BF209" s="76">
        <f t="shared" si="11"/>
        <v>45027</v>
      </c>
      <c r="BG209" s="114" t="str">
        <f t="shared" si="12"/>
        <v>RUN-ABRM_2023-04-11_RFR-208</v>
      </c>
      <c r="BH209" s="83">
        <f t="shared" si="13"/>
        <v>9</v>
      </c>
      <c r="BI209" s="83">
        <f t="shared" si="14"/>
        <v>7</v>
      </c>
      <c r="BJ209" s="83">
        <f t="shared" si="15"/>
        <v>7</v>
      </c>
      <c r="BK209" s="83">
        <f t="shared" si="16"/>
        <v>1.1</v>
      </c>
      <c r="BL209" s="200">
        <f>IFNA(IF(VLOOKUP(FLOOR($B209,1),'APS Tubes by Date IMPORT'!$B$2:$J259,1,FALSE)=FLOOR($BL208,1),IFERROR(0/0,""),VLOOKUP(FLOOR($B209,1),'APS Tubes by Date IMPORT'!$B$2:$J259,1,FALSE)),"")</f>
        <v>45027</v>
      </c>
      <c r="BM209" s="83">
        <f>IF(ISBLANK($BL209),IFERROR(0/0,""),VLOOKUP(FLOOR($B209,1),'APS Tubes by Date IMPORT'!$B$2:$J259,2,FALSE))</f>
        <v>7</v>
      </c>
      <c r="BN209" s="114"/>
      <c r="BO209" s="83" t="str">
        <f>VLOOKUP(FLOOR($B209,1),'APS Tubes by Date IMPORT'!$B209:$I259,6,FALSE)</f>
        <v>#N/A</v>
      </c>
      <c r="BP209" s="83">
        <v>7.0</v>
      </c>
      <c r="BQ209" s="193">
        <f t="shared" si="17"/>
        <v>0</v>
      </c>
      <c r="BR209" s="131">
        <v>3.0</v>
      </c>
      <c r="BS209" s="76" t="b">
        <f t="shared" si="18"/>
        <v>1</v>
      </c>
      <c r="BT209" s="194" t="str">
        <f t="shared" si="19"/>
        <v>Delete NULL</v>
      </c>
      <c r="BU209" s="256"/>
      <c r="BV209" s="256"/>
      <c r="BW209" s="256"/>
      <c r="BX209" s="256"/>
    </row>
    <row r="210">
      <c r="A210" s="18" t="str">
        <f>CONCATENATE("RUN-",'Process Ref'!$A$1,"_",TEXT(U210,"YYYY-MM-DD"),"_RFR-",TEXT(AR210,"000"),IF(EXACT(W210,"Initial"),"",CONCATENATE("_",W210)))</f>
        <v>RUN-ABRM_2023-04-11_RFR-209_Re-run</v>
      </c>
      <c r="B210" s="251">
        <v>45027.419922430556</v>
      </c>
      <c r="C210" s="92"/>
      <c r="D210" s="92" t="s">
        <v>313</v>
      </c>
      <c r="E210" s="131">
        <v>8.0</v>
      </c>
      <c r="F210" s="92" t="s">
        <v>1202</v>
      </c>
      <c r="G210" s="252" t="s">
        <v>1207</v>
      </c>
      <c r="H210" s="252" t="s">
        <v>1208</v>
      </c>
      <c r="I210" s="252" t="s">
        <v>1209</v>
      </c>
      <c r="J210" s="55"/>
      <c r="K210" s="202"/>
      <c r="L210" s="246"/>
      <c r="M210" s="174"/>
      <c r="N210" s="174"/>
      <c r="O210" s="175"/>
      <c r="P210" s="118" t="b">
        <v>0</v>
      </c>
      <c r="Q210" s="118" t="b">
        <v>0</v>
      </c>
      <c r="R210" s="55"/>
      <c r="S210" s="118" t="b">
        <v>0</v>
      </c>
      <c r="T210" s="177" t="b">
        <v>1</v>
      </c>
      <c r="U210" s="178">
        <v>45027.0</v>
      </c>
      <c r="V210" s="179">
        <v>0.4722222222222222</v>
      </c>
      <c r="W210" s="110" t="s">
        <v>339</v>
      </c>
      <c r="X210" s="180"/>
      <c r="Y210" s="118" t="b">
        <v>0</v>
      </c>
      <c r="Z210" s="169">
        <v>8.0</v>
      </c>
      <c r="AA210" s="196">
        <f t="shared" si="1"/>
        <v>0</v>
      </c>
      <c r="AB210" s="197" t="b">
        <f t="shared" si="2"/>
        <v>1</v>
      </c>
      <c r="AC210" s="169">
        <v>6.0</v>
      </c>
      <c r="AD210" s="169">
        <v>0.0</v>
      </c>
      <c r="AE210" s="169">
        <v>0.0</v>
      </c>
      <c r="AF210" s="169">
        <v>0.0</v>
      </c>
      <c r="AG210" s="169">
        <v>0.0</v>
      </c>
      <c r="AH210" s="169">
        <v>0.0</v>
      </c>
      <c r="AI210" s="169">
        <v>0.0</v>
      </c>
      <c r="AJ210" s="182" t="b">
        <v>0</v>
      </c>
      <c r="AK210" s="183">
        <v>2.0</v>
      </c>
      <c r="AL210" s="169">
        <v>0.0</v>
      </c>
      <c r="AM210" s="172" t="str">
        <f t="shared" si="56"/>
        <v/>
      </c>
      <c r="AN210" s="198" t="str">
        <f>IFNA(VLOOKUP($A210,'Tube Reactions'!$J$2:$K259,2,FALSE),"")</f>
        <v/>
      </c>
      <c r="AO210" s="199" t="str">
        <f t="shared" si="20"/>
        <v/>
      </c>
      <c r="AP210" s="186" t="str">
        <f t="shared" si="36"/>
        <v/>
      </c>
      <c r="AQ210" s="187" t="b">
        <f t="shared" si="5"/>
        <v>1</v>
      </c>
      <c r="AR210" s="188">
        <v>209.0</v>
      </c>
      <c r="AS210" s="189"/>
      <c r="AT210" s="55"/>
      <c r="AU210" s="110" t="s">
        <v>1206</v>
      </c>
      <c r="AV210" s="169"/>
      <c r="AW210" s="118"/>
      <c r="AX210" s="190"/>
      <c r="AY210" s="48"/>
      <c r="BA210" s="169"/>
      <c r="BB210" s="18"/>
      <c r="BC210" s="18"/>
      <c r="BD210" s="48"/>
      <c r="BE210" s="192"/>
      <c r="BF210" s="76" t="str">
        <f t="shared" si="11"/>
        <v/>
      </c>
      <c r="BG210" s="114" t="str">
        <f t="shared" si="12"/>
        <v/>
      </c>
      <c r="BH210" s="83" t="str">
        <f t="shared" si="13"/>
        <v/>
      </c>
      <c r="BI210" s="83" t="str">
        <f t="shared" si="14"/>
        <v/>
      </c>
      <c r="BJ210" s="83" t="str">
        <f t="shared" si="15"/>
        <v/>
      </c>
      <c r="BK210" s="83" t="str">
        <f t="shared" si="16"/>
        <v/>
      </c>
      <c r="BL210" s="200" t="str">
        <f>IFNA(IF(VLOOKUP(FLOOR($B210,1),'APS Tubes by Date IMPORT'!$B$2:$J259,1,FALSE)=FLOOR($BL209,1),IFERROR(0/0,""),VLOOKUP(FLOOR($B210,1),'APS Tubes by Date IMPORT'!$B$2:$J259,1,FALSE)),"")</f>
        <v/>
      </c>
      <c r="BM210" s="83" t="str">
        <f>IF(ISBLANK($BL210),IFERROR(0/0,""),VLOOKUP(FLOOR($B210,1),'APS Tubes by Date IMPORT'!$B$2:$J259,2,FALSE))</f>
        <v/>
      </c>
      <c r="BN210" s="114"/>
      <c r="BO210" s="83" t="str">
        <f>VLOOKUP(FLOOR($B210,1),'APS Tubes by Date IMPORT'!$B210:$I259,6,FALSE)</f>
        <v>#N/A</v>
      </c>
      <c r="BP210" s="83">
        <v>7.0</v>
      </c>
      <c r="BQ210" s="193">
        <f t="shared" si="17"/>
        <v>7</v>
      </c>
      <c r="BR210" s="131">
        <v>3.0</v>
      </c>
      <c r="BS210" s="76" t="b">
        <f t="shared" si="18"/>
        <v>1</v>
      </c>
      <c r="BT210" s="194" t="str">
        <f t="shared" si="19"/>
        <v>Delete NULL</v>
      </c>
      <c r="BU210" s="256"/>
      <c r="BV210" s="256"/>
      <c r="BW210" s="256"/>
      <c r="BX210" s="256"/>
    </row>
    <row r="211">
      <c r="A211" s="18" t="str">
        <f>CONCATENATE("RUN-",'Process Ref'!$A$1,"_",TEXT(U211,"YYYY-MM-DD"),"_RFR-",TEXT(AR211,"000"),IF(EXACT(W211,"Initial"),"",CONCATENATE("_",W211)))</f>
        <v>RUN-ABRM_2023-04-12_RFR-210_Re-run</v>
      </c>
      <c r="B211" s="251">
        <v>45028.53137293982</v>
      </c>
      <c r="C211" s="92"/>
      <c r="D211" s="92" t="s">
        <v>313</v>
      </c>
      <c r="E211" s="131">
        <v>6.0</v>
      </c>
      <c r="F211" s="92" t="s">
        <v>1210</v>
      </c>
      <c r="G211" s="252" t="s">
        <v>1211</v>
      </c>
      <c r="H211" s="252" t="s">
        <v>1212</v>
      </c>
      <c r="I211" s="252" t="s">
        <v>1213</v>
      </c>
      <c r="J211" s="262">
        <v>1.0</v>
      </c>
      <c r="K211" s="202"/>
      <c r="L211" s="246"/>
      <c r="M211" s="174"/>
      <c r="N211" s="174"/>
      <c r="O211" s="210" t="s">
        <v>1214</v>
      </c>
      <c r="P211" s="118" t="b">
        <v>0</v>
      </c>
      <c r="Q211" s="118" t="b">
        <v>0</v>
      </c>
      <c r="R211" s="55"/>
      <c r="S211" s="118" t="b">
        <v>0</v>
      </c>
      <c r="T211" s="177" t="b">
        <v>0</v>
      </c>
      <c r="U211" s="178">
        <v>45028.0</v>
      </c>
      <c r="V211" s="179">
        <v>0.4826388888888889</v>
      </c>
      <c r="W211" s="110" t="s">
        <v>339</v>
      </c>
      <c r="X211" s="180"/>
      <c r="Y211" s="118" t="b">
        <v>0</v>
      </c>
      <c r="Z211" s="169">
        <v>6.0</v>
      </c>
      <c r="AA211" s="196">
        <f t="shared" si="1"/>
        <v>0</v>
      </c>
      <c r="AB211" s="197" t="b">
        <f t="shared" si="2"/>
        <v>1</v>
      </c>
      <c r="AC211" s="169">
        <v>4.0</v>
      </c>
      <c r="AD211" s="169">
        <v>0.0</v>
      </c>
      <c r="AE211" s="169">
        <v>0.0</v>
      </c>
      <c r="AF211" s="169">
        <v>0.0</v>
      </c>
      <c r="AG211" s="169">
        <v>0.0</v>
      </c>
      <c r="AH211" s="169">
        <v>0.0</v>
      </c>
      <c r="AI211" s="169">
        <v>0.0</v>
      </c>
      <c r="AJ211" s="182" t="b">
        <v>0</v>
      </c>
      <c r="AK211" s="183">
        <v>3.0</v>
      </c>
      <c r="AL211" s="169">
        <v>0.0</v>
      </c>
      <c r="AM211" s="172" t="str">
        <f t="shared" si="56"/>
        <v/>
      </c>
      <c r="AN211" s="198" t="str">
        <f>IFNA(VLOOKUP($A211,'Tube Reactions'!$J$2:$K259,2,FALSE),"")</f>
        <v/>
      </c>
      <c r="AO211" s="199" t="str">
        <f t="shared" si="20"/>
        <v/>
      </c>
      <c r="AP211" s="186" t="str">
        <f t="shared" si="36"/>
        <v/>
      </c>
      <c r="AQ211" s="187" t="b">
        <f t="shared" si="5"/>
        <v>1</v>
      </c>
      <c r="AR211" s="188">
        <v>210.0</v>
      </c>
      <c r="AS211" s="189"/>
      <c r="AT211" s="55"/>
      <c r="AU211" s="110" t="s">
        <v>1206</v>
      </c>
      <c r="AV211" s="169"/>
      <c r="AW211" s="118"/>
      <c r="AX211" s="190"/>
      <c r="AY211" s="48"/>
      <c r="BA211" s="169"/>
      <c r="BB211" s="18"/>
      <c r="BC211" s="18"/>
      <c r="BD211" s="48"/>
      <c r="BE211" s="192"/>
      <c r="BF211" s="76" t="str">
        <f t="shared" si="11"/>
        <v/>
      </c>
      <c r="BG211" s="114" t="str">
        <f t="shared" si="12"/>
        <v/>
      </c>
      <c r="BH211" s="83" t="str">
        <f t="shared" si="13"/>
        <v/>
      </c>
      <c r="BI211" s="83" t="str">
        <f t="shared" si="14"/>
        <v/>
      </c>
      <c r="BJ211" s="83" t="str">
        <f t="shared" si="15"/>
        <v/>
      </c>
      <c r="BK211" s="83" t="str">
        <f t="shared" si="16"/>
        <v/>
      </c>
      <c r="BL211" s="200">
        <f>IFNA(IF(VLOOKUP(FLOOR($B211,1),'APS Tubes by Date IMPORT'!$B$2:$J259,1,FALSE)=FLOOR($BL210,1),IFERROR(0/0,""),VLOOKUP(FLOOR($B211,1),'APS Tubes by Date IMPORT'!$B$2:$J259,1,FALSE)),"")</f>
        <v>45028</v>
      </c>
      <c r="BM211" s="83">
        <f>IF(ISBLANK($BL211),IFERROR(0/0,""),VLOOKUP(FLOOR($B211,1),'APS Tubes by Date IMPORT'!$B$2:$J259,2,FALSE))</f>
        <v>7</v>
      </c>
      <c r="BN211" s="114"/>
      <c r="BO211" s="83" t="str">
        <f>VLOOKUP(FLOOR($B211,1),'APS Tubes by Date IMPORT'!$B211:$I259,6,FALSE)</f>
        <v>#N/A</v>
      </c>
      <c r="BP211" s="83">
        <v>7.0</v>
      </c>
      <c r="BQ211" s="193">
        <f t="shared" si="17"/>
        <v>0</v>
      </c>
      <c r="BR211" s="131">
        <v>3.0</v>
      </c>
      <c r="BS211" s="76" t="b">
        <f t="shared" si="18"/>
        <v>1</v>
      </c>
      <c r="BT211" s="194" t="str">
        <f t="shared" si="19"/>
        <v>Delete NULL</v>
      </c>
      <c r="BU211" s="256"/>
      <c r="BV211" s="256"/>
      <c r="BW211" s="256"/>
      <c r="BX211" s="256"/>
    </row>
    <row r="212">
      <c r="A212" s="18" t="str">
        <f>CONCATENATE("RUN-",'Process Ref'!$A$1,"_",TEXT(U212,"YYYY-MM-DD"),"_RFR-",TEXT(AR212,"000"),IF(EXACT(W212,"Initial"),"",CONCATENATE("_",W212)))</f>
        <v>RUN-ABRM_2023-04-13_RFR-211_Re-run</v>
      </c>
      <c r="B212" s="251">
        <v>45029.43094289352</v>
      </c>
      <c r="C212" s="92"/>
      <c r="D212" s="92" t="s">
        <v>313</v>
      </c>
      <c r="E212" s="131">
        <v>5.0</v>
      </c>
      <c r="F212" s="92" t="s">
        <v>1215</v>
      </c>
      <c r="G212" s="252" t="s">
        <v>1216</v>
      </c>
      <c r="H212" s="253" t="s">
        <v>1217</v>
      </c>
      <c r="I212" s="252" t="s">
        <v>1218</v>
      </c>
      <c r="J212" s="55"/>
      <c r="K212" s="202"/>
      <c r="L212" s="246"/>
      <c r="M212" s="174"/>
      <c r="N212" s="210"/>
      <c r="O212" s="210" t="s">
        <v>1219</v>
      </c>
      <c r="P212" s="118" t="b">
        <v>0</v>
      </c>
      <c r="Q212" s="118" t="b">
        <v>0</v>
      </c>
      <c r="R212" s="55"/>
      <c r="S212" s="118" t="b">
        <v>0</v>
      </c>
      <c r="T212" s="177" t="b">
        <v>0</v>
      </c>
      <c r="U212" s="178">
        <v>45029.0</v>
      </c>
      <c r="V212" s="179">
        <v>0.46875</v>
      </c>
      <c r="W212" s="110" t="s">
        <v>339</v>
      </c>
      <c r="X212" s="180"/>
      <c r="Y212" s="118" t="b">
        <v>0</v>
      </c>
      <c r="Z212" s="169">
        <v>5.0</v>
      </c>
      <c r="AA212" s="196">
        <f t="shared" si="1"/>
        <v>0</v>
      </c>
      <c r="AB212" s="197" t="b">
        <f t="shared" si="2"/>
        <v>1</v>
      </c>
      <c r="AC212" s="169">
        <v>3.0</v>
      </c>
      <c r="AD212" s="169">
        <v>0.0</v>
      </c>
      <c r="AE212" s="169">
        <v>0.0</v>
      </c>
      <c r="AF212" s="169">
        <v>0.0</v>
      </c>
      <c r="AG212" s="169">
        <v>0.0</v>
      </c>
      <c r="AH212" s="169">
        <v>0.0</v>
      </c>
      <c r="AI212" s="169">
        <v>0.0</v>
      </c>
      <c r="AJ212" s="182" t="b">
        <v>0</v>
      </c>
      <c r="AK212" s="183">
        <v>3.0</v>
      </c>
      <c r="AL212" s="169">
        <v>0.0</v>
      </c>
      <c r="AM212" s="172" t="str">
        <f t="shared" si="56"/>
        <v/>
      </c>
      <c r="AN212" s="198" t="str">
        <f>IFNA(VLOOKUP($A212,'Tube Reactions'!$J$2:$K259,2,FALSE),"")</f>
        <v/>
      </c>
      <c r="AO212" s="199" t="str">
        <f t="shared" si="20"/>
        <v/>
      </c>
      <c r="AP212" s="186" t="str">
        <f t="shared" si="36"/>
        <v/>
      </c>
      <c r="AQ212" s="187" t="b">
        <f t="shared" si="5"/>
        <v>1</v>
      </c>
      <c r="AR212" s="188">
        <v>211.0</v>
      </c>
      <c r="AS212" s="189"/>
      <c r="AT212" s="55"/>
      <c r="AU212" s="110" t="s">
        <v>1206</v>
      </c>
      <c r="AV212" s="169"/>
      <c r="AW212" s="118"/>
      <c r="AX212" s="190"/>
      <c r="AY212" s="48"/>
      <c r="BA212" s="169"/>
      <c r="BB212" s="18"/>
      <c r="BC212" s="18"/>
      <c r="BD212" s="48"/>
      <c r="BE212" s="192"/>
      <c r="BF212" s="76" t="str">
        <f t="shared" si="11"/>
        <v/>
      </c>
      <c r="BG212" s="114" t="str">
        <f t="shared" si="12"/>
        <v/>
      </c>
      <c r="BH212" s="83" t="str">
        <f t="shared" si="13"/>
        <v/>
      </c>
      <c r="BI212" s="83" t="str">
        <f t="shared" si="14"/>
        <v/>
      </c>
      <c r="BJ212" s="83" t="str">
        <f t="shared" si="15"/>
        <v/>
      </c>
      <c r="BK212" s="83" t="str">
        <f t="shared" si="16"/>
        <v/>
      </c>
      <c r="BL212" s="200">
        <f>IFNA(IF(VLOOKUP(FLOOR($B212,1),'APS Tubes by Date IMPORT'!$B$2:$J259,1,FALSE)=FLOOR($BL211,1),IFERROR(0/0,""),VLOOKUP(FLOOR($B212,1),'APS Tubes by Date IMPORT'!$B$2:$J259,1,FALSE)),"")</f>
        <v>45029</v>
      </c>
      <c r="BM212" s="83">
        <f>IF(ISBLANK($BL212),IFERROR(0/0,""),VLOOKUP(FLOOR($B212,1),'APS Tubes by Date IMPORT'!$B$2:$J259,2,FALSE))</f>
        <v>8</v>
      </c>
      <c r="BN212" s="114"/>
      <c r="BO212" s="83" t="str">
        <f>VLOOKUP(FLOOR($B212,1),'APS Tubes by Date IMPORT'!$B212:$I259,6,FALSE)</f>
        <v>#N/A</v>
      </c>
      <c r="BP212" s="83">
        <v>7.0</v>
      </c>
      <c r="BQ212" s="193">
        <f t="shared" si="17"/>
        <v>-1</v>
      </c>
      <c r="BR212" s="131">
        <v>3.0</v>
      </c>
      <c r="BS212" s="76" t="b">
        <f t="shared" si="18"/>
        <v>1</v>
      </c>
      <c r="BT212" s="194" t="str">
        <f t="shared" si="19"/>
        <v>Delete NULL</v>
      </c>
      <c r="BU212" s="256"/>
      <c r="BV212" s="256"/>
      <c r="BW212" s="256"/>
      <c r="BX212" s="256"/>
    </row>
    <row r="213">
      <c r="A213" s="18" t="str">
        <f>CONCATENATE("RUN-",'Process Ref'!$A$1,"_",TEXT(U213,"YYYY-MM-DD"),"_RFR-",TEXT(AR213,"000"),IF(EXACT(W213,"Initial"),"",CONCATENATE("_",W213)))</f>
        <v>RUN-ABRM_2023-04-14_RFR-212</v>
      </c>
      <c r="B213" s="251">
        <v>45030.40060054398</v>
      </c>
      <c r="C213" s="92"/>
      <c r="D213" s="92" t="s">
        <v>313</v>
      </c>
      <c r="E213" s="131">
        <v>10.0</v>
      </c>
      <c r="F213" s="92" t="s">
        <v>1220</v>
      </c>
      <c r="G213" s="253" t="s">
        <v>1221</v>
      </c>
      <c r="H213" s="253" t="s">
        <v>1222</v>
      </c>
      <c r="I213" s="252" t="s">
        <v>1223</v>
      </c>
      <c r="J213" s="55"/>
      <c r="K213" s="202"/>
      <c r="L213" s="246"/>
      <c r="M213" s="174"/>
      <c r="N213" s="174"/>
      <c r="O213" s="175"/>
      <c r="P213" s="118" t="b">
        <v>0</v>
      </c>
      <c r="Q213" s="118" t="b">
        <v>0</v>
      </c>
      <c r="R213" s="55"/>
      <c r="S213" s="118" t="b">
        <v>0</v>
      </c>
      <c r="T213" s="177" t="b">
        <v>0</v>
      </c>
      <c r="U213" s="178">
        <v>45030.0</v>
      </c>
      <c r="V213" s="179">
        <v>0.4305555555555556</v>
      </c>
      <c r="W213" s="110" t="s">
        <v>320</v>
      </c>
      <c r="X213" s="180"/>
      <c r="Y213" s="118" t="b">
        <v>0</v>
      </c>
      <c r="Z213" s="169">
        <v>10.0</v>
      </c>
      <c r="AA213" s="196">
        <f t="shared" si="1"/>
        <v>0</v>
      </c>
      <c r="AB213" s="197" t="b">
        <f t="shared" si="2"/>
        <v>1</v>
      </c>
      <c r="AC213" s="169">
        <v>8.0</v>
      </c>
      <c r="AD213" s="169">
        <v>0.0</v>
      </c>
      <c r="AE213" s="169">
        <v>0.0</v>
      </c>
      <c r="AF213" s="169">
        <v>0.0</v>
      </c>
      <c r="AG213" s="169">
        <v>0.0</v>
      </c>
      <c r="AH213" s="169">
        <v>0.0</v>
      </c>
      <c r="AI213" s="169">
        <v>0.0</v>
      </c>
      <c r="AJ213" s="182" t="b">
        <v>0</v>
      </c>
      <c r="AK213" s="183">
        <v>8.0</v>
      </c>
      <c r="AL213" s="169">
        <v>0.0</v>
      </c>
      <c r="AM213" s="172" t="str">
        <f t="shared" si="56"/>
        <v>Audit</v>
      </c>
      <c r="AN213" s="198" t="str">
        <f>IFNA(VLOOKUP($A213,'Tube Reactions'!$J$2:$K259,2,FALSE),"")</f>
        <v/>
      </c>
      <c r="AO213" s="199" t="str">
        <f t="shared" si="20"/>
        <v>NOT EQUAL</v>
      </c>
      <c r="AP213" s="186" t="str">
        <f t="shared" si="36"/>
        <v/>
      </c>
      <c r="AQ213" s="187" t="b">
        <f t="shared" si="5"/>
        <v>1</v>
      </c>
      <c r="AR213" s="188">
        <v>212.0</v>
      </c>
      <c r="AS213" s="189"/>
      <c r="AT213" s="55"/>
      <c r="AU213" s="110" t="s">
        <v>1206</v>
      </c>
      <c r="AV213" s="169"/>
      <c r="AW213" s="118"/>
      <c r="AX213" s="190"/>
      <c r="AY213" s="48"/>
      <c r="BA213" s="169"/>
      <c r="BB213" s="18"/>
      <c r="BC213" s="18"/>
      <c r="BD213" s="48"/>
      <c r="BE213" s="192"/>
      <c r="BF213" s="76">
        <f t="shared" si="11"/>
        <v>45030</v>
      </c>
      <c r="BG213" s="114" t="str">
        <f t="shared" si="12"/>
        <v>RUN-ABRM_2023-04-14_RFR-212</v>
      </c>
      <c r="BH213" s="83">
        <f t="shared" si="13"/>
        <v>10</v>
      </c>
      <c r="BI213" s="83">
        <f t="shared" si="14"/>
        <v>8</v>
      </c>
      <c r="BJ213" s="83">
        <f t="shared" si="15"/>
        <v>8</v>
      </c>
      <c r="BK213" s="83">
        <f t="shared" si="16"/>
        <v>0</v>
      </c>
      <c r="BL213" s="200">
        <f>IFNA(IF(VLOOKUP(FLOOR($B213,1),'APS Tubes by Date IMPORT'!$B$2:$J259,1,FALSE)=FLOOR($BL212,1),IFERROR(0/0,""),VLOOKUP(FLOOR($B213,1),'APS Tubes by Date IMPORT'!$B$2:$J259,1,FALSE)),"")</f>
        <v>45030</v>
      </c>
      <c r="BM213" s="83">
        <f>IF(ISBLANK($BL213),IFERROR(0/0,""),VLOOKUP(FLOOR($B213,1),'APS Tubes by Date IMPORT'!$B$2:$J259,2,FALSE))</f>
        <v>8</v>
      </c>
      <c r="BN213" s="114"/>
      <c r="BO213" s="83" t="str">
        <f>VLOOKUP(FLOOR($B213,1),'APS Tubes by Date IMPORT'!$B213:$I259,6,FALSE)</f>
        <v>#N/A</v>
      </c>
      <c r="BP213" s="83">
        <v>7.0</v>
      </c>
      <c r="BQ213" s="193">
        <f t="shared" si="17"/>
        <v>-1</v>
      </c>
      <c r="BR213" s="131">
        <v>3.0</v>
      </c>
      <c r="BS213" s="76" t="b">
        <f t="shared" si="18"/>
        <v>1</v>
      </c>
      <c r="BT213" s="194" t="str">
        <f t="shared" si="19"/>
        <v>Delete NULL</v>
      </c>
      <c r="BU213" s="256"/>
      <c r="BV213" s="256"/>
      <c r="BW213" s="256"/>
      <c r="BX213" s="256"/>
    </row>
    <row r="214">
      <c r="A214" s="18" t="str">
        <f>CONCATENATE("RUN-",'Process Ref'!$A$1,"_",TEXT(U214,"YYYY-MM-DD"),"_RFR-",TEXT(AR214,"000"),IF(EXACT(W214,"Initial"),"",CONCATENATE("_",W214)))</f>
        <v>RUN-ABRM_2023-04-17_RFR-213</v>
      </c>
      <c r="B214" s="251">
        <v>45033.393591608794</v>
      </c>
      <c r="C214" s="92"/>
      <c r="D214" s="92" t="s">
        <v>313</v>
      </c>
      <c r="E214" s="131">
        <v>11.0</v>
      </c>
      <c r="F214" s="92" t="s">
        <v>1224</v>
      </c>
      <c r="G214" s="252" t="s">
        <v>1225</v>
      </c>
      <c r="H214" s="252" t="s">
        <v>1226</v>
      </c>
      <c r="I214" s="252" t="s">
        <v>1227</v>
      </c>
      <c r="J214" s="55"/>
      <c r="K214" s="202"/>
      <c r="L214" s="246"/>
      <c r="M214" s="174"/>
      <c r="N214" s="174"/>
      <c r="O214" s="175"/>
      <c r="P214" s="118" t="b">
        <v>0</v>
      </c>
      <c r="Q214" s="118" t="b">
        <v>0</v>
      </c>
      <c r="R214" s="55"/>
      <c r="S214" s="118" t="b">
        <v>0</v>
      </c>
      <c r="T214" s="177" t="b">
        <v>0</v>
      </c>
      <c r="U214" s="178">
        <v>45033.0</v>
      </c>
      <c r="V214" s="179">
        <v>0.4270833333333333</v>
      </c>
      <c r="W214" s="110" t="s">
        <v>320</v>
      </c>
      <c r="X214" s="180"/>
      <c r="Y214" s="118" t="b">
        <v>0</v>
      </c>
      <c r="Z214" s="169">
        <v>11.0</v>
      </c>
      <c r="AA214" s="196">
        <f t="shared" si="1"/>
        <v>0</v>
      </c>
      <c r="AB214" s="197" t="b">
        <f t="shared" si="2"/>
        <v>1</v>
      </c>
      <c r="AC214" s="169">
        <v>9.0</v>
      </c>
      <c r="AD214" s="169">
        <v>0.0</v>
      </c>
      <c r="AE214" s="169">
        <v>0.0</v>
      </c>
      <c r="AF214" s="169">
        <v>0.0</v>
      </c>
      <c r="AG214" s="169">
        <v>0.0</v>
      </c>
      <c r="AH214" s="169">
        <v>0.0</v>
      </c>
      <c r="AI214" s="169">
        <v>0.0</v>
      </c>
      <c r="AJ214" s="182" t="b">
        <v>0</v>
      </c>
      <c r="AK214" s="183">
        <v>9.0</v>
      </c>
      <c r="AL214" s="169">
        <v>0.0</v>
      </c>
      <c r="AM214" s="172" t="str">
        <f t="shared" si="56"/>
        <v>Audit</v>
      </c>
      <c r="AN214" s="198" t="str">
        <f>IFNA(VLOOKUP($A214,'Tube Reactions'!$J$2:$K259,2,FALSE),"")</f>
        <v/>
      </c>
      <c r="AO214" s="199" t="str">
        <f t="shared" si="20"/>
        <v>NOT EQUAL</v>
      </c>
      <c r="AP214" s="186" t="str">
        <f t="shared" si="36"/>
        <v/>
      </c>
      <c r="AQ214" s="187" t="b">
        <f t="shared" si="5"/>
        <v>1</v>
      </c>
      <c r="AR214" s="188">
        <v>213.0</v>
      </c>
      <c r="AS214" s="189"/>
      <c r="AT214" s="55"/>
      <c r="AU214" s="110" t="s">
        <v>1206</v>
      </c>
      <c r="AV214" s="169"/>
      <c r="AW214" s="118"/>
      <c r="AX214" s="190"/>
      <c r="AY214" s="48"/>
      <c r="BA214" s="169"/>
      <c r="BB214" s="18"/>
      <c r="BC214" s="18"/>
      <c r="BD214" s="48"/>
      <c r="BE214" s="192"/>
      <c r="BF214" s="76">
        <f t="shared" si="11"/>
        <v>45033</v>
      </c>
      <c r="BG214" s="114" t="str">
        <f t="shared" si="12"/>
        <v>RUN-ABRM_2023-04-17_RFR-213</v>
      </c>
      <c r="BH214" s="83">
        <f t="shared" si="13"/>
        <v>11</v>
      </c>
      <c r="BI214" s="83">
        <f t="shared" si="14"/>
        <v>9</v>
      </c>
      <c r="BJ214" s="83">
        <f t="shared" si="15"/>
        <v>9</v>
      </c>
      <c r="BK214" s="83">
        <f t="shared" si="16"/>
        <v>0</v>
      </c>
      <c r="BL214" s="200">
        <f>IFNA(IF(VLOOKUP(FLOOR($B214,1),'APS Tubes by Date IMPORT'!$B$2:$J259,1,FALSE)=FLOOR($BL213,1),IFERROR(0/0,""),VLOOKUP(FLOOR($B214,1),'APS Tubes by Date IMPORT'!$B$2:$J259,1,FALSE)),"")</f>
        <v>45033</v>
      </c>
      <c r="BM214" s="83">
        <f>IF(ISBLANK($BL214),IFERROR(0/0,""),VLOOKUP(FLOOR($B214,1),'APS Tubes by Date IMPORT'!$B$2:$J259,2,FALSE))</f>
        <v>9</v>
      </c>
      <c r="BN214" s="114"/>
      <c r="BO214" s="83" t="str">
        <f>VLOOKUP(FLOOR($B214,1),'APS Tubes by Date IMPORT'!$B214:$I259,6,FALSE)</f>
        <v>#N/A</v>
      </c>
      <c r="BP214" s="83">
        <v>7.0</v>
      </c>
      <c r="BQ214" s="193">
        <f t="shared" si="17"/>
        <v>-2</v>
      </c>
      <c r="BR214" s="131">
        <v>3.0</v>
      </c>
      <c r="BS214" s="76" t="b">
        <f t="shared" si="18"/>
        <v>1</v>
      </c>
      <c r="BT214" s="194" t="str">
        <f t="shared" si="19"/>
        <v>Delete NULL</v>
      </c>
      <c r="BU214" s="256"/>
      <c r="BV214" s="256"/>
      <c r="BW214" s="256"/>
      <c r="BX214" s="256"/>
    </row>
    <row r="215">
      <c r="A215" s="263" t="str">
        <f>CONCATENATE("RUN-",'Process Ref'!$A$1,"_",TEXT(U215,"YYYY-MM-DD"),"_RFR-",TEXT(AR215,"000"),IF(EXACT(W215,"Initial"),"",CONCATENATE("_",W215)))</f>
        <v>RUN-ABRM_2023-04-18_RFR-214</v>
      </c>
      <c r="B215" s="264">
        <v>45034.39126790509</v>
      </c>
      <c r="C215" s="265"/>
      <c r="D215" s="265" t="s">
        <v>313</v>
      </c>
      <c r="E215" s="266">
        <v>9.0</v>
      </c>
      <c r="F215" s="265" t="s">
        <v>1228</v>
      </c>
      <c r="G215" s="267" t="s">
        <v>1229</v>
      </c>
      <c r="H215" s="267" t="s">
        <v>1230</v>
      </c>
      <c r="I215" s="267" t="s">
        <v>1231</v>
      </c>
      <c r="J215" s="268"/>
      <c r="K215" s="269"/>
      <c r="L215" s="270"/>
      <c r="M215" s="271"/>
      <c r="N215" s="271"/>
      <c r="O215" s="272"/>
      <c r="P215" s="273" t="b">
        <v>0</v>
      </c>
      <c r="Q215" s="273" t="b">
        <v>0</v>
      </c>
      <c r="R215" s="268"/>
      <c r="S215" s="273" t="b">
        <v>0</v>
      </c>
      <c r="T215" s="274" t="b">
        <v>0</v>
      </c>
      <c r="U215" s="275">
        <v>45034.0</v>
      </c>
      <c r="V215" s="276">
        <v>0.4236111111111111</v>
      </c>
      <c r="W215" s="130" t="s">
        <v>320</v>
      </c>
      <c r="X215" s="277"/>
      <c r="Y215" s="273" t="b">
        <v>0</v>
      </c>
      <c r="Z215" s="278">
        <v>9.0</v>
      </c>
      <c r="AA215" s="279">
        <f t="shared" si="1"/>
        <v>0</v>
      </c>
      <c r="AB215" s="280" t="b">
        <f t="shared" si="2"/>
        <v>1</v>
      </c>
      <c r="AC215" s="278">
        <v>7.0</v>
      </c>
      <c r="AD215" s="278">
        <v>0.0</v>
      </c>
      <c r="AE215" s="278">
        <v>0.0</v>
      </c>
      <c r="AF215" s="278">
        <v>0.0</v>
      </c>
      <c r="AG215" s="278">
        <v>0.0</v>
      </c>
      <c r="AH215" s="278">
        <v>0.0</v>
      </c>
      <c r="AI215" s="278">
        <v>0.0</v>
      </c>
      <c r="AJ215" s="281" t="b">
        <v>0</v>
      </c>
      <c r="AK215" s="282">
        <f>AC215</f>
        <v>7</v>
      </c>
      <c r="AL215" s="278">
        <v>0.0</v>
      </c>
      <c r="AM215" s="283" t="str">
        <f t="shared" si="56"/>
        <v>Audit</v>
      </c>
      <c r="AN215" s="284" t="str">
        <f>IFNA(VLOOKUP($A215,'Tube Reactions'!$J$2:$K259,2,FALSE),"")</f>
        <v/>
      </c>
      <c r="AO215" s="285" t="str">
        <f t="shared" si="20"/>
        <v>NOT EQUAL</v>
      </c>
      <c r="AP215" s="286" t="str">
        <f t="shared" si="36"/>
        <v/>
      </c>
      <c r="AQ215" s="287" t="b">
        <f t="shared" si="5"/>
        <v>1</v>
      </c>
      <c r="AR215" s="288">
        <v>214.0</v>
      </c>
      <c r="AS215" s="289"/>
      <c r="AT215" s="268"/>
      <c r="AU215" s="130" t="s">
        <v>1206</v>
      </c>
      <c r="AV215" s="278"/>
      <c r="AW215" s="273"/>
      <c r="AX215" s="290"/>
      <c r="AY215" s="291"/>
      <c r="AZ215" s="120"/>
      <c r="BA215" s="278"/>
      <c r="BB215" s="263"/>
      <c r="BC215" s="263"/>
      <c r="BD215" s="291"/>
      <c r="BE215" s="292"/>
      <c r="BF215" s="293">
        <f t="shared" si="11"/>
        <v>45034</v>
      </c>
      <c r="BG215" s="294" t="str">
        <f t="shared" si="12"/>
        <v>RUN-ABRM_2023-04-18_RFR-214</v>
      </c>
      <c r="BH215" s="295">
        <f t="shared" si="13"/>
        <v>9</v>
      </c>
      <c r="BI215" s="295">
        <f t="shared" si="14"/>
        <v>7</v>
      </c>
      <c r="BJ215" s="295">
        <f t="shared" si="15"/>
        <v>7</v>
      </c>
      <c r="BK215" s="295">
        <f t="shared" si="16"/>
        <v>0</v>
      </c>
      <c r="BL215" s="296">
        <f>IFNA(IF(VLOOKUP(FLOOR($B215,1),'APS Tubes by Date IMPORT'!$B$2:$J259,1,FALSE)=FLOOR($BL214,1),IFERROR(0/0,""),VLOOKUP(FLOOR($B215,1),'APS Tubes by Date IMPORT'!$B$2:$J259,1,FALSE)),"")</f>
        <v>45034</v>
      </c>
      <c r="BM215" s="295">
        <f>IF(ISBLANK($BL215),IFERROR(0/0,""),VLOOKUP(FLOOR($B215,1),'APS Tubes by Date IMPORT'!$B$2:$J259,2,FALSE))</f>
        <v>10</v>
      </c>
      <c r="BN215" s="294"/>
      <c r="BO215" s="295" t="str">
        <f>VLOOKUP(FLOOR($B215,1),'APS Tubes by Date IMPORT'!$B215:$I259,6,FALSE)</f>
        <v>#N/A</v>
      </c>
      <c r="BP215" s="295">
        <v>7.0</v>
      </c>
      <c r="BQ215" s="297">
        <f t="shared" si="17"/>
        <v>-3</v>
      </c>
      <c r="BR215" s="266">
        <v>3.0</v>
      </c>
      <c r="BS215" s="293" t="b">
        <f t="shared" si="18"/>
        <v>1</v>
      </c>
      <c r="BT215" s="298" t="str">
        <f t="shared" si="19"/>
        <v>Delete NULL</v>
      </c>
      <c r="BU215" s="299"/>
      <c r="BV215" s="299"/>
      <c r="BW215" s="299"/>
      <c r="BX215" s="299"/>
    </row>
    <row r="216">
      <c r="A216" s="18" t="str">
        <f>CONCATENATE("RUN-",'Process Ref'!$A$1,"_",TEXT(U216,"YYYY-MM-DD"),"_RFR-",TEXT(AR216,"000"),IF(EXACT(W216,"Initial"),"",CONCATENATE("_",W216)))</f>
        <v>RUN-ABRM_2023-04-19_RFR-215</v>
      </c>
      <c r="B216" s="251">
        <v>45035.39692119213</v>
      </c>
      <c r="C216" s="92"/>
      <c r="D216" s="92" t="s">
        <v>313</v>
      </c>
      <c r="E216" s="131">
        <v>8.0</v>
      </c>
      <c r="F216" s="92" t="s">
        <v>1232</v>
      </c>
      <c r="G216" s="252" t="s">
        <v>1233</v>
      </c>
      <c r="H216" s="252" t="s">
        <v>1234</v>
      </c>
      <c r="I216" s="252" t="s">
        <v>1235</v>
      </c>
      <c r="J216" s="55"/>
      <c r="K216" s="202"/>
      <c r="L216" s="246"/>
      <c r="M216" s="174"/>
      <c r="N216" s="174"/>
      <c r="O216" s="175"/>
      <c r="P216" s="118" t="b">
        <v>0</v>
      </c>
      <c r="Q216" s="118" t="b">
        <v>0</v>
      </c>
      <c r="R216" s="55"/>
      <c r="S216" s="118" t="b">
        <v>0</v>
      </c>
      <c r="T216" s="177" t="b">
        <v>0</v>
      </c>
      <c r="U216" s="178">
        <v>45035.0</v>
      </c>
      <c r="V216" s="179">
        <v>0.425</v>
      </c>
      <c r="W216" s="110" t="s">
        <v>320</v>
      </c>
      <c r="X216" s="180"/>
      <c r="Y216" s="118" t="b">
        <v>0</v>
      </c>
      <c r="Z216" s="169">
        <v>8.0</v>
      </c>
      <c r="AA216" s="196">
        <f t="shared" si="1"/>
        <v>0</v>
      </c>
      <c r="AB216" s="197" t="b">
        <f t="shared" si="2"/>
        <v>1</v>
      </c>
      <c r="AC216" s="169">
        <v>6.0</v>
      </c>
      <c r="AD216" s="169">
        <v>0.0</v>
      </c>
      <c r="AE216" s="169">
        <v>0.0</v>
      </c>
      <c r="AF216" s="169">
        <v>0.0</v>
      </c>
      <c r="AG216" s="169">
        <v>0.0</v>
      </c>
      <c r="AH216" s="169">
        <v>0.0</v>
      </c>
      <c r="AI216" s="169">
        <v>0.0</v>
      </c>
      <c r="AJ216" s="182" t="b">
        <v>0</v>
      </c>
      <c r="AK216" s="183">
        <v>6.0</v>
      </c>
      <c r="AL216" s="169">
        <v>0.0</v>
      </c>
      <c r="AM216" s="172" t="str">
        <f t="shared" si="56"/>
        <v>Audit</v>
      </c>
      <c r="AN216" s="198" t="str">
        <f>IFNA(VLOOKUP($A216,'Tube Reactions'!$J$2:$K259,2,FALSE),"")</f>
        <v/>
      </c>
      <c r="AO216" s="199" t="str">
        <f t="shared" si="20"/>
        <v>NOT EQUAL</v>
      </c>
      <c r="AP216" s="186" t="str">
        <f t="shared" si="36"/>
        <v/>
      </c>
      <c r="AQ216" s="187" t="b">
        <f t="shared" si="5"/>
        <v>1</v>
      </c>
      <c r="AR216" s="188">
        <v>215.0</v>
      </c>
      <c r="AS216" s="189"/>
      <c r="AT216" s="55"/>
      <c r="AU216" s="110" t="s">
        <v>1206</v>
      </c>
      <c r="AV216" s="169"/>
      <c r="AW216" s="118"/>
      <c r="AX216" s="190"/>
      <c r="AY216" s="48"/>
      <c r="BA216" s="169"/>
      <c r="BB216" s="18"/>
      <c r="BC216" s="18"/>
      <c r="BD216" s="48"/>
      <c r="BE216" s="192"/>
      <c r="BF216" s="76">
        <f t="shared" si="11"/>
        <v>45035</v>
      </c>
      <c r="BG216" s="114" t="str">
        <f t="shared" si="12"/>
        <v>RUN-ABRM_2023-04-19_RFR-215</v>
      </c>
      <c r="BH216" s="83">
        <f t="shared" si="13"/>
        <v>8</v>
      </c>
      <c r="BI216" s="83">
        <f t="shared" si="14"/>
        <v>6</v>
      </c>
      <c r="BJ216" s="83">
        <f t="shared" si="15"/>
        <v>6</v>
      </c>
      <c r="BK216" s="83">
        <f t="shared" si="16"/>
        <v>0</v>
      </c>
      <c r="BL216" s="200">
        <f>IFNA(IF(VLOOKUP(FLOOR($B216,1),'APS Tubes by Date IMPORT'!$B$2:$J259,1,FALSE)=FLOOR($BL215,1),IFERROR(0/0,""),VLOOKUP(FLOOR($B216,1),'APS Tubes by Date IMPORT'!$B$2:$J259,1,FALSE)),"")</f>
        <v>45035</v>
      </c>
      <c r="BM216" s="83">
        <f>IF(ISBLANK($BL216),IFERROR(0/0,""),VLOOKUP(FLOOR($B216,1),'APS Tubes by Date IMPORT'!$B$2:$J259,2,FALSE))</f>
        <v>5</v>
      </c>
      <c r="BN216" s="114"/>
      <c r="BO216" s="83" t="str">
        <f>VLOOKUP(FLOOR($B216,1),'APS Tubes by Date IMPORT'!$B216:$I259,6,FALSE)</f>
        <v>#N/A</v>
      </c>
      <c r="BP216" s="83">
        <v>7.0</v>
      </c>
      <c r="BQ216" s="193">
        <f t="shared" si="17"/>
        <v>2</v>
      </c>
      <c r="BR216" s="131">
        <v>3.0</v>
      </c>
      <c r="BS216" s="76" t="b">
        <f t="shared" si="18"/>
        <v>1</v>
      </c>
      <c r="BT216" s="194" t="str">
        <f t="shared" si="19"/>
        <v>Delete NULL</v>
      </c>
      <c r="BU216" s="256"/>
      <c r="BV216" s="256"/>
      <c r="BW216" s="256"/>
      <c r="BX216" s="256"/>
    </row>
    <row r="217">
      <c r="A217" s="18" t="str">
        <f>CONCATENATE("RUN-",'Process Ref'!$A$1,"_",TEXT(U217,"YYYY-MM-DD"),"_RFR-",TEXT(AR217,"000"),IF(EXACT(W217,"Initial"),"",CONCATENATE("_",W217)))</f>
        <v>RUN-ABRM_2023-04-20_RFR-216</v>
      </c>
      <c r="B217" s="251">
        <v>45036.41863318287</v>
      </c>
      <c r="C217" s="92"/>
      <c r="D217" s="92" t="s">
        <v>313</v>
      </c>
      <c r="E217" s="131">
        <v>10.0</v>
      </c>
      <c r="F217" s="92" t="s">
        <v>1236</v>
      </c>
      <c r="G217" s="252" t="s">
        <v>1237</v>
      </c>
      <c r="H217" s="252" t="s">
        <v>1238</v>
      </c>
      <c r="I217" s="252" t="s">
        <v>1239</v>
      </c>
      <c r="J217" s="55"/>
      <c r="K217" s="202"/>
      <c r="L217" s="246"/>
      <c r="M217" s="174"/>
      <c r="N217" s="209"/>
      <c r="O217" s="210" t="s">
        <v>1240</v>
      </c>
      <c r="P217" s="118" t="b">
        <v>0</v>
      </c>
      <c r="Q217" s="118" t="b">
        <v>0</v>
      </c>
      <c r="R217" s="55"/>
      <c r="S217" s="118" t="b">
        <v>0</v>
      </c>
      <c r="T217" s="177" t="b">
        <v>1</v>
      </c>
      <c r="U217" s="178">
        <v>45036.0</v>
      </c>
      <c r="V217" s="179">
        <v>0.4375</v>
      </c>
      <c r="W217" s="110" t="s">
        <v>320</v>
      </c>
      <c r="X217" s="203" t="s">
        <v>1241</v>
      </c>
      <c r="Y217" s="118" t="b">
        <v>1</v>
      </c>
      <c r="Z217" s="169">
        <v>10.0</v>
      </c>
      <c r="AA217" s="196">
        <f t="shared" si="1"/>
        <v>0</v>
      </c>
      <c r="AB217" s="197" t="b">
        <f t="shared" si="2"/>
        <v>1</v>
      </c>
      <c r="AC217" s="169">
        <v>8.0</v>
      </c>
      <c r="AD217" s="169">
        <v>0.0</v>
      </c>
      <c r="AE217" s="169">
        <v>1.0</v>
      </c>
      <c r="AF217" s="169">
        <v>0.0</v>
      </c>
      <c r="AG217" s="169">
        <v>0.0</v>
      </c>
      <c r="AH217" s="169">
        <v>0.0</v>
      </c>
      <c r="AI217" s="169">
        <v>0.0</v>
      </c>
      <c r="AJ217" s="182" t="b">
        <v>0</v>
      </c>
      <c r="AK217" s="183">
        <v>8.0</v>
      </c>
      <c r="AL217" s="169">
        <v>1.1</v>
      </c>
      <c r="AM217" s="172" t="str">
        <f t="shared" si="56"/>
        <v>Audit</v>
      </c>
      <c r="AN217" s="198" t="str">
        <f>IFNA(VLOOKUP($A217,'Tube Reactions'!$J$2:$K259,2,FALSE),"")</f>
        <v/>
      </c>
      <c r="AO217" s="199" t="str">
        <f t="shared" si="20"/>
        <v>NOT EQUAL</v>
      </c>
      <c r="AP217" s="186" t="str">
        <f t="shared" si="36"/>
        <v/>
      </c>
      <c r="AQ217" s="187" t="b">
        <f t="shared" si="5"/>
        <v>1</v>
      </c>
      <c r="AR217" s="188">
        <v>216.0</v>
      </c>
      <c r="AS217" s="189"/>
      <c r="AT217" s="55"/>
      <c r="AU217" s="110" t="s">
        <v>1206</v>
      </c>
      <c r="AV217" s="169"/>
      <c r="AW217" s="118"/>
      <c r="AX217" s="190"/>
      <c r="AY217" s="48"/>
      <c r="BA217" s="169"/>
      <c r="BB217" s="18"/>
      <c r="BC217" s="18"/>
      <c r="BD217" s="48"/>
      <c r="BE217" s="192"/>
      <c r="BF217" s="76">
        <f t="shared" si="11"/>
        <v>45036</v>
      </c>
      <c r="BG217" s="114" t="str">
        <f t="shared" si="12"/>
        <v>RUN-ABRM_2023-04-20_RFR-216</v>
      </c>
      <c r="BH217" s="83">
        <f t="shared" si="13"/>
        <v>10</v>
      </c>
      <c r="BI217" s="83">
        <f t="shared" si="14"/>
        <v>8</v>
      </c>
      <c r="BJ217" s="83">
        <f t="shared" si="15"/>
        <v>8</v>
      </c>
      <c r="BK217" s="83">
        <f t="shared" si="16"/>
        <v>1.1</v>
      </c>
      <c r="BL217" s="200">
        <f>IFNA(IF(VLOOKUP(FLOOR($B217,1),'APS Tubes by Date IMPORT'!$B$2:$J259,1,FALSE)=FLOOR($BL216,1),IFERROR(0/0,""),VLOOKUP(FLOOR($B217,1),'APS Tubes by Date IMPORT'!$B$2:$J259,1,FALSE)),"")</f>
        <v>45036</v>
      </c>
      <c r="BM217" s="83">
        <f>IF(ISBLANK($BL217),IFERROR(0/0,""),VLOOKUP(FLOOR($B217,1),'APS Tubes by Date IMPORT'!$B$2:$J259,2,FALSE))</f>
        <v>8</v>
      </c>
      <c r="BN217" s="114"/>
      <c r="BO217" s="83" t="str">
        <f>VLOOKUP(FLOOR($B217,1),'APS Tubes by Date IMPORT'!$B217:$I259,6,FALSE)</f>
        <v>#N/A</v>
      </c>
      <c r="BP217" s="83">
        <v>7.0</v>
      </c>
      <c r="BQ217" s="193">
        <f t="shared" si="17"/>
        <v>-1</v>
      </c>
      <c r="BR217" s="131">
        <v>3.0</v>
      </c>
      <c r="BS217" s="76" t="b">
        <f t="shared" si="18"/>
        <v>1</v>
      </c>
      <c r="BT217" s="194" t="str">
        <f t="shared" si="19"/>
        <v>Delete NULL</v>
      </c>
      <c r="BU217" s="256"/>
      <c r="BV217" s="256"/>
      <c r="BW217" s="256"/>
      <c r="BX217" s="256"/>
    </row>
    <row r="218">
      <c r="A218" s="18" t="str">
        <f>CONCATENATE("RUN-",'Process Ref'!$A$1,"_",TEXT(U218,"YYYY-MM-DD"),"_RFR-",TEXT(AR218,"000"),IF(EXACT(W218,"Initial"),"",CONCATENATE("_",W218)))</f>
        <v>RUN-ABRM_2023-04-21_RFR-217</v>
      </c>
      <c r="B218" s="251">
        <v>45037.40992196759</v>
      </c>
      <c r="C218" s="92"/>
      <c r="D218" s="92" t="s">
        <v>313</v>
      </c>
      <c r="E218" s="131">
        <v>5.0</v>
      </c>
      <c r="F218" s="92" t="s">
        <v>1236</v>
      </c>
      <c r="G218" s="252" t="s">
        <v>1242</v>
      </c>
      <c r="H218" s="252" t="s">
        <v>1243</v>
      </c>
      <c r="I218" s="252" t="s">
        <v>1244</v>
      </c>
      <c r="J218" s="262">
        <v>1.0</v>
      </c>
      <c r="K218" s="202" t="s">
        <v>1245</v>
      </c>
      <c r="L218" s="246"/>
      <c r="M218" s="174"/>
      <c r="N218" s="174"/>
      <c r="O218" s="175"/>
      <c r="P218" s="118" t="b">
        <v>0</v>
      </c>
      <c r="Q218" s="118" t="b">
        <v>0</v>
      </c>
      <c r="R218" s="55"/>
      <c r="S218" s="118" t="b">
        <v>0</v>
      </c>
      <c r="T218" s="177" t="b">
        <v>0</v>
      </c>
      <c r="U218" s="178">
        <v>45037.0</v>
      </c>
      <c r="V218" s="179">
        <v>0.4236111111111111</v>
      </c>
      <c r="W218" s="110" t="s">
        <v>320</v>
      </c>
      <c r="X218" s="203" t="s">
        <v>1246</v>
      </c>
      <c r="Y218" s="118" t="b">
        <v>0</v>
      </c>
      <c r="Z218" s="169">
        <v>8.0</v>
      </c>
      <c r="AA218" s="196">
        <f t="shared" si="1"/>
        <v>3</v>
      </c>
      <c r="AB218" s="197" t="b">
        <f t="shared" si="2"/>
        <v>1</v>
      </c>
      <c r="AC218" s="169">
        <v>6.0</v>
      </c>
      <c r="AD218" s="169">
        <v>0.0</v>
      </c>
      <c r="AE218" s="169">
        <v>0.0</v>
      </c>
      <c r="AF218" s="169">
        <v>0.0</v>
      </c>
      <c r="AG218" s="169">
        <v>0.0</v>
      </c>
      <c r="AH218" s="169">
        <v>0.0</v>
      </c>
      <c r="AI218" s="169">
        <v>0.0</v>
      </c>
      <c r="AJ218" s="182" t="b">
        <v>0</v>
      </c>
      <c r="AK218" s="183">
        <v>6.0</v>
      </c>
      <c r="AL218" s="169">
        <v>0.0</v>
      </c>
      <c r="AM218" s="172" t="str">
        <f t="shared" si="56"/>
        <v>Audit</v>
      </c>
      <c r="AN218" s="198" t="str">
        <f>IFNA(VLOOKUP($A218,'Tube Reactions'!$J$2:$K259,2,FALSE),"")</f>
        <v/>
      </c>
      <c r="AO218" s="199" t="str">
        <f t="shared" si="20"/>
        <v>NOT EQUAL</v>
      </c>
      <c r="AP218" s="186" t="str">
        <f t="shared" si="36"/>
        <v/>
      </c>
      <c r="AQ218" s="187" t="b">
        <f t="shared" si="5"/>
        <v>1</v>
      </c>
      <c r="AR218" s="188">
        <v>217.0</v>
      </c>
      <c r="AS218" s="189"/>
      <c r="AT218" s="55"/>
      <c r="AU218" s="110" t="s">
        <v>1206</v>
      </c>
      <c r="AV218" s="169"/>
      <c r="AW218" s="118"/>
      <c r="AX218" s="190"/>
      <c r="AY218" s="48"/>
      <c r="BA218" s="169"/>
      <c r="BB218" s="18"/>
      <c r="BC218" s="18"/>
      <c r="BD218" s="48"/>
      <c r="BE218" s="192"/>
      <c r="BF218" s="76">
        <f t="shared" si="11"/>
        <v>45037</v>
      </c>
      <c r="BG218" s="114" t="str">
        <f t="shared" si="12"/>
        <v>RUN-ABRM_2023-04-21_RFR-217</v>
      </c>
      <c r="BH218" s="83">
        <f t="shared" si="13"/>
        <v>5</v>
      </c>
      <c r="BI218" s="83">
        <f t="shared" si="14"/>
        <v>6</v>
      </c>
      <c r="BJ218" s="83">
        <f t="shared" si="15"/>
        <v>6</v>
      </c>
      <c r="BK218" s="83">
        <f t="shared" si="16"/>
        <v>0</v>
      </c>
      <c r="BL218" s="200">
        <f>IFNA(IF(VLOOKUP(FLOOR($B218,1),'APS Tubes by Date IMPORT'!$B$2:$J259,1,FALSE)=FLOOR($BL217,1),IFERROR(0/0,""),VLOOKUP(FLOOR($B218,1),'APS Tubes by Date IMPORT'!$B$2:$J259,1,FALSE)),"")</f>
        <v>45037</v>
      </c>
      <c r="BM218" s="83">
        <f>IF(ISBLANK($BL218),IFERROR(0/0,""),VLOOKUP(FLOOR($B218,1),'APS Tubes by Date IMPORT'!$B$2:$J259,2,FALSE))</f>
        <v>4</v>
      </c>
      <c r="BN218" s="114"/>
      <c r="BO218" s="83" t="str">
        <f>VLOOKUP(FLOOR($B218,1),'APS Tubes by Date IMPORT'!$B218:$I259,6,FALSE)</f>
        <v>#N/A</v>
      </c>
      <c r="BP218" s="83">
        <v>7.0</v>
      </c>
      <c r="BQ218" s="193">
        <f t="shared" si="17"/>
        <v>3</v>
      </c>
      <c r="BR218" s="131">
        <v>3.0</v>
      </c>
      <c r="BS218" s="76" t="b">
        <f t="shared" si="18"/>
        <v>1</v>
      </c>
      <c r="BT218" s="194" t="str">
        <f t="shared" si="19"/>
        <v>Delete NULL</v>
      </c>
      <c r="BU218" s="256"/>
      <c r="BV218" s="256"/>
      <c r="BW218" s="256"/>
      <c r="BX218" s="256"/>
    </row>
    <row r="219">
      <c r="A219" s="18" t="str">
        <f>CONCATENATE("RUN-",'Process Ref'!$A$1,"_",TEXT(U219,"YYYY-MM-DD"),"_RFR-",TEXT(AR219,"000"),IF(EXACT(W219,"Initial"),"",CONCATENATE("_",W219)))</f>
        <v>RUN-ABRM_2023-04-21_RFR-218_Re-run</v>
      </c>
      <c r="B219" s="251">
        <v>45037.42862826389</v>
      </c>
      <c r="C219" s="92"/>
      <c r="D219" s="92" t="s">
        <v>313</v>
      </c>
      <c r="E219" s="131">
        <v>5.0</v>
      </c>
      <c r="F219" s="92" t="s">
        <v>1247</v>
      </c>
      <c r="G219" s="252" t="s">
        <v>1248</v>
      </c>
      <c r="H219" s="252" t="s">
        <v>1249</v>
      </c>
      <c r="I219" s="252" t="s">
        <v>1250</v>
      </c>
      <c r="J219" s="262">
        <v>1.0</v>
      </c>
      <c r="K219" s="202"/>
      <c r="L219" s="246"/>
      <c r="M219" s="174"/>
      <c r="N219" s="174"/>
      <c r="O219" s="175"/>
      <c r="P219" s="118" t="b">
        <v>0</v>
      </c>
      <c r="Q219" s="118" t="b">
        <v>0</v>
      </c>
      <c r="R219" s="55"/>
      <c r="S219" s="118" t="b">
        <v>0</v>
      </c>
      <c r="T219" s="177" t="b">
        <v>1</v>
      </c>
      <c r="U219" s="178">
        <v>45037.0</v>
      </c>
      <c r="V219" s="179">
        <v>0.4652777777777778</v>
      </c>
      <c r="W219" s="110" t="s">
        <v>339</v>
      </c>
      <c r="X219" s="203" t="s">
        <v>1241</v>
      </c>
      <c r="Y219" s="118" t="b">
        <v>1</v>
      </c>
      <c r="Z219" s="169">
        <v>5.0</v>
      </c>
      <c r="AA219" s="196">
        <f t="shared" si="1"/>
        <v>0</v>
      </c>
      <c r="AB219" s="197" t="b">
        <f t="shared" si="2"/>
        <v>1</v>
      </c>
      <c r="AC219" s="169">
        <v>3.0</v>
      </c>
      <c r="AD219" s="169">
        <v>0.0</v>
      </c>
      <c r="AE219" s="169">
        <v>0.0</v>
      </c>
      <c r="AF219" s="169">
        <v>0.0</v>
      </c>
      <c r="AG219" s="169">
        <v>0.0</v>
      </c>
      <c r="AH219" s="169">
        <v>0.0</v>
      </c>
      <c r="AI219" s="169">
        <v>0.0</v>
      </c>
      <c r="AJ219" s="182" t="b">
        <v>0</v>
      </c>
      <c r="AK219" s="183">
        <v>1.0</v>
      </c>
      <c r="AL219" s="169">
        <v>0.0</v>
      </c>
      <c r="AM219" s="172" t="str">
        <f t="shared" si="56"/>
        <v/>
      </c>
      <c r="AN219" s="198" t="str">
        <f>IFNA(VLOOKUP($A219,'Tube Reactions'!$J$2:$K259,2,FALSE),"")</f>
        <v/>
      </c>
      <c r="AO219" s="199" t="str">
        <f t="shared" si="20"/>
        <v/>
      </c>
      <c r="AP219" s="186" t="str">
        <f t="shared" si="36"/>
        <v/>
      </c>
      <c r="AQ219" s="187" t="b">
        <f t="shared" si="5"/>
        <v>1</v>
      </c>
      <c r="AR219" s="188">
        <v>218.0</v>
      </c>
      <c r="AS219" s="189"/>
      <c r="AT219" s="55"/>
      <c r="AU219" s="110" t="s">
        <v>1206</v>
      </c>
      <c r="AV219" s="169"/>
      <c r="AW219" s="118"/>
      <c r="AX219" s="190"/>
      <c r="AY219" s="48"/>
      <c r="BA219" s="169"/>
      <c r="BB219" s="18"/>
      <c r="BC219" s="18"/>
      <c r="BD219" s="48"/>
      <c r="BE219" s="192"/>
      <c r="BF219" s="76" t="str">
        <f t="shared" si="11"/>
        <v/>
      </c>
      <c r="BG219" s="114" t="str">
        <f t="shared" si="12"/>
        <v/>
      </c>
      <c r="BH219" s="83" t="str">
        <f t="shared" si="13"/>
        <v/>
      </c>
      <c r="BI219" s="83" t="str">
        <f t="shared" si="14"/>
        <v/>
      </c>
      <c r="BJ219" s="83" t="str">
        <f t="shared" si="15"/>
        <v/>
      </c>
      <c r="BK219" s="83" t="str">
        <f t="shared" si="16"/>
        <v/>
      </c>
      <c r="BL219" s="200" t="str">
        <f>IFNA(IF(VLOOKUP(FLOOR($B219,1),'APS Tubes by Date IMPORT'!$B$2:$J259,1,FALSE)=FLOOR($BL218,1),IFERROR(0/0,""),VLOOKUP(FLOOR($B219,1),'APS Tubes by Date IMPORT'!$B$2:$J259,1,FALSE)),"")</f>
        <v/>
      </c>
      <c r="BM219" s="83" t="str">
        <f>IF(ISBLANK($BL219),IFERROR(0/0,""),VLOOKUP(FLOOR($B219,1),'APS Tubes by Date IMPORT'!$B$2:$J259,2,FALSE))</f>
        <v/>
      </c>
      <c r="BN219" s="114"/>
      <c r="BO219" s="83" t="str">
        <f>VLOOKUP(FLOOR($B219,1),'APS Tubes by Date IMPORT'!$B219:$I259,6,FALSE)</f>
        <v>#N/A</v>
      </c>
      <c r="BP219" s="83">
        <v>7.0</v>
      </c>
      <c r="BQ219" s="193">
        <f t="shared" si="17"/>
        <v>7</v>
      </c>
      <c r="BR219" s="131">
        <v>3.0</v>
      </c>
      <c r="BS219" s="76" t="b">
        <f t="shared" si="18"/>
        <v>1</v>
      </c>
      <c r="BT219" s="194" t="str">
        <f t="shared" si="19"/>
        <v>Delete NULL</v>
      </c>
      <c r="BU219" s="256"/>
      <c r="BV219" s="256"/>
      <c r="BW219" s="256"/>
      <c r="BX219" s="256"/>
    </row>
    <row r="220">
      <c r="A220" s="18" t="str">
        <f>CONCATENATE("RUN-",'Process Ref'!$A$1,"_",TEXT(U220,"YYYY-MM-DD"),"_RFR-",TEXT(AR220,"000"),IF(EXACT(W220,"Initial"),"",CONCATENATE("_",W220)))</f>
        <v>RUN-ABRM_2023-04-24_RFR-219</v>
      </c>
      <c r="B220" s="251">
        <v>45040.40048195602</v>
      </c>
      <c r="C220" s="92"/>
      <c r="D220" s="92" t="s">
        <v>313</v>
      </c>
      <c r="E220" s="131">
        <v>12.0</v>
      </c>
      <c r="F220" s="92" t="s">
        <v>1251</v>
      </c>
      <c r="G220" s="252" t="s">
        <v>1252</v>
      </c>
      <c r="H220" s="252" t="s">
        <v>1253</v>
      </c>
      <c r="I220" s="252" t="s">
        <v>1254</v>
      </c>
      <c r="J220" s="55"/>
      <c r="K220" s="202"/>
      <c r="L220" s="246"/>
      <c r="M220" s="174"/>
      <c r="N220" s="209">
        <v>2.1</v>
      </c>
      <c r="O220" s="175"/>
      <c r="P220" s="118" t="b">
        <v>1</v>
      </c>
      <c r="Q220" s="118" t="b">
        <v>0</v>
      </c>
      <c r="R220" s="55"/>
      <c r="S220" s="118" t="b">
        <v>0</v>
      </c>
      <c r="T220" s="177" t="b">
        <v>1</v>
      </c>
      <c r="U220" s="178">
        <v>45040.0</v>
      </c>
      <c r="V220" s="179">
        <v>0.4236111111111111</v>
      </c>
      <c r="W220" s="110" t="s">
        <v>320</v>
      </c>
      <c r="X220" s="180"/>
      <c r="Y220" s="118" t="b">
        <v>0</v>
      </c>
      <c r="Z220" s="169">
        <v>12.0</v>
      </c>
      <c r="AA220" s="196">
        <f t="shared" si="1"/>
        <v>0</v>
      </c>
      <c r="AB220" s="197" t="b">
        <f t="shared" si="2"/>
        <v>1</v>
      </c>
      <c r="AC220" s="169">
        <v>10.0</v>
      </c>
      <c r="AD220" s="169">
        <v>0.0</v>
      </c>
      <c r="AE220" s="169">
        <v>0.0</v>
      </c>
      <c r="AF220" s="169">
        <v>0.0</v>
      </c>
      <c r="AG220" s="169">
        <v>0.0</v>
      </c>
      <c r="AH220" s="169">
        <v>0.0</v>
      </c>
      <c r="AI220" s="169">
        <v>0.0</v>
      </c>
      <c r="AJ220" s="182" t="b">
        <v>0</v>
      </c>
      <c r="AK220" s="183">
        <v>10.0</v>
      </c>
      <c r="AL220" s="169">
        <v>0.0</v>
      </c>
      <c r="AM220" s="172" t="str">
        <f t="shared" si="56"/>
        <v>Audit</v>
      </c>
      <c r="AN220" s="198" t="str">
        <f>IFNA(VLOOKUP($A220,'Tube Reactions'!$J$2:$K259,2,FALSE),"")</f>
        <v/>
      </c>
      <c r="AO220" s="199" t="str">
        <f t="shared" si="20"/>
        <v>NOT EQUAL</v>
      </c>
      <c r="AP220" s="186" t="str">
        <f t="shared" si="36"/>
        <v/>
      </c>
      <c r="AQ220" s="187" t="b">
        <f t="shared" si="5"/>
        <v>1</v>
      </c>
      <c r="AR220" s="188">
        <v>219.0</v>
      </c>
      <c r="AS220" s="189"/>
      <c r="AT220" s="55"/>
      <c r="AU220" s="110" t="s">
        <v>1206</v>
      </c>
      <c r="AV220" s="169"/>
      <c r="AW220" s="118"/>
      <c r="AX220" s="190"/>
      <c r="AY220" s="48"/>
      <c r="BA220" s="169"/>
      <c r="BB220" s="18"/>
      <c r="BC220" s="18"/>
      <c r="BD220" s="48"/>
      <c r="BE220" s="192"/>
      <c r="BF220" s="76">
        <f t="shared" si="11"/>
        <v>45040</v>
      </c>
      <c r="BG220" s="114" t="str">
        <f t="shared" si="12"/>
        <v>RUN-ABRM_2023-04-24_RFR-219</v>
      </c>
      <c r="BH220" s="83">
        <f t="shared" si="13"/>
        <v>12</v>
      </c>
      <c r="BI220" s="83">
        <f t="shared" si="14"/>
        <v>10</v>
      </c>
      <c r="BJ220" s="83">
        <f t="shared" si="15"/>
        <v>10</v>
      </c>
      <c r="BK220" s="83">
        <f t="shared" si="16"/>
        <v>0</v>
      </c>
      <c r="BL220" s="200">
        <f>IFNA(IF(VLOOKUP(FLOOR($B220,1),'APS Tubes by Date IMPORT'!$B$2:$J259,1,FALSE)=FLOOR($BL219,1),IFERROR(0/0,""),VLOOKUP(FLOOR($B220,1),'APS Tubes by Date IMPORT'!$B$2:$J259,1,FALSE)),"")</f>
        <v>45040</v>
      </c>
      <c r="BM220" s="83">
        <f>IF(ISBLANK($BL220),IFERROR(0/0,""),VLOOKUP(FLOOR($B220,1),'APS Tubes by Date IMPORT'!$B$2:$J259,2,FALSE))</f>
        <v>9</v>
      </c>
      <c r="BN220" s="114"/>
      <c r="BO220" s="83" t="str">
        <f>VLOOKUP(FLOOR($B220,1),'APS Tubes by Date IMPORT'!$B220:$I259,6,FALSE)</f>
        <v>#N/A</v>
      </c>
      <c r="BP220" s="83">
        <v>7.0</v>
      </c>
      <c r="BQ220" s="193">
        <f t="shared" si="17"/>
        <v>-2</v>
      </c>
      <c r="BR220" s="131">
        <v>3.0</v>
      </c>
      <c r="BS220" s="76" t="b">
        <f t="shared" si="18"/>
        <v>1</v>
      </c>
      <c r="BT220" s="194" t="str">
        <f t="shared" si="19"/>
        <v>Delete NULL</v>
      </c>
      <c r="BU220" s="256"/>
      <c r="BV220" s="256"/>
      <c r="BW220" s="256"/>
      <c r="BX220" s="256"/>
    </row>
    <row r="221">
      <c r="A221" s="18" t="str">
        <f>CONCATENATE("RUN-",'Process Ref'!$A$1,"_",TEXT(U221,"YYYY-MM-DD"),"_RFR-",TEXT(AR221,"000"),IF(EXACT(W221,"Initial"),"",CONCATENATE("_",W221)))</f>
        <v>RUN-ABRM_2023-04-24_RFR-220_Re-run</v>
      </c>
      <c r="B221" s="251">
        <v>45040.416893622685</v>
      </c>
      <c r="C221" s="92"/>
      <c r="D221" s="92" t="s">
        <v>313</v>
      </c>
      <c r="E221" s="131">
        <v>5.0</v>
      </c>
      <c r="F221" s="92" t="s">
        <v>1251</v>
      </c>
      <c r="G221" s="252" t="s">
        <v>1255</v>
      </c>
      <c r="H221" s="252" t="s">
        <v>1256</v>
      </c>
      <c r="I221" s="252" t="s">
        <v>1257</v>
      </c>
      <c r="J221" s="55"/>
      <c r="K221" s="202"/>
      <c r="L221" s="246"/>
      <c r="M221" s="174"/>
      <c r="N221" s="174"/>
      <c r="O221" s="210" t="s">
        <v>1258</v>
      </c>
      <c r="P221" s="118" t="b">
        <v>0</v>
      </c>
      <c r="Q221" s="118" t="b">
        <v>0</v>
      </c>
      <c r="R221" s="55"/>
      <c r="S221" s="118" t="b">
        <v>0</v>
      </c>
      <c r="T221" s="177" t="b">
        <v>1</v>
      </c>
      <c r="U221" s="178">
        <v>45040.0</v>
      </c>
      <c r="V221" s="179">
        <v>0.4708333333333333</v>
      </c>
      <c r="W221" s="110" t="s">
        <v>339</v>
      </c>
      <c r="X221" s="180"/>
      <c r="Y221" s="118" t="b">
        <v>0</v>
      </c>
      <c r="Z221" s="169">
        <v>5.0</v>
      </c>
      <c r="AA221" s="196">
        <f t="shared" si="1"/>
        <v>0</v>
      </c>
      <c r="AB221" s="197" t="b">
        <f t="shared" si="2"/>
        <v>1</v>
      </c>
      <c r="AC221" s="169">
        <v>3.0</v>
      </c>
      <c r="AD221" s="169">
        <v>0.0</v>
      </c>
      <c r="AE221" s="169">
        <v>0.0</v>
      </c>
      <c r="AF221" s="169">
        <v>0.0</v>
      </c>
      <c r="AG221" s="169">
        <v>0.0</v>
      </c>
      <c r="AH221" s="169">
        <v>0.0</v>
      </c>
      <c r="AI221" s="169">
        <v>0.0</v>
      </c>
      <c r="AJ221" s="182" t="b">
        <v>0</v>
      </c>
      <c r="AK221" s="183">
        <v>1.0</v>
      </c>
      <c r="AL221" s="169">
        <v>0.0</v>
      </c>
      <c r="AM221" s="172" t="str">
        <f t="shared" si="56"/>
        <v/>
      </c>
      <c r="AN221" s="198" t="str">
        <f>IFNA(VLOOKUP($A221,'Tube Reactions'!$J$2:$K259,2,FALSE),"")</f>
        <v/>
      </c>
      <c r="AO221" s="199" t="str">
        <f t="shared" si="20"/>
        <v/>
      </c>
      <c r="AP221" s="186" t="str">
        <f t="shared" si="36"/>
        <v/>
      </c>
      <c r="AQ221" s="187" t="b">
        <f t="shared" si="5"/>
        <v>1</v>
      </c>
      <c r="AR221" s="188">
        <v>220.0</v>
      </c>
      <c r="AS221" s="189"/>
      <c r="AT221" s="55"/>
      <c r="AU221" s="110" t="s">
        <v>1206</v>
      </c>
      <c r="AV221" s="169"/>
      <c r="AW221" s="118"/>
      <c r="AX221" s="190"/>
      <c r="AY221" s="48"/>
      <c r="BA221" s="169"/>
      <c r="BB221" s="18"/>
      <c r="BC221" s="18"/>
      <c r="BD221" s="48"/>
      <c r="BE221" s="192"/>
      <c r="BF221" s="76" t="str">
        <f t="shared" si="11"/>
        <v/>
      </c>
      <c r="BG221" s="114" t="str">
        <f t="shared" si="12"/>
        <v/>
      </c>
      <c r="BH221" s="83" t="str">
        <f t="shared" si="13"/>
        <v/>
      </c>
      <c r="BI221" s="83" t="str">
        <f t="shared" si="14"/>
        <v/>
      </c>
      <c r="BJ221" s="83" t="str">
        <f t="shared" si="15"/>
        <v/>
      </c>
      <c r="BK221" s="83" t="str">
        <f t="shared" si="16"/>
        <v/>
      </c>
      <c r="BL221" s="200" t="str">
        <f>IFNA(IF(VLOOKUP(FLOOR($B221,1),'APS Tubes by Date IMPORT'!$B$2:$J259,1,FALSE)=FLOOR($BL220,1),IFERROR(0/0,""),VLOOKUP(FLOOR($B221,1),'APS Tubes by Date IMPORT'!$B$2:$J259,1,FALSE)),"")</f>
        <v/>
      </c>
      <c r="BM221" s="83" t="str">
        <f>IF(ISBLANK($BL221),IFERROR(0/0,""),VLOOKUP(FLOOR($B221,1),'APS Tubes by Date IMPORT'!$B$2:$J259,2,FALSE))</f>
        <v/>
      </c>
      <c r="BN221" s="114"/>
      <c r="BO221" s="83" t="str">
        <f>VLOOKUP(FLOOR($B221,1),'APS Tubes by Date IMPORT'!$B221:$I259,6,FALSE)</f>
        <v>#N/A</v>
      </c>
      <c r="BP221" s="83">
        <v>7.0</v>
      </c>
      <c r="BQ221" s="193">
        <f t="shared" si="17"/>
        <v>7</v>
      </c>
      <c r="BR221" s="131">
        <v>3.0</v>
      </c>
      <c r="BS221" s="76" t="b">
        <f t="shared" si="18"/>
        <v>1</v>
      </c>
      <c r="BT221" s="194" t="str">
        <f t="shared" si="19"/>
        <v>Delete NULL</v>
      </c>
      <c r="BU221" s="256"/>
      <c r="BV221" s="256"/>
      <c r="BW221" s="256"/>
      <c r="BX221" s="256"/>
    </row>
    <row r="222">
      <c r="A222" s="18" t="str">
        <f>CONCATENATE("RUN-",'Process Ref'!$A$1,"_",TEXT(U222,"YYYY-MM-DD"),"_RFR-",TEXT(AR222,"000"),IF(EXACT(W222,"Initial"),"",CONCATENATE("_",W222)))</f>
        <v>RUN-ABRM_2023-04-28_RFR-221</v>
      </c>
      <c r="B222" s="251">
        <v>45044.41142427083</v>
      </c>
      <c r="C222" s="92"/>
      <c r="D222" s="92" t="s">
        <v>313</v>
      </c>
      <c r="E222" s="131">
        <v>9.0</v>
      </c>
      <c r="F222" s="92" t="s">
        <v>1259</v>
      </c>
      <c r="G222" s="252" t="s">
        <v>1260</v>
      </c>
      <c r="H222" s="252" t="s">
        <v>1261</v>
      </c>
      <c r="I222" s="252" t="s">
        <v>1262</v>
      </c>
      <c r="J222" s="55"/>
      <c r="K222" s="202"/>
      <c r="L222" s="246"/>
      <c r="M222" s="174"/>
      <c r="N222" s="209">
        <v>2.1</v>
      </c>
      <c r="O222" s="210" t="s">
        <v>1263</v>
      </c>
      <c r="P222" s="118" t="b">
        <v>1</v>
      </c>
      <c r="Q222" s="118" t="b">
        <v>0</v>
      </c>
      <c r="R222" s="55"/>
      <c r="S222" s="118" t="b">
        <v>0</v>
      </c>
      <c r="T222" s="177" t="b">
        <v>1</v>
      </c>
      <c r="U222" s="178">
        <v>45044.0</v>
      </c>
      <c r="V222" s="179">
        <v>0.4340277777777778</v>
      </c>
      <c r="W222" s="110" t="s">
        <v>320</v>
      </c>
      <c r="X222" s="180"/>
      <c r="Y222" s="118" t="b">
        <v>0</v>
      </c>
      <c r="Z222" s="169">
        <v>9.0</v>
      </c>
      <c r="AA222" s="196">
        <f t="shared" si="1"/>
        <v>0</v>
      </c>
      <c r="AB222" s="197" t="b">
        <f t="shared" si="2"/>
        <v>1</v>
      </c>
      <c r="AC222" s="169">
        <v>7.0</v>
      </c>
      <c r="AD222" s="169">
        <v>0.0</v>
      </c>
      <c r="AE222" s="169">
        <v>0.0</v>
      </c>
      <c r="AF222" s="169">
        <v>0.0</v>
      </c>
      <c r="AG222" s="169">
        <v>0.0</v>
      </c>
      <c r="AH222" s="169">
        <v>0.0</v>
      </c>
      <c r="AI222" s="169">
        <v>0.0</v>
      </c>
      <c r="AJ222" s="182" t="b">
        <v>0</v>
      </c>
      <c r="AK222" s="183">
        <v>7.0</v>
      </c>
      <c r="AL222" s="169">
        <v>0.0</v>
      </c>
      <c r="AM222" s="172" t="str">
        <f t="shared" si="56"/>
        <v>Audit</v>
      </c>
      <c r="AN222" s="198" t="str">
        <f>IFNA(VLOOKUP($A222,'Tube Reactions'!$J$2:$K259,2,FALSE),"")</f>
        <v/>
      </c>
      <c r="AO222" s="199" t="str">
        <f t="shared" si="20"/>
        <v>NOT EQUAL</v>
      </c>
      <c r="AP222" s="186" t="str">
        <f t="shared" si="36"/>
        <v/>
      </c>
      <c r="AQ222" s="187" t="b">
        <f t="shared" si="5"/>
        <v>1</v>
      </c>
      <c r="AR222" s="188">
        <v>221.0</v>
      </c>
      <c r="AS222" s="189"/>
      <c r="AT222" s="55"/>
      <c r="AU222" s="110" t="s">
        <v>1206</v>
      </c>
      <c r="AV222" s="169"/>
      <c r="AW222" s="118"/>
      <c r="AX222" s="190"/>
      <c r="AY222" s="48"/>
      <c r="BA222" s="169"/>
      <c r="BB222" s="18"/>
      <c r="BC222" s="18"/>
      <c r="BD222" s="48"/>
      <c r="BE222" s="192"/>
      <c r="BF222" s="76">
        <f t="shared" si="11"/>
        <v>45044</v>
      </c>
      <c r="BG222" s="114" t="str">
        <f t="shared" si="12"/>
        <v>RUN-ABRM_2023-04-28_RFR-221</v>
      </c>
      <c r="BH222" s="83">
        <f t="shared" si="13"/>
        <v>9</v>
      </c>
      <c r="BI222" s="83">
        <f t="shared" si="14"/>
        <v>7</v>
      </c>
      <c r="BJ222" s="83">
        <f t="shared" si="15"/>
        <v>7</v>
      </c>
      <c r="BK222" s="83">
        <f t="shared" si="16"/>
        <v>0</v>
      </c>
      <c r="BL222" s="200">
        <f>IFNA(IF(VLOOKUP(FLOOR($B222,1),'APS Tubes by Date IMPORT'!$B$2:$J259,1,FALSE)=FLOOR($BL221,1),IFERROR(0/0,""),VLOOKUP(FLOOR($B222,1),'APS Tubes by Date IMPORT'!$B$2:$J259,1,FALSE)),"")</f>
        <v>45044</v>
      </c>
      <c r="BM222" s="83">
        <f>IF(ISBLANK($BL222),IFERROR(0/0,""),VLOOKUP(FLOOR($B222,1),'APS Tubes by Date IMPORT'!$B$2:$J259,2,FALSE))</f>
        <v>5</v>
      </c>
      <c r="BN222" s="114"/>
      <c r="BO222" s="83" t="str">
        <f>VLOOKUP(FLOOR($B222,1),'APS Tubes by Date IMPORT'!$B222:$I259,6,FALSE)</f>
        <v>#N/A</v>
      </c>
      <c r="BP222" s="83">
        <v>7.0</v>
      </c>
      <c r="BQ222" s="193">
        <f t="shared" si="17"/>
        <v>2</v>
      </c>
      <c r="BR222" s="131">
        <v>3.0</v>
      </c>
      <c r="BS222" s="76" t="b">
        <f t="shared" si="18"/>
        <v>1</v>
      </c>
      <c r="BT222" s="194" t="str">
        <f t="shared" si="19"/>
        <v>Delete NULL</v>
      </c>
      <c r="BU222" s="256"/>
      <c r="BV222" s="256"/>
      <c r="BW222" s="256"/>
      <c r="BX222" s="256"/>
    </row>
    <row r="223">
      <c r="A223" s="18" t="str">
        <f>CONCATENATE("RUN-",'Process Ref'!$A$1,"_",TEXT(U223,"YYYY-MM-DD"),"_RFR-",TEXT(AR223,"000"),IF(EXACT(W223,"Initial"),"",CONCATENATE("_",W223)))</f>
        <v>RUN-ABRM_2023-04-28_RFR-222_Re-run</v>
      </c>
      <c r="B223" s="251">
        <v>45044.41893451389</v>
      </c>
      <c r="C223" s="92"/>
      <c r="D223" s="92" t="s">
        <v>313</v>
      </c>
      <c r="E223" s="131">
        <v>5.0</v>
      </c>
      <c r="F223" s="257">
        <v>230428.0</v>
      </c>
      <c r="G223" s="252" t="s">
        <v>1264</v>
      </c>
      <c r="H223" s="252" t="s">
        <v>1265</v>
      </c>
      <c r="I223" s="252" t="s">
        <v>1266</v>
      </c>
      <c r="J223" s="55"/>
      <c r="K223" s="202"/>
      <c r="L223" s="246"/>
      <c r="M223" s="174"/>
      <c r="N223" s="174"/>
      <c r="O223" s="175"/>
      <c r="P223" s="118" t="b">
        <v>0</v>
      </c>
      <c r="Q223" s="118" t="b">
        <v>0</v>
      </c>
      <c r="R223" s="55"/>
      <c r="S223" s="118" t="b">
        <v>0</v>
      </c>
      <c r="T223" s="177" t="b">
        <v>1</v>
      </c>
      <c r="U223" s="178">
        <v>45044.0</v>
      </c>
      <c r="V223" s="179">
        <v>0.4756944444444444</v>
      </c>
      <c r="W223" s="110" t="s">
        <v>339</v>
      </c>
      <c r="X223" s="180"/>
      <c r="Y223" s="118" t="b">
        <v>0</v>
      </c>
      <c r="Z223" s="169">
        <v>5.0</v>
      </c>
      <c r="AA223" s="196">
        <f t="shared" si="1"/>
        <v>0</v>
      </c>
      <c r="AB223" s="197" t="b">
        <f t="shared" si="2"/>
        <v>1</v>
      </c>
      <c r="AC223" s="169">
        <v>3.0</v>
      </c>
      <c r="AD223" s="169">
        <v>0.0</v>
      </c>
      <c r="AE223" s="169">
        <v>0.0</v>
      </c>
      <c r="AF223" s="169">
        <v>0.0</v>
      </c>
      <c r="AG223" s="169">
        <v>0.0</v>
      </c>
      <c r="AH223" s="169">
        <v>0.0</v>
      </c>
      <c r="AI223" s="169">
        <v>0.0</v>
      </c>
      <c r="AJ223" s="182" t="b">
        <v>0</v>
      </c>
      <c r="AK223" s="183">
        <v>1.0</v>
      </c>
      <c r="AL223" s="169">
        <v>0.0</v>
      </c>
      <c r="AM223" s="172" t="str">
        <f t="shared" si="56"/>
        <v/>
      </c>
      <c r="AN223" s="198" t="str">
        <f>IFNA(VLOOKUP($A223,'Tube Reactions'!$J$2:$K259,2,FALSE),"")</f>
        <v/>
      </c>
      <c r="AO223" s="199" t="str">
        <f t="shared" si="20"/>
        <v/>
      </c>
      <c r="AP223" s="186" t="str">
        <f t="shared" si="36"/>
        <v/>
      </c>
      <c r="AQ223" s="187" t="b">
        <f t="shared" si="5"/>
        <v>1</v>
      </c>
      <c r="AR223" s="188">
        <v>222.0</v>
      </c>
      <c r="AS223" s="189"/>
      <c r="AT223" s="55"/>
      <c r="AU223" s="110" t="s">
        <v>1206</v>
      </c>
      <c r="AV223" s="169"/>
      <c r="AW223" s="118"/>
      <c r="AX223" s="190"/>
      <c r="AY223" s="48"/>
      <c r="BA223" s="169"/>
      <c r="BB223" s="18"/>
      <c r="BC223" s="18"/>
      <c r="BD223" s="48"/>
      <c r="BE223" s="192"/>
      <c r="BF223" s="76" t="str">
        <f t="shared" si="11"/>
        <v/>
      </c>
      <c r="BG223" s="114" t="str">
        <f t="shared" si="12"/>
        <v/>
      </c>
      <c r="BH223" s="83" t="str">
        <f t="shared" si="13"/>
        <v/>
      </c>
      <c r="BI223" s="83" t="str">
        <f t="shared" si="14"/>
        <v/>
      </c>
      <c r="BJ223" s="83" t="str">
        <f t="shared" si="15"/>
        <v/>
      </c>
      <c r="BK223" s="83" t="str">
        <f t="shared" si="16"/>
        <v/>
      </c>
      <c r="BL223" s="200" t="str">
        <f>IFNA(IF(VLOOKUP(FLOOR($B223,1),'APS Tubes by Date IMPORT'!$B$2:$J259,1,FALSE)=FLOOR($BL222,1),IFERROR(0/0,""),VLOOKUP(FLOOR($B223,1),'APS Tubes by Date IMPORT'!$B$2:$J259,1,FALSE)),"")</f>
        <v/>
      </c>
      <c r="BM223" s="83" t="str">
        <f>IF(ISBLANK($BL223),IFERROR(0/0,""),VLOOKUP(FLOOR($B223,1),'APS Tubes by Date IMPORT'!$B$2:$J259,2,FALSE))</f>
        <v/>
      </c>
      <c r="BN223" s="114"/>
      <c r="BO223" s="83" t="str">
        <f>VLOOKUP(FLOOR($B223,1),'APS Tubes by Date IMPORT'!$B223:$I259,6,FALSE)</f>
        <v>#N/A</v>
      </c>
      <c r="BP223" s="83">
        <v>7.0</v>
      </c>
      <c r="BQ223" s="193">
        <f t="shared" si="17"/>
        <v>7</v>
      </c>
      <c r="BR223" s="131">
        <v>3.0</v>
      </c>
      <c r="BS223" s="76" t="b">
        <f t="shared" si="18"/>
        <v>1</v>
      </c>
      <c r="BT223" s="194" t="str">
        <f t="shared" si="19"/>
        <v>Delete NULL</v>
      </c>
      <c r="BU223" s="256"/>
      <c r="BV223" s="256"/>
      <c r="BW223" s="256"/>
      <c r="BX223" s="256"/>
    </row>
    <row r="224">
      <c r="A224" s="18" t="str">
        <f>CONCATENATE("RUN-",'Process Ref'!$A$1,"_",TEXT(U224,"YYYY-MM-DD"),"_RFR-",TEXT(AR224,"000"),IF(EXACT(W224,"Initial"),"",CONCATENATE("_",W224)))</f>
        <v>RUN-ABRM_2023-05-08_RFR-223</v>
      </c>
      <c r="B224" s="251">
        <v>45054.38629285879</v>
      </c>
      <c r="C224" s="92"/>
      <c r="D224" s="92" t="s">
        <v>313</v>
      </c>
      <c r="E224" s="131">
        <v>9.0</v>
      </c>
      <c r="F224" s="92" t="s">
        <v>1267</v>
      </c>
      <c r="G224" s="252" t="s">
        <v>1268</v>
      </c>
      <c r="H224" s="252" t="s">
        <v>1269</v>
      </c>
      <c r="I224" s="252" t="s">
        <v>1270</v>
      </c>
      <c r="J224" s="55"/>
      <c r="K224" s="202"/>
      <c r="L224" s="246"/>
      <c r="M224" s="174"/>
      <c r="N224" s="174"/>
      <c r="O224" s="175"/>
      <c r="P224" s="118" t="b">
        <v>0</v>
      </c>
      <c r="Q224" s="118" t="b">
        <v>0</v>
      </c>
      <c r="R224" s="55"/>
      <c r="S224" s="118" t="b">
        <v>0</v>
      </c>
      <c r="T224" s="177" t="b">
        <v>0</v>
      </c>
      <c r="U224" s="178">
        <v>45054.0</v>
      </c>
      <c r="V224" s="179">
        <v>0.3958333333333333</v>
      </c>
      <c r="W224" s="110" t="s">
        <v>320</v>
      </c>
      <c r="X224" s="180"/>
      <c r="Y224" s="118" t="b">
        <v>0</v>
      </c>
      <c r="Z224" s="169">
        <v>9.0</v>
      </c>
      <c r="AA224" s="196">
        <f t="shared" si="1"/>
        <v>0</v>
      </c>
      <c r="AB224" s="197" t="b">
        <f t="shared" si="2"/>
        <v>1</v>
      </c>
      <c r="AC224" s="169">
        <v>7.0</v>
      </c>
      <c r="AD224" s="169">
        <v>0.0</v>
      </c>
      <c r="AE224" s="169">
        <v>0.0</v>
      </c>
      <c r="AF224" s="169">
        <v>0.0</v>
      </c>
      <c r="AG224" s="169">
        <v>0.0</v>
      </c>
      <c r="AH224" s="169">
        <v>0.0</v>
      </c>
      <c r="AI224" s="169">
        <v>0.0</v>
      </c>
      <c r="AJ224" s="182" t="b">
        <v>0</v>
      </c>
      <c r="AK224" s="183">
        <v>7.0</v>
      </c>
      <c r="AL224" s="169">
        <v>0.0</v>
      </c>
      <c r="AM224" s="172" t="str">
        <f t="shared" si="56"/>
        <v>Audit</v>
      </c>
      <c r="AN224" s="198" t="str">
        <f>IFNA(VLOOKUP($A224,'Tube Reactions'!$J$2:$K259,2,FALSE),"")</f>
        <v/>
      </c>
      <c r="AO224" s="199" t="str">
        <f t="shared" si="20"/>
        <v>NOT EQUAL</v>
      </c>
      <c r="AP224" s="186" t="str">
        <f t="shared" si="36"/>
        <v/>
      </c>
      <c r="AQ224" s="187" t="b">
        <f t="shared" si="5"/>
        <v>1</v>
      </c>
      <c r="AR224" s="188">
        <v>223.0</v>
      </c>
      <c r="AS224" s="189"/>
      <c r="AT224" s="55"/>
      <c r="AU224" s="110" t="s">
        <v>1206</v>
      </c>
      <c r="AV224" s="169"/>
      <c r="AW224" s="118"/>
      <c r="AX224" s="190"/>
      <c r="AY224" s="48"/>
      <c r="BA224" s="169"/>
      <c r="BB224" s="18"/>
      <c r="BC224" s="18"/>
      <c r="BD224" s="48"/>
      <c r="BE224" s="192"/>
      <c r="BF224" s="76">
        <f t="shared" si="11"/>
        <v>45054</v>
      </c>
      <c r="BG224" s="114" t="str">
        <f t="shared" si="12"/>
        <v>RUN-ABRM_2023-05-08_RFR-223</v>
      </c>
      <c r="BH224" s="83">
        <f t="shared" si="13"/>
        <v>9</v>
      </c>
      <c r="BI224" s="83">
        <f t="shared" si="14"/>
        <v>7</v>
      </c>
      <c r="BJ224" s="83">
        <f t="shared" si="15"/>
        <v>7</v>
      </c>
      <c r="BK224" s="83">
        <f t="shared" si="16"/>
        <v>0</v>
      </c>
      <c r="BL224" s="200">
        <f>IFNA(IF(VLOOKUP(FLOOR($B224,1),'APS Tubes by Date IMPORT'!$B$2:$J259,1,FALSE)=FLOOR($BL223,1),IFERROR(0/0,""),VLOOKUP(FLOOR($B224,1),'APS Tubes by Date IMPORT'!$B$2:$J259,1,FALSE)),"")</f>
        <v>45054</v>
      </c>
      <c r="BM224" s="83">
        <f>IF(ISBLANK($BL224),IFERROR(0/0,""),VLOOKUP(FLOOR($B224,1),'APS Tubes by Date IMPORT'!$B$2:$J259,2,FALSE))</f>
        <v>7</v>
      </c>
      <c r="BN224" s="114"/>
      <c r="BO224" s="83" t="str">
        <f>VLOOKUP(FLOOR($B224,1),'APS Tubes by Date IMPORT'!$B224:$I259,6,FALSE)</f>
        <v>#N/A</v>
      </c>
      <c r="BP224" s="83">
        <v>7.0</v>
      </c>
      <c r="BQ224" s="193">
        <f t="shared" si="17"/>
        <v>0</v>
      </c>
      <c r="BR224" s="131">
        <v>3.0</v>
      </c>
      <c r="BS224" s="76" t="b">
        <f t="shared" si="18"/>
        <v>1</v>
      </c>
      <c r="BT224" s="194" t="str">
        <f t="shared" si="19"/>
        <v>Delete NULL</v>
      </c>
      <c r="BU224" s="256"/>
      <c r="BV224" s="256"/>
      <c r="BW224" s="256"/>
      <c r="BX224" s="256"/>
    </row>
    <row r="225">
      <c r="A225" s="18" t="str">
        <f>CONCATENATE("RUN-",'Process Ref'!$A$1,"_",TEXT(U225,"YYYY-MM-DD"),"_RFR-",TEXT(AR225,"000"),IF(EXACT(W225,"Initial"),"",CONCATENATE("_",W225)))</f>
        <v>RUN-ABRM_2023-05-11_RFR-224</v>
      </c>
      <c r="B225" s="251">
        <v>45057.39304886574</v>
      </c>
      <c r="C225" s="92"/>
      <c r="D225" s="92" t="s">
        <v>313</v>
      </c>
      <c r="E225" s="131">
        <v>10.0</v>
      </c>
      <c r="F225" s="92" t="s">
        <v>1271</v>
      </c>
      <c r="G225" s="252" t="s">
        <v>1272</v>
      </c>
      <c r="H225" s="252" t="s">
        <v>1273</v>
      </c>
      <c r="I225" s="252" t="s">
        <v>1274</v>
      </c>
      <c r="J225" s="55"/>
      <c r="K225" s="202"/>
      <c r="L225" s="246"/>
      <c r="M225" s="174"/>
      <c r="N225" s="209">
        <v>2.1</v>
      </c>
      <c r="O225" s="210" t="s">
        <v>1263</v>
      </c>
      <c r="P225" s="118" t="b">
        <v>1</v>
      </c>
      <c r="Q225" s="118" t="b">
        <v>0</v>
      </c>
      <c r="R225" s="55"/>
      <c r="S225" s="118" t="b">
        <v>0</v>
      </c>
      <c r="T225" s="177" t="b">
        <v>0</v>
      </c>
      <c r="U225" s="178">
        <v>45057.0</v>
      </c>
      <c r="V225" s="179">
        <v>0.4270833333333333</v>
      </c>
      <c r="W225" s="110" t="s">
        <v>320</v>
      </c>
      <c r="X225" s="180"/>
      <c r="Y225" s="118" t="b">
        <v>0</v>
      </c>
      <c r="Z225" s="169">
        <v>8.0</v>
      </c>
      <c r="AA225" s="196">
        <f t="shared" si="1"/>
        <v>-2</v>
      </c>
      <c r="AB225" s="197" t="b">
        <f t="shared" si="2"/>
        <v>1</v>
      </c>
      <c r="AC225" s="169">
        <v>6.0</v>
      </c>
      <c r="AD225" s="169">
        <v>0.0</v>
      </c>
      <c r="AE225" s="169">
        <v>0.0</v>
      </c>
      <c r="AF225" s="169">
        <v>0.0</v>
      </c>
      <c r="AG225" s="169">
        <v>0.0</v>
      </c>
      <c r="AH225" s="169">
        <v>0.0</v>
      </c>
      <c r="AI225" s="169">
        <v>0.0</v>
      </c>
      <c r="AJ225" s="182" t="b">
        <v>0</v>
      </c>
      <c r="AK225" s="183">
        <v>6.0</v>
      </c>
      <c r="AL225" s="169">
        <v>0.0</v>
      </c>
      <c r="AM225" s="172" t="str">
        <f t="shared" si="56"/>
        <v>Audit</v>
      </c>
      <c r="AN225" s="198" t="str">
        <f>IFNA(VLOOKUP($A225,'Tube Reactions'!$J$2:$K259,2,FALSE),"")</f>
        <v/>
      </c>
      <c r="AO225" s="199" t="str">
        <f t="shared" si="20"/>
        <v>NOT EQUAL</v>
      </c>
      <c r="AP225" s="186" t="str">
        <f t="shared" si="36"/>
        <v/>
      </c>
      <c r="AQ225" s="187" t="b">
        <f t="shared" si="5"/>
        <v>1</v>
      </c>
      <c r="AR225" s="188">
        <v>224.0</v>
      </c>
      <c r="AS225" s="189"/>
      <c r="AT225" s="55"/>
      <c r="AU225" s="110" t="s">
        <v>1206</v>
      </c>
      <c r="AV225" s="169"/>
      <c r="AW225" s="118"/>
      <c r="AX225" s="190"/>
      <c r="AY225" s="48"/>
      <c r="BA225" s="169"/>
      <c r="BB225" s="18"/>
      <c r="BC225" s="18"/>
      <c r="BD225" s="48"/>
      <c r="BE225" s="192"/>
      <c r="BF225" s="76">
        <f t="shared" si="11"/>
        <v>45057</v>
      </c>
      <c r="BG225" s="114" t="str">
        <f t="shared" si="12"/>
        <v>RUN-ABRM_2023-05-11_RFR-224</v>
      </c>
      <c r="BH225" s="83">
        <f t="shared" si="13"/>
        <v>10</v>
      </c>
      <c r="BI225" s="83">
        <f t="shared" si="14"/>
        <v>6</v>
      </c>
      <c r="BJ225" s="83">
        <f t="shared" si="15"/>
        <v>6</v>
      </c>
      <c r="BK225" s="83">
        <f t="shared" si="16"/>
        <v>0</v>
      </c>
      <c r="BL225" s="200">
        <f>IFNA(IF(VLOOKUP(FLOOR($B225,1),'APS Tubes by Date IMPORT'!$B$2:$J259,1,FALSE)=FLOOR($BL224,1),IFERROR(0/0,""),VLOOKUP(FLOOR($B225,1),'APS Tubes by Date IMPORT'!$B$2:$J259,1,FALSE)),"")</f>
        <v>45057</v>
      </c>
      <c r="BM225" s="83">
        <f>IF(ISBLANK($BL225),IFERROR(0/0,""),VLOOKUP(FLOOR($B225,1),'APS Tubes by Date IMPORT'!$B$2:$J259,2,FALSE))</f>
        <v>6</v>
      </c>
      <c r="BN225" s="114"/>
      <c r="BO225" s="83" t="str">
        <f>VLOOKUP(FLOOR($B225,1),'APS Tubes by Date IMPORT'!$B225:$I259,6,FALSE)</f>
        <v>#N/A</v>
      </c>
      <c r="BP225" s="83">
        <v>7.0</v>
      </c>
      <c r="BQ225" s="193">
        <f t="shared" si="17"/>
        <v>1</v>
      </c>
      <c r="BR225" s="131">
        <v>3.0</v>
      </c>
      <c r="BS225" s="76" t="b">
        <f t="shared" si="18"/>
        <v>1</v>
      </c>
      <c r="BT225" s="194" t="str">
        <f t="shared" si="19"/>
        <v>Delete NULL</v>
      </c>
      <c r="BU225" s="256"/>
      <c r="BV225" s="256"/>
      <c r="BW225" s="256"/>
      <c r="BX225" s="256"/>
    </row>
    <row r="226">
      <c r="A226" s="18" t="str">
        <f>CONCATENATE("RUN-",'Process Ref'!$A$1,"_",TEXT(U226,"YYYY-MM-DD"),"_RFR-",TEXT(AR226,"000"),IF(EXACT(W226,"Initial"),"",CONCATENATE("_",W226)))</f>
        <v>RUN-ABRM_2023-05-17_RFR-225</v>
      </c>
      <c r="B226" s="300">
        <v>45064.31166384259</v>
      </c>
      <c r="C226" s="92"/>
      <c r="D226" s="92" t="s">
        <v>313</v>
      </c>
      <c r="E226" s="131">
        <v>9.0</v>
      </c>
      <c r="F226" s="92" t="s">
        <v>1275</v>
      </c>
      <c r="G226" s="252" t="s">
        <v>1276</v>
      </c>
      <c r="H226" s="252" t="s">
        <v>1277</v>
      </c>
      <c r="I226" s="252" t="s">
        <v>1278</v>
      </c>
      <c r="J226" s="55"/>
      <c r="K226" s="202"/>
      <c r="L226" s="246"/>
      <c r="M226" s="174"/>
      <c r="N226" s="174"/>
      <c r="O226" s="175"/>
      <c r="P226" s="118" t="b">
        <v>0</v>
      </c>
      <c r="Q226" s="118" t="b">
        <v>0</v>
      </c>
      <c r="R226" s="55"/>
      <c r="S226" s="118" t="b">
        <v>0</v>
      </c>
      <c r="T226" s="177" t="b">
        <v>0</v>
      </c>
      <c r="U226" s="301">
        <v>45063.0</v>
      </c>
      <c r="V226" s="179">
        <v>0.4236111111111111</v>
      </c>
      <c r="W226" s="110" t="s">
        <v>320</v>
      </c>
      <c r="X226" s="180"/>
      <c r="Y226" s="118" t="b">
        <v>0</v>
      </c>
      <c r="Z226" s="169">
        <v>8.0</v>
      </c>
      <c r="AA226" s="196">
        <f t="shared" si="1"/>
        <v>-1</v>
      </c>
      <c r="AB226" s="197" t="b">
        <f t="shared" si="2"/>
        <v>1</v>
      </c>
      <c r="AC226" s="169">
        <v>6.0</v>
      </c>
      <c r="AD226" s="169">
        <v>0.0</v>
      </c>
      <c r="AE226" s="169">
        <v>0.0</v>
      </c>
      <c r="AF226" s="169">
        <v>0.0</v>
      </c>
      <c r="AG226" s="169">
        <v>0.0</v>
      </c>
      <c r="AH226" s="169">
        <v>0.0</v>
      </c>
      <c r="AI226" s="169">
        <v>0.0</v>
      </c>
      <c r="AJ226" s="182" t="b">
        <v>0</v>
      </c>
      <c r="AK226" s="183">
        <v>6.0</v>
      </c>
      <c r="AL226" s="169">
        <v>0.0</v>
      </c>
      <c r="AM226" s="172" t="str">
        <f t="shared" si="56"/>
        <v>Audit</v>
      </c>
      <c r="AN226" s="198" t="str">
        <f>IFNA(VLOOKUP($A226,'Tube Reactions'!$J$2:$K259,2,FALSE),"")</f>
        <v/>
      </c>
      <c r="AO226" s="199" t="str">
        <f t="shared" si="20"/>
        <v>NOT EQUAL</v>
      </c>
      <c r="AP226" s="186" t="str">
        <f t="shared" si="36"/>
        <v/>
      </c>
      <c r="AQ226" s="187" t="b">
        <f t="shared" si="5"/>
        <v>1</v>
      </c>
      <c r="AR226" s="188">
        <v>225.0</v>
      </c>
      <c r="AS226" s="189"/>
      <c r="AT226" s="55"/>
      <c r="AU226" s="110" t="s">
        <v>1206</v>
      </c>
      <c r="AV226" s="169"/>
      <c r="AW226" s="118"/>
      <c r="AX226" s="190"/>
      <c r="AY226" s="48"/>
      <c r="BA226" s="169"/>
      <c r="BB226" s="18"/>
      <c r="BC226" s="18"/>
      <c r="BD226" s="48"/>
      <c r="BE226" s="192"/>
      <c r="BF226" s="76">
        <f t="shared" si="11"/>
        <v>45063</v>
      </c>
      <c r="BG226" s="114" t="str">
        <f t="shared" si="12"/>
        <v>RUN-ABRM_2023-05-17_RFR-225</v>
      </c>
      <c r="BH226" s="83">
        <f t="shared" si="13"/>
        <v>9</v>
      </c>
      <c r="BI226" s="83">
        <f t="shared" si="14"/>
        <v>6</v>
      </c>
      <c r="BJ226" s="83">
        <f t="shared" si="15"/>
        <v>6</v>
      </c>
      <c r="BK226" s="83">
        <f t="shared" si="16"/>
        <v>0</v>
      </c>
      <c r="BL226" s="200">
        <f>IFNA(IF(VLOOKUP(FLOOR($B226,1),'APS Tubes by Date IMPORT'!$B$2:$J259,1,FALSE)=FLOOR($BL225,1),IFERROR(0/0,""),VLOOKUP(FLOOR($B226,1),'APS Tubes by Date IMPORT'!$B$2:$J259,1,FALSE)),"")</f>
        <v>45064</v>
      </c>
      <c r="BM226" s="83">
        <f>IF(ISBLANK($BL226),IFERROR(0/0,""),VLOOKUP(FLOOR($B226,1),'APS Tubes by Date IMPORT'!$B$2:$J259,2,FALSE))</f>
        <v>9</v>
      </c>
      <c r="BN226" s="114"/>
      <c r="BO226" s="83" t="str">
        <f>VLOOKUP(FLOOR($B226,1),'APS Tubes by Date IMPORT'!$B226:$I259,6,FALSE)</f>
        <v>#N/A</v>
      </c>
      <c r="BP226" s="83">
        <v>7.0</v>
      </c>
      <c r="BQ226" s="193">
        <f t="shared" si="17"/>
        <v>-2</v>
      </c>
      <c r="BR226" s="131">
        <v>3.0</v>
      </c>
      <c r="BS226" s="76" t="b">
        <f t="shared" si="18"/>
        <v>1</v>
      </c>
      <c r="BT226" s="194" t="str">
        <f t="shared" si="19"/>
        <v>Delete NULL</v>
      </c>
      <c r="BU226" s="256"/>
      <c r="BV226" s="256"/>
      <c r="BW226" s="256"/>
      <c r="BX226" s="256"/>
    </row>
    <row r="227">
      <c r="A227" s="18" t="str">
        <f>CONCATENATE("RUN-",'Process Ref'!$A$1,"_",TEXT(U227,"YYYY-MM-DD"),"_RFR-",TEXT(AR227,"000"),IF(EXACT(W227,"Initial"),"",CONCATENATE("_",W227)))</f>
        <v>RUN-ABRM_2023-05-18_RFR-226</v>
      </c>
      <c r="B227" s="251">
        <v>45064.395103414354</v>
      </c>
      <c r="C227" s="92"/>
      <c r="D227" s="92" t="s">
        <v>313</v>
      </c>
      <c r="E227" s="131">
        <v>11.0</v>
      </c>
      <c r="F227" s="92" t="s">
        <v>1279</v>
      </c>
      <c r="G227" s="252" t="s">
        <v>1280</v>
      </c>
      <c r="H227" s="252" t="s">
        <v>1281</v>
      </c>
      <c r="I227" s="252" t="s">
        <v>1282</v>
      </c>
      <c r="J227" s="55"/>
      <c r="K227" s="202"/>
      <c r="L227" s="246"/>
      <c r="M227" s="174"/>
      <c r="N227" s="174"/>
      <c r="O227" s="175"/>
      <c r="P227" s="118" t="b">
        <v>0</v>
      </c>
      <c r="Q227" s="118" t="b">
        <v>0</v>
      </c>
      <c r="R227" s="55"/>
      <c r="S227" s="118" t="b">
        <v>0</v>
      </c>
      <c r="T227" s="177" t="b">
        <v>0</v>
      </c>
      <c r="U227" s="178">
        <v>45064.0</v>
      </c>
      <c r="V227" s="179">
        <v>0.4305555555555556</v>
      </c>
      <c r="W227" s="110" t="s">
        <v>320</v>
      </c>
      <c r="X227" s="180"/>
      <c r="Y227" s="118" t="b">
        <v>0</v>
      </c>
      <c r="Z227" s="169"/>
      <c r="AA227" s="196">
        <f t="shared" si="1"/>
        <v>-11</v>
      </c>
      <c r="AB227" s="197" t="b">
        <f t="shared" si="2"/>
        <v>1</v>
      </c>
      <c r="AC227" s="169">
        <v>9.0</v>
      </c>
      <c r="AD227" s="169">
        <v>0.0</v>
      </c>
      <c r="AE227" s="169">
        <v>0.0</v>
      </c>
      <c r="AF227" s="169">
        <v>0.0</v>
      </c>
      <c r="AG227" s="169">
        <v>0.0</v>
      </c>
      <c r="AH227" s="169">
        <v>0.0</v>
      </c>
      <c r="AI227" s="169">
        <v>0.0</v>
      </c>
      <c r="AJ227" s="182" t="b">
        <v>0</v>
      </c>
      <c r="AK227" s="183">
        <v>9.0</v>
      </c>
      <c r="AL227" s="169">
        <v>0.0</v>
      </c>
      <c r="AM227" s="172" t="str">
        <f t="shared" si="56"/>
        <v>Audit</v>
      </c>
      <c r="AN227" s="198" t="str">
        <f>IFNA(VLOOKUP($A227,'Tube Reactions'!$J$2:$K259,2,FALSE),"")</f>
        <v/>
      </c>
      <c r="AO227" s="199" t="str">
        <f t="shared" si="20"/>
        <v>NOT EQUAL</v>
      </c>
      <c r="AP227" s="186" t="str">
        <f t="shared" si="36"/>
        <v/>
      </c>
      <c r="AQ227" s="187" t="b">
        <f t="shared" si="5"/>
        <v>1</v>
      </c>
      <c r="AR227" s="188">
        <v>226.0</v>
      </c>
      <c r="AS227" s="189"/>
      <c r="AT227" s="55"/>
      <c r="AU227" s="110" t="s">
        <v>1206</v>
      </c>
      <c r="AV227" s="169"/>
      <c r="AW227" s="118"/>
      <c r="AX227" s="190"/>
      <c r="AY227" s="48"/>
      <c r="BA227" s="169"/>
      <c r="BB227" s="18"/>
      <c r="BC227" s="18"/>
      <c r="BD227" s="48"/>
      <c r="BE227" s="192"/>
      <c r="BF227" s="76">
        <f t="shared" si="11"/>
        <v>45064</v>
      </c>
      <c r="BG227" s="114" t="str">
        <f t="shared" si="12"/>
        <v>RUN-ABRM_2023-05-18_RFR-226</v>
      </c>
      <c r="BH227" s="83">
        <f t="shared" si="13"/>
        <v>11</v>
      </c>
      <c r="BI227" s="83">
        <f t="shared" si="14"/>
        <v>9</v>
      </c>
      <c r="BJ227" s="83">
        <f t="shared" si="15"/>
        <v>9</v>
      </c>
      <c r="BK227" s="83">
        <f t="shared" si="16"/>
        <v>0</v>
      </c>
      <c r="BL227" s="200" t="str">
        <f>IFNA(IF(VLOOKUP(FLOOR($B227,1),'APS Tubes by Date IMPORT'!$B$2:$J259,1,FALSE)=FLOOR($BL226,1),IFERROR(0/0,""),VLOOKUP(FLOOR($B227,1),'APS Tubes by Date IMPORT'!$B$2:$J259,1,FALSE)),"")</f>
        <v/>
      </c>
      <c r="BM227" s="83" t="str">
        <f>IF(ISBLANK($BL227),IFERROR(0/0,""),VLOOKUP(FLOOR($B227,1),'APS Tubes by Date IMPORT'!$B$2:$J259,2,FALSE))</f>
        <v/>
      </c>
      <c r="BN227" s="114"/>
      <c r="BO227" s="83" t="str">
        <f>VLOOKUP(FLOOR($B227,1),'APS Tubes by Date IMPORT'!$B227:$I259,6,FALSE)</f>
        <v>#N/A</v>
      </c>
      <c r="BP227" s="83">
        <v>7.0</v>
      </c>
      <c r="BQ227" s="193">
        <f t="shared" si="17"/>
        <v>7</v>
      </c>
      <c r="BR227" s="131">
        <v>3.0</v>
      </c>
      <c r="BS227" s="76" t="b">
        <f t="shared" si="18"/>
        <v>1</v>
      </c>
      <c r="BT227" s="194" t="str">
        <f t="shared" si="19"/>
        <v>Delete NULL</v>
      </c>
      <c r="BU227" s="256"/>
      <c r="BV227" s="256"/>
      <c r="BW227" s="256"/>
      <c r="BX227" s="256"/>
    </row>
    <row r="228">
      <c r="A228" s="18" t="str">
        <f>CONCATENATE("RUN-",'Process Ref'!$A$1,"_",TEXT(U228,"YYYY-MM-DD"),"_RFR-",TEXT(AR228,"000"),IF(EXACT(W228,"Initial"),"",CONCATENATE("_",W228)))</f>
        <v>RUN-ABRM_2023-05-19_RFR-227</v>
      </c>
      <c r="B228" s="251">
        <v>45065.40360849537</v>
      </c>
      <c r="C228" s="92"/>
      <c r="D228" s="92" t="s">
        <v>313</v>
      </c>
      <c r="E228" s="131">
        <v>10.0</v>
      </c>
      <c r="F228" s="92" t="s">
        <v>1283</v>
      </c>
      <c r="G228" s="252" t="s">
        <v>1284</v>
      </c>
      <c r="H228" s="252" t="s">
        <v>1285</v>
      </c>
      <c r="I228" s="252" t="s">
        <v>1286</v>
      </c>
      <c r="J228" s="262">
        <v>1.0</v>
      </c>
      <c r="K228" s="202" t="s">
        <v>1287</v>
      </c>
      <c r="L228" s="246"/>
      <c r="M228" s="174"/>
      <c r="N228" s="174"/>
      <c r="O228" s="210" t="s">
        <v>1288</v>
      </c>
      <c r="P228" s="118" t="b">
        <v>0</v>
      </c>
      <c r="Q228" s="118" t="b">
        <v>0</v>
      </c>
      <c r="R228" s="55"/>
      <c r="S228" s="118" t="b">
        <v>0</v>
      </c>
      <c r="T228" s="177" t="b">
        <v>0</v>
      </c>
      <c r="U228" s="178">
        <v>45065.0</v>
      </c>
      <c r="V228" s="179">
        <v>0.4270833333333333</v>
      </c>
      <c r="W228" s="110" t="s">
        <v>320</v>
      </c>
      <c r="X228" s="203" t="s">
        <v>1289</v>
      </c>
      <c r="Y228" s="118" t="b">
        <v>0</v>
      </c>
      <c r="Z228" s="169">
        <v>10.0</v>
      </c>
      <c r="AA228" s="196">
        <f t="shared" si="1"/>
        <v>0</v>
      </c>
      <c r="AB228" s="197" t="b">
        <f t="shared" si="2"/>
        <v>1</v>
      </c>
      <c r="AC228" s="169">
        <v>8.0</v>
      </c>
      <c r="AD228" s="169">
        <v>0.0</v>
      </c>
      <c r="AE228" s="169">
        <v>0.0</v>
      </c>
      <c r="AF228" s="169">
        <v>0.0</v>
      </c>
      <c r="AG228" s="169">
        <v>1.0</v>
      </c>
      <c r="AH228" s="169">
        <v>1.0</v>
      </c>
      <c r="AI228" s="169">
        <v>1.0</v>
      </c>
      <c r="AJ228" s="182" t="b">
        <v>0</v>
      </c>
      <c r="AK228" s="183">
        <v>8.0</v>
      </c>
      <c r="AL228" s="169">
        <v>4.0</v>
      </c>
      <c r="AM228" s="172" t="str">
        <f t="shared" si="56"/>
        <v>Audit</v>
      </c>
      <c r="AN228" s="198" t="str">
        <f>IFNA(VLOOKUP($A228,'Tube Reactions'!$J$2:$K259,2,FALSE),"")</f>
        <v/>
      </c>
      <c r="AO228" s="199" t="str">
        <f t="shared" si="20"/>
        <v>NOT EQUAL</v>
      </c>
      <c r="AP228" s="186" t="str">
        <f t="shared" si="36"/>
        <v/>
      </c>
      <c r="AQ228" s="187" t="b">
        <f t="shared" si="5"/>
        <v>1</v>
      </c>
      <c r="AR228" s="188">
        <v>227.0</v>
      </c>
      <c r="AS228" s="189"/>
      <c r="AT228" s="55"/>
      <c r="AU228" s="110" t="s">
        <v>1206</v>
      </c>
      <c r="AV228" s="169"/>
      <c r="AW228" s="118"/>
      <c r="AX228" s="190"/>
      <c r="AY228" s="48"/>
      <c r="BA228" s="169"/>
      <c r="BB228" s="18"/>
      <c r="BC228" s="18"/>
      <c r="BD228" s="48"/>
      <c r="BE228" s="192"/>
      <c r="BF228" s="76">
        <f t="shared" si="11"/>
        <v>45065</v>
      </c>
      <c r="BG228" s="114" t="str">
        <f t="shared" si="12"/>
        <v>RUN-ABRM_2023-05-19_RFR-227</v>
      </c>
      <c r="BH228" s="83">
        <f t="shared" si="13"/>
        <v>10</v>
      </c>
      <c r="BI228" s="83">
        <f t="shared" si="14"/>
        <v>8</v>
      </c>
      <c r="BJ228" s="83">
        <f t="shared" si="15"/>
        <v>8</v>
      </c>
      <c r="BK228" s="83">
        <f t="shared" si="16"/>
        <v>4</v>
      </c>
      <c r="BL228" s="200">
        <f>IFNA(IF(VLOOKUP(FLOOR($B228,1),'APS Tubes by Date IMPORT'!$B$2:$J259,1,FALSE)=FLOOR($BL227,1),IFERROR(0/0,""),VLOOKUP(FLOOR($B228,1),'APS Tubes by Date IMPORT'!$B$2:$J259,1,FALSE)),"")</f>
        <v>45065</v>
      </c>
      <c r="BM228" s="83">
        <f>IF(ISBLANK($BL228),IFERROR(0/0,""),VLOOKUP(FLOOR($B228,1),'APS Tubes by Date IMPORT'!$B$2:$J259,2,FALSE))</f>
        <v>6</v>
      </c>
      <c r="BN228" s="114"/>
      <c r="BO228" s="83" t="str">
        <f>VLOOKUP(FLOOR($B228,1),'APS Tubes by Date IMPORT'!$B228:$I259,6,FALSE)</f>
        <v>#N/A</v>
      </c>
      <c r="BP228" s="83">
        <v>7.0</v>
      </c>
      <c r="BQ228" s="193">
        <f t="shared" si="17"/>
        <v>1</v>
      </c>
      <c r="BR228" s="131">
        <v>3.0</v>
      </c>
      <c r="BS228" s="76" t="b">
        <f t="shared" si="18"/>
        <v>1</v>
      </c>
      <c r="BT228" s="194" t="str">
        <f t="shared" si="19"/>
        <v>Delete NULL</v>
      </c>
      <c r="BU228" s="256"/>
      <c r="BV228" s="256"/>
      <c r="BW228" s="256"/>
      <c r="BX228" s="256"/>
    </row>
    <row r="229">
      <c r="A229" s="18" t="str">
        <f>CONCATENATE("RUN-",'Process Ref'!$A$1,"_",TEXT(U229,"YYYY-MM-DD"),"_RFR-",TEXT(AR229,"000"),IF(EXACT(W229,"Initial"),"",CONCATENATE("_",W229)))</f>
        <v>RUN-ABRM_2023-05-22_RFR-228</v>
      </c>
      <c r="B229" s="251">
        <v>45068.391538738426</v>
      </c>
      <c r="C229" s="92"/>
      <c r="D229" s="92" t="s">
        <v>313</v>
      </c>
      <c r="E229" s="131">
        <v>6.0</v>
      </c>
      <c r="F229" s="92" t="s">
        <v>1290</v>
      </c>
      <c r="G229" s="252" t="s">
        <v>1291</v>
      </c>
      <c r="H229" s="252" t="s">
        <v>1292</v>
      </c>
      <c r="I229" s="252" t="s">
        <v>1293</v>
      </c>
      <c r="J229" s="262">
        <v>1.0</v>
      </c>
      <c r="K229" s="202"/>
      <c r="L229" s="246"/>
      <c r="M229" s="174"/>
      <c r="N229" s="174"/>
      <c r="O229" s="175"/>
      <c r="P229" s="118" t="b">
        <v>0</v>
      </c>
      <c r="Q229" s="118" t="b">
        <v>0</v>
      </c>
      <c r="R229" s="55"/>
      <c r="S229" s="118" t="b">
        <v>0</v>
      </c>
      <c r="T229" s="177" t="b">
        <v>1</v>
      </c>
      <c r="U229" s="178">
        <v>45068.0</v>
      </c>
      <c r="V229" s="179">
        <v>0.4166666666666667</v>
      </c>
      <c r="W229" s="110" t="s">
        <v>320</v>
      </c>
      <c r="X229" s="180"/>
      <c r="Y229" s="118" t="b">
        <v>0</v>
      </c>
      <c r="Z229" s="169">
        <v>6.0</v>
      </c>
      <c r="AA229" s="196">
        <f t="shared" si="1"/>
        <v>0</v>
      </c>
      <c r="AB229" s="197" t="b">
        <f t="shared" si="2"/>
        <v>1</v>
      </c>
      <c r="AC229" s="169">
        <v>4.0</v>
      </c>
      <c r="AD229" s="169">
        <v>1.0</v>
      </c>
      <c r="AE229" s="169">
        <v>1.0</v>
      </c>
      <c r="AF229" s="169">
        <v>0.0</v>
      </c>
      <c r="AG229" s="169">
        <v>0.0</v>
      </c>
      <c r="AH229" s="169">
        <v>0.0</v>
      </c>
      <c r="AI229" s="169">
        <v>0.0</v>
      </c>
      <c r="AJ229" s="182" t="b">
        <v>0</v>
      </c>
      <c r="AK229" s="183">
        <v>4.0</v>
      </c>
      <c r="AL229" s="169">
        <v>1.3</v>
      </c>
      <c r="AM229" s="172" t="str">
        <f t="shared" si="56"/>
        <v>Audit</v>
      </c>
      <c r="AN229" s="198" t="str">
        <f>IFNA(VLOOKUP($A229,'Tube Reactions'!$J$2:$K259,2,FALSE),"")</f>
        <v/>
      </c>
      <c r="AO229" s="199" t="str">
        <f t="shared" si="20"/>
        <v>NOT EQUAL</v>
      </c>
      <c r="AP229" s="186" t="str">
        <f t="shared" si="36"/>
        <v/>
      </c>
      <c r="AQ229" s="187" t="b">
        <f t="shared" si="5"/>
        <v>1</v>
      </c>
      <c r="AR229" s="188">
        <v>228.0</v>
      </c>
      <c r="AS229" s="189"/>
      <c r="AT229" s="55"/>
      <c r="AU229" s="110" t="s">
        <v>1206</v>
      </c>
      <c r="AV229" s="169"/>
      <c r="AW229" s="118"/>
      <c r="AX229" s="190"/>
      <c r="AY229" s="48"/>
      <c r="BA229" s="169"/>
      <c r="BB229" s="18"/>
      <c r="BC229" s="18"/>
      <c r="BD229" s="48"/>
      <c r="BE229" s="192"/>
      <c r="BF229" s="76">
        <f t="shared" si="11"/>
        <v>45068</v>
      </c>
      <c r="BG229" s="114" t="str">
        <f t="shared" si="12"/>
        <v>RUN-ABRM_2023-05-22_RFR-228</v>
      </c>
      <c r="BH229" s="83">
        <f t="shared" si="13"/>
        <v>6</v>
      </c>
      <c r="BI229" s="83">
        <f t="shared" si="14"/>
        <v>4</v>
      </c>
      <c r="BJ229" s="83">
        <f t="shared" si="15"/>
        <v>4</v>
      </c>
      <c r="BK229" s="83">
        <f t="shared" si="16"/>
        <v>1.3</v>
      </c>
      <c r="BL229" s="200">
        <f>IFNA(IF(VLOOKUP(FLOOR($B229,1),'APS Tubes by Date IMPORT'!$B$2:$J259,1,FALSE)=FLOOR($BL228,1),IFERROR(0/0,""),VLOOKUP(FLOOR($B229,1),'APS Tubes by Date IMPORT'!$B$2:$J259,1,FALSE)),"")</f>
        <v>45068</v>
      </c>
      <c r="BM229" s="83">
        <f>IF(ISBLANK($BL229),IFERROR(0/0,""),VLOOKUP(FLOOR($B229,1),'APS Tubes by Date IMPORT'!$B$2:$J259,2,FALSE))</f>
        <v>4</v>
      </c>
      <c r="BN229" s="114"/>
      <c r="BO229" s="83" t="str">
        <f>VLOOKUP(FLOOR($B229,1),'APS Tubes by Date IMPORT'!$B229:$I259,6,FALSE)</f>
        <v>#N/A</v>
      </c>
      <c r="BP229" s="83">
        <v>7.0</v>
      </c>
      <c r="BQ229" s="193">
        <f t="shared" si="17"/>
        <v>3</v>
      </c>
      <c r="BR229" s="131">
        <v>3.0</v>
      </c>
      <c r="BS229" s="76" t="b">
        <f t="shared" si="18"/>
        <v>1</v>
      </c>
      <c r="BT229" s="194" t="str">
        <f t="shared" si="19"/>
        <v>Delete NULL</v>
      </c>
      <c r="BU229" s="256"/>
      <c r="BV229" s="256"/>
      <c r="BW229" s="256"/>
      <c r="BX229" s="256"/>
    </row>
    <row r="230">
      <c r="A230" s="18" t="str">
        <f>CONCATENATE("RUN-",'Process Ref'!$A$1,"_",TEXT(U230,"YYYY-MM-DD"),"_RFR-",TEXT(AR230,"000"),IF(EXACT(W230,"Initial"),"",CONCATENATE("_",W230)))</f>
        <v>RUN-ABRM_2023-05-22_RFR-229_Re-run</v>
      </c>
      <c r="B230" s="251">
        <v>45068.413593703706</v>
      </c>
      <c r="C230" s="92"/>
      <c r="D230" s="92" t="s">
        <v>313</v>
      </c>
      <c r="E230" s="131">
        <v>5.0</v>
      </c>
      <c r="F230" s="92" t="s">
        <v>1290</v>
      </c>
      <c r="G230" s="252" t="s">
        <v>1294</v>
      </c>
      <c r="H230" s="252" t="s">
        <v>1295</v>
      </c>
      <c r="I230" s="252" t="s">
        <v>1296</v>
      </c>
      <c r="J230" s="55"/>
      <c r="K230" s="202" t="s">
        <v>1297</v>
      </c>
      <c r="L230" s="246"/>
      <c r="M230" s="174"/>
      <c r="N230" s="174"/>
      <c r="O230" s="175"/>
      <c r="P230" s="118" t="b">
        <v>0</v>
      </c>
      <c r="Q230" s="118" t="b">
        <v>0</v>
      </c>
      <c r="R230" s="55"/>
      <c r="S230" s="118" t="b">
        <v>0</v>
      </c>
      <c r="T230" s="177" t="b">
        <v>1</v>
      </c>
      <c r="U230" s="178">
        <v>45068.0</v>
      </c>
      <c r="V230" s="179">
        <v>0.4583333333333333</v>
      </c>
      <c r="W230" s="110" t="s">
        <v>339</v>
      </c>
      <c r="X230" s="180"/>
      <c r="Y230" s="118" t="b">
        <v>1</v>
      </c>
      <c r="Z230" s="169">
        <v>5.0</v>
      </c>
      <c r="AA230" s="196">
        <f t="shared" si="1"/>
        <v>0</v>
      </c>
      <c r="AB230" s="197" t="b">
        <f t="shared" si="2"/>
        <v>1</v>
      </c>
      <c r="AC230" s="169">
        <v>3.0</v>
      </c>
      <c r="AD230" s="169">
        <v>0.0</v>
      </c>
      <c r="AE230" s="169">
        <v>1.0</v>
      </c>
      <c r="AF230" s="169">
        <v>0.0</v>
      </c>
      <c r="AG230" s="169">
        <v>1.0</v>
      </c>
      <c r="AH230" s="169">
        <v>0.0</v>
      </c>
      <c r="AI230" s="169">
        <v>0.0</v>
      </c>
      <c r="AJ230" s="182" t="b">
        <v>0</v>
      </c>
      <c r="AK230" s="183">
        <v>1.0</v>
      </c>
      <c r="AL230" s="169">
        <v>4.0</v>
      </c>
      <c r="AM230" s="172" t="str">
        <f t="shared" si="56"/>
        <v/>
      </c>
      <c r="AN230" s="198" t="str">
        <f>IFNA(VLOOKUP($A230,'Tube Reactions'!$J$2:$K259,2,FALSE),"")</f>
        <v/>
      </c>
      <c r="AO230" s="199" t="str">
        <f t="shared" si="20"/>
        <v/>
      </c>
      <c r="AP230" s="186" t="str">
        <f t="shared" si="36"/>
        <v/>
      </c>
      <c r="AQ230" s="187" t="b">
        <f t="shared" si="5"/>
        <v>1</v>
      </c>
      <c r="AR230" s="188">
        <v>229.0</v>
      </c>
      <c r="AS230" s="189"/>
      <c r="AT230" s="55"/>
      <c r="AU230" s="110" t="s">
        <v>1206</v>
      </c>
      <c r="AV230" s="169"/>
      <c r="AW230" s="118"/>
      <c r="AX230" s="190"/>
      <c r="AY230" s="48"/>
      <c r="BA230" s="169"/>
      <c r="BB230" s="18"/>
      <c r="BC230" s="18"/>
      <c r="BD230" s="48"/>
      <c r="BE230" s="192"/>
      <c r="BF230" s="76" t="str">
        <f t="shared" si="11"/>
        <v/>
      </c>
      <c r="BG230" s="114" t="str">
        <f t="shared" si="12"/>
        <v/>
      </c>
      <c r="BH230" s="83" t="str">
        <f t="shared" si="13"/>
        <v/>
      </c>
      <c r="BI230" s="83" t="str">
        <f t="shared" si="14"/>
        <v/>
      </c>
      <c r="BJ230" s="83" t="str">
        <f t="shared" si="15"/>
        <v/>
      </c>
      <c r="BK230" s="83" t="str">
        <f t="shared" si="16"/>
        <v/>
      </c>
      <c r="BL230" s="200" t="str">
        <f>IFNA(IF(VLOOKUP(FLOOR($B230,1),'APS Tubes by Date IMPORT'!$B$2:$J259,1,FALSE)=FLOOR($BL229,1),IFERROR(0/0,""),VLOOKUP(FLOOR($B230,1),'APS Tubes by Date IMPORT'!$B$2:$J259,1,FALSE)),"")</f>
        <v/>
      </c>
      <c r="BM230" s="83" t="str">
        <f>IF(ISBLANK($BL230),IFERROR(0/0,""),VLOOKUP(FLOOR($B230,1),'APS Tubes by Date IMPORT'!$B$2:$J259,2,FALSE))</f>
        <v/>
      </c>
      <c r="BN230" s="114"/>
      <c r="BO230" s="83" t="str">
        <f>VLOOKUP(FLOOR($B230,1),'APS Tubes by Date IMPORT'!$B230:$I259,6,FALSE)</f>
        <v>#N/A</v>
      </c>
      <c r="BP230" s="83">
        <v>7.0</v>
      </c>
      <c r="BQ230" s="193">
        <f t="shared" si="17"/>
        <v>7</v>
      </c>
      <c r="BR230" s="131">
        <v>3.0</v>
      </c>
      <c r="BS230" s="76" t="b">
        <f t="shared" si="18"/>
        <v>1</v>
      </c>
      <c r="BT230" s="194" t="str">
        <f t="shared" si="19"/>
        <v>Delete NULL</v>
      </c>
      <c r="BU230" s="256"/>
      <c r="BV230" s="256"/>
      <c r="BW230" s="256"/>
      <c r="BX230" s="256"/>
    </row>
    <row r="231">
      <c r="A231" s="18" t="str">
        <f>CONCATENATE("RUN-",'Process Ref'!$A$1,"_",TEXT(U231,"YYYY-MM-DD"),"_RFR-",TEXT(AR231,"000"),IF(EXACT(W231,"Initial"),"",CONCATENATE("_",W231)))</f>
        <v>RUN-ABRM_2023-05-22_RFR-230_Re-run</v>
      </c>
      <c r="B231" s="251">
        <v>45068.43295674768</v>
      </c>
      <c r="C231" s="92"/>
      <c r="D231" s="92" t="s">
        <v>313</v>
      </c>
      <c r="E231" s="131">
        <v>5.0</v>
      </c>
      <c r="F231" s="92" t="s">
        <v>1290</v>
      </c>
      <c r="G231" s="252" t="s">
        <v>1298</v>
      </c>
      <c r="H231" s="252" t="s">
        <v>1299</v>
      </c>
      <c r="I231" s="252" t="s">
        <v>1300</v>
      </c>
      <c r="J231" s="55"/>
      <c r="K231" s="202" t="s">
        <v>1301</v>
      </c>
      <c r="L231" s="246"/>
      <c r="M231" s="174"/>
      <c r="N231" s="174"/>
      <c r="O231" s="175"/>
      <c r="P231" s="118" t="b">
        <v>0</v>
      </c>
      <c r="Q231" s="118" t="b">
        <v>0</v>
      </c>
      <c r="R231" s="55"/>
      <c r="S231" s="118" t="b">
        <v>0</v>
      </c>
      <c r="T231" s="177" t="b">
        <v>1</v>
      </c>
      <c r="U231" s="178">
        <v>45068.0</v>
      </c>
      <c r="V231" s="179">
        <v>0.4791666666666667</v>
      </c>
      <c r="W231" s="110" t="s">
        <v>339</v>
      </c>
      <c r="X231" s="180"/>
      <c r="Y231" s="118" t="b">
        <v>0</v>
      </c>
      <c r="Z231" s="169">
        <v>5.0</v>
      </c>
      <c r="AA231" s="196">
        <f t="shared" si="1"/>
        <v>0</v>
      </c>
      <c r="AB231" s="197" t="b">
        <f t="shared" si="2"/>
        <v>1</v>
      </c>
      <c r="AC231" s="169">
        <v>3.0</v>
      </c>
      <c r="AD231" s="169">
        <v>0.0</v>
      </c>
      <c r="AE231" s="169">
        <v>0.0</v>
      </c>
      <c r="AF231" s="169">
        <v>0.0</v>
      </c>
      <c r="AG231" s="169">
        <v>0.0</v>
      </c>
      <c r="AH231" s="169">
        <v>0.0</v>
      </c>
      <c r="AI231" s="169">
        <v>0.0</v>
      </c>
      <c r="AJ231" s="182" t="b">
        <v>0</v>
      </c>
      <c r="AK231" s="183">
        <v>1.0</v>
      </c>
      <c r="AL231" s="169">
        <v>4.0</v>
      </c>
      <c r="AM231" s="172" t="str">
        <f t="shared" si="56"/>
        <v/>
      </c>
      <c r="AN231" s="198" t="str">
        <f>IFNA(VLOOKUP($A231,'Tube Reactions'!$J$2:$K259,2,FALSE),"")</f>
        <v/>
      </c>
      <c r="AO231" s="199" t="str">
        <f t="shared" si="20"/>
        <v/>
      </c>
      <c r="AP231" s="186" t="str">
        <f t="shared" si="36"/>
        <v/>
      </c>
      <c r="AQ231" s="187" t="b">
        <f t="shared" si="5"/>
        <v>1</v>
      </c>
      <c r="AR231" s="188">
        <v>230.0</v>
      </c>
      <c r="AS231" s="189"/>
      <c r="AT231" s="55"/>
      <c r="AU231" s="110" t="s">
        <v>1206</v>
      </c>
      <c r="AV231" s="169"/>
      <c r="AW231" s="118"/>
      <c r="AX231" s="190"/>
      <c r="AY231" s="48"/>
      <c r="BA231" s="169"/>
      <c r="BB231" s="18"/>
      <c r="BC231" s="18"/>
      <c r="BD231" s="48"/>
      <c r="BE231" s="192"/>
      <c r="BF231" s="76" t="str">
        <f t="shared" si="11"/>
        <v/>
      </c>
      <c r="BG231" s="114" t="str">
        <f t="shared" si="12"/>
        <v/>
      </c>
      <c r="BH231" s="83" t="str">
        <f t="shared" si="13"/>
        <v/>
      </c>
      <c r="BI231" s="83" t="str">
        <f t="shared" si="14"/>
        <v/>
      </c>
      <c r="BJ231" s="83" t="str">
        <f t="shared" si="15"/>
        <v/>
      </c>
      <c r="BK231" s="83" t="str">
        <f t="shared" si="16"/>
        <v/>
      </c>
      <c r="BL231" s="200">
        <f>IFNA(IF(VLOOKUP(FLOOR($B231,1),'APS Tubes by Date IMPORT'!$B$2:$J259,1,FALSE)=FLOOR($BL230,1),IFERROR(0/0,""),VLOOKUP(FLOOR($B231,1),'APS Tubes by Date IMPORT'!$B$2:$J259,1,FALSE)),"")</f>
        <v>45068</v>
      </c>
      <c r="BM231" s="83">
        <f>IF(ISBLANK($BL231),IFERROR(0/0,""),VLOOKUP(FLOOR($B231,1),'APS Tubes by Date IMPORT'!$B$2:$J259,2,FALSE))</f>
        <v>4</v>
      </c>
      <c r="BN231" s="114"/>
      <c r="BO231" s="83" t="str">
        <f>VLOOKUP(FLOOR($B231,1),'APS Tubes by Date IMPORT'!$B231:$I259,6,FALSE)</f>
        <v>#N/A</v>
      </c>
      <c r="BP231" s="83">
        <v>7.0</v>
      </c>
      <c r="BQ231" s="193">
        <f t="shared" si="17"/>
        <v>3</v>
      </c>
      <c r="BR231" s="131">
        <v>3.0</v>
      </c>
      <c r="BS231" s="76" t="b">
        <f t="shared" si="18"/>
        <v>1</v>
      </c>
      <c r="BT231" s="194" t="str">
        <f t="shared" si="19"/>
        <v>Delete NULL</v>
      </c>
      <c r="BU231" s="256"/>
      <c r="BV231" s="256"/>
      <c r="BW231" s="256"/>
      <c r="BX231" s="256"/>
    </row>
    <row r="232">
      <c r="A232" s="18" t="str">
        <f>CONCATENATE("RUN-",'Process Ref'!$A$1,"_",TEXT(U232,"YYYY-MM-DD"),"_RFR-",TEXT(AR232,"000"),IF(EXACT(W232,"Initial"),"",CONCATENATE("_",W232)))</f>
        <v>RUN-ABRM_2023-05-23_RFR-231</v>
      </c>
      <c r="B232" s="251">
        <v>45069.39846744213</v>
      </c>
      <c r="C232" s="92"/>
      <c r="D232" s="92" t="s">
        <v>313</v>
      </c>
      <c r="E232" s="131">
        <v>11.0</v>
      </c>
      <c r="F232" s="92" t="s">
        <v>1302</v>
      </c>
      <c r="G232" s="252" t="s">
        <v>1303</v>
      </c>
      <c r="H232" s="252" t="s">
        <v>1304</v>
      </c>
      <c r="I232" s="252" t="s">
        <v>1305</v>
      </c>
      <c r="J232" s="55"/>
      <c r="K232" s="202" t="s">
        <v>1306</v>
      </c>
      <c r="L232" s="246"/>
      <c r="M232" s="174"/>
      <c r="N232" s="174"/>
      <c r="O232" s="175"/>
      <c r="P232" s="118" t="b">
        <v>0</v>
      </c>
      <c r="Q232" s="118" t="b">
        <v>0</v>
      </c>
      <c r="R232" s="55"/>
      <c r="S232" s="118" t="b">
        <v>0</v>
      </c>
      <c r="T232" s="177" t="b">
        <v>0</v>
      </c>
      <c r="U232" s="178">
        <v>45069.0</v>
      </c>
      <c r="V232" s="179">
        <v>0.4166666666666667</v>
      </c>
      <c r="W232" s="110" t="s">
        <v>320</v>
      </c>
      <c r="X232" s="203" t="s">
        <v>1307</v>
      </c>
      <c r="Y232" s="118" t="b">
        <v>1</v>
      </c>
      <c r="Z232" s="169">
        <v>11.0</v>
      </c>
      <c r="AA232" s="196">
        <f t="shared" si="1"/>
        <v>0</v>
      </c>
      <c r="AB232" s="197" t="b">
        <f t="shared" si="2"/>
        <v>1</v>
      </c>
      <c r="AC232" s="169">
        <v>9.0</v>
      </c>
      <c r="AD232" s="169">
        <v>0.0</v>
      </c>
      <c r="AE232" s="169">
        <v>0.0</v>
      </c>
      <c r="AF232" s="169">
        <v>0.0</v>
      </c>
      <c r="AG232" s="169">
        <v>4.0</v>
      </c>
      <c r="AH232" s="169">
        <v>4.0</v>
      </c>
      <c r="AI232" s="169">
        <v>4.0</v>
      </c>
      <c r="AJ232" s="182" t="b">
        <v>0</v>
      </c>
      <c r="AK232" s="183">
        <v>9.0</v>
      </c>
      <c r="AL232" s="169">
        <v>4.0</v>
      </c>
      <c r="AM232" s="172" t="str">
        <f t="shared" si="56"/>
        <v>Audit</v>
      </c>
      <c r="AN232" s="198" t="str">
        <f>IFNA(VLOOKUP($A232,'Tube Reactions'!$J$2:$K259,2,FALSE),"")</f>
        <v/>
      </c>
      <c r="AO232" s="199" t="str">
        <f t="shared" si="20"/>
        <v>NOT EQUAL</v>
      </c>
      <c r="AP232" s="186" t="str">
        <f t="shared" si="36"/>
        <v/>
      </c>
      <c r="AQ232" s="187" t="b">
        <f t="shared" si="5"/>
        <v>1</v>
      </c>
      <c r="AR232" s="188">
        <v>231.0</v>
      </c>
      <c r="AS232" s="189"/>
      <c r="AT232" s="55"/>
      <c r="AU232" s="110" t="s">
        <v>1206</v>
      </c>
      <c r="AV232" s="169"/>
      <c r="AW232" s="118"/>
      <c r="AX232" s="190"/>
      <c r="AY232" s="48"/>
      <c r="BA232" s="169"/>
      <c r="BB232" s="18"/>
      <c r="BC232" s="18"/>
      <c r="BD232" s="48"/>
      <c r="BE232" s="192"/>
      <c r="BF232" s="76">
        <f t="shared" si="11"/>
        <v>45069</v>
      </c>
      <c r="BG232" s="114" t="str">
        <f t="shared" si="12"/>
        <v>RUN-ABRM_2023-05-23_RFR-231</v>
      </c>
      <c r="BH232" s="83">
        <f t="shared" si="13"/>
        <v>11</v>
      </c>
      <c r="BI232" s="83">
        <f t="shared" si="14"/>
        <v>9</v>
      </c>
      <c r="BJ232" s="83">
        <f t="shared" si="15"/>
        <v>9</v>
      </c>
      <c r="BK232" s="83">
        <f t="shared" si="16"/>
        <v>4</v>
      </c>
      <c r="BL232" s="200">
        <f>IFNA(IF(VLOOKUP(FLOOR($B232,1),'APS Tubes by Date IMPORT'!$B$2:$J259,1,FALSE)=FLOOR($BL231,1),IFERROR(0/0,""),VLOOKUP(FLOOR($B232,1),'APS Tubes by Date IMPORT'!$B$2:$J259,1,FALSE)),"")</f>
        <v>45069</v>
      </c>
      <c r="BM232" s="83">
        <f>IF(ISBLANK($BL232),IFERROR(0/0,""),VLOOKUP(FLOOR($B232,1),'APS Tubes by Date IMPORT'!$B$2:$J259,2,FALSE))</f>
        <v>9</v>
      </c>
      <c r="BN232" s="114"/>
      <c r="BO232" s="83" t="str">
        <f>VLOOKUP(FLOOR($B232,1),'APS Tubes by Date IMPORT'!$B232:$I259,6,FALSE)</f>
        <v>#N/A</v>
      </c>
      <c r="BP232" s="83">
        <v>7.0</v>
      </c>
      <c r="BQ232" s="193">
        <f t="shared" si="17"/>
        <v>-2</v>
      </c>
      <c r="BR232" s="131">
        <v>3.0</v>
      </c>
      <c r="BS232" s="76" t="b">
        <f t="shared" si="18"/>
        <v>1</v>
      </c>
      <c r="BT232" s="194" t="str">
        <f t="shared" si="19"/>
        <v>Delete NULL</v>
      </c>
      <c r="BU232" s="256"/>
      <c r="BV232" s="256"/>
      <c r="BW232" s="256"/>
      <c r="BX232" s="256"/>
    </row>
    <row r="233">
      <c r="A233" s="18" t="str">
        <f>CONCATENATE("RUN-",'Process Ref'!$A$1,"_",TEXT(U233,"YYYY-MM-DD"),"_RFR-",TEXT(AR233,"000"),IF(EXACT(W233,"Initial"),"",CONCATENATE("_",W233)))</f>
        <v>RUN-ABRM_2023-05-24_RFR-232</v>
      </c>
      <c r="B233" s="251">
        <v>45070.39612675926</v>
      </c>
      <c r="C233" s="92"/>
      <c r="D233" s="92" t="s">
        <v>313</v>
      </c>
      <c r="E233" s="131">
        <v>6.0</v>
      </c>
      <c r="F233" s="92" t="s">
        <v>1308</v>
      </c>
      <c r="G233" s="252" t="s">
        <v>1309</v>
      </c>
      <c r="H233" s="252" t="s">
        <v>1310</v>
      </c>
      <c r="I233" s="252" t="s">
        <v>1311</v>
      </c>
      <c r="J233" s="262">
        <v>1.0</v>
      </c>
      <c r="K233" s="202" t="s">
        <v>1312</v>
      </c>
      <c r="L233" s="246"/>
      <c r="M233" s="174"/>
      <c r="N233" s="174"/>
      <c r="O233" s="175"/>
      <c r="P233" s="118" t="b">
        <v>0</v>
      </c>
      <c r="Q233" s="118" t="b">
        <v>0</v>
      </c>
      <c r="R233" s="55"/>
      <c r="S233" s="118" t="b">
        <v>0</v>
      </c>
      <c r="T233" s="177" t="b">
        <v>1</v>
      </c>
      <c r="U233" s="178">
        <v>45070.0</v>
      </c>
      <c r="V233" s="179">
        <v>0.4305555555555556</v>
      </c>
      <c r="W233" s="110" t="s">
        <v>320</v>
      </c>
      <c r="X233" s="110" t="s">
        <v>1313</v>
      </c>
      <c r="Y233" s="118" t="b">
        <v>0</v>
      </c>
      <c r="Z233" s="169">
        <v>6.0</v>
      </c>
      <c r="AA233" s="196">
        <f t="shared" si="1"/>
        <v>0</v>
      </c>
      <c r="AB233" s="197" t="b">
        <f t="shared" si="2"/>
        <v>1</v>
      </c>
      <c r="AC233" s="169">
        <v>4.0</v>
      </c>
      <c r="AD233" s="169">
        <v>0.0</v>
      </c>
      <c r="AE233" s="169">
        <v>0.0</v>
      </c>
      <c r="AF233" s="169">
        <v>0.0</v>
      </c>
      <c r="AG233" s="169">
        <v>0.0</v>
      </c>
      <c r="AH233" s="169">
        <v>0.0</v>
      </c>
      <c r="AI233" s="169">
        <v>0.0</v>
      </c>
      <c r="AJ233" s="182" t="b">
        <v>0</v>
      </c>
      <c r="AK233" s="183">
        <v>4.0</v>
      </c>
      <c r="AL233" s="169">
        <v>0.0</v>
      </c>
      <c r="AM233" s="172" t="str">
        <f t="shared" si="56"/>
        <v>Audit</v>
      </c>
      <c r="AN233" s="198" t="str">
        <f>IFNA(VLOOKUP($A233,'Tube Reactions'!$J$2:$K259,2,FALSE),"")</f>
        <v/>
      </c>
      <c r="AO233" s="199" t="str">
        <f t="shared" si="20"/>
        <v>NOT EQUAL</v>
      </c>
      <c r="AP233" s="186" t="str">
        <f t="shared" si="36"/>
        <v/>
      </c>
      <c r="AQ233" s="187" t="b">
        <f t="shared" si="5"/>
        <v>1</v>
      </c>
      <c r="AR233" s="188">
        <v>232.0</v>
      </c>
      <c r="AS233" s="189"/>
      <c r="AT233" s="55"/>
      <c r="AU233" s="110" t="s">
        <v>1206</v>
      </c>
      <c r="AV233" s="169"/>
      <c r="AW233" s="118"/>
      <c r="AX233" s="190"/>
      <c r="AY233" s="48"/>
      <c r="BA233" s="169"/>
      <c r="BB233" s="18"/>
      <c r="BC233" s="18"/>
      <c r="BD233" s="48"/>
      <c r="BE233" s="192"/>
      <c r="BF233" s="76">
        <f t="shared" si="11"/>
        <v>45070</v>
      </c>
      <c r="BG233" s="114" t="str">
        <f t="shared" si="12"/>
        <v>RUN-ABRM_2023-05-24_RFR-232</v>
      </c>
      <c r="BH233" s="83">
        <f t="shared" si="13"/>
        <v>6</v>
      </c>
      <c r="BI233" s="83">
        <f t="shared" si="14"/>
        <v>4</v>
      </c>
      <c r="BJ233" s="83">
        <f t="shared" si="15"/>
        <v>4</v>
      </c>
      <c r="BK233" s="83">
        <f t="shared" si="16"/>
        <v>0</v>
      </c>
      <c r="BL233" s="200">
        <f>IFNA(IF(VLOOKUP(FLOOR($B233,1),'APS Tubes by Date IMPORT'!$B$2:$J259,1,FALSE)=FLOOR($BL232,1),IFERROR(0/0,""),VLOOKUP(FLOOR($B233,1),'APS Tubes by Date IMPORT'!$B$2:$J259,1,FALSE)),"")</f>
        <v>45070</v>
      </c>
      <c r="BM233" s="83">
        <f>IF(ISBLANK($BL233),IFERROR(0/0,""),VLOOKUP(FLOOR($B233,1),'APS Tubes by Date IMPORT'!$B$2:$J259,2,FALSE))</f>
        <v>3</v>
      </c>
      <c r="BN233" s="114"/>
      <c r="BO233" s="83" t="str">
        <f>VLOOKUP(FLOOR($B233,1),'APS Tubes by Date IMPORT'!$B233:$I259,6,FALSE)</f>
        <v>#N/A</v>
      </c>
      <c r="BP233" s="83">
        <v>7.0</v>
      </c>
      <c r="BQ233" s="193">
        <f t="shared" si="17"/>
        <v>4</v>
      </c>
      <c r="BR233" s="131">
        <v>3.0</v>
      </c>
      <c r="BS233" s="76" t="b">
        <f t="shared" si="18"/>
        <v>1</v>
      </c>
      <c r="BT233" s="194" t="str">
        <f t="shared" si="19"/>
        <v>Delete NULL</v>
      </c>
      <c r="BU233" s="256"/>
      <c r="BV233" s="256"/>
      <c r="BW233" s="256"/>
      <c r="BX233" s="256"/>
    </row>
    <row r="234">
      <c r="A234" s="18" t="str">
        <f>CONCATENATE("RUN-",'Process Ref'!$A$1,"_",TEXT(U234,"YYYY-MM-DD"),"_RFR-",TEXT(AR234,"000"),IF(EXACT(W234,"Initial"),"",CONCATENATE("_",W234)))</f>
        <v>RUN-ABRM_2023-05-24_RFR-233_Re-run</v>
      </c>
      <c r="B234" s="251">
        <v>45070.42311224537</v>
      </c>
      <c r="C234" s="92"/>
      <c r="D234" s="92" t="s">
        <v>313</v>
      </c>
      <c r="E234" s="131">
        <v>5.0</v>
      </c>
      <c r="F234" s="92" t="s">
        <v>1308</v>
      </c>
      <c r="G234" s="252" t="s">
        <v>1314</v>
      </c>
      <c r="H234" s="252" t="s">
        <v>1315</v>
      </c>
      <c r="I234" s="252" t="s">
        <v>1316</v>
      </c>
      <c r="J234" s="55"/>
      <c r="K234" s="202"/>
      <c r="L234" s="246"/>
      <c r="M234" s="174"/>
      <c r="N234" s="174"/>
      <c r="O234" s="175"/>
      <c r="P234" s="118" t="b">
        <v>0</v>
      </c>
      <c r="Q234" s="118" t="b">
        <v>0</v>
      </c>
      <c r="R234" s="55"/>
      <c r="S234" s="118" t="b">
        <v>0</v>
      </c>
      <c r="T234" s="177" t="b">
        <v>1</v>
      </c>
      <c r="U234" s="178">
        <v>45070.0</v>
      </c>
      <c r="V234" s="179">
        <v>0.4791666666666667</v>
      </c>
      <c r="W234" s="110" t="s">
        <v>339</v>
      </c>
      <c r="X234" s="180"/>
      <c r="Y234" s="118" t="b">
        <v>0</v>
      </c>
      <c r="Z234" s="169">
        <v>5.0</v>
      </c>
      <c r="AA234" s="196">
        <f t="shared" si="1"/>
        <v>0</v>
      </c>
      <c r="AB234" s="197" t="b">
        <f t="shared" si="2"/>
        <v>1</v>
      </c>
      <c r="AC234" s="169">
        <v>3.0</v>
      </c>
      <c r="AD234" s="169">
        <v>0.0</v>
      </c>
      <c r="AE234" s="169">
        <v>0.0</v>
      </c>
      <c r="AF234" s="169">
        <v>0.0</v>
      </c>
      <c r="AG234" s="169">
        <v>0.0</v>
      </c>
      <c r="AH234" s="169">
        <v>0.0</v>
      </c>
      <c r="AI234" s="169">
        <v>0.0</v>
      </c>
      <c r="AJ234" s="182" t="b">
        <v>0</v>
      </c>
      <c r="AK234" s="183">
        <v>1.0</v>
      </c>
      <c r="AL234" s="169">
        <v>0.0</v>
      </c>
      <c r="AM234" s="172" t="str">
        <f t="shared" si="56"/>
        <v/>
      </c>
      <c r="AN234" s="198" t="str">
        <f>IFNA(VLOOKUP($A234,'Tube Reactions'!$J$2:$K259,2,FALSE),"")</f>
        <v/>
      </c>
      <c r="AO234" s="199" t="str">
        <f t="shared" si="20"/>
        <v/>
      </c>
      <c r="AP234" s="186" t="str">
        <f t="shared" si="36"/>
        <v/>
      </c>
      <c r="AQ234" s="187" t="b">
        <f t="shared" si="5"/>
        <v>1</v>
      </c>
      <c r="AR234" s="188">
        <v>233.0</v>
      </c>
      <c r="AS234" s="189"/>
      <c r="AT234" s="55"/>
      <c r="AU234" s="110" t="s">
        <v>1206</v>
      </c>
      <c r="AV234" s="169"/>
      <c r="AW234" s="118"/>
      <c r="AX234" s="190"/>
      <c r="AY234" s="48"/>
      <c r="BA234" s="169"/>
      <c r="BB234" s="18"/>
      <c r="BC234" s="18"/>
      <c r="BD234" s="48"/>
      <c r="BE234" s="192"/>
      <c r="BF234" s="76" t="str">
        <f t="shared" si="11"/>
        <v/>
      </c>
      <c r="BG234" s="114" t="str">
        <f t="shared" si="12"/>
        <v/>
      </c>
      <c r="BH234" s="83" t="str">
        <f t="shared" si="13"/>
        <v/>
      </c>
      <c r="BI234" s="83" t="str">
        <f t="shared" si="14"/>
        <v/>
      </c>
      <c r="BJ234" s="83" t="str">
        <f t="shared" si="15"/>
        <v/>
      </c>
      <c r="BK234" s="83" t="str">
        <f t="shared" si="16"/>
        <v/>
      </c>
      <c r="BL234" s="200" t="str">
        <f>IFNA(IF(VLOOKUP(FLOOR($B234,1),'APS Tubes by Date IMPORT'!$B$2:$J259,1,FALSE)=FLOOR($BL233,1),IFERROR(0/0,""),VLOOKUP(FLOOR($B234,1),'APS Tubes by Date IMPORT'!$B$2:$J259,1,FALSE)),"")</f>
        <v/>
      </c>
      <c r="BM234" s="83" t="str">
        <f>IF(ISBLANK($BL234),IFERROR(0/0,""),VLOOKUP(FLOOR($B234,1),'APS Tubes by Date IMPORT'!$B$2:$J259,2,FALSE))</f>
        <v/>
      </c>
      <c r="BN234" s="114"/>
      <c r="BO234" s="83" t="str">
        <f>VLOOKUP(FLOOR($B234,1),'APS Tubes by Date IMPORT'!$B234:$I259,6,FALSE)</f>
        <v>#N/A</v>
      </c>
      <c r="BP234" s="83">
        <v>7.0</v>
      </c>
      <c r="BQ234" s="193">
        <f t="shared" si="17"/>
        <v>7</v>
      </c>
      <c r="BR234" s="131">
        <v>3.0</v>
      </c>
      <c r="BS234" s="76" t="b">
        <f t="shared" si="18"/>
        <v>1</v>
      </c>
      <c r="BT234" s="194" t="str">
        <f t="shared" si="19"/>
        <v>Delete NULL</v>
      </c>
      <c r="BU234" s="256"/>
      <c r="BV234" s="256"/>
      <c r="BW234" s="256"/>
      <c r="BX234" s="256"/>
    </row>
    <row r="235">
      <c r="A235" s="18" t="str">
        <f>CONCATENATE("RUN-",'Process Ref'!$A$1,"_",TEXT(U235,"YYYY-MM-DD"),"_RFR-",TEXT(AR235,"000"),IF(EXACT(W235,"Initial"),"",CONCATENATE("_",W235)))</f>
        <v>RUN-ABRM_2023-05-25_RFR-234</v>
      </c>
      <c r="B235" s="251">
        <v>45071.40457079861</v>
      </c>
      <c r="C235" s="92"/>
      <c r="D235" s="92" t="s">
        <v>313</v>
      </c>
      <c r="E235" s="131">
        <v>6.0</v>
      </c>
      <c r="F235" s="92" t="s">
        <v>1317</v>
      </c>
      <c r="G235" s="252" t="s">
        <v>1318</v>
      </c>
      <c r="H235" s="252" t="s">
        <v>1319</v>
      </c>
      <c r="I235" s="252" t="s">
        <v>1320</v>
      </c>
      <c r="J235" s="55"/>
      <c r="K235" s="202"/>
      <c r="L235" s="246"/>
      <c r="M235" s="174"/>
      <c r="N235" s="174"/>
      <c r="O235" s="175"/>
      <c r="P235" s="118" t="b">
        <v>0</v>
      </c>
      <c r="Q235" s="118" t="b">
        <v>0</v>
      </c>
      <c r="R235" s="55"/>
      <c r="S235" s="118" t="b">
        <v>0</v>
      </c>
      <c r="T235" s="177" t="b">
        <v>0</v>
      </c>
      <c r="U235" s="178">
        <v>45071.0</v>
      </c>
      <c r="V235" s="179">
        <v>0.4270833333333333</v>
      </c>
      <c r="W235" s="110" t="s">
        <v>320</v>
      </c>
      <c r="X235" s="180"/>
      <c r="Y235" s="118" t="b">
        <v>0</v>
      </c>
      <c r="Z235" s="169">
        <v>6.0</v>
      </c>
      <c r="AA235" s="196">
        <f t="shared" si="1"/>
        <v>0</v>
      </c>
      <c r="AB235" s="197" t="b">
        <f t="shared" si="2"/>
        <v>1</v>
      </c>
      <c r="AC235" s="169">
        <v>4.0</v>
      </c>
      <c r="AD235" s="169">
        <v>0.0</v>
      </c>
      <c r="AE235" s="169">
        <v>0.0</v>
      </c>
      <c r="AF235" s="169">
        <v>0.0</v>
      </c>
      <c r="AG235" s="169">
        <v>0.0</v>
      </c>
      <c r="AH235" s="169">
        <v>0.0</v>
      </c>
      <c r="AI235" s="169">
        <v>0.0</v>
      </c>
      <c r="AJ235" s="182" t="b">
        <v>0</v>
      </c>
      <c r="AK235" s="183">
        <v>4.0</v>
      </c>
      <c r="AL235" s="169">
        <v>0.0</v>
      </c>
      <c r="AM235" s="172" t="str">
        <f t="shared" si="56"/>
        <v>Audit</v>
      </c>
      <c r="AN235" s="198" t="str">
        <f>IFNA(VLOOKUP($A235,'Tube Reactions'!$J$2:$K259,2,FALSE),"")</f>
        <v/>
      </c>
      <c r="AO235" s="199" t="str">
        <f t="shared" si="20"/>
        <v>NOT EQUAL</v>
      </c>
      <c r="AP235" s="186" t="str">
        <f t="shared" si="36"/>
        <v/>
      </c>
      <c r="AQ235" s="187" t="b">
        <f t="shared" si="5"/>
        <v>1</v>
      </c>
      <c r="AR235" s="188">
        <v>234.0</v>
      </c>
      <c r="AS235" s="189"/>
      <c r="AT235" s="55"/>
      <c r="AU235" s="110" t="s">
        <v>1206</v>
      </c>
      <c r="AV235" s="169"/>
      <c r="AW235" s="118"/>
      <c r="AX235" s="190"/>
      <c r="AY235" s="48"/>
      <c r="BA235" s="169"/>
      <c r="BB235" s="18"/>
      <c r="BC235" s="18"/>
      <c r="BD235" s="48"/>
      <c r="BE235" s="192"/>
      <c r="BF235" s="76">
        <f t="shared" si="11"/>
        <v>45071</v>
      </c>
      <c r="BG235" s="114" t="str">
        <f t="shared" si="12"/>
        <v>RUN-ABRM_2023-05-25_RFR-234</v>
      </c>
      <c r="BH235" s="83">
        <f t="shared" si="13"/>
        <v>6</v>
      </c>
      <c r="BI235" s="83">
        <f t="shared" si="14"/>
        <v>4</v>
      </c>
      <c r="BJ235" s="83">
        <f t="shared" si="15"/>
        <v>4</v>
      </c>
      <c r="BK235" s="83">
        <f t="shared" si="16"/>
        <v>0</v>
      </c>
      <c r="BL235" s="200">
        <f>IFNA(IF(VLOOKUP(FLOOR($B235,1),'APS Tubes by Date IMPORT'!$B$2:$J259,1,FALSE)=FLOOR($BL234,1),IFERROR(0/0,""),VLOOKUP(FLOOR($B235,1),'APS Tubes by Date IMPORT'!$B$2:$J259,1,FALSE)),"")</f>
        <v>45071</v>
      </c>
      <c r="BM235" s="83">
        <f>IF(ISBLANK($BL235),IFERROR(0/0,""),VLOOKUP(FLOOR($B235,1),'APS Tubes by Date IMPORT'!$B$2:$J259,2,FALSE))</f>
        <v>5</v>
      </c>
      <c r="BN235" s="114"/>
      <c r="BO235" s="83" t="str">
        <f>VLOOKUP(FLOOR($B235,1),'APS Tubes by Date IMPORT'!$B235:$I259,6,FALSE)</f>
        <v>#N/A</v>
      </c>
      <c r="BP235" s="83">
        <v>7.0</v>
      </c>
      <c r="BQ235" s="193">
        <f t="shared" si="17"/>
        <v>2</v>
      </c>
      <c r="BR235" s="131">
        <v>3.0</v>
      </c>
      <c r="BS235" s="76" t="b">
        <f t="shared" si="18"/>
        <v>1</v>
      </c>
      <c r="BT235" s="194" t="str">
        <f t="shared" si="19"/>
        <v>Delete NULL</v>
      </c>
      <c r="BU235" s="256"/>
      <c r="BV235" s="256"/>
      <c r="BW235" s="256"/>
      <c r="BX235" s="256"/>
    </row>
    <row r="236">
      <c r="A236" s="18" t="str">
        <f>CONCATENATE("RUN-",'Process Ref'!$A$1,"_",TEXT(U236,"YYYY-MM-DD"),"_RFR-",TEXT(AR236,"000"),IF(EXACT(W236,"Initial"),"",CONCATENATE("_",W236)))</f>
        <v>RUN-ABRM_2023-05-26_RFR-235</v>
      </c>
      <c r="B236" s="251">
        <v>45072.375556087965</v>
      </c>
      <c r="C236" s="92"/>
      <c r="D236" s="92" t="s">
        <v>313</v>
      </c>
      <c r="E236" s="131">
        <v>6.0</v>
      </c>
      <c r="F236" s="92" t="s">
        <v>1321</v>
      </c>
      <c r="G236" s="252" t="s">
        <v>1322</v>
      </c>
      <c r="H236" s="252" t="s">
        <v>1323</v>
      </c>
      <c r="I236" s="252" t="s">
        <v>1324</v>
      </c>
      <c r="J236" s="55"/>
      <c r="K236" s="202"/>
      <c r="L236" s="246"/>
      <c r="M236" s="174"/>
      <c r="N236" s="174"/>
      <c r="O236" s="175"/>
      <c r="P236" s="118" t="b">
        <v>0</v>
      </c>
      <c r="Q236" s="118" t="b">
        <v>0</v>
      </c>
      <c r="R236" s="55"/>
      <c r="S236" s="118" t="b">
        <v>0</v>
      </c>
      <c r="T236" s="177" t="b">
        <v>0</v>
      </c>
      <c r="U236" s="178">
        <v>45072.0</v>
      </c>
      <c r="V236" s="179">
        <v>0.4166666666666667</v>
      </c>
      <c r="W236" s="110" t="s">
        <v>320</v>
      </c>
      <c r="X236" s="180"/>
      <c r="Y236" s="118" t="b">
        <v>0</v>
      </c>
      <c r="Z236" s="169">
        <v>6.0</v>
      </c>
      <c r="AA236" s="196">
        <f t="shared" si="1"/>
        <v>0</v>
      </c>
      <c r="AB236" s="197" t="b">
        <f t="shared" si="2"/>
        <v>1</v>
      </c>
      <c r="AC236" s="169">
        <v>4.0</v>
      </c>
      <c r="AD236" s="169">
        <v>0.0</v>
      </c>
      <c r="AE236" s="169">
        <v>0.0</v>
      </c>
      <c r="AF236" s="169">
        <v>0.0</v>
      </c>
      <c r="AG236" s="169">
        <v>0.0</v>
      </c>
      <c r="AH236" s="169">
        <v>0.0</v>
      </c>
      <c r="AI236" s="169">
        <v>0.0</v>
      </c>
      <c r="AJ236" s="182" t="b">
        <v>0</v>
      </c>
      <c r="AK236" s="183">
        <v>4.0</v>
      </c>
      <c r="AL236" s="169">
        <v>0.0</v>
      </c>
      <c r="AM236" s="172" t="str">
        <f t="shared" si="56"/>
        <v>Audit</v>
      </c>
      <c r="AN236" s="198" t="str">
        <f>IFNA(VLOOKUP($A236,'Tube Reactions'!$J$2:$K259,2,FALSE),"")</f>
        <v/>
      </c>
      <c r="AO236" s="199" t="str">
        <f t="shared" si="20"/>
        <v>NOT EQUAL</v>
      </c>
      <c r="AP236" s="186" t="str">
        <f t="shared" si="36"/>
        <v/>
      </c>
      <c r="AQ236" s="187" t="b">
        <f t="shared" si="5"/>
        <v>1</v>
      </c>
      <c r="AR236" s="188">
        <v>235.0</v>
      </c>
      <c r="AS236" s="189"/>
      <c r="AT236" s="55"/>
      <c r="AU236" s="110" t="s">
        <v>1206</v>
      </c>
      <c r="AV236" s="169"/>
      <c r="AW236" s="118"/>
      <c r="AX236" s="190"/>
      <c r="AY236" s="48"/>
      <c r="BA236" s="169"/>
      <c r="BB236" s="18"/>
      <c r="BC236" s="18"/>
      <c r="BD236" s="48"/>
      <c r="BE236" s="192"/>
      <c r="BF236" s="76">
        <f t="shared" si="11"/>
        <v>45072</v>
      </c>
      <c r="BG236" s="114" t="str">
        <f t="shared" si="12"/>
        <v>RUN-ABRM_2023-05-26_RFR-235</v>
      </c>
      <c r="BH236" s="83">
        <f t="shared" si="13"/>
        <v>6</v>
      </c>
      <c r="BI236" s="83">
        <f t="shared" si="14"/>
        <v>4</v>
      </c>
      <c r="BJ236" s="83">
        <f t="shared" si="15"/>
        <v>4</v>
      </c>
      <c r="BK236" s="83">
        <f t="shared" si="16"/>
        <v>0</v>
      </c>
      <c r="BL236" s="200">
        <f>IFNA(IF(VLOOKUP(FLOOR($B236,1),'APS Tubes by Date IMPORT'!$B$2:$J259,1,FALSE)=FLOOR($BL235,1),IFERROR(0/0,""),VLOOKUP(FLOOR($B236,1),'APS Tubes by Date IMPORT'!$B$2:$J259,1,FALSE)),"")</f>
        <v>45072</v>
      </c>
      <c r="BM236" s="83">
        <f>IF(ISBLANK($BL236),IFERROR(0/0,""),VLOOKUP(FLOOR($B236,1),'APS Tubes by Date IMPORT'!$B$2:$J259,2,FALSE))</f>
        <v>4</v>
      </c>
      <c r="BN236" s="114"/>
      <c r="BO236" s="83" t="str">
        <f>VLOOKUP(FLOOR($B236,1),'APS Tubes by Date IMPORT'!$B236:$I259,6,FALSE)</f>
        <v>#N/A</v>
      </c>
      <c r="BP236" s="83">
        <v>7.0</v>
      </c>
      <c r="BQ236" s="193">
        <f t="shared" si="17"/>
        <v>3</v>
      </c>
      <c r="BR236" s="131">
        <v>3.0</v>
      </c>
      <c r="BS236" s="76" t="b">
        <f t="shared" si="18"/>
        <v>1</v>
      </c>
      <c r="BT236" s="194" t="str">
        <f t="shared" si="19"/>
        <v>Delete NULL</v>
      </c>
      <c r="BU236" s="256"/>
      <c r="BV236" s="256"/>
      <c r="BW236" s="256"/>
      <c r="BX236" s="256"/>
    </row>
    <row r="237">
      <c r="A237" s="18" t="str">
        <f>CONCATENATE("RUN-",'Process Ref'!$A$1,"_",TEXT(U237,"YYYY-MM-DD"),"_RFR-",TEXT(AR237,"000"),IF(EXACT(W237,"Initial"),"",CONCATENATE("_",W237)))</f>
        <v>RUN-ABRM_2023-05-29_RFR-236</v>
      </c>
      <c r="B237" s="251">
        <v>45075.38045028935</v>
      </c>
      <c r="C237" s="92"/>
      <c r="D237" s="92" t="s">
        <v>313</v>
      </c>
      <c r="E237" s="131">
        <v>7.0</v>
      </c>
      <c r="F237" s="92" t="s">
        <v>1325</v>
      </c>
      <c r="G237" s="252" t="s">
        <v>1326</v>
      </c>
      <c r="H237" s="252" t="s">
        <v>1327</v>
      </c>
      <c r="I237" s="252" t="s">
        <v>1328</v>
      </c>
      <c r="J237" s="55"/>
      <c r="K237" s="202"/>
      <c r="L237" s="246"/>
      <c r="M237" s="174"/>
      <c r="N237" s="174"/>
      <c r="O237" s="175"/>
      <c r="P237" s="118" t="b">
        <v>0</v>
      </c>
      <c r="Q237" s="118" t="b">
        <v>0</v>
      </c>
      <c r="R237" s="55"/>
      <c r="S237" s="118" t="b">
        <v>0</v>
      </c>
      <c r="T237" s="177" t="b">
        <v>0</v>
      </c>
      <c r="U237" s="178">
        <v>45075.0</v>
      </c>
      <c r="V237" s="179">
        <v>0.4166666666666667</v>
      </c>
      <c r="W237" s="110" t="s">
        <v>320</v>
      </c>
      <c r="X237" s="203" t="s">
        <v>690</v>
      </c>
      <c r="Y237" s="118" t="b">
        <v>0</v>
      </c>
      <c r="Z237" s="169">
        <v>7.0</v>
      </c>
      <c r="AA237" s="196">
        <f t="shared" si="1"/>
        <v>0</v>
      </c>
      <c r="AB237" s="197" t="b">
        <f t="shared" si="2"/>
        <v>1</v>
      </c>
      <c r="AC237" s="169">
        <v>5.0</v>
      </c>
      <c r="AD237" s="169">
        <v>0.0</v>
      </c>
      <c r="AE237" s="169">
        <v>0.0</v>
      </c>
      <c r="AF237" s="169">
        <v>0.0</v>
      </c>
      <c r="AG237" s="169">
        <v>0.0</v>
      </c>
      <c r="AH237" s="169">
        <v>0.0</v>
      </c>
      <c r="AI237" s="169">
        <v>0.0</v>
      </c>
      <c r="AJ237" s="182" t="b">
        <v>0</v>
      </c>
      <c r="AK237" s="183">
        <v>5.0</v>
      </c>
      <c r="AL237" s="169">
        <v>0.0</v>
      </c>
      <c r="AM237" s="172" t="str">
        <f t="shared" si="56"/>
        <v>Audit</v>
      </c>
      <c r="AN237" s="198" t="str">
        <f>IFNA(VLOOKUP($A237,'Tube Reactions'!$J$2:$K259,2,FALSE),"")</f>
        <v/>
      </c>
      <c r="AO237" s="199" t="str">
        <f t="shared" si="20"/>
        <v>NOT EQUAL</v>
      </c>
      <c r="AP237" s="186" t="str">
        <f t="shared" si="36"/>
        <v/>
      </c>
      <c r="AQ237" s="187" t="b">
        <f t="shared" si="5"/>
        <v>1</v>
      </c>
      <c r="AR237" s="188">
        <v>236.0</v>
      </c>
      <c r="AS237" s="189"/>
      <c r="AT237" s="55"/>
      <c r="AU237" s="110" t="s">
        <v>1206</v>
      </c>
      <c r="AV237" s="169"/>
      <c r="AW237" s="118"/>
      <c r="AX237" s="190"/>
      <c r="AY237" s="48"/>
      <c r="BA237" s="169"/>
      <c r="BB237" s="18"/>
      <c r="BC237" s="18"/>
      <c r="BD237" s="48"/>
      <c r="BE237" s="192"/>
      <c r="BF237" s="76">
        <f t="shared" si="11"/>
        <v>45075</v>
      </c>
      <c r="BG237" s="114" t="str">
        <f t="shared" si="12"/>
        <v>RUN-ABRM_2023-05-29_RFR-236</v>
      </c>
      <c r="BH237" s="83">
        <f t="shared" si="13"/>
        <v>7</v>
      </c>
      <c r="BI237" s="83">
        <f t="shared" si="14"/>
        <v>5</v>
      </c>
      <c r="BJ237" s="83">
        <f t="shared" si="15"/>
        <v>5</v>
      </c>
      <c r="BK237" s="83">
        <f t="shared" si="16"/>
        <v>0</v>
      </c>
      <c r="BL237" s="200">
        <f>IFNA(IF(VLOOKUP(FLOOR($B237,1),'APS Tubes by Date IMPORT'!$B$2:$J259,1,FALSE)=FLOOR($BL236,1),IFERROR(0/0,""),VLOOKUP(FLOOR($B237,1),'APS Tubes by Date IMPORT'!$B$2:$J259,1,FALSE)),"")</f>
        <v>45075</v>
      </c>
      <c r="BM237" s="83">
        <f>IF(ISBLANK($BL237),IFERROR(0/0,""),VLOOKUP(FLOOR($B237,1),'APS Tubes by Date IMPORT'!$B$2:$J259,2,FALSE))</f>
        <v>4</v>
      </c>
      <c r="BN237" s="114"/>
      <c r="BO237" s="83" t="str">
        <f>VLOOKUP(FLOOR($B237,1),'APS Tubes by Date IMPORT'!$B237:$I259,6,FALSE)</f>
        <v>#N/A</v>
      </c>
      <c r="BP237" s="83">
        <v>7.0</v>
      </c>
      <c r="BQ237" s="193">
        <f t="shared" si="17"/>
        <v>3</v>
      </c>
      <c r="BR237" s="131">
        <v>3.0</v>
      </c>
      <c r="BS237" s="76" t="b">
        <f t="shared" si="18"/>
        <v>1</v>
      </c>
      <c r="BT237" s="194" t="str">
        <f t="shared" si="19"/>
        <v>Delete NULL</v>
      </c>
      <c r="BU237" s="256"/>
      <c r="BV237" s="256"/>
      <c r="BW237" s="256"/>
      <c r="BX237" s="256"/>
    </row>
    <row r="238">
      <c r="A238" s="18" t="str">
        <f>CONCATENATE("RUN-",'Process Ref'!$A$1,"_",TEXT(U238,"YYYY-MM-DD"),"_RFR-",TEXT(AR238,"000"),IF(EXACT(W238,"Initial"),"",CONCATENATE("_",W238)))</f>
        <v>RUN-ABRM_2023-05-30_RFR-237</v>
      </c>
      <c r="B238" s="251">
        <v>45076.39975972222</v>
      </c>
      <c r="C238" s="92"/>
      <c r="D238" s="92" t="s">
        <v>313</v>
      </c>
      <c r="E238" s="131">
        <v>7.0</v>
      </c>
      <c r="F238" s="92" t="s">
        <v>1329</v>
      </c>
      <c r="G238" s="252" t="s">
        <v>1330</v>
      </c>
      <c r="H238" s="252" t="s">
        <v>1331</v>
      </c>
      <c r="I238" s="252" t="s">
        <v>1332</v>
      </c>
      <c r="J238" s="262">
        <v>1.0</v>
      </c>
      <c r="K238" s="202"/>
      <c r="L238" s="246"/>
      <c r="M238" s="174"/>
      <c r="N238" s="174"/>
      <c r="O238" s="175"/>
      <c r="P238" s="118" t="b">
        <v>0</v>
      </c>
      <c r="Q238" s="118" t="b">
        <v>0</v>
      </c>
      <c r="R238" s="55"/>
      <c r="S238" s="118" t="b">
        <v>0</v>
      </c>
      <c r="T238" s="177" t="b">
        <v>1</v>
      </c>
      <c r="U238" s="178">
        <v>45076.0</v>
      </c>
      <c r="V238" s="179">
        <v>0.4131944444444444</v>
      </c>
      <c r="W238" s="110" t="s">
        <v>320</v>
      </c>
      <c r="X238" s="180"/>
      <c r="Y238" s="118" t="b">
        <v>0</v>
      </c>
      <c r="Z238" s="169">
        <v>7.0</v>
      </c>
      <c r="AA238" s="196">
        <f t="shared" si="1"/>
        <v>0</v>
      </c>
      <c r="AB238" s="197" t="b">
        <f t="shared" si="2"/>
        <v>1</v>
      </c>
      <c r="AC238" s="169">
        <v>5.0</v>
      </c>
      <c r="AD238" s="169">
        <v>1.0</v>
      </c>
      <c r="AE238" s="169">
        <v>1.0</v>
      </c>
      <c r="AF238" s="169">
        <v>0.0</v>
      </c>
      <c r="AG238" s="169">
        <v>0.0</v>
      </c>
      <c r="AH238" s="169">
        <v>0.0</v>
      </c>
      <c r="AI238" s="169">
        <v>0.0</v>
      </c>
      <c r="AJ238" s="182" t="b">
        <v>0</v>
      </c>
      <c r="AK238" s="183">
        <v>5.0</v>
      </c>
      <c r="AL238" s="169">
        <v>1.1</v>
      </c>
      <c r="AM238" s="172" t="str">
        <f t="shared" si="56"/>
        <v>Audit</v>
      </c>
      <c r="AN238" s="198" t="str">
        <f>IFNA(VLOOKUP($A238,'Tube Reactions'!$J$2:$K259,2,FALSE),"")</f>
        <v/>
      </c>
      <c r="AO238" s="199" t="str">
        <f t="shared" si="20"/>
        <v>NOT EQUAL</v>
      </c>
      <c r="AP238" s="186" t="str">
        <f t="shared" si="36"/>
        <v/>
      </c>
      <c r="AQ238" s="187" t="b">
        <f t="shared" si="5"/>
        <v>1</v>
      </c>
      <c r="AR238" s="188">
        <v>237.0</v>
      </c>
      <c r="AS238" s="189"/>
      <c r="AT238" s="55"/>
      <c r="AU238" s="110" t="s">
        <v>1206</v>
      </c>
      <c r="AV238" s="169"/>
      <c r="AW238" s="118"/>
      <c r="AX238" s="190"/>
      <c r="AY238" s="48"/>
      <c r="BA238" s="169"/>
      <c r="BB238" s="18"/>
      <c r="BC238" s="18"/>
      <c r="BD238" s="48"/>
      <c r="BE238" s="192"/>
      <c r="BF238" s="76">
        <f t="shared" si="11"/>
        <v>45076</v>
      </c>
      <c r="BG238" s="114" t="str">
        <f t="shared" si="12"/>
        <v>RUN-ABRM_2023-05-30_RFR-237</v>
      </c>
      <c r="BH238" s="83">
        <f t="shared" si="13"/>
        <v>7</v>
      </c>
      <c r="BI238" s="83">
        <f t="shared" si="14"/>
        <v>5</v>
      </c>
      <c r="BJ238" s="83">
        <f t="shared" si="15"/>
        <v>5</v>
      </c>
      <c r="BK238" s="83">
        <f t="shared" si="16"/>
        <v>1.1</v>
      </c>
      <c r="BL238" s="200">
        <f>IFNA(IF(VLOOKUP(FLOOR($B238,1),'APS Tubes by Date IMPORT'!$B$2:$J259,1,FALSE)=FLOOR($BL237,1),IFERROR(0/0,""),VLOOKUP(FLOOR($B238,1),'APS Tubes by Date IMPORT'!$B$2:$J259,1,FALSE)),"")</f>
        <v>45076</v>
      </c>
      <c r="BM238" s="83">
        <f>IF(ISBLANK($BL238),IFERROR(0/0,""),VLOOKUP(FLOOR($B238,1),'APS Tubes by Date IMPORT'!$B$2:$J259,2,FALSE))</f>
        <v>5</v>
      </c>
      <c r="BN238" s="114"/>
      <c r="BO238" s="83" t="str">
        <f>VLOOKUP(FLOOR($B238,1),'APS Tubes by Date IMPORT'!$B238:$I259,6,FALSE)</f>
        <v>#N/A</v>
      </c>
      <c r="BP238" s="83">
        <v>7.0</v>
      </c>
      <c r="BQ238" s="193">
        <f t="shared" si="17"/>
        <v>2</v>
      </c>
      <c r="BR238" s="131">
        <v>3.0</v>
      </c>
      <c r="BS238" s="76" t="b">
        <f t="shared" si="18"/>
        <v>1</v>
      </c>
      <c r="BT238" s="194" t="str">
        <f t="shared" si="19"/>
        <v>Delete NULL</v>
      </c>
      <c r="BU238" s="256"/>
      <c r="BV238" s="256"/>
      <c r="BW238" s="256"/>
      <c r="BX238" s="256"/>
    </row>
    <row r="239">
      <c r="A239" s="18" t="str">
        <f>CONCATENATE("RUN-",'Process Ref'!$A$1,"_",TEXT(U239,"YYYY-MM-DD"),"_RFR-",TEXT(AR239,"000"),IF(EXACT(W239,"Initial"),"",CONCATENATE("_",W239)))</f>
        <v>RUN-ABRM_2023-05-30_RFR-238_Re-run</v>
      </c>
      <c r="B239" s="251">
        <v>45076.4673045949</v>
      </c>
      <c r="C239" s="92"/>
      <c r="D239" s="92" t="s">
        <v>313</v>
      </c>
      <c r="E239" s="131">
        <v>5.0</v>
      </c>
      <c r="F239" s="92" t="s">
        <v>1329</v>
      </c>
      <c r="G239" s="252" t="s">
        <v>1333</v>
      </c>
      <c r="H239" s="252" t="s">
        <v>1334</v>
      </c>
      <c r="I239" s="252" t="s">
        <v>1335</v>
      </c>
      <c r="J239" s="55"/>
      <c r="K239" s="202"/>
      <c r="L239" s="246"/>
      <c r="M239" s="174"/>
      <c r="N239" s="174"/>
      <c r="O239" s="175"/>
      <c r="P239" s="118" t="b">
        <v>0</v>
      </c>
      <c r="Q239" s="118" t="b">
        <v>0</v>
      </c>
      <c r="R239" s="55"/>
      <c r="S239" s="118" t="b">
        <v>0</v>
      </c>
      <c r="T239" s="177" t="b">
        <v>1</v>
      </c>
      <c r="U239" s="178">
        <v>45076.0</v>
      </c>
      <c r="V239" s="179">
        <v>0.4583333333333333</v>
      </c>
      <c r="W239" s="110" t="s">
        <v>339</v>
      </c>
      <c r="X239" s="180"/>
      <c r="Y239" s="118" t="b">
        <v>0</v>
      </c>
      <c r="Z239" s="169">
        <v>5.0</v>
      </c>
      <c r="AA239" s="196">
        <f t="shared" si="1"/>
        <v>0</v>
      </c>
      <c r="AB239" s="197" t="b">
        <f t="shared" si="2"/>
        <v>1</v>
      </c>
      <c r="AC239" s="169">
        <v>5.0</v>
      </c>
      <c r="AD239" s="169">
        <v>0.0</v>
      </c>
      <c r="AE239" s="169">
        <v>0.0</v>
      </c>
      <c r="AF239" s="169">
        <v>0.0</v>
      </c>
      <c r="AG239" s="169">
        <v>0.0</v>
      </c>
      <c r="AH239" s="169">
        <v>0.0</v>
      </c>
      <c r="AI239" s="169">
        <v>0.0</v>
      </c>
      <c r="AJ239" s="182" t="b">
        <v>0</v>
      </c>
      <c r="AK239" s="183">
        <v>5.0</v>
      </c>
      <c r="AL239" s="169">
        <v>0.0</v>
      </c>
      <c r="AM239" s="172" t="str">
        <f t="shared" si="56"/>
        <v/>
      </c>
      <c r="AN239" s="198" t="str">
        <f>IFNA(VLOOKUP($A239,'Tube Reactions'!$J$2:$K259,2,FALSE),"")</f>
        <v/>
      </c>
      <c r="AO239" s="199" t="str">
        <f t="shared" si="20"/>
        <v/>
      </c>
      <c r="AP239" s="186" t="str">
        <f t="shared" si="36"/>
        <v/>
      </c>
      <c r="AQ239" s="187" t="b">
        <f t="shared" si="5"/>
        <v>1</v>
      </c>
      <c r="AR239" s="188">
        <v>238.0</v>
      </c>
      <c r="AS239" s="189"/>
      <c r="AT239" s="55"/>
      <c r="AU239" s="110" t="s">
        <v>1206</v>
      </c>
      <c r="AV239" s="169"/>
      <c r="AW239" s="118"/>
      <c r="AX239" s="190"/>
      <c r="AY239" s="48"/>
      <c r="BA239" s="169"/>
      <c r="BB239" s="18"/>
      <c r="BC239" s="18"/>
      <c r="BD239" s="48"/>
      <c r="BE239" s="192"/>
      <c r="BF239" s="76" t="str">
        <f t="shared" si="11"/>
        <v/>
      </c>
      <c r="BG239" s="114" t="str">
        <f t="shared" si="12"/>
        <v/>
      </c>
      <c r="BH239" s="83" t="str">
        <f t="shared" si="13"/>
        <v/>
      </c>
      <c r="BI239" s="83" t="str">
        <f t="shared" si="14"/>
        <v/>
      </c>
      <c r="BJ239" s="83" t="str">
        <f t="shared" si="15"/>
        <v/>
      </c>
      <c r="BK239" s="83" t="str">
        <f t="shared" si="16"/>
        <v/>
      </c>
      <c r="BL239" s="200" t="str">
        <f>IFNA(IF(VLOOKUP(FLOOR($B239,1),'APS Tubes by Date IMPORT'!$B$2:$J259,1,FALSE)=FLOOR($BL238,1),IFERROR(0/0,""),VLOOKUP(FLOOR($B239,1),'APS Tubes by Date IMPORT'!$B$2:$J259,1,FALSE)),"")</f>
        <v/>
      </c>
      <c r="BM239" s="83" t="str">
        <f>IF(ISBLANK($BL239),IFERROR(0/0,""),VLOOKUP(FLOOR($B239,1),'APS Tubes by Date IMPORT'!$B$2:$J259,2,FALSE))</f>
        <v/>
      </c>
      <c r="BN239" s="114"/>
      <c r="BO239" s="83" t="str">
        <f>VLOOKUP(FLOOR($B239,1),'APS Tubes by Date IMPORT'!$B239:$I259,6,FALSE)</f>
        <v>#N/A</v>
      </c>
      <c r="BP239" s="83">
        <v>7.0</v>
      </c>
      <c r="BQ239" s="193">
        <f t="shared" si="17"/>
        <v>7</v>
      </c>
      <c r="BR239" s="131">
        <v>3.0</v>
      </c>
      <c r="BS239" s="76" t="b">
        <f t="shared" si="18"/>
        <v>1</v>
      </c>
      <c r="BT239" s="194" t="str">
        <f t="shared" si="19"/>
        <v>Delete NULL</v>
      </c>
      <c r="BU239" s="256"/>
      <c r="BV239" s="256"/>
      <c r="BW239" s="256"/>
      <c r="BX239" s="256"/>
    </row>
    <row r="240">
      <c r="A240" s="18" t="str">
        <f>CONCATENATE("RUN-",'Process Ref'!$A$1,"_",TEXT(U240,"YYYY-MM-DD"),"_RFR-",TEXT(AR240,"000"),IF(EXACT(W240,"Initial"),"",CONCATENATE("_",W240)))</f>
        <v>RUN-ABRM_2023-05-31_RFR-239</v>
      </c>
      <c r="B240" s="251">
        <v>45077.392981516205</v>
      </c>
      <c r="C240" s="92"/>
      <c r="D240" s="92" t="s">
        <v>313</v>
      </c>
      <c r="E240" s="131">
        <v>8.0</v>
      </c>
      <c r="F240" s="92" t="s">
        <v>1336</v>
      </c>
      <c r="G240" s="252" t="s">
        <v>1337</v>
      </c>
      <c r="H240" s="252" t="s">
        <v>1338</v>
      </c>
      <c r="I240" s="252" t="s">
        <v>1339</v>
      </c>
      <c r="J240" s="262">
        <v>1.0</v>
      </c>
      <c r="K240" s="202"/>
      <c r="L240" s="246"/>
      <c r="M240" s="174"/>
      <c r="N240" s="174"/>
      <c r="O240" s="175"/>
      <c r="P240" s="118" t="b">
        <v>0</v>
      </c>
      <c r="Q240" s="118" t="b">
        <v>0</v>
      </c>
      <c r="R240" s="55"/>
      <c r="S240" s="118" t="b">
        <v>0</v>
      </c>
      <c r="T240" s="177" t="b">
        <v>0</v>
      </c>
      <c r="U240" s="178">
        <v>45077.0</v>
      </c>
      <c r="V240" s="179">
        <v>0.4236111111111111</v>
      </c>
      <c r="W240" s="110" t="s">
        <v>320</v>
      </c>
      <c r="X240" s="180"/>
      <c r="Y240" s="118" t="b">
        <v>0</v>
      </c>
      <c r="Z240" s="169">
        <v>8.0</v>
      </c>
      <c r="AA240" s="196">
        <f t="shared" si="1"/>
        <v>0</v>
      </c>
      <c r="AB240" s="197" t="b">
        <f t="shared" si="2"/>
        <v>1</v>
      </c>
      <c r="AC240" s="169">
        <v>6.0</v>
      </c>
      <c r="AD240" s="169">
        <v>0.0</v>
      </c>
      <c r="AE240" s="169">
        <v>0.0</v>
      </c>
      <c r="AF240" s="169">
        <v>0.0</v>
      </c>
      <c r="AG240" s="169">
        <v>0.0</v>
      </c>
      <c r="AH240" s="169">
        <v>0.0</v>
      </c>
      <c r="AI240" s="169">
        <v>0.0</v>
      </c>
      <c r="AJ240" s="182" t="b">
        <v>0</v>
      </c>
      <c r="AK240" s="183">
        <v>6.0</v>
      </c>
      <c r="AL240" s="169">
        <v>0.0</v>
      </c>
      <c r="AM240" s="172" t="str">
        <f t="shared" si="56"/>
        <v>Audit</v>
      </c>
      <c r="AN240" s="198" t="str">
        <f>IFNA(VLOOKUP($A240,'Tube Reactions'!$J$2:$K259,2,FALSE),"")</f>
        <v/>
      </c>
      <c r="AO240" s="199" t="str">
        <f t="shared" si="20"/>
        <v>NOT EQUAL</v>
      </c>
      <c r="AP240" s="186" t="str">
        <f t="shared" si="36"/>
        <v/>
      </c>
      <c r="AQ240" s="187" t="b">
        <f t="shared" si="5"/>
        <v>1</v>
      </c>
      <c r="AR240" s="188">
        <v>239.0</v>
      </c>
      <c r="AS240" s="189"/>
      <c r="AT240" s="55"/>
      <c r="AU240" s="110" t="s">
        <v>1206</v>
      </c>
      <c r="AV240" s="169"/>
      <c r="AW240" s="118"/>
      <c r="AX240" s="190"/>
      <c r="AY240" s="48"/>
      <c r="BA240" s="169"/>
      <c r="BB240" s="18"/>
      <c r="BC240" s="18"/>
      <c r="BD240" s="48"/>
      <c r="BE240" s="192"/>
      <c r="BF240" s="76">
        <f t="shared" si="11"/>
        <v>45077</v>
      </c>
      <c r="BG240" s="114" t="str">
        <f t="shared" si="12"/>
        <v>RUN-ABRM_2023-05-31_RFR-239</v>
      </c>
      <c r="BH240" s="83">
        <f t="shared" si="13"/>
        <v>8</v>
      </c>
      <c r="BI240" s="83">
        <f t="shared" si="14"/>
        <v>6</v>
      </c>
      <c r="BJ240" s="83">
        <f t="shared" si="15"/>
        <v>6</v>
      </c>
      <c r="BK240" s="83">
        <f t="shared" si="16"/>
        <v>0</v>
      </c>
      <c r="BL240" s="200">
        <f>IFNA(IF(VLOOKUP(FLOOR($B240,1),'APS Tubes by Date IMPORT'!$B$2:$J259,1,FALSE)=FLOOR($BL239,1),IFERROR(0/0,""),VLOOKUP(FLOOR($B240,1),'APS Tubes by Date IMPORT'!$B$2:$J259,1,FALSE)),"")</f>
        <v>45077</v>
      </c>
      <c r="BM240" s="83">
        <f>IF(ISBLANK($BL240),IFERROR(0/0,""),VLOOKUP(FLOOR($B240,1),'APS Tubes by Date IMPORT'!$B$2:$J259,2,FALSE))</f>
        <v>6</v>
      </c>
      <c r="BN240" s="114"/>
      <c r="BO240" s="83" t="str">
        <f>VLOOKUP(FLOOR($B240,1),'APS Tubes by Date IMPORT'!$B240:$I259,6,FALSE)</f>
        <v>#N/A</v>
      </c>
      <c r="BP240" s="83">
        <v>7.0</v>
      </c>
      <c r="BQ240" s="193">
        <f t="shared" si="17"/>
        <v>1</v>
      </c>
      <c r="BR240" s="131">
        <v>3.0</v>
      </c>
      <c r="BS240" s="76" t="b">
        <f t="shared" si="18"/>
        <v>1</v>
      </c>
      <c r="BT240" s="194" t="str">
        <f t="shared" si="19"/>
        <v>Delete NULL</v>
      </c>
      <c r="BU240" s="256"/>
      <c r="BV240" s="256"/>
      <c r="BW240" s="256"/>
      <c r="BX240" s="256"/>
    </row>
    <row r="241">
      <c r="A241" s="18" t="str">
        <f>CONCATENATE("RUN-",'Process Ref'!$A$1,"_",TEXT(U241,"YYYY-MM-DD"),"_RFR-",TEXT(AR241,"000"),IF(EXACT(W241,"Initial"),"",CONCATENATE("_",W241)))</f>
        <v>RUN-ABRM_2023-06-01_RFR-240</v>
      </c>
      <c r="B241" s="251">
        <v>45078.378223576394</v>
      </c>
      <c r="C241" s="92"/>
      <c r="D241" s="92" t="s">
        <v>313</v>
      </c>
      <c r="E241" s="131">
        <v>7.0</v>
      </c>
      <c r="F241" s="92" t="s">
        <v>1340</v>
      </c>
      <c r="G241" s="253" t="s">
        <v>1341</v>
      </c>
      <c r="H241" s="252" t="s">
        <v>1342</v>
      </c>
      <c r="I241" s="252" t="s">
        <v>1343</v>
      </c>
      <c r="J241" s="55"/>
      <c r="K241" s="202"/>
      <c r="L241" s="246"/>
      <c r="M241" s="174"/>
      <c r="N241" s="174"/>
      <c r="O241" s="175"/>
      <c r="P241" s="118" t="b">
        <v>0</v>
      </c>
      <c r="Q241" s="118" t="b">
        <v>0</v>
      </c>
      <c r="R241" s="55"/>
      <c r="S241" s="118" t="b">
        <v>0</v>
      </c>
      <c r="T241" s="177" t="b">
        <v>0</v>
      </c>
      <c r="U241" s="178">
        <v>45078.0</v>
      </c>
      <c r="V241" s="179">
        <v>0.4166666666666667</v>
      </c>
      <c r="W241" s="110" t="s">
        <v>320</v>
      </c>
      <c r="X241" s="180"/>
      <c r="Y241" s="118" t="b">
        <v>0</v>
      </c>
      <c r="Z241" s="169">
        <v>7.0</v>
      </c>
      <c r="AA241" s="196">
        <f t="shared" si="1"/>
        <v>0</v>
      </c>
      <c r="AB241" s="197" t="b">
        <f t="shared" si="2"/>
        <v>1</v>
      </c>
      <c r="AC241" s="169">
        <v>5.0</v>
      </c>
      <c r="AD241" s="169">
        <v>0.0</v>
      </c>
      <c r="AE241" s="169">
        <v>0.0</v>
      </c>
      <c r="AF241" s="169">
        <v>0.0</v>
      </c>
      <c r="AG241" s="169">
        <v>0.0</v>
      </c>
      <c r="AH241" s="169">
        <v>0.0</v>
      </c>
      <c r="AI241" s="169">
        <v>0.0</v>
      </c>
      <c r="AJ241" s="182" t="b">
        <v>0</v>
      </c>
      <c r="AK241" s="183">
        <v>5.0</v>
      </c>
      <c r="AL241" s="169">
        <v>0.0</v>
      </c>
      <c r="AM241" s="172" t="str">
        <f t="shared" si="56"/>
        <v>Audit</v>
      </c>
      <c r="AN241" s="198" t="str">
        <f>IFNA(VLOOKUP($A241,'Tube Reactions'!$J$2:$K259,2,FALSE),"")</f>
        <v/>
      </c>
      <c r="AO241" s="199" t="str">
        <f t="shared" si="20"/>
        <v>NOT EQUAL</v>
      </c>
      <c r="AP241" s="186" t="str">
        <f t="shared" si="36"/>
        <v/>
      </c>
      <c r="AQ241" s="187" t="b">
        <f t="shared" si="5"/>
        <v>1</v>
      </c>
      <c r="AR241" s="188">
        <v>240.0</v>
      </c>
      <c r="AS241" s="189"/>
      <c r="AT241" s="55"/>
      <c r="AU241" s="110" t="s">
        <v>1206</v>
      </c>
      <c r="AV241" s="169"/>
      <c r="AW241" s="118"/>
      <c r="AX241" s="190"/>
      <c r="AY241" s="48"/>
      <c r="BA241" s="169"/>
      <c r="BB241" s="18"/>
      <c r="BC241" s="18"/>
      <c r="BD241" s="48"/>
      <c r="BE241" s="192"/>
      <c r="BF241" s="76">
        <f t="shared" si="11"/>
        <v>45078</v>
      </c>
      <c r="BG241" s="114" t="str">
        <f t="shared" si="12"/>
        <v>RUN-ABRM_2023-06-01_RFR-240</v>
      </c>
      <c r="BH241" s="83">
        <f t="shared" si="13"/>
        <v>7</v>
      </c>
      <c r="BI241" s="83">
        <f t="shared" si="14"/>
        <v>5</v>
      </c>
      <c r="BJ241" s="83">
        <f t="shared" si="15"/>
        <v>5</v>
      </c>
      <c r="BK241" s="83">
        <f t="shared" si="16"/>
        <v>0</v>
      </c>
      <c r="BL241" s="200">
        <f>IFNA(IF(VLOOKUP(FLOOR($B241,1),'APS Tubes by Date IMPORT'!$B$2:$J259,1,FALSE)=FLOOR($BL240,1),IFERROR(0/0,""),VLOOKUP(FLOOR($B241,1),'APS Tubes by Date IMPORT'!$B$2:$J259,1,FALSE)),"")</f>
        <v>45078</v>
      </c>
      <c r="BM241" s="83">
        <f>IF(ISBLANK($BL241),IFERROR(0/0,""),VLOOKUP(FLOOR($B241,1),'APS Tubes by Date IMPORT'!$B$2:$J259,2,FALSE))</f>
        <v>5</v>
      </c>
      <c r="BN241" s="114"/>
      <c r="BO241" s="83" t="str">
        <f>VLOOKUP(FLOOR($B241,1),'APS Tubes by Date IMPORT'!$B241:$I259,6,FALSE)</f>
        <v>#N/A</v>
      </c>
      <c r="BP241" s="83">
        <v>7.0</v>
      </c>
      <c r="BQ241" s="193">
        <f t="shared" si="17"/>
        <v>2</v>
      </c>
      <c r="BR241" s="131">
        <v>3.0</v>
      </c>
      <c r="BS241" s="76" t="b">
        <f t="shared" si="18"/>
        <v>1</v>
      </c>
      <c r="BT241" s="194" t="str">
        <f t="shared" si="19"/>
        <v>Delete NULL</v>
      </c>
      <c r="BU241" s="256"/>
      <c r="BV241" s="256"/>
      <c r="BW241" s="256"/>
      <c r="BX241" s="256"/>
    </row>
    <row r="242">
      <c r="B242" s="251"/>
      <c r="C242" s="92"/>
      <c r="D242" s="92"/>
      <c r="E242" s="131"/>
      <c r="F242" s="92"/>
      <c r="G242" s="213"/>
      <c r="H242" s="213"/>
      <c r="I242" s="213"/>
      <c r="J242" s="172"/>
      <c r="K242" s="202"/>
      <c r="L242" s="131"/>
      <c r="M242" s="174"/>
      <c r="N242" s="174"/>
      <c r="O242" s="175"/>
      <c r="P242" s="118"/>
      <c r="Q242" s="176"/>
      <c r="R242" s="55"/>
      <c r="S242" s="118"/>
      <c r="T242" s="177"/>
      <c r="U242" s="178"/>
      <c r="V242" s="179"/>
      <c r="W242" s="110"/>
      <c r="X242" s="180"/>
      <c r="Y242" s="118"/>
      <c r="Z242" s="169"/>
      <c r="AA242" s="196">
        <f t="shared" si="1"/>
        <v>0</v>
      </c>
      <c r="AB242" s="197" t="b">
        <f t="shared" si="2"/>
        <v>1</v>
      </c>
      <c r="AC242" s="169"/>
      <c r="AD242" s="169"/>
      <c r="AE242" s="169"/>
      <c r="AF242" s="169"/>
      <c r="AG242" s="169"/>
      <c r="AH242" s="169"/>
      <c r="AI242" s="169"/>
      <c r="AJ242" s="182"/>
      <c r="AK242" s="183"/>
      <c r="AL242" s="169"/>
      <c r="AM242" s="172" t="str">
        <f t="shared" si="56"/>
        <v/>
      </c>
      <c r="AN242" s="198" t="str">
        <f>IFNA(VLOOKUP($A242,'Tube Reactions'!$J$2:$K259,2,FALSE),"")</f>
        <v/>
      </c>
      <c r="AO242" s="199" t="str">
        <f t="shared" si="20"/>
        <v/>
      </c>
      <c r="AP242" s="186" t="str">
        <f t="shared" si="36"/>
        <v>Absent</v>
      </c>
      <c r="AQ242" s="187" t="b">
        <f t="shared" si="5"/>
        <v>0</v>
      </c>
      <c r="AR242" s="188"/>
      <c r="AS242" s="189"/>
      <c r="AT242" s="55"/>
      <c r="AU242" s="55"/>
      <c r="AV242" s="169"/>
      <c r="AW242" s="118"/>
      <c r="AX242" s="190"/>
      <c r="AY242" s="48"/>
      <c r="BA242" s="169"/>
      <c r="BB242" s="18"/>
      <c r="BC242" s="18"/>
      <c r="BD242" s="48"/>
      <c r="BE242" s="192"/>
      <c r="BF242" s="76" t="str">
        <f t="shared" si="11"/>
        <v/>
      </c>
      <c r="BG242" s="114" t="str">
        <f t="shared" si="12"/>
        <v/>
      </c>
      <c r="BH242" s="83"/>
      <c r="BI242" s="83"/>
      <c r="BJ242" s="83"/>
      <c r="BK242" s="83"/>
      <c r="BL242" s="8"/>
      <c r="BM242" s="83"/>
      <c r="BN242" s="114"/>
      <c r="BO242" s="83"/>
      <c r="BP242" s="83"/>
      <c r="BQ242" s="193"/>
      <c r="BR242" s="131"/>
      <c r="BS242" s="76"/>
      <c r="BT242" s="194"/>
      <c r="BU242" s="256"/>
      <c r="BV242" s="256"/>
      <c r="BW242" s="256"/>
      <c r="BX242" s="256"/>
    </row>
    <row r="243">
      <c r="B243" s="251"/>
      <c r="C243" s="92"/>
      <c r="D243" s="92"/>
      <c r="E243" s="131"/>
      <c r="F243" s="92"/>
      <c r="G243" s="213"/>
      <c r="H243" s="213"/>
      <c r="I243" s="213"/>
      <c r="J243" s="172"/>
      <c r="K243" s="202"/>
      <c r="L243" s="131"/>
      <c r="M243" s="174"/>
      <c r="N243" s="174"/>
      <c r="O243" s="175"/>
      <c r="P243" s="118"/>
      <c r="Q243" s="176"/>
      <c r="R243" s="55"/>
      <c r="S243" s="118"/>
      <c r="T243" s="177"/>
      <c r="U243" s="178"/>
      <c r="V243" s="179"/>
      <c r="W243" s="110"/>
      <c r="X243" s="180"/>
      <c r="Y243" s="118"/>
      <c r="Z243" s="169"/>
      <c r="AA243" s="196">
        <f t="shared" si="1"/>
        <v>0</v>
      </c>
      <c r="AB243" s="197" t="b">
        <f t="shared" si="2"/>
        <v>1</v>
      </c>
      <c r="AC243" s="169"/>
      <c r="AD243" s="169"/>
      <c r="AE243" s="169"/>
      <c r="AF243" s="169"/>
      <c r="AG243" s="169"/>
      <c r="AH243" s="169"/>
      <c r="AI243" s="169"/>
      <c r="AJ243" s="182"/>
      <c r="AK243" s="183"/>
      <c r="AL243" s="169"/>
      <c r="AM243" s="172" t="str">
        <f t="shared" si="56"/>
        <v/>
      </c>
      <c r="AN243" s="198" t="str">
        <f>IFNA(VLOOKUP($A243,'Tube Reactions'!$J$2:$K259,2,FALSE),"")</f>
        <v/>
      </c>
      <c r="AO243" s="199" t="str">
        <f t="shared" si="20"/>
        <v/>
      </c>
      <c r="AP243" s="186" t="str">
        <f t="shared" si="36"/>
        <v>Absent</v>
      </c>
      <c r="AQ243" s="187" t="b">
        <f t="shared" si="5"/>
        <v>0</v>
      </c>
      <c r="AR243" s="188"/>
      <c r="AS243" s="189"/>
      <c r="AT243" s="55"/>
      <c r="AU243" s="55"/>
      <c r="AV243" s="169"/>
      <c r="AW243" s="118"/>
      <c r="AX243" s="190"/>
      <c r="AY243" s="48"/>
      <c r="BA243" s="169"/>
      <c r="BB243" s="18"/>
      <c r="BC243" s="18"/>
      <c r="BD243" s="48"/>
      <c r="BE243" s="192"/>
      <c r="BF243" s="76" t="str">
        <f t="shared" si="11"/>
        <v/>
      </c>
      <c r="BG243" s="114" t="str">
        <f t="shared" si="12"/>
        <v/>
      </c>
      <c r="BH243" s="83"/>
      <c r="BI243" s="83"/>
      <c r="BJ243" s="83"/>
      <c r="BK243" s="83"/>
      <c r="BL243" s="8"/>
      <c r="BM243" s="83"/>
      <c r="BN243" s="114"/>
      <c r="BO243" s="83"/>
      <c r="BP243" s="83"/>
      <c r="BQ243" s="193"/>
      <c r="BR243" s="131"/>
      <c r="BS243" s="76"/>
      <c r="BT243" s="194"/>
      <c r="BU243" s="256"/>
      <c r="BV243" s="256"/>
      <c r="BW243" s="256"/>
      <c r="BX243" s="256"/>
    </row>
    <row r="244">
      <c r="B244" s="251"/>
      <c r="C244" s="92"/>
      <c r="D244" s="92"/>
      <c r="E244" s="131"/>
      <c r="F244" s="92"/>
      <c r="G244" s="213"/>
      <c r="H244" s="213"/>
      <c r="I244" s="213"/>
      <c r="J244" s="172"/>
      <c r="K244" s="202"/>
      <c r="L244" s="131"/>
      <c r="M244" s="174"/>
      <c r="N244" s="174"/>
      <c r="O244" s="175"/>
      <c r="P244" s="118"/>
      <c r="Q244" s="176"/>
      <c r="R244" s="55"/>
      <c r="S244" s="118"/>
      <c r="T244" s="177"/>
      <c r="U244" s="178"/>
      <c r="V244" s="179"/>
      <c r="W244" s="110"/>
      <c r="X244" s="180"/>
      <c r="Y244" s="118"/>
      <c r="Z244" s="169"/>
      <c r="AA244" s="196">
        <f t="shared" si="1"/>
        <v>0</v>
      </c>
      <c r="AB244" s="197" t="b">
        <f t="shared" si="2"/>
        <v>1</v>
      </c>
      <c r="AC244" s="169"/>
      <c r="AD244" s="169"/>
      <c r="AE244" s="169"/>
      <c r="AF244" s="169"/>
      <c r="AG244" s="169"/>
      <c r="AH244" s="169"/>
      <c r="AI244" s="169"/>
      <c r="AJ244" s="182"/>
      <c r="AK244" s="183"/>
      <c r="AL244" s="169"/>
      <c r="AM244" s="172" t="str">
        <f t="shared" si="56"/>
        <v/>
      </c>
      <c r="AN244" s="198" t="str">
        <f>IFNA(VLOOKUP($A244,'Tube Reactions'!$J$2:$K259,2,FALSE),"")</f>
        <v/>
      </c>
      <c r="AO244" s="199" t="str">
        <f t="shared" si="20"/>
        <v/>
      </c>
      <c r="AP244" s="186" t="str">
        <f t="shared" si="36"/>
        <v>Absent</v>
      </c>
      <c r="AQ244" s="187" t="b">
        <f t="shared" si="5"/>
        <v>0</v>
      </c>
      <c r="AR244" s="188"/>
      <c r="AS244" s="189"/>
      <c r="AT244" s="55"/>
      <c r="AU244" s="55"/>
      <c r="AV244" s="169"/>
      <c r="AW244" s="118"/>
      <c r="AX244" s="190"/>
      <c r="AY244" s="48"/>
      <c r="BA244" s="169"/>
      <c r="BB244" s="18"/>
      <c r="BC244" s="18"/>
      <c r="BD244" s="48"/>
      <c r="BE244" s="192"/>
      <c r="BF244" s="76" t="str">
        <f t="shared" si="11"/>
        <v/>
      </c>
      <c r="BG244" s="114" t="str">
        <f t="shared" si="12"/>
        <v/>
      </c>
      <c r="BH244" s="83"/>
      <c r="BI244" s="83"/>
      <c r="BJ244" s="83"/>
      <c r="BK244" s="83"/>
      <c r="BL244" s="8"/>
      <c r="BM244" s="83"/>
      <c r="BN244" s="114"/>
      <c r="BO244" s="83"/>
      <c r="BP244" s="83"/>
      <c r="BQ244" s="193"/>
      <c r="BR244" s="131"/>
      <c r="BS244" s="76"/>
      <c r="BT244" s="194"/>
      <c r="BU244" s="256"/>
      <c r="BV244" s="256"/>
      <c r="BW244" s="256"/>
      <c r="BX244" s="256"/>
    </row>
    <row r="245">
      <c r="B245" s="251"/>
      <c r="C245" s="92"/>
      <c r="D245" s="92"/>
      <c r="E245" s="131"/>
      <c r="F245" s="92"/>
      <c r="G245" s="213"/>
      <c r="H245" s="213"/>
      <c r="I245" s="213"/>
      <c r="J245" s="172"/>
      <c r="K245" s="202"/>
      <c r="L245" s="131"/>
      <c r="M245" s="174"/>
      <c r="N245" s="174"/>
      <c r="O245" s="175"/>
      <c r="P245" s="118"/>
      <c r="Q245" s="176"/>
      <c r="R245" s="55"/>
      <c r="S245" s="118"/>
      <c r="T245" s="118"/>
      <c r="U245" s="178"/>
      <c r="V245" s="179"/>
      <c r="W245" s="110"/>
      <c r="X245" s="180"/>
      <c r="Y245" s="118"/>
      <c r="Z245" s="169"/>
      <c r="AA245" s="196">
        <f t="shared" si="1"/>
        <v>0</v>
      </c>
      <c r="AB245" s="197" t="b">
        <f t="shared" si="2"/>
        <v>1</v>
      </c>
      <c r="AC245" s="169"/>
      <c r="AD245" s="169"/>
      <c r="AE245" s="169"/>
      <c r="AF245" s="169"/>
      <c r="AG245" s="169"/>
      <c r="AH245" s="169"/>
      <c r="AI245" s="169"/>
      <c r="AJ245" s="182"/>
      <c r="AK245" s="183"/>
      <c r="AL245" s="169"/>
      <c r="AM245" s="172" t="str">
        <f t="shared" si="56"/>
        <v/>
      </c>
      <c r="AN245" s="198" t="str">
        <f>IFNA(VLOOKUP($A245,'Tube Reactions'!$J$2:$K259,2,FALSE),"")</f>
        <v/>
      </c>
      <c r="AO245" s="199" t="str">
        <f t="shared" si="20"/>
        <v/>
      </c>
      <c r="AP245" s="186" t="str">
        <f t="shared" si="36"/>
        <v>Absent</v>
      </c>
      <c r="AQ245" s="187" t="b">
        <f t="shared" si="5"/>
        <v>0</v>
      </c>
      <c r="AR245" s="188"/>
      <c r="AS245" s="189"/>
      <c r="AT245" s="55"/>
      <c r="AU245" s="55"/>
      <c r="AV245" s="169"/>
      <c r="AW245" s="118"/>
      <c r="AX245" s="190"/>
      <c r="AY245" s="48"/>
      <c r="BA245" s="169"/>
      <c r="BB245" s="18"/>
      <c r="BC245" s="18"/>
      <c r="BD245" s="48"/>
      <c r="BE245" s="192"/>
      <c r="BF245" s="76" t="str">
        <f t="shared" si="11"/>
        <v/>
      </c>
      <c r="BG245" s="114" t="str">
        <f t="shared" si="12"/>
        <v/>
      </c>
      <c r="BH245" s="83"/>
      <c r="BI245" s="83"/>
      <c r="BJ245" s="83"/>
      <c r="BK245" s="83"/>
      <c r="BL245" s="8"/>
      <c r="BM245" s="83"/>
      <c r="BN245" s="114"/>
      <c r="BO245" s="83"/>
      <c r="BP245" s="83"/>
      <c r="BQ245" s="193"/>
      <c r="BR245" s="131"/>
      <c r="BS245" s="76"/>
      <c r="BT245" s="194"/>
      <c r="BU245" s="256"/>
      <c r="BV245" s="256"/>
      <c r="BW245" s="256"/>
      <c r="BX245" s="256"/>
    </row>
    <row r="246">
      <c r="B246" s="251"/>
      <c r="C246" s="92"/>
      <c r="D246" s="92"/>
      <c r="E246" s="131"/>
      <c r="F246" s="92"/>
      <c r="G246" s="213"/>
      <c r="H246" s="213"/>
      <c r="I246" s="213"/>
      <c r="J246" s="172"/>
      <c r="K246" s="202"/>
      <c r="L246" s="131"/>
      <c r="M246" s="174"/>
      <c r="N246" s="174"/>
      <c r="O246" s="175"/>
      <c r="P246" s="118"/>
      <c r="Q246" s="176"/>
      <c r="R246" s="55"/>
      <c r="S246" s="118"/>
      <c r="T246" s="118"/>
      <c r="U246" s="178"/>
      <c r="V246" s="179"/>
      <c r="W246" s="110"/>
      <c r="X246" s="180"/>
      <c r="Y246" s="118"/>
      <c r="Z246" s="169"/>
      <c r="AA246" s="196">
        <f t="shared" si="1"/>
        <v>0</v>
      </c>
      <c r="AB246" s="197" t="b">
        <f t="shared" si="2"/>
        <v>1</v>
      </c>
      <c r="AC246" s="169"/>
      <c r="AD246" s="169"/>
      <c r="AE246" s="169"/>
      <c r="AF246" s="169"/>
      <c r="AG246" s="169"/>
      <c r="AH246" s="169"/>
      <c r="AI246" s="169"/>
      <c r="AJ246" s="182"/>
      <c r="AK246" s="183"/>
      <c r="AL246" s="169"/>
      <c r="AM246" s="172" t="str">
        <f t="shared" si="56"/>
        <v/>
      </c>
      <c r="AN246" s="198" t="str">
        <f>IFNA(VLOOKUP($A246,'Tube Reactions'!$J$2:$K259,2,FALSE),"")</f>
        <v/>
      </c>
      <c r="AO246" s="199" t="str">
        <f t="shared" si="20"/>
        <v/>
      </c>
      <c r="AP246" s="186" t="str">
        <f t="shared" si="36"/>
        <v>Absent</v>
      </c>
      <c r="AQ246" s="187" t="b">
        <f t="shared" si="5"/>
        <v>0</v>
      </c>
      <c r="AR246" s="188"/>
      <c r="AS246" s="189"/>
      <c r="AT246" s="55"/>
      <c r="AU246" s="55"/>
      <c r="AV246" s="169"/>
      <c r="AW246" s="118"/>
      <c r="AX246" s="190"/>
      <c r="AY246" s="48"/>
      <c r="BA246" s="169"/>
      <c r="BB246" s="18"/>
      <c r="BC246" s="18"/>
      <c r="BD246" s="48"/>
      <c r="BE246" s="192"/>
      <c r="BF246" s="76" t="str">
        <f t="shared" si="11"/>
        <v/>
      </c>
      <c r="BG246" s="114" t="str">
        <f t="shared" si="12"/>
        <v/>
      </c>
      <c r="BH246" s="83"/>
      <c r="BI246" s="83"/>
      <c r="BJ246" s="83"/>
      <c r="BK246" s="83"/>
      <c r="BL246" s="8"/>
      <c r="BM246" s="83"/>
      <c r="BN246" s="114"/>
      <c r="BO246" s="83"/>
      <c r="BP246" s="83"/>
      <c r="BQ246" s="193"/>
      <c r="BR246" s="131"/>
      <c r="BS246" s="76"/>
      <c r="BT246" s="194"/>
      <c r="BU246" s="256"/>
      <c r="BV246" s="256"/>
      <c r="BW246" s="256"/>
      <c r="BX246" s="256"/>
    </row>
    <row r="247">
      <c r="B247" s="251"/>
      <c r="C247" s="92"/>
      <c r="D247" s="92"/>
      <c r="E247" s="131"/>
      <c r="F247" s="92"/>
      <c r="G247" s="213"/>
      <c r="H247" s="213"/>
      <c r="I247" s="213"/>
      <c r="J247" s="172"/>
      <c r="K247" s="202"/>
      <c r="L247" s="131"/>
      <c r="M247" s="174"/>
      <c r="N247" s="174"/>
      <c r="O247" s="175"/>
      <c r="P247" s="118"/>
      <c r="Q247" s="176"/>
      <c r="R247" s="55"/>
      <c r="S247" s="118"/>
      <c r="T247" s="118"/>
      <c r="U247" s="178"/>
      <c r="V247" s="179"/>
      <c r="W247" s="110"/>
      <c r="X247" s="180"/>
      <c r="Y247" s="118"/>
      <c r="Z247" s="169"/>
      <c r="AA247" s="196">
        <f t="shared" si="1"/>
        <v>0</v>
      </c>
      <c r="AB247" s="197" t="b">
        <f t="shared" si="2"/>
        <v>1</v>
      </c>
      <c r="AC247" s="169"/>
      <c r="AD247" s="169"/>
      <c r="AE247" s="169"/>
      <c r="AF247" s="169"/>
      <c r="AG247" s="169"/>
      <c r="AH247" s="169"/>
      <c r="AI247" s="169"/>
      <c r="AJ247" s="182"/>
      <c r="AK247" s="183"/>
      <c r="AL247" s="169"/>
      <c r="AM247" s="172" t="str">
        <f t="shared" si="56"/>
        <v/>
      </c>
      <c r="AN247" s="198" t="str">
        <f>IFNA(VLOOKUP($A247,'Tube Reactions'!$J$2:$K259,2,FALSE),"")</f>
        <v/>
      </c>
      <c r="AO247" s="199" t="str">
        <f t="shared" si="20"/>
        <v/>
      </c>
      <c r="AP247" s="186" t="str">
        <f t="shared" si="36"/>
        <v>Absent</v>
      </c>
      <c r="AQ247" s="187" t="b">
        <f t="shared" si="5"/>
        <v>0</v>
      </c>
      <c r="AR247" s="188"/>
      <c r="AS247" s="189"/>
      <c r="AT247" s="55"/>
      <c r="AU247" s="55"/>
      <c r="AV247" s="169"/>
      <c r="AW247" s="118"/>
      <c r="AX247" s="190"/>
      <c r="AY247" s="48"/>
      <c r="BA247" s="169"/>
      <c r="BB247" s="18"/>
      <c r="BC247" s="18"/>
      <c r="BD247" s="48"/>
      <c r="BE247" s="192"/>
      <c r="BF247" s="76" t="str">
        <f t="shared" si="11"/>
        <v/>
      </c>
      <c r="BG247" s="114" t="str">
        <f t="shared" si="12"/>
        <v/>
      </c>
      <c r="BH247" s="83"/>
      <c r="BI247" s="83"/>
      <c r="BJ247" s="83"/>
      <c r="BK247" s="83"/>
      <c r="BL247" s="8"/>
      <c r="BM247" s="83"/>
      <c r="BN247" s="114"/>
      <c r="BO247" s="83"/>
      <c r="BP247" s="83"/>
      <c r="BQ247" s="193"/>
      <c r="BR247" s="131"/>
      <c r="BS247" s="76"/>
      <c r="BT247" s="194"/>
      <c r="BU247" s="256"/>
      <c r="BV247" s="256"/>
      <c r="BW247" s="256"/>
      <c r="BX247" s="256"/>
    </row>
    <row r="248">
      <c r="B248" s="251"/>
      <c r="C248" s="92"/>
      <c r="D248" s="92"/>
      <c r="E248" s="131"/>
      <c r="F248" s="92"/>
      <c r="G248" s="213"/>
      <c r="H248" s="213"/>
      <c r="I248" s="213"/>
      <c r="J248" s="172"/>
      <c r="K248" s="202"/>
      <c r="L248" s="131"/>
      <c r="M248" s="174"/>
      <c r="N248" s="174"/>
      <c r="O248" s="175"/>
      <c r="P248" s="118"/>
      <c r="Q248" s="176"/>
      <c r="R248" s="55"/>
      <c r="S248" s="118"/>
      <c r="T248" s="118"/>
      <c r="U248" s="178"/>
      <c r="V248" s="179"/>
      <c r="W248" s="110"/>
      <c r="X248" s="180"/>
      <c r="Y248" s="118"/>
      <c r="Z248" s="169"/>
      <c r="AA248" s="196">
        <f t="shared" si="1"/>
        <v>0</v>
      </c>
      <c r="AB248" s="197" t="b">
        <f t="shared" si="2"/>
        <v>1</v>
      </c>
      <c r="AC248" s="169"/>
      <c r="AD248" s="169"/>
      <c r="AE248" s="169"/>
      <c r="AF248" s="169"/>
      <c r="AG248" s="169"/>
      <c r="AH248" s="169"/>
      <c r="AI248" s="169"/>
      <c r="AJ248" s="182"/>
      <c r="AK248" s="183"/>
      <c r="AL248" s="169"/>
      <c r="AM248" s="172" t="str">
        <f t="shared" si="56"/>
        <v/>
      </c>
      <c r="AN248" s="198" t="str">
        <f>IFNA(VLOOKUP($A248,'Tube Reactions'!$J$2:$K259,2,FALSE),"")</f>
        <v/>
      </c>
      <c r="AO248" s="199" t="str">
        <f t="shared" si="20"/>
        <v/>
      </c>
      <c r="AP248" s="186" t="str">
        <f t="shared" si="36"/>
        <v>Absent</v>
      </c>
      <c r="AQ248" s="187" t="b">
        <f t="shared" si="5"/>
        <v>0</v>
      </c>
      <c r="AR248" s="188"/>
      <c r="AS248" s="189"/>
      <c r="AT248" s="55"/>
      <c r="AU248" s="55"/>
      <c r="AV248" s="169"/>
      <c r="AW248" s="118"/>
      <c r="AX248" s="190"/>
      <c r="AY248" s="48"/>
      <c r="BA248" s="169"/>
      <c r="BB248" s="18"/>
      <c r="BC248" s="18"/>
      <c r="BD248" s="48"/>
      <c r="BE248" s="192"/>
      <c r="BF248" s="76" t="str">
        <f t="shared" si="11"/>
        <v/>
      </c>
      <c r="BG248" s="114" t="str">
        <f t="shared" si="12"/>
        <v/>
      </c>
      <c r="BH248" s="83"/>
      <c r="BI248" s="83"/>
      <c r="BJ248" s="83"/>
      <c r="BK248" s="83"/>
      <c r="BL248" s="8"/>
      <c r="BM248" s="83"/>
      <c r="BN248" s="114"/>
      <c r="BO248" s="83"/>
      <c r="BP248" s="83"/>
      <c r="BQ248" s="193"/>
      <c r="BR248" s="131"/>
      <c r="BS248" s="76"/>
      <c r="BT248" s="194"/>
      <c r="BU248" s="256"/>
      <c r="BV248" s="256"/>
      <c r="BW248" s="256"/>
      <c r="BX248" s="256"/>
    </row>
    <row r="249">
      <c r="B249" s="251"/>
      <c r="C249" s="92"/>
      <c r="D249" s="92"/>
      <c r="E249" s="131"/>
      <c r="F249" s="92"/>
      <c r="G249" s="213"/>
      <c r="H249" s="213"/>
      <c r="I249" s="213"/>
      <c r="J249" s="172"/>
      <c r="K249" s="202"/>
      <c r="L249" s="131"/>
      <c r="M249" s="174"/>
      <c r="N249" s="174"/>
      <c r="O249" s="175"/>
      <c r="P249" s="118"/>
      <c r="Q249" s="176"/>
      <c r="R249" s="55"/>
      <c r="S249" s="118"/>
      <c r="T249" s="118"/>
      <c r="U249" s="178"/>
      <c r="V249" s="179"/>
      <c r="W249" s="110"/>
      <c r="X249" s="180"/>
      <c r="Y249" s="118"/>
      <c r="Z249" s="169"/>
      <c r="AA249" s="196">
        <f t="shared" si="1"/>
        <v>0</v>
      </c>
      <c r="AB249" s="197" t="b">
        <f t="shared" si="2"/>
        <v>1</v>
      </c>
      <c r="AC249" s="169"/>
      <c r="AD249" s="169"/>
      <c r="AE249" s="169"/>
      <c r="AF249" s="169"/>
      <c r="AG249" s="169"/>
      <c r="AH249" s="169"/>
      <c r="AI249" s="169"/>
      <c r="AJ249" s="182"/>
      <c r="AK249" s="183"/>
      <c r="AL249" s="169"/>
      <c r="AM249" s="172" t="str">
        <f t="shared" si="56"/>
        <v/>
      </c>
      <c r="AN249" s="198" t="str">
        <f>IFNA(VLOOKUP($A249,'Tube Reactions'!$J$2:$K259,2,FALSE),"")</f>
        <v/>
      </c>
      <c r="AO249" s="199" t="str">
        <f t="shared" si="20"/>
        <v/>
      </c>
      <c r="AP249" s="186" t="str">
        <f t="shared" si="36"/>
        <v>Absent</v>
      </c>
      <c r="AQ249" s="187" t="b">
        <f t="shared" si="5"/>
        <v>0</v>
      </c>
      <c r="AR249" s="188"/>
      <c r="AS249" s="189"/>
      <c r="AT249" s="55"/>
      <c r="AU249" s="55"/>
      <c r="AV249" s="169"/>
      <c r="AW249" s="118"/>
      <c r="AX249" s="190"/>
      <c r="AY249" s="48"/>
      <c r="BA249" s="169"/>
      <c r="BB249" s="18"/>
      <c r="BC249" s="18"/>
      <c r="BD249" s="48"/>
      <c r="BE249" s="192"/>
      <c r="BF249" s="76" t="str">
        <f t="shared" si="11"/>
        <v/>
      </c>
      <c r="BG249" s="114" t="str">
        <f t="shared" si="12"/>
        <v/>
      </c>
      <c r="BH249" s="83"/>
      <c r="BI249" s="83"/>
      <c r="BJ249" s="83"/>
      <c r="BK249" s="83"/>
      <c r="BL249" s="8"/>
      <c r="BM249" s="83"/>
      <c r="BN249" s="114"/>
      <c r="BO249" s="83"/>
      <c r="BP249" s="83"/>
      <c r="BQ249" s="193"/>
      <c r="BR249" s="131"/>
      <c r="BS249" s="76"/>
      <c r="BT249" s="194"/>
      <c r="BU249" s="256"/>
      <c r="BV249" s="256"/>
      <c r="BW249" s="256"/>
      <c r="BX249" s="256"/>
    </row>
    <row r="250">
      <c r="B250" s="251"/>
      <c r="C250" s="92"/>
      <c r="D250" s="92"/>
      <c r="E250" s="131"/>
      <c r="F250" s="92"/>
      <c r="G250" s="213"/>
      <c r="H250" s="213"/>
      <c r="I250" s="213"/>
      <c r="J250" s="172"/>
      <c r="K250" s="202"/>
      <c r="L250" s="131"/>
      <c r="M250" s="174"/>
      <c r="N250" s="174"/>
      <c r="O250" s="175"/>
      <c r="P250" s="118"/>
      <c r="Q250" s="176"/>
      <c r="R250" s="55"/>
      <c r="S250" s="118"/>
      <c r="T250" s="118"/>
      <c r="U250" s="178"/>
      <c r="V250" s="179"/>
      <c r="W250" s="110"/>
      <c r="X250" s="180"/>
      <c r="Y250" s="118"/>
      <c r="Z250" s="169"/>
      <c r="AA250" s="196">
        <f t="shared" si="1"/>
        <v>0</v>
      </c>
      <c r="AB250" s="197" t="b">
        <f t="shared" si="2"/>
        <v>1</v>
      </c>
      <c r="AC250" s="169"/>
      <c r="AD250" s="169"/>
      <c r="AE250" s="169"/>
      <c r="AF250" s="169"/>
      <c r="AG250" s="169"/>
      <c r="AH250" s="169"/>
      <c r="AI250" s="169"/>
      <c r="AJ250" s="182"/>
      <c r="AK250" s="183"/>
      <c r="AL250" s="169"/>
      <c r="AM250" s="172" t="str">
        <f t="shared" si="56"/>
        <v/>
      </c>
      <c r="AN250" s="198" t="str">
        <f>IFNA(VLOOKUP($A250,'Tube Reactions'!$J$2:$K259,2,FALSE),"")</f>
        <v/>
      </c>
      <c r="AO250" s="199" t="str">
        <f t="shared" si="20"/>
        <v/>
      </c>
      <c r="AP250" s="186" t="str">
        <f t="shared" si="36"/>
        <v>Absent</v>
      </c>
      <c r="AQ250" s="187" t="b">
        <f t="shared" si="5"/>
        <v>0</v>
      </c>
      <c r="AR250" s="188"/>
      <c r="AS250" s="189"/>
      <c r="AT250" s="55"/>
      <c r="AU250" s="55"/>
      <c r="AV250" s="169"/>
      <c r="AW250" s="118"/>
      <c r="AX250" s="190"/>
      <c r="AY250" s="48"/>
      <c r="BA250" s="169"/>
      <c r="BB250" s="18"/>
      <c r="BC250" s="18"/>
      <c r="BD250" s="48"/>
      <c r="BE250" s="192"/>
      <c r="BF250" s="76" t="str">
        <f t="shared" si="11"/>
        <v/>
      </c>
      <c r="BG250" s="114" t="str">
        <f t="shared" si="12"/>
        <v/>
      </c>
      <c r="BH250" s="83"/>
      <c r="BI250" s="83"/>
      <c r="BJ250" s="83"/>
      <c r="BK250" s="83"/>
      <c r="BL250" s="8"/>
      <c r="BM250" s="83"/>
      <c r="BN250" s="114"/>
      <c r="BO250" s="83"/>
      <c r="BP250" s="83"/>
      <c r="BQ250" s="193"/>
      <c r="BR250" s="131"/>
      <c r="BS250" s="76"/>
      <c r="BT250" s="194"/>
      <c r="BU250" s="256"/>
      <c r="BV250" s="256"/>
      <c r="BW250" s="256"/>
      <c r="BX250" s="256"/>
    </row>
    <row r="251">
      <c r="B251" s="251"/>
      <c r="C251" s="92"/>
      <c r="D251" s="92"/>
      <c r="E251" s="131"/>
      <c r="F251" s="92"/>
      <c r="G251" s="213"/>
      <c r="H251" s="213"/>
      <c r="I251" s="213"/>
      <c r="J251" s="172"/>
      <c r="K251" s="202"/>
      <c r="L251" s="131"/>
      <c r="M251" s="174"/>
      <c r="N251" s="174"/>
      <c r="O251" s="175"/>
      <c r="P251" s="118"/>
      <c r="Q251" s="176"/>
      <c r="R251" s="55"/>
      <c r="S251" s="118"/>
      <c r="T251" s="118"/>
      <c r="U251" s="178"/>
      <c r="V251" s="179"/>
      <c r="W251" s="110"/>
      <c r="X251" s="180"/>
      <c r="Y251" s="118"/>
      <c r="Z251" s="169"/>
      <c r="AA251" s="196">
        <f t="shared" si="1"/>
        <v>0</v>
      </c>
      <c r="AB251" s="197" t="b">
        <f t="shared" si="2"/>
        <v>1</v>
      </c>
      <c r="AC251" s="169"/>
      <c r="AD251" s="169"/>
      <c r="AE251" s="169"/>
      <c r="AF251" s="169"/>
      <c r="AG251" s="169"/>
      <c r="AH251" s="169"/>
      <c r="AI251" s="169"/>
      <c r="AJ251" s="182"/>
      <c r="AK251" s="183"/>
      <c r="AL251" s="169"/>
      <c r="AM251" s="172" t="str">
        <f t="shared" si="56"/>
        <v/>
      </c>
      <c r="AN251" s="198" t="str">
        <f>IFNA(VLOOKUP($A251,'Tube Reactions'!$J$2:$K259,2,FALSE),"")</f>
        <v/>
      </c>
      <c r="AO251" s="199" t="str">
        <f t="shared" si="20"/>
        <v/>
      </c>
      <c r="AP251" s="186" t="str">
        <f t="shared" si="36"/>
        <v>Absent</v>
      </c>
      <c r="AQ251" s="187" t="b">
        <f t="shared" si="5"/>
        <v>0</v>
      </c>
      <c r="AR251" s="188"/>
      <c r="AS251" s="189"/>
      <c r="AT251" s="55"/>
      <c r="AU251" s="55"/>
      <c r="AV251" s="169"/>
      <c r="AW251" s="118"/>
      <c r="AX251" s="190"/>
      <c r="AY251" s="48"/>
      <c r="BA251" s="169"/>
      <c r="BB251" s="18"/>
      <c r="BC251" s="18"/>
      <c r="BD251" s="48"/>
      <c r="BE251" s="192"/>
      <c r="BF251" s="76" t="str">
        <f t="shared" si="11"/>
        <v/>
      </c>
      <c r="BG251" s="114" t="str">
        <f t="shared" si="12"/>
        <v/>
      </c>
      <c r="BH251" s="83"/>
      <c r="BI251" s="83"/>
      <c r="BJ251" s="83"/>
      <c r="BK251" s="83"/>
      <c r="BL251" s="8"/>
      <c r="BM251" s="83"/>
      <c r="BN251" s="114"/>
      <c r="BO251" s="83"/>
      <c r="BP251" s="83"/>
      <c r="BQ251" s="193"/>
      <c r="BR251" s="131"/>
      <c r="BS251" s="76"/>
      <c r="BT251" s="194"/>
      <c r="BU251" s="256"/>
      <c r="BV251" s="256"/>
      <c r="BW251" s="256"/>
      <c r="BX251" s="256"/>
    </row>
    <row r="252">
      <c r="B252" s="251"/>
      <c r="C252" s="92"/>
      <c r="D252" s="92"/>
      <c r="E252" s="131"/>
      <c r="F252" s="92"/>
      <c r="G252" s="213"/>
      <c r="H252" s="213"/>
      <c r="I252" s="213"/>
      <c r="J252" s="172"/>
      <c r="K252" s="202"/>
      <c r="L252" s="131"/>
      <c r="M252" s="174"/>
      <c r="N252" s="174"/>
      <c r="O252" s="175"/>
      <c r="P252" s="118"/>
      <c r="Q252" s="176"/>
      <c r="R252" s="55"/>
      <c r="S252" s="118"/>
      <c r="T252" s="118"/>
      <c r="U252" s="178"/>
      <c r="V252" s="179"/>
      <c r="W252" s="110"/>
      <c r="X252" s="180"/>
      <c r="Y252" s="118"/>
      <c r="Z252" s="169"/>
      <c r="AA252" s="196">
        <f t="shared" si="1"/>
        <v>0</v>
      </c>
      <c r="AB252" s="197" t="b">
        <f t="shared" si="2"/>
        <v>1</v>
      </c>
      <c r="AC252" s="169"/>
      <c r="AD252" s="169"/>
      <c r="AE252" s="169"/>
      <c r="AF252" s="169"/>
      <c r="AG252" s="169"/>
      <c r="AH252" s="169"/>
      <c r="AI252" s="169"/>
      <c r="AJ252" s="182"/>
      <c r="AK252" s="183"/>
      <c r="AL252" s="169"/>
      <c r="AM252" s="172" t="str">
        <f t="shared" si="56"/>
        <v/>
      </c>
      <c r="AN252" s="198" t="str">
        <f>IFNA(VLOOKUP($A252,'Tube Reactions'!$J$2:$K259,2,FALSE),"")</f>
        <v/>
      </c>
      <c r="AO252" s="199" t="str">
        <f t="shared" si="20"/>
        <v/>
      </c>
      <c r="AP252" s="186" t="str">
        <f t="shared" si="36"/>
        <v>Absent</v>
      </c>
      <c r="AQ252" s="187" t="b">
        <f t="shared" si="5"/>
        <v>0</v>
      </c>
      <c r="AR252" s="188"/>
      <c r="AS252" s="189"/>
      <c r="AT252" s="55"/>
      <c r="AU252" s="55"/>
      <c r="AV252" s="169"/>
      <c r="AW252" s="118"/>
      <c r="AX252" s="190"/>
      <c r="AY252" s="48"/>
      <c r="BA252" s="169"/>
      <c r="BB252" s="18"/>
      <c r="BC252" s="18"/>
      <c r="BD252" s="48"/>
      <c r="BE252" s="192"/>
      <c r="BF252" s="76" t="str">
        <f t="shared" si="11"/>
        <v/>
      </c>
      <c r="BG252" s="114" t="str">
        <f t="shared" si="12"/>
        <v/>
      </c>
      <c r="BH252" s="83"/>
      <c r="BI252" s="83"/>
      <c r="BJ252" s="83"/>
      <c r="BK252" s="83"/>
      <c r="BL252" s="8"/>
      <c r="BM252" s="83"/>
      <c r="BN252" s="114"/>
      <c r="BO252" s="83"/>
      <c r="BP252" s="83"/>
      <c r="BQ252" s="193"/>
      <c r="BR252" s="131"/>
      <c r="BS252" s="76"/>
      <c r="BT252" s="194"/>
      <c r="BU252" s="256"/>
      <c r="BV252" s="256"/>
      <c r="BW252" s="256"/>
      <c r="BX252" s="256"/>
    </row>
    <row r="253">
      <c r="B253" s="251"/>
      <c r="C253" s="92"/>
      <c r="D253" s="92"/>
      <c r="E253" s="131"/>
      <c r="F253" s="92"/>
      <c r="G253" s="213"/>
      <c r="H253" s="213"/>
      <c r="I253" s="213"/>
      <c r="J253" s="172"/>
      <c r="K253" s="202"/>
      <c r="L253" s="131"/>
      <c r="M253" s="174"/>
      <c r="N253" s="174"/>
      <c r="O253" s="175"/>
      <c r="P253" s="118"/>
      <c r="Q253" s="176"/>
      <c r="R253" s="55"/>
      <c r="S253" s="118"/>
      <c r="T253" s="118"/>
      <c r="U253" s="178"/>
      <c r="V253" s="179"/>
      <c r="W253" s="110"/>
      <c r="X253" s="180"/>
      <c r="Y253" s="118"/>
      <c r="Z253" s="169"/>
      <c r="AA253" s="196">
        <f t="shared" si="1"/>
        <v>0</v>
      </c>
      <c r="AB253" s="197" t="b">
        <f t="shared" si="2"/>
        <v>1</v>
      </c>
      <c r="AC253" s="169"/>
      <c r="AD253" s="169"/>
      <c r="AE253" s="169"/>
      <c r="AF253" s="169"/>
      <c r="AG253" s="169"/>
      <c r="AH253" s="169"/>
      <c r="AI253" s="169"/>
      <c r="AJ253" s="182"/>
      <c r="AK253" s="183"/>
      <c r="AL253" s="169"/>
      <c r="AM253" s="172" t="str">
        <f t="shared" si="56"/>
        <v/>
      </c>
      <c r="AN253" s="198" t="str">
        <f>IFNA(VLOOKUP($A253,'Tube Reactions'!$J$2:$K259,2,FALSE),"")</f>
        <v/>
      </c>
      <c r="AO253" s="199" t="str">
        <f t="shared" si="20"/>
        <v/>
      </c>
      <c r="AP253" s="186" t="str">
        <f t="shared" si="36"/>
        <v>Absent</v>
      </c>
      <c r="AQ253" s="187" t="b">
        <f t="shared" si="5"/>
        <v>0</v>
      </c>
      <c r="AR253" s="188"/>
      <c r="AS253" s="189"/>
      <c r="AT253" s="55"/>
      <c r="AU253" s="55"/>
      <c r="AV253" s="169"/>
      <c r="AW253" s="118"/>
      <c r="AX253" s="190"/>
      <c r="AY253" s="48"/>
      <c r="BA253" s="169"/>
      <c r="BB253" s="18"/>
      <c r="BC253" s="18"/>
      <c r="BD253" s="48"/>
      <c r="BE253" s="192"/>
      <c r="BF253" s="76" t="str">
        <f t="shared" si="11"/>
        <v/>
      </c>
      <c r="BG253" s="114" t="str">
        <f t="shared" si="12"/>
        <v/>
      </c>
      <c r="BH253" s="83"/>
      <c r="BI253" s="83"/>
      <c r="BJ253" s="83"/>
      <c r="BK253" s="83"/>
      <c r="BL253" s="8"/>
      <c r="BM253" s="83"/>
      <c r="BN253" s="114"/>
      <c r="BO253" s="83"/>
      <c r="BP253" s="83"/>
      <c r="BQ253" s="193"/>
      <c r="BR253" s="131"/>
      <c r="BS253" s="76"/>
      <c r="BT253" s="194"/>
      <c r="BU253" s="256"/>
      <c r="BV253" s="256"/>
      <c r="BW253" s="256"/>
      <c r="BX253" s="256"/>
    </row>
    <row r="254">
      <c r="B254" s="251"/>
      <c r="C254" s="92"/>
      <c r="D254" s="92"/>
      <c r="E254" s="131"/>
      <c r="F254" s="92"/>
      <c r="G254" s="213"/>
      <c r="H254" s="213"/>
      <c r="I254" s="213"/>
      <c r="J254" s="172"/>
      <c r="K254" s="202"/>
      <c r="L254" s="131"/>
      <c r="M254" s="174"/>
      <c r="N254" s="174"/>
      <c r="O254" s="175"/>
      <c r="P254" s="118"/>
      <c r="Q254" s="176"/>
      <c r="R254" s="55"/>
      <c r="S254" s="118"/>
      <c r="T254" s="118"/>
      <c r="U254" s="178"/>
      <c r="V254" s="179"/>
      <c r="W254" s="110"/>
      <c r="X254" s="180"/>
      <c r="Y254" s="118"/>
      <c r="Z254" s="169"/>
      <c r="AA254" s="196">
        <f t="shared" si="1"/>
        <v>0</v>
      </c>
      <c r="AB254" s="197" t="b">
        <f t="shared" si="2"/>
        <v>1</v>
      </c>
      <c r="AC254" s="169"/>
      <c r="AD254" s="169"/>
      <c r="AE254" s="169"/>
      <c r="AF254" s="169"/>
      <c r="AG254" s="169"/>
      <c r="AH254" s="169"/>
      <c r="AI254" s="169"/>
      <c r="AJ254" s="182"/>
      <c r="AK254" s="183"/>
      <c r="AL254" s="169"/>
      <c r="AM254" s="172" t="str">
        <f t="shared" si="56"/>
        <v/>
      </c>
      <c r="AN254" s="198" t="str">
        <f>IFNA(VLOOKUP($A254,'Tube Reactions'!$J$2:$K259,2,FALSE),"")</f>
        <v/>
      </c>
      <c r="AO254" s="199" t="str">
        <f t="shared" si="20"/>
        <v/>
      </c>
      <c r="AP254" s="186" t="str">
        <f t="shared" si="36"/>
        <v>Absent</v>
      </c>
      <c r="AQ254" s="187" t="b">
        <f t="shared" si="5"/>
        <v>0</v>
      </c>
      <c r="AR254" s="188"/>
      <c r="AS254" s="189"/>
      <c r="AT254" s="55"/>
      <c r="AU254" s="55"/>
      <c r="AV254" s="169"/>
      <c r="AW254" s="118"/>
      <c r="AX254" s="190"/>
      <c r="AY254" s="48"/>
      <c r="BA254" s="169"/>
      <c r="BB254" s="18"/>
      <c r="BC254" s="18"/>
      <c r="BD254" s="48"/>
      <c r="BE254" s="192"/>
      <c r="BF254" s="76" t="str">
        <f t="shared" si="11"/>
        <v/>
      </c>
      <c r="BG254" s="114" t="str">
        <f t="shared" si="12"/>
        <v/>
      </c>
      <c r="BH254" s="83"/>
      <c r="BI254" s="83"/>
      <c r="BJ254" s="83"/>
      <c r="BK254" s="83"/>
      <c r="BL254" s="8"/>
      <c r="BM254" s="83"/>
      <c r="BN254" s="114"/>
      <c r="BO254" s="83"/>
      <c r="BP254" s="83"/>
      <c r="BQ254" s="193"/>
      <c r="BR254" s="131"/>
      <c r="BS254" s="76"/>
      <c r="BT254" s="194"/>
      <c r="BU254" s="256"/>
      <c r="BV254" s="256"/>
      <c r="BW254" s="256"/>
      <c r="BX254" s="256"/>
    </row>
    <row r="255">
      <c r="B255" s="251"/>
      <c r="C255" s="92"/>
      <c r="D255" s="92"/>
      <c r="E255" s="131"/>
      <c r="F255" s="92"/>
      <c r="G255" s="213"/>
      <c r="H255" s="213"/>
      <c r="I255" s="213"/>
      <c r="J255" s="172"/>
      <c r="K255" s="202"/>
      <c r="L255" s="131"/>
      <c r="M255" s="174"/>
      <c r="N255" s="174"/>
      <c r="O255" s="175"/>
      <c r="P255" s="118"/>
      <c r="Q255" s="176"/>
      <c r="R255" s="55"/>
      <c r="S255" s="118"/>
      <c r="T255" s="118"/>
      <c r="U255" s="178"/>
      <c r="V255" s="179"/>
      <c r="W255" s="110"/>
      <c r="X255" s="180"/>
      <c r="Y255" s="118"/>
      <c r="Z255" s="169"/>
      <c r="AA255" s="196">
        <f t="shared" si="1"/>
        <v>0</v>
      </c>
      <c r="AB255" s="197" t="b">
        <f t="shared" si="2"/>
        <v>1</v>
      </c>
      <c r="AC255" s="169"/>
      <c r="AD255" s="169"/>
      <c r="AE255" s="169"/>
      <c r="AF255" s="169"/>
      <c r="AG255" s="169"/>
      <c r="AH255" s="169"/>
      <c r="AI255" s="169"/>
      <c r="AJ255" s="182"/>
      <c r="AK255" s="183"/>
      <c r="AL255" s="169"/>
      <c r="AM255" s="172" t="str">
        <f t="shared" si="56"/>
        <v/>
      </c>
      <c r="AN255" s="198" t="str">
        <f>IFNA(VLOOKUP($A255,'Tube Reactions'!$J$2:$K259,2,FALSE),"")</f>
        <v/>
      </c>
      <c r="AO255" s="199" t="str">
        <f t="shared" si="20"/>
        <v/>
      </c>
      <c r="AP255" s="186" t="str">
        <f t="shared" si="36"/>
        <v>Absent</v>
      </c>
      <c r="AQ255" s="187" t="b">
        <f t="shared" si="5"/>
        <v>0</v>
      </c>
      <c r="AR255" s="188"/>
      <c r="AS255" s="189"/>
      <c r="AT255" s="55"/>
      <c r="AU255" s="55"/>
      <c r="AV255" s="169"/>
      <c r="AW255" s="118"/>
      <c r="AX255" s="190"/>
      <c r="AY255" s="48"/>
      <c r="BA255" s="169"/>
      <c r="BB255" s="18"/>
      <c r="BC255" s="18"/>
      <c r="BD255" s="48"/>
      <c r="BE255" s="192"/>
      <c r="BF255" s="76" t="str">
        <f t="shared" si="11"/>
        <v/>
      </c>
      <c r="BG255" s="114" t="str">
        <f t="shared" si="12"/>
        <v/>
      </c>
      <c r="BH255" s="83"/>
      <c r="BI255" s="83"/>
      <c r="BJ255" s="83"/>
      <c r="BK255" s="83"/>
      <c r="BL255" s="8"/>
      <c r="BM255" s="83"/>
      <c r="BN255" s="114"/>
      <c r="BO255" s="83"/>
      <c r="BP255" s="83"/>
      <c r="BQ255" s="193"/>
      <c r="BR255" s="131"/>
      <c r="BS255" s="76"/>
      <c r="BT255" s="194"/>
      <c r="BU255" s="256"/>
      <c r="BV255" s="256"/>
      <c r="BW255" s="256"/>
      <c r="BX255" s="256"/>
    </row>
    <row r="256">
      <c r="B256" s="251"/>
      <c r="C256" s="92"/>
      <c r="D256" s="92"/>
      <c r="E256" s="131"/>
      <c r="F256" s="92"/>
      <c r="G256" s="213"/>
      <c r="H256" s="213"/>
      <c r="I256" s="213"/>
      <c r="J256" s="172"/>
      <c r="K256" s="202"/>
      <c r="L256" s="131"/>
      <c r="M256" s="174"/>
      <c r="N256" s="174"/>
      <c r="O256" s="175"/>
      <c r="P256" s="118"/>
      <c r="Q256" s="176"/>
      <c r="R256" s="55"/>
      <c r="S256" s="118"/>
      <c r="T256" s="118"/>
      <c r="U256" s="178"/>
      <c r="V256" s="179"/>
      <c r="W256" s="110"/>
      <c r="X256" s="180"/>
      <c r="Y256" s="118"/>
      <c r="Z256" s="169"/>
      <c r="AA256" s="196">
        <f t="shared" si="1"/>
        <v>0</v>
      </c>
      <c r="AB256" s="197" t="b">
        <f t="shared" si="2"/>
        <v>1</v>
      </c>
      <c r="AC256" s="169"/>
      <c r="AD256" s="169"/>
      <c r="AE256" s="169"/>
      <c r="AF256" s="169"/>
      <c r="AG256" s="169"/>
      <c r="AH256" s="169"/>
      <c r="AI256" s="169"/>
      <c r="AJ256" s="182"/>
      <c r="AK256" s="183"/>
      <c r="AL256" s="169"/>
      <c r="AM256" s="172" t="str">
        <f t="shared" si="56"/>
        <v/>
      </c>
      <c r="AN256" s="198" t="str">
        <f>IFNA(VLOOKUP($A256,'Tube Reactions'!$J$2:$K259,2,FALSE),"")</f>
        <v/>
      </c>
      <c r="AO256" s="199" t="str">
        <f t="shared" si="20"/>
        <v/>
      </c>
      <c r="AP256" s="186" t="str">
        <f t="shared" si="36"/>
        <v>Absent</v>
      </c>
      <c r="AQ256" s="187" t="b">
        <f t="shared" si="5"/>
        <v>0</v>
      </c>
      <c r="AR256" s="188"/>
      <c r="AS256" s="189"/>
      <c r="AT256" s="55"/>
      <c r="AU256" s="55"/>
      <c r="AV256" s="169"/>
      <c r="AW256" s="118"/>
      <c r="AX256" s="190"/>
      <c r="AY256" s="48"/>
      <c r="BA256" s="169"/>
      <c r="BB256" s="18"/>
      <c r="BC256" s="18"/>
      <c r="BD256" s="48"/>
      <c r="BE256" s="192"/>
      <c r="BF256" s="76" t="str">
        <f t="shared" si="11"/>
        <v/>
      </c>
      <c r="BG256" s="114" t="str">
        <f t="shared" si="12"/>
        <v/>
      </c>
      <c r="BH256" s="83"/>
      <c r="BI256" s="83"/>
      <c r="BJ256" s="83"/>
      <c r="BK256" s="83"/>
      <c r="BL256" s="8"/>
      <c r="BM256" s="83"/>
      <c r="BN256" s="114"/>
      <c r="BO256" s="83"/>
      <c r="BP256" s="83"/>
      <c r="BQ256" s="193"/>
      <c r="BR256" s="131"/>
      <c r="BS256" s="76"/>
      <c r="BT256" s="194"/>
      <c r="BU256" s="256"/>
      <c r="BV256" s="256"/>
      <c r="BW256" s="256"/>
      <c r="BX256" s="256"/>
    </row>
    <row r="257">
      <c r="B257" s="251"/>
      <c r="C257" s="92"/>
      <c r="D257" s="92"/>
      <c r="E257" s="131"/>
      <c r="F257" s="92"/>
      <c r="G257" s="213"/>
      <c r="H257" s="213"/>
      <c r="I257" s="213"/>
      <c r="J257" s="172"/>
      <c r="K257" s="202"/>
      <c r="L257" s="131"/>
      <c r="M257" s="174"/>
      <c r="N257" s="174"/>
      <c r="O257" s="175"/>
      <c r="P257" s="118"/>
      <c r="Q257" s="176"/>
      <c r="R257" s="55"/>
      <c r="S257" s="118"/>
      <c r="T257" s="118"/>
      <c r="U257" s="178"/>
      <c r="V257" s="179"/>
      <c r="W257" s="110"/>
      <c r="X257" s="180"/>
      <c r="Y257" s="118"/>
      <c r="Z257" s="169"/>
      <c r="AA257" s="196">
        <f t="shared" si="1"/>
        <v>0</v>
      </c>
      <c r="AB257" s="197" t="b">
        <f t="shared" si="2"/>
        <v>1</v>
      </c>
      <c r="AC257" s="169"/>
      <c r="AD257" s="169"/>
      <c r="AE257" s="169"/>
      <c r="AF257" s="169"/>
      <c r="AG257" s="169"/>
      <c r="AH257" s="169"/>
      <c r="AI257" s="169"/>
      <c r="AJ257" s="182"/>
      <c r="AK257" s="183"/>
      <c r="AL257" s="169"/>
      <c r="AM257" s="172" t="str">
        <f t="shared" si="56"/>
        <v/>
      </c>
      <c r="AN257" s="198" t="str">
        <f>IFNA(VLOOKUP($A257,'Tube Reactions'!$J$2:$K259,2,FALSE),"")</f>
        <v/>
      </c>
      <c r="AO257" s="199" t="str">
        <f t="shared" si="20"/>
        <v/>
      </c>
      <c r="AP257" s="186" t="str">
        <f t="shared" si="36"/>
        <v>Absent</v>
      </c>
      <c r="AQ257" s="187" t="b">
        <f t="shared" si="5"/>
        <v>0</v>
      </c>
      <c r="AR257" s="188"/>
      <c r="AS257" s="189"/>
      <c r="AT257" s="55"/>
      <c r="AU257" s="55"/>
      <c r="AV257" s="169"/>
      <c r="AW257" s="118"/>
      <c r="AX257" s="190"/>
      <c r="AY257" s="48"/>
      <c r="BA257" s="169"/>
      <c r="BB257" s="18"/>
      <c r="BC257" s="18"/>
      <c r="BD257" s="48"/>
      <c r="BE257" s="192"/>
      <c r="BF257" s="76" t="str">
        <f t="shared" si="11"/>
        <v/>
      </c>
      <c r="BG257" s="114" t="str">
        <f t="shared" si="12"/>
        <v/>
      </c>
      <c r="BH257" s="83"/>
      <c r="BI257" s="83"/>
      <c r="BJ257" s="83"/>
      <c r="BK257" s="83"/>
      <c r="BL257" s="8"/>
      <c r="BM257" s="83"/>
      <c r="BN257" s="114"/>
      <c r="BO257" s="83"/>
      <c r="BP257" s="83"/>
      <c r="BQ257" s="193"/>
      <c r="BR257" s="131"/>
      <c r="BS257" s="76"/>
      <c r="BT257" s="194"/>
      <c r="BU257" s="256"/>
      <c r="BV257" s="256"/>
      <c r="BW257" s="256"/>
      <c r="BX257" s="256"/>
    </row>
    <row r="258">
      <c r="B258" s="251"/>
      <c r="C258" s="92"/>
      <c r="D258" s="92"/>
      <c r="E258" s="131"/>
      <c r="F258" s="92"/>
      <c r="G258" s="213"/>
      <c r="H258" s="213"/>
      <c r="I258" s="213"/>
      <c r="J258" s="172"/>
      <c r="K258" s="202"/>
      <c r="L258" s="131"/>
      <c r="M258" s="174"/>
      <c r="N258" s="174"/>
      <c r="O258" s="175"/>
      <c r="P258" s="118"/>
      <c r="Q258" s="176"/>
      <c r="R258" s="55"/>
      <c r="S258" s="118"/>
      <c r="T258" s="118"/>
      <c r="U258" s="178"/>
      <c r="V258" s="179"/>
      <c r="W258" s="110"/>
      <c r="X258" s="180"/>
      <c r="Y258" s="118"/>
      <c r="Z258" s="169"/>
      <c r="AA258" s="196">
        <f t="shared" si="1"/>
        <v>0</v>
      </c>
      <c r="AB258" s="197" t="b">
        <f t="shared" si="2"/>
        <v>1</v>
      </c>
      <c r="AC258" s="169"/>
      <c r="AD258" s="169"/>
      <c r="AE258" s="169"/>
      <c r="AF258" s="169"/>
      <c r="AG258" s="169"/>
      <c r="AH258" s="169"/>
      <c r="AI258" s="169"/>
      <c r="AJ258" s="182"/>
      <c r="AK258" s="183"/>
      <c r="AL258" s="169"/>
      <c r="AM258" s="172" t="str">
        <f t="shared" si="56"/>
        <v/>
      </c>
      <c r="AN258" s="198" t="str">
        <f>IFNA(VLOOKUP($A258,'Tube Reactions'!$J$2:$K259,2,FALSE),"")</f>
        <v/>
      </c>
      <c r="AO258" s="199" t="str">
        <f t="shared" si="20"/>
        <v/>
      </c>
      <c r="AP258" s="186" t="str">
        <f t="shared" si="36"/>
        <v>Absent</v>
      </c>
      <c r="AQ258" s="187" t="b">
        <f t="shared" si="5"/>
        <v>0</v>
      </c>
      <c r="AR258" s="188"/>
      <c r="AS258" s="189"/>
      <c r="AT258" s="55"/>
      <c r="AU258" s="55"/>
      <c r="AV258" s="169"/>
      <c r="AW258" s="118"/>
      <c r="AX258" s="190"/>
      <c r="AY258" s="48"/>
      <c r="BA258" s="169"/>
      <c r="BB258" s="18"/>
      <c r="BC258" s="18"/>
      <c r="BD258" s="48"/>
      <c r="BE258" s="192"/>
      <c r="BF258" s="76" t="str">
        <f t="shared" si="11"/>
        <v/>
      </c>
      <c r="BG258" s="114" t="str">
        <f t="shared" si="12"/>
        <v/>
      </c>
      <c r="BH258" s="83"/>
      <c r="BI258" s="83"/>
      <c r="BJ258" s="83"/>
      <c r="BK258" s="83"/>
      <c r="BL258" s="8"/>
      <c r="BM258" s="83"/>
      <c r="BN258" s="114"/>
      <c r="BO258" s="83"/>
      <c r="BP258" s="83"/>
      <c r="BQ258" s="193"/>
      <c r="BR258" s="131"/>
      <c r="BS258" s="76"/>
      <c r="BT258" s="194"/>
      <c r="BU258" s="256"/>
      <c r="BV258" s="256"/>
      <c r="BW258" s="256"/>
      <c r="BX258" s="256"/>
    </row>
    <row r="259">
      <c r="B259" s="251"/>
      <c r="C259" s="92"/>
      <c r="D259" s="92"/>
      <c r="E259" s="131"/>
      <c r="F259" s="92"/>
      <c r="G259" s="213"/>
      <c r="H259" s="213"/>
      <c r="I259" s="213"/>
      <c r="J259" s="172"/>
      <c r="K259" s="202"/>
      <c r="L259" s="131"/>
      <c r="M259" s="174"/>
      <c r="N259" s="174"/>
      <c r="O259" s="175"/>
      <c r="P259" s="118"/>
      <c r="Q259" s="176"/>
      <c r="R259" s="55"/>
      <c r="S259" s="118"/>
      <c r="T259" s="118"/>
      <c r="U259" s="178"/>
      <c r="V259" s="179"/>
      <c r="W259" s="110"/>
      <c r="X259" s="180"/>
      <c r="Y259" s="118"/>
      <c r="Z259" s="169"/>
      <c r="AA259" s="196">
        <f t="shared" si="1"/>
        <v>0</v>
      </c>
      <c r="AB259" s="197" t="b">
        <f t="shared" si="2"/>
        <v>1</v>
      </c>
      <c r="AC259" s="169"/>
      <c r="AD259" s="169"/>
      <c r="AE259" s="169"/>
      <c r="AF259" s="169"/>
      <c r="AG259" s="169"/>
      <c r="AH259" s="169"/>
      <c r="AI259" s="169"/>
      <c r="AJ259" s="182"/>
      <c r="AK259" s="183"/>
      <c r="AL259" s="169"/>
      <c r="AM259" s="172" t="str">
        <f t="shared" si="56"/>
        <v/>
      </c>
      <c r="AN259" s="198" t="str">
        <f>IFNA(VLOOKUP($A259,'Tube Reactions'!$J$2:$K259,2,FALSE),"")</f>
        <v/>
      </c>
      <c r="AO259" s="199" t="str">
        <f t="shared" si="20"/>
        <v/>
      </c>
      <c r="AP259" s="186" t="str">
        <f t="shared" si="36"/>
        <v>Absent</v>
      </c>
      <c r="AQ259" s="187" t="b">
        <f t="shared" si="5"/>
        <v>0</v>
      </c>
      <c r="AR259" s="188"/>
      <c r="AS259" s="189"/>
      <c r="AT259" s="55"/>
      <c r="AU259" s="55"/>
      <c r="AV259" s="169"/>
      <c r="AW259" s="118"/>
      <c r="AX259" s="190"/>
      <c r="AY259" s="48"/>
      <c r="BA259" s="169"/>
      <c r="BB259" s="18"/>
      <c r="BC259" s="18"/>
      <c r="BD259" s="48"/>
      <c r="BE259" s="192"/>
      <c r="BF259" s="76" t="str">
        <f t="shared" si="11"/>
        <v/>
      </c>
      <c r="BG259" s="114" t="str">
        <f t="shared" si="12"/>
        <v/>
      </c>
      <c r="BH259" s="83"/>
      <c r="BI259" s="83"/>
      <c r="BJ259" s="83"/>
      <c r="BK259" s="83"/>
      <c r="BL259" s="8"/>
      <c r="BM259" s="83"/>
      <c r="BN259" s="114"/>
      <c r="BO259" s="83"/>
      <c r="BP259" s="83"/>
      <c r="BQ259" s="193"/>
      <c r="BR259" s="131"/>
      <c r="BS259" s="76"/>
      <c r="BT259" s="194"/>
      <c r="BU259" s="256"/>
      <c r="BV259" s="256"/>
      <c r="BW259" s="256"/>
      <c r="BX259" s="256"/>
    </row>
  </sheetData>
  <customSheetViews>
    <customSheetView guid="{8C524EAE-C5A8-4433-B469-1A68F92A5D1D}" filter="1" showAutoFilter="1">
      <autoFilter ref="$AM$1:$AM$259">
        <filterColumn colId="0">
          <filters>
            <filter val="1"/>
            <filter val="2"/>
            <filter val="4"/>
            <filter val="5"/>
          </filters>
        </filterColumn>
      </autoFilter>
    </customSheetView>
    <customSheetView guid="{5E2C804B-7CE3-46BA-96DA-62CA86AC24EA}" filter="1" showAutoFilter="1">
      <autoFilter ref="$AW$1:$AW$196">
        <filterColumn colId="0">
          <filters>
            <filter val="TRUE"/>
          </filters>
        </filterColumn>
      </autoFilter>
    </customSheetView>
    <customSheetView guid="{B738B5A2-1BCA-4826-A0E0-9963A1B9A9C7}" filter="1" showAutoFilter="1">
      <autoFilter ref="$A$1:$AZ$195">
        <filterColumn colId="37">
          <filters>
            <filter val="2"/>
            <filter val="1.1"/>
            <filter val="4"/>
            <filter val="5"/>
            <filter val="1.2"/>
            <filter val="1.3"/>
            <filter val="1.6"/>
            <filter val="1.7"/>
          </filters>
        </filterColumn>
        <filterColumn colId="48">
          <filters blank="1">
            <filter val="TRUE"/>
          </filters>
        </filterColumn>
      </autoFilter>
    </customSheetView>
  </customSheetViews>
  <conditionalFormatting sqref="AX2:AX259">
    <cfRule type="cellIs" dxfId="4" priority="1" operator="equal">
      <formula>"FALSE"</formula>
    </cfRule>
  </conditionalFormatting>
  <conditionalFormatting sqref="AY2:AY259">
    <cfRule type="cellIs" dxfId="5" priority="2" operator="greaterThan">
      <formula>2</formula>
    </cfRule>
  </conditionalFormatting>
  <conditionalFormatting sqref="AY2:AY259">
    <cfRule type="cellIs" dxfId="4" priority="3" operator="lessThan">
      <formula>2</formula>
    </cfRule>
  </conditionalFormatting>
  <conditionalFormatting sqref="BB2:BB259">
    <cfRule type="cellIs" dxfId="0" priority="4" operator="equal">
      <formula>"FALSE"</formula>
    </cfRule>
  </conditionalFormatting>
  <conditionalFormatting sqref="AE2:AE192 AE194:AE259">
    <cfRule type="cellIs" dxfId="6" priority="5" operator="greaterThan">
      <formula>0</formula>
    </cfRule>
  </conditionalFormatting>
  <conditionalFormatting sqref="AF2:AF192 AF194:AF259">
    <cfRule type="cellIs" dxfId="7" priority="6" operator="greaterThan">
      <formula>0</formula>
    </cfRule>
  </conditionalFormatting>
  <conditionalFormatting sqref="AH2:AH259">
    <cfRule type="notContainsBlanks" dxfId="4" priority="7">
      <formula>LEN(TRIM(AH2))&gt;0</formula>
    </cfRule>
  </conditionalFormatting>
  <conditionalFormatting sqref="BQ2:BQ259">
    <cfRule type="colorScale" priority="8">
      <colorScale>
        <cfvo type="formula" val="-1"/>
        <cfvo type="formula" val="0"/>
        <cfvo type="formula" val="1"/>
        <color rgb="FFE06666"/>
        <color rgb="FF93C47D"/>
        <color rgb="FF6D9EEB"/>
      </colorScale>
    </cfRule>
  </conditionalFormatting>
  <conditionalFormatting sqref="B2:B259 BS2:BS259">
    <cfRule type="expression" dxfId="8" priority="9">
      <formula>NOT($BS2)</formula>
    </cfRule>
  </conditionalFormatting>
  <conditionalFormatting sqref="BO2:BO259">
    <cfRule type="cellIs" dxfId="9" priority="10" operator="greaterThan">
      <formula>0</formula>
    </cfRule>
  </conditionalFormatting>
  <conditionalFormatting sqref="BO1">
    <cfRule type="expression" dxfId="0" priority="11">
      <formula>SUM(BO89:BO259)&gt;0</formula>
    </cfRule>
  </conditionalFormatting>
  <conditionalFormatting sqref="BO1">
    <cfRule type="expression" dxfId="1" priority="12">
      <formula>SUM(BO89:BO259)=0</formula>
    </cfRule>
  </conditionalFormatting>
  <conditionalFormatting sqref="AW2:AW259">
    <cfRule type="cellIs" dxfId="8" priority="13" operator="equal">
      <formula>"TRUE"</formula>
    </cfRule>
  </conditionalFormatting>
  <conditionalFormatting sqref="P2:Q259">
    <cfRule type="cellIs" dxfId="10" priority="14" operator="equal">
      <formula>"TRUE"</formula>
    </cfRule>
  </conditionalFormatting>
  <conditionalFormatting sqref="S2:T259 P114:P125 Q114:Q158 P127:P182 Q160:Q200 P184:P191 P193:P200 P211:P219 Q211:Q241 P221 P223:P241">
    <cfRule type="cellIs" dxfId="11" priority="15" operator="equal">
      <formula>"TRUE"</formula>
    </cfRule>
  </conditionalFormatting>
  <conditionalFormatting sqref="Y2:Y259">
    <cfRule type="cellIs" dxfId="6" priority="16" operator="equal">
      <formula>"TRUE"</formula>
    </cfRule>
  </conditionalFormatting>
  <conditionalFormatting sqref="AI2:AI192 AI194:AI259">
    <cfRule type="cellIs" dxfId="12" priority="17" operator="greaterThan">
      <formula>0</formula>
    </cfRule>
  </conditionalFormatting>
  <hyperlinks>
    <hyperlink r:id="rId2" ref="G2"/>
    <hyperlink r:id="rId3" ref="H2"/>
    <hyperlink r:id="rId4" ref="I2"/>
    <hyperlink r:id="rId5" ref="G3"/>
    <hyperlink r:id="rId6" ref="H3"/>
    <hyperlink r:id="rId7" ref="I3"/>
    <hyperlink r:id="rId8" ref="G4"/>
    <hyperlink r:id="rId9" ref="H4"/>
    <hyperlink r:id="rId10" ref="I4"/>
    <hyperlink r:id="rId11" ref="G5"/>
    <hyperlink r:id="rId12" ref="H5"/>
    <hyperlink r:id="rId13" ref="I5"/>
    <hyperlink r:id="rId14" ref="G6"/>
    <hyperlink r:id="rId15" ref="G7"/>
    <hyperlink r:id="rId16" ref="H7"/>
    <hyperlink r:id="rId17" ref="I7"/>
    <hyperlink r:id="rId18" ref="G8"/>
    <hyperlink r:id="rId19" ref="G9"/>
    <hyperlink r:id="rId20" ref="G10"/>
    <hyperlink r:id="rId21" ref="I10"/>
    <hyperlink r:id="rId22" ref="G11"/>
    <hyperlink r:id="rId23" ref="H11"/>
    <hyperlink r:id="rId24" ref="I11"/>
    <hyperlink r:id="rId25" ref="G12"/>
    <hyperlink r:id="rId26" ref="H12"/>
    <hyperlink r:id="rId27" ref="I12"/>
    <hyperlink r:id="rId28" ref="G13"/>
    <hyperlink r:id="rId29" ref="G14"/>
    <hyperlink r:id="rId30" ref="H14"/>
    <hyperlink r:id="rId31" ref="I14"/>
    <hyperlink r:id="rId32" ref="G15"/>
    <hyperlink r:id="rId33" ref="H15"/>
    <hyperlink r:id="rId34" ref="G16"/>
    <hyperlink r:id="rId35" ref="H16"/>
    <hyperlink r:id="rId36" ref="I16"/>
    <hyperlink r:id="rId37" ref="G17"/>
    <hyperlink r:id="rId38" ref="G18"/>
    <hyperlink r:id="rId39" ref="H18"/>
    <hyperlink r:id="rId40" ref="I18"/>
    <hyperlink r:id="rId41" ref="G19"/>
    <hyperlink r:id="rId42" ref="H19"/>
    <hyperlink r:id="rId43" ref="I19"/>
    <hyperlink r:id="rId44" ref="G20"/>
    <hyperlink r:id="rId45" ref="H20"/>
    <hyperlink r:id="rId46" ref="I20"/>
    <hyperlink r:id="rId47" ref="G21"/>
    <hyperlink r:id="rId48" ref="G22"/>
    <hyperlink r:id="rId49" ref="H22"/>
    <hyperlink r:id="rId50" ref="I22"/>
    <hyperlink r:id="rId51" ref="K22"/>
    <hyperlink r:id="rId52" ref="G23"/>
    <hyperlink r:id="rId53" ref="H23"/>
    <hyperlink r:id="rId54" ref="I23"/>
    <hyperlink r:id="rId55" ref="G24"/>
    <hyperlink r:id="rId56" ref="H24"/>
    <hyperlink r:id="rId57" ref="I24"/>
    <hyperlink r:id="rId58" ref="G25"/>
    <hyperlink r:id="rId59" ref="G26"/>
    <hyperlink r:id="rId60" ref="H26"/>
    <hyperlink r:id="rId61" ref="I26"/>
    <hyperlink r:id="rId62" ref="G27"/>
    <hyperlink r:id="rId63" ref="H27"/>
    <hyperlink r:id="rId64" ref="I27"/>
    <hyperlink r:id="rId65" ref="G28"/>
    <hyperlink r:id="rId66" ref="G29"/>
    <hyperlink r:id="rId67" ref="H29"/>
    <hyperlink r:id="rId68" ref="I29"/>
    <hyperlink r:id="rId69" ref="G30"/>
    <hyperlink r:id="rId70" ref="G31"/>
    <hyperlink r:id="rId71" ref="H31"/>
    <hyperlink r:id="rId72" ref="I31"/>
    <hyperlink r:id="rId73" ref="G32"/>
    <hyperlink r:id="rId74" ref="G33"/>
    <hyperlink r:id="rId75" ref="H33"/>
    <hyperlink r:id="rId76" ref="I33"/>
    <hyperlink r:id="rId77" ref="G34"/>
    <hyperlink r:id="rId78" ref="H34"/>
    <hyperlink r:id="rId79" ref="I34"/>
    <hyperlink r:id="rId80" ref="G35"/>
    <hyperlink r:id="rId81" ref="H35"/>
    <hyperlink r:id="rId82" ref="I35"/>
    <hyperlink r:id="rId83" ref="G36"/>
    <hyperlink r:id="rId84" ref="G37"/>
    <hyperlink r:id="rId85" ref="H37"/>
    <hyperlink r:id="rId86" ref="I37"/>
    <hyperlink r:id="rId87" ref="G38"/>
    <hyperlink r:id="rId88" ref="H38"/>
    <hyperlink r:id="rId89" ref="I38"/>
    <hyperlink r:id="rId90" ref="G39"/>
    <hyperlink r:id="rId91" ref="H39"/>
    <hyperlink r:id="rId92" ref="I39"/>
    <hyperlink r:id="rId93" ref="G40"/>
    <hyperlink r:id="rId94" ref="H40"/>
    <hyperlink r:id="rId95" ref="I40"/>
    <hyperlink r:id="rId96" ref="G41"/>
    <hyperlink r:id="rId97" ref="H41"/>
    <hyperlink r:id="rId98" ref="I41"/>
    <hyperlink r:id="rId99" ref="G42"/>
    <hyperlink r:id="rId100" ref="H42"/>
    <hyperlink r:id="rId101" ref="I42"/>
    <hyperlink r:id="rId102" ref="G43"/>
    <hyperlink r:id="rId103" ref="H43"/>
    <hyperlink r:id="rId104" ref="I43"/>
    <hyperlink r:id="rId105" ref="G44"/>
    <hyperlink r:id="rId106" ref="H44"/>
    <hyperlink r:id="rId107" ref="I44"/>
    <hyperlink r:id="rId108" ref="G45"/>
    <hyperlink r:id="rId109" ref="H45"/>
    <hyperlink r:id="rId110" ref="I45"/>
    <hyperlink r:id="rId111" ref="G46"/>
    <hyperlink r:id="rId112" ref="H46"/>
    <hyperlink r:id="rId113" ref="I46"/>
    <hyperlink r:id="rId114" ref="G47"/>
    <hyperlink r:id="rId115" ref="H47"/>
    <hyperlink r:id="rId116" ref="I47"/>
    <hyperlink r:id="rId117" ref="G48"/>
    <hyperlink r:id="rId118" ref="H48"/>
    <hyperlink r:id="rId119" ref="I48"/>
    <hyperlink r:id="rId120" ref="G49"/>
    <hyperlink r:id="rId121" ref="H49"/>
    <hyperlink r:id="rId122" ref="I49"/>
    <hyperlink r:id="rId123" ref="G50"/>
    <hyperlink r:id="rId124" ref="H50"/>
    <hyperlink r:id="rId125" ref="I50"/>
    <hyperlink r:id="rId126" ref="G51"/>
    <hyperlink r:id="rId127" ref="H51"/>
    <hyperlink r:id="rId128" ref="I51"/>
    <hyperlink r:id="rId129" ref="G52"/>
    <hyperlink r:id="rId130" ref="H52"/>
    <hyperlink r:id="rId131" ref="I52"/>
    <hyperlink r:id="rId132" ref="G53"/>
    <hyperlink r:id="rId133" ref="H53"/>
    <hyperlink r:id="rId134" ref="I53"/>
    <hyperlink r:id="rId135" ref="G54"/>
    <hyperlink r:id="rId136" ref="G55"/>
    <hyperlink r:id="rId137" ref="H55"/>
    <hyperlink r:id="rId138" ref="I55"/>
    <hyperlink r:id="rId139" ref="G56"/>
    <hyperlink r:id="rId140" ref="H56"/>
    <hyperlink r:id="rId141" ref="I56"/>
    <hyperlink r:id="rId142" ref="G57"/>
    <hyperlink r:id="rId143" ref="H57"/>
    <hyperlink r:id="rId144" ref="I57"/>
    <hyperlink r:id="rId145" ref="G58"/>
    <hyperlink r:id="rId146" ref="H58"/>
    <hyperlink r:id="rId147" ref="I58"/>
    <hyperlink r:id="rId148" ref="G59"/>
    <hyperlink r:id="rId149" ref="H59"/>
    <hyperlink r:id="rId150" ref="I59"/>
    <hyperlink r:id="rId151" ref="G60"/>
    <hyperlink r:id="rId152" ref="H60"/>
    <hyperlink r:id="rId153" ref="I60"/>
    <hyperlink r:id="rId154" ref="G61"/>
    <hyperlink r:id="rId155" ref="H61"/>
    <hyperlink r:id="rId156" ref="I61"/>
    <hyperlink r:id="rId157" ref="G62"/>
    <hyperlink r:id="rId158" ref="H62"/>
    <hyperlink r:id="rId159" ref="I62"/>
    <hyperlink r:id="rId160" ref="G63"/>
    <hyperlink r:id="rId161" ref="H63"/>
    <hyperlink r:id="rId162" ref="I63"/>
    <hyperlink r:id="rId163" ref="G64"/>
    <hyperlink r:id="rId164" ref="H64"/>
    <hyperlink r:id="rId165" ref="I64"/>
    <hyperlink r:id="rId166" ref="G65"/>
    <hyperlink r:id="rId167" ref="H65"/>
    <hyperlink r:id="rId168" ref="I65"/>
    <hyperlink r:id="rId169" ref="G66"/>
    <hyperlink r:id="rId170" ref="H66"/>
    <hyperlink r:id="rId171" ref="I66"/>
    <hyperlink r:id="rId172" ref="G67"/>
    <hyperlink r:id="rId173" ref="H67"/>
    <hyperlink r:id="rId174" ref="I67"/>
    <hyperlink r:id="rId175" ref="G68"/>
    <hyperlink r:id="rId176" ref="H68"/>
    <hyperlink r:id="rId177" ref="I68"/>
    <hyperlink r:id="rId178" ref="G69"/>
    <hyperlink r:id="rId179" ref="H69"/>
    <hyperlink r:id="rId180" ref="I69"/>
    <hyperlink r:id="rId181" ref="G70"/>
    <hyperlink r:id="rId182" ref="H70"/>
    <hyperlink r:id="rId183" ref="I70"/>
    <hyperlink r:id="rId184" ref="G71"/>
    <hyperlink r:id="rId185" ref="H71"/>
    <hyperlink r:id="rId186" ref="I71"/>
    <hyperlink r:id="rId187" ref="G72"/>
    <hyperlink r:id="rId188" ref="H72"/>
    <hyperlink r:id="rId189" ref="I72"/>
    <hyperlink r:id="rId190" ref="G73"/>
    <hyperlink r:id="rId191" ref="H73"/>
    <hyperlink r:id="rId192" ref="I73"/>
    <hyperlink r:id="rId193" ref="G74"/>
    <hyperlink r:id="rId194" ref="H74"/>
    <hyperlink r:id="rId195" ref="I74"/>
    <hyperlink r:id="rId196" ref="G75"/>
    <hyperlink r:id="rId197" ref="H75"/>
    <hyperlink r:id="rId198" ref="I75"/>
    <hyperlink r:id="rId199" ref="G76"/>
    <hyperlink r:id="rId200" ref="H76"/>
    <hyperlink r:id="rId201" ref="I76"/>
    <hyperlink r:id="rId202" ref="G77"/>
    <hyperlink r:id="rId203" ref="H77"/>
    <hyperlink r:id="rId204" ref="I77"/>
    <hyperlink r:id="rId205" ref="G78"/>
    <hyperlink r:id="rId206" ref="H78"/>
    <hyperlink r:id="rId207" ref="I78"/>
    <hyperlink r:id="rId208" ref="G79"/>
    <hyperlink r:id="rId209" ref="H79"/>
    <hyperlink r:id="rId210" ref="I79"/>
    <hyperlink r:id="rId211" ref="G80"/>
    <hyperlink r:id="rId212" ref="H80"/>
    <hyperlink r:id="rId213" ref="I80"/>
    <hyperlink r:id="rId214" ref="G81"/>
    <hyperlink r:id="rId215" ref="H81"/>
    <hyperlink r:id="rId216" ref="I81"/>
    <hyperlink r:id="rId217" ref="G82"/>
    <hyperlink r:id="rId218" ref="H82"/>
    <hyperlink r:id="rId219" ref="I82"/>
    <hyperlink r:id="rId220" ref="G83"/>
    <hyperlink r:id="rId221" ref="H83"/>
    <hyperlink r:id="rId222" ref="I83"/>
    <hyperlink r:id="rId223" ref="G84"/>
    <hyperlink r:id="rId224" ref="H84"/>
    <hyperlink r:id="rId225" ref="I84"/>
    <hyperlink r:id="rId226" ref="G85"/>
    <hyperlink r:id="rId227" ref="H85"/>
    <hyperlink r:id="rId228" ref="I85"/>
    <hyperlink r:id="rId229" ref="G86"/>
    <hyperlink r:id="rId230" ref="H86"/>
    <hyperlink r:id="rId231" ref="I86"/>
    <hyperlink r:id="rId232" ref="G87"/>
    <hyperlink r:id="rId233" ref="H87"/>
    <hyperlink r:id="rId234" ref="I87"/>
    <hyperlink r:id="rId235" ref="G88"/>
    <hyperlink r:id="rId236" ref="H88"/>
    <hyperlink r:id="rId237" ref="I88"/>
    <hyperlink r:id="rId238" ref="G89"/>
    <hyperlink r:id="rId239" ref="H89"/>
    <hyperlink r:id="rId240" ref="I89"/>
    <hyperlink r:id="rId241" ref="G90"/>
    <hyperlink r:id="rId242" ref="H90"/>
    <hyperlink r:id="rId243" ref="I90"/>
    <hyperlink r:id="rId244" ref="G91"/>
    <hyperlink r:id="rId245" ref="H91"/>
    <hyperlink r:id="rId246" ref="I91"/>
    <hyperlink r:id="rId247" ref="G92"/>
    <hyperlink r:id="rId248" ref="H92"/>
    <hyperlink r:id="rId249" ref="I92"/>
    <hyperlink r:id="rId250" ref="G93"/>
    <hyperlink r:id="rId251" ref="H93"/>
    <hyperlink r:id="rId252" ref="I93"/>
    <hyperlink r:id="rId253" ref="G94"/>
    <hyperlink r:id="rId254" ref="H94"/>
    <hyperlink r:id="rId255" ref="I94"/>
    <hyperlink r:id="rId256" ref="G95"/>
    <hyperlink r:id="rId257" ref="H95"/>
    <hyperlink r:id="rId258" ref="I95"/>
    <hyperlink r:id="rId259" ref="G96"/>
    <hyperlink r:id="rId260" ref="H96"/>
    <hyperlink r:id="rId261" ref="I96"/>
    <hyperlink r:id="rId262" ref="G97"/>
    <hyperlink r:id="rId263" ref="H97"/>
    <hyperlink r:id="rId264" ref="I97"/>
    <hyperlink r:id="rId265" ref="G98"/>
    <hyperlink r:id="rId266" ref="H98"/>
    <hyperlink r:id="rId267" ref="I98"/>
    <hyperlink r:id="rId268" ref="G99"/>
    <hyperlink r:id="rId269" ref="H99"/>
    <hyperlink r:id="rId270" ref="I99"/>
    <hyperlink r:id="rId271" ref="G100"/>
    <hyperlink r:id="rId272" ref="H100"/>
    <hyperlink r:id="rId273" ref="I100"/>
    <hyperlink r:id="rId274" ref="G101"/>
    <hyperlink r:id="rId275" ref="H101"/>
    <hyperlink r:id="rId276" ref="I101"/>
    <hyperlink r:id="rId277" ref="G102"/>
    <hyperlink r:id="rId278" ref="H102"/>
    <hyperlink r:id="rId279" ref="I102"/>
    <hyperlink r:id="rId280" ref="G103"/>
    <hyperlink r:id="rId281" ref="H103"/>
    <hyperlink r:id="rId282" ref="I103"/>
    <hyperlink r:id="rId283" ref="G104"/>
    <hyperlink r:id="rId284" ref="H104"/>
    <hyperlink r:id="rId285" ref="I104"/>
    <hyperlink r:id="rId286" ref="G105"/>
    <hyperlink r:id="rId287" ref="H105"/>
    <hyperlink r:id="rId288" ref="I105"/>
    <hyperlink r:id="rId289" ref="G106"/>
    <hyperlink r:id="rId290" ref="H106"/>
    <hyperlink r:id="rId291" ref="I106"/>
    <hyperlink r:id="rId292" ref="G107"/>
    <hyperlink r:id="rId293" ref="H107"/>
    <hyperlink r:id="rId294" ref="I107"/>
    <hyperlink r:id="rId295" ref="G108"/>
    <hyperlink r:id="rId296" ref="H108"/>
    <hyperlink r:id="rId297" ref="I108"/>
    <hyperlink r:id="rId298" ref="G109"/>
    <hyperlink r:id="rId299" ref="H109"/>
    <hyperlink r:id="rId300" ref="I109"/>
    <hyperlink r:id="rId301" ref="G110"/>
    <hyperlink r:id="rId302" ref="H110"/>
    <hyperlink r:id="rId303" ref="I110"/>
    <hyperlink r:id="rId304" ref="G111"/>
    <hyperlink r:id="rId305" ref="H111"/>
    <hyperlink r:id="rId306" ref="I111"/>
    <hyperlink r:id="rId307" ref="G112"/>
    <hyperlink r:id="rId308" ref="H112"/>
    <hyperlink r:id="rId309" ref="I112"/>
    <hyperlink r:id="rId310" ref="G113"/>
    <hyperlink r:id="rId311" ref="H113"/>
    <hyperlink r:id="rId312" ref="I113"/>
    <hyperlink r:id="rId313" ref="G114"/>
    <hyperlink r:id="rId314" ref="H114"/>
    <hyperlink r:id="rId315" ref="I114"/>
    <hyperlink r:id="rId316" ref="G115"/>
    <hyperlink r:id="rId317" ref="H115"/>
    <hyperlink r:id="rId318" ref="I115"/>
    <hyperlink r:id="rId319" ref="G116"/>
    <hyperlink r:id="rId320" ref="H116"/>
    <hyperlink r:id="rId321" ref="I116"/>
    <hyperlink r:id="rId322" ref="G117"/>
    <hyperlink r:id="rId323" ref="H117"/>
    <hyperlink r:id="rId324" ref="I117"/>
    <hyperlink r:id="rId325" ref="G118"/>
    <hyperlink r:id="rId326" ref="H118"/>
    <hyperlink r:id="rId327" ref="I118"/>
    <hyperlink r:id="rId328" ref="G119"/>
    <hyperlink r:id="rId329" ref="H119"/>
    <hyperlink r:id="rId330" ref="I119"/>
    <hyperlink r:id="rId331" ref="G120"/>
    <hyperlink r:id="rId332" ref="H120"/>
    <hyperlink r:id="rId333" ref="I120"/>
    <hyperlink r:id="rId334" ref="G121"/>
    <hyperlink r:id="rId335" ref="H121"/>
    <hyperlink r:id="rId336" ref="I121"/>
    <hyperlink r:id="rId337" ref="G122"/>
    <hyperlink r:id="rId338" ref="H122"/>
    <hyperlink r:id="rId339" ref="I122"/>
    <hyperlink r:id="rId340" ref="G123"/>
    <hyperlink r:id="rId341" ref="H123"/>
    <hyperlink r:id="rId342" ref="I123"/>
    <hyperlink r:id="rId343" ref="G124"/>
    <hyperlink r:id="rId344" ref="H124"/>
    <hyperlink r:id="rId345" ref="I124"/>
    <hyperlink r:id="rId346" ref="G125"/>
    <hyperlink r:id="rId347" ref="H125"/>
    <hyperlink r:id="rId348" ref="I125"/>
    <hyperlink r:id="rId349" ref="G126"/>
    <hyperlink r:id="rId350" ref="H126"/>
    <hyperlink r:id="rId351" ref="I126"/>
    <hyperlink r:id="rId352" ref="G127"/>
    <hyperlink r:id="rId353" ref="H127"/>
    <hyperlink r:id="rId354" ref="I127"/>
    <hyperlink r:id="rId355" ref="G128"/>
    <hyperlink r:id="rId356" ref="H128"/>
    <hyperlink r:id="rId357" ref="I128"/>
    <hyperlink r:id="rId358" ref="G129"/>
    <hyperlink r:id="rId359" ref="H129"/>
    <hyperlink r:id="rId360" ref="I129"/>
    <hyperlink r:id="rId361" ref="G130"/>
    <hyperlink r:id="rId362" ref="H130"/>
    <hyperlink r:id="rId363" ref="I130"/>
    <hyperlink r:id="rId364" ref="G131"/>
    <hyperlink r:id="rId365" ref="H131"/>
    <hyperlink r:id="rId366" ref="I131"/>
    <hyperlink r:id="rId367" ref="G132"/>
    <hyperlink r:id="rId368" ref="H132"/>
    <hyperlink r:id="rId369" ref="I132"/>
    <hyperlink r:id="rId370" ref="G133"/>
    <hyperlink r:id="rId371" ref="H133"/>
    <hyperlink r:id="rId372" ref="I133"/>
    <hyperlink r:id="rId373" ref="G134"/>
    <hyperlink r:id="rId374" ref="H134"/>
    <hyperlink r:id="rId375" ref="I134"/>
    <hyperlink r:id="rId376" ref="G135"/>
    <hyperlink r:id="rId377" ref="H135"/>
    <hyperlink r:id="rId378" ref="I135"/>
    <hyperlink r:id="rId379" ref="G136"/>
    <hyperlink r:id="rId380" ref="H136"/>
    <hyperlink r:id="rId381" ref="I136"/>
    <hyperlink r:id="rId382" ref="G137"/>
    <hyperlink r:id="rId383" ref="H137"/>
    <hyperlink r:id="rId384" ref="I137"/>
    <hyperlink r:id="rId385" ref="G138"/>
    <hyperlink r:id="rId386" ref="H138"/>
    <hyperlink r:id="rId387" ref="I138"/>
    <hyperlink r:id="rId388" ref="G139"/>
    <hyperlink r:id="rId389" ref="H139"/>
    <hyperlink r:id="rId390" ref="I139"/>
    <hyperlink r:id="rId391" ref="G140"/>
    <hyperlink r:id="rId392" ref="H140"/>
    <hyperlink r:id="rId393" ref="I140"/>
    <hyperlink r:id="rId394" ref="G141"/>
    <hyperlink r:id="rId395" ref="H141"/>
    <hyperlink r:id="rId396" ref="I141"/>
    <hyperlink r:id="rId397" ref="G142"/>
    <hyperlink r:id="rId398" ref="H142"/>
    <hyperlink r:id="rId399" ref="I142"/>
    <hyperlink r:id="rId400" ref="G143"/>
    <hyperlink r:id="rId401" ref="H143"/>
    <hyperlink r:id="rId402" ref="I143"/>
    <hyperlink r:id="rId403" ref="G144"/>
    <hyperlink r:id="rId404" ref="H144"/>
    <hyperlink r:id="rId405" ref="I144"/>
    <hyperlink r:id="rId406" ref="G145"/>
    <hyperlink r:id="rId407" ref="H145"/>
    <hyperlink r:id="rId408" ref="I145"/>
    <hyperlink r:id="rId409" ref="G146"/>
    <hyperlink r:id="rId410" ref="H146"/>
    <hyperlink r:id="rId411" ref="I146"/>
    <hyperlink r:id="rId412" ref="G147"/>
    <hyperlink r:id="rId413" ref="H147"/>
    <hyperlink r:id="rId414" ref="I147"/>
    <hyperlink r:id="rId415" ref="G148"/>
    <hyperlink r:id="rId416" ref="H148"/>
    <hyperlink r:id="rId417" ref="I148"/>
    <hyperlink r:id="rId418" ref="G149"/>
    <hyperlink r:id="rId419" ref="H149"/>
    <hyperlink r:id="rId420" ref="I149"/>
    <hyperlink r:id="rId421" ref="G150"/>
    <hyperlink r:id="rId422" ref="H150"/>
    <hyperlink r:id="rId423" ref="I150"/>
    <hyperlink r:id="rId424" ref="G151"/>
    <hyperlink r:id="rId425" ref="H151"/>
    <hyperlink r:id="rId426" ref="I151"/>
    <hyperlink r:id="rId427" ref="G152"/>
    <hyperlink r:id="rId428" ref="H152"/>
    <hyperlink r:id="rId429" ref="I152"/>
    <hyperlink r:id="rId430" ref="G153"/>
    <hyperlink r:id="rId431" ref="H153"/>
    <hyperlink r:id="rId432" ref="I153"/>
    <hyperlink r:id="rId433" ref="G154"/>
    <hyperlink r:id="rId434" ref="H154"/>
    <hyperlink r:id="rId435" ref="I154"/>
    <hyperlink r:id="rId436" ref="G155"/>
    <hyperlink r:id="rId437" ref="H155"/>
    <hyperlink r:id="rId438" ref="I155"/>
    <hyperlink r:id="rId439" ref="G156"/>
    <hyperlink r:id="rId440" ref="H156"/>
    <hyperlink r:id="rId441" ref="I156"/>
    <hyperlink r:id="rId442" ref="G157"/>
    <hyperlink r:id="rId443" ref="H157"/>
    <hyperlink r:id="rId444" ref="I157"/>
    <hyperlink r:id="rId445" ref="G158"/>
    <hyperlink r:id="rId446" ref="H158"/>
    <hyperlink r:id="rId447" ref="I158"/>
    <hyperlink r:id="rId448" ref="G159"/>
    <hyperlink r:id="rId449" ref="H159"/>
    <hyperlink r:id="rId450" ref="I159"/>
    <hyperlink r:id="rId451" ref="G160"/>
    <hyperlink r:id="rId452" ref="H160"/>
    <hyperlink r:id="rId453" ref="I160"/>
    <hyperlink r:id="rId454" ref="G161"/>
    <hyperlink r:id="rId455" ref="H161"/>
    <hyperlink r:id="rId456" ref="I161"/>
    <hyperlink r:id="rId457" ref="G162"/>
    <hyperlink r:id="rId458" ref="H162"/>
    <hyperlink r:id="rId459" ref="I162"/>
    <hyperlink r:id="rId460" ref="G163"/>
    <hyperlink r:id="rId461" ref="H163"/>
    <hyperlink r:id="rId462" ref="I163"/>
    <hyperlink r:id="rId463" ref="G164"/>
    <hyperlink r:id="rId464" ref="H164"/>
    <hyperlink r:id="rId465" ref="I164"/>
    <hyperlink r:id="rId466" ref="G165"/>
    <hyperlink r:id="rId467" ref="H165"/>
    <hyperlink r:id="rId468" ref="I165"/>
    <hyperlink r:id="rId469" ref="G166"/>
    <hyperlink r:id="rId470" ref="H166"/>
    <hyperlink r:id="rId471" ref="I166"/>
    <hyperlink r:id="rId472" ref="G167"/>
    <hyperlink r:id="rId473" ref="H167"/>
    <hyperlink r:id="rId474" ref="I167"/>
    <hyperlink r:id="rId475" ref="G168"/>
    <hyperlink r:id="rId476" ref="H168"/>
    <hyperlink r:id="rId477" ref="I168"/>
    <hyperlink r:id="rId478" ref="G169"/>
    <hyperlink r:id="rId479" ref="H169"/>
    <hyperlink r:id="rId480" ref="I169"/>
    <hyperlink r:id="rId481" ref="G170"/>
    <hyperlink r:id="rId482" ref="H170"/>
    <hyperlink r:id="rId483" ref="I170"/>
    <hyperlink r:id="rId484" ref="G171"/>
    <hyperlink r:id="rId485" ref="H171"/>
    <hyperlink r:id="rId486" ref="I171"/>
    <hyperlink r:id="rId487" ref="G172"/>
    <hyperlink r:id="rId488" ref="H172"/>
    <hyperlink r:id="rId489" ref="I172"/>
    <hyperlink r:id="rId490" ref="G173"/>
    <hyperlink r:id="rId491" ref="H173"/>
    <hyperlink r:id="rId492" ref="I173"/>
    <hyperlink r:id="rId493" ref="G174"/>
    <hyperlink r:id="rId494" ref="H174"/>
    <hyperlink r:id="rId495" ref="I174"/>
    <hyperlink r:id="rId496" ref="G175"/>
    <hyperlink r:id="rId497" ref="H175"/>
    <hyperlink r:id="rId498" ref="I175"/>
    <hyperlink r:id="rId499" ref="G176"/>
    <hyperlink r:id="rId500" ref="H176"/>
    <hyperlink r:id="rId501" ref="I176"/>
    <hyperlink r:id="rId502" ref="G177"/>
    <hyperlink r:id="rId503" ref="H177"/>
    <hyperlink r:id="rId504" ref="I177"/>
    <hyperlink r:id="rId505" ref="G178"/>
    <hyperlink r:id="rId506" ref="H178"/>
    <hyperlink r:id="rId507" ref="I178"/>
    <hyperlink r:id="rId508" ref="G179"/>
    <hyperlink r:id="rId509" ref="H179"/>
    <hyperlink r:id="rId510" ref="I179"/>
    <hyperlink r:id="rId511" ref="G180"/>
    <hyperlink r:id="rId512" ref="H180"/>
    <hyperlink r:id="rId513" ref="I180"/>
    <hyperlink r:id="rId514" ref="G181"/>
    <hyperlink r:id="rId515" ref="H181"/>
    <hyperlink r:id="rId516" ref="I181"/>
    <hyperlink r:id="rId517" ref="G182"/>
    <hyperlink r:id="rId518" ref="H182"/>
    <hyperlink r:id="rId519" ref="I182"/>
    <hyperlink r:id="rId520" ref="G183"/>
    <hyperlink r:id="rId521" ref="H183"/>
    <hyperlink r:id="rId522" ref="I183"/>
    <hyperlink r:id="rId523" ref="G184"/>
    <hyperlink r:id="rId524" ref="H184"/>
    <hyperlink r:id="rId525" ref="I184"/>
    <hyperlink r:id="rId526" ref="G185"/>
    <hyperlink r:id="rId527" ref="H185"/>
    <hyperlink r:id="rId528" ref="I185"/>
    <hyperlink r:id="rId529" ref="G186"/>
    <hyperlink r:id="rId530" ref="H186"/>
    <hyperlink r:id="rId531" ref="I186"/>
    <hyperlink r:id="rId532" ref="G187"/>
    <hyperlink r:id="rId533" ref="H187"/>
    <hyperlink r:id="rId534" ref="I187"/>
    <hyperlink r:id="rId535" ref="G188"/>
    <hyperlink r:id="rId536" ref="H188"/>
    <hyperlink r:id="rId537" ref="I188"/>
    <hyperlink r:id="rId538" ref="G189"/>
    <hyperlink r:id="rId539" ref="H189"/>
    <hyperlink r:id="rId540" ref="I189"/>
    <hyperlink r:id="rId541" ref="G190"/>
    <hyperlink r:id="rId542" ref="H190"/>
    <hyperlink r:id="rId543" ref="I190"/>
    <hyperlink r:id="rId544" ref="G191"/>
    <hyperlink r:id="rId545" ref="H191"/>
    <hyperlink r:id="rId546" ref="I191"/>
    <hyperlink r:id="rId547" ref="G192"/>
    <hyperlink r:id="rId548" ref="H192"/>
    <hyperlink r:id="rId549" ref="I192"/>
    <hyperlink r:id="rId550" ref="G193"/>
    <hyperlink r:id="rId551" ref="H193"/>
    <hyperlink r:id="rId552" ref="I193"/>
    <hyperlink r:id="rId553" ref="G194"/>
    <hyperlink r:id="rId554" ref="H194"/>
    <hyperlink r:id="rId555" ref="I194"/>
    <hyperlink r:id="rId556" ref="G195"/>
    <hyperlink r:id="rId557" ref="H195"/>
    <hyperlink r:id="rId558" ref="I195"/>
    <hyperlink r:id="rId559" ref="G196"/>
    <hyperlink r:id="rId560" ref="H196"/>
    <hyperlink r:id="rId561" ref="I196"/>
    <hyperlink r:id="rId562" ref="G197"/>
    <hyperlink r:id="rId563" ref="H197"/>
    <hyperlink r:id="rId564" ref="I197"/>
    <hyperlink r:id="rId565" ref="G198"/>
    <hyperlink r:id="rId566" ref="H198"/>
    <hyperlink r:id="rId567" ref="I198"/>
    <hyperlink r:id="rId568" ref="G199"/>
    <hyperlink r:id="rId569" ref="H199"/>
    <hyperlink r:id="rId570" ref="I199"/>
    <hyperlink r:id="rId571" ref="G200"/>
    <hyperlink r:id="rId572" ref="H200"/>
    <hyperlink r:id="rId573" ref="I200"/>
    <hyperlink r:id="rId574" ref="G201"/>
    <hyperlink r:id="rId575" ref="H201"/>
    <hyperlink r:id="rId576" ref="I201"/>
    <hyperlink r:id="rId577" ref="G202"/>
    <hyperlink r:id="rId578" ref="H202"/>
    <hyperlink r:id="rId579" ref="I202"/>
    <hyperlink r:id="rId580" ref="G203"/>
    <hyperlink r:id="rId581" ref="H203"/>
    <hyperlink r:id="rId582" ref="I203"/>
    <hyperlink r:id="rId583" ref="G204"/>
    <hyperlink r:id="rId584" ref="H204"/>
    <hyperlink r:id="rId585" ref="I204"/>
    <hyperlink r:id="rId586" ref="G205"/>
    <hyperlink r:id="rId587" ref="H205"/>
    <hyperlink r:id="rId588" ref="I205"/>
    <hyperlink r:id="rId589" ref="G206"/>
    <hyperlink r:id="rId590" ref="H206"/>
    <hyperlink r:id="rId591" ref="I206"/>
    <hyperlink r:id="rId592" ref="G207"/>
    <hyperlink r:id="rId593" ref="H207"/>
    <hyperlink r:id="rId594" ref="I207"/>
    <hyperlink r:id="rId595" ref="G208"/>
    <hyperlink r:id="rId596" ref="H208"/>
    <hyperlink r:id="rId597" ref="I208"/>
    <hyperlink r:id="rId598" ref="G209"/>
    <hyperlink r:id="rId599" ref="H209"/>
    <hyperlink r:id="rId600" ref="I209"/>
    <hyperlink r:id="rId601" ref="G210"/>
    <hyperlink r:id="rId602" ref="H210"/>
    <hyperlink r:id="rId603" ref="I210"/>
    <hyperlink r:id="rId604" ref="G211"/>
    <hyperlink r:id="rId605" ref="H211"/>
    <hyperlink r:id="rId606" ref="I211"/>
    <hyperlink r:id="rId607" ref="G212"/>
    <hyperlink r:id="rId608" ref="H212"/>
    <hyperlink r:id="rId609" ref="I212"/>
    <hyperlink r:id="rId610" ref="G213"/>
    <hyperlink r:id="rId611" ref="H213"/>
    <hyperlink r:id="rId612" ref="I213"/>
    <hyperlink r:id="rId613" ref="G214"/>
    <hyperlink r:id="rId614" ref="H214"/>
    <hyperlink r:id="rId615" ref="I214"/>
    <hyperlink r:id="rId616" ref="G215"/>
    <hyperlink r:id="rId617" ref="H215"/>
    <hyperlink r:id="rId618" ref="I215"/>
    <hyperlink r:id="rId619" ref="G216"/>
    <hyperlink r:id="rId620" ref="H216"/>
    <hyperlink r:id="rId621" ref="I216"/>
    <hyperlink r:id="rId622" ref="G217"/>
    <hyperlink r:id="rId623" ref="H217"/>
    <hyperlink r:id="rId624" ref="I217"/>
    <hyperlink r:id="rId625" ref="G218"/>
    <hyperlink r:id="rId626" ref="H218"/>
    <hyperlink r:id="rId627" ref="I218"/>
    <hyperlink r:id="rId628" ref="G219"/>
    <hyperlink r:id="rId629" ref="H219"/>
    <hyperlink r:id="rId630" ref="I219"/>
    <hyperlink r:id="rId631" ref="G220"/>
    <hyperlink r:id="rId632" ref="H220"/>
    <hyperlink r:id="rId633" ref="I220"/>
    <hyperlink r:id="rId634" ref="G221"/>
    <hyperlink r:id="rId635" ref="H221"/>
    <hyperlink r:id="rId636" ref="I221"/>
    <hyperlink r:id="rId637" ref="G222"/>
    <hyperlink r:id="rId638" ref="H222"/>
    <hyperlink r:id="rId639" ref="I222"/>
    <hyperlink r:id="rId640" ref="G223"/>
    <hyperlink r:id="rId641" ref="H223"/>
    <hyperlink r:id="rId642" ref="I223"/>
    <hyperlink r:id="rId643" ref="G224"/>
    <hyperlink r:id="rId644" ref="H224"/>
    <hyperlink r:id="rId645" ref="I224"/>
    <hyperlink r:id="rId646" ref="G225"/>
    <hyperlink r:id="rId647" ref="H225"/>
    <hyperlink r:id="rId648" ref="I225"/>
    <hyperlink r:id="rId649" ref="G226"/>
    <hyperlink r:id="rId650" ref="H226"/>
    <hyperlink r:id="rId651" ref="I226"/>
    <hyperlink r:id="rId652" ref="G227"/>
    <hyperlink r:id="rId653" ref="H227"/>
    <hyperlink r:id="rId654" ref="I227"/>
    <hyperlink r:id="rId655" ref="G228"/>
    <hyperlink r:id="rId656" ref="H228"/>
    <hyperlink r:id="rId657" ref="I228"/>
    <hyperlink r:id="rId658" ref="G229"/>
    <hyperlink r:id="rId659" ref="H229"/>
    <hyperlink r:id="rId660" ref="I229"/>
    <hyperlink r:id="rId661" ref="G230"/>
    <hyperlink r:id="rId662" ref="H230"/>
    <hyperlink r:id="rId663" ref="I230"/>
    <hyperlink r:id="rId664" ref="G231"/>
    <hyperlink r:id="rId665" ref="H231"/>
    <hyperlink r:id="rId666" ref="I231"/>
    <hyperlink r:id="rId667" ref="G232"/>
    <hyperlink r:id="rId668" ref="H232"/>
    <hyperlink r:id="rId669" ref="I232"/>
    <hyperlink r:id="rId670" ref="G233"/>
    <hyperlink r:id="rId671" ref="H233"/>
    <hyperlink r:id="rId672" ref="I233"/>
    <hyperlink r:id="rId673" ref="G234"/>
    <hyperlink r:id="rId674" ref="H234"/>
    <hyperlink r:id="rId675" ref="I234"/>
    <hyperlink r:id="rId676" ref="G235"/>
    <hyperlink r:id="rId677" ref="H235"/>
    <hyperlink r:id="rId678" ref="I235"/>
    <hyperlink r:id="rId679" ref="G236"/>
    <hyperlink r:id="rId680" ref="H236"/>
    <hyperlink r:id="rId681" ref="I236"/>
    <hyperlink r:id="rId682" ref="G237"/>
    <hyperlink r:id="rId683" ref="H237"/>
    <hyperlink r:id="rId684" ref="I237"/>
    <hyperlink r:id="rId685" ref="G238"/>
    <hyperlink r:id="rId686" ref="H238"/>
    <hyperlink r:id="rId687" ref="I238"/>
    <hyperlink r:id="rId688" ref="G239"/>
    <hyperlink r:id="rId689" ref="H239"/>
    <hyperlink r:id="rId690" ref="I239"/>
    <hyperlink r:id="rId691" ref="G240"/>
    <hyperlink r:id="rId692" ref="H240"/>
    <hyperlink r:id="rId693" ref="I240"/>
    <hyperlink r:id="rId694" ref="G241"/>
    <hyperlink r:id="rId695" ref="H241"/>
    <hyperlink r:id="rId696" ref="I241"/>
  </hyperlinks>
  <drawing r:id="rId697"/>
  <legacyDrawing r:id="rId69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3.13"/>
    <col customWidth="1" min="3" max="3" width="12.75"/>
    <col customWidth="1" min="4" max="4" width="14.88"/>
    <col customWidth="1" min="5" max="5" width="6.13"/>
    <col customWidth="1" min="6" max="6" width="6.0"/>
    <col customWidth="1" min="7" max="7" width="11.38"/>
    <col customWidth="1" min="8" max="8" width="11.25"/>
    <col customWidth="1" min="9" max="9" width="10.0"/>
    <col customWidth="1" min="10" max="10" width="9.38"/>
    <col customWidth="1" min="11" max="11" width="8.63"/>
    <col customWidth="1" min="12" max="12" width="12.25"/>
    <col customWidth="1" min="13" max="13" width="12.75"/>
    <col customWidth="1" min="14" max="14" width="13.0"/>
    <col customWidth="1" min="15" max="15" width="14.38"/>
    <col customWidth="1" min="17" max="17" width="11.25"/>
    <col customWidth="1" min="18" max="18" width="28.13"/>
    <col customWidth="1" min="19" max="20" width="12.13"/>
    <col customWidth="1" min="21" max="21" width="28.88"/>
    <col customWidth="1" min="22" max="22" width="29.75"/>
    <col customWidth="1" min="29" max="29" width="20.88"/>
    <col customWidth="1" min="30" max="30" width="7.0"/>
    <col customWidth="1" min="31" max="31" width="3.0"/>
    <col customWidth="1" min="32" max="32" width="28.88"/>
    <col customWidth="1" min="33" max="33" width="8.25"/>
  </cols>
  <sheetData>
    <row r="1">
      <c r="A1" s="302" t="str">
        <f>IFERROR(__xludf.DUMMYFUNCTION("IMPORTRANGE('APS Tubes by Date IMPORT'!$A$2,""APS Tubes!$A1:$D"")"),"TUBE ID")</f>
        <v>TUBE ID</v>
      </c>
      <c r="B1" s="38" t="str">
        <f>IFERROR(__xludf.DUMMYFUNCTION("""COMPUTED_VALUE"""),"COLLECTION DATE")</f>
        <v>COLLECTION DATE</v>
      </c>
      <c r="C1" s="38" t="str">
        <f>IFERROR(__xludf.DUMMYFUNCTION("""COMPUTED_VALUE"""),"COLLECTION TIME")</f>
        <v>COLLECTION TIME</v>
      </c>
      <c r="D1" s="38" t="str">
        <f>IFERROR(__xludf.DUMMYFUNCTION("""COMPUTED_VALUE"""),"SPONSOR PERSON ID")</f>
        <v>SPONSOR PERSON ID</v>
      </c>
      <c r="E1" s="38"/>
      <c r="F1" s="38"/>
      <c r="G1" s="303" t="str">
        <f>IFERROR(__xludf.DUMMYFUNCTION("IMPORTRANGE('APS Tubes by Date IMPORT'!$A$2,""APS Tubes!$G1:$N"")"),"APP
RESULT")</f>
        <v>APP
RESULT</v>
      </c>
      <c r="H1" s="38" t="str">
        <f>IFERROR(__xludf.DUMMYFUNCTION("""COMPUTED_VALUE"""),"FINAL RESULT")</f>
        <v>FINAL RESULT</v>
      </c>
      <c r="I1" s="42" t="str">
        <f>IFERROR(__xludf.DUMMYFUNCTION("""COMPUTED_VALUE"""),"RESULT DATE")</f>
        <v>RESULT DATE</v>
      </c>
      <c r="J1" s="42" t="str">
        <f>IFERROR(__xludf.DUMMYFUNCTION("""COMPUTED_VALUE"""),"RESULT TIME")</f>
        <v>RESULT TIME</v>
      </c>
      <c r="K1" s="42" t="str">
        <f>IFERROR(__xludf.DUMMYFUNCTION("""COMPUTED_VALUE"""),"Result Correct Code")</f>
        <v>Result Correct Code</v>
      </c>
      <c r="L1" s="38" t="str">
        <f>IFERROR(__xludf.DUMMYFUNCTION("""COMPUTED_VALUE"""),"Correction Notes")</f>
        <v>Correction Notes</v>
      </c>
      <c r="M1" s="147" t="str">
        <f>IFERROR(__xludf.DUMMYFUNCTION("""COMPUTED_VALUE"""),"NOTE")</f>
        <v>NOTE</v>
      </c>
      <c r="N1" s="42" t="str">
        <f>IFERROR(__xludf.DUMMYFUNCTION("""COMPUTED_VALUE"""),"NUM SAMPLES (Pool Level)")</f>
        <v>NUM SAMPLES (Pool Level)</v>
      </c>
      <c r="O1" s="42" t="s">
        <v>1344</v>
      </c>
      <c r="P1" s="304" t="str">
        <f>IFERROR(__xludf.DUMMYFUNCTION("IMPORTRANGE('APS Tubes by Date IMPORT'!$A$2,""APS Tubes!$Q1:$Q"")"),"Result Date Minus Collect Date")</f>
        <v>Result Date Minus Collect Date</v>
      </c>
      <c r="Q1" s="2" t="s">
        <v>1345</v>
      </c>
      <c r="R1" s="2" t="s">
        <v>1346</v>
      </c>
      <c r="S1" s="167" t="s">
        <v>1347</v>
      </c>
      <c r="T1" s="148" t="s">
        <v>1348</v>
      </c>
      <c r="U1" s="2" t="s">
        <v>1349</v>
      </c>
      <c r="V1" s="2" t="s">
        <v>1350</v>
      </c>
      <c r="W1" s="38" t="s">
        <v>1351</v>
      </c>
      <c r="X1" s="38" t="s">
        <v>1352</v>
      </c>
      <c r="Y1" s="167" t="s">
        <v>1353</v>
      </c>
      <c r="Z1" s="63" t="s">
        <v>1354</v>
      </c>
      <c r="AA1" s="63" t="s">
        <v>1355</v>
      </c>
      <c r="AB1" s="63" t="s">
        <v>1356</v>
      </c>
      <c r="AC1" s="305" t="str">
        <f>IF(AD1=0,"IN SYNC!","NOT IN SYNC - VALUES IN BOOLEAN COLS (CYAN)")</f>
        <v>IN SYNC!</v>
      </c>
      <c r="AD1" s="48">
        <f>COUNTIF($AC$2:$AD1399,TRUE)</f>
        <v>0</v>
      </c>
      <c r="AE1" s="43"/>
      <c r="AF1" s="2" t="s">
        <v>1357</v>
      </c>
      <c r="AG1" s="306">
        <f>COUNTIF(AG2:AG1399,FALSE)</f>
        <v>97</v>
      </c>
    </row>
    <row r="2">
      <c r="A2" s="307" t="str">
        <f>IFERROR(__xludf.DUMMYFUNCTION("""COMPUTED_VALUE"""),"AH7429")</f>
        <v>AH7429</v>
      </c>
      <c r="B2" s="308">
        <f>IFERROR(__xludf.DUMMYFUNCTION("""COMPUTED_VALUE"""),44809.0)</f>
        <v>44809</v>
      </c>
      <c r="C2" s="309">
        <f>IFERROR(__xludf.DUMMYFUNCTION("""COMPUTED_VALUE"""),0.30189814814814814)</f>
        <v>0.3018981481</v>
      </c>
      <c r="D2" s="54" t="str">
        <f>IFERROR(__xludf.DUMMYFUNCTION("""COMPUTED_VALUE"""),"SpABRM756011")</f>
        <v>SpABRM756011</v>
      </c>
      <c r="E2" s="310"/>
      <c r="F2" s="310"/>
      <c r="G2" s="310" t="str">
        <f>IFERROR(__xludf.DUMMYFUNCTION("""COMPUTED_VALUE"""),"Negative")</f>
        <v>Negative</v>
      </c>
      <c r="H2" s="308" t="str">
        <f>IFERROR(__xludf.DUMMYFUNCTION("""COMPUTED_VALUE"""),"Negative")</f>
        <v>Negative</v>
      </c>
      <c r="I2" s="309">
        <f>IFERROR(__xludf.DUMMYFUNCTION("""COMPUTED_VALUE"""),44813.0)</f>
        <v>44813</v>
      </c>
      <c r="J2" s="311">
        <f>IFERROR(__xludf.DUMMYFUNCTION("""COMPUTED_VALUE"""),0.12097222222222222)</f>
        <v>0.1209722222</v>
      </c>
      <c r="K2" s="54"/>
      <c r="L2" s="310"/>
      <c r="M2" s="312"/>
      <c r="N2" s="172">
        <f>IFERROR(__xludf.DUMMYFUNCTION("""COMPUTED_VALUE"""),2.0)</f>
        <v>2</v>
      </c>
      <c r="O2" s="172" t="b">
        <f t="shared" ref="O2:O641" si="3">IF(B2&lt;&gt;B1,TRUE,IFERROR(0/0,""))</f>
        <v>1</v>
      </c>
      <c r="P2" s="313">
        <f>IFERROR(__xludf.DUMMYFUNCTION("""COMPUTED_VALUE"""),4.0)</f>
        <v>4</v>
      </c>
      <c r="Q2" s="76" t="b">
        <f>VLOOKUP($B2,'Run Reconcile'!B$2:O1399,14,FALSE)</f>
        <v>1</v>
      </c>
      <c r="R2" s="314" t="str">
        <f t="array" ref="R2">IF($Q2, INDEX('Run Reconcile'!A$2:A1399,MATCH(B2,'Run Reconcile'!B$2:B1399,0),1),IFERROR(0/0,""))</f>
        <v>RUN-ABRM_2022-09-05_RFR-001</v>
      </c>
      <c r="S2" s="315" t="str">
        <f t="shared" ref="S2:T2" si="1">IF(COUNTIF(W$2:W1399, $A2) &gt; 0,TRUE,IFERROR(0/0,""))</f>
        <v/>
      </c>
      <c r="T2" s="315" t="str">
        <f t="shared" si="1"/>
        <v/>
      </c>
      <c r="U2" s="114" t="str">
        <f t="array" ref="U2">IF(ISBLANK($R2), INDEX('Run Reconcile'!A$2:A1399, MATCH($B2, 'Run Reconcile'!B$2:B1399, 0)+Z2, 1), IFERROR(0/0,""))
</f>
        <v/>
      </c>
      <c r="V2" s="316" t="str">
        <f t="shared" ref="V2:V634" si="5">CONCATENATE($R2,$U2)</f>
        <v>RUN-ABRM_2022-09-05_RFR-001</v>
      </c>
      <c r="Y2" s="317" t="str">
        <f t="shared" ref="Y2:Y1399" si="6">IF(AND(ISBLANK(W2),ISBLANK(X2)),IFERROR(0/0,""),1)</f>
        <v/>
      </c>
      <c r="Z2" s="83" t="str">
        <f t="shared" ref="Z2:Z1399" si="7">IF(NOT(ISBLANK(AA2)), AA2, IF(NOT(ISBLANK(AB2)),AB2,IFERROR(0/0,"")))</f>
        <v/>
      </c>
      <c r="AA2" s="83" t="str">
        <f t="shared" ref="AA2:AA1399" si="8">IFERROR(VLOOKUP($A2, $W$2:$Y1399, 3, FALSE),IFERROR(0/0,""))</f>
        <v/>
      </c>
      <c r="AB2" s="83" t="str">
        <f t="shared" ref="AB2:AB1399" si="9">IFERROR(VLOOKUP($A2, $X$2:$Y1399, 2, FALSE),IFERROR(0/0,""))</f>
        <v/>
      </c>
      <c r="AC2" s="18" t="str">
        <f t="shared" ref="AC2:AD2" si="2">IF(_xlfn.ISFORMULA(S2),IFERROR(0/0,""),TRUE)</f>
        <v/>
      </c>
      <c r="AD2" s="18" t="str">
        <f t="shared" si="2"/>
        <v/>
      </c>
      <c r="AE2" s="43"/>
      <c r="AF2" s="318" t="s">
        <v>1358</v>
      </c>
      <c r="AG2" s="55" t="str">
        <f t="shared" ref="AG2:AG1354" si="11">IF(EXACT(AF2,V2),IFERROR(0/0,""),FALSE)</f>
        <v/>
      </c>
    </row>
    <row r="3">
      <c r="A3" s="7" t="str">
        <f>IFERROR(__xludf.DUMMYFUNCTION("""COMPUTED_VALUE"""),"AG448")</f>
        <v>AG448</v>
      </c>
      <c r="B3" s="308">
        <f>IFERROR(__xludf.DUMMYFUNCTION("""COMPUTED_VALUE"""),44809.0)</f>
        <v>44809</v>
      </c>
      <c r="C3" s="309">
        <f>IFERROR(__xludf.DUMMYFUNCTION("""COMPUTED_VALUE"""),0.3511458333333333)</f>
        <v>0.3511458333</v>
      </c>
      <c r="D3" s="54" t="str">
        <f>IFERROR(__xludf.DUMMYFUNCTION("""COMPUTED_VALUE"""),"SpABRM297307")</f>
        <v>SpABRM297307</v>
      </c>
      <c r="E3" s="310"/>
      <c r="F3" s="310"/>
      <c r="G3" s="310" t="str">
        <f>IFERROR(__xludf.DUMMYFUNCTION("""COMPUTED_VALUE"""),"Negative")</f>
        <v>Negative</v>
      </c>
      <c r="H3" s="308" t="str">
        <f>IFERROR(__xludf.DUMMYFUNCTION("""COMPUTED_VALUE"""),"Negative")</f>
        <v>Negative</v>
      </c>
      <c r="I3" s="309">
        <f>IFERROR(__xludf.DUMMYFUNCTION("""COMPUTED_VALUE"""),44813.0)</f>
        <v>44813</v>
      </c>
      <c r="J3" s="311">
        <f>IFERROR(__xludf.DUMMYFUNCTION("""COMPUTED_VALUE"""),0.12097222222222222)</f>
        <v>0.1209722222</v>
      </c>
      <c r="K3" s="54"/>
      <c r="L3" s="7"/>
      <c r="M3" s="312"/>
      <c r="N3" s="172">
        <f>IFERROR(__xludf.DUMMYFUNCTION("""COMPUTED_VALUE"""),4.0)</f>
        <v>4</v>
      </c>
      <c r="O3" s="172" t="str">
        <f t="shared" si="3"/>
        <v/>
      </c>
      <c r="P3" s="313">
        <f>IFERROR(__xludf.DUMMYFUNCTION("""COMPUTED_VALUE"""),4.0)</f>
        <v>4</v>
      </c>
      <c r="Q3" s="76" t="b">
        <f>VLOOKUP($B3,'Run Reconcile'!B$2:O1399,14,FALSE)</f>
        <v>1</v>
      </c>
      <c r="R3" s="314" t="str">
        <f t="array" ref="R3">IF($Q3, INDEX('Run Reconcile'!A$2:A1399,MATCH(B3,'Run Reconcile'!B$2:B1399,0),1),IFERROR(0/0,""))</f>
        <v>RUN-ABRM_2022-09-05_RFR-001</v>
      </c>
      <c r="S3" s="315" t="str">
        <f t="shared" ref="S3:T3" si="4">IF(COUNTIF(W$2:W1399, $A3) &gt; 0,TRUE,IFERROR(0/0,""))</f>
        <v/>
      </c>
      <c r="T3" s="315" t="str">
        <f t="shared" si="4"/>
        <v/>
      </c>
      <c r="U3" s="114" t="str">
        <f t="array" ref="U3">IF(ISBLANK($R3), INDEX('Run Reconcile'!A$2:A1399, MATCH($B3, 'Run Reconcile'!B$2:B1399, 0)+Z3, 1), IFERROR(0/0,""))
</f>
        <v/>
      </c>
      <c r="V3" s="316" t="str">
        <f t="shared" si="5"/>
        <v>RUN-ABRM_2022-09-05_RFR-001</v>
      </c>
      <c r="Y3" s="317" t="str">
        <f t="shared" si="6"/>
        <v/>
      </c>
      <c r="Z3" s="83" t="str">
        <f t="shared" si="7"/>
        <v/>
      </c>
      <c r="AA3" s="83" t="str">
        <f t="shared" si="8"/>
        <v/>
      </c>
      <c r="AB3" s="83" t="str">
        <f t="shared" si="9"/>
        <v/>
      </c>
      <c r="AC3" s="18" t="str">
        <f t="shared" ref="AC3:AD3" si="10">IF(_xlfn.ISFORMULA(S3),IFERROR(0/0,""),TRUE)</f>
        <v/>
      </c>
      <c r="AD3" s="18" t="str">
        <f t="shared" si="10"/>
        <v/>
      </c>
      <c r="AE3" s="43"/>
      <c r="AF3" s="58" t="s">
        <v>1358</v>
      </c>
      <c r="AG3" s="55" t="str">
        <f t="shared" si="11"/>
        <v/>
      </c>
    </row>
    <row r="4">
      <c r="A4" s="7" t="str">
        <f>IFERROR(__xludf.DUMMYFUNCTION("""COMPUTED_VALUE"""),"AJ8004")</f>
        <v>AJ8004</v>
      </c>
      <c r="B4" s="308">
        <f>IFERROR(__xludf.DUMMYFUNCTION("""COMPUTED_VALUE"""),44809.0)</f>
        <v>44809</v>
      </c>
      <c r="C4" s="309">
        <f>IFERROR(__xludf.DUMMYFUNCTION("""COMPUTED_VALUE"""),0.3751388888888889)</f>
        <v>0.3751388889</v>
      </c>
      <c r="D4" s="54" t="str">
        <f>IFERROR(__xludf.DUMMYFUNCTION("""COMPUTED_VALUE"""),"SpABRM128250")</f>
        <v>SpABRM128250</v>
      </c>
      <c r="E4" s="310"/>
      <c r="F4" s="310"/>
      <c r="G4" s="310" t="str">
        <f>IFERROR(__xludf.DUMMYFUNCTION("""COMPUTED_VALUE"""),"Negative")</f>
        <v>Negative</v>
      </c>
      <c r="H4" s="308" t="str">
        <f>IFERROR(__xludf.DUMMYFUNCTION("""COMPUTED_VALUE"""),"Negative")</f>
        <v>Negative</v>
      </c>
      <c r="I4" s="309">
        <f>IFERROR(__xludf.DUMMYFUNCTION("""COMPUTED_VALUE"""),44813.0)</f>
        <v>44813</v>
      </c>
      <c r="J4" s="311">
        <f>IFERROR(__xludf.DUMMYFUNCTION("""COMPUTED_VALUE"""),0.12097222222222222)</f>
        <v>0.1209722222</v>
      </c>
      <c r="K4" s="54"/>
      <c r="L4" s="7"/>
      <c r="M4" s="312"/>
      <c r="N4" s="172">
        <f>IFERROR(__xludf.DUMMYFUNCTION("""COMPUTED_VALUE"""),3.0)</f>
        <v>3</v>
      </c>
      <c r="O4" s="172" t="str">
        <f t="shared" si="3"/>
        <v/>
      </c>
      <c r="P4" s="313">
        <f>IFERROR(__xludf.DUMMYFUNCTION("""COMPUTED_VALUE"""),4.0)</f>
        <v>4</v>
      </c>
      <c r="Q4" s="76" t="b">
        <f>VLOOKUP($B4,'Run Reconcile'!B$2:O1399,14,FALSE)</f>
        <v>1</v>
      </c>
      <c r="R4" s="314" t="str">
        <f t="array" ref="R4">IF($Q4, INDEX('Run Reconcile'!A$2:A1399,MATCH(B4,'Run Reconcile'!B$2:B1399,0),1),IFERROR(0/0,""))</f>
        <v>RUN-ABRM_2022-09-05_RFR-001</v>
      </c>
      <c r="S4" s="315" t="str">
        <f t="shared" ref="S4:T4" si="12">IF(COUNTIF(W$2:W1399, $A4) &gt; 0,TRUE,IFERROR(0/0,""))</f>
        <v/>
      </c>
      <c r="T4" s="315" t="str">
        <f t="shared" si="12"/>
        <v/>
      </c>
      <c r="U4" s="114" t="str">
        <f t="array" ref="U4">IF(ISBLANK($R4), INDEX('Run Reconcile'!A$2:A1399, MATCH($B4, 'Run Reconcile'!B$2:B1399, 0)+Z4, 1), IFERROR(0/0,""))
</f>
        <v/>
      </c>
      <c r="V4" s="316" t="str">
        <f t="shared" si="5"/>
        <v>RUN-ABRM_2022-09-05_RFR-001</v>
      </c>
      <c r="Y4" s="317" t="str">
        <f t="shared" si="6"/>
        <v/>
      </c>
      <c r="Z4" s="83" t="str">
        <f t="shared" si="7"/>
        <v/>
      </c>
      <c r="AA4" s="83" t="str">
        <f t="shared" si="8"/>
        <v/>
      </c>
      <c r="AB4" s="83" t="str">
        <f t="shared" si="9"/>
        <v/>
      </c>
      <c r="AC4" s="18" t="str">
        <f t="shared" ref="AC4:AD4" si="13">IF(_xlfn.ISFORMULA(S4),IFERROR(0/0,""),TRUE)</f>
        <v/>
      </c>
      <c r="AD4" s="18" t="str">
        <f t="shared" si="13"/>
        <v/>
      </c>
      <c r="AE4" s="43"/>
      <c r="AF4" s="58" t="s">
        <v>1358</v>
      </c>
      <c r="AG4" s="55" t="str">
        <f t="shared" si="11"/>
        <v/>
      </c>
    </row>
    <row r="5">
      <c r="A5" s="7" t="str">
        <f>IFERROR(__xludf.DUMMYFUNCTION("""COMPUTED_VALUE"""),"AH8068")</f>
        <v>AH8068</v>
      </c>
      <c r="B5" s="308">
        <f>IFERROR(__xludf.DUMMYFUNCTION("""COMPUTED_VALUE"""),44809.0)</f>
        <v>44809</v>
      </c>
      <c r="C5" s="309">
        <f>IFERROR(__xludf.DUMMYFUNCTION("""COMPUTED_VALUE"""),0.3938425925925926)</f>
        <v>0.3938425926</v>
      </c>
      <c r="D5" s="54" t="str">
        <f>IFERROR(__xludf.DUMMYFUNCTION("""COMPUTED_VALUE"""),"SpABRM367540")</f>
        <v>SpABRM367540</v>
      </c>
      <c r="E5" s="310"/>
      <c r="F5" s="310"/>
      <c r="G5" s="310" t="str">
        <f>IFERROR(__xludf.DUMMYFUNCTION("""COMPUTED_VALUE"""),"Negative")</f>
        <v>Negative</v>
      </c>
      <c r="H5" s="308" t="str">
        <f>IFERROR(__xludf.DUMMYFUNCTION("""COMPUTED_VALUE"""),"Negative")</f>
        <v>Negative</v>
      </c>
      <c r="I5" s="309">
        <f>IFERROR(__xludf.DUMMYFUNCTION("""COMPUTED_VALUE"""),44813.0)</f>
        <v>44813</v>
      </c>
      <c r="J5" s="311">
        <f>IFERROR(__xludf.DUMMYFUNCTION("""COMPUTED_VALUE"""),0.12097222222222222)</f>
        <v>0.1209722222</v>
      </c>
      <c r="K5" s="54"/>
      <c r="L5" s="7"/>
      <c r="M5" s="312"/>
      <c r="N5" s="172">
        <f>IFERROR(__xludf.DUMMYFUNCTION("""COMPUTED_VALUE"""),2.0)</f>
        <v>2</v>
      </c>
      <c r="O5" s="172" t="str">
        <f t="shared" si="3"/>
        <v/>
      </c>
      <c r="P5" s="313">
        <f>IFERROR(__xludf.DUMMYFUNCTION("""COMPUTED_VALUE"""),4.0)</f>
        <v>4</v>
      </c>
      <c r="Q5" s="76" t="b">
        <f>VLOOKUP($B5,'Run Reconcile'!B$2:O1399,14,FALSE)</f>
        <v>1</v>
      </c>
      <c r="R5" s="314" t="str">
        <f t="array" ref="R5">IF($Q5, INDEX('Run Reconcile'!A$2:A1399,MATCH(B5,'Run Reconcile'!B$2:B1399,0),1),IFERROR(0/0,""))</f>
        <v>RUN-ABRM_2022-09-05_RFR-001</v>
      </c>
      <c r="S5" s="315" t="str">
        <f t="shared" ref="S5:T5" si="14">IF(COUNTIF(W$2:W1399, $A5) &gt; 0,TRUE,IFERROR(0/0,""))</f>
        <v/>
      </c>
      <c r="T5" s="315" t="str">
        <f t="shared" si="14"/>
        <v/>
      </c>
      <c r="U5" s="114" t="str">
        <f t="array" ref="U5">IF(ISBLANK($R5), INDEX('Run Reconcile'!A$2:A1399, MATCH($B5, 'Run Reconcile'!B$2:B1399, 0)+Z5, 1), IFERROR(0/0,""))
</f>
        <v/>
      </c>
      <c r="V5" s="316" t="str">
        <f t="shared" si="5"/>
        <v>RUN-ABRM_2022-09-05_RFR-001</v>
      </c>
      <c r="Y5" s="317" t="str">
        <f t="shared" si="6"/>
        <v/>
      </c>
      <c r="Z5" s="83" t="str">
        <f t="shared" si="7"/>
        <v/>
      </c>
      <c r="AA5" s="83" t="str">
        <f t="shared" si="8"/>
        <v/>
      </c>
      <c r="AB5" s="83" t="str">
        <f t="shared" si="9"/>
        <v/>
      </c>
      <c r="AC5" s="18" t="str">
        <f t="shared" ref="AC5:AD5" si="15">IF(_xlfn.ISFORMULA(S5),IFERROR(0/0,""),TRUE)</f>
        <v/>
      </c>
      <c r="AD5" s="18" t="str">
        <f t="shared" si="15"/>
        <v/>
      </c>
      <c r="AE5" s="43"/>
      <c r="AF5" s="58" t="s">
        <v>1358</v>
      </c>
      <c r="AG5" s="55" t="str">
        <f t="shared" si="11"/>
        <v/>
      </c>
    </row>
    <row r="6">
      <c r="A6" s="7" t="str">
        <f>IFERROR(__xludf.DUMMYFUNCTION("""COMPUTED_VALUE"""),"AH9257")</f>
        <v>AH9257</v>
      </c>
      <c r="B6" s="308">
        <f>IFERROR(__xludf.DUMMYFUNCTION("""COMPUTED_VALUE"""),44809.0)</f>
        <v>44809</v>
      </c>
      <c r="C6" s="309">
        <f>IFERROR(__xludf.DUMMYFUNCTION("""COMPUTED_VALUE"""),0.40921296296296295)</f>
        <v>0.409212963</v>
      </c>
      <c r="D6" s="54" t="str">
        <f>IFERROR(__xludf.DUMMYFUNCTION("""COMPUTED_VALUE"""),"SpABRM716377")</f>
        <v>SpABRM716377</v>
      </c>
      <c r="E6" s="310"/>
      <c r="F6" s="310"/>
      <c r="G6" s="310" t="str">
        <f>IFERROR(__xludf.DUMMYFUNCTION("""COMPUTED_VALUE"""),"Negative")</f>
        <v>Negative</v>
      </c>
      <c r="H6" s="308" t="str">
        <f>IFERROR(__xludf.DUMMYFUNCTION("""COMPUTED_VALUE"""),"Negative")</f>
        <v>Negative</v>
      </c>
      <c r="I6" s="309">
        <f>IFERROR(__xludf.DUMMYFUNCTION("""COMPUTED_VALUE"""),44813.0)</f>
        <v>44813</v>
      </c>
      <c r="J6" s="311">
        <f>IFERROR(__xludf.DUMMYFUNCTION("""COMPUTED_VALUE"""),0.12097222222222222)</f>
        <v>0.1209722222</v>
      </c>
      <c r="K6" s="54"/>
      <c r="L6" s="7"/>
      <c r="M6" s="312"/>
      <c r="N6" s="172">
        <f>IFERROR(__xludf.DUMMYFUNCTION("""COMPUTED_VALUE"""),2.0)</f>
        <v>2</v>
      </c>
      <c r="O6" s="172" t="str">
        <f t="shared" si="3"/>
        <v/>
      </c>
      <c r="P6" s="313">
        <f>IFERROR(__xludf.DUMMYFUNCTION("""COMPUTED_VALUE"""),4.0)</f>
        <v>4</v>
      </c>
      <c r="Q6" s="76" t="b">
        <f>VLOOKUP($B6,'Run Reconcile'!B$2:O1399,14,FALSE)</f>
        <v>1</v>
      </c>
      <c r="R6" s="314" t="str">
        <f t="array" ref="R6">IF($Q6, INDEX('Run Reconcile'!A$2:A1399,MATCH(B6,'Run Reconcile'!B$2:B1399,0),1),IFERROR(0/0,""))</f>
        <v>RUN-ABRM_2022-09-05_RFR-001</v>
      </c>
      <c r="S6" s="315" t="str">
        <f t="shared" ref="S6:T6" si="16">IF(COUNTIF(W$2:W1399, $A6) &gt; 0,TRUE,IFERROR(0/0,""))</f>
        <v/>
      </c>
      <c r="T6" s="315" t="str">
        <f t="shared" si="16"/>
        <v/>
      </c>
      <c r="U6" s="114" t="str">
        <f t="array" ref="U6">IF(ISBLANK($R6), INDEX('Run Reconcile'!A$2:A1399, MATCH($B6, 'Run Reconcile'!B$2:B1399, 0)+Z6, 1), IFERROR(0/0,""))
</f>
        <v/>
      </c>
      <c r="V6" s="316" t="str">
        <f t="shared" si="5"/>
        <v>RUN-ABRM_2022-09-05_RFR-001</v>
      </c>
      <c r="Y6" s="317" t="str">
        <f t="shared" si="6"/>
        <v/>
      </c>
      <c r="Z6" s="83" t="str">
        <f t="shared" si="7"/>
        <v/>
      </c>
      <c r="AA6" s="83" t="str">
        <f t="shared" si="8"/>
        <v/>
      </c>
      <c r="AB6" s="83" t="str">
        <f t="shared" si="9"/>
        <v/>
      </c>
      <c r="AC6" s="18" t="str">
        <f t="shared" ref="AC6:AD6" si="17">IF(_xlfn.ISFORMULA(S6),IFERROR(0/0,""),TRUE)</f>
        <v/>
      </c>
      <c r="AD6" s="18" t="str">
        <f t="shared" si="17"/>
        <v/>
      </c>
      <c r="AE6" s="43"/>
      <c r="AF6" s="58" t="s">
        <v>1358</v>
      </c>
      <c r="AG6" s="55" t="str">
        <f t="shared" si="11"/>
        <v/>
      </c>
    </row>
    <row r="7">
      <c r="A7" s="7" t="str">
        <f>IFERROR(__xludf.DUMMYFUNCTION("""COMPUTED_VALUE"""),"AG1276")</f>
        <v>AG1276</v>
      </c>
      <c r="B7" s="308">
        <f>IFERROR(__xludf.DUMMYFUNCTION("""COMPUTED_VALUE"""),44809.0)</f>
        <v>44809</v>
      </c>
      <c r="C7" s="309">
        <f>IFERROR(__xludf.DUMMYFUNCTION("""COMPUTED_VALUE"""),0.4484375)</f>
        <v>0.4484375</v>
      </c>
      <c r="D7" s="54" t="str">
        <f>IFERROR(__xludf.DUMMYFUNCTION("""COMPUTED_VALUE"""),"SpABRM652382")</f>
        <v>SpABRM652382</v>
      </c>
      <c r="E7" s="310"/>
      <c r="F7" s="310"/>
      <c r="G7" s="310" t="str">
        <f>IFERROR(__xludf.DUMMYFUNCTION("""COMPUTED_VALUE"""),"Negative")</f>
        <v>Negative</v>
      </c>
      <c r="H7" s="308" t="str">
        <f>IFERROR(__xludf.DUMMYFUNCTION("""COMPUTED_VALUE"""),"Negative")</f>
        <v>Negative</v>
      </c>
      <c r="I7" s="309">
        <f>IFERROR(__xludf.DUMMYFUNCTION("""COMPUTED_VALUE"""),44813.0)</f>
        <v>44813</v>
      </c>
      <c r="J7" s="311">
        <f>IFERROR(__xludf.DUMMYFUNCTION("""COMPUTED_VALUE"""),0.1209837962962963)</f>
        <v>0.1209837963</v>
      </c>
      <c r="K7" s="54"/>
      <c r="L7" s="7"/>
      <c r="M7" s="312"/>
      <c r="N7" s="172">
        <f>IFERROR(__xludf.DUMMYFUNCTION("""COMPUTED_VALUE"""),2.0)</f>
        <v>2</v>
      </c>
      <c r="O7" s="172" t="str">
        <f t="shared" si="3"/>
        <v/>
      </c>
      <c r="P7" s="313">
        <f>IFERROR(__xludf.DUMMYFUNCTION("""COMPUTED_VALUE"""),4.0)</f>
        <v>4</v>
      </c>
      <c r="Q7" s="76" t="b">
        <f>VLOOKUP($B7,'Run Reconcile'!B$2:O1399,14,FALSE)</f>
        <v>1</v>
      </c>
      <c r="R7" s="314" t="str">
        <f t="array" ref="R7">IF($Q7, INDEX('Run Reconcile'!A$2:A1399,MATCH(B7,'Run Reconcile'!B$2:B1399,0),1),IFERROR(0/0,""))</f>
        <v>RUN-ABRM_2022-09-05_RFR-001</v>
      </c>
      <c r="S7" s="315" t="str">
        <f t="shared" ref="S7:T7" si="18">IF(COUNTIF(W$2:W1399, $A7) &gt; 0,TRUE,IFERROR(0/0,""))</f>
        <v/>
      </c>
      <c r="T7" s="315" t="str">
        <f t="shared" si="18"/>
        <v/>
      </c>
      <c r="U7" s="114" t="str">
        <f t="array" ref="U7">IF(ISBLANK($R7), INDEX('Run Reconcile'!A$2:A1399, MATCH($B7, 'Run Reconcile'!B$2:B1399, 0)+Z7, 1), IFERROR(0/0,""))
</f>
        <v/>
      </c>
      <c r="V7" s="316" t="str">
        <f t="shared" si="5"/>
        <v>RUN-ABRM_2022-09-05_RFR-001</v>
      </c>
      <c r="Y7" s="317" t="str">
        <f t="shared" si="6"/>
        <v/>
      </c>
      <c r="Z7" s="83" t="str">
        <f t="shared" si="7"/>
        <v/>
      </c>
      <c r="AA7" s="83" t="str">
        <f t="shared" si="8"/>
        <v/>
      </c>
      <c r="AB7" s="83" t="str">
        <f t="shared" si="9"/>
        <v/>
      </c>
      <c r="AC7" s="18" t="str">
        <f t="shared" ref="AC7:AD7" si="19">IF(_xlfn.ISFORMULA(S7),IFERROR(0/0,""),TRUE)</f>
        <v/>
      </c>
      <c r="AD7" s="18" t="str">
        <f t="shared" si="19"/>
        <v/>
      </c>
      <c r="AE7" s="43"/>
      <c r="AF7" s="58" t="s">
        <v>1358</v>
      </c>
      <c r="AG7" s="55" t="str">
        <f t="shared" si="11"/>
        <v/>
      </c>
    </row>
    <row r="8">
      <c r="A8" s="7" t="str">
        <f>IFERROR(__xludf.DUMMYFUNCTION("""COMPUTED_VALUE"""),"AG1434")</f>
        <v>AG1434</v>
      </c>
      <c r="B8" s="308">
        <f>IFERROR(__xludf.DUMMYFUNCTION("""COMPUTED_VALUE"""),44809.0)</f>
        <v>44809</v>
      </c>
      <c r="C8" s="309">
        <f>IFERROR(__xludf.DUMMYFUNCTION("""COMPUTED_VALUE"""),0.5504513888888889)</f>
        <v>0.5504513889</v>
      </c>
      <c r="D8" s="54" t="str">
        <f>IFERROR(__xludf.DUMMYFUNCTION("""COMPUTED_VALUE"""),"SpABRM655136")</f>
        <v>SpABRM655136</v>
      </c>
      <c r="E8" s="310"/>
      <c r="F8" s="310"/>
      <c r="G8" s="310" t="str">
        <f>IFERROR(__xludf.DUMMYFUNCTION("""COMPUTED_VALUE"""),"Negative")</f>
        <v>Negative</v>
      </c>
      <c r="H8" s="308" t="str">
        <f>IFERROR(__xludf.DUMMYFUNCTION("""COMPUTED_VALUE"""),"Negative")</f>
        <v>Negative</v>
      </c>
      <c r="I8" s="309">
        <f>IFERROR(__xludf.DUMMYFUNCTION("""COMPUTED_VALUE"""),44813.0)</f>
        <v>44813</v>
      </c>
      <c r="J8" s="311">
        <f>IFERROR(__xludf.DUMMYFUNCTION("""COMPUTED_VALUE"""),0.1209837962962963)</f>
        <v>0.1209837963</v>
      </c>
      <c r="K8" s="54"/>
      <c r="L8" s="7"/>
      <c r="M8" s="312"/>
      <c r="N8" s="172">
        <f>IFERROR(__xludf.DUMMYFUNCTION("""COMPUTED_VALUE"""),1.0)</f>
        <v>1</v>
      </c>
      <c r="O8" s="172" t="str">
        <f t="shared" si="3"/>
        <v/>
      </c>
      <c r="P8" s="313">
        <f>IFERROR(__xludf.DUMMYFUNCTION("""COMPUTED_VALUE"""),4.0)</f>
        <v>4</v>
      </c>
      <c r="Q8" s="76" t="b">
        <f>VLOOKUP($B8,'Run Reconcile'!B$2:O1399,14,FALSE)</f>
        <v>1</v>
      </c>
      <c r="R8" s="314" t="str">
        <f t="array" ref="R8">IF($Q8, INDEX('Run Reconcile'!A$2:A1399,MATCH(B8,'Run Reconcile'!B$2:B1399,0),1),IFERROR(0/0,""))</f>
        <v>RUN-ABRM_2022-09-05_RFR-001</v>
      </c>
      <c r="S8" s="315" t="str">
        <f t="shared" ref="S8:T8" si="20">IF(COUNTIF(W$2:W1399, $A8) &gt; 0,TRUE,IFERROR(0/0,""))</f>
        <v/>
      </c>
      <c r="T8" s="315" t="str">
        <f t="shared" si="20"/>
        <v/>
      </c>
      <c r="U8" s="114" t="str">
        <f t="array" ref="U8">IF(ISBLANK($R8), INDEX('Run Reconcile'!A$2:A1399, MATCH($B8, 'Run Reconcile'!B$2:B1399, 0)+Z8, 1), IFERROR(0/0,""))
</f>
        <v/>
      </c>
      <c r="V8" s="316" t="str">
        <f t="shared" si="5"/>
        <v>RUN-ABRM_2022-09-05_RFR-001</v>
      </c>
      <c r="Y8" s="317" t="str">
        <f t="shared" si="6"/>
        <v/>
      </c>
      <c r="Z8" s="83" t="str">
        <f t="shared" si="7"/>
        <v/>
      </c>
      <c r="AA8" s="83" t="str">
        <f t="shared" si="8"/>
        <v/>
      </c>
      <c r="AB8" s="83" t="str">
        <f t="shared" si="9"/>
        <v/>
      </c>
      <c r="AC8" s="18" t="str">
        <f t="shared" ref="AC8:AD8" si="21">IF(_xlfn.ISFORMULA(S8),IFERROR(0/0,""),TRUE)</f>
        <v/>
      </c>
      <c r="AD8" s="18" t="str">
        <f t="shared" si="21"/>
        <v/>
      </c>
      <c r="AE8" s="43"/>
      <c r="AF8" s="58" t="s">
        <v>1358</v>
      </c>
      <c r="AG8" s="55" t="str">
        <f t="shared" si="11"/>
        <v/>
      </c>
    </row>
    <row r="9">
      <c r="A9" s="7" t="str">
        <f>IFERROR(__xludf.DUMMYFUNCTION("""COMPUTED_VALUE"""),"AG2096")</f>
        <v>AG2096</v>
      </c>
      <c r="B9" s="308">
        <f>IFERROR(__xludf.DUMMYFUNCTION("""COMPUTED_VALUE"""),44809.0)</f>
        <v>44809</v>
      </c>
      <c r="C9" s="309">
        <f>IFERROR(__xludf.DUMMYFUNCTION("""COMPUTED_VALUE"""),0.5509837962962963)</f>
        <v>0.5509837963</v>
      </c>
      <c r="D9" s="54" t="str">
        <f>IFERROR(__xludf.DUMMYFUNCTION("""COMPUTED_VALUE"""),"SpABRM655136")</f>
        <v>SpABRM655136</v>
      </c>
      <c r="E9" s="310"/>
      <c r="F9" s="310"/>
      <c r="G9" s="310" t="str">
        <f>IFERROR(__xludf.DUMMYFUNCTION("""COMPUTED_VALUE"""),"Negative")</f>
        <v>Negative</v>
      </c>
      <c r="H9" s="308" t="str">
        <f>IFERROR(__xludf.DUMMYFUNCTION("""COMPUTED_VALUE"""),"Negative")</f>
        <v>Negative</v>
      </c>
      <c r="I9" s="309">
        <f>IFERROR(__xludf.DUMMYFUNCTION("""COMPUTED_VALUE"""),44813.0)</f>
        <v>44813</v>
      </c>
      <c r="J9" s="311">
        <f>IFERROR(__xludf.DUMMYFUNCTION("""COMPUTED_VALUE"""),0.1209837962962963)</f>
        <v>0.1209837963</v>
      </c>
      <c r="K9" s="54"/>
      <c r="L9" s="7"/>
      <c r="M9" s="312"/>
      <c r="N9" s="172">
        <f>IFERROR(__xludf.DUMMYFUNCTION("""COMPUTED_VALUE"""),1.0)</f>
        <v>1</v>
      </c>
      <c r="O9" s="172" t="str">
        <f t="shared" si="3"/>
        <v/>
      </c>
      <c r="P9" s="313">
        <f>IFERROR(__xludf.DUMMYFUNCTION("""COMPUTED_VALUE"""),4.0)</f>
        <v>4</v>
      </c>
      <c r="Q9" s="76" t="b">
        <f>VLOOKUP($B9,'Run Reconcile'!B$2:O1399,14,FALSE)</f>
        <v>1</v>
      </c>
      <c r="R9" s="314" t="str">
        <f t="array" ref="R9">IF($Q9, INDEX('Run Reconcile'!A$2:A1399,MATCH(B9,'Run Reconcile'!B$2:B1399,0),1),IFERROR(0/0,""))</f>
        <v>RUN-ABRM_2022-09-05_RFR-001</v>
      </c>
      <c r="S9" s="315" t="str">
        <f t="shared" ref="S9:T9" si="22">IF(COUNTIF(W$2:W1399, $A9) &gt; 0,TRUE,IFERROR(0/0,""))</f>
        <v/>
      </c>
      <c r="T9" s="315" t="str">
        <f t="shared" si="22"/>
        <v/>
      </c>
      <c r="U9" s="114" t="str">
        <f t="array" ref="U9">IF(ISBLANK($R9), INDEX('Run Reconcile'!A$2:A1399, MATCH($B9, 'Run Reconcile'!B$2:B1399, 0)+Z9, 1), IFERROR(0/0,""))
</f>
        <v/>
      </c>
      <c r="V9" s="316" t="str">
        <f t="shared" si="5"/>
        <v>RUN-ABRM_2022-09-05_RFR-001</v>
      </c>
      <c r="Y9" s="317" t="str">
        <f t="shared" si="6"/>
        <v/>
      </c>
      <c r="Z9" s="83" t="str">
        <f t="shared" si="7"/>
        <v/>
      </c>
      <c r="AA9" s="83" t="str">
        <f t="shared" si="8"/>
        <v/>
      </c>
      <c r="AB9" s="83" t="str">
        <f t="shared" si="9"/>
        <v/>
      </c>
      <c r="AC9" s="18" t="str">
        <f t="shared" ref="AC9:AD9" si="23">IF(_xlfn.ISFORMULA(S9),IFERROR(0/0,""),TRUE)</f>
        <v/>
      </c>
      <c r="AD9" s="18" t="str">
        <f t="shared" si="23"/>
        <v/>
      </c>
      <c r="AE9" s="43"/>
      <c r="AF9" s="58" t="s">
        <v>1358</v>
      </c>
      <c r="AG9" s="55" t="str">
        <f t="shared" si="11"/>
        <v/>
      </c>
    </row>
    <row r="10">
      <c r="A10" s="7" t="str">
        <f>IFERROR(__xludf.DUMMYFUNCTION("""COMPUTED_VALUE"""),"AH8397")</f>
        <v>AH8397</v>
      </c>
      <c r="B10" s="308">
        <f>IFERROR(__xludf.DUMMYFUNCTION("""COMPUTED_VALUE"""),44809.0)</f>
        <v>44809</v>
      </c>
      <c r="C10" s="309">
        <f>IFERROR(__xludf.DUMMYFUNCTION("""COMPUTED_VALUE"""),0.5515625)</f>
        <v>0.5515625</v>
      </c>
      <c r="D10" s="54" t="str">
        <f>IFERROR(__xludf.DUMMYFUNCTION("""COMPUTED_VALUE"""),"SpABRM655136")</f>
        <v>SpABRM655136</v>
      </c>
      <c r="E10" s="310"/>
      <c r="F10" s="310"/>
      <c r="G10" s="310" t="str">
        <f>IFERROR(__xludf.DUMMYFUNCTION("""COMPUTED_VALUE"""),"Negative")</f>
        <v>Negative</v>
      </c>
      <c r="H10" s="308" t="str">
        <f>IFERROR(__xludf.DUMMYFUNCTION("""COMPUTED_VALUE"""),"Negative")</f>
        <v>Negative</v>
      </c>
      <c r="I10" s="309">
        <f>IFERROR(__xludf.DUMMYFUNCTION("""COMPUTED_VALUE"""),44813.0)</f>
        <v>44813</v>
      </c>
      <c r="J10" s="311">
        <f>IFERROR(__xludf.DUMMYFUNCTION("""COMPUTED_VALUE"""),0.1209837962962963)</f>
        <v>0.1209837963</v>
      </c>
      <c r="K10" s="54"/>
      <c r="L10" s="7"/>
      <c r="M10" s="312"/>
      <c r="N10" s="172">
        <f>IFERROR(__xludf.DUMMYFUNCTION("""COMPUTED_VALUE"""),2.0)</f>
        <v>2</v>
      </c>
      <c r="O10" s="172" t="str">
        <f t="shared" si="3"/>
        <v/>
      </c>
      <c r="P10" s="313">
        <f>IFERROR(__xludf.DUMMYFUNCTION("""COMPUTED_VALUE"""),4.0)</f>
        <v>4</v>
      </c>
      <c r="Q10" s="76" t="b">
        <f>VLOOKUP($B10,'Run Reconcile'!B$2:O1399,14,FALSE)</f>
        <v>1</v>
      </c>
      <c r="R10" s="314" t="str">
        <f t="array" ref="R10">IF($Q10, INDEX('Run Reconcile'!A$2:A1399,MATCH(B10,'Run Reconcile'!B$2:B1399,0),1),IFERROR(0/0,""))</f>
        <v>RUN-ABRM_2022-09-05_RFR-001</v>
      </c>
      <c r="S10" s="315" t="str">
        <f t="shared" ref="S10:T10" si="24">IF(COUNTIF(W$2:W1399, $A10) &gt; 0,TRUE,IFERROR(0/0,""))</f>
        <v/>
      </c>
      <c r="T10" s="315" t="str">
        <f t="shared" si="24"/>
        <v/>
      </c>
      <c r="U10" s="114" t="str">
        <f t="array" ref="U10">IF(ISBLANK($R10), INDEX('Run Reconcile'!A$2:A1399, MATCH($B10, 'Run Reconcile'!B$2:B1399, 0)+Z10, 1), IFERROR(0/0,""))
</f>
        <v/>
      </c>
      <c r="V10" s="316" t="str">
        <f t="shared" si="5"/>
        <v>RUN-ABRM_2022-09-05_RFR-001</v>
      </c>
      <c r="Y10" s="317" t="str">
        <f t="shared" si="6"/>
        <v/>
      </c>
      <c r="Z10" s="83" t="str">
        <f t="shared" si="7"/>
        <v/>
      </c>
      <c r="AA10" s="83" t="str">
        <f t="shared" si="8"/>
        <v/>
      </c>
      <c r="AB10" s="83" t="str">
        <f t="shared" si="9"/>
        <v/>
      </c>
      <c r="AC10" s="18" t="str">
        <f t="shared" ref="AC10:AD10" si="25">IF(_xlfn.ISFORMULA(S10),IFERROR(0/0,""),TRUE)</f>
        <v/>
      </c>
      <c r="AD10" s="18" t="str">
        <f t="shared" si="25"/>
        <v/>
      </c>
      <c r="AE10" s="43"/>
      <c r="AF10" s="58" t="s">
        <v>1358</v>
      </c>
      <c r="AG10" s="55" t="str">
        <f t="shared" si="11"/>
        <v/>
      </c>
    </row>
    <row r="11">
      <c r="A11" s="7" t="str">
        <f>IFERROR(__xludf.DUMMYFUNCTION("""COMPUTED_VALUE"""),"AG1056")</f>
        <v>AG1056</v>
      </c>
      <c r="B11" s="308">
        <f>IFERROR(__xludf.DUMMYFUNCTION("""COMPUTED_VALUE"""),44809.0)</f>
        <v>44809</v>
      </c>
      <c r="C11" s="309">
        <f>IFERROR(__xludf.DUMMYFUNCTION("""COMPUTED_VALUE"""),0.5518518518518518)</f>
        <v>0.5518518519</v>
      </c>
      <c r="D11" s="54" t="str">
        <f>IFERROR(__xludf.DUMMYFUNCTION("""COMPUTED_VALUE"""),"SpABRM655136")</f>
        <v>SpABRM655136</v>
      </c>
      <c r="E11" s="310"/>
      <c r="F11" s="310"/>
      <c r="G11" s="310" t="str">
        <f>IFERROR(__xludf.DUMMYFUNCTION("""COMPUTED_VALUE"""),"Negative")</f>
        <v>Negative</v>
      </c>
      <c r="H11" s="308" t="str">
        <f>IFERROR(__xludf.DUMMYFUNCTION("""COMPUTED_VALUE"""),"Negative")</f>
        <v>Negative</v>
      </c>
      <c r="I11" s="309">
        <f>IFERROR(__xludf.DUMMYFUNCTION("""COMPUTED_VALUE"""),44813.0)</f>
        <v>44813</v>
      </c>
      <c r="J11" s="311">
        <f>IFERROR(__xludf.DUMMYFUNCTION("""COMPUTED_VALUE"""),0.1209837962962963)</f>
        <v>0.1209837963</v>
      </c>
      <c r="K11" s="54"/>
      <c r="L11" s="7"/>
      <c r="M11" s="312"/>
      <c r="N11" s="172">
        <f>IFERROR(__xludf.DUMMYFUNCTION("""COMPUTED_VALUE"""),4.0)</f>
        <v>4</v>
      </c>
      <c r="O11" s="172" t="str">
        <f t="shared" si="3"/>
        <v/>
      </c>
      <c r="P11" s="313">
        <f>IFERROR(__xludf.DUMMYFUNCTION("""COMPUTED_VALUE"""),4.0)</f>
        <v>4</v>
      </c>
      <c r="Q11" s="76" t="b">
        <f>VLOOKUP($B11,'Run Reconcile'!B$2:O1399,14,FALSE)</f>
        <v>1</v>
      </c>
      <c r="R11" s="314" t="str">
        <f t="array" ref="R11">IF($Q11, INDEX('Run Reconcile'!A$2:A1399,MATCH(B11,'Run Reconcile'!B$2:B1399,0),1),IFERROR(0/0,""))</f>
        <v>RUN-ABRM_2022-09-05_RFR-001</v>
      </c>
      <c r="S11" s="315" t="str">
        <f t="shared" ref="S11:T11" si="26">IF(COUNTIF(W$2:W1399, $A11) &gt; 0,TRUE,IFERROR(0/0,""))</f>
        <v/>
      </c>
      <c r="T11" s="315" t="str">
        <f t="shared" si="26"/>
        <v/>
      </c>
      <c r="U11" s="114" t="str">
        <f t="array" ref="U11">IF(ISBLANK($R11), INDEX('Run Reconcile'!A$2:A1399, MATCH($B11, 'Run Reconcile'!B$2:B1399, 0)+Z11, 1), IFERROR(0/0,""))
</f>
        <v/>
      </c>
      <c r="V11" s="316" t="str">
        <f t="shared" si="5"/>
        <v>RUN-ABRM_2022-09-05_RFR-001</v>
      </c>
      <c r="Y11" s="317" t="str">
        <f t="shared" si="6"/>
        <v/>
      </c>
      <c r="Z11" s="83" t="str">
        <f t="shared" si="7"/>
        <v/>
      </c>
      <c r="AA11" s="83" t="str">
        <f t="shared" si="8"/>
        <v/>
      </c>
      <c r="AB11" s="83" t="str">
        <f t="shared" si="9"/>
        <v/>
      </c>
      <c r="AC11" s="18" t="str">
        <f t="shared" ref="AC11:AD11" si="27">IF(_xlfn.ISFORMULA(S11),IFERROR(0/0,""),TRUE)</f>
        <v/>
      </c>
      <c r="AD11" s="18" t="str">
        <f t="shared" si="27"/>
        <v/>
      </c>
      <c r="AE11" s="43"/>
      <c r="AF11" s="58" t="s">
        <v>1358</v>
      </c>
      <c r="AG11" s="55" t="str">
        <f t="shared" si="11"/>
        <v/>
      </c>
    </row>
    <row r="12">
      <c r="A12" s="7" t="str">
        <f>IFERROR(__xludf.DUMMYFUNCTION("""COMPUTED_VALUE"""),"AH8238")</f>
        <v>AH8238</v>
      </c>
      <c r="B12" s="308">
        <f>IFERROR(__xludf.DUMMYFUNCTION("""COMPUTED_VALUE"""),44809.0)</f>
        <v>44809</v>
      </c>
      <c r="C12" s="309">
        <f>IFERROR(__xludf.DUMMYFUNCTION("""COMPUTED_VALUE"""),0.6387152777777778)</f>
        <v>0.6387152778</v>
      </c>
      <c r="D12" s="54" t="str">
        <f>IFERROR(__xludf.DUMMYFUNCTION("""COMPUTED_VALUE"""),"SpABRM188986")</f>
        <v>SpABRM188986</v>
      </c>
      <c r="E12" s="310"/>
      <c r="F12" s="310"/>
      <c r="G12" s="310" t="str">
        <f>IFERROR(__xludf.DUMMYFUNCTION("""COMPUTED_VALUE"""),"Negative")</f>
        <v>Negative</v>
      </c>
      <c r="H12" s="308" t="str">
        <f>IFERROR(__xludf.DUMMYFUNCTION("""COMPUTED_VALUE"""),"Negative")</f>
        <v>Negative</v>
      </c>
      <c r="I12" s="309">
        <f>IFERROR(__xludf.DUMMYFUNCTION("""COMPUTED_VALUE"""),44813.0)</f>
        <v>44813</v>
      </c>
      <c r="J12" s="311">
        <f>IFERROR(__xludf.DUMMYFUNCTION("""COMPUTED_VALUE"""),0.1209837962962963)</f>
        <v>0.1209837963</v>
      </c>
      <c r="K12" s="54"/>
      <c r="L12" s="7"/>
      <c r="M12" s="312"/>
      <c r="N12" s="172">
        <f>IFERROR(__xludf.DUMMYFUNCTION("""COMPUTED_VALUE"""),1.0)</f>
        <v>1</v>
      </c>
      <c r="O12" s="172" t="str">
        <f t="shared" si="3"/>
        <v/>
      </c>
      <c r="P12" s="313">
        <f>IFERROR(__xludf.DUMMYFUNCTION("""COMPUTED_VALUE"""),4.0)</f>
        <v>4</v>
      </c>
      <c r="Q12" s="76" t="b">
        <f>VLOOKUP($B12,'Run Reconcile'!B$2:O1399,14,FALSE)</f>
        <v>1</v>
      </c>
      <c r="R12" s="314" t="str">
        <f t="array" ref="R12">IF($Q12, INDEX('Run Reconcile'!A$2:A1399,MATCH(B12,'Run Reconcile'!B$2:B1399,0),1),IFERROR(0/0,""))</f>
        <v>RUN-ABRM_2022-09-05_RFR-001</v>
      </c>
      <c r="S12" s="315" t="str">
        <f t="shared" ref="S12:T12" si="28">IF(COUNTIF(W$2:W1399, $A12) &gt; 0,TRUE,IFERROR(0/0,""))</f>
        <v/>
      </c>
      <c r="T12" s="315" t="str">
        <f t="shared" si="28"/>
        <v/>
      </c>
      <c r="U12" s="114" t="str">
        <f t="array" ref="U12">IF(ISBLANK($R12), INDEX('Run Reconcile'!A$2:A1399, MATCH($B12, 'Run Reconcile'!B$2:B1399, 0)+Z12, 1), IFERROR(0/0,""))
</f>
        <v/>
      </c>
      <c r="V12" s="316" t="str">
        <f t="shared" si="5"/>
        <v>RUN-ABRM_2022-09-05_RFR-001</v>
      </c>
      <c r="Y12" s="317" t="str">
        <f t="shared" si="6"/>
        <v/>
      </c>
      <c r="Z12" s="83" t="str">
        <f t="shared" si="7"/>
        <v/>
      </c>
      <c r="AA12" s="83" t="str">
        <f t="shared" si="8"/>
        <v/>
      </c>
      <c r="AB12" s="83" t="str">
        <f t="shared" si="9"/>
        <v/>
      </c>
      <c r="AC12" s="18" t="str">
        <f t="shared" ref="AC12:AD12" si="29">IF(_xlfn.ISFORMULA(S12),IFERROR(0/0,""),TRUE)</f>
        <v/>
      </c>
      <c r="AD12" s="18" t="str">
        <f t="shared" si="29"/>
        <v/>
      </c>
      <c r="AE12" s="43"/>
      <c r="AF12" s="58" t="s">
        <v>1358</v>
      </c>
      <c r="AG12" s="55" t="str">
        <f t="shared" si="11"/>
        <v/>
      </c>
    </row>
    <row r="13">
      <c r="A13" s="7" t="str">
        <f>IFERROR(__xludf.DUMMYFUNCTION("""COMPUTED_VALUE"""),"AH7722")</f>
        <v>AH7722</v>
      </c>
      <c r="B13" s="308">
        <f>IFERROR(__xludf.DUMMYFUNCTION("""COMPUTED_VALUE"""),44810.0)</f>
        <v>44810</v>
      </c>
      <c r="C13" s="309">
        <f>IFERROR(__xludf.DUMMYFUNCTION("""COMPUTED_VALUE"""),0.2077314814814815)</f>
        <v>0.2077314815</v>
      </c>
      <c r="D13" s="54" t="str">
        <f>IFERROR(__xludf.DUMMYFUNCTION("""COMPUTED_VALUE"""),"SpABRM756011")</f>
        <v>SpABRM756011</v>
      </c>
      <c r="E13" s="310"/>
      <c r="F13" s="310"/>
      <c r="G13" s="310" t="str">
        <f>IFERROR(__xludf.DUMMYFUNCTION("""COMPUTED_VALUE"""),"Null")</f>
        <v>Null</v>
      </c>
      <c r="H13" s="308" t="str">
        <f>IFERROR(__xludf.DUMMYFUNCTION("""COMPUTED_VALUE"""),"Negative")</f>
        <v>Negative</v>
      </c>
      <c r="I13" s="309"/>
      <c r="J13" s="54"/>
      <c r="K13" s="54">
        <f>IFERROR(__xludf.DUMMYFUNCTION("""COMPUTED_VALUE"""),2.0)</f>
        <v>2</v>
      </c>
      <c r="L13" s="7"/>
      <c r="M13" s="312"/>
      <c r="N13" s="172">
        <f>IFERROR(__xludf.DUMMYFUNCTION("""COMPUTED_VALUE"""),2.0)</f>
        <v>2</v>
      </c>
      <c r="O13" s="172" t="b">
        <f t="shared" si="3"/>
        <v>1</v>
      </c>
      <c r="P13" s="313">
        <f>IFERROR(__xludf.DUMMYFUNCTION("""COMPUTED_VALUE"""),-1.0)</f>
        <v>-1</v>
      </c>
      <c r="Q13" s="76" t="b">
        <f>VLOOKUP($B13,'Run Reconcile'!B$2:O1399,14,FALSE)</f>
        <v>1</v>
      </c>
      <c r="R13" s="314" t="str">
        <f t="array" ref="R13">IF($Q13, INDEX('Run Reconcile'!A$2:A1399,MATCH(B13,'Run Reconcile'!B$2:B1399,0),1),IFERROR(0/0,""))</f>
        <v>RUN-ABRM_2022-09-06_RFR-002</v>
      </c>
      <c r="S13" s="315" t="str">
        <f t="shared" ref="S13:T13" si="30">IF(COUNTIF(W$2:W1399, $A13) &gt; 0,TRUE,IFERROR(0/0,""))</f>
        <v/>
      </c>
      <c r="T13" s="315" t="str">
        <f t="shared" si="30"/>
        <v/>
      </c>
      <c r="U13" s="114" t="str">
        <f t="array" ref="U13">IF(ISBLANK($R13), INDEX('Run Reconcile'!A$2:A1399, MATCH($B13, 'Run Reconcile'!B$2:B1399, 0)+Z13, 1), IFERROR(0/0,""))
</f>
        <v/>
      </c>
      <c r="V13" s="316" t="str">
        <f t="shared" si="5"/>
        <v>RUN-ABRM_2022-09-06_RFR-002</v>
      </c>
      <c r="Y13" s="317" t="str">
        <f t="shared" si="6"/>
        <v/>
      </c>
      <c r="Z13" s="83" t="str">
        <f t="shared" si="7"/>
        <v/>
      </c>
      <c r="AA13" s="83" t="str">
        <f t="shared" si="8"/>
        <v/>
      </c>
      <c r="AB13" s="83" t="str">
        <f t="shared" si="9"/>
        <v/>
      </c>
      <c r="AC13" s="18" t="str">
        <f t="shared" ref="AC13:AD13" si="31">IF(_xlfn.ISFORMULA(S13),IFERROR(0/0,""),TRUE)</f>
        <v/>
      </c>
      <c r="AD13" s="18" t="str">
        <f t="shared" si="31"/>
        <v/>
      </c>
      <c r="AE13" s="43"/>
      <c r="AF13" s="58" t="s">
        <v>29</v>
      </c>
      <c r="AG13" s="55" t="str">
        <f t="shared" si="11"/>
        <v/>
      </c>
    </row>
    <row r="14">
      <c r="A14" s="7" t="str">
        <f>IFERROR(__xludf.DUMMYFUNCTION("""COMPUTED_VALUE"""),"AH8567")</f>
        <v>AH8567</v>
      </c>
      <c r="B14" s="308">
        <f>IFERROR(__xludf.DUMMYFUNCTION("""COMPUTED_VALUE"""),44810.0)</f>
        <v>44810</v>
      </c>
      <c r="C14" s="309">
        <f>IFERROR(__xludf.DUMMYFUNCTION("""COMPUTED_VALUE"""),0.2825810185185185)</f>
        <v>0.2825810185</v>
      </c>
      <c r="D14" s="54" t="str">
        <f>IFERROR(__xludf.DUMMYFUNCTION("""COMPUTED_VALUE"""),"SpABRM128250")</f>
        <v>SpABRM128250</v>
      </c>
      <c r="E14" s="310"/>
      <c r="F14" s="310"/>
      <c r="G14" s="310" t="str">
        <f>IFERROR(__xludf.DUMMYFUNCTION("""COMPUTED_VALUE"""),"Negative")</f>
        <v>Negative</v>
      </c>
      <c r="H14" s="308" t="str">
        <f>IFERROR(__xludf.DUMMYFUNCTION("""COMPUTED_VALUE"""),"Negative")</f>
        <v>Negative</v>
      </c>
      <c r="I14" s="309">
        <f>IFERROR(__xludf.DUMMYFUNCTION("""COMPUTED_VALUE"""),44813.0)</f>
        <v>44813</v>
      </c>
      <c r="J14" s="311">
        <f>IFERROR(__xludf.DUMMYFUNCTION("""COMPUTED_VALUE"""),0.1209837962962963)</f>
        <v>0.1209837963</v>
      </c>
      <c r="K14" s="54"/>
      <c r="L14" s="7"/>
      <c r="M14" s="312"/>
      <c r="N14" s="172">
        <f>IFERROR(__xludf.DUMMYFUNCTION("""COMPUTED_VALUE"""),3.0)</f>
        <v>3</v>
      </c>
      <c r="O14" s="172" t="str">
        <f t="shared" si="3"/>
        <v/>
      </c>
      <c r="P14" s="313">
        <f>IFERROR(__xludf.DUMMYFUNCTION("""COMPUTED_VALUE"""),3.0)</f>
        <v>3</v>
      </c>
      <c r="Q14" s="76" t="b">
        <f>VLOOKUP($B14,'Run Reconcile'!B$2:O1399,14,FALSE)</f>
        <v>1</v>
      </c>
      <c r="R14" s="314" t="str">
        <f t="array" ref="R14">IF($Q14, INDEX('Run Reconcile'!A$2:A1399,MATCH(B14,'Run Reconcile'!B$2:B1399,0),1),IFERROR(0/0,""))</f>
        <v>RUN-ABRM_2022-09-06_RFR-002</v>
      </c>
      <c r="S14" s="315" t="str">
        <f t="shared" ref="S14:T14" si="32">IF(COUNTIF(W$2:W1399, $A14) &gt; 0,TRUE,IFERROR(0/0,""))</f>
        <v/>
      </c>
      <c r="T14" s="315" t="str">
        <f t="shared" si="32"/>
        <v/>
      </c>
      <c r="U14" s="114" t="str">
        <f t="array" ref="U14">IF(ISBLANK($R14), INDEX('Run Reconcile'!A$2:A1399, MATCH($B14, 'Run Reconcile'!B$2:B1399, 0)+Z14, 1), IFERROR(0/0,""))
</f>
        <v/>
      </c>
      <c r="V14" s="316" t="str">
        <f t="shared" si="5"/>
        <v>RUN-ABRM_2022-09-06_RFR-002</v>
      </c>
      <c r="Y14" s="317" t="str">
        <f t="shared" si="6"/>
        <v/>
      </c>
      <c r="Z14" s="83" t="str">
        <f t="shared" si="7"/>
        <v/>
      </c>
      <c r="AA14" s="83" t="str">
        <f t="shared" si="8"/>
        <v/>
      </c>
      <c r="AB14" s="83" t="str">
        <f t="shared" si="9"/>
        <v/>
      </c>
      <c r="AC14" s="18" t="str">
        <f t="shared" ref="AC14:AD14" si="33">IF(_xlfn.ISFORMULA(S14),IFERROR(0/0,""),TRUE)</f>
        <v/>
      </c>
      <c r="AD14" s="18" t="str">
        <f t="shared" si="33"/>
        <v/>
      </c>
      <c r="AE14" s="43"/>
      <c r="AF14" s="58" t="s">
        <v>29</v>
      </c>
      <c r="AG14" s="55" t="str">
        <f t="shared" si="11"/>
        <v/>
      </c>
    </row>
    <row r="15">
      <c r="A15" s="7" t="str">
        <f>IFERROR(__xludf.DUMMYFUNCTION("""COMPUTED_VALUE"""),"AH8614")</f>
        <v>AH8614</v>
      </c>
      <c r="B15" s="308">
        <f>IFERROR(__xludf.DUMMYFUNCTION("""COMPUTED_VALUE"""),44810.0)</f>
        <v>44810</v>
      </c>
      <c r="C15" s="309">
        <f>IFERROR(__xludf.DUMMYFUNCTION("""COMPUTED_VALUE"""),0.2991087962962963)</f>
        <v>0.2991087963</v>
      </c>
      <c r="D15" s="54" t="str">
        <f>IFERROR(__xludf.DUMMYFUNCTION("""COMPUTED_VALUE"""),"SpABRM367540")</f>
        <v>SpABRM367540</v>
      </c>
      <c r="E15" s="310"/>
      <c r="F15" s="310"/>
      <c r="G15" s="310" t="str">
        <f>IFERROR(__xludf.DUMMYFUNCTION("""COMPUTED_VALUE"""),"Negative")</f>
        <v>Negative</v>
      </c>
      <c r="H15" s="308" t="str">
        <f>IFERROR(__xludf.DUMMYFUNCTION("""COMPUTED_VALUE"""),"Negative")</f>
        <v>Negative</v>
      </c>
      <c r="I15" s="309">
        <f>IFERROR(__xludf.DUMMYFUNCTION("""COMPUTED_VALUE"""),44813.0)</f>
        <v>44813</v>
      </c>
      <c r="J15" s="311">
        <f>IFERROR(__xludf.DUMMYFUNCTION("""COMPUTED_VALUE"""),0.12099537037037036)</f>
        <v>0.1209953704</v>
      </c>
      <c r="K15" s="54"/>
      <c r="L15" s="7"/>
      <c r="M15" s="312"/>
      <c r="N15" s="172">
        <f>IFERROR(__xludf.DUMMYFUNCTION("""COMPUTED_VALUE"""),2.0)</f>
        <v>2</v>
      </c>
      <c r="O15" s="172" t="str">
        <f t="shared" si="3"/>
        <v/>
      </c>
      <c r="P15" s="313">
        <f>IFERROR(__xludf.DUMMYFUNCTION("""COMPUTED_VALUE"""),3.0)</f>
        <v>3</v>
      </c>
      <c r="Q15" s="76" t="b">
        <f>VLOOKUP($B15,'Run Reconcile'!B$2:O1399,14,FALSE)</f>
        <v>1</v>
      </c>
      <c r="R15" s="314" t="str">
        <f t="array" ref="R15">IF($Q15, INDEX('Run Reconcile'!A$2:A1399,MATCH(B15,'Run Reconcile'!B$2:B1399,0),1),IFERROR(0/0,""))</f>
        <v>RUN-ABRM_2022-09-06_RFR-002</v>
      </c>
      <c r="S15" s="315" t="str">
        <f t="shared" ref="S15:T15" si="34">IF(COUNTIF(W$2:W1399, $A15) &gt; 0,TRUE,IFERROR(0/0,""))</f>
        <v/>
      </c>
      <c r="T15" s="315" t="str">
        <f t="shared" si="34"/>
        <v/>
      </c>
      <c r="U15" s="114" t="str">
        <f t="array" ref="U15">IF(ISBLANK($R15), INDEX('Run Reconcile'!A$2:A1399, MATCH($B15, 'Run Reconcile'!B$2:B1399, 0)+Z15, 1), IFERROR(0/0,""))
</f>
        <v/>
      </c>
      <c r="V15" s="316" t="str">
        <f t="shared" si="5"/>
        <v>RUN-ABRM_2022-09-06_RFR-002</v>
      </c>
      <c r="Y15" s="317" t="str">
        <f t="shared" si="6"/>
        <v/>
      </c>
      <c r="Z15" s="83" t="str">
        <f t="shared" si="7"/>
        <v/>
      </c>
      <c r="AA15" s="83" t="str">
        <f t="shared" si="8"/>
        <v/>
      </c>
      <c r="AB15" s="83" t="str">
        <f t="shared" si="9"/>
        <v/>
      </c>
      <c r="AC15" s="18" t="str">
        <f t="shared" ref="AC15:AD15" si="35">IF(_xlfn.ISFORMULA(S15),IFERROR(0/0,""),TRUE)</f>
        <v/>
      </c>
      <c r="AD15" s="18" t="str">
        <f t="shared" si="35"/>
        <v/>
      </c>
      <c r="AE15" s="43"/>
      <c r="AF15" s="58" t="s">
        <v>29</v>
      </c>
      <c r="AG15" s="55" t="str">
        <f t="shared" si="11"/>
        <v/>
      </c>
    </row>
    <row r="16">
      <c r="A16" s="7" t="str">
        <f>IFERROR(__xludf.DUMMYFUNCTION("""COMPUTED_VALUE"""),"AK5855")</f>
        <v>AK5855</v>
      </c>
      <c r="B16" s="308">
        <f>IFERROR(__xludf.DUMMYFUNCTION("""COMPUTED_VALUE"""),44810.0)</f>
        <v>44810</v>
      </c>
      <c r="C16" s="309">
        <f>IFERROR(__xludf.DUMMYFUNCTION("""COMPUTED_VALUE"""),0.3076157407407407)</f>
        <v>0.3076157407</v>
      </c>
      <c r="D16" s="54" t="str">
        <f>IFERROR(__xludf.DUMMYFUNCTION("""COMPUTED_VALUE"""),"SpABRM297307")</f>
        <v>SpABRM297307</v>
      </c>
      <c r="E16" s="310"/>
      <c r="F16" s="310"/>
      <c r="G16" s="310" t="str">
        <f>IFERROR(__xludf.DUMMYFUNCTION("""COMPUTED_VALUE"""),"Negative")</f>
        <v>Negative</v>
      </c>
      <c r="H16" s="308" t="str">
        <f>IFERROR(__xludf.DUMMYFUNCTION("""COMPUTED_VALUE"""),"Negative")</f>
        <v>Negative</v>
      </c>
      <c r="I16" s="309">
        <f>IFERROR(__xludf.DUMMYFUNCTION("""COMPUTED_VALUE"""),44813.0)</f>
        <v>44813</v>
      </c>
      <c r="J16" s="311">
        <f>IFERROR(__xludf.DUMMYFUNCTION("""COMPUTED_VALUE"""),0.12099537037037036)</f>
        <v>0.1209953704</v>
      </c>
      <c r="K16" s="54"/>
      <c r="L16" s="7"/>
      <c r="M16" s="312"/>
      <c r="N16" s="172">
        <f>IFERROR(__xludf.DUMMYFUNCTION("""COMPUTED_VALUE"""),4.0)</f>
        <v>4</v>
      </c>
      <c r="O16" s="172" t="str">
        <f t="shared" si="3"/>
        <v/>
      </c>
      <c r="P16" s="313">
        <f>IFERROR(__xludf.DUMMYFUNCTION("""COMPUTED_VALUE"""),3.0)</f>
        <v>3</v>
      </c>
      <c r="Q16" s="76" t="b">
        <f>VLOOKUP($B16,'Run Reconcile'!B$2:O1399,14,FALSE)</f>
        <v>1</v>
      </c>
      <c r="R16" s="314" t="str">
        <f t="array" ref="R16">IF($Q16, INDEX('Run Reconcile'!A$2:A1399,MATCH(B16,'Run Reconcile'!B$2:B1399,0),1),IFERROR(0/0,""))</f>
        <v>RUN-ABRM_2022-09-06_RFR-002</v>
      </c>
      <c r="S16" s="315" t="str">
        <f t="shared" ref="S16:T16" si="36">IF(COUNTIF(W$2:W1399, $A16) &gt; 0,TRUE,IFERROR(0/0,""))</f>
        <v/>
      </c>
      <c r="T16" s="315" t="str">
        <f t="shared" si="36"/>
        <v/>
      </c>
      <c r="U16" s="114" t="str">
        <f t="array" ref="U16">IF(ISBLANK($R16), INDEX('Run Reconcile'!A$2:A1399, MATCH($B16, 'Run Reconcile'!B$2:B1399, 0)+Z16, 1), IFERROR(0/0,""))
</f>
        <v/>
      </c>
      <c r="V16" s="316" t="str">
        <f t="shared" si="5"/>
        <v>RUN-ABRM_2022-09-06_RFR-002</v>
      </c>
      <c r="Y16" s="317" t="str">
        <f t="shared" si="6"/>
        <v/>
      </c>
      <c r="Z16" s="83" t="str">
        <f t="shared" si="7"/>
        <v/>
      </c>
      <c r="AA16" s="83" t="str">
        <f t="shared" si="8"/>
        <v/>
      </c>
      <c r="AB16" s="83" t="str">
        <f t="shared" si="9"/>
        <v/>
      </c>
      <c r="AC16" s="18" t="str">
        <f t="shared" ref="AC16:AD16" si="37">IF(_xlfn.ISFORMULA(S16),IFERROR(0/0,""),TRUE)</f>
        <v/>
      </c>
      <c r="AD16" s="18" t="str">
        <f t="shared" si="37"/>
        <v/>
      </c>
      <c r="AE16" s="43"/>
      <c r="AF16" s="58" t="s">
        <v>29</v>
      </c>
      <c r="AG16" s="55" t="str">
        <f t="shared" si="11"/>
        <v/>
      </c>
    </row>
    <row r="17">
      <c r="A17" s="7" t="str">
        <f>IFERROR(__xludf.DUMMYFUNCTION("""COMPUTED_VALUE"""),"AG1798")</f>
        <v>AG1798</v>
      </c>
      <c r="B17" s="308">
        <f>IFERROR(__xludf.DUMMYFUNCTION("""COMPUTED_VALUE"""),44810.0)</f>
        <v>44810</v>
      </c>
      <c r="C17" s="309">
        <f>IFERROR(__xludf.DUMMYFUNCTION("""COMPUTED_VALUE"""),0.31006944444444445)</f>
        <v>0.3100694444</v>
      </c>
      <c r="D17" s="54" t="str">
        <f>IFERROR(__xludf.DUMMYFUNCTION("""COMPUTED_VALUE"""),"SpABRM716377")</f>
        <v>SpABRM716377</v>
      </c>
      <c r="E17" s="310"/>
      <c r="F17" s="310"/>
      <c r="G17" s="310" t="str">
        <f>IFERROR(__xludf.DUMMYFUNCTION("""COMPUTED_VALUE"""),"Negative")</f>
        <v>Negative</v>
      </c>
      <c r="H17" s="308" t="str">
        <f>IFERROR(__xludf.DUMMYFUNCTION("""COMPUTED_VALUE"""),"Negative")</f>
        <v>Negative</v>
      </c>
      <c r="I17" s="309">
        <f>IFERROR(__xludf.DUMMYFUNCTION("""COMPUTED_VALUE"""),44813.0)</f>
        <v>44813</v>
      </c>
      <c r="J17" s="311">
        <f>IFERROR(__xludf.DUMMYFUNCTION("""COMPUTED_VALUE"""),0.12099537037037036)</f>
        <v>0.1209953704</v>
      </c>
      <c r="K17" s="54"/>
      <c r="L17" s="7"/>
      <c r="M17" s="312"/>
      <c r="N17" s="172">
        <f>IFERROR(__xludf.DUMMYFUNCTION("""COMPUTED_VALUE"""),2.0)</f>
        <v>2</v>
      </c>
      <c r="O17" s="172" t="str">
        <f t="shared" si="3"/>
        <v/>
      </c>
      <c r="P17" s="313">
        <f>IFERROR(__xludf.DUMMYFUNCTION("""COMPUTED_VALUE"""),3.0)</f>
        <v>3</v>
      </c>
      <c r="Q17" s="76" t="b">
        <f>VLOOKUP($B17,'Run Reconcile'!B$2:O1399,14,FALSE)</f>
        <v>1</v>
      </c>
      <c r="R17" s="314" t="str">
        <f t="array" ref="R17">IF($Q17, INDEX('Run Reconcile'!A$2:A1399,MATCH(B17,'Run Reconcile'!B$2:B1399,0),1),IFERROR(0/0,""))</f>
        <v>RUN-ABRM_2022-09-06_RFR-002</v>
      </c>
      <c r="S17" s="315" t="str">
        <f t="shared" ref="S17:T17" si="38">IF(COUNTIF(W$2:W1399, $A17) &gt; 0,TRUE,IFERROR(0/0,""))</f>
        <v/>
      </c>
      <c r="T17" s="315" t="str">
        <f t="shared" si="38"/>
        <v/>
      </c>
      <c r="U17" s="114" t="str">
        <f t="array" ref="U17">IF(ISBLANK($R17), INDEX('Run Reconcile'!A$2:A1399, MATCH($B17, 'Run Reconcile'!B$2:B1399, 0)+Z17, 1), IFERROR(0/0,""))
</f>
        <v/>
      </c>
      <c r="V17" s="316" t="str">
        <f t="shared" si="5"/>
        <v>RUN-ABRM_2022-09-06_RFR-002</v>
      </c>
      <c r="Y17" s="317" t="str">
        <f t="shared" si="6"/>
        <v/>
      </c>
      <c r="Z17" s="83" t="str">
        <f t="shared" si="7"/>
        <v/>
      </c>
      <c r="AA17" s="83" t="str">
        <f t="shared" si="8"/>
        <v/>
      </c>
      <c r="AB17" s="83" t="str">
        <f t="shared" si="9"/>
        <v/>
      </c>
      <c r="AC17" s="18" t="str">
        <f t="shared" ref="AC17:AD17" si="39">IF(_xlfn.ISFORMULA(S17),IFERROR(0/0,""),TRUE)</f>
        <v/>
      </c>
      <c r="AD17" s="18" t="str">
        <f t="shared" si="39"/>
        <v/>
      </c>
      <c r="AE17" s="43"/>
      <c r="AF17" s="58" t="s">
        <v>29</v>
      </c>
      <c r="AG17" s="55" t="str">
        <f t="shared" si="11"/>
        <v/>
      </c>
    </row>
    <row r="18">
      <c r="A18" s="7" t="str">
        <f>IFERROR(__xludf.DUMMYFUNCTION("""COMPUTED_VALUE"""),"AH9538")</f>
        <v>AH9538</v>
      </c>
      <c r="B18" s="308">
        <f>IFERROR(__xludf.DUMMYFUNCTION("""COMPUTED_VALUE"""),44810.0)</f>
        <v>44810</v>
      </c>
      <c r="C18" s="309">
        <f>IFERROR(__xludf.DUMMYFUNCTION("""COMPUTED_VALUE"""),0.31447916666666664)</f>
        <v>0.3144791667</v>
      </c>
      <c r="D18" s="54" t="str">
        <f>IFERROR(__xludf.DUMMYFUNCTION("""COMPUTED_VALUE"""),"SpABRM655136")</f>
        <v>SpABRM655136</v>
      </c>
      <c r="E18" s="310"/>
      <c r="F18" s="310"/>
      <c r="G18" s="310" t="str">
        <f>IFERROR(__xludf.DUMMYFUNCTION("""COMPUTED_VALUE"""),"Negative")</f>
        <v>Negative</v>
      </c>
      <c r="H18" s="308" t="str">
        <f>IFERROR(__xludf.DUMMYFUNCTION("""COMPUTED_VALUE"""),"Negative")</f>
        <v>Negative</v>
      </c>
      <c r="I18" s="309">
        <f>IFERROR(__xludf.DUMMYFUNCTION("""COMPUTED_VALUE"""),44813.0)</f>
        <v>44813</v>
      </c>
      <c r="J18" s="311">
        <f>IFERROR(__xludf.DUMMYFUNCTION("""COMPUTED_VALUE"""),0.12099537037037036)</f>
        <v>0.1209953704</v>
      </c>
      <c r="K18" s="54"/>
      <c r="L18" s="7"/>
      <c r="M18" s="312"/>
      <c r="N18" s="172">
        <f>IFERROR(__xludf.DUMMYFUNCTION("""COMPUTED_VALUE"""),1.0)</f>
        <v>1</v>
      </c>
      <c r="O18" s="172" t="str">
        <f t="shared" si="3"/>
        <v/>
      </c>
      <c r="P18" s="313">
        <f>IFERROR(__xludf.DUMMYFUNCTION("""COMPUTED_VALUE"""),3.0)</f>
        <v>3</v>
      </c>
      <c r="Q18" s="76" t="b">
        <f>VLOOKUP($B18,'Run Reconcile'!B$2:O1399,14,FALSE)</f>
        <v>1</v>
      </c>
      <c r="R18" s="314" t="str">
        <f t="array" ref="R18">IF($Q18, INDEX('Run Reconcile'!A$2:A1399,MATCH(B18,'Run Reconcile'!B$2:B1399,0),1),IFERROR(0/0,""))</f>
        <v>RUN-ABRM_2022-09-06_RFR-002</v>
      </c>
      <c r="S18" s="315" t="str">
        <f t="shared" ref="S18:T18" si="40">IF(COUNTIF(W$2:W1399, $A18) &gt; 0,TRUE,IFERROR(0/0,""))</f>
        <v/>
      </c>
      <c r="T18" s="315" t="str">
        <f t="shared" si="40"/>
        <v/>
      </c>
      <c r="U18" s="114" t="str">
        <f t="array" ref="U18">IF(ISBLANK($R18), INDEX('Run Reconcile'!A$2:A1399, MATCH($B18, 'Run Reconcile'!B$2:B1399, 0)+Z18, 1), IFERROR(0/0,""))
</f>
        <v/>
      </c>
      <c r="V18" s="316" t="str">
        <f t="shared" si="5"/>
        <v>RUN-ABRM_2022-09-06_RFR-002</v>
      </c>
      <c r="Y18" s="317" t="str">
        <f t="shared" si="6"/>
        <v/>
      </c>
      <c r="Z18" s="83" t="str">
        <f t="shared" si="7"/>
        <v/>
      </c>
      <c r="AA18" s="83" t="str">
        <f t="shared" si="8"/>
        <v/>
      </c>
      <c r="AB18" s="83" t="str">
        <f t="shared" si="9"/>
        <v/>
      </c>
      <c r="AC18" s="18" t="str">
        <f t="shared" ref="AC18:AD18" si="41">IF(_xlfn.ISFORMULA(S18),IFERROR(0/0,""),TRUE)</f>
        <v/>
      </c>
      <c r="AD18" s="18" t="str">
        <f t="shared" si="41"/>
        <v/>
      </c>
      <c r="AE18" s="43"/>
      <c r="AF18" s="58" t="s">
        <v>29</v>
      </c>
      <c r="AG18" s="55" t="str">
        <f t="shared" si="11"/>
        <v/>
      </c>
    </row>
    <row r="19">
      <c r="A19" s="7" t="str">
        <f>IFERROR(__xludf.DUMMYFUNCTION("""COMPUTED_VALUE"""),"AH7857")</f>
        <v>AH7857</v>
      </c>
      <c r="B19" s="308">
        <f>IFERROR(__xludf.DUMMYFUNCTION("""COMPUTED_VALUE"""),44810.0)</f>
        <v>44810</v>
      </c>
      <c r="C19" s="309">
        <f>IFERROR(__xludf.DUMMYFUNCTION("""COMPUTED_VALUE"""),0.316724537037037)</f>
        <v>0.316724537</v>
      </c>
      <c r="D19" s="54" t="str">
        <f>IFERROR(__xludf.DUMMYFUNCTION("""COMPUTED_VALUE"""),"SpABRM188986")</f>
        <v>SpABRM188986</v>
      </c>
      <c r="E19" s="310"/>
      <c r="F19" s="310"/>
      <c r="G19" s="310" t="str">
        <f>IFERROR(__xludf.DUMMYFUNCTION("""COMPUTED_VALUE"""),"Negative")</f>
        <v>Negative</v>
      </c>
      <c r="H19" s="308" t="str">
        <f>IFERROR(__xludf.DUMMYFUNCTION("""COMPUTED_VALUE"""),"Negative")</f>
        <v>Negative</v>
      </c>
      <c r="I19" s="309">
        <f>IFERROR(__xludf.DUMMYFUNCTION("""COMPUTED_VALUE"""),44813.0)</f>
        <v>44813</v>
      </c>
      <c r="J19" s="311">
        <f>IFERROR(__xludf.DUMMYFUNCTION("""COMPUTED_VALUE"""),0.12099537037037036)</f>
        <v>0.1209953704</v>
      </c>
      <c r="K19" s="54"/>
      <c r="L19" s="7"/>
      <c r="M19" s="312"/>
      <c r="N19" s="172">
        <f>IFERROR(__xludf.DUMMYFUNCTION("""COMPUTED_VALUE"""),1.0)</f>
        <v>1</v>
      </c>
      <c r="O19" s="172" t="str">
        <f t="shared" si="3"/>
        <v/>
      </c>
      <c r="P19" s="313">
        <f>IFERROR(__xludf.DUMMYFUNCTION("""COMPUTED_VALUE"""),3.0)</f>
        <v>3</v>
      </c>
      <c r="Q19" s="76" t="b">
        <f>VLOOKUP($B19,'Run Reconcile'!B$2:O1399,14,FALSE)</f>
        <v>1</v>
      </c>
      <c r="R19" s="314" t="str">
        <f t="array" ref="R19">IF($Q19, INDEX('Run Reconcile'!A$2:A1399,MATCH(B19,'Run Reconcile'!B$2:B1399,0),1),IFERROR(0/0,""))</f>
        <v>RUN-ABRM_2022-09-06_RFR-002</v>
      </c>
      <c r="S19" s="315" t="str">
        <f t="shared" ref="S19:T19" si="42">IF(COUNTIF(W$2:W1399, $A19) &gt; 0,TRUE,IFERROR(0/0,""))</f>
        <v/>
      </c>
      <c r="T19" s="315" t="str">
        <f t="shared" si="42"/>
        <v/>
      </c>
      <c r="U19" s="114" t="str">
        <f t="array" ref="U19">IF(ISBLANK($R19), INDEX('Run Reconcile'!A$2:A1399, MATCH($B19, 'Run Reconcile'!B$2:B1399, 0)+Z19, 1), IFERROR(0/0,""))
</f>
        <v/>
      </c>
      <c r="V19" s="316" t="str">
        <f t="shared" si="5"/>
        <v>RUN-ABRM_2022-09-06_RFR-002</v>
      </c>
      <c r="Y19" s="317" t="str">
        <f t="shared" si="6"/>
        <v/>
      </c>
      <c r="Z19" s="83" t="str">
        <f t="shared" si="7"/>
        <v/>
      </c>
      <c r="AA19" s="83" t="str">
        <f t="shared" si="8"/>
        <v/>
      </c>
      <c r="AB19" s="83" t="str">
        <f t="shared" si="9"/>
        <v/>
      </c>
      <c r="AC19" s="18" t="str">
        <f t="shared" ref="AC19:AD19" si="43">IF(_xlfn.ISFORMULA(S19),IFERROR(0/0,""),TRUE)</f>
        <v/>
      </c>
      <c r="AD19" s="18" t="str">
        <f t="shared" si="43"/>
        <v/>
      </c>
      <c r="AE19" s="43"/>
      <c r="AF19" s="58" t="s">
        <v>29</v>
      </c>
      <c r="AG19" s="55" t="str">
        <f t="shared" si="11"/>
        <v/>
      </c>
    </row>
    <row r="20">
      <c r="A20" s="7" t="str">
        <f>IFERROR(__xludf.DUMMYFUNCTION("""COMPUTED_VALUE"""),"AH9830")</f>
        <v>AH9830</v>
      </c>
      <c r="B20" s="308">
        <f>IFERROR(__xludf.DUMMYFUNCTION("""COMPUTED_VALUE"""),44811.0)</f>
        <v>44811</v>
      </c>
      <c r="C20" s="309">
        <f>IFERROR(__xludf.DUMMYFUNCTION("""COMPUTED_VALUE"""),0.23423611111111112)</f>
        <v>0.2342361111</v>
      </c>
      <c r="D20" s="54" t="str">
        <f>IFERROR(__xludf.DUMMYFUNCTION("""COMPUTED_VALUE"""),"SpABRM454310")</f>
        <v>SpABRM454310</v>
      </c>
      <c r="E20" s="310"/>
      <c r="F20" s="310"/>
      <c r="G20" s="310" t="str">
        <f>IFERROR(__xludf.DUMMYFUNCTION("""COMPUTED_VALUE"""),"Negative")</f>
        <v>Negative</v>
      </c>
      <c r="H20" s="308" t="str">
        <f>IFERROR(__xludf.DUMMYFUNCTION("""COMPUTED_VALUE"""),"Negative")</f>
        <v>Negative</v>
      </c>
      <c r="I20" s="309">
        <f>IFERROR(__xludf.DUMMYFUNCTION("""COMPUTED_VALUE"""),44813.0)</f>
        <v>44813</v>
      </c>
      <c r="J20" s="311">
        <f>IFERROR(__xludf.DUMMYFUNCTION("""COMPUTED_VALUE"""),0.12099537037037036)</f>
        <v>0.1209953704</v>
      </c>
      <c r="K20" s="54"/>
      <c r="L20" s="7"/>
      <c r="M20" s="312"/>
      <c r="N20" s="172">
        <f>IFERROR(__xludf.DUMMYFUNCTION("""COMPUTED_VALUE"""),3.0)</f>
        <v>3</v>
      </c>
      <c r="O20" s="172" t="b">
        <f t="shared" si="3"/>
        <v>1</v>
      </c>
      <c r="P20" s="313">
        <f>IFERROR(__xludf.DUMMYFUNCTION("""COMPUTED_VALUE"""),2.0)</f>
        <v>2</v>
      </c>
      <c r="Q20" s="76" t="b">
        <f>VLOOKUP($B20,'Run Reconcile'!B$2:O1399,14,FALSE)</f>
        <v>1</v>
      </c>
      <c r="R20" s="314" t="str">
        <f t="array" ref="R20">IF($Q20, INDEX('Run Reconcile'!A$2:A1399,MATCH(B20,'Run Reconcile'!B$2:B1399,0),1),IFERROR(0/0,""))</f>
        <v>RUN-ABRM_2022-09-07_RFR-003</v>
      </c>
      <c r="S20" s="315" t="str">
        <f t="shared" ref="S20:T20" si="44">IF(COUNTIF(W$2:W1399, $A20) &gt; 0,TRUE,IFERROR(0/0,""))</f>
        <v/>
      </c>
      <c r="T20" s="315" t="str">
        <f t="shared" si="44"/>
        <v/>
      </c>
      <c r="U20" s="114" t="str">
        <f t="array" ref="U20">IF(ISBLANK($R20), INDEX('Run Reconcile'!A$2:A1399, MATCH($B20, 'Run Reconcile'!B$2:B1399, 0)+Z20, 1), IFERROR(0/0,""))
</f>
        <v/>
      </c>
      <c r="V20" s="316" t="str">
        <f t="shared" si="5"/>
        <v>RUN-ABRM_2022-09-07_RFR-003</v>
      </c>
      <c r="Y20" s="317" t="str">
        <f t="shared" si="6"/>
        <v/>
      </c>
      <c r="Z20" s="83" t="str">
        <f t="shared" si="7"/>
        <v/>
      </c>
      <c r="AA20" s="83" t="str">
        <f t="shared" si="8"/>
        <v/>
      </c>
      <c r="AB20" s="83" t="str">
        <f t="shared" si="9"/>
        <v/>
      </c>
      <c r="AC20" s="18" t="str">
        <f t="shared" ref="AC20:AD20" si="45">IF(_xlfn.ISFORMULA(S20),IFERROR(0/0,""),TRUE)</f>
        <v/>
      </c>
      <c r="AD20" s="18" t="str">
        <f t="shared" si="45"/>
        <v/>
      </c>
      <c r="AE20" s="43"/>
      <c r="AF20" s="58" t="s">
        <v>30</v>
      </c>
      <c r="AG20" s="55" t="str">
        <f t="shared" si="11"/>
        <v/>
      </c>
    </row>
    <row r="21">
      <c r="A21" s="7" t="str">
        <f>IFERROR(__xludf.DUMMYFUNCTION("""COMPUTED_VALUE"""),"AH8447")</f>
        <v>AH8447</v>
      </c>
      <c r="B21" s="308">
        <f>IFERROR(__xludf.DUMMYFUNCTION("""COMPUTED_VALUE"""),44811.0)</f>
        <v>44811</v>
      </c>
      <c r="C21" s="309">
        <f>IFERROR(__xludf.DUMMYFUNCTION("""COMPUTED_VALUE"""),0.24015046296296297)</f>
        <v>0.240150463</v>
      </c>
      <c r="D21" s="54" t="str">
        <f>IFERROR(__xludf.DUMMYFUNCTION("""COMPUTED_VALUE"""),"SpABRM128250")</f>
        <v>SpABRM128250</v>
      </c>
      <c r="E21" s="310"/>
      <c r="F21" s="310"/>
      <c r="G21" s="310" t="str">
        <f>IFERROR(__xludf.DUMMYFUNCTION("""COMPUTED_VALUE"""),"Negative")</f>
        <v>Negative</v>
      </c>
      <c r="H21" s="308" t="str">
        <f>IFERROR(__xludf.DUMMYFUNCTION("""COMPUTED_VALUE"""),"Negative")</f>
        <v>Negative</v>
      </c>
      <c r="I21" s="309">
        <f>IFERROR(__xludf.DUMMYFUNCTION("""COMPUTED_VALUE"""),44813.0)</f>
        <v>44813</v>
      </c>
      <c r="J21" s="311">
        <f>IFERROR(__xludf.DUMMYFUNCTION("""COMPUTED_VALUE"""),0.12100694444444444)</f>
        <v>0.1210069444</v>
      </c>
      <c r="K21" s="54"/>
      <c r="L21" s="7"/>
      <c r="M21" s="312"/>
      <c r="N21" s="172">
        <f>IFERROR(__xludf.DUMMYFUNCTION("""COMPUTED_VALUE"""),3.0)</f>
        <v>3</v>
      </c>
      <c r="O21" s="172" t="str">
        <f t="shared" si="3"/>
        <v/>
      </c>
      <c r="P21" s="313">
        <f>IFERROR(__xludf.DUMMYFUNCTION("""COMPUTED_VALUE"""),2.0)</f>
        <v>2</v>
      </c>
      <c r="Q21" s="76" t="b">
        <f>VLOOKUP($B21,'Run Reconcile'!B$2:O1399,14,FALSE)</f>
        <v>1</v>
      </c>
      <c r="R21" s="314" t="str">
        <f t="array" ref="R21">IF($Q21, INDEX('Run Reconcile'!A$2:A1399,MATCH(B21,'Run Reconcile'!B$2:B1399,0),1),IFERROR(0/0,""))</f>
        <v>RUN-ABRM_2022-09-07_RFR-003</v>
      </c>
      <c r="S21" s="315" t="str">
        <f t="shared" ref="S21:T21" si="46">IF(COUNTIF(W$2:W1399, $A21) &gt; 0,TRUE,IFERROR(0/0,""))</f>
        <v/>
      </c>
      <c r="T21" s="315" t="str">
        <f t="shared" si="46"/>
        <v/>
      </c>
      <c r="U21" s="114" t="str">
        <f t="array" ref="U21">IF(ISBLANK($R21), INDEX('Run Reconcile'!A$2:A1399, MATCH($B21, 'Run Reconcile'!B$2:B1399, 0)+Z21, 1), IFERROR(0/0,""))
</f>
        <v/>
      </c>
      <c r="V21" s="316" t="str">
        <f t="shared" si="5"/>
        <v>RUN-ABRM_2022-09-07_RFR-003</v>
      </c>
      <c r="Y21" s="317" t="str">
        <f t="shared" si="6"/>
        <v/>
      </c>
      <c r="Z21" s="83" t="str">
        <f t="shared" si="7"/>
        <v/>
      </c>
      <c r="AA21" s="83" t="str">
        <f t="shared" si="8"/>
        <v/>
      </c>
      <c r="AB21" s="83" t="str">
        <f t="shared" si="9"/>
        <v/>
      </c>
      <c r="AC21" s="18" t="str">
        <f t="shared" ref="AC21:AD21" si="47">IF(_xlfn.ISFORMULA(S21),IFERROR(0/0,""),TRUE)</f>
        <v/>
      </c>
      <c r="AD21" s="18" t="str">
        <f t="shared" si="47"/>
        <v/>
      </c>
      <c r="AE21" s="43"/>
      <c r="AF21" s="58" t="s">
        <v>30</v>
      </c>
      <c r="AG21" s="55" t="str">
        <f t="shared" si="11"/>
        <v/>
      </c>
    </row>
    <row r="22">
      <c r="A22" s="7" t="str">
        <f>IFERROR(__xludf.DUMMYFUNCTION("""COMPUTED_VALUE"""),"AK6001")</f>
        <v>AK6001</v>
      </c>
      <c r="B22" s="308">
        <f>IFERROR(__xludf.DUMMYFUNCTION("""COMPUTED_VALUE"""),44811.0)</f>
        <v>44811</v>
      </c>
      <c r="C22" s="309">
        <f>IFERROR(__xludf.DUMMYFUNCTION("""COMPUTED_VALUE"""),0.27980324074074076)</f>
        <v>0.2798032407</v>
      </c>
      <c r="D22" s="54" t="str">
        <f>IFERROR(__xludf.DUMMYFUNCTION("""COMPUTED_VALUE"""),"SpABRM297307")</f>
        <v>SpABRM297307</v>
      </c>
      <c r="E22" s="310"/>
      <c r="F22" s="310"/>
      <c r="G22" s="310" t="str">
        <f>IFERROR(__xludf.DUMMYFUNCTION("""COMPUTED_VALUE"""),"Negative")</f>
        <v>Negative</v>
      </c>
      <c r="H22" s="308" t="str">
        <f>IFERROR(__xludf.DUMMYFUNCTION("""COMPUTED_VALUE"""),"Negative")</f>
        <v>Negative</v>
      </c>
      <c r="I22" s="309">
        <f>IFERROR(__xludf.DUMMYFUNCTION("""COMPUTED_VALUE"""),44813.0)</f>
        <v>44813</v>
      </c>
      <c r="J22" s="311">
        <f>IFERROR(__xludf.DUMMYFUNCTION("""COMPUTED_VALUE"""),0.12100694444444444)</f>
        <v>0.1210069444</v>
      </c>
      <c r="K22" s="54"/>
      <c r="L22" s="7"/>
      <c r="M22" s="312"/>
      <c r="N22" s="172">
        <f>IFERROR(__xludf.DUMMYFUNCTION("""COMPUTED_VALUE"""),3.0)</f>
        <v>3</v>
      </c>
      <c r="O22" s="172" t="str">
        <f t="shared" si="3"/>
        <v/>
      </c>
      <c r="P22" s="313">
        <f>IFERROR(__xludf.DUMMYFUNCTION("""COMPUTED_VALUE"""),2.0)</f>
        <v>2</v>
      </c>
      <c r="Q22" s="76" t="b">
        <f>VLOOKUP($B22,'Run Reconcile'!B$2:O1399,14,FALSE)</f>
        <v>1</v>
      </c>
      <c r="R22" s="314" t="str">
        <f t="array" ref="R22">IF($Q22, INDEX('Run Reconcile'!A$2:A1399,MATCH(B22,'Run Reconcile'!B$2:B1399,0),1),IFERROR(0/0,""))</f>
        <v>RUN-ABRM_2022-09-07_RFR-003</v>
      </c>
      <c r="S22" s="315" t="str">
        <f t="shared" ref="S22:T22" si="48">IF(COUNTIF(W$2:W1399, $A22) &gt; 0,TRUE,IFERROR(0/0,""))</f>
        <v/>
      </c>
      <c r="T22" s="315" t="str">
        <f t="shared" si="48"/>
        <v/>
      </c>
      <c r="U22" s="114" t="str">
        <f t="array" ref="U22">IF(ISBLANK($R22), INDEX('Run Reconcile'!A$2:A1399, MATCH($B22, 'Run Reconcile'!B$2:B1399, 0)+Z22, 1), IFERROR(0/0,""))
</f>
        <v/>
      </c>
      <c r="V22" s="316" t="str">
        <f t="shared" si="5"/>
        <v>RUN-ABRM_2022-09-07_RFR-003</v>
      </c>
      <c r="Y22" s="317" t="str">
        <f t="shared" si="6"/>
        <v/>
      </c>
      <c r="Z22" s="83" t="str">
        <f t="shared" si="7"/>
        <v/>
      </c>
      <c r="AA22" s="83" t="str">
        <f t="shared" si="8"/>
        <v/>
      </c>
      <c r="AB22" s="83" t="str">
        <f t="shared" si="9"/>
        <v/>
      </c>
      <c r="AC22" s="18" t="str">
        <f t="shared" ref="AC22:AD22" si="49">IF(_xlfn.ISFORMULA(S22),IFERROR(0/0,""),TRUE)</f>
        <v/>
      </c>
      <c r="AD22" s="18" t="str">
        <f t="shared" si="49"/>
        <v/>
      </c>
      <c r="AE22" s="43"/>
      <c r="AF22" s="58" t="s">
        <v>30</v>
      </c>
      <c r="AG22" s="55" t="str">
        <f t="shared" si="11"/>
        <v/>
      </c>
    </row>
    <row r="23">
      <c r="A23" s="7" t="str">
        <f>IFERROR(__xludf.DUMMYFUNCTION("""COMPUTED_VALUE"""),"AG1741")</f>
        <v>AG1741</v>
      </c>
      <c r="B23" s="308">
        <f>IFERROR(__xludf.DUMMYFUNCTION("""COMPUTED_VALUE"""),44811.0)</f>
        <v>44811</v>
      </c>
      <c r="C23" s="309">
        <f>IFERROR(__xludf.DUMMYFUNCTION("""COMPUTED_VALUE"""),0.29594907407407406)</f>
        <v>0.2959490741</v>
      </c>
      <c r="D23" s="54" t="str">
        <f>IFERROR(__xludf.DUMMYFUNCTION("""COMPUTED_VALUE"""),"SpABRM188986")</f>
        <v>SpABRM188986</v>
      </c>
      <c r="E23" s="310"/>
      <c r="F23" s="310"/>
      <c r="G23" s="310" t="str">
        <f>IFERROR(__xludf.DUMMYFUNCTION("""COMPUTED_VALUE"""),"Negative")</f>
        <v>Negative</v>
      </c>
      <c r="H23" s="308" t="str">
        <f>IFERROR(__xludf.DUMMYFUNCTION("""COMPUTED_VALUE"""),"Negative")</f>
        <v>Negative</v>
      </c>
      <c r="I23" s="309">
        <f>IFERROR(__xludf.DUMMYFUNCTION("""COMPUTED_VALUE"""),44813.0)</f>
        <v>44813</v>
      </c>
      <c r="J23" s="311">
        <f>IFERROR(__xludf.DUMMYFUNCTION("""COMPUTED_VALUE"""),0.12100694444444444)</f>
        <v>0.1210069444</v>
      </c>
      <c r="K23" s="54"/>
      <c r="L23" s="7"/>
      <c r="M23" s="312"/>
      <c r="N23" s="172">
        <f>IFERROR(__xludf.DUMMYFUNCTION("""COMPUTED_VALUE"""),1.0)</f>
        <v>1</v>
      </c>
      <c r="O23" s="172" t="str">
        <f t="shared" si="3"/>
        <v/>
      </c>
      <c r="P23" s="313">
        <f>IFERROR(__xludf.DUMMYFUNCTION("""COMPUTED_VALUE"""),2.0)</f>
        <v>2</v>
      </c>
      <c r="Q23" s="76" t="b">
        <f>VLOOKUP($B23,'Run Reconcile'!B$2:O1399,14,FALSE)</f>
        <v>1</v>
      </c>
      <c r="R23" s="314" t="str">
        <f t="array" ref="R23">IF($Q23, INDEX('Run Reconcile'!A$2:A1399,MATCH(B23,'Run Reconcile'!B$2:B1399,0),1),IFERROR(0/0,""))</f>
        <v>RUN-ABRM_2022-09-07_RFR-003</v>
      </c>
      <c r="S23" s="315" t="str">
        <f t="shared" ref="S23:T23" si="50">IF(COUNTIF(W$2:W1399, $A23) &gt; 0,TRUE,IFERROR(0/0,""))</f>
        <v/>
      </c>
      <c r="T23" s="315" t="str">
        <f t="shared" si="50"/>
        <v/>
      </c>
      <c r="U23" s="114" t="str">
        <f t="array" ref="U23">IF(ISBLANK($R23), INDEX('Run Reconcile'!A$2:A1399, MATCH($B23, 'Run Reconcile'!B$2:B1399, 0)+Z23, 1), IFERROR(0/0,""))
</f>
        <v/>
      </c>
      <c r="V23" s="316" t="str">
        <f t="shared" si="5"/>
        <v>RUN-ABRM_2022-09-07_RFR-003</v>
      </c>
      <c r="Y23" s="317" t="str">
        <f t="shared" si="6"/>
        <v/>
      </c>
      <c r="Z23" s="83" t="str">
        <f t="shared" si="7"/>
        <v/>
      </c>
      <c r="AA23" s="83" t="str">
        <f t="shared" si="8"/>
        <v/>
      </c>
      <c r="AB23" s="83" t="str">
        <f t="shared" si="9"/>
        <v/>
      </c>
      <c r="AC23" s="18" t="str">
        <f t="shared" ref="AC23:AD23" si="51">IF(_xlfn.ISFORMULA(S23),IFERROR(0/0,""),TRUE)</f>
        <v/>
      </c>
      <c r="AD23" s="18" t="str">
        <f t="shared" si="51"/>
        <v/>
      </c>
      <c r="AE23" s="43"/>
      <c r="AF23" s="58" t="s">
        <v>30</v>
      </c>
      <c r="AG23" s="55" t="str">
        <f t="shared" si="11"/>
        <v/>
      </c>
    </row>
    <row r="24">
      <c r="A24" s="7" t="str">
        <f>IFERROR(__xludf.DUMMYFUNCTION("""COMPUTED_VALUE"""),"AG1355")</f>
        <v>AG1355</v>
      </c>
      <c r="B24" s="308">
        <f>IFERROR(__xludf.DUMMYFUNCTION("""COMPUTED_VALUE"""),44811.0)</f>
        <v>44811</v>
      </c>
      <c r="C24" s="309">
        <f>IFERROR(__xludf.DUMMYFUNCTION("""COMPUTED_VALUE"""),0.3039351851851852)</f>
        <v>0.3039351852</v>
      </c>
      <c r="D24" s="54" t="str">
        <f>IFERROR(__xludf.DUMMYFUNCTION("""COMPUTED_VALUE"""),"SpABRM367540")</f>
        <v>SpABRM367540</v>
      </c>
      <c r="E24" s="310"/>
      <c r="F24" s="310"/>
      <c r="G24" s="310" t="str">
        <f>IFERROR(__xludf.DUMMYFUNCTION("""COMPUTED_VALUE"""),"Negative")</f>
        <v>Negative</v>
      </c>
      <c r="H24" s="308" t="str">
        <f>IFERROR(__xludf.DUMMYFUNCTION("""COMPUTED_VALUE"""),"Negative")</f>
        <v>Negative</v>
      </c>
      <c r="I24" s="309">
        <f>IFERROR(__xludf.DUMMYFUNCTION("""COMPUTED_VALUE"""),44813.0)</f>
        <v>44813</v>
      </c>
      <c r="J24" s="311">
        <f>IFERROR(__xludf.DUMMYFUNCTION("""COMPUTED_VALUE"""),0.12100694444444444)</f>
        <v>0.1210069444</v>
      </c>
      <c r="K24" s="54"/>
      <c r="L24" s="7"/>
      <c r="M24" s="312"/>
      <c r="N24" s="172">
        <f>IFERROR(__xludf.DUMMYFUNCTION("""COMPUTED_VALUE"""),2.0)</f>
        <v>2</v>
      </c>
      <c r="O24" s="172" t="str">
        <f t="shared" si="3"/>
        <v/>
      </c>
      <c r="P24" s="313">
        <f>IFERROR(__xludf.DUMMYFUNCTION("""COMPUTED_VALUE"""),2.0)</f>
        <v>2</v>
      </c>
      <c r="Q24" s="76" t="b">
        <f>VLOOKUP($B24,'Run Reconcile'!B$2:O1399,14,FALSE)</f>
        <v>1</v>
      </c>
      <c r="R24" s="314" t="str">
        <f t="array" ref="R24">IF($Q24, INDEX('Run Reconcile'!A$2:A1399,MATCH(B24,'Run Reconcile'!B$2:B1399,0),1),IFERROR(0/0,""))</f>
        <v>RUN-ABRM_2022-09-07_RFR-003</v>
      </c>
      <c r="S24" s="315" t="str">
        <f t="shared" ref="S24:T24" si="52">IF(COUNTIF(W$2:W1399, $A24) &gt; 0,TRUE,IFERROR(0/0,""))</f>
        <v/>
      </c>
      <c r="T24" s="315" t="str">
        <f t="shared" si="52"/>
        <v/>
      </c>
      <c r="U24" s="114" t="str">
        <f t="array" ref="U24">IF(ISBLANK($R24), INDEX('Run Reconcile'!A$2:A1399, MATCH($B24, 'Run Reconcile'!B$2:B1399, 0)+Z24, 1), IFERROR(0/0,""))
</f>
        <v/>
      </c>
      <c r="V24" s="316" t="str">
        <f t="shared" si="5"/>
        <v>RUN-ABRM_2022-09-07_RFR-003</v>
      </c>
      <c r="Y24" s="317" t="str">
        <f t="shared" si="6"/>
        <v/>
      </c>
      <c r="Z24" s="83" t="str">
        <f t="shared" si="7"/>
        <v/>
      </c>
      <c r="AA24" s="83" t="str">
        <f t="shared" si="8"/>
        <v/>
      </c>
      <c r="AB24" s="83" t="str">
        <f t="shared" si="9"/>
        <v/>
      </c>
      <c r="AC24" s="18" t="str">
        <f t="shared" ref="AC24:AD24" si="53">IF(_xlfn.ISFORMULA(S24),IFERROR(0/0,""),TRUE)</f>
        <v/>
      </c>
      <c r="AD24" s="18" t="str">
        <f t="shared" si="53"/>
        <v/>
      </c>
      <c r="AE24" s="43"/>
      <c r="AF24" s="58" t="s">
        <v>30</v>
      </c>
      <c r="AG24" s="55" t="str">
        <f t="shared" si="11"/>
        <v/>
      </c>
    </row>
    <row r="25">
      <c r="A25" s="7" t="str">
        <f>IFERROR(__xludf.DUMMYFUNCTION("""COMPUTED_VALUE"""),"AH8245")</f>
        <v>AH8245</v>
      </c>
      <c r="B25" s="308">
        <f>IFERROR(__xludf.DUMMYFUNCTION("""COMPUTED_VALUE"""),44811.0)</f>
        <v>44811</v>
      </c>
      <c r="C25" s="309">
        <f>IFERROR(__xludf.DUMMYFUNCTION("""COMPUTED_VALUE"""),0.3564236111111111)</f>
        <v>0.3564236111</v>
      </c>
      <c r="D25" s="54" t="str">
        <f>IFERROR(__xludf.DUMMYFUNCTION("""COMPUTED_VALUE"""),"SpABRM655136")</f>
        <v>SpABRM655136</v>
      </c>
      <c r="E25" s="310"/>
      <c r="F25" s="310"/>
      <c r="G25" s="310" t="str">
        <f>IFERROR(__xludf.DUMMYFUNCTION("""COMPUTED_VALUE"""),"Negative")</f>
        <v>Negative</v>
      </c>
      <c r="H25" s="308" t="str">
        <f>IFERROR(__xludf.DUMMYFUNCTION("""COMPUTED_VALUE"""),"Negative")</f>
        <v>Negative</v>
      </c>
      <c r="I25" s="309">
        <f>IFERROR(__xludf.DUMMYFUNCTION("""COMPUTED_VALUE"""),44813.0)</f>
        <v>44813</v>
      </c>
      <c r="J25" s="311">
        <f>IFERROR(__xludf.DUMMYFUNCTION("""COMPUTED_VALUE"""),0.12100694444444444)</f>
        <v>0.1210069444</v>
      </c>
      <c r="K25" s="54"/>
      <c r="L25" s="7"/>
      <c r="M25" s="312"/>
      <c r="N25" s="172">
        <f>IFERROR(__xludf.DUMMYFUNCTION("""COMPUTED_VALUE"""),1.0)</f>
        <v>1</v>
      </c>
      <c r="O25" s="172" t="str">
        <f t="shared" si="3"/>
        <v/>
      </c>
      <c r="P25" s="313">
        <f>IFERROR(__xludf.DUMMYFUNCTION("""COMPUTED_VALUE"""),2.0)</f>
        <v>2</v>
      </c>
      <c r="Q25" s="76" t="b">
        <f>VLOOKUP($B25,'Run Reconcile'!B$2:O1399,14,FALSE)</f>
        <v>1</v>
      </c>
      <c r="R25" s="314" t="str">
        <f t="array" ref="R25">IF($Q25, INDEX('Run Reconcile'!A$2:A1399,MATCH(B25,'Run Reconcile'!B$2:B1399,0),1),IFERROR(0/0,""))</f>
        <v>RUN-ABRM_2022-09-07_RFR-003</v>
      </c>
      <c r="S25" s="315" t="str">
        <f t="shared" ref="S25:T25" si="54">IF(COUNTIF(W$2:W1399, $A25) &gt; 0,TRUE,IFERROR(0/0,""))</f>
        <v/>
      </c>
      <c r="T25" s="315" t="str">
        <f t="shared" si="54"/>
        <v/>
      </c>
      <c r="U25" s="114" t="str">
        <f t="array" ref="U25">IF(ISBLANK($R25), INDEX('Run Reconcile'!A$2:A1399, MATCH($B25, 'Run Reconcile'!B$2:B1399, 0)+Z25, 1), IFERROR(0/0,""))
</f>
        <v/>
      </c>
      <c r="V25" s="316" t="str">
        <f t="shared" si="5"/>
        <v>RUN-ABRM_2022-09-07_RFR-003</v>
      </c>
      <c r="Y25" s="317" t="str">
        <f t="shared" si="6"/>
        <v/>
      </c>
      <c r="Z25" s="83" t="str">
        <f t="shared" si="7"/>
        <v/>
      </c>
      <c r="AA25" s="83" t="str">
        <f t="shared" si="8"/>
        <v/>
      </c>
      <c r="AB25" s="83" t="str">
        <f t="shared" si="9"/>
        <v/>
      </c>
      <c r="AC25" s="18" t="str">
        <f t="shared" ref="AC25:AD25" si="55">IF(_xlfn.ISFORMULA(S25),IFERROR(0/0,""),TRUE)</f>
        <v/>
      </c>
      <c r="AD25" s="18" t="str">
        <f t="shared" si="55"/>
        <v/>
      </c>
      <c r="AE25" s="43"/>
      <c r="AF25" s="58" t="s">
        <v>30</v>
      </c>
      <c r="AG25" s="55" t="str">
        <f t="shared" si="11"/>
        <v/>
      </c>
    </row>
    <row r="26">
      <c r="A26" s="7" t="str">
        <f>IFERROR(__xludf.DUMMYFUNCTION("""COMPUTED_VALUE"""),"AH1291")</f>
        <v>AH1291</v>
      </c>
      <c r="B26" s="308">
        <f>IFERROR(__xludf.DUMMYFUNCTION("""COMPUTED_VALUE"""),44811.0)</f>
        <v>44811</v>
      </c>
      <c r="C26" s="309">
        <f>IFERROR(__xludf.DUMMYFUNCTION("""COMPUTED_VALUE"""),0.4167824074074074)</f>
        <v>0.4167824074</v>
      </c>
      <c r="D26" s="54" t="str">
        <f>IFERROR(__xludf.DUMMYFUNCTION("""COMPUTED_VALUE"""),"SpABRM655136")</f>
        <v>SpABRM655136</v>
      </c>
      <c r="E26" s="310"/>
      <c r="F26" s="310"/>
      <c r="G26" s="310" t="str">
        <f>IFERROR(__xludf.DUMMYFUNCTION("""COMPUTED_VALUE"""),"Negative")</f>
        <v>Negative</v>
      </c>
      <c r="H26" s="319" t="str">
        <f>IFERROR(__xludf.DUMMYFUNCTION("""COMPUTED_VALUE"""),"Negative")</f>
        <v>Negative</v>
      </c>
      <c r="I26" s="308">
        <f>IFERROR(__xludf.DUMMYFUNCTION("""COMPUTED_VALUE"""),44813.0)</f>
        <v>44813</v>
      </c>
      <c r="J26" s="311">
        <f>IFERROR(__xludf.DUMMYFUNCTION("""COMPUTED_VALUE"""),0.12100694444444444)</f>
        <v>0.1210069444</v>
      </c>
      <c r="K26" s="54"/>
      <c r="L26" s="7"/>
      <c r="M26" s="312"/>
      <c r="N26" s="172">
        <f>IFERROR(__xludf.DUMMYFUNCTION("""COMPUTED_VALUE"""),1.0)</f>
        <v>1</v>
      </c>
      <c r="O26" s="172" t="str">
        <f t="shared" si="3"/>
        <v/>
      </c>
      <c r="P26" s="313">
        <f>IFERROR(__xludf.DUMMYFUNCTION("""COMPUTED_VALUE"""),2.0)</f>
        <v>2</v>
      </c>
      <c r="Q26" s="76" t="b">
        <f>VLOOKUP($B26,'Run Reconcile'!B$2:O1399,14,FALSE)</f>
        <v>1</v>
      </c>
      <c r="R26" s="314" t="str">
        <f t="array" ref="R26">IF($Q26, INDEX('Run Reconcile'!A$2:A1399,MATCH(B26,'Run Reconcile'!B$2:B1399,0),1),IFERROR(0/0,""))</f>
        <v>RUN-ABRM_2022-09-07_RFR-003</v>
      </c>
      <c r="S26" s="315" t="str">
        <f t="shared" ref="S26:T26" si="56">IF(COUNTIF(W$2:W1399, $A26) &gt; 0,TRUE,IFERROR(0/0,""))</f>
        <v/>
      </c>
      <c r="T26" s="315" t="str">
        <f t="shared" si="56"/>
        <v/>
      </c>
      <c r="U26" s="114" t="str">
        <f t="array" ref="U26">IF(ISBLANK($R26), INDEX('Run Reconcile'!A$2:A1399, MATCH($B26, 'Run Reconcile'!B$2:B1399, 0)+Z26, 1), IFERROR(0/0,""))
</f>
        <v/>
      </c>
      <c r="V26" s="316" t="str">
        <f t="shared" si="5"/>
        <v>RUN-ABRM_2022-09-07_RFR-003</v>
      </c>
      <c r="Y26" s="317" t="str">
        <f t="shared" si="6"/>
        <v/>
      </c>
      <c r="Z26" s="83" t="str">
        <f t="shared" si="7"/>
        <v/>
      </c>
      <c r="AA26" s="83" t="str">
        <f t="shared" si="8"/>
        <v/>
      </c>
      <c r="AB26" s="83" t="str">
        <f t="shared" si="9"/>
        <v/>
      </c>
      <c r="AC26" s="18" t="str">
        <f t="shared" ref="AC26:AD26" si="57">IF(_xlfn.ISFORMULA(S26),IFERROR(0/0,""),TRUE)</f>
        <v/>
      </c>
      <c r="AD26" s="18" t="str">
        <f t="shared" si="57"/>
        <v/>
      </c>
      <c r="AE26" s="43"/>
      <c r="AF26" s="58" t="s">
        <v>30</v>
      </c>
      <c r="AG26" s="55" t="str">
        <f t="shared" si="11"/>
        <v/>
      </c>
    </row>
    <row r="27">
      <c r="A27" s="7" t="str">
        <f>IFERROR(__xludf.DUMMYFUNCTION("""COMPUTED_VALUE"""),"AH8513")</f>
        <v>AH8513</v>
      </c>
      <c r="B27" s="308">
        <f>IFERROR(__xludf.DUMMYFUNCTION("""COMPUTED_VALUE"""),44811.0)</f>
        <v>44811</v>
      </c>
      <c r="C27" s="309">
        <f>IFERROR(__xludf.DUMMYFUNCTION("""COMPUTED_VALUE"""),0.4171990740740741)</f>
        <v>0.4171990741</v>
      </c>
      <c r="D27" s="54" t="str">
        <f>IFERROR(__xludf.DUMMYFUNCTION("""COMPUTED_VALUE"""),"SpABRM655136")</f>
        <v>SpABRM655136</v>
      </c>
      <c r="E27" s="310"/>
      <c r="F27" s="310"/>
      <c r="G27" s="310" t="str">
        <f>IFERROR(__xludf.DUMMYFUNCTION("""COMPUTED_VALUE"""),"Negative")</f>
        <v>Negative</v>
      </c>
      <c r="H27" s="319" t="str">
        <f>IFERROR(__xludf.DUMMYFUNCTION("""COMPUTED_VALUE"""),"Negative")</f>
        <v>Negative</v>
      </c>
      <c r="I27" s="308">
        <f>IFERROR(__xludf.DUMMYFUNCTION("""COMPUTED_VALUE"""),44813.0)</f>
        <v>44813</v>
      </c>
      <c r="J27" s="311">
        <f>IFERROR(__xludf.DUMMYFUNCTION("""COMPUTED_VALUE"""),0.12101851851851853)</f>
        <v>0.1210185185</v>
      </c>
      <c r="K27" s="54"/>
      <c r="L27" s="7"/>
      <c r="M27" s="312"/>
      <c r="N27" s="172">
        <f>IFERROR(__xludf.DUMMYFUNCTION("""COMPUTED_VALUE"""),2.0)</f>
        <v>2</v>
      </c>
      <c r="O27" s="172" t="str">
        <f t="shared" si="3"/>
        <v/>
      </c>
      <c r="P27" s="313">
        <f>IFERROR(__xludf.DUMMYFUNCTION("""COMPUTED_VALUE"""),2.0)</f>
        <v>2</v>
      </c>
      <c r="Q27" s="76" t="b">
        <f>VLOOKUP($B27,'Run Reconcile'!B$2:O1399,14,FALSE)</f>
        <v>1</v>
      </c>
      <c r="R27" s="314" t="str">
        <f t="array" ref="R27">IF($Q27, INDEX('Run Reconcile'!A$2:A1399,MATCH(B27,'Run Reconcile'!B$2:B1399,0),1),IFERROR(0/0,""))</f>
        <v>RUN-ABRM_2022-09-07_RFR-003</v>
      </c>
      <c r="S27" s="315" t="str">
        <f t="shared" ref="S27:T27" si="58">IF(COUNTIF(W$2:W1399, $A27) &gt; 0,TRUE,IFERROR(0/0,""))</f>
        <v/>
      </c>
      <c r="T27" s="315" t="str">
        <f t="shared" si="58"/>
        <v/>
      </c>
      <c r="U27" s="114" t="str">
        <f t="array" ref="U27">IF(ISBLANK($R27), INDEX('Run Reconcile'!A$2:A1399, MATCH($B27, 'Run Reconcile'!B$2:B1399, 0)+Z27, 1), IFERROR(0/0,""))
</f>
        <v/>
      </c>
      <c r="V27" s="316" t="str">
        <f t="shared" si="5"/>
        <v>RUN-ABRM_2022-09-07_RFR-003</v>
      </c>
      <c r="Y27" s="317" t="str">
        <f t="shared" si="6"/>
        <v/>
      </c>
      <c r="Z27" s="83" t="str">
        <f t="shared" si="7"/>
        <v/>
      </c>
      <c r="AA27" s="83" t="str">
        <f t="shared" si="8"/>
        <v/>
      </c>
      <c r="AB27" s="83" t="str">
        <f t="shared" si="9"/>
        <v/>
      </c>
      <c r="AC27" s="18" t="str">
        <f t="shared" ref="AC27:AD27" si="59">IF(_xlfn.ISFORMULA(S27),IFERROR(0/0,""),TRUE)</f>
        <v/>
      </c>
      <c r="AD27" s="18" t="str">
        <f t="shared" si="59"/>
        <v/>
      </c>
      <c r="AE27" s="43"/>
      <c r="AF27" s="58" t="s">
        <v>30</v>
      </c>
      <c r="AG27" s="55" t="str">
        <f t="shared" si="11"/>
        <v/>
      </c>
    </row>
    <row r="28">
      <c r="A28" s="7" t="str">
        <f>IFERROR(__xludf.DUMMYFUNCTION("""COMPUTED_VALUE"""),"AH7993")</f>
        <v>AH7993</v>
      </c>
      <c r="B28" s="308">
        <f>IFERROR(__xludf.DUMMYFUNCTION("""COMPUTED_VALUE"""),44811.0)</f>
        <v>44811</v>
      </c>
      <c r="C28" s="309">
        <f>IFERROR(__xludf.DUMMYFUNCTION("""COMPUTED_VALUE"""),0.41769675925925925)</f>
        <v>0.4176967593</v>
      </c>
      <c r="D28" s="54" t="str">
        <f>IFERROR(__xludf.DUMMYFUNCTION("""COMPUTED_VALUE"""),"SpABRM655136")</f>
        <v>SpABRM655136</v>
      </c>
      <c r="E28" s="310"/>
      <c r="F28" s="310"/>
      <c r="G28" s="310" t="str">
        <f>IFERROR(__xludf.DUMMYFUNCTION("""COMPUTED_VALUE"""),"Negative")</f>
        <v>Negative</v>
      </c>
      <c r="H28" s="319" t="str">
        <f>IFERROR(__xludf.DUMMYFUNCTION("""COMPUTED_VALUE"""),"Negative")</f>
        <v>Negative</v>
      </c>
      <c r="I28" s="308">
        <f>IFERROR(__xludf.DUMMYFUNCTION("""COMPUTED_VALUE"""),44813.0)</f>
        <v>44813</v>
      </c>
      <c r="J28" s="311">
        <f>IFERROR(__xludf.DUMMYFUNCTION("""COMPUTED_VALUE"""),0.12101851851851853)</f>
        <v>0.1210185185</v>
      </c>
      <c r="K28" s="54"/>
      <c r="L28" s="7"/>
      <c r="M28" s="312"/>
      <c r="N28" s="172">
        <f>IFERROR(__xludf.DUMMYFUNCTION("""COMPUTED_VALUE"""),3.0)</f>
        <v>3</v>
      </c>
      <c r="O28" s="172" t="str">
        <f t="shared" si="3"/>
        <v/>
      </c>
      <c r="P28" s="313">
        <f>IFERROR(__xludf.DUMMYFUNCTION("""COMPUTED_VALUE"""),2.0)</f>
        <v>2</v>
      </c>
      <c r="Q28" s="76" t="b">
        <f>VLOOKUP($B28,'Run Reconcile'!B$2:O1399,14,FALSE)</f>
        <v>1</v>
      </c>
      <c r="R28" s="314" t="str">
        <f t="array" ref="R28">IF($Q28, INDEX('Run Reconcile'!A$2:A1399,MATCH(B28,'Run Reconcile'!B$2:B1399,0),1),IFERROR(0/0,""))</f>
        <v>RUN-ABRM_2022-09-07_RFR-003</v>
      </c>
      <c r="S28" s="315" t="str">
        <f t="shared" ref="S28:T28" si="60">IF(COUNTIF(W$2:W1399, $A28) &gt; 0,TRUE,IFERROR(0/0,""))</f>
        <v/>
      </c>
      <c r="T28" s="315" t="str">
        <f t="shared" si="60"/>
        <v/>
      </c>
      <c r="U28" s="114" t="str">
        <f t="array" ref="U28">IF(ISBLANK($R28), INDEX('Run Reconcile'!A$2:A1399, MATCH($B28, 'Run Reconcile'!B$2:B1399, 0)+Z28, 1), IFERROR(0/0,""))
</f>
        <v/>
      </c>
      <c r="V28" s="316" t="str">
        <f t="shared" si="5"/>
        <v>RUN-ABRM_2022-09-07_RFR-003</v>
      </c>
      <c r="Y28" s="317" t="str">
        <f t="shared" si="6"/>
        <v/>
      </c>
      <c r="Z28" s="83" t="str">
        <f t="shared" si="7"/>
        <v/>
      </c>
      <c r="AA28" s="83" t="str">
        <f t="shared" si="8"/>
        <v/>
      </c>
      <c r="AB28" s="83" t="str">
        <f t="shared" si="9"/>
        <v/>
      </c>
      <c r="AC28" s="18" t="str">
        <f t="shared" ref="AC28:AD28" si="61">IF(_xlfn.ISFORMULA(S28),IFERROR(0/0,""),TRUE)</f>
        <v/>
      </c>
      <c r="AD28" s="18" t="str">
        <f t="shared" si="61"/>
        <v/>
      </c>
      <c r="AE28" s="43"/>
      <c r="AF28" s="58" t="s">
        <v>30</v>
      </c>
      <c r="AG28" s="55" t="str">
        <f t="shared" si="11"/>
        <v/>
      </c>
    </row>
    <row r="29">
      <c r="A29" s="7" t="str">
        <f>IFERROR(__xludf.DUMMYFUNCTION("""COMPUTED_VALUE"""),"AH7395")</f>
        <v>AH7395</v>
      </c>
      <c r="B29" s="308">
        <f>IFERROR(__xludf.DUMMYFUNCTION("""COMPUTED_VALUE"""),44811.0)</f>
        <v>44811</v>
      </c>
      <c r="C29" s="309">
        <f>IFERROR(__xludf.DUMMYFUNCTION("""COMPUTED_VALUE"""),0.41811342592592593)</f>
        <v>0.4181134259</v>
      </c>
      <c r="D29" s="54" t="str">
        <f>IFERROR(__xludf.DUMMYFUNCTION("""COMPUTED_VALUE"""),"SpABRM655136")</f>
        <v>SpABRM655136</v>
      </c>
      <c r="E29" s="310"/>
      <c r="F29" s="310"/>
      <c r="G29" s="310" t="str">
        <f>IFERROR(__xludf.DUMMYFUNCTION("""COMPUTED_VALUE"""),"Negative")</f>
        <v>Negative</v>
      </c>
      <c r="H29" s="319" t="str">
        <f>IFERROR(__xludf.DUMMYFUNCTION("""COMPUTED_VALUE"""),"Negative")</f>
        <v>Negative</v>
      </c>
      <c r="I29" s="308">
        <f>IFERROR(__xludf.DUMMYFUNCTION("""COMPUTED_VALUE"""),44813.0)</f>
        <v>44813</v>
      </c>
      <c r="J29" s="311">
        <f>IFERROR(__xludf.DUMMYFUNCTION("""COMPUTED_VALUE"""),0.12101851851851853)</f>
        <v>0.1210185185</v>
      </c>
      <c r="K29" s="54"/>
      <c r="L29" s="7"/>
      <c r="M29" s="312"/>
      <c r="N29" s="172">
        <f>IFERROR(__xludf.DUMMYFUNCTION("""COMPUTED_VALUE"""),1.0)</f>
        <v>1</v>
      </c>
      <c r="O29" s="172" t="str">
        <f t="shared" si="3"/>
        <v/>
      </c>
      <c r="P29" s="313">
        <f>IFERROR(__xludf.DUMMYFUNCTION("""COMPUTED_VALUE"""),2.0)</f>
        <v>2</v>
      </c>
      <c r="Q29" s="76" t="b">
        <f>VLOOKUP($B29,'Run Reconcile'!B$2:O1399,14,FALSE)</f>
        <v>1</v>
      </c>
      <c r="R29" s="314" t="str">
        <f t="array" ref="R29">IF($Q29, INDEX('Run Reconcile'!A$2:A1399,MATCH(B29,'Run Reconcile'!B$2:B1399,0),1),IFERROR(0/0,""))</f>
        <v>RUN-ABRM_2022-09-07_RFR-003</v>
      </c>
      <c r="S29" s="315" t="str">
        <f t="shared" ref="S29:T29" si="62">IF(COUNTIF(W$2:W1399, $A29) &gt; 0,TRUE,IFERROR(0/0,""))</f>
        <v/>
      </c>
      <c r="T29" s="315" t="str">
        <f t="shared" si="62"/>
        <v/>
      </c>
      <c r="U29" s="114" t="str">
        <f t="array" ref="U29">IF(ISBLANK($R29), INDEX('Run Reconcile'!A$2:A1399, MATCH($B29, 'Run Reconcile'!B$2:B1399, 0)+Z29, 1), IFERROR(0/0,""))
</f>
        <v/>
      </c>
      <c r="V29" s="316" t="str">
        <f t="shared" si="5"/>
        <v>RUN-ABRM_2022-09-07_RFR-003</v>
      </c>
      <c r="Y29" s="317" t="str">
        <f t="shared" si="6"/>
        <v/>
      </c>
      <c r="Z29" s="83" t="str">
        <f t="shared" si="7"/>
        <v/>
      </c>
      <c r="AA29" s="83" t="str">
        <f t="shared" si="8"/>
        <v/>
      </c>
      <c r="AB29" s="83" t="str">
        <f t="shared" si="9"/>
        <v/>
      </c>
      <c r="AC29" s="18" t="str">
        <f t="shared" ref="AC29:AD29" si="63">IF(_xlfn.ISFORMULA(S29),IFERROR(0/0,""),TRUE)</f>
        <v/>
      </c>
      <c r="AD29" s="18" t="str">
        <f t="shared" si="63"/>
        <v/>
      </c>
      <c r="AE29" s="43"/>
      <c r="AF29" s="58" t="s">
        <v>30</v>
      </c>
      <c r="AG29" s="55" t="str">
        <f t="shared" si="11"/>
        <v/>
      </c>
    </row>
    <row r="30">
      <c r="A30" s="7" t="str">
        <f>IFERROR(__xludf.DUMMYFUNCTION("""COMPUTED_VALUE"""),"AH9075")</f>
        <v>AH9075</v>
      </c>
      <c r="B30" s="308">
        <f>IFERROR(__xludf.DUMMYFUNCTION("""COMPUTED_VALUE"""),44811.0)</f>
        <v>44811</v>
      </c>
      <c r="C30" s="309">
        <f>IFERROR(__xludf.DUMMYFUNCTION("""COMPUTED_VALUE"""),0.4187962962962963)</f>
        <v>0.4187962963</v>
      </c>
      <c r="D30" s="54" t="str">
        <f>IFERROR(__xludf.DUMMYFUNCTION("""COMPUTED_VALUE"""),"SpABRM655136")</f>
        <v>SpABRM655136</v>
      </c>
      <c r="E30" s="310"/>
      <c r="F30" s="310"/>
      <c r="G30" s="310" t="str">
        <f>IFERROR(__xludf.DUMMYFUNCTION("""COMPUTED_VALUE"""),"Negative")</f>
        <v>Negative</v>
      </c>
      <c r="H30" s="319" t="str">
        <f>IFERROR(__xludf.DUMMYFUNCTION("""COMPUTED_VALUE"""),"Negative")</f>
        <v>Negative</v>
      </c>
      <c r="I30" s="308">
        <f>IFERROR(__xludf.DUMMYFUNCTION("""COMPUTED_VALUE"""),44813.0)</f>
        <v>44813</v>
      </c>
      <c r="J30" s="311">
        <f>IFERROR(__xludf.DUMMYFUNCTION("""COMPUTED_VALUE"""),0.12101851851851853)</f>
        <v>0.1210185185</v>
      </c>
      <c r="K30" s="54"/>
      <c r="L30" s="7"/>
      <c r="M30" s="312"/>
      <c r="N30" s="172">
        <f>IFERROR(__xludf.DUMMYFUNCTION("""COMPUTED_VALUE"""),5.0)</f>
        <v>5</v>
      </c>
      <c r="O30" s="172" t="str">
        <f t="shared" si="3"/>
        <v/>
      </c>
      <c r="P30" s="313">
        <f>IFERROR(__xludf.DUMMYFUNCTION("""COMPUTED_VALUE"""),2.0)</f>
        <v>2</v>
      </c>
      <c r="Q30" s="76" t="b">
        <f>VLOOKUP($B30,'Run Reconcile'!B$2:O1399,14,FALSE)</f>
        <v>1</v>
      </c>
      <c r="R30" s="314" t="str">
        <f t="array" ref="R30">IF($Q30, INDEX('Run Reconcile'!A$2:A1399,MATCH(B30,'Run Reconcile'!B$2:B1399,0),1),IFERROR(0/0,""))</f>
        <v>RUN-ABRM_2022-09-07_RFR-003</v>
      </c>
      <c r="S30" s="315" t="str">
        <f t="shared" ref="S30:T30" si="64">IF(COUNTIF(W$2:W1399, $A30) &gt; 0,TRUE,IFERROR(0/0,""))</f>
        <v/>
      </c>
      <c r="T30" s="315" t="str">
        <f t="shared" si="64"/>
        <v/>
      </c>
      <c r="U30" s="114" t="str">
        <f t="array" ref="U30">IF(ISBLANK($R30), INDEX('Run Reconcile'!A$2:A1399, MATCH($B30, 'Run Reconcile'!B$2:B1399, 0)+Z30, 1), IFERROR(0/0,""))
</f>
        <v/>
      </c>
      <c r="V30" s="316" t="str">
        <f t="shared" si="5"/>
        <v>RUN-ABRM_2022-09-07_RFR-003</v>
      </c>
      <c r="Y30" s="317" t="str">
        <f t="shared" si="6"/>
        <v/>
      </c>
      <c r="Z30" s="83" t="str">
        <f t="shared" si="7"/>
        <v/>
      </c>
      <c r="AA30" s="83" t="str">
        <f t="shared" si="8"/>
        <v/>
      </c>
      <c r="AB30" s="83" t="str">
        <f t="shared" si="9"/>
        <v/>
      </c>
      <c r="AC30" s="18" t="str">
        <f t="shared" ref="AC30:AD30" si="65">IF(_xlfn.ISFORMULA(S30),IFERROR(0/0,""),TRUE)</f>
        <v/>
      </c>
      <c r="AD30" s="18" t="str">
        <f t="shared" si="65"/>
        <v/>
      </c>
      <c r="AE30" s="43"/>
      <c r="AF30" s="58" t="s">
        <v>30</v>
      </c>
      <c r="AG30" s="55" t="str">
        <f t="shared" si="11"/>
        <v/>
      </c>
    </row>
    <row r="31">
      <c r="A31" s="7" t="str">
        <f>IFERROR(__xludf.DUMMYFUNCTION("""COMPUTED_VALUE"""),"AJ9638")</f>
        <v>AJ9638</v>
      </c>
      <c r="B31" s="308">
        <f>IFERROR(__xludf.DUMMYFUNCTION("""COMPUTED_VALUE"""),44812.0)</f>
        <v>44812</v>
      </c>
      <c r="C31" s="309">
        <f>IFERROR(__xludf.DUMMYFUNCTION("""COMPUTED_VALUE"""),0.2384375)</f>
        <v>0.2384375</v>
      </c>
      <c r="D31" s="54" t="str">
        <f>IFERROR(__xludf.DUMMYFUNCTION("""COMPUTED_VALUE"""),"SpABRM188986")</f>
        <v>SpABRM188986</v>
      </c>
      <c r="E31" s="310"/>
      <c r="F31" s="310"/>
      <c r="G31" s="310" t="str">
        <f>IFERROR(__xludf.DUMMYFUNCTION("""COMPUTED_VALUE"""),"Negative")</f>
        <v>Negative</v>
      </c>
      <c r="H31" s="319" t="str">
        <f>IFERROR(__xludf.DUMMYFUNCTION("""COMPUTED_VALUE"""),"Negative")</f>
        <v>Negative</v>
      </c>
      <c r="I31" s="308">
        <f>IFERROR(__xludf.DUMMYFUNCTION("""COMPUTED_VALUE"""),44813.0)</f>
        <v>44813</v>
      </c>
      <c r="J31" s="311">
        <f>IFERROR(__xludf.DUMMYFUNCTION("""COMPUTED_VALUE"""),0.12101851851851853)</f>
        <v>0.1210185185</v>
      </c>
      <c r="K31" s="54"/>
      <c r="L31" s="7"/>
      <c r="M31" s="312"/>
      <c r="N31" s="172">
        <f>IFERROR(__xludf.DUMMYFUNCTION("""COMPUTED_VALUE"""),1.0)</f>
        <v>1</v>
      </c>
      <c r="O31" s="172" t="b">
        <f t="shared" si="3"/>
        <v>1</v>
      </c>
      <c r="P31" s="313">
        <f>IFERROR(__xludf.DUMMYFUNCTION("""COMPUTED_VALUE"""),1.0)</f>
        <v>1</v>
      </c>
      <c r="Q31" s="76" t="b">
        <f>VLOOKUP($B31,'Run Reconcile'!B$2:O1399,14,FALSE)</f>
        <v>1</v>
      </c>
      <c r="R31" s="314" t="str">
        <f t="array" ref="R31">IF($Q31, INDEX('Run Reconcile'!A$2:A1399,MATCH(B31,'Run Reconcile'!B$2:B1399,0),1),IFERROR(0/0,""))</f>
        <v>RUN-ABRM_2022-09-08_RFR-004</v>
      </c>
      <c r="S31" s="315" t="str">
        <f t="shared" ref="S31:T31" si="66">IF(COUNTIF(W$2:W1399, $A31) &gt; 0,TRUE,IFERROR(0/0,""))</f>
        <v/>
      </c>
      <c r="T31" s="315" t="str">
        <f t="shared" si="66"/>
        <v/>
      </c>
      <c r="U31" s="114" t="str">
        <f t="array" ref="U31">IF(ISBLANK($R31), INDEX('Run Reconcile'!A$2:A1399, MATCH($B31, 'Run Reconcile'!B$2:B1399, 0)+Z31, 1), IFERROR(0/0,""))
</f>
        <v/>
      </c>
      <c r="V31" s="316" t="str">
        <f t="shared" si="5"/>
        <v>RUN-ABRM_2022-09-08_RFR-004</v>
      </c>
      <c r="Y31" s="317" t="str">
        <f t="shared" si="6"/>
        <v/>
      </c>
      <c r="Z31" s="83" t="str">
        <f t="shared" si="7"/>
        <v/>
      </c>
      <c r="AA31" s="83" t="str">
        <f t="shared" si="8"/>
        <v/>
      </c>
      <c r="AB31" s="83" t="str">
        <f t="shared" si="9"/>
        <v/>
      </c>
      <c r="AC31" s="18" t="str">
        <f t="shared" ref="AC31:AD31" si="67">IF(_xlfn.ISFORMULA(S31),IFERROR(0/0,""),TRUE)</f>
        <v/>
      </c>
      <c r="AD31" s="18" t="str">
        <f t="shared" si="67"/>
        <v/>
      </c>
      <c r="AE31" s="43"/>
      <c r="AF31" s="58" t="s">
        <v>31</v>
      </c>
      <c r="AG31" s="55" t="str">
        <f t="shared" si="11"/>
        <v/>
      </c>
    </row>
    <row r="32">
      <c r="A32" s="7" t="str">
        <f>IFERROR(__xludf.DUMMYFUNCTION("""COMPUTED_VALUE"""),"AH9869")</f>
        <v>AH9869</v>
      </c>
      <c r="B32" s="308">
        <f>IFERROR(__xludf.DUMMYFUNCTION("""COMPUTED_VALUE"""),44812.0)</f>
        <v>44812</v>
      </c>
      <c r="C32" s="309">
        <f>IFERROR(__xludf.DUMMYFUNCTION("""COMPUTED_VALUE"""),0.26506944444444447)</f>
        <v>0.2650694444</v>
      </c>
      <c r="D32" s="54" t="str">
        <f>IFERROR(__xludf.DUMMYFUNCTION("""COMPUTED_VALUE"""),"SpABRM128250")</f>
        <v>SpABRM128250</v>
      </c>
      <c r="E32" s="310"/>
      <c r="F32" s="310"/>
      <c r="G32" s="310" t="str">
        <f>IFERROR(__xludf.DUMMYFUNCTION("""COMPUTED_VALUE"""),"Negative")</f>
        <v>Negative</v>
      </c>
      <c r="H32" s="319" t="str">
        <f>IFERROR(__xludf.DUMMYFUNCTION("""COMPUTED_VALUE"""),"Negative")</f>
        <v>Negative</v>
      </c>
      <c r="I32" s="308">
        <f>IFERROR(__xludf.DUMMYFUNCTION("""COMPUTED_VALUE"""),44813.0)</f>
        <v>44813</v>
      </c>
      <c r="J32" s="311">
        <f>IFERROR(__xludf.DUMMYFUNCTION("""COMPUTED_VALUE"""),0.12101851851851853)</f>
        <v>0.1210185185</v>
      </c>
      <c r="K32" s="54"/>
      <c r="L32" s="7"/>
      <c r="M32" s="312"/>
      <c r="N32" s="172">
        <f>IFERROR(__xludf.DUMMYFUNCTION("""COMPUTED_VALUE"""),3.0)</f>
        <v>3</v>
      </c>
      <c r="O32" s="172" t="str">
        <f t="shared" si="3"/>
        <v/>
      </c>
      <c r="P32" s="313">
        <f>IFERROR(__xludf.DUMMYFUNCTION("""COMPUTED_VALUE"""),1.0)</f>
        <v>1</v>
      </c>
      <c r="Q32" s="76" t="b">
        <f>VLOOKUP($B32,'Run Reconcile'!B$2:O1399,14,FALSE)</f>
        <v>1</v>
      </c>
      <c r="R32" s="314" t="str">
        <f t="array" ref="R32">IF($Q32, INDEX('Run Reconcile'!A$2:A1399,MATCH(B32,'Run Reconcile'!B$2:B1399,0),1),IFERROR(0/0,""))</f>
        <v>RUN-ABRM_2022-09-08_RFR-004</v>
      </c>
      <c r="S32" s="315" t="str">
        <f t="shared" ref="S32:T32" si="68">IF(COUNTIF(W$2:W1399, $A32) &gt; 0,TRUE,IFERROR(0/0,""))</f>
        <v/>
      </c>
      <c r="T32" s="315" t="str">
        <f t="shared" si="68"/>
        <v/>
      </c>
      <c r="U32" s="114" t="str">
        <f t="array" ref="U32">IF(ISBLANK($R32), INDEX('Run Reconcile'!A$2:A1399, MATCH($B32, 'Run Reconcile'!B$2:B1399, 0)+Z32, 1), IFERROR(0/0,""))
</f>
        <v/>
      </c>
      <c r="V32" s="316" t="str">
        <f t="shared" si="5"/>
        <v>RUN-ABRM_2022-09-08_RFR-004</v>
      </c>
      <c r="Y32" s="317" t="str">
        <f t="shared" si="6"/>
        <v/>
      </c>
      <c r="Z32" s="83" t="str">
        <f t="shared" si="7"/>
        <v/>
      </c>
      <c r="AA32" s="83" t="str">
        <f t="shared" si="8"/>
        <v/>
      </c>
      <c r="AB32" s="83" t="str">
        <f t="shared" si="9"/>
        <v/>
      </c>
      <c r="AC32" s="18" t="str">
        <f t="shared" ref="AC32:AD32" si="69">IF(_xlfn.ISFORMULA(S32),IFERROR(0/0,""),TRUE)</f>
        <v/>
      </c>
      <c r="AD32" s="18" t="str">
        <f t="shared" si="69"/>
        <v/>
      </c>
      <c r="AE32" s="43"/>
      <c r="AF32" s="58" t="s">
        <v>31</v>
      </c>
      <c r="AG32" s="55" t="str">
        <f t="shared" si="11"/>
        <v/>
      </c>
    </row>
    <row r="33">
      <c r="A33" s="7" t="str">
        <f>IFERROR(__xludf.DUMMYFUNCTION("""COMPUTED_VALUE"""),"AH8928")</f>
        <v>AH8928</v>
      </c>
      <c r="B33" s="308">
        <f>IFERROR(__xludf.DUMMYFUNCTION("""COMPUTED_VALUE"""),44812.0)</f>
        <v>44812</v>
      </c>
      <c r="C33" s="309">
        <f>IFERROR(__xludf.DUMMYFUNCTION("""COMPUTED_VALUE"""),0.2744097222222222)</f>
        <v>0.2744097222</v>
      </c>
      <c r="D33" s="54" t="str">
        <f>IFERROR(__xludf.DUMMYFUNCTION("""COMPUTED_VALUE"""),"SpABRM652382")</f>
        <v>SpABRM652382</v>
      </c>
      <c r="E33" s="310"/>
      <c r="F33" s="310"/>
      <c r="G33" s="310" t="str">
        <f>IFERROR(__xludf.DUMMYFUNCTION("""COMPUTED_VALUE"""),"Negative")</f>
        <v>Negative</v>
      </c>
      <c r="H33" s="319" t="str">
        <f>IFERROR(__xludf.DUMMYFUNCTION("""COMPUTED_VALUE"""),"Negative")</f>
        <v>Negative</v>
      </c>
      <c r="I33" s="308">
        <f>IFERROR(__xludf.DUMMYFUNCTION("""COMPUTED_VALUE"""),44813.0)</f>
        <v>44813</v>
      </c>
      <c r="J33" s="311">
        <f>IFERROR(__xludf.DUMMYFUNCTION("""COMPUTED_VALUE"""),0.12103009259259259)</f>
        <v>0.1210300926</v>
      </c>
      <c r="K33" s="54"/>
      <c r="L33" s="7"/>
      <c r="M33" s="312"/>
      <c r="N33" s="172">
        <f>IFERROR(__xludf.DUMMYFUNCTION("""COMPUTED_VALUE"""),2.0)</f>
        <v>2</v>
      </c>
      <c r="O33" s="172" t="str">
        <f t="shared" si="3"/>
        <v/>
      </c>
      <c r="P33" s="313">
        <f>IFERROR(__xludf.DUMMYFUNCTION("""COMPUTED_VALUE"""),1.0)</f>
        <v>1</v>
      </c>
      <c r="Q33" s="76" t="b">
        <f>VLOOKUP($B33,'Run Reconcile'!B$2:O1399,14,FALSE)</f>
        <v>1</v>
      </c>
      <c r="R33" s="314" t="str">
        <f t="array" ref="R33">IF($Q33, INDEX('Run Reconcile'!A$2:A1399,MATCH(B33,'Run Reconcile'!B$2:B1399,0),1),IFERROR(0/0,""))</f>
        <v>RUN-ABRM_2022-09-08_RFR-004</v>
      </c>
      <c r="S33" s="315" t="str">
        <f t="shared" ref="S33:T33" si="70">IF(COUNTIF(W$2:W1399, $A33) &gt; 0,TRUE,IFERROR(0/0,""))</f>
        <v/>
      </c>
      <c r="T33" s="315" t="str">
        <f t="shared" si="70"/>
        <v/>
      </c>
      <c r="U33" s="114" t="str">
        <f t="array" ref="U33">IF(ISBLANK($R33), INDEX('Run Reconcile'!A$2:A1399, MATCH($B33, 'Run Reconcile'!B$2:B1399, 0)+Z33, 1), IFERROR(0/0,""))
</f>
        <v/>
      </c>
      <c r="V33" s="316" t="str">
        <f t="shared" si="5"/>
        <v>RUN-ABRM_2022-09-08_RFR-004</v>
      </c>
      <c r="Y33" s="317" t="str">
        <f t="shared" si="6"/>
        <v/>
      </c>
      <c r="Z33" s="83" t="str">
        <f t="shared" si="7"/>
        <v/>
      </c>
      <c r="AA33" s="83" t="str">
        <f t="shared" si="8"/>
        <v/>
      </c>
      <c r="AB33" s="83" t="str">
        <f t="shared" si="9"/>
        <v/>
      </c>
      <c r="AC33" s="18" t="str">
        <f t="shared" ref="AC33:AD33" si="71">IF(_xlfn.ISFORMULA(S33),IFERROR(0/0,""),TRUE)</f>
        <v/>
      </c>
      <c r="AD33" s="18" t="str">
        <f t="shared" si="71"/>
        <v/>
      </c>
      <c r="AE33" s="43"/>
      <c r="AF33" s="58" t="s">
        <v>31</v>
      </c>
      <c r="AG33" s="55" t="str">
        <f t="shared" si="11"/>
        <v/>
      </c>
    </row>
    <row r="34">
      <c r="A34" s="7" t="str">
        <f>IFERROR(__xludf.DUMMYFUNCTION("""COMPUTED_VALUE"""),"AH9456")</f>
        <v>AH9456</v>
      </c>
      <c r="B34" s="308">
        <f>IFERROR(__xludf.DUMMYFUNCTION("""COMPUTED_VALUE"""),44812.0)</f>
        <v>44812</v>
      </c>
      <c r="C34" s="309">
        <f>IFERROR(__xludf.DUMMYFUNCTION("""COMPUTED_VALUE"""),0.29650462962962965)</f>
        <v>0.2965046296</v>
      </c>
      <c r="D34" s="54" t="str">
        <f>IFERROR(__xludf.DUMMYFUNCTION("""COMPUTED_VALUE"""),"SpABRM814022")</f>
        <v>SpABRM814022</v>
      </c>
      <c r="E34" s="310"/>
      <c r="F34" s="310"/>
      <c r="G34" s="310" t="str">
        <f>IFERROR(__xludf.DUMMYFUNCTION("""COMPUTED_VALUE"""),"Negative")</f>
        <v>Negative</v>
      </c>
      <c r="H34" s="319" t="str">
        <f>IFERROR(__xludf.DUMMYFUNCTION("""COMPUTED_VALUE"""),"Negative")</f>
        <v>Negative</v>
      </c>
      <c r="I34" s="308">
        <f>IFERROR(__xludf.DUMMYFUNCTION("""COMPUTED_VALUE"""),44813.0)</f>
        <v>44813</v>
      </c>
      <c r="J34" s="311">
        <f>IFERROR(__xludf.DUMMYFUNCTION("""COMPUTED_VALUE"""),0.12103009259259259)</f>
        <v>0.1210300926</v>
      </c>
      <c r="K34" s="54"/>
      <c r="L34" s="7"/>
      <c r="M34" s="312"/>
      <c r="N34" s="172">
        <f>IFERROR(__xludf.DUMMYFUNCTION("""COMPUTED_VALUE"""),2.0)</f>
        <v>2</v>
      </c>
      <c r="O34" s="172" t="str">
        <f t="shared" si="3"/>
        <v/>
      </c>
      <c r="P34" s="313">
        <f>IFERROR(__xludf.DUMMYFUNCTION("""COMPUTED_VALUE"""),1.0)</f>
        <v>1</v>
      </c>
      <c r="Q34" s="76" t="b">
        <f>VLOOKUP($B34,'Run Reconcile'!B$2:O1399,14,FALSE)</f>
        <v>1</v>
      </c>
      <c r="R34" s="314" t="str">
        <f t="array" ref="R34">IF($Q34, INDEX('Run Reconcile'!A$2:A1399,MATCH(B34,'Run Reconcile'!B$2:B1399,0),1),IFERROR(0/0,""))</f>
        <v>RUN-ABRM_2022-09-08_RFR-004</v>
      </c>
      <c r="S34" s="315" t="str">
        <f t="shared" ref="S34:T34" si="72">IF(COUNTIF(W$2:W1399, $A34) &gt; 0,TRUE,IFERROR(0/0,""))</f>
        <v/>
      </c>
      <c r="T34" s="315" t="str">
        <f t="shared" si="72"/>
        <v/>
      </c>
      <c r="U34" s="114" t="str">
        <f t="array" ref="U34">IF(ISBLANK($R34), INDEX('Run Reconcile'!A$2:A1399, MATCH($B34, 'Run Reconcile'!B$2:B1399, 0)+Z34, 1), IFERROR(0/0,""))
</f>
        <v/>
      </c>
      <c r="V34" s="316" t="str">
        <f t="shared" si="5"/>
        <v>RUN-ABRM_2022-09-08_RFR-004</v>
      </c>
      <c r="Y34" s="317" t="str">
        <f t="shared" si="6"/>
        <v/>
      </c>
      <c r="Z34" s="83" t="str">
        <f t="shared" si="7"/>
        <v/>
      </c>
      <c r="AA34" s="83" t="str">
        <f t="shared" si="8"/>
        <v/>
      </c>
      <c r="AB34" s="83" t="str">
        <f t="shared" si="9"/>
        <v/>
      </c>
      <c r="AC34" s="18" t="str">
        <f t="shared" ref="AC34:AD34" si="73">IF(_xlfn.ISFORMULA(S34),IFERROR(0/0,""),TRUE)</f>
        <v/>
      </c>
      <c r="AD34" s="18" t="str">
        <f t="shared" si="73"/>
        <v/>
      </c>
      <c r="AE34" s="43"/>
      <c r="AF34" s="58" t="s">
        <v>31</v>
      </c>
      <c r="AG34" s="55" t="str">
        <f t="shared" si="11"/>
        <v/>
      </c>
    </row>
    <row r="35">
      <c r="A35" s="7" t="str">
        <f>IFERROR(__xludf.DUMMYFUNCTION("""COMPUTED_VALUE"""),"AG1602")</f>
        <v>AG1602</v>
      </c>
      <c r="B35" s="308">
        <f>IFERROR(__xludf.DUMMYFUNCTION("""COMPUTED_VALUE"""),44812.0)</f>
        <v>44812</v>
      </c>
      <c r="C35" s="309">
        <f>IFERROR(__xludf.DUMMYFUNCTION("""COMPUTED_VALUE"""),0.29962962962962963)</f>
        <v>0.2996296296</v>
      </c>
      <c r="D35" s="54" t="str">
        <f>IFERROR(__xludf.DUMMYFUNCTION("""COMPUTED_VALUE"""),"SpABRM297307")</f>
        <v>SpABRM297307</v>
      </c>
      <c r="E35" s="310"/>
      <c r="F35" s="310"/>
      <c r="G35" s="310" t="str">
        <f>IFERROR(__xludf.DUMMYFUNCTION("""COMPUTED_VALUE"""),"Negative")</f>
        <v>Negative</v>
      </c>
      <c r="H35" s="319" t="str">
        <f>IFERROR(__xludf.DUMMYFUNCTION("""COMPUTED_VALUE"""),"Negative")</f>
        <v>Negative</v>
      </c>
      <c r="I35" s="308">
        <f>IFERROR(__xludf.DUMMYFUNCTION("""COMPUTED_VALUE"""),44813.0)</f>
        <v>44813</v>
      </c>
      <c r="J35" s="311">
        <f>IFERROR(__xludf.DUMMYFUNCTION("""COMPUTED_VALUE"""),0.12103009259259259)</f>
        <v>0.1210300926</v>
      </c>
      <c r="K35" s="54"/>
      <c r="L35" s="7"/>
      <c r="M35" s="312"/>
      <c r="N35" s="172">
        <f>IFERROR(__xludf.DUMMYFUNCTION("""COMPUTED_VALUE"""),3.0)</f>
        <v>3</v>
      </c>
      <c r="O35" s="172" t="str">
        <f t="shared" si="3"/>
        <v/>
      </c>
      <c r="P35" s="313">
        <f>IFERROR(__xludf.DUMMYFUNCTION("""COMPUTED_VALUE"""),1.0)</f>
        <v>1</v>
      </c>
      <c r="Q35" s="76" t="b">
        <f>VLOOKUP($B35,'Run Reconcile'!B$2:O1399,14,FALSE)</f>
        <v>1</v>
      </c>
      <c r="R35" s="314" t="str">
        <f t="array" ref="R35">IF($Q35, INDEX('Run Reconcile'!A$2:A1399,MATCH(B35,'Run Reconcile'!B$2:B1399,0),1),IFERROR(0/0,""))</f>
        <v>RUN-ABRM_2022-09-08_RFR-004</v>
      </c>
      <c r="S35" s="315" t="str">
        <f t="shared" ref="S35:T35" si="74">IF(COUNTIF(W$2:W1399, $A35) &gt; 0,TRUE,IFERROR(0/0,""))</f>
        <v/>
      </c>
      <c r="T35" s="315" t="str">
        <f t="shared" si="74"/>
        <v/>
      </c>
      <c r="U35" s="114" t="str">
        <f t="array" ref="U35">IF(ISBLANK($R35), INDEX('Run Reconcile'!A$2:A1399, MATCH($B35, 'Run Reconcile'!B$2:B1399, 0)+Z35, 1), IFERROR(0/0,""))
</f>
        <v/>
      </c>
      <c r="V35" s="316" t="str">
        <f t="shared" si="5"/>
        <v>RUN-ABRM_2022-09-08_RFR-004</v>
      </c>
      <c r="Y35" s="317" t="str">
        <f t="shared" si="6"/>
        <v/>
      </c>
      <c r="Z35" s="83" t="str">
        <f t="shared" si="7"/>
        <v/>
      </c>
      <c r="AA35" s="83" t="str">
        <f t="shared" si="8"/>
        <v/>
      </c>
      <c r="AB35" s="83" t="str">
        <f t="shared" si="9"/>
        <v/>
      </c>
      <c r="AC35" s="18" t="str">
        <f t="shared" ref="AC35:AD35" si="75">IF(_xlfn.ISFORMULA(S35),IFERROR(0/0,""),TRUE)</f>
        <v/>
      </c>
      <c r="AD35" s="18" t="str">
        <f t="shared" si="75"/>
        <v/>
      </c>
      <c r="AE35" s="43"/>
      <c r="AF35" s="58" t="s">
        <v>31</v>
      </c>
      <c r="AG35" s="55" t="str">
        <f t="shared" si="11"/>
        <v/>
      </c>
    </row>
    <row r="36">
      <c r="A36" s="7" t="str">
        <f>IFERROR(__xludf.DUMMYFUNCTION("""COMPUTED_VALUE"""),"AH8945")</f>
        <v>AH8945</v>
      </c>
      <c r="B36" s="308">
        <f>IFERROR(__xludf.DUMMYFUNCTION("""COMPUTED_VALUE"""),44812.0)</f>
        <v>44812</v>
      </c>
      <c r="C36" s="309">
        <f>IFERROR(__xludf.DUMMYFUNCTION("""COMPUTED_VALUE"""),0.30604166666666666)</f>
        <v>0.3060416667</v>
      </c>
      <c r="D36" s="54" t="str">
        <f>IFERROR(__xludf.DUMMYFUNCTION("""COMPUTED_VALUE"""),"SpABRM367540")</f>
        <v>SpABRM367540</v>
      </c>
      <c r="E36" s="310"/>
      <c r="F36" s="310"/>
      <c r="G36" s="310" t="str">
        <f>IFERROR(__xludf.DUMMYFUNCTION("""COMPUTED_VALUE"""),"Negative")</f>
        <v>Negative</v>
      </c>
      <c r="H36" s="319" t="str">
        <f>IFERROR(__xludf.DUMMYFUNCTION("""COMPUTED_VALUE"""),"Negative")</f>
        <v>Negative</v>
      </c>
      <c r="I36" s="308">
        <f>IFERROR(__xludf.DUMMYFUNCTION("""COMPUTED_VALUE"""),44813.0)</f>
        <v>44813</v>
      </c>
      <c r="J36" s="311">
        <f>IFERROR(__xludf.DUMMYFUNCTION("""COMPUTED_VALUE"""),0.12103009259259259)</f>
        <v>0.1210300926</v>
      </c>
      <c r="K36" s="54"/>
      <c r="L36" s="7"/>
      <c r="M36" s="312"/>
      <c r="N36" s="172">
        <f>IFERROR(__xludf.DUMMYFUNCTION("""COMPUTED_VALUE"""),3.0)</f>
        <v>3</v>
      </c>
      <c r="O36" s="172" t="str">
        <f t="shared" si="3"/>
        <v/>
      </c>
      <c r="P36" s="313">
        <f>IFERROR(__xludf.DUMMYFUNCTION("""COMPUTED_VALUE"""),1.0)</f>
        <v>1</v>
      </c>
      <c r="Q36" s="76" t="b">
        <f>VLOOKUP($B36,'Run Reconcile'!B$2:O1399,14,FALSE)</f>
        <v>1</v>
      </c>
      <c r="R36" s="314" t="str">
        <f t="array" ref="R36">IF($Q36, INDEX('Run Reconcile'!A$2:A1399,MATCH(B36,'Run Reconcile'!B$2:B1399,0),1),IFERROR(0/0,""))</f>
        <v>RUN-ABRM_2022-09-08_RFR-004</v>
      </c>
      <c r="S36" s="315" t="str">
        <f t="shared" ref="S36:T36" si="76">IF(COUNTIF(W$2:W1399, $A36) &gt; 0,TRUE,IFERROR(0/0,""))</f>
        <v/>
      </c>
      <c r="T36" s="315" t="str">
        <f t="shared" si="76"/>
        <v/>
      </c>
      <c r="U36" s="114" t="str">
        <f t="array" ref="U36">IF(ISBLANK($R36), INDEX('Run Reconcile'!A$2:A1399, MATCH($B36, 'Run Reconcile'!B$2:B1399, 0)+Z36, 1), IFERROR(0/0,""))
</f>
        <v/>
      </c>
      <c r="V36" s="316" t="str">
        <f t="shared" si="5"/>
        <v>RUN-ABRM_2022-09-08_RFR-004</v>
      </c>
      <c r="Y36" s="317" t="str">
        <f t="shared" si="6"/>
        <v/>
      </c>
      <c r="Z36" s="83" t="str">
        <f t="shared" si="7"/>
        <v/>
      </c>
      <c r="AA36" s="83" t="str">
        <f t="shared" si="8"/>
        <v/>
      </c>
      <c r="AB36" s="83" t="str">
        <f t="shared" si="9"/>
        <v/>
      </c>
      <c r="AC36" s="18" t="str">
        <f t="shared" ref="AC36:AD36" si="77">IF(_xlfn.ISFORMULA(S36),IFERROR(0/0,""),TRUE)</f>
        <v/>
      </c>
      <c r="AD36" s="18" t="str">
        <f t="shared" si="77"/>
        <v/>
      </c>
      <c r="AE36" s="43"/>
      <c r="AF36" s="58" t="s">
        <v>31</v>
      </c>
      <c r="AG36" s="55" t="str">
        <f t="shared" si="11"/>
        <v/>
      </c>
    </row>
    <row r="37">
      <c r="A37" s="7" t="str">
        <f>IFERROR(__xludf.DUMMYFUNCTION("""COMPUTED_VALUE"""),"AG2192")</f>
        <v>AG2192</v>
      </c>
      <c r="B37" s="308">
        <f>IFERROR(__xludf.DUMMYFUNCTION("""COMPUTED_VALUE"""),44812.0)</f>
        <v>44812</v>
      </c>
      <c r="C37" s="309">
        <f>IFERROR(__xludf.DUMMYFUNCTION("""COMPUTED_VALUE"""),0.30973379629629627)</f>
        <v>0.3097337963</v>
      </c>
      <c r="D37" s="54" t="str">
        <f>IFERROR(__xludf.DUMMYFUNCTION("""COMPUTED_VALUE"""),"SpABRM454310")</f>
        <v>SpABRM454310</v>
      </c>
      <c r="E37" s="310"/>
      <c r="F37" s="310"/>
      <c r="G37" s="310" t="str">
        <f>IFERROR(__xludf.DUMMYFUNCTION("""COMPUTED_VALUE"""),"Negative")</f>
        <v>Negative</v>
      </c>
      <c r="H37" s="319" t="str">
        <f>IFERROR(__xludf.DUMMYFUNCTION("""COMPUTED_VALUE"""),"Negative")</f>
        <v>Negative</v>
      </c>
      <c r="I37" s="308">
        <f>IFERROR(__xludf.DUMMYFUNCTION("""COMPUTED_VALUE"""),44813.0)</f>
        <v>44813</v>
      </c>
      <c r="J37" s="311">
        <f>IFERROR(__xludf.DUMMYFUNCTION("""COMPUTED_VALUE"""),0.12103009259259259)</f>
        <v>0.1210300926</v>
      </c>
      <c r="K37" s="54"/>
      <c r="L37" s="7"/>
      <c r="M37" s="312"/>
      <c r="N37" s="172">
        <f>IFERROR(__xludf.DUMMYFUNCTION("""COMPUTED_VALUE"""),2.0)</f>
        <v>2</v>
      </c>
      <c r="O37" s="172" t="str">
        <f t="shared" si="3"/>
        <v/>
      </c>
      <c r="P37" s="313">
        <f>IFERROR(__xludf.DUMMYFUNCTION("""COMPUTED_VALUE"""),1.0)</f>
        <v>1</v>
      </c>
      <c r="Q37" s="76" t="b">
        <f>VLOOKUP($B37,'Run Reconcile'!B$2:O1399,14,FALSE)</f>
        <v>1</v>
      </c>
      <c r="R37" s="314" t="str">
        <f t="array" ref="R37">IF($Q37, INDEX('Run Reconcile'!A$2:A1399,MATCH(B37,'Run Reconcile'!B$2:B1399,0),1),IFERROR(0/0,""))</f>
        <v>RUN-ABRM_2022-09-08_RFR-004</v>
      </c>
      <c r="S37" s="315" t="str">
        <f t="shared" ref="S37:T37" si="78">IF(COUNTIF(W$2:W1399, $A37) &gt; 0,TRUE,IFERROR(0/0,""))</f>
        <v/>
      </c>
      <c r="T37" s="315" t="str">
        <f t="shared" si="78"/>
        <v/>
      </c>
      <c r="U37" s="114" t="str">
        <f t="array" ref="U37">IF(ISBLANK($R37), INDEX('Run Reconcile'!A$2:A1399, MATCH($B37, 'Run Reconcile'!B$2:B1399, 0)+Z37, 1), IFERROR(0/0,""))
</f>
        <v/>
      </c>
      <c r="V37" s="316" t="str">
        <f t="shared" si="5"/>
        <v>RUN-ABRM_2022-09-08_RFR-004</v>
      </c>
      <c r="Y37" s="317" t="str">
        <f t="shared" si="6"/>
        <v/>
      </c>
      <c r="Z37" s="83" t="str">
        <f t="shared" si="7"/>
        <v/>
      </c>
      <c r="AA37" s="83" t="str">
        <f t="shared" si="8"/>
        <v/>
      </c>
      <c r="AB37" s="83" t="str">
        <f t="shared" si="9"/>
        <v/>
      </c>
      <c r="AC37" s="18" t="str">
        <f t="shared" ref="AC37:AD37" si="79">IF(_xlfn.ISFORMULA(S37),IFERROR(0/0,""),TRUE)</f>
        <v/>
      </c>
      <c r="AD37" s="18" t="str">
        <f t="shared" si="79"/>
        <v/>
      </c>
      <c r="AE37" s="43"/>
      <c r="AF37" s="58" t="s">
        <v>31</v>
      </c>
      <c r="AG37" s="55" t="str">
        <f t="shared" si="11"/>
        <v/>
      </c>
    </row>
    <row r="38">
      <c r="A38" s="7" t="str">
        <f>IFERROR(__xludf.DUMMYFUNCTION("""COMPUTED_VALUE"""),"AH8930")</f>
        <v>AH8930</v>
      </c>
      <c r="B38" s="308">
        <f>IFERROR(__xludf.DUMMYFUNCTION("""COMPUTED_VALUE"""),44812.0)</f>
        <v>44812</v>
      </c>
      <c r="C38" s="309">
        <f>IFERROR(__xludf.DUMMYFUNCTION("""COMPUTED_VALUE"""),0.3197337962962963)</f>
        <v>0.3197337963</v>
      </c>
      <c r="D38" s="54" t="str">
        <f>IFERROR(__xludf.DUMMYFUNCTION("""COMPUTED_VALUE"""),"SpABRM655136")</f>
        <v>SpABRM655136</v>
      </c>
      <c r="E38" s="310"/>
      <c r="F38" s="310"/>
      <c r="G38" s="310" t="str">
        <f>IFERROR(__xludf.DUMMYFUNCTION("""COMPUTED_VALUE"""),"Negative")</f>
        <v>Negative</v>
      </c>
      <c r="H38" s="319" t="str">
        <f>IFERROR(__xludf.DUMMYFUNCTION("""COMPUTED_VALUE"""),"Negative")</f>
        <v>Negative</v>
      </c>
      <c r="I38" s="308">
        <f>IFERROR(__xludf.DUMMYFUNCTION("""COMPUTED_VALUE"""),44813.0)</f>
        <v>44813</v>
      </c>
      <c r="J38" s="311">
        <f>IFERROR(__xludf.DUMMYFUNCTION("""COMPUTED_VALUE"""),0.12103009259259259)</f>
        <v>0.1210300926</v>
      </c>
      <c r="K38" s="54"/>
      <c r="L38" s="7"/>
      <c r="M38" s="312"/>
      <c r="N38" s="172">
        <f>IFERROR(__xludf.DUMMYFUNCTION("""COMPUTED_VALUE"""),1.0)</f>
        <v>1</v>
      </c>
      <c r="O38" s="172" t="str">
        <f t="shared" si="3"/>
        <v/>
      </c>
      <c r="P38" s="313">
        <f>IFERROR(__xludf.DUMMYFUNCTION("""COMPUTED_VALUE"""),1.0)</f>
        <v>1</v>
      </c>
      <c r="Q38" s="76" t="b">
        <f>VLOOKUP($B38,'Run Reconcile'!B$2:O1399,14,FALSE)</f>
        <v>1</v>
      </c>
      <c r="R38" s="314" t="str">
        <f t="array" ref="R38">IF($Q38, INDEX('Run Reconcile'!A$2:A1399,MATCH(B38,'Run Reconcile'!B$2:B1399,0),1),IFERROR(0/0,""))</f>
        <v>RUN-ABRM_2022-09-08_RFR-004</v>
      </c>
      <c r="S38" s="315" t="str">
        <f t="shared" ref="S38:T38" si="80">IF(COUNTIF(W$2:W1399, $A38) &gt; 0,TRUE,IFERROR(0/0,""))</f>
        <v/>
      </c>
      <c r="T38" s="315" t="str">
        <f t="shared" si="80"/>
        <v/>
      </c>
      <c r="U38" s="114" t="str">
        <f t="array" ref="U38">IF(ISBLANK($R38), INDEX('Run Reconcile'!A$2:A1399, MATCH($B38, 'Run Reconcile'!B$2:B1399, 0)+Z38, 1), IFERROR(0/0,""))
</f>
        <v/>
      </c>
      <c r="V38" s="316" t="str">
        <f t="shared" si="5"/>
        <v>RUN-ABRM_2022-09-08_RFR-004</v>
      </c>
      <c r="Y38" s="317" t="str">
        <f t="shared" si="6"/>
        <v/>
      </c>
      <c r="Z38" s="83" t="str">
        <f t="shared" si="7"/>
        <v/>
      </c>
      <c r="AA38" s="83" t="str">
        <f t="shared" si="8"/>
        <v/>
      </c>
      <c r="AB38" s="83" t="str">
        <f t="shared" si="9"/>
        <v/>
      </c>
      <c r="AC38" s="18" t="str">
        <f t="shared" ref="AC38:AD38" si="81">IF(_xlfn.ISFORMULA(S38),IFERROR(0/0,""),TRUE)</f>
        <v/>
      </c>
      <c r="AD38" s="18" t="str">
        <f t="shared" si="81"/>
        <v/>
      </c>
      <c r="AE38" s="43"/>
      <c r="AF38" s="58" t="s">
        <v>31</v>
      </c>
      <c r="AG38" s="55" t="str">
        <f t="shared" si="11"/>
        <v/>
      </c>
    </row>
    <row r="39">
      <c r="A39" s="7" t="str">
        <f>IFERROR(__xludf.DUMMYFUNCTION("""COMPUTED_VALUE"""),"AH8554")</f>
        <v>AH8554</v>
      </c>
      <c r="B39" s="308">
        <f>IFERROR(__xludf.DUMMYFUNCTION("""COMPUTED_VALUE"""),44812.0)</f>
        <v>44812</v>
      </c>
      <c r="C39" s="309">
        <f>IFERROR(__xludf.DUMMYFUNCTION("""COMPUTED_VALUE"""),0.32104166666666667)</f>
        <v>0.3210416667</v>
      </c>
      <c r="D39" s="54" t="str">
        <f>IFERROR(__xludf.DUMMYFUNCTION("""COMPUTED_VALUE"""),"SpABRM655136")</f>
        <v>SpABRM655136</v>
      </c>
      <c r="E39" s="310"/>
      <c r="F39" s="310"/>
      <c r="G39" s="310" t="str">
        <f>IFERROR(__xludf.DUMMYFUNCTION("""COMPUTED_VALUE"""),"Negative")</f>
        <v>Negative</v>
      </c>
      <c r="H39" s="319" t="str">
        <f>IFERROR(__xludf.DUMMYFUNCTION("""COMPUTED_VALUE"""),"Negative")</f>
        <v>Negative</v>
      </c>
      <c r="I39" s="308">
        <f>IFERROR(__xludf.DUMMYFUNCTION("""COMPUTED_VALUE"""),44813.0)</f>
        <v>44813</v>
      </c>
      <c r="J39" s="311">
        <f>IFERROR(__xludf.DUMMYFUNCTION("""COMPUTED_VALUE"""),0.12104166666666667)</f>
        <v>0.1210416667</v>
      </c>
      <c r="K39" s="54"/>
      <c r="L39" s="7"/>
      <c r="M39" s="312"/>
      <c r="N39" s="172">
        <f>IFERROR(__xludf.DUMMYFUNCTION("""COMPUTED_VALUE"""),2.0)</f>
        <v>2</v>
      </c>
      <c r="O39" s="172" t="str">
        <f t="shared" si="3"/>
        <v/>
      </c>
      <c r="P39" s="313">
        <f>IFERROR(__xludf.DUMMYFUNCTION("""COMPUTED_VALUE"""),1.0)</f>
        <v>1</v>
      </c>
      <c r="Q39" s="76" t="b">
        <f>VLOOKUP($B39,'Run Reconcile'!B$2:O1399,14,FALSE)</f>
        <v>1</v>
      </c>
      <c r="R39" s="314" t="str">
        <f t="array" ref="R39">IF($Q39, INDEX('Run Reconcile'!A$2:A1399,MATCH(B39,'Run Reconcile'!B$2:B1399,0),1),IFERROR(0/0,""))</f>
        <v>RUN-ABRM_2022-09-08_RFR-004</v>
      </c>
      <c r="S39" s="315" t="str">
        <f t="shared" ref="S39:T39" si="82">IF(COUNTIF(W$2:W1399, $A39) &gt; 0,TRUE,IFERROR(0/0,""))</f>
        <v/>
      </c>
      <c r="T39" s="315" t="str">
        <f t="shared" si="82"/>
        <v/>
      </c>
      <c r="U39" s="114" t="str">
        <f t="array" ref="U39">IF(ISBLANK($R39), INDEX('Run Reconcile'!A$2:A1399, MATCH($B39, 'Run Reconcile'!B$2:B1399, 0)+Z39, 1), IFERROR(0/0,""))
</f>
        <v/>
      </c>
      <c r="V39" s="316" t="str">
        <f t="shared" si="5"/>
        <v>RUN-ABRM_2022-09-08_RFR-004</v>
      </c>
      <c r="Y39" s="317" t="str">
        <f t="shared" si="6"/>
        <v/>
      </c>
      <c r="Z39" s="83" t="str">
        <f t="shared" si="7"/>
        <v/>
      </c>
      <c r="AA39" s="83" t="str">
        <f t="shared" si="8"/>
        <v/>
      </c>
      <c r="AB39" s="83" t="str">
        <f t="shared" si="9"/>
        <v/>
      </c>
      <c r="AC39" s="18" t="str">
        <f t="shared" ref="AC39:AD39" si="83">IF(_xlfn.ISFORMULA(S39),IFERROR(0/0,""),TRUE)</f>
        <v/>
      </c>
      <c r="AD39" s="18" t="str">
        <f t="shared" si="83"/>
        <v/>
      </c>
      <c r="AE39" s="43"/>
      <c r="AF39" s="58" t="s">
        <v>31</v>
      </c>
      <c r="AG39" s="55" t="str">
        <f t="shared" si="11"/>
        <v/>
      </c>
    </row>
    <row r="40">
      <c r="A40" s="7" t="str">
        <f>IFERROR(__xludf.DUMMYFUNCTION("""COMPUTED_VALUE"""),"AG1115")</f>
        <v>AG1115</v>
      </c>
      <c r="B40" s="308">
        <f>IFERROR(__xludf.DUMMYFUNCTION("""COMPUTED_VALUE"""),44812.0)</f>
        <v>44812</v>
      </c>
      <c r="C40" s="309">
        <f>IFERROR(__xludf.DUMMYFUNCTION("""COMPUTED_VALUE"""),0.41913194444444446)</f>
        <v>0.4191319444</v>
      </c>
      <c r="D40" s="54" t="str">
        <f>IFERROR(__xludf.DUMMYFUNCTION("""COMPUTED_VALUE"""),"SpABRM655136")</f>
        <v>SpABRM655136</v>
      </c>
      <c r="E40" s="310"/>
      <c r="F40" s="310"/>
      <c r="G40" s="310" t="str">
        <f>IFERROR(__xludf.DUMMYFUNCTION("""COMPUTED_VALUE"""),"Negative")</f>
        <v>Negative</v>
      </c>
      <c r="H40" s="319" t="str">
        <f>IFERROR(__xludf.DUMMYFUNCTION("""COMPUTED_VALUE"""),"Negative")</f>
        <v>Negative</v>
      </c>
      <c r="I40" s="308">
        <f>IFERROR(__xludf.DUMMYFUNCTION("""COMPUTED_VALUE"""),44813.0)</f>
        <v>44813</v>
      </c>
      <c r="J40" s="311">
        <f>IFERROR(__xludf.DUMMYFUNCTION("""COMPUTED_VALUE"""),0.12104166666666667)</f>
        <v>0.1210416667</v>
      </c>
      <c r="K40" s="54"/>
      <c r="L40" s="7"/>
      <c r="M40" s="312"/>
      <c r="N40" s="172">
        <f>IFERROR(__xludf.DUMMYFUNCTION("""COMPUTED_VALUE"""),1.0)</f>
        <v>1</v>
      </c>
      <c r="O40" s="172" t="str">
        <f t="shared" si="3"/>
        <v/>
      </c>
      <c r="P40" s="313">
        <f>IFERROR(__xludf.DUMMYFUNCTION("""COMPUTED_VALUE"""),1.0)</f>
        <v>1</v>
      </c>
      <c r="Q40" s="76" t="b">
        <f>VLOOKUP($B40,'Run Reconcile'!B$2:O1399,14,FALSE)</f>
        <v>1</v>
      </c>
      <c r="R40" s="314" t="str">
        <f t="array" ref="R40">IF($Q40, INDEX('Run Reconcile'!A$2:A1399,MATCH(B40,'Run Reconcile'!B$2:B1399,0),1),IFERROR(0/0,""))</f>
        <v>RUN-ABRM_2022-09-08_RFR-004</v>
      </c>
      <c r="S40" s="315" t="str">
        <f t="shared" ref="S40:T40" si="84">IF(COUNTIF(W$2:W1399, $A40) &gt; 0,TRUE,IFERROR(0/0,""))</f>
        <v/>
      </c>
      <c r="T40" s="315" t="str">
        <f t="shared" si="84"/>
        <v/>
      </c>
      <c r="U40" s="114" t="str">
        <f t="array" ref="U40">IF(ISBLANK($R40), INDEX('Run Reconcile'!A$2:A1399, MATCH($B40, 'Run Reconcile'!B$2:B1399, 0)+Z40, 1), IFERROR(0/0,""))
</f>
        <v/>
      </c>
      <c r="V40" s="316" t="str">
        <f t="shared" si="5"/>
        <v>RUN-ABRM_2022-09-08_RFR-004</v>
      </c>
      <c r="Y40" s="317" t="str">
        <f t="shared" si="6"/>
        <v/>
      </c>
      <c r="Z40" s="83" t="str">
        <f t="shared" si="7"/>
        <v/>
      </c>
      <c r="AA40" s="83" t="str">
        <f t="shared" si="8"/>
        <v/>
      </c>
      <c r="AB40" s="83" t="str">
        <f t="shared" si="9"/>
        <v/>
      </c>
      <c r="AC40" s="18" t="str">
        <f t="shared" ref="AC40:AD40" si="85">IF(_xlfn.ISFORMULA(S40),IFERROR(0/0,""),TRUE)</f>
        <v/>
      </c>
      <c r="AD40" s="18" t="str">
        <f t="shared" si="85"/>
        <v/>
      </c>
      <c r="AE40" s="43"/>
      <c r="AF40" s="58" t="s">
        <v>31</v>
      </c>
      <c r="AG40" s="55" t="str">
        <f t="shared" si="11"/>
        <v/>
      </c>
    </row>
    <row r="41">
      <c r="A41" s="7" t="str">
        <f>IFERROR(__xludf.DUMMYFUNCTION("""COMPUTED_VALUE"""),"AG1508")</f>
        <v>AG1508</v>
      </c>
      <c r="B41" s="308">
        <f>IFERROR(__xludf.DUMMYFUNCTION("""COMPUTED_VALUE"""),44812.0)</f>
        <v>44812</v>
      </c>
      <c r="C41" s="309">
        <f>IFERROR(__xludf.DUMMYFUNCTION("""COMPUTED_VALUE"""),0.41961805555555554)</f>
        <v>0.4196180556</v>
      </c>
      <c r="D41" s="54" t="str">
        <f>IFERROR(__xludf.DUMMYFUNCTION("""COMPUTED_VALUE"""),"SpABRM655136")</f>
        <v>SpABRM655136</v>
      </c>
      <c r="E41" s="310"/>
      <c r="F41" s="310"/>
      <c r="G41" s="310" t="str">
        <f>IFERROR(__xludf.DUMMYFUNCTION("""COMPUTED_VALUE"""),"Negative")</f>
        <v>Negative</v>
      </c>
      <c r="H41" s="319" t="str">
        <f>IFERROR(__xludf.DUMMYFUNCTION("""COMPUTED_VALUE"""),"Negative")</f>
        <v>Negative</v>
      </c>
      <c r="I41" s="308">
        <f>IFERROR(__xludf.DUMMYFUNCTION("""COMPUTED_VALUE"""),44813.0)</f>
        <v>44813</v>
      </c>
      <c r="J41" s="311">
        <f>IFERROR(__xludf.DUMMYFUNCTION("""COMPUTED_VALUE"""),0.12104166666666667)</f>
        <v>0.1210416667</v>
      </c>
      <c r="K41" s="54"/>
      <c r="L41" s="7"/>
      <c r="M41" s="312"/>
      <c r="N41" s="172">
        <f>IFERROR(__xludf.DUMMYFUNCTION("""COMPUTED_VALUE"""),2.0)</f>
        <v>2</v>
      </c>
      <c r="O41" s="172" t="str">
        <f t="shared" si="3"/>
        <v/>
      </c>
      <c r="P41" s="313">
        <f>IFERROR(__xludf.DUMMYFUNCTION("""COMPUTED_VALUE"""),1.0)</f>
        <v>1</v>
      </c>
      <c r="Q41" s="76" t="b">
        <f>VLOOKUP($B41,'Run Reconcile'!B$2:O1399,14,FALSE)</f>
        <v>1</v>
      </c>
      <c r="R41" s="314" t="str">
        <f t="array" ref="R41">IF($Q41, INDEX('Run Reconcile'!A$2:A1399,MATCH(B41,'Run Reconcile'!B$2:B1399,0),1),IFERROR(0/0,""))</f>
        <v>RUN-ABRM_2022-09-08_RFR-004</v>
      </c>
      <c r="S41" s="315" t="str">
        <f t="shared" ref="S41:T41" si="86">IF(COUNTIF(W$2:W1399, $A41) &gt; 0,TRUE,IFERROR(0/0,""))</f>
        <v/>
      </c>
      <c r="T41" s="315" t="str">
        <f t="shared" si="86"/>
        <v/>
      </c>
      <c r="U41" s="114" t="str">
        <f t="array" ref="U41">IF(ISBLANK($R41), INDEX('Run Reconcile'!A$2:A1399, MATCH($B41, 'Run Reconcile'!B$2:B1399, 0)+Z41, 1), IFERROR(0/0,""))
</f>
        <v/>
      </c>
      <c r="V41" s="316" t="str">
        <f t="shared" si="5"/>
        <v>RUN-ABRM_2022-09-08_RFR-004</v>
      </c>
      <c r="Y41" s="317" t="str">
        <f t="shared" si="6"/>
        <v/>
      </c>
      <c r="Z41" s="83" t="str">
        <f t="shared" si="7"/>
        <v/>
      </c>
      <c r="AA41" s="83" t="str">
        <f t="shared" si="8"/>
        <v/>
      </c>
      <c r="AB41" s="83" t="str">
        <f t="shared" si="9"/>
        <v/>
      </c>
      <c r="AC41" s="18" t="str">
        <f t="shared" ref="AC41:AD41" si="87">IF(_xlfn.ISFORMULA(S41),IFERROR(0/0,""),TRUE)</f>
        <v/>
      </c>
      <c r="AD41" s="18" t="str">
        <f t="shared" si="87"/>
        <v/>
      </c>
      <c r="AE41" s="43"/>
      <c r="AF41" s="58" t="s">
        <v>31</v>
      </c>
      <c r="AG41" s="55" t="str">
        <f t="shared" si="11"/>
        <v/>
      </c>
    </row>
    <row r="42">
      <c r="A42" s="7" t="str">
        <f>IFERROR(__xludf.DUMMYFUNCTION("""COMPUTED_VALUE"""),"AG805")</f>
        <v>AG805</v>
      </c>
      <c r="B42" s="308">
        <f>IFERROR(__xludf.DUMMYFUNCTION("""COMPUTED_VALUE"""),44812.0)</f>
        <v>44812</v>
      </c>
      <c r="C42" s="309">
        <f>IFERROR(__xludf.DUMMYFUNCTION("""COMPUTED_VALUE"""),0.4200347222222222)</f>
        <v>0.4200347222</v>
      </c>
      <c r="D42" s="54" t="str">
        <f>IFERROR(__xludf.DUMMYFUNCTION("""COMPUTED_VALUE"""),"SpABRM655136")</f>
        <v>SpABRM655136</v>
      </c>
      <c r="E42" s="310"/>
      <c r="F42" s="310"/>
      <c r="G42" s="310" t="str">
        <f>IFERROR(__xludf.DUMMYFUNCTION("""COMPUTED_VALUE"""),"Negative")</f>
        <v>Negative</v>
      </c>
      <c r="H42" s="319" t="str">
        <f>IFERROR(__xludf.DUMMYFUNCTION("""COMPUTED_VALUE"""),"Negative")</f>
        <v>Negative</v>
      </c>
      <c r="I42" s="308">
        <f>IFERROR(__xludf.DUMMYFUNCTION("""COMPUTED_VALUE"""),44813.0)</f>
        <v>44813</v>
      </c>
      <c r="J42" s="311">
        <f>IFERROR(__xludf.DUMMYFUNCTION("""COMPUTED_VALUE"""),0.12104166666666667)</f>
        <v>0.1210416667</v>
      </c>
      <c r="K42" s="54"/>
      <c r="L42" s="7"/>
      <c r="M42" s="312"/>
      <c r="N42" s="172">
        <f>IFERROR(__xludf.DUMMYFUNCTION("""COMPUTED_VALUE"""),2.0)</f>
        <v>2</v>
      </c>
      <c r="O42" s="172" t="str">
        <f t="shared" si="3"/>
        <v/>
      </c>
      <c r="P42" s="313">
        <f>IFERROR(__xludf.DUMMYFUNCTION("""COMPUTED_VALUE"""),1.0)</f>
        <v>1</v>
      </c>
      <c r="Q42" s="76" t="b">
        <f>VLOOKUP($B42,'Run Reconcile'!B$2:O1399,14,FALSE)</f>
        <v>1</v>
      </c>
      <c r="R42" s="314" t="str">
        <f t="array" ref="R42">IF($Q42, INDEX('Run Reconcile'!A$2:A1399,MATCH(B42,'Run Reconcile'!B$2:B1399,0),1),IFERROR(0/0,""))</f>
        <v>RUN-ABRM_2022-09-08_RFR-004</v>
      </c>
      <c r="S42" s="315" t="str">
        <f t="shared" ref="S42:T42" si="88">IF(COUNTIF(W$2:W1399, $A42) &gt; 0,TRUE,IFERROR(0/0,""))</f>
        <v/>
      </c>
      <c r="T42" s="315" t="str">
        <f t="shared" si="88"/>
        <v/>
      </c>
      <c r="U42" s="114" t="str">
        <f t="array" ref="U42">IF(ISBLANK($R42), INDEX('Run Reconcile'!A$2:A1399, MATCH($B42, 'Run Reconcile'!B$2:B1399, 0)+Z42, 1), IFERROR(0/0,""))
</f>
        <v/>
      </c>
      <c r="V42" s="316" t="str">
        <f t="shared" si="5"/>
        <v>RUN-ABRM_2022-09-08_RFR-004</v>
      </c>
      <c r="Y42" s="317" t="str">
        <f t="shared" si="6"/>
        <v/>
      </c>
      <c r="Z42" s="83" t="str">
        <f t="shared" si="7"/>
        <v/>
      </c>
      <c r="AA42" s="83" t="str">
        <f t="shared" si="8"/>
        <v/>
      </c>
      <c r="AB42" s="83" t="str">
        <f t="shared" si="9"/>
        <v/>
      </c>
      <c r="AC42" s="18" t="str">
        <f t="shared" ref="AC42:AD42" si="89">IF(_xlfn.ISFORMULA(S42),IFERROR(0/0,""),TRUE)</f>
        <v/>
      </c>
      <c r="AD42" s="18" t="str">
        <f t="shared" si="89"/>
        <v/>
      </c>
      <c r="AE42" s="43"/>
      <c r="AF42" s="58" t="s">
        <v>31</v>
      </c>
      <c r="AG42" s="55" t="str">
        <f t="shared" si="11"/>
        <v/>
      </c>
    </row>
    <row r="43">
      <c r="A43" s="7" t="str">
        <f>IFERROR(__xludf.DUMMYFUNCTION("""COMPUTED_VALUE"""),"AG763")</f>
        <v>AG763</v>
      </c>
      <c r="B43" s="308">
        <f>IFERROR(__xludf.DUMMYFUNCTION("""COMPUTED_VALUE"""),44813.0)</f>
        <v>44813</v>
      </c>
      <c r="C43" s="309">
        <f>IFERROR(__xludf.DUMMYFUNCTION("""COMPUTED_VALUE"""),0.23739583333333333)</f>
        <v>0.2373958333</v>
      </c>
      <c r="D43" s="54" t="str">
        <f>IFERROR(__xludf.DUMMYFUNCTION("""COMPUTED_VALUE"""),"SpABRM756011")</f>
        <v>SpABRM756011</v>
      </c>
      <c r="E43" s="310"/>
      <c r="F43" s="310"/>
      <c r="G43" s="310" t="str">
        <f>IFERROR(__xludf.DUMMYFUNCTION("""COMPUTED_VALUE"""),"Negative")</f>
        <v>Negative</v>
      </c>
      <c r="H43" s="319" t="str">
        <f>IFERROR(__xludf.DUMMYFUNCTION("""COMPUTED_VALUE"""),"Negative")</f>
        <v>Negative</v>
      </c>
      <c r="I43" s="308">
        <f>IFERROR(__xludf.DUMMYFUNCTION("""COMPUTED_VALUE"""),44813.0)</f>
        <v>44813</v>
      </c>
      <c r="J43" s="311">
        <f>IFERROR(__xludf.DUMMYFUNCTION("""COMPUTED_VALUE"""),0.6069328703703704)</f>
        <v>0.6069328704</v>
      </c>
      <c r="K43" s="54"/>
      <c r="L43" s="7"/>
      <c r="M43" s="312"/>
      <c r="N43" s="172">
        <f>IFERROR(__xludf.DUMMYFUNCTION("""COMPUTED_VALUE"""),3.0)</f>
        <v>3</v>
      </c>
      <c r="O43" s="172" t="b">
        <f t="shared" si="3"/>
        <v>1</v>
      </c>
      <c r="P43" s="313">
        <f>IFERROR(__xludf.DUMMYFUNCTION("""COMPUTED_VALUE"""),0.0)</f>
        <v>0</v>
      </c>
      <c r="Q43" s="76" t="b">
        <f>VLOOKUP($B43,'Run Reconcile'!B$2:O1399,14,FALSE)</f>
        <v>1</v>
      </c>
      <c r="R43" s="314" t="str">
        <f t="array" ref="R43">IF($Q43, INDEX('Run Reconcile'!A$2:A1399,MATCH(B43,'Run Reconcile'!B$2:B1399,0),1),IFERROR(0/0,""))</f>
        <v>RUN-ABRM_2022-09-09_RFR-006</v>
      </c>
      <c r="S43" s="315" t="str">
        <f t="shared" ref="S43:T43" si="90">IF(COUNTIF(W$2:W1399, $A43) &gt; 0,TRUE,IFERROR(0/0,""))</f>
        <v/>
      </c>
      <c r="T43" s="315" t="str">
        <f t="shared" si="90"/>
        <v/>
      </c>
      <c r="U43" s="114" t="str">
        <f t="array" ref="U43">IF(ISBLANK($R43), INDEX('Run Reconcile'!A$2:A1399, MATCH($B43, 'Run Reconcile'!B$2:B1399, 0)+Z43, 1), IFERROR(0/0,""))
</f>
        <v/>
      </c>
      <c r="V43" s="316" t="str">
        <f t="shared" si="5"/>
        <v>RUN-ABRM_2022-09-09_RFR-006</v>
      </c>
      <c r="Y43" s="317" t="str">
        <f t="shared" si="6"/>
        <v/>
      </c>
      <c r="Z43" s="83" t="str">
        <f t="shared" si="7"/>
        <v/>
      </c>
      <c r="AA43" s="83" t="str">
        <f t="shared" si="8"/>
        <v/>
      </c>
      <c r="AB43" s="83" t="str">
        <f t="shared" si="9"/>
        <v/>
      </c>
      <c r="AC43" s="18" t="str">
        <f t="shared" ref="AC43:AD43" si="91">IF(_xlfn.ISFORMULA(S43),IFERROR(0/0,""),TRUE)</f>
        <v/>
      </c>
      <c r="AD43" s="18" t="str">
        <f t="shared" si="91"/>
        <v/>
      </c>
      <c r="AE43" s="43"/>
      <c r="AF43" s="58" t="s">
        <v>32</v>
      </c>
      <c r="AG43" s="55" t="str">
        <f t="shared" si="11"/>
        <v/>
      </c>
    </row>
    <row r="44">
      <c r="A44" s="7" t="str">
        <f>IFERROR(__xludf.DUMMYFUNCTION("""COMPUTED_VALUE"""),"AG1200")</f>
        <v>AG1200</v>
      </c>
      <c r="B44" s="308">
        <f>IFERROR(__xludf.DUMMYFUNCTION("""COMPUTED_VALUE"""),44813.0)</f>
        <v>44813</v>
      </c>
      <c r="C44" s="309">
        <f>IFERROR(__xludf.DUMMYFUNCTION("""COMPUTED_VALUE"""),0.28572916666666665)</f>
        <v>0.2857291667</v>
      </c>
      <c r="D44" s="54" t="str">
        <f>IFERROR(__xludf.DUMMYFUNCTION("""COMPUTED_VALUE"""),"SpABRM128250")</f>
        <v>SpABRM128250</v>
      </c>
      <c r="E44" s="310"/>
      <c r="F44" s="310"/>
      <c r="G44" s="310" t="str">
        <f>IFERROR(__xludf.DUMMYFUNCTION("""COMPUTED_VALUE"""),"Negative")</f>
        <v>Negative</v>
      </c>
      <c r="H44" s="319" t="str">
        <f>IFERROR(__xludf.DUMMYFUNCTION("""COMPUTED_VALUE"""),"Negative")</f>
        <v>Negative</v>
      </c>
      <c r="I44" s="308">
        <f>IFERROR(__xludf.DUMMYFUNCTION("""COMPUTED_VALUE"""),44813.0)</f>
        <v>44813</v>
      </c>
      <c r="J44" s="311">
        <f>IFERROR(__xludf.DUMMYFUNCTION("""COMPUTED_VALUE"""),0.6069328703703704)</f>
        <v>0.6069328704</v>
      </c>
      <c r="K44" s="54"/>
      <c r="L44" s="7"/>
      <c r="M44" s="312"/>
      <c r="N44" s="172">
        <f>IFERROR(__xludf.DUMMYFUNCTION("""COMPUTED_VALUE"""),3.0)</f>
        <v>3</v>
      </c>
      <c r="O44" s="172" t="str">
        <f t="shared" si="3"/>
        <v/>
      </c>
      <c r="P44" s="313">
        <f>IFERROR(__xludf.DUMMYFUNCTION("""COMPUTED_VALUE"""),0.0)</f>
        <v>0</v>
      </c>
      <c r="Q44" s="76" t="b">
        <f>VLOOKUP($B44,'Run Reconcile'!B$2:O1399,14,FALSE)</f>
        <v>1</v>
      </c>
      <c r="R44" s="314" t="str">
        <f t="array" ref="R44">IF($Q44, INDEX('Run Reconcile'!A$2:A1399,MATCH(B44,'Run Reconcile'!B$2:B1399,0),1),IFERROR(0/0,""))</f>
        <v>RUN-ABRM_2022-09-09_RFR-006</v>
      </c>
      <c r="S44" s="315" t="str">
        <f t="shared" ref="S44:T44" si="92">IF(COUNTIF(W$2:W1399, $A44) &gt; 0,TRUE,IFERROR(0/0,""))</f>
        <v/>
      </c>
      <c r="T44" s="315" t="str">
        <f t="shared" si="92"/>
        <v/>
      </c>
      <c r="U44" s="114" t="str">
        <f t="array" ref="U44">IF(ISBLANK($R44), INDEX('Run Reconcile'!A$2:A1399, MATCH($B44, 'Run Reconcile'!B$2:B1399, 0)+Z44, 1), IFERROR(0/0,""))
</f>
        <v/>
      </c>
      <c r="V44" s="316" t="str">
        <f t="shared" si="5"/>
        <v>RUN-ABRM_2022-09-09_RFR-006</v>
      </c>
      <c r="Y44" s="317" t="str">
        <f t="shared" si="6"/>
        <v/>
      </c>
      <c r="Z44" s="83" t="str">
        <f t="shared" si="7"/>
        <v/>
      </c>
      <c r="AA44" s="83" t="str">
        <f t="shared" si="8"/>
        <v/>
      </c>
      <c r="AB44" s="83" t="str">
        <f t="shared" si="9"/>
        <v/>
      </c>
      <c r="AC44" s="18" t="str">
        <f t="shared" ref="AC44:AD44" si="93">IF(_xlfn.ISFORMULA(S44),IFERROR(0/0,""),TRUE)</f>
        <v/>
      </c>
      <c r="AD44" s="18" t="str">
        <f t="shared" si="93"/>
        <v/>
      </c>
      <c r="AE44" s="43"/>
      <c r="AF44" s="58" t="s">
        <v>32</v>
      </c>
      <c r="AG44" s="55" t="str">
        <f t="shared" si="11"/>
        <v/>
      </c>
    </row>
    <row r="45">
      <c r="A45" s="7" t="str">
        <f>IFERROR(__xludf.DUMMYFUNCTION("""COMPUTED_VALUE"""),"AG1215")</f>
        <v>AG1215</v>
      </c>
      <c r="B45" s="308">
        <f>IFERROR(__xludf.DUMMYFUNCTION("""COMPUTED_VALUE"""),44813.0)</f>
        <v>44813</v>
      </c>
      <c r="C45" s="309">
        <f>IFERROR(__xludf.DUMMYFUNCTION("""COMPUTED_VALUE"""),0.28711805555555553)</f>
        <v>0.2871180556</v>
      </c>
      <c r="D45" s="54" t="str">
        <f>IFERROR(__xludf.DUMMYFUNCTION("""COMPUTED_VALUE"""),"SpABRM297307")</f>
        <v>SpABRM297307</v>
      </c>
      <c r="E45" s="310"/>
      <c r="F45" s="310"/>
      <c r="G45" s="310" t="str">
        <f>IFERROR(__xludf.DUMMYFUNCTION("""COMPUTED_VALUE"""),"Negative")</f>
        <v>Negative</v>
      </c>
      <c r="H45" s="319" t="str">
        <f>IFERROR(__xludf.DUMMYFUNCTION("""COMPUTED_VALUE"""),"Negative")</f>
        <v>Negative</v>
      </c>
      <c r="I45" s="308">
        <f>IFERROR(__xludf.DUMMYFUNCTION("""COMPUTED_VALUE"""),44813.0)</f>
        <v>44813</v>
      </c>
      <c r="J45" s="311">
        <f>IFERROR(__xludf.DUMMYFUNCTION("""COMPUTED_VALUE"""),0.6069328703703704)</f>
        <v>0.6069328704</v>
      </c>
      <c r="K45" s="54"/>
      <c r="L45" s="7"/>
      <c r="M45" s="312"/>
      <c r="N45" s="172">
        <f>IFERROR(__xludf.DUMMYFUNCTION("""COMPUTED_VALUE"""),3.0)</f>
        <v>3</v>
      </c>
      <c r="O45" s="172" t="str">
        <f t="shared" si="3"/>
        <v/>
      </c>
      <c r="P45" s="313">
        <f>IFERROR(__xludf.DUMMYFUNCTION("""COMPUTED_VALUE"""),0.0)</f>
        <v>0</v>
      </c>
      <c r="Q45" s="76" t="b">
        <f>VLOOKUP($B45,'Run Reconcile'!B$2:O1399,14,FALSE)</f>
        <v>1</v>
      </c>
      <c r="R45" s="314" t="str">
        <f t="array" ref="R45">IF($Q45, INDEX('Run Reconcile'!A$2:A1399,MATCH(B45,'Run Reconcile'!B$2:B1399,0),1),IFERROR(0/0,""))</f>
        <v>RUN-ABRM_2022-09-09_RFR-006</v>
      </c>
      <c r="S45" s="315" t="str">
        <f t="shared" ref="S45:T45" si="94">IF(COUNTIF(W$2:W1399, $A45) &gt; 0,TRUE,IFERROR(0/0,""))</f>
        <v/>
      </c>
      <c r="T45" s="315" t="str">
        <f t="shared" si="94"/>
        <v/>
      </c>
      <c r="U45" s="114" t="str">
        <f t="array" ref="U45">IF(ISBLANK($R45), INDEX('Run Reconcile'!A$2:A1399, MATCH($B45, 'Run Reconcile'!B$2:B1399, 0)+Z45, 1), IFERROR(0/0,""))
</f>
        <v/>
      </c>
      <c r="V45" s="316" t="str">
        <f t="shared" si="5"/>
        <v>RUN-ABRM_2022-09-09_RFR-006</v>
      </c>
      <c r="Y45" s="317" t="str">
        <f t="shared" si="6"/>
        <v/>
      </c>
      <c r="Z45" s="83" t="str">
        <f t="shared" si="7"/>
        <v/>
      </c>
      <c r="AA45" s="83" t="str">
        <f t="shared" si="8"/>
        <v/>
      </c>
      <c r="AB45" s="83" t="str">
        <f t="shared" si="9"/>
        <v/>
      </c>
      <c r="AC45" s="18" t="str">
        <f t="shared" ref="AC45:AD45" si="95">IF(_xlfn.ISFORMULA(S45),IFERROR(0/0,""),TRUE)</f>
        <v/>
      </c>
      <c r="AD45" s="18" t="str">
        <f t="shared" si="95"/>
        <v/>
      </c>
      <c r="AE45" s="43"/>
      <c r="AF45" s="58" t="s">
        <v>32</v>
      </c>
      <c r="AG45" s="55" t="str">
        <f t="shared" si="11"/>
        <v/>
      </c>
    </row>
    <row r="46">
      <c r="A46" s="7" t="str">
        <f>IFERROR(__xludf.DUMMYFUNCTION("""COMPUTED_VALUE"""),"AG2189")</f>
        <v>AG2189</v>
      </c>
      <c r="B46" s="308">
        <f>IFERROR(__xludf.DUMMYFUNCTION("""COMPUTED_VALUE"""),44813.0)</f>
        <v>44813</v>
      </c>
      <c r="C46" s="309">
        <f>IFERROR(__xludf.DUMMYFUNCTION("""COMPUTED_VALUE"""),0.2924537037037037)</f>
        <v>0.2924537037</v>
      </c>
      <c r="D46" s="54" t="str">
        <f>IFERROR(__xludf.DUMMYFUNCTION("""COMPUTED_VALUE"""),"SpABRM367540")</f>
        <v>SpABRM367540</v>
      </c>
      <c r="E46" s="310"/>
      <c r="F46" s="310"/>
      <c r="G46" s="310" t="str">
        <f>IFERROR(__xludf.DUMMYFUNCTION("""COMPUTED_VALUE"""),"Negative")</f>
        <v>Negative</v>
      </c>
      <c r="H46" s="319" t="str">
        <f>IFERROR(__xludf.DUMMYFUNCTION("""COMPUTED_VALUE"""),"Negative")</f>
        <v>Negative</v>
      </c>
      <c r="I46" s="308">
        <f>IFERROR(__xludf.DUMMYFUNCTION("""COMPUTED_VALUE"""),44813.0)</f>
        <v>44813</v>
      </c>
      <c r="J46" s="311">
        <f>IFERROR(__xludf.DUMMYFUNCTION("""COMPUTED_VALUE"""),0.6069444444444444)</f>
        <v>0.6069444444</v>
      </c>
      <c r="K46" s="54"/>
      <c r="L46" s="7"/>
      <c r="M46" s="312"/>
      <c r="N46" s="172">
        <f>IFERROR(__xludf.DUMMYFUNCTION("""COMPUTED_VALUE"""),3.0)</f>
        <v>3</v>
      </c>
      <c r="O46" s="172" t="str">
        <f t="shared" si="3"/>
        <v/>
      </c>
      <c r="P46" s="313">
        <f>IFERROR(__xludf.DUMMYFUNCTION("""COMPUTED_VALUE"""),0.0)</f>
        <v>0</v>
      </c>
      <c r="Q46" s="76" t="b">
        <f>VLOOKUP($B46,'Run Reconcile'!B$2:O1399,14,FALSE)</f>
        <v>1</v>
      </c>
      <c r="R46" s="314" t="str">
        <f t="array" ref="R46">IF($Q46, INDEX('Run Reconcile'!A$2:A1399,MATCH(B46,'Run Reconcile'!B$2:B1399,0),1),IFERROR(0/0,""))</f>
        <v>RUN-ABRM_2022-09-09_RFR-006</v>
      </c>
      <c r="S46" s="315" t="str">
        <f t="shared" ref="S46:T46" si="96">IF(COUNTIF(W$2:W1399, $A46) &gt; 0,TRUE,IFERROR(0/0,""))</f>
        <v/>
      </c>
      <c r="T46" s="315" t="str">
        <f t="shared" si="96"/>
        <v/>
      </c>
      <c r="U46" s="114" t="str">
        <f t="array" ref="U46">IF(ISBLANK($R46), INDEX('Run Reconcile'!A$2:A1399, MATCH($B46, 'Run Reconcile'!B$2:B1399, 0)+Z46, 1), IFERROR(0/0,""))
</f>
        <v/>
      </c>
      <c r="V46" s="316" t="str">
        <f t="shared" si="5"/>
        <v>RUN-ABRM_2022-09-09_RFR-006</v>
      </c>
      <c r="Y46" s="317" t="str">
        <f t="shared" si="6"/>
        <v/>
      </c>
      <c r="Z46" s="83" t="str">
        <f t="shared" si="7"/>
        <v/>
      </c>
      <c r="AA46" s="83" t="str">
        <f t="shared" si="8"/>
        <v/>
      </c>
      <c r="AB46" s="83" t="str">
        <f t="shared" si="9"/>
        <v/>
      </c>
      <c r="AC46" s="18" t="str">
        <f t="shared" ref="AC46:AD46" si="97">IF(_xlfn.ISFORMULA(S46),IFERROR(0/0,""),TRUE)</f>
        <v/>
      </c>
      <c r="AD46" s="18" t="str">
        <f t="shared" si="97"/>
        <v/>
      </c>
      <c r="AE46" s="43"/>
      <c r="AF46" s="58" t="s">
        <v>32</v>
      </c>
      <c r="AG46" s="55" t="str">
        <f t="shared" si="11"/>
        <v/>
      </c>
    </row>
    <row r="47">
      <c r="A47" s="7" t="str">
        <f>IFERROR(__xludf.DUMMYFUNCTION("""COMPUTED_VALUE"""),"AG304")</f>
        <v>AG304</v>
      </c>
      <c r="B47" s="308">
        <f>IFERROR(__xludf.DUMMYFUNCTION("""COMPUTED_VALUE"""),44813.0)</f>
        <v>44813</v>
      </c>
      <c r="C47" s="309">
        <f>IFERROR(__xludf.DUMMYFUNCTION("""COMPUTED_VALUE"""),0.31202546296296296)</f>
        <v>0.312025463</v>
      </c>
      <c r="D47" s="54" t="str">
        <f>IFERROR(__xludf.DUMMYFUNCTION("""COMPUTED_VALUE"""),"SpABRM188986")</f>
        <v>SpABRM188986</v>
      </c>
      <c r="E47" s="310"/>
      <c r="F47" s="310"/>
      <c r="G47" s="310" t="str">
        <f>IFERROR(__xludf.DUMMYFUNCTION("""COMPUTED_VALUE"""),"Negative")</f>
        <v>Negative</v>
      </c>
      <c r="H47" s="319" t="str">
        <f>IFERROR(__xludf.DUMMYFUNCTION("""COMPUTED_VALUE"""),"Negative")</f>
        <v>Negative</v>
      </c>
      <c r="I47" s="308">
        <f>IFERROR(__xludf.DUMMYFUNCTION("""COMPUTED_VALUE"""),44813.0)</f>
        <v>44813</v>
      </c>
      <c r="J47" s="311">
        <f>IFERROR(__xludf.DUMMYFUNCTION("""COMPUTED_VALUE"""),0.6069444444444444)</f>
        <v>0.6069444444</v>
      </c>
      <c r="K47" s="54"/>
      <c r="L47" s="7"/>
      <c r="M47" s="312"/>
      <c r="N47" s="172">
        <f>IFERROR(__xludf.DUMMYFUNCTION("""COMPUTED_VALUE"""),1.0)</f>
        <v>1</v>
      </c>
      <c r="O47" s="172" t="str">
        <f t="shared" si="3"/>
        <v/>
      </c>
      <c r="P47" s="313">
        <f>IFERROR(__xludf.DUMMYFUNCTION("""COMPUTED_VALUE"""),0.0)</f>
        <v>0</v>
      </c>
      <c r="Q47" s="76" t="b">
        <f>VLOOKUP($B47,'Run Reconcile'!B$2:O1399,14,FALSE)</f>
        <v>1</v>
      </c>
      <c r="R47" s="314" t="str">
        <f t="array" ref="R47">IF($Q47, INDEX('Run Reconcile'!A$2:A1399,MATCH(B47,'Run Reconcile'!B$2:B1399,0),1),IFERROR(0/0,""))</f>
        <v>RUN-ABRM_2022-09-09_RFR-006</v>
      </c>
      <c r="S47" s="315" t="str">
        <f t="shared" ref="S47:T47" si="98">IF(COUNTIF(W$2:W1399, $A47) &gt; 0,TRUE,IFERROR(0/0,""))</f>
        <v/>
      </c>
      <c r="T47" s="315" t="str">
        <f t="shared" si="98"/>
        <v/>
      </c>
      <c r="U47" s="114" t="str">
        <f t="array" ref="U47">IF(ISBLANK($R47), INDEX('Run Reconcile'!A$2:A1399, MATCH($B47, 'Run Reconcile'!B$2:B1399, 0)+Z47, 1), IFERROR(0/0,""))
</f>
        <v/>
      </c>
      <c r="V47" s="316" t="str">
        <f t="shared" si="5"/>
        <v>RUN-ABRM_2022-09-09_RFR-006</v>
      </c>
      <c r="Y47" s="317" t="str">
        <f t="shared" si="6"/>
        <v/>
      </c>
      <c r="Z47" s="83" t="str">
        <f t="shared" si="7"/>
        <v/>
      </c>
      <c r="AA47" s="83" t="str">
        <f t="shared" si="8"/>
        <v/>
      </c>
      <c r="AB47" s="83" t="str">
        <f t="shared" si="9"/>
        <v/>
      </c>
      <c r="AC47" s="18" t="str">
        <f t="shared" ref="AC47:AD47" si="99">IF(_xlfn.ISFORMULA(S47),IFERROR(0/0,""),TRUE)</f>
        <v/>
      </c>
      <c r="AD47" s="18" t="str">
        <f t="shared" si="99"/>
        <v/>
      </c>
      <c r="AE47" s="43"/>
      <c r="AF47" s="58" t="s">
        <v>32</v>
      </c>
      <c r="AG47" s="55" t="str">
        <f t="shared" si="11"/>
        <v/>
      </c>
    </row>
    <row r="48">
      <c r="A48" s="7" t="str">
        <f>IFERROR(__xludf.DUMMYFUNCTION("""COMPUTED_VALUE"""),"AK5961")</f>
        <v>AK5961</v>
      </c>
      <c r="B48" s="308">
        <f>IFERROR(__xludf.DUMMYFUNCTION("""COMPUTED_VALUE"""),44813.0)</f>
        <v>44813</v>
      </c>
      <c r="C48" s="309">
        <f>IFERROR(__xludf.DUMMYFUNCTION("""COMPUTED_VALUE"""),0.31451388888888887)</f>
        <v>0.3145138889</v>
      </c>
      <c r="D48" s="54" t="str">
        <f>IFERROR(__xludf.DUMMYFUNCTION("""COMPUTED_VALUE"""),"SpABRM655136")</f>
        <v>SpABRM655136</v>
      </c>
      <c r="E48" s="310"/>
      <c r="F48" s="310"/>
      <c r="G48" s="310" t="str">
        <f>IFERROR(__xludf.DUMMYFUNCTION("""COMPUTED_VALUE"""),"Negative")</f>
        <v>Negative</v>
      </c>
      <c r="H48" s="319" t="str">
        <f>IFERROR(__xludf.DUMMYFUNCTION("""COMPUTED_VALUE"""),"Negative")</f>
        <v>Negative</v>
      </c>
      <c r="I48" s="308">
        <f>IFERROR(__xludf.DUMMYFUNCTION("""COMPUTED_VALUE"""),44813.0)</f>
        <v>44813</v>
      </c>
      <c r="J48" s="311">
        <f>IFERROR(__xludf.DUMMYFUNCTION("""COMPUTED_VALUE"""),0.6069444444444444)</f>
        <v>0.6069444444</v>
      </c>
      <c r="K48" s="54"/>
      <c r="L48" s="7"/>
      <c r="M48" s="312"/>
      <c r="N48" s="172">
        <f>IFERROR(__xludf.DUMMYFUNCTION("""COMPUTED_VALUE"""),1.0)</f>
        <v>1</v>
      </c>
      <c r="O48" s="172" t="str">
        <f t="shared" si="3"/>
        <v/>
      </c>
      <c r="P48" s="313">
        <f>IFERROR(__xludf.DUMMYFUNCTION("""COMPUTED_VALUE"""),0.0)</f>
        <v>0</v>
      </c>
      <c r="Q48" s="76" t="b">
        <f>VLOOKUP($B48,'Run Reconcile'!B$2:O1399,14,FALSE)</f>
        <v>1</v>
      </c>
      <c r="R48" s="314" t="str">
        <f t="array" ref="R48">IF($Q48, INDEX('Run Reconcile'!A$2:A1399,MATCH(B48,'Run Reconcile'!B$2:B1399,0),1),IFERROR(0/0,""))</f>
        <v>RUN-ABRM_2022-09-09_RFR-006</v>
      </c>
      <c r="S48" s="315" t="str">
        <f t="shared" ref="S48:T48" si="100">IF(COUNTIF(W$2:W1399, $A48) &gt; 0,TRUE,IFERROR(0/0,""))</f>
        <v/>
      </c>
      <c r="T48" s="315" t="str">
        <f t="shared" si="100"/>
        <v/>
      </c>
      <c r="U48" s="114" t="str">
        <f t="array" ref="U48">IF(ISBLANK($R48), INDEX('Run Reconcile'!A$2:A1399, MATCH($B48, 'Run Reconcile'!B$2:B1399, 0)+Z48, 1), IFERROR(0/0,""))
</f>
        <v/>
      </c>
      <c r="V48" s="316" t="str">
        <f t="shared" si="5"/>
        <v>RUN-ABRM_2022-09-09_RFR-006</v>
      </c>
      <c r="Y48" s="317" t="str">
        <f t="shared" si="6"/>
        <v/>
      </c>
      <c r="Z48" s="83" t="str">
        <f t="shared" si="7"/>
        <v/>
      </c>
      <c r="AA48" s="83" t="str">
        <f t="shared" si="8"/>
        <v/>
      </c>
      <c r="AB48" s="83" t="str">
        <f t="shared" si="9"/>
        <v/>
      </c>
      <c r="AC48" s="18" t="str">
        <f t="shared" ref="AC48:AD48" si="101">IF(_xlfn.ISFORMULA(S48),IFERROR(0/0,""),TRUE)</f>
        <v/>
      </c>
      <c r="AD48" s="18" t="str">
        <f t="shared" si="101"/>
        <v/>
      </c>
      <c r="AE48" s="43"/>
      <c r="AF48" s="58" t="s">
        <v>32</v>
      </c>
      <c r="AG48" s="55" t="str">
        <f t="shared" si="11"/>
        <v/>
      </c>
    </row>
    <row r="49">
      <c r="A49" s="7" t="str">
        <f>IFERROR(__xludf.DUMMYFUNCTION("""COMPUTED_VALUE"""),"AG2194")</f>
        <v>AG2194</v>
      </c>
      <c r="B49" s="308">
        <f>IFERROR(__xludf.DUMMYFUNCTION("""COMPUTED_VALUE"""),44813.0)</f>
        <v>44813</v>
      </c>
      <c r="C49" s="309">
        <f>IFERROR(__xludf.DUMMYFUNCTION("""COMPUTED_VALUE"""),0.3168287037037037)</f>
        <v>0.3168287037</v>
      </c>
      <c r="D49" s="54" t="str">
        <f>IFERROR(__xludf.DUMMYFUNCTION("""COMPUTED_VALUE"""),"SpABRM655136")</f>
        <v>SpABRM655136</v>
      </c>
      <c r="E49" s="310"/>
      <c r="F49" s="310"/>
      <c r="G49" s="310" t="str">
        <f>IFERROR(__xludf.DUMMYFUNCTION("""COMPUTED_VALUE"""),"Negative")</f>
        <v>Negative</v>
      </c>
      <c r="H49" s="319" t="str">
        <f>IFERROR(__xludf.DUMMYFUNCTION("""COMPUTED_VALUE"""),"Negative")</f>
        <v>Negative</v>
      </c>
      <c r="I49" s="308">
        <f>IFERROR(__xludf.DUMMYFUNCTION("""COMPUTED_VALUE"""),44813.0)</f>
        <v>44813</v>
      </c>
      <c r="J49" s="311">
        <f>IFERROR(__xludf.DUMMYFUNCTION("""COMPUTED_VALUE"""),0.6069444444444444)</f>
        <v>0.6069444444</v>
      </c>
      <c r="K49" s="54"/>
      <c r="L49" s="7"/>
      <c r="M49" s="312"/>
      <c r="N49" s="172">
        <f>IFERROR(__xludf.DUMMYFUNCTION("""COMPUTED_VALUE"""),1.0)</f>
        <v>1</v>
      </c>
      <c r="O49" s="172" t="str">
        <f t="shared" si="3"/>
        <v/>
      </c>
      <c r="P49" s="313">
        <f>IFERROR(__xludf.DUMMYFUNCTION("""COMPUTED_VALUE"""),0.0)</f>
        <v>0</v>
      </c>
      <c r="Q49" s="76" t="b">
        <f>VLOOKUP($B49,'Run Reconcile'!B$2:O1399,14,FALSE)</f>
        <v>1</v>
      </c>
      <c r="R49" s="314" t="str">
        <f t="array" ref="R49">IF($Q49, INDEX('Run Reconcile'!A$2:A1399,MATCH(B49,'Run Reconcile'!B$2:B1399,0),1),IFERROR(0/0,""))</f>
        <v>RUN-ABRM_2022-09-09_RFR-006</v>
      </c>
      <c r="S49" s="315" t="str">
        <f t="shared" ref="S49:T49" si="102">IF(COUNTIF(W$2:W1399, $A49) &gt; 0,TRUE,IFERROR(0/0,""))</f>
        <v/>
      </c>
      <c r="T49" s="315" t="str">
        <f t="shared" si="102"/>
        <v/>
      </c>
      <c r="U49" s="114" t="str">
        <f t="array" ref="U49">IF(ISBLANK($R49), INDEX('Run Reconcile'!A$2:A1399, MATCH($B49, 'Run Reconcile'!B$2:B1399, 0)+Z49, 1), IFERROR(0/0,""))
</f>
        <v/>
      </c>
      <c r="V49" s="316" t="str">
        <f t="shared" si="5"/>
        <v>RUN-ABRM_2022-09-09_RFR-006</v>
      </c>
      <c r="Y49" s="317" t="str">
        <f t="shared" si="6"/>
        <v/>
      </c>
      <c r="Z49" s="83" t="str">
        <f t="shared" si="7"/>
        <v/>
      </c>
      <c r="AA49" s="83" t="str">
        <f t="shared" si="8"/>
        <v/>
      </c>
      <c r="AB49" s="83" t="str">
        <f t="shared" si="9"/>
        <v/>
      </c>
      <c r="AC49" s="18" t="str">
        <f t="shared" ref="AC49:AD49" si="103">IF(_xlfn.ISFORMULA(S49),IFERROR(0/0,""),TRUE)</f>
        <v/>
      </c>
      <c r="AD49" s="18" t="str">
        <f t="shared" si="103"/>
        <v/>
      </c>
      <c r="AE49" s="43"/>
      <c r="AF49" s="58" t="s">
        <v>32</v>
      </c>
      <c r="AG49" s="55" t="str">
        <f t="shared" si="11"/>
        <v/>
      </c>
    </row>
    <row r="50">
      <c r="A50" s="7" t="str">
        <f>IFERROR(__xludf.DUMMYFUNCTION("""COMPUTED_VALUE"""),"AH9650")</f>
        <v>AH9650</v>
      </c>
      <c r="B50" s="308">
        <f>IFERROR(__xludf.DUMMYFUNCTION("""COMPUTED_VALUE"""),44813.0)</f>
        <v>44813</v>
      </c>
      <c r="C50" s="309">
        <f>IFERROR(__xludf.DUMMYFUNCTION("""COMPUTED_VALUE"""),0.33877314814814813)</f>
        <v>0.3387731481</v>
      </c>
      <c r="D50" s="54" t="str">
        <f>IFERROR(__xludf.DUMMYFUNCTION("""COMPUTED_VALUE"""),"SpABRM652382")</f>
        <v>SpABRM652382</v>
      </c>
      <c r="E50" s="310"/>
      <c r="F50" s="310"/>
      <c r="G50" s="310" t="str">
        <f>IFERROR(__xludf.DUMMYFUNCTION("""COMPUTED_VALUE"""),"Negative")</f>
        <v>Negative</v>
      </c>
      <c r="H50" s="319" t="str">
        <f>IFERROR(__xludf.DUMMYFUNCTION("""COMPUTED_VALUE"""),"Negative")</f>
        <v>Negative</v>
      </c>
      <c r="I50" s="308">
        <f>IFERROR(__xludf.DUMMYFUNCTION("""COMPUTED_VALUE"""),44813.0)</f>
        <v>44813</v>
      </c>
      <c r="J50" s="311">
        <f>IFERROR(__xludf.DUMMYFUNCTION("""COMPUTED_VALUE"""),0.6069560185185185)</f>
        <v>0.6069560185</v>
      </c>
      <c r="K50" s="54"/>
      <c r="L50" s="7"/>
      <c r="M50" s="312"/>
      <c r="N50" s="172">
        <f>IFERROR(__xludf.DUMMYFUNCTION("""COMPUTED_VALUE"""),2.0)</f>
        <v>2</v>
      </c>
      <c r="O50" s="172" t="str">
        <f t="shared" si="3"/>
        <v/>
      </c>
      <c r="P50" s="313">
        <f>IFERROR(__xludf.DUMMYFUNCTION("""COMPUTED_VALUE"""),0.0)</f>
        <v>0</v>
      </c>
      <c r="Q50" s="76" t="b">
        <f>VLOOKUP($B50,'Run Reconcile'!B$2:O1399,14,FALSE)</f>
        <v>1</v>
      </c>
      <c r="R50" s="314" t="str">
        <f t="array" ref="R50">IF($Q50, INDEX('Run Reconcile'!A$2:A1399,MATCH(B50,'Run Reconcile'!B$2:B1399,0),1),IFERROR(0/0,""))</f>
        <v>RUN-ABRM_2022-09-09_RFR-006</v>
      </c>
      <c r="S50" s="315" t="str">
        <f t="shared" ref="S50:T50" si="104">IF(COUNTIF(W$2:W1399, $A50) &gt; 0,TRUE,IFERROR(0/0,""))</f>
        <v/>
      </c>
      <c r="T50" s="315" t="str">
        <f t="shared" si="104"/>
        <v/>
      </c>
      <c r="U50" s="114" t="str">
        <f t="array" ref="U50">IF(ISBLANK($R50), INDEX('Run Reconcile'!A$2:A1399, MATCH($B50, 'Run Reconcile'!B$2:B1399, 0)+Z50, 1), IFERROR(0/0,""))
</f>
        <v/>
      </c>
      <c r="V50" s="316" t="str">
        <f t="shared" si="5"/>
        <v>RUN-ABRM_2022-09-09_RFR-006</v>
      </c>
      <c r="Y50" s="317" t="str">
        <f t="shared" si="6"/>
        <v/>
      </c>
      <c r="Z50" s="83" t="str">
        <f t="shared" si="7"/>
        <v/>
      </c>
      <c r="AA50" s="83" t="str">
        <f t="shared" si="8"/>
        <v/>
      </c>
      <c r="AB50" s="83" t="str">
        <f t="shared" si="9"/>
        <v/>
      </c>
      <c r="AC50" s="18" t="str">
        <f t="shared" ref="AC50:AD50" si="105">IF(_xlfn.ISFORMULA(S50),IFERROR(0/0,""),TRUE)</f>
        <v/>
      </c>
      <c r="AD50" s="18" t="str">
        <f t="shared" si="105"/>
        <v/>
      </c>
      <c r="AE50" s="43"/>
      <c r="AF50" s="58" t="s">
        <v>32</v>
      </c>
      <c r="AG50" s="55" t="str">
        <f t="shared" si="11"/>
        <v/>
      </c>
    </row>
    <row r="51">
      <c r="A51" s="7" t="str">
        <f>IFERROR(__xludf.DUMMYFUNCTION("""COMPUTED_VALUE"""),"AH7760")</f>
        <v>AH7760</v>
      </c>
      <c r="B51" s="308">
        <f>IFERROR(__xludf.DUMMYFUNCTION("""COMPUTED_VALUE"""),44813.0)</f>
        <v>44813</v>
      </c>
      <c r="C51" s="309">
        <f>IFERROR(__xludf.DUMMYFUNCTION("""COMPUTED_VALUE"""),0.37788194444444445)</f>
        <v>0.3778819444</v>
      </c>
      <c r="D51" s="54" t="str">
        <f>IFERROR(__xludf.DUMMYFUNCTION("""COMPUTED_VALUE"""),"SpABRM655136")</f>
        <v>SpABRM655136</v>
      </c>
      <c r="E51" s="310"/>
      <c r="F51" s="310"/>
      <c r="G51" s="310" t="str">
        <f>IFERROR(__xludf.DUMMYFUNCTION("""COMPUTED_VALUE"""),"Negative")</f>
        <v>Negative</v>
      </c>
      <c r="H51" s="319" t="str">
        <f>IFERROR(__xludf.DUMMYFUNCTION("""COMPUTED_VALUE"""),"Negative")</f>
        <v>Negative</v>
      </c>
      <c r="I51" s="308">
        <f>IFERROR(__xludf.DUMMYFUNCTION("""COMPUTED_VALUE"""),44813.0)</f>
        <v>44813</v>
      </c>
      <c r="J51" s="311">
        <f>IFERROR(__xludf.DUMMYFUNCTION("""COMPUTED_VALUE"""),0.6069560185185185)</f>
        <v>0.6069560185</v>
      </c>
      <c r="K51" s="54"/>
      <c r="L51" s="7"/>
      <c r="M51" s="312"/>
      <c r="N51" s="172">
        <f>IFERROR(__xludf.DUMMYFUNCTION("""COMPUTED_VALUE"""),3.0)</f>
        <v>3</v>
      </c>
      <c r="O51" s="172" t="str">
        <f t="shared" si="3"/>
        <v/>
      </c>
      <c r="P51" s="313">
        <f>IFERROR(__xludf.DUMMYFUNCTION("""COMPUTED_VALUE"""),0.0)</f>
        <v>0</v>
      </c>
      <c r="Q51" s="76" t="b">
        <f>VLOOKUP($B51,'Run Reconcile'!B$2:O1399,14,FALSE)</f>
        <v>1</v>
      </c>
      <c r="R51" s="314" t="str">
        <f t="array" ref="R51">IF($Q51, INDEX('Run Reconcile'!A$2:A1399,MATCH(B51,'Run Reconcile'!B$2:B1399,0),1),IFERROR(0/0,""))</f>
        <v>RUN-ABRM_2022-09-09_RFR-006</v>
      </c>
      <c r="S51" s="315" t="str">
        <f t="shared" ref="S51:T51" si="106">IF(COUNTIF(W$2:W1399, $A51) &gt; 0,TRUE,IFERROR(0/0,""))</f>
        <v/>
      </c>
      <c r="T51" s="315" t="str">
        <f t="shared" si="106"/>
        <v/>
      </c>
      <c r="U51" s="114" t="str">
        <f t="array" ref="U51">IF(ISBLANK($R51), INDEX('Run Reconcile'!A$2:A1399, MATCH($B51, 'Run Reconcile'!B$2:B1399, 0)+Z51, 1), IFERROR(0/0,""))
</f>
        <v/>
      </c>
      <c r="V51" s="316" t="str">
        <f t="shared" si="5"/>
        <v>RUN-ABRM_2022-09-09_RFR-006</v>
      </c>
      <c r="Y51" s="317" t="str">
        <f t="shared" si="6"/>
        <v/>
      </c>
      <c r="Z51" s="83" t="str">
        <f t="shared" si="7"/>
        <v/>
      </c>
      <c r="AA51" s="83" t="str">
        <f t="shared" si="8"/>
        <v/>
      </c>
      <c r="AB51" s="83" t="str">
        <f t="shared" si="9"/>
        <v/>
      </c>
      <c r="AC51" s="18" t="str">
        <f t="shared" ref="AC51:AD51" si="107">IF(_xlfn.ISFORMULA(S51),IFERROR(0/0,""),TRUE)</f>
        <v/>
      </c>
      <c r="AD51" s="18" t="str">
        <f t="shared" si="107"/>
        <v/>
      </c>
      <c r="AE51" s="43"/>
      <c r="AF51" s="58" t="s">
        <v>32</v>
      </c>
      <c r="AG51" s="55" t="str">
        <f t="shared" si="11"/>
        <v/>
      </c>
    </row>
    <row r="52">
      <c r="A52" s="7" t="str">
        <f>IFERROR(__xludf.DUMMYFUNCTION("""COMPUTED_VALUE"""),"AG1883")</f>
        <v>AG1883</v>
      </c>
      <c r="B52" s="308">
        <f>IFERROR(__xludf.DUMMYFUNCTION("""COMPUTED_VALUE"""),44813.0)</f>
        <v>44813</v>
      </c>
      <c r="C52" s="309">
        <f>IFERROR(__xludf.DUMMYFUNCTION("""COMPUTED_VALUE"""),0.3783449074074074)</f>
        <v>0.3783449074</v>
      </c>
      <c r="D52" s="54" t="str">
        <f>IFERROR(__xludf.DUMMYFUNCTION("""COMPUTED_VALUE"""),"SpABRM655136")</f>
        <v>SpABRM655136</v>
      </c>
      <c r="E52" s="310"/>
      <c r="F52" s="310"/>
      <c r="G52" s="310" t="str">
        <f>IFERROR(__xludf.DUMMYFUNCTION("""COMPUTED_VALUE"""),"Negative")</f>
        <v>Negative</v>
      </c>
      <c r="H52" s="319" t="str">
        <f>IFERROR(__xludf.DUMMYFUNCTION("""COMPUTED_VALUE"""),"Negative")</f>
        <v>Negative</v>
      </c>
      <c r="I52" s="308">
        <f>IFERROR(__xludf.DUMMYFUNCTION("""COMPUTED_VALUE"""),44813.0)</f>
        <v>44813</v>
      </c>
      <c r="J52" s="311">
        <f>IFERROR(__xludf.DUMMYFUNCTION("""COMPUTED_VALUE"""),0.6069560185185185)</f>
        <v>0.6069560185</v>
      </c>
      <c r="K52" s="54"/>
      <c r="L52" s="7"/>
      <c r="M52" s="312"/>
      <c r="N52" s="172">
        <f>IFERROR(__xludf.DUMMYFUNCTION("""COMPUTED_VALUE"""),2.0)</f>
        <v>2</v>
      </c>
      <c r="O52" s="172" t="str">
        <f t="shared" si="3"/>
        <v/>
      </c>
      <c r="P52" s="313">
        <f>IFERROR(__xludf.DUMMYFUNCTION("""COMPUTED_VALUE"""),0.0)</f>
        <v>0</v>
      </c>
      <c r="Q52" s="76" t="b">
        <f>VLOOKUP($B52,'Run Reconcile'!B$2:O1399,14,FALSE)</f>
        <v>1</v>
      </c>
      <c r="R52" s="314" t="str">
        <f t="array" ref="R52">IF($Q52, INDEX('Run Reconcile'!A$2:A1399,MATCH(B52,'Run Reconcile'!B$2:B1399,0),1),IFERROR(0/0,""))</f>
        <v>RUN-ABRM_2022-09-09_RFR-006</v>
      </c>
      <c r="S52" s="315" t="str">
        <f t="shared" ref="S52:T52" si="108">IF(COUNTIF(W$2:W1399, $A52) &gt; 0,TRUE,IFERROR(0/0,""))</f>
        <v/>
      </c>
      <c r="T52" s="315" t="str">
        <f t="shared" si="108"/>
        <v/>
      </c>
      <c r="U52" s="114" t="str">
        <f t="array" ref="U52">IF(ISBLANK($R52), INDEX('Run Reconcile'!A$2:A1399, MATCH($B52, 'Run Reconcile'!B$2:B1399, 0)+Z52, 1), IFERROR(0/0,""))
</f>
        <v/>
      </c>
      <c r="V52" s="316" t="str">
        <f t="shared" si="5"/>
        <v>RUN-ABRM_2022-09-09_RFR-006</v>
      </c>
      <c r="Y52" s="317" t="str">
        <f t="shared" si="6"/>
        <v/>
      </c>
      <c r="Z52" s="83" t="str">
        <f t="shared" si="7"/>
        <v/>
      </c>
      <c r="AA52" s="83" t="str">
        <f t="shared" si="8"/>
        <v/>
      </c>
      <c r="AB52" s="83" t="str">
        <f t="shared" si="9"/>
        <v/>
      </c>
      <c r="AC52" s="18" t="str">
        <f t="shared" ref="AC52:AD52" si="109">IF(_xlfn.ISFORMULA(S52),IFERROR(0/0,""),TRUE)</f>
        <v/>
      </c>
      <c r="AD52" s="18" t="str">
        <f t="shared" si="109"/>
        <v/>
      </c>
      <c r="AE52" s="43"/>
      <c r="AF52" s="58" t="s">
        <v>32</v>
      </c>
      <c r="AG52" s="55" t="str">
        <f t="shared" si="11"/>
        <v/>
      </c>
    </row>
    <row r="53">
      <c r="A53" s="7" t="str">
        <f>IFERROR(__xludf.DUMMYFUNCTION("""COMPUTED_VALUE"""),"AG2204")</f>
        <v>AG2204</v>
      </c>
      <c r="B53" s="308">
        <f>IFERROR(__xludf.DUMMYFUNCTION("""COMPUTED_VALUE"""),44813.0)</f>
        <v>44813</v>
      </c>
      <c r="C53" s="309">
        <f>IFERROR(__xludf.DUMMYFUNCTION("""COMPUTED_VALUE"""),0.37862268518518516)</f>
        <v>0.3786226852</v>
      </c>
      <c r="D53" s="54" t="str">
        <f>IFERROR(__xludf.DUMMYFUNCTION("""COMPUTED_VALUE"""),"SpABRM655136")</f>
        <v>SpABRM655136</v>
      </c>
      <c r="E53" s="310"/>
      <c r="F53" s="310"/>
      <c r="G53" s="310" t="str">
        <f>IFERROR(__xludf.DUMMYFUNCTION("""COMPUTED_VALUE"""),"Negative")</f>
        <v>Negative</v>
      </c>
      <c r="H53" s="319" t="str">
        <f>IFERROR(__xludf.DUMMYFUNCTION("""COMPUTED_VALUE"""),"Negative")</f>
        <v>Negative</v>
      </c>
      <c r="I53" s="308">
        <f>IFERROR(__xludf.DUMMYFUNCTION("""COMPUTED_VALUE"""),44813.0)</f>
        <v>44813</v>
      </c>
      <c r="J53" s="311">
        <f>IFERROR(__xludf.DUMMYFUNCTION("""COMPUTED_VALUE"""),0.6069560185185185)</f>
        <v>0.6069560185</v>
      </c>
      <c r="K53" s="54"/>
      <c r="L53" s="7"/>
      <c r="M53" s="312"/>
      <c r="N53" s="172">
        <f>IFERROR(__xludf.DUMMYFUNCTION("""COMPUTED_VALUE"""),1.0)</f>
        <v>1</v>
      </c>
      <c r="O53" s="172" t="str">
        <f t="shared" si="3"/>
        <v/>
      </c>
      <c r="P53" s="313">
        <f>IFERROR(__xludf.DUMMYFUNCTION("""COMPUTED_VALUE"""),0.0)</f>
        <v>0</v>
      </c>
      <c r="Q53" s="76" t="b">
        <f>VLOOKUP($B53,'Run Reconcile'!B$2:O1399,14,FALSE)</f>
        <v>1</v>
      </c>
      <c r="R53" s="314" t="str">
        <f t="array" ref="R53">IF($Q53, INDEX('Run Reconcile'!A$2:A1399,MATCH(B53,'Run Reconcile'!B$2:B1399,0),1),IFERROR(0/0,""))</f>
        <v>RUN-ABRM_2022-09-09_RFR-006</v>
      </c>
      <c r="S53" s="315" t="str">
        <f t="shared" ref="S53:T53" si="110">IF(COUNTIF(W$2:W1399, $A53) &gt; 0,TRUE,IFERROR(0/0,""))</f>
        <v/>
      </c>
      <c r="T53" s="315" t="str">
        <f t="shared" si="110"/>
        <v/>
      </c>
      <c r="U53" s="114" t="str">
        <f t="array" ref="U53">IF(ISBLANK($R53), INDEX('Run Reconcile'!A$2:A1399, MATCH($B53, 'Run Reconcile'!B$2:B1399, 0)+Z53, 1), IFERROR(0/0,""))
</f>
        <v/>
      </c>
      <c r="V53" s="316" t="str">
        <f t="shared" si="5"/>
        <v>RUN-ABRM_2022-09-09_RFR-006</v>
      </c>
      <c r="Y53" s="317" t="str">
        <f t="shared" si="6"/>
        <v/>
      </c>
      <c r="Z53" s="83" t="str">
        <f t="shared" si="7"/>
        <v/>
      </c>
      <c r="AA53" s="83" t="str">
        <f t="shared" si="8"/>
        <v/>
      </c>
      <c r="AB53" s="83" t="str">
        <f t="shared" si="9"/>
        <v/>
      </c>
      <c r="AC53" s="18" t="str">
        <f t="shared" ref="AC53:AD53" si="111">IF(_xlfn.ISFORMULA(S53),IFERROR(0/0,""),TRUE)</f>
        <v/>
      </c>
      <c r="AD53" s="18" t="str">
        <f t="shared" si="111"/>
        <v/>
      </c>
      <c r="AE53" s="43"/>
      <c r="AF53" s="58" t="s">
        <v>32</v>
      </c>
      <c r="AG53" s="55" t="str">
        <f t="shared" si="11"/>
        <v/>
      </c>
    </row>
    <row r="54">
      <c r="A54" s="7" t="str">
        <f>IFERROR(__xludf.DUMMYFUNCTION("""COMPUTED_VALUE"""),"AG1074")</f>
        <v>AG1074</v>
      </c>
      <c r="B54" s="308">
        <f>IFERROR(__xludf.DUMMYFUNCTION("""COMPUTED_VALUE"""),44814.0)</f>
        <v>44814</v>
      </c>
      <c r="C54" s="309">
        <f>IFERROR(__xludf.DUMMYFUNCTION("""COMPUTED_VALUE"""),0.22677083333333334)</f>
        <v>0.2267708333</v>
      </c>
      <c r="D54" s="54" t="str">
        <f>IFERROR(__xludf.DUMMYFUNCTION("""COMPUTED_VALUE"""),"SpABRM188986")</f>
        <v>SpABRM188986</v>
      </c>
      <c r="E54" s="310"/>
      <c r="F54" s="310"/>
      <c r="G54" s="310" t="str">
        <f>IFERROR(__xludf.DUMMYFUNCTION("""COMPUTED_VALUE"""),"Negative")</f>
        <v>Negative</v>
      </c>
      <c r="H54" s="319" t="str">
        <f>IFERROR(__xludf.DUMMYFUNCTION("""COMPUTED_VALUE"""),"Negative")</f>
        <v>Negative</v>
      </c>
      <c r="I54" s="308">
        <f>IFERROR(__xludf.DUMMYFUNCTION("""COMPUTED_VALUE"""),44861.0)</f>
        <v>44861</v>
      </c>
      <c r="J54" s="311">
        <f>IFERROR(__xludf.DUMMYFUNCTION("""COMPUTED_VALUE"""),0.4117708333333333)</f>
        <v>0.4117708333</v>
      </c>
      <c r="K54" s="54"/>
      <c r="L54" s="7"/>
      <c r="M54" s="312"/>
      <c r="N54" s="172">
        <f>IFERROR(__xludf.DUMMYFUNCTION("""COMPUTED_VALUE"""),1.0)</f>
        <v>1</v>
      </c>
      <c r="O54" s="172" t="b">
        <f t="shared" si="3"/>
        <v>1</v>
      </c>
      <c r="P54" s="313">
        <f>IFERROR(__xludf.DUMMYFUNCTION("""COMPUTED_VALUE"""),47.0)</f>
        <v>47</v>
      </c>
      <c r="Q54" s="76" t="b">
        <f>VLOOKUP($B54,'Run Reconcile'!B$2:O1399,14,FALSE)</f>
        <v>1</v>
      </c>
      <c r="R54" s="314" t="str">
        <f t="array" ref="R54">IF($Q54, INDEX('Run Reconcile'!A$2:A1399,MATCH(B54,'Run Reconcile'!B$2:B1399,0),1),IFERROR(0/0,""))</f>
        <v>RUN-ABRM_2022-09-10_RFR-009</v>
      </c>
      <c r="S54" s="315" t="str">
        <f t="shared" ref="S54:T54" si="112">IF(COUNTIF(W$2:W1399, $A54) &gt; 0,TRUE,IFERROR(0/0,""))</f>
        <v/>
      </c>
      <c r="T54" s="315" t="str">
        <f t="shared" si="112"/>
        <v/>
      </c>
      <c r="U54" s="114" t="str">
        <f t="array" ref="U54">IF(ISBLANK($R54), INDEX('Run Reconcile'!A$2:A1399, MATCH($B54, 'Run Reconcile'!B$2:B1399, 0)+Z54, 1), IFERROR(0/0,""))
</f>
        <v/>
      </c>
      <c r="V54" s="316" t="str">
        <f t="shared" si="5"/>
        <v>RUN-ABRM_2022-09-10_RFR-009</v>
      </c>
      <c r="Y54" s="317" t="str">
        <f t="shared" si="6"/>
        <v/>
      </c>
      <c r="Z54" s="83" t="str">
        <f t="shared" si="7"/>
        <v/>
      </c>
      <c r="AA54" s="83" t="str">
        <f t="shared" si="8"/>
        <v/>
      </c>
      <c r="AB54" s="83" t="str">
        <f t="shared" si="9"/>
        <v/>
      </c>
      <c r="AC54" s="18" t="str">
        <f t="shared" ref="AC54:AD54" si="113">IF(_xlfn.ISFORMULA(S54),IFERROR(0/0,""),TRUE)</f>
        <v/>
      </c>
      <c r="AD54" s="18" t="str">
        <f t="shared" si="113"/>
        <v/>
      </c>
      <c r="AE54" s="43"/>
      <c r="AF54" s="58" t="s">
        <v>33</v>
      </c>
      <c r="AG54" s="55" t="str">
        <f t="shared" si="11"/>
        <v/>
      </c>
    </row>
    <row r="55">
      <c r="A55" s="7" t="str">
        <f>IFERROR(__xludf.DUMMYFUNCTION("""COMPUTED_VALUE"""),"AH8609")</f>
        <v>AH8609</v>
      </c>
      <c r="B55" s="308">
        <f>IFERROR(__xludf.DUMMYFUNCTION("""COMPUTED_VALUE"""),44814.0)</f>
        <v>44814</v>
      </c>
      <c r="C55" s="309">
        <f>IFERROR(__xludf.DUMMYFUNCTION("""COMPUTED_VALUE"""),0.22719907407407408)</f>
        <v>0.2271990741</v>
      </c>
      <c r="D55" s="54" t="str">
        <f>IFERROR(__xludf.DUMMYFUNCTION("""COMPUTED_VALUE"""),"SpABRM188986")</f>
        <v>SpABRM188986</v>
      </c>
      <c r="E55" s="310"/>
      <c r="F55" s="310"/>
      <c r="G55" s="310" t="str">
        <f>IFERROR(__xludf.DUMMYFUNCTION("""COMPUTED_VALUE"""),"Negative")</f>
        <v>Negative</v>
      </c>
      <c r="H55" s="319" t="str">
        <f>IFERROR(__xludf.DUMMYFUNCTION("""COMPUTED_VALUE"""),"Negative")</f>
        <v>Negative</v>
      </c>
      <c r="I55" s="308">
        <f>IFERROR(__xludf.DUMMYFUNCTION("""COMPUTED_VALUE"""),44861.0)</f>
        <v>44861</v>
      </c>
      <c r="J55" s="311">
        <f>IFERROR(__xludf.DUMMYFUNCTION("""COMPUTED_VALUE"""),0.4117708333333333)</f>
        <v>0.4117708333</v>
      </c>
      <c r="K55" s="54"/>
      <c r="L55" s="7"/>
      <c r="M55" s="312"/>
      <c r="N55" s="172">
        <f>IFERROR(__xludf.DUMMYFUNCTION("""COMPUTED_VALUE"""),1.0)</f>
        <v>1</v>
      </c>
      <c r="O55" s="172" t="str">
        <f t="shared" si="3"/>
        <v/>
      </c>
      <c r="P55" s="313">
        <f>IFERROR(__xludf.DUMMYFUNCTION("""COMPUTED_VALUE"""),47.0)</f>
        <v>47</v>
      </c>
      <c r="Q55" s="76" t="b">
        <f>VLOOKUP($B55,'Run Reconcile'!B$2:O1399,14,FALSE)</f>
        <v>1</v>
      </c>
      <c r="R55" s="314" t="str">
        <f t="array" ref="R55">IF($Q55, INDEX('Run Reconcile'!A$2:A1399,MATCH(B55,'Run Reconcile'!B$2:B1399,0),1),IFERROR(0/0,""))</f>
        <v>RUN-ABRM_2022-09-10_RFR-009</v>
      </c>
      <c r="S55" s="315" t="str">
        <f t="shared" ref="S55:T55" si="114">IF(COUNTIF(W$2:W1399, $A55) &gt; 0,TRUE,IFERROR(0/0,""))</f>
        <v/>
      </c>
      <c r="T55" s="315" t="str">
        <f t="shared" si="114"/>
        <v/>
      </c>
      <c r="U55" s="114" t="str">
        <f t="array" ref="U55">IF(ISBLANK($R55), INDEX('Run Reconcile'!A$2:A1399, MATCH($B55, 'Run Reconcile'!B$2:B1399, 0)+Z55, 1), IFERROR(0/0,""))
</f>
        <v/>
      </c>
      <c r="V55" s="316" t="str">
        <f t="shared" si="5"/>
        <v>RUN-ABRM_2022-09-10_RFR-009</v>
      </c>
      <c r="Y55" s="317" t="str">
        <f t="shared" si="6"/>
        <v/>
      </c>
      <c r="Z55" s="83" t="str">
        <f t="shared" si="7"/>
        <v/>
      </c>
      <c r="AA55" s="83" t="str">
        <f t="shared" si="8"/>
        <v/>
      </c>
      <c r="AB55" s="83" t="str">
        <f t="shared" si="9"/>
        <v/>
      </c>
      <c r="AC55" s="18" t="str">
        <f t="shared" ref="AC55:AD55" si="115">IF(_xlfn.ISFORMULA(S55),IFERROR(0/0,""),TRUE)</f>
        <v/>
      </c>
      <c r="AD55" s="18" t="str">
        <f t="shared" si="115"/>
        <v/>
      </c>
      <c r="AE55" s="43"/>
      <c r="AF55" s="58" t="s">
        <v>33</v>
      </c>
      <c r="AG55" s="55" t="str">
        <f t="shared" si="11"/>
        <v/>
      </c>
    </row>
    <row r="56">
      <c r="A56" s="7" t="str">
        <f>IFERROR(__xludf.DUMMYFUNCTION("""COMPUTED_VALUE"""),"AJ9653")</f>
        <v>AJ9653</v>
      </c>
      <c r="B56" s="308">
        <f>IFERROR(__xludf.DUMMYFUNCTION("""COMPUTED_VALUE"""),44816.0)</f>
        <v>44816</v>
      </c>
      <c r="C56" s="309">
        <f>IFERROR(__xludf.DUMMYFUNCTION("""COMPUTED_VALUE"""),0.21846064814814814)</f>
        <v>0.2184606481</v>
      </c>
      <c r="D56" s="54" t="str">
        <f>IFERROR(__xludf.DUMMYFUNCTION("""COMPUTED_VALUE"""),"SpABRM516158")</f>
        <v>SpABRM516158</v>
      </c>
      <c r="E56" s="310"/>
      <c r="F56" s="310"/>
      <c r="G56" s="310" t="str">
        <f>IFERROR(__xludf.DUMMYFUNCTION("""COMPUTED_VALUE"""),"Negative")</f>
        <v>Negative</v>
      </c>
      <c r="H56" s="319" t="str">
        <f>IFERROR(__xludf.DUMMYFUNCTION("""COMPUTED_VALUE"""),"Negative")</f>
        <v>Negative</v>
      </c>
      <c r="I56" s="308">
        <f>IFERROR(__xludf.DUMMYFUNCTION("""COMPUTED_VALUE"""),44816.0)</f>
        <v>44816</v>
      </c>
      <c r="J56" s="311">
        <f>IFERROR(__xludf.DUMMYFUNCTION("""COMPUTED_VALUE"""),0.39222222222222225)</f>
        <v>0.3922222222</v>
      </c>
      <c r="K56" s="54"/>
      <c r="L56" s="7"/>
      <c r="M56" s="312"/>
      <c r="N56" s="172">
        <f>IFERROR(__xludf.DUMMYFUNCTION("""COMPUTED_VALUE"""),1.0)</f>
        <v>1</v>
      </c>
      <c r="O56" s="172" t="b">
        <f t="shared" si="3"/>
        <v>1</v>
      </c>
      <c r="P56" s="313">
        <f>IFERROR(__xludf.DUMMYFUNCTION("""COMPUTED_VALUE"""),0.0)</f>
        <v>0</v>
      </c>
      <c r="Q56" s="76" t="b">
        <f>VLOOKUP($B56,'Run Reconcile'!B$2:O1399,14,FALSE)</f>
        <v>1</v>
      </c>
      <c r="R56" s="314" t="str">
        <f t="array" ref="R56">IF($Q56, INDEX('Run Reconcile'!A$2:A1399,MATCH(B56,'Run Reconcile'!B$2:B1399,0),1),IFERROR(0/0,""))</f>
        <v>RUN-ABRM_2022-09-12_RFR-010</v>
      </c>
      <c r="S56" s="315" t="str">
        <f t="shared" ref="S56:T56" si="116">IF(COUNTIF(W$2:W1399, $A56) &gt; 0,TRUE,IFERROR(0/0,""))</f>
        <v/>
      </c>
      <c r="T56" s="315" t="str">
        <f t="shared" si="116"/>
        <v/>
      </c>
      <c r="U56" s="114" t="str">
        <f t="array" ref="U56">IF(ISBLANK($R56), INDEX('Run Reconcile'!A$2:A1399, MATCH($B56, 'Run Reconcile'!B$2:B1399, 0)+Z56, 1), IFERROR(0/0,""))
</f>
        <v/>
      </c>
      <c r="V56" s="316" t="str">
        <f t="shared" si="5"/>
        <v>RUN-ABRM_2022-09-12_RFR-010</v>
      </c>
      <c r="Y56" s="317" t="str">
        <f t="shared" si="6"/>
        <v/>
      </c>
      <c r="Z56" s="83" t="str">
        <f t="shared" si="7"/>
        <v/>
      </c>
      <c r="AA56" s="83" t="str">
        <f t="shared" si="8"/>
        <v/>
      </c>
      <c r="AB56" s="83" t="str">
        <f t="shared" si="9"/>
        <v/>
      </c>
      <c r="AC56" s="18" t="str">
        <f t="shared" ref="AC56:AD56" si="117">IF(_xlfn.ISFORMULA(S56),IFERROR(0/0,""),TRUE)</f>
        <v/>
      </c>
      <c r="AD56" s="18" t="str">
        <f t="shared" si="117"/>
        <v/>
      </c>
      <c r="AE56" s="43"/>
      <c r="AF56" s="58" t="s">
        <v>34</v>
      </c>
      <c r="AG56" s="55" t="str">
        <f t="shared" si="11"/>
        <v/>
      </c>
    </row>
    <row r="57">
      <c r="A57" s="7" t="str">
        <f>IFERROR(__xludf.DUMMYFUNCTION("""COMPUTED_VALUE"""),"AH7736")</f>
        <v>AH7736</v>
      </c>
      <c r="B57" s="308">
        <f>IFERROR(__xludf.DUMMYFUNCTION("""COMPUTED_VALUE"""),44816.0)</f>
        <v>44816</v>
      </c>
      <c r="C57" s="309">
        <f>IFERROR(__xludf.DUMMYFUNCTION("""COMPUTED_VALUE"""),0.23590277777777777)</f>
        <v>0.2359027778</v>
      </c>
      <c r="D57" s="54" t="str">
        <f>IFERROR(__xludf.DUMMYFUNCTION("""COMPUTED_VALUE"""),"SpABRM128250")</f>
        <v>SpABRM128250</v>
      </c>
      <c r="E57" s="310"/>
      <c r="F57" s="310"/>
      <c r="G57" s="310" t="str">
        <f>IFERROR(__xludf.DUMMYFUNCTION("""COMPUTED_VALUE"""),"Negative")</f>
        <v>Negative</v>
      </c>
      <c r="H57" s="319" t="str">
        <f>IFERROR(__xludf.DUMMYFUNCTION("""COMPUTED_VALUE"""),"Negative")</f>
        <v>Negative</v>
      </c>
      <c r="I57" s="308">
        <f>IFERROR(__xludf.DUMMYFUNCTION("""COMPUTED_VALUE"""),44816.0)</f>
        <v>44816</v>
      </c>
      <c r="J57" s="311">
        <f>IFERROR(__xludf.DUMMYFUNCTION("""COMPUTED_VALUE"""),0.39222222222222225)</f>
        <v>0.3922222222</v>
      </c>
      <c r="K57" s="54"/>
      <c r="L57" s="7"/>
      <c r="M57" s="312"/>
      <c r="N57" s="172">
        <f>IFERROR(__xludf.DUMMYFUNCTION("""COMPUTED_VALUE"""),3.0)</f>
        <v>3</v>
      </c>
      <c r="O57" s="172" t="str">
        <f t="shared" si="3"/>
        <v/>
      </c>
      <c r="P57" s="313">
        <f>IFERROR(__xludf.DUMMYFUNCTION("""COMPUTED_VALUE"""),0.0)</f>
        <v>0</v>
      </c>
      <c r="Q57" s="76" t="b">
        <f>VLOOKUP($B57,'Run Reconcile'!B$2:O1399,14,FALSE)</f>
        <v>1</v>
      </c>
      <c r="R57" s="314" t="str">
        <f t="array" ref="R57">IF($Q57, INDEX('Run Reconcile'!A$2:A1399,MATCH(B57,'Run Reconcile'!B$2:B1399,0),1),IFERROR(0/0,""))</f>
        <v>RUN-ABRM_2022-09-12_RFR-010</v>
      </c>
      <c r="S57" s="315" t="str">
        <f t="shared" ref="S57:T57" si="118">IF(COUNTIF(W$2:W1399, $A57) &gt; 0,TRUE,IFERROR(0/0,""))</f>
        <v/>
      </c>
      <c r="T57" s="315" t="str">
        <f t="shared" si="118"/>
        <v/>
      </c>
      <c r="U57" s="114" t="str">
        <f t="array" ref="U57">IF(ISBLANK($R57), INDEX('Run Reconcile'!A$2:A1399, MATCH($B57, 'Run Reconcile'!B$2:B1399, 0)+Z57, 1), IFERROR(0/0,""))
</f>
        <v/>
      </c>
      <c r="V57" s="316" t="str">
        <f t="shared" si="5"/>
        <v>RUN-ABRM_2022-09-12_RFR-010</v>
      </c>
      <c r="Y57" s="317" t="str">
        <f t="shared" si="6"/>
        <v/>
      </c>
      <c r="Z57" s="83" t="str">
        <f t="shared" si="7"/>
        <v/>
      </c>
      <c r="AA57" s="83" t="str">
        <f t="shared" si="8"/>
        <v/>
      </c>
      <c r="AB57" s="83" t="str">
        <f t="shared" si="9"/>
        <v/>
      </c>
      <c r="AC57" s="18" t="str">
        <f t="shared" ref="AC57:AD57" si="119">IF(_xlfn.ISFORMULA(S57),IFERROR(0/0,""),TRUE)</f>
        <v/>
      </c>
      <c r="AD57" s="18" t="str">
        <f t="shared" si="119"/>
        <v/>
      </c>
      <c r="AE57" s="43"/>
      <c r="AF57" s="58" t="s">
        <v>34</v>
      </c>
      <c r="AG57" s="55" t="str">
        <f t="shared" si="11"/>
        <v/>
      </c>
    </row>
    <row r="58">
      <c r="A58" s="7" t="str">
        <f>IFERROR(__xludf.DUMMYFUNCTION("""COMPUTED_VALUE"""),"AG603")</f>
        <v>AG603</v>
      </c>
      <c r="B58" s="308">
        <f>IFERROR(__xludf.DUMMYFUNCTION("""COMPUTED_VALUE"""),44816.0)</f>
        <v>44816</v>
      </c>
      <c r="C58" s="309">
        <f>IFERROR(__xludf.DUMMYFUNCTION("""COMPUTED_VALUE"""),0.2985300925925926)</f>
        <v>0.2985300926</v>
      </c>
      <c r="D58" s="54" t="str">
        <f>IFERROR(__xludf.DUMMYFUNCTION("""COMPUTED_VALUE"""),"SpABRM478497")</f>
        <v>SpABRM478497</v>
      </c>
      <c r="E58" s="310"/>
      <c r="F58" s="310"/>
      <c r="G58" s="310" t="str">
        <f>IFERROR(__xludf.DUMMYFUNCTION("""COMPUTED_VALUE"""),"Negative")</f>
        <v>Negative</v>
      </c>
      <c r="H58" s="319" t="str">
        <f>IFERROR(__xludf.DUMMYFUNCTION("""COMPUTED_VALUE"""),"Negative")</f>
        <v>Negative</v>
      </c>
      <c r="I58" s="308">
        <f>IFERROR(__xludf.DUMMYFUNCTION("""COMPUTED_VALUE"""),44816.0)</f>
        <v>44816</v>
      </c>
      <c r="J58" s="311">
        <f>IFERROR(__xludf.DUMMYFUNCTION("""COMPUTED_VALUE"""),0.39222222222222225)</f>
        <v>0.3922222222</v>
      </c>
      <c r="K58" s="54"/>
      <c r="L58" s="7"/>
      <c r="M58" s="312"/>
      <c r="N58" s="172">
        <f>IFERROR(__xludf.DUMMYFUNCTION("""COMPUTED_VALUE"""),4.0)</f>
        <v>4</v>
      </c>
      <c r="O58" s="172" t="str">
        <f t="shared" si="3"/>
        <v/>
      </c>
      <c r="P58" s="313">
        <f>IFERROR(__xludf.DUMMYFUNCTION("""COMPUTED_VALUE"""),0.0)</f>
        <v>0</v>
      </c>
      <c r="Q58" s="76" t="b">
        <f>VLOOKUP($B58,'Run Reconcile'!B$2:O1399,14,FALSE)</f>
        <v>1</v>
      </c>
      <c r="R58" s="314" t="str">
        <f t="array" ref="R58">IF($Q58, INDEX('Run Reconcile'!A$2:A1399,MATCH(B58,'Run Reconcile'!B$2:B1399,0),1),IFERROR(0/0,""))</f>
        <v>RUN-ABRM_2022-09-12_RFR-010</v>
      </c>
      <c r="S58" s="315" t="str">
        <f t="shared" ref="S58:T58" si="120">IF(COUNTIF(W$2:W1399, $A58) &gt; 0,TRUE,IFERROR(0/0,""))</f>
        <v/>
      </c>
      <c r="T58" s="315" t="str">
        <f t="shared" si="120"/>
        <v/>
      </c>
      <c r="U58" s="114" t="str">
        <f t="array" ref="U58">IF(ISBLANK($R58), INDEX('Run Reconcile'!A$2:A1399, MATCH($B58, 'Run Reconcile'!B$2:B1399, 0)+Z58, 1), IFERROR(0/0,""))
</f>
        <v/>
      </c>
      <c r="V58" s="316" t="str">
        <f t="shared" si="5"/>
        <v>RUN-ABRM_2022-09-12_RFR-010</v>
      </c>
      <c r="Y58" s="317" t="str">
        <f t="shared" si="6"/>
        <v/>
      </c>
      <c r="Z58" s="83" t="str">
        <f t="shared" si="7"/>
        <v/>
      </c>
      <c r="AA58" s="83" t="str">
        <f t="shared" si="8"/>
        <v/>
      </c>
      <c r="AB58" s="83" t="str">
        <f t="shared" si="9"/>
        <v/>
      </c>
      <c r="AC58" s="18" t="str">
        <f t="shared" ref="AC58:AD58" si="121">IF(_xlfn.ISFORMULA(S58),IFERROR(0/0,""),TRUE)</f>
        <v/>
      </c>
      <c r="AD58" s="18" t="str">
        <f t="shared" si="121"/>
        <v/>
      </c>
      <c r="AE58" s="43"/>
      <c r="AF58" s="58" t="s">
        <v>34</v>
      </c>
      <c r="AG58" s="55" t="str">
        <f t="shared" si="11"/>
        <v/>
      </c>
    </row>
    <row r="59">
      <c r="A59" s="7" t="str">
        <f>IFERROR(__xludf.DUMMYFUNCTION("""COMPUTED_VALUE"""),"AJ8560")</f>
        <v>AJ8560</v>
      </c>
      <c r="B59" s="308">
        <f>IFERROR(__xludf.DUMMYFUNCTION("""COMPUTED_VALUE"""),44816.0)</f>
        <v>44816</v>
      </c>
      <c r="C59" s="309">
        <f>IFERROR(__xludf.DUMMYFUNCTION("""COMPUTED_VALUE"""),0.29921296296296296)</f>
        <v>0.299212963</v>
      </c>
      <c r="D59" s="54" t="str">
        <f>IFERROR(__xludf.DUMMYFUNCTION("""COMPUTED_VALUE"""),"SpABRM188986")</f>
        <v>SpABRM188986</v>
      </c>
      <c r="E59" s="310"/>
      <c r="F59" s="310"/>
      <c r="G59" s="310" t="str">
        <f>IFERROR(__xludf.DUMMYFUNCTION("""COMPUTED_VALUE"""),"Negative")</f>
        <v>Negative</v>
      </c>
      <c r="H59" s="319" t="str">
        <f>IFERROR(__xludf.DUMMYFUNCTION("""COMPUTED_VALUE"""),"Negative")</f>
        <v>Negative</v>
      </c>
      <c r="I59" s="308">
        <f>IFERROR(__xludf.DUMMYFUNCTION("""COMPUTED_VALUE"""),44816.0)</f>
        <v>44816</v>
      </c>
      <c r="J59" s="311">
        <f>IFERROR(__xludf.DUMMYFUNCTION("""COMPUTED_VALUE"""),0.3922337962962963)</f>
        <v>0.3922337963</v>
      </c>
      <c r="K59" s="54"/>
      <c r="L59" s="7"/>
      <c r="M59" s="312"/>
      <c r="N59" s="172">
        <f>IFERROR(__xludf.DUMMYFUNCTION("""COMPUTED_VALUE"""),2.0)</f>
        <v>2</v>
      </c>
      <c r="O59" s="172" t="str">
        <f t="shared" si="3"/>
        <v/>
      </c>
      <c r="P59" s="313">
        <f>IFERROR(__xludf.DUMMYFUNCTION("""COMPUTED_VALUE"""),0.0)</f>
        <v>0</v>
      </c>
      <c r="Q59" s="76" t="b">
        <f>VLOOKUP($B59,'Run Reconcile'!B$2:O1399,14,FALSE)</f>
        <v>1</v>
      </c>
      <c r="R59" s="314" t="str">
        <f t="array" ref="R59">IF($Q59, INDEX('Run Reconcile'!A$2:A1399,MATCH(B59,'Run Reconcile'!B$2:B1399,0),1),IFERROR(0/0,""))</f>
        <v>RUN-ABRM_2022-09-12_RFR-010</v>
      </c>
      <c r="S59" s="315" t="str">
        <f t="shared" ref="S59:T59" si="122">IF(COUNTIF(W$2:W1399, $A59) &gt; 0,TRUE,IFERROR(0/0,""))</f>
        <v/>
      </c>
      <c r="T59" s="315" t="str">
        <f t="shared" si="122"/>
        <v/>
      </c>
      <c r="U59" s="114" t="str">
        <f t="array" ref="U59">IF(ISBLANK($R59), INDEX('Run Reconcile'!A$2:A1399, MATCH($B59, 'Run Reconcile'!B$2:B1399, 0)+Z59, 1), IFERROR(0/0,""))
</f>
        <v/>
      </c>
      <c r="V59" s="316" t="str">
        <f t="shared" si="5"/>
        <v>RUN-ABRM_2022-09-12_RFR-010</v>
      </c>
      <c r="Y59" s="317" t="str">
        <f t="shared" si="6"/>
        <v/>
      </c>
      <c r="Z59" s="83" t="str">
        <f t="shared" si="7"/>
        <v/>
      </c>
      <c r="AA59" s="83" t="str">
        <f t="shared" si="8"/>
        <v/>
      </c>
      <c r="AB59" s="83" t="str">
        <f t="shared" si="9"/>
        <v/>
      </c>
      <c r="AC59" s="18" t="str">
        <f t="shared" ref="AC59:AD59" si="123">IF(_xlfn.ISFORMULA(S59),IFERROR(0/0,""),TRUE)</f>
        <v/>
      </c>
      <c r="AD59" s="18" t="str">
        <f t="shared" si="123"/>
        <v/>
      </c>
      <c r="AE59" s="43"/>
      <c r="AF59" s="58" t="s">
        <v>34</v>
      </c>
      <c r="AG59" s="55" t="str">
        <f t="shared" si="11"/>
        <v/>
      </c>
    </row>
    <row r="60">
      <c r="A60" s="7" t="str">
        <f>IFERROR(__xludf.DUMMYFUNCTION("""COMPUTED_VALUE"""),"AH7777")</f>
        <v>AH7777</v>
      </c>
      <c r="B60" s="308">
        <f>IFERROR(__xludf.DUMMYFUNCTION("""COMPUTED_VALUE"""),44816.0)</f>
        <v>44816</v>
      </c>
      <c r="C60" s="309">
        <f>IFERROR(__xludf.DUMMYFUNCTION("""COMPUTED_VALUE"""),0.2995023148148148)</f>
        <v>0.2995023148</v>
      </c>
      <c r="D60" s="54" t="str">
        <f>IFERROR(__xludf.DUMMYFUNCTION("""COMPUTED_VALUE"""),"SpABRM652382")</f>
        <v>SpABRM652382</v>
      </c>
      <c r="E60" s="310"/>
      <c r="F60" s="310"/>
      <c r="G60" s="310" t="str">
        <f>IFERROR(__xludf.DUMMYFUNCTION("""COMPUTED_VALUE"""),"Negative")</f>
        <v>Negative</v>
      </c>
      <c r="H60" s="319" t="str">
        <f>IFERROR(__xludf.DUMMYFUNCTION("""COMPUTED_VALUE"""),"Negative")</f>
        <v>Negative</v>
      </c>
      <c r="I60" s="308">
        <f>IFERROR(__xludf.DUMMYFUNCTION("""COMPUTED_VALUE"""),44816.0)</f>
        <v>44816</v>
      </c>
      <c r="J60" s="311">
        <f>IFERROR(__xludf.DUMMYFUNCTION("""COMPUTED_VALUE"""),0.3922337962962963)</f>
        <v>0.3922337963</v>
      </c>
      <c r="K60" s="54"/>
      <c r="L60" s="7"/>
      <c r="M60" s="312"/>
      <c r="N60" s="172">
        <f>IFERROR(__xludf.DUMMYFUNCTION("""COMPUTED_VALUE"""),3.0)</f>
        <v>3</v>
      </c>
      <c r="O60" s="172" t="str">
        <f t="shared" si="3"/>
        <v/>
      </c>
      <c r="P60" s="313">
        <f>IFERROR(__xludf.DUMMYFUNCTION("""COMPUTED_VALUE"""),0.0)</f>
        <v>0</v>
      </c>
      <c r="Q60" s="76" t="b">
        <f>VLOOKUP($B60,'Run Reconcile'!B$2:O1399,14,FALSE)</f>
        <v>1</v>
      </c>
      <c r="R60" s="314" t="str">
        <f t="array" ref="R60">IF($Q60, INDEX('Run Reconcile'!A$2:A1399,MATCH(B60,'Run Reconcile'!B$2:B1399,0),1),IFERROR(0/0,""))</f>
        <v>RUN-ABRM_2022-09-12_RFR-010</v>
      </c>
      <c r="S60" s="315" t="str">
        <f t="shared" ref="S60:T60" si="124">IF(COUNTIF(W$2:W1399, $A60) &gt; 0,TRUE,IFERROR(0/0,""))</f>
        <v/>
      </c>
      <c r="T60" s="315" t="str">
        <f t="shared" si="124"/>
        <v/>
      </c>
      <c r="U60" s="114" t="str">
        <f t="array" ref="U60">IF(ISBLANK($R60), INDEX('Run Reconcile'!A$2:A1399, MATCH($B60, 'Run Reconcile'!B$2:B1399, 0)+Z60, 1), IFERROR(0/0,""))
</f>
        <v/>
      </c>
      <c r="V60" s="316" t="str">
        <f t="shared" si="5"/>
        <v>RUN-ABRM_2022-09-12_RFR-010</v>
      </c>
      <c r="Y60" s="317" t="str">
        <f t="shared" si="6"/>
        <v/>
      </c>
      <c r="Z60" s="83" t="str">
        <f t="shared" si="7"/>
        <v/>
      </c>
      <c r="AA60" s="83" t="str">
        <f t="shared" si="8"/>
        <v/>
      </c>
      <c r="AB60" s="83" t="str">
        <f t="shared" si="9"/>
        <v/>
      </c>
      <c r="AC60" s="18" t="str">
        <f t="shared" ref="AC60:AD60" si="125">IF(_xlfn.ISFORMULA(S60),IFERROR(0/0,""),TRUE)</f>
        <v/>
      </c>
      <c r="AD60" s="18" t="str">
        <f t="shared" si="125"/>
        <v/>
      </c>
      <c r="AE60" s="43"/>
      <c r="AF60" s="58" t="s">
        <v>34</v>
      </c>
      <c r="AG60" s="55" t="str">
        <f t="shared" si="11"/>
        <v/>
      </c>
    </row>
    <row r="61">
      <c r="A61" s="7" t="str">
        <f>IFERROR(__xludf.DUMMYFUNCTION("""COMPUTED_VALUE"""),"AG2029")</f>
        <v>AG2029</v>
      </c>
      <c r="B61" s="308">
        <f>IFERROR(__xludf.DUMMYFUNCTION("""COMPUTED_VALUE"""),44816.0)</f>
        <v>44816</v>
      </c>
      <c r="C61" s="309">
        <f>IFERROR(__xludf.DUMMYFUNCTION("""COMPUTED_VALUE"""),0.29976851851851855)</f>
        <v>0.2997685185</v>
      </c>
      <c r="D61" s="54" t="str">
        <f>IFERROR(__xludf.DUMMYFUNCTION("""COMPUTED_VALUE"""),"SpABRM297307")</f>
        <v>SpABRM297307</v>
      </c>
      <c r="E61" s="310"/>
      <c r="F61" s="310"/>
      <c r="G61" s="310" t="str">
        <f>IFERROR(__xludf.DUMMYFUNCTION("""COMPUTED_VALUE"""),"Negative")</f>
        <v>Negative</v>
      </c>
      <c r="H61" s="319" t="str">
        <f>IFERROR(__xludf.DUMMYFUNCTION("""COMPUTED_VALUE"""),"Negative")</f>
        <v>Negative</v>
      </c>
      <c r="I61" s="308">
        <f>IFERROR(__xludf.DUMMYFUNCTION("""COMPUTED_VALUE"""),44816.0)</f>
        <v>44816</v>
      </c>
      <c r="J61" s="311">
        <f>IFERROR(__xludf.DUMMYFUNCTION("""COMPUTED_VALUE"""),0.3922337962962963)</f>
        <v>0.3922337963</v>
      </c>
      <c r="K61" s="54"/>
      <c r="L61" s="7"/>
      <c r="M61" s="312"/>
      <c r="N61" s="172">
        <f>IFERROR(__xludf.DUMMYFUNCTION("""COMPUTED_VALUE"""),4.0)</f>
        <v>4</v>
      </c>
      <c r="O61" s="172" t="str">
        <f t="shared" si="3"/>
        <v/>
      </c>
      <c r="P61" s="313">
        <f>IFERROR(__xludf.DUMMYFUNCTION("""COMPUTED_VALUE"""),0.0)</f>
        <v>0</v>
      </c>
      <c r="Q61" s="76" t="b">
        <f>VLOOKUP($B61,'Run Reconcile'!B$2:O1399,14,FALSE)</f>
        <v>1</v>
      </c>
      <c r="R61" s="314" t="str">
        <f t="array" ref="R61">IF($Q61, INDEX('Run Reconcile'!A$2:A1399,MATCH(B61,'Run Reconcile'!B$2:B1399,0),1),IFERROR(0/0,""))</f>
        <v>RUN-ABRM_2022-09-12_RFR-010</v>
      </c>
      <c r="S61" s="315" t="str">
        <f t="shared" ref="S61:T61" si="126">IF(COUNTIF(W$2:W1399, $A61) &gt; 0,TRUE,IFERROR(0/0,""))</f>
        <v/>
      </c>
      <c r="T61" s="315" t="str">
        <f t="shared" si="126"/>
        <v/>
      </c>
      <c r="U61" s="114" t="str">
        <f t="array" ref="U61">IF(ISBLANK($R61), INDEX('Run Reconcile'!A$2:A1399, MATCH($B61, 'Run Reconcile'!B$2:B1399, 0)+Z61, 1), IFERROR(0/0,""))
</f>
        <v/>
      </c>
      <c r="V61" s="316" t="str">
        <f t="shared" si="5"/>
        <v>RUN-ABRM_2022-09-12_RFR-010</v>
      </c>
      <c r="Y61" s="317" t="str">
        <f t="shared" si="6"/>
        <v/>
      </c>
      <c r="Z61" s="83" t="str">
        <f t="shared" si="7"/>
        <v/>
      </c>
      <c r="AA61" s="83" t="str">
        <f t="shared" si="8"/>
        <v/>
      </c>
      <c r="AB61" s="83" t="str">
        <f t="shared" si="9"/>
        <v/>
      </c>
      <c r="AC61" s="18" t="str">
        <f t="shared" ref="AC61:AD61" si="127">IF(_xlfn.ISFORMULA(S61),IFERROR(0/0,""),TRUE)</f>
        <v/>
      </c>
      <c r="AD61" s="18" t="str">
        <f t="shared" si="127"/>
        <v/>
      </c>
      <c r="AE61" s="43"/>
      <c r="AF61" s="58" t="s">
        <v>34</v>
      </c>
      <c r="AG61" s="55" t="str">
        <f t="shared" si="11"/>
        <v/>
      </c>
    </row>
    <row r="62">
      <c r="A62" s="7" t="str">
        <f>IFERROR(__xludf.DUMMYFUNCTION("""COMPUTED_VALUE"""),"AG314")</f>
        <v>AG314</v>
      </c>
      <c r="B62" s="308">
        <f>IFERROR(__xludf.DUMMYFUNCTION("""COMPUTED_VALUE"""),44816.0)</f>
        <v>44816</v>
      </c>
      <c r="C62" s="309">
        <f>IFERROR(__xludf.DUMMYFUNCTION("""COMPUTED_VALUE"""),0.31299768518518517)</f>
        <v>0.3129976852</v>
      </c>
      <c r="D62" s="54" t="str">
        <f>IFERROR(__xludf.DUMMYFUNCTION("""COMPUTED_VALUE"""),"SpABRM814022")</f>
        <v>SpABRM814022</v>
      </c>
      <c r="E62" s="310"/>
      <c r="F62" s="310"/>
      <c r="G62" s="310" t="str">
        <f>IFERROR(__xludf.DUMMYFUNCTION("""COMPUTED_VALUE"""),"Negative")</f>
        <v>Negative</v>
      </c>
      <c r="H62" s="319" t="str">
        <f>IFERROR(__xludf.DUMMYFUNCTION("""COMPUTED_VALUE"""),"Negative")</f>
        <v>Negative</v>
      </c>
      <c r="I62" s="308">
        <f>IFERROR(__xludf.DUMMYFUNCTION("""COMPUTED_VALUE"""),44816.0)</f>
        <v>44816</v>
      </c>
      <c r="J62" s="311">
        <f>IFERROR(__xludf.DUMMYFUNCTION("""COMPUTED_VALUE"""),0.3922337962962963)</f>
        <v>0.3922337963</v>
      </c>
      <c r="K62" s="54"/>
      <c r="L62" s="7"/>
      <c r="M62" s="312"/>
      <c r="N62" s="172">
        <f>IFERROR(__xludf.DUMMYFUNCTION("""COMPUTED_VALUE"""),2.0)</f>
        <v>2</v>
      </c>
      <c r="O62" s="172" t="str">
        <f t="shared" si="3"/>
        <v/>
      </c>
      <c r="P62" s="313">
        <f>IFERROR(__xludf.DUMMYFUNCTION("""COMPUTED_VALUE"""),0.0)</f>
        <v>0</v>
      </c>
      <c r="Q62" s="76" t="b">
        <f>VLOOKUP($B62,'Run Reconcile'!B$2:O1399,14,FALSE)</f>
        <v>1</v>
      </c>
      <c r="R62" s="314" t="str">
        <f t="array" ref="R62">IF($Q62, INDEX('Run Reconcile'!A$2:A1399,MATCH(B62,'Run Reconcile'!B$2:B1399,0),1),IFERROR(0/0,""))</f>
        <v>RUN-ABRM_2022-09-12_RFR-010</v>
      </c>
      <c r="S62" s="315" t="str">
        <f t="shared" ref="S62:T62" si="128">IF(COUNTIF(W$2:W1399, $A62) &gt; 0,TRUE,IFERROR(0/0,""))</f>
        <v/>
      </c>
      <c r="T62" s="315" t="str">
        <f t="shared" si="128"/>
        <v/>
      </c>
      <c r="U62" s="114" t="str">
        <f t="array" ref="U62">IF(ISBLANK($R62), INDEX('Run Reconcile'!A$2:A1399, MATCH($B62, 'Run Reconcile'!B$2:B1399, 0)+Z62, 1), IFERROR(0/0,""))
</f>
        <v/>
      </c>
      <c r="V62" s="316" t="str">
        <f t="shared" si="5"/>
        <v>RUN-ABRM_2022-09-12_RFR-010</v>
      </c>
      <c r="Y62" s="317" t="str">
        <f t="shared" si="6"/>
        <v/>
      </c>
      <c r="Z62" s="83" t="str">
        <f t="shared" si="7"/>
        <v/>
      </c>
      <c r="AA62" s="83" t="str">
        <f t="shared" si="8"/>
        <v/>
      </c>
      <c r="AB62" s="83" t="str">
        <f t="shared" si="9"/>
        <v/>
      </c>
      <c r="AC62" s="18" t="str">
        <f t="shared" ref="AC62:AD62" si="129">IF(_xlfn.ISFORMULA(S62),IFERROR(0/0,""),TRUE)</f>
        <v/>
      </c>
      <c r="AD62" s="18" t="str">
        <f t="shared" si="129"/>
        <v/>
      </c>
      <c r="AE62" s="43"/>
      <c r="AF62" s="58" t="s">
        <v>34</v>
      </c>
      <c r="AG62" s="55" t="str">
        <f t="shared" si="11"/>
        <v/>
      </c>
    </row>
    <row r="63">
      <c r="A63" s="7" t="str">
        <f>IFERROR(__xludf.DUMMYFUNCTION("""COMPUTED_VALUE"""),"AG1519")</f>
        <v>AG1519</v>
      </c>
      <c r="B63" s="308">
        <f>IFERROR(__xludf.DUMMYFUNCTION("""COMPUTED_VALUE"""),44816.0)</f>
        <v>44816</v>
      </c>
      <c r="C63" s="309">
        <f>IFERROR(__xludf.DUMMYFUNCTION("""COMPUTED_VALUE"""),0.3152083333333333)</f>
        <v>0.3152083333</v>
      </c>
      <c r="D63" s="54" t="str">
        <f>IFERROR(__xludf.DUMMYFUNCTION("""COMPUTED_VALUE"""),"SpABRM367540")</f>
        <v>SpABRM367540</v>
      </c>
      <c r="E63" s="310"/>
      <c r="F63" s="310"/>
      <c r="G63" s="310" t="str">
        <f>IFERROR(__xludf.DUMMYFUNCTION("""COMPUTED_VALUE"""),"Negative")</f>
        <v>Negative</v>
      </c>
      <c r="H63" s="319" t="str">
        <f>IFERROR(__xludf.DUMMYFUNCTION("""COMPUTED_VALUE"""),"Negative")</f>
        <v>Negative</v>
      </c>
      <c r="I63" s="308">
        <f>IFERROR(__xludf.DUMMYFUNCTION("""COMPUTED_VALUE"""),44816.0)</f>
        <v>44816</v>
      </c>
      <c r="J63" s="311">
        <f>IFERROR(__xludf.DUMMYFUNCTION("""COMPUTED_VALUE"""),0.3922453703703704)</f>
        <v>0.3922453704</v>
      </c>
      <c r="K63" s="54"/>
      <c r="L63" s="7"/>
      <c r="M63" s="312"/>
      <c r="N63" s="172">
        <f>IFERROR(__xludf.DUMMYFUNCTION("""COMPUTED_VALUE"""),3.0)</f>
        <v>3</v>
      </c>
      <c r="O63" s="172" t="str">
        <f t="shared" si="3"/>
        <v/>
      </c>
      <c r="P63" s="313">
        <f>IFERROR(__xludf.DUMMYFUNCTION("""COMPUTED_VALUE"""),0.0)</f>
        <v>0</v>
      </c>
      <c r="Q63" s="76" t="b">
        <f>VLOOKUP($B63,'Run Reconcile'!B$2:O1399,14,FALSE)</f>
        <v>1</v>
      </c>
      <c r="R63" s="314" t="str">
        <f t="array" ref="R63">IF($Q63, INDEX('Run Reconcile'!A$2:A1399,MATCH(B63,'Run Reconcile'!B$2:B1399,0),1),IFERROR(0/0,""))</f>
        <v>RUN-ABRM_2022-09-12_RFR-010</v>
      </c>
      <c r="S63" s="315" t="str">
        <f t="shared" ref="S63:T63" si="130">IF(COUNTIF(W$2:W1399, $A63) &gt; 0,TRUE,IFERROR(0/0,""))</f>
        <v/>
      </c>
      <c r="T63" s="315" t="str">
        <f t="shared" si="130"/>
        <v/>
      </c>
      <c r="U63" s="114" t="str">
        <f t="array" ref="U63">IF(ISBLANK($R63), INDEX('Run Reconcile'!A$2:A1399, MATCH($B63, 'Run Reconcile'!B$2:B1399, 0)+Z63, 1), IFERROR(0/0,""))
</f>
        <v/>
      </c>
      <c r="V63" s="316" t="str">
        <f t="shared" si="5"/>
        <v>RUN-ABRM_2022-09-12_RFR-010</v>
      </c>
      <c r="Y63" s="317" t="str">
        <f t="shared" si="6"/>
        <v/>
      </c>
      <c r="Z63" s="83" t="str">
        <f t="shared" si="7"/>
        <v/>
      </c>
      <c r="AA63" s="83" t="str">
        <f t="shared" si="8"/>
        <v/>
      </c>
      <c r="AB63" s="83" t="str">
        <f t="shared" si="9"/>
        <v/>
      </c>
      <c r="AC63" s="18" t="str">
        <f t="shared" ref="AC63:AD63" si="131">IF(_xlfn.ISFORMULA(S63),IFERROR(0/0,""),TRUE)</f>
        <v/>
      </c>
      <c r="AD63" s="18" t="str">
        <f t="shared" si="131"/>
        <v/>
      </c>
      <c r="AE63" s="43"/>
      <c r="AF63" s="58" t="s">
        <v>34</v>
      </c>
      <c r="AG63" s="55" t="str">
        <f t="shared" si="11"/>
        <v/>
      </c>
    </row>
    <row r="64">
      <c r="A64" s="7" t="str">
        <f>IFERROR(__xludf.DUMMYFUNCTION("""COMPUTED_VALUE"""),"AG1274")</f>
        <v>AG1274</v>
      </c>
      <c r="B64" s="308">
        <f>IFERROR(__xludf.DUMMYFUNCTION("""COMPUTED_VALUE"""),44816.0)</f>
        <v>44816</v>
      </c>
      <c r="C64" s="309">
        <f>IFERROR(__xludf.DUMMYFUNCTION("""COMPUTED_VALUE"""),0.3163078703703704)</f>
        <v>0.3163078704</v>
      </c>
      <c r="D64" s="54" t="str">
        <f>IFERROR(__xludf.DUMMYFUNCTION("""COMPUTED_VALUE"""),"SpABRM655136")</f>
        <v>SpABRM655136</v>
      </c>
      <c r="E64" s="310"/>
      <c r="F64" s="310"/>
      <c r="G64" s="310" t="str">
        <f>IFERROR(__xludf.DUMMYFUNCTION("""COMPUTED_VALUE"""),"Negative")</f>
        <v>Negative</v>
      </c>
      <c r="H64" s="319" t="str">
        <f>IFERROR(__xludf.DUMMYFUNCTION("""COMPUTED_VALUE"""),"Negative")</f>
        <v>Negative</v>
      </c>
      <c r="I64" s="308">
        <f>IFERROR(__xludf.DUMMYFUNCTION("""COMPUTED_VALUE"""),44816.0)</f>
        <v>44816</v>
      </c>
      <c r="J64" s="311">
        <f>IFERROR(__xludf.DUMMYFUNCTION("""COMPUTED_VALUE"""),0.3922453703703704)</f>
        <v>0.3922453704</v>
      </c>
      <c r="K64" s="54"/>
      <c r="L64" s="7"/>
      <c r="M64" s="312"/>
      <c r="N64" s="172">
        <f>IFERROR(__xludf.DUMMYFUNCTION("""COMPUTED_VALUE"""),1.0)</f>
        <v>1</v>
      </c>
      <c r="O64" s="172" t="str">
        <f t="shared" si="3"/>
        <v/>
      </c>
      <c r="P64" s="313">
        <f>IFERROR(__xludf.DUMMYFUNCTION("""COMPUTED_VALUE"""),0.0)</f>
        <v>0</v>
      </c>
      <c r="Q64" s="76" t="b">
        <f>VLOOKUP($B64,'Run Reconcile'!B$2:O1399,14,FALSE)</f>
        <v>1</v>
      </c>
      <c r="R64" s="314" t="str">
        <f t="array" ref="R64">IF($Q64, INDEX('Run Reconcile'!A$2:A1399,MATCH(B64,'Run Reconcile'!B$2:B1399,0),1),IFERROR(0/0,""))</f>
        <v>RUN-ABRM_2022-09-12_RFR-010</v>
      </c>
      <c r="S64" s="315" t="str">
        <f t="shared" ref="S64:T64" si="132">IF(COUNTIF(W$2:W1399, $A64) &gt; 0,TRUE,IFERROR(0/0,""))</f>
        <v/>
      </c>
      <c r="T64" s="315" t="str">
        <f t="shared" si="132"/>
        <v/>
      </c>
      <c r="U64" s="114" t="str">
        <f t="array" ref="U64">IF(ISBLANK($R64), INDEX('Run Reconcile'!A$2:A1399, MATCH($B64, 'Run Reconcile'!B$2:B1399, 0)+Z64, 1), IFERROR(0/0,""))
</f>
        <v/>
      </c>
      <c r="V64" s="316" t="str">
        <f t="shared" si="5"/>
        <v>RUN-ABRM_2022-09-12_RFR-010</v>
      </c>
      <c r="Y64" s="317" t="str">
        <f t="shared" si="6"/>
        <v/>
      </c>
      <c r="Z64" s="83" t="str">
        <f t="shared" si="7"/>
        <v/>
      </c>
      <c r="AA64" s="83" t="str">
        <f t="shared" si="8"/>
        <v/>
      </c>
      <c r="AB64" s="83" t="str">
        <f t="shared" si="9"/>
        <v/>
      </c>
      <c r="AC64" s="18" t="str">
        <f t="shared" ref="AC64:AD64" si="133">IF(_xlfn.ISFORMULA(S64),IFERROR(0/0,""),TRUE)</f>
        <v/>
      </c>
      <c r="AD64" s="18" t="str">
        <f t="shared" si="133"/>
        <v/>
      </c>
      <c r="AE64" s="43"/>
      <c r="AF64" s="58" t="s">
        <v>34</v>
      </c>
      <c r="AG64" s="55" t="str">
        <f t="shared" si="11"/>
        <v/>
      </c>
    </row>
    <row r="65">
      <c r="A65" s="7" t="str">
        <f>IFERROR(__xludf.DUMMYFUNCTION("""COMPUTED_VALUE"""),"AH7409")</f>
        <v>AH7409</v>
      </c>
      <c r="B65" s="308">
        <f>IFERROR(__xludf.DUMMYFUNCTION("""COMPUTED_VALUE"""),44816.0)</f>
        <v>44816</v>
      </c>
      <c r="C65" s="309">
        <f>IFERROR(__xludf.DUMMYFUNCTION("""COMPUTED_VALUE"""),0.38988425925925924)</f>
        <v>0.3898842593</v>
      </c>
      <c r="D65" s="54" t="str">
        <f>IFERROR(__xludf.DUMMYFUNCTION("""COMPUTED_VALUE"""),"SpABRM655136")</f>
        <v>SpABRM655136</v>
      </c>
      <c r="E65" s="310"/>
      <c r="F65" s="310"/>
      <c r="G65" s="310" t="str">
        <f>IFERROR(__xludf.DUMMYFUNCTION("""COMPUTED_VALUE"""),"Negative")</f>
        <v>Negative</v>
      </c>
      <c r="H65" s="319" t="str">
        <f>IFERROR(__xludf.DUMMYFUNCTION("""COMPUTED_VALUE"""),"Negative")</f>
        <v>Negative</v>
      </c>
      <c r="I65" s="308">
        <f>IFERROR(__xludf.DUMMYFUNCTION("""COMPUTED_VALUE"""),44816.0)</f>
        <v>44816</v>
      </c>
      <c r="J65" s="311">
        <f>IFERROR(__xludf.DUMMYFUNCTION("""COMPUTED_VALUE"""),0.3922453703703704)</f>
        <v>0.3922453704</v>
      </c>
      <c r="K65" s="54"/>
      <c r="L65" s="7"/>
      <c r="M65" s="312"/>
      <c r="N65" s="172">
        <f>IFERROR(__xludf.DUMMYFUNCTION("""COMPUTED_VALUE"""),1.0)</f>
        <v>1</v>
      </c>
      <c r="O65" s="172" t="str">
        <f t="shared" si="3"/>
        <v/>
      </c>
      <c r="P65" s="313">
        <f>IFERROR(__xludf.DUMMYFUNCTION("""COMPUTED_VALUE"""),0.0)</f>
        <v>0</v>
      </c>
      <c r="Q65" s="76" t="b">
        <f>VLOOKUP($B65,'Run Reconcile'!B$2:O1399,14,FALSE)</f>
        <v>1</v>
      </c>
      <c r="R65" s="314" t="str">
        <f t="array" ref="R65">IF($Q65, INDEX('Run Reconcile'!A$2:A1399,MATCH(B65,'Run Reconcile'!B$2:B1399,0),1),IFERROR(0/0,""))</f>
        <v>RUN-ABRM_2022-09-12_RFR-010</v>
      </c>
      <c r="S65" s="315" t="str">
        <f t="shared" ref="S65:T65" si="134">IF(COUNTIF(W$2:W1399, $A65) &gt; 0,TRUE,IFERROR(0/0,""))</f>
        <v/>
      </c>
      <c r="T65" s="315" t="str">
        <f t="shared" si="134"/>
        <v/>
      </c>
      <c r="U65" s="114" t="str">
        <f t="array" ref="U65">IF(ISBLANK($R65), INDEX('Run Reconcile'!A$2:A1399, MATCH($B65, 'Run Reconcile'!B$2:B1399, 0)+Z65, 1), IFERROR(0/0,""))
</f>
        <v/>
      </c>
      <c r="V65" s="316" t="str">
        <f t="shared" si="5"/>
        <v>RUN-ABRM_2022-09-12_RFR-010</v>
      </c>
      <c r="Y65" s="317" t="str">
        <f t="shared" si="6"/>
        <v/>
      </c>
      <c r="Z65" s="83" t="str">
        <f t="shared" si="7"/>
        <v/>
      </c>
      <c r="AA65" s="83" t="str">
        <f t="shared" si="8"/>
        <v/>
      </c>
      <c r="AB65" s="83" t="str">
        <f t="shared" si="9"/>
        <v/>
      </c>
      <c r="AC65" s="18" t="str">
        <f t="shared" ref="AC65:AD65" si="135">IF(_xlfn.ISFORMULA(S65),IFERROR(0/0,""),TRUE)</f>
        <v/>
      </c>
      <c r="AD65" s="18" t="str">
        <f t="shared" si="135"/>
        <v/>
      </c>
      <c r="AE65" s="43"/>
      <c r="AF65" s="58" t="s">
        <v>34</v>
      </c>
      <c r="AG65" s="55" t="str">
        <f t="shared" si="11"/>
        <v/>
      </c>
    </row>
    <row r="66">
      <c r="A66" s="7" t="str">
        <f>IFERROR(__xludf.DUMMYFUNCTION("""COMPUTED_VALUE"""),"AH9849")</f>
        <v>AH9849</v>
      </c>
      <c r="B66" s="308">
        <f>IFERROR(__xludf.DUMMYFUNCTION("""COMPUTED_VALUE"""),44816.0)</f>
        <v>44816</v>
      </c>
      <c r="C66" s="309">
        <f>IFERROR(__xludf.DUMMYFUNCTION("""COMPUTED_VALUE"""),0.3907175925925926)</f>
        <v>0.3907175926</v>
      </c>
      <c r="D66" s="54" t="str">
        <f>IFERROR(__xludf.DUMMYFUNCTION("""COMPUTED_VALUE"""),"SpABRM655136")</f>
        <v>SpABRM655136</v>
      </c>
      <c r="E66" s="310"/>
      <c r="F66" s="310"/>
      <c r="G66" s="310" t="str">
        <f>IFERROR(__xludf.DUMMYFUNCTION("""COMPUTED_VALUE"""),"Negative")</f>
        <v>Negative</v>
      </c>
      <c r="H66" s="319" t="str">
        <f>IFERROR(__xludf.DUMMYFUNCTION("""COMPUTED_VALUE"""),"Negative")</f>
        <v>Negative</v>
      </c>
      <c r="I66" s="308">
        <f>IFERROR(__xludf.DUMMYFUNCTION("""COMPUTED_VALUE"""),44816.0)</f>
        <v>44816</v>
      </c>
      <c r="J66" s="311">
        <f>IFERROR(__xludf.DUMMYFUNCTION("""COMPUTED_VALUE"""),0.3922569444444444)</f>
        <v>0.3922569444</v>
      </c>
      <c r="K66" s="54"/>
      <c r="L66" s="7"/>
      <c r="M66" s="312"/>
      <c r="N66" s="172">
        <f>IFERROR(__xludf.DUMMYFUNCTION("""COMPUTED_VALUE"""),3.0)</f>
        <v>3</v>
      </c>
      <c r="O66" s="172" t="str">
        <f t="shared" si="3"/>
        <v/>
      </c>
      <c r="P66" s="313">
        <f>IFERROR(__xludf.DUMMYFUNCTION("""COMPUTED_VALUE"""),0.0)</f>
        <v>0</v>
      </c>
      <c r="Q66" s="76" t="b">
        <f>VLOOKUP($B66,'Run Reconcile'!B$2:O1399,14,FALSE)</f>
        <v>1</v>
      </c>
      <c r="R66" s="314" t="str">
        <f t="array" ref="R66">IF($Q66, INDEX('Run Reconcile'!A$2:A1399,MATCH(B66,'Run Reconcile'!B$2:B1399,0),1),IFERROR(0/0,""))</f>
        <v>RUN-ABRM_2022-09-12_RFR-010</v>
      </c>
      <c r="S66" s="315" t="str">
        <f t="shared" ref="S66:T66" si="136">IF(COUNTIF(W$2:W1399, $A66) &gt; 0,TRUE,IFERROR(0/0,""))</f>
        <v/>
      </c>
      <c r="T66" s="315" t="str">
        <f t="shared" si="136"/>
        <v/>
      </c>
      <c r="U66" s="114" t="str">
        <f t="array" ref="U66">IF(ISBLANK($R66), INDEX('Run Reconcile'!A$2:A1399, MATCH($B66, 'Run Reconcile'!B$2:B1399, 0)+Z66, 1), IFERROR(0/0,""))
</f>
        <v/>
      </c>
      <c r="V66" s="316" t="str">
        <f t="shared" si="5"/>
        <v>RUN-ABRM_2022-09-12_RFR-010</v>
      </c>
      <c r="Y66" s="317" t="str">
        <f t="shared" si="6"/>
        <v/>
      </c>
      <c r="Z66" s="83" t="str">
        <f t="shared" si="7"/>
        <v/>
      </c>
      <c r="AA66" s="83" t="str">
        <f t="shared" si="8"/>
        <v/>
      </c>
      <c r="AB66" s="83" t="str">
        <f t="shared" si="9"/>
        <v/>
      </c>
      <c r="AC66" s="18" t="str">
        <f t="shared" ref="AC66:AD66" si="137">IF(_xlfn.ISFORMULA(S66),IFERROR(0/0,""),TRUE)</f>
        <v/>
      </c>
      <c r="AD66" s="18" t="str">
        <f t="shared" si="137"/>
        <v/>
      </c>
      <c r="AE66" s="43"/>
      <c r="AF66" s="58" t="s">
        <v>34</v>
      </c>
      <c r="AG66" s="55" t="str">
        <f t="shared" si="11"/>
        <v/>
      </c>
    </row>
    <row r="67">
      <c r="A67" s="7" t="str">
        <f>IFERROR(__xludf.DUMMYFUNCTION("""COMPUTED_VALUE"""),"AH7778")</f>
        <v>AH7778</v>
      </c>
      <c r="B67" s="308">
        <f>IFERROR(__xludf.DUMMYFUNCTION("""COMPUTED_VALUE"""),44816.0)</f>
        <v>44816</v>
      </c>
      <c r="C67" s="309">
        <f>IFERROR(__xludf.DUMMYFUNCTION("""COMPUTED_VALUE"""),0.3910300925925926)</f>
        <v>0.3910300926</v>
      </c>
      <c r="D67" s="54" t="str">
        <f>IFERROR(__xludf.DUMMYFUNCTION("""COMPUTED_VALUE"""),"SpABRM655136")</f>
        <v>SpABRM655136</v>
      </c>
      <c r="E67" s="310"/>
      <c r="F67" s="310"/>
      <c r="G67" s="310" t="str">
        <f>IFERROR(__xludf.DUMMYFUNCTION("""COMPUTED_VALUE"""),"Negative")</f>
        <v>Negative</v>
      </c>
      <c r="H67" s="319" t="str">
        <f>IFERROR(__xludf.DUMMYFUNCTION("""COMPUTED_VALUE"""),"Negative")</f>
        <v>Negative</v>
      </c>
      <c r="I67" s="308">
        <f>IFERROR(__xludf.DUMMYFUNCTION("""COMPUTED_VALUE"""),44816.0)</f>
        <v>44816</v>
      </c>
      <c r="J67" s="311">
        <f>IFERROR(__xludf.DUMMYFUNCTION("""COMPUTED_VALUE"""),0.3922569444444444)</f>
        <v>0.3922569444</v>
      </c>
      <c r="K67" s="54"/>
      <c r="L67" s="7"/>
      <c r="M67" s="312"/>
      <c r="N67" s="172">
        <f>IFERROR(__xludf.DUMMYFUNCTION("""COMPUTED_VALUE"""),3.0)</f>
        <v>3</v>
      </c>
      <c r="O67" s="172" t="str">
        <f t="shared" si="3"/>
        <v/>
      </c>
      <c r="P67" s="313">
        <f>IFERROR(__xludf.DUMMYFUNCTION("""COMPUTED_VALUE"""),0.0)</f>
        <v>0</v>
      </c>
      <c r="Q67" s="76" t="b">
        <f>VLOOKUP($B67,'Run Reconcile'!B$2:O1399,14,FALSE)</f>
        <v>1</v>
      </c>
      <c r="R67" s="314" t="str">
        <f t="array" ref="R67">IF($Q67, INDEX('Run Reconcile'!A$2:A1399,MATCH(B67,'Run Reconcile'!B$2:B1399,0),1),IFERROR(0/0,""))</f>
        <v>RUN-ABRM_2022-09-12_RFR-010</v>
      </c>
      <c r="S67" s="315" t="str">
        <f t="shared" ref="S67:T67" si="138">IF(COUNTIF(W$2:W1399, $A67) &gt; 0,TRUE,IFERROR(0/0,""))</f>
        <v/>
      </c>
      <c r="T67" s="315" t="str">
        <f t="shared" si="138"/>
        <v/>
      </c>
      <c r="U67" s="114" t="str">
        <f t="array" ref="U67">IF(ISBLANK($R67), INDEX('Run Reconcile'!A$2:A1399, MATCH($B67, 'Run Reconcile'!B$2:B1399, 0)+Z67, 1), IFERROR(0/0,""))
</f>
        <v/>
      </c>
      <c r="V67" s="316" t="str">
        <f t="shared" si="5"/>
        <v>RUN-ABRM_2022-09-12_RFR-010</v>
      </c>
      <c r="Y67" s="317" t="str">
        <f t="shared" si="6"/>
        <v/>
      </c>
      <c r="Z67" s="83" t="str">
        <f t="shared" si="7"/>
        <v/>
      </c>
      <c r="AA67" s="83" t="str">
        <f t="shared" si="8"/>
        <v/>
      </c>
      <c r="AB67" s="83" t="str">
        <f t="shared" si="9"/>
        <v/>
      </c>
      <c r="AC67" s="18" t="str">
        <f t="shared" ref="AC67:AD67" si="139">IF(_xlfn.ISFORMULA(S67),IFERROR(0/0,""),TRUE)</f>
        <v/>
      </c>
      <c r="AD67" s="18" t="str">
        <f t="shared" si="139"/>
        <v/>
      </c>
      <c r="AE67" s="43"/>
      <c r="AF67" s="58" t="s">
        <v>34</v>
      </c>
      <c r="AG67" s="55" t="str">
        <f t="shared" si="11"/>
        <v/>
      </c>
    </row>
    <row r="68">
      <c r="A68" s="7" t="str">
        <f>IFERROR(__xludf.DUMMYFUNCTION("""COMPUTED_VALUE"""),"AH8950")</f>
        <v>AH8950</v>
      </c>
      <c r="B68" s="308">
        <f>IFERROR(__xludf.DUMMYFUNCTION("""COMPUTED_VALUE"""),44817.0)</f>
        <v>44817</v>
      </c>
      <c r="C68" s="309">
        <f>IFERROR(__xludf.DUMMYFUNCTION("""COMPUTED_VALUE"""),0.2327662037037037)</f>
        <v>0.2327662037</v>
      </c>
      <c r="D68" s="54" t="str">
        <f>IFERROR(__xludf.DUMMYFUNCTION("""COMPUTED_VALUE"""),"SpABRM454310")</f>
        <v>SpABRM454310</v>
      </c>
      <c r="E68" s="310"/>
      <c r="F68" s="310"/>
      <c r="G68" s="310" t="str">
        <f>IFERROR(__xludf.DUMMYFUNCTION("""COMPUTED_VALUE"""),"Negative")</f>
        <v>Negative</v>
      </c>
      <c r="H68" s="319" t="str">
        <f>IFERROR(__xludf.DUMMYFUNCTION("""COMPUTED_VALUE"""),"Negative")</f>
        <v>Negative</v>
      </c>
      <c r="I68" s="308">
        <f>IFERROR(__xludf.DUMMYFUNCTION("""COMPUTED_VALUE"""),44817.0)</f>
        <v>44817</v>
      </c>
      <c r="J68" s="311">
        <f>IFERROR(__xludf.DUMMYFUNCTION("""COMPUTED_VALUE"""),0.41261574074074076)</f>
        <v>0.4126157407</v>
      </c>
      <c r="K68" s="54"/>
      <c r="L68" s="7"/>
      <c r="M68" s="312"/>
      <c r="N68" s="172">
        <f>IFERROR(__xludf.DUMMYFUNCTION("""COMPUTED_VALUE"""),3.0)</f>
        <v>3</v>
      </c>
      <c r="O68" s="172" t="b">
        <f t="shared" si="3"/>
        <v>1</v>
      </c>
      <c r="P68" s="313">
        <f>IFERROR(__xludf.DUMMYFUNCTION("""COMPUTED_VALUE"""),0.0)</f>
        <v>0</v>
      </c>
      <c r="Q68" s="76" t="b">
        <f>VLOOKUP($B68,'Run Reconcile'!B$2:O1399,14,FALSE)</f>
        <v>1</v>
      </c>
      <c r="R68" s="314" t="str">
        <f t="array" ref="R68">IF($Q68, INDEX('Run Reconcile'!A$2:A1399,MATCH(B68,'Run Reconcile'!B$2:B1399,0),1),IFERROR(0/0,""))</f>
        <v>RUN-ABRM_2022-09-13_RFR-011</v>
      </c>
      <c r="S68" s="315" t="str">
        <f t="shared" ref="S68:T68" si="140">IF(COUNTIF(W$2:W1399, $A68) &gt; 0,TRUE,IFERROR(0/0,""))</f>
        <v/>
      </c>
      <c r="T68" s="315" t="str">
        <f t="shared" si="140"/>
        <v/>
      </c>
      <c r="U68" s="114" t="str">
        <f t="array" ref="U68">IF(ISBLANK($R68), INDEX('Run Reconcile'!A$2:A1399, MATCH($B68, 'Run Reconcile'!B$2:B1399, 0)+Z68, 1), IFERROR(0/0,""))
</f>
        <v/>
      </c>
      <c r="V68" s="316" t="str">
        <f t="shared" si="5"/>
        <v>RUN-ABRM_2022-09-13_RFR-011</v>
      </c>
      <c r="Y68" s="317" t="str">
        <f t="shared" si="6"/>
        <v/>
      </c>
      <c r="Z68" s="83" t="str">
        <f t="shared" si="7"/>
        <v/>
      </c>
      <c r="AA68" s="83" t="str">
        <f t="shared" si="8"/>
        <v/>
      </c>
      <c r="AB68" s="83" t="str">
        <f t="shared" si="9"/>
        <v/>
      </c>
      <c r="AC68" s="18" t="str">
        <f t="shared" ref="AC68:AD68" si="141">IF(_xlfn.ISFORMULA(S68),IFERROR(0/0,""),TRUE)</f>
        <v/>
      </c>
      <c r="AD68" s="18" t="str">
        <f t="shared" si="141"/>
        <v/>
      </c>
      <c r="AE68" s="43"/>
      <c r="AF68" s="58" t="s">
        <v>35</v>
      </c>
      <c r="AG68" s="55" t="str">
        <f t="shared" si="11"/>
        <v/>
      </c>
    </row>
    <row r="69">
      <c r="A69" s="7" t="str">
        <f>IFERROR(__xludf.DUMMYFUNCTION("""COMPUTED_VALUE"""),"AJ8497")</f>
        <v>AJ8497</v>
      </c>
      <c r="B69" s="308">
        <f>IFERROR(__xludf.DUMMYFUNCTION("""COMPUTED_VALUE"""),44817.0)</f>
        <v>44817</v>
      </c>
      <c r="C69" s="309">
        <f>IFERROR(__xludf.DUMMYFUNCTION("""COMPUTED_VALUE"""),0.2521412037037037)</f>
        <v>0.2521412037</v>
      </c>
      <c r="D69" s="54" t="str">
        <f>IFERROR(__xludf.DUMMYFUNCTION("""COMPUTED_VALUE"""),"SpABRM516158")</f>
        <v>SpABRM516158</v>
      </c>
      <c r="E69" s="310"/>
      <c r="F69" s="310"/>
      <c r="G69" s="310" t="str">
        <f>IFERROR(__xludf.DUMMYFUNCTION("""COMPUTED_VALUE"""),"Negative")</f>
        <v>Negative</v>
      </c>
      <c r="H69" s="319" t="str">
        <f>IFERROR(__xludf.DUMMYFUNCTION("""COMPUTED_VALUE"""),"Negative")</f>
        <v>Negative</v>
      </c>
      <c r="I69" s="308">
        <f>IFERROR(__xludf.DUMMYFUNCTION("""COMPUTED_VALUE"""),44817.0)</f>
        <v>44817</v>
      </c>
      <c r="J69" s="311">
        <f>IFERROR(__xludf.DUMMYFUNCTION("""COMPUTED_VALUE"""),0.41261574074074076)</f>
        <v>0.4126157407</v>
      </c>
      <c r="K69" s="54"/>
      <c r="L69" s="7"/>
      <c r="M69" s="312"/>
      <c r="N69" s="172">
        <f>IFERROR(__xludf.DUMMYFUNCTION("""COMPUTED_VALUE"""),1.0)</f>
        <v>1</v>
      </c>
      <c r="O69" s="172" t="str">
        <f t="shared" si="3"/>
        <v/>
      </c>
      <c r="P69" s="313">
        <f>IFERROR(__xludf.DUMMYFUNCTION("""COMPUTED_VALUE"""),0.0)</f>
        <v>0</v>
      </c>
      <c r="Q69" s="76" t="b">
        <f>VLOOKUP($B69,'Run Reconcile'!B$2:O1399,14,FALSE)</f>
        <v>1</v>
      </c>
      <c r="R69" s="314" t="str">
        <f t="array" ref="R69">IF($Q69, INDEX('Run Reconcile'!A$2:A1399,MATCH(B69,'Run Reconcile'!B$2:B1399,0),1),IFERROR(0/0,""))</f>
        <v>RUN-ABRM_2022-09-13_RFR-011</v>
      </c>
      <c r="S69" s="315" t="str">
        <f t="shared" ref="S69:T69" si="142">IF(COUNTIF(W$2:W1399, $A69) &gt; 0,TRUE,IFERROR(0/0,""))</f>
        <v/>
      </c>
      <c r="T69" s="315" t="str">
        <f t="shared" si="142"/>
        <v/>
      </c>
      <c r="U69" s="114" t="str">
        <f t="array" ref="U69">IF(ISBLANK($R69), INDEX('Run Reconcile'!A$2:A1399, MATCH($B69, 'Run Reconcile'!B$2:B1399, 0)+Z69, 1), IFERROR(0/0,""))
</f>
        <v/>
      </c>
      <c r="V69" s="316" t="str">
        <f t="shared" si="5"/>
        <v>RUN-ABRM_2022-09-13_RFR-011</v>
      </c>
      <c r="Y69" s="317" t="str">
        <f t="shared" si="6"/>
        <v/>
      </c>
      <c r="Z69" s="83" t="str">
        <f t="shared" si="7"/>
        <v/>
      </c>
      <c r="AA69" s="83" t="str">
        <f t="shared" si="8"/>
        <v/>
      </c>
      <c r="AB69" s="83" t="str">
        <f t="shared" si="9"/>
        <v/>
      </c>
      <c r="AC69" s="18" t="str">
        <f t="shared" ref="AC69:AD69" si="143">IF(_xlfn.ISFORMULA(S69),IFERROR(0/0,""),TRUE)</f>
        <v/>
      </c>
      <c r="AD69" s="18" t="str">
        <f t="shared" si="143"/>
        <v/>
      </c>
      <c r="AE69" s="43"/>
      <c r="AF69" s="58" t="s">
        <v>35</v>
      </c>
      <c r="AG69" s="55" t="str">
        <f t="shared" si="11"/>
        <v/>
      </c>
    </row>
    <row r="70">
      <c r="A70" s="7" t="str">
        <f>IFERROR(__xludf.DUMMYFUNCTION("""COMPUTED_VALUE"""),"AG1299")</f>
        <v>AG1299</v>
      </c>
      <c r="B70" s="308">
        <f>IFERROR(__xludf.DUMMYFUNCTION("""COMPUTED_VALUE"""),44817.0)</f>
        <v>44817</v>
      </c>
      <c r="C70" s="309">
        <f>IFERROR(__xludf.DUMMYFUNCTION("""COMPUTED_VALUE"""),0.28467592592592594)</f>
        <v>0.2846759259</v>
      </c>
      <c r="D70" s="54" t="str">
        <f>IFERROR(__xludf.DUMMYFUNCTION("""COMPUTED_VALUE"""),"SpABRM128250")</f>
        <v>SpABRM128250</v>
      </c>
      <c r="E70" s="310"/>
      <c r="F70" s="310"/>
      <c r="G70" s="310" t="str">
        <f>IFERROR(__xludf.DUMMYFUNCTION("""COMPUTED_VALUE"""),"Negative")</f>
        <v>Negative</v>
      </c>
      <c r="H70" s="319" t="str">
        <f>IFERROR(__xludf.DUMMYFUNCTION("""COMPUTED_VALUE"""),"Negative")</f>
        <v>Negative</v>
      </c>
      <c r="I70" s="308">
        <f>IFERROR(__xludf.DUMMYFUNCTION("""COMPUTED_VALUE"""),44817.0)</f>
        <v>44817</v>
      </c>
      <c r="J70" s="311">
        <f>IFERROR(__xludf.DUMMYFUNCTION("""COMPUTED_VALUE"""),0.41261574074074076)</f>
        <v>0.4126157407</v>
      </c>
      <c r="K70" s="54"/>
      <c r="L70" s="7"/>
      <c r="M70" s="312"/>
      <c r="N70" s="172">
        <f>IFERROR(__xludf.DUMMYFUNCTION("""COMPUTED_VALUE"""),3.0)</f>
        <v>3</v>
      </c>
      <c r="O70" s="172" t="str">
        <f t="shared" si="3"/>
        <v/>
      </c>
      <c r="P70" s="313">
        <f>IFERROR(__xludf.DUMMYFUNCTION("""COMPUTED_VALUE"""),0.0)</f>
        <v>0</v>
      </c>
      <c r="Q70" s="76" t="b">
        <f>VLOOKUP($B70,'Run Reconcile'!B$2:O1399,14,FALSE)</f>
        <v>1</v>
      </c>
      <c r="R70" s="314" t="str">
        <f t="array" ref="R70">IF($Q70, INDEX('Run Reconcile'!A$2:A1399,MATCH(B70,'Run Reconcile'!B$2:B1399,0),1),IFERROR(0/0,""))</f>
        <v>RUN-ABRM_2022-09-13_RFR-011</v>
      </c>
      <c r="S70" s="315" t="str">
        <f t="shared" ref="S70:T70" si="144">IF(COUNTIF(W$2:W1399, $A70) &gt; 0,TRUE,IFERROR(0/0,""))</f>
        <v/>
      </c>
      <c r="T70" s="315" t="str">
        <f t="shared" si="144"/>
        <v/>
      </c>
      <c r="U70" s="114" t="str">
        <f t="array" ref="U70">IF(ISBLANK($R70), INDEX('Run Reconcile'!A$2:A1399, MATCH($B70, 'Run Reconcile'!B$2:B1399, 0)+Z70, 1), IFERROR(0/0,""))
</f>
        <v/>
      </c>
      <c r="V70" s="316" t="str">
        <f t="shared" si="5"/>
        <v>RUN-ABRM_2022-09-13_RFR-011</v>
      </c>
      <c r="Y70" s="317" t="str">
        <f t="shared" si="6"/>
        <v/>
      </c>
      <c r="Z70" s="83" t="str">
        <f t="shared" si="7"/>
        <v/>
      </c>
      <c r="AA70" s="83" t="str">
        <f t="shared" si="8"/>
        <v/>
      </c>
      <c r="AB70" s="83" t="str">
        <f t="shared" si="9"/>
        <v/>
      </c>
      <c r="AC70" s="18" t="str">
        <f t="shared" ref="AC70:AD70" si="145">IF(_xlfn.ISFORMULA(S70),IFERROR(0/0,""),TRUE)</f>
        <v/>
      </c>
      <c r="AD70" s="18" t="str">
        <f t="shared" si="145"/>
        <v/>
      </c>
      <c r="AE70" s="43"/>
      <c r="AF70" s="58" t="s">
        <v>35</v>
      </c>
      <c r="AG70" s="55" t="str">
        <f t="shared" si="11"/>
        <v/>
      </c>
    </row>
    <row r="71">
      <c r="A71" s="7" t="str">
        <f>IFERROR(__xludf.DUMMYFUNCTION("""COMPUTED_VALUE"""),"AG745")</f>
        <v>AG745</v>
      </c>
      <c r="B71" s="308">
        <f>IFERROR(__xludf.DUMMYFUNCTION("""COMPUTED_VALUE"""),44817.0)</f>
        <v>44817</v>
      </c>
      <c r="C71" s="309">
        <f>IFERROR(__xludf.DUMMYFUNCTION("""COMPUTED_VALUE"""),0.29765046296296294)</f>
        <v>0.297650463</v>
      </c>
      <c r="D71" s="54" t="str">
        <f>IFERROR(__xludf.DUMMYFUNCTION("""COMPUTED_VALUE"""),"SpABRM367540")</f>
        <v>SpABRM367540</v>
      </c>
      <c r="E71" s="310"/>
      <c r="F71" s="310"/>
      <c r="G71" s="310" t="str">
        <f>IFERROR(__xludf.DUMMYFUNCTION("""COMPUTED_VALUE"""),"Negative")</f>
        <v>Negative</v>
      </c>
      <c r="H71" s="319" t="str">
        <f>IFERROR(__xludf.DUMMYFUNCTION("""COMPUTED_VALUE"""),"Negative")</f>
        <v>Negative</v>
      </c>
      <c r="I71" s="308">
        <f>IFERROR(__xludf.DUMMYFUNCTION("""COMPUTED_VALUE"""),44817.0)</f>
        <v>44817</v>
      </c>
      <c r="J71" s="311">
        <f>IFERROR(__xludf.DUMMYFUNCTION("""COMPUTED_VALUE"""),0.41261574074074076)</f>
        <v>0.4126157407</v>
      </c>
      <c r="K71" s="54"/>
      <c r="L71" s="7"/>
      <c r="M71" s="312"/>
      <c r="N71" s="172">
        <f>IFERROR(__xludf.DUMMYFUNCTION("""COMPUTED_VALUE"""),3.0)</f>
        <v>3</v>
      </c>
      <c r="O71" s="172" t="str">
        <f t="shared" si="3"/>
        <v/>
      </c>
      <c r="P71" s="313">
        <f>IFERROR(__xludf.DUMMYFUNCTION("""COMPUTED_VALUE"""),0.0)</f>
        <v>0</v>
      </c>
      <c r="Q71" s="76" t="b">
        <f>VLOOKUP($B71,'Run Reconcile'!B$2:O1399,14,FALSE)</f>
        <v>1</v>
      </c>
      <c r="R71" s="314" t="str">
        <f t="array" ref="R71">IF($Q71, INDEX('Run Reconcile'!A$2:A1399,MATCH(B71,'Run Reconcile'!B$2:B1399,0),1),IFERROR(0/0,""))</f>
        <v>RUN-ABRM_2022-09-13_RFR-011</v>
      </c>
      <c r="S71" s="315" t="str">
        <f t="shared" ref="S71:T71" si="146">IF(COUNTIF(W$2:W1399, $A71) &gt; 0,TRUE,IFERROR(0/0,""))</f>
        <v/>
      </c>
      <c r="T71" s="315" t="str">
        <f t="shared" si="146"/>
        <v/>
      </c>
      <c r="U71" s="114" t="str">
        <f t="array" ref="U71">IF(ISBLANK($R71), INDEX('Run Reconcile'!A$2:A1399, MATCH($B71, 'Run Reconcile'!B$2:B1399, 0)+Z71, 1), IFERROR(0/0,""))
</f>
        <v/>
      </c>
      <c r="V71" s="316" t="str">
        <f t="shared" si="5"/>
        <v>RUN-ABRM_2022-09-13_RFR-011</v>
      </c>
      <c r="Y71" s="317" t="str">
        <f t="shared" si="6"/>
        <v/>
      </c>
      <c r="Z71" s="83" t="str">
        <f t="shared" si="7"/>
        <v/>
      </c>
      <c r="AA71" s="83" t="str">
        <f t="shared" si="8"/>
        <v/>
      </c>
      <c r="AB71" s="83" t="str">
        <f t="shared" si="9"/>
        <v/>
      </c>
      <c r="AC71" s="18" t="str">
        <f t="shared" ref="AC71:AD71" si="147">IF(_xlfn.ISFORMULA(S71),IFERROR(0/0,""),TRUE)</f>
        <v/>
      </c>
      <c r="AD71" s="18" t="str">
        <f t="shared" si="147"/>
        <v/>
      </c>
      <c r="AE71" s="43"/>
      <c r="AF71" s="58" t="s">
        <v>35</v>
      </c>
      <c r="AG71" s="55" t="str">
        <f t="shared" si="11"/>
        <v/>
      </c>
    </row>
    <row r="72">
      <c r="A72" s="7" t="str">
        <f>IFERROR(__xludf.DUMMYFUNCTION("""COMPUTED_VALUE"""),"AG970")</f>
        <v>AG970</v>
      </c>
      <c r="B72" s="308">
        <f>IFERROR(__xludf.DUMMYFUNCTION("""COMPUTED_VALUE"""),44817.0)</f>
        <v>44817</v>
      </c>
      <c r="C72" s="309">
        <f>IFERROR(__xludf.DUMMYFUNCTION("""COMPUTED_VALUE"""),0.3003240740740741)</f>
        <v>0.3003240741</v>
      </c>
      <c r="D72" s="54" t="str">
        <f>IFERROR(__xludf.DUMMYFUNCTION("""COMPUTED_VALUE"""),"SpABRM814022")</f>
        <v>SpABRM814022</v>
      </c>
      <c r="E72" s="310"/>
      <c r="F72" s="310"/>
      <c r="G72" s="310" t="str">
        <f>IFERROR(__xludf.DUMMYFUNCTION("""COMPUTED_VALUE"""),"Negative")</f>
        <v>Negative</v>
      </c>
      <c r="H72" s="319" t="str">
        <f>IFERROR(__xludf.DUMMYFUNCTION("""COMPUTED_VALUE"""),"Negative")</f>
        <v>Negative</v>
      </c>
      <c r="I72" s="308">
        <f>IFERROR(__xludf.DUMMYFUNCTION("""COMPUTED_VALUE"""),44817.0)</f>
        <v>44817</v>
      </c>
      <c r="J72" s="311">
        <f>IFERROR(__xludf.DUMMYFUNCTION("""COMPUTED_VALUE"""),0.41261574074074076)</f>
        <v>0.4126157407</v>
      </c>
      <c r="K72" s="54"/>
      <c r="L72" s="7"/>
      <c r="M72" s="312"/>
      <c r="N72" s="172">
        <f>IFERROR(__xludf.DUMMYFUNCTION("""COMPUTED_VALUE"""),2.0)</f>
        <v>2</v>
      </c>
      <c r="O72" s="172" t="str">
        <f t="shared" si="3"/>
        <v/>
      </c>
      <c r="P72" s="313">
        <f>IFERROR(__xludf.DUMMYFUNCTION("""COMPUTED_VALUE"""),0.0)</f>
        <v>0</v>
      </c>
      <c r="Q72" s="76" t="b">
        <f>VLOOKUP($B72,'Run Reconcile'!B$2:O1399,14,FALSE)</f>
        <v>1</v>
      </c>
      <c r="R72" s="314" t="str">
        <f t="array" ref="R72">IF($Q72, INDEX('Run Reconcile'!A$2:A1399,MATCH(B72,'Run Reconcile'!B$2:B1399,0),1),IFERROR(0/0,""))</f>
        <v>RUN-ABRM_2022-09-13_RFR-011</v>
      </c>
      <c r="S72" s="315" t="str">
        <f t="shared" ref="S72:T72" si="148">IF(COUNTIF(W$2:W1399, $A72) &gt; 0,TRUE,IFERROR(0/0,""))</f>
        <v/>
      </c>
      <c r="T72" s="315" t="str">
        <f t="shared" si="148"/>
        <v/>
      </c>
      <c r="U72" s="114" t="str">
        <f t="array" ref="U72">IF(ISBLANK($R72), INDEX('Run Reconcile'!A$2:A1399, MATCH($B72, 'Run Reconcile'!B$2:B1399, 0)+Z72, 1), IFERROR(0/0,""))
</f>
        <v/>
      </c>
      <c r="V72" s="316" t="str">
        <f t="shared" si="5"/>
        <v>RUN-ABRM_2022-09-13_RFR-011</v>
      </c>
      <c r="Y72" s="317" t="str">
        <f t="shared" si="6"/>
        <v/>
      </c>
      <c r="Z72" s="83" t="str">
        <f t="shared" si="7"/>
        <v/>
      </c>
      <c r="AA72" s="83" t="str">
        <f t="shared" si="8"/>
        <v/>
      </c>
      <c r="AB72" s="83" t="str">
        <f t="shared" si="9"/>
        <v/>
      </c>
      <c r="AC72" s="18" t="str">
        <f t="shared" ref="AC72:AD72" si="149">IF(_xlfn.ISFORMULA(S72),IFERROR(0/0,""),TRUE)</f>
        <v/>
      </c>
      <c r="AD72" s="18" t="str">
        <f t="shared" si="149"/>
        <v/>
      </c>
      <c r="AE72" s="43"/>
      <c r="AF72" s="58" t="s">
        <v>35</v>
      </c>
      <c r="AG72" s="55" t="str">
        <f t="shared" si="11"/>
        <v/>
      </c>
    </row>
    <row r="73">
      <c r="A73" s="7" t="str">
        <f>IFERROR(__xludf.DUMMYFUNCTION("""COMPUTED_VALUE"""),"AG1601")</f>
        <v>AG1601</v>
      </c>
      <c r="B73" s="308">
        <f>IFERROR(__xludf.DUMMYFUNCTION("""COMPUTED_VALUE"""),44817.0)</f>
        <v>44817</v>
      </c>
      <c r="C73" s="309">
        <f>IFERROR(__xludf.DUMMYFUNCTION("""COMPUTED_VALUE"""),0.3117013888888889)</f>
        <v>0.3117013889</v>
      </c>
      <c r="D73" s="54" t="str">
        <f>IFERROR(__xludf.DUMMYFUNCTION("""COMPUTED_VALUE"""),"SpABRM478497")</f>
        <v>SpABRM478497</v>
      </c>
      <c r="E73" s="310"/>
      <c r="F73" s="310"/>
      <c r="G73" s="310" t="str">
        <f>IFERROR(__xludf.DUMMYFUNCTION("""COMPUTED_VALUE"""),"Negative")</f>
        <v>Negative</v>
      </c>
      <c r="H73" s="319" t="str">
        <f>IFERROR(__xludf.DUMMYFUNCTION("""COMPUTED_VALUE"""),"Negative")</f>
        <v>Negative</v>
      </c>
      <c r="I73" s="308">
        <f>IFERROR(__xludf.DUMMYFUNCTION("""COMPUTED_VALUE"""),44817.0)</f>
        <v>44817</v>
      </c>
      <c r="J73" s="311">
        <f>IFERROR(__xludf.DUMMYFUNCTION("""COMPUTED_VALUE"""),0.4126273148148148)</f>
        <v>0.4126273148</v>
      </c>
      <c r="K73" s="54"/>
      <c r="L73" s="7"/>
      <c r="M73" s="312"/>
      <c r="N73" s="172">
        <f>IFERROR(__xludf.DUMMYFUNCTION("""COMPUTED_VALUE"""),4.0)</f>
        <v>4</v>
      </c>
      <c r="O73" s="172" t="str">
        <f t="shared" si="3"/>
        <v/>
      </c>
      <c r="P73" s="313">
        <f>IFERROR(__xludf.DUMMYFUNCTION("""COMPUTED_VALUE"""),0.0)</f>
        <v>0</v>
      </c>
      <c r="Q73" s="76" t="b">
        <f>VLOOKUP($B73,'Run Reconcile'!B$2:O1399,14,FALSE)</f>
        <v>1</v>
      </c>
      <c r="R73" s="314" t="str">
        <f t="array" ref="R73">IF($Q73, INDEX('Run Reconcile'!A$2:A1399,MATCH(B73,'Run Reconcile'!B$2:B1399,0),1),IFERROR(0/0,""))</f>
        <v>RUN-ABRM_2022-09-13_RFR-011</v>
      </c>
      <c r="S73" s="315" t="str">
        <f t="shared" ref="S73:T73" si="150">IF(COUNTIF(W$2:W1399, $A73) &gt; 0,TRUE,IFERROR(0/0,""))</f>
        <v/>
      </c>
      <c r="T73" s="315" t="str">
        <f t="shared" si="150"/>
        <v/>
      </c>
      <c r="U73" s="114" t="str">
        <f t="array" ref="U73">IF(ISBLANK($R73), INDEX('Run Reconcile'!A$2:A1399, MATCH($B73, 'Run Reconcile'!B$2:B1399, 0)+Z73, 1), IFERROR(0/0,""))
</f>
        <v/>
      </c>
      <c r="V73" s="316" t="str">
        <f t="shared" si="5"/>
        <v>RUN-ABRM_2022-09-13_RFR-011</v>
      </c>
      <c r="Y73" s="317" t="str">
        <f t="shared" si="6"/>
        <v/>
      </c>
      <c r="Z73" s="83" t="str">
        <f t="shared" si="7"/>
        <v/>
      </c>
      <c r="AA73" s="83" t="str">
        <f t="shared" si="8"/>
        <v/>
      </c>
      <c r="AB73" s="83" t="str">
        <f t="shared" si="9"/>
        <v/>
      </c>
      <c r="AC73" s="18" t="str">
        <f t="shared" ref="AC73:AD73" si="151">IF(_xlfn.ISFORMULA(S73),IFERROR(0/0,""),TRUE)</f>
        <v/>
      </c>
      <c r="AD73" s="18" t="str">
        <f t="shared" si="151"/>
        <v/>
      </c>
      <c r="AE73" s="43"/>
      <c r="AF73" s="58" t="s">
        <v>35</v>
      </c>
      <c r="AG73" s="55" t="str">
        <f t="shared" si="11"/>
        <v/>
      </c>
    </row>
    <row r="74">
      <c r="A74" s="7" t="str">
        <f>IFERROR(__xludf.DUMMYFUNCTION("""COMPUTED_VALUE"""),"AH8280")</f>
        <v>AH8280</v>
      </c>
      <c r="B74" s="308">
        <f>IFERROR(__xludf.DUMMYFUNCTION("""COMPUTED_VALUE"""),44817.0)</f>
        <v>44817</v>
      </c>
      <c r="C74" s="309">
        <f>IFERROR(__xludf.DUMMYFUNCTION("""COMPUTED_VALUE"""),0.31177083333333333)</f>
        <v>0.3117708333</v>
      </c>
      <c r="D74" s="54" t="str">
        <f>IFERROR(__xludf.DUMMYFUNCTION("""COMPUTED_VALUE"""),"SpABRM655136")</f>
        <v>SpABRM655136</v>
      </c>
      <c r="E74" s="310"/>
      <c r="F74" s="310"/>
      <c r="G74" s="310" t="str">
        <f>IFERROR(__xludf.DUMMYFUNCTION("""COMPUTED_VALUE"""),"Negative")</f>
        <v>Negative</v>
      </c>
      <c r="H74" s="319" t="str">
        <f>IFERROR(__xludf.DUMMYFUNCTION("""COMPUTED_VALUE"""),"Negative")</f>
        <v>Negative</v>
      </c>
      <c r="I74" s="308">
        <f>IFERROR(__xludf.DUMMYFUNCTION("""COMPUTED_VALUE"""),44817.0)</f>
        <v>44817</v>
      </c>
      <c r="J74" s="311">
        <f>IFERROR(__xludf.DUMMYFUNCTION("""COMPUTED_VALUE"""),0.41261574074074076)</f>
        <v>0.4126157407</v>
      </c>
      <c r="K74" s="54"/>
      <c r="L74" s="7"/>
      <c r="M74" s="312"/>
      <c r="N74" s="172">
        <f>IFERROR(__xludf.DUMMYFUNCTION("""COMPUTED_VALUE"""),2.0)</f>
        <v>2</v>
      </c>
      <c r="O74" s="172" t="str">
        <f t="shared" si="3"/>
        <v/>
      </c>
      <c r="P74" s="313">
        <f>IFERROR(__xludf.DUMMYFUNCTION("""COMPUTED_VALUE"""),0.0)</f>
        <v>0</v>
      </c>
      <c r="Q74" s="76" t="b">
        <f>VLOOKUP($B74,'Run Reconcile'!B$2:O1399,14,FALSE)</f>
        <v>1</v>
      </c>
      <c r="R74" s="314" t="str">
        <f t="array" ref="R74">IF($Q74, INDEX('Run Reconcile'!A$2:A1399,MATCH(B74,'Run Reconcile'!B$2:B1399,0),1),IFERROR(0/0,""))</f>
        <v>RUN-ABRM_2022-09-13_RFR-011</v>
      </c>
      <c r="S74" s="315" t="str">
        <f t="shared" ref="S74:T74" si="152">IF(COUNTIF(W$2:W1399, $A74) &gt; 0,TRUE,IFERROR(0/0,""))</f>
        <v/>
      </c>
      <c r="T74" s="315" t="str">
        <f t="shared" si="152"/>
        <v/>
      </c>
      <c r="U74" s="114" t="str">
        <f t="array" ref="U74">IF(ISBLANK($R74), INDEX('Run Reconcile'!A$2:A1399, MATCH($B74, 'Run Reconcile'!B$2:B1399, 0)+Z74, 1), IFERROR(0/0,""))
</f>
        <v/>
      </c>
      <c r="V74" s="316" t="str">
        <f t="shared" si="5"/>
        <v>RUN-ABRM_2022-09-13_RFR-011</v>
      </c>
      <c r="Y74" s="317" t="str">
        <f t="shared" si="6"/>
        <v/>
      </c>
      <c r="Z74" s="83" t="str">
        <f t="shared" si="7"/>
        <v/>
      </c>
      <c r="AA74" s="83" t="str">
        <f t="shared" si="8"/>
        <v/>
      </c>
      <c r="AB74" s="83" t="str">
        <f t="shared" si="9"/>
        <v/>
      </c>
      <c r="AC74" s="18" t="str">
        <f t="shared" ref="AC74:AD74" si="153">IF(_xlfn.ISFORMULA(S74),IFERROR(0/0,""),TRUE)</f>
        <v/>
      </c>
      <c r="AD74" s="18" t="str">
        <f t="shared" si="153"/>
        <v/>
      </c>
      <c r="AE74" s="43"/>
      <c r="AF74" s="58" t="s">
        <v>35</v>
      </c>
      <c r="AG74" s="55" t="str">
        <f t="shared" si="11"/>
        <v/>
      </c>
    </row>
    <row r="75">
      <c r="A75" s="7" t="str">
        <f>IFERROR(__xludf.DUMMYFUNCTION("""COMPUTED_VALUE"""),"AH8811")</f>
        <v>AH8811</v>
      </c>
      <c r="B75" s="308">
        <f>IFERROR(__xludf.DUMMYFUNCTION("""COMPUTED_VALUE"""),44817.0)</f>
        <v>44817</v>
      </c>
      <c r="C75" s="309">
        <f>IFERROR(__xludf.DUMMYFUNCTION("""COMPUTED_VALUE"""),0.31484953703703705)</f>
        <v>0.314849537</v>
      </c>
      <c r="D75" s="54" t="str">
        <f>IFERROR(__xludf.DUMMYFUNCTION("""COMPUTED_VALUE"""),"SpABRM655136")</f>
        <v>SpABRM655136</v>
      </c>
      <c r="E75" s="310"/>
      <c r="F75" s="310"/>
      <c r="G75" s="310" t="str">
        <f>IFERROR(__xludf.DUMMYFUNCTION("""COMPUTED_VALUE"""),"Negative")</f>
        <v>Negative</v>
      </c>
      <c r="H75" s="319" t="str">
        <f>IFERROR(__xludf.DUMMYFUNCTION("""COMPUTED_VALUE"""),"Negative")</f>
        <v>Negative</v>
      </c>
      <c r="I75" s="308">
        <f>IFERROR(__xludf.DUMMYFUNCTION("""COMPUTED_VALUE"""),44817.0)</f>
        <v>44817</v>
      </c>
      <c r="J75" s="311">
        <f>IFERROR(__xludf.DUMMYFUNCTION("""COMPUTED_VALUE"""),0.4126273148148148)</f>
        <v>0.4126273148</v>
      </c>
      <c r="K75" s="54"/>
      <c r="L75" s="7"/>
      <c r="M75" s="312"/>
      <c r="N75" s="172">
        <f>IFERROR(__xludf.DUMMYFUNCTION("""COMPUTED_VALUE"""),2.0)</f>
        <v>2</v>
      </c>
      <c r="O75" s="172" t="str">
        <f t="shared" si="3"/>
        <v/>
      </c>
      <c r="P75" s="313">
        <f>IFERROR(__xludf.DUMMYFUNCTION("""COMPUTED_VALUE"""),0.0)</f>
        <v>0</v>
      </c>
      <c r="Q75" s="76" t="b">
        <f>VLOOKUP($B75,'Run Reconcile'!B$2:O1399,14,FALSE)</f>
        <v>1</v>
      </c>
      <c r="R75" s="314" t="str">
        <f t="array" ref="R75">IF($Q75, INDEX('Run Reconcile'!A$2:A1399,MATCH(B75,'Run Reconcile'!B$2:B1399,0),1),IFERROR(0/0,""))</f>
        <v>RUN-ABRM_2022-09-13_RFR-011</v>
      </c>
      <c r="S75" s="315" t="str">
        <f t="shared" ref="S75:T75" si="154">IF(COUNTIF(W$2:W1399, $A75) &gt; 0,TRUE,IFERROR(0/0,""))</f>
        <v/>
      </c>
      <c r="T75" s="315" t="str">
        <f t="shared" si="154"/>
        <v/>
      </c>
      <c r="U75" s="114" t="str">
        <f t="array" ref="U75">IF(ISBLANK($R75), INDEX('Run Reconcile'!A$2:A1399, MATCH($B75, 'Run Reconcile'!B$2:B1399, 0)+Z75, 1), IFERROR(0/0,""))
</f>
        <v/>
      </c>
      <c r="V75" s="316" t="str">
        <f t="shared" si="5"/>
        <v>RUN-ABRM_2022-09-13_RFR-011</v>
      </c>
      <c r="Y75" s="317" t="str">
        <f t="shared" si="6"/>
        <v/>
      </c>
      <c r="Z75" s="83" t="str">
        <f t="shared" si="7"/>
        <v/>
      </c>
      <c r="AA75" s="83" t="str">
        <f t="shared" si="8"/>
        <v/>
      </c>
      <c r="AB75" s="83" t="str">
        <f t="shared" si="9"/>
        <v/>
      </c>
      <c r="AC75" s="18" t="str">
        <f t="shared" ref="AC75:AD75" si="155">IF(_xlfn.ISFORMULA(S75),IFERROR(0/0,""),TRUE)</f>
        <v/>
      </c>
      <c r="AD75" s="18" t="str">
        <f t="shared" si="155"/>
        <v/>
      </c>
      <c r="AE75" s="43"/>
      <c r="AF75" s="58" t="s">
        <v>35</v>
      </c>
      <c r="AG75" s="55" t="str">
        <f t="shared" si="11"/>
        <v/>
      </c>
    </row>
    <row r="76">
      <c r="A76" s="7" t="str">
        <f>IFERROR(__xludf.DUMMYFUNCTION("""COMPUTED_VALUE"""),"AH9221")</f>
        <v>AH9221</v>
      </c>
      <c r="B76" s="308">
        <f>IFERROR(__xludf.DUMMYFUNCTION("""COMPUTED_VALUE"""),44817.0)</f>
        <v>44817</v>
      </c>
      <c r="C76" s="309">
        <f>IFERROR(__xludf.DUMMYFUNCTION("""COMPUTED_VALUE"""),0.31526620370370373)</f>
        <v>0.3152662037</v>
      </c>
      <c r="D76" s="7" t="str">
        <f>IFERROR(__xludf.DUMMYFUNCTION("""COMPUTED_VALUE"""),"SpABRM655136")</f>
        <v>SpABRM655136</v>
      </c>
      <c r="E76" s="310"/>
      <c r="F76" s="310"/>
      <c r="G76" s="310" t="str">
        <f>IFERROR(__xludf.DUMMYFUNCTION("""COMPUTED_VALUE"""),"Negative")</f>
        <v>Negative</v>
      </c>
      <c r="H76" s="319" t="str">
        <f>IFERROR(__xludf.DUMMYFUNCTION("""COMPUTED_VALUE"""),"Negative")</f>
        <v>Negative</v>
      </c>
      <c r="I76" s="308">
        <f>IFERROR(__xludf.DUMMYFUNCTION("""COMPUTED_VALUE"""),44817.0)</f>
        <v>44817</v>
      </c>
      <c r="J76" s="311">
        <f>IFERROR(__xludf.DUMMYFUNCTION("""COMPUTED_VALUE"""),0.4126273148148148)</f>
        <v>0.4126273148</v>
      </c>
      <c r="K76" s="54"/>
      <c r="L76" s="7"/>
      <c r="M76" s="312"/>
      <c r="N76" s="172">
        <f>IFERROR(__xludf.DUMMYFUNCTION("""COMPUTED_VALUE"""),1.0)</f>
        <v>1</v>
      </c>
      <c r="O76" s="172" t="str">
        <f t="shared" si="3"/>
        <v/>
      </c>
      <c r="P76" s="313">
        <f>IFERROR(__xludf.DUMMYFUNCTION("""COMPUTED_VALUE"""),0.0)</f>
        <v>0</v>
      </c>
      <c r="Q76" s="76" t="b">
        <f>VLOOKUP($B76,'Run Reconcile'!B$2:O1399,14,FALSE)</f>
        <v>1</v>
      </c>
      <c r="R76" s="314" t="str">
        <f t="array" ref="R76">IF($Q76, INDEX('Run Reconcile'!A$2:A1399,MATCH(B76,'Run Reconcile'!B$2:B1399,0),1),IFERROR(0/0,""))</f>
        <v>RUN-ABRM_2022-09-13_RFR-011</v>
      </c>
      <c r="S76" s="315" t="str">
        <f t="shared" ref="S76:T76" si="156">IF(COUNTIF(W$2:W1399, $A76) &gt; 0,TRUE,IFERROR(0/0,""))</f>
        <v/>
      </c>
      <c r="T76" s="315" t="str">
        <f t="shared" si="156"/>
        <v/>
      </c>
      <c r="U76" s="114" t="str">
        <f t="array" ref="U76">IF(ISBLANK($R76), INDEX('Run Reconcile'!A$2:A1399, MATCH($B76, 'Run Reconcile'!B$2:B1399, 0)+Z76, 1), IFERROR(0/0,""))
</f>
        <v/>
      </c>
      <c r="V76" s="316" t="str">
        <f t="shared" si="5"/>
        <v>RUN-ABRM_2022-09-13_RFR-011</v>
      </c>
      <c r="Y76" s="317" t="str">
        <f t="shared" si="6"/>
        <v/>
      </c>
      <c r="Z76" s="83" t="str">
        <f t="shared" si="7"/>
        <v/>
      </c>
      <c r="AA76" s="83" t="str">
        <f t="shared" si="8"/>
        <v/>
      </c>
      <c r="AB76" s="83" t="str">
        <f t="shared" si="9"/>
        <v/>
      </c>
      <c r="AC76" s="18" t="str">
        <f t="shared" ref="AC76:AD76" si="157">IF(_xlfn.ISFORMULA(S76),IFERROR(0/0,""),TRUE)</f>
        <v/>
      </c>
      <c r="AD76" s="18" t="str">
        <f t="shared" si="157"/>
        <v/>
      </c>
      <c r="AE76" s="43"/>
      <c r="AF76" s="58" t="s">
        <v>35</v>
      </c>
      <c r="AG76" s="55" t="str">
        <f t="shared" si="11"/>
        <v/>
      </c>
    </row>
    <row r="77">
      <c r="A77" s="7" t="str">
        <f>IFERROR(__xludf.DUMMYFUNCTION("""COMPUTED_VALUE"""),"AH9740")</f>
        <v>AH9740</v>
      </c>
      <c r="B77" s="308">
        <f>IFERROR(__xludf.DUMMYFUNCTION("""COMPUTED_VALUE"""),44817.0)</f>
        <v>44817</v>
      </c>
      <c r="C77" s="309">
        <f>IFERROR(__xludf.DUMMYFUNCTION("""COMPUTED_VALUE"""),0.3676157407407407)</f>
        <v>0.3676157407</v>
      </c>
      <c r="D77" s="7" t="str">
        <f>IFERROR(__xludf.DUMMYFUNCTION("""COMPUTED_VALUE"""),"SpABRM655136")</f>
        <v>SpABRM655136</v>
      </c>
      <c r="E77" s="310"/>
      <c r="F77" s="310"/>
      <c r="G77" s="310" t="str">
        <f>IFERROR(__xludf.DUMMYFUNCTION("""COMPUTED_VALUE"""),"Negative")</f>
        <v>Negative</v>
      </c>
      <c r="H77" s="319" t="str">
        <f>IFERROR(__xludf.DUMMYFUNCTION("""COMPUTED_VALUE"""),"Negative")</f>
        <v>Negative</v>
      </c>
      <c r="I77" s="308">
        <f>IFERROR(__xludf.DUMMYFUNCTION("""COMPUTED_VALUE"""),44817.0)</f>
        <v>44817</v>
      </c>
      <c r="J77" s="311">
        <f>IFERROR(__xludf.DUMMYFUNCTION("""COMPUTED_VALUE"""),0.4126273148148148)</f>
        <v>0.4126273148</v>
      </c>
      <c r="K77" s="54"/>
      <c r="L77" s="7"/>
      <c r="M77" s="312"/>
      <c r="N77" s="172">
        <f>IFERROR(__xludf.DUMMYFUNCTION("""COMPUTED_VALUE"""),4.0)</f>
        <v>4</v>
      </c>
      <c r="O77" s="172" t="str">
        <f t="shared" si="3"/>
        <v/>
      </c>
      <c r="P77" s="313">
        <f>IFERROR(__xludf.DUMMYFUNCTION("""COMPUTED_VALUE"""),0.0)</f>
        <v>0</v>
      </c>
      <c r="Q77" s="76" t="b">
        <f>VLOOKUP($B77,'Run Reconcile'!B$2:O1399,14,FALSE)</f>
        <v>1</v>
      </c>
      <c r="R77" s="314" t="str">
        <f t="array" ref="R77">IF($Q77, INDEX('Run Reconcile'!A$2:A1399,MATCH(B77,'Run Reconcile'!B$2:B1399,0),1),IFERROR(0/0,""))</f>
        <v>RUN-ABRM_2022-09-13_RFR-011</v>
      </c>
      <c r="S77" s="315" t="str">
        <f t="shared" ref="S77:T77" si="158">IF(COUNTIF(W$2:W1399, $A77) &gt; 0,TRUE,IFERROR(0/0,""))</f>
        <v/>
      </c>
      <c r="T77" s="315" t="str">
        <f t="shared" si="158"/>
        <v/>
      </c>
      <c r="U77" s="114" t="str">
        <f t="array" ref="U77">IF(ISBLANK($R77), INDEX('Run Reconcile'!A$2:A1399, MATCH($B77, 'Run Reconcile'!B$2:B1399, 0)+Z77, 1), IFERROR(0/0,""))
</f>
        <v/>
      </c>
      <c r="V77" s="316" t="str">
        <f t="shared" si="5"/>
        <v>RUN-ABRM_2022-09-13_RFR-011</v>
      </c>
      <c r="Y77" s="317" t="str">
        <f t="shared" si="6"/>
        <v/>
      </c>
      <c r="Z77" s="83" t="str">
        <f t="shared" si="7"/>
        <v/>
      </c>
      <c r="AA77" s="83" t="str">
        <f t="shared" si="8"/>
        <v/>
      </c>
      <c r="AB77" s="83" t="str">
        <f t="shared" si="9"/>
        <v/>
      </c>
      <c r="AC77" s="18" t="str">
        <f t="shared" ref="AC77:AD77" si="159">IF(_xlfn.ISFORMULA(S77),IFERROR(0/0,""),TRUE)</f>
        <v/>
      </c>
      <c r="AD77" s="18" t="str">
        <f t="shared" si="159"/>
        <v/>
      </c>
      <c r="AE77" s="43"/>
      <c r="AF77" s="58" t="s">
        <v>35</v>
      </c>
      <c r="AG77" s="55" t="str">
        <f t="shared" si="11"/>
        <v/>
      </c>
    </row>
    <row r="78">
      <c r="A78" s="7" t="str">
        <f>IFERROR(__xludf.DUMMYFUNCTION("""COMPUTED_VALUE"""),"AH9305")</f>
        <v>AH9305</v>
      </c>
      <c r="B78" s="308">
        <f>IFERROR(__xludf.DUMMYFUNCTION("""COMPUTED_VALUE"""),44817.0)</f>
        <v>44817</v>
      </c>
      <c r="C78" s="309">
        <f>IFERROR(__xludf.DUMMYFUNCTION("""COMPUTED_VALUE"""),0.3679513888888889)</f>
        <v>0.3679513889</v>
      </c>
      <c r="D78" s="7" t="str">
        <f>IFERROR(__xludf.DUMMYFUNCTION("""COMPUTED_VALUE"""),"SpABRM655136")</f>
        <v>SpABRM655136</v>
      </c>
      <c r="E78" s="310"/>
      <c r="F78" s="310"/>
      <c r="G78" s="310" t="str">
        <f>IFERROR(__xludf.DUMMYFUNCTION("""COMPUTED_VALUE"""),"Negative")</f>
        <v>Negative</v>
      </c>
      <c r="H78" s="319" t="str">
        <f>IFERROR(__xludf.DUMMYFUNCTION("""COMPUTED_VALUE"""),"Negative")</f>
        <v>Negative</v>
      </c>
      <c r="I78" s="308">
        <f>IFERROR(__xludf.DUMMYFUNCTION("""COMPUTED_VALUE"""),44817.0)</f>
        <v>44817</v>
      </c>
      <c r="J78" s="311">
        <f>IFERROR(__xludf.DUMMYFUNCTION("""COMPUTED_VALUE"""),0.4126273148148148)</f>
        <v>0.4126273148</v>
      </c>
      <c r="K78" s="54"/>
      <c r="L78" s="7"/>
      <c r="M78" s="312"/>
      <c r="N78" s="172">
        <f>IFERROR(__xludf.DUMMYFUNCTION("""COMPUTED_VALUE"""),1.0)</f>
        <v>1</v>
      </c>
      <c r="O78" s="172" t="str">
        <f t="shared" si="3"/>
        <v/>
      </c>
      <c r="P78" s="313">
        <f>IFERROR(__xludf.DUMMYFUNCTION("""COMPUTED_VALUE"""),0.0)</f>
        <v>0</v>
      </c>
      <c r="Q78" s="76" t="b">
        <f>VLOOKUP($B78,'Run Reconcile'!B$2:O1399,14,FALSE)</f>
        <v>1</v>
      </c>
      <c r="R78" s="314" t="str">
        <f t="array" ref="R78">IF($Q78, INDEX('Run Reconcile'!A$2:A1399,MATCH(B78,'Run Reconcile'!B$2:B1399,0),1),IFERROR(0/0,""))</f>
        <v>RUN-ABRM_2022-09-13_RFR-011</v>
      </c>
      <c r="S78" s="315" t="str">
        <f t="shared" ref="S78:T78" si="160">IF(COUNTIF(W$2:W1399, $A78) &gt; 0,TRUE,IFERROR(0/0,""))</f>
        <v/>
      </c>
      <c r="T78" s="315" t="str">
        <f t="shared" si="160"/>
        <v/>
      </c>
      <c r="U78" s="114" t="str">
        <f t="array" ref="U78">IF(ISBLANK($R78), INDEX('Run Reconcile'!A$2:A1399, MATCH($B78, 'Run Reconcile'!B$2:B1399, 0)+Z78, 1), IFERROR(0/0,""))
</f>
        <v/>
      </c>
      <c r="V78" s="316" t="str">
        <f t="shared" si="5"/>
        <v>RUN-ABRM_2022-09-13_RFR-011</v>
      </c>
      <c r="Y78" s="317" t="str">
        <f t="shared" si="6"/>
        <v/>
      </c>
      <c r="Z78" s="83" t="str">
        <f t="shared" si="7"/>
        <v/>
      </c>
      <c r="AA78" s="83" t="str">
        <f t="shared" si="8"/>
        <v/>
      </c>
      <c r="AB78" s="83" t="str">
        <f t="shared" si="9"/>
        <v/>
      </c>
      <c r="AC78" s="18" t="str">
        <f t="shared" ref="AC78:AD78" si="161">IF(_xlfn.ISFORMULA(S78),IFERROR(0/0,""),TRUE)</f>
        <v/>
      </c>
      <c r="AD78" s="18" t="str">
        <f t="shared" si="161"/>
        <v/>
      </c>
      <c r="AE78" s="43"/>
      <c r="AF78" s="58" t="s">
        <v>35</v>
      </c>
      <c r="AG78" s="55" t="str">
        <f t="shared" si="11"/>
        <v/>
      </c>
    </row>
    <row r="79">
      <c r="A79" s="7" t="str">
        <f>IFERROR(__xludf.DUMMYFUNCTION("""COMPUTED_VALUE"""),"AH8338")</f>
        <v>AH8338</v>
      </c>
      <c r="B79" s="308">
        <f>IFERROR(__xludf.DUMMYFUNCTION("""COMPUTED_VALUE"""),44817.0)</f>
        <v>44817</v>
      </c>
      <c r="C79" s="309">
        <f>IFERROR(__xludf.DUMMYFUNCTION("""COMPUTED_VALUE"""),0.3685648148148148)</f>
        <v>0.3685648148</v>
      </c>
      <c r="D79" s="7" t="str">
        <f>IFERROR(__xludf.DUMMYFUNCTION("""COMPUTED_VALUE"""),"SpABRM655136")</f>
        <v>SpABRM655136</v>
      </c>
      <c r="E79" s="310"/>
      <c r="F79" s="310"/>
      <c r="G79" s="310" t="str">
        <f>IFERROR(__xludf.DUMMYFUNCTION("""COMPUTED_VALUE"""),"Negative")</f>
        <v>Negative</v>
      </c>
      <c r="H79" s="319" t="str">
        <f>IFERROR(__xludf.DUMMYFUNCTION("""COMPUTED_VALUE"""),"Negative")</f>
        <v>Negative</v>
      </c>
      <c r="I79" s="308">
        <f>IFERROR(__xludf.DUMMYFUNCTION("""COMPUTED_VALUE"""),44817.0)</f>
        <v>44817</v>
      </c>
      <c r="J79" s="311">
        <f>IFERROR(__xludf.DUMMYFUNCTION("""COMPUTED_VALUE"""),0.4126273148148148)</f>
        <v>0.4126273148</v>
      </c>
      <c r="K79" s="54"/>
      <c r="L79" s="7"/>
      <c r="M79" s="312"/>
      <c r="N79" s="172">
        <f>IFERROR(__xludf.DUMMYFUNCTION("""COMPUTED_VALUE"""),5.0)</f>
        <v>5</v>
      </c>
      <c r="O79" s="172" t="str">
        <f t="shared" si="3"/>
        <v/>
      </c>
      <c r="P79" s="313">
        <f>IFERROR(__xludf.DUMMYFUNCTION("""COMPUTED_VALUE"""),0.0)</f>
        <v>0</v>
      </c>
      <c r="Q79" s="76" t="b">
        <f>VLOOKUP($B79,'Run Reconcile'!B$2:O1399,14,FALSE)</f>
        <v>1</v>
      </c>
      <c r="R79" s="314" t="str">
        <f t="array" ref="R79">IF($Q79, INDEX('Run Reconcile'!A$2:A1399,MATCH(B79,'Run Reconcile'!B$2:B1399,0),1),IFERROR(0/0,""))</f>
        <v>RUN-ABRM_2022-09-13_RFR-011</v>
      </c>
      <c r="S79" s="315" t="str">
        <f t="shared" ref="S79:T79" si="162">IF(COUNTIF(W$2:W1399, $A79) &gt; 0,TRUE,IFERROR(0/0,""))</f>
        <v/>
      </c>
      <c r="T79" s="315" t="str">
        <f t="shared" si="162"/>
        <v/>
      </c>
      <c r="U79" s="114" t="str">
        <f t="array" ref="U79">IF(ISBLANK($R79), INDEX('Run Reconcile'!A$2:A1399, MATCH($B79, 'Run Reconcile'!B$2:B1399, 0)+Z79, 1), IFERROR(0/0,""))
</f>
        <v/>
      </c>
      <c r="V79" s="316" t="str">
        <f t="shared" si="5"/>
        <v>RUN-ABRM_2022-09-13_RFR-011</v>
      </c>
      <c r="Y79" s="317" t="str">
        <f t="shared" si="6"/>
        <v/>
      </c>
      <c r="Z79" s="83" t="str">
        <f t="shared" si="7"/>
        <v/>
      </c>
      <c r="AA79" s="83" t="str">
        <f t="shared" si="8"/>
        <v/>
      </c>
      <c r="AB79" s="83" t="str">
        <f t="shared" si="9"/>
        <v/>
      </c>
      <c r="AC79" s="18" t="str">
        <f t="shared" ref="AC79:AD79" si="163">IF(_xlfn.ISFORMULA(S79),IFERROR(0/0,""),TRUE)</f>
        <v/>
      </c>
      <c r="AD79" s="18" t="str">
        <f t="shared" si="163"/>
        <v/>
      </c>
      <c r="AE79" s="43"/>
      <c r="AF79" s="58" t="s">
        <v>35</v>
      </c>
      <c r="AG79" s="55" t="str">
        <f t="shared" si="11"/>
        <v/>
      </c>
    </row>
    <row r="80">
      <c r="A80" s="7" t="str">
        <f>IFERROR(__xludf.DUMMYFUNCTION("""COMPUTED_VALUE"""),"AH7549")</f>
        <v>AH7549</v>
      </c>
      <c r="B80" s="308">
        <f>IFERROR(__xludf.DUMMYFUNCTION("""COMPUTED_VALUE"""),44817.0)</f>
        <v>44817</v>
      </c>
      <c r="C80" s="309">
        <f>IFERROR(__xludf.DUMMYFUNCTION("""COMPUTED_VALUE"""),0.36899305555555556)</f>
        <v>0.3689930556</v>
      </c>
      <c r="D80" s="7" t="str">
        <f>IFERROR(__xludf.DUMMYFUNCTION("""COMPUTED_VALUE"""),"SpABRM655136")</f>
        <v>SpABRM655136</v>
      </c>
      <c r="E80" s="310"/>
      <c r="F80" s="310"/>
      <c r="G80" s="310" t="str">
        <f>IFERROR(__xludf.DUMMYFUNCTION("""COMPUTED_VALUE"""),"Negative")</f>
        <v>Negative</v>
      </c>
      <c r="H80" s="319" t="str">
        <f>IFERROR(__xludf.DUMMYFUNCTION("""COMPUTED_VALUE"""),"Negative")</f>
        <v>Negative</v>
      </c>
      <c r="I80" s="308">
        <f>IFERROR(__xludf.DUMMYFUNCTION("""COMPUTED_VALUE"""),44817.0)</f>
        <v>44817</v>
      </c>
      <c r="J80" s="311">
        <f>IFERROR(__xludf.DUMMYFUNCTION("""COMPUTED_VALUE"""),0.4126273148148148)</f>
        <v>0.4126273148</v>
      </c>
      <c r="K80" s="54"/>
      <c r="L80" s="7"/>
      <c r="M80" s="312"/>
      <c r="N80" s="172">
        <f>IFERROR(__xludf.DUMMYFUNCTION("""COMPUTED_VALUE"""),5.0)</f>
        <v>5</v>
      </c>
      <c r="O80" s="172" t="str">
        <f t="shared" si="3"/>
        <v/>
      </c>
      <c r="P80" s="313">
        <f>IFERROR(__xludf.DUMMYFUNCTION("""COMPUTED_VALUE"""),0.0)</f>
        <v>0</v>
      </c>
      <c r="Q80" s="76" t="b">
        <f>VLOOKUP($B80,'Run Reconcile'!B$2:O1399,14,FALSE)</f>
        <v>1</v>
      </c>
      <c r="R80" s="314" t="str">
        <f t="array" ref="R80">IF($Q80, INDEX('Run Reconcile'!A$2:A1399,MATCH(B80,'Run Reconcile'!B$2:B1399,0),1),IFERROR(0/0,""))</f>
        <v>RUN-ABRM_2022-09-13_RFR-011</v>
      </c>
      <c r="S80" s="315" t="str">
        <f t="shared" ref="S80:T80" si="164">IF(COUNTIF(W$2:W1399, $A80) &gt; 0,TRUE,IFERROR(0/0,""))</f>
        <v/>
      </c>
      <c r="T80" s="315" t="str">
        <f t="shared" si="164"/>
        <v/>
      </c>
      <c r="U80" s="114" t="str">
        <f t="array" ref="U80">IF(ISBLANK($R80), INDEX('Run Reconcile'!A$2:A1399, MATCH($B80, 'Run Reconcile'!B$2:B1399, 0)+Z80, 1), IFERROR(0/0,""))
</f>
        <v/>
      </c>
      <c r="V80" s="316" t="str">
        <f t="shared" si="5"/>
        <v>RUN-ABRM_2022-09-13_RFR-011</v>
      </c>
      <c r="Y80" s="317" t="str">
        <f t="shared" si="6"/>
        <v/>
      </c>
      <c r="Z80" s="83" t="str">
        <f t="shared" si="7"/>
        <v/>
      </c>
      <c r="AA80" s="83" t="str">
        <f t="shared" si="8"/>
        <v/>
      </c>
      <c r="AB80" s="83" t="str">
        <f t="shared" si="9"/>
        <v/>
      </c>
      <c r="AC80" s="18" t="str">
        <f t="shared" ref="AC80:AD80" si="165">IF(_xlfn.ISFORMULA(S80),IFERROR(0/0,""),TRUE)</f>
        <v/>
      </c>
      <c r="AD80" s="18" t="str">
        <f t="shared" si="165"/>
        <v/>
      </c>
      <c r="AE80" s="43"/>
      <c r="AF80" s="58" t="s">
        <v>35</v>
      </c>
      <c r="AG80" s="55" t="str">
        <f t="shared" si="11"/>
        <v/>
      </c>
    </row>
    <row r="81">
      <c r="A81" s="7" t="str">
        <f>IFERROR(__xludf.DUMMYFUNCTION("""COMPUTED_VALUE"""),"AG493")</f>
        <v>AG493</v>
      </c>
      <c r="B81" s="308">
        <f>IFERROR(__xludf.DUMMYFUNCTION("""COMPUTED_VALUE"""),44818.0)</f>
        <v>44818</v>
      </c>
      <c r="C81" s="309">
        <f>IFERROR(__xludf.DUMMYFUNCTION("""COMPUTED_VALUE"""),0.21755787037037036)</f>
        <v>0.2175578704</v>
      </c>
      <c r="D81" s="7" t="str">
        <f>IFERROR(__xludf.DUMMYFUNCTION("""COMPUTED_VALUE"""),"SpABRM454310")</f>
        <v>SpABRM454310</v>
      </c>
      <c r="E81" s="310"/>
      <c r="F81" s="310"/>
      <c r="G81" s="310" t="str">
        <f>IFERROR(__xludf.DUMMYFUNCTION("""COMPUTED_VALUE"""),"Negative")</f>
        <v>Negative</v>
      </c>
      <c r="H81" s="319" t="str">
        <f>IFERROR(__xludf.DUMMYFUNCTION("""COMPUTED_VALUE"""),"Negative")</f>
        <v>Negative</v>
      </c>
      <c r="I81" s="308">
        <f>IFERROR(__xludf.DUMMYFUNCTION("""COMPUTED_VALUE"""),44818.0)</f>
        <v>44818</v>
      </c>
      <c r="J81" s="311">
        <f>IFERROR(__xludf.DUMMYFUNCTION("""COMPUTED_VALUE"""),0.4018287037037037)</f>
        <v>0.4018287037</v>
      </c>
      <c r="K81" s="54"/>
      <c r="L81" s="7"/>
      <c r="M81" s="312"/>
      <c r="N81" s="172">
        <f>IFERROR(__xludf.DUMMYFUNCTION("""COMPUTED_VALUE"""),3.0)</f>
        <v>3</v>
      </c>
      <c r="O81" s="172" t="b">
        <f t="shared" si="3"/>
        <v>1</v>
      </c>
      <c r="P81" s="313">
        <f>IFERROR(__xludf.DUMMYFUNCTION("""COMPUTED_VALUE"""),0.0)</f>
        <v>0</v>
      </c>
      <c r="Q81" s="76" t="b">
        <f>VLOOKUP($B81,'Run Reconcile'!B$2:O1399,14,FALSE)</f>
        <v>1</v>
      </c>
      <c r="R81" s="314" t="str">
        <f t="array" ref="R81">IF($Q81, INDEX('Run Reconcile'!A$2:A1399,MATCH(B81,'Run Reconcile'!B$2:B1399,0),1),IFERROR(0/0,""))</f>
        <v>RUN-ABRM_2022-09-14_RFR-013</v>
      </c>
      <c r="S81" s="315" t="str">
        <f t="shared" ref="S81:T81" si="166">IF(COUNTIF(W$2:W1399, $A81) &gt; 0,TRUE,IFERROR(0/0,""))</f>
        <v/>
      </c>
      <c r="T81" s="315" t="str">
        <f t="shared" si="166"/>
        <v/>
      </c>
      <c r="U81" s="114" t="str">
        <f t="array" ref="U81">IF(ISBLANK($R81), INDEX('Run Reconcile'!A$2:A1399, MATCH($B81, 'Run Reconcile'!B$2:B1399, 0)+Z81, 1), IFERROR(0/0,""))
</f>
        <v/>
      </c>
      <c r="V81" s="316" t="str">
        <f t="shared" si="5"/>
        <v>RUN-ABRM_2022-09-14_RFR-013</v>
      </c>
      <c r="Y81" s="317" t="str">
        <f t="shared" si="6"/>
        <v/>
      </c>
      <c r="Z81" s="83" t="str">
        <f t="shared" si="7"/>
        <v/>
      </c>
      <c r="AA81" s="83" t="str">
        <f t="shared" si="8"/>
        <v/>
      </c>
      <c r="AB81" s="83" t="str">
        <f t="shared" si="9"/>
        <v/>
      </c>
      <c r="AC81" s="18" t="str">
        <f t="shared" ref="AC81:AD81" si="167">IF(_xlfn.ISFORMULA(S81),IFERROR(0/0,""),TRUE)</f>
        <v/>
      </c>
      <c r="AD81" s="18" t="str">
        <f t="shared" si="167"/>
        <v/>
      </c>
      <c r="AE81" s="43"/>
      <c r="AF81" s="58" t="s">
        <v>36</v>
      </c>
      <c r="AG81" s="55" t="str">
        <f t="shared" si="11"/>
        <v/>
      </c>
    </row>
    <row r="82">
      <c r="A82" s="7" t="str">
        <f>IFERROR(__xludf.DUMMYFUNCTION("""COMPUTED_VALUE"""),"AG357")</f>
        <v>AG357</v>
      </c>
      <c r="B82" s="308">
        <f>IFERROR(__xludf.DUMMYFUNCTION("""COMPUTED_VALUE"""),44818.0)</f>
        <v>44818</v>
      </c>
      <c r="C82" s="309">
        <f>IFERROR(__xludf.DUMMYFUNCTION("""COMPUTED_VALUE"""),0.24834490740740742)</f>
        <v>0.2483449074</v>
      </c>
      <c r="D82" s="7" t="str">
        <f>IFERROR(__xludf.DUMMYFUNCTION("""COMPUTED_VALUE"""),"SpABRM516158")</f>
        <v>SpABRM516158</v>
      </c>
      <c r="E82" s="310"/>
      <c r="F82" s="310"/>
      <c r="G82" s="310" t="str">
        <f>IFERROR(__xludf.DUMMYFUNCTION("""COMPUTED_VALUE"""),"Negative")</f>
        <v>Negative</v>
      </c>
      <c r="H82" s="319" t="str">
        <f>IFERROR(__xludf.DUMMYFUNCTION("""COMPUTED_VALUE"""),"Negative")</f>
        <v>Negative</v>
      </c>
      <c r="I82" s="308">
        <f>IFERROR(__xludf.DUMMYFUNCTION("""COMPUTED_VALUE"""),44818.0)</f>
        <v>44818</v>
      </c>
      <c r="J82" s="311">
        <f>IFERROR(__xludf.DUMMYFUNCTION("""COMPUTED_VALUE"""),0.4018287037037037)</f>
        <v>0.4018287037</v>
      </c>
      <c r="K82" s="54"/>
      <c r="L82" s="7"/>
      <c r="M82" s="312"/>
      <c r="N82" s="172">
        <f>IFERROR(__xludf.DUMMYFUNCTION("""COMPUTED_VALUE"""),1.0)</f>
        <v>1</v>
      </c>
      <c r="O82" s="172" t="str">
        <f t="shared" si="3"/>
        <v/>
      </c>
      <c r="P82" s="313">
        <f>IFERROR(__xludf.DUMMYFUNCTION("""COMPUTED_VALUE"""),0.0)</f>
        <v>0</v>
      </c>
      <c r="Q82" s="76" t="b">
        <f>VLOOKUP($B82,'Run Reconcile'!B$2:O1399,14,FALSE)</f>
        <v>1</v>
      </c>
      <c r="R82" s="314" t="str">
        <f t="array" ref="R82">IF($Q82, INDEX('Run Reconcile'!A$2:A1399,MATCH(B82,'Run Reconcile'!B$2:B1399,0),1),IFERROR(0/0,""))</f>
        <v>RUN-ABRM_2022-09-14_RFR-013</v>
      </c>
      <c r="S82" s="315" t="str">
        <f t="shared" ref="S82:T82" si="168">IF(COUNTIF(W$2:W1399, $A82) &gt; 0,TRUE,IFERROR(0/0,""))</f>
        <v/>
      </c>
      <c r="T82" s="315" t="str">
        <f t="shared" si="168"/>
        <v/>
      </c>
      <c r="U82" s="114" t="str">
        <f t="array" ref="U82">IF(ISBLANK($R82), INDEX('Run Reconcile'!A$2:A1399, MATCH($B82, 'Run Reconcile'!B$2:B1399, 0)+Z82, 1), IFERROR(0/0,""))
</f>
        <v/>
      </c>
      <c r="V82" s="316" t="str">
        <f t="shared" si="5"/>
        <v>RUN-ABRM_2022-09-14_RFR-013</v>
      </c>
      <c r="Y82" s="317" t="str">
        <f t="shared" si="6"/>
        <v/>
      </c>
      <c r="Z82" s="83" t="str">
        <f t="shared" si="7"/>
        <v/>
      </c>
      <c r="AA82" s="83" t="str">
        <f t="shared" si="8"/>
        <v/>
      </c>
      <c r="AB82" s="83" t="str">
        <f t="shared" si="9"/>
        <v/>
      </c>
      <c r="AC82" s="18" t="str">
        <f t="shared" ref="AC82:AD82" si="169">IF(_xlfn.ISFORMULA(S82),IFERROR(0/0,""),TRUE)</f>
        <v/>
      </c>
      <c r="AD82" s="18" t="str">
        <f t="shared" si="169"/>
        <v/>
      </c>
      <c r="AE82" s="43"/>
      <c r="AF82" s="58" t="s">
        <v>36</v>
      </c>
      <c r="AG82" s="55" t="str">
        <f t="shared" si="11"/>
        <v/>
      </c>
    </row>
    <row r="83">
      <c r="A83" s="7" t="str">
        <f>IFERROR(__xludf.DUMMYFUNCTION("""COMPUTED_VALUE"""),"AG743")</f>
        <v>AG743</v>
      </c>
      <c r="B83" s="308">
        <f>IFERROR(__xludf.DUMMYFUNCTION("""COMPUTED_VALUE"""),44818.0)</f>
        <v>44818</v>
      </c>
      <c r="C83" s="309">
        <f>IFERROR(__xludf.DUMMYFUNCTION("""COMPUTED_VALUE"""),0.24957175925925926)</f>
        <v>0.2495717593</v>
      </c>
      <c r="D83" s="7" t="str">
        <f>IFERROR(__xludf.DUMMYFUNCTION("""COMPUTED_VALUE"""),"SpABRM188986")</f>
        <v>SpABRM188986</v>
      </c>
      <c r="E83" s="310"/>
      <c r="F83" s="310"/>
      <c r="G83" s="310" t="str">
        <f>IFERROR(__xludf.DUMMYFUNCTION("""COMPUTED_VALUE"""),"Negative")</f>
        <v>Negative</v>
      </c>
      <c r="H83" s="319" t="str">
        <f>IFERROR(__xludf.DUMMYFUNCTION("""COMPUTED_VALUE"""),"Negative")</f>
        <v>Negative</v>
      </c>
      <c r="I83" s="308">
        <f>IFERROR(__xludf.DUMMYFUNCTION("""COMPUTED_VALUE"""),44818.0)</f>
        <v>44818</v>
      </c>
      <c r="J83" s="311">
        <f>IFERROR(__xludf.DUMMYFUNCTION("""COMPUTED_VALUE"""),0.4018287037037037)</f>
        <v>0.4018287037</v>
      </c>
      <c r="K83" s="54"/>
      <c r="L83" s="7"/>
      <c r="M83" s="312"/>
      <c r="N83" s="172">
        <f>IFERROR(__xludf.DUMMYFUNCTION("""COMPUTED_VALUE"""),2.0)</f>
        <v>2</v>
      </c>
      <c r="O83" s="172" t="str">
        <f t="shared" si="3"/>
        <v/>
      </c>
      <c r="P83" s="313">
        <f>IFERROR(__xludf.DUMMYFUNCTION("""COMPUTED_VALUE"""),0.0)</f>
        <v>0</v>
      </c>
      <c r="Q83" s="76" t="b">
        <f>VLOOKUP($B83,'Run Reconcile'!B$2:O1399,14,FALSE)</f>
        <v>1</v>
      </c>
      <c r="R83" s="314" t="str">
        <f t="array" ref="R83">IF($Q83, INDEX('Run Reconcile'!A$2:A1399,MATCH(B83,'Run Reconcile'!B$2:B1399,0),1),IFERROR(0/0,""))</f>
        <v>RUN-ABRM_2022-09-14_RFR-013</v>
      </c>
      <c r="S83" s="315" t="str">
        <f t="shared" ref="S83:T83" si="170">IF(COUNTIF(W$2:W1399, $A83) &gt; 0,TRUE,IFERROR(0/0,""))</f>
        <v/>
      </c>
      <c r="T83" s="315" t="str">
        <f t="shared" si="170"/>
        <v/>
      </c>
      <c r="U83" s="114" t="str">
        <f t="array" ref="U83">IF(ISBLANK($R83), INDEX('Run Reconcile'!A$2:A1399, MATCH($B83, 'Run Reconcile'!B$2:B1399, 0)+Z83, 1), IFERROR(0/0,""))
</f>
        <v/>
      </c>
      <c r="V83" s="316" t="str">
        <f t="shared" si="5"/>
        <v>RUN-ABRM_2022-09-14_RFR-013</v>
      </c>
      <c r="Y83" s="317" t="str">
        <f t="shared" si="6"/>
        <v/>
      </c>
      <c r="Z83" s="83" t="str">
        <f t="shared" si="7"/>
        <v/>
      </c>
      <c r="AA83" s="83" t="str">
        <f t="shared" si="8"/>
        <v/>
      </c>
      <c r="AB83" s="83" t="str">
        <f t="shared" si="9"/>
        <v/>
      </c>
      <c r="AC83" s="18" t="str">
        <f t="shared" ref="AC83:AD83" si="171">IF(_xlfn.ISFORMULA(S83),IFERROR(0/0,""),TRUE)</f>
        <v/>
      </c>
      <c r="AD83" s="18" t="str">
        <f t="shared" si="171"/>
        <v/>
      </c>
      <c r="AE83" s="43"/>
      <c r="AF83" s="58" t="s">
        <v>36</v>
      </c>
      <c r="AG83" s="55" t="str">
        <f t="shared" si="11"/>
        <v/>
      </c>
    </row>
    <row r="84">
      <c r="A84" s="7" t="str">
        <f>IFERROR(__xludf.DUMMYFUNCTION("""COMPUTED_VALUE"""),"AG97")</f>
        <v>AG97</v>
      </c>
      <c r="B84" s="308">
        <f>IFERROR(__xludf.DUMMYFUNCTION("""COMPUTED_VALUE"""),44818.0)</f>
        <v>44818</v>
      </c>
      <c r="C84" s="309">
        <f>IFERROR(__xludf.DUMMYFUNCTION("""COMPUTED_VALUE"""),0.2854861111111111)</f>
        <v>0.2854861111</v>
      </c>
      <c r="D84" s="7" t="str">
        <f>IFERROR(__xludf.DUMMYFUNCTION("""COMPUTED_VALUE"""),"SpABRM128250")</f>
        <v>SpABRM128250</v>
      </c>
      <c r="E84" s="310"/>
      <c r="F84" s="310"/>
      <c r="G84" s="310" t="str">
        <f>IFERROR(__xludf.DUMMYFUNCTION("""COMPUTED_VALUE"""),"Negative")</f>
        <v>Negative</v>
      </c>
      <c r="H84" s="319" t="str">
        <f>IFERROR(__xludf.DUMMYFUNCTION("""COMPUTED_VALUE"""),"Negative")</f>
        <v>Negative</v>
      </c>
      <c r="I84" s="308">
        <f>IFERROR(__xludf.DUMMYFUNCTION("""COMPUTED_VALUE"""),44818.0)</f>
        <v>44818</v>
      </c>
      <c r="J84" s="311">
        <f>IFERROR(__xludf.DUMMYFUNCTION("""COMPUTED_VALUE"""),0.40184027777777775)</f>
        <v>0.4018402778</v>
      </c>
      <c r="K84" s="54"/>
      <c r="L84" s="7"/>
      <c r="M84" s="312"/>
      <c r="N84" s="172">
        <f>IFERROR(__xludf.DUMMYFUNCTION("""COMPUTED_VALUE"""),3.0)</f>
        <v>3</v>
      </c>
      <c r="O84" s="172" t="str">
        <f t="shared" si="3"/>
        <v/>
      </c>
      <c r="P84" s="313">
        <f>IFERROR(__xludf.DUMMYFUNCTION("""COMPUTED_VALUE"""),0.0)</f>
        <v>0</v>
      </c>
      <c r="Q84" s="76" t="b">
        <f>VLOOKUP($B84,'Run Reconcile'!B$2:O1399,14,FALSE)</f>
        <v>1</v>
      </c>
      <c r="R84" s="314" t="str">
        <f t="array" ref="R84">IF($Q84, INDEX('Run Reconcile'!A$2:A1399,MATCH(B84,'Run Reconcile'!B$2:B1399,0),1),IFERROR(0/0,""))</f>
        <v>RUN-ABRM_2022-09-14_RFR-013</v>
      </c>
      <c r="S84" s="315" t="str">
        <f t="shared" ref="S84:T84" si="172">IF(COUNTIF(W$2:W1399, $A84) &gt; 0,TRUE,IFERROR(0/0,""))</f>
        <v/>
      </c>
      <c r="T84" s="315" t="str">
        <f t="shared" si="172"/>
        <v/>
      </c>
      <c r="U84" s="114" t="str">
        <f t="array" ref="U84">IF(ISBLANK($R84), INDEX('Run Reconcile'!A$2:A1399, MATCH($B84, 'Run Reconcile'!B$2:B1399, 0)+Z84, 1), IFERROR(0/0,""))
</f>
        <v/>
      </c>
      <c r="V84" s="316" t="str">
        <f t="shared" si="5"/>
        <v>RUN-ABRM_2022-09-14_RFR-013</v>
      </c>
      <c r="Y84" s="317" t="str">
        <f t="shared" si="6"/>
        <v/>
      </c>
      <c r="Z84" s="83" t="str">
        <f t="shared" si="7"/>
        <v/>
      </c>
      <c r="AA84" s="83" t="str">
        <f t="shared" si="8"/>
        <v/>
      </c>
      <c r="AB84" s="83" t="str">
        <f t="shared" si="9"/>
        <v/>
      </c>
      <c r="AC84" s="18" t="str">
        <f t="shared" ref="AC84:AD84" si="173">IF(_xlfn.ISFORMULA(S84),IFERROR(0/0,""),TRUE)</f>
        <v/>
      </c>
      <c r="AD84" s="18" t="str">
        <f t="shared" si="173"/>
        <v/>
      </c>
      <c r="AE84" s="43"/>
      <c r="AF84" s="58" t="s">
        <v>36</v>
      </c>
      <c r="AG84" s="55" t="str">
        <f t="shared" si="11"/>
        <v/>
      </c>
    </row>
    <row r="85">
      <c r="A85" s="7" t="str">
        <f>IFERROR(__xludf.DUMMYFUNCTION("""COMPUTED_VALUE"""),"AG430")</f>
        <v>AG430</v>
      </c>
      <c r="B85" s="308">
        <f>IFERROR(__xludf.DUMMYFUNCTION("""COMPUTED_VALUE"""),44818.0)</f>
        <v>44818</v>
      </c>
      <c r="C85" s="309">
        <f>IFERROR(__xludf.DUMMYFUNCTION("""COMPUTED_VALUE"""),0.3194328703703704)</f>
        <v>0.3194328704</v>
      </c>
      <c r="D85" s="7" t="str">
        <f>IFERROR(__xludf.DUMMYFUNCTION("""COMPUTED_VALUE"""),"SpABRM655136")</f>
        <v>SpABRM655136</v>
      </c>
      <c r="E85" s="310"/>
      <c r="F85" s="310"/>
      <c r="G85" s="310" t="str">
        <f>IFERROR(__xludf.DUMMYFUNCTION("""COMPUTED_VALUE"""),"Negative")</f>
        <v>Negative</v>
      </c>
      <c r="H85" s="319" t="str">
        <f>IFERROR(__xludf.DUMMYFUNCTION("""COMPUTED_VALUE"""),"Negative")</f>
        <v>Negative</v>
      </c>
      <c r="I85" s="308">
        <f>IFERROR(__xludf.DUMMYFUNCTION("""COMPUTED_VALUE"""),44818.0)</f>
        <v>44818</v>
      </c>
      <c r="J85" s="311">
        <f>IFERROR(__xludf.DUMMYFUNCTION("""COMPUTED_VALUE"""),0.40184027777777775)</f>
        <v>0.4018402778</v>
      </c>
      <c r="K85" s="54"/>
      <c r="L85" s="7"/>
      <c r="M85" s="312"/>
      <c r="N85" s="172">
        <f>IFERROR(__xludf.DUMMYFUNCTION("""COMPUTED_VALUE"""),2.0)</f>
        <v>2</v>
      </c>
      <c r="O85" s="172" t="str">
        <f t="shared" si="3"/>
        <v/>
      </c>
      <c r="P85" s="313">
        <f>IFERROR(__xludf.DUMMYFUNCTION("""COMPUTED_VALUE"""),0.0)</f>
        <v>0</v>
      </c>
      <c r="Q85" s="76" t="b">
        <f>VLOOKUP($B85,'Run Reconcile'!B$2:O1399,14,FALSE)</f>
        <v>1</v>
      </c>
      <c r="R85" s="314" t="str">
        <f t="array" ref="R85">IF($Q85, INDEX('Run Reconcile'!A$2:A1399,MATCH(B85,'Run Reconcile'!B$2:B1399,0),1),IFERROR(0/0,""))</f>
        <v>RUN-ABRM_2022-09-14_RFR-013</v>
      </c>
      <c r="S85" s="315" t="str">
        <f t="shared" ref="S85:T85" si="174">IF(COUNTIF(W$2:W1399, $A85) &gt; 0,TRUE,IFERROR(0/0,""))</f>
        <v/>
      </c>
      <c r="T85" s="315" t="str">
        <f t="shared" si="174"/>
        <v/>
      </c>
      <c r="U85" s="114" t="str">
        <f t="array" ref="U85">IF(ISBLANK($R85), INDEX('Run Reconcile'!A$2:A1399, MATCH($B85, 'Run Reconcile'!B$2:B1399, 0)+Z85, 1), IFERROR(0/0,""))
</f>
        <v/>
      </c>
      <c r="V85" s="316" t="str">
        <f t="shared" si="5"/>
        <v>RUN-ABRM_2022-09-14_RFR-013</v>
      </c>
      <c r="Y85" s="317" t="str">
        <f t="shared" si="6"/>
        <v/>
      </c>
      <c r="Z85" s="83" t="str">
        <f t="shared" si="7"/>
        <v/>
      </c>
      <c r="AA85" s="83" t="str">
        <f t="shared" si="8"/>
        <v/>
      </c>
      <c r="AB85" s="83" t="str">
        <f t="shared" si="9"/>
        <v/>
      </c>
      <c r="AC85" s="18" t="str">
        <f t="shared" ref="AC85:AD85" si="175">IF(_xlfn.ISFORMULA(S85),IFERROR(0/0,""),TRUE)</f>
        <v/>
      </c>
      <c r="AD85" s="18" t="str">
        <f t="shared" si="175"/>
        <v/>
      </c>
      <c r="AE85" s="43"/>
      <c r="AF85" s="58" t="s">
        <v>36</v>
      </c>
      <c r="AG85" s="55" t="str">
        <f t="shared" si="11"/>
        <v/>
      </c>
    </row>
    <row r="86">
      <c r="A86" s="7" t="str">
        <f>IFERROR(__xludf.DUMMYFUNCTION("""COMPUTED_VALUE"""),"AH8149")</f>
        <v>AH8149</v>
      </c>
      <c r="B86" s="308">
        <f>IFERROR(__xludf.DUMMYFUNCTION("""COMPUTED_VALUE"""),44818.0)</f>
        <v>44818</v>
      </c>
      <c r="C86" s="309">
        <f>IFERROR(__xludf.DUMMYFUNCTION("""COMPUTED_VALUE"""),0.3831597222222222)</f>
        <v>0.3831597222</v>
      </c>
      <c r="D86" s="7" t="str">
        <f>IFERROR(__xludf.DUMMYFUNCTION("""COMPUTED_VALUE"""),"SpABRM655136")</f>
        <v>SpABRM655136</v>
      </c>
      <c r="E86" s="310"/>
      <c r="F86" s="310"/>
      <c r="G86" s="310" t="str">
        <f>IFERROR(__xludf.DUMMYFUNCTION("""COMPUTED_VALUE"""),"Negative")</f>
        <v>Negative</v>
      </c>
      <c r="H86" s="319" t="str">
        <f>IFERROR(__xludf.DUMMYFUNCTION("""COMPUTED_VALUE"""),"Negative")</f>
        <v>Negative</v>
      </c>
      <c r="I86" s="308">
        <f>IFERROR(__xludf.DUMMYFUNCTION("""COMPUTED_VALUE"""),44818.0)</f>
        <v>44818</v>
      </c>
      <c r="J86" s="311">
        <f>IFERROR(__xludf.DUMMYFUNCTION("""COMPUTED_VALUE"""),0.40184027777777775)</f>
        <v>0.4018402778</v>
      </c>
      <c r="K86" s="54"/>
      <c r="L86" s="7"/>
      <c r="M86" s="312"/>
      <c r="N86" s="172">
        <f>IFERROR(__xludf.DUMMYFUNCTION("""COMPUTED_VALUE"""),4.0)</f>
        <v>4</v>
      </c>
      <c r="O86" s="172" t="str">
        <f t="shared" si="3"/>
        <v/>
      </c>
      <c r="P86" s="313">
        <f>IFERROR(__xludf.DUMMYFUNCTION("""COMPUTED_VALUE"""),0.0)</f>
        <v>0</v>
      </c>
      <c r="Q86" s="76" t="b">
        <f>VLOOKUP($B86,'Run Reconcile'!B$2:O1399,14,FALSE)</f>
        <v>1</v>
      </c>
      <c r="R86" s="314" t="str">
        <f t="array" ref="R86">IF($Q86, INDEX('Run Reconcile'!A$2:A1399,MATCH(B86,'Run Reconcile'!B$2:B1399,0),1),IFERROR(0/0,""))</f>
        <v>RUN-ABRM_2022-09-14_RFR-013</v>
      </c>
      <c r="S86" s="315" t="str">
        <f t="shared" ref="S86:T86" si="176">IF(COUNTIF(W$2:W1399, $A86) &gt; 0,TRUE,IFERROR(0/0,""))</f>
        <v/>
      </c>
      <c r="T86" s="315" t="str">
        <f t="shared" si="176"/>
        <v/>
      </c>
      <c r="U86" s="114" t="str">
        <f t="array" ref="U86">IF(ISBLANK($R86), INDEX('Run Reconcile'!A$2:A1399, MATCH($B86, 'Run Reconcile'!B$2:B1399, 0)+Z86, 1), IFERROR(0/0,""))
</f>
        <v/>
      </c>
      <c r="V86" s="316" t="str">
        <f t="shared" si="5"/>
        <v>RUN-ABRM_2022-09-14_RFR-013</v>
      </c>
      <c r="Y86" s="317" t="str">
        <f t="shared" si="6"/>
        <v/>
      </c>
      <c r="Z86" s="83" t="str">
        <f t="shared" si="7"/>
        <v/>
      </c>
      <c r="AA86" s="83" t="str">
        <f t="shared" si="8"/>
        <v/>
      </c>
      <c r="AB86" s="83" t="str">
        <f t="shared" si="9"/>
        <v/>
      </c>
      <c r="AC86" s="18" t="str">
        <f t="shared" ref="AC86:AD86" si="177">IF(_xlfn.ISFORMULA(S86),IFERROR(0/0,""),TRUE)</f>
        <v/>
      </c>
      <c r="AD86" s="18" t="str">
        <f t="shared" si="177"/>
        <v/>
      </c>
      <c r="AE86" s="43"/>
      <c r="AF86" s="58" t="s">
        <v>36</v>
      </c>
      <c r="AG86" s="55" t="str">
        <f t="shared" si="11"/>
        <v/>
      </c>
    </row>
    <row r="87">
      <c r="A87" s="7" t="str">
        <f>IFERROR(__xludf.DUMMYFUNCTION("""COMPUTED_VALUE"""),"AH8887")</f>
        <v>AH8887</v>
      </c>
      <c r="B87" s="308">
        <f>IFERROR(__xludf.DUMMYFUNCTION("""COMPUTED_VALUE"""),44818.0)</f>
        <v>44818</v>
      </c>
      <c r="C87" s="309">
        <f>IFERROR(__xludf.DUMMYFUNCTION("""COMPUTED_VALUE"""),0.38351851851851854)</f>
        <v>0.3835185185</v>
      </c>
      <c r="D87" s="7" t="str">
        <f>IFERROR(__xludf.DUMMYFUNCTION("""COMPUTED_VALUE"""),"SpABRM655136")</f>
        <v>SpABRM655136</v>
      </c>
      <c r="E87" s="310"/>
      <c r="F87" s="310"/>
      <c r="G87" s="310" t="str">
        <f>IFERROR(__xludf.DUMMYFUNCTION("""COMPUTED_VALUE"""),"Negative")</f>
        <v>Negative</v>
      </c>
      <c r="H87" s="319" t="str">
        <f>IFERROR(__xludf.DUMMYFUNCTION("""COMPUTED_VALUE"""),"Negative")</f>
        <v>Negative</v>
      </c>
      <c r="I87" s="308">
        <f>IFERROR(__xludf.DUMMYFUNCTION("""COMPUTED_VALUE"""),44818.0)</f>
        <v>44818</v>
      </c>
      <c r="J87" s="311">
        <f>IFERROR(__xludf.DUMMYFUNCTION("""COMPUTED_VALUE"""),0.40184027777777775)</f>
        <v>0.4018402778</v>
      </c>
      <c r="K87" s="54"/>
      <c r="L87" s="7"/>
      <c r="M87" s="312"/>
      <c r="N87" s="172">
        <f>IFERROR(__xludf.DUMMYFUNCTION("""COMPUTED_VALUE"""),2.0)</f>
        <v>2</v>
      </c>
      <c r="O87" s="172" t="str">
        <f t="shared" si="3"/>
        <v/>
      </c>
      <c r="P87" s="313">
        <f>IFERROR(__xludf.DUMMYFUNCTION("""COMPUTED_VALUE"""),0.0)</f>
        <v>0</v>
      </c>
      <c r="Q87" s="76" t="b">
        <f>VLOOKUP($B87,'Run Reconcile'!B$2:O1399,14,FALSE)</f>
        <v>1</v>
      </c>
      <c r="R87" s="314" t="str">
        <f t="array" ref="R87">IF($Q87, INDEX('Run Reconcile'!A$2:A1399,MATCH(B87,'Run Reconcile'!B$2:B1399,0),1),IFERROR(0/0,""))</f>
        <v>RUN-ABRM_2022-09-14_RFR-013</v>
      </c>
      <c r="S87" s="315" t="str">
        <f t="shared" ref="S87:T87" si="178">IF(COUNTIF(W$2:W1399, $A87) &gt; 0,TRUE,IFERROR(0/0,""))</f>
        <v/>
      </c>
      <c r="T87" s="315" t="str">
        <f t="shared" si="178"/>
        <v/>
      </c>
      <c r="U87" s="114" t="str">
        <f t="array" ref="U87">IF(ISBLANK($R87), INDEX('Run Reconcile'!A$2:A1399, MATCH($B87, 'Run Reconcile'!B$2:B1399, 0)+Z87, 1), IFERROR(0/0,""))
</f>
        <v/>
      </c>
      <c r="V87" s="316" t="str">
        <f t="shared" si="5"/>
        <v>RUN-ABRM_2022-09-14_RFR-013</v>
      </c>
      <c r="Y87" s="317" t="str">
        <f t="shared" si="6"/>
        <v/>
      </c>
      <c r="Z87" s="83" t="str">
        <f t="shared" si="7"/>
        <v/>
      </c>
      <c r="AA87" s="83" t="str">
        <f t="shared" si="8"/>
        <v/>
      </c>
      <c r="AB87" s="83" t="str">
        <f t="shared" si="9"/>
        <v/>
      </c>
      <c r="AC87" s="18" t="str">
        <f t="shared" ref="AC87:AD87" si="179">IF(_xlfn.ISFORMULA(S87),IFERROR(0/0,""),TRUE)</f>
        <v/>
      </c>
      <c r="AD87" s="18" t="str">
        <f t="shared" si="179"/>
        <v/>
      </c>
      <c r="AE87" s="43"/>
      <c r="AF87" s="58" t="s">
        <v>36</v>
      </c>
      <c r="AG87" s="55" t="str">
        <f t="shared" si="11"/>
        <v/>
      </c>
    </row>
    <row r="88">
      <c r="A88" s="7" t="str">
        <f>IFERROR(__xludf.DUMMYFUNCTION("""COMPUTED_VALUE"""),"AG1461")</f>
        <v>AG1461</v>
      </c>
      <c r="B88" s="308">
        <f>IFERROR(__xludf.DUMMYFUNCTION("""COMPUTED_VALUE"""),44818.0)</f>
        <v>44818</v>
      </c>
      <c r="C88" s="309">
        <f>IFERROR(__xludf.DUMMYFUNCTION("""COMPUTED_VALUE"""),0.383912037037037)</f>
        <v>0.383912037</v>
      </c>
      <c r="D88" s="7" t="str">
        <f>IFERROR(__xludf.DUMMYFUNCTION("""COMPUTED_VALUE"""),"SpABRM655136")</f>
        <v>SpABRM655136</v>
      </c>
      <c r="E88" s="310"/>
      <c r="F88" s="310"/>
      <c r="G88" s="310" t="str">
        <f>IFERROR(__xludf.DUMMYFUNCTION("""COMPUTED_VALUE"""),"Negative")</f>
        <v>Negative</v>
      </c>
      <c r="H88" s="319" t="str">
        <f>IFERROR(__xludf.DUMMYFUNCTION("""COMPUTED_VALUE"""),"Negative")</f>
        <v>Negative</v>
      </c>
      <c r="I88" s="308">
        <f>IFERROR(__xludf.DUMMYFUNCTION("""COMPUTED_VALUE"""),44818.0)</f>
        <v>44818</v>
      </c>
      <c r="J88" s="311">
        <f>IFERROR(__xludf.DUMMYFUNCTION("""COMPUTED_VALUE"""),0.40184027777777775)</f>
        <v>0.4018402778</v>
      </c>
      <c r="K88" s="54"/>
      <c r="L88" s="7"/>
      <c r="M88" s="312"/>
      <c r="N88" s="172">
        <f>IFERROR(__xludf.DUMMYFUNCTION("""COMPUTED_VALUE"""),3.0)</f>
        <v>3</v>
      </c>
      <c r="O88" s="172" t="str">
        <f t="shared" si="3"/>
        <v/>
      </c>
      <c r="P88" s="313">
        <f>IFERROR(__xludf.DUMMYFUNCTION("""COMPUTED_VALUE"""),0.0)</f>
        <v>0</v>
      </c>
      <c r="Q88" s="76" t="b">
        <f>VLOOKUP($B88,'Run Reconcile'!B$2:O1399,14,FALSE)</f>
        <v>1</v>
      </c>
      <c r="R88" s="314" t="str">
        <f t="array" ref="R88">IF($Q88, INDEX('Run Reconcile'!A$2:A1399,MATCH(B88,'Run Reconcile'!B$2:B1399,0),1),IFERROR(0/0,""))</f>
        <v>RUN-ABRM_2022-09-14_RFR-013</v>
      </c>
      <c r="S88" s="315" t="str">
        <f t="shared" ref="S88:T88" si="180">IF(COUNTIF(W$2:W1399, $A88) &gt; 0,TRUE,IFERROR(0/0,""))</f>
        <v/>
      </c>
      <c r="T88" s="315" t="str">
        <f t="shared" si="180"/>
        <v/>
      </c>
      <c r="U88" s="114" t="str">
        <f t="array" ref="U88">IF(ISBLANK($R88), INDEX('Run Reconcile'!A$2:A1399, MATCH($B88, 'Run Reconcile'!B$2:B1399, 0)+Z88, 1), IFERROR(0/0,""))
</f>
        <v/>
      </c>
      <c r="V88" s="316" t="str">
        <f t="shared" si="5"/>
        <v>RUN-ABRM_2022-09-14_RFR-013</v>
      </c>
      <c r="Y88" s="317" t="str">
        <f t="shared" si="6"/>
        <v/>
      </c>
      <c r="Z88" s="83" t="str">
        <f t="shared" si="7"/>
        <v/>
      </c>
      <c r="AA88" s="83" t="str">
        <f t="shared" si="8"/>
        <v/>
      </c>
      <c r="AB88" s="83" t="str">
        <f t="shared" si="9"/>
        <v/>
      </c>
      <c r="AC88" s="18" t="str">
        <f t="shared" ref="AC88:AD88" si="181">IF(_xlfn.ISFORMULA(S88),IFERROR(0/0,""),TRUE)</f>
        <v/>
      </c>
      <c r="AD88" s="18" t="str">
        <f t="shared" si="181"/>
        <v/>
      </c>
      <c r="AE88" s="43"/>
      <c r="AF88" s="58" t="s">
        <v>36</v>
      </c>
      <c r="AG88" s="55" t="str">
        <f t="shared" si="11"/>
        <v/>
      </c>
    </row>
    <row r="89">
      <c r="A89" s="7" t="str">
        <f>IFERROR(__xludf.DUMMYFUNCTION("""COMPUTED_VALUE"""),"AH9111")</f>
        <v>AH9111</v>
      </c>
      <c r="B89" s="308">
        <f>IFERROR(__xludf.DUMMYFUNCTION("""COMPUTED_VALUE"""),44818.0)</f>
        <v>44818</v>
      </c>
      <c r="C89" s="309">
        <f>IFERROR(__xludf.DUMMYFUNCTION("""COMPUTED_VALUE"""),0.38427083333333334)</f>
        <v>0.3842708333</v>
      </c>
      <c r="D89" s="7" t="str">
        <f>IFERROR(__xludf.DUMMYFUNCTION("""COMPUTED_VALUE"""),"SpABRM655136")</f>
        <v>SpABRM655136</v>
      </c>
      <c r="E89" s="310"/>
      <c r="F89" s="310"/>
      <c r="G89" s="310" t="str">
        <f>IFERROR(__xludf.DUMMYFUNCTION("""COMPUTED_VALUE"""),"Negative")</f>
        <v>Negative</v>
      </c>
      <c r="H89" s="319" t="str">
        <f>IFERROR(__xludf.DUMMYFUNCTION("""COMPUTED_VALUE"""),"Negative")</f>
        <v>Negative</v>
      </c>
      <c r="I89" s="308">
        <f>IFERROR(__xludf.DUMMYFUNCTION("""COMPUTED_VALUE"""),44818.0)</f>
        <v>44818</v>
      </c>
      <c r="J89" s="311">
        <f>IFERROR(__xludf.DUMMYFUNCTION("""COMPUTED_VALUE"""),0.40184027777777775)</f>
        <v>0.4018402778</v>
      </c>
      <c r="K89" s="54"/>
      <c r="L89" s="7"/>
      <c r="M89" s="312"/>
      <c r="N89" s="172">
        <f>IFERROR(__xludf.DUMMYFUNCTION("""COMPUTED_VALUE"""),3.0)</f>
        <v>3</v>
      </c>
      <c r="O89" s="172" t="str">
        <f t="shared" si="3"/>
        <v/>
      </c>
      <c r="P89" s="313">
        <f>IFERROR(__xludf.DUMMYFUNCTION("""COMPUTED_VALUE"""),0.0)</f>
        <v>0</v>
      </c>
      <c r="Q89" s="76" t="b">
        <f>VLOOKUP($B89,'Run Reconcile'!B$2:O1399,14,FALSE)</f>
        <v>1</v>
      </c>
      <c r="R89" s="314" t="str">
        <f t="array" ref="R89">IF($Q89, INDEX('Run Reconcile'!A$2:A1399,MATCH(B89,'Run Reconcile'!B$2:B1399,0),1),IFERROR(0/0,""))</f>
        <v>RUN-ABRM_2022-09-14_RFR-013</v>
      </c>
      <c r="S89" s="315" t="str">
        <f t="shared" ref="S89:T89" si="182">IF(COUNTIF(W$2:W1399, $A89) &gt; 0,TRUE,IFERROR(0/0,""))</f>
        <v/>
      </c>
      <c r="T89" s="315" t="str">
        <f t="shared" si="182"/>
        <v/>
      </c>
      <c r="U89" s="114" t="str">
        <f t="array" ref="U89">IF(ISBLANK($R89), INDEX('Run Reconcile'!A$2:A1399, MATCH($B89, 'Run Reconcile'!B$2:B1399, 0)+Z89, 1), IFERROR(0/0,""))
</f>
        <v/>
      </c>
      <c r="V89" s="316" t="str">
        <f t="shared" si="5"/>
        <v>RUN-ABRM_2022-09-14_RFR-013</v>
      </c>
      <c r="Y89" s="317" t="str">
        <f t="shared" si="6"/>
        <v/>
      </c>
      <c r="Z89" s="83" t="str">
        <f t="shared" si="7"/>
        <v/>
      </c>
      <c r="AA89" s="83" t="str">
        <f t="shared" si="8"/>
        <v/>
      </c>
      <c r="AB89" s="83" t="str">
        <f t="shared" si="9"/>
        <v/>
      </c>
      <c r="AC89" s="18" t="str">
        <f t="shared" ref="AC89:AD89" si="183">IF(_xlfn.ISFORMULA(S89),IFERROR(0/0,""),TRUE)</f>
        <v/>
      </c>
      <c r="AD89" s="18" t="str">
        <f t="shared" si="183"/>
        <v/>
      </c>
      <c r="AE89" s="43"/>
      <c r="AF89" s="58" t="s">
        <v>36</v>
      </c>
      <c r="AG89" s="55" t="str">
        <f t="shared" si="11"/>
        <v/>
      </c>
    </row>
    <row r="90">
      <c r="A90" s="7" t="str">
        <f>IFERROR(__xludf.DUMMYFUNCTION("""COMPUTED_VALUE"""),"AH8913")</f>
        <v>AH8913</v>
      </c>
      <c r="B90" s="308">
        <f>IFERROR(__xludf.DUMMYFUNCTION("""COMPUTED_VALUE"""),44819.0)</f>
        <v>44819</v>
      </c>
      <c r="C90" s="309">
        <f>IFERROR(__xludf.DUMMYFUNCTION("""COMPUTED_VALUE"""),0.2295023148148148)</f>
        <v>0.2295023148</v>
      </c>
      <c r="D90" s="7" t="str">
        <f>IFERROR(__xludf.DUMMYFUNCTION("""COMPUTED_VALUE"""),"SpABRM516158")</f>
        <v>SpABRM516158</v>
      </c>
      <c r="E90" s="310"/>
      <c r="F90" s="310"/>
      <c r="G90" s="310" t="str">
        <f>IFERROR(__xludf.DUMMYFUNCTION("""COMPUTED_VALUE"""),"Negative")</f>
        <v>Negative</v>
      </c>
      <c r="H90" s="319" t="str">
        <f>IFERROR(__xludf.DUMMYFUNCTION("""COMPUTED_VALUE"""),"Negative")</f>
        <v>Negative</v>
      </c>
      <c r="I90" s="308">
        <f>IFERROR(__xludf.DUMMYFUNCTION("""COMPUTED_VALUE"""),44819.0)</f>
        <v>44819</v>
      </c>
      <c r="J90" s="311">
        <f>IFERROR(__xludf.DUMMYFUNCTION("""COMPUTED_VALUE"""),0.39229166666666665)</f>
        <v>0.3922916667</v>
      </c>
      <c r="K90" s="54"/>
      <c r="L90" s="7"/>
      <c r="M90" s="312"/>
      <c r="N90" s="172">
        <f>IFERROR(__xludf.DUMMYFUNCTION("""COMPUTED_VALUE"""),1.0)</f>
        <v>1</v>
      </c>
      <c r="O90" s="172" t="b">
        <f t="shared" si="3"/>
        <v>1</v>
      </c>
      <c r="P90" s="313">
        <f>IFERROR(__xludf.DUMMYFUNCTION("""COMPUTED_VALUE"""),0.0)</f>
        <v>0</v>
      </c>
      <c r="Q90" s="76" t="b">
        <f>VLOOKUP($B90,'Run Reconcile'!B$2:O1399,14,FALSE)</f>
        <v>1</v>
      </c>
      <c r="R90" s="314" t="str">
        <f t="array" ref="R90">IF($Q90, INDEX('Run Reconcile'!A$2:A1399,MATCH(B90,'Run Reconcile'!B$2:B1399,0),1),IFERROR(0/0,""))</f>
        <v>RUN-ABRM_2022-09-15_RFR-014</v>
      </c>
      <c r="S90" s="315" t="str">
        <f t="shared" ref="S90:T90" si="184">IF(COUNTIF(W$2:W1399, $A90) &gt; 0,TRUE,IFERROR(0/0,""))</f>
        <v/>
      </c>
      <c r="T90" s="315" t="str">
        <f t="shared" si="184"/>
        <v/>
      </c>
      <c r="U90" s="114" t="str">
        <f t="array" ref="U90">IF(ISBLANK($R90), INDEX('Run Reconcile'!A$2:A1399, MATCH($B90, 'Run Reconcile'!B$2:B1399, 0)+Z90, 1), IFERROR(0/0,""))
</f>
        <v/>
      </c>
      <c r="V90" s="316" t="str">
        <f t="shared" si="5"/>
        <v>RUN-ABRM_2022-09-15_RFR-014</v>
      </c>
      <c r="Y90" s="317" t="str">
        <f t="shared" si="6"/>
        <v/>
      </c>
      <c r="Z90" s="83" t="str">
        <f t="shared" si="7"/>
        <v/>
      </c>
      <c r="AA90" s="83" t="str">
        <f t="shared" si="8"/>
        <v/>
      </c>
      <c r="AB90" s="83" t="str">
        <f t="shared" si="9"/>
        <v/>
      </c>
      <c r="AC90" s="18" t="str">
        <f t="shared" ref="AC90:AD90" si="185">IF(_xlfn.ISFORMULA(S90),IFERROR(0/0,""),TRUE)</f>
        <v/>
      </c>
      <c r="AD90" s="18" t="str">
        <f t="shared" si="185"/>
        <v/>
      </c>
      <c r="AE90" s="43"/>
      <c r="AF90" s="58" t="s">
        <v>37</v>
      </c>
      <c r="AG90" s="55" t="str">
        <f t="shared" si="11"/>
        <v/>
      </c>
    </row>
    <row r="91">
      <c r="A91" s="7" t="str">
        <f>IFERROR(__xludf.DUMMYFUNCTION("""COMPUTED_VALUE"""),"AG1470")</f>
        <v>AG1470</v>
      </c>
      <c r="B91" s="308">
        <f>IFERROR(__xludf.DUMMYFUNCTION("""COMPUTED_VALUE"""),44819.0)</f>
        <v>44819</v>
      </c>
      <c r="C91" s="309">
        <f>IFERROR(__xludf.DUMMYFUNCTION("""COMPUTED_VALUE"""),0.2955787037037037)</f>
        <v>0.2955787037</v>
      </c>
      <c r="D91" s="7" t="str">
        <f>IFERROR(__xludf.DUMMYFUNCTION("""COMPUTED_VALUE"""),"SpABRM814022")</f>
        <v>SpABRM814022</v>
      </c>
      <c r="E91" s="310"/>
      <c r="F91" s="310"/>
      <c r="G91" s="310" t="str">
        <f>IFERROR(__xludf.DUMMYFUNCTION("""COMPUTED_VALUE"""),"Negative")</f>
        <v>Negative</v>
      </c>
      <c r="H91" s="319" t="str">
        <f>IFERROR(__xludf.DUMMYFUNCTION("""COMPUTED_VALUE"""),"Negative")</f>
        <v>Negative</v>
      </c>
      <c r="I91" s="308">
        <f>IFERROR(__xludf.DUMMYFUNCTION("""COMPUTED_VALUE"""),44819.0)</f>
        <v>44819</v>
      </c>
      <c r="J91" s="311">
        <f>IFERROR(__xludf.DUMMYFUNCTION("""COMPUTED_VALUE"""),0.39230324074074074)</f>
        <v>0.3923032407</v>
      </c>
      <c r="K91" s="54"/>
      <c r="L91" s="7"/>
      <c r="M91" s="312"/>
      <c r="N91" s="172">
        <f>IFERROR(__xludf.DUMMYFUNCTION("""COMPUTED_VALUE"""),2.0)</f>
        <v>2</v>
      </c>
      <c r="O91" s="172" t="str">
        <f t="shared" si="3"/>
        <v/>
      </c>
      <c r="P91" s="313">
        <f>IFERROR(__xludf.DUMMYFUNCTION("""COMPUTED_VALUE"""),0.0)</f>
        <v>0</v>
      </c>
      <c r="Q91" s="76" t="b">
        <f>VLOOKUP($B91,'Run Reconcile'!B$2:O1399,14,FALSE)</f>
        <v>1</v>
      </c>
      <c r="R91" s="314" t="str">
        <f t="array" ref="R91">IF($Q91, INDEX('Run Reconcile'!A$2:A1399,MATCH(B91,'Run Reconcile'!B$2:B1399,0),1),IFERROR(0/0,""))</f>
        <v>RUN-ABRM_2022-09-15_RFR-014</v>
      </c>
      <c r="S91" s="315" t="str">
        <f t="shared" ref="S91:T91" si="186">IF(COUNTIF(W$2:W1399, $A91) &gt; 0,TRUE,IFERROR(0/0,""))</f>
        <v/>
      </c>
      <c r="T91" s="315" t="str">
        <f t="shared" si="186"/>
        <v/>
      </c>
      <c r="U91" s="114" t="str">
        <f t="array" ref="U91">IF(ISBLANK($R91), INDEX('Run Reconcile'!A$2:A1399, MATCH($B91, 'Run Reconcile'!B$2:B1399, 0)+Z91, 1), IFERROR(0/0,""))
</f>
        <v/>
      </c>
      <c r="V91" s="316" t="str">
        <f t="shared" si="5"/>
        <v>RUN-ABRM_2022-09-15_RFR-014</v>
      </c>
      <c r="Y91" s="317" t="str">
        <f t="shared" si="6"/>
        <v/>
      </c>
      <c r="Z91" s="83" t="str">
        <f t="shared" si="7"/>
        <v/>
      </c>
      <c r="AA91" s="83" t="str">
        <f t="shared" si="8"/>
        <v/>
      </c>
      <c r="AB91" s="83" t="str">
        <f t="shared" si="9"/>
        <v/>
      </c>
      <c r="AC91" s="18" t="str">
        <f t="shared" ref="AC91:AD91" si="187">IF(_xlfn.ISFORMULA(S91),IFERROR(0/0,""),TRUE)</f>
        <v/>
      </c>
      <c r="AD91" s="18" t="str">
        <f t="shared" si="187"/>
        <v/>
      </c>
      <c r="AE91" s="43"/>
      <c r="AF91" s="58" t="s">
        <v>37</v>
      </c>
      <c r="AG91" s="55" t="str">
        <f t="shared" si="11"/>
        <v/>
      </c>
    </row>
    <row r="92">
      <c r="A92" s="7" t="str">
        <f>IFERROR(__xludf.DUMMYFUNCTION("""COMPUTED_VALUE"""),"AH8807")</f>
        <v>AH8807</v>
      </c>
      <c r="B92" s="308">
        <f>IFERROR(__xludf.DUMMYFUNCTION("""COMPUTED_VALUE"""),44819.0)</f>
        <v>44819</v>
      </c>
      <c r="C92" s="309">
        <f>IFERROR(__xludf.DUMMYFUNCTION("""COMPUTED_VALUE"""),0.30060185185185184)</f>
        <v>0.3006018519</v>
      </c>
      <c r="D92" s="7" t="str">
        <f>IFERROR(__xludf.DUMMYFUNCTION("""COMPUTED_VALUE"""),"SpABRM128250")</f>
        <v>SpABRM128250</v>
      </c>
      <c r="E92" s="310"/>
      <c r="F92" s="310"/>
      <c r="G92" s="310" t="str">
        <f>IFERROR(__xludf.DUMMYFUNCTION("""COMPUTED_VALUE"""),"Negative")</f>
        <v>Negative</v>
      </c>
      <c r="H92" s="319" t="str">
        <f>IFERROR(__xludf.DUMMYFUNCTION("""COMPUTED_VALUE"""),"Negative")</f>
        <v>Negative</v>
      </c>
      <c r="I92" s="308">
        <f>IFERROR(__xludf.DUMMYFUNCTION("""COMPUTED_VALUE"""),44819.0)</f>
        <v>44819</v>
      </c>
      <c r="J92" s="311">
        <f>IFERROR(__xludf.DUMMYFUNCTION("""COMPUTED_VALUE"""),0.39230324074074074)</f>
        <v>0.3923032407</v>
      </c>
      <c r="K92" s="54"/>
      <c r="L92" s="7"/>
      <c r="M92" s="312"/>
      <c r="N92" s="172">
        <f>IFERROR(__xludf.DUMMYFUNCTION("""COMPUTED_VALUE"""),3.0)</f>
        <v>3</v>
      </c>
      <c r="O92" s="172" t="str">
        <f t="shared" si="3"/>
        <v/>
      </c>
      <c r="P92" s="313">
        <f>IFERROR(__xludf.DUMMYFUNCTION("""COMPUTED_VALUE"""),0.0)</f>
        <v>0</v>
      </c>
      <c r="Q92" s="76" t="b">
        <f>VLOOKUP($B92,'Run Reconcile'!B$2:O1399,14,FALSE)</f>
        <v>1</v>
      </c>
      <c r="R92" s="314" t="str">
        <f t="array" ref="R92">IF($Q92, INDEX('Run Reconcile'!A$2:A1399,MATCH(B92,'Run Reconcile'!B$2:B1399,0),1),IFERROR(0/0,""))</f>
        <v>RUN-ABRM_2022-09-15_RFR-014</v>
      </c>
      <c r="S92" s="315" t="str">
        <f t="shared" ref="S92:T92" si="188">IF(COUNTIF(W$2:W1399, $A92) &gt; 0,TRUE,IFERROR(0/0,""))</f>
        <v/>
      </c>
      <c r="T92" s="315" t="str">
        <f t="shared" si="188"/>
        <v/>
      </c>
      <c r="U92" s="114" t="str">
        <f t="array" ref="U92">IF(ISBLANK($R92), INDEX('Run Reconcile'!A$2:A1399, MATCH($B92, 'Run Reconcile'!B$2:B1399, 0)+Z92, 1), IFERROR(0/0,""))
</f>
        <v/>
      </c>
      <c r="V92" s="316" t="str">
        <f t="shared" si="5"/>
        <v>RUN-ABRM_2022-09-15_RFR-014</v>
      </c>
      <c r="Y92" s="317" t="str">
        <f t="shared" si="6"/>
        <v/>
      </c>
      <c r="Z92" s="83" t="str">
        <f t="shared" si="7"/>
        <v/>
      </c>
      <c r="AA92" s="83" t="str">
        <f t="shared" si="8"/>
        <v/>
      </c>
      <c r="AB92" s="83" t="str">
        <f t="shared" si="9"/>
        <v/>
      </c>
      <c r="AC92" s="18" t="str">
        <f t="shared" ref="AC92:AD92" si="189">IF(_xlfn.ISFORMULA(S92),IFERROR(0/0,""),TRUE)</f>
        <v/>
      </c>
      <c r="AD92" s="18" t="str">
        <f t="shared" si="189"/>
        <v/>
      </c>
      <c r="AE92" s="43"/>
      <c r="AF92" s="58" t="s">
        <v>37</v>
      </c>
      <c r="AG92" s="55" t="str">
        <f t="shared" si="11"/>
        <v/>
      </c>
    </row>
    <row r="93">
      <c r="A93" s="7" t="str">
        <f>IFERROR(__xludf.DUMMYFUNCTION("""COMPUTED_VALUE"""),"AK6338")</f>
        <v>AK6338</v>
      </c>
      <c r="B93" s="308">
        <f>IFERROR(__xludf.DUMMYFUNCTION("""COMPUTED_VALUE"""),44819.0)</f>
        <v>44819</v>
      </c>
      <c r="C93" s="309">
        <f>IFERROR(__xludf.DUMMYFUNCTION("""COMPUTED_VALUE"""),0.30163194444444447)</f>
        <v>0.3016319444</v>
      </c>
      <c r="D93" s="7" t="str">
        <f>IFERROR(__xludf.DUMMYFUNCTION("""COMPUTED_VALUE"""),"SpABRM297307")</f>
        <v>SpABRM297307</v>
      </c>
      <c r="E93" s="310"/>
      <c r="F93" s="310"/>
      <c r="G93" s="310" t="str">
        <f>IFERROR(__xludf.DUMMYFUNCTION("""COMPUTED_VALUE"""),"Negative")</f>
        <v>Negative</v>
      </c>
      <c r="H93" s="319" t="str">
        <f>IFERROR(__xludf.DUMMYFUNCTION("""COMPUTED_VALUE"""),"Negative")</f>
        <v>Negative</v>
      </c>
      <c r="I93" s="308">
        <f>IFERROR(__xludf.DUMMYFUNCTION("""COMPUTED_VALUE"""),44819.0)</f>
        <v>44819</v>
      </c>
      <c r="J93" s="311">
        <f>IFERROR(__xludf.DUMMYFUNCTION("""COMPUTED_VALUE"""),0.39230324074074074)</f>
        <v>0.3923032407</v>
      </c>
      <c r="K93" s="54"/>
      <c r="L93" s="7"/>
      <c r="M93" s="312"/>
      <c r="N93" s="172">
        <f>IFERROR(__xludf.DUMMYFUNCTION("""COMPUTED_VALUE"""),3.0)</f>
        <v>3</v>
      </c>
      <c r="O93" s="172" t="str">
        <f t="shared" si="3"/>
        <v/>
      </c>
      <c r="P93" s="313">
        <f>IFERROR(__xludf.DUMMYFUNCTION("""COMPUTED_VALUE"""),0.0)</f>
        <v>0</v>
      </c>
      <c r="Q93" s="76" t="b">
        <f>VLOOKUP($B93,'Run Reconcile'!B$2:O1399,14,FALSE)</f>
        <v>1</v>
      </c>
      <c r="R93" s="314" t="str">
        <f t="array" ref="R93">IF($Q93, INDEX('Run Reconcile'!A$2:A1399,MATCH(B93,'Run Reconcile'!B$2:B1399,0),1),IFERROR(0/0,""))</f>
        <v>RUN-ABRM_2022-09-15_RFR-014</v>
      </c>
      <c r="S93" s="315" t="str">
        <f t="shared" ref="S93:T93" si="190">IF(COUNTIF(W$2:W1399, $A93) &gt; 0,TRUE,IFERROR(0/0,""))</f>
        <v/>
      </c>
      <c r="T93" s="315" t="str">
        <f t="shared" si="190"/>
        <v/>
      </c>
      <c r="U93" s="114" t="str">
        <f t="array" ref="U93">IF(ISBLANK($R93), INDEX('Run Reconcile'!A$2:A1399, MATCH($B93, 'Run Reconcile'!B$2:B1399, 0)+Z93, 1), IFERROR(0/0,""))
</f>
        <v/>
      </c>
      <c r="V93" s="316" t="str">
        <f t="shared" si="5"/>
        <v>RUN-ABRM_2022-09-15_RFR-014</v>
      </c>
      <c r="Y93" s="317" t="str">
        <f t="shared" si="6"/>
        <v/>
      </c>
      <c r="Z93" s="83" t="str">
        <f t="shared" si="7"/>
        <v/>
      </c>
      <c r="AA93" s="83" t="str">
        <f t="shared" si="8"/>
        <v/>
      </c>
      <c r="AB93" s="83" t="str">
        <f t="shared" si="9"/>
        <v/>
      </c>
      <c r="AC93" s="18" t="str">
        <f t="shared" ref="AC93:AD93" si="191">IF(_xlfn.ISFORMULA(S93),IFERROR(0/0,""),TRUE)</f>
        <v/>
      </c>
      <c r="AD93" s="18" t="str">
        <f t="shared" si="191"/>
        <v/>
      </c>
      <c r="AE93" s="43"/>
      <c r="AF93" s="58" t="s">
        <v>37</v>
      </c>
      <c r="AG93" s="55" t="str">
        <f t="shared" si="11"/>
        <v/>
      </c>
    </row>
    <row r="94">
      <c r="A94" s="7" t="str">
        <f>IFERROR(__xludf.DUMMYFUNCTION("""COMPUTED_VALUE"""),"AH7854")</f>
        <v>AH7854</v>
      </c>
      <c r="B94" s="308">
        <f>IFERROR(__xludf.DUMMYFUNCTION("""COMPUTED_VALUE"""),44819.0)</f>
        <v>44819</v>
      </c>
      <c r="C94" s="309">
        <f>IFERROR(__xludf.DUMMYFUNCTION("""COMPUTED_VALUE"""),0.3032060185185185)</f>
        <v>0.3032060185</v>
      </c>
      <c r="D94" s="7" t="str">
        <f>IFERROR(__xludf.DUMMYFUNCTION("""COMPUTED_VALUE"""),"SpABRM188986")</f>
        <v>SpABRM188986</v>
      </c>
      <c r="E94" s="310"/>
      <c r="F94" s="310"/>
      <c r="G94" s="310" t="str">
        <f>IFERROR(__xludf.DUMMYFUNCTION("""COMPUTED_VALUE"""),"Negative")</f>
        <v>Negative</v>
      </c>
      <c r="H94" s="319" t="str">
        <f>IFERROR(__xludf.DUMMYFUNCTION("""COMPUTED_VALUE"""),"Negative")</f>
        <v>Negative</v>
      </c>
      <c r="I94" s="308">
        <f>IFERROR(__xludf.DUMMYFUNCTION("""COMPUTED_VALUE"""),44819.0)</f>
        <v>44819</v>
      </c>
      <c r="J94" s="311">
        <f>IFERROR(__xludf.DUMMYFUNCTION("""COMPUTED_VALUE"""),0.39231481481481484)</f>
        <v>0.3923148148</v>
      </c>
      <c r="K94" s="54"/>
      <c r="L94" s="7"/>
      <c r="M94" s="312"/>
      <c r="N94" s="172">
        <f>IFERROR(__xludf.DUMMYFUNCTION("""COMPUTED_VALUE"""),1.0)</f>
        <v>1</v>
      </c>
      <c r="O94" s="172" t="str">
        <f t="shared" si="3"/>
        <v/>
      </c>
      <c r="P94" s="313">
        <f>IFERROR(__xludf.DUMMYFUNCTION("""COMPUTED_VALUE"""),0.0)</f>
        <v>0</v>
      </c>
      <c r="Q94" s="76" t="b">
        <f>VLOOKUP($B94,'Run Reconcile'!B$2:O1399,14,FALSE)</f>
        <v>1</v>
      </c>
      <c r="R94" s="314" t="str">
        <f t="array" ref="R94">IF($Q94, INDEX('Run Reconcile'!A$2:A1399,MATCH(B94,'Run Reconcile'!B$2:B1399,0),1),IFERROR(0/0,""))</f>
        <v>RUN-ABRM_2022-09-15_RFR-014</v>
      </c>
      <c r="S94" s="315" t="str">
        <f t="shared" ref="S94:T94" si="192">IF(COUNTIF(W$2:W1399, $A94) &gt; 0,TRUE,IFERROR(0/0,""))</f>
        <v/>
      </c>
      <c r="T94" s="315" t="str">
        <f t="shared" si="192"/>
        <v/>
      </c>
      <c r="U94" s="114" t="str">
        <f t="array" ref="U94">IF(ISBLANK($R94), INDEX('Run Reconcile'!A$2:A1399, MATCH($B94, 'Run Reconcile'!B$2:B1399, 0)+Z94, 1), IFERROR(0/0,""))
</f>
        <v/>
      </c>
      <c r="V94" s="316" t="str">
        <f t="shared" si="5"/>
        <v>RUN-ABRM_2022-09-15_RFR-014</v>
      </c>
      <c r="Y94" s="317" t="str">
        <f t="shared" si="6"/>
        <v/>
      </c>
      <c r="Z94" s="83" t="str">
        <f t="shared" si="7"/>
        <v/>
      </c>
      <c r="AA94" s="83" t="str">
        <f t="shared" si="8"/>
        <v/>
      </c>
      <c r="AB94" s="83" t="str">
        <f t="shared" si="9"/>
        <v/>
      </c>
      <c r="AC94" s="18" t="str">
        <f t="shared" ref="AC94:AD94" si="193">IF(_xlfn.ISFORMULA(S94),IFERROR(0/0,""),TRUE)</f>
        <v/>
      </c>
      <c r="AD94" s="18" t="str">
        <f t="shared" si="193"/>
        <v/>
      </c>
      <c r="AE94" s="43"/>
      <c r="AF94" s="58" t="s">
        <v>37</v>
      </c>
      <c r="AG94" s="55" t="str">
        <f t="shared" si="11"/>
        <v/>
      </c>
    </row>
    <row r="95">
      <c r="A95" s="7" t="str">
        <f>IFERROR(__xludf.DUMMYFUNCTION("""COMPUTED_VALUE"""),"AH9085")</f>
        <v>AH9085</v>
      </c>
      <c r="B95" s="308">
        <f>IFERROR(__xludf.DUMMYFUNCTION("""COMPUTED_VALUE"""),44819.0)</f>
        <v>44819</v>
      </c>
      <c r="C95" s="309">
        <f>IFERROR(__xludf.DUMMYFUNCTION("""COMPUTED_VALUE"""),0.32207175925925924)</f>
        <v>0.3220717593</v>
      </c>
      <c r="D95" s="7" t="str">
        <f>IFERROR(__xludf.DUMMYFUNCTION("""COMPUTED_VALUE"""),"SpABRM655136")</f>
        <v>SpABRM655136</v>
      </c>
      <c r="E95" s="310"/>
      <c r="F95" s="310"/>
      <c r="G95" s="310" t="str">
        <f>IFERROR(__xludf.DUMMYFUNCTION("""COMPUTED_VALUE"""),"Negative")</f>
        <v>Negative</v>
      </c>
      <c r="H95" s="319" t="str">
        <f>IFERROR(__xludf.DUMMYFUNCTION("""COMPUTED_VALUE"""),"Negative")</f>
        <v>Negative</v>
      </c>
      <c r="I95" s="308">
        <f>IFERROR(__xludf.DUMMYFUNCTION("""COMPUTED_VALUE"""),44819.0)</f>
        <v>44819</v>
      </c>
      <c r="J95" s="311">
        <f>IFERROR(__xludf.DUMMYFUNCTION("""COMPUTED_VALUE"""),0.39231481481481484)</f>
        <v>0.3923148148</v>
      </c>
      <c r="K95" s="54"/>
      <c r="L95" s="7"/>
      <c r="M95" s="312"/>
      <c r="N95" s="172">
        <f>IFERROR(__xludf.DUMMYFUNCTION("""COMPUTED_VALUE"""),2.0)</f>
        <v>2</v>
      </c>
      <c r="O95" s="172" t="str">
        <f t="shared" si="3"/>
        <v/>
      </c>
      <c r="P95" s="313">
        <f>IFERROR(__xludf.DUMMYFUNCTION("""COMPUTED_VALUE"""),0.0)</f>
        <v>0</v>
      </c>
      <c r="Q95" s="76" t="b">
        <f>VLOOKUP($B95,'Run Reconcile'!B$2:O1399,14,FALSE)</f>
        <v>1</v>
      </c>
      <c r="R95" s="314" t="str">
        <f t="array" ref="R95">IF($Q95, INDEX('Run Reconcile'!A$2:A1399,MATCH(B95,'Run Reconcile'!B$2:B1399,0),1),IFERROR(0/0,""))</f>
        <v>RUN-ABRM_2022-09-15_RFR-014</v>
      </c>
      <c r="S95" s="315" t="str">
        <f t="shared" ref="S95:T95" si="194">IF(COUNTIF(W$2:W1399, $A95) &gt; 0,TRUE,IFERROR(0/0,""))</f>
        <v/>
      </c>
      <c r="T95" s="315" t="str">
        <f t="shared" si="194"/>
        <v/>
      </c>
      <c r="U95" s="114" t="str">
        <f t="array" ref="U95">IF(ISBLANK($R95), INDEX('Run Reconcile'!A$2:A1399, MATCH($B95, 'Run Reconcile'!B$2:B1399, 0)+Z95, 1), IFERROR(0/0,""))
</f>
        <v/>
      </c>
      <c r="V95" s="316" t="str">
        <f t="shared" si="5"/>
        <v>RUN-ABRM_2022-09-15_RFR-014</v>
      </c>
      <c r="Y95" s="317" t="str">
        <f t="shared" si="6"/>
        <v/>
      </c>
      <c r="Z95" s="83" t="str">
        <f t="shared" si="7"/>
        <v/>
      </c>
      <c r="AA95" s="83" t="str">
        <f t="shared" si="8"/>
        <v/>
      </c>
      <c r="AB95" s="83" t="str">
        <f t="shared" si="9"/>
        <v/>
      </c>
      <c r="AC95" s="18" t="str">
        <f t="shared" ref="AC95:AD95" si="195">IF(_xlfn.ISFORMULA(S95),IFERROR(0/0,""),TRUE)</f>
        <v/>
      </c>
      <c r="AD95" s="18" t="str">
        <f t="shared" si="195"/>
        <v/>
      </c>
      <c r="AE95" s="43"/>
      <c r="AF95" s="58" t="s">
        <v>37</v>
      </c>
      <c r="AG95" s="55" t="str">
        <f t="shared" si="11"/>
        <v/>
      </c>
    </row>
    <row r="96">
      <c r="A96" s="7" t="str">
        <f>IFERROR(__xludf.DUMMYFUNCTION("""COMPUTED_VALUE"""),"AG1324")</f>
        <v>AG1324</v>
      </c>
      <c r="B96" s="308">
        <f>IFERROR(__xludf.DUMMYFUNCTION("""COMPUTED_VALUE"""),44819.0)</f>
        <v>44819</v>
      </c>
      <c r="C96" s="309">
        <f>IFERROR(__xludf.DUMMYFUNCTION("""COMPUTED_VALUE"""),0.3709027777777778)</f>
        <v>0.3709027778</v>
      </c>
      <c r="D96" s="7" t="str">
        <f>IFERROR(__xludf.DUMMYFUNCTION("""COMPUTED_VALUE"""),"SpABRM655136")</f>
        <v>SpABRM655136</v>
      </c>
      <c r="E96" s="310"/>
      <c r="F96" s="310"/>
      <c r="G96" s="310" t="str">
        <f>IFERROR(__xludf.DUMMYFUNCTION("""COMPUTED_VALUE"""),"Negative")</f>
        <v>Negative</v>
      </c>
      <c r="H96" s="319" t="str">
        <f>IFERROR(__xludf.DUMMYFUNCTION("""COMPUTED_VALUE"""),"Negative")</f>
        <v>Negative</v>
      </c>
      <c r="I96" s="308">
        <f>IFERROR(__xludf.DUMMYFUNCTION("""COMPUTED_VALUE"""),44819.0)</f>
        <v>44819</v>
      </c>
      <c r="J96" s="311">
        <f>IFERROR(__xludf.DUMMYFUNCTION("""COMPUTED_VALUE"""),0.39231481481481484)</f>
        <v>0.3923148148</v>
      </c>
      <c r="K96" s="54"/>
      <c r="L96" s="7"/>
      <c r="M96" s="312"/>
      <c r="N96" s="172">
        <f>IFERROR(__xludf.DUMMYFUNCTION("""COMPUTED_VALUE"""),1.0)</f>
        <v>1</v>
      </c>
      <c r="O96" s="172" t="str">
        <f t="shared" si="3"/>
        <v/>
      </c>
      <c r="P96" s="313">
        <f>IFERROR(__xludf.DUMMYFUNCTION("""COMPUTED_VALUE"""),0.0)</f>
        <v>0</v>
      </c>
      <c r="Q96" s="76" t="b">
        <f>VLOOKUP($B96,'Run Reconcile'!B$2:O1399,14,FALSE)</f>
        <v>1</v>
      </c>
      <c r="R96" s="314" t="str">
        <f t="array" ref="R96">IF($Q96, INDEX('Run Reconcile'!A$2:A1399,MATCH(B96,'Run Reconcile'!B$2:B1399,0),1),IFERROR(0/0,""))</f>
        <v>RUN-ABRM_2022-09-15_RFR-014</v>
      </c>
      <c r="S96" s="315" t="str">
        <f t="shared" ref="S96:T96" si="196">IF(COUNTIF(W$2:W1399, $A96) &gt; 0,TRUE,IFERROR(0/0,""))</f>
        <v/>
      </c>
      <c r="T96" s="315" t="str">
        <f t="shared" si="196"/>
        <v/>
      </c>
      <c r="U96" s="114" t="str">
        <f t="array" ref="U96">IF(ISBLANK($R96), INDEX('Run Reconcile'!A$2:A1399, MATCH($B96, 'Run Reconcile'!B$2:B1399, 0)+Z96, 1), IFERROR(0/0,""))
</f>
        <v/>
      </c>
      <c r="V96" s="316" t="str">
        <f t="shared" si="5"/>
        <v>RUN-ABRM_2022-09-15_RFR-014</v>
      </c>
      <c r="Y96" s="317" t="str">
        <f t="shared" si="6"/>
        <v/>
      </c>
      <c r="Z96" s="83" t="str">
        <f t="shared" si="7"/>
        <v/>
      </c>
      <c r="AA96" s="83" t="str">
        <f t="shared" si="8"/>
        <v/>
      </c>
      <c r="AB96" s="83" t="str">
        <f t="shared" si="9"/>
        <v/>
      </c>
      <c r="AC96" s="18" t="str">
        <f t="shared" ref="AC96:AD96" si="197">IF(_xlfn.ISFORMULA(S96),IFERROR(0/0,""),TRUE)</f>
        <v/>
      </c>
      <c r="AD96" s="18" t="str">
        <f t="shared" si="197"/>
        <v/>
      </c>
      <c r="AE96" s="43"/>
      <c r="AF96" s="58" t="s">
        <v>37</v>
      </c>
      <c r="AG96" s="55" t="str">
        <f t="shared" si="11"/>
        <v/>
      </c>
    </row>
    <row r="97">
      <c r="A97" s="7" t="str">
        <f>IFERROR(__xludf.DUMMYFUNCTION("""COMPUTED_VALUE"""),"AH8537")</f>
        <v>AH8537</v>
      </c>
      <c r="B97" s="308">
        <f>IFERROR(__xludf.DUMMYFUNCTION("""COMPUTED_VALUE"""),44819.0)</f>
        <v>44819</v>
      </c>
      <c r="C97" s="309">
        <f>IFERROR(__xludf.DUMMYFUNCTION("""COMPUTED_VALUE"""),0.3712962962962963)</f>
        <v>0.3712962963</v>
      </c>
      <c r="D97" s="7" t="str">
        <f>IFERROR(__xludf.DUMMYFUNCTION("""COMPUTED_VALUE"""),"SpABRM655136")</f>
        <v>SpABRM655136</v>
      </c>
      <c r="E97" s="310"/>
      <c r="F97" s="310"/>
      <c r="G97" s="310" t="str">
        <f>IFERROR(__xludf.DUMMYFUNCTION("""COMPUTED_VALUE"""),"Negative")</f>
        <v>Negative</v>
      </c>
      <c r="H97" s="319" t="str">
        <f>IFERROR(__xludf.DUMMYFUNCTION("""COMPUTED_VALUE"""),"Negative")</f>
        <v>Negative</v>
      </c>
      <c r="I97" s="308">
        <f>IFERROR(__xludf.DUMMYFUNCTION("""COMPUTED_VALUE"""),44819.0)</f>
        <v>44819</v>
      </c>
      <c r="J97" s="311">
        <f>IFERROR(__xludf.DUMMYFUNCTION("""COMPUTED_VALUE"""),0.3923263888888889)</f>
        <v>0.3923263889</v>
      </c>
      <c r="K97" s="54"/>
      <c r="L97" s="7"/>
      <c r="M97" s="312"/>
      <c r="N97" s="172">
        <f>IFERROR(__xludf.DUMMYFUNCTION("""COMPUTED_VALUE"""),3.0)</f>
        <v>3</v>
      </c>
      <c r="O97" s="172" t="str">
        <f t="shared" si="3"/>
        <v/>
      </c>
      <c r="P97" s="313">
        <f>IFERROR(__xludf.DUMMYFUNCTION("""COMPUTED_VALUE"""),0.0)</f>
        <v>0</v>
      </c>
      <c r="Q97" s="76" t="b">
        <f>VLOOKUP($B97,'Run Reconcile'!B$2:O1399,14,FALSE)</f>
        <v>1</v>
      </c>
      <c r="R97" s="314" t="str">
        <f t="array" ref="R97">IF($Q97, INDEX('Run Reconcile'!A$2:A1399,MATCH(B97,'Run Reconcile'!B$2:B1399,0),1),IFERROR(0/0,""))</f>
        <v>RUN-ABRM_2022-09-15_RFR-014</v>
      </c>
      <c r="S97" s="315" t="str">
        <f t="shared" ref="S97:T97" si="198">IF(COUNTIF(W$2:W1399, $A97) &gt; 0,TRUE,IFERROR(0/0,""))</f>
        <v/>
      </c>
      <c r="T97" s="315" t="str">
        <f t="shared" si="198"/>
        <v/>
      </c>
      <c r="U97" s="114" t="str">
        <f t="array" ref="U97">IF(ISBLANK($R97), INDEX('Run Reconcile'!A$2:A1399, MATCH($B97, 'Run Reconcile'!B$2:B1399, 0)+Z97, 1), IFERROR(0/0,""))
</f>
        <v/>
      </c>
      <c r="V97" s="316" t="str">
        <f t="shared" si="5"/>
        <v>RUN-ABRM_2022-09-15_RFR-014</v>
      </c>
      <c r="Y97" s="317" t="str">
        <f t="shared" si="6"/>
        <v/>
      </c>
      <c r="Z97" s="83" t="str">
        <f t="shared" si="7"/>
        <v/>
      </c>
      <c r="AA97" s="83" t="str">
        <f t="shared" si="8"/>
        <v/>
      </c>
      <c r="AB97" s="83" t="str">
        <f t="shared" si="9"/>
        <v/>
      </c>
      <c r="AC97" s="18" t="str">
        <f t="shared" ref="AC97:AD97" si="199">IF(_xlfn.ISFORMULA(S97),IFERROR(0/0,""),TRUE)</f>
        <v/>
      </c>
      <c r="AD97" s="18" t="str">
        <f t="shared" si="199"/>
        <v/>
      </c>
      <c r="AE97" s="43"/>
      <c r="AF97" s="58" t="s">
        <v>37</v>
      </c>
      <c r="AG97" s="55" t="str">
        <f t="shared" si="11"/>
        <v/>
      </c>
    </row>
    <row r="98">
      <c r="A98" s="7" t="str">
        <f>IFERROR(__xludf.DUMMYFUNCTION("""COMPUTED_VALUE"""),"AH8654")</f>
        <v>AH8654</v>
      </c>
      <c r="B98" s="308">
        <f>IFERROR(__xludf.DUMMYFUNCTION("""COMPUTED_VALUE"""),44819.0)</f>
        <v>44819</v>
      </c>
      <c r="C98" s="309">
        <f>IFERROR(__xludf.DUMMYFUNCTION("""COMPUTED_VALUE"""),0.37167824074074074)</f>
        <v>0.3716782407</v>
      </c>
      <c r="D98" s="7" t="str">
        <f>IFERROR(__xludf.DUMMYFUNCTION("""COMPUTED_VALUE"""),"SpABRM655136")</f>
        <v>SpABRM655136</v>
      </c>
      <c r="E98" s="310"/>
      <c r="F98" s="310"/>
      <c r="G98" s="310" t="str">
        <f>IFERROR(__xludf.DUMMYFUNCTION("""COMPUTED_VALUE"""),"Negative")</f>
        <v>Negative</v>
      </c>
      <c r="H98" s="319" t="str">
        <f>IFERROR(__xludf.DUMMYFUNCTION("""COMPUTED_VALUE"""),"Negative")</f>
        <v>Negative</v>
      </c>
      <c r="I98" s="308">
        <f>IFERROR(__xludf.DUMMYFUNCTION("""COMPUTED_VALUE"""),44819.0)</f>
        <v>44819</v>
      </c>
      <c r="J98" s="311">
        <f>IFERROR(__xludf.DUMMYFUNCTION("""COMPUTED_VALUE"""),0.3923263888888889)</f>
        <v>0.3923263889</v>
      </c>
      <c r="K98" s="54"/>
      <c r="L98" s="7"/>
      <c r="M98" s="312"/>
      <c r="N98" s="172">
        <f>IFERROR(__xludf.DUMMYFUNCTION("""COMPUTED_VALUE"""),3.0)</f>
        <v>3</v>
      </c>
      <c r="O98" s="172" t="str">
        <f t="shared" si="3"/>
        <v/>
      </c>
      <c r="P98" s="313">
        <f>IFERROR(__xludf.DUMMYFUNCTION("""COMPUTED_VALUE"""),0.0)</f>
        <v>0</v>
      </c>
      <c r="Q98" s="76" t="b">
        <f>VLOOKUP($B98,'Run Reconcile'!B$2:O1399,14,FALSE)</f>
        <v>1</v>
      </c>
      <c r="R98" s="314" t="str">
        <f t="array" ref="R98">IF($Q98, INDEX('Run Reconcile'!A$2:A1399,MATCH(B98,'Run Reconcile'!B$2:B1399,0),1),IFERROR(0/0,""))</f>
        <v>RUN-ABRM_2022-09-15_RFR-014</v>
      </c>
      <c r="S98" s="315" t="str">
        <f t="shared" ref="S98:T98" si="200">IF(COUNTIF(W$2:W1399, $A98) &gt; 0,TRUE,IFERROR(0/0,""))</f>
        <v/>
      </c>
      <c r="T98" s="315" t="str">
        <f t="shared" si="200"/>
        <v/>
      </c>
      <c r="U98" s="114" t="str">
        <f t="array" ref="U98">IF(ISBLANK($R98), INDEX('Run Reconcile'!A$2:A1399, MATCH($B98, 'Run Reconcile'!B$2:B1399, 0)+Z98, 1), IFERROR(0/0,""))
</f>
        <v/>
      </c>
      <c r="V98" s="316" t="str">
        <f t="shared" si="5"/>
        <v>RUN-ABRM_2022-09-15_RFR-014</v>
      </c>
      <c r="Y98" s="317" t="str">
        <f t="shared" si="6"/>
        <v/>
      </c>
      <c r="Z98" s="83" t="str">
        <f t="shared" si="7"/>
        <v/>
      </c>
      <c r="AA98" s="83" t="str">
        <f t="shared" si="8"/>
        <v/>
      </c>
      <c r="AB98" s="83" t="str">
        <f t="shared" si="9"/>
        <v/>
      </c>
      <c r="AC98" s="18" t="str">
        <f t="shared" ref="AC98:AD98" si="201">IF(_xlfn.ISFORMULA(S98),IFERROR(0/0,""),TRUE)</f>
        <v/>
      </c>
      <c r="AD98" s="18" t="str">
        <f t="shared" si="201"/>
        <v/>
      </c>
      <c r="AE98" s="43"/>
      <c r="AF98" s="58" t="s">
        <v>37</v>
      </c>
      <c r="AG98" s="55" t="str">
        <f t="shared" si="11"/>
        <v/>
      </c>
    </row>
    <row r="99">
      <c r="A99" s="7" t="str">
        <f>IFERROR(__xludf.DUMMYFUNCTION("""COMPUTED_VALUE"""),"AH7689")</f>
        <v>AH7689</v>
      </c>
      <c r="B99" s="308">
        <f>IFERROR(__xludf.DUMMYFUNCTION("""COMPUTED_VALUE"""),44819.0)</f>
        <v>44819</v>
      </c>
      <c r="C99" s="309">
        <f>IFERROR(__xludf.DUMMYFUNCTION("""COMPUTED_VALUE"""),0.3719675925925926)</f>
        <v>0.3719675926</v>
      </c>
      <c r="D99" s="7" t="str">
        <f>IFERROR(__xludf.DUMMYFUNCTION("""COMPUTED_VALUE"""),"SpABRM655136")</f>
        <v>SpABRM655136</v>
      </c>
      <c r="E99" s="310"/>
      <c r="F99" s="310"/>
      <c r="G99" s="310" t="str">
        <f>IFERROR(__xludf.DUMMYFUNCTION("""COMPUTED_VALUE"""),"Negative")</f>
        <v>Negative</v>
      </c>
      <c r="H99" s="319" t="str">
        <f>IFERROR(__xludf.DUMMYFUNCTION("""COMPUTED_VALUE"""),"Negative")</f>
        <v>Negative</v>
      </c>
      <c r="I99" s="308">
        <f>IFERROR(__xludf.DUMMYFUNCTION("""COMPUTED_VALUE"""),44819.0)</f>
        <v>44819</v>
      </c>
      <c r="J99" s="311">
        <f>IFERROR(__xludf.DUMMYFUNCTION("""COMPUTED_VALUE"""),0.3923263888888889)</f>
        <v>0.3923263889</v>
      </c>
      <c r="K99" s="54"/>
      <c r="L99" s="7"/>
      <c r="M99" s="312"/>
      <c r="N99" s="172">
        <f>IFERROR(__xludf.DUMMYFUNCTION("""COMPUTED_VALUE"""),3.0)</f>
        <v>3</v>
      </c>
      <c r="O99" s="172" t="str">
        <f t="shared" si="3"/>
        <v/>
      </c>
      <c r="P99" s="313">
        <f>IFERROR(__xludf.DUMMYFUNCTION("""COMPUTED_VALUE"""),0.0)</f>
        <v>0</v>
      </c>
      <c r="Q99" s="76" t="b">
        <f>VLOOKUP($B99,'Run Reconcile'!B$2:O1399,14,FALSE)</f>
        <v>1</v>
      </c>
      <c r="R99" s="314" t="str">
        <f t="array" ref="R99">IF($Q99, INDEX('Run Reconcile'!A$2:A1399,MATCH(B99,'Run Reconcile'!B$2:B1399,0),1),IFERROR(0/0,""))</f>
        <v>RUN-ABRM_2022-09-15_RFR-014</v>
      </c>
      <c r="S99" s="315" t="str">
        <f t="shared" ref="S99:T99" si="202">IF(COUNTIF(W$2:W1399, $A99) &gt; 0,TRUE,IFERROR(0/0,""))</f>
        <v/>
      </c>
      <c r="T99" s="315" t="str">
        <f t="shared" si="202"/>
        <v/>
      </c>
      <c r="U99" s="114" t="str">
        <f t="array" ref="U99">IF(ISBLANK($R99), INDEX('Run Reconcile'!A$2:A1399, MATCH($B99, 'Run Reconcile'!B$2:B1399, 0)+Z99, 1), IFERROR(0/0,""))
</f>
        <v/>
      </c>
      <c r="V99" s="316" t="str">
        <f t="shared" si="5"/>
        <v>RUN-ABRM_2022-09-15_RFR-014</v>
      </c>
      <c r="Y99" s="317" t="str">
        <f t="shared" si="6"/>
        <v/>
      </c>
      <c r="Z99" s="83" t="str">
        <f t="shared" si="7"/>
        <v/>
      </c>
      <c r="AA99" s="83" t="str">
        <f t="shared" si="8"/>
        <v/>
      </c>
      <c r="AB99" s="83" t="str">
        <f t="shared" si="9"/>
        <v/>
      </c>
      <c r="AC99" s="18" t="str">
        <f t="shared" ref="AC99:AD99" si="203">IF(_xlfn.ISFORMULA(S99),IFERROR(0/0,""),TRUE)</f>
        <v/>
      </c>
      <c r="AD99" s="18" t="str">
        <f t="shared" si="203"/>
        <v/>
      </c>
      <c r="AE99" s="43"/>
      <c r="AF99" s="58" t="s">
        <v>37</v>
      </c>
      <c r="AG99" s="55" t="str">
        <f t="shared" si="11"/>
        <v/>
      </c>
    </row>
    <row r="100">
      <c r="A100" s="7" t="str">
        <f>IFERROR(__xludf.DUMMYFUNCTION("""COMPUTED_VALUE"""),"AG1697")</f>
        <v>AG1697</v>
      </c>
      <c r="B100" s="308">
        <f>IFERROR(__xludf.DUMMYFUNCTION("""COMPUTED_VALUE"""),44820.0)</f>
        <v>44820</v>
      </c>
      <c r="C100" s="309">
        <f>IFERROR(__xludf.DUMMYFUNCTION("""COMPUTED_VALUE"""),0.2615162037037037)</f>
        <v>0.2615162037</v>
      </c>
      <c r="D100" s="7" t="str">
        <f>IFERROR(__xludf.DUMMYFUNCTION("""COMPUTED_VALUE"""),"SpABRM128250")</f>
        <v>SpABRM128250</v>
      </c>
      <c r="E100" s="310"/>
      <c r="F100" s="310"/>
      <c r="G100" s="310" t="str">
        <f>IFERROR(__xludf.DUMMYFUNCTION("""COMPUTED_VALUE"""),"Negative")</f>
        <v>Negative</v>
      </c>
      <c r="H100" s="319" t="str">
        <f>IFERROR(__xludf.DUMMYFUNCTION("""COMPUTED_VALUE"""),"Negative")</f>
        <v>Negative</v>
      </c>
      <c r="I100" s="308">
        <f>IFERROR(__xludf.DUMMYFUNCTION("""COMPUTED_VALUE"""),44825.0)</f>
        <v>44825</v>
      </c>
      <c r="J100" s="311">
        <f>IFERROR(__xludf.DUMMYFUNCTION("""COMPUTED_VALUE"""),0.3925462962962963)</f>
        <v>0.3925462963</v>
      </c>
      <c r="K100" s="54"/>
      <c r="L100" s="7"/>
      <c r="M100" s="312"/>
      <c r="N100" s="172">
        <f>IFERROR(__xludf.DUMMYFUNCTION("""COMPUTED_VALUE"""),3.0)</f>
        <v>3</v>
      </c>
      <c r="O100" s="172" t="b">
        <f t="shared" si="3"/>
        <v>1</v>
      </c>
      <c r="P100" s="313">
        <f>IFERROR(__xludf.DUMMYFUNCTION("""COMPUTED_VALUE"""),5.0)</f>
        <v>5</v>
      </c>
      <c r="Q100" s="76" t="b">
        <f>VLOOKUP($B100,'Run Reconcile'!B$2:O1399,14,FALSE)</f>
        <v>1</v>
      </c>
      <c r="R100" s="314" t="str">
        <f t="array" ref="R100">IF($Q100, INDEX('Run Reconcile'!A$2:A1399,MATCH(B100,'Run Reconcile'!B$2:B1399,0),1),IFERROR(0/0,""))</f>
        <v>RUN-ABRM_2022-09-16_RFR-015</v>
      </c>
      <c r="S100" s="315" t="str">
        <f t="shared" ref="S100:T100" si="204">IF(COUNTIF(W$2:W1399, $A100) &gt; 0,TRUE,IFERROR(0/0,""))</f>
        <v/>
      </c>
      <c r="T100" s="315" t="str">
        <f t="shared" si="204"/>
        <v/>
      </c>
      <c r="U100" s="114" t="str">
        <f t="array" ref="U100">IF(ISBLANK($R100), INDEX('Run Reconcile'!A$2:A1399, MATCH($B100, 'Run Reconcile'!B$2:B1399, 0)+Z100, 1), IFERROR(0/0,""))
</f>
        <v/>
      </c>
      <c r="V100" s="316" t="str">
        <f t="shared" si="5"/>
        <v>RUN-ABRM_2022-09-16_RFR-015</v>
      </c>
      <c r="Y100" s="317" t="str">
        <f t="shared" si="6"/>
        <v/>
      </c>
      <c r="Z100" s="83" t="str">
        <f t="shared" si="7"/>
        <v/>
      </c>
      <c r="AA100" s="83" t="str">
        <f t="shared" si="8"/>
        <v/>
      </c>
      <c r="AB100" s="83" t="str">
        <f t="shared" si="9"/>
        <v/>
      </c>
      <c r="AC100" s="18" t="str">
        <f t="shared" ref="AC100:AD100" si="205">IF(_xlfn.ISFORMULA(S100),IFERROR(0/0,""),TRUE)</f>
        <v/>
      </c>
      <c r="AD100" s="18" t="str">
        <f t="shared" si="205"/>
        <v/>
      </c>
      <c r="AE100" s="43"/>
      <c r="AF100" s="58" t="s">
        <v>38</v>
      </c>
      <c r="AG100" s="55" t="str">
        <f t="shared" si="11"/>
        <v/>
      </c>
    </row>
    <row r="101">
      <c r="A101" s="7" t="str">
        <f>IFERROR(__xludf.DUMMYFUNCTION("""COMPUTED_VALUE"""),"AG2142")</f>
        <v>AG2142</v>
      </c>
      <c r="B101" s="308">
        <f>IFERROR(__xludf.DUMMYFUNCTION("""COMPUTED_VALUE"""),44820.0)</f>
        <v>44820</v>
      </c>
      <c r="C101" s="309">
        <f>IFERROR(__xludf.DUMMYFUNCTION("""COMPUTED_VALUE"""),0.26868055555555553)</f>
        <v>0.2686805556</v>
      </c>
      <c r="D101" s="7" t="str">
        <f>IFERROR(__xludf.DUMMYFUNCTION("""COMPUTED_VALUE"""),"SpABRM297307")</f>
        <v>SpABRM297307</v>
      </c>
      <c r="E101" s="310"/>
      <c r="F101" s="310"/>
      <c r="G101" s="310" t="str">
        <f>IFERROR(__xludf.DUMMYFUNCTION("""COMPUTED_VALUE"""),"Negative")</f>
        <v>Negative</v>
      </c>
      <c r="H101" s="319" t="str">
        <f>IFERROR(__xludf.DUMMYFUNCTION("""COMPUTED_VALUE"""),"Negative")</f>
        <v>Negative</v>
      </c>
      <c r="I101" s="308">
        <f>IFERROR(__xludf.DUMMYFUNCTION("""COMPUTED_VALUE"""),44825.0)</f>
        <v>44825</v>
      </c>
      <c r="J101" s="311">
        <f>IFERROR(__xludf.DUMMYFUNCTION("""COMPUTED_VALUE"""),0.3925578703703704)</f>
        <v>0.3925578704</v>
      </c>
      <c r="K101" s="54"/>
      <c r="L101" s="7"/>
      <c r="M101" s="312"/>
      <c r="N101" s="172">
        <f>IFERROR(__xludf.DUMMYFUNCTION("""COMPUTED_VALUE"""),3.0)</f>
        <v>3</v>
      </c>
      <c r="O101" s="172" t="str">
        <f t="shared" si="3"/>
        <v/>
      </c>
      <c r="P101" s="313">
        <f>IFERROR(__xludf.DUMMYFUNCTION("""COMPUTED_VALUE"""),5.0)</f>
        <v>5</v>
      </c>
      <c r="Q101" s="76" t="b">
        <f>VLOOKUP($B101,'Run Reconcile'!B$2:O1399,14,FALSE)</f>
        <v>1</v>
      </c>
      <c r="R101" s="314" t="str">
        <f t="array" ref="R101">IF($Q101, INDEX('Run Reconcile'!A$2:A1399,MATCH(B101,'Run Reconcile'!B$2:B1399,0),1),IFERROR(0/0,""))</f>
        <v>RUN-ABRM_2022-09-16_RFR-015</v>
      </c>
      <c r="S101" s="315" t="str">
        <f t="shared" ref="S101:T101" si="206">IF(COUNTIF(W$2:W1399, $A101) &gt; 0,TRUE,IFERROR(0/0,""))</f>
        <v/>
      </c>
      <c r="T101" s="315" t="str">
        <f t="shared" si="206"/>
        <v/>
      </c>
      <c r="U101" s="114" t="str">
        <f t="array" ref="U101">IF(ISBLANK($R101), INDEX('Run Reconcile'!A$2:A1399, MATCH($B101, 'Run Reconcile'!B$2:B1399, 0)+Z101, 1), IFERROR(0/0,""))
</f>
        <v/>
      </c>
      <c r="V101" s="316" t="str">
        <f t="shared" si="5"/>
        <v>RUN-ABRM_2022-09-16_RFR-015</v>
      </c>
      <c r="Y101" s="317" t="str">
        <f t="shared" si="6"/>
        <v/>
      </c>
      <c r="Z101" s="83" t="str">
        <f t="shared" si="7"/>
        <v/>
      </c>
      <c r="AA101" s="83" t="str">
        <f t="shared" si="8"/>
        <v/>
      </c>
      <c r="AB101" s="83" t="str">
        <f t="shared" si="9"/>
        <v/>
      </c>
      <c r="AC101" s="18" t="str">
        <f t="shared" ref="AC101:AD101" si="207">IF(_xlfn.ISFORMULA(S101),IFERROR(0/0,""),TRUE)</f>
        <v/>
      </c>
      <c r="AD101" s="18" t="str">
        <f t="shared" si="207"/>
        <v/>
      </c>
      <c r="AE101" s="43"/>
      <c r="AF101" s="58" t="s">
        <v>38</v>
      </c>
      <c r="AG101" s="55" t="str">
        <f t="shared" si="11"/>
        <v/>
      </c>
    </row>
    <row r="102">
      <c r="A102" s="7" t="str">
        <f>IFERROR(__xludf.DUMMYFUNCTION("""COMPUTED_VALUE"""),"AH7967")</f>
        <v>AH7967</v>
      </c>
      <c r="B102" s="308">
        <f>IFERROR(__xludf.DUMMYFUNCTION("""COMPUTED_VALUE"""),44820.0)</f>
        <v>44820</v>
      </c>
      <c r="C102" s="309">
        <f>IFERROR(__xludf.DUMMYFUNCTION("""COMPUTED_VALUE"""),0.2962037037037037)</f>
        <v>0.2962037037</v>
      </c>
      <c r="D102" s="7" t="str">
        <f>IFERROR(__xludf.DUMMYFUNCTION("""COMPUTED_VALUE"""),"SpABRM188986")</f>
        <v>SpABRM188986</v>
      </c>
      <c r="E102" s="310"/>
      <c r="F102" s="310"/>
      <c r="G102" s="310" t="str">
        <f>IFERROR(__xludf.DUMMYFUNCTION("""COMPUTED_VALUE"""),"Negative")</f>
        <v>Negative</v>
      </c>
      <c r="H102" s="319" t="str">
        <f>IFERROR(__xludf.DUMMYFUNCTION("""COMPUTED_VALUE"""),"Negative")</f>
        <v>Negative</v>
      </c>
      <c r="I102" s="308">
        <f>IFERROR(__xludf.DUMMYFUNCTION("""COMPUTED_VALUE"""),44825.0)</f>
        <v>44825</v>
      </c>
      <c r="J102" s="311">
        <f>IFERROR(__xludf.DUMMYFUNCTION("""COMPUTED_VALUE"""),0.3925578703703704)</f>
        <v>0.3925578704</v>
      </c>
      <c r="K102" s="54"/>
      <c r="L102" s="7"/>
      <c r="M102" s="312"/>
      <c r="N102" s="172">
        <f>IFERROR(__xludf.DUMMYFUNCTION("""COMPUTED_VALUE"""),2.0)</f>
        <v>2</v>
      </c>
      <c r="O102" s="172" t="str">
        <f t="shared" si="3"/>
        <v/>
      </c>
      <c r="P102" s="313">
        <f>IFERROR(__xludf.DUMMYFUNCTION("""COMPUTED_VALUE"""),5.0)</f>
        <v>5</v>
      </c>
      <c r="Q102" s="76" t="b">
        <f>VLOOKUP($B102,'Run Reconcile'!B$2:O1399,14,FALSE)</f>
        <v>1</v>
      </c>
      <c r="R102" s="314" t="str">
        <f t="array" ref="R102">IF($Q102, INDEX('Run Reconcile'!A$2:A1399,MATCH(B102,'Run Reconcile'!B$2:B1399,0),1),IFERROR(0/0,""))</f>
        <v>RUN-ABRM_2022-09-16_RFR-015</v>
      </c>
      <c r="S102" s="315" t="str">
        <f t="shared" ref="S102:T102" si="208">IF(COUNTIF(W$2:W1399, $A102) &gt; 0,TRUE,IFERROR(0/0,""))</f>
        <v/>
      </c>
      <c r="T102" s="315" t="str">
        <f t="shared" si="208"/>
        <v/>
      </c>
      <c r="U102" s="114" t="str">
        <f t="array" ref="U102">IF(ISBLANK($R102), INDEX('Run Reconcile'!A$2:A1399, MATCH($B102, 'Run Reconcile'!B$2:B1399, 0)+Z102, 1), IFERROR(0/0,""))
</f>
        <v/>
      </c>
      <c r="V102" s="316" t="str">
        <f t="shared" si="5"/>
        <v>RUN-ABRM_2022-09-16_RFR-015</v>
      </c>
      <c r="Y102" s="317" t="str">
        <f t="shared" si="6"/>
        <v/>
      </c>
      <c r="Z102" s="83" t="str">
        <f t="shared" si="7"/>
        <v/>
      </c>
      <c r="AA102" s="83" t="str">
        <f t="shared" si="8"/>
        <v/>
      </c>
      <c r="AB102" s="83" t="str">
        <f t="shared" si="9"/>
        <v/>
      </c>
      <c r="AC102" s="18" t="str">
        <f t="shared" ref="AC102:AD102" si="209">IF(_xlfn.ISFORMULA(S102),IFERROR(0/0,""),TRUE)</f>
        <v/>
      </c>
      <c r="AD102" s="18" t="str">
        <f t="shared" si="209"/>
        <v/>
      </c>
      <c r="AE102" s="43"/>
      <c r="AF102" s="58" t="s">
        <v>38</v>
      </c>
      <c r="AG102" s="55" t="str">
        <f t="shared" si="11"/>
        <v/>
      </c>
    </row>
    <row r="103">
      <c r="A103" s="7" t="str">
        <f>IFERROR(__xludf.DUMMYFUNCTION("""COMPUTED_VALUE"""),"AG1800")</f>
        <v>AG1800</v>
      </c>
      <c r="B103" s="308">
        <f>IFERROR(__xludf.DUMMYFUNCTION("""COMPUTED_VALUE"""),44820.0)</f>
        <v>44820</v>
      </c>
      <c r="C103" s="309">
        <f>IFERROR(__xludf.DUMMYFUNCTION("""COMPUTED_VALUE"""),0.30366898148148147)</f>
        <v>0.3036689815</v>
      </c>
      <c r="D103" s="7" t="str">
        <f>IFERROR(__xludf.DUMMYFUNCTION("""COMPUTED_VALUE"""),"SpABRM655136")</f>
        <v>SpABRM655136</v>
      </c>
      <c r="E103" s="310"/>
      <c r="F103" s="310"/>
      <c r="G103" s="310" t="str">
        <f>IFERROR(__xludf.DUMMYFUNCTION("""COMPUTED_VALUE"""),"Negative")</f>
        <v>Negative</v>
      </c>
      <c r="H103" s="319" t="str">
        <f>IFERROR(__xludf.DUMMYFUNCTION("""COMPUTED_VALUE"""),"Negative")</f>
        <v>Negative</v>
      </c>
      <c r="I103" s="308">
        <f>IFERROR(__xludf.DUMMYFUNCTION("""COMPUTED_VALUE"""),44825.0)</f>
        <v>44825</v>
      </c>
      <c r="J103" s="311">
        <f>IFERROR(__xludf.DUMMYFUNCTION("""COMPUTED_VALUE"""),0.3925578703703704)</f>
        <v>0.3925578704</v>
      </c>
      <c r="K103" s="54"/>
      <c r="L103" s="7"/>
      <c r="M103" s="312"/>
      <c r="N103" s="172">
        <f>IFERROR(__xludf.DUMMYFUNCTION("""COMPUTED_VALUE"""),2.0)</f>
        <v>2</v>
      </c>
      <c r="O103" s="172" t="str">
        <f t="shared" si="3"/>
        <v/>
      </c>
      <c r="P103" s="313">
        <f>IFERROR(__xludf.DUMMYFUNCTION("""COMPUTED_VALUE"""),5.0)</f>
        <v>5</v>
      </c>
      <c r="Q103" s="76" t="b">
        <f>VLOOKUP($B103,'Run Reconcile'!B$2:O1399,14,FALSE)</f>
        <v>1</v>
      </c>
      <c r="R103" s="314" t="str">
        <f t="array" ref="R103">IF($Q103, INDEX('Run Reconcile'!A$2:A1399,MATCH(B103,'Run Reconcile'!B$2:B1399,0),1),IFERROR(0/0,""))</f>
        <v>RUN-ABRM_2022-09-16_RFR-015</v>
      </c>
      <c r="S103" s="315" t="str">
        <f t="shared" ref="S103:T103" si="210">IF(COUNTIF(W$2:W1399, $A103) &gt; 0,TRUE,IFERROR(0/0,""))</f>
        <v/>
      </c>
      <c r="T103" s="315" t="str">
        <f t="shared" si="210"/>
        <v/>
      </c>
      <c r="U103" s="114" t="str">
        <f t="array" ref="U103">IF(ISBLANK($R103), INDEX('Run Reconcile'!A$2:A1399, MATCH($B103, 'Run Reconcile'!B$2:B1399, 0)+Z103, 1), IFERROR(0/0,""))
</f>
        <v/>
      </c>
      <c r="V103" s="316" t="str">
        <f t="shared" si="5"/>
        <v>RUN-ABRM_2022-09-16_RFR-015</v>
      </c>
      <c r="Y103" s="317" t="str">
        <f t="shared" si="6"/>
        <v/>
      </c>
      <c r="Z103" s="83" t="str">
        <f t="shared" si="7"/>
        <v/>
      </c>
      <c r="AA103" s="83" t="str">
        <f t="shared" si="8"/>
        <v/>
      </c>
      <c r="AB103" s="83" t="str">
        <f t="shared" si="9"/>
        <v/>
      </c>
      <c r="AC103" s="18" t="str">
        <f t="shared" ref="AC103:AD103" si="211">IF(_xlfn.ISFORMULA(S103),IFERROR(0/0,""),TRUE)</f>
        <v/>
      </c>
      <c r="AD103" s="18" t="str">
        <f t="shared" si="211"/>
        <v/>
      </c>
      <c r="AE103" s="43"/>
      <c r="AF103" s="58" t="s">
        <v>38</v>
      </c>
      <c r="AG103" s="55" t="str">
        <f t="shared" si="11"/>
        <v/>
      </c>
    </row>
    <row r="104">
      <c r="A104" s="7" t="str">
        <f>IFERROR(__xludf.DUMMYFUNCTION("""COMPUTED_VALUE"""),"AH8666")</f>
        <v>AH8666</v>
      </c>
      <c r="B104" s="308">
        <f>IFERROR(__xludf.DUMMYFUNCTION("""COMPUTED_VALUE"""),44820.0)</f>
        <v>44820</v>
      </c>
      <c r="C104" s="309">
        <f>IFERROR(__xludf.DUMMYFUNCTION("""COMPUTED_VALUE"""),0.3061921296296296)</f>
        <v>0.3061921296</v>
      </c>
      <c r="D104" s="7" t="str">
        <f>IFERROR(__xludf.DUMMYFUNCTION("""COMPUTED_VALUE"""),"SpABRM516158")</f>
        <v>SpABRM516158</v>
      </c>
      <c r="E104" s="310"/>
      <c r="F104" s="310"/>
      <c r="G104" s="310" t="str">
        <f>IFERROR(__xludf.DUMMYFUNCTION("""COMPUTED_VALUE"""),"Negative")</f>
        <v>Negative</v>
      </c>
      <c r="H104" s="319" t="str">
        <f>IFERROR(__xludf.DUMMYFUNCTION("""COMPUTED_VALUE"""),"Negative")</f>
        <v>Negative</v>
      </c>
      <c r="I104" s="308">
        <f>IFERROR(__xludf.DUMMYFUNCTION("""COMPUTED_VALUE"""),44825.0)</f>
        <v>44825</v>
      </c>
      <c r="J104" s="311">
        <f>IFERROR(__xludf.DUMMYFUNCTION("""COMPUTED_VALUE"""),0.39256944444444447)</f>
        <v>0.3925694444</v>
      </c>
      <c r="K104" s="54"/>
      <c r="L104" s="7"/>
      <c r="M104" s="312"/>
      <c r="N104" s="172">
        <f>IFERROR(__xludf.DUMMYFUNCTION("""COMPUTED_VALUE"""),1.0)</f>
        <v>1</v>
      </c>
      <c r="O104" s="172" t="str">
        <f t="shared" si="3"/>
        <v/>
      </c>
      <c r="P104" s="313">
        <f>IFERROR(__xludf.DUMMYFUNCTION("""COMPUTED_VALUE"""),5.0)</f>
        <v>5</v>
      </c>
      <c r="Q104" s="76" t="b">
        <f>VLOOKUP($B104,'Run Reconcile'!B$2:O1399,14,FALSE)</f>
        <v>1</v>
      </c>
      <c r="R104" s="314" t="str">
        <f t="array" ref="R104">IF($Q104, INDEX('Run Reconcile'!A$2:A1399,MATCH(B104,'Run Reconcile'!B$2:B1399,0),1),IFERROR(0/0,""))</f>
        <v>RUN-ABRM_2022-09-16_RFR-015</v>
      </c>
      <c r="S104" s="315" t="str">
        <f t="shared" ref="S104:T104" si="212">IF(COUNTIF(W$2:W1399, $A104) &gt; 0,TRUE,IFERROR(0/0,""))</f>
        <v/>
      </c>
      <c r="T104" s="315" t="str">
        <f t="shared" si="212"/>
        <v/>
      </c>
      <c r="U104" s="114" t="str">
        <f t="array" ref="U104">IF(ISBLANK($R104), INDEX('Run Reconcile'!A$2:A1399, MATCH($B104, 'Run Reconcile'!B$2:B1399, 0)+Z104, 1), IFERROR(0/0,""))
</f>
        <v/>
      </c>
      <c r="V104" s="316" t="str">
        <f t="shared" si="5"/>
        <v>RUN-ABRM_2022-09-16_RFR-015</v>
      </c>
      <c r="Y104" s="317" t="str">
        <f t="shared" si="6"/>
        <v/>
      </c>
      <c r="Z104" s="83" t="str">
        <f t="shared" si="7"/>
        <v/>
      </c>
      <c r="AA104" s="83" t="str">
        <f t="shared" si="8"/>
        <v/>
      </c>
      <c r="AB104" s="83" t="str">
        <f t="shared" si="9"/>
        <v/>
      </c>
      <c r="AC104" s="18" t="str">
        <f t="shared" ref="AC104:AD104" si="213">IF(_xlfn.ISFORMULA(S104),IFERROR(0/0,""),TRUE)</f>
        <v/>
      </c>
      <c r="AD104" s="18" t="str">
        <f t="shared" si="213"/>
        <v/>
      </c>
      <c r="AE104" s="43"/>
      <c r="AF104" s="58" t="s">
        <v>38</v>
      </c>
      <c r="AG104" s="55" t="str">
        <f t="shared" si="11"/>
        <v/>
      </c>
    </row>
    <row r="105">
      <c r="A105" s="7" t="str">
        <f>IFERROR(__xludf.DUMMYFUNCTION("""COMPUTED_VALUE"""),"AG2055")</f>
        <v>AG2055</v>
      </c>
      <c r="B105" s="308">
        <f>IFERROR(__xludf.DUMMYFUNCTION("""COMPUTED_VALUE"""),44820.0)</f>
        <v>44820</v>
      </c>
      <c r="C105" s="309">
        <f>IFERROR(__xludf.DUMMYFUNCTION("""COMPUTED_VALUE"""),0.4194212962962963)</f>
        <v>0.4194212963</v>
      </c>
      <c r="D105" s="7" t="str">
        <f>IFERROR(__xludf.DUMMYFUNCTION("""COMPUTED_VALUE"""),"SpABRM188986")</f>
        <v>SpABRM188986</v>
      </c>
      <c r="E105" s="310"/>
      <c r="F105" s="310"/>
      <c r="G105" s="310" t="str">
        <f>IFERROR(__xludf.DUMMYFUNCTION("""COMPUTED_VALUE"""),"Negative")</f>
        <v>Negative</v>
      </c>
      <c r="H105" s="319" t="str">
        <f>IFERROR(__xludf.DUMMYFUNCTION("""COMPUTED_VALUE"""),"Negative")</f>
        <v>Negative</v>
      </c>
      <c r="I105" s="308">
        <f>IFERROR(__xludf.DUMMYFUNCTION("""COMPUTED_VALUE"""),44825.0)</f>
        <v>44825</v>
      </c>
      <c r="J105" s="311">
        <f>IFERROR(__xludf.DUMMYFUNCTION("""COMPUTED_VALUE"""),0.39256944444444447)</f>
        <v>0.3925694444</v>
      </c>
      <c r="K105" s="54"/>
      <c r="L105" s="7"/>
      <c r="M105" s="312"/>
      <c r="N105" s="172">
        <f>IFERROR(__xludf.DUMMYFUNCTION("""COMPUTED_VALUE"""),3.0)</f>
        <v>3</v>
      </c>
      <c r="O105" s="172" t="str">
        <f t="shared" si="3"/>
        <v/>
      </c>
      <c r="P105" s="313">
        <f>IFERROR(__xludf.DUMMYFUNCTION("""COMPUTED_VALUE"""),5.0)</f>
        <v>5</v>
      </c>
      <c r="Q105" s="76" t="b">
        <f>VLOOKUP($B105,'Run Reconcile'!B$2:O1399,14,FALSE)</f>
        <v>1</v>
      </c>
      <c r="R105" s="314" t="str">
        <f t="array" ref="R105">IF($Q105, INDEX('Run Reconcile'!A$2:A1399,MATCH(B105,'Run Reconcile'!B$2:B1399,0),1),IFERROR(0/0,""))</f>
        <v>RUN-ABRM_2022-09-16_RFR-015</v>
      </c>
      <c r="S105" s="315" t="str">
        <f t="shared" ref="S105:T105" si="214">IF(COUNTIF(W$2:W1399, $A105) &gt; 0,TRUE,IFERROR(0/0,""))</f>
        <v/>
      </c>
      <c r="T105" s="315" t="str">
        <f t="shared" si="214"/>
        <v/>
      </c>
      <c r="U105" s="114" t="str">
        <f t="array" ref="U105">IF(ISBLANK($R105), INDEX('Run Reconcile'!A$2:A1399, MATCH($B105, 'Run Reconcile'!B$2:B1399, 0)+Z105, 1), IFERROR(0/0,""))
</f>
        <v/>
      </c>
      <c r="V105" s="316" t="str">
        <f t="shared" si="5"/>
        <v>RUN-ABRM_2022-09-16_RFR-015</v>
      </c>
      <c r="Y105" s="317" t="str">
        <f t="shared" si="6"/>
        <v/>
      </c>
      <c r="Z105" s="83" t="str">
        <f t="shared" si="7"/>
        <v/>
      </c>
      <c r="AA105" s="83" t="str">
        <f t="shared" si="8"/>
        <v/>
      </c>
      <c r="AB105" s="83" t="str">
        <f t="shared" si="9"/>
        <v/>
      </c>
      <c r="AC105" s="18" t="str">
        <f t="shared" ref="AC105:AD105" si="215">IF(_xlfn.ISFORMULA(S105),IFERROR(0/0,""),TRUE)</f>
        <v/>
      </c>
      <c r="AD105" s="18" t="str">
        <f t="shared" si="215"/>
        <v/>
      </c>
      <c r="AE105" s="43"/>
      <c r="AF105" s="58" t="s">
        <v>38</v>
      </c>
      <c r="AG105" s="55" t="str">
        <f t="shared" si="11"/>
        <v/>
      </c>
    </row>
    <row r="106">
      <c r="A106" s="7" t="str">
        <f>IFERROR(__xludf.DUMMYFUNCTION("""COMPUTED_VALUE"""),"AG361")</f>
        <v>AG361</v>
      </c>
      <c r="B106" s="308">
        <f>IFERROR(__xludf.DUMMYFUNCTION("""COMPUTED_VALUE"""),44820.0)</f>
        <v>44820</v>
      </c>
      <c r="C106" s="309">
        <f>IFERROR(__xludf.DUMMYFUNCTION("""COMPUTED_VALUE"""),0.4236226851851852)</f>
        <v>0.4236226852</v>
      </c>
      <c r="D106" s="7" t="str">
        <f>IFERROR(__xludf.DUMMYFUNCTION("""COMPUTED_VALUE"""),"SpABRM188986")</f>
        <v>SpABRM188986</v>
      </c>
      <c r="E106" s="310"/>
      <c r="F106" s="310"/>
      <c r="G106" s="310" t="str">
        <f>IFERROR(__xludf.DUMMYFUNCTION("""COMPUTED_VALUE"""),"Negative")</f>
        <v>Negative</v>
      </c>
      <c r="H106" s="319" t="str">
        <f>IFERROR(__xludf.DUMMYFUNCTION("""COMPUTED_VALUE"""),"Negative")</f>
        <v>Negative</v>
      </c>
      <c r="I106" s="308">
        <f>IFERROR(__xludf.DUMMYFUNCTION("""COMPUTED_VALUE"""),44825.0)</f>
        <v>44825</v>
      </c>
      <c r="J106" s="311">
        <f>IFERROR(__xludf.DUMMYFUNCTION("""COMPUTED_VALUE"""),0.39256944444444447)</f>
        <v>0.3925694444</v>
      </c>
      <c r="K106" s="54"/>
      <c r="L106" s="7"/>
      <c r="M106" s="312"/>
      <c r="N106" s="172">
        <f>IFERROR(__xludf.DUMMYFUNCTION("""COMPUTED_VALUE"""),4.0)</f>
        <v>4</v>
      </c>
      <c r="O106" s="172" t="str">
        <f t="shared" si="3"/>
        <v/>
      </c>
      <c r="P106" s="313">
        <f>IFERROR(__xludf.DUMMYFUNCTION("""COMPUTED_VALUE"""),5.0)</f>
        <v>5</v>
      </c>
      <c r="Q106" s="76" t="b">
        <f>VLOOKUP($B106,'Run Reconcile'!B$2:O1399,14,FALSE)</f>
        <v>1</v>
      </c>
      <c r="R106" s="314" t="str">
        <f t="array" ref="R106">IF($Q106, INDEX('Run Reconcile'!A$2:A1399,MATCH(B106,'Run Reconcile'!B$2:B1399,0),1),IFERROR(0/0,""))</f>
        <v>RUN-ABRM_2022-09-16_RFR-015</v>
      </c>
      <c r="S106" s="315" t="str">
        <f t="shared" ref="S106:T106" si="216">IF(COUNTIF(W$2:W1399, $A106) &gt; 0,TRUE,IFERROR(0/0,""))</f>
        <v/>
      </c>
      <c r="T106" s="315" t="str">
        <f t="shared" si="216"/>
        <v/>
      </c>
      <c r="U106" s="114" t="str">
        <f t="array" ref="U106">IF(ISBLANK($R106), INDEX('Run Reconcile'!A$2:A1399, MATCH($B106, 'Run Reconcile'!B$2:B1399, 0)+Z106, 1), IFERROR(0/0,""))
</f>
        <v/>
      </c>
      <c r="V106" s="316" t="str">
        <f t="shared" si="5"/>
        <v>RUN-ABRM_2022-09-16_RFR-015</v>
      </c>
      <c r="Y106" s="317" t="str">
        <f t="shared" si="6"/>
        <v/>
      </c>
      <c r="Z106" s="83" t="str">
        <f t="shared" si="7"/>
        <v/>
      </c>
      <c r="AA106" s="83" t="str">
        <f t="shared" si="8"/>
        <v/>
      </c>
      <c r="AB106" s="83" t="str">
        <f t="shared" si="9"/>
        <v/>
      </c>
      <c r="AC106" s="18" t="str">
        <f t="shared" ref="AC106:AD106" si="217">IF(_xlfn.ISFORMULA(S106),IFERROR(0/0,""),TRUE)</f>
        <v/>
      </c>
      <c r="AD106" s="18" t="str">
        <f t="shared" si="217"/>
        <v/>
      </c>
      <c r="AE106" s="43"/>
      <c r="AF106" s="58" t="s">
        <v>38</v>
      </c>
      <c r="AG106" s="55" t="str">
        <f t="shared" si="11"/>
        <v/>
      </c>
    </row>
    <row r="107">
      <c r="A107" s="7" t="str">
        <f>IFERROR(__xludf.DUMMYFUNCTION("""COMPUTED_VALUE"""),"AH9150")</f>
        <v>AH9150</v>
      </c>
      <c r="B107" s="308">
        <f>IFERROR(__xludf.DUMMYFUNCTION("""COMPUTED_VALUE"""),44820.0)</f>
        <v>44820</v>
      </c>
      <c r="C107" s="309">
        <f>IFERROR(__xludf.DUMMYFUNCTION("""COMPUTED_VALUE"""),0.42398148148148146)</f>
        <v>0.4239814815</v>
      </c>
      <c r="D107" s="7" t="str">
        <f>IFERROR(__xludf.DUMMYFUNCTION("""COMPUTED_VALUE"""),"SpABRM188986")</f>
        <v>SpABRM188986</v>
      </c>
      <c r="E107" s="310"/>
      <c r="F107" s="310"/>
      <c r="G107" s="310" t="str">
        <f>IFERROR(__xludf.DUMMYFUNCTION("""COMPUTED_VALUE"""),"Negative")</f>
        <v>Negative</v>
      </c>
      <c r="H107" s="319" t="str">
        <f>IFERROR(__xludf.DUMMYFUNCTION("""COMPUTED_VALUE"""),"Negative")</f>
        <v>Negative</v>
      </c>
      <c r="I107" s="308">
        <f>IFERROR(__xludf.DUMMYFUNCTION("""COMPUTED_VALUE"""),44825.0)</f>
        <v>44825</v>
      </c>
      <c r="J107" s="311">
        <f>IFERROR(__xludf.DUMMYFUNCTION("""COMPUTED_VALUE"""),0.39256944444444447)</f>
        <v>0.3925694444</v>
      </c>
      <c r="K107" s="54"/>
      <c r="L107" s="7"/>
      <c r="M107" s="312"/>
      <c r="N107" s="172">
        <f>IFERROR(__xludf.DUMMYFUNCTION("""COMPUTED_VALUE"""),1.0)</f>
        <v>1</v>
      </c>
      <c r="O107" s="172" t="str">
        <f t="shared" si="3"/>
        <v/>
      </c>
      <c r="P107" s="313">
        <f>IFERROR(__xludf.DUMMYFUNCTION("""COMPUTED_VALUE"""),5.0)</f>
        <v>5</v>
      </c>
      <c r="Q107" s="76" t="b">
        <f>VLOOKUP($B107,'Run Reconcile'!B$2:O1399,14,FALSE)</f>
        <v>1</v>
      </c>
      <c r="R107" s="314" t="str">
        <f t="array" ref="R107">IF($Q107, INDEX('Run Reconcile'!A$2:A1399,MATCH(B107,'Run Reconcile'!B$2:B1399,0),1),IFERROR(0/0,""))</f>
        <v>RUN-ABRM_2022-09-16_RFR-015</v>
      </c>
      <c r="S107" s="315" t="str">
        <f t="shared" ref="S107:T107" si="218">IF(COUNTIF(W$2:W1399, $A107) &gt; 0,TRUE,IFERROR(0/0,""))</f>
        <v/>
      </c>
      <c r="T107" s="315" t="str">
        <f t="shared" si="218"/>
        <v/>
      </c>
      <c r="U107" s="114" t="str">
        <f t="array" ref="U107">IF(ISBLANK($R107), INDEX('Run Reconcile'!A$2:A1399, MATCH($B107, 'Run Reconcile'!B$2:B1399, 0)+Z107, 1), IFERROR(0/0,""))
</f>
        <v/>
      </c>
      <c r="V107" s="316" t="str">
        <f t="shared" si="5"/>
        <v>RUN-ABRM_2022-09-16_RFR-015</v>
      </c>
      <c r="Y107" s="317" t="str">
        <f t="shared" si="6"/>
        <v/>
      </c>
      <c r="Z107" s="83" t="str">
        <f t="shared" si="7"/>
        <v/>
      </c>
      <c r="AA107" s="83" t="str">
        <f t="shared" si="8"/>
        <v/>
      </c>
      <c r="AB107" s="83" t="str">
        <f t="shared" si="9"/>
        <v/>
      </c>
      <c r="AC107" s="18" t="str">
        <f t="shared" ref="AC107:AD107" si="219">IF(_xlfn.ISFORMULA(S107),IFERROR(0/0,""),TRUE)</f>
        <v/>
      </c>
      <c r="AD107" s="18" t="str">
        <f t="shared" si="219"/>
        <v/>
      </c>
      <c r="AE107" s="43"/>
      <c r="AF107" s="58" t="s">
        <v>38</v>
      </c>
      <c r="AG107" s="55" t="str">
        <f t="shared" si="11"/>
        <v/>
      </c>
    </row>
    <row r="108">
      <c r="A108" s="7" t="str">
        <f>IFERROR(__xludf.DUMMYFUNCTION("""COMPUTED_VALUE"""),"AG1563")</f>
        <v>AG1563</v>
      </c>
      <c r="B108" s="308">
        <f>IFERROR(__xludf.DUMMYFUNCTION("""COMPUTED_VALUE"""),44823.0)</f>
        <v>44823</v>
      </c>
      <c r="C108" s="309">
        <f>IFERROR(__xludf.DUMMYFUNCTION("""COMPUTED_VALUE"""),0.17574074074074075)</f>
        <v>0.1757407407</v>
      </c>
      <c r="D108" s="7" t="str">
        <f>IFERROR(__xludf.DUMMYFUNCTION("""COMPUTED_VALUE"""),"SpABRM516158")</f>
        <v>SpABRM516158</v>
      </c>
      <c r="E108" s="310"/>
      <c r="F108" s="310"/>
      <c r="G108" s="310" t="str">
        <f>IFERROR(__xludf.DUMMYFUNCTION("""COMPUTED_VALUE"""),"Negative")</f>
        <v>Negative</v>
      </c>
      <c r="H108" s="319" t="str">
        <f>IFERROR(__xludf.DUMMYFUNCTION("""COMPUTED_VALUE"""),"Negative")</f>
        <v>Negative</v>
      </c>
      <c r="I108" s="308">
        <f>IFERROR(__xludf.DUMMYFUNCTION("""COMPUTED_VALUE"""),44824.0)</f>
        <v>44824</v>
      </c>
      <c r="J108" s="311">
        <f>IFERROR(__xludf.DUMMYFUNCTION("""COMPUTED_VALUE"""),0.558136574074074)</f>
        <v>0.5581365741</v>
      </c>
      <c r="K108" s="54"/>
      <c r="L108" s="7"/>
      <c r="M108" s="312"/>
      <c r="N108" s="172">
        <f>IFERROR(__xludf.DUMMYFUNCTION("""COMPUTED_VALUE"""),1.0)</f>
        <v>1</v>
      </c>
      <c r="O108" s="172" t="b">
        <f t="shared" si="3"/>
        <v>1</v>
      </c>
      <c r="P108" s="313">
        <f>IFERROR(__xludf.DUMMYFUNCTION("""COMPUTED_VALUE"""),1.0)</f>
        <v>1</v>
      </c>
      <c r="Q108" s="76" t="b">
        <f>VLOOKUP($B108,'Run Reconcile'!B$2:O1399,14,FALSE)</f>
        <v>1</v>
      </c>
      <c r="R108" s="314" t="str">
        <f t="array" ref="R108">IF($Q108, INDEX('Run Reconcile'!A$2:A1399,MATCH(B108,'Run Reconcile'!B$2:B1399,0),1),IFERROR(0/0,""))</f>
        <v>RUN-ABRM_2022-09-19_RFR-017</v>
      </c>
      <c r="S108" s="315" t="str">
        <f t="shared" ref="S108:T108" si="220">IF(COUNTIF(W$2:W1399, $A108) &gt; 0,TRUE,IFERROR(0/0,""))</f>
        <v/>
      </c>
      <c r="T108" s="315" t="str">
        <f t="shared" si="220"/>
        <v/>
      </c>
      <c r="U108" s="114" t="str">
        <f t="array" ref="U108">IF(ISBLANK($R108), INDEX('Run Reconcile'!A$2:A1399, MATCH($B108, 'Run Reconcile'!B$2:B1399, 0)+Z108, 1), IFERROR(0/0,""))
</f>
        <v/>
      </c>
      <c r="V108" s="316" t="str">
        <f t="shared" si="5"/>
        <v>RUN-ABRM_2022-09-19_RFR-017</v>
      </c>
      <c r="Y108" s="317" t="str">
        <f t="shared" si="6"/>
        <v/>
      </c>
      <c r="Z108" s="83" t="str">
        <f t="shared" si="7"/>
        <v/>
      </c>
      <c r="AA108" s="83" t="str">
        <f t="shared" si="8"/>
        <v/>
      </c>
      <c r="AB108" s="83" t="str">
        <f t="shared" si="9"/>
        <v/>
      </c>
      <c r="AC108" s="18" t="str">
        <f t="shared" ref="AC108:AD108" si="221">IF(_xlfn.ISFORMULA(S108),IFERROR(0/0,""),TRUE)</f>
        <v/>
      </c>
      <c r="AD108" s="18" t="str">
        <f t="shared" si="221"/>
        <v/>
      </c>
      <c r="AE108" s="43"/>
      <c r="AF108" s="58" t="s">
        <v>39</v>
      </c>
      <c r="AG108" s="55" t="str">
        <f t="shared" si="11"/>
        <v/>
      </c>
    </row>
    <row r="109">
      <c r="A109" s="7" t="str">
        <f>IFERROR(__xludf.DUMMYFUNCTION("""COMPUTED_VALUE"""),"AH8234")</f>
        <v>AH8234</v>
      </c>
      <c r="B109" s="308">
        <f>IFERROR(__xludf.DUMMYFUNCTION("""COMPUTED_VALUE"""),44823.0)</f>
        <v>44823</v>
      </c>
      <c r="C109" s="309">
        <f>IFERROR(__xludf.DUMMYFUNCTION("""COMPUTED_VALUE"""),0.2866782407407407)</f>
        <v>0.2866782407</v>
      </c>
      <c r="D109" s="7" t="str">
        <f>IFERROR(__xludf.DUMMYFUNCTION("""COMPUTED_VALUE"""),"SpABRM814022")</f>
        <v>SpABRM814022</v>
      </c>
      <c r="E109" s="310"/>
      <c r="F109" s="310"/>
      <c r="G109" s="310" t="str">
        <f>IFERROR(__xludf.DUMMYFUNCTION("""COMPUTED_VALUE"""),"Negative")</f>
        <v>Negative</v>
      </c>
      <c r="H109" s="319" t="str">
        <f>IFERROR(__xludf.DUMMYFUNCTION("""COMPUTED_VALUE"""),"Negative")</f>
        <v>Negative</v>
      </c>
      <c r="I109" s="308">
        <f>IFERROR(__xludf.DUMMYFUNCTION("""COMPUTED_VALUE"""),44824.0)</f>
        <v>44824</v>
      </c>
      <c r="J109" s="311">
        <f>IFERROR(__xludf.DUMMYFUNCTION("""COMPUTED_VALUE"""),0.558136574074074)</f>
        <v>0.5581365741</v>
      </c>
      <c r="K109" s="54"/>
      <c r="L109" s="7"/>
      <c r="M109" s="312"/>
      <c r="N109" s="172">
        <f>IFERROR(__xludf.DUMMYFUNCTION("""COMPUTED_VALUE"""),2.0)</f>
        <v>2</v>
      </c>
      <c r="O109" s="172" t="str">
        <f t="shared" si="3"/>
        <v/>
      </c>
      <c r="P109" s="313">
        <f>IFERROR(__xludf.DUMMYFUNCTION("""COMPUTED_VALUE"""),1.0)</f>
        <v>1</v>
      </c>
      <c r="Q109" s="76" t="b">
        <f>VLOOKUP($B109,'Run Reconcile'!B$2:O1399,14,FALSE)</f>
        <v>1</v>
      </c>
      <c r="R109" s="314" t="str">
        <f t="array" ref="R109">IF($Q109, INDEX('Run Reconcile'!A$2:A1399,MATCH(B109,'Run Reconcile'!B$2:B1399,0),1),IFERROR(0/0,""))</f>
        <v>RUN-ABRM_2022-09-19_RFR-017</v>
      </c>
      <c r="S109" s="315" t="str">
        <f t="shared" ref="S109:T109" si="222">IF(COUNTIF(W$2:W1399, $A109) &gt; 0,TRUE,IFERROR(0/0,""))</f>
        <v/>
      </c>
      <c r="T109" s="315" t="str">
        <f t="shared" si="222"/>
        <v/>
      </c>
      <c r="U109" s="114" t="str">
        <f t="array" ref="U109">IF(ISBLANK($R109), INDEX('Run Reconcile'!A$2:A1399, MATCH($B109, 'Run Reconcile'!B$2:B1399, 0)+Z109, 1), IFERROR(0/0,""))
</f>
        <v/>
      </c>
      <c r="V109" s="316" t="str">
        <f t="shared" si="5"/>
        <v>RUN-ABRM_2022-09-19_RFR-017</v>
      </c>
      <c r="Y109" s="317" t="str">
        <f t="shared" si="6"/>
        <v/>
      </c>
      <c r="Z109" s="83" t="str">
        <f t="shared" si="7"/>
        <v/>
      </c>
      <c r="AA109" s="83" t="str">
        <f t="shared" si="8"/>
        <v/>
      </c>
      <c r="AB109" s="83" t="str">
        <f t="shared" si="9"/>
        <v/>
      </c>
      <c r="AC109" s="18" t="str">
        <f t="shared" ref="AC109:AD109" si="223">IF(_xlfn.ISFORMULA(S109),IFERROR(0/0,""),TRUE)</f>
        <v/>
      </c>
      <c r="AD109" s="18" t="str">
        <f t="shared" si="223"/>
        <v/>
      </c>
      <c r="AE109" s="43"/>
      <c r="AF109" s="58" t="s">
        <v>39</v>
      </c>
      <c r="AG109" s="55" t="str">
        <f t="shared" si="11"/>
        <v/>
      </c>
    </row>
    <row r="110">
      <c r="A110" s="7" t="str">
        <f>IFERROR(__xludf.DUMMYFUNCTION("""COMPUTED_VALUE"""),"AH9099")</f>
        <v>AH9099</v>
      </c>
      <c r="B110" s="308">
        <f>IFERROR(__xludf.DUMMYFUNCTION("""COMPUTED_VALUE"""),44823.0)</f>
        <v>44823</v>
      </c>
      <c r="C110" s="309">
        <f>IFERROR(__xludf.DUMMYFUNCTION("""COMPUTED_VALUE"""),0.2909375)</f>
        <v>0.2909375</v>
      </c>
      <c r="D110" s="7" t="str">
        <f>IFERROR(__xludf.DUMMYFUNCTION("""COMPUTED_VALUE"""),"SpABRM128250")</f>
        <v>SpABRM128250</v>
      </c>
      <c r="E110" s="310"/>
      <c r="F110" s="310"/>
      <c r="G110" s="310" t="str">
        <f>IFERROR(__xludf.DUMMYFUNCTION("""COMPUTED_VALUE"""),"Negative")</f>
        <v>Negative</v>
      </c>
      <c r="H110" s="319" t="str">
        <f>IFERROR(__xludf.DUMMYFUNCTION("""COMPUTED_VALUE"""),"Negative")</f>
        <v>Negative</v>
      </c>
      <c r="I110" s="308">
        <f>IFERROR(__xludf.DUMMYFUNCTION("""COMPUTED_VALUE"""),44824.0)</f>
        <v>44824</v>
      </c>
      <c r="J110" s="311">
        <f>IFERROR(__xludf.DUMMYFUNCTION("""COMPUTED_VALUE"""),0.558136574074074)</f>
        <v>0.5581365741</v>
      </c>
      <c r="K110" s="54"/>
      <c r="L110" s="7"/>
      <c r="M110" s="312"/>
      <c r="N110" s="172">
        <f>IFERROR(__xludf.DUMMYFUNCTION("""COMPUTED_VALUE"""),3.0)</f>
        <v>3</v>
      </c>
      <c r="O110" s="172" t="str">
        <f t="shared" si="3"/>
        <v/>
      </c>
      <c r="P110" s="313">
        <f>IFERROR(__xludf.DUMMYFUNCTION("""COMPUTED_VALUE"""),1.0)</f>
        <v>1</v>
      </c>
      <c r="Q110" s="76" t="b">
        <f>VLOOKUP($B110,'Run Reconcile'!B$2:O1399,14,FALSE)</f>
        <v>1</v>
      </c>
      <c r="R110" s="314" t="str">
        <f t="array" ref="R110">IF($Q110, INDEX('Run Reconcile'!A$2:A1399,MATCH(B110,'Run Reconcile'!B$2:B1399,0),1),IFERROR(0/0,""))</f>
        <v>RUN-ABRM_2022-09-19_RFR-017</v>
      </c>
      <c r="S110" s="315" t="str">
        <f t="shared" ref="S110:T110" si="224">IF(COUNTIF(W$2:W1399, $A110) &gt; 0,TRUE,IFERROR(0/0,""))</f>
        <v/>
      </c>
      <c r="T110" s="315" t="str">
        <f t="shared" si="224"/>
        <v/>
      </c>
      <c r="U110" s="114" t="str">
        <f t="array" ref="U110">IF(ISBLANK($R110), INDEX('Run Reconcile'!A$2:A1399, MATCH($B110, 'Run Reconcile'!B$2:B1399, 0)+Z110, 1), IFERROR(0/0,""))
</f>
        <v/>
      </c>
      <c r="V110" s="316" t="str">
        <f t="shared" si="5"/>
        <v>RUN-ABRM_2022-09-19_RFR-017</v>
      </c>
      <c r="Y110" s="317" t="str">
        <f t="shared" si="6"/>
        <v/>
      </c>
      <c r="Z110" s="83" t="str">
        <f t="shared" si="7"/>
        <v/>
      </c>
      <c r="AA110" s="83" t="str">
        <f t="shared" si="8"/>
        <v/>
      </c>
      <c r="AB110" s="83" t="str">
        <f t="shared" si="9"/>
        <v/>
      </c>
      <c r="AC110" s="18" t="str">
        <f t="shared" ref="AC110:AD110" si="225">IF(_xlfn.ISFORMULA(S110),IFERROR(0/0,""),TRUE)</f>
        <v/>
      </c>
      <c r="AD110" s="18" t="str">
        <f t="shared" si="225"/>
        <v/>
      </c>
      <c r="AE110" s="43"/>
      <c r="AF110" s="58" t="s">
        <v>39</v>
      </c>
      <c r="AG110" s="55" t="str">
        <f t="shared" si="11"/>
        <v/>
      </c>
    </row>
    <row r="111">
      <c r="A111" s="7" t="str">
        <f>IFERROR(__xludf.DUMMYFUNCTION("""COMPUTED_VALUE"""),"AK7288")</f>
        <v>AK7288</v>
      </c>
      <c r="B111" s="308">
        <f>IFERROR(__xludf.DUMMYFUNCTION("""COMPUTED_VALUE"""),44823.0)</f>
        <v>44823</v>
      </c>
      <c r="C111" s="309">
        <f>IFERROR(__xludf.DUMMYFUNCTION("""COMPUTED_VALUE"""),0.3014351851851852)</f>
        <v>0.3014351852</v>
      </c>
      <c r="D111" s="7" t="str">
        <f>IFERROR(__xludf.DUMMYFUNCTION("""COMPUTED_VALUE"""),"SpABRM297307")</f>
        <v>SpABRM297307</v>
      </c>
      <c r="E111" s="310"/>
      <c r="F111" s="310"/>
      <c r="G111" s="310" t="str">
        <f>IFERROR(__xludf.DUMMYFUNCTION("""COMPUTED_VALUE"""),"Negative")</f>
        <v>Negative</v>
      </c>
      <c r="H111" s="319" t="str">
        <f>IFERROR(__xludf.DUMMYFUNCTION("""COMPUTED_VALUE"""),"Negative")</f>
        <v>Negative</v>
      </c>
      <c r="I111" s="308">
        <f>IFERROR(__xludf.DUMMYFUNCTION("""COMPUTED_VALUE"""),44824.0)</f>
        <v>44824</v>
      </c>
      <c r="J111" s="311">
        <f>IFERROR(__xludf.DUMMYFUNCTION("""COMPUTED_VALUE"""),0.558136574074074)</f>
        <v>0.5581365741</v>
      </c>
      <c r="K111" s="54"/>
      <c r="L111" s="7"/>
      <c r="M111" s="312"/>
      <c r="N111" s="172">
        <f>IFERROR(__xludf.DUMMYFUNCTION("""COMPUTED_VALUE"""),3.0)</f>
        <v>3</v>
      </c>
      <c r="O111" s="172" t="str">
        <f t="shared" si="3"/>
        <v/>
      </c>
      <c r="P111" s="313">
        <f>IFERROR(__xludf.DUMMYFUNCTION("""COMPUTED_VALUE"""),1.0)</f>
        <v>1</v>
      </c>
      <c r="Q111" s="76" t="b">
        <f>VLOOKUP($B111,'Run Reconcile'!B$2:O1399,14,FALSE)</f>
        <v>1</v>
      </c>
      <c r="R111" s="314" t="str">
        <f t="array" ref="R111">IF($Q111, INDEX('Run Reconcile'!A$2:A1399,MATCH(B111,'Run Reconcile'!B$2:B1399,0),1),IFERROR(0/0,""))</f>
        <v>RUN-ABRM_2022-09-19_RFR-017</v>
      </c>
      <c r="S111" s="315" t="str">
        <f t="shared" ref="S111:T111" si="226">IF(COUNTIF(W$2:W1399, $A111) &gt; 0,TRUE,IFERROR(0/0,""))</f>
        <v/>
      </c>
      <c r="T111" s="315" t="str">
        <f t="shared" si="226"/>
        <v/>
      </c>
      <c r="U111" s="114" t="str">
        <f t="array" ref="U111">IF(ISBLANK($R111), INDEX('Run Reconcile'!A$2:A1399, MATCH($B111, 'Run Reconcile'!B$2:B1399, 0)+Z111, 1), IFERROR(0/0,""))
</f>
        <v/>
      </c>
      <c r="V111" s="316" t="str">
        <f t="shared" si="5"/>
        <v>RUN-ABRM_2022-09-19_RFR-017</v>
      </c>
      <c r="Y111" s="317" t="str">
        <f t="shared" si="6"/>
        <v/>
      </c>
      <c r="Z111" s="83" t="str">
        <f t="shared" si="7"/>
        <v/>
      </c>
      <c r="AA111" s="83" t="str">
        <f t="shared" si="8"/>
        <v/>
      </c>
      <c r="AB111" s="83" t="str">
        <f t="shared" si="9"/>
        <v/>
      </c>
      <c r="AC111" s="18" t="str">
        <f t="shared" ref="AC111:AD111" si="227">IF(_xlfn.ISFORMULA(S111),IFERROR(0/0,""),TRUE)</f>
        <v/>
      </c>
      <c r="AD111" s="18" t="str">
        <f t="shared" si="227"/>
        <v/>
      </c>
      <c r="AE111" s="43"/>
      <c r="AF111" s="58" t="s">
        <v>39</v>
      </c>
      <c r="AG111" s="55" t="str">
        <f t="shared" si="11"/>
        <v/>
      </c>
    </row>
    <row r="112">
      <c r="A112" s="7" t="str">
        <f>IFERROR(__xludf.DUMMYFUNCTION("""COMPUTED_VALUE"""),"AG1172")</f>
        <v>AG1172</v>
      </c>
      <c r="B112" s="308">
        <f>IFERROR(__xludf.DUMMYFUNCTION("""COMPUTED_VALUE"""),44823.0)</f>
        <v>44823</v>
      </c>
      <c r="C112" s="309">
        <f>IFERROR(__xludf.DUMMYFUNCTION("""COMPUTED_VALUE"""),0.30398148148148146)</f>
        <v>0.3039814815</v>
      </c>
      <c r="D112" s="7" t="str">
        <f>IFERROR(__xludf.DUMMYFUNCTION("""COMPUTED_VALUE"""),"SpABRM367540")</f>
        <v>SpABRM367540</v>
      </c>
      <c r="E112" s="310"/>
      <c r="F112" s="310"/>
      <c r="G112" s="310" t="str">
        <f>IFERROR(__xludf.DUMMYFUNCTION("""COMPUTED_VALUE"""),"Negative")</f>
        <v>Negative</v>
      </c>
      <c r="H112" s="319" t="str">
        <f>IFERROR(__xludf.DUMMYFUNCTION("""COMPUTED_VALUE"""),"Negative")</f>
        <v>Negative</v>
      </c>
      <c r="I112" s="308">
        <f>IFERROR(__xludf.DUMMYFUNCTION("""COMPUTED_VALUE"""),44824.0)</f>
        <v>44824</v>
      </c>
      <c r="J112" s="311">
        <f>IFERROR(__xludf.DUMMYFUNCTION("""COMPUTED_VALUE"""),0.558136574074074)</f>
        <v>0.5581365741</v>
      </c>
      <c r="K112" s="54"/>
      <c r="L112" s="7"/>
      <c r="M112" s="312"/>
      <c r="N112" s="172">
        <f>IFERROR(__xludf.DUMMYFUNCTION("""COMPUTED_VALUE"""),3.0)</f>
        <v>3</v>
      </c>
      <c r="O112" s="172" t="str">
        <f t="shared" si="3"/>
        <v/>
      </c>
      <c r="P112" s="313">
        <f>IFERROR(__xludf.DUMMYFUNCTION("""COMPUTED_VALUE"""),1.0)</f>
        <v>1</v>
      </c>
      <c r="Q112" s="76" t="b">
        <f>VLOOKUP($B112,'Run Reconcile'!B$2:O1399,14,FALSE)</f>
        <v>1</v>
      </c>
      <c r="R112" s="314" t="str">
        <f t="array" ref="R112">IF($Q112, INDEX('Run Reconcile'!A$2:A1399,MATCH(B112,'Run Reconcile'!B$2:B1399,0),1),IFERROR(0/0,""))</f>
        <v>RUN-ABRM_2022-09-19_RFR-017</v>
      </c>
      <c r="S112" s="315" t="str">
        <f t="shared" ref="S112:T112" si="228">IF(COUNTIF(W$2:W1399, $A112) &gt; 0,TRUE,IFERROR(0/0,""))</f>
        <v/>
      </c>
      <c r="T112" s="315" t="str">
        <f t="shared" si="228"/>
        <v/>
      </c>
      <c r="U112" s="114" t="str">
        <f t="array" ref="U112">IF(ISBLANK($R112), INDEX('Run Reconcile'!A$2:A1399, MATCH($B112, 'Run Reconcile'!B$2:B1399, 0)+Z112, 1), IFERROR(0/0,""))
</f>
        <v/>
      </c>
      <c r="V112" s="316" t="str">
        <f t="shared" si="5"/>
        <v>RUN-ABRM_2022-09-19_RFR-017</v>
      </c>
      <c r="Y112" s="317" t="str">
        <f t="shared" si="6"/>
        <v/>
      </c>
      <c r="Z112" s="83" t="str">
        <f t="shared" si="7"/>
        <v/>
      </c>
      <c r="AA112" s="83" t="str">
        <f t="shared" si="8"/>
        <v/>
      </c>
      <c r="AB112" s="83" t="str">
        <f t="shared" si="9"/>
        <v/>
      </c>
      <c r="AC112" s="18" t="str">
        <f t="shared" ref="AC112:AD112" si="229">IF(_xlfn.ISFORMULA(S112),IFERROR(0/0,""),TRUE)</f>
        <v/>
      </c>
      <c r="AD112" s="18" t="str">
        <f t="shared" si="229"/>
        <v/>
      </c>
      <c r="AE112" s="43"/>
      <c r="AF112" s="58" t="s">
        <v>39</v>
      </c>
      <c r="AG112" s="55" t="str">
        <f t="shared" si="11"/>
        <v/>
      </c>
    </row>
    <row r="113">
      <c r="A113" s="7" t="str">
        <f>IFERROR(__xludf.DUMMYFUNCTION("""COMPUTED_VALUE"""),"AH8433")</f>
        <v>AH8433</v>
      </c>
      <c r="B113" s="308">
        <f>IFERROR(__xludf.DUMMYFUNCTION("""COMPUTED_VALUE"""),44823.0)</f>
        <v>44823</v>
      </c>
      <c r="C113" s="309">
        <f>IFERROR(__xludf.DUMMYFUNCTION("""COMPUTED_VALUE"""),0.31438657407407405)</f>
        <v>0.3143865741</v>
      </c>
      <c r="D113" s="7" t="str">
        <f>IFERROR(__xludf.DUMMYFUNCTION("""COMPUTED_VALUE"""),"SpABRM655136")</f>
        <v>SpABRM655136</v>
      </c>
      <c r="E113" s="310"/>
      <c r="F113" s="310"/>
      <c r="G113" s="310" t="str">
        <f>IFERROR(__xludf.DUMMYFUNCTION("""COMPUTED_VALUE"""),"Negative")</f>
        <v>Negative</v>
      </c>
      <c r="H113" s="319" t="str">
        <f>IFERROR(__xludf.DUMMYFUNCTION("""COMPUTED_VALUE"""),"Negative")</f>
        <v>Negative</v>
      </c>
      <c r="I113" s="308">
        <f>IFERROR(__xludf.DUMMYFUNCTION("""COMPUTED_VALUE"""),44824.0)</f>
        <v>44824</v>
      </c>
      <c r="J113" s="311">
        <f>IFERROR(__xludf.DUMMYFUNCTION("""COMPUTED_VALUE"""),0.558136574074074)</f>
        <v>0.5581365741</v>
      </c>
      <c r="K113" s="54"/>
      <c r="L113" s="7"/>
      <c r="M113" s="312"/>
      <c r="N113" s="172">
        <f>IFERROR(__xludf.DUMMYFUNCTION("""COMPUTED_VALUE"""),2.0)</f>
        <v>2</v>
      </c>
      <c r="O113" s="172" t="str">
        <f t="shared" si="3"/>
        <v/>
      </c>
      <c r="P113" s="313">
        <f>IFERROR(__xludf.DUMMYFUNCTION("""COMPUTED_VALUE"""),1.0)</f>
        <v>1</v>
      </c>
      <c r="Q113" s="76" t="b">
        <f>VLOOKUP($B113,'Run Reconcile'!B$2:O1399,14,FALSE)</f>
        <v>1</v>
      </c>
      <c r="R113" s="314" t="str">
        <f t="array" ref="R113">IF($Q113, INDEX('Run Reconcile'!A$2:A1399,MATCH(B113,'Run Reconcile'!B$2:B1399,0),1),IFERROR(0/0,""))</f>
        <v>RUN-ABRM_2022-09-19_RFR-017</v>
      </c>
      <c r="S113" s="315" t="str">
        <f t="shared" ref="S113:T113" si="230">IF(COUNTIF(W$2:W1399, $A113) &gt; 0,TRUE,IFERROR(0/0,""))</f>
        <v/>
      </c>
      <c r="T113" s="315" t="str">
        <f t="shared" si="230"/>
        <v/>
      </c>
      <c r="U113" s="114" t="str">
        <f t="array" ref="U113">IF(ISBLANK($R113), INDEX('Run Reconcile'!A$2:A1399, MATCH($B113, 'Run Reconcile'!B$2:B1399, 0)+Z113, 1), IFERROR(0/0,""))
</f>
        <v/>
      </c>
      <c r="V113" s="316" t="str">
        <f t="shared" si="5"/>
        <v>RUN-ABRM_2022-09-19_RFR-017</v>
      </c>
      <c r="Y113" s="317" t="str">
        <f t="shared" si="6"/>
        <v/>
      </c>
      <c r="Z113" s="83" t="str">
        <f t="shared" si="7"/>
        <v/>
      </c>
      <c r="AA113" s="83" t="str">
        <f t="shared" si="8"/>
        <v/>
      </c>
      <c r="AB113" s="83" t="str">
        <f t="shared" si="9"/>
        <v/>
      </c>
      <c r="AC113" s="18" t="str">
        <f t="shared" ref="AC113:AD113" si="231">IF(_xlfn.ISFORMULA(S113),IFERROR(0/0,""),TRUE)</f>
        <v/>
      </c>
      <c r="AD113" s="18" t="str">
        <f t="shared" si="231"/>
        <v/>
      </c>
      <c r="AE113" s="43"/>
      <c r="AF113" s="58" t="s">
        <v>39</v>
      </c>
      <c r="AG113" s="55" t="str">
        <f t="shared" si="11"/>
        <v/>
      </c>
    </row>
    <row r="114">
      <c r="A114" s="7" t="str">
        <f>IFERROR(__xludf.DUMMYFUNCTION("""COMPUTED_VALUE"""),"AH8386")</f>
        <v>AH8386</v>
      </c>
      <c r="B114" s="308">
        <f>IFERROR(__xludf.DUMMYFUNCTION("""COMPUTED_VALUE"""),44823.0)</f>
        <v>44823</v>
      </c>
      <c r="C114" s="309">
        <f>IFERROR(__xludf.DUMMYFUNCTION("""COMPUTED_VALUE"""),0.32185185185185183)</f>
        <v>0.3218518519</v>
      </c>
      <c r="D114" s="7" t="str">
        <f>IFERROR(__xludf.DUMMYFUNCTION("""COMPUTED_VALUE"""),"SpABRM188986")</f>
        <v>SpABRM188986</v>
      </c>
      <c r="E114" s="310"/>
      <c r="F114" s="310"/>
      <c r="G114" s="310" t="str">
        <f>IFERROR(__xludf.DUMMYFUNCTION("""COMPUTED_VALUE"""),"Negative")</f>
        <v>Negative</v>
      </c>
      <c r="H114" s="319" t="str">
        <f>IFERROR(__xludf.DUMMYFUNCTION("""COMPUTED_VALUE"""),"Negative")</f>
        <v>Negative</v>
      </c>
      <c r="I114" s="308">
        <f>IFERROR(__xludf.DUMMYFUNCTION("""COMPUTED_VALUE"""),44824.0)</f>
        <v>44824</v>
      </c>
      <c r="J114" s="311">
        <f>IFERROR(__xludf.DUMMYFUNCTION("""COMPUTED_VALUE"""),0.5581481481481482)</f>
        <v>0.5581481481</v>
      </c>
      <c r="K114" s="54"/>
      <c r="L114" s="7"/>
      <c r="M114" s="312"/>
      <c r="N114" s="172">
        <f>IFERROR(__xludf.DUMMYFUNCTION("""COMPUTED_VALUE"""),2.0)</f>
        <v>2</v>
      </c>
      <c r="O114" s="172" t="str">
        <f t="shared" si="3"/>
        <v/>
      </c>
      <c r="P114" s="313">
        <f>IFERROR(__xludf.DUMMYFUNCTION("""COMPUTED_VALUE"""),1.0)</f>
        <v>1</v>
      </c>
      <c r="Q114" s="76" t="b">
        <f>VLOOKUP($B114,'Run Reconcile'!B$2:O1399,14,FALSE)</f>
        <v>1</v>
      </c>
      <c r="R114" s="314" t="str">
        <f t="array" ref="R114">IF($Q114, INDEX('Run Reconcile'!A$2:A1399,MATCH(B114,'Run Reconcile'!B$2:B1399,0),1),IFERROR(0/0,""))</f>
        <v>RUN-ABRM_2022-09-19_RFR-017</v>
      </c>
      <c r="S114" s="315" t="str">
        <f t="shared" ref="S114:T114" si="232">IF(COUNTIF(W$2:W1399, $A114) &gt; 0,TRUE,IFERROR(0/0,""))</f>
        <v/>
      </c>
      <c r="T114" s="315" t="str">
        <f t="shared" si="232"/>
        <v/>
      </c>
      <c r="U114" s="114" t="str">
        <f t="array" ref="U114">IF(ISBLANK($R114), INDEX('Run Reconcile'!A$2:A1399, MATCH($B114, 'Run Reconcile'!B$2:B1399, 0)+Z114, 1), IFERROR(0/0,""))
</f>
        <v/>
      </c>
      <c r="V114" s="316" t="str">
        <f t="shared" si="5"/>
        <v>RUN-ABRM_2022-09-19_RFR-017</v>
      </c>
      <c r="Y114" s="317" t="str">
        <f t="shared" si="6"/>
        <v/>
      </c>
      <c r="Z114" s="83" t="str">
        <f t="shared" si="7"/>
        <v/>
      </c>
      <c r="AA114" s="83" t="str">
        <f t="shared" si="8"/>
        <v/>
      </c>
      <c r="AB114" s="83" t="str">
        <f t="shared" si="9"/>
        <v/>
      </c>
      <c r="AC114" s="18" t="str">
        <f t="shared" ref="AC114:AD114" si="233">IF(_xlfn.ISFORMULA(S114),IFERROR(0/0,""),TRUE)</f>
        <v/>
      </c>
      <c r="AD114" s="18" t="str">
        <f t="shared" si="233"/>
        <v/>
      </c>
      <c r="AE114" s="43"/>
      <c r="AF114" s="58" t="s">
        <v>39</v>
      </c>
      <c r="AG114" s="55" t="str">
        <f t="shared" si="11"/>
        <v/>
      </c>
    </row>
    <row r="115">
      <c r="A115" s="7" t="str">
        <f>IFERROR(__xludf.DUMMYFUNCTION("""COMPUTED_VALUE"""),"AK5187")</f>
        <v>AK5187</v>
      </c>
      <c r="B115" s="308">
        <f>IFERROR(__xludf.DUMMYFUNCTION("""COMPUTED_VALUE"""),44823.0)</f>
        <v>44823</v>
      </c>
      <c r="C115" s="309">
        <f>IFERROR(__xludf.DUMMYFUNCTION("""COMPUTED_VALUE"""),0.33577546296296296)</f>
        <v>0.335775463</v>
      </c>
      <c r="D115" s="7" t="str">
        <f>IFERROR(__xludf.DUMMYFUNCTION("""COMPUTED_VALUE"""),"SpABRM655136")</f>
        <v>SpABRM655136</v>
      </c>
      <c r="E115" s="310"/>
      <c r="F115" s="310"/>
      <c r="G115" s="310" t="str">
        <f>IFERROR(__xludf.DUMMYFUNCTION("""COMPUTED_VALUE"""),"Negative")</f>
        <v>Negative</v>
      </c>
      <c r="H115" s="319" t="str">
        <f>IFERROR(__xludf.DUMMYFUNCTION("""COMPUTED_VALUE"""),"Negative")</f>
        <v>Negative</v>
      </c>
      <c r="I115" s="308">
        <f>IFERROR(__xludf.DUMMYFUNCTION("""COMPUTED_VALUE"""),44824.0)</f>
        <v>44824</v>
      </c>
      <c r="J115" s="311">
        <f>IFERROR(__xludf.DUMMYFUNCTION("""COMPUTED_VALUE"""),0.5581481481481482)</f>
        <v>0.5581481481</v>
      </c>
      <c r="K115" s="54"/>
      <c r="L115" s="7"/>
      <c r="M115" s="312"/>
      <c r="N115" s="172">
        <f>IFERROR(__xludf.DUMMYFUNCTION("""COMPUTED_VALUE"""),4.0)</f>
        <v>4</v>
      </c>
      <c r="O115" s="172" t="str">
        <f t="shared" si="3"/>
        <v/>
      </c>
      <c r="P115" s="313">
        <f>IFERROR(__xludf.DUMMYFUNCTION("""COMPUTED_VALUE"""),1.0)</f>
        <v>1</v>
      </c>
      <c r="Q115" s="76" t="b">
        <f>VLOOKUP($B115,'Run Reconcile'!B$2:O1399,14,FALSE)</f>
        <v>1</v>
      </c>
      <c r="R115" s="314" t="str">
        <f t="array" ref="R115">IF($Q115, INDEX('Run Reconcile'!A$2:A1399,MATCH(B115,'Run Reconcile'!B$2:B1399,0),1),IFERROR(0/0,""))</f>
        <v>RUN-ABRM_2022-09-19_RFR-017</v>
      </c>
      <c r="S115" s="315" t="str">
        <f t="shared" ref="S115:T115" si="234">IF(COUNTIF(W$2:W1399, $A115) &gt; 0,TRUE,IFERROR(0/0,""))</f>
        <v/>
      </c>
      <c r="T115" s="315" t="str">
        <f t="shared" si="234"/>
        <v/>
      </c>
      <c r="U115" s="114" t="str">
        <f t="array" ref="U115">IF(ISBLANK($R115), INDEX('Run Reconcile'!A$2:A1399, MATCH($B115, 'Run Reconcile'!B$2:B1399, 0)+Z115, 1), IFERROR(0/0,""))
</f>
        <v/>
      </c>
      <c r="V115" s="316" t="str">
        <f t="shared" si="5"/>
        <v>RUN-ABRM_2022-09-19_RFR-017</v>
      </c>
      <c r="Y115" s="317" t="str">
        <f t="shared" si="6"/>
        <v/>
      </c>
      <c r="Z115" s="83" t="str">
        <f t="shared" si="7"/>
        <v/>
      </c>
      <c r="AA115" s="83" t="str">
        <f t="shared" si="8"/>
        <v/>
      </c>
      <c r="AB115" s="83" t="str">
        <f t="shared" si="9"/>
        <v/>
      </c>
      <c r="AC115" s="18" t="str">
        <f t="shared" ref="AC115:AD115" si="235">IF(_xlfn.ISFORMULA(S115),IFERROR(0/0,""),TRUE)</f>
        <v/>
      </c>
      <c r="AD115" s="18" t="str">
        <f t="shared" si="235"/>
        <v/>
      </c>
      <c r="AE115" s="43"/>
      <c r="AF115" s="58" t="s">
        <v>39</v>
      </c>
      <c r="AG115" s="55" t="str">
        <f t="shared" si="11"/>
        <v/>
      </c>
    </row>
    <row r="116">
      <c r="A116" s="7" t="str">
        <f>IFERROR(__xludf.DUMMYFUNCTION("""COMPUTED_VALUE"""),"AH8734")</f>
        <v>AH8734</v>
      </c>
      <c r="B116" s="308">
        <f>IFERROR(__xludf.DUMMYFUNCTION("""COMPUTED_VALUE"""),44823.0)</f>
        <v>44823</v>
      </c>
      <c r="C116" s="309">
        <f>IFERROR(__xludf.DUMMYFUNCTION("""COMPUTED_VALUE"""),0.3476273148148148)</f>
        <v>0.3476273148</v>
      </c>
      <c r="D116" s="7" t="str">
        <f>IFERROR(__xludf.DUMMYFUNCTION("""COMPUTED_VALUE"""),"SpABRM655136")</f>
        <v>SpABRM655136</v>
      </c>
      <c r="E116" s="310"/>
      <c r="F116" s="310"/>
      <c r="G116" s="310" t="str">
        <f>IFERROR(__xludf.DUMMYFUNCTION("""COMPUTED_VALUE"""),"Negative")</f>
        <v>Negative</v>
      </c>
      <c r="H116" s="319" t="str">
        <f>IFERROR(__xludf.DUMMYFUNCTION("""COMPUTED_VALUE"""),"Negative")</f>
        <v>Negative</v>
      </c>
      <c r="I116" s="308">
        <f>IFERROR(__xludf.DUMMYFUNCTION("""COMPUTED_VALUE"""),44824.0)</f>
        <v>44824</v>
      </c>
      <c r="J116" s="311">
        <f>IFERROR(__xludf.DUMMYFUNCTION("""COMPUTED_VALUE"""),0.5581481481481482)</f>
        <v>0.5581481481</v>
      </c>
      <c r="K116" s="54"/>
      <c r="L116" s="7"/>
      <c r="M116" s="312"/>
      <c r="N116" s="172">
        <f>IFERROR(__xludf.DUMMYFUNCTION("""COMPUTED_VALUE"""),3.0)</f>
        <v>3</v>
      </c>
      <c r="O116" s="172" t="str">
        <f t="shared" si="3"/>
        <v/>
      </c>
      <c r="P116" s="313">
        <f>IFERROR(__xludf.DUMMYFUNCTION("""COMPUTED_VALUE"""),1.0)</f>
        <v>1</v>
      </c>
      <c r="Q116" s="76" t="b">
        <f>VLOOKUP($B116,'Run Reconcile'!B$2:O1399,14,FALSE)</f>
        <v>1</v>
      </c>
      <c r="R116" s="314" t="str">
        <f t="array" ref="R116">IF($Q116, INDEX('Run Reconcile'!A$2:A1399,MATCH(B116,'Run Reconcile'!B$2:B1399,0),1),IFERROR(0/0,""))</f>
        <v>RUN-ABRM_2022-09-19_RFR-017</v>
      </c>
      <c r="S116" s="315" t="str">
        <f t="shared" ref="S116:T116" si="236">IF(COUNTIF(W$2:W1399, $A116) &gt; 0,TRUE,IFERROR(0/0,""))</f>
        <v/>
      </c>
      <c r="T116" s="315" t="str">
        <f t="shared" si="236"/>
        <v/>
      </c>
      <c r="U116" s="114" t="str">
        <f t="array" ref="U116">IF(ISBLANK($R116), INDEX('Run Reconcile'!A$2:A1399, MATCH($B116, 'Run Reconcile'!B$2:B1399, 0)+Z116, 1), IFERROR(0/0,""))
</f>
        <v/>
      </c>
      <c r="V116" s="316" t="str">
        <f t="shared" si="5"/>
        <v>RUN-ABRM_2022-09-19_RFR-017</v>
      </c>
      <c r="Y116" s="317" t="str">
        <f t="shared" si="6"/>
        <v/>
      </c>
      <c r="Z116" s="83" t="str">
        <f t="shared" si="7"/>
        <v/>
      </c>
      <c r="AA116" s="83" t="str">
        <f t="shared" si="8"/>
        <v/>
      </c>
      <c r="AB116" s="83" t="str">
        <f t="shared" si="9"/>
        <v/>
      </c>
      <c r="AC116" s="18" t="str">
        <f t="shared" ref="AC116:AD116" si="237">IF(_xlfn.ISFORMULA(S116),IFERROR(0/0,""),TRUE)</f>
        <v/>
      </c>
      <c r="AD116" s="18" t="str">
        <f t="shared" si="237"/>
        <v/>
      </c>
      <c r="AE116" s="43"/>
      <c r="AF116" s="58" t="s">
        <v>39</v>
      </c>
      <c r="AG116" s="55" t="str">
        <f t="shared" si="11"/>
        <v/>
      </c>
    </row>
    <row r="117">
      <c r="A117" s="7" t="str">
        <f>IFERROR(__xludf.DUMMYFUNCTION("""COMPUTED_VALUE"""),"AH7825")</f>
        <v>AH7825</v>
      </c>
      <c r="B117" s="308">
        <f>IFERROR(__xludf.DUMMYFUNCTION("""COMPUTED_VALUE"""),44823.0)</f>
        <v>44823</v>
      </c>
      <c r="C117" s="309">
        <f>IFERROR(__xludf.DUMMYFUNCTION("""COMPUTED_VALUE"""),0.35538194444444443)</f>
        <v>0.3553819444</v>
      </c>
      <c r="D117" s="7" t="str">
        <f>IFERROR(__xludf.DUMMYFUNCTION("""COMPUTED_VALUE"""),"SpABRM655136")</f>
        <v>SpABRM655136</v>
      </c>
      <c r="E117" s="310"/>
      <c r="F117" s="310"/>
      <c r="G117" s="310" t="str">
        <f>IFERROR(__xludf.DUMMYFUNCTION("""COMPUTED_VALUE"""),"Negative")</f>
        <v>Negative</v>
      </c>
      <c r="H117" s="319" t="str">
        <f>IFERROR(__xludf.DUMMYFUNCTION("""COMPUTED_VALUE"""),"Negative")</f>
        <v>Negative</v>
      </c>
      <c r="I117" s="308">
        <f>IFERROR(__xludf.DUMMYFUNCTION("""COMPUTED_VALUE"""),44824.0)</f>
        <v>44824</v>
      </c>
      <c r="J117" s="311">
        <f>IFERROR(__xludf.DUMMYFUNCTION("""COMPUTED_VALUE"""),0.5581481481481482)</f>
        <v>0.5581481481</v>
      </c>
      <c r="K117" s="54"/>
      <c r="L117" s="7"/>
      <c r="M117" s="312"/>
      <c r="N117" s="172">
        <f>IFERROR(__xludf.DUMMYFUNCTION("""COMPUTED_VALUE"""),2.0)</f>
        <v>2</v>
      </c>
      <c r="O117" s="172" t="str">
        <f t="shared" si="3"/>
        <v/>
      </c>
      <c r="P117" s="313">
        <f>IFERROR(__xludf.DUMMYFUNCTION("""COMPUTED_VALUE"""),1.0)</f>
        <v>1</v>
      </c>
      <c r="Q117" s="76" t="b">
        <f>VLOOKUP($B117,'Run Reconcile'!B$2:O1399,14,FALSE)</f>
        <v>1</v>
      </c>
      <c r="R117" s="314" t="str">
        <f t="array" ref="R117">IF($Q117, INDEX('Run Reconcile'!A$2:A1399,MATCH(B117,'Run Reconcile'!B$2:B1399,0),1),IFERROR(0/0,""))</f>
        <v>RUN-ABRM_2022-09-19_RFR-017</v>
      </c>
      <c r="S117" s="315" t="str">
        <f t="shared" ref="S117:T117" si="238">IF(COUNTIF(W$2:W1399, $A117) &gt; 0,TRUE,IFERROR(0/0,""))</f>
        <v/>
      </c>
      <c r="T117" s="315" t="str">
        <f t="shared" si="238"/>
        <v/>
      </c>
      <c r="U117" s="114" t="str">
        <f t="array" ref="U117">IF(ISBLANK($R117), INDEX('Run Reconcile'!A$2:A1399, MATCH($B117, 'Run Reconcile'!B$2:B1399, 0)+Z117, 1), IFERROR(0/0,""))
</f>
        <v/>
      </c>
      <c r="V117" s="316" t="str">
        <f t="shared" si="5"/>
        <v>RUN-ABRM_2022-09-19_RFR-017</v>
      </c>
      <c r="Y117" s="317" t="str">
        <f t="shared" si="6"/>
        <v/>
      </c>
      <c r="Z117" s="83" t="str">
        <f t="shared" si="7"/>
        <v/>
      </c>
      <c r="AA117" s="83" t="str">
        <f t="shared" si="8"/>
        <v/>
      </c>
      <c r="AB117" s="83" t="str">
        <f t="shared" si="9"/>
        <v/>
      </c>
      <c r="AC117" s="18" t="str">
        <f t="shared" ref="AC117:AD117" si="239">IF(_xlfn.ISFORMULA(S117),IFERROR(0/0,""),TRUE)</f>
        <v/>
      </c>
      <c r="AD117" s="18" t="str">
        <f t="shared" si="239"/>
        <v/>
      </c>
      <c r="AE117" s="43"/>
      <c r="AF117" s="58" t="s">
        <v>39</v>
      </c>
      <c r="AG117" s="55" t="str">
        <f t="shared" si="11"/>
        <v/>
      </c>
    </row>
    <row r="118">
      <c r="A118" s="7" t="str">
        <f>IFERROR(__xludf.DUMMYFUNCTION("""COMPUTED_VALUE"""),"AG674")</f>
        <v>AG674</v>
      </c>
      <c r="B118" s="308">
        <f>IFERROR(__xludf.DUMMYFUNCTION("""COMPUTED_VALUE"""),44824.0)</f>
        <v>44824</v>
      </c>
      <c r="C118" s="309">
        <f>IFERROR(__xludf.DUMMYFUNCTION("""COMPUTED_VALUE"""),0.20699074074074075)</f>
        <v>0.2069907407</v>
      </c>
      <c r="D118" s="7" t="str">
        <f>IFERROR(__xludf.DUMMYFUNCTION("""COMPUTED_VALUE"""),"SpABRM516158")</f>
        <v>SpABRM516158</v>
      </c>
      <c r="E118" s="310"/>
      <c r="F118" s="310"/>
      <c r="G118" s="310" t="str">
        <f>IFERROR(__xludf.DUMMYFUNCTION("""COMPUTED_VALUE"""),"Negative")</f>
        <v>Negative</v>
      </c>
      <c r="H118" s="319" t="str">
        <f>IFERROR(__xludf.DUMMYFUNCTION("""COMPUTED_VALUE"""),"Negative")</f>
        <v>Negative</v>
      </c>
      <c r="I118" s="308">
        <f>IFERROR(__xludf.DUMMYFUNCTION("""COMPUTED_VALUE"""),44825.0)</f>
        <v>44825</v>
      </c>
      <c r="J118" s="311">
        <f>IFERROR(__xludf.DUMMYFUNCTION("""COMPUTED_VALUE"""),0.39256944444444447)</f>
        <v>0.3925694444</v>
      </c>
      <c r="K118" s="54"/>
      <c r="L118" s="7"/>
      <c r="M118" s="312"/>
      <c r="N118" s="172">
        <f>IFERROR(__xludf.DUMMYFUNCTION("""COMPUTED_VALUE"""),1.0)</f>
        <v>1</v>
      </c>
      <c r="O118" s="172" t="b">
        <f t="shared" si="3"/>
        <v>1</v>
      </c>
      <c r="P118" s="313">
        <f>IFERROR(__xludf.DUMMYFUNCTION("""COMPUTED_VALUE"""),1.0)</f>
        <v>1</v>
      </c>
      <c r="Q118" s="76" t="b">
        <f>VLOOKUP($B118,'Run Reconcile'!B$2:O1399,14,FALSE)</f>
        <v>1</v>
      </c>
      <c r="R118" s="314" t="str">
        <f t="array" ref="R118">IF($Q118, INDEX('Run Reconcile'!A$2:A1399,MATCH(B118,'Run Reconcile'!B$2:B1399,0),1),IFERROR(0/0,""))</f>
        <v>RUN-ABRM_2022-09-20_RFR-018</v>
      </c>
      <c r="S118" s="315" t="str">
        <f t="shared" ref="S118:T118" si="240">IF(COUNTIF(W$2:W1399, $A118) &gt; 0,TRUE,IFERROR(0/0,""))</f>
        <v/>
      </c>
      <c r="T118" s="315" t="str">
        <f t="shared" si="240"/>
        <v/>
      </c>
      <c r="U118" s="114" t="str">
        <f t="array" ref="U118">IF(ISBLANK($R118), INDEX('Run Reconcile'!A$2:A1399, MATCH($B118, 'Run Reconcile'!B$2:B1399, 0)+Z118, 1), IFERROR(0/0,""))
</f>
        <v/>
      </c>
      <c r="V118" s="316" t="str">
        <f t="shared" si="5"/>
        <v>RUN-ABRM_2022-09-20_RFR-018</v>
      </c>
      <c r="Y118" s="317" t="str">
        <f t="shared" si="6"/>
        <v/>
      </c>
      <c r="Z118" s="83" t="str">
        <f t="shared" si="7"/>
        <v/>
      </c>
      <c r="AA118" s="83" t="str">
        <f t="shared" si="8"/>
        <v/>
      </c>
      <c r="AB118" s="83" t="str">
        <f t="shared" si="9"/>
        <v/>
      </c>
      <c r="AC118" s="18" t="str">
        <f t="shared" ref="AC118:AD118" si="241">IF(_xlfn.ISFORMULA(S118),IFERROR(0/0,""),TRUE)</f>
        <v/>
      </c>
      <c r="AD118" s="18" t="str">
        <f t="shared" si="241"/>
        <v/>
      </c>
      <c r="AE118" s="43"/>
      <c r="AF118" s="58" t="s">
        <v>40</v>
      </c>
      <c r="AG118" s="55" t="str">
        <f t="shared" si="11"/>
        <v/>
      </c>
    </row>
    <row r="119">
      <c r="A119" s="7" t="str">
        <f>IFERROR(__xludf.DUMMYFUNCTION("""COMPUTED_VALUE"""),"AG1711")</f>
        <v>AG1711</v>
      </c>
      <c r="B119" s="308">
        <f>IFERROR(__xludf.DUMMYFUNCTION("""COMPUTED_VALUE"""),44824.0)</f>
        <v>44824</v>
      </c>
      <c r="C119" s="309">
        <f>IFERROR(__xludf.DUMMYFUNCTION("""COMPUTED_VALUE"""),0.20975694444444445)</f>
        <v>0.2097569444</v>
      </c>
      <c r="D119" s="7" t="str">
        <f>IFERROR(__xludf.DUMMYFUNCTION("""COMPUTED_VALUE"""),"SpABRM454310")</f>
        <v>SpABRM454310</v>
      </c>
      <c r="E119" s="310"/>
      <c r="F119" s="310"/>
      <c r="G119" s="310" t="str">
        <f>IFERROR(__xludf.DUMMYFUNCTION("""COMPUTED_VALUE"""),"Negative")</f>
        <v>Negative</v>
      </c>
      <c r="H119" s="319" t="str">
        <f>IFERROR(__xludf.DUMMYFUNCTION("""COMPUTED_VALUE"""),"Negative")</f>
        <v>Negative</v>
      </c>
      <c r="I119" s="308">
        <f>IFERROR(__xludf.DUMMYFUNCTION("""COMPUTED_VALUE"""),44825.0)</f>
        <v>44825</v>
      </c>
      <c r="J119" s="311">
        <f>IFERROR(__xludf.DUMMYFUNCTION("""COMPUTED_VALUE"""),0.3925810185185185)</f>
        <v>0.3925810185</v>
      </c>
      <c r="K119" s="54"/>
      <c r="L119" s="7"/>
      <c r="M119" s="312"/>
      <c r="N119" s="172">
        <f>IFERROR(__xludf.DUMMYFUNCTION("""COMPUTED_VALUE"""),3.0)</f>
        <v>3</v>
      </c>
      <c r="O119" s="172" t="str">
        <f t="shared" si="3"/>
        <v/>
      </c>
      <c r="P119" s="313">
        <f>IFERROR(__xludf.DUMMYFUNCTION("""COMPUTED_VALUE"""),1.0)</f>
        <v>1</v>
      </c>
      <c r="Q119" s="76" t="b">
        <f>VLOOKUP($B119,'Run Reconcile'!B$2:O1399,14,FALSE)</f>
        <v>1</v>
      </c>
      <c r="R119" s="314" t="str">
        <f t="array" ref="R119">IF($Q119, INDEX('Run Reconcile'!A$2:A1399,MATCH(B119,'Run Reconcile'!B$2:B1399,0),1),IFERROR(0/0,""))</f>
        <v>RUN-ABRM_2022-09-20_RFR-018</v>
      </c>
      <c r="S119" s="315" t="str">
        <f t="shared" ref="S119:T119" si="242">IF(COUNTIF(W$2:W1399, $A119) &gt; 0,TRUE,IFERROR(0/0,""))</f>
        <v/>
      </c>
      <c r="T119" s="315" t="str">
        <f t="shared" si="242"/>
        <v/>
      </c>
      <c r="U119" s="114" t="str">
        <f t="array" ref="U119">IF(ISBLANK($R119), INDEX('Run Reconcile'!A$2:A1399, MATCH($B119, 'Run Reconcile'!B$2:B1399, 0)+Z119, 1), IFERROR(0/0,""))
</f>
        <v/>
      </c>
      <c r="V119" s="316" t="str">
        <f t="shared" si="5"/>
        <v>RUN-ABRM_2022-09-20_RFR-018</v>
      </c>
      <c r="Y119" s="317" t="str">
        <f t="shared" si="6"/>
        <v/>
      </c>
      <c r="Z119" s="83" t="str">
        <f t="shared" si="7"/>
        <v/>
      </c>
      <c r="AA119" s="83" t="str">
        <f t="shared" si="8"/>
        <v/>
      </c>
      <c r="AB119" s="83" t="str">
        <f t="shared" si="9"/>
        <v/>
      </c>
      <c r="AC119" s="18" t="str">
        <f t="shared" ref="AC119:AD119" si="243">IF(_xlfn.ISFORMULA(S119),IFERROR(0/0,""),TRUE)</f>
        <v/>
      </c>
      <c r="AD119" s="18" t="str">
        <f t="shared" si="243"/>
        <v/>
      </c>
      <c r="AE119" s="43"/>
      <c r="AF119" s="58" t="s">
        <v>40</v>
      </c>
      <c r="AG119" s="55" t="str">
        <f t="shared" si="11"/>
        <v/>
      </c>
    </row>
    <row r="120">
      <c r="A120" s="7" t="str">
        <f>IFERROR(__xludf.DUMMYFUNCTION("""COMPUTED_VALUE"""),"AJ9427")</f>
        <v>AJ9427</v>
      </c>
      <c r="B120" s="308">
        <f>IFERROR(__xludf.DUMMYFUNCTION("""COMPUTED_VALUE"""),44824.0)</f>
        <v>44824</v>
      </c>
      <c r="C120" s="309">
        <f>IFERROR(__xludf.DUMMYFUNCTION("""COMPUTED_VALUE"""),0.2664814814814815)</f>
        <v>0.2664814815</v>
      </c>
      <c r="D120" s="7" t="str">
        <f>IFERROR(__xludf.DUMMYFUNCTION("""COMPUTED_VALUE"""),"SpABRM655136")</f>
        <v>SpABRM655136</v>
      </c>
      <c r="E120" s="310"/>
      <c r="F120" s="310"/>
      <c r="G120" s="310" t="str">
        <f>IFERROR(__xludf.DUMMYFUNCTION("""COMPUTED_VALUE"""),"Negative")</f>
        <v>Negative</v>
      </c>
      <c r="H120" s="319" t="str">
        <f>IFERROR(__xludf.DUMMYFUNCTION("""COMPUTED_VALUE"""),"Negative")</f>
        <v>Negative</v>
      </c>
      <c r="I120" s="308">
        <f>IFERROR(__xludf.DUMMYFUNCTION("""COMPUTED_VALUE"""),44825.0)</f>
        <v>44825</v>
      </c>
      <c r="J120" s="311">
        <f>IFERROR(__xludf.DUMMYFUNCTION("""COMPUTED_VALUE"""),0.3925925925925926)</f>
        <v>0.3925925926</v>
      </c>
      <c r="K120" s="54"/>
      <c r="L120" s="7"/>
      <c r="M120" s="312"/>
      <c r="N120" s="172">
        <f>IFERROR(__xludf.DUMMYFUNCTION("""COMPUTED_VALUE"""),2.0)</f>
        <v>2</v>
      </c>
      <c r="O120" s="172" t="str">
        <f t="shared" si="3"/>
        <v/>
      </c>
      <c r="P120" s="313">
        <f>IFERROR(__xludf.DUMMYFUNCTION("""COMPUTED_VALUE"""),1.0)</f>
        <v>1</v>
      </c>
      <c r="Q120" s="76" t="b">
        <f>VLOOKUP($B120,'Run Reconcile'!B$2:O1399,14,FALSE)</f>
        <v>1</v>
      </c>
      <c r="R120" s="314" t="str">
        <f t="array" ref="R120">IF($Q120, INDEX('Run Reconcile'!A$2:A1399,MATCH(B120,'Run Reconcile'!B$2:B1399,0),1),IFERROR(0/0,""))</f>
        <v>RUN-ABRM_2022-09-20_RFR-018</v>
      </c>
      <c r="S120" s="315" t="str">
        <f t="shared" ref="S120:T120" si="244">IF(COUNTIF(W$2:W1399, $A120) &gt; 0,TRUE,IFERROR(0/0,""))</f>
        <v/>
      </c>
      <c r="T120" s="315" t="str">
        <f t="shared" si="244"/>
        <v/>
      </c>
      <c r="U120" s="114" t="str">
        <f t="array" ref="U120">IF(ISBLANK($R120), INDEX('Run Reconcile'!A$2:A1399, MATCH($B120, 'Run Reconcile'!B$2:B1399, 0)+Z120, 1), IFERROR(0/0,""))
</f>
        <v/>
      </c>
      <c r="V120" s="316" t="str">
        <f t="shared" si="5"/>
        <v>RUN-ABRM_2022-09-20_RFR-018</v>
      </c>
      <c r="Y120" s="317" t="str">
        <f t="shared" si="6"/>
        <v/>
      </c>
      <c r="Z120" s="83" t="str">
        <f t="shared" si="7"/>
        <v/>
      </c>
      <c r="AA120" s="83" t="str">
        <f t="shared" si="8"/>
        <v/>
      </c>
      <c r="AB120" s="83" t="str">
        <f t="shared" si="9"/>
        <v/>
      </c>
      <c r="AC120" s="18" t="str">
        <f t="shared" ref="AC120:AD120" si="245">IF(_xlfn.ISFORMULA(S120),IFERROR(0/0,""),TRUE)</f>
        <v/>
      </c>
      <c r="AD120" s="18" t="str">
        <f t="shared" si="245"/>
        <v/>
      </c>
      <c r="AE120" s="43"/>
      <c r="AF120" s="58" t="s">
        <v>40</v>
      </c>
      <c r="AG120" s="55" t="str">
        <f t="shared" si="11"/>
        <v/>
      </c>
    </row>
    <row r="121">
      <c r="A121" s="7" t="str">
        <f>IFERROR(__xludf.DUMMYFUNCTION("""COMPUTED_VALUE"""),"AH9128")</f>
        <v>AH9128</v>
      </c>
      <c r="B121" s="308">
        <f>IFERROR(__xludf.DUMMYFUNCTION("""COMPUTED_VALUE"""),44824.0)</f>
        <v>44824</v>
      </c>
      <c r="C121" s="309">
        <f>IFERROR(__xludf.DUMMYFUNCTION("""COMPUTED_VALUE"""),0.2839236111111111)</f>
        <v>0.2839236111</v>
      </c>
      <c r="D121" s="7" t="str">
        <f>IFERROR(__xludf.DUMMYFUNCTION("""COMPUTED_VALUE"""),"SpABRM367540")</f>
        <v>SpABRM367540</v>
      </c>
      <c r="E121" s="310"/>
      <c r="F121" s="310"/>
      <c r="G121" s="310" t="str">
        <f>IFERROR(__xludf.DUMMYFUNCTION("""COMPUTED_VALUE"""),"Negative")</f>
        <v>Negative</v>
      </c>
      <c r="H121" s="319" t="str">
        <f>IFERROR(__xludf.DUMMYFUNCTION("""COMPUTED_VALUE"""),"Negative")</f>
        <v>Negative</v>
      </c>
      <c r="I121" s="308">
        <f>IFERROR(__xludf.DUMMYFUNCTION("""COMPUTED_VALUE"""),44825.0)</f>
        <v>44825</v>
      </c>
      <c r="J121" s="311">
        <f>IFERROR(__xludf.DUMMYFUNCTION("""COMPUTED_VALUE"""),0.3925925925925926)</f>
        <v>0.3925925926</v>
      </c>
      <c r="K121" s="54"/>
      <c r="L121" s="7"/>
      <c r="M121" s="312"/>
      <c r="N121" s="172">
        <f>IFERROR(__xludf.DUMMYFUNCTION("""COMPUTED_VALUE"""),3.0)</f>
        <v>3</v>
      </c>
      <c r="O121" s="172" t="str">
        <f t="shared" si="3"/>
        <v/>
      </c>
      <c r="P121" s="313">
        <f>IFERROR(__xludf.DUMMYFUNCTION("""COMPUTED_VALUE"""),1.0)</f>
        <v>1</v>
      </c>
      <c r="Q121" s="76" t="b">
        <f>VLOOKUP($B121,'Run Reconcile'!B$2:O1399,14,FALSE)</f>
        <v>1</v>
      </c>
      <c r="R121" s="314" t="str">
        <f t="array" ref="R121">IF($Q121, INDEX('Run Reconcile'!A$2:A1399,MATCH(B121,'Run Reconcile'!B$2:B1399,0),1),IFERROR(0/0,""))</f>
        <v>RUN-ABRM_2022-09-20_RFR-018</v>
      </c>
      <c r="S121" s="315" t="str">
        <f t="shared" ref="S121:T121" si="246">IF(COUNTIF(W$2:W1399, $A121) &gt; 0,TRUE,IFERROR(0/0,""))</f>
        <v/>
      </c>
      <c r="T121" s="315" t="str">
        <f t="shared" si="246"/>
        <v/>
      </c>
      <c r="U121" s="114" t="str">
        <f t="array" ref="U121">IF(ISBLANK($R121), INDEX('Run Reconcile'!A$2:A1399, MATCH($B121, 'Run Reconcile'!B$2:B1399, 0)+Z121, 1), IFERROR(0/0,""))
</f>
        <v/>
      </c>
      <c r="V121" s="316" t="str">
        <f t="shared" si="5"/>
        <v>RUN-ABRM_2022-09-20_RFR-018</v>
      </c>
      <c r="Y121" s="317" t="str">
        <f t="shared" si="6"/>
        <v/>
      </c>
      <c r="Z121" s="83" t="str">
        <f t="shared" si="7"/>
        <v/>
      </c>
      <c r="AA121" s="83" t="str">
        <f t="shared" si="8"/>
        <v/>
      </c>
      <c r="AB121" s="83" t="str">
        <f t="shared" si="9"/>
        <v/>
      </c>
      <c r="AC121" s="18" t="str">
        <f t="shared" ref="AC121:AD121" si="247">IF(_xlfn.ISFORMULA(S121),IFERROR(0/0,""),TRUE)</f>
        <v/>
      </c>
      <c r="AD121" s="18" t="str">
        <f t="shared" si="247"/>
        <v/>
      </c>
      <c r="AE121" s="43"/>
      <c r="AF121" s="58" t="s">
        <v>40</v>
      </c>
      <c r="AG121" s="55" t="str">
        <f t="shared" si="11"/>
        <v/>
      </c>
    </row>
    <row r="122">
      <c r="A122" s="7" t="str">
        <f>IFERROR(__xludf.DUMMYFUNCTION("""COMPUTED_VALUE"""),"AH9490")</f>
        <v>AH9490</v>
      </c>
      <c r="B122" s="308">
        <f>IFERROR(__xludf.DUMMYFUNCTION("""COMPUTED_VALUE"""),44824.0)</f>
        <v>44824</v>
      </c>
      <c r="C122" s="309">
        <f>IFERROR(__xludf.DUMMYFUNCTION("""COMPUTED_VALUE"""),0.2980439814814815)</f>
        <v>0.2980439815</v>
      </c>
      <c r="D122" s="7" t="str">
        <f>IFERROR(__xludf.DUMMYFUNCTION("""COMPUTED_VALUE"""),"SpABRM128250")</f>
        <v>SpABRM128250</v>
      </c>
      <c r="E122" s="310"/>
      <c r="F122" s="310"/>
      <c r="G122" s="310" t="str">
        <f>IFERROR(__xludf.DUMMYFUNCTION("""COMPUTED_VALUE"""),"Negative")</f>
        <v>Negative</v>
      </c>
      <c r="H122" s="319" t="str">
        <f>IFERROR(__xludf.DUMMYFUNCTION("""COMPUTED_VALUE"""),"Negative")</f>
        <v>Negative</v>
      </c>
      <c r="I122" s="308">
        <f>IFERROR(__xludf.DUMMYFUNCTION("""COMPUTED_VALUE"""),44825.0)</f>
        <v>44825</v>
      </c>
      <c r="J122" s="311">
        <f>IFERROR(__xludf.DUMMYFUNCTION("""COMPUTED_VALUE"""),0.3925925925925926)</f>
        <v>0.3925925926</v>
      </c>
      <c r="K122" s="54"/>
      <c r="L122" s="7"/>
      <c r="M122" s="312"/>
      <c r="N122" s="172">
        <f>IFERROR(__xludf.DUMMYFUNCTION("""COMPUTED_VALUE"""),3.0)</f>
        <v>3</v>
      </c>
      <c r="O122" s="172" t="str">
        <f t="shared" si="3"/>
        <v/>
      </c>
      <c r="P122" s="313">
        <f>IFERROR(__xludf.DUMMYFUNCTION("""COMPUTED_VALUE"""),1.0)</f>
        <v>1</v>
      </c>
      <c r="Q122" s="76" t="b">
        <f>VLOOKUP($B122,'Run Reconcile'!B$2:O1399,14,FALSE)</f>
        <v>1</v>
      </c>
      <c r="R122" s="314" t="str">
        <f t="array" ref="R122">IF($Q122, INDEX('Run Reconcile'!A$2:A1399,MATCH(B122,'Run Reconcile'!B$2:B1399,0),1),IFERROR(0/0,""))</f>
        <v>RUN-ABRM_2022-09-20_RFR-018</v>
      </c>
      <c r="S122" s="315" t="str">
        <f t="shared" ref="S122:T122" si="248">IF(COUNTIF(W$2:W1399, $A122) &gt; 0,TRUE,IFERROR(0/0,""))</f>
        <v/>
      </c>
      <c r="T122" s="315" t="str">
        <f t="shared" si="248"/>
        <v/>
      </c>
      <c r="U122" s="114" t="str">
        <f t="array" ref="U122">IF(ISBLANK($R122), INDEX('Run Reconcile'!A$2:A1399, MATCH($B122, 'Run Reconcile'!B$2:B1399, 0)+Z122, 1), IFERROR(0/0,""))
</f>
        <v/>
      </c>
      <c r="V122" s="316" t="str">
        <f t="shared" si="5"/>
        <v>RUN-ABRM_2022-09-20_RFR-018</v>
      </c>
      <c r="Y122" s="317" t="str">
        <f t="shared" si="6"/>
        <v/>
      </c>
      <c r="Z122" s="83" t="str">
        <f t="shared" si="7"/>
        <v/>
      </c>
      <c r="AA122" s="83" t="str">
        <f t="shared" si="8"/>
        <v/>
      </c>
      <c r="AB122" s="83" t="str">
        <f t="shared" si="9"/>
        <v/>
      </c>
      <c r="AC122" s="18" t="str">
        <f t="shared" ref="AC122:AD122" si="249">IF(_xlfn.ISFORMULA(S122),IFERROR(0/0,""),TRUE)</f>
        <v/>
      </c>
      <c r="AD122" s="18" t="str">
        <f t="shared" si="249"/>
        <v/>
      </c>
      <c r="AE122" s="43"/>
      <c r="AF122" s="58" t="s">
        <v>40</v>
      </c>
      <c r="AG122" s="55" t="str">
        <f t="shared" si="11"/>
        <v/>
      </c>
    </row>
    <row r="123">
      <c r="A123" s="7" t="str">
        <f>IFERROR(__xludf.DUMMYFUNCTION("""COMPUTED_VALUE"""),"AG397")</f>
        <v>AG397</v>
      </c>
      <c r="B123" s="308">
        <f>IFERROR(__xludf.DUMMYFUNCTION("""COMPUTED_VALUE"""),44824.0)</f>
        <v>44824</v>
      </c>
      <c r="C123" s="309">
        <f>IFERROR(__xludf.DUMMYFUNCTION("""COMPUTED_VALUE"""),0.2992708333333333)</f>
        <v>0.2992708333</v>
      </c>
      <c r="D123" s="7" t="str">
        <f>IFERROR(__xludf.DUMMYFUNCTION("""COMPUTED_VALUE"""),"SpABRM814022")</f>
        <v>SpABRM814022</v>
      </c>
      <c r="E123" s="310"/>
      <c r="F123" s="310"/>
      <c r="G123" s="310" t="str">
        <f>IFERROR(__xludf.DUMMYFUNCTION("""COMPUTED_VALUE"""),"Negative")</f>
        <v>Negative</v>
      </c>
      <c r="H123" s="319" t="str">
        <f>IFERROR(__xludf.DUMMYFUNCTION("""COMPUTED_VALUE"""),"Negative")</f>
        <v>Negative</v>
      </c>
      <c r="I123" s="308">
        <f>IFERROR(__xludf.DUMMYFUNCTION("""COMPUTED_VALUE"""),44825.0)</f>
        <v>44825</v>
      </c>
      <c r="J123" s="311">
        <f>IFERROR(__xludf.DUMMYFUNCTION("""COMPUTED_VALUE"""),0.39260416666666664)</f>
        <v>0.3926041667</v>
      </c>
      <c r="K123" s="54"/>
      <c r="L123" s="7"/>
      <c r="M123" s="312"/>
      <c r="N123" s="172">
        <f>IFERROR(__xludf.DUMMYFUNCTION("""COMPUTED_VALUE"""),2.0)</f>
        <v>2</v>
      </c>
      <c r="O123" s="172" t="str">
        <f t="shared" si="3"/>
        <v/>
      </c>
      <c r="P123" s="313">
        <f>IFERROR(__xludf.DUMMYFUNCTION("""COMPUTED_VALUE"""),1.0)</f>
        <v>1</v>
      </c>
      <c r="Q123" s="76" t="b">
        <f>VLOOKUP($B123,'Run Reconcile'!B$2:O1399,14,FALSE)</f>
        <v>1</v>
      </c>
      <c r="R123" s="314" t="str">
        <f t="array" ref="R123">IF($Q123, INDEX('Run Reconcile'!A$2:A1399,MATCH(B123,'Run Reconcile'!B$2:B1399,0),1),IFERROR(0/0,""))</f>
        <v>RUN-ABRM_2022-09-20_RFR-018</v>
      </c>
      <c r="S123" s="315" t="str">
        <f t="shared" ref="S123:T123" si="250">IF(COUNTIF(W$2:W1399, $A123) &gt; 0,TRUE,IFERROR(0/0,""))</f>
        <v/>
      </c>
      <c r="T123" s="315" t="str">
        <f t="shared" si="250"/>
        <v/>
      </c>
      <c r="U123" s="114" t="str">
        <f t="array" ref="U123">IF(ISBLANK($R123), INDEX('Run Reconcile'!A$2:A1399, MATCH($B123, 'Run Reconcile'!B$2:B1399, 0)+Z123, 1), IFERROR(0/0,""))
</f>
        <v/>
      </c>
      <c r="V123" s="316" t="str">
        <f t="shared" si="5"/>
        <v>RUN-ABRM_2022-09-20_RFR-018</v>
      </c>
      <c r="Y123" s="317" t="str">
        <f t="shared" si="6"/>
        <v/>
      </c>
      <c r="Z123" s="83" t="str">
        <f t="shared" si="7"/>
        <v/>
      </c>
      <c r="AA123" s="83" t="str">
        <f t="shared" si="8"/>
        <v/>
      </c>
      <c r="AB123" s="83" t="str">
        <f t="shared" si="9"/>
        <v/>
      </c>
      <c r="AC123" s="18" t="str">
        <f t="shared" ref="AC123:AD123" si="251">IF(_xlfn.ISFORMULA(S123),IFERROR(0/0,""),TRUE)</f>
        <v/>
      </c>
      <c r="AD123" s="18" t="str">
        <f t="shared" si="251"/>
        <v/>
      </c>
      <c r="AE123" s="43"/>
      <c r="AF123" s="58" t="s">
        <v>40</v>
      </c>
      <c r="AG123" s="55" t="str">
        <f t="shared" si="11"/>
        <v/>
      </c>
    </row>
    <row r="124">
      <c r="A124" s="7" t="str">
        <f>IFERROR(__xludf.DUMMYFUNCTION("""COMPUTED_VALUE"""),"AH7780")</f>
        <v>AH7780</v>
      </c>
      <c r="B124" s="308">
        <f>IFERROR(__xludf.DUMMYFUNCTION("""COMPUTED_VALUE"""),44824.0)</f>
        <v>44824</v>
      </c>
      <c r="C124" s="309">
        <f>IFERROR(__xludf.DUMMYFUNCTION("""COMPUTED_VALUE"""),0.3049537037037037)</f>
        <v>0.3049537037</v>
      </c>
      <c r="D124" s="7" t="str">
        <f>IFERROR(__xludf.DUMMYFUNCTION("""COMPUTED_VALUE"""),"SpABRM297307")</f>
        <v>SpABRM297307</v>
      </c>
      <c r="E124" s="310"/>
      <c r="F124" s="310"/>
      <c r="G124" s="310" t="str">
        <f>IFERROR(__xludf.DUMMYFUNCTION("""COMPUTED_VALUE"""),"Negative")</f>
        <v>Negative</v>
      </c>
      <c r="H124" s="319" t="str">
        <f>IFERROR(__xludf.DUMMYFUNCTION("""COMPUTED_VALUE"""),"Negative")</f>
        <v>Negative</v>
      </c>
      <c r="I124" s="308">
        <f>IFERROR(__xludf.DUMMYFUNCTION("""COMPUTED_VALUE"""),44825.0)</f>
        <v>44825</v>
      </c>
      <c r="J124" s="311">
        <f>IFERROR(__xludf.DUMMYFUNCTION("""COMPUTED_VALUE"""),0.39260416666666664)</f>
        <v>0.3926041667</v>
      </c>
      <c r="K124" s="54"/>
      <c r="L124" s="7"/>
      <c r="M124" s="312"/>
      <c r="N124" s="172">
        <f>IFERROR(__xludf.DUMMYFUNCTION("""COMPUTED_VALUE"""),3.0)</f>
        <v>3</v>
      </c>
      <c r="O124" s="172" t="str">
        <f t="shared" si="3"/>
        <v/>
      </c>
      <c r="P124" s="313">
        <f>IFERROR(__xludf.DUMMYFUNCTION("""COMPUTED_VALUE"""),1.0)</f>
        <v>1</v>
      </c>
      <c r="Q124" s="76" t="b">
        <f>VLOOKUP($B124,'Run Reconcile'!B$2:O1399,14,FALSE)</f>
        <v>1</v>
      </c>
      <c r="R124" s="314" t="str">
        <f t="array" ref="R124">IF($Q124, INDEX('Run Reconcile'!A$2:A1399,MATCH(B124,'Run Reconcile'!B$2:B1399,0),1),IFERROR(0/0,""))</f>
        <v>RUN-ABRM_2022-09-20_RFR-018</v>
      </c>
      <c r="S124" s="315" t="str">
        <f t="shared" ref="S124:T124" si="252">IF(COUNTIF(W$2:W1399, $A124) &gt; 0,TRUE,IFERROR(0/0,""))</f>
        <v/>
      </c>
      <c r="T124" s="315" t="str">
        <f t="shared" si="252"/>
        <v/>
      </c>
      <c r="U124" s="114" t="str">
        <f t="array" ref="U124">IF(ISBLANK($R124), INDEX('Run Reconcile'!A$2:A1399, MATCH($B124, 'Run Reconcile'!B$2:B1399, 0)+Z124, 1), IFERROR(0/0,""))
</f>
        <v/>
      </c>
      <c r="V124" s="316" t="str">
        <f t="shared" si="5"/>
        <v>RUN-ABRM_2022-09-20_RFR-018</v>
      </c>
      <c r="Y124" s="317" t="str">
        <f t="shared" si="6"/>
        <v/>
      </c>
      <c r="Z124" s="83" t="str">
        <f t="shared" si="7"/>
        <v/>
      </c>
      <c r="AA124" s="83" t="str">
        <f t="shared" si="8"/>
        <v/>
      </c>
      <c r="AB124" s="83" t="str">
        <f t="shared" si="9"/>
        <v/>
      </c>
      <c r="AC124" s="18" t="str">
        <f t="shared" ref="AC124:AD124" si="253">IF(_xlfn.ISFORMULA(S124),IFERROR(0/0,""),TRUE)</f>
        <v/>
      </c>
      <c r="AD124" s="18" t="str">
        <f t="shared" si="253"/>
        <v/>
      </c>
      <c r="AE124" s="43"/>
      <c r="AF124" s="58" t="s">
        <v>40</v>
      </c>
      <c r="AG124" s="55" t="str">
        <f t="shared" si="11"/>
        <v/>
      </c>
    </row>
    <row r="125">
      <c r="A125" s="7" t="str">
        <f>IFERROR(__xludf.DUMMYFUNCTION("""COMPUTED_VALUE"""),"AH6851")</f>
        <v>AH6851</v>
      </c>
      <c r="B125" s="308">
        <f>IFERROR(__xludf.DUMMYFUNCTION("""COMPUTED_VALUE"""),44824.0)</f>
        <v>44824</v>
      </c>
      <c r="C125" s="309">
        <f>IFERROR(__xludf.DUMMYFUNCTION("""COMPUTED_VALUE"""),0.31298611111111113)</f>
        <v>0.3129861111</v>
      </c>
      <c r="D125" s="7" t="str">
        <f>IFERROR(__xludf.DUMMYFUNCTION("""COMPUTED_VALUE"""),"SpABRM460827")</f>
        <v>SpABRM460827</v>
      </c>
      <c r="E125" s="310"/>
      <c r="F125" s="310"/>
      <c r="G125" s="310" t="str">
        <f>IFERROR(__xludf.DUMMYFUNCTION("""COMPUTED_VALUE"""),"Negative")</f>
        <v>Negative</v>
      </c>
      <c r="H125" s="319" t="str">
        <f>IFERROR(__xludf.DUMMYFUNCTION("""COMPUTED_VALUE"""),"Negative")</f>
        <v>Negative</v>
      </c>
      <c r="I125" s="308">
        <f>IFERROR(__xludf.DUMMYFUNCTION("""COMPUTED_VALUE"""),44825.0)</f>
        <v>44825</v>
      </c>
      <c r="J125" s="311">
        <f>IFERROR(__xludf.DUMMYFUNCTION("""COMPUTED_VALUE"""),0.39261574074074074)</f>
        <v>0.3926157407</v>
      </c>
      <c r="K125" s="54"/>
      <c r="L125" s="7"/>
      <c r="M125" s="312"/>
      <c r="N125" s="172">
        <f>IFERROR(__xludf.DUMMYFUNCTION("""COMPUTED_VALUE"""),1.0)</f>
        <v>1</v>
      </c>
      <c r="O125" s="172" t="str">
        <f t="shared" si="3"/>
        <v/>
      </c>
      <c r="P125" s="313">
        <f>IFERROR(__xludf.DUMMYFUNCTION("""COMPUTED_VALUE"""),1.0)</f>
        <v>1</v>
      </c>
      <c r="Q125" s="76" t="b">
        <f>VLOOKUP($B125,'Run Reconcile'!B$2:O1399,14,FALSE)</f>
        <v>1</v>
      </c>
      <c r="R125" s="314" t="str">
        <f t="array" ref="R125">IF($Q125, INDEX('Run Reconcile'!A$2:A1399,MATCH(B125,'Run Reconcile'!B$2:B1399,0),1),IFERROR(0/0,""))</f>
        <v>RUN-ABRM_2022-09-20_RFR-018</v>
      </c>
      <c r="S125" s="315" t="str">
        <f t="shared" ref="S125:T125" si="254">IF(COUNTIF(W$2:W1399, $A125) &gt; 0,TRUE,IFERROR(0/0,""))</f>
        <v/>
      </c>
      <c r="T125" s="315" t="str">
        <f t="shared" si="254"/>
        <v/>
      </c>
      <c r="U125" s="114" t="str">
        <f t="array" ref="U125">IF(ISBLANK($R125), INDEX('Run Reconcile'!A$2:A1399, MATCH($B125, 'Run Reconcile'!B$2:B1399, 0)+Z125, 1), IFERROR(0/0,""))
</f>
        <v/>
      </c>
      <c r="V125" s="316" t="str">
        <f t="shared" si="5"/>
        <v>RUN-ABRM_2022-09-20_RFR-018</v>
      </c>
      <c r="Y125" s="317" t="str">
        <f t="shared" si="6"/>
        <v/>
      </c>
      <c r="Z125" s="83" t="str">
        <f t="shared" si="7"/>
        <v/>
      </c>
      <c r="AA125" s="83" t="str">
        <f t="shared" si="8"/>
        <v/>
      </c>
      <c r="AB125" s="83" t="str">
        <f t="shared" si="9"/>
        <v/>
      </c>
      <c r="AC125" s="18" t="str">
        <f t="shared" ref="AC125:AD125" si="255">IF(_xlfn.ISFORMULA(S125),IFERROR(0/0,""),TRUE)</f>
        <v/>
      </c>
      <c r="AD125" s="18" t="str">
        <f t="shared" si="255"/>
        <v/>
      </c>
      <c r="AE125" s="43"/>
      <c r="AF125" s="58" t="s">
        <v>40</v>
      </c>
      <c r="AG125" s="55" t="str">
        <f t="shared" si="11"/>
        <v/>
      </c>
    </row>
    <row r="126">
      <c r="A126" s="7" t="str">
        <f>IFERROR(__xludf.DUMMYFUNCTION("""COMPUTED_VALUE"""),"AH8599")</f>
        <v>AH8599</v>
      </c>
      <c r="B126" s="308">
        <f>IFERROR(__xludf.DUMMYFUNCTION("""COMPUTED_VALUE"""),44824.0)</f>
        <v>44824</v>
      </c>
      <c r="C126" s="309">
        <f>IFERROR(__xludf.DUMMYFUNCTION("""COMPUTED_VALUE"""),0.3292824074074074)</f>
        <v>0.3292824074</v>
      </c>
      <c r="D126" s="7" t="str">
        <f>IFERROR(__xludf.DUMMYFUNCTION("""COMPUTED_VALUE"""),"SpABRM188986")</f>
        <v>SpABRM188986</v>
      </c>
      <c r="E126" s="310"/>
      <c r="F126" s="310"/>
      <c r="G126" s="310" t="str">
        <f>IFERROR(__xludf.DUMMYFUNCTION("""COMPUTED_VALUE"""),"Negative")</f>
        <v>Negative</v>
      </c>
      <c r="H126" s="319" t="str">
        <f>IFERROR(__xludf.DUMMYFUNCTION("""COMPUTED_VALUE"""),"Negative")</f>
        <v>Negative</v>
      </c>
      <c r="I126" s="308">
        <f>IFERROR(__xludf.DUMMYFUNCTION("""COMPUTED_VALUE"""),44825.0)</f>
        <v>44825</v>
      </c>
      <c r="J126" s="311">
        <f>IFERROR(__xludf.DUMMYFUNCTION("""COMPUTED_VALUE"""),0.39261574074074074)</f>
        <v>0.3926157407</v>
      </c>
      <c r="K126" s="54"/>
      <c r="L126" s="7"/>
      <c r="M126" s="312"/>
      <c r="N126" s="172">
        <f>IFERROR(__xludf.DUMMYFUNCTION("""COMPUTED_VALUE"""),1.0)</f>
        <v>1</v>
      </c>
      <c r="O126" s="172" t="str">
        <f t="shared" si="3"/>
        <v/>
      </c>
      <c r="P126" s="313">
        <f>IFERROR(__xludf.DUMMYFUNCTION("""COMPUTED_VALUE"""),1.0)</f>
        <v>1</v>
      </c>
      <c r="Q126" s="76" t="b">
        <f>VLOOKUP($B126,'Run Reconcile'!B$2:O1399,14,FALSE)</f>
        <v>1</v>
      </c>
      <c r="R126" s="314" t="str">
        <f t="array" ref="R126">IF($Q126, INDEX('Run Reconcile'!A$2:A1399,MATCH(B126,'Run Reconcile'!B$2:B1399,0),1),IFERROR(0/0,""))</f>
        <v>RUN-ABRM_2022-09-20_RFR-018</v>
      </c>
      <c r="S126" s="315" t="str">
        <f t="shared" ref="S126:T126" si="256">IF(COUNTIF(W$2:W1399, $A126) &gt; 0,TRUE,IFERROR(0/0,""))</f>
        <v/>
      </c>
      <c r="T126" s="315" t="str">
        <f t="shared" si="256"/>
        <v/>
      </c>
      <c r="U126" s="114" t="str">
        <f t="array" ref="U126">IF(ISBLANK($R126), INDEX('Run Reconcile'!A$2:A1399, MATCH($B126, 'Run Reconcile'!B$2:B1399, 0)+Z126, 1), IFERROR(0/0,""))
</f>
        <v/>
      </c>
      <c r="V126" s="316" t="str">
        <f t="shared" si="5"/>
        <v>RUN-ABRM_2022-09-20_RFR-018</v>
      </c>
      <c r="Y126" s="317" t="str">
        <f t="shared" si="6"/>
        <v/>
      </c>
      <c r="Z126" s="83" t="str">
        <f t="shared" si="7"/>
        <v/>
      </c>
      <c r="AA126" s="83" t="str">
        <f t="shared" si="8"/>
        <v/>
      </c>
      <c r="AB126" s="83" t="str">
        <f t="shared" si="9"/>
        <v/>
      </c>
      <c r="AC126" s="18" t="str">
        <f t="shared" ref="AC126:AD126" si="257">IF(_xlfn.ISFORMULA(S126),IFERROR(0/0,""),TRUE)</f>
        <v/>
      </c>
      <c r="AD126" s="18" t="str">
        <f t="shared" si="257"/>
        <v/>
      </c>
      <c r="AE126" s="43"/>
      <c r="AF126" s="58" t="s">
        <v>40</v>
      </c>
      <c r="AG126" s="55" t="str">
        <f t="shared" si="11"/>
        <v/>
      </c>
    </row>
    <row r="127">
      <c r="A127" s="7" t="str">
        <f>IFERROR(__xludf.DUMMYFUNCTION("""COMPUTED_VALUE"""),"AH7932")</f>
        <v>AH7932</v>
      </c>
      <c r="B127" s="308">
        <f>IFERROR(__xludf.DUMMYFUNCTION("""COMPUTED_VALUE"""),44824.0)</f>
        <v>44824</v>
      </c>
      <c r="C127" s="309">
        <f>IFERROR(__xludf.DUMMYFUNCTION("""COMPUTED_VALUE"""),0.34028935185185183)</f>
        <v>0.3402893519</v>
      </c>
      <c r="D127" s="7" t="str">
        <f>IFERROR(__xludf.DUMMYFUNCTION("""COMPUTED_VALUE"""),"SpABRM188986")</f>
        <v>SpABRM188986</v>
      </c>
      <c r="E127" s="310"/>
      <c r="F127" s="310"/>
      <c r="G127" s="310" t="str">
        <f>IFERROR(__xludf.DUMMYFUNCTION("""COMPUTED_VALUE"""),"Negative")</f>
        <v>Negative</v>
      </c>
      <c r="H127" s="319" t="str">
        <f>IFERROR(__xludf.DUMMYFUNCTION("""COMPUTED_VALUE"""),"Negative")</f>
        <v>Negative</v>
      </c>
      <c r="I127" s="308">
        <f>IFERROR(__xludf.DUMMYFUNCTION("""COMPUTED_VALUE"""),44825.0)</f>
        <v>44825</v>
      </c>
      <c r="J127" s="311">
        <f>IFERROR(__xludf.DUMMYFUNCTION("""COMPUTED_VALUE"""),0.39262731481481483)</f>
        <v>0.3926273148</v>
      </c>
      <c r="K127" s="54"/>
      <c r="L127" s="7"/>
      <c r="M127" s="312"/>
      <c r="N127" s="172">
        <f>IFERROR(__xludf.DUMMYFUNCTION("""COMPUTED_VALUE"""),2.0)</f>
        <v>2</v>
      </c>
      <c r="O127" s="172" t="str">
        <f t="shared" si="3"/>
        <v/>
      </c>
      <c r="P127" s="313">
        <f>IFERROR(__xludf.DUMMYFUNCTION("""COMPUTED_VALUE"""),1.0)</f>
        <v>1</v>
      </c>
      <c r="Q127" s="76" t="b">
        <f>VLOOKUP($B127,'Run Reconcile'!B$2:O1399,14,FALSE)</f>
        <v>1</v>
      </c>
      <c r="R127" s="314" t="str">
        <f t="array" ref="R127">IF($Q127, INDEX('Run Reconcile'!A$2:A1399,MATCH(B127,'Run Reconcile'!B$2:B1399,0),1),IFERROR(0/0,""))</f>
        <v>RUN-ABRM_2022-09-20_RFR-018</v>
      </c>
      <c r="S127" s="315" t="str">
        <f t="shared" ref="S127:T127" si="258">IF(COUNTIF(W$2:W1399, $A127) &gt; 0,TRUE,IFERROR(0/0,""))</f>
        <v/>
      </c>
      <c r="T127" s="315" t="str">
        <f t="shared" si="258"/>
        <v/>
      </c>
      <c r="U127" s="114" t="str">
        <f t="array" ref="U127">IF(ISBLANK($R127), INDEX('Run Reconcile'!A$2:A1399, MATCH($B127, 'Run Reconcile'!B$2:B1399, 0)+Z127, 1), IFERROR(0/0,""))
</f>
        <v/>
      </c>
      <c r="V127" s="316" t="str">
        <f t="shared" si="5"/>
        <v>RUN-ABRM_2022-09-20_RFR-018</v>
      </c>
      <c r="Y127" s="317" t="str">
        <f t="shared" si="6"/>
        <v/>
      </c>
      <c r="Z127" s="83" t="str">
        <f t="shared" si="7"/>
        <v/>
      </c>
      <c r="AA127" s="83" t="str">
        <f t="shared" si="8"/>
        <v/>
      </c>
      <c r="AB127" s="83" t="str">
        <f t="shared" si="9"/>
        <v/>
      </c>
      <c r="AC127" s="18" t="str">
        <f t="shared" ref="AC127:AD127" si="259">IF(_xlfn.ISFORMULA(S127),IFERROR(0/0,""),TRUE)</f>
        <v/>
      </c>
      <c r="AD127" s="18" t="str">
        <f t="shared" si="259"/>
        <v/>
      </c>
      <c r="AE127" s="43"/>
      <c r="AF127" s="58" t="s">
        <v>40</v>
      </c>
      <c r="AG127" s="55" t="str">
        <f t="shared" si="11"/>
        <v/>
      </c>
    </row>
    <row r="128">
      <c r="A128" s="7" t="str">
        <f>IFERROR(__xludf.DUMMYFUNCTION("""COMPUTED_VALUE"""),"AH8960")</f>
        <v>AH8960</v>
      </c>
      <c r="B128" s="308">
        <f>IFERROR(__xludf.DUMMYFUNCTION("""COMPUTED_VALUE"""),44824.0)</f>
        <v>44824</v>
      </c>
      <c r="C128" s="309">
        <f>IFERROR(__xludf.DUMMYFUNCTION("""COMPUTED_VALUE"""),0.42137731481481483)</f>
        <v>0.4213773148</v>
      </c>
      <c r="D128" s="7" t="str">
        <f>IFERROR(__xludf.DUMMYFUNCTION("""COMPUTED_VALUE"""),"SpABRM188986")</f>
        <v>SpABRM188986</v>
      </c>
      <c r="E128" s="310"/>
      <c r="F128" s="310"/>
      <c r="G128" s="310" t="str">
        <f>IFERROR(__xludf.DUMMYFUNCTION("""COMPUTED_VALUE"""),"Negative")</f>
        <v>Negative</v>
      </c>
      <c r="H128" s="319" t="str">
        <f>IFERROR(__xludf.DUMMYFUNCTION("""COMPUTED_VALUE"""),"Negative")</f>
        <v>Negative</v>
      </c>
      <c r="I128" s="308">
        <f>IFERROR(__xludf.DUMMYFUNCTION("""COMPUTED_VALUE"""),44825.0)</f>
        <v>44825</v>
      </c>
      <c r="J128" s="311">
        <f>IFERROR(__xludf.DUMMYFUNCTION("""COMPUTED_VALUE"""),0.39262731481481483)</f>
        <v>0.3926273148</v>
      </c>
      <c r="K128" s="54"/>
      <c r="L128" s="7"/>
      <c r="M128" s="312"/>
      <c r="N128" s="172">
        <f>IFERROR(__xludf.DUMMYFUNCTION("""COMPUTED_VALUE"""),1.0)</f>
        <v>1</v>
      </c>
      <c r="O128" s="172" t="str">
        <f t="shared" si="3"/>
        <v/>
      </c>
      <c r="P128" s="313">
        <f>IFERROR(__xludf.DUMMYFUNCTION("""COMPUTED_VALUE"""),1.0)</f>
        <v>1</v>
      </c>
      <c r="Q128" s="76" t="b">
        <f>VLOOKUP($B128,'Run Reconcile'!B$2:O1399,14,FALSE)</f>
        <v>1</v>
      </c>
      <c r="R128" s="314" t="str">
        <f t="array" ref="R128">IF($Q128, INDEX('Run Reconcile'!A$2:A1399,MATCH(B128,'Run Reconcile'!B$2:B1399,0),1),IFERROR(0/0,""))</f>
        <v>RUN-ABRM_2022-09-20_RFR-018</v>
      </c>
      <c r="S128" s="315" t="str">
        <f t="shared" ref="S128:T128" si="260">IF(COUNTIF(W$2:W1399, $A128) &gt; 0,TRUE,IFERROR(0/0,""))</f>
        <v/>
      </c>
      <c r="T128" s="315" t="str">
        <f t="shared" si="260"/>
        <v/>
      </c>
      <c r="U128" s="114" t="str">
        <f t="array" ref="U128">IF(ISBLANK($R128), INDEX('Run Reconcile'!A$2:A1399, MATCH($B128, 'Run Reconcile'!B$2:B1399, 0)+Z128, 1), IFERROR(0/0,""))
</f>
        <v/>
      </c>
      <c r="V128" s="316" t="str">
        <f t="shared" si="5"/>
        <v>RUN-ABRM_2022-09-20_RFR-018</v>
      </c>
      <c r="Y128" s="317" t="str">
        <f t="shared" si="6"/>
        <v/>
      </c>
      <c r="Z128" s="83" t="str">
        <f t="shared" si="7"/>
        <v/>
      </c>
      <c r="AA128" s="83" t="str">
        <f t="shared" si="8"/>
        <v/>
      </c>
      <c r="AB128" s="83" t="str">
        <f t="shared" si="9"/>
        <v/>
      </c>
      <c r="AC128" s="18" t="str">
        <f t="shared" ref="AC128:AD128" si="261">IF(_xlfn.ISFORMULA(S128),IFERROR(0/0,""),TRUE)</f>
        <v/>
      </c>
      <c r="AD128" s="18" t="str">
        <f t="shared" si="261"/>
        <v/>
      </c>
      <c r="AE128" s="43"/>
      <c r="AF128" s="58" t="s">
        <v>40</v>
      </c>
      <c r="AG128" s="55" t="str">
        <f t="shared" si="11"/>
        <v/>
      </c>
    </row>
    <row r="129">
      <c r="A129" s="7" t="str">
        <f>IFERROR(__xludf.DUMMYFUNCTION("""COMPUTED_VALUE"""),"AG739")</f>
        <v>AG739</v>
      </c>
      <c r="B129" s="308">
        <f>IFERROR(__xludf.DUMMYFUNCTION("""COMPUTED_VALUE"""),44824.0)</f>
        <v>44824</v>
      </c>
      <c r="C129" s="309">
        <f>IFERROR(__xludf.DUMMYFUNCTION("""COMPUTED_VALUE"""),0.4219560185185185)</f>
        <v>0.4219560185</v>
      </c>
      <c r="D129" s="7" t="str">
        <f>IFERROR(__xludf.DUMMYFUNCTION("""COMPUTED_VALUE"""),"SpABRM188986")</f>
        <v>SpABRM188986</v>
      </c>
      <c r="E129" s="310"/>
      <c r="F129" s="310"/>
      <c r="G129" s="310" t="str">
        <f>IFERROR(__xludf.DUMMYFUNCTION("""COMPUTED_VALUE"""),"Negative")</f>
        <v>Negative</v>
      </c>
      <c r="H129" s="319" t="str">
        <f>IFERROR(__xludf.DUMMYFUNCTION("""COMPUTED_VALUE"""),"Negative")</f>
        <v>Negative</v>
      </c>
      <c r="I129" s="308">
        <f>IFERROR(__xludf.DUMMYFUNCTION("""COMPUTED_VALUE"""),44825.0)</f>
        <v>44825</v>
      </c>
      <c r="J129" s="311">
        <f>IFERROR(__xludf.DUMMYFUNCTION("""COMPUTED_VALUE"""),0.39262731481481483)</f>
        <v>0.3926273148</v>
      </c>
      <c r="K129" s="54"/>
      <c r="L129" s="7"/>
      <c r="M129" s="312"/>
      <c r="N129" s="172">
        <f>IFERROR(__xludf.DUMMYFUNCTION("""COMPUTED_VALUE"""),4.0)</f>
        <v>4</v>
      </c>
      <c r="O129" s="172" t="str">
        <f t="shared" si="3"/>
        <v/>
      </c>
      <c r="P129" s="313">
        <f>IFERROR(__xludf.DUMMYFUNCTION("""COMPUTED_VALUE"""),1.0)</f>
        <v>1</v>
      </c>
      <c r="Q129" s="76" t="b">
        <f>VLOOKUP($B129,'Run Reconcile'!B$2:O1399,14,FALSE)</f>
        <v>1</v>
      </c>
      <c r="R129" s="314" t="str">
        <f t="array" ref="R129">IF($Q129, INDEX('Run Reconcile'!A$2:A1399,MATCH(B129,'Run Reconcile'!B$2:B1399,0),1),IFERROR(0/0,""))</f>
        <v>RUN-ABRM_2022-09-20_RFR-018</v>
      </c>
      <c r="S129" s="315" t="str">
        <f t="shared" ref="S129:T129" si="262">IF(COUNTIF(W$2:W1399, $A129) &gt; 0,TRUE,IFERROR(0/0,""))</f>
        <v/>
      </c>
      <c r="T129" s="315" t="str">
        <f t="shared" si="262"/>
        <v/>
      </c>
      <c r="U129" s="114" t="str">
        <f t="array" ref="U129">IF(ISBLANK($R129), INDEX('Run Reconcile'!A$2:A1399, MATCH($B129, 'Run Reconcile'!B$2:B1399, 0)+Z129, 1), IFERROR(0/0,""))
</f>
        <v/>
      </c>
      <c r="V129" s="316" t="str">
        <f t="shared" si="5"/>
        <v>RUN-ABRM_2022-09-20_RFR-018</v>
      </c>
      <c r="Y129" s="317" t="str">
        <f t="shared" si="6"/>
        <v/>
      </c>
      <c r="Z129" s="83" t="str">
        <f t="shared" si="7"/>
        <v/>
      </c>
      <c r="AA129" s="83" t="str">
        <f t="shared" si="8"/>
        <v/>
      </c>
      <c r="AB129" s="83" t="str">
        <f t="shared" si="9"/>
        <v/>
      </c>
      <c r="AC129" s="18" t="str">
        <f t="shared" ref="AC129:AD129" si="263">IF(_xlfn.ISFORMULA(S129),IFERROR(0/0,""),TRUE)</f>
        <v/>
      </c>
      <c r="AD129" s="18" t="str">
        <f t="shared" si="263"/>
        <v/>
      </c>
      <c r="AE129" s="43"/>
      <c r="AF129" s="58" t="s">
        <v>40</v>
      </c>
      <c r="AG129" s="55" t="str">
        <f t="shared" si="11"/>
        <v/>
      </c>
    </row>
    <row r="130">
      <c r="A130" s="7" t="str">
        <f>IFERROR(__xludf.DUMMYFUNCTION("""COMPUTED_VALUE"""),"AH9433")</f>
        <v>AH9433</v>
      </c>
      <c r="B130" s="308">
        <f>IFERROR(__xludf.DUMMYFUNCTION("""COMPUTED_VALUE"""),44825.0)</f>
        <v>44825</v>
      </c>
      <c r="C130" s="309">
        <f>IFERROR(__xludf.DUMMYFUNCTION("""COMPUTED_VALUE"""),0.22491898148148148)</f>
        <v>0.2249189815</v>
      </c>
      <c r="D130" s="7" t="str">
        <f>IFERROR(__xludf.DUMMYFUNCTION("""COMPUTED_VALUE"""),"SpABRM454310")</f>
        <v>SpABRM454310</v>
      </c>
      <c r="E130" s="310"/>
      <c r="F130" s="310"/>
      <c r="G130" s="310" t="str">
        <f>IFERROR(__xludf.DUMMYFUNCTION("""COMPUTED_VALUE"""),"Negative")</f>
        <v>Negative</v>
      </c>
      <c r="H130" s="319" t="str">
        <f>IFERROR(__xludf.DUMMYFUNCTION("""COMPUTED_VALUE"""),"Negative")</f>
        <v>Negative</v>
      </c>
      <c r="I130" s="308">
        <f>IFERROR(__xludf.DUMMYFUNCTION("""COMPUTED_VALUE"""),44825.0)</f>
        <v>44825</v>
      </c>
      <c r="J130" s="311">
        <f>IFERROR(__xludf.DUMMYFUNCTION("""COMPUTED_VALUE"""),0.4351388888888889)</f>
        <v>0.4351388889</v>
      </c>
      <c r="K130" s="54"/>
      <c r="L130" s="7"/>
      <c r="M130" s="312"/>
      <c r="N130" s="172">
        <f>IFERROR(__xludf.DUMMYFUNCTION("""COMPUTED_VALUE"""),3.0)</f>
        <v>3</v>
      </c>
      <c r="O130" s="172" t="b">
        <f t="shared" si="3"/>
        <v>1</v>
      </c>
      <c r="P130" s="313">
        <f>IFERROR(__xludf.DUMMYFUNCTION("""COMPUTED_VALUE"""),0.0)</f>
        <v>0</v>
      </c>
      <c r="Q130" s="76" t="b">
        <f>VLOOKUP($B130,'Run Reconcile'!B$2:O1399,14,FALSE)</f>
        <v>1</v>
      </c>
      <c r="R130" s="314" t="str">
        <f t="array" ref="R130">IF($Q130, INDEX('Run Reconcile'!A$2:A1399,MATCH(B130,'Run Reconcile'!B$2:B1399,0),1),IFERROR(0/0,""))</f>
        <v>RUN-ABRM_2022-09-21_RFR-019</v>
      </c>
      <c r="S130" s="315" t="str">
        <f t="shared" ref="S130:T130" si="264">IF(COUNTIF(W$2:W1399, $A130) &gt; 0,TRUE,IFERROR(0/0,""))</f>
        <v/>
      </c>
      <c r="T130" s="315" t="str">
        <f t="shared" si="264"/>
        <v/>
      </c>
      <c r="U130" s="114" t="str">
        <f t="array" ref="U130">IF(ISBLANK($R130), INDEX('Run Reconcile'!A$2:A1399, MATCH($B130, 'Run Reconcile'!B$2:B1399, 0)+Z130, 1), IFERROR(0/0,""))
</f>
        <v/>
      </c>
      <c r="V130" s="316" t="str">
        <f t="shared" si="5"/>
        <v>RUN-ABRM_2022-09-21_RFR-019</v>
      </c>
      <c r="Y130" s="317" t="str">
        <f t="shared" si="6"/>
        <v/>
      </c>
      <c r="Z130" s="83" t="str">
        <f t="shared" si="7"/>
        <v/>
      </c>
      <c r="AA130" s="83" t="str">
        <f t="shared" si="8"/>
        <v/>
      </c>
      <c r="AB130" s="83" t="str">
        <f t="shared" si="9"/>
        <v/>
      </c>
      <c r="AC130" s="18" t="str">
        <f t="shared" ref="AC130:AD130" si="265">IF(_xlfn.ISFORMULA(S130),IFERROR(0/0,""),TRUE)</f>
        <v/>
      </c>
      <c r="AD130" s="18" t="str">
        <f t="shared" si="265"/>
        <v/>
      </c>
      <c r="AE130" s="43"/>
      <c r="AF130" s="58" t="s">
        <v>41</v>
      </c>
      <c r="AG130" s="55" t="str">
        <f t="shared" si="11"/>
        <v/>
      </c>
    </row>
    <row r="131">
      <c r="A131" s="7" t="str">
        <f>IFERROR(__xludf.DUMMYFUNCTION("""COMPUTED_VALUE"""),"AG1420")</f>
        <v>AG1420</v>
      </c>
      <c r="B131" s="308">
        <f>IFERROR(__xludf.DUMMYFUNCTION("""COMPUTED_VALUE"""),44825.0)</f>
        <v>44825</v>
      </c>
      <c r="C131" s="309">
        <f>IFERROR(__xludf.DUMMYFUNCTION("""COMPUTED_VALUE"""),0.24837962962962962)</f>
        <v>0.2483796296</v>
      </c>
      <c r="D131" s="7" t="str">
        <f>IFERROR(__xludf.DUMMYFUNCTION("""COMPUTED_VALUE"""),"SpABRM655136")</f>
        <v>SpABRM655136</v>
      </c>
      <c r="E131" s="310"/>
      <c r="F131" s="310"/>
      <c r="G131" s="310" t="str">
        <f>IFERROR(__xludf.DUMMYFUNCTION("""COMPUTED_VALUE"""),"Negative")</f>
        <v>Negative</v>
      </c>
      <c r="H131" s="319" t="str">
        <f>IFERROR(__xludf.DUMMYFUNCTION("""COMPUTED_VALUE"""),"Negative")</f>
        <v>Negative</v>
      </c>
      <c r="I131" s="308">
        <f>IFERROR(__xludf.DUMMYFUNCTION("""COMPUTED_VALUE"""),44825.0)</f>
        <v>44825</v>
      </c>
      <c r="J131" s="311">
        <f>IFERROR(__xludf.DUMMYFUNCTION("""COMPUTED_VALUE"""),0.4351388888888889)</f>
        <v>0.4351388889</v>
      </c>
      <c r="K131" s="54"/>
      <c r="L131" s="7"/>
      <c r="M131" s="312"/>
      <c r="N131" s="172">
        <f>IFERROR(__xludf.DUMMYFUNCTION("""COMPUTED_VALUE"""),2.0)</f>
        <v>2</v>
      </c>
      <c r="O131" s="172" t="str">
        <f t="shared" si="3"/>
        <v/>
      </c>
      <c r="P131" s="313">
        <f>IFERROR(__xludf.DUMMYFUNCTION("""COMPUTED_VALUE"""),0.0)</f>
        <v>0</v>
      </c>
      <c r="Q131" s="76" t="b">
        <f>VLOOKUP($B131,'Run Reconcile'!B$2:O1399,14,FALSE)</f>
        <v>1</v>
      </c>
      <c r="R131" s="314" t="str">
        <f t="array" ref="R131">IF($Q131, INDEX('Run Reconcile'!A$2:A1399,MATCH(B131,'Run Reconcile'!B$2:B1399,0),1),IFERROR(0/0,""))</f>
        <v>RUN-ABRM_2022-09-21_RFR-019</v>
      </c>
      <c r="S131" s="315" t="str">
        <f t="shared" ref="S131:T131" si="266">IF(COUNTIF(W$2:W1399, $A131) &gt; 0,TRUE,IFERROR(0/0,""))</f>
        <v/>
      </c>
      <c r="T131" s="315" t="str">
        <f t="shared" si="266"/>
        <v/>
      </c>
      <c r="U131" s="114" t="str">
        <f t="array" ref="U131">IF(ISBLANK($R131), INDEX('Run Reconcile'!A$2:A1399, MATCH($B131, 'Run Reconcile'!B$2:B1399, 0)+Z131, 1), IFERROR(0/0,""))
</f>
        <v/>
      </c>
      <c r="V131" s="316" t="str">
        <f t="shared" si="5"/>
        <v>RUN-ABRM_2022-09-21_RFR-019</v>
      </c>
      <c r="Y131" s="317" t="str">
        <f t="shared" si="6"/>
        <v/>
      </c>
      <c r="Z131" s="83" t="str">
        <f t="shared" si="7"/>
        <v/>
      </c>
      <c r="AA131" s="83" t="str">
        <f t="shared" si="8"/>
        <v/>
      </c>
      <c r="AB131" s="83" t="str">
        <f t="shared" si="9"/>
        <v/>
      </c>
      <c r="AC131" s="18" t="str">
        <f t="shared" ref="AC131:AD131" si="267">IF(_xlfn.ISFORMULA(S131),IFERROR(0/0,""),TRUE)</f>
        <v/>
      </c>
      <c r="AD131" s="18" t="str">
        <f t="shared" si="267"/>
        <v/>
      </c>
      <c r="AE131" s="43"/>
      <c r="AF131" s="58" t="s">
        <v>41</v>
      </c>
      <c r="AG131" s="55" t="str">
        <f t="shared" si="11"/>
        <v/>
      </c>
    </row>
    <row r="132">
      <c r="A132" s="7" t="str">
        <f>IFERROR(__xludf.DUMMYFUNCTION("""COMPUTED_VALUE"""),"AG1971")</f>
        <v>AG1971</v>
      </c>
      <c r="B132" s="308">
        <f>IFERROR(__xludf.DUMMYFUNCTION("""COMPUTED_VALUE"""),44825.0)</f>
        <v>44825</v>
      </c>
      <c r="C132" s="309">
        <f>IFERROR(__xludf.DUMMYFUNCTION("""COMPUTED_VALUE"""),0.26166666666666666)</f>
        <v>0.2616666667</v>
      </c>
      <c r="D132" s="7" t="str">
        <f>IFERROR(__xludf.DUMMYFUNCTION("""COMPUTED_VALUE"""),"SpABRM128250")</f>
        <v>SpABRM128250</v>
      </c>
      <c r="E132" s="310"/>
      <c r="F132" s="310"/>
      <c r="G132" s="310" t="str">
        <f>IFERROR(__xludf.DUMMYFUNCTION("""COMPUTED_VALUE"""),"Negative")</f>
        <v>Negative</v>
      </c>
      <c r="H132" s="319" t="str">
        <f>IFERROR(__xludf.DUMMYFUNCTION("""COMPUTED_VALUE"""),"Negative")</f>
        <v>Negative</v>
      </c>
      <c r="I132" s="308">
        <f>IFERROR(__xludf.DUMMYFUNCTION("""COMPUTED_VALUE"""),44825.0)</f>
        <v>44825</v>
      </c>
      <c r="J132" s="311">
        <f>IFERROR(__xludf.DUMMYFUNCTION("""COMPUTED_VALUE"""),0.4351388888888889)</f>
        <v>0.4351388889</v>
      </c>
      <c r="K132" s="54"/>
      <c r="L132" s="7"/>
      <c r="M132" s="312"/>
      <c r="N132" s="172">
        <f>IFERROR(__xludf.DUMMYFUNCTION("""COMPUTED_VALUE"""),3.0)</f>
        <v>3</v>
      </c>
      <c r="O132" s="172" t="str">
        <f t="shared" si="3"/>
        <v/>
      </c>
      <c r="P132" s="313">
        <f>IFERROR(__xludf.DUMMYFUNCTION("""COMPUTED_VALUE"""),0.0)</f>
        <v>0</v>
      </c>
      <c r="Q132" s="76" t="b">
        <f>VLOOKUP($B132,'Run Reconcile'!B$2:O1399,14,FALSE)</f>
        <v>1</v>
      </c>
      <c r="R132" s="314" t="str">
        <f t="array" ref="R132">IF($Q132, INDEX('Run Reconcile'!A$2:A1399,MATCH(B132,'Run Reconcile'!B$2:B1399,0),1),IFERROR(0/0,""))</f>
        <v>RUN-ABRM_2022-09-21_RFR-019</v>
      </c>
      <c r="S132" s="315" t="str">
        <f t="shared" ref="S132:T132" si="268">IF(COUNTIF(W$2:W1399, $A132) &gt; 0,TRUE,IFERROR(0/0,""))</f>
        <v/>
      </c>
      <c r="T132" s="315" t="str">
        <f t="shared" si="268"/>
        <v/>
      </c>
      <c r="U132" s="114" t="str">
        <f t="array" ref="U132">IF(ISBLANK($R132), INDEX('Run Reconcile'!A$2:A1399, MATCH($B132, 'Run Reconcile'!B$2:B1399, 0)+Z132, 1), IFERROR(0/0,""))
</f>
        <v/>
      </c>
      <c r="V132" s="316" t="str">
        <f t="shared" si="5"/>
        <v>RUN-ABRM_2022-09-21_RFR-019</v>
      </c>
      <c r="Y132" s="317" t="str">
        <f t="shared" si="6"/>
        <v/>
      </c>
      <c r="Z132" s="83" t="str">
        <f t="shared" si="7"/>
        <v/>
      </c>
      <c r="AA132" s="83" t="str">
        <f t="shared" si="8"/>
        <v/>
      </c>
      <c r="AB132" s="83" t="str">
        <f t="shared" si="9"/>
        <v/>
      </c>
      <c r="AC132" s="18" t="str">
        <f t="shared" ref="AC132:AD132" si="269">IF(_xlfn.ISFORMULA(S132),IFERROR(0/0,""),TRUE)</f>
        <v/>
      </c>
      <c r="AD132" s="18" t="str">
        <f t="shared" si="269"/>
        <v/>
      </c>
      <c r="AE132" s="43"/>
      <c r="AF132" s="58" t="s">
        <v>41</v>
      </c>
      <c r="AG132" s="55" t="str">
        <f t="shared" si="11"/>
        <v/>
      </c>
    </row>
    <row r="133">
      <c r="A133" s="7" t="str">
        <f>IFERROR(__xludf.DUMMYFUNCTION("""COMPUTED_VALUE"""),"AG1567")</f>
        <v>AG1567</v>
      </c>
      <c r="B133" s="308">
        <f>IFERROR(__xludf.DUMMYFUNCTION("""COMPUTED_VALUE"""),44825.0)</f>
        <v>44825</v>
      </c>
      <c r="C133" s="309">
        <f>IFERROR(__xludf.DUMMYFUNCTION("""COMPUTED_VALUE"""),0.29011574074074076)</f>
        <v>0.2901157407</v>
      </c>
      <c r="D133" s="7" t="str">
        <f>IFERROR(__xludf.DUMMYFUNCTION("""COMPUTED_VALUE"""),"SpABRM814022")</f>
        <v>SpABRM814022</v>
      </c>
      <c r="E133" s="310"/>
      <c r="F133" s="310"/>
      <c r="G133" s="310" t="str">
        <f>IFERROR(__xludf.DUMMYFUNCTION("""COMPUTED_VALUE"""),"Negative")</f>
        <v>Negative</v>
      </c>
      <c r="H133" s="319" t="str">
        <f>IFERROR(__xludf.DUMMYFUNCTION("""COMPUTED_VALUE"""),"Negative")</f>
        <v>Negative</v>
      </c>
      <c r="I133" s="308">
        <f>IFERROR(__xludf.DUMMYFUNCTION("""COMPUTED_VALUE"""),44825.0)</f>
        <v>44825</v>
      </c>
      <c r="J133" s="311">
        <f>IFERROR(__xludf.DUMMYFUNCTION("""COMPUTED_VALUE"""),0.4351388888888889)</f>
        <v>0.4351388889</v>
      </c>
      <c r="K133" s="54"/>
      <c r="L133" s="7"/>
      <c r="M133" s="312"/>
      <c r="N133" s="172">
        <f>IFERROR(__xludf.DUMMYFUNCTION("""COMPUTED_VALUE"""),2.0)</f>
        <v>2</v>
      </c>
      <c r="O133" s="172" t="str">
        <f t="shared" si="3"/>
        <v/>
      </c>
      <c r="P133" s="313">
        <f>IFERROR(__xludf.DUMMYFUNCTION("""COMPUTED_VALUE"""),0.0)</f>
        <v>0</v>
      </c>
      <c r="Q133" s="76" t="b">
        <f>VLOOKUP($B133,'Run Reconcile'!B$2:O1399,14,FALSE)</f>
        <v>1</v>
      </c>
      <c r="R133" s="314" t="str">
        <f t="array" ref="R133">IF($Q133, INDEX('Run Reconcile'!A$2:A1399,MATCH(B133,'Run Reconcile'!B$2:B1399,0),1),IFERROR(0/0,""))</f>
        <v>RUN-ABRM_2022-09-21_RFR-019</v>
      </c>
      <c r="S133" s="315" t="str">
        <f t="shared" ref="S133:T133" si="270">IF(COUNTIF(W$2:W1399, $A133) &gt; 0,TRUE,IFERROR(0/0,""))</f>
        <v/>
      </c>
      <c r="T133" s="315" t="str">
        <f t="shared" si="270"/>
        <v/>
      </c>
      <c r="U133" s="114" t="str">
        <f t="array" ref="U133">IF(ISBLANK($R133), INDEX('Run Reconcile'!A$2:A1399, MATCH($B133, 'Run Reconcile'!B$2:B1399, 0)+Z133, 1), IFERROR(0/0,""))
</f>
        <v/>
      </c>
      <c r="V133" s="316" t="str">
        <f t="shared" si="5"/>
        <v>RUN-ABRM_2022-09-21_RFR-019</v>
      </c>
      <c r="Y133" s="317" t="str">
        <f t="shared" si="6"/>
        <v/>
      </c>
      <c r="Z133" s="83" t="str">
        <f t="shared" si="7"/>
        <v/>
      </c>
      <c r="AA133" s="83" t="str">
        <f t="shared" si="8"/>
        <v/>
      </c>
      <c r="AB133" s="83" t="str">
        <f t="shared" si="9"/>
        <v/>
      </c>
      <c r="AC133" s="18" t="str">
        <f t="shared" ref="AC133:AD133" si="271">IF(_xlfn.ISFORMULA(S133),IFERROR(0/0,""),TRUE)</f>
        <v/>
      </c>
      <c r="AD133" s="18" t="str">
        <f t="shared" si="271"/>
        <v/>
      </c>
      <c r="AE133" s="43"/>
      <c r="AF133" s="58" t="s">
        <v>41</v>
      </c>
      <c r="AG133" s="55" t="str">
        <f t="shared" si="11"/>
        <v/>
      </c>
    </row>
    <row r="134">
      <c r="A134" s="7" t="str">
        <f>IFERROR(__xludf.DUMMYFUNCTION("""COMPUTED_VALUE"""),"AH9409")</f>
        <v>AH9409</v>
      </c>
      <c r="B134" s="308">
        <f>IFERROR(__xludf.DUMMYFUNCTION("""COMPUTED_VALUE"""),44825.0)</f>
        <v>44825</v>
      </c>
      <c r="C134" s="309">
        <f>IFERROR(__xludf.DUMMYFUNCTION("""COMPUTED_VALUE"""),0.30940972222222224)</f>
        <v>0.3094097222</v>
      </c>
      <c r="D134" s="7" t="str">
        <f>IFERROR(__xludf.DUMMYFUNCTION("""COMPUTED_VALUE"""),"SpABRM297307")</f>
        <v>SpABRM297307</v>
      </c>
      <c r="E134" s="310"/>
      <c r="F134" s="310"/>
      <c r="G134" s="310" t="str">
        <f>IFERROR(__xludf.DUMMYFUNCTION("""COMPUTED_VALUE"""),"Negative")</f>
        <v>Negative</v>
      </c>
      <c r="H134" s="319" t="str">
        <f>IFERROR(__xludf.DUMMYFUNCTION("""COMPUTED_VALUE"""),"Negative")</f>
        <v>Negative</v>
      </c>
      <c r="I134" s="308">
        <f>IFERROR(__xludf.DUMMYFUNCTION("""COMPUTED_VALUE"""),44825.0)</f>
        <v>44825</v>
      </c>
      <c r="J134" s="311">
        <f>IFERROR(__xludf.DUMMYFUNCTION("""COMPUTED_VALUE"""),0.43515046296296295)</f>
        <v>0.435150463</v>
      </c>
      <c r="K134" s="54"/>
      <c r="L134" s="7"/>
      <c r="M134" s="312"/>
      <c r="N134" s="172">
        <f>IFERROR(__xludf.DUMMYFUNCTION("""COMPUTED_VALUE"""),4.0)</f>
        <v>4</v>
      </c>
      <c r="O134" s="172" t="str">
        <f t="shared" si="3"/>
        <v/>
      </c>
      <c r="P134" s="313">
        <f>IFERROR(__xludf.DUMMYFUNCTION("""COMPUTED_VALUE"""),0.0)</f>
        <v>0</v>
      </c>
      <c r="Q134" s="76" t="b">
        <f>VLOOKUP($B134,'Run Reconcile'!B$2:O1399,14,FALSE)</f>
        <v>1</v>
      </c>
      <c r="R134" s="314" t="str">
        <f t="array" ref="R134">IF($Q134, INDEX('Run Reconcile'!A$2:A1399,MATCH(B134,'Run Reconcile'!B$2:B1399,0),1),IFERROR(0/0,""))</f>
        <v>RUN-ABRM_2022-09-21_RFR-019</v>
      </c>
      <c r="S134" s="315" t="str">
        <f t="shared" ref="S134:T134" si="272">IF(COUNTIF(W$2:W1399, $A134) &gt; 0,TRUE,IFERROR(0/0,""))</f>
        <v/>
      </c>
      <c r="T134" s="315" t="str">
        <f t="shared" si="272"/>
        <v/>
      </c>
      <c r="U134" s="114" t="str">
        <f t="array" ref="U134">IF(ISBLANK($R134), INDEX('Run Reconcile'!A$2:A1399, MATCH($B134, 'Run Reconcile'!B$2:B1399, 0)+Z134, 1), IFERROR(0/0,""))
</f>
        <v/>
      </c>
      <c r="V134" s="316" t="str">
        <f t="shared" si="5"/>
        <v>RUN-ABRM_2022-09-21_RFR-019</v>
      </c>
      <c r="Y134" s="317" t="str">
        <f t="shared" si="6"/>
        <v/>
      </c>
      <c r="Z134" s="83" t="str">
        <f t="shared" si="7"/>
        <v/>
      </c>
      <c r="AA134" s="83" t="str">
        <f t="shared" si="8"/>
        <v/>
      </c>
      <c r="AB134" s="83" t="str">
        <f t="shared" si="9"/>
        <v/>
      </c>
      <c r="AC134" s="18" t="str">
        <f t="shared" ref="AC134:AD134" si="273">IF(_xlfn.ISFORMULA(S134),IFERROR(0/0,""),TRUE)</f>
        <v/>
      </c>
      <c r="AD134" s="18" t="str">
        <f t="shared" si="273"/>
        <v/>
      </c>
      <c r="AE134" s="43"/>
      <c r="AF134" s="58" t="s">
        <v>41</v>
      </c>
      <c r="AG134" s="55" t="str">
        <f t="shared" si="11"/>
        <v/>
      </c>
    </row>
    <row r="135">
      <c r="A135" s="7" t="str">
        <f>IFERROR(__xludf.DUMMYFUNCTION("""COMPUTED_VALUE"""),"AJ8976")</f>
        <v>AJ8976</v>
      </c>
      <c r="B135" s="308">
        <f>IFERROR(__xludf.DUMMYFUNCTION("""COMPUTED_VALUE"""),44825.0)</f>
        <v>44825</v>
      </c>
      <c r="C135" s="309">
        <f>IFERROR(__xludf.DUMMYFUNCTION("""COMPUTED_VALUE"""),0.31016203703703704)</f>
        <v>0.310162037</v>
      </c>
      <c r="D135" s="7" t="str">
        <f>IFERROR(__xludf.DUMMYFUNCTION("""COMPUTED_VALUE"""),"SpABRM188986")</f>
        <v>SpABRM188986</v>
      </c>
      <c r="E135" s="310"/>
      <c r="F135" s="310"/>
      <c r="G135" s="310" t="str">
        <f>IFERROR(__xludf.DUMMYFUNCTION("""COMPUTED_VALUE"""),"Negative")</f>
        <v>Negative</v>
      </c>
      <c r="H135" s="319" t="str">
        <f>IFERROR(__xludf.DUMMYFUNCTION("""COMPUTED_VALUE"""),"Negative")</f>
        <v>Negative</v>
      </c>
      <c r="I135" s="308">
        <f>IFERROR(__xludf.DUMMYFUNCTION("""COMPUTED_VALUE"""),44825.0)</f>
        <v>44825</v>
      </c>
      <c r="J135" s="311">
        <f>IFERROR(__xludf.DUMMYFUNCTION("""COMPUTED_VALUE"""),0.43515046296296295)</f>
        <v>0.435150463</v>
      </c>
      <c r="K135" s="54"/>
      <c r="L135" s="7"/>
      <c r="M135" s="312"/>
      <c r="N135" s="172">
        <f>IFERROR(__xludf.DUMMYFUNCTION("""COMPUTED_VALUE"""),2.0)</f>
        <v>2</v>
      </c>
      <c r="O135" s="172" t="str">
        <f t="shared" si="3"/>
        <v/>
      </c>
      <c r="P135" s="313">
        <f>IFERROR(__xludf.DUMMYFUNCTION("""COMPUTED_VALUE"""),0.0)</f>
        <v>0</v>
      </c>
      <c r="Q135" s="76" t="b">
        <f>VLOOKUP($B135,'Run Reconcile'!B$2:O1399,14,FALSE)</f>
        <v>1</v>
      </c>
      <c r="R135" s="314" t="str">
        <f t="array" ref="R135">IF($Q135, INDEX('Run Reconcile'!A$2:A1399,MATCH(B135,'Run Reconcile'!B$2:B1399,0),1),IFERROR(0/0,""))</f>
        <v>RUN-ABRM_2022-09-21_RFR-019</v>
      </c>
      <c r="S135" s="315" t="str">
        <f t="shared" ref="S135:T135" si="274">IF(COUNTIF(W$2:W1399, $A135) &gt; 0,TRUE,IFERROR(0/0,""))</f>
        <v/>
      </c>
      <c r="T135" s="315" t="str">
        <f t="shared" si="274"/>
        <v/>
      </c>
      <c r="U135" s="114" t="str">
        <f t="array" ref="U135">IF(ISBLANK($R135), INDEX('Run Reconcile'!A$2:A1399, MATCH($B135, 'Run Reconcile'!B$2:B1399, 0)+Z135, 1), IFERROR(0/0,""))
</f>
        <v/>
      </c>
      <c r="V135" s="316" t="str">
        <f t="shared" si="5"/>
        <v>RUN-ABRM_2022-09-21_RFR-019</v>
      </c>
      <c r="Y135" s="317" t="str">
        <f t="shared" si="6"/>
        <v/>
      </c>
      <c r="Z135" s="83" t="str">
        <f t="shared" si="7"/>
        <v/>
      </c>
      <c r="AA135" s="83" t="str">
        <f t="shared" si="8"/>
        <v/>
      </c>
      <c r="AB135" s="83" t="str">
        <f t="shared" si="9"/>
        <v/>
      </c>
      <c r="AC135" s="18" t="str">
        <f t="shared" ref="AC135:AD135" si="275">IF(_xlfn.ISFORMULA(S135),IFERROR(0/0,""),TRUE)</f>
        <v/>
      </c>
      <c r="AD135" s="18" t="str">
        <f t="shared" si="275"/>
        <v/>
      </c>
      <c r="AE135" s="43"/>
      <c r="AF135" s="58" t="s">
        <v>41</v>
      </c>
      <c r="AG135" s="55" t="str">
        <f t="shared" si="11"/>
        <v/>
      </c>
    </row>
    <row r="136">
      <c r="A136" s="7" t="str">
        <f>IFERROR(__xludf.DUMMYFUNCTION("""COMPUTED_VALUE"""),"AH580")</f>
        <v>AH580</v>
      </c>
      <c r="B136" s="308">
        <f>IFERROR(__xludf.DUMMYFUNCTION("""COMPUTED_VALUE"""),44825.0)</f>
        <v>44825</v>
      </c>
      <c r="C136" s="309">
        <f>IFERROR(__xludf.DUMMYFUNCTION("""COMPUTED_VALUE"""),0.3343171296296296)</f>
        <v>0.3343171296</v>
      </c>
      <c r="D136" s="7" t="str">
        <f>IFERROR(__xludf.DUMMYFUNCTION("""COMPUTED_VALUE"""),"SpABRM652382")</f>
        <v>SpABRM652382</v>
      </c>
      <c r="E136" s="310"/>
      <c r="F136" s="310"/>
      <c r="G136" s="310" t="str">
        <f>IFERROR(__xludf.DUMMYFUNCTION("""COMPUTED_VALUE"""),"Negative")</f>
        <v>Negative</v>
      </c>
      <c r="H136" s="319" t="str">
        <f>IFERROR(__xludf.DUMMYFUNCTION("""COMPUTED_VALUE"""),"Negative")</f>
        <v>Negative</v>
      </c>
      <c r="I136" s="308">
        <f>IFERROR(__xludf.DUMMYFUNCTION("""COMPUTED_VALUE"""),44825.0)</f>
        <v>44825</v>
      </c>
      <c r="J136" s="311">
        <f>IFERROR(__xludf.DUMMYFUNCTION("""COMPUTED_VALUE"""),0.43515046296296295)</f>
        <v>0.435150463</v>
      </c>
      <c r="K136" s="54"/>
      <c r="L136" s="7"/>
      <c r="M136" s="312"/>
      <c r="N136" s="172">
        <f>IFERROR(__xludf.DUMMYFUNCTION("""COMPUTED_VALUE"""),2.0)</f>
        <v>2</v>
      </c>
      <c r="O136" s="172" t="str">
        <f t="shared" si="3"/>
        <v/>
      </c>
      <c r="P136" s="313">
        <f>IFERROR(__xludf.DUMMYFUNCTION("""COMPUTED_VALUE"""),0.0)</f>
        <v>0</v>
      </c>
      <c r="Q136" s="76" t="b">
        <f>VLOOKUP($B136,'Run Reconcile'!B$2:O1399,14,FALSE)</f>
        <v>1</v>
      </c>
      <c r="R136" s="314" t="str">
        <f t="array" ref="R136">IF($Q136, INDEX('Run Reconcile'!A$2:A1399,MATCH(B136,'Run Reconcile'!B$2:B1399,0),1),IFERROR(0/0,""))</f>
        <v>RUN-ABRM_2022-09-21_RFR-019</v>
      </c>
      <c r="S136" s="315" t="str">
        <f t="shared" ref="S136:T136" si="276">IF(COUNTIF(W$2:W1399, $A136) &gt; 0,TRUE,IFERROR(0/0,""))</f>
        <v/>
      </c>
      <c r="T136" s="315" t="str">
        <f t="shared" si="276"/>
        <v/>
      </c>
      <c r="U136" s="114" t="str">
        <f t="array" ref="U136">IF(ISBLANK($R136), INDEX('Run Reconcile'!A$2:A1399, MATCH($B136, 'Run Reconcile'!B$2:B1399, 0)+Z136, 1), IFERROR(0/0,""))
</f>
        <v/>
      </c>
      <c r="V136" s="316" t="str">
        <f t="shared" si="5"/>
        <v>RUN-ABRM_2022-09-21_RFR-019</v>
      </c>
      <c r="Y136" s="317" t="str">
        <f t="shared" si="6"/>
        <v/>
      </c>
      <c r="Z136" s="83" t="str">
        <f t="shared" si="7"/>
        <v/>
      </c>
      <c r="AA136" s="83" t="str">
        <f t="shared" si="8"/>
        <v/>
      </c>
      <c r="AB136" s="83" t="str">
        <f t="shared" si="9"/>
        <v/>
      </c>
      <c r="AC136" s="18" t="str">
        <f t="shared" ref="AC136:AD136" si="277">IF(_xlfn.ISFORMULA(S136),IFERROR(0/0,""),TRUE)</f>
        <v/>
      </c>
      <c r="AD136" s="18" t="str">
        <f t="shared" si="277"/>
        <v/>
      </c>
      <c r="AE136" s="43"/>
      <c r="AF136" s="58" t="s">
        <v>41</v>
      </c>
      <c r="AG136" s="55" t="str">
        <f t="shared" si="11"/>
        <v/>
      </c>
    </row>
    <row r="137">
      <c r="A137" s="7" t="str">
        <f>IFERROR(__xludf.DUMMYFUNCTION("""COMPUTED_VALUE"""),"AH9028")</f>
        <v>AH9028</v>
      </c>
      <c r="B137" s="308">
        <f>IFERROR(__xludf.DUMMYFUNCTION("""COMPUTED_VALUE"""),44825.0)</f>
        <v>44825</v>
      </c>
      <c r="C137" s="309">
        <f>IFERROR(__xludf.DUMMYFUNCTION("""COMPUTED_VALUE"""),0.3903125)</f>
        <v>0.3903125</v>
      </c>
      <c r="D137" s="7" t="str">
        <f>IFERROR(__xludf.DUMMYFUNCTION("""COMPUTED_VALUE"""),"SpABRM655136")</f>
        <v>SpABRM655136</v>
      </c>
      <c r="E137" s="310"/>
      <c r="F137" s="310"/>
      <c r="G137" s="310" t="str">
        <f>IFERROR(__xludf.DUMMYFUNCTION("""COMPUTED_VALUE"""),"Negative")</f>
        <v>Negative</v>
      </c>
      <c r="H137" s="319" t="str">
        <f>IFERROR(__xludf.DUMMYFUNCTION("""COMPUTED_VALUE"""),"Negative")</f>
        <v>Negative</v>
      </c>
      <c r="I137" s="308">
        <f>IFERROR(__xludf.DUMMYFUNCTION("""COMPUTED_VALUE"""),44825.0)</f>
        <v>44825</v>
      </c>
      <c r="J137" s="311">
        <f>IFERROR(__xludf.DUMMYFUNCTION("""COMPUTED_VALUE"""),0.43515046296296295)</f>
        <v>0.435150463</v>
      </c>
      <c r="K137" s="54"/>
      <c r="L137" s="7"/>
      <c r="M137" s="312"/>
      <c r="N137" s="172">
        <f>IFERROR(__xludf.DUMMYFUNCTION("""COMPUTED_VALUE"""),1.0)</f>
        <v>1</v>
      </c>
      <c r="O137" s="172" t="str">
        <f t="shared" si="3"/>
        <v/>
      </c>
      <c r="P137" s="313">
        <f>IFERROR(__xludf.DUMMYFUNCTION("""COMPUTED_VALUE"""),0.0)</f>
        <v>0</v>
      </c>
      <c r="Q137" s="76" t="b">
        <f>VLOOKUP($B137,'Run Reconcile'!B$2:O1399,14,FALSE)</f>
        <v>1</v>
      </c>
      <c r="R137" s="314" t="str">
        <f t="array" ref="R137">IF($Q137, INDEX('Run Reconcile'!A$2:A1399,MATCH(B137,'Run Reconcile'!B$2:B1399,0),1),IFERROR(0/0,""))</f>
        <v>RUN-ABRM_2022-09-21_RFR-019</v>
      </c>
      <c r="S137" s="315" t="str">
        <f t="shared" ref="S137:T137" si="278">IF(COUNTIF(W$2:W1399, $A137) &gt; 0,TRUE,IFERROR(0/0,""))</f>
        <v/>
      </c>
      <c r="T137" s="315" t="str">
        <f t="shared" si="278"/>
        <v/>
      </c>
      <c r="U137" s="114" t="str">
        <f t="array" ref="U137">IF(ISBLANK($R137), INDEX('Run Reconcile'!A$2:A1399, MATCH($B137, 'Run Reconcile'!B$2:B1399, 0)+Z137, 1), IFERROR(0/0,""))
</f>
        <v/>
      </c>
      <c r="V137" s="316" t="str">
        <f t="shared" si="5"/>
        <v>RUN-ABRM_2022-09-21_RFR-019</v>
      </c>
      <c r="Y137" s="317" t="str">
        <f t="shared" si="6"/>
        <v/>
      </c>
      <c r="Z137" s="83" t="str">
        <f t="shared" si="7"/>
        <v/>
      </c>
      <c r="AA137" s="83" t="str">
        <f t="shared" si="8"/>
        <v/>
      </c>
      <c r="AB137" s="83" t="str">
        <f t="shared" si="9"/>
        <v/>
      </c>
      <c r="AC137" s="18" t="str">
        <f t="shared" ref="AC137:AD137" si="279">IF(_xlfn.ISFORMULA(S137),IFERROR(0/0,""),TRUE)</f>
        <v/>
      </c>
      <c r="AD137" s="18" t="str">
        <f t="shared" si="279"/>
        <v/>
      </c>
      <c r="AE137" s="43"/>
      <c r="AF137" s="58" t="s">
        <v>41</v>
      </c>
      <c r="AG137" s="55" t="str">
        <f t="shared" si="11"/>
        <v/>
      </c>
    </row>
    <row r="138">
      <c r="A138" s="7" t="str">
        <f>IFERROR(__xludf.DUMMYFUNCTION("""COMPUTED_VALUE"""),"AG1422")</f>
        <v>AG1422</v>
      </c>
      <c r="B138" s="308">
        <f>IFERROR(__xludf.DUMMYFUNCTION("""COMPUTED_VALUE"""),44825.0)</f>
        <v>44825</v>
      </c>
      <c r="C138" s="309">
        <f>IFERROR(__xludf.DUMMYFUNCTION("""COMPUTED_VALUE"""),0.390625)</f>
        <v>0.390625</v>
      </c>
      <c r="D138" s="7" t="str">
        <f>IFERROR(__xludf.DUMMYFUNCTION("""COMPUTED_VALUE"""),"SpABRM655136")</f>
        <v>SpABRM655136</v>
      </c>
      <c r="E138" s="310"/>
      <c r="F138" s="310"/>
      <c r="G138" s="310" t="str">
        <f>IFERROR(__xludf.DUMMYFUNCTION("""COMPUTED_VALUE"""),"Negative")</f>
        <v>Negative</v>
      </c>
      <c r="H138" s="319" t="str">
        <f>IFERROR(__xludf.DUMMYFUNCTION("""COMPUTED_VALUE"""),"Negative")</f>
        <v>Negative</v>
      </c>
      <c r="I138" s="308">
        <f>IFERROR(__xludf.DUMMYFUNCTION("""COMPUTED_VALUE"""),44825.0)</f>
        <v>44825</v>
      </c>
      <c r="J138" s="311">
        <f>IFERROR(__xludf.DUMMYFUNCTION("""COMPUTED_VALUE"""),0.43515046296296295)</f>
        <v>0.435150463</v>
      </c>
      <c r="K138" s="54"/>
      <c r="L138" s="7"/>
      <c r="M138" s="312"/>
      <c r="N138" s="172">
        <f>IFERROR(__xludf.DUMMYFUNCTION("""COMPUTED_VALUE"""),1.0)</f>
        <v>1</v>
      </c>
      <c r="O138" s="172" t="str">
        <f t="shared" si="3"/>
        <v/>
      </c>
      <c r="P138" s="313">
        <f>IFERROR(__xludf.DUMMYFUNCTION("""COMPUTED_VALUE"""),0.0)</f>
        <v>0</v>
      </c>
      <c r="Q138" s="76" t="b">
        <f>VLOOKUP($B138,'Run Reconcile'!B$2:O1399,14,FALSE)</f>
        <v>1</v>
      </c>
      <c r="R138" s="314" t="str">
        <f t="array" ref="R138">IF($Q138, INDEX('Run Reconcile'!A$2:A1399,MATCH(B138,'Run Reconcile'!B$2:B1399,0),1),IFERROR(0/0,""))</f>
        <v>RUN-ABRM_2022-09-21_RFR-019</v>
      </c>
      <c r="S138" s="315" t="str">
        <f t="shared" ref="S138:T138" si="280">IF(COUNTIF(W$2:W1399, $A138) &gt; 0,TRUE,IFERROR(0/0,""))</f>
        <v/>
      </c>
      <c r="T138" s="315" t="str">
        <f t="shared" si="280"/>
        <v/>
      </c>
      <c r="U138" s="114" t="str">
        <f t="array" ref="U138">IF(ISBLANK($R138), INDEX('Run Reconcile'!A$2:A1399, MATCH($B138, 'Run Reconcile'!B$2:B1399, 0)+Z138, 1), IFERROR(0/0,""))
</f>
        <v/>
      </c>
      <c r="V138" s="316" t="str">
        <f t="shared" si="5"/>
        <v>RUN-ABRM_2022-09-21_RFR-019</v>
      </c>
      <c r="Y138" s="317" t="str">
        <f t="shared" si="6"/>
        <v/>
      </c>
      <c r="Z138" s="83" t="str">
        <f t="shared" si="7"/>
        <v/>
      </c>
      <c r="AA138" s="83" t="str">
        <f t="shared" si="8"/>
        <v/>
      </c>
      <c r="AB138" s="83" t="str">
        <f t="shared" si="9"/>
        <v/>
      </c>
      <c r="AC138" s="18" t="str">
        <f t="shared" ref="AC138:AD138" si="281">IF(_xlfn.ISFORMULA(S138),IFERROR(0/0,""),TRUE)</f>
        <v/>
      </c>
      <c r="AD138" s="18" t="str">
        <f t="shared" si="281"/>
        <v/>
      </c>
      <c r="AE138" s="43"/>
      <c r="AF138" s="58" t="s">
        <v>41</v>
      </c>
      <c r="AG138" s="55" t="str">
        <f t="shared" si="11"/>
        <v/>
      </c>
    </row>
    <row r="139">
      <c r="A139" s="7" t="str">
        <f>IFERROR(__xludf.DUMMYFUNCTION("""COMPUTED_VALUE"""),"AG779")</f>
        <v>AG779</v>
      </c>
      <c r="B139" s="308">
        <f>IFERROR(__xludf.DUMMYFUNCTION("""COMPUTED_VALUE"""),44825.0)</f>
        <v>44825</v>
      </c>
      <c r="C139" s="309">
        <f>IFERROR(__xludf.DUMMYFUNCTION("""COMPUTED_VALUE"""),0.3912731481481482)</f>
        <v>0.3912731481</v>
      </c>
      <c r="D139" s="7" t="str">
        <f>IFERROR(__xludf.DUMMYFUNCTION("""COMPUTED_VALUE"""),"SpABRM655136")</f>
        <v>SpABRM655136</v>
      </c>
      <c r="E139" s="310"/>
      <c r="F139" s="310"/>
      <c r="G139" s="310" t="str">
        <f>IFERROR(__xludf.DUMMYFUNCTION("""COMPUTED_VALUE"""),"Negative")</f>
        <v>Negative</v>
      </c>
      <c r="H139" s="319" t="str">
        <f>IFERROR(__xludf.DUMMYFUNCTION("""COMPUTED_VALUE"""),"Negative")</f>
        <v>Negative</v>
      </c>
      <c r="I139" s="308">
        <f>IFERROR(__xludf.DUMMYFUNCTION("""COMPUTED_VALUE"""),44825.0)</f>
        <v>44825</v>
      </c>
      <c r="J139" s="311">
        <f>IFERROR(__xludf.DUMMYFUNCTION("""COMPUTED_VALUE"""),0.43515046296296295)</f>
        <v>0.435150463</v>
      </c>
      <c r="K139" s="54"/>
      <c r="L139" s="7"/>
      <c r="M139" s="312"/>
      <c r="N139" s="172">
        <f>IFERROR(__xludf.DUMMYFUNCTION("""COMPUTED_VALUE"""),2.0)</f>
        <v>2</v>
      </c>
      <c r="O139" s="172" t="str">
        <f t="shared" si="3"/>
        <v/>
      </c>
      <c r="P139" s="313">
        <f>IFERROR(__xludf.DUMMYFUNCTION("""COMPUTED_VALUE"""),0.0)</f>
        <v>0</v>
      </c>
      <c r="Q139" s="76" t="b">
        <f>VLOOKUP($B139,'Run Reconcile'!B$2:O1399,14,FALSE)</f>
        <v>1</v>
      </c>
      <c r="R139" s="314" t="str">
        <f t="array" ref="R139">IF($Q139, INDEX('Run Reconcile'!A$2:A1399,MATCH(B139,'Run Reconcile'!B$2:B1399,0),1),IFERROR(0/0,""))</f>
        <v>RUN-ABRM_2022-09-21_RFR-019</v>
      </c>
      <c r="S139" s="315" t="str">
        <f t="shared" ref="S139:T139" si="282">IF(COUNTIF(W$2:W1399, $A139) &gt; 0,TRUE,IFERROR(0/0,""))</f>
        <v/>
      </c>
      <c r="T139" s="315" t="str">
        <f t="shared" si="282"/>
        <v/>
      </c>
      <c r="U139" s="114" t="str">
        <f t="array" ref="U139">IF(ISBLANK($R139), INDEX('Run Reconcile'!A$2:A1399, MATCH($B139, 'Run Reconcile'!B$2:B1399, 0)+Z139, 1), IFERROR(0/0,""))
</f>
        <v/>
      </c>
      <c r="V139" s="316" t="str">
        <f t="shared" si="5"/>
        <v>RUN-ABRM_2022-09-21_RFR-019</v>
      </c>
      <c r="Y139" s="317" t="str">
        <f t="shared" si="6"/>
        <v/>
      </c>
      <c r="Z139" s="83" t="str">
        <f t="shared" si="7"/>
        <v/>
      </c>
      <c r="AA139" s="83" t="str">
        <f t="shared" si="8"/>
        <v/>
      </c>
      <c r="AB139" s="83" t="str">
        <f t="shared" si="9"/>
        <v/>
      </c>
      <c r="AC139" s="18" t="str">
        <f t="shared" ref="AC139:AD139" si="283">IF(_xlfn.ISFORMULA(S139),IFERROR(0/0,""),TRUE)</f>
        <v/>
      </c>
      <c r="AD139" s="18" t="str">
        <f t="shared" si="283"/>
        <v/>
      </c>
      <c r="AE139" s="43"/>
      <c r="AF139" s="58" t="s">
        <v>41</v>
      </c>
      <c r="AG139" s="55" t="str">
        <f t="shared" si="11"/>
        <v/>
      </c>
    </row>
    <row r="140">
      <c r="A140" s="7" t="str">
        <f>IFERROR(__xludf.DUMMYFUNCTION("""COMPUTED_VALUE"""),"AH8989")</f>
        <v>AH8989</v>
      </c>
      <c r="B140" s="308">
        <f>IFERROR(__xludf.DUMMYFUNCTION("""COMPUTED_VALUE"""),44826.0)</f>
        <v>44826</v>
      </c>
      <c r="C140" s="309">
        <f>IFERROR(__xludf.DUMMYFUNCTION("""COMPUTED_VALUE"""),0.22993055555555555)</f>
        <v>0.2299305556</v>
      </c>
      <c r="D140" s="7" t="str">
        <f>IFERROR(__xludf.DUMMYFUNCTION("""COMPUTED_VALUE"""),"SpABRM516158")</f>
        <v>SpABRM516158</v>
      </c>
      <c r="E140" s="310"/>
      <c r="F140" s="310"/>
      <c r="G140" s="310" t="str">
        <f>IFERROR(__xludf.DUMMYFUNCTION("""COMPUTED_VALUE"""),"Negative")</f>
        <v>Negative</v>
      </c>
      <c r="H140" s="319" t="str">
        <f>IFERROR(__xludf.DUMMYFUNCTION("""COMPUTED_VALUE"""),"Negative")</f>
        <v>Negative</v>
      </c>
      <c r="I140" s="308">
        <f>IFERROR(__xludf.DUMMYFUNCTION("""COMPUTED_VALUE"""),44826.0)</f>
        <v>44826</v>
      </c>
      <c r="J140" s="311">
        <f>IFERROR(__xludf.DUMMYFUNCTION("""COMPUTED_VALUE"""),0.4025347222222222)</f>
        <v>0.4025347222</v>
      </c>
      <c r="K140" s="54"/>
      <c r="L140" s="7"/>
      <c r="M140" s="312"/>
      <c r="N140" s="172">
        <f>IFERROR(__xludf.DUMMYFUNCTION("""COMPUTED_VALUE"""),1.0)</f>
        <v>1</v>
      </c>
      <c r="O140" s="172" t="b">
        <f t="shared" si="3"/>
        <v>1</v>
      </c>
      <c r="P140" s="313">
        <f>IFERROR(__xludf.DUMMYFUNCTION("""COMPUTED_VALUE"""),0.0)</f>
        <v>0</v>
      </c>
      <c r="Q140" s="76" t="b">
        <f>VLOOKUP($B140,'Run Reconcile'!B$2:O1399,14,FALSE)</f>
        <v>1</v>
      </c>
      <c r="R140" s="314" t="str">
        <f t="array" ref="R140">IF($Q140, INDEX('Run Reconcile'!A$2:A1399,MATCH(B140,'Run Reconcile'!B$2:B1399,0),1),IFERROR(0/0,""))</f>
        <v>RUN-ABRM_2022-09-22_RFR-021</v>
      </c>
      <c r="S140" s="315" t="str">
        <f t="shared" ref="S140:T140" si="284">IF(COUNTIF(W$2:W1399, $A140) &gt; 0,TRUE,IFERROR(0/0,""))</f>
        <v/>
      </c>
      <c r="T140" s="315" t="str">
        <f t="shared" si="284"/>
        <v/>
      </c>
      <c r="U140" s="114" t="str">
        <f t="array" ref="U140">IF(ISBLANK($R140), INDEX('Run Reconcile'!A$2:A1399, MATCH($B140, 'Run Reconcile'!B$2:B1399, 0)+Z140, 1), IFERROR(0/0,""))
</f>
        <v/>
      </c>
      <c r="V140" s="316" t="str">
        <f t="shared" si="5"/>
        <v>RUN-ABRM_2022-09-22_RFR-021</v>
      </c>
      <c r="Y140" s="317" t="str">
        <f t="shared" si="6"/>
        <v/>
      </c>
      <c r="Z140" s="83" t="str">
        <f t="shared" si="7"/>
        <v/>
      </c>
      <c r="AA140" s="83" t="str">
        <f t="shared" si="8"/>
        <v/>
      </c>
      <c r="AB140" s="83" t="str">
        <f t="shared" si="9"/>
        <v/>
      </c>
      <c r="AC140" s="18" t="str">
        <f t="shared" ref="AC140:AD140" si="285">IF(_xlfn.ISFORMULA(S140),IFERROR(0/0,""),TRUE)</f>
        <v/>
      </c>
      <c r="AD140" s="18" t="str">
        <f t="shared" si="285"/>
        <v/>
      </c>
      <c r="AE140" s="43"/>
      <c r="AF140" s="58" t="s">
        <v>42</v>
      </c>
      <c r="AG140" s="55" t="str">
        <f t="shared" si="11"/>
        <v/>
      </c>
    </row>
    <row r="141">
      <c r="A141" s="7" t="str">
        <f>IFERROR(__xludf.DUMMYFUNCTION("""COMPUTED_VALUE"""),"AG789")</f>
        <v>AG789</v>
      </c>
      <c r="B141" s="308">
        <f>IFERROR(__xludf.DUMMYFUNCTION("""COMPUTED_VALUE"""),44826.0)</f>
        <v>44826</v>
      </c>
      <c r="C141" s="309">
        <f>IFERROR(__xludf.DUMMYFUNCTION("""COMPUTED_VALUE"""),0.23880787037037038)</f>
        <v>0.2388078704</v>
      </c>
      <c r="D141" s="7" t="str">
        <f>IFERROR(__xludf.DUMMYFUNCTION("""COMPUTED_VALUE"""),"SpABRM188986")</f>
        <v>SpABRM188986</v>
      </c>
      <c r="E141" s="310"/>
      <c r="F141" s="310"/>
      <c r="G141" s="310" t="str">
        <f>IFERROR(__xludf.DUMMYFUNCTION("""COMPUTED_VALUE"""),"Negative")</f>
        <v>Negative</v>
      </c>
      <c r="H141" s="319" t="str">
        <f>IFERROR(__xludf.DUMMYFUNCTION("""COMPUTED_VALUE"""),"Negative")</f>
        <v>Negative</v>
      </c>
      <c r="I141" s="308">
        <f>IFERROR(__xludf.DUMMYFUNCTION("""COMPUTED_VALUE"""),44826.0)</f>
        <v>44826</v>
      </c>
      <c r="J141" s="311">
        <f>IFERROR(__xludf.DUMMYFUNCTION("""COMPUTED_VALUE"""),0.4025462962962963)</f>
        <v>0.4025462963</v>
      </c>
      <c r="K141" s="54"/>
      <c r="L141" s="7"/>
      <c r="M141" s="312"/>
      <c r="N141" s="172">
        <f>IFERROR(__xludf.DUMMYFUNCTION("""COMPUTED_VALUE"""),2.0)</f>
        <v>2</v>
      </c>
      <c r="O141" s="172" t="str">
        <f t="shared" si="3"/>
        <v/>
      </c>
      <c r="P141" s="313">
        <f>IFERROR(__xludf.DUMMYFUNCTION("""COMPUTED_VALUE"""),0.0)</f>
        <v>0</v>
      </c>
      <c r="Q141" s="76" t="b">
        <f>VLOOKUP($B141,'Run Reconcile'!B$2:O1399,14,FALSE)</f>
        <v>1</v>
      </c>
      <c r="R141" s="314" t="str">
        <f t="array" ref="R141">IF($Q141, INDEX('Run Reconcile'!A$2:A1399,MATCH(B141,'Run Reconcile'!B$2:B1399,0),1),IFERROR(0/0,""))</f>
        <v>RUN-ABRM_2022-09-22_RFR-021</v>
      </c>
      <c r="S141" s="315" t="str">
        <f t="shared" ref="S141:T141" si="286">IF(COUNTIF(W$2:W1399, $A141) &gt; 0,TRUE,IFERROR(0/0,""))</f>
        <v/>
      </c>
      <c r="T141" s="315" t="str">
        <f t="shared" si="286"/>
        <v/>
      </c>
      <c r="U141" s="114" t="str">
        <f t="array" ref="U141">IF(ISBLANK($R141), INDEX('Run Reconcile'!A$2:A1399, MATCH($B141, 'Run Reconcile'!B$2:B1399, 0)+Z141, 1), IFERROR(0/0,""))
</f>
        <v/>
      </c>
      <c r="V141" s="316" t="str">
        <f t="shared" si="5"/>
        <v>RUN-ABRM_2022-09-22_RFR-021</v>
      </c>
      <c r="Y141" s="317" t="str">
        <f t="shared" si="6"/>
        <v/>
      </c>
      <c r="Z141" s="83" t="str">
        <f t="shared" si="7"/>
        <v/>
      </c>
      <c r="AA141" s="83" t="str">
        <f t="shared" si="8"/>
        <v/>
      </c>
      <c r="AB141" s="83" t="str">
        <f t="shared" si="9"/>
        <v/>
      </c>
      <c r="AC141" s="18" t="str">
        <f t="shared" ref="AC141:AD141" si="287">IF(_xlfn.ISFORMULA(S141),IFERROR(0/0,""),TRUE)</f>
        <v/>
      </c>
      <c r="AD141" s="18" t="str">
        <f t="shared" si="287"/>
        <v/>
      </c>
      <c r="AE141" s="43"/>
      <c r="AF141" s="58" t="s">
        <v>42</v>
      </c>
      <c r="AG141" s="55" t="str">
        <f t="shared" si="11"/>
        <v/>
      </c>
    </row>
    <row r="142">
      <c r="A142" s="7" t="str">
        <f>IFERROR(__xludf.DUMMYFUNCTION("""COMPUTED_VALUE"""),"AH8533")</f>
        <v>AH8533</v>
      </c>
      <c r="B142" s="308">
        <f>IFERROR(__xludf.DUMMYFUNCTION("""COMPUTED_VALUE"""),44826.0)</f>
        <v>44826</v>
      </c>
      <c r="C142" s="309">
        <f>IFERROR(__xludf.DUMMYFUNCTION("""COMPUTED_VALUE"""),0.2914814814814815)</f>
        <v>0.2914814815</v>
      </c>
      <c r="D142" s="7" t="str">
        <f>IFERROR(__xludf.DUMMYFUNCTION("""COMPUTED_VALUE"""),"SpABRM128250")</f>
        <v>SpABRM128250</v>
      </c>
      <c r="E142" s="310"/>
      <c r="F142" s="310"/>
      <c r="G142" s="310" t="str">
        <f>IFERROR(__xludf.DUMMYFUNCTION("""COMPUTED_VALUE"""),"Negative")</f>
        <v>Negative</v>
      </c>
      <c r="H142" s="319" t="str">
        <f>IFERROR(__xludf.DUMMYFUNCTION("""COMPUTED_VALUE"""),"Negative")</f>
        <v>Negative</v>
      </c>
      <c r="I142" s="308">
        <f>IFERROR(__xludf.DUMMYFUNCTION("""COMPUTED_VALUE"""),44826.0)</f>
        <v>44826</v>
      </c>
      <c r="J142" s="311">
        <f>IFERROR(__xludf.DUMMYFUNCTION("""COMPUTED_VALUE"""),0.4025462962962963)</f>
        <v>0.4025462963</v>
      </c>
      <c r="K142" s="54"/>
      <c r="L142" s="7"/>
      <c r="M142" s="312"/>
      <c r="N142" s="172">
        <f>IFERROR(__xludf.DUMMYFUNCTION("""COMPUTED_VALUE"""),3.0)</f>
        <v>3</v>
      </c>
      <c r="O142" s="172" t="str">
        <f t="shared" si="3"/>
        <v/>
      </c>
      <c r="P142" s="313">
        <f>IFERROR(__xludf.DUMMYFUNCTION("""COMPUTED_VALUE"""),0.0)</f>
        <v>0</v>
      </c>
      <c r="Q142" s="76" t="b">
        <f>VLOOKUP($B142,'Run Reconcile'!B$2:O1399,14,FALSE)</f>
        <v>1</v>
      </c>
      <c r="R142" s="314" t="str">
        <f t="array" ref="R142">IF($Q142, INDEX('Run Reconcile'!A$2:A1399,MATCH(B142,'Run Reconcile'!B$2:B1399,0),1),IFERROR(0/0,""))</f>
        <v>RUN-ABRM_2022-09-22_RFR-021</v>
      </c>
      <c r="S142" s="315" t="str">
        <f t="shared" ref="S142:T142" si="288">IF(COUNTIF(W$2:W1399, $A142) &gt; 0,TRUE,IFERROR(0/0,""))</f>
        <v/>
      </c>
      <c r="T142" s="315" t="str">
        <f t="shared" si="288"/>
        <v/>
      </c>
      <c r="U142" s="114" t="str">
        <f t="array" ref="U142">IF(ISBLANK($R142), INDEX('Run Reconcile'!A$2:A1399, MATCH($B142, 'Run Reconcile'!B$2:B1399, 0)+Z142, 1), IFERROR(0/0,""))
</f>
        <v/>
      </c>
      <c r="V142" s="316" t="str">
        <f t="shared" si="5"/>
        <v>RUN-ABRM_2022-09-22_RFR-021</v>
      </c>
      <c r="Y142" s="317" t="str">
        <f t="shared" si="6"/>
        <v/>
      </c>
      <c r="Z142" s="83" t="str">
        <f t="shared" si="7"/>
        <v/>
      </c>
      <c r="AA142" s="83" t="str">
        <f t="shared" si="8"/>
        <v/>
      </c>
      <c r="AB142" s="83" t="str">
        <f t="shared" si="9"/>
        <v/>
      </c>
      <c r="AC142" s="18" t="str">
        <f t="shared" ref="AC142:AD142" si="289">IF(_xlfn.ISFORMULA(S142),IFERROR(0/0,""),TRUE)</f>
        <v/>
      </c>
      <c r="AD142" s="18" t="str">
        <f t="shared" si="289"/>
        <v/>
      </c>
      <c r="AE142" s="43"/>
      <c r="AF142" s="58" t="s">
        <v>42</v>
      </c>
      <c r="AG142" s="55" t="str">
        <f t="shared" si="11"/>
        <v/>
      </c>
    </row>
    <row r="143">
      <c r="A143" s="7" t="str">
        <f>IFERROR(__xludf.DUMMYFUNCTION("""COMPUTED_VALUE"""),"AG1022")</f>
        <v>AG1022</v>
      </c>
      <c r="B143" s="308">
        <f>IFERROR(__xludf.DUMMYFUNCTION("""COMPUTED_VALUE"""),44826.0)</f>
        <v>44826</v>
      </c>
      <c r="C143" s="309">
        <f>IFERROR(__xludf.DUMMYFUNCTION("""COMPUTED_VALUE"""),0.3021990740740741)</f>
        <v>0.3021990741</v>
      </c>
      <c r="D143" s="7" t="str">
        <f>IFERROR(__xludf.DUMMYFUNCTION("""COMPUTED_VALUE"""),"SpABRM297307")</f>
        <v>SpABRM297307</v>
      </c>
      <c r="E143" s="310"/>
      <c r="F143" s="310"/>
      <c r="G143" s="310" t="str">
        <f>IFERROR(__xludf.DUMMYFUNCTION("""COMPUTED_VALUE"""),"Negative")</f>
        <v>Negative</v>
      </c>
      <c r="H143" s="319" t="str">
        <f>IFERROR(__xludf.DUMMYFUNCTION("""COMPUTED_VALUE"""),"Negative")</f>
        <v>Negative</v>
      </c>
      <c r="I143" s="308">
        <f>IFERROR(__xludf.DUMMYFUNCTION("""COMPUTED_VALUE"""),44826.0)</f>
        <v>44826</v>
      </c>
      <c r="J143" s="311">
        <f>IFERROR(__xludf.DUMMYFUNCTION("""COMPUTED_VALUE"""),0.4025462962962963)</f>
        <v>0.4025462963</v>
      </c>
      <c r="K143" s="54"/>
      <c r="L143" s="7"/>
      <c r="M143" s="312"/>
      <c r="N143" s="172">
        <f>IFERROR(__xludf.DUMMYFUNCTION("""COMPUTED_VALUE"""),4.0)</f>
        <v>4</v>
      </c>
      <c r="O143" s="172" t="str">
        <f t="shared" si="3"/>
        <v/>
      </c>
      <c r="P143" s="313">
        <f>IFERROR(__xludf.DUMMYFUNCTION("""COMPUTED_VALUE"""),0.0)</f>
        <v>0</v>
      </c>
      <c r="Q143" s="76" t="b">
        <f>VLOOKUP($B143,'Run Reconcile'!B$2:O1399,14,FALSE)</f>
        <v>1</v>
      </c>
      <c r="R143" s="314" t="str">
        <f t="array" ref="R143">IF($Q143, INDEX('Run Reconcile'!A$2:A1399,MATCH(B143,'Run Reconcile'!B$2:B1399,0),1),IFERROR(0/0,""))</f>
        <v>RUN-ABRM_2022-09-22_RFR-021</v>
      </c>
      <c r="S143" s="315" t="str">
        <f t="shared" ref="S143:T143" si="290">IF(COUNTIF(W$2:W1399, $A143) &gt; 0,TRUE,IFERROR(0/0,""))</f>
        <v/>
      </c>
      <c r="T143" s="315" t="str">
        <f t="shared" si="290"/>
        <v/>
      </c>
      <c r="U143" s="114" t="str">
        <f t="array" ref="U143">IF(ISBLANK($R143), INDEX('Run Reconcile'!A$2:A1399, MATCH($B143, 'Run Reconcile'!B$2:B1399, 0)+Z143, 1), IFERROR(0/0,""))
</f>
        <v/>
      </c>
      <c r="V143" s="316" t="str">
        <f t="shared" si="5"/>
        <v>RUN-ABRM_2022-09-22_RFR-021</v>
      </c>
      <c r="Y143" s="317" t="str">
        <f t="shared" si="6"/>
        <v/>
      </c>
      <c r="Z143" s="83" t="str">
        <f t="shared" si="7"/>
        <v/>
      </c>
      <c r="AA143" s="83" t="str">
        <f t="shared" si="8"/>
        <v/>
      </c>
      <c r="AB143" s="83" t="str">
        <f t="shared" si="9"/>
        <v/>
      </c>
      <c r="AC143" s="18" t="str">
        <f t="shared" ref="AC143:AD143" si="291">IF(_xlfn.ISFORMULA(S143),IFERROR(0/0,""),TRUE)</f>
        <v/>
      </c>
      <c r="AD143" s="18" t="str">
        <f t="shared" si="291"/>
        <v/>
      </c>
      <c r="AE143" s="43"/>
      <c r="AF143" s="58" t="s">
        <v>42</v>
      </c>
      <c r="AG143" s="55" t="str">
        <f t="shared" si="11"/>
        <v/>
      </c>
    </row>
    <row r="144">
      <c r="A144" s="7" t="str">
        <f>IFERROR(__xludf.DUMMYFUNCTION("""COMPUTED_VALUE"""),"AG2006")</f>
        <v>AG2006</v>
      </c>
      <c r="B144" s="308">
        <f>IFERROR(__xludf.DUMMYFUNCTION("""COMPUTED_VALUE"""),44826.0)</f>
        <v>44826</v>
      </c>
      <c r="C144" s="309">
        <f>IFERROR(__xludf.DUMMYFUNCTION("""COMPUTED_VALUE"""),0.3982175925925926)</f>
        <v>0.3982175926</v>
      </c>
      <c r="D144" s="7" t="str">
        <f>IFERROR(__xludf.DUMMYFUNCTION("""COMPUTED_VALUE"""),"SpABRM655136")</f>
        <v>SpABRM655136</v>
      </c>
      <c r="E144" s="310"/>
      <c r="F144" s="310"/>
      <c r="G144" s="310" t="str">
        <f>IFERROR(__xludf.DUMMYFUNCTION("""COMPUTED_VALUE"""),"Negative")</f>
        <v>Negative</v>
      </c>
      <c r="H144" s="319" t="str">
        <f>IFERROR(__xludf.DUMMYFUNCTION("""COMPUTED_VALUE"""),"Negative")</f>
        <v>Negative</v>
      </c>
      <c r="I144" s="308">
        <f>IFERROR(__xludf.DUMMYFUNCTION("""COMPUTED_VALUE"""),44826.0)</f>
        <v>44826</v>
      </c>
      <c r="J144" s="311">
        <f>IFERROR(__xludf.DUMMYFUNCTION("""COMPUTED_VALUE"""),0.4025462962962963)</f>
        <v>0.4025462963</v>
      </c>
      <c r="K144" s="54"/>
      <c r="L144" s="7"/>
      <c r="M144" s="312"/>
      <c r="N144" s="172">
        <f>IFERROR(__xludf.DUMMYFUNCTION("""COMPUTED_VALUE"""),2.0)</f>
        <v>2</v>
      </c>
      <c r="O144" s="172" t="str">
        <f t="shared" si="3"/>
        <v/>
      </c>
      <c r="P144" s="313">
        <f>IFERROR(__xludf.DUMMYFUNCTION("""COMPUTED_VALUE"""),0.0)</f>
        <v>0</v>
      </c>
      <c r="Q144" s="76" t="b">
        <f>VLOOKUP($B144,'Run Reconcile'!B$2:O1399,14,FALSE)</f>
        <v>1</v>
      </c>
      <c r="R144" s="314" t="str">
        <f t="array" ref="R144">IF($Q144, INDEX('Run Reconcile'!A$2:A1399,MATCH(B144,'Run Reconcile'!B$2:B1399,0),1),IFERROR(0/0,""))</f>
        <v>RUN-ABRM_2022-09-22_RFR-021</v>
      </c>
      <c r="S144" s="315" t="str">
        <f t="shared" ref="S144:T144" si="292">IF(COUNTIF(W$2:W1399, $A144) &gt; 0,TRUE,IFERROR(0/0,""))</f>
        <v/>
      </c>
      <c r="T144" s="315" t="str">
        <f t="shared" si="292"/>
        <v/>
      </c>
      <c r="U144" s="114" t="str">
        <f t="array" ref="U144">IF(ISBLANK($R144), INDEX('Run Reconcile'!A$2:A1399, MATCH($B144, 'Run Reconcile'!B$2:B1399, 0)+Z144, 1), IFERROR(0/0,""))
</f>
        <v/>
      </c>
      <c r="V144" s="316" t="str">
        <f t="shared" si="5"/>
        <v>RUN-ABRM_2022-09-22_RFR-021</v>
      </c>
      <c r="Y144" s="317" t="str">
        <f t="shared" si="6"/>
        <v/>
      </c>
      <c r="Z144" s="83" t="str">
        <f t="shared" si="7"/>
        <v/>
      </c>
      <c r="AA144" s="83" t="str">
        <f t="shared" si="8"/>
        <v/>
      </c>
      <c r="AB144" s="83" t="str">
        <f t="shared" si="9"/>
        <v/>
      </c>
      <c r="AC144" s="18" t="str">
        <f t="shared" ref="AC144:AD144" si="293">IF(_xlfn.ISFORMULA(S144),IFERROR(0/0,""),TRUE)</f>
        <v/>
      </c>
      <c r="AD144" s="18" t="str">
        <f t="shared" si="293"/>
        <v/>
      </c>
      <c r="AE144" s="43"/>
      <c r="AF144" s="58" t="s">
        <v>42</v>
      </c>
      <c r="AG144" s="55" t="str">
        <f t="shared" si="11"/>
        <v/>
      </c>
    </row>
    <row r="145">
      <c r="A145" s="7" t="str">
        <f>IFERROR(__xludf.DUMMYFUNCTION("""COMPUTED_VALUE"""),"AG1197")</f>
        <v>AG1197</v>
      </c>
      <c r="B145" s="308">
        <f>IFERROR(__xludf.DUMMYFUNCTION("""COMPUTED_VALUE"""),44826.0)</f>
        <v>44826</v>
      </c>
      <c r="C145" s="309">
        <f>IFERROR(__xludf.DUMMYFUNCTION("""COMPUTED_VALUE"""),0.3995601851851852)</f>
        <v>0.3995601852</v>
      </c>
      <c r="D145" s="7" t="str">
        <f>IFERROR(__xludf.DUMMYFUNCTION("""COMPUTED_VALUE"""),"SpABRM655136")</f>
        <v>SpABRM655136</v>
      </c>
      <c r="E145" s="310"/>
      <c r="F145" s="310"/>
      <c r="G145" s="310" t="str">
        <f>IFERROR(__xludf.DUMMYFUNCTION("""COMPUTED_VALUE"""),"Negative")</f>
        <v>Negative</v>
      </c>
      <c r="H145" s="319" t="str">
        <f>IFERROR(__xludf.DUMMYFUNCTION("""COMPUTED_VALUE"""),"Negative")</f>
        <v>Negative</v>
      </c>
      <c r="I145" s="308">
        <f>IFERROR(__xludf.DUMMYFUNCTION("""COMPUTED_VALUE"""),44826.0)</f>
        <v>44826</v>
      </c>
      <c r="J145" s="311">
        <f>IFERROR(__xludf.DUMMYFUNCTION("""COMPUTED_VALUE"""),0.4025462962962963)</f>
        <v>0.4025462963</v>
      </c>
      <c r="K145" s="54"/>
      <c r="L145" s="7"/>
      <c r="M145" s="312"/>
      <c r="N145" s="172">
        <f>IFERROR(__xludf.DUMMYFUNCTION("""COMPUTED_VALUE"""),1.0)</f>
        <v>1</v>
      </c>
      <c r="O145" s="172" t="str">
        <f t="shared" si="3"/>
        <v/>
      </c>
      <c r="P145" s="313">
        <f>IFERROR(__xludf.DUMMYFUNCTION("""COMPUTED_VALUE"""),0.0)</f>
        <v>0</v>
      </c>
      <c r="Q145" s="76" t="b">
        <f>VLOOKUP($B145,'Run Reconcile'!B$2:O1399,14,FALSE)</f>
        <v>1</v>
      </c>
      <c r="R145" s="314" t="str">
        <f t="array" ref="R145">IF($Q145, INDEX('Run Reconcile'!A$2:A1399,MATCH(B145,'Run Reconcile'!B$2:B1399,0),1),IFERROR(0/0,""))</f>
        <v>RUN-ABRM_2022-09-22_RFR-021</v>
      </c>
      <c r="S145" s="315" t="str">
        <f t="shared" ref="S145:T145" si="294">IF(COUNTIF(W$2:W1399, $A145) &gt; 0,TRUE,IFERROR(0/0,""))</f>
        <v/>
      </c>
      <c r="T145" s="315" t="str">
        <f t="shared" si="294"/>
        <v/>
      </c>
      <c r="U145" s="114" t="str">
        <f t="array" ref="U145">IF(ISBLANK($R145), INDEX('Run Reconcile'!A$2:A1399, MATCH($B145, 'Run Reconcile'!B$2:B1399, 0)+Z145, 1), IFERROR(0/0,""))
</f>
        <v/>
      </c>
      <c r="V145" s="316" t="str">
        <f t="shared" si="5"/>
        <v>RUN-ABRM_2022-09-22_RFR-021</v>
      </c>
      <c r="Y145" s="317" t="str">
        <f t="shared" si="6"/>
        <v/>
      </c>
      <c r="Z145" s="83" t="str">
        <f t="shared" si="7"/>
        <v/>
      </c>
      <c r="AA145" s="83" t="str">
        <f t="shared" si="8"/>
        <v/>
      </c>
      <c r="AB145" s="83" t="str">
        <f t="shared" si="9"/>
        <v/>
      </c>
      <c r="AC145" s="18" t="str">
        <f t="shared" ref="AC145:AD145" si="295">IF(_xlfn.ISFORMULA(S145),IFERROR(0/0,""),TRUE)</f>
        <v/>
      </c>
      <c r="AD145" s="18" t="str">
        <f t="shared" si="295"/>
        <v/>
      </c>
      <c r="AE145" s="43"/>
      <c r="AF145" s="58" t="s">
        <v>42</v>
      </c>
      <c r="AG145" s="55" t="str">
        <f t="shared" si="11"/>
        <v/>
      </c>
    </row>
    <row r="146">
      <c r="A146" s="7" t="str">
        <f>IFERROR(__xludf.DUMMYFUNCTION("""COMPUTED_VALUE"""),"AG1788")</f>
        <v>AG1788</v>
      </c>
      <c r="B146" s="308">
        <f>IFERROR(__xludf.DUMMYFUNCTION("""COMPUTED_VALUE"""),44826.0)</f>
        <v>44826</v>
      </c>
      <c r="C146" s="309">
        <f>IFERROR(__xludf.DUMMYFUNCTION("""COMPUTED_VALUE"""),0.40076388888888886)</f>
        <v>0.4007638889</v>
      </c>
      <c r="D146" s="7" t="str">
        <f>IFERROR(__xludf.DUMMYFUNCTION("""COMPUTED_VALUE"""),"SpABRM655136")</f>
        <v>SpABRM655136</v>
      </c>
      <c r="E146" s="310"/>
      <c r="F146" s="310"/>
      <c r="G146" s="310" t="str">
        <f>IFERROR(__xludf.DUMMYFUNCTION("""COMPUTED_VALUE"""),"Negative")</f>
        <v>Negative</v>
      </c>
      <c r="H146" s="319" t="str">
        <f>IFERROR(__xludf.DUMMYFUNCTION("""COMPUTED_VALUE"""),"Negative")</f>
        <v>Negative</v>
      </c>
      <c r="I146" s="308">
        <f>IFERROR(__xludf.DUMMYFUNCTION("""COMPUTED_VALUE"""),44826.0)</f>
        <v>44826</v>
      </c>
      <c r="J146" s="311">
        <f>IFERROR(__xludf.DUMMYFUNCTION("""COMPUTED_VALUE"""),0.4025578703703704)</f>
        <v>0.4025578704</v>
      </c>
      <c r="K146" s="54"/>
      <c r="L146" s="7"/>
      <c r="M146" s="312"/>
      <c r="N146" s="172">
        <f>IFERROR(__xludf.DUMMYFUNCTION("""COMPUTED_VALUE"""),2.0)</f>
        <v>2</v>
      </c>
      <c r="O146" s="172" t="str">
        <f t="shared" si="3"/>
        <v/>
      </c>
      <c r="P146" s="313">
        <f>IFERROR(__xludf.DUMMYFUNCTION("""COMPUTED_VALUE"""),0.0)</f>
        <v>0</v>
      </c>
      <c r="Q146" s="76" t="b">
        <f>VLOOKUP($B146,'Run Reconcile'!B$2:O1399,14,FALSE)</f>
        <v>1</v>
      </c>
      <c r="R146" s="314" t="str">
        <f t="array" ref="R146">IF($Q146, INDEX('Run Reconcile'!A$2:A1399,MATCH(B146,'Run Reconcile'!B$2:B1399,0),1),IFERROR(0/0,""))</f>
        <v>RUN-ABRM_2022-09-22_RFR-021</v>
      </c>
      <c r="S146" s="315" t="str">
        <f t="shared" ref="S146:T146" si="296">IF(COUNTIF(W$2:W1399, $A146) &gt; 0,TRUE,IFERROR(0/0,""))</f>
        <v/>
      </c>
      <c r="T146" s="315" t="str">
        <f t="shared" si="296"/>
        <v/>
      </c>
      <c r="U146" s="114" t="str">
        <f t="array" ref="U146">IF(ISBLANK($R146), INDEX('Run Reconcile'!A$2:A1399, MATCH($B146, 'Run Reconcile'!B$2:B1399, 0)+Z146, 1), IFERROR(0/0,""))
</f>
        <v/>
      </c>
      <c r="V146" s="316" t="str">
        <f t="shared" si="5"/>
        <v>RUN-ABRM_2022-09-22_RFR-021</v>
      </c>
      <c r="Y146" s="317" t="str">
        <f t="shared" si="6"/>
        <v/>
      </c>
      <c r="Z146" s="83" t="str">
        <f t="shared" si="7"/>
        <v/>
      </c>
      <c r="AA146" s="83" t="str">
        <f t="shared" si="8"/>
        <v/>
      </c>
      <c r="AB146" s="83" t="str">
        <f t="shared" si="9"/>
        <v/>
      </c>
      <c r="AC146" s="18" t="str">
        <f t="shared" ref="AC146:AD146" si="297">IF(_xlfn.ISFORMULA(S146),IFERROR(0/0,""),TRUE)</f>
        <v/>
      </c>
      <c r="AD146" s="18" t="str">
        <f t="shared" si="297"/>
        <v/>
      </c>
      <c r="AE146" s="43"/>
      <c r="AF146" s="58" t="s">
        <v>42</v>
      </c>
      <c r="AG146" s="55" t="str">
        <f t="shared" si="11"/>
        <v/>
      </c>
    </row>
    <row r="147">
      <c r="A147" s="7" t="str">
        <f>IFERROR(__xludf.DUMMYFUNCTION("""COMPUTED_VALUE"""),"AG786")</f>
        <v>AG786</v>
      </c>
      <c r="B147" s="308">
        <f>IFERROR(__xludf.DUMMYFUNCTION("""COMPUTED_VALUE"""),44827.0)</f>
        <v>44827</v>
      </c>
      <c r="C147" s="309">
        <f>IFERROR(__xludf.DUMMYFUNCTION("""COMPUTED_VALUE"""),0.20046296296296295)</f>
        <v>0.200462963</v>
      </c>
      <c r="D147" s="7" t="str">
        <f>IFERROR(__xludf.DUMMYFUNCTION("""COMPUTED_VALUE"""),"SpABRM188986")</f>
        <v>SpABRM188986</v>
      </c>
      <c r="E147" s="310"/>
      <c r="F147" s="310"/>
      <c r="G147" s="310" t="str">
        <f>IFERROR(__xludf.DUMMYFUNCTION("""COMPUTED_VALUE"""),"Negative")</f>
        <v>Negative</v>
      </c>
      <c r="H147" s="319" t="str">
        <f>IFERROR(__xludf.DUMMYFUNCTION("""COMPUTED_VALUE"""),"Negative")</f>
        <v>Negative</v>
      </c>
      <c r="I147" s="308">
        <f>IFERROR(__xludf.DUMMYFUNCTION("""COMPUTED_VALUE"""),44827.0)</f>
        <v>44827</v>
      </c>
      <c r="J147" s="311">
        <f>IFERROR(__xludf.DUMMYFUNCTION("""COMPUTED_VALUE"""),0.397337962962963)</f>
        <v>0.397337963</v>
      </c>
      <c r="K147" s="54"/>
      <c r="L147" s="7"/>
      <c r="M147" s="312"/>
      <c r="N147" s="172">
        <f>IFERROR(__xludf.DUMMYFUNCTION("""COMPUTED_VALUE"""),2.0)</f>
        <v>2</v>
      </c>
      <c r="O147" s="172" t="b">
        <f t="shared" si="3"/>
        <v>1</v>
      </c>
      <c r="P147" s="313">
        <f>IFERROR(__xludf.DUMMYFUNCTION("""COMPUTED_VALUE"""),0.0)</f>
        <v>0</v>
      </c>
      <c r="Q147" s="76" t="b">
        <f>VLOOKUP($B147,'Run Reconcile'!B$2:O1399,14,FALSE)</f>
        <v>1</v>
      </c>
      <c r="R147" s="314" t="str">
        <f t="array" ref="R147">IF($Q147, INDEX('Run Reconcile'!A$2:A1399,MATCH(B147,'Run Reconcile'!B$2:B1399,0),1),IFERROR(0/0,""))</f>
        <v>RUN-ABRM_2022-09-23_RFR-022</v>
      </c>
      <c r="S147" s="315" t="str">
        <f t="shared" ref="S147:T147" si="298">IF(COUNTIF(W$2:W1399, $A147) &gt; 0,TRUE,IFERROR(0/0,""))</f>
        <v/>
      </c>
      <c r="T147" s="315" t="str">
        <f t="shared" si="298"/>
        <v/>
      </c>
      <c r="U147" s="114" t="str">
        <f t="array" ref="U147">IF(ISBLANK($R147), INDEX('Run Reconcile'!A$2:A1399, MATCH($B147, 'Run Reconcile'!B$2:B1399, 0)+Z147, 1), IFERROR(0/0,""))
</f>
        <v/>
      </c>
      <c r="V147" s="316" t="str">
        <f t="shared" si="5"/>
        <v>RUN-ABRM_2022-09-23_RFR-022</v>
      </c>
      <c r="Y147" s="317" t="str">
        <f t="shared" si="6"/>
        <v/>
      </c>
      <c r="Z147" s="83" t="str">
        <f t="shared" si="7"/>
        <v/>
      </c>
      <c r="AA147" s="83" t="str">
        <f t="shared" si="8"/>
        <v/>
      </c>
      <c r="AB147" s="83" t="str">
        <f t="shared" si="9"/>
        <v/>
      </c>
      <c r="AC147" s="18" t="str">
        <f t="shared" ref="AC147:AD147" si="299">IF(_xlfn.ISFORMULA(S147),IFERROR(0/0,""),TRUE)</f>
        <v/>
      </c>
      <c r="AD147" s="18" t="str">
        <f t="shared" si="299"/>
        <v/>
      </c>
      <c r="AE147" s="43"/>
      <c r="AF147" s="58" t="s">
        <v>43</v>
      </c>
      <c r="AG147" s="55" t="str">
        <f t="shared" si="11"/>
        <v/>
      </c>
    </row>
    <row r="148">
      <c r="A148" s="7" t="str">
        <f>IFERROR(__xludf.DUMMYFUNCTION("""COMPUTED_VALUE"""),"AJ7842")</f>
        <v>AJ7842</v>
      </c>
      <c r="B148" s="308">
        <f>IFERROR(__xludf.DUMMYFUNCTION("""COMPUTED_VALUE"""),44827.0)</f>
        <v>44827</v>
      </c>
      <c r="C148" s="309">
        <f>IFERROR(__xludf.DUMMYFUNCTION("""COMPUTED_VALUE"""),0.2221064814814815)</f>
        <v>0.2221064815</v>
      </c>
      <c r="D148" s="7" t="str">
        <f>IFERROR(__xludf.DUMMYFUNCTION("""COMPUTED_VALUE"""),"SpABRM516158")</f>
        <v>SpABRM516158</v>
      </c>
      <c r="E148" s="310"/>
      <c r="F148" s="310"/>
      <c r="G148" s="310" t="str">
        <f>IFERROR(__xludf.DUMMYFUNCTION("""COMPUTED_VALUE"""),"Negative")</f>
        <v>Negative</v>
      </c>
      <c r="H148" s="319" t="str">
        <f>IFERROR(__xludf.DUMMYFUNCTION("""COMPUTED_VALUE"""),"Negative")</f>
        <v>Negative</v>
      </c>
      <c r="I148" s="308">
        <f>IFERROR(__xludf.DUMMYFUNCTION("""COMPUTED_VALUE"""),44827.0)</f>
        <v>44827</v>
      </c>
      <c r="J148" s="311">
        <f>IFERROR(__xludf.DUMMYFUNCTION("""COMPUTED_VALUE"""),0.397337962962963)</f>
        <v>0.397337963</v>
      </c>
      <c r="K148" s="54"/>
      <c r="L148" s="7"/>
      <c r="M148" s="312"/>
      <c r="N148" s="172">
        <f>IFERROR(__xludf.DUMMYFUNCTION("""COMPUTED_VALUE"""),1.0)</f>
        <v>1</v>
      </c>
      <c r="O148" s="172" t="str">
        <f t="shared" si="3"/>
        <v/>
      </c>
      <c r="P148" s="313">
        <f>IFERROR(__xludf.DUMMYFUNCTION("""COMPUTED_VALUE"""),0.0)</f>
        <v>0</v>
      </c>
      <c r="Q148" s="76" t="b">
        <f>VLOOKUP($B148,'Run Reconcile'!B$2:O1399,14,FALSE)</f>
        <v>1</v>
      </c>
      <c r="R148" s="314" t="str">
        <f t="array" ref="R148">IF($Q148, INDEX('Run Reconcile'!A$2:A1399,MATCH(B148,'Run Reconcile'!B$2:B1399,0),1),IFERROR(0/0,""))</f>
        <v>RUN-ABRM_2022-09-23_RFR-022</v>
      </c>
      <c r="S148" s="315" t="str">
        <f t="shared" ref="S148:T148" si="300">IF(COUNTIF(W$2:W1399, $A148) &gt; 0,TRUE,IFERROR(0/0,""))</f>
        <v/>
      </c>
      <c r="T148" s="315" t="str">
        <f t="shared" si="300"/>
        <v/>
      </c>
      <c r="U148" s="114" t="str">
        <f t="array" ref="U148">IF(ISBLANK($R148), INDEX('Run Reconcile'!A$2:A1399, MATCH($B148, 'Run Reconcile'!B$2:B1399, 0)+Z148, 1), IFERROR(0/0,""))
</f>
        <v/>
      </c>
      <c r="V148" s="316" t="str">
        <f t="shared" si="5"/>
        <v>RUN-ABRM_2022-09-23_RFR-022</v>
      </c>
      <c r="Y148" s="317" t="str">
        <f t="shared" si="6"/>
        <v/>
      </c>
      <c r="Z148" s="83" t="str">
        <f t="shared" si="7"/>
        <v/>
      </c>
      <c r="AA148" s="83" t="str">
        <f t="shared" si="8"/>
        <v/>
      </c>
      <c r="AB148" s="83" t="str">
        <f t="shared" si="9"/>
        <v/>
      </c>
      <c r="AC148" s="18" t="str">
        <f t="shared" ref="AC148:AD148" si="301">IF(_xlfn.ISFORMULA(S148),IFERROR(0/0,""),TRUE)</f>
        <v/>
      </c>
      <c r="AD148" s="18" t="str">
        <f t="shared" si="301"/>
        <v/>
      </c>
      <c r="AE148" s="43"/>
      <c r="AF148" s="58" t="s">
        <v>43</v>
      </c>
      <c r="AG148" s="55" t="str">
        <f t="shared" si="11"/>
        <v/>
      </c>
    </row>
    <row r="149">
      <c r="A149" s="7" t="str">
        <f>IFERROR(__xludf.DUMMYFUNCTION("""COMPUTED_VALUE"""),"AK7094")</f>
        <v>AK7094</v>
      </c>
      <c r="B149" s="308">
        <f>IFERROR(__xludf.DUMMYFUNCTION("""COMPUTED_VALUE"""),44827.0)</f>
        <v>44827</v>
      </c>
      <c r="C149" s="309">
        <f>IFERROR(__xludf.DUMMYFUNCTION("""COMPUTED_VALUE"""),0.28283564814814816)</f>
        <v>0.2828356481</v>
      </c>
      <c r="D149" s="7" t="str">
        <f>IFERROR(__xludf.DUMMYFUNCTION("""COMPUTED_VALUE"""),"SpABRM814022")</f>
        <v>SpABRM814022</v>
      </c>
      <c r="E149" s="310"/>
      <c r="F149" s="310"/>
      <c r="G149" s="310" t="str">
        <f>IFERROR(__xludf.DUMMYFUNCTION("""COMPUTED_VALUE"""),"Negative")</f>
        <v>Negative</v>
      </c>
      <c r="H149" s="319" t="str">
        <f>IFERROR(__xludf.DUMMYFUNCTION("""COMPUTED_VALUE"""),"Negative")</f>
        <v>Negative</v>
      </c>
      <c r="I149" s="308">
        <f>IFERROR(__xludf.DUMMYFUNCTION("""COMPUTED_VALUE"""),44827.0)</f>
        <v>44827</v>
      </c>
      <c r="J149" s="311">
        <f>IFERROR(__xludf.DUMMYFUNCTION("""COMPUTED_VALUE"""),0.397349537037037)</f>
        <v>0.397349537</v>
      </c>
      <c r="K149" s="54"/>
      <c r="L149" s="7"/>
      <c r="M149" s="312"/>
      <c r="N149" s="172">
        <f>IFERROR(__xludf.DUMMYFUNCTION("""COMPUTED_VALUE"""),2.0)</f>
        <v>2</v>
      </c>
      <c r="O149" s="172" t="str">
        <f t="shared" si="3"/>
        <v/>
      </c>
      <c r="P149" s="313">
        <f>IFERROR(__xludf.DUMMYFUNCTION("""COMPUTED_VALUE"""),0.0)</f>
        <v>0</v>
      </c>
      <c r="Q149" s="76" t="b">
        <f>VLOOKUP($B149,'Run Reconcile'!B$2:O1399,14,FALSE)</f>
        <v>1</v>
      </c>
      <c r="R149" s="314" t="str">
        <f t="array" ref="R149">IF($Q149, INDEX('Run Reconcile'!A$2:A1399,MATCH(B149,'Run Reconcile'!B$2:B1399,0),1),IFERROR(0/0,""))</f>
        <v>RUN-ABRM_2022-09-23_RFR-022</v>
      </c>
      <c r="S149" s="315" t="str">
        <f t="shared" ref="S149:T149" si="302">IF(COUNTIF(W$2:W1399, $A149) &gt; 0,TRUE,IFERROR(0/0,""))</f>
        <v/>
      </c>
      <c r="T149" s="315" t="str">
        <f t="shared" si="302"/>
        <v/>
      </c>
      <c r="U149" s="114" t="str">
        <f t="array" ref="U149">IF(ISBLANK($R149), INDEX('Run Reconcile'!A$2:A1399, MATCH($B149, 'Run Reconcile'!B$2:B1399, 0)+Z149, 1), IFERROR(0/0,""))
</f>
        <v/>
      </c>
      <c r="V149" s="316" t="str">
        <f t="shared" si="5"/>
        <v>RUN-ABRM_2022-09-23_RFR-022</v>
      </c>
      <c r="Y149" s="317" t="str">
        <f t="shared" si="6"/>
        <v/>
      </c>
      <c r="Z149" s="83" t="str">
        <f t="shared" si="7"/>
        <v/>
      </c>
      <c r="AA149" s="83" t="str">
        <f t="shared" si="8"/>
        <v/>
      </c>
      <c r="AB149" s="83" t="str">
        <f t="shared" si="9"/>
        <v/>
      </c>
      <c r="AC149" s="18" t="str">
        <f t="shared" ref="AC149:AD149" si="303">IF(_xlfn.ISFORMULA(S149),IFERROR(0/0,""),TRUE)</f>
        <v/>
      </c>
      <c r="AD149" s="18" t="str">
        <f t="shared" si="303"/>
        <v/>
      </c>
      <c r="AE149" s="43"/>
      <c r="AF149" s="58" t="s">
        <v>43</v>
      </c>
      <c r="AG149" s="55" t="str">
        <f t="shared" si="11"/>
        <v/>
      </c>
    </row>
    <row r="150">
      <c r="A150" s="7" t="str">
        <f>IFERROR(__xludf.DUMMYFUNCTION("""COMPUTED_VALUE"""),"AG1923")</f>
        <v>AG1923</v>
      </c>
      <c r="B150" s="308">
        <f>IFERROR(__xludf.DUMMYFUNCTION("""COMPUTED_VALUE"""),44827.0)</f>
        <v>44827</v>
      </c>
      <c r="C150" s="309">
        <f>IFERROR(__xludf.DUMMYFUNCTION("""COMPUTED_VALUE"""),0.28835648148148146)</f>
        <v>0.2883564815</v>
      </c>
      <c r="D150" s="7" t="str">
        <f>IFERROR(__xludf.DUMMYFUNCTION("""COMPUTED_VALUE"""),"SpABRM128250")</f>
        <v>SpABRM128250</v>
      </c>
      <c r="E150" s="310"/>
      <c r="F150" s="310"/>
      <c r="G150" s="310" t="str">
        <f>IFERROR(__xludf.DUMMYFUNCTION("""COMPUTED_VALUE"""),"Negative")</f>
        <v>Negative</v>
      </c>
      <c r="H150" s="319" t="str">
        <f>IFERROR(__xludf.DUMMYFUNCTION("""COMPUTED_VALUE"""),"Negative")</f>
        <v>Negative</v>
      </c>
      <c r="I150" s="308">
        <f>IFERROR(__xludf.DUMMYFUNCTION("""COMPUTED_VALUE"""),44827.0)</f>
        <v>44827</v>
      </c>
      <c r="J150" s="311">
        <f>IFERROR(__xludf.DUMMYFUNCTION("""COMPUTED_VALUE"""),0.397349537037037)</f>
        <v>0.397349537</v>
      </c>
      <c r="K150" s="54"/>
      <c r="L150" s="7"/>
      <c r="M150" s="312"/>
      <c r="N150" s="172">
        <f>IFERROR(__xludf.DUMMYFUNCTION("""COMPUTED_VALUE"""),3.0)</f>
        <v>3</v>
      </c>
      <c r="O150" s="172" t="str">
        <f t="shared" si="3"/>
        <v/>
      </c>
      <c r="P150" s="313">
        <f>IFERROR(__xludf.DUMMYFUNCTION("""COMPUTED_VALUE"""),0.0)</f>
        <v>0</v>
      </c>
      <c r="Q150" s="76" t="b">
        <f>VLOOKUP($B150,'Run Reconcile'!B$2:O1399,14,FALSE)</f>
        <v>1</v>
      </c>
      <c r="R150" s="314" t="str">
        <f t="array" ref="R150">IF($Q150, INDEX('Run Reconcile'!A$2:A1399,MATCH(B150,'Run Reconcile'!B$2:B1399,0),1),IFERROR(0/0,""))</f>
        <v>RUN-ABRM_2022-09-23_RFR-022</v>
      </c>
      <c r="S150" s="315" t="str">
        <f t="shared" ref="S150:T150" si="304">IF(COUNTIF(W$2:W1399, $A150) &gt; 0,TRUE,IFERROR(0/0,""))</f>
        <v/>
      </c>
      <c r="T150" s="315" t="str">
        <f t="shared" si="304"/>
        <v/>
      </c>
      <c r="U150" s="114" t="str">
        <f t="array" ref="U150">IF(ISBLANK($R150), INDEX('Run Reconcile'!A$2:A1399, MATCH($B150, 'Run Reconcile'!B$2:B1399, 0)+Z150, 1), IFERROR(0/0,""))
</f>
        <v/>
      </c>
      <c r="V150" s="316" t="str">
        <f t="shared" si="5"/>
        <v>RUN-ABRM_2022-09-23_RFR-022</v>
      </c>
      <c r="Y150" s="317" t="str">
        <f t="shared" si="6"/>
        <v/>
      </c>
      <c r="Z150" s="83" t="str">
        <f t="shared" si="7"/>
        <v/>
      </c>
      <c r="AA150" s="83" t="str">
        <f t="shared" si="8"/>
        <v/>
      </c>
      <c r="AB150" s="83" t="str">
        <f t="shared" si="9"/>
        <v/>
      </c>
      <c r="AC150" s="18" t="str">
        <f t="shared" ref="AC150:AD150" si="305">IF(_xlfn.ISFORMULA(S150),IFERROR(0/0,""),TRUE)</f>
        <v/>
      </c>
      <c r="AD150" s="18" t="str">
        <f t="shared" si="305"/>
        <v/>
      </c>
      <c r="AE150" s="43"/>
      <c r="AF150" s="58" t="s">
        <v>43</v>
      </c>
      <c r="AG150" s="55" t="str">
        <f t="shared" si="11"/>
        <v/>
      </c>
    </row>
    <row r="151">
      <c r="A151" s="7" t="str">
        <f>IFERROR(__xludf.DUMMYFUNCTION("""COMPUTED_VALUE"""),"AG1897")</f>
        <v>AG1897</v>
      </c>
      <c r="B151" s="308">
        <f>IFERROR(__xludf.DUMMYFUNCTION("""COMPUTED_VALUE"""),44827.0)</f>
        <v>44827</v>
      </c>
      <c r="C151" s="309">
        <f>IFERROR(__xludf.DUMMYFUNCTION("""COMPUTED_VALUE"""),0.29564814814814816)</f>
        <v>0.2956481481</v>
      </c>
      <c r="D151" s="7" t="str">
        <f>IFERROR(__xludf.DUMMYFUNCTION("""COMPUTED_VALUE"""),"SpABRM367540")</f>
        <v>SpABRM367540</v>
      </c>
      <c r="E151" s="310"/>
      <c r="F151" s="310"/>
      <c r="G151" s="310" t="str">
        <f>IFERROR(__xludf.DUMMYFUNCTION("""COMPUTED_VALUE"""),"Negative")</f>
        <v>Negative</v>
      </c>
      <c r="H151" s="319" t="str">
        <f>IFERROR(__xludf.DUMMYFUNCTION("""COMPUTED_VALUE"""),"Negative")</f>
        <v>Negative</v>
      </c>
      <c r="I151" s="308">
        <f>IFERROR(__xludf.DUMMYFUNCTION("""COMPUTED_VALUE"""),44827.0)</f>
        <v>44827</v>
      </c>
      <c r="J151" s="311">
        <f>IFERROR(__xludf.DUMMYFUNCTION("""COMPUTED_VALUE"""),0.3973611111111111)</f>
        <v>0.3973611111</v>
      </c>
      <c r="K151" s="54"/>
      <c r="L151" s="7"/>
      <c r="M151" s="312"/>
      <c r="N151" s="172">
        <f>IFERROR(__xludf.DUMMYFUNCTION("""COMPUTED_VALUE"""),3.0)</f>
        <v>3</v>
      </c>
      <c r="O151" s="172" t="str">
        <f t="shared" si="3"/>
        <v/>
      </c>
      <c r="P151" s="313">
        <f>IFERROR(__xludf.DUMMYFUNCTION("""COMPUTED_VALUE"""),0.0)</f>
        <v>0</v>
      </c>
      <c r="Q151" s="76" t="b">
        <f>VLOOKUP($B151,'Run Reconcile'!B$2:O1399,14,FALSE)</f>
        <v>1</v>
      </c>
      <c r="R151" s="314" t="str">
        <f t="array" ref="R151">IF($Q151, INDEX('Run Reconcile'!A$2:A1399,MATCH(B151,'Run Reconcile'!B$2:B1399,0),1),IFERROR(0/0,""))</f>
        <v>RUN-ABRM_2022-09-23_RFR-022</v>
      </c>
      <c r="S151" s="315" t="str">
        <f t="shared" ref="S151:T151" si="306">IF(COUNTIF(W$2:W1399, $A151) &gt; 0,TRUE,IFERROR(0/0,""))</f>
        <v/>
      </c>
      <c r="T151" s="315" t="str">
        <f t="shared" si="306"/>
        <v/>
      </c>
      <c r="U151" s="114" t="str">
        <f t="array" ref="U151">IF(ISBLANK($R151), INDEX('Run Reconcile'!A$2:A1399, MATCH($B151, 'Run Reconcile'!B$2:B1399, 0)+Z151, 1), IFERROR(0/0,""))
</f>
        <v/>
      </c>
      <c r="V151" s="316" t="str">
        <f t="shared" si="5"/>
        <v>RUN-ABRM_2022-09-23_RFR-022</v>
      </c>
      <c r="Y151" s="317" t="str">
        <f t="shared" si="6"/>
        <v/>
      </c>
      <c r="Z151" s="83" t="str">
        <f t="shared" si="7"/>
        <v/>
      </c>
      <c r="AA151" s="83" t="str">
        <f t="shared" si="8"/>
        <v/>
      </c>
      <c r="AB151" s="83" t="str">
        <f t="shared" si="9"/>
        <v/>
      </c>
      <c r="AC151" s="18" t="str">
        <f t="shared" ref="AC151:AD151" si="307">IF(_xlfn.ISFORMULA(S151),IFERROR(0/0,""),TRUE)</f>
        <v/>
      </c>
      <c r="AD151" s="18" t="str">
        <f t="shared" si="307"/>
        <v/>
      </c>
      <c r="AE151" s="43"/>
      <c r="AF151" s="58" t="s">
        <v>43</v>
      </c>
      <c r="AG151" s="55" t="str">
        <f t="shared" si="11"/>
        <v/>
      </c>
    </row>
    <row r="152">
      <c r="A152" s="7" t="str">
        <f>IFERROR(__xludf.DUMMYFUNCTION("""COMPUTED_VALUE"""),"AJ8969")</f>
        <v>AJ8969</v>
      </c>
      <c r="B152" s="308">
        <f>IFERROR(__xludf.DUMMYFUNCTION("""COMPUTED_VALUE"""),44827.0)</f>
        <v>44827</v>
      </c>
      <c r="C152" s="309">
        <f>IFERROR(__xludf.DUMMYFUNCTION("""COMPUTED_VALUE"""),0.3016666666666667)</f>
        <v>0.3016666667</v>
      </c>
      <c r="D152" s="7" t="str">
        <f>IFERROR(__xludf.DUMMYFUNCTION("""COMPUTED_VALUE"""),"SpABRM297307")</f>
        <v>SpABRM297307</v>
      </c>
      <c r="E152" s="310"/>
      <c r="F152" s="310"/>
      <c r="G152" s="310" t="str">
        <f>IFERROR(__xludf.DUMMYFUNCTION("""COMPUTED_VALUE"""),"Negative")</f>
        <v>Negative</v>
      </c>
      <c r="H152" s="319" t="str">
        <f>IFERROR(__xludf.DUMMYFUNCTION("""COMPUTED_VALUE"""),"Negative")</f>
        <v>Negative</v>
      </c>
      <c r="I152" s="308">
        <f>IFERROR(__xludf.DUMMYFUNCTION("""COMPUTED_VALUE"""),44827.0)</f>
        <v>44827</v>
      </c>
      <c r="J152" s="311">
        <f>IFERROR(__xludf.DUMMYFUNCTION("""COMPUTED_VALUE"""),0.3973611111111111)</f>
        <v>0.3973611111</v>
      </c>
      <c r="K152" s="54"/>
      <c r="L152" s="7"/>
      <c r="M152" s="312"/>
      <c r="N152" s="172">
        <f>IFERROR(__xludf.DUMMYFUNCTION("""COMPUTED_VALUE"""),3.0)</f>
        <v>3</v>
      </c>
      <c r="O152" s="172" t="str">
        <f t="shared" si="3"/>
        <v/>
      </c>
      <c r="P152" s="313">
        <f>IFERROR(__xludf.DUMMYFUNCTION("""COMPUTED_VALUE"""),0.0)</f>
        <v>0</v>
      </c>
      <c r="Q152" s="76" t="b">
        <f>VLOOKUP($B152,'Run Reconcile'!B$2:O1399,14,FALSE)</f>
        <v>1</v>
      </c>
      <c r="R152" s="314" t="str">
        <f t="array" ref="R152">IF($Q152, INDEX('Run Reconcile'!A$2:A1399,MATCH(B152,'Run Reconcile'!B$2:B1399,0),1),IFERROR(0/0,""))</f>
        <v>RUN-ABRM_2022-09-23_RFR-022</v>
      </c>
      <c r="S152" s="315" t="str">
        <f t="shared" ref="S152:T152" si="308">IF(COUNTIF(W$2:W1399, $A152) &gt; 0,TRUE,IFERROR(0/0,""))</f>
        <v/>
      </c>
      <c r="T152" s="315" t="str">
        <f t="shared" si="308"/>
        <v/>
      </c>
      <c r="U152" s="114" t="str">
        <f t="array" ref="U152">IF(ISBLANK($R152), INDEX('Run Reconcile'!A$2:A1399, MATCH($B152, 'Run Reconcile'!B$2:B1399, 0)+Z152, 1), IFERROR(0/0,""))
</f>
        <v/>
      </c>
      <c r="V152" s="316" t="str">
        <f t="shared" si="5"/>
        <v>RUN-ABRM_2022-09-23_RFR-022</v>
      </c>
      <c r="Y152" s="317" t="str">
        <f t="shared" si="6"/>
        <v/>
      </c>
      <c r="Z152" s="83" t="str">
        <f t="shared" si="7"/>
        <v/>
      </c>
      <c r="AA152" s="83" t="str">
        <f t="shared" si="8"/>
        <v/>
      </c>
      <c r="AB152" s="83" t="str">
        <f t="shared" si="9"/>
        <v/>
      </c>
      <c r="AC152" s="18" t="str">
        <f t="shared" ref="AC152:AD152" si="309">IF(_xlfn.ISFORMULA(S152),IFERROR(0/0,""),TRUE)</f>
        <v/>
      </c>
      <c r="AD152" s="18" t="str">
        <f t="shared" si="309"/>
        <v/>
      </c>
      <c r="AE152" s="43"/>
      <c r="AF152" s="58" t="s">
        <v>43</v>
      </c>
      <c r="AG152" s="55" t="str">
        <f t="shared" si="11"/>
        <v/>
      </c>
    </row>
    <row r="153">
      <c r="A153" s="7" t="str">
        <f>IFERROR(__xludf.DUMMYFUNCTION("""COMPUTED_VALUE"""),"AH7758")</f>
        <v>AH7758</v>
      </c>
      <c r="B153" s="308">
        <f>IFERROR(__xludf.DUMMYFUNCTION("""COMPUTED_VALUE"""),44827.0)</f>
        <v>44827</v>
      </c>
      <c r="C153" s="309">
        <f>IFERROR(__xludf.DUMMYFUNCTION("""COMPUTED_VALUE"""),0.3108680555555556)</f>
        <v>0.3108680556</v>
      </c>
      <c r="D153" s="7" t="str">
        <f>IFERROR(__xludf.DUMMYFUNCTION("""COMPUTED_VALUE"""),"SpABRM716377")</f>
        <v>SpABRM716377</v>
      </c>
      <c r="E153" s="310"/>
      <c r="F153" s="310"/>
      <c r="G153" s="310" t="str">
        <f>IFERROR(__xludf.DUMMYFUNCTION("""COMPUTED_VALUE"""),"Negative")</f>
        <v>Negative</v>
      </c>
      <c r="H153" s="319" t="str">
        <f>IFERROR(__xludf.DUMMYFUNCTION("""COMPUTED_VALUE"""),"Negative")</f>
        <v>Negative</v>
      </c>
      <c r="I153" s="308">
        <f>IFERROR(__xludf.DUMMYFUNCTION("""COMPUTED_VALUE"""),44827.0)</f>
        <v>44827</v>
      </c>
      <c r="J153" s="311">
        <f>IFERROR(__xludf.DUMMYFUNCTION("""COMPUTED_VALUE"""),0.3973726851851852)</f>
        <v>0.3973726852</v>
      </c>
      <c r="K153" s="54"/>
      <c r="L153" s="7"/>
      <c r="M153" s="312"/>
      <c r="N153" s="172">
        <f>IFERROR(__xludf.DUMMYFUNCTION("""COMPUTED_VALUE"""),2.0)</f>
        <v>2</v>
      </c>
      <c r="O153" s="172" t="str">
        <f t="shared" si="3"/>
        <v/>
      </c>
      <c r="P153" s="313">
        <f>IFERROR(__xludf.DUMMYFUNCTION("""COMPUTED_VALUE"""),0.0)</f>
        <v>0</v>
      </c>
      <c r="Q153" s="76" t="b">
        <f>VLOOKUP($B153,'Run Reconcile'!B$2:O1399,14,FALSE)</f>
        <v>1</v>
      </c>
      <c r="R153" s="314" t="str">
        <f t="array" ref="R153">IF($Q153, INDEX('Run Reconcile'!A$2:A1399,MATCH(B153,'Run Reconcile'!B$2:B1399,0),1),IFERROR(0/0,""))</f>
        <v>RUN-ABRM_2022-09-23_RFR-022</v>
      </c>
      <c r="S153" s="315" t="str">
        <f t="shared" ref="S153:T153" si="310">IF(COUNTIF(W$2:W1399, $A153) &gt; 0,TRUE,IFERROR(0/0,""))</f>
        <v/>
      </c>
      <c r="T153" s="315" t="str">
        <f t="shared" si="310"/>
        <v/>
      </c>
      <c r="U153" s="114" t="str">
        <f t="array" ref="U153">IF(ISBLANK($R153), INDEX('Run Reconcile'!A$2:A1399, MATCH($B153, 'Run Reconcile'!B$2:B1399, 0)+Z153, 1), IFERROR(0/0,""))
</f>
        <v/>
      </c>
      <c r="V153" s="316" t="str">
        <f t="shared" si="5"/>
        <v>RUN-ABRM_2022-09-23_RFR-022</v>
      </c>
      <c r="Y153" s="317" t="str">
        <f t="shared" si="6"/>
        <v/>
      </c>
      <c r="Z153" s="83" t="str">
        <f t="shared" si="7"/>
        <v/>
      </c>
      <c r="AA153" s="83" t="str">
        <f t="shared" si="8"/>
        <v/>
      </c>
      <c r="AB153" s="83" t="str">
        <f t="shared" si="9"/>
        <v/>
      </c>
      <c r="AC153" s="18" t="str">
        <f t="shared" ref="AC153:AD153" si="311">IF(_xlfn.ISFORMULA(S153),IFERROR(0/0,""),TRUE)</f>
        <v/>
      </c>
      <c r="AD153" s="18" t="str">
        <f t="shared" si="311"/>
        <v/>
      </c>
      <c r="AE153" s="43"/>
      <c r="AF153" s="58" t="s">
        <v>43</v>
      </c>
      <c r="AG153" s="55" t="str">
        <f t="shared" si="11"/>
        <v/>
      </c>
    </row>
    <row r="154">
      <c r="A154" s="7" t="str">
        <f>IFERROR(__xludf.DUMMYFUNCTION("""COMPUTED_VALUE"""),"AH8740")</f>
        <v>AH8740</v>
      </c>
      <c r="B154" s="308">
        <f>IFERROR(__xludf.DUMMYFUNCTION("""COMPUTED_VALUE"""),44827.0)</f>
        <v>44827</v>
      </c>
      <c r="C154" s="309">
        <f>IFERROR(__xludf.DUMMYFUNCTION("""COMPUTED_VALUE"""),0.34047453703703706)</f>
        <v>0.340474537</v>
      </c>
      <c r="D154" s="7" t="str">
        <f>IFERROR(__xludf.DUMMYFUNCTION("""COMPUTED_VALUE"""),"SpABRM655136")</f>
        <v>SpABRM655136</v>
      </c>
      <c r="E154" s="310"/>
      <c r="F154" s="310"/>
      <c r="G154" s="310" t="str">
        <f>IFERROR(__xludf.DUMMYFUNCTION("""COMPUTED_VALUE"""),"Negative")</f>
        <v>Negative</v>
      </c>
      <c r="H154" s="319" t="str">
        <f>IFERROR(__xludf.DUMMYFUNCTION("""COMPUTED_VALUE"""),"Negative")</f>
        <v>Negative</v>
      </c>
      <c r="I154" s="308">
        <f>IFERROR(__xludf.DUMMYFUNCTION("""COMPUTED_VALUE"""),44827.0)</f>
        <v>44827</v>
      </c>
      <c r="J154" s="311">
        <f>IFERROR(__xludf.DUMMYFUNCTION("""COMPUTED_VALUE"""),0.3973726851851852)</f>
        <v>0.3973726852</v>
      </c>
      <c r="K154" s="54"/>
      <c r="L154" s="7"/>
      <c r="M154" s="312"/>
      <c r="N154" s="172">
        <f>IFERROR(__xludf.DUMMYFUNCTION("""COMPUTED_VALUE"""),2.0)</f>
        <v>2</v>
      </c>
      <c r="O154" s="172" t="str">
        <f t="shared" si="3"/>
        <v/>
      </c>
      <c r="P154" s="313">
        <f>IFERROR(__xludf.DUMMYFUNCTION("""COMPUTED_VALUE"""),0.0)</f>
        <v>0</v>
      </c>
      <c r="Q154" s="76" t="b">
        <f>VLOOKUP($B154,'Run Reconcile'!B$2:O1399,14,FALSE)</f>
        <v>1</v>
      </c>
      <c r="R154" s="314" t="str">
        <f t="array" ref="R154">IF($Q154, INDEX('Run Reconcile'!A$2:A1399,MATCH(B154,'Run Reconcile'!B$2:B1399,0),1),IFERROR(0/0,""))</f>
        <v>RUN-ABRM_2022-09-23_RFR-022</v>
      </c>
      <c r="S154" s="315" t="str">
        <f t="shared" ref="S154:T154" si="312">IF(COUNTIF(W$2:W1399, $A154) &gt; 0,TRUE,IFERROR(0/0,""))</f>
        <v/>
      </c>
      <c r="T154" s="315" t="str">
        <f t="shared" si="312"/>
        <v/>
      </c>
      <c r="U154" s="114" t="str">
        <f t="array" ref="U154">IF(ISBLANK($R154), INDEX('Run Reconcile'!A$2:A1399, MATCH($B154, 'Run Reconcile'!B$2:B1399, 0)+Z154, 1), IFERROR(0/0,""))
</f>
        <v/>
      </c>
      <c r="V154" s="316" t="str">
        <f t="shared" si="5"/>
        <v>RUN-ABRM_2022-09-23_RFR-022</v>
      </c>
      <c r="Y154" s="317" t="str">
        <f t="shared" si="6"/>
        <v/>
      </c>
      <c r="Z154" s="83" t="str">
        <f t="shared" si="7"/>
        <v/>
      </c>
      <c r="AA154" s="83" t="str">
        <f t="shared" si="8"/>
        <v/>
      </c>
      <c r="AB154" s="83" t="str">
        <f t="shared" si="9"/>
        <v/>
      </c>
      <c r="AC154" s="18" t="str">
        <f t="shared" ref="AC154:AD154" si="313">IF(_xlfn.ISFORMULA(S154),IFERROR(0/0,""),TRUE)</f>
        <v/>
      </c>
      <c r="AD154" s="18" t="str">
        <f t="shared" si="313"/>
        <v/>
      </c>
      <c r="AE154" s="43"/>
      <c r="AF154" s="58" t="s">
        <v>43</v>
      </c>
      <c r="AG154" s="55" t="str">
        <f t="shared" si="11"/>
        <v/>
      </c>
    </row>
    <row r="155">
      <c r="A155" s="7" t="str">
        <f>IFERROR(__xludf.DUMMYFUNCTION("""COMPUTED_VALUE"""),"AH8027")</f>
        <v>AH8027</v>
      </c>
      <c r="B155" s="308">
        <f>IFERROR(__xludf.DUMMYFUNCTION("""COMPUTED_VALUE"""),44827.0)</f>
        <v>44827</v>
      </c>
      <c r="C155" s="309">
        <f>IFERROR(__xludf.DUMMYFUNCTION("""COMPUTED_VALUE"""),0.34164351851851854)</f>
        <v>0.3416435185</v>
      </c>
      <c r="D155" s="7" t="str">
        <f>IFERROR(__xludf.DUMMYFUNCTION("""COMPUTED_VALUE"""),"SpABRM655136")</f>
        <v>SpABRM655136</v>
      </c>
      <c r="E155" s="310"/>
      <c r="F155" s="310"/>
      <c r="G155" s="310" t="str">
        <f>IFERROR(__xludf.DUMMYFUNCTION("""COMPUTED_VALUE"""),"Negative")</f>
        <v>Negative</v>
      </c>
      <c r="H155" s="319" t="str">
        <f>IFERROR(__xludf.DUMMYFUNCTION("""COMPUTED_VALUE"""),"Negative")</f>
        <v>Negative</v>
      </c>
      <c r="I155" s="308">
        <f>IFERROR(__xludf.DUMMYFUNCTION("""COMPUTED_VALUE"""),44827.0)</f>
        <v>44827</v>
      </c>
      <c r="J155" s="311">
        <f>IFERROR(__xludf.DUMMYFUNCTION("""COMPUTED_VALUE"""),0.39738425925925924)</f>
        <v>0.3973842593</v>
      </c>
      <c r="K155" s="54"/>
      <c r="L155" s="7"/>
      <c r="M155" s="312"/>
      <c r="N155" s="172">
        <f>IFERROR(__xludf.DUMMYFUNCTION("""COMPUTED_VALUE"""),2.0)</f>
        <v>2</v>
      </c>
      <c r="O155" s="172" t="str">
        <f t="shared" si="3"/>
        <v/>
      </c>
      <c r="P155" s="313">
        <f>IFERROR(__xludf.DUMMYFUNCTION("""COMPUTED_VALUE"""),0.0)</f>
        <v>0</v>
      </c>
      <c r="Q155" s="76" t="b">
        <f>VLOOKUP($B155,'Run Reconcile'!B$2:O1399,14,FALSE)</f>
        <v>1</v>
      </c>
      <c r="R155" s="314" t="str">
        <f t="array" ref="R155">IF($Q155, INDEX('Run Reconcile'!A$2:A1399,MATCH(B155,'Run Reconcile'!B$2:B1399,0),1),IFERROR(0/0,""))</f>
        <v>RUN-ABRM_2022-09-23_RFR-022</v>
      </c>
      <c r="S155" s="315" t="str">
        <f t="shared" ref="S155:T155" si="314">IF(COUNTIF(W$2:W1399, $A155) &gt; 0,TRUE,IFERROR(0/0,""))</f>
        <v/>
      </c>
      <c r="T155" s="315" t="str">
        <f t="shared" si="314"/>
        <v/>
      </c>
      <c r="U155" s="114" t="str">
        <f t="array" ref="U155">IF(ISBLANK($R155), INDEX('Run Reconcile'!A$2:A1399, MATCH($B155, 'Run Reconcile'!B$2:B1399, 0)+Z155, 1), IFERROR(0/0,""))
</f>
        <v/>
      </c>
      <c r="V155" s="316" t="str">
        <f t="shared" si="5"/>
        <v>RUN-ABRM_2022-09-23_RFR-022</v>
      </c>
      <c r="Y155" s="317" t="str">
        <f t="shared" si="6"/>
        <v/>
      </c>
      <c r="Z155" s="83" t="str">
        <f t="shared" si="7"/>
        <v/>
      </c>
      <c r="AA155" s="83" t="str">
        <f t="shared" si="8"/>
        <v/>
      </c>
      <c r="AB155" s="83" t="str">
        <f t="shared" si="9"/>
        <v/>
      </c>
      <c r="AC155" s="18" t="str">
        <f t="shared" ref="AC155:AD155" si="315">IF(_xlfn.ISFORMULA(S155),IFERROR(0/0,""),TRUE)</f>
        <v/>
      </c>
      <c r="AD155" s="18" t="str">
        <f t="shared" si="315"/>
        <v/>
      </c>
      <c r="AE155" s="43"/>
      <c r="AF155" s="58" t="s">
        <v>43</v>
      </c>
      <c r="AG155" s="55" t="str">
        <f t="shared" si="11"/>
        <v/>
      </c>
    </row>
    <row r="156">
      <c r="A156" s="7" t="str">
        <f>IFERROR(__xludf.DUMMYFUNCTION("""COMPUTED_VALUE"""),"AG740")</f>
        <v>AG740</v>
      </c>
      <c r="B156" s="308">
        <f>IFERROR(__xludf.DUMMYFUNCTION("""COMPUTED_VALUE"""),44830.0)</f>
        <v>44830</v>
      </c>
      <c r="C156" s="309">
        <f>IFERROR(__xludf.DUMMYFUNCTION("""COMPUTED_VALUE"""),0.23684027777777777)</f>
        <v>0.2368402778</v>
      </c>
      <c r="D156" s="7" t="str">
        <f>IFERROR(__xludf.DUMMYFUNCTION("""COMPUTED_VALUE"""),"SpABRM188986")</f>
        <v>SpABRM188986</v>
      </c>
      <c r="E156" s="310"/>
      <c r="F156" s="310"/>
      <c r="G156" s="310" t="str">
        <f>IFERROR(__xludf.DUMMYFUNCTION("""COMPUTED_VALUE"""),"Negative")</f>
        <v>Negative</v>
      </c>
      <c r="H156" s="319" t="str">
        <f>IFERROR(__xludf.DUMMYFUNCTION("""COMPUTED_VALUE"""),"Negative")</f>
        <v>Negative</v>
      </c>
      <c r="I156" s="308">
        <f>IFERROR(__xludf.DUMMYFUNCTION("""COMPUTED_VALUE"""),44830.0)</f>
        <v>44830</v>
      </c>
      <c r="J156" s="311">
        <f>IFERROR(__xludf.DUMMYFUNCTION("""COMPUTED_VALUE"""),0.42140046296296296)</f>
        <v>0.421400463</v>
      </c>
      <c r="K156" s="54"/>
      <c r="L156" s="7"/>
      <c r="M156" s="312"/>
      <c r="N156" s="172">
        <f>IFERROR(__xludf.DUMMYFUNCTION("""COMPUTED_VALUE"""),2.0)</f>
        <v>2</v>
      </c>
      <c r="O156" s="172" t="b">
        <f t="shared" si="3"/>
        <v>1</v>
      </c>
      <c r="P156" s="313">
        <f>IFERROR(__xludf.DUMMYFUNCTION("""COMPUTED_VALUE"""),0.0)</f>
        <v>0</v>
      </c>
      <c r="Q156" s="76" t="b">
        <f>VLOOKUP($B156,'Run Reconcile'!B$2:O1399,14,FALSE)</f>
        <v>1</v>
      </c>
      <c r="R156" s="314" t="str">
        <f t="array" ref="R156">IF($Q156, INDEX('Run Reconcile'!A$2:A1399,MATCH(B156,'Run Reconcile'!B$2:B1399,0),1),IFERROR(0/0,""))</f>
        <v>RUN-ABRM_2022-09-26_RFR-023</v>
      </c>
      <c r="S156" s="315" t="str">
        <f t="shared" ref="S156:T156" si="316">IF(COUNTIF(W$2:W1399, $A156) &gt; 0,TRUE,IFERROR(0/0,""))</f>
        <v/>
      </c>
      <c r="T156" s="315" t="str">
        <f t="shared" si="316"/>
        <v/>
      </c>
      <c r="U156" s="114" t="str">
        <f t="array" ref="U156">IF(ISBLANK($R156), INDEX('Run Reconcile'!A$2:A1399, MATCH($B156, 'Run Reconcile'!B$2:B1399, 0)+Z156, 1), IFERROR(0/0,""))
</f>
        <v/>
      </c>
      <c r="V156" s="316" t="str">
        <f t="shared" si="5"/>
        <v>RUN-ABRM_2022-09-26_RFR-023</v>
      </c>
      <c r="Y156" s="317" t="str">
        <f t="shared" si="6"/>
        <v/>
      </c>
      <c r="Z156" s="83" t="str">
        <f t="shared" si="7"/>
        <v/>
      </c>
      <c r="AA156" s="83" t="str">
        <f t="shared" si="8"/>
        <v/>
      </c>
      <c r="AB156" s="83" t="str">
        <f t="shared" si="9"/>
        <v/>
      </c>
      <c r="AC156" s="18" t="str">
        <f t="shared" ref="AC156:AD156" si="317">IF(_xlfn.ISFORMULA(S156),IFERROR(0/0,""),TRUE)</f>
        <v/>
      </c>
      <c r="AD156" s="18" t="str">
        <f t="shared" si="317"/>
        <v/>
      </c>
      <c r="AE156" s="43"/>
      <c r="AF156" s="58" t="s">
        <v>44</v>
      </c>
      <c r="AG156" s="55" t="str">
        <f t="shared" si="11"/>
        <v/>
      </c>
    </row>
    <row r="157">
      <c r="A157" s="7" t="str">
        <f>IFERROR(__xludf.DUMMYFUNCTION("""COMPUTED_VALUE"""),"AH7281")</f>
        <v>AH7281</v>
      </c>
      <c r="B157" s="308">
        <f>IFERROR(__xludf.DUMMYFUNCTION("""COMPUTED_VALUE"""),44830.0)</f>
        <v>44830</v>
      </c>
      <c r="C157" s="309">
        <f>IFERROR(__xludf.DUMMYFUNCTION("""COMPUTED_VALUE"""),0.24347222222222223)</f>
        <v>0.2434722222</v>
      </c>
      <c r="D157" s="7" t="str">
        <f>IFERROR(__xludf.DUMMYFUNCTION("""COMPUTED_VALUE"""),"SpABRM128250")</f>
        <v>SpABRM128250</v>
      </c>
      <c r="E157" s="310"/>
      <c r="F157" s="310"/>
      <c r="G157" s="310" t="str">
        <f>IFERROR(__xludf.DUMMYFUNCTION("""COMPUTED_VALUE"""),"Negative")</f>
        <v>Negative</v>
      </c>
      <c r="H157" s="319" t="str">
        <f>IFERROR(__xludf.DUMMYFUNCTION("""COMPUTED_VALUE"""),"Negative")</f>
        <v>Negative</v>
      </c>
      <c r="I157" s="308">
        <f>IFERROR(__xludf.DUMMYFUNCTION("""COMPUTED_VALUE"""),44830.0)</f>
        <v>44830</v>
      </c>
      <c r="J157" s="311">
        <f>IFERROR(__xludf.DUMMYFUNCTION("""COMPUTED_VALUE"""),0.42141203703703706)</f>
        <v>0.421412037</v>
      </c>
      <c r="K157" s="54"/>
      <c r="L157" s="7"/>
      <c r="M157" s="312"/>
      <c r="N157" s="172">
        <f>IFERROR(__xludf.DUMMYFUNCTION("""COMPUTED_VALUE"""),3.0)</f>
        <v>3</v>
      </c>
      <c r="O157" s="172" t="str">
        <f t="shared" si="3"/>
        <v/>
      </c>
      <c r="P157" s="313">
        <f>IFERROR(__xludf.DUMMYFUNCTION("""COMPUTED_VALUE"""),0.0)</f>
        <v>0</v>
      </c>
      <c r="Q157" s="76" t="b">
        <f>VLOOKUP($B157,'Run Reconcile'!B$2:O1399,14,FALSE)</f>
        <v>1</v>
      </c>
      <c r="R157" s="314" t="str">
        <f t="array" ref="R157">IF($Q157, INDEX('Run Reconcile'!A$2:A1399,MATCH(B157,'Run Reconcile'!B$2:B1399,0),1),IFERROR(0/0,""))</f>
        <v>RUN-ABRM_2022-09-26_RFR-023</v>
      </c>
      <c r="S157" s="315" t="str">
        <f t="shared" ref="S157:T157" si="318">IF(COUNTIF(W$2:W1399, $A157) &gt; 0,TRUE,IFERROR(0/0,""))</f>
        <v/>
      </c>
      <c r="T157" s="315" t="str">
        <f t="shared" si="318"/>
        <v/>
      </c>
      <c r="U157" s="114" t="str">
        <f t="array" ref="U157">IF(ISBLANK($R157), INDEX('Run Reconcile'!A$2:A1399, MATCH($B157, 'Run Reconcile'!B$2:B1399, 0)+Z157, 1), IFERROR(0/0,""))
</f>
        <v/>
      </c>
      <c r="V157" s="316" t="str">
        <f t="shared" si="5"/>
        <v>RUN-ABRM_2022-09-26_RFR-023</v>
      </c>
      <c r="Y157" s="317" t="str">
        <f t="shared" si="6"/>
        <v/>
      </c>
      <c r="Z157" s="83" t="str">
        <f t="shared" si="7"/>
        <v/>
      </c>
      <c r="AA157" s="83" t="str">
        <f t="shared" si="8"/>
        <v/>
      </c>
      <c r="AB157" s="83" t="str">
        <f t="shared" si="9"/>
        <v/>
      </c>
      <c r="AC157" s="18" t="str">
        <f t="shared" ref="AC157:AD157" si="319">IF(_xlfn.ISFORMULA(S157),IFERROR(0/0,""),TRUE)</f>
        <v/>
      </c>
      <c r="AD157" s="18" t="str">
        <f t="shared" si="319"/>
        <v/>
      </c>
      <c r="AE157" s="43"/>
      <c r="AF157" s="58" t="s">
        <v>44</v>
      </c>
      <c r="AG157" s="55" t="str">
        <f t="shared" si="11"/>
        <v/>
      </c>
    </row>
    <row r="158">
      <c r="A158" s="7" t="str">
        <f>IFERROR(__xludf.DUMMYFUNCTION("""COMPUTED_VALUE"""),"AH9014")</f>
        <v>AH9014</v>
      </c>
      <c r="B158" s="308">
        <f>IFERROR(__xludf.DUMMYFUNCTION("""COMPUTED_VALUE"""),44830.0)</f>
        <v>44830</v>
      </c>
      <c r="C158" s="309">
        <f>IFERROR(__xludf.DUMMYFUNCTION("""COMPUTED_VALUE"""),0.24487268518518518)</f>
        <v>0.2448726852</v>
      </c>
      <c r="D158" s="7" t="str">
        <f>IFERROR(__xludf.DUMMYFUNCTION("""COMPUTED_VALUE"""),"SpABRM454310")</f>
        <v>SpABRM454310</v>
      </c>
      <c r="E158" s="310"/>
      <c r="F158" s="310"/>
      <c r="G158" s="310" t="str">
        <f>IFERROR(__xludf.DUMMYFUNCTION("""COMPUTED_VALUE"""),"Negative")</f>
        <v>Negative</v>
      </c>
      <c r="H158" s="319" t="str">
        <f>IFERROR(__xludf.DUMMYFUNCTION("""COMPUTED_VALUE"""),"Negative")</f>
        <v>Negative</v>
      </c>
      <c r="I158" s="308">
        <f>IFERROR(__xludf.DUMMYFUNCTION("""COMPUTED_VALUE"""),44830.0)</f>
        <v>44830</v>
      </c>
      <c r="J158" s="311">
        <f>IFERROR(__xludf.DUMMYFUNCTION("""COMPUTED_VALUE"""),0.4214236111111111)</f>
        <v>0.4214236111</v>
      </c>
      <c r="K158" s="54"/>
      <c r="L158" s="7"/>
      <c r="M158" s="312"/>
      <c r="N158" s="172">
        <f>IFERROR(__xludf.DUMMYFUNCTION("""COMPUTED_VALUE"""),3.0)</f>
        <v>3</v>
      </c>
      <c r="O158" s="172" t="str">
        <f t="shared" si="3"/>
        <v/>
      </c>
      <c r="P158" s="313">
        <f>IFERROR(__xludf.DUMMYFUNCTION("""COMPUTED_VALUE"""),0.0)</f>
        <v>0</v>
      </c>
      <c r="Q158" s="76" t="b">
        <f>VLOOKUP($B158,'Run Reconcile'!B$2:O1399,14,FALSE)</f>
        <v>1</v>
      </c>
      <c r="R158" s="314" t="str">
        <f t="array" ref="R158">IF($Q158, INDEX('Run Reconcile'!A$2:A1399,MATCH(B158,'Run Reconcile'!B$2:B1399,0),1),IFERROR(0/0,""))</f>
        <v>RUN-ABRM_2022-09-26_RFR-023</v>
      </c>
      <c r="S158" s="315" t="str">
        <f t="shared" ref="S158:T158" si="320">IF(COUNTIF(W$2:W1399, $A158) &gt; 0,TRUE,IFERROR(0/0,""))</f>
        <v/>
      </c>
      <c r="T158" s="315" t="str">
        <f t="shared" si="320"/>
        <v/>
      </c>
      <c r="U158" s="114" t="str">
        <f t="array" ref="U158">IF(ISBLANK($R158), INDEX('Run Reconcile'!A$2:A1399, MATCH($B158, 'Run Reconcile'!B$2:B1399, 0)+Z158, 1), IFERROR(0/0,""))
</f>
        <v/>
      </c>
      <c r="V158" s="316" t="str">
        <f t="shared" si="5"/>
        <v>RUN-ABRM_2022-09-26_RFR-023</v>
      </c>
      <c r="Y158" s="317" t="str">
        <f t="shared" si="6"/>
        <v/>
      </c>
      <c r="Z158" s="83" t="str">
        <f t="shared" si="7"/>
        <v/>
      </c>
      <c r="AA158" s="83" t="str">
        <f t="shared" si="8"/>
        <v/>
      </c>
      <c r="AB158" s="83" t="str">
        <f t="shared" si="9"/>
        <v/>
      </c>
      <c r="AC158" s="18" t="str">
        <f t="shared" ref="AC158:AD158" si="321">IF(_xlfn.ISFORMULA(S158),IFERROR(0/0,""),TRUE)</f>
        <v/>
      </c>
      <c r="AD158" s="18" t="str">
        <f t="shared" si="321"/>
        <v/>
      </c>
      <c r="AE158" s="43"/>
      <c r="AF158" s="58" t="s">
        <v>44</v>
      </c>
      <c r="AG158" s="55" t="str">
        <f t="shared" si="11"/>
        <v/>
      </c>
    </row>
    <row r="159">
      <c r="A159" s="7" t="str">
        <f>IFERROR(__xludf.DUMMYFUNCTION("""COMPUTED_VALUE"""),"AH8841")</f>
        <v>AH8841</v>
      </c>
      <c r="B159" s="308">
        <f>IFERROR(__xludf.DUMMYFUNCTION("""COMPUTED_VALUE"""),44830.0)</f>
        <v>44830</v>
      </c>
      <c r="C159" s="309">
        <f>IFERROR(__xludf.DUMMYFUNCTION("""COMPUTED_VALUE"""),0.2813310185185185)</f>
        <v>0.2813310185</v>
      </c>
      <c r="D159" s="7" t="str">
        <f>IFERROR(__xludf.DUMMYFUNCTION("""COMPUTED_VALUE"""),"SpABRM367540")</f>
        <v>SpABRM367540</v>
      </c>
      <c r="E159" s="310"/>
      <c r="F159" s="310"/>
      <c r="G159" s="310" t="str">
        <f>IFERROR(__xludf.DUMMYFUNCTION("""COMPUTED_VALUE"""),"Negative")</f>
        <v>Negative</v>
      </c>
      <c r="H159" s="319" t="str">
        <f>IFERROR(__xludf.DUMMYFUNCTION("""COMPUTED_VALUE"""),"Negative")</f>
        <v>Negative</v>
      </c>
      <c r="I159" s="308">
        <f>IFERROR(__xludf.DUMMYFUNCTION("""COMPUTED_VALUE"""),44830.0)</f>
        <v>44830</v>
      </c>
      <c r="J159" s="311">
        <f>IFERROR(__xludf.DUMMYFUNCTION("""COMPUTED_VALUE"""),0.4214236111111111)</f>
        <v>0.4214236111</v>
      </c>
      <c r="K159" s="54"/>
      <c r="L159" s="7"/>
      <c r="M159" s="312"/>
      <c r="N159" s="172">
        <f>IFERROR(__xludf.DUMMYFUNCTION("""COMPUTED_VALUE"""),3.0)</f>
        <v>3</v>
      </c>
      <c r="O159" s="172" t="str">
        <f t="shared" si="3"/>
        <v/>
      </c>
      <c r="P159" s="313">
        <f>IFERROR(__xludf.DUMMYFUNCTION("""COMPUTED_VALUE"""),0.0)</f>
        <v>0</v>
      </c>
      <c r="Q159" s="76" t="b">
        <f>VLOOKUP($B159,'Run Reconcile'!B$2:O1399,14,FALSE)</f>
        <v>1</v>
      </c>
      <c r="R159" s="314" t="str">
        <f t="array" ref="R159">IF($Q159, INDEX('Run Reconcile'!A$2:A1399,MATCH(B159,'Run Reconcile'!B$2:B1399,0),1),IFERROR(0/0,""))</f>
        <v>RUN-ABRM_2022-09-26_RFR-023</v>
      </c>
      <c r="S159" s="315" t="str">
        <f t="shared" ref="S159:T159" si="322">IF(COUNTIF(W$2:W1399, $A159) &gt; 0,TRUE,IFERROR(0/0,""))</f>
        <v/>
      </c>
      <c r="T159" s="315" t="str">
        <f t="shared" si="322"/>
        <v/>
      </c>
      <c r="U159" s="114" t="str">
        <f t="array" ref="U159">IF(ISBLANK($R159), INDEX('Run Reconcile'!A$2:A1399, MATCH($B159, 'Run Reconcile'!B$2:B1399, 0)+Z159, 1), IFERROR(0/0,""))
</f>
        <v/>
      </c>
      <c r="V159" s="316" t="str">
        <f t="shared" si="5"/>
        <v>RUN-ABRM_2022-09-26_RFR-023</v>
      </c>
      <c r="Y159" s="317" t="str">
        <f t="shared" si="6"/>
        <v/>
      </c>
      <c r="Z159" s="83" t="str">
        <f t="shared" si="7"/>
        <v/>
      </c>
      <c r="AA159" s="83" t="str">
        <f t="shared" si="8"/>
        <v/>
      </c>
      <c r="AB159" s="83" t="str">
        <f t="shared" si="9"/>
        <v/>
      </c>
      <c r="AC159" s="18" t="str">
        <f t="shared" ref="AC159:AD159" si="323">IF(_xlfn.ISFORMULA(S159),IFERROR(0/0,""),TRUE)</f>
        <v/>
      </c>
      <c r="AD159" s="18" t="str">
        <f t="shared" si="323"/>
        <v/>
      </c>
      <c r="AE159" s="43"/>
      <c r="AF159" s="58" t="s">
        <v>44</v>
      </c>
      <c r="AG159" s="55" t="str">
        <f t="shared" si="11"/>
        <v/>
      </c>
    </row>
    <row r="160">
      <c r="A160" s="7" t="str">
        <f>IFERROR(__xludf.DUMMYFUNCTION("""COMPUTED_VALUE"""),"AG316")</f>
        <v>AG316</v>
      </c>
      <c r="B160" s="308">
        <f>IFERROR(__xludf.DUMMYFUNCTION("""COMPUTED_VALUE"""),44830.0)</f>
        <v>44830</v>
      </c>
      <c r="C160" s="309">
        <f>IFERROR(__xludf.DUMMYFUNCTION("""COMPUTED_VALUE"""),0.29258101851851853)</f>
        <v>0.2925810185</v>
      </c>
      <c r="D160" s="7" t="str">
        <f>IFERROR(__xludf.DUMMYFUNCTION("""COMPUTED_VALUE"""),"SpABRM655136")</f>
        <v>SpABRM655136</v>
      </c>
      <c r="E160" s="310"/>
      <c r="F160" s="310"/>
      <c r="G160" s="310" t="str">
        <f>IFERROR(__xludf.DUMMYFUNCTION("""COMPUTED_VALUE"""),"Negative")</f>
        <v>Negative</v>
      </c>
      <c r="H160" s="319" t="str">
        <f>IFERROR(__xludf.DUMMYFUNCTION("""COMPUTED_VALUE"""),"Negative")</f>
        <v>Negative</v>
      </c>
      <c r="I160" s="308">
        <f>IFERROR(__xludf.DUMMYFUNCTION("""COMPUTED_VALUE"""),44830.0)</f>
        <v>44830</v>
      </c>
      <c r="J160" s="311">
        <f>IFERROR(__xludf.DUMMYFUNCTION("""COMPUTED_VALUE"""),0.4214351851851852)</f>
        <v>0.4214351852</v>
      </c>
      <c r="K160" s="54"/>
      <c r="L160" s="7"/>
      <c r="M160" s="312"/>
      <c r="N160" s="172">
        <f>IFERROR(__xludf.DUMMYFUNCTION("""COMPUTED_VALUE"""),2.0)</f>
        <v>2</v>
      </c>
      <c r="O160" s="172" t="str">
        <f t="shared" si="3"/>
        <v/>
      </c>
      <c r="P160" s="313">
        <f>IFERROR(__xludf.DUMMYFUNCTION("""COMPUTED_VALUE"""),0.0)</f>
        <v>0</v>
      </c>
      <c r="Q160" s="76" t="b">
        <f>VLOOKUP($B160,'Run Reconcile'!B$2:O1399,14,FALSE)</f>
        <v>1</v>
      </c>
      <c r="R160" s="314" t="str">
        <f t="array" ref="R160">IF($Q160, INDEX('Run Reconcile'!A$2:A1399,MATCH(B160,'Run Reconcile'!B$2:B1399,0),1),IFERROR(0/0,""))</f>
        <v>RUN-ABRM_2022-09-26_RFR-023</v>
      </c>
      <c r="S160" s="315" t="str">
        <f t="shared" ref="S160:T160" si="324">IF(COUNTIF(W$2:W1399, $A160) &gt; 0,TRUE,IFERROR(0/0,""))</f>
        <v/>
      </c>
      <c r="T160" s="315" t="str">
        <f t="shared" si="324"/>
        <v/>
      </c>
      <c r="U160" s="114" t="str">
        <f t="array" ref="U160">IF(ISBLANK($R160), INDEX('Run Reconcile'!A$2:A1399, MATCH($B160, 'Run Reconcile'!B$2:B1399, 0)+Z160, 1), IFERROR(0/0,""))
</f>
        <v/>
      </c>
      <c r="V160" s="316" t="str">
        <f t="shared" si="5"/>
        <v>RUN-ABRM_2022-09-26_RFR-023</v>
      </c>
      <c r="Y160" s="317" t="str">
        <f t="shared" si="6"/>
        <v/>
      </c>
      <c r="Z160" s="83" t="str">
        <f t="shared" si="7"/>
        <v/>
      </c>
      <c r="AA160" s="83" t="str">
        <f t="shared" si="8"/>
        <v/>
      </c>
      <c r="AB160" s="83" t="str">
        <f t="shared" si="9"/>
        <v/>
      </c>
      <c r="AC160" s="18" t="str">
        <f t="shared" ref="AC160:AD160" si="325">IF(_xlfn.ISFORMULA(S160),IFERROR(0/0,""),TRUE)</f>
        <v/>
      </c>
      <c r="AD160" s="18" t="str">
        <f t="shared" si="325"/>
        <v/>
      </c>
      <c r="AE160" s="43"/>
      <c r="AF160" s="58" t="s">
        <v>44</v>
      </c>
      <c r="AG160" s="55" t="str">
        <f t="shared" si="11"/>
        <v/>
      </c>
    </row>
    <row r="161">
      <c r="A161" s="7" t="str">
        <f>IFERROR(__xludf.DUMMYFUNCTION("""COMPUTED_VALUE"""),"AH831")</f>
        <v>AH831</v>
      </c>
      <c r="B161" s="308">
        <f>IFERROR(__xludf.DUMMYFUNCTION("""COMPUTED_VALUE"""),44830.0)</f>
        <v>44830</v>
      </c>
      <c r="C161" s="309">
        <f>IFERROR(__xludf.DUMMYFUNCTION("""COMPUTED_VALUE"""),0.300625)</f>
        <v>0.300625</v>
      </c>
      <c r="D161" s="7" t="str">
        <f>IFERROR(__xludf.DUMMYFUNCTION("""COMPUTED_VALUE"""),"SpABRM297307")</f>
        <v>SpABRM297307</v>
      </c>
      <c r="E161" s="310"/>
      <c r="F161" s="310"/>
      <c r="G161" s="310" t="str">
        <f>IFERROR(__xludf.DUMMYFUNCTION("""COMPUTED_VALUE"""),"Negative")</f>
        <v>Negative</v>
      </c>
      <c r="H161" s="319" t="str">
        <f>IFERROR(__xludf.DUMMYFUNCTION("""COMPUTED_VALUE"""),"Negative")</f>
        <v>Negative</v>
      </c>
      <c r="I161" s="308">
        <f>IFERROR(__xludf.DUMMYFUNCTION("""COMPUTED_VALUE"""),44830.0)</f>
        <v>44830</v>
      </c>
      <c r="J161" s="311">
        <f>IFERROR(__xludf.DUMMYFUNCTION("""COMPUTED_VALUE"""),0.4214351851851852)</f>
        <v>0.4214351852</v>
      </c>
      <c r="K161" s="54"/>
      <c r="L161" s="7"/>
      <c r="M161" s="312"/>
      <c r="N161" s="172">
        <f>IFERROR(__xludf.DUMMYFUNCTION("""COMPUTED_VALUE"""),3.0)</f>
        <v>3</v>
      </c>
      <c r="O161" s="172" t="str">
        <f t="shared" si="3"/>
        <v/>
      </c>
      <c r="P161" s="313">
        <f>IFERROR(__xludf.DUMMYFUNCTION("""COMPUTED_VALUE"""),0.0)</f>
        <v>0</v>
      </c>
      <c r="Q161" s="76" t="b">
        <f>VLOOKUP($B161,'Run Reconcile'!B$2:O1399,14,FALSE)</f>
        <v>1</v>
      </c>
      <c r="R161" s="314" t="str">
        <f t="array" ref="R161">IF($Q161, INDEX('Run Reconcile'!A$2:A1399,MATCH(B161,'Run Reconcile'!B$2:B1399,0),1),IFERROR(0/0,""))</f>
        <v>RUN-ABRM_2022-09-26_RFR-023</v>
      </c>
      <c r="S161" s="315" t="str">
        <f t="shared" ref="S161:T161" si="326">IF(COUNTIF(W$2:W1399, $A161) &gt; 0,TRUE,IFERROR(0/0,""))</f>
        <v/>
      </c>
      <c r="T161" s="315" t="str">
        <f t="shared" si="326"/>
        <v/>
      </c>
      <c r="U161" s="114" t="str">
        <f t="array" ref="U161">IF(ISBLANK($R161), INDEX('Run Reconcile'!A$2:A1399, MATCH($B161, 'Run Reconcile'!B$2:B1399, 0)+Z161, 1), IFERROR(0/0,""))
</f>
        <v/>
      </c>
      <c r="V161" s="316" t="str">
        <f t="shared" si="5"/>
        <v>RUN-ABRM_2022-09-26_RFR-023</v>
      </c>
      <c r="Y161" s="317" t="str">
        <f t="shared" si="6"/>
        <v/>
      </c>
      <c r="Z161" s="83" t="str">
        <f t="shared" si="7"/>
        <v/>
      </c>
      <c r="AA161" s="83" t="str">
        <f t="shared" si="8"/>
        <v/>
      </c>
      <c r="AB161" s="83" t="str">
        <f t="shared" si="9"/>
        <v/>
      </c>
      <c r="AC161" s="18" t="str">
        <f t="shared" ref="AC161:AD161" si="327">IF(_xlfn.ISFORMULA(S161),IFERROR(0/0,""),TRUE)</f>
        <v/>
      </c>
      <c r="AD161" s="18" t="str">
        <f t="shared" si="327"/>
        <v/>
      </c>
      <c r="AE161" s="43"/>
      <c r="AF161" s="58" t="s">
        <v>44</v>
      </c>
      <c r="AG161" s="55" t="str">
        <f t="shared" si="11"/>
        <v/>
      </c>
    </row>
    <row r="162">
      <c r="A162" s="7" t="str">
        <f>IFERROR(__xludf.DUMMYFUNCTION("""COMPUTED_VALUE"""),"AG1615")</f>
        <v>AG1615</v>
      </c>
      <c r="B162" s="308">
        <f>IFERROR(__xludf.DUMMYFUNCTION("""COMPUTED_VALUE"""),44830.0)</f>
        <v>44830</v>
      </c>
      <c r="C162" s="309">
        <f>IFERROR(__xludf.DUMMYFUNCTION("""COMPUTED_VALUE"""),0.3246412037037037)</f>
        <v>0.3246412037</v>
      </c>
      <c r="D162" s="7" t="str">
        <f>IFERROR(__xludf.DUMMYFUNCTION("""COMPUTED_VALUE"""),"SpABRM610758")</f>
        <v>SpABRM610758</v>
      </c>
      <c r="E162" s="310"/>
      <c r="F162" s="310"/>
      <c r="G162" s="310" t="str">
        <f>IFERROR(__xludf.DUMMYFUNCTION("""COMPUTED_VALUE"""),"Negative")</f>
        <v>Negative</v>
      </c>
      <c r="H162" s="319" t="str">
        <f>IFERROR(__xludf.DUMMYFUNCTION("""COMPUTED_VALUE"""),"Negative")</f>
        <v>Negative</v>
      </c>
      <c r="I162" s="308">
        <f>IFERROR(__xludf.DUMMYFUNCTION("""COMPUTED_VALUE"""),44830.0)</f>
        <v>44830</v>
      </c>
      <c r="J162" s="311">
        <f>IFERROR(__xludf.DUMMYFUNCTION("""COMPUTED_VALUE"""),0.4214467592592593)</f>
        <v>0.4214467593</v>
      </c>
      <c r="K162" s="54"/>
      <c r="L162" s="7"/>
      <c r="M162" s="312"/>
      <c r="N162" s="172">
        <f>IFERROR(__xludf.DUMMYFUNCTION("""COMPUTED_VALUE"""),3.0)</f>
        <v>3</v>
      </c>
      <c r="O162" s="172" t="str">
        <f t="shared" si="3"/>
        <v/>
      </c>
      <c r="P162" s="313">
        <f>IFERROR(__xludf.DUMMYFUNCTION("""COMPUTED_VALUE"""),0.0)</f>
        <v>0</v>
      </c>
      <c r="Q162" s="76" t="b">
        <f>VLOOKUP($B162,'Run Reconcile'!B$2:O1399,14,FALSE)</f>
        <v>1</v>
      </c>
      <c r="R162" s="314" t="str">
        <f t="array" ref="R162">IF($Q162, INDEX('Run Reconcile'!A$2:A1399,MATCH(B162,'Run Reconcile'!B$2:B1399,0),1),IFERROR(0/0,""))</f>
        <v>RUN-ABRM_2022-09-26_RFR-023</v>
      </c>
      <c r="S162" s="315" t="str">
        <f t="shared" ref="S162:T162" si="328">IF(COUNTIF(W$2:W1399, $A162) &gt; 0,TRUE,IFERROR(0/0,""))</f>
        <v/>
      </c>
      <c r="T162" s="315" t="str">
        <f t="shared" si="328"/>
        <v/>
      </c>
      <c r="U162" s="114" t="str">
        <f t="array" ref="U162">IF(ISBLANK($R162), INDEX('Run Reconcile'!A$2:A1399, MATCH($B162, 'Run Reconcile'!B$2:B1399, 0)+Z162, 1), IFERROR(0/0,""))
</f>
        <v/>
      </c>
      <c r="V162" s="316" t="str">
        <f t="shared" si="5"/>
        <v>RUN-ABRM_2022-09-26_RFR-023</v>
      </c>
      <c r="Y162" s="317" t="str">
        <f t="shared" si="6"/>
        <v/>
      </c>
      <c r="Z162" s="83" t="str">
        <f t="shared" si="7"/>
        <v/>
      </c>
      <c r="AA162" s="83" t="str">
        <f t="shared" si="8"/>
        <v/>
      </c>
      <c r="AB162" s="83" t="str">
        <f t="shared" si="9"/>
        <v/>
      </c>
      <c r="AC162" s="18" t="str">
        <f t="shared" ref="AC162:AD162" si="329">IF(_xlfn.ISFORMULA(S162),IFERROR(0/0,""),TRUE)</f>
        <v/>
      </c>
      <c r="AD162" s="18" t="str">
        <f t="shared" si="329"/>
        <v/>
      </c>
      <c r="AE162" s="43"/>
      <c r="AF162" s="58" t="s">
        <v>44</v>
      </c>
      <c r="AG162" s="55" t="str">
        <f t="shared" si="11"/>
        <v/>
      </c>
    </row>
    <row r="163">
      <c r="A163" s="7" t="str">
        <f>IFERROR(__xludf.DUMMYFUNCTION("""COMPUTED_VALUE"""),"AH9717")</f>
        <v>AH9717</v>
      </c>
      <c r="B163" s="308">
        <f>IFERROR(__xludf.DUMMYFUNCTION("""COMPUTED_VALUE"""),44830.0)</f>
        <v>44830</v>
      </c>
      <c r="C163" s="309">
        <f>IFERROR(__xludf.DUMMYFUNCTION("""COMPUTED_VALUE"""),0.34122685185185186)</f>
        <v>0.3412268519</v>
      </c>
      <c r="D163" s="7" t="str">
        <f>IFERROR(__xludf.DUMMYFUNCTION("""COMPUTED_VALUE"""),"SpABRM655136")</f>
        <v>SpABRM655136</v>
      </c>
      <c r="E163" s="310"/>
      <c r="F163" s="310"/>
      <c r="G163" s="310" t="str">
        <f>IFERROR(__xludf.DUMMYFUNCTION("""COMPUTED_VALUE"""),"Negative")</f>
        <v>Negative</v>
      </c>
      <c r="H163" s="319" t="str">
        <f>IFERROR(__xludf.DUMMYFUNCTION("""COMPUTED_VALUE"""),"Negative")</f>
        <v>Negative</v>
      </c>
      <c r="I163" s="308">
        <f>IFERROR(__xludf.DUMMYFUNCTION("""COMPUTED_VALUE"""),44830.0)</f>
        <v>44830</v>
      </c>
      <c r="J163" s="311">
        <f>IFERROR(__xludf.DUMMYFUNCTION("""COMPUTED_VALUE"""),0.4214467592592593)</f>
        <v>0.4214467593</v>
      </c>
      <c r="K163" s="54"/>
      <c r="L163" s="7"/>
      <c r="M163" s="312"/>
      <c r="N163" s="172">
        <f>IFERROR(__xludf.DUMMYFUNCTION("""COMPUTED_VALUE"""),1.0)</f>
        <v>1</v>
      </c>
      <c r="O163" s="172" t="str">
        <f t="shared" si="3"/>
        <v/>
      </c>
      <c r="P163" s="313">
        <f>IFERROR(__xludf.DUMMYFUNCTION("""COMPUTED_VALUE"""),0.0)</f>
        <v>0</v>
      </c>
      <c r="Q163" s="76" t="b">
        <f>VLOOKUP($B163,'Run Reconcile'!B$2:O1399,14,FALSE)</f>
        <v>1</v>
      </c>
      <c r="R163" s="314" t="str">
        <f t="array" ref="R163">IF($Q163, INDEX('Run Reconcile'!A$2:A1399,MATCH(B163,'Run Reconcile'!B$2:B1399,0),1),IFERROR(0/0,""))</f>
        <v>RUN-ABRM_2022-09-26_RFR-023</v>
      </c>
      <c r="S163" s="315" t="str">
        <f t="shared" ref="S163:T163" si="330">IF(COUNTIF(W$2:W1399, $A163) &gt; 0,TRUE,IFERROR(0/0,""))</f>
        <v/>
      </c>
      <c r="T163" s="315" t="str">
        <f t="shared" si="330"/>
        <v/>
      </c>
      <c r="U163" s="114" t="str">
        <f t="array" ref="U163">IF(ISBLANK($R163), INDEX('Run Reconcile'!A$2:A1399, MATCH($B163, 'Run Reconcile'!B$2:B1399, 0)+Z163, 1), IFERROR(0/0,""))
</f>
        <v/>
      </c>
      <c r="V163" s="316" t="str">
        <f t="shared" si="5"/>
        <v>RUN-ABRM_2022-09-26_RFR-023</v>
      </c>
      <c r="Y163" s="317" t="str">
        <f t="shared" si="6"/>
        <v/>
      </c>
      <c r="Z163" s="83" t="str">
        <f t="shared" si="7"/>
        <v/>
      </c>
      <c r="AA163" s="83" t="str">
        <f t="shared" si="8"/>
        <v/>
      </c>
      <c r="AB163" s="83" t="str">
        <f t="shared" si="9"/>
        <v/>
      </c>
      <c r="AC163" s="18" t="str">
        <f t="shared" ref="AC163:AD163" si="331">IF(_xlfn.ISFORMULA(S163),IFERROR(0/0,""),TRUE)</f>
        <v/>
      </c>
      <c r="AD163" s="18" t="str">
        <f t="shared" si="331"/>
        <v/>
      </c>
      <c r="AE163" s="43"/>
      <c r="AF163" s="58" t="s">
        <v>44</v>
      </c>
      <c r="AG163" s="55" t="str">
        <f t="shared" si="11"/>
        <v/>
      </c>
    </row>
    <row r="164">
      <c r="A164" s="7" t="str">
        <f>IFERROR(__xludf.DUMMYFUNCTION("""COMPUTED_VALUE"""),"AH8352")</f>
        <v>AH8352</v>
      </c>
      <c r="B164" s="308">
        <f>IFERROR(__xludf.DUMMYFUNCTION("""COMPUTED_VALUE"""),44830.0)</f>
        <v>44830</v>
      </c>
      <c r="C164" s="309">
        <f>IFERROR(__xludf.DUMMYFUNCTION("""COMPUTED_VALUE"""),0.34175925925925926)</f>
        <v>0.3417592593</v>
      </c>
      <c r="D164" s="7" t="str">
        <f>IFERROR(__xludf.DUMMYFUNCTION("""COMPUTED_VALUE"""),"SpABRM655136")</f>
        <v>SpABRM655136</v>
      </c>
      <c r="E164" s="310"/>
      <c r="F164" s="310"/>
      <c r="G164" s="310" t="str">
        <f>IFERROR(__xludf.DUMMYFUNCTION("""COMPUTED_VALUE"""),"Negative")</f>
        <v>Negative</v>
      </c>
      <c r="H164" s="319" t="str">
        <f>IFERROR(__xludf.DUMMYFUNCTION("""COMPUTED_VALUE"""),"Negative")</f>
        <v>Negative</v>
      </c>
      <c r="I164" s="308">
        <f>IFERROR(__xludf.DUMMYFUNCTION("""COMPUTED_VALUE"""),44830.0)</f>
        <v>44830</v>
      </c>
      <c r="J164" s="311">
        <f>IFERROR(__xludf.DUMMYFUNCTION("""COMPUTED_VALUE"""),0.4214583333333333)</f>
        <v>0.4214583333</v>
      </c>
      <c r="K164" s="54"/>
      <c r="L164" s="7"/>
      <c r="M164" s="312"/>
      <c r="N164" s="172">
        <f>IFERROR(__xludf.DUMMYFUNCTION("""COMPUTED_VALUE"""),4.0)</f>
        <v>4</v>
      </c>
      <c r="O164" s="172" t="str">
        <f t="shared" si="3"/>
        <v/>
      </c>
      <c r="P164" s="313">
        <f>IFERROR(__xludf.DUMMYFUNCTION("""COMPUTED_VALUE"""),0.0)</f>
        <v>0</v>
      </c>
      <c r="Q164" s="76" t="b">
        <f>VLOOKUP($B164,'Run Reconcile'!B$2:O1399,14,FALSE)</f>
        <v>1</v>
      </c>
      <c r="R164" s="314" t="str">
        <f t="array" ref="R164">IF($Q164, INDEX('Run Reconcile'!A$2:A1399,MATCH(B164,'Run Reconcile'!B$2:B1399,0),1),IFERROR(0/0,""))</f>
        <v>RUN-ABRM_2022-09-26_RFR-023</v>
      </c>
      <c r="S164" s="315" t="str">
        <f t="shared" ref="S164:T164" si="332">IF(COUNTIF(W$2:W1399, $A164) &gt; 0,TRUE,IFERROR(0/0,""))</f>
        <v/>
      </c>
      <c r="T164" s="315" t="str">
        <f t="shared" si="332"/>
        <v/>
      </c>
      <c r="U164" s="114" t="str">
        <f t="array" ref="U164">IF(ISBLANK($R164), INDEX('Run Reconcile'!A$2:A1399, MATCH($B164, 'Run Reconcile'!B$2:B1399, 0)+Z164, 1), IFERROR(0/0,""))
</f>
        <v/>
      </c>
      <c r="V164" s="316" t="str">
        <f t="shared" si="5"/>
        <v>RUN-ABRM_2022-09-26_RFR-023</v>
      </c>
      <c r="Y164" s="317" t="str">
        <f t="shared" si="6"/>
        <v/>
      </c>
      <c r="Z164" s="83" t="str">
        <f t="shared" si="7"/>
        <v/>
      </c>
      <c r="AA164" s="83" t="str">
        <f t="shared" si="8"/>
        <v/>
      </c>
      <c r="AB164" s="83" t="str">
        <f t="shared" si="9"/>
        <v/>
      </c>
      <c r="AC164" s="18" t="str">
        <f t="shared" ref="AC164:AD164" si="333">IF(_xlfn.ISFORMULA(S164),IFERROR(0/0,""),TRUE)</f>
        <v/>
      </c>
      <c r="AD164" s="18" t="str">
        <f t="shared" si="333"/>
        <v/>
      </c>
      <c r="AE164" s="43"/>
      <c r="AF164" s="58" t="s">
        <v>44</v>
      </c>
      <c r="AG164" s="55" t="str">
        <f t="shared" si="11"/>
        <v/>
      </c>
    </row>
    <row r="165">
      <c r="A165" s="7" t="str">
        <f>IFERROR(__xludf.DUMMYFUNCTION("""COMPUTED_VALUE"""),"AG1148")</f>
        <v>AG1148</v>
      </c>
      <c r="B165" s="308">
        <f>IFERROR(__xludf.DUMMYFUNCTION("""COMPUTED_VALUE"""),44830.0)</f>
        <v>44830</v>
      </c>
      <c r="C165" s="309">
        <f>IFERROR(__xludf.DUMMYFUNCTION("""COMPUTED_VALUE"""),0.34207175925925926)</f>
        <v>0.3420717593</v>
      </c>
      <c r="D165" s="7" t="str">
        <f>IFERROR(__xludf.DUMMYFUNCTION("""COMPUTED_VALUE"""),"SpABRM655136")</f>
        <v>SpABRM655136</v>
      </c>
      <c r="E165" s="310"/>
      <c r="F165" s="310"/>
      <c r="G165" s="310" t="str">
        <f>IFERROR(__xludf.DUMMYFUNCTION("""COMPUTED_VALUE"""),"Negative")</f>
        <v>Negative</v>
      </c>
      <c r="H165" s="319" t="str">
        <f>IFERROR(__xludf.DUMMYFUNCTION("""COMPUTED_VALUE"""),"Negative")</f>
        <v>Negative</v>
      </c>
      <c r="I165" s="308">
        <f>IFERROR(__xludf.DUMMYFUNCTION("""COMPUTED_VALUE"""),44830.0)</f>
        <v>44830</v>
      </c>
      <c r="J165" s="311">
        <f>IFERROR(__xludf.DUMMYFUNCTION("""COMPUTED_VALUE"""),0.4214583333333333)</f>
        <v>0.4214583333</v>
      </c>
      <c r="K165" s="54"/>
      <c r="L165" s="7"/>
      <c r="M165" s="312"/>
      <c r="N165" s="172">
        <f>IFERROR(__xludf.DUMMYFUNCTION("""COMPUTED_VALUE"""),1.0)</f>
        <v>1</v>
      </c>
      <c r="O165" s="172" t="str">
        <f t="shared" si="3"/>
        <v/>
      </c>
      <c r="P165" s="313">
        <f>IFERROR(__xludf.DUMMYFUNCTION("""COMPUTED_VALUE"""),0.0)</f>
        <v>0</v>
      </c>
      <c r="Q165" s="76" t="b">
        <f>VLOOKUP($B165,'Run Reconcile'!B$2:O1399,14,FALSE)</f>
        <v>1</v>
      </c>
      <c r="R165" s="314" t="str">
        <f t="array" ref="R165">IF($Q165, INDEX('Run Reconcile'!A$2:A1399,MATCH(B165,'Run Reconcile'!B$2:B1399,0),1),IFERROR(0/0,""))</f>
        <v>RUN-ABRM_2022-09-26_RFR-023</v>
      </c>
      <c r="S165" s="315" t="str">
        <f t="shared" ref="S165:T165" si="334">IF(COUNTIF(W$2:W1399, $A165) &gt; 0,TRUE,IFERROR(0/0,""))</f>
        <v/>
      </c>
      <c r="T165" s="315" t="str">
        <f t="shared" si="334"/>
        <v/>
      </c>
      <c r="U165" s="114" t="str">
        <f t="array" ref="U165">IF(ISBLANK($R165), INDEX('Run Reconcile'!A$2:A1399, MATCH($B165, 'Run Reconcile'!B$2:B1399, 0)+Z165, 1), IFERROR(0/0,""))
</f>
        <v/>
      </c>
      <c r="V165" s="316" t="str">
        <f t="shared" si="5"/>
        <v>RUN-ABRM_2022-09-26_RFR-023</v>
      </c>
      <c r="Y165" s="317" t="str">
        <f t="shared" si="6"/>
        <v/>
      </c>
      <c r="Z165" s="83" t="str">
        <f t="shared" si="7"/>
        <v/>
      </c>
      <c r="AA165" s="83" t="str">
        <f t="shared" si="8"/>
        <v/>
      </c>
      <c r="AB165" s="83" t="str">
        <f t="shared" si="9"/>
        <v/>
      </c>
      <c r="AC165" s="18" t="str">
        <f t="shared" ref="AC165:AD165" si="335">IF(_xlfn.ISFORMULA(S165),IFERROR(0/0,""),TRUE)</f>
        <v/>
      </c>
      <c r="AD165" s="18" t="str">
        <f t="shared" si="335"/>
        <v/>
      </c>
      <c r="AE165" s="43"/>
      <c r="AF165" s="58" t="s">
        <v>44</v>
      </c>
      <c r="AG165" s="55" t="str">
        <f t="shared" si="11"/>
        <v/>
      </c>
    </row>
    <row r="166">
      <c r="A166" s="7" t="str">
        <f>IFERROR(__xludf.DUMMYFUNCTION("""COMPUTED_VALUE"""),"AH8086")</f>
        <v>AH8086</v>
      </c>
      <c r="B166" s="308">
        <f>IFERROR(__xludf.DUMMYFUNCTION("""COMPUTED_VALUE"""),44830.0)</f>
        <v>44830</v>
      </c>
      <c r="C166" s="309">
        <f>IFERROR(__xludf.DUMMYFUNCTION("""COMPUTED_VALUE"""),0.3424652777777778)</f>
        <v>0.3424652778</v>
      </c>
      <c r="D166" s="7" t="str">
        <f>IFERROR(__xludf.DUMMYFUNCTION("""COMPUTED_VALUE"""),"SpABRM655136")</f>
        <v>SpABRM655136</v>
      </c>
      <c r="E166" s="310"/>
      <c r="F166" s="310"/>
      <c r="G166" s="310" t="str">
        <f>IFERROR(__xludf.DUMMYFUNCTION("""COMPUTED_VALUE"""),"Negative")</f>
        <v>Negative</v>
      </c>
      <c r="H166" s="319" t="str">
        <f>IFERROR(__xludf.DUMMYFUNCTION("""COMPUTED_VALUE"""),"Negative")</f>
        <v>Negative</v>
      </c>
      <c r="I166" s="308">
        <f>IFERROR(__xludf.DUMMYFUNCTION("""COMPUTED_VALUE"""),44830.0)</f>
        <v>44830</v>
      </c>
      <c r="J166" s="311">
        <f>IFERROR(__xludf.DUMMYFUNCTION("""COMPUTED_VALUE"""),0.4214583333333333)</f>
        <v>0.4214583333</v>
      </c>
      <c r="K166" s="54"/>
      <c r="L166" s="7"/>
      <c r="M166" s="312"/>
      <c r="N166" s="172">
        <f>IFERROR(__xludf.DUMMYFUNCTION("""COMPUTED_VALUE"""),2.0)</f>
        <v>2</v>
      </c>
      <c r="O166" s="172" t="str">
        <f t="shared" si="3"/>
        <v/>
      </c>
      <c r="P166" s="313">
        <f>IFERROR(__xludf.DUMMYFUNCTION("""COMPUTED_VALUE"""),0.0)</f>
        <v>0</v>
      </c>
      <c r="Q166" s="76" t="b">
        <f>VLOOKUP($B166,'Run Reconcile'!B$2:O1399,14,FALSE)</f>
        <v>1</v>
      </c>
      <c r="R166" s="314" t="str">
        <f t="array" ref="R166">IF($Q166, INDEX('Run Reconcile'!A$2:A1399,MATCH(B166,'Run Reconcile'!B$2:B1399,0),1),IFERROR(0/0,""))</f>
        <v>RUN-ABRM_2022-09-26_RFR-023</v>
      </c>
      <c r="S166" s="315" t="str">
        <f t="shared" ref="S166:T166" si="336">IF(COUNTIF(W$2:W1399, $A166) &gt; 0,TRUE,IFERROR(0/0,""))</f>
        <v/>
      </c>
      <c r="T166" s="315" t="str">
        <f t="shared" si="336"/>
        <v/>
      </c>
      <c r="U166" s="114" t="str">
        <f t="array" ref="U166">IF(ISBLANK($R166), INDEX('Run Reconcile'!A$2:A1399, MATCH($B166, 'Run Reconcile'!B$2:B1399, 0)+Z166, 1), IFERROR(0/0,""))
</f>
        <v/>
      </c>
      <c r="V166" s="316" t="str">
        <f t="shared" si="5"/>
        <v>RUN-ABRM_2022-09-26_RFR-023</v>
      </c>
      <c r="Y166" s="317" t="str">
        <f t="shared" si="6"/>
        <v/>
      </c>
      <c r="Z166" s="83" t="str">
        <f t="shared" si="7"/>
        <v/>
      </c>
      <c r="AA166" s="83" t="str">
        <f t="shared" si="8"/>
        <v/>
      </c>
      <c r="AB166" s="83" t="str">
        <f t="shared" si="9"/>
        <v/>
      </c>
      <c r="AC166" s="18" t="str">
        <f t="shared" ref="AC166:AD166" si="337">IF(_xlfn.ISFORMULA(S166),IFERROR(0/0,""),TRUE)</f>
        <v/>
      </c>
      <c r="AD166" s="18" t="str">
        <f t="shared" si="337"/>
        <v/>
      </c>
      <c r="AE166" s="43"/>
      <c r="AF166" s="58" t="s">
        <v>44</v>
      </c>
      <c r="AG166" s="55" t="str">
        <f t="shared" si="11"/>
        <v/>
      </c>
    </row>
    <row r="167">
      <c r="A167" s="7" t="str">
        <f>IFERROR(__xludf.DUMMYFUNCTION("""COMPUTED_VALUE"""),"AJ8997")</f>
        <v>AJ8997</v>
      </c>
      <c r="B167" s="308">
        <f>IFERROR(__xludf.DUMMYFUNCTION("""COMPUTED_VALUE"""),44830.0)</f>
        <v>44830</v>
      </c>
      <c r="C167" s="309">
        <f>IFERROR(__xludf.DUMMYFUNCTION("""COMPUTED_VALUE"""),0.34282407407407406)</f>
        <v>0.3428240741</v>
      </c>
      <c r="D167" s="7" t="str">
        <f>IFERROR(__xludf.DUMMYFUNCTION("""COMPUTED_VALUE"""),"SpABRM655136")</f>
        <v>SpABRM655136</v>
      </c>
      <c r="E167" s="310"/>
      <c r="F167" s="310"/>
      <c r="G167" s="310" t="str">
        <f>IFERROR(__xludf.DUMMYFUNCTION("""COMPUTED_VALUE"""),"Negative")</f>
        <v>Negative</v>
      </c>
      <c r="H167" s="319" t="str">
        <f>IFERROR(__xludf.DUMMYFUNCTION("""COMPUTED_VALUE"""),"Negative")</f>
        <v>Negative</v>
      </c>
      <c r="I167" s="308">
        <f>IFERROR(__xludf.DUMMYFUNCTION("""COMPUTED_VALUE"""),44830.0)</f>
        <v>44830</v>
      </c>
      <c r="J167" s="311">
        <f>IFERROR(__xludf.DUMMYFUNCTION("""COMPUTED_VALUE"""),0.4214583333333333)</f>
        <v>0.4214583333</v>
      </c>
      <c r="K167" s="54"/>
      <c r="L167" s="7"/>
      <c r="M167" s="312"/>
      <c r="N167" s="172">
        <f>IFERROR(__xludf.DUMMYFUNCTION("""COMPUTED_VALUE"""),2.0)</f>
        <v>2</v>
      </c>
      <c r="O167" s="172" t="str">
        <f t="shared" si="3"/>
        <v/>
      </c>
      <c r="P167" s="313">
        <f>IFERROR(__xludf.DUMMYFUNCTION("""COMPUTED_VALUE"""),0.0)</f>
        <v>0</v>
      </c>
      <c r="Q167" s="76" t="b">
        <f>VLOOKUP($B167,'Run Reconcile'!B$2:O1399,14,FALSE)</f>
        <v>1</v>
      </c>
      <c r="R167" s="314" t="str">
        <f t="array" ref="R167">IF($Q167, INDEX('Run Reconcile'!A$2:A1399,MATCH(B167,'Run Reconcile'!B$2:B1399,0),1),IFERROR(0/0,""))</f>
        <v>RUN-ABRM_2022-09-26_RFR-023</v>
      </c>
      <c r="S167" s="315" t="str">
        <f t="shared" ref="S167:T167" si="338">IF(COUNTIF(W$2:W1399, $A167) &gt; 0,TRUE,IFERROR(0/0,""))</f>
        <v/>
      </c>
      <c r="T167" s="315" t="str">
        <f t="shared" si="338"/>
        <v/>
      </c>
      <c r="U167" s="114" t="str">
        <f t="array" ref="U167">IF(ISBLANK($R167), INDEX('Run Reconcile'!A$2:A1399, MATCH($B167, 'Run Reconcile'!B$2:B1399, 0)+Z167, 1), IFERROR(0/0,""))
</f>
        <v/>
      </c>
      <c r="V167" s="316" t="str">
        <f t="shared" si="5"/>
        <v>RUN-ABRM_2022-09-26_RFR-023</v>
      </c>
      <c r="Y167" s="317" t="str">
        <f t="shared" si="6"/>
        <v/>
      </c>
      <c r="Z167" s="83" t="str">
        <f t="shared" si="7"/>
        <v/>
      </c>
      <c r="AA167" s="83" t="str">
        <f t="shared" si="8"/>
        <v/>
      </c>
      <c r="AB167" s="83" t="str">
        <f t="shared" si="9"/>
        <v/>
      </c>
      <c r="AC167" s="18" t="str">
        <f t="shared" ref="AC167:AD167" si="339">IF(_xlfn.ISFORMULA(S167),IFERROR(0/0,""),TRUE)</f>
        <v/>
      </c>
      <c r="AD167" s="18" t="str">
        <f t="shared" si="339"/>
        <v/>
      </c>
      <c r="AE167" s="43"/>
      <c r="AF167" s="58" t="s">
        <v>44</v>
      </c>
      <c r="AG167" s="55" t="str">
        <f t="shared" si="11"/>
        <v/>
      </c>
    </row>
    <row r="168">
      <c r="A168" s="7" t="str">
        <f>IFERROR(__xludf.DUMMYFUNCTION("""COMPUTED_VALUE"""),"AH9746")</f>
        <v>AH9746</v>
      </c>
      <c r="B168" s="308">
        <f>IFERROR(__xludf.DUMMYFUNCTION("""COMPUTED_VALUE"""),44831.0)</f>
        <v>44831</v>
      </c>
      <c r="C168" s="309">
        <f>IFERROR(__xludf.DUMMYFUNCTION("""COMPUTED_VALUE"""),0.21390046296296297)</f>
        <v>0.213900463</v>
      </c>
      <c r="D168" s="7" t="str">
        <f>IFERROR(__xludf.DUMMYFUNCTION("""COMPUTED_VALUE"""),"SpABRM188986")</f>
        <v>SpABRM188986</v>
      </c>
      <c r="E168" s="310"/>
      <c r="F168" s="310"/>
      <c r="G168" s="310" t="str">
        <f>IFERROR(__xludf.DUMMYFUNCTION("""COMPUTED_VALUE"""),"Negative")</f>
        <v>Negative</v>
      </c>
      <c r="H168" s="319" t="str">
        <f>IFERROR(__xludf.DUMMYFUNCTION("""COMPUTED_VALUE"""),"Negative")</f>
        <v>Negative</v>
      </c>
      <c r="I168" s="308">
        <f>IFERROR(__xludf.DUMMYFUNCTION("""COMPUTED_VALUE"""),44832.0)</f>
        <v>44832</v>
      </c>
      <c r="J168" s="311">
        <f>IFERROR(__xludf.DUMMYFUNCTION("""COMPUTED_VALUE"""),0.30233796296296295)</f>
        <v>0.302337963</v>
      </c>
      <c r="K168" s="54"/>
      <c r="L168" s="7"/>
      <c r="M168" s="312"/>
      <c r="N168" s="172">
        <f>IFERROR(__xludf.DUMMYFUNCTION("""COMPUTED_VALUE"""),2.0)</f>
        <v>2</v>
      </c>
      <c r="O168" s="172" t="b">
        <f t="shared" si="3"/>
        <v>1</v>
      </c>
      <c r="P168" s="313">
        <f>IFERROR(__xludf.DUMMYFUNCTION("""COMPUTED_VALUE"""),1.0)</f>
        <v>1</v>
      </c>
      <c r="Q168" s="76" t="b">
        <f>VLOOKUP($B168,'Run Reconcile'!B$2:O1399,14,FALSE)</f>
        <v>1</v>
      </c>
      <c r="R168" s="314" t="str">
        <f t="array" ref="R168">IF($Q168, INDEX('Run Reconcile'!A$2:A1399,MATCH(B168,'Run Reconcile'!B$2:B1399,0),1),IFERROR(0/0,""))</f>
        <v>RUN-ABRM_2022-09-27_RFR-025</v>
      </c>
      <c r="S168" s="315" t="str">
        <f t="shared" ref="S168:T168" si="340">IF(COUNTIF(W$2:W1399, $A168) &gt; 0,TRUE,IFERROR(0/0,""))</f>
        <v/>
      </c>
      <c r="T168" s="315" t="str">
        <f t="shared" si="340"/>
        <v/>
      </c>
      <c r="U168" s="114" t="str">
        <f t="array" ref="U168">IF(ISBLANK($R168), INDEX('Run Reconcile'!A$2:A1399, MATCH($B168, 'Run Reconcile'!B$2:B1399, 0)+Z168, 1), IFERROR(0/0,""))
</f>
        <v/>
      </c>
      <c r="V168" s="316" t="str">
        <f t="shared" si="5"/>
        <v>RUN-ABRM_2022-09-27_RFR-025</v>
      </c>
      <c r="Y168" s="317" t="str">
        <f t="shared" si="6"/>
        <v/>
      </c>
      <c r="Z168" s="83" t="str">
        <f t="shared" si="7"/>
        <v/>
      </c>
      <c r="AA168" s="83" t="str">
        <f t="shared" si="8"/>
        <v/>
      </c>
      <c r="AB168" s="83" t="str">
        <f t="shared" si="9"/>
        <v/>
      </c>
      <c r="AC168" s="18" t="str">
        <f t="shared" ref="AC168:AD168" si="341">IF(_xlfn.ISFORMULA(S168),IFERROR(0/0,""),TRUE)</f>
        <v/>
      </c>
      <c r="AD168" s="18" t="str">
        <f t="shared" si="341"/>
        <v/>
      </c>
      <c r="AE168" s="43"/>
      <c r="AF168" s="58" t="s">
        <v>45</v>
      </c>
      <c r="AG168" s="55" t="str">
        <f t="shared" si="11"/>
        <v/>
      </c>
    </row>
    <row r="169">
      <c r="A169" s="7" t="str">
        <f>IFERROR(__xludf.DUMMYFUNCTION("""COMPUTED_VALUE"""),"AG313")</f>
        <v>AG313</v>
      </c>
      <c r="B169" s="308">
        <f>IFERROR(__xludf.DUMMYFUNCTION("""COMPUTED_VALUE"""),44831.0)</f>
        <v>44831</v>
      </c>
      <c r="C169" s="309">
        <f>IFERROR(__xludf.DUMMYFUNCTION("""COMPUTED_VALUE"""),0.24915509259259258)</f>
        <v>0.2491550926</v>
      </c>
      <c r="D169" s="7" t="str">
        <f>IFERROR(__xludf.DUMMYFUNCTION("""COMPUTED_VALUE"""),"SpABRM516158")</f>
        <v>SpABRM516158</v>
      </c>
      <c r="E169" s="310"/>
      <c r="F169" s="310"/>
      <c r="G169" s="310" t="str">
        <f>IFERROR(__xludf.DUMMYFUNCTION("""COMPUTED_VALUE"""),"Negative")</f>
        <v>Negative</v>
      </c>
      <c r="H169" s="319" t="str">
        <f>IFERROR(__xludf.DUMMYFUNCTION("""COMPUTED_VALUE"""),"Negative")</f>
        <v>Negative</v>
      </c>
      <c r="I169" s="308">
        <f>IFERROR(__xludf.DUMMYFUNCTION("""COMPUTED_VALUE"""),44832.0)</f>
        <v>44832</v>
      </c>
      <c r="J169" s="311">
        <f>IFERROR(__xludf.DUMMYFUNCTION("""COMPUTED_VALUE"""),0.30233796296296295)</f>
        <v>0.302337963</v>
      </c>
      <c r="K169" s="54"/>
      <c r="L169" s="7"/>
      <c r="M169" s="312"/>
      <c r="N169" s="172">
        <f>IFERROR(__xludf.DUMMYFUNCTION("""COMPUTED_VALUE"""),1.0)</f>
        <v>1</v>
      </c>
      <c r="O169" s="172" t="str">
        <f t="shared" si="3"/>
        <v/>
      </c>
      <c r="P169" s="313">
        <f>IFERROR(__xludf.DUMMYFUNCTION("""COMPUTED_VALUE"""),1.0)</f>
        <v>1</v>
      </c>
      <c r="Q169" s="76" t="b">
        <f>VLOOKUP($B169,'Run Reconcile'!B$2:O1399,14,FALSE)</f>
        <v>1</v>
      </c>
      <c r="R169" s="314" t="str">
        <f t="array" ref="R169">IF($Q169, INDEX('Run Reconcile'!A$2:A1399,MATCH(B169,'Run Reconcile'!B$2:B1399,0),1),IFERROR(0/0,""))</f>
        <v>RUN-ABRM_2022-09-27_RFR-025</v>
      </c>
      <c r="S169" s="315" t="str">
        <f t="shared" ref="S169:T169" si="342">IF(COUNTIF(W$2:W1399, $A169) &gt; 0,TRUE,IFERROR(0/0,""))</f>
        <v/>
      </c>
      <c r="T169" s="315" t="str">
        <f t="shared" si="342"/>
        <v/>
      </c>
      <c r="U169" s="114" t="str">
        <f t="array" ref="U169">IF(ISBLANK($R169), INDEX('Run Reconcile'!A$2:A1399, MATCH($B169, 'Run Reconcile'!B$2:B1399, 0)+Z169, 1), IFERROR(0/0,""))
</f>
        <v/>
      </c>
      <c r="V169" s="316" t="str">
        <f t="shared" si="5"/>
        <v>RUN-ABRM_2022-09-27_RFR-025</v>
      </c>
      <c r="Y169" s="317" t="str">
        <f t="shared" si="6"/>
        <v/>
      </c>
      <c r="Z169" s="83" t="str">
        <f t="shared" si="7"/>
        <v/>
      </c>
      <c r="AA169" s="83" t="str">
        <f t="shared" si="8"/>
        <v/>
      </c>
      <c r="AB169" s="83" t="str">
        <f t="shared" si="9"/>
        <v/>
      </c>
      <c r="AC169" s="18" t="str">
        <f t="shared" ref="AC169:AD169" si="343">IF(_xlfn.ISFORMULA(S169),IFERROR(0/0,""),TRUE)</f>
        <v/>
      </c>
      <c r="AD169" s="18" t="str">
        <f t="shared" si="343"/>
        <v/>
      </c>
      <c r="AE169" s="43"/>
      <c r="AF169" s="58" t="s">
        <v>45</v>
      </c>
      <c r="AG169" s="55" t="str">
        <f t="shared" si="11"/>
        <v/>
      </c>
    </row>
    <row r="170">
      <c r="A170" s="7" t="str">
        <f>IFERROR(__xludf.DUMMYFUNCTION("""COMPUTED_VALUE"""),"AH9673")</f>
        <v>AH9673</v>
      </c>
      <c r="B170" s="308">
        <f>IFERROR(__xludf.DUMMYFUNCTION("""COMPUTED_VALUE"""),44831.0)</f>
        <v>44831</v>
      </c>
      <c r="C170" s="309">
        <f>IFERROR(__xludf.DUMMYFUNCTION("""COMPUTED_VALUE"""),0.25873842592592594)</f>
        <v>0.2587384259</v>
      </c>
      <c r="D170" s="7" t="str">
        <f>IFERROR(__xludf.DUMMYFUNCTION("""COMPUTED_VALUE"""),"SpABRM454310")</f>
        <v>SpABRM454310</v>
      </c>
      <c r="E170" s="310"/>
      <c r="F170" s="310"/>
      <c r="G170" s="310" t="str">
        <f>IFERROR(__xludf.DUMMYFUNCTION("""COMPUTED_VALUE"""),"Negative")</f>
        <v>Negative</v>
      </c>
      <c r="H170" s="319" t="str">
        <f>IFERROR(__xludf.DUMMYFUNCTION("""COMPUTED_VALUE"""),"Negative")</f>
        <v>Negative</v>
      </c>
      <c r="I170" s="308">
        <f>IFERROR(__xludf.DUMMYFUNCTION("""COMPUTED_VALUE"""),44832.0)</f>
        <v>44832</v>
      </c>
      <c r="J170" s="311">
        <f>IFERROR(__xludf.DUMMYFUNCTION("""COMPUTED_VALUE"""),0.30233796296296295)</f>
        <v>0.302337963</v>
      </c>
      <c r="K170" s="54"/>
      <c r="L170" s="7"/>
      <c r="M170" s="312"/>
      <c r="N170" s="172">
        <f>IFERROR(__xludf.DUMMYFUNCTION("""COMPUTED_VALUE"""),3.0)</f>
        <v>3</v>
      </c>
      <c r="O170" s="172" t="str">
        <f t="shared" si="3"/>
        <v/>
      </c>
      <c r="P170" s="313">
        <f>IFERROR(__xludf.DUMMYFUNCTION("""COMPUTED_VALUE"""),1.0)</f>
        <v>1</v>
      </c>
      <c r="Q170" s="76" t="b">
        <f>VLOOKUP($B170,'Run Reconcile'!B$2:O1399,14,FALSE)</f>
        <v>1</v>
      </c>
      <c r="R170" s="314" t="str">
        <f t="array" ref="R170">IF($Q170, INDEX('Run Reconcile'!A$2:A1399,MATCH(B170,'Run Reconcile'!B$2:B1399,0),1),IFERROR(0/0,""))</f>
        <v>RUN-ABRM_2022-09-27_RFR-025</v>
      </c>
      <c r="S170" s="315" t="str">
        <f t="shared" ref="S170:T170" si="344">IF(COUNTIF(W$2:W1399, $A170) &gt; 0,TRUE,IFERROR(0/0,""))</f>
        <v/>
      </c>
      <c r="T170" s="315" t="str">
        <f t="shared" si="344"/>
        <v/>
      </c>
      <c r="U170" s="114" t="str">
        <f t="array" ref="U170">IF(ISBLANK($R170), INDEX('Run Reconcile'!A$2:A1399, MATCH($B170, 'Run Reconcile'!B$2:B1399, 0)+Z170, 1), IFERROR(0/0,""))
</f>
        <v/>
      </c>
      <c r="V170" s="316" t="str">
        <f t="shared" si="5"/>
        <v>RUN-ABRM_2022-09-27_RFR-025</v>
      </c>
      <c r="Y170" s="317" t="str">
        <f t="shared" si="6"/>
        <v/>
      </c>
      <c r="Z170" s="83" t="str">
        <f t="shared" si="7"/>
        <v/>
      </c>
      <c r="AA170" s="83" t="str">
        <f t="shared" si="8"/>
        <v/>
      </c>
      <c r="AB170" s="83" t="str">
        <f t="shared" si="9"/>
        <v/>
      </c>
      <c r="AC170" s="18" t="str">
        <f t="shared" ref="AC170:AD170" si="345">IF(_xlfn.ISFORMULA(S170),IFERROR(0/0,""),TRUE)</f>
        <v/>
      </c>
      <c r="AD170" s="18" t="str">
        <f t="shared" si="345"/>
        <v/>
      </c>
      <c r="AE170" s="43"/>
      <c r="AF170" s="58" t="s">
        <v>45</v>
      </c>
      <c r="AG170" s="55" t="str">
        <f t="shared" si="11"/>
        <v/>
      </c>
    </row>
    <row r="171">
      <c r="A171" s="7" t="str">
        <f>IFERROR(__xludf.DUMMYFUNCTION("""COMPUTED_VALUE"""),"AH8879")</f>
        <v>AH8879</v>
      </c>
      <c r="B171" s="308">
        <f>IFERROR(__xludf.DUMMYFUNCTION("""COMPUTED_VALUE"""),44831.0)</f>
        <v>44831</v>
      </c>
      <c r="C171" s="309">
        <f>IFERROR(__xludf.DUMMYFUNCTION("""COMPUTED_VALUE"""),0.2685416666666667)</f>
        <v>0.2685416667</v>
      </c>
      <c r="D171" s="7" t="str">
        <f>IFERROR(__xludf.DUMMYFUNCTION("""COMPUTED_VALUE"""),"SpABRM128250")</f>
        <v>SpABRM128250</v>
      </c>
      <c r="E171" s="310"/>
      <c r="F171" s="310"/>
      <c r="G171" s="310" t="str">
        <f>IFERROR(__xludf.DUMMYFUNCTION("""COMPUTED_VALUE"""),"Negative")</f>
        <v>Negative</v>
      </c>
      <c r="H171" s="319" t="str">
        <f>IFERROR(__xludf.DUMMYFUNCTION("""COMPUTED_VALUE"""),"Negative")</f>
        <v>Negative</v>
      </c>
      <c r="I171" s="308">
        <f>IFERROR(__xludf.DUMMYFUNCTION("""COMPUTED_VALUE"""),44832.0)</f>
        <v>44832</v>
      </c>
      <c r="J171" s="311">
        <f>IFERROR(__xludf.DUMMYFUNCTION("""COMPUTED_VALUE"""),0.30234953703703704)</f>
        <v>0.302349537</v>
      </c>
      <c r="K171" s="54"/>
      <c r="L171" s="7"/>
      <c r="M171" s="312"/>
      <c r="N171" s="172">
        <f>IFERROR(__xludf.DUMMYFUNCTION("""COMPUTED_VALUE"""),3.0)</f>
        <v>3</v>
      </c>
      <c r="O171" s="172" t="str">
        <f t="shared" si="3"/>
        <v/>
      </c>
      <c r="P171" s="313">
        <f>IFERROR(__xludf.DUMMYFUNCTION("""COMPUTED_VALUE"""),1.0)</f>
        <v>1</v>
      </c>
      <c r="Q171" s="76" t="b">
        <f>VLOOKUP($B171,'Run Reconcile'!B$2:O1399,14,FALSE)</f>
        <v>1</v>
      </c>
      <c r="R171" s="314" t="str">
        <f t="array" ref="R171">IF($Q171, INDEX('Run Reconcile'!A$2:A1399,MATCH(B171,'Run Reconcile'!B$2:B1399,0),1),IFERROR(0/0,""))</f>
        <v>RUN-ABRM_2022-09-27_RFR-025</v>
      </c>
      <c r="S171" s="315" t="str">
        <f t="shared" ref="S171:T171" si="346">IF(COUNTIF(W$2:W1399, $A171) &gt; 0,TRUE,IFERROR(0/0,""))</f>
        <v/>
      </c>
      <c r="T171" s="315" t="str">
        <f t="shared" si="346"/>
        <v/>
      </c>
      <c r="U171" s="114" t="str">
        <f t="array" ref="U171">IF(ISBLANK($R171), INDEX('Run Reconcile'!A$2:A1399, MATCH($B171, 'Run Reconcile'!B$2:B1399, 0)+Z171, 1), IFERROR(0/0,""))
</f>
        <v/>
      </c>
      <c r="V171" s="316" t="str">
        <f t="shared" si="5"/>
        <v>RUN-ABRM_2022-09-27_RFR-025</v>
      </c>
      <c r="Y171" s="317" t="str">
        <f t="shared" si="6"/>
        <v/>
      </c>
      <c r="Z171" s="83" t="str">
        <f t="shared" si="7"/>
        <v/>
      </c>
      <c r="AA171" s="83" t="str">
        <f t="shared" si="8"/>
        <v/>
      </c>
      <c r="AB171" s="83" t="str">
        <f t="shared" si="9"/>
        <v/>
      </c>
      <c r="AC171" s="18" t="str">
        <f t="shared" ref="AC171:AD171" si="347">IF(_xlfn.ISFORMULA(S171),IFERROR(0/0,""),TRUE)</f>
        <v/>
      </c>
      <c r="AD171" s="18" t="str">
        <f t="shared" si="347"/>
        <v/>
      </c>
      <c r="AE171" s="43"/>
      <c r="AF171" s="58" t="s">
        <v>45</v>
      </c>
      <c r="AG171" s="55" t="str">
        <f t="shared" si="11"/>
        <v/>
      </c>
    </row>
    <row r="172">
      <c r="A172" s="7" t="str">
        <f>IFERROR(__xludf.DUMMYFUNCTION("""COMPUTED_VALUE"""),"AH8017")</f>
        <v>AH8017</v>
      </c>
      <c r="B172" s="308">
        <f>IFERROR(__xludf.DUMMYFUNCTION("""COMPUTED_VALUE"""),44831.0)</f>
        <v>44831</v>
      </c>
      <c r="C172" s="309">
        <f>IFERROR(__xludf.DUMMYFUNCTION("""COMPUTED_VALUE"""),0.26905092592592594)</f>
        <v>0.2690509259</v>
      </c>
      <c r="D172" s="7" t="str">
        <f>IFERROR(__xludf.DUMMYFUNCTION("""COMPUTED_VALUE"""),"SpABRM460827")</f>
        <v>SpABRM460827</v>
      </c>
      <c r="E172" s="310"/>
      <c r="F172" s="310"/>
      <c r="G172" s="310" t="str">
        <f>IFERROR(__xludf.DUMMYFUNCTION("""COMPUTED_VALUE"""),"Negative")</f>
        <v>Negative</v>
      </c>
      <c r="H172" s="319" t="str">
        <f>IFERROR(__xludf.DUMMYFUNCTION("""COMPUTED_VALUE"""),"Negative")</f>
        <v>Negative</v>
      </c>
      <c r="I172" s="308">
        <f>IFERROR(__xludf.DUMMYFUNCTION("""COMPUTED_VALUE"""),44832.0)</f>
        <v>44832</v>
      </c>
      <c r="J172" s="311">
        <f>IFERROR(__xludf.DUMMYFUNCTION("""COMPUTED_VALUE"""),0.30234953703703704)</f>
        <v>0.302349537</v>
      </c>
      <c r="K172" s="54"/>
      <c r="L172" s="7"/>
      <c r="M172" s="312"/>
      <c r="N172" s="172">
        <f>IFERROR(__xludf.DUMMYFUNCTION("""COMPUTED_VALUE"""),1.0)</f>
        <v>1</v>
      </c>
      <c r="O172" s="172" t="str">
        <f t="shared" si="3"/>
        <v/>
      </c>
      <c r="P172" s="313">
        <f>IFERROR(__xludf.DUMMYFUNCTION("""COMPUTED_VALUE"""),1.0)</f>
        <v>1</v>
      </c>
      <c r="Q172" s="76" t="b">
        <f>VLOOKUP($B172,'Run Reconcile'!B$2:O1399,14,FALSE)</f>
        <v>1</v>
      </c>
      <c r="R172" s="314" t="str">
        <f t="array" ref="R172">IF($Q172, INDEX('Run Reconcile'!A$2:A1399,MATCH(B172,'Run Reconcile'!B$2:B1399,0),1),IFERROR(0/0,""))</f>
        <v>RUN-ABRM_2022-09-27_RFR-025</v>
      </c>
      <c r="S172" s="315" t="str">
        <f t="shared" ref="S172:T172" si="348">IF(COUNTIF(W$2:W1399, $A172) &gt; 0,TRUE,IFERROR(0/0,""))</f>
        <v/>
      </c>
      <c r="T172" s="315" t="str">
        <f t="shared" si="348"/>
        <v/>
      </c>
      <c r="U172" s="114" t="str">
        <f t="array" ref="U172">IF(ISBLANK($R172), INDEX('Run Reconcile'!A$2:A1399, MATCH($B172, 'Run Reconcile'!B$2:B1399, 0)+Z172, 1), IFERROR(0/0,""))
</f>
        <v/>
      </c>
      <c r="V172" s="316" t="str">
        <f t="shared" si="5"/>
        <v>RUN-ABRM_2022-09-27_RFR-025</v>
      </c>
      <c r="Y172" s="317" t="str">
        <f t="shared" si="6"/>
        <v/>
      </c>
      <c r="Z172" s="83" t="str">
        <f t="shared" si="7"/>
        <v/>
      </c>
      <c r="AA172" s="83" t="str">
        <f t="shared" si="8"/>
        <v/>
      </c>
      <c r="AB172" s="83" t="str">
        <f t="shared" si="9"/>
        <v/>
      </c>
      <c r="AC172" s="18" t="str">
        <f t="shared" ref="AC172:AD172" si="349">IF(_xlfn.ISFORMULA(S172),IFERROR(0/0,""),TRUE)</f>
        <v/>
      </c>
      <c r="AD172" s="18" t="str">
        <f t="shared" si="349"/>
        <v/>
      </c>
      <c r="AE172" s="43"/>
      <c r="AF172" s="58" t="s">
        <v>45</v>
      </c>
      <c r="AG172" s="55" t="str">
        <f t="shared" si="11"/>
        <v/>
      </c>
    </row>
    <row r="173">
      <c r="A173" s="7" t="str">
        <f>IFERROR(__xludf.DUMMYFUNCTION("""COMPUTED_VALUE"""),"AG1199")</f>
        <v>AG1199</v>
      </c>
      <c r="B173" s="308">
        <f>IFERROR(__xludf.DUMMYFUNCTION("""COMPUTED_VALUE"""),44831.0)</f>
        <v>44831</v>
      </c>
      <c r="C173" s="309">
        <f>IFERROR(__xludf.DUMMYFUNCTION("""COMPUTED_VALUE"""),0.2994791666666667)</f>
        <v>0.2994791667</v>
      </c>
      <c r="D173" s="7" t="str">
        <f>IFERROR(__xludf.DUMMYFUNCTION("""COMPUTED_VALUE"""),"SpABRM367540")</f>
        <v>SpABRM367540</v>
      </c>
      <c r="E173" s="310"/>
      <c r="F173" s="310"/>
      <c r="G173" s="310" t="str">
        <f>IFERROR(__xludf.DUMMYFUNCTION("""COMPUTED_VALUE"""),"Negative")</f>
        <v>Negative</v>
      </c>
      <c r="H173" s="319" t="str">
        <f>IFERROR(__xludf.DUMMYFUNCTION("""COMPUTED_VALUE"""),"Negative")</f>
        <v>Negative</v>
      </c>
      <c r="I173" s="308">
        <f>IFERROR(__xludf.DUMMYFUNCTION("""COMPUTED_VALUE"""),44832.0)</f>
        <v>44832</v>
      </c>
      <c r="J173" s="311">
        <f>IFERROR(__xludf.DUMMYFUNCTION("""COMPUTED_VALUE"""),0.30234953703703704)</f>
        <v>0.302349537</v>
      </c>
      <c r="K173" s="54"/>
      <c r="L173" s="7"/>
      <c r="M173" s="312"/>
      <c r="N173" s="172">
        <f>IFERROR(__xludf.DUMMYFUNCTION("""COMPUTED_VALUE"""),3.0)</f>
        <v>3</v>
      </c>
      <c r="O173" s="172" t="str">
        <f t="shared" si="3"/>
        <v/>
      </c>
      <c r="P173" s="313">
        <f>IFERROR(__xludf.DUMMYFUNCTION("""COMPUTED_VALUE"""),1.0)</f>
        <v>1</v>
      </c>
      <c r="Q173" s="76" t="b">
        <f>VLOOKUP($B173,'Run Reconcile'!B$2:O1399,14,FALSE)</f>
        <v>1</v>
      </c>
      <c r="R173" s="314" t="str">
        <f t="array" ref="R173">IF($Q173, INDEX('Run Reconcile'!A$2:A1399,MATCH(B173,'Run Reconcile'!B$2:B1399,0),1),IFERROR(0/0,""))</f>
        <v>RUN-ABRM_2022-09-27_RFR-025</v>
      </c>
      <c r="S173" s="315" t="str">
        <f t="shared" ref="S173:T173" si="350">IF(COUNTIF(W$2:W1399, $A173) &gt; 0,TRUE,IFERROR(0/0,""))</f>
        <v/>
      </c>
      <c r="T173" s="315" t="str">
        <f t="shared" si="350"/>
        <v/>
      </c>
      <c r="U173" s="114" t="str">
        <f t="array" ref="U173">IF(ISBLANK($R173), INDEX('Run Reconcile'!A$2:A1399, MATCH($B173, 'Run Reconcile'!B$2:B1399, 0)+Z173, 1), IFERROR(0/0,""))
</f>
        <v/>
      </c>
      <c r="V173" s="316" t="str">
        <f t="shared" si="5"/>
        <v>RUN-ABRM_2022-09-27_RFR-025</v>
      </c>
      <c r="Y173" s="317" t="str">
        <f t="shared" si="6"/>
        <v/>
      </c>
      <c r="Z173" s="83" t="str">
        <f t="shared" si="7"/>
        <v/>
      </c>
      <c r="AA173" s="83" t="str">
        <f t="shared" si="8"/>
        <v/>
      </c>
      <c r="AB173" s="83" t="str">
        <f t="shared" si="9"/>
        <v/>
      </c>
      <c r="AC173" s="18" t="str">
        <f t="shared" ref="AC173:AD173" si="351">IF(_xlfn.ISFORMULA(S173),IFERROR(0/0,""),TRUE)</f>
        <v/>
      </c>
      <c r="AD173" s="18" t="str">
        <f t="shared" si="351"/>
        <v/>
      </c>
      <c r="AE173" s="43"/>
      <c r="AF173" s="58" t="s">
        <v>45</v>
      </c>
      <c r="AG173" s="55" t="str">
        <f t="shared" si="11"/>
        <v/>
      </c>
    </row>
    <row r="174">
      <c r="A174" s="7" t="str">
        <f>IFERROR(__xludf.DUMMYFUNCTION("""COMPUTED_VALUE"""),"AH8881")</f>
        <v>AH8881</v>
      </c>
      <c r="B174" s="308">
        <f>IFERROR(__xludf.DUMMYFUNCTION("""COMPUTED_VALUE"""),44831.0)</f>
        <v>44831</v>
      </c>
      <c r="C174" s="309">
        <f>IFERROR(__xludf.DUMMYFUNCTION("""COMPUTED_VALUE"""),0.3200925925925926)</f>
        <v>0.3200925926</v>
      </c>
      <c r="D174" s="7" t="str">
        <f>IFERROR(__xludf.DUMMYFUNCTION("""COMPUTED_VALUE"""),"SpABRM655136")</f>
        <v>SpABRM655136</v>
      </c>
      <c r="E174" s="310"/>
      <c r="F174" s="310"/>
      <c r="G174" s="310" t="str">
        <f>IFERROR(__xludf.DUMMYFUNCTION("""COMPUTED_VALUE"""),"Negative")</f>
        <v>Negative</v>
      </c>
      <c r="H174" s="319" t="str">
        <f>IFERROR(__xludf.DUMMYFUNCTION("""COMPUTED_VALUE"""),"Negative")</f>
        <v>Negative</v>
      </c>
      <c r="I174" s="308">
        <f>IFERROR(__xludf.DUMMYFUNCTION("""COMPUTED_VALUE"""),44832.0)</f>
        <v>44832</v>
      </c>
      <c r="J174" s="311">
        <f>IFERROR(__xludf.DUMMYFUNCTION("""COMPUTED_VALUE"""),0.30236111111111114)</f>
        <v>0.3023611111</v>
      </c>
      <c r="K174" s="54"/>
      <c r="L174" s="7"/>
      <c r="M174" s="312"/>
      <c r="N174" s="172">
        <f>IFERROR(__xludf.DUMMYFUNCTION("""COMPUTED_VALUE"""),2.0)</f>
        <v>2</v>
      </c>
      <c r="O174" s="172" t="str">
        <f t="shared" si="3"/>
        <v/>
      </c>
      <c r="P174" s="313">
        <f>IFERROR(__xludf.DUMMYFUNCTION("""COMPUTED_VALUE"""),1.0)</f>
        <v>1</v>
      </c>
      <c r="Q174" s="76" t="b">
        <f>VLOOKUP($B174,'Run Reconcile'!B$2:O1399,14,FALSE)</f>
        <v>1</v>
      </c>
      <c r="R174" s="314" t="str">
        <f t="array" ref="R174">IF($Q174, INDEX('Run Reconcile'!A$2:A1399,MATCH(B174,'Run Reconcile'!B$2:B1399,0),1),IFERROR(0/0,""))</f>
        <v>RUN-ABRM_2022-09-27_RFR-025</v>
      </c>
      <c r="S174" s="315" t="str">
        <f t="shared" ref="S174:T174" si="352">IF(COUNTIF(W$2:W1399, $A174) &gt; 0,TRUE,IFERROR(0/0,""))</f>
        <v/>
      </c>
      <c r="T174" s="315" t="str">
        <f t="shared" si="352"/>
        <v/>
      </c>
      <c r="U174" s="114" t="str">
        <f t="array" ref="U174">IF(ISBLANK($R174), INDEX('Run Reconcile'!A$2:A1399, MATCH($B174, 'Run Reconcile'!B$2:B1399, 0)+Z174, 1), IFERROR(0/0,""))
</f>
        <v/>
      </c>
      <c r="V174" s="316" t="str">
        <f t="shared" si="5"/>
        <v>RUN-ABRM_2022-09-27_RFR-025</v>
      </c>
      <c r="Y174" s="317" t="str">
        <f t="shared" si="6"/>
        <v/>
      </c>
      <c r="Z174" s="83" t="str">
        <f t="shared" si="7"/>
        <v/>
      </c>
      <c r="AA174" s="83" t="str">
        <f t="shared" si="8"/>
        <v/>
      </c>
      <c r="AB174" s="83" t="str">
        <f t="shared" si="9"/>
        <v/>
      </c>
      <c r="AC174" s="18" t="str">
        <f t="shared" ref="AC174:AD174" si="353">IF(_xlfn.ISFORMULA(S174),IFERROR(0/0,""),TRUE)</f>
        <v/>
      </c>
      <c r="AD174" s="18" t="str">
        <f t="shared" si="353"/>
        <v/>
      </c>
      <c r="AE174" s="43"/>
      <c r="AF174" s="58" t="s">
        <v>45</v>
      </c>
      <c r="AG174" s="55" t="str">
        <f t="shared" si="11"/>
        <v/>
      </c>
    </row>
    <row r="175">
      <c r="A175" s="7" t="str">
        <f>IFERROR(__xludf.DUMMYFUNCTION("""COMPUTED_VALUE"""),"AH9156")</f>
        <v>AH9156</v>
      </c>
      <c r="B175" s="308">
        <f>IFERROR(__xludf.DUMMYFUNCTION("""COMPUTED_VALUE"""),44831.0)</f>
        <v>44831</v>
      </c>
      <c r="C175" s="309">
        <f>IFERROR(__xludf.DUMMYFUNCTION("""COMPUTED_VALUE"""),0.3209375)</f>
        <v>0.3209375</v>
      </c>
      <c r="D175" s="7" t="str">
        <f>IFERROR(__xludf.DUMMYFUNCTION("""COMPUTED_VALUE"""),"SpABRM610758")</f>
        <v>SpABRM610758</v>
      </c>
      <c r="E175" s="310"/>
      <c r="F175" s="310"/>
      <c r="G175" s="310" t="str">
        <f>IFERROR(__xludf.DUMMYFUNCTION("""COMPUTED_VALUE"""),"Negative")</f>
        <v>Negative</v>
      </c>
      <c r="H175" s="319" t="str">
        <f>IFERROR(__xludf.DUMMYFUNCTION("""COMPUTED_VALUE"""),"Negative")</f>
        <v>Negative</v>
      </c>
      <c r="I175" s="308">
        <f>IFERROR(__xludf.DUMMYFUNCTION("""COMPUTED_VALUE"""),44832.0)</f>
        <v>44832</v>
      </c>
      <c r="J175" s="311">
        <f>IFERROR(__xludf.DUMMYFUNCTION("""COMPUTED_VALUE"""),0.30236111111111114)</f>
        <v>0.3023611111</v>
      </c>
      <c r="K175" s="54"/>
      <c r="L175" s="7"/>
      <c r="M175" s="312"/>
      <c r="N175" s="172">
        <f>IFERROR(__xludf.DUMMYFUNCTION("""COMPUTED_VALUE"""),3.0)</f>
        <v>3</v>
      </c>
      <c r="O175" s="172" t="str">
        <f t="shared" si="3"/>
        <v/>
      </c>
      <c r="P175" s="313">
        <f>IFERROR(__xludf.DUMMYFUNCTION("""COMPUTED_VALUE"""),1.0)</f>
        <v>1</v>
      </c>
      <c r="Q175" s="76" t="b">
        <f>VLOOKUP($B175,'Run Reconcile'!B$2:O1399,14,FALSE)</f>
        <v>1</v>
      </c>
      <c r="R175" s="314" t="str">
        <f t="array" ref="R175">IF($Q175, INDEX('Run Reconcile'!A$2:A1399,MATCH(B175,'Run Reconcile'!B$2:B1399,0),1),IFERROR(0/0,""))</f>
        <v>RUN-ABRM_2022-09-27_RFR-025</v>
      </c>
      <c r="S175" s="315" t="str">
        <f t="shared" ref="S175:T175" si="354">IF(COUNTIF(W$2:W1399, $A175) &gt; 0,TRUE,IFERROR(0/0,""))</f>
        <v/>
      </c>
      <c r="T175" s="315" t="str">
        <f t="shared" si="354"/>
        <v/>
      </c>
      <c r="U175" s="114" t="str">
        <f t="array" ref="U175">IF(ISBLANK($R175), INDEX('Run Reconcile'!A$2:A1399, MATCH($B175, 'Run Reconcile'!B$2:B1399, 0)+Z175, 1), IFERROR(0/0,""))
</f>
        <v/>
      </c>
      <c r="V175" s="316" t="str">
        <f t="shared" si="5"/>
        <v>RUN-ABRM_2022-09-27_RFR-025</v>
      </c>
      <c r="Y175" s="317" t="str">
        <f t="shared" si="6"/>
        <v/>
      </c>
      <c r="Z175" s="83" t="str">
        <f t="shared" si="7"/>
        <v/>
      </c>
      <c r="AA175" s="83" t="str">
        <f t="shared" si="8"/>
        <v/>
      </c>
      <c r="AB175" s="83" t="str">
        <f t="shared" si="9"/>
        <v/>
      </c>
      <c r="AC175" s="18" t="str">
        <f t="shared" ref="AC175:AD175" si="355">IF(_xlfn.ISFORMULA(S175),IFERROR(0/0,""),TRUE)</f>
        <v/>
      </c>
      <c r="AD175" s="18" t="str">
        <f t="shared" si="355"/>
        <v/>
      </c>
      <c r="AE175" s="43"/>
      <c r="AF175" s="58" t="s">
        <v>45</v>
      </c>
      <c r="AG175" s="55" t="str">
        <f t="shared" si="11"/>
        <v/>
      </c>
    </row>
    <row r="176">
      <c r="A176" s="7" t="str">
        <f>IFERROR(__xludf.DUMMYFUNCTION("""COMPUTED_VALUE"""),"AG931")</f>
        <v>AG931</v>
      </c>
      <c r="B176" s="308">
        <f>IFERROR(__xludf.DUMMYFUNCTION("""COMPUTED_VALUE"""),44831.0)</f>
        <v>44831</v>
      </c>
      <c r="C176" s="309">
        <f>IFERROR(__xludf.DUMMYFUNCTION("""COMPUTED_VALUE"""),0.32741898148148146)</f>
        <v>0.3274189815</v>
      </c>
      <c r="D176" s="7" t="str">
        <f>IFERROR(__xludf.DUMMYFUNCTION("""COMPUTED_VALUE"""),"SpABRM814022")</f>
        <v>SpABRM814022</v>
      </c>
      <c r="E176" s="310"/>
      <c r="F176" s="310"/>
      <c r="G176" s="310" t="str">
        <f>IFERROR(__xludf.DUMMYFUNCTION("""COMPUTED_VALUE"""),"Negative")</f>
        <v>Negative</v>
      </c>
      <c r="H176" s="319" t="str">
        <f>IFERROR(__xludf.DUMMYFUNCTION("""COMPUTED_VALUE"""),"Negative")</f>
        <v>Negative</v>
      </c>
      <c r="I176" s="308">
        <f>IFERROR(__xludf.DUMMYFUNCTION("""COMPUTED_VALUE"""),44832.0)</f>
        <v>44832</v>
      </c>
      <c r="J176" s="311">
        <f>IFERROR(__xludf.DUMMYFUNCTION("""COMPUTED_VALUE"""),0.3023726851851852)</f>
        <v>0.3023726852</v>
      </c>
      <c r="K176" s="54"/>
      <c r="L176" s="7"/>
      <c r="M176" s="312"/>
      <c r="N176" s="172">
        <f>IFERROR(__xludf.DUMMYFUNCTION("""COMPUTED_VALUE"""),1.0)</f>
        <v>1</v>
      </c>
      <c r="O176" s="172" t="str">
        <f t="shared" si="3"/>
        <v/>
      </c>
      <c r="P176" s="313">
        <f>IFERROR(__xludf.DUMMYFUNCTION("""COMPUTED_VALUE"""),1.0)</f>
        <v>1</v>
      </c>
      <c r="Q176" s="76" t="b">
        <f>VLOOKUP($B176,'Run Reconcile'!B$2:O1399,14,FALSE)</f>
        <v>1</v>
      </c>
      <c r="R176" s="314" t="str">
        <f t="array" ref="R176">IF($Q176, INDEX('Run Reconcile'!A$2:A1399,MATCH(B176,'Run Reconcile'!B$2:B1399,0),1),IFERROR(0/0,""))</f>
        <v>RUN-ABRM_2022-09-27_RFR-025</v>
      </c>
      <c r="S176" s="315" t="str">
        <f t="shared" ref="S176:T176" si="356">IF(COUNTIF(W$2:W1399, $A176) &gt; 0,TRUE,IFERROR(0/0,""))</f>
        <v/>
      </c>
      <c r="T176" s="315" t="str">
        <f t="shared" si="356"/>
        <v/>
      </c>
      <c r="U176" s="114" t="str">
        <f t="array" ref="U176">IF(ISBLANK($R176), INDEX('Run Reconcile'!A$2:A1399, MATCH($B176, 'Run Reconcile'!B$2:B1399, 0)+Z176, 1), IFERROR(0/0,""))
</f>
        <v/>
      </c>
      <c r="V176" s="316" t="str">
        <f t="shared" si="5"/>
        <v>RUN-ABRM_2022-09-27_RFR-025</v>
      </c>
      <c r="Y176" s="317" t="str">
        <f t="shared" si="6"/>
        <v/>
      </c>
      <c r="Z176" s="83" t="str">
        <f t="shared" si="7"/>
        <v/>
      </c>
      <c r="AA176" s="83" t="str">
        <f t="shared" si="8"/>
        <v/>
      </c>
      <c r="AB176" s="83" t="str">
        <f t="shared" si="9"/>
        <v/>
      </c>
      <c r="AC176" s="18" t="str">
        <f t="shared" ref="AC176:AD176" si="357">IF(_xlfn.ISFORMULA(S176),IFERROR(0/0,""),TRUE)</f>
        <v/>
      </c>
      <c r="AD176" s="18" t="str">
        <f t="shared" si="357"/>
        <v/>
      </c>
      <c r="AE176" s="43"/>
      <c r="AF176" s="58" t="s">
        <v>45</v>
      </c>
      <c r="AG176" s="55" t="str">
        <f t="shared" si="11"/>
        <v/>
      </c>
    </row>
    <row r="177">
      <c r="A177" s="7" t="str">
        <f>IFERROR(__xludf.DUMMYFUNCTION("""COMPUTED_VALUE"""),"AH1430")</f>
        <v>AH1430</v>
      </c>
      <c r="B177" s="308">
        <f>IFERROR(__xludf.DUMMYFUNCTION("""COMPUTED_VALUE"""),44831.0)</f>
        <v>44831</v>
      </c>
      <c r="C177" s="309">
        <f>IFERROR(__xludf.DUMMYFUNCTION("""COMPUTED_VALUE"""),0.34729166666666667)</f>
        <v>0.3472916667</v>
      </c>
      <c r="D177" s="7" t="str">
        <f>IFERROR(__xludf.DUMMYFUNCTION("""COMPUTED_VALUE"""),"SpABRM188986")</f>
        <v>SpABRM188986</v>
      </c>
      <c r="E177" s="310"/>
      <c r="F177" s="310"/>
      <c r="G177" s="310" t="str">
        <f>IFERROR(__xludf.DUMMYFUNCTION("""COMPUTED_VALUE"""),"Negative")</f>
        <v>Negative</v>
      </c>
      <c r="H177" s="319" t="str">
        <f>IFERROR(__xludf.DUMMYFUNCTION("""COMPUTED_VALUE"""),"Negative")</f>
        <v>Negative</v>
      </c>
      <c r="I177" s="308">
        <f>IFERROR(__xludf.DUMMYFUNCTION("""COMPUTED_VALUE"""),44832.0)</f>
        <v>44832</v>
      </c>
      <c r="J177" s="311">
        <f>IFERROR(__xludf.DUMMYFUNCTION("""COMPUTED_VALUE"""),0.3023726851851852)</f>
        <v>0.3023726852</v>
      </c>
      <c r="K177" s="54"/>
      <c r="L177" s="7"/>
      <c r="M177" s="312"/>
      <c r="N177" s="172">
        <f>IFERROR(__xludf.DUMMYFUNCTION("""COMPUTED_VALUE"""),3.0)</f>
        <v>3</v>
      </c>
      <c r="O177" s="172" t="str">
        <f t="shared" si="3"/>
        <v/>
      </c>
      <c r="P177" s="313">
        <f>IFERROR(__xludf.DUMMYFUNCTION("""COMPUTED_VALUE"""),1.0)</f>
        <v>1</v>
      </c>
      <c r="Q177" s="76" t="b">
        <f>VLOOKUP($B177,'Run Reconcile'!B$2:O1399,14,FALSE)</f>
        <v>1</v>
      </c>
      <c r="R177" s="314" t="str">
        <f t="array" ref="R177">IF($Q177, INDEX('Run Reconcile'!A$2:A1399,MATCH(B177,'Run Reconcile'!B$2:B1399,0),1),IFERROR(0/0,""))</f>
        <v>RUN-ABRM_2022-09-27_RFR-025</v>
      </c>
      <c r="S177" s="315" t="str">
        <f t="shared" ref="S177:T177" si="358">IF(COUNTIF(W$2:W1399, $A177) &gt; 0,TRUE,IFERROR(0/0,""))</f>
        <v/>
      </c>
      <c r="T177" s="315" t="str">
        <f t="shared" si="358"/>
        <v/>
      </c>
      <c r="U177" s="114" t="str">
        <f t="array" ref="U177">IF(ISBLANK($R177), INDEX('Run Reconcile'!A$2:A1399, MATCH($B177, 'Run Reconcile'!B$2:B1399, 0)+Z177, 1), IFERROR(0/0,""))
</f>
        <v/>
      </c>
      <c r="V177" s="316" t="str">
        <f t="shared" si="5"/>
        <v>RUN-ABRM_2022-09-27_RFR-025</v>
      </c>
      <c r="Y177" s="317" t="str">
        <f t="shared" si="6"/>
        <v/>
      </c>
      <c r="Z177" s="83" t="str">
        <f t="shared" si="7"/>
        <v/>
      </c>
      <c r="AA177" s="83" t="str">
        <f t="shared" si="8"/>
        <v/>
      </c>
      <c r="AB177" s="83" t="str">
        <f t="shared" si="9"/>
        <v/>
      </c>
      <c r="AC177" s="18" t="str">
        <f t="shared" ref="AC177:AD177" si="359">IF(_xlfn.ISFORMULA(S177),IFERROR(0/0,""),TRUE)</f>
        <v/>
      </c>
      <c r="AD177" s="18" t="str">
        <f t="shared" si="359"/>
        <v/>
      </c>
      <c r="AE177" s="43"/>
      <c r="AF177" s="58" t="s">
        <v>45</v>
      </c>
      <c r="AG177" s="55" t="str">
        <f t="shared" si="11"/>
        <v/>
      </c>
    </row>
    <row r="178">
      <c r="A178" s="7" t="str">
        <f>IFERROR(__xludf.DUMMYFUNCTION("""COMPUTED_VALUE"""),"AJ7927")</f>
        <v>AJ7927</v>
      </c>
      <c r="B178" s="308">
        <f>IFERROR(__xludf.DUMMYFUNCTION("""COMPUTED_VALUE"""),44831.0)</f>
        <v>44831</v>
      </c>
      <c r="C178" s="309">
        <f>IFERROR(__xludf.DUMMYFUNCTION("""COMPUTED_VALUE"""),0.34805555555555556)</f>
        <v>0.3480555556</v>
      </c>
      <c r="D178" s="7" t="str">
        <f>IFERROR(__xludf.DUMMYFUNCTION("""COMPUTED_VALUE"""),"SpABRM188986")</f>
        <v>SpABRM188986</v>
      </c>
      <c r="E178" s="310"/>
      <c r="F178" s="310"/>
      <c r="G178" s="310" t="str">
        <f>IFERROR(__xludf.DUMMYFUNCTION("""COMPUTED_VALUE"""),"Negative")</f>
        <v>Negative</v>
      </c>
      <c r="H178" s="319" t="str">
        <f>IFERROR(__xludf.DUMMYFUNCTION("""COMPUTED_VALUE"""),"Negative")</f>
        <v>Negative</v>
      </c>
      <c r="I178" s="308">
        <f>IFERROR(__xludf.DUMMYFUNCTION("""COMPUTED_VALUE"""),44832.0)</f>
        <v>44832</v>
      </c>
      <c r="J178" s="311">
        <f>IFERROR(__xludf.DUMMYFUNCTION("""COMPUTED_VALUE"""),0.30238425925925927)</f>
        <v>0.3023842593</v>
      </c>
      <c r="K178" s="54"/>
      <c r="L178" s="7"/>
      <c r="M178" s="312"/>
      <c r="N178" s="172">
        <f>IFERROR(__xludf.DUMMYFUNCTION("""COMPUTED_VALUE"""),4.0)</f>
        <v>4</v>
      </c>
      <c r="O178" s="172" t="str">
        <f t="shared" si="3"/>
        <v/>
      </c>
      <c r="P178" s="313">
        <f>IFERROR(__xludf.DUMMYFUNCTION("""COMPUTED_VALUE"""),1.0)</f>
        <v>1</v>
      </c>
      <c r="Q178" s="76" t="b">
        <f>VLOOKUP($B178,'Run Reconcile'!B$2:O1399,14,FALSE)</f>
        <v>1</v>
      </c>
      <c r="R178" s="314" t="str">
        <f t="array" ref="R178">IF($Q178, INDEX('Run Reconcile'!A$2:A1399,MATCH(B178,'Run Reconcile'!B$2:B1399,0),1),IFERROR(0/0,""))</f>
        <v>RUN-ABRM_2022-09-27_RFR-025</v>
      </c>
      <c r="S178" s="315" t="str">
        <f t="shared" ref="S178:T178" si="360">IF(COUNTIF(W$2:W1399, $A178) &gt; 0,TRUE,IFERROR(0/0,""))</f>
        <v/>
      </c>
      <c r="T178" s="315" t="str">
        <f t="shared" si="360"/>
        <v/>
      </c>
      <c r="U178" s="114" t="str">
        <f t="array" ref="U178">IF(ISBLANK($R178), INDEX('Run Reconcile'!A$2:A1399, MATCH($B178, 'Run Reconcile'!B$2:B1399, 0)+Z178, 1), IFERROR(0/0,""))
</f>
        <v/>
      </c>
      <c r="V178" s="316" t="str">
        <f t="shared" si="5"/>
        <v>RUN-ABRM_2022-09-27_RFR-025</v>
      </c>
      <c r="Y178" s="317" t="str">
        <f t="shared" si="6"/>
        <v/>
      </c>
      <c r="Z178" s="83" t="str">
        <f t="shared" si="7"/>
        <v/>
      </c>
      <c r="AA178" s="83" t="str">
        <f t="shared" si="8"/>
        <v/>
      </c>
      <c r="AB178" s="83" t="str">
        <f t="shared" si="9"/>
        <v/>
      </c>
      <c r="AC178" s="18" t="str">
        <f t="shared" ref="AC178:AD178" si="361">IF(_xlfn.ISFORMULA(S178),IFERROR(0/0,""),TRUE)</f>
        <v/>
      </c>
      <c r="AD178" s="18" t="str">
        <f t="shared" si="361"/>
        <v/>
      </c>
      <c r="AE178" s="43"/>
      <c r="AF178" s="58" t="s">
        <v>45</v>
      </c>
      <c r="AG178" s="55" t="str">
        <f t="shared" si="11"/>
        <v/>
      </c>
    </row>
    <row r="179">
      <c r="A179" s="7" t="str">
        <f>IFERROR(__xludf.DUMMYFUNCTION("""COMPUTED_VALUE"""),"AH8196")</f>
        <v>AH8196</v>
      </c>
      <c r="B179" s="308">
        <f>IFERROR(__xludf.DUMMYFUNCTION("""COMPUTED_VALUE"""),44831.0)</f>
        <v>44831</v>
      </c>
      <c r="C179" s="309">
        <f>IFERROR(__xludf.DUMMYFUNCTION("""COMPUTED_VALUE"""),0.3497337962962963)</f>
        <v>0.3497337963</v>
      </c>
      <c r="D179" s="7" t="str">
        <f>IFERROR(__xludf.DUMMYFUNCTION("""COMPUTED_VALUE"""),"SpABRM188986")</f>
        <v>SpABRM188986</v>
      </c>
      <c r="E179" s="310"/>
      <c r="F179" s="310"/>
      <c r="G179" s="310" t="str">
        <f>IFERROR(__xludf.DUMMYFUNCTION("""COMPUTED_VALUE"""),"Negative")</f>
        <v>Negative</v>
      </c>
      <c r="H179" s="319" t="str">
        <f>IFERROR(__xludf.DUMMYFUNCTION("""COMPUTED_VALUE"""),"Negative")</f>
        <v>Negative</v>
      </c>
      <c r="I179" s="308">
        <f>IFERROR(__xludf.DUMMYFUNCTION("""COMPUTED_VALUE"""),44832.0)</f>
        <v>44832</v>
      </c>
      <c r="J179" s="311">
        <f>IFERROR(__xludf.DUMMYFUNCTION("""COMPUTED_VALUE"""),0.30238425925925927)</f>
        <v>0.3023842593</v>
      </c>
      <c r="K179" s="54"/>
      <c r="L179" s="7"/>
      <c r="M179" s="312"/>
      <c r="N179" s="172">
        <f>IFERROR(__xludf.DUMMYFUNCTION("""COMPUTED_VALUE"""),3.0)</f>
        <v>3</v>
      </c>
      <c r="O179" s="172" t="str">
        <f t="shared" si="3"/>
        <v/>
      </c>
      <c r="P179" s="313">
        <f>IFERROR(__xludf.DUMMYFUNCTION("""COMPUTED_VALUE"""),1.0)</f>
        <v>1</v>
      </c>
      <c r="Q179" s="76" t="b">
        <f>VLOOKUP($B179,'Run Reconcile'!B$2:O1399,14,FALSE)</f>
        <v>1</v>
      </c>
      <c r="R179" s="314" t="str">
        <f t="array" ref="R179">IF($Q179, INDEX('Run Reconcile'!A$2:A1399,MATCH(B179,'Run Reconcile'!B$2:B1399,0),1),IFERROR(0/0,""))</f>
        <v>RUN-ABRM_2022-09-27_RFR-025</v>
      </c>
      <c r="S179" s="315" t="str">
        <f t="shared" ref="S179:T179" si="362">IF(COUNTIF(W$2:W1399, $A179) &gt; 0,TRUE,IFERROR(0/0,""))</f>
        <v/>
      </c>
      <c r="T179" s="315" t="str">
        <f t="shared" si="362"/>
        <v/>
      </c>
      <c r="U179" s="114" t="str">
        <f t="array" ref="U179">IF(ISBLANK($R179), INDEX('Run Reconcile'!A$2:A1399, MATCH($B179, 'Run Reconcile'!B$2:B1399, 0)+Z179, 1), IFERROR(0/0,""))
</f>
        <v/>
      </c>
      <c r="V179" s="316" t="str">
        <f t="shared" si="5"/>
        <v>RUN-ABRM_2022-09-27_RFR-025</v>
      </c>
      <c r="Y179" s="317" t="str">
        <f t="shared" si="6"/>
        <v/>
      </c>
      <c r="Z179" s="83" t="str">
        <f t="shared" si="7"/>
        <v/>
      </c>
      <c r="AA179" s="83" t="str">
        <f t="shared" si="8"/>
        <v/>
      </c>
      <c r="AB179" s="83" t="str">
        <f t="shared" si="9"/>
        <v/>
      </c>
      <c r="AC179" s="18" t="str">
        <f t="shared" ref="AC179:AD179" si="363">IF(_xlfn.ISFORMULA(S179),IFERROR(0/0,""),TRUE)</f>
        <v/>
      </c>
      <c r="AD179" s="18" t="str">
        <f t="shared" si="363"/>
        <v/>
      </c>
      <c r="AE179" s="43"/>
      <c r="AF179" s="58" t="s">
        <v>45</v>
      </c>
      <c r="AG179" s="55" t="str">
        <f t="shared" si="11"/>
        <v/>
      </c>
    </row>
    <row r="180">
      <c r="A180" s="7" t="str">
        <f>IFERROR(__xludf.DUMMYFUNCTION("""COMPUTED_VALUE"""),"AH8825")</f>
        <v>AH8825</v>
      </c>
      <c r="B180" s="308">
        <f>IFERROR(__xludf.DUMMYFUNCTION("""COMPUTED_VALUE"""),44832.0)</f>
        <v>44832</v>
      </c>
      <c r="C180" s="309">
        <f>IFERROR(__xludf.DUMMYFUNCTION("""COMPUTED_VALUE"""),0.22027777777777777)</f>
        <v>0.2202777778</v>
      </c>
      <c r="D180" s="7" t="str">
        <f>IFERROR(__xludf.DUMMYFUNCTION("""COMPUTED_VALUE"""),"SpABRM454310")</f>
        <v>SpABRM454310</v>
      </c>
      <c r="E180" s="310"/>
      <c r="F180" s="310"/>
      <c r="G180" s="310" t="str">
        <f>IFERROR(__xludf.DUMMYFUNCTION("""COMPUTED_VALUE"""),"Negative")</f>
        <v>Negative</v>
      </c>
      <c r="H180" s="319" t="str">
        <f>IFERROR(__xludf.DUMMYFUNCTION("""COMPUTED_VALUE"""),"Negative")</f>
        <v>Negative</v>
      </c>
      <c r="I180" s="308">
        <f>IFERROR(__xludf.DUMMYFUNCTION("""COMPUTED_VALUE"""),44832.0)</f>
        <v>44832</v>
      </c>
      <c r="J180" s="311">
        <f>IFERROR(__xludf.DUMMYFUNCTION("""COMPUTED_VALUE"""),0.42756944444444445)</f>
        <v>0.4275694444</v>
      </c>
      <c r="K180" s="54"/>
      <c r="L180" s="7"/>
      <c r="M180" s="312"/>
      <c r="N180" s="172">
        <f>IFERROR(__xludf.DUMMYFUNCTION("""COMPUTED_VALUE"""),3.0)</f>
        <v>3</v>
      </c>
      <c r="O180" s="172" t="b">
        <f t="shared" si="3"/>
        <v>1</v>
      </c>
      <c r="P180" s="313">
        <f>IFERROR(__xludf.DUMMYFUNCTION("""COMPUTED_VALUE"""),0.0)</f>
        <v>0</v>
      </c>
      <c r="Q180" s="76" t="b">
        <f>VLOOKUP($B180,'Run Reconcile'!B$2:O1399,14,FALSE)</f>
        <v>1</v>
      </c>
      <c r="R180" s="314" t="str">
        <f t="array" ref="R180">IF($Q180, INDEX('Run Reconcile'!A$2:A1399,MATCH(B180,'Run Reconcile'!B$2:B1399,0),1),IFERROR(0/0,""))</f>
        <v>RUN-ABRM_2022-09-28_RFR-026</v>
      </c>
      <c r="S180" s="315" t="str">
        <f t="shared" ref="S180:T180" si="364">IF(COUNTIF(W$2:W1399, $A180) &gt; 0,TRUE,IFERROR(0/0,""))</f>
        <v/>
      </c>
      <c r="T180" s="315" t="str">
        <f t="shared" si="364"/>
        <v/>
      </c>
      <c r="U180" s="114" t="str">
        <f t="array" ref="U180">IF(ISBLANK($R180), INDEX('Run Reconcile'!A$2:A1399, MATCH($B180, 'Run Reconcile'!B$2:B1399, 0)+Z180, 1), IFERROR(0/0,""))
</f>
        <v/>
      </c>
      <c r="V180" s="316" t="str">
        <f t="shared" si="5"/>
        <v>RUN-ABRM_2022-09-28_RFR-026</v>
      </c>
      <c r="Y180" s="317" t="str">
        <f t="shared" si="6"/>
        <v/>
      </c>
      <c r="Z180" s="83" t="str">
        <f t="shared" si="7"/>
        <v/>
      </c>
      <c r="AA180" s="83" t="str">
        <f t="shared" si="8"/>
        <v/>
      </c>
      <c r="AB180" s="83" t="str">
        <f t="shared" si="9"/>
        <v/>
      </c>
      <c r="AC180" s="18" t="str">
        <f t="shared" ref="AC180:AD180" si="365">IF(_xlfn.ISFORMULA(S180),IFERROR(0/0,""),TRUE)</f>
        <v/>
      </c>
      <c r="AD180" s="18" t="str">
        <f t="shared" si="365"/>
        <v/>
      </c>
      <c r="AE180" s="43"/>
      <c r="AF180" s="58" t="s">
        <v>46</v>
      </c>
      <c r="AG180" s="55" t="str">
        <f t="shared" si="11"/>
        <v/>
      </c>
    </row>
    <row r="181">
      <c r="A181" s="7" t="str">
        <f>IFERROR(__xludf.DUMMYFUNCTION("""COMPUTED_VALUE"""),"AJ9072")</f>
        <v>AJ9072</v>
      </c>
      <c r="B181" s="308">
        <f>IFERROR(__xludf.DUMMYFUNCTION("""COMPUTED_VALUE"""),44832.0)</f>
        <v>44832</v>
      </c>
      <c r="C181" s="309">
        <f>IFERROR(__xludf.DUMMYFUNCTION("""COMPUTED_VALUE"""),0.2552314814814815)</f>
        <v>0.2552314815</v>
      </c>
      <c r="D181" s="7" t="str">
        <f>IFERROR(__xludf.DUMMYFUNCTION("""COMPUTED_VALUE"""),"SpABRM516158")</f>
        <v>SpABRM516158</v>
      </c>
      <c r="E181" s="310"/>
      <c r="F181" s="310"/>
      <c r="G181" s="310" t="str">
        <f>IFERROR(__xludf.DUMMYFUNCTION("""COMPUTED_VALUE"""),"Negative")</f>
        <v>Negative</v>
      </c>
      <c r="H181" s="319" t="str">
        <f>IFERROR(__xludf.DUMMYFUNCTION("""COMPUTED_VALUE"""),"Negative")</f>
        <v>Negative</v>
      </c>
      <c r="I181" s="308">
        <f>IFERROR(__xludf.DUMMYFUNCTION("""COMPUTED_VALUE"""),44832.0)</f>
        <v>44832</v>
      </c>
      <c r="J181" s="311">
        <f>IFERROR(__xludf.DUMMYFUNCTION("""COMPUTED_VALUE"""),0.42756944444444445)</f>
        <v>0.4275694444</v>
      </c>
      <c r="K181" s="54"/>
      <c r="L181" s="7"/>
      <c r="M181" s="312"/>
      <c r="N181" s="172">
        <f>IFERROR(__xludf.DUMMYFUNCTION("""COMPUTED_VALUE"""),1.0)</f>
        <v>1</v>
      </c>
      <c r="O181" s="172" t="str">
        <f t="shared" si="3"/>
        <v/>
      </c>
      <c r="P181" s="313">
        <f>IFERROR(__xludf.DUMMYFUNCTION("""COMPUTED_VALUE"""),0.0)</f>
        <v>0</v>
      </c>
      <c r="Q181" s="76" t="b">
        <f>VLOOKUP($B181,'Run Reconcile'!B$2:O1399,14,FALSE)</f>
        <v>1</v>
      </c>
      <c r="R181" s="314" t="str">
        <f t="array" ref="R181">IF($Q181, INDEX('Run Reconcile'!A$2:A1399,MATCH(B181,'Run Reconcile'!B$2:B1399,0),1),IFERROR(0/0,""))</f>
        <v>RUN-ABRM_2022-09-28_RFR-026</v>
      </c>
      <c r="S181" s="315" t="str">
        <f t="shared" ref="S181:T181" si="366">IF(COUNTIF(W$2:W1399, $A181) &gt; 0,TRUE,IFERROR(0/0,""))</f>
        <v/>
      </c>
      <c r="T181" s="315" t="str">
        <f t="shared" si="366"/>
        <v/>
      </c>
      <c r="U181" s="114" t="str">
        <f t="array" ref="U181">IF(ISBLANK($R181), INDEX('Run Reconcile'!A$2:A1399, MATCH($B181, 'Run Reconcile'!B$2:B1399, 0)+Z181, 1), IFERROR(0/0,""))
</f>
        <v/>
      </c>
      <c r="V181" s="316" t="str">
        <f t="shared" si="5"/>
        <v>RUN-ABRM_2022-09-28_RFR-026</v>
      </c>
      <c r="Y181" s="317" t="str">
        <f t="shared" si="6"/>
        <v/>
      </c>
      <c r="Z181" s="83" t="str">
        <f t="shared" si="7"/>
        <v/>
      </c>
      <c r="AA181" s="83" t="str">
        <f t="shared" si="8"/>
        <v/>
      </c>
      <c r="AB181" s="83" t="str">
        <f t="shared" si="9"/>
        <v/>
      </c>
      <c r="AC181" s="18" t="str">
        <f t="shared" ref="AC181:AD181" si="367">IF(_xlfn.ISFORMULA(S181),IFERROR(0/0,""),TRUE)</f>
        <v/>
      </c>
      <c r="AD181" s="18" t="str">
        <f t="shared" si="367"/>
        <v/>
      </c>
      <c r="AE181" s="43"/>
      <c r="AF181" s="58" t="s">
        <v>46</v>
      </c>
      <c r="AG181" s="55" t="str">
        <f t="shared" si="11"/>
        <v/>
      </c>
    </row>
    <row r="182">
      <c r="A182" s="7" t="str">
        <f>IFERROR(__xludf.DUMMYFUNCTION("""COMPUTED_VALUE"""),"AH7899")</f>
        <v>AH7899</v>
      </c>
      <c r="B182" s="308">
        <f>IFERROR(__xludf.DUMMYFUNCTION("""COMPUTED_VALUE"""),44832.0)</f>
        <v>44832</v>
      </c>
      <c r="C182" s="309">
        <f>IFERROR(__xludf.DUMMYFUNCTION("""COMPUTED_VALUE"""),0.2626851851851852)</f>
        <v>0.2626851852</v>
      </c>
      <c r="D182" s="7" t="str">
        <f>IFERROR(__xludf.DUMMYFUNCTION("""COMPUTED_VALUE"""),"SpABRM655136")</f>
        <v>SpABRM655136</v>
      </c>
      <c r="E182" s="310"/>
      <c r="F182" s="310"/>
      <c r="G182" s="310" t="str">
        <f>IFERROR(__xludf.DUMMYFUNCTION("""COMPUTED_VALUE"""),"Negative")</f>
        <v>Negative</v>
      </c>
      <c r="H182" s="319" t="str">
        <f>IFERROR(__xludf.DUMMYFUNCTION("""COMPUTED_VALUE"""),"Negative")</f>
        <v>Negative</v>
      </c>
      <c r="I182" s="308">
        <f>IFERROR(__xludf.DUMMYFUNCTION("""COMPUTED_VALUE"""),44832.0)</f>
        <v>44832</v>
      </c>
      <c r="J182" s="311">
        <f>IFERROR(__xludf.DUMMYFUNCTION("""COMPUTED_VALUE"""),0.42758101851851854)</f>
        <v>0.4275810185</v>
      </c>
      <c r="K182" s="54"/>
      <c r="L182" s="7"/>
      <c r="M182" s="312"/>
      <c r="N182" s="172">
        <f>IFERROR(__xludf.DUMMYFUNCTION("""COMPUTED_VALUE"""),2.0)</f>
        <v>2</v>
      </c>
      <c r="O182" s="172" t="str">
        <f t="shared" si="3"/>
        <v/>
      </c>
      <c r="P182" s="313">
        <f>IFERROR(__xludf.DUMMYFUNCTION("""COMPUTED_VALUE"""),0.0)</f>
        <v>0</v>
      </c>
      <c r="Q182" s="76" t="b">
        <f>VLOOKUP($B182,'Run Reconcile'!B$2:O1399,14,FALSE)</f>
        <v>1</v>
      </c>
      <c r="R182" s="314" t="str">
        <f t="array" ref="R182">IF($Q182, INDEX('Run Reconcile'!A$2:A1399,MATCH(B182,'Run Reconcile'!B$2:B1399,0),1),IFERROR(0/0,""))</f>
        <v>RUN-ABRM_2022-09-28_RFR-026</v>
      </c>
      <c r="S182" s="315" t="str">
        <f t="shared" ref="S182:T182" si="368">IF(COUNTIF(W$2:W1399, $A182) &gt; 0,TRUE,IFERROR(0/0,""))</f>
        <v/>
      </c>
      <c r="T182" s="315" t="str">
        <f t="shared" si="368"/>
        <v/>
      </c>
      <c r="U182" s="114" t="str">
        <f t="array" ref="U182">IF(ISBLANK($R182), INDEX('Run Reconcile'!A$2:A1399, MATCH($B182, 'Run Reconcile'!B$2:B1399, 0)+Z182, 1), IFERROR(0/0,""))
</f>
        <v/>
      </c>
      <c r="V182" s="316" t="str">
        <f t="shared" si="5"/>
        <v>RUN-ABRM_2022-09-28_RFR-026</v>
      </c>
      <c r="Y182" s="317" t="str">
        <f t="shared" si="6"/>
        <v/>
      </c>
      <c r="Z182" s="83" t="str">
        <f t="shared" si="7"/>
        <v/>
      </c>
      <c r="AA182" s="83" t="str">
        <f t="shared" si="8"/>
        <v/>
      </c>
      <c r="AB182" s="83" t="str">
        <f t="shared" si="9"/>
        <v/>
      </c>
      <c r="AC182" s="18" t="str">
        <f t="shared" ref="AC182:AD182" si="369">IF(_xlfn.ISFORMULA(S182),IFERROR(0/0,""),TRUE)</f>
        <v/>
      </c>
      <c r="AD182" s="18" t="str">
        <f t="shared" si="369"/>
        <v/>
      </c>
      <c r="AE182" s="43"/>
      <c r="AF182" s="58" t="s">
        <v>46</v>
      </c>
      <c r="AG182" s="55" t="str">
        <f t="shared" si="11"/>
        <v/>
      </c>
    </row>
    <row r="183">
      <c r="A183" s="7" t="str">
        <f>IFERROR(__xludf.DUMMYFUNCTION("""COMPUTED_VALUE"""),"AH7830")</f>
        <v>AH7830</v>
      </c>
      <c r="B183" s="308">
        <f>IFERROR(__xludf.DUMMYFUNCTION("""COMPUTED_VALUE"""),44832.0)</f>
        <v>44832</v>
      </c>
      <c r="C183" s="309">
        <f>IFERROR(__xludf.DUMMYFUNCTION("""COMPUTED_VALUE"""),0.28130787037037036)</f>
        <v>0.2813078704</v>
      </c>
      <c r="D183" s="7" t="str">
        <f>IFERROR(__xludf.DUMMYFUNCTION("""COMPUTED_VALUE"""),"SpABRM128250")</f>
        <v>SpABRM128250</v>
      </c>
      <c r="E183" s="310"/>
      <c r="F183" s="310"/>
      <c r="G183" s="310" t="str">
        <f>IFERROR(__xludf.DUMMYFUNCTION("""COMPUTED_VALUE"""),"Negative")</f>
        <v>Negative</v>
      </c>
      <c r="H183" s="319" t="str">
        <f>IFERROR(__xludf.DUMMYFUNCTION("""COMPUTED_VALUE"""),"Negative")</f>
        <v>Negative</v>
      </c>
      <c r="I183" s="308">
        <f>IFERROR(__xludf.DUMMYFUNCTION("""COMPUTED_VALUE"""),44832.0)</f>
        <v>44832</v>
      </c>
      <c r="J183" s="311">
        <f>IFERROR(__xludf.DUMMYFUNCTION("""COMPUTED_VALUE"""),0.4275925925925926)</f>
        <v>0.4275925926</v>
      </c>
      <c r="K183" s="54"/>
      <c r="L183" s="7"/>
      <c r="M183" s="312"/>
      <c r="N183" s="172">
        <f>IFERROR(__xludf.DUMMYFUNCTION("""COMPUTED_VALUE"""),3.0)</f>
        <v>3</v>
      </c>
      <c r="O183" s="172" t="str">
        <f t="shared" si="3"/>
        <v/>
      </c>
      <c r="P183" s="313">
        <f>IFERROR(__xludf.DUMMYFUNCTION("""COMPUTED_VALUE"""),0.0)</f>
        <v>0</v>
      </c>
      <c r="Q183" s="76" t="b">
        <f>VLOOKUP($B183,'Run Reconcile'!B$2:O1399,14,FALSE)</f>
        <v>1</v>
      </c>
      <c r="R183" s="314" t="str">
        <f t="array" ref="R183">IF($Q183, INDEX('Run Reconcile'!A$2:A1399,MATCH(B183,'Run Reconcile'!B$2:B1399,0),1),IFERROR(0/0,""))</f>
        <v>RUN-ABRM_2022-09-28_RFR-026</v>
      </c>
      <c r="S183" s="315" t="str">
        <f t="shared" ref="S183:T183" si="370">IF(COUNTIF(W$2:W1399, $A183) &gt; 0,TRUE,IFERROR(0/0,""))</f>
        <v/>
      </c>
      <c r="T183" s="315" t="str">
        <f t="shared" si="370"/>
        <v/>
      </c>
      <c r="U183" s="114" t="str">
        <f t="array" ref="U183">IF(ISBLANK($R183), INDEX('Run Reconcile'!A$2:A1399, MATCH($B183, 'Run Reconcile'!B$2:B1399, 0)+Z183, 1), IFERROR(0/0,""))
</f>
        <v/>
      </c>
      <c r="V183" s="316" t="str">
        <f t="shared" si="5"/>
        <v>RUN-ABRM_2022-09-28_RFR-026</v>
      </c>
      <c r="Y183" s="317" t="str">
        <f t="shared" si="6"/>
        <v/>
      </c>
      <c r="Z183" s="83" t="str">
        <f t="shared" si="7"/>
        <v/>
      </c>
      <c r="AA183" s="83" t="str">
        <f t="shared" si="8"/>
        <v/>
      </c>
      <c r="AB183" s="83" t="str">
        <f t="shared" si="9"/>
        <v/>
      </c>
      <c r="AC183" s="18" t="str">
        <f t="shared" ref="AC183:AD183" si="371">IF(_xlfn.ISFORMULA(S183),IFERROR(0/0,""),TRUE)</f>
        <v/>
      </c>
      <c r="AD183" s="18" t="str">
        <f t="shared" si="371"/>
        <v/>
      </c>
      <c r="AE183" s="43"/>
      <c r="AF183" s="58" t="s">
        <v>46</v>
      </c>
      <c r="AG183" s="55" t="str">
        <f t="shared" si="11"/>
        <v/>
      </c>
    </row>
    <row r="184">
      <c r="A184" s="7" t="str">
        <f>IFERROR(__xludf.DUMMYFUNCTION("""COMPUTED_VALUE"""),"AG1194")</f>
        <v>AG1194</v>
      </c>
      <c r="B184" s="308">
        <f>IFERROR(__xludf.DUMMYFUNCTION("""COMPUTED_VALUE"""),44832.0)</f>
        <v>44832</v>
      </c>
      <c r="C184" s="309">
        <f>IFERROR(__xludf.DUMMYFUNCTION("""COMPUTED_VALUE"""),0.29533564814814817)</f>
        <v>0.2953356481</v>
      </c>
      <c r="D184" s="7" t="str">
        <f>IFERROR(__xludf.DUMMYFUNCTION("""COMPUTED_VALUE"""),"SpABRM814022")</f>
        <v>SpABRM814022</v>
      </c>
      <c r="E184" s="310"/>
      <c r="F184" s="310"/>
      <c r="G184" s="310" t="str">
        <f>IFERROR(__xludf.DUMMYFUNCTION("""COMPUTED_VALUE"""),"Negative")</f>
        <v>Negative</v>
      </c>
      <c r="H184" s="319" t="str">
        <f>IFERROR(__xludf.DUMMYFUNCTION("""COMPUTED_VALUE"""),"Negative")</f>
        <v>Negative</v>
      </c>
      <c r="I184" s="308">
        <f>IFERROR(__xludf.DUMMYFUNCTION("""COMPUTED_VALUE"""),44832.0)</f>
        <v>44832</v>
      </c>
      <c r="J184" s="311">
        <f>IFERROR(__xludf.DUMMYFUNCTION("""COMPUTED_VALUE"""),0.4275925925925926)</f>
        <v>0.4275925926</v>
      </c>
      <c r="K184" s="54"/>
      <c r="L184" s="7"/>
      <c r="M184" s="312"/>
      <c r="N184" s="172">
        <f>IFERROR(__xludf.DUMMYFUNCTION("""COMPUTED_VALUE"""),1.0)</f>
        <v>1</v>
      </c>
      <c r="O184" s="172" t="str">
        <f t="shared" si="3"/>
        <v/>
      </c>
      <c r="P184" s="313">
        <f>IFERROR(__xludf.DUMMYFUNCTION("""COMPUTED_VALUE"""),0.0)</f>
        <v>0</v>
      </c>
      <c r="Q184" s="76" t="b">
        <f>VLOOKUP($B184,'Run Reconcile'!B$2:O1399,14,FALSE)</f>
        <v>1</v>
      </c>
      <c r="R184" s="314" t="str">
        <f t="array" ref="R184">IF($Q184, INDEX('Run Reconcile'!A$2:A1399,MATCH(B184,'Run Reconcile'!B$2:B1399,0),1),IFERROR(0/0,""))</f>
        <v>RUN-ABRM_2022-09-28_RFR-026</v>
      </c>
      <c r="S184" s="315" t="str">
        <f t="shared" ref="S184:T184" si="372">IF(COUNTIF(W$2:W1399, $A184) &gt; 0,TRUE,IFERROR(0/0,""))</f>
        <v/>
      </c>
      <c r="T184" s="315" t="str">
        <f t="shared" si="372"/>
        <v/>
      </c>
      <c r="U184" s="114" t="str">
        <f t="array" ref="U184">IF(ISBLANK($R184), INDEX('Run Reconcile'!A$2:A1399, MATCH($B184, 'Run Reconcile'!B$2:B1399, 0)+Z184, 1), IFERROR(0/0,""))
</f>
        <v/>
      </c>
      <c r="V184" s="316" t="str">
        <f t="shared" si="5"/>
        <v>RUN-ABRM_2022-09-28_RFR-026</v>
      </c>
      <c r="Y184" s="317" t="str">
        <f t="shared" si="6"/>
        <v/>
      </c>
      <c r="Z184" s="83" t="str">
        <f t="shared" si="7"/>
        <v/>
      </c>
      <c r="AA184" s="83" t="str">
        <f t="shared" si="8"/>
        <v/>
      </c>
      <c r="AB184" s="83" t="str">
        <f t="shared" si="9"/>
        <v/>
      </c>
      <c r="AC184" s="18" t="str">
        <f t="shared" ref="AC184:AD184" si="373">IF(_xlfn.ISFORMULA(S184),IFERROR(0/0,""),TRUE)</f>
        <v/>
      </c>
      <c r="AD184" s="18" t="str">
        <f t="shared" si="373"/>
        <v/>
      </c>
      <c r="AE184" s="43"/>
      <c r="AF184" s="58" t="s">
        <v>46</v>
      </c>
      <c r="AG184" s="55" t="str">
        <f t="shared" si="11"/>
        <v/>
      </c>
    </row>
    <row r="185">
      <c r="A185" s="7" t="str">
        <f>IFERROR(__xludf.DUMMYFUNCTION("""COMPUTED_VALUE"""),"AH6953")</f>
        <v>AH6953</v>
      </c>
      <c r="B185" s="308">
        <f>IFERROR(__xludf.DUMMYFUNCTION("""COMPUTED_VALUE"""),44832.0)</f>
        <v>44832</v>
      </c>
      <c r="C185" s="309">
        <f>IFERROR(__xludf.DUMMYFUNCTION("""COMPUTED_VALUE"""),0.3026273148148148)</f>
        <v>0.3026273148</v>
      </c>
      <c r="D185" s="7" t="str">
        <f>IFERROR(__xludf.DUMMYFUNCTION("""COMPUTED_VALUE"""),"SpABRM188986")</f>
        <v>SpABRM188986</v>
      </c>
      <c r="E185" s="310"/>
      <c r="F185" s="310"/>
      <c r="G185" s="310" t="str">
        <f>IFERROR(__xludf.DUMMYFUNCTION("""COMPUTED_VALUE"""),"Negative")</f>
        <v>Negative</v>
      </c>
      <c r="H185" s="319" t="str">
        <f>IFERROR(__xludf.DUMMYFUNCTION("""COMPUTED_VALUE"""),"Negative")</f>
        <v>Negative</v>
      </c>
      <c r="I185" s="308">
        <f>IFERROR(__xludf.DUMMYFUNCTION("""COMPUTED_VALUE"""),44832.0)</f>
        <v>44832</v>
      </c>
      <c r="J185" s="311">
        <f>IFERROR(__xludf.DUMMYFUNCTION("""COMPUTED_VALUE"""),0.4276041666666667)</f>
        <v>0.4276041667</v>
      </c>
      <c r="K185" s="54"/>
      <c r="L185" s="7"/>
      <c r="M185" s="312"/>
      <c r="N185" s="172">
        <f>IFERROR(__xludf.DUMMYFUNCTION("""COMPUTED_VALUE"""),2.0)</f>
        <v>2</v>
      </c>
      <c r="O185" s="172" t="str">
        <f t="shared" si="3"/>
        <v/>
      </c>
      <c r="P185" s="313">
        <f>IFERROR(__xludf.DUMMYFUNCTION("""COMPUTED_VALUE"""),0.0)</f>
        <v>0</v>
      </c>
      <c r="Q185" s="76" t="b">
        <f>VLOOKUP($B185,'Run Reconcile'!B$2:O1399,14,FALSE)</f>
        <v>1</v>
      </c>
      <c r="R185" s="314" t="str">
        <f t="array" ref="R185">IF($Q185, INDEX('Run Reconcile'!A$2:A1399,MATCH(B185,'Run Reconcile'!B$2:B1399,0),1),IFERROR(0/0,""))</f>
        <v>RUN-ABRM_2022-09-28_RFR-026</v>
      </c>
      <c r="S185" s="315" t="str">
        <f t="shared" ref="S185:T185" si="374">IF(COUNTIF(W$2:W1399, $A185) &gt; 0,TRUE,IFERROR(0/0,""))</f>
        <v/>
      </c>
      <c r="T185" s="315" t="str">
        <f t="shared" si="374"/>
        <v/>
      </c>
      <c r="U185" s="114" t="str">
        <f t="array" ref="U185">IF(ISBLANK($R185), INDEX('Run Reconcile'!A$2:A1399, MATCH($B185, 'Run Reconcile'!B$2:B1399, 0)+Z185, 1), IFERROR(0/0,""))
</f>
        <v/>
      </c>
      <c r="V185" s="316" t="str">
        <f t="shared" si="5"/>
        <v>RUN-ABRM_2022-09-28_RFR-026</v>
      </c>
      <c r="Y185" s="317" t="str">
        <f t="shared" si="6"/>
        <v/>
      </c>
      <c r="Z185" s="83" t="str">
        <f t="shared" si="7"/>
        <v/>
      </c>
      <c r="AA185" s="83" t="str">
        <f t="shared" si="8"/>
        <v/>
      </c>
      <c r="AB185" s="83" t="str">
        <f t="shared" si="9"/>
        <v/>
      </c>
      <c r="AC185" s="18" t="str">
        <f t="shared" ref="AC185:AD185" si="375">IF(_xlfn.ISFORMULA(S185),IFERROR(0/0,""),TRUE)</f>
        <v/>
      </c>
      <c r="AD185" s="18" t="str">
        <f t="shared" si="375"/>
        <v/>
      </c>
      <c r="AE185" s="43"/>
      <c r="AF185" s="58" t="s">
        <v>46</v>
      </c>
      <c r="AG185" s="55" t="str">
        <f t="shared" si="11"/>
        <v/>
      </c>
    </row>
    <row r="186">
      <c r="A186" s="7" t="str">
        <f>IFERROR(__xludf.DUMMYFUNCTION("""COMPUTED_VALUE"""),"AG1099")</f>
        <v>AG1099</v>
      </c>
      <c r="B186" s="308">
        <f>IFERROR(__xludf.DUMMYFUNCTION("""COMPUTED_VALUE"""),44832.0)</f>
        <v>44832</v>
      </c>
      <c r="C186" s="309">
        <f>IFERROR(__xludf.DUMMYFUNCTION("""COMPUTED_VALUE"""),0.30292824074074076)</f>
        <v>0.3029282407</v>
      </c>
      <c r="D186" s="7" t="str">
        <f>IFERROR(__xludf.DUMMYFUNCTION("""COMPUTED_VALUE"""),"SpABRM655136")</f>
        <v>SpABRM655136</v>
      </c>
      <c r="E186" s="310"/>
      <c r="F186" s="310"/>
      <c r="G186" s="310" t="str">
        <f>IFERROR(__xludf.DUMMYFUNCTION("""COMPUTED_VALUE"""),"Negative")</f>
        <v>Negative</v>
      </c>
      <c r="H186" s="319" t="str">
        <f>IFERROR(__xludf.DUMMYFUNCTION("""COMPUTED_VALUE"""),"Negative")</f>
        <v>Negative</v>
      </c>
      <c r="I186" s="308">
        <f>IFERROR(__xludf.DUMMYFUNCTION("""COMPUTED_VALUE"""),44832.0)</f>
        <v>44832</v>
      </c>
      <c r="J186" s="311">
        <f>IFERROR(__xludf.DUMMYFUNCTION("""COMPUTED_VALUE"""),0.4276041666666667)</f>
        <v>0.4276041667</v>
      </c>
      <c r="K186" s="54"/>
      <c r="L186" s="7"/>
      <c r="M186" s="312"/>
      <c r="N186" s="172">
        <f>IFERROR(__xludf.DUMMYFUNCTION("""COMPUTED_VALUE"""),3.0)</f>
        <v>3</v>
      </c>
      <c r="O186" s="172" t="str">
        <f t="shared" si="3"/>
        <v/>
      </c>
      <c r="P186" s="313">
        <f>IFERROR(__xludf.DUMMYFUNCTION("""COMPUTED_VALUE"""),0.0)</f>
        <v>0</v>
      </c>
      <c r="Q186" s="76" t="b">
        <f>VLOOKUP($B186,'Run Reconcile'!B$2:O1399,14,FALSE)</f>
        <v>1</v>
      </c>
      <c r="R186" s="314" t="str">
        <f t="array" ref="R186">IF($Q186, INDEX('Run Reconcile'!A$2:A1399,MATCH(B186,'Run Reconcile'!B$2:B1399,0),1),IFERROR(0/0,""))</f>
        <v>RUN-ABRM_2022-09-28_RFR-026</v>
      </c>
      <c r="S186" s="315" t="str">
        <f t="shared" ref="S186:T186" si="376">IF(COUNTIF(W$2:W1399, $A186) &gt; 0,TRUE,IFERROR(0/0,""))</f>
        <v/>
      </c>
      <c r="T186" s="315" t="str">
        <f t="shared" si="376"/>
        <v/>
      </c>
      <c r="U186" s="114" t="str">
        <f t="array" ref="U186">IF(ISBLANK($R186), INDEX('Run Reconcile'!A$2:A1399, MATCH($B186, 'Run Reconcile'!B$2:B1399, 0)+Z186, 1), IFERROR(0/0,""))
</f>
        <v/>
      </c>
      <c r="V186" s="316" t="str">
        <f t="shared" si="5"/>
        <v>RUN-ABRM_2022-09-28_RFR-026</v>
      </c>
      <c r="Y186" s="317" t="str">
        <f t="shared" si="6"/>
        <v/>
      </c>
      <c r="Z186" s="83" t="str">
        <f t="shared" si="7"/>
        <v/>
      </c>
      <c r="AA186" s="83" t="str">
        <f t="shared" si="8"/>
        <v/>
      </c>
      <c r="AB186" s="83" t="str">
        <f t="shared" si="9"/>
        <v/>
      </c>
      <c r="AC186" s="18" t="str">
        <f t="shared" ref="AC186:AD186" si="377">IF(_xlfn.ISFORMULA(S186),IFERROR(0/0,""),TRUE)</f>
        <v/>
      </c>
      <c r="AD186" s="18" t="str">
        <f t="shared" si="377"/>
        <v/>
      </c>
      <c r="AE186" s="43"/>
      <c r="AF186" s="58" t="s">
        <v>46</v>
      </c>
      <c r="AG186" s="55" t="str">
        <f t="shared" si="11"/>
        <v/>
      </c>
    </row>
    <row r="187">
      <c r="A187" s="7" t="str">
        <f>IFERROR(__xludf.DUMMYFUNCTION("""COMPUTED_VALUE"""),"AG2099")</f>
        <v>AG2099</v>
      </c>
      <c r="B187" s="308">
        <f>IFERROR(__xludf.DUMMYFUNCTION("""COMPUTED_VALUE"""),44832.0)</f>
        <v>44832</v>
      </c>
      <c r="C187" s="309">
        <f>IFERROR(__xludf.DUMMYFUNCTION("""COMPUTED_VALUE"""),0.30583333333333335)</f>
        <v>0.3058333333</v>
      </c>
      <c r="D187" s="7" t="str">
        <f>IFERROR(__xludf.DUMMYFUNCTION("""COMPUTED_VALUE"""),"SpABRM367540")</f>
        <v>SpABRM367540</v>
      </c>
      <c r="E187" s="310"/>
      <c r="F187" s="310"/>
      <c r="G187" s="310" t="str">
        <f>IFERROR(__xludf.DUMMYFUNCTION("""COMPUTED_VALUE"""),"Negative")</f>
        <v>Negative</v>
      </c>
      <c r="H187" s="319" t="str">
        <f>IFERROR(__xludf.DUMMYFUNCTION("""COMPUTED_VALUE"""),"Negative")</f>
        <v>Negative</v>
      </c>
      <c r="I187" s="308">
        <f>IFERROR(__xludf.DUMMYFUNCTION("""COMPUTED_VALUE"""),44832.0)</f>
        <v>44832</v>
      </c>
      <c r="J187" s="311">
        <f>IFERROR(__xludf.DUMMYFUNCTION("""COMPUTED_VALUE"""),0.42761574074074077)</f>
        <v>0.4276157407</v>
      </c>
      <c r="K187" s="54"/>
      <c r="L187" s="7"/>
      <c r="M187" s="312"/>
      <c r="N187" s="172">
        <f>IFERROR(__xludf.DUMMYFUNCTION("""COMPUTED_VALUE"""),3.0)</f>
        <v>3</v>
      </c>
      <c r="O187" s="172" t="str">
        <f t="shared" si="3"/>
        <v/>
      </c>
      <c r="P187" s="313">
        <f>IFERROR(__xludf.DUMMYFUNCTION("""COMPUTED_VALUE"""),0.0)</f>
        <v>0</v>
      </c>
      <c r="Q187" s="76" t="b">
        <f>VLOOKUP($B187,'Run Reconcile'!B$2:O1399,14,FALSE)</f>
        <v>1</v>
      </c>
      <c r="R187" s="314" t="str">
        <f t="array" ref="R187">IF($Q187, INDEX('Run Reconcile'!A$2:A1399,MATCH(B187,'Run Reconcile'!B$2:B1399,0),1),IFERROR(0/0,""))</f>
        <v>RUN-ABRM_2022-09-28_RFR-026</v>
      </c>
      <c r="S187" s="315" t="str">
        <f t="shared" ref="S187:T187" si="378">IF(COUNTIF(W$2:W1399, $A187) &gt; 0,TRUE,IFERROR(0/0,""))</f>
        <v/>
      </c>
      <c r="T187" s="315" t="str">
        <f t="shared" si="378"/>
        <v/>
      </c>
      <c r="U187" s="114" t="str">
        <f t="array" ref="U187">IF(ISBLANK($R187), INDEX('Run Reconcile'!A$2:A1399, MATCH($B187, 'Run Reconcile'!B$2:B1399, 0)+Z187, 1), IFERROR(0/0,""))
</f>
        <v/>
      </c>
      <c r="V187" s="316" t="str">
        <f t="shared" si="5"/>
        <v>RUN-ABRM_2022-09-28_RFR-026</v>
      </c>
      <c r="Y187" s="317" t="str">
        <f t="shared" si="6"/>
        <v/>
      </c>
      <c r="Z187" s="83" t="str">
        <f t="shared" si="7"/>
        <v/>
      </c>
      <c r="AA187" s="83" t="str">
        <f t="shared" si="8"/>
        <v/>
      </c>
      <c r="AB187" s="83" t="str">
        <f t="shared" si="9"/>
        <v/>
      </c>
      <c r="AC187" s="18" t="str">
        <f t="shared" ref="AC187:AD187" si="379">IF(_xlfn.ISFORMULA(S187),IFERROR(0/0,""),TRUE)</f>
        <v/>
      </c>
      <c r="AD187" s="18" t="str">
        <f t="shared" si="379"/>
        <v/>
      </c>
      <c r="AE187" s="43"/>
      <c r="AF187" s="58" t="s">
        <v>46</v>
      </c>
      <c r="AG187" s="55" t="str">
        <f t="shared" si="11"/>
        <v/>
      </c>
    </row>
    <row r="188">
      <c r="A188" s="7" t="str">
        <f>IFERROR(__xludf.DUMMYFUNCTION("""COMPUTED_VALUE"""),"AH8652")</f>
        <v>AH8652</v>
      </c>
      <c r="B188" s="308">
        <f>IFERROR(__xludf.DUMMYFUNCTION("""COMPUTED_VALUE"""),44832.0)</f>
        <v>44832</v>
      </c>
      <c r="C188" s="309">
        <f>IFERROR(__xludf.DUMMYFUNCTION("""COMPUTED_VALUE"""),0.3224768518518519)</f>
        <v>0.3224768519</v>
      </c>
      <c r="D188" s="7" t="str">
        <f>IFERROR(__xludf.DUMMYFUNCTION("""COMPUTED_VALUE"""),"SpABRM655136")</f>
        <v>SpABRM655136</v>
      </c>
      <c r="E188" s="310"/>
      <c r="F188" s="310"/>
      <c r="G188" s="310" t="str">
        <f>IFERROR(__xludf.DUMMYFUNCTION("""COMPUTED_VALUE"""),"Negative")</f>
        <v>Negative</v>
      </c>
      <c r="H188" s="319" t="str">
        <f>IFERROR(__xludf.DUMMYFUNCTION("""COMPUTED_VALUE"""),"Negative")</f>
        <v>Negative</v>
      </c>
      <c r="I188" s="308">
        <f>IFERROR(__xludf.DUMMYFUNCTION("""COMPUTED_VALUE"""),44832.0)</f>
        <v>44832</v>
      </c>
      <c r="J188" s="311">
        <f>IFERROR(__xludf.DUMMYFUNCTION("""COMPUTED_VALUE"""),0.42761574074074077)</f>
        <v>0.4276157407</v>
      </c>
      <c r="K188" s="54"/>
      <c r="L188" s="7"/>
      <c r="M188" s="312"/>
      <c r="N188" s="172">
        <f>IFERROR(__xludf.DUMMYFUNCTION("""COMPUTED_VALUE"""),2.0)</f>
        <v>2</v>
      </c>
      <c r="O188" s="172" t="str">
        <f t="shared" si="3"/>
        <v/>
      </c>
      <c r="P188" s="313">
        <f>IFERROR(__xludf.DUMMYFUNCTION("""COMPUTED_VALUE"""),0.0)</f>
        <v>0</v>
      </c>
      <c r="Q188" s="76" t="b">
        <f>VLOOKUP($B188,'Run Reconcile'!B$2:O1399,14,FALSE)</f>
        <v>1</v>
      </c>
      <c r="R188" s="314" t="str">
        <f t="array" ref="R188">IF($Q188, INDEX('Run Reconcile'!A$2:A1399,MATCH(B188,'Run Reconcile'!B$2:B1399,0),1),IFERROR(0/0,""))</f>
        <v>RUN-ABRM_2022-09-28_RFR-026</v>
      </c>
      <c r="S188" s="315" t="str">
        <f t="shared" ref="S188:T188" si="380">IF(COUNTIF(W$2:W1399, $A188) &gt; 0,TRUE,IFERROR(0/0,""))</f>
        <v/>
      </c>
      <c r="T188" s="315" t="str">
        <f t="shared" si="380"/>
        <v/>
      </c>
      <c r="U188" s="114" t="str">
        <f t="array" ref="U188">IF(ISBLANK($R188), INDEX('Run Reconcile'!A$2:A1399, MATCH($B188, 'Run Reconcile'!B$2:B1399, 0)+Z188, 1), IFERROR(0/0,""))
</f>
        <v/>
      </c>
      <c r="V188" s="316" t="str">
        <f t="shared" si="5"/>
        <v>RUN-ABRM_2022-09-28_RFR-026</v>
      </c>
      <c r="Y188" s="317" t="str">
        <f t="shared" si="6"/>
        <v/>
      </c>
      <c r="Z188" s="83" t="str">
        <f t="shared" si="7"/>
        <v/>
      </c>
      <c r="AA188" s="83" t="str">
        <f t="shared" si="8"/>
        <v/>
      </c>
      <c r="AB188" s="83" t="str">
        <f t="shared" si="9"/>
        <v/>
      </c>
      <c r="AC188" s="18" t="str">
        <f t="shared" ref="AC188:AD188" si="381">IF(_xlfn.ISFORMULA(S188),IFERROR(0/0,""),TRUE)</f>
        <v/>
      </c>
      <c r="AD188" s="18" t="str">
        <f t="shared" si="381"/>
        <v/>
      </c>
      <c r="AE188" s="43"/>
      <c r="AF188" s="58" t="s">
        <v>46</v>
      </c>
      <c r="AG188" s="55" t="str">
        <f t="shared" si="11"/>
        <v/>
      </c>
    </row>
    <row r="189">
      <c r="A189" s="7" t="str">
        <f>IFERROR(__xludf.DUMMYFUNCTION("""COMPUTED_VALUE"""),"AG568")</f>
        <v>AG568</v>
      </c>
      <c r="B189" s="308">
        <f>IFERROR(__xludf.DUMMYFUNCTION("""COMPUTED_VALUE"""),44832.0)</f>
        <v>44832</v>
      </c>
      <c r="C189" s="309">
        <f>IFERROR(__xludf.DUMMYFUNCTION("""COMPUTED_VALUE"""),0.3304976851851852)</f>
        <v>0.3304976852</v>
      </c>
      <c r="D189" s="7" t="str">
        <f>IFERROR(__xludf.DUMMYFUNCTION("""COMPUTED_VALUE"""),"SpABRM655136")</f>
        <v>SpABRM655136</v>
      </c>
      <c r="E189" s="310"/>
      <c r="F189" s="310"/>
      <c r="G189" s="310" t="str">
        <f>IFERROR(__xludf.DUMMYFUNCTION("""COMPUTED_VALUE"""),"Negative")</f>
        <v>Negative</v>
      </c>
      <c r="H189" s="319" t="str">
        <f>IFERROR(__xludf.DUMMYFUNCTION("""COMPUTED_VALUE"""),"Negative")</f>
        <v>Negative</v>
      </c>
      <c r="I189" s="308">
        <f>IFERROR(__xludf.DUMMYFUNCTION("""COMPUTED_VALUE"""),44832.0)</f>
        <v>44832</v>
      </c>
      <c r="J189" s="311">
        <f>IFERROR(__xludf.DUMMYFUNCTION("""COMPUTED_VALUE"""),0.4276273148148148)</f>
        <v>0.4276273148</v>
      </c>
      <c r="K189" s="54"/>
      <c r="L189" s="7"/>
      <c r="M189" s="312"/>
      <c r="N189" s="172">
        <f>IFERROR(__xludf.DUMMYFUNCTION("""COMPUTED_VALUE"""),3.0)</f>
        <v>3</v>
      </c>
      <c r="O189" s="172" t="str">
        <f t="shared" si="3"/>
        <v/>
      </c>
      <c r="P189" s="313">
        <f>IFERROR(__xludf.DUMMYFUNCTION("""COMPUTED_VALUE"""),0.0)</f>
        <v>0</v>
      </c>
      <c r="Q189" s="76" t="b">
        <f>VLOOKUP($B189,'Run Reconcile'!B$2:O1399,14,FALSE)</f>
        <v>1</v>
      </c>
      <c r="R189" s="314" t="str">
        <f t="array" ref="R189">IF($Q189, INDEX('Run Reconcile'!A$2:A1399,MATCH(B189,'Run Reconcile'!B$2:B1399,0),1),IFERROR(0/0,""))</f>
        <v>RUN-ABRM_2022-09-28_RFR-026</v>
      </c>
      <c r="S189" s="315" t="str">
        <f t="shared" ref="S189:T189" si="382">IF(COUNTIF(W$2:W1399, $A189) &gt; 0,TRUE,IFERROR(0/0,""))</f>
        <v/>
      </c>
      <c r="T189" s="315" t="str">
        <f t="shared" si="382"/>
        <v/>
      </c>
      <c r="U189" s="114" t="str">
        <f t="array" ref="U189">IF(ISBLANK($R189), INDEX('Run Reconcile'!A$2:A1399, MATCH($B189, 'Run Reconcile'!B$2:B1399, 0)+Z189, 1), IFERROR(0/0,""))
</f>
        <v/>
      </c>
      <c r="V189" s="316" t="str">
        <f t="shared" si="5"/>
        <v>RUN-ABRM_2022-09-28_RFR-026</v>
      </c>
      <c r="Y189" s="317" t="str">
        <f t="shared" si="6"/>
        <v/>
      </c>
      <c r="Z189" s="83" t="str">
        <f t="shared" si="7"/>
        <v/>
      </c>
      <c r="AA189" s="83" t="str">
        <f t="shared" si="8"/>
        <v/>
      </c>
      <c r="AB189" s="83" t="str">
        <f t="shared" si="9"/>
        <v/>
      </c>
      <c r="AC189" s="18" t="str">
        <f t="shared" ref="AC189:AD189" si="383">IF(_xlfn.ISFORMULA(S189),IFERROR(0/0,""),TRUE)</f>
        <v/>
      </c>
      <c r="AD189" s="18" t="str">
        <f t="shared" si="383"/>
        <v/>
      </c>
      <c r="AE189" s="43"/>
      <c r="AF189" s="58" t="s">
        <v>46</v>
      </c>
      <c r="AG189" s="55" t="str">
        <f t="shared" si="11"/>
        <v/>
      </c>
    </row>
    <row r="190">
      <c r="A190" s="7" t="str">
        <f>IFERROR(__xludf.DUMMYFUNCTION("""COMPUTED_VALUE"""),"AG584")</f>
        <v>AG584</v>
      </c>
      <c r="B190" s="308">
        <f>IFERROR(__xludf.DUMMYFUNCTION("""COMPUTED_VALUE"""),44832.0)</f>
        <v>44832</v>
      </c>
      <c r="C190" s="309">
        <f>IFERROR(__xludf.DUMMYFUNCTION("""COMPUTED_VALUE"""),0.3307060185185185)</f>
        <v>0.3307060185</v>
      </c>
      <c r="D190" s="7" t="str">
        <f>IFERROR(__xludf.DUMMYFUNCTION("""COMPUTED_VALUE"""),"SpABRM655136")</f>
        <v>SpABRM655136</v>
      </c>
      <c r="E190" s="310"/>
      <c r="F190" s="310"/>
      <c r="G190" s="310" t="str">
        <f>IFERROR(__xludf.DUMMYFUNCTION("""COMPUTED_VALUE"""),"Negative")</f>
        <v>Negative</v>
      </c>
      <c r="H190" s="319" t="str">
        <f>IFERROR(__xludf.DUMMYFUNCTION("""COMPUTED_VALUE"""),"Negative")</f>
        <v>Negative</v>
      </c>
      <c r="I190" s="308">
        <f>IFERROR(__xludf.DUMMYFUNCTION("""COMPUTED_VALUE"""),44832.0)</f>
        <v>44832</v>
      </c>
      <c r="J190" s="311">
        <f>IFERROR(__xludf.DUMMYFUNCTION("""COMPUTED_VALUE"""),0.4276273148148148)</f>
        <v>0.4276273148</v>
      </c>
      <c r="K190" s="54"/>
      <c r="L190" s="7"/>
      <c r="M190" s="312"/>
      <c r="N190" s="172">
        <f>IFERROR(__xludf.DUMMYFUNCTION("""COMPUTED_VALUE"""),1.0)</f>
        <v>1</v>
      </c>
      <c r="O190" s="172" t="str">
        <f t="shared" si="3"/>
        <v/>
      </c>
      <c r="P190" s="313">
        <f>IFERROR(__xludf.DUMMYFUNCTION("""COMPUTED_VALUE"""),0.0)</f>
        <v>0</v>
      </c>
      <c r="Q190" s="76" t="b">
        <f>VLOOKUP($B190,'Run Reconcile'!B$2:O1399,14,FALSE)</f>
        <v>1</v>
      </c>
      <c r="R190" s="314" t="str">
        <f t="array" ref="R190">IF($Q190, INDEX('Run Reconcile'!A$2:A1399,MATCH(B190,'Run Reconcile'!B$2:B1399,0),1),IFERROR(0/0,""))</f>
        <v>RUN-ABRM_2022-09-28_RFR-026</v>
      </c>
      <c r="S190" s="315" t="str">
        <f t="shared" ref="S190:T190" si="384">IF(COUNTIF(W$2:W1399, $A190) &gt; 0,TRUE,IFERROR(0/0,""))</f>
        <v/>
      </c>
      <c r="T190" s="315" t="str">
        <f t="shared" si="384"/>
        <v/>
      </c>
      <c r="U190" s="114" t="str">
        <f t="array" ref="U190">IF(ISBLANK($R190), INDEX('Run Reconcile'!A$2:A1399, MATCH($B190, 'Run Reconcile'!B$2:B1399, 0)+Z190, 1), IFERROR(0/0,""))
</f>
        <v/>
      </c>
      <c r="V190" s="316" t="str">
        <f t="shared" si="5"/>
        <v>RUN-ABRM_2022-09-28_RFR-026</v>
      </c>
      <c r="Y190" s="317" t="str">
        <f t="shared" si="6"/>
        <v/>
      </c>
      <c r="Z190" s="83" t="str">
        <f t="shared" si="7"/>
        <v/>
      </c>
      <c r="AA190" s="83" t="str">
        <f t="shared" si="8"/>
        <v/>
      </c>
      <c r="AB190" s="83" t="str">
        <f t="shared" si="9"/>
        <v/>
      </c>
      <c r="AC190" s="18" t="str">
        <f t="shared" ref="AC190:AD190" si="385">IF(_xlfn.ISFORMULA(S190),IFERROR(0/0,""),TRUE)</f>
        <v/>
      </c>
      <c r="AD190" s="18" t="str">
        <f t="shared" si="385"/>
        <v/>
      </c>
      <c r="AE190" s="43"/>
      <c r="AF190" s="58" t="s">
        <v>46</v>
      </c>
      <c r="AG190" s="55" t="str">
        <f t="shared" si="11"/>
        <v/>
      </c>
    </row>
    <row r="191">
      <c r="A191" s="7" t="str">
        <f>IFERROR(__xludf.DUMMYFUNCTION("""COMPUTED_VALUE"""),"AH7935")</f>
        <v>AH7935</v>
      </c>
      <c r="B191" s="308">
        <f>IFERROR(__xludf.DUMMYFUNCTION("""COMPUTED_VALUE"""),44832.0)</f>
        <v>44832</v>
      </c>
      <c r="C191" s="309">
        <f>IFERROR(__xludf.DUMMYFUNCTION("""COMPUTED_VALUE"""),0.34130787037037036)</f>
        <v>0.3413078704</v>
      </c>
      <c r="D191" s="7" t="str">
        <f>IFERROR(__xludf.DUMMYFUNCTION("""COMPUTED_VALUE"""),"SpABRM655136")</f>
        <v>SpABRM655136</v>
      </c>
      <c r="E191" s="310"/>
      <c r="F191" s="310"/>
      <c r="G191" s="310" t="str">
        <f>IFERROR(__xludf.DUMMYFUNCTION("""COMPUTED_VALUE"""),"Negative")</f>
        <v>Negative</v>
      </c>
      <c r="H191" s="319" t="str">
        <f>IFERROR(__xludf.DUMMYFUNCTION("""COMPUTED_VALUE"""),"Negative")</f>
        <v>Negative</v>
      </c>
      <c r="I191" s="308">
        <f>IFERROR(__xludf.DUMMYFUNCTION("""COMPUTED_VALUE"""),44832.0)</f>
        <v>44832</v>
      </c>
      <c r="J191" s="311">
        <f>IFERROR(__xludf.DUMMYFUNCTION("""COMPUTED_VALUE"""),0.4276388888888889)</f>
        <v>0.4276388889</v>
      </c>
      <c r="K191" s="54"/>
      <c r="L191" s="7"/>
      <c r="M191" s="312"/>
      <c r="N191" s="172">
        <f>IFERROR(__xludf.DUMMYFUNCTION("""COMPUTED_VALUE"""),4.0)</f>
        <v>4</v>
      </c>
      <c r="O191" s="172" t="str">
        <f t="shared" si="3"/>
        <v/>
      </c>
      <c r="P191" s="313">
        <f>IFERROR(__xludf.DUMMYFUNCTION("""COMPUTED_VALUE"""),0.0)</f>
        <v>0</v>
      </c>
      <c r="Q191" s="76" t="b">
        <f>VLOOKUP($B191,'Run Reconcile'!B$2:O1399,14,FALSE)</f>
        <v>1</v>
      </c>
      <c r="R191" s="314" t="str">
        <f t="array" ref="R191">IF($Q191, INDEX('Run Reconcile'!A$2:A1399,MATCH(B191,'Run Reconcile'!B$2:B1399,0),1),IFERROR(0/0,""))</f>
        <v>RUN-ABRM_2022-09-28_RFR-026</v>
      </c>
      <c r="S191" s="315" t="str">
        <f t="shared" ref="S191:T191" si="386">IF(COUNTIF(W$2:W1399, $A191) &gt; 0,TRUE,IFERROR(0/0,""))</f>
        <v/>
      </c>
      <c r="T191" s="315" t="str">
        <f t="shared" si="386"/>
        <v/>
      </c>
      <c r="U191" s="114" t="str">
        <f t="array" ref="U191">IF(ISBLANK($R191), INDEX('Run Reconcile'!A$2:A1399, MATCH($B191, 'Run Reconcile'!B$2:B1399, 0)+Z191, 1), IFERROR(0/0,""))
</f>
        <v/>
      </c>
      <c r="V191" s="316" t="str">
        <f t="shared" si="5"/>
        <v>RUN-ABRM_2022-09-28_RFR-026</v>
      </c>
      <c r="Y191" s="317" t="str">
        <f t="shared" si="6"/>
        <v/>
      </c>
      <c r="Z191" s="83" t="str">
        <f t="shared" si="7"/>
        <v/>
      </c>
      <c r="AA191" s="83" t="str">
        <f t="shared" si="8"/>
        <v/>
      </c>
      <c r="AB191" s="83" t="str">
        <f t="shared" si="9"/>
        <v/>
      </c>
      <c r="AC191" s="18" t="str">
        <f t="shared" ref="AC191:AD191" si="387">IF(_xlfn.ISFORMULA(S191),IFERROR(0/0,""),TRUE)</f>
        <v/>
      </c>
      <c r="AD191" s="18" t="str">
        <f t="shared" si="387"/>
        <v/>
      </c>
      <c r="AE191" s="43"/>
      <c r="AF191" s="58" t="s">
        <v>46</v>
      </c>
      <c r="AG191" s="55" t="str">
        <f t="shared" si="11"/>
        <v/>
      </c>
    </row>
    <row r="192">
      <c r="A192" s="7" t="str">
        <f>IFERROR(__xludf.DUMMYFUNCTION("""COMPUTED_VALUE"""),"AG1626")</f>
        <v>AG1626</v>
      </c>
      <c r="B192" s="308">
        <f>IFERROR(__xludf.DUMMYFUNCTION("""COMPUTED_VALUE"""),44833.0)</f>
        <v>44833</v>
      </c>
      <c r="C192" s="309">
        <f>IFERROR(__xludf.DUMMYFUNCTION("""COMPUTED_VALUE"""),0.2384375)</f>
        <v>0.2384375</v>
      </c>
      <c r="D192" s="7" t="str">
        <f>IFERROR(__xludf.DUMMYFUNCTION("""COMPUTED_VALUE"""),"SpABRM128250")</f>
        <v>SpABRM128250</v>
      </c>
      <c r="E192" s="310"/>
      <c r="F192" s="310"/>
      <c r="G192" s="310" t="str">
        <f>IFERROR(__xludf.DUMMYFUNCTION("""COMPUTED_VALUE"""),"Negative")</f>
        <v>Negative</v>
      </c>
      <c r="H192" s="319" t="str">
        <f>IFERROR(__xludf.DUMMYFUNCTION("""COMPUTED_VALUE"""),"Negative")</f>
        <v>Negative</v>
      </c>
      <c r="I192" s="308">
        <f>IFERROR(__xludf.DUMMYFUNCTION("""COMPUTED_VALUE"""),44833.0)</f>
        <v>44833</v>
      </c>
      <c r="J192" s="311">
        <f>IFERROR(__xludf.DUMMYFUNCTION("""COMPUTED_VALUE"""),0.4060416666666667)</f>
        <v>0.4060416667</v>
      </c>
      <c r="K192" s="54"/>
      <c r="L192" s="7"/>
      <c r="M192" s="312"/>
      <c r="N192" s="172">
        <f>IFERROR(__xludf.DUMMYFUNCTION("""COMPUTED_VALUE"""),3.0)</f>
        <v>3</v>
      </c>
      <c r="O192" s="172" t="b">
        <f t="shared" si="3"/>
        <v>1</v>
      </c>
      <c r="P192" s="313">
        <f>IFERROR(__xludf.DUMMYFUNCTION("""COMPUTED_VALUE"""),0.0)</f>
        <v>0</v>
      </c>
      <c r="Q192" s="76" t="b">
        <f>VLOOKUP($B192,'Run Reconcile'!B$2:O1399,14,FALSE)</f>
        <v>1</v>
      </c>
      <c r="R192" s="314" t="str">
        <f t="array" ref="R192">IF($Q192, INDEX('Run Reconcile'!A$2:A1399,MATCH(B192,'Run Reconcile'!B$2:B1399,0),1),IFERROR(0/0,""))</f>
        <v>RUN-ABRM_2022-09-29_RFR-028</v>
      </c>
      <c r="S192" s="315" t="str">
        <f t="shared" ref="S192:T192" si="388">IF(COUNTIF(W$2:W1399, $A192) &gt; 0,TRUE,IFERROR(0/0,""))</f>
        <v/>
      </c>
      <c r="T192" s="315" t="str">
        <f t="shared" si="388"/>
        <v/>
      </c>
      <c r="U192" s="114" t="str">
        <f t="array" ref="U192">IF(ISBLANK($R192), INDEX('Run Reconcile'!A$2:A1399, MATCH($B192, 'Run Reconcile'!B$2:B1399, 0)+Z192, 1), IFERROR(0/0,""))
</f>
        <v/>
      </c>
      <c r="V192" s="316" t="str">
        <f t="shared" si="5"/>
        <v>RUN-ABRM_2022-09-29_RFR-028</v>
      </c>
      <c r="Y192" s="317" t="str">
        <f t="shared" si="6"/>
        <v/>
      </c>
      <c r="Z192" s="83" t="str">
        <f t="shared" si="7"/>
        <v/>
      </c>
      <c r="AA192" s="83" t="str">
        <f t="shared" si="8"/>
        <v/>
      </c>
      <c r="AB192" s="83" t="str">
        <f t="shared" si="9"/>
        <v/>
      </c>
      <c r="AC192" s="18" t="str">
        <f t="shared" ref="AC192:AD192" si="389">IF(_xlfn.ISFORMULA(S192),IFERROR(0/0,""),TRUE)</f>
        <v/>
      </c>
      <c r="AD192" s="18" t="str">
        <f t="shared" si="389"/>
        <v/>
      </c>
      <c r="AE192" s="43"/>
      <c r="AF192" s="58" t="s">
        <v>47</v>
      </c>
      <c r="AG192" s="55" t="str">
        <f t="shared" si="11"/>
        <v/>
      </c>
    </row>
    <row r="193">
      <c r="A193" s="7" t="str">
        <f>IFERROR(__xludf.DUMMYFUNCTION("""COMPUTED_VALUE"""),"AG1681")</f>
        <v>AG1681</v>
      </c>
      <c r="B193" s="308">
        <f>IFERROR(__xludf.DUMMYFUNCTION("""COMPUTED_VALUE"""),44833.0)</f>
        <v>44833</v>
      </c>
      <c r="C193" s="309">
        <f>IFERROR(__xludf.DUMMYFUNCTION("""COMPUTED_VALUE"""),0.23851851851851852)</f>
        <v>0.2385185185</v>
      </c>
      <c r="D193" s="7" t="str">
        <f>IFERROR(__xludf.DUMMYFUNCTION("""COMPUTED_VALUE"""),"SpABRM188986")</f>
        <v>SpABRM188986</v>
      </c>
      <c r="E193" s="310"/>
      <c r="F193" s="310"/>
      <c r="G193" s="310" t="str">
        <f>IFERROR(__xludf.DUMMYFUNCTION("""COMPUTED_VALUE"""),"Negative")</f>
        <v>Negative</v>
      </c>
      <c r="H193" s="319" t="str">
        <f>IFERROR(__xludf.DUMMYFUNCTION("""COMPUTED_VALUE"""),"Negative")</f>
        <v>Negative</v>
      </c>
      <c r="I193" s="308">
        <f>IFERROR(__xludf.DUMMYFUNCTION("""COMPUTED_VALUE"""),44833.0)</f>
        <v>44833</v>
      </c>
      <c r="J193" s="311">
        <f>IFERROR(__xludf.DUMMYFUNCTION("""COMPUTED_VALUE"""),0.4060416666666667)</f>
        <v>0.4060416667</v>
      </c>
      <c r="K193" s="54"/>
      <c r="L193" s="7"/>
      <c r="M193" s="312"/>
      <c r="N193" s="172">
        <f>IFERROR(__xludf.DUMMYFUNCTION("""COMPUTED_VALUE"""),2.0)</f>
        <v>2</v>
      </c>
      <c r="O193" s="172" t="str">
        <f t="shared" si="3"/>
        <v/>
      </c>
      <c r="P193" s="313">
        <f>IFERROR(__xludf.DUMMYFUNCTION("""COMPUTED_VALUE"""),0.0)</f>
        <v>0</v>
      </c>
      <c r="Q193" s="76" t="b">
        <f>VLOOKUP($B193,'Run Reconcile'!B$2:O1399,14,FALSE)</f>
        <v>1</v>
      </c>
      <c r="R193" s="314" t="str">
        <f t="array" ref="R193">IF($Q193, INDEX('Run Reconcile'!A$2:A1399,MATCH(B193,'Run Reconcile'!B$2:B1399,0),1),IFERROR(0/0,""))</f>
        <v>RUN-ABRM_2022-09-29_RFR-028</v>
      </c>
      <c r="S193" s="315" t="str">
        <f t="shared" ref="S193:T193" si="390">IF(COUNTIF(W$2:W1399, $A193) &gt; 0,TRUE,IFERROR(0/0,""))</f>
        <v/>
      </c>
      <c r="T193" s="315" t="str">
        <f t="shared" si="390"/>
        <v/>
      </c>
      <c r="U193" s="114" t="str">
        <f t="array" ref="U193">IF(ISBLANK($R193), INDEX('Run Reconcile'!A$2:A1399, MATCH($B193, 'Run Reconcile'!B$2:B1399, 0)+Z193, 1), IFERROR(0/0,""))
</f>
        <v/>
      </c>
      <c r="V193" s="316" t="str">
        <f t="shared" si="5"/>
        <v>RUN-ABRM_2022-09-29_RFR-028</v>
      </c>
      <c r="Y193" s="317" t="str">
        <f t="shared" si="6"/>
        <v/>
      </c>
      <c r="Z193" s="83" t="str">
        <f t="shared" si="7"/>
        <v/>
      </c>
      <c r="AA193" s="83" t="str">
        <f t="shared" si="8"/>
        <v/>
      </c>
      <c r="AB193" s="83" t="str">
        <f t="shared" si="9"/>
        <v/>
      </c>
      <c r="AC193" s="18" t="str">
        <f t="shared" ref="AC193:AD193" si="391">IF(_xlfn.ISFORMULA(S193),IFERROR(0/0,""),TRUE)</f>
        <v/>
      </c>
      <c r="AD193" s="18" t="str">
        <f t="shared" si="391"/>
        <v/>
      </c>
      <c r="AE193" s="43"/>
      <c r="AF193" s="58" t="s">
        <v>47</v>
      </c>
      <c r="AG193" s="55" t="str">
        <f t="shared" si="11"/>
        <v/>
      </c>
    </row>
    <row r="194">
      <c r="A194" s="7" t="str">
        <f>IFERROR(__xludf.DUMMYFUNCTION("""COMPUTED_VALUE"""),"AG405")</f>
        <v>AG405</v>
      </c>
      <c r="B194" s="308">
        <f>IFERROR(__xludf.DUMMYFUNCTION("""COMPUTED_VALUE"""),44833.0)</f>
        <v>44833</v>
      </c>
      <c r="C194" s="309">
        <f>IFERROR(__xludf.DUMMYFUNCTION("""COMPUTED_VALUE"""),0.25493055555555555)</f>
        <v>0.2549305556</v>
      </c>
      <c r="D194" s="7" t="str">
        <f>IFERROR(__xludf.DUMMYFUNCTION("""COMPUTED_VALUE"""),"SpABRM454310")</f>
        <v>SpABRM454310</v>
      </c>
      <c r="E194" s="310"/>
      <c r="F194" s="310"/>
      <c r="G194" s="310" t="str">
        <f>IFERROR(__xludf.DUMMYFUNCTION("""COMPUTED_VALUE"""),"Negative")</f>
        <v>Negative</v>
      </c>
      <c r="H194" s="319" t="str">
        <f>IFERROR(__xludf.DUMMYFUNCTION("""COMPUTED_VALUE"""),"Negative")</f>
        <v>Negative</v>
      </c>
      <c r="I194" s="308">
        <f>IFERROR(__xludf.DUMMYFUNCTION("""COMPUTED_VALUE"""),44833.0)</f>
        <v>44833</v>
      </c>
      <c r="J194" s="311">
        <f>IFERROR(__xludf.DUMMYFUNCTION("""COMPUTED_VALUE"""),0.4060416666666667)</f>
        <v>0.4060416667</v>
      </c>
      <c r="K194" s="54"/>
      <c r="L194" s="7"/>
      <c r="M194" s="312"/>
      <c r="N194" s="172">
        <f>IFERROR(__xludf.DUMMYFUNCTION("""COMPUTED_VALUE"""),3.0)</f>
        <v>3</v>
      </c>
      <c r="O194" s="172" t="str">
        <f t="shared" si="3"/>
        <v/>
      </c>
      <c r="P194" s="313">
        <f>IFERROR(__xludf.DUMMYFUNCTION("""COMPUTED_VALUE"""),0.0)</f>
        <v>0</v>
      </c>
      <c r="Q194" s="76" t="b">
        <f>VLOOKUP($B194,'Run Reconcile'!B$2:O1399,14,FALSE)</f>
        <v>1</v>
      </c>
      <c r="R194" s="314" t="str">
        <f t="array" ref="R194">IF($Q194, INDEX('Run Reconcile'!A$2:A1399,MATCH(B194,'Run Reconcile'!B$2:B1399,0),1),IFERROR(0/0,""))</f>
        <v>RUN-ABRM_2022-09-29_RFR-028</v>
      </c>
      <c r="S194" s="315" t="str">
        <f t="shared" ref="S194:T194" si="392">IF(COUNTIF(W$2:W1399, $A194) &gt; 0,TRUE,IFERROR(0/0,""))</f>
        <v/>
      </c>
      <c r="T194" s="315" t="str">
        <f t="shared" si="392"/>
        <v/>
      </c>
      <c r="U194" s="114" t="str">
        <f t="array" ref="U194">IF(ISBLANK($R194), INDEX('Run Reconcile'!A$2:A1399, MATCH($B194, 'Run Reconcile'!B$2:B1399, 0)+Z194, 1), IFERROR(0/0,""))
</f>
        <v/>
      </c>
      <c r="V194" s="316" t="str">
        <f t="shared" si="5"/>
        <v>RUN-ABRM_2022-09-29_RFR-028</v>
      </c>
      <c r="Y194" s="317" t="str">
        <f t="shared" si="6"/>
        <v/>
      </c>
      <c r="Z194" s="83" t="str">
        <f t="shared" si="7"/>
        <v/>
      </c>
      <c r="AA194" s="83" t="str">
        <f t="shared" si="8"/>
        <v/>
      </c>
      <c r="AB194" s="83" t="str">
        <f t="shared" si="9"/>
        <v/>
      </c>
      <c r="AC194" s="18" t="str">
        <f t="shared" ref="AC194:AD194" si="393">IF(_xlfn.ISFORMULA(S194),IFERROR(0/0,""),TRUE)</f>
        <v/>
      </c>
      <c r="AD194" s="18" t="str">
        <f t="shared" si="393"/>
        <v/>
      </c>
      <c r="AE194" s="43"/>
      <c r="AF194" s="58" t="s">
        <v>47</v>
      </c>
      <c r="AG194" s="55" t="str">
        <f t="shared" si="11"/>
        <v/>
      </c>
    </row>
    <row r="195">
      <c r="A195" s="7" t="str">
        <f>IFERROR(__xludf.DUMMYFUNCTION("""COMPUTED_VALUE"""),"AG1706")</f>
        <v>AG1706</v>
      </c>
      <c r="B195" s="308">
        <f>IFERROR(__xludf.DUMMYFUNCTION("""COMPUTED_VALUE"""),44833.0)</f>
        <v>44833</v>
      </c>
      <c r="C195" s="309">
        <f>IFERROR(__xludf.DUMMYFUNCTION("""COMPUTED_VALUE"""),0.26108796296296294)</f>
        <v>0.261087963</v>
      </c>
      <c r="D195" s="7" t="str">
        <f>IFERROR(__xludf.DUMMYFUNCTION("""COMPUTED_VALUE"""),"SpABRM516158")</f>
        <v>SpABRM516158</v>
      </c>
      <c r="E195" s="310"/>
      <c r="F195" s="310"/>
      <c r="G195" s="310" t="str">
        <f>IFERROR(__xludf.DUMMYFUNCTION("""COMPUTED_VALUE"""),"Negative")</f>
        <v>Negative</v>
      </c>
      <c r="H195" s="319" t="str">
        <f>IFERROR(__xludf.DUMMYFUNCTION("""COMPUTED_VALUE"""),"Negative")</f>
        <v>Negative</v>
      </c>
      <c r="I195" s="308">
        <f>IFERROR(__xludf.DUMMYFUNCTION("""COMPUTED_VALUE"""),44833.0)</f>
        <v>44833</v>
      </c>
      <c r="J195" s="311">
        <f>IFERROR(__xludf.DUMMYFUNCTION("""COMPUTED_VALUE"""),0.4060416666666667)</f>
        <v>0.4060416667</v>
      </c>
      <c r="K195" s="54"/>
      <c r="L195" s="7"/>
      <c r="M195" s="312"/>
      <c r="N195" s="172">
        <f>IFERROR(__xludf.DUMMYFUNCTION("""COMPUTED_VALUE"""),1.0)</f>
        <v>1</v>
      </c>
      <c r="O195" s="172" t="str">
        <f t="shared" si="3"/>
        <v/>
      </c>
      <c r="P195" s="313">
        <f>IFERROR(__xludf.DUMMYFUNCTION("""COMPUTED_VALUE"""),0.0)</f>
        <v>0</v>
      </c>
      <c r="Q195" s="76" t="b">
        <f>VLOOKUP($B195,'Run Reconcile'!B$2:O1399,14,FALSE)</f>
        <v>1</v>
      </c>
      <c r="R195" s="314" t="str">
        <f t="array" ref="R195">IF($Q195, INDEX('Run Reconcile'!A$2:A1399,MATCH(B195,'Run Reconcile'!B$2:B1399,0),1),IFERROR(0/0,""))</f>
        <v>RUN-ABRM_2022-09-29_RFR-028</v>
      </c>
      <c r="S195" s="315" t="str">
        <f t="shared" ref="S195:T195" si="394">IF(COUNTIF(W$2:W1399, $A195) &gt; 0,TRUE,IFERROR(0/0,""))</f>
        <v/>
      </c>
      <c r="T195" s="315" t="str">
        <f t="shared" si="394"/>
        <v/>
      </c>
      <c r="U195" s="114" t="str">
        <f t="array" ref="U195">IF(ISBLANK($R195), INDEX('Run Reconcile'!A$2:A1399, MATCH($B195, 'Run Reconcile'!B$2:B1399, 0)+Z195, 1), IFERROR(0/0,""))
</f>
        <v/>
      </c>
      <c r="V195" s="316" t="str">
        <f t="shared" si="5"/>
        <v>RUN-ABRM_2022-09-29_RFR-028</v>
      </c>
      <c r="Y195" s="317" t="str">
        <f t="shared" si="6"/>
        <v/>
      </c>
      <c r="Z195" s="83" t="str">
        <f t="shared" si="7"/>
        <v/>
      </c>
      <c r="AA195" s="83" t="str">
        <f t="shared" si="8"/>
        <v/>
      </c>
      <c r="AB195" s="83" t="str">
        <f t="shared" si="9"/>
        <v/>
      </c>
      <c r="AC195" s="18" t="str">
        <f t="shared" ref="AC195:AD195" si="395">IF(_xlfn.ISFORMULA(S195),IFERROR(0/0,""),TRUE)</f>
        <v/>
      </c>
      <c r="AD195" s="18" t="str">
        <f t="shared" si="395"/>
        <v/>
      </c>
      <c r="AE195" s="43"/>
      <c r="AF195" s="58" t="s">
        <v>47</v>
      </c>
      <c r="AG195" s="55" t="str">
        <f t="shared" si="11"/>
        <v/>
      </c>
    </row>
    <row r="196">
      <c r="A196" s="7" t="str">
        <f>IFERROR(__xludf.DUMMYFUNCTION("""COMPUTED_VALUE"""),"AH7948")</f>
        <v>AH7948</v>
      </c>
      <c r="B196" s="308">
        <f>IFERROR(__xludf.DUMMYFUNCTION("""COMPUTED_VALUE"""),44833.0)</f>
        <v>44833</v>
      </c>
      <c r="C196" s="309">
        <f>IFERROR(__xludf.DUMMYFUNCTION("""COMPUTED_VALUE"""),0.2913310185185185)</f>
        <v>0.2913310185</v>
      </c>
      <c r="D196" s="7" t="str">
        <f>IFERROR(__xludf.DUMMYFUNCTION("""COMPUTED_VALUE"""),"SpABRM655136")</f>
        <v>SpABRM655136</v>
      </c>
      <c r="E196" s="310"/>
      <c r="F196" s="310"/>
      <c r="G196" s="310" t="str">
        <f>IFERROR(__xludf.DUMMYFUNCTION("""COMPUTED_VALUE"""),"Negative")</f>
        <v>Negative</v>
      </c>
      <c r="H196" s="319" t="str">
        <f>IFERROR(__xludf.DUMMYFUNCTION("""COMPUTED_VALUE"""),"Negative")</f>
        <v>Negative</v>
      </c>
      <c r="I196" s="308">
        <f>IFERROR(__xludf.DUMMYFUNCTION("""COMPUTED_VALUE"""),44833.0)</f>
        <v>44833</v>
      </c>
      <c r="J196" s="311">
        <f>IFERROR(__xludf.DUMMYFUNCTION("""COMPUTED_VALUE"""),0.40605324074074073)</f>
        <v>0.4060532407</v>
      </c>
      <c r="K196" s="54"/>
      <c r="L196" s="7"/>
      <c r="M196" s="312"/>
      <c r="N196" s="172">
        <f>IFERROR(__xludf.DUMMYFUNCTION("""COMPUTED_VALUE"""),3.0)</f>
        <v>3</v>
      </c>
      <c r="O196" s="172" t="str">
        <f t="shared" si="3"/>
        <v/>
      </c>
      <c r="P196" s="313">
        <f>IFERROR(__xludf.DUMMYFUNCTION("""COMPUTED_VALUE"""),0.0)</f>
        <v>0</v>
      </c>
      <c r="Q196" s="76" t="b">
        <f>VLOOKUP($B196,'Run Reconcile'!B$2:O1399,14,FALSE)</f>
        <v>1</v>
      </c>
      <c r="R196" s="314" t="str">
        <f t="array" ref="R196">IF($Q196, INDEX('Run Reconcile'!A$2:A1399,MATCH(B196,'Run Reconcile'!B$2:B1399,0),1),IFERROR(0/0,""))</f>
        <v>RUN-ABRM_2022-09-29_RFR-028</v>
      </c>
      <c r="S196" s="315" t="str">
        <f t="shared" ref="S196:T196" si="396">IF(COUNTIF(W$2:W1399, $A196) &gt; 0,TRUE,IFERROR(0/0,""))</f>
        <v/>
      </c>
      <c r="T196" s="315" t="str">
        <f t="shared" si="396"/>
        <v/>
      </c>
      <c r="U196" s="114" t="str">
        <f t="array" ref="U196">IF(ISBLANK($R196), INDEX('Run Reconcile'!A$2:A1399, MATCH($B196, 'Run Reconcile'!B$2:B1399, 0)+Z196, 1), IFERROR(0/0,""))
</f>
        <v/>
      </c>
      <c r="V196" s="316" t="str">
        <f t="shared" si="5"/>
        <v>RUN-ABRM_2022-09-29_RFR-028</v>
      </c>
      <c r="Y196" s="317" t="str">
        <f t="shared" si="6"/>
        <v/>
      </c>
      <c r="Z196" s="83" t="str">
        <f t="shared" si="7"/>
        <v/>
      </c>
      <c r="AA196" s="83" t="str">
        <f t="shared" si="8"/>
        <v/>
      </c>
      <c r="AB196" s="83" t="str">
        <f t="shared" si="9"/>
        <v/>
      </c>
      <c r="AC196" s="18" t="str">
        <f t="shared" ref="AC196:AD196" si="397">IF(_xlfn.ISFORMULA(S196),IFERROR(0/0,""),TRUE)</f>
        <v/>
      </c>
      <c r="AD196" s="18" t="str">
        <f t="shared" si="397"/>
        <v/>
      </c>
      <c r="AE196" s="43"/>
      <c r="AF196" s="58" t="s">
        <v>47</v>
      </c>
      <c r="AG196" s="55" t="str">
        <f t="shared" si="11"/>
        <v/>
      </c>
    </row>
    <row r="197">
      <c r="A197" s="7" t="str">
        <f>IFERROR(__xludf.DUMMYFUNCTION("""COMPUTED_VALUE"""),"AH9858")</f>
        <v>AH9858</v>
      </c>
      <c r="B197" s="308">
        <f>IFERROR(__xludf.DUMMYFUNCTION("""COMPUTED_VALUE"""),44833.0)</f>
        <v>44833</v>
      </c>
      <c r="C197" s="309">
        <f>IFERROR(__xludf.DUMMYFUNCTION("""COMPUTED_VALUE"""),0.29158564814814814)</f>
        <v>0.2915856481</v>
      </c>
      <c r="D197" s="7" t="str">
        <f>IFERROR(__xludf.DUMMYFUNCTION("""COMPUTED_VALUE"""),"SpABRM655136")</f>
        <v>SpABRM655136</v>
      </c>
      <c r="E197" s="310"/>
      <c r="F197" s="310"/>
      <c r="G197" s="310" t="str">
        <f>IFERROR(__xludf.DUMMYFUNCTION("""COMPUTED_VALUE"""),"Negative")</f>
        <v>Negative</v>
      </c>
      <c r="H197" s="319" t="str">
        <f>IFERROR(__xludf.DUMMYFUNCTION("""COMPUTED_VALUE"""),"Negative")</f>
        <v>Negative</v>
      </c>
      <c r="I197" s="308">
        <f>IFERROR(__xludf.DUMMYFUNCTION("""COMPUTED_VALUE"""),44833.0)</f>
        <v>44833</v>
      </c>
      <c r="J197" s="311">
        <f>IFERROR(__xludf.DUMMYFUNCTION("""COMPUTED_VALUE"""),0.40605324074074073)</f>
        <v>0.4060532407</v>
      </c>
      <c r="K197" s="54"/>
      <c r="L197" s="7"/>
      <c r="M197" s="312"/>
      <c r="N197" s="172">
        <f>IFERROR(__xludf.DUMMYFUNCTION("""COMPUTED_VALUE"""),2.0)</f>
        <v>2</v>
      </c>
      <c r="O197" s="172" t="str">
        <f t="shared" si="3"/>
        <v/>
      </c>
      <c r="P197" s="313">
        <f>IFERROR(__xludf.DUMMYFUNCTION("""COMPUTED_VALUE"""),0.0)</f>
        <v>0</v>
      </c>
      <c r="Q197" s="76" t="b">
        <f>VLOOKUP($B197,'Run Reconcile'!B$2:O1399,14,FALSE)</f>
        <v>1</v>
      </c>
      <c r="R197" s="314" t="str">
        <f t="array" ref="R197">IF($Q197, INDEX('Run Reconcile'!A$2:A1399,MATCH(B197,'Run Reconcile'!B$2:B1399,0),1),IFERROR(0/0,""))</f>
        <v>RUN-ABRM_2022-09-29_RFR-028</v>
      </c>
      <c r="S197" s="315" t="str">
        <f t="shared" ref="S197:T197" si="398">IF(COUNTIF(W$2:W1399, $A197) &gt; 0,TRUE,IFERROR(0/0,""))</f>
        <v/>
      </c>
      <c r="T197" s="315" t="str">
        <f t="shared" si="398"/>
        <v/>
      </c>
      <c r="U197" s="114" t="str">
        <f t="array" ref="U197">IF(ISBLANK($R197), INDEX('Run Reconcile'!A$2:A1399, MATCH($B197, 'Run Reconcile'!B$2:B1399, 0)+Z197, 1), IFERROR(0/0,""))
</f>
        <v/>
      </c>
      <c r="V197" s="316" t="str">
        <f t="shared" si="5"/>
        <v>RUN-ABRM_2022-09-29_RFR-028</v>
      </c>
      <c r="Y197" s="317" t="str">
        <f t="shared" si="6"/>
        <v/>
      </c>
      <c r="Z197" s="83" t="str">
        <f t="shared" si="7"/>
        <v/>
      </c>
      <c r="AA197" s="83" t="str">
        <f t="shared" si="8"/>
        <v/>
      </c>
      <c r="AB197" s="83" t="str">
        <f t="shared" si="9"/>
        <v/>
      </c>
      <c r="AC197" s="18" t="str">
        <f t="shared" ref="AC197:AD197" si="399">IF(_xlfn.ISFORMULA(S197),IFERROR(0/0,""),TRUE)</f>
        <v/>
      </c>
      <c r="AD197" s="18" t="str">
        <f t="shared" si="399"/>
        <v/>
      </c>
      <c r="AE197" s="43"/>
      <c r="AF197" s="58" t="s">
        <v>47</v>
      </c>
      <c r="AG197" s="55" t="str">
        <f t="shared" si="11"/>
        <v/>
      </c>
    </row>
    <row r="198">
      <c r="A198" s="7" t="str">
        <f>IFERROR(__xludf.DUMMYFUNCTION("""COMPUTED_VALUE"""),"AH9755")</f>
        <v>AH9755</v>
      </c>
      <c r="B198" s="308">
        <f>IFERROR(__xludf.DUMMYFUNCTION("""COMPUTED_VALUE"""),44833.0)</f>
        <v>44833</v>
      </c>
      <c r="C198" s="309">
        <f>IFERROR(__xludf.DUMMYFUNCTION("""COMPUTED_VALUE"""),0.2935763888888889)</f>
        <v>0.2935763889</v>
      </c>
      <c r="D198" s="7" t="str">
        <f>IFERROR(__xludf.DUMMYFUNCTION("""COMPUTED_VALUE"""),"SpABRM814022")</f>
        <v>SpABRM814022</v>
      </c>
      <c r="E198" s="310"/>
      <c r="F198" s="310"/>
      <c r="G198" s="310" t="str">
        <f>IFERROR(__xludf.DUMMYFUNCTION("""COMPUTED_VALUE"""),"Negative")</f>
        <v>Negative</v>
      </c>
      <c r="H198" s="319" t="str">
        <f>IFERROR(__xludf.DUMMYFUNCTION("""COMPUTED_VALUE"""),"Negative")</f>
        <v>Negative</v>
      </c>
      <c r="I198" s="308">
        <f>IFERROR(__xludf.DUMMYFUNCTION("""COMPUTED_VALUE"""),44833.0)</f>
        <v>44833</v>
      </c>
      <c r="J198" s="311">
        <f>IFERROR(__xludf.DUMMYFUNCTION("""COMPUTED_VALUE"""),0.40605324074074073)</f>
        <v>0.4060532407</v>
      </c>
      <c r="K198" s="54"/>
      <c r="L198" s="7"/>
      <c r="M198" s="312"/>
      <c r="N198" s="172">
        <f>IFERROR(__xludf.DUMMYFUNCTION("""COMPUTED_VALUE"""),2.0)</f>
        <v>2</v>
      </c>
      <c r="O198" s="172" t="str">
        <f t="shared" si="3"/>
        <v/>
      </c>
      <c r="P198" s="313">
        <f>IFERROR(__xludf.DUMMYFUNCTION("""COMPUTED_VALUE"""),0.0)</f>
        <v>0</v>
      </c>
      <c r="Q198" s="76" t="b">
        <f>VLOOKUP($B198,'Run Reconcile'!B$2:O1399,14,FALSE)</f>
        <v>1</v>
      </c>
      <c r="R198" s="314" t="str">
        <f t="array" ref="R198">IF($Q198, INDEX('Run Reconcile'!A$2:A1399,MATCH(B198,'Run Reconcile'!B$2:B1399,0),1),IFERROR(0/0,""))</f>
        <v>RUN-ABRM_2022-09-29_RFR-028</v>
      </c>
      <c r="S198" s="315" t="str">
        <f t="shared" ref="S198:T198" si="400">IF(COUNTIF(W$2:W1399, $A198) &gt; 0,TRUE,IFERROR(0/0,""))</f>
        <v/>
      </c>
      <c r="T198" s="315" t="str">
        <f t="shared" si="400"/>
        <v/>
      </c>
      <c r="U198" s="114" t="str">
        <f t="array" ref="U198">IF(ISBLANK($R198), INDEX('Run Reconcile'!A$2:A1399, MATCH($B198, 'Run Reconcile'!B$2:B1399, 0)+Z198, 1), IFERROR(0/0,""))
</f>
        <v/>
      </c>
      <c r="V198" s="316" t="str">
        <f t="shared" si="5"/>
        <v>RUN-ABRM_2022-09-29_RFR-028</v>
      </c>
      <c r="Y198" s="317" t="str">
        <f t="shared" si="6"/>
        <v/>
      </c>
      <c r="Z198" s="83" t="str">
        <f t="shared" si="7"/>
        <v/>
      </c>
      <c r="AA198" s="83" t="str">
        <f t="shared" si="8"/>
        <v/>
      </c>
      <c r="AB198" s="83" t="str">
        <f t="shared" si="9"/>
        <v/>
      </c>
      <c r="AC198" s="18" t="str">
        <f t="shared" ref="AC198:AD198" si="401">IF(_xlfn.ISFORMULA(S198),IFERROR(0/0,""),TRUE)</f>
        <v/>
      </c>
      <c r="AD198" s="18" t="str">
        <f t="shared" si="401"/>
        <v/>
      </c>
      <c r="AE198" s="43"/>
      <c r="AF198" s="58" t="s">
        <v>47</v>
      </c>
      <c r="AG198" s="55" t="str">
        <f t="shared" si="11"/>
        <v/>
      </c>
    </row>
    <row r="199">
      <c r="A199" s="7" t="str">
        <f>IFERROR(__xludf.DUMMYFUNCTION("""COMPUTED_VALUE"""),"AG1253")</f>
        <v>AG1253</v>
      </c>
      <c r="B199" s="308">
        <f>IFERROR(__xludf.DUMMYFUNCTION("""COMPUTED_VALUE"""),44833.0)</f>
        <v>44833</v>
      </c>
      <c r="C199" s="309">
        <f>IFERROR(__xludf.DUMMYFUNCTION("""COMPUTED_VALUE"""),0.29618055555555556)</f>
        <v>0.2961805556</v>
      </c>
      <c r="D199" s="7" t="str">
        <f>IFERROR(__xludf.DUMMYFUNCTION("""COMPUTED_VALUE"""),"SpABRM367540")</f>
        <v>SpABRM367540</v>
      </c>
      <c r="E199" s="310"/>
      <c r="F199" s="310"/>
      <c r="G199" s="310" t="str">
        <f>IFERROR(__xludf.DUMMYFUNCTION("""COMPUTED_VALUE"""),"Negative")</f>
        <v>Negative</v>
      </c>
      <c r="H199" s="319" t="str">
        <f>IFERROR(__xludf.DUMMYFUNCTION("""COMPUTED_VALUE"""),"Negative")</f>
        <v>Negative</v>
      </c>
      <c r="I199" s="308">
        <f>IFERROR(__xludf.DUMMYFUNCTION("""COMPUTED_VALUE"""),44833.0)</f>
        <v>44833</v>
      </c>
      <c r="J199" s="311">
        <f>IFERROR(__xludf.DUMMYFUNCTION("""COMPUTED_VALUE"""),0.40605324074074073)</f>
        <v>0.4060532407</v>
      </c>
      <c r="K199" s="54"/>
      <c r="L199" s="7"/>
      <c r="M199" s="312"/>
      <c r="N199" s="172">
        <f>IFERROR(__xludf.DUMMYFUNCTION("""COMPUTED_VALUE"""),3.0)</f>
        <v>3</v>
      </c>
      <c r="O199" s="172" t="str">
        <f t="shared" si="3"/>
        <v/>
      </c>
      <c r="P199" s="313">
        <f>IFERROR(__xludf.DUMMYFUNCTION("""COMPUTED_VALUE"""),0.0)</f>
        <v>0</v>
      </c>
      <c r="Q199" s="76" t="b">
        <f>VLOOKUP($B199,'Run Reconcile'!B$2:O1399,14,FALSE)</f>
        <v>1</v>
      </c>
      <c r="R199" s="314" t="str">
        <f t="array" ref="R199">IF($Q199, INDEX('Run Reconcile'!A$2:A1399,MATCH(B199,'Run Reconcile'!B$2:B1399,0),1),IFERROR(0/0,""))</f>
        <v>RUN-ABRM_2022-09-29_RFR-028</v>
      </c>
      <c r="S199" s="315" t="str">
        <f t="shared" ref="S199:T199" si="402">IF(COUNTIF(W$2:W1399, $A199) &gt; 0,TRUE,IFERROR(0/0,""))</f>
        <v/>
      </c>
      <c r="T199" s="315" t="str">
        <f t="shared" si="402"/>
        <v/>
      </c>
      <c r="U199" s="114" t="str">
        <f t="array" ref="U199">IF(ISBLANK($R199), INDEX('Run Reconcile'!A$2:A1399, MATCH($B199, 'Run Reconcile'!B$2:B1399, 0)+Z199, 1), IFERROR(0/0,""))
</f>
        <v/>
      </c>
      <c r="V199" s="316" t="str">
        <f t="shared" si="5"/>
        <v>RUN-ABRM_2022-09-29_RFR-028</v>
      </c>
      <c r="Y199" s="317" t="str">
        <f t="shared" si="6"/>
        <v/>
      </c>
      <c r="Z199" s="83" t="str">
        <f t="shared" si="7"/>
        <v/>
      </c>
      <c r="AA199" s="83" t="str">
        <f t="shared" si="8"/>
        <v/>
      </c>
      <c r="AB199" s="83" t="str">
        <f t="shared" si="9"/>
        <v/>
      </c>
      <c r="AC199" s="18" t="str">
        <f t="shared" ref="AC199:AD199" si="403">IF(_xlfn.ISFORMULA(S199),IFERROR(0/0,""),TRUE)</f>
        <v/>
      </c>
      <c r="AD199" s="18" t="str">
        <f t="shared" si="403"/>
        <v/>
      </c>
      <c r="AE199" s="43"/>
      <c r="AF199" s="58" t="s">
        <v>47</v>
      </c>
      <c r="AG199" s="55" t="str">
        <f t="shared" si="11"/>
        <v/>
      </c>
    </row>
    <row r="200">
      <c r="A200" s="7" t="str">
        <f>IFERROR(__xludf.DUMMYFUNCTION("""COMPUTED_VALUE"""),"AG1757")</f>
        <v>AG1757</v>
      </c>
      <c r="B200" s="308">
        <f>IFERROR(__xludf.DUMMYFUNCTION("""COMPUTED_VALUE"""),44833.0)</f>
        <v>44833</v>
      </c>
      <c r="C200" s="309">
        <f>IFERROR(__xludf.DUMMYFUNCTION("""COMPUTED_VALUE"""),0.3052662037037037)</f>
        <v>0.3052662037</v>
      </c>
      <c r="D200" s="7" t="str">
        <f>IFERROR(__xludf.DUMMYFUNCTION("""COMPUTED_VALUE"""),"SpABRM297307")</f>
        <v>SpABRM297307</v>
      </c>
      <c r="E200" s="310"/>
      <c r="F200" s="310"/>
      <c r="G200" s="310" t="str">
        <f>IFERROR(__xludf.DUMMYFUNCTION("""COMPUTED_VALUE"""),"Negative")</f>
        <v>Negative</v>
      </c>
      <c r="H200" s="319" t="str">
        <f>IFERROR(__xludf.DUMMYFUNCTION("""COMPUTED_VALUE"""),"Negative")</f>
        <v>Negative</v>
      </c>
      <c r="I200" s="308">
        <f>IFERROR(__xludf.DUMMYFUNCTION("""COMPUTED_VALUE"""),44833.0)</f>
        <v>44833</v>
      </c>
      <c r="J200" s="311">
        <f>IFERROR(__xludf.DUMMYFUNCTION("""COMPUTED_VALUE"""),0.40605324074074073)</f>
        <v>0.4060532407</v>
      </c>
      <c r="K200" s="54"/>
      <c r="L200" s="7"/>
      <c r="M200" s="312"/>
      <c r="N200" s="172">
        <f>IFERROR(__xludf.DUMMYFUNCTION("""COMPUTED_VALUE"""),3.0)</f>
        <v>3</v>
      </c>
      <c r="O200" s="172" t="str">
        <f t="shared" si="3"/>
        <v/>
      </c>
      <c r="P200" s="313">
        <f>IFERROR(__xludf.DUMMYFUNCTION("""COMPUTED_VALUE"""),0.0)</f>
        <v>0</v>
      </c>
      <c r="Q200" s="76" t="b">
        <f>VLOOKUP($B200,'Run Reconcile'!B$2:O1399,14,FALSE)</f>
        <v>1</v>
      </c>
      <c r="R200" s="314" t="str">
        <f t="array" ref="R200">IF($Q200, INDEX('Run Reconcile'!A$2:A1399,MATCH(B200,'Run Reconcile'!B$2:B1399,0),1),IFERROR(0/0,""))</f>
        <v>RUN-ABRM_2022-09-29_RFR-028</v>
      </c>
      <c r="S200" s="315" t="str">
        <f t="shared" ref="S200:T200" si="404">IF(COUNTIF(W$2:W1399, $A200) &gt; 0,TRUE,IFERROR(0/0,""))</f>
        <v/>
      </c>
      <c r="T200" s="315" t="str">
        <f t="shared" si="404"/>
        <v/>
      </c>
      <c r="U200" s="114" t="str">
        <f t="array" ref="U200">IF(ISBLANK($R200), INDEX('Run Reconcile'!A$2:A1399, MATCH($B200, 'Run Reconcile'!B$2:B1399, 0)+Z200, 1), IFERROR(0/0,""))
</f>
        <v/>
      </c>
      <c r="V200" s="316" t="str">
        <f t="shared" si="5"/>
        <v>RUN-ABRM_2022-09-29_RFR-028</v>
      </c>
      <c r="Y200" s="317" t="str">
        <f t="shared" si="6"/>
        <v/>
      </c>
      <c r="Z200" s="83" t="str">
        <f t="shared" si="7"/>
        <v/>
      </c>
      <c r="AA200" s="83" t="str">
        <f t="shared" si="8"/>
        <v/>
      </c>
      <c r="AB200" s="83" t="str">
        <f t="shared" si="9"/>
        <v/>
      </c>
      <c r="AC200" s="18" t="str">
        <f t="shared" ref="AC200:AD200" si="405">IF(_xlfn.ISFORMULA(S200),IFERROR(0/0,""),TRUE)</f>
        <v/>
      </c>
      <c r="AD200" s="18" t="str">
        <f t="shared" si="405"/>
        <v/>
      </c>
      <c r="AE200" s="43"/>
      <c r="AF200" s="58" t="s">
        <v>47</v>
      </c>
      <c r="AG200" s="55" t="str">
        <f t="shared" si="11"/>
        <v/>
      </c>
    </row>
    <row r="201">
      <c r="A201" s="7" t="str">
        <f>IFERROR(__xludf.DUMMYFUNCTION("""COMPUTED_VALUE"""),"AG1619")</f>
        <v>AG1619</v>
      </c>
      <c r="B201" s="308">
        <f>IFERROR(__xludf.DUMMYFUNCTION("""COMPUTED_VALUE"""),44833.0)</f>
        <v>44833</v>
      </c>
      <c r="C201" s="309">
        <f>IFERROR(__xludf.DUMMYFUNCTION("""COMPUTED_VALUE"""),0.3167361111111111)</f>
        <v>0.3167361111</v>
      </c>
      <c r="D201" s="7" t="str">
        <f>IFERROR(__xludf.DUMMYFUNCTION("""COMPUTED_VALUE"""),"SpABRM610758")</f>
        <v>SpABRM610758</v>
      </c>
      <c r="E201" s="310"/>
      <c r="F201" s="310"/>
      <c r="G201" s="310" t="str">
        <f>IFERROR(__xludf.DUMMYFUNCTION("""COMPUTED_VALUE"""),"Negative")</f>
        <v>Negative</v>
      </c>
      <c r="H201" s="319" t="str">
        <f>IFERROR(__xludf.DUMMYFUNCTION("""COMPUTED_VALUE"""),"Negative")</f>
        <v>Negative</v>
      </c>
      <c r="I201" s="308">
        <f>IFERROR(__xludf.DUMMYFUNCTION("""COMPUTED_VALUE"""),44833.0)</f>
        <v>44833</v>
      </c>
      <c r="J201" s="311">
        <f>IFERROR(__xludf.DUMMYFUNCTION("""COMPUTED_VALUE"""),0.40605324074074073)</f>
        <v>0.4060532407</v>
      </c>
      <c r="K201" s="54"/>
      <c r="L201" s="7"/>
      <c r="M201" s="312"/>
      <c r="N201" s="172">
        <f>IFERROR(__xludf.DUMMYFUNCTION("""COMPUTED_VALUE"""),2.0)</f>
        <v>2</v>
      </c>
      <c r="O201" s="172" t="str">
        <f t="shared" si="3"/>
        <v/>
      </c>
      <c r="P201" s="313">
        <f>IFERROR(__xludf.DUMMYFUNCTION("""COMPUTED_VALUE"""),0.0)</f>
        <v>0</v>
      </c>
      <c r="Q201" s="76" t="b">
        <f>VLOOKUP($B201,'Run Reconcile'!B$2:O1399,14,FALSE)</f>
        <v>1</v>
      </c>
      <c r="R201" s="314" t="str">
        <f t="array" ref="R201">IF($Q201, INDEX('Run Reconcile'!A$2:A1399,MATCH(B201,'Run Reconcile'!B$2:B1399,0),1),IFERROR(0/0,""))</f>
        <v>RUN-ABRM_2022-09-29_RFR-028</v>
      </c>
      <c r="S201" s="315" t="str">
        <f t="shared" ref="S201:T201" si="406">IF(COUNTIF(W$2:W1399, $A201) &gt; 0,TRUE,IFERROR(0/0,""))</f>
        <v/>
      </c>
      <c r="T201" s="315" t="str">
        <f t="shared" si="406"/>
        <v/>
      </c>
      <c r="U201" s="114" t="str">
        <f t="array" ref="U201">IF(ISBLANK($R201), INDEX('Run Reconcile'!A$2:A1399, MATCH($B201, 'Run Reconcile'!B$2:B1399, 0)+Z201, 1), IFERROR(0/0,""))
</f>
        <v/>
      </c>
      <c r="V201" s="316" t="str">
        <f t="shared" si="5"/>
        <v>RUN-ABRM_2022-09-29_RFR-028</v>
      </c>
      <c r="Y201" s="317" t="str">
        <f t="shared" si="6"/>
        <v/>
      </c>
      <c r="Z201" s="83" t="str">
        <f t="shared" si="7"/>
        <v/>
      </c>
      <c r="AA201" s="83" t="str">
        <f t="shared" si="8"/>
        <v/>
      </c>
      <c r="AB201" s="83" t="str">
        <f t="shared" si="9"/>
        <v/>
      </c>
      <c r="AC201" s="18" t="str">
        <f t="shared" ref="AC201:AD201" si="407">IF(_xlfn.ISFORMULA(S201),IFERROR(0/0,""),TRUE)</f>
        <v/>
      </c>
      <c r="AD201" s="18" t="str">
        <f t="shared" si="407"/>
        <v/>
      </c>
      <c r="AE201" s="43"/>
      <c r="AF201" s="58" t="s">
        <v>47</v>
      </c>
      <c r="AG201" s="55" t="str">
        <f t="shared" si="11"/>
        <v/>
      </c>
    </row>
    <row r="202">
      <c r="A202" s="7" t="str">
        <f>IFERROR(__xludf.DUMMYFUNCTION("""COMPUTED_VALUE"""),"AG1803")</f>
        <v>AG1803</v>
      </c>
      <c r="B202" s="308">
        <f>IFERROR(__xludf.DUMMYFUNCTION("""COMPUTED_VALUE"""),44833.0)</f>
        <v>44833</v>
      </c>
      <c r="C202" s="309">
        <f>IFERROR(__xludf.DUMMYFUNCTION("""COMPUTED_VALUE"""),0.31678240740740743)</f>
        <v>0.3167824074</v>
      </c>
      <c r="D202" s="7" t="str">
        <f>IFERROR(__xludf.DUMMYFUNCTION("""COMPUTED_VALUE"""),"SpABRM188986")</f>
        <v>SpABRM188986</v>
      </c>
      <c r="E202" s="310"/>
      <c r="F202" s="310"/>
      <c r="G202" s="310" t="str">
        <f>IFERROR(__xludf.DUMMYFUNCTION("""COMPUTED_VALUE"""),"Negative")</f>
        <v>Negative</v>
      </c>
      <c r="H202" s="319" t="str">
        <f>IFERROR(__xludf.DUMMYFUNCTION("""COMPUTED_VALUE"""),"Negative")</f>
        <v>Negative</v>
      </c>
      <c r="I202" s="308">
        <f>IFERROR(__xludf.DUMMYFUNCTION("""COMPUTED_VALUE"""),44833.0)</f>
        <v>44833</v>
      </c>
      <c r="J202" s="311">
        <f>IFERROR(__xludf.DUMMYFUNCTION("""COMPUTED_VALUE"""),0.40605324074074073)</f>
        <v>0.4060532407</v>
      </c>
      <c r="K202" s="54"/>
      <c r="L202" s="7"/>
      <c r="M202" s="312"/>
      <c r="N202" s="172">
        <f>IFERROR(__xludf.DUMMYFUNCTION("""COMPUTED_VALUE"""),3.0)</f>
        <v>3</v>
      </c>
      <c r="O202" s="172" t="str">
        <f t="shared" si="3"/>
        <v/>
      </c>
      <c r="P202" s="313">
        <f>IFERROR(__xludf.DUMMYFUNCTION("""COMPUTED_VALUE"""),0.0)</f>
        <v>0</v>
      </c>
      <c r="Q202" s="76" t="b">
        <f>VLOOKUP($B202,'Run Reconcile'!B$2:O1399,14,FALSE)</f>
        <v>1</v>
      </c>
      <c r="R202" s="314" t="str">
        <f t="array" ref="R202">IF($Q202, INDEX('Run Reconcile'!A$2:A1399,MATCH(B202,'Run Reconcile'!B$2:B1399,0),1),IFERROR(0/0,""))</f>
        <v>RUN-ABRM_2022-09-29_RFR-028</v>
      </c>
      <c r="S202" s="315" t="str">
        <f t="shared" ref="S202:T202" si="408">IF(COUNTIF(W$2:W1399, $A202) &gt; 0,TRUE,IFERROR(0/0,""))</f>
        <v/>
      </c>
      <c r="T202" s="315" t="str">
        <f t="shared" si="408"/>
        <v/>
      </c>
      <c r="U202" s="114" t="str">
        <f t="array" ref="U202">IF(ISBLANK($R202), INDEX('Run Reconcile'!A$2:A1399, MATCH($B202, 'Run Reconcile'!B$2:B1399, 0)+Z202, 1), IFERROR(0/0,""))
</f>
        <v/>
      </c>
      <c r="V202" s="316" t="str">
        <f t="shared" si="5"/>
        <v>RUN-ABRM_2022-09-29_RFR-028</v>
      </c>
      <c r="Y202" s="317" t="str">
        <f t="shared" si="6"/>
        <v/>
      </c>
      <c r="Z202" s="83" t="str">
        <f t="shared" si="7"/>
        <v/>
      </c>
      <c r="AA202" s="83" t="str">
        <f t="shared" si="8"/>
        <v/>
      </c>
      <c r="AB202" s="83" t="str">
        <f t="shared" si="9"/>
        <v/>
      </c>
      <c r="AC202" s="18" t="str">
        <f t="shared" ref="AC202:AD202" si="409">IF(_xlfn.ISFORMULA(S202),IFERROR(0/0,""),TRUE)</f>
        <v/>
      </c>
      <c r="AD202" s="18" t="str">
        <f t="shared" si="409"/>
        <v/>
      </c>
      <c r="AE202" s="43"/>
      <c r="AF202" s="58" t="s">
        <v>47</v>
      </c>
      <c r="AG202" s="55" t="str">
        <f t="shared" si="11"/>
        <v/>
      </c>
    </row>
    <row r="203">
      <c r="A203" s="7" t="str">
        <f>IFERROR(__xludf.DUMMYFUNCTION("""COMPUTED_VALUE"""),"AH8880")</f>
        <v>AH8880</v>
      </c>
      <c r="B203" s="308">
        <f>IFERROR(__xludf.DUMMYFUNCTION("""COMPUTED_VALUE"""),44833.0)</f>
        <v>44833</v>
      </c>
      <c r="C203" s="309">
        <f>IFERROR(__xludf.DUMMYFUNCTION("""COMPUTED_VALUE"""),0.3292824074074074)</f>
        <v>0.3292824074</v>
      </c>
      <c r="D203" s="7" t="str">
        <f>IFERROR(__xludf.DUMMYFUNCTION("""COMPUTED_VALUE"""),"SpABRM655136")</f>
        <v>SpABRM655136</v>
      </c>
      <c r="E203" s="310"/>
      <c r="F203" s="310"/>
      <c r="G203" s="310" t="str">
        <f>IFERROR(__xludf.DUMMYFUNCTION("""COMPUTED_VALUE"""),"Negative")</f>
        <v>Negative</v>
      </c>
      <c r="H203" s="319" t="str">
        <f>IFERROR(__xludf.DUMMYFUNCTION("""COMPUTED_VALUE"""),"Negative")</f>
        <v>Negative</v>
      </c>
      <c r="I203" s="308">
        <f>IFERROR(__xludf.DUMMYFUNCTION("""COMPUTED_VALUE"""),44833.0)</f>
        <v>44833</v>
      </c>
      <c r="J203" s="311">
        <f>IFERROR(__xludf.DUMMYFUNCTION("""COMPUTED_VALUE"""),0.4060648148148148)</f>
        <v>0.4060648148</v>
      </c>
      <c r="K203" s="54"/>
      <c r="L203" s="7"/>
      <c r="M203" s="312"/>
      <c r="N203" s="172">
        <f>IFERROR(__xludf.DUMMYFUNCTION("""COMPUTED_VALUE"""),1.0)</f>
        <v>1</v>
      </c>
      <c r="O203" s="172" t="str">
        <f t="shared" si="3"/>
        <v/>
      </c>
      <c r="P203" s="313">
        <f>IFERROR(__xludf.DUMMYFUNCTION("""COMPUTED_VALUE"""),0.0)</f>
        <v>0</v>
      </c>
      <c r="Q203" s="76" t="b">
        <f>VLOOKUP($B203,'Run Reconcile'!B$2:O1399,14,FALSE)</f>
        <v>1</v>
      </c>
      <c r="R203" s="314" t="str">
        <f t="array" ref="R203">IF($Q203, INDEX('Run Reconcile'!A$2:A1399,MATCH(B203,'Run Reconcile'!B$2:B1399,0),1),IFERROR(0/0,""))</f>
        <v>RUN-ABRM_2022-09-29_RFR-028</v>
      </c>
      <c r="S203" s="315" t="str">
        <f t="shared" ref="S203:T203" si="410">IF(COUNTIF(W$2:W1399, $A203) &gt; 0,TRUE,IFERROR(0/0,""))</f>
        <v/>
      </c>
      <c r="T203" s="315" t="str">
        <f t="shared" si="410"/>
        <v/>
      </c>
      <c r="U203" s="114" t="str">
        <f t="array" ref="U203">IF(ISBLANK($R203), INDEX('Run Reconcile'!A$2:A1399, MATCH($B203, 'Run Reconcile'!B$2:B1399, 0)+Z203, 1), IFERROR(0/0,""))
</f>
        <v/>
      </c>
      <c r="V203" s="316" t="str">
        <f t="shared" si="5"/>
        <v>RUN-ABRM_2022-09-29_RFR-028</v>
      </c>
      <c r="Y203" s="317" t="str">
        <f t="shared" si="6"/>
        <v/>
      </c>
      <c r="Z203" s="83" t="str">
        <f t="shared" si="7"/>
        <v/>
      </c>
      <c r="AA203" s="83" t="str">
        <f t="shared" si="8"/>
        <v/>
      </c>
      <c r="AB203" s="83" t="str">
        <f t="shared" si="9"/>
        <v/>
      </c>
      <c r="AC203" s="18" t="str">
        <f t="shared" ref="AC203:AD203" si="411">IF(_xlfn.ISFORMULA(S203),IFERROR(0/0,""),TRUE)</f>
        <v/>
      </c>
      <c r="AD203" s="18" t="str">
        <f t="shared" si="411"/>
        <v/>
      </c>
      <c r="AE203" s="43"/>
      <c r="AF203" s="58" t="s">
        <v>47</v>
      </c>
      <c r="AG203" s="55" t="str">
        <f t="shared" si="11"/>
        <v/>
      </c>
    </row>
    <row r="204">
      <c r="A204" s="7" t="str">
        <f>IFERROR(__xludf.DUMMYFUNCTION("""COMPUTED_VALUE"""),"AG461")</f>
        <v>AG461</v>
      </c>
      <c r="B204" s="308">
        <f>IFERROR(__xludf.DUMMYFUNCTION("""COMPUTED_VALUE"""),44833.0)</f>
        <v>44833</v>
      </c>
      <c r="C204" s="309">
        <f>IFERROR(__xludf.DUMMYFUNCTION("""COMPUTED_VALUE"""),0.3374537037037037)</f>
        <v>0.3374537037</v>
      </c>
      <c r="D204" s="7" t="str">
        <f>IFERROR(__xludf.DUMMYFUNCTION("""COMPUTED_VALUE"""),"SpABRM655136")</f>
        <v>SpABRM655136</v>
      </c>
      <c r="E204" s="310"/>
      <c r="F204" s="310"/>
      <c r="G204" s="310" t="str">
        <f>IFERROR(__xludf.DUMMYFUNCTION("""COMPUTED_VALUE"""),"Negative")</f>
        <v>Negative</v>
      </c>
      <c r="H204" s="319" t="str">
        <f>IFERROR(__xludf.DUMMYFUNCTION("""COMPUTED_VALUE"""),"Negative")</f>
        <v>Negative</v>
      </c>
      <c r="I204" s="308">
        <f>IFERROR(__xludf.DUMMYFUNCTION("""COMPUTED_VALUE"""),44833.0)</f>
        <v>44833</v>
      </c>
      <c r="J204" s="311">
        <f>IFERROR(__xludf.DUMMYFUNCTION("""COMPUTED_VALUE"""),0.4060648148148148)</f>
        <v>0.4060648148</v>
      </c>
      <c r="K204" s="54"/>
      <c r="L204" s="7"/>
      <c r="M204" s="312"/>
      <c r="N204" s="172">
        <f>IFERROR(__xludf.DUMMYFUNCTION("""COMPUTED_VALUE"""),4.0)</f>
        <v>4</v>
      </c>
      <c r="O204" s="172" t="str">
        <f t="shared" si="3"/>
        <v/>
      </c>
      <c r="P204" s="313">
        <f>IFERROR(__xludf.DUMMYFUNCTION("""COMPUTED_VALUE"""),0.0)</f>
        <v>0</v>
      </c>
      <c r="Q204" s="76" t="b">
        <f>VLOOKUP($B204,'Run Reconcile'!B$2:O1399,14,FALSE)</f>
        <v>1</v>
      </c>
      <c r="R204" s="314" t="str">
        <f t="array" ref="R204">IF($Q204, INDEX('Run Reconcile'!A$2:A1399,MATCH(B204,'Run Reconcile'!B$2:B1399,0),1),IFERROR(0/0,""))</f>
        <v>RUN-ABRM_2022-09-29_RFR-028</v>
      </c>
      <c r="S204" s="315" t="str">
        <f t="shared" ref="S204:T204" si="412">IF(COUNTIF(W$2:W1399, $A204) &gt; 0,TRUE,IFERROR(0/0,""))</f>
        <v/>
      </c>
      <c r="T204" s="315" t="str">
        <f t="shared" si="412"/>
        <v/>
      </c>
      <c r="U204" s="114" t="str">
        <f t="array" ref="U204">IF(ISBLANK($R204), INDEX('Run Reconcile'!A$2:A1399, MATCH($B204, 'Run Reconcile'!B$2:B1399, 0)+Z204, 1), IFERROR(0/0,""))
</f>
        <v/>
      </c>
      <c r="V204" s="316" t="str">
        <f t="shared" si="5"/>
        <v>RUN-ABRM_2022-09-29_RFR-028</v>
      </c>
      <c r="Y204" s="317" t="str">
        <f t="shared" si="6"/>
        <v/>
      </c>
      <c r="Z204" s="83" t="str">
        <f t="shared" si="7"/>
        <v/>
      </c>
      <c r="AA204" s="83" t="str">
        <f t="shared" si="8"/>
        <v/>
      </c>
      <c r="AB204" s="83" t="str">
        <f t="shared" si="9"/>
        <v/>
      </c>
      <c r="AC204" s="18" t="str">
        <f t="shared" ref="AC204:AD204" si="413">IF(_xlfn.ISFORMULA(S204),IFERROR(0/0,""),TRUE)</f>
        <v/>
      </c>
      <c r="AD204" s="18" t="str">
        <f t="shared" si="413"/>
        <v/>
      </c>
      <c r="AE204" s="43"/>
      <c r="AF204" s="58" t="s">
        <v>47</v>
      </c>
      <c r="AG204" s="55" t="str">
        <f t="shared" si="11"/>
        <v/>
      </c>
    </row>
    <row r="205">
      <c r="A205" s="7" t="str">
        <f>IFERROR(__xludf.DUMMYFUNCTION("""COMPUTED_VALUE"""),"AG2205")</f>
        <v>AG2205</v>
      </c>
      <c r="B205" s="308">
        <f>IFERROR(__xludf.DUMMYFUNCTION("""COMPUTED_VALUE"""),44834.0)</f>
        <v>44834</v>
      </c>
      <c r="C205" s="309">
        <f>IFERROR(__xludf.DUMMYFUNCTION("""COMPUTED_VALUE"""),0.20560185185185184)</f>
        <v>0.2056018519</v>
      </c>
      <c r="D205" s="7" t="str">
        <f>IFERROR(__xludf.DUMMYFUNCTION("""COMPUTED_VALUE"""),"SpABRM188986")</f>
        <v>SpABRM188986</v>
      </c>
      <c r="E205" s="310"/>
      <c r="F205" s="310"/>
      <c r="G205" s="310" t="str">
        <f>IFERROR(__xludf.DUMMYFUNCTION("""COMPUTED_VALUE"""),"Negative")</f>
        <v>Negative</v>
      </c>
      <c r="H205" s="319" t="str">
        <f>IFERROR(__xludf.DUMMYFUNCTION("""COMPUTED_VALUE"""),"Negative")</f>
        <v>Negative</v>
      </c>
      <c r="I205" s="308">
        <f>IFERROR(__xludf.DUMMYFUNCTION("""COMPUTED_VALUE"""),44834.0)</f>
        <v>44834</v>
      </c>
      <c r="J205" s="311">
        <f>IFERROR(__xludf.DUMMYFUNCTION("""COMPUTED_VALUE"""),0.41866898148148146)</f>
        <v>0.4186689815</v>
      </c>
      <c r="K205" s="54"/>
      <c r="L205" s="7"/>
      <c r="M205" s="312"/>
      <c r="N205" s="172">
        <f>IFERROR(__xludf.DUMMYFUNCTION("""COMPUTED_VALUE"""),2.0)</f>
        <v>2</v>
      </c>
      <c r="O205" s="172" t="b">
        <f t="shared" si="3"/>
        <v>1</v>
      </c>
      <c r="P205" s="313">
        <f>IFERROR(__xludf.DUMMYFUNCTION("""COMPUTED_VALUE"""),0.0)</f>
        <v>0</v>
      </c>
      <c r="Q205" s="76" t="b">
        <f>VLOOKUP($B205,'Run Reconcile'!B$2:O1399,14,FALSE)</f>
        <v>1</v>
      </c>
      <c r="R205" s="314" t="str">
        <f t="array" ref="R205">IF($Q205, INDEX('Run Reconcile'!A$2:A1399,MATCH(B205,'Run Reconcile'!B$2:B1399,0),1),IFERROR(0/0,""))</f>
        <v>RUN-ABRM_2022-09-30_RFR-030</v>
      </c>
      <c r="S205" s="315" t="str">
        <f t="shared" ref="S205:T205" si="414">IF(COUNTIF(W$2:W1399, $A205) &gt; 0,TRUE,IFERROR(0/0,""))</f>
        <v/>
      </c>
      <c r="T205" s="315" t="str">
        <f t="shared" si="414"/>
        <v/>
      </c>
      <c r="U205" s="114" t="str">
        <f t="array" ref="U205">IF(ISBLANK($R205), INDEX('Run Reconcile'!A$2:A1399, MATCH($B205, 'Run Reconcile'!B$2:B1399, 0)+Z205, 1), IFERROR(0/0,""))
</f>
        <v/>
      </c>
      <c r="V205" s="316" t="str">
        <f t="shared" si="5"/>
        <v>RUN-ABRM_2022-09-30_RFR-030</v>
      </c>
      <c r="Y205" s="317" t="str">
        <f t="shared" si="6"/>
        <v/>
      </c>
      <c r="Z205" s="83" t="str">
        <f t="shared" si="7"/>
        <v/>
      </c>
      <c r="AA205" s="83" t="str">
        <f t="shared" si="8"/>
        <v/>
      </c>
      <c r="AB205" s="83" t="str">
        <f t="shared" si="9"/>
        <v/>
      </c>
      <c r="AC205" s="18" t="str">
        <f t="shared" ref="AC205:AD205" si="415">IF(_xlfn.ISFORMULA(S205),IFERROR(0/0,""),TRUE)</f>
        <v/>
      </c>
      <c r="AD205" s="18" t="str">
        <f t="shared" si="415"/>
        <v/>
      </c>
      <c r="AE205" s="43"/>
      <c r="AF205" s="58" t="s">
        <v>48</v>
      </c>
      <c r="AG205" s="55" t="str">
        <f t="shared" si="11"/>
        <v/>
      </c>
    </row>
    <row r="206">
      <c r="A206" s="7" t="str">
        <f>IFERROR(__xludf.DUMMYFUNCTION("""COMPUTED_VALUE"""),"AG451")</f>
        <v>AG451</v>
      </c>
      <c r="B206" s="308">
        <f>IFERROR(__xludf.DUMMYFUNCTION("""COMPUTED_VALUE"""),44834.0)</f>
        <v>44834</v>
      </c>
      <c r="C206" s="309">
        <f>IFERROR(__xludf.DUMMYFUNCTION("""COMPUTED_VALUE"""),0.24313657407407407)</f>
        <v>0.2431365741</v>
      </c>
      <c r="D206" s="7" t="str">
        <f>IFERROR(__xludf.DUMMYFUNCTION("""COMPUTED_VALUE"""),"SpABRM516158")</f>
        <v>SpABRM516158</v>
      </c>
      <c r="E206" s="310"/>
      <c r="F206" s="310"/>
      <c r="G206" s="310" t="str">
        <f>IFERROR(__xludf.DUMMYFUNCTION("""COMPUTED_VALUE"""),"Negative")</f>
        <v>Negative</v>
      </c>
      <c r="H206" s="319" t="str">
        <f>IFERROR(__xludf.DUMMYFUNCTION("""COMPUTED_VALUE"""),"Negative")</f>
        <v>Negative</v>
      </c>
      <c r="I206" s="308">
        <f>IFERROR(__xludf.DUMMYFUNCTION("""COMPUTED_VALUE"""),44834.0)</f>
        <v>44834</v>
      </c>
      <c r="J206" s="311">
        <f>IFERROR(__xludf.DUMMYFUNCTION("""COMPUTED_VALUE"""),0.41866898148148146)</f>
        <v>0.4186689815</v>
      </c>
      <c r="K206" s="54"/>
      <c r="L206" s="7"/>
      <c r="M206" s="312"/>
      <c r="N206" s="172">
        <f>IFERROR(__xludf.DUMMYFUNCTION("""COMPUTED_VALUE"""),1.0)</f>
        <v>1</v>
      </c>
      <c r="O206" s="172" t="str">
        <f t="shared" si="3"/>
        <v/>
      </c>
      <c r="P206" s="313">
        <f>IFERROR(__xludf.DUMMYFUNCTION("""COMPUTED_VALUE"""),0.0)</f>
        <v>0</v>
      </c>
      <c r="Q206" s="76" t="b">
        <f>VLOOKUP($B206,'Run Reconcile'!B$2:O1399,14,FALSE)</f>
        <v>1</v>
      </c>
      <c r="R206" s="314" t="str">
        <f t="array" ref="R206">IF($Q206, INDEX('Run Reconcile'!A$2:A1399,MATCH(B206,'Run Reconcile'!B$2:B1399,0),1),IFERROR(0/0,""))</f>
        <v>RUN-ABRM_2022-09-30_RFR-030</v>
      </c>
      <c r="S206" s="315" t="str">
        <f t="shared" ref="S206:T206" si="416">IF(COUNTIF(W$2:W1399, $A206) &gt; 0,TRUE,IFERROR(0/0,""))</f>
        <v/>
      </c>
      <c r="T206" s="315" t="str">
        <f t="shared" si="416"/>
        <v/>
      </c>
      <c r="U206" s="114" t="str">
        <f t="array" ref="U206">IF(ISBLANK($R206), INDEX('Run Reconcile'!A$2:A1399, MATCH($B206, 'Run Reconcile'!B$2:B1399, 0)+Z206, 1), IFERROR(0/0,""))
</f>
        <v/>
      </c>
      <c r="V206" s="316" t="str">
        <f t="shared" si="5"/>
        <v>RUN-ABRM_2022-09-30_RFR-030</v>
      </c>
      <c r="Y206" s="317" t="str">
        <f t="shared" si="6"/>
        <v/>
      </c>
      <c r="Z206" s="83" t="str">
        <f t="shared" si="7"/>
        <v/>
      </c>
      <c r="AA206" s="83" t="str">
        <f t="shared" si="8"/>
        <v/>
      </c>
      <c r="AB206" s="83" t="str">
        <f t="shared" si="9"/>
        <v/>
      </c>
      <c r="AC206" s="18" t="str">
        <f t="shared" ref="AC206:AD206" si="417">IF(_xlfn.ISFORMULA(S206),IFERROR(0/0,""),TRUE)</f>
        <v/>
      </c>
      <c r="AD206" s="18" t="str">
        <f t="shared" si="417"/>
        <v/>
      </c>
      <c r="AE206" s="43"/>
      <c r="AF206" s="58" t="s">
        <v>48</v>
      </c>
      <c r="AG206" s="55" t="str">
        <f t="shared" si="11"/>
        <v/>
      </c>
    </row>
    <row r="207">
      <c r="A207" s="7" t="str">
        <f>IFERROR(__xludf.DUMMYFUNCTION("""COMPUTED_VALUE"""),"AG1503")</f>
        <v>AG1503</v>
      </c>
      <c r="B207" s="308">
        <f>IFERROR(__xludf.DUMMYFUNCTION("""COMPUTED_VALUE"""),44834.0)</f>
        <v>44834</v>
      </c>
      <c r="C207" s="309">
        <f>IFERROR(__xludf.DUMMYFUNCTION("""COMPUTED_VALUE"""),0.27131944444444445)</f>
        <v>0.2713194444</v>
      </c>
      <c r="D207" s="7" t="str">
        <f>IFERROR(__xludf.DUMMYFUNCTION("""COMPUTED_VALUE"""),"SpABRM128250")</f>
        <v>SpABRM128250</v>
      </c>
      <c r="E207" s="310"/>
      <c r="F207" s="310"/>
      <c r="G207" s="310" t="str">
        <f>IFERROR(__xludf.DUMMYFUNCTION("""COMPUTED_VALUE"""),"Negative")</f>
        <v>Negative</v>
      </c>
      <c r="H207" s="319" t="str">
        <f>IFERROR(__xludf.DUMMYFUNCTION("""COMPUTED_VALUE"""),"Negative")</f>
        <v>Negative</v>
      </c>
      <c r="I207" s="308">
        <f>IFERROR(__xludf.DUMMYFUNCTION("""COMPUTED_VALUE"""),44834.0)</f>
        <v>44834</v>
      </c>
      <c r="J207" s="311">
        <f>IFERROR(__xludf.DUMMYFUNCTION("""COMPUTED_VALUE"""),0.41866898148148146)</f>
        <v>0.4186689815</v>
      </c>
      <c r="K207" s="54"/>
      <c r="L207" s="7"/>
      <c r="M207" s="312"/>
      <c r="N207" s="172">
        <f>IFERROR(__xludf.DUMMYFUNCTION("""COMPUTED_VALUE"""),3.0)</f>
        <v>3</v>
      </c>
      <c r="O207" s="172" t="str">
        <f t="shared" si="3"/>
        <v/>
      </c>
      <c r="P207" s="313">
        <f>IFERROR(__xludf.DUMMYFUNCTION("""COMPUTED_VALUE"""),0.0)</f>
        <v>0</v>
      </c>
      <c r="Q207" s="76" t="b">
        <f>VLOOKUP($B207,'Run Reconcile'!B$2:O1399,14,FALSE)</f>
        <v>1</v>
      </c>
      <c r="R207" s="314" t="str">
        <f t="array" ref="R207">IF($Q207, INDEX('Run Reconcile'!A$2:A1399,MATCH(B207,'Run Reconcile'!B$2:B1399,0),1),IFERROR(0/0,""))</f>
        <v>RUN-ABRM_2022-09-30_RFR-030</v>
      </c>
      <c r="S207" s="315" t="str">
        <f t="shared" ref="S207:T207" si="418">IF(COUNTIF(W$2:W1399, $A207) &gt; 0,TRUE,IFERROR(0/0,""))</f>
        <v/>
      </c>
      <c r="T207" s="315" t="str">
        <f t="shared" si="418"/>
        <v/>
      </c>
      <c r="U207" s="114" t="str">
        <f t="array" ref="U207">IF(ISBLANK($R207), INDEX('Run Reconcile'!A$2:A1399, MATCH($B207, 'Run Reconcile'!B$2:B1399, 0)+Z207, 1), IFERROR(0/0,""))
</f>
        <v/>
      </c>
      <c r="V207" s="316" t="str">
        <f t="shared" si="5"/>
        <v>RUN-ABRM_2022-09-30_RFR-030</v>
      </c>
      <c r="Y207" s="317" t="str">
        <f t="shared" si="6"/>
        <v/>
      </c>
      <c r="Z207" s="83" t="str">
        <f t="shared" si="7"/>
        <v/>
      </c>
      <c r="AA207" s="83" t="str">
        <f t="shared" si="8"/>
        <v/>
      </c>
      <c r="AB207" s="83" t="str">
        <f t="shared" si="9"/>
        <v/>
      </c>
      <c r="AC207" s="18" t="str">
        <f t="shared" ref="AC207:AD207" si="419">IF(_xlfn.ISFORMULA(S207),IFERROR(0/0,""),TRUE)</f>
        <v/>
      </c>
      <c r="AD207" s="18" t="str">
        <f t="shared" si="419"/>
        <v/>
      </c>
      <c r="AE207" s="43"/>
      <c r="AF207" s="58" t="s">
        <v>48</v>
      </c>
      <c r="AG207" s="55" t="str">
        <f t="shared" si="11"/>
        <v/>
      </c>
    </row>
    <row r="208">
      <c r="A208" s="7" t="str">
        <f>IFERROR(__xludf.DUMMYFUNCTION("""COMPUTED_VALUE"""),"AH7824")</f>
        <v>AH7824</v>
      </c>
      <c r="B208" s="308">
        <f>IFERROR(__xludf.DUMMYFUNCTION("""COMPUTED_VALUE"""),44834.0)</f>
        <v>44834</v>
      </c>
      <c r="C208" s="309">
        <f>IFERROR(__xludf.DUMMYFUNCTION("""COMPUTED_VALUE"""),0.2910185185185185)</f>
        <v>0.2910185185</v>
      </c>
      <c r="D208" s="7" t="str">
        <f>IFERROR(__xludf.DUMMYFUNCTION("""COMPUTED_VALUE"""),"SpABRM297307")</f>
        <v>SpABRM297307</v>
      </c>
      <c r="E208" s="310"/>
      <c r="F208" s="310"/>
      <c r="G208" s="310" t="str">
        <f>IFERROR(__xludf.DUMMYFUNCTION("""COMPUTED_VALUE"""),"Negative")</f>
        <v>Negative</v>
      </c>
      <c r="H208" s="319" t="str">
        <f>IFERROR(__xludf.DUMMYFUNCTION("""COMPUTED_VALUE"""),"Negative")</f>
        <v>Negative</v>
      </c>
      <c r="I208" s="308">
        <f>IFERROR(__xludf.DUMMYFUNCTION("""COMPUTED_VALUE"""),44834.0)</f>
        <v>44834</v>
      </c>
      <c r="J208" s="311">
        <f>IFERROR(__xludf.DUMMYFUNCTION("""COMPUTED_VALUE"""),0.41866898148148146)</f>
        <v>0.4186689815</v>
      </c>
      <c r="K208" s="54"/>
      <c r="L208" s="7"/>
      <c r="M208" s="312"/>
      <c r="N208" s="172">
        <f>IFERROR(__xludf.DUMMYFUNCTION("""COMPUTED_VALUE"""),3.0)</f>
        <v>3</v>
      </c>
      <c r="O208" s="172" t="str">
        <f t="shared" si="3"/>
        <v/>
      </c>
      <c r="P208" s="313">
        <f>IFERROR(__xludf.DUMMYFUNCTION("""COMPUTED_VALUE"""),0.0)</f>
        <v>0</v>
      </c>
      <c r="Q208" s="76" t="b">
        <f>VLOOKUP($B208,'Run Reconcile'!B$2:O1399,14,FALSE)</f>
        <v>1</v>
      </c>
      <c r="R208" s="314" t="str">
        <f t="array" ref="R208">IF($Q208, INDEX('Run Reconcile'!A$2:A1399,MATCH(B208,'Run Reconcile'!B$2:B1399,0),1),IFERROR(0/0,""))</f>
        <v>RUN-ABRM_2022-09-30_RFR-030</v>
      </c>
      <c r="S208" s="315" t="str">
        <f t="shared" ref="S208:T208" si="420">IF(COUNTIF(W$2:W1399, $A208) &gt; 0,TRUE,IFERROR(0/0,""))</f>
        <v/>
      </c>
      <c r="T208" s="315" t="str">
        <f t="shared" si="420"/>
        <v/>
      </c>
      <c r="U208" s="114" t="str">
        <f t="array" ref="U208">IF(ISBLANK($R208), INDEX('Run Reconcile'!A$2:A1399, MATCH($B208, 'Run Reconcile'!B$2:B1399, 0)+Z208, 1), IFERROR(0/0,""))
</f>
        <v/>
      </c>
      <c r="V208" s="316" t="str">
        <f t="shared" si="5"/>
        <v>RUN-ABRM_2022-09-30_RFR-030</v>
      </c>
      <c r="Y208" s="317" t="str">
        <f t="shared" si="6"/>
        <v/>
      </c>
      <c r="Z208" s="83" t="str">
        <f t="shared" si="7"/>
        <v/>
      </c>
      <c r="AA208" s="83" t="str">
        <f t="shared" si="8"/>
        <v/>
      </c>
      <c r="AB208" s="83" t="str">
        <f t="shared" si="9"/>
        <v/>
      </c>
      <c r="AC208" s="18" t="str">
        <f t="shared" ref="AC208:AD208" si="421">IF(_xlfn.ISFORMULA(S208),IFERROR(0/0,""),TRUE)</f>
        <v/>
      </c>
      <c r="AD208" s="18" t="str">
        <f t="shared" si="421"/>
        <v/>
      </c>
      <c r="AE208" s="43"/>
      <c r="AF208" s="58" t="s">
        <v>48</v>
      </c>
      <c r="AG208" s="55" t="str">
        <f t="shared" si="11"/>
        <v/>
      </c>
    </row>
    <row r="209">
      <c r="A209" s="7" t="str">
        <f>IFERROR(__xludf.DUMMYFUNCTION("""COMPUTED_VALUE"""),"AJ9299")</f>
        <v>AJ9299</v>
      </c>
      <c r="B209" s="308">
        <f>IFERROR(__xludf.DUMMYFUNCTION("""COMPUTED_VALUE"""),44834.0)</f>
        <v>44834</v>
      </c>
      <c r="C209" s="309">
        <f>IFERROR(__xludf.DUMMYFUNCTION("""COMPUTED_VALUE"""),0.2946875)</f>
        <v>0.2946875</v>
      </c>
      <c r="D209" s="7" t="str">
        <f>IFERROR(__xludf.DUMMYFUNCTION("""COMPUTED_VALUE"""),"SpABRM716377")</f>
        <v>SpABRM716377</v>
      </c>
      <c r="E209" s="310"/>
      <c r="F209" s="310"/>
      <c r="G209" s="310" t="str">
        <f>IFERROR(__xludf.DUMMYFUNCTION("""COMPUTED_VALUE"""),"Negative")</f>
        <v>Negative</v>
      </c>
      <c r="H209" s="319" t="str">
        <f>IFERROR(__xludf.DUMMYFUNCTION("""COMPUTED_VALUE"""),"Negative")</f>
        <v>Negative</v>
      </c>
      <c r="I209" s="308">
        <f>IFERROR(__xludf.DUMMYFUNCTION("""COMPUTED_VALUE"""),44834.0)</f>
        <v>44834</v>
      </c>
      <c r="J209" s="311">
        <f>IFERROR(__xludf.DUMMYFUNCTION("""COMPUTED_VALUE"""),0.41868055555555556)</f>
        <v>0.4186805556</v>
      </c>
      <c r="K209" s="54"/>
      <c r="L209" s="7"/>
      <c r="M209" s="312"/>
      <c r="N209" s="172">
        <f>IFERROR(__xludf.DUMMYFUNCTION("""COMPUTED_VALUE"""),2.0)</f>
        <v>2</v>
      </c>
      <c r="O209" s="172" t="str">
        <f t="shared" si="3"/>
        <v/>
      </c>
      <c r="P209" s="313">
        <f>IFERROR(__xludf.DUMMYFUNCTION("""COMPUTED_VALUE"""),0.0)</f>
        <v>0</v>
      </c>
      <c r="Q209" s="76" t="b">
        <f>VLOOKUP($B209,'Run Reconcile'!B$2:O1399,14,FALSE)</f>
        <v>1</v>
      </c>
      <c r="R209" s="314" t="str">
        <f t="array" ref="R209">IF($Q209, INDEX('Run Reconcile'!A$2:A1399,MATCH(B209,'Run Reconcile'!B$2:B1399,0),1),IFERROR(0/0,""))</f>
        <v>RUN-ABRM_2022-09-30_RFR-030</v>
      </c>
      <c r="S209" s="315" t="str">
        <f t="shared" ref="S209:T209" si="422">IF(COUNTIF(W$2:W1399, $A209) &gt; 0,TRUE,IFERROR(0/0,""))</f>
        <v/>
      </c>
      <c r="T209" s="315" t="str">
        <f t="shared" si="422"/>
        <v/>
      </c>
      <c r="U209" s="114" t="str">
        <f t="array" ref="U209">IF(ISBLANK($R209), INDEX('Run Reconcile'!A$2:A1399, MATCH($B209, 'Run Reconcile'!B$2:B1399, 0)+Z209, 1), IFERROR(0/0,""))
</f>
        <v/>
      </c>
      <c r="V209" s="316" t="str">
        <f t="shared" si="5"/>
        <v>RUN-ABRM_2022-09-30_RFR-030</v>
      </c>
      <c r="Y209" s="317" t="str">
        <f t="shared" si="6"/>
        <v/>
      </c>
      <c r="Z209" s="83" t="str">
        <f t="shared" si="7"/>
        <v/>
      </c>
      <c r="AA209" s="83" t="str">
        <f t="shared" si="8"/>
        <v/>
      </c>
      <c r="AB209" s="83" t="str">
        <f t="shared" si="9"/>
        <v/>
      </c>
      <c r="AC209" s="18" t="str">
        <f t="shared" ref="AC209:AD209" si="423">IF(_xlfn.ISFORMULA(S209),IFERROR(0/0,""),TRUE)</f>
        <v/>
      </c>
      <c r="AD209" s="18" t="str">
        <f t="shared" si="423"/>
        <v/>
      </c>
      <c r="AE209" s="43"/>
      <c r="AF209" s="58" t="s">
        <v>48</v>
      </c>
      <c r="AG209" s="55" t="str">
        <f t="shared" si="11"/>
        <v/>
      </c>
    </row>
    <row r="210">
      <c r="A210" s="7" t="str">
        <f>IFERROR(__xludf.DUMMYFUNCTION("""COMPUTED_VALUE"""),"AG333")</f>
        <v>AG333</v>
      </c>
      <c r="B210" s="308">
        <f>IFERROR(__xludf.DUMMYFUNCTION("""COMPUTED_VALUE"""),44834.0)</f>
        <v>44834</v>
      </c>
      <c r="C210" s="309">
        <f>IFERROR(__xludf.DUMMYFUNCTION("""COMPUTED_VALUE"""),0.2967939814814815)</f>
        <v>0.2967939815</v>
      </c>
      <c r="D210" s="7" t="str">
        <f>IFERROR(__xludf.DUMMYFUNCTION("""COMPUTED_VALUE"""),"SpABRM367540")</f>
        <v>SpABRM367540</v>
      </c>
      <c r="E210" s="310"/>
      <c r="F210" s="310"/>
      <c r="G210" s="310" t="str">
        <f>IFERROR(__xludf.DUMMYFUNCTION("""COMPUTED_VALUE"""),"Negative")</f>
        <v>Negative</v>
      </c>
      <c r="H210" s="319" t="str">
        <f>IFERROR(__xludf.DUMMYFUNCTION("""COMPUTED_VALUE"""),"Negative")</f>
        <v>Negative</v>
      </c>
      <c r="I210" s="308">
        <f>IFERROR(__xludf.DUMMYFUNCTION("""COMPUTED_VALUE"""),44834.0)</f>
        <v>44834</v>
      </c>
      <c r="J210" s="311">
        <f>IFERROR(__xludf.DUMMYFUNCTION("""COMPUTED_VALUE"""),0.41868055555555556)</f>
        <v>0.4186805556</v>
      </c>
      <c r="K210" s="54"/>
      <c r="L210" s="7"/>
      <c r="M210" s="312"/>
      <c r="N210" s="172">
        <f>IFERROR(__xludf.DUMMYFUNCTION("""COMPUTED_VALUE"""),3.0)</f>
        <v>3</v>
      </c>
      <c r="O210" s="172" t="str">
        <f t="shared" si="3"/>
        <v/>
      </c>
      <c r="P210" s="313">
        <f>IFERROR(__xludf.DUMMYFUNCTION("""COMPUTED_VALUE"""),0.0)</f>
        <v>0</v>
      </c>
      <c r="Q210" s="76" t="b">
        <f>VLOOKUP($B210,'Run Reconcile'!B$2:O1399,14,FALSE)</f>
        <v>1</v>
      </c>
      <c r="R210" s="314" t="str">
        <f t="array" ref="R210">IF($Q210, INDEX('Run Reconcile'!A$2:A1399,MATCH(B210,'Run Reconcile'!B$2:B1399,0),1),IFERROR(0/0,""))</f>
        <v>RUN-ABRM_2022-09-30_RFR-030</v>
      </c>
      <c r="S210" s="315" t="str">
        <f t="shared" ref="S210:T210" si="424">IF(COUNTIF(W$2:W1399, $A210) &gt; 0,TRUE,IFERROR(0/0,""))</f>
        <v/>
      </c>
      <c r="T210" s="315" t="str">
        <f t="shared" si="424"/>
        <v/>
      </c>
      <c r="U210" s="114" t="str">
        <f t="array" ref="U210">IF(ISBLANK($R210), INDEX('Run Reconcile'!A$2:A1399, MATCH($B210, 'Run Reconcile'!B$2:B1399, 0)+Z210, 1), IFERROR(0/0,""))
</f>
        <v/>
      </c>
      <c r="V210" s="316" t="str">
        <f t="shared" si="5"/>
        <v>RUN-ABRM_2022-09-30_RFR-030</v>
      </c>
      <c r="Y210" s="317" t="str">
        <f t="shared" si="6"/>
        <v/>
      </c>
      <c r="Z210" s="83" t="str">
        <f t="shared" si="7"/>
        <v/>
      </c>
      <c r="AA210" s="83" t="str">
        <f t="shared" si="8"/>
        <v/>
      </c>
      <c r="AB210" s="83" t="str">
        <f t="shared" si="9"/>
        <v/>
      </c>
      <c r="AC210" s="18" t="str">
        <f t="shared" ref="AC210:AD210" si="425">IF(_xlfn.ISFORMULA(S210),IFERROR(0/0,""),TRUE)</f>
        <v/>
      </c>
      <c r="AD210" s="18" t="str">
        <f t="shared" si="425"/>
        <v/>
      </c>
      <c r="AE210" s="43"/>
      <c r="AF210" s="58" t="s">
        <v>48</v>
      </c>
      <c r="AG210" s="55" t="str">
        <f t="shared" si="11"/>
        <v/>
      </c>
    </row>
    <row r="211">
      <c r="A211" s="7" t="str">
        <f>IFERROR(__xludf.DUMMYFUNCTION("""COMPUTED_VALUE"""),"AH9196")</f>
        <v>AH9196</v>
      </c>
      <c r="B211" s="308">
        <f>IFERROR(__xludf.DUMMYFUNCTION("""COMPUTED_VALUE"""),44834.0)</f>
        <v>44834</v>
      </c>
      <c r="C211" s="309">
        <f>IFERROR(__xludf.DUMMYFUNCTION("""COMPUTED_VALUE"""),0.29868055555555556)</f>
        <v>0.2986805556</v>
      </c>
      <c r="D211" s="7" t="str">
        <f>IFERROR(__xludf.DUMMYFUNCTION("""COMPUTED_VALUE"""),"SpABRM655136")</f>
        <v>SpABRM655136</v>
      </c>
      <c r="E211" s="310"/>
      <c r="F211" s="310"/>
      <c r="G211" s="310" t="str">
        <f>IFERROR(__xludf.DUMMYFUNCTION("""COMPUTED_VALUE"""),"Negative")</f>
        <v>Negative</v>
      </c>
      <c r="H211" s="319" t="str">
        <f>IFERROR(__xludf.DUMMYFUNCTION("""COMPUTED_VALUE"""),"Negative")</f>
        <v>Negative</v>
      </c>
      <c r="I211" s="308">
        <f>IFERROR(__xludf.DUMMYFUNCTION("""COMPUTED_VALUE"""),44834.0)</f>
        <v>44834</v>
      </c>
      <c r="J211" s="311">
        <f>IFERROR(__xludf.DUMMYFUNCTION("""COMPUTED_VALUE"""),0.41868055555555556)</f>
        <v>0.4186805556</v>
      </c>
      <c r="K211" s="54"/>
      <c r="L211" s="7"/>
      <c r="M211" s="312"/>
      <c r="N211" s="172">
        <f>IFERROR(__xludf.DUMMYFUNCTION("""COMPUTED_VALUE"""),2.0)</f>
        <v>2</v>
      </c>
      <c r="O211" s="172" t="str">
        <f t="shared" si="3"/>
        <v/>
      </c>
      <c r="P211" s="313">
        <f>IFERROR(__xludf.DUMMYFUNCTION("""COMPUTED_VALUE"""),0.0)</f>
        <v>0</v>
      </c>
      <c r="Q211" s="76" t="b">
        <f>VLOOKUP($B211,'Run Reconcile'!B$2:O1399,14,FALSE)</f>
        <v>1</v>
      </c>
      <c r="R211" s="314" t="str">
        <f t="array" ref="R211">IF($Q211, INDEX('Run Reconcile'!A$2:A1399,MATCH(B211,'Run Reconcile'!B$2:B1399,0),1),IFERROR(0/0,""))</f>
        <v>RUN-ABRM_2022-09-30_RFR-030</v>
      </c>
      <c r="S211" s="315" t="str">
        <f t="shared" ref="S211:T211" si="426">IF(COUNTIF(W$2:W1399, $A211) &gt; 0,TRUE,IFERROR(0/0,""))</f>
        <v/>
      </c>
      <c r="T211" s="315" t="str">
        <f t="shared" si="426"/>
        <v/>
      </c>
      <c r="U211" s="114" t="str">
        <f t="array" ref="U211">IF(ISBLANK($R211), INDEX('Run Reconcile'!A$2:A1399, MATCH($B211, 'Run Reconcile'!B$2:B1399, 0)+Z211, 1), IFERROR(0/0,""))
</f>
        <v/>
      </c>
      <c r="V211" s="316" t="str">
        <f t="shared" si="5"/>
        <v>RUN-ABRM_2022-09-30_RFR-030</v>
      </c>
      <c r="Y211" s="317" t="str">
        <f t="shared" si="6"/>
        <v/>
      </c>
      <c r="Z211" s="83" t="str">
        <f t="shared" si="7"/>
        <v/>
      </c>
      <c r="AA211" s="83" t="str">
        <f t="shared" si="8"/>
        <v/>
      </c>
      <c r="AB211" s="83" t="str">
        <f t="shared" si="9"/>
        <v/>
      </c>
      <c r="AC211" s="18" t="str">
        <f t="shared" ref="AC211:AD211" si="427">IF(_xlfn.ISFORMULA(S211),IFERROR(0/0,""),TRUE)</f>
        <v/>
      </c>
      <c r="AD211" s="18" t="str">
        <f t="shared" si="427"/>
        <v/>
      </c>
      <c r="AE211" s="43"/>
      <c r="AF211" s="58" t="s">
        <v>48</v>
      </c>
      <c r="AG211" s="55" t="str">
        <f t="shared" si="11"/>
        <v/>
      </c>
    </row>
    <row r="212">
      <c r="A212" s="7" t="str">
        <f>IFERROR(__xludf.DUMMYFUNCTION("""COMPUTED_VALUE"""),"AH9683")</f>
        <v>AH9683</v>
      </c>
      <c r="B212" s="308">
        <f>IFERROR(__xludf.DUMMYFUNCTION("""COMPUTED_VALUE"""),44834.0)</f>
        <v>44834</v>
      </c>
      <c r="C212" s="309">
        <f>IFERROR(__xludf.DUMMYFUNCTION("""COMPUTED_VALUE"""),0.29909722222222224)</f>
        <v>0.2990972222</v>
      </c>
      <c r="D212" s="7" t="str">
        <f>IFERROR(__xludf.DUMMYFUNCTION("""COMPUTED_VALUE"""),"SpABRM655136")</f>
        <v>SpABRM655136</v>
      </c>
      <c r="E212" s="310"/>
      <c r="F212" s="310"/>
      <c r="G212" s="310" t="str">
        <f>IFERROR(__xludf.DUMMYFUNCTION("""COMPUTED_VALUE"""),"Negative")</f>
        <v>Negative</v>
      </c>
      <c r="H212" s="319" t="str">
        <f>IFERROR(__xludf.DUMMYFUNCTION("""COMPUTED_VALUE"""),"Negative")</f>
        <v>Negative</v>
      </c>
      <c r="I212" s="308">
        <f>IFERROR(__xludf.DUMMYFUNCTION("""COMPUTED_VALUE"""),44834.0)</f>
        <v>44834</v>
      </c>
      <c r="J212" s="311">
        <f>IFERROR(__xludf.DUMMYFUNCTION("""COMPUTED_VALUE"""),0.41868055555555556)</f>
        <v>0.4186805556</v>
      </c>
      <c r="K212" s="54"/>
      <c r="L212" s="7"/>
      <c r="M212" s="312"/>
      <c r="N212" s="172">
        <f>IFERROR(__xludf.DUMMYFUNCTION("""COMPUTED_VALUE"""),3.0)</f>
        <v>3</v>
      </c>
      <c r="O212" s="172" t="str">
        <f t="shared" si="3"/>
        <v/>
      </c>
      <c r="P212" s="313">
        <f>IFERROR(__xludf.DUMMYFUNCTION("""COMPUTED_VALUE"""),0.0)</f>
        <v>0</v>
      </c>
      <c r="Q212" s="76" t="b">
        <f>VLOOKUP($B212,'Run Reconcile'!B$2:O1399,14,FALSE)</f>
        <v>1</v>
      </c>
      <c r="R212" s="314" t="str">
        <f t="array" ref="R212">IF($Q212, INDEX('Run Reconcile'!A$2:A1399,MATCH(B212,'Run Reconcile'!B$2:B1399,0),1),IFERROR(0/0,""))</f>
        <v>RUN-ABRM_2022-09-30_RFR-030</v>
      </c>
      <c r="S212" s="315" t="str">
        <f t="shared" ref="S212:T212" si="428">IF(COUNTIF(W$2:W1399, $A212) &gt; 0,TRUE,IFERROR(0/0,""))</f>
        <v/>
      </c>
      <c r="T212" s="315" t="str">
        <f t="shared" si="428"/>
        <v/>
      </c>
      <c r="U212" s="114" t="str">
        <f t="array" ref="U212">IF(ISBLANK($R212), INDEX('Run Reconcile'!A$2:A1399, MATCH($B212, 'Run Reconcile'!B$2:B1399, 0)+Z212, 1), IFERROR(0/0,""))
</f>
        <v/>
      </c>
      <c r="V212" s="316" t="str">
        <f t="shared" si="5"/>
        <v>RUN-ABRM_2022-09-30_RFR-030</v>
      </c>
      <c r="Y212" s="317" t="str">
        <f t="shared" si="6"/>
        <v/>
      </c>
      <c r="Z212" s="83" t="str">
        <f t="shared" si="7"/>
        <v/>
      </c>
      <c r="AA212" s="83" t="str">
        <f t="shared" si="8"/>
        <v/>
      </c>
      <c r="AB212" s="83" t="str">
        <f t="shared" si="9"/>
        <v/>
      </c>
      <c r="AC212" s="18" t="str">
        <f t="shared" ref="AC212:AD212" si="429">IF(_xlfn.ISFORMULA(S212),IFERROR(0/0,""),TRUE)</f>
        <v/>
      </c>
      <c r="AD212" s="18" t="str">
        <f t="shared" si="429"/>
        <v/>
      </c>
      <c r="AE212" s="43"/>
      <c r="AF212" s="58" t="s">
        <v>48</v>
      </c>
      <c r="AG212" s="55" t="str">
        <f t="shared" si="11"/>
        <v/>
      </c>
    </row>
    <row r="213">
      <c r="A213" s="7" t="str">
        <f>IFERROR(__xludf.DUMMYFUNCTION("""COMPUTED_VALUE"""),"AH8935")</f>
        <v>AH8935</v>
      </c>
      <c r="B213" s="308">
        <f>IFERROR(__xludf.DUMMYFUNCTION("""COMPUTED_VALUE"""),44834.0)</f>
        <v>44834</v>
      </c>
      <c r="C213" s="309">
        <f>IFERROR(__xludf.DUMMYFUNCTION("""COMPUTED_VALUE"""),0.3351851851851852)</f>
        <v>0.3351851852</v>
      </c>
      <c r="D213" s="7" t="str">
        <f>IFERROR(__xludf.DUMMYFUNCTION("""COMPUTED_VALUE"""),"SpABRM814022")</f>
        <v>SpABRM814022</v>
      </c>
      <c r="E213" s="310"/>
      <c r="F213" s="310"/>
      <c r="G213" s="310" t="str">
        <f>IFERROR(__xludf.DUMMYFUNCTION("""COMPUTED_VALUE"""),"Negative")</f>
        <v>Negative</v>
      </c>
      <c r="H213" s="319" t="str">
        <f>IFERROR(__xludf.DUMMYFUNCTION("""COMPUTED_VALUE"""),"Negative")</f>
        <v>Negative</v>
      </c>
      <c r="I213" s="308">
        <f>IFERROR(__xludf.DUMMYFUNCTION("""COMPUTED_VALUE"""),44834.0)</f>
        <v>44834</v>
      </c>
      <c r="J213" s="311">
        <f>IFERROR(__xludf.DUMMYFUNCTION("""COMPUTED_VALUE"""),0.41868055555555556)</f>
        <v>0.4186805556</v>
      </c>
      <c r="K213" s="54"/>
      <c r="L213" s="7"/>
      <c r="M213" s="312"/>
      <c r="N213" s="172">
        <f>IFERROR(__xludf.DUMMYFUNCTION("""COMPUTED_VALUE"""),1.0)</f>
        <v>1</v>
      </c>
      <c r="O213" s="172" t="str">
        <f t="shared" si="3"/>
        <v/>
      </c>
      <c r="P213" s="313">
        <f>IFERROR(__xludf.DUMMYFUNCTION("""COMPUTED_VALUE"""),0.0)</f>
        <v>0</v>
      </c>
      <c r="Q213" s="76" t="b">
        <f>VLOOKUP($B213,'Run Reconcile'!B$2:O1399,14,FALSE)</f>
        <v>1</v>
      </c>
      <c r="R213" s="314" t="str">
        <f t="array" ref="R213">IF($Q213, INDEX('Run Reconcile'!A$2:A1399,MATCH(B213,'Run Reconcile'!B$2:B1399,0),1),IFERROR(0/0,""))</f>
        <v>RUN-ABRM_2022-09-30_RFR-030</v>
      </c>
      <c r="S213" s="315" t="str">
        <f t="shared" ref="S213:T213" si="430">IF(COUNTIF(W$2:W1399, $A213) &gt; 0,TRUE,IFERROR(0/0,""))</f>
        <v/>
      </c>
      <c r="T213" s="315" t="str">
        <f t="shared" si="430"/>
        <v/>
      </c>
      <c r="U213" s="114" t="str">
        <f t="array" ref="U213">IF(ISBLANK($R213), INDEX('Run Reconcile'!A$2:A1399, MATCH($B213, 'Run Reconcile'!B$2:B1399, 0)+Z213, 1), IFERROR(0/0,""))
</f>
        <v/>
      </c>
      <c r="V213" s="316" t="str">
        <f t="shared" si="5"/>
        <v>RUN-ABRM_2022-09-30_RFR-030</v>
      </c>
      <c r="Y213" s="317" t="str">
        <f t="shared" si="6"/>
        <v/>
      </c>
      <c r="Z213" s="83" t="str">
        <f t="shared" si="7"/>
        <v/>
      </c>
      <c r="AA213" s="83" t="str">
        <f t="shared" si="8"/>
        <v/>
      </c>
      <c r="AB213" s="83" t="str">
        <f t="shared" si="9"/>
        <v/>
      </c>
      <c r="AC213" s="18" t="str">
        <f t="shared" ref="AC213:AD213" si="431">IF(_xlfn.ISFORMULA(S213),IFERROR(0/0,""),TRUE)</f>
        <v/>
      </c>
      <c r="AD213" s="18" t="str">
        <f t="shared" si="431"/>
        <v/>
      </c>
      <c r="AE213" s="43"/>
      <c r="AF213" s="58" t="s">
        <v>48</v>
      </c>
      <c r="AG213" s="55" t="str">
        <f t="shared" si="11"/>
        <v/>
      </c>
    </row>
    <row r="214">
      <c r="A214" s="7" t="str">
        <f>IFERROR(__xludf.DUMMYFUNCTION("""COMPUTED_VALUE"""),"AG2187")</f>
        <v>AG2187</v>
      </c>
      <c r="B214" s="308">
        <f>IFERROR(__xludf.DUMMYFUNCTION("""COMPUTED_VALUE"""),44834.0)</f>
        <v>44834</v>
      </c>
      <c r="C214" s="309">
        <f>IFERROR(__xludf.DUMMYFUNCTION("""COMPUTED_VALUE"""),0.3720949074074074)</f>
        <v>0.3720949074</v>
      </c>
      <c r="D214" s="7" t="str">
        <f>IFERROR(__xludf.DUMMYFUNCTION("""COMPUTED_VALUE"""),"SpABRM655136")</f>
        <v>SpABRM655136</v>
      </c>
      <c r="E214" s="310"/>
      <c r="F214" s="310"/>
      <c r="G214" s="310" t="str">
        <f>IFERROR(__xludf.DUMMYFUNCTION("""COMPUTED_VALUE"""),"Negative")</f>
        <v>Negative</v>
      </c>
      <c r="H214" s="319" t="str">
        <f>IFERROR(__xludf.DUMMYFUNCTION("""COMPUTED_VALUE"""),"Negative")</f>
        <v>Negative</v>
      </c>
      <c r="I214" s="308">
        <f>IFERROR(__xludf.DUMMYFUNCTION("""COMPUTED_VALUE"""),44834.0)</f>
        <v>44834</v>
      </c>
      <c r="J214" s="311">
        <f>IFERROR(__xludf.DUMMYFUNCTION("""COMPUTED_VALUE"""),0.41869212962962965)</f>
        <v>0.4186921296</v>
      </c>
      <c r="K214" s="54"/>
      <c r="L214" s="7"/>
      <c r="M214" s="312"/>
      <c r="N214" s="172">
        <f>IFERROR(__xludf.DUMMYFUNCTION("""COMPUTED_VALUE"""),1.0)</f>
        <v>1</v>
      </c>
      <c r="O214" s="172" t="str">
        <f t="shared" si="3"/>
        <v/>
      </c>
      <c r="P214" s="313">
        <f>IFERROR(__xludf.DUMMYFUNCTION("""COMPUTED_VALUE"""),0.0)</f>
        <v>0</v>
      </c>
      <c r="Q214" s="76" t="b">
        <f>VLOOKUP($B214,'Run Reconcile'!B$2:O1399,14,FALSE)</f>
        <v>1</v>
      </c>
      <c r="R214" s="314" t="str">
        <f t="array" ref="R214">IF($Q214, INDEX('Run Reconcile'!A$2:A1399,MATCH(B214,'Run Reconcile'!B$2:B1399,0),1),IFERROR(0/0,""))</f>
        <v>RUN-ABRM_2022-09-30_RFR-030</v>
      </c>
      <c r="S214" s="315" t="str">
        <f t="shared" ref="S214:T214" si="432">IF(COUNTIF(W$2:W1399, $A214) &gt; 0,TRUE,IFERROR(0/0,""))</f>
        <v/>
      </c>
      <c r="T214" s="315" t="str">
        <f t="shared" si="432"/>
        <v/>
      </c>
      <c r="U214" s="114" t="str">
        <f t="array" ref="U214">IF(ISBLANK($R214), INDEX('Run Reconcile'!A$2:A1399, MATCH($B214, 'Run Reconcile'!B$2:B1399, 0)+Z214, 1), IFERROR(0/0,""))
</f>
        <v/>
      </c>
      <c r="V214" s="316" t="str">
        <f t="shared" si="5"/>
        <v>RUN-ABRM_2022-09-30_RFR-030</v>
      </c>
      <c r="Y214" s="317" t="str">
        <f t="shared" si="6"/>
        <v/>
      </c>
      <c r="Z214" s="83" t="str">
        <f t="shared" si="7"/>
        <v/>
      </c>
      <c r="AA214" s="83" t="str">
        <f t="shared" si="8"/>
        <v/>
      </c>
      <c r="AB214" s="83" t="str">
        <f t="shared" si="9"/>
        <v/>
      </c>
      <c r="AC214" s="18" t="str">
        <f t="shared" ref="AC214:AD214" si="433">IF(_xlfn.ISFORMULA(S214),IFERROR(0/0,""),TRUE)</f>
        <v/>
      </c>
      <c r="AD214" s="18" t="str">
        <f t="shared" si="433"/>
        <v/>
      </c>
      <c r="AE214" s="43"/>
      <c r="AF214" s="58" t="s">
        <v>48</v>
      </c>
      <c r="AG214" s="55" t="str">
        <f t="shared" si="11"/>
        <v/>
      </c>
    </row>
    <row r="215">
      <c r="A215" s="7" t="str">
        <f>IFERROR(__xludf.DUMMYFUNCTION("""COMPUTED_VALUE"""),"AG818")</f>
        <v>AG818</v>
      </c>
      <c r="B215" s="308">
        <f>IFERROR(__xludf.DUMMYFUNCTION("""COMPUTED_VALUE"""),44837.0)</f>
        <v>44837</v>
      </c>
      <c r="C215" s="309">
        <f>IFERROR(__xludf.DUMMYFUNCTION("""COMPUTED_VALUE"""),0.22241898148148148)</f>
        <v>0.2224189815</v>
      </c>
      <c r="D215" s="7" t="str">
        <f>IFERROR(__xludf.DUMMYFUNCTION("""COMPUTED_VALUE"""),"SpABRM188986")</f>
        <v>SpABRM188986</v>
      </c>
      <c r="E215" s="310"/>
      <c r="F215" s="310"/>
      <c r="G215" s="310" t="str">
        <f>IFERROR(__xludf.DUMMYFUNCTION("""COMPUTED_VALUE"""),"Negative")</f>
        <v>Negative</v>
      </c>
      <c r="H215" s="319" t="str">
        <f>IFERROR(__xludf.DUMMYFUNCTION("""COMPUTED_VALUE"""),"Negative")</f>
        <v>Negative</v>
      </c>
      <c r="I215" s="308">
        <f>IFERROR(__xludf.DUMMYFUNCTION("""COMPUTED_VALUE"""),44837.0)</f>
        <v>44837</v>
      </c>
      <c r="J215" s="311">
        <f>IFERROR(__xludf.DUMMYFUNCTION("""COMPUTED_VALUE"""),0.3840162037037037)</f>
        <v>0.3840162037</v>
      </c>
      <c r="K215" s="54"/>
      <c r="L215" s="7"/>
      <c r="M215" s="312"/>
      <c r="N215" s="172">
        <f>IFERROR(__xludf.DUMMYFUNCTION("""COMPUTED_VALUE"""),2.0)</f>
        <v>2</v>
      </c>
      <c r="O215" s="172" t="b">
        <f t="shared" si="3"/>
        <v>1</v>
      </c>
      <c r="P215" s="313">
        <f>IFERROR(__xludf.DUMMYFUNCTION("""COMPUTED_VALUE"""),0.0)</f>
        <v>0</v>
      </c>
      <c r="Q215" s="76" t="b">
        <f>VLOOKUP($B215,'Run Reconcile'!B$2:O1399,14,FALSE)</f>
        <v>1</v>
      </c>
      <c r="R215" s="314" t="str">
        <f t="array" ref="R215">IF($Q215, INDEX('Run Reconcile'!A$2:A1399,MATCH(B215,'Run Reconcile'!B$2:B1399,0),1),IFERROR(0/0,""))</f>
        <v>RUN-ABRM_2022-10-03_RFR-032</v>
      </c>
      <c r="S215" s="315" t="str">
        <f t="shared" ref="S215:T215" si="434">IF(COUNTIF(W$2:W1399, $A215) &gt; 0,TRUE,IFERROR(0/0,""))</f>
        <v/>
      </c>
      <c r="T215" s="315" t="str">
        <f t="shared" si="434"/>
        <v/>
      </c>
      <c r="U215" s="114" t="str">
        <f t="array" ref="U215">IF(ISBLANK($R215), INDEX('Run Reconcile'!A$2:A1399, MATCH($B215, 'Run Reconcile'!B$2:B1399, 0)+Z215, 1), IFERROR(0/0,""))
</f>
        <v/>
      </c>
      <c r="V215" s="316" t="str">
        <f t="shared" si="5"/>
        <v>RUN-ABRM_2022-10-03_RFR-032</v>
      </c>
      <c r="Y215" s="317" t="str">
        <f t="shared" si="6"/>
        <v/>
      </c>
      <c r="Z215" s="83" t="str">
        <f t="shared" si="7"/>
        <v/>
      </c>
      <c r="AA215" s="83" t="str">
        <f t="shared" si="8"/>
        <v/>
      </c>
      <c r="AB215" s="83" t="str">
        <f t="shared" si="9"/>
        <v/>
      </c>
      <c r="AC215" s="18" t="str">
        <f t="shared" ref="AC215:AD215" si="435">IF(_xlfn.ISFORMULA(S215),IFERROR(0/0,""),TRUE)</f>
        <v/>
      </c>
      <c r="AD215" s="18" t="str">
        <f t="shared" si="435"/>
        <v/>
      </c>
      <c r="AE215" s="43"/>
      <c r="AF215" s="58" t="s">
        <v>49</v>
      </c>
      <c r="AG215" s="55" t="str">
        <f t="shared" si="11"/>
        <v/>
      </c>
    </row>
    <row r="216">
      <c r="A216" s="7" t="str">
        <f>IFERROR(__xludf.DUMMYFUNCTION("""COMPUTED_VALUE"""),"AG652")</f>
        <v>AG652</v>
      </c>
      <c r="B216" s="308">
        <f>IFERROR(__xludf.DUMMYFUNCTION("""COMPUTED_VALUE"""),44837.0)</f>
        <v>44837</v>
      </c>
      <c r="C216" s="309">
        <f>IFERROR(__xludf.DUMMYFUNCTION("""COMPUTED_VALUE"""),0.26560185185185187)</f>
        <v>0.2656018519</v>
      </c>
      <c r="D216" s="7" t="str">
        <f>IFERROR(__xludf.DUMMYFUNCTION("""COMPUTED_VALUE"""),"SpABRM516158")</f>
        <v>SpABRM516158</v>
      </c>
      <c r="E216" s="310"/>
      <c r="F216" s="310"/>
      <c r="G216" s="310" t="str">
        <f>IFERROR(__xludf.DUMMYFUNCTION("""COMPUTED_VALUE"""),"Negative")</f>
        <v>Negative</v>
      </c>
      <c r="H216" s="319" t="str">
        <f>IFERROR(__xludf.DUMMYFUNCTION("""COMPUTED_VALUE"""),"Negative")</f>
        <v>Negative</v>
      </c>
      <c r="I216" s="308">
        <f>IFERROR(__xludf.DUMMYFUNCTION("""COMPUTED_VALUE"""),44837.0)</f>
        <v>44837</v>
      </c>
      <c r="J216" s="311">
        <f>IFERROR(__xludf.DUMMYFUNCTION("""COMPUTED_VALUE"""),0.3840277777777778)</f>
        <v>0.3840277778</v>
      </c>
      <c r="K216" s="54"/>
      <c r="L216" s="7"/>
      <c r="M216" s="312"/>
      <c r="N216" s="172">
        <f>IFERROR(__xludf.DUMMYFUNCTION("""COMPUTED_VALUE"""),1.0)</f>
        <v>1</v>
      </c>
      <c r="O216" s="172" t="str">
        <f t="shared" si="3"/>
        <v/>
      </c>
      <c r="P216" s="313">
        <f>IFERROR(__xludf.DUMMYFUNCTION("""COMPUTED_VALUE"""),0.0)</f>
        <v>0</v>
      </c>
      <c r="Q216" s="76" t="b">
        <f>VLOOKUP($B216,'Run Reconcile'!B$2:O1399,14,FALSE)</f>
        <v>1</v>
      </c>
      <c r="R216" s="314" t="str">
        <f t="array" ref="R216">IF($Q216, INDEX('Run Reconcile'!A$2:A1399,MATCH(B216,'Run Reconcile'!B$2:B1399,0),1),IFERROR(0/0,""))</f>
        <v>RUN-ABRM_2022-10-03_RFR-032</v>
      </c>
      <c r="S216" s="315" t="str">
        <f t="shared" ref="S216:T216" si="436">IF(COUNTIF(W$2:W1399, $A216) &gt; 0,TRUE,IFERROR(0/0,""))</f>
        <v/>
      </c>
      <c r="T216" s="315" t="str">
        <f t="shared" si="436"/>
        <v/>
      </c>
      <c r="U216" s="114" t="str">
        <f t="array" ref="U216">IF(ISBLANK($R216), INDEX('Run Reconcile'!A$2:A1399, MATCH($B216, 'Run Reconcile'!B$2:B1399, 0)+Z216, 1), IFERROR(0/0,""))
</f>
        <v/>
      </c>
      <c r="V216" s="316" t="str">
        <f t="shared" si="5"/>
        <v>RUN-ABRM_2022-10-03_RFR-032</v>
      </c>
      <c r="Y216" s="317" t="str">
        <f t="shared" si="6"/>
        <v/>
      </c>
      <c r="Z216" s="83" t="str">
        <f t="shared" si="7"/>
        <v/>
      </c>
      <c r="AA216" s="83" t="str">
        <f t="shared" si="8"/>
        <v/>
      </c>
      <c r="AB216" s="83" t="str">
        <f t="shared" si="9"/>
        <v/>
      </c>
      <c r="AC216" s="18" t="str">
        <f t="shared" ref="AC216:AD216" si="437">IF(_xlfn.ISFORMULA(S216),IFERROR(0/0,""),TRUE)</f>
        <v/>
      </c>
      <c r="AD216" s="18" t="str">
        <f t="shared" si="437"/>
        <v/>
      </c>
      <c r="AE216" s="43"/>
      <c r="AF216" s="58" t="s">
        <v>49</v>
      </c>
      <c r="AG216" s="55" t="str">
        <f t="shared" si="11"/>
        <v/>
      </c>
    </row>
    <row r="217">
      <c r="A217" s="7" t="str">
        <f>IFERROR(__xludf.DUMMYFUNCTION("""COMPUTED_VALUE"""),"AG274")</f>
        <v>AG274</v>
      </c>
      <c r="B217" s="308">
        <f>IFERROR(__xludf.DUMMYFUNCTION("""COMPUTED_VALUE"""),44837.0)</f>
        <v>44837</v>
      </c>
      <c r="C217" s="309">
        <f>IFERROR(__xludf.DUMMYFUNCTION("""COMPUTED_VALUE"""),0.27305555555555555)</f>
        <v>0.2730555556</v>
      </c>
      <c r="D217" s="7" t="str">
        <f>IFERROR(__xludf.DUMMYFUNCTION("""COMPUTED_VALUE"""),"SpABRM297307")</f>
        <v>SpABRM297307</v>
      </c>
      <c r="E217" s="310"/>
      <c r="F217" s="310"/>
      <c r="G217" s="310" t="str">
        <f>IFERROR(__xludf.DUMMYFUNCTION("""COMPUTED_VALUE"""),"Negative")</f>
        <v>Negative</v>
      </c>
      <c r="H217" s="319" t="str">
        <f>IFERROR(__xludf.DUMMYFUNCTION("""COMPUTED_VALUE"""),"Negative")</f>
        <v>Negative</v>
      </c>
      <c r="I217" s="308">
        <f>IFERROR(__xludf.DUMMYFUNCTION("""COMPUTED_VALUE"""),44837.0)</f>
        <v>44837</v>
      </c>
      <c r="J217" s="311">
        <f>IFERROR(__xludf.DUMMYFUNCTION("""COMPUTED_VALUE"""),0.38403935185185184)</f>
        <v>0.3840393519</v>
      </c>
      <c r="K217" s="54"/>
      <c r="L217" s="7"/>
      <c r="M217" s="312"/>
      <c r="N217" s="172">
        <f>IFERROR(__xludf.DUMMYFUNCTION("""COMPUTED_VALUE"""),3.0)</f>
        <v>3</v>
      </c>
      <c r="O217" s="172" t="str">
        <f t="shared" si="3"/>
        <v/>
      </c>
      <c r="P217" s="313">
        <f>IFERROR(__xludf.DUMMYFUNCTION("""COMPUTED_VALUE"""),0.0)</f>
        <v>0</v>
      </c>
      <c r="Q217" s="76" t="b">
        <f>VLOOKUP($B217,'Run Reconcile'!B$2:O1399,14,FALSE)</f>
        <v>1</v>
      </c>
      <c r="R217" s="314" t="str">
        <f t="array" ref="R217">IF($Q217, INDEX('Run Reconcile'!A$2:A1399,MATCH(B217,'Run Reconcile'!B$2:B1399,0),1),IFERROR(0/0,""))</f>
        <v>RUN-ABRM_2022-10-03_RFR-032</v>
      </c>
      <c r="S217" s="315" t="str">
        <f t="shared" ref="S217:T217" si="438">IF(COUNTIF(W$2:W1399, $A217) &gt; 0,TRUE,IFERROR(0/0,""))</f>
        <v/>
      </c>
      <c r="T217" s="315" t="str">
        <f t="shared" si="438"/>
        <v/>
      </c>
      <c r="U217" s="114" t="str">
        <f t="array" ref="U217">IF(ISBLANK($R217), INDEX('Run Reconcile'!A$2:A1399, MATCH($B217, 'Run Reconcile'!B$2:B1399, 0)+Z217, 1), IFERROR(0/0,""))
</f>
        <v/>
      </c>
      <c r="V217" s="316" t="str">
        <f t="shared" si="5"/>
        <v>RUN-ABRM_2022-10-03_RFR-032</v>
      </c>
      <c r="Y217" s="317" t="str">
        <f t="shared" si="6"/>
        <v/>
      </c>
      <c r="Z217" s="83" t="str">
        <f t="shared" si="7"/>
        <v/>
      </c>
      <c r="AA217" s="83" t="str">
        <f t="shared" si="8"/>
        <v/>
      </c>
      <c r="AB217" s="83" t="str">
        <f t="shared" si="9"/>
        <v/>
      </c>
      <c r="AC217" s="18" t="str">
        <f t="shared" ref="AC217:AD217" si="439">IF(_xlfn.ISFORMULA(S217),IFERROR(0/0,""),TRUE)</f>
        <v/>
      </c>
      <c r="AD217" s="18" t="str">
        <f t="shared" si="439"/>
        <v/>
      </c>
      <c r="AE217" s="43"/>
      <c r="AF217" s="58" t="s">
        <v>49</v>
      </c>
      <c r="AG217" s="55" t="str">
        <f t="shared" si="11"/>
        <v/>
      </c>
    </row>
    <row r="218">
      <c r="A218" s="7" t="str">
        <f>IFERROR(__xludf.DUMMYFUNCTION("""COMPUTED_VALUE"""),"AH9171")</f>
        <v>AH9171</v>
      </c>
      <c r="B218" s="308">
        <f>IFERROR(__xludf.DUMMYFUNCTION("""COMPUTED_VALUE"""),44837.0)</f>
        <v>44837</v>
      </c>
      <c r="C218" s="309">
        <f>IFERROR(__xludf.DUMMYFUNCTION("""COMPUTED_VALUE"""),0.2751851851851852)</f>
        <v>0.2751851852</v>
      </c>
      <c r="D218" s="7" t="str">
        <f>IFERROR(__xludf.DUMMYFUNCTION("""COMPUTED_VALUE"""),"SpABRM128250")</f>
        <v>SpABRM128250</v>
      </c>
      <c r="E218" s="310"/>
      <c r="F218" s="310"/>
      <c r="G218" s="310" t="str">
        <f>IFERROR(__xludf.DUMMYFUNCTION("""COMPUTED_VALUE"""),"Negative")</f>
        <v>Negative</v>
      </c>
      <c r="H218" s="319" t="str">
        <f>IFERROR(__xludf.DUMMYFUNCTION("""COMPUTED_VALUE"""),"Negative")</f>
        <v>Negative</v>
      </c>
      <c r="I218" s="308">
        <f>IFERROR(__xludf.DUMMYFUNCTION("""COMPUTED_VALUE"""),44837.0)</f>
        <v>44837</v>
      </c>
      <c r="J218" s="311">
        <f>IFERROR(__xludf.DUMMYFUNCTION("""COMPUTED_VALUE"""),0.38403935185185184)</f>
        <v>0.3840393519</v>
      </c>
      <c r="K218" s="54"/>
      <c r="L218" s="7"/>
      <c r="M218" s="312"/>
      <c r="N218" s="172">
        <f>IFERROR(__xludf.DUMMYFUNCTION("""COMPUTED_VALUE"""),3.0)</f>
        <v>3</v>
      </c>
      <c r="O218" s="172" t="str">
        <f t="shared" si="3"/>
        <v/>
      </c>
      <c r="P218" s="313">
        <f>IFERROR(__xludf.DUMMYFUNCTION("""COMPUTED_VALUE"""),0.0)</f>
        <v>0</v>
      </c>
      <c r="Q218" s="76" t="b">
        <f>VLOOKUP($B218,'Run Reconcile'!B$2:O1399,14,FALSE)</f>
        <v>1</v>
      </c>
      <c r="R218" s="314" t="str">
        <f t="array" ref="R218">IF($Q218, INDEX('Run Reconcile'!A$2:A1399,MATCH(B218,'Run Reconcile'!B$2:B1399,0),1),IFERROR(0/0,""))</f>
        <v>RUN-ABRM_2022-10-03_RFR-032</v>
      </c>
      <c r="S218" s="315" t="str">
        <f t="shared" ref="S218:T218" si="440">IF(COUNTIF(W$2:W1399, $A218) &gt; 0,TRUE,IFERROR(0/0,""))</f>
        <v/>
      </c>
      <c r="T218" s="315" t="str">
        <f t="shared" si="440"/>
        <v/>
      </c>
      <c r="U218" s="114" t="str">
        <f t="array" ref="U218">IF(ISBLANK($R218), INDEX('Run Reconcile'!A$2:A1399, MATCH($B218, 'Run Reconcile'!B$2:B1399, 0)+Z218, 1), IFERROR(0/0,""))
</f>
        <v/>
      </c>
      <c r="V218" s="316" t="str">
        <f t="shared" si="5"/>
        <v>RUN-ABRM_2022-10-03_RFR-032</v>
      </c>
      <c r="Y218" s="317" t="str">
        <f t="shared" si="6"/>
        <v/>
      </c>
      <c r="Z218" s="83" t="str">
        <f t="shared" si="7"/>
        <v/>
      </c>
      <c r="AA218" s="83" t="str">
        <f t="shared" si="8"/>
        <v/>
      </c>
      <c r="AB218" s="83" t="str">
        <f t="shared" si="9"/>
        <v/>
      </c>
      <c r="AC218" s="18" t="str">
        <f t="shared" ref="AC218:AD218" si="441">IF(_xlfn.ISFORMULA(S218),IFERROR(0/0,""),TRUE)</f>
        <v/>
      </c>
      <c r="AD218" s="18" t="str">
        <f t="shared" si="441"/>
        <v/>
      </c>
      <c r="AE218" s="43"/>
      <c r="AF218" s="58" t="s">
        <v>49</v>
      </c>
      <c r="AG218" s="55" t="str">
        <f t="shared" si="11"/>
        <v/>
      </c>
    </row>
    <row r="219">
      <c r="A219" s="7" t="str">
        <f>IFERROR(__xludf.DUMMYFUNCTION("""COMPUTED_VALUE"""),"AG2236")</f>
        <v>AG2236</v>
      </c>
      <c r="B219" s="308">
        <f>IFERROR(__xludf.DUMMYFUNCTION("""COMPUTED_VALUE"""),44837.0)</f>
        <v>44837</v>
      </c>
      <c r="C219" s="309">
        <f>IFERROR(__xludf.DUMMYFUNCTION("""COMPUTED_VALUE"""),0.2892824074074074)</f>
        <v>0.2892824074</v>
      </c>
      <c r="D219" s="7" t="str">
        <f>IFERROR(__xludf.DUMMYFUNCTION("""COMPUTED_VALUE"""),"SpABRM367540")</f>
        <v>SpABRM367540</v>
      </c>
      <c r="E219" s="310"/>
      <c r="F219" s="310"/>
      <c r="G219" s="310" t="str">
        <f>IFERROR(__xludf.DUMMYFUNCTION("""COMPUTED_VALUE"""),"Negative")</f>
        <v>Negative</v>
      </c>
      <c r="H219" s="319" t="str">
        <f>IFERROR(__xludf.DUMMYFUNCTION("""COMPUTED_VALUE"""),"Negative")</f>
        <v>Negative</v>
      </c>
      <c r="I219" s="308">
        <f>IFERROR(__xludf.DUMMYFUNCTION("""COMPUTED_VALUE"""),44837.0)</f>
        <v>44837</v>
      </c>
      <c r="J219" s="311">
        <f>IFERROR(__xludf.DUMMYFUNCTION("""COMPUTED_VALUE"""),0.38405092592592593)</f>
        <v>0.3840509259</v>
      </c>
      <c r="K219" s="54"/>
      <c r="L219" s="7"/>
      <c r="M219" s="312"/>
      <c r="N219" s="172">
        <f>IFERROR(__xludf.DUMMYFUNCTION("""COMPUTED_VALUE"""),3.0)</f>
        <v>3</v>
      </c>
      <c r="O219" s="172" t="str">
        <f t="shared" si="3"/>
        <v/>
      </c>
      <c r="P219" s="313">
        <f>IFERROR(__xludf.DUMMYFUNCTION("""COMPUTED_VALUE"""),0.0)</f>
        <v>0</v>
      </c>
      <c r="Q219" s="76" t="b">
        <f>VLOOKUP($B219,'Run Reconcile'!B$2:O1399,14,FALSE)</f>
        <v>1</v>
      </c>
      <c r="R219" s="314" t="str">
        <f t="array" ref="R219">IF($Q219, INDEX('Run Reconcile'!A$2:A1399,MATCH(B219,'Run Reconcile'!B$2:B1399,0),1),IFERROR(0/0,""))</f>
        <v>RUN-ABRM_2022-10-03_RFR-032</v>
      </c>
      <c r="S219" s="315" t="str">
        <f t="shared" ref="S219:T219" si="442">IF(COUNTIF(W$2:W1399, $A219) &gt; 0,TRUE,IFERROR(0/0,""))</f>
        <v/>
      </c>
      <c r="T219" s="315" t="str">
        <f t="shared" si="442"/>
        <v/>
      </c>
      <c r="U219" s="114" t="str">
        <f t="array" ref="U219">IF(ISBLANK($R219), INDEX('Run Reconcile'!A$2:A1399, MATCH($B219, 'Run Reconcile'!B$2:B1399, 0)+Z219, 1), IFERROR(0/0,""))
</f>
        <v/>
      </c>
      <c r="V219" s="316" t="str">
        <f t="shared" si="5"/>
        <v>RUN-ABRM_2022-10-03_RFR-032</v>
      </c>
      <c r="Y219" s="317" t="str">
        <f t="shared" si="6"/>
        <v/>
      </c>
      <c r="Z219" s="83" t="str">
        <f t="shared" si="7"/>
        <v/>
      </c>
      <c r="AA219" s="83" t="str">
        <f t="shared" si="8"/>
        <v/>
      </c>
      <c r="AB219" s="83" t="str">
        <f t="shared" si="9"/>
        <v/>
      </c>
      <c r="AC219" s="18" t="str">
        <f t="shared" ref="AC219:AD219" si="443">IF(_xlfn.ISFORMULA(S219),IFERROR(0/0,""),TRUE)</f>
        <v/>
      </c>
      <c r="AD219" s="18" t="str">
        <f t="shared" si="443"/>
        <v/>
      </c>
      <c r="AE219" s="43"/>
      <c r="AF219" s="58" t="s">
        <v>49</v>
      </c>
      <c r="AG219" s="55" t="str">
        <f t="shared" si="11"/>
        <v/>
      </c>
    </row>
    <row r="220">
      <c r="A220" s="7" t="str">
        <f>IFERROR(__xludf.DUMMYFUNCTION("""COMPUTED_VALUE"""),"AG1450")</f>
        <v>AG1450</v>
      </c>
      <c r="B220" s="308">
        <f>IFERROR(__xludf.DUMMYFUNCTION("""COMPUTED_VALUE"""),44837.0)</f>
        <v>44837</v>
      </c>
      <c r="C220" s="309">
        <f>IFERROR(__xludf.DUMMYFUNCTION("""COMPUTED_VALUE"""),0.3071527777777778)</f>
        <v>0.3071527778</v>
      </c>
      <c r="D220" s="7" t="str">
        <f>IFERROR(__xludf.DUMMYFUNCTION("""COMPUTED_VALUE"""),"SpABRM814022")</f>
        <v>SpABRM814022</v>
      </c>
      <c r="E220" s="310"/>
      <c r="F220" s="310"/>
      <c r="G220" s="310" t="str">
        <f>IFERROR(__xludf.DUMMYFUNCTION("""COMPUTED_VALUE"""),"Negative")</f>
        <v>Negative</v>
      </c>
      <c r="H220" s="319" t="str">
        <f>IFERROR(__xludf.DUMMYFUNCTION("""COMPUTED_VALUE"""),"Negative")</f>
        <v>Negative</v>
      </c>
      <c r="I220" s="308">
        <f>IFERROR(__xludf.DUMMYFUNCTION("""COMPUTED_VALUE"""),44837.0)</f>
        <v>44837</v>
      </c>
      <c r="J220" s="311">
        <f>IFERROR(__xludf.DUMMYFUNCTION("""COMPUTED_VALUE"""),0.3840625)</f>
        <v>0.3840625</v>
      </c>
      <c r="K220" s="54"/>
      <c r="L220" s="7"/>
      <c r="M220" s="312"/>
      <c r="N220" s="172">
        <f>IFERROR(__xludf.DUMMYFUNCTION("""COMPUTED_VALUE"""),1.0)</f>
        <v>1</v>
      </c>
      <c r="O220" s="172" t="str">
        <f t="shared" si="3"/>
        <v/>
      </c>
      <c r="P220" s="313">
        <f>IFERROR(__xludf.DUMMYFUNCTION("""COMPUTED_VALUE"""),0.0)</f>
        <v>0</v>
      </c>
      <c r="Q220" s="76" t="b">
        <f>VLOOKUP($B220,'Run Reconcile'!B$2:O1399,14,FALSE)</f>
        <v>1</v>
      </c>
      <c r="R220" s="314" t="str">
        <f t="array" ref="R220">IF($Q220, INDEX('Run Reconcile'!A$2:A1399,MATCH(B220,'Run Reconcile'!B$2:B1399,0),1),IFERROR(0/0,""))</f>
        <v>RUN-ABRM_2022-10-03_RFR-032</v>
      </c>
      <c r="S220" s="315" t="str">
        <f t="shared" ref="S220:T220" si="444">IF(COUNTIF(W$2:W1399, $A220) &gt; 0,TRUE,IFERROR(0/0,""))</f>
        <v/>
      </c>
      <c r="T220" s="315" t="str">
        <f t="shared" si="444"/>
        <v/>
      </c>
      <c r="U220" s="114" t="str">
        <f t="array" ref="U220">IF(ISBLANK($R220), INDEX('Run Reconcile'!A$2:A1399, MATCH($B220, 'Run Reconcile'!B$2:B1399, 0)+Z220, 1), IFERROR(0/0,""))
</f>
        <v/>
      </c>
      <c r="V220" s="316" t="str">
        <f t="shared" si="5"/>
        <v>RUN-ABRM_2022-10-03_RFR-032</v>
      </c>
      <c r="Y220" s="317" t="str">
        <f t="shared" si="6"/>
        <v/>
      </c>
      <c r="Z220" s="83" t="str">
        <f t="shared" si="7"/>
        <v/>
      </c>
      <c r="AA220" s="83" t="str">
        <f t="shared" si="8"/>
        <v/>
      </c>
      <c r="AB220" s="83" t="str">
        <f t="shared" si="9"/>
        <v/>
      </c>
      <c r="AC220" s="18" t="str">
        <f t="shared" ref="AC220:AD220" si="445">IF(_xlfn.ISFORMULA(S220),IFERROR(0/0,""),TRUE)</f>
        <v/>
      </c>
      <c r="AD220" s="18" t="str">
        <f t="shared" si="445"/>
        <v/>
      </c>
      <c r="AE220" s="43"/>
      <c r="AF220" s="58" t="s">
        <v>49</v>
      </c>
      <c r="AG220" s="55" t="str">
        <f t="shared" si="11"/>
        <v/>
      </c>
    </row>
    <row r="221">
      <c r="A221" s="7" t="str">
        <f>IFERROR(__xludf.DUMMYFUNCTION("""COMPUTED_VALUE"""),"AH8716")</f>
        <v>AH8716</v>
      </c>
      <c r="B221" s="308">
        <f>IFERROR(__xludf.DUMMYFUNCTION("""COMPUTED_VALUE"""),44837.0)</f>
        <v>44837</v>
      </c>
      <c r="C221" s="309">
        <f>IFERROR(__xludf.DUMMYFUNCTION("""COMPUTED_VALUE"""),0.31019675925925927)</f>
        <v>0.3101967593</v>
      </c>
      <c r="D221" s="7" t="str">
        <f>IFERROR(__xludf.DUMMYFUNCTION("""COMPUTED_VALUE"""),"SpABRM756011")</f>
        <v>SpABRM756011</v>
      </c>
      <c r="E221" s="310"/>
      <c r="F221" s="310"/>
      <c r="G221" s="310" t="str">
        <f>IFERROR(__xludf.DUMMYFUNCTION("""COMPUTED_VALUE"""),"Negative")</f>
        <v>Negative</v>
      </c>
      <c r="H221" s="319" t="str">
        <f>IFERROR(__xludf.DUMMYFUNCTION("""COMPUTED_VALUE"""),"Negative")</f>
        <v>Negative</v>
      </c>
      <c r="I221" s="308">
        <f>IFERROR(__xludf.DUMMYFUNCTION("""COMPUTED_VALUE"""),44837.0)</f>
        <v>44837</v>
      </c>
      <c r="J221" s="311">
        <f>IFERROR(__xludf.DUMMYFUNCTION("""COMPUTED_VALUE"""),0.3840625)</f>
        <v>0.3840625</v>
      </c>
      <c r="K221" s="54"/>
      <c r="L221" s="7"/>
      <c r="M221" s="312"/>
      <c r="N221" s="172">
        <f>IFERROR(__xludf.DUMMYFUNCTION("""COMPUTED_VALUE"""),3.0)</f>
        <v>3</v>
      </c>
      <c r="O221" s="172" t="str">
        <f t="shared" si="3"/>
        <v/>
      </c>
      <c r="P221" s="313">
        <f>IFERROR(__xludf.DUMMYFUNCTION("""COMPUTED_VALUE"""),0.0)</f>
        <v>0</v>
      </c>
      <c r="Q221" s="76" t="b">
        <f>VLOOKUP($B221,'Run Reconcile'!B$2:O1399,14,FALSE)</f>
        <v>1</v>
      </c>
      <c r="R221" s="314" t="str">
        <f t="array" ref="R221">IF($Q221, INDEX('Run Reconcile'!A$2:A1399,MATCH(B221,'Run Reconcile'!B$2:B1399,0),1),IFERROR(0/0,""))</f>
        <v>RUN-ABRM_2022-10-03_RFR-032</v>
      </c>
      <c r="S221" s="315" t="str">
        <f t="shared" ref="S221:T221" si="446">IF(COUNTIF(W$2:W1399, $A221) &gt; 0,TRUE,IFERROR(0/0,""))</f>
        <v/>
      </c>
      <c r="T221" s="315" t="str">
        <f t="shared" si="446"/>
        <v/>
      </c>
      <c r="U221" s="114" t="str">
        <f t="array" ref="U221">IF(ISBLANK($R221), INDEX('Run Reconcile'!A$2:A1399, MATCH($B221, 'Run Reconcile'!B$2:B1399, 0)+Z221, 1), IFERROR(0/0,""))
</f>
        <v/>
      </c>
      <c r="V221" s="316" t="str">
        <f t="shared" si="5"/>
        <v>RUN-ABRM_2022-10-03_RFR-032</v>
      </c>
      <c r="Y221" s="317" t="str">
        <f t="shared" si="6"/>
        <v/>
      </c>
      <c r="Z221" s="83" t="str">
        <f t="shared" si="7"/>
        <v/>
      </c>
      <c r="AA221" s="83" t="str">
        <f t="shared" si="8"/>
        <v/>
      </c>
      <c r="AB221" s="83" t="str">
        <f t="shared" si="9"/>
        <v/>
      </c>
      <c r="AC221" s="18" t="str">
        <f t="shared" ref="AC221:AD221" si="447">IF(_xlfn.ISFORMULA(S221),IFERROR(0/0,""),TRUE)</f>
        <v/>
      </c>
      <c r="AD221" s="18" t="str">
        <f t="shared" si="447"/>
        <v/>
      </c>
      <c r="AE221" s="43"/>
      <c r="AF221" s="58" t="s">
        <v>49</v>
      </c>
      <c r="AG221" s="55" t="str">
        <f t="shared" si="11"/>
        <v/>
      </c>
    </row>
    <row r="222">
      <c r="A222" s="7" t="str">
        <f>IFERROR(__xludf.DUMMYFUNCTION("""COMPUTED_VALUE"""),"AG137")</f>
        <v>AG137</v>
      </c>
      <c r="B222" s="308">
        <f>IFERROR(__xludf.DUMMYFUNCTION("""COMPUTED_VALUE"""),44837.0)</f>
        <v>44837</v>
      </c>
      <c r="C222" s="309">
        <f>IFERROR(__xludf.DUMMYFUNCTION("""COMPUTED_VALUE"""),0.3302662037037037)</f>
        <v>0.3302662037</v>
      </c>
      <c r="D222" s="7" t="str">
        <f>IFERROR(__xludf.DUMMYFUNCTION("""COMPUTED_VALUE"""),"SpABRM610758")</f>
        <v>SpABRM610758</v>
      </c>
      <c r="E222" s="310"/>
      <c r="F222" s="310"/>
      <c r="G222" s="310" t="str">
        <f>IFERROR(__xludf.DUMMYFUNCTION("""COMPUTED_VALUE"""),"Negative")</f>
        <v>Negative</v>
      </c>
      <c r="H222" s="319" t="str">
        <f>IFERROR(__xludf.DUMMYFUNCTION("""COMPUTED_VALUE"""),"Negative")</f>
        <v>Negative</v>
      </c>
      <c r="I222" s="308">
        <f>IFERROR(__xludf.DUMMYFUNCTION("""COMPUTED_VALUE"""),44837.0)</f>
        <v>44837</v>
      </c>
      <c r="J222" s="311">
        <f>IFERROR(__xludf.DUMMYFUNCTION("""COMPUTED_VALUE"""),0.38407407407407407)</f>
        <v>0.3840740741</v>
      </c>
      <c r="K222" s="54"/>
      <c r="L222" s="7"/>
      <c r="M222" s="312"/>
      <c r="N222" s="172">
        <f>IFERROR(__xludf.DUMMYFUNCTION("""COMPUTED_VALUE"""),3.0)</f>
        <v>3</v>
      </c>
      <c r="O222" s="172" t="str">
        <f t="shared" si="3"/>
        <v/>
      </c>
      <c r="P222" s="313">
        <f>IFERROR(__xludf.DUMMYFUNCTION("""COMPUTED_VALUE"""),0.0)</f>
        <v>0</v>
      </c>
      <c r="Q222" s="76" t="b">
        <f>VLOOKUP($B222,'Run Reconcile'!B$2:O1399,14,FALSE)</f>
        <v>1</v>
      </c>
      <c r="R222" s="314" t="str">
        <f t="array" ref="R222">IF($Q222, INDEX('Run Reconcile'!A$2:A1399,MATCH(B222,'Run Reconcile'!B$2:B1399,0),1),IFERROR(0/0,""))</f>
        <v>RUN-ABRM_2022-10-03_RFR-032</v>
      </c>
      <c r="S222" s="315" t="str">
        <f t="shared" ref="S222:T222" si="448">IF(COUNTIF(W$2:W1399, $A222) &gt; 0,TRUE,IFERROR(0/0,""))</f>
        <v/>
      </c>
      <c r="T222" s="315" t="str">
        <f t="shared" si="448"/>
        <v/>
      </c>
      <c r="U222" s="114" t="str">
        <f t="array" ref="U222">IF(ISBLANK($R222), INDEX('Run Reconcile'!A$2:A1399, MATCH($B222, 'Run Reconcile'!B$2:B1399, 0)+Z222, 1), IFERROR(0/0,""))
</f>
        <v/>
      </c>
      <c r="V222" s="316" t="str">
        <f t="shared" si="5"/>
        <v>RUN-ABRM_2022-10-03_RFR-032</v>
      </c>
      <c r="Y222" s="317" t="str">
        <f t="shared" si="6"/>
        <v/>
      </c>
      <c r="Z222" s="83" t="str">
        <f t="shared" si="7"/>
        <v/>
      </c>
      <c r="AA222" s="83" t="str">
        <f t="shared" si="8"/>
        <v/>
      </c>
      <c r="AB222" s="83" t="str">
        <f t="shared" si="9"/>
        <v/>
      </c>
      <c r="AC222" s="18" t="str">
        <f t="shared" ref="AC222:AD222" si="449">IF(_xlfn.ISFORMULA(S222),IFERROR(0/0,""),TRUE)</f>
        <v/>
      </c>
      <c r="AD222" s="18" t="str">
        <f t="shared" si="449"/>
        <v/>
      </c>
      <c r="AE222" s="43"/>
      <c r="AF222" s="58" t="s">
        <v>49</v>
      </c>
      <c r="AG222" s="55" t="str">
        <f t="shared" si="11"/>
        <v/>
      </c>
    </row>
    <row r="223">
      <c r="A223" s="7" t="str">
        <f>IFERROR(__xludf.DUMMYFUNCTION("""COMPUTED_VALUE"""),"AG1702")</f>
        <v>AG1702</v>
      </c>
      <c r="B223" s="308">
        <f>IFERROR(__xludf.DUMMYFUNCTION("""COMPUTED_VALUE"""),44837.0)</f>
        <v>44837</v>
      </c>
      <c r="C223" s="309">
        <f>IFERROR(__xludf.DUMMYFUNCTION("""COMPUTED_VALUE"""),0.33089120370370373)</f>
        <v>0.3308912037</v>
      </c>
      <c r="D223" s="7" t="str">
        <f>IFERROR(__xludf.DUMMYFUNCTION("""COMPUTED_VALUE"""),"SpABRM655136")</f>
        <v>SpABRM655136</v>
      </c>
      <c r="E223" s="310"/>
      <c r="F223" s="310"/>
      <c r="G223" s="310" t="str">
        <f>IFERROR(__xludf.DUMMYFUNCTION("""COMPUTED_VALUE"""),"Negative")</f>
        <v>Negative</v>
      </c>
      <c r="H223" s="319" t="str">
        <f>IFERROR(__xludf.DUMMYFUNCTION("""COMPUTED_VALUE"""),"Negative")</f>
        <v>Negative</v>
      </c>
      <c r="I223" s="308">
        <f>IFERROR(__xludf.DUMMYFUNCTION("""COMPUTED_VALUE"""),44837.0)</f>
        <v>44837</v>
      </c>
      <c r="J223" s="311">
        <f>IFERROR(__xludf.DUMMYFUNCTION("""COMPUTED_VALUE"""),0.38407407407407407)</f>
        <v>0.3840740741</v>
      </c>
      <c r="K223" s="54"/>
      <c r="L223" s="7"/>
      <c r="M223" s="312"/>
      <c r="N223" s="172">
        <f>IFERROR(__xludf.DUMMYFUNCTION("""COMPUTED_VALUE"""),4.0)</f>
        <v>4</v>
      </c>
      <c r="O223" s="172" t="str">
        <f t="shared" si="3"/>
        <v/>
      </c>
      <c r="P223" s="313">
        <f>IFERROR(__xludf.DUMMYFUNCTION("""COMPUTED_VALUE"""),0.0)</f>
        <v>0</v>
      </c>
      <c r="Q223" s="76" t="b">
        <f>VLOOKUP($B223,'Run Reconcile'!B$2:O1399,14,FALSE)</f>
        <v>1</v>
      </c>
      <c r="R223" s="314" t="str">
        <f t="array" ref="R223">IF($Q223, INDEX('Run Reconcile'!A$2:A1399,MATCH(B223,'Run Reconcile'!B$2:B1399,0),1),IFERROR(0/0,""))</f>
        <v>RUN-ABRM_2022-10-03_RFR-032</v>
      </c>
      <c r="S223" s="315" t="str">
        <f t="shared" ref="S223:T223" si="450">IF(COUNTIF(W$2:W1399, $A223) &gt; 0,TRUE,IFERROR(0/0,""))</f>
        <v/>
      </c>
      <c r="T223" s="315" t="str">
        <f t="shared" si="450"/>
        <v/>
      </c>
      <c r="U223" s="114" t="str">
        <f t="array" ref="U223">IF(ISBLANK($R223), INDEX('Run Reconcile'!A$2:A1399, MATCH($B223, 'Run Reconcile'!B$2:B1399, 0)+Z223, 1), IFERROR(0/0,""))
</f>
        <v/>
      </c>
      <c r="V223" s="316" t="str">
        <f t="shared" si="5"/>
        <v>RUN-ABRM_2022-10-03_RFR-032</v>
      </c>
      <c r="Y223" s="317" t="str">
        <f t="shared" si="6"/>
        <v/>
      </c>
      <c r="Z223" s="83" t="str">
        <f t="shared" si="7"/>
        <v/>
      </c>
      <c r="AA223" s="83" t="str">
        <f t="shared" si="8"/>
        <v/>
      </c>
      <c r="AB223" s="83" t="str">
        <f t="shared" si="9"/>
        <v/>
      </c>
      <c r="AC223" s="18" t="str">
        <f t="shared" ref="AC223:AD223" si="451">IF(_xlfn.ISFORMULA(S223),IFERROR(0/0,""),TRUE)</f>
        <v/>
      </c>
      <c r="AD223" s="18" t="str">
        <f t="shared" si="451"/>
        <v/>
      </c>
      <c r="AE223" s="43"/>
      <c r="AF223" s="58" t="s">
        <v>49</v>
      </c>
      <c r="AG223" s="55" t="str">
        <f t="shared" si="11"/>
        <v/>
      </c>
    </row>
    <row r="224">
      <c r="A224" s="7" t="str">
        <f>IFERROR(__xludf.DUMMYFUNCTION("""COMPUTED_VALUE"""),"AH9110")</f>
        <v>AH9110</v>
      </c>
      <c r="B224" s="308">
        <f>IFERROR(__xludf.DUMMYFUNCTION("""COMPUTED_VALUE"""),44837.0)</f>
        <v>44837</v>
      </c>
      <c r="C224" s="309">
        <f>IFERROR(__xludf.DUMMYFUNCTION("""COMPUTED_VALUE"""),0.33119212962962963)</f>
        <v>0.3311921296</v>
      </c>
      <c r="D224" s="7" t="str">
        <f>IFERROR(__xludf.DUMMYFUNCTION("""COMPUTED_VALUE"""),"SpABRM655136")</f>
        <v>SpABRM655136</v>
      </c>
      <c r="E224" s="310"/>
      <c r="F224" s="310"/>
      <c r="G224" s="310" t="str">
        <f>IFERROR(__xludf.DUMMYFUNCTION("""COMPUTED_VALUE"""),"Negative")</f>
        <v>Negative</v>
      </c>
      <c r="H224" s="319" t="str">
        <f>IFERROR(__xludf.DUMMYFUNCTION("""COMPUTED_VALUE"""),"Negative")</f>
        <v>Negative</v>
      </c>
      <c r="I224" s="308">
        <f>IFERROR(__xludf.DUMMYFUNCTION("""COMPUTED_VALUE"""),44837.0)</f>
        <v>44837</v>
      </c>
      <c r="J224" s="311">
        <f>IFERROR(__xludf.DUMMYFUNCTION("""COMPUTED_VALUE"""),0.38408564814814816)</f>
        <v>0.3840856481</v>
      </c>
      <c r="K224" s="54"/>
      <c r="L224" s="7"/>
      <c r="M224" s="312"/>
      <c r="N224" s="172">
        <f>IFERROR(__xludf.DUMMYFUNCTION("""COMPUTED_VALUE"""),2.0)</f>
        <v>2</v>
      </c>
      <c r="O224" s="172" t="str">
        <f t="shared" si="3"/>
        <v/>
      </c>
      <c r="P224" s="313">
        <f>IFERROR(__xludf.DUMMYFUNCTION("""COMPUTED_VALUE"""),0.0)</f>
        <v>0</v>
      </c>
      <c r="Q224" s="76" t="b">
        <f>VLOOKUP($B224,'Run Reconcile'!B$2:O1399,14,FALSE)</f>
        <v>1</v>
      </c>
      <c r="R224" s="314" t="str">
        <f t="array" ref="R224">IF($Q224, INDEX('Run Reconcile'!A$2:A1399,MATCH(B224,'Run Reconcile'!B$2:B1399,0),1),IFERROR(0/0,""))</f>
        <v>RUN-ABRM_2022-10-03_RFR-032</v>
      </c>
      <c r="S224" s="315" t="str">
        <f t="shared" ref="S224:T224" si="452">IF(COUNTIF(W$2:W1399, $A224) &gt; 0,TRUE,IFERROR(0/0,""))</f>
        <v/>
      </c>
      <c r="T224" s="315" t="str">
        <f t="shared" si="452"/>
        <v/>
      </c>
      <c r="U224" s="114" t="str">
        <f t="array" ref="U224">IF(ISBLANK($R224), INDEX('Run Reconcile'!A$2:A1399, MATCH($B224, 'Run Reconcile'!B$2:B1399, 0)+Z224, 1), IFERROR(0/0,""))
</f>
        <v/>
      </c>
      <c r="V224" s="316" t="str">
        <f t="shared" si="5"/>
        <v>RUN-ABRM_2022-10-03_RFR-032</v>
      </c>
      <c r="Y224" s="317" t="str">
        <f t="shared" si="6"/>
        <v/>
      </c>
      <c r="Z224" s="83" t="str">
        <f t="shared" si="7"/>
        <v/>
      </c>
      <c r="AA224" s="83" t="str">
        <f t="shared" si="8"/>
        <v/>
      </c>
      <c r="AB224" s="83" t="str">
        <f t="shared" si="9"/>
        <v/>
      </c>
      <c r="AC224" s="18" t="str">
        <f t="shared" ref="AC224:AD224" si="453">IF(_xlfn.ISFORMULA(S224),IFERROR(0/0,""),TRUE)</f>
        <v/>
      </c>
      <c r="AD224" s="18" t="str">
        <f t="shared" si="453"/>
        <v/>
      </c>
      <c r="AE224" s="43"/>
      <c r="AF224" s="58" t="s">
        <v>49</v>
      </c>
      <c r="AG224" s="55" t="str">
        <f t="shared" si="11"/>
        <v/>
      </c>
    </row>
    <row r="225">
      <c r="A225" s="7" t="str">
        <f>IFERROR(__xludf.DUMMYFUNCTION("""COMPUTED_VALUE"""),"AH7793")</f>
        <v>AH7793</v>
      </c>
      <c r="B225" s="308">
        <f>IFERROR(__xludf.DUMMYFUNCTION("""COMPUTED_VALUE"""),44837.0)</f>
        <v>44837</v>
      </c>
      <c r="C225" s="309">
        <f>IFERROR(__xludf.DUMMYFUNCTION("""COMPUTED_VALUE"""),0.3314236111111111)</f>
        <v>0.3314236111</v>
      </c>
      <c r="D225" s="7" t="str">
        <f>IFERROR(__xludf.DUMMYFUNCTION("""COMPUTED_VALUE"""),"SpABRM655136")</f>
        <v>SpABRM655136</v>
      </c>
      <c r="E225" s="310"/>
      <c r="F225" s="310"/>
      <c r="G225" s="310" t="str">
        <f>IFERROR(__xludf.DUMMYFUNCTION("""COMPUTED_VALUE"""),"Negative")</f>
        <v>Negative</v>
      </c>
      <c r="H225" s="319" t="str">
        <f>IFERROR(__xludf.DUMMYFUNCTION("""COMPUTED_VALUE"""),"Negative")</f>
        <v>Negative</v>
      </c>
      <c r="I225" s="308">
        <f>IFERROR(__xludf.DUMMYFUNCTION("""COMPUTED_VALUE"""),44837.0)</f>
        <v>44837</v>
      </c>
      <c r="J225" s="311">
        <f>IFERROR(__xludf.DUMMYFUNCTION("""COMPUTED_VALUE"""),0.3840972222222222)</f>
        <v>0.3840972222</v>
      </c>
      <c r="K225" s="54"/>
      <c r="L225" s="7"/>
      <c r="M225" s="312"/>
      <c r="N225" s="172">
        <f>IFERROR(__xludf.DUMMYFUNCTION("""COMPUTED_VALUE"""),2.0)</f>
        <v>2</v>
      </c>
      <c r="O225" s="172" t="str">
        <f t="shared" si="3"/>
        <v/>
      </c>
      <c r="P225" s="313">
        <f>IFERROR(__xludf.DUMMYFUNCTION("""COMPUTED_VALUE"""),0.0)</f>
        <v>0</v>
      </c>
      <c r="Q225" s="76" t="b">
        <f>VLOOKUP($B225,'Run Reconcile'!B$2:O1399,14,FALSE)</f>
        <v>1</v>
      </c>
      <c r="R225" s="314" t="str">
        <f t="array" ref="R225">IF($Q225, INDEX('Run Reconcile'!A$2:A1399,MATCH(B225,'Run Reconcile'!B$2:B1399,0),1),IFERROR(0/0,""))</f>
        <v>RUN-ABRM_2022-10-03_RFR-032</v>
      </c>
      <c r="S225" s="315" t="str">
        <f t="shared" ref="S225:T225" si="454">IF(COUNTIF(W$2:W1399, $A225) &gt; 0,TRUE,IFERROR(0/0,""))</f>
        <v/>
      </c>
      <c r="T225" s="315" t="str">
        <f t="shared" si="454"/>
        <v/>
      </c>
      <c r="U225" s="114" t="str">
        <f t="array" ref="U225">IF(ISBLANK($R225), INDEX('Run Reconcile'!A$2:A1399, MATCH($B225, 'Run Reconcile'!B$2:B1399, 0)+Z225, 1), IFERROR(0/0,""))
</f>
        <v/>
      </c>
      <c r="V225" s="316" t="str">
        <f t="shared" si="5"/>
        <v>RUN-ABRM_2022-10-03_RFR-032</v>
      </c>
      <c r="Y225" s="317" t="str">
        <f t="shared" si="6"/>
        <v/>
      </c>
      <c r="Z225" s="83" t="str">
        <f t="shared" si="7"/>
        <v/>
      </c>
      <c r="AA225" s="83" t="str">
        <f t="shared" si="8"/>
        <v/>
      </c>
      <c r="AB225" s="83" t="str">
        <f t="shared" si="9"/>
        <v/>
      </c>
      <c r="AC225" s="18" t="str">
        <f t="shared" ref="AC225:AD225" si="455">IF(_xlfn.ISFORMULA(S225),IFERROR(0/0,""),TRUE)</f>
        <v/>
      </c>
      <c r="AD225" s="18" t="str">
        <f t="shared" si="455"/>
        <v/>
      </c>
      <c r="AE225" s="43"/>
      <c r="AF225" s="58" t="s">
        <v>49</v>
      </c>
      <c r="AG225" s="55" t="str">
        <f t="shared" si="11"/>
        <v/>
      </c>
    </row>
    <row r="226">
      <c r="A226" s="7" t="str">
        <f>IFERROR(__xludf.DUMMYFUNCTION("""COMPUTED_VALUE"""),"AH7341")</f>
        <v>AH7341</v>
      </c>
      <c r="B226" s="308">
        <f>IFERROR(__xludf.DUMMYFUNCTION("""COMPUTED_VALUE"""),44838.0)</f>
        <v>44838</v>
      </c>
      <c r="C226" s="309">
        <f>IFERROR(__xludf.DUMMYFUNCTION("""COMPUTED_VALUE"""),0.26332175925925927)</f>
        <v>0.2633217593</v>
      </c>
      <c r="D226" s="7" t="str">
        <f>IFERROR(__xludf.DUMMYFUNCTION("""COMPUTED_VALUE"""),"SpABRM516158")</f>
        <v>SpABRM516158</v>
      </c>
      <c r="E226" s="310"/>
      <c r="F226" s="310"/>
      <c r="G226" s="310" t="str">
        <f>IFERROR(__xludf.DUMMYFUNCTION("""COMPUTED_VALUE"""),"Negative")</f>
        <v>Negative</v>
      </c>
      <c r="H226" s="319" t="str">
        <f>IFERROR(__xludf.DUMMYFUNCTION("""COMPUTED_VALUE"""),"Negative")</f>
        <v>Negative</v>
      </c>
      <c r="I226" s="308">
        <f>IFERROR(__xludf.DUMMYFUNCTION("""COMPUTED_VALUE"""),44838.0)</f>
        <v>44838</v>
      </c>
      <c r="J226" s="311">
        <f>IFERROR(__xludf.DUMMYFUNCTION("""COMPUTED_VALUE"""),0.39152777777777775)</f>
        <v>0.3915277778</v>
      </c>
      <c r="K226" s="54"/>
      <c r="L226" s="7"/>
      <c r="M226" s="312"/>
      <c r="N226" s="172">
        <f>IFERROR(__xludf.DUMMYFUNCTION("""COMPUTED_VALUE"""),1.0)</f>
        <v>1</v>
      </c>
      <c r="O226" s="172" t="b">
        <f t="shared" si="3"/>
        <v>1</v>
      </c>
      <c r="P226" s="313">
        <f>IFERROR(__xludf.DUMMYFUNCTION("""COMPUTED_VALUE"""),0.0)</f>
        <v>0</v>
      </c>
      <c r="Q226" s="76" t="b">
        <f>VLOOKUP($B226,'Run Reconcile'!B$2:O1399,14,FALSE)</f>
        <v>1</v>
      </c>
      <c r="R226" s="314" t="str">
        <f t="array" ref="R226">IF($Q226, INDEX('Run Reconcile'!A$2:A1399,MATCH(B226,'Run Reconcile'!B$2:B1399,0),1),IFERROR(0/0,""))</f>
        <v>RUN-ABRM_2022-10-04_RFR-033</v>
      </c>
      <c r="S226" s="315" t="str">
        <f t="shared" ref="S226:T226" si="456">IF(COUNTIF(W$2:W1399, $A226) &gt; 0,TRUE,IFERROR(0/0,""))</f>
        <v/>
      </c>
      <c r="T226" s="315" t="str">
        <f t="shared" si="456"/>
        <v/>
      </c>
      <c r="U226" s="114" t="str">
        <f t="array" ref="U226">IF(ISBLANK($R226), INDEX('Run Reconcile'!A$2:A1399, MATCH($B226, 'Run Reconcile'!B$2:B1399, 0)+Z226, 1), IFERROR(0/0,""))
</f>
        <v/>
      </c>
      <c r="V226" s="316" t="str">
        <f t="shared" si="5"/>
        <v>RUN-ABRM_2022-10-04_RFR-033</v>
      </c>
      <c r="Y226" s="317" t="str">
        <f t="shared" si="6"/>
        <v/>
      </c>
      <c r="Z226" s="83" t="str">
        <f t="shared" si="7"/>
        <v/>
      </c>
      <c r="AA226" s="83" t="str">
        <f t="shared" si="8"/>
        <v/>
      </c>
      <c r="AB226" s="83" t="str">
        <f t="shared" si="9"/>
        <v/>
      </c>
      <c r="AC226" s="18" t="str">
        <f t="shared" ref="AC226:AD226" si="457">IF(_xlfn.ISFORMULA(S226),IFERROR(0/0,""),TRUE)</f>
        <v/>
      </c>
      <c r="AD226" s="18" t="str">
        <f t="shared" si="457"/>
        <v/>
      </c>
      <c r="AE226" s="43"/>
      <c r="AF226" s="58" t="s">
        <v>50</v>
      </c>
      <c r="AG226" s="55" t="str">
        <f t="shared" si="11"/>
        <v/>
      </c>
    </row>
    <row r="227">
      <c r="A227" s="7" t="str">
        <f>IFERROR(__xludf.DUMMYFUNCTION("""COMPUTED_VALUE"""),"AJ9321")</f>
        <v>AJ9321</v>
      </c>
      <c r="B227" s="308">
        <f>IFERROR(__xludf.DUMMYFUNCTION("""COMPUTED_VALUE"""),44838.0)</f>
        <v>44838</v>
      </c>
      <c r="C227" s="309">
        <f>IFERROR(__xludf.DUMMYFUNCTION("""COMPUTED_VALUE"""),0.2764351851851852)</f>
        <v>0.2764351852</v>
      </c>
      <c r="D227" s="7" t="str">
        <f>IFERROR(__xludf.DUMMYFUNCTION("""COMPUTED_VALUE"""),"SpABRM128250")</f>
        <v>SpABRM128250</v>
      </c>
      <c r="E227" s="310"/>
      <c r="F227" s="310"/>
      <c r="G227" s="310" t="str">
        <f>IFERROR(__xludf.DUMMYFUNCTION("""COMPUTED_VALUE"""),"Negative")</f>
        <v>Negative</v>
      </c>
      <c r="H227" s="319" t="str">
        <f>IFERROR(__xludf.DUMMYFUNCTION("""COMPUTED_VALUE"""),"Negative")</f>
        <v>Negative</v>
      </c>
      <c r="I227" s="308">
        <f>IFERROR(__xludf.DUMMYFUNCTION("""COMPUTED_VALUE"""),44838.0)</f>
        <v>44838</v>
      </c>
      <c r="J227" s="311">
        <f>IFERROR(__xludf.DUMMYFUNCTION("""COMPUTED_VALUE"""),0.39152777777777775)</f>
        <v>0.3915277778</v>
      </c>
      <c r="K227" s="54"/>
      <c r="L227" s="7"/>
      <c r="M227" s="312"/>
      <c r="N227" s="172">
        <f>IFERROR(__xludf.DUMMYFUNCTION("""COMPUTED_VALUE"""),3.0)</f>
        <v>3</v>
      </c>
      <c r="O227" s="172" t="str">
        <f t="shared" si="3"/>
        <v/>
      </c>
      <c r="P227" s="313">
        <f>IFERROR(__xludf.DUMMYFUNCTION("""COMPUTED_VALUE"""),0.0)</f>
        <v>0</v>
      </c>
      <c r="Q227" s="76" t="b">
        <f>VLOOKUP($B227,'Run Reconcile'!B$2:O1399,14,FALSE)</f>
        <v>1</v>
      </c>
      <c r="R227" s="314" t="str">
        <f t="array" ref="R227">IF($Q227, INDEX('Run Reconcile'!A$2:A1399,MATCH(B227,'Run Reconcile'!B$2:B1399,0),1),IFERROR(0/0,""))</f>
        <v>RUN-ABRM_2022-10-04_RFR-033</v>
      </c>
      <c r="S227" s="315" t="str">
        <f t="shared" ref="S227:T227" si="458">IF(COUNTIF(W$2:W1399, $A227) &gt; 0,TRUE,IFERROR(0/0,""))</f>
        <v/>
      </c>
      <c r="T227" s="315" t="str">
        <f t="shared" si="458"/>
        <v/>
      </c>
      <c r="U227" s="114" t="str">
        <f t="array" ref="U227">IF(ISBLANK($R227), INDEX('Run Reconcile'!A$2:A1399, MATCH($B227, 'Run Reconcile'!B$2:B1399, 0)+Z227, 1), IFERROR(0/0,""))
</f>
        <v/>
      </c>
      <c r="V227" s="316" t="str">
        <f t="shared" si="5"/>
        <v>RUN-ABRM_2022-10-04_RFR-033</v>
      </c>
      <c r="Y227" s="317" t="str">
        <f t="shared" si="6"/>
        <v/>
      </c>
      <c r="Z227" s="83" t="str">
        <f t="shared" si="7"/>
        <v/>
      </c>
      <c r="AA227" s="83" t="str">
        <f t="shared" si="8"/>
        <v/>
      </c>
      <c r="AB227" s="83" t="str">
        <f t="shared" si="9"/>
        <v/>
      </c>
      <c r="AC227" s="18" t="str">
        <f t="shared" ref="AC227:AD227" si="459">IF(_xlfn.ISFORMULA(S227),IFERROR(0/0,""),TRUE)</f>
        <v/>
      </c>
      <c r="AD227" s="18" t="str">
        <f t="shared" si="459"/>
        <v/>
      </c>
      <c r="AE227" s="43"/>
      <c r="AF227" s="58" t="s">
        <v>50</v>
      </c>
      <c r="AG227" s="55" t="str">
        <f t="shared" si="11"/>
        <v/>
      </c>
    </row>
    <row r="228">
      <c r="A228" s="7" t="str">
        <f>IFERROR(__xludf.DUMMYFUNCTION("""COMPUTED_VALUE"""),"AH8559")</f>
        <v>AH8559</v>
      </c>
      <c r="B228" s="308">
        <f>IFERROR(__xludf.DUMMYFUNCTION("""COMPUTED_VALUE"""),44838.0)</f>
        <v>44838</v>
      </c>
      <c r="C228" s="309">
        <f>IFERROR(__xludf.DUMMYFUNCTION("""COMPUTED_VALUE"""),0.28478009259259257)</f>
        <v>0.2847800926</v>
      </c>
      <c r="D228" s="7" t="str">
        <f>IFERROR(__xludf.DUMMYFUNCTION("""COMPUTED_VALUE"""),"SpABRM367540")</f>
        <v>SpABRM367540</v>
      </c>
      <c r="E228" s="310"/>
      <c r="F228" s="310"/>
      <c r="G228" s="310" t="str">
        <f>IFERROR(__xludf.DUMMYFUNCTION("""COMPUTED_VALUE"""),"Negative")</f>
        <v>Negative</v>
      </c>
      <c r="H228" s="319" t="str">
        <f>IFERROR(__xludf.DUMMYFUNCTION("""COMPUTED_VALUE"""),"Negative")</f>
        <v>Negative</v>
      </c>
      <c r="I228" s="308">
        <f>IFERROR(__xludf.DUMMYFUNCTION("""COMPUTED_VALUE"""),44838.0)</f>
        <v>44838</v>
      </c>
      <c r="J228" s="311">
        <f>IFERROR(__xludf.DUMMYFUNCTION("""COMPUTED_VALUE"""),0.39153935185185185)</f>
        <v>0.3915393519</v>
      </c>
      <c r="K228" s="54"/>
      <c r="L228" s="7"/>
      <c r="M228" s="312"/>
      <c r="N228" s="172">
        <f>IFERROR(__xludf.DUMMYFUNCTION("""COMPUTED_VALUE"""),3.0)</f>
        <v>3</v>
      </c>
      <c r="O228" s="172" t="str">
        <f t="shared" si="3"/>
        <v/>
      </c>
      <c r="P228" s="313">
        <f>IFERROR(__xludf.DUMMYFUNCTION("""COMPUTED_VALUE"""),0.0)</f>
        <v>0</v>
      </c>
      <c r="Q228" s="76" t="b">
        <f>VLOOKUP($B228,'Run Reconcile'!B$2:O1399,14,FALSE)</f>
        <v>1</v>
      </c>
      <c r="R228" s="314" t="str">
        <f t="array" ref="R228">IF($Q228, INDEX('Run Reconcile'!A$2:A1399,MATCH(B228,'Run Reconcile'!B$2:B1399,0),1),IFERROR(0/0,""))</f>
        <v>RUN-ABRM_2022-10-04_RFR-033</v>
      </c>
      <c r="S228" s="315" t="str">
        <f t="shared" ref="S228:T228" si="460">IF(COUNTIF(W$2:W1399, $A228) &gt; 0,TRUE,IFERROR(0/0,""))</f>
        <v/>
      </c>
      <c r="T228" s="315" t="str">
        <f t="shared" si="460"/>
        <v/>
      </c>
      <c r="U228" s="114" t="str">
        <f t="array" ref="U228">IF(ISBLANK($R228), INDEX('Run Reconcile'!A$2:A1399, MATCH($B228, 'Run Reconcile'!B$2:B1399, 0)+Z228, 1), IFERROR(0/0,""))
</f>
        <v/>
      </c>
      <c r="V228" s="316" t="str">
        <f t="shared" si="5"/>
        <v>RUN-ABRM_2022-10-04_RFR-033</v>
      </c>
      <c r="Y228" s="317" t="str">
        <f t="shared" si="6"/>
        <v/>
      </c>
      <c r="Z228" s="83" t="str">
        <f t="shared" si="7"/>
        <v/>
      </c>
      <c r="AA228" s="83" t="str">
        <f t="shared" si="8"/>
        <v/>
      </c>
      <c r="AB228" s="83" t="str">
        <f t="shared" si="9"/>
        <v/>
      </c>
      <c r="AC228" s="18" t="str">
        <f t="shared" ref="AC228:AD228" si="461">IF(_xlfn.ISFORMULA(S228),IFERROR(0/0,""),TRUE)</f>
        <v/>
      </c>
      <c r="AD228" s="18" t="str">
        <f t="shared" si="461"/>
        <v/>
      </c>
      <c r="AE228" s="43"/>
      <c r="AF228" s="58" t="s">
        <v>50</v>
      </c>
      <c r="AG228" s="55" t="str">
        <f t="shared" si="11"/>
        <v/>
      </c>
    </row>
    <row r="229">
      <c r="A229" s="7" t="str">
        <f>IFERROR(__xludf.DUMMYFUNCTION("""COMPUTED_VALUE"""),"AG1072")</f>
        <v>AG1072</v>
      </c>
      <c r="B229" s="308">
        <f>IFERROR(__xludf.DUMMYFUNCTION("""COMPUTED_VALUE"""),44838.0)</f>
        <v>44838</v>
      </c>
      <c r="C229" s="309">
        <f>IFERROR(__xludf.DUMMYFUNCTION("""COMPUTED_VALUE"""),0.2858912037037037)</f>
        <v>0.2858912037</v>
      </c>
      <c r="D229" s="7" t="str">
        <f>IFERROR(__xludf.DUMMYFUNCTION("""COMPUTED_VALUE"""),"SpABRM814022")</f>
        <v>SpABRM814022</v>
      </c>
      <c r="E229" s="310"/>
      <c r="F229" s="310"/>
      <c r="G229" s="310" t="str">
        <f>IFERROR(__xludf.DUMMYFUNCTION("""COMPUTED_VALUE"""),"Negative")</f>
        <v>Negative</v>
      </c>
      <c r="H229" s="319" t="str">
        <f>IFERROR(__xludf.DUMMYFUNCTION("""COMPUTED_VALUE"""),"Negative")</f>
        <v>Negative</v>
      </c>
      <c r="I229" s="308">
        <f>IFERROR(__xludf.DUMMYFUNCTION("""COMPUTED_VALUE"""),44838.0)</f>
        <v>44838</v>
      </c>
      <c r="J229" s="311">
        <f>IFERROR(__xludf.DUMMYFUNCTION("""COMPUTED_VALUE"""),0.39153935185185185)</f>
        <v>0.3915393519</v>
      </c>
      <c r="K229" s="54"/>
      <c r="L229" s="7"/>
      <c r="M229" s="312"/>
      <c r="N229" s="172">
        <f>IFERROR(__xludf.DUMMYFUNCTION("""COMPUTED_VALUE"""),2.0)</f>
        <v>2</v>
      </c>
      <c r="O229" s="172" t="str">
        <f t="shared" si="3"/>
        <v/>
      </c>
      <c r="P229" s="313">
        <f>IFERROR(__xludf.DUMMYFUNCTION("""COMPUTED_VALUE"""),0.0)</f>
        <v>0</v>
      </c>
      <c r="Q229" s="76" t="b">
        <f>VLOOKUP($B229,'Run Reconcile'!B$2:O1399,14,FALSE)</f>
        <v>1</v>
      </c>
      <c r="R229" s="314" t="str">
        <f t="array" ref="R229">IF($Q229, INDEX('Run Reconcile'!A$2:A1399,MATCH(B229,'Run Reconcile'!B$2:B1399,0),1),IFERROR(0/0,""))</f>
        <v>RUN-ABRM_2022-10-04_RFR-033</v>
      </c>
      <c r="S229" s="315" t="str">
        <f t="shared" ref="S229:T229" si="462">IF(COUNTIF(W$2:W1399, $A229) &gt; 0,TRUE,IFERROR(0/0,""))</f>
        <v/>
      </c>
      <c r="T229" s="315" t="str">
        <f t="shared" si="462"/>
        <v/>
      </c>
      <c r="U229" s="114" t="str">
        <f t="array" ref="U229">IF(ISBLANK($R229), INDEX('Run Reconcile'!A$2:A1399, MATCH($B229, 'Run Reconcile'!B$2:B1399, 0)+Z229, 1), IFERROR(0/0,""))
</f>
        <v/>
      </c>
      <c r="V229" s="316" t="str">
        <f t="shared" si="5"/>
        <v>RUN-ABRM_2022-10-04_RFR-033</v>
      </c>
      <c r="Y229" s="317" t="str">
        <f t="shared" si="6"/>
        <v/>
      </c>
      <c r="Z229" s="83" t="str">
        <f t="shared" si="7"/>
        <v/>
      </c>
      <c r="AA229" s="83" t="str">
        <f t="shared" si="8"/>
        <v/>
      </c>
      <c r="AB229" s="83" t="str">
        <f t="shared" si="9"/>
        <v/>
      </c>
      <c r="AC229" s="18" t="str">
        <f t="shared" ref="AC229:AD229" si="463">IF(_xlfn.ISFORMULA(S229),IFERROR(0/0,""),TRUE)</f>
        <v/>
      </c>
      <c r="AD229" s="18" t="str">
        <f t="shared" si="463"/>
        <v/>
      </c>
      <c r="AE229" s="43"/>
      <c r="AF229" s="58" t="s">
        <v>50</v>
      </c>
      <c r="AG229" s="55" t="str">
        <f t="shared" si="11"/>
        <v/>
      </c>
    </row>
    <row r="230">
      <c r="A230" s="7" t="str">
        <f>IFERROR(__xludf.DUMMYFUNCTION("""COMPUTED_VALUE"""),"AH8854")</f>
        <v>AH8854</v>
      </c>
      <c r="B230" s="308">
        <f>IFERROR(__xludf.DUMMYFUNCTION("""COMPUTED_VALUE"""),44838.0)</f>
        <v>44838</v>
      </c>
      <c r="C230" s="309">
        <f>IFERROR(__xludf.DUMMYFUNCTION("""COMPUTED_VALUE"""),0.29866898148148147)</f>
        <v>0.2986689815</v>
      </c>
      <c r="D230" s="7" t="str">
        <f>IFERROR(__xludf.DUMMYFUNCTION("""COMPUTED_VALUE"""),"SpABRM297307")</f>
        <v>SpABRM297307</v>
      </c>
      <c r="E230" s="310"/>
      <c r="F230" s="310"/>
      <c r="G230" s="310" t="str">
        <f>IFERROR(__xludf.DUMMYFUNCTION("""COMPUTED_VALUE"""),"Negative")</f>
        <v>Negative</v>
      </c>
      <c r="H230" s="319" t="str">
        <f>IFERROR(__xludf.DUMMYFUNCTION("""COMPUTED_VALUE"""),"Negative")</f>
        <v>Negative</v>
      </c>
      <c r="I230" s="308">
        <f>IFERROR(__xludf.DUMMYFUNCTION("""COMPUTED_VALUE"""),44838.0)</f>
        <v>44838</v>
      </c>
      <c r="J230" s="311">
        <f>IFERROR(__xludf.DUMMYFUNCTION("""COMPUTED_VALUE"""),0.39153935185185185)</f>
        <v>0.3915393519</v>
      </c>
      <c r="K230" s="54"/>
      <c r="L230" s="7"/>
      <c r="M230" s="312"/>
      <c r="N230" s="172">
        <f>IFERROR(__xludf.DUMMYFUNCTION("""COMPUTED_VALUE"""),3.0)</f>
        <v>3</v>
      </c>
      <c r="O230" s="172" t="str">
        <f t="shared" si="3"/>
        <v/>
      </c>
      <c r="P230" s="313">
        <f>IFERROR(__xludf.DUMMYFUNCTION("""COMPUTED_VALUE"""),0.0)</f>
        <v>0</v>
      </c>
      <c r="Q230" s="76" t="b">
        <f>VLOOKUP($B230,'Run Reconcile'!B$2:O1399,14,FALSE)</f>
        <v>1</v>
      </c>
      <c r="R230" s="314" t="str">
        <f t="array" ref="R230">IF($Q230, INDEX('Run Reconcile'!A$2:A1399,MATCH(B230,'Run Reconcile'!B$2:B1399,0),1),IFERROR(0/0,""))</f>
        <v>RUN-ABRM_2022-10-04_RFR-033</v>
      </c>
      <c r="S230" s="315" t="str">
        <f t="shared" ref="S230:T230" si="464">IF(COUNTIF(W$2:W1399, $A230) &gt; 0,TRUE,IFERROR(0/0,""))</f>
        <v/>
      </c>
      <c r="T230" s="315" t="str">
        <f t="shared" si="464"/>
        <v/>
      </c>
      <c r="U230" s="114" t="str">
        <f t="array" ref="U230">IF(ISBLANK($R230), INDEX('Run Reconcile'!A$2:A1399, MATCH($B230, 'Run Reconcile'!B$2:B1399, 0)+Z230, 1), IFERROR(0/0,""))
</f>
        <v/>
      </c>
      <c r="V230" s="316" t="str">
        <f t="shared" si="5"/>
        <v>RUN-ABRM_2022-10-04_RFR-033</v>
      </c>
      <c r="Y230" s="317" t="str">
        <f t="shared" si="6"/>
        <v/>
      </c>
      <c r="Z230" s="83" t="str">
        <f t="shared" si="7"/>
        <v/>
      </c>
      <c r="AA230" s="83" t="str">
        <f t="shared" si="8"/>
        <v/>
      </c>
      <c r="AB230" s="83" t="str">
        <f t="shared" si="9"/>
        <v/>
      </c>
      <c r="AC230" s="18" t="str">
        <f t="shared" ref="AC230:AD230" si="465">IF(_xlfn.ISFORMULA(S230),IFERROR(0/0,""),TRUE)</f>
        <v/>
      </c>
      <c r="AD230" s="18" t="str">
        <f t="shared" si="465"/>
        <v/>
      </c>
      <c r="AE230" s="43"/>
      <c r="AF230" s="58" t="s">
        <v>50</v>
      </c>
      <c r="AG230" s="55" t="str">
        <f t="shared" si="11"/>
        <v/>
      </c>
    </row>
    <row r="231">
      <c r="A231" s="7" t="str">
        <f>IFERROR(__xludf.DUMMYFUNCTION("""COMPUTED_VALUE"""),"AH8331")</f>
        <v>AH8331</v>
      </c>
      <c r="B231" s="308">
        <f>IFERROR(__xludf.DUMMYFUNCTION("""COMPUTED_VALUE"""),44838.0)</f>
        <v>44838</v>
      </c>
      <c r="C231" s="309">
        <f>IFERROR(__xludf.DUMMYFUNCTION("""COMPUTED_VALUE"""),0.30650462962962965)</f>
        <v>0.3065046296</v>
      </c>
      <c r="D231" s="7" t="str">
        <f>IFERROR(__xludf.DUMMYFUNCTION("""COMPUTED_VALUE"""),"SpABRM460827")</f>
        <v>SpABRM460827</v>
      </c>
      <c r="E231" s="310"/>
      <c r="F231" s="310"/>
      <c r="G231" s="310" t="str">
        <f>IFERROR(__xludf.DUMMYFUNCTION("""COMPUTED_VALUE"""),"Negative")</f>
        <v>Negative</v>
      </c>
      <c r="H231" s="319" t="str">
        <f>IFERROR(__xludf.DUMMYFUNCTION("""COMPUTED_VALUE"""),"Negative")</f>
        <v>Negative</v>
      </c>
      <c r="I231" s="308">
        <f>IFERROR(__xludf.DUMMYFUNCTION("""COMPUTED_VALUE"""),44838.0)</f>
        <v>44838</v>
      </c>
      <c r="J231" s="311">
        <f>IFERROR(__xludf.DUMMYFUNCTION("""COMPUTED_VALUE"""),0.39153935185185185)</f>
        <v>0.3915393519</v>
      </c>
      <c r="K231" s="54"/>
      <c r="L231" s="7"/>
      <c r="M231" s="312"/>
      <c r="N231" s="172">
        <f>IFERROR(__xludf.DUMMYFUNCTION("""COMPUTED_VALUE"""),1.0)</f>
        <v>1</v>
      </c>
      <c r="O231" s="172" t="str">
        <f t="shared" si="3"/>
        <v/>
      </c>
      <c r="P231" s="313">
        <f>IFERROR(__xludf.DUMMYFUNCTION("""COMPUTED_VALUE"""),0.0)</f>
        <v>0</v>
      </c>
      <c r="Q231" s="76" t="b">
        <f>VLOOKUP($B231,'Run Reconcile'!B$2:O1399,14,FALSE)</f>
        <v>1</v>
      </c>
      <c r="R231" s="314" t="str">
        <f t="array" ref="R231">IF($Q231, INDEX('Run Reconcile'!A$2:A1399,MATCH(B231,'Run Reconcile'!B$2:B1399,0),1),IFERROR(0/0,""))</f>
        <v>RUN-ABRM_2022-10-04_RFR-033</v>
      </c>
      <c r="S231" s="315" t="str">
        <f t="shared" ref="S231:T231" si="466">IF(COUNTIF(W$2:W1399, $A231) &gt; 0,TRUE,IFERROR(0/0,""))</f>
        <v/>
      </c>
      <c r="T231" s="315" t="str">
        <f t="shared" si="466"/>
        <v/>
      </c>
      <c r="U231" s="114" t="str">
        <f t="array" ref="U231">IF(ISBLANK($R231), INDEX('Run Reconcile'!A$2:A1399, MATCH($B231, 'Run Reconcile'!B$2:B1399, 0)+Z231, 1), IFERROR(0/0,""))
</f>
        <v/>
      </c>
      <c r="V231" s="316" t="str">
        <f t="shared" si="5"/>
        <v>RUN-ABRM_2022-10-04_RFR-033</v>
      </c>
      <c r="Y231" s="317" t="str">
        <f t="shared" si="6"/>
        <v/>
      </c>
      <c r="Z231" s="83" t="str">
        <f t="shared" si="7"/>
        <v/>
      </c>
      <c r="AA231" s="83" t="str">
        <f t="shared" si="8"/>
        <v/>
      </c>
      <c r="AB231" s="83" t="str">
        <f t="shared" si="9"/>
        <v/>
      </c>
      <c r="AC231" s="18" t="str">
        <f t="shared" ref="AC231:AD231" si="467">IF(_xlfn.ISFORMULA(S231),IFERROR(0/0,""),TRUE)</f>
        <v/>
      </c>
      <c r="AD231" s="18" t="str">
        <f t="shared" si="467"/>
        <v/>
      </c>
      <c r="AE231" s="43"/>
      <c r="AF231" s="58" t="s">
        <v>50</v>
      </c>
      <c r="AG231" s="55" t="str">
        <f t="shared" si="11"/>
        <v/>
      </c>
    </row>
    <row r="232">
      <c r="A232" s="7" t="str">
        <f>IFERROR(__xludf.DUMMYFUNCTION("""COMPUTED_VALUE"""),"AH8799")</f>
        <v>AH8799</v>
      </c>
      <c r="B232" s="308">
        <f>IFERROR(__xludf.DUMMYFUNCTION("""COMPUTED_VALUE"""),44838.0)</f>
        <v>44838</v>
      </c>
      <c r="C232" s="309">
        <f>IFERROR(__xludf.DUMMYFUNCTION("""COMPUTED_VALUE"""),0.3186805555555556)</f>
        <v>0.3186805556</v>
      </c>
      <c r="D232" s="7" t="str">
        <f>IFERROR(__xludf.DUMMYFUNCTION("""COMPUTED_VALUE"""),"SpABRM655136")</f>
        <v>SpABRM655136</v>
      </c>
      <c r="E232" s="310"/>
      <c r="F232" s="310"/>
      <c r="G232" s="310" t="str">
        <f>IFERROR(__xludf.DUMMYFUNCTION("""COMPUTED_VALUE"""),"Negative")</f>
        <v>Negative</v>
      </c>
      <c r="H232" s="319" t="str">
        <f>IFERROR(__xludf.DUMMYFUNCTION("""COMPUTED_VALUE"""),"Negative")</f>
        <v>Negative</v>
      </c>
      <c r="I232" s="308">
        <f>IFERROR(__xludf.DUMMYFUNCTION("""COMPUTED_VALUE"""),44838.0)</f>
        <v>44838</v>
      </c>
      <c r="J232" s="311">
        <f>IFERROR(__xludf.DUMMYFUNCTION("""COMPUTED_VALUE"""),0.39155092592592594)</f>
        <v>0.3915509259</v>
      </c>
      <c r="K232" s="54"/>
      <c r="L232" s="7"/>
      <c r="M232" s="312"/>
      <c r="N232" s="172">
        <f>IFERROR(__xludf.DUMMYFUNCTION("""COMPUTED_VALUE"""),2.0)</f>
        <v>2</v>
      </c>
      <c r="O232" s="172" t="str">
        <f t="shared" si="3"/>
        <v/>
      </c>
      <c r="P232" s="313">
        <f>IFERROR(__xludf.DUMMYFUNCTION("""COMPUTED_VALUE"""),0.0)</f>
        <v>0</v>
      </c>
      <c r="Q232" s="76" t="b">
        <f>VLOOKUP($B232,'Run Reconcile'!B$2:O1399,14,FALSE)</f>
        <v>1</v>
      </c>
      <c r="R232" s="314" t="str">
        <f t="array" ref="R232">IF($Q232, INDEX('Run Reconcile'!A$2:A1399,MATCH(B232,'Run Reconcile'!B$2:B1399,0),1),IFERROR(0/0,""))</f>
        <v>RUN-ABRM_2022-10-04_RFR-033</v>
      </c>
      <c r="S232" s="315" t="str">
        <f t="shared" ref="S232:T232" si="468">IF(COUNTIF(W$2:W1399, $A232) &gt; 0,TRUE,IFERROR(0/0,""))</f>
        <v/>
      </c>
      <c r="T232" s="315" t="str">
        <f t="shared" si="468"/>
        <v/>
      </c>
      <c r="U232" s="114" t="str">
        <f t="array" ref="U232">IF(ISBLANK($R232), INDEX('Run Reconcile'!A$2:A1399, MATCH($B232, 'Run Reconcile'!B$2:B1399, 0)+Z232, 1), IFERROR(0/0,""))
</f>
        <v/>
      </c>
      <c r="V232" s="316" t="str">
        <f t="shared" si="5"/>
        <v>RUN-ABRM_2022-10-04_RFR-033</v>
      </c>
      <c r="Y232" s="317" t="str">
        <f t="shared" si="6"/>
        <v/>
      </c>
      <c r="Z232" s="83" t="str">
        <f t="shared" si="7"/>
        <v/>
      </c>
      <c r="AA232" s="83" t="str">
        <f t="shared" si="8"/>
        <v/>
      </c>
      <c r="AB232" s="83" t="str">
        <f t="shared" si="9"/>
        <v/>
      </c>
      <c r="AC232" s="18" t="str">
        <f t="shared" ref="AC232:AD232" si="469">IF(_xlfn.ISFORMULA(S232),IFERROR(0/0,""),TRUE)</f>
        <v/>
      </c>
      <c r="AD232" s="18" t="str">
        <f t="shared" si="469"/>
        <v/>
      </c>
      <c r="AE232" s="43"/>
      <c r="AF232" s="58" t="s">
        <v>50</v>
      </c>
      <c r="AG232" s="55" t="str">
        <f t="shared" si="11"/>
        <v/>
      </c>
    </row>
    <row r="233">
      <c r="A233" s="7" t="str">
        <f>IFERROR(__xludf.DUMMYFUNCTION("""COMPUTED_VALUE"""),"AG1371")</f>
        <v>AG1371</v>
      </c>
      <c r="B233" s="308">
        <f>IFERROR(__xludf.DUMMYFUNCTION("""COMPUTED_VALUE"""),44838.0)</f>
        <v>44838</v>
      </c>
      <c r="C233" s="309">
        <f>IFERROR(__xludf.DUMMYFUNCTION("""COMPUTED_VALUE"""),0.3196412037037037)</f>
        <v>0.3196412037</v>
      </c>
      <c r="D233" s="7" t="str">
        <f>IFERROR(__xludf.DUMMYFUNCTION("""COMPUTED_VALUE"""),"SpABRM610758")</f>
        <v>SpABRM610758</v>
      </c>
      <c r="E233" s="310"/>
      <c r="F233" s="310"/>
      <c r="G233" s="310" t="str">
        <f>IFERROR(__xludf.DUMMYFUNCTION("""COMPUTED_VALUE"""),"Negative")</f>
        <v>Negative</v>
      </c>
      <c r="H233" s="319" t="str">
        <f>IFERROR(__xludf.DUMMYFUNCTION("""COMPUTED_VALUE"""),"Negative")</f>
        <v>Negative</v>
      </c>
      <c r="I233" s="308">
        <f>IFERROR(__xludf.DUMMYFUNCTION("""COMPUTED_VALUE"""),44838.0)</f>
        <v>44838</v>
      </c>
      <c r="J233" s="311">
        <f>IFERROR(__xludf.DUMMYFUNCTION("""COMPUTED_VALUE"""),0.3915625)</f>
        <v>0.3915625</v>
      </c>
      <c r="K233" s="54"/>
      <c r="L233" s="7"/>
      <c r="M233" s="312"/>
      <c r="N233" s="172">
        <f>IFERROR(__xludf.DUMMYFUNCTION("""COMPUTED_VALUE"""),2.0)</f>
        <v>2</v>
      </c>
      <c r="O233" s="172" t="str">
        <f t="shared" si="3"/>
        <v/>
      </c>
      <c r="P233" s="313">
        <f>IFERROR(__xludf.DUMMYFUNCTION("""COMPUTED_VALUE"""),0.0)</f>
        <v>0</v>
      </c>
      <c r="Q233" s="76" t="b">
        <f>VLOOKUP($B233,'Run Reconcile'!B$2:O1399,14,FALSE)</f>
        <v>1</v>
      </c>
      <c r="R233" s="314" t="str">
        <f t="array" ref="R233">IF($Q233, INDEX('Run Reconcile'!A$2:A1399,MATCH(B233,'Run Reconcile'!B$2:B1399,0),1),IFERROR(0/0,""))</f>
        <v>RUN-ABRM_2022-10-04_RFR-033</v>
      </c>
      <c r="S233" s="315" t="str">
        <f t="shared" ref="S233:T233" si="470">IF(COUNTIF(W$2:W1399, $A233) &gt; 0,TRUE,IFERROR(0/0,""))</f>
        <v/>
      </c>
      <c r="T233" s="315" t="str">
        <f t="shared" si="470"/>
        <v/>
      </c>
      <c r="U233" s="114" t="str">
        <f t="array" ref="U233">IF(ISBLANK($R233), INDEX('Run Reconcile'!A$2:A1399, MATCH($B233, 'Run Reconcile'!B$2:B1399, 0)+Z233, 1), IFERROR(0/0,""))
</f>
        <v/>
      </c>
      <c r="V233" s="316" t="str">
        <f t="shared" si="5"/>
        <v>RUN-ABRM_2022-10-04_RFR-033</v>
      </c>
      <c r="Y233" s="317" t="str">
        <f t="shared" si="6"/>
        <v/>
      </c>
      <c r="Z233" s="83" t="str">
        <f t="shared" si="7"/>
        <v/>
      </c>
      <c r="AA233" s="83" t="str">
        <f t="shared" si="8"/>
        <v/>
      </c>
      <c r="AB233" s="83" t="str">
        <f t="shared" si="9"/>
        <v/>
      </c>
      <c r="AC233" s="18" t="str">
        <f t="shared" ref="AC233:AD233" si="471">IF(_xlfn.ISFORMULA(S233),IFERROR(0/0,""),TRUE)</f>
        <v/>
      </c>
      <c r="AD233" s="18" t="str">
        <f t="shared" si="471"/>
        <v/>
      </c>
      <c r="AE233" s="43"/>
      <c r="AF233" s="58" t="s">
        <v>50</v>
      </c>
      <c r="AG233" s="55" t="str">
        <f t="shared" si="11"/>
        <v/>
      </c>
    </row>
    <row r="234">
      <c r="A234" s="7" t="str">
        <f>IFERROR(__xludf.DUMMYFUNCTION("""COMPUTED_VALUE"""),"AH7853")</f>
        <v>AH7853</v>
      </c>
      <c r="B234" s="308">
        <f>IFERROR(__xludf.DUMMYFUNCTION("""COMPUTED_VALUE"""),44838.0)</f>
        <v>44838</v>
      </c>
      <c r="C234" s="309">
        <f>IFERROR(__xludf.DUMMYFUNCTION("""COMPUTED_VALUE"""),0.32680555555555557)</f>
        <v>0.3268055556</v>
      </c>
      <c r="D234" s="7" t="str">
        <f>IFERROR(__xludf.DUMMYFUNCTION("""COMPUTED_VALUE"""),"SpABRM655136")</f>
        <v>SpABRM655136</v>
      </c>
      <c r="E234" s="310"/>
      <c r="F234" s="310"/>
      <c r="G234" s="310" t="str">
        <f>IFERROR(__xludf.DUMMYFUNCTION("""COMPUTED_VALUE"""),"Negative")</f>
        <v>Negative</v>
      </c>
      <c r="H234" s="319" t="str">
        <f>IFERROR(__xludf.DUMMYFUNCTION("""COMPUTED_VALUE"""),"Negative")</f>
        <v>Negative</v>
      </c>
      <c r="I234" s="308">
        <f>IFERROR(__xludf.DUMMYFUNCTION("""COMPUTED_VALUE"""),44838.0)</f>
        <v>44838</v>
      </c>
      <c r="J234" s="311">
        <f>IFERROR(__xludf.DUMMYFUNCTION("""COMPUTED_VALUE"""),0.3915625)</f>
        <v>0.3915625</v>
      </c>
      <c r="K234" s="54"/>
      <c r="L234" s="7"/>
      <c r="M234" s="312"/>
      <c r="N234" s="172">
        <f>IFERROR(__xludf.DUMMYFUNCTION("""COMPUTED_VALUE"""),4.0)</f>
        <v>4</v>
      </c>
      <c r="O234" s="172" t="str">
        <f t="shared" si="3"/>
        <v/>
      </c>
      <c r="P234" s="313">
        <f>IFERROR(__xludf.DUMMYFUNCTION("""COMPUTED_VALUE"""),0.0)</f>
        <v>0</v>
      </c>
      <c r="Q234" s="76" t="b">
        <f>VLOOKUP($B234,'Run Reconcile'!B$2:O1399,14,FALSE)</f>
        <v>1</v>
      </c>
      <c r="R234" s="314" t="str">
        <f t="array" ref="R234">IF($Q234, INDEX('Run Reconcile'!A$2:A1399,MATCH(B234,'Run Reconcile'!B$2:B1399,0),1),IFERROR(0/0,""))</f>
        <v>RUN-ABRM_2022-10-04_RFR-033</v>
      </c>
      <c r="S234" s="315" t="str">
        <f t="shared" ref="S234:T234" si="472">IF(COUNTIF(W$2:W1399, $A234) &gt; 0,TRUE,IFERROR(0/0,""))</f>
        <v/>
      </c>
      <c r="T234" s="315" t="str">
        <f t="shared" si="472"/>
        <v/>
      </c>
      <c r="U234" s="114" t="str">
        <f t="array" ref="U234">IF(ISBLANK($R234), INDEX('Run Reconcile'!A$2:A1399, MATCH($B234, 'Run Reconcile'!B$2:B1399, 0)+Z234, 1), IFERROR(0/0,""))
</f>
        <v/>
      </c>
      <c r="V234" s="316" t="str">
        <f t="shared" si="5"/>
        <v>RUN-ABRM_2022-10-04_RFR-033</v>
      </c>
      <c r="Y234" s="317" t="str">
        <f t="shared" si="6"/>
        <v/>
      </c>
      <c r="Z234" s="83" t="str">
        <f t="shared" si="7"/>
        <v/>
      </c>
      <c r="AA234" s="83" t="str">
        <f t="shared" si="8"/>
        <v/>
      </c>
      <c r="AB234" s="83" t="str">
        <f t="shared" si="9"/>
        <v/>
      </c>
      <c r="AC234" s="18" t="str">
        <f t="shared" ref="AC234:AD234" si="473">IF(_xlfn.ISFORMULA(S234),IFERROR(0/0,""),TRUE)</f>
        <v/>
      </c>
      <c r="AD234" s="18" t="str">
        <f t="shared" si="473"/>
        <v/>
      </c>
      <c r="AE234" s="43"/>
      <c r="AF234" s="58" t="s">
        <v>50</v>
      </c>
      <c r="AG234" s="55" t="str">
        <f t="shared" si="11"/>
        <v/>
      </c>
    </row>
    <row r="235">
      <c r="A235" s="7" t="str">
        <f>IFERROR(__xludf.DUMMYFUNCTION("""COMPUTED_VALUE"""),"AH8844")</f>
        <v>AH8844</v>
      </c>
      <c r="B235" s="308">
        <f>IFERROR(__xludf.DUMMYFUNCTION("""COMPUTED_VALUE"""),44838.0)</f>
        <v>44838</v>
      </c>
      <c r="C235" s="309">
        <f>IFERROR(__xludf.DUMMYFUNCTION("""COMPUTED_VALUE"""),0.33118055555555553)</f>
        <v>0.3311805556</v>
      </c>
      <c r="D235" s="7" t="str">
        <f>IFERROR(__xludf.DUMMYFUNCTION("""COMPUTED_VALUE"""),"SpABRM655136")</f>
        <v>SpABRM655136</v>
      </c>
      <c r="E235" s="310"/>
      <c r="F235" s="310"/>
      <c r="G235" s="310" t="str">
        <f>IFERROR(__xludf.DUMMYFUNCTION("""COMPUTED_VALUE"""),"Negative")</f>
        <v>Negative</v>
      </c>
      <c r="H235" s="319" t="str">
        <f>IFERROR(__xludf.DUMMYFUNCTION("""COMPUTED_VALUE"""),"Negative")</f>
        <v>Negative</v>
      </c>
      <c r="I235" s="308">
        <f>IFERROR(__xludf.DUMMYFUNCTION("""COMPUTED_VALUE"""),44838.0)</f>
        <v>44838</v>
      </c>
      <c r="J235" s="311">
        <f>IFERROR(__xludf.DUMMYFUNCTION("""COMPUTED_VALUE"""),0.3915740740740741)</f>
        <v>0.3915740741</v>
      </c>
      <c r="K235" s="54"/>
      <c r="L235" s="7"/>
      <c r="M235" s="312"/>
      <c r="N235" s="172">
        <f>IFERROR(__xludf.DUMMYFUNCTION("""COMPUTED_VALUE"""),1.0)</f>
        <v>1</v>
      </c>
      <c r="O235" s="172" t="str">
        <f t="shared" si="3"/>
        <v/>
      </c>
      <c r="P235" s="313">
        <f>IFERROR(__xludf.DUMMYFUNCTION("""COMPUTED_VALUE"""),0.0)</f>
        <v>0</v>
      </c>
      <c r="Q235" s="76" t="b">
        <f>VLOOKUP($B235,'Run Reconcile'!B$2:O1399,14,FALSE)</f>
        <v>1</v>
      </c>
      <c r="R235" s="314" t="str">
        <f t="array" ref="R235">IF($Q235, INDEX('Run Reconcile'!A$2:A1399,MATCH(B235,'Run Reconcile'!B$2:B1399,0),1),IFERROR(0/0,""))</f>
        <v>RUN-ABRM_2022-10-04_RFR-033</v>
      </c>
      <c r="S235" s="315" t="str">
        <f t="shared" ref="S235:T235" si="474">IF(COUNTIF(W$2:W1399, $A235) &gt; 0,TRUE,IFERROR(0/0,""))</f>
        <v/>
      </c>
      <c r="T235" s="315" t="str">
        <f t="shared" si="474"/>
        <v/>
      </c>
      <c r="U235" s="114" t="str">
        <f t="array" ref="U235">IF(ISBLANK($R235), INDEX('Run Reconcile'!A$2:A1399, MATCH($B235, 'Run Reconcile'!B$2:B1399, 0)+Z235, 1), IFERROR(0/0,""))
</f>
        <v/>
      </c>
      <c r="V235" s="316" t="str">
        <f t="shared" si="5"/>
        <v>RUN-ABRM_2022-10-04_RFR-033</v>
      </c>
      <c r="Y235" s="317" t="str">
        <f t="shared" si="6"/>
        <v/>
      </c>
      <c r="Z235" s="83" t="str">
        <f t="shared" si="7"/>
        <v/>
      </c>
      <c r="AA235" s="83" t="str">
        <f t="shared" si="8"/>
        <v/>
      </c>
      <c r="AB235" s="83" t="str">
        <f t="shared" si="9"/>
        <v/>
      </c>
      <c r="AC235" s="18" t="str">
        <f t="shared" ref="AC235:AD235" si="475">IF(_xlfn.ISFORMULA(S235),IFERROR(0/0,""),TRUE)</f>
        <v/>
      </c>
      <c r="AD235" s="18" t="str">
        <f t="shared" si="475"/>
        <v/>
      </c>
      <c r="AE235" s="43"/>
      <c r="AF235" s="58" t="s">
        <v>50</v>
      </c>
      <c r="AG235" s="55" t="str">
        <f t="shared" si="11"/>
        <v/>
      </c>
    </row>
    <row r="236">
      <c r="A236" s="7" t="str">
        <f>IFERROR(__xludf.DUMMYFUNCTION("""COMPUTED_VALUE"""),"AH8873")</f>
        <v>AH8873</v>
      </c>
      <c r="B236" s="308">
        <f>IFERROR(__xludf.DUMMYFUNCTION("""COMPUTED_VALUE"""),44838.0)</f>
        <v>44838</v>
      </c>
      <c r="C236" s="309">
        <f>IFERROR(__xludf.DUMMYFUNCTION("""COMPUTED_VALUE"""),0.34087962962962964)</f>
        <v>0.3408796296</v>
      </c>
      <c r="D236" s="7" t="str">
        <f>IFERROR(__xludf.DUMMYFUNCTION("""COMPUTED_VALUE"""),"SpABRM655136")</f>
        <v>SpABRM655136</v>
      </c>
      <c r="E236" s="310"/>
      <c r="F236" s="310"/>
      <c r="G236" s="310" t="str">
        <f>IFERROR(__xludf.DUMMYFUNCTION("""COMPUTED_VALUE"""),"Negative")</f>
        <v>Negative</v>
      </c>
      <c r="H236" s="319" t="str">
        <f>IFERROR(__xludf.DUMMYFUNCTION("""COMPUTED_VALUE"""),"Negative")</f>
        <v>Negative</v>
      </c>
      <c r="I236" s="308">
        <f>IFERROR(__xludf.DUMMYFUNCTION("""COMPUTED_VALUE"""),44838.0)</f>
        <v>44838</v>
      </c>
      <c r="J236" s="311">
        <f>IFERROR(__xludf.DUMMYFUNCTION("""COMPUTED_VALUE"""),0.39158564814814817)</f>
        <v>0.3915856481</v>
      </c>
      <c r="K236" s="54"/>
      <c r="L236" s="7"/>
      <c r="M236" s="312"/>
      <c r="N236" s="172">
        <f>IFERROR(__xludf.DUMMYFUNCTION("""COMPUTED_VALUE"""),2.0)</f>
        <v>2</v>
      </c>
      <c r="O236" s="172" t="str">
        <f t="shared" si="3"/>
        <v/>
      </c>
      <c r="P236" s="313">
        <f>IFERROR(__xludf.DUMMYFUNCTION("""COMPUTED_VALUE"""),0.0)</f>
        <v>0</v>
      </c>
      <c r="Q236" s="76" t="b">
        <f>VLOOKUP($B236,'Run Reconcile'!B$2:O1399,14,FALSE)</f>
        <v>1</v>
      </c>
      <c r="R236" s="314" t="str">
        <f t="array" ref="R236">IF($Q236, INDEX('Run Reconcile'!A$2:A1399,MATCH(B236,'Run Reconcile'!B$2:B1399,0),1),IFERROR(0/0,""))</f>
        <v>RUN-ABRM_2022-10-04_RFR-033</v>
      </c>
      <c r="S236" s="315" t="str">
        <f t="shared" ref="S236:T236" si="476">IF(COUNTIF(W$2:W1399, $A236) &gt; 0,TRUE,IFERROR(0/0,""))</f>
        <v/>
      </c>
      <c r="T236" s="315" t="str">
        <f t="shared" si="476"/>
        <v/>
      </c>
      <c r="U236" s="114" t="str">
        <f t="array" ref="U236">IF(ISBLANK($R236), INDEX('Run Reconcile'!A$2:A1399, MATCH($B236, 'Run Reconcile'!B$2:B1399, 0)+Z236, 1), IFERROR(0/0,""))
</f>
        <v/>
      </c>
      <c r="V236" s="316" t="str">
        <f t="shared" si="5"/>
        <v>RUN-ABRM_2022-10-04_RFR-033</v>
      </c>
      <c r="Y236" s="317" t="str">
        <f t="shared" si="6"/>
        <v/>
      </c>
      <c r="Z236" s="83" t="str">
        <f t="shared" si="7"/>
        <v/>
      </c>
      <c r="AA236" s="83" t="str">
        <f t="shared" si="8"/>
        <v/>
      </c>
      <c r="AB236" s="83" t="str">
        <f t="shared" si="9"/>
        <v/>
      </c>
      <c r="AC236" s="18" t="str">
        <f t="shared" ref="AC236:AD236" si="477">IF(_xlfn.ISFORMULA(S236),IFERROR(0/0,""),TRUE)</f>
        <v/>
      </c>
      <c r="AD236" s="18" t="str">
        <f t="shared" si="477"/>
        <v/>
      </c>
      <c r="AE236" s="43"/>
      <c r="AF236" s="58" t="s">
        <v>50</v>
      </c>
      <c r="AG236" s="55" t="str">
        <f t="shared" si="11"/>
        <v/>
      </c>
    </row>
    <row r="237">
      <c r="A237" s="7" t="str">
        <f>IFERROR(__xludf.DUMMYFUNCTION("""COMPUTED_VALUE"""),"AG1212")</f>
        <v>AG1212</v>
      </c>
      <c r="B237" s="308">
        <f>IFERROR(__xludf.DUMMYFUNCTION("""COMPUTED_VALUE"""),44839.0)</f>
        <v>44839</v>
      </c>
      <c r="C237" s="309">
        <f>IFERROR(__xludf.DUMMYFUNCTION("""COMPUTED_VALUE"""),0.201875)</f>
        <v>0.201875</v>
      </c>
      <c r="D237" s="7" t="str">
        <f>IFERROR(__xludf.DUMMYFUNCTION("""COMPUTED_VALUE"""),"SpABRM516158")</f>
        <v>SpABRM516158</v>
      </c>
      <c r="E237" s="310"/>
      <c r="F237" s="310"/>
      <c r="G237" s="310" t="str">
        <f>IFERROR(__xludf.DUMMYFUNCTION("""COMPUTED_VALUE"""),"Negative")</f>
        <v>Negative</v>
      </c>
      <c r="H237" s="319" t="str">
        <f>IFERROR(__xludf.DUMMYFUNCTION("""COMPUTED_VALUE"""),"Negative")</f>
        <v>Negative</v>
      </c>
      <c r="I237" s="308">
        <f>IFERROR(__xludf.DUMMYFUNCTION("""COMPUTED_VALUE"""),44839.0)</f>
        <v>44839</v>
      </c>
      <c r="J237" s="311">
        <f>IFERROR(__xludf.DUMMYFUNCTION("""COMPUTED_VALUE"""),0.47739583333333335)</f>
        <v>0.4773958333</v>
      </c>
      <c r="K237" s="54"/>
      <c r="L237" s="7"/>
      <c r="M237" s="312"/>
      <c r="N237" s="172">
        <f>IFERROR(__xludf.DUMMYFUNCTION("""COMPUTED_VALUE"""),1.0)</f>
        <v>1</v>
      </c>
      <c r="O237" s="172" t="b">
        <f t="shared" si="3"/>
        <v>1</v>
      </c>
      <c r="P237" s="313">
        <f>IFERROR(__xludf.DUMMYFUNCTION("""COMPUTED_VALUE"""),0.0)</f>
        <v>0</v>
      </c>
      <c r="Q237" s="76" t="b">
        <f>VLOOKUP($B237,'Run Reconcile'!B$2:O1399,14,FALSE)</f>
        <v>1</v>
      </c>
      <c r="R237" s="314" t="str">
        <f t="array" ref="R237">IF($Q237, INDEX('Run Reconcile'!A$2:A1399,MATCH(B237,'Run Reconcile'!B$2:B1399,0),1),IFERROR(0/0,""))</f>
        <v>RUN-ABRM_2022-10-05_RFR-034</v>
      </c>
      <c r="S237" s="315" t="str">
        <f t="shared" ref="S237:T237" si="478">IF(COUNTIF(W$2:W1399, $A237) &gt; 0,TRUE,IFERROR(0/0,""))</f>
        <v/>
      </c>
      <c r="T237" s="315" t="str">
        <f t="shared" si="478"/>
        <v/>
      </c>
      <c r="U237" s="114" t="str">
        <f t="array" ref="U237">IF(ISBLANK($R237), INDEX('Run Reconcile'!A$2:A1399, MATCH($B237, 'Run Reconcile'!B$2:B1399, 0)+Z237, 1), IFERROR(0/0,""))
</f>
        <v/>
      </c>
      <c r="V237" s="316" t="str">
        <f t="shared" si="5"/>
        <v>RUN-ABRM_2022-10-05_RFR-034</v>
      </c>
      <c r="Y237" s="317" t="str">
        <f t="shared" si="6"/>
        <v/>
      </c>
      <c r="Z237" s="83" t="str">
        <f t="shared" si="7"/>
        <v/>
      </c>
      <c r="AA237" s="83" t="str">
        <f t="shared" si="8"/>
        <v/>
      </c>
      <c r="AB237" s="83" t="str">
        <f t="shared" si="9"/>
        <v/>
      </c>
      <c r="AC237" s="18" t="str">
        <f t="shared" ref="AC237:AD237" si="479">IF(_xlfn.ISFORMULA(S237),IFERROR(0/0,""),TRUE)</f>
        <v/>
      </c>
      <c r="AD237" s="18" t="str">
        <f t="shared" si="479"/>
        <v/>
      </c>
      <c r="AE237" s="43"/>
      <c r="AF237" s="58" t="s">
        <v>51</v>
      </c>
      <c r="AG237" s="55" t="str">
        <f t="shared" si="11"/>
        <v/>
      </c>
    </row>
    <row r="238">
      <c r="A238" s="7" t="str">
        <f>IFERROR(__xludf.DUMMYFUNCTION("""COMPUTED_VALUE"""),"AG893")</f>
        <v>AG893</v>
      </c>
      <c r="B238" s="308">
        <f>IFERROR(__xludf.DUMMYFUNCTION("""COMPUTED_VALUE"""),44839.0)</f>
        <v>44839</v>
      </c>
      <c r="C238" s="309">
        <f>IFERROR(__xludf.DUMMYFUNCTION("""COMPUTED_VALUE"""),0.22679398148148147)</f>
        <v>0.2267939815</v>
      </c>
      <c r="D238" s="7" t="str">
        <f>IFERROR(__xludf.DUMMYFUNCTION("""COMPUTED_VALUE"""),"SpABRM454310")</f>
        <v>SpABRM454310</v>
      </c>
      <c r="E238" s="310"/>
      <c r="F238" s="310"/>
      <c r="G238" s="310" t="str">
        <f>IFERROR(__xludf.DUMMYFUNCTION("""COMPUTED_VALUE"""),"Negative")</f>
        <v>Negative</v>
      </c>
      <c r="H238" s="319" t="str">
        <f>IFERROR(__xludf.DUMMYFUNCTION("""COMPUTED_VALUE"""),"Negative")</f>
        <v>Negative</v>
      </c>
      <c r="I238" s="308">
        <f>IFERROR(__xludf.DUMMYFUNCTION("""COMPUTED_VALUE"""),44839.0)</f>
        <v>44839</v>
      </c>
      <c r="J238" s="311">
        <f>IFERROR(__xludf.DUMMYFUNCTION("""COMPUTED_VALUE"""),0.47739583333333335)</f>
        <v>0.4773958333</v>
      </c>
      <c r="K238" s="54"/>
      <c r="L238" s="7"/>
      <c r="M238" s="312"/>
      <c r="N238" s="172">
        <f>IFERROR(__xludf.DUMMYFUNCTION("""COMPUTED_VALUE"""),3.0)</f>
        <v>3</v>
      </c>
      <c r="O238" s="172" t="str">
        <f t="shared" si="3"/>
        <v/>
      </c>
      <c r="P238" s="313">
        <f>IFERROR(__xludf.DUMMYFUNCTION("""COMPUTED_VALUE"""),0.0)</f>
        <v>0</v>
      </c>
      <c r="Q238" s="76" t="b">
        <f>VLOOKUP($B238,'Run Reconcile'!B$2:O1399,14,FALSE)</f>
        <v>1</v>
      </c>
      <c r="R238" s="314" t="str">
        <f t="array" ref="R238">IF($Q238, INDEX('Run Reconcile'!A$2:A1399,MATCH(B238,'Run Reconcile'!B$2:B1399,0),1),IFERROR(0/0,""))</f>
        <v>RUN-ABRM_2022-10-05_RFR-034</v>
      </c>
      <c r="S238" s="315" t="str">
        <f t="shared" ref="S238:T238" si="480">IF(COUNTIF(W$2:W1399, $A238) &gt; 0,TRUE,IFERROR(0/0,""))</f>
        <v/>
      </c>
      <c r="T238" s="315" t="str">
        <f t="shared" si="480"/>
        <v/>
      </c>
      <c r="U238" s="114" t="str">
        <f t="array" ref="U238">IF(ISBLANK($R238), INDEX('Run Reconcile'!A$2:A1399, MATCH($B238, 'Run Reconcile'!B$2:B1399, 0)+Z238, 1), IFERROR(0/0,""))
</f>
        <v/>
      </c>
      <c r="V238" s="316" t="str">
        <f t="shared" si="5"/>
        <v>RUN-ABRM_2022-10-05_RFR-034</v>
      </c>
      <c r="Y238" s="317" t="str">
        <f t="shared" si="6"/>
        <v/>
      </c>
      <c r="Z238" s="83" t="str">
        <f t="shared" si="7"/>
        <v/>
      </c>
      <c r="AA238" s="83" t="str">
        <f t="shared" si="8"/>
        <v/>
      </c>
      <c r="AB238" s="83" t="str">
        <f t="shared" si="9"/>
        <v/>
      </c>
      <c r="AC238" s="18" t="str">
        <f t="shared" ref="AC238:AD238" si="481">IF(_xlfn.ISFORMULA(S238),IFERROR(0/0,""),TRUE)</f>
        <v/>
      </c>
      <c r="AD238" s="18" t="str">
        <f t="shared" si="481"/>
        <v/>
      </c>
      <c r="AE238" s="43"/>
      <c r="AF238" s="58" t="s">
        <v>51</v>
      </c>
      <c r="AG238" s="55" t="str">
        <f t="shared" si="11"/>
        <v/>
      </c>
    </row>
    <row r="239">
      <c r="A239" s="7" t="str">
        <f>IFERROR(__xludf.DUMMYFUNCTION("""COMPUTED_VALUE"""),"AH8503")</f>
        <v>AH8503</v>
      </c>
      <c r="B239" s="308">
        <f>IFERROR(__xludf.DUMMYFUNCTION("""COMPUTED_VALUE"""),44839.0)</f>
        <v>44839</v>
      </c>
      <c r="C239" s="309">
        <f>IFERROR(__xludf.DUMMYFUNCTION("""COMPUTED_VALUE"""),0.23453703703703704)</f>
        <v>0.234537037</v>
      </c>
      <c r="D239" s="7" t="str">
        <f>IFERROR(__xludf.DUMMYFUNCTION("""COMPUTED_VALUE"""),"SpABRM188986")</f>
        <v>SpABRM188986</v>
      </c>
      <c r="E239" s="310"/>
      <c r="F239" s="310"/>
      <c r="G239" s="310" t="str">
        <f>IFERROR(__xludf.DUMMYFUNCTION("""COMPUTED_VALUE"""),"Negative")</f>
        <v>Negative</v>
      </c>
      <c r="H239" s="319" t="str">
        <f>IFERROR(__xludf.DUMMYFUNCTION("""COMPUTED_VALUE"""),"Negative")</f>
        <v>Negative</v>
      </c>
      <c r="I239" s="308">
        <f>IFERROR(__xludf.DUMMYFUNCTION("""COMPUTED_VALUE"""),44839.0)</f>
        <v>44839</v>
      </c>
      <c r="J239" s="311">
        <f>IFERROR(__xludf.DUMMYFUNCTION("""COMPUTED_VALUE"""),0.4774074074074074)</f>
        <v>0.4774074074</v>
      </c>
      <c r="K239" s="54"/>
      <c r="L239" s="7"/>
      <c r="M239" s="312"/>
      <c r="N239" s="172">
        <f>IFERROR(__xludf.DUMMYFUNCTION("""COMPUTED_VALUE"""),2.0)</f>
        <v>2</v>
      </c>
      <c r="O239" s="172" t="str">
        <f t="shared" si="3"/>
        <v/>
      </c>
      <c r="P239" s="313">
        <f>IFERROR(__xludf.DUMMYFUNCTION("""COMPUTED_VALUE"""),0.0)</f>
        <v>0</v>
      </c>
      <c r="Q239" s="76" t="b">
        <f>VLOOKUP($B239,'Run Reconcile'!B$2:O1399,14,FALSE)</f>
        <v>1</v>
      </c>
      <c r="R239" s="314" t="str">
        <f t="array" ref="R239">IF($Q239, INDEX('Run Reconcile'!A$2:A1399,MATCH(B239,'Run Reconcile'!B$2:B1399,0),1),IFERROR(0/0,""))</f>
        <v>RUN-ABRM_2022-10-05_RFR-034</v>
      </c>
      <c r="S239" s="315" t="str">
        <f t="shared" ref="S239:T239" si="482">IF(COUNTIF(W$2:W1399, $A239) &gt; 0,TRUE,IFERROR(0/0,""))</f>
        <v/>
      </c>
      <c r="T239" s="315" t="str">
        <f t="shared" si="482"/>
        <v/>
      </c>
      <c r="U239" s="114" t="str">
        <f t="array" ref="U239">IF(ISBLANK($R239), INDEX('Run Reconcile'!A$2:A1399, MATCH($B239, 'Run Reconcile'!B$2:B1399, 0)+Z239, 1), IFERROR(0/0,""))
</f>
        <v/>
      </c>
      <c r="V239" s="316" t="str">
        <f t="shared" si="5"/>
        <v>RUN-ABRM_2022-10-05_RFR-034</v>
      </c>
      <c r="Y239" s="317" t="str">
        <f t="shared" si="6"/>
        <v/>
      </c>
      <c r="Z239" s="83" t="str">
        <f t="shared" si="7"/>
        <v/>
      </c>
      <c r="AA239" s="83" t="str">
        <f t="shared" si="8"/>
        <v/>
      </c>
      <c r="AB239" s="83" t="str">
        <f t="shared" si="9"/>
        <v/>
      </c>
      <c r="AC239" s="18" t="str">
        <f t="shared" ref="AC239:AD239" si="483">IF(_xlfn.ISFORMULA(S239),IFERROR(0/0,""),TRUE)</f>
        <v/>
      </c>
      <c r="AD239" s="18" t="str">
        <f t="shared" si="483"/>
        <v/>
      </c>
      <c r="AE239" s="43"/>
      <c r="AF239" s="58" t="s">
        <v>51</v>
      </c>
      <c r="AG239" s="55" t="str">
        <f t="shared" si="11"/>
        <v/>
      </c>
    </row>
    <row r="240">
      <c r="A240" s="7" t="str">
        <f>IFERROR(__xludf.DUMMYFUNCTION("""COMPUTED_VALUE"""),"AG1387")</f>
        <v>AG1387</v>
      </c>
      <c r="B240" s="308">
        <f>IFERROR(__xludf.DUMMYFUNCTION("""COMPUTED_VALUE"""),44839.0)</f>
        <v>44839</v>
      </c>
      <c r="C240" s="309">
        <f>IFERROR(__xludf.DUMMYFUNCTION("""COMPUTED_VALUE"""),0.2786342592592593)</f>
        <v>0.2786342593</v>
      </c>
      <c r="D240" s="7" t="str">
        <f>IFERROR(__xludf.DUMMYFUNCTION("""COMPUTED_VALUE"""),"SpABRM128250")</f>
        <v>SpABRM128250</v>
      </c>
      <c r="E240" s="310"/>
      <c r="F240" s="310"/>
      <c r="G240" s="310" t="str">
        <f>IFERROR(__xludf.DUMMYFUNCTION("""COMPUTED_VALUE"""),"Negative")</f>
        <v>Negative</v>
      </c>
      <c r="H240" s="319" t="str">
        <f>IFERROR(__xludf.DUMMYFUNCTION("""COMPUTED_VALUE"""),"Negative")</f>
        <v>Negative</v>
      </c>
      <c r="I240" s="308">
        <f>IFERROR(__xludf.DUMMYFUNCTION("""COMPUTED_VALUE"""),44839.0)</f>
        <v>44839</v>
      </c>
      <c r="J240" s="311">
        <f>IFERROR(__xludf.DUMMYFUNCTION("""COMPUTED_VALUE"""),0.4774074074074074)</f>
        <v>0.4774074074</v>
      </c>
      <c r="K240" s="54"/>
      <c r="L240" s="7"/>
      <c r="M240" s="312"/>
      <c r="N240" s="172">
        <f>IFERROR(__xludf.DUMMYFUNCTION("""COMPUTED_VALUE"""),3.0)</f>
        <v>3</v>
      </c>
      <c r="O240" s="172" t="str">
        <f t="shared" si="3"/>
        <v/>
      </c>
      <c r="P240" s="313">
        <f>IFERROR(__xludf.DUMMYFUNCTION("""COMPUTED_VALUE"""),0.0)</f>
        <v>0</v>
      </c>
      <c r="Q240" s="76" t="b">
        <f>VLOOKUP($B240,'Run Reconcile'!B$2:O1399,14,FALSE)</f>
        <v>1</v>
      </c>
      <c r="R240" s="314" t="str">
        <f t="array" ref="R240">IF($Q240, INDEX('Run Reconcile'!A$2:A1399,MATCH(B240,'Run Reconcile'!B$2:B1399,0),1),IFERROR(0/0,""))</f>
        <v>RUN-ABRM_2022-10-05_RFR-034</v>
      </c>
      <c r="S240" s="315" t="str">
        <f t="shared" ref="S240:T240" si="484">IF(COUNTIF(W$2:W1399, $A240) &gt; 0,TRUE,IFERROR(0/0,""))</f>
        <v/>
      </c>
      <c r="T240" s="315" t="str">
        <f t="shared" si="484"/>
        <v/>
      </c>
      <c r="U240" s="114" t="str">
        <f t="array" ref="U240">IF(ISBLANK($R240), INDEX('Run Reconcile'!A$2:A1399, MATCH($B240, 'Run Reconcile'!B$2:B1399, 0)+Z240, 1), IFERROR(0/0,""))
</f>
        <v/>
      </c>
      <c r="V240" s="316" t="str">
        <f t="shared" si="5"/>
        <v>RUN-ABRM_2022-10-05_RFR-034</v>
      </c>
      <c r="Y240" s="317" t="str">
        <f t="shared" si="6"/>
        <v/>
      </c>
      <c r="Z240" s="83" t="str">
        <f t="shared" si="7"/>
        <v/>
      </c>
      <c r="AA240" s="83" t="str">
        <f t="shared" si="8"/>
        <v/>
      </c>
      <c r="AB240" s="83" t="str">
        <f t="shared" si="9"/>
        <v/>
      </c>
      <c r="AC240" s="18" t="str">
        <f t="shared" ref="AC240:AD240" si="485">IF(_xlfn.ISFORMULA(S240),IFERROR(0/0,""),TRUE)</f>
        <v/>
      </c>
      <c r="AD240" s="18" t="str">
        <f t="shared" si="485"/>
        <v/>
      </c>
      <c r="AE240" s="43"/>
      <c r="AF240" s="58" t="s">
        <v>51</v>
      </c>
      <c r="AG240" s="55" t="str">
        <f t="shared" si="11"/>
        <v/>
      </c>
    </row>
    <row r="241">
      <c r="A241" s="7" t="str">
        <f>IFERROR(__xludf.DUMMYFUNCTION("""COMPUTED_VALUE"""),"AH7903")</f>
        <v>AH7903</v>
      </c>
      <c r="B241" s="308">
        <f>IFERROR(__xludf.DUMMYFUNCTION("""COMPUTED_VALUE"""),44839.0)</f>
        <v>44839</v>
      </c>
      <c r="C241" s="309">
        <f>IFERROR(__xludf.DUMMYFUNCTION("""COMPUTED_VALUE"""),0.28706018518518517)</f>
        <v>0.2870601852</v>
      </c>
      <c r="D241" s="7" t="str">
        <f>IFERROR(__xludf.DUMMYFUNCTION("""COMPUTED_VALUE"""),"SpABRM367540")</f>
        <v>SpABRM367540</v>
      </c>
      <c r="E241" s="310"/>
      <c r="F241" s="310"/>
      <c r="G241" s="310" t="str">
        <f>IFERROR(__xludf.DUMMYFUNCTION("""COMPUTED_VALUE"""),"Negative")</f>
        <v>Negative</v>
      </c>
      <c r="H241" s="319" t="str">
        <f>IFERROR(__xludf.DUMMYFUNCTION("""COMPUTED_VALUE"""),"Negative")</f>
        <v>Negative</v>
      </c>
      <c r="I241" s="308">
        <f>IFERROR(__xludf.DUMMYFUNCTION("""COMPUTED_VALUE"""),44839.0)</f>
        <v>44839</v>
      </c>
      <c r="J241" s="311">
        <f>IFERROR(__xludf.DUMMYFUNCTION("""COMPUTED_VALUE"""),0.4774189814814815)</f>
        <v>0.4774189815</v>
      </c>
      <c r="K241" s="54"/>
      <c r="L241" s="7"/>
      <c r="M241" s="312"/>
      <c r="N241" s="172">
        <f>IFERROR(__xludf.DUMMYFUNCTION("""COMPUTED_VALUE"""),3.0)</f>
        <v>3</v>
      </c>
      <c r="O241" s="172" t="str">
        <f t="shared" si="3"/>
        <v/>
      </c>
      <c r="P241" s="313">
        <f>IFERROR(__xludf.DUMMYFUNCTION("""COMPUTED_VALUE"""),0.0)</f>
        <v>0</v>
      </c>
      <c r="Q241" s="76" t="b">
        <f>VLOOKUP($B241,'Run Reconcile'!B$2:O1399,14,FALSE)</f>
        <v>1</v>
      </c>
      <c r="R241" s="314" t="str">
        <f t="array" ref="R241">IF($Q241, INDEX('Run Reconcile'!A$2:A1399,MATCH(B241,'Run Reconcile'!B$2:B1399,0),1),IFERROR(0/0,""))</f>
        <v>RUN-ABRM_2022-10-05_RFR-034</v>
      </c>
      <c r="S241" s="315" t="str">
        <f t="shared" ref="S241:T241" si="486">IF(COUNTIF(W$2:W1399, $A241) &gt; 0,TRUE,IFERROR(0/0,""))</f>
        <v/>
      </c>
      <c r="T241" s="315" t="str">
        <f t="shared" si="486"/>
        <v/>
      </c>
      <c r="U241" s="114" t="str">
        <f t="array" ref="U241">IF(ISBLANK($R241), INDEX('Run Reconcile'!A$2:A1399, MATCH($B241, 'Run Reconcile'!B$2:B1399, 0)+Z241, 1), IFERROR(0/0,""))
</f>
        <v/>
      </c>
      <c r="V241" s="316" t="str">
        <f t="shared" si="5"/>
        <v>RUN-ABRM_2022-10-05_RFR-034</v>
      </c>
      <c r="Y241" s="317" t="str">
        <f t="shared" si="6"/>
        <v/>
      </c>
      <c r="Z241" s="83" t="str">
        <f t="shared" si="7"/>
        <v/>
      </c>
      <c r="AA241" s="83" t="str">
        <f t="shared" si="8"/>
        <v/>
      </c>
      <c r="AB241" s="83" t="str">
        <f t="shared" si="9"/>
        <v/>
      </c>
      <c r="AC241" s="18" t="str">
        <f t="shared" ref="AC241:AD241" si="487">IF(_xlfn.ISFORMULA(S241),IFERROR(0/0,""),TRUE)</f>
        <v/>
      </c>
      <c r="AD241" s="18" t="str">
        <f t="shared" si="487"/>
        <v/>
      </c>
      <c r="AE241" s="43"/>
      <c r="AF241" s="58" t="s">
        <v>51</v>
      </c>
      <c r="AG241" s="55" t="str">
        <f t="shared" si="11"/>
        <v/>
      </c>
    </row>
    <row r="242">
      <c r="A242" s="7" t="str">
        <f>IFERROR(__xludf.DUMMYFUNCTION("""COMPUTED_VALUE"""),"AG845")</f>
        <v>AG845</v>
      </c>
      <c r="B242" s="308">
        <f>IFERROR(__xludf.DUMMYFUNCTION("""COMPUTED_VALUE"""),44839.0)</f>
        <v>44839</v>
      </c>
      <c r="C242" s="309">
        <f>IFERROR(__xludf.DUMMYFUNCTION("""COMPUTED_VALUE"""),0.29626157407407405)</f>
        <v>0.2962615741</v>
      </c>
      <c r="D242" s="7" t="str">
        <f>IFERROR(__xludf.DUMMYFUNCTION("""COMPUTED_VALUE"""),"SpABRM297307")</f>
        <v>SpABRM297307</v>
      </c>
      <c r="E242" s="310"/>
      <c r="F242" s="310"/>
      <c r="G242" s="310" t="str">
        <f>IFERROR(__xludf.DUMMYFUNCTION("""COMPUTED_VALUE"""),"Negative")</f>
        <v>Negative</v>
      </c>
      <c r="H242" s="319" t="str">
        <f>IFERROR(__xludf.DUMMYFUNCTION("""COMPUTED_VALUE"""),"Negative")</f>
        <v>Negative</v>
      </c>
      <c r="I242" s="308">
        <f>IFERROR(__xludf.DUMMYFUNCTION("""COMPUTED_VALUE"""),44839.0)</f>
        <v>44839</v>
      </c>
      <c r="J242" s="311">
        <f>IFERROR(__xludf.DUMMYFUNCTION("""COMPUTED_VALUE"""),0.4774189814814815)</f>
        <v>0.4774189815</v>
      </c>
      <c r="K242" s="54"/>
      <c r="L242" s="7"/>
      <c r="M242" s="312"/>
      <c r="N242" s="172">
        <f>IFERROR(__xludf.DUMMYFUNCTION("""COMPUTED_VALUE"""),3.0)</f>
        <v>3</v>
      </c>
      <c r="O242" s="172" t="str">
        <f t="shared" si="3"/>
        <v/>
      </c>
      <c r="P242" s="313">
        <f>IFERROR(__xludf.DUMMYFUNCTION("""COMPUTED_VALUE"""),0.0)</f>
        <v>0</v>
      </c>
      <c r="Q242" s="76" t="b">
        <f>VLOOKUP($B242,'Run Reconcile'!B$2:O1399,14,FALSE)</f>
        <v>1</v>
      </c>
      <c r="R242" s="314" t="str">
        <f t="array" ref="R242">IF($Q242, INDEX('Run Reconcile'!A$2:A1399,MATCH(B242,'Run Reconcile'!B$2:B1399,0),1),IFERROR(0/0,""))</f>
        <v>RUN-ABRM_2022-10-05_RFR-034</v>
      </c>
      <c r="S242" s="315" t="str">
        <f t="shared" ref="S242:T242" si="488">IF(COUNTIF(W$2:W1399, $A242) &gt; 0,TRUE,IFERROR(0/0,""))</f>
        <v/>
      </c>
      <c r="T242" s="315" t="str">
        <f t="shared" si="488"/>
        <v/>
      </c>
      <c r="U242" s="114" t="str">
        <f t="array" ref="U242">IF(ISBLANK($R242), INDEX('Run Reconcile'!A$2:A1399, MATCH($B242, 'Run Reconcile'!B$2:B1399, 0)+Z242, 1), IFERROR(0/0,""))
</f>
        <v/>
      </c>
      <c r="V242" s="316" t="str">
        <f t="shared" si="5"/>
        <v>RUN-ABRM_2022-10-05_RFR-034</v>
      </c>
      <c r="Y242" s="317" t="str">
        <f t="shared" si="6"/>
        <v/>
      </c>
      <c r="Z242" s="83" t="str">
        <f t="shared" si="7"/>
        <v/>
      </c>
      <c r="AA242" s="83" t="str">
        <f t="shared" si="8"/>
        <v/>
      </c>
      <c r="AB242" s="83" t="str">
        <f t="shared" si="9"/>
        <v/>
      </c>
      <c r="AC242" s="18" t="str">
        <f t="shared" ref="AC242:AD242" si="489">IF(_xlfn.ISFORMULA(S242),IFERROR(0/0,""),TRUE)</f>
        <v/>
      </c>
      <c r="AD242" s="18" t="str">
        <f t="shared" si="489"/>
        <v/>
      </c>
      <c r="AE242" s="43"/>
      <c r="AF242" s="58" t="s">
        <v>51</v>
      </c>
      <c r="AG242" s="55" t="str">
        <f t="shared" si="11"/>
        <v/>
      </c>
    </row>
    <row r="243">
      <c r="A243" s="7" t="str">
        <f>IFERROR(__xludf.DUMMYFUNCTION("""COMPUTED_VALUE"""),"AG816")</f>
        <v>AG816</v>
      </c>
      <c r="B243" s="308">
        <f>IFERROR(__xludf.DUMMYFUNCTION("""COMPUTED_VALUE"""),44839.0)</f>
        <v>44839</v>
      </c>
      <c r="C243" s="309">
        <f>IFERROR(__xludf.DUMMYFUNCTION("""COMPUTED_VALUE"""),0.29920138888888886)</f>
        <v>0.2992013889</v>
      </c>
      <c r="D243" s="7" t="str">
        <f>IFERROR(__xludf.DUMMYFUNCTION("""COMPUTED_VALUE"""),"SpABRM610758")</f>
        <v>SpABRM610758</v>
      </c>
      <c r="E243" s="310"/>
      <c r="F243" s="310"/>
      <c r="G243" s="310" t="str">
        <f>IFERROR(__xludf.DUMMYFUNCTION("""COMPUTED_VALUE"""),"Negative")</f>
        <v>Negative</v>
      </c>
      <c r="H243" s="319" t="str">
        <f>IFERROR(__xludf.DUMMYFUNCTION("""COMPUTED_VALUE"""),"Negative")</f>
        <v>Negative</v>
      </c>
      <c r="I243" s="308">
        <f>IFERROR(__xludf.DUMMYFUNCTION("""COMPUTED_VALUE"""),44839.0)</f>
        <v>44839</v>
      </c>
      <c r="J243" s="311">
        <f>IFERROR(__xludf.DUMMYFUNCTION("""COMPUTED_VALUE"""),0.4774189814814815)</f>
        <v>0.4774189815</v>
      </c>
      <c r="K243" s="54"/>
      <c r="L243" s="7"/>
      <c r="M243" s="312"/>
      <c r="N243" s="172">
        <f>IFERROR(__xludf.DUMMYFUNCTION("""COMPUTED_VALUE"""),3.0)</f>
        <v>3</v>
      </c>
      <c r="O243" s="172" t="str">
        <f t="shared" si="3"/>
        <v/>
      </c>
      <c r="P243" s="313">
        <f>IFERROR(__xludf.DUMMYFUNCTION("""COMPUTED_VALUE"""),0.0)</f>
        <v>0</v>
      </c>
      <c r="Q243" s="76" t="b">
        <f>VLOOKUP($B243,'Run Reconcile'!B$2:O1399,14,FALSE)</f>
        <v>1</v>
      </c>
      <c r="R243" s="314" t="str">
        <f t="array" ref="R243">IF($Q243, INDEX('Run Reconcile'!A$2:A1399,MATCH(B243,'Run Reconcile'!B$2:B1399,0),1),IFERROR(0/0,""))</f>
        <v>RUN-ABRM_2022-10-05_RFR-034</v>
      </c>
      <c r="S243" s="315" t="str">
        <f t="shared" ref="S243:T243" si="490">IF(COUNTIF(W$2:W1399, $A243) &gt; 0,TRUE,IFERROR(0/0,""))</f>
        <v/>
      </c>
      <c r="T243" s="315" t="str">
        <f t="shared" si="490"/>
        <v/>
      </c>
      <c r="U243" s="114" t="str">
        <f t="array" ref="U243">IF(ISBLANK($R243), INDEX('Run Reconcile'!A$2:A1399, MATCH($B243, 'Run Reconcile'!B$2:B1399, 0)+Z243, 1), IFERROR(0/0,""))
</f>
        <v/>
      </c>
      <c r="V243" s="316" t="str">
        <f t="shared" si="5"/>
        <v>RUN-ABRM_2022-10-05_RFR-034</v>
      </c>
      <c r="Y243" s="317" t="str">
        <f t="shared" si="6"/>
        <v/>
      </c>
      <c r="Z243" s="83" t="str">
        <f t="shared" si="7"/>
        <v/>
      </c>
      <c r="AA243" s="83" t="str">
        <f t="shared" si="8"/>
        <v/>
      </c>
      <c r="AB243" s="83" t="str">
        <f t="shared" si="9"/>
        <v/>
      </c>
      <c r="AC243" s="18" t="str">
        <f t="shared" ref="AC243:AD243" si="491">IF(_xlfn.ISFORMULA(S243),IFERROR(0/0,""),TRUE)</f>
        <v/>
      </c>
      <c r="AD243" s="18" t="str">
        <f t="shared" si="491"/>
        <v/>
      </c>
      <c r="AE243" s="43"/>
      <c r="AF243" s="58" t="s">
        <v>51</v>
      </c>
      <c r="AG243" s="55" t="str">
        <f t="shared" si="11"/>
        <v/>
      </c>
    </row>
    <row r="244">
      <c r="A244" s="7" t="str">
        <f>IFERROR(__xludf.DUMMYFUNCTION("""COMPUTED_VALUE"""),"AK5407")</f>
        <v>AK5407</v>
      </c>
      <c r="B244" s="308">
        <f>IFERROR(__xludf.DUMMYFUNCTION("""COMPUTED_VALUE"""),44839.0)</f>
        <v>44839</v>
      </c>
      <c r="C244" s="309">
        <f>IFERROR(__xludf.DUMMYFUNCTION("""COMPUTED_VALUE"""),0.3199074074074074)</f>
        <v>0.3199074074</v>
      </c>
      <c r="D244" s="7" t="str">
        <f>IFERROR(__xludf.DUMMYFUNCTION("""COMPUTED_VALUE"""),"SpABRM814022")</f>
        <v>SpABRM814022</v>
      </c>
      <c r="E244" s="310"/>
      <c r="F244" s="310"/>
      <c r="G244" s="310" t="str">
        <f>IFERROR(__xludf.DUMMYFUNCTION("""COMPUTED_VALUE"""),"Negative")</f>
        <v>Negative</v>
      </c>
      <c r="H244" s="319" t="str">
        <f>IFERROR(__xludf.DUMMYFUNCTION("""COMPUTED_VALUE"""),"Negative")</f>
        <v>Negative</v>
      </c>
      <c r="I244" s="308">
        <f>IFERROR(__xludf.DUMMYFUNCTION("""COMPUTED_VALUE"""),44839.0)</f>
        <v>44839</v>
      </c>
      <c r="J244" s="311">
        <f>IFERROR(__xludf.DUMMYFUNCTION("""COMPUTED_VALUE"""),0.4774189814814815)</f>
        <v>0.4774189815</v>
      </c>
      <c r="K244" s="54"/>
      <c r="L244" s="7"/>
      <c r="M244" s="312"/>
      <c r="N244" s="172">
        <f>IFERROR(__xludf.DUMMYFUNCTION("""COMPUTED_VALUE"""),1.0)</f>
        <v>1</v>
      </c>
      <c r="O244" s="172" t="str">
        <f t="shared" si="3"/>
        <v/>
      </c>
      <c r="P244" s="313">
        <f>IFERROR(__xludf.DUMMYFUNCTION("""COMPUTED_VALUE"""),0.0)</f>
        <v>0</v>
      </c>
      <c r="Q244" s="76" t="b">
        <f>VLOOKUP($B244,'Run Reconcile'!B$2:O1399,14,FALSE)</f>
        <v>1</v>
      </c>
      <c r="R244" s="314" t="str">
        <f t="array" ref="R244">IF($Q244, INDEX('Run Reconcile'!A$2:A1399,MATCH(B244,'Run Reconcile'!B$2:B1399,0),1),IFERROR(0/0,""))</f>
        <v>RUN-ABRM_2022-10-05_RFR-034</v>
      </c>
      <c r="S244" s="315" t="str">
        <f t="shared" ref="S244:T244" si="492">IF(COUNTIF(W$2:W1399, $A244) &gt; 0,TRUE,IFERROR(0/0,""))</f>
        <v/>
      </c>
      <c r="T244" s="315" t="str">
        <f t="shared" si="492"/>
        <v/>
      </c>
      <c r="U244" s="114" t="str">
        <f t="array" ref="U244">IF(ISBLANK($R244), INDEX('Run Reconcile'!A$2:A1399, MATCH($B244, 'Run Reconcile'!B$2:B1399, 0)+Z244, 1), IFERROR(0/0,""))
</f>
        <v/>
      </c>
      <c r="V244" s="316" t="str">
        <f t="shared" si="5"/>
        <v>RUN-ABRM_2022-10-05_RFR-034</v>
      </c>
      <c r="Y244" s="317" t="str">
        <f t="shared" si="6"/>
        <v/>
      </c>
      <c r="Z244" s="83" t="str">
        <f t="shared" si="7"/>
        <v/>
      </c>
      <c r="AA244" s="83" t="str">
        <f t="shared" si="8"/>
        <v/>
      </c>
      <c r="AB244" s="83" t="str">
        <f t="shared" si="9"/>
        <v/>
      </c>
      <c r="AC244" s="18" t="str">
        <f t="shared" ref="AC244:AD244" si="493">IF(_xlfn.ISFORMULA(S244),IFERROR(0/0,""),TRUE)</f>
        <v/>
      </c>
      <c r="AD244" s="18" t="str">
        <f t="shared" si="493"/>
        <v/>
      </c>
      <c r="AE244" s="43"/>
      <c r="AF244" s="58" t="s">
        <v>51</v>
      </c>
      <c r="AG244" s="55" t="str">
        <f t="shared" si="11"/>
        <v/>
      </c>
    </row>
    <row r="245">
      <c r="A245" s="7" t="str">
        <f>IFERROR(__xludf.DUMMYFUNCTION("""COMPUTED_VALUE"""),"AH8379")</f>
        <v>AH8379</v>
      </c>
      <c r="B245" s="308">
        <f>IFERROR(__xludf.DUMMYFUNCTION("""COMPUTED_VALUE"""),44839.0)</f>
        <v>44839</v>
      </c>
      <c r="C245" s="309">
        <f>IFERROR(__xludf.DUMMYFUNCTION("""COMPUTED_VALUE"""),0.4159259259259259)</f>
        <v>0.4159259259</v>
      </c>
      <c r="D245" s="7" t="str">
        <f>IFERROR(__xludf.DUMMYFUNCTION("""COMPUTED_VALUE"""),"SpABRM655136")</f>
        <v>SpABRM655136</v>
      </c>
      <c r="E245" s="310"/>
      <c r="F245" s="310"/>
      <c r="G245" s="310" t="str">
        <f>IFERROR(__xludf.DUMMYFUNCTION("""COMPUTED_VALUE"""),"Negative")</f>
        <v>Negative</v>
      </c>
      <c r="H245" s="319" t="str">
        <f>IFERROR(__xludf.DUMMYFUNCTION("""COMPUTED_VALUE"""),"Negative")</f>
        <v>Negative</v>
      </c>
      <c r="I245" s="308">
        <f>IFERROR(__xludf.DUMMYFUNCTION("""COMPUTED_VALUE"""),44839.0)</f>
        <v>44839</v>
      </c>
      <c r="J245" s="311">
        <f>IFERROR(__xludf.DUMMYFUNCTION("""COMPUTED_VALUE"""),0.4774189814814815)</f>
        <v>0.4774189815</v>
      </c>
      <c r="K245" s="54"/>
      <c r="L245" s="7"/>
      <c r="M245" s="312"/>
      <c r="N245" s="172">
        <f>IFERROR(__xludf.DUMMYFUNCTION("""COMPUTED_VALUE"""),2.0)</f>
        <v>2</v>
      </c>
      <c r="O245" s="172" t="str">
        <f t="shared" si="3"/>
        <v/>
      </c>
      <c r="P245" s="313">
        <f>IFERROR(__xludf.DUMMYFUNCTION("""COMPUTED_VALUE"""),0.0)</f>
        <v>0</v>
      </c>
      <c r="Q245" s="76" t="b">
        <f>VLOOKUP($B245,'Run Reconcile'!B$2:O1399,14,FALSE)</f>
        <v>1</v>
      </c>
      <c r="R245" s="314" t="str">
        <f t="array" ref="R245">IF($Q245, INDEX('Run Reconcile'!A$2:A1399,MATCH(B245,'Run Reconcile'!B$2:B1399,0),1),IFERROR(0/0,""))</f>
        <v>RUN-ABRM_2022-10-05_RFR-034</v>
      </c>
      <c r="S245" s="315" t="str">
        <f t="shared" ref="S245:T245" si="494">IF(COUNTIF(W$2:W1399, $A245) &gt; 0,TRUE,IFERROR(0/0,""))</f>
        <v/>
      </c>
      <c r="T245" s="315" t="str">
        <f t="shared" si="494"/>
        <v/>
      </c>
      <c r="U245" s="114" t="str">
        <f t="array" ref="U245">IF(ISBLANK($R245), INDEX('Run Reconcile'!A$2:A1399, MATCH($B245, 'Run Reconcile'!B$2:B1399, 0)+Z245, 1), IFERROR(0/0,""))
</f>
        <v/>
      </c>
      <c r="V245" s="316" t="str">
        <f t="shared" si="5"/>
        <v>RUN-ABRM_2022-10-05_RFR-034</v>
      </c>
      <c r="Y245" s="317" t="str">
        <f t="shared" si="6"/>
        <v/>
      </c>
      <c r="Z245" s="83" t="str">
        <f t="shared" si="7"/>
        <v/>
      </c>
      <c r="AA245" s="83" t="str">
        <f t="shared" si="8"/>
        <v/>
      </c>
      <c r="AB245" s="83" t="str">
        <f t="shared" si="9"/>
        <v/>
      </c>
      <c r="AC245" s="18" t="str">
        <f t="shared" ref="AC245:AD245" si="495">IF(_xlfn.ISFORMULA(S245),IFERROR(0/0,""),TRUE)</f>
        <v/>
      </c>
      <c r="AD245" s="18" t="str">
        <f t="shared" si="495"/>
        <v/>
      </c>
      <c r="AE245" s="43"/>
      <c r="AF245" s="58" t="s">
        <v>51</v>
      </c>
      <c r="AG245" s="55" t="str">
        <f t="shared" si="11"/>
        <v/>
      </c>
    </row>
    <row r="246">
      <c r="A246" s="7" t="str">
        <f>IFERROR(__xludf.DUMMYFUNCTION("""COMPUTED_VALUE"""),"AG1091")</f>
        <v>AG1091</v>
      </c>
      <c r="B246" s="308">
        <f>IFERROR(__xludf.DUMMYFUNCTION("""COMPUTED_VALUE"""),44839.0)</f>
        <v>44839</v>
      </c>
      <c r="C246" s="309">
        <f>IFERROR(__xludf.DUMMYFUNCTION("""COMPUTED_VALUE"""),0.4162037037037037)</f>
        <v>0.4162037037</v>
      </c>
      <c r="D246" s="7" t="str">
        <f>IFERROR(__xludf.DUMMYFUNCTION("""COMPUTED_VALUE"""),"SpABRM655136")</f>
        <v>SpABRM655136</v>
      </c>
      <c r="E246" s="310"/>
      <c r="F246" s="310"/>
      <c r="G246" s="310" t="str">
        <f>IFERROR(__xludf.DUMMYFUNCTION("""COMPUTED_VALUE"""),"Negative")</f>
        <v>Negative</v>
      </c>
      <c r="H246" s="319" t="str">
        <f>IFERROR(__xludf.DUMMYFUNCTION("""COMPUTED_VALUE"""),"Negative")</f>
        <v>Negative</v>
      </c>
      <c r="I246" s="308">
        <f>IFERROR(__xludf.DUMMYFUNCTION("""COMPUTED_VALUE"""),44839.0)</f>
        <v>44839</v>
      </c>
      <c r="J246" s="311">
        <f>IFERROR(__xludf.DUMMYFUNCTION("""COMPUTED_VALUE"""),0.4774189814814815)</f>
        <v>0.4774189815</v>
      </c>
      <c r="K246" s="54"/>
      <c r="L246" s="7"/>
      <c r="M246" s="312"/>
      <c r="N246" s="172">
        <f>IFERROR(__xludf.DUMMYFUNCTION("""COMPUTED_VALUE"""),3.0)</f>
        <v>3</v>
      </c>
      <c r="O246" s="172" t="str">
        <f t="shared" si="3"/>
        <v/>
      </c>
      <c r="P246" s="313">
        <f>IFERROR(__xludf.DUMMYFUNCTION("""COMPUTED_VALUE"""),0.0)</f>
        <v>0</v>
      </c>
      <c r="Q246" s="76" t="b">
        <f>VLOOKUP($B246,'Run Reconcile'!B$2:O1399,14,FALSE)</f>
        <v>1</v>
      </c>
      <c r="R246" s="314" t="str">
        <f t="array" ref="R246">IF($Q246, INDEX('Run Reconcile'!A$2:A1399,MATCH(B246,'Run Reconcile'!B$2:B1399,0),1),IFERROR(0/0,""))</f>
        <v>RUN-ABRM_2022-10-05_RFR-034</v>
      </c>
      <c r="S246" s="315" t="str">
        <f t="shared" ref="S246:T246" si="496">IF(COUNTIF(W$2:W1399, $A246) &gt; 0,TRUE,IFERROR(0/0,""))</f>
        <v/>
      </c>
      <c r="T246" s="315" t="str">
        <f t="shared" si="496"/>
        <v/>
      </c>
      <c r="U246" s="114" t="str">
        <f t="array" ref="U246">IF(ISBLANK($R246), INDEX('Run Reconcile'!A$2:A1399, MATCH($B246, 'Run Reconcile'!B$2:B1399, 0)+Z246, 1), IFERROR(0/0,""))
</f>
        <v/>
      </c>
      <c r="V246" s="316" t="str">
        <f t="shared" si="5"/>
        <v>RUN-ABRM_2022-10-05_RFR-034</v>
      </c>
      <c r="Y246" s="317" t="str">
        <f t="shared" si="6"/>
        <v/>
      </c>
      <c r="Z246" s="83" t="str">
        <f t="shared" si="7"/>
        <v/>
      </c>
      <c r="AA246" s="83" t="str">
        <f t="shared" si="8"/>
        <v/>
      </c>
      <c r="AB246" s="83" t="str">
        <f t="shared" si="9"/>
        <v/>
      </c>
      <c r="AC246" s="18" t="str">
        <f t="shared" ref="AC246:AD246" si="497">IF(_xlfn.ISFORMULA(S246),IFERROR(0/0,""),TRUE)</f>
        <v/>
      </c>
      <c r="AD246" s="18" t="str">
        <f t="shared" si="497"/>
        <v/>
      </c>
      <c r="AE246" s="43"/>
      <c r="AF246" s="58" t="s">
        <v>51</v>
      </c>
      <c r="AG246" s="55" t="str">
        <f t="shared" si="11"/>
        <v/>
      </c>
    </row>
    <row r="247">
      <c r="A247" s="7" t="str">
        <f>IFERROR(__xludf.DUMMYFUNCTION("""COMPUTED_VALUE"""),"AG994")</f>
        <v>AG994</v>
      </c>
      <c r="B247" s="308">
        <f>IFERROR(__xludf.DUMMYFUNCTION("""COMPUTED_VALUE"""),44839.0)</f>
        <v>44839</v>
      </c>
      <c r="C247" s="309">
        <f>IFERROR(__xludf.DUMMYFUNCTION("""COMPUTED_VALUE"""),0.4164699074074074)</f>
        <v>0.4164699074</v>
      </c>
      <c r="D247" s="7" t="str">
        <f>IFERROR(__xludf.DUMMYFUNCTION("""COMPUTED_VALUE"""),"SpABRM655136")</f>
        <v>SpABRM655136</v>
      </c>
      <c r="E247" s="310"/>
      <c r="F247" s="310"/>
      <c r="G247" s="310" t="str">
        <f>IFERROR(__xludf.DUMMYFUNCTION("""COMPUTED_VALUE"""),"Negative")</f>
        <v>Negative</v>
      </c>
      <c r="H247" s="319" t="str">
        <f>IFERROR(__xludf.DUMMYFUNCTION("""COMPUTED_VALUE"""),"Negative")</f>
        <v>Negative</v>
      </c>
      <c r="I247" s="308">
        <f>IFERROR(__xludf.DUMMYFUNCTION("""COMPUTED_VALUE"""),44839.0)</f>
        <v>44839</v>
      </c>
      <c r="J247" s="311">
        <f>IFERROR(__xludf.DUMMYFUNCTION("""COMPUTED_VALUE"""),0.4774305555555556)</f>
        <v>0.4774305556</v>
      </c>
      <c r="K247" s="54"/>
      <c r="L247" s="7"/>
      <c r="M247" s="312"/>
      <c r="N247" s="172">
        <f>IFERROR(__xludf.DUMMYFUNCTION("""COMPUTED_VALUE"""),2.0)</f>
        <v>2</v>
      </c>
      <c r="O247" s="172" t="str">
        <f t="shared" si="3"/>
        <v/>
      </c>
      <c r="P247" s="313">
        <f>IFERROR(__xludf.DUMMYFUNCTION("""COMPUTED_VALUE"""),0.0)</f>
        <v>0</v>
      </c>
      <c r="Q247" s="76" t="b">
        <f>VLOOKUP($B247,'Run Reconcile'!B$2:O1399,14,FALSE)</f>
        <v>1</v>
      </c>
      <c r="R247" s="314" t="str">
        <f t="array" ref="R247">IF($Q247, INDEX('Run Reconcile'!A$2:A1399,MATCH(B247,'Run Reconcile'!B$2:B1399,0),1),IFERROR(0/0,""))</f>
        <v>RUN-ABRM_2022-10-05_RFR-034</v>
      </c>
      <c r="S247" s="315" t="str">
        <f t="shared" ref="S247:T247" si="498">IF(COUNTIF(W$2:W1399, $A247) &gt; 0,TRUE,IFERROR(0/0,""))</f>
        <v/>
      </c>
      <c r="T247" s="315" t="str">
        <f t="shared" si="498"/>
        <v/>
      </c>
      <c r="U247" s="114" t="str">
        <f t="array" ref="U247">IF(ISBLANK($R247), INDEX('Run Reconcile'!A$2:A1399, MATCH($B247, 'Run Reconcile'!B$2:B1399, 0)+Z247, 1), IFERROR(0/0,""))
</f>
        <v/>
      </c>
      <c r="V247" s="316" t="str">
        <f t="shared" si="5"/>
        <v>RUN-ABRM_2022-10-05_RFR-034</v>
      </c>
      <c r="Y247" s="317" t="str">
        <f t="shared" si="6"/>
        <v/>
      </c>
      <c r="Z247" s="83" t="str">
        <f t="shared" si="7"/>
        <v/>
      </c>
      <c r="AA247" s="83" t="str">
        <f t="shared" si="8"/>
        <v/>
      </c>
      <c r="AB247" s="83" t="str">
        <f t="shared" si="9"/>
        <v/>
      </c>
      <c r="AC247" s="18" t="str">
        <f t="shared" ref="AC247:AD247" si="499">IF(_xlfn.ISFORMULA(S247),IFERROR(0/0,""),TRUE)</f>
        <v/>
      </c>
      <c r="AD247" s="18" t="str">
        <f t="shared" si="499"/>
        <v/>
      </c>
      <c r="AE247" s="43"/>
      <c r="AF247" s="58" t="s">
        <v>51</v>
      </c>
      <c r="AG247" s="55" t="str">
        <f t="shared" si="11"/>
        <v/>
      </c>
    </row>
    <row r="248">
      <c r="A248" s="7" t="str">
        <f>IFERROR(__xludf.DUMMYFUNCTION("""COMPUTED_VALUE"""),"AG1814")</f>
        <v>AG1814</v>
      </c>
      <c r="B248" s="308">
        <f>IFERROR(__xludf.DUMMYFUNCTION("""COMPUTED_VALUE"""),44839.0)</f>
        <v>44839</v>
      </c>
      <c r="C248" s="309">
        <f>IFERROR(__xludf.DUMMYFUNCTION("""COMPUTED_VALUE"""),0.41689814814814813)</f>
        <v>0.4168981481</v>
      </c>
      <c r="D248" s="7" t="str">
        <f>IFERROR(__xludf.DUMMYFUNCTION("""COMPUTED_VALUE"""),"SpABRM655136")</f>
        <v>SpABRM655136</v>
      </c>
      <c r="E248" s="310"/>
      <c r="F248" s="310"/>
      <c r="G248" s="310" t="str">
        <f>IFERROR(__xludf.DUMMYFUNCTION("""COMPUTED_VALUE"""),"Negative")</f>
        <v>Negative</v>
      </c>
      <c r="H248" s="319" t="str">
        <f>IFERROR(__xludf.DUMMYFUNCTION("""COMPUTED_VALUE"""),"Negative")</f>
        <v>Negative</v>
      </c>
      <c r="I248" s="308">
        <f>IFERROR(__xludf.DUMMYFUNCTION("""COMPUTED_VALUE"""),44839.0)</f>
        <v>44839</v>
      </c>
      <c r="J248" s="311">
        <f>IFERROR(__xludf.DUMMYFUNCTION("""COMPUTED_VALUE"""),0.4774305555555556)</f>
        <v>0.4774305556</v>
      </c>
      <c r="K248" s="54"/>
      <c r="L248" s="7"/>
      <c r="M248" s="312"/>
      <c r="N248" s="172">
        <f>IFERROR(__xludf.DUMMYFUNCTION("""COMPUTED_VALUE"""),4.0)</f>
        <v>4</v>
      </c>
      <c r="O248" s="172" t="str">
        <f t="shared" si="3"/>
        <v/>
      </c>
      <c r="P248" s="313">
        <f>IFERROR(__xludf.DUMMYFUNCTION("""COMPUTED_VALUE"""),0.0)</f>
        <v>0</v>
      </c>
      <c r="Q248" s="76" t="b">
        <f>VLOOKUP($B248,'Run Reconcile'!B$2:O1399,14,FALSE)</f>
        <v>1</v>
      </c>
      <c r="R248" s="314" t="str">
        <f t="array" ref="R248">IF($Q248, INDEX('Run Reconcile'!A$2:A1399,MATCH(B248,'Run Reconcile'!B$2:B1399,0),1),IFERROR(0/0,""))</f>
        <v>RUN-ABRM_2022-10-05_RFR-034</v>
      </c>
      <c r="S248" s="315" t="str">
        <f t="shared" ref="S248:T248" si="500">IF(COUNTIF(W$2:W1399, $A248) &gt; 0,TRUE,IFERROR(0/0,""))</f>
        <v/>
      </c>
      <c r="T248" s="315" t="str">
        <f t="shared" si="500"/>
        <v/>
      </c>
      <c r="U248" s="114" t="str">
        <f t="array" ref="U248">IF(ISBLANK($R248), INDEX('Run Reconcile'!A$2:A1399, MATCH($B248, 'Run Reconcile'!B$2:B1399, 0)+Z248, 1), IFERROR(0/0,""))
</f>
        <v/>
      </c>
      <c r="V248" s="316" t="str">
        <f t="shared" si="5"/>
        <v>RUN-ABRM_2022-10-05_RFR-034</v>
      </c>
      <c r="Y248" s="317" t="str">
        <f t="shared" si="6"/>
        <v/>
      </c>
      <c r="Z248" s="83" t="str">
        <f t="shared" si="7"/>
        <v/>
      </c>
      <c r="AA248" s="83" t="str">
        <f t="shared" si="8"/>
        <v/>
      </c>
      <c r="AB248" s="83" t="str">
        <f t="shared" si="9"/>
        <v/>
      </c>
      <c r="AC248" s="18" t="str">
        <f t="shared" ref="AC248:AD248" si="501">IF(_xlfn.ISFORMULA(S248),IFERROR(0/0,""),TRUE)</f>
        <v/>
      </c>
      <c r="AD248" s="18" t="str">
        <f t="shared" si="501"/>
        <v/>
      </c>
      <c r="AE248" s="43"/>
      <c r="AF248" s="58" t="s">
        <v>51</v>
      </c>
      <c r="AG248" s="55" t="str">
        <f t="shared" si="11"/>
        <v/>
      </c>
    </row>
    <row r="249">
      <c r="A249" s="7" t="str">
        <f>IFERROR(__xludf.DUMMYFUNCTION("""COMPUTED_VALUE"""),"AG1588")</f>
        <v>AG1588</v>
      </c>
      <c r="B249" s="308">
        <f>IFERROR(__xludf.DUMMYFUNCTION("""COMPUTED_VALUE"""),44839.0)</f>
        <v>44839</v>
      </c>
      <c r="C249" s="309">
        <f>IFERROR(__xludf.DUMMYFUNCTION("""COMPUTED_VALUE"""),0.41822916666666665)</f>
        <v>0.4182291667</v>
      </c>
      <c r="D249" s="7" t="str">
        <f>IFERROR(__xludf.DUMMYFUNCTION("""COMPUTED_VALUE"""),"SpABRM655136")</f>
        <v>SpABRM655136</v>
      </c>
      <c r="E249" s="310"/>
      <c r="F249" s="310"/>
      <c r="G249" s="310" t="str">
        <f>IFERROR(__xludf.DUMMYFUNCTION("""COMPUTED_VALUE"""),"Negative")</f>
        <v>Negative</v>
      </c>
      <c r="H249" s="319" t="str">
        <f>IFERROR(__xludf.DUMMYFUNCTION("""COMPUTED_VALUE"""),"Negative")</f>
        <v>Negative</v>
      </c>
      <c r="I249" s="308">
        <f>IFERROR(__xludf.DUMMYFUNCTION("""COMPUTED_VALUE"""),44839.0)</f>
        <v>44839</v>
      </c>
      <c r="J249" s="311">
        <f>IFERROR(__xludf.DUMMYFUNCTION("""COMPUTED_VALUE"""),0.4774305555555556)</f>
        <v>0.4774305556</v>
      </c>
      <c r="K249" s="54"/>
      <c r="L249" s="7"/>
      <c r="M249" s="312"/>
      <c r="N249" s="172">
        <f>IFERROR(__xludf.DUMMYFUNCTION("""COMPUTED_VALUE"""),1.0)</f>
        <v>1</v>
      </c>
      <c r="O249" s="172" t="str">
        <f t="shared" si="3"/>
        <v/>
      </c>
      <c r="P249" s="313">
        <f>IFERROR(__xludf.DUMMYFUNCTION("""COMPUTED_VALUE"""),0.0)</f>
        <v>0</v>
      </c>
      <c r="Q249" s="76" t="b">
        <f>VLOOKUP($B249,'Run Reconcile'!B$2:O1399,14,FALSE)</f>
        <v>1</v>
      </c>
      <c r="R249" s="314" t="str">
        <f t="array" ref="R249">IF($Q249, INDEX('Run Reconcile'!A$2:A1399,MATCH(B249,'Run Reconcile'!B$2:B1399,0),1),IFERROR(0/0,""))</f>
        <v>RUN-ABRM_2022-10-05_RFR-034</v>
      </c>
      <c r="S249" s="315" t="str">
        <f t="shared" ref="S249:T249" si="502">IF(COUNTIF(W$2:W1399, $A249) &gt; 0,TRUE,IFERROR(0/0,""))</f>
        <v/>
      </c>
      <c r="T249" s="315" t="str">
        <f t="shared" si="502"/>
        <v/>
      </c>
      <c r="U249" s="114" t="str">
        <f t="array" ref="U249">IF(ISBLANK($R249), INDEX('Run Reconcile'!A$2:A1399, MATCH($B249, 'Run Reconcile'!B$2:B1399, 0)+Z249, 1), IFERROR(0/0,""))
</f>
        <v/>
      </c>
      <c r="V249" s="316" t="str">
        <f t="shared" si="5"/>
        <v>RUN-ABRM_2022-10-05_RFR-034</v>
      </c>
      <c r="Y249" s="317" t="str">
        <f t="shared" si="6"/>
        <v/>
      </c>
      <c r="Z249" s="83" t="str">
        <f t="shared" si="7"/>
        <v/>
      </c>
      <c r="AA249" s="83" t="str">
        <f t="shared" si="8"/>
        <v/>
      </c>
      <c r="AB249" s="83" t="str">
        <f t="shared" si="9"/>
        <v/>
      </c>
      <c r="AC249" s="18" t="str">
        <f t="shared" ref="AC249:AD249" si="503">IF(_xlfn.ISFORMULA(S249),IFERROR(0/0,""),TRUE)</f>
        <v/>
      </c>
      <c r="AD249" s="18" t="str">
        <f t="shared" si="503"/>
        <v/>
      </c>
      <c r="AE249" s="43"/>
      <c r="AF249" s="58" t="s">
        <v>51</v>
      </c>
      <c r="AG249" s="55" t="str">
        <f t="shared" si="11"/>
        <v/>
      </c>
    </row>
    <row r="250">
      <c r="A250" s="7" t="str">
        <f>IFERROR(__xludf.DUMMYFUNCTION("""COMPUTED_VALUE"""),"AG1694")</f>
        <v>AG1694</v>
      </c>
      <c r="B250" s="308">
        <f>IFERROR(__xludf.DUMMYFUNCTION("""COMPUTED_VALUE"""),44840.0)</f>
        <v>44840</v>
      </c>
      <c r="C250" s="309">
        <f>IFERROR(__xludf.DUMMYFUNCTION("""COMPUTED_VALUE"""),0.2560648148148148)</f>
        <v>0.2560648148</v>
      </c>
      <c r="D250" s="7" t="str">
        <f>IFERROR(__xludf.DUMMYFUNCTION("""COMPUTED_VALUE"""),"SpABRM516158")</f>
        <v>SpABRM516158</v>
      </c>
      <c r="E250" s="310"/>
      <c r="F250" s="310"/>
      <c r="G250" s="310" t="str">
        <f>IFERROR(__xludf.DUMMYFUNCTION("""COMPUTED_VALUE"""),"Negative")</f>
        <v>Negative</v>
      </c>
      <c r="H250" s="319" t="str">
        <f>IFERROR(__xludf.DUMMYFUNCTION("""COMPUTED_VALUE"""),"Negative")</f>
        <v>Negative</v>
      </c>
      <c r="I250" s="308">
        <f>IFERROR(__xludf.DUMMYFUNCTION("""COMPUTED_VALUE"""),44840.0)</f>
        <v>44840</v>
      </c>
      <c r="J250" s="311">
        <f>IFERROR(__xludf.DUMMYFUNCTION("""COMPUTED_VALUE"""),0.4099421296296296)</f>
        <v>0.4099421296</v>
      </c>
      <c r="K250" s="54"/>
      <c r="L250" s="7"/>
      <c r="M250" s="312"/>
      <c r="N250" s="172">
        <f>IFERROR(__xludf.DUMMYFUNCTION("""COMPUTED_VALUE"""),1.0)</f>
        <v>1</v>
      </c>
      <c r="O250" s="172" t="b">
        <f t="shared" si="3"/>
        <v>1</v>
      </c>
      <c r="P250" s="313">
        <f>IFERROR(__xludf.DUMMYFUNCTION("""COMPUTED_VALUE"""),0.0)</f>
        <v>0</v>
      </c>
      <c r="Q250" s="76" t="b">
        <f>VLOOKUP($B250,'Run Reconcile'!B$2:O1399,14,FALSE)</f>
        <v>1</v>
      </c>
      <c r="R250" s="314" t="str">
        <f t="array" ref="R250">IF($Q250, INDEX('Run Reconcile'!A$2:A1399,MATCH(B250,'Run Reconcile'!B$2:B1399,0),1),IFERROR(0/0,""))</f>
        <v>RUN-ABRM_2022-10-06_RFR-036</v>
      </c>
      <c r="S250" s="315" t="str">
        <f t="shared" ref="S250:T250" si="504">IF(COUNTIF(W$2:W1399, $A250) &gt; 0,TRUE,IFERROR(0/0,""))</f>
        <v/>
      </c>
      <c r="T250" s="315" t="str">
        <f t="shared" si="504"/>
        <v/>
      </c>
      <c r="U250" s="114" t="str">
        <f t="array" ref="U250">IF(ISBLANK($R250), INDEX('Run Reconcile'!A$2:A1399, MATCH($B250, 'Run Reconcile'!B$2:B1399, 0)+Z250, 1), IFERROR(0/0,""))
</f>
        <v/>
      </c>
      <c r="V250" s="316" t="str">
        <f t="shared" si="5"/>
        <v>RUN-ABRM_2022-10-06_RFR-036</v>
      </c>
      <c r="Y250" s="317" t="str">
        <f t="shared" si="6"/>
        <v/>
      </c>
      <c r="Z250" s="83" t="str">
        <f t="shared" si="7"/>
        <v/>
      </c>
      <c r="AA250" s="83" t="str">
        <f t="shared" si="8"/>
        <v/>
      </c>
      <c r="AB250" s="83" t="str">
        <f t="shared" si="9"/>
        <v/>
      </c>
      <c r="AC250" s="18" t="str">
        <f t="shared" ref="AC250:AD250" si="505">IF(_xlfn.ISFORMULA(S250),IFERROR(0/0,""),TRUE)</f>
        <v/>
      </c>
      <c r="AD250" s="18" t="str">
        <f t="shared" si="505"/>
        <v/>
      </c>
      <c r="AE250" s="43"/>
      <c r="AF250" s="58" t="s">
        <v>52</v>
      </c>
      <c r="AG250" s="55" t="str">
        <f t="shared" si="11"/>
        <v/>
      </c>
    </row>
    <row r="251">
      <c r="A251" s="7" t="str">
        <f>IFERROR(__xludf.DUMMYFUNCTION("""COMPUTED_VALUE"""),"AH9775")</f>
        <v>AH9775</v>
      </c>
      <c r="B251" s="308">
        <f>IFERROR(__xludf.DUMMYFUNCTION("""COMPUTED_VALUE"""),44840.0)</f>
        <v>44840</v>
      </c>
      <c r="C251" s="309">
        <f>IFERROR(__xludf.DUMMYFUNCTION("""COMPUTED_VALUE"""),0.2703009259259259)</f>
        <v>0.2703009259</v>
      </c>
      <c r="D251" s="7" t="str">
        <f>IFERROR(__xludf.DUMMYFUNCTION("""COMPUTED_VALUE"""),"SpABRM454310")</f>
        <v>SpABRM454310</v>
      </c>
      <c r="E251" s="310"/>
      <c r="F251" s="310"/>
      <c r="G251" s="310" t="str">
        <f>IFERROR(__xludf.DUMMYFUNCTION("""COMPUTED_VALUE"""),"Negative")</f>
        <v>Negative</v>
      </c>
      <c r="H251" s="319" t="str">
        <f>IFERROR(__xludf.DUMMYFUNCTION("""COMPUTED_VALUE"""),"Negative")</f>
        <v>Negative</v>
      </c>
      <c r="I251" s="308">
        <f>IFERROR(__xludf.DUMMYFUNCTION("""COMPUTED_VALUE"""),44840.0)</f>
        <v>44840</v>
      </c>
      <c r="J251" s="311">
        <f>IFERROR(__xludf.DUMMYFUNCTION("""COMPUTED_VALUE"""),0.4099421296296296)</f>
        <v>0.4099421296</v>
      </c>
      <c r="K251" s="54"/>
      <c r="L251" s="7"/>
      <c r="M251" s="312"/>
      <c r="N251" s="172">
        <f>IFERROR(__xludf.DUMMYFUNCTION("""COMPUTED_VALUE"""),2.0)</f>
        <v>2</v>
      </c>
      <c r="O251" s="172" t="str">
        <f t="shared" si="3"/>
        <v/>
      </c>
      <c r="P251" s="313">
        <f>IFERROR(__xludf.DUMMYFUNCTION("""COMPUTED_VALUE"""),0.0)</f>
        <v>0</v>
      </c>
      <c r="Q251" s="76" t="b">
        <f>VLOOKUP($B251,'Run Reconcile'!B$2:O1399,14,FALSE)</f>
        <v>1</v>
      </c>
      <c r="R251" s="314" t="str">
        <f t="array" ref="R251">IF($Q251, INDEX('Run Reconcile'!A$2:A1399,MATCH(B251,'Run Reconcile'!B$2:B1399,0),1),IFERROR(0/0,""))</f>
        <v>RUN-ABRM_2022-10-06_RFR-036</v>
      </c>
      <c r="S251" s="315" t="str">
        <f t="shared" ref="S251:T251" si="506">IF(COUNTIF(W$2:W1399, $A251) &gt; 0,TRUE,IFERROR(0/0,""))</f>
        <v/>
      </c>
      <c r="T251" s="315" t="str">
        <f t="shared" si="506"/>
        <v/>
      </c>
      <c r="U251" s="114" t="str">
        <f t="array" ref="U251">IF(ISBLANK($R251), INDEX('Run Reconcile'!A$2:A1399, MATCH($B251, 'Run Reconcile'!B$2:B1399, 0)+Z251, 1), IFERROR(0/0,""))
</f>
        <v/>
      </c>
      <c r="V251" s="316" t="str">
        <f t="shared" si="5"/>
        <v>RUN-ABRM_2022-10-06_RFR-036</v>
      </c>
      <c r="Y251" s="317" t="str">
        <f t="shared" si="6"/>
        <v/>
      </c>
      <c r="Z251" s="83" t="str">
        <f t="shared" si="7"/>
        <v/>
      </c>
      <c r="AA251" s="83" t="str">
        <f t="shared" si="8"/>
        <v/>
      </c>
      <c r="AB251" s="83" t="str">
        <f t="shared" si="9"/>
        <v/>
      </c>
      <c r="AC251" s="18" t="str">
        <f t="shared" ref="AC251:AD251" si="507">IF(_xlfn.ISFORMULA(S251),IFERROR(0/0,""),TRUE)</f>
        <v/>
      </c>
      <c r="AD251" s="18" t="str">
        <f t="shared" si="507"/>
        <v/>
      </c>
      <c r="AE251" s="43"/>
      <c r="AF251" s="58" t="s">
        <v>52</v>
      </c>
      <c r="AG251" s="55" t="str">
        <f t="shared" si="11"/>
        <v/>
      </c>
    </row>
    <row r="252">
      <c r="A252" s="7" t="str">
        <f>IFERROR(__xludf.DUMMYFUNCTION("""COMPUTED_VALUE"""),"AG1672")</f>
        <v>AG1672</v>
      </c>
      <c r="B252" s="308">
        <f>IFERROR(__xludf.DUMMYFUNCTION("""COMPUTED_VALUE"""),44840.0)</f>
        <v>44840</v>
      </c>
      <c r="C252" s="309">
        <f>IFERROR(__xludf.DUMMYFUNCTION("""COMPUTED_VALUE"""),0.28043981481481484)</f>
        <v>0.2804398148</v>
      </c>
      <c r="D252" s="7" t="str">
        <f>IFERROR(__xludf.DUMMYFUNCTION("""COMPUTED_VALUE"""),"SpABRM297307")</f>
        <v>SpABRM297307</v>
      </c>
      <c r="E252" s="310"/>
      <c r="F252" s="310"/>
      <c r="G252" s="310" t="str">
        <f>IFERROR(__xludf.DUMMYFUNCTION("""COMPUTED_VALUE"""),"Negative")</f>
        <v>Negative</v>
      </c>
      <c r="H252" s="319" t="str">
        <f>IFERROR(__xludf.DUMMYFUNCTION("""COMPUTED_VALUE"""),"Negative")</f>
        <v>Negative</v>
      </c>
      <c r="I252" s="308">
        <f>IFERROR(__xludf.DUMMYFUNCTION("""COMPUTED_VALUE"""),44840.0)</f>
        <v>44840</v>
      </c>
      <c r="J252" s="311">
        <f>IFERROR(__xludf.DUMMYFUNCTION("""COMPUTED_VALUE"""),0.4099421296296296)</f>
        <v>0.4099421296</v>
      </c>
      <c r="K252" s="54"/>
      <c r="L252" s="7"/>
      <c r="M252" s="312"/>
      <c r="N252" s="172">
        <f>IFERROR(__xludf.DUMMYFUNCTION("""COMPUTED_VALUE"""),4.0)</f>
        <v>4</v>
      </c>
      <c r="O252" s="172" t="str">
        <f t="shared" si="3"/>
        <v/>
      </c>
      <c r="P252" s="313">
        <f>IFERROR(__xludf.DUMMYFUNCTION("""COMPUTED_VALUE"""),0.0)</f>
        <v>0</v>
      </c>
      <c r="Q252" s="76" t="b">
        <f>VLOOKUP($B252,'Run Reconcile'!B$2:O1399,14,FALSE)</f>
        <v>1</v>
      </c>
      <c r="R252" s="314" t="str">
        <f t="array" ref="R252">IF($Q252, INDEX('Run Reconcile'!A$2:A1399,MATCH(B252,'Run Reconcile'!B$2:B1399,0),1),IFERROR(0/0,""))</f>
        <v>RUN-ABRM_2022-10-06_RFR-036</v>
      </c>
      <c r="S252" s="315" t="str">
        <f t="shared" ref="S252:T252" si="508">IF(COUNTIF(W$2:W1399, $A252) &gt; 0,TRUE,IFERROR(0/0,""))</f>
        <v/>
      </c>
      <c r="T252" s="315" t="str">
        <f t="shared" si="508"/>
        <v/>
      </c>
      <c r="U252" s="114" t="str">
        <f t="array" ref="U252">IF(ISBLANK($R252), INDEX('Run Reconcile'!A$2:A1399, MATCH($B252, 'Run Reconcile'!B$2:B1399, 0)+Z252, 1), IFERROR(0/0,""))
</f>
        <v/>
      </c>
      <c r="V252" s="316" t="str">
        <f t="shared" si="5"/>
        <v>RUN-ABRM_2022-10-06_RFR-036</v>
      </c>
      <c r="Y252" s="317" t="str">
        <f t="shared" si="6"/>
        <v/>
      </c>
      <c r="Z252" s="83" t="str">
        <f t="shared" si="7"/>
        <v/>
      </c>
      <c r="AA252" s="83" t="str">
        <f t="shared" si="8"/>
        <v/>
      </c>
      <c r="AB252" s="83" t="str">
        <f t="shared" si="9"/>
        <v/>
      </c>
      <c r="AC252" s="18" t="str">
        <f t="shared" ref="AC252:AD252" si="509">IF(_xlfn.ISFORMULA(S252),IFERROR(0/0,""),TRUE)</f>
        <v/>
      </c>
      <c r="AD252" s="18" t="str">
        <f t="shared" si="509"/>
        <v/>
      </c>
      <c r="AE252" s="43"/>
      <c r="AF252" s="58" t="s">
        <v>52</v>
      </c>
      <c r="AG252" s="55" t="str">
        <f t="shared" si="11"/>
        <v/>
      </c>
    </row>
    <row r="253">
      <c r="A253" s="7" t="str">
        <f>IFERROR(__xludf.DUMMYFUNCTION("""COMPUTED_VALUE"""),"AG2171")</f>
        <v>AG2171</v>
      </c>
      <c r="B253" s="308">
        <f>IFERROR(__xludf.DUMMYFUNCTION("""COMPUTED_VALUE"""),44840.0)</f>
        <v>44840</v>
      </c>
      <c r="C253" s="309">
        <f>IFERROR(__xludf.DUMMYFUNCTION("""COMPUTED_VALUE"""),0.29106481481481483)</f>
        <v>0.2910648148</v>
      </c>
      <c r="D253" s="7" t="str">
        <f>IFERROR(__xludf.DUMMYFUNCTION("""COMPUTED_VALUE"""),"SpABRM367540")</f>
        <v>SpABRM367540</v>
      </c>
      <c r="E253" s="310"/>
      <c r="F253" s="310"/>
      <c r="G253" s="310" t="str">
        <f>IFERROR(__xludf.DUMMYFUNCTION("""COMPUTED_VALUE"""),"Negative")</f>
        <v>Negative</v>
      </c>
      <c r="H253" s="319" t="str">
        <f>IFERROR(__xludf.DUMMYFUNCTION("""COMPUTED_VALUE"""),"Negative")</f>
        <v>Negative</v>
      </c>
      <c r="I253" s="308">
        <f>IFERROR(__xludf.DUMMYFUNCTION("""COMPUTED_VALUE"""),44840.0)</f>
        <v>44840</v>
      </c>
      <c r="J253" s="311">
        <f>IFERROR(__xludf.DUMMYFUNCTION("""COMPUTED_VALUE"""),0.4099537037037037)</f>
        <v>0.4099537037</v>
      </c>
      <c r="K253" s="54"/>
      <c r="L253" s="7"/>
      <c r="M253" s="312"/>
      <c r="N253" s="172">
        <f>IFERROR(__xludf.DUMMYFUNCTION("""COMPUTED_VALUE"""),3.0)</f>
        <v>3</v>
      </c>
      <c r="O253" s="172" t="str">
        <f t="shared" si="3"/>
        <v/>
      </c>
      <c r="P253" s="313">
        <f>IFERROR(__xludf.DUMMYFUNCTION("""COMPUTED_VALUE"""),0.0)</f>
        <v>0</v>
      </c>
      <c r="Q253" s="76" t="b">
        <f>VLOOKUP($B253,'Run Reconcile'!B$2:O1399,14,FALSE)</f>
        <v>1</v>
      </c>
      <c r="R253" s="314" t="str">
        <f t="array" ref="R253">IF($Q253, INDEX('Run Reconcile'!A$2:A1399,MATCH(B253,'Run Reconcile'!B$2:B1399,0),1),IFERROR(0/0,""))</f>
        <v>RUN-ABRM_2022-10-06_RFR-036</v>
      </c>
      <c r="S253" s="315" t="str">
        <f t="shared" ref="S253:T253" si="510">IF(COUNTIF(W$2:W1399, $A253) &gt; 0,TRUE,IFERROR(0/0,""))</f>
        <v/>
      </c>
      <c r="T253" s="315" t="str">
        <f t="shared" si="510"/>
        <v/>
      </c>
      <c r="U253" s="114" t="str">
        <f t="array" ref="U253">IF(ISBLANK($R253), INDEX('Run Reconcile'!A$2:A1399, MATCH($B253, 'Run Reconcile'!B$2:B1399, 0)+Z253, 1), IFERROR(0/0,""))
</f>
        <v/>
      </c>
      <c r="V253" s="316" t="str">
        <f t="shared" si="5"/>
        <v>RUN-ABRM_2022-10-06_RFR-036</v>
      </c>
      <c r="Y253" s="317" t="str">
        <f t="shared" si="6"/>
        <v/>
      </c>
      <c r="Z253" s="83" t="str">
        <f t="shared" si="7"/>
        <v/>
      </c>
      <c r="AA253" s="83" t="str">
        <f t="shared" si="8"/>
        <v/>
      </c>
      <c r="AB253" s="83" t="str">
        <f t="shared" si="9"/>
        <v/>
      </c>
      <c r="AC253" s="18" t="str">
        <f t="shared" ref="AC253:AD253" si="511">IF(_xlfn.ISFORMULA(S253),IFERROR(0/0,""),TRUE)</f>
        <v/>
      </c>
      <c r="AD253" s="18" t="str">
        <f t="shared" si="511"/>
        <v/>
      </c>
      <c r="AE253" s="43"/>
      <c r="AF253" s="58" t="s">
        <v>52</v>
      </c>
      <c r="AG253" s="55" t="str">
        <f t="shared" si="11"/>
        <v/>
      </c>
    </row>
    <row r="254">
      <c r="A254" s="7" t="str">
        <f>IFERROR(__xludf.DUMMYFUNCTION("""COMPUTED_VALUE"""),"AG437")</f>
        <v>AG437</v>
      </c>
      <c r="B254" s="308">
        <f>IFERROR(__xludf.DUMMYFUNCTION("""COMPUTED_VALUE"""),44840.0)</f>
        <v>44840</v>
      </c>
      <c r="C254" s="309">
        <f>IFERROR(__xludf.DUMMYFUNCTION("""COMPUTED_VALUE"""),0.2928935185185185)</f>
        <v>0.2928935185</v>
      </c>
      <c r="D254" s="7" t="str">
        <f>IFERROR(__xludf.DUMMYFUNCTION("""COMPUTED_VALUE"""),"SpABRM610758")</f>
        <v>SpABRM610758</v>
      </c>
      <c r="E254" s="310"/>
      <c r="F254" s="310"/>
      <c r="G254" s="310" t="str">
        <f>IFERROR(__xludf.DUMMYFUNCTION("""COMPUTED_VALUE"""),"Negative")</f>
        <v>Negative</v>
      </c>
      <c r="H254" s="319" t="str">
        <f>IFERROR(__xludf.DUMMYFUNCTION("""COMPUTED_VALUE"""),"Negative")</f>
        <v>Negative</v>
      </c>
      <c r="I254" s="308">
        <f>IFERROR(__xludf.DUMMYFUNCTION("""COMPUTED_VALUE"""),44840.0)</f>
        <v>44840</v>
      </c>
      <c r="J254" s="311">
        <f>IFERROR(__xludf.DUMMYFUNCTION("""COMPUTED_VALUE"""),0.4099537037037037)</f>
        <v>0.4099537037</v>
      </c>
      <c r="K254" s="54"/>
      <c r="L254" s="7"/>
      <c r="M254" s="312"/>
      <c r="N254" s="172">
        <f>IFERROR(__xludf.DUMMYFUNCTION("""COMPUTED_VALUE"""),3.0)</f>
        <v>3</v>
      </c>
      <c r="O254" s="172" t="str">
        <f t="shared" si="3"/>
        <v/>
      </c>
      <c r="P254" s="313">
        <f>IFERROR(__xludf.DUMMYFUNCTION("""COMPUTED_VALUE"""),0.0)</f>
        <v>0</v>
      </c>
      <c r="Q254" s="76" t="b">
        <f>VLOOKUP($B254,'Run Reconcile'!B$2:O1399,14,FALSE)</f>
        <v>1</v>
      </c>
      <c r="R254" s="314" t="str">
        <f t="array" ref="R254">IF($Q254, INDEX('Run Reconcile'!A$2:A1399,MATCH(B254,'Run Reconcile'!B$2:B1399,0),1),IFERROR(0/0,""))</f>
        <v>RUN-ABRM_2022-10-06_RFR-036</v>
      </c>
      <c r="S254" s="315" t="str">
        <f t="shared" ref="S254:T254" si="512">IF(COUNTIF(W$2:W1399, $A254) &gt; 0,TRUE,IFERROR(0/0,""))</f>
        <v/>
      </c>
      <c r="T254" s="315" t="str">
        <f t="shared" si="512"/>
        <v/>
      </c>
      <c r="U254" s="114" t="str">
        <f t="array" ref="U254">IF(ISBLANK($R254), INDEX('Run Reconcile'!A$2:A1399, MATCH($B254, 'Run Reconcile'!B$2:B1399, 0)+Z254, 1), IFERROR(0/0,""))
</f>
        <v/>
      </c>
      <c r="V254" s="316" t="str">
        <f t="shared" si="5"/>
        <v>RUN-ABRM_2022-10-06_RFR-036</v>
      </c>
      <c r="Y254" s="317" t="str">
        <f t="shared" si="6"/>
        <v/>
      </c>
      <c r="Z254" s="83" t="str">
        <f t="shared" si="7"/>
        <v/>
      </c>
      <c r="AA254" s="83" t="str">
        <f t="shared" si="8"/>
        <v/>
      </c>
      <c r="AB254" s="83" t="str">
        <f t="shared" si="9"/>
        <v/>
      </c>
      <c r="AC254" s="18" t="str">
        <f t="shared" ref="AC254:AD254" si="513">IF(_xlfn.ISFORMULA(S254),IFERROR(0/0,""),TRUE)</f>
        <v/>
      </c>
      <c r="AD254" s="18" t="str">
        <f t="shared" si="513"/>
        <v/>
      </c>
      <c r="AE254" s="43"/>
      <c r="AF254" s="58" t="s">
        <v>52</v>
      </c>
      <c r="AG254" s="55" t="str">
        <f t="shared" si="11"/>
        <v/>
      </c>
    </row>
    <row r="255">
      <c r="A255" s="7" t="str">
        <f>IFERROR(__xludf.DUMMYFUNCTION("""COMPUTED_VALUE"""),"AH8855")</f>
        <v>AH8855</v>
      </c>
      <c r="B255" s="308">
        <f>IFERROR(__xludf.DUMMYFUNCTION("""COMPUTED_VALUE"""),44840.0)</f>
        <v>44840</v>
      </c>
      <c r="C255" s="309">
        <f>IFERROR(__xludf.DUMMYFUNCTION("""COMPUTED_VALUE"""),0.2941666666666667)</f>
        <v>0.2941666667</v>
      </c>
      <c r="D255" s="7" t="str">
        <f>IFERROR(__xludf.DUMMYFUNCTION("""COMPUTED_VALUE"""),"SpABRM652382")</f>
        <v>SpABRM652382</v>
      </c>
      <c r="E255" s="310"/>
      <c r="F255" s="310"/>
      <c r="G255" s="310" t="str">
        <f>IFERROR(__xludf.DUMMYFUNCTION("""COMPUTED_VALUE"""),"Negative")</f>
        <v>Negative</v>
      </c>
      <c r="H255" s="319" t="str">
        <f>IFERROR(__xludf.DUMMYFUNCTION("""COMPUTED_VALUE"""),"Negative")</f>
        <v>Negative</v>
      </c>
      <c r="I255" s="308">
        <f>IFERROR(__xludf.DUMMYFUNCTION("""COMPUTED_VALUE"""),44840.0)</f>
        <v>44840</v>
      </c>
      <c r="J255" s="311">
        <f>IFERROR(__xludf.DUMMYFUNCTION("""COMPUTED_VALUE"""),0.4099537037037037)</f>
        <v>0.4099537037</v>
      </c>
      <c r="K255" s="54"/>
      <c r="L255" s="7"/>
      <c r="M255" s="312"/>
      <c r="N255" s="172">
        <f>IFERROR(__xludf.DUMMYFUNCTION("""COMPUTED_VALUE"""),2.0)</f>
        <v>2</v>
      </c>
      <c r="O255" s="172" t="str">
        <f t="shared" si="3"/>
        <v/>
      </c>
      <c r="P255" s="313">
        <f>IFERROR(__xludf.DUMMYFUNCTION("""COMPUTED_VALUE"""),0.0)</f>
        <v>0</v>
      </c>
      <c r="Q255" s="76" t="b">
        <f>VLOOKUP($B255,'Run Reconcile'!B$2:O1399,14,FALSE)</f>
        <v>1</v>
      </c>
      <c r="R255" s="314" t="str">
        <f t="array" ref="R255">IF($Q255, INDEX('Run Reconcile'!A$2:A1399,MATCH(B255,'Run Reconcile'!B$2:B1399,0),1),IFERROR(0/0,""))</f>
        <v>RUN-ABRM_2022-10-06_RFR-036</v>
      </c>
      <c r="S255" s="315" t="str">
        <f t="shared" ref="S255:T255" si="514">IF(COUNTIF(W$2:W1399, $A255) &gt; 0,TRUE,IFERROR(0/0,""))</f>
        <v/>
      </c>
      <c r="T255" s="315" t="str">
        <f t="shared" si="514"/>
        <v/>
      </c>
      <c r="U255" s="114" t="str">
        <f t="array" ref="U255">IF(ISBLANK($R255), INDEX('Run Reconcile'!A$2:A1399, MATCH($B255, 'Run Reconcile'!B$2:B1399, 0)+Z255, 1), IFERROR(0/0,""))
</f>
        <v/>
      </c>
      <c r="V255" s="316" t="str">
        <f t="shared" si="5"/>
        <v>RUN-ABRM_2022-10-06_RFR-036</v>
      </c>
      <c r="Y255" s="317" t="str">
        <f t="shared" si="6"/>
        <v/>
      </c>
      <c r="Z255" s="83" t="str">
        <f t="shared" si="7"/>
        <v/>
      </c>
      <c r="AA255" s="83" t="str">
        <f t="shared" si="8"/>
        <v/>
      </c>
      <c r="AB255" s="83" t="str">
        <f t="shared" si="9"/>
        <v/>
      </c>
      <c r="AC255" s="18" t="str">
        <f t="shared" ref="AC255:AD255" si="515">IF(_xlfn.ISFORMULA(S255),IFERROR(0/0,""),TRUE)</f>
        <v/>
      </c>
      <c r="AD255" s="18" t="str">
        <f t="shared" si="515"/>
        <v/>
      </c>
      <c r="AE255" s="43"/>
      <c r="AF255" s="58" t="s">
        <v>52</v>
      </c>
      <c r="AG255" s="55" t="str">
        <f t="shared" si="11"/>
        <v/>
      </c>
    </row>
    <row r="256">
      <c r="A256" s="7" t="str">
        <f>IFERROR(__xludf.DUMMYFUNCTION("""COMPUTED_VALUE"""),"AH9065")</f>
        <v>AH9065</v>
      </c>
      <c r="B256" s="308">
        <f>IFERROR(__xludf.DUMMYFUNCTION("""COMPUTED_VALUE"""),44840.0)</f>
        <v>44840</v>
      </c>
      <c r="C256" s="309">
        <f>IFERROR(__xludf.DUMMYFUNCTION("""COMPUTED_VALUE"""),0.300474537037037)</f>
        <v>0.300474537</v>
      </c>
      <c r="D256" s="7" t="str">
        <f>IFERROR(__xludf.DUMMYFUNCTION("""COMPUTED_VALUE"""),"SpABRM814022")</f>
        <v>SpABRM814022</v>
      </c>
      <c r="E256" s="310"/>
      <c r="F256" s="310"/>
      <c r="G256" s="310" t="str">
        <f>IFERROR(__xludf.DUMMYFUNCTION("""COMPUTED_VALUE"""),"Negative")</f>
        <v>Negative</v>
      </c>
      <c r="H256" s="319" t="str">
        <f>IFERROR(__xludf.DUMMYFUNCTION("""COMPUTED_VALUE"""),"Negative")</f>
        <v>Negative</v>
      </c>
      <c r="I256" s="308">
        <f>IFERROR(__xludf.DUMMYFUNCTION("""COMPUTED_VALUE"""),44840.0)</f>
        <v>44840</v>
      </c>
      <c r="J256" s="311">
        <f>IFERROR(__xludf.DUMMYFUNCTION("""COMPUTED_VALUE"""),0.4099537037037037)</f>
        <v>0.4099537037</v>
      </c>
      <c r="K256" s="54"/>
      <c r="L256" s="7"/>
      <c r="M256" s="312"/>
      <c r="N256" s="172">
        <f>IFERROR(__xludf.DUMMYFUNCTION("""COMPUTED_VALUE"""),1.0)</f>
        <v>1</v>
      </c>
      <c r="O256" s="172" t="str">
        <f t="shared" si="3"/>
        <v/>
      </c>
      <c r="P256" s="313">
        <f>IFERROR(__xludf.DUMMYFUNCTION("""COMPUTED_VALUE"""),0.0)</f>
        <v>0</v>
      </c>
      <c r="Q256" s="76" t="b">
        <f>VLOOKUP($B256,'Run Reconcile'!B$2:O1399,14,FALSE)</f>
        <v>1</v>
      </c>
      <c r="R256" s="314" t="str">
        <f t="array" ref="R256">IF($Q256, INDEX('Run Reconcile'!A$2:A1399,MATCH(B256,'Run Reconcile'!B$2:B1399,0),1),IFERROR(0/0,""))</f>
        <v>RUN-ABRM_2022-10-06_RFR-036</v>
      </c>
      <c r="S256" s="315" t="str">
        <f t="shared" ref="S256:T256" si="516">IF(COUNTIF(W$2:W1399, $A256) &gt; 0,TRUE,IFERROR(0/0,""))</f>
        <v/>
      </c>
      <c r="T256" s="315" t="str">
        <f t="shared" si="516"/>
        <v/>
      </c>
      <c r="U256" s="114" t="str">
        <f t="array" ref="U256">IF(ISBLANK($R256), INDEX('Run Reconcile'!A$2:A1399, MATCH($B256, 'Run Reconcile'!B$2:B1399, 0)+Z256, 1), IFERROR(0/0,""))
</f>
        <v/>
      </c>
      <c r="V256" s="316" t="str">
        <f t="shared" si="5"/>
        <v>RUN-ABRM_2022-10-06_RFR-036</v>
      </c>
      <c r="Y256" s="317" t="str">
        <f t="shared" si="6"/>
        <v/>
      </c>
      <c r="Z256" s="83" t="str">
        <f t="shared" si="7"/>
        <v/>
      </c>
      <c r="AA256" s="83" t="str">
        <f t="shared" si="8"/>
        <v/>
      </c>
      <c r="AB256" s="83" t="str">
        <f t="shared" si="9"/>
        <v/>
      </c>
      <c r="AC256" s="18" t="str">
        <f t="shared" ref="AC256:AD256" si="517">IF(_xlfn.ISFORMULA(S256),IFERROR(0/0,""),TRUE)</f>
        <v/>
      </c>
      <c r="AD256" s="18" t="str">
        <f t="shared" si="517"/>
        <v/>
      </c>
      <c r="AE256" s="43"/>
      <c r="AF256" s="58" t="s">
        <v>52</v>
      </c>
      <c r="AG256" s="55" t="str">
        <f t="shared" si="11"/>
        <v/>
      </c>
    </row>
    <row r="257">
      <c r="A257" s="7" t="str">
        <f>IFERROR(__xludf.DUMMYFUNCTION("""COMPUTED_VALUE"""),"AG218")</f>
        <v>AG218</v>
      </c>
      <c r="B257" s="308">
        <f>IFERROR(__xludf.DUMMYFUNCTION("""COMPUTED_VALUE"""),44840.0)</f>
        <v>44840</v>
      </c>
      <c r="C257" s="309">
        <f>IFERROR(__xludf.DUMMYFUNCTION("""COMPUTED_VALUE"""),0.3120717592592593)</f>
        <v>0.3120717593</v>
      </c>
      <c r="D257" s="7" t="str">
        <f>IFERROR(__xludf.DUMMYFUNCTION("""COMPUTED_VALUE"""),"SpABRM188986")</f>
        <v>SpABRM188986</v>
      </c>
      <c r="E257" s="310"/>
      <c r="F257" s="310"/>
      <c r="G257" s="310" t="str">
        <f>IFERROR(__xludf.DUMMYFUNCTION("""COMPUTED_VALUE"""),"Negative")</f>
        <v>Negative</v>
      </c>
      <c r="H257" s="319" t="str">
        <f>IFERROR(__xludf.DUMMYFUNCTION("""COMPUTED_VALUE"""),"Negative")</f>
        <v>Negative</v>
      </c>
      <c r="I257" s="308">
        <f>IFERROR(__xludf.DUMMYFUNCTION("""COMPUTED_VALUE"""),44840.0)</f>
        <v>44840</v>
      </c>
      <c r="J257" s="311">
        <f>IFERROR(__xludf.DUMMYFUNCTION("""COMPUTED_VALUE"""),0.4099537037037037)</f>
        <v>0.4099537037</v>
      </c>
      <c r="K257" s="54"/>
      <c r="L257" s="7"/>
      <c r="M257" s="312"/>
      <c r="N257" s="172">
        <f>IFERROR(__xludf.DUMMYFUNCTION("""COMPUTED_VALUE"""),2.0)</f>
        <v>2</v>
      </c>
      <c r="O257" s="172" t="str">
        <f t="shared" si="3"/>
        <v/>
      </c>
      <c r="P257" s="313">
        <f>IFERROR(__xludf.DUMMYFUNCTION("""COMPUTED_VALUE"""),0.0)</f>
        <v>0</v>
      </c>
      <c r="Q257" s="76" t="b">
        <f>VLOOKUP($B257,'Run Reconcile'!B$2:O1399,14,FALSE)</f>
        <v>1</v>
      </c>
      <c r="R257" s="314" t="str">
        <f t="array" ref="R257">IF($Q257, INDEX('Run Reconcile'!A$2:A1399,MATCH(B257,'Run Reconcile'!B$2:B1399,0),1),IFERROR(0/0,""))</f>
        <v>RUN-ABRM_2022-10-06_RFR-036</v>
      </c>
      <c r="S257" s="315" t="str">
        <f t="shared" ref="S257:T257" si="518">IF(COUNTIF(W$2:W1399, $A257) &gt; 0,TRUE,IFERROR(0/0,""))</f>
        <v/>
      </c>
      <c r="T257" s="315" t="str">
        <f t="shared" si="518"/>
        <v/>
      </c>
      <c r="U257" s="114" t="str">
        <f t="array" ref="U257">IF(ISBLANK($R257), INDEX('Run Reconcile'!A$2:A1399, MATCH($B257, 'Run Reconcile'!B$2:B1399, 0)+Z257, 1), IFERROR(0/0,""))
</f>
        <v/>
      </c>
      <c r="V257" s="316" t="str">
        <f t="shared" si="5"/>
        <v>RUN-ABRM_2022-10-06_RFR-036</v>
      </c>
      <c r="Y257" s="317" t="str">
        <f t="shared" si="6"/>
        <v/>
      </c>
      <c r="Z257" s="83" t="str">
        <f t="shared" si="7"/>
        <v/>
      </c>
      <c r="AA257" s="83" t="str">
        <f t="shared" si="8"/>
        <v/>
      </c>
      <c r="AB257" s="83" t="str">
        <f t="shared" si="9"/>
        <v/>
      </c>
      <c r="AC257" s="18" t="str">
        <f t="shared" ref="AC257:AD257" si="519">IF(_xlfn.ISFORMULA(S257),IFERROR(0/0,""),TRUE)</f>
        <v/>
      </c>
      <c r="AD257" s="18" t="str">
        <f t="shared" si="519"/>
        <v/>
      </c>
      <c r="AE257" s="43"/>
      <c r="AF257" s="58" t="s">
        <v>52</v>
      </c>
      <c r="AG257" s="55" t="str">
        <f t="shared" si="11"/>
        <v/>
      </c>
    </row>
    <row r="258">
      <c r="A258" s="7" t="str">
        <f>IFERROR(__xludf.DUMMYFUNCTION("""COMPUTED_VALUE"""),"AG959")</f>
        <v>AG959</v>
      </c>
      <c r="B258" s="308">
        <f>IFERROR(__xludf.DUMMYFUNCTION("""COMPUTED_VALUE"""),44840.0)</f>
        <v>44840</v>
      </c>
      <c r="C258" s="309">
        <f>IFERROR(__xludf.DUMMYFUNCTION("""COMPUTED_VALUE"""),0.32230324074074074)</f>
        <v>0.3223032407</v>
      </c>
      <c r="D258" s="7" t="str">
        <f>IFERROR(__xludf.DUMMYFUNCTION("""COMPUTED_VALUE"""),"SpABRM655136")</f>
        <v>SpABRM655136</v>
      </c>
      <c r="E258" s="310"/>
      <c r="F258" s="310"/>
      <c r="G258" s="310" t="str">
        <f>IFERROR(__xludf.DUMMYFUNCTION("""COMPUTED_VALUE"""),"Negative")</f>
        <v>Negative</v>
      </c>
      <c r="H258" s="319" t="str">
        <f>IFERROR(__xludf.DUMMYFUNCTION("""COMPUTED_VALUE"""),"Negative")</f>
        <v>Negative</v>
      </c>
      <c r="I258" s="308">
        <f>IFERROR(__xludf.DUMMYFUNCTION("""COMPUTED_VALUE"""),44840.0)</f>
        <v>44840</v>
      </c>
      <c r="J258" s="311">
        <f>IFERROR(__xludf.DUMMYFUNCTION("""COMPUTED_VALUE"""),0.4099537037037037)</f>
        <v>0.4099537037</v>
      </c>
      <c r="K258" s="54"/>
      <c r="L258" s="7"/>
      <c r="M258" s="312"/>
      <c r="N258" s="172">
        <f>IFERROR(__xludf.DUMMYFUNCTION("""COMPUTED_VALUE"""),2.0)</f>
        <v>2</v>
      </c>
      <c r="O258" s="172" t="str">
        <f t="shared" si="3"/>
        <v/>
      </c>
      <c r="P258" s="313">
        <f>IFERROR(__xludf.DUMMYFUNCTION("""COMPUTED_VALUE"""),0.0)</f>
        <v>0</v>
      </c>
      <c r="Q258" s="76" t="b">
        <f>VLOOKUP($B258,'Run Reconcile'!B$2:O1399,14,FALSE)</f>
        <v>1</v>
      </c>
      <c r="R258" s="314" t="str">
        <f t="array" ref="R258">IF($Q258, INDEX('Run Reconcile'!A$2:A1399,MATCH(B258,'Run Reconcile'!B$2:B1399,0),1),IFERROR(0/0,""))</f>
        <v>RUN-ABRM_2022-10-06_RFR-036</v>
      </c>
      <c r="S258" s="315" t="str">
        <f t="shared" ref="S258:T258" si="520">IF(COUNTIF(W$2:W1399, $A258) &gt; 0,TRUE,IFERROR(0/0,""))</f>
        <v/>
      </c>
      <c r="T258" s="315" t="str">
        <f t="shared" si="520"/>
        <v/>
      </c>
      <c r="U258" s="114" t="str">
        <f t="array" ref="U258">IF(ISBLANK($R258), INDEX('Run Reconcile'!A$2:A1399, MATCH($B258, 'Run Reconcile'!B$2:B1399, 0)+Z258, 1), IFERROR(0/0,""))
</f>
        <v/>
      </c>
      <c r="V258" s="316" t="str">
        <f t="shared" si="5"/>
        <v>RUN-ABRM_2022-10-06_RFR-036</v>
      </c>
      <c r="Y258" s="317" t="str">
        <f t="shared" si="6"/>
        <v/>
      </c>
      <c r="Z258" s="83" t="str">
        <f t="shared" si="7"/>
        <v/>
      </c>
      <c r="AA258" s="83" t="str">
        <f t="shared" si="8"/>
        <v/>
      </c>
      <c r="AB258" s="83" t="str">
        <f t="shared" si="9"/>
        <v/>
      </c>
      <c r="AC258" s="18" t="str">
        <f t="shared" ref="AC258:AD258" si="521">IF(_xlfn.ISFORMULA(S258),IFERROR(0/0,""),TRUE)</f>
        <v/>
      </c>
      <c r="AD258" s="18" t="str">
        <f t="shared" si="521"/>
        <v/>
      </c>
      <c r="AE258" s="43"/>
      <c r="AF258" s="58" t="s">
        <v>52</v>
      </c>
      <c r="AG258" s="55" t="str">
        <f t="shared" si="11"/>
        <v/>
      </c>
    </row>
    <row r="259">
      <c r="A259" s="7" t="str">
        <f>IFERROR(__xludf.DUMMYFUNCTION("""COMPUTED_VALUE"""),"AH9711")</f>
        <v>AH9711</v>
      </c>
      <c r="B259" s="308">
        <f>IFERROR(__xludf.DUMMYFUNCTION("""COMPUTED_VALUE"""),44840.0)</f>
        <v>44840</v>
      </c>
      <c r="C259" s="309">
        <f>IFERROR(__xludf.DUMMYFUNCTION("""COMPUTED_VALUE"""),0.3258101851851852)</f>
        <v>0.3258101852</v>
      </c>
      <c r="D259" s="7" t="str">
        <f>IFERROR(__xludf.DUMMYFUNCTION("""COMPUTED_VALUE"""),"SpABRM655136")</f>
        <v>SpABRM655136</v>
      </c>
      <c r="E259" s="310"/>
      <c r="F259" s="310"/>
      <c r="G259" s="310" t="str">
        <f>IFERROR(__xludf.DUMMYFUNCTION("""COMPUTED_VALUE"""),"Negative")</f>
        <v>Negative</v>
      </c>
      <c r="H259" s="319" t="str">
        <f>IFERROR(__xludf.DUMMYFUNCTION("""COMPUTED_VALUE"""),"Negative")</f>
        <v>Negative</v>
      </c>
      <c r="I259" s="308">
        <f>IFERROR(__xludf.DUMMYFUNCTION("""COMPUTED_VALUE"""),44840.0)</f>
        <v>44840</v>
      </c>
      <c r="J259" s="311">
        <f>IFERROR(__xludf.DUMMYFUNCTION("""COMPUTED_VALUE"""),0.4099537037037037)</f>
        <v>0.4099537037</v>
      </c>
      <c r="K259" s="54"/>
      <c r="L259" s="7"/>
      <c r="M259" s="312"/>
      <c r="N259" s="172">
        <f>IFERROR(__xludf.DUMMYFUNCTION("""COMPUTED_VALUE"""),3.0)</f>
        <v>3</v>
      </c>
      <c r="O259" s="172" t="str">
        <f t="shared" si="3"/>
        <v/>
      </c>
      <c r="P259" s="313">
        <f>IFERROR(__xludf.DUMMYFUNCTION("""COMPUTED_VALUE"""),0.0)</f>
        <v>0</v>
      </c>
      <c r="Q259" s="76" t="b">
        <f>VLOOKUP($B259,'Run Reconcile'!B$2:O1399,14,FALSE)</f>
        <v>1</v>
      </c>
      <c r="R259" s="314" t="str">
        <f t="array" ref="R259">IF($Q259, INDEX('Run Reconcile'!A$2:A1399,MATCH(B259,'Run Reconcile'!B$2:B1399,0),1),IFERROR(0/0,""))</f>
        <v>RUN-ABRM_2022-10-06_RFR-036</v>
      </c>
      <c r="S259" s="315" t="str">
        <f t="shared" ref="S259:T259" si="522">IF(COUNTIF(W$2:W1399, $A259) &gt; 0,TRUE,IFERROR(0/0,""))</f>
        <v/>
      </c>
      <c r="T259" s="315" t="str">
        <f t="shared" si="522"/>
        <v/>
      </c>
      <c r="U259" s="114" t="str">
        <f t="array" ref="U259">IF(ISBLANK($R259), INDEX('Run Reconcile'!A$2:A1399, MATCH($B259, 'Run Reconcile'!B$2:B1399, 0)+Z259, 1), IFERROR(0/0,""))
</f>
        <v/>
      </c>
      <c r="V259" s="316" t="str">
        <f t="shared" si="5"/>
        <v>RUN-ABRM_2022-10-06_RFR-036</v>
      </c>
      <c r="Y259" s="317" t="str">
        <f t="shared" si="6"/>
        <v/>
      </c>
      <c r="Z259" s="83" t="str">
        <f t="shared" si="7"/>
        <v/>
      </c>
      <c r="AA259" s="83" t="str">
        <f t="shared" si="8"/>
        <v/>
      </c>
      <c r="AB259" s="83" t="str">
        <f t="shared" si="9"/>
        <v/>
      </c>
      <c r="AC259" s="18" t="str">
        <f t="shared" ref="AC259:AD259" si="523">IF(_xlfn.ISFORMULA(S259),IFERROR(0/0,""),TRUE)</f>
        <v/>
      </c>
      <c r="AD259" s="18" t="str">
        <f t="shared" si="523"/>
        <v/>
      </c>
      <c r="AE259" s="43"/>
      <c r="AF259" s="58" t="s">
        <v>52</v>
      </c>
      <c r="AG259" s="55" t="str">
        <f t="shared" si="11"/>
        <v/>
      </c>
    </row>
    <row r="260">
      <c r="A260" s="7" t="str">
        <f>IFERROR(__xludf.DUMMYFUNCTION("""COMPUTED_VALUE"""),"AG1838")</f>
        <v>AG1838</v>
      </c>
      <c r="B260" s="308">
        <f>IFERROR(__xludf.DUMMYFUNCTION("""COMPUTED_VALUE"""),44840.0)</f>
        <v>44840</v>
      </c>
      <c r="C260" s="309">
        <f>IFERROR(__xludf.DUMMYFUNCTION("""COMPUTED_VALUE"""),0.32623842592592595)</f>
        <v>0.3262384259</v>
      </c>
      <c r="D260" s="7" t="str">
        <f>IFERROR(__xludf.DUMMYFUNCTION("""COMPUTED_VALUE"""),"SpABRM655136")</f>
        <v>SpABRM655136</v>
      </c>
      <c r="E260" s="310"/>
      <c r="F260" s="310"/>
      <c r="G260" s="310" t="str">
        <f>IFERROR(__xludf.DUMMYFUNCTION("""COMPUTED_VALUE"""),"Negative")</f>
        <v>Negative</v>
      </c>
      <c r="H260" s="319" t="str">
        <f>IFERROR(__xludf.DUMMYFUNCTION("""COMPUTED_VALUE"""),"Negative")</f>
        <v>Negative</v>
      </c>
      <c r="I260" s="308">
        <f>IFERROR(__xludf.DUMMYFUNCTION("""COMPUTED_VALUE"""),44840.0)</f>
        <v>44840</v>
      </c>
      <c r="J260" s="311">
        <f>IFERROR(__xludf.DUMMYFUNCTION("""COMPUTED_VALUE"""),0.4099652777777778)</f>
        <v>0.4099652778</v>
      </c>
      <c r="K260" s="54"/>
      <c r="L260" s="7"/>
      <c r="M260" s="312"/>
      <c r="N260" s="172">
        <f>IFERROR(__xludf.DUMMYFUNCTION("""COMPUTED_VALUE"""),2.0)</f>
        <v>2</v>
      </c>
      <c r="O260" s="172" t="str">
        <f t="shared" si="3"/>
        <v/>
      </c>
      <c r="P260" s="313">
        <f>IFERROR(__xludf.DUMMYFUNCTION("""COMPUTED_VALUE"""),0.0)</f>
        <v>0</v>
      </c>
      <c r="Q260" s="76" t="b">
        <f>VLOOKUP($B260,'Run Reconcile'!B$2:O1399,14,FALSE)</f>
        <v>1</v>
      </c>
      <c r="R260" s="314" t="str">
        <f t="array" ref="R260">IF($Q260, INDEX('Run Reconcile'!A$2:A1399,MATCH(B260,'Run Reconcile'!B$2:B1399,0),1),IFERROR(0/0,""))</f>
        <v>RUN-ABRM_2022-10-06_RFR-036</v>
      </c>
      <c r="S260" s="315" t="str">
        <f t="shared" ref="S260:T260" si="524">IF(COUNTIF(W$2:W1399, $A260) &gt; 0,TRUE,IFERROR(0/0,""))</f>
        <v/>
      </c>
      <c r="T260" s="315" t="str">
        <f t="shared" si="524"/>
        <v/>
      </c>
      <c r="U260" s="114" t="str">
        <f t="array" ref="U260">IF(ISBLANK($R260), INDEX('Run Reconcile'!A$2:A1399, MATCH($B260, 'Run Reconcile'!B$2:B1399, 0)+Z260, 1), IFERROR(0/0,""))
</f>
        <v/>
      </c>
      <c r="V260" s="316" t="str">
        <f t="shared" si="5"/>
        <v>RUN-ABRM_2022-10-06_RFR-036</v>
      </c>
      <c r="Y260" s="317" t="str">
        <f t="shared" si="6"/>
        <v/>
      </c>
      <c r="Z260" s="83" t="str">
        <f t="shared" si="7"/>
        <v/>
      </c>
      <c r="AA260" s="83" t="str">
        <f t="shared" si="8"/>
        <v/>
      </c>
      <c r="AB260" s="83" t="str">
        <f t="shared" si="9"/>
        <v/>
      </c>
      <c r="AC260" s="18" t="str">
        <f t="shared" ref="AC260:AD260" si="525">IF(_xlfn.ISFORMULA(S260),IFERROR(0/0,""),TRUE)</f>
        <v/>
      </c>
      <c r="AD260" s="18" t="str">
        <f t="shared" si="525"/>
        <v/>
      </c>
      <c r="AE260" s="43"/>
      <c r="AF260" s="58" t="s">
        <v>52</v>
      </c>
      <c r="AG260" s="55" t="str">
        <f t="shared" si="11"/>
        <v/>
      </c>
    </row>
    <row r="261">
      <c r="A261" s="7" t="str">
        <f>IFERROR(__xludf.DUMMYFUNCTION("""COMPUTED_VALUE"""),"AG1674")</f>
        <v>AG1674</v>
      </c>
      <c r="B261" s="308">
        <f>IFERROR(__xludf.DUMMYFUNCTION("""COMPUTED_VALUE"""),44840.0)</f>
        <v>44840</v>
      </c>
      <c r="C261" s="309">
        <f>IFERROR(__xludf.DUMMYFUNCTION("""COMPUTED_VALUE"""),0.34034722222222225)</f>
        <v>0.3403472222</v>
      </c>
      <c r="D261" s="7" t="str">
        <f>IFERROR(__xludf.DUMMYFUNCTION("""COMPUTED_VALUE"""),"SpABRM188986")</f>
        <v>SpABRM188986</v>
      </c>
      <c r="E261" s="310"/>
      <c r="F261" s="310"/>
      <c r="G261" s="310" t="str">
        <f>IFERROR(__xludf.DUMMYFUNCTION("""COMPUTED_VALUE"""),"Negative")</f>
        <v>Negative</v>
      </c>
      <c r="H261" s="319" t="str">
        <f>IFERROR(__xludf.DUMMYFUNCTION("""COMPUTED_VALUE"""),"Negative")</f>
        <v>Negative</v>
      </c>
      <c r="I261" s="308">
        <f>IFERROR(__xludf.DUMMYFUNCTION("""COMPUTED_VALUE"""),44840.0)</f>
        <v>44840</v>
      </c>
      <c r="J261" s="311">
        <f>IFERROR(__xludf.DUMMYFUNCTION("""COMPUTED_VALUE"""),0.4099652777777778)</f>
        <v>0.4099652778</v>
      </c>
      <c r="K261" s="54"/>
      <c r="L261" s="7"/>
      <c r="M261" s="312"/>
      <c r="N261" s="172">
        <f>IFERROR(__xludf.DUMMYFUNCTION("""COMPUTED_VALUE"""),3.0)</f>
        <v>3</v>
      </c>
      <c r="O261" s="172" t="str">
        <f t="shared" si="3"/>
        <v/>
      </c>
      <c r="P261" s="313">
        <f>IFERROR(__xludf.DUMMYFUNCTION("""COMPUTED_VALUE"""),0.0)</f>
        <v>0</v>
      </c>
      <c r="Q261" s="76" t="b">
        <f>VLOOKUP($B261,'Run Reconcile'!B$2:O1399,14,FALSE)</f>
        <v>1</v>
      </c>
      <c r="R261" s="314" t="str">
        <f t="array" ref="R261">IF($Q261, INDEX('Run Reconcile'!A$2:A1399,MATCH(B261,'Run Reconcile'!B$2:B1399,0),1),IFERROR(0/0,""))</f>
        <v>RUN-ABRM_2022-10-06_RFR-036</v>
      </c>
      <c r="S261" s="315" t="str">
        <f t="shared" ref="S261:T261" si="526">IF(COUNTIF(W$2:W1399, $A261) &gt; 0,TRUE,IFERROR(0/0,""))</f>
        <v/>
      </c>
      <c r="T261" s="315" t="str">
        <f t="shared" si="526"/>
        <v/>
      </c>
      <c r="U261" s="114" t="str">
        <f t="array" ref="U261">IF(ISBLANK($R261), INDEX('Run Reconcile'!A$2:A1399, MATCH($B261, 'Run Reconcile'!B$2:B1399, 0)+Z261, 1), IFERROR(0/0,""))
</f>
        <v/>
      </c>
      <c r="V261" s="316" t="str">
        <f t="shared" si="5"/>
        <v>RUN-ABRM_2022-10-06_RFR-036</v>
      </c>
      <c r="Y261" s="317" t="str">
        <f t="shared" si="6"/>
        <v/>
      </c>
      <c r="Z261" s="83" t="str">
        <f t="shared" si="7"/>
        <v/>
      </c>
      <c r="AA261" s="83" t="str">
        <f t="shared" si="8"/>
        <v/>
      </c>
      <c r="AB261" s="83" t="str">
        <f t="shared" si="9"/>
        <v/>
      </c>
      <c r="AC261" s="18" t="str">
        <f t="shared" ref="AC261:AD261" si="527">IF(_xlfn.ISFORMULA(S261),IFERROR(0/0,""),TRUE)</f>
        <v/>
      </c>
      <c r="AD261" s="18" t="str">
        <f t="shared" si="527"/>
        <v/>
      </c>
      <c r="AE261" s="43"/>
      <c r="AF261" s="58" t="s">
        <v>52</v>
      </c>
      <c r="AG261" s="55" t="str">
        <f t="shared" si="11"/>
        <v/>
      </c>
    </row>
    <row r="262">
      <c r="A262" s="7" t="str">
        <f>IFERROR(__xludf.DUMMYFUNCTION("""COMPUTED_VALUE"""),"AG613")</f>
        <v>AG613</v>
      </c>
      <c r="B262" s="308">
        <f>IFERROR(__xludf.DUMMYFUNCTION("""COMPUTED_VALUE"""),44841.0)</f>
        <v>44841</v>
      </c>
      <c r="C262" s="309">
        <f>IFERROR(__xludf.DUMMYFUNCTION("""COMPUTED_VALUE"""),0.2124074074074074)</f>
        <v>0.2124074074</v>
      </c>
      <c r="D262" s="7" t="str">
        <f>IFERROR(__xludf.DUMMYFUNCTION("""COMPUTED_VALUE"""),"SpABRM516158")</f>
        <v>SpABRM516158</v>
      </c>
      <c r="E262" s="310"/>
      <c r="F262" s="310"/>
      <c r="G262" s="310" t="str">
        <f>IFERROR(__xludf.DUMMYFUNCTION("""COMPUTED_VALUE"""),"Negative")</f>
        <v>Negative</v>
      </c>
      <c r="H262" s="319" t="str">
        <f>IFERROR(__xludf.DUMMYFUNCTION("""COMPUTED_VALUE"""),"Negative")</f>
        <v>Negative</v>
      </c>
      <c r="I262" s="308">
        <f>IFERROR(__xludf.DUMMYFUNCTION("""COMPUTED_VALUE"""),44844.0)</f>
        <v>44844</v>
      </c>
      <c r="J262" s="311">
        <f>IFERROR(__xludf.DUMMYFUNCTION("""COMPUTED_VALUE"""),0.44991898148148146)</f>
        <v>0.4499189815</v>
      </c>
      <c r="K262" s="54"/>
      <c r="L262" s="7"/>
      <c r="M262" s="312"/>
      <c r="N262" s="172">
        <f>IFERROR(__xludf.DUMMYFUNCTION("""COMPUTED_VALUE"""),1.0)</f>
        <v>1</v>
      </c>
      <c r="O262" s="172" t="b">
        <f t="shared" si="3"/>
        <v>1</v>
      </c>
      <c r="P262" s="313">
        <f>IFERROR(__xludf.DUMMYFUNCTION("""COMPUTED_VALUE"""),3.0)</f>
        <v>3</v>
      </c>
      <c r="Q262" s="76" t="b">
        <f>VLOOKUP($B262,'Run Reconcile'!B$2:O1399,14,FALSE)</f>
        <v>1</v>
      </c>
      <c r="R262" s="314" t="str">
        <f t="array" ref="R262">IF($Q262, INDEX('Run Reconcile'!A$2:A1399,MATCH(B262,'Run Reconcile'!B$2:B1399,0),1),IFERROR(0/0,""))</f>
        <v>RUN-ABRM_2022-10-07_RFR-037</v>
      </c>
      <c r="S262" s="315" t="str">
        <f t="shared" ref="S262:T262" si="528">IF(COUNTIF(W$2:W1399, $A262) &gt; 0,TRUE,IFERROR(0/0,""))</f>
        <v/>
      </c>
      <c r="T262" s="315" t="str">
        <f t="shared" si="528"/>
        <v/>
      </c>
      <c r="U262" s="114" t="str">
        <f t="array" ref="U262">IF(ISBLANK($R262), INDEX('Run Reconcile'!A$2:A1399, MATCH($B262, 'Run Reconcile'!B$2:B1399, 0)+Z262, 1), IFERROR(0/0,""))
</f>
        <v/>
      </c>
      <c r="V262" s="316" t="str">
        <f t="shared" si="5"/>
        <v>RUN-ABRM_2022-10-07_RFR-037</v>
      </c>
      <c r="Y262" s="317" t="str">
        <f t="shared" si="6"/>
        <v/>
      </c>
      <c r="Z262" s="83" t="str">
        <f t="shared" si="7"/>
        <v/>
      </c>
      <c r="AA262" s="83" t="str">
        <f t="shared" si="8"/>
        <v/>
      </c>
      <c r="AB262" s="83" t="str">
        <f t="shared" si="9"/>
        <v/>
      </c>
      <c r="AC262" s="18" t="str">
        <f t="shared" ref="AC262:AD262" si="529">IF(_xlfn.ISFORMULA(S262),IFERROR(0/0,""),TRUE)</f>
        <v/>
      </c>
      <c r="AD262" s="18" t="str">
        <f t="shared" si="529"/>
        <v/>
      </c>
      <c r="AE262" s="43"/>
      <c r="AF262" s="58" t="s">
        <v>53</v>
      </c>
      <c r="AG262" s="55" t="str">
        <f t="shared" si="11"/>
        <v/>
      </c>
    </row>
    <row r="263">
      <c r="A263" s="7" t="str">
        <f>IFERROR(__xludf.DUMMYFUNCTION("""COMPUTED_VALUE"""),"AG2071")</f>
        <v>AG2071</v>
      </c>
      <c r="B263" s="308">
        <f>IFERROR(__xludf.DUMMYFUNCTION("""COMPUTED_VALUE"""),44841.0)</f>
        <v>44841</v>
      </c>
      <c r="C263" s="309">
        <f>IFERROR(__xludf.DUMMYFUNCTION("""COMPUTED_VALUE"""),0.245)</f>
        <v>0.245</v>
      </c>
      <c r="D263" s="7" t="str">
        <f>IFERROR(__xludf.DUMMYFUNCTION("""COMPUTED_VALUE"""),"SpABRM188986")</f>
        <v>SpABRM188986</v>
      </c>
      <c r="E263" s="310"/>
      <c r="F263" s="310"/>
      <c r="G263" s="310" t="str">
        <f>IFERROR(__xludf.DUMMYFUNCTION("""COMPUTED_VALUE"""),"Negative")</f>
        <v>Negative</v>
      </c>
      <c r="H263" s="319" t="str">
        <f>IFERROR(__xludf.DUMMYFUNCTION("""COMPUTED_VALUE"""),"Negative")</f>
        <v>Negative</v>
      </c>
      <c r="I263" s="308">
        <f>IFERROR(__xludf.DUMMYFUNCTION("""COMPUTED_VALUE"""),44844.0)</f>
        <v>44844</v>
      </c>
      <c r="J263" s="311">
        <f>IFERROR(__xludf.DUMMYFUNCTION("""COMPUTED_VALUE"""),0.44991898148148146)</f>
        <v>0.4499189815</v>
      </c>
      <c r="K263" s="54"/>
      <c r="L263" s="7"/>
      <c r="M263" s="312"/>
      <c r="N263" s="172">
        <f>IFERROR(__xludf.DUMMYFUNCTION("""COMPUTED_VALUE"""),2.0)</f>
        <v>2</v>
      </c>
      <c r="O263" s="172" t="str">
        <f t="shared" si="3"/>
        <v/>
      </c>
      <c r="P263" s="313">
        <f>IFERROR(__xludf.DUMMYFUNCTION("""COMPUTED_VALUE"""),3.0)</f>
        <v>3</v>
      </c>
      <c r="Q263" s="76" t="b">
        <f>VLOOKUP($B263,'Run Reconcile'!B$2:O1399,14,FALSE)</f>
        <v>1</v>
      </c>
      <c r="R263" s="314" t="str">
        <f t="array" ref="R263">IF($Q263, INDEX('Run Reconcile'!A$2:A1399,MATCH(B263,'Run Reconcile'!B$2:B1399,0),1),IFERROR(0/0,""))</f>
        <v>RUN-ABRM_2022-10-07_RFR-037</v>
      </c>
      <c r="S263" s="315" t="str">
        <f t="shared" ref="S263:T263" si="530">IF(COUNTIF(W$2:W1399, $A263) &gt; 0,TRUE,IFERROR(0/0,""))</f>
        <v/>
      </c>
      <c r="T263" s="315" t="str">
        <f t="shared" si="530"/>
        <v/>
      </c>
      <c r="U263" s="114" t="str">
        <f t="array" ref="U263">IF(ISBLANK($R263), INDEX('Run Reconcile'!A$2:A1399, MATCH($B263, 'Run Reconcile'!B$2:B1399, 0)+Z263, 1), IFERROR(0/0,""))
</f>
        <v/>
      </c>
      <c r="V263" s="316" t="str">
        <f t="shared" si="5"/>
        <v>RUN-ABRM_2022-10-07_RFR-037</v>
      </c>
      <c r="Y263" s="317" t="str">
        <f t="shared" si="6"/>
        <v/>
      </c>
      <c r="Z263" s="83" t="str">
        <f t="shared" si="7"/>
        <v/>
      </c>
      <c r="AA263" s="83" t="str">
        <f t="shared" si="8"/>
        <v/>
      </c>
      <c r="AB263" s="83" t="str">
        <f t="shared" si="9"/>
        <v/>
      </c>
      <c r="AC263" s="18" t="str">
        <f t="shared" ref="AC263:AD263" si="531">IF(_xlfn.ISFORMULA(S263),IFERROR(0/0,""),TRUE)</f>
        <v/>
      </c>
      <c r="AD263" s="18" t="str">
        <f t="shared" si="531"/>
        <v/>
      </c>
      <c r="AE263" s="43"/>
      <c r="AF263" s="58" t="s">
        <v>53</v>
      </c>
      <c r="AG263" s="55" t="str">
        <f t="shared" si="11"/>
        <v/>
      </c>
    </row>
    <row r="264">
      <c r="A264" s="7" t="str">
        <f>IFERROR(__xludf.DUMMYFUNCTION("""COMPUTED_VALUE"""),"AG1147")</f>
        <v>AG1147</v>
      </c>
      <c r="B264" s="308">
        <f>IFERROR(__xludf.DUMMYFUNCTION("""COMPUTED_VALUE"""),44841.0)</f>
        <v>44841</v>
      </c>
      <c r="C264" s="309">
        <f>IFERROR(__xludf.DUMMYFUNCTION("""COMPUTED_VALUE"""),0.2543634259259259)</f>
        <v>0.2543634259</v>
      </c>
      <c r="D264" s="7" t="str">
        <f>IFERROR(__xludf.DUMMYFUNCTION("""COMPUTED_VALUE"""),"SpABRM367540")</f>
        <v>SpABRM367540</v>
      </c>
      <c r="E264" s="310"/>
      <c r="F264" s="310"/>
      <c r="G264" s="310" t="str">
        <f>IFERROR(__xludf.DUMMYFUNCTION("""COMPUTED_VALUE"""),"Negative")</f>
        <v>Negative</v>
      </c>
      <c r="H264" s="319" t="str">
        <f>IFERROR(__xludf.DUMMYFUNCTION("""COMPUTED_VALUE"""),"Negative")</f>
        <v>Negative</v>
      </c>
      <c r="I264" s="308">
        <f>IFERROR(__xludf.DUMMYFUNCTION("""COMPUTED_VALUE"""),44844.0)</f>
        <v>44844</v>
      </c>
      <c r="J264" s="311">
        <f>IFERROR(__xludf.DUMMYFUNCTION("""COMPUTED_VALUE"""),0.44991898148148146)</f>
        <v>0.4499189815</v>
      </c>
      <c r="K264" s="54"/>
      <c r="L264" s="7"/>
      <c r="M264" s="312"/>
      <c r="N264" s="172">
        <f>IFERROR(__xludf.DUMMYFUNCTION("""COMPUTED_VALUE"""),3.0)</f>
        <v>3</v>
      </c>
      <c r="O264" s="172" t="str">
        <f t="shared" si="3"/>
        <v/>
      </c>
      <c r="P264" s="313">
        <f>IFERROR(__xludf.DUMMYFUNCTION("""COMPUTED_VALUE"""),3.0)</f>
        <v>3</v>
      </c>
      <c r="Q264" s="76" t="b">
        <f>VLOOKUP($B264,'Run Reconcile'!B$2:O1399,14,FALSE)</f>
        <v>1</v>
      </c>
      <c r="R264" s="314" t="str">
        <f t="array" ref="R264">IF($Q264, INDEX('Run Reconcile'!A$2:A1399,MATCH(B264,'Run Reconcile'!B$2:B1399,0),1),IFERROR(0/0,""))</f>
        <v>RUN-ABRM_2022-10-07_RFR-037</v>
      </c>
      <c r="S264" s="315" t="str">
        <f t="shared" ref="S264:T264" si="532">IF(COUNTIF(W$2:W1399, $A264) &gt; 0,TRUE,IFERROR(0/0,""))</f>
        <v/>
      </c>
      <c r="T264" s="315" t="str">
        <f t="shared" si="532"/>
        <v/>
      </c>
      <c r="U264" s="114" t="str">
        <f t="array" ref="U264">IF(ISBLANK($R264), INDEX('Run Reconcile'!A$2:A1399, MATCH($B264, 'Run Reconcile'!B$2:B1399, 0)+Z264, 1), IFERROR(0/0,""))
</f>
        <v/>
      </c>
      <c r="V264" s="316" t="str">
        <f t="shared" si="5"/>
        <v>RUN-ABRM_2022-10-07_RFR-037</v>
      </c>
      <c r="Y264" s="317" t="str">
        <f t="shared" si="6"/>
        <v/>
      </c>
      <c r="Z264" s="83" t="str">
        <f t="shared" si="7"/>
        <v/>
      </c>
      <c r="AA264" s="83" t="str">
        <f t="shared" si="8"/>
        <v/>
      </c>
      <c r="AB264" s="83" t="str">
        <f t="shared" si="9"/>
        <v/>
      </c>
      <c r="AC264" s="18" t="str">
        <f t="shared" ref="AC264:AD264" si="533">IF(_xlfn.ISFORMULA(S264),IFERROR(0/0,""),TRUE)</f>
        <v/>
      </c>
      <c r="AD264" s="18" t="str">
        <f t="shared" si="533"/>
        <v/>
      </c>
      <c r="AE264" s="43"/>
      <c r="AF264" s="58" t="s">
        <v>53</v>
      </c>
      <c r="AG264" s="55" t="str">
        <f t="shared" si="11"/>
        <v/>
      </c>
    </row>
    <row r="265">
      <c r="A265" s="7" t="str">
        <f>IFERROR(__xludf.DUMMYFUNCTION("""COMPUTED_VALUE"""),"AG1926")</f>
        <v>AG1926</v>
      </c>
      <c r="B265" s="308">
        <f>IFERROR(__xludf.DUMMYFUNCTION("""COMPUTED_VALUE"""),44841.0)</f>
        <v>44841</v>
      </c>
      <c r="C265" s="309">
        <f>IFERROR(__xludf.DUMMYFUNCTION("""COMPUTED_VALUE"""),0.2558449074074074)</f>
        <v>0.2558449074</v>
      </c>
      <c r="D265" s="7" t="str">
        <f>IFERROR(__xludf.DUMMYFUNCTION("""COMPUTED_VALUE"""),"SpABRM297307")</f>
        <v>SpABRM297307</v>
      </c>
      <c r="E265" s="310"/>
      <c r="F265" s="310"/>
      <c r="G265" s="310" t="str">
        <f>IFERROR(__xludf.DUMMYFUNCTION("""COMPUTED_VALUE"""),"Negative")</f>
        <v>Negative</v>
      </c>
      <c r="H265" s="319" t="str">
        <f>IFERROR(__xludf.DUMMYFUNCTION("""COMPUTED_VALUE"""),"Negative")</f>
        <v>Negative</v>
      </c>
      <c r="I265" s="308">
        <f>IFERROR(__xludf.DUMMYFUNCTION("""COMPUTED_VALUE"""),44844.0)</f>
        <v>44844</v>
      </c>
      <c r="J265" s="311">
        <f>IFERROR(__xludf.DUMMYFUNCTION("""COMPUTED_VALUE"""),0.44993055555555556)</f>
        <v>0.4499305556</v>
      </c>
      <c r="K265" s="54"/>
      <c r="L265" s="7"/>
      <c r="M265" s="312"/>
      <c r="N265" s="172">
        <f>IFERROR(__xludf.DUMMYFUNCTION("""COMPUTED_VALUE"""),3.0)</f>
        <v>3</v>
      </c>
      <c r="O265" s="172" t="str">
        <f t="shared" si="3"/>
        <v/>
      </c>
      <c r="P265" s="313">
        <f>IFERROR(__xludf.DUMMYFUNCTION("""COMPUTED_VALUE"""),3.0)</f>
        <v>3</v>
      </c>
      <c r="Q265" s="76" t="b">
        <f>VLOOKUP($B265,'Run Reconcile'!B$2:O1399,14,FALSE)</f>
        <v>1</v>
      </c>
      <c r="R265" s="314" t="str">
        <f t="array" ref="R265">IF($Q265, INDEX('Run Reconcile'!A$2:A1399,MATCH(B265,'Run Reconcile'!B$2:B1399,0),1),IFERROR(0/0,""))</f>
        <v>RUN-ABRM_2022-10-07_RFR-037</v>
      </c>
      <c r="S265" s="315" t="str">
        <f t="shared" ref="S265:T265" si="534">IF(COUNTIF(W$2:W1399, $A265) &gt; 0,TRUE,IFERROR(0/0,""))</f>
        <v/>
      </c>
      <c r="T265" s="315" t="str">
        <f t="shared" si="534"/>
        <v/>
      </c>
      <c r="U265" s="114" t="str">
        <f t="array" ref="U265">IF(ISBLANK($R265), INDEX('Run Reconcile'!A$2:A1399, MATCH($B265, 'Run Reconcile'!B$2:B1399, 0)+Z265, 1), IFERROR(0/0,""))
</f>
        <v/>
      </c>
      <c r="V265" s="316" t="str">
        <f t="shared" si="5"/>
        <v>RUN-ABRM_2022-10-07_RFR-037</v>
      </c>
      <c r="Y265" s="317" t="str">
        <f t="shared" si="6"/>
        <v/>
      </c>
      <c r="Z265" s="83" t="str">
        <f t="shared" si="7"/>
        <v/>
      </c>
      <c r="AA265" s="83" t="str">
        <f t="shared" si="8"/>
        <v/>
      </c>
      <c r="AB265" s="83" t="str">
        <f t="shared" si="9"/>
        <v/>
      </c>
      <c r="AC265" s="18" t="str">
        <f t="shared" ref="AC265:AD265" si="535">IF(_xlfn.ISFORMULA(S265),IFERROR(0/0,""),TRUE)</f>
        <v/>
      </c>
      <c r="AD265" s="18" t="str">
        <f t="shared" si="535"/>
        <v/>
      </c>
      <c r="AE265" s="43"/>
      <c r="AF265" s="58" t="s">
        <v>53</v>
      </c>
      <c r="AG265" s="55" t="str">
        <f t="shared" si="11"/>
        <v/>
      </c>
    </row>
    <row r="266">
      <c r="A266" s="7" t="str">
        <f>IFERROR(__xludf.DUMMYFUNCTION("""COMPUTED_VALUE"""),"AH9002")</f>
        <v>AH9002</v>
      </c>
      <c r="B266" s="308">
        <f>IFERROR(__xludf.DUMMYFUNCTION("""COMPUTED_VALUE"""),44841.0)</f>
        <v>44841</v>
      </c>
      <c r="C266" s="309">
        <f>IFERROR(__xludf.DUMMYFUNCTION("""COMPUTED_VALUE"""),0.2602199074074074)</f>
        <v>0.2602199074</v>
      </c>
      <c r="D266" s="7" t="str">
        <f>IFERROR(__xludf.DUMMYFUNCTION("""COMPUTED_VALUE"""),"SpABRM128250")</f>
        <v>SpABRM128250</v>
      </c>
      <c r="E266" s="310"/>
      <c r="F266" s="310"/>
      <c r="G266" s="310" t="str">
        <f>IFERROR(__xludf.DUMMYFUNCTION("""COMPUTED_VALUE"""),"Negative")</f>
        <v>Negative</v>
      </c>
      <c r="H266" s="319" t="str">
        <f>IFERROR(__xludf.DUMMYFUNCTION("""COMPUTED_VALUE"""),"Negative")</f>
        <v>Negative</v>
      </c>
      <c r="I266" s="308">
        <f>IFERROR(__xludf.DUMMYFUNCTION("""COMPUTED_VALUE"""),44844.0)</f>
        <v>44844</v>
      </c>
      <c r="J266" s="311">
        <f>IFERROR(__xludf.DUMMYFUNCTION("""COMPUTED_VALUE"""),0.44993055555555556)</f>
        <v>0.4499305556</v>
      </c>
      <c r="K266" s="54"/>
      <c r="L266" s="7"/>
      <c r="M266" s="312"/>
      <c r="N266" s="172">
        <f>IFERROR(__xludf.DUMMYFUNCTION("""COMPUTED_VALUE"""),3.0)</f>
        <v>3</v>
      </c>
      <c r="O266" s="172" t="str">
        <f t="shared" si="3"/>
        <v/>
      </c>
      <c r="P266" s="313">
        <f>IFERROR(__xludf.DUMMYFUNCTION("""COMPUTED_VALUE"""),3.0)</f>
        <v>3</v>
      </c>
      <c r="Q266" s="76" t="b">
        <f>VLOOKUP($B266,'Run Reconcile'!B$2:O1399,14,FALSE)</f>
        <v>1</v>
      </c>
      <c r="R266" s="314" t="str">
        <f t="array" ref="R266">IF($Q266, INDEX('Run Reconcile'!A$2:A1399,MATCH(B266,'Run Reconcile'!B$2:B1399,0),1),IFERROR(0/0,""))</f>
        <v>RUN-ABRM_2022-10-07_RFR-037</v>
      </c>
      <c r="S266" s="315" t="str">
        <f t="shared" ref="S266:T266" si="536">IF(COUNTIF(W$2:W1399, $A266) &gt; 0,TRUE,IFERROR(0/0,""))</f>
        <v/>
      </c>
      <c r="T266" s="315" t="str">
        <f t="shared" si="536"/>
        <v/>
      </c>
      <c r="U266" s="114" t="str">
        <f t="array" ref="U266">IF(ISBLANK($R266), INDEX('Run Reconcile'!A$2:A1399, MATCH($B266, 'Run Reconcile'!B$2:B1399, 0)+Z266, 1), IFERROR(0/0,""))
</f>
        <v/>
      </c>
      <c r="V266" s="316" t="str">
        <f t="shared" si="5"/>
        <v>RUN-ABRM_2022-10-07_RFR-037</v>
      </c>
      <c r="Y266" s="317" t="str">
        <f t="shared" si="6"/>
        <v/>
      </c>
      <c r="Z266" s="83" t="str">
        <f t="shared" si="7"/>
        <v/>
      </c>
      <c r="AA266" s="83" t="str">
        <f t="shared" si="8"/>
        <v/>
      </c>
      <c r="AB266" s="83" t="str">
        <f t="shared" si="9"/>
        <v/>
      </c>
      <c r="AC266" s="18" t="str">
        <f t="shared" ref="AC266:AD266" si="537">IF(_xlfn.ISFORMULA(S266),IFERROR(0/0,""),TRUE)</f>
        <v/>
      </c>
      <c r="AD266" s="18" t="str">
        <f t="shared" si="537"/>
        <v/>
      </c>
      <c r="AE266" s="43"/>
      <c r="AF266" s="58" t="s">
        <v>53</v>
      </c>
      <c r="AG266" s="55" t="str">
        <f t="shared" si="11"/>
        <v/>
      </c>
    </row>
    <row r="267">
      <c r="A267" s="7" t="str">
        <f>IFERROR(__xludf.DUMMYFUNCTION("""COMPUTED_VALUE"""),"AK5791")</f>
        <v>AK5791</v>
      </c>
      <c r="B267" s="308">
        <f>IFERROR(__xludf.DUMMYFUNCTION("""COMPUTED_VALUE"""),44841.0)</f>
        <v>44841</v>
      </c>
      <c r="C267" s="309">
        <f>IFERROR(__xludf.DUMMYFUNCTION("""COMPUTED_VALUE"""),0.2695601851851852)</f>
        <v>0.2695601852</v>
      </c>
      <c r="D267" s="7" t="str">
        <f>IFERROR(__xludf.DUMMYFUNCTION("""COMPUTED_VALUE"""),"SpABRM652382")</f>
        <v>SpABRM652382</v>
      </c>
      <c r="E267" s="310"/>
      <c r="F267" s="310"/>
      <c r="G267" s="310" t="str">
        <f>IFERROR(__xludf.DUMMYFUNCTION("""COMPUTED_VALUE"""),"Negative")</f>
        <v>Negative</v>
      </c>
      <c r="H267" s="319" t="str">
        <f>IFERROR(__xludf.DUMMYFUNCTION("""COMPUTED_VALUE"""),"Negative")</f>
        <v>Negative</v>
      </c>
      <c r="I267" s="308">
        <f>IFERROR(__xludf.DUMMYFUNCTION("""COMPUTED_VALUE"""),44844.0)</f>
        <v>44844</v>
      </c>
      <c r="J267" s="311">
        <f>IFERROR(__xludf.DUMMYFUNCTION("""COMPUTED_VALUE"""),0.44993055555555556)</f>
        <v>0.4499305556</v>
      </c>
      <c r="K267" s="54"/>
      <c r="L267" s="7"/>
      <c r="M267" s="312"/>
      <c r="N267" s="172">
        <f>IFERROR(__xludf.DUMMYFUNCTION("""COMPUTED_VALUE"""),3.0)</f>
        <v>3</v>
      </c>
      <c r="O267" s="172" t="str">
        <f t="shared" si="3"/>
        <v/>
      </c>
      <c r="P267" s="313">
        <f>IFERROR(__xludf.DUMMYFUNCTION("""COMPUTED_VALUE"""),3.0)</f>
        <v>3</v>
      </c>
      <c r="Q267" s="76" t="b">
        <f>VLOOKUP($B267,'Run Reconcile'!B$2:O1399,14,FALSE)</f>
        <v>1</v>
      </c>
      <c r="R267" s="314" t="str">
        <f t="array" ref="R267">IF($Q267, INDEX('Run Reconcile'!A$2:A1399,MATCH(B267,'Run Reconcile'!B$2:B1399,0),1),IFERROR(0/0,""))</f>
        <v>RUN-ABRM_2022-10-07_RFR-037</v>
      </c>
      <c r="S267" s="315" t="str">
        <f t="shared" ref="S267:T267" si="538">IF(COUNTIF(W$2:W1399, $A267) &gt; 0,TRUE,IFERROR(0/0,""))</f>
        <v/>
      </c>
      <c r="T267" s="315" t="str">
        <f t="shared" si="538"/>
        <v/>
      </c>
      <c r="U267" s="114" t="str">
        <f t="array" ref="U267">IF(ISBLANK($R267), INDEX('Run Reconcile'!A$2:A1399, MATCH($B267, 'Run Reconcile'!B$2:B1399, 0)+Z267, 1), IFERROR(0/0,""))
</f>
        <v/>
      </c>
      <c r="V267" s="316" t="str">
        <f t="shared" si="5"/>
        <v>RUN-ABRM_2022-10-07_RFR-037</v>
      </c>
      <c r="Y267" s="317" t="str">
        <f t="shared" si="6"/>
        <v/>
      </c>
      <c r="Z267" s="83" t="str">
        <f t="shared" si="7"/>
        <v/>
      </c>
      <c r="AA267" s="83" t="str">
        <f t="shared" si="8"/>
        <v/>
      </c>
      <c r="AB267" s="83" t="str">
        <f t="shared" si="9"/>
        <v/>
      </c>
      <c r="AC267" s="18" t="str">
        <f t="shared" ref="AC267:AD267" si="539">IF(_xlfn.ISFORMULA(S267),IFERROR(0/0,""),TRUE)</f>
        <v/>
      </c>
      <c r="AD267" s="18" t="str">
        <f t="shared" si="539"/>
        <v/>
      </c>
      <c r="AE267" s="43"/>
      <c r="AF267" s="58" t="s">
        <v>53</v>
      </c>
      <c r="AG267" s="55" t="str">
        <f t="shared" si="11"/>
        <v/>
      </c>
    </row>
    <row r="268">
      <c r="A268" s="7" t="str">
        <f>IFERROR(__xludf.DUMMYFUNCTION("""COMPUTED_VALUE"""),"AG1555")</f>
        <v>AG1555</v>
      </c>
      <c r="B268" s="308">
        <f>IFERROR(__xludf.DUMMYFUNCTION("""COMPUTED_VALUE"""),44841.0)</f>
        <v>44841</v>
      </c>
      <c r="C268" s="309">
        <f>IFERROR(__xludf.DUMMYFUNCTION("""COMPUTED_VALUE"""),0.28488425925925925)</f>
        <v>0.2848842593</v>
      </c>
      <c r="D268" s="7" t="str">
        <f>IFERROR(__xludf.DUMMYFUNCTION("""COMPUTED_VALUE"""),"SpABRM655136")</f>
        <v>SpABRM655136</v>
      </c>
      <c r="E268" s="310"/>
      <c r="F268" s="310"/>
      <c r="G268" s="310" t="str">
        <f>IFERROR(__xludf.DUMMYFUNCTION("""COMPUTED_VALUE"""),"Negative")</f>
        <v>Negative</v>
      </c>
      <c r="H268" s="319" t="str">
        <f>IFERROR(__xludf.DUMMYFUNCTION("""COMPUTED_VALUE"""),"Negative")</f>
        <v>Negative</v>
      </c>
      <c r="I268" s="308">
        <f>IFERROR(__xludf.DUMMYFUNCTION("""COMPUTED_VALUE"""),44844.0)</f>
        <v>44844</v>
      </c>
      <c r="J268" s="311">
        <f>IFERROR(__xludf.DUMMYFUNCTION("""COMPUTED_VALUE"""),0.44994212962962965)</f>
        <v>0.4499421296</v>
      </c>
      <c r="K268" s="54"/>
      <c r="L268" s="7"/>
      <c r="M268" s="312"/>
      <c r="N268" s="172">
        <f>IFERROR(__xludf.DUMMYFUNCTION("""COMPUTED_VALUE"""),2.0)</f>
        <v>2</v>
      </c>
      <c r="O268" s="172" t="str">
        <f t="shared" si="3"/>
        <v/>
      </c>
      <c r="P268" s="313">
        <f>IFERROR(__xludf.DUMMYFUNCTION("""COMPUTED_VALUE"""),3.0)</f>
        <v>3</v>
      </c>
      <c r="Q268" s="76" t="b">
        <f>VLOOKUP($B268,'Run Reconcile'!B$2:O1399,14,FALSE)</f>
        <v>1</v>
      </c>
      <c r="R268" s="314" t="str">
        <f t="array" ref="R268">IF($Q268, INDEX('Run Reconcile'!A$2:A1399,MATCH(B268,'Run Reconcile'!B$2:B1399,0),1),IFERROR(0/0,""))</f>
        <v>RUN-ABRM_2022-10-07_RFR-037</v>
      </c>
      <c r="S268" s="315" t="str">
        <f t="shared" ref="S268:T268" si="540">IF(COUNTIF(W$2:W1399, $A268) &gt; 0,TRUE,IFERROR(0/0,""))</f>
        <v/>
      </c>
      <c r="T268" s="315" t="str">
        <f t="shared" si="540"/>
        <v/>
      </c>
      <c r="U268" s="114" t="str">
        <f t="array" ref="U268">IF(ISBLANK($R268), INDEX('Run Reconcile'!A$2:A1399, MATCH($B268, 'Run Reconcile'!B$2:B1399, 0)+Z268, 1), IFERROR(0/0,""))
</f>
        <v/>
      </c>
      <c r="V268" s="316" t="str">
        <f t="shared" si="5"/>
        <v>RUN-ABRM_2022-10-07_RFR-037</v>
      </c>
      <c r="Y268" s="317" t="str">
        <f t="shared" si="6"/>
        <v/>
      </c>
      <c r="Z268" s="83" t="str">
        <f t="shared" si="7"/>
        <v/>
      </c>
      <c r="AA268" s="83" t="str">
        <f t="shared" si="8"/>
        <v/>
      </c>
      <c r="AB268" s="83" t="str">
        <f t="shared" si="9"/>
        <v/>
      </c>
      <c r="AC268" s="18" t="str">
        <f t="shared" ref="AC268:AD268" si="541">IF(_xlfn.ISFORMULA(S268),IFERROR(0/0,""),TRUE)</f>
        <v/>
      </c>
      <c r="AD268" s="18" t="str">
        <f t="shared" si="541"/>
        <v/>
      </c>
      <c r="AE268" s="43"/>
      <c r="AF268" s="58" t="s">
        <v>53</v>
      </c>
      <c r="AG268" s="55" t="str">
        <f t="shared" si="11"/>
        <v/>
      </c>
    </row>
    <row r="269">
      <c r="A269" s="7" t="str">
        <f>IFERROR(__xludf.DUMMYFUNCTION("""COMPUTED_VALUE"""),"AH9909")</f>
        <v>AH9909</v>
      </c>
      <c r="B269" s="308">
        <f>IFERROR(__xludf.DUMMYFUNCTION("""COMPUTED_VALUE"""),44841.0)</f>
        <v>44841</v>
      </c>
      <c r="C269" s="309">
        <f>IFERROR(__xludf.DUMMYFUNCTION("""COMPUTED_VALUE"""),0.29050925925925924)</f>
        <v>0.2905092593</v>
      </c>
      <c r="D269" s="7" t="str">
        <f>IFERROR(__xludf.DUMMYFUNCTION("""COMPUTED_VALUE"""),"SpABRM655136")</f>
        <v>SpABRM655136</v>
      </c>
      <c r="E269" s="310"/>
      <c r="F269" s="310"/>
      <c r="G269" s="310" t="str">
        <f>IFERROR(__xludf.DUMMYFUNCTION("""COMPUTED_VALUE"""),"Negative")</f>
        <v>Negative</v>
      </c>
      <c r="H269" s="319" t="str">
        <f>IFERROR(__xludf.DUMMYFUNCTION("""COMPUTED_VALUE"""),"Negative")</f>
        <v>Negative</v>
      </c>
      <c r="I269" s="308">
        <f>IFERROR(__xludf.DUMMYFUNCTION("""COMPUTED_VALUE"""),44844.0)</f>
        <v>44844</v>
      </c>
      <c r="J269" s="311">
        <f>IFERROR(__xludf.DUMMYFUNCTION("""COMPUTED_VALUE"""),0.44994212962962965)</f>
        <v>0.4499421296</v>
      </c>
      <c r="K269" s="54"/>
      <c r="L269" s="7"/>
      <c r="M269" s="312"/>
      <c r="N269" s="172">
        <f>IFERROR(__xludf.DUMMYFUNCTION("""COMPUTED_VALUE"""),2.0)</f>
        <v>2</v>
      </c>
      <c r="O269" s="172" t="str">
        <f t="shared" si="3"/>
        <v/>
      </c>
      <c r="P269" s="313">
        <f>IFERROR(__xludf.DUMMYFUNCTION("""COMPUTED_VALUE"""),3.0)</f>
        <v>3</v>
      </c>
      <c r="Q269" s="76" t="b">
        <f>VLOOKUP($B269,'Run Reconcile'!B$2:O1399,14,FALSE)</f>
        <v>1</v>
      </c>
      <c r="R269" s="314" t="str">
        <f t="array" ref="R269">IF($Q269, INDEX('Run Reconcile'!A$2:A1399,MATCH(B269,'Run Reconcile'!B$2:B1399,0),1),IFERROR(0/0,""))</f>
        <v>RUN-ABRM_2022-10-07_RFR-037</v>
      </c>
      <c r="S269" s="315" t="str">
        <f t="shared" ref="S269:T269" si="542">IF(COUNTIF(W$2:W1399, $A269) &gt; 0,TRUE,IFERROR(0/0,""))</f>
        <v/>
      </c>
      <c r="T269" s="315" t="str">
        <f t="shared" si="542"/>
        <v/>
      </c>
      <c r="U269" s="114" t="str">
        <f t="array" ref="U269">IF(ISBLANK($R269), INDEX('Run Reconcile'!A$2:A1399, MATCH($B269, 'Run Reconcile'!B$2:B1399, 0)+Z269, 1), IFERROR(0/0,""))
</f>
        <v/>
      </c>
      <c r="V269" s="316" t="str">
        <f t="shared" si="5"/>
        <v>RUN-ABRM_2022-10-07_RFR-037</v>
      </c>
      <c r="Y269" s="317" t="str">
        <f t="shared" si="6"/>
        <v/>
      </c>
      <c r="Z269" s="83" t="str">
        <f t="shared" si="7"/>
        <v/>
      </c>
      <c r="AA269" s="83" t="str">
        <f t="shared" si="8"/>
        <v/>
      </c>
      <c r="AB269" s="83" t="str">
        <f t="shared" si="9"/>
        <v/>
      </c>
      <c r="AC269" s="18" t="str">
        <f t="shared" ref="AC269:AD269" si="543">IF(_xlfn.ISFORMULA(S269),IFERROR(0/0,""),TRUE)</f>
        <v/>
      </c>
      <c r="AD269" s="18" t="str">
        <f t="shared" si="543"/>
        <v/>
      </c>
      <c r="AE269" s="43"/>
      <c r="AF269" s="58" t="s">
        <v>53</v>
      </c>
      <c r="AG269" s="55" t="str">
        <f t="shared" si="11"/>
        <v/>
      </c>
    </row>
    <row r="270">
      <c r="A270" s="7" t="str">
        <f>IFERROR(__xludf.DUMMYFUNCTION("""COMPUTED_VALUE"""),"AG478")</f>
        <v>AG478</v>
      </c>
      <c r="B270" s="308">
        <f>IFERROR(__xludf.DUMMYFUNCTION("""COMPUTED_VALUE"""),44841.0)</f>
        <v>44841</v>
      </c>
      <c r="C270" s="309">
        <f>IFERROR(__xludf.DUMMYFUNCTION("""COMPUTED_VALUE"""),0.3100810185185185)</f>
        <v>0.3100810185</v>
      </c>
      <c r="D270" s="7" t="str">
        <f>IFERROR(__xludf.DUMMYFUNCTION("""COMPUTED_VALUE"""),"SpABRM610758")</f>
        <v>SpABRM610758</v>
      </c>
      <c r="E270" s="310"/>
      <c r="F270" s="310"/>
      <c r="G270" s="310" t="str">
        <f>IFERROR(__xludf.DUMMYFUNCTION("""COMPUTED_VALUE"""),"Negative")</f>
        <v>Negative</v>
      </c>
      <c r="H270" s="319" t="str">
        <f>IFERROR(__xludf.DUMMYFUNCTION("""COMPUTED_VALUE"""),"Negative")</f>
        <v>Negative</v>
      </c>
      <c r="I270" s="308">
        <f>IFERROR(__xludf.DUMMYFUNCTION("""COMPUTED_VALUE"""),44844.0)</f>
        <v>44844</v>
      </c>
      <c r="J270" s="311">
        <f>IFERROR(__xludf.DUMMYFUNCTION("""COMPUTED_VALUE"""),0.44994212962962965)</f>
        <v>0.4499421296</v>
      </c>
      <c r="K270" s="54"/>
      <c r="L270" s="7"/>
      <c r="M270" s="312"/>
      <c r="N270" s="172">
        <f>IFERROR(__xludf.DUMMYFUNCTION("""COMPUTED_VALUE"""),4.0)</f>
        <v>4</v>
      </c>
      <c r="O270" s="172" t="str">
        <f t="shared" si="3"/>
        <v/>
      </c>
      <c r="P270" s="313">
        <f>IFERROR(__xludf.DUMMYFUNCTION("""COMPUTED_VALUE"""),3.0)</f>
        <v>3</v>
      </c>
      <c r="Q270" s="76" t="b">
        <f>VLOOKUP($B270,'Run Reconcile'!B$2:O1399,14,FALSE)</f>
        <v>1</v>
      </c>
      <c r="R270" s="314" t="str">
        <f t="array" ref="R270">IF($Q270, INDEX('Run Reconcile'!A$2:A1399,MATCH(B270,'Run Reconcile'!B$2:B1399,0),1),IFERROR(0/0,""))</f>
        <v>RUN-ABRM_2022-10-07_RFR-037</v>
      </c>
      <c r="S270" s="315" t="str">
        <f t="shared" ref="S270:T270" si="544">IF(COUNTIF(W$2:W1399, $A270) &gt; 0,TRUE,IFERROR(0/0,""))</f>
        <v/>
      </c>
      <c r="T270" s="315" t="str">
        <f t="shared" si="544"/>
        <v/>
      </c>
      <c r="U270" s="114" t="str">
        <f t="array" ref="U270">IF(ISBLANK($R270), INDEX('Run Reconcile'!A$2:A1399, MATCH($B270, 'Run Reconcile'!B$2:B1399, 0)+Z270, 1), IFERROR(0/0,""))
</f>
        <v/>
      </c>
      <c r="V270" s="316" t="str">
        <f t="shared" si="5"/>
        <v>RUN-ABRM_2022-10-07_RFR-037</v>
      </c>
      <c r="Y270" s="317" t="str">
        <f t="shared" si="6"/>
        <v/>
      </c>
      <c r="Z270" s="83" t="str">
        <f t="shared" si="7"/>
        <v/>
      </c>
      <c r="AA270" s="83" t="str">
        <f t="shared" si="8"/>
        <v/>
      </c>
      <c r="AB270" s="83" t="str">
        <f t="shared" si="9"/>
        <v/>
      </c>
      <c r="AC270" s="18" t="str">
        <f t="shared" ref="AC270:AD270" si="545">IF(_xlfn.ISFORMULA(S270),IFERROR(0/0,""),TRUE)</f>
        <v/>
      </c>
      <c r="AD270" s="18" t="str">
        <f t="shared" si="545"/>
        <v/>
      </c>
      <c r="AE270" s="43"/>
      <c r="AF270" s="58" t="s">
        <v>53</v>
      </c>
      <c r="AG270" s="55" t="str">
        <f t="shared" si="11"/>
        <v/>
      </c>
    </row>
    <row r="271">
      <c r="A271" s="7" t="str">
        <f>IFERROR(__xludf.DUMMYFUNCTION("""COMPUTED_VALUE"""),"AH8169")</f>
        <v>AH8169</v>
      </c>
      <c r="B271" s="308">
        <f>IFERROR(__xludf.DUMMYFUNCTION("""COMPUTED_VALUE"""),44841.0)</f>
        <v>44841</v>
      </c>
      <c r="C271" s="309">
        <f>IFERROR(__xludf.DUMMYFUNCTION("""COMPUTED_VALUE"""),0.31039351851851854)</f>
        <v>0.3103935185</v>
      </c>
      <c r="D271" s="7" t="str">
        <f>IFERROR(__xludf.DUMMYFUNCTION("""COMPUTED_VALUE"""),"SpABRM610758")</f>
        <v>SpABRM610758</v>
      </c>
      <c r="E271" s="310"/>
      <c r="F271" s="310"/>
      <c r="G271" s="310" t="str">
        <f>IFERROR(__xludf.DUMMYFUNCTION("""COMPUTED_VALUE"""),"Negative")</f>
        <v>Negative</v>
      </c>
      <c r="H271" s="319" t="str">
        <f>IFERROR(__xludf.DUMMYFUNCTION("""COMPUTED_VALUE"""),"Negative")</f>
        <v>Negative</v>
      </c>
      <c r="I271" s="308">
        <f>IFERROR(__xludf.DUMMYFUNCTION("""COMPUTED_VALUE"""),44844.0)</f>
        <v>44844</v>
      </c>
      <c r="J271" s="311">
        <f>IFERROR(__xludf.DUMMYFUNCTION("""COMPUTED_VALUE"""),0.44994212962962965)</f>
        <v>0.4499421296</v>
      </c>
      <c r="K271" s="54"/>
      <c r="L271" s="7"/>
      <c r="M271" s="312"/>
      <c r="N271" s="172">
        <f>IFERROR(__xludf.DUMMYFUNCTION("""COMPUTED_VALUE"""),1.0)</f>
        <v>1</v>
      </c>
      <c r="O271" s="172" t="str">
        <f t="shared" si="3"/>
        <v/>
      </c>
      <c r="P271" s="313">
        <f>IFERROR(__xludf.DUMMYFUNCTION("""COMPUTED_VALUE"""),3.0)</f>
        <v>3</v>
      </c>
      <c r="Q271" s="76" t="b">
        <f>VLOOKUP($B271,'Run Reconcile'!B$2:O1399,14,FALSE)</f>
        <v>1</v>
      </c>
      <c r="R271" s="314" t="str">
        <f t="array" ref="R271">IF($Q271, INDEX('Run Reconcile'!A$2:A1399,MATCH(B271,'Run Reconcile'!B$2:B1399,0),1),IFERROR(0/0,""))</f>
        <v>RUN-ABRM_2022-10-07_RFR-037</v>
      </c>
      <c r="S271" s="315" t="str">
        <f t="shared" ref="S271:T271" si="546">IF(COUNTIF(W$2:W1399, $A271) &gt; 0,TRUE,IFERROR(0/0,""))</f>
        <v/>
      </c>
      <c r="T271" s="315" t="str">
        <f t="shared" si="546"/>
        <v/>
      </c>
      <c r="U271" s="114" t="str">
        <f t="array" ref="U271">IF(ISBLANK($R271), INDEX('Run Reconcile'!A$2:A1399, MATCH($B271, 'Run Reconcile'!B$2:B1399, 0)+Z271, 1), IFERROR(0/0,""))
</f>
        <v/>
      </c>
      <c r="V271" s="316" t="str">
        <f t="shared" si="5"/>
        <v>RUN-ABRM_2022-10-07_RFR-037</v>
      </c>
      <c r="Y271" s="317" t="str">
        <f t="shared" si="6"/>
        <v/>
      </c>
      <c r="Z271" s="83" t="str">
        <f t="shared" si="7"/>
        <v/>
      </c>
      <c r="AA271" s="83" t="str">
        <f t="shared" si="8"/>
        <v/>
      </c>
      <c r="AB271" s="83" t="str">
        <f t="shared" si="9"/>
        <v/>
      </c>
      <c r="AC271" s="18" t="str">
        <f t="shared" ref="AC271:AD271" si="547">IF(_xlfn.ISFORMULA(S271),IFERROR(0/0,""),TRUE)</f>
        <v/>
      </c>
      <c r="AD271" s="18" t="str">
        <f t="shared" si="547"/>
        <v/>
      </c>
      <c r="AE271" s="43"/>
      <c r="AF271" s="58" t="s">
        <v>53</v>
      </c>
      <c r="AG271" s="55" t="str">
        <f t="shared" si="11"/>
        <v/>
      </c>
    </row>
    <row r="272">
      <c r="A272" s="7" t="str">
        <f>IFERROR(__xludf.DUMMYFUNCTION("""COMPUTED_VALUE"""),"AG2111")</f>
        <v>AG2111</v>
      </c>
      <c r="B272" s="308">
        <f>IFERROR(__xludf.DUMMYFUNCTION("""COMPUTED_VALUE"""),44841.0)</f>
        <v>44841</v>
      </c>
      <c r="C272" s="309">
        <f>IFERROR(__xludf.DUMMYFUNCTION("""COMPUTED_VALUE"""),0.3282060185185185)</f>
        <v>0.3282060185</v>
      </c>
      <c r="D272" s="7" t="str">
        <f>IFERROR(__xludf.DUMMYFUNCTION("""COMPUTED_VALUE"""),"SpABRM188986")</f>
        <v>SpABRM188986</v>
      </c>
      <c r="E272" s="310"/>
      <c r="F272" s="310"/>
      <c r="G272" s="310" t="str">
        <f>IFERROR(__xludf.DUMMYFUNCTION("""COMPUTED_VALUE"""),"Negative")</f>
        <v>Negative</v>
      </c>
      <c r="H272" s="319" t="str">
        <f>IFERROR(__xludf.DUMMYFUNCTION("""COMPUTED_VALUE"""),"Negative")</f>
        <v>Negative</v>
      </c>
      <c r="I272" s="308">
        <f>IFERROR(__xludf.DUMMYFUNCTION("""COMPUTED_VALUE"""),44844.0)</f>
        <v>44844</v>
      </c>
      <c r="J272" s="311">
        <f>IFERROR(__xludf.DUMMYFUNCTION("""COMPUTED_VALUE"""),0.4499537037037037)</f>
        <v>0.4499537037</v>
      </c>
      <c r="K272" s="54"/>
      <c r="L272" s="7"/>
      <c r="M272" s="312"/>
      <c r="N272" s="172">
        <f>IFERROR(__xludf.DUMMYFUNCTION("""COMPUTED_VALUE"""),3.0)</f>
        <v>3</v>
      </c>
      <c r="O272" s="172" t="str">
        <f t="shared" si="3"/>
        <v/>
      </c>
      <c r="P272" s="313">
        <f>IFERROR(__xludf.DUMMYFUNCTION("""COMPUTED_VALUE"""),3.0)</f>
        <v>3</v>
      </c>
      <c r="Q272" s="76" t="b">
        <f>VLOOKUP($B272,'Run Reconcile'!B$2:O1399,14,FALSE)</f>
        <v>1</v>
      </c>
      <c r="R272" s="314" t="str">
        <f t="array" ref="R272">IF($Q272, INDEX('Run Reconcile'!A$2:A1399,MATCH(B272,'Run Reconcile'!B$2:B1399,0),1),IFERROR(0/0,""))</f>
        <v>RUN-ABRM_2022-10-07_RFR-037</v>
      </c>
      <c r="S272" s="315" t="str">
        <f t="shared" ref="S272:T272" si="548">IF(COUNTIF(W$2:W1399, $A272) &gt; 0,TRUE,IFERROR(0/0,""))</f>
        <v/>
      </c>
      <c r="T272" s="315" t="str">
        <f t="shared" si="548"/>
        <v/>
      </c>
      <c r="U272" s="114" t="str">
        <f t="array" ref="U272">IF(ISBLANK($R272), INDEX('Run Reconcile'!A$2:A1399, MATCH($B272, 'Run Reconcile'!B$2:B1399, 0)+Z272, 1), IFERROR(0/0,""))
</f>
        <v/>
      </c>
      <c r="V272" s="316" t="str">
        <f t="shared" si="5"/>
        <v>RUN-ABRM_2022-10-07_RFR-037</v>
      </c>
      <c r="Y272" s="317" t="str">
        <f t="shared" si="6"/>
        <v/>
      </c>
      <c r="Z272" s="83" t="str">
        <f t="shared" si="7"/>
        <v/>
      </c>
      <c r="AA272" s="83" t="str">
        <f t="shared" si="8"/>
        <v/>
      </c>
      <c r="AB272" s="83" t="str">
        <f t="shared" si="9"/>
        <v/>
      </c>
      <c r="AC272" s="18" t="str">
        <f t="shared" ref="AC272:AD272" si="549">IF(_xlfn.ISFORMULA(S272),IFERROR(0/0,""),TRUE)</f>
        <v/>
      </c>
      <c r="AD272" s="18" t="str">
        <f t="shared" si="549"/>
        <v/>
      </c>
      <c r="AE272" s="43"/>
      <c r="AF272" s="58" t="s">
        <v>53</v>
      </c>
      <c r="AG272" s="55" t="str">
        <f t="shared" si="11"/>
        <v/>
      </c>
    </row>
    <row r="273">
      <c r="A273" s="7" t="str">
        <f>IFERROR(__xludf.DUMMYFUNCTION("""COMPUTED_VALUE"""),"AG237")</f>
        <v>AG237</v>
      </c>
      <c r="B273" s="308">
        <f>IFERROR(__xludf.DUMMYFUNCTION("""COMPUTED_VALUE"""),44841.0)</f>
        <v>44841</v>
      </c>
      <c r="C273" s="309">
        <f>IFERROR(__xludf.DUMMYFUNCTION("""COMPUTED_VALUE"""),0.32947916666666666)</f>
        <v>0.3294791667</v>
      </c>
      <c r="D273" s="7" t="str">
        <f>IFERROR(__xludf.DUMMYFUNCTION("""COMPUTED_VALUE"""),"SpABRM188986")</f>
        <v>SpABRM188986</v>
      </c>
      <c r="E273" s="310"/>
      <c r="F273" s="310"/>
      <c r="G273" s="310" t="str">
        <f>IFERROR(__xludf.DUMMYFUNCTION("""COMPUTED_VALUE"""),"Negative")</f>
        <v>Negative</v>
      </c>
      <c r="H273" s="319" t="str">
        <f>IFERROR(__xludf.DUMMYFUNCTION("""COMPUTED_VALUE"""),"Negative")</f>
        <v>Negative</v>
      </c>
      <c r="I273" s="308">
        <f>IFERROR(__xludf.DUMMYFUNCTION("""COMPUTED_VALUE"""),44844.0)</f>
        <v>44844</v>
      </c>
      <c r="J273" s="311">
        <f>IFERROR(__xludf.DUMMYFUNCTION("""COMPUTED_VALUE"""),0.4499537037037037)</f>
        <v>0.4499537037</v>
      </c>
      <c r="K273" s="54"/>
      <c r="L273" s="7"/>
      <c r="M273" s="312"/>
      <c r="N273" s="172">
        <f>IFERROR(__xludf.DUMMYFUNCTION("""COMPUTED_VALUE"""),1.0)</f>
        <v>1</v>
      </c>
      <c r="O273" s="172" t="str">
        <f t="shared" si="3"/>
        <v/>
      </c>
      <c r="P273" s="313">
        <f>IFERROR(__xludf.DUMMYFUNCTION("""COMPUTED_VALUE"""),3.0)</f>
        <v>3</v>
      </c>
      <c r="Q273" s="76" t="b">
        <f>VLOOKUP($B273,'Run Reconcile'!B$2:O1399,14,FALSE)</f>
        <v>1</v>
      </c>
      <c r="R273" s="314" t="str">
        <f t="array" ref="R273">IF($Q273, INDEX('Run Reconcile'!A$2:A1399,MATCH(B273,'Run Reconcile'!B$2:B1399,0),1),IFERROR(0/0,""))</f>
        <v>RUN-ABRM_2022-10-07_RFR-037</v>
      </c>
      <c r="S273" s="315" t="str">
        <f t="shared" ref="S273:T273" si="550">IF(COUNTIF(W$2:W1399, $A273) &gt; 0,TRUE,IFERROR(0/0,""))</f>
        <v/>
      </c>
      <c r="T273" s="315" t="str">
        <f t="shared" si="550"/>
        <v/>
      </c>
      <c r="U273" s="114" t="str">
        <f t="array" ref="U273">IF(ISBLANK($R273), INDEX('Run Reconcile'!A$2:A1399, MATCH($B273, 'Run Reconcile'!B$2:B1399, 0)+Z273, 1), IFERROR(0/0,""))
</f>
        <v/>
      </c>
      <c r="V273" s="316" t="str">
        <f t="shared" si="5"/>
        <v>RUN-ABRM_2022-10-07_RFR-037</v>
      </c>
      <c r="Y273" s="317" t="str">
        <f t="shared" si="6"/>
        <v/>
      </c>
      <c r="Z273" s="83" t="str">
        <f t="shared" si="7"/>
        <v/>
      </c>
      <c r="AA273" s="83" t="str">
        <f t="shared" si="8"/>
        <v/>
      </c>
      <c r="AB273" s="83" t="str">
        <f t="shared" si="9"/>
        <v/>
      </c>
      <c r="AC273" s="18" t="str">
        <f t="shared" ref="AC273:AD273" si="551">IF(_xlfn.ISFORMULA(S273),IFERROR(0/0,""),TRUE)</f>
        <v/>
      </c>
      <c r="AD273" s="18" t="str">
        <f t="shared" si="551"/>
        <v/>
      </c>
      <c r="AE273" s="43"/>
      <c r="AF273" s="58" t="s">
        <v>53</v>
      </c>
      <c r="AG273" s="55" t="str">
        <f t="shared" si="11"/>
        <v/>
      </c>
    </row>
    <row r="274">
      <c r="A274" s="7" t="str">
        <f>IFERROR(__xludf.DUMMYFUNCTION("""COMPUTED_VALUE"""),"AG665")</f>
        <v>AG665</v>
      </c>
      <c r="B274" s="308">
        <f>IFERROR(__xludf.DUMMYFUNCTION("""COMPUTED_VALUE"""),44844.0)</f>
        <v>44844</v>
      </c>
      <c r="C274" s="309">
        <f>IFERROR(__xludf.DUMMYFUNCTION("""COMPUTED_VALUE"""),0.2520601851851852)</f>
        <v>0.2520601852</v>
      </c>
      <c r="D274" s="7" t="str">
        <f>IFERROR(__xludf.DUMMYFUNCTION("""COMPUTED_VALUE"""),"SpABRM128250")</f>
        <v>SpABRM128250</v>
      </c>
      <c r="E274" s="310"/>
      <c r="F274" s="310"/>
      <c r="G274" s="310" t="str">
        <f>IFERROR(__xludf.DUMMYFUNCTION("""COMPUTED_VALUE"""),"Negative")</f>
        <v>Negative</v>
      </c>
      <c r="H274" s="319" t="str">
        <f>IFERROR(__xludf.DUMMYFUNCTION("""COMPUTED_VALUE"""),"Negative")</f>
        <v>Negative</v>
      </c>
      <c r="I274" s="308">
        <f>IFERROR(__xludf.DUMMYFUNCTION("""COMPUTED_VALUE"""),44844.0)</f>
        <v>44844</v>
      </c>
      <c r="J274" s="311">
        <f>IFERROR(__xludf.DUMMYFUNCTION("""COMPUTED_VALUE"""),0.4497569444444444)</f>
        <v>0.4497569444</v>
      </c>
      <c r="K274" s="54"/>
      <c r="L274" s="7"/>
      <c r="M274" s="312"/>
      <c r="N274" s="172">
        <f>IFERROR(__xludf.DUMMYFUNCTION("""COMPUTED_VALUE"""),3.0)</f>
        <v>3</v>
      </c>
      <c r="O274" s="172" t="b">
        <f t="shared" si="3"/>
        <v>1</v>
      </c>
      <c r="P274" s="313">
        <f>IFERROR(__xludf.DUMMYFUNCTION("""COMPUTED_VALUE"""),0.0)</f>
        <v>0</v>
      </c>
      <c r="Q274" s="76" t="b">
        <f>VLOOKUP($B274,'Run Reconcile'!B$2:O1399,14,FALSE)</f>
        <v>1</v>
      </c>
      <c r="R274" s="314" t="str">
        <f t="array" ref="R274">IF($Q274, INDEX('Run Reconcile'!A$2:A1399,MATCH(B274,'Run Reconcile'!B$2:B1399,0),1),IFERROR(0/0,""))</f>
        <v>RUN-ABRM_2022-10-10_RFR-038</v>
      </c>
      <c r="S274" s="315" t="str">
        <f t="shared" ref="S274:T274" si="552">IF(COUNTIF(W$2:W1399, $A274) &gt; 0,TRUE,IFERROR(0/0,""))</f>
        <v/>
      </c>
      <c r="T274" s="315" t="str">
        <f t="shared" si="552"/>
        <v/>
      </c>
      <c r="U274" s="114" t="str">
        <f t="array" ref="U274">IF(ISBLANK($R274), INDEX('Run Reconcile'!A$2:A1399, MATCH($B274, 'Run Reconcile'!B$2:B1399, 0)+Z274, 1), IFERROR(0/0,""))
</f>
        <v/>
      </c>
      <c r="V274" s="316" t="str">
        <f t="shared" si="5"/>
        <v>RUN-ABRM_2022-10-10_RFR-038</v>
      </c>
      <c r="Y274" s="317" t="str">
        <f t="shared" si="6"/>
        <v/>
      </c>
      <c r="Z274" s="83" t="str">
        <f t="shared" si="7"/>
        <v/>
      </c>
      <c r="AA274" s="83" t="str">
        <f t="shared" si="8"/>
        <v/>
      </c>
      <c r="AB274" s="83" t="str">
        <f t="shared" si="9"/>
        <v/>
      </c>
      <c r="AC274" s="18" t="str">
        <f t="shared" ref="AC274:AD274" si="553">IF(_xlfn.ISFORMULA(S274),IFERROR(0/0,""),TRUE)</f>
        <v/>
      </c>
      <c r="AD274" s="18" t="str">
        <f t="shared" si="553"/>
        <v/>
      </c>
      <c r="AE274" s="43"/>
      <c r="AF274" s="58" t="s">
        <v>54</v>
      </c>
      <c r="AG274" s="55" t="str">
        <f t="shared" si="11"/>
        <v/>
      </c>
    </row>
    <row r="275">
      <c r="A275" s="7" t="str">
        <f>IFERROR(__xludf.DUMMYFUNCTION("""COMPUTED_VALUE"""),"AH7982")</f>
        <v>AH7982</v>
      </c>
      <c r="B275" s="308">
        <f>IFERROR(__xludf.DUMMYFUNCTION("""COMPUTED_VALUE"""),44844.0)</f>
        <v>44844</v>
      </c>
      <c r="C275" s="309">
        <f>IFERROR(__xludf.DUMMYFUNCTION("""COMPUTED_VALUE"""),0.2746180555555556)</f>
        <v>0.2746180556</v>
      </c>
      <c r="D275" s="7" t="str">
        <f>IFERROR(__xludf.DUMMYFUNCTION("""COMPUTED_VALUE"""),"SpABRM188986")</f>
        <v>SpABRM188986</v>
      </c>
      <c r="E275" s="310"/>
      <c r="F275" s="310"/>
      <c r="G275" s="310" t="str">
        <f>IFERROR(__xludf.DUMMYFUNCTION("""COMPUTED_VALUE"""),"Negative")</f>
        <v>Negative</v>
      </c>
      <c r="H275" s="319" t="str">
        <f>IFERROR(__xludf.DUMMYFUNCTION("""COMPUTED_VALUE"""),"Negative")</f>
        <v>Negative</v>
      </c>
      <c r="I275" s="308">
        <f>IFERROR(__xludf.DUMMYFUNCTION("""COMPUTED_VALUE"""),44844.0)</f>
        <v>44844</v>
      </c>
      <c r="J275" s="311">
        <f>IFERROR(__xludf.DUMMYFUNCTION("""COMPUTED_VALUE"""),0.4497569444444444)</f>
        <v>0.4497569444</v>
      </c>
      <c r="K275" s="54"/>
      <c r="L275" s="7"/>
      <c r="M275" s="312"/>
      <c r="N275" s="172">
        <f>IFERROR(__xludf.DUMMYFUNCTION("""COMPUTED_VALUE"""),2.0)</f>
        <v>2</v>
      </c>
      <c r="O275" s="172" t="str">
        <f t="shared" si="3"/>
        <v/>
      </c>
      <c r="P275" s="313">
        <f>IFERROR(__xludf.DUMMYFUNCTION("""COMPUTED_VALUE"""),0.0)</f>
        <v>0</v>
      </c>
      <c r="Q275" s="76" t="b">
        <f>VLOOKUP($B275,'Run Reconcile'!B$2:O1399,14,FALSE)</f>
        <v>1</v>
      </c>
      <c r="R275" s="314" t="str">
        <f t="array" ref="R275">IF($Q275, INDEX('Run Reconcile'!A$2:A1399,MATCH(B275,'Run Reconcile'!B$2:B1399,0),1),IFERROR(0/0,""))</f>
        <v>RUN-ABRM_2022-10-10_RFR-038</v>
      </c>
      <c r="S275" s="315" t="str">
        <f t="shared" ref="S275:T275" si="554">IF(COUNTIF(W$2:W1399, $A275) &gt; 0,TRUE,IFERROR(0/0,""))</f>
        <v/>
      </c>
      <c r="T275" s="315" t="str">
        <f t="shared" si="554"/>
        <v/>
      </c>
      <c r="U275" s="114" t="str">
        <f t="array" ref="U275">IF(ISBLANK($R275), INDEX('Run Reconcile'!A$2:A1399, MATCH($B275, 'Run Reconcile'!B$2:B1399, 0)+Z275, 1), IFERROR(0/0,""))
</f>
        <v/>
      </c>
      <c r="V275" s="316" t="str">
        <f t="shared" si="5"/>
        <v>RUN-ABRM_2022-10-10_RFR-038</v>
      </c>
      <c r="Y275" s="317" t="str">
        <f t="shared" si="6"/>
        <v/>
      </c>
      <c r="Z275" s="83" t="str">
        <f t="shared" si="7"/>
        <v/>
      </c>
      <c r="AA275" s="83" t="str">
        <f t="shared" si="8"/>
        <v/>
      </c>
      <c r="AB275" s="83" t="str">
        <f t="shared" si="9"/>
        <v/>
      </c>
      <c r="AC275" s="18" t="str">
        <f t="shared" ref="AC275:AD275" si="555">IF(_xlfn.ISFORMULA(S275),IFERROR(0/0,""),TRUE)</f>
        <v/>
      </c>
      <c r="AD275" s="18" t="str">
        <f t="shared" si="555"/>
        <v/>
      </c>
      <c r="AE275" s="43"/>
      <c r="AF275" s="58" t="s">
        <v>54</v>
      </c>
      <c r="AG275" s="55" t="str">
        <f t="shared" si="11"/>
        <v/>
      </c>
    </row>
    <row r="276">
      <c r="A276" s="7" t="str">
        <f>IFERROR(__xludf.DUMMYFUNCTION("""COMPUTED_VALUE"""),"AJ9297")</f>
        <v>AJ9297</v>
      </c>
      <c r="B276" s="308">
        <f>IFERROR(__xludf.DUMMYFUNCTION("""COMPUTED_VALUE"""),44844.0)</f>
        <v>44844</v>
      </c>
      <c r="C276" s="309">
        <f>IFERROR(__xludf.DUMMYFUNCTION("""COMPUTED_VALUE"""),0.2746296296296296)</f>
        <v>0.2746296296</v>
      </c>
      <c r="D276" s="7" t="str">
        <f>IFERROR(__xludf.DUMMYFUNCTION("""COMPUTED_VALUE"""),"SpABRM516158")</f>
        <v>SpABRM516158</v>
      </c>
      <c r="E276" s="310"/>
      <c r="F276" s="310"/>
      <c r="G276" s="310" t="str">
        <f>IFERROR(__xludf.DUMMYFUNCTION("""COMPUTED_VALUE"""),"Negative")</f>
        <v>Negative</v>
      </c>
      <c r="H276" s="319" t="str">
        <f>IFERROR(__xludf.DUMMYFUNCTION("""COMPUTED_VALUE"""),"Negative")</f>
        <v>Negative</v>
      </c>
      <c r="I276" s="308">
        <f>IFERROR(__xludf.DUMMYFUNCTION("""COMPUTED_VALUE"""),44844.0)</f>
        <v>44844</v>
      </c>
      <c r="J276" s="311">
        <f>IFERROR(__xludf.DUMMYFUNCTION("""COMPUTED_VALUE"""),0.4497569444444444)</f>
        <v>0.4497569444</v>
      </c>
      <c r="K276" s="54"/>
      <c r="L276" s="7"/>
      <c r="M276" s="312"/>
      <c r="N276" s="172">
        <f>IFERROR(__xludf.DUMMYFUNCTION("""COMPUTED_VALUE"""),1.0)</f>
        <v>1</v>
      </c>
      <c r="O276" s="172" t="str">
        <f t="shared" si="3"/>
        <v/>
      </c>
      <c r="P276" s="313">
        <f>IFERROR(__xludf.DUMMYFUNCTION("""COMPUTED_VALUE"""),0.0)</f>
        <v>0</v>
      </c>
      <c r="Q276" s="76" t="b">
        <f>VLOOKUP($B276,'Run Reconcile'!B$2:O1399,14,FALSE)</f>
        <v>1</v>
      </c>
      <c r="R276" s="314" t="str">
        <f t="array" ref="R276">IF($Q276, INDEX('Run Reconcile'!A$2:A1399,MATCH(B276,'Run Reconcile'!B$2:B1399,0),1),IFERROR(0/0,""))</f>
        <v>RUN-ABRM_2022-10-10_RFR-038</v>
      </c>
      <c r="S276" s="315" t="str">
        <f t="shared" ref="S276:T276" si="556">IF(COUNTIF(W$2:W1399, $A276) &gt; 0,TRUE,IFERROR(0/0,""))</f>
        <v/>
      </c>
      <c r="T276" s="315" t="str">
        <f t="shared" si="556"/>
        <v/>
      </c>
      <c r="U276" s="114" t="str">
        <f t="array" ref="U276">IF(ISBLANK($R276), INDEX('Run Reconcile'!A$2:A1399, MATCH($B276, 'Run Reconcile'!B$2:B1399, 0)+Z276, 1), IFERROR(0/0,""))
</f>
        <v/>
      </c>
      <c r="V276" s="316" t="str">
        <f t="shared" si="5"/>
        <v>RUN-ABRM_2022-10-10_RFR-038</v>
      </c>
      <c r="Y276" s="317" t="str">
        <f t="shared" si="6"/>
        <v/>
      </c>
      <c r="Z276" s="83" t="str">
        <f t="shared" si="7"/>
        <v/>
      </c>
      <c r="AA276" s="83" t="str">
        <f t="shared" si="8"/>
        <v/>
      </c>
      <c r="AB276" s="83" t="str">
        <f t="shared" si="9"/>
        <v/>
      </c>
      <c r="AC276" s="18" t="str">
        <f t="shared" ref="AC276:AD276" si="557">IF(_xlfn.ISFORMULA(S276),IFERROR(0/0,""),TRUE)</f>
        <v/>
      </c>
      <c r="AD276" s="18" t="str">
        <f t="shared" si="557"/>
        <v/>
      </c>
      <c r="AE276" s="43"/>
      <c r="AF276" s="58" t="s">
        <v>54</v>
      </c>
      <c r="AG276" s="55" t="str">
        <f t="shared" si="11"/>
        <v/>
      </c>
    </row>
    <row r="277">
      <c r="A277" s="7" t="str">
        <f>IFERROR(__xludf.DUMMYFUNCTION("""COMPUTED_VALUE"""),"AG1693")</f>
        <v>AG1693</v>
      </c>
      <c r="B277" s="308">
        <f>IFERROR(__xludf.DUMMYFUNCTION("""COMPUTED_VALUE"""),44844.0)</f>
        <v>44844</v>
      </c>
      <c r="C277" s="309">
        <f>IFERROR(__xludf.DUMMYFUNCTION("""COMPUTED_VALUE"""),0.2919675925925926)</f>
        <v>0.2919675926</v>
      </c>
      <c r="D277" s="7" t="str">
        <f>IFERROR(__xludf.DUMMYFUNCTION("""COMPUTED_VALUE"""),"SpABRM655136")</f>
        <v>SpABRM655136</v>
      </c>
      <c r="E277" s="310"/>
      <c r="F277" s="310"/>
      <c r="G277" s="310" t="str">
        <f>IFERROR(__xludf.DUMMYFUNCTION("""COMPUTED_VALUE"""),"Negative")</f>
        <v>Negative</v>
      </c>
      <c r="H277" s="319" t="str">
        <f>IFERROR(__xludf.DUMMYFUNCTION("""COMPUTED_VALUE"""),"Negative")</f>
        <v>Negative</v>
      </c>
      <c r="I277" s="308">
        <f>IFERROR(__xludf.DUMMYFUNCTION("""COMPUTED_VALUE"""),44844.0)</f>
        <v>44844</v>
      </c>
      <c r="J277" s="311">
        <f>IFERROR(__xludf.DUMMYFUNCTION("""COMPUTED_VALUE"""),0.4497569444444444)</f>
        <v>0.4497569444</v>
      </c>
      <c r="K277" s="54"/>
      <c r="L277" s="7"/>
      <c r="M277" s="312"/>
      <c r="N277" s="172">
        <f>IFERROR(__xludf.DUMMYFUNCTION("""COMPUTED_VALUE"""),2.0)</f>
        <v>2</v>
      </c>
      <c r="O277" s="172" t="str">
        <f t="shared" si="3"/>
        <v/>
      </c>
      <c r="P277" s="313">
        <f>IFERROR(__xludf.DUMMYFUNCTION("""COMPUTED_VALUE"""),0.0)</f>
        <v>0</v>
      </c>
      <c r="Q277" s="76" t="b">
        <f>VLOOKUP($B277,'Run Reconcile'!B$2:O1399,14,FALSE)</f>
        <v>1</v>
      </c>
      <c r="R277" s="314" t="str">
        <f t="array" ref="R277">IF($Q277, INDEX('Run Reconcile'!A$2:A1399,MATCH(B277,'Run Reconcile'!B$2:B1399,0),1),IFERROR(0/0,""))</f>
        <v>RUN-ABRM_2022-10-10_RFR-038</v>
      </c>
      <c r="S277" s="315" t="str">
        <f t="shared" ref="S277:T277" si="558">IF(COUNTIF(W$2:W1399, $A277) &gt; 0,TRUE,IFERROR(0/0,""))</f>
        <v/>
      </c>
      <c r="T277" s="315" t="str">
        <f t="shared" si="558"/>
        <v/>
      </c>
      <c r="U277" s="114" t="str">
        <f t="array" ref="U277">IF(ISBLANK($R277), INDEX('Run Reconcile'!A$2:A1399, MATCH($B277, 'Run Reconcile'!B$2:B1399, 0)+Z277, 1), IFERROR(0/0,""))
</f>
        <v/>
      </c>
      <c r="V277" s="316" t="str">
        <f t="shared" si="5"/>
        <v>RUN-ABRM_2022-10-10_RFR-038</v>
      </c>
      <c r="Y277" s="317" t="str">
        <f t="shared" si="6"/>
        <v/>
      </c>
      <c r="Z277" s="83" t="str">
        <f t="shared" si="7"/>
        <v/>
      </c>
      <c r="AA277" s="83" t="str">
        <f t="shared" si="8"/>
        <v/>
      </c>
      <c r="AB277" s="83" t="str">
        <f t="shared" si="9"/>
        <v/>
      </c>
      <c r="AC277" s="18" t="str">
        <f t="shared" ref="AC277:AD277" si="559">IF(_xlfn.ISFORMULA(S277),IFERROR(0/0,""),TRUE)</f>
        <v/>
      </c>
      <c r="AD277" s="18" t="str">
        <f t="shared" si="559"/>
        <v/>
      </c>
      <c r="AE277" s="43"/>
      <c r="AF277" s="58" t="s">
        <v>54</v>
      </c>
      <c r="AG277" s="55" t="str">
        <f t="shared" si="11"/>
        <v/>
      </c>
    </row>
    <row r="278">
      <c r="A278" s="7" t="str">
        <f>IFERROR(__xludf.DUMMYFUNCTION("""COMPUTED_VALUE"""),"AH9194")</f>
        <v>AH9194</v>
      </c>
      <c r="B278" s="308">
        <f>IFERROR(__xludf.DUMMYFUNCTION("""COMPUTED_VALUE"""),44844.0)</f>
        <v>44844</v>
      </c>
      <c r="C278" s="309">
        <f>IFERROR(__xludf.DUMMYFUNCTION("""COMPUTED_VALUE"""),0.30083333333333334)</f>
        <v>0.3008333333</v>
      </c>
      <c r="D278" s="7" t="str">
        <f>IFERROR(__xludf.DUMMYFUNCTION("""COMPUTED_VALUE"""),"SpABRM652382")</f>
        <v>SpABRM652382</v>
      </c>
      <c r="E278" s="310"/>
      <c r="F278" s="310"/>
      <c r="G278" s="310" t="str">
        <f>IFERROR(__xludf.DUMMYFUNCTION("""COMPUTED_VALUE"""),"Negative")</f>
        <v>Negative</v>
      </c>
      <c r="H278" s="319" t="str">
        <f>IFERROR(__xludf.DUMMYFUNCTION("""COMPUTED_VALUE"""),"Negative")</f>
        <v>Negative</v>
      </c>
      <c r="I278" s="308">
        <f>IFERROR(__xludf.DUMMYFUNCTION("""COMPUTED_VALUE"""),44844.0)</f>
        <v>44844</v>
      </c>
      <c r="J278" s="311">
        <f>IFERROR(__xludf.DUMMYFUNCTION("""COMPUTED_VALUE"""),0.4497569444444444)</f>
        <v>0.4497569444</v>
      </c>
      <c r="K278" s="54"/>
      <c r="L278" s="7"/>
      <c r="M278" s="312"/>
      <c r="N278" s="172">
        <f>IFERROR(__xludf.DUMMYFUNCTION("""COMPUTED_VALUE"""),2.0)</f>
        <v>2</v>
      </c>
      <c r="O278" s="172" t="str">
        <f t="shared" si="3"/>
        <v/>
      </c>
      <c r="P278" s="313">
        <f>IFERROR(__xludf.DUMMYFUNCTION("""COMPUTED_VALUE"""),0.0)</f>
        <v>0</v>
      </c>
      <c r="Q278" s="76" t="b">
        <f>VLOOKUP($B278,'Run Reconcile'!B$2:O1399,14,FALSE)</f>
        <v>1</v>
      </c>
      <c r="R278" s="314" t="str">
        <f t="array" ref="R278">IF($Q278, INDEX('Run Reconcile'!A$2:A1399,MATCH(B278,'Run Reconcile'!B$2:B1399,0),1),IFERROR(0/0,""))</f>
        <v>RUN-ABRM_2022-10-10_RFR-038</v>
      </c>
      <c r="S278" s="315" t="str">
        <f t="shared" ref="S278:T278" si="560">IF(COUNTIF(W$2:W1399, $A278) &gt; 0,TRUE,IFERROR(0/0,""))</f>
        <v/>
      </c>
      <c r="T278" s="315" t="str">
        <f t="shared" si="560"/>
        <v/>
      </c>
      <c r="U278" s="114" t="str">
        <f t="array" ref="U278">IF(ISBLANK($R278), INDEX('Run Reconcile'!A$2:A1399, MATCH($B278, 'Run Reconcile'!B$2:B1399, 0)+Z278, 1), IFERROR(0/0,""))
</f>
        <v/>
      </c>
      <c r="V278" s="316" t="str">
        <f t="shared" si="5"/>
        <v>RUN-ABRM_2022-10-10_RFR-038</v>
      </c>
      <c r="Y278" s="317" t="str">
        <f t="shared" si="6"/>
        <v/>
      </c>
      <c r="Z278" s="83" t="str">
        <f t="shared" si="7"/>
        <v/>
      </c>
      <c r="AA278" s="83" t="str">
        <f t="shared" si="8"/>
        <v/>
      </c>
      <c r="AB278" s="83" t="str">
        <f t="shared" si="9"/>
        <v/>
      </c>
      <c r="AC278" s="18" t="str">
        <f t="shared" ref="AC278:AD278" si="561">IF(_xlfn.ISFORMULA(S278),IFERROR(0/0,""),TRUE)</f>
        <v/>
      </c>
      <c r="AD278" s="18" t="str">
        <f t="shared" si="561"/>
        <v/>
      </c>
      <c r="AE278" s="43"/>
      <c r="AF278" s="58" t="s">
        <v>54</v>
      </c>
      <c r="AG278" s="55" t="str">
        <f t="shared" si="11"/>
        <v/>
      </c>
    </row>
    <row r="279">
      <c r="A279" s="7" t="str">
        <f>IFERROR(__xludf.DUMMYFUNCTION("""COMPUTED_VALUE"""),"AG2172")</f>
        <v>AG2172</v>
      </c>
      <c r="B279" s="308">
        <f>IFERROR(__xludf.DUMMYFUNCTION("""COMPUTED_VALUE"""),44844.0)</f>
        <v>44844</v>
      </c>
      <c r="C279" s="309">
        <f>IFERROR(__xludf.DUMMYFUNCTION("""COMPUTED_VALUE"""),0.31583333333333335)</f>
        <v>0.3158333333</v>
      </c>
      <c r="D279" s="7" t="str">
        <f>IFERROR(__xludf.DUMMYFUNCTION("""COMPUTED_VALUE"""),"SpABRM655136")</f>
        <v>SpABRM655136</v>
      </c>
      <c r="E279" s="310"/>
      <c r="F279" s="310"/>
      <c r="G279" s="310" t="str">
        <f>IFERROR(__xludf.DUMMYFUNCTION("""COMPUTED_VALUE"""),"Negative")</f>
        <v>Negative</v>
      </c>
      <c r="H279" s="319" t="str">
        <f>IFERROR(__xludf.DUMMYFUNCTION("""COMPUTED_VALUE"""),"Negative")</f>
        <v>Negative</v>
      </c>
      <c r="I279" s="308">
        <f>IFERROR(__xludf.DUMMYFUNCTION("""COMPUTED_VALUE"""),44844.0)</f>
        <v>44844</v>
      </c>
      <c r="J279" s="311">
        <f>IFERROR(__xludf.DUMMYFUNCTION("""COMPUTED_VALUE"""),0.4497685185185185)</f>
        <v>0.4497685185</v>
      </c>
      <c r="K279" s="54"/>
      <c r="L279" s="7"/>
      <c r="M279" s="312"/>
      <c r="N279" s="172">
        <f>IFERROR(__xludf.DUMMYFUNCTION("""COMPUTED_VALUE"""),2.0)</f>
        <v>2</v>
      </c>
      <c r="O279" s="172" t="str">
        <f t="shared" si="3"/>
        <v/>
      </c>
      <c r="P279" s="313">
        <f>IFERROR(__xludf.DUMMYFUNCTION("""COMPUTED_VALUE"""),0.0)</f>
        <v>0</v>
      </c>
      <c r="Q279" s="76" t="b">
        <f>VLOOKUP($B279,'Run Reconcile'!B$2:O1399,14,FALSE)</f>
        <v>1</v>
      </c>
      <c r="R279" s="314" t="str">
        <f t="array" ref="R279">IF($Q279, INDEX('Run Reconcile'!A$2:A1399,MATCH(B279,'Run Reconcile'!B$2:B1399,0),1),IFERROR(0/0,""))</f>
        <v>RUN-ABRM_2022-10-10_RFR-038</v>
      </c>
      <c r="S279" s="315" t="str">
        <f t="shared" ref="S279:T279" si="562">IF(COUNTIF(W$2:W1399, $A279) &gt; 0,TRUE,IFERROR(0/0,""))</f>
        <v/>
      </c>
      <c r="T279" s="315" t="str">
        <f t="shared" si="562"/>
        <v/>
      </c>
      <c r="U279" s="114" t="str">
        <f t="array" ref="U279">IF(ISBLANK($R279), INDEX('Run Reconcile'!A$2:A1399, MATCH($B279, 'Run Reconcile'!B$2:B1399, 0)+Z279, 1), IFERROR(0/0,""))
</f>
        <v/>
      </c>
      <c r="V279" s="316" t="str">
        <f t="shared" si="5"/>
        <v>RUN-ABRM_2022-10-10_RFR-038</v>
      </c>
      <c r="Y279" s="317" t="str">
        <f t="shared" si="6"/>
        <v/>
      </c>
      <c r="Z279" s="83" t="str">
        <f t="shared" si="7"/>
        <v/>
      </c>
      <c r="AA279" s="83" t="str">
        <f t="shared" si="8"/>
        <v/>
      </c>
      <c r="AB279" s="83" t="str">
        <f t="shared" si="9"/>
        <v/>
      </c>
      <c r="AC279" s="18" t="str">
        <f t="shared" ref="AC279:AD279" si="563">IF(_xlfn.ISFORMULA(S279),IFERROR(0/0,""),TRUE)</f>
        <v/>
      </c>
      <c r="AD279" s="18" t="str">
        <f t="shared" si="563"/>
        <v/>
      </c>
      <c r="AE279" s="43"/>
      <c r="AF279" s="58" t="s">
        <v>54</v>
      </c>
      <c r="AG279" s="55" t="str">
        <f t="shared" si="11"/>
        <v/>
      </c>
    </row>
    <row r="280">
      <c r="A280" s="7" t="str">
        <f>IFERROR(__xludf.DUMMYFUNCTION("""COMPUTED_VALUE"""),"AH6963")</f>
        <v>AH6963</v>
      </c>
      <c r="B280" s="308">
        <f>IFERROR(__xludf.DUMMYFUNCTION("""COMPUTED_VALUE"""),44844.0)</f>
        <v>44844</v>
      </c>
      <c r="C280" s="309">
        <f>IFERROR(__xludf.DUMMYFUNCTION("""COMPUTED_VALUE"""),0.3184375)</f>
        <v>0.3184375</v>
      </c>
      <c r="D280" s="7" t="str">
        <f>IFERROR(__xludf.DUMMYFUNCTION("""COMPUTED_VALUE"""),"SpABRM655136")</f>
        <v>SpABRM655136</v>
      </c>
      <c r="E280" s="310"/>
      <c r="F280" s="310"/>
      <c r="G280" s="310" t="str">
        <f>IFERROR(__xludf.DUMMYFUNCTION("""COMPUTED_VALUE"""),"Negative")</f>
        <v>Negative</v>
      </c>
      <c r="H280" s="319" t="str">
        <f>IFERROR(__xludf.DUMMYFUNCTION("""COMPUTED_VALUE"""),"Negative")</f>
        <v>Negative</v>
      </c>
      <c r="I280" s="308">
        <f>IFERROR(__xludf.DUMMYFUNCTION("""COMPUTED_VALUE"""),44844.0)</f>
        <v>44844</v>
      </c>
      <c r="J280" s="311">
        <f>IFERROR(__xludf.DUMMYFUNCTION("""COMPUTED_VALUE"""),0.4497685185185185)</f>
        <v>0.4497685185</v>
      </c>
      <c r="K280" s="54"/>
      <c r="L280" s="7"/>
      <c r="M280" s="312"/>
      <c r="N280" s="172">
        <f>IFERROR(__xludf.DUMMYFUNCTION("""COMPUTED_VALUE"""),1.0)</f>
        <v>1</v>
      </c>
      <c r="O280" s="172" t="str">
        <f t="shared" si="3"/>
        <v/>
      </c>
      <c r="P280" s="313">
        <f>IFERROR(__xludf.DUMMYFUNCTION("""COMPUTED_VALUE"""),0.0)</f>
        <v>0</v>
      </c>
      <c r="Q280" s="76" t="b">
        <f>VLOOKUP($B280,'Run Reconcile'!B$2:O1399,14,FALSE)</f>
        <v>1</v>
      </c>
      <c r="R280" s="314" t="str">
        <f t="array" ref="R280">IF($Q280, INDEX('Run Reconcile'!A$2:A1399,MATCH(B280,'Run Reconcile'!B$2:B1399,0),1),IFERROR(0/0,""))</f>
        <v>RUN-ABRM_2022-10-10_RFR-038</v>
      </c>
      <c r="S280" s="315" t="str">
        <f t="shared" ref="S280:T280" si="564">IF(COUNTIF(W$2:W1399, $A280) &gt; 0,TRUE,IFERROR(0/0,""))</f>
        <v/>
      </c>
      <c r="T280" s="315" t="str">
        <f t="shared" si="564"/>
        <v/>
      </c>
      <c r="U280" s="114" t="str">
        <f t="array" ref="U280">IF(ISBLANK($R280), INDEX('Run Reconcile'!A$2:A1399, MATCH($B280, 'Run Reconcile'!B$2:B1399, 0)+Z280, 1), IFERROR(0/0,""))
</f>
        <v/>
      </c>
      <c r="V280" s="316" t="str">
        <f t="shared" si="5"/>
        <v>RUN-ABRM_2022-10-10_RFR-038</v>
      </c>
      <c r="Y280" s="317" t="str">
        <f t="shared" si="6"/>
        <v/>
      </c>
      <c r="Z280" s="83" t="str">
        <f t="shared" si="7"/>
        <v/>
      </c>
      <c r="AA280" s="83" t="str">
        <f t="shared" si="8"/>
        <v/>
      </c>
      <c r="AB280" s="83" t="str">
        <f t="shared" si="9"/>
        <v/>
      </c>
      <c r="AC280" s="18" t="str">
        <f t="shared" ref="AC280:AD280" si="565">IF(_xlfn.ISFORMULA(S280),IFERROR(0/0,""),TRUE)</f>
        <v/>
      </c>
      <c r="AD280" s="18" t="str">
        <f t="shared" si="565"/>
        <v/>
      </c>
      <c r="AE280" s="43"/>
      <c r="AF280" s="58" t="s">
        <v>54</v>
      </c>
      <c r="AG280" s="55" t="str">
        <f t="shared" si="11"/>
        <v/>
      </c>
    </row>
    <row r="281">
      <c r="A281" s="7" t="str">
        <f>IFERROR(__xludf.DUMMYFUNCTION("""COMPUTED_VALUE"""),"AG827")</f>
        <v>AG827</v>
      </c>
      <c r="B281" s="308">
        <f>IFERROR(__xludf.DUMMYFUNCTION("""COMPUTED_VALUE"""),44844.0)</f>
        <v>44844</v>
      </c>
      <c r="C281" s="309">
        <f>IFERROR(__xludf.DUMMYFUNCTION("""COMPUTED_VALUE"""),0.31929398148148147)</f>
        <v>0.3192939815</v>
      </c>
      <c r="D281" s="7" t="str">
        <f>IFERROR(__xludf.DUMMYFUNCTION("""COMPUTED_VALUE"""),"SpABRM814022")</f>
        <v>SpABRM814022</v>
      </c>
      <c r="E281" s="310"/>
      <c r="F281" s="310"/>
      <c r="G281" s="310" t="str">
        <f>IFERROR(__xludf.DUMMYFUNCTION("""COMPUTED_VALUE"""),"Negative")</f>
        <v>Negative</v>
      </c>
      <c r="H281" s="319" t="str">
        <f>IFERROR(__xludf.DUMMYFUNCTION("""COMPUTED_VALUE"""),"Negative")</f>
        <v>Negative</v>
      </c>
      <c r="I281" s="308">
        <f>IFERROR(__xludf.DUMMYFUNCTION("""COMPUTED_VALUE"""),44844.0)</f>
        <v>44844</v>
      </c>
      <c r="J281" s="311">
        <f>IFERROR(__xludf.DUMMYFUNCTION("""COMPUTED_VALUE"""),0.4497685185185185)</f>
        <v>0.4497685185</v>
      </c>
      <c r="K281" s="54"/>
      <c r="L281" s="7"/>
      <c r="M281" s="312"/>
      <c r="N281" s="172">
        <f>IFERROR(__xludf.DUMMYFUNCTION("""COMPUTED_VALUE"""),1.0)</f>
        <v>1</v>
      </c>
      <c r="O281" s="172" t="str">
        <f t="shared" si="3"/>
        <v/>
      </c>
      <c r="P281" s="313">
        <f>IFERROR(__xludf.DUMMYFUNCTION("""COMPUTED_VALUE"""),0.0)</f>
        <v>0</v>
      </c>
      <c r="Q281" s="76" t="b">
        <f>VLOOKUP($B281,'Run Reconcile'!B$2:O1399,14,FALSE)</f>
        <v>1</v>
      </c>
      <c r="R281" s="314" t="str">
        <f t="array" ref="R281">IF($Q281, INDEX('Run Reconcile'!A$2:A1399,MATCH(B281,'Run Reconcile'!B$2:B1399,0),1),IFERROR(0/0,""))</f>
        <v>RUN-ABRM_2022-10-10_RFR-038</v>
      </c>
      <c r="S281" s="315" t="str">
        <f t="shared" ref="S281:T281" si="566">IF(COUNTIF(W$2:W1399, $A281) &gt; 0,TRUE,IFERROR(0/0,""))</f>
        <v/>
      </c>
      <c r="T281" s="315" t="str">
        <f t="shared" si="566"/>
        <v/>
      </c>
      <c r="U281" s="114" t="str">
        <f t="array" ref="U281">IF(ISBLANK($R281), INDEX('Run Reconcile'!A$2:A1399, MATCH($B281, 'Run Reconcile'!B$2:B1399, 0)+Z281, 1), IFERROR(0/0,""))
</f>
        <v/>
      </c>
      <c r="V281" s="316" t="str">
        <f t="shared" si="5"/>
        <v>RUN-ABRM_2022-10-10_RFR-038</v>
      </c>
      <c r="Y281" s="317" t="str">
        <f t="shared" si="6"/>
        <v/>
      </c>
      <c r="Z281" s="83" t="str">
        <f t="shared" si="7"/>
        <v/>
      </c>
      <c r="AA281" s="83" t="str">
        <f t="shared" si="8"/>
        <v/>
      </c>
      <c r="AB281" s="83" t="str">
        <f t="shared" si="9"/>
        <v/>
      </c>
      <c r="AC281" s="18" t="str">
        <f t="shared" ref="AC281:AD281" si="567">IF(_xlfn.ISFORMULA(S281),IFERROR(0/0,""),TRUE)</f>
        <v/>
      </c>
      <c r="AD281" s="18" t="str">
        <f t="shared" si="567"/>
        <v/>
      </c>
      <c r="AE281" s="43"/>
      <c r="AF281" s="58" t="s">
        <v>54</v>
      </c>
      <c r="AG281" s="55" t="str">
        <f t="shared" si="11"/>
        <v/>
      </c>
    </row>
    <row r="282">
      <c r="A282" s="7" t="str">
        <f>IFERROR(__xludf.DUMMYFUNCTION("""COMPUTED_VALUE"""),"AJ8171")</f>
        <v>AJ8171</v>
      </c>
      <c r="B282" s="308">
        <f>IFERROR(__xludf.DUMMYFUNCTION("""COMPUTED_VALUE"""),44844.0)</f>
        <v>44844</v>
      </c>
      <c r="C282" s="309">
        <f>IFERROR(__xludf.DUMMYFUNCTION("""COMPUTED_VALUE"""),0.3301851851851852)</f>
        <v>0.3301851852</v>
      </c>
      <c r="D282" s="7" t="str">
        <f>IFERROR(__xludf.DUMMYFUNCTION("""COMPUTED_VALUE"""),"SpABRM655136")</f>
        <v>SpABRM655136</v>
      </c>
      <c r="E282" s="310"/>
      <c r="F282" s="310"/>
      <c r="G282" s="310" t="str">
        <f>IFERROR(__xludf.DUMMYFUNCTION("""COMPUTED_VALUE"""),"Negative")</f>
        <v>Negative</v>
      </c>
      <c r="H282" s="319" t="str">
        <f>IFERROR(__xludf.DUMMYFUNCTION("""COMPUTED_VALUE"""),"Negative")</f>
        <v>Negative</v>
      </c>
      <c r="I282" s="308">
        <f>IFERROR(__xludf.DUMMYFUNCTION("""COMPUTED_VALUE"""),44844.0)</f>
        <v>44844</v>
      </c>
      <c r="J282" s="311">
        <f>IFERROR(__xludf.DUMMYFUNCTION("""COMPUTED_VALUE"""),0.4497685185185185)</f>
        <v>0.4497685185</v>
      </c>
      <c r="K282" s="54"/>
      <c r="L282" s="7"/>
      <c r="M282" s="312"/>
      <c r="N282" s="172">
        <f>IFERROR(__xludf.DUMMYFUNCTION("""COMPUTED_VALUE"""),1.0)</f>
        <v>1</v>
      </c>
      <c r="O282" s="172" t="str">
        <f t="shared" si="3"/>
        <v/>
      </c>
      <c r="P282" s="313">
        <f>IFERROR(__xludf.DUMMYFUNCTION("""COMPUTED_VALUE"""),0.0)</f>
        <v>0</v>
      </c>
      <c r="Q282" s="76" t="b">
        <f>VLOOKUP($B282,'Run Reconcile'!B$2:O1399,14,FALSE)</f>
        <v>1</v>
      </c>
      <c r="R282" s="314" t="str">
        <f t="array" ref="R282">IF($Q282, INDEX('Run Reconcile'!A$2:A1399,MATCH(B282,'Run Reconcile'!B$2:B1399,0),1),IFERROR(0/0,""))</f>
        <v>RUN-ABRM_2022-10-10_RFR-038</v>
      </c>
      <c r="S282" s="315" t="str">
        <f t="shared" ref="S282:T282" si="568">IF(COUNTIF(W$2:W1399, $A282) &gt; 0,TRUE,IFERROR(0/0,""))</f>
        <v/>
      </c>
      <c r="T282" s="315" t="str">
        <f t="shared" si="568"/>
        <v/>
      </c>
      <c r="U282" s="114" t="str">
        <f t="array" ref="U282">IF(ISBLANK($R282), INDEX('Run Reconcile'!A$2:A1399, MATCH($B282, 'Run Reconcile'!B$2:B1399, 0)+Z282, 1), IFERROR(0/0,""))
</f>
        <v/>
      </c>
      <c r="V282" s="316" t="str">
        <f t="shared" si="5"/>
        <v>RUN-ABRM_2022-10-10_RFR-038</v>
      </c>
      <c r="Y282" s="317" t="str">
        <f t="shared" si="6"/>
        <v/>
      </c>
      <c r="Z282" s="83" t="str">
        <f t="shared" si="7"/>
        <v/>
      </c>
      <c r="AA282" s="83" t="str">
        <f t="shared" si="8"/>
        <v/>
      </c>
      <c r="AB282" s="83" t="str">
        <f t="shared" si="9"/>
        <v/>
      </c>
      <c r="AC282" s="18" t="str">
        <f t="shared" ref="AC282:AD282" si="569">IF(_xlfn.ISFORMULA(S282),IFERROR(0/0,""),TRUE)</f>
        <v/>
      </c>
      <c r="AD282" s="18" t="str">
        <f t="shared" si="569"/>
        <v/>
      </c>
      <c r="AE282" s="43"/>
      <c r="AF282" s="58" t="s">
        <v>54</v>
      </c>
      <c r="AG282" s="55" t="str">
        <f t="shared" si="11"/>
        <v/>
      </c>
    </row>
    <row r="283">
      <c r="A283" s="7" t="str">
        <f>IFERROR(__xludf.DUMMYFUNCTION("""COMPUTED_VALUE"""),"AG2113")</f>
        <v>AG2113</v>
      </c>
      <c r="B283" s="308">
        <f>IFERROR(__xludf.DUMMYFUNCTION("""COMPUTED_VALUE"""),44844.0)</f>
        <v>44844</v>
      </c>
      <c r="C283" s="309">
        <f>IFERROR(__xludf.DUMMYFUNCTION("""COMPUTED_VALUE"""),0.33078703703703705)</f>
        <v>0.330787037</v>
      </c>
      <c r="D283" s="7" t="str">
        <f>IFERROR(__xludf.DUMMYFUNCTION("""COMPUTED_VALUE"""),"SpABRM610758")</f>
        <v>SpABRM610758</v>
      </c>
      <c r="E283" s="310"/>
      <c r="F283" s="310"/>
      <c r="G283" s="310" t="str">
        <f>IFERROR(__xludf.DUMMYFUNCTION("""COMPUTED_VALUE"""),"Negative")</f>
        <v>Negative</v>
      </c>
      <c r="H283" s="319" t="str">
        <f>IFERROR(__xludf.DUMMYFUNCTION("""COMPUTED_VALUE"""),"Negative")</f>
        <v>Negative</v>
      </c>
      <c r="I283" s="308">
        <f>IFERROR(__xludf.DUMMYFUNCTION("""COMPUTED_VALUE"""),44844.0)</f>
        <v>44844</v>
      </c>
      <c r="J283" s="311">
        <f>IFERROR(__xludf.DUMMYFUNCTION("""COMPUTED_VALUE"""),0.4497685185185185)</f>
        <v>0.4497685185</v>
      </c>
      <c r="K283" s="54"/>
      <c r="L283" s="7"/>
      <c r="M283" s="312"/>
      <c r="N283" s="172">
        <f>IFERROR(__xludf.DUMMYFUNCTION("""COMPUTED_VALUE"""),4.0)</f>
        <v>4</v>
      </c>
      <c r="O283" s="172" t="str">
        <f t="shared" si="3"/>
        <v/>
      </c>
      <c r="P283" s="313">
        <f>IFERROR(__xludf.DUMMYFUNCTION("""COMPUTED_VALUE"""),0.0)</f>
        <v>0</v>
      </c>
      <c r="Q283" s="76" t="b">
        <f>VLOOKUP($B283,'Run Reconcile'!B$2:O1399,14,FALSE)</f>
        <v>1</v>
      </c>
      <c r="R283" s="314" t="str">
        <f t="array" ref="R283">IF($Q283, INDEX('Run Reconcile'!A$2:A1399,MATCH(B283,'Run Reconcile'!B$2:B1399,0),1),IFERROR(0/0,""))</f>
        <v>RUN-ABRM_2022-10-10_RFR-038</v>
      </c>
      <c r="S283" s="315" t="str">
        <f t="shared" ref="S283:T283" si="570">IF(COUNTIF(W$2:W1399, $A283) &gt; 0,TRUE,IFERROR(0/0,""))</f>
        <v/>
      </c>
      <c r="T283" s="315" t="str">
        <f t="shared" si="570"/>
        <v/>
      </c>
      <c r="U283" s="114" t="str">
        <f t="array" ref="U283">IF(ISBLANK($R283), INDEX('Run Reconcile'!A$2:A1399, MATCH($B283, 'Run Reconcile'!B$2:B1399, 0)+Z283, 1), IFERROR(0/0,""))
</f>
        <v/>
      </c>
      <c r="V283" s="316" t="str">
        <f t="shared" si="5"/>
        <v>RUN-ABRM_2022-10-10_RFR-038</v>
      </c>
      <c r="Y283" s="317" t="str">
        <f t="shared" si="6"/>
        <v/>
      </c>
      <c r="Z283" s="83" t="str">
        <f t="shared" si="7"/>
        <v/>
      </c>
      <c r="AA283" s="83" t="str">
        <f t="shared" si="8"/>
        <v/>
      </c>
      <c r="AB283" s="83" t="str">
        <f t="shared" si="9"/>
        <v/>
      </c>
      <c r="AC283" s="18" t="str">
        <f t="shared" ref="AC283:AD283" si="571">IF(_xlfn.ISFORMULA(S283),IFERROR(0/0,""),TRUE)</f>
        <v/>
      </c>
      <c r="AD283" s="18" t="str">
        <f t="shared" si="571"/>
        <v/>
      </c>
      <c r="AE283" s="43"/>
      <c r="AF283" s="58" t="s">
        <v>54</v>
      </c>
      <c r="AG283" s="55" t="str">
        <f t="shared" si="11"/>
        <v/>
      </c>
    </row>
    <row r="284">
      <c r="A284" s="7" t="str">
        <f>IFERROR(__xludf.DUMMYFUNCTION("""COMPUTED_VALUE"""),"AH8477")</f>
        <v>AH8477</v>
      </c>
      <c r="B284" s="308">
        <f>IFERROR(__xludf.DUMMYFUNCTION("""COMPUTED_VALUE"""),44844.0)</f>
        <v>44844</v>
      </c>
      <c r="C284" s="309">
        <f>IFERROR(__xludf.DUMMYFUNCTION("""COMPUTED_VALUE"""),0.3708680555555556)</f>
        <v>0.3708680556</v>
      </c>
      <c r="D284" s="7" t="str">
        <f>IFERROR(__xludf.DUMMYFUNCTION("""COMPUTED_VALUE"""),"SpABRM655136")</f>
        <v>SpABRM655136</v>
      </c>
      <c r="E284" s="310"/>
      <c r="F284" s="310"/>
      <c r="G284" s="310" t="str">
        <f>IFERROR(__xludf.DUMMYFUNCTION("""COMPUTED_VALUE"""),"Negative")</f>
        <v>Negative</v>
      </c>
      <c r="H284" s="319" t="str">
        <f>IFERROR(__xludf.DUMMYFUNCTION("""COMPUTED_VALUE"""),"Negative")</f>
        <v>Negative</v>
      </c>
      <c r="I284" s="308">
        <f>IFERROR(__xludf.DUMMYFUNCTION("""COMPUTED_VALUE"""),44844.0)</f>
        <v>44844</v>
      </c>
      <c r="J284" s="311">
        <f>IFERROR(__xludf.DUMMYFUNCTION("""COMPUTED_VALUE"""),0.4497800925925926)</f>
        <v>0.4497800926</v>
      </c>
      <c r="K284" s="54"/>
      <c r="L284" s="7"/>
      <c r="M284" s="312"/>
      <c r="N284" s="172">
        <f>IFERROR(__xludf.DUMMYFUNCTION("""COMPUTED_VALUE"""),4.0)</f>
        <v>4</v>
      </c>
      <c r="O284" s="172" t="str">
        <f t="shared" si="3"/>
        <v/>
      </c>
      <c r="P284" s="313">
        <f>IFERROR(__xludf.DUMMYFUNCTION("""COMPUTED_VALUE"""),0.0)</f>
        <v>0</v>
      </c>
      <c r="Q284" s="76" t="b">
        <f>VLOOKUP($B284,'Run Reconcile'!B$2:O1399,14,FALSE)</f>
        <v>1</v>
      </c>
      <c r="R284" s="314" t="str">
        <f t="array" ref="R284">IF($Q284, INDEX('Run Reconcile'!A$2:A1399,MATCH(B284,'Run Reconcile'!B$2:B1399,0),1),IFERROR(0/0,""))</f>
        <v>RUN-ABRM_2022-10-10_RFR-038</v>
      </c>
      <c r="S284" s="315" t="str">
        <f t="shared" ref="S284:T284" si="572">IF(COUNTIF(W$2:W1399, $A284) &gt; 0,TRUE,IFERROR(0/0,""))</f>
        <v/>
      </c>
      <c r="T284" s="315" t="str">
        <f t="shared" si="572"/>
        <v/>
      </c>
      <c r="U284" s="114" t="str">
        <f t="array" ref="U284">IF(ISBLANK($R284), INDEX('Run Reconcile'!A$2:A1399, MATCH($B284, 'Run Reconcile'!B$2:B1399, 0)+Z284, 1), IFERROR(0/0,""))
</f>
        <v/>
      </c>
      <c r="V284" s="316" t="str">
        <f t="shared" si="5"/>
        <v>RUN-ABRM_2022-10-10_RFR-038</v>
      </c>
      <c r="Y284" s="317" t="str">
        <f t="shared" si="6"/>
        <v/>
      </c>
      <c r="Z284" s="83" t="str">
        <f t="shared" si="7"/>
        <v/>
      </c>
      <c r="AA284" s="83" t="str">
        <f t="shared" si="8"/>
        <v/>
      </c>
      <c r="AB284" s="83" t="str">
        <f t="shared" si="9"/>
        <v/>
      </c>
      <c r="AC284" s="18" t="str">
        <f t="shared" ref="AC284:AD284" si="573">IF(_xlfn.ISFORMULA(S284),IFERROR(0/0,""),TRUE)</f>
        <v/>
      </c>
      <c r="AD284" s="18" t="str">
        <f t="shared" si="573"/>
        <v/>
      </c>
      <c r="AE284" s="43"/>
      <c r="AF284" s="58" t="s">
        <v>54</v>
      </c>
      <c r="AG284" s="55" t="str">
        <f t="shared" si="11"/>
        <v/>
      </c>
    </row>
    <row r="285">
      <c r="A285" s="7" t="str">
        <f>IFERROR(__xludf.DUMMYFUNCTION("""COMPUTED_VALUE"""),"AG812")</f>
        <v>AG812</v>
      </c>
      <c r="B285" s="308">
        <f>IFERROR(__xludf.DUMMYFUNCTION("""COMPUTED_VALUE"""),44844.0)</f>
        <v>44844</v>
      </c>
      <c r="C285" s="309">
        <f>IFERROR(__xludf.DUMMYFUNCTION("""COMPUTED_VALUE"""),0.3711574074074074)</f>
        <v>0.3711574074</v>
      </c>
      <c r="D285" s="7" t="str">
        <f>IFERROR(__xludf.DUMMYFUNCTION("""COMPUTED_VALUE"""),"SpABRM655136")</f>
        <v>SpABRM655136</v>
      </c>
      <c r="E285" s="310"/>
      <c r="F285" s="310"/>
      <c r="G285" s="310" t="str">
        <f>IFERROR(__xludf.DUMMYFUNCTION("""COMPUTED_VALUE"""),"Negative")</f>
        <v>Negative</v>
      </c>
      <c r="H285" s="319" t="str">
        <f>IFERROR(__xludf.DUMMYFUNCTION("""COMPUTED_VALUE"""),"Negative")</f>
        <v>Negative</v>
      </c>
      <c r="I285" s="308">
        <f>IFERROR(__xludf.DUMMYFUNCTION("""COMPUTED_VALUE"""),44844.0)</f>
        <v>44844</v>
      </c>
      <c r="J285" s="311">
        <f>IFERROR(__xludf.DUMMYFUNCTION("""COMPUTED_VALUE"""),0.4497800925925926)</f>
        <v>0.4497800926</v>
      </c>
      <c r="K285" s="54"/>
      <c r="L285" s="7"/>
      <c r="M285" s="312"/>
      <c r="N285" s="172">
        <f>IFERROR(__xludf.DUMMYFUNCTION("""COMPUTED_VALUE"""),3.0)</f>
        <v>3</v>
      </c>
      <c r="O285" s="172" t="str">
        <f t="shared" si="3"/>
        <v/>
      </c>
      <c r="P285" s="313">
        <f>IFERROR(__xludf.DUMMYFUNCTION("""COMPUTED_VALUE"""),0.0)</f>
        <v>0</v>
      </c>
      <c r="Q285" s="76" t="b">
        <f>VLOOKUP($B285,'Run Reconcile'!B$2:O1399,14,FALSE)</f>
        <v>1</v>
      </c>
      <c r="R285" s="314" t="str">
        <f t="array" ref="R285">IF($Q285, INDEX('Run Reconcile'!A$2:A1399,MATCH(B285,'Run Reconcile'!B$2:B1399,0),1),IFERROR(0/0,""))</f>
        <v>RUN-ABRM_2022-10-10_RFR-038</v>
      </c>
      <c r="S285" s="315" t="str">
        <f t="shared" ref="S285:T285" si="574">IF(COUNTIF(W$2:W1399, $A285) &gt; 0,TRUE,IFERROR(0/0,""))</f>
        <v/>
      </c>
      <c r="T285" s="315" t="str">
        <f t="shared" si="574"/>
        <v/>
      </c>
      <c r="U285" s="114" t="str">
        <f t="array" ref="U285">IF(ISBLANK($R285), INDEX('Run Reconcile'!A$2:A1399, MATCH($B285, 'Run Reconcile'!B$2:B1399, 0)+Z285, 1), IFERROR(0/0,""))
</f>
        <v/>
      </c>
      <c r="V285" s="316" t="str">
        <f t="shared" si="5"/>
        <v>RUN-ABRM_2022-10-10_RFR-038</v>
      </c>
      <c r="Y285" s="317" t="str">
        <f t="shared" si="6"/>
        <v/>
      </c>
      <c r="Z285" s="83" t="str">
        <f t="shared" si="7"/>
        <v/>
      </c>
      <c r="AA285" s="83" t="str">
        <f t="shared" si="8"/>
        <v/>
      </c>
      <c r="AB285" s="83" t="str">
        <f t="shared" si="9"/>
        <v/>
      </c>
      <c r="AC285" s="18" t="str">
        <f t="shared" ref="AC285:AD285" si="575">IF(_xlfn.ISFORMULA(S285),IFERROR(0/0,""),TRUE)</f>
        <v/>
      </c>
      <c r="AD285" s="18" t="str">
        <f t="shared" si="575"/>
        <v/>
      </c>
      <c r="AE285" s="43"/>
      <c r="AF285" s="58" t="s">
        <v>54</v>
      </c>
      <c r="AG285" s="55" t="str">
        <f t="shared" si="11"/>
        <v/>
      </c>
    </row>
    <row r="286">
      <c r="A286" s="7" t="str">
        <f>IFERROR(__xludf.DUMMYFUNCTION("""COMPUTED_VALUE"""),"AH9026")</f>
        <v>AH9026</v>
      </c>
      <c r="B286" s="308">
        <f>IFERROR(__xludf.DUMMYFUNCTION("""COMPUTED_VALUE"""),44844.0)</f>
        <v>44844</v>
      </c>
      <c r="C286" s="309">
        <f>IFERROR(__xludf.DUMMYFUNCTION("""COMPUTED_VALUE"""),0.37157407407407406)</f>
        <v>0.3715740741</v>
      </c>
      <c r="D286" s="7" t="str">
        <f>IFERROR(__xludf.DUMMYFUNCTION("""COMPUTED_VALUE"""),"SpABRM655136")</f>
        <v>SpABRM655136</v>
      </c>
      <c r="E286" s="310"/>
      <c r="F286" s="310"/>
      <c r="G286" s="310" t="str">
        <f>IFERROR(__xludf.DUMMYFUNCTION("""COMPUTED_VALUE"""),"Negative")</f>
        <v>Negative</v>
      </c>
      <c r="H286" s="319" t="str">
        <f>IFERROR(__xludf.DUMMYFUNCTION("""COMPUTED_VALUE"""),"Negative")</f>
        <v>Negative</v>
      </c>
      <c r="I286" s="308">
        <f>IFERROR(__xludf.DUMMYFUNCTION("""COMPUTED_VALUE"""),44844.0)</f>
        <v>44844</v>
      </c>
      <c r="J286" s="311">
        <f>IFERROR(__xludf.DUMMYFUNCTION("""COMPUTED_VALUE"""),0.4497800925925926)</f>
        <v>0.4497800926</v>
      </c>
      <c r="K286" s="54"/>
      <c r="L286" s="7"/>
      <c r="M286" s="312"/>
      <c r="N286" s="172">
        <f>IFERROR(__xludf.DUMMYFUNCTION("""COMPUTED_VALUE"""),3.0)</f>
        <v>3</v>
      </c>
      <c r="O286" s="172" t="str">
        <f t="shared" si="3"/>
        <v/>
      </c>
      <c r="P286" s="313">
        <f>IFERROR(__xludf.DUMMYFUNCTION("""COMPUTED_VALUE"""),0.0)</f>
        <v>0</v>
      </c>
      <c r="Q286" s="76" t="b">
        <f>VLOOKUP($B286,'Run Reconcile'!B$2:O1399,14,FALSE)</f>
        <v>1</v>
      </c>
      <c r="R286" s="314" t="str">
        <f t="array" ref="R286">IF($Q286, INDEX('Run Reconcile'!A$2:A1399,MATCH(B286,'Run Reconcile'!B$2:B1399,0),1),IFERROR(0/0,""))</f>
        <v>RUN-ABRM_2022-10-10_RFR-038</v>
      </c>
      <c r="S286" s="315" t="str">
        <f t="shared" ref="S286:T286" si="576">IF(COUNTIF(W$2:W1399, $A286) &gt; 0,TRUE,IFERROR(0/0,""))</f>
        <v/>
      </c>
      <c r="T286" s="315" t="str">
        <f t="shared" si="576"/>
        <v/>
      </c>
      <c r="U286" s="114" t="str">
        <f t="array" ref="U286">IF(ISBLANK($R286), INDEX('Run Reconcile'!A$2:A1399, MATCH($B286, 'Run Reconcile'!B$2:B1399, 0)+Z286, 1), IFERROR(0/0,""))
</f>
        <v/>
      </c>
      <c r="V286" s="316" t="str">
        <f t="shared" si="5"/>
        <v>RUN-ABRM_2022-10-10_RFR-038</v>
      </c>
      <c r="Y286" s="317" t="str">
        <f t="shared" si="6"/>
        <v/>
      </c>
      <c r="Z286" s="83" t="str">
        <f t="shared" si="7"/>
        <v/>
      </c>
      <c r="AA286" s="83" t="str">
        <f t="shared" si="8"/>
        <v/>
      </c>
      <c r="AB286" s="83" t="str">
        <f t="shared" si="9"/>
        <v/>
      </c>
      <c r="AC286" s="18" t="str">
        <f t="shared" ref="AC286:AD286" si="577">IF(_xlfn.ISFORMULA(S286),IFERROR(0/0,""),TRUE)</f>
        <v/>
      </c>
      <c r="AD286" s="18" t="str">
        <f t="shared" si="577"/>
        <v/>
      </c>
      <c r="AE286" s="43"/>
      <c r="AF286" s="58" t="s">
        <v>54</v>
      </c>
      <c r="AG286" s="55" t="str">
        <f t="shared" si="11"/>
        <v/>
      </c>
    </row>
    <row r="287">
      <c r="A287" s="7" t="str">
        <f>IFERROR(__xludf.DUMMYFUNCTION("""COMPUTED_VALUE"""),"AH8706")</f>
        <v>AH8706</v>
      </c>
      <c r="B287" s="308">
        <f>IFERROR(__xludf.DUMMYFUNCTION("""COMPUTED_VALUE"""),44845.0)</f>
        <v>44845</v>
      </c>
      <c r="C287" s="309">
        <f>IFERROR(__xludf.DUMMYFUNCTION("""COMPUTED_VALUE"""),0.24927083333333333)</f>
        <v>0.2492708333</v>
      </c>
      <c r="D287" s="7" t="str">
        <f>IFERROR(__xludf.DUMMYFUNCTION("""COMPUTED_VALUE"""),"SpABRM516158")</f>
        <v>SpABRM516158</v>
      </c>
      <c r="E287" s="310"/>
      <c r="F287" s="310"/>
      <c r="G287" s="310" t="str">
        <f>IFERROR(__xludf.DUMMYFUNCTION("""COMPUTED_VALUE"""),"Negative")</f>
        <v>Negative</v>
      </c>
      <c r="H287" s="319" t="str">
        <f>IFERROR(__xludf.DUMMYFUNCTION("""COMPUTED_VALUE"""),"Negative")</f>
        <v>Negative</v>
      </c>
      <c r="I287" s="308">
        <f>IFERROR(__xludf.DUMMYFUNCTION("""COMPUTED_VALUE"""),44845.0)</f>
        <v>44845</v>
      </c>
      <c r="J287" s="311">
        <f>IFERROR(__xludf.DUMMYFUNCTION("""COMPUTED_VALUE"""),0.5102430555555556)</f>
        <v>0.5102430556</v>
      </c>
      <c r="K287" s="54"/>
      <c r="L287" s="7"/>
      <c r="M287" s="312"/>
      <c r="N287" s="172">
        <f>IFERROR(__xludf.DUMMYFUNCTION("""COMPUTED_VALUE"""),1.0)</f>
        <v>1</v>
      </c>
      <c r="O287" s="172" t="b">
        <f t="shared" si="3"/>
        <v>1</v>
      </c>
      <c r="P287" s="313">
        <f>IFERROR(__xludf.DUMMYFUNCTION("""COMPUTED_VALUE"""),0.0)</f>
        <v>0</v>
      </c>
      <c r="Q287" s="76" t="b">
        <f>VLOOKUP($B287,'Run Reconcile'!B$2:O1399,14,FALSE)</f>
        <v>1</v>
      </c>
      <c r="R287" s="314" t="str">
        <f t="array" ref="R287">IF($Q287, INDEX('Run Reconcile'!A$2:A1399,MATCH(B287,'Run Reconcile'!B$2:B1399,0),1),IFERROR(0/0,""))</f>
        <v>RUN-ABRM_2022-10-11_RFR-041</v>
      </c>
      <c r="S287" s="315" t="str">
        <f t="shared" ref="S287:T287" si="578">IF(COUNTIF(W$2:W1399, $A287) &gt; 0,TRUE,IFERROR(0/0,""))</f>
        <v/>
      </c>
      <c r="T287" s="315" t="str">
        <f t="shared" si="578"/>
        <v/>
      </c>
      <c r="U287" s="114" t="str">
        <f t="array" ref="U287">IF(ISBLANK($R287), INDEX('Run Reconcile'!A$2:A1399, MATCH($B287, 'Run Reconcile'!B$2:B1399, 0)+Z287, 1), IFERROR(0/0,""))
</f>
        <v/>
      </c>
      <c r="V287" s="316" t="str">
        <f t="shared" si="5"/>
        <v>RUN-ABRM_2022-10-11_RFR-041</v>
      </c>
      <c r="Y287" s="317" t="str">
        <f t="shared" si="6"/>
        <v/>
      </c>
      <c r="Z287" s="83" t="str">
        <f t="shared" si="7"/>
        <v/>
      </c>
      <c r="AA287" s="83" t="str">
        <f t="shared" si="8"/>
        <v/>
      </c>
      <c r="AB287" s="83" t="str">
        <f t="shared" si="9"/>
        <v/>
      </c>
      <c r="AC287" s="18" t="str">
        <f t="shared" ref="AC287:AD287" si="579">IF(_xlfn.ISFORMULA(S287),IFERROR(0/0,""),TRUE)</f>
        <v/>
      </c>
      <c r="AD287" s="18" t="str">
        <f t="shared" si="579"/>
        <v/>
      </c>
      <c r="AE287" s="43"/>
      <c r="AF287" s="58" t="s">
        <v>55</v>
      </c>
      <c r="AG287" s="55" t="str">
        <f t="shared" si="11"/>
        <v/>
      </c>
    </row>
    <row r="288">
      <c r="A288" s="7" t="str">
        <f>IFERROR(__xludf.DUMMYFUNCTION("""COMPUTED_VALUE"""),"AG2135")</f>
        <v>AG2135</v>
      </c>
      <c r="B288" s="308">
        <f>IFERROR(__xludf.DUMMYFUNCTION("""COMPUTED_VALUE"""),44845.0)</f>
        <v>44845</v>
      </c>
      <c r="C288" s="309">
        <f>IFERROR(__xludf.DUMMYFUNCTION("""COMPUTED_VALUE"""),0.28414351851851855)</f>
        <v>0.2841435185</v>
      </c>
      <c r="D288" s="7" t="str">
        <f>IFERROR(__xludf.DUMMYFUNCTION("""COMPUTED_VALUE"""),"SpABRM128250")</f>
        <v>SpABRM128250</v>
      </c>
      <c r="E288" s="310"/>
      <c r="F288" s="310"/>
      <c r="G288" s="310" t="str">
        <f>IFERROR(__xludf.DUMMYFUNCTION("""COMPUTED_VALUE"""),"Negative")</f>
        <v>Negative</v>
      </c>
      <c r="H288" s="319" t="str">
        <f>IFERROR(__xludf.DUMMYFUNCTION("""COMPUTED_VALUE"""),"Negative")</f>
        <v>Negative</v>
      </c>
      <c r="I288" s="308">
        <f>IFERROR(__xludf.DUMMYFUNCTION("""COMPUTED_VALUE"""),44845.0)</f>
        <v>44845</v>
      </c>
      <c r="J288" s="311">
        <f>IFERROR(__xludf.DUMMYFUNCTION("""COMPUTED_VALUE"""),0.5102430555555556)</f>
        <v>0.5102430556</v>
      </c>
      <c r="K288" s="54"/>
      <c r="L288" s="7"/>
      <c r="M288" s="312"/>
      <c r="N288" s="172">
        <f>IFERROR(__xludf.DUMMYFUNCTION("""COMPUTED_VALUE"""),3.0)</f>
        <v>3</v>
      </c>
      <c r="O288" s="172" t="str">
        <f t="shared" si="3"/>
        <v/>
      </c>
      <c r="P288" s="313">
        <f>IFERROR(__xludf.DUMMYFUNCTION("""COMPUTED_VALUE"""),0.0)</f>
        <v>0</v>
      </c>
      <c r="Q288" s="76" t="b">
        <f>VLOOKUP($B288,'Run Reconcile'!B$2:O1399,14,FALSE)</f>
        <v>1</v>
      </c>
      <c r="R288" s="314" t="str">
        <f t="array" ref="R288">IF($Q288, INDEX('Run Reconcile'!A$2:A1399,MATCH(B288,'Run Reconcile'!B$2:B1399,0),1),IFERROR(0/0,""))</f>
        <v>RUN-ABRM_2022-10-11_RFR-041</v>
      </c>
      <c r="S288" s="315" t="str">
        <f t="shared" ref="S288:T288" si="580">IF(COUNTIF(W$2:W1399, $A288) &gt; 0,TRUE,IFERROR(0/0,""))</f>
        <v/>
      </c>
      <c r="T288" s="315" t="str">
        <f t="shared" si="580"/>
        <v/>
      </c>
      <c r="U288" s="114" t="str">
        <f t="array" ref="U288">IF(ISBLANK($R288), INDEX('Run Reconcile'!A$2:A1399, MATCH($B288, 'Run Reconcile'!B$2:B1399, 0)+Z288, 1), IFERROR(0/0,""))
</f>
        <v/>
      </c>
      <c r="V288" s="316" t="str">
        <f t="shared" si="5"/>
        <v>RUN-ABRM_2022-10-11_RFR-041</v>
      </c>
      <c r="Y288" s="317" t="str">
        <f t="shared" si="6"/>
        <v/>
      </c>
      <c r="Z288" s="83" t="str">
        <f t="shared" si="7"/>
        <v/>
      </c>
      <c r="AA288" s="83" t="str">
        <f t="shared" si="8"/>
        <v/>
      </c>
      <c r="AB288" s="83" t="str">
        <f t="shared" si="9"/>
        <v/>
      </c>
      <c r="AC288" s="18" t="str">
        <f t="shared" ref="AC288:AD288" si="581">IF(_xlfn.ISFORMULA(S288),IFERROR(0/0,""),TRUE)</f>
        <v/>
      </c>
      <c r="AD288" s="18" t="str">
        <f t="shared" si="581"/>
        <v/>
      </c>
      <c r="AE288" s="43"/>
      <c r="AF288" s="58" t="s">
        <v>55</v>
      </c>
      <c r="AG288" s="55" t="str">
        <f t="shared" si="11"/>
        <v/>
      </c>
    </row>
    <row r="289">
      <c r="A289" s="7" t="str">
        <f>IFERROR(__xludf.DUMMYFUNCTION("""COMPUTED_VALUE"""),"AG1118")</f>
        <v>AG1118</v>
      </c>
      <c r="B289" s="308">
        <f>IFERROR(__xludf.DUMMYFUNCTION("""COMPUTED_VALUE"""),44845.0)</f>
        <v>44845</v>
      </c>
      <c r="C289" s="309">
        <f>IFERROR(__xludf.DUMMYFUNCTION("""COMPUTED_VALUE"""),0.2954398148148148)</f>
        <v>0.2954398148</v>
      </c>
      <c r="D289" s="7" t="str">
        <f>IFERROR(__xludf.DUMMYFUNCTION("""COMPUTED_VALUE"""),"SpABRM188986")</f>
        <v>SpABRM188986</v>
      </c>
      <c r="E289" s="310"/>
      <c r="F289" s="310"/>
      <c r="G289" s="310" t="str">
        <f>IFERROR(__xludf.DUMMYFUNCTION("""COMPUTED_VALUE"""),"Negative")</f>
        <v>Negative</v>
      </c>
      <c r="H289" s="319" t="str">
        <f>IFERROR(__xludf.DUMMYFUNCTION("""COMPUTED_VALUE"""),"Negative")</f>
        <v>Negative</v>
      </c>
      <c r="I289" s="308">
        <f>IFERROR(__xludf.DUMMYFUNCTION("""COMPUTED_VALUE"""),44845.0)</f>
        <v>44845</v>
      </c>
      <c r="J289" s="311">
        <f>IFERROR(__xludf.DUMMYFUNCTION("""COMPUTED_VALUE"""),0.5102430555555556)</f>
        <v>0.5102430556</v>
      </c>
      <c r="K289" s="54"/>
      <c r="L289" s="7"/>
      <c r="M289" s="312"/>
      <c r="N289" s="172">
        <f>IFERROR(__xludf.DUMMYFUNCTION("""COMPUTED_VALUE"""),2.0)</f>
        <v>2</v>
      </c>
      <c r="O289" s="172" t="str">
        <f t="shared" si="3"/>
        <v/>
      </c>
      <c r="P289" s="313">
        <f>IFERROR(__xludf.DUMMYFUNCTION("""COMPUTED_VALUE"""),0.0)</f>
        <v>0</v>
      </c>
      <c r="Q289" s="76" t="b">
        <f>VLOOKUP($B289,'Run Reconcile'!B$2:O1399,14,FALSE)</f>
        <v>1</v>
      </c>
      <c r="R289" s="314" t="str">
        <f t="array" ref="R289">IF($Q289, INDEX('Run Reconcile'!A$2:A1399,MATCH(B289,'Run Reconcile'!B$2:B1399,0),1),IFERROR(0/0,""))</f>
        <v>RUN-ABRM_2022-10-11_RFR-041</v>
      </c>
      <c r="S289" s="315" t="str">
        <f t="shared" ref="S289:T289" si="582">IF(COUNTIF(W$2:W1399, $A289) &gt; 0,TRUE,IFERROR(0/0,""))</f>
        <v/>
      </c>
      <c r="T289" s="315" t="str">
        <f t="shared" si="582"/>
        <v/>
      </c>
      <c r="U289" s="114" t="str">
        <f t="array" ref="U289">IF(ISBLANK($R289), INDEX('Run Reconcile'!A$2:A1399, MATCH($B289, 'Run Reconcile'!B$2:B1399, 0)+Z289, 1), IFERROR(0/0,""))
</f>
        <v/>
      </c>
      <c r="V289" s="316" t="str">
        <f t="shared" si="5"/>
        <v>RUN-ABRM_2022-10-11_RFR-041</v>
      </c>
      <c r="Y289" s="317" t="str">
        <f t="shared" si="6"/>
        <v/>
      </c>
      <c r="Z289" s="83" t="str">
        <f t="shared" si="7"/>
        <v/>
      </c>
      <c r="AA289" s="83" t="str">
        <f t="shared" si="8"/>
        <v/>
      </c>
      <c r="AB289" s="83" t="str">
        <f t="shared" si="9"/>
        <v/>
      </c>
      <c r="AC289" s="18" t="str">
        <f t="shared" ref="AC289:AD289" si="583">IF(_xlfn.ISFORMULA(S289),IFERROR(0/0,""),TRUE)</f>
        <v/>
      </c>
      <c r="AD289" s="18" t="str">
        <f t="shared" si="583"/>
        <v/>
      </c>
      <c r="AE289" s="43"/>
      <c r="AF289" s="58" t="s">
        <v>55</v>
      </c>
      <c r="AG289" s="55" t="str">
        <f t="shared" si="11"/>
        <v/>
      </c>
    </row>
    <row r="290">
      <c r="A290" s="7" t="str">
        <f>IFERROR(__xludf.DUMMYFUNCTION("""COMPUTED_VALUE"""),"AG2087")</f>
        <v>AG2087</v>
      </c>
      <c r="B290" s="308">
        <f>IFERROR(__xludf.DUMMYFUNCTION("""COMPUTED_VALUE"""),44845.0)</f>
        <v>44845</v>
      </c>
      <c r="C290" s="309">
        <f>IFERROR(__xludf.DUMMYFUNCTION("""COMPUTED_VALUE"""),0.30300925925925926)</f>
        <v>0.3030092593</v>
      </c>
      <c r="D290" s="7" t="str">
        <f>IFERROR(__xludf.DUMMYFUNCTION("""COMPUTED_VALUE"""),"SpABRM297307")</f>
        <v>SpABRM297307</v>
      </c>
      <c r="E290" s="310"/>
      <c r="F290" s="310"/>
      <c r="G290" s="310" t="str">
        <f>IFERROR(__xludf.DUMMYFUNCTION("""COMPUTED_VALUE"""),"Negative")</f>
        <v>Negative</v>
      </c>
      <c r="H290" s="319" t="str">
        <f>IFERROR(__xludf.DUMMYFUNCTION("""COMPUTED_VALUE"""),"Negative")</f>
        <v>Negative</v>
      </c>
      <c r="I290" s="308">
        <f>IFERROR(__xludf.DUMMYFUNCTION("""COMPUTED_VALUE"""),44845.0)</f>
        <v>44845</v>
      </c>
      <c r="J290" s="311">
        <f>IFERROR(__xludf.DUMMYFUNCTION("""COMPUTED_VALUE"""),0.5102546296296296)</f>
        <v>0.5102546296</v>
      </c>
      <c r="K290" s="54"/>
      <c r="L290" s="7"/>
      <c r="M290" s="312"/>
      <c r="N290" s="172">
        <f>IFERROR(__xludf.DUMMYFUNCTION("""COMPUTED_VALUE"""),4.0)</f>
        <v>4</v>
      </c>
      <c r="O290" s="172" t="str">
        <f t="shared" si="3"/>
        <v/>
      </c>
      <c r="P290" s="313">
        <f>IFERROR(__xludf.DUMMYFUNCTION("""COMPUTED_VALUE"""),0.0)</f>
        <v>0</v>
      </c>
      <c r="Q290" s="76" t="b">
        <f>VLOOKUP($B290,'Run Reconcile'!B$2:O1399,14,FALSE)</f>
        <v>1</v>
      </c>
      <c r="R290" s="314" t="str">
        <f t="array" ref="R290">IF($Q290, INDEX('Run Reconcile'!A$2:A1399,MATCH(B290,'Run Reconcile'!B$2:B1399,0),1),IFERROR(0/0,""))</f>
        <v>RUN-ABRM_2022-10-11_RFR-041</v>
      </c>
      <c r="S290" s="315" t="str">
        <f t="shared" ref="S290:T290" si="584">IF(COUNTIF(W$2:W1399, $A290) &gt; 0,TRUE,IFERROR(0/0,""))</f>
        <v/>
      </c>
      <c r="T290" s="315" t="str">
        <f t="shared" si="584"/>
        <v/>
      </c>
      <c r="U290" s="114" t="str">
        <f t="array" ref="U290">IF(ISBLANK($R290), INDEX('Run Reconcile'!A$2:A1399, MATCH($B290, 'Run Reconcile'!B$2:B1399, 0)+Z290, 1), IFERROR(0/0,""))
</f>
        <v/>
      </c>
      <c r="V290" s="316" t="str">
        <f t="shared" si="5"/>
        <v>RUN-ABRM_2022-10-11_RFR-041</v>
      </c>
      <c r="Y290" s="317" t="str">
        <f t="shared" si="6"/>
        <v/>
      </c>
      <c r="Z290" s="83" t="str">
        <f t="shared" si="7"/>
        <v/>
      </c>
      <c r="AA290" s="83" t="str">
        <f t="shared" si="8"/>
        <v/>
      </c>
      <c r="AB290" s="83" t="str">
        <f t="shared" si="9"/>
        <v/>
      </c>
      <c r="AC290" s="18" t="str">
        <f t="shared" ref="AC290:AD290" si="585">IF(_xlfn.ISFORMULA(S290),IFERROR(0/0,""),TRUE)</f>
        <v/>
      </c>
      <c r="AD290" s="18" t="str">
        <f t="shared" si="585"/>
        <v/>
      </c>
      <c r="AE290" s="43"/>
      <c r="AF290" s="58" t="s">
        <v>55</v>
      </c>
      <c r="AG290" s="55" t="str">
        <f t="shared" si="11"/>
        <v/>
      </c>
    </row>
    <row r="291">
      <c r="A291" s="7" t="str">
        <f>IFERROR(__xludf.DUMMYFUNCTION("""COMPUTED_VALUE"""),"AG597")</f>
        <v>AG597</v>
      </c>
      <c r="B291" s="308">
        <f>IFERROR(__xludf.DUMMYFUNCTION("""COMPUTED_VALUE"""),44845.0)</f>
        <v>44845</v>
      </c>
      <c r="C291" s="309">
        <f>IFERROR(__xludf.DUMMYFUNCTION("""COMPUTED_VALUE"""),0.30375)</f>
        <v>0.30375</v>
      </c>
      <c r="D291" s="7" t="str">
        <f>IFERROR(__xludf.DUMMYFUNCTION("""COMPUTED_VALUE"""),"SpABRM454310")</f>
        <v>SpABRM454310</v>
      </c>
      <c r="E291" s="310"/>
      <c r="F291" s="310"/>
      <c r="G291" s="310" t="str">
        <f>IFERROR(__xludf.DUMMYFUNCTION("""COMPUTED_VALUE"""),"Negative")</f>
        <v>Negative</v>
      </c>
      <c r="H291" s="319" t="str">
        <f>IFERROR(__xludf.DUMMYFUNCTION("""COMPUTED_VALUE"""),"Negative")</f>
        <v>Negative</v>
      </c>
      <c r="I291" s="308">
        <f>IFERROR(__xludf.DUMMYFUNCTION("""COMPUTED_VALUE"""),44845.0)</f>
        <v>44845</v>
      </c>
      <c r="J291" s="311">
        <f>IFERROR(__xludf.DUMMYFUNCTION("""COMPUTED_VALUE"""),0.5102546296296296)</f>
        <v>0.5102546296</v>
      </c>
      <c r="K291" s="54"/>
      <c r="L291" s="7"/>
      <c r="M291" s="312"/>
      <c r="N291" s="172">
        <f>IFERROR(__xludf.DUMMYFUNCTION("""COMPUTED_VALUE"""),2.0)</f>
        <v>2</v>
      </c>
      <c r="O291" s="172" t="str">
        <f t="shared" si="3"/>
        <v/>
      </c>
      <c r="P291" s="313">
        <f>IFERROR(__xludf.DUMMYFUNCTION("""COMPUTED_VALUE"""),0.0)</f>
        <v>0</v>
      </c>
      <c r="Q291" s="76" t="b">
        <f>VLOOKUP($B291,'Run Reconcile'!B$2:O1399,14,FALSE)</f>
        <v>1</v>
      </c>
      <c r="R291" s="314" t="str">
        <f t="array" ref="R291">IF($Q291, INDEX('Run Reconcile'!A$2:A1399,MATCH(B291,'Run Reconcile'!B$2:B1399,0),1),IFERROR(0/0,""))</f>
        <v>RUN-ABRM_2022-10-11_RFR-041</v>
      </c>
      <c r="S291" s="315" t="str">
        <f t="shared" ref="S291:T291" si="586">IF(COUNTIF(W$2:W1399, $A291) &gt; 0,TRUE,IFERROR(0/0,""))</f>
        <v/>
      </c>
      <c r="T291" s="315" t="str">
        <f t="shared" si="586"/>
        <v/>
      </c>
      <c r="U291" s="114" t="str">
        <f t="array" ref="U291">IF(ISBLANK($R291), INDEX('Run Reconcile'!A$2:A1399, MATCH($B291, 'Run Reconcile'!B$2:B1399, 0)+Z291, 1), IFERROR(0/0,""))
</f>
        <v/>
      </c>
      <c r="V291" s="316" t="str">
        <f t="shared" si="5"/>
        <v>RUN-ABRM_2022-10-11_RFR-041</v>
      </c>
      <c r="Y291" s="317" t="str">
        <f t="shared" si="6"/>
        <v/>
      </c>
      <c r="Z291" s="83" t="str">
        <f t="shared" si="7"/>
        <v/>
      </c>
      <c r="AA291" s="83" t="str">
        <f t="shared" si="8"/>
        <v/>
      </c>
      <c r="AB291" s="83" t="str">
        <f t="shared" si="9"/>
        <v/>
      </c>
      <c r="AC291" s="18" t="str">
        <f t="shared" ref="AC291:AD291" si="587">IF(_xlfn.ISFORMULA(S291),IFERROR(0/0,""),TRUE)</f>
        <v/>
      </c>
      <c r="AD291" s="18" t="str">
        <f t="shared" si="587"/>
        <v/>
      </c>
      <c r="AE291" s="43"/>
      <c r="AF291" s="58" t="s">
        <v>55</v>
      </c>
      <c r="AG291" s="55" t="str">
        <f t="shared" si="11"/>
        <v/>
      </c>
    </row>
    <row r="292">
      <c r="A292" s="7" t="str">
        <f>IFERROR(__xludf.DUMMYFUNCTION("""COMPUTED_VALUE"""),"AG675")</f>
        <v>AG675</v>
      </c>
      <c r="B292" s="308">
        <f>IFERROR(__xludf.DUMMYFUNCTION("""COMPUTED_VALUE"""),44845.0)</f>
        <v>44845</v>
      </c>
      <c r="C292" s="309">
        <f>IFERROR(__xludf.DUMMYFUNCTION("""COMPUTED_VALUE"""),0.31180555555555556)</f>
        <v>0.3118055556</v>
      </c>
      <c r="D292" s="7" t="str">
        <f>IFERROR(__xludf.DUMMYFUNCTION("""COMPUTED_VALUE"""),"SpABRM814022")</f>
        <v>SpABRM814022</v>
      </c>
      <c r="E292" s="310"/>
      <c r="F292" s="310"/>
      <c r="G292" s="310" t="str">
        <f>IFERROR(__xludf.DUMMYFUNCTION("""COMPUTED_VALUE"""),"Negative")</f>
        <v>Negative</v>
      </c>
      <c r="H292" s="319" t="str">
        <f>IFERROR(__xludf.DUMMYFUNCTION("""COMPUTED_VALUE"""),"Negative")</f>
        <v>Negative</v>
      </c>
      <c r="I292" s="308">
        <f>IFERROR(__xludf.DUMMYFUNCTION("""COMPUTED_VALUE"""),44845.0)</f>
        <v>44845</v>
      </c>
      <c r="J292" s="311">
        <f>IFERROR(__xludf.DUMMYFUNCTION("""COMPUTED_VALUE"""),0.5102546296296296)</f>
        <v>0.5102546296</v>
      </c>
      <c r="K292" s="54"/>
      <c r="L292" s="7"/>
      <c r="M292" s="312"/>
      <c r="N292" s="172">
        <f>IFERROR(__xludf.DUMMYFUNCTION("""COMPUTED_VALUE"""),1.0)</f>
        <v>1</v>
      </c>
      <c r="O292" s="172" t="str">
        <f t="shared" si="3"/>
        <v/>
      </c>
      <c r="P292" s="313">
        <f>IFERROR(__xludf.DUMMYFUNCTION("""COMPUTED_VALUE"""),0.0)</f>
        <v>0</v>
      </c>
      <c r="Q292" s="76" t="b">
        <f>VLOOKUP($B292,'Run Reconcile'!B$2:O1399,14,FALSE)</f>
        <v>1</v>
      </c>
      <c r="R292" s="314" t="str">
        <f t="array" ref="R292">IF($Q292, INDEX('Run Reconcile'!A$2:A1399,MATCH(B292,'Run Reconcile'!B$2:B1399,0),1),IFERROR(0/0,""))</f>
        <v>RUN-ABRM_2022-10-11_RFR-041</v>
      </c>
      <c r="S292" s="315" t="str">
        <f t="shared" ref="S292:T292" si="588">IF(COUNTIF(W$2:W1399, $A292) &gt; 0,TRUE,IFERROR(0/0,""))</f>
        <v/>
      </c>
      <c r="T292" s="315" t="str">
        <f t="shared" si="588"/>
        <v/>
      </c>
      <c r="U292" s="114" t="str">
        <f t="array" ref="U292">IF(ISBLANK($R292), INDEX('Run Reconcile'!A$2:A1399, MATCH($B292, 'Run Reconcile'!B$2:B1399, 0)+Z292, 1), IFERROR(0/0,""))
</f>
        <v/>
      </c>
      <c r="V292" s="316" t="str">
        <f t="shared" si="5"/>
        <v>RUN-ABRM_2022-10-11_RFR-041</v>
      </c>
      <c r="Y292" s="317" t="str">
        <f t="shared" si="6"/>
        <v/>
      </c>
      <c r="Z292" s="83" t="str">
        <f t="shared" si="7"/>
        <v/>
      </c>
      <c r="AA292" s="83" t="str">
        <f t="shared" si="8"/>
        <v/>
      </c>
      <c r="AB292" s="83" t="str">
        <f t="shared" si="9"/>
        <v/>
      </c>
      <c r="AC292" s="18" t="str">
        <f t="shared" ref="AC292:AD292" si="589">IF(_xlfn.ISFORMULA(S292),IFERROR(0/0,""),TRUE)</f>
        <v/>
      </c>
      <c r="AD292" s="18" t="str">
        <f t="shared" si="589"/>
        <v/>
      </c>
      <c r="AE292" s="43"/>
      <c r="AF292" s="58" t="s">
        <v>55</v>
      </c>
      <c r="AG292" s="55" t="str">
        <f t="shared" si="11"/>
        <v/>
      </c>
    </row>
    <row r="293">
      <c r="A293" s="7" t="str">
        <f>IFERROR(__xludf.DUMMYFUNCTION("""COMPUTED_VALUE"""),"AH9163")</f>
        <v>AH9163</v>
      </c>
      <c r="B293" s="308">
        <f>IFERROR(__xludf.DUMMYFUNCTION("""COMPUTED_VALUE"""),44845.0)</f>
        <v>44845</v>
      </c>
      <c r="C293" s="309">
        <f>IFERROR(__xludf.DUMMYFUNCTION("""COMPUTED_VALUE"""),0.3137037037037037)</f>
        <v>0.3137037037</v>
      </c>
      <c r="D293" s="7" t="str">
        <f>IFERROR(__xludf.DUMMYFUNCTION("""COMPUTED_VALUE"""),"SpABRM652382")</f>
        <v>SpABRM652382</v>
      </c>
      <c r="E293" s="310"/>
      <c r="F293" s="310"/>
      <c r="G293" s="310" t="str">
        <f>IFERROR(__xludf.DUMMYFUNCTION("""COMPUTED_VALUE"""),"Negative")</f>
        <v>Negative</v>
      </c>
      <c r="H293" s="319" t="str">
        <f>IFERROR(__xludf.DUMMYFUNCTION("""COMPUTED_VALUE"""),"Negative")</f>
        <v>Negative</v>
      </c>
      <c r="I293" s="308">
        <f>IFERROR(__xludf.DUMMYFUNCTION("""COMPUTED_VALUE"""),44845.0)</f>
        <v>44845</v>
      </c>
      <c r="J293" s="311">
        <f>IFERROR(__xludf.DUMMYFUNCTION("""COMPUTED_VALUE"""),0.5102546296296296)</f>
        <v>0.5102546296</v>
      </c>
      <c r="K293" s="54"/>
      <c r="L293" s="7"/>
      <c r="M293" s="312"/>
      <c r="N293" s="172">
        <f>IFERROR(__xludf.DUMMYFUNCTION("""COMPUTED_VALUE"""),2.0)</f>
        <v>2</v>
      </c>
      <c r="O293" s="172" t="str">
        <f t="shared" si="3"/>
        <v/>
      </c>
      <c r="P293" s="313">
        <f>IFERROR(__xludf.DUMMYFUNCTION("""COMPUTED_VALUE"""),0.0)</f>
        <v>0</v>
      </c>
      <c r="Q293" s="76" t="b">
        <f>VLOOKUP($B293,'Run Reconcile'!B$2:O1399,14,FALSE)</f>
        <v>1</v>
      </c>
      <c r="R293" s="314" t="str">
        <f t="array" ref="R293">IF($Q293, INDEX('Run Reconcile'!A$2:A1399,MATCH(B293,'Run Reconcile'!B$2:B1399,0),1),IFERROR(0/0,""))</f>
        <v>RUN-ABRM_2022-10-11_RFR-041</v>
      </c>
      <c r="S293" s="315" t="str">
        <f t="shared" ref="S293:T293" si="590">IF(COUNTIF(W$2:W1399, $A293) &gt; 0,TRUE,IFERROR(0/0,""))</f>
        <v/>
      </c>
      <c r="T293" s="315" t="str">
        <f t="shared" si="590"/>
        <v/>
      </c>
      <c r="U293" s="114" t="str">
        <f t="array" ref="U293">IF(ISBLANK($R293), INDEX('Run Reconcile'!A$2:A1399, MATCH($B293, 'Run Reconcile'!B$2:B1399, 0)+Z293, 1), IFERROR(0/0,""))
</f>
        <v/>
      </c>
      <c r="V293" s="316" t="str">
        <f t="shared" si="5"/>
        <v>RUN-ABRM_2022-10-11_RFR-041</v>
      </c>
      <c r="Y293" s="317" t="str">
        <f t="shared" si="6"/>
        <v/>
      </c>
      <c r="Z293" s="83" t="str">
        <f t="shared" si="7"/>
        <v/>
      </c>
      <c r="AA293" s="83" t="str">
        <f t="shared" si="8"/>
        <v/>
      </c>
      <c r="AB293" s="83" t="str">
        <f t="shared" si="9"/>
        <v/>
      </c>
      <c r="AC293" s="18" t="str">
        <f t="shared" ref="AC293:AD293" si="591">IF(_xlfn.ISFORMULA(S293),IFERROR(0/0,""),TRUE)</f>
        <v/>
      </c>
      <c r="AD293" s="18" t="str">
        <f t="shared" si="591"/>
        <v/>
      </c>
      <c r="AE293" s="43"/>
      <c r="AF293" s="58" t="s">
        <v>55</v>
      </c>
      <c r="AG293" s="55" t="str">
        <f t="shared" si="11"/>
        <v/>
      </c>
    </row>
    <row r="294">
      <c r="A294" s="7" t="str">
        <f>IFERROR(__xludf.DUMMYFUNCTION("""COMPUTED_VALUE"""),"AH802")</f>
        <v>AH802</v>
      </c>
      <c r="B294" s="308">
        <f>IFERROR(__xludf.DUMMYFUNCTION("""COMPUTED_VALUE"""),44845.0)</f>
        <v>44845</v>
      </c>
      <c r="C294" s="309">
        <f>IFERROR(__xludf.DUMMYFUNCTION("""COMPUTED_VALUE"""),0.36747685185185186)</f>
        <v>0.3674768519</v>
      </c>
      <c r="D294" s="7" t="str">
        <f>IFERROR(__xludf.DUMMYFUNCTION("""COMPUTED_VALUE"""),"SpABRM655136")</f>
        <v>SpABRM655136</v>
      </c>
      <c r="E294" s="310"/>
      <c r="F294" s="310"/>
      <c r="G294" s="310" t="str">
        <f>IFERROR(__xludf.DUMMYFUNCTION("""COMPUTED_VALUE"""),"Negative")</f>
        <v>Negative</v>
      </c>
      <c r="H294" s="319" t="str">
        <f>IFERROR(__xludf.DUMMYFUNCTION("""COMPUTED_VALUE"""),"Negative")</f>
        <v>Negative</v>
      </c>
      <c r="I294" s="308">
        <f>IFERROR(__xludf.DUMMYFUNCTION("""COMPUTED_VALUE"""),44845.0)</f>
        <v>44845</v>
      </c>
      <c r="J294" s="311">
        <f>IFERROR(__xludf.DUMMYFUNCTION("""COMPUTED_VALUE"""),0.5102546296296296)</f>
        <v>0.5102546296</v>
      </c>
      <c r="K294" s="54"/>
      <c r="L294" s="7"/>
      <c r="M294" s="312"/>
      <c r="N294" s="172">
        <f>IFERROR(__xludf.DUMMYFUNCTION("""COMPUTED_VALUE"""),2.0)</f>
        <v>2</v>
      </c>
      <c r="O294" s="172" t="str">
        <f t="shared" si="3"/>
        <v/>
      </c>
      <c r="P294" s="313">
        <f>IFERROR(__xludf.DUMMYFUNCTION("""COMPUTED_VALUE"""),0.0)</f>
        <v>0</v>
      </c>
      <c r="Q294" s="76" t="b">
        <f>VLOOKUP($B294,'Run Reconcile'!B$2:O1399,14,FALSE)</f>
        <v>1</v>
      </c>
      <c r="R294" s="314" t="str">
        <f t="array" ref="R294">IF($Q294, INDEX('Run Reconcile'!A$2:A1399,MATCH(B294,'Run Reconcile'!B$2:B1399,0),1),IFERROR(0/0,""))</f>
        <v>RUN-ABRM_2022-10-11_RFR-041</v>
      </c>
      <c r="S294" s="315" t="str">
        <f t="shared" ref="S294:T294" si="592">IF(COUNTIF(W$2:W1399, $A294) &gt; 0,TRUE,IFERROR(0/0,""))</f>
        <v/>
      </c>
      <c r="T294" s="315" t="str">
        <f t="shared" si="592"/>
        <v/>
      </c>
      <c r="U294" s="114" t="str">
        <f t="array" ref="U294">IF(ISBLANK($R294), INDEX('Run Reconcile'!A$2:A1399, MATCH($B294, 'Run Reconcile'!B$2:B1399, 0)+Z294, 1), IFERROR(0/0,""))
</f>
        <v/>
      </c>
      <c r="V294" s="316" t="str">
        <f t="shared" si="5"/>
        <v>RUN-ABRM_2022-10-11_RFR-041</v>
      </c>
      <c r="Y294" s="317" t="str">
        <f t="shared" si="6"/>
        <v/>
      </c>
      <c r="Z294" s="83" t="str">
        <f t="shared" si="7"/>
        <v/>
      </c>
      <c r="AA294" s="83" t="str">
        <f t="shared" si="8"/>
        <v/>
      </c>
      <c r="AB294" s="83" t="str">
        <f t="shared" si="9"/>
        <v/>
      </c>
      <c r="AC294" s="18" t="str">
        <f t="shared" ref="AC294:AD294" si="593">IF(_xlfn.ISFORMULA(S294),IFERROR(0/0,""),TRUE)</f>
        <v/>
      </c>
      <c r="AD294" s="18" t="str">
        <f t="shared" si="593"/>
        <v/>
      </c>
      <c r="AE294" s="43"/>
      <c r="AF294" s="58" t="s">
        <v>55</v>
      </c>
      <c r="AG294" s="55" t="str">
        <f t="shared" si="11"/>
        <v/>
      </c>
    </row>
    <row r="295">
      <c r="A295" s="7" t="str">
        <f>IFERROR(__xludf.DUMMYFUNCTION("""COMPUTED_VALUE"""),"AH8955")</f>
        <v>AH8955</v>
      </c>
      <c r="B295" s="308">
        <f>IFERROR(__xludf.DUMMYFUNCTION("""COMPUTED_VALUE"""),44845.0)</f>
        <v>44845</v>
      </c>
      <c r="C295" s="309">
        <f>IFERROR(__xludf.DUMMYFUNCTION("""COMPUTED_VALUE"""),0.3678240740740741)</f>
        <v>0.3678240741</v>
      </c>
      <c r="D295" s="7" t="str">
        <f>IFERROR(__xludf.DUMMYFUNCTION("""COMPUTED_VALUE"""),"SpABRM655136")</f>
        <v>SpABRM655136</v>
      </c>
      <c r="E295" s="310"/>
      <c r="F295" s="310"/>
      <c r="G295" s="310" t="str">
        <f>IFERROR(__xludf.DUMMYFUNCTION("""COMPUTED_VALUE"""),"Negative")</f>
        <v>Negative</v>
      </c>
      <c r="H295" s="319" t="str">
        <f>IFERROR(__xludf.DUMMYFUNCTION("""COMPUTED_VALUE"""),"Negative")</f>
        <v>Negative</v>
      </c>
      <c r="I295" s="308">
        <f>IFERROR(__xludf.DUMMYFUNCTION("""COMPUTED_VALUE"""),44845.0)</f>
        <v>44845</v>
      </c>
      <c r="J295" s="311">
        <f>IFERROR(__xludf.DUMMYFUNCTION("""COMPUTED_VALUE"""),0.5102430555555556)</f>
        <v>0.5102430556</v>
      </c>
      <c r="K295" s="54"/>
      <c r="L295" s="7"/>
      <c r="M295" s="312"/>
      <c r="N295" s="172">
        <f>IFERROR(__xludf.DUMMYFUNCTION("""COMPUTED_VALUE"""),3.0)</f>
        <v>3</v>
      </c>
      <c r="O295" s="172" t="str">
        <f t="shared" si="3"/>
        <v/>
      </c>
      <c r="P295" s="313">
        <f>IFERROR(__xludf.DUMMYFUNCTION("""COMPUTED_VALUE"""),0.0)</f>
        <v>0</v>
      </c>
      <c r="Q295" s="76" t="b">
        <f>VLOOKUP($B295,'Run Reconcile'!B$2:O1399,14,FALSE)</f>
        <v>1</v>
      </c>
      <c r="R295" s="314" t="str">
        <f t="array" ref="R295">IF($Q295, INDEX('Run Reconcile'!A$2:A1399,MATCH(B295,'Run Reconcile'!B$2:B1399,0),1),IFERROR(0/0,""))</f>
        <v>RUN-ABRM_2022-10-11_RFR-041</v>
      </c>
      <c r="S295" s="315" t="str">
        <f t="shared" ref="S295:T295" si="594">IF(COUNTIF(W$2:W1399, $A295) &gt; 0,TRUE,IFERROR(0/0,""))</f>
        <v/>
      </c>
      <c r="T295" s="315" t="str">
        <f t="shared" si="594"/>
        <v/>
      </c>
      <c r="U295" s="114" t="str">
        <f t="array" ref="U295">IF(ISBLANK($R295), INDEX('Run Reconcile'!A$2:A1399, MATCH($B295, 'Run Reconcile'!B$2:B1399, 0)+Z295, 1), IFERROR(0/0,""))
</f>
        <v/>
      </c>
      <c r="V295" s="316" t="str">
        <f t="shared" si="5"/>
        <v>RUN-ABRM_2022-10-11_RFR-041</v>
      </c>
      <c r="Y295" s="317" t="str">
        <f t="shared" si="6"/>
        <v/>
      </c>
      <c r="Z295" s="83" t="str">
        <f t="shared" si="7"/>
        <v/>
      </c>
      <c r="AA295" s="83" t="str">
        <f t="shared" si="8"/>
        <v/>
      </c>
      <c r="AB295" s="83" t="str">
        <f t="shared" si="9"/>
        <v/>
      </c>
      <c r="AC295" s="18" t="str">
        <f t="shared" ref="AC295:AD295" si="595">IF(_xlfn.ISFORMULA(S295),IFERROR(0/0,""),TRUE)</f>
        <v/>
      </c>
      <c r="AD295" s="18" t="str">
        <f t="shared" si="595"/>
        <v/>
      </c>
      <c r="AE295" s="43"/>
      <c r="AF295" s="58" t="s">
        <v>55</v>
      </c>
      <c r="AG295" s="55" t="str">
        <f t="shared" si="11"/>
        <v/>
      </c>
    </row>
    <row r="296">
      <c r="A296" s="7" t="str">
        <f>IFERROR(__xludf.DUMMYFUNCTION("""COMPUTED_VALUE"""),"AK6831")</f>
        <v>AK6831</v>
      </c>
      <c r="B296" s="308">
        <f>IFERROR(__xludf.DUMMYFUNCTION("""COMPUTED_VALUE"""),44845.0)</f>
        <v>44845</v>
      </c>
      <c r="C296" s="309">
        <f>IFERROR(__xludf.DUMMYFUNCTION("""COMPUTED_VALUE"""),0.368125)</f>
        <v>0.368125</v>
      </c>
      <c r="D296" s="7" t="str">
        <f>IFERROR(__xludf.DUMMYFUNCTION("""COMPUTED_VALUE"""),"SpABRM655136")</f>
        <v>SpABRM655136</v>
      </c>
      <c r="E296" s="310"/>
      <c r="F296" s="310"/>
      <c r="G296" s="310" t="str">
        <f>IFERROR(__xludf.DUMMYFUNCTION("""COMPUTED_VALUE"""),"Negative")</f>
        <v>Negative</v>
      </c>
      <c r="H296" s="319" t="str">
        <f>IFERROR(__xludf.DUMMYFUNCTION("""COMPUTED_VALUE"""),"Negative")</f>
        <v>Negative</v>
      </c>
      <c r="I296" s="308">
        <f>IFERROR(__xludf.DUMMYFUNCTION("""COMPUTED_VALUE"""),44845.0)</f>
        <v>44845</v>
      </c>
      <c r="J296" s="311">
        <f>IFERROR(__xludf.DUMMYFUNCTION("""COMPUTED_VALUE"""),0.5102662037037037)</f>
        <v>0.5102662037</v>
      </c>
      <c r="K296" s="54"/>
      <c r="L296" s="7"/>
      <c r="M296" s="312"/>
      <c r="N296" s="172">
        <f>IFERROR(__xludf.DUMMYFUNCTION("""COMPUTED_VALUE"""),1.0)</f>
        <v>1</v>
      </c>
      <c r="O296" s="172" t="str">
        <f t="shared" si="3"/>
        <v/>
      </c>
      <c r="P296" s="313">
        <f>IFERROR(__xludf.DUMMYFUNCTION("""COMPUTED_VALUE"""),0.0)</f>
        <v>0</v>
      </c>
      <c r="Q296" s="76" t="b">
        <f>VLOOKUP($B296,'Run Reconcile'!B$2:O1399,14,FALSE)</f>
        <v>1</v>
      </c>
      <c r="R296" s="314" t="str">
        <f t="array" ref="R296">IF($Q296, INDEX('Run Reconcile'!A$2:A1399,MATCH(B296,'Run Reconcile'!B$2:B1399,0),1),IFERROR(0/0,""))</f>
        <v>RUN-ABRM_2022-10-11_RFR-041</v>
      </c>
      <c r="S296" s="315" t="str">
        <f t="shared" ref="S296:T296" si="596">IF(COUNTIF(W$2:W1399, $A296) &gt; 0,TRUE,IFERROR(0/0,""))</f>
        <v/>
      </c>
      <c r="T296" s="315" t="str">
        <f t="shared" si="596"/>
        <v/>
      </c>
      <c r="U296" s="114" t="str">
        <f t="array" ref="U296">IF(ISBLANK($R296), INDEX('Run Reconcile'!A$2:A1399, MATCH($B296, 'Run Reconcile'!B$2:B1399, 0)+Z296, 1), IFERROR(0/0,""))
</f>
        <v/>
      </c>
      <c r="V296" s="316" t="str">
        <f t="shared" si="5"/>
        <v>RUN-ABRM_2022-10-11_RFR-041</v>
      </c>
      <c r="Y296" s="317" t="str">
        <f t="shared" si="6"/>
        <v/>
      </c>
      <c r="Z296" s="83" t="str">
        <f t="shared" si="7"/>
        <v/>
      </c>
      <c r="AA296" s="83" t="str">
        <f t="shared" si="8"/>
        <v/>
      </c>
      <c r="AB296" s="83" t="str">
        <f t="shared" si="9"/>
        <v/>
      </c>
      <c r="AC296" s="18" t="str">
        <f t="shared" ref="AC296:AD296" si="597">IF(_xlfn.ISFORMULA(S296),IFERROR(0/0,""),TRUE)</f>
        <v/>
      </c>
      <c r="AD296" s="18" t="str">
        <f t="shared" si="597"/>
        <v/>
      </c>
      <c r="AE296" s="43"/>
      <c r="AF296" s="58" t="s">
        <v>55</v>
      </c>
      <c r="AG296" s="55" t="str">
        <f t="shared" si="11"/>
        <v/>
      </c>
    </row>
    <row r="297">
      <c r="A297" s="7" t="str">
        <f>IFERROR(__xludf.DUMMYFUNCTION("""COMPUTED_VALUE"""),"AG1624")</f>
        <v>AG1624</v>
      </c>
      <c r="B297" s="308">
        <f>IFERROR(__xludf.DUMMYFUNCTION("""COMPUTED_VALUE"""),44845.0)</f>
        <v>44845</v>
      </c>
      <c r="C297" s="309">
        <f>IFERROR(__xludf.DUMMYFUNCTION("""COMPUTED_VALUE"""),0.3695486111111111)</f>
        <v>0.3695486111</v>
      </c>
      <c r="D297" s="7" t="str">
        <f>IFERROR(__xludf.DUMMYFUNCTION("""COMPUTED_VALUE"""),"SpABRM655136")</f>
        <v>SpABRM655136</v>
      </c>
      <c r="E297" s="310"/>
      <c r="F297" s="310"/>
      <c r="G297" s="310" t="str">
        <f>IFERROR(__xludf.DUMMYFUNCTION("""COMPUTED_VALUE"""),"Negative")</f>
        <v>Negative</v>
      </c>
      <c r="H297" s="319" t="str">
        <f>IFERROR(__xludf.DUMMYFUNCTION("""COMPUTED_VALUE"""),"Negative")</f>
        <v>Negative</v>
      </c>
      <c r="I297" s="308">
        <f>IFERROR(__xludf.DUMMYFUNCTION("""COMPUTED_VALUE"""),44845.0)</f>
        <v>44845</v>
      </c>
      <c r="J297" s="311">
        <f>IFERROR(__xludf.DUMMYFUNCTION("""COMPUTED_VALUE"""),0.5102662037037037)</f>
        <v>0.5102662037</v>
      </c>
      <c r="K297" s="54"/>
      <c r="L297" s="7"/>
      <c r="M297" s="312"/>
      <c r="N297" s="172">
        <f>IFERROR(__xludf.DUMMYFUNCTION("""COMPUTED_VALUE"""),3.0)</f>
        <v>3</v>
      </c>
      <c r="O297" s="172" t="str">
        <f t="shared" si="3"/>
        <v/>
      </c>
      <c r="P297" s="313">
        <f>IFERROR(__xludf.DUMMYFUNCTION("""COMPUTED_VALUE"""),0.0)</f>
        <v>0</v>
      </c>
      <c r="Q297" s="76" t="b">
        <f>VLOOKUP($B297,'Run Reconcile'!B$2:O1399,14,FALSE)</f>
        <v>1</v>
      </c>
      <c r="R297" s="314" t="str">
        <f t="array" ref="R297">IF($Q297, INDEX('Run Reconcile'!A$2:A1399,MATCH(B297,'Run Reconcile'!B$2:B1399,0),1),IFERROR(0/0,""))</f>
        <v>RUN-ABRM_2022-10-11_RFR-041</v>
      </c>
      <c r="S297" s="315" t="str">
        <f t="shared" ref="S297:T297" si="598">IF(COUNTIF(W$2:W1399, $A297) &gt; 0,TRUE,IFERROR(0/0,""))</f>
        <v/>
      </c>
      <c r="T297" s="315" t="str">
        <f t="shared" si="598"/>
        <v/>
      </c>
      <c r="U297" s="114" t="str">
        <f t="array" ref="U297">IF(ISBLANK($R297), INDEX('Run Reconcile'!A$2:A1399, MATCH($B297, 'Run Reconcile'!B$2:B1399, 0)+Z297, 1), IFERROR(0/0,""))
</f>
        <v/>
      </c>
      <c r="V297" s="316" t="str">
        <f t="shared" si="5"/>
        <v>RUN-ABRM_2022-10-11_RFR-041</v>
      </c>
      <c r="Y297" s="317" t="str">
        <f t="shared" si="6"/>
        <v/>
      </c>
      <c r="Z297" s="83" t="str">
        <f t="shared" si="7"/>
        <v/>
      </c>
      <c r="AA297" s="83" t="str">
        <f t="shared" si="8"/>
        <v/>
      </c>
      <c r="AB297" s="83" t="str">
        <f t="shared" si="9"/>
        <v/>
      </c>
      <c r="AC297" s="18" t="str">
        <f t="shared" ref="AC297:AD297" si="599">IF(_xlfn.ISFORMULA(S297),IFERROR(0/0,""),TRUE)</f>
        <v/>
      </c>
      <c r="AD297" s="18" t="str">
        <f t="shared" si="599"/>
        <v/>
      </c>
      <c r="AE297" s="43"/>
      <c r="AF297" s="58" t="s">
        <v>55</v>
      </c>
      <c r="AG297" s="55" t="str">
        <f t="shared" si="11"/>
        <v/>
      </c>
    </row>
    <row r="298">
      <c r="A298" s="7" t="str">
        <f>IFERROR(__xludf.DUMMYFUNCTION("""COMPUTED_VALUE"""),"AH9710")</f>
        <v>AH9710</v>
      </c>
      <c r="B298" s="308">
        <f>IFERROR(__xludf.DUMMYFUNCTION("""COMPUTED_VALUE"""),44845.0)</f>
        <v>44845</v>
      </c>
      <c r="C298" s="309">
        <f>IFERROR(__xludf.DUMMYFUNCTION("""COMPUTED_VALUE"""),0.37)</f>
        <v>0.37</v>
      </c>
      <c r="D298" s="7" t="str">
        <f>IFERROR(__xludf.DUMMYFUNCTION("""COMPUTED_VALUE"""),"SpABRM655136")</f>
        <v>SpABRM655136</v>
      </c>
      <c r="E298" s="310"/>
      <c r="F298" s="310"/>
      <c r="G298" s="310" t="str">
        <f>IFERROR(__xludf.DUMMYFUNCTION("""COMPUTED_VALUE"""),"Negative")</f>
        <v>Negative</v>
      </c>
      <c r="H298" s="319" t="str">
        <f>IFERROR(__xludf.DUMMYFUNCTION("""COMPUTED_VALUE"""),"Negative")</f>
        <v>Negative</v>
      </c>
      <c r="I298" s="308">
        <f>IFERROR(__xludf.DUMMYFUNCTION("""COMPUTED_VALUE"""),44845.0)</f>
        <v>44845</v>
      </c>
      <c r="J298" s="311">
        <f>IFERROR(__xludf.DUMMYFUNCTION("""COMPUTED_VALUE"""),0.5102662037037037)</f>
        <v>0.5102662037</v>
      </c>
      <c r="K298" s="54"/>
      <c r="L298" s="7"/>
      <c r="M298" s="312"/>
      <c r="N298" s="172">
        <f>IFERROR(__xludf.DUMMYFUNCTION("""COMPUTED_VALUE"""),4.0)</f>
        <v>4</v>
      </c>
      <c r="O298" s="172" t="str">
        <f t="shared" si="3"/>
        <v/>
      </c>
      <c r="P298" s="313">
        <f>IFERROR(__xludf.DUMMYFUNCTION("""COMPUTED_VALUE"""),0.0)</f>
        <v>0</v>
      </c>
      <c r="Q298" s="76" t="b">
        <f>VLOOKUP($B298,'Run Reconcile'!B$2:O1399,14,FALSE)</f>
        <v>1</v>
      </c>
      <c r="R298" s="314" t="str">
        <f t="array" ref="R298">IF($Q298, INDEX('Run Reconcile'!A$2:A1399,MATCH(B298,'Run Reconcile'!B$2:B1399,0),1),IFERROR(0/0,""))</f>
        <v>RUN-ABRM_2022-10-11_RFR-041</v>
      </c>
      <c r="S298" s="315" t="str">
        <f t="shared" ref="S298:T298" si="600">IF(COUNTIF(W$2:W1399, $A298) &gt; 0,TRUE,IFERROR(0/0,""))</f>
        <v/>
      </c>
      <c r="T298" s="315" t="str">
        <f t="shared" si="600"/>
        <v/>
      </c>
      <c r="U298" s="114" t="str">
        <f t="array" ref="U298">IF(ISBLANK($R298), INDEX('Run Reconcile'!A$2:A1399, MATCH($B298, 'Run Reconcile'!B$2:B1399, 0)+Z298, 1), IFERROR(0/0,""))
</f>
        <v/>
      </c>
      <c r="V298" s="316" t="str">
        <f t="shared" si="5"/>
        <v>RUN-ABRM_2022-10-11_RFR-041</v>
      </c>
      <c r="Y298" s="317" t="str">
        <f t="shared" si="6"/>
        <v/>
      </c>
      <c r="Z298" s="83" t="str">
        <f t="shared" si="7"/>
        <v/>
      </c>
      <c r="AA298" s="83" t="str">
        <f t="shared" si="8"/>
        <v/>
      </c>
      <c r="AB298" s="83" t="str">
        <f t="shared" si="9"/>
        <v/>
      </c>
      <c r="AC298" s="18" t="str">
        <f t="shared" ref="AC298:AD298" si="601">IF(_xlfn.ISFORMULA(S298),IFERROR(0/0,""),TRUE)</f>
        <v/>
      </c>
      <c r="AD298" s="18" t="str">
        <f t="shared" si="601"/>
        <v/>
      </c>
      <c r="AE298" s="43"/>
      <c r="AF298" s="58" t="s">
        <v>55</v>
      </c>
      <c r="AG298" s="55" t="str">
        <f t="shared" si="11"/>
        <v/>
      </c>
    </row>
    <row r="299">
      <c r="A299" s="7" t="str">
        <f>IFERROR(__xludf.DUMMYFUNCTION("""COMPUTED_VALUE"""),"AG1836")</f>
        <v>AG1836</v>
      </c>
      <c r="B299" s="308">
        <f>IFERROR(__xludf.DUMMYFUNCTION("""COMPUTED_VALUE"""),44846.0)</f>
        <v>44846</v>
      </c>
      <c r="C299" s="309">
        <f>IFERROR(__xludf.DUMMYFUNCTION("""COMPUTED_VALUE"""),0.2117476851851852)</f>
        <v>0.2117476852</v>
      </c>
      <c r="D299" s="7" t="str">
        <f>IFERROR(__xludf.DUMMYFUNCTION("""COMPUTED_VALUE"""),"SpABRM454310")</f>
        <v>SpABRM454310</v>
      </c>
      <c r="E299" s="310"/>
      <c r="F299" s="310"/>
      <c r="G299" s="310" t="str">
        <f>IFERROR(__xludf.DUMMYFUNCTION("""COMPUTED_VALUE"""),"Negative")</f>
        <v>Negative</v>
      </c>
      <c r="H299" s="319" t="str">
        <f>IFERROR(__xludf.DUMMYFUNCTION("""COMPUTED_VALUE"""),"Negative")</f>
        <v>Negative</v>
      </c>
      <c r="I299" s="308">
        <f>IFERROR(__xludf.DUMMYFUNCTION("""COMPUTED_VALUE"""),44846.0)</f>
        <v>44846</v>
      </c>
      <c r="J299" s="311">
        <f>IFERROR(__xludf.DUMMYFUNCTION("""COMPUTED_VALUE"""),0.3763078703703704)</f>
        <v>0.3763078704</v>
      </c>
      <c r="K299" s="54"/>
      <c r="L299" s="7"/>
      <c r="M299" s="312"/>
      <c r="N299" s="172">
        <f>IFERROR(__xludf.DUMMYFUNCTION("""COMPUTED_VALUE"""),3.0)</f>
        <v>3</v>
      </c>
      <c r="O299" s="172" t="b">
        <f t="shared" si="3"/>
        <v>1</v>
      </c>
      <c r="P299" s="313">
        <f>IFERROR(__xludf.DUMMYFUNCTION("""COMPUTED_VALUE"""),0.0)</f>
        <v>0</v>
      </c>
      <c r="Q299" s="76" t="b">
        <f>VLOOKUP($B299,'Run Reconcile'!B$2:O1399,14,FALSE)</f>
        <v>1</v>
      </c>
      <c r="R299" s="314" t="str">
        <f t="array" ref="R299">IF($Q299, INDEX('Run Reconcile'!A$2:A1399,MATCH(B299,'Run Reconcile'!B$2:B1399,0),1),IFERROR(0/0,""))</f>
        <v>RUN-ABRM_2022-10-12_RFR-043</v>
      </c>
      <c r="S299" s="315" t="str">
        <f t="shared" ref="S299:T299" si="602">IF(COUNTIF(W$2:W1399, $A299) &gt; 0,TRUE,IFERROR(0/0,""))</f>
        <v/>
      </c>
      <c r="T299" s="315" t="str">
        <f t="shared" si="602"/>
        <v/>
      </c>
      <c r="U299" s="114" t="str">
        <f t="array" ref="U299">IF(ISBLANK($R299), INDEX('Run Reconcile'!A$2:A1399, MATCH($B299, 'Run Reconcile'!B$2:B1399, 0)+Z299, 1), IFERROR(0/0,""))
</f>
        <v/>
      </c>
      <c r="V299" s="316" t="str">
        <f t="shared" si="5"/>
        <v>RUN-ABRM_2022-10-12_RFR-043</v>
      </c>
      <c r="Y299" s="317" t="str">
        <f t="shared" si="6"/>
        <v/>
      </c>
      <c r="Z299" s="83" t="str">
        <f t="shared" si="7"/>
        <v/>
      </c>
      <c r="AA299" s="83" t="str">
        <f t="shared" si="8"/>
        <v/>
      </c>
      <c r="AB299" s="83" t="str">
        <f t="shared" si="9"/>
        <v/>
      </c>
      <c r="AC299" s="18" t="str">
        <f t="shared" ref="AC299:AD299" si="603">IF(_xlfn.ISFORMULA(S299),IFERROR(0/0,""),TRUE)</f>
        <v/>
      </c>
      <c r="AD299" s="18" t="str">
        <f t="shared" si="603"/>
        <v/>
      </c>
      <c r="AE299" s="43"/>
      <c r="AF299" s="58" t="s">
        <v>56</v>
      </c>
      <c r="AG299" s="55" t="str">
        <f t="shared" si="11"/>
        <v/>
      </c>
    </row>
    <row r="300">
      <c r="A300" s="7" t="str">
        <f>IFERROR(__xludf.DUMMYFUNCTION("""COMPUTED_VALUE"""),"AG507")</f>
        <v>AG507</v>
      </c>
      <c r="B300" s="308">
        <f>IFERROR(__xludf.DUMMYFUNCTION("""COMPUTED_VALUE"""),44846.0)</f>
        <v>44846</v>
      </c>
      <c r="C300" s="309">
        <f>IFERROR(__xludf.DUMMYFUNCTION("""COMPUTED_VALUE"""),0.22133101851851852)</f>
        <v>0.2213310185</v>
      </c>
      <c r="D300" s="7" t="str">
        <f>IFERROR(__xludf.DUMMYFUNCTION("""COMPUTED_VALUE"""),"SpABRM188986")</f>
        <v>SpABRM188986</v>
      </c>
      <c r="E300" s="310"/>
      <c r="F300" s="310"/>
      <c r="G300" s="310" t="str">
        <f>IFERROR(__xludf.DUMMYFUNCTION("""COMPUTED_VALUE"""),"Negative")</f>
        <v>Negative</v>
      </c>
      <c r="H300" s="319" t="str">
        <f>IFERROR(__xludf.DUMMYFUNCTION("""COMPUTED_VALUE"""),"Negative")</f>
        <v>Negative</v>
      </c>
      <c r="I300" s="308">
        <f>IFERROR(__xludf.DUMMYFUNCTION("""COMPUTED_VALUE"""),44846.0)</f>
        <v>44846</v>
      </c>
      <c r="J300" s="311">
        <f>IFERROR(__xludf.DUMMYFUNCTION("""COMPUTED_VALUE"""),0.3763078703703704)</f>
        <v>0.3763078704</v>
      </c>
      <c r="K300" s="54"/>
      <c r="L300" s="7"/>
      <c r="M300" s="312"/>
      <c r="N300" s="172">
        <f>IFERROR(__xludf.DUMMYFUNCTION("""COMPUTED_VALUE"""),2.0)</f>
        <v>2</v>
      </c>
      <c r="O300" s="172" t="str">
        <f t="shared" si="3"/>
        <v/>
      </c>
      <c r="P300" s="313">
        <f>IFERROR(__xludf.DUMMYFUNCTION("""COMPUTED_VALUE"""),0.0)</f>
        <v>0</v>
      </c>
      <c r="Q300" s="76" t="b">
        <f>VLOOKUP($B300,'Run Reconcile'!B$2:O1399,14,FALSE)</f>
        <v>1</v>
      </c>
      <c r="R300" s="314" t="str">
        <f t="array" ref="R300">IF($Q300, INDEX('Run Reconcile'!A$2:A1399,MATCH(B300,'Run Reconcile'!B$2:B1399,0),1),IFERROR(0/0,""))</f>
        <v>RUN-ABRM_2022-10-12_RFR-043</v>
      </c>
      <c r="S300" s="315" t="str">
        <f t="shared" ref="S300:T300" si="604">IF(COUNTIF(W$2:W1399, $A300) &gt; 0,TRUE,IFERROR(0/0,""))</f>
        <v/>
      </c>
      <c r="T300" s="315" t="str">
        <f t="shared" si="604"/>
        <v/>
      </c>
      <c r="U300" s="114" t="str">
        <f t="array" ref="U300">IF(ISBLANK($R300), INDEX('Run Reconcile'!A$2:A1399, MATCH($B300, 'Run Reconcile'!B$2:B1399, 0)+Z300, 1), IFERROR(0/0,""))
</f>
        <v/>
      </c>
      <c r="V300" s="316" t="str">
        <f t="shared" si="5"/>
        <v>RUN-ABRM_2022-10-12_RFR-043</v>
      </c>
      <c r="Y300" s="317" t="str">
        <f t="shared" si="6"/>
        <v/>
      </c>
      <c r="Z300" s="83" t="str">
        <f t="shared" si="7"/>
        <v/>
      </c>
      <c r="AA300" s="83" t="str">
        <f t="shared" si="8"/>
        <v/>
      </c>
      <c r="AB300" s="83" t="str">
        <f t="shared" si="9"/>
        <v/>
      </c>
      <c r="AC300" s="18" t="str">
        <f t="shared" ref="AC300:AD300" si="605">IF(_xlfn.ISFORMULA(S300),IFERROR(0/0,""),TRUE)</f>
        <v/>
      </c>
      <c r="AD300" s="18" t="str">
        <f t="shared" si="605"/>
        <v/>
      </c>
      <c r="AE300" s="43"/>
      <c r="AF300" s="58" t="s">
        <v>56</v>
      </c>
      <c r="AG300" s="55" t="str">
        <f t="shared" si="11"/>
        <v/>
      </c>
    </row>
    <row r="301">
      <c r="A301" s="7" t="str">
        <f>IFERROR(__xludf.DUMMYFUNCTION("""COMPUTED_VALUE"""),"AH8102")</f>
        <v>AH8102</v>
      </c>
      <c r="B301" s="308">
        <f>IFERROR(__xludf.DUMMYFUNCTION("""COMPUTED_VALUE"""),44846.0)</f>
        <v>44846</v>
      </c>
      <c r="C301" s="309">
        <f>IFERROR(__xludf.DUMMYFUNCTION("""COMPUTED_VALUE"""),0.22273148148148147)</f>
        <v>0.2227314815</v>
      </c>
      <c r="D301" s="7" t="str">
        <f>IFERROR(__xludf.DUMMYFUNCTION("""COMPUTED_VALUE"""),"SpABRM516158")</f>
        <v>SpABRM516158</v>
      </c>
      <c r="E301" s="310"/>
      <c r="F301" s="310"/>
      <c r="G301" s="310" t="str">
        <f>IFERROR(__xludf.DUMMYFUNCTION("""COMPUTED_VALUE"""),"Negative")</f>
        <v>Negative</v>
      </c>
      <c r="H301" s="319" t="str">
        <f>IFERROR(__xludf.DUMMYFUNCTION("""COMPUTED_VALUE"""),"Negative")</f>
        <v>Negative</v>
      </c>
      <c r="I301" s="308">
        <f>IFERROR(__xludf.DUMMYFUNCTION("""COMPUTED_VALUE"""),44846.0)</f>
        <v>44846</v>
      </c>
      <c r="J301" s="311">
        <f>IFERROR(__xludf.DUMMYFUNCTION("""COMPUTED_VALUE"""),0.37631944444444443)</f>
        <v>0.3763194444</v>
      </c>
      <c r="K301" s="54"/>
      <c r="L301" s="7"/>
      <c r="M301" s="312"/>
      <c r="N301" s="172">
        <f>IFERROR(__xludf.DUMMYFUNCTION("""COMPUTED_VALUE"""),1.0)</f>
        <v>1</v>
      </c>
      <c r="O301" s="172" t="str">
        <f t="shared" si="3"/>
        <v/>
      </c>
      <c r="P301" s="313">
        <f>IFERROR(__xludf.DUMMYFUNCTION("""COMPUTED_VALUE"""),0.0)</f>
        <v>0</v>
      </c>
      <c r="Q301" s="76" t="b">
        <f>VLOOKUP($B301,'Run Reconcile'!B$2:O1399,14,FALSE)</f>
        <v>1</v>
      </c>
      <c r="R301" s="314" t="str">
        <f t="array" ref="R301">IF($Q301, INDEX('Run Reconcile'!A$2:A1399,MATCH(B301,'Run Reconcile'!B$2:B1399,0),1),IFERROR(0/0,""))</f>
        <v>RUN-ABRM_2022-10-12_RFR-043</v>
      </c>
      <c r="S301" s="315" t="str">
        <f t="shared" ref="S301:T301" si="606">IF(COUNTIF(W$2:W1399, $A301) &gt; 0,TRUE,IFERROR(0/0,""))</f>
        <v/>
      </c>
      <c r="T301" s="315" t="str">
        <f t="shared" si="606"/>
        <v/>
      </c>
      <c r="U301" s="114" t="str">
        <f t="array" ref="U301">IF(ISBLANK($R301), INDEX('Run Reconcile'!A$2:A1399, MATCH($B301, 'Run Reconcile'!B$2:B1399, 0)+Z301, 1), IFERROR(0/0,""))
</f>
        <v/>
      </c>
      <c r="V301" s="316" t="str">
        <f t="shared" si="5"/>
        <v>RUN-ABRM_2022-10-12_RFR-043</v>
      </c>
      <c r="Y301" s="317" t="str">
        <f t="shared" si="6"/>
        <v/>
      </c>
      <c r="Z301" s="83" t="str">
        <f t="shared" si="7"/>
        <v/>
      </c>
      <c r="AA301" s="83" t="str">
        <f t="shared" si="8"/>
        <v/>
      </c>
      <c r="AB301" s="83" t="str">
        <f t="shared" si="9"/>
        <v/>
      </c>
      <c r="AC301" s="18" t="str">
        <f t="shared" ref="AC301:AD301" si="607">IF(_xlfn.ISFORMULA(S301),IFERROR(0/0,""),TRUE)</f>
        <v/>
      </c>
      <c r="AD301" s="18" t="str">
        <f t="shared" si="607"/>
        <v/>
      </c>
      <c r="AE301" s="43"/>
      <c r="AF301" s="58" t="s">
        <v>56</v>
      </c>
      <c r="AG301" s="55" t="str">
        <f t="shared" si="11"/>
        <v/>
      </c>
    </row>
    <row r="302">
      <c r="A302" s="7" t="str">
        <f>IFERROR(__xludf.DUMMYFUNCTION("""COMPUTED_VALUE"""),"AG1391")</f>
        <v>AG1391</v>
      </c>
      <c r="B302" s="308">
        <f>IFERROR(__xludf.DUMMYFUNCTION("""COMPUTED_VALUE"""),44846.0)</f>
        <v>44846</v>
      </c>
      <c r="C302" s="309">
        <f>IFERROR(__xludf.DUMMYFUNCTION("""COMPUTED_VALUE"""),0.26285879629629627)</f>
        <v>0.2628587963</v>
      </c>
      <c r="D302" s="7" t="str">
        <f>IFERROR(__xludf.DUMMYFUNCTION("""COMPUTED_VALUE"""),"SpABRM128250")</f>
        <v>SpABRM128250</v>
      </c>
      <c r="E302" s="310"/>
      <c r="F302" s="310"/>
      <c r="G302" s="310" t="str">
        <f>IFERROR(__xludf.DUMMYFUNCTION("""COMPUTED_VALUE"""),"Negative")</f>
        <v>Negative</v>
      </c>
      <c r="H302" s="319" t="str">
        <f>IFERROR(__xludf.DUMMYFUNCTION("""COMPUTED_VALUE"""),"Negative")</f>
        <v>Negative</v>
      </c>
      <c r="I302" s="308">
        <f>IFERROR(__xludf.DUMMYFUNCTION("""COMPUTED_VALUE"""),44846.0)</f>
        <v>44846</v>
      </c>
      <c r="J302" s="311">
        <f>IFERROR(__xludf.DUMMYFUNCTION("""COMPUTED_VALUE"""),0.37631944444444443)</f>
        <v>0.3763194444</v>
      </c>
      <c r="K302" s="54"/>
      <c r="L302" s="7"/>
      <c r="M302" s="312"/>
      <c r="N302" s="172">
        <f>IFERROR(__xludf.DUMMYFUNCTION("""COMPUTED_VALUE"""),3.0)</f>
        <v>3</v>
      </c>
      <c r="O302" s="172" t="str">
        <f t="shared" si="3"/>
        <v/>
      </c>
      <c r="P302" s="313">
        <f>IFERROR(__xludf.DUMMYFUNCTION("""COMPUTED_VALUE"""),0.0)</f>
        <v>0</v>
      </c>
      <c r="Q302" s="76" t="b">
        <f>VLOOKUP($B302,'Run Reconcile'!B$2:O1399,14,FALSE)</f>
        <v>1</v>
      </c>
      <c r="R302" s="314" t="str">
        <f t="array" ref="R302">IF($Q302, INDEX('Run Reconcile'!A$2:A1399,MATCH(B302,'Run Reconcile'!B$2:B1399,0),1),IFERROR(0/0,""))</f>
        <v>RUN-ABRM_2022-10-12_RFR-043</v>
      </c>
      <c r="S302" s="315" t="str">
        <f t="shared" ref="S302:T302" si="608">IF(COUNTIF(W$2:W1399, $A302) &gt; 0,TRUE,IFERROR(0/0,""))</f>
        <v/>
      </c>
      <c r="T302" s="315" t="str">
        <f t="shared" si="608"/>
        <v/>
      </c>
      <c r="U302" s="114" t="str">
        <f t="array" ref="U302">IF(ISBLANK($R302), INDEX('Run Reconcile'!A$2:A1399, MATCH($B302, 'Run Reconcile'!B$2:B1399, 0)+Z302, 1), IFERROR(0/0,""))
</f>
        <v/>
      </c>
      <c r="V302" s="316" t="str">
        <f t="shared" si="5"/>
        <v>RUN-ABRM_2022-10-12_RFR-043</v>
      </c>
      <c r="Y302" s="317" t="str">
        <f t="shared" si="6"/>
        <v/>
      </c>
      <c r="Z302" s="83" t="str">
        <f t="shared" si="7"/>
        <v/>
      </c>
      <c r="AA302" s="83" t="str">
        <f t="shared" si="8"/>
        <v/>
      </c>
      <c r="AB302" s="83" t="str">
        <f t="shared" si="9"/>
        <v/>
      </c>
      <c r="AC302" s="18" t="str">
        <f t="shared" ref="AC302:AD302" si="609">IF(_xlfn.ISFORMULA(S302),IFERROR(0/0,""),TRUE)</f>
        <v/>
      </c>
      <c r="AD302" s="18" t="str">
        <f t="shared" si="609"/>
        <v/>
      </c>
      <c r="AE302" s="43"/>
      <c r="AF302" s="58" t="s">
        <v>56</v>
      </c>
      <c r="AG302" s="55" t="str">
        <f t="shared" si="11"/>
        <v/>
      </c>
    </row>
    <row r="303">
      <c r="A303" s="7" t="str">
        <f>IFERROR(__xludf.DUMMYFUNCTION("""COMPUTED_VALUE"""),"AG1322")</f>
        <v>AG1322</v>
      </c>
      <c r="B303" s="308">
        <f>IFERROR(__xludf.DUMMYFUNCTION("""COMPUTED_VALUE"""),44846.0)</f>
        <v>44846</v>
      </c>
      <c r="C303" s="309">
        <f>IFERROR(__xludf.DUMMYFUNCTION("""COMPUTED_VALUE"""),0.28313657407407405)</f>
        <v>0.2831365741</v>
      </c>
      <c r="D303" s="7" t="str">
        <f>IFERROR(__xludf.DUMMYFUNCTION("""COMPUTED_VALUE"""),"SpABRM297307")</f>
        <v>SpABRM297307</v>
      </c>
      <c r="E303" s="310"/>
      <c r="F303" s="310"/>
      <c r="G303" s="310" t="str">
        <f>IFERROR(__xludf.DUMMYFUNCTION("""COMPUTED_VALUE"""),"Negative")</f>
        <v>Negative</v>
      </c>
      <c r="H303" s="319" t="str">
        <f>IFERROR(__xludf.DUMMYFUNCTION("""COMPUTED_VALUE"""),"Negative")</f>
        <v>Negative</v>
      </c>
      <c r="I303" s="308">
        <f>IFERROR(__xludf.DUMMYFUNCTION("""COMPUTED_VALUE"""),44846.0)</f>
        <v>44846</v>
      </c>
      <c r="J303" s="311">
        <f>IFERROR(__xludf.DUMMYFUNCTION("""COMPUTED_VALUE"""),0.37631944444444443)</f>
        <v>0.3763194444</v>
      </c>
      <c r="K303" s="54"/>
      <c r="L303" s="7"/>
      <c r="M303" s="312"/>
      <c r="N303" s="172">
        <f>IFERROR(__xludf.DUMMYFUNCTION("""COMPUTED_VALUE"""),3.0)</f>
        <v>3</v>
      </c>
      <c r="O303" s="172" t="str">
        <f t="shared" si="3"/>
        <v/>
      </c>
      <c r="P303" s="313">
        <f>IFERROR(__xludf.DUMMYFUNCTION("""COMPUTED_VALUE"""),0.0)</f>
        <v>0</v>
      </c>
      <c r="Q303" s="76" t="b">
        <f>VLOOKUP($B303,'Run Reconcile'!B$2:O1399,14,FALSE)</f>
        <v>1</v>
      </c>
      <c r="R303" s="314" t="str">
        <f t="array" ref="R303">IF($Q303, INDEX('Run Reconcile'!A$2:A1399,MATCH(B303,'Run Reconcile'!B$2:B1399,0),1),IFERROR(0/0,""))</f>
        <v>RUN-ABRM_2022-10-12_RFR-043</v>
      </c>
      <c r="S303" s="315" t="str">
        <f t="shared" ref="S303:T303" si="610">IF(COUNTIF(W$2:W1399, $A303) &gt; 0,TRUE,IFERROR(0/0,""))</f>
        <v/>
      </c>
      <c r="T303" s="315" t="str">
        <f t="shared" si="610"/>
        <v/>
      </c>
      <c r="U303" s="114" t="str">
        <f t="array" ref="U303">IF(ISBLANK($R303), INDEX('Run Reconcile'!A$2:A1399, MATCH($B303, 'Run Reconcile'!B$2:B1399, 0)+Z303, 1), IFERROR(0/0,""))
</f>
        <v/>
      </c>
      <c r="V303" s="316" t="str">
        <f t="shared" si="5"/>
        <v>RUN-ABRM_2022-10-12_RFR-043</v>
      </c>
      <c r="Y303" s="317" t="str">
        <f t="shared" si="6"/>
        <v/>
      </c>
      <c r="Z303" s="83" t="str">
        <f t="shared" si="7"/>
        <v/>
      </c>
      <c r="AA303" s="83" t="str">
        <f t="shared" si="8"/>
        <v/>
      </c>
      <c r="AB303" s="83" t="str">
        <f t="shared" si="9"/>
        <v/>
      </c>
      <c r="AC303" s="18" t="str">
        <f t="shared" ref="AC303:AD303" si="611">IF(_xlfn.ISFORMULA(S303),IFERROR(0/0,""),TRUE)</f>
        <v/>
      </c>
      <c r="AD303" s="18" t="str">
        <f t="shared" si="611"/>
        <v/>
      </c>
      <c r="AE303" s="43"/>
      <c r="AF303" s="58" t="s">
        <v>56</v>
      </c>
      <c r="AG303" s="55" t="str">
        <f t="shared" si="11"/>
        <v/>
      </c>
    </row>
    <row r="304">
      <c r="A304" s="7" t="str">
        <f>IFERROR(__xludf.DUMMYFUNCTION("""COMPUTED_VALUE"""),"AG732")</f>
        <v>AG732</v>
      </c>
      <c r="B304" s="308">
        <f>IFERROR(__xludf.DUMMYFUNCTION("""COMPUTED_VALUE"""),44846.0)</f>
        <v>44846</v>
      </c>
      <c r="C304" s="309">
        <f>IFERROR(__xludf.DUMMYFUNCTION("""COMPUTED_VALUE"""),0.2833101851851852)</f>
        <v>0.2833101852</v>
      </c>
      <c r="D304" s="7" t="str">
        <f>IFERROR(__xludf.DUMMYFUNCTION("""COMPUTED_VALUE"""),"SpABRM367540")</f>
        <v>SpABRM367540</v>
      </c>
      <c r="E304" s="310"/>
      <c r="F304" s="310"/>
      <c r="G304" s="310" t="str">
        <f>IFERROR(__xludf.DUMMYFUNCTION("""COMPUTED_VALUE"""),"Negative")</f>
        <v>Negative</v>
      </c>
      <c r="H304" s="319" t="str">
        <f>IFERROR(__xludf.DUMMYFUNCTION("""COMPUTED_VALUE"""),"Negative")</f>
        <v>Negative</v>
      </c>
      <c r="I304" s="308">
        <f>IFERROR(__xludf.DUMMYFUNCTION("""COMPUTED_VALUE"""),44846.0)</f>
        <v>44846</v>
      </c>
      <c r="J304" s="311">
        <f>IFERROR(__xludf.DUMMYFUNCTION("""COMPUTED_VALUE"""),0.3763310185185185)</f>
        <v>0.3763310185</v>
      </c>
      <c r="K304" s="54"/>
      <c r="L304" s="7"/>
      <c r="M304" s="312"/>
      <c r="N304" s="172">
        <f>IFERROR(__xludf.DUMMYFUNCTION("""COMPUTED_VALUE"""),3.0)</f>
        <v>3</v>
      </c>
      <c r="O304" s="172" t="str">
        <f t="shared" si="3"/>
        <v/>
      </c>
      <c r="P304" s="313">
        <f>IFERROR(__xludf.DUMMYFUNCTION("""COMPUTED_VALUE"""),0.0)</f>
        <v>0</v>
      </c>
      <c r="Q304" s="76" t="b">
        <f>VLOOKUP($B304,'Run Reconcile'!B$2:O1399,14,FALSE)</f>
        <v>1</v>
      </c>
      <c r="R304" s="314" t="str">
        <f t="array" ref="R304">IF($Q304, INDEX('Run Reconcile'!A$2:A1399,MATCH(B304,'Run Reconcile'!B$2:B1399,0),1),IFERROR(0/0,""))</f>
        <v>RUN-ABRM_2022-10-12_RFR-043</v>
      </c>
      <c r="S304" s="315" t="str">
        <f t="shared" ref="S304:T304" si="612">IF(COUNTIF(W$2:W1399, $A304) &gt; 0,TRUE,IFERROR(0/0,""))</f>
        <v/>
      </c>
      <c r="T304" s="315" t="str">
        <f t="shared" si="612"/>
        <v/>
      </c>
      <c r="U304" s="114" t="str">
        <f t="array" ref="U304">IF(ISBLANK($R304), INDEX('Run Reconcile'!A$2:A1399, MATCH($B304, 'Run Reconcile'!B$2:B1399, 0)+Z304, 1), IFERROR(0/0,""))
</f>
        <v/>
      </c>
      <c r="V304" s="316" t="str">
        <f t="shared" si="5"/>
        <v>RUN-ABRM_2022-10-12_RFR-043</v>
      </c>
      <c r="Y304" s="317" t="str">
        <f t="shared" si="6"/>
        <v/>
      </c>
      <c r="Z304" s="83" t="str">
        <f t="shared" si="7"/>
        <v/>
      </c>
      <c r="AA304" s="83" t="str">
        <f t="shared" si="8"/>
        <v/>
      </c>
      <c r="AB304" s="83" t="str">
        <f t="shared" si="9"/>
        <v/>
      </c>
      <c r="AC304" s="18" t="str">
        <f t="shared" ref="AC304:AD304" si="613">IF(_xlfn.ISFORMULA(S304),IFERROR(0/0,""),TRUE)</f>
        <v/>
      </c>
      <c r="AD304" s="18" t="str">
        <f t="shared" si="613"/>
        <v/>
      </c>
      <c r="AE304" s="43"/>
      <c r="AF304" s="58" t="s">
        <v>56</v>
      </c>
      <c r="AG304" s="55" t="str">
        <f t="shared" si="11"/>
        <v/>
      </c>
    </row>
    <row r="305">
      <c r="A305" s="7" t="str">
        <f>IFERROR(__xludf.DUMMYFUNCTION("""COMPUTED_VALUE"""),"AG796")</f>
        <v>AG796</v>
      </c>
      <c r="B305" s="308">
        <f>IFERROR(__xludf.DUMMYFUNCTION("""COMPUTED_VALUE"""),44846.0)</f>
        <v>44846</v>
      </c>
      <c r="C305" s="309">
        <f>IFERROR(__xludf.DUMMYFUNCTION("""COMPUTED_VALUE"""),0.3141203703703704)</f>
        <v>0.3141203704</v>
      </c>
      <c r="D305" s="7" t="str">
        <f>IFERROR(__xludf.DUMMYFUNCTION("""COMPUTED_VALUE"""),"SpABRM610758")</f>
        <v>SpABRM610758</v>
      </c>
      <c r="E305" s="310"/>
      <c r="F305" s="310"/>
      <c r="G305" s="310" t="str">
        <f>IFERROR(__xludf.DUMMYFUNCTION("""COMPUTED_VALUE"""),"Negative")</f>
        <v>Negative</v>
      </c>
      <c r="H305" s="319" t="str">
        <f>IFERROR(__xludf.DUMMYFUNCTION("""COMPUTED_VALUE"""),"Negative")</f>
        <v>Negative</v>
      </c>
      <c r="I305" s="308">
        <f>IFERROR(__xludf.DUMMYFUNCTION("""COMPUTED_VALUE"""),44846.0)</f>
        <v>44846</v>
      </c>
      <c r="J305" s="311">
        <f>IFERROR(__xludf.DUMMYFUNCTION("""COMPUTED_VALUE"""),0.3763310185185185)</f>
        <v>0.3763310185</v>
      </c>
      <c r="K305" s="54"/>
      <c r="L305" s="7"/>
      <c r="M305" s="312"/>
      <c r="N305" s="172">
        <f>IFERROR(__xludf.DUMMYFUNCTION("""COMPUTED_VALUE"""),3.0)</f>
        <v>3</v>
      </c>
      <c r="O305" s="172" t="str">
        <f t="shared" si="3"/>
        <v/>
      </c>
      <c r="P305" s="313">
        <f>IFERROR(__xludf.DUMMYFUNCTION("""COMPUTED_VALUE"""),0.0)</f>
        <v>0</v>
      </c>
      <c r="Q305" s="76" t="b">
        <f>VLOOKUP($B305,'Run Reconcile'!B$2:O1399,14,FALSE)</f>
        <v>1</v>
      </c>
      <c r="R305" s="314" t="str">
        <f t="array" ref="R305">IF($Q305, INDEX('Run Reconcile'!A$2:A1399,MATCH(B305,'Run Reconcile'!B$2:B1399,0),1),IFERROR(0/0,""))</f>
        <v>RUN-ABRM_2022-10-12_RFR-043</v>
      </c>
      <c r="S305" s="315" t="str">
        <f t="shared" ref="S305:T305" si="614">IF(COUNTIF(W$2:W1399, $A305) &gt; 0,TRUE,IFERROR(0/0,""))</f>
        <v/>
      </c>
      <c r="T305" s="315" t="str">
        <f t="shared" si="614"/>
        <v/>
      </c>
      <c r="U305" s="114" t="str">
        <f t="array" ref="U305">IF(ISBLANK($R305), INDEX('Run Reconcile'!A$2:A1399, MATCH($B305, 'Run Reconcile'!B$2:B1399, 0)+Z305, 1), IFERROR(0/0,""))
</f>
        <v/>
      </c>
      <c r="V305" s="316" t="str">
        <f t="shared" si="5"/>
        <v>RUN-ABRM_2022-10-12_RFR-043</v>
      </c>
      <c r="Y305" s="317" t="str">
        <f t="shared" si="6"/>
        <v/>
      </c>
      <c r="Z305" s="83" t="str">
        <f t="shared" si="7"/>
        <v/>
      </c>
      <c r="AA305" s="83" t="str">
        <f t="shared" si="8"/>
        <v/>
      </c>
      <c r="AB305" s="83" t="str">
        <f t="shared" si="9"/>
        <v/>
      </c>
      <c r="AC305" s="18" t="str">
        <f t="shared" ref="AC305:AD305" si="615">IF(_xlfn.ISFORMULA(S305),IFERROR(0/0,""),TRUE)</f>
        <v/>
      </c>
      <c r="AD305" s="18" t="str">
        <f t="shared" si="615"/>
        <v/>
      </c>
      <c r="AE305" s="43"/>
      <c r="AF305" s="58" t="s">
        <v>56</v>
      </c>
      <c r="AG305" s="55" t="str">
        <f t="shared" si="11"/>
        <v/>
      </c>
    </row>
    <row r="306">
      <c r="A306" s="7" t="str">
        <f>IFERROR(__xludf.DUMMYFUNCTION("""COMPUTED_VALUE"""),"AH98")</f>
        <v>AH98</v>
      </c>
      <c r="B306" s="308">
        <f>IFERROR(__xludf.DUMMYFUNCTION("""COMPUTED_VALUE"""),44846.0)</f>
        <v>44846</v>
      </c>
      <c r="C306" s="309">
        <f>IFERROR(__xludf.DUMMYFUNCTION("""COMPUTED_VALUE"""),0.31425925925925924)</f>
        <v>0.3142592593</v>
      </c>
      <c r="D306" s="7" t="str">
        <f>IFERROR(__xludf.DUMMYFUNCTION("""COMPUTED_VALUE"""),"SpABRM655136")</f>
        <v>SpABRM655136</v>
      </c>
      <c r="E306" s="310"/>
      <c r="F306" s="310"/>
      <c r="G306" s="310" t="str">
        <f>IFERROR(__xludf.DUMMYFUNCTION("""COMPUTED_VALUE"""),"Negative")</f>
        <v>Negative</v>
      </c>
      <c r="H306" s="319" t="str">
        <f>IFERROR(__xludf.DUMMYFUNCTION("""COMPUTED_VALUE"""),"Negative")</f>
        <v>Negative</v>
      </c>
      <c r="I306" s="308">
        <f>IFERROR(__xludf.DUMMYFUNCTION("""COMPUTED_VALUE"""),44846.0)</f>
        <v>44846</v>
      </c>
      <c r="J306" s="311">
        <f>IFERROR(__xludf.DUMMYFUNCTION("""COMPUTED_VALUE"""),0.3763310185185185)</f>
        <v>0.3763310185</v>
      </c>
      <c r="K306" s="54"/>
      <c r="L306" s="7"/>
      <c r="M306" s="312"/>
      <c r="N306" s="172">
        <f>IFERROR(__xludf.DUMMYFUNCTION("""COMPUTED_VALUE"""),2.0)</f>
        <v>2</v>
      </c>
      <c r="O306" s="172" t="str">
        <f t="shared" si="3"/>
        <v/>
      </c>
      <c r="P306" s="313">
        <f>IFERROR(__xludf.DUMMYFUNCTION("""COMPUTED_VALUE"""),0.0)</f>
        <v>0</v>
      </c>
      <c r="Q306" s="76" t="b">
        <f>VLOOKUP($B306,'Run Reconcile'!B$2:O1399,14,FALSE)</f>
        <v>1</v>
      </c>
      <c r="R306" s="314" t="str">
        <f t="array" ref="R306">IF($Q306, INDEX('Run Reconcile'!A$2:A1399,MATCH(B306,'Run Reconcile'!B$2:B1399,0),1),IFERROR(0/0,""))</f>
        <v>RUN-ABRM_2022-10-12_RFR-043</v>
      </c>
      <c r="S306" s="315" t="str">
        <f t="shared" ref="S306:T306" si="616">IF(COUNTIF(W$2:W1399, $A306) &gt; 0,TRUE,IFERROR(0/0,""))</f>
        <v/>
      </c>
      <c r="T306" s="315" t="str">
        <f t="shared" si="616"/>
        <v/>
      </c>
      <c r="U306" s="114" t="str">
        <f t="array" ref="U306">IF(ISBLANK($R306), INDEX('Run Reconcile'!A$2:A1399, MATCH($B306, 'Run Reconcile'!B$2:B1399, 0)+Z306, 1), IFERROR(0/0,""))
</f>
        <v/>
      </c>
      <c r="V306" s="316" t="str">
        <f t="shared" si="5"/>
        <v>RUN-ABRM_2022-10-12_RFR-043</v>
      </c>
      <c r="Y306" s="317" t="str">
        <f t="shared" si="6"/>
        <v/>
      </c>
      <c r="Z306" s="83" t="str">
        <f t="shared" si="7"/>
        <v/>
      </c>
      <c r="AA306" s="83" t="str">
        <f t="shared" si="8"/>
        <v/>
      </c>
      <c r="AB306" s="83" t="str">
        <f t="shared" si="9"/>
        <v/>
      </c>
      <c r="AC306" s="18" t="str">
        <f t="shared" ref="AC306:AD306" si="617">IF(_xlfn.ISFORMULA(S306),IFERROR(0/0,""),TRUE)</f>
        <v/>
      </c>
      <c r="AD306" s="18" t="str">
        <f t="shared" si="617"/>
        <v/>
      </c>
      <c r="AE306" s="43"/>
      <c r="AF306" s="58" t="s">
        <v>56</v>
      </c>
      <c r="AG306" s="55" t="str">
        <f t="shared" si="11"/>
        <v/>
      </c>
    </row>
    <row r="307">
      <c r="A307" s="7" t="str">
        <f>IFERROR(__xludf.DUMMYFUNCTION("""COMPUTED_VALUE"""),"AK5653")</f>
        <v>AK5653</v>
      </c>
      <c r="B307" s="308">
        <f>IFERROR(__xludf.DUMMYFUNCTION("""COMPUTED_VALUE"""),44846.0)</f>
        <v>44846</v>
      </c>
      <c r="C307" s="309">
        <f>IFERROR(__xludf.DUMMYFUNCTION("""COMPUTED_VALUE"""),0.3311689814814815)</f>
        <v>0.3311689815</v>
      </c>
      <c r="D307" s="7" t="str">
        <f>IFERROR(__xludf.DUMMYFUNCTION("""COMPUTED_VALUE"""),"SpABRM814022")</f>
        <v>SpABRM814022</v>
      </c>
      <c r="E307" s="310"/>
      <c r="F307" s="310"/>
      <c r="G307" s="310" t="str">
        <f>IFERROR(__xludf.DUMMYFUNCTION("""COMPUTED_VALUE"""),"Negative")</f>
        <v>Negative</v>
      </c>
      <c r="H307" s="319" t="str">
        <f>IFERROR(__xludf.DUMMYFUNCTION("""COMPUTED_VALUE"""),"Negative")</f>
        <v>Negative</v>
      </c>
      <c r="I307" s="308">
        <f>IFERROR(__xludf.DUMMYFUNCTION("""COMPUTED_VALUE"""),44846.0)</f>
        <v>44846</v>
      </c>
      <c r="J307" s="311">
        <f>IFERROR(__xludf.DUMMYFUNCTION("""COMPUTED_VALUE"""),0.3763310185185185)</f>
        <v>0.3763310185</v>
      </c>
      <c r="K307" s="54"/>
      <c r="L307" s="7"/>
      <c r="M307" s="312"/>
      <c r="N307" s="172">
        <f>IFERROR(__xludf.DUMMYFUNCTION("""COMPUTED_VALUE"""),1.0)</f>
        <v>1</v>
      </c>
      <c r="O307" s="172" t="str">
        <f t="shared" si="3"/>
        <v/>
      </c>
      <c r="P307" s="313">
        <f>IFERROR(__xludf.DUMMYFUNCTION("""COMPUTED_VALUE"""),0.0)</f>
        <v>0</v>
      </c>
      <c r="Q307" s="76" t="b">
        <f>VLOOKUP($B307,'Run Reconcile'!B$2:O1399,14,FALSE)</f>
        <v>1</v>
      </c>
      <c r="R307" s="314" t="str">
        <f t="array" ref="R307">IF($Q307, INDEX('Run Reconcile'!A$2:A1399,MATCH(B307,'Run Reconcile'!B$2:B1399,0),1),IFERROR(0/0,""))</f>
        <v>RUN-ABRM_2022-10-12_RFR-043</v>
      </c>
      <c r="S307" s="315" t="str">
        <f t="shared" ref="S307:T307" si="618">IF(COUNTIF(W$2:W1399, $A307) &gt; 0,TRUE,IFERROR(0/0,""))</f>
        <v/>
      </c>
      <c r="T307" s="315" t="str">
        <f t="shared" si="618"/>
        <v/>
      </c>
      <c r="U307" s="114" t="str">
        <f t="array" ref="U307">IF(ISBLANK($R307), INDEX('Run Reconcile'!A$2:A1399, MATCH($B307, 'Run Reconcile'!B$2:B1399, 0)+Z307, 1), IFERROR(0/0,""))
</f>
        <v/>
      </c>
      <c r="V307" s="316" t="str">
        <f t="shared" si="5"/>
        <v>RUN-ABRM_2022-10-12_RFR-043</v>
      </c>
      <c r="Y307" s="317" t="str">
        <f t="shared" si="6"/>
        <v/>
      </c>
      <c r="Z307" s="83" t="str">
        <f t="shared" si="7"/>
        <v/>
      </c>
      <c r="AA307" s="83" t="str">
        <f t="shared" si="8"/>
        <v/>
      </c>
      <c r="AB307" s="83" t="str">
        <f t="shared" si="9"/>
        <v/>
      </c>
      <c r="AC307" s="18" t="str">
        <f t="shared" ref="AC307:AD307" si="619">IF(_xlfn.ISFORMULA(S307),IFERROR(0/0,""),TRUE)</f>
        <v/>
      </c>
      <c r="AD307" s="18" t="str">
        <f t="shared" si="619"/>
        <v/>
      </c>
      <c r="AE307" s="43"/>
      <c r="AF307" s="58" t="s">
        <v>56</v>
      </c>
      <c r="AG307" s="55" t="str">
        <f t="shared" si="11"/>
        <v/>
      </c>
    </row>
    <row r="308">
      <c r="A308" s="7" t="str">
        <f>IFERROR(__xludf.DUMMYFUNCTION("""COMPUTED_VALUE"""),"AG876")</f>
        <v>AG876</v>
      </c>
      <c r="B308" s="308">
        <f>IFERROR(__xludf.DUMMYFUNCTION("""COMPUTED_VALUE"""),44846.0)</f>
        <v>44846</v>
      </c>
      <c r="C308" s="309">
        <f>IFERROR(__xludf.DUMMYFUNCTION("""COMPUTED_VALUE"""),0.36916666666666664)</f>
        <v>0.3691666667</v>
      </c>
      <c r="D308" s="7" t="str">
        <f>IFERROR(__xludf.DUMMYFUNCTION("""COMPUTED_VALUE"""),"SpABRM655136")</f>
        <v>SpABRM655136</v>
      </c>
      <c r="E308" s="310"/>
      <c r="F308" s="310"/>
      <c r="G308" s="310" t="str">
        <f>IFERROR(__xludf.DUMMYFUNCTION("""COMPUTED_VALUE"""),"Negative")</f>
        <v>Negative</v>
      </c>
      <c r="H308" s="319" t="str">
        <f>IFERROR(__xludf.DUMMYFUNCTION("""COMPUTED_VALUE"""),"Negative")</f>
        <v>Negative</v>
      </c>
      <c r="I308" s="308">
        <f>IFERROR(__xludf.DUMMYFUNCTION("""COMPUTED_VALUE"""),44846.0)</f>
        <v>44846</v>
      </c>
      <c r="J308" s="311">
        <f>IFERROR(__xludf.DUMMYFUNCTION("""COMPUTED_VALUE"""),0.3763425925925926)</f>
        <v>0.3763425926</v>
      </c>
      <c r="K308" s="54"/>
      <c r="L308" s="7"/>
      <c r="M308" s="312"/>
      <c r="N308" s="172">
        <f>IFERROR(__xludf.DUMMYFUNCTION("""COMPUTED_VALUE"""),4.0)</f>
        <v>4</v>
      </c>
      <c r="O308" s="172" t="str">
        <f t="shared" si="3"/>
        <v/>
      </c>
      <c r="P308" s="313">
        <f>IFERROR(__xludf.DUMMYFUNCTION("""COMPUTED_VALUE"""),0.0)</f>
        <v>0</v>
      </c>
      <c r="Q308" s="76" t="b">
        <f>VLOOKUP($B308,'Run Reconcile'!B$2:O1399,14,FALSE)</f>
        <v>1</v>
      </c>
      <c r="R308" s="314" t="str">
        <f t="array" ref="R308">IF($Q308, INDEX('Run Reconcile'!A$2:A1399,MATCH(B308,'Run Reconcile'!B$2:B1399,0),1),IFERROR(0/0,""))</f>
        <v>RUN-ABRM_2022-10-12_RFR-043</v>
      </c>
      <c r="S308" s="315" t="str">
        <f t="shared" ref="S308:T308" si="620">IF(COUNTIF(W$2:W1399, $A308) &gt; 0,TRUE,IFERROR(0/0,""))</f>
        <v/>
      </c>
      <c r="T308" s="315" t="str">
        <f t="shared" si="620"/>
        <v/>
      </c>
      <c r="U308" s="114" t="str">
        <f t="array" ref="U308">IF(ISBLANK($R308), INDEX('Run Reconcile'!A$2:A1399, MATCH($B308, 'Run Reconcile'!B$2:B1399, 0)+Z308, 1), IFERROR(0/0,""))
</f>
        <v/>
      </c>
      <c r="V308" s="316" t="str">
        <f t="shared" si="5"/>
        <v>RUN-ABRM_2022-10-12_RFR-043</v>
      </c>
      <c r="Y308" s="317" t="str">
        <f t="shared" si="6"/>
        <v/>
      </c>
      <c r="Z308" s="83" t="str">
        <f t="shared" si="7"/>
        <v/>
      </c>
      <c r="AA308" s="83" t="str">
        <f t="shared" si="8"/>
        <v/>
      </c>
      <c r="AB308" s="83" t="str">
        <f t="shared" si="9"/>
        <v/>
      </c>
      <c r="AC308" s="18" t="str">
        <f t="shared" ref="AC308:AD308" si="621">IF(_xlfn.ISFORMULA(S308),IFERROR(0/0,""),TRUE)</f>
        <v/>
      </c>
      <c r="AD308" s="18" t="str">
        <f t="shared" si="621"/>
        <v/>
      </c>
      <c r="AE308" s="43"/>
      <c r="AF308" s="58" t="s">
        <v>56</v>
      </c>
      <c r="AG308" s="55" t="str">
        <f t="shared" si="11"/>
        <v/>
      </c>
    </row>
    <row r="309">
      <c r="A309" s="7" t="str">
        <f>IFERROR(__xludf.DUMMYFUNCTION("""COMPUTED_VALUE"""),"AH9165")</f>
        <v>AH9165</v>
      </c>
      <c r="B309" s="308">
        <f>IFERROR(__xludf.DUMMYFUNCTION("""COMPUTED_VALUE"""),44847.0)</f>
        <v>44847</v>
      </c>
      <c r="C309" s="309">
        <f>IFERROR(__xludf.DUMMYFUNCTION("""COMPUTED_VALUE"""),0.20601851851851852)</f>
        <v>0.2060185185</v>
      </c>
      <c r="D309" s="7" t="str">
        <f>IFERROR(__xludf.DUMMYFUNCTION("""COMPUTED_VALUE"""),"SpABRM454310")</f>
        <v>SpABRM454310</v>
      </c>
      <c r="E309" s="310"/>
      <c r="F309" s="310"/>
      <c r="G309" s="310" t="str">
        <f>IFERROR(__xludf.DUMMYFUNCTION("""COMPUTED_VALUE"""),"Negative")</f>
        <v>Negative</v>
      </c>
      <c r="H309" s="319" t="str">
        <f>IFERROR(__xludf.DUMMYFUNCTION("""COMPUTED_VALUE"""),"Negative")</f>
        <v>Negative</v>
      </c>
      <c r="I309" s="308">
        <f>IFERROR(__xludf.DUMMYFUNCTION("""COMPUTED_VALUE"""),44847.0)</f>
        <v>44847</v>
      </c>
      <c r="J309" s="311">
        <f>IFERROR(__xludf.DUMMYFUNCTION("""COMPUTED_VALUE"""),0.38774305555555555)</f>
        <v>0.3877430556</v>
      </c>
      <c r="K309" s="54"/>
      <c r="L309" s="7"/>
      <c r="M309" s="312"/>
      <c r="N309" s="172">
        <f>IFERROR(__xludf.DUMMYFUNCTION("""COMPUTED_VALUE"""),3.0)</f>
        <v>3</v>
      </c>
      <c r="O309" s="172" t="b">
        <f t="shared" si="3"/>
        <v>1</v>
      </c>
      <c r="P309" s="313">
        <f>IFERROR(__xludf.DUMMYFUNCTION("""COMPUTED_VALUE"""),0.0)</f>
        <v>0</v>
      </c>
      <c r="Q309" s="76" t="b">
        <f>VLOOKUP($B309,'Run Reconcile'!B$2:O1399,14,FALSE)</f>
        <v>1</v>
      </c>
      <c r="R309" s="314" t="str">
        <f t="array" ref="R309">IF($Q309, INDEX('Run Reconcile'!A$2:A1399,MATCH(B309,'Run Reconcile'!B$2:B1399,0),1),IFERROR(0/0,""))</f>
        <v>RUN-ABRM_2022-10-13_RFR-044</v>
      </c>
      <c r="S309" s="315" t="str">
        <f t="shared" ref="S309:T309" si="622">IF(COUNTIF(W$2:W1399, $A309) &gt; 0,TRUE,IFERROR(0/0,""))</f>
        <v/>
      </c>
      <c r="T309" s="315" t="str">
        <f t="shared" si="622"/>
        <v/>
      </c>
      <c r="U309" s="114" t="str">
        <f t="array" ref="U309">IF(ISBLANK($R309), INDEX('Run Reconcile'!A$2:A1399, MATCH($B309, 'Run Reconcile'!B$2:B1399, 0)+Z309, 1), IFERROR(0/0,""))
</f>
        <v/>
      </c>
      <c r="V309" s="316" t="str">
        <f t="shared" si="5"/>
        <v>RUN-ABRM_2022-10-13_RFR-044</v>
      </c>
      <c r="Y309" s="317" t="str">
        <f t="shared" si="6"/>
        <v/>
      </c>
      <c r="Z309" s="83" t="str">
        <f t="shared" si="7"/>
        <v/>
      </c>
      <c r="AA309" s="83" t="str">
        <f t="shared" si="8"/>
        <v/>
      </c>
      <c r="AB309" s="83" t="str">
        <f t="shared" si="9"/>
        <v/>
      </c>
      <c r="AC309" s="18" t="str">
        <f t="shared" ref="AC309:AD309" si="623">IF(_xlfn.ISFORMULA(S309),IFERROR(0/0,""),TRUE)</f>
        <v/>
      </c>
      <c r="AD309" s="18" t="str">
        <f t="shared" si="623"/>
        <v/>
      </c>
      <c r="AE309" s="43"/>
      <c r="AF309" s="58" t="s">
        <v>57</v>
      </c>
      <c r="AG309" s="55" t="str">
        <f t="shared" si="11"/>
        <v/>
      </c>
    </row>
    <row r="310">
      <c r="A310" s="7" t="str">
        <f>IFERROR(__xludf.DUMMYFUNCTION("""COMPUTED_VALUE"""),"AG667")</f>
        <v>AG667</v>
      </c>
      <c r="B310" s="308">
        <f>IFERROR(__xludf.DUMMYFUNCTION("""COMPUTED_VALUE"""),44847.0)</f>
        <v>44847</v>
      </c>
      <c r="C310" s="309">
        <f>IFERROR(__xludf.DUMMYFUNCTION("""COMPUTED_VALUE"""),0.27177083333333335)</f>
        <v>0.2717708333</v>
      </c>
      <c r="D310" s="7" t="str">
        <f>IFERROR(__xludf.DUMMYFUNCTION("""COMPUTED_VALUE"""),"SpABRM128250")</f>
        <v>SpABRM128250</v>
      </c>
      <c r="E310" s="310"/>
      <c r="F310" s="310"/>
      <c r="G310" s="310" t="str">
        <f>IFERROR(__xludf.DUMMYFUNCTION("""COMPUTED_VALUE"""),"Negative")</f>
        <v>Negative</v>
      </c>
      <c r="H310" s="319" t="str">
        <f>IFERROR(__xludf.DUMMYFUNCTION("""COMPUTED_VALUE"""),"Negative")</f>
        <v>Negative</v>
      </c>
      <c r="I310" s="308">
        <f>IFERROR(__xludf.DUMMYFUNCTION("""COMPUTED_VALUE"""),44847.0)</f>
        <v>44847</v>
      </c>
      <c r="J310" s="311">
        <f>IFERROR(__xludf.DUMMYFUNCTION("""COMPUTED_VALUE"""),0.38775462962962964)</f>
        <v>0.3877546296</v>
      </c>
      <c r="K310" s="54"/>
      <c r="L310" s="7"/>
      <c r="M310" s="312"/>
      <c r="N310" s="172">
        <f>IFERROR(__xludf.DUMMYFUNCTION("""COMPUTED_VALUE"""),3.0)</f>
        <v>3</v>
      </c>
      <c r="O310" s="172" t="str">
        <f t="shared" si="3"/>
        <v/>
      </c>
      <c r="P310" s="313">
        <f>IFERROR(__xludf.DUMMYFUNCTION("""COMPUTED_VALUE"""),0.0)</f>
        <v>0</v>
      </c>
      <c r="Q310" s="76" t="b">
        <f>VLOOKUP($B310,'Run Reconcile'!B$2:O1399,14,FALSE)</f>
        <v>1</v>
      </c>
      <c r="R310" s="314" t="str">
        <f t="array" ref="R310">IF($Q310, INDEX('Run Reconcile'!A$2:A1399,MATCH(B310,'Run Reconcile'!B$2:B1399,0),1),IFERROR(0/0,""))</f>
        <v>RUN-ABRM_2022-10-13_RFR-044</v>
      </c>
      <c r="S310" s="315" t="str">
        <f t="shared" ref="S310:T310" si="624">IF(COUNTIF(W$2:W1399, $A310) &gt; 0,TRUE,IFERROR(0/0,""))</f>
        <v/>
      </c>
      <c r="T310" s="315" t="str">
        <f t="shared" si="624"/>
        <v/>
      </c>
      <c r="U310" s="114" t="str">
        <f t="array" ref="U310">IF(ISBLANK($R310), INDEX('Run Reconcile'!A$2:A1399, MATCH($B310, 'Run Reconcile'!B$2:B1399, 0)+Z310, 1), IFERROR(0/0,""))
</f>
        <v/>
      </c>
      <c r="V310" s="316" t="str">
        <f t="shared" si="5"/>
        <v>RUN-ABRM_2022-10-13_RFR-044</v>
      </c>
      <c r="Y310" s="317" t="str">
        <f t="shared" si="6"/>
        <v/>
      </c>
      <c r="Z310" s="83" t="str">
        <f t="shared" si="7"/>
        <v/>
      </c>
      <c r="AA310" s="83" t="str">
        <f t="shared" si="8"/>
        <v/>
      </c>
      <c r="AB310" s="83" t="str">
        <f t="shared" si="9"/>
        <v/>
      </c>
      <c r="AC310" s="18" t="str">
        <f t="shared" ref="AC310:AD310" si="625">IF(_xlfn.ISFORMULA(S310),IFERROR(0/0,""),TRUE)</f>
        <v/>
      </c>
      <c r="AD310" s="18" t="str">
        <f t="shared" si="625"/>
        <v/>
      </c>
      <c r="AE310" s="43"/>
      <c r="AF310" s="58" t="s">
        <v>57</v>
      </c>
      <c r="AG310" s="55" t="str">
        <f t="shared" si="11"/>
        <v/>
      </c>
    </row>
    <row r="311">
      <c r="A311" s="7" t="str">
        <f>IFERROR(__xludf.DUMMYFUNCTION("""COMPUTED_VALUE"""),"AG406")</f>
        <v>AG406</v>
      </c>
      <c r="B311" s="308">
        <f>IFERROR(__xludf.DUMMYFUNCTION("""COMPUTED_VALUE"""),44847.0)</f>
        <v>44847</v>
      </c>
      <c r="C311" s="309">
        <f>IFERROR(__xludf.DUMMYFUNCTION("""COMPUTED_VALUE"""),0.29125)</f>
        <v>0.29125</v>
      </c>
      <c r="D311" s="7" t="str">
        <f>IFERROR(__xludf.DUMMYFUNCTION("""COMPUTED_VALUE"""),"SpABRM367540")</f>
        <v>SpABRM367540</v>
      </c>
      <c r="E311" s="310"/>
      <c r="F311" s="310"/>
      <c r="G311" s="310" t="str">
        <f>IFERROR(__xludf.DUMMYFUNCTION("""COMPUTED_VALUE"""),"Negative")</f>
        <v>Negative</v>
      </c>
      <c r="H311" s="319" t="str">
        <f>IFERROR(__xludf.DUMMYFUNCTION("""COMPUTED_VALUE"""),"Negative")</f>
        <v>Negative</v>
      </c>
      <c r="I311" s="308">
        <f>IFERROR(__xludf.DUMMYFUNCTION("""COMPUTED_VALUE"""),44847.0)</f>
        <v>44847</v>
      </c>
      <c r="J311" s="311">
        <f>IFERROR(__xludf.DUMMYFUNCTION("""COMPUTED_VALUE"""),0.3877662037037037)</f>
        <v>0.3877662037</v>
      </c>
      <c r="K311" s="54"/>
      <c r="L311" s="7"/>
      <c r="M311" s="312"/>
      <c r="N311" s="172">
        <f>IFERROR(__xludf.DUMMYFUNCTION("""COMPUTED_VALUE"""),3.0)</f>
        <v>3</v>
      </c>
      <c r="O311" s="172" t="str">
        <f t="shared" si="3"/>
        <v/>
      </c>
      <c r="P311" s="313">
        <f>IFERROR(__xludf.DUMMYFUNCTION("""COMPUTED_VALUE"""),0.0)</f>
        <v>0</v>
      </c>
      <c r="Q311" s="76" t="b">
        <f>VLOOKUP($B311,'Run Reconcile'!B$2:O1399,14,FALSE)</f>
        <v>1</v>
      </c>
      <c r="R311" s="314" t="str">
        <f t="array" ref="R311">IF($Q311, INDEX('Run Reconcile'!A$2:A1399,MATCH(B311,'Run Reconcile'!B$2:B1399,0),1),IFERROR(0/0,""))</f>
        <v>RUN-ABRM_2022-10-13_RFR-044</v>
      </c>
      <c r="S311" s="315" t="str">
        <f t="shared" ref="S311:T311" si="626">IF(COUNTIF(W$2:W1399, $A311) &gt; 0,TRUE,IFERROR(0/0,""))</f>
        <v/>
      </c>
      <c r="T311" s="315" t="str">
        <f t="shared" si="626"/>
        <v/>
      </c>
      <c r="U311" s="114" t="str">
        <f t="array" ref="U311">IF(ISBLANK($R311), INDEX('Run Reconcile'!A$2:A1399, MATCH($B311, 'Run Reconcile'!B$2:B1399, 0)+Z311, 1), IFERROR(0/0,""))
</f>
        <v/>
      </c>
      <c r="V311" s="316" t="str">
        <f t="shared" si="5"/>
        <v>RUN-ABRM_2022-10-13_RFR-044</v>
      </c>
      <c r="Y311" s="317" t="str">
        <f t="shared" si="6"/>
        <v/>
      </c>
      <c r="Z311" s="83" t="str">
        <f t="shared" si="7"/>
        <v/>
      </c>
      <c r="AA311" s="83" t="str">
        <f t="shared" si="8"/>
        <v/>
      </c>
      <c r="AB311" s="83" t="str">
        <f t="shared" si="9"/>
        <v/>
      </c>
      <c r="AC311" s="18" t="str">
        <f t="shared" ref="AC311:AD311" si="627">IF(_xlfn.ISFORMULA(S311),IFERROR(0/0,""),TRUE)</f>
        <v/>
      </c>
      <c r="AD311" s="18" t="str">
        <f t="shared" si="627"/>
        <v/>
      </c>
      <c r="AE311" s="43"/>
      <c r="AF311" s="58" t="s">
        <v>57</v>
      </c>
      <c r="AG311" s="55" t="str">
        <f t="shared" si="11"/>
        <v/>
      </c>
    </row>
    <row r="312">
      <c r="A312" s="7" t="str">
        <f>IFERROR(__xludf.DUMMYFUNCTION("""COMPUTED_VALUE"""),"AH8777")</f>
        <v>AH8777</v>
      </c>
      <c r="B312" s="308">
        <f>IFERROR(__xludf.DUMMYFUNCTION("""COMPUTED_VALUE"""),44847.0)</f>
        <v>44847</v>
      </c>
      <c r="C312" s="309">
        <f>IFERROR(__xludf.DUMMYFUNCTION("""COMPUTED_VALUE"""),0.29778935185185185)</f>
        <v>0.2977893519</v>
      </c>
      <c r="D312" s="7" t="str">
        <f>IFERROR(__xludf.DUMMYFUNCTION("""COMPUTED_VALUE"""),"SpABRM814022")</f>
        <v>SpABRM814022</v>
      </c>
      <c r="E312" s="310"/>
      <c r="F312" s="310"/>
      <c r="G312" s="310" t="str">
        <f>IFERROR(__xludf.DUMMYFUNCTION("""COMPUTED_VALUE"""),"Negative")</f>
        <v>Negative</v>
      </c>
      <c r="H312" s="319" t="str">
        <f>IFERROR(__xludf.DUMMYFUNCTION("""COMPUTED_VALUE"""),"Negative")</f>
        <v>Negative</v>
      </c>
      <c r="I312" s="308">
        <f>IFERROR(__xludf.DUMMYFUNCTION("""COMPUTED_VALUE"""),44847.0)</f>
        <v>44847</v>
      </c>
      <c r="J312" s="311">
        <f>IFERROR(__xludf.DUMMYFUNCTION("""COMPUTED_VALUE"""),0.3877777777777778)</f>
        <v>0.3877777778</v>
      </c>
      <c r="K312" s="54"/>
      <c r="L312" s="7"/>
      <c r="M312" s="312"/>
      <c r="N312" s="172">
        <f>IFERROR(__xludf.DUMMYFUNCTION("""COMPUTED_VALUE"""),2.0)</f>
        <v>2</v>
      </c>
      <c r="O312" s="172" t="str">
        <f t="shared" si="3"/>
        <v/>
      </c>
      <c r="P312" s="313">
        <f>IFERROR(__xludf.DUMMYFUNCTION("""COMPUTED_VALUE"""),0.0)</f>
        <v>0</v>
      </c>
      <c r="Q312" s="76" t="b">
        <f>VLOOKUP($B312,'Run Reconcile'!B$2:O1399,14,FALSE)</f>
        <v>1</v>
      </c>
      <c r="R312" s="314" t="str">
        <f t="array" ref="R312">IF($Q312, INDEX('Run Reconcile'!A$2:A1399,MATCH(B312,'Run Reconcile'!B$2:B1399,0),1),IFERROR(0/0,""))</f>
        <v>RUN-ABRM_2022-10-13_RFR-044</v>
      </c>
      <c r="S312" s="315" t="str">
        <f t="shared" ref="S312:T312" si="628">IF(COUNTIF(W$2:W1399, $A312) &gt; 0,TRUE,IFERROR(0/0,""))</f>
        <v/>
      </c>
      <c r="T312" s="315" t="str">
        <f t="shared" si="628"/>
        <v/>
      </c>
      <c r="U312" s="114" t="str">
        <f t="array" ref="U312">IF(ISBLANK($R312), INDEX('Run Reconcile'!A$2:A1399, MATCH($B312, 'Run Reconcile'!B$2:B1399, 0)+Z312, 1), IFERROR(0/0,""))
</f>
        <v/>
      </c>
      <c r="V312" s="316" t="str">
        <f t="shared" si="5"/>
        <v>RUN-ABRM_2022-10-13_RFR-044</v>
      </c>
      <c r="Y312" s="317" t="str">
        <f t="shared" si="6"/>
        <v/>
      </c>
      <c r="Z312" s="83" t="str">
        <f t="shared" si="7"/>
        <v/>
      </c>
      <c r="AA312" s="83" t="str">
        <f t="shared" si="8"/>
        <v/>
      </c>
      <c r="AB312" s="83" t="str">
        <f t="shared" si="9"/>
        <v/>
      </c>
      <c r="AC312" s="18" t="str">
        <f t="shared" ref="AC312:AD312" si="629">IF(_xlfn.ISFORMULA(S312),IFERROR(0/0,""),TRUE)</f>
        <v/>
      </c>
      <c r="AD312" s="18" t="str">
        <f t="shared" si="629"/>
        <v/>
      </c>
      <c r="AE312" s="43"/>
      <c r="AF312" s="58" t="s">
        <v>57</v>
      </c>
      <c r="AG312" s="55" t="str">
        <f t="shared" si="11"/>
        <v/>
      </c>
    </row>
    <row r="313">
      <c r="A313" s="7" t="str">
        <f>IFERROR(__xludf.DUMMYFUNCTION("""COMPUTED_VALUE"""),"AG655")</f>
        <v>AG655</v>
      </c>
      <c r="B313" s="308">
        <f>IFERROR(__xludf.DUMMYFUNCTION("""COMPUTED_VALUE"""),44847.0)</f>
        <v>44847</v>
      </c>
      <c r="C313" s="309">
        <f>IFERROR(__xludf.DUMMYFUNCTION("""COMPUTED_VALUE"""),0.30429398148148146)</f>
        <v>0.3042939815</v>
      </c>
      <c r="D313" s="7" t="str">
        <f>IFERROR(__xludf.DUMMYFUNCTION("""COMPUTED_VALUE"""),"SpABRM297307")</f>
        <v>SpABRM297307</v>
      </c>
      <c r="E313" s="310"/>
      <c r="F313" s="310"/>
      <c r="G313" s="310" t="str">
        <f>IFERROR(__xludf.DUMMYFUNCTION("""COMPUTED_VALUE"""),"Negative")</f>
        <v>Negative</v>
      </c>
      <c r="H313" s="319" t="str">
        <f>IFERROR(__xludf.DUMMYFUNCTION("""COMPUTED_VALUE"""),"Negative")</f>
        <v>Negative</v>
      </c>
      <c r="I313" s="308">
        <f>IFERROR(__xludf.DUMMYFUNCTION("""COMPUTED_VALUE"""),44847.0)</f>
        <v>44847</v>
      </c>
      <c r="J313" s="311">
        <f>IFERROR(__xludf.DUMMYFUNCTION("""COMPUTED_VALUE"""),0.3877777777777778)</f>
        <v>0.3877777778</v>
      </c>
      <c r="K313" s="54"/>
      <c r="L313" s="7"/>
      <c r="M313" s="312"/>
      <c r="N313" s="172">
        <f>IFERROR(__xludf.DUMMYFUNCTION("""COMPUTED_VALUE"""),3.0)</f>
        <v>3</v>
      </c>
      <c r="O313" s="172" t="str">
        <f t="shared" si="3"/>
        <v/>
      </c>
      <c r="P313" s="313">
        <f>IFERROR(__xludf.DUMMYFUNCTION("""COMPUTED_VALUE"""),0.0)</f>
        <v>0</v>
      </c>
      <c r="Q313" s="76" t="b">
        <f>VLOOKUP($B313,'Run Reconcile'!B$2:O1399,14,FALSE)</f>
        <v>1</v>
      </c>
      <c r="R313" s="314" t="str">
        <f t="array" ref="R313">IF($Q313, INDEX('Run Reconcile'!A$2:A1399,MATCH(B313,'Run Reconcile'!B$2:B1399,0),1),IFERROR(0/0,""))</f>
        <v>RUN-ABRM_2022-10-13_RFR-044</v>
      </c>
      <c r="S313" s="315" t="str">
        <f t="shared" ref="S313:T313" si="630">IF(COUNTIF(W$2:W1399, $A313) &gt; 0,TRUE,IFERROR(0/0,""))</f>
        <v/>
      </c>
      <c r="T313" s="315" t="str">
        <f t="shared" si="630"/>
        <v/>
      </c>
      <c r="U313" s="114" t="str">
        <f t="array" ref="U313">IF(ISBLANK($R313), INDEX('Run Reconcile'!A$2:A1399, MATCH($B313, 'Run Reconcile'!B$2:B1399, 0)+Z313, 1), IFERROR(0/0,""))
</f>
        <v/>
      </c>
      <c r="V313" s="316" t="str">
        <f t="shared" si="5"/>
        <v>RUN-ABRM_2022-10-13_RFR-044</v>
      </c>
      <c r="Y313" s="317" t="str">
        <f t="shared" si="6"/>
        <v/>
      </c>
      <c r="Z313" s="83" t="str">
        <f t="shared" si="7"/>
        <v/>
      </c>
      <c r="AA313" s="83" t="str">
        <f t="shared" si="8"/>
        <v/>
      </c>
      <c r="AB313" s="83" t="str">
        <f t="shared" si="9"/>
        <v/>
      </c>
      <c r="AC313" s="18" t="str">
        <f t="shared" ref="AC313:AD313" si="631">IF(_xlfn.ISFORMULA(S313),IFERROR(0/0,""),TRUE)</f>
        <v/>
      </c>
      <c r="AD313" s="18" t="str">
        <f t="shared" si="631"/>
        <v/>
      </c>
      <c r="AE313" s="43"/>
      <c r="AF313" s="58" t="s">
        <v>57</v>
      </c>
      <c r="AG313" s="55" t="str">
        <f t="shared" si="11"/>
        <v/>
      </c>
    </row>
    <row r="314">
      <c r="A314" s="7" t="str">
        <f>IFERROR(__xludf.DUMMYFUNCTION("""COMPUTED_VALUE"""),"AH8456")</f>
        <v>AH8456</v>
      </c>
      <c r="B314" s="308">
        <f>IFERROR(__xludf.DUMMYFUNCTION("""COMPUTED_VALUE"""),44847.0)</f>
        <v>44847</v>
      </c>
      <c r="C314" s="309">
        <f>IFERROR(__xludf.DUMMYFUNCTION("""COMPUTED_VALUE"""),0.3124537037037037)</f>
        <v>0.3124537037</v>
      </c>
      <c r="D314" s="7" t="str">
        <f>IFERROR(__xludf.DUMMYFUNCTION("""COMPUTED_VALUE"""),"SpABRM610758")</f>
        <v>SpABRM610758</v>
      </c>
      <c r="E314" s="310"/>
      <c r="F314" s="310"/>
      <c r="G314" s="310" t="str">
        <f>IFERROR(__xludf.DUMMYFUNCTION("""COMPUTED_VALUE"""),"Negative")</f>
        <v>Negative</v>
      </c>
      <c r="H314" s="319" t="str">
        <f>IFERROR(__xludf.DUMMYFUNCTION("""COMPUTED_VALUE"""),"Negative")</f>
        <v>Negative</v>
      </c>
      <c r="I314" s="308">
        <f>IFERROR(__xludf.DUMMYFUNCTION("""COMPUTED_VALUE"""),44847.0)</f>
        <v>44847</v>
      </c>
      <c r="J314" s="311">
        <f>IFERROR(__xludf.DUMMYFUNCTION("""COMPUTED_VALUE"""),0.38778935185185187)</f>
        <v>0.3877893519</v>
      </c>
      <c r="K314" s="54"/>
      <c r="L314" s="7"/>
      <c r="M314" s="312"/>
      <c r="N314" s="172">
        <f>IFERROR(__xludf.DUMMYFUNCTION("""COMPUTED_VALUE"""),2.0)</f>
        <v>2</v>
      </c>
      <c r="O314" s="172" t="str">
        <f t="shared" si="3"/>
        <v/>
      </c>
      <c r="P314" s="313">
        <f>IFERROR(__xludf.DUMMYFUNCTION("""COMPUTED_VALUE"""),0.0)</f>
        <v>0</v>
      </c>
      <c r="Q314" s="76" t="b">
        <f>VLOOKUP($B314,'Run Reconcile'!B$2:O1399,14,FALSE)</f>
        <v>1</v>
      </c>
      <c r="R314" s="314" t="str">
        <f t="array" ref="R314">IF($Q314, INDEX('Run Reconcile'!A$2:A1399,MATCH(B314,'Run Reconcile'!B$2:B1399,0),1),IFERROR(0/0,""))</f>
        <v>RUN-ABRM_2022-10-13_RFR-044</v>
      </c>
      <c r="S314" s="315" t="str">
        <f t="shared" ref="S314:T314" si="632">IF(COUNTIF(W$2:W1399, $A314) &gt; 0,TRUE,IFERROR(0/0,""))</f>
        <v/>
      </c>
      <c r="T314" s="315" t="str">
        <f t="shared" si="632"/>
        <v/>
      </c>
      <c r="U314" s="114" t="str">
        <f t="array" ref="U314">IF(ISBLANK($R314), INDEX('Run Reconcile'!A$2:A1399, MATCH($B314, 'Run Reconcile'!B$2:B1399, 0)+Z314, 1), IFERROR(0/0,""))
</f>
        <v/>
      </c>
      <c r="V314" s="316" t="str">
        <f t="shared" si="5"/>
        <v>RUN-ABRM_2022-10-13_RFR-044</v>
      </c>
      <c r="Y314" s="317" t="str">
        <f t="shared" si="6"/>
        <v/>
      </c>
      <c r="Z314" s="83" t="str">
        <f t="shared" si="7"/>
        <v/>
      </c>
      <c r="AA314" s="83" t="str">
        <f t="shared" si="8"/>
        <v/>
      </c>
      <c r="AB314" s="83" t="str">
        <f t="shared" si="9"/>
        <v/>
      </c>
      <c r="AC314" s="18" t="str">
        <f t="shared" ref="AC314:AD314" si="633">IF(_xlfn.ISFORMULA(S314),IFERROR(0/0,""),TRUE)</f>
        <v/>
      </c>
      <c r="AD314" s="18" t="str">
        <f t="shared" si="633"/>
        <v/>
      </c>
      <c r="AE314" s="43"/>
      <c r="AF314" s="58" t="s">
        <v>57</v>
      </c>
      <c r="AG314" s="55" t="str">
        <f t="shared" si="11"/>
        <v/>
      </c>
    </row>
    <row r="315">
      <c r="A315" s="7" t="str">
        <f>IFERROR(__xludf.DUMMYFUNCTION("""COMPUTED_VALUE"""),"AG1740")</f>
        <v>AG1740</v>
      </c>
      <c r="B315" s="308">
        <f>IFERROR(__xludf.DUMMYFUNCTION("""COMPUTED_VALUE"""),44847.0)</f>
        <v>44847</v>
      </c>
      <c r="C315" s="309">
        <f>IFERROR(__xludf.DUMMYFUNCTION("""COMPUTED_VALUE"""),0.3199074074074074)</f>
        <v>0.3199074074</v>
      </c>
      <c r="D315" s="7" t="str">
        <f>IFERROR(__xludf.DUMMYFUNCTION("""COMPUTED_VALUE"""),"SpABRM652382")</f>
        <v>SpABRM652382</v>
      </c>
      <c r="E315" s="310"/>
      <c r="F315" s="310"/>
      <c r="G315" s="310" t="str">
        <f>IFERROR(__xludf.DUMMYFUNCTION("""COMPUTED_VALUE"""),"Negative")</f>
        <v>Negative</v>
      </c>
      <c r="H315" s="319" t="str">
        <f>IFERROR(__xludf.DUMMYFUNCTION("""COMPUTED_VALUE"""),"Negative")</f>
        <v>Negative</v>
      </c>
      <c r="I315" s="308">
        <f>IFERROR(__xludf.DUMMYFUNCTION("""COMPUTED_VALUE"""),44847.0)</f>
        <v>44847</v>
      </c>
      <c r="J315" s="311">
        <f>IFERROR(__xludf.DUMMYFUNCTION("""COMPUTED_VALUE"""),0.38778935185185187)</f>
        <v>0.3877893519</v>
      </c>
      <c r="K315" s="54"/>
      <c r="L315" s="7"/>
      <c r="M315" s="312"/>
      <c r="N315" s="172">
        <f>IFERROR(__xludf.DUMMYFUNCTION("""COMPUTED_VALUE"""),2.0)</f>
        <v>2</v>
      </c>
      <c r="O315" s="172" t="str">
        <f t="shared" si="3"/>
        <v/>
      </c>
      <c r="P315" s="313">
        <f>IFERROR(__xludf.DUMMYFUNCTION("""COMPUTED_VALUE"""),0.0)</f>
        <v>0</v>
      </c>
      <c r="Q315" s="76" t="b">
        <f>VLOOKUP($B315,'Run Reconcile'!B$2:O1399,14,FALSE)</f>
        <v>1</v>
      </c>
      <c r="R315" s="314" t="str">
        <f t="array" ref="R315">IF($Q315, INDEX('Run Reconcile'!A$2:A1399,MATCH(B315,'Run Reconcile'!B$2:B1399,0),1),IFERROR(0/0,""))</f>
        <v>RUN-ABRM_2022-10-13_RFR-044</v>
      </c>
      <c r="S315" s="315" t="str">
        <f t="shared" ref="S315:T315" si="634">IF(COUNTIF(W$2:W1399, $A315) &gt; 0,TRUE,IFERROR(0/0,""))</f>
        <v/>
      </c>
      <c r="T315" s="315" t="str">
        <f t="shared" si="634"/>
        <v/>
      </c>
      <c r="U315" s="114" t="str">
        <f t="array" ref="U315">IF(ISBLANK($R315), INDEX('Run Reconcile'!A$2:A1399, MATCH($B315, 'Run Reconcile'!B$2:B1399, 0)+Z315, 1), IFERROR(0/0,""))
</f>
        <v/>
      </c>
      <c r="V315" s="316" t="str">
        <f t="shared" si="5"/>
        <v>RUN-ABRM_2022-10-13_RFR-044</v>
      </c>
      <c r="Y315" s="317" t="str">
        <f t="shared" si="6"/>
        <v/>
      </c>
      <c r="Z315" s="83" t="str">
        <f t="shared" si="7"/>
        <v/>
      </c>
      <c r="AA315" s="83" t="str">
        <f t="shared" si="8"/>
        <v/>
      </c>
      <c r="AB315" s="83" t="str">
        <f t="shared" si="9"/>
        <v/>
      </c>
      <c r="AC315" s="18" t="str">
        <f t="shared" ref="AC315:AD315" si="635">IF(_xlfn.ISFORMULA(S315),IFERROR(0/0,""),TRUE)</f>
        <v/>
      </c>
      <c r="AD315" s="18" t="str">
        <f t="shared" si="635"/>
        <v/>
      </c>
      <c r="AE315" s="43"/>
      <c r="AF315" s="58" t="s">
        <v>57</v>
      </c>
      <c r="AG315" s="55" t="str">
        <f t="shared" si="11"/>
        <v/>
      </c>
    </row>
    <row r="316">
      <c r="A316" s="7" t="str">
        <f>IFERROR(__xludf.DUMMYFUNCTION("""COMPUTED_VALUE"""),"AJ8726")</f>
        <v>AJ8726</v>
      </c>
      <c r="B316" s="308">
        <f>IFERROR(__xludf.DUMMYFUNCTION("""COMPUTED_VALUE"""),44847.0)</f>
        <v>44847</v>
      </c>
      <c r="C316" s="309">
        <f>IFERROR(__xludf.DUMMYFUNCTION("""COMPUTED_VALUE"""),0.3219444444444444)</f>
        <v>0.3219444444</v>
      </c>
      <c r="D316" s="7" t="str">
        <f>IFERROR(__xludf.DUMMYFUNCTION("""COMPUTED_VALUE"""),"SpABRM516158")</f>
        <v>SpABRM516158</v>
      </c>
      <c r="E316" s="310"/>
      <c r="F316" s="310"/>
      <c r="G316" s="310" t="str">
        <f>IFERROR(__xludf.DUMMYFUNCTION("""COMPUTED_VALUE"""),"Negative")</f>
        <v>Negative</v>
      </c>
      <c r="H316" s="319" t="str">
        <f>IFERROR(__xludf.DUMMYFUNCTION("""COMPUTED_VALUE"""),"Negative")</f>
        <v>Negative</v>
      </c>
      <c r="I316" s="308">
        <f>IFERROR(__xludf.DUMMYFUNCTION("""COMPUTED_VALUE"""),44847.0)</f>
        <v>44847</v>
      </c>
      <c r="J316" s="311">
        <f>IFERROR(__xludf.DUMMYFUNCTION("""COMPUTED_VALUE"""),0.38778935185185187)</f>
        <v>0.3877893519</v>
      </c>
      <c r="K316" s="54"/>
      <c r="L316" s="7"/>
      <c r="M316" s="312"/>
      <c r="N316" s="172">
        <f>IFERROR(__xludf.DUMMYFUNCTION("""COMPUTED_VALUE"""),1.0)</f>
        <v>1</v>
      </c>
      <c r="O316" s="172" t="str">
        <f t="shared" si="3"/>
        <v/>
      </c>
      <c r="P316" s="313">
        <f>IFERROR(__xludf.DUMMYFUNCTION("""COMPUTED_VALUE"""),0.0)</f>
        <v>0</v>
      </c>
      <c r="Q316" s="76" t="b">
        <f>VLOOKUP($B316,'Run Reconcile'!B$2:O1399,14,FALSE)</f>
        <v>1</v>
      </c>
      <c r="R316" s="314" t="str">
        <f t="array" ref="R316">IF($Q316, INDEX('Run Reconcile'!A$2:A1399,MATCH(B316,'Run Reconcile'!B$2:B1399,0),1),IFERROR(0/0,""))</f>
        <v>RUN-ABRM_2022-10-13_RFR-044</v>
      </c>
      <c r="S316" s="315" t="str">
        <f t="shared" ref="S316:T316" si="636">IF(COUNTIF(W$2:W1399, $A316) &gt; 0,TRUE,IFERROR(0/0,""))</f>
        <v/>
      </c>
      <c r="T316" s="315" t="str">
        <f t="shared" si="636"/>
        <v/>
      </c>
      <c r="U316" s="114" t="str">
        <f t="array" ref="U316">IF(ISBLANK($R316), INDEX('Run Reconcile'!A$2:A1399, MATCH($B316, 'Run Reconcile'!B$2:B1399, 0)+Z316, 1), IFERROR(0/0,""))
</f>
        <v/>
      </c>
      <c r="V316" s="316" t="str">
        <f t="shared" si="5"/>
        <v>RUN-ABRM_2022-10-13_RFR-044</v>
      </c>
      <c r="Y316" s="317" t="str">
        <f t="shared" si="6"/>
        <v/>
      </c>
      <c r="Z316" s="83" t="str">
        <f t="shared" si="7"/>
        <v/>
      </c>
      <c r="AA316" s="83" t="str">
        <f t="shared" si="8"/>
        <v/>
      </c>
      <c r="AB316" s="83" t="str">
        <f t="shared" si="9"/>
        <v/>
      </c>
      <c r="AC316" s="18" t="str">
        <f t="shared" ref="AC316:AD316" si="637">IF(_xlfn.ISFORMULA(S316),IFERROR(0/0,""),TRUE)</f>
        <v/>
      </c>
      <c r="AD316" s="18" t="str">
        <f t="shared" si="637"/>
        <v/>
      </c>
      <c r="AE316" s="43"/>
      <c r="AF316" s="58" t="s">
        <v>57</v>
      </c>
      <c r="AG316" s="55" t="str">
        <f t="shared" si="11"/>
        <v/>
      </c>
    </row>
    <row r="317">
      <c r="A317" s="7" t="str">
        <f>IFERROR(__xludf.DUMMYFUNCTION("""COMPUTED_VALUE"""),"AJ8832")</f>
        <v>AJ8832</v>
      </c>
      <c r="B317" s="308">
        <f>IFERROR(__xludf.DUMMYFUNCTION("""COMPUTED_VALUE"""),44847.0)</f>
        <v>44847</v>
      </c>
      <c r="C317" s="309">
        <f>IFERROR(__xludf.DUMMYFUNCTION("""COMPUTED_VALUE"""),0.3295138888888889)</f>
        <v>0.3295138889</v>
      </c>
      <c r="D317" s="7" t="str">
        <f>IFERROR(__xludf.DUMMYFUNCTION("""COMPUTED_VALUE"""),"SpABRM655136")</f>
        <v>SpABRM655136</v>
      </c>
      <c r="E317" s="310"/>
      <c r="F317" s="310"/>
      <c r="G317" s="310" t="str">
        <f>IFERROR(__xludf.DUMMYFUNCTION("""COMPUTED_VALUE"""),"Negative")</f>
        <v>Negative</v>
      </c>
      <c r="H317" s="319" t="str">
        <f>IFERROR(__xludf.DUMMYFUNCTION("""COMPUTED_VALUE"""),"Negative")</f>
        <v>Negative</v>
      </c>
      <c r="I317" s="308">
        <f>IFERROR(__xludf.DUMMYFUNCTION("""COMPUTED_VALUE"""),44847.0)</f>
        <v>44847</v>
      </c>
      <c r="J317" s="311">
        <f>IFERROR(__xludf.DUMMYFUNCTION("""COMPUTED_VALUE"""),0.38778935185185187)</f>
        <v>0.3877893519</v>
      </c>
      <c r="K317" s="54"/>
      <c r="L317" s="7"/>
      <c r="M317" s="312"/>
      <c r="N317" s="172">
        <f>IFERROR(__xludf.DUMMYFUNCTION("""COMPUTED_VALUE"""),2.0)</f>
        <v>2</v>
      </c>
      <c r="O317" s="172" t="str">
        <f t="shared" si="3"/>
        <v/>
      </c>
      <c r="P317" s="313">
        <f>IFERROR(__xludf.DUMMYFUNCTION("""COMPUTED_VALUE"""),0.0)</f>
        <v>0</v>
      </c>
      <c r="Q317" s="76" t="b">
        <f>VLOOKUP($B317,'Run Reconcile'!B$2:O1399,14,FALSE)</f>
        <v>1</v>
      </c>
      <c r="R317" s="314" t="str">
        <f t="array" ref="R317">IF($Q317, INDEX('Run Reconcile'!A$2:A1399,MATCH(B317,'Run Reconcile'!B$2:B1399,0),1),IFERROR(0/0,""))</f>
        <v>RUN-ABRM_2022-10-13_RFR-044</v>
      </c>
      <c r="S317" s="315" t="str">
        <f t="shared" ref="S317:T317" si="638">IF(COUNTIF(W$2:W1399, $A317) &gt; 0,TRUE,IFERROR(0/0,""))</f>
        <v/>
      </c>
      <c r="T317" s="315" t="str">
        <f t="shared" si="638"/>
        <v/>
      </c>
      <c r="U317" s="114" t="str">
        <f t="array" ref="U317">IF(ISBLANK($R317), INDEX('Run Reconcile'!A$2:A1399, MATCH($B317, 'Run Reconcile'!B$2:B1399, 0)+Z317, 1), IFERROR(0/0,""))
</f>
        <v/>
      </c>
      <c r="V317" s="316" t="str">
        <f t="shared" si="5"/>
        <v>RUN-ABRM_2022-10-13_RFR-044</v>
      </c>
      <c r="Y317" s="317" t="str">
        <f t="shared" si="6"/>
        <v/>
      </c>
      <c r="Z317" s="83" t="str">
        <f t="shared" si="7"/>
        <v/>
      </c>
      <c r="AA317" s="83" t="str">
        <f t="shared" si="8"/>
        <v/>
      </c>
      <c r="AB317" s="83" t="str">
        <f t="shared" si="9"/>
        <v/>
      </c>
      <c r="AC317" s="18" t="str">
        <f t="shared" ref="AC317:AD317" si="639">IF(_xlfn.ISFORMULA(S317),IFERROR(0/0,""),TRUE)</f>
        <v/>
      </c>
      <c r="AD317" s="18" t="str">
        <f t="shared" si="639"/>
        <v/>
      </c>
      <c r="AE317" s="43"/>
      <c r="AF317" s="58" t="s">
        <v>57</v>
      </c>
      <c r="AG317" s="55" t="str">
        <f t="shared" si="11"/>
        <v/>
      </c>
    </row>
    <row r="318">
      <c r="A318" s="7" t="str">
        <f>IFERROR(__xludf.DUMMYFUNCTION("""COMPUTED_VALUE"""),"AG2148")</f>
        <v>AG2148</v>
      </c>
      <c r="B318" s="308">
        <f>IFERROR(__xludf.DUMMYFUNCTION("""COMPUTED_VALUE"""),44847.0)</f>
        <v>44847</v>
      </c>
      <c r="C318" s="309">
        <f>IFERROR(__xludf.DUMMYFUNCTION("""COMPUTED_VALUE"""),0.3310300925925926)</f>
        <v>0.3310300926</v>
      </c>
      <c r="D318" s="7" t="str">
        <f>IFERROR(__xludf.DUMMYFUNCTION("""COMPUTED_VALUE"""),"SpABRM655136")</f>
        <v>SpABRM655136</v>
      </c>
      <c r="E318" s="310"/>
      <c r="F318" s="310"/>
      <c r="G318" s="310" t="str">
        <f>IFERROR(__xludf.DUMMYFUNCTION("""COMPUTED_VALUE"""),"Negative")</f>
        <v>Negative</v>
      </c>
      <c r="H318" s="319" t="str">
        <f>IFERROR(__xludf.DUMMYFUNCTION("""COMPUTED_VALUE"""),"Negative")</f>
        <v>Negative</v>
      </c>
      <c r="I318" s="308">
        <f>IFERROR(__xludf.DUMMYFUNCTION("""COMPUTED_VALUE"""),44847.0)</f>
        <v>44847</v>
      </c>
      <c r="J318" s="311">
        <f>IFERROR(__xludf.DUMMYFUNCTION("""COMPUTED_VALUE"""),0.3878125)</f>
        <v>0.3878125</v>
      </c>
      <c r="K318" s="54"/>
      <c r="L318" s="7"/>
      <c r="M318" s="312"/>
      <c r="N318" s="172">
        <f>IFERROR(__xludf.DUMMYFUNCTION("""COMPUTED_VALUE"""),1.0)</f>
        <v>1</v>
      </c>
      <c r="O318" s="172" t="str">
        <f t="shared" si="3"/>
        <v/>
      </c>
      <c r="P318" s="313">
        <f>IFERROR(__xludf.DUMMYFUNCTION("""COMPUTED_VALUE"""),0.0)</f>
        <v>0</v>
      </c>
      <c r="Q318" s="76" t="b">
        <f>VLOOKUP($B318,'Run Reconcile'!B$2:O1399,14,FALSE)</f>
        <v>1</v>
      </c>
      <c r="R318" s="314" t="str">
        <f t="array" ref="R318">IF($Q318, INDEX('Run Reconcile'!A$2:A1399,MATCH(B318,'Run Reconcile'!B$2:B1399,0),1),IFERROR(0/0,""))</f>
        <v>RUN-ABRM_2022-10-13_RFR-044</v>
      </c>
      <c r="S318" s="315" t="str">
        <f t="shared" ref="S318:T318" si="640">IF(COUNTIF(W$2:W1399, $A318) &gt; 0,TRUE,IFERROR(0/0,""))</f>
        <v/>
      </c>
      <c r="T318" s="315" t="str">
        <f t="shared" si="640"/>
        <v/>
      </c>
      <c r="U318" s="114" t="str">
        <f t="array" ref="U318">IF(ISBLANK($R318), INDEX('Run Reconcile'!A$2:A1399, MATCH($B318, 'Run Reconcile'!B$2:B1399, 0)+Z318, 1), IFERROR(0/0,""))
</f>
        <v/>
      </c>
      <c r="V318" s="316" t="str">
        <f t="shared" si="5"/>
        <v>RUN-ABRM_2022-10-13_RFR-044</v>
      </c>
      <c r="Y318" s="317" t="str">
        <f t="shared" si="6"/>
        <v/>
      </c>
      <c r="Z318" s="83" t="str">
        <f t="shared" si="7"/>
        <v/>
      </c>
      <c r="AA318" s="83" t="str">
        <f t="shared" si="8"/>
        <v/>
      </c>
      <c r="AB318" s="83" t="str">
        <f t="shared" si="9"/>
        <v/>
      </c>
      <c r="AC318" s="18" t="str">
        <f t="shared" ref="AC318:AD318" si="641">IF(_xlfn.ISFORMULA(S318),IFERROR(0/0,""),TRUE)</f>
        <v/>
      </c>
      <c r="AD318" s="18" t="str">
        <f t="shared" si="641"/>
        <v/>
      </c>
      <c r="AE318" s="43"/>
      <c r="AF318" s="58" t="s">
        <v>57</v>
      </c>
      <c r="AG318" s="55" t="str">
        <f t="shared" si="11"/>
        <v/>
      </c>
    </row>
    <row r="319">
      <c r="A319" s="7" t="str">
        <f>IFERROR(__xludf.DUMMYFUNCTION("""COMPUTED_VALUE"""),"AH7811")</f>
        <v>AH7811</v>
      </c>
      <c r="B319" s="308">
        <f>IFERROR(__xludf.DUMMYFUNCTION("""COMPUTED_VALUE"""),44847.0)</f>
        <v>44847</v>
      </c>
      <c r="C319" s="309">
        <f>IFERROR(__xludf.DUMMYFUNCTION("""COMPUTED_VALUE"""),0.3312847222222222)</f>
        <v>0.3312847222</v>
      </c>
      <c r="D319" s="7" t="str">
        <f>IFERROR(__xludf.DUMMYFUNCTION("""COMPUTED_VALUE"""),"SpABRM655136")</f>
        <v>SpABRM655136</v>
      </c>
      <c r="E319" s="310"/>
      <c r="F319" s="310"/>
      <c r="G319" s="310" t="str">
        <f>IFERROR(__xludf.DUMMYFUNCTION("""COMPUTED_VALUE"""),"Negative")</f>
        <v>Negative</v>
      </c>
      <c r="H319" s="319" t="str">
        <f>IFERROR(__xludf.DUMMYFUNCTION("""COMPUTED_VALUE"""),"Negative")</f>
        <v>Negative</v>
      </c>
      <c r="I319" s="308">
        <f>IFERROR(__xludf.DUMMYFUNCTION("""COMPUTED_VALUE"""),44847.0)</f>
        <v>44847</v>
      </c>
      <c r="J319" s="311">
        <f>IFERROR(__xludf.DUMMYFUNCTION("""COMPUTED_VALUE"""),0.3878125)</f>
        <v>0.3878125</v>
      </c>
      <c r="K319" s="54"/>
      <c r="L319" s="7"/>
      <c r="M319" s="312"/>
      <c r="N319" s="172">
        <f>IFERROR(__xludf.DUMMYFUNCTION("""COMPUTED_VALUE"""),2.0)</f>
        <v>2</v>
      </c>
      <c r="O319" s="172" t="str">
        <f t="shared" si="3"/>
        <v/>
      </c>
      <c r="P319" s="313">
        <f>IFERROR(__xludf.DUMMYFUNCTION("""COMPUTED_VALUE"""),0.0)</f>
        <v>0</v>
      </c>
      <c r="Q319" s="76" t="b">
        <f>VLOOKUP($B319,'Run Reconcile'!B$2:O1399,14,FALSE)</f>
        <v>1</v>
      </c>
      <c r="R319" s="314" t="str">
        <f t="array" ref="R319">IF($Q319, INDEX('Run Reconcile'!A$2:A1399,MATCH(B319,'Run Reconcile'!B$2:B1399,0),1),IFERROR(0/0,""))</f>
        <v>RUN-ABRM_2022-10-13_RFR-044</v>
      </c>
      <c r="S319" s="315" t="str">
        <f t="shared" ref="S319:T319" si="642">IF(COUNTIF(W$2:W1399, $A319) &gt; 0,TRUE,IFERROR(0/0,""))</f>
        <v/>
      </c>
      <c r="T319" s="315" t="str">
        <f t="shared" si="642"/>
        <v/>
      </c>
      <c r="U319" s="114" t="str">
        <f t="array" ref="U319">IF(ISBLANK($R319), INDEX('Run Reconcile'!A$2:A1399, MATCH($B319, 'Run Reconcile'!B$2:B1399, 0)+Z319, 1), IFERROR(0/0,""))
</f>
        <v/>
      </c>
      <c r="V319" s="316" t="str">
        <f t="shared" si="5"/>
        <v>RUN-ABRM_2022-10-13_RFR-044</v>
      </c>
      <c r="Y319" s="317" t="str">
        <f t="shared" si="6"/>
        <v/>
      </c>
      <c r="Z319" s="83" t="str">
        <f t="shared" si="7"/>
        <v/>
      </c>
      <c r="AA319" s="83" t="str">
        <f t="shared" si="8"/>
        <v/>
      </c>
      <c r="AB319" s="83" t="str">
        <f t="shared" si="9"/>
        <v/>
      </c>
      <c r="AC319" s="18" t="str">
        <f t="shared" ref="AC319:AD319" si="643">IF(_xlfn.ISFORMULA(S319),IFERROR(0/0,""),TRUE)</f>
        <v/>
      </c>
      <c r="AD319" s="18" t="str">
        <f t="shared" si="643"/>
        <v/>
      </c>
      <c r="AE319" s="43"/>
      <c r="AF319" s="58" t="s">
        <v>57</v>
      </c>
      <c r="AG319" s="55" t="str">
        <f t="shared" si="11"/>
        <v/>
      </c>
    </row>
    <row r="320">
      <c r="A320" s="7" t="str">
        <f>IFERROR(__xludf.DUMMYFUNCTION("""COMPUTED_VALUE"""),"AG1187")</f>
        <v>AG1187</v>
      </c>
      <c r="B320" s="308">
        <f>IFERROR(__xludf.DUMMYFUNCTION("""COMPUTED_VALUE"""),44851.0)</f>
        <v>44851</v>
      </c>
      <c r="C320" s="309">
        <f>IFERROR(__xludf.DUMMYFUNCTION("""COMPUTED_VALUE"""),0.2378587962962963)</f>
        <v>0.2378587963</v>
      </c>
      <c r="D320" s="7" t="str">
        <f>IFERROR(__xludf.DUMMYFUNCTION("""COMPUTED_VALUE"""),"SpABRM516158")</f>
        <v>SpABRM516158</v>
      </c>
      <c r="E320" s="310"/>
      <c r="F320" s="310"/>
      <c r="G320" s="310" t="str">
        <f>IFERROR(__xludf.DUMMYFUNCTION("""COMPUTED_VALUE"""),"Negative")</f>
        <v>Negative</v>
      </c>
      <c r="H320" s="319" t="str">
        <f>IFERROR(__xludf.DUMMYFUNCTION("""COMPUTED_VALUE"""),"Negative")</f>
        <v>Negative</v>
      </c>
      <c r="I320" s="308">
        <f>IFERROR(__xludf.DUMMYFUNCTION("""COMPUTED_VALUE"""),44851.0)</f>
        <v>44851</v>
      </c>
      <c r="J320" s="311">
        <f>IFERROR(__xludf.DUMMYFUNCTION("""COMPUTED_VALUE"""),0.38328703703703704)</f>
        <v>0.383287037</v>
      </c>
      <c r="K320" s="54"/>
      <c r="L320" s="7"/>
      <c r="M320" s="312"/>
      <c r="N320" s="172">
        <f>IFERROR(__xludf.DUMMYFUNCTION("""COMPUTED_VALUE"""),1.0)</f>
        <v>1</v>
      </c>
      <c r="O320" s="172" t="b">
        <f t="shared" si="3"/>
        <v>1</v>
      </c>
      <c r="P320" s="313">
        <f>IFERROR(__xludf.DUMMYFUNCTION("""COMPUTED_VALUE"""),0.0)</f>
        <v>0</v>
      </c>
      <c r="Q320" s="76" t="b">
        <f>VLOOKUP($B320,'Run Reconcile'!B$2:O1399,14,FALSE)</f>
        <v>1</v>
      </c>
      <c r="R320" s="314" t="str">
        <f t="array" ref="R320">IF($Q320, INDEX('Run Reconcile'!A$2:A1399,MATCH(B320,'Run Reconcile'!B$2:B1399,0),1),IFERROR(0/0,""))</f>
        <v>RUN-ABRM_2022-10-17_RFR-045</v>
      </c>
      <c r="S320" s="315" t="str">
        <f t="shared" ref="S320:T320" si="644">IF(COUNTIF(W$2:W1399, $A320) &gt; 0,TRUE,IFERROR(0/0,""))</f>
        <v/>
      </c>
      <c r="T320" s="315" t="str">
        <f t="shared" si="644"/>
        <v/>
      </c>
      <c r="U320" s="114" t="str">
        <f t="array" ref="U320">IF(ISBLANK($R320), INDEX('Run Reconcile'!A$2:A1399, MATCH($B320, 'Run Reconcile'!B$2:B1399, 0)+Z320, 1), IFERROR(0/0,""))
</f>
        <v/>
      </c>
      <c r="V320" s="316" t="str">
        <f t="shared" si="5"/>
        <v>RUN-ABRM_2022-10-17_RFR-045</v>
      </c>
      <c r="Y320" s="317" t="str">
        <f t="shared" si="6"/>
        <v/>
      </c>
      <c r="Z320" s="83" t="str">
        <f t="shared" si="7"/>
        <v/>
      </c>
      <c r="AA320" s="83" t="str">
        <f t="shared" si="8"/>
        <v/>
      </c>
      <c r="AB320" s="83" t="str">
        <f t="shared" si="9"/>
        <v/>
      </c>
      <c r="AC320" s="18" t="str">
        <f t="shared" ref="AC320:AD320" si="645">IF(_xlfn.ISFORMULA(S320),IFERROR(0/0,""),TRUE)</f>
        <v/>
      </c>
      <c r="AD320" s="18" t="str">
        <f t="shared" si="645"/>
        <v/>
      </c>
      <c r="AE320" s="43"/>
      <c r="AF320" s="58" t="s">
        <v>58</v>
      </c>
      <c r="AG320" s="55" t="str">
        <f t="shared" si="11"/>
        <v/>
      </c>
    </row>
    <row r="321">
      <c r="A321" s="7" t="str">
        <f>IFERROR(__xludf.DUMMYFUNCTION("""COMPUTED_VALUE"""),"AJ9870")</f>
        <v>AJ9870</v>
      </c>
      <c r="B321" s="308">
        <f>IFERROR(__xludf.DUMMYFUNCTION("""COMPUTED_VALUE"""),44851.0)</f>
        <v>44851</v>
      </c>
      <c r="C321" s="309">
        <f>IFERROR(__xludf.DUMMYFUNCTION("""COMPUTED_VALUE"""),0.2853587962962963)</f>
        <v>0.2853587963</v>
      </c>
      <c r="D321" s="7" t="str">
        <f>IFERROR(__xludf.DUMMYFUNCTION("""COMPUTED_VALUE"""),"SpABRM188986")</f>
        <v>SpABRM188986</v>
      </c>
      <c r="E321" s="310"/>
      <c r="F321" s="310"/>
      <c r="G321" s="310" t="str">
        <f>IFERROR(__xludf.DUMMYFUNCTION("""COMPUTED_VALUE"""),"Negative")</f>
        <v>Negative</v>
      </c>
      <c r="H321" s="319" t="str">
        <f>IFERROR(__xludf.DUMMYFUNCTION("""COMPUTED_VALUE"""),"Negative")</f>
        <v>Negative</v>
      </c>
      <c r="I321" s="308">
        <f>IFERROR(__xludf.DUMMYFUNCTION("""COMPUTED_VALUE"""),44851.0)</f>
        <v>44851</v>
      </c>
      <c r="J321" s="311">
        <f>IFERROR(__xludf.DUMMYFUNCTION("""COMPUTED_VALUE"""),0.38328703703703704)</f>
        <v>0.383287037</v>
      </c>
      <c r="K321" s="54"/>
      <c r="L321" s="7"/>
      <c r="M321" s="312"/>
      <c r="N321" s="172">
        <f>IFERROR(__xludf.DUMMYFUNCTION("""COMPUTED_VALUE"""),2.0)</f>
        <v>2</v>
      </c>
      <c r="O321" s="172" t="str">
        <f t="shared" si="3"/>
        <v/>
      </c>
      <c r="P321" s="313">
        <f>IFERROR(__xludf.DUMMYFUNCTION("""COMPUTED_VALUE"""),0.0)</f>
        <v>0</v>
      </c>
      <c r="Q321" s="76" t="b">
        <f>VLOOKUP($B321,'Run Reconcile'!B$2:O1399,14,FALSE)</f>
        <v>1</v>
      </c>
      <c r="R321" s="314" t="str">
        <f t="array" ref="R321">IF($Q321, INDEX('Run Reconcile'!A$2:A1399,MATCH(B321,'Run Reconcile'!B$2:B1399,0),1),IFERROR(0/0,""))</f>
        <v>RUN-ABRM_2022-10-17_RFR-045</v>
      </c>
      <c r="S321" s="315" t="str">
        <f t="shared" ref="S321:T321" si="646">IF(COUNTIF(W$2:W1399, $A321) &gt; 0,TRUE,IFERROR(0/0,""))</f>
        <v/>
      </c>
      <c r="T321" s="315" t="str">
        <f t="shared" si="646"/>
        <v/>
      </c>
      <c r="U321" s="114" t="str">
        <f t="array" ref="U321">IF(ISBLANK($R321), INDEX('Run Reconcile'!A$2:A1399, MATCH($B321, 'Run Reconcile'!B$2:B1399, 0)+Z321, 1), IFERROR(0/0,""))
</f>
        <v/>
      </c>
      <c r="V321" s="316" t="str">
        <f t="shared" si="5"/>
        <v>RUN-ABRM_2022-10-17_RFR-045</v>
      </c>
      <c r="Y321" s="317" t="str">
        <f t="shared" si="6"/>
        <v/>
      </c>
      <c r="Z321" s="83" t="str">
        <f t="shared" si="7"/>
        <v/>
      </c>
      <c r="AA321" s="83" t="str">
        <f t="shared" si="8"/>
        <v/>
      </c>
      <c r="AB321" s="83" t="str">
        <f t="shared" si="9"/>
        <v/>
      </c>
      <c r="AC321" s="18" t="str">
        <f t="shared" ref="AC321:AD321" si="647">IF(_xlfn.ISFORMULA(S321),IFERROR(0/0,""),TRUE)</f>
        <v/>
      </c>
      <c r="AD321" s="18" t="str">
        <f t="shared" si="647"/>
        <v/>
      </c>
      <c r="AE321" s="43"/>
      <c r="AF321" s="58" t="s">
        <v>58</v>
      </c>
      <c r="AG321" s="55" t="str">
        <f t="shared" si="11"/>
        <v/>
      </c>
    </row>
    <row r="322">
      <c r="A322" s="7" t="str">
        <f>IFERROR(__xludf.DUMMYFUNCTION("""COMPUTED_VALUE"""),"AH8387")</f>
        <v>AH8387</v>
      </c>
      <c r="B322" s="308">
        <f>IFERROR(__xludf.DUMMYFUNCTION("""COMPUTED_VALUE"""),44851.0)</f>
        <v>44851</v>
      </c>
      <c r="C322" s="309">
        <f>IFERROR(__xludf.DUMMYFUNCTION("""COMPUTED_VALUE"""),0.2892939814814815)</f>
        <v>0.2892939815</v>
      </c>
      <c r="D322" s="7" t="str">
        <f>IFERROR(__xludf.DUMMYFUNCTION("""COMPUTED_VALUE"""),"SpABRM128250")</f>
        <v>SpABRM128250</v>
      </c>
      <c r="E322" s="310"/>
      <c r="F322" s="310"/>
      <c r="G322" s="310" t="str">
        <f>IFERROR(__xludf.DUMMYFUNCTION("""COMPUTED_VALUE"""),"Negative")</f>
        <v>Negative</v>
      </c>
      <c r="H322" s="319" t="str">
        <f>IFERROR(__xludf.DUMMYFUNCTION("""COMPUTED_VALUE"""),"Negative")</f>
        <v>Negative</v>
      </c>
      <c r="I322" s="308">
        <f>IFERROR(__xludf.DUMMYFUNCTION("""COMPUTED_VALUE"""),44851.0)</f>
        <v>44851</v>
      </c>
      <c r="J322" s="311">
        <f>IFERROR(__xludf.DUMMYFUNCTION("""COMPUTED_VALUE"""),0.38329861111111113)</f>
        <v>0.3832986111</v>
      </c>
      <c r="K322" s="54"/>
      <c r="L322" s="7"/>
      <c r="M322" s="312"/>
      <c r="N322" s="172">
        <f>IFERROR(__xludf.DUMMYFUNCTION("""COMPUTED_VALUE"""),3.0)</f>
        <v>3</v>
      </c>
      <c r="O322" s="172" t="str">
        <f t="shared" si="3"/>
        <v/>
      </c>
      <c r="P322" s="313">
        <f>IFERROR(__xludf.DUMMYFUNCTION("""COMPUTED_VALUE"""),0.0)</f>
        <v>0</v>
      </c>
      <c r="Q322" s="76" t="b">
        <f>VLOOKUP($B322,'Run Reconcile'!B$2:O1399,14,FALSE)</f>
        <v>1</v>
      </c>
      <c r="R322" s="314" t="str">
        <f t="array" ref="R322">IF($Q322, INDEX('Run Reconcile'!A$2:A1399,MATCH(B322,'Run Reconcile'!B$2:B1399,0),1),IFERROR(0/0,""))</f>
        <v>RUN-ABRM_2022-10-17_RFR-045</v>
      </c>
      <c r="S322" s="315" t="str">
        <f t="shared" ref="S322:T322" si="648">IF(COUNTIF(W$2:W1399, $A322) &gt; 0,TRUE,IFERROR(0/0,""))</f>
        <v/>
      </c>
      <c r="T322" s="315" t="str">
        <f t="shared" si="648"/>
        <v/>
      </c>
      <c r="U322" s="114" t="str">
        <f t="array" ref="U322">IF(ISBLANK($R322), INDEX('Run Reconcile'!A$2:A1399, MATCH($B322, 'Run Reconcile'!B$2:B1399, 0)+Z322, 1), IFERROR(0/0,""))
</f>
        <v/>
      </c>
      <c r="V322" s="316" t="str">
        <f t="shared" si="5"/>
        <v>RUN-ABRM_2022-10-17_RFR-045</v>
      </c>
      <c r="Y322" s="317" t="str">
        <f t="shared" si="6"/>
        <v/>
      </c>
      <c r="Z322" s="83" t="str">
        <f t="shared" si="7"/>
        <v/>
      </c>
      <c r="AA322" s="83" t="str">
        <f t="shared" si="8"/>
        <v/>
      </c>
      <c r="AB322" s="83" t="str">
        <f t="shared" si="9"/>
        <v/>
      </c>
      <c r="AC322" s="18" t="str">
        <f t="shared" ref="AC322:AD322" si="649">IF(_xlfn.ISFORMULA(S322),IFERROR(0/0,""),TRUE)</f>
        <v/>
      </c>
      <c r="AD322" s="18" t="str">
        <f t="shared" si="649"/>
        <v/>
      </c>
      <c r="AE322" s="43"/>
      <c r="AF322" s="58" t="s">
        <v>58</v>
      </c>
      <c r="AG322" s="55" t="str">
        <f t="shared" si="11"/>
        <v/>
      </c>
    </row>
    <row r="323">
      <c r="A323" s="7" t="str">
        <f>IFERROR(__xludf.DUMMYFUNCTION("""COMPUTED_VALUE"""),"AH9497")</f>
        <v>AH9497</v>
      </c>
      <c r="B323" s="308">
        <f>IFERROR(__xludf.DUMMYFUNCTION("""COMPUTED_VALUE"""),44851.0)</f>
        <v>44851</v>
      </c>
      <c r="C323" s="309">
        <f>IFERROR(__xludf.DUMMYFUNCTION("""COMPUTED_VALUE"""),0.29917824074074073)</f>
        <v>0.2991782407</v>
      </c>
      <c r="D323" s="7" t="str">
        <f>IFERROR(__xludf.DUMMYFUNCTION("""COMPUTED_VALUE"""),"SpABRM756011")</f>
        <v>SpABRM756011</v>
      </c>
      <c r="E323" s="310"/>
      <c r="F323" s="310"/>
      <c r="G323" s="310" t="str">
        <f>IFERROR(__xludf.DUMMYFUNCTION("""COMPUTED_VALUE"""),"Negative")</f>
        <v>Negative</v>
      </c>
      <c r="H323" s="319" t="str">
        <f>IFERROR(__xludf.DUMMYFUNCTION("""COMPUTED_VALUE"""),"Negative")</f>
        <v>Negative</v>
      </c>
      <c r="I323" s="308">
        <f>IFERROR(__xludf.DUMMYFUNCTION("""COMPUTED_VALUE"""),44851.0)</f>
        <v>44851</v>
      </c>
      <c r="J323" s="311">
        <f>IFERROR(__xludf.DUMMYFUNCTION("""COMPUTED_VALUE"""),0.38331018518518517)</f>
        <v>0.3833101852</v>
      </c>
      <c r="K323" s="54"/>
      <c r="L323" s="7"/>
      <c r="M323" s="312"/>
      <c r="N323" s="172">
        <f>IFERROR(__xludf.DUMMYFUNCTION("""COMPUTED_VALUE"""),2.0)</f>
        <v>2</v>
      </c>
      <c r="O323" s="172" t="str">
        <f t="shared" si="3"/>
        <v/>
      </c>
      <c r="P323" s="313">
        <f>IFERROR(__xludf.DUMMYFUNCTION("""COMPUTED_VALUE"""),0.0)</f>
        <v>0</v>
      </c>
      <c r="Q323" s="76" t="b">
        <f>VLOOKUP($B323,'Run Reconcile'!B$2:O1399,14,FALSE)</f>
        <v>1</v>
      </c>
      <c r="R323" s="314" t="str">
        <f t="array" ref="R323">IF($Q323, INDEX('Run Reconcile'!A$2:A1399,MATCH(B323,'Run Reconcile'!B$2:B1399,0),1),IFERROR(0/0,""))</f>
        <v>RUN-ABRM_2022-10-17_RFR-045</v>
      </c>
      <c r="S323" s="315" t="str">
        <f t="shared" ref="S323:T323" si="650">IF(COUNTIF(W$2:W1399, $A323) &gt; 0,TRUE,IFERROR(0/0,""))</f>
        <v/>
      </c>
      <c r="T323" s="315" t="str">
        <f t="shared" si="650"/>
        <v/>
      </c>
      <c r="U323" s="114" t="str">
        <f t="array" ref="U323">IF(ISBLANK($R323), INDEX('Run Reconcile'!A$2:A1399, MATCH($B323, 'Run Reconcile'!B$2:B1399, 0)+Z323, 1), IFERROR(0/0,""))
</f>
        <v/>
      </c>
      <c r="V323" s="316" t="str">
        <f t="shared" si="5"/>
        <v>RUN-ABRM_2022-10-17_RFR-045</v>
      </c>
      <c r="Y323" s="317" t="str">
        <f t="shared" si="6"/>
        <v/>
      </c>
      <c r="Z323" s="83" t="str">
        <f t="shared" si="7"/>
        <v/>
      </c>
      <c r="AA323" s="83" t="str">
        <f t="shared" si="8"/>
        <v/>
      </c>
      <c r="AB323" s="83" t="str">
        <f t="shared" si="9"/>
        <v/>
      </c>
      <c r="AC323" s="18" t="str">
        <f t="shared" ref="AC323:AD323" si="651">IF(_xlfn.ISFORMULA(S323),IFERROR(0/0,""),TRUE)</f>
        <v/>
      </c>
      <c r="AD323" s="18" t="str">
        <f t="shared" si="651"/>
        <v/>
      </c>
      <c r="AE323" s="43"/>
      <c r="AF323" s="58" t="s">
        <v>58</v>
      </c>
      <c r="AG323" s="55" t="str">
        <f t="shared" si="11"/>
        <v/>
      </c>
    </row>
    <row r="324">
      <c r="A324" s="7" t="str">
        <f>IFERROR(__xludf.DUMMYFUNCTION("""COMPUTED_VALUE"""),"AG1946")</f>
        <v>AG1946</v>
      </c>
      <c r="B324" s="308">
        <f>IFERROR(__xludf.DUMMYFUNCTION("""COMPUTED_VALUE"""),44851.0)</f>
        <v>44851</v>
      </c>
      <c r="C324" s="309">
        <f>IFERROR(__xludf.DUMMYFUNCTION("""COMPUTED_VALUE"""),0.29994212962962963)</f>
        <v>0.2999421296</v>
      </c>
      <c r="D324" s="7" t="str">
        <f>IFERROR(__xludf.DUMMYFUNCTION("""COMPUTED_VALUE"""),"SpABRM814022")</f>
        <v>SpABRM814022</v>
      </c>
      <c r="E324" s="310"/>
      <c r="F324" s="310"/>
      <c r="G324" s="310" t="str">
        <f>IFERROR(__xludf.DUMMYFUNCTION("""COMPUTED_VALUE"""),"Negative")</f>
        <v>Negative</v>
      </c>
      <c r="H324" s="319" t="str">
        <f>IFERROR(__xludf.DUMMYFUNCTION("""COMPUTED_VALUE"""),"Negative")</f>
        <v>Negative</v>
      </c>
      <c r="I324" s="308">
        <f>IFERROR(__xludf.DUMMYFUNCTION("""COMPUTED_VALUE"""),44851.0)</f>
        <v>44851</v>
      </c>
      <c r="J324" s="311">
        <f>IFERROR(__xludf.DUMMYFUNCTION("""COMPUTED_VALUE"""),0.38332175925925926)</f>
        <v>0.3833217593</v>
      </c>
      <c r="K324" s="54"/>
      <c r="L324" s="7"/>
      <c r="M324" s="312"/>
      <c r="N324" s="172">
        <f>IFERROR(__xludf.DUMMYFUNCTION("""COMPUTED_VALUE"""),2.0)</f>
        <v>2</v>
      </c>
      <c r="O324" s="172" t="str">
        <f t="shared" si="3"/>
        <v/>
      </c>
      <c r="P324" s="313">
        <f>IFERROR(__xludf.DUMMYFUNCTION("""COMPUTED_VALUE"""),0.0)</f>
        <v>0</v>
      </c>
      <c r="Q324" s="76" t="b">
        <f>VLOOKUP($B324,'Run Reconcile'!B$2:O1399,14,FALSE)</f>
        <v>1</v>
      </c>
      <c r="R324" s="314" t="str">
        <f t="array" ref="R324">IF($Q324, INDEX('Run Reconcile'!A$2:A1399,MATCH(B324,'Run Reconcile'!B$2:B1399,0),1),IFERROR(0/0,""))</f>
        <v>RUN-ABRM_2022-10-17_RFR-045</v>
      </c>
      <c r="S324" s="315" t="str">
        <f t="shared" ref="S324:T324" si="652">IF(COUNTIF(W$2:W1399, $A324) &gt; 0,TRUE,IFERROR(0/0,""))</f>
        <v/>
      </c>
      <c r="T324" s="315" t="str">
        <f t="shared" si="652"/>
        <v/>
      </c>
      <c r="U324" s="114" t="str">
        <f t="array" ref="U324">IF(ISBLANK($R324), INDEX('Run Reconcile'!A$2:A1399, MATCH($B324, 'Run Reconcile'!B$2:B1399, 0)+Z324, 1), IFERROR(0/0,""))
</f>
        <v/>
      </c>
      <c r="V324" s="316" t="str">
        <f t="shared" si="5"/>
        <v>RUN-ABRM_2022-10-17_RFR-045</v>
      </c>
      <c r="Y324" s="317" t="str">
        <f t="shared" si="6"/>
        <v/>
      </c>
      <c r="Z324" s="83" t="str">
        <f t="shared" si="7"/>
        <v/>
      </c>
      <c r="AA324" s="83" t="str">
        <f t="shared" si="8"/>
        <v/>
      </c>
      <c r="AB324" s="83" t="str">
        <f t="shared" si="9"/>
        <v/>
      </c>
      <c r="AC324" s="18" t="str">
        <f t="shared" ref="AC324:AD324" si="653">IF(_xlfn.ISFORMULA(S324),IFERROR(0/0,""),TRUE)</f>
        <v/>
      </c>
      <c r="AD324" s="18" t="str">
        <f t="shared" si="653"/>
        <v/>
      </c>
      <c r="AE324" s="43"/>
      <c r="AF324" s="58" t="s">
        <v>58</v>
      </c>
      <c r="AG324" s="55" t="str">
        <f t="shared" si="11"/>
        <v/>
      </c>
    </row>
    <row r="325">
      <c r="A325" s="7" t="str">
        <f>IFERROR(__xludf.DUMMYFUNCTION("""COMPUTED_VALUE"""),"AH9451")</f>
        <v>AH9451</v>
      </c>
      <c r="B325" s="308">
        <f>IFERROR(__xludf.DUMMYFUNCTION("""COMPUTED_VALUE"""),44851.0)</f>
        <v>44851</v>
      </c>
      <c r="C325" s="309">
        <f>IFERROR(__xludf.DUMMYFUNCTION("""COMPUTED_VALUE"""),0.30336805555555557)</f>
        <v>0.3033680556</v>
      </c>
      <c r="D325" s="7" t="str">
        <f>IFERROR(__xludf.DUMMYFUNCTION("""COMPUTED_VALUE"""),"SpABRM297307")</f>
        <v>SpABRM297307</v>
      </c>
      <c r="E325" s="310"/>
      <c r="F325" s="310"/>
      <c r="G325" s="310" t="str">
        <f>IFERROR(__xludf.DUMMYFUNCTION("""COMPUTED_VALUE"""),"Negative")</f>
        <v>Negative</v>
      </c>
      <c r="H325" s="319" t="str">
        <f>IFERROR(__xludf.DUMMYFUNCTION("""COMPUTED_VALUE"""),"Negative")</f>
        <v>Negative</v>
      </c>
      <c r="I325" s="308">
        <f>IFERROR(__xludf.DUMMYFUNCTION("""COMPUTED_VALUE"""),44851.0)</f>
        <v>44851</v>
      </c>
      <c r="J325" s="311">
        <f>IFERROR(__xludf.DUMMYFUNCTION("""COMPUTED_VALUE"""),0.38333333333333336)</f>
        <v>0.3833333333</v>
      </c>
      <c r="K325" s="54"/>
      <c r="L325" s="7"/>
      <c r="M325" s="312"/>
      <c r="N325" s="172">
        <f>IFERROR(__xludf.DUMMYFUNCTION("""COMPUTED_VALUE"""),4.0)</f>
        <v>4</v>
      </c>
      <c r="O325" s="172" t="str">
        <f t="shared" si="3"/>
        <v/>
      </c>
      <c r="P325" s="313">
        <f>IFERROR(__xludf.DUMMYFUNCTION("""COMPUTED_VALUE"""),0.0)</f>
        <v>0</v>
      </c>
      <c r="Q325" s="76" t="b">
        <f>VLOOKUP($B325,'Run Reconcile'!B$2:O1399,14,FALSE)</f>
        <v>1</v>
      </c>
      <c r="R325" s="314" t="str">
        <f t="array" ref="R325">IF($Q325, INDEX('Run Reconcile'!A$2:A1399,MATCH(B325,'Run Reconcile'!B$2:B1399,0),1),IFERROR(0/0,""))</f>
        <v>RUN-ABRM_2022-10-17_RFR-045</v>
      </c>
      <c r="S325" s="315" t="str">
        <f t="shared" ref="S325:T325" si="654">IF(COUNTIF(W$2:W1399, $A325) &gt; 0,TRUE,IFERROR(0/0,""))</f>
        <v/>
      </c>
      <c r="T325" s="315" t="str">
        <f t="shared" si="654"/>
        <v/>
      </c>
      <c r="U325" s="114" t="str">
        <f t="array" ref="U325">IF(ISBLANK($R325), INDEX('Run Reconcile'!A$2:A1399, MATCH($B325, 'Run Reconcile'!B$2:B1399, 0)+Z325, 1), IFERROR(0/0,""))
</f>
        <v/>
      </c>
      <c r="V325" s="316" t="str">
        <f t="shared" si="5"/>
        <v>RUN-ABRM_2022-10-17_RFR-045</v>
      </c>
      <c r="Y325" s="317" t="str">
        <f t="shared" si="6"/>
        <v/>
      </c>
      <c r="Z325" s="83" t="str">
        <f t="shared" si="7"/>
        <v/>
      </c>
      <c r="AA325" s="83" t="str">
        <f t="shared" si="8"/>
        <v/>
      </c>
      <c r="AB325" s="83" t="str">
        <f t="shared" si="9"/>
        <v/>
      </c>
      <c r="AC325" s="18" t="str">
        <f t="shared" ref="AC325:AD325" si="655">IF(_xlfn.ISFORMULA(S325),IFERROR(0/0,""),TRUE)</f>
        <v/>
      </c>
      <c r="AD325" s="18" t="str">
        <f t="shared" si="655"/>
        <v/>
      </c>
      <c r="AE325" s="43"/>
      <c r="AF325" s="58" t="s">
        <v>58</v>
      </c>
      <c r="AG325" s="55" t="str">
        <f t="shared" si="11"/>
        <v/>
      </c>
    </row>
    <row r="326">
      <c r="A326" s="7" t="str">
        <f>IFERROR(__xludf.DUMMYFUNCTION("""COMPUTED_VALUE"""),"AG2130")</f>
        <v>AG2130</v>
      </c>
      <c r="B326" s="308">
        <f>IFERROR(__xludf.DUMMYFUNCTION("""COMPUTED_VALUE"""),44851.0)</f>
        <v>44851</v>
      </c>
      <c r="C326" s="309">
        <f>IFERROR(__xludf.DUMMYFUNCTION("""COMPUTED_VALUE"""),0.31700231481481483)</f>
        <v>0.3170023148</v>
      </c>
      <c r="D326" s="7" t="str">
        <f>IFERROR(__xludf.DUMMYFUNCTION("""COMPUTED_VALUE"""),"SpABRM610758")</f>
        <v>SpABRM610758</v>
      </c>
      <c r="E326" s="310"/>
      <c r="F326" s="310"/>
      <c r="G326" s="310" t="str">
        <f>IFERROR(__xludf.DUMMYFUNCTION("""COMPUTED_VALUE"""),"Negative")</f>
        <v>Negative</v>
      </c>
      <c r="H326" s="319" t="str">
        <f>IFERROR(__xludf.DUMMYFUNCTION("""COMPUTED_VALUE"""),"Negative")</f>
        <v>Negative</v>
      </c>
      <c r="I326" s="308">
        <f>IFERROR(__xludf.DUMMYFUNCTION("""COMPUTED_VALUE"""),44851.0)</f>
        <v>44851</v>
      </c>
      <c r="J326" s="311">
        <f>IFERROR(__xludf.DUMMYFUNCTION("""COMPUTED_VALUE"""),0.3833449074074074)</f>
        <v>0.3833449074</v>
      </c>
      <c r="K326" s="54"/>
      <c r="L326" s="7"/>
      <c r="M326" s="312"/>
      <c r="N326" s="172">
        <f>IFERROR(__xludf.DUMMYFUNCTION("""COMPUTED_VALUE"""),2.0)</f>
        <v>2</v>
      </c>
      <c r="O326" s="172" t="str">
        <f t="shared" si="3"/>
        <v/>
      </c>
      <c r="P326" s="313">
        <f>IFERROR(__xludf.DUMMYFUNCTION("""COMPUTED_VALUE"""),0.0)</f>
        <v>0</v>
      </c>
      <c r="Q326" s="76" t="b">
        <f>VLOOKUP($B326,'Run Reconcile'!B$2:O1399,14,FALSE)</f>
        <v>1</v>
      </c>
      <c r="R326" s="314" t="str">
        <f t="array" ref="R326">IF($Q326, INDEX('Run Reconcile'!A$2:A1399,MATCH(B326,'Run Reconcile'!B$2:B1399,0),1),IFERROR(0/0,""))</f>
        <v>RUN-ABRM_2022-10-17_RFR-045</v>
      </c>
      <c r="S326" s="315" t="str">
        <f t="shared" ref="S326:T326" si="656">IF(COUNTIF(W$2:W1399, $A326) &gt; 0,TRUE,IFERROR(0/0,""))</f>
        <v/>
      </c>
      <c r="T326" s="315" t="str">
        <f t="shared" si="656"/>
        <v/>
      </c>
      <c r="U326" s="114" t="str">
        <f t="array" ref="U326">IF(ISBLANK($R326), INDEX('Run Reconcile'!A$2:A1399, MATCH($B326, 'Run Reconcile'!B$2:B1399, 0)+Z326, 1), IFERROR(0/0,""))
</f>
        <v/>
      </c>
      <c r="V326" s="316" t="str">
        <f t="shared" si="5"/>
        <v>RUN-ABRM_2022-10-17_RFR-045</v>
      </c>
      <c r="Y326" s="317" t="str">
        <f t="shared" si="6"/>
        <v/>
      </c>
      <c r="Z326" s="83" t="str">
        <f t="shared" si="7"/>
        <v/>
      </c>
      <c r="AA326" s="83" t="str">
        <f t="shared" si="8"/>
        <v/>
      </c>
      <c r="AB326" s="83" t="str">
        <f t="shared" si="9"/>
        <v/>
      </c>
      <c r="AC326" s="18" t="str">
        <f t="shared" ref="AC326:AD326" si="657">IF(_xlfn.ISFORMULA(S326),IFERROR(0/0,""),TRUE)</f>
        <v/>
      </c>
      <c r="AD326" s="18" t="str">
        <f t="shared" si="657"/>
        <v/>
      </c>
      <c r="AE326" s="43"/>
      <c r="AF326" s="58" t="s">
        <v>58</v>
      </c>
      <c r="AG326" s="55" t="str">
        <f t="shared" si="11"/>
        <v/>
      </c>
    </row>
    <row r="327">
      <c r="A327" s="7" t="str">
        <f>IFERROR(__xludf.DUMMYFUNCTION("""COMPUTED_VALUE"""),"AG170")</f>
        <v>AG170</v>
      </c>
      <c r="B327" s="308">
        <f>IFERROR(__xludf.DUMMYFUNCTION("""COMPUTED_VALUE"""),44851.0)</f>
        <v>44851</v>
      </c>
      <c r="C327" s="309">
        <f>IFERROR(__xludf.DUMMYFUNCTION("""COMPUTED_VALUE"""),0.3224768518518519)</f>
        <v>0.3224768519</v>
      </c>
      <c r="D327" s="7" t="str">
        <f>IFERROR(__xludf.DUMMYFUNCTION("""COMPUTED_VALUE"""),"SpABRM655136")</f>
        <v>SpABRM655136</v>
      </c>
      <c r="E327" s="310"/>
      <c r="F327" s="310"/>
      <c r="G327" s="310" t="str">
        <f>IFERROR(__xludf.DUMMYFUNCTION("""COMPUTED_VALUE"""),"Negative")</f>
        <v>Negative</v>
      </c>
      <c r="H327" s="319" t="str">
        <f>IFERROR(__xludf.DUMMYFUNCTION("""COMPUTED_VALUE"""),"Negative")</f>
        <v>Negative</v>
      </c>
      <c r="I327" s="308">
        <f>IFERROR(__xludf.DUMMYFUNCTION("""COMPUTED_VALUE"""),44851.0)</f>
        <v>44851</v>
      </c>
      <c r="J327" s="311">
        <f>IFERROR(__xludf.DUMMYFUNCTION("""COMPUTED_VALUE"""),0.3833449074074074)</f>
        <v>0.3833449074</v>
      </c>
      <c r="K327" s="54"/>
      <c r="L327" s="7"/>
      <c r="M327" s="312"/>
      <c r="N327" s="172">
        <f>IFERROR(__xludf.DUMMYFUNCTION("""COMPUTED_VALUE"""),2.0)</f>
        <v>2</v>
      </c>
      <c r="O327" s="172" t="str">
        <f t="shared" si="3"/>
        <v/>
      </c>
      <c r="P327" s="313">
        <f>IFERROR(__xludf.DUMMYFUNCTION("""COMPUTED_VALUE"""),0.0)</f>
        <v>0</v>
      </c>
      <c r="Q327" s="76" t="b">
        <f>VLOOKUP($B327,'Run Reconcile'!B$2:O1399,14,FALSE)</f>
        <v>1</v>
      </c>
      <c r="R327" s="314" t="str">
        <f t="array" ref="R327">IF($Q327, INDEX('Run Reconcile'!A$2:A1399,MATCH(B327,'Run Reconcile'!B$2:B1399,0),1),IFERROR(0/0,""))</f>
        <v>RUN-ABRM_2022-10-17_RFR-045</v>
      </c>
      <c r="S327" s="315" t="str">
        <f t="shared" ref="S327:T327" si="658">IF(COUNTIF(W$2:W1399, $A327) &gt; 0,TRUE,IFERROR(0/0,""))</f>
        <v/>
      </c>
      <c r="T327" s="315" t="str">
        <f t="shared" si="658"/>
        <v/>
      </c>
      <c r="U327" s="114" t="str">
        <f t="array" ref="U327">IF(ISBLANK($R327), INDEX('Run Reconcile'!A$2:A1399, MATCH($B327, 'Run Reconcile'!B$2:B1399, 0)+Z327, 1), IFERROR(0/0,""))
</f>
        <v/>
      </c>
      <c r="V327" s="316" t="str">
        <f t="shared" si="5"/>
        <v>RUN-ABRM_2022-10-17_RFR-045</v>
      </c>
      <c r="Y327" s="317" t="str">
        <f t="shared" si="6"/>
        <v/>
      </c>
      <c r="Z327" s="83" t="str">
        <f t="shared" si="7"/>
        <v/>
      </c>
      <c r="AA327" s="83" t="str">
        <f t="shared" si="8"/>
        <v/>
      </c>
      <c r="AB327" s="83" t="str">
        <f t="shared" si="9"/>
        <v/>
      </c>
      <c r="AC327" s="18" t="str">
        <f t="shared" ref="AC327:AD327" si="659">IF(_xlfn.ISFORMULA(S327),IFERROR(0/0,""),TRUE)</f>
        <v/>
      </c>
      <c r="AD327" s="18" t="str">
        <f t="shared" si="659"/>
        <v/>
      </c>
      <c r="AE327" s="43"/>
      <c r="AF327" s="58" t="s">
        <v>58</v>
      </c>
      <c r="AG327" s="55" t="str">
        <f t="shared" si="11"/>
        <v/>
      </c>
    </row>
    <row r="328">
      <c r="A328" s="7" t="str">
        <f>IFERROR(__xludf.DUMMYFUNCTION("""COMPUTED_VALUE"""),"AG851")</f>
        <v>AG851</v>
      </c>
      <c r="B328" s="308">
        <f>IFERROR(__xludf.DUMMYFUNCTION("""COMPUTED_VALUE"""),44851.0)</f>
        <v>44851</v>
      </c>
      <c r="C328" s="309">
        <f>IFERROR(__xludf.DUMMYFUNCTION("""COMPUTED_VALUE"""),0.32318287037037036)</f>
        <v>0.3231828704</v>
      </c>
      <c r="D328" s="7" t="str">
        <f>IFERROR(__xludf.DUMMYFUNCTION("""COMPUTED_VALUE"""),"SpABRM655136")</f>
        <v>SpABRM655136</v>
      </c>
      <c r="E328" s="310"/>
      <c r="F328" s="310"/>
      <c r="G328" s="310" t="str">
        <f>IFERROR(__xludf.DUMMYFUNCTION("""COMPUTED_VALUE"""),"Negative")</f>
        <v>Negative</v>
      </c>
      <c r="H328" s="319" t="str">
        <f>IFERROR(__xludf.DUMMYFUNCTION("""COMPUTED_VALUE"""),"Negative")</f>
        <v>Negative</v>
      </c>
      <c r="I328" s="308">
        <f>IFERROR(__xludf.DUMMYFUNCTION("""COMPUTED_VALUE"""),44851.0)</f>
        <v>44851</v>
      </c>
      <c r="J328" s="311">
        <f>IFERROR(__xludf.DUMMYFUNCTION("""COMPUTED_VALUE"""),0.3833449074074074)</f>
        <v>0.3833449074</v>
      </c>
      <c r="K328" s="54"/>
      <c r="L328" s="7"/>
      <c r="M328" s="312"/>
      <c r="N328" s="172">
        <f>IFERROR(__xludf.DUMMYFUNCTION("""COMPUTED_VALUE"""),3.0)</f>
        <v>3</v>
      </c>
      <c r="O328" s="172" t="str">
        <f t="shared" si="3"/>
        <v/>
      </c>
      <c r="P328" s="313">
        <f>IFERROR(__xludf.DUMMYFUNCTION("""COMPUTED_VALUE"""),0.0)</f>
        <v>0</v>
      </c>
      <c r="Q328" s="76" t="b">
        <f>VLOOKUP($B328,'Run Reconcile'!B$2:O1399,14,FALSE)</f>
        <v>1</v>
      </c>
      <c r="R328" s="314" t="str">
        <f t="array" ref="R328">IF($Q328, INDEX('Run Reconcile'!A$2:A1399,MATCH(B328,'Run Reconcile'!B$2:B1399,0),1),IFERROR(0/0,""))</f>
        <v>RUN-ABRM_2022-10-17_RFR-045</v>
      </c>
      <c r="S328" s="315" t="str">
        <f t="shared" ref="S328:T328" si="660">IF(COUNTIF(W$2:W1399, $A328) &gt; 0,TRUE,IFERROR(0/0,""))</f>
        <v/>
      </c>
      <c r="T328" s="315" t="str">
        <f t="shared" si="660"/>
        <v/>
      </c>
      <c r="U328" s="114" t="str">
        <f t="array" ref="U328">IF(ISBLANK($R328), INDEX('Run Reconcile'!A$2:A1399, MATCH($B328, 'Run Reconcile'!B$2:B1399, 0)+Z328, 1), IFERROR(0/0,""))
</f>
        <v/>
      </c>
      <c r="V328" s="316" t="str">
        <f t="shared" si="5"/>
        <v>RUN-ABRM_2022-10-17_RFR-045</v>
      </c>
      <c r="Y328" s="317" t="str">
        <f t="shared" si="6"/>
        <v/>
      </c>
      <c r="Z328" s="83" t="str">
        <f t="shared" si="7"/>
        <v/>
      </c>
      <c r="AA328" s="83" t="str">
        <f t="shared" si="8"/>
        <v/>
      </c>
      <c r="AB328" s="83" t="str">
        <f t="shared" si="9"/>
        <v/>
      </c>
      <c r="AC328" s="18" t="str">
        <f t="shared" ref="AC328:AD328" si="661">IF(_xlfn.ISFORMULA(S328),IFERROR(0/0,""),TRUE)</f>
        <v/>
      </c>
      <c r="AD328" s="18" t="str">
        <f t="shared" si="661"/>
        <v/>
      </c>
      <c r="AE328" s="43"/>
      <c r="AF328" s="58" t="s">
        <v>58</v>
      </c>
      <c r="AG328" s="55" t="str">
        <f t="shared" si="11"/>
        <v/>
      </c>
    </row>
    <row r="329">
      <c r="A329" s="7" t="str">
        <f>IFERROR(__xludf.DUMMYFUNCTION("""COMPUTED_VALUE"""),"AH1199")</f>
        <v>AH1199</v>
      </c>
      <c r="B329" s="308">
        <f>IFERROR(__xludf.DUMMYFUNCTION("""COMPUTED_VALUE"""),44851.0)</f>
        <v>44851</v>
      </c>
      <c r="C329" s="309">
        <f>IFERROR(__xludf.DUMMYFUNCTION("""COMPUTED_VALUE"""),0.3360300925925926)</f>
        <v>0.3360300926</v>
      </c>
      <c r="D329" s="7" t="str">
        <f>IFERROR(__xludf.DUMMYFUNCTION("""COMPUTED_VALUE"""),"SpABRM655136")</f>
        <v>SpABRM655136</v>
      </c>
      <c r="E329" s="310"/>
      <c r="F329" s="310"/>
      <c r="G329" s="310" t="str">
        <f>IFERROR(__xludf.DUMMYFUNCTION("""COMPUTED_VALUE"""),"Negative")</f>
        <v>Negative</v>
      </c>
      <c r="H329" s="319" t="str">
        <f>IFERROR(__xludf.DUMMYFUNCTION("""COMPUTED_VALUE"""),"Negative")</f>
        <v>Negative</v>
      </c>
      <c r="I329" s="308">
        <f>IFERROR(__xludf.DUMMYFUNCTION("""COMPUTED_VALUE"""),44851.0)</f>
        <v>44851</v>
      </c>
      <c r="J329" s="311">
        <f>IFERROR(__xludf.DUMMYFUNCTION("""COMPUTED_VALUE"""),0.3833564814814815)</f>
        <v>0.3833564815</v>
      </c>
      <c r="K329" s="54"/>
      <c r="L329" s="7"/>
      <c r="M329" s="312"/>
      <c r="N329" s="172">
        <f>IFERROR(__xludf.DUMMYFUNCTION("""COMPUTED_VALUE"""),1.0)</f>
        <v>1</v>
      </c>
      <c r="O329" s="172" t="str">
        <f t="shared" si="3"/>
        <v/>
      </c>
      <c r="P329" s="313">
        <f>IFERROR(__xludf.DUMMYFUNCTION("""COMPUTED_VALUE"""),0.0)</f>
        <v>0</v>
      </c>
      <c r="Q329" s="76" t="b">
        <f>VLOOKUP($B329,'Run Reconcile'!B$2:O1399,14,FALSE)</f>
        <v>1</v>
      </c>
      <c r="R329" s="314" t="str">
        <f t="array" ref="R329">IF($Q329, INDEX('Run Reconcile'!A$2:A1399,MATCH(B329,'Run Reconcile'!B$2:B1399,0),1),IFERROR(0/0,""))</f>
        <v>RUN-ABRM_2022-10-17_RFR-045</v>
      </c>
      <c r="S329" s="315" t="str">
        <f t="shared" ref="S329:T329" si="662">IF(COUNTIF(W$2:W1399, $A329) &gt; 0,TRUE,IFERROR(0/0,""))</f>
        <v/>
      </c>
      <c r="T329" s="315" t="str">
        <f t="shared" si="662"/>
        <v/>
      </c>
      <c r="U329" s="114" t="str">
        <f t="array" ref="U329">IF(ISBLANK($R329), INDEX('Run Reconcile'!A$2:A1399, MATCH($B329, 'Run Reconcile'!B$2:B1399, 0)+Z329, 1), IFERROR(0/0,""))
</f>
        <v/>
      </c>
      <c r="V329" s="316" t="str">
        <f t="shared" si="5"/>
        <v>RUN-ABRM_2022-10-17_RFR-045</v>
      </c>
      <c r="Y329" s="317" t="str">
        <f t="shared" si="6"/>
        <v/>
      </c>
      <c r="Z329" s="83" t="str">
        <f t="shared" si="7"/>
        <v/>
      </c>
      <c r="AA329" s="83" t="str">
        <f t="shared" si="8"/>
        <v/>
      </c>
      <c r="AB329" s="83" t="str">
        <f t="shared" si="9"/>
        <v/>
      </c>
      <c r="AC329" s="18" t="str">
        <f t="shared" ref="AC329:AD329" si="663">IF(_xlfn.ISFORMULA(S329),IFERROR(0/0,""),TRUE)</f>
        <v/>
      </c>
      <c r="AD329" s="18" t="str">
        <f t="shared" si="663"/>
        <v/>
      </c>
      <c r="AE329" s="43"/>
      <c r="AF329" s="58" t="s">
        <v>58</v>
      </c>
      <c r="AG329" s="55" t="str">
        <f t="shared" si="11"/>
        <v/>
      </c>
    </row>
    <row r="330">
      <c r="A330" s="7" t="str">
        <f>IFERROR(__xludf.DUMMYFUNCTION("""COMPUTED_VALUE"""),"AJ9673")</f>
        <v>AJ9673</v>
      </c>
      <c r="B330" s="308">
        <f>IFERROR(__xludf.DUMMYFUNCTION("""COMPUTED_VALUE"""),44851.0)</f>
        <v>44851</v>
      </c>
      <c r="C330" s="309">
        <f>IFERROR(__xludf.DUMMYFUNCTION("""COMPUTED_VALUE"""),0.33631944444444445)</f>
        <v>0.3363194444</v>
      </c>
      <c r="D330" s="7" t="str">
        <f>IFERROR(__xludf.DUMMYFUNCTION("""COMPUTED_VALUE"""),"SpABRM655136")</f>
        <v>SpABRM655136</v>
      </c>
      <c r="E330" s="310"/>
      <c r="F330" s="310"/>
      <c r="G330" s="310" t="str">
        <f>IFERROR(__xludf.DUMMYFUNCTION("""COMPUTED_VALUE"""),"Negative")</f>
        <v>Negative</v>
      </c>
      <c r="H330" s="319" t="str">
        <f>IFERROR(__xludf.DUMMYFUNCTION("""COMPUTED_VALUE"""),"Negative")</f>
        <v>Negative</v>
      </c>
      <c r="I330" s="308">
        <f>IFERROR(__xludf.DUMMYFUNCTION("""COMPUTED_VALUE"""),44851.0)</f>
        <v>44851</v>
      </c>
      <c r="J330" s="311">
        <f>IFERROR(__xludf.DUMMYFUNCTION("""COMPUTED_VALUE"""),0.3833564814814815)</f>
        <v>0.3833564815</v>
      </c>
      <c r="K330" s="54"/>
      <c r="L330" s="7"/>
      <c r="M330" s="312"/>
      <c r="N330" s="172">
        <f>IFERROR(__xludf.DUMMYFUNCTION("""COMPUTED_VALUE"""),2.0)</f>
        <v>2</v>
      </c>
      <c r="O330" s="172" t="str">
        <f t="shared" si="3"/>
        <v/>
      </c>
      <c r="P330" s="313">
        <f>IFERROR(__xludf.DUMMYFUNCTION("""COMPUTED_VALUE"""),0.0)</f>
        <v>0</v>
      </c>
      <c r="Q330" s="76" t="b">
        <f>VLOOKUP($B330,'Run Reconcile'!B$2:O1399,14,FALSE)</f>
        <v>1</v>
      </c>
      <c r="R330" s="314" t="str">
        <f t="array" ref="R330">IF($Q330, INDEX('Run Reconcile'!A$2:A1399,MATCH(B330,'Run Reconcile'!B$2:B1399,0),1),IFERROR(0/0,""))</f>
        <v>RUN-ABRM_2022-10-17_RFR-045</v>
      </c>
      <c r="S330" s="315" t="str">
        <f t="shared" ref="S330:T330" si="664">IF(COUNTIF(W$2:W1399, $A330) &gt; 0,TRUE,IFERROR(0/0,""))</f>
        <v/>
      </c>
      <c r="T330" s="315" t="str">
        <f t="shared" si="664"/>
        <v/>
      </c>
      <c r="U330" s="114" t="str">
        <f t="array" ref="U330">IF(ISBLANK($R330), INDEX('Run Reconcile'!A$2:A1399, MATCH($B330, 'Run Reconcile'!B$2:B1399, 0)+Z330, 1), IFERROR(0/0,""))
</f>
        <v/>
      </c>
      <c r="V330" s="316" t="str">
        <f t="shared" si="5"/>
        <v>RUN-ABRM_2022-10-17_RFR-045</v>
      </c>
      <c r="Y330" s="317" t="str">
        <f t="shared" si="6"/>
        <v/>
      </c>
      <c r="Z330" s="83" t="str">
        <f t="shared" si="7"/>
        <v/>
      </c>
      <c r="AA330" s="83" t="str">
        <f t="shared" si="8"/>
        <v/>
      </c>
      <c r="AB330" s="83" t="str">
        <f t="shared" si="9"/>
        <v/>
      </c>
      <c r="AC330" s="18" t="str">
        <f t="shared" ref="AC330:AD330" si="665">IF(_xlfn.ISFORMULA(S330),IFERROR(0/0,""),TRUE)</f>
        <v/>
      </c>
      <c r="AD330" s="18" t="str">
        <f t="shared" si="665"/>
        <v/>
      </c>
      <c r="AE330" s="43"/>
      <c r="AF330" s="58" t="s">
        <v>58</v>
      </c>
      <c r="AG330" s="55" t="str">
        <f t="shared" si="11"/>
        <v/>
      </c>
    </row>
    <row r="331">
      <c r="A331" s="7" t="str">
        <f>IFERROR(__xludf.DUMMYFUNCTION("""COMPUTED_VALUE"""),"AG174")</f>
        <v>AG174</v>
      </c>
      <c r="B331" s="308">
        <f>IFERROR(__xludf.DUMMYFUNCTION("""COMPUTED_VALUE"""),44852.0)</f>
        <v>44852</v>
      </c>
      <c r="C331" s="309">
        <f>IFERROR(__xludf.DUMMYFUNCTION("""COMPUTED_VALUE"""),0.2600925925925926)</f>
        <v>0.2600925926</v>
      </c>
      <c r="D331" s="7" t="str">
        <f>IFERROR(__xludf.DUMMYFUNCTION("""COMPUTED_VALUE"""),"SpABRM516158")</f>
        <v>SpABRM516158</v>
      </c>
      <c r="E331" s="310"/>
      <c r="F331" s="310"/>
      <c r="G331" s="310" t="str">
        <f>IFERROR(__xludf.DUMMYFUNCTION("""COMPUTED_VALUE"""),"Negative")</f>
        <v>Negative</v>
      </c>
      <c r="H331" s="319" t="str">
        <f>IFERROR(__xludf.DUMMYFUNCTION("""COMPUTED_VALUE"""),"Negative")</f>
        <v>Negative</v>
      </c>
      <c r="I331" s="308">
        <f>IFERROR(__xludf.DUMMYFUNCTION("""COMPUTED_VALUE"""),44852.0)</f>
        <v>44852</v>
      </c>
      <c r="J331" s="311">
        <f>IFERROR(__xludf.DUMMYFUNCTION("""COMPUTED_VALUE"""),0.3958217592592593)</f>
        <v>0.3958217593</v>
      </c>
      <c r="K331" s="54"/>
      <c r="L331" s="7"/>
      <c r="M331" s="312"/>
      <c r="N331" s="172">
        <f>IFERROR(__xludf.DUMMYFUNCTION("""COMPUTED_VALUE"""),1.0)</f>
        <v>1</v>
      </c>
      <c r="O331" s="172" t="b">
        <f t="shared" si="3"/>
        <v>1</v>
      </c>
      <c r="P331" s="313">
        <f>IFERROR(__xludf.DUMMYFUNCTION("""COMPUTED_VALUE"""),0.0)</f>
        <v>0</v>
      </c>
      <c r="Q331" s="76" t="b">
        <f>VLOOKUP($B331,'Run Reconcile'!B$2:O1399,14,FALSE)</f>
        <v>1</v>
      </c>
      <c r="R331" s="314" t="str">
        <f t="array" ref="R331">IF($Q331, INDEX('Run Reconcile'!A$2:A1399,MATCH(B331,'Run Reconcile'!B$2:B1399,0),1),IFERROR(0/0,""))</f>
        <v>RUN-ABRM_2022-10-18_RFR-046</v>
      </c>
      <c r="S331" s="315" t="str">
        <f t="shared" ref="S331:T331" si="666">IF(COUNTIF(W$2:W1399, $A331) &gt; 0,TRUE,IFERROR(0/0,""))</f>
        <v/>
      </c>
      <c r="T331" s="315" t="str">
        <f t="shared" si="666"/>
        <v/>
      </c>
      <c r="U331" s="114" t="str">
        <f t="array" ref="U331">IF(ISBLANK($R331), INDEX('Run Reconcile'!A$2:A1399, MATCH($B331, 'Run Reconcile'!B$2:B1399, 0)+Z331, 1), IFERROR(0/0,""))
</f>
        <v/>
      </c>
      <c r="V331" s="316" t="str">
        <f t="shared" si="5"/>
        <v>RUN-ABRM_2022-10-18_RFR-046</v>
      </c>
      <c r="Y331" s="317" t="str">
        <f t="shared" si="6"/>
        <v/>
      </c>
      <c r="Z331" s="83" t="str">
        <f t="shared" si="7"/>
        <v/>
      </c>
      <c r="AA331" s="83" t="str">
        <f t="shared" si="8"/>
        <v/>
      </c>
      <c r="AB331" s="83" t="str">
        <f t="shared" si="9"/>
        <v/>
      </c>
      <c r="AC331" s="18" t="str">
        <f t="shared" ref="AC331:AD331" si="667">IF(_xlfn.ISFORMULA(S331),IFERROR(0/0,""),TRUE)</f>
        <v/>
      </c>
      <c r="AD331" s="18" t="str">
        <f t="shared" si="667"/>
        <v/>
      </c>
      <c r="AE331" s="43"/>
      <c r="AF331" s="58" t="s">
        <v>59</v>
      </c>
      <c r="AG331" s="55" t="str">
        <f t="shared" si="11"/>
        <v/>
      </c>
    </row>
    <row r="332">
      <c r="A332" s="7" t="str">
        <f>IFERROR(__xludf.DUMMYFUNCTION("""COMPUTED_VALUE"""),"AG1438")</f>
        <v>AG1438</v>
      </c>
      <c r="B332" s="308">
        <f>IFERROR(__xludf.DUMMYFUNCTION("""COMPUTED_VALUE"""),44852.0)</f>
        <v>44852</v>
      </c>
      <c r="C332" s="309">
        <f>IFERROR(__xludf.DUMMYFUNCTION("""COMPUTED_VALUE"""),0.29704861111111114)</f>
        <v>0.2970486111</v>
      </c>
      <c r="D332" s="7" t="str">
        <f>IFERROR(__xludf.DUMMYFUNCTION("""COMPUTED_VALUE"""),"SpABRM297307")</f>
        <v>SpABRM297307</v>
      </c>
      <c r="E332" s="310"/>
      <c r="F332" s="310"/>
      <c r="G332" s="310" t="str">
        <f>IFERROR(__xludf.DUMMYFUNCTION("""COMPUTED_VALUE"""),"Negative")</f>
        <v>Negative</v>
      </c>
      <c r="H332" s="319" t="str">
        <f>IFERROR(__xludf.DUMMYFUNCTION("""COMPUTED_VALUE"""),"Negative")</f>
        <v>Negative</v>
      </c>
      <c r="I332" s="308">
        <f>IFERROR(__xludf.DUMMYFUNCTION("""COMPUTED_VALUE"""),44852.0)</f>
        <v>44852</v>
      </c>
      <c r="J332" s="311">
        <f>IFERROR(__xludf.DUMMYFUNCTION("""COMPUTED_VALUE"""),0.40695601851851854)</f>
        <v>0.4069560185</v>
      </c>
      <c r="K332" s="54"/>
      <c r="L332" s="7"/>
      <c r="M332" s="312"/>
      <c r="N332" s="172">
        <f>IFERROR(__xludf.DUMMYFUNCTION("""COMPUTED_VALUE"""),3.0)</f>
        <v>3</v>
      </c>
      <c r="O332" s="172" t="str">
        <f t="shared" si="3"/>
        <v/>
      </c>
      <c r="P332" s="313">
        <f>IFERROR(__xludf.DUMMYFUNCTION("""COMPUTED_VALUE"""),0.0)</f>
        <v>0</v>
      </c>
      <c r="Q332" s="76" t="b">
        <f>VLOOKUP($B332,'Run Reconcile'!B$2:O1399,14,FALSE)</f>
        <v>1</v>
      </c>
      <c r="R332" s="314" t="str">
        <f t="array" ref="R332">IF($Q332, INDEX('Run Reconcile'!A$2:A1399,MATCH(B332,'Run Reconcile'!B$2:B1399,0),1),IFERROR(0/0,""))</f>
        <v>RUN-ABRM_2022-10-18_RFR-046</v>
      </c>
      <c r="S332" s="315" t="str">
        <f t="shared" ref="S332:T332" si="668">IF(COUNTIF(W$2:W1399, $A332) &gt; 0,TRUE,IFERROR(0/0,""))</f>
        <v/>
      </c>
      <c r="T332" s="315" t="str">
        <f t="shared" si="668"/>
        <v/>
      </c>
      <c r="U332" s="114" t="str">
        <f t="array" ref="U332">IF(ISBLANK($R332), INDEX('Run Reconcile'!A$2:A1399, MATCH($B332, 'Run Reconcile'!B$2:B1399, 0)+Z332, 1), IFERROR(0/0,""))
</f>
        <v/>
      </c>
      <c r="V332" s="316" t="str">
        <f t="shared" si="5"/>
        <v>RUN-ABRM_2022-10-18_RFR-046</v>
      </c>
      <c r="Y332" s="317" t="str">
        <f t="shared" si="6"/>
        <v/>
      </c>
      <c r="Z332" s="83" t="str">
        <f t="shared" si="7"/>
        <v/>
      </c>
      <c r="AA332" s="83" t="str">
        <f t="shared" si="8"/>
        <v/>
      </c>
      <c r="AB332" s="83" t="str">
        <f t="shared" si="9"/>
        <v/>
      </c>
      <c r="AC332" s="18" t="str">
        <f t="shared" ref="AC332:AD332" si="669">IF(_xlfn.ISFORMULA(S332),IFERROR(0/0,""),TRUE)</f>
        <v/>
      </c>
      <c r="AD332" s="18" t="str">
        <f t="shared" si="669"/>
        <v/>
      </c>
      <c r="AE332" s="43"/>
      <c r="AF332" s="58" t="s">
        <v>59</v>
      </c>
      <c r="AG332" s="55" t="str">
        <f t="shared" si="11"/>
        <v/>
      </c>
    </row>
    <row r="333">
      <c r="A333" s="7" t="str">
        <f>IFERROR(__xludf.DUMMYFUNCTION("""COMPUTED_VALUE"""),"AH7821")</f>
        <v>AH7821</v>
      </c>
      <c r="B333" s="308">
        <f>IFERROR(__xludf.DUMMYFUNCTION("""COMPUTED_VALUE"""),44852.0)</f>
        <v>44852</v>
      </c>
      <c r="C333" s="309">
        <f>IFERROR(__xludf.DUMMYFUNCTION("""COMPUTED_VALUE"""),0.2974537037037037)</f>
        <v>0.2974537037</v>
      </c>
      <c r="D333" s="7" t="str">
        <f>IFERROR(__xludf.DUMMYFUNCTION("""COMPUTED_VALUE"""),"SpABRM814022")</f>
        <v>SpABRM814022</v>
      </c>
      <c r="E333" s="310"/>
      <c r="F333" s="310"/>
      <c r="G333" s="310" t="str">
        <f>IFERROR(__xludf.DUMMYFUNCTION("""COMPUTED_VALUE"""),"Negative")</f>
        <v>Negative</v>
      </c>
      <c r="H333" s="319" t="str">
        <f>IFERROR(__xludf.DUMMYFUNCTION("""COMPUTED_VALUE"""),"Negative")</f>
        <v>Negative</v>
      </c>
      <c r="I333" s="308">
        <f>IFERROR(__xludf.DUMMYFUNCTION("""COMPUTED_VALUE"""),44852.0)</f>
        <v>44852</v>
      </c>
      <c r="J333" s="311">
        <f>IFERROR(__xludf.DUMMYFUNCTION("""COMPUTED_VALUE"""),0.3958217592592593)</f>
        <v>0.3958217593</v>
      </c>
      <c r="K333" s="54"/>
      <c r="L333" s="7"/>
      <c r="M333" s="312"/>
      <c r="N333" s="172">
        <f>IFERROR(__xludf.DUMMYFUNCTION("""COMPUTED_VALUE"""),2.0)</f>
        <v>2</v>
      </c>
      <c r="O333" s="172" t="str">
        <f t="shared" si="3"/>
        <v/>
      </c>
      <c r="P333" s="313">
        <f>IFERROR(__xludf.DUMMYFUNCTION("""COMPUTED_VALUE"""),0.0)</f>
        <v>0</v>
      </c>
      <c r="Q333" s="76" t="b">
        <f>VLOOKUP($B333,'Run Reconcile'!B$2:O1399,14,FALSE)</f>
        <v>1</v>
      </c>
      <c r="R333" s="314" t="str">
        <f t="array" ref="R333">IF($Q333, INDEX('Run Reconcile'!A$2:A1399,MATCH(B333,'Run Reconcile'!B$2:B1399,0),1),IFERROR(0/0,""))</f>
        <v>RUN-ABRM_2022-10-18_RFR-046</v>
      </c>
      <c r="S333" s="315" t="str">
        <f t="shared" ref="S333:T333" si="670">IF(COUNTIF(W$2:W1399, $A333) &gt; 0,TRUE,IFERROR(0/0,""))</f>
        <v/>
      </c>
      <c r="T333" s="315" t="str">
        <f t="shared" si="670"/>
        <v/>
      </c>
      <c r="U333" s="114" t="str">
        <f t="array" ref="U333">IF(ISBLANK($R333), INDEX('Run Reconcile'!A$2:A1399, MATCH($B333, 'Run Reconcile'!B$2:B1399, 0)+Z333, 1), IFERROR(0/0,""))
</f>
        <v/>
      </c>
      <c r="V333" s="316" t="str">
        <f t="shared" si="5"/>
        <v>RUN-ABRM_2022-10-18_RFR-046</v>
      </c>
      <c r="Y333" s="317" t="str">
        <f t="shared" si="6"/>
        <v/>
      </c>
      <c r="Z333" s="83" t="str">
        <f t="shared" si="7"/>
        <v/>
      </c>
      <c r="AA333" s="83" t="str">
        <f t="shared" si="8"/>
        <v/>
      </c>
      <c r="AB333" s="83" t="str">
        <f t="shared" si="9"/>
        <v/>
      </c>
      <c r="AC333" s="18" t="str">
        <f t="shared" ref="AC333:AD333" si="671">IF(_xlfn.ISFORMULA(S333),IFERROR(0/0,""),TRUE)</f>
        <v/>
      </c>
      <c r="AD333" s="18" t="str">
        <f t="shared" si="671"/>
        <v/>
      </c>
      <c r="AE333" s="43"/>
      <c r="AF333" s="58" t="s">
        <v>59</v>
      </c>
      <c r="AG333" s="55" t="str">
        <f t="shared" si="11"/>
        <v/>
      </c>
    </row>
    <row r="334">
      <c r="A334" s="7" t="str">
        <f>IFERROR(__xludf.DUMMYFUNCTION("""COMPUTED_VALUE"""),"AG362")</f>
        <v>AG362</v>
      </c>
      <c r="B334" s="308">
        <f>IFERROR(__xludf.DUMMYFUNCTION("""COMPUTED_VALUE"""),44852.0)</f>
        <v>44852</v>
      </c>
      <c r="C334" s="309">
        <f>IFERROR(__xludf.DUMMYFUNCTION("""COMPUTED_VALUE"""),0.2988078703703704)</f>
        <v>0.2988078704</v>
      </c>
      <c r="D334" s="7" t="str">
        <f>IFERROR(__xludf.DUMMYFUNCTION("""COMPUTED_VALUE"""),"SpABRM367540")</f>
        <v>SpABRM367540</v>
      </c>
      <c r="E334" s="310"/>
      <c r="F334" s="310"/>
      <c r="G334" s="310" t="str">
        <f>IFERROR(__xludf.DUMMYFUNCTION("""COMPUTED_VALUE"""),"Negative")</f>
        <v>Negative</v>
      </c>
      <c r="H334" s="319" t="str">
        <f>IFERROR(__xludf.DUMMYFUNCTION("""COMPUTED_VALUE"""),"Negative")</f>
        <v>Negative</v>
      </c>
      <c r="I334" s="308">
        <f>IFERROR(__xludf.DUMMYFUNCTION("""COMPUTED_VALUE"""),44852.0)</f>
        <v>44852</v>
      </c>
      <c r="J334" s="311">
        <f>IFERROR(__xludf.DUMMYFUNCTION("""COMPUTED_VALUE"""),0.3958217592592593)</f>
        <v>0.3958217593</v>
      </c>
      <c r="K334" s="54"/>
      <c r="L334" s="7"/>
      <c r="M334" s="312"/>
      <c r="N334" s="172">
        <f>IFERROR(__xludf.DUMMYFUNCTION("""COMPUTED_VALUE"""),3.0)</f>
        <v>3</v>
      </c>
      <c r="O334" s="172" t="str">
        <f t="shared" si="3"/>
        <v/>
      </c>
      <c r="P334" s="313">
        <f>IFERROR(__xludf.DUMMYFUNCTION("""COMPUTED_VALUE"""),0.0)</f>
        <v>0</v>
      </c>
      <c r="Q334" s="76" t="b">
        <f>VLOOKUP($B334,'Run Reconcile'!B$2:O1399,14,FALSE)</f>
        <v>1</v>
      </c>
      <c r="R334" s="314" t="str">
        <f t="array" ref="R334">IF($Q334, INDEX('Run Reconcile'!A$2:A1399,MATCH(B334,'Run Reconcile'!B$2:B1399,0),1),IFERROR(0/0,""))</f>
        <v>RUN-ABRM_2022-10-18_RFR-046</v>
      </c>
      <c r="S334" s="315" t="str">
        <f t="shared" ref="S334:T334" si="672">IF(COUNTIF(W$2:W1399, $A334) &gt; 0,TRUE,IFERROR(0/0,""))</f>
        <v/>
      </c>
      <c r="T334" s="315" t="str">
        <f t="shared" si="672"/>
        <v/>
      </c>
      <c r="U334" s="114" t="str">
        <f t="array" ref="U334">IF(ISBLANK($R334), INDEX('Run Reconcile'!A$2:A1399, MATCH($B334, 'Run Reconcile'!B$2:B1399, 0)+Z334, 1), IFERROR(0/0,""))
</f>
        <v/>
      </c>
      <c r="V334" s="316" t="str">
        <f t="shared" si="5"/>
        <v>RUN-ABRM_2022-10-18_RFR-046</v>
      </c>
      <c r="Y334" s="317" t="str">
        <f t="shared" si="6"/>
        <v/>
      </c>
      <c r="Z334" s="83" t="str">
        <f t="shared" si="7"/>
        <v/>
      </c>
      <c r="AA334" s="83" t="str">
        <f t="shared" si="8"/>
        <v/>
      </c>
      <c r="AB334" s="83" t="str">
        <f t="shared" si="9"/>
        <v/>
      </c>
      <c r="AC334" s="18" t="str">
        <f t="shared" ref="AC334:AD334" si="673">IF(_xlfn.ISFORMULA(S334),IFERROR(0/0,""),TRUE)</f>
        <v/>
      </c>
      <c r="AD334" s="18" t="str">
        <f t="shared" si="673"/>
        <v/>
      </c>
      <c r="AE334" s="43"/>
      <c r="AF334" s="58" t="s">
        <v>59</v>
      </c>
      <c r="AG334" s="55" t="str">
        <f t="shared" si="11"/>
        <v/>
      </c>
    </row>
    <row r="335">
      <c r="A335" s="7" t="str">
        <f>IFERROR(__xludf.DUMMYFUNCTION("""COMPUTED_VALUE"""),"AH9520")</f>
        <v>AH9520</v>
      </c>
      <c r="B335" s="308">
        <f>IFERROR(__xludf.DUMMYFUNCTION("""COMPUTED_VALUE"""),44852.0)</f>
        <v>44852</v>
      </c>
      <c r="C335" s="309">
        <f>IFERROR(__xludf.DUMMYFUNCTION("""COMPUTED_VALUE"""),0.30605324074074075)</f>
        <v>0.3060532407</v>
      </c>
      <c r="D335" s="7" t="str">
        <f>IFERROR(__xludf.DUMMYFUNCTION("""COMPUTED_VALUE"""),"SpABRM128250")</f>
        <v>SpABRM128250</v>
      </c>
      <c r="E335" s="310"/>
      <c r="F335" s="310"/>
      <c r="G335" s="310" t="str">
        <f>IFERROR(__xludf.DUMMYFUNCTION("""COMPUTED_VALUE"""),"Negative")</f>
        <v>Negative</v>
      </c>
      <c r="H335" s="319" t="str">
        <f>IFERROR(__xludf.DUMMYFUNCTION("""COMPUTED_VALUE"""),"Negative")</f>
        <v>Negative</v>
      </c>
      <c r="I335" s="308">
        <f>IFERROR(__xludf.DUMMYFUNCTION("""COMPUTED_VALUE"""),44852.0)</f>
        <v>44852</v>
      </c>
      <c r="J335" s="311">
        <f>IFERROR(__xludf.DUMMYFUNCTION("""COMPUTED_VALUE"""),0.3958333333333333)</f>
        <v>0.3958333333</v>
      </c>
      <c r="K335" s="54"/>
      <c r="L335" s="7"/>
      <c r="M335" s="312"/>
      <c r="N335" s="172">
        <f>IFERROR(__xludf.DUMMYFUNCTION("""COMPUTED_VALUE"""),3.0)</f>
        <v>3</v>
      </c>
      <c r="O335" s="172" t="str">
        <f t="shared" si="3"/>
        <v/>
      </c>
      <c r="P335" s="313">
        <f>IFERROR(__xludf.DUMMYFUNCTION("""COMPUTED_VALUE"""),0.0)</f>
        <v>0</v>
      </c>
      <c r="Q335" s="76" t="b">
        <f>VLOOKUP($B335,'Run Reconcile'!B$2:O1399,14,FALSE)</f>
        <v>1</v>
      </c>
      <c r="R335" s="314" t="str">
        <f t="array" ref="R335">IF($Q335, INDEX('Run Reconcile'!A$2:A1399,MATCH(B335,'Run Reconcile'!B$2:B1399,0),1),IFERROR(0/0,""))</f>
        <v>RUN-ABRM_2022-10-18_RFR-046</v>
      </c>
      <c r="S335" s="315" t="str">
        <f t="shared" ref="S335:T335" si="674">IF(COUNTIF(W$2:W1399, $A335) &gt; 0,TRUE,IFERROR(0/0,""))</f>
        <v/>
      </c>
      <c r="T335" s="315" t="str">
        <f t="shared" si="674"/>
        <v/>
      </c>
      <c r="U335" s="114" t="str">
        <f t="array" ref="U335">IF(ISBLANK($R335), INDEX('Run Reconcile'!A$2:A1399, MATCH($B335, 'Run Reconcile'!B$2:B1399, 0)+Z335, 1), IFERROR(0/0,""))
</f>
        <v/>
      </c>
      <c r="V335" s="316" t="str">
        <f t="shared" si="5"/>
        <v>RUN-ABRM_2022-10-18_RFR-046</v>
      </c>
      <c r="Y335" s="317" t="str">
        <f t="shared" si="6"/>
        <v/>
      </c>
      <c r="Z335" s="83" t="str">
        <f t="shared" si="7"/>
        <v/>
      </c>
      <c r="AA335" s="83" t="str">
        <f t="shared" si="8"/>
        <v/>
      </c>
      <c r="AB335" s="83" t="str">
        <f t="shared" si="9"/>
        <v/>
      </c>
      <c r="AC335" s="18" t="str">
        <f t="shared" ref="AC335:AD335" si="675">IF(_xlfn.ISFORMULA(S335),IFERROR(0/0,""),TRUE)</f>
        <v/>
      </c>
      <c r="AD335" s="18" t="str">
        <f t="shared" si="675"/>
        <v/>
      </c>
      <c r="AE335" s="43"/>
      <c r="AF335" s="58" t="s">
        <v>59</v>
      </c>
      <c r="AG335" s="55" t="str">
        <f t="shared" si="11"/>
        <v/>
      </c>
    </row>
    <row r="336">
      <c r="A336" s="7" t="str">
        <f>IFERROR(__xludf.DUMMYFUNCTION("""COMPUTED_VALUE"""),"AJ8236")</f>
        <v>AJ8236</v>
      </c>
      <c r="B336" s="308">
        <f>IFERROR(__xludf.DUMMYFUNCTION("""COMPUTED_VALUE"""),44852.0)</f>
        <v>44852</v>
      </c>
      <c r="C336" s="309">
        <f>IFERROR(__xludf.DUMMYFUNCTION("""COMPUTED_VALUE"""),0.32363425925925926)</f>
        <v>0.3236342593</v>
      </c>
      <c r="D336" s="7" t="str">
        <f>IFERROR(__xludf.DUMMYFUNCTION("""COMPUTED_VALUE"""),"SpABRM188986")</f>
        <v>SpABRM188986</v>
      </c>
      <c r="E336" s="310"/>
      <c r="F336" s="310"/>
      <c r="G336" s="310" t="str">
        <f>IFERROR(__xludf.DUMMYFUNCTION("""COMPUTED_VALUE"""),"Negative")</f>
        <v>Negative</v>
      </c>
      <c r="H336" s="319" t="str">
        <f>IFERROR(__xludf.DUMMYFUNCTION("""COMPUTED_VALUE"""),"Negative")</f>
        <v>Negative</v>
      </c>
      <c r="I336" s="308">
        <f>IFERROR(__xludf.DUMMYFUNCTION("""COMPUTED_VALUE"""),44852.0)</f>
        <v>44852</v>
      </c>
      <c r="J336" s="311">
        <f>IFERROR(__xludf.DUMMYFUNCTION("""COMPUTED_VALUE"""),0.3958333333333333)</f>
        <v>0.3958333333</v>
      </c>
      <c r="K336" s="54"/>
      <c r="L336" s="7"/>
      <c r="M336" s="312"/>
      <c r="N336" s="172">
        <f>IFERROR(__xludf.DUMMYFUNCTION("""COMPUTED_VALUE"""),2.0)</f>
        <v>2</v>
      </c>
      <c r="O336" s="172" t="str">
        <f t="shared" si="3"/>
        <v/>
      </c>
      <c r="P336" s="313">
        <f>IFERROR(__xludf.DUMMYFUNCTION("""COMPUTED_VALUE"""),0.0)</f>
        <v>0</v>
      </c>
      <c r="Q336" s="76" t="b">
        <f>VLOOKUP($B336,'Run Reconcile'!B$2:O1399,14,FALSE)</f>
        <v>1</v>
      </c>
      <c r="R336" s="314" t="str">
        <f t="array" ref="R336">IF($Q336, INDEX('Run Reconcile'!A$2:A1399,MATCH(B336,'Run Reconcile'!B$2:B1399,0),1),IFERROR(0/0,""))</f>
        <v>RUN-ABRM_2022-10-18_RFR-046</v>
      </c>
      <c r="S336" s="315" t="str">
        <f t="shared" ref="S336:T336" si="676">IF(COUNTIF(W$2:W1399, $A336) &gt; 0,TRUE,IFERROR(0/0,""))</f>
        <v/>
      </c>
      <c r="T336" s="315" t="str">
        <f t="shared" si="676"/>
        <v/>
      </c>
      <c r="U336" s="114" t="str">
        <f t="array" ref="U336">IF(ISBLANK($R336), INDEX('Run Reconcile'!A$2:A1399, MATCH($B336, 'Run Reconcile'!B$2:B1399, 0)+Z336, 1), IFERROR(0/0,""))
</f>
        <v/>
      </c>
      <c r="V336" s="316" t="str">
        <f t="shared" si="5"/>
        <v>RUN-ABRM_2022-10-18_RFR-046</v>
      </c>
      <c r="Y336" s="317" t="str">
        <f t="shared" si="6"/>
        <v/>
      </c>
      <c r="Z336" s="83" t="str">
        <f t="shared" si="7"/>
        <v/>
      </c>
      <c r="AA336" s="83" t="str">
        <f t="shared" si="8"/>
        <v/>
      </c>
      <c r="AB336" s="83" t="str">
        <f t="shared" si="9"/>
        <v/>
      </c>
      <c r="AC336" s="18" t="str">
        <f t="shared" ref="AC336:AD336" si="677">IF(_xlfn.ISFORMULA(S336),IFERROR(0/0,""),TRUE)</f>
        <v/>
      </c>
      <c r="AD336" s="18" t="str">
        <f t="shared" si="677"/>
        <v/>
      </c>
      <c r="AE336" s="43"/>
      <c r="AF336" s="58" t="s">
        <v>59</v>
      </c>
      <c r="AG336" s="55" t="str">
        <f t="shared" si="11"/>
        <v/>
      </c>
    </row>
    <row r="337">
      <c r="A337" s="7" t="str">
        <f>IFERROR(__xludf.DUMMYFUNCTION("""COMPUTED_VALUE"""),"AG877")</f>
        <v>AG877</v>
      </c>
      <c r="B337" s="308">
        <f>IFERROR(__xludf.DUMMYFUNCTION("""COMPUTED_VALUE"""),44852.0)</f>
        <v>44852</v>
      </c>
      <c r="C337" s="309">
        <f>IFERROR(__xludf.DUMMYFUNCTION("""COMPUTED_VALUE"""),0.32479166666666665)</f>
        <v>0.3247916667</v>
      </c>
      <c r="D337" s="7" t="str">
        <f>IFERROR(__xludf.DUMMYFUNCTION("""COMPUTED_VALUE"""),"SpABRM610758")</f>
        <v>SpABRM610758</v>
      </c>
      <c r="E337" s="310"/>
      <c r="F337" s="310"/>
      <c r="G337" s="310" t="str">
        <f>IFERROR(__xludf.DUMMYFUNCTION("""COMPUTED_VALUE"""),"Negative")</f>
        <v>Negative</v>
      </c>
      <c r="H337" s="319" t="str">
        <f>IFERROR(__xludf.DUMMYFUNCTION("""COMPUTED_VALUE"""),"Negative")</f>
        <v>Negative</v>
      </c>
      <c r="I337" s="308">
        <f>IFERROR(__xludf.DUMMYFUNCTION("""COMPUTED_VALUE"""),44852.0)</f>
        <v>44852</v>
      </c>
      <c r="J337" s="311">
        <f>IFERROR(__xludf.DUMMYFUNCTION("""COMPUTED_VALUE"""),0.3958333333333333)</f>
        <v>0.3958333333</v>
      </c>
      <c r="K337" s="54"/>
      <c r="L337" s="7"/>
      <c r="M337" s="312"/>
      <c r="N337" s="172">
        <f>IFERROR(__xludf.DUMMYFUNCTION("""COMPUTED_VALUE"""),2.0)</f>
        <v>2</v>
      </c>
      <c r="O337" s="172" t="str">
        <f t="shared" si="3"/>
        <v/>
      </c>
      <c r="P337" s="313">
        <f>IFERROR(__xludf.DUMMYFUNCTION("""COMPUTED_VALUE"""),0.0)</f>
        <v>0</v>
      </c>
      <c r="Q337" s="76" t="b">
        <f>VLOOKUP($B337,'Run Reconcile'!B$2:O1399,14,FALSE)</f>
        <v>1</v>
      </c>
      <c r="R337" s="314" t="str">
        <f t="array" ref="R337">IF($Q337, INDEX('Run Reconcile'!A$2:A1399,MATCH(B337,'Run Reconcile'!B$2:B1399,0),1),IFERROR(0/0,""))</f>
        <v>RUN-ABRM_2022-10-18_RFR-046</v>
      </c>
      <c r="S337" s="315" t="str">
        <f t="shared" ref="S337:T337" si="678">IF(COUNTIF(W$2:W1399, $A337) &gt; 0,TRUE,IFERROR(0/0,""))</f>
        <v/>
      </c>
      <c r="T337" s="315" t="str">
        <f t="shared" si="678"/>
        <v/>
      </c>
      <c r="U337" s="114" t="str">
        <f t="array" ref="U337">IF(ISBLANK($R337), INDEX('Run Reconcile'!A$2:A1399, MATCH($B337, 'Run Reconcile'!B$2:B1399, 0)+Z337, 1), IFERROR(0/0,""))
</f>
        <v/>
      </c>
      <c r="V337" s="316" t="str">
        <f t="shared" si="5"/>
        <v>RUN-ABRM_2022-10-18_RFR-046</v>
      </c>
      <c r="Y337" s="317" t="str">
        <f t="shared" si="6"/>
        <v/>
      </c>
      <c r="Z337" s="83" t="str">
        <f t="shared" si="7"/>
        <v/>
      </c>
      <c r="AA337" s="83" t="str">
        <f t="shared" si="8"/>
        <v/>
      </c>
      <c r="AB337" s="83" t="str">
        <f t="shared" si="9"/>
        <v/>
      </c>
      <c r="AC337" s="18" t="str">
        <f t="shared" ref="AC337:AD337" si="679">IF(_xlfn.ISFORMULA(S337),IFERROR(0/0,""),TRUE)</f>
        <v/>
      </c>
      <c r="AD337" s="18" t="str">
        <f t="shared" si="679"/>
        <v/>
      </c>
      <c r="AE337" s="43"/>
      <c r="AF337" s="58" t="s">
        <v>59</v>
      </c>
      <c r="AG337" s="55" t="str">
        <f t="shared" si="11"/>
        <v/>
      </c>
    </row>
    <row r="338">
      <c r="A338" s="7" t="str">
        <f>IFERROR(__xludf.DUMMYFUNCTION("""COMPUTED_VALUE"""),"AH8796")</f>
        <v>AH8796</v>
      </c>
      <c r="B338" s="308">
        <f>IFERROR(__xludf.DUMMYFUNCTION("""COMPUTED_VALUE"""),44852.0)</f>
        <v>44852</v>
      </c>
      <c r="C338" s="309">
        <f>IFERROR(__xludf.DUMMYFUNCTION("""COMPUTED_VALUE"""),0.3573263888888889)</f>
        <v>0.3573263889</v>
      </c>
      <c r="D338" s="7" t="str">
        <f>IFERROR(__xludf.DUMMYFUNCTION("""COMPUTED_VALUE"""),"SpABRM655136")</f>
        <v>SpABRM655136</v>
      </c>
      <c r="E338" s="310"/>
      <c r="F338" s="310"/>
      <c r="G338" s="310" t="str">
        <f>IFERROR(__xludf.DUMMYFUNCTION("""COMPUTED_VALUE"""),"Negative")</f>
        <v>Negative</v>
      </c>
      <c r="H338" s="319" t="str">
        <f>IFERROR(__xludf.DUMMYFUNCTION("""COMPUTED_VALUE"""),"Negative")</f>
        <v>Negative</v>
      </c>
      <c r="I338" s="308">
        <f>IFERROR(__xludf.DUMMYFUNCTION("""COMPUTED_VALUE"""),44852.0)</f>
        <v>44852</v>
      </c>
      <c r="J338" s="311">
        <f>IFERROR(__xludf.DUMMYFUNCTION("""COMPUTED_VALUE"""),0.3958449074074074)</f>
        <v>0.3958449074</v>
      </c>
      <c r="K338" s="54"/>
      <c r="L338" s="7"/>
      <c r="M338" s="312"/>
      <c r="N338" s="172">
        <f>IFERROR(__xludf.DUMMYFUNCTION("""COMPUTED_VALUE"""),2.0)</f>
        <v>2</v>
      </c>
      <c r="O338" s="172" t="str">
        <f t="shared" si="3"/>
        <v/>
      </c>
      <c r="P338" s="313">
        <f>IFERROR(__xludf.DUMMYFUNCTION("""COMPUTED_VALUE"""),0.0)</f>
        <v>0</v>
      </c>
      <c r="Q338" s="76" t="b">
        <f>VLOOKUP($B338,'Run Reconcile'!B$2:O1399,14,FALSE)</f>
        <v>1</v>
      </c>
      <c r="R338" s="314" t="str">
        <f t="array" ref="R338">IF($Q338, INDEX('Run Reconcile'!A$2:A1399,MATCH(B338,'Run Reconcile'!B$2:B1399,0),1),IFERROR(0/0,""))</f>
        <v>RUN-ABRM_2022-10-18_RFR-046</v>
      </c>
      <c r="S338" s="315" t="str">
        <f t="shared" ref="S338:T338" si="680">IF(COUNTIF(W$2:W1399, $A338) &gt; 0,TRUE,IFERROR(0/0,""))</f>
        <v/>
      </c>
      <c r="T338" s="315" t="str">
        <f t="shared" si="680"/>
        <v/>
      </c>
      <c r="U338" s="114" t="str">
        <f t="array" ref="U338">IF(ISBLANK($R338), INDEX('Run Reconcile'!A$2:A1399, MATCH($B338, 'Run Reconcile'!B$2:B1399, 0)+Z338, 1), IFERROR(0/0,""))
</f>
        <v/>
      </c>
      <c r="V338" s="316" t="str">
        <f t="shared" si="5"/>
        <v>RUN-ABRM_2022-10-18_RFR-046</v>
      </c>
      <c r="Y338" s="317" t="str">
        <f t="shared" si="6"/>
        <v/>
      </c>
      <c r="Z338" s="83" t="str">
        <f t="shared" si="7"/>
        <v/>
      </c>
      <c r="AA338" s="83" t="str">
        <f t="shared" si="8"/>
        <v/>
      </c>
      <c r="AB338" s="83" t="str">
        <f t="shared" si="9"/>
        <v/>
      </c>
      <c r="AC338" s="18" t="str">
        <f t="shared" ref="AC338:AD338" si="681">IF(_xlfn.ISFORMULA(S338),IFERROR(0/0,""),TRUE)</f>
        <v/>
      </c>
      <c r="AD338" s="18" t="str">
        <f t="shared" si="681"/>
        <v/>
      </c>
      <c r="AE338" s="43"/>
      <c r="AF338" s="58" t="s">
        <v>59</v>
      </c>
      <c r="AG338" s="55" t="str">
        <f t="shared" si="11"/>
        <v/>
      </c>
    </row>
    <row r="339">
      <c r="A339" s="7" t="str">
        <f>IFERROR(__xludf.DUMMYFUNCTION("""COMPUTED_VALUE"""),"AG873")</f>
        <v>AG873</v>
      </c>
      <c r="B339" s="308">
        <f>IFERROR(__xludf.DUMMYFUNCTION("""COMPUTED_VALUE"""),44852.0)</f>
        <v>44852</v>
      </c>
      <c r="C339" s="309">
        <f>IFERROR(__xludf.DUMMYFUNCTION("""COMPUTED_VALUE"""),0.35859953703703706)</f>
        <v>0.358599537</v>
      </c>
      <c r="D339" s="7" t="str">
        <f>IFERROR(__xludf.DUMMYFUNCTION("""COMPUTED_VALUE"""),"SpABRM655136")</f>
        <v>SpABRM655136</v>
      </c>
      <c r="E339" s="310"/>
      <c r="F339" s="310"/>
      <c r="G339" s="310" t="str">
        <f>IFERROR(__xludf.DUMMYFUNCTION("""COMPUTED_VALUE"""),"Negative")</f>
        <v>Negative</v>
      </c>
      <c r="H339" s="319" t="str">
        <f>IFERROR(__xludf.DUMMYFUNCTION("""COMPUTED_VALUE"""),"Negative")</f>
        <v>Negative</v>
      </c>
      <c r="I339" s="308">
        <f>IFERROR(__xludf.DUMMYFUNCTION("""COMPUTED_VALUE"""),44852.0)</f>
        <v>44852</v>
      </c>
      <c r="J339" s="311">
        <f>IFERROR(__xludf.DUMMYFUNCTION("""COMPUTED_VALUE"""),0.3958449074074074)</f>
        <v>0.3958449074</v>
      </c>
      <c r="K339" s="54"/>
      <c r="L339" s="7"/>
      <c r="M339" s="312"/>
      <c r="N339" s="172">
        <f>IFERROR(__xludf.DUMMYFUNCTION("""COMPUTED_VALUE"""),1.0)</f>
        <v>1</v>
      </c>
      <c r="O339" s="172" t="str">
        <f t="shared" si="3"/>
        <v/>
      </c>
      <c r="P339" s="313">
        <f>IFERROR(__xludf.DUMMYFUNCTION("""COMPUTED_VALUE"""),0.0)</f>
        <v>0</v>
      </c>
      <c r="Q339" s="76" t="b">
        <f>VLOOKUP($B339,'Run Reconcile'!B$2:O1399,14,FALSE)</f>
        <v>1</v>
      </c>
      <c r="R339" s="314" t="str">
        <f t="array" ref="R339">IF($Q339, INDEX('Run Reconcile'!A$2:A1399,MATCH(B339,'Run Reconcile'!B$2:B1399,0),1),IFERROR(0/0,""))</f>
        <v>RUN-ABRM_2022-10-18_RFR-046</v>
      </c>
      <c r="S339" s="315" t="str">
        <f t="shared" ref="S339:T339" si="682">IF(COUNTIF(W$2:W1399, $A339) &gt; 0,TRUE,IFERROR(0/0,""))</f>
        <v/>
      </c>
      <c r="T339" s="315" t="str">
        <f t="shared" si="682"/>
        <v/>
      </c>
      <c r="U339" s="114" t="str">
        <f t="array" ref="U339">IF(ISBLANK($R339), INDEX('Run Reconcile'!A$2:A1399, MATCH($B339, 'Run Reconcile'!B$2:B1399, 0)+Z339, 1), IFERROR(0/0,""))
</f>
        <v/>
      </c>
      <c r="V339" s="316" t="str">
        <f t="shared" si="5"/>
        <v>RUN-ABRM_2022-10-18_RFR-046</v>
      </c>
      <c r="Y339" s="317" t="str">
        <f t="shared" si="6"/>
        <v/>
      </c>
      <c r="Z339" s="83" t="str">
        <f t="shared" si="7"/>
        <v/>
      </c>
      <c r="AA339" s="83" t="str">
        <f t="shared" si="8"/>
        <v/>
      </c>
      <c r="AB339" s="83" t="str">
        <f t="shared" si="9"/>
        <v/>
      </c>
      <c r="AC339" s="18" t="str">
        <f t="shared" ref="AC339:AD339" si="683">IF(_xlfn.ISFORMULA(S339),IFERROR(0/0,""),TRUE)</f>
        <v/>
      </c>
      <c r="AD339" s="18" t="str">
        <f t="shared" si="683"/>
        <v/>
      </c>
      <c r="AE339" s="43"/>
      <c r="AF339" s="58" t="s">
        <v>59</v>
      </c>
      <c r="AG339" s="55" t="str">
        <f t="shared" si="11"/>
        <v/>
      </c>
    </row>
    <row r="340">
      <c r="A340" s="7" t="str">
        <f>IFERROR(__xludf.DUMMYFUNCTION("""COMPUTED_VALUE"""),"AJ7476")</f>
        <v>AJ7476</v>
      </c>
      <c r="B340" s="308">
        <f>IFERROR(__xludf.DUMMYFUNCTION("""COMPUTED_VALUE"""),44853.0)</f>
        <v>44853</v>
      </c>
      <c r="C340" s="309">
        <f>IFERROR(__xludf.DUMMYFUNCTION("""COMPUTED_VALUE"""),0.22277777777777777)</f>
        <v>0.2227777778</v>
      </c>
      <c r="D340" s="7" t="str">
        <f>IFERROR(__xludf.DUMMYFUNCTION("""COMPUTED_VALUE"""),"SpABRM188986")</f>
        <v>SpABRM188986</v>
      </c>
      <c r="E340" s="310"/>
      <c r="F340" s="310"/>
      <c r="G340" s="310" t="str">
        <f>IFERROR(__xludf.DUMMYFUNCTION("""COMPUTED_VALUE"""),"Negative")</f>
        <v>Negative</v>
      </c>
      <c r="H340" s="319" t="str">
        <f>IFERROR(__xludf.DUMMYFUNCTION("""COMPUTED_VALUE"""),"Negative")</f>
        <v>Negative</v>
      </c>
      <c r="I340" s="308">
        <f>IFERROR(__xludf.DUMMYFUNCTION("""COMPUTED_VALUE"""),44853.0)</f>
        <v>44853</v>
      </c>
      <c r="J340" s="311">
        <f>IFERROR(__xludf.DUMMYFUNCTION("""COMPUTED_VALUE"""),0.3827777777777778)</f>
        <v>0.3827777778</v>
      </c>
      <c r="K340" s="54"/>
      <c r="L340" s="7"/>
      <c r="M340" s="312"/>
      <c r="N340" s="172">
        <f>IFERROR(__xludf.DUMMYFUNCTION("""COMPUTED_VALUE"""),2.0)</f>
        <v>2</v>
      </c>
      <c r="O340" s="172" t="b">
        <f t="shared" si="3"/>
        <v>1</v>
      </c>
      <c r="P340" s="313">
        <f>IFERROR(__xludf.DUMMYFUNCTION("""COMPUTED_VALUE"""),0.0)</f>
        <v>0</v>
      </c>
      <c r="Q340" s="76" t="b">
        <f>VLOOKUP($B340,'Run Reconcile'!B$2:O1399,14,FALSE)</f>
        <v>1</v>
      </c>
      <c r="R340" s="314" t="str">
        <f t="array" ref="R340">IF($Q340, INDEX('Run Reconcile'!A$2:A1399,MATCH(B340,'Run Reconcile'!B$2:B1399,0),1),IFERROR(0/0,""))</f>
        <v>RUN-ABRM_2022-10-19_RFR-048</v>
      </c>
      <c r="S340" s="315" t="str">
        <f t="shared" ref="S340:T340" si="684">IF(COUNTIF(W$2:W1399, $A340) &gt; 0,TRUE,IFERROR(0/0,""))</f>
        <v/>
      </c>
      <c r="T340" s="315" t="str">
        <f t="shared" si="684"/>
        <v/>
      </c>
      <c r="U340" s="114" t="str">
        <f t="array" ref="U340">IF(ISBLANK($R340), INDEX('Run Reconcile'!A$2:A1399, MATCH($B340, 'Run Reconcile'!B$2:B1399, 0)+Z340, 1), IFERROR(0/0,""))
</f>
        <v/>
      </c>
      <c r="V340" s="316" t="str">
        <f t="shared" si="5"/>
        <v>RUN-ABRM_2022-10-19_RFR-048</v>
      </c>
      <c r="Y340" s="317" t="str">
        <f t="shared" si="6"/>
        <v/>
      </c>
      <c r="Z340" s="83" t="str">
        <f t="shared" si="7"/>
        <v/>
      </c>
      <c r="AA340" s="83" t="str">
        <f t="shared" si="8"/>
        <v/>
      </c>
      <c r="AB340" s="83" t="str">
        <f t="shared" si="9"/>
        <v/>
      </c>
      <c r="AC340" s="18" t="str">
        <f t="shared" ref="AC340:AD340" si="685">IF(_xlfn.ISFORMULA(S340),IFERROR(0/0,""),TRUE)</f>
        <v/>
      </c>
      <c r="AD340" s="18" t="str">
        <f t="shared" si="685"/>
        <v/>
      </c>
      <c r="AE340" s="43"/>
      <c r="AF340" s="58" t="s">
        <v>60</v>
      </c>
      <c r="AG340" s="55" t="str">
        <f t="shared" si="11"/>
        <v/>
      </c>
    </row>
    <row r="341">
      <c r="A341" s="7" t="str">
        <f>IFERROR(__xludf.DUMMYFUNCTION("""COMPUTED_VALUE"""),"AG487")</f>
        <v>AG487</v>
      </c>
      <c r="B341" s="308">
        <f>IFERROR(__xludf.DUMMYFUNCTION("""COMPUTED_VALUE"""),44853.0)</f>
        <v>44853</v>
      </c>
      <c r="C341" s="309">
        <f>IFERROR(__xludf.DUMMYFUNCTION("""COMPUTED_VALUE"""),0.2311111111111111)</f>
        <v>0.2311111111</v>
      </c>
      <c r="D341" s="7" t="str">
        <f>IFERROR(__xludf.DUMMYFUNCTION("""COMPUTED_VALUE"""),"SpABRM814022")</f>
        <v>SpABRM814022</v>
      </c>
      <c r="E341" s="310"/>
      <c r="F341" s="310"/>
      <c r="G341" s="310" t="str">
        <f>IFERROR(__xludf.DUMMYFUNCTION("""COMPUTED_VALUE"""),"Negative")</f>
        <v>Negative</v>
      </c>
      <c r="H341" s="319" t="str">
        <f>IFERROR(__xludf.DUMMYFUNCTION("""COMPUTED_VALUE"""),"Negative")</f>
        <v>Negative</v>
      </c>
      <c r="I341" s="308">
        <f>IFERROR(__xludf.DUMMYFUNCTION("""COMPUTED_VALUE"""),44853.0)</f>
        <v>44853</v>
      </c>
      <c r="J341" s="311">
        <f>IFERROR(__xludf.DUMMYFUNCTION("""COMPUTED_VALUE"""),0.38278935185185187)</f>
        <v>0.3827893519</v>
      </c>
      <c r="K341" s="54"/>
      <c r="L341" s="7"/>
      <c r="M341" s="312"/>
      <c r="N341" s="172">
        <f>IFERROR(__xludf.DUMMYFUNCTION("""COMPUTED_VALUE"""),2.0)</f>
        <v>2</v>
      </c>
      <c r="O341" s="172" t="str">
        <f t="shared" si="3"/>
        <v/>
      </c>
      <c r="P341" s="313">
        <f>IFERROR(__xludf.DUMMYFUNCTION("""COMPUTED_VALUE"""),0.0)</f>
        <v>0</v>
      </c>
      <c r="Q341" s="76" t="b">
        <f>VLOOKUP($B341,'Run Reconcile'!B$2:O1399,14,FALSE)</f>
        <v>1</v>
      </c>
      <c r="R341" s="314" t="str">
        <f t="array" ref="R341">IF($Q341, INDEX('Run Reconcile'!A$2:A1399,MATCH(B341,'Run Reconcile'!B$2:B1399,0),1),IFERROR(0/0,""))</f>
        <v>RUN-ABRM_2022-10-19_RFR-048</v>
      </c>
      <c r="S341" s="315" t="str">
        <f t="shared" ref="S341:T341" si="686">IF(COUNTIF(W$2:W1399, $A341) &gt; 0,TRUE,IFERROR(0/0,""))</f>
        <v/>
      </c>
      <c r="T341" s="315" t="str">
        <f t="shared" si="686"/>
        <v/>
      </c>
      <c r="U341" s="114" t="str">
        <f t="array" ref="U341">IF(ISBLANK($R341), INDEX('Run Reconcile'!A$2:A1399, MATCH($B341, 'Run Reconcile'!B$2:B1399, 0)+Z341, 1), IFERROR(0/0,""))
</f>
        <v/>
      </c>
      <c r="V341" s="316" t="str">
        <f t="shared" si="5"/>
        <v>RUN-ABRM_2022-10-19_RFR-048</v>
      </c>
      <c r="Y341" s="317" t="str">
        <f t="shared" si="6"/>
        <v/>
      </c>
      <c r="Z341" s="83" t="str">
        <f t="shared" si="7"/>
        <v/>
      </c>
      <c r="AA341" s="83" t="str">
        <f t="shared" si="8"/>
        <v/>
      </c>
      <c r="AB341" s="83" t="str">
        <f t="shared" si="9"/>
        <v/>
      </c>
      <c r="AC341" s="18" t="str">
        <f t="shared" ref="AC341:AD341" si="687">IF(_xlfn.ISFORMULA(S341),IFERROR(0/0,""),TRUE)</f>
        <v/>
      </c>
      <c r="AD341" s="18" t="str">
        <f t="shared" si="687"/>
        <v/>
      </c>
      <c r="AE341" s="43"/>
      <c r="AF341" s="58" t="s">
        <v>60</v>
      </c>
      <c r="AG341" s="55" t="str">
        <f t="shared" si="11"/>
        <v/>
      </c>
    </row>
    <row r="342">
      <c r="A342" s="7" t="str">
        <f>IFERROR(__xludf.DUMMYFUNCTION("""COMPUTED_VALUE"""),"AH8061")</f>
        <v>AH8061</v>
      </c>
      <c r="B342" s="308">
        <f>IFERROR(__xludf.DUMMYFUNCTION("""COMPUTED_VALUE"""),44853.0)</f>
        <v>44853</v>
      </c>
      <c r="C342" s="309">
        <f>IFERROR(__xludf.DUMMYFUNCTION("""COMPUTED_VALUE"""),0.2733449074074074)</f>
        <v>0.2733449074</v>
      </c>
      <c r="D342" s="7" t="str">
        <f>IFERROR(__xludf.DUMMYFUNCTION("""COMPUTED_VALUE"""),"SpABRM297307")</f>
        <v>SpABRM297307</v>
      </c>
      <c r="E342" s="310"/>
      <c r="F342" s="310"/>
      <c r="G342" s="310" t="str">
        <f>IFERROR(__xludf.DUMMYFUNCTION("""COMPUTED_VALUE"""),"Negative")</f>
        <v>Negative</v>
      </c>
      <c r="H342" s="319" t="str">
        <f>IFERROR(__xludf.DUMMYFUNCTION("""COMPUTED_VALUE"""),"Negative")</f>
        <v>Negative</v>
      </c>
      <c r="I342" s="308">
        <f>IFERROR(__xludf.DUMMYFUNCTION("""COMPUTED_VALUE"""),44853.0)</f>
        <v>44853</v>
      </c>
      <c r="J342" s="311">
        <f>IFERROR(__xludf.DUMMYFUNCTION("""COMPUTED_VALUE"""),0.38278935185185187)</f>
        <v>0.3827893519</v>
      </c>
      <c r="K342" s="54"/>
      <c r="L342" s="7"/>
      <c r="M342" s="312"/>
      <c r="N342" s="172">
        <f>IFERROR(__xludf.DUMMYFUNCTION("""COMPUTED_VALUE"""),3.0)</f>
        <v>3</v>
      </c>
      <c r="O342" s="172" t="str">
        <f t="shared" si="3"/>
        <v/>
      </c>
      <c r="P342" s="313">
        <f>IFERROR(__xludf.DUMMYFUNCTION("""COMPUTED_VALUE"""),0.0)</f>
        <v>0</v>
      </c>
      <c r="Q342" s="76" t="b">
        <f>VLOOKUP($B342,'Run Reconcile'!B$2:O1399,14,FALSE)</f>
        <v>1</v>
      </c>
      <c r="R342" s="314" t="str">
        <f t="array" ref="R342">IF($Q342, INDEX('Run Reconcile'!A$2:A1399,MATCH(B342,'Run Reconcile'!B$2:B1399,0),1),IFERROR(0/0,""))</f>
        <v>RUN-ABRM_2022-10-19_RFR-048</v>
      </c>
      <c r="S342" s="315" t="str">
        <f t="shared" ref="S342:T342" si="688">IF(COUNTIF(W$2:W1399, $A342) &gt; 0,TRUE,IFERROR(0/0,""))</f>
        <v/>
      </c>
      <c r="T342" s="315" t="str">
        <f t="shared" si="688"/>
        <v/>
      </c>
      <c r="U342" s="114" t="str">
        <f t="array" ref="U342">IF(ISBLANK($R342), INDEX('Run Reconcile'!A$2:A1399, MATCH($B342, 'Run Reconcile'!B$2:B1399, 0)+Z342, 1), IFERROR(0/0,""))
</f>
        <v/>
      </c>
      <c r="V342" s="316" t="str">
        <f t="shared" si="5"/>
        <v>RUN-ABRM_2022-10-19_RFR-048</v>
      </c>
      <c r="Y342" s="317" t="str">
        <f t="shared" si="6"/>
        <v/>
      </c>
      <c r="Z342" s="83" t="str">
        <f t="shared" si="7"/>
        <v/>
      </c>
      <c r="AA342" s="83" t="str">
        <f t="shared" si="8"/>
        <v/>
      </c>
      <c r="AB342" s="83" t="str">
        <f t="shared" si="9"/>
        <v/>
      </c>
      <c r="AC342" s="18" t="str">
        <f t="shared" ref="AC342:AD342" si="689">IF(_xlfn.ISFORMULA(S342),IFERROR(0/0,""),TRUE)</f>
        <v/>
      </c>
      <c r="AD342" s="18" t="str">
        <f t="shared" si="689"/>
        <v/>
      </c>
      <c r="AE342" s="43"/>
      <c r="AF342" s="58" t="s">
        <v>60</v>
      </c>
      <c r="AG342" s="55" t="str">
        <f t="shared" si="11"/>
        <v/>
      </c>
    </row>
    <row r="343">
      <c r="A343" s="7" t="str">
        <f>IFERROR(__xludf.DUMMYFUNCTION("""COMPUTED_VALUE"""),"AH8035")</f>
        <v>AH8035</v>
      </c>
      <c r="B343" s="308">
        <f>IFERROR(__xludf.DUMMYFUNCTION("""COMPUTED_VALUE"""),44853.0)</f>
        <v>44853</v>
      </c>
      <c r="C343" s="309">
        <f>IFERROR(__xludf.DUMMYFUNCTION("""COMPUTED_VALUE"""),0.28945601851851854)</f>
        <v>0.2894560185</v>
      </c>
      <c r="D343" s="7" t="str">
        <f>IFERROR(__xludf.DUMMYFUNCTION("""COMPUTED_VALUE"""),"SpABRM367540")</f>
        <v>SpABRM367540</v>
      </c>
      <c r="E343" s="310"/>
      <c r="F343" s="310"/>
      <c r="G343" s="310" t="str">
        <f>IFERROR(__xludf.DUMMYFUNCTION("""COMPUTED_VALUE"""),"Negative")</f>
        <v>Negative</v>
      </c>
      <c r="H343" s="319" t="str">
        <f>IFERROR(__xludf.DUMMYFUNCTION("""COMPUTED_VALUE"""),"Negative")</f>
        <v>Negative</v>
      </c>
      <c r="I343" s="308">
        <f>IFERROR(__xludf.DUMMYFUNCTION("""COMPUTED_VALUE"""),44853.0)</f>
        <v>44853</v>
      </c>
      <c r="J343" s="311">
        <f>IFERROR(__xludf.DUMMYFUNCTION("""COMPUTED_VALUE"""),0.38278935185185187)</f>
        <v>0.3827893519</v>
      </c>
      <c r="K343" s="54"/>
      <c r="L343" s="7"/>
      <c r="M343" s="312"/>
      <c r="N343" s="172">
        <f>IFERROR(__xludf.DUMMYFUNCTION("""COMPUTED_VALUE"""),3.0)</f>
        <v>3</v>
      </c>
      <c r="O343" s="172" t="str">
        <f t="shared" si="3"/>
        <v/>
      </c>
      <c r="P343" s="313">
        <f>IFERROR(__xludf.DUMMYFUNCTION("""COMPUTED_VALUE"""),0.0)</f>
        <v>0</v>
      </c>
      <c r="Q343" s="76" t="b">
        <f>VLOOKUP($B343,'Run Reconcile'!B$2:O1399,14,FALSE)</f>
        <v>1</v>
      </c>
      <c r="R343" s="314" t="str">
        <f t="array" ref="R343">IF($Q343, INDEX('Run Reconcile'!A$2:A1399,MATCH(B343,'Run Reconcile'!B$2:B1399,0),1),IFERROR(0/0,""))</f>
        <v>RUN-ABRM_2022-10-19_RFR-048</v>
      </c>
      <c r="S343" s="315" t="str">
        <f t="shared" ref="S343:T343" si="690">IF(COUNTIF(W$2:W1399, $A343) &gt; 0,TRUE,IFERROR(0/0,""))</f>
        <v/>
      </c>
      <c r="T343" s="315" t="str">
        <f t="shared" si="690"/>
        <v/>
      </c>
      <c r="U343" s="114" t="str">
        <f t="array" ref="U343">IF(ISBLANK($R343), INDEX('Run Reconcile'!A$2:A1399, MATCH($B343, 'Run Reconcile'!B$2:B1399, 0)+Z343, 1), IFERROR(0/0,""))
</f>
        <v/>
      </c>
      <c r="V343" s="316" t="str">
        <f t="shared" si="5"/>
        <v>RUN-ABRM_2022-10-19_RFR-048</v>
      </c>
      <c r="Y343" s="317" t="str">
        <f t="shared" si="6"/>
        <v/>
      </c>
      <c r="Z343" s="83" t="str">
        <f t="shared" si="7"/>
        <v/>
      </c>
      <c r="AA343" s="83" t="str">
        <f t="shared" si="8"/>
        <v/>
      </c>
      <c r="AB343" s="83" t="str">
        <f t="shared" si="9"/>
        <v/>
      </c>
      <c r="AC343" s="18" t="str">
        <f t="shared" ref="AC343:AD343" si="691">IF(_xlfn.ISFORMULA(S343),IFERROR(0/0,""),TRUE)</f>
        <v/>
      </c>
      <c r="AD343" s="18" t="str">
        <f t="shared" si="691"/>
        <v/>
      </c>
      <c r="AE343" s="43"/>
      <c r="AF343" s="58" t="s">
        <v>60</v>
      </c>
      <c r="AG343" s="55" t="str">
        <f t="shared" si="11"/>
        <v/>
      </c>
    </row>
    <row r="344">
      <c r="A344" s="7" t="str">
        <f>IFERROR(__xludf.DUMMYFUNCTION("""COMPUTED_VALUE"""),"AG841")</f>
        <v>AG841</v>
      </c>
      <c r="B344" s="308">
        <f>IFERROR(__xludf.DUMMYFUNCTION("""COMPUTED_VALUE"""),44853.0)</f>
        <v>44853</v>
      </c>
      <c r="C344" s="309">
        <f>IFERROR(__xludf.DUMMYFUNCTION("""COMPUTED_VALUE"""),0.29002314814814817)</f>
        <v>0.2900231481</v>
      </c>
      <c r="D344" s="7" t="str">
        <f>IFERROR(__xludf.DUMMYFUNCTION("""COMPUTED_VALUE"""),"SpABRM454310")</f>
        <v>SpABRM454310</v>
      </c>
      <c r="E344" s="310"/>
      <c r="F344" s="310"/>
      <c r="G344" s="310" t="str">
        <f>IFERROR(__xludf.DUMMYFUNCTION("""COMPUTED_VALUE"""),"Negative")</f>
        <v>Negative</v>
      </c>
      <c r="H344" s="319" t="str">
        <f>IFERROR(__xludf.DUMMYFUNCTION("""COMPUTED_VALUE"""),"Negative")</f>
        <v>Negative</v>
      </c>
      <c r="I344" s="308">
        <f>IFERROR(__xludf.DUMMYFUNCTION("""COMPUTED_VALUE"""),44853.0)</f>
        <v>44853</v>
      </c>
      <c r="J344" s="311">
        <f>IFERROR(__xludf.DUMMYFUNCTION("""COMPUTED_VALUE"""),0.3828009259259259)</f>
        <v>0.3828009259</v>
      </c>
      <c r="K344" s="54"/>
      <c r="L344" s="7"/>
      <c r="M344" s="312"/>
      <c r="N344" s="172">
        <f>IFERROR(__xludf.DUMMYFUNCTION("""COMPUTED_VALUE"""),3.0)</f>
        <v>3</v>
      </c>
      <c r="O344" s="172" t="str">
        <f t="shared" si="3"/>
        <v/>
      </c>
      <c r="P344" s="313">
        <f>IFERROR(__xludf.DUMMYFUNCTION("""COMPUTED_VALUE"""),0.0)</f>
        <v>0</v>
      </c>
      <c r="Q344" s="76" t="b">
        <f>VLOOKUP($B344,'Run Reconcile'!B$2:O1399,14,FALSE)</f>
        <v>1</v>
      </c>
      <c r="R344" s="314" t="str">
        <f t="array" ref="R344">IF($Q344, INDEX('Run Reconcile'!A$2:A1399,MATCH(B344,'Run Reconcile'!B$2:B1399,0),1),IFERROR(0/0,""))</f>
        <v>RUN-ABRM_2022-10-19_RFR-048</v>
      </c>
      <c r="S344" s="315" t="str">
        <f t="shared" ref="S344:T344" si="692">IF(COUNTIF(W$2:W1399, $A344) &gt; 0,TRUE,IFERROR(0/0,""))</f>
        <v/>
      </c>
      <c r="T344" s="315" t="str">
        <f t="shared" si="692"/>
        <v/>
      </c>
      <c r="U344" s="114" t="str">
        <f t="array" ref="U344">IF(ISBLANK($R344), INDEX('Run Reconcile'!A$2:A1399, MATCH($B344, 'Run Reconcile'!B$2:B1399, 0)+Z344, 1), IFERROR(0/0,""))
</f>
        <v/>
      </c>
      <c r="V344" s="316" t="str">
        <f t="shared" si="5"/>
        <v>RUN-ABRM_2022-10-19_RFR-048</v>
      </c>
      <c r="Y344" s="317" t="str">
        <f t="shared" si="6"/>
        <v/>
      </c>
      <c r="Z344" s="83" t="str">
        <f t="shared" si="7"/>
        <v/>
      </c>
      <c r="AA344" s="83" t="str">
        <f t="shared" si="8"/>
        <v/>
      </c>
      <c r="AB344" s="83" t="str">
        <f t="shared" si="9"/>
        <v/>
      </c>
      <c r="AC344" s="18" t="str">
        <f t="shared" ref="AC344:AD344" si="693">IF(_xlfn.ISFORMULA(S344),IFERROR(0/0,""),TRUE)</f>
        <v/>
      </c>
      <c r="AD344" s="18" t="str">
        <f t="shared" si="693"/>
        <v/>
      </c>
      <c r="AE344" s="43"/>
      <c r="AF344" s="58" t="s">
        <v>60</v>
      </c>
      <c r="AG344" s="55" t="str">
        <f t="shared" si="11"/>
        <v/>
      </c>
    </row>
    <row r="345">
      <c r="A345" s="7" t="str">
        <f>IFERROR(__xludf.DUMMYFUNCTION("""COMPUTED_VALUE"""),"AG1790")</f>
        <v>AG1790</v>
      </c>
      <c r="B345" s="308">
        <f>IFERROR(__xludf.DUMMYFUNCTION("""COMPUTED_VALUE"""),44853.0)</f>
        <v>44853</v>
      </c>
      <c r="C345" s="309">
        <f>IFERROR(__xludf.DUMMYFUNCTION("""COMPUTED_VALUE"""),0.3040625)</f>
        <v>0.3040625</v>
      </c>
      <c r="D345" s="7" t="str">
        <f>IFERROR(__xludf.DUMMYFUNCTION("""COMPUTED_VALUE"""),"SpABRM128250")</f>
        <v>SpABRM128250</v>
      </c>
      <c r="E345" s="310"/>
      <c r="F345" s="310"/>
      <c r="G345" s="310" t="str">
        <f>IFERROR(__xludf.DUMMYFUNCTION("""COMPUTED_VALUE"""),"Negative")</f>
        <v>Negative</v>
      </c>
      <c r="H345" s="319" t="str">
        <f>IFERROR(__xludf.DUMMYFUNCTION("""COMPUTED_VALUE"""),"Negative")</f>
        <v>Negative</v>
      </c>
      <c r="I345" s="308">
        <f>IFERROR(__xludf.DUMMYFUNCTION("""COMPUTED_VALUE"""),44853.0)</f>
        <v>44853</v>
      </c>
      <c r="J345" s="311">
        <f>IFERROR(__xludf.DUMMYFUNCTION("""COMPUTED_VALUE"""),0.3828009259259259)</f>
        <v>0.3828009259</v>
      </c>
      <c r="K345" s="54"/>
      <c r="L345" s="7"/>
      <c r="M345" s="312"/>
      <c r="N345" s="172">
        <f>IFERROR(__xludf.DUMMYFUNCTION("""COMPUTED_VALUE"""),3.0)</f>
        <v>3</v>
      </c>
      <c r="O345" s="172" t="str">
        <f t="shared" si="3"/>
        <v/>
      </c>
      <c r="P345" s="313">
        <f>IFERROR(__xludf.DUMMYFUNCTION("""COMPUTED_VALUE"""),0.0)</f>
        <v>0</v>
      </c>
      <c r="Q345" s="76" t="b">
        <f>VLOOKUP($B345,'Run Reconcile'!B$2:O1399,14,FALSE)</f>
        <v>1</v>
      </c>
      <c r="R345" s="314" t="str">
        <f t="array" ref="R345">IF($Q345, INDEX('Run Reconcile'!A$2:A1399,MATCH(B345,'Run Reconcile'!B$2:B1399,0),1),IFERROR(0/0,""))</f>
        <v>RUN-ABRM_2022-10-19_RFR-048</v>
      </c>
      <c r="S345" s="315" t="str">
        <f t="shared" ref="S345:T345" si="694">IF(COUNTIF(W$2:W1399, $A345) &gt; 0,TRUE,IFERROR(0/0,""))</f>
        <v/>
      </c>
      <c r="T345" s="315" t="str">
        <f t="shared" si="694"/>
        <v/>
      </c>
      <c r="U345" s="114" t="str">
        <f t="array" ref="U345">IF(ISBLANK($R345), INDEX('Run Reconcile'!A$2:A1399, MATCH($B345, 'Run Reconcile'!B$2:B1399, 0)+Z345, 1), IFERROR(0/0,""))
</f>
        <v/>
      </c>
      <c r="V345" s="316" t="str">
        <f t="shared" si="5"/>
        <v>RUN-ABRM_2022-10-19_RFR-048</v>
      </c>
      <c r="Y345" s="317" t="str">
        <f t="shared" si="6"/>
        <v/>
      </c>
      <c r="Z345" s="83" t="str">
        <f t="shared" si="7"/>
        <v/>
      </c>
      <c r="AA345" s="83" t="str">
        <f t="shared" si="8"/>
        <v/>
      </c>
      <c r="AB345" s="83" t="str">
        <f t="shared" si="9"/>
        <v/>
      </c>
      <c r="AC345" s="18" t="str">
        <f t="shared" ref="AC345:AD345" si="695">IF(_xlfn.ISFORMULA(S345),IFERROR(0/0,""),TRUE)</f>
        <v/>
      </c>
      <c r="AD345" s="18" t="str">
        <f t="shared" si="695"/>
        <v/>
      </c>
      <c r="AE345" s="43"/>
      <c r="AF345" s="58" t="s">
        <v>60</v>
      </c>
      <c r="AG345" s="55" t="str">
        <f t="shared" si="11"/>
        <v/>
      </c>
    </row>
    <row r="346">
      <c r="A346" s="7" t="str">
        <f>IFERROR(__xludf.DUMMYFUNCTION("""COMPUTED_VALUE"""),"AJ8718")</f>
        <v>AJ8718</v>
      </c>
      <c r="B346" s="308">
        <f>IFERROR(__xludf.DUMMYFUNCTION("""COMPUTED_VALUE"""),44853.0)</f>
        <v>44853</v>
      </c>
      <c r="C346" s="309">
        <f>IFERROR(__xludf.DUMMYFUNCTION("""COMPUTED_VALUE"""),0.36922453703703706)</f>
        <v>0.369224537</v>
      </c>
      <c r="D346" s="7" t="str">
        <f>IFERROR(__xludf.DUMMYFUNCTION("""COMPUTED_VALUE"""),"SpABRM655136")</f>
        <v>SpABRM655136</v>
      </c>
      <c r="E346" s="310"/>
      <c r="F346" s="310"/>
      <c r="G346" s="310" t="str">
        <f>IFERROR(__xludf.DUMMYFUNCTION("""COMPUTED_VALUE"""),"Negative")</f>
        <v>Negative</v>
      </c>
      <c r="H346" s="319" t="str">
        <f>IFERROR(__xludf.DUMMYFUNCTION("""COMPUTED_VALUE"""),"Negative")</f>
        <v>Negative</v>
      </c>
      <c r="I346" s="308">
        <f>IFERROR(__xludf.DUMMYFUNCTION("""COMPUTED_VALUE"""),44853.0)</f>
        <v>44853</v>
      </c>
      <c r="J346" s="311">
        <f>IFERROR(__xludf.DUMMYFUNCTION("""COMPUTED_VALUE"""),0.3828009259259259)</f>
        <v>0.3828009259</v>
      </c>
      <c r="K346" s="54"/>
      <c r="L346" s="7"/>
      <c r="M346" s="312"/>
      <c r="N346" s="172">
        <f>IFERROR(__xludf.DUMMYFUNCTION("""COMPUTED_VALUE"""),2.0)</f>
        <v>2</v>
      </c>
      <c r="O346" s="172" t="str">
        <f t="shared" si="3"/>
        <v/>
      </c>
      <c r="P346" s="313">
        <f>IFERROR(__xludf.DUMMYFUNCTION("""COMPUTED_VALUE"""),0.0)</f>
        <v>0</v>
      </c>
      <c r="Q346" s="76" t="b">
        <f>VLOOKUP($B346,'Run Reconcile'!B$2:O1399,14,FALSE)</f>
        <v>1</v>
      </c>
      <c r="R346" s="314" t="str">
        <f t="array" ref="R346">IF($Q346, INDEX('Run Reconcile'!A$2:A1399,MATCH(B346,'Run Reconcile'!B$2:B1399,0),1),IFERROR(0/0,""))</f>
        <v>RUN-ABRM_2022-10-19_RFR-048</v>
      </c>
      <c r="S346" s="315" t="str">
        <f t="shared" ref="S346:T346" si="696">IF(COUNTIF(W$2:W1399, $A346) &gt; 0,TRUE,IFERROR(0/0,""))</f>
        <v/>
      </c>
      <c r="T346" s="315" t="str">
        <f t="shared" si="696"/>
        <v/>
      </c>
      <c r="U346" s="114" t="str">
        <f t="array" ref="U346">IF(ISBLANK($R346), INDEX('Run Reconcile'!A$2:A1399, MATCH($B346, 'Run Reconcile'!B$2:B1399, 0)+Z346, 1), IFERROR(0/0,""))
</f>
        <v/>
      </c>
      <c r="V346" s="316" t="str">
        <f t="shared" si="5"/>
        <v>RUN-ABRM_2022-10-19_RFR-048</v>
      </c>
      <c r="Y346" s="317" t="str">
        <f t="shared" si="6"/>
        <v/>
      </c>
      <c r="Z346" s="83" t="str">
        <f t="shared" si="7"/>
        <v/>
      </c>
      <c r="AA346" s="83" t="str">
        <f t="shared" si="8"/>
        <v/>
      </c>
      <c r="AB346" s="83" t="str">
        <f t="shared" si="9"/>
        <v/>
      </c>
      <c r="AC346" s="18" t="str">
        <f t="shared" ref="AC346:AD346" si="697">IF(_xlfn.ISFORMULA(S346),IFERROR(0/0,""),TRUE)</f>
        <v/>
      </c>
      <c r="AD346" s="18" t="str">
        <f t="shared" si="697"/>
        <v/>
      </c>
      <c r="AE346" s="43"/>
      <c r="AF346" s="58" t="s">
        <v>60</v>
      </c>
      <c r="AG346" s="55" t="str">
        <f t="shared" si="11"/>
        <v/>
      </c>
    </row>
    <row r="347">
      <c r="A347" s="7" t="str">
        <f>IFERROR(__xludf.DUMMYFUNCTION("""COMPUTED_VALUE"""),"AJ8945")</f>
        <v>AJ8945</v>
      </c>
      <c r="B347" s="308">
        <f>IFERROR(__xludf.DUMMYFUNCTION("""COMPUTED_VALUE"""),44853.0)</f>
        <v>44853</v>
      </c>
      <c r="C347" s="309">
        <f>IFERROR(__xludf.DUMMYFUNCTION("""COMPUTED_VALUE"""),0.36953703703703705)</f>
        <v>0.369537037</v>
      </c>
      <c r="D347" s="7" t="str">
        <f>IFERROR(__xludf.DUMMYFUNCTION("""COMPUTED_VALUE"""),"SpABRM655136")</f>
        <v>SpABRM655136</v>
      </c>
      <c r="E347" s="310"/>
      <c r="F347" s="310"/>
      <c r="G347" s="310" t="str">
        <f>IFERROR(__xludf.DUMMYFUNCTION("""COMPUTED_VALUE"""),"Negative")</f>
        <v>Negative</v>
      </c>
      <c r="H347" s="319" t="str">
        <f>IFERROR(__xludf.DUMMYFUNCTION("""COMPUTED_VALUE"""),"Negative")</f>
        <v>Negative</v>
      </c>
      <c r="I347" s="308">
        <f>IFERROR(__xludf.DUMMYFUNCTION("""COMPUTED_VALUE"""),44853.0)</f>
        <v>44853</v>
      </c>
      <c r="J347" s="311">
        <f>IFERROR(__xludf.DUMMYFUNCTION("""COMPUTED_VALUE"""),0.3828125)</f>
        <v>0.3828125</v>
      </c>
      <c r="K347" s="54"/>
      <c r="L347" s="7"/>
      <c r="M347" s="312"/>
      <c r="N347" s="172">
        <f>IFERROR(__xludf.DUMMYFUNCTION("""COMPUTED_VALUE"""),1.0)</f>
        <v>1</v>
      </c>
      <c r="O347" s="172" t="str">
        <f t="shared" si="3"/>
        <v/>
      </c>
      <c r="P347" s="313">
        <f>IFERROR(__xludf.DUMMYFUNCTION("""COMPUTED_VALUE"""),0.0)</f>
        <v>0</v>
      </c>
      <c r="Q347" s="76" t="b">
        <f>VLOOKUP($B347,'Run Reconcile'!B$2:O1399,14,FALSE)</f>
        <v>1</v>
      </c>
      <c r="R347" s="314" t="str">
        <f t="array" ref="R347">IF($Q347, INDEX('Run Reconcile'!A$2:A1399,MATCH(B347,'Run Reconcile'!B$2:B1399,0),1),IFERROR(0/0,""))</f>
        <v>RUN-ABRM_2022-10-19_RFR-048</v>
      </c>
      <c r="S347" s="315" t="str">
        <f t="shared" ref="S347:T347" si="698">IF(COUNTIF(W$2:W1399, $A347) &gt; 0,TRUE,IFERROR(0/0,""))</f>
        <v/>
      </c>
      <c r="T347" s="315" t="str">
        <f t="shared" si="698"/>
        <v/>
      </c>
      <c r="U347" s="114" t="str">
        <f t="array" ref="U347">IF(ISBLANK($R347), INDEX('Run Reconcile'!A$2:A1399, MATCH($B347, 'Run Reconcile'!B$2:B1399, 0)+Z347, 1), IFERROR(0/0,""))
</f>
        <v/>
      </c>
      <c r="V347" s="316" t="str">
        <f t="shared" si="5"/>
        <v>RUN-ABRM_2022-10-19_RFR-048</v>
      </c>
      <c r="Y347" s="317" t="str">
        <f t="shared" si="6"/>
        <v/>
      </c>
      <c r="Z347" s="83" t="str">
        <f t="shared" si="7"/>
        <v/>
      </c>
      <c r="AA347" s="83" t="str">
        <f t="shared" si="8"/>
        <v/>
      </c>
      <c r="AB347" s="83" t="str">
        <f t="shared" si="9"/>
        <v/>
      </c>
      <c r="AC347" s="18" t="str">
        <f t="shared" ref="AC347:AD347" si="699">IF(_xlfn.ISFORMULA(S347),IFERROR(0/0,""),TRUE)</f>
        <v/>
      </c>
      <c r="AD347" s="18" t="str">
        <f t="shared" si="699"/>
        <v/>
      </c>
      <c r="AE347" s="43"/>
      <c r="AF347" s="58" t="s">
        <v>60</v>
      </c>
      <c r="AG347" s="55" t="str">
        <f t="shared" si="11"/>
        <v/>
      </c>
    </row>
    <row r="348">
      <c r="A348" s="7" t="str">
        <f>IFERROR(__xludf.DUMMYFUNCTION("""COMPUTED_VALUE"""),"AG1936")</f>
        <v>AG1936</v>
      </c>
      <c r="B348" s="308">
        <f>IFERROR(__xludf.DUMMYFUNCTION("""COMPUTED_VALUE"""),44854.0)</f>
        <v>44854</v>
      </c>
      <c r="C348" s="309">
        <f>IFERROR(__xludf.DUMMYFUNCTION("""COMPUTED_VALUE"""),0.2662962962962963)</f>
        <v>0.2662962963</v>
      </c>
      <c r="D348" s="7" t="str">
        <f>IFERROR(__xludf.DUMMYFUNCTION("""COMPUTED_VALUE"""),"SpABRM516158")</f>
        <v>SpABRM516158</v>
      </c>
      <c r="E348" s="310"/>
      <c r="F348" s="310"/>
      <c r="G348" s="310" t="str">
        <f>IFERROR(__xludf.DUMMYFUNCTION("""COMPUTED_VALUE"""),"Negative")</f>
        <v>Negative</v>
      </c>
      <c r="H348" s="319" t="str">
        <f>IFERROR(__xludf.DUMMYFUNCTION("""COMPUTED_VALUE"""),"Negative")</f>
        <v>Negative</v>
      </c>
      <c r="I348" s="308">
        <f>IFERROR(__xludf.DUMMYFUNCTION("""COMPUTED_VALUE"""),44854.0)</f>
        <v>44854</v>
      </c>
      <c r="J348" s="311">
        <f>IFERROR(__xludf.DUMMYFUNCTION("""COMPUTED_VALUE"""),0.39046296296296296)</f>
        <v>0.390462963</v>
      </c>
      <c r="K348" s="54"/>
      <c r="L348" s="7"/>
      <c r="M348" s="312"/>
      <c r="N348" s="172">
        <f>IFERROR(__xludf.DUMMYFUNCTION("""COMPUTED_VALUE"""),1.0)</f>
        <v>1</v>
      </c>
      <c r="O348" s="172" t="b">
        <f t="shared" si="3"/>
        <v>1</v>
      </c>
      <c r="P348" s="313">
        <f>IFERROR(__xludf.DUMMYFUNCTION("""COMPUTED_VALUE"""),0.0)</f>
        <v>0</v>
      </c>
      <c r="Q348" s="76" t="b">
        <f>VLOOKUP($B348,'Run Reconcile'!B$2:O1399,14,FALSE)</f>
        <v>1</v>
      </c>
      <c r="R348" s="314" t="str">
        <f t="array" ref="R348">IF($Q348, INDEX('Run Reconcile'!A$2:A1399,MATCH(B348,'Run Reconcile'!B$2:B1399,0),1),IFERROR(0/0,""))</f>
        <v>RUN-ABRM_2022-10-20_RFR-049</v>
      </c>
      <c r="S348" s="315" t="str">
        <f t="shared" ref="S348:T348" si="700">IF(COUNTIF(W$2:W1399, $A348) &gt; 0,TRUE,IFERROR(0/0,""))</f>
        <v/>
      </c>
      <c r="T348" s="315" t="str">
        <f t="shared" si="700"/>
        <v/>
      </c>
      <c r="U348" s="114" t="str">
        <f t="array" ref="U348">IF(ISBLANK($R348), INDEX('Run Reconcile'!A$2:A1399, MATCH($B348, 'Run Reconcile'!B$2:B1399, 0)+Z348, 1), IFERROR(0/0,""))
</f>
        <v/>
      </c>
      <c r="V348" s="316" t="str">
        <f t="shared" si="5"/>
        <v>RUN-ABRM_2022-10-20_RFR-049</v>
      </c>
      <c r="Y348" s="317" t="str">
        <f t="shared" si="6"/>
        <v/>
      </c>
      <c r="Z348" s="83" t="str">
        <f t="shared" si="7"/>
        <v/>
      </c>
      <c r="AA348" s="83" t="str">
        <f t="shared" si="8"/>
        <v/>
      </c>
      <c r="AB348" s="83" t="str">
        <f t="shared" si="9"/>
        <v/>
      </c>
      <c r="AC348" s="18" t="str">
        <f t="shared" ref="AC348:AD348" si="701">IF(_xlfn.ISFORMULA(S348),IFERROR(0/0,""),TRUE)</f>
        <v/>
      </c>
      <c r="AD348" s="18" t="str">
        <f t="shared" si="701"/>
        <v/>
      </c>
      <c r="AE348" s="43"/>
      <c r="AF348" s="58" t="s">
        <v>61</v>
      </c>
      <c r="AG348" s="55" t="str">
        <f t="shared" si="11"/>
        <v/>
      </c>
    </row>
    <row r="349">
      <c r="A349" s="7" t="str">
        <f>IFERROR(__xludf.DUMMYFUNCTION("""COMPUTED_VALUE"""),"AG1777")</f>
        <v>AG1777</v>
      </c>
      <c r="B349" s="308">
        <f>IFERROR(__xludf.DUMMYFUNCTION("""COMPUTED_VALUE"""),44854.0)</f>
        <v>44854</v>
      </c>
      <c r="C349" s="309">
        <f>IFERROR(__xludf.DUMMYFUNCTION("""COMPUTED_VALUE"""),0.2942361111111111)</f>
        <v>0.2942361111</v>
      </c>
      <c r="D349" s="7" t="str">
        <f>IFERROR(__xludf.DUMMYFUNCTION("""COMPUTED_VALUE"""),"SpABRM128250")</f>
        <v>SpABRM128250</v>
      </c>
      <c r="E349" s="310"/>
      <c r="F349" s="310"/>
      <c r="G349" s="310" t="str">
        <f>IFERROR(__xludf.DUMMYFUNCTION("""COMPUTED_VALUE"""),"Negative")</f>
        <v>Negative</v>
      </c>
      <c r="H349" s="319" t="str">
        <f>IFERROR(__xludf.DUMMYFUNCTION("""COMPUTED_VALUE"""),"Negative")</f>
        <v>Negative</v>
      </c>
      <c r="I349" s="308">
        <f>IFERROR(__xludf.DUMMYFUNCTION("""COMPUTED_VALUE"""),44854.0)</f>
        <v>44854</v>
      </c>
      <c r="J349" s="311">
        <f>IFERROR(__xludf.DUMMYFUNCTION("""COMPUTED_VALUE"""),0.39046296296296296)</f>
        <v>0.390462963</v>
      </c>
      <c r="K349" s="54"/>
      <c r="L349" s="7"/>
      <c r="M349" s="312"/>
      <c r="N349" s="172">
        <f>IFERROR(__xludf.DUMMYFUNCTION("""COMPUTED_VALUE"""),3.0)</f>
        <v>3</v>
      </c>
      <c r="O349" s="172" t="str">
        <f t="shared" si="3"/>
        <v/>
      </c>
      <c r="P349" s="313">
        <f>IFERROR(__xludf.DUMMYFUNCTION("""COMPUTED_VALUE"""),0.0)</f>
        <v>0</v>
      </c>
      <c r="Q349" s="76" t="b">
        <f>VLOOKUP($B349,'Run Reconcile'!B$2:O1399,14,FALSE)</f>
        <v>1</v>
      </c>
      <c r="R349" s="314" t="str">
        <f t="array" ref="R349">IF($Q349, INDEX('Run Reconcile'!A$2:A1399,MATCH(B349,'Run Reconcile'!B$2:B1399,0),1),IFERROR(0/0,""))</f>
        <v>RUN-ABRM_2022-10-20_RFR-049</v>
      </c>
      <c r="S349" s="315" t="str">
        <f t="shared" ref="S349:T349" si="702">IF(COUNTIF(W$2:W1399, $A349) &gt; 0,TRUE,IFERROR(0/0,""))</f>
        <v/>
      </c>
      <c r="T349" s="315" t="str">
        <f t="shared" si="702"/>
        <v/>
      </c>
      <c r="U349" s="114" t="str">
        <f t="array" ref="U349">IF(ISBLANK($R349), INDEX('Run Reconcile'!A$2:A1399, MATCH($B349, 'Run Reconcile'!B$2:B1399, 0)+Z349, 1), IFERROR(0/0,""))
</f>
        <v/>
      </c>
      <c r="V349" s="316" t="str">
        <f t="shared" si="5"/>
        <v>RUN-ABRM_2022-10-20_RFR-049</v>
      </c>
      <c r="Y349" s="317" t="str">
        <f t="shared" si="6"/>
        <v/>
      </c>
      <c r="Z349" s="83" t="str">
        <f t="shared" si="7"/>
        <v/>
      </c>
      <c r="AA349" s="83" t="str">
        <f t="shared" si="8"/>
        <v/>
      </c>
      <c r="AB349" s="83" t="str">
        <f t="shared" si="9"/>
        <v/>
      </c>
      <c r="AC349" s="18" t="str">
        <f t="shared" ref="AC349:AD349" si="703">IF(_xlfn.ISFORMULA(S349),IFERROR(0/0,""),TRUE)</f>
        <v/>
      </c>
      <c r="AD349" s="18" t="str">
        <f t="shared" si="703"/>
        <v/>
      </c>
      <c r="AE349" s="43"/>
      <c r="AF349" s="58" t="s">
        <v>61</v>
      </c>
      <c r="AG349" s="55" t="str">
        <f t="shared" si="11"/>
        <v/>
      </c>
    </row>
    <row r="350">
      <c r="A350" s="7" t="str">
        <f>IFERROR(__xludf.DUMMYFUNCTION("""COMPUTED_VALUE"""),"AG714")</f>
        <v>AG714</v>
      </c>
      <c r="B350" s="308">
        <f>IFERROR(__xludf.DUMMYFUNCTION("""COMPUTED_VALUE"""),44854.0)</f>
        <v>44854</v>
      </c>
      <c r="C350" s="309">
        <f>IFERROR(__xludf.DUMMYFUNCTION("""COMPUTED_VALUE"""),0.2991550925925926)</f>
        <v>0.2991550926</v>
      </c>
      <c r="D350" s="7" t="str">
        <f>IFERROR(__xludf.DUMMYFUNCTION("""COMPUTED_VALUE"""),"SpABRM367540")</f>
        <v>SpABRM367540</v>
      </c>
      <c r="E350" s="310"/>
      <c r="F350" s="310"/>
      <c r="G350" s="310" t="str">
        <f>IFERROR(__xludf.DUMMYFUNCTION("""COMPUTED_VALUE"""),"Negative")</f>
        <v>Negative</v>
      </c>
      <c r="H350" s="319" t="str">
        <f>IFERROR(__xludf.DUMMYFUNCTION("""COMPUTED_VALUE"""),"Negative")</f>
        <v>Negative</v>
      </c>
      <c r="I350" s="308">
        <f>IFERROR(__xludf.DUMMYFUNCTION("""COMPUTED_VALUE"""),44854.0)</f>
        <v>44854</v>
      </c>
      <c r="J350" s="311">
        <f>IFERROR(__xludf.DUMMYFUNCTION("""COMPUTED_VALUE"""),0.39046296296296296)</f>
        <v>0.390462963</v>
      </c>
      <c r="K350" s="54"/>
      <c r="L350" s="7"/>
      <c r="M350" s="312"/>
      <c r="N350" s="172">
        <f>IFERROR(__xludf.DUMMYFUNCTION("""COMPUTED_VALUE"""),3.0)</f>
        <v>3</v>
      </c>
      <c r="O350" s="172" t="str">
        <f t="shared" si="3"/>
        <v/>
      </c>
      <c r="P350" s="313">
        <f>IFERROR(__xludf.DUMMYFUNCTION("""COMPUTED_VALUE"""),0.0)</f>
        <v>0</v>
      </c>
      <c r="Q350" s="76" t="b">
        <f>VLOOKUP($B350,'Run Reconcile'!B$2:O1399,14,FALSE)</f>
        <v>1</v>
      </c>
      <c r="R350" s="314" t="str">
        <f t="array" ref="R350">IF($Q350, INDEX('Run Reconcile'!A$2:A1399,MATCH(B350,'Run Reconcile'!B$2:B1399,0),1),IFERROR(0/0,""))</f>
        <v>RUN-ABRM_2022-10-20_RFR-049</v>
      </c>
      <c r="S350" s="315" t="str">
        <f t="shared" ref="S350:T350" si="704">IF(COUNTIF(W$2:W1399, $A350) &gt; 0,TRUE,IFERROR(0/0,""))</f>
        <v/>
      </c>
      <c r="T350" s="315" t="str">
        <f t="shared" si="704"/>
        <v/>
      </c>
      <c r="U350" s="114" t="str">
        <f t="array" ref="U350">IF(ISBLANK($R350), INDEX('Run Reconcile'!A$2:A1399, MATCH($B350, 'Run Reconcile'!B$2:B1399, 0)+Z350, 1), IFERROR(0/0,""))
</f>
        <v/>
      </c>
      <c r="V350" s="316" t="str">
        <f t="shared" si="5"/>
        <v>RUN-ABRM_2022-10-20_RFR-049</v>
      </c>
      <c r="Y350" s="317" t="str">
        <f t="shared" si="6"/>
        <v/>
      </c>
      <c r="Z350" s="83" t="str">
        <f t="shared" si="7"/>
        <v/>
      </c>
      <c r="AA350" s="83" t="str">
        <f t="shared" si="8"/>
        <v/>
      </c>
      <c r="AB350" s="83" t="str">
        <f t="shared" si="9"/>
        <v/>
      </c>
      <c r="AC350" s="18" t="str">
        <f t="shared" ref="AC350:AD350" si="705">IF(_xlfn.ISFORMULA(S350),IFERROR(0/0,""),TRUE)</f>
        <v/>
      </c>
      <c r="AD350" s="18" t="str">
        <f t="shared" si="705"/>
        <v/>
      </c>
      <c r="AE350" s="43"/>
      <c r="AF350" s="58" t="s">
        <v>61</v>
      </c>
      <c r="AG350" s="55" t="str">
        <f t="shared" si="11"/>
        <v/>
      </c>
    </row>
    <row r="351">
      <c r="A351" s="7" t="str">
        <f>IFERROR(__xludf.DUMMYFUNCTION("""COMPUTED_VALUE"""),"AH130")</f>
        <v>AH130</v>
      </c>
      <c r="B351" s="308">
        <f>IFERROR(__xludf.DUMMYFUNCTION("""COMPUTED_VALUE"""),44854.0)</f>
        <v>44854</v>
      </c>
      <c r="C351" s="309">
        <f>IFERROR(__xludf.DUMMYFUNCTION("""COMPUTED_VALUE"""),0.3280439814814815)</f>
        <v>0.3280439815</v>
      </c>
      <c r="D351" s="7" t="str">
        <f>IFERROR(__xludf.DUMMYFUNCTION("""COMPUTED_VALUE"""),"SpABRM814022")</f>
        <v>SpABRM814022</v>
      </c>
      <c r="E351" s="310"/>
      <c r="F351" s="310"/>
      <c r="G351" s="310" t="str">
        <f>IFERROR(__xludf.DUMMYFUNCTION("""COMPUTED_VALUE"""),"Negative")</f>
        <v>Negative</v>
      </c>
      <c r="H351" s="319" t="str">
        <f>IFERROR(__xludf.DUMMYFUNCTION("""COMPUTED_VALUE"""),"Negative")</f>
        <v>Negative</v>
      </c>
      <c r="I351" s="308">
        <f>IFERROR(__xludf.DUMMYFUNCTION("""COMPUTED_VALUE"""),44854.0)</f>
        <v>44854</v>
      </c>
      <c r="J351" s="311">
        <f>IFERROR(__xludf.DUMMYFUNCTION("""COMPUTED_VALUE"""),0.39047453703703705)</f>
        <v>0.390474537</v>
      </c>
      <c r="K351" s="54"/>
      <c r="L351" s="7"/>
      <c r="M351" s="312"/>
      <c r="N351" s="172">
        <f>IFERROR(__xludf.DUMMYFUNCTION("""COMPUTED_VALUE"""),1.0)</f>
        <v>1</v>
      </c>
      <c r="O351" s="172" t="str">
        <f t="shared" si="3"/>
        <v/>
      </c>
      <c r="P351" s="313">
        <f>IFERROR(__xludf.DUMMYFUNCTION("""COMPUTED_VALUE"""),0.0)</f>
        <v>0</v>
      </c>
      <c r="Q351" s="76" t="b">
        <f>VLOOKUP($B351,'Run Reconcile'!B$2:O1399,14,FALSE)</f>
        <v>1</v>
      </c>
      <c r="R351" s="314" t="str">
        <f t="array" ref="R351">IF($Q351, INDEX('Run Reconcile'!A$2:A1399,MATCH(B351,'Run Reconcile'!B$2:B1399,0),1),IFERROR(0/0,""))</f>
        <v>RUN-ABRM_2022-10-20_RFR-049</v>
      </c>
      <c r="S351" s="315" t="str">
        <f t="shared" ref="S351:T351" si="706">IF(COUNTIF(W$2:W1399, $A351) &gt; 0,TRUE,IFERROR(0/0,""))</f>
        <v/>
      </c>
      <c r="T351" s="315" t="str">
        <f t="shared" si="706"/>
        <v/>
      </c>
      <c r="U351" s="114" t="str">
        <f t="array" ref="U351">IF(ISBLANK($R351), INDEX('Run Reconcile'!A$2:A1399, MATCH($B351, 'Run Reconcile'!B$2:B1399, 0)+Z351, 1), IFERROR(0/0,""))
</f>
        <v/>
      </c>
      <c r="V351" s="316" t="str">
        <f t="shared" si="5"/>
        <v>RUN-ABRM_2022-10-20_RFR-049</v>
      </c>
      <c r="Y351" s="317" t="str">
        <f t="shared" si="6"/>
        <v/>
      </c>
      <c r="Z351" s="83" t="str">
        <f t="shared" si="7"/>
        <v/>
      </c>
      <c r="AA351" s="83" t="str">
        <f t="shared" si="8"/>
        <v/>
      </c>
      <c r="AB351" s="83" t="str">
        <f t="shared" si="9"/>
        <v/>
      </c>
      <c r="AC351" s="18" t="str">
        <f t="shared" ref="AC351:AD351" si="707">IF(_xlfn.ISFORMULA(S351),IFERROR(0/0,""),TRUE)</f>
        <v/>
      </c>
      <c r="AD351" s="18" t="str">
        <f t="shared" si="707"/>
        <v/>
      </c>
      <c r="AE351" s="43"/>
      <c r="AF351" s="58" t="s">
        <v>61</v>
      </c>
      <c r="AG351" s="55" t="str">
        <f t="shared" si="11"/>
        <v/>
      </c>
    </row>
    <row r="352">
      <c r="A352" s="7" t="str">
        <f>IFERROR(__xludf.DUMMYFUNCTION("""COMPUTED_VALUE"""),"AG569")</f>
        <v>AG569</v>
      </c>
      <c r="B352" s="308">
        <f>IFERROR(__xludf.DUMMYFUNCTION("""COMPUTED_VALUE"""),44854.0)</f>
        <v>44854</v>
      </c>
      <c r="C352" s="309">
        <f>IFERROR(__xludf.DUMMYFUNCTION("""COMPUTED_VALUE"""),0.32859953703703704)</f>
        <v>0.328599537</v>
      </c>
      <c r="D352" s="7" t="str">
        <f>IFERROR(__xludf.DUMMYFUNCTION("""COMPUTED_VALUE"""),"SpABRM297307")</f>
        <v>SpABRM297307</v>
      </c>
      <c r="E352" s="310"/>
      <c r="F352" s="310"/>
      <c r="G352" s="310" t="str">
        <f>IFERROR(__xludf.DUMMYFUNCTION("""COMPUTED_VALUE"""),"Negative")</f>
        <v>Negative</v>
      </c>
      <c r="H352" s="319" t="str">
        <f>IFERROR(__xludf.DUMMYFUNCTION("""COMPUTED_VALUE"""),"Negative")</f>
        <v>Negative</v>
      </c>
      <c r="I352" s="308">
        <f>IFERROR(__xludf.DUMMYFUNCTION("""COMPUTED_VALUE"""),44854.0)</f>
        <v>44854</v>
      </c>
      <c r="J352" s="311">
        <f>IFERROR(__xludf.DUMMYFUNCTION("""COMPUTED_VALUE"""),0.39046296296296296)</f>
        <v>0.390462963</v>
      </c>
      <c r="K352" s="54"/>
      <c r="L352" s="7"/>
      <c r="M352" s="312"/>
      <c r="N352" s="172">
        <f>IFERROR(__xludf.DUMMYFUNCTION("""COMPUTED_VALUE"""),3.0)</f>
        <v>3</v>
      </c>
      <c r="O352" s="172" t="str">
        <f t="shared" si="3"/>
        <v/>
      </c>
      <c r="P352" s="313">
        <f>IFERROR(__xludf.DUMMYFUNCTION("""COMPUTED_VALUE"""),0.0)</f>
        <v>0</v>
      </c>
      <c r="Q352" s="76" t="b">
        <f>VLOOKUP($B352,'Run Reconcile'!B$2:O1399,14,FALSE)</f>
        <v>1</v>
      </c>
      <c r="R352" s="314" t="str">
        <f t="array" ref="R352">IF($Q352, INDEX('Run Reconcile'!A$2:A1399,MATCH(B352,'Run Reconcile'!B$2:B1399,0),1),IFERROR(0/0,""))</f>
        <v>RUN-ABRM_2022-10-20_RFR-049</v>
      </c>
      <c r="S352" s="315" t="str">
        <f t="shared" ref="S352:T352" si="708">IF(COUNTIF(W$2:W1399, $A352) &gt; 0,TRUE,IFERROR(0/0,""))</f>
        <v/>
      </c>
      <c r="T352" s="315" t="str">
        <f t="shared" si="708"/>
        <v/>
      </c>
      <c r="U352" s="114" t="str">
        <f t="array" ref="U352">IF(ISBLANK($R352), INDEX('Run Reconcile'!A$2:A1399, MATCH($B352, 'Run Reconcile'!B$2:B1399, 0)+Z352, 1), IFERROR(0/0,""))
</f>
        <v/>
      </c>
      <c r="V352" s="316" t="str">
        <f t="shared" si="5"/>
        <v>RUN-ABRM_2022-10-20_RFR-049</v>
      </c>
      <c r="Y352" s="317" t="str">
        <f t="shared" si="6"/>
        <v/>
      </c>
      <c r="Z352" s="83" t="str">
        <f t="shared" si="7"/>
        <v/>
      </c>
      <c r="AA352" s="83" t="str">
        <f t="shared" si="8"/>
        <v/>
      </c>
      <c r="AB352" s="83" t="str">
        <f t="shared" si="9"/>
        <v/>
      </c>
      <c r="AC352" s="18" t="str">
        <f t="shared" ref="AC352:AD352" si="709">IF(_xlfn.ISFORMULA(S352),IFERROR(0/0,""),TRUE)</f>
        <v/>
      </c>
      <c r="AD352" s="18" t="str">
        <f t="shared" si="709"/>
        <v/>
      </c>
      <c r="AE352" s="43"/>
      <c r="AF352" s="58" t="s">
        <v>61</v>
      </c>
      <c r="AG352" s="55" t="str">
        <f t="shared" si="11"/>
        <v/>
      </c>
    </row>
    <row r="353">
      <c r="A353" s="7" t="str">
        <f>IFERROR(__xludf.DUMMYFUNCTION("""COMPUTED_VALUE"""),"AH7894")</f>
        <v>AH7894</v>
      </c>
      <c r="B353" s="308">
        <f>IFERROR(__xludf.DUMMYFUNCTION("""COMPUTED_VALUE"""),44854.0)</f>
        <v>44854</v>
      </c>
      <c r="C353" s="309">
        <f>IFERROR(__xludf.DUMMYFUNCTION("""COMPUTED_VALUE"""),0.37368055555555557)</f>
        <v>0.3736805556</v>
      </c>
      <c r="D353" s="7" t="str">
        <f>IFERROR(__xludf.DUMMYFUNCTION("""COMPUTED_VALUE"""),"SpABRM655136")</f>
        <v>SpABRM655136</v>
      </c>
      <c r="E353" s="310"/>
      <c r="F353" s="310"/>
      <c r="G353" s="310" t="str">
        <f>IFERROR(__xludf.DUMMYFUNCTION("""COMPUTED_VALUE"""),"Negative")</f>
        <v>Negative</v>
      </c>
      <c r="H353" s="319" t="str">
        <f>IFERROR(__xludf.DUMMYFUNCTION("""COMPUTED_VALUE"""),"Negative")</f>
        <v>Negative</v>
      </c>
      <c r="I353" s="308">
        <f>IFERROR(__xludf.DUMMYFUNCTION("""COMPUTED_VALUE"""),44854.0)</f>
        <v>44854</v>
      </c>
      <c r="J353" s="311">
        <f>IFERROR(__xludf.DUMMYFUNCTION("""COMPUTED_VALUE"""),0.39047453703703705)</f>
        <v>0.390474537</v>
      </c>
      <c r="K353" s="54"/>
      <c r="L353" s="7"/>
      <c r="M353" s="312"/>
      <c r="N353" s="172">
        <f>IFERROR(__xludf.DUMMYFUNCTION("""COMPUTED_VALUE"""),2.0)</f>
        <v>2</v>
      </c>
      <c r="O353" s="172" t="str">
        <f t="shared" si="3"/>
        <v/>
      </c>
      <c r="P353" s="313">
        <f>IFERROR(__xludf.DUMMYFUNCTION("""COMPUTED_VALUE"""),0.0)</f>
        <v>0</v>
      </c>
      <c r="Q353" s="76" t="b">
        <f>VLOOKUP($B353,'Run Reconcile'!B$2:O1399,14,FALSE)</f>
        <v>1</v>
      </c>
      <c r="R353" s="314" t="str">
        <f t="array" ref="R353">IF($Q353, INDEX('Run Reconcile'!A$2:A1399,MATCH(B353,'Run Reconcile'!B$2:B1399,0),1),IFERROR(0/0,""))</f>
        <v>RUN-ABRM_2022-10-20_RFR-049</v>
      </c>
      <c r="S353" s="315" t="str">
        <f t="shared" ref="S353:T353" si="710">IF(COUNTIF(W$2:W1399, $A353) &gt; 0,TRUE,IFERROR(0/0,""))</f>
        <v/>
      </c>
      <c r="T353" s="315" t="str">
        <f t="shared" si="710"/>
        <v/>
      </c>
      <c r="U353" s="114" t="str">
        <f t="array" ref="U353">IF(ISBLANK($R353), INDEX('Run Reconcile'!A$2:A1399, MATCH($B353, 'Run Reconcile'!B$2:B1399, 0)+Z353, 1), IFERROR(0/0,""))
</f>
        <v/>
      </c>
      <c r="V353" s="316" t="str">
        <f t="shared" si="5"/>
        <v>RUN-ABRM_2022-10-20_RFR-049</v>
      </c>
      <c r="Y353" s="317" t="str">
        <f t="shared" si="6"/>
        <v/>
      </c>
      <c r="Z353" s="83" t="str">
        <f t="shared" si="7"/>
        <v/>
      </c>
      <c r="AA353" s="83" t="str">
        <f t="shared" si="8"/>
        <v/>
      </c>
      <c r="AB353" s="83" t="str">
        <f t="shared" si="9"/>
        <v/>
      </c>
      <c r="AC353" s="18" t="str">
        <f t="shared" ref="AC353:AD353" si="711">IF(_xlfn.ISFORMULA(S353),IFERROR(0/0,""),TRUE)</f>
        <v/>
      </c>
      <c r="AD353" s="18" t="str">
        <f t="shared" si="711"/>
        <v/>
      </c>
      <c r="AE353" s="43"/>
      <c r="AF353" s="58" t="s">
        <v>61</v>
      </c>
      <c r="AG353" s="55" t="str">
        <f t="shared" si="11"/>
        <v/>
      </c>
    </row>
    <row r="354">
      <c r="A354" s="7" t="str">
        <f>IFERROR(__xludf.DUMMYFUNCTION("""COMPUTED_VALUE"""),"AJ9681")</f>
        <v>AJ9681</v>
      </c>
      <c r="B354" s="308">
        <f>IFERROR(__xludf.DUMMYFUNCTION("""COMPUTED_VALUE"""),44854.0)</f>
        <v>44854</v>
      </c>
      <c r="C354" s="309">
        <f>IFERROR(__xludf.DUMMYFUNCTION("""COMPUTED_VALUE"""),0.3745717592592593)</f>
        <v>0.3745717593</v>
      </c>
      <c r="D354" s="7" t="str">
        <f>IFERROR(__xludf.DUMMYFUNCTION("""COMPUTED_VALUE"""),"SpABRM655136")</f>
        <v>SpABRM655136</v>
      </c>
      <c r="E354" s="310"/>
      <c r="F354" s="310"/>
      <c r="G354" s="310" t="str">
        <f>IFERROR(__xludf.DUMMYFUNCTION("""COMPUTED_VALUE"""),"Negative")</f>
        <v>Negative</v>
      </c>
      <c r="H354" s="319" t="str">
        <f>IFERROR(__xludf.DUMMYFUNCTION("""COMPUTED_VALUE"""),"Negative")</f>
        <v>Negative</v>
      </c>
      <c r="I354" s="308">
        <f>IFERROR(__xludf.DUMMYFUNCTION("""COMPUTED_VALUE"""),44854.0)</f>
        <v>44854</v>
      </c>
      <c r="J354" s="311">
        <f>IFERROR(__xludf.DUMMYFUNCTION("""COMPUTED_VALUE"""),0.39047453703703705)</f>
        <v>0.390474537</v>
      </c>
      <c r="K354" s="54"/>
      <c r="L354" s="7"/>
      <c r="M354" s="312"/>
      <c r="N354" s="172">
        <f>IFERROR(__xludf.DUMMYFUNCTION("""COMPUTED_VALUE"""),2.0)</f>
        <v>2</v>
      </c>
      <c r="O354" s="172" t="str">
        <f t="shared" si="3"/>
        <v/>
      </c>
      <c r="P354" s="313">
        <f>IFERROR(__xludf.DUMMYFUNCTION("""COMPUTED_VALUE"""),0.0)</f>
        <v>0</v>
      </c>
      <c r="Q354" s="76" t="b">
        <f>VLOOKUP($B354,'Run Reconcile'!B$2:O1399,14,FALSE)</f>
        <v>1</v>
      </c>
      <c r="R354" s="314" t="str">
        <f t="array" ref="R354">IF($Q354, INDEX('Run Reconcile'!A$2:A1399,MATCH(B354,'Run Reconcile'!B$2:B1399,0),1),IFERROR(0/0,""))</f>
        <v>RUN-ABRM_2022-10-20_RFR-049</v>
      </c>
      <c r="S354" s="315" t="str">
        <f t="shared" ref="S354:T354" si="712">IF(COUNTIF(W$2:W1399, $A354) &gt; 0,TRUE,IFERROR(0/0,""))</f>
        <v/>
      </c>
      <c r="T354" s="315" t="str">
        <f t="shared" si="712"/>
        <v/>
      </c>
      <c r="U354" s="114" t="str">
        <f t="array" ref="U354">IF(ISBLANK($R354), INDEX('Run Reconcile'!A$2:A1399, MATCH($B354, 'Run Reconcile'!B$2:B1399, 0)+Z354, 1), IFERROR(0/0,""))
</f>
        <v/>
      </c>
      <c r="V354" s="316" t="str">
        <f t="shared" si="5"/>
        <v>RUN-ABRM_2022-10-20_RFR-049</v>
      </c>
      <c r="Y354" s="317" t="str">
        <f t="shared" si="6"/>
        <v/>
      </c>
      <c r="Z354" s="83" t="str">
        <f t="shared" si="7"/>
        <v/>
      </c>
      <c r="AA354" s="83" t="str">
        <f t="shared" si="8"/>
        <v/>
      </c>
      <c r="AB354" s="83" t="str">
        <f t="shared" si="9"/>
        <v/>
      </c>
      <c r="AC354" s="18" t="str">
        <f t="shared" ref="AC354:AD354" si="713">IF(_xlfn.ISFORMULA(S354),IFERROR(0/0,""),TRUE)</f>
        <v/>
      </c>
      <c r="AD354" s="18" t="str">
        <f t="shared" si="713"/>
        <v/>
      </c>
      <c r="AE354" s="43"/>
      <c r="AF354" s="58" t="s">
        <v>61</v>
      </c>
      <c r="AG354" s="55" t="str">
        <f t="shared" si="11"/>
        <v/>
      </c>
    </row>
    <row r="355">
      <c r="A355" s="7" t="str">
        <f>IFERROR(__xludf.DUMMYFUNCTION("""COMPUTED_VALUE"""),"AH8867")</f>
        <v>AH8867</v>
      </c>
      <c r="B355" s="308">
        <f>IFERROR(__xludf.DUMMYFUNCTION("""COMPUTED_VALUE"""),44854.0)</f>
        <v>44854</v>
      </c>
      <c r="C355" s="309">
        <f>IFERROR(__xludf.DUMMYFUNCTION("""COMPUTED_VALUE"""),0.37484953703703705)</f>
        <v>0.374849537</v>
      </c>
      <c r="D355" s="7" t="str">
        <f>IFERROR(__xludf.DUMMYFUNCTION("""COMPUTED_VALUE"""),"SpABRM655136")</f>
        <v>SpABRM655136</v>
      </c>
      <c r="E355" s="310"/>
      <c r="F355" s="310"/>
      <c r="G355" s="310" t="str">
        <f>IFERROR(__xludf.DUMMYFUNCTION("""COMPUTED_VALUE"""),"Negative")</f>
        <v>Negative</v>
      </c>
      <c r="H355" s="319" t="str">
        <f>IFERROR(__xludf.DUMMYFUNCTION("""COMPUTED_VALUE"""),"Negative")</f>
        <v>Negative</v>
      </c>
      <c r="I355" s="308">
        <f>IFERROR(__xludf.DUMMYFUNCTION("""COMPUTED_VALUE"""),44854.0)</f>
        <v>44854</v>
      </c>
      <c r="J355" s="311">
        <f>IFERROR(__xludf.DUMMYFUNCTION("""COMPUTED_VALUE"""),0.39047453703703705)</f>
        <v>0.390474537</v>
      </c>
      <c r="K355" s="54"/>
      <c r="L355" s="7"/>
      <c r="M355" s="312"/>
      <c r="N355" s="172">
        <f>IFERROR(__xludf.DUMMYFUNCTION("""COMPUTED_VALUE"""),1.0)</f>
        <v>1</v>
      </c>
      <c r="O355" s="172" t="str">
        <f t="shared" si="3"/>
        <v/>
      </c>
      <c r="P355" s="313">
        <f>IFERROR(__xludf.DUMMYFUNCTION("""COMPUTED_VALUE"""),0.0)</f>
        <v>0</v>
      </c>
      <c r="Q355" s="76" t="b">
        <f>VLOOKUP($B355,'Run Reconcile'!B$2:O1399,14,FALSE)</f>
        <v>1</v>
      </c>
      <c r="R355" s="314" t="str">
        <f t="array" ref="R355">IF($Q355, INDEX('Run Reconcile'!A$2:A1399,MATCH(B355,'Run Reconcile'!B$2:B1399,0),1),IFERROR(0/0,""))</f>
        <v>RUN-ABRM_2022-10-20_RFR-049</v>
      </c>
      <c r="S355" s="315" t="str">
        <f t="shared" ref="S355:T355" si="714">IF(COUNTIF(W$2:W1399, $A355) &gt; 0,TRUE,IFERROR(0/0,""))</f>
        <v/>
      </c>
      <c r="T355" s="315" t="str">
        <f t="shared" si="714"/>
        <v/>
      </c>
      <c r="U355" s="114" t="str">
        <f t="array" ref="U355">IF(ISBLANK($R355), INDEX('Run Reconcile'!A$2:A1399, MATCH($B355, 'Run Reconcile'!B$2:B1399, 0)+Z355, 1), IFERROR(0/0,""))
</f>
        <v/>
      </c>
      <c r="V355" s="316" t="str">
        <f t="shared" si="5"/>
        <v>RUN-ABRM_2022-10-20_RFR-049</v>
      </c>
      <c r="Y355" s="317" t="str">
        <f t="shared" si="6"/>
        <v/>
      </c>
      <c r="Z355" s="83" t="str">
        <f t="shared" si="7"/>
        <v/>
      </c>
      <c r="AA355" s="83" t="str">
        <f t="shared" si="8"/>
        <v/>
      </c>
      <c r="AB355" s="83" t="str">
        <f t="shared" si="9"/>
        <v/>
      </c>
      <c r="AC355" s="18" t="str">
        <f t="shared" ref="AC355:AD355" si="715">IF(_xlfn.ISFORMULA(S355),IFERROR(0/0,""),TRUE)</f>
        <v/>
      </c>
      <c r="AD355" s="18" t="str">
        <f t="shared" si="715"/>
        <v/>
      </c>
      <c r="AE355" s="43"/>
      <c r="AF355" s="58" t="s">
        <v>61</v>
      </c>
      <c r="AG355" s="55" t="str">
        <f t="shared" si="11"/>
        <v/>
      </c>
    </row>
    <row r="356">
      <c r="A356" s="7" t="str">
        <f>IFERROR(__xludf.DUMMYFUNCTION("""COMPUTED_VALUE"""),"AG2056")</f>
        <v>AG2056</v>
      </c>
      <c r="B356" s="308">
        <f>IFERROR(__xludf.DUMMYFUNCTION("""COMPUTED_VALUE"""),44855.0)</f>
        <v>44855</v>
      </c>
      <c r="C356" s="309">
        <f>IFERROR(__xludf.DUMMYFUNCTION("""COMPUTED_VALUE"""),0.25403935185185184)</f>
        <v>0.2540393519</v>
      </c>
      <c r="D356" s="7" t="str">
        <f>IFERROR(__xludf.DUMMYFUNCTION("""COMPUTED_VALUE"""),"SpABRM516158")</f>
        <v>SpABRM516158</v>
      </c>
      <c r="E356" s="310"/>
      <c r="F356" s="310"/>
      <c r="G356" s="310" t="str">
        <f>IFERROR(__xludf.DUMMYFUNCTION("""COMPUTED_VALUE"""),"Negative")</f>
        <v>Negative</v>
      </c>
      <c r="H356" s="319" t="str">
        <f>IFERROR(__xludf.DUMMYFUNCTION("""COMPUTED_VALUE"""),"Negative")</f>
        <v>Negative</v>
      </c>
      <c r="I356" s="308">
        <f>IFERROR(__xludf.DUMMYFUNCTION("""COMPUTED_VALUE"""),44855.0)</f>
        <v>44855</v>
      </c>
      <c r="J356" s="311">
        <f>IFERROR(__xludf.DUMMYFUNCTION("""COMPUTED_VALUE"""),0.38528935185185187)</f>
        <v>0.3852893519</v>
      </c>
      <c r="K356" s="54"/>
      <c r="L356" s="7"/>
      <c r="M356" s="312"/>
      <c r="N356" s="172">
        <f>IFERROR(__xludf.DUMMYFUNCTION("""COMPUTED_VALUE"""),1.0)</f>
        <v>1</v>
      </c>
      <c r="O356" s="172" t="b">
        <f t="shared" si="3"/>
        <v>1</v>
      </c>
      <c r="P356" s="313">
        <f>IFERROR(__xludf.DUMMYFUNCTION("""COMPUTED_VALUE"""),0.0)</f>
        <v>0</v>
      </c>
      <c r="Q356" s="76" t="b">
        <f>VLOOKUP($B356,'Run Reconcile'!B$2:O1399,14,FALSE)</f>
        <v>1</v>
      </c>
      <c r="R356" s="314" t="str">
        <f t="array" ref="R356">IF($Q356, INDEX('Run Reconcile'!A$2:A1399,MATCH(B356,'Run Reconcile'!B$2:B1399,0),1),IFERROR(0/0,""))</f>
        <v>RUN-ABRM_2022-10-21_RFR-050</v>
      </c>
      <c r="S356" s="315" t="str">
        <f t="shared" ref="S356:T356" si="716">IF(COUNTIF(W$2:W1399, $A356) &gt; 0,TRUE,IFERROR(0/0,""))</f>
        <v/>
      </c>
      <c r="T356" s="315" t="str">
        <f t="shared" si="716"/>
        <v/>
      </c>
      <c r="U356" s="114" t="str">
        <f t="array" ref="U356">IF(ISBLANK($R356), INDEX('Run Reconcile'!A$2:A1399, MATCH($B356, 'Run Reconcile'!B$2:B1399, 0)+Z356, 1), IFERROR(0/0,""))
</f>
        <v/>
      </c>
      <c r="V356" s="316" t="str">
        <f t="shared" si="5"/>
        <v>RUN-ABRM_2022-10-21_RFR-050</v>
      </c>
      <c r="Y356" s="317" t="str">
        <f t="shared" si="6"/>
        <v/>
      </c>
      <c r="Z356" s="83" t="str">
        <f t="shared" si="7"/>
        <v/>
      </c>
      <c r="AA356" s="83" t="str">
        <f t="shared" si="8"/>
        <v/>
      </c>
      <c r="AB356" s="83" t="str">
        <f t="shared" si="9"/>
        <v/>
      </c>
      <c r="AC356" s="18" t="str">
        <f t="shared" ref="AC356:AD356" si="717">IF(_xlfn.ISFORMULA(S356),IFERROR(0/0,""),TRUE)</f>
        <v/>
      </c>
      <c r="AD356" s="18" t="str">
        <f t="shared" si="717"/>
        <v/>
      </c>
      <c r="AE356" s="43"/>
      <c r="AF356" s="58" t="s">
        <v>62</v>
      </c>
      <c r="AG356" s="55" t="str">
        <f t="shared" si="11"/>
        <v/>
      </c>
    </row>
    <row r="357">
      <c r="A357" s="7" t="str">
        <f>IFERROR(__xludf.DUMMYFUNCTION("""COMPUTED_VALUE"""),"AG1756")</f>
        <v>AG1756</v>
      </c>
      <c r="B357" s="308">
        <f>IFERROR(__xludf.DUMMYFUNCTION("""COMPUTED_VALUE"""),44855.0)</f>
        <v>44855</v>
      </c>
      <c r="C357" s="309">
        <f>IFERROR(__xludf.DUMMYFUNCTION("""COMPUTED_VALUE"""),0.2578240740740741)</f>
        <v>0.2578240741</v>
      </c>
      <c r="D357" s="7" t="str">
        <f>IFERROR(__xludf.DUMMYFUNCTION("""COMPUTED_VALUE"""),"SpABRM128250")</f>
        <v>SpABRM128250</v>
      </c>
      <c r="E357" s="310"/>
      <c r="F357" s="310"/>
      <c r="G357" s="310" t="str">
        <f>IFERROR(__xludf.DUMMYFUNCTION("""COMPUTED_VALUE"""),"Negative")</f>
        <v>Negative</v>
      </c>
      <c r="H357" s="319" t="str">
        <f>IFERROR(__xludf.DUMMYFUNCTION("""COMPUTED_VALUE"""),"Negative")</f>
        <v>Negative</v>
      </c>
      <c r="I357" s="308">
        <f>IFERROR(__xludf.DUMMYFUNCTION("""COMPUTED_VALUE"""),44855.0)</f>
        <v>44855</v>
      </c>
      <c r="J357" s="311">
        <f>IFERROR(__xludf.DUMMYFUNCTION("""COMPUTED_VALUE"""),0.3853009259259259)</f>
        <v>0.3853009259</v>
      </c>
      <c r="K357" s="54"/>
      <c r="L357" s="7"/>
      <c r="M357" s="312"/>
      <c r="N357" s="172">
        <f>IFERROR(__xludf.DUMMYFUNCTION("""COMPUTED_VALUE"""),3.0)</f>
        <v>3</v>
      </c>
      <c r="O357" s="172" t="str">
        <f t="shared" si="3"/>
        <v/>
      </c>
      <c r="P357" s="313">
        <f>IFERROR(__xludf.DUMMYFUNCTION("""COMPUTED_VALUE"""),0.0)</f>
        <v>0</v>
      </c>
      <c r="Q357" s="76" t="b">
        <f>VLOOKUP($B357,'Run Reconcile'!B$2:O1399,14,FALSE)</f>
        <v>1</v>
      </c>
      <c r="R357" s="314" t="str">
        <f t="array" ref="R357">IF($Q357, INDEX('Run Reconcile'!A$2:A1399,MATCH(B357,'Run Reconcile'!B$2:B1399,0),1),IFERROR(0/0,""))</f>
        <v>RUN-ABRM_2022-10-21_RFR-050</v>
      </c>
      <c r="S357" s="315" t="str">
        <f t="shared" ref="S357:T357" si="718">IF(COUNTIF(W$2:W1399, $A357) &gt; 0,TRUE,IFERROR(0/0,""))</f>
        <v/>
      </c>
      <c r="T357" s="315" t="str">
        <f t="shared" si="718"/>
        <v/>
      </c>
      <c r="U357" s="114" t="str">
        <f t="array" ref="U357">IF(ISBLANK($R357), INDEX('Run Reconcile'!A$2:A1399, MATCH($B357, 'Run Reconcile'!B$2:B1399, 0)+Z357, 1), IFERROR(0/0,""))
</f>
        <v/>
      </c>
      <c r="V357" s="316" t="str">
        <f t="shared" si="5"/>
        <v>RUN-ABRM_2022-10-21_RFR-050</v>
      </c>
      <c r="Y357" s="317" t="str">
        <f t="shared" si="6"/>
        <v/>
      </c>
      <c r="Z357" s="83" t="str">
        <f t="shared" si="7"/>
        <v/>
      </c>
      <c r="AA357" s="83" t="str">
        <f t="shared" si="8"/>
        <v/>
      </c>
      <c r="AB357" s="83" t="str">
        <f t="shared" si="9"/>
        <v/>
      </c>
      <c r="AC357" s="18" t="str">
        <f t="shared" ref="AC357:AD357" si="719">IF(_xlfn.ISFORMULA(S357),IFERROR(0/0,""),TRUE)</f>
        <v/>
      </c>
      <c r="AD357" s="18" t="str">
        <f t="shared" si="719"/>
        <v/>
      </c>
      <c r="AE357" s="43"/>
      <c r="AF357" s="58" t="s">
        <v>62</v>
      </c>
      <c r="AG357" s="55" t="str">
        <f t="shared" si="11"/>
        <v/>
      </c>
    </row>
    <row r="358">
      <c r="A358" s="7" t="str">
        <f>IFERROR(__xludf.DUMMYFUNCTION("""COMPUTED_VALUE"""),"AG2034")</f>
        <v>AG2034</v>
      </c>
      <c r="B358" s="308">
        <f>IFERROR(__xludf.DUMMYFUNCTION("""COMPUTED_VALUE"""),44855.0)</f>
        <v>44855</v>
      </c>
      <c r="C358" s="309">
        <f>IFERROR(__xludf.DUMMYFUNCTION("""COMPUTED_VALUE"""),0.2854513888888889)</f>
        <v>0.2854513889</v>
      </c>
      <c r="D358" s="7" t="str">
        <f>IFERROR(__xludf.DUMMYFUNCTION("""COMPUTED_VALUE"""),"SpABRM655136")</f>
        <v>SpABRM655136</v>
      </c>
      <c r="E358" s="310"/>
      <c r="F358" s="310"/>
      <c r="G358" s="310" t="str">
        <f>IFERROR(__xludf.DUMMYFUNCTION("""COMPUTED_VALUE"""),"Negative")</f>
        <v>Negative</v>
      </c>
      <c r="H358" s="319" t="str">
        <f>IFERROR(__xludf.DUMMYFUNCTION("""COMPUTED_VALUE"""),"Negative")</f>
        <v>Negative</v>
      </c>
      <c r="I358" s="308">
        <f>IFERROR(__xludf.DUMMYFUNCTION("""COMPUTED_VALUE"""),44855.0)</f>
        <v>44855</v>
      </c>
      <c r="J358" s="311">
        <f>IFERROR(__xludf.DUMMYFUNCTION("""COMPUTED_VALUE"""),0.3853009259259259)</f>
        <v>0.3853009259</v>
      </c>
      <c r="K358" s="54"/>
      <c r="L358" s="7"/>
      <c r="M358" s="312"/>
      <c r="N358" s="172">
        <f>IFERROR(__xludf.DUMMYFUNCTION("""COMPUTED_VALUE"""),2.0)</f>
        <v>2</v>
      </c>
      <c r="O358" s="172" t="str">
        <f t="shared" si="3"/>
        <v/>
      </c>
      <c r="P358" s="313">
        <f>IFERROR(__xludf.DUMMYFUNCTION("""COMPUTED_VALUE"""),0.0)</f>
        <v>0</v>
      </c>
      <c r="Q358" s="76" t="b">
        <f>VLOOKUP($B358,'Run Reconcile'!B$2:O1399,14,FALSE)</f>
        <v>1</v>
      </c>
      <c r="R358" s="314" t="str">
        <f t="array" ref="R358">IF($Q358, INDEX('Run Reconcile'!A$2:A1399,MATCH(B358,'Run Reconcile'!B$2:B1399,0),1),IFERROR(0/0,""))</f>
        <v>RUN-ABRM_2022-10-21_RFR-050</v>
      </c>
      <c r="S358" s="315" t="str">
        <f t="shared" ref="S358:T358" si="720">IF(COUNTIF(W$2:W1399, $A358) &gt; 0,TRUE,IFERROR(0/0,""))</f>
        <v/>
      </c>
      <c r="T358" s="315" t="str">
        <f t="shared" si="720"/>
        <v/>
      </c>
      <c r="U358" s="114" t="str">
        <f t="array" ref="U358">IF(ISBLANK($R358), INDEX('Run Reconcile'!A$2:A1399, MATCH($B358, 'Run Reconcile'!B$2:B1399, 0)+Z358, 1), IFERROR(0/0,""))
</f>
        <v/>
      </c>
      <c r="V358" s="316" t="str">
        <f t="shared" si="5"/>
        <v>RUN-ABRM_2022-10-21_RFR-050</v>
      </c>
      <c r="Y358" s="317" t="str">
        <f t="shared" si="6"/>
        <v/>
      </c>
      <c r="Z358" s="83" t="str">
        <f t="shared" si="7"/>
        <v/>
      </c>
      <c r="AA358" s="83" t="str">
        <f t="shared" si="8"/>
        <v/>
      </c>
      <c r="AB358" s="83" t="str">
        <f t="shared" si="9"/>
        <v/>
      </c>
      <c r="AC358" s="18" t="str">
        <f t="shared" ref="AC358:AD358" si="721">IF(_xlfn.ISFORMULA(S358),IFERROR(0/0,""),TRUE)</f>
        <v/>
      </c>
      <c r="AD358" s="18" t="str">
        <f t="shared" si="721"/>
        <v/>
      </c>
      <c r="AE358" s="43"/>
      <c r="AF358" s="58" t="s">
        <v>62</v>
      </c>
      <c r="AG358" s="55" t="str">
        <f t="shared" si="11"/>
        <v/>
      </c>
    </row>
    <row r="359">
      <c r="A359" s="7" t="str">
        <f>IFERROR(__xludf.DUMMYFUNCTION("""COMPUTED_VALUE"""),"AG1369")</f>
        <v>AG1369</v>
      </c>
      <c r="B359" s="308">
        <f>IFERROR(__xludf.DUMMYFUNCTION("""COMPUTED_VALUE"""),44855.0)</f>
        <v>44855</v>
      </c>
      <c r="C359" s="309">
        <f>IFERROR(__xludf.DUMMYFUNCTION("""COMPUTED_VALUE"""),0.2863773148148148)</f>
        <v>0.2863773148</v>
      </c>
      <c r="D359" s="7" t="str">
        <f>IFERROR(__xludf.DUMMYFUNCTION("""COMPUTED_VALUE"""),"SpABRM655136")</f>
        <v>SpABRM655136</v>
      </c>
      <c r="E359" s="310"/>
      <c r="F359" s="310"/>
      <c r="G359" s="310" t="str">
        <f>IFERROR(__xludf.DUMMYFUNCTION("""COMPUTED_VALUE"""),"Negative")</f>
        <v>Negative</v>
      </c>
      <c r="H359" s="319" t="str">
        <f>IFERROR(__xludf.DUMMYFUNCTION("""COMPUTED_VALUE"""),"Negative")</f>
        <v>Negative</v>
      </c>
      <c r="I359" s="308">
        <f>IFERROR(__xludf.DUMMYFUNCTION("""COMPUTED_VALUE"""),44855.0)</f>
        <v>44855</v>
      </c>
      <c r="J359" s="311">
        <f>IFERROR(__xludf.DUMMYFUNCTION("""COMPUTED_VALUE"""),0.3853009259259259)</f>
        <v>0.3853009259</v>
      </c>
      <c r="K359" s="54"/>
      <c r="L359" s="7"/>
      <c r="M359" s="312"/>
      <c r="N359" s="172">
        <f>IFERROR(__xludf.DUMMYFUNCTION("""COMPUTED_VALUE"""),2.0)</f>
        <v>2</v>
      </c>
      <c r="O359" s="172" t="str">
        <f t="shared" si="3"/>
        <v/>
      </c>
      <c r="P359" s="313">
        <f>IFERROR(__xludf.DUMMYFUNCTION("""COMPUTED_VALUE"""),0.0)</f>
        <v>0</v>
      </c>
      <c r="Q359" s="76" t="b">
        <f>VLOOKUP($B359,'Run Reconcile'!B$2:O1399,14,FALSE)</f>
        <v>1</v>
      </c>
      <c r="R359" s="314" t="str">
        <f t="array" ref="R359">IF($Q359, INDEX('Run Reconcile'!A$2:A1399,MATCH(B359,'Run Reconcile'!B$2:B1399,0),1),IFERROR(0/0,""))</f>
        <v>RUN-ABRM_2022-10-21_RFR-050</v>
      </c>
      <c r="S359" s="315" t="str">
        <f t="shared" ref="S359:T359" si="722">IF(COUNTIF(W$2:W1399, $A359) &gt; 0,TRUE,IFERROR(0/0,""))</f>
        <v/>
      </c>
      <c r="T359" s="315" t="str">
        <f t="shared" si="722"/>
        <v/>
      </c>
      <c r="U359" s="114" t="str">
        <f t="array" ref="U359">IF(ISBLANK($R359), INDEX('Run Reconcile'!A$2:A1399, MATCH($B359, 'Run Reconcile'!B$2:B1399, 0)+Z359, 1), IFERROR(0/0,""))
</f>
        <v/>
      </c>
      <c r="V359" s="316" t="str">
        <f t="shared" si="5"/>
        <v>RUN-ABRM_2022-10-21_RFR-050</v>
      </c>
      <c r="Y359" s="317" t="str">
        <f t="shared" si="6"/>
        <v/>
      </c>
      <c r="Z359" s="83" t="str">
        <f t="shared" si="7"/>
        <v/>
      </c>
      <c r="AA359" s="83" t="str">
        <f t="shared" si="8"/>
        <v/>
      </c>
      <c r="AB359" s="83" t="str">
        <f t="shared" si="9"/>
        <v/>
      </c>
      <c r="AC359" s="18" t="str">
        <f t="shared" ref="AC359:AD359" si="723">IF(_xlfn.ISFORMULA(S359),IFERROR(0/0,""),TRUE)</f>
        <v/>
      </c>
      <c r="AD359" s="18" t="str">
        <f t="shared" si="723"/>
        <v/>
      </c>
      <c r="AE359" s="43"/>
      <c r="AF359" s="58" t="s">
        <v>62</v>
      </c>
      <c r="AG359" s="55" t="str">
        <f t="shared" si="11"/>
        <v/>
      </c>
    </row>
    <row r="360">
      <c r="A360" s="7" t="str">
        <f>IFERROR(__xludf.DUMMYFUNCTION("""COMPUTED_VALUE"""),"AH9000")</f>
        <v>AH9000</v>
      </c>
      <c r="B360" s="308">
        <f>IFERROR(__xludf.DUMMYFUNCTION("""COMPUTED_VALUE"""),44855.0)</f>
        <v>44855</v>
      </c>
      <c r="C360" s="309">
        <f>IFERROR(__xludf.DUMMYFUNCTION("""COMPUTED_VALUE"""),0.29606481481481484)</f>
        <v>0.2960648148</v>
      </c>
      <c r="D360" s="7" t="str">
        <f>IFERROR(__xludf.DUMMYFUNCTION("""COMPUTED_VALUE"""),"SpABRM367540")</f>
        <v>SpABRM367540</v>
      </c>
      <c r="E360" s="310"/>
      <c r="F360" s="310"/>
      <c r="G360" s="310" t="str">
        <f>IFERROR(__xludf.DUMMYFUNCTION("""COMPUTED_VALUE"""),"Negative")</f>
        <v>Negative</v>
      </c>
      <c r="H360" s="319" t="str">
        <f>IFERROR(__xludf.DUMMYFUNCTION("""COMPUTED_VALUE"""),"Negative")</f>
        <v>Negative</v>
      </c>
      <c r="I360" s="308">
        <f>IFERROR(__xludf.DUMMYFUNCTION("""COMPUTED_VALUE"""),44855.0)</f>
        <v>44855</v>
      </c>
      <c r="J360" s="311">
        <f>IFERROR(__xludf.DUMMYFUNCTION("""COMPUTED_VALUE"""),0.3853009259259259)</f>
        <v>0.3853009259</v>
      </c>
      <c r="K360" s="54"/>
      <c r="L360" s="7"/>
      <c r="M360" s="312"/>
      <c r="N360" s="172">
        <f>IFERROR(__xludf.DUMMYFUNCTION("""COMPUTED_VALUE"""),3.0)</f>
        <v>3</v>
      </c>
      <c r="O360" s="172" t="str">
        <f t="shared" si="3"/>
        <v/>
      </c>
      <c r="P360" s="313">
        <f>IFERROR(__xludf.DUMMYFUNCTION("""COMPUTED_VALUE"""),0.0)</f>
        <v>0</v>
      </c>
      <c r="Q360" s="76" t="b">
        <f>VLOOKUP($B360,'Run Reconcile'!B$2:O1399,14,FALSE)</f>
        <v>1</v>
      </c>
      <c r="R360" s="314" t="str">
        <f t="array" ref="R360">IF($Q360, INDEX('Run Reconcile'!A$2:A1399,MATCH(B360,'Run Reconcile'!B$2:B1399,0),1),IFERROR(0/0,""))</f>
        <v>RUN-ABRM_2022-10-21_RFR-050</v>
      </c>
      <c r="S360" s="315" t="str">
        <f t="shared" ref="S360:T360" si="724">IF(COUNTIF(W$2:W1399, $A360) &gt; 0,TRUE,IFERROR(0/0,""))</f>
        <v/>
      </c>
      <c r="T360" s="315" t="str">
        <f t="shared" si="724"/>
        <v/>
      </c>
      <c r="U360" s="114" t="str">
        <f t="array" ref="U360">IF(ISBLANK($R360), INDEX('Run Reconcile'!A$2:A1399, MATCH($B360, 'Run Reconcile'!B$2:B1399, 0)+Z360, 1), IFERROR(0/0,""))
</f>
        <v/>
      </c>
      <c r="V360" s="316" t="str">
        <f t="shared" si="5"/>
        <v>RUN-ABRM_2022-10-21_RFR-050</v>
      </c>
      <c r="Y360" s="317" t="str">
        <f t="shared" si="6"/>
        <v/>
      </c>
      <c r="Z360" s="83" t="str">
        <f t="shared" si="7"/>
        <v/>
      </c>
      <c r="AA360" s="83" t="str">
        <f t="shared" si="8"/>
        <v/>
      </c>
      <c r="AB360" s="83" t="str">
        <f t="shared" si="9"/>
        <v/>
      </c>
      <c r="AC360" s="18" t="str">
        <f t="shared" ref="AC360:AD360" si="725">IF(_xlfn.ISFORMULA(S360),IFERROR(0/0,""),TRUE)</f>
        <v/>
      </c>
      <c r="AD360" s="18" t="str">
        <f t="shared" si="725"/>
        <v/>
      </c>
      <c r="AE360" s="43"/>
      <c r="AF360" s="58" t="s">
        <v>62</v>
      </c>
      <c r="AG360" s="55" t="str">
        <f t="shared" si="11"/>
        <v/>
      </c>
    </row>
    <row r="361">
      <c r="A361" s="7" t="str">
        <f>IFERROR(__xludf.DUMMYFUNCTION("""COMPUTED_VALUE"""),"AG1380")</f>
        <v>AG1380</v>
      </c>
      <c r="B361" s="308">
        <f>IFERROR(__xludf.DUMMYFUNCTION("""COMPUTED_VALUE"""),44855.0)</f>
        <v>44855</v>
      </c>
      <c r="C361" s="309">
        <f>IFERROR(__xludf.DUMMYFUNCTION("""COMPUTED_VALUE"""),0.3016898148148148)</f>
        <v>0.3016898148</v>
      </c>
      <c r="D361" s="7" t="str">
        <f>IFERROR(__xludf.DUMMYFUNCTION("""COMPUTED_VALUE"""),"SpABRM297307")</f>
        <v>SpABRM297307</v>
      </c>
      <c r="E361" s="310"/>
      <c r="F361" s="310"/>
      <c r="G361" s="310" t="str">
        <f>IFERROR(__xludf.DUMMYFUNCTION("""COMPUTED_VALUE"""),"Negative")</f>
        <v>Negative</v>
      </c>
      <c r="H361" s="319" t="str">
        <f>IFERROR(__xludf.DUMMYFUNCTION("""COMPUTED_VALUE"""),"Negative")</f>
        <v>Negative</v>
      </c>
      <c r="I361" s="308">
        <f>IFERROR(__xludf.DUMMYFUNCTION("""COMPUTED_VALUE"""),44855.0)</f>
        <v>44855</v>
      </c>
      <c r="J361" s="311">
        <f>IFERROR(__xludf.DUMMYFUNCTION("""COMPUTED_VALUE"""),0.3853125)</f>
        <v>0.3853125</v>
      </c>
      <c r="K361" s="54"/>
      <c r="L361" s="7"/>
      <c r="M361" s="312"/>
      <c r="N361" s="172">
        <f>IFERROR(__xludf.DUMMYFUNCTION("""COMPUTED_VALUE"""),3.0)</f>
        <v>3</v>
      </c>
      <c r="O361" s="172" t="str">
        <f t="shared" si="3"/>
        <v/>
      </c>
      <c r="P361" s="313">
        <f>IFERROR(__xludf.DUMMYFUNCTION("""COMPUTED_VALUE"""),0.0)</f>
        <v>0</v>
      </c>
      <c r="Q361" s="76" t="b">
        <f>VLOOKUP($B361,'Run Reconcile'!B$2:O1399,14,FALSE)</f>
        <v>1</v>
      </c>
      <c r="R361" s="314" t="str">
        <f t="array" ref="R361">IF($Q361, INDEX('Run Reconcile'!A$2:A1399,MATCH(B361,'Run Reconcile'!B$2:B1399,0),1),IFERROR(0/0,""))</f>
        <v>RUN-ABRM_2022-10-21_RFR-050</v>
      </c>
      <c r="S361" s="315" t="str">
        <f t="shared" ref="S361:T361" si="726">IF(COUNTIF(W$2:W1399, $A361) &gt; 0,TRUE,IFERROR(0/0,""))</f>
        <v/>
      </c>
      <c r="T361" s="315" t="str">
        <f t="shared" si="726"/>
        <v/>
      </c>
      <c r="U361" s="114" t="str">
        <f t="array" ref="U361">IF(ISBLANK($R361), INDEX('Run Reconcile'!A$2:A1399, MATCH($B361, 'Run Reconcile'!B$2:B1399, 0)+Z361, 1), IFERROR(0/0,""))
</f>
        <v/>
      </c>
      <c r="V361" s="316" t="str">
        <f t="shared" si="5"/>
        <v>RUN-ABRM_2022-10-21_RFR-050</v>
      </c>
      <c r="Y361" s="317" t="str">
        <f t="shared" si="6"/>
        <v/>
      </c>
      <c r="Z361" s="83" t="str">
        <f t="shared" si="7"/>
        <v/>
      </c>
      <c r="AA361" s="83" t="str">
        <f t="shared" si="8"/>
        <v/>
      </c>
      <c r="AB361" s="83" t="str">
        <f t="shared" si="9"/>
        <v/>
      </c>
      <c r="AC361" s="18" t="str">
        <f t="shared" ref="AC361:AD361" si="727">IF(_xlfn.ISFORMULA(S361),IFERROR(0/0,""),TRUE)</f>
        <v/>
      </c>
      <c r="AD361" s="18" t="str">
        <f t="shared" si="727"/>
        <v/>
      </c>
      <c r="AE361" s="43"/>
      <c r="AF361" s="58" t="s">
        <v>62</v>
      </c>
      <c r="AG361" s="55" t="str">
        <f t="shared" si="11"/>
        <v/>
      </c>
    </row>
    <row r="362">
      <c r="A362" s="7" t="str">
        <f>IFERROR(__xludf.DUMMYFUNCTION("""COMPUTED_VALUE"""),"AJ8902")</f>
        <v>AJ8902</v>
      </c>
      <c r="B362" s="308">
        <f>IFERROR(__xludf.DUMMYFUNCTION("""COMPUTED_VALUE"""),44855.0)</f>
        <v>44855</v>
      </c>
      <c r="C362" s="309">
        <f>IFERROR(__xludf.DUMMYFUNCTION("""COMPUTED_VALUE"""),0.31938657407407406)</f>
        <v>0.3193865741</v>
      </c>
      <c r="D362" s="7" t="str">
        <f>IFERROR(__xludf.DUMMYFUNCTION("""COMPUTED_VALUE"""),"SpABRM814022")</f>
        <v>SpABRM814022</v>
      </c>
      <c r="E362" s="310"/>
      <c r="F362" s="310"/>
      <c r="G362" s="310" t="str">
        <f>IFERROR(__xludf.DUMMYFUNCTION("""COMPUTED_VALUE"""),"Negative")</f>
        <v>Negative</v>
      </c>
      <c r="H362" s="319" t="str">
        <f>IFERROR(__xludf.DUMMYFUNCTION("""COMPUTED_VALUE"""),"Negative")</f>
        <v>Negative</v>
      </c>
      <c r="I362" s="308">
        <f>IFERROR(__xludf.DUMMYFUNCTION("""COMPUTED_VALUE"""),44855.0)</f>
        <v>44855</v>
      </c>
      <c r="J362" s="311">
        <f>IFERROR(__xludf.DUMMYFUNCTION("""COMPUTED_VALUE"""),0.3853125)</f>
        <v>0.3853125</v>
      </c>
      <c r="K362" s="54"/>
      <c r="L362" s="7"/>
      <c r="M362" s="312"/>
      <c r="N362" s="172">
        <f>IFERROR(__xludf.DUMMYFUNCTION("""COMPUTED_VALUE"""),1.0)</f>
        <v>1</v>
      </c>
      <c r="O362" s="172" t="str">
        <f t="shared" si="3"/>
        <v/>
      </c>
      <c r="P362" s="313">
        <f>IFERROR(__xludf.DUMMYFUNCTION("""COMPUTED_VALUE"""),0.0)</f>
        <v>0</v>
      </c>
      <c r="Q362" s="76" t="b">
        <f>VLOOKUP($B362,'Run Reconcile'!B$2:O1399,14,FALSE)</f>
        <v>1</v>
      </c>
      <c r="R362" s="314" t="str">
        <f t="array" ref="R362">IF($Q362, INDEX('Run Reconcile'!A$2:A1399,MATCH(B362,'Run Reconcile'!B$2:B1399,0),1),IFERROR(0/0,""))</f>
        <v>RUN-ABRM_2022-10-21_RFR-050</v>
      </c>
      <c r="S362" s="315" t="str">
        <f t="shared" ref="S362:T362" si="728">IF(COUNTIF(W$2:W1399, $A362) &gt; 0,TRUE,IFERROR(0/0,""))</f>
        <v/>
      </c>
      <c r="T362" s="315" t="str">
        <f t="shared" si="728"/>
        <v/>
      </c>
      <c r="U362" s="114" t="str">
        <f t="array" ref="U362">IF(ISBLANK($R362), INDEX('Run Reconcile'!A$2:A1399, MATCH($B362, 'Run Reconcile'!B$2:B1399, 0)+Z362, 1), IFERROR(0/0,""))
</f>
        <v/>
      </c>
      <c r="V362" s="316" t="str">
        <f t="shared" si="5"/>
        <v>RUN-ABRM_2022-10-21_RFR-050</v>
      </c>
      <c r="Y362" s="317" t="str">
        <f t="shared" si="6"/>
        <v/>
      </c>
      <c r="Z362" s="83" t="str">
        <f t="shared" si="7"/>
        <v/>
      </c>
      <c r="AA362" s="83" t="str">
        <f t="shared" si="8"/>
        <v/>
      </c>
      <c r="AB362" s="83" t="str">
        <f t="shared" si="9"/>
        <v/>
      </c>
      <c r="AC362" s="18" t="str">
        <f t="shared" ref="AC362:AD362" si="729">IF(_xlfn.ISFORMULA(S362),IFERROR(0/0,""),TRUE)</f>
        <v/>
      </c>
      <c r="AD362" s="18" t="str">
        <f t="shared" si="729"/>
        <v/>
      </c>
      <c r="AE362" s="43"/>
      <c r="AF362" s="58" t="s">
        <v>62</v>
      </c>
      <c r="AG362" s="55" t="str">
        <f t="shared" si="11"/>
        <v/>
      </c>
    </row>
    <row r="363">
      <c r="A363" s="7" t="str">
        <f>IFERROR(__xludf.DUMMYFUNCTION("""COMPUTED_VALUE"""),"AG700")</f>
        <v>AG700</v>
      </c>
      <c r="B363" s="308">
        <f>IFERROR(__xludf.DUMMYFUNCTION("""COMPUTED_VALUE"""),44855.0)</f>
        <v>44855</v>
      </c>
      <c r="C363" s="309">
        <f>IFERROR(__xludf.DUMMYFUNCTION("""COMPUTED_VALUE"""),0.3231134259259259)</f>
        <v>0.3231134259</v>
      </c>
      <c r="D363" s="7" t="str">
        <f>IFERROR(__xludf.DUMMYFUNCTION("""COMPUTED_VALUE"""),"SpABRM610758")</f>
        <v>SpABRM610758</v>
      </c>
      <c r="E363" s="310"/>
      <c r="F363" s="310"/>
      <c r="G363" s="310" t="str">
        <f>IFERROR(__xludf.DUMMYFUNCTION("""COMPUTED_VALUE"""),"Negative")</f>
        <v>Negative</v>
      </c>
      <c r="H363" s="319" t="str">
        <f>IFERROR(__xludf.DUMMYFUNCTION("""COMPUTED_VALUE"""),"Negative")</f>
        <v>Negative</v>
      </c>
      <c r="I363" s="308">
        <f>IFERROR(__xludf.DUMMYFUNCTION("""COMPUTED_VALUE"""),44855.0)</f>
        <v>44855</v>
      </c>
      <c r="J363" s="311">
        <f>IFERROR(__xludf.DUMMYFUNCTION("""COMPUTED_VALUE"""),0.3853125)</f>
        <v>0.3853125</v>
      </c>
      <c r="K363" s="54"/>
      <c r="L363" s="7"/>
      <c r="M363" s="312"/>
      <c r="N363" s="172">
        <f>IFERROR(__xludf.DUMMYFUNCTION("""COMPUTED_VALUE"""),3.0)</f>
        <v>3</v>
      </c>
      <c r="O363" s="172" t="str">
        <f t="shared" si="3"/>
        <v/>
      </c>
      <c r="P363" s="313">
        <f>IFERROR(__xludf.DUMMYFUNCTION("""COMPUTED_VALUE"""),0.0)</f>
        <v>0</v>
      </c>
      <c r="Q363" s="76" t="b">
        <f>VLOOKUP($B363,'Run Reconcile'!B$2:O1399,14,FALSE)</f>
        <v>1</v>
      </c>
      <c r="R363" s="314" t="str">
        <f t="array" ref="R363">IF($Q363, INDEX('Run Reconcile'!A$2:A1399,MATCH(B363,'Run Reconcile'!B$2:B1399,0),1),IFERROR(0/0,""))</f>
        <v>RUN-ABRM_2022-10-21_RFR-050</v>
      </c>
      <c r="S363" s="315" t="str">
        <f t="shared" ref="S363:T363" si="730">IF(COUNTIF(W$2:W1399, $A363) &gt; 0,TRUE,IFERROR(0/0,""))</f>
        <v/>
      </c>
      <c r="T363" s="315" t="str">
        <f t="shared" si="730"/>
        <v/>
      </c>
      <c r="U363" s="114" t="str">
        <f t="array" ref="U363">IF(ISBLANK($R363), INDEX('Run Reconcile'!A$2:A1399, MATCH($B363, 'Run Reconcile'!B$2:B1399, 0)+Z363, 1), IFERROR(0/0,""))
</f>
        <v/>
      </c>
      <c r="V363" s="316" t="str">
        <f t="shared" si="5"/>
        <v>RUN-ABRM_2022-10-21_RFR-050</v>
      </c>
      <c r="Y363" s="317" t="str">
        <f t="shared" si="6"/>
        <v/>
      </c>
      <c r="Z363" s="83" t="str">
        <f t="shared" si="7"/>
        <v/>
      </c>
      <c r="AA363" s="83" t="str">
        <f t="shared" si="8"/>
        <v/>
      </c>
      <c r="AB363" s="83" t="str">
        <f t="shared" si="9"/>
        <v/>
      </c>
      <c r="AC363" s="18" t="str">
        <f t="shared" ref="AC363:AD363" si="731">IF(_xlfn.ISFORMULA(S363),IFERROR(0/0,""),TRUE)</f>
        <v/>
      </c>
      <c r="AD363" s="18" t="str">
        <f t="shared" si="731"/>
        <v/>
      </c>
      <c r="AE363" s="43"/>
      <c r="AF363" s="58" t="s">
        <v>62</v>
      </c>
      <c r="AG363" s="55" t="str">
        <f t="shared" si="11"/>
        <v/>
      </c>
    </row>
    <row r="364">
      <c r="A364" s="7" t="str">
        <f>IFERROR(__xludf.DUMMYFUNCTION("""COMPUTED_VALUE"""),"AJ8834")</f>
        <v>AJ8834</v>
      </c>
      <c r="B364" s="308">
        <f>IFERROR(__xludf.DUMMYFUNCTION("""COMPUTED_VALUE"""),44855.0)</f>
        <v>44855</v>
      </c>
      <c r="C364" s="309">
        <f>IFERROR(__xludf.DUMMYFUNCTION("""COMPUTED_VALUE"""),0.32618055555555553)</f>
        <v>0.3261805556</v>
      </c>
      <c r="D364" s="7" t="str">
        <f>IFERROR(__xludf.DUMMYFUNCTION("""COMPUTED_VALUE"""),"SpABRM188986")</f>
        <v>SpABRM188986</v>
      </c>
      <c r="E364" s="310"/>
      <c r="F364" s="310"/>
      <c r="G364" s="310" t="str">
        <f>IFERROR(__xludf.DUMMYFUNCTION("""COMPUTED_VALUE"""),"Negative")</f>
        <v>Negative</v>
      </c>
      <c r="H364" s="319" t="str">
        <f>IFERROR(__xludf.DUMMYFUNCTION("""COMPUTED_VALUE"""),"Negative")</f>
        <v>Negative</v>
      </c>
      <c r="I364" s="308">
        <f>IFERROR(__xludf.DUMMYFUNCTION("""COMPUTED_VALUE"""),44855.0)</f>
        <v>44855</v>
      </c>
      <c r="J364" s="311">
        <f>IFERROR(__xludf.DUMMYFUNCTION("""COMPUTED_VALUE"""),0.3853125)</f>
        <v>0.3853125</v>
      </c>
      <c r="K364" s="54"/>
      <c r="L364" s="7"/>
      <c r="M364" s="312"/>
      <c r="N364" s="172">
        <f>IFERROR(__xludf.DUMMYFUNCTION("""COMPUTED_VALUE"""),2.0)</f>
        <v>2</v>
      </c>
      <c r="O364" s="172" t="str">
        <f t="shared" si="3"/>
        <v/>
      </c>
      <c r="P364" s="313">
        <f>IFERROR(__xludf.DUMMYFUNCTION("""COMPUTED_VALUE"""),0.0)</f>
        <v>0</v>
      </c>
      <c r="Q364" s="76" t="b">
        <f>VLOOKUP($B364,'Run Reconcile'!B$2:O1399,14,FALSE)</f>
        <v>1</v>
      </c>
      <c r="R364" s="314" t="str">
        <f t="array" ref="R364">IF($Q364, INDEX('Run Reconcile'!A$2:A1399,MATCH(B364,'Run Reconcile'!B$2:B1399,0),1),IFERROR(0/0,""))</f>
        <v>RUN-ABRM_2022-10-21_RFR-050</v>
      </c>
      <c r="S364" s="315" t="str">
        <f t="shared" ref="S364:T364" si="732">IF(COUNTIF(W$2:W1399, $A364) &gt; 0,TRUE,IFERROR(0/0,""))</f>
        <v/>
      </c>
      <c r="T364" s="315" t="str">
        <f t="shared" si="732"/>
        <v/>
      </c>
      <c r="U364" s="114" t="str">
        <f t="array" ref="U364">IF(ISBLANK($R364), INDEX('Run Reconcile'!A$2:A1399, MATCH($B364, 'Run Reconcile'!B$2:B1399, 0)+Z364, 1), IFERROR(0/0,""))
</f>
        <v/>
      </c>
      <c r="V364" s="316" t="str">
        <f t="shared" si="5"/>
        <v>RUN-ABRM_2022-10-21_RFR-050</v>
      </c>
      <c r="Y364" s="317" t="str">
        <f t="shared" si="6"/>
        <v/>
      </c>
      <c r="Z364" s="83" t="str">
        <f t="shared" si="7"/>
        <v/>
      </c>
      <c r="AA364" s="83" t="str">
        <f t="shared" si="8"/>
        <v/>
      </c>
      <c r="AB364" s="83" t="str">
        <f t="shared" si="9"/>
        <v/>
      </c>
      <c r="AC364" s="18" t="str">
        <f t="shared" ref="AC364:AD364" si="733">IF(_xlfn.ISFORMULA(S364),IFERROR(0/0,""),TRUE)</f>
        <v/>
      </c>
      <c r="AD364" s="18" t="str">
        <f t="shared" si="733"/>
        <v/>
      </c>
      <c r="AE364" s="43"/>
      <c r="AF364" s="58" t="s">
        <v>62</v>
      </c>
      <c r="AG364" s="55" t="str">
        <f t="shared" si="11"/>
        <v/>
      </c>
    </row>
    <row r="365">
      <c r="A365" s="7" t="str">
        <f>IFERROR(__xludf.DUMMYFUNCTION("""COMPUTED_VALUE"""),"AG1027")</f>
        <v>AG1027</v>
      </c>
      <c r="B365" s="308">
        <f>IFERROR(__xludf.DUMMYFUNCTION("""COMPUTED_VALUE"""),44855.0)</f>
        <v>44855</v>
      </c>
      <c r="C365" s="309">
        <f>IFERROR(__xludf.DUMMYFUNCTION("""COMPUTED_VALUE"""),0.36766203703703704)</f>
        <v>0.367662037</v>
      </c>
      <c r="D365" s="7" t="str">
        <f>IFERROR(__xludf.DUMMYFUNCTION("""COMPUTED_VALUE"""),"SpABRM655136")</f>
        <v>SpABRM655136</v>
      </c>
      <c r="E365" s="310"/>
      <c r="F365" s="310"/>
      <c r="G365" s="310" t="str">
        <f>IFERROR(__xludf.DUMMYFUNCTION("""COMPUTED_VALUE"""),"Negative")</f>
        <v>Negative</v>
      </c>
      <c r="H365" s="319" t="str">
        <f>IFERROR(__xludf.DUMMYFUNCTION("""COMPUTED_VALUE"""),"Negative")</f>
        <v>Negative</v>
      </c>
      <c r="I365" s="308">
        <f>IFERROR(__xludf.DUMMYFUNCTION("""COMPUTED_VALUE"""),44855.0)</f>
        <v>44855</v>
      </c>
      <c r="J365" s="311">
        <f>IFERROR(__xludf.DUMMYFUNCTION("""COMPUTED_VALUE"""),0.3853240740740741)</f>
        <v>0.3853240741</v>
      </c>
      <c r="K365" s="54"/>
      <c r="L365" s="7"/>
      <c r="M365" s="312"/>
      <c r="N365" s="172">
        <f>IFERROR(__xludf.DUMMYFUNCTION("""COMPUTED_VALUE"""),1.0)</f>
        <v>1</v>
      </c>
      <c r="O365" s="172" t="str">
        <f t="shared" si="3"/>
        <v/>
      </c>
      <c r="P365" s="313">
        <f>IFERROR(__xludf.DUMMYFUNCTION("""COMPUTED_VALUE"""),0.0)</f>
        <v>0</v>
      </c>
      <c r="Q365" s="76" t="b">
        <f>VLOOKUP($B365,'Run Reconcile'!B$2:O1399,14,FALSE)</f>
        <v>1</v>
      </c>
      <c r="R365" s="314" t="str">
        <f t="array" ref="R365">IF($Q365, INDEX('Run Reconcile'!A$2:A1399,MATCH(B365,'Run Reconcile'!B$2:B1399,0),1),IFERROR(0/0,""))</f>
        <v>RUN-ABRM_2022-10-21_RFR-050</v>
      </c>
      <c r="S365" s="315" t="str">
        <f t="shared" ref="S365:T365" si="734">IF(COUNTIF(W$2:W1399, $A365) &gt; 0,TRUE,IFERROR(0/0,""))</f>
        <v/>
      </c>
      <c r="T365" s="315" t="str">
        <f t="shared" si="734"/>
        <v/>
      </c>
      <c r="U365" s="114" t="str">
        <f t="array" ref="U365">IF(ISBLANK($R365), INDEX('Run Reconcile'!A$2:A1399, MATCH($B365, 'Run Reconcile'!B$2:B1399, 0)+Z365, 1), IFERROR(0/0,""))
</f>
        <v/>
      </c>
      <c r="V365" s="316" t="str">
        <f t="shared" si="5"/>
        <v>RUN-ABRM_2022-10-21_RFR-050</v>
      </c>
      <c r="Y365" s="317" t="str">
        <f t="shared" si="6"/>
        <v/>
      </c>
      <c r="Z365" s="83" t="str">
        <f t="shared" si="7"/>
        <v/>
      </c>
      <c r="AA365" s="83" t="str">
        <f t="shared" si="8"/>
        <v/>
      </c>
      <c r="AB365" s="83" t="str">
        <f t="shared" si="9"/>
        <v/>
      </c>
      <c r="AC365" s="18" t="str">
        <f t="shared" ref="AC365:AD365" si="735">IF(_xlfn.ISFORMULA(S365),IFERROR(0/0,""),TRUE)</f>
        <v/>
      </c>
      <c r="AD365" s="18" t="str">
        <f t="shared" si="735"/>
        <v/>
      </c>
      <c r="AE365" s="43"/>
      <c r="AF365" s="58" t="s">
        <v>62</v>
      </c>
      <c r="AG365" s="55" t="str">
        <f t="shared" si="11"/>
        <v/>
      </c>
    </row>
    <row r="366">
      <c r="A366" s="7" t="str">
        <f>IFERROR(__xludf.DUMMYFUNCTION("""COMPUTED_VALUE"""),"AK6179")</f>
        <v>AK6179</v>
      </c>
      <c r="B366" s="308">
        <f>IFERROR(__xludf.DUMMYFUNCTION("""COMPUTED_VALUE"""),44858.0)</f>
        <v>44858</v>
      </c>
      <c r="C366" s="309">
        <f>IFERROR(__xludf.DUMMYFUNCTION("""COMPUTED_VALUE"""),0.22087962962962962)</f>
        <v>0.2208796296</v>
      </c>
      <c r="D366" s="7" t="str">
        <f>IFERROR(__xludf.DUMMYFUNCTION("""COMPUTED_VALUE"""),"SpABRM516158")</f>
        <v>SpABRM516158</v>
      </c>
      <c r="E366" s="310"/>
      <c r="F366" s="310"/>
      <c r="G366" s="310" t="str">
        <f>IFERROR(__xludf.DUMMYFUNCTION("""COMPUTED_VALUE"""),"Negative")</f>
        <v>Negative</v>
      </c>
      <c r="H366" s="319" t="str">
        <f>IFERROR(__xludf.DUMMYFUNCTION("""COMPUTED_VALUE"""),"Negative")</f>
        <v>Negative</v>
      </c>
      <c r="I366" s="308">
        <f>IFERROR(__xludf.DUMMYFUNCTION("""COMPUTED_VALUE"""),44858.0)</f>
        <v>44858</v>
      </c>
      <c r="J366" s="311">
        <f>IFERROR(__xludf.DUMMYFUNCTION("""COMPUTED_VALUE"""),0.3873726851851852)</f>
        <v>0.3873726852</v>
      </c>
      <c r="K366" s="54"/>
      <c r="L366" s="7"/>
      <c r="M366" s="312"/>
      <c r="N366" s="172">
        <f>IFERROR(__xludf.DUMMYFUNCTION("""COMPUTED_VALUE"""),1.0)</f>
        <v>1</v>
      </c>
      <c r="O366" s="172" t="b">
        <f t="shared" si="3"/>
        <v>1</v>
      </c>
      <c r="P366" s="313">
        <f>IFERROR(__xludf.DUMMYFUNCTION("""COMPUTED_VALUE"""),0.0)</f>
        <v>0</v>
      </c>
      <c r="Q366" s="76" t="b">
        <f>VLOOKUP($B366,'Run Reconcile'!B$2:O1399,14,FALSE)</f>
        <v>1</v>
      </c>
      <c r="R366" s="314" t="str">
        <f t="array" ref="R366">IF($Q366, INDEX('Run Reconcile'!A$2:A1399,MATCH(B366,'Run Reconcile'!B$2:B1399,0),1),IFERROR(0/0,""))</f>
        <v>RUN-ABRM_2022-10-24_RFR-051</v>
      </c>
      <c r="S366" s="315" t="str">
        <f t="shared" ref="S366:T366" si="736">IF(COUNTIF(W$2:W1399, $A366) &gt; 0,TRUE,IFERROR(0/0,""))</f>
        <v/>
      </c>
      <c r="T366" s="315" t="str">
        <f t="shared" si="736"/>
        <v/>
      </c>
      <c r="U366" s="114" t="str">
        <f t="array" ref="U366">IF(ISBLANK($R366), INDEX('Run Reconcile'!A$2:A1399, MATCH($B366, 'Run Reconcile'!B$2:B1399, 0)+Z366, 1), IFERROR(0/0,""))
</f>
        <v/>
      </c>
      <c r="V366" s="316" t="str">
        <f t="shared" si="5"/>
        <v>RUN-ABRM_2022-10-24_RFR-051</v>
      </c>
      <c r="Y366" s="317" t="str">
        <f t="shared" si="6"/>
        <v/>
      </c>
      <c r="Z366" s="83" t="str">
        <f t="shared" si="7"/>
        <v/>
      </c>
      <c r="AA366" s="83" t="str">
        <f t="shared" si="8"/>
        <v/>
      </c>
      <c r="AB366" s="83" t="str">
        <f t="shared" si="9"/>
        <v/>
      </c>
      <c r="AC366" s="18" t="str">
        <f t="shared" ref="AC366:AD366" si="737">IF(_xlfn.ISFORMULA(S366),IFERROR(0/0,""),TRUE)</f>
        <v/>
      </c>
      <c r="AD366" s="18" t="str">
        <f t="shared" si="737"/>
        <v/>
      </c>
      <c r="AE366" s="43"/>
      <c r="AF366" s="58" t="s">
        <v>63</v>
      </c>
      <c r="AG366" s="55" t="str">
        <f t="shared" si="11"/>
        <v/>
      </c>
    </row>
    <row r="367">
      <c r="A367" s="7" t="str">
        <f>IFERROR(__xludf.DUMMYFUNCTION("""COMPUTED_VALUE"""),"AH8742")</f>
        <v>AH8742</v>
      </c>
      <c r="B367" s="308">
        <f>IFERROR(__xludf.DUMMYFUNCTION("""COMPUTED_VALUE"""),44858.0)</f>
        <v>44858</v>
      </c>
      <c r="C367" s="309">
        <f>IFERROR(__xludf.DUMMYFUNCTION("""COMPUTED_VALUE"""),0.2325810185185185)</f>
        <v>0.2325810185</v>
      </c>
      <c r="D367" s="7" t="str">
        <f>IFERROR(__xludf.DUMMYFUNCTION("""COMPUTED_VALUE"""),"SpABRM128250")</f>
        <v>SpABRM128250</v>
      </c>
      <c r="E367" s="310"/>
      <c r="F367" s="310"/>
      <c r="G367" s="310" t="str">
        <f>IFERROR(__xludf.DUMMYFUNCTION("""COMPUTED_VALUE"""),"Negative")</f>
        <v>Negative</v>
      </c>
      <c r="H367" s="319" t="str">
        <f>IFERROR(__xludf.DUMMYFUNCTION("""COMPUTED_VALUE"""),"Negative")</f>
        <v>Negative</v>
      </c>
      <c r="I367" s="308">
        <f>IFERROR(__xludf.DUMMYFUNCTION("""COMPUTED_VALUE"""),44858.0)</f>
        <v>44858</v>
      </c>
      <c r="J367" s="311">
        <f>IFERROR(__xludf.DUMMYFUNCTION("""COMPUTED_VALUE"""),0.3873726851851852)</f>
        <v>0.3873726852</v>
      </c>
      <c r="K367" s="54"/>
      <c r="L367" s="7"/>
      <c r="M367" s="312"/>
      <c r="N367" s="172">
        <f>IFERROR(__xludf.DUMMYFUNCTION("""COMPUTED_VALUE"""),3.0)</f>
        <v>3</v>
      </c>
      <c r="O367" s="172" t="str">
        <f t="shared" si="3"/>
        <v/>
      </c>
      <c r="P367" s="313">
        <f>IFERROR(__xludf.DUMMYFUNCTION("""COMPUTED_VALUE"""),0.0)</f>
        <v>0</v>
      </c>
      <c r="Q367" s="76" t="b">
        <f>VLOOKUP($B367,'Run Reconcile'!B$2:O1399,14,FALSE)</f>
        <v>1</v>
      </c>
      <c r="R367" s="314" t="str">
        <f t="array" ref="R367">IF($Q367, INDEX('Run Reconcile'!A$2:A1399,MATCH(B367,'Run Reconcile'!B$2:B1399,0),1),IFERROR(0/0,""))</f>
        <v>RUN-ABRM_2022-10-24_RFR-051</v>
      </c>
      <c r="S367" s="315" t="str">
        <f t="shared" ref="S367:T367" si="738">IF(COUNTIF(W$2:W1399, $A367) &gt; 0,TRUE,IFERROR(0/0,""))</f>
        <v/>
      </c>
      <c r="T367" s="315" t="str">
        <f t="shared" si="738"/>
        <v/>
      </c>
      <c r="U367" s="114" t="str">
        <f t="array" ref="U367">IF(ISBLANK($R367), INDEX('Run Reconcile'!A$2:A1399, MATCH($B367, 'Run Reconcile'!B$2:B1399, 0)+Z367, 1), IFERROR(0/0,""))
</f>
        <v/>
      </c>
      <c r="V367" s="316" t="str">
        <f t="shared" si="5"/>
        <v>RUN-ABRM_2022-10-24_RFR-051</v>
      </c>
      <c r="Y367" s="317" t="str">
        <f t="shared" si="6"/>
        <v/>
      </c>
      <c r="Z367" s="83" t="str">
        <f t="shared" si="7"/>
        <v/>
      </c>
      <c r="AA367" s="83" t="str">
        <f t="shared" si="8"/>
        <v/>
      </c>
      <c r="AB367" s="83" t="str">
        <f t="shared" si="9"/>
        <v/>
      </c>
      <c r="AC367" s="18" t="str">
        <f t="shared" ref="AC367:AD367" si="739">IF(_xlfn.ISFORMULA(S367),IFERROR(0/0,""),TRUE)</f>
        <v/>
      </c>
      <c r="AD367" s="18" t="str">
        <f t="shared" si="739"/>
        <v/>
      </c>
      <c r="AE367" s="43"/>
      <c r="AF367" s="58" t="s">
        <v>63</v>
      </c>
      <c r="AG367" s="55" t="str">
        <f t="shared" si="11"/>
        <v/>
      </c>
    </row>
    <row r="368">
      <c r="A368" s="7" t="str">
        <f>IFERROR(__xludf.DUMMYFUNCTION("""COMPUTED_VALUE"""),"AG844")</f>
        <v>AG844</v>
      </c>
      <c r="B368" s="308">
        <f>IFERROR(__xludf.DUMMYFUNCTION("""COMPUTED_VALUE"""),44858.0)</f>
        <v>44858</v>
      </c>
      <c r="C368" s="309">
        <f>IFERROR(__xludf.DUMMYFUNCTION("""COMPUTED_VALUE"""),0.2331712962962963)</f>
        <v>0.2331712963</v>
      </c>
      <c r="D368" s="7" t="str">
        <f>IFERROR(__xludf.DUMMYFUNCTION("""COMPUTED_VALUE"""),"SpABRM454310")</f>
        <v>SpABRM454310</v>
      </c>
      <c r="E368" s="310"/>
      <c r="F368" s="310"/>
      <c r="G368" s="310" t="str">
        <f>IFERROR(__xludf.DUMMYFUNCTION("""COMPUTED_VALUE"""),"Negative")</f>
        <v>Negative</v>
      </c>
      <c r="H368" s="319" t="str">
        <f>IFERROR(__xludf.DUMMYFUNCTION("""COMPUTED_VALUE"""),"Negative")</f>
        <v>Negative</v>
      </c>
      <c r="I368" s="308">
        <f>IFERROR(__xludf.DUMMYFUNCTION("""COMPUTED_VALUE"""),44858.0)</f>
        <v>44858</v>
      </c>
      <c r="J368" s="311">
        <f>IFERROR(__xludf.DUMMYFUNCTION("""COMPUTED_VALUE"""),0.3873726851851852)</f>
        <v>0.3873726852</v>
      </c>
      <c r="K368" s="54"/>
      <c r="L368" s="7"/>
      <c r="M368" s="312"/>
      <c r="N368" s="172">
        <f>IFERROR(__xludf.DUMMYFUNCTION("""COMPUTED_VALUE"""),3.0)</f>
        <v>3</v>
      </c>
      <c r="O368" s="172" t="str">
        <f t="shared" si="3"/>
        <v/>
      </c>
      <c r="P368" s="313">
        <f>IFERROR(__xludf.DUMMYFUNCTION("""COMPUTED_VALUE"""),0.0)</f>
        <v>0</v>
      </c>
      <c r="Q368" s="76" t="b">
        <f>VLOOKUP($B368,'Run Reconcile'!B$2:O1399,14,FALSE)</f>
        <v>1</v>
      </c>
      <c r="R368" s="314" t="str">
        <f t="array" ref="R368">IF($Q368, INDEX('Run Reconcile'!A$2:A1399,MATCH(B368,'Run Reconcile'!B$2:B1399,0),1),IFERROR(0/0,""))</f>
        <v>RUN-ABRM_2022-10-24_RFR-051</v>
      </c>
      <c r="S368" s="315" t="str">
        <f t="shared" ref="S368:T368" si="740">IF(COUNTIF(W$2:W1399, $A368) &gt; 0,TRUE,IFERROR(0/0,""))</f>
        <v/>
      </c>
      <c r="T368" s="315" t="str">
        <f t="shared" si="740"/>
        <v/>
      </c>
      <c r="U368" s="114" t="str">
        <f t="array" ref="U368">IF(ISBLANK($R368), INDEX('Run Reconcile'!A$2:A1399, MATCH($B368, 'Run Reconcile'!B$2:B1399, 0)+Z368, 1), IFERROR(0/0,""))
</f>
        <v/>
      </c>
      <c r="V368" s="316" t="str">
        <f t="shared" si="5"/>
        <v>RUN-ABRM_2022-10-24_RFR-051</v>
      </c>
      <c r="Y368" s="317" t="str">
        <f t="shared" si="6"/>
        <v/>
      </c>
      <c r="Z368" s="83" t="str">
        <f t="shared" si="7"/>
        <v/>
      </c>
      <c r="AA368" s="83" t="str">
        <f t="shared" si="8"/>
        <v/>
      </c>
      <c r="AB368" s="83" t="str">
        <f t="shared" si="9"/>
        <v/>
      </c>
      <c r="AC368" s="18" t="str">
        <f t="shared" ref="AC368:AD368" si="741">IF(_xlfn.ISFORMULA(S368),IFERROR(0/0,""),TRUE)</f>
        <v/>
      </c>
      <c r="AD368" s="18" t="str">
        <f t="shared" si="741"/>
        <v/>
      </c>
      <c r="AE368" s="43"/>
      <c r="AF368" s="58" t="s">
        <v>63</v>
      </c>
      <c r="AG368" s="55" t="str">
        <f t="shared" si="11"/>
        <v/>
      </c>
    </row>
    <row r="369">
      <c r="A369" s="7" t="str">
        <f>IFERROR(__xludf.DUMMYFUNCTION("""COMPUTED_VALUE"""),"AK7151")</f>
        <v>AK7151</v>
      </c>
      <c r="B369" s="308">
        <f>IFERROR(__xludf.DUMMYFUNCTION("""COMPUTED_VALUE"""),44858.0)</f>
        <v>44858</v>
      </c>
      <c r="C369" s="309">
        <f>IFERROR(__xludf.DUMMYFUNCTION("""COMPUTED_VALUE"""),0.27642361111111113)</f>
        <v>0.2764236111</v>
      </c>
      <c r="D369" s="7" t="str">
        <f>IFERROR(__xludf.DUMMYFUNCTION("""COMPUTED_VALUE"""),"SpABRM188986")</f>
        <v>SpABRM188986</v>
      </c>
      <c r="E369" s="310"/>
      <c r="F369" s="310"/>
      <c r="G369" s="310" t="str">
        <f>IFERROR(__xludf.DUMMYFUNCTION("""COMPUTED_VALUE"""),"Negative")</f>
        <v>Negative</v>
      </c>
      <c r="H369" s="319" t="str">
        <f>IFERROR(__xludf.DUMMYFUNCTION("""COMPUTED_VALUE"""),"Negative")</f>
        <v>Negative</v>
      </c>
      <c r="I369" s="308">
        <f>IFERROR(__xludf.DUMMYFUNCTION("""COMPUTED_VALUE"""),44858.0)</f>
        <v>44858</v>
      </c>
      <c r="J369" s="311">
        <f>IFERROR(__xludf.DUMMYFUNCTION("""COMPUTED_VALUE"""),0.3873726851851852)</f>
        <v>0.3873726852</v>
      </c>
      <c r="K369" s="54"/>
      <c r="L369" s="7"/>
      <c r="M369" s="312"/>
      <c r="N369" s="172">
        <f>IFERROR(__xludf.DUMMYFUNCTION("""COMPUTED_VALUE"""),2.0)</f>
        <v>2</v>
      </c>
      <c r="O369" s="172" t="str">
        <f t="shared" si="3"/>
        <v/>
      </c>
      <c r="P369" s="313">
        <f>IFERROR(__xludf.DUMMYFUNCTION("""COMPUTED_VALUE"""),0.0)</f>
        <v>0</v>
      </c>
      <c r="Q369" s="76" t="b">
        <f>VLOOKUP($B369,'Run Reconcile'!B$2:O1399,14,FALSE)</f>
        <v>1</v>
      </c>
      <c r="R369" s="314" t="str">
        <f t="array" ref="R369">IF($Q369, INDEX('Run Reconcile'!A$2:A1399,MATCH(B369,'Run Reconcile'!B$2:B1399,0),1),IFERROR(0/0,""))</f>
        <v>RUN-ABRM_2022-10-24_RFR-051</v>
      </c>
      <c r="S369" s="315" t="str">
        <f t="shared" ref="S369:T369" si="742">IF(COUNTIF(W$2:W1399, $A369) &gt; 0,TRUE,IFERROR(0/0,""))</f>
        <v/>
      </c>
      <c r="T369" s="315" t="str">
        <f t="shared" si="742"/>
        <v/>
      </c>
      <c r="U369" s="114" t="str">
        <f t="array" ref="U369">IF(ISBLANK($R369), INDEX('Run Reconcile'!A$2:A1399, MATCH($B369, 'Run Reconcile'!B$2:B1399, 0)+Z369, 1), IFERROR(0/0,""))
</f>
        <v/>
      </c>
      <c r="V369" s="316" t="str">
        <f t="shared" si="5"/>
        <v>RUN-ABRM_2022-10-24_RFR-051</v>
      </c>
      <c r="Y369" s="317" t="str">
        <f t="shared" si="6"/>
        <v/>
      </c>
      <c r="Z369" s="83" t="str">
        <f t="shared" si="7"/>
        <v/>
      </c>
      <c r="AA369" s="83" t="str">
        <f t="shared" si="8"/>
        <v/>
      </c>
      <c r="AB369" s="83" t="str">
        <f t="shared" si="9"/>
        <v/>
      </c>
      <c r="AC369" s="18" t="str">
        <f t="shared" ref="AC369:AD369" si="743">IF(_xlfn.ISFORMULA(S369),IFERROR(0/0,""),TRUE)</f>
        <v/>
      </c>
      <c r="AD369" s="18" t="str">
        <f t="shared" si="743"/>
        <v/>
      </c>
      <c r="AE369" s="43"/>
      <c r="AF369" s="58" t="s">
        <v>63</v>
      </c>
      <c r="AG369" s="55" t="str">
        <f t="shared" si="11"/>
        <v/>
      </c>
    </row>
    <row r="370">
      <c r="A370" s="7" t="str">
        <f>IFERROR(__xludf.DUMMYFUNCTION("""COMPUTED_VALUE"""),"AH8993")</f>
        <v>AH8993</v>
      </c>
      <c r="B370" s="308">
        <f>IFERROR(__xludf.DUMMYFUNCTION("""COMPUTED_VALUE"""),44858.0)</f>
        <v>44858</v>
      </c>
      <c r="C370" s="309">
        <f>IFERROR(__xludf.DUMMYFUNCTION("""COMPUTED_VALUE"""),0.27925925925925926)</f>
        <v>0.2792592593</v>
      </c>
      <c r="D370" s="7" t="str">
        <f>IFERROR(__xludf.DUMMYFUNCTION("""COMPUTED_VALUE"""),"SpABRM814022")</f>
        <v>SpABRM814022</v>
      </c>
      <c r="E370" s="310"/>
      <c r="F370" s="310"/>
      <c r="G370" s="310" t="str">
        <f>IFERROR(__xludf.DUMMYFUNCTION("""COMPUTED_VALUE"""),"Negative")</f>
        <v>Negative</v>
      </c>
      <c r="H370" s="319" t="str">
        <f>IFERROR(__xludf.DUMMYFUNCTION("""COMPUTED_VALUE"""),"Negative")</f>
        <v>Negative</v>
      </c>
      <c r="I370" s="308">
        <f>IFERROR(__xludf.DUMMYFUNCTION("""COMPUTED_VALUE"""),44858.0)</f>
        <v>44858</v>
      </c>
      <c r="J370" s="311">
        <f>IFERROR(__xludf.DUMMYFUNCTION("""COMPUTED_VALUE"""),0.38738425925925923)</f>
        <v>0.3873842593</v>
      </c>
      <c r="K370" s="54"/>
      <c r="L370" s="7"/>
      <c r="M370" s="312"/>
      <c r="N370" s="172">
        <f>IFERROR(__xludf.DUMMYFUNCTION("""COMPUTED_VALUE"""),2.0)</f>
        <v>2</v>
      </c>
      <c r="O370" s="172" t="str">
        <f t="shared" si="3"/>
        <v/>
      </c>
      <c r="P370" s="313">
        <f>IFERROR(__xludf.DUMMYFUNCTION("""COMPUTED_VALUE"""),0.0)</f>
        <v>0</v>
      </c>
      <c r="Q370" s="76" t="b">
        <f>VLOOKUP($B370,'Run Reconcile'!B$2:O1399,14,FALSE)</f>
        <v>1</v>
      </c>
      <c r="R370" s="314" t="str">
        <f t="array" ref="R370">IF($Q370, INDEX('Run Reconcile'!A$2:A1399,MATCH(B370,'Run Reconcile'!B$2:B1399,0),1),IFERROR(0/0,""))</f>
        <v>RUN-ABRM_2022-10-24_RFR-051</v>
      </c>
      <c r="S370" s="315" t="str">
        <f t="shared" ref="S370:T370" si="744">IF(COUNTIF(W$2:W1399, $A370) &gt; 0,TRUE,IFERROR(0/0,""))</f>
        <v/>
      </c>
      <c r="T370" s="315" t="str">
        <f t="shared" si="744"/>
        <v/>
      </c>
      <c r="U370" s="114" t="str">
        <f t="array" ref="U370">IF(ISBLANK($R370), INDEX('Run Reconcile'!A$2:A1399, MATCH($B370, 'Run Reconcile'!B$2:B1399, 0)+Z370, 1), IFERROR(0/0,""))
</f>
        <v/>
      </c>
      <c r="V370" s="316" t="str">
        <f t="shared" si="5"/>
        <v>RUN-ABRM_2022-10-24_RFR-051</v>
      </c>
      <c r="Y370" s="317" t="str">
        <f t="shared" si="6"/>
        <v/>
      </c>
      <c r="Z370" s="83" t="str">
        <f t="shared" si="7"/>
        <v/>
      </c>
      <c r="AA370" s="83" t="str">
        <f t="shared" si="8"/>
        <v/>
      </c>
      <c r="AB370" s="83" t="str">
        <f t="shared" si="9"/>
        <v/>
      </c>
      <c r="AC370" s="18" t="str">
        <f t="shared" ref="AC370:AD370" si="745">IF(_xlfn.ISFORMULA(S370),IFERROR(0/0,""),TRUE)</f>
        <v/>
      </c>
      <c r="AD370" s="18" t="str">
        <f t="shared" si="745"/>
        <v/>
      </c>
      <c r="AE370" s="43"/>
      <c r="AF370" s="58" t="s">
        <v>63</v>
      </c>
      <c r="AG370" s="55" t="str">
        <f t="shared" si="11"/>
        <v/>
      </c>
    </row>
    <row r="371">
      <c r="A371" s="7" t="str">
        <f>IFERROR(__xludf.DUMMYFUNCTION("""COMPUTED_VALUE"""),"AH9411")</f>
        <v>AH9411</v>
      </c>
      <c r="B371" s="308">
        <f>IFERROR(__xludf.DUMMYFUNCTION("""COMPUTED_VALUE"""),44858.0)</f>
        <v>44858</v>
      </c>
      <c r="C371" s="309">
        <f>IFERROR(__xludf.DUMMYFUNCTION("""COMPUTED_VALUE"""),0.2919097222222222)</f>
        <v>0.2919097222</v>
      </c>
      <c r="D371" s="7" t="str">
        <f>IFERROR(__xludf.DUMMYFUNCTION("""COMPUTED_VALUE"""),"SpABRM297307")</f>
        <v>SpABRM297307</v>
      </c>
      <c r="E371" s="310"/>
      <c r="F371" s="310"/>
      <c r="G371" s="310" t="str">
        <f>IFERROR(__xludf.DUMMYFUNCTION("""COMPUTED_VALUE"""),"Negative")</f>
        <v>Negative</v>
      </c>
      <c r="H371" s="319" t="str">
        <f>IFERROR(__xludf.DUMMYFUNCTION("""COMPUTED_VALUE"""),"Negative")</f>
        <v>Negative</v>
      </c>
      <c r="I371" s="308">
        <f>IFERROR(__xludf.DUMMYFUNCTION("""COMPUTED_VALUE"""),44858.0)</f>
        <v>44858</v>
      </c>
      <c r="J371" s="311">
        <f>IFERROR(__xludf.DUMMYFUNCTION("""COMPUTED_VALUE"""),0.38738425925925923)</f>
        <v>0.3873842593</v>
      </c>
      <c r="K371" s="54"/>
      <c r="L371" s="7"/>
      <c r="M371" s="312"/>
      <c r="N371" s="172">
        <f>IFERROR(__xludf.DUMMYFUNCTION("""COMPUTED_VALUE"""),3.0)</f>
        <v>3</v>
      </c>
      <c r="O371" s="172" t="str">
        <f t="shared" si="3"/>
        <v/>
      </c>
      <c r="P371" s="313">
        <f>IFERROR(__xludf.DUMMYFUNCTION("""COMPUTED_VALUE"""),0.0)</f>
        <v>0</v>
      </c>
      <c r="Q371" s="76" t="b">
        <f>VLOOKUP($B371,'Run Reconcile'!B$2:O1399,14,FALSE)</f>
        <v>1</v>
      </c>
      <c r="R371" s="314" t="str">
        <f t="array" ref="R371">IF($Q371, INDEX('Run Reconcile'!A$2:A1399,MATCH(B371,'Run Reconcile'!B$2:B1399,0),1),IFERROR(0/0,""))</f>
        <v>RUN-ABRM_2022-10-24_RFR-051</v>
      </c>
      <c r="S371" s="315" t="str">
        <f t="shared" ref="S371:T371" si="746">IF(COUNTIF(W$2:W1399, $A371) &gt; 0,TRUE,IFERROR(0/0,""))</f>
        <v/>
      </c>
      <c r="T371" s="315" t="str">
        <f t="shared" si="746"/>
        <v/>
      </c>
      <c r="U371" s="114" t="str">
        <f t="array" ref="U371">IF(ISBLANK($R371), INDEX('Run Reconcile'!A$2:A1399, MATCH($B371, 'Run Reconcile'!B$2:B1399, 0)+Z371, 1), IFERROR(0/0,""))
</f>
        <v/>
      </c>
      <c r="V371" s="316" t="str">
        <f t="shared" si="5"/>
        <v>RUN-ABRM_2022-10-24_RFR-051</v>
      </c>
      <c r="Y371" s="317" t="str">
        <f t="shared" si="6"/>
        <v/>
      </c>
      <c r="Z371" s="83" t="str">
        <f t="shared" si="7"/>
        <v/>
      </c>
      <c r="AA371" s="83" t="str">
        <f t="shared" si="8"/>
        <v/>
      </c>
      <c r="AB371" s="83" t="str">
        <f t="shared" si="9"/>
        <v/>
      </c>
      <c r="AC371" s="18" t="str">
        <f t="shared" ref="AC371:AD371" si="747">IF(_xlfn.ISFORMULA(S371),IFERROR(0/0,""),TRUE)</f>
        <v/>
      </c>
      <c r="AD371" s="18" t="str">
        <f t="shared" si="747"/>
        <v/>
      </c>
      <c r="AE371" s="43"/>
      <c r="AF371" s="58" t="s">
        <v>63</v>
      </c>
      <c r="AG371" s="55" t="str">
        <f t="shared" si="11"/>
        <v/>
      </c>
    </row>
    <row r="372">
      <c r="A372" s="7" t="str">
        <f>IFERROR(__xludf.DUMMYFUNCTION("""COMPUTED_VALUE"""),"AG148")</f>
        <v>AG148</v>
      </c>
      <c r="B372" s="308">
        <f>IFERROR(__xludf.DUMMYFUNCTION("""COMPUTED_VALUE"""),44858.0)</f>
        <v>44858</v>
      </c>
      <c r="C372" s="309">
        <f>IFERROR(__xludf.DUMMYFUNCTION("""COMPUTED_VALUE"""),0.2975462962962963)</f>
        <v>0.2975462963</v>
      </c>
      <c r="D372" s="7" t="str">
        <f>IFERROR(__xludf.DUMMYFUNCTION("""COMPUTED_VALUE"""),"SpABRM652382")</f>
        <v>SpABRM652382</v>
      </c>
      <c r="E372" s="310"/>
      <c r="F372" s="310"/>
      <c r="G372" s="310" t="str">
        <f>IFERROR(__xludf.DUMMYFUNCTION("""COMPUTED_VALUE"""),"Negative")</f>
        <v>Negative</v>
      </c>
      <c r="H372" s="319" t="str">
        <f>IFERROR(__xludf.DUMMYFUNCTION("""COMPUTED_VALUE"""),"Negative")</f>
        <v>Negative</v>
      </c>
      <c r="I372" s="308">
        <f>IFERROR(__xludf.DUMMYFUNCTION("""COMPUTED_VALUE"""),44858.0)</f>
        <v>44858</v>
      </c>
      <c r="J372" s="311">
        <f>IFERROR(__xludf.DUMMYFUNCTION("""COMPUTED_VALUE"""),0.38738425925925923)</f>
        <v>0.3873842593</v>
      </c>
      <c r="K372" s="54"/>
      <c r="L372" s="7"/>
      <c r="M372" s="312"/>
      <c r="N372" s="172">
        <f>IFERROR(__xludf.DUMMYFUNCTION("""COMPUTED_VALUE"""),2.0)</f>
        <v>2</v>
      </c>
      <c r="O372" s="172" t="str">
        <f t="shared" si="3"/>
        <v/>
      </c>
      <c r="P372" s="313">
        <f>IFERROR(__xludf.DUMMYFUNCTION("""COMPUTED_VALUE"""),0.0)</f>
        <v>0</v>
      </c>
      <c r="Q372" s="76" t="b">
        <f>VLOOKUP($B372,'Run Reconcile'!B$2:O1399,14,FALSE)</f>
        <v>1</v>
      </c>
      <c r="R372" s="314" t="str">
        <f t="array" ref="R372">IF($Q372, INDEX('Run Reconcile'!A$2:A1399,MATCH(B372,'Run Reconcile'!B$2:B1399,0),1),IFERROR(0/0,""))</f>
        <v>RUN-ABRM_2022-10-24_RFR-051</v>
      </c>
      <c r="S372" s="315" t="str">
        <f t="shared" ref="S372:T372" si="748">IF(COUNTIF(W$2:W1399, $A372) &gt; 0,TRUE,IFERROR(0/0,""))</f>
        <v/>
      </c>
      <c r="T372" s="315" t="str">
        <f t="shared" si="748"/>
        <v/>
      </c>
      <c r="U372" s="114" t="str">
        <f t="array" ref="U372">IF(ISBLANK($R372), INDEX('Run Reconcile'!A$2:A1399, MATCH($B372, 'Run Reconcile'!B$2:B1399, 0)+Z372, 1), IFERROR(0/0,""))
</f>
        <v/>
      </c>
      <c r="V372" s="316" t="str">
        <f t="shared" si="5"/>
        <v>RUN-ABRM_2022-10-24_RFR-051</v>
      </c>
      <c r="Y372" s="317" t="str">
        <f t="shared" si="6"/>
        <v/>
      </c>
      <c r="Z372" s="83" t="str">
        <f t="shared" si="7"/>
        <v/>
      </c>
      <c r="AA372" s="83" t="str">
        <f t="shared" si="8"/>
        <v/>
      </c>
      <c r="AB372" s="83" t="str">
        <f t="shared" si="9"/>
        <v/>
      </c>
      <c r="AC372" s="18" t="str">
        <f t="shared" ref="AC372:AD372" si="749">IF(_xlfn.ISFORMULA(S372),IFERROR(0/0,""),TRUE)</f>
        <v/>
      </c>
      <c r="AD372" s="18" t="str">
        <f t="shared" si="749"/>
        <v/>
      </c>
      <c r="AE372" s="43"/>
      <c r="AF372" s="58" t="s">
        <v>63</v>
      </c>
      <c r="AG372" s="55" t="str">
        <f t="shared" si="11"/>
        <v/>
      </c>
    </row>
    <row r="373">
      <c r="A373" s="7" t="str">
        <f>IFERROR(__xludf.DUMMYFUNCTION("""COMPUTED_VALUE"""),"AH7730")</f>
        <v>AH7730</v>
      </c>
      <c r="B373" s="308">
        <f>IFERROR(__xludf.DUMMYFUNCTION("""COMPUTED_VALUE"""),44858.0)</f>
        <v>44858</v>
      </c>
      <c r="C373" s="309">
        <f>IFERROR(__xludf.DUMMYFUNCTION("""COMPUTED_VALUE"""),0.3029050925925926)</f>
        <v>0.3029050926</v>
      </c>
      <c r="D373" s="7" t="str">
        <f>IFERROR(__xludf.DUMMYFUNCTION("""COMPUTED_VALUE"""),"SpABRM756011")</f>
        <v>SpABRM756011</v>
      </c>
      <c r="E373" s="310"/>
      <c r="F373" s="310"/>
      <c r="G373" s="310" t="str">
        <f>IFERROR(__xludf.DUMMYFUNCTION("""COMPUTED_VALUE"""),"Negative")</f>
        <v>Negative</v>
      </c>
      <c r="H373" s="319" t="str">
        <f>IFERROR(__xludf.DUMMYFUNCTION("""COMPUTED_VALUE"""),"Negative")</f>
        <v>Negative</v>
      </c>
      <c r="I373" s="308">
        <f>IFERROR(__xludf.DUMMYFUNCTION("""COMPUTED_VALUE"""),44858.0)</f>
        <v>44858</v>
      </c>
      <c r="J373" s="311">
        <f>IFERROR(__xludf.DUMMYFUNCTION("""COMPUTED_VALUE"""),0.38738425925925923)</f>
        <v>0.3873842593</v>
      </c>
      <c r="K373" s="54"/>
      <c r="L373" s="7"/>
      <c r="M373" s="312"/>
      <c r="N373" s="172">
        <f>IFERROR(__xludf.DUMMYFUNCTION("""COMPUTED_VALUE"""),2.0)</f>
        <v>2</v>
      </c>
      <c r="O373" s="172" t="str">
        <f t="shared" si="3"/>
        <v/>
      </c>
      <c r="P373" s="313">
        <f>IFERROR(__xludf.DUMMYFUNCTION("""COMPUTED_VALUE"""),0.0)</f>
        <v>0</v>
      </c>
      <c r="Q373" s="76" t="b">
        <f>VLOOKUP($B373,'Run Reconcile'!B$2:O1399,14,FALSE)</f>
        <v>1</v>
      </c>
      <c r="R373" s="314" t="str">
        <f t="array" ref="R373">IF($Q373, INDEX('Run Reconcile'!A$2:A1399,MATCH(B373,'Run Reconcile'!B$2:B1399,0),1),IFERROR(0/0,""))</f>
        <v>RUN-ABRM_2022-10-24_RFR-051</v>
      </c>
      <c r="S373" s="315" t="str">
        <f t="shared" ref="S373:T373" si="750">IF(COUNTIF(W$2:W1399, $A373) &gt; 0,TRUE,IFERROR(0/0,""))</f>
        <v/>
      </c>
      <c r="T373" s="315" t="str">
        <f t="shared" si="750"/>
        <v/>
      </c>
      <c r="U373" s="114" t="str">
        <f t="array" ref="U373">IF(ISBLANK($R373), INDEX('Run Reconcile'!A$2:A1399, MATCH($B373, 'Run Reconcile'!B$2:B1399, 0)+Z373, 1), IFERROR(0/0,""))
</f>
        <v/>
      </c>
      <c r="V373" s="316" t="str">
        <f t="shared" si="5"/>
        <v>RUN-ABRM_2022-10-24_RFR-051</v>
      </c>
      <c r="Y373" s="317" t="str">
        <f t="shared" si="6"/>
        <v/>
      </c>
      <c r="Z373" s="83" t="str">
        <f t="shared" si="7"/>
        <v/>
      </c>
      <c r="AA373" s="83" t="str">
        <f t="shared" si="8"/>
        <v/>
      </c>
      <c r="AB373" s="83" t="str">
        <f t="shared" si="9"/>
        <v/>
      </c>
      <c r="AC373" s="18" t="str">
        <f t="shared" ref="AC373:AD373" si="751">IF(_xlfn.ISFORMULA(S373),IFERROR(0/0,""),TRUE)</f>
        <v/>
      </c>
      <c r="AD373" s="18" t="str">
        <f t="shared" si="751"/>
        <v/>
      </c>
      <c r="AE373" s="43"/>
      <c r="AF373" s="58" t="s">
        <v>63</v>
      </c>
      <c r="AG373" s="55" t="str">
        <f t="shared" si="11"/>
        <v/>
      </c>
    </row>
    <row r="374">
      <c r="A374" s="7" t="str">
        <f>IFERROR(__xludf.DUMMYFUNCTION("""COMPUTED_VALUE"""),"AG41")</f>
        <v>AG41</v>
      </c>
      <c r="B374" s="308">
        <f>IFERROR(__xludf.DUMMYFUNCTION("""COMPUTED_VALUE"""),44858.0)</f>
        <v>44858</v>
      </c>
      <c r="C374" s="309">
        <f>IFERROR(__xludf.DUMMYFUNCTION("""COMPUTED_VALUE"""),0.3066203703703704)</f>
        <v>0.3066203704</v>
      </c>
      <c r="D374" s="7" t="str">
        <f>IFERROR(__xludf.DUMMYFUNCTION("""COMPUTED_VALUE"""),"SpABRM655136")</f>
        <v>SpABRM655136</v>
      </c>
      <c r="E374" s="310"/>
      <c r="F374" s="310"/>
      <c r="G374" s="310" t="str">
        <f>IFERROR(__xludf.DUMMYFUNCTION("""COMPUTED_VALUE"""),"Negative")</f>
        <v>Negative</v>
      </c>
      <c r="H374" s="319" t="str">
        <f>IFERROR(__xludf.DUMMYFUNCTION("""COMPUTED_VALUE"""),"Negative")</f>
        <v>Negative</v>
      </c>
      <c r="I374" s="308">
        <f>IFERROR(__xludf.DUMMYFUNCTION("""COMPUTED_VALUE"""),44858.0)</f>
        <v>44858</v>
      </c>
      <c r="J374" s="311">
        <f>IFERROR(__xludf.DUMMYFUNCTION("""COMPUTED_VALUE"""),0.38739583333333333)</f>
        <v>0.3873958333</v>
      </c>
      <c r="K374" s="54"/>
      <c r="L374" s="7"/>
      <c r="M374" s="312"/>
      <c r="N374" s="172">
        <f>IFERROR(__xludf.DUMMYFUNCTION("""COMPUTED_VALUE"""),2.0)</f>
        <v>2</v>
      </c>
      <c r="O374" s="172" t="str">
        <f t="shared" si="3"/>
        <v/>
      </c>
      <c r="P374" s="313">
        <f>IFERROR(__xludf.DUMMYFUNCTION("""COMPUTED_VALUE"""),0.0)</f>
        <v>0</v>
      </c>
      <c r="Q374" s="76" t="b">
        <f>VLOOKUP($B374,'Run Reconcile'!B$2:O1399,14,FALSE)</f>
        <v>1</v>
      </c>
      <c r="R374" s="314" t="str">
        <f t="array" ref="R374">IF($Q374, INDEX('Run Reconcile'!A$2:A1399,MATCH(B374,'Run Reconcile'!B$2:B1399,0),1),IFERROR(0/0,""))</f>
        <v>RUN-ABRM_2022-10-24_RFR-051</v>
      </c>
      <c r="S374" s="315" t="str">
        <f t="shared" ref="S374:T374" si="752">IF(COUNTIF(W$2:W1399, $A374) &gt; 0,TRUE,IFERROR(0/0,""))</f>
        <v/>
      </c>
      <c r="T374" s="315" t="str">
        <f t="shared" si="752"/>
        <v/>
      </c>
      <c r="U374" s="114" t="str">
        <f t="array" ref="U374">IF(ISBLANK($R374), INDEX('Run Reconcile'!A$2:A1399, MATCH($B374, 'Run Reconcile'!B$2:B1399, 0)+Z374, 1), IFERROR(0/0,""))
</f>
        <v/>
      </c>
      <c r="V374" s="316" t="str">
        <f t="shared" si="5"/>
        <v>RUN-ABRM_2022-10-24_RFR-051</v>
      </c>
      <c r="Y374" s="317" t="str">
        <f t="shared" si="6"/>
        <v/>
      </c>
      <c r="Z374" s="83" t="str">
        <f t="shared" si="7"/>
        <v/>
      </c>
      <c r="AA374" s="83" t="str">
        <f t="shared" si="8"/>
        <v/>
      </c>
      <c r="AB374" s="83" t="str">
        <f t="shared" si="9"/>
        <v/>
      </c>
      <c r="AC374" s="18" t="str">
        <f t="shared" ref="AC374:AD374" si="753">IF(_xlfn.ISFORMULA(S374),IFERROR(0/0,""),TRUE)</f>
        <v/>
      </c>
      <c r="AD374" s="18" t="str">
        <f t="shared" si="753"/>
        <v/>
      </c>
      <c r="AE374" s="43"/>
      <c r="AF374" s="58" t="s">
        <v>63</v>
      </c>
      <c r="AG374" s="55" t="str">
        <f t="shared" si="11"/>
        <v/>
      </c>
    </row>
    <row r="375">
      <c r="A375" s="7" t="str">
        <f>IFERROR(__xludf.DUMMYFUNCTION("""COMPUTED_VALUE"""),"AH9732")</f>
        <v>AH9732</v>
      </c>
      <c r="B375" s="308">
        <f>IFERROR(__xludf.DUMMYFUNCTION("""COMPUTED_VALUE"""),44858.0)</f>
        <v>44858</v>
      </c>
      <c r="C375" s="309">
        <f>IFERROR(__xludf.DUMMYFUNCTION("""COMPUTED_VALUE"""),0.31375)</f>
        <v>0.31375</v>
      </c>
      <c r="D375" s="7" t="str">
        <f>IFERROR(__xludf.DUMMYFUNCTION("""COMPUTED_VALUE"""),"SpABRM367540")</f>
        <v>SpABRM367540</v>
      </c>
      <c r="E375" s="310"/>
      <c r="F375" s="310"/>
      <c r="G375" s="310" t="str">
        <f>IFERROR(__xludf.DUMMYFUNCTION("""COMPUTED_VALUE"""),"Negative")</f>
        <v>Negative</v>
      </c>
      <c r="H375" s="319" t="str">
        <f>IFERROR(__xludf.DUMMYFUNCTION("""COMPUTED_VALUE"""),"Negative")</f>
        <v>Negative</v>
      </c>
      <c r="I375" s="308">
        <f>IFERROR(__xludf.DUMMYFUNCTION("""COMPUTED_VALUE"""),44858.0)</f>
        <v>44858</v>
      </c>
      <c r="J375" s="311">
        <f>IFERROR(__xludf.DUMMYFUNCTION("""COMPUTED_VALUE"""),0.38739583333333333)</f>
        <v>0.3873958333</v>
      </c>
      <c r="K375" s="54"/>
      <c r="L375" s="7"/>
      <c r="M375" s="312"/>
      <c r="N375" s="172">
        <f>IFERROR(__xludf.DUMMYFUNCTION("""COMPUTED_VALUE"""),3.0)</f>
        <v>3</v>
      </c>
      <c r="O375" s="172" t="str">
        <f t="shared" si="3"/>
        <v/>
      </c>
      <c r="P375" s="313">
        <f>IFERROR(__xludf.DUMMYFUNCTION("""COMPUTED_VALUE"""),0.0)</f>
        <v>0</v>
      </c>
      <c r="Q375" s="76" t="b">
        <f>VLOOKUP($B375,'Run Reconcile'!B$2:O1399,14,FALSE)</f>
        <v>1</v>
      </c>
      <c r="R375" s="314" t="str">
        <f t="array" ref="R375">IF($Q375, INDEX('Run Reconcile'!A$2:A1399,MATCH(B375,'Run Reconcile'!B$2:B1399,0),1),IFERROR(0/0,""))</f>
        <v>RUN-ABRM_2022-10-24_RFR-051</v>
      </c>
      <c r="S375" s="315" t="str">
        <f t="shared" ref="S375:T375" si="754">IF(COUNTIF(W$2:W1399, $A375) &gt; 0,TRUE,IFERROR(0/0,""))</f>
        <v/>
      </c>
      <c r="T375" s="315" t="str">
        <f t="shared" si="754"/>
        <v/>
      </c>
      <c r="U375" s="114" t="str">
        <f t="array" ref="U375">IF(ISBLANK($R375), INDEX('Run Reconcile'!A$2:A1399, MATCH($B375, 'Run Reconcile'!B$2:B1399, 0)+Z375, 1), IFERROR(0/0,""))
</f>
        <v/>
      </c>
      <c r="V375" s="316" t="str">
        <f t="shared" si="5"/>
        <v>RUN-ABRM_2022-10-24_RFR-051</v>
      </c>
      <c r="Y375" s="317" t="str">
        <f t="shared" si="6"/>
        <v/>
      </c>
      <c r="Z375" s="83" t="str">
        <f t="shared" si="7"/>
        <v/>
      </c>
      <c r="AA375" s="83" t="str">
        <f t="shared" si="8"/>
        <v/>
      </c>
      <c r="AB375" s="83" t="str">
        <f t="shared" si="9"/>
        <v/>
      </c>
      <c r="AC375" s="18" t="str">
        <f t="shared" ref="AC375:AD375" si="755">IF(_xlfn.ISFORMULA(S375),IFERROR(0/0,""),TRUE)</f>
        <v/>
      </c>
      <c r="AD375" s="18" t="str">
        <f t="shared" si="755"/>
        <v/>
      </c>
      <c r="AE375" s="43"/>
      <c r="AF375" s="58" t="s">
        <v>63</v>
      </c>
      <c r="AG375" s="55" t="str">
        <f t="shared" si="11"/>
        <v/>
      </c>
    </row>
    <row r="376">
      <c r="A376" s="7" t="str">
        <f>IFERROR(__xludf.DUMMYFUNCTION("""COMPUTED_VALUE"""),"AH7726")</f>
        <v>AH7726</v>
      </c>
      <c r="B376" s="308">
        <f>IFERROR(__xludf.DUMMYFUNCTION("""COMPUTED_VALUE"""),44858.0)</f>
        <v>44858</v>
      </c>
      <c r="C376" s="309">
        <f>IFERROR(__xludf.DUMMYFUNCTION("""COMPUTED_VALUE"""),0.341875)</f>
        <v>0.341875</v>
      </c>
      <c r="D376" s="7" t="str">
        <f>IFERROR(__xludf.DUMMYFUNCTION("""COMPUTED_VALUE"""),"SpABRM655136")</f>
        <v>SpABRM655136</v>
      </c>
      <c r="E376" s="310"/>
      <c r="F376" s="310"/>
      <c r="G376" s="310" t="str">
        <f>IFERROR(__xludf.DUMMYFUNCTION("""COMPUTED_VALUE"""),"Negative")</f>
        <v>Negative</v>
      </c>
      <c r="H376" s="319" t="str">
        <f>IFERROR(__xludf.DUMMYFUNCTION("""COMPUTED_VALUE"""),"Negative")</f>
        <v>Negative</v>
      </c>
      <c r="I376" s="308">
        <f>IFERROR(__xludf.DUMMYFUNCTION("""COMPUTED_VALUE"""),44858.0)</f>
        <v>44858</v>
      </c>
      <c r="J376" s="311">
        <f>IFERROR(__xludf.DUMMYFUNCTION("""COMPUTED_VALUE"""),0.38739583333333333)</f>
        <v>0.3873958333</v>
      </c>
      <c r="K376" s="54"/>
      <c r="L376" s="7"/>
      <c r="M376" s="312"/>
      <c r="N376" s="172">
        <f>IFERROR(__xludf.DUMMYFUNCTION("""COMPUTED_VALUE"""),3.0)</f>
        <v>3</v>
      </c>
      <c r="O376" s="172" t="str">
        <f t="shared" si="3"/>
        <v/>
      </c>
      <c r="P376" s="313">
        <f>IFERROR(__xludf.DUMMYFUNCTION("""COMPUTED_VALUE"""),0.0)</f>
        <v>0</v>
      </c>
      <c r="Q376" s="76" t="b">
        <f>VLOOKUP($B376,'Run Reconcile'!B$2:O1399,14,FALSE)</f>
        <v>1</v>
      </c>
      <c r="R376" s="314" t="str">
        <f t="array" ref="R376">IF($Q376, INDEX('Run Reconcile'!A$2:A1399,MATCH(B376,'Run Reconcile'!B$2:B1399,0),1),IFERROR(0/0,""))</f>
        <v>RUN-ABRM_2022-10-24_RFR-051</v>
      </c>
      <c r="S376" s="315" t="str">
        <f t="shared" ref="S376:T376" si="756">IF(COUNTIF(W$2:W1399, $A376) &gt; 0,TRUE,IFERROR(0/0,""))</f>
        <v/>
      </c>
      <c r="T376" s="315" t="str">
        <f t="shared" si="756"/>
        <v/>
      </c>
      <c r="U376" s="114" t="str">
        <f t="array" ref="U376">IF(ISBLANK($R376), INDEX('Run Reconcile'!A$2:A1399, MATCH($B376, 'Run Reconcile'!B$2:B1399, 0)+Z376, 1), IFERROR(0/0,""))
</f>
        <v/>
      </c>
      <c r="V376" s="316" t="str">
        <f t="shared" si="5"/>
        <v>RUN-ABRM_2022-10-24_RFR-051</v>
      </c>
      <c r="Y376" s="317" t="str">
        <f t="shared" si="6"/>
        <v/>
      </c>
      <c r="Z376" s="83" t="str">
        <f t="shared" si="7"/>
        <v/>
      </c>
      <c r="AA376" s="83" t="str">
        <f t="shared" si="8"/>
        <v/>
      </c>
      <c r="AB376" s="83" t="str">
        <f t="shared" si="9"/>
        <v/>
      </c>
      <c r="AC376" s="18" t="str">
        <f t="shared" ref="AC376:AD376" si="757">IF(_xlfn.ISFORMULA(S376),IFERROR(0/0,""),TRUE)</f>
        <v/>
      </c>
      <c r="AD376" s="18" t="str">
        <f t="shared" si="757"/>
        <v/>
      </c>
      <c r="AE376" s="43"/>
      <c r="AF376" s="58" t="s">
        <v>63</v>
      </c>
      <c r="AG376" s="55" t="str">
        <f t="shared" si="11"/>
        <v/>
      </c>
    </row>
    <row r="377">
      <c r="A377" s="7" t="str">
        <f>IFERROR(__xludf.DUMMYFUNCTION("""COMPUTED_VALUE"""),"AG2120")</f>
        <v>AG2120</v>
      </c>
      <c r="B377" s="308">
        <f>IFERROR(__xludf.DUMMYFUNCTION("""COMPUTED_VALUE"""),44859.0)</f>
        <v>44859</v>
      </c>
      <c r="C377" s="309">
        <f>IFERROR(__xludf.DUMMYFUNCTION("""COMPUTED_VALUE"""),0.20608796296296297)</f>
        <v>0.206087963</v>
      </c>
      <c r="D377" s="7" t="str">
        <f>IFERROR(__xludf.DUMMYFUNCTION("""COMPUTED_VALUE"""),"SpABRM454310")</f>
        <v>SpABRM454310</v>
      </c>
      <c r="E377" s="310"/>
      <c r="F377" s="310"/>
      <c r="G377" s="310" t="str">
        <f>IFERROR(__xludf.DUMMYFUNCTION("""COMPUTED_VALUE"""),"Negative")</f>
        <v>Negative</v>
      </c>
      <c r="H377" s="319" t="str">
        <f>IFERROR(__xludf.DUMMYFUNCTION("""COMPUTED_VALUE"""),"Negative")</f>
        <v>Negative</v>
      </c>
      <c r="I377" s="308">
        <f>IFERROR(__xludf.DUMMYFUNCTION("""COMPUTED_VALUE"""),44861.0)</f>
        <v>44861</v>
      </c>
      <c r="J377" s="311">
        <f>IFERROR(__xludf.DUMMYFUNCTION("""COMPUTED_VALUE"""),0.41202546296296294)</f>
        <v>0.412025463</v>
      </c>
      <c r="K377" s="54"/>
      <c r="L377" s="7"/>
      <c r="M377" s="312"/>
      <c r="N377" s="172">
        <f>IFERROR(__xludf.DUMMYFUNCTION("""COMPUTED_VALUE"""),3.0)</f>
        <v>3</v>
      </c>
      <c r="O377" s="172" t="b">
        <f t="shared" si="3"/>
        <v>1</v>
      </c>
      <c r="P377" s="313">
        <f>IFERROR(__xludf.DUMMYFUNCTION("""COMPUTED_VALUE"""),2.0)</f>
        <v>2</v>
      </c>
      <c r="Q377" s="76" t="b">
        <f>VLOOKUP($B377,'Run Reconcile'!B$2:O1399,14,FALSE)</f>
        <v>1</v>
      </c>
      <c r="R377" s="314" t="str">
        <f t="array" ref="R377">IF($Q377, INDEX('Run Reconcile'!A$2:A1399,MATCH(B377,'Run Reconcile'!B$2:B1399,0),1),IFERROR(0/0,""))</f>
        <v>RUN-ABRM_2022-10-25_RFR-052</v>
      </c>
      <c r="S377" s="315" t="str">
        <f t="shared" ref="S377:T377" si="758">IF(COUNTIF(W$2:W1399, $A377) &gt; 0,TRUE,IFERROR(0/0,""))</f>
        <v/>
      </c>
      <c r="T377" s="315" t="str">
        <f t="shared" si="758"/>
        <v/>
      </c>
      <c r="U377" s="114" t="str">
        <f t="array" ref="U377">IF(ISBLANK($R377), INDEX('Run Reconcile'!A$2:A1399, MATCH($B377, 'Run Reconcile'!B$2:B1399, 0)+Z377, 1), IFERROR(0/0,""))
</f>
        <v/>
      </c>
      <c r="V377" s="316" t="str">
        <f t="shared" si="5"/>
        <v>RUN-ABRM_2022-10-25_RFR-052</v>
      </c>
      <c r="Y377" s="317" t="str">
        <f t="shared" si="6"/>
        <v/>
      </c>
      <c r="Z377" s="83" t="str">
        <f t="shared" si="7"/>
        <v/>
      </c>
      <c r="AA377" s="83" t="str">
        <f t="shared" si="8"/>
        <v/>
      </c>
      <c r="AB377" s="83" t="str">
        <f t="shared" si="9"/>
        <v/>
      </c>
      <c r="AC377" s="18" t="str">
        <f t="shared" ref="AC377:AD377" si="759">IF(_xlfn.ISFORMULA(S377),IFERROR(0/0,""),TRUE)</f>
        <v/>
      </c>
      <c r="AD377" s="18" t="str">
        <f t="shared" si="759"/>
        <v/>
      </c>
      <c r="AE377" s="43"/>
      <c r="AF377" s="58" t="s">
        <v>64</v>
      </c>
      <c r="AG377" s="55" t="str">
        <f t="shared" si="11"/>
        <v/>
      </c>
    </row>
    <row r="378">
      <c r="A378" s="7" t="str">
        <f>IFERROR(__xludf.DUMMYFUNCTION("""COMPUTED_VALUE"""),"AJ8083")</f>
        <v>AJ8083</v>
      </c>
      <c r="B378" s="308">
        <f>IFERROR(__xludf.DUMMYFUNCTION("""COMPUTED_VALUE"""),44859.0)</f>
        <v>44859</v>
      </c>
      <c r="C378" s="309">
        <f>IFERROR(__xludf.DUMMYFUNCTION("""COMPUTED_VALUE"""),0.24733796296296295)</f>
        <v>0.247337963</v>
      </c>
      <c r="D378" s="7" t="str">
        <f>IFERROR(__xludf.DUMMYFUNCTION("""COMPUTED_VALUE"""),"SpABRM516158")</f>
        <v>SpABRM516158</v>
      </c>
      <c r="E378" s="310"/>
      <c r="F378" s="310"/>
      <c r="G378" s="310" t="str">
        <f>IFERROR(__xludf.DUMMYFUNCTION("""COMPUTED_VALUE"""),"Negative")</f>
        <v>Negative</v>
      </c>
      <c r="H378" s="319" t="str">
        <f>IFERROR(__xludf.DUMMYFUNCTION("""COMPUTED_VALUE"""),"Negative")</f>
        <v>Negative</v>
      </c>
      <c r="I378" s="308">
        <f>IFERROR(__xludf.DUMMYFUNCTION("""COMPUTED_VALUE"""),44861.0)</f>
        <v>44861</v>
      </c>
      <c r="J378" s="311">
        <f>IFERROR(__xludf.DUMMYFUNCTION("""COMPUTED_VALUE"""),0.41202546296296294)</f>
        <v>0.412025463</v>
      </c>
      <c r="K378" s="54"/>
      <c r="L378" s="7"/>
      <c r="M378" s="312"/>
      <c r="N378" s="172">
        <f>IFERROR(__xludf.DUMMYFUNCTION("""COMPUTED_VALUE"""),1.0)</f>
        <v>1</v>
      </c>
      <c r="O378" s="172" t="str">
        <f t="shared" si="3"/>
        <v/>
      </c>
      <c r="P378" s="313">
        <f>IFERROR(__xludf.DUMMYFUNCTION("""COMPUTED_VALUE"""),2.0)</f>
        <v>2</v>
      </c>
      <c r="Q378" s="76" t="b">
        <f>VLOOKUP($B378,'Run Reconcile'!B$2:O1399,14,FALSE)</f>
        <v>1</v>
      </c>
      <c r="R378" s="314" t="str">
        <f t="array" ref="R378">IF($Q378, INDEX('Run Reconcile'!A$2:A1399,MATCH(B378,'Run Reconcile'!B$2:B1399,0),1),IFERROR(0/0,""))</f>
        <v>RUN-ABRM_2022-10-25_RFR-052</v>
      </c>
      <c r="S378" s="315" t="str">
        <f t="shared" ref="S378:T378" si="760">IF(COUNTIF(W$2:W1399, $A378) &gt; 0,TRUE,IFERROR(0/0,""))</f>
        <v/>
      </c>
      <c r="T378" s="315" t="str">
        <f t="shared" si="760"/>
        <v/>
      </c>
      <c r="U378" s="114" t="str">
        <f t="array" ref="U378">IF(ISBLANK($R378), INDEX('Run Reconcile'!A$2:A1399, MATCH($B378, 'Run Reconcile'!B$2:B1399, 0)+Z378, 1), IFERROR(0/0,""))
</f>
        <v/>
      </c>
      <c r="V378" s="316" t="str">
        <f t="shared" si="5"/>
        <v>RUN-ABRM_2022-10-25_RFR-052</v>
      </c>
      <c r="Y378" s="317" t="str">
        <f t="shared" si="6"/>
        <v/>
      </c>
      <c r="Z378" s="83" t="str">
        <f t="shared" si="7"/>
        <v/>
      </c>
      <c r="AA378" s="83" t="str">
        <f t="shared" si="8"/>
        <v/>
      </c>
      <c r="AB378" s="83" t="str">
        <f t="shared" si="9"/>
        <v/>
      </c>
      <c r="AC378" s="18" t="str">
        <f t="shared" ref="AC378:AD378" si="761">IF(_xlfn.ISFORMULA(S378),IFERROR(0/0,""),TRUE)</f>
        <v/>
      </c>
      <c r="AD378" s="18" t="str">
        <f t="shared" si="761"/>
        <v/>
      </c>
      <c r="AE378" s="43"/>
      <c r="AF378" s="58" t="s">
        <v>64</v>
      </c>
      <c r="AG378" s="55" t="str">
        <f t="shared" si="11"/>
        <v/>
      </c>
    </row>
    <row r="379">
      <c r="A379" s="7" t="str">
        <f>IFERROR(__xludf.DUMMYFUNCTION("""COMPUTED_VALUE"""),"AH6962")</f>
        <v>AH6962</v>
      </c>
      <c r="B379" s="308">
        <f>IFERROR(__xludf.DUMMYFUNCTION("""COMPUTED_VALUE"""),44859.0)</f>
        <v>44859</v>
      </c>
      <c r="C379" s="309">
        <f>IFERROR(__xludf.DUMMYFUNCTION("""COMPUTED_VALUE"""),0.28956018518518517)</f>
        <v>0.2895601852</v>
      </c>
      <c r="D379" s="7" t="str">
        <f>IFERROR(__xludf.DUMMYFUNCTION("""COMPUTED_VALUE"""),"SpABRM128250")</f>
        <v>SpABRM128250</v>
      </c>
      <c r="E379" s="310"/>
      <c r="F379" s="310"/>
      <c r="G379" s="310" t="str">
        <f>IFERROR(__xludf.DUMMYFUNCTION("""COMPUTED_VALUE"""),"Negative")</f>
        <v>Negative</v>
      </c>
      <c r="H379" s="319" t="str">
        <f>IFERROR(__xludf.DUMMYFUNCTION("""COMPUTED_VALUE"""),"Negative")</f>
        <v>Negative</v>
      </c>
      <c r="I379" s="308">
        <f>IFERROR(__xludf.DUMMYFUNCTION("""COMPUTED_VALUE"""),44861.0)</f>
        <v>44861</v>
      </c>
      <c r="J379" s="311">
        <f>IFERROR(__xludf.DUMMYFUNCTION("""COMPUTED_VALUE"""),0.41203703703703703)</f>
        <v>0.412037037</v>
      </c>
      <c r="K379" s="54"/>
      <c r="L379" s="7"/>
      <c r="M379" s="312"/>
      <c r="N379" s="172">
        <f>IFERROR(__xludf.DUMMYFUNCTION("""COMPUTED_VALUE"""),3.0)</f>
        <v>3</v>
      </c>
      <c r="O379" s="172" t="str">
        <f t="shared" si="3"/>
        <v/>
      </c>
      <c r="P379" s="313">
        <f>IFERROR(__xludf.DUMMYFUNCTION("""COMPUTED_VALUE"""),2.0)</f>
        <v>2</v>
      </c>
      <c r="Q379" s="76" t="b">
        <f>VLOOKUP($B379,'Run Reconcile'!B$2:O1399,14,FALSE)</f>
        <v>1</v>
      </c>
      <c r="R379" s="314" t="str">
        <f t="array" ref="R379">IF($Q379, INDEX('Run Reconcile'!A$2:A1399,MATCH(B379,'Run Reconcile'!B$2:B1399,0),1),IFERROR(0/0,""))</f>
        <v>RUN-ABRM_2022-10-25_RFR-052</v>
      </c>
      <c r="S379" s="315" t="str">
        <f t="shared" ref="S379:T379" si="762">IF(COUNTIF(W$2:W1399, $A379) &gt; 0,TRUE,IFERROR(0/0,""))</f>
        <v/>
      </c>
      <c r="T379" s="315" t="str">
        <f t="shared" si="762"/>
        <v/>
      </c>
      <c r="U379" s="114" t="str">
        <f t="array" ref="U379">IF(ISBLANK($R379), INDEX('Run Reconcile'!A$2:A1399, MATCH($B379, 'Run Reconcile'!B$2:B1399, 0)+Z379, 1), IFERROR(0/0,""))
</f>
        <v/>
      </c>
      <c r="V379" s="316" t="str">
        <f t="shared" si="5"/>
        <v>RUN-ABRM_2022-10-25_RFR-052</v>
      </c>
      <c r="Y379" s="317" t="str">
        <f t="shared" si="6"/>
        <v/>
      </c>
      <c r="Z379" s="83" t="str">
        <f t="shared" si="7"/>
        <v/>
      </c>
      <c r="AA379" s="83" t="str">
        <f t="shared" si="8"/>
        <v/>
      </c>
      <c r="AB379" s="83" t="str">
        <f t="shared" si="9"/>
        <v/>
      </c>
      <c r="AC379" s="18" t="str">
        <f t="shared" ref="AC379:AD379" si="763">IF(_xlfn.ISFORMULA(S379),IFERROR(0/0,""),TRUE)</f>
        <v/>
      </c>
      <c r="AD379" s="18" t="str">
        <f t="shared" si="763"/>
        <v/>
      </c>
      <c r="AE379" s="43"/>
      <c r="AF379" s="58" t="s">
        <v>64</v>
      </c>
      <c r="AG379" s="55" t="str">
        <f t="shared" si="11"/>
        <v/>
      </c>
    </row>
    <row r="380">
      <c r="A380" s="7" t="str">
        <f>IFERROR(__xludf.DUMMYFUNCTION("""COMPUTED_VALUE"""),"AH9229")</f>
        <v>AH9229</v>
      </c>
      <c r="B380" s="308">
        <f>IFERROR(__xludf.DUMMYFUNCTION("""COMPUTED_VALUE"""),44859.0)</f>
        <v>44859</v>
      </c>
      <c r="C380" s="309">
        <f>IFERROR(__xludf.DUMMYFUNCTION("""COMPUTED_VALUE"""),0.29431712962962964)</f>
        <v>0.2943171296</v>
      </c>
      <c r="D380" s="7" t="str">
        <f>IFERROR(__xludf.DUMMYFUNCTION("""COMPUTED_VALUE"""),"SpABRM460827")</f>
        <v>SpABRM460827</v>
      </c>
      <c r="E380" s="310"/>
      <c r="F380" s="310"/>
      <c r="G380" s="310" t="str">
        <f>IFERROR(__xludf.DUMMYFUNCTION("""COMPUTED_VALUE"""),"Negative")</f>
        <v>Negative</v>
      </c>
      <c r="H380" s="319" t="str">
        <f>IFERROR(__xludf.DUMMYFUNCTION("""COMPUTED_VALUE"""),"Negative")</f>
        <v>Negative</v>
      </c>
      <c r="I380" s="308">
        <f>IFERROR(__xludf.DUMMYFUNCTION("""COMPUTED_VALUE"""),44861.0)</f>
        <v>44861</v>
      </c>
      <c r="J380" s="311">
        <f>IFERROR(__xludf.DUMMYFUNCTION("""COMPUTED_VALUE"""),0.41203703703703703)</f>
        <v>0.412037037</v>
      </c>
      <c r="K380" s="54"/>
      <c r="L380" s="7"/>
      <c r="M380" s="312"/>
      <c r="N380" s="172">
        <f>IFERROR(__xludf.DUMMYFUNCTION("""COMPUTED_VALUE"""),1.0)</f>
        <v>1</v>
      </c>
      <c r="O380" s="172" t="str">
        <f t="shared" si="3"/>
        <v/>
      </c>
      <c r="P380" s="313">
        <f>IFERROR(__xludf.DUMMYFUNCTION("""COMPUTED_VALUE"""),2.0)</f>
        <v>2</v>
      </c>
      <c r="Q380" s="76" t="b">
        <f>VLOOKUP($B380,'Run Reconcile'!B$2:O1399,14,FALSE)</f>
        <v>1</v>
      </c>
      <c r="R380" s="314" t="str">
        <f t="array" ref="R380">IF($Q380, INDEX('Run Reconcile'!A$2:A1399,MATCH(B380,'Run Reconcile'!B$2:B1399,0),1),IFERROR(0/0,""))</f>
        <v>RUN-ABRM_2022-10-25_RFR-052</v>
      </c>
      <c r="S380" s="315" t="str">
        <f t="shared" ref="S380:T380" si="764">IF(COUNTIF(W$2:W1399, $A380) &gt; 0,TRUE,IFERROR(0/0,""))</f>
        <v/>
      </c>
      <c r="T380" s="315" t="str">
        <f t="shared" si="764"/>
        <v/>
      </c>
      <c r="U380" s="114" t="str">
        <f t="array" ref="U380">IF(ISBLANK($R380), INDEX('Run Reconcile'!A$2:A1399, MATCH($B380, 'Run Reconcile'!B$2:B1399, 0)+Z380, 1), IFERROR(0/0,""))
</f>
        <v/>
      </c>
      <c r="V380" s="316" t="str">
        <f t="shared" si="5"/>
        <v>RUN-ABRM_2022-10-25_RFR-052</v>
      </c>
      <c r="Y380" s="317" t="str">
        <f t="shared" si="6"/>
        <v/>
      </c>
      <c r="Z380" s="83" t="str">
        <f t="shared" si="7"/>
        <v/>
      </c>
      <c r="AA380" s="83" t="str">
        <f t="shared" si="8"/>
        <v/>
      </c>
      <c r="AB380" s="83" t="str">
        <f t="shared" si="9"/>
        <v/>
      </c>
      <c r="AC380" s="18" t="str">
        <f t="shared" ref="AC380:AD380" si="765">IF(_xlfn.ISFORMULA(S380),IFERROR(0/0,""),TRUE)</f>
        <v/>
      </c>
      <c r="AD380" s="18" t="str">
        <f t="shared" si="765"/>
        <v/>
      </c>
      <c r="AE380" s="43"/>
      <c r="AF380" s="58" t="s">
        <v>64</v>
      </c>
      <c r="AG380" s="55" t="str">
        <f t="shared" si="11"/>
        <v/>
      </c>
    </row>
    <row r="381">
      <c r="A381" s="7" t="str">
        <f>IFERROR(__xludf.DUMMYFUNCTION("""COMPUTED_VALUE"""),"AH9426")</f>
        <v>AH9426</v>
      </c>
      <c r="B381" s="308">
        <f>IFERROR(__xludf.DUMMYFUNCTION("""COMPUTED_VALUE"""),44859.0)</f>
        <v>44859</v>
      </c>
      <c r="C381" s="309">
        <f>IFERROR(__xludf.DUMMYFUNCTION("""COMPUTED_VALUE"""),0.2955787037037037)</f>
        <v>0.2955787037</v>
      </c>
      <c r="D381" s="7" t="str">
        <f>IFERROR(__xludf.DUMMYFUNCTION("""COMPUTED_VALUE"""),"SpABRM814022")</f>
        <v>SpABRM814022</v>
      </c>
      <c r="E381" s="310"/>
      <c r="F381" s="310"/>
      <c r="G381" s="310" t="str">
        <f>IFERROR(__xludf.DUMMYFUNCTION("""COMPUTED_VALUE"""),"Negative")</f>
        <v>Negative</v>
      </c>
      <c r="H381" s="319" t="str">
        <f>IFERROR(__xludf.DUMMYFUNCTION("""COMPUTED_VALUE"""),"Negative")</f>
        <v>Negative</v>
      </c>
      <c r="I381" s="308">
        <f>IFERROR(__xludf.DUMMYFUNCTION("""COMPUTED_VALUE"""),44861.0)</f>
        <v>44861</v>
      </c>
      <c r="J381" s="311">
        <f>IFERROR(__xludf.DUMMYFUNCTION("""COMPUTED_VALUE"""),0.41203703703703703)</f>
        <v>0.412037037</v>
      </c>
      <c r="K381" s="54"/>
      <c r="L381" s="7"/>
      <c r="M381" s="312"/>
      <c r="N381" s="172">
        <f>IFERROR(__xludf.DUMMYFUNCTION("""COMPUTED_VALUE"""),1.0)</f>
        <v>1</v>
      </c>
      <c r="O381" s="172" t="str">
        <f t="shared" si="3"/>
        <v/>
      </c>
      <c r="P381" s="313">
        <f>IFERROR(__xludf.DUMMYFUNCTION("""COMPUTED_VALUE"""),2.0)</f>
        <v>2</v>
      </c>
      <c r="Q381" s="76" t="b">
        <f>VLOOKUP($B381,'Run Reconcile'!B$2:O1399,14,FALSE)</f>
        <v>1</v>
      </c>
      <c r="R381" s="314" t="str">
        <f t="array" ref="R381">IF($Q381, INDEX('Run Reconcile'!A$2:A1399,MATCH(B381,'Run Reconcile'!B$2:B1399,0),1),IFERROR(0/0,""))</f>
        <v>RUN-ABRM_2022-10-25_RFR-052</v>
      </c>
      <c r="S381" s="315" t="str">
        <f t="shared" ref="S381:T381" si="766">IF(COUNTIF(W$2:W1399, $A381) &gt; 0,TRUE,IFERROR(0/0,""))</f>
        <v/>
      </c>
      <c r="T381" s="315" t="str">
        <f t="shared" si="766"/>
        <v/>
      </c>
      <c r="U381" s="114" t="str">
        <f t="array" ref="U381">IF(ISBLANK($R381), INDEX('Run Reconcile'!A$2:A1399, MATCH($B381, 'Run Reconcile'!B$2:B1399, 0)+Z381, 1), IFERROR(0/0,""))
</f>
        <v/>
      </c>
      <c r="V381" s="316" t="str">
        <f t="shared" si="5"/>
        <v>RUN-ABRM_2022-10-25_RFR-052</v>
      </c>
      <c r="Y381" s="317" t="str">
        <f t="shared" si="6"/>
        <v/>
      </c>
      <c r="Z381" s="83" t="str">
        <f t="shared" si="7"/>
        <v/>
      </c>
      <c r="AA381" s="83" t="str">
        <f t="shared" si="8"/>
        <v/>
      </c>
      <c r="AB381" s="83" t="str">
        <f t="shared" si="9"/>
        <v/>
      </c>
      <c r="AC381" s="18" t="str">
        <f t="shared" ref="AC381:AD381" si="767">IF(_xlfn.ISFORMULA(S381),IFERROR(0/0,""),TRUE)</f>
        <v/>
      </c>
      <c r="AD381" s="18" t="str">
        <f t="shared" si="767"/>
        <v/>
      </c>
      <c r="AE381" s="43"/>
      <c r="AF381" s="58" t="s">
        <v>64</v>
      </c>
      <c r="AG381" s="55" t="str">
        <f t="shared" si="11"/>
        <v/>
      </c>
    </row>
    <row r="382">
      <c r="A382" s="7" t="str">
        <f>IFERROR(__xludf.DUMMYFUNCTION("""COMPUTED_VALUE"""),"AG1843")</f>
        <v>AG1843</v>
      </c>
      <c r="B382" s="308">
        <f>IFERROR(__xludf.DUMMYFUNCTION("""COMPUTED_VALUE"""),44859.0)</f>
        <v>44859</v>
      </c>
      <c r="C382" s="309">
        <f>IFERROR(__xludf.DUMMYFUNCTION("""COMPUTED_VALUE"""),0.3045486111111111)</f>
        <v>0.3045486111</v>
      </c>
      <c r="D382" s="7" t="str">
        <f>IFERROR(__xludf.DUMMYFUNCTION("""COMPUTED_VALUE"""),"SpABRM297307")</f>
        <v>SpABRM297307</v>
      </c>
      <c r="E382" s="310"/>
      <c r="F382" s="310"/>
      <c r="G382" s="310" t="str">
        <f>IFERROR(__xludf.DUMMYFUNCTION("""COMPUTED_VALUE"""),"Negative")</f>
        <v>Negative</v>
      </c>
      <c r="H382" s="319" t="str">
        <f>IFERROR(__xludf.DUMMYFUNCTION("""COMPUTED_VALUE"""),"Negative")</f>
        <v>Negative</v>
      </c>
      <c r="I382" s="308">
        <f>IFERROR(__xludf.DUMMYFUNCTION("""COMPUTED_VALUE"""),44861.0)</f>
        <v>44861</v>
      </c>
      <c r="J382" s="311">
        <f>IFERROR(__xludf.DUMMYFUNCTION("""COMPUTED_VALUE"""),0.41204861111111113)</f>
        <v>0.4120486111</v>
      </c>
      <c r="K382" s="54"/>
      <c r="L382" s="7"/>
      <c r="M382" s="312"/>
      <c r="N382" s="172">
        <f>IFERROR(__xludf.DUMMYFUNCTION("""COMPUTED_VALUE"""),4.0)</f>
        <v>4</v>
      </c>
      <c r="O382" s="172" t="str">
        <f t="shared" si="3"/>
        <v/>
      </c>
      <c r="P382" s="313">
        <f>IFERROR(__xludf.DUMMYFUNCTION("""COMPUTED_VALUE"""),2.0)</f>
        <v>2</v>
      </c>
      <c r="Q382" s="76" t="b">
        <f>VLOOKUP($B382,'Run Reconcile'!B$2:O1399,14,FALSE)</f>
        <v>1</v>
      </c>
      <c r="R382" s="314" t="str">
        <f t="array" ref="R382">IF($Q382, INDEX('Run Reconcile'!A$2:A1399,MATCH(B382,'Run Reconcile'!B$2:B1399,0),1),IFERROR(0/0,""))</f>
        <v>RUN-ABRM_2022-10-25_RFR-052</v>
      </c>
      <c r="S382" s="315" t="str">
        <f t="shared" ref="S382:T382" si="768">IF(COUNTIF(W$2:W1399, $A382) &gt; 0,TRUE,IFERROR(0/0,""))</f>
        <v/>
      </c>
      <c r="T382" s="315" t="str">
        <f t="shared" si="768"/>
        <v/>
      </c>
      <c r="U382" s="114" t="str">
        <f t="array" ref="U382">IF(ISBLANK($R382), INDEX('Run Reconcile'!A$2:A1399, MATCH($B382, 'Run Reconcile'!B$2:B1399, 0)+Z382, 1), IFERROR(0/0,""))
</f>
        <v/>
      </c>
      <c r="V382" s="316" t="str">
        <f t="shared" si="5"/>
        <v>RUN-ABRM_2022-10-25_RFR-052</v>
      </c>
      <c r="Y382" s="317" t="str">
        <f t="shared" si="6"/>
        <v/>
      </c>
      <c r="Z382" s="83" t="str">
        <f t="shared" si="7"/>
        <v/>
      </c>
      <c r="AA382" s="83" t="str">
        <f t="shared" si="8"/>
        <v/>
      </c>
      <c r="AB382" s="83" t="str">
        <f t="shared" si="9"/>
        <v/>
      </c>
      <c r="AC382" s="18" t="str">
        <f t="shared" ref="AC382:AD382" si="769">IF(_xlfn.ISFORMULA(S382),IFERROR(0/0,""),TRUE)</f>
        <v/>
      </c>
      <c r="AD382" s="18" t="str">
        <f t="shared" si="769"/>
        <v/>
      </c>
      <c r="AE382" s="43"/>
      <c r="AF382" s="58" t="s">
        <v>64</v>
      </c>
      <c r="AG382" s="55" t="str">
        <f t="shared" si="11"/>
        <v/>
      </c>
    </row>
    <row r="383">
      <c r="A383" s="7" t="str">
        <f>IFERROR(__xludf.DUMMYFUNCTION("""COMPUTED_VALUE"""),"AH8421")</f>
        <v>AH8421</v>
      </c>
      <c r="B383" s="308">
        <f>IFERROR(__xludf.DUMMYFUNCTION("""COMPUTED_VALUE"""),44859.0)</f>
        <v>44859</v>
      </c>
      <c r="C383" s="309">
        <f>IFERROR(__xludf.DUMMYFUNCTION("""COMPUTED_VALUE"""),0.32393518518518516)</f>
        <v>0.3239351852</v>
      </c>
      <c r="D383" s="7" t="str">
        <f>IFERROR(__xludf.DUMMYFUNCTION("""COMPUTED_VALUE"""),"SpABRM610758")</f>
        <v>SpABRM610758</v>
      </c>
      <c r="E383" s="310"/>
      <c r="F383" s="310"/>
      <c r="G383" s="310" t="str">
        <f>IFERROR(__xludf.DUMMYFUNCTION("""COMPUTED_VALUE"""),"Negative")</f>
        <v>Negative</v>
      </c>
      <c r="H383" s="319" t="str">
        <f>IFERROR(__xludf.DUMMYFUNCTION("""COMPUTED_VALUE"""),"Negative")</f>
        <v>Negative</v>
      </c>
      <c r="I383" s="308">
        <f>IFERROR(__xludf.DUMMYFUNCTION("""COMPUTED_VALUE"""),44861.0)</f>
        <v>44861</v>
      </c>
      <c r="J383" s="311">
        <f>IFERROR(__xludf.DUMMYFUNCTION("""COMPUTED_VALUE"""),0.41204861111111113)</f>
        <v>0.4120486111</v>
      </c>
      <c r="K383" s="54"/>
      <c r="L383" s="7"/>
      <c r="M383" s="312"/>
      <c r="N383" s="172">
        <f>IFERROR(__xludf.DUMMYFUNCTION("""COMPUTED_VALUE"""),2.0)</f>
        <v>2</v>
      </c>
      <c r="O383" s="172" t="str">
        <f t="shared" si="3"/>
        <v/>
      </c>
      <c r="P383" s="313">
        <f>IFERROR(__xludf.DUMMYFUNCTION("""COMPUTED_VALUE"""),2.0)</f>
        <v>2</v>
      </c>
      <c r="Q383" s="76" t="b">
        <f>VLOOKUP($B383,'Run Reconcile'!B$2:O1399,14,FALSE)</f>
        <v>1</v>
      </c>
      <c r="R383" s="314" t="str">
        <f t="array" ref="R383">IF($Q383, INDEX('Run Reconcile'!A$2:A1399,MATCH(B383,'Run Reconcile'!B$2:B1399,0),1),IFERROR(0/0,""))</f>
        <v>RUN-ABRM_2022-10-25_RFR-052</v>
      </c>
      <c r="S383" s="315" t="str">
        <f t="shared" ref="S383:T383" si="770">IF(COUNTIF(W$2:W1399, $A383) &gt; 0,TRUE,IFERROR(0/0,""))</f>
        <v/>
      </c>
      <c r="T383" s="315" t="str">
        <f t="shared" si="770"/>
        <v/>
      </c>
      <c r="U383" s="114" t="str">
        <f t="array" ref="U383">IF(ISBLANK($R383), INDEX('Run Reconcile'!A$2:A1399, MATCH($B383, 'Run Reconcile'!B$2:B1399, 0)+Z383, 1), IFERROR(0/0,""))
</f>
        <v/>
      </c>
      <c r="V383" s="316" t="str">
        <f t="shared" si="5"/>
        <v>RUN-ABRM_2022-10-25_RFR-052</v>
      </c>
      <c r="Y383" s="317" t="str">
        <f t="shared" si="6"/>
        <v/>
      </c>
      <c r="Z383" s="83" t="str">
        <f t="shared" si="7"/>
        <v/>
      </c>
      <c r="AA383" s="83" t="str">
        <f t="shared" si="8"/>
        <v/>
      </c>
      <c r="AB383" s="83" t="str">
        <f t="shared" si="9"/>
        <v/>
      </c>
      <c r="AC383" s="18" t="str">
        <f t="shared" ref="AC383:AD383" si="771">IF(_xlfn.ISFORMULA(S383),IFERROR(0/0,""),TRUE)</f>
        <v/>
      </c>
      <c r="AD383" s="18" t="str">
        <f t="shared" si="771"/>
        <v/>
      </c>
      <c r="AE383" s="43"/>
      <c r="AF383" s="58" t="s">
        <v>64</v>
      </c>
      <c r="AG383" s="55" t="str">
        <f t="shared" si="11"/>
        <v/>
      </c>
    </row>
    <row r="384">
      <c r="A384" s="7" t="str">
        <f>IFERROR(__xludf.DUMMYFUNCTION("""COMPUTED_VALUE"""),"AK7835")</f>
        <v>AK7835</v>
      </c>
      <c r="B384" s="308">
        <f>IFERROR(__xludf.DUMMYFUNCTION("""COMPUTED_VALUE"""),44859.0)</f>
        <v>44859</v>
      </c>
      <c r="C384" s="309">
        <f>IFERROR(__xludf.DUMMYFUNCTION("""COMPUTED_VALUE"""),0.3804282407407407)</f>
        <v>0.3804282407</v>
      </c>
      <c r="D384" s="7" t="str">
        <f>IFERROR(__xludf.DUMMYFUNCTION("""COMPUTED_VALUE"""),"SpABRM188986")</f>
        <v>SpABRM188986</v>
      </c>
      <c r="E384" s="310"/>
      <c r="F384" s="310"/>
      <c r="G384" s="310" t="str">
        <f>IFERROR(__xludf.DUMMYFUNCTION("""COMPUTED_VALUE"""),"Negative")</f>
        <v>Negative</v>
      </c>
      <c r="H384" s="319" t="str">
        <f>IFERROR(__xludf.DUMMYFUNCTION("""COMPUTED_VALUE"""),"Negative")</f>
        <v>Negative</v>
      </c>
      <c r="I384" s="308">
        <f>IFERROR(__xludf.DUMMYFUNCTION("""COMPUTED_VALUE"""),44861.0)</f>
        <v>44861</v>
      </c>
      <c r="J384" s="311">
        <f>IFERROR(__xludf.DUMMYFUNCTION("""COMPUTED_VALUE"""),0.41204861111111113)</f>
        <v>0.4120486111</v>
      </c>
      <c r="K384" s="54"/>
      <c r="L384" s="7"/>
      <c r="M384" s="312"/>
      <c r="N384" s="172">
        <f>IFERROR(__xludf.DUMMYFUNCTION("""COMPUTED_VALUE"""),2.0)</f>
        <v>2</v>
      </c>
      <c r="O384" s="172" t="str">
        <f t="shared" si="3"/>
        <v/>
      </c>
      <c r="P384" s="313">
        <f>IFERROR(__xludf.DUMMYFUNCTION("""COMPUTED_VALUE"""),2.0)</f>
        <v>2</v>
      </c>
      <c r="Q384" s="76" t="b">
        <f>VLOOKUP($B384,'Run Reconcile'!B$2:O1399,14,FALSE)</f>
        <v>1</v>
      </c>
      <c r="R384" s="314" t="str">
        <f t="array" ref="R384">IF($Q384, INDEX('Run Reconcile'!A$2:A1399,MATCH(B384,'Run Reconcile'!B$2:B1399,0),1),IFERROR(0/0,""))</f>
        <v>RUN-ABRM_2022-10-25_RFR-052</v>
      </c>
      <c r="S384" s="315" t="str">
        <f t="shared" ref="S384:T384" si="772">IF(COUNTIF(W$2:W1399, $A384) &gt; 0,TRUE,IFERROR(0/0,""))</f>
        <v/>
      </c>
      <c r="T384" s="315" t="str">
        <f t="shared" si="772"/>
        <v/>
      </c>
      <c r="U384" s="114" t="str">
        <f t="array" ref="U384">IF(ISBLANK($R384), INDEX('Run Reconcile'!A$2:A1399, MATCH($B384, 'Run Reconcile'!B$2:B1399, 0)+Z384, 1), IFERROR(0/0,""))
</f>
        <v/>
      </c>
      <c r="V384" s="316" t="str">
        <f t="shared" si="5"/>
        <v>RUN-ABRM_2022-10-25_RFR-052</v>
      </c>
      <c r="Y384" s="317" t="str">
        <f t="shared" si="6"/>
        <v/>
      </c>
      <c r="Z384" s="83" t="str">
        <f t="shared" si="7"/>
        <v/>
      </c>
      <c r="AA384" s="83" t="str">
        <f t="shared" si="8"/>
        <v/>
      </c>
      <c r="AB384" s="83" t="str">
        <f t="shared" si="9"/>
        <v/>
      </c>
      <c r="AC384" s="18" t="str">
        <f t="shared" ref="AC384:AD384" si="773">IF(_xlfn.ISFORMULA(S384),IFERROR(0/0,""),TRUE)</f>
        <v/>
      </c>
      <c r="AD384" s="18" t="str">
        <f t="shared" si="773"/>
        <v/>
      </c>
      <c r="AE384" s="43"/>
      <c r="AF384" s="58" t="s">
        <v>64</v>
      </c>
      <c r="AG384" s="55" t="str">
        <f t="shared" si="11"/>
        <v/>
      </c>
    </row>
    <row r="385">
      <c r="A385" s="7" t="str">
        <f>IFERROR(__xludf.DUMMYFUNCTION("""COMPUTED_VALUE"""),"AG1789")</f>
        <v>AG1789</v>
      </c>
      <c r="B385" s="308">
        <f>IFERROR(__xludf.DUMMYFUNCTION("""COMPUTED_VALUE"""),44859.0)</f>
        <v>44859</v>
      </c>
      <c r="C385" s="309">
        <f>IFERROR(__xludf.DUMMYFUNCTION("""COMPUTED_VALUE"""),0.3807638888888889)</f>
        <v>0.3807638889</v>
      </c>
      <c r="D385" s="7" t="str">
        <f>IFERROR(__xludf.DUMMYFUNCTION("""COMPUTED_VALUE"""),"SpABRM188986")</f>
        <v>SpABRM188986</v>
      </c>
      <c r="E385" s="310"/>
      <c r="F385" s="310"/>
      <c r="G385" s="310" t="str">
        <f>IFERROR(__xludf.DUMMYFUNCTION("""COMPUTED_VALUE"""),"Negative")</f>
        <v>Negative</v>
      </c>
      <c r="H385" s="319" t="str">
        <f>IFERROR(__xludf.DUMMYFUNCTION("""COMPUTED_VALUE"""),"Negative")</f>
        <v>Negative</v>
      </c>
      <c r="I385" s="308">
        <f>IFERROR(__xludf.DUMMYFUNCTION("""COMPUTED_VALUE"""),44861.0)</f>
        <v>44861</v>
      </c>
      <c r="J385" s="311">
        <f>IFERROR(__xludf.DUMMYFUNCTION("""COMPUTED_VALUE"""),0.41206018518518517)</f>
        <v>0.4120601852</v>
      </c>
      <c r="K385" s="54"/>
      <c r="L385" s="7"/>
      <c r="M385" s="312"/>
      <c r="N385" s="172">
        <f>IFERROR(__xludf.DUMMYFUNCTION("""COMPUTED_VALUE"""),2.0)</f>
        <v>2</v>
      </c>
      <c r="O385" s="172" t="str">
        <f t="shared" si="3"/>
        <v/>
      </c>
      <c r="P385" s="313">
        <f>IFERROR(__xludf.DUMMYFUNCTION("""COMPUTED_VALUE"""),2.0)</f>
        <v>2</v>
      </c>
      <c r="Q385" s="76" t="b">
        <f>VLOOKUP($B385,'Run Reconcile'!B$2:O1399,14,FALSE)</f>
        <v>1</v>
      </c>
      <c r="R385" s="314" t="str">
        <f t="array" ref="R385">IF($Q385, INDEX('Run Reconcile'!A$2:A1399,MATCH(B385,'Run Reconcile'!B$2:B1399,0),1),IFERROR(0/0,""))</f>
        <v>RUN-ABRM_2022-10-25_RFR-052</v>
      </c>
      <c r="S385" s="315" t="str">
        <f t="shared" ref="S385:T385" si="774">IF(COUNTIF(W$2:W1399, $A385) &gt; 0,TRUE,IFERROR(0/0,""))</f>
        <v/>
      </c>
      <c r="T385" s="315" t="str">
        <f t="shared" si="774"/>
        <v/>
      </c>
      <c r="U385" s="114" t="str">
        <f t="array" ref="U385">IF(ISBLANK($R385), INDEX('Run Reconcile'!A$2:A1399, MATCH($B385, 'Run Reconcile'!B$2:B1399, 0)+Z385, 1), IFERROR(0/0,""))
</f>
        <v/>
      </c>
      <c r="V385" s="316" t="str">
        <f t="shared" si="5"/>
        <v>RUN-ABRM_2022-10-25_RFR-052</v>
      </c>
      <c r="Y385" s="317" t="str">
        <f t="shared" si="6"/>
        <v/>
      </c>
      <c r="Z385" s="83" t="str">
        <f t="shared" si="7"/>
        <v/>
      </c>
      <c r="AA385" s="83" t="str">
        <f t="shared" si="8"/>
        <v/>
      </c>
      <c r="AB385" s="83" t="str">
        <f t="shared" si="9"/>
        <v/>
      </c>
      <c r="AC385" s="18" t="str">
        <f t="shared" ref="AC385:AD385" si="775">IF(_xlfn.ISFORMULA(S385),IFERROR(0/0,""),TRUE)</f>
        <v/>
      </c>
      <c r="AD385" s="18" t="str">
        <f t="shared" si="775"/>
        <v/>
      </c>
      <c r="AE385" s="43"/>
      <c r="AF385" s="58" t="s">
        <v>64</v>
      </c>
      <c r="AG385" s="55" t="str">
        <f t="shared" si="11"/>
        <v/>
      </c>
    </row>
    <row r="386">
      <c r="A386" s="7" t="str">
        <f>IFERROR(__xludf.DUMMYFUNCTION("""COMPUTED_VALUE"""),"AH9865")</f>
        <v>AH9865</v>
      </c>
      <c r="B386" s="308">
        <f>IFERROR(__xludf.DUMMYFUNCTION("""COMPUTED_VALUE"""),44860.0)</f>
        <v>44860</v>
      </c>
      <c r="C386" s="309">
        <f>IFERROR(__xludf.DUMMYFUNCTION("""COMPUTED_VALUE"""),0.20586805555555557)</f>
        <v>0.2058680556</v>
      </c>
      <c r="D386" s="7" t="str">
        <f>IFERROR(__xludf.DUMMYFUNCTION("""COMPUTED_VALUE"""),"SpABRM454310")</f>
        <v>SpABRM454310</v>
      </c>
      <c r="E386" s="310"/>
      <c r="F386" s="310"/>
      <c r="G386" s="310" t="str">
        <f>IFERROR(__xludf.DUMMYFUNCTION("""COMPUTED_VALUE"""),"Negative")</f>
        <v>Negative</v>
      </c>
      <c r="H386" s="319" t="str">
        <f>IFERROR(__xludf.DUMMYFUNCTION("""COMPUTED_VALUE"""),"Negative")</f>
        <v>Negative</v>
      </c>
      <c r="I386" s="308">
        <f>IFERROR(__xludf.DUMMYFUNCTION("""COMPUTED_VALUE"""),44860.0)</f>
        <v>44860</v>
      </c>
      <c r="J386" s="311">
        <f>IFERROR(__xludf.DUMMYFUNCTION("""COMPUTED_VALUE"""),0.3795601851851852)</f>
        <v>0.3795601852</v>
      </c>
      <c r="K386" s="54"/>
      <c r="L386" s="7"/>
      <c r="M386" s="312"/>
      <c r="N386" s="172">
        <f>IFERROR(__xludf.DUMMYFUNCTION("""COMPUTED_VALUE"""),3.0)</f>
        <v>3</v>
      </c>
      <c r="O386" s="172" t="b">
        <f t="shared" si="3"/>
        <v>1</v>
      </c>
      <c r="P386" s="313">
        <f>IFERROR(__xludf.DUMMYFUNCTION("""COMPUTED_VALUE"""),0.0)</f>
        <v>0</v>
      </c>
      <c r="Q386" s="76" t="b">
        <f>VLOOKUP($B386,'Run Reconcile'!B$2:O1399,14,FALSE)</f>
        <v>1</v>
      </c>
      <c r="R386" s="314" t="str">
        <f t="array" ref="R386">IF($Q386, INDEX('Run Reconcile'!A$2:A1399,MATCH(B386,'Run Reconcile'!B$2:B1399,0),1),IFERROR(0/0,""))</f>
        <v>RUN-ABRM_2022-10-26_RFR-054</v>
      </c>
      <c r="S386" s="315" t="str">
        <f t="shared" ref="S386:T386" si="776">IF(COUNTIF(W$2:W1399, $A386) &gt; 0,TRUE,IFERROR(0/0,""))</f>
        <v/>
      </c>
      <c r="T386" s="315" t="str">
        <f t="shared" si="776"/>
        <v/>
      </c>
      <c r="U386" s="114" t="str">
        <f t="array" ref="U386">IF(ISBLANK($R386), INDEX('Run Reconcile'!A$2:A1399, MATCH($B386, 'Run Reconcile'!B$2:B1399, 0)+Z386, 1), IFERROR(0/0,""))
</f>
        <v/>
      </c>
      <c r="V386" s="316" t="str">
        <f t="shared" si="5"/>
        <v>RUN-ABRM_2022-10-26_RFR-054</v>
      </c>
      <c r="Y386" s="317" t="str">
        <f t="shared" si="6"/>
        <v/>
      </c>
      <c r="Z386" s="83" t="str">
        <f t="shared" si="7"/>
        <v/>
      </c>
      <c r="AA386" s="83" t="str">
        <f t="shared" si="8"/>
        <v/>
      </c>
      <c r="AB386" s="83" t="str">
        <f t="shared" si="9"/>
        <v/>
      </c>
      <c r="AC386" s="18" t="str">
        <f t="shared" ref="AC386:AD386" si="777">IF(_xlfn.ISFORMULA(S386),IFERROR(0/0,""),TRUE)</f>
        <v/>
      </c>
      <c r="AD386" s="18" t="str">
        <f t="shared" si="777"/>
        <v/>
      </c>
      <c r="AE386" s="43"/>
      <c r="AF386" s="58" t="s">
        <v>65</v>
      </c>
      <c r="AG386" s="55" t="str">
        <f t="shared" si="11"/>
        <v/>
      </c>
    </row>
    <row r="387">
      <c r="A387" s="7" t="str">
        <f>IFERROR(__xludf.DUMMYFUNCTION("""COMPUTED_VALUE"""),"AG1682")</f>
        <v>AG1682</v>
      </c>
      <c r="B387" s="308">
        <f>IFERROR(__xludf.DUMMYFUNCTION("""COMPUTED_VALUE"""),44860.0)</f>
        <v>44860</v>
      </c>
      <c r="C387" s="309">
        <f>IFERROR(__xludf.DUMMYFUNCTION("""COMPUTED_VALUE"""),0.2170138888888889)</f>
        <v>0.2170138889</v>
      </c>
      <c r="D387" s="7" t="str">
        <f>IFERROR(__xludf.DUMMYFUNCTION("""COMPUTED_VALUE"""),"SpABRM188986")</f>
        <v>SpABRM188986</v>
      </c>
      <c r="E387" s="310"/>
      <c r="F387" s="310"/>
      <c r="G387" s="310" t="str">
        <f>IFERROR(__xludf.DUMMYFUNCTION("""COMPUTED_VALUE"""),"Negative")</f>
        <v>Negative</v>
      </c>
      <c r="H387" s="319" t="str">
        <f>IFERROR(__xludf.DUMMYFUNCTION("""COMPUTED_VALUE"""),"Negative")</f>
        <v>Negative</v>
      </c>
      <c r="I387" s="308">
        <f>IFERROR(__xludf.DUMMYFUNCTION("""COMPUTED_VALUE"""),44860.0)</f>
        <v>44860</v>
      </c>
      <c r="J387" s="311">
        <f>IFERROR(__xludf.DUMMYFUNCTION("""COMPUTED_VALUE"""),0.3795601851851852)</f>
        <v>0.3795601852</v>
      </c>
      <c r="K387" s="54"/>
      <c r="L387" s="7"/>
      <c r="M387" s="312"/>
      <c r="N387" s="172">
        <f>IFERROR(__xludf.DUMMYFUNCTION("""COMPUTED_VALUE"""),2.0)</f>
        <v>2</v>
      </c>
      <c r="O387" s="172" t="str">
        <f t="shared" si="3"/>
        <v/>
      </c>
      <c r="P387" s="313">
        <f>IFERROR(__xludf.DUMMYFUNCTION("""COMPUTED_VALUE"""),0.0)</f>
        <v>0</v>
      </c>
      <c r="Q387" s="76" t="b">
        <f>VLOOKUP($B387,'Run Reconcile'!B$2:O1399,14,FALSE)</f>
        <v>1</v>
      </c>
      <c r="R387" s="314" t="str">
        <f t="array" ref="R387">IF($Q387, INDEX('Run Reconcile'!A$2:A1399,MATCH(B387,'Run Reconcile'!B$2:B1399,0),1),IFERROR(0/0,""))</f>
        <v>RUN-ABRM_2022-10-26_RFR-054</v>
      </c>
      <c r="S387" s="315" t="str">
        <f t="shared" ref="S387:T387" si="778">IF(COUNTIF(W$2:W1399, $A387) &gt; 0,TRUE,IFERROR(0/0,""))</f>
        <v/>
      </c>
      <c r="T387" s="315" t="str">
        <f t="shared" si="778"/>
        <v/>
      </c>
      <c r="U387" s="114" t="str">
        <f t="array" ref="U387">IF(ISBLANK($R387), INDEX('Run Reconcile'!A$2:A1399, MATCH($B387, 'Run Reconcile'!B$2:B1399, 0)+Z387, 1), IFERROR(0/0,""))
</f>
        <v/>
      </c>
      <c r="V387" s="316" t="str">
        <f t="shared" si="5"/>
        <v>RUN-ABRM_2022-10-26_RFR-054</v>
      </c>
      <c r="Y387" s="317" t="str">
        <f t="shared" si="6"/>
        <v/>
      </c>
      <c r="Z387" s="83" t="str">
        <f t="shared" si="7"/>
        <v/>
      </c>
      <c r="AA387" s="83" t="str">
        <f t="shared" si="8"/>
        <v/>
      </c>
      <c r="AB387" s="83" t="str">
        <f t="shared" si="9"/>
        <v/>
      </c>
      <c r="AC387" s="18" t="str">
        <f t="shared" ref="AC387:AD387" si="779">IF(_xlfn.ISFORMULA(S387),IFERROR(0/0,""),TRUE)</f>
        <v/>
      </c>
      <c r="AD387" s="18" t="str">
        <f t="shared" si="779"/>
        <v/>
      </c>
      <c r="AE387" s="43"/>
      <c r="AF387" s="58" t="s">
        <v>65</v>
      </c>
      <c r="AG387" s="55" t="str">
        <f t="shared" si="11"/>
        <v/>
      </c>
    </row>
    <row r="388">
      <c r="A388" s="7" t="str">
        <f>IFERROR(__xludf.DUMMYFUNCTION("""COMPUTED_VALUE"""),"AK6034")</f>
        <v>AK6034</v>
      </c>
      <c r="B388" s="308">
        <f>IFERROR(__xludf.DUMMYFUNCTION("""COMPUTED_VALUE"""),44860.0)</f>
        <v>44860</v>
      </c>
      <c r="C388" s="309">
        <f>IFERROR(__xludf.DUMMYFUNCTION("""COMPUTED_VALUE"""),0.2672453703703704)</f>
        <v>0.2672453704</v>
      </c>
      <c r="D388" s="7" t="str">
        <f>IFERROR(__xludf.DUMMYFUNCTION("""COMPUTED_VALUE"""),"SpABRM814022")</f>
        <v>SpABRM814022</v>
      </c>
      <c r="E388" s="310"/>
      <c r="F388" s="310"/>
      <c r="G388" s="310" t="str">
        <f>IFERROR(__xludf.DUMMYFUNCTION("""COMPUTED_VALUE"""),"Negative")</f>
        <v>Negative</v>
      </c>
      <c r="H388" s="319" t="str">
        <f>IFERROR(__xludf.DUMMYFUNCTION("""COMPUTED_VALUE"""),"Negative")</f>
        <v>Negative</v>
      </c>
      <c r="I388" s="308">
        <f>IFERROR(__xludf.DUMMYFUNCTION("""COMPUTED_VALUE"""),44860.0)</f>
        <v>44860</v>
      </c>
      <c r="J388" s="311">
        <f>IFERROR(__xludf.DUMMYFUNCTION("""COMPUTED_VALUE"""),0.3795601851851852)</f>
        <v>0.3795601852</v>
      </c>
      <c r="K388" s="54"/>
      <c r="L388" s="7"/>
      <c r="M388" s="312"/>
      <c r="N388" s="172">
        <f>IFERROR(__xludf.DUMMYFUNCTION("""COMPUTED_VALUE"""),1.0)</f>
        <v>1</v>
      </c>
      <c r="O388" s="172" t="str">
        <f t="shared" si="3"/>
        <v/>
      </c>
      <c r="P388" s="313">
        <f>IFERROR(__xludf.DUMMYFUNCTION("""COMPUTED_VALUE"""),0.0)</f>
        <v>0</v>
      </c>
      <c r="Q388" s="76" t="b">
        <f>VLOOKUP($B388,'Run Reconcile'!B$2:O1399,14,FALSE)</f>
        <v>1</v>
      </c>
      <c r="R388" s="314" t="str">
        <f t="array" ref="R388">IF($Q388, INDEX('Run Reconcile'!A$2:A1399,MATCH(B388,'Run Reconcile'!B$2:B1399,0),1),IFERROR(0/0,""))</f>
        <v>RUN-ABRM_2022-10-26_RFR-054</v>
      </c>
      <c r="S388" s="315" t="str">
        <f t="shared" ref="S388:T388" si="780">IF(COUNTIF(W$2:W1399, $A388) &gt; 0,TRUE,IFERROR(0/0,""))</f>
        <v/>
      </c>
      <c r="T388" s="315" t="str">
        <f t="shared" si="780"/>
        <v/>
      </c>
      <c r="U388" s="114" t="str">
        <f t="array" ref="U388">IF(ISBLANK($R388), INDEX('Run Reconcile'!A$2:A1399, MATCH($B388, 'Run Reconcile'!B$2:B1399, 0)+Z388, 1), IFERROR(0/0,""))
</f>
        <v/>
      </c>
      <c r="V388" s="316" t="str">
        <f t="shared" si="5"/>
        <v>RUN-ABRM_2022-10-26_RFR-054</v>
      </c>
      <c r="Y388" s="317" t="str">
        <f t="shared" si="6"/>
        <v/>
      </c>
      <c r="Z388" s="83" t="str">
        <f t="shared" si="7"/>
        <v/>
      </c>
      <c r="AA388" s="83" t="str">
        <f t="shared" si="8"/>
        <v/>
      </c>
      <c r="AB388" s="83" t="str">
        <f t="shared" si="9"/>
        <v/>
      </c>
      <c r="AC388" s="18" t="str">
        <f t="shared" ref="AC388:AD388" si="781">IF(_xlfn.ISFORMULA(S388),IFERROR(0/0,""),TRUE)</f>
        <v/>
      </c>
      <c r="AD388" s="18" t="str">
        <f t="shared" si="781"/>
        <v/>
      </c>
      <c r="AE388" s="43"/>
      <c r="AF388" s="58" t="s">
        <v>65</v>
      </c>
      <c r="AG388" s="55" t="str">
        <f t="shared" si="11"/>
        <v/>
      </c>
    </row>
    <row r="389">
      <c r="A389" s="7" t="str">
        <f>IFERROR(__xludf.DUMMYFUNCTION("""COMPUTED_VALUE"""),"AH9527")</f>
        <v>AH9527</v>
      </c>
      <c r="B389" s="308">
        <f>IFERROR(__xludf.DUMMYFUNCTION("""COMPUTED_VALUE"""),44860.0)</f>
        <v>44860</v>
      </c>
      <c r="C389" s="309">
        <f>IFERROR(__xludf.DUMMYFUNCTION("""COMPUTED_VALUE"""),0.2880902777777778)</f>
        <v>0.2880902778</v>
      </c>
      <c r="D389" s="7" t="str">
        <f>IFERROR(__xludf.DUMMYFUNCTION("""COMPUTED_VALUE"""),"SpABRM516158")</f>
        <v>SpABRM516158</v>
      </c>
      <c r="E389" s="310"/>
      <c r="F389" s="310"/>
      <c r="G389" s="310" t="str">
        <f>IFERROR(__xludf.DUMMYFUNCTION("""COMPUTED_VALUE"""),"Negative")</f>
        <v>Negative</v>
      </c>
      <c r="H389" s="319" t="str">
        <f>IFERROR(__xludf.DUMMYFUNCTION("""COMPUTED_VALUE"""),"Negative")</f>
        <v>Negative</v>
      </c>
      <c r="I389" s="308">
        <f>IFERROR(__xludf.DUMMYFUNCTION("""COMPUTED_VALUE"""),44860.0)</f>
        <v>44860</v>
      </c>
      <c r="J389" s="311">
        <f>IFERROR(__xludf.DUMMYFUNCTION("""COMPUTED_VALUE"""),0.3795601851851852)</f>
        <v>0.3795601852</v>
      </c>
      <c r="K389" s="54"/>
      <c r="L389" s="7"/>
      <c r="M389" s="312"/>
      <c r="N389" s="172">
        <f>IFERROR(__xludf.DUMMYFUNCTION("""COMPUTED_VALUE"""),1.0)</f>
        <v>1</v>
      </c>
      <c r="O389" s="172" t="str">
        <f t="shared" si="3"/>
        <v/>
      </c>
      <c r="P389" s="313">
        <f>IFERROR(__xludf.DUMMYFUNCTION("""COMPUTED_VALUE"""),0.0)</f>
        <v>0</v>
      </c>
      <c r="Q389" s="76" t="b">
        <f>VLOOKUP($B389,'Run Reconcile'!B$2:O1399,14,FALSE)</f>
        <v>1</v>
      </c>
      <c r="R389" s="314" t="str">
        <f t="array" ref="R389">IF($Q389, INDEX('Run Reconcile'!A$2:A1399,MATCH(B389,'Run Reconcile'!B$2:B1399,0),1),IFERROR(0/0,""))</f>
        <v>RUN-ABRM_2022-10-26_RFR-054</v>
      </c>
      <c r="S389" s="315" t="str">
        <f t="shared" ref="S389:T389" si="782">IF(COUNTIF(W$2:W1399, $A389) &gt; 0,TRUE,IFERROR(0/0,""))</f>
        <v/>
      </c>
      <c r="T389" s="315" t="str">
        <f t="shared" si="782"/>
        <v/>
      </c>
      <c r="U389" s="114" t="str">
        <f t="array" ref="U389">IF(ISBLANK($R389), INDEX('Run Reconcile'!A$2:A1399, MATCH($B389, 'Run Reconcile'!B$2:B1399, 0)+Z389, 1), IFERROR(0/0,""))
</f>
        <v/>
      </c>
      <c r="V389" s="316" t="str">
        <f t="shared" si="5"/>
        <v>RUN-ABRM_2022-10-26_RFR-054</v>
      </c>
      <c r="Y389" s="317" t="str">
        <f t="shared" si="6"/>
        <v/>
      </c>
      <c r="Z389" s="83" t="str">
        <f t="shared" si="7"/>
        <v/>
      </c>
      <c r="AA389" s="83" t="str">
        <f t="shared" si="8"/>
        <v/>
      </c>
      <c r="AB389" s="83" t="str">
        <f t="shared" si="9"/>
        <v/>
      </c>
      <c r="AC389" s="18" t="str">
        <f t="shared" ref="AC389:AD389" si="783">IF(_xlfn.ISFORMULA(S389),IFERROR(0/0,""),TRUE)</f>
        <v/>
      </c>
      <c r="AD389" s="18" t="str">
        <f t="shared" si="783"/>
        <v/>
      </c>
      <c r="AE389" s="43"/>
      <c r="AF389" s="58" t="s">
        <v>65</v>
      </c>
      <c r="AG389" s="55" t="str">
        <f t="shared" si="11"/>
        <v/>
      </c>
    </row>
    <row r="390">
      <c r="A390" s="7" t="str">
        <f>IFERROR(__xludf.DUMMYFUNCTION("""COMPUTED_VALUE"""),"AH7600")</f>
        <v>AH7600</v>
      </c>
      <c r="B390" s="308">
        <f>IFERROR(__xludf.DUMMYFUNCTION("""COMPUTED_VALUE"""),44860.0)</f>
        <v>44860</v>
      </c>
      <c r="C390" s="309">
        <f>IFERROR(__xludf.DUMMYFUNCTION("""COMPUTED_VALUE"""),0.29591435185185183)</f>
        <v>0.2959143519</v>
      </c>
      <c r="D390" s="7" t="str">
        <f>IFERROR(__xludf.DUMMYFUNCTION("""COMPUTED_VALUE"""),"SpABRM128250")</f>
        <v>SpABRM128250</v>
      </c>
      <c r="E390" s="310"/>
      <c r="F390" s="310"/>
      <c r="G390" s="310" t="str">
        <f>IFERROR(__xludf.DUMMYFUNCTION("""COMPUTED_VALUE"""),"Negative")</f>
        <v>Negative</v>
      </c>
      <c r="H390" s="319" t="str">
        <f>IFERROR(__xludf.DUMMYFUNCTION("""COMPUTED_VALUE"""),"Negative")</f>
        <v>Negative</v>
      </c>
      <c r="I390" s="308">
        <f>IFERROR(__xludf.DUMMYFUNCTION("""COMPUTED_VALUE"""),44860.0)</f>
        <v>44860</v>
      </c>
      <c r="J390" s="311">
        <f>IFERROR(__xludf.DUMMYFUNCTION("""COMPUTED_VALUE"""),0.37957175925925923)</f>
        <v>0.3795717593</v>
      </c>
      <c r="K390" s="54"/>
      <c r="L390" s="7"/>
      <c r="M390" s="312"/>
      <c r="N390" s="172">
        <f>IFERROR(__xludf.DUMMYFUNCTION("""COMPUTED_VALUE"""),3.0)</f>
        <v>3</v>
      </c>
      <c r="O390" s="172" t="str">
        <f t="shared" si="3"/>
        <v/>
      </c>
      <c r="P390" s="313">
        <f>IFERROR(__xludf.DUMMYFUNCTION("""COMPUTED_VALUE"""),0.0)</f>
        <v>0</v>
      </c>
      <c r="Q390" s="76" t="b">
        <f>VLOOKUP($B390,'Run Reconcile'!B$2:O1399,14,FALSE)</f>
        <v>1</v>
      </c>
      <c r="R390" s="314" t="str">
        <f t="array" ref="R390">IF($Q390, INDEX('Run Reconcile'!A$2:A1399,MATCH(B390,'Run Reconcile'!B$2:B1399,0),1),IFERROR(0/0,""))</f>
        <v>RUN-ABRM_2022-10-26_RFR-054</v>
      </c>
      <c r="S390" s="315" t="str">
        <f t="shared" ref="S390:T390" si="784">IF(COUNTIF(W$2:W1399, $A390) &gt; 0,TRUE,IFERROR(0/0,""))</f>
        <v/>
      </c>
      <c r="T390" s="315" t="str">
        <f t="shared" si="784"/>
        <v/>
      </c>
      <c r="U390" s="114" t="str">
        <f t="array" ref="U390">IF(ISBLANK($R390), INDEX('Run Reconcile'!A$2:A1399, MATCH($B390, 'Run Reconcile'!B$2:B1399, 0)+Z390, 1), IFERROR(0/0,""))
</f>
        <v/>
      </c>
      <c r="V390" s="316" t="str">
        <f t="shared" si="5"/>
        <v>RUN-ABRM_2022-10-26_RFR-054</v>
      </c>
      <c r="Y390" s="317" t="str">
        <f t="shared" si="6"/>
        <v/>
      </c>
      <c r="Z390" s="83" t="str">
        <f t="shared" si="7"/>
        <v/>
      </c>
      <c r="AA390" s="83" t="str">
        <f t="shared" si="8"/>
        <v/>
      </c>
      <c r="AB390" s="83" t="str">
        <f t="shared" si="9"/>
        <v/>
      </c>
      <c r="AC390" s="18" t="str">
        <f t="shared" ref="AC390:AD390" si="785">IF(_xlfn.ISFORMULA(S390),IFERROR(0/0,""),TRUE)</f>
        <v/>
      </c>
      <c r="AD390" s="18" t="str">
        <f t="shared" si="785"/>
        <v/>
      </c>
      <c r="AE390" s="43"/>
      <c r="AF390" s="58" t="s">
        <v>65</v>
      </c>
      <c r="AG390" s="55" t="str">
        <f t="shared" si="11"/>
        <v/>
      </c>
    </row>
    <row r="391">
      <c r="A391" s="7" t="str">
        <f>IFERROR(__xludf.DUMMYFUNCTION("""COMPUTED_VALUE"""),"AH8560")</f>
        <v>AH8560</v>
      </c>
      <c r="B391" s="308">
        <f>IFERROR(__xludf.DUMMYFUNCTION("""COMPUTED_VALUE"""),44860.0)</f>
        <v>44860</v>
      </c>
      <c r="C391" s="309">
        <f>IFERROR(__xludf.DUMMYFUNCTION("""COMPUTED_VALUE"""),0.30277777777777776)</f>
        <v>0.3027777778</v>
      </c>
      <c r="D391" s="7" t="str">
        <f>IFERROR(__xludf.DUMMYFUNCTION("""COMPUTED_VALUE"""),"SpABRM367540")</f>
        <v>SpABRM367540</v>
      </c>
      <c r="E391" s="310"/>
      <c r="F391" s="310"/>
      <c r="G391" s="310" t="str">
        <f>IFERROR(__xludf.DUMMYFUNCTION("""COMPUTED_VALUE"""),"Negative")</f>
        <v>Negative</v>
      </c>
      <c r="H391" s="319" t="str">
        <f>IFERROR(__xludf.DUMMYFUNCTION("""COMPUTED_VALUE"""),"Negative")</f>
        <v>Negative</v>
      </c>
      <c r="I391" s="308">
        <f>IFERROR(__xludf.DUMMYFUNCTION("""COMPUTED_VALUE"""),44860.0)</f>
        <v>44860</v>
      </c>
      <c r="J391" s="311">
        <f>IFERROR(__xludf.DUMMYFUNCTION("""COMPUTED_VALUE"""),0.37957175925925923)</f>
        <v>0.3795717593</v>
      </c>
      <c r="K391" s="54"/>
      <c r="L391" s="7"/>
      <c r="M391" s="312"/>
      <c r="N391" s="172">
        <f>IFERROR(__xludf.DUMMYFUNCTION("""COMPUTED_VALUE"""),3.0)</f>
        <v>3</v>
      </c>
      <c r="O391" s="172" t="str">
        <f t="shared" si="3"/>
        <v/>
      </c>
      <c r="P391" s="313">
        <f>IFERROR(__xludf.DUMMYFUNCTION("""COMPUTED_VALUE"""),0.0)</f>
        <v>0</v>
      </c>
      <c r="Q391" s="76" t="b">
        <f>VLOOKUP($B391,'Run Reconcile'!B$2:O1399,14,FALSE)</f>
        <v>1</v>
      </c>
      <c r="R391" s="314" t="str">
        <f t="array" ref="R391">IF($Q391, INDEX('Run Reconcile'!A$2:A1399,MATCH(B391,'Run Reconcile'!B$2:B1399,0),1),IFERROR(0/0,""))</f>
        <v>RUN-ABRM_2022-10-26_RFR-054</v>
      </c>
      <c r="S391" s="315" t="str">
        <f t="shared" ref="S391:T391" si="786">IF(COUNTIF(W$2:W1399, $A391) &gt; 0,TRUE,IFERROR(0/0,""))</f>
        <v/>
      </c>
      <c r="T391" s="315" t="str">
        <f t="shared" si="786"/>
        <v/>
      </c>
      <c r="U391" s="114" t="str">
        <f t="array" ref="U391">IF(ISBLANK($R391), INDEX('Run Reconcile'!A$2:A1399, MATCH($B391, 'Run Reconcile'!B$2:B1399, 0)+Z391, 1), IFERROR(0/0,""))
</f>
        <v/>
      </c>
      <c r="V391" s="316" t="str">
        <f t="shared" si="5"/>
        <v>RUN-ABRM_2022-10-26_RFR-054</v>
      </c>
      <c r="Y391" s="317" t="str">
        <f t="shared" si="6"/>
        <v/>
      </c>
      <c r="Z391" s="83" t="str">
        <f t="shared" si="7"/>
        <v/>
      </c>
      <c r="AA391" s="83" t="str">
        <f t="shared" si="8"/>
        <v/>
      </c>
      <c r="AB391" s="83" t="str">
        <f t="shared" si="9"/>
        <v/>
      </c>
      <c r="AC391" s="18" t="str">
        <f t="shared" ref="AC391:AD391" si="787">IF(_xlfn.ISFORMULA(S391),IFERROR(0/0,""),TRUE)</f>
        <v/>
      </c>
      <c r="AD391" s="18" t="str">
        <f t="shared" si="787"/>
        <v/>
      </c>
      <c r="AE391" s="43"/>
      <c r="AF391" s="58" t="s">
        <v>65</v>
      </c>
      <c r="AG391" s="55" t="str">
        <f t="shared" si="11"/>
        <v/>
      </c>
    </row>
    <row r="392">
      <c r="A392" s="7" t="str">
        <f>IFERROR(__xludf.DUMMYFUNCTION("""COMPUTED_VALUE"""),"AH7804")</f>
        <v>AH7804</v>
      </c>
      <c r="B392" s="308">
        <f>IFERROR(__xludf.DUMMYFUNCTION("""COMPUTED_VALUE"""),44860.0)</f>
        <v>44860</v>
      </c>
      <c r="C392" s="309">
        <f>IFERROR(__xludf.DUMMYFUNCTION("""COMPUTED_VALUE"""),0.3047800925925926)</f>
        <v>0.3047800926</v>
      </c>
      <c r="D392" s="7" t="str">
        <f>IFERROR(__xludf.DUMMYFUNCTION("""COMPUTED_VALUE"""),"SpABRM297307")</f>
        <v>SpABRM297307</v>
      </c>
      <c r="E392" s="310"/>
      <c r="F392" s="310"/>
      <c r="G392" s="310" t="str">
        <f>IFERROR(__xludf.DUMMYFUNCTION("""COMPUTED_VALUE"""),"Negative")</f>
        <v>Negative</v>
      </c>
      <c r="H392" s="319" t="str">
        <f>IFERROR(__xludf.DUMMYFUNCTION("""COMPUTED_VALUE"""),"Negative")</f>
        <v>Negative</v>
      </c>
      <c r="I392" s="308">
        <f>IFERROR(__xludf.DUMMYFUNCTION("""COMPUTED_VALUE"""),44860.0)</f>
        <v>44860</v>
      </c>
      <c r="J392" s="311">
        <f>IFERROR(__xludf.DUMMYFUNCTION("""COMPUTED_VALUE"""),0.37957175925925923)</f>
        <v>0.3795717593</v>
      </c>
      <c r="K392" s="54"/>
      <c r="L392" s="7"/>
      <c r="M392" s="312"/>
      <c r="N392" s="172">
        <f>IFERROR(__xludf.DUMMYFUNCTION("""COMPUTED_VALUE"""),4.0)</f>
        <v>4</v>
      </c>
      <c r="O392" s="172" t="str">
        <f t="shared" si="3"/>
        <v/>
      </c>
      <c r="P392" s="313">
        <f>IFERROR(__xludf.DUMMYFUNCTION("""COMPUTED_VALUE"""),0.0)</f>
        <v>0</v>
      </c>
      <c r="Q392" s="76" t="b">
        <f>VLOOKUP($B392,'Run Reconcile'!B$2:O1399,14,FALSE)</f>
        <v>1</v>
      </c>
      <c r="R392" s="314" t="str">
        <f t="array" ref="R392">IF($Q392, INDEX('Run Reconcile'!A$2:A1399,MATCH(B392,'Run Reconcile'!B$2:B1399,0),1),IFERROR(0/0,""))</f>
        <v>RUN-ABRM_2022-10-26_RFR-054</v>
      </c>
      <c r="S392" s="315" t="str">
        <f t="shared" ref="S392:T392" si="788">IF(COUNTIF(W$2:W1399, $A392) &gt; 0,TRUE,IFERROR(0/0,""))</f>
        <v/>
      </c>
      <c r="T392" s="315" t="str">
        <f t="shared" si="788"/>
        <v/>
      </c>
      <c r="U392" s="114" t="str">
        <f t="array" ref="U392">IF(ISBLANK($R392), INDEX('Run Reconcile'!A$2:A1399, MATCH($B392, 'Run Reconcile'!B$2:B1399, 0)+Z392, 1), IFERROR(0/0,""))
</f>
        <v/>
      </c>
      <c r="V392" s="316" t="str">
        <f t="shared" si="5"/>
        <v>RUN-ABRM_2022-10-26_RFR-054</v>
      </c>
      <c r="Y392" s="317" t="str">
        <f t="shared" si="6"/>
        <v/>
      </c>
      <c r="Z392" s="83" t="str">
        <f t="shared" si="7"/>
        <v/>
      </c>
      <c r="AA392" s="83" t="str">
        <f t="shared" si="8"/>
        <v/>
      </c>
      <c r="AB392" s="83" t="str">
        <f t="shared" si="9"/>
        <v/>
      </c>
      <c r="AC392" s="18" t="str">
        <f t="shared" ref="AC392:AD392" si="789">IF(_xlfn.ISFORMULA(S392),IFERROR(0/0,""),TRUE)</f>
        <v/>
      </c>
      <c r="AD392" s="18" t="str">
        <f t="shared" si="789"/>
        <v/>
      </c>
      <c r="AE392" s="43"/>
      <c r="AF392" s="58" t="s">
        <v>65</v>
      </c>
      <c r="AG392" s="55" t="str">
        <f t="shared" si="11"/>
        <v/>
      </c>
    </row>
    <row r="393">
      <c r="A393" s="7" t="str">
        <f>IFERROR(__xludf.DUMMYFUNCTION("""COMPUTED_VALUE"""),"AH8901")</f>
        <v>AH8901</v>
      </c>
      <c r="B393" s="308">
        <f>IFERROR(__xludf.DUMMYFUNCTION("""COMPUTED_VALUE"""),44860.0)</f>
        <v>44860</v>
      </c>
      <c r="C393" s="309">
        <f>IFERROR(__xludf.DUMMYFUNCTION("""COMPUTED_VALUE"""),0.3082986111111111)</f>
        <v>0.3082986111</v>
      </c>
      <c r="D393" s="7" t="str">
        <f>IFERROR(__xludf.DUMMYFUNCTION("""COMPUTED_VALUE"""),"SpABRM655136")</f>
        <v>SpABRM655136</v>
      </c>
      <c r="E393" s="310"/>
      <c r="F393" s="310"/>
      <c r="G393" s="310" t="str">
        <f>IFERROR(__xludf.DUMMYFUNCTION("""COMPUTED_VALUE"""),"Negative")</f>
        <v>Negative</v>
      </c>
      <c r="H393" s="319" t="str">
        <f>IFERROR(__xludf.DUMMYFUNCTION("""COMPUTED_VALUE"""),"Negative")</f>
        <v>Negative</v>
      </c>
      <c r="I393" s="308">
        <f>IFERROR(__xludf.DUMMYFUNCTION("""COMPUTED_VALUE"""),44860.0)</f>
        <v>44860</v>
      </c>
      <c r="J393" s="311">
        <f>IFERROR(__xludf.DUMMYFUNCTION("""COMPUTED_VALUE"""),0.37957175925925923)</f>
        <v>0.3795717593</v>
      </c>
      <c r="K393" s="54"/>
      <c r="L393" s="7"/>
      <c r="M393" s="312"/>
      <c r="N393" s="172">
        <f>IFERROR(__xludf.DUMMYFUNCTION("""COMPUTED_VALUE"""),2.0)</f>
        <v>2</v>
      </c>
      <c r="O393" s="172" t="str">
        <f t="shared" si="3"/>
        <v/>
      </c>
      <c r="P393" s="313">
        <f>IFERROR(__xludf.DUMMYFUNCTION("""COMPUTED_VALUE"""),0.0)</f>
        <v>0</v>
      </c>
      <c r="Q393" s="76" t="b">
        <f>VLOOKUP($B393,'Run Reconcile'!B$2:O1399,14,FALSE)</f>
        <v>1</v>
      </c>
      <c r="R393" s="314" t="str">
        <f t="array" ref="R393">IF($Q393, INDEX('Run Reconcile'!A$2:A1399,MATCH(B393,'Run Reconcile'!B$2:B1399,0),1),IFERROR(0/0,""))</f>
        <v>RUN-ABRM_2022-10-26_RFR-054</v>
      </c>
      <c r="S393" s="315" t="str">
        <f t="shared" ref="S393:T393" si="790">IF(COUNTIF(W$2:W1399, $A393) &gt; 0,TRUE,IFERROR(0/0,""))</f>
        <v/>
      </c>
      <c r="T393" s="315" t="str">
        <f t="shared" si="790"/>
        <v/>
      </c>
      <c r="U393" s="114" t="str">
        <f t="array" ref="U393">IF(ISBLANK($R393), INDEX('Run Reconcile'!A$2:A1399, MATCH($B393, 'Run Reconcile'!B$2:B1399, 0)+Z393, 1), IFERROR(0/0,""))
</f>
        <v/>
      </c>
      <c r="V393" s="316" t="str">
        <f t="shared" si="5"/>
        <v>RUN-ABRM_2022-10-26_RFR-054</v>
      </c>
      <c r="Y393" s="317" t="str">
        <f t="shared" si="6"/>
        <v/>
      </c>
      <c r="Z393" s="83" t="str">
        <f t="shared" si="7"/>
        <v/>
      </c>
      <c r="AA393" s="83" t="str">
        <f t="shared" si="8"/>
        <v/>
      </c>
      <c r="AB393" s="83" t="str">
        <f t="shared" si="9"/>
        <v/>
      </c>
      <c r="AC393" s="18" t="str">
        <f t="shared" ref="AC393:AD393" si="791">IF(_xlfn.ISFORMULA(S393),IFERROR(0/0,""),TRUE)</f>
        <v/>
      </c>
      <c r="AD393" s="18" t="str">
        <f t="shared" si="791"/>
        <v/>
      </c>
      <c r="AE393" s="43"/>
      <c r="AF393" s="58" t="s">
        <v>65</v>
      </c>
      <c r="AG393" s="55" t="str">
        <f t="shared" si="11"/>
        <v/>
      </c>
    </row>
    <row r="394">
      <c r="A394" s="120" t="str">
        <f>IFERROR(__xludf.DUMMYFUNCTION("""COMPUTED_VALUE"""),"AK7940")</f>
        <v>AK7940</v>
      </c>
      <c r="B394" s="320">
        <f>IFERROR(__xludf.DUMMYFUNCTION("""COMPUTED_VALUE"""),44861.0)</f>
        <v>44861</v>
      </c>
      <c r="C394" s="321">
        <f>IFERROR(__xludf.DUMMYFUNCTION("""COMPUTED_VALUE"""),0.21024305555555556)</f>
        <v>0.2102430556</v>
      </c>
      <c r="D394" s="120" t="str">
        <f>IFERROR(__xludf.DUMMYFUNCTION("""COMPUTED_VALUE"""),"SpABRM454310")</f>
        <v>SpABRM454310</v>
      </c>
      <c r="E394" s="322"/>
      <c r="F394" s="322"/>
      <c r="G394" s="322" t="str">
        <f>IFERROR(__xludf.DUMMYFUNCTION("""COMPUTED_VALUE"""),"Negative")</f>
        <v>Negative</v>
      </c>
      <c r="H394" s="323" t="str">
        <f>IFERROR(__xludf.DUMMYFUNCTION("""COMPUTED_VALUE"""),"Negative")</f>
        <v>Negative</v>
      </c>
      <c r="I394" s="320">
        <f>IFERROR(__xludf.DUMMYFUNCTION("""COMPUTED_VALUE"""),44861.0)</f>
        <v>44861</v>
      </c>
      <c r="J394" s="324">
        <f>IFERROR(__xludf.DUMMYFUNCTION("""COMPUTED_VALUE"""),0.3879050925925926)</f>
        <v>0.3879050926</v>
      </c>
      <c r="K394" s="123"/>
      <c r="L394" s="120"/>
      <c r="M394" s="325"/>
      <c r="N394" s="283">
        <f>IFERROR(__xludf.DUMMYFUNCTION("""COMPUTED_VALUE"""),3.0)</f>
        <v>3</v>
      </c>
      <c r="O394" s="283" t="b">
        <f t="shared" si="3"/>
        <v>1</v>
      </c>
      <c r="P394" s="326">
        <f>IFERROR(__xludf.DUMMYFUNCTION("""COMPUTED_VALUE"""),0.0)</f>
        <v>0</v>
      </c>
      <c r="Q394" s="293" t="str">
        <f>VLOOKUP($B394,'Run Reconcile'!B$2:O1399,14,FALSE)</f>
        <v/>
      </c>
      <c r="R394" s="327" t="str">
        <f t="array" ref="R394">IF($Q394, INDEX('Run Reconcile'!A$2:A1399,MATCH(B394,'Run Reconcile'!B$2:B1399,0),1),IFERROR(0/0,""))</f>
        <v/>
      </c>
      <c r="S394" s="328" t="str">
        <f t="shared" ref="S394:T394" si="792">IF(COUNTIF(W$2:W1399, $A394) &gt; 0,TRUE,IFERROR(0/0,""))</f>
        <v/>
      </c>
      <c r="T394" s="328" t="str">
        <f t="shared" si="792"/>
        <v/>
      </c>
      <c r="U394" s="114" t="str">
        <f t="array" ref="U394">IF(ISBLANK($R394), INDEX('Run Reconcile'!A$2:A1399, MATCH($B394, 'Run Reconcile'!B$2:B1399, 0)+Z394, 1), IFERROR(0/0,""))
</f>
        <v>RUN-ABRM_2022-10-27_RFR-055</v>
      </c>
      <c r="V394" s="329" t="str">
        <f t="shared" si="5"/>
        <v>RUN-ABRM_2022-10-27_RFR-055</v>
      </c>
      <c r="W394" s="120" t="str">
        <f>VLOOKUP($B394+1,'RFR Data - preExcl'!$BF$2:$BG1399,2,FALSE)</f>
        <v>RUN-ABRM_2022-10-28_RFR-057</v>
      </c>
      <c r="X394" s="120"/>
      <c r="Y394" s="317">
        <f t="shared" si="6"/>
        <v>1</v>
      </c>
      <c r="Z394" s="83" t="str">
        <f t="shared" si="7"/>
        <v/>
      </c>
      <c r="AA394" s="83" t="str">
        <f t="shared" si="8"/>
        <v/>
      </c>
      <c r="AB394" s="83" t="str">
        <f t="shared" si="9"/>
        <v/>
      </c>
      <c r="AC394" s="263" t="str">
        <f t="shared" ref="AC394:AD394" si="793">IF(_xlfn.ISFORMULA(S394),IFERROR(0/0,""),TRUE)</f>
        <v/>
      </c>
      <c r="AD394" s="263" t="str">
        <f t="shared" si="793"/>
        <v/>
      </c>
      <c r="AE394" s="125"/>
      <c r="AF394" s="330" t="s">
        <v>66</v>
      </c>
      <c r="AG394" s="55" t="str">
        <f t="shared" si="11"/>
        <v/>
      </c>
      <c r="AH394" s="120"/>
      <c r="AI394" s="120"/>
      <c r="AJ394" s="120"/>
      <c r="AK394" s="120"/>
    </row>
    <row r="395">
      <c r="A395" s="7" t="str">
        <f>IFERROR(__xludf.DUMMYFUNCTION("""COMPUTED_VALUE"""),"AJ8196")</f>
        <v>AJ8196</v>
      </c>
      <c r="B395" s="308">
        <f>IFERROR(__xludf.DUMMYFUNCTION("""COMPUTED_VALUE"""),44861.0)</f>
        <v>44861</v>
      </c>
      <c r="C395" s="309">
        <f>IFERROR(__xludf.DUMMYFUNCTION("""COMPUTED_VALUE"""),0.2469560185185185)</f>
        <v>0.2469560185</v>
      </c>
      <c r="D395" s="7" t="str">
        <f>IFERROR(__xludf.DUMMYFUNCTION("""COMPUTED_VALUE"""),"SpABRM188986")</f>
        <v>SpABRM188986</v>
      </c>
      <c r="E395" s="310"/>
      <c r="F395" s="310"/>
      <c r="G395" s="310" t="str">
        <f>IFERROR(__xludf.DUMMYFUNCTION("""COMPUTED_VALUE"""),"Negative")</f>
        <v>Negative</v>
      </c>
      <c r="H395" s="319" t="str">
        <f>IFERROR(__xludf.DUMMYFUNCTION("""COMPUTED_VALUE"""),"Negative")</f>
        <v>Negative</v>
      </c>
      <c r="I395" s="308">
        <f>IFERROR(__xludf.DUMMYFUNCTION("""COMPUTED_VALUE"""),44861.0)</f>
        <v>44861</v>
      </c>
      <c r="J395" s="311">
        <f>IFERROR(__xludf.DUMMYFUNCTION("""COMPUTED_VALUE"""),0.3879166666666667)</f>
        <v>0.3879166667</v>
      </c>
      <c r="K395" s="54"/>
      <c r="L395" s="7"/>
      <c r="M395" s="312"/>
      <c r="N395" s="172">
        <f>IFERROR(__xludf.DUMMYFUNCTION("""COMPUTED_VALUE"""),2.0)</f>
        <v>2</v>
      </c>
      <c r="O395" s="172" t="str">
        <f t="shared" si="3"/>
        <v/>
      </c>
      <c r="P395" s="313">
        <f>IFERROR(__xludf.DUMMYFUNCTION("""COMPUTED_VALUE"""),0.0)</f>
        <v>0</v>
      </c>
      <c r="Q395" s="76" t="str">
        <f>VLOOKUP($B395,'Run Reconcile'!B$2:O1399,14,FALSE)</f>
        <v/>
      </c>
      <c r="R395" s="314" t="str">
        <f t="array" ref="R395">IF($Q395, INDEX('Run Reconcile'!A$2:A1399,MATCH(B395,'Run Reconcile'!B$2:B1399,0),1),IFERROR(0/0,""))</f>
        <v/>
      </c>
      <c r="S395" s="315" t="str">
        <f t="shared" ref="S395:T395" si="794">IF(COUNTIF(W$2:W1399, $A395) &gt; 0,TRUE,IFERROR(0/0,""))</f>
        <v/>
      </c>
      <c r="T395" s="315" t="str">
        <f t="shared" si="794"/>
        <v/>
      </c>
      <c r="U395" s="114" t="str">
        <f t="array" ref="U395">IF(ISBLANK($R395), INDEX('Run Reconcile'!A$2:A1399, MATCH($B395, 'Run Reconcile'!B$2:B1399, 0)+Z395, 1), IFERROR(0/0,""))
</f>
        <v>RUN-ABRM_2022-10-27_RFR-055</v>
      </c>
      <c r="V395" s="316" t="str">
        <f t="shared" si="5"/>
        <v>RUN-ABRM_2022-10-27_RFR-055</v>
      </c>
      <c r="Y395" s="317" t="str">
        <f t="shared" si="6"/>
        <v/>
      </c>
      <c r="Z395" s="83" t="str">
        <f t="shared" si="7"/>
        <v/>
      </c>
      <c r="AA395" s="83" t="str">
        <f t="shared" si="8"/>
        <v/>
      </c>
      <c r="AB395" s="83" t="str">
        <f t="shared" si="9"/>
        <v/>
      </c>
      <c r="AC395" s="18" t="str">
        <f t="shared" ref="AC395:AD395" si="795">IF(_xlfn.ISFORMULA(S395),IFERROR(0/0,""),TRUE)</f>
        <v/>
      </c>
      <c r="AD395" s="18" t="str">
        <f t="shared" si="795"/>
        <v/>
      </c>
      <c r="AE395" s="43"/>
      <c r="AF395" s="58" t="s">
        <v>66</v>
      </c>
      <c r="AG395" s="55" t="str">
        <f t="shared" si="11"/>
        <v/>
      </c>
    </row>
    <row r="396">
      <c r="A396" s="7" t="str">
        <f>IFERROR(__xludf.DUMMYFUNCTION("""COMPUTED_VALUE"""),"AH8031")</f>
        <v>AH8031</v>
      </c>
      <c r="B396" s="308">
        <f>IFERROR(__xludf.DUMMYFUNCTION("""COMPUTED_VALUE"""),44861.0)</f>
        <v>44861</v>
      </c>
      <c r="C396" s="309">
        <f>IFERROR(__xludf.DUMMYFUNCTION("""COMPUTED_VALUE"""),0.25958333333333333)</f>
        <v>0.2595833333</v>
      </c>
      <c r="D396" s="7" t="str">
        <f>IFERROR(__xludf.DUMMYFUNCTION("""COMPUTED_VALUE"""),"SpABRM516158")</f>
        <v>SpABRM516158</v>
      </c>
      <c r="E396" s="310"/>
      <c r="F396" s="310"/>
      <c r="G396" s="310" t="str">
        <f>IFERROR(__xludf.DUMMYFUNCTION("""COMPUTED_VALUE"""),"Negative")</f>
        <v>Negative</v>
      </c>
      <c r="H396" s="319" t="str">
        <f>IFERROR(__xludf.DUMMYFUNCTION("""COMPUTED_VALUE"""),"Negative")</f>
        <v>Negative</v>
      </c>
      <c r="I396" s="308">
        <f>IFERROR(__xludf.DUMMYFUNCTION("""COMPUTED_VALUE"""),44861.0)</f>
        <v>44861</v>
      </c>
      <c r="J396" s="311">
        <f>IFERROR(__xludf.DUMMYFUNCTION("""COMPUTED_VALUE"""),0.3879166666666667)</f>
        <v>0.3879166667</v>
      </c>
      <c r="K396" s="54"/>
      <c r="L396" s="7"/>
      <c r="M396" s="312"/>
      <c r="N396" s="172">
        <f>IFERROR(__xludf.DUMMYFUNCTION("""COMPUTED_VALUE"""),1.0)</f>
        <v>1</v>
      </c>
      <c r="O396" s="172" t="str">
        <f t="shared" si="3"/>
        <v/>
      </c>
      <c r="P396" s="313">
        <f>IFERROR(__xludf.DUMMYFUNCTION("""COMPUTED_VALUE"""),0.0)</f>
        <v>0</v>
      </c>
      <c r="Q396" s="76" t="str">
        <f>VLOOKUP($B396,'Run Reconcile'!B$2:O1399,14,FALSE)</f>
        <v/>
      </c>
      <c r="R396" s="314" t="str">
        <f t="array" ref="R396">IF($Q396, INDEX('Run Reconcile'!A$2:A1399,MATCH(B396,'Run Reconcile'!B$2:B1399,0),1),IFERROR(0/0,""))</f>
        <v/>
      </c>
      <c r="S396" s="315" t="str">
        <f t="shared" ref="S396:T396" si="796">IF(COUNTIF(W$2:W1399, $A396) &gt; 0,TRUE,IFERROR(0/0,""))</f>
        <v/>
      </c>
      <c r="T396" s="315" t="str">
        <f t="shared" si="796"/>
        <v/>
      </c>
      <c r="U396" s="114" t="str">
        <f t="array" ref="U396">IF(ISBLANK($R396), INDEX('Run Reconcile'!A$2:A1399, MATCH($B396, 'Run Reconcile'!B$2:B1399, 0)+Z396, 1), IFERROR(0/0,""))
</f>
        <v>RUN-ABRM_2022-10-27_RFR-055</v>
      </c>
      <c r="V396" s="316" t="str">
        <f t="shared" si="5"/>
        <v>RUN-ABRM_2022-10-27_RFR-055</v>
      </c>
      <c r="Y396" s="317" t="str">
        <f t="shared" si="6"/>
        <v/>
      </c>
      <c r="Z396" s="83" t="str">
        <f t="shared" si="7"/>
        <v/>
      </c>
      <c r="AA396" s="83" t="str">
        <f t="shared" si="8"/>
        <v/>
      </c>
      <c r="AB396" s="83" t="str">
        <f t="shared" si="9"/>
        <v/>
      </c>
      <c r="AC396" s="18" t="str">
        <f t="shared" ref="AC396:AD396" si="797">IF(_xlfn.ISFORMULA(S396),IFERROR(0/0,""),TRUE)</f>
        <v/>
      </c>
      <c r="AD396" s="18" t="str">
        <f t="shared" si="797"/>
        <v/>
      </c>
      <c r="AE396" s="43"/>
      <c r="AF396" s="58" t="s">
        <v>66</v>
      </c>
      <c r="AG396" s="55" t="str">
        <f t="shared" si="11"/>
        <v/>
      </c>
    </row>
    <row r="397">
      <c r="A397" s="7" t="str">
        <f>IFERROR(__xludf.DUMMYFUNCTION("""COMPUTED_VALUE"""),"AJ8492")</f>
        <v>AJ8492</v>
      </c>
      <c r="B397" s="308">
        <f>IFERROR(__xludf.DUMMYFUNCTION("""COMPUTED_VALUE"""),44861.0)</f>
        <v>44861</v>
      </c>
      <c r="C397" s="309">
        <f>IFERROR(__xludf.DUMMYFUNCTION("""COMPUTED_VALUE"""),0.27349537037037036)</f>
        <v>0.2734953704</v>
      </c>
      <c r="D397" s="7" t="str">
        <f>IFERROR(__xludf.DUMMYFUNCTION("""COMPUTED_VALUE"""),"SpABRM128250")</f>
        <v>SpABRM128250</v>
      </c>
      <c r="E397" s="310"/>
      <c r="F397" s="310"/>
      <c r="G397" s="310" t="str">
        <f>IFERROR(__xludf.DUMMYFUNCTION("""COMPUTED_VALUE"""),"Negative")</f>
        <v>Negative</v>
      </c>
      <c r="H397" s="319" t="str">
        <f>IFERROR(__xludf.DUMMYFUNCTION("""COMPUTED_VALUE"""),"Negative")</f>
        <v>Negative</v>
      </c>
      <c r="I397" s="308">
        <f>IFERROR(__xludf.DUMMYFUNCTION("""COMPUTED_VALUE"""),44861.0)</f>
        <v>44861</v>
      </c>
      <c r="J397" s="311">
        <f>IFERROR(__xludf.DUMMYFUNCTION("""COMPUTED_VALUE"""),0.3879166666666667)</f>
        <v>0.3879166667</v>
      </c>
      <c r="K397" s="54"/>
      <c r="L397" s="7"/>
      <c r="M397" s="312"/>
      <c r="N397" s="172">
        <f>IFERROR(__xludf.DUMMYFUNCTION("""COMPUTED_VALUE"""),3.0)</f>
        <v>3</v>
      </c>
      <c r="O397" s="172" t="str">
        <f t="shared" si="3"/>
        <v/>
      </c>
      <c r="P397" s="313">
        <f>IFERROR(__xludf.DUMMYFUNCTION("""COMPUTED_VALUE"""),0.0)</f>
        <v>0</v>
      </c>
      <c r="Q397" s="76" t="str">
        <f>VLOOKUP($B397,'Run Reconcile'!B$2:O1399,14,FALSE)</f>
        <v/>
      </c>
      <c r="R397" s="314" t="str">
        <f t="array" ref="R397">IF($Q397, INDEX('Run Reconcile'!A$2:A1399,MATCH(B397,'Run Reconcile'!B$2:B1399,0),1),IFERROR(0/0,""))</f>
        <v/>
      </c>
      <c r="S397" s="315" t="str">
        <f t="shared" ref="S397:T397" si="798">IF(COUNTIF(W$2:W1399, $A397) &gt; 0,TRUE,IFERROR(0/0,""))</f>
        <v/>
      </c>
      <c r="T397" s="315" t="str">
        <f t="shared" si="798"/>
        <v/>
      </c>
      <c r="U397" s="114" t="str">
        <f t="array" ref="U397">IF(ISBLANK($R397), INDEX('Run Reconcile'!A$2:A1399, MATCH($B397, 'Run Reconcile'!B$2:B1399, 0)+Z397, 1), IFERROR(0/0,""))
</f>
        <v>RUN-ABRM_2022-10-27_RFR-055</v>
      </c>
      <c r="V397" s="316" t="str">
        <f t="shared" si="5"/>
        <v>RUN-ABRM_2022-10-27_RFR-055</v>
      </c>
      <c r="Y397" s="317" t="str">
        <f t="shared" si="6"/>
        <v/>
      </c>
      <c r="Z397" s="83" t="str">
        <f t="shared" si="7"/>
        <v/>
      </c>
      <c r="AA397" s="83" t="str">
        <f t="shared" si="8"/>
        <v/>
      </c>
      <c r="AB397" s="83" t="str">
        <f t="shared" si="9"/>
        <v/>
      </c>
      <c r="AC397" s="18" t="str">
        <f t="shared" ref="AC397:AD397" si="799">IF(_xlfn.ISFORMULA(S397),IFERROR(0/0,""),TRUE)</f>
        <v/>
      </c>
      <c r="AD397" s="18" t="str">
        <f t="shared" si="799"/>
        <v/>
      </c>
      <c r="AE397" s="43"/>
      <c r="AF397" s="58" t="s">
        <v>66</v>
      </c>
      <c r="AG397" s="55" t="str">
        <f t="shared" si="11"/>
        <v/>
      </c>
    </row>
    <row r="398">
      <c r="A398" s="7" t="str">
        <f>IFERROR(__xludf.DUMMYFUNCTION("""COMPUTED_VALUE"""),"AG172")</f>
        <v>AG172</v>
      </c>
      <c r="B398" s="308">
        <f>IFERROR(__xludf.DUMMYFUNCTION("""COMPUTED_VALUE"""),44861.0)</f>
        <v>44861</v>
      </c>
      <c r="C398" s="309">
        <f>IFERROR(__xludf.DUMMYFUNCTION("""COMPUTED_VALUE"""),0.30170138888888887)</f>
        <v>0.3017013889</v>
      </c>
      <c r="D398" s="7" t="str">
        <f>IFERROR(__xludf.DUMMYFUNCTION("""COMPUTED_VALUE"""),"SpABRM297307")</f>
        <v>SpABRM297307</v>
      </c>
      <c r="E398" s="310"/>
      <c r="F398" s="310"/>
      <c r="G398" s="310" t="str">
        <f>IFERROR(__xludf.DUMMYFUNCTION("""COMPUTED_VALUE"""),"Negative")</f>
        <v>Negative</v>
      </c>
      <c r="H398" s="319" t="str">
        <f>IFERROR(__xludf.DUMMYFUNCTION("""COMPUTED_VALUE"""),"Negative")</f>
        <v>Negative</v>
      </c>
      <c r="I398" s="308">
        <f>IFERROR(__xludf.DUMMYFUNCTION("""COMPUTED_VALUE"""),44861.0)</f>
        <v>44861</v>
      </c>
      <c r="J398" s="311">
        <f>IFERROR(__xludf.DUMMYFUNCTION("""COMPUTED_VALUE"""),0.3879166666666667)</f>
        <v>0.3879166667</v>
      </c>
      <c r="K398" s="54"/>
      <c r="L398" s="7"/>
      <c r="M398" s="312"/>
      <c r="N398" s="172">
        <f>IFERROR(__xludf.DUMMYFUNCTION("""COMPUTED_VALUE"""),3.0)</f>
        <v>3</v>
      </c>
      <c r="O398" s="172" t="str">
        <f t="shared" si="3"/>
        <v/>
      </c>
      <c r="P398" s="313">
        <f>IFERROR(__xludf.DUMMYFUNCTION("""COMPUTED_VALUE"""),0.0)</f>
        <v>0</v>
      </c>
      <c r="Q398" s="76" t="str">
        <f>VLOOKUP($B398,'Run Reconcile'!B$2:O1399,14,FALSE)</f>
        <v/>
      </c>
      <c r="R398" s="314" t="str">
        <f t="array" ref="R398">IF($Q398, INDEX('Run Reconcile'!A$2:A1399,MATCH(B398,'Run Reconcile'!B$2:B1399,0),1),IFERROR(0/0,""))</f>
        <v/>
      </c>
      <c r="S398" s="315" t="str">
        <f t="shared" ref="S398:T398" si="800">IF(COUNTIF(W$2:W1399, $A398) &gt; 0,TRUE,IFERROR(0/0,""))</f>
        <v/>
      </c>
      <c r="T398" s="315" t="str">
        <f t="shared" si="800"/>
        <v/>
      </c>
      <c r="U398" s="114" t="str">
        <f t="array" ref="U398">IF(ISBLANK($R398), INDEX('Run Reconcile'!A$2:A1399, MATCH($B398, 'Run Reconcile'!B$2:B1399, 0)+Z398, 1), IFERROR(0/0,""))
</f>
        <v>RUN-ABRM_2022-10-27_RFR-055</v>
      </c>
      <c r="V398" s="316" t="str">
        <f t="shared" si="5"/>
        <v>RUN-ABRM_2022-10-27_RFR-055</v>
      </c>
      <c r="Y398" s="317" t="str">
        <f t="shared" si="6"/>
        <v/>
      </c>
      <c r="Z398" s="83" t="str">
        <f t="shared" si="7"/>
        <v/>
      </c>
      <c r="AA398" s="83" t="str">
        <f t="shared" si="8"/>
        <v/>
      </c>
      <c r="AB398" s="83" t="str">
        <f t="shared" si="9"/>
        <v/>
      </c>
      <c r="AC398" s="18" t="str">
        <f t="shared" ref="AC398:AD398" si="801">IF(_xlfn.ISFORMULA(S398),IFERROR(0/0,""),TRUE)</f>
        <v/>
      </c>
      <c r="AD398" s="18" t="str">
        <f t="shared" si="801"/>
        <v/>
      </c>
      <c r="AE398" s="43"/>
      <c r="AF398" s="58" t="s">
        <v>66</v>
      </c>
      <c r="AG398" s="55" t="str">
        <f t="shared" si="11"/>
        <v/>
      </c>
    </row>
    <row r="399">
      <c r="A399" s="7" t="str">
        <f>IFERROR(__xludf.DUMMYFUNCTION("""COMPUTED_VALUE"""),"AH7789")</f>
        <v>AH7789</v>
      </c>
      <c r="B399" s="308">
        <f>IFERROR(__xludf.DUMMYFUNCTION("""COMPUTED_VALUE"""),44861.0)</f>
        <v>44861</v>
      </c>
      <c r="C399" s="309">
        <f>IFERROR(__xludf.DUMMYFUNCTION("""COMPUTED_VALUE"""),0.3104398148148148)</f>
        <v>0.3104398148</v>
      </c>
      <c r="D399" s="7" t="str">
        <f>IFERROR(__xludf.DUMMYFUNCTION("""COMPUTED_VALUE"""),"SpABRM367540")</f>
        <v>SpABRM367540</v>
      </c>
      <c r="E399" s="310"/>
      <c r="F399" s="310"/>
      <c r="G399" s="310" t="str">
        <f>IFERROR(__xludf.DUMMYFUNCTION("""COMPUTED_VALUE"""),"Negative")</f>
        <v>Negative</v>
      </c>
      <c r="H399" s="319" t="str">
        <f>IFERROR(__xludf.DUMMYFUNCTION("""COMPUTED_VALUE"""),"Negative")</f>
        <v>Negative</v>
      </c>
      <c r="I399" s="308">
        <f>IFERROR(__xludf.DUMMYFUNCTION("""COMPUTED_VALUE"""),44861.0)</f>
        <v>44861</v>
      </c>
      <c r="J399" s="311">
        <f>IFERROR(__xludf.DUMMYFUNCTION("""COMPUTED_VALUE"""),0.3879282407407407)</f>
        <v>0.3879282407</v>
      </c>
      <c r="K399" s="54"/>
      <c r="L399" s="7"/>
      <c r="M399" s="312"/>
      <c r="N399" s="172">
        <f>IFERROR(__xludf.DUMMYFUNCTION("""COMPUTED_VALUE"""),3.0)</f>
        <v>3</v>
      </c>
      <c r="O399" s="172" t="str">
        <f t="shared" si="3"/>
        <v/>
      </c>
      <c r="P399" s="313">
        <f>IFERROR(__xludf.DUMMYFUNCTION("""COMPUTED_VALUE"""),0.0)</f>
        <v>0</v>
      </c>
      <c r="Q399" s="76" t="str">
        <f>VLOOKUP($B399,'Run Reconcile'!B$2:O1399,14,FALSE)</f>
        <v/>
      </c>
      <c r="R399" s="314" t="str">
        <f t="array" ref="R399">IF($Q399, INDEX('Run Reconcile'!A$2:A1399,MATCH(B399,'Run Reconcile'!B$2:B1399,0),1),IFERROR(0/0,""))</f>
        <v/>
      </c>
      <c r="S399" s="315" t="str">
        <f t="shared" ref="S399:T399" si="802">IF(COUNTIF(W$2:W1399, $A399) &gt; 0,TRUE,IFERROR(0/0,""))</f>
        <v/>
      </c>
      <c r="T399" s="315" t="str">
        <f t="shared" si="802"/>
        <v/>
      </c>
      <c r="U399" s="114" t="str">
        <f t="array" ref="U399">IF(ISBLANK($R399), INDEX('Run Reconcile'!A$2:A1399, MATCH($B399, 'Run Reconcile'!B$2:B1399, 0)+Z399, 1), IFERROR(0/0,""))
</f>
        <v>RUN-ABRM_2022-10-27_RFR-055</v>
      </c>
      <c r="V399" s="316" t="str">
        <f t="shared" si="5"/>
        <v>RUN-ABRM_2022-10-27_RFR-055</v>
      </c>
      <c r="Y399" s="317" t="str">
        <f t="shared" si="6"/>
        <v/>
      </c>
      <c r="Z399" s="83" t="str">
        <f t="shared" si="7"/>
        <v/>
      </c>
      <c r="AA399" s="83" t="str">
        <f t="shared" si="8"/>
        <v/>
      </c>
      <c r="AB399" s="83" t="str">
        <f t="shared" si="9"/>
        <v/>
      </c>
      <c r="AC399" s="18" t="str">
        <f t="shared" ref="AC399:AD399" si="803">IF(_xlfn.ISFORMULA(S399),IFERROR(0/0,""),TRUE)</f>
        <v/>
      </c>
      <c r="AD399" s="18" t="str">
        <f t="shared" si="803"/>
        <v/>
      </c>
      <c r="AE399" s="43"/>
      <c r="AF399" s="58" t="s">
        <v>66</v>
      </c>
      <c r="AG399" s="55" t="str">
        <f t="shared" si="11"/>
        <v/>
      </c>
    </row>
    <row r="400">
      <c r="A400" s="7" t="str">
        <f>IFERROR(__xludf.DUMMYFUNCTION("""COMPUTED_VALUE"""),"AH476")</f>
        <v>AH476</v>
      </c>
      <c r="B400" s="308">
        <f>IFERROR(__xludf.DUMMYFUNCTION("""COMPUTED_VALUE"""),44861.0)</f>
        <v>44861</v>
      </c>
      <c r="C400" s="309">
        <f>IFERROR(__xludf.DUMMYFUNCTION("""COMPUTED_VALUE"""),0.31777777777777777)</f>
        <v>0.3177777778</v>
      </c>
      <c r="D400" s="7" t="str">
        <f>IFERROR(__xludf.DUMMYFUNCTION("""COMPUTED_VALUE"""),"SpABRM655136")</f>
        <v>SpABRM655136</v>
      </c>
      <c r="E400" s="310"/>
      <c r="F400" s="310"/>
      <c r="G400" s="310" t="str">
        <f>IFERROR(__xludf.DUMMYFUNCTION("""COMPUTED_VALUE"""),"Negative")</f>
        <v>Negative</v>
      </c>
      <c r="H400" s="319" t="str">
        <f>IFERROR(__xludf.DUMMYFUNCTION("""COMPUTED_VALUE"""),"Negative")</f>
        <v>Negative</v>
      </c>
      <c r="I400" s="308">
        <f>IFERROR(__xludf.DUMMYFUNCTION("""COMPUTED_VALUE"""),44861.0)</f>
        <v>44861</v>
      </c>
      <c r="J400" s="311">
        <f>IFERROR(__xludf.DUMMYFUNCTION("""COMPUTED_VALUE"""),0.3879282407407407)</f>
        <v>0.3879282407</v>
      </c>
      <c r="K400" s="54"/>
      <c r="L400" s="7"/>
      <c r="M400" s="312"/>
      <c r="N400" s="172">
        <f>IFERROR(__xludf.DUMMYFUNCTION("""COMPUTED_VALUE"""),1.0)</f>
        <v>1</v>
      </c>
      <c r="O400" s="172" t="str">
        <f t="shared" si="3"/>
        <v/>
      </c>
      <c r="P400" s="313">
        <f>IFERROR(__xludf.DUMMYFUNCTION("""COMPUTED_VALUE"""),0.0)</f>
        <v>0</v>
      </c>
      <c r="Q400" s="76" t="str">
        <f>VLOOKUP($B400,'Run Reconcile'!B$2:O1399,14,FALSE)</f>
        <v/>
      </c>
      <c r="R400" s="314" t="str">
        <f t="array" ref="R400">IF($Q400, INDEX('Run Reconcile'!A$2:A1399,MATCH(B400,'Run Reconcile'!B$2:B1399,0),1),IFERROR(0/0,""))</f>
        <v/>
      </c>
      <c r="S400" s="315" t="str">
        <f t="shared" ref="S400:T400" si="804">IF(COUNTIF(W$2:W1399, $A400) &gt; 0,TRUE,IFERROR(0/0,""))</f>
        <v/>
      </c>
      <c r="T400" s="315" t="str">
        <f t="shared" si="804"/>
        <v/>
      </c>
      <c r="U400" s="114" t="str">
        <f t="array" ref="U400">IF(ISBLANK($R400), INDEX('Run Reconcile'!A$2:A1399, MATCH($B400, 'Run Reconcile'!B$2:B1399, 0)+Z400, 1), IFERROR(0/0,""))
</f>
        <v>RUN-ABRM_2022-10-27_RFR-055</v>
      </c>
      <c r="V400" s="316" t="str">
        <f t="shared" si="5"/>
        <v>RUN-ABRM_2022-10-27_RFR-055</v>
      </c>
      <c r="Y400" s="317" t="str">
        <f t="shared" si="6"/>
        <v/>
      </c>
      <c r="Z400" s="83" t="str">
        <f t="shared" si="7"/>
        <v/>
      </c>
      <c r="AA400" s="83" t="str">
        <f t="shared" si="8"/>
        <v/>
      </c>
      <c r="AB400" s="83" t="str">
        <f t="shared" si="9"/>
        <v/>
      </c>
      <c r="AC400" s="18" t="str">
        <f t="shared" ref="AC400:AD400" si="805">IF(_xlfn.ISFORMULA(S400),IFERROR(0/0,""),TRUE)</f>
        <v/>
      </c>
      <c r="AD400" s="18" t="str">
        <f t="shared" si="805"/>
        <v/>
      </c>
      <c r="AE400" s="43"/>
      <c r="AF400" s="58" t="s">
        <v>66</v>
      </c>
      <c r="AG400" s="55" t="str">
        <f t="shared" si="11"/>
        <v/>
      </c>
    </row>
    <row r="401">
      <c r="A401" s="7" t="str">
        <f>IFERROR(__xludf.DUMMYFUNCTION("""COMPUTED_VALUE"""),"AG1676")</f>
        <v>AG1676</v>
      </c>
      <c r="B401" s="308">
        <f>IFERROR(__xludf.DUMMYFUNCTION("""COMPUTED_VALUE"""),44861.0)</f>
        <v>44861</v>
      </c>
      <c r="C401" s="309">
        <f>IFERROR(__xludf.DUMMYFUNCTION("""COMPUTED_VALUE"""),0.31916666666666665)</f>
        <v>0.3191666667</v>
      </c>
      <c r="D401" s="7" t="str">
        <f>IFERROR(__xludf.DUMMYFUNCTION("""COMPUTED_VALUE"""),"SpABRM655136")</f>
        <v>SpABRM655136</v>
      </c>
      <c r="E401" s="310"/>
      <c r="F401" s="310"/>
      <c r="G401" s="310" t="str">
        <f>IFERROR(__xludf.DUMMYFUNCTION("""COMPUTED_VALUE"""),"Negative")</f>
        <v>Negative</v>
      </c>
      <c r="H401" s="319" t="str">
        <f>IFERROR(__xludf.DUMMYFUNCTION("""COMPUTED_VALUE"""),"Negative")</f>
        <v>Negative</v>
      </c>
      <c r="I401" s="308">
        <f>IFERROR(__xludf.DUMMYFUNCTION("""COMPUTED_VALUE"""),44861.0)</f>
        <v>44861</v>
      </c>
      <c r="J401" s="311">
        <f>IFERROR(__xludf.DUMMYFUNCTION("""COMPUTED_VALUE"""),0.3879282407407407)</f>
        <v>0.3879282407</v>
      </c>
      <c r="K401" s="54"/>
      <c r="L401" s="7"/>
      <c r="M401" s="312"/>
      <c r="N401" s="172">
        <f>IFERROR(__xludf.DUMMYFUNCTION("""COMPUTED_VALUE"""),2.0)</f>
        <v>2</v>
      </c>
      <c r="O401" s="172" t="str">
        <f t="shared" si="3"/>
        <v/>
      </c>
      <c r="P401" s="313">
        <f>IFERROR(__xludf.DUMMYFUNCTION("""COMPUTED_VALUE"""),0.0)</f>
        <v>0</v>
      </c>
      <c r="Q401" s="76" t="str">
        <f>VLOOKUP($B401,'Run Reconcile'!B$2:O1399,14,FALSE)</f>
        <v/>
      </c>
      <c r="R401" s="314" t="str">
        <f t="array" ref="R401">IF($Q401, INDEX('Run Reconcile'!A$2:A1399,MATCH(B401,'Run Reconcile'!B$2:B1399,0),1),IFERROR(0/0,""))</f>
        <v/>
      </c>
      <c r="S401" s="315" t="str">
        <f t="shared" ref="S401:T401" si="806">IF(COUNTIF(W$2:W1399, $A401) &gt; 0,TRUE,IFERROR(0/0,""))</f>
        <v/>
      </c>
      <c r="T401" s="315" t="str">
        <f t="shared" si="806"/>
        <v/>
      </c>
      <c r="U401" s="114" t="str">
        <f t="array" ref="U401">IF(ISBLANK($R401), INDEX('Run Reconcile'!A$2:A1399, MATCH($B401, 'Run Reconcile'!B$2:B1399, 0)+Z401, 1), IFERROR(0/0,""))
</f>
        <v>RUN-ABRM_2022-10-27_RFR-055</v>
      </c>
      <c r="V401" s="316" t="str">
        <f t="shared" si="5"/>
        <v>RUN-ABRM_2022-10-27_RFR-055</v>
      </c>
      <c r="Y401" s="317" t="str">
        <f t="shared" si="6"/>
        <v/>
      </c>
      <c r="Z401" s="83" t="str">
        <f t="shared" si="7"/>
        <v/>
      </c>
      <c r="AA401" s="83" t="str">
        <f t="shared" si="8"/>
        <v/>
      </c>
      <c r="AB401" s="83" t="str">
        <f t="shared" si="9"/>
        <v/>
      </c>
      <c r="AC401" s="18" t="str">
        <f t="shared" ref="AC401:AD401" si="807">IF(_xlfn.ISFORMULA(S401),IFERROR(0/0,""),TRUE)</f>
        <v/>
      </c>
      <c r="AD401" s="18" t="str">
        <f t="shared" si="807"/>
        <v/>
      </c>
      <c r="AE401" s="43"/>
      <c r="AF401" s="58" t="s">
        <v>66</v>
      </c>
      <c r="AG401" s="55" t="str">
        <f t="shared" si="11"/>
        <v/>
      </c>
    </row>
    <row r="402">
      <c r="A402" s="7" t="str">
        <f>IFERROR(__xludf.DUMMYFUNCTION("""COMPUTED_VALUE"""),"AH7645")</f>
        <v>AH7645</v>
      </c>
      <c r="B402" s="308">
        <f>IFERROR(__xludf.DUMMYFUNCTION("""COMPUTED_VALUE"""),44861.0)</f>
        <v>44861</v>
      </c>
      <c r="C402" s="309">
        <f>IFERROR(__xludf.DUMMYFUNCTION("""COMPUTED_VALUE"""),0.3305902777777778)</f>
        <v>0.3305902778</v>
      </c>
      <c r="D402" s="7" t="str">
        <f>IFERROR(__xludf.DUMMYFUNCTION("""COMPUTED_VALUE"""),"SpABRM814022")</f>
        <v>SpABRM814022</v>
      </c>
      <c r="E402" s="310"/>
      <c r="F402" s="310"/>
      <c r="G402" s="310" t="str">
        <f>IFERROR(__xludf.DUMMYFUNCTION("""COMPUTED_VALUE"""),"Negative")</f>
        <v>Negative</v>
      </c>
      <c r="H402" s="319" t="str">
        <f>IFERROR(__xludf.DUMMYFUNCTION("""COMPUTED_VALUE"""),"Negative")</f>
        <v>Negative</v>
      </c>
      <c r="I402" s="308">
        <f>IFERROR(__xludf.DUMMYFUNCTION("""COMPUTED_VALUE"""),44861.0)</f>
        <v>44861</v>
      </c>
      <c r="J402" s="311">
        <f>IFERROR(__xludf.DUMMYFUNCTION("""COMPUTED_VALUE"""),0.4137037037037037)</f>
        <v>0.4137037037</v>
      </c>
      <c r="K402" s="54"/>
      <c r="L402" s="7"/>
      <c r="M402" s="312"/>
      <c r="N402" s="172">
        <f>IFERROR(__xludf.DUMMYFUNCTION("""COMPUTED_VALUE"""),1.0)</f>
        <v>1</v>
      </c>
      <c r="O402" s="172" t="str">
        <f t="shared" si="3"/>
        <v/>
      </c>
      <c r="P402" s="313">
        <f>IFERROR(__xludf.DUMMYFUNCTION("""COMPUTED_VALUE"""),0.0)</f>
        <v>0</v>
      </c>
      <c r="Q402" s="76" t="str">
        <f>VLOOKUP($B402,'Run Reconcile'!B$2:O1399,14,FALSE)</f>
        <v/>
      </c>
      <c r="R402" s="314" t="str">
        <f t="array" ref="R402">IF($Q402, INDEX('Run Reconcile'!A$2:A1399,MATCH(B402,'Run Reconcile'!B$2:B1399,0),1),IFERROR(0/0,""))</f>
        <v/>
      </c>
      <c r="S402" s="315" t="str">
        <f t="shared" ref="S402:T402" si="808">IF(COUNTIF(W$2:W1399, $A402) &gt; 0,TRUE,IFERROR(0/0,""))</f>
        <v/>
      </c>
      <c r="T402" s="315" t="str">
        <f t="shared" si="808"/>
        <v/>
      </c>
      <c r="U402" s="114" t="str">
        <f t="array" ref="U402">IF(ISBLANK($R402), INDEX('Run Reconcile'!A$2:A1399, MATCH($B402, 'Run Reconcile'!B$2:B1399, 0)+Z402, 1), IFERROR(0/0,""))
</f>
        <v>RUN-ABRM_2022-10-27_RFR-055</v>
      </c>
      <c r="V402" s="316" t="str">
        <f t="shared" si="5"/>
        <v>RUN-ABRM_2022-10-27_RFR-055</v>
      </c>
      <c r="Y402" s="317" t="str">
        <f t="shared" si="6"/>
        <v/>
      </c>
      <c r="Z402" s="83" t="str">
        <f t="shared" si="7"/>
        <v/>
      </c>
      <c r="AA402" s="83" t="str">
        <f t="shared" si="8"/>
        <v/>
      </c>
      <c r="AB402" s="83" t="str">
        <f t="shared" si="9"/>
        <v/>
      </c>
      <c r="AC402" s="18" t="str">
        <f t="shared" ref="AC402:AD402" si="809">IF(_xlfn.ISFORMULA(S402),IFERROR(0/0,""),TRUE)</f>
        <v/>
      </c>
      <c r="AD402" s="18" t="str">
        <f t="shared" si="809"/>
        <v/>
      </c>
      <c r="AE402" s="43"/>
      <c r="AF402" s="58" t="s">
        <v>66</v>
      </c>
      <c r="AG402" s="55" t="str">
        <f t="shared" si="11"/>
        <v/>
      </c>
    </row>
    <row r="403">
      <c r="A403" s="7" t="str">
        <f>IFERROR(__xludf.DUMMYFUNCTION("""COMPUTED_VALUE"""),"AH7178")</f>
        <v>AH7178</v>
      </c>
      <c r="B403" s="308">
        <f>IFERROR(__xludf.DUMMYFUNCTION("""COMPUTED_VALUE"""),44861.0)</f>
        <v>44861</v>
      </c>
      <c r="C403" s="309">
        <f>IFERROR(__xludf.DUMMYFUNCTION("""COMPUTED_VALUE"""),0.34221064814814817)</f>
        <v>0.3422106481</v>
      </c>
      <c r="D403" s="7" t="str">
        <f>IFERROR(__xludf.DUMMYFUNCTION("""COMPUTED_VALUE"""),"SpABRM188986")</f>
        <v>SpABRM188986</v>
      </c>
      <c r="E403" s="310"/>
      <c r="F403" s="310"/>
      <c r="G403" s="310" t="str">
        <f>IFERROR(__xludf.DUMMYFUNCTION("""COMPUTED_VALUE"""),"Negative")</f>
        <v>Negative</v>
      </c>
      <c r="H403" s="319" t="str">
        <f>IFERROR(__xludf.DUMMYFUNCTION("""COMPUTED_VALUE"""),"Negative")</f>
        <v>Negative</v>
      </c>
      <c r="I403" s="308">
        <f>IFERROR(__xludf.DUMMYFUNCTION("""COMPUTED_VALUE"""),44861.0)</f>
        <v>44861</v>
      </c>
      <c r="J403" s="311">
        <f>IFERROR(__xludf.DUMMYFUNCTION("""COMPUTED_VALUE"""),0.3879282407407407)</f>
        <v>0.3879282407</v>
      </c>
      <c r="K403" s="54"/>
      <c r="L403" s="7"/>
      <c r="M403" s="312"/>
      <c r="N403" s="172">
        <f>IFERROR(__xludf.DUMMYFUNCTION("""COMPUTED_VALUE"""),2.0)</f>
        <v>2</v>
      </c>
      <c r="O403" s="172" t="str">
        <f t="shared" si="3"/>
        <v/>
      </c>
      <c r="P403" s="313">
        <f>IFERROR(__xludf.DUMMYFUNCTION("""COMPUTED_VALUE"""),0.0)</f>
        <v>0</v>
      </c>
      <c r="Q403" s="76" t="str">
        <f>VLOOKUP($B403,'Run Reconcile'!B$2:O1399,14,FALSE)</f>
        <v/>
      </c>
      <c r="R403" s="314" t="str">
        <f t="array" ref="R403">IF($Q403, INDEX('Run Reconcile'!A$2:A1399,MATCH(B403,'Run Reconcile'!B$2:B1399,0),1),IFERROR(0/0,""))</f>
        <v/>
      </c>
      <c r="S403" s="315" t="str">
        <f t="shared" ref="S403:T403" si="810">IF(COUNTIF(W$2:W1399, $A403) &gt; 0,TRUE,IFERROR(0/0,""))</f>
        <v/>
      </c>
      <c r="T403" s="315" t="str">
        <f t="shared" si="810"/>
        <v/>
      </c>
      <c r="U403" s="114" t="str">
        <f t="array" ref="U403">IF(ISBLANK($R403), INDEX('Run Reconcile'!A$2:A1399, MATCH($B403, 'Run Reconcile'!B$2:B1399, 0)+Z403, 1), IFERROR(0/0,""))
</f>
        <v>RUN-ABRM_2022-10-27_RFR-055</v>
      </c>
      <c r="V403" s="316" t="str">
        <f t="shared" si="5"/>
        <v>RUN-ABRM_2022-10-27_RFR-055</v>
      </c>
      <c r="Y403" s="317" t="str">
        <f t="shared" si="6"/>
        <v/>
      </c>
      <c r="Z403" s="83" t="str">
        <f t="shared" si="7"/>
        <v/>
      </c>
      <c r="AA403" s="83" t="str">
        <f t="shared" si="8"/>
        <v/>
      </c>
      <c r="AB403" s="83" t="str">
        <f t="shared" si="9"/>
        <v/>
      </c>
      <c r="AC403" s="18" t="str">
        <f t="shared" ref="AC403:AD403" si="811">IF(_xlfn.ISFORMULA(S403),IFERROR(0/0,""),TRUE)</f>
        <v/>
      </c>
      <c r="AD403" s="18" t="str">
        <f t="shared" si="811"/>
        <v/>
      </c>
      <c r="AE403" s="43"/>
      <c r="AF403" s="58" t="s">
        <v>66</v>
      </c>
      <c r="AG403" s="55" t="str">
        <f t="shared" si="11"/>
        <v/>
      </c>
    </row>
    <row r="404">
      <c r="A404" s="7" t="str">
        <f>IFERROR(__xludf.DUMMYFUNCTION("""COMPUTED_VALUE"""),"AH7153")</f>
        <v>AH7153</v>
      </c>
      <c r="B404" s="308">
        <f>IFERROR(__xludf.DUMMYFUNCTION("""COMPUTED_VALUE"""),44861.0)</f>
        <v>44861</v>
      </c>
      <c r="C404" s="309">
        <f>IFERROR(__xludf.DUMMYFUNCTION("""COMPUTED_VALUE"""),0.38341435185185185)</f>
        <v>0.3834143519</v>
      </c>
      <c r="D404" s="7" t="str">
        <f>IFERROR(__xludf.DUMMYFUNCTION("""COMPUTED_VALUE"""),"SpABRM655136")</f>
        <v>SpABRM655136</v>
      </c>
      <c r="E404" s="310"/>
      <c r="F404" s="310"/>
      <c r="G404" s="310" t="str">
        <f>IFERROR(__xludf.DUMMYFUNCTION("""COMPUTED_VALUE"""),"Negative")</f>
        <v>Negative</v>
      </c>
      <c r="H404" s="319" t="str">
        <f>IFERROR(__xludf.DUMMYFUNCTION("""COMPUTED_VALUE"""),"Negative")</f>
        <v>Negative</v>
      </c>
      <c r="I404" s="308">
        <f>IFERROR(__xludf.DUMMYFUNCTION("""COMPUTED_VALUE"""),44862.0)</f>
        <v>44862</v>
      </c>
      <c r="J404" s="311">
        <f>IFERROR(__xludf.DUMMYFUNCTION("""COMPUTED_VALUE"""),0.42887731481481484)</f>
        <v>0.4288773148</v>
      </c>
      <c r="K404" s="54"/>
      <c r="L404" s="7"/>
      <c r="M404" s="312"/>
      <c r="N404" s="172">
        <f>IFERROR(__xludf.DUMMYFUNCTION("""COMPUTED_VALUE"""),1.0)</f>
        <v>1</v>
      </c>
      <c r="O404" s="172" t="str">
        <f t="shared" si="3"/>
        <v/>
      </c>
      <c r="P404" s="313">
        <f>IFERROR(__xludf.DUMMYFUNCTION("""COMPUTED_VALUE"""),1.0)</f>
        <v>1</v>
      </c>
      <c r="Q404" s="76" t="str">
        <f>VLOOKUP($B404,'Run Reconcile'!B$2:O1399,14,FALSE)</f>
        <v/>
      </c>
      <c r="R404" s="314" t="str">
        <f t="array" ref="R404">IF($Q404, INDEX('Run Reconcile'!A$2:A1399,MATCH(B404,'Run Reconcile'!B$2:B1399,0),1),IFERROR(0/0,""))</f>
        <v/>
      </c>
      <c r="S404" s="315" t="b">
        <f t="shared" ref="S404:T404" si="812">IF(COUNTIF(W$2:W1399, $A404) &gt; 0,TRUE,IFERROR(0/0,""))</f>
        <v>1</v>
      </c>
      <c r="T404" s="315" t="str">
        <f t="shared" si="812"/>
        <v/>
      </c>
      <c r="U404" s="114" t="str">
        <f t="array" ref="U404">IF(ISBLANK($R404), INDEX('Run Reconcile'!A$2:A1399, MATCH($B404, 'Run Reconcile'!B$2:B1399, 0)+Z404, 1), IFERROR(0/0,""))
</f>
        <v>RUN-ABRM_2022-10-28_RFR-057</v>
      </c>
      <c r="V404" s="316" t="str">
        <f t="shared" si="5"/>
        <v>RUN-ABRM_2022-10-28_RFR-057</v>
      </c>
      <c r="W404" s="7" t="s">
        <v>1359</v>
      </c>
      <c r="Y404" s="317">
        <f t="shared" si="6"/>
        <v>1</v>
      </c>
      <c r="Z404" s="83">
        <f t="shared" si="7"/>
        <v>1</v>
      </c>
      <c r="AA404" s="83">
        <f t="shared" si="8"/>
        <v>1</v>
      </c>
      <c r="AB404" s="83" t="str">
        <f t="shared" si="9"/>
        <v/>
      </c>
      <c r="AC404" s="18" t="str">
        <f t="shared" ref="AC404:AD404" si="813">IF(_xlfn.ISFORMULA(S404),IFERROR(0/0,""),TRUE)</f>
        <v/>
      </c>
      <c r="AD404" s="18" t="str">
        <f t="shared" si="813"/>
        <v/>
      </c>
      <c r="AE404" s="43"/>
      <c r="AF404" s="58" t="s">
        <v>67</v>
      </c>
      <c r="AG404" s="55" t="str">
        <f t="shared" si="11"/>
        <v/>
      </c>
    </row>
    <row r="405">
      <c r="A405" s="120" t="str">
        <f>IFERROR(__xludf.DUMMYFUNCTION("""COMPUTED_VALUE"""),"AG1024")</f>
        <v>AG1024</v>
      </c>
      <c r="B405" s="320">
        <f>IFERROR(__xludf.DUMMYFUNCTION("""COMPUTED_VALUE"""),44862.0)</f>
        <v>44862</v>
      </c>
      <c r="C405" s="321">
        <f>IFERROR(__xludf.DUMMYFUNCTION("""COMPUTED_VALUE"""),0.2464236111111111)</f>
        <v>0.2464236111</v>
      </c>
      <c r="D405" s="120" t="str">
        <f>IFERROR(__xludf.DUMMYFUNCTION("""COMPUTED_VALUE"""),"SpABRM516158")</f>
        <v>SpABRM516158</v>
      </c>
      <c r="E405" s="322"/>
      <c r="F405" s="322"/>
      <c r="G405" s="322" t="str">
        <f>IFERROR(__xludf.DUMMYFUNCTION("""COMPUTED_VALUE"""),"Negative")</f>
        <v>Negative</v>
      </c>
      <c r="H405" s="323" t="str">
        <f>IFERROR(__xludf.DUMMYFUNCTION("""COMPUTED_VALUE"""),"Negative")</f>
        <v>Negative</v>
      </c>
      <c r="I405" s="320">
        <f>IFERROR(__xludf.DUMMYFUNCTION("""COMPUTED_VALUE"""),44862.0)</f>
        <v>44862</v>
      </c>
      <c r="J405" s="324">
        <f>IFERROR(__xludf.DUMMYFUNCTION("""COMPUTED_VALUE"""),0.42887731481481484)</f>
        <v>0.4288773148</v>
      </c>
      <c r="K405" s="123"/>
      <c r="L405" s="120"/>
      <c r="M405" s="325"/>
      <c r="N405" s="283">
        <f>IFERROR(__xludf.DUMMYFUNCTION("""COMPUTED_VALUE"""),1.0)</f>
        <v>1</v>
      </c>
      <c r="O405" s="283" t="b">
        <f t="shared" si="3"/>
        <v>1</v>
      </c>
      <c r="P405" s="326">
        <f>IFERROR(__xludf.DUMMYFUNCTION("""COMPUTED_VALUE"""),0.0)</f>
        <v>0</v>
      </c>
      <c r="Q405" s="293" t="str">
        <f>VLOOKUP($B405,'Run Reconcile'!B$2:O1399,14,FALSE)</f>
        <v/>
      </c>
      <c r="R405" s="327" t="str">
        <f t="array" ref="R405">IF($Q405, INDEX('Run Reconcile'!A$2:A1399,MATCH(B405,'Run Reconcile'!B$2:B1399,0),1),IFERROR(0/0,""))</f>
        <v/>
      </c>
      <c r="S405" s="328" t="str">
        <f t="shared" ref="S405:T405" si="814">IF(COUNTIF(W$2:W1399, $A405) &gt; 0,TRUE,IFERROR(0/0,""))</f>
        <v/>
      </c>
      <c r="T405" s="328" t="str">
        <f t="shared" si="814"/>
        <v/>
      </c>
      <c r="U405" s="114" t="str">
        <f t="array" ref="U405">IF(ISBLANK($R405), INDEX('Run Reconcile'!A$2:A1399, MATCH($B405, 'Run Reconcile'!B$2:B1399, 0)+Z405, 1), IFERROR(0/0,""))
</f>
        <v>RUN-ABRM_2022-10-28_RFR-057</v>
      </c>
      <c r="V405" s="329" t="str">
        <f t="shared" si="5"/>
        <v>RUN-ABRM_2022-10-28_RFR-057</v>
      </c>
      <c r="W405" s="120"/>
      <c r="X405" s="120"/>
      <c r="Y405" s="317" t="str">
        <f t="shared" si="6"/>
        <v/>
      </c>
      <c r="Z405" s="83" t="str">
        <f t="shared" si="7"/>
        <v/>
      </c>
      <c r="AA405" s="83" t="str">
        <f t="shared" si="8"/>
        <v/>
      </c>
      <c r="AB405" s="83" t="str">
        <f t="shared" si="9"/>
        <v/>
      </c>
      <c r="AC405" s="263" t="str">
        <f t="shared" ref="AC405:AD405" si="815">IF(_xlfn.ISFORMULA(S405),IFERROR(0/0,""),TRUE)</f>
        <v/>
      </c>
      <c r="AD405" s="263" t="str">
        <f t="shared" si="815"/>
        <v/>
      </c>
      <c r="AE405" s="125"/>
      <c r="AF405" s="330" t="s">
        <v>67</v>
      </c>
      <c r="AG405" s="55" t="str">
        <f t="shared" si="11"/>
        <v/>
      </c>
      <c r="AH405" s="120"/>
      <c r="AI405" s="120"/>
      <c r="AJ405" s="120"/>
      <c r="AK405" s="120"/>
    </row>
    <row r="406">
      <c r="A406" s="7" t="str">
        <f>IFERROR(__xludf.DUMMYFUNCTION("""COMPUTED_VALUE"""),"AH9572")</f>
        <v>AH9572</v>
      </c>
      <c r="B406" s="308">
        <f>IFERROR(__xludf.DUMMYFUNCTION("""COMPUTED_VALUE"""),44862.0)</f>
        <v>44862</v>
      </c>
      <c r="C406" s="309">
        <f>IFERROR(__xludf.DUMMYFUNCTION("""COMPUTED_VALUE"""),0.2854976851851852)</f>
        <v>0.2854976852</v>
      </c>
      <c r="D406" s="7" t="str">
        <f>IFERROR(__xludf.DUMMYFUNCTION("""COMPUTED_VALUE"""),"SpABRM128250")</f>
        <v>SpABRM128250</v>
      </c>
      <c r="E406" s="310"/>
      <c r="F406" s="310"/>
      <c r="G406" s="310" t="str">
        <f>IFERROR(__xludf.DUMMYFUNCTION("""COMPUTED_VALUE"""),"Negative")</f>
        <v>Negative</v>
      </c>
      <c r="H406" s="319" t="str">
        <f>IFERROR(__xludf.DUMMYFUNCTION("""COMPUTED_VALUE"""),"Negative")</f>
        <v>Negative</v>
      </c>
      <c r="I406" s="308">
        <f>IFERROR(__xludf.DUMMYFUNCTION("""COMPUTED_VALUE"""),44862.0)</f>
        <v>44862</v>
      </c>
      <c r="J406" s="311">
        <f>IFERROR(__xludf.DUMMYFUNCTION("""COMPUTED_VALUE"""),0.42887731481481484)</f>
        <v>0.4288773148</v>
      </c>
      <c r="K406" s="54"/>
      <c r="L406" s="7"/>
      <c r="M406" s="312"/>
      <c r="N406" s="172">
        <f>IFERROR(__xludf.DUMMYFUNCTION("""COMPUTED_VALUE"""),3.0)</f>
        <v>3</v>
      </c>
      <c r="O406" s="172" t="str">
        <f t="shared" si="3"/>
        <v/>
      </c>
      <c r="P406" s="313">
        <f>IFERROR(__xludf.DUMMYFUNCTION("""COMPUTED_VALUE"""),0.0)</f>
        <v>0</v>
      </c>
      <c r="Q406" s="76" t="str">
        <f>VLOOKUP($B406,'Run Reconcile'!B$2:O1399,14,FALSE)</f>
        <v/>
      </c>
      <c r="R406" s="314" t="str">
        <f t="array" ref="R406">IF($Q406, INDEX('Run Reconcile'!A$2:A1399,MATCH(B406,'Run Reconcile'!B$2:B1399,0),1),IFERROR(0/0,""))</f>
        <v/>
      </c>
      <c r="S406" s="315" t="str">
        <f t="shared" ref="S406:T406" si="816">IF(COUNTIF(W$2:W1399, $A406) &gt; 0,TRUE,IFERROR(0/0,""))</f>
        <v/>
      </c>
      <c r="T406" s="315" t="str">
        <f t="shared" si="816"/>
        <v/>
      </c>
      <c r="U406" s="114" t="str">
        <f t="array" ref="U406">IF(ISBLANK($R406), INDEX('Run Reconcile'!A$2:A1399, MATCH($B406, 'Run Reconcile'!B$2:B1399, 0)+Z406, 1), IFERROR(0/0,""))
</f>
        <v>RUN-ABRM_2022-10-28_RFR-057</v>
      </c>
      <c r="V406" s="316" t="str">
        <f t="shared" si="5"/>
        <v>RUN-ABRM_2022-10-28_RFR-057</v>
      </c>
      <c r="Y406" s="317" t="str">
        <f t="shared" si="6"/>
        <v/>
      </c>
      <c r="Z406" s="83" t="str">
        <f t="shared" si="7"/>
        <v/>
      </c>
      <c r="AA406" s="83" t="str">
        <f t="shared" si="8"/>
        <v/>
      </c>
      <c r="AB406" s="83" t="str">
        <f t="shared" si="9"/>
        <v/>
      </c>
      <c r="AC406" s="18" t="str">
        <f t="shared" ref="AC406:AD406" si="817">IF(_xlfn.ISFORMULA(S406),IFERROR(0/0,""),TRUE)</f>
        <v/>
      </c>
      <c r="AD406" s="18" t="str">
        <f t="shared" si="817"/>
        <v/>
      </c>
      <c r="AE406" s="43"/>
      <c r="AF406" s="58" t="s">
        <v>67</v>
      </c>
      <c r="AG406" s="55" t="str">
        <f t="shared" si="11"/>
        <v/>
      </c>
    </row>
    <row r="407">
      <c r="A407" s="7" t="str">
        <f>IFERROR(__xludf.DUMMYFUNCTION("""COMPUTED_VALUE"""),"AG1957")</f>
        <v>AG1957</v>
      </c>
      <c r="B407" s="308">
        <f>IFERROR(__xludf.DUMMYFUNCTION("""COMPUTED_VALUE"""),44862.0)</f>
        <v>44862</v>
      </c>
      <c r="C407" s="309">
        <f>IFERROR(__xludf.DUMMYFUNCTION("""COMPUTED_VALUE"""),0.2906944444444444)</f>
        <v>0.2906944444</v>
      </c>
      <c r="D407" s="7" t="str">
        <f>IFERROR(__xludf.DUMMYFUNCTION("""COMPUTED_VALUE"""),"SpABRM297307")</f>
        <v>SpABRM297307</v>
      </c>
      <c r="E407" s="310"/>
      <c r="F407" s="310"/>
      <c r="G407" s="310" t="str">
        <f>IFERROR(__xludf.DUMMYFUNCTION("""COMPUTED_VALUE"""),"Negative")</f>
        <v>Negative</v>
      </c>
      <c r="H407" s="319" t="str">
        <f>IFERROR(__xludf.DUMMYFUNCTION("""COMPUTED_VALUE"""),"Negative")</f>
        <v>Negative</v>
      </c>
      <c r="I407" s="308">
        <f>IFERROR(__xludf.DUMMYFUNCTION("""COMPUTED_VALUE"""),44862.0)</f>
        <v>44862</v>
      </c>
      <c r="J407" s="311">
        <f>IFERROR(__xludf.DUMMYFUNCTION("""COMPUTED_VALUE"""),0.42887731481481484)</f>
        <v>0.4288773148</v>
      </c>
      <c r="K407" s="54"/>
      <c r="L407" s="7"/>
      <c r="M407" s="312"/>
      <c r="N407" s="172">
        <f>IFERROR(__xludf.DUMMYFUNCTION("""COMPUTED_VALUE"""),3.0)</f>
        <v>3</v>
      </c>
      <c r="O407" s="172" t="str">
        <f t="shared" si="3"/>
        <v/>
      </c>
      <c r="P407" s="313">
        <f>IFERROR(__xludf.DUMMYFUNCTION("""COMPUTED_VALUE"""),0.0)</f>
        <v>0</v>
      </c>
      <c r="Q407" s="76" t="str">
        <f>VLOOKUP($B407,'Run Reconcile'!B$2:O1399,14,FALSE)</f>
        <v/>
      </c>
      <c r="R407" s="314" t="str">
        <f t="array" ref="R407">IF($Q407, INDEX('Run Reconcile'!A$2:A1399,MATCH(B407,'Run Reconcile'!B$2:B1399,0),1),IFERROR(0/0,""))</f>
        <v/>
      </c>
      <c r="S407" s="315" t="str">
        <f t="shared" ref="S407:T407" si="818">IF(COUNTIF(W$2:W1399, $A407) &gt; 0,TRUE,IFERROR(0/0,""))</f>
        <v/>
      </c>
      <c r="T407" s="315" t="str">
        <f t="shared" si="818"/>
        <v/>
      </c>
      <c r="U407" s="114" t="str">
        <f t="array" ref="U407">IF(ISBLANK($R407), INDEX('Run Reconcile'!A$2:A1399, MATCH($B407, 'Run Reconcile'!B$2:B1399, 0)+Z407, 1), IFERROR(0/0,""))
</f>
        <v>RUN-ABRM_2022-10-28_RFR-057</v>
      </c>
      <c r="V407" s="316" t="str">
        <f t="shared" si="5"/>
        <v>RUN-ABRM_2022-10-28_RFR-057</v>
      </c>
      <c r="Y407" s="317" t="str">
        <f t="shared" si="6"/>
        <v/>
      </c>
      <c r="Z407" s="83" t="str">
        <f t="shared" si="7"/>
        <v/>
      </c>
      <c r="AA407" s="83" t="str">
        <f t="shared" si="8"/>
        <v/>
      </c>
      <c r="AB407" s="83" t="str">
        <f t="shared" si="9"/>
        <v/>
      </c>
      <c r="AC407" s="18" t="str">
        <f t="shared" ref="AC407:AD407" si="819">IF(_xlfn.ISFORMULA(S407),IFERROR(0/0,""),TRUE)</f>
        <v/>
      </c>
      <c r="AD407" s="18" t="str">
        <f t="shared" si="819"/>
        <v/>
      </c>
      <c r="AE407" s="43"/>
      <c r="AF407" s="58" t="s">
        <v>67</v>
      </c>
      <c r="AG407" s="55" t="str">
        <f t="shared" si="11"/>
        <v/>
      </c>
    </row>
    <row r="408">
      <c r="A408" s="7" t="str">
        <f>IFERROR(__xludf.DUMMYFUNCTION("""COMPUTED_VALUE"""),"AG768")</f>
        <v>AG768</v>
      </c>
      <c r="B408" s="308">
        <f>IFERROR(__xludf.DUMMYFUNCTION("""COMPUTED_VALUE"""),44862.0)</f>
        <v>44862</v>
      </c>
      <c r="C408" s="309">
        <f>IFERROR(__xludf.DUMMYFUNCTION("""COMPUTED_VALUE"""),0.2920023148148148)</f>
        <v>0.2920023148</v>
      </c>
      <c r="D408" s="7" t="str">
        <f>IFERROR(__xludf.DUMMYFUNCTION("""COMPUTED_VALUE"""),"SpABRM655136")</f>
        <v>SpABRM655136</v>
      </c>
      <c r="E408" s="310"/>
      <c r="F408" s="310"/>
      <c r="G408" s="310" t="str">
        <f>IFERROR(__xludf.DUMMYFUNCTION("""COMPUTED_VALUE"""),"Negative")</f>
        <v>Negative</v>
      </c>
      <c r="H408" s="319" t="str">
        <f>IFERROR(__xludf.DUMMYFUNCTION("""COMPUTED_VALUE"""),"Negative")</f>
        <v>Negative</v>
      </c>
      <c r="I408" s="308">
        <f>IFERROR(__xludf.DUMMYFUNCTION("""COMPUTED_VALUE"""),44862.0)</f>
        <v>44862</v>
      </c>
      <c r="J408" s="311">
        <f>IFERROR(__xludf.DUMMYFUNCTION("""COMPUTED_VALUE"""),0.42920138888888887)</f>
        <v>0.4292013889</v>
      </c>
      <c r="K408" s="54"/>
      <c r="L408" s="7"/>
      <c r="M408" s="312"/>
      <c r="N408" s="172">
        <f>IFERROR(__xludf.DUMMYFUNCTION("""COMPUTED_VALUE"""),2.0)</f>
        <v>2</v>
      </c>
      <c r="O408" s="172" t="str">
        <f t="shared" si="3"/>
        <v/>
      </c>
      <c r="P408" s="313">
        <f>IFERROR(__xludf.DUMMYFUNCTION("""COMPUTED_VALUE"""),0.0)</f>
        <v>0</v>
      </c>
      <c r="Q408" s="76" t="str">
        <f>VLOOKUP($B408,'Run Reconcile'!B$2:O1399,14,FALSE)</f>
        <v/>
      </c>
      <c r="R408" s="314" t="str">
        <f t="array" ref="R408">IF($Q408, INDEX('Run Reconcile'!A$2:A1399,MATCH(B408,'Run Reconcile'!B$2:B1399,0),1),IFERROR(0/0,""))</f>
        <v/>
      </c>
      <c r="S408" s="315" t="str">
        <f t="shared" ref="S408:T408" si="820">IF(COUNTIF(W$2:W1399, $A408) &gt; 0,TRUE,IFERROR(0/0,""))</f>
        <v/>
      </c>
      <c r="T408" s="315" t="str">
        <f t="shared" si="820"/>
        <v/>
      </c>
      <c r="U408" s="114" t="str">
        <f t="array" ref="U408">IF(ISBLANK($R408), INDEX('Run Reconcile'!A$2:A1399, MATCH($B408, 'Run Reconcile'!B$2:B1399, 0)+Z408, 1), IFERROR(0/0,""))
</f>
        <v>RUN-ABRM_2022-10-28_RFR-057</v>
      </c>
      <c r="V408" s="316" t="str">
        <f t="shared" si="5"/>
        <v>RUN-ABRM_2022-10-28_RFR-057</v>
      </c>
      <c r="Y408" s="317" t="str">
        <f t="shared" si="6"/>
        <v/>
      </c>
      <c r="Z408" s="83" t="str">
        <f t="shared" si="7"/>
        <v/>
      </c>
      <c r="AA408" s="83" t="str">
        <f t="shared" si="8"/>
        <v/>
      </c>
      <c r="AB408" s="83" t="str">
        <f t="shared" si="9"/>
        <v/>
      </c>
      <c r="AC408" s="18" t="str">
        <f t="shared" ref="AC408:AD408" si="821">IF(_xlfn.ISFORMULA(S408),IFERROR(0/0,""),TRUE)</f>
        <v/>
      </c>
      <c r="AD408" s="18" t="str">
        <f t="shared" si="821"/>
        <v/>
      </c>
      <c r="AE408" s="43"/>
      <c r="AF408" s="58" t="s">
        <v>67</v>
      </c>
      <c r="AG408" s="55" t="str">
        <f t="shared" si="11"/>
        <v/>
      </c>
    </row>
    <row r="409">
      <c r="A409" s="7" t="str">
        <f>IFERROR(__xludf.DUMMYFUNCTION("""COMPUTED_VALUE"""),"AK6876")</f>
        <v>AK6876</v>
      </c>
      <c r="B409" s="308">
        <f>IFERROR(__xludf.DUMMYFUNCTION("""COMPUTED_VALUE"""),44862.0)</f>
        <v>44862</v>
      </c>
      <c r="C409" s="309">
        <f>IFERROR(__xludf.DUMMYFUNCTION("""COMPUTED_VALUE"""),0.29422453703703705)</f>
        <v>0.294224537</v>
      </c>
      <c r="D409" s="7" t="str">
        <f>IFERROR(__xludf.DUMMYFUNCTION("""COMPUTED_VALUE"""),"SpABRM814022")</f>
        <v>SpABRM814022</v>
      </c>
      <c r="E409" s="310"/>
      <c r="F409" s="310"/>
      <c r="G409" s="310" t="str">
        <f>IFERROR(__xludf.DUMMYFUNCTION("""COMPUTED_VALUE"""),"Negative")</f>
        <v>Negative</v>
      </c>
      <c r="H409" s="319" t="str">
        <f>IFERROR(__xludf.DUMMYFUNCTION("""COMPUTED_VALUE"""),"Negative")</f>
        <v>Negative</v>
      </c>
      <c r="I409" s="308">
        <f>IFERROR(__xludf.DUMMYFUNCTION("""COMPUTED_VALUE"""),44862.0)</f>
        <v>44862</v>
      </c>
      <c r="J409" s="311">
        <f>IFERROR(__xludf.DUMMYFUNCTION("""COMPUTED_VALUE"""),0.4288888888888889)</f>
        <v>0.4288888889</v>
      </c>
      <c r="K409" s="54"/>
      <c r="L409" s="7"/>
      <c r="M409" s="312"/>
      <c r="N409" s="172">
        <f>IFERROR(__xludf.DUMMYFUNCTION("""COMPUTED_VALUE"""),2.0)</f>
        <v>2</v>
      </c>
      <c r="O409" s="172" t="str">
        <f t="shared" si="3"/>
        <v/>
      </c>
      <c r="P409" s="313">
        <f>IFERROR(__xludf.DUMMYFUNCTION("""COMPUTED_VALUE"""),0.0)</f>
        <v>0</v>
      </c>
      <c r="Q409" s="76" t="str">
        <f>VLOOKUP($B409,'Run Reconcile'!B$2:O1399,14,FALSE)</f>
        <v/>
      </c>
      <c r="R409" s="314" t="str">
        <f t="array" ref="R409">IF($Q409, INDEX('Run Reconcile'!A$2:A1399,MATCH(B409,'Run Reconcile'!B$2:B1399,0),1),IFERROR(0/0,""))</f>
        <v/>
      </c>
      <c r="S409" s="315" t="str">
        <f t="shared" ref="S409:T409" si="822">IF(COUNTIF(W$2:W1399, $A409) &gt; 0,TRUE,IFERROR(0/0,""))</f>
        <v/>
      </c>
      <c r="T409" s="315" t="str">
        <f t="shared" si="822"/>
        <v/>
      </c>
      <c r="U409" s="114" t="str">
        <f t="array" ref="U409">IF(ISBLANK($R409), INDEX('Run Reconcile'!A$2:A1399, MATCH($B409, 'Run Reconcile'!B$2:B1399, 0)+Z409, 1), IFERROR(0/0,""))
</f>
        <v>RUN-ABRM_2022-10-28_RFR-057</v>
      </c>
      <c r="V409" s="316" t="str">
        <f t="shared" si="5"/>
        <v>RUN-ABRM_2022-10-28_RFR-057</v>
      </c>
      <c r="Y409" s="317" t="str">
        <f t="shared" si="6"/>
        <v/>
      </c>
      <c r="Z409" s="83" t="str">
        <f t="shared" si="7"/>
        <v/>
      </c>
      <c r="AA409" s="83" t="str">
        <f t="shared" si="8"/>
        <v/>
      </c>
      <c r="AB409" s="83" t="str">
        <f t="shared" si="9"/>
        <v/>
      </c>
      <c r="AC409" s="18" t="str">
        <f t="shared" ref="AC409:AD409" si="823">IF(_xlfn.ISFORMULA(S409),IFERROR(0/0,""),TRUE)</f>
        <v/>
      </c>
      <c r="AD409" s="18" t="str">
        <f t="shared" si="823"/>
        <v/>
      </c>
      <c r="AE409" s="43"/>
      <c r="AF409" s="58" t="s">
        <v>67</v>
      </c>
      <c r="AG409" s="55" t="str">
        <f t="shared" si="11"/>
        <v/>
      </c>
    </row>
    <row r="410">
      <c r="A410" s="7" t="str">
        <f>IFERROR(__xludf.DUMMYFUNCTION("""COMPUTED_VALUE"""),"AH9506")</f>
        <v>AH9506</v>
      </c>
      <c r="B410" s="308">
        <f>IFERROR(__xludf.DUMMYFUNCTION("""COMPUTED_VALUE"""),44862.0)</f>
        <v>44862</v>
      </c>
      <c r="C410" s="309">
        <f>IFERROR(__xludf.DUMMYFUNCTION("""COMPUTED_VALUE"""),0.2997916666666667)</f>
        <v>0.2997916667</v>
      </c>
      <c r="D410" s="7" t="str">
        <f>IFERROR(__xludf.DUMMYFUNCTION("""COMPUTED_VALUE"""),"SpABRM367540")</f>
        <v>SpABRM367540</v>
      </c>
      <c r="E410" s="310"/>
      <c r="F410" s="310"/>
      <c r="G410" s="310" t="str">
        <f>IFERROR(__xludf.DUMMYFUNCTION("""COMPUTED_VALUE"""),"Negative")</f>
        <v>Negative</v>
      </c>
      <c r="H410" s="319" t="str">
        <f>IFERROR(__xludf.DUMMYFUNCTION("""COMPUTED_VALUE"""),"Negative")</f>
        <v>Negative</v>
      </c>
      <c r="I410" s="308">
        <f>IFERROR(__xludf.DUMMYFUNCTION("""COMPUTED_VALUE"""),44862.0)</f>
        <v>44862</v>
      </c>
      <c r="J410" s="311">
        <f>IFERROR(__xludf.DUMMYFUNCTION("""COMPUTED_VALUE"""),0.4288888888888889)</f>
        <v>0.4288888889</v>
      </c>
      <c r="K410" s="54"/>
      <c r="L410" s="7"/>
      <c r="M410" s="312"/>
      <c r="N410" s="172">
        <f>IFERROR(__xludf.DUMMYFUNCTION("""COMPUTED_VALUE"""),3.0)</f>
        <v>3</v>
      </c>
      <c r="O410" s="172" t="str">
        <f t="shared" si="3"/>
        <v/>
      </c>
      <c r="P410" s="313">
        <f>IFERROR(__xludf.DUMMYFUNCTION("""COMPUTED_VALUE"""),0.0)</f>
        <v>0</v>
      </c>
      <c r="Q410" s="76" t="str">
        <f>VLOOKUP($B410,'Run Reconcile'!B$2:O1399,14,FALSE)</f>
        <v/>
      </c>
      <c r="R410" s="314" t="str">
        <f t="array" ref="R410">IF($Q410, INDEX('Run Reconcile'!A$2:A1399,MATCH(B410,'Run Reconcile'!B$2:B1399,0),1),IFERROR(0/0,""))</f>
        <v/>
      </c>
      <c r="S410" s="315" t="str">
        <f t="shared" ref="S410:T410" si="824">IF(COUNTIF(W$2:W1399, $A410) &gt; 0,TRUE,IFERROR(0/0,""))</f>
        <v/>
      </c>
      <c r="T410" s="315" t="str">
        <f t="shared" si="824"/>
        <v/>
      </c>
      <c r="U410" s="114" t="str">
        <f t="array" ref="U410">IF(ISBLANK($R410), INDEX('Run Reconcile'!A$2:A1399, MATCH($B410, 'Run Reconcile'!B$2:B1399, 0)+Z410, 1), IFERROR(0/0,""))
</f>
        <v>RUN-ABRM_2022-10-28_RFR-057</v>
      </c>
      <c r="V410" s="316" t="str">
        <f t="shared" si="5"/>
        <v>RUN-ABRM_2022-10-28_RFR-057</v>
      </c>
      <c r="Y410" s="317" t="str">
        <f t="shared" si="6"/>
        <v/>
      </c>
      <c r="Z410" s="83" t="str">
        <f t="shared" si="7"/>
        <v/>
      </c>
      <c r="AA410" s="83" t="str">
        <f t="shared" si="8"/>
        <v/>
      </c>
      <c r="AB410" s="83" t="str">
        <f t="shared" si="9"/>
        <v/>
      </c>
      <c r="AC410" s="18" t="str">
        <f t="shared" ref="AC410:AD410" si="825">IF(_xlfn.ISFORMULA(S410),IFERROR(0/0,""),TRUE)</f>
        <v/>
      </c>
      <c r="AD410" s="18" t="str">
        <f t="shared" si="825"/>
        <v/>
      </c>
      <c r="AE410" s="43"/>
      <c r="AF410" s="58" t="s">
        <v>67</v>
      </c>
      <c r="AG410" s="55" t="str">
        <f t="shared" si="11"/>
        <v/>
      </c>
    </row>
    <row r="411">
      <c r="A411" s="7" t="str">
        <f>IFERROR(__xludf.DUMMYFUNCTION("""COMPUTED_VALUE"""),"AJ8794")</f>
        <v>AJ8794</v>
      </c>
      <c r="B411" s="308">
        <f>IFERROR(__xludf.DUMMYFUNCTION("""COMPUTED_VALUE"""),44862.0)</f>
        <v>44862</v>
      </c>
      <c r="C411" s="309">
        <f>IFERROR(__xludf.DUMMYFUNCTION("""COMPUTED_VALUE"""),0.3055671296296296)</f>
        <v>0.3055671296</v>
      </c>
      <c r="D411" s="7" t="str">
        <f>IFERROR(__xludf.DUMMYFUNCTION("""COMPUTED_VALUE"""),"SpABRM188986")</f>
        <v>SpABRM188986</v>
      </c>
      <c r="E411" s="310"/>
      <c r="F411" s="310"/>
      <c r="G411" s="310" t="str">
        <f>IFERROR(__xludf.DUMMYFUNCTION("""COMPUTED_VALUE"""),"Negative")</f>
        <v>Negative</v>
      </c>
      <c r="H411" s="319" t="str">
        <f>IFERROR(__xludf.DUMMYFUNCTION("""COMPUTED_VALUE"""),"Negative")</f>
        <v>Negative</v>
      </c>
      <c r="I411" s="308">
        <f>IFERROR(__xludf.DUMMYFUNCTION("""COMPUTED_VALUE"""),44862.0)</f>
        <v>44862</v>
      </c>
      <c r="J411" s="311">
        <f>IFERROR(__xludf.DUMMYFUNCTION("""COMPUTED_VALUE"""),0.4288888888888889)</f>
        <v>0.4288888889</v>
      </c>
      <c r="K411" s="54"/>
      <c r="L411" s="7"/>
      <c r="M411" s="312"/>
      <c r="N411" s="172">
        <f>IFERROR(__xludf.DUMMYFUNCTION("""COMPUTED_VALUE"""),2.0)</f>
        <v>2</v>
      </c>
      <c r="O411" s="172" t="str">
        <f t="shared" si="3"/>
        <v/>
      </c>
      <c r="P411" s="313">
        <f>IFERROR(__xludf.DUMMYFUNCTION("""COMPUTED_VALUE"""),0.0)</f>
        <v>0</v>
      </c>
      <c r="Q411" s="76" t="str">
        <f>VLOOKUP($B411,'Run Reconcile'!B$2:O1399,14,FALSE)</f>
        <v/>
      </c>
      <c r="R411" s="314" t="str">
        <f t="array" ref="R411">IF($Q411, INDEX('Run Reconcile'!A$2:A1399,MATCH(B411,'Run Reconcile'!B$2:B1399,0),1),IFERROR(0/0,""))</f>
        <v/>
      </c>
      <c r="S411" s="315" t="str">
        <f t="shared" ref="S411:T411" si="826">IF(COUNTIF(W$2:W1399, $A411) &gt; 0,TRUE,IFERROR(0/0,""))</f>
        <v/>
      </c>
      <c r="T411" s="315" t="str">
        <f t="shared" si="826"/>
        <v/>
      </c>
      <c r="U411" s="114" t="str">
        <f t="array" ref="U411">IF(ISBLANK($R411), INDEX('Run Reconcile'!A$2:A1399, MATCH($B411, 'Run Reconcile'!B$2:B1399, 0)+Z411, 1), IFERROR(0/0,""))
</f>
        <v>RUN-ABRM_2022-10-28_RFR-057</v>
      </c>
      <c r="V411" s="316" t="str">
        <f t="shared" si="5"/>
        <v>RUN-ABRM_2022-10-28_RFR-057</v>
      </c>
      <c r="Y411" s="317" t="str">
        <f t="shared" si="6"/>
        <v/>
      </c>
      <c r="Z411" s="83" t="str">
        <f t="shared" si="7"/>
        <v/>
      </c>
      <c r="AA411" s="83" t="str">
        <f t="shared" si="8"/>
        <v/>
      </c>
      <c r="AB411" s="83" t="str">
        <f t="shared" si="9"/>
        <v/>
      </c>
      <c r="AC411" s="18" t="str">
        <f t="shared" ref="AC411:AD411" si="827">IF(_xlfn.ISFORMULA(S411),IFERROR(0/0,""),TRUE)</f>
        <v/>
      </c>
      <c r="AD411" s="18" t="str">
        <f t="shared" si="827"/>
        <v/>
      </c>
      <c r="AE411" s="43"/>
      <c r="AF411" s="58" t="s">
        <v>67</v>
      </c>
      <c r="AG411" s="55" t="str">
        <f t="shared" si="11"/>
        <v/>
      </c>
    </row>
    <row r="412">
      <c r="A412" s="7" t="str">
        <f>IFERROR(__xludf.DUMMYFUNCTION("""COMPUTED_VALUE"""),"AH8534")</f>
        <v>AH8534</v>
      </c>
      <c r="B412" s="308">
        <f>IFERROR(__xludf.DUMMYFUNCTION("""COMPUTED_VALUE"""),44862.0)</f>
        <v>44862</v>
      </c>
      <c r="C412" s="309">
        <f>IFERROR(__xludf.DUMMYFUNCTION("""COMPUTED_VALUE"""),0.3369212962962963)</f>
        <v>0.3369212963</v>
      </c>
      <c r="D412" s="7" t="str">
        <f>IFERROR(__xludf.DUMMYFUNCTION("""COMPUTED_VALUE"""),"SpABRM655136")</f>
        <v>SpABRM655136</v>
      </c>
      <c r="E412" s="310"/>
      <c r="F412" s="310"/>
      <c r="G412" s="310" t="str">
        <f>IFERROR(__xludf.DUMMYFUNCTION("""COMPUTED_VALUE"""),"Negative")</f>
        <v>Negative</v>
      </c>
      <c r="H412" s="319" t="str">
        <f>IFERROR(__xludf.DUMMYFUNCTION("""COMPUTED_VALUE"""),"Negative")</f>
        <v>Negative</v>
      </c>
      <c r="I412" s="308">
        <f>IFERROR(__xludf.DUMMYFUNCTION("""COMPUTED_VALUE"""),44862.0)</f>
        <v>44862</v>
      </c>
      <c r="J412" s="311">
        <f>IFERROR(__xludf.DUMMYFUNCTION("""COMPUTED_VALUE"""),0.44981481481481483)</f>
        <v>0.4498148148</v>
      </c>
      <c r="K412" s="54"/>
      <c r="L412" s="7"/>
      <c r="M412" s="312"/>
      <c r="N412" s="172">
        <f>IFERROR(__xludf.DUMMYFUNCTION("""COMPUTED_VALUE"""),3.0)</f>
        <v>3</v>
      </c>
      <c r="O412" s="172" t="str">
        <f t="shared" si="3"/>
        <v/>
      </c>
      <c r="P412" s="313">
        <f>IFERROR(__xludf.DUMMYFUNCTION("""COMPUTED_VALUE"""),0.0)</f>
        <v>0</v>
      </c>
      <c r="Q412" s="76" t="str">
        <f>VLOOKUP($B412,'Run Reconcile'!B$2:O1399,14,FALSE)</f>
        <v/>
      </c>
      <c r="R412" s="314" t="str">
        <f t="array" ref="R412">IF($Q412, INDEX('Run Reconcile'!A$2:A1399,MATCH(B412,'Run Reconcile'!B$2:B1399,0),1),IFERROR(0/0,""))</f>
        <v/>
      </c>
      <c r="S412" s="315" t="str">
        <f t="shared" ref="S412:T412" si="828">IF(COUNTIF(W$2:W1399, $A412) &gt; 0,TRUE,IFERROR(0/0,""))</f>
        <v/>
      </c>
      <c r="T412" s="315" t="str">
        <f t="shared" si="828"/>
        <v/>
      </c>
      <c r="U412" s="114" t="str">
        <f t="array" ref="U412">IF(ISBLANK($R412), INDEX('Run Reconcile'!A$2:A1399, MATCH($B412, 'Run Reconcile'!B$2:B1399, 0)+Z412, 1), IFERROR(0/0,""))
</f>
        <v>RUN-ABRM_2022-10-28_RFR-057</v>
      </c>
      <c r="V412" s="316" t="str">
        <f t="shared" si="5"/>
        <v>RUN-ABRM_2022-10-28_RFR-057</v>
      </c>
      <c r="Y412" s="317" t="str">
        <f t="shared" si="6"/>
        <v/>
      </c>
      <c r="Z412" s="83" t="str">
        <f t="shared" si="7"/>
        <v/>
      </c>
      <c r="AA412" s="83" t="str">
        <f t="shared" si="8"/>
        <v/>
      </c>
      <c r="AB412" s="83" t="str">
        <f t="shared" si="9"/>
        <v/>
      </c>
      <c r="AC412" s="18" t="str">
        <f t="shared" ref="AC412:AD412" si="829">IF(_xlfn.ISFORMULA(S412),IFERROR(0/0,""),TRUE)</f>
        <v/>
      </c>
      <c r="AD412" s="18" t="str">
        <f t="shared" si="829"/>
        <v/>
      </c>
      <c r="AE412" s="43"/>
      <c r="AF412" s="58" t="s">
        <v>67</v>
      </c>
      <c r="AG412" s="55" t="str">
        <f t="shared" si="11"/>
        <v/>
      </c>
    </row>
    <row r="413">
      <c r="A413" s="7" t="str">
        <f>IFERROR(__xludf.DUMMYFUNCTION("""COMPUTED_VALUE"""),"AH6786")</f>
        <v>AH6786</v>
      </c>
      <c r="B413" s="308">
        <f>IFERROR(__xludf.DUMMYFUNCTION("""COMPUTED_VALUE"""),44862.0)</f>
        <v>44862</v>
      </c>
      <c r="C413" s="309">
        <f>IFERROR(__xludf.DUMMYFUNCTION("""COMPUTED_VALUE"""),0.3374421296296296)</f>
        <v>0.3374421296</v>
      </c>
      <c r="D413" s="7" t="str">
        <f>IFERROR(__xludf.DUMMYFUNCTION("""COMPUTED_VALUE"""),"SpABRM655136")</f>
        <v>SpABRM655136</v>
      </c>
      <c r="E413" s="310"/>
      <c r="F413" s="310"/>
      <c r="G413" s="310" t="str">
        <f>IFERROR(__xludf.DUMMYFUNCTION("""COMPUTED_VALUE"""),"Negative")</f>
        <v>Negative</v>
      </c>
      <c r="H413" s="319" t="str">
        <f>IFERROR(__xludf.DUMMYFUNCTION("""COMPUTED_VALUE"""),"Negative")</f>
        <v>Negative</v>
      </c>
      <c r="I413" s="308">
        <f>IFERROR(__xludf.DUMMYFUNCTION("""COMPUTED_VALUE"""),44862.0)</f>
        <v>44862</v>
      </c>
      <c r="J413" s="311">
        <f>IFERROR(__xludf.DUMMYFUNCTION("""COMPUTED_VALUE"""),0.42890046296296297)</f>
        <v>0.428900463</v>
      </c>
      <c r="K413" s="54"/>
      <c r="L413" s="7"/>
      <c r="M413" s="312"/>
      <c r="N413" s="172">
        <f>IFERROR(__xludf.DUMMYFUNCTION("""COMPUTED_VALUE"""),1.0)</f>
        <v>1</v>
      </c>
      <c r="O413" s="172" t="str">
        <f t="shared" si="3"/>
        <v/>
      </c>
      <c r="P413" s="313">
        <f>IFERROR(__xludf.DUMMYFUNCTION("""COMPUTED_VALUE"""),0.0)</f>
        <v>0</v>
      </c>
      <c r="Q413" s="76" t="str">
        <f>VLOOKUP($B413,'Run Reconcile'!B$2:O1399,14,FALSE)</f>
        <v/>
      </c>
      <c r="R413" s="314" t="str">
        <f t="array" ref="R413">IF($Q413, INDEX('Run Reconcile'!A$2:A1399,MATCH(B413,'Run Reconcile'!B$2:B1399,0),1),IFERROR(0/0,""))</f>
        <v/>
      </c>
      <c r="S413" s="315" t="str">
        <f t="shared" ref="S413:T413" si="830">IF(COUNTIF(W$2:W1399, $A413) &gt; 0,TRUE,IFERROR(0/0,""))</f>
        <v/>
      </c>
      <c r="T413" s="315" t="str">
        <f t="shared" si="830"/>
        <v/>
      </c>
      <c r="U413" s="114" t="str">
        <f t="array" ref="U413">IF(ISBLANK($R413), INDEX('Run Reconcile'!A$2:A1399, MATCH($B413, 'Run Reconcile'!B$2:B1399, 0)+Z413, 1), IFERROR(0/0,""))
</f>
        <v>RUN-ABRM_2022-10-28_RFR-057</v>
      </c>
      <c r="V413" s="316" t="str">
        <f t="shared" si="5"/>
        <v>RUN-ABRM_2022-10-28_RFR-057</v>
      </c>
      <c r="Y413" s="317" t="str">
        <f t="shared" si="6"/>
        <v/>
      </c>
      <c r="Z413" s="83" t="str">
        <f t="shared" si="7"/>
        <v/>
      </c>
      <c r="AA413" s="83" t="str">
        <f t="shared" si="8"/>
        <v/>
      </c>
      <c r="AB413" s="83" t="str">
        <f t="shared" si="9"/>
        <v/>
      </c>
      <c r="AC413" s="18" t="str">
        <f t="shared" ref="AC413:AD413" si="831">IF(_xlfn.ISFORMULA(S413),IFERROR(0/0,""),TRUE)</f>
        <v/>
      </c>
      <c r="AD413" s="18" t="str">
        <f t="shared" si="831"/>
        <v/>
      </c>
      <c r="AE413" s="43"/>
      <c r="AF413" s="58" t="s">
        <v>67</v>
      </c>
      <c r="AG413" s="55" t="str">
        <f t="shared" si="11"/>
        <v/>
      </c>
    </row>
    <row r="414">
      <c r="A414" s="7" t="str">
        <f>IFERROR(__xludf.DUMMYFUNCTION("""COMPUTED_VALUE"""),"AH7690")</f>
        <v>AH7690</v>
      </c>
      <c r="B414" s="308">
        <f>IFERROR(__xludf.DUMMYFUNCTION("""COMPUTED_VALUE"""),44865.0)</f>
        <v>44865</v>
      </c>
      <c r="C414" s="309">
        <f>IFERROR(__xludf.DUMMYFUNCTION("""COMPUTED_VALUE"""),0.1804050925925926)</f>
        <v>0.1804050926</v>
      </c>
      <c r="D414" s="7" t="str">
        <f>IFERROR(__xludf.DUMMYFUNCTION("""COMPUTED_VALUE"""),"SpABRM516158")</f>
        <v>SpABRM516158</v>
      </c>
      <c r="E414" s="310"/>
      <c r="F414" s="310"/>
      <c r="G414" s="310" t="str">
        <f>IFERROR(__xludf.DUMMYFUNCTION("""COMPUTED_VALUE"""),"Negative")</f>
        <v>Negative</v>
      </c>
      <c r="H414" s="319" t="str">
        <f>IFERROR(__xludf.DUMMYFUNCTION("""COMPUTED_VALUE"""),"Negative")</f>
        <v>Negative</v>
      </c>
      <c r="I414" s="308">
        <f>IFERROR(__xludf.DUMMYFUNCTION("""COMPUTED_VALUE"""),44865.0)</f>
        <v>44865</v>
      </c>
      <c r="J414" s="311">
        <f>IFERROR(__xludf.DUMMYFUNCTION("""COMPUTED_VALUE"""),0.38785879629629627)</f>
        <v>0.3878587963</v>
      </c>
      <c r="K414" s="54"/>
      <c r="L414" s="7"/>
      <c r="M414" s="312"/>
      <c r="N414" s="172">
        <f>IFERROR(__xludf.DUMMYFUNCTION("""COMPUTED_VALUE"""),1.0)</f>
        <v>1</v>
      </c>
      <c r="O414" s="172" t="b">
        <f t="shared" si="3"/>
        <v>1</v>
      </c>
      <c r="P414" s="313">
        <f>IFERROR(__xludf.DUMMYFUNCTION("""COMPUTED_VALUE"""),0.0)</f>
        <v>0</v>
      </c>
      <c r="Q414" s="76" t="b">
        <f>VLOOKUP($B414,'Run Reconcile'!B$2:O1399,14,FALSE)</f>
        <v>1</v>
      </c>
      <c r="R414" s="314" t="str">
        <f t="array" ref="R414">IF($Q414, INDEX('Run Reconcile'!A$2:A1399,MATCH(B414,'Run Reconcile'!B$2:B1399,0),1),IFERROR(0/0,""))</f>
        <v>RUN-ABRM_2022-10-31_RFR-060</v>
      </c>
      <c r="S414" s="315" t="str">
        <f t="shared" ref="S414:T414" si="832">IF(COUNTIF(W$2:W1399, $A414) &gt; 0,TRUE,IFERROR(0/0,""))</f>
        <v/>
      </c>
      <c r="T414" s="315" t="str">
        <f t="shared" si="832"/>
        <v/>
      </c>
      <c r="U414" s="114" t="str">
        <f t="array" ref="U414">IF(ISBLANK($R414), INDEX('Run Reconcile'!A$2:A1399, MATCH($B414, 'Run Reconcile'!B$2:B1399, 0)+Z414, 1), IFERROR(0/0,""))
</f>
        <v/>
      </c>
      <c r="V414" s="316" t="str">
        <f t="shared" si="5"/>
        <v>RUN-ABRM_2022-10-31_RFR-060</v>
      </c>
      <c r="Y414" s="317" t="str">
        <f t="shared" si="6"/>
        <v/>
      </c>
      <c r="Z414" s="83" t="str">
        <f t="shared" si="7"/>
        <v/>
      </c>
      <c r="AA414" s="83" t="str">
        <f t="shared" si="8"/>
        <v/>
      </c>
      <c r="AB414" s="83" t="str">
        <f t="shared" si="9"/>
        <v/>
      </c>
      <c r="AC414" s="18" t="str">
        <f t="shared" ref="AC414:AD414" si="833">IF(_xlfn.ISFORMULA(S414),IFERROR(0/0,""),TRUE)</f>
        <v/>
      </c>
      <c r="AD414" s="18" t="str">
        <f t="shared" si="833"/>
        <v/>
      </c>
      <c r="AE414" s="43"/>
      <c r="AF414" s="58" t="s">
        <v>68</v>
      </c>
      <c r="AG414" s="55" t="str">
        <f t="shared" si="11"/>
        <v/>
      </c>
    </row>
    <row r="415">
      <c r="A415" s="7" t="str">
        <f>IFERROR(__xludf.DUMMYFUNCTION("""COMPUTED_VALUE"""),"AH7786")</f>
        <v>AH7786</v>
      </c>
      <c r="B415" s="308">
        <f>IFERROR(__xludf.DUMMYFUNCTION("""COMPUTED_VALUE"""),44865.0)</f>
        <v>44865</v>
      </c>
      <c r="C415" s="309">
        <f>IFERROR(__xludf.DUMMYFUNCTION("""COMPUTED_VALUE"""),0.29237268518518517)</f>
        <v>0.2923726852</v>
      </c>
      <c r="D415" s="7" t="str">
        <f>IFERROR(__xludf.DUMMYFUNCTION("""COMPUTED_VALUE"""),"SpABRM367540")</f>
        <v>SpABRM367540</v>
      </c>
      <c r="E415" s="310"/>
      <c r="F415" s="310"/>
      <c r="G415" s="310" t="str">
        <f>IFERROR(__xludf.DUMMYFUNCTION("""COMPUTED_VALUE"""),"Negative")</f>
        <v>Negative</v>
      </c>
      <c r="H415" s="319" t="str">
        <f>IFERROR(__xludf.DUMMYFUNCTION("""COMPUTED_VALUE"""),"Negative")</f>
        <v>Negative</v>
      </c>
      <c r="I415" s="308">
        <f>IFERROR(__xludf.DUMMYFUNCTION("""COMPUTED_VALUE"""),44865.0)</f>
        <v>44865</v>
      </c>
      <c r="J415" s="311">
        <f>IFERROR(__xludf.DUMMYFUNCTION("""COMPUTED_VALUE"""),0.38785879629629627)</f>
        <v>0.3878587963</v>
      </c>
      <c r="K415" s="54"/>
      <c r="L415" s="7"/>
      <c r="M415" s="312"/>
      <c r="N415" s="172">
        <f>IFERROR(__xludf.DUMMYFUNCTION("""COMPUTED_VALUE"""),3.0)</f>
        <v>3</v>
      </c>
      <c r="O415" s="172" t="str">
        <f t="shared" si="3"/>
        <v/>
      </c>
      <c r="P415" s="313">
        <f>IFERROR(__xludf.DUMMYFUNCTION("""COMPUTED_VALUE"""),0.0)</f>
        <v>0</v>
      </c>
      <c r="Q415" s="76" t="b">
        <f>VLOOKUP($B415,'Run Reconcile'!B$2:O1399,14,FALSE)</f>
        <v>1</v>
      </c>
      <c r="R415" s="314" t="str">
        <f t="array" ref="R415">IF($Q415, INDEX('Run Reconcile'!A$2:A1399,MATCH(B415,'Run Reconcile'!B$2:B1399,0),1),IFERROR(0/0,""))</f>
        <v>RUN-ABRM_2022-10-31_RFR-060</v>
      </c>
      <c r="S415" s="315" t="str">
        <f t="shared" ref="S415:T415" si="834">IF(COUNTIF(W$2:W1399, $A415) &gt; 0,TRUE,IFERROR(0/0,""))</f>
        <v/>
      </c>
      <c r="T415" s="315" t="str">
        <f t="shared" si="834"/>
        <v/>
      </c>
      <c r="U415" s="114" t="str">
        <f t="array" ref="U415">IF(ISBLANK($R415), INDEX('Run Reconcile'!A$2:A1399, MATCH($B415, 'Run Reconcile'!B$2:B1399, 0)+Z415, 1), IFERROR(0/0,""))
</f>
        <v/>
      </c>
      <c r="V415" s="316" t="str">
        <f t="shared" si="5"/>
        <v>RUN-ABRM_2022-10-31_RFR-060</v>
      </c>
      <c r="Y415" s="317" t="str">
        <f t="shared" si="6"/>
        <v/>
      </c>
      <c r="Z415" s="83" t="str">
        <f t="shared" si="7"/>
        <v/>
      </c>
      <c r="AA415" s="83" t="str">
        <f t="shared" si="8"/>
        <v/>
      </c>
      <c r="AB415" s="83" t="str">
        <f t="shared" si="9"/>
        <v/>
      </c>
      <c r="AC415" s="18" t="str">
        <f t="shared" ref="AC415:AD415" si="835">IF(_xlfn.ISFORMULA(S415),IFERROR(0/0,""),TRUE)</f>
        <v/>
      </c>
      <c r="AD415" s="18" t="str">
        <f t="shared" si="835"/>
        <v/>
      </c>
      <c r="AE415" s="43"/>
      <c r="AF415" s="58" t="s">
        <v>68</v>
      </c>
      <c r="AG415" s="55" t="str">
        <f t="shared" si="11"/>
        <v/>
      </c>
    </row>
    <row r="416">
      <c r="A416" s="7" t="str">
        <f>IFERROR(__xludf.DUMMYFUNCTION("""COMPUTED_VALUE"""),"AH7447")</f>
        <v>AH7447</v>
      </c>
      <c r="B416" s="308">
        <f>IFERROR(__xludf.DUMMYFUNCTION("""COMPUTED_VALUE"""),44865.0)</f>
        <v>44865</v>
      </c>
      <c r="C416" s="309">
        <f>IFERROR(__xludf.DUMMYFUNCTION("""COMPUTED_VALUE"""),0.2977430555555556)</f>
        <v>0.2977430556</v>
      </c>
      <c r="D416" s="7" t="str">
        <f>IFERROR(__xludf.DUMMYFUNCTION("""COMPUTED_VALUE"""),"SpABRM128250")</f>
        <v>SpABRM128250</v>
      </c>
      <c r="E416" s="310"/>
      <c r="F416" s="310"/>
      <c r="G416" s="310" t="str">
        <f>IFERROR(__xludf.DUMMYFUNCTION("""COMPUTED_VALUE"""),"Negative")</f>
        <v>Negative</v>
      </c>
      <c r="H416" s="319" t="str">
        <f>IFERROR(__xludf.DUMMYFUNCTION("""COMPUTED_VALUE"""),"Negative")</f>
        <v>Negative</v>
      </c>
      <c r="I416" s="308">
        <f>IFERROR(__xludf.DUMMYFUNCTION("""COMPUTED_VALUE"""),44865.0)</f>
        <v>44865</v>
      </c>
      <c r="J416" s="311">
        <f>IFERROR(__xludf.DUMMYFUNCTION("""COMPUTED_VALUE"""),0.38785879629629627)</f>
        <v>0.3878587963</v>
      </c>
      <c r="K416" s="54"/>
      <c r="L416" s="7"/>
      <c r="M416" s="312"/>
      <c r="N416" s="172">
        <f>IFERROR(__xludf.DUMMYFUNCTION("""COMPUTED_VALUE"""),3.0)</f>
        <v>3</v>
      </c>
      <c r="O416" s="172" t="str">
        <f t="shared" si="3"/>
        <v/>
      </c>
      <c r="P416" s="313">
        <f>IFERROR(__xludf.DUMMYFUNCTION("""COMPUTED_VALUE"""),0.0)</f>
        <v>0</v>
      </c>
      <c r="Q416" s="76" t="b">
        <f>VLOOKUP($B416,'Run Reconcile'!B$2:O1399,14,FALSE)</f>
        <v>1</v>
      </c>
      <c r="R416" s="314" t="str">
        <f t="array" ref="R416">IF($Q416, INDEX('Run Reconcile'!A$2:A1399,MATCH(B416,'Run Reconcile'!B$2:B1399,0),1),IFERROR(0/0,""))</f>
        <v>RUN-ABRM_2022-10-31_RFR-060</v>
      </c>
      <c r="S416" s="315" t="str">
        <f t="shared" ref="S416:T416" si="836">IF(COUNTIF(W$2:W1399, $A416) &gt; 0,TRUE,IFERROR(0/0,""))</f>
        <v/>
      </c>
      <c r="T416" s="315" t="str">
        <f t="shared" si="836"/>
        <v/>
      </c>
      <c r="U416" s="114" t="str">
        <f t="array" ref="U416">IF(ISBLANK($R416), INDEX('Run Reconcile'!A$2:A1399, MATCH($B416, 'Run Reconcile'!B$2:B1399, 0)+Z416, 1), IFERROR(0/0,""))
</f>
        <v/>
      </c>
      <c r="V416" s="316" t="str">
        <f t="shared" si="5"/>
        <v>RUN-ABRM_2022-10-31_RFR-060</v>
      </c>
      <c r="Y416" s="317" t="str">
        <f t="shared" si="6"/>
        <v/>
      </c>
      <c r="Z416" s="83" t="str">
        <f t="shared" si="7"/>
        <v/>
      </c>
      <c r="AA416" s="83" t="str">
        <f t="shared" si="8"/>
        <v/>
      </c>
      <c r="AB416" s="83" t="str">
        <f t="shared" si="9"/>
        <v/>
      </c>
      <c r="AC416" s="18" t="str">
        <f t="shared" ref="AC416:AD416" si="837">IF(_xlfn.ISFORMULA(S416),IFERROR(0/0,""),TRUE)</f>
        <v/>
      </c>
      <c r="AD416" s="18" t="str">
        <f t="shared" si="837"/>
        <v/>
      </c>
      <c r="AE416" s="43"/>
      <c r="AF416" s="58" t="s">
        <v>68</v>
      </c>
      <c r="AG416" s="55" t="str">
        <f t="shared" si="11"/>
        <v/>
      </c>
    </row>
    <row r="417">
      <c r="A417" s="7" t="str">
        <f>IFERROR(__xludf.DUMMYFUNCTION("""COMPUTED_VALUE"""),"AH7616")</f>
        <v>AH7616</v>
      </c>
      <c r="B417" s="308">
        <f>IFERROR(__xludf.DUMMYFUNCTION("""COMPUTED_VALUE"""),44865.0)</f>
        <v>44865</v>
      </c>
      <c r="C417" s="309">
        <f>IFERROR(__xludf.DUMMYFUNCTION("""COMPUTED_VALUE"""),0.3192013888888889)</f>
        <v>0.3192013889</v>
      </c>
      <c r="D417" s="7" t="str">
        <f>IFERROR(__xludf.DUMMYFUNCTION("""COMPUTED_VALUE"""),"SpABRM188986")</f>
        <v>SpABRM188986</v>
      </c>
      <c r="E417" s="310"/>
      <c r="F417" s="310"/>
      <c r="G417" s="310" t="str">
        <f>IFERROR(__xludf.DUMMYFUNCTION("""COMPUTED_VALUE"""),"Negative")</f>
        <v>Negative</v>
      </c>
      <c r="H417" s="319" t="str">
        <f>IFERROR(__xludf.DUMMYFUNCTION("""COMPUTED_VALUE"""),"Negative")</f>
        <v>Negative</v>
      </c>
      <c r="I417" s="308">
        <f>IFERROR(__xludf.DUMMYFUNCTION("""COMPUTED_VALUE"""),44865.0)</f>
        <v>44865</v>
      </c>
      <c r="J417" s="311">
        <f>IFERROR(__xludf.DUMMYFUNCTION("""COMPUTED_VALUE"""),0.38785879629629627)</f>
        <v>0.3878587963</v>
      </c>
      <c r="K417" s="54"/>
      <c r="L417" s="7"/>
      <c r="M417" s="312"/>
      <c r="N417" s="172">
        <f>IFERROR(__xludf.DUMMYFUNCTION("""COMPUTED_VALUE"""),2.0)</f>
        <v>2</v>
      </c>
      <c r="O417" s="172" t="str">
        <f t="shared" si="3"/>
        <v/>
      </c>
      <c r="P417" s="313">
        <f>IFERROR(__xludf.DUMMYFUNCTION("""COMPUTED_VALUE"""),0.0)</f>
        <v>0</v>
      </c>
      <c r="Q417" s="76" t="b">
        <f>VLOOKUP($B417,'Run Reconcile'!B$2:O1399,14,FALSE)</f>
        <v>1</v>
      </c>
      <c r="R417" s="314" t="str">
        <f t="array" ref="R417">IF($Q417, INDEX('Run Reconcile'!A$2:A1399,MATCH(B417,'Run Reconcile'!B$2:B1399,0),1),IFERROR(0/0,""))</f>
        <v>RUN-ABRM_2022-10-31_RFR-060</v>
      </c>
      <c r="S417" s="315" t="str">
        <f t="shared" ref="S417:T417" si="838">IF(COUNTIF(W$2:W1399, $A417) &gt; 0,TRUE,IFERROR(0/0,""))</f>
        <v/>
      </c>
      <c r="T417" s="315" t="str">
        <f t="shared" si="838"/>
        <v/>
      </c>
      <c r="U417" s="114" t="str">
        <f t="array" ref="U417">IF(ISBLANK($R417), INDEX('Run Reconcile'!A$2:A1399, MATCH($B417, 'Run Reconcile'!B$2:B1399, 0)+Z417, 1), IFERROR(0/0,""))
</f>
        <v/>
      </c>
      <c r="V417" s="316" t="str">
        <f t="shared" si="5"/>
        <v>RUN-ABRM_2022-10-31_RFR-060</v>
      </c>
      <c r="Y417" s="317" t="str">
        <f t="shared" si="6"/>
        <v/>
      </c>
      <c r="Z417" s="83" t="str">
        <f t="shared" si="7"/>
        <v/>
      </c>
      <c r="AA417" s="83" t="str">
        <f t="shared" si="8"/>
        <v/>
      </c>
      <c r="AB417" s="83" t="str">
        <f t="shared" si="9"/>
        <v/>
      </c>
      <c r="AC417" s="18" t="str">
        <f t="shared" ref="AC417:AD417" si="839">IF(_xlfn.ISFORMULA(S417),IFERROR(0/0,""),TRUE)</f>
        <v/>
      </c>
      <c r="AD417" s="18" t="str">
        <f t="shared" si="839"/>
        <v/>
      </c>
      <c r="AE417" s="43"/>
      <c r="AF417" s="58" t="s">
        <v>68</v>
      </c>
      <c r="AG417" s="55" t="str">
        <f t="shared" si="11"/>
        <v/>
      </c>
    </row>
    <row r="418">
      <c r="A418" s="7" t="str">
        <f>IFERROR(__xludf.DUMMYFUNCTION("""COMPUTED_VALUE"""),"AG1223")</f>
        <v>AG1223</v>
      </c>
      <c r="B418" s="308">
        <f>IFERROR(__xludf.DUMMYFUNCTION("""COMPUTED_VALUE"""),44865.0)</f>
        <v>44865</v>
      </c>
      <c r="C418" s="309">
        <f>IFERROR(__xludf.DUMMYFUNCTION("""COMPUTED_VALUE"""),0.32002314814814814)</f>
        <v>0.3200231481</v>
      </c>
      <c r="D418" s="7" t="str">
        <f>IFERROR(__xludf.DUMMYFUNCTION("""COMPUTED_VALUE"""),"SpABRM188986")</f>
        <v>SpABRM188986</v>
      </c>
      <c r="E418" s="310"/>
      <c r="F418" s="310"/>
      <c r="G418" s="310" t="str">
        <f>IFERROR(__xludf.DUMMYFUNCTION("""COMPUTED_VALUE"""),"Negative")</f>
        <v>Negative</v>
      </c>
      <c r="H418" s="319" t="str">
        <f>IFERROR(__xludf.DUMMYFUNCTION("""COMPUTED_VALUE"""),"Negative")</f>
        <v>Negative</v>
      </c>
      <c r="I418" s="308">
        <f>IFERROR(__xludf.DUMMYFUNCTION("""COMPUTED_VALUE"""),44865.0)</f>
        <v>44865</v>
      </c>
      <c r="J418" s="311">
        <f>IFERROR(__xludf.DUMMYFUNCTION("""COMPUTED_VALUE"""),0.38787037037037037)</f>
        <v>0.3878703704</v>
      </c>
      <c r="K418" s="54"/>
      <c r="L418" s="7"/>
      <c r="M418" s="312"/>
      <c r="N418" s="172">
        <f>IFERROR(__xludf.DUMMYFUNCTION("""COMPUTED_VALUE"""),1.0)</f>
        <v>1</v>
      </c>
      <c r="O418" s="172" t="str">
        <f t="shared" si="3"/>
        <v/>
      </c>
      <c r="P418" s="313">
        <f>IFERROR(__xludf.DUMMYFUNCTION("""COMPUTED_VALUE"""),0.0)</f>
        <v>0</v>
      </c>
      <c r="Q418" s="76" t="b">
        <f>VLOOKUP($B418,'Run Reconcile'!B$2:O1399,14,FALSE)</f>
        <v>1</v>
      </c>
      <c r="R418" s="314" t="str">
        <f t="array" ref="R418">IF($Q418, INDEX('Run Reconcile'!A$2:A1399,MATCH(B418,'Run Reconcile'!B$2:B1399,0),1),IFERROR(0/0,""))</f>
        <v>RUN-ABRM_2022-10-31_RFR-060</v>
      </c>
      <c r="S418" s="315" t="str">
        <f t="shared" ref="S418:T418" si="840">IF(COUNTIF(W$2:W1399, $A418) &gt; 0,TRUE,IFERROR(0/0,""))</f>
        <v/>
      </c>
      <c r="T418" s="315" t="str">
        <f t="shared" si="840"/>
        <v/>
      </c>
      <c r="U418" s="114" t="str">
        <f t="array" ref="U418">IF(ISBLANK($R418), INDEX('Run Reconcile'!A$2:A1399, MATCH($B418, 'Run Reconcile'!B$2:B1399, 0)+Z418, 1), IFERROR(0/0,""))
</f>
        <v/>
      </c>
      <c r="V418" s="316" t="str">
        <f t="shared" si="5"/>
        <v>RUN-ABRM_2022-10-31_RFR-060</v>
      </c>
      <c r="Y418" s="317" t="str">
        <f t="shared" si="6"/>
        <v/>
      </c>
      <c r="Z418" s="83" t="str">
        <f t="shared" si="7"/>
        <v/>
      </c>
      <c r="AA418" s="83" t="str">
        <f t="shared" si="8"/>
        <v/>
      </c>
      <c r="AB418" s="83" t="str">
        <f t="shared" si="9"/>
        <v/>
      </c>
      <c r="AC418" s="18" t="str">
        <f t="shared" ref="AC418:AD418" si="841">IF(_xlfn.ISFORMULA(S418),IFERROR(0/0,""),TRUE)</f>
        <v/>
      </c>
      <c r="AD418" s="18" t="str">
        <f t="shared" si="841"/>
        <v/>
      </c>
      <c r="AE418" s="43"/>
      <c r="AF418" s="58" t="s">
        <v>68</v>
      </c>
      <c r="AG418" s="55" t="str">
        <f t="shared" si="11"/>
        <v/>
      </c>
    </row>
    <row r="419">
      <c r="A419" s="7" t="str">
        <f>IFERROR(__xludf.DUMMYFUNCTION("""COMPUTED_VALUE"""),"AG168")</f>
        <v>AG168</v>
      </c>
      <c r="B419" s="308">
        <f>IFERROR(__xludf.DUMMYFUNCTION("""COMPUTED_VALUE"""),44865.0)</f>
        <v>44865</v>
      </c>
      <c r="C419" s="309">
        <f>IFERROR(__xludf.DUMMYFUNCTION("""COMPUTED_VALUE"""),0.3280439814814815)</f>
        <v>0.3280439815</v>
      </c>
      <c r="D419" s="7" t="str">
        <f>IFERROR(__xludf.DUMMYFUNCTION("""COMPUTED_VALUE"""),"SpABRM655136")</f>
        <v>SpABRM655136</v>
      </c>
      <c r="E419" s="310"/>
      <c r="F419" s="310"/>
      <c r="G419" s="310" t="str">
        <f>IFERROR(__xludf.DUMMYFUNCTION("""COMPUTED_VALUE"""),"Negative")</f>
        <v>Negative</v>
      </c>
      <c r="H419" s="319" t="str">
        <f>IFERROR(__xludf.DUMMYFUNCTION("""COMPUTED_VALUE"""),"Negative")</f>
        <v>Negative</v>
      </c>
      <c r="I419" s="308">
        <f>IFERROR(__xludf.DUMMYFUNCTION("""COMPUTED_VALUE"""),44865.0)</f>
        <v>44865</v>
      </c>
      <c r="J419" s="311">
        <f>IFERROR(__xludf.DUMMYFUNCTION("""COMPUTED_VALUE"""),0.38787037037037037)</f>
        <v>0.3878703704</v>
      </c>
      <c r="K419" s="54"/>
      <c r="L419" s="7"/>
      <c r="M419" s="312"/>
      <c r="N419" s="172">
        <f>IFERROR(__xludf.DUMMYFUNCTION("""COMPUTED_VALUE"""),2.0)</f>
        <v>2</v>
      </c>
      <c r="O419" s="172" t="str">
        <f t="shared" si="3"/>
        <v/>
      </c>
      <c r="P419" s="313">
        <f>IFERROR(__xludf.DUMMYFUNCTION("""COMPUTED_VALUE"""),0.0)</f>
        <v>0</v>
      </c>
      <c r="Q419" s="76" t="b">
        <f>VLOOKUP($B419,'Run Reconcile'!B$2:O1399,14,FALSE)</f>
        <v>1</v>
      </c>
      <c r="R419" s="314" t="str">
        <f t="array" ref="R419">IF($Q419, INDEX('Run Reconcile'!A$2:A1399,MATCH(B419,'Run Reconcile'!B$2:B1399,0),1),IFERROR(0/0,""))</f>
        <v>RUN-ABRM_2022-10-31_RFR-060</v>
      </c>
      <c r="S419" s="315" t="str">
        <f t="shared" ref="S419:T419" si="842">IF(COUNTIF(W$2:W1399, $A419) &gt; 0,TRUE,IFERROR(0/0,""))</f>
        <v/>
      </c>
      <c r="T419" s="315" t="str">
        <f t="shared" si="842"/>
        <v/>
      </c>
      <c r="U419" s="114" t="str">
        <f t="array" ref="U419">IF(ISBLANK($R419), INDEX('Run Reconcile'!A$2:A1399, MATCH($B419, 'Run Reconcile'!B$2:B1399, 0)+Z419, 1), IFERROR(0/0,""))
</f>
        <v/>
      </c>
      <c r="V419" s="316" t="str">
        <f t="shared" si="5"/>
        <v>RUN-ABRM_2022-10-31_RFR-060</v>
      </c>
      <c r="Y419" s="317" t="str">
        <f t="shared" si="6"/>
        <v/>
      </c>
      <c r="Z419" s="83" t="str">
        <f t="shared" si="7"/>
        <v/>
      </c>
      <c r="AA419" s="83" t="str">
        <f t="shared" si="8"/>
        <v/>
      </c>
      <c r="AB419" s="83" t="str">
        <f t="shared" si="9"/>
        <v/>
      </c>
      <c r="AC419" s="18" t="str">
        <f t="shared" ref="AC419:AD419" si="843">IF(_xlfn.ISFORMULA(S419),IFERROR(0/0,""),TRUE)</f>
        <v/>
      </c>
      <c r="AD419" s="18" t="str">
        <f t="shared" si="843"/>
        <v/>
      </c>
      <c r="AE419" s="43"/>
      <c r="AF419" s="58" t="s">
        <v>68</v>
      </c>
      <c r="AG419" s="55" t="str">
        <f t="shared" si="11"/>
        <v/>
      </c>
    </row>
    <row r="420">
      <c r="A420" s="7" t="str">
        <f>IFERROR(__xludf.DUMMYFUNCTION("""COMPUTED_VALUE"""),"AH372")</f>
        <v>AH372</v>
      </c>
      <c r="B420" s="308">
        <f>IFERROR(__xludf.DUMMYFUNCTION("""COMPUTED_VALUE"""),44865.0)</f>
        <v>44865</v>
      </c>
      <c r="C420" s="309">
        <f>IFERROR(__xludf.DUMMYFUNCTION("""COMPUTED_VALUE"""),0.32913194444444444)</f>
        <v>0.3291319444</v>
      </c>
      <c r="D420" s="7" t="str">
        <f>IFERROR(__xludf.DUMMYFUNCTION("""COMPUTED_VALUE"""),"SpABRM188986")</f>
        <v>SpABRM188986</v>
      </c>
      <c r="E420" s="310"/>
      <c r="F420" s="310"/>
      <c r="G420" s="310" t="str">
        <f>IFERROR(__xludf.DUMMYFUNCTION("""COMPUTED_VALUE"""),"Negative")</f>
        <v>Negative</v>
      </c>
      <c r="H420" s="319" t="str">
        <f>IFERROR(__xludf.DUMMYFUNCTION("""COMPUTED_VALUE"""),"Negative")</f>
        <v>Negative</v>
      </c>
      <c r="I420" s="308">
        <f>IFERROR(__xludf.DUMMYFUNCTION("""COMPUTED_VALUE"""),44865.0)</f>
        <v>44865</v>
      </c>
      <c r="J420" s="311">
        <f>IFERROR(__xludf.DUMMYFUNCTION("""COMPUTED_VALUE"""),0.38787037037037037)</f>
        <v>0.3878703704</v>
      </c>
      <c r="K420" s="54"/>
      <c r="L420" s="7"/>
      <c r="M420" s="312"/>
      <c r="N420" s="172">
        <f>IFERROR(__xludf.DUMMYFUNCTION("""COMPUTED_VALUE"""),3.0)</f>
        <v>3</v>
      </c>
      <c r="O420" s="172" t="str">
        <f t="shared" si="3"/>
        <v/>
      </c>
      <c r="P420" s="313">
        <f>IFERROR(__xludf.DUMMYFUNCTION("""COMPUTED_VALUE"""),0.0)</f>
        <v>0</v>
      </c>
      <c r="Q420" s="76" t="b">
        <f>VLOOKUP($B420,'Run Reconcile'!B$2:O1399,14,FALSE)</f>
        <v>1</v>
      </c>
      <c r="R420" s="314" t="str">
        <f t="array" ref="R420">IF($Q420, INDEX('Run Reconcile'!A$2:A1399,MATCH(B420,'Run Reconcile'!B$2:B1399,0),1),IFERROR(0/0,""))</f>
        <v>RUN-ABRM_2022-10-31_RFR-060</v>
      </c>
      <c r="S420" s="315" t="str">
        <f t="shared" ref="S420:T420" si="844">IF(COUNTIF(W$2:W1399, $A420) &gt; 0,TRUE,IFERROR(0/0,""))</f>
        <v/>
      </c>
      <c r="T420" s="315" t="str">
        <f t="shared" si="844"/>
        <v/>
      </c>
      <c r="U420" s="114" t="str">
        <f t="array" ref="U420">IF(ISBLANK($R420), INDEX('Run Reconcile'!A$2:A1399, MATCH($B420, 'Run Reconcile'!B$2:B1399, 0)+Z420, 1), IFERROR(0/0,""))
</f>
        <v/>
      </c>
      <c r="V420" s="316" t="str">
        <f t="shared" si="5"/>
        <v>RUN-ABRM_2022-10-31_RFR-060</v>
      </c>
      <c r="Y420" s="317" t="str">
        <f t="shared" si="6"/>
        <v/>
      </c>
      <c r="Z420" s="83" t="str">
        <f t="shared" si="7"/>
        <v/>
      </c>
      <c r="AA420" s="83" t="str">
        <f t="shared" si="8"/>
        <v/>
      </c>
      <c r="AB420" s="83" t="str">
        <f t="shared" si="9"/>
        <v/>
      </c>
      <c r="AC420" s="18" t="str">
        <f t="shared" ref="AC420:AD420" si="845">IF(_xlfn.ISFORMULA(S420),IFERROR(0/0,""),TRUE)</f>
        <v/>
      </c>
      <c r="AD420" s="18" t="str">
        <f t="shared" si="845"/>
        <v/>
      </c>
      <c r="AE420" s="43"/>
      <c r="AF420" s="58" t="s">
        <v>68</v>
      </c>
      <c r="AG420" s="55" t="str">
        <f t="shared" si="11"/>
        <v/>
      </c>
    </row>
    <row r="421">
      <c r="A421" s="7" t="str">
        <f>IFERROR(__xludf.DUMMYFUNCTION("""COMPUTED_VALUE"""),"AH7835")</f>
        <v>AH7835</v>
      </c>
      <c r="B421" s="308">
        <f>IFERROR(__xludf.DUMMYFUNCTION("""COMPUTED_VALUE"""),44865.0)</f>
        <v>44865</v>
      </c>
      <c r="C421" s="309">
        <f>IFERROR(__xludf.DUMMYFUNCTION("""COMPUTED_VALUE"""),0.3337847222222222)</f>
        <v>0.3337847222</v>
      </c>
      <c r="D421" s="7" t="str">
        <f>IFERROR(__xludf.DUMMYFUNCTION("""COMPUTED_VALUE"""),"SpABRM655136")</f>
        <v>SpABRM655136</v>
      </c>
      <c r="E421" s="310"/>
      <c r="F421" s="310"/>
      <c r="G421" s="310" t="str">
        <f>IFERROR(__xludf.DUMMYFUNCTION("""COMPUTED_VALUE"""),"Negative")</f>
        <v>Negative</v>
      </c>
      <c r="H421" s="319" t="str">
        <f>IFERROR(__xludf.DUMMYFUNCTION("""COMPUTED_VALUE"""),"Negative")</f>
        <v>Negative</v>
      </c>
      <c r="I421" s="308">
        <f>IFERROR(__xludf.DUMMYFUNCTION("""COMPUTED_VALUE"""),44865.0)</f>
        <v>44865</v>
      </c>
      <c r="J421" s="311">
        <f>IFERROR(__xludf.DUMMYFUNCTION("""COMPUTED_VALUE"""),0.38788194444444446)</f>
        <v>0.3878819444</v>
      </c>
      <c r="K421" s="54"/>
      <c r="L421" s="7"/>
      <c r="M421" s="312"/>
      <c r="N421" s="172">
        <f>IFERROR(__xludf.DUMMYFUNCTION("""COMPUTED_VALUE"""),3.0)</f>
        <v>3</v>
      </c>
      <c r="O421" s="172" t="str">
        <f t="shared" si="3"/>
        <v/>
      </c>
      <c r="P421" s="313">
        <f>IFERROR(__xludf.DUMMYFUNCTION("""COMPUTED_VALUE"""),0.0)</f>
        <v>0</v>
      </c>
      <c r="Q421" s="76" t="b">
        <f>VLOOKUP($B421,'Run Reconcile'!B$2:O1399,14,FALSE)</f>
        <v>1</v>
      </c>
      <c r="R421" s="314" t="str">
        <f t="array" ref="R421">IF($Q421, INDEX('Run Reconcile'!A$2:A1399,MATCH(B421,'Run Reconcile'!B$2:B1399,0),1),IFERROR(0/0,""))</f>
        <v>RUN-ABRM_2022-10-31_RFR-060</v>
      </c>
      <c r="S421" s="315" t="str">
        <f t="shared" ref="S421:T421" si="846">IF(COUNTIF(W$2:W1399, $A421) &gt; 0,TRUE,IFERROR(0/0,""))</f>
        <v/>
      </c>
      <c r="T421" s="315" t="str">
        <f t="shared" si="846"/>
        <v/>
      </c>
      <c r="U421" s="114" t="str">
        <f t="array" ref="U421">IF(ISBLANK($R421), INDEX('Run Reconcile'!A$2:A1399, MATCH($B421, 'Run Reconcile'!B$2:B1399, 0)+Z421, 1), IFERROR(0/0,""))
</f>
        <v/>
      </c>
      <c r="V421" s="316" t="str">
        <f t="shared" si="5"/>
        <v>RUN-ABRM_2022-10-31_RFR-060</v>
      </c>
      <c r="Y421" s="317" t="str">
        <f t="shared" si="6"/>
        <v/>
      </c>
      <c r="Z421" s="83" t="str">
        <f t="shared" si="7"/>
        <v/>
      </c>
      <c r="AA421" s="83" t="str">
        <f t="shared" si="8"/>
        <v/>
      </c>
      <c r="AB421" s="83" t="str">
        <f t="shared" si="9"/>
        <v/>
      </c>
      <c r="AC421" s="18" t="str">
        <f t="shared" ref="AC421:AD421" si="847">IF(_xlfn.ISFORMULA(S421),IFERROR(0/0,""),TRUE)</f>
        <v/>
      </c>
      <c r="AD421" s="18" t="str">
        <f t="shared" si="847"/>
        <v/>
      </c>
      <c r="AE421" s="43"/>
      <c r="AF421" s="58" t="s">
        <v>68</v>
      </c>
      <c r="AG421" s="55" t="str">
        <f t="shared" si="11"/>
        <v/>
      </c>
    </row>
    <row r="422">
      <c r="A422" s="7" t="str">
        <f>IFERROR(__xludf.DUMMYFUNCTION("""COMPUTED_VALUE"""),"AG1907")</f>
        <v>AG1907</v>
      </c>
      <c r="B422" s="308">
        <f>IFERROR(__xludf.DUMMYFUNCTION("""COMPUTED_VALUE"""),44865.0)</f>
        <v>44865</v>
      </c>
      <c r="C422" s="309">
        <f>IFERROR(__xludf.DUMMYFUNCTION("""COMPUTED_VALUE"""),0.3370601851851852)</f>
        <v>0.3370601852</v>
      </c>
      <c r="D422" s="7" t="str">
        <f>IFERROR(__xludf.DUMMYFUNCTION("""COMPUTED_VALUE"""),"SpABRM655136")</f>
        <v>SpABRM655136</v>
      </c>
      <c r="E422" s="310"/>
      <c r="F422" s="310"/>
      <c r="G422" s="310" t="str">
        <f>IFERROR(__xludf.DUMMYFUNCTION("""COMPUTED_VALUE"""),"Negative")</f>
        <v>Negative</v>
      </c>
      <c r="H422" s="319" t="str">
        <f>IFERROR(__xludf.DUMMYFUNCTION("""COMPUTED_VALUE"""),"Negative")</f>
        <v>Negative</v>
      </c>
      <c r="I422" s="308">
        <f>IFERROR(__xludf.DUMMYFUNCTION("""COMPUTED_VALUE"""),44865.0)</f>
        <v>44865</v>
      </c>
      <c r="J422" s="311">
        <f>IFERROR(__xludf.DUMMYFUNCTION("""COMPUTED_VALUE"""),0.38788194444444446)</f>
        <v>0.3878819444</v>
      </c>
      <c r="K422" s="54"/>
      <c r="L422" s="7"/>
      <c r="M422" s="312"/>
      <c r="N422" s="172">
        <f>IFERROR(__xludf.DUMMYFUNCTION("""COMPUTED_VALUE"""),2.0)</f>
        <v>2</v>
      </c>
      <c r="O422" s="172" t="str">
        <f t="shared" si="3"/>
        <v/>
      </c>
      <c r="P422" s="313">
        <f>IFERROR(__xludf.DUMMYFUNCTION("""COMPUTED_VALUE"""),0.0)</f>
        <v>0</v>
      </c>
      <c r="Q422" s="76" t="b">
        <f>VLOOKUP($B422,'Run Reconcile'!B$2:O1399,14,FALSE)</f>
        <v>1</v>
      </c>
      <c r="R422" s="314" t="str">
        <f t="array" ref="R422">IF($Q422, INDEX('Run Reconcile'!A$2:A1399,MATCH(B422,'Run Reconcile'!B$2:B1399,0),1),IFERROR(0/0,""))</f>
        <v>RUN-ABRM_2022-10-31_RFR-060</v>
      </c>
      <c r="S422" s="315" t="str">
        <f t="shared" ref="S422:T422" si="848">IF(COUNTIF(W$2:W1399, $A422) &gt; 0,TRUE,IFERROR(0/0,""))</f>
        <v/>
      </c>
      <c r="T422" s="315" t="str">
        <f t="shared" si="848"/>
        <v/>
      </c>
      <c r="U422" s="114" t="str">
        <f t="array" ref="U422">IF(ISBLANK($R422), INDEX('Run Reconcile'!A$2:A1399, MATCH($B422, 'Run Reconcile'!B$2:B1399, 0)+Z422, 1), IFERROR(0/0,""))
</f>
        <v/>
      </c>
      <c r="V422" s="316" t="str">
        <f t="shared" si="5"/>
        <v>RUN-ABRM_2022-10-31_RFR-060</v>
      </c>
      <c r="Y422" s="317" t="str">
        <f t="shared" si="6"/>
        <v/>
      </c>
      <c r="Z422" s="83" t="str">
        <f t="shared" si="7"/>
        <v/>
      </c>
      <c r="AA422" s="83" t="str">
        <f t="shared" si="8"/>
        <v/>
      </c>
      <c r="AB422" s="83" t="str">
        <f t="shared" si="9"/>
        <v/>
      </c>
      <c r="AC422" s="18" t="str">
        <f t="shared" ref="AC422:AD422" si="849">IF(_xlfn.ISFORMULA(S422),IFERROR(0/0,""),TRUE)</f>
        <v/>
      </c>
      <c r="AD422" s="18" t="str">
        <f t="shared" si="849"/>
        <v/>
      </c>
      <c r="AE422" s="43"/>
      <c r="AF422" s="58" t="s">
        <v>68</v>
      </c>
      <c r="AG422" s="55" t="str">
        <f t="shared" si="11"/>
        <v/>
      </c>
    </row>
    <row r="423">
      <c r="A423" s="7" t="str">
        <f>IFERROR(__xludf.DUMMYFUNCTION("""COMPUTED_VALUE"""),"AK5840")</f>
        <v>AK5840</v>
      </c>
      <c r="B423" s="308">
        <f>IFERROR(__xludf.DUMMYFUNCTION("""COMPUTED_VALUE"""),44866.0)</f>
        <v>44866</v>
      </c>
      <c r="C423" s="309">
        <f>IFERROR(__xludf.DUMMYFUNCTION("""COMPUTED_VALUE"""),0.1920601851851852)</f>
        <v>0.1920601852</v>
      </c>
      <c r="D423" s="7" t="str">
        <f>IFERROR(__xludf.DUMMYFUNCTION("""COMPUTED_VALUE"""),"SpABRM516158")</f>
        <v>SpABRM516158</v>
      </c>
      <c r="E423" s="310"/>
      <c r="F423" s="310"/>
      <c r="G423" s="310" t="str">
        <f>IFERROR(__xludf.DUMMYFUNCTION("""COMPUTED_VALUE"""),"Negative")</f>
        <v>Negative</v>
      </c>
      <c r="H423" s="319" t="str">
        <f>IFERROR(__xludf.DUMMYFUNCTION("""COMPUTED_VALUE"""),"Negative")</f>
        <v>Negative</v>
      </c>
      <c r="I423" s="308">
        <f>IFERROR(__xludf.DUMMYFUNCTION("""COMPUTED_VALUE"""),44866.0)</f>
        <v>44866</v>
      </c>
      <c r="J423" s="311">
        <f>IFERROR(__xludf.DUMMYFUNCTION("""COMPUTED_VALUE"""),0.37601851851851853)</f>
        <v>0.3760185185</v>
      </c>
      <c r="K423" s="54"/>
      <c r="L423" s="7"/>
      <c r="M423" s="312"/>
      <c r="N423" s="172">
        <f>IFERROR(__xludf.DUMMYFUNCTION("""COMPUTED_VALUE"""),1.0)</f>
        <v>1</v>
      </c>
      <c r="O423" s="172" t="b">
        <f t="shared" si="3"/>
        <v>1</v>
      </c>
      <c r="P423" s="313">
        <f>IFERROR(__xludf.DUMMYFUNCTION("""COMPUTED_VALUE"""),0.0)</f>
        <v>0</v>
      </c>
      <c r="Q423" s="76" t="b">
        <f>VLOOKUP($B423,'Run Reconcile'!B$2:O1399,14,FALSE)</f>
        <v>1</v>
      </c>
      <c r="R423" s="314" t="str">
        <f t="array" ref="R423">IF($Q423, INDEX('Run Reconcile'!A$2:A1399,MATCH(B423,'Run Reconcile'!B$2:B1399,0),1),IFERROR(0/0,""))</f>
        <v>RUN-ABRM_2022-11-01_RFR-061</v>
      </c>
      <c r="S423" s="315" t="str">
        <f t="shared" ref="S423:T423" si="850">IF(COUNTIF(W$2:W1399, $A423) &gt; 0,TRUE,IFERROR(0/0,""))</f>
        <v/>
      </c>
      <c r="T423" s="315" t="str">
        <f t="shared" si="850"/>
        <v/>
      </c>
      <c r="U423" s="114" t="str">
        <f t="array" ref="U423">IF(ISBLANK($R423), INDEX('Run Reconcile'!A$2:A1399, MATCH($B423, 'Run Reconcile'!B$2:B1399, 0)+Z423, 1), IFERROR(0/0,""))
</f>
        <v/>
      </c>
      <c r="V423" s="316" t="str">
        <f t="shared" si="5"/>
        <v>RUN-ABRM_2022-11-01_RFR-061</v>
      </c>
      <c r="Y423" s="317" t="str">
        <f t="shared" si="6"/>
        <v/>
      </c>
      <c r="Z423" s="83" t="str">
        <f t="shared" si="7"/>
        <v/>
      </c>
      <c r="AA423" s="83" t="str">
        <f t="shared" si="8"/>
        <v/>
      </c>
      <c r="AB423" s="83" t="str">
        <f t="shared" si="9"/>
        <v/>
      </c>
      <c r="AC423" s="18" t="str">
        <f t="shared" ref="AC423:AD423" si="851">IF(_xlfn.ISFORMULA(S423),IFERROR(0/0,""),TRUE)</f>
        <v/>
      </c>
      <c r="AD423" s="18" t="str">
        <f t="shared" si="851"/>
        <v/>
      </c>
      <c r="AE423" s="43"/>
      <c r="AF423" s="58" t="s">
        <v>69</v>
      </c>
      <c r="AG423" s="55" t="str">
        <f t="shared" si="11"/>
        <v/>
      </c>
    </row>
    <row r="424">
      <c r="A424" s="7" t="str">
        <f>IFERROR(__xludf.DUMMYFUNCTION("""COMPUTED_VALUE"""),"AJ9834")</f>
        <v>AJ9834</v>
      </c>
      <c r="B424" s="308">
        <f>IFERROR(__xludf.DUMMYFUNCTION("""COMPUTED_VALUE"""),44866.0)</f>
        <v>44866</v>
      </c>
      <c r="C424" s="309">
        <f>IFERROR(__xludf.DUMMYFUNCTION("""COMPUTED_VALUE"""),0.20949074074074073)</f>
        <v>0.2094907407</v>
      </c>
      <c r="D424" s="7" t="str">
        <f>IFERROR(__xludf.DUMMYFUNCTION("""COMPUTED_VALUE"""),"SpABRM188986")</f>
        <v>SpABRM188986</v>
      </c>
      <c r="E424" s="310"/>
      <c r="F424" s="310"/>
      <c r="G424" s="310" t="str">
        <f>IFERROR(__xludf.DUMMYFUNCTION("""COMPUTED_VALUE"""),"Negative")</f>
        <v>Negative</v>
      </c>
      <c r="H424" s="319" t="str">
        <f>IFERROR(__xludf.DUMMYFUNCTION("""COMPUTED_VALUE"""),"Negative")</f>
        <v>Negative</v>
      </c>
      <c r="I424" s="308">
        <f>IFERROR(__xludf.DUMMYFUNCTION("""COMPUTED_VALUE"""),44866.0)</f>
        <v>44866</v>
      </c>
      <c r="J424" s="311">
        <f>IFERROR(__xludf.DUMMYFUNCTION("""COMPUTED_VALUE"""),0.37601851851851853)</f>
        <v>0.3760185185</v>
      </c>
      <c r="K424" s="54"/>
      <c r="L424" s="7"/>
      <c r="M424" s="312"/>
      <c r="N424" s="172">
        <f>IFERROR(__xludf.DUMMYFUNCTION("""COMPUTED_VALUE"""),2.0)</f>
        <v>2</v>
      </c>
      <c r="O424" s="172" t="str">
        <f t="shared" si="3"/>
        <v/>
      </c>
      <c r="P424" s="313">
        <f>IFERROR(__xludf.DUMMYFUNCTION("""COMPUTED_VALUE"""),0.0)</f>
        <v>0</v>
      </c>
      <c r="Q424" s="76" t="b">
        <f>VLOOKUP($B424,'Run Reconcile'!B$2:O1399,14,FALSE)</f>
        <v>1</v>
      </c>
      <c r="R424" s="314" t="str">
        <f t="array" ref="R424">IF($Q424, INDEX('Run Reconcile'!A$2:A1399,MATCH(B424,'Run Reconcile'!B$2:B1399,0),1),IFERROR(0/0,""))</f>
        <v>RUN-ABRM_2022-11-01_RFR-061</v>
      </c>
      <c r="S424" s="315" t="str">
        <f t="shared" ref="S424:T424" si="852">IF(COUNTIF(W$2:W1399, $A424) &gt; 0,TRUE,IFERROR(0/0,""))</f>
        <v/>
      </c>
      <c r="T424" s="315" t="str">
        <f t="shared" si="852"/>
        <v/>
      </c>
      <c r="U424" s="114" t="str">
        <f t="array" ref="U424">IF(ISBLANK($R424), INDEX('Run Reconcile'!A$2:A1399, MATCH($B424, 'Run Reconcile'!B$2:B1399, 0)+Z424, 1), IFERROR(0/0,""))
</f>
        <v/>
      </c>
      <c r="V424" s="316" t="str">
        <f t="shared" si="5"/>
        <v>RUN-ABRM_2022-11-01_RFR-061</v>
      </c>
      <c r="Y424" s="317" t="str">
        <f t="shared" si="6"/>
        <v/>
      </c>
      <c r="Z424" s="83" t="str">
        <f t="shared" si="7"/>
        <v/>
      </c>
      <c r="AA424" s="83" t="str">
        <f t="shared" si="8"/>
        <v/>
      </c>
      <c r="AB424" s="83" t="str">
        <f t="shared" si="9"/>
        <v/>
      </c>
      <c r="AC424" s="18" t="str">
        <f t="shared" ref="AC424:AD424" si="853">IF(_xlfn.ISFORMULA(S424),IFERROR(0/0,""),TRUE)</f>
        <v/>
      </c>
      <c r="AD424" s="18" t="str">
        <f t="shared" si="853"/>
        <v/>
      </c>
      <c r="AE424" s="43"/>
      <c r="AF424" s="58" t="s">
        <v>69</v>
      </c>
      <c r="AG424" s="55" t="str">
        <f t="shared" si="11"/>
        <v/>
      </c>
    </row>
    <row r="425">
      <c r="A425" s="7" t="str">
        <f>IFERROR(__xludf.DUMMYFUNCTION("""COMPUTED_VALUE"""),"AH8912")</f>
        <v>AH8912</v>
      </c>
      <c r="B425" s="308">
        <f>IFERROR(__xludf.DUMMYFUNCTION("""COMPUTED_VALUE"""),44866.0)</f>
        <v>44866</v>
      </c>
      <c r="C425" s="309">
        <f>IFERROR(__xludf.DUMMYFUNCTION("""COMPUTED_VALUE"""),0.294375)</f>
        <v>0.294375</v>
      </c>
      <c r="D425" s="7" t="str">
        <f>IFERROR(__xludf.DUMMYFUNCTION("""COMPUTED_VALUE"""),"SpABRM460827")</f>
        <v>SpABRM460827</v>
      </c>
      <c r="E425" s="310"/>
      <c r="F425" s="310"/>
      <c r="G425" s="310" t="str">
        <f>IFERROR(__xludf.DUMMYFUNCTION("""COMPUTED_VALUE"""),"Negative")</f>
        <v>Negative</v>
      </c>
      <c r="H425" s="319" t="str">
        <f>IFERROR(__xludf.DUMMYFUNCTION("""COMPUTED_VALUE"""),"Negative")</f>
        <v>Negative</v>
      </c>
      <c r="I425" s="308">
        <f>IFERROR(__xludf.DUMMYFUNCTION("""COMPUTED_VALUE"""),44866.0)</f>
        <v>44866</v>
      </c>
      <c r="J425" s="311">
        <f>IFERROR(__xludf.DUMMYFUNCTION("""COMPUTED_VALUE"""),0.37603009259259257)</f>
        <v>0.3760300926</v>
      </c>
      <c r="K425" s="54"/>
      <c r="L425" s="7"/>
      <c r="M425" s="312"/>
      <c r="N425" s="172">
        <f>IFERROR(__xludf.DUMMYFUNCTION("""COMPUTED_VALUE"""),1.0)</f>
        <v>1</v>
      </c>
      <c r="O425" s="172" t="str">
        <f t="shared" si="3"/>
        <v/>
      </c>
      <c r="P425" s="313">
        <f>IFERROR(__xludf.DUMMYFUNCTION("""COMPUTED_VALUE"""),0.0)</f>
        <v>0</v>
      </c>
      <c r="Q425" s="76" t="b">
        <f>VLOOKUP($B425,'Run Reconcile'!B$2:O1399,14,FALSE)</f>
        <v>1</v>
      </c>
      <c r="R425" s="314" t="str">
        <f t="array" ref="R425">IF($Q425, INDEX('Run Reconcile'!A$2:A1399,MATCH(B425,'Run Reconcile'!B$2:B1399,0),1),IFERROR(0/0,""))</f>
        <v>RUN-ABRM_2022-11-01_RFR-061</v>
      </c>
      <c r="S425" s="315" t="str">
        <f t="shared" ref="S425:T425" si="854">IF(COUNTIF(W$2:W1399, $A425) &gt; 0,TRUE,IFERROR(0/0,""))</f>
        <v/>
      </c>
      <c r="T425" s="315" t="str">
        <f t="shared" si="854"/>
        <v/>
      </c>
      <c r="U425" s="114" t="str">
        <f t="array" ref="U425">IF(ISBLANK($R425), INDEX('Run Reconcile'!A$2:A1399, MATCH($B425, 'Run Reconcile'!B$2:B1399, 0)+Z425, 1), IFERROR(0/0,""))
</f>
        <v/>
      </c>
      <c r="V425" s="316" t="str">
        <f t="shared" si="5"/>
        <v>RUN-ABRM_2022-11-01_RFR-061</v>
      </c>
      <c r="Y425" s="317" t="str">
        <f t="shared" si="6"/>
        <v/>
      </c>
      <c r="Z425" s="83" t="str">
        <f t="shared" si="7"/>
        <v/>
      </c>
      <c r="AA425" s="83" t="str">
        <f t="shared" si="8"/>
        <v/>
      </c>
      <c r="AB425" s="83" t="str">
        <f t="shared" si="9"/>
        <v/>
      </c>
      <c r="AC425" s="18" t="str">
        <f t="shared" ref="AC425:AD425" si="855">IF(_xlfn.ISFORMULA(S425),IFERROR(0/0,""),TRUE)</f>
        <v/>
      </c>
      <c r="AD425" s="18" t="str">
        <f t="shared" si="855"/>
        <v/>
      </c>
      <c r="AE425" s="43"/>
      <c r="AF425" s="58" t="s">
        <v>69</v>
      </c>
      <c r="AG425" s="55" t="str">
        <f t="shared" si="11"/>
        <v/>
      </c>
    </row>
    <row r="426">
      <c r="A426" s="7" t="str">
        <f>IFERROR(__xludf.DUMMYFUNCTION("""COMPUTED_VALUE"""),"AH7342")</f>
        <v>AH7342</v>
      </c>
      <c r="B426" s="308">
        <f>IFERROR(__xludf.DUMMYFUNCTION("""COMPUTED_VALUE"""),44866.0)</f>
        <v>44866</v>
      </c>
      <c r="C426" s="309">
        <f>IFERROR(__xludf.DUMMYFUNCTION("""COMPUTED_VALUE"""),0.29707175925925927)</f>
        <v>0.2970717593</v>
      </c>
      <c r="D426" s="7" t="str">
        <f>IFERROR(__xludf.DUMMYFUNCTION("""COMPUTED_VALUE"""),"SpABRM128250")</f>
        <v>SpABRM128250</v>
      </c>
      <c r="E426" s="310"/>
      <c r="F426" s="310"/>
      <c r="G426" s="310" t="str">
        <f>IFERROR(__xludf.DUMMYFUNCTION("""COMPUTED_VALUE"""),"Negative")</f>
        <v>Negative</v>
      </c>
      <c r="H426" s="319" t="str">
        <f>IFERROR(__xludf.DUMMYFUNCTION("""COMPUTED_VALUE"""),"Negative")</f>
        <v>Negative</v>
      </c>
      <c r="I426" s="308">
        <f>IFERROR(__xludf.DUMMYFUNCTION("""COMPUTED_VALUE"""),44866.0)</f>
        <v>44866</v>
      </c>
      <c r="J426" s="311">
        <f>IFERROR(__xludf.DUMMYFUNCTION("""COMPUTED_VALUE"""),0.37603009259259257)</f>
        <v>0.3760300926</v>
      </c>
      <c r="K426" s="54"/>
      <c r="L426" s="7"/>
      <c r="M426" s="312"/>
      <c r="N426" s="172">
        <f>IFERROR(__xludf.DUMMYFUNCTION("""COMPUTED_VALUE"""),3.0)</f>
        <v>3</v>
      </c>
      <c r="O426" s="172" t="str">
        <f t="shared" si="3"/>
        <v/>
      </c>
      <c r="P426" s="313">
        <f>IFERROR(__xludf.DUMMYFUNCTION("""COMPUTED_VALUE"""),0.0)</f>
        <v>0</v>
      </c>
      <c r="Q426" s="76" t="b">
        <f>VLOOKUP($B426,'Run Reconcile'!B$2:O1399,14,FALSE)</f>
        <v>1</v>
      </c>
      <c r="R426" s="314" t="str">
        <f t="array" ref="R426">IF($Q426, INDEX('Run Reconcile'!A$2:A1399,MATCH(B426,'Run Reconcile'!B$2:B1399,0),1),IFERROR(0/0,""))</f>
        <v>RUN-ABRM_2022-11-01_RFR-061</v>
      </c>
      <c r="S426" s="315" t="str">
        <f t="shared" ref="S426:T426" si="856">IF(COUNTIF(W$2:W1399, $A426) &gt; 0,TRUE,IFERROR(0/0,""))</f>
        <v/>
      </c>
      <c r="T426" s="315" t="str">
        <f t="shared" si="856"/>
        <v/>
      </c>
      <c r="U426" s="114" t="str">
        <f t="array" ref="U426">IF(ISBLANK($R426), INDEX('Run Reconcile'!A$2:A1399, MATCH($B426, 'Run Reconcile'!B$2:B1399, 0)+Z426, 1), IFERROR(0/0,""))
</f>
        <v/>
      </c>
      <c r="V426" s="316" t="str">
        <f t="shared" si="5"/>
        <v>RUN-ABRM_2022-11-01_RFR-061</v>
      </c>
      <c r="Y426" s="317" t="str">
        <f t="shared" si="6"/>
        <v/>
      </c>
      <c r="Z426" s="83" t="str">
        <f t="shared" si="7"/>
        <v/>
      </c>
      <c r="AA426" s="83" t="str">
        <f t="shared" si="8"/>
        <v/>
      </c>
      <c r="AB426" s="83" t="str">
        <f t="shared" si="9"/>
        <v/>
      </c>
      <c r="AC426" s="18" t="str">
        <f t="shared" ref="AC426:AD426" si="857">IF(_xlfn.ISFORMULA(S426),IFERROR(0/0,""),TRUE)</f>
        <v/>
      </c>
      <c r="AD426" s="18" t="str">
        <f t="shared" si="857"/>
        <v/>
      </c>
      <c r="AE426" s="43"/>
      <c r="AF426" s="58" t="s">
        <v>69</v>
      </c>
      <c r="AG426" s="55" t="str">
        <f t="shared" si="11"/>
        <v/>
      </c>
    </row>
    <row r="427">
      <c r="A427" s="7" t="str">
        <f>IFERROR(__xludf.DUMMYFUNCTION("""COMPUTED_VALUE"""),"AH8809")</f>
        <v>AH8809</v>
      </c>
      <c r="B427" s="308">
        <f>IFERROR(__xludf.DUMMYFUNCTION("""COMPUTED_VALUE"""),44866.0)</f>
        <v>44866</v>
      </c>
      <c r="C427" s="309">
        <f>IFERROR(__xludf.DUMMYFUNCTION("""COMPUTED_VALUE"""),0.30596064814814816)</f>
        <v>0.3059606481</v>
      </c>
      <c r="D427" s="7" t="str">
        <f>IFERROR(__xludf.DUMMYFUNCTION("""COMPUTED_VALUE"""),"SpABRM297307")</f>
        <v>SpABRM297307</v>
      </c>
      <c r="E427" s="310"/>
      <c r="F427" s="310"/>
      <c r="G427" s="310" t="str">
        <f>IFERROR(__xludf.DUMMYFUNCTION("""COMPUTED_VALUE"""),"Negative")</f>
        <v>Negative</v>
      </c>
      <c r="H427" s="319" t="str">
        <f>IFERROR(__xludf.DUMMYFUNCTION("""COMPUTED_VALUE"""),"Negative")</f>
        <v>Negative</v>
      </c>
      <c r="I427" s="308">
        <f>IFERROR(__xludf.DUMMYFUNCTION("""COMPUTED_VALUE"""),44866.0)</f>
        <v>44866</v>
      </c>
      <c r="J427" s="311">
        <f>IFERROR(__xludf.DUMMYFUNCTION("""COMPUTED_VALUE"""),0.37603009259259257)</f>
        <v>0.3760300926</v>
      </c>
      <c r="K427" s="54"/>
      <c r="L427" s="7"/>
      <c r="M427" s="312"/>
      <c r="N427" s="172">
        <f>IFERROR(__xludf.DUMMYFUNCTION("""COMPUTED_VALUE"""),3.0)</f>
        <v>3</v>
      </c>
      <c r="O427" s="172" t="str">
        <f t="shared" si="3"/>
        <v/>
      </c>
      <c r="P427" s="313">
        <f>IFERROR(__xludf.DUMMYFUNCTION("""COMPUTED_VALUE"""),0.0)</f>
        <v>0</v>
      </c>
      <c r="Q427" s="76" t="b">
        <f>VLOOKUP($B427,'Run Reconcile'!B$2:O1399,14,FALSE)</f>
        <v>1</v>
      </c>
      <c r="R427" s="314" t="str">
        <f t="array" ref="R427">IF($Q427, INDEX('Run Reconcile'!A$2:A1399,MATCH(B427,'Run Reconcile'!B$2:B1399,0),1),IFERROR(0/0,""))</f>
        <v>RUN-ABRM_2022-11-01_RFR-061</v>
      </c>
      <c r="S427" s="315" t="str">
        <f t="shared" ref="S427:T427" si="858">IF(COUNTIF(W$2:W1399, $A427) &gt; 0,TRUE,IFERROR(0/0,""))</f>
        <v/>
      </c>
      <c r="T427" s="315" t="str">
        <f t="shared" si="858"/>
        <v/>
      </c>
      <c r="U427" s="114" t="str">
        <f t="array" ref="U427">IF(ISBLANK($R427), INDEX('Run Reconcile'!A$2:A1399, MATCH($B427, 'Run Reconcile'!B$2:B1399, 0)+Z427, 1), IFERROR(0/0,""))
</f>
        <v/>
      </c>
      <c r="V427" s="316" t="str">
        <f t="shared" si="5"/>
        <v>RUN-ABRM_2022-11-01_RFR-061</v>
      </c>
      <c r="Y427" s="317" t="str">
        <f t="shared" si="6"/>
        <v/>
      </c>
      <c r="Z427" s="83" t="str">
        <f t="shared" si="7"/>
        <v/>
      </c>
      <c r="AA427" s="83" t="str">
        <f t="shared" si="8"/>
        <v/>
      </c>
      <c r="AB427" s="83" t="str">
        <f t="shared" si="9"/>
        <v/>
      </c>
      <c r="AC427" s="18" t="str">
        <f t="shared" ref="AC427:AD427" si="859">IF(_xlfn.ISFORMULA(S427),IFERROR(0/0,""),TRUE)</f>
        <v/>
      </c>
      <c r="AD427" s="18" t="str">
        <f t="shared" si="859"/>
        <v/>
      </c>
      <c r="AE427" s="43"/>
      <c r="AF427" s="58" t="s">
        <v>69</v>
      </c>
      <c r="AG427" s="55" t="str">
        <f t="shared" si="11"/>
        <v/>
      </c>
    </row>
    <row r="428">
      <c r="A428" s="7" t="str">
        <f>IFERROR(__xludf.DUMMYFUNCTION("""COMPUTED_VALUE"""),"AH9232")</f>
        <v>AH9232</v>
      </c>
      <c r="B428" s="308">
        <f>IFERROR(__xludf.DUMMYFUNCTION("""COMPUTED_VALUE"""),44866.0)</f>
        <v>44866</v>
      </c>
      <c r="C428" s="309">
        <f>IFERROR(__xludf.DUMMYFUNCTION("""COMPUTED_VALUE"""),0.32915509259259257)</f>
        <v>0.3291550926</v>
      </c>
      <c r="D428" s="7" t="str">
        <f>IFERROR(__xludf.DUMMYFUNCTION("""COMPUTED_VALUE"""),"SpABRM655136")</f>
        <v>SpABRM655136</v>
      </c>
      <c r="E428" s="310"/>
      <c r="F428" s="310"/>
      <c r="G428" s="310" t="str">
        <f>IFERROR(__xludf.DUMMYFUNCTION("""COMPUTED_VALUE"""),"Negative")</f>
        <v>Negative</v>
      </c>
      <c r="H428" s="319" t="str">
        <f>IFERROR(__xludf.DUMMYFUNCTION("""COMPUTED_VALUE"""),"Negative")</f>
        <v>Negative</v>
      </c>
      <c r="I428" s="308">
        <f>IFERROR(__xludf.DUMMYFUNCTION("""COMPUTED_VALUE"""),44866.0)</f>
        <v>44866</v>
      </c>
      <c r="J428" s="311">
        <f>IFERROR(__xludf.DUMMYFUNCTION("""COMPUTED_VALUE"""),0.37603009259259257)</f>
        <v>0.3760300926</v>
      </c>
      <c r="K428" s="54"/>
      <c r="L428" s="7"/>
      <c r="M428" s="312"/>
      <c r="N428" s="172">
        <f>IFERROR(__xludf.DUMMYFUNCTION("""COMPUTED_VALUE"""),2.0)</f>
        <v>2</v>
      </c>
      <c r="O428" s="172" t="str">
        <f t="shared" si="3"/>
        <v/>
      </c>
      <c r="P428" s="313">
        <f>IFERROR(__xludf.DUMMYFUNCTION("""COMPUTED_VALUE"""),0.0)</f>
        <v>0</v>
      </c>
      <c r="Q428" s="76" t="b">
        <f>VLOOKUP($B428,'Run Reconcile'!B$2:O1399,14,FALSE)</f>
        <v>1</v>
      </c>
      <c r="R428" s="314" t="str">
        <f t="array" ref="R428">IF($Q428, INDEX('Run Reconcile'!A$2:A1399,MATCH(B428,'Run Reconcile'!B$2:B1399,0),1),IFERROR(0/0,""))</f>
        <v>RUN-ABRM_2022-11-01_RFR-061</v>
      </c>
      <c r="S428" s="315" t="str">
        <f t="shared" ref="S428:T428" si="860">IF(COUNTIF(W$2:W1399, $A428) &gt; 0,TRUE,IFERROR(0/0,""))</f>
        <v/>
      </c>
      <c r="T428" s="315" t="str">
        <f t="shared" si="860"/>
        <v/>
      </c>
      <c r="U428" s="114" t="str">
        <f t="array" ref="U428">IF(ISBLANK($R428), INDEX('Run Reconcile'!A$2:A1399, MATCH($B428, 'Run Reconcile'!B$2:B1399, 0)+Z428, 1), IFERROR(0/0,""))
</f>
        <v/>
      </c>
      <c r="V428" s="316" t="str">
        <f t="shared" si="5"/>
        <v>RUN-ABRM_2022-11-01_RFR-061</v>
      </c>
      <c r="Y428" s="317" t="str">
        <f t="shared" si="6"/>
        <v/>
      </c>
      <c r="Z428" s="83" t="str">
        <f t="shared" si="7"/>
        <v/>
      </c>
      <c r="AA428" s="83" t="str">
        <f t="shared" si="8"/>
        <v/>
      </c>
      <c r="AB428" s="83" t="str">
        <f t="shared" si="9"/>
        <v/>
      </c>
      <c r="AC428" s="18" t="str">
        <f t="shared" ref="AC428:AD428" si="861">IF(_xlfn.ISFORMULA(S428),IFERROR(0/0,""),TRUE)</f>
        <v/>
      </c>
      <c r="AD428" s="18" t="str">
        <f t="shared" si="861"/>
        <v/>
      </c>
      <c r="AE428" s="43"/>
      <c r="AF428" s="58" t="s">
        <v>69</v>
      </c>
      <c r="AG428" s="55" t="str">
        <f t="shared" si="11"/>
        <v/>
      </c>
    </row>
    <row r="429">
      <c r="A429" s="7" t="str">
        <f>IFERROR(__xludf.DUMMYFUNCTION("""COMPUTED_VALUE"""),"AH7759")</f>
        <v>AH7759</v>
      </c>
      <c r="B429" s="308">
        <f>IFERROR(__xludf.DUMMYFUNCTION("""COMPUTED_VALUE"""),44866.0)</f>
        <v>44866</v>
      </c>
      <c r="C429" s="309">
        <f>IFERROR(__xludf.DUMMYFUNCTION("""COMPUTED_VALUE"""),0.33493055555555556)</f>
        <v>0.3349305556</v>
      </c>
      <c r="D429" s="7" t="str">
        <f>IFERROR(__xludf.DUMMYFUNCTION("""COMPUTED_VALUE"""),"SpABRM655136")</f>
        <v>SpABRM655136</v>
      </c>
      <c r="E429" s="310"/>
      <c r="F429" s="310"/>
      <c r="G429" s="310" t="str">
        <f>IFERROR(__xludf.DUMMYFUNCTION("""COMPUTED_VALUE"""),"Negative")</f>
        <v>Negative</v>
      </c>
      <c r="H429" s="319" t="str">
        <f>IFERROR(__xludf.DUMMYFUNCTION("""COMPUTED_VALUE"""),"Negative")</f>
        <v>Negative</v>
      </c>
      <c r="I429" s="308">
        <f>IFERROR(__xludf.DUMMYFUNCTION("""COMPUTED_VALUE"""),44866.0)</f>
        <v>44866</v>
      </c>
      <c r="J429" s="311">
        <f>IFERROR(__xludf.DUMMYFUNCTION("""COMPUTED_VALUE"""),0.37604166666666666)</f>
        <v>0.3760416667</v>
      </c>
      <c r="K429" s="54"/>
      <c r="L429" s="7"/>
      <c r="M429" s="312"/>
      <c r="N429" s="172">
        <f>IFERROR(__xludf.DUMMYFUNCTION("""COMPUTED_VALUE"""),3.0)</f>
        <v>3</v>
      </c>
      <c r="O429" s="172" t="str">
        <f t="shared" si="3"/>
        <v/>
      </c>
      <c r="P429" s="313">
        <f>IFERROR(__xludf.DUMMYFUNCTION("""COMPUTED_VALUE"""),0.0)</f>
        <v>0</v>
      </c>
      <c r="Q429" s="76" t="b">
        <f>VLOOKUP($B429,'Run Reconcile'!B$2:O1399,14,FALSE)</f>
        <v>1</v>
      </c>
      <c r="R429" s="314" t="str">
        <f t="array" ref="R429">IF($Q429, INDEX('Run Reconcile'!A$2:A1399,MATCH(B429,'Run Reconcile'!B$2:B1399,0),1),IFERROR(0/0,""))</f>
        <v>RUN-ABRM_2022-11-01_RFR-061</v>
      </c>
      <c r="S429" s="315" t="str">
        <f t="shared" ref="S429:T429" si="862">IF(COUNTIF(W$2:W1399, $A429) &gt; 0,TRUE,IFERROR(0/0,""))</f>
        <v/>
      </c>
      <c r="T429" s="315" t="str">
        <f t="shared" si="862"/>
        <v/>
      </c>
      <c r="U429" s="114" t="str">
        <f t="array" ref="U429">IF(ISBLANK($R429), INDEX('Run Reconcile'!A$2:A1399, MATCH($B429, 'Run Reconcile'!B$2:B1399, 0)+Z429, 1), IFERROR(0/0,""))
</f>
        <v/>
      </c>
      <c r="V429" s="316" t="str">
        <f t="shared" si="5"/>
        <v>RUN-ABRM_2022-11-01_RFR-061</v>
      </c>
      <c r="Y429" s="317" t="str">
        <f t="shared" si="6"/>
        <v/>
      </c>
      <c r="Z429" s="83" t="str">
        <f t="shared" si="7"/>
        <v/>
      </c>
      <c r="AA429" s="83" t="str">
        <f t="shared" si="8"/>
        <v/>
      </c>
      <c r="AB429" s="83" t="str">
        <f t="shared" si="9"/>
        <v/>
      </c>
      <c r="AC429" s="18" t="str">
        <f t="shared" ref="AC429:AD429" si="863">IF(_xlfn.ISFORMULA(S429),IFERROR(0/0,""),TRUE)</f>
        <v/>
      </c>
      <c r="AD429" s="18" t="str">
        <f t="shared" si="863"/>
        <v/>
      </c>
      <c r="AE429" s="43"/>
      <c r="AF429" s="58" t="s">
        <v>69</v>
      </c>
      <c r="AG429" s="55" t="str">
        <f t="shared" si="11"/>
        <v/>
      </c>
    </row>
    <row r="430">
      <c r="A430" s="7" t="str">
        <f>IFERROR(__xludf.DUMMYFUNCTION("""COMPUTED_VALUE"""),"AG1119")</f>
        <v>AG1119</v>
      </c>
      <c r="B430" s="308">
        <f>IFERROR(__xludf.DUMMYFUNCTION("""COMPUTED_VALUE"""),44867.0)</f>
        <v>44867</v>
      </c>
      <c r="C430" s="309">
        <f>IFERROR(__xludf.DUMMYFUNCTION("""COMPUTED_VALUE"""),0.19652777777777777)</f>
        <v>0.1965277778</v>
      </c>
      <c r="D430" s="7" t="str">
        <f>IFERROR(__xludf.DUMMYFUNCTION("""COMPUTED_VALUE"""),"SpABRM655136")</f>
        <v>SpABRM655136</v>
      </c>
      <c r="E430" s="310"/>
      <c r="F430" s="310"/>
      <c r="G430" s="310" t="str">
        <f>IFERROR(__xludf.DUMMYFUNCTION("""COMPUTED_VALUE"""),"Negative")</f>
        <v>Negative</v>
      </c>
      <c r="H430" s="319" t="str">
        <f>IFERROR(__xludf.DUMMYFUNCTION("""COMPUTED_VALUE"""),"Negative")</f>
        <v>Negative</v>
      </c>
      <c r="I430" s="308">
        <f>IFERROR(__xludf.DUMMYFUNCTION("""COMPUTED_VALUE"""),44867.0)</f>
        <v>44867</v>
      </c>
      <c r="J430" s="311">
        <f>IFERROR(__xludf.DUMMYFUNCTION("""COMPUTED_VALUE"""),0.4060185185185185)</f>
        <v>0.4060185185</v>
      </c>
      <c r="K430" s="54"/>
      <c r="L430" s="7"/>
      <c r="M430" s="312"/>
      <c r="N430" s="172">
        <f>IFERROR(__xludf.DUMMYFUNCTION("""COMPUTED_VALUE"""),2.0)</f>
        <v>2</v>
      </c>
      <c r="O430" s="172" t="b">
        <f t="shared" si="3"/>
        <v>1</v>
      </c>
      <c r="P430" s="313">
        <f>IFERROR(__xludf.DUMMYFUNCTION("""COMPUTED_VALUE"""),0.0)</f>
        <v>0</v>
      </c>
      <c r="Q430" s="76" t="b">
        <f>VLOOKUP($B430,'Run Reconcile'!B$2:O1399,14,FALSE)</f>
        <v>1</v>
      </c>
      <c r="R430" s="314" t="str">
        <f t="array" ref="R430">IF($Q430, INDEX('Run Reconcile'!A$2:A1399,MATCH(B430,'Run Reconcile'!B$2:B1399,0),1),IFERROR(0/0,""))</f>
        <v>RUN-ABRM_2022-11-02_RFR-062</v>
      </c>
      <c r="S430" s="315" t="str">
        <f t="shared" ref="S430:T430" si="864">IF(COUNTIF(W$2:W1399, $A430) &gt; 0,TRUE,IFERROR(0/0,""))</f>
        <v/>
      </c>
      <c r="T430" s="315" t="str">
        <f t="shared" si="864"/>
        <v/>
      </c>
      <c r="U430" s="114" t="str">
        <f t="array" ref="U430">IF(ISBLANK($R430), INDEX('Run Reconcile'!A$2:A1399, MATCH($B430, 'Run Reconcile'!B$2:B1399, 0)+Z430, 1), IFERROR(0/0,""))
</f>
        <v/>
      </c>
      <c r="V430" s="316" t="str">
        <f t="shared" si="5"/>
        <v>RUN-ABRM_2022-11-02_RFR-062</v>
      </c>
      <c r="Y430" s="317" t="str">
        <f t="shared" si="6"/>
        <v/>
      </c>
      <c r="Z430" s="83" t="str">
        <f t="shared" si="7"/>
        <v/>
      </c>
      <c r="AA430" s="83" t="str">
        <f t="shared" si="8"/>
        <v/>
      </c>
      <c r="AB430" s="83" t="str">
        <f t="shared" si="9"/>
        <v/>
      </c>
      <c r="AC430" s="18" t="str">
        <f t="shared" ref="AC430:AD430" si="865">IF(_xlfn.ISFORMULA(S430),IFERROR(0/0,""),TRUE)</f>
        <v/>
      </c>
      <c r="AD430" s="18" t="str">
        <f t="shared" si="865"/>
        <v/>
      </c>
      <c r="AE430" s="43"/>
      <c r="AF430" s="58" t="s">
        <v>70</v>
      </c>
      <c r="AG430" s="55" t="str">
        <f t="shared" si="11"/>
        <v/>
      </c>
    </row>
    <row r="431">
      <c r="A431" s="7" t="str">
        <f>IFERROR(__xludf.DUMMYFUNCTION("""COMPUTED_VALUE"""),"AH7681")</f>
        <v>AH7681</v>
      </c>
      <c r="B431" s="308">
        <f>IFERROR(__xludf.DUMMYFUNCTION("""COMPUTED_VALUE"""),44867.0)</f>
        <v>44867</v>
      </c>
      <c r="C431" s="309">
        <f>IFERROR(__xludf.DUMMYFUNCTION("""COMPUTED_VALUE"""),0.28976851851851854)</f>
        <v>0.2897685185</v>
      </c>
      <c r="D431" s="7" t="str">
        <f>IFERROR(__xludf.DUMMYFUNCTION("""COMPUTED_VALUE"""),"SpABRM128250")</f>
        <v>SpABRM128250</v>
      </c>
      <c r="E431" s="310"/>
      <c r="F431" s="310"/>
      <c r="G431" s="310" t="str">
        <f>IFERROR(__xludf.DUMMYFUNCTION("""COMPUTED_VALUE"""),"Negative")</f>
        <v>Negative</v>
      </c>
      <c r="H431" s="319" t="str">
        <f>IFERROR(__xludf.DUMMYFUNCTION("""COMPUTED_VALUE"""),"Negative")</f>
        <v>Negative</v>
      </c>
      <c r="I431" s="308">
        <f>IFERROR(__xludf.DUMMYFUNCTION("""COMPUTED_VALUE"""),44867.0)</f>
        <v>44867</v>
      </c>
      <c r="J431" s="311">
        <f>IFERROR(__xludf.DUMMYFUNCTION("""COMPUTED_VALUE"""),0.4060185185185185)</f>
        <v>0.4060185185</v>
      </c>
      <c r="K431" s="54"/>
      <c r="L431" s="7"/>
      <c r="M431" s="312"/>
      <c r="N431" s="172">
        <f>IFERROR(__xludf.DUMMYFUNCTION("""COMPUTED_VALUE"""),3.0)</f>
        <v>3</v>
      </c>
      <c r="O431" s="172" t="str">
        <f t="shared" si="3"/>
        <v/>
      </c>
      <c r="P431" s="313">
        <f>IFERROR(__xludf.DUMMYFUNCTION("""COMPUTED_VALUE"""),0.0)</f>
        <v>0</v>
      </c>
      <c r="Q431" s="76" t="b">
        <f>VLOOKUP($B431,'Run Reconcile'!B$2:O1399,14,FALSE)</f>
        <v>1</v>
      </c>
      <c r="R431" s="314" t="str">
        <f t="array" ref="R431">IF($Q431, INDEX('Run Reconcile'!A$2:A1399,MATCH(B431,'Run Reconcile'!B$2:B1399,0),1),IFERROR(0/0,""))</f>
        <v>RUN-ABRM_2022-11-02_RFR-062</v>
      </c>
      <c r="S431" s="315" t="str">
        <f t="shared" ref="S431:T431" si="866">IF(COUNTIF(W$2:W1399, $A431) &gt; 0,TRUE,IFERROR(0/0,""))</f>
        <v/>
      </c>
      <c r="T431" s="315" t="str">
        <f t="shared" si="866"/>
        <v/>
      </c>
      <c r="U431" s="114" t="str">
        <f t="array" ref="U431">IF(ISBLANK($R431), INDEX('Run Reconcile'!A$2:A1399, MATCH($B431, 'Run Reconcile'!B$2:B1399, 0)+Z431, 1), IFERROR(0/0,""))
</f>
        <v/>
      </c>
      <c r="V431" s="316" t="str">
        <f t="shared" si="5"/>
        <v>RUN-ABRM_2022-11-02_RFR-062</v>
      </c>
      <c r="Y431" s="317" t="str">
        <f t="shared" si="6"/>
        <v/>
      </c>
      <c r="Z431" s="83" t="str">
        <f t="shared" si="7"/>
        <v/>
      </c>
      <c r="AA431" s="83" t="str">
        <f t="shared" si="8"/>
        <v/>
      </c>
      <c r="AB431" s="83" t="str">
        <f t="shared" si="9"/>
        <v/>
      </c>
      <c r="AC431" s="18" t="str">
        <f t="shared" ref="AC431:AD431" si="867">IF(_xlfn.ISFORMULA(S431),IFERROR(0/0,""),TRUE)</f>
        <v/>
      </c>
      <c r="AD431" s="18" t="str">
        <f t="shared" si="867"/>
        <v/>
      </c>
      <c r="AE431" s="43"/>
      <c r="AF431" s="58" t="s">
        <v>70</v>
      </c>
      <c r="AG431" s="55" t="str">
        <f t="shared" si="11"/>
        <v/>
      </c>
    </row>
    <row r="432">
      <c r="A432" s="7" t="str">
        <f>IFERROR(__xludf.DUMMYFUNCTION("""COMPUTED_VALUE"""),"AG232")</f>
        <v>AG232</v>
      </c>
      <c r="B432" s="308">
        <f>IFERROR(__xludf.DUMMYFUNCTION("""COMPUTED_VALUE"""),44867.0)</f>
        <v>44867</v>
      </c>
      <c r="C432" s="309">
        <f>IFERROR(__xludf.DUMMYFUNCTION("""COMPUTED_VALUE"""),0.30819444444444444)</f>
        <v>0.3081944444</v>
      </c>
      <c r="D432" s="7" t="str">
        <f>IFERROR(__xludf.DUMMYFUNCTION("""COMPUTED_VALUE"""),"SpABRM716377")</f>
        <v>SpABRM716377</v>
      </c>
      <c r="E432" s="310"/>
      <c r="F432" s="310"/>
      <c r="G432" s="310" t="str">
        <f>IFERROR(__xludf.DUMMYFUNCTION("""COMPUTED_VALUE"""),"Negative")</f>
        <v>Negative</v>
      </c>
      <c r="H432" s="319" t="str">
        <f>IFERROR(__xludf.DUMMYFUNCTION("""COMPUTED_VALUE"""),"Negative")</f>
        <v>Negative</v>
      </c>
      <c r="I432" s="308">
        <f>IFERROR(__xludf.DUMMYFUNCTION("""COMPUTED_VALUE"""),44867.0)</f>
        <v>44867</v>
      </c>
      <c r="J432" s="311">
        <f>IFERROR(__xludf.DUMMYFUNCTION("""COMPUTED_VALUE"""),0.4060300925925926)</f>
        <v>0.4060300926</v>
      </c>
      <c r="K432" s="54"/>
      <c r="L432" s="7"/>
      <c r="M432" s="312"/>
      <c r="N432" s="172">
        <f>IFERROR(__xludf.DUMMYFUNCTION("""COMPUTED_VALUE"""),3.0)</f>
        <v>3</v>
      </c>
      <c r="O432" s="172" t="str">
        <f t="shared" si="3"/>
        <v/>
      </c>
      <c r="P432" s="313">
        <f>IFERROR(__xludf.DUMMYFUNCTION("""COMPUTED_VALUE"""),0.0)</f>
        <v>0</v>
      </c>
      <c r="Q432" s="76" t="b">
        <f>VLOOKUP($B432,'Run Reconcile'!B$2:O1399,14,FALSE)</f>
        <v>1</v>
      </c>
      <c r="R432" s="314" t="str">
        <f t="array" ref="R432">IF($Q432, INDEX('Run Reconcile'!A$2:A1399,MATCH(B432,'Run Reconcile'!B$2:B1399,0),1),IFERROR(0/0,""))</f>
        <v>RUN-ABRM_2022-11-02_RFR-062</v>
      </c>
      <c r="S432" s="315" t="str">
        <f t="shared" ref="S432:T432" si="868">IF(COUNTIF(W$2:W1399, $A432) &gt; 0,TRUE,IFERROR(0/0,""))</f>
        <v/>
      </c>
      <c r="T432" s="315" t="str">
        <f t="shared" si="868"/>
        <v/>
      </c>
      <c r="U432" s="114" t="str">
        <f t="array" ref="U432">IF(ISBLANK($R432), INDEX('Run Reconcile'!A$2:A1399, MATCH($B432, 'Run Reconcile'!B$2:B1399, 0)+Z432, 1), IFERROR(0/0,""))
</f>
        <v/>
      </c>
      <c r="V432" s="316" t="str">
        <f t="shared" si="5"/>
        <v>RUN-ABRM_2022-11-02_RFR-062</v>
      </c>
      <c r="Y432" s="317" t="str">
        <f t="shared" si="6"/>
        <v/>
      </c>
      <c r="Z432" s="83" t="str">
        <f t="shared" si="7"/>
        <v/>
      </c>
      <c r="AA432" s="83" t="str">
        <f t="shared" si="8"/>
        <v/>
      </c>
      <c r="AB432" s="83" t="str">
        <f t="shared" si="9"/>
        <v/>
      </c>
      <c r="AC432" s="18" t="str">
        <f t="shared" ref="AC432:AD432" si="869">IF(_xlfn.ISFORMULA(S432),IFERROR(0/0,""),TRUE)</f>
        <v/>
      </c>
      <c r="AD432" s="18" t="str">
        <f t="shared" si="869"/>
        <v/>
      </c>
      <c r="AE432" s="43"/>
      <c r="AF432" s="58" t="s">
        <v>70</v>
      </c>
      <c r="AG432" s="55" t="str">
        <f t="shared" si="11"/>
        <v/>
      </c>
    </row>
    <row r="433">
      <c r="A433" s="7" t="str">
        <f>IFERROR(__xludf.DUMMYFUNCTION("""COMPUTED_VALUE"""),"AG646")</f>
        <v>AG646</v>
      </c>
      <c r="B433" s="308">
        <f>IFERROR(__xludf.DUMMYFUNCTION("""COMPUTED_VALUE"""),44867.0)</f>
        <v>44867</v>
      </c>
      <c r="C433" s="309">
        <f>IFERROR(__xludf.DUMMYFUNCTION("""COMPUTED_VALUE"""),0.3772337962962963)</f>
        <v>0.3772337963</v>
      </c>
      <c r="D433" s="7" t="str">
        <f>IFERROR(__xludf.DUMMYFUNCTION("""COMPUTED_VALUE"""),"SpABRM655136")</f>
        <v>SpABRM655136</v>
      </c>
      <c r="E433" s="310"/>
      <c r="F433" s="310"/>
      <c r="G433" s="310" t="str">
        <f>IFERROR(__xludf.DUMMYFUNCTION("""COMPUTED_VALUE"""),"Negative")</f>
        <v>Negative</v>
      </c>
      <c r="H433" s="319" t="str">
        <f>IFERROR(__xludf.DUMMYFUNCTION("""COMPUTED_VALUE"""),"Negative")</f>
        <v>Negative</v>
      </c>
      <c r="I433" s="308">
        <f>IFERROR(__xludf.DUMMYFUNCTION("""COMPUTED_VALUE"""),44867.0)</f>
        <v>44867</v>
      </c>
      <c r="J433" s="311">
        <f>IFERROR(__xludf.DUMMYFUNCTION("""COMPUTED_VALUE"""),0.4060300925925926)</f>
        <v>0.4060300926</v>
      </c>
      <c r="K433" s="54"/>
      <c r="L433" s="7"/>
      <c r="M433" s="312"/>
      <c r="N433" s="172">
        <f>IFERROR(__xludf.DUMMYFUNCTION("""COMPUTED_VALUE"""),1.0)</f>
        <v>1</v>
      </c>
      <c r="O433" s="172" t="str">
        <f t="shared" si="3"/>
        <v/>
      </c>
      <c r="P433" s="313">
        <f>IFERROR(__xludf.DUMMYFUNCTION("""COMPUTED_VALUE"""),0.0)</f>
        <v>0</v>
      </c>
      <c r="Q433" s="76" t="b">
        <f>VLOOKUP($B433,'Run Reconcile'!B$2:O1399,14,FALSE)</f>
        <v>1</v>
      </c>
      <c r="R433" s="314" t="str">
        <f t="array" ref="R433">IF($Q433, INDEX('Run Reconcile'!A$2:A1399,MATCH(B433,'Run Reconcile'!B$2:B1399,0),1),IFERROR(0/0,""))</f>
        <v>RUN-ABRM_2022-11-02_RFR-062</v>
      </c>
      <c r="S433" s="315" t="str">
        <f t="shared" ref="S433:T433" si="870">IF(COUNTIF(W$2:W1399, $A433) &gt; 0,TRUE,IFERROR(0/0,""))</f>
        <v/>
      </c>
      <c r="T433" s="315" t="str">
        <f t="shared" si="870"/>
        <v/>
      </c>
      <c r="U433" s="114" t="str">
        <f t="array" ref="U433">IF(ISBLANK($R433), INDEX('Run Reconcile'!A$2:A1399, MATCH($B433, 'Run Reconcile'!B$2:B1399, 0)+Z433, 1), IFERROR(0/0,""))
</f>
        <v/>
      </c>
      <c r="V433" s="316" t="str">
        <f t="shared" si="5"/>
        <v>RUN-ABRM_2022-11-02_RFR-062</v>
      </c>
      <c r="Y433" s="317" t="str">
        <f t="shared" si="6"/>
        <v/>
      </c>
      <c r="Z433" s="83" t="str">
        <f t="shared" si="7"/>
        <v/>
      </c>
      <c r="AA433" s="83" t="str">
        <f t="shared" si="8"/>
        <v/>
      </c>
      <c r="AB433" s="83" t="str">
        <f t="shared" si="9"/>
        <v/>
      </c>
      <c r="AC433" s="18" t="str">
        <f t="shared" ref="AC433:AD433" si="871">IF(_xlfn.ISFORMULA(S433),IFERROR(0/0,""),TRUE)</f>
        <v/>
      </c>
      <c r="AD433" s="18" t="str">
        <f t="shared" si="871"/>
        <v/>
      </c>
      <c r="AE433" s="43"/>
      <c r="AF433" s="58" t="s">
        <v>70</v>
      </c>
      <c r="AG433" s="55" t="str">
        <f t="shared" si="11"/>
        <v/>
      </c>
    </row>
    <row r="434">
      <c r="A434" s="7" t="str">
        <f>IFERROR(__xludf.DUMMYFUNCTION("""COMPUTED_VALUE"""),"AH8123")</f>
        <v>AH8123</v>
      </c>
      <c r="B434" s="308">
        <f>IFERROR(__xludf.DUMMYFUNCTION("""COMPUTED_VALUE"""),44867.0)</f>
        <v>44867</v>
      </c>
      <c r="C434" s="309">
        <f>IFERROR(__xludf.DUMMYFUNCTION("""COMPUTED_VALUE"""),0.37775462962962963)</f>
        <v>0.3777546296</v>
      </c>
      <c r="D434" s="7" t="str">
        <f>IFERROR(__xludf.DUMMYFUNCTION("""COMPUTED_VALUE"""),"SpABRM655136")</f>
        <v>SpABRM655136</v>
      </c>
      <c r="E434" s="310"/>
      <c r="F434" s="310"/>
      <c r="G434" s="310" t="str">
        <f>IFERROR(__xludf.DUMMYFUNCTION("""COMPUTED_VALUE"""),"Negative")</f>
        <v>Negative</v>
      </c>
      <c r="H434" s="319" t="str">
        <f>IFERROR(__xludf.DUMMYFUNCTION("""COMPUTED_VALUE"""),"Negative")</f>
        <v>Negative</v>
      </c>
      <c r="I434" s="308">
        <f>IFERROR(__xludf.DUMMYFUNCTION("""COMPUTED_VALUE"""),44867.0)</f>
        <v>44867</v>
      </c>
      <c r="J434" s="311">
        <f>IFERROR(__xludf.DUMMYFUNCTION("""COMPUTED_VALUE"""),0.4060300925925926)</f>
        <v>0.4060300926</v>
      </c>
      <c r="K434" s="54"/>
      <c r="L434" s="7"/>
      <c r="M434" s="312"/>
      <c r="N434" s="172">
        <f>IFERROR(__xludf.DUMMYFUNCTION("""COMPUTED_VALUE"""),3.0)</f>
        <v>3</v>
      </c>
      <c r="O434" s="172" t="str">
        <f t="shared" si="3"/>
        <v/>
      </c>
      <c r="P434" s="313">
        <f>IFERROR(__xludf.DUMMYFUNCTION("""COMPUTED_VALUE"""),0.0)</f>
        <v>0</v>
      </c>
      <c r="Q434" s="76" t="b">
        <f>VLOOKUP($B434,'Run Reconcile'!B$2:O1399,14,FALSE)</f>
        <v>1</v>
      </c>
      <c r="R434" s="314" t="str">
        <f t="array" ref="R434">IF($Q434, INDEX('Run Reconcile'!A$2:A1399,MATCH(B434,'Run Reconcile'!B$2:B1399,0),1),IFERROR(0/0,""))</f>
        <v>RUN-ABRM_2022-11-02_RFR-062</v>
      </c>
      <c r="S434" s="315" t="str">
        <f t="shared" ref="S434:T434" si="872">IF(COUNTIF(W$2:W1399, $A434) &gt; 0,TRUE,IFERROR(0/0,""))</f>
        <v/>
      </c>
      <c r="T434" s="315" t="str">
        <f t="shared" si="872"/>
        <v/>
      </c>
      <c r="U434" s="114" t="str">
        <f t="array" ref="U434">IF(ISBLANK($R434), INDEX('Run Reconcile'!A$2:A1399, MATCH($B434, 'Run Reconcile'!B$2:B1399, 0)+Z434, 1), IFERROR(0/0,""))
</f>
        <v/>
      </c>
      <c r="V434" s="316" t="str">
        <f t="shared" si="5"/>
        <v>RUN-ABRM_2022-11-02_RFR-062</v>
      </c>
      <c r="Y434" s="317" t="str">
        <f t="shared" si="6"/>
        <v/>
      </c>
      <c r="Z434" s="83" t="str">
        <f t="shared" si="7"/>
        <v/>
      </c>
      <c r="AA434" s="83" t="str">
        <f t="shared" si="8"/>
        <v/>
      </c>
      <c r="AB434" s="83" t="str">
        <f t="shared" si="9"/>
        <v/>
      </c>
      <c r="AC434" s="18" t="str">
        <f t="shared" ref="AC434:AD434" si="873">IF(_xlfn.ISFORMULA(S434),IFERROR(0/0,""),TRUE)</f>
        <v/>
      </c>
      <c r="AD434" s="18" t="str">
        <f t="shared" si="873"/>
        <v/>
      </c>
      <c r="AE434" s="43"/>
      <c r="AF434" s="58" t="s">
        <v>70</v>
      </c>
      <c r="AG434" s="55" t="str">
        <f t="shared" si="11"/>
        <v/>
      </c>
    </row>
    <row r="435">
      <c r="A435" s="7" t="str">
        <f>IFERROR(__xludf.DUMMYFUNCTION("""COMPUTED_VALUE"""),"AH9431")</f>
        <v>AH9431</v>
      </c>
      <c r="B435" s="308">
        <f>IFERROR(__xludf.DUMMYFUNCTION("""COMPUTED_VALUE"""),44867.0)</f>
        <v>44867</v>
      </c>
      <c r="C435" s="309">
        <f>IFERROR(__xludf.DUMMYFUNCTION("""COMPUTED_VALUE"""),0.3780439814814815)</f>
        <v>0.3780439815</v>
      </c>
      <c r="D435" s="7" t="str">
        <f>IFERROR(__xludf.DUMMYFUNCTION("""COMPUTED_VALUE"""),"SpABRM655136")</f>
        <v>SpABRM655136</v>
      </c>
      <c r="E435" s="310"/>
      <c r="F435" s="310"/>
      <c r="G435" s="310" t="str">
        <f>IFERROR(__xludf.DUMMYFUNCTION("""COMPUTED_VALUE"""),"Negative")</f>
        <v>Negative</v>
      </c>
      <c r="H435" s="319" t="str">
        <f>IFERROR(__xludf.DUMMYFUNCTION("""COMPUTED_VALUE"""),"Negative")</f>
        <v>Negative</v>
      </c>
      <c r="I435" s="308">
        <f>IFERROR(__xludf.DUMMYFUNCTION("""COMPUTED_VALUE"""),44867.0)</f>
        <v>44867</v>
      </c>
      <c r="J435" s="311">
        <f>IFERROR(__xludf.DUMMYFUNCTION("""COMPUTED_VALUE"""),0.4060416666666667)</f>
        <v>0.4060416667</v>
      </c>
      <c r="K435" s="54"/>
      <c r="L435" s="7"/>
      <c r="M435" s="312"/>
      <c r="N435" s="172">
        <f>IFERROR(__xludf.DUMMYFUNCTION("""COMPUTED_VALUE"""),2.0)</f>
        <v>2</v>
      </c>
      <c r="O435" s="172" t="str">
        <f t="shared" si="3"/>
        <v/>
      </c>
      <c r="P435" s="313">
        <f>IFERROR(__xludf.DUMMYFUNCTION("""COMPUTED_VALUE"""),0.0)</f>
        <v>0</v>
      </c>
      <c r="Q435" s="76" t="b">
        <f>VLOOKUP($B435,'Run Reconcile'!B$2:O1399,14,FALSE)</f>
        <v>1</v>
      </c>
      <c r="R435" s="314" t="str">
        <f t="array" ref="R435">IF($Q435, INDEX('Run Reconcile'!A$2:A1399,MATCH(B435,'Run Reconcile'!B$2:B1399,0),1),IFERROR(0/0,""))</f>
        <v>RUN-ABRM_2022-11-02_RFR-062</v>
      </c>
      <c r="S435" s="315" t="str">
        <f t="shared" ref="S435:T435" si="874">IF(COUNTIF(W$2:W1399, $A435) &gt; 0,TRUE,IFERROR(0/0,""))</f>
        <v/>
      </c>
      <c r="T435" s="315" t="str">
        <f t="shared" si="874"/>
        <v/>
      </c>
      <c r="U435" s="114" t="str">
        <f t="array" ref="U435">IF(ISBLANK($R435), INDEX('Run Reconcile'!A$2:A1399, MATCH($B435, 'Run Reconcile'!B$2:B1399, 0)+Z435, 1), IFERROR(0/0,""))
</f>
        <v/>
      </c>
      <c r="V435" s="316" t="str">
        <f t="shared" si="5"/>
        <v>RUN-ABRM_2022-11-02_RFR-062</v>
      </c>
      <c r="Y435" s="317" t="str">
        <f t="shared" si="6"/>
        <v/>
      </c>
      <c r="Z435" s="83" t="str">
        <f t="shared" si="7"/>
        <v/>
      </c>
      <c r="AA435" s="83" t="str">
        <f t="shared" si="8"/>
        <v/>
      </c>
      <c r="AB435" s="83" t="str">
        <f t="shared" si="9"/>
        <v/>
      </c>
      <c r="AC435" s="18" t="str">
        <f t="shared" ref="AC435:AD435" si="875">IF(_xlfn.ISFORMULA(S435),IFERROR(0/0,""),TRUE)</f>
        <v/>
      </c>
      <c r="AD435" s="18" t="str">
        <f t="shared" si="875"/>
        <v/>
      </c>
      <c r="AE435" s="43"/>
      <c r="AF435" s="58" t="s">
        <v>70</v>
      </c>
      <c r="AG435" s="55" t="str">
        <f t="shared" si="11"/>
        <v/>
      </c>
    </row>
    <row r="436">
      <c r="A436" s="7" t="str">
        <f>IFERROR(__xludf.DUMMYFUNCTION("""COMPUTED_VALUE"""),"AH9700")</f>
        <v>AH9700</v>
      </c>
      <c r="B436" s="308">
        <f>IFERROR(__xludf.DUMMYFUNCTION("""COMPUTED_VALUE"""),44868.0)</f>
        <v>44868</v>
      </c>
      <c r="C436" s="309">
        <f>IFERROR(__xludf.DUMMYFUNCTION("""COMPUTED_VALUE"""),0.23575231481481482)</f>
        <v>0.2357523148</v>
      </c>
      <c r="D436" s="7" t="str">
        <f>IFERROR(__xludf.DUMMYFUNCTION("""COMPUTED_VALUE"""),"SpABRM454310")</f>
        <v>SpABRM454310</v>
      </c>
      <c r="E436" s="310"/>
      <c r="F436" s="310"/>
      <c r="G436" s="310" t="str">
        <f>IFERROR(__xludf.DUMMYFUNCTION("""COMPUTED_VALUE"""),"Negative")</f>
        <v>Negative</v>
      </c>
      <c r="H436" s="319" t="str">
        <f>IFERROR(__xludf.DUMMYFUNCTION("""COMPUTED_VALUE"""),"Negative")</f>
        <v>Negative</v>
      </c>
      <c r="I436" s="308">
        <f>IFERROR(__xludf.DUMMYFUNCTION("""COMPUTED_VALUE"""),44868.0)</f>
        <v>44868</v>
      </c>
      <c r="J436" s="311">
        <f>IFERROR(__xludf.DUMMYFUNCTION("""COMPUTED_VALUE"""),0.40422453703703703)</f>
        <v>0.404224537</v>
      </c>
      <c r="K436" s="54"/>
      <c r="L436" s="7"/>
      <c r="M436" s="312"/>
      <c r="N436" s="172">
        <f>IFERROR(__xludf.DUMMYFUNCTION("""COMPUTED_VALUE"""),2.0)</f>
        <v>2</v>
      </c>
      <c r="O436" s="172" t="b">
        <f t="shared" si="3"/>
        <v>1</v>
      </c>
      <c r="P436" s="313">
        <f>IFERROR(__xludf.DUMMYFUNCTION("""COMPUTED_VALUE"""),0.0)</f>
        <v>0</v>
      </c>
      <c r="Q436" s="76" t="b">
        <f>VLOOKUP($B436,'Run Reconcile'!B$2:O1399,14,FALSE)</f>
        <v>1</v>
      </c>
      <c r="R436" s="314" t="str">
        <f t="array" ref="R436">IF($Q436, INDEX('Run Reconcile'!A$2:A1399,MATCH(B436,'Run Reconcile'!B$2:B1399,0),1),IFERROR(0/0,""))</f>
        <v>RUN-ABRM_2022-11-03_RFR-063</v>
      </c>
      <c r="S436" s="315" t="str">
        <f t="shared" ref="S436:T436" si="876">IF(COUNTIF(W$2:W1399, $A436) &gt; 0,TRUE,IFERROR(0/0,""))</f>
        <v/>
      </c>
      <c r="T436" s="315" t="str">
        <f t="shared" si="876"/>
        <v/>
      </c>
      <c r="U436" s="114" t="str">
        <f t="array" ref="U436">IF(ISBLANK($R436), INDEX('Run Reconcile'!A$2:A1399, MATCH($B436, 'Run Reconcile'!B$2:B1399, 0)+Z436, 1), IFERROR(0/0,""))
</f>
        <v/>
      </c>
      <c r="V436" s="316" t="str">
        <f t="shared" si="5"/>
        <v>RUN-ABRM_2022-11-03_RFR-063</v>
      </c>
      <c r="Y436" s="317" t="str">
        <f t="shared" si="6"/>
        <v/>
      </c>
      <c r="Z436" s="83" t="str">
        <f t="shared" si="7"/>
        <v/>
      </c>
      <c r="AA436" s="83" t="str">
        <f t="shared" si="8"/>
        <v/>
      </c>
      <c r="AB436" s="83" t="str">
        <f t="shared" si="9"/>
        <v/>
      </c>
      <c r="AC436" s="18" t="str">
        <f t="shared" ref="AC436:AD436" si="877">IF(_xlfn.ISFORMULA(S436),IFERROR(0/0,""),TRUE)</f>
        <v/>
      </c>
      <c r="AD436" s="18" t="str">
        <f t="shared" si="877"/>
        <v/>
      </c>
      <c r="AE436" s="43"/>
      <c r="AF436" s="58" t="s">
        <v>71</v>
      </c>
      <c r="AG436" s="55" t="str">
        <f t="shared" si="11"/>
        <v/>
      </c>
    </row>
    <row r="437">
      <c r="A437" s="7" t="str">
        <f>IFERROR(__xludf.DUMMYFUNCTION("""COMPUTED_VALUE"""),"AG2183")</f>
        <v>AG2183</v>
      </c>
      <c r="B437" s="308">
        <f>IFERROR(__xludf.DUMMYFUNCTION("""COMPUTED_VALUE"""),44868.0)</f>
        <v>44868</v>
      </c>
      <c r="C437" s="309">
        <f>IFERROR(__xludf.DUMMYFUNCTION("""COMPUTED_VALUE"""),0.33295138888888887)</f>
        <v>0.3329513889</v>
      </c>
      <c r="D437" s="7" t="str">
        <f>IFERROR(__xludf.DUMMYFUNCTION("""COMPUTED_VALUE"""),"SpABRM297307")</f>
        <v>SpABRM297307</v>
      </c>
      <c r="E437" s="310"/>
      <c r="F437" s="310"/>
      <c r="G437" s="310" t="str">
        <f>IFERROR(__xludf.DUMMYFUNCTION("""COMPUTED_VALUE"""),"Negative")</f>
        <v>Negative</v>
      </c>
      <c r="H437" s="319" t="str">
        <f>IFERROR(__xludf.DUMMYFUNCTION("""COMPUTED_VALUE"""),"Negative")</f>
        <v>Negative</v>
      </c>
      <c r="I437" s="308">
        <f>IFERROR(__xludf.DUMMYFUNCTION("""COMPUTED_VALUE"""),44868.0)</f>
        <v>44868</v>
      </c>
      <c r="J437" s="311">
        <f>IFERROR(__xludf.DUMMYFUNCTION("""COMPUTED_VALUE"""),0.40422453703703703)</f>
        <v>0.404224537</v>
      </c>
      <c r="K437" s="54"/>
      <c r="L437" s="7"/>
      <c r="M437" s="312"/>
      <c r="N437" s="172">
        <f>IFERROR(__xludf.DUMMYFUNCTION("""COMPUTED_VALUE"""),4.0)</f>
        <v>4</v>
      </c>
      <c r="O437" s="172" t="str">
        <f t="shared" si="3"/>
        <v/>
      </c>
      <c r="P437" s="313">
        <f>IFERROR(__xludf.DUMMYFUNCTION("""COMPUTED_VALUE"""),0.0)</f>
        <v>0</v>
      </c>
      <c r="Q437" s="76" t="b">
        <f>VLOOKUP($B437,'Run Reconcile'!B$2:O1399,14,FALSE)</f>
        <v>1</v>
      </c>
      <c r="R437" s="314" t="str">
        <f t="array" ref="R437">IF($Q437, INDEX('Run Reconcile'!A$2:A1399,MATCH(B437,'Run Reconcile'!B$2:B1399,0),1),IFERROR(0/0,""))</f>
        <v>RUN-ABRM_2022-11-03_RFR-063</v>
      </c>
      <c r="S437" s="315" t="str">
        <f t="shared" ref="S437:T437" si="878">IF(COUNTIF(W$2:W1399, $A437) &gt; 0,TRUE,IFERROR(0/0,""))</f>
        <v/>
      </c>
      <c r="T437" s="315" t="str">
        <f t="shared" si="878"/>
        <v/>
      </c>
      <c r="U437" s="114" t="str">
        <f t="array" ref="U437">IF(ISBLANK($R437), INDEX('Run Reconcile'!A$2:A1399, MATCH($B437, 'Run Reconcile'!B$2:B1399, 0)+Z437, 1), IFERROR(0/0,""))
</f>
        <v/>
      </c>
      <c r="V437" s="316" t="str">
        <f t="shared" si="5"/>
        <v>RUN-ABRM_2022-11-03_RFR-063</v>
      </c>
      <c r="Y437" s="317" t="str">
        <f t="shared" si="6"/>
        <v/>
      </c>
      <c r="Z437" s="83" t="str">
        <f t="shared" si="7"/>
        <v/>
      </c>
      <c r="AA437" s="83" t="str">
        <f t="shared" si="8"/>
        <v/>
      </c>
      <c r="AB437" s="83" t="str">
        <f t="shared" si="9"/>
        <v/>
      </c>
      <c r="AC437" s="18" t="str">
        <f t="shared" ref="AC437:AD437" si="879">IF(_xlfn.ISFORMULA(S437),IFERROR(0/0,""),TRUE)</f>
        <v/>
      </c>
      <c r="AD437" s="18" t="str">
        <f t="shared" si="879"/>
        <v/>
      </c>
      <c r="AE437" s="43"/>
      <c r="AF437" s="58" t="s">
        <v>71</v>
      </c>
      <c r="AG437" s="55" t="str">
        <f t="shared" si="11"/>
        <v/>
      </c>
    </row>
    <row r="438">
      <c r="A438" s="7" t="str">
        <f>IFERROR(__xludf.DUMMYFUNCTION("""COMPUTED_VALUE"""),"AH9233")</f>
        <v>AH9233</v>
      </c>
      <c r="B438" s="308">
        <f>IFERROR(__xludf.DUMMYFUNCTION("""COMPUTED_VALUE"""),44868.0)</f>
        <v>44868</v>
      </c>
      <c r="C438" s="309">
        <f>IFERROR(__xludf.DUMMYFUNCTION("""COMPUTED_VALUE"""),0.38829861111111114)</f>
        <v>0.3882986111</v>
      </c>
      <c r="D438" s="7" t="str">
        <f>IFERROR(__xludf.DUMMYFUNCTION("""COMPUTED_VALUE"""),"SpABRM655136")</f>
        <v>SpABRM655136</v>
      </c>
      <c r="E438" s="310"/>
      <c r="F438" s="310"/>
      <c r="G438" s="310" t="str">
        <f>IFERROR(__xludf.DUMMYFUNCTION("""COMPUTED_VALUE"""),"Negative")</f>
        <v>Negative</v>
      </c>
      <c r="H438" s="319" t="str">
        <f>IFERROR(__xludf.DUMMYFUNCTION("""COMPUTED_VALUE"""),"Negative")</f>
        <v>Negative</v>
      </c>
      <c r="I438" s="308">
        <f>IFERROR(__xludf.DUMMYFUNCTION("""COMPUTED_VALUE"""),44868.0)</f>
        <v>44868</v>
      </c>
      <c r="J438" s="311">
        <f>IFERROR(__xludf.DUMMYFUNCTION("""COMPUTED_VALUE"""),0.40423611111111113)</f>
        <v>0.4042361111</v>
      </c>
      <c r="K438" s="54"/>
      <c r="L438" s="7"/>
      <c r="M438" s="312"/>
      <c r="N438" s="172">
        <f>IFERROR(__xludf.DUMMYFUNCTION("""COMPUTED_VALUE"""),2.0)</f>
        <v>2</v>
      </c>
      <c r="O438" s="172" t="str">
        <f t="shared" si="3"/>
        <v/>
      </c>
      <c r="P438" s="313">
        <f>IFERROR(__xludf.DUMMYFUNCTION("""COMPUTED_VALUE"""),0.0)</f>
        <v>0</v>
      </c>
      <c r="Q438" s="76" t="b">
        <f>VLOOKUP($B438,'Run Reconcile'!B$2:O1399,14,FALSE)</f>
        <v>1</v>
      </c>
      <c r="R438" s="314" t="str">
        <f t="array" ref="R438">IF($Q438, INDEX('Run Reconcile'!A$2:A1399,MATCH(B438,'Run Reconcile'!B$2:B1399,0),1),IFERROR(0/0,""))</f>
        <v>RUN-ABRM_2022-11-03_RFR-063</v>
      </c>
      <c r="S438" s="315" t="str">
        <f t="shared" ref="S438:T438" si="880">IF(COUNTIF(W$2:W1399, $A438) &gt; 0,TRUE,IFERROR(0/0,""))</f>
        <v/>
      </c>
      <c r="T438" s="315" t="str">
        <f t="shared" si="880"/>
        <v/>
      </c>
      <c r="U438" s="114" t="str">
        <f t="array" ref="U438">IF(ISBLANK($R438), INDEX('Run Reconcile'!A$2:A1399, MATCH($B438, 'Run Reconcile'!B$2:B1399, 0)+Z438, 1), IFERROR(0/0,""))
</f>
        <v/>
      </c>
      <c r="V438" s="316" t="str">
        <f t="shared" si="5"/>
        <v>RUN-ABRM_2022-11-03_RFR-063</v>
      </c>
      <c r="Y438" s="317" t="str">
        <f t="shared" si="6"/>
        <v/>
      </c>
      <c r="Z438" s="83" t="str">
        <f t="shared" si="7"/>
        <v/>
      </c>
      <c r="AA438" s="83" t="str">
        <f t="shared" si="8"/>
        <v/>
      </c>
      <c r="AB438" s="83" t="str">
        <f t="shared" si="9"/>
        <v/>
      </c>
      <c r="AC438" s="18" t="str">
        <f t="shared" ref="AC438:AD438" si="881">IF(_xlfn.ISFORMULA(S438),IFERROR(0/0,""),TRUE)</f>
        <v/>
      </c>
      <c r="AD438" s="18" t="str">
        <f t="shared" si="881"/>
        <v/>
      </c>
      <c r="AE438" s="43"/>
      <c r="AF438" s="58" t="s">
        <v>71</v>
      </c>
      <c r="AG438" s="55" t="str">
        <f t="shared" si="11"/>
        <v/>
      </c>
    </row>
    <row r="439">
      <c r="A439" s="7" t="str">
        <f>IFERROR(__xludf.DUMMYFUNCTION("""COMPUTED_VALUE"""),"AG1765")</f>
        <v>AG1765</v>
      </c>
      <c r="B439" s="308">
        <f>IFERROR(__xludf.DUMMYFUNCTION("""COMPUTED_VALUE"""),44868.0)</f>
        <v>44868</v>
      </c>
      <c r="C439" s="309">
        <f>IFERROR(__xludf.DUMMYFUNCTION("""COMPUTED_VALUE"""),0.3894328703703704)</f>
        <v>0.3894328704</v>
      </c>
      <c r="D439" s="7" t="str">
        <f>IFERROR(__xludf.DUMMYFUNCTION("""COMPUTED_VALUE"""),"SpABRM655136")</f>
        <v>SpABRM655136</v>
      </c>
      <c r="E439" s="310"/>
      <c r="F439" s="310"/>
      <c r="G439" s="310" t="str">
        <f>IFERROR(__xludf.DUMMYFUNCTION("""COMPUTED_VALUE"""),"Negative")</f>
        <v>Negative</v>
      </c>
      <c r="H439" s="319" t="str">
        <f>IFERROR(__xludf.DUMMYFUNCTION("""COMPUTED_VALUE"""),"Negative")</f>
        <v>Negative</v>
      </c>
      <c r="I439" s="308">
        <f>IFERROR(__xludf.DUMMYFUNCTION("""COMPUTED_VALUE"""),44868.0)</f>
        <v>44868</v>
      </c>
      <c r="J439" s="311">
        <f>IFERROR(__xludf.DUMMYFUNCTION("""COMPUTED_VALUE"""),0.40423611111111113)</f>
        <v>0.4042361111</v>
      </c>
      <c r="K439" s="54"/>
      <c r="L439" s="7"/>
      <c r="M439" s="312"/>
      <c r="N439" s="172">
        <f>IFERROR(__xludf.DUMMYFUNCTION("""COMPUTED_VALUE"""),1.0)</f>
        <v>1</v>
      </c>
      <c r="O439" s="172" t="str">
        <f t="shared" si="3"/>
        <v/>
      </c>
      <c r="P439" s="313">
        <f>IFERROR(__xludf.DUMMYFUNCTION("""COMPUTED_VALUE"""),0.0)</f>
        <v>0</v>
      </c>
      <c r="Q439" s="76" t="b">
        <f>VLOOKUP($B439,'Run Reconcile'!B$2:O1399,14,FALSE)</f>
        <v>1</v>
      </c>
      <c r="R439" s="314" t="str">
        <f t="array" ref="R439">IF($Q439, INDEX('Run Reconcile'!A$2:A1399,MATCH(B439,'Run Reconcile'!B$2:B1399,0),1),IFERROR(0/0,""))</f>
        <v>RUN-ABRM_2022-11-03_RFR-063</v>
      </c>
      <c r="S439" s="315" t="str">
        <f t="shared" ref="S439:T439" si="882">IF(COUNTIF(W$2:W1399, $A439) &gt; 0,TRUE,IFERROR(0/0,""))</f>
        <v/>
      </c>
      <c r="T439" s="315" t="str">
        <f t="shared" si="882"/>
        <v/>
      </c>
      <c r="U439" s="114" t="str">
        <f t="array" ref="U439">IF(ISBLANK($R439), INDEX('Run Reconcile'!A$2:A1399, MATCH($B439, 'Run Reconcile'!B$2:B1399, 0)+Z439, 1), IFERROR(0/0,""))
</f>
        <v/>
      </c>
      <c r="V439" s="316" t="str">
        <f t="shared" si="5"/>
        <v>RUN-ABRM_2022-11-03_RFR-063</v>
      </c>
      <c r="Y439" s="317" t="str">
        <f t="shared" si="6"/>
        <v/>
      </c>
      <c r="Z439" s="83" t="str">
        <f t="shared" si="7"/>
        <v/>
      </c>
      <c r="AA439" s="83" t="str">
        <f t="shared" si="8"/>
        <v/>
      </c>
      <c r="AB439" s="83" t="str">
        <f t="shared" si="9"/>
        <v/>
      </c>
      <c r="AC439" s="18" t="str">
        <f t="shared" ref="AC439:AD439" si="883">IF(_xlfn.ISFORMULA(S439),IFERROR(0/0,""),TRUE)</f>
        <v/>
      </c>
      <c r="AD439" s="18" t="str">
        <f t="shared" si="883"/>
        <v/>
      </c>
      <c r="AE439" s="43"/>
      <c r="AF439" s="58" t="s">
        <v>71</v>
      </c>
      <c r="AG439" s="55" t="str">
        <f t="shared" si="11"/>
        <v/>
      </c>
    </row>
    <row r="440">
      <c r="A440" s="7" t="str">
        <f>IFERROR(__xludf.DUMMYFUNCTION("""COMPUTED_VALUE"""),"AH8258")</f>
        <v>AH8258</v>
      </c>
      <c r="B440" s="308">
        <f>IFERROR(__xludf.DUMMYFUNCTION("""COMPUTED_VALUE"""),44868.0)</f>
        <v>44868</v>
      </c>
      <c r="C440" s="309">
        <f>IFERROR(__xludf.DUMMYFUNCTION("""COMPUTED_VALUE"""),0.38980324074074074)</f>
        <v>0.3898032407</v>
      </c>
      <c r="D440" s="7" t="str">
        <f>IFERROR(__xludf.DUMMYFUNCTION("""COMPUTED_VALUE"""),"SpABRM655136")</f>
        <v>SpABRM655136</v>
      </c>
      <c r="E440" s="310"/>
      <c r="F440" s="310"/>
      <c r="G440" s="310" t="str">
        <f>IFERROR(__xludf.DUMMYFUNCTION("""COMPUTED_VALUE"""),"Negative")</f>
        <v>Negative</v>
      </c>
      <c r="H440" s="319" t="str">
        <f>IFERROR(__xludf.DUMMYFUNCTION("""COMPUTED_VALUE"""),"Negative")</f>
        <v>Negative</v>
      </c>
      <c r="I440" s="308">
        <f>IFERROR(__xludf.DUMMYFUNCTION("""COMPUTED_VALUE"""),44868.0)</f>
        <v>44868</v>
      </c>
      <c r="J440" s="311">
        <f>IFERROR(__xludf.DUMMYFUNCTION("""COMPUTED_VALUE"""),0.40423611111111113)</f>
        <v>0.4042361111</v>
      </c>
      <c r="K440" s="54"/>
      <c r="L440" s="7"/>
      <c r="M440" s="312"/>
      <c r="N440" s="172">
        <f>IFERROR(__xludf.DUMMYFUNCTION("""COMPUTED_VALUE"""),1.0)</f>
        <v>1</v>
      </c>
      <c r="O440" s="172" t="str">
        <f t="shared" si="3"/>
        <v/>
      </c>
      <c r="P440" s="313">
        <f>IFERROR(__xludf.DUMMYFUNCTION("""COMPUTED_VALUE"""),0.0)</f>
        <v>0</v>
      </c>
      <c r="Q440" s="76" t="b">
        <f>VLOOKUP($B440,'Run Reconcile'!B$2:O1399,14,FALSE)</f>
        <v>1</v>
      </c>
      <c r="R440" s="314" t="str">
        <f t="array" ref="R440">IF($Q440, INDEX('Run Reconcile'!A$2:A1399,MATCH(B440,'Run Reconcile'!B$2:B1399,0),1),IFERROR(0/0,""))</f>
        <v>RUN-ABRM_2022-11-03_RFR-063</v>
      </c>
      <c r="S440" s="315" t="str">
        <f t="shared" ref="S440:T440" si="884">IF(COUNTIF(W$2:W1399, $A440) &gt; 0,TRUE,IFERROR(0/0,""))</f>
        <v/>
      </c>
      <c r="T440" s="315" t="str">
        <f t="shared" si="884"/>
        <v/>
      </c>
      <c r="U440" s="114" t="str">
        <f t="array" ref="U440">IF(ISBLANK($R440), INDEX('Run Reconcile'!A$2:A1399, MATCH($B440, 'Run Reconcile'!B$2:B1399, 0)+Z440, 1), IFERROR(0/0,""))
</f>
        <v/>
      </c>
      <c r="V440" s="316" t="str">
        <f t="shared" si="5"/>
        <v>RUN-ABRM_2022-11-03_RFR-063</v>
      </c>
      <c r="Y440" s="317" t="str">
        <f t="shared" si="6"/>
        <v/>
      </c>
      <c r="Z440" s="83" t="str">
        <f t="shared" si="7"/>
        <v/>
      </c>
      <c r="AA440" s="83" t="str">
        <f t="shared" si="8"/>
        <v/>
      </c>
      <c r="AB440" s="83" t="str">
        <f t="shared" si="9"/>
        <v/>
      </c>
      <c r="AC440" s="18" t="str">
        <f t="shared" ref="AC440:AD440" si="885">IF(_xlfn.ISFORMULA(S440),IFERROR(0/0,""),TRUE)</f>
        <v/>
      </c>
      <c r="AD440" s="18" t="str">
        <f t="shared" si="885"/>
        <v/>
      </c>
      <c r="AE440" s="43"/>
      <c r="AF440" s="58" t="s">
        <v>71</v>
      </c>
      <c r="AG440" s="55" t="str">
        <f t="shared" si="11"/>
        <v/>
      </c>
    </row>
    <row r="441">
      <c r="A441" s="7" t="str">
        <f>IFERROR(__xludf.DUMMYFUNCTION("""COMPUTED_VALUE"""),"AG1350")</f>
        <v>AG1350</v>
      </c>
      <c r="B441" s="308">
        <f>IFERROR(__xludf.DUMMYFUNCTION("""COMPUTED_VALUE"""),44868.0)</f>
        <v>44868</v>
      </c>
      <c r="C441" s="309">
        <f>IFERROR(__xludf.DUMMYFUNCTION("""COMPUTED_VALUE"""),0.3900578703703704)</f>
        <v>0.3900578704</v>
      </c>
      <c r="D441" s="7" t="str">
        <f>IFERROR(__xludf.DUMMYFUNCTION("""COMPUTED_VALUE"""),"SpABRM655136")</f>
        <v>SpABRM655136</v>
      </c>
      <c r="E441" s="310"/>
      <c r="F441" s="310"/>
      <c r="G441" s="310" t="str">
        <f>IFERROR(__xludf.DUMMYFUNCTION("""COMPUTED_VALUE"""),"Negative")</f>
        <v>Negative</v>
      </c>
      <c r="H441" s="319" t="str">
        <f>IFERROR(__xludf.DUMMYFUNCTION("""COMPUTED_VALUE"""),"Negative")</f>
        <v>Negative</v>
      </c>
      <c r="I441" s="308">
        <f>IFERROR(__xludf.DUMMYFUNCTION("""COMPUTED_VALUE"""),44868.0)</f>
        <v>44868</v>
      </c>
      <c r="J441" s="311">
        <f>IFERROR(__xludf.DUMMYFUNCTION("""COMPUTED_VALUE"""),0.40423611111111113)</f>
        <v>0.4042361111</v>
      </c>
      <c r="K441" s="54"/>
      <c r="L441" s="7"/>
      <c r="M441" s="312"/>
      <c r="N441" s="172">
        <f>IFERROR(__xludf.DUMMYFUNCTION("""COMPUTED_VALUE"""),1.0)</f>
        <v>1</v>
      </c>
      <c r="O441" s="172" t="str">
        <f t="shared" si="3"/>
        <v/>
      </c>
      <c r="P441" s="313">
        <f>IFERROR(__xludf.DUMMYFUNCTION("""COMPUTED_VALUE"""),0.0)</f>
        <v>0</v>
      </c>
      <c r="Q441" s="76" t="b">
        <f>VLOOKUP($B441,'Run Reconcile'!B$2:O1399,14,FALSE)</f>
        <v>1</v>
      </c>
      <c r="R441" s="314" t="str">
        <f t="array" ref="R441">IF($Q441, INDEX('Run Reconcile'!A$2:A1399,MATCH(B441,'Run Reconcile'!B$2:B1399,0),1),IFERROR(0/0,""))</f>
        <v>RUN-ABRM_2022-11-03_RFR-063</v>
      </c>
      <c r="S441" s="315" t="str">
        <f t="shared" ref="S441:T441" si="886">IF(COUNTIF(W$2:W1399, $A441) &gt; 0,TRUE,IFERROR(0/0,""))</f>
        <v/>
      </c>
      <c r="T441" s="315" t="str">
        <f t="shared" si="886"/>
        <v/>
      </c>
      <c r="U441" s="114" t="str">
        <f t="array" ref="U441">IF(ISBLANK($R441), INDEX('Run Reconcile'!A$2:A1399, MATCH($B441, 'Run Reconcile'!B$2:B1399, 0)+Z441, 1), IFERROR(0/0,""))
</f>
        <v/>
      </c>
      <c r="V441" s="316" t="str">
        <f t="shared" si="5"/>
        <v>RUN-ABRM_2022-11-03_RFR-063</v>
      </c>
      <c r="Y441" s="317" t="str">
        <f t="shared" si="6"/>
        <v/>
      </c>
      <c r="Z441" s="83" t="str">
        <f t="shared" si="7"/>
        <v/>
      </c>
      <c r="AA441" s="83" t="str">
        <f t="shared" si="8"/>
        <v/>
      </c>
      <c r="AB441" s="83" t="str">
        <f t="shared" si="9"/>
        <v/>
      </c>
      <c r="AC441" s="18" t="str">
        <f t="shared" ref="AC441:AD441" si="887">IF(_xlfn.ISFORMULA(S441),IFERROR(0/0,""),TRUE)</f>
        <v/>
      </c>
      <c r="AD441" s="18" t="str">
        <f t="shared" si="887"/>
        <v/>
      </c>
      <c r="AE441" s="43"/>
      <c r="AF441" s="58" t="s">
        <v>71</v>
      </c>
      <c r="AG441" s="55" t="str">
        <f t="shared" si="11"/>
        <v/>
      </c>
    </row>
    <row r="442">
      <c r="A442" s="7" t="str">
        <f>IFERROR(__xludf.DUMMYFUNCTION("""COMPUTED_VALUE"""),"AH9847")</f>
        <v>AH9847</v>
      </c>
      <c r="B442" s="308">
        <f>IFERROR(__xludf.DUMMYFUNCTION("""COMPUTED_VALUE"""),44869.0)</f>
        <v>44869</v>
      </c>
      <c r="C442" s="309">
        <f>IFERROR(__xludf.DUMMYFUNCTION("""COMPUTED_VALUE"""),0.2241550925925926)</f>
        <v>0.2241550926</v>
      </c>
      <c r="D442" s="7" t="str">
        <f>IFERROR(__xludf.DUMMYFUNCTION("""COMPUTED_VALUE"""),"SpABRM716377")</f>
        <v>SpABRM716377</v>
      </c>
      <c r="E442" s="310"/>
      <c r="F442" s="310"/>
      <c r="G442" s="310" t="str">
        <f>IFERROR(__xludf.DUMMYFUNCTION("""COMPUTED_VALUE"""),"Negative")</f>
        <v>Negative</v>
      </c>
      <c r="H442" s="319" t="str">
        <f>IFERROR(__xludf.DUMMYFUNCTION("""COMPUTED_VALUE"""),"Negative")</f>
        <v>Negative</v>
      </c>
      <c r="I442" s="308">
        <f>IFERROR(__xludf.DUMMYFUNCTION("""COMPUTED_VALUE"""),44872.0)</f>
        <v>44872</v>
      </c>
      <c r="J442" s="311">
        <f>IFERROR(__xludf.DUMMYFUNCTION("""COMPUTED_VALUE"""),0.39914351851851854)</f>
        <v>0.3991435185</v>
      </c>
      <c r="K442" s="54"/>
      <c r="L442" s="7"/>
      <c r="M442" s="312"/>
      <c r="N442" s="172">
        <f>IFERROR(__xludf.DUMMYFUNCTION("""COMPUTED_VALUE"""),3.0)</f>
        <v>3</v>
      </c>
      <c r="O442" s="172" t="b">
        <f t="shared" si="3"/>
        <v>1</v>
      </c>
      <c r="P442" s="313">
        <f>IFERROR(__xludf.DUMMYFUNCTION("""COMPUTED_VALUE"""),3.0)</f>
        <v>3</v>
      </c>
      <c r="Q442" s="76" t="b">
        <f>VLOOKUP($B442,'Run Reconcile'!B$2:O1399,14,FALSE)</f>
        <v>1</v>
      </c>
      <c r="R442" s="314" t="str">
        <f t="array" ref="R442">IF($Q442, INDEX('Run Reconcile'!A$2:A1399,MATCH(B442,'Run Reconcile'!B$2:B1399,0),1),IFERROR(0/0,""))</f>
        <v>RUN-ABRM_2022-11-04_RFR-064</v>
      </c>
      <c r="S442" s="315" t="str">
        <f t="shared" ref="S442:T442" si="888">IF(COUNTIF(W$2:W1399, $A442) &gt; 0,TRUE,IFERROR(0/0,""))</f>
        <v/>
      </c>
      <c r="T442" s="315" t="str">
        <f t="shared" si="888"/>
        <v/>
      </c>
      <c r="U442" s="114" t="str">
        <f t="array" ref="U442">IF(ISBLANK($R442), INDEX('Run Reconcile'!A$2:A1399, MATCH($B442, 'Run Reconcile'!B$2:B1399, 0)+Z442, 1), IFERROR(0/0,""))
</f>
        <v/>
      </c>
      <c r="V442" s="316" t="str">
        <f t="shared" si="5"/>
        <v>RUN-ABRM_2022-11-04_RFR-064</v>
      </c>
      <c r="Y442" s="317" t="str">
        <f t="shared" si="6"/>
        <v/>
      </c>
      <c r="Z442" s="83" t="str">
        <f t="shared" si="7"/>
        <v/>
      </c>
      <c r="AA442" s="83" t="str">
        <f t="shared" si="8"/>
        <v/>
      </c>
      <c r="AB442" s="83" t="str">
        <f t="shared" si="9"/>
        <v/>
      </c>
      <c r="AC442" s="18" t="str">
        <f t="shared" ref="AC442:AD442" si="889">IF(_xlfn.ISFORMULA(S442),IFERROR(0/0,""),TRUE)</f>
        <v/>
      </c>
      <c r="AD442" s="18" t="str">
        <f t="shared" si="889"/>
        <v/>
      </c>
      <c r="AE442" s="43"/>
      <c r="AF442" s="58" t="s">
        <v>72</v>
      </c>
      <c r="AG442" s="55" t="str">
        <f t="shared" si="11"/>
        <v/>
      </c>
    </row>
    <row r="443">
      <c r="A443" s="7" t="str">
        <f>IFERROR(__xludf.DUMMYFUNCTION("""COMPUTED_VALUE"""),"AH7938")</f>
        <v>AH7938</v>
      </c>
      <c r="B443" s="308">
        <f>IFERROR(__xludf.DUMMYFUNCTION("""COMPUTED_VALUE"""),44869.0)</f>
        <v>44869</v>
      </c>
      <c r="C443" s="309">
        <f>IFERROR(__xludf.DUMMYFUNCTION("""COMPUTED_VALUE"""),0.24412037037037038)</f>
        <v>0.2441203704</v>
      </c>
      <c r="D443" s="7" t="str">
        <f>IFERROR(__xludf.DUMMYFUNCTION("""COMPUTED_VALUE"""),"SpABRM516158")</f>
        <v>SpABRM516158</v>
      </c>
      <c r="E443" s="310"/>
      <c r="F443" s="310"/>
      <c r="G443" s="310" t="str">
        <f>IFERROR(__xludf.DUMMYFUNCTION("""COMPUTED_VALUE"""),"Negative")</f>
        <v>Negative</v>
      </c>
      <c r="H443" s="319" t="str">
        <f>IFERROR(__xludf.DUMMYFUNCTION("""COMPUTED_VALUE"""),"Negative")</f>
        <v>Negative</v>
      </c>
      <c r="I443" s="308">
        <f>IFERROR(__xludf.DUMMYFUNCTION("""COMPUTED_VALUE"""),44869.0)</f>
        <v>44869</v>
      </c>
      <c r="J443" s="311">
        <f>IFERROR(__xludf.DUMMYFUNCTION("""COMPUTED_VALUE"""),0.43657407407407406)</f>
        <v>0.4365740741</v>
      </c>
      <c r="K443" s="54"/>
      <c r="L443" s="7"/>
      <c r="M443" s="312"/>
      <c r="N443" s="172">
        <f>IFERROR(__xludf.DUMMYFUNCTION("""COMPUTED_VALUE"""),1.0)</f>
        <v>1</v>
      </c>
      <c r="O443" s="172" t="str">
        <f t="shared" si="3"/>
        <v/>
      </c>
      <c r="P443" s="313">
        <f>IFERROR(__xludf.DUMMYFUNCTION("""COMPUTED_VALUE"""),0.0)</f>
        <v>0</v>
      </c>
      <c r="Q443" s="76" t="b">
        <f>VLOOKUP($B443,'Run Reconcile'!B$2:O1399,14,FALSE)</f>
        <v>1</v>
      </c>
      <c r="R443" s="314" t="str">
        <f t="array" ref="R443">IF($Q443, INDEX('Run Reconcile'!A$2:A1399,MATCH(B443,'Run Reconcile'!B$2:B1399,0),1),IFERROR(0/0,""))</f>
        <v>RUN-ABRM_2022-11-04_RFR-064</v>
      </c>
      <c r="S443" s="315" t="str">
        <f t="shared" ref="S443:T443" si="890">IF(COUNTIF(W$2:W1399, $A443) &gt; 0,TRUE,IFERROR(0/0,""))</f>
        <v/>
      </c>
      <c r="T443" s="315" t="str">
        <f t="shared" si="890"/>
        <v/>
      </c>
      <c r="U443" s="114" t="str">
        <f t="array" ref="U443">IF(ISBLANK($R443), INDEX('Run Reconcile'!A$2:A1399, MATCH($B443, 'Run Reconcile'!B$2:B1399, 0)+Z443, 1), IFERROR(0/0,""))
</f>
        <v/>
      </c>
      <c r="V443" s="316" t="str">
        <f t="shared" si="5"/>
        <v>RUN-ABRM_2022-11-04_RFR-064</v>
      </c>
      <c r="Y443" s="317" t="str">
        <f t="shared" si="6"/>
        <v/>
      </c>
      <c r="Z443" s="83" t="str">
        <f t="shared" si="7"/>
        <v/>
      </c>
      <c r="AA443" s="83" t="str">
        <f t="shared" si="8"/>
        <v/>
      </c>
      <c r="AB443" s="83" t="str">
        <f t="shared" si="9"/>
        <v/>
      </c>
      <c r="AC443" s="18" t="str">
        <f t="shared" ref="AC443:AD443" si="891">IF(_xlfn.ISFORMULA(S443),IFERROR(0/0,""),TRUE)</f>
        <v/>
      </c>
      <c r="AD443" s="18" t="str">
        <f t="shared" si="891"/>
        <v/>
      </c>
      <c r="AE443" s="43"/>
      <c r="AF443" s="58" t="s">
        <v>72</v>
      </c>
      <c r="AG443" s="55" t="str">
        <f t="shared" si="11"/>
        <v/>
      </c>
    </row>
    <row r="444">
      <c r="A444" s="7" t="str">
        <f>IFERROR(__xludf.DUMMYFUNCTION("""COMPUTED_VALUE"""),"AG1987")</f>
        <v>AG1987</v>
      </c>
      <c r="B444" s="308">
        <f>IFERROR(__xludf.DUMMYFUNCTION("""COMPUTED_VALUE"""),44869.0)</f>
        <v>44869</v>
      </c>
      <c r="C444" s="309">
        <f>IFERROR(__xludf.DUMMYFUNCTION("""COMPUTED_VALUE"""),0.29585648148148147)</f>
        <v>0.2958564815</v>
      </c>
      <c r="D444" s="7" t="str">
        <f>IFERROR(__xludf.DUMMYFUNCTION("""COMPUTED_VALUE"""),"SpABRM188986")</f>
        <v>SpABRM188986</v>
      </c>
      <c r="E444" s="310"/>
      <c r="F444" s="310"/>
      <c r="G444" s="310" t="str">
        <f>IFERROR(__xludf.DUMMYFUNCTION("""COMPUTED_VALUE"""),"Negative")</f>
        <v>Negative</v>
      </c>
      <c r="H444" s="319" t="str">
        <f>IFERROR(__xludf.DUMMYFUNCTION("""COMPUTED_VALUE"""),"Negative")</f>
        <v>Negative</v>
      </c>
      <c r="I444" s="308">
        <f>IFERROR(__xludf.DUMMYFUNCTION("""COMPUTED_VALUE"""),44869.0)</f>
        <v>44869</v>
      </c>
      <c r="J444" s="311">
        <f>IFERROR(__xludf.DUMMYFUNCTION("""COMPUTED_VALUE"""),0.43657407407407406)</f>
        <v>0.4365740741</v>
      </c>
      <c r="K444" s="54"/>
      <c r="L444" s="7"/>
      <c r="M444" s="312"/>
      <c r="N444" s="172">
        <f>IFERROR(__xludf.DUMMYFUNCTION("""COMPUTED_VALUE"""),2.0)</f>
        <v>2</v>
      </c>
      <c r="O444" s="172" t="str">
        <f t="shared" si="3"/>
        <v/>
      </c>
      <c r="P444" s="313">
        <f>IFERROR(__xludf.DUMMYFUNCTION("""COMPUTED_VALUE"""),0.0)</f>
        <v>0</v>
      </c>
      <c r="Q444" s="76" t="b">
        <f>VLOOKUP($B444,'Run Reconcile'!B$2:O1399,14,FALSE)</f>
        <v>1</v>
      </c>
      <c r="R444" s="314" t="str">
        <f t="array" ref="R444">IF($Q444, INDEX('Run Reconcile'!A$2:A1399,MATCH(B444,'Run Reconcile'!B$2:B1399,0),1),IFERROR(0/0,""))</f>
        <v>RUN-ABRM_2022-11-04_RFR-064</v>
      </c>
      <c r="S444" s="315" t="str">
        <f t="shared" ref="S444:T444" si="892">IF(COUNTIF(W$2:W1399, $A444) &gt; 0,TRUE,IFERROR(0/0,""))</f>
        <v/>
      </c>
      <c r="T444" s="315" t="str">
        <f t="shared" si="892"/>
        <v/>
      </c>
      <c r="U444" s="114" t="str">
        <f t="array" ref="U444">IF(ISBLANK($R444), INDEX('Run Reconcile'!A$2:A1399, MATCH($B444, 'Run Reconcile'!B$2:B1399, 0)+Z444, 1), IFERROR(0/0,""))
</f>
        <v/>
      </c>
      <c r="V444" s="316" t="str">
        <f t="shared" si="5"/>
        <v>RUN-ABRM_2022-11-04_RFR-064</v>
      </c>
      <c r="Y444" s="317" t="str">
        <f t="shared" si="6"/>
        <v/>
      </c>
      <c r="Z444" s="83" t="str">
        <f t="shared" si="7"/>
        <v/>
      </c>
      <c r="AA444" s="83" t="str">
        <f t="shared" si="8"/>
        <v/>
      </c>
      <c r="AB444" s="83" t="str">
        <f t="shared" si="9"/>
        <v/>
      </c>
      <c r="AC444" s="18" t="str">
        <f t="shared" ref="AC444:AD444" si="893">IF(_xlfn.ISFORMULA(S444),IFERROR(0/0,""),TRUE)</f>
        <v/>
      </c>
      <c r="AD444" s="18" t="str">
        <f t="shared" si="893"/>
        <v/>
      </c>
      <c r="AE444" s="43"/>
      <c r="AF444" s="58" t="s">
        <v>72</v>
      </c>
      <c r="AG444" s="55" t="str">
        <f t="shared" si="11"/>
        <v/>
      </c>
    </row>
    <row r="445">
      <c r="A445" s="7" t="str">
        <f>IFERROR(__xludf.DUMMYFUNCTION("""COMPUTED_VALUE"""),"AG1108")</f>
        <v>AG1108</v>
      </c>
      <c r="B445" s="308">
        <f>IFERROR(__xludf.DUMMYFUNCTION("""COMPUTED_VALUE"""),44869.0)</f>
        <v>44869</v>
      </c>
      <c r="C445" s="309">
        <f>IFERROR(__xludf.DUMMYFUNCTION("""COMPUTED_VALUE"""),0.29616898148148146)</f>
        <v>0.2961689815</v>
      </c>
      <c r="D445" s="7" t="str">
        <f>IFERROR(__xludf.DUMMYFUNCTION("""COMPUTED_VALUE"""),"SpABRM655136")</f>
        <v>SpABRM655136</v>
      </c>
      <c r="E445" s="310"/>
      <c r="F445" s="310"/>
      <c r="G445" s="310" t="str">
        <f>IFERROR(__xludf.DUMMYFUNCTION("""COMPUTED_VALUE"""),"Negative")</f>
        <v>Negative</v>
      </c>
      <c r="H445" s="319" t="str">
        <f>IFERROR(__xludf.DUMMYFUNCTION("""COMPUTED_VALUE"""),"Negative")</f>
        <v>Negative</v>
      </c>
      <c r="I445" s="308">
        <f>IFERROR(__xludf.DUMMYFUNCTION("""COMPUTED_VALUE"""),44869.0)</f>
        <v>44869</v>
      </c>
      <c r="J445" s="311">
        <f>IFERROR(__xludf.DUMMYFUNCTION("""COMPUTED_VALUE"""),0.43657407407407406)</f>
        <v>0.4365740741</v>
      </c>
      <c r="K445" s="54"/>
      <c r="L445" s="7"/>
      <c r="M445" s="312"/>
      <c r="N445" s="172">
        <f>IFERROR(__xludf.DUMMYFUNCTION("""COMPUTED_VALUE"""),2.0)</f>
        <v>2</v>
      </c>
      <c r="O445" s="172" t="str">
        <f t="shared" si="3"/>
        <v/>
      </c>
      <c r="P445" s="313">
        <f>IFERROR(__xludf.DUMMYFUNCTION("""COMPUTED_VALUE"""),0.0)</f>
        <v>0</v>
      </c>
      <c r="Q445" s="76" t="b">
        <f>VLOOKUP($B445,'Run Reconcile'!B$2:O1399,14,FALSE)</f>
        <v>1</v>
      </c>
      <c r="R445" s="314" t="str">
        <f t="array" ref="R445">IF($Q445, INDEX('Run Reconcile'!A$2:A1399,MATCH(B445,'Run Reconcile'!B$2:B1399,0),1),IFERROR(0/0,""))</f>
        <v>RUN-ABRM_2022-11-04_RFR-064</v>
      </c>
      <c r="S445" s="315" t="str">
        <f t="shared" ref="S445:T445" si="894">IF(COUNTIF(W$2:W1399, $A445) &gt; 0,TRUE,IFERROR(0/0,""))</f>
        <v/>
      </c>
      <c r="T445" s="315" t="str">
        <f t="shared" si="894"/>
        <v/>
      </c>
      <c r="U445" s="114" t="str">
        <f t="array" ref="U445">IF(ISBLANK($R445), INDEX('Run Reconcile'!A$2:A1399, MATCH($B445, 'Run Reconcile'!B$2:B1399, 0)+Z445, 1), IFERROR(0/0,""))
</f>
        <v/>
      </c>
      <c r="V445" s="316" t="str">
        <f t="shared" si="5"/>
        <v>RUN-ABRM_2022-11-04_RFR-064</v>
      </c>
      <c r="Y445" s="317" t="str">
        <f t="shared" si="6"/>
        <v/>
      </c>
      <c r="Z445" s="83" t="str">
        <f t="shared" si="7"/>
        <v/>
      </c>
      <c r="AA445" s="83" t="str">
        <f t="shared" si="8"/>
        <v/>
      </c>
      <c r="AB445" s="83" t="str">
        <f t="shared" si="9"/>
        <v/>
      </c>
      <c r="AC445" s="18" t="str">
        <f t="shared" ref="AC445:AD445" si="895">IF(_xlfn.ISFORMULA(S445),IFERROR(0/0,""),TRUE)</f>
        <v/>
      </c>
      <c r="AD445" s="18" t="str">
        <f t="shared" si="895"/>
        <v/>
      </c>
      <c r="AE445" s="43"/>
      <c r="AF445" s="58" t="s">
        <v>72</v>
      </c>
      <c r="AG445" s="55" t="str">
        <f t="shared" si="11"/>
        <v/>
      </c>
    </row>
    <row r="446">
      <c r="A446" s="7" t="str">
        <f>IFERROR(__xludf.DUMMYFUNCTION("""COMPUTED_VALUE"""),"AJ8434")</f>
        <v>AJ8434</v>
      </c>
      <c r="B446" s="308">
        <f>IFERROR(__xludf.DUMMYFUNCTION("""COMPUTED_VALUE"""),44869.0)</f>
        <v>44869</v>
      </c>
      <c r="C446" s="309">
        <f>IFERROR(__xludf.DUMMYFUNCTION("""COMPUTED_VALUE"""),0.30135416666666665)</f>
        <v>0.3013541667</v>
      </c>
      <c r="D446" s="7" t="str">
        <f>IFERROR(__xludf.DUMMYFUNCTION("""COMPUTED_VALUE"""),"SpABRM297307")</f>
        <v>SpABRM297307</v>
      </c>
      <c r="E446" s="310"/>
      <c r="F446" s="310"/>
      <c r="G446" s="310" t="str">
        <f>IFERROR(__xludf.DUMMYFUNCTION("""COMPUTED_VALUE"""),"Negative")</f>
        <v>Negative</v>
      </c>
      <c r="H446" s="319" t="str">
        <f>IFERROR(__xludf.DUMMYFUNCTION("""COMPUTED_VALUE"""),"Negative")</f>
        <v>Negative</v>
      </c>
      <c r="I446" s="308">
        <f>IFERROR(__xludf.DUMMYFUNCTION("""COMPUTED_VALUE"""),44869.0)</f>
        <v>44869</v>
      </c>
      <c r="J446" s="311">
        <f>IFERROR(__xludf.DUMMYFUNCTION("""COMPUTED_VALUE"""),0.43657407407407406)</f>
        <v>0.4365740741</v>
      </c>
      <c r="K446" s="54"/>
      <c r="L446" s="7"/>
      <c r="M446" s="312"/>
      <c r="N446" s="172">
        <f>IFERROR(__xludf.DUMMYFUNCTION("""COMPUTED_VALUE"""),4.0)</f>
        <v>4</v>
      </c>
      <c r="O446" s="172" t="str">
        <f t="shared" si="3"/>
        <v/>
      </c>
      <c r="P446" s="313">
        <f>IFERROR(__xludf.DUMMYFUNCTION("""COMPUTED_VALUE"""),0.0)</f>
        <v>0</v>
      </c>
      <c r="Q446" s="76" t="b">
        <f>VLOOKUP($B446,'Run Reconcile'!B$2:O1399,14,FALSE)</f>
        <v>1</v>
      </c>
      <c r="R446" s="314" t="str">
        <f t="array" ref="R446">IF($Q446, INDEX('Run Reconcile'!A$2:A1399,MATCH(B446,'Run Reconcile'!B$2:B1399,0),1),IFERROR(0/0,""))</f>
        <v>RUN-ABRM_2022-11-04_RFR-064</v>
      </c>
      <c r="S446" s="315" t="str">
        <f t="shared" ref="S446:T446" si="896">IF(COUNTIF(W$2:W1399, $A446) &gt; 0,TRUE,IFERROR(0/0,""))</f>
        <v/>
      </c>
      <c r="T446" s="315" t="str">
        <f t="shared" si="896"/>
        <v/>
      </c>
      <c r="U446" s="114" t="str">
        <f t="array" ref="U446">IF(ISBLANK($R446), INDEX('Run Reconcile'!A$2:A1399, MATCH($B446, 'Run Reconcile'!B$2:B1399, 0)+Z446, 1), IFERROR(0/0,""))
</f>
        <v/>
      </c>
      <c r="V446" s="316" t="str">
        <f t="shared" si="5"/>
        <v>RUN-ABRM_2022-11-04_RFR-064</v>
      </c>
      <c r="Y446" s="317" t="str">
        <f t="shared" si="6"/>
        <v/>
      </c>
      <c r="Z446" s="83" t="str">
        <f t="shared" si="7"/>
        <v/>
      </c>
      <c r="AA446" s="83" t="str">
        <f t="shared" si="8"/>
        <v/>
      </c>
      <c r="AB446" s="83" t="str">
        <f t="shared" si="9"/>
        <v/>
      </c>
      <c r="AC446" s="18" t="str">
        <f t="shared" ref="AC446:AD446" si="897">IF(_xlfn.ISFORMULA(S446),IFERROR(0/0,""),TRUE)</f>
        <v/>
      </c>
      <c r="AD446" s="18" t="str">
        <f t="shared" si="897"/>
        <v/>
      </c>
      <c r="AE446" s="43"/>
      <c r="AF446" s="58" t="s">
        <v>72</v>
      </c>
      <c r="AG446" s="55" t="str">
        <f t="shared" si="11"/>
        <v/>
      </c>
    </row>
    <row r="447">
      <c r="A447" s="7" t="str">
        <f>IFERROR(__xludf.DUMMYFUNCTION("""COMPUTED_VALUE"""),"AH9056")</f>
        <v>AH9056</v>
      </c>
      <c r="B447" s="308">
        <f>IFERROR(__xludf.DUMMYFUNCTION("""COMPUTED_VALUE"""),44869.0)</f>
        <v>44869</v>
      </c>
      <c r="C447" s="309">
        <f>IFERROR(__xludf.DUMMYFUNCTION("""COMPUTED_VALUE"""),0.3534259259259259)</f>
        <v>0.3534259259</v>
      </c>
      <c r="D447" s="7" t="str">
        <f>IFERROR(__xludf.DUMMYFUNCTION("""COMPUTED_VALUE"""),"SpABRM188986")</f>
        <v>SpABRM188986</v>
      </c>
      <c r="E447" s="310"/>
      <c r="F447" s="310"/>
      <c r="G447" s="310" t="str">
        <f>IFERROR(__xludf.DUMMYFUNCTION("""COMPUTED_VALUE"""),"Negative")</f>
        <v>Negative</v>
      </c>
      <c r="H447" s="319" t="str">
        <f>IFERROR(__xludf.DUMMYFUNCTION("""COMPUTED_VALUE"""),"Negative")</f>
        <v>Negative</v>
      </c>
      <c r="I447" s="308">
        <f>IFERROR(__xludf.DUMMYFUNCTION("""COMPUTED_VALUE"""),44869.0)</f>
        <v>44869</v>
      </c>
      <c r="J447" s="311">
        <f>IFERROR(__xludf.DUMMYFUNCTION("""COMPUTED_VALUE"""),0.43657407407407406)</f>
        <v>0.4365740741</v>
      </c>
      <c r="K447" s="54"/>
      <c r="L447" s="7"/>
      <c r="M447" s="312"/>
      <c r="N447" s="172">
        <f>IFERROR(__xludf.DUMMYFUNCTION("""COMPUTED_VALUE"""),1.0)</f>
        <v>1</v>
      </c>
      <c r="O447" s="172" t="str">
        <f t="shared" si="3"/>
        <v/>
      </c>
      <c r="P447" s="313">
        <f>IFERROR(__xludf.DUMMYFUNCTION("""COMPUTED_VALUE"""),0.0)</f>
        <v>0</v>
      </c>
      <c r="Q447" s="76" t="b">
        <f>VLOOKUP($B447,'Run Reconcile'!B$2:O1399,14,FALSE)</f>
        <v>1</v>
      </c>
      <c r="R447" s="314" t="str">
        <f t="array" ref="R447">IF($Q447, INDEX('Run Reconcile'!A$2:A1399,MATCH(B447,'Run Reconcile'!B$2:B1399,0),1),IFERROR(0/0,""))</f>
        <v>RUN-ABRM_2022-11-04_RFR-064</v>
      </c>
      <c r="S447" s="315" t="str">
        <f t="shared" ref="S447:T447" si="898">IF(COUNTIF(W$2:W1399, $A447) &gt; 0,TRUE,IFERROR(0/0,""))</f>
        <v/>
      </c>
      <c r="T447" s="315" t="str">
        <f t="shared" si="898"/>
        <v/>
      </c>
      <c r="U447" s="114" t="str">
        <f t="array" ref="U447">IF(ISBLANK($R447), INDEX('Run Reconcile'!A$2:A1399, MATCH($B447, 'Run Reconcile'!B$2:B1399, 0)+Z447, 1), IFERROR(0/0,""))
</f>
        <v/>
      </c>
      <c r="V447" s="316" t="str">
        <f t="shared" si="5"/>
        <v>RUN-ABRM_2022-11-04_RFR-064</v>
      </c>
      <c r="Y447" s="317" t="str">
        <f t="shared" si="6"/>
        <v/>
      </c>
      <c r="Z447" s="83" t="str">
        <f t="shared" si="7"/>
        <v/>
      </c>
      <c r="AA447" s="83" t="str">
        <f t="shared" si="8"/>
        <v/>
      </c>
      <c r="AB447" s="83" t="str">
        <f t="shared" si="9"/>
        <v/>
      </c>
      <c r="AC447" s="18" t="str">
        <f t="shared" ref="AC447:AD447" si="899">IF(_xlfn.ISFORMULA(S447),IFERROR(0/0,""),TRUE)</f>
        <v/>
      </c>
      <c r="AD447" s="18" t="str">
        <f t="shared" si="899"/>
        <v/>
      </c>
      <c r="AE447" s="43"/>
      <c r="AF447" s="58" t="s">
        <v>72</v>
      </c>
      <c r="AG447" s="55" t="str">
        <f t="shared" si="11"/>
        <v/>
      </c>
    </row>
    <row r="448">
      <c r="A448" s="7" t="str">
        <f>IFERROR(__xludf.DUMMYFUNCTION("""COMPUTED_VALUE"""),"AG1025")</f>
        <v>AG1025</v>
      </c>
      <c r="B448" s="308">
        <f>IFERROR(__xludf.DUMMYFUNCTION("""COMPUTED_VALUE"""),44872.0)</f>
        <v>44872</v>
      </c>
      <c r="C448" s="309">
        <f>IFERROR(__xludf.DUMMYFUNCTION("""COMPUTED_VALUE"""),0.21693287037037037)</f>
        <v>0.2169328704</v>
      </c>
      <c r="D448" s="7" t="str">
        <f>IFERROR(__xludf.DUMMYFUNCTION("""COMPUTED_VALUE"""),"SpABRM516158")</f>
        <v>SpABRM516158</v>
      </c>
      <c r="E448" s="310"/>
      <c r="F448" s="310"/>
      <c r="G448" s="310" t="str">
        <f>IFERROR(__xludf.DUMMYFUNCTION("""COMPUTED_VALUE"""),"Negative")</f>
        <v>Negative</v>
      </c>
      <c r="H448" s="319" t="str">
        <f>IFERROR(__xludf.DUMMYFUNCTION("""COMPUTED_VALUE"""),"Negative")</f>
        <v>Negative</v>
      </c>
      <c r="I448" s="308">
        <f>IFERROR(__xludf.DUMMYFUNCTION("""COMPUTED_VALUE"""),44872.0)</f>
        <v>44872</v>
      </c>
      <c r="J448" s="311">
        <f>IFERROR(__xludf.DUMMYFUNCTION("""COMPUTED_VALUE"""),0.39914351851851854)</f>
        <v>0.3991435185</v>
      </c>
      <c r="K448" s="54"/>
      <c r="L448" s="7"/>
      <c r="M448" s="312"/>
      <c r="N448" s="172">
        <f>IFERROR(__xludf.DUMMYFUNCTION("""COMPUTED_VALUE"""),1.0)</f>
        <v>1</v>
      </c>
      <c r="O448" s="172" t="b">
        <f t="shared" si="3"/>
        <v>1</v>
      </c>
      <c r="P448" s="313">
        <f>IFERROR(__xludf.DUMMYFUNCTION("""COMPUTED_VALUE"""),0.0)</f>
        <v>0</v>
      </c>
      <c r="Q448" s="76" t="b">
        <f>VLOOKUP($B448,'Run Reconcile'!B$2:O1399,14,FALSE)</f>
        <v>1</v>
      </c>
      <c r="R448" s="314" t="str">
        <f t="array" ref="R448">IF($Q448, INDEX('Run Reconcile'!A$2:A1399,MATCH(B448,'Run Reconcile'!B$2:B1399,0),1),IFERROR(0/0,""))</f>
        <v>RUN-ABRM_2022-11-07_RFR-066</v>
      </c>
      <c r="S448" s="315" t="str">
        <f t="shared" ref="S448:T448" si="900">IF(COUNTIF(W$2:W1399, $A448) &gt; 0,TRUE,IFERROR(0/0,""))</f>
        <v/>
      </c>
      <c r="T448" s="315" t="str">
        <f t="shared" si="900"/>
        <v/>
      </c>
      <c r="U448" s="114" t="str">
        <f t="array" ref="U448">IF(ISBLANK($R448), INDEX('Run Reconcile'!A$2:A1399, MATCH($B448, 'Run Reconcile'!B$2:B1399, 0)+Z448, 1), IFERROR(0/0,""))
</f>
        <v/>
      </c>
      <c r="V448" s="316" t="str">
        <f t="shared" si="5"/>
        <v>RUN-ABRM_2022-11-07_RFR-066</v>
      </c>
      <c r="Y448" s="317" t="str">
        <f t="shared" si="6"/>
        <v/>
      </c>
      <c r="Z448" s="83" t="str">
        <f t="shared" si="7"/>
        <v/>
      </c>
      <c r="AA448" s="83" t="str">
        <f t="shared" si="8"/>
        <v/>
      </c>
      <c r="AB448" s="83" t="str">
        <f t="shared" si="9"/>
        <v/>
      </c>
      <c r="AC448" s="18" t="str">
        <f t="shared" ref="AC448:AD448" si="901">IF(_xlfn.ISFORMULA(S448),IFERROR(0/0,""),TRUE)</f>
        <v/>
      </c>
      <c r="AD448" s="18" t="str">
        <f t="shared" si="901"/>
        <v/>
      </c>
      <c r="AE448" s="43"/>
      <c r="AF448" s="58" t="s">
        <v>73</v>
      </c>
      <c r="AG448" s="55" t="str">
        <f t="shared" si="11"/>
        <v/>
      </c>
    </row>
    <row r="449">
      <c r="A449" s="7" t="str">
        <f>IFERROR(__xludf.DUMMYFUNCTION("""COMPUTED_VALUE"""),"AJ9719")</f>
        <v>AJ9719</v>
      </c>
      <c r="B449" s="308">
        <f>IFERROR(__xludf.DUMMYFUNCTION("""COMPUTED_VALUE"""),44872.0)</f>
        <v>44872</v>
      </c>
      <c r="C449" s="309">
        <f>IFERROR(__xludf.DUMMYFUNCTION("""COMPUTED_VALUE"""),0.23297453703703705)</f>
        <v>0.232974537</v>
      </c>
      <c r="D449" s="7" t="str">
        <f>IFERROR(__xludf.DUMMYFUNCTION("""COMPUTED_VALUE"""),"SpABRM454310")</f>
        <v>SpABRM454310</v>
      </c>
      <c r="E449" s="310"/>
      <c r="F449" s="310"/>
      <c r="G449" s="310" t="str">
        <f>IFERROR(__xludf.DUMMYFUNCTION("""COMPUTED_VALUE"""),"Null")</f>
        <v>Null</v>
      </c>
      <c r="H449" s="319" t="str">
        <f>IFERROR(__xludf.DUMMYFUNCTION("""COMPUTED_VALUE"""),"Negative")</f>
        <v>Negative</v>
      </c>
      <c r="I449" s="319"/>
      <c r="J449" s="54"/>
      <c r="K449" s="54">
        <f>IFERROR(__xludf.DUMMYFUNCTION("""COMPUTED_VALUE"""),2.0)</f>
        <v>2</v>
      </c>
      <c r="L449" s="7"/>
      <c r="M449" s="312"/>
      <c r="N449" s="172">
        <f>IFERROR(__xludf.DUMMYFUNCTION("""COMPUTED_VALUE"""),3.0)</f>
        <v>3</v>
      </c>
      <c r="O449" s="172" t="str">
        <f t="shared" si="3"/>
        <v/>
      </c>
      <c r="P449" s="313">
        <f>IFERROR(__xludf.DUMMYFUNCTION("""COMPUTED_VALUE"""),-1.0)</f>
        <v>-1</v>
      </c>
      <c r="Q449" s="76" t="b">
        <f>VLOOKUP($B449,'Run Reconcile'!B$2:O1399,14,FALSE)</f>
        <v>1</v>
      </c>
      <c r="R449" s="314" t="str">
        <f t="array" ref="R449">IF($Q449, INDEX('Run Reconcile'!A$2:A1399,MATCH(B449,'Run Reconcile'!B$2:B1399,0),1),IFERROR(0/0,""))</f>
        <v>RUN-ABRM_2022-11-07_RFR-066</v>
      </c>
      <c r="S449" s="315" t="str">
        <f t="shared" ref="S449:T449" si="902">IF(COUNTIF(W$2:W1399, $A449) &gt; 0,TRUE,IFERROR(0/0,""))</f>
        <v/>
      </c>
      <c r="T449" s="315" t="str">
        <f t="shared" si="902"/>
        <v/>
      </c>
      <c r="U449" s="114" t="str">
        <f t="array" ref="U449">IF(ISBLANK($R449), INDEX('Run Reconcile'!A$2:A1399, MATCH($B449, 'Run Reconcile'!B$2:B1399, 0)+Z449, 1), IFERROR(0/0,""))
</f>
        <v/>
      </c>
      <c r="V449" s="316" t="str">
        <f t="shared" si="5"/>
        <v>RUN-ABRM_2022-11-07_RFR-066</v>
      </c>
      <c r="Y449" s="317" t="str">
        <f t="shared" si="6"/>
        <v/>
      </c>
      <c r="Z449" s="83" t="str">
        <f t="shared" si="7"/>
        <v/>
      </c>
      <c r="AA449" s="83" t="str">
        <f t="shared" si="8"/>
        <v/>
      </c>
      <c r="AB449" s="83" t="str">
        <f t="shared" si="9"/>
        <v/>
      </c>
      <c r="AC449" s="18" t="str">
        <f t="shared" ref="AC449:AD449" si="903">IF(_xlfn.ISFORMULA(S449),IFERROR(0/0,""),TRUE)</f>
        <v/>
      </c>
      <c r="AD449" s="18" t="str">
        <f t="shared" si="903"/>
        <v/>
      </c>
      <c r="AE449" s="43"/>
      <c r="AF449" s="58" t="s">
        <v>73</v>
      </c>
      <c r="AG449" s="55" t="str">
        <f t="shared" si="11"/>
        <v/>
      </c>
    </row>
    <row r="450">
      <c r="A450" s="7" t="str">
        <f>IFERROR(__xludf.DUMMYFUNCTION("""COMPUTED_VALUE"""),"AH8167")</f>
        <v>AH8167</v>
      </c>
      <c r="B450" s="308">
        <f>IFERROR(__xludf.DUMMYFUNCTION("""COMPUTED_VALUE"""),44872.0)</f>
        <v>44872</v>
      </c>
      <c r="C450" s="309">
        <f>IFERROR(__xludf.DUMMYFUNCTION("""COMPUTED_VALUE"""),0.2706365740740741)</f>
        <v>0.2706365741</v>
      </c>
      <c r="D450" s="7" t="str">
        <f>IFERROR(__xludf.DUMMYFUNCTION("""COMPUTED_VALUE"""),"SpABRM655136")</f>
        <v>SpABRM655136</v>
      </c>
      <c r="E450" s="310"/>
      <c r="F450" s="310"/>
      <c r="G450" s="310" t="str">
        <f>IFERROR(__xludf.DUMMYFUNCTION("""COMPUTED_VALUE"""),"Negative")</f>
        <v>Negative</v>
      </c>
      <c r="H450" s="319" t="str">
        <f>IFERROR(__xludf.DUMMYFUNCTION("""COMPUTED_VALUE"""),"Negative")</f>
        <v>Negative</v>
      </c>
      <c r="I450" s="308">
        <f>IFERROR(__xludf.DUMMYFUNCTION("""COMPUTED_VALUE"""),44872.0)</f>
        <v>44872</v>
      </c>
      <c r="J450" s="311">
        <f>IFERROR(__xludf.DUMMYFUNCTION("""COMPUTED_VALUE"""),0.39914351851851854)</f>
        <v>0.3991435185</v>
      </c>
      <c r="K450" s="54"/>
      <c r="L450" s="7"/>
      <c r="M450" s="312"/>
      <c r="N450" s="172">
        <f>IFERROR(__xludf.DUMMYFUNCTION("""COMPUTED_VALUE"""),2.0)</f>
        <v>2</v>
      </c>
      <c r="O450" s="172" t="str">
        <f t="shared" si="3"/>
        <v/>
      </c>
      <c r="P450" s="313">
        <f>IFERROR(__xludf.DUMMYFUNCTION("""COMPUTED_VALUE"""),0.0)</f>
        <v>0</v>
      </c>
      <c r="Q450" s="76" t="b">
        <f>VLOOKUP($B450,'Run Reconcile'!B$2:O1399,14,FALSE)</f>
        <v>1</v>
      </c>
      <c r="R450" s="314" t="str">
        <f t="array" ref="R450">IF($Q450, INDEX('Run Reconcile'!A$2:A1399,MATCH(B450,'Run Reconcile'!B$2:B1399,0),1),IFERROR(0/0,""))</f>
        <v>RUN-ABRM_2022-11-07_RFR-066</v>
      </c>
      <c r="S450" s="315" t="str">
        <f t="shared" ref="S450:T450" si="904">IF(COUNTIF(W$2:W1399, $A450) &gt; 0,TRUE,IFERROR(0/0,""))</f>
        <v/>
      </c>
      <c r="T450" s="315" t="str">
        <f t="shared" si="904"/>
        <v/>
      </c>
      <c r="U450" s="114" t="str">
        <f t="array" ref="U450">IF(ISBLANK($R450), INDEX('Run Reconcile'!A$2:A1399, MATCH($B450, 'Run Reconcile'!B$2:B1399, 0)+Z450, 1), IFERROR(0/0,""))
</f>
        <v/>
      </c>
      <c r="V450" s="316" t="str">
        <f t="shared" si="5"/>
        <v>RUN-ABRM_2022-11-07_RFR-066</v>
      </c>
      <c r="Y450" s="317" t="str">
        <f t="shared" si="6"/>
        <v/>
      </c>
      <c r="Z450" s="83" t="str">
        <f t="shared" si="7"/>
        <v/>
      </c>
      <c r="AA450" s="83" t="str">
        <f t="shared" si="8"/>
        <v/>
      </c>
      <c r="AB450" s="83" t="str">
        <f t="shared" si="9"/>
        <v/>
      </c>
      <c r="AC450" s="18" t="str">
        <f t="shared" ref="AC450:AD450" si="905">IF(_xlfn.ISFORMULA(S450),IFERROR(0/0,""),TRUE)</f>
        <v/>
      </c>
      <c r="AD450" s="18" t="str">
        <f t="shared" si="905"/>
        <v/>
      </c>
      <c r="AE450" s="43"/>
      <c r="AF450" s="58" t="s">
        <v>73</v>
      </c>
      <c r="AG450" s="55" t="str">
        <f t="shared" si="11"/>
        <v/>
      </c>
    </row>
    <row r="451">
      <c r="A451" s="7" t="str">
        <f>IFERROR(__xludf.DUMMYFUNCTION("""COMPUTED_VALUE"""),"AJ9707")</f>
        <v>AJ9707</v>
      </c>
      <c r="B451" s="308">
        <f>IFERROR(__xludf.DUMMYFUNCTION("""COMPUTED_VALUE"""),44872.0)</f>
        <v>44872</v>
      </c>
      <c r="C451" s="309">
        <f>IFERROR(__xludf.DUMMYFUNCTION("""COMPUTED_VALUE"""),0.28859953703703706)</f>
        <v>0.288599537</v>
      </c>
      <c r="D451" s="7" t="str">
        <f>IFERROR(__xludf.DUMMYFUNCTION("""COMPUTED_VALUE"""),"SpABRM297307")</f>
        <v>SpABRM297307</v>
      </c>
      <c r="E451" s="310"/>
      <c r="F451" s="310"/>
      <c r="G451" s="310" t="str">
        <f>IFERROR(__xludf.DUMMYFUNCTION("""COMPUTED_VALUE"""),"Negative")</f>
        <v>Negative</v>
      </c>
      <c r="H451" s="319" t="str">
        <f>IFERROR(__xludf.DUMMYFUNCTION("""COMPUTED_VALUE"""),"Negative")</f>
        <v>Negative</v>
      </c>
      <c r="I451" s="308">
        <f>IFERROR(__xludf.DUMMYFUNCTION("""COMPUTED_VALUE"""),44872.0)</f>
        <v>44872</v>
      </c>
      <c r="J451" s="311">
        <f>IFERROR(__xludf.DUMMYFUNCTION("""COMPUTED_VALUE"""),0.3991550925925926)</f>
        <v>0.3991550926</v>
      </c>
      <c r="K451" s="54"/>
      <c r="L451" s="7"/>
      <c r="M451" s="312"/>
      <c r="N451" s="172">
        <f>IFERROR(__xludf.DUMMYFUNCTION("""COMPUTED_VALUE"""),3.0)</f>
        <v>3</v>
      </c>
      <c r="O451" s="172" t="str">
        <f t="shared" si="3"/>
        <v/>
      </c>
      <c r="P451" s="313">
        <f>IFERROR(__xludf.DUMMYFUNCTION("""COMPUTED_VALUE"""),0.0)</f>
        <v>0</v>
      </c>
      <c r="Q451" s="76" t="b">
        <f>VLOOKUP($B451,'Run Reconcile'!B$2:O1399,14,FALSE)</f>
        <v>1</v>
      </c>
      <c r="R451" s="314" t="str">
        <f t="array" ref="R451">IF($Q451, INDEX('Run Reconcile'!A$2:A1399,MATCH(B451,'Run Reconcile'!B$2:B1399,0),1),IFERROR(0/0,""))</f>
        <v>RUN-ABRM_2022-11-07_RFR-066</v>
      </c>
      <c r="S451" s="315" t="str">
        <f t="shared" ref="S451:T451" si="906">IF(COUNTIF(W$2:W1399, $A451) &gt; 0,TRUE,IFERROR(0/0,""))</f>
        <v/>
      </c>
      <c r="T451" s="315" t="str">
        <f t="shared" si="906"/>
        <v/>
      </c>
      <c r="U451" s="114" t="str">
        <f t="array" ref="U451">IF(ISBLANK($R451), INDEX('Run Reconcile'!A$2:A1399, MATCH($B451, 'Run Reconcile'!B$2:B1399, 0)+Z451, 1), IFERROR(0/0,""))
</f>
        <v/>
      </c>
      <c r="V451" s="316" t="str">
        <f t="shared" si="5"/>
        <v>RUN-ABRM_2022-11-07_RFR-066</v>
      </c>
      <c r="Y451" s="317" t="str">
        <f t="shared" si="6"/>
        <v/>
      </c>
      <c r="Z451" s="83" t="str">
        <f t="shared" si="7"/>
        <v/>
      </c>
      <c r="AA451" s="83" t="str">
        <f t="shared" si="8"/>
        <v/>
      </c>
      <c r="AB451" s="83" t="str">
        <f t="shared" si="9"/>
        <v/>
      </c>
      <c r="AC451" s="18" t="str">
        <f t="shared" ref="AC451:AD451" si="907">IF(_xlfn.ISFORMULA(S451),IFERROR(0/0,""),TRUE)</f>
        <v/>
      </c>
      <c r="AD451" s="18" t="str">
        <f t="shared" si="907"/>
        <v/>
      </c>
      <c r="AE451" s="43"/>
      <c r="AF451" s="58" t="s">
        <v>73</v>
      </c>
      <c r="AG451" s="55" t="str">
        <f t="shared" si="11"/>
        <v/>
      </c>
    </row>
    <row r="452">
      <c r="A452" s="7" t="str">
        <f>IFERROR(__xludf.DUMMYFUNCTION("""COMPUTED_VALUE"""),"AG44")</f>
        <v>AG44</v>
      </c>
      <c r="B452" s="308">
        <f>IFERROR(__xludf.DUMMYFUNCTION("""COMPUTED_VALUE"""),44872.0)</f>
        <v>44872</v>
      </c>
      <c r="C452" s="309">
        <f>IFERROR(__xludf.DUMMYFUNCTION("""COMPUTED_VALUE"""),0.2925115740740741)</f>
        <v>0.2925115741</v>
      </c>
      <c r="D452" s="7" t="str">
        <f>IFERROR(__xludf.DUMMYFUNCTION("""COMPUTED_VALUE"""),"SpABRM367540")</f>
        <v>SpABRM367540</v>
      </c>
      <c r="E452" s="310"/>
      <c r="F452" s="310"/>
      <c r="G452" s="310" t="str">
        <f>IFERROR(__xludf.DUMMYFUNCTION("""COMPUTED_VALUE"""),"Negative")</f>
        <v>Negative</v>
      </c>
      <c r="H452" s="319" t="str">
        <f>IFERROR(__xludf.DUMMYFUNCTION("""COMPUTED_VALUE"""),"Negative")</f>
        <v>Negative</v>
      </c>
      <c r="I452" s="308">
        <f>IFERROR(__xludf.DUMMYFUNCTION("""COMPUTED_VALUE"""),44872.0)</f>
        <v>44872</v>
      </c>
      <c r="J452" s="311">
        <f>IFERROR(__xludf.DUMMYFUNCTION("""COMPUTED_VALUE"""),0.4038425925925926)</f>
        <v>0.4038425926</v>
      </c>
      <c r="K452" s="54"/>
      <c r="L452" s="7"/>
      <c r="M452" s="312"/>
      <c r="N452" s="172">
        <f>IFERROR(__xludf.DUMMYFUNCTION("""COMPUTED_VALUE"""),3.0)</f>
        <v>3</v>
      </c>
      <c r="O452" s="172" t="str">
        <f t="shared" si="3"/>
        <v/>
      </c>
      <c r="P452" s="313">
        <f>IFERROR(__xludf.DUMMYFUNCTION("""COMPUTED_VALUE"""),0.0)</f>
        <v>0</v>
      </c>
      <c r="Q452" s="76" t="b">
        <f>VLOOKUP($B452,'Run Reconcile'!B$2:O1399,14,FALSE)</f>
        <v>1</v>
      </c>
      <c r="R452" s="314" t="str">
        <f t="array" ref="R452">IF($Q452, INDEX('Run Reconcile'!A$2:A1399,MATCH(B452,'Run Reconcile'!B$2:B1399,0),1),IFERROR(0/0,""))</f>
        <v>RUN-ABRM_2022-11-07_RFR-066</v>
      </c>
      <c r="S452" s="315" t="str">
        <f t="shared" ref="S452:T452" si="908">IF(COUNTIF(W$2:W1399, $A452) &gt; 0,TRUE,IFERROR(0/0,""))</f>
        <v/>
      </c>
      <c r="T452" s="315" t="str">
        <f t="shared" si="908"/>
        <v/>
      </c>
      <c r="U452" s="114" t="str">
        <f t="array" ref="U452">IF(ISBLANK($R452), INDEX('Run Reconcile'!A$2:A1399, MATCH($B452, 'Run Reconcile'!B$2:B1399, 0)+Z452, 1), IFERROR(0/0,""))
</f>
        <v/>
      </c>
      <c r="V452" s="316" t="str">
        <f t="shared" si="5"/>
        <v>RUN-ABRM_2022-11-07_RFR-066</v>
      </c>
      <c r="Y452" s="317" t="str">
        <f t="shared" si="6"/>
        <v/>
      </c>
      <c r="Z452" s="83" t="str">
        <f t="shared" si="7"/>
        <v/>
      </c>
      <c r="AA452" s="83" t="str">
        <f t="shared" si="8"/>
        <v/>
      </c>
      <c r="AB452" s="83" t="str">
        <f t="shared" si="9"/>
        <v/>
      </c>
      <c r="AC452" s="18" t="str">
        <f t="shared" ref="AC452:AD452" si="909">IF(_xlfn.ISFORMULA(S452),IFERROR(0/0,""),TRUE)</f>
        <v/>
      </c>
      <c r="AD452" s="18" t="str">
        <f t="shared" si="909"/>
        <v/>
      </c>
      <c r="AE452" s="43"/>
      <c r="AF452" s="58" t="s">
        <v>73</v>
      </c>
      <c r="AG452" s="55" t="str">
        <f t="shared" si="11"/>
        <v/>
      </c>
    </row>
    <row r="453">
      <c r="A453" s="7" t="str">
        <f>IFERROR(__xludf.DUMMYFUNCTION("""COMPUTED_VALUE"""),"AH8077")</f>
        <v>AH8077</v>
      </c>
      <c r="B453" s="308">
        <f>IFERROR(__xludf.DUMMYFUNCTION("""COMPUTED_VALUE"""),44872.0)</f>
        <v>44872</v>
      </c>
      <c r="C453" s="309">
        <f>IFERROR(__xludf.DUMMYFUNCTION("""COMPUTED_VALUE"""),0.29755787037037035)</f>
        <v>0.2975578704</v>
      </c>
      <c r="D453" s="7" t="str">
        <f>IFERROR(__xludf.DUMMYFUNCTION("""COMPUTED_VALUE"""),"SpABRM756011")</f>
        <v>SpABRM756011</v>
      </c>
      <c r="E453" s="310"/>
      <c r="F453" s="310"/>
      <c r="G453" s="310" t="str">
        <f>IFERROR(__xludf.DUMMYFUNCTION("""COMPUTED_VALUE"""),"Negative")</f>
        <v>Negative</v>
      </c>
      <c r="H453" s="319" t="str">
        <f>IFERROR(__xludf.DUMMYFUNCTION("""COMPUTED_VALUE"""),"Negative")</f>
        <v>Negative</v>
      </c>
      <c r="I453" s="308">
        <f>IFERROR(__xludf.DUMMYFUNCTION("""COMPUTED_VALUE"""),44872.0)</f>
        <v>44872</v>
      </c>
      <c r="J453" s="311">
        <f>IFERROR(__xludf.DUMMYFUNCTION("""COMPUTED_VALUE"""),0.3991550925925926)</f>
        <v>0.3991550926</v>
      </c>
      <c r="K453" s="54"/>
      <c r="L453" s="7"/>
      <c r="M453" s="312"/>
      <c r="N453" s="172">
        <f>IFERROR(__xludf.DUMMYFUNCTION("""COMPUTED_VALUE"""),2.0)</f>
        <v>2</v>
      </c>
      <c r="O453" s="172" t="str">
        <f t="shared" si="3"/>
        <v/>
      </c>
      <c r="P453" s="313">
        <f>IFERROR(__xludf.DUMMYFUNCTION("""COMPUTED_VALUE"""),0.0)</f>
        <v>0</v>
      </c>
      <c r="Q453" s="76" t="b">
        <f>VLOOKUP($B453,'Run Reconcile'!B$2:O1399,14,FALSE)</f>
        <v>1</v>
      </c>
      <c r="R453" s="314" t="str">
        <f t="array" ref="R453">IF($Q453, INDEX('Run Reconcile'!A$2:A1399,MATCH(B453,'Run Reconcile'!B$2:B1399,0),1),IFERROR(0/0,""))</f>
        <v>RUN-ABRM_2022-11-07_RFR-066</v>
      </c>
      <c r="S453" s="315" t="str">
        <f t="shared" ref="S453:T453" si="910">IF(COUNTIF(W$2:W1399, $A453) &gt; 0,TRUE,IFERROR(0/0,""))</f>
        <v/>
      </c>
      <c r="T453" s="315" t="str">
        <f t="shared" si="910"/>
        <v/>
      </c>
      <c r="U453" s="114" t="str">
        <f t="array" ref="U453">IF(ISBLANK($R453), INDEX('Run Reconcile'!A$2:A1399, MATCH($B453, 'Run Reconcile'!B$2:B1399, 0)+Z453, 1), IFERROR(0/0,""))
</f>
        <v/>
      </c>
      <c r="V453" s="316" t="str">
        <f t="shared" si="5"/>
        <v>RUN-ABRM_2022-11-07_RFR-066</v>
      </c>
      <c r="Y453" s="317" t="str">
        <f t="shared" si="6"/>
        <v/>
      </c>
      <c r="Z453" s="83" t="str">
        <f t="shared" si="7"/>
        <v/>
      </c>
      <c r="AA453" s="83" t="str">
        <f t="shared" si="8"/>
        <v/>
      </c>
      <c r="AB453" s="83" t="str">
        <f t="shared" si="9"/>
        <v/>
      </c>
      <c r="AC453" s="18" t="str">
        <f t="shared" ref="AC453:AD453" si="911">IF(_xlfn.ISFORMULA(S453),IFERROR(0/0,""),TRUE)</f>
        <v/>
      </c>
      <c r="AD453" s="18" t="str">
        <f t="shared" si="911"/>
        <v/>
      </c>
      <c r="AE453" s="43"/>
      <c r="AF453" s="58" t="s">
        <v>73</v>
      </c>
      <c r="AG453" s="55" t="str">
        <f t="shared" si="11"/>
        <v/>
      </c>
    </row>
    <row r="454">
      <c r="A454" s="7" t="str">
        <f>IFERROR(__xludf.DUMMYFUNCTION("""COMPUTED_VALUE"""),"AG1512")</f>
        <v>AG1512</v>
      </c>
      <c r="B454" s="308">
        <f>IFERROR(__xludf.DUMMYFUNCTION("""COMPUTED_VALUE"""),44872.0)</f>
        <v>44872</v>
      </c>
      <c r="C454" s="309">
        <f>IFERROR(__xludf.DUMMYFUNCTION("""COMPUTED_VALUE"""),0.31503472222222223)</f>
        <v>0.3150347222</v>
      </c>
      <c r="D454" s="7" t="str">
        <f>IFERROR(__xludf.DUMMYFUNCTION("""COMPUTED_VALUE"""),"SpABRM652382")</f>
        <v>SpABRM652382</v>
      </c>
      <c r="E454" s="310"/>
      <c r="F454" s="310"/>
      <c r="G454" s="310" t="str">
        <f>IFERROR(__xludf.DUMMYFUNCTION("""COMPUTED_VALUE"""),"Negative")</f>
        <v>Negative</v>
      </c>
      <c r="H454" s="319" t="str">
        <f>IFERROR(__xludf.DUMMYFUNCTION("""COMPUTED_VALUE"""),"Negative")</f>
        <v>Negative</v>
      </c>
      <c r="I454" s="308">
        <f>IFERROR(__xludf.DUMMYFUNCTION("""COMPUTED_VALUE"""),44872.0)</f>
        <v>44872</v>
      </c>
      <c r="J454" s="311">
        <f>IFERROR(__xludf.DUMMYFUNCTION("""COMPUTED_VALUE"""),0.3991550925925926)</f>
        <v>0.3991550926</v>
      </c>
      <c r="K454" s="54"/>
      <c r="L454" s="7"/>
      <c r="M454" s="312"/>
      <c r="N454" s="172">
        <f>IFERROR(__xludf.DUMMYFUNCTION("""COMPUTED_VALUE"""),3.0)</f>
        <v>3</v>
      </c>
      <c r="O454" s="172" t="str">
        <f t="shared" si="3"/>
        <v/>
      </c>
      <c r="P454" s="313">
        <f>IFERROR(__xludf.DUMMYFUNCTION("""COMPUTED_VALUE"""),0.0)</f>
        <v>0</v>
      </c>
      <c r="Q454" s="76" t="b">
        <f>VLOOKUP($B454,'Run Reconcile'!B$2:O1399,14,FALSE)</f>
        <v>1</v>
      </c>
      <c r="R454" s="314" t="str">
        <f t="array" ref="R454">IF($Q454, INDEX('Run Reconcile'!A$2:A1399,MATCH(B454,'Run Reconcile'!B$2:B1399,0),1),IFERROR(0/0,""))</f>
        <v>RUN-ABRM_2022-11-07_RFR-066</v>
      </c>
      <c r="S454" s="315" t="str">
        <f t="shared" ref="S454:T454" si="912">IF(COUNTIF(W$2:W1399, $A454) &gt; 0,TRUE,IFERROR(0/0,""))</f>
        <v/>
      </c>
      <c r="T454" s="315" t="str">
        <f t="shared" si="912"/>
        <v/>
      </c>
      <c r="U454" s="114" t="str">
        <f t="array" ref="U454">IF(ISBLANK($R454), INDEX('Run Reconcile'!A$2:A1399, MATCH($B454, 'Run Reconcile'!B$2:B1399, 0)+Z454, 1), IFERROR(0/0,""))
</f>
        <v/>
      </c>
      <c r="V454" s="316" t="str">
        <f t="shared" si="5"/>
        <v>RUN-ABRM_2022-11-07_RFR-066</v>
      </c>
      <c r="Y454" s="317" t="str">
        <f t="shared" si="6"/>
        <v/>
      </c>
      <c r="Z454" s="83" t="str">
        <f t="shared" si="7"/>
        <v/>
      </c>
      <c r="AA454" s="83" t="str">
        <f t="shared" si="8"/>
        <v/>
      </c>
      <c r="AB454" s="83" t="str">
        <f t="shared" si="9"/>
        <v/>
      </c>
      <c r="AC454" s="18" t="str">
        <f t="shared" ref="AC454:AD454" si="913">IF(_xlfn.ISFORMULA(S454),IFERROR(0/0,""),TRUE)</f>
        <v/>
      </c>
      <c r="AD454" s="18" t="str">
        <f t="shared" si="913"/>
        <v/>
      </c>
      <c r="AE454" s="43"/>
      <c r="AF454" s="58" t="s">
        <v>73</v>
      </c>
      <c r="AG454" s="55" t="str">
        <f t="shared" si="11"/>
        <v/>
      </c>
    </row>
    <row r="455">
      <c r="A455" s="7" t="str">
        <f>IFERROR(__xludf.DUMMYFUNCTION("""COMPUTED_VALUE"""),"AH8153")</f>
        <v>AH8153</v>
      </c>
      <c r="B455" s="308">
        <f>IFERROR(__xludf.DUMMYFUNCTION("""COMPUTED_VALUE"""),44872.0)</f>
        <v>44872</v>
      </c>
      <c r="C455" s="309">
        <f>IFERROR(__xludf.DUMMYFUNCTION("""COMPUTED_VALUE"""),0.32568287037037036)</f>
        <v>0.3256828704</v>
      </c>
      <c r="D455" s="7" t="str">
        <f>IFERROR(__xludf.DUMMYFUNCTION("""COMPUTED_VALUE"""),"SpABRM655136")</f>
        <v>SpABRM655136</v>
      </c>
      <c r="E455" s="310"/>
      <c r="F455" s="310"/>
      <c r="G455" s="310" t="str">
        <f>IFERROR(__xludf.DUMMYFUNCTION("""COMPUTED_VALUE"""),"Negative")</f>
        <v>Negative</v>
      </c>
      <c r="H455" s="319" t="str">
        <f>IFERROR(__xludf.DUMMYFUNCTION("""COMPUTED_VALUE"""),"Negative")</f>
        <v>Negative</v>
      </c>
      <c r="I455" s="308">
        <f>IFERROR(__xludf.DUMMYFUNCTION("""COMPUTED_VALUE"""),44872.0)</f>
        <v>44872</v>
      </c>
      <c r="J455" s="311">
        <f>IFERROR(__xludf.DUMMYFUNCTION("""COMPUTED_VALUE"""),0.39916666666666667)</f>
        <v>0.3991666667</v>
      </c>
      <c r="K455" s="54"/>
      <c r="L455" s="7"/>
      <c r="M455" s="312"/>
      <c r="N455" s="172">
        <f>IFERROR(__xludf.DUMMYFUNCTION("""COMPUTED_VALUE"""),2.0)</f>
        <v>2</v>
      </c>
      <c r="O455" s="172" t="str">
        <f t="shared" si="3"/>
        <v/>
      </c>
      <c r="P455" s="313">
        <f>IFERROR(__xludf.DUMMYFUNCTION("""COMPUTED_VALUE"""),0.0)</f>
        <v>0</v>
      </c>
      <c r="Q455" s="76" t="b">
        <f>VLOOKUP($B455,'Run Reconcile'!B$2:O1399,14,FALSE)</f>
        <v>1</v>
      </c>
      <c r="R455" s="314" t="str">
        <f t="array" ref="R455">IF($Q455, INDEX('Run Reconcile'!A$2:A1399,MATCH(B455,'Run Reconcile'!B$2:B1399,0),1),IFERROR(0/0,""))</f>
        <v>RUN-ABRM_2022-11-07_RFR-066</v>
      </c>
      <c r="S455" s="315" t="str">
        <f t="shared" ref="S455:T455" si="914">IF(COUNTIF(W$2:W1399, $A455) &gt; 0,TRUE,IFERROR(0/0,""))</f>
        <v/>
      </c>
      <c r="T455" s="315" t="str">
        <f t="shared" si="914"/>
        <v/>
      </c>
      <c r="U455" s="114" t="str">
        <f t="array" ref="U455">IF(ISBLANK($R455), INDEX('Run Reconcile'!A$2:A1399, MATCH($B455, 'Run Reconcile'!B$2:B1399, 0)+Z455, 1), IFERROR(0/0,""))
</f>
        <v/>
      </c>
      <c r="V455" s="316" t="str">
        <f t="shared" si="5"/>
        <v>RUN-ABRM_2022-11-07_RFR-066</v>
      </c>
      <c r="Y455" s="317" t="str">
        <f t="shared" si="6"/>
        <v/>
      </c>
      <c r="Z455" s="83" t="str">
        <f t="shared" si="7"/>
        <v/>
      </c>
      <c r="AA455" s="83" t="str">
        <f t="shared" si="8"/>
        <v/>
      </c>
      <c r="AB455" s="83" t="str">
        <f t="shared" si="9"/>
        <v/>
      </c>
      <c r="AC455" s="18" t="str">
        <f t="shared" ref="AC455:AD455" si="915">IF(_xlfn.ISFORMULA(S455),IFERROR(0/0,""),TRUE)</f>
        <v/>
      </c>
      <c r="AD455" s="18" t="str">
        <f t="shared" si="915"/>
        <v/>
      </c>
      <c r="AE455" s="43"/>
      <c r="AF455" s="58" t="s">
        <v>73</v>
      </c>
      <c r="AG455" s="55" t="str">
        <f t="shared" si="11"/>
        <v/>
      </c>
    </row>
    <row r="456">
      <c r="A456" s="7" t="str">
        <f>IFERROR(__xludf.DUMMYFUNCTION("""COMPUTED_VALUE"""),"AJ8563")</f>
        <v>AJ8563</v>
      </c>
      <c r="B456" s="308">
        <f>IFERROR(__xludf.DUMMYFUNCTION("""COMPUTED_VALUE"""),44872.0)</f>
        <v>44872</v>
      </c>
      <c r="C456" s="309">
        <f>IFERROR(__xludf.DUMMYFUNCTION("""COMPUTED_VALUE"""),0.32743055555555556)</f>
        <v>0.3274305556</v>
      </c>
      <c r="D456" s="7" t="str">
        <f>IFERROR(__xludf.DUMMYFUNCTION("""COMPUTED_VALUE"""),"SpABRM655136")</f>
        <v>SpABRM655136</v>
      </c>
      <c r="E456" s="310"/>
      <c r="F456" s="310"/>
      <c r="G456" s="310" t="str">
        <f>IFERROR(__xludf.DUMMYFUNCTION("""COMPUTED_VALUE"""),"Negative")</f>
        <v>Negative</v>
      </c>
      <c r="H456" s="319" t="str">
        <f>IFERROR(__xludf.DUMMYFUNCTION("""COMPUTED_VALUE"""),"Negative")</f>
        <v>Negative</v>
      </c>
      <c r="I456" s="308">
        <f>IFERROR(__xludf.DUMMYFUNCTION("""COMPUTED_VALUE"""),44872.0)</f>
        <v>44872</v>
      </c>
      <c r="J456" s="311">
        <f>IFERROR(__xludf.DUMMYFUNCTION("""COMPUTED_VALUE"""),0.39916666666666667)</f>
        <v>0.3991666667</v>
      </c>
      <c r="K456" s="54"/>
      <c r="L456" s="7"/>
      <c r="M456" s="312"/>
      <c r="N456" s="172">
        <f>IFERROR(__xludf.DUMMYFUNCTION("""COMPUTED_VALUE"""),1.0)</f>
        <v>1</v>
      </c>
      <c r="O456" s="172" t="str">
        <f t="shared" si="3"/>
        <v/>
      </c>
      <c r="P456" s="313">
        <f>IFERROR(__xludf.DUMMYFUNCTION("""COMPUTED_VALUE"""),0.0)</f>
        <v>0</v>
      </c>
      <c r="Q456" s="76" t="b">
        <f>VLOOKUP($B456,'Run Reconcile'!B$2:O1399,14,FALSE)</f>
        <v>1</v>
      </c>
      <c r="R456" s="314" t="str">
        <f t="array" ref="R456">IF($Q456, INDEX('Run Reconcile'!A$2:A1399,MATCH(B456,'Run Reconcile'!B$2:B1399,0),1),IFERROR(0/0,""))</f>
        <v>RUN-ABRM_2022-11-07_RFR-066</v>
      </c>
      <c r="S456" s="315" t="str">
        <f t="shared" ref="S456:T456" si="916">IF(COUNTIF(W$2:W1399, $A456) &gt; 0,TRUE,IFERROR(0/0,""))</f>
        <v/>
      </c>
      <c r="T456" s="315" t="str">
        <f t="shared" si="916"/>
        <v/>
      </c>
      <c r="U456" s="114" t="str">
        <f t="array" ref="U456">IF(ISBLANK($R456), INDEX('Run Reconcile'!A$2:A1399, MATCH($B456, 'Run Reconcile'!B$2:B1399, 0)+Z456, 1), IFERROR(0/0,""))
</f>
        <v/>
      </c>
      <c r="V456" s="316" t="str">
        <f t="shared" si="5"/>
        <v>RUN-ABRM_2022-11-07_RFR-066</v>
      </c>
      <c r="Y456" s="317" t="str">
        <f t="shared" si="6"/>
        <v/>
      </c>
      <c r="Z456" s="83" t="str">
        <f t="shared" si="7"/>
        <v/>
      </c>
      <c r="AA456" s="83" t="str">
        <f t="shared" si="8"/>
        <v/>
      </c>
      <c r="AB456" s="83" t="str">
        <f t="shared" si="9"/>
        <v/>
      </c>
      <c r="AC456" s="18" t="str">
        <f t="shared" ref="AC456:AD456" si="917">IF(_xlfn.ISFORMULA(S456),IFERROR(0/0,""),TRUE)</f>
        <v/>
      </c>
      <c r="AD456" s="18" t="str">
        <f t="shared" si="917"/>
        <v/>
      </c>
      <c r="AE456" s="43"/>
      <c r="AF456" s="58" t="s">
        <v>73</v>
      </c>
      <c r="AG456" s="55" t="str">
        <f t="shared" si="11"/>
        <v/>
      </c>
    </row>
    <row r="457">
      <c r="A457" s="7" t="str">
        <f>IFERROR(__xludf.DUMMYFUNCTION("""COMPUTED_VALUE"""),"AG1644")</f>
        <v>AG1644</v>
      </c>
      <c r="B457" s="308">
        <f>IFERROR(__xludf.DUMMYFUNCTION("""COMPUTED_VALUE"""),44873.0)</f>
        <v>44873</v>
      </c>
      <c r="C457" s="309">
        <f>IFERROR(__xludf.DUMMYFUNCTION("""COMPUTED_VALUE"""),0.20737268518518517)</f>
        <v>0.2073726852</v>
      </c>
      <c r="D457" s="7" t="str">
        <f>IFERROR(__xludf.DUMMYFUNCTION("""COMPUTED_VALUE"""),"SpABRM516158")</f>
        <v>SpABRM516158</v>
      </c>
      <c r="E457" s="310"/>
      <c r="F457" s="310"/>
      <c r="G457" s="310" t="str">
        <f>IFERROR(__xludf.DUMMYFUNCTION("""COMPUTED_VALUE"""),"Negative")</f>
        <v>Negative</v>
      </c>
      <c r="H457" s="319" t="str">
        <f>IFERROR(__xludf.DUMMYFUNCTION("""COMPUTED_VALUE"""),"Negative")</f>
        <v>Negative</v>
      </c>
      <c r="I457" s="308">
        <f>IFERROR(__xludf.DUMMYFUNCTION("""COMPUTED_VALUE"""),44873.0)</f>
        <v>44873</v>
      </c>
      <c r="J457" s="311">
        <f>IFERROR(__xludf.DUMMYFUNCTION("""COMPUTED_VALUE"""),0.38363425925925926)</f>
        <v>0.3836342593</v>
      </c>
      <c r="K457" s="54"/>
      <c r="L457" s="7"/>
      <c r="M457" s="312"/>
      <c r="N457" s="172">
        <f>IFERROR(__xludf.DUMMYFUNCTION("""COMPUTED_VALUE"""),1.0)</f>
        <v>1</v>
      </c>
      <c r="O457" s="172" t="b">
        <f t="shared" si="3"/>
        <v>1</v>
      </c>
      <c r="P457" s="313">
        <f>IFERROR(__xludf.DUMMYFUNCTION("""COMPUTED_VALUE"""),0.0)</f>
        <v>0</v>
      </c>
      <c r="Q457" s="76" t="b">
        <f>VLOOKUP($B457,'Run Reconcile'!B$2:O1399,14,FALSE)</f>
        <v>1</v>
      </c>
      <c r="R457" s="314" t="str">
        <f t="array" ref="R457">IF($Q457, INDEX('Run Reconcile'!A$2:A1399,MATCH(B457,'Run Reconcile'!B$2:B1399,0),1),IFERROR(0/0,""))</f>
        <v>RUN-ABRM_2022-11-08_RFR-068</v>
      </c>
      <c r="S457" s="315" t="str">
        <f t="shared" ref="S457:T457" si="918">IF(COUNTIF(W$2:W1399, $A457) &gt; 0,TRUE,IFERROR(0/0,""))</f>
        <v/>
      </c>
      <c r="T457" s="315" t="str">
        <f t="shared" si="918"/>
        <v/>
      </c>
      <c r="U457" s="114" t="str">
        <f t="array" ref="U457">IF(ISBLANK($R457), INDEX('Run Reconcile'!A$2:A1399, MATCH($B457, 'Run Reconcile'!B$2:B1399, 0)+Z457, 1), IFERROR(0/0,""))
</f>
        <v/>
      </c>
      <c r="V457" s="316" t="str">
        <f t="shared" si="5"/>
        <v>RUN-ABRM_2022-11-08_RFR-068</v>
      </c>
      <c r="Y457" s="317" t="str">
        <f t="shared" si="6"/>
        <v/>
      </c>
      <c r="Z457" s="83" t="str">
        <f t="shared" si="7"/>
        <v/>
      </c>
      <c r="AA457" s="83" t="str">
        <f t="shared" si="8"/>
        <v/>
      </c>
      <c r="AB457" s="83" t="str">
        <f t="shared" si="9"/>
        <v/>
      </c>
      <c r="AC457" s="18" t="str">
        <f t="shared" ref="AC457:AD457" si="919">IF(_xlfn.ISFORMULA(S457),IFERROR(0/0,""),TRUE)</f>
        <v/>
      </c>
      <c r="AD457" s="18" t="str">
        <f t="shared" si="919"/>
        <v/>
      </c>
      <c r="AE457" s="43"/>
      <c r="AF457" s="58" t="s">
        <v>74</v>
      </c>
      <c r="AG457" s="55" t="str">
        <f t="shared" si="11"/>
        <v/>
      </c>
    </row>
    <row r="458">
      <c r="A458" s="7" t="str">
        <f>IFERROR(__xludf.DUMMYFUNCTION("""COMPUTED_VALUE"""),"AG656")</f>
        <v>AG656</v>
      </c>
      <c r="B458" s="308">
        <f>IFERROR(__xludf.DUMMYFUNCTION("""COMPUTED_VALUE"""),44873.0)</f>
        <v>44873</v>
      </c>
      <c r="C458" s="309">
        <f>IFERROR(__xludf.DUMMYFUNCTION("""COMPUTED_VALUE"""),0.2831134259259259)</f>
        <v>0.2831134259</v>
      </c>
      <c r="D458" s="7" t="str">
        <f>IFERROR(__xludf.DUMMYFUNCTION("""COMPUTED_VALUE"""),"SpABRM367540")</f>
        <v>SpABRM367540</v>
      </c>
      <c r="E458" s="310"/>
      <c r="F458" s="310"/>
      <c r="G458" s="310" t="str">
        <f>IFERROR(__xludf.DUMMYFUNCTION("""COMPUTED_VALUE"""),"Negative")</f>
        <v>Negative</v>
      </c>
      <c r="H458" s="319" t="str">
        <f>IFERROR(__xludf.DUMMYFUNCTION("""COMPUTED_VALUE"""),"Negative")</f>
        <v>Negative</v>
      </c>
      <c r="I458" s="308">
        <f>IFERROR(__xludf.DUMMYFUNCTION("""COMPUTED_VALUE"""),44873.0)</f>
        <v>44873</v>
      </c>
      <c r="J458" s="311">
        <f>IFERROR(__xludf.DUMMYFUNCTION("""COMPUTED_VALUE"""),0.38364583333333335)</f>
        <v>0.3836458333</v>
      </c>
      <c r="K458" s="54"/>
      <c r="L458" s="7"/>
      <c r="M458" s="312"/>
      <c r="N458" s="172">
        <f>IFERROR(__xludf.DUMMYFUNCTION("""COMPUTED_VALUE"""),3.0)</f>
        <v>3</v>
      </c>
      <c r="O458" s="172" t="str">
        <f t="shared" si="3"/>
        <v/>
      </c>
      <c r="P458" s="313">
        <f>IFERROR(__xludf.DUMMYFUNCTION("""COMPUTED_VALUE"""),0.0)</f>
        <v>0</v>
      </c>
      <c r="Q458" s="76" t="b">
        <f>VLOOKUP($B458,'Run Reconcile'!B$2:O1399,14,FALSE)</f>
        <v>1</v>
      </c>
      <c r="R458" s="314" t="str">
        <f t="array" ref="R458">IF($Q458, INDEX('Run Reconcile'!A$2:A1399,MATCH(B458,'Run Reconcile'!B$2:B1399,0),1),IFERROR(0/0,""))</f>
        <v>RUN-ABRM_2022-11-08_RFR-068</v>
      </c>
      <c r="S458" s="315" t="str">
        <f t="shared" ref="S458:T458" si="920">IF(COUNTIF(W$2:W1399, $A458) &gt; 0,TRUE,IFERROR(0/0,""))</f>
        <v/>
      </c>
      <c r="T458" s="315" t="str">
        <f t="shared" si="920"/>
        <v/>
      </c>
      <c r="U458" s="114" t="str">
        <f t="array" ref="U458">IF(ISBLANK($R458), INDEX('Run Reconcile'!A$2:A1399, MATCH($B458, 'Run Reconcile'!B$2:B1399, 0)+Z458, 1), IFERROR(0/0,""))
</f>
        <v/>
      </c>
      <c r="V458" s="316" t="str">
        <f t="shared" si="5"/>
        <v>RUN-ABRM_2022-11-08_RFR-068</v>
      </c>
      <c r="Y458" s="317" t="str">
        <f t="shared" si="6"/>
        <v/>
      </c>
      <c r="Z458" s="83" t="str">
        <f t="shared" si="7"/>
        <v/>
      </c>
      <c r="AA458" s="83" t="str">
        <f t="shared" si="8"/>
        <v/>
      </c>
      <c r="AB458" s="83" t="str">
        <f t="shared" si="9"/>
        <v/>
      </c>
      <c r="AC458" s="18" t="str">
        <f t="shared" ref="AC458:AD458" si="921">IF(_xlfn.ISFORMULA(S458),IFERROR(0/0,""),TRUE)</f>
        <v/>
      </c>
      <c r="AD458" s="18" t="str">
        <f t="shared" si="921"/>
        <v/>
      </c>
      <c r="AE458" s="43"/>
      <c r="AF458" s="58" t="s">
        <v>74</v>
      </c>
      <c r="AG458" s="55" t="str">
        <f t="shared" si="11"/>
        <v/>
      </c>
    </row>
    <row r="459">
      <c r="A459" s="7" t="str">
        <f>IFERROR(__xludf.DUMMYFUNCTION("""COMPUTED_VALUE"""),"AG2935")</f>
        <v>AG2935</v>
      </c>
      <c r="B459" s="308">
        <f>IFERROR(__xludf.DUMMYFUNCTION("""COMPUTED_VALUE"""),44873.0)</f>
        <v>44873</v>
      </c>
      <c r="C459" s="309">
        <f>IFERROR(__xludf.DUMMYFUNCTION("""COMPUTED_VALUE"""),0.3020138888888889)</f>
        <v>0.3020138889</v>
      </c>
      <c r="D459" s="7" t="str">
        <f>IFERROR(__xludf.DUMMYFUNCTION("""COMPUTED_VALUE"""),"SpABRM454310")</f>
        <v>SpABRM454310</v>
      </c>
      <c r="E459" s="310"/>
      <c r="F459" s="310"/>
      <c r="G459" s="310" t="str">
        <f>IFERROR(__xludf.DUMMYFUNCTION("""COMPUTED_VALUE"""),"Negative")</f>
        <v>Negative</v>
      </c>
      <c r="H459" s="319" t="str">
        <f>IFERROR(__xludf.DUMMYFUNCTION("""COMPUTED_VALUE"""),"Negative")</f>
        <v>Negative</v>
      </c>
      <c r="I459" s="308">
        <f>IFERROR(__xludf.DUMMYFUNCTION("""COMPUTED_VALUE"""),44873.0)</f>
        <v>44873</v>
      </c>
      <c r="J459" s="311">
        <f>IFERROR(__xludf.DUMMYFUNCTION("""COMPUTED_VALUE"""),0.38364583333333335)</f>
        <v>0.3836458333</v>
      </c>
      <c r="K459" s="54"/>
      <c r="L459" s="7"/>
      <c r="M459" s="312"/>
      <c r="N459" s="172">
        <f>IFERROR(__xludf.DUMMYFUNCTION("""COMPUTED_VALUE"""),3.0)</f>
        <v>3</v>
      </c>
      <c r="O459" s="172" t="str">
        <f t="shared" si="3"/>
        <v/>
      </c>
      <c r="P459" s="313">
        <f>IFERROR(__xludf.DUMMYFUNCTION("""COMPUTED_VALUE"""),0.0)</f>
        <v>0</v>
      </c>
      <c r="Q459" s="76" t="b">
        <f>VLOOKUP($B459,'Run Reconcile'!B$2:O1399,14,FALSE)</f>
        <v>1</v>
      </c>
      <c r="R459" s="314" t="str">
        <f t="array" ref="R459">IF($Q459, INDEX('Run Reconcile'!A$2:A1399,MATCH(B459,'Run Reconcile'!B$2:B1399,0),1),IFERROR(0/0,""))</f>
        <v>RUN-ABRM_2022-11-08_RFR-068</v>
      </c>
      <c r="S459" s="315" t="str">
        <f t="shared" ref="S459:T459" si="922">IF(COUNTIF(W$2:W1399, $A459) &gt; 0,TRUE,IFERROR(0/0,""))</f>
        <v/>
      </c>
      <c r="T459" s="315" t="str">
        <f t="shared" si="922"/>
        <v/>
      </c>
      <c r="U459" s="114" t="str">
        <f t="array" ref="U459">IF(ISBLANK($R459), INDEX('Run Reconcile'!A$2:A1399, MATCH($B459, 'Run Reconcile'!B$2:B1399, 0)+Z459, 1), IFERROR(0/0,""))
</f>
        <v/>
      </c>
      <c r="V459" s="316" t="str">
        <f t="shared" si="5"/>
        <v>RUN-ABRM_2022-11-08_RFR-068</v>
      </c>
      <c r="Y459" s="317" t="str">
        <f t="shared" si="6"/>
        <v/>
      </c>
      <c r="Z459" s="83" t="str">
        <f t="shared" si="7"/>
        <v/>
      </c>
      <c r="AA459" s="83" t="str">
        <f t="shared" si="8"/>
        <v/>
      </c>
      <c r="AB459" s="83" t="str">
        <f t="shared" si="9"/>
        <v/>
      </c>
      <c r="AC459" s="18" t="str">
        <f t="shared" ref="AC459:AD459" si="923">IF(_xlfn.ISFORMULA(S459),IFERROR(0/0,""),TRUE)</f>
        <v/>
      </c>
      <c r="AD459" s="18" t="str">
        <f t="shared" si="923"/>
        <v/>
      </c>
      <c r="AE459" s="43"/>
      <c r="AF459" s="58" t="s">
        <v>74</v>
      </c>
      <c r="AG459" s="55" t="str">
        <f t="shared" si="11"/>
        <v/>
      </c>
    </row>
    <row r="460">
      <c r="A460" s="7" t="str">
        <f>IFERROR(__xludf.DUMMYFUNCTION("""COMPUTED_VALUE"""),"AG1832")</f>
        <v>AG1832</v>
      </c>
      <c r="B460" s="308">
        <f>IFERROR(__xludf.DUMMYFUNCTION("""COMPUTED_VALUE"""),44873.0)</f>
        <v>44873</v>
      </c>
      <c r="C460" s="309">
        <f>IFERROR(__xludf.DUMMYFUNCTION("""COMPUTED_VALUE"""),0.3113078703703704)</f>
        <v>0.3113078704</v>
      </c>
      <c r="D460" s="7" t="str">
        <f>IFERROR(__xludf.DUMMYFUNCTION("""COMPUTED_VALUE"""),"SpABRM188986")</f>
        <v>SpABRM188986</v>
      </c>
      <c r="E460" s="310"/>
      <c r="F460" s="310"/>
      <c r="G460" s="310" t="str">
        <f>IFERROR(__xludf.DUMMYFUNCTION("""COMPUTED_VALUE"""),"Negative")</f>
        <v>Negative</v>
      </c>
      <c r="H460" s="319" t="str">
        <f>IFERROR(__xludf.DUMMYFUNCTION("""COMPUTED_VALUE"""),"Negative")</f>
        <v>Negative</v>
      </c>
      <c r="I460" s="308">
        <f>IFERROR(__xludf.DUMMYFUNCTION("""COMPUTED_VALUE"""),44873.0)</f>
        <v>44873</v>
      </c>
      <c r="J460" s="311">
        <f>IFERROR(__xludf.DUMMYFUNCTION("""COMPUTED_VALUE"""),0.38364583333333335)</f>
        <v>0.3836458333</v>
      </c>
      <c r="K460" s="54"/>
      <c r="L460" s="7"/>
      <c r="M460" s="312"/>
      <c r="N460" s="172">
        <f>IFERROR(__xludf.DUMMYFUNCTION("""COMPUTED_VALUE"""),2.0)</f>
        <v>2</v>
      </c>
      <c r="O460" s="172" t="str">
        <f t="shared" si="3"/>
        <v/>
      </c>
      <c r="P460" s="313">
        <f>IFERROR(__xludf.DUMMYFUNCTION("""COMPUTED_VALUE"""),0.0)</f>
        <v>0</v>
      </c>
      <c r="Q460" s="76" t="b">
        <f>VLOOKUP($B460,'Run Reconcile'!B$2:O1399,14,FALSE)</f>
        <v>1</v>
      </c>
      <c r="R460" s="314" t="str">
        <f t="array" ref="R460">IF($Q460, INDEX('Run Reconcile'!A$2:A1399,MATCH(B460,'Run Reconcile'!B$2:B1399,0),1),IFERROR(0/0,""))</f>
        <v>RUN-ABRM_2022-11-08_RFR-068</v>
      </c>
      <c r="S460" s="315" t="str">
        <f t="shared" ref="S460:T460" si="924">IF(COUNTIF(W$2:W1399, $A460) &gt; 0,TRUE,IFERROR(0/0,""))</f>
        <v/>
      </c>
      <c r="T460" s="315" t="str">
        <f t="shared" si="924"/>
        <v/>
      </c>
      <c r="U460" s="114" t="str">
        <f t="array" ref="U460">IF(ISBLANK($R460), INDEX('Run Reconcile'!A$2:A1399, MATCH($B460, 'Run Reconcile'!B$2:B1399, 0)+Z460, 1), IFERROR(0/0,""))
</f>
        <v/>
      </c>
      <c r="V460" s="316" t="str">
        <f t="shared" si="5"/>
        <v>RUN-ABRM_2022-11-08_RFR-068</v>
      </c>
      <c r="Y460" s="317" t="str">
        <f t="shared" si="6"/>
        <v/>
      </c>
      <c r="Z460" s="83" t="str">
        <f t="shared" si="7"/>
        <v/>
      </c>
      <c r="AA460" s="83" t="str">
        <f t="shared" si="8"/>
        <v/>
      </c>
      <c r="AB460" s="83" t="str">
        <f t="shared" si="9"/>
        <v/>
      </c>
      <c r="AC460" s="18" t="str">
        <f t="shared" ref="AC460:AD460" si="925">IF(_xlfn.ISFORMULA(S460),IFERROR(0/0,""),TRUE)</f>
        <v/>
      </c>
      <c r="AD460" s="18" t="str">
        <f t="shared" si="925"/>
        <v/>
      </c>
      <c r="AE460" s="43"/>
      <c r="AF460" s="58" t="s">
        <v>74</v>
      </c>
      <c r="AG460" s="55" t="str">
        <f t="shared" si="11"/>
        <v/>
      </c>
    </row>
    <row r="461">
      <c r="A461" s="7" t="str">
        <f>IFERROR(__xludf.DUMMYFUNCTION("""COMPUTED_VALUE"""),"AH8925")</f>
        <v>AH8925</v>
      </c>
      <c r="B461" s="308">
        <f>IFERROR(__xludf.DUMMYFUNCTION("""COMPUTED_VALUE"""),44873.0)</f>
        <v>44873</v>
      </c>
      <c r="C461" s="309">
        <f>IFERROR(__xludf.DUMMYFUNCTION("""COMPUTED_VALUE"""),0.3119560185185185)</f>
        <v>0.3119560185</v>
      </c>
      <c r="D461" s="7" t="str">
        <f>IFERROR(__xludf.DUMMYFUNCTION("""COMPUTED_VALUE"""),"SpABRM655136")</f>
        <v>SpABRM655136</v>
      </c>
      <c r="E461" s="310"/>
      <c r="F461" s="310"/>
      <c r="G461" s="310" t="str">
        <f>IFERROR(__xludf.DUMMYFUNCTION("""COMPUTED_VALUE"""),"Negative")</f>
        <v>Negative</v>
      </c>
      <c r="H461" s="319" t="str">
        <f>IFERROR(__xludf.DUMMYFUNCTION("""COMPUTED_VALUE"""),"Negative")</f>
        <v>Negative</v>
      </c>
      <c r="I461" s="308">
        <f>IFERROR(__xludf.DUMMYFUNCTION("""COMPUTED_VALUE"""),44873.0)</f>
        <v>44873</v>
      </c>
      <c r="J461" s="311">
        <f>IFERROR(__xludf.DUMMYFUNCTION("""COMPUTED_VALUE"""),0.3836574074074074)</f>
        <v>0.3836574074</v>
      </c>
      <c r="K461" s="54"/>
      <c r="L461" s="7"/>
      <c r="M461" s="312"/>
      <c r="N461" s="172">
        <f>IFERROR(__xludf.DUMMYFUNCTION("""COMPUTED_VALUE"""),2.0)</f>
        <v>2</v>
      </c>
      <c r="O461" s="172" t="str">
        <f t="shared" si="3"/>
        <v/>
      </c>
      <c r="P461" s="313">
        <f>IFERROR(__xludf.DUMMYFUNCTION("""COMPUTED_VALUE"""),0.0)</f>
        <v>0</v>
      </c>
      <c r="Q461" s="76" t="b">
        <f>VLOOKUP($B461,'Run Reconcile'!B$2:O1399,14,FALSE)</f>
        <v>1</v>
      </c>
      <c r="R461" s="314" t="str">
        <f t="array" ref="R461">IF($Q461, INDEX('Run Reconcile'!A$2:A1399,MATCH(B461,'Run Reconcile'!B$2:B1399,0),1),IFERROR(0/0,""))</f>
        <v>RUN-ABRM_2022-11-08_RFR-068</v>
      </c>
      <c r="S461" s="315" t="str">
        <f t="shared" ref="S461:T461" si="926">IF(COUNTIF(W$2:W1399, $A461) &gt; 0,TRUE,IFERROR(0/0,""))</f>
        <v/>
      </c>
      <c r="T461" s="315" t="str">
        <f t="shared" si="926"/>
        <v/>
      </c>
      <c r="U461" s="114" t="str">
        <f t="array" ref="U461">IF(ISBLANK($R461), INDEX('Run Reconcile'!A$2:A1399, MATCH($B461, 'Run Reconcile'!B$2:B1399, 0)+Z461, 1), IFERROR(0/0,""))
</f>
        <v/>
      </c>
      <c r="V461" s="316" t="str">
        <f t="shared" si="5"/>
        <v>RUN-ABRM_2022-11-08_RFR-068</v>
      </c>
      <c r="Y461" s="317" t="str">
        <f t="shared" si="6"/>
        <v/>
      </c>
      <c r="Z461" s="83" t="str">
        <f t="shared" si="7"/>
        <v/>
      </c>
      <c r="AA461" s="83" t="str">
        <f t="shared" si="8"/>
        <v/>
      </c>
      <c r="AB461" s="83" t="str">
        <f t="shared" si="9"/>
        <v/>
      </c>
      <c r="AC461" s="18" t="str">
        <f t="shared" ref="AC461:AD461" si="927">IF(_xlfn.ISFORMULA(S461),IFERROR(0/0,""),TRUE)</f>
        <v/>
      </c>
      <c r="AD461" s="18" t="str">
        <f t="shared" si="927"/>
        <v/>
      </c>
      <c r="AE461" s="43"/>
      <c r="AF461" s="58" t="s">
        <v>74</v>
      </c>
      <c r="AG461" s="55" t="str">
        <f t="shared" si="11"/>
        <v/>
      </c>
    </row>
    <row r="462">
      <c r="A462" s="7" t="str">
        <f>IFERROR(__xludf.DUMMYFUNCTION("""COMPUTED_VALUE"""),"AK8018")</f>
        <v>AK8018</v>
      </c>
      <c r="B462" s="308">
        <f>IFERROR(__xludf.DUMMYFUNCTION("""COMPUTED_VALUE"""),44873.0)</f>
        <v>44873</v>
      </c>
      <c r="C462" s="309">
        <f>IFERROR(__xludf.DUMMYFUNCTION("""COMPUTED_VALUE"""),0.3254861111111111)</f>
        <v>0.3254861111</v>
      </c>
      <c r="D462" s="7" t="str">
        <f>IFERROR(__xludf.DUMMYFUNCTION("""COMPUTED_VALUE"""),"SpABRM814022")</f>
        <v>SpABRM814022</v>
      </c>
      <c r="E462" s="310"/>
      <c r="F462" s="310"/>
      <c r="G462" s="310" t="str">
        <f>IFERROR(__xludf.DUMMYFUNCTION("""COMPUTED_VALUE"""),"Negative")</f>
        <v>Negative</v>
      </c>
      <c r="H462" s="319" t="str">
        <f>IFERROR(__xludf.DUMMYFUNCTION("""COMPUTED_VALUE"""),"Negative")</f>
        <v>Negative</v>
      </c>
      <c r="I462" s="308">
        <f>IFERROR(__xludf.DUMMYFUNCTION("""COMPUTED_VALUE"""),44873.0)</f>
        <v>44873</v>
      </c>
      <c r="J462" s="311">
        <f>IFERROR(__xludf.DUMMYFUNCTION("""COMPUTED_VALUE"""),0.3836574074074074)</f>
        <v>0.3836574074</v>
      </c>
      <c r="K462" s="54"/>
      <c r="L462" s="7"/>
      <c r="M462" s="312"/>
      <c r="N462" s="172">
        <f>IFERROR(__xludf.DUMMYFUNCTION("""COMPUTED_VALUE"""),2.0)</f>
        <v>2</v>
      </c>
      <c r="O462" s="172" t="str">
        <f t="shared" si="3"/>
        <v/>
      </c>
      <c r="P462" s="313">
        <f>IFERROR(__xludf.DUMMYFUNCTION("""COMPUTED_VALUE"""),0.0)</f>
        <v>0</v>
      </c>
      <c r="Q462" s="76" t="b">
        <f>VLOOKUP($B462,'Run Reconcile'!B$2:O1399,14,FALSE)</f>
        <v>1</v>
      </c>
      <c r="R462" s="314" t="str">
        <f t="array" ref="R462">IF($Q462, INDEX('Run Reconcile'!A$2:A1399,MATCH(B462,'Run Reconcile'!B$2:B1399,0),1),IFERROR(0/0,""))</f>
        <v>RUN-ABRM_2022-11-08_RFR-068</v>
      </c>
      <c r="S462" s="315" t="str">
        <f t="shared" ref="S462:T462" si="928">IF(COUNTIF(W$2:W1399, $A462) &gt; 0,TRUE,IFERROR(0/0,""))</f>
        <v/>
      </c>
      <c r="T462" s="315" t="str">
        <f t="shared" si="928"/>
        <v/>
      </c>
      <c r="U462" s="114" t="str">
        <f t="array" ref="U462">IF(ISBLANK($R462), INDEX('Run Reconcile'!A$2:A1399, MATCH($B462, 'Run Reconcile'!B$2:B1399, 0)+Z462, 1), IFERROR(0/0,""))
</f>
        <v/>
      </c>
      <c r="V462" s="316" t="str">
        <f t="shared" si="5"/>
        <v>RUN-ABRM_2022-11-08_RFR-068</v>
      </c>
      <c r="Y462" s="317" t="str">
        <f t="shared" si="6"/>
        <v/>
      </c>
      <c r="Z462" s="83" t="str">
        <f t="shared" si="7"/>
        <v/>
      </c>
      <c r="AA462" s="83" t="str">
        <f t="shared" si="8"/>
        <v/>
      </c>
      <c r="AB462" s="83" t="str">
        <f t="shared" si="9"/>
        <v/>
      </c>
      <c r="AC462" s="18" t="str">
        <f t="shared" ref="AC462:AD462" si="929">IF(_xlfn.ISFORMULA(S462),IFERROR(0/0,""),TRUE)</f>
        <v/>
      </c>
      <c r="AD462" s="18" t="str">
        <f t="shared" si="929"/>
        <v/>
      </c>
      <c r="AE462" s="43"/>
      <c r="AF462" s="58" t="s">
        <v>74</v>
      </c>
      <c r="AG462" s="55" t="str">
        <f t="shared" si="11"/>
        <v/>
      </c>
    </row>
    <row r="463">
      <c r="A463" s="7" t="str">
        <f>IFERROR(__xludf.DUMMYFUNCTION("""COMPUTED_VALUE"""),"AH7562")</f>
        <v>AH7562</v>
      </c>
      <c r="B463" s="308">
        <f>IFERROR(__xludf.DUMMYFUNCTION("""COMPUTED_VALUE"""),44873.0)</f>
        <v>44873</v>
      </c>
      <c r="C463" s="309">
        <f>IFERROR(__xludf.DUMMYFUNCTION("""COMPUTED_VALUE"""),0.33)</f>
        <v>0.33</v>
      </c>
      <c r="D463" s="7" t="str">
        <f>IFERROR(__xludf.DUMMYFUNCTION("""COMPUTED_VALUE"""),"SpABRM297307")</f>
        <v>SpABRM297307</v>
      </c>
      <c r="E463" s="310"/>
      <c r="F463" s="310"/>
      <c r="G463" s="310" t="str">
        <f>IFERROR(__xludf.DUMMYFUNCTION("""COMPUTED_VALUE"""),"Negative")</f>
        <v>Negative</v>
      </c>
      <c r="H463" s="319" t="str">
        <f>IFERROR(__xludf.DUMMYFUNCTION("""COMPUTED_VALUE"""),"Negative")</f>
        <v>Negative</v>
      </c>
      <c r="I463" s="308">
        <f>IFERROR(__xludf.DUMMYFUNCTION("""COMPUTED_VALUE"""),44873.0)</f>
        <v>44873</v>
      </c>
      <c r="J463" s="311">
        <f>IFERROR(__xludf.DUMMYFUNCTION("""COMPUTED_VALUE"""),0.3836574074074074)</f>
        <v>0.3836574074</v>
      </c>
      <c r="K463" s="54"/>
      <c r="L463" s="7"/>
      <c r="M463" s="312"/>
      <c r="N463" s="172">
        <f>IFERROR(__xludf.DUMMYFUNCTION("""COMPUTED_VALUE"""),4.0)</f>
        <v>4</v>
      </c>
      <c r="O463" s="172" t="str">
        <f t="shared" si="3"/>
        <v/>
      </c>
      <c r="P463" s="313">
        <f>IFERROR(__xludf.DUMMYFUNCTION("""COMPUTED_VALUE"""),0.0)</f>
        <v>0</v>
      </c>
      <c r="Q463" s="76" t="b">
        <f>VLOOKUP($B463,'Run Reconcile'!B$2:O1399,14,FALSE)</f>
        <v>1</v>
      </c>
      <c r="R463" s="314" t="str">
        <f t="array" ref="R463">IF($Q463, INDEX('Run Reconcile'!A$2:A1399,MATCH(B463,'Run Reconcile'!B$2:B1399,0),1),IFERROR(0/0,""))</f>
        <v>RUN-ABRM_2022-11-08_RFR-068</v>
      </c>
      <c r="S463" s="315" t="str">
        <f t="shared" ref="S463:T463" si="930">IF(COUNTIF(W$2:W1399, $A463) &gt; 0,TRUE,IFERROR(0/0,""))</f>
        <v/>
      </c>
      <c r="T463" s="315" t="str">
        <f t="shared" si="930"/>
        <v/>
      </c>
      <c r="U463" s="114" t="str">
        <f t="array" ref="U463">IF(ISBLANK($R463), INDEX('Run Reconcile'!A$2:A1399, MATCH($B463, 'Run Reconcile'!B$2:B1399, 0)+Z463, 1), IFERROR(0/0,""))
</f>
        <v/>
      </c>
      <c r="V463" s="316" t="str">
        <f t="shared" si="5"/>
        <v>RUN-ABRM_2022-11-08_RFR-068</v>
      </c>
      <c r="Y463" s="317" t="str">
        <f t="shared" si="6"/>
        <v/>
      </c>
      <c r="Z463" s="83" t="str">
        <f t="shared" si="7"/>
        <v/>
      </c>
      <c r="AA463" s="83" t="str">
        <f t="shared" si="8"/>
        <v/>
      </c>
      <c r="AB463" s="83" t="str">
        <f t="shared" si="9"/>
        <v/>
      </c>
      <c r="AC463" s="18" t="str">
        <f t="shared" ref="AC463:AD463" si="931">IF(_xlfn.ISFORMULA(S463),IFERROR(0/0,""),TRUE)</f>
        <v/>
      </c>
      <c r="AD463" s="18" t="str">
        <f t="shared" si="931"/>
        <v/>
      </c>
      <c r="AE463" s="43"/>
      <c r="AF463" s="58" t="s">
        <v>74</v>
      </c>
      <c r="AG463" s="55" t="str">
        <f t="shared" si="11"/>
        <v/>
      </c>
    </row>
    <row r="464">
      <c r="A464" s="7" t="str">
        <f>IFERROR(__xludf.DUMMYFUNCTION("""COMPUTED_VALUE"""),"AG1161")</f>
        <v>AG1161</v>
      </c>
      <c r="B464" s="308">
        <f>IFERROR(__xludf.DUMMYFUNCTION("""COMPUTED_VALUE"""),44873.0)</f>
        <v>44873</v>
      </c>
      <c r="C464" s="309">
        <f>IFERROR(__xludf.DUMMYFUNCTION("""COMPUTED_VALUE"""),0.36539351851851853)</f>
        <v>0.3653935185</v>
      </c>
      <c r="D464" s="7" t="str">
        <f>IFERROR(__xludf.DUMMYFUNCTION("""COMPUTED_VALUE"""),"SpABRM655136")</f>
        <v>SpABRM655136</v>
      </c>
      <c r="E464" s="310"/>
      <c r="F464" s="310"/>
      <c r="G464" s="310" t="str">
        <f>IFERROR(__xludf.DUMMYFUNCTION("""COMPUTED_VALUE"""),"Negative")</f>
        <v>Negative</v>
      </c>
      <c r="H464" s="319" t="str">
        <f>IFERROR(__xludf.DUMMYFUNCTION("""COMPUTED_VALUE"""),"Negative")</f>
        <v>Negative</v>
      </c>
      <c r="I464" s="308">
        <f>IFERROR(__xludf.DUMMYFUNCTION("""COMPUTED_VALUE"""),44873.0)</f>
        <v>44873</v>
      </c>
      <c r="J464" s="311">
        <f>IFERROR(__xludf.DUMMYFUNCTION("""COMPUTED_VALUE"""),0.3836689814814815)</f>
        <v>0.3836689815</v>
      </c>
      <c r="K464" s="54"/>
      <c r="L464" s="7"/>
      <c r="M464" s="312"/>
      <c r="N464" s="172">
        <f>IFERROR(__xludf.DUMMYFUNCTION("""COMPUTED_VALUE"""),2.0)</f>
        <v>2</v>
      </c>
      <c r="O464" s="172" t="str">
        <f t="shared" si="3"/>
        <v/>
      </c>
      <c r="P464" s="313">
        <f>IFERROR(__xludf.DUMMYFUNCTION("""COMPUTED_VALUE"""),0.0)</f>
        <v>0</v>
      </c>
      <c r="Q464" s="76" t="b">
        <f>VLOOKUP($B464,'Run Reconcile'!B$2:O1399,14,FALSE)</f>
        <v>1</v>
      </c>
      <c r="R464" s="314" t="str">
        <f t="array" ref="R464">IF($Q464, INDEX('Run Reconcile'!A$2:A1399,MATCH(B464,'Run Reconcile'!B$2:B1399,0),1),IFERROR(0/0,""))</f>
        <v>RUN-ABRM_2022-11-08_RFR-068</v>
      </c>
      <c r="S464" s="315" t="str">
        <f t="shared" ref="S464:T464" si="932">IF(COUNTIF(W$2:W1399, $A464) &gt; 0,TRUE,IFERROR(0/0,""))</f>
        <v/>
      </c>
      <c r="T464" s="315" t="str">
        <f t="shared" si="932"/>
        <v/>
      </c>
      <c r="U464" s="114" t="str">
        <f t="array" ref="U464">IF(ISBLANK($R464), INDEX('Run Reconcile'!A$2:A1399, MATCH($B464, 'Run Reconcile'!B$2:B1399, 0)+Z464, 1), IFERROR(0/0,""))
</f>
        <v/>
      </c>
      <c r="V464" s="316" t="str">
        <f t="shared" si="5"/>
        <v>RUN-ABRM_2022-11-08_RFR-068</v>
      </c>
      <c r="Y464" s="317" t="str">
        <f t="shared" si="6"/>
        <v/>
      </c>
      <c r="Z464" s="83" t="str">
        <f t="shared" si="7"/>
        <v/>
      </c>
      <c r="AA464" s="83" t="str">
        <f t="shared" si="8"/>
        <v/>
      </c>
      <c r="AB464" s="83" t="str">
        <f t="shared" si="9"/>
        <v/>
      </c>
      <c r="AC464" s="18" t="str">
        <f t="shared" ref="AC464:AD464" si="933">IF(_xlfn.ISFORMULA(S464),IFERROR(0/0,""),TRUE)</f>
        <v/>
      </c>
      <c r="AD464" s="18" t="str">
        <f t="shared" si="933"/>
        <v/>
      </c>
      <c r="AE464" s="43"/>
      <c r="AF464" s="58" t="s">
        <v>74</v>
      </c>
      <c r="AG464" s="55" t="str">
        <f t="shared" si="11"/>
        <v/>
      </c>
    </row>
    <row r="465">
      <c r="A465" s="7" t="str">
        <f>IFERROR(__xludf.DUMMYFUNCTION("""COMPUTED_VALUE"""),"AH8079")</f>
        <v>AH8079</v>
      </c>
      <c r="B465" s="308">
        <f>IFERROR(__xludf.DUMMYFUNCTION("""COMPUTED_VALUE"""),44873.0)</f>
        <v>44873</v>
      </c>
      <c r="C465" s="309">
        <f>IFERROR(__xludf.DUMMYFUNCTION("""COMPUTED_VALUE"""),0.3656828703703704)</f>
        <v>0.3656828704</v>
      </c>
      <c r="D465" s="7" t="str">
        <f>IFERROR(__xludf.DUMMYFUNCTION("""COMPUTED_VALUE"""),"SpABRM655136")</f>
        <v>SpABRM655136</v>
      </c>
      <c r="E465" s="310"/>
      <c r="F465" s="310"/>
      <c r="G465" s="310" t="str">
        <f>IFERROR(__xludf.DUMMYFUNCTION("""COMPUTED_VALUE"""),"Negative")</f>
        <v>Negative</v>
      </c>
      <c r="H465" s="319" t="str">
        <f>IFERROR(__xludf.DUMMYFUNCTION("""COMPUTED_VALUE"""),"Negative")</f>
        <v>Negative</v>
      </c>
      <c r="I465" s="308">
        <f>IFERROR(__xludf.DUMMYFUNCTION("""COMPUTED_VALUE"""),44873.0)</f>
        <v>44873</v>
      </c>
      <c r="J465" s="311">
        <f>IFERROR(__xludf.DUMMYFUNCTION("""COMPUTED_VALUE"""),0.3836689814814815)</f>
        <v>0.3836689815</v>
      </c>
      <c r="K465" s="54"/>
      <c r="L465" s="7"/>
      <c r="M465" s="312"/>
      <c r="N465" s="172">
        <f>IFERROR(__xludf.DUMMYFUNCTION("""COMPUTED_VALUE"""),1.0)</f>
        <v>1</v>
      </c>
      <c r="O465" s="172" t="str">
        <f t="shared" si="3"/>
        <v/>
      </c>
      <c r="P465" s="313">
        <f>IFERROR(__xludf.DUMMYFUNCTION("""COMPUTED_VALUE"""),0.0)</f>
        <v>0</v>
      </c>
      <c r="Q465" s="76" t="b">
        <f>VLOOKUP($B465,'Run Reconcile'!B$2:O1399,14,FALSE)</f>
        <v>1</v>
      </c>
      <c r="R465" s="314" t="str">
        <f t="array" ref="R465">IF($Q465, INDEX('Run Reconcile'!A$2:A1399,MATCH(B465,'Run Reconcile'!B$2:B1399,0),1),IFERROR(0/0,""))</f>
        <v>RUN-ABRM_2022-11-08_RFR-068</v>
      </c>
      <c r="S465" s="315" t="str">
        <f t="shared" ref="S465:T465" si="934">IF(COUNTIF(W$2:W1399, $A465) &gt; 0,TRUE,IFERROR(0/0,""))</f>
        <v/>
      </c>
      <c r="T465" s="315" t="str">
        <f t="shared" si="934"/>
        <v/>
      </c>
      <c r="U465" s="114" t="str">
        <f t="array" ref="U465">IF(ISBLANK($R465), INDEX('Run Reconcile'!A$2:A1399, MATCH($B465, 'Run Reconcile'!B$2:B1399, 0)+Z465, 1), IFERROR(0/0,""))
</f>
        <v/>
      </c>
      <c r="V465" s="316" t="str">
        <f t="shared" si="5"/>
        <v>RUN-ABRM_2022-11-08_RFR-068</v>
      </c>
      <c r="Y465" s="317" t="str">
        <f t="shared" si="6"/>
        <v/>
      </c>
      <c r="Z465" s="83" t="str">
        <f t="shared" si="7"/>
        <v/>
      </c>
      <c r="AA465" s="83" t="str">
        <f t="shared" si="8"/>
        <v/>
      </c>
      <c r="AB465" s="83" t="str">
        <f t="shared" si="9"/>
        <v/>
      </c>
      <c r="AC465" s="18" t="str">
        <f t="shared" ref="AC465:AD465" si="935">IF(_xlfn.ISFORMULA(S465),IFERROR(0/0,""),TRUE)</f>
        <v/>
      </c>
      <c r="AD465" s="18" t="str">
        <f t="shared" si="935"/>
        <v/>
      </c>
      <c r="AE465" s="43"/>
      <c r="AF465" s="58" t="s">
        <v>74</v>
      </c>
      <c r="AG465" s="55" t="str">
        <f t="shared" si="11"/>
        <v/>
      </c>
    </row>
    <row r="466">
      <c r="A466" s="7" t="str">
        <f>IFERROR(__xludf.DUMMYFUNCTION("""COMPUTED_VALUE"""),"AH7352")</f>
        <v>AH7352</v>
      </c>
      <c r="B466" s="308">
        <f>IFERROR(__xludf.DUMMYFUNCTION("""COMPUTED_VALUE"""),44873.0)</f>
        <v>44873</v>
      </c>
      <c r="C466" s="309">
        <f>IFERROR(__xludf.DUMMYFUNCTION("""COMPUTED_VALUE"""),0.3659375)</f>
        <v>0.3659375</v>
      </c>
      <c r="D466" s="7" t="str">
        <f>IFERROR(__xludf.DUMMYFUNCTION("""COMPUTED_VALUE"""),"SpABRM655136")</f>
        <v>SpABRM655136</v>
      </c>
      <c r="E466" s="310"/>
      <c r="F466" s="310"/>
      <c r="G466" s="310" t="str">
        <f>IFERROR(__xludf.DUMMYFUNCTION("""COMPUTED_VALUE"""),"Negative")</f>
        <v>Negative</v>
      </c>
      <c r="H466" s="319" t="str">
        <f>IFERROR(__xludf.DUMMYFUNCTION("""COMPUTED_VALUE"""),"Negative")</f>
        <v>Negative</v>
      </c>
      <c r="I466" s="308">
        <f>IFERROR(__xludf.DUMMYFUNCTION("""COMPUTED_VALUE"""),44873.0)</f>
        <v>44873</v>
      </c>
      <c r="J466" s="311">
        <f>IFERROR(__xludf.DUMMYFUNCTION("""COMPUTED_VALUE"""),0.3836689814814815)</f>
        <v>0.3836689815</v>
      </c>
      <c r="K466" s="54"/>
      <c r="L466" s="7"/>
      <c r="M466" s="312"/>
      <c r="N466" s="172">
        <f>IFERROR(__xludf.DUMMYFUNCTION("""COMPUTED_VALUE"""),3.0)</f>
        <v>3</v>
      </c>
      <c r="O466" s="172" t="str">
        <f t="shared" si="3"/>
        <v/>
      </c>
      <c r="P466" s="313">
        <f>IFERROR(__xludf.DUMMYFUNCTION("""COMPUTED_VALUE"""),0.0)</f>
        <v>0</v>
      </c>
      <c r="Q466" s="76" t="b">
        <f>VLOOKUP($B466,'Run Reconcile'!B$2:O1399,14,FALSE)</f>
        <v>1</v>
      </c>
      <c r="R466" s="314" t="str">
        <f t="array" ref="R466">IF($Q466, INDEX('Run Reconcile'!A$2:A1399,MATCH(B466,'Run Reconcile'!B$2:B1399,0),1),IFERROR(0/0,""))</f>
        <v>RUN-ABRM_2022-11-08_RFR-068</v>
      </c>
      <c r="S466" s="315" t="str">
        <f t="shared" ref="S466:T466" si="936">IF(COUNTIF(W$2:W1399, $A466) &gt; 0,TRUE,IFERROR(0/0,""))</f>
        <v/>
      </c>
      <c r="T466" s="315" t="str">
        <f t="shared" si="936"/>
        <v/>
      </c>
      <c r="U466" s="114" t="str">
        <f t="array" ref="U466">IF(ISBLANK($R466), INDEX('Run Reconcile'!A$2:A1399, MATCH($B466, 'Run Reconcile'!B$2:B1399, 0)+Z466, 1), IFERROR(0/0,""))
</f>
        <v/>
      </c>
      <c r="V466" s="316" t="str">
        <f t="shared" si="5"/>
        <v>RUN-ABRM_2022-11-08_RFR-068</v>
      </c>
      <c r="Y466" s="317" t="str">
        <f t="shared" si="6"/>
        <v/>
      </c>
      <c r="Z466" s="83" t="str">
        <f t="shared" si="7"/>
        <v/>
      </c>
      <c r="AA466" s="83" t="str">
        <f t="shared" si="8"/>
        <v/>
      </c>
      <c r="AB466" s="83" t="str">
        <f t="shared" si="9"/>
        <v/>
      </c>
      <c r="AC466" s="18" t="str">
        <f t="shared" ref="AC466:AD466" si="937">IF(_xlfn.ISFORMULA(S466),IFERROR(0/0,""),TRUE)</f>
        <v/>
      </c>
      <c r="AD466" s="18" t="str">
        <f t="shared" si="937"/>
        <v/>
      </c>
      <c r="AE466" s="43"/>
      <c r="AF466" s="58" t="s">
        <v>74</v>
      </c>
      <c r="AG466" s="55" t="str">
        <f t="shared" si="11"/>
        <v/>
      </c>
    </row>
    <row r="467">
      <c r="A467" s="7" t="str">
        <f>IFERROR(__xludf.DUMMYFUNCTION("""COMPUTED_VALUE"""),"AJ8824")</f>
        <v>AJ8824</v>
      </c>
      <c r="B467" s="308">
        <f>IFERROR(__xludf.DUMMYFUNCTION("""COMPUTED_VALUE"""),44874.0)</f>
        <v>44874</v>
      </c>
      <c r="C467" s="309">
        <f>IFERROR(__xludf.DUMMYFUNCTION("""COMPUTED_VALUE"""),0.22261574074074075)</f>
        <v>0.2226157407</v>
      </c>
      <c r="D467" s="7" t="str">
        <f>IFERROR(__xludf.DUMMYFUNCTION("""COMPUTED_VALUE"""),"SpABRM516158")</f>
        <v>SpABRM516158</v>
      </c>
      <c r="E467" s="310"/>
      <c r="F467" s="310"/>
      <c r="G467" s="310" t="str">
        <f>IFERROR(__xludf.DUMMYFUNCTION("""COMPUTED_VALUE"""),"Negative")</f>
        <v>Negative</v>
      </c>
      <c r="H467" s="319" t="str">
        <f>IFERROR(__xludf.DUMMYFUNCTION("""COMPUTED_VALUE"""),"Negative")</f>
        <v>Negative</v>
      </c>
      <c r="I467" s="308">
        <f>IFERROR(__xludf.DUMMYFUNCTION("""COMPUTED_VALUE"""),44874.0)</f>
        <v>44874</v>
      </c>
      <c r="J467" s="311">
        <f>IFERROR(__xludf.DUMMYFUNCTION("""COMPUTED_VALUE"""),0.38440972222222225)</f>
        <v>0.3844097222</v>
      </c>
      <c r="K467" s="54"/>
      <c r="L467" s="7"/>
      <c r="M467" s="312"/>
      <c r="N467" s="172">
        <f>IFERROR(__xludf.DUMMYFUNCTION("""COMPUTED_VALUE"""),1.0)</f>
        <v>1</v>
      </c>
      <c r="O467" s="172" t="b">
        <f t="shared" si="3"/>
        <v>1</v>
      </c>
      <c r="P467" s="313">
        <f>IFERROR(__xludf.DUMMYFUNCTION("""COMPUTED_VALUE"""),0.0)</f>
        <v>0</v>
      </c>
      <c r="Q467" s="76" t="b">
        <f>VLOOKUP($B467,'Run Reconcile'!B$2:O1399,14,FALSE)</f>
        <v>1</v>
      </c>
      <c r="R467" s="314" t="str">
        <f t="array" ref="R467">IF($Q467, INDEX('Run Reconcile'!A$2:A1399,MATCH(B467,'Run Reconcile'!B$2:B1399,0),1),IFERROR(0/0,""))</f>
        <v>RUN-ABRM_2022-11-09_RFR-069</v>
      </c>
      <c r="S467" s="315" t="str">
        <f t="shared" ref="S467:T467" si="938">IF(COUNTIF(W$2:W1399, $A467) &gt; 0,TRUE,IFERROR(0/0,""))</f>
        <v/>
      </c>
      <c r="T467" s="315" t="str">
        <f t="shared" si="938"/>
        <v/>
      </c>
      <c r="U467" s="114" t="str">
        <f t="array" ref="U467">IF(ISBLANK($R467), INDEX('Run Reconcile'!A$2:A1399, MATCH($B467, 'Run Reconcile'!B$2:B1399, 0)+Z467, 1), IFERROR(0/0,""))
</f>
        <v/>
      </c>
      <c r="V467" s="316" t="str">
        <f t="shared" si="5"/>
        <v>RUN-ABRM_2022-11-09_RFR-069</v>
      </c>
      <c r="Y467" s="317" t="str">
        <f t="shared" si="6"/>
        <v/>
      </c>
      <c r="Z467" s="83" t="str">
        <f t="shared" si="7"/>
        <v/>
      </c>
      <c r="AA467" s="83" t="str">
        <f t="shared" si="8"/>
        <v/>
      </c>
      <c r="AB467" s="83" t="str">
        <f t="shared" si="9"/>
        <v/>
      </c>
      <c r="AC467" s="18" t="str">
        <f t="shared" ref="AC467:AD467" si="939">IF(_xlfn.ISFORMULA(S467),IFERROR(0/0,""),TRUE)</f>
        <v/>
      </c>
      <c r="AD467" s="18" t="str">
        <f t="shared" si="939"/>
        <v/>
      </c>
      <c r="AE467" s="43"/>
      <c r="AF467" s="58" t="s">
        <v>75</v>
      </c>
      <c r="AG467" s="55" t="str">
        <f t="shared" si="11"/>
        <v/>
      </c>
    </row>
    <row r="468">
      <c r="A468" s="7" t="str">
        <f>IFERROR(__xludf.DUMMYFUNCTION("""COMPUTED_VALUE"""),"AH7840")</f>
        <v>AH7840</v>
      </c>
      <c r="B468" s="308">
        <f>IFERROR(__xludf.DUMMYFUNCTION("""COMPUTED_VALUE"""),44874.0)</f>
        <v>44874</v>
      </c>
      <c r="C468" s="309">
        <f>IFERROR(__xludf.DUMMYFUNCTION("""COMPUTED_VALUE"""),0.25024305555555554)</f>
        <v>0.2502430556</v>
      </c>
      <c r="D468" s="7" t="str">
        <f>IFERROR(__xludf.DUMMYFUNCTION("""COMPUTED_VALUE"""),"SpABRM188986")</f>
        <v>SpABRM188986</v>
      </c>
      <c r="E468" s="310"/>
      <c r="F468" s="310"/>
      <c r="G468" s="310" t="str">
        <f>IFERROR(__xludf.DUMMYFUNCTION("""COMPUTED_VALUE"""),"Negative")</f>
        <v>Negative</v>
      </c>
      <c r="H468" s="319" t="str">
        <f>IFERROR(__xludf.DUMMYFUNCTION("""COMPUTED_VALUE"""),"Negative")</f>
        <v>Negative</v>
      </c>
      <c r="I468" s="308">
        <f>IFERROR(__xludf.DUMMYFUNCTION("""COMPUTED_VALUE"""),44874.0)</f>
        <v>44874</v>
      </c>
      <c r="J468" s="311">
        <f>IFERROR(__xludf.DUMMYFUNCTION("""COMPUTED_VALUE"""),0.38440972222222225)</f>
        <v>0.3844097222</v>
      </c>
      <c r="K468" s="54"/>
      <c r="L468" s="7"/>
      <c r="M468" s="312"/>
      <c r="N468" s="172">
        <f>IFERROR(__xludf.DUMMYFUNCTION("""COMPUTED_VALUE"""),2.0)</f>
        <v>2</v>
      </c>
      <c r="O468" s="172" t="str">
        <f t="shared" si="3"/>
        <v/>
      </c>
      <c r="P468" s="313">
        <f>IFERROR(__xludf.DUMMYFUNCTION("""COMPUTED_VALUE"""),0.0)</f>
        <v>0</v>
      </c>
      <c r="Q468" s="76" t="b">
        <f>VLOOKUP($B468,'Run Reconcile'!B$2:O1399,14,FALSE)</f>
        <v>1</v>
      </c>
      <c r="R468" s="314" t="str">
        <f t="array" ref="R468">IF($Q468, INDEX('Run Reconcile'!A$2:A1399,MATCH(B468,'Run Reconcile'!B$2:B1399,0),1),IFERROR(0/0,""))</f>
        <v>RUN-ABRM_2022-11-09_RFR-069</v>
      </c>
      <c r="S468" s="315" t="str">
        <f t="shared" ref="S468:T468" si="940">IF(COUNTIF(W$2:W1399, $A468) &gt; 0,TRUE,IFERROR(0/0,""))</f>
        <v/>
      </c>
      <c r="T468" s="315" t="str">
        <f t="shared" si="940"/>
        <v/>
      </c>
      <c r="U468" s="114" t="str">
        <f t="array" ref="U468">IF(ISBLANK($R468), INDEX('Run Reconcile'!A$2:A1399, MATCH($B468, 'Run Reconcile'!B$2:B1399, 0)+Z468, 1), IFERROR(0/0,""))
</f>
        <v/>
      </c>
      <c r="V468" s="316" t="str">
        <f t="shared" si="5"/>
        <v>RUN-ABRM_2022-11-09_RFR-069</v>
      </c>
      <c r="Y468" s="317" t="str">
        <f t="shared" si="6"/>
        <v/>
      </c>
      <c r="Z468" s="83" t="str">
        <f t="shared" si="7"/>
        <v/>
      </c>
      <c r="AA468" s="83" t="str">
        <f t="shared" si="8"/>
        <v/>
      </c>
      <c r="AB468" s="83" t="str">
        <f t="shared" si="9"/>
        <v/>
      </c>
      <c r="AC468" s="18" t="str">
        <f t="shared" ref="AC468:AD468" si="941">IF(_xlfn.ISFORMULA(S468),IFERROR(0/0,""),TRUE)</f>
        <v/>
      </c>
      <c r="AD468" s="18" t="str">
        <f t="shared" si="941"/>
        <v/>
      </c>
      <c r="AE468" s="43"/>
      <c r="AF468" s="58" t="s">
        <v>75</v>
      </c>
      <c r="AG468" s="55" t="str">
        <f t="shared" si="11"/>
        <v/>
      </c>
    </row>
    <row r="469">
      <c r="A469" s="7" t="str">
        <f>IFERROR(__xludf.DUMMYFUNCTION("""COMPUTED_VALUE"""),"AK7398")</f>
        <v>AK7398</v>
      </c>
      <c r="B469" s="308">
        <f>IFERROR(__xludf.DUMMYFUNCTION("""COMPUTED_VALUE"""),44874.0)</f>
        <v>44874</v>
      </c>
      <c r="C469" s="309">
        <f>IFERROR(__xludf.DUMMYFUNCTION("""COMPUTED_VALUE"""),0.2680324074074074)</f>
        <v>0.2680324074</v>
      </c>
      <c r="D469" s="7" t="str">
        <f>IFERROR(__xludf.DUMMYFUNCTION("""COMPUTED_VALUE"""),"SpABRM454310")</f>
        <v>SpABRM454310</v>
      </c>
      <c r="E469" s="310"/>
      <c r="F469" s="310"/>
      <c r="G469" s="310" t="str">
        <f>IFERROR(__xludf.DUMMYFUNCTION("""COMPUTED_VALUE"""),"Negative")</f>
        <v>Negative</v>
      </c>
      <c r="H469" s="319" t="str">
        <f>IFERROR(__xludf.DUMMYFUNCTION("""COMPUTED_VALUE"""),"Negative")</f>
        <v>Negative</v>
      </c>
      <c r="I469" s="308">
        <f>IFERROR(__xludf.DUMMYFUNCTION("""COMPUTED_VALUE"""),44874.0)</f>
        <v>44874</v>
      </c>
      <c r="J469" s="311">
        <f>IFERROR(__xludf.DUMMYFUNCTION("""COMPUTED_VALUE"""),0.38440972222222225)</f>
        <v>0.3844097222</v>
      </c>
      <c r="K469" s="54"/>
      <c r="L469" s="7"/>
      <c r="M469" s="312"/>
      <c r="N469" s="172">
        <f>IFERROR(__xludf.DUMMYFUNCTION("""COMPUTED_VALUE"""),2.0)</f>
        <v>2</v>
      </c>
      <c r="O469" s="172" t="str">
        <f t="shared" si="3"/>
        <v/>
      </c>
      <c r="P469" s="313">
        <f>IFERROR(__xludf.DUMMYFUNCTION("""COMPUTED_VALUE"""),0.0)</f>
        <v>0</v>
      </c>
      <c r="Q469" s="76" t="b">
        <f>VLOOKUP($B469,'Run Reconcile'!B$2:O1399,14,FALSE)</f>
        <v>1</v>
      </c>
      <c r="R469" s="314" t="str">
        <f t="array" ref="R469">IF($Q469, INDEX('Run Reconcile'!A$2:A1399,MATCH(B469,'Run Reconcile'!B$2:B1399,0),1),IFERROR(0/0,""))</f>
        <v>RUN-ABRM_2022-11-09_RFR-069</v>
      </c>
      <c r="S469" s="315" t="str">
        <f t="shared" ref="S469:T469" si="942">IF(COUNTIF(W$2:W1399, $A469) &gt; 0,TRUE,IFERROR(0/0,""))</f>
        <v/>
      </c>
      <c r="T469" s="315" t="str">
        <f t="shared" si="942"/>
        <v/>
      </c>
      <c r="U469" s="114" t="str">
        <f t="array" ref="U469">IF(ISBLANK($R469), INDEX('Run Reconcile'!A$2:A1399, MATCH($B469, 'Run Reconcile'!B$2:B1399, 0)+Z469, 1), IFERROR(0/0,""))
</f>
        <v/>
      </c>
      <c r="V469" s="316" t="str">
        <f t="shared" si="5"/>
        <v>RUN-ABRM_2022-11-09_RFR-069</v>
      </c>
      <c r="Y469" s="317" t="str">
        <f t="shared" si="6"/>
        <v/>
      </c>
      <c r="Z469" s="83" t="str">
        <f t="shared" si="7"/>
        <v/>
      </c>
      <c r="AA469" s="83" t="str">
        <f t="shared" si="8"/>
        <v/>
      </c>
      <c r="AB469" s="83" t="str">
        <f t="shared" si="9"/>
        <v/>
      </c>
      <c r="AC469" s="18" t="str">
        <f t="shared" ref="AC469:AD469" si="943">IF(_xlfn.ISFORMULA(S469),IFERROR(0/0,""),TRUE)</f>
        <v/>
      </c>
      <c r="AD469" s="18" t="str">
        <f t="shared" si="943"/>
        <v/>
      </c>
      <c r="AE469" s="43"/>
      <c r="AF469" s="58" t="s">
        <v>75</v>
      </c>
      <c r="AG469" s="55" t="str">
        <f t="shared" si="11"/>
        <v/>
      </c>
    </row>
    <row r="470">
      <c r="A470" s="7" t="str">
        <f>IFERROR(__xludf.DUMMYFUNCTION("""COMPUTED_VALUE"""),"AG165")</f>
        <v>AG165</v>
      </c>
      <c r="B470" s="308">
        <f>IFERROR(__xludf.DUMMYFUNCTION("""COMPUTED_VALUE"""),44874.0)</f>
        <v>44874</v>
      </c>
      <c r="C470" s="309">
        <f>IFERROR(__xludf.DUMMYFUNCTION("""COMPUTED_VALUE"""),0.2725694444444444)</f>
        <v>0.2725694444</v>
      </c>
      <c r="D470" s="7" t="str">
        <f>IFERROR(__xludf.DUMMYFUNCTION("""COMPUTED_VALUE"""),"SpABRM367540")</f>
        <v>SpABRM367540</v>
      </c>
      <c r="E470" s="310"/>
      <c r="F470" s="310"/>
      <c r="G470" s="310" t="str">
        <f>IFERROR(__xludf.DUMMYFUNCTION("""COMPUTED_VALUE"""),"Negative")</f>
        <v>Negative</v>
      </c>
      <c r="H470" s="319" t="str">
        <f>IFERROR(__xludf.DUMMYFUNCTION("""COMPUTED_VALUE"""),"Negative")</f>
        <v>Negative</v>
      </c>
      <c r="I470" s="308">
        <f>IFERROR(__xludf.DUMMYFUNCTION("""COMPUTED_VALUE"""),44874.0)</f>
        <v>44874</v>
      </c>
      <c r="J470" s="311">
        <f>IFERROR(__xludf.DUMMYFUNCTION("""COMPUTED_VALUE"""),0.4130902777777778)</f>
        <v>0.4130902778</v>
      </c>
      <c r="K470" s="54"/>
      <c r="L470" s="7"/>
      <c r="M470" s="312"/>
      <c r="N470" s="172">
        <f>IFERROR(__xludf.DUMMYFUNCTION("""COMPUTED_VALUE"""),3.0)</f>
        <v>3</v>
      </c>
      <c r="O470" s="172" t="str">
        <f t="shared" si="3"/>
        <v/>
      </c>
      <c r="P470" s="313">
        <f>IFERROR(__xludf.DUMMYFUNCTION("""COMPUTED_VALUE"""),0.0)</f>
        <v>0</v>
      </c>
      <c r="Q470" s="76" t="b">
        <f>VLOOKUP($B470,'Run Reconcile'!B$2:O1399,14,FALSE)</f>
        <v>1</v>
      </c>
      <c r="R470" s="314" t="str">
        <f t="array" ref="R470">IF($Q470, INDEX('Run Reconcile'!A$2:A1399,MATCH(B470,'Run Reconcile'!B$2:B1399,0),1),IFERROR(0/0,""))</f>
        <v>RUN-ABRM_2022-11-09_RFR-069</v>
      </c>
      <c r="S470" s="315" t="str">
        <f t="shared" ref="S470:T470" si="944">IF(COUNTIF(W$2:W1399, $A470) &gt; 0,TRUE,IFERROR(0/0,""))</f>
        <v/>
      </c>
      <c r="T470" s="315" t="str">
        <f t="shared" si="944"/>
        <v/>
      </c>
      <c r="U470" s="114" t="str">
        <f t="array" ref="U470">IF(ISBLANK($R470), INDEX('Run Reconcile'!A$2:A1399, MATCH($B470, 'Run Reconcile'!B$2:B1399, 0)+Z470, 1), IFERROR(0/0,""))
</f>
        <v/>
      </c>
      <c r="V470" s="316" t="str">
        <f t="shared" si="5"/>
        <v>RUN-ABRM_2022-11-09_RFR-069</v>
      </c>
      <c r="Y470" s="317" t="str">
        <f t="shared" si="6"/>
        <v/>
      </c>
      <c r="Z470" s="83" t="str">
        <f t="shared" si="7"/>
        <v/>
      </c>
      <c r="AA470" s="83" t="str">
        <f t="shared" si="8"/>
        <v/>
      </c>
      <c r="AB470" s="83" t="str">
        <f t="shared" si="9"/>
        <v/>
      </c>
      <c r="AC470" s="18" t="str">
        <f t="shared" ref="AC470:AD470" si="945">IF(_xlfn.ISFORMULA(S470),IFERROR(0/0,""),TRUE)</f>
        <v/>
      </c>
      <c r="AD470" s="18" t="str">
        <f t="shared" si="945"/>
        <v/>
      </c>
      <c r="AE470" s="43"/>
      <c r="AF470" s="58" t="s">
        <v>75</v>
      </c>
      <c r="AG470" s="55" t="str">
        <f t="shared" si="11"/>
        <v/>
      </c>
    </row>
    <row r="471">
      <c r="A471" s="7" t="str">
        <f>IFERROR(__xludf.DUMMYFUNCTION("""COMPUTED_VALUE"""),"AG1945")</f>
        <v>AG1945</v>
      </c>
      <c r="B471" s="308">
        <f>IFERROR(__xludf.DUMMYFUNCTION("""COMPUTED_VALUE"""),44874.0)</f>
        <v>44874</v>
      </c>
      <c r="C471" s="309">
        <f>IFERROR(__xludf.DUMMYFUNCTION("""COMPUTED_VALUE"""),0.29381944444444447)</f>
        <v>0.2938194444</v>
      </c>
      <c r="D471" s="7" t="str">
        <f>IFERROR(__xludf.DUMMYFUNCTION("""COMPUTED_VALUE"""),"SpABRM297307")</f>
        <v>SpABRM297307</v>
      </c>
      <c r="E471" s="310"/>
      <c r="F471" s="310"/>
      <c r="G471" s="310" t="str">
        <f>IFERROR(__xludf.DUMMYFUNCTION("""COMPUTED_VALUE"""),"Negative")</f>
        <v>Negative</v>
      </c>
      <c r="H471" s="319" t="str">
        <f>IFERROR(__xludf.DUMMYFUNCTION("""COMPUTED_VALUE"""),"Negative")</f>
        <v>Negative</v>
      </c>
      <c r="I471" s="308">
        <f>IFERROR(__xludf.DUMMYFUNCTION("""COMPUTED_VALUE"""),44874.0)</f>
        <v>44874</v>
      </c>
      <c r="J471" s="311">
        <f>IFERROR(__xludf.DUMMYFUNCTION("""COMPUTED_VALUE"""),0.3844212962962963)</f>
        <v>0.3844212963</v>
      </c>
      <c r="K471" s="54"/>
      <c r="L471" s="7"/>
      <c r="M471" s="312"/>
      <c r="N471" s="172">
        <f>IFERROR(__xludf.DUMMYFUNCTION("""COMPUTED_VALUE"""),3.0)</f>
        <v>3</v>
      </c>
      <c r="O471" s="172" t="str">
        <f t="shared" si="3"/>
        <v/>
      </c>
      <c r="P471" s="313">
        <f>IFERROR(__xludf.DUMMYFUNCTION("""COMPUTED_VALUE"""),0.0)</f>
        <v>0</v>
      </c>
      <c r="Q471" s="76" t="b">
        <f>VLOOKUP($B471,'Run Reconcile'!B$2:O1399,14,FALSE)</f>
        <v>1</v>
      </c>
      <c r="R471" s="314" t="str">
        <f t="array" ref="R471">IF($Q471, INDEX('Run Reconcile'!A$2:A1399,MATCH(B471,'Run Reconcile'!B$2:B1399,0),1),IFERROR(0/0,""))</f>
        <v>RUN-ABRM_2022-11-09_RFR-069</v>
      </c>
      <c r="S471" s="315" t="str">
        <f t="shared" ref="S471:T471" si="946">IF(COUNTIF(W$2:W1399, $A471) &gt; 0,TRUE,IFERROR(0/0,""))</f>
        <v/>
      </c>
      <c r="T471" s="315" t="str">
        <f t="shared" si="946"/>
        <v/>
      </c>
      <c r="U471" s="114" t="str">
        <f t="array" ref="U471">IF(ISBLANK($R471), INDEX('Run Reconcile'!A$2:A1399, MATCH($B471, 'Run Reconcile'!B$2:B1399, 0)+Z471, 1), IFERROR(0/0,""))
</f>
        <v/>
      </c>
      <c r="V471" s="316" t="str">
        <f t="shared" si="5"/>
        <v>RUN-ABRM_2022-11-09_RFR-069</v>
      </c>
      <c r="Y471" s="317" t="str">
        <f t="shared" si="6"/>
        <v/>
      </c>
      <c r="Z471" s="83" t="str">
        <f t="shared" si="7"/>
        <v/>
      </c>
      <c r="AA471" s="83" t="str">
        <f t="shared" si="8"/>
        <v/>
      </c>
      <c r="AB471" s="83" t="str">
        <f t="shared" si="9"/>
        <v/>
      </c>
      <c r="AC471" s="18" t="str">
        <f t="shared" ref="AC471:AD471" si="947">IF(_xlfn.ISFORMULA(S471),IFERROR(0/0,""),TRUE)</f>
        <v/>
      </c>
      <c r="AD471" s="18" t="str">
        <f t="shared" si="947"/>
        <v/>
      </c>
      <c r="AE471" s="43"/>
      <c r="AF471" s="58" t="s">
        <v>75</v>
      </c>
      <c r="AG471" s="55" t="str">
        <f t="shared" si="11"/>
        <v/>
      </c>
    </row>
    <row r="472">
      <c r="A472" s="7" t="str">
        <f>IFERROR(__xludf.DUMMYFUNCTION("""COMPUTED_VALUE"""),"AG1860")</f>
        <v>AG1860</v>
      </c>
      <c r="B472" s="308">
        <f>IFERROR(__xludf.DUMMYFUNCTION("""COMPUTED_VALUE"""),44874.0)</f>
        <v>44874</v>
      </c>
      <c r="C472" s="309">
        <f>IFERROR(__xludf.DUMMYFUNCTION("""COMPUTED_VALUE"""),0.3138425925925926)</f>
        <v>0.3138425926</v>
      </c>
      <c r="D472" s="7" t="str">
        <f>IFERROR(__xludf.DUMMYFUNCTION("""COMPUTED_VALUE"""),"SpABRM655136")</f>
        <v>SpABRM655136</v>
      </c>
      <c r="E472" s="310"/>
      <c r="F472" s="310"/>
      <c r="G472" s="310" t="str">
        <f>IFERROR(__xludf.DUMMYFUNCTION("""COMPUTED_VALUE"""),"Negative")</f>
        <v>Negative</v>
      </c>
      <c r="H472" s="319" t="str">
        <f>IFERROR(__xludf.DUMMYFUNCTION("""COMPUTED_VALUE"""),"Negative")</f>
        <v>Negative</v>
      </c>
      <c r="I472" s="308">
        <f>IFERROR(__xludf.DUMMYFUNCTION("""COMPUTED_VALUE"""),44874.0)</f>
        <v>44874</v>
      </c>
      <c r="J472" s="311">
        <f>IFERROR(__xludf.DUMMYFUNCTION("""COMPUTED_VALUE"""),0.3844212962962963)</f>
        <v>0.3844212963</v>
      </c>
      <c r="K472" s="54"/>
      <c r="L472" s="7"/>
      <c r="M472" s="312"/>
      <c r="N472" s="172">
        <f>IFERROR(__xludf.DUMMYFUNCTION("""COMPUTED_VALUE"""),2.0)</f>
        <v>2</v>
      </c>
      <c r="O472" s="172" t="str">
        <f t="shared" si="3"/>
        <v/>
      </c>
      <c r="P472" s="313">
        <f>IFERROR(__xludf.DUMMYFUNCTION("""COMPUTED_VALUE"""),0.0)</f>
        <v>0</v>
      </c>
      <c r="Q472" s="76" t="b">
        <f>VLOOKUP($B472,'Run Reconcile'!B$2:O1399,14,FALSE)</f>
        <v>1</v>
      </c>
      <c r="R472" s="314" t="str">
        <f t="array" ref="R472">IF($Q472, INDEX('Run Reconcile'!A$2:A1399,MATCH(B472,'Run Reconcile'!B$2:B1399,0),1),IFERROR(0/0,""))</f>
        <v>RUN-ABRM_2022-11-09_RFR-069</v>
      </c>
      <c r="S472" s="315" t="str">
        <f t="shared" ref="S472:T472" si="948">IF(COUNTIF(W$2:W1399, $A472) &gt; 0,TRUE,IFERROR(0/0,""))</f>
        <v/>
      </c>
      <c r="T472" s="315" t="str">
        <f t="shared" si="948"/>
        <v/>
      </c>
      <c r="U472" s="114" t="str">
        <f t="array" ref="U472">IF(ISBLANK($R472), INDEX('Run Reconcile'!A$2:A1399, MATCH($B472, 'Run Reconcile'!B$2:B1399, 0)+Z472, 1), IFERROR(0/0,""))
</f>
        <v/>
      </c>
      <c r="V472" s="316" t="str">
        <f t="shared" si="5"/>
        <v>RUN-ABRM_2022-11-09_RFR-069</v>
      </c>
      <c r="Y472" s="317" t="str">
        <f t="shared" si="6"/>
        <v/>
      </c>
      <c r="Z472" s="83" t="str">
        <f t="shared" si="7"/>
        <v/>
      </c>
      <c r="AA472" s="83" t="str">
        <f t="shared" si="8"/>
        <v/>
      </c>
      <c r="AB472" s="83" t="str">
        <f t="shared" si="9"/>
        <v/>
      </c>
      <c r="AC472" s="18" t="str">
        <f t="shared" ref="AC472:AD472" si="949">IF(_xlfn.ISFORMULA(S472),IFERROR(0/0,""),TRUE)</f>
        <v/>
      </c>
      <c r="AD472" s="18" t="str">
        <f t="shared" si="949"/>
        <v/>
      </c>
      <c r="AE472" s="43"/>
      <c r="AF472" s="58" t="s">
        <v>75</v>
      </c>
      <c r="AG472" s="55" t="str">
        <f t="shared" si="11"/>
        <v/>
      </c>
    </row>
    <row r="473">
      <c r="A473" s="7" t="str">
        <f>IFERROR(__xludf.DUMMYFUNCTION("""COMPUTED_VALUE"""),"AG412")</f>
        <v>AG412</v>
      </c>
      <c r="B473" s="308">
        <f>IFERROR(__xludf.DUMMYFUNCTION("""COMPUTED_VALUE"""),44874.0)</f>
        <v>44874</v>
      </c>
      <c r="C473" s="309">
        <f>IFERROR(__xludf.DUMMYFUNCTION("""COMPUTED_VALUE"""),0.3265046296296296)</f>
        <v>0.3265046296</v>
      </c>
      <c r="D473" s="7" t="str">
        <f>IFERROR(__xludf.DUMMYFUNCTION("""COMPUTED_VALUE"""),"SpABRM814022")</f>
        <v>SpABRM814022</v>
      </c>
      <c r="E473" s="310"/>
      <c r="F473" s="310"/>
      <c r="G473" s="310" t="str">
        <f>IFERROR(__xludf.DUMMYFUNCTION("""COMPUTED_VALUE"""),"Negative")</f>
        <v>Negative</v>
      </c>
      <c r="H473" s="319" t="str">
        <f>IFERROR(__xludf.DUMMYFUNCTION("""COMPUTED_VALUE"""),"Negative")</f>
        <v>Negative</v>
      </c>
      <c r="I473" s="308">
        <f>IFERROR(__xludf.DUMMYFUNCTION("""COMPUTED_VALUE"""),44874.0)</f>
        <v>44874</v>
      </c>
      <c r="J473" s="311">
        <f>IFERROR(__xludf.DUMMYFUNCTION("""COMPUTED_VALUE"""),0.3844212962962963)</f>
        <v>0.3844212963</v>
      </c>
      <c r="K473" s="54"/>
      <c r="L473" s="7"/>
      <c r="M473" s="312"/>
      <c r="N473" s="172">
        <f>IFERROR(__xludf.DUMMYFUNCTION("""COMPUTED_VALUE"""),1.0)</f>
        <v>1</v>
      </c>
      <c r="O473" s="172" t="str">
        <f t="shared" si="3"/>
        <v/>
      </c>
      <c r="P473" s="313">
        <f>IFERROR(__xludf.DUMMYFUNCTION("""COMPUTED_VALUE"""),0.0)</f>
        <v>0</v>
      </c>
      <c r="Q473" s="76" t="b">
        <f>VLOOKUP($B473,'Run Reconcile'!B$2:O1399,14,FALSE)</f>
        <v>1</v>
      </c>
      <c r="R473" s="314" t="str">
        <f t="array" ref="R473">IF($Q473, INDEX('Run Reconcile'!A$2:A1399,MATCH(B473,'Run Reconcile'!B$2:B1399,0),1),IFERROR(0/0,""))</f>
        <v>RUN-ABRM_2022-11-09_RFR-069</v>
      </c>
      <c r="S473" s="315" t="str">
        <f t="shared" ref="S473:T473" si="950">IF(COUNTIF(W$2:W1399, $A473) &gt; 0,TRUE,IFERROR(0/0,""))</f>
        <v/>
      </c>
      <c r="T473" s="315" t="str">
        <f t="shared" si="950"/>
        <v/>
      </c>
      <c r="U473" s="114" t="str">
        <f t="array" ref="U473">IF(ISBLANK($R473), INDEX('Run Reconcile'!A$2:A1399, MATCH($B473, 'Run Reconcile'!B$2:B1399, 0)+Z473, 1), IFERROR(0/0,""))
</f>
        <v/>
      </c>
      <c r="V473" s="316" t="str">
        <f t="shared" si="5"/>
        <v>RUN-ABRM_2022-11-09_RFR-069</v>
      </c>
      <c r="Y473" s="317" t="str">
        <f t="shared" si="6"/>
        <v/>
      </c>
      <c r="Z473" s="83" t="str">
        <f t="shared" si="7"/>
        <v/>
      </c>
      <c r="AA473" s="83" t="str">
        <f t="shared" si="8"/>
        <v/>
      </c>
      <c r="AB473" s="83" t="str">
        <f t="shared" si="9"/>
        <v/>
      </c>
      <c r="AC473" s="18" t="str">
        <f t="shared" ref="AC473:AD473" si="951">IF(_xlfn.ISFORMULA(S473),IFERROR(0/0,""),TRUE)</f>
        <v/>
      </c>
      <c r="AD473" s="18" t="str">
        <f t="shared" si="951"/>
        <v/>
      </c>
      <c r="AE473" s="43"/>
      <c r="AF473" s="58" t="s">
        <v>75</v>
      </c>
      <c r="AG473" s="55" t="str">
        <f t="shared" si="11"/>
        <v/>
      </c>
    </row>
    <row r="474">
      <c r="A474" s="7" t="str">
        <f>IFERROR(__xludf.DUMMYFUNCTION("""COMPUTED_VALUE"""),"AG1865")</f>
        <v>AG1865</v>
      </c>
      <c r="B474" s="308">
        <f>IFERROR(__xludf.DUMMYFUNCTION("""COMPUTED_VALUE"""),44874.0)</f>
        <v>44874</v>
      </c>
      <c r="C474" s="309">
        <f>IFERROR(__xludf.DUMMYFUNCTION("""COMPUTED_VALUE"""),0.33199074074074075)</f>
        <v>0.3319907407</v>
      </c>
      <c r="D474" s="7" t="str">
        <f>IFERROR(__xludf.DUMMYFUNCTION("""COMPUTED_VALUE"""),"SpABRM655136")</f>
        <v>SpABRM655136</v>
      </c>
      <c r="E474" s="310"/>
      <c r="F474" s="310"/>
      <c r="G474" s="310" t="str">
        <f>IFERROR(__xludf.DUMMYFUNCTION("""COMPUTED_VALUE"""),"Negative")</f>
        <v>Negative</v>
      </c>
      <c r="H474" s="319" t="str">
        <f>IFERROR(__xludf.DUMMYFUNCTION("""COMPUTED_VALUE"""),"Negative")</f>
        <v>Negative</v>
      </c>
      <c r="I474" s="308">
        <f>IFERROR(__xludf.DUMMYFUNCTION("""COMPUTED_VALUE"""),44874.0)</f>
        <v>44874</v>
      </c>
      <c r="J474" s="311">
        <f>IFERROR(__xludf.DUMMYFUNCTION("""COMPUTED_VALUE"""),0.38439814814814816)</f>
        <v>0.3843981481</v>
      </c>
      <c r="K474" s="54"/>
      <c r="L474" s="7"/>
      <c r="M474" s="312"/>
      <c r="N474" s="172">
        <f>IFERROR(__xludf.DUMMYFUNCTION("""COMPUTED_VALUE"""),2.0)</f>
        <v>2</v>
      </c>
      <c r="O474" s="172" t="str">
        <f t="shared" si="3"/>
        <v/>
      </c>
      <c r="P474" s="313">
        <f>IFERROR(__xludf.DUMMYFUNCTION("""COMPUTED_VALUE"""),0.0)</f>
        <v>0</v>
      </c>
      <c r="Q474" s="76" t="b">
        <f>VLOOKUP($B474,'Run Reconcile'!B$2:O1399,14,FALSE)</f>
        <v>1</v>
      </c>
      <c r="R474" s="314" t="str">
        <f t="array" ref="R474">IF($Q474, INDEX('Run Reconcile'!A$2:A1399,MATCH(B474,'Run Reconcile'!B$2:B1399,0),1),IFERROR(0/0,""))</f>
        <v>RUN-ABRM_2022-11-09_RFR-069</v>
      </c>
      <c r="S474" s="315" t="str">
        <f t="shared" ref="S474:T474" si="952">IF(COUNTIF(W$2:W1399, $A474) &gt; 0,TRUE,IFERROR(0/0,""))</f>
        <v/>
      </c>
      <c r="T474" s="315" t="str">
        <f t="shared" si="952"/>
        <v/>
      </c>
      <c r="U474" s="114" t="str">
        <f t="array" ref="U474">IF(ISBLANK($R474), INDEX('Run Reconcile'!A$2:A1399, MATCH($B474, 'Run Reconcile'!B$2:B1399, 0)+Z474, 1), IFERROR(0/0,""))
</f>
        <v/>
      </c>
      <c r="V474" s="316" t="str">
        <f t="shared" si="5"/>
        <v>RUN-ABRM_2022-11-09_RFR-069</v>
      </c>
      <c r="Y474" s="317" t="str">
        <f t="shared" si="6"/>
        <v/>
      </c>
      <c r="Z474" s="83" t="str">
        <f t="shared" si="7"/>
        <v/>
      </c>
      <c r="AA474" s="83" t="str">
        <f t="shared" si="8"/>
        <v/>
      </c>
      <c r="AB474" s="83" t="str">
        <f t="shared" si="9"/>
        <v/>
      </c>
      <c r="AC474" s="18" t="str">
        <f t="shared" ref="AC474:AD474" si="953">IF(_xlfn.ISFORMULA(S474),IFERROR(0/0,""),TRUE)</f>
        <v/>
      </c>
      <c r="AD474" s="18" t="str">
        <f t="shared" si="953"/>
        <v/>
      </c>
      <c r="AE474" s="43"/>
      <c r="AF474" s="58" t="s">
        <v>75</v>
      </c>
      <c r="AG474" s="55" t="str">
        <f t="shared" si="11"/>
        <v/>
      </c>
    </row>
    <row r="475">
      <c r="A475" s="7" t="str">
        <f>IFERROR(__xludf.DUMMYFUNCTION("""COMPUTED_VALUE"""),"AG707")</f>
        <v>AG707</v>
      </c>
      <c r="B475" s="308">
        <f>IFERROR(__xludf.DUMMYFUNCTION("""COMPUTED_VALUE"""),44875.0)</f>
        <v>44875</v>
      </c>
      <c r="C475" s="309">
        <f>IFERROR(__xludf.DUMMYFUNCTION("""COMPUTED_VALUE"""),0.17912037037037037)</f>
        <v>0.1791203704</v>
      </c>
      <c r="D475" s="7" t="str">
        <f>IFERROR(__xludf.DUMMYFUNCTION("""COMPUTED_VALUE"""),"SpABRM367540")</f>
        <v>SpABRM367540</v>
      </c>
      <c r="E475" s="310"/>
      <c r="F475" s="310"/>
      <c r="G475" s="310" t="str">
        <f>IFERROR(__xludf.DUMMYFUNCTION("""COMPUTED_VALUE"""),"Negative")</f>
        <v>Negative</v>
      </c>
      <c r="H475" s="319" t="str">
        <f>IFERROR(__xludf.DUMMYFUNCTION("""COMPUTED_VALUE"""),"Negative")</f>
        <v>Negative</v>
      </c>
      <c r="I475" s="308">
        <f>IFERROR(__xludf.DUMMYFUNCTION("""COMPUTED_VALUE"""),44875.0)</f>
        <v>44875</v>
      </c>
      <c r="J475" s="311">
        <f>IFERROR(__xludf.DUMMYFUNCTION("""COMPUTED_VALUE"""),0.4436805555555556)</f>
        <v>0.4436805556</v>
      </c>
      <c r="K475" s="54"/>
      <c r="L475" s="7"/>
      <c r="M475" s="312"/>
      <c r="N475" s="172">
        <f>IFERROR(__xludf.DUMMYFUNCTION("""COMPUTED_VALUE"""),3.0)</f>
        <v>3</v>
      </c>
      <c r="O475" s="172" t="b">
        <f t="shared" si="3"/>
        <v>1</v>
      </c>
      <c r="P475" s="313">
        <f>IFERROR(__xludf.DUMMYFUNCTION("""COMPUTED_VALUE"""),0.0)</f>
        <v>0</v>
      </c>
      <c r="Q475" s="76" t="b">
        <f>VLOOKUP($B475,'Run Reconcile'!B$2:O1399,14,FALSE)</f>
        <v>1</v>
      </c>
      <c r="R475" s="314" t="str">
        <f t="array" ref="R475">IF($Q475, INDEX('Run Reconcile'!A$2:A1399,MATCH(B475,'Run Reconcile'!B$2:B1399,0),1),IFERROR(0/0,""))</f>
        <v>RUN-ABRM_2022-11-10_RFR-072</v>
      </c>
      <c r="S475" s="315" t="str">
        <f t="shared" ref="S475:T475" si="954">IF(COUNTIF(W$2:W1399, $A475) &gt; 0,TRUE,IFERROR(0/0,""))</f>
        <v/>
      </c>
      <c r="T475" s="315" t="str">
        <f t="shared" si="954"/>
        <v/>
      </c>
      <c r="U475" s="114" t="str">
        <f t="array" ref="U475">IF(ISBLANK($R475), INDEX('Run Reconcile'!A$2:A1399, MATCH($B475, 'Run Reconcile'!B$2:B1399, 0)+Z475, 1), IFERROR(0/0,""))
</f>
        <v/>
      </c>
      <c r="V475" s="316" t="str">
        <f t="shared" si="5"/>
        <v>RUN-ABRM_2022-11-10_RFR-072</v>
      </c>
      <c r="Y475" s="317" t="str">
        <f t="shared" si="6"/>
        <v/>
      </c>
      <c r="Z475" s="83" t="str">
        <f t="shared" si="7"/>
        <v/>
      </c>
      <c r="AA475" s="83" t="str">
        <f t="shared" si="8"/>
        <v/>
      </c>
      <c r="AB475" s="83" t="str">
        <f t="shared" si="9"/>
        <v/>
      </c>
      <c r="AC475" s="18" t="str">
        <f t="shared" ref="AC475:AD475" si="955">IF(_xlfn.ISFORMULA(S475),IFERROR(0/0,""),TRUE)</f>
        <v/>
      </c>
      <c r="AD475" s="18" t="str">
        <f t="shared" si="955"/>
        <v/>
      </c>
      <c r="AE475" s="43"/>
      <c r="AF475" s="58" t="s">
        <v>76</v>
      </c>
      <c r="AG475" s="55" t="str">
        <f t="shared" si="11"/>
        <v/>
      </c>
    </row>
    <row r="476">
      <c r="A476" s="7" t="str">
        <f>IFERROR(__xludf.DUMMYFUNCTION("""COMPUTED_VALUE"""),"AH166")</f>
        <v>AH166</v>
      </c>
      <c r="B476" s="308">
        <f>IFERROR(__xludf.DUMMYFUNCTION("""COMPUTED_VALUE"""),44875.0)</f>
        <v>44875</v>
      </c>
      <c r="C476" s="309">
        <f>IFERROR(__xludf.DUMMYFUNCTION("""COMPUTED_VALUE"""),0.2083449074074074)</f>
        <v>0.2083449074</v>
      </c>
      <c r="D476" s="7" t="str">
        <f>IFERROR(__xludf.DUMMYFUNCTION("""COMPUTED_VALUE"""),"SpABRM454310")</f>
        <v>SpABRM454310</v>
      </c>
      <c r="E476" s="310"/>
      <c r="F476" s="310"/>
      <c r="G476" s="310" t="str">
        <f>IFERROR(__xludf.DUMMYFUNCTION("""COMPUTED_VALUE"""),"Negative")</f>
        <v>Negative</v>
      </c>
      <c r="H476" s="319" t="str">
        <f>IFERROR(__xludf.DUMMYFUNCTION("""COMPUTED_VALUE"""),"Negative")</f>
        <v>Negative</v>
      </c>
      <c r="I476" s="308">
        <f>IFERROR(__xludf.DUMMYFUNCTION("""COMPUTED_VALUE"""),44875.0)</f>
        <v>44875</v>
      </c>
      <c r="J476" s="311">
        <f>IFERROR(__xludf.DUMMYFUNCTION("""COMPUTED_VALUE"""),0.4436805555555556)</f>
        <v>0.4436805556</v>
      </c>
      <c r="K476" s="54"/>
      <c r="L476" s="7"/>
      <c r="M476" s="312"/>
      <c r="N476" s="172">
        <f>IFERROR(__xludf.DUMMYFUNCTION("""COMPUTED_VALUE"""),3.0)</f>
        <v>3</v>
      </c>
      <c r="O476" s="172" t="str">
        <f t="shared" si="3"/>
        <v/>
      </c>
      <c r="P476" s="313">
        <f>IFERROR(__xludf.DUMMYFUNCTION("""COMPUTED_VALUE"""),0.0)</f>
        <v>0</v>
      </c>
      <c r="Q476" s="76" t="b">
        <f>VLOOKUP($B476,'Run Reconcile'!B$2:O1399,14,FALSE)</f>
        <v>1</v>
      </c>
      <c r="R476" s="314" t="str">
        <f t="array" ref="R476">IF($Q476, INDEX('Run Reconcile'!A$2:A1399,MATCH(B476,'Run Reconcile'!B$2:B1399,0),1),IFERROR(0/0,""))</f>
        <v>RUN-ABRM_2022-11-10_RFR-072</v>
      </c>
      <c r="S476" s="315" t="str">
        <f t="shared" ref="S476:T476" si="956">IF(COUNTIF(W$2:W1399, $A476) &gt; 0,TRUE,IFERROR(0/0,""))</f>
        <v/>
      </c>
      <c r="T476" s="315" t="str">
        <f t="shared" si="956"/>
        <v/>
      </c>
      <c r="U476" s="114" t="str">
        <f t="array" ref="U476">IF(ISBLANK($R476), INDEX('Run Reconcile'!A$2:A1399, MATCH($B476, 'Run Reconcile'!B$2:B1399, 0)+Z476, 1), IFERROR(0/0,""))
</f>
        <v/>
      </c>
      <c r="V476" s="316" t="str">
        <f t="shared" si="5"/>
        <v>RUN-ABRM_2022-11-10_RFR-072</v>
      </c>
      <c r="Y476" s="317" t="str">
        <f t="shared" si="6"/>
        <v/>
      </c>
      <c r="Z476" s="83" t="str">
        <f t="shared" si="7"/>
        <v/>
      </c>
      <c r="AA476" s="83" t="str">
        <f t="shared" si="8"/>
        <v/>
      </c>
      <c r="AB476" s="83" t="str">
        <f t="shared" si="9"/>
        <v/>
      </c>
      <c r="AC476" s="18" t="str">
        <f t="shared" ref="AC476:AD476" si="957">IF(_xlfn.ISFORMULA(S476),IFERROR(0/0,""),TRUE)</f>
        <v/>
      </c>
      <c r="AD476" s="18" t="str">
        <f t="shared" si="957"/>
        <v/>
      </c>
      <c r="AE476" s="43"/>
      <c r="AF476" s="58" t="s">
        <v>76</v>
      </c>
      <c r="AG476" s="55" t="str">
        <f t="shared" si="11"/>
        <v/>
      </c>
    </row>
    <row r="477">
      <c r="A477" s="7" t="str">
        <f>IFERROR(__xludf.DUMMYFUNCTION("""COMPUTED_VALUE"""),"AH8360")</f>
        <v>AH8360</v>
      </c>
      <c r="B477" s="308">
        <f>IFERROR(__xludf.DUMMYFUNCTION("""COMPUTED_VALUE"""),44875.0)</f>
        <v>44875</v>
      </c>
      <c r="C477" s="309">
        <f>IFERROR(__xludf.DUMMYFUNCTION("""COMPUTED_VALUE"""),0.26810185185185187)</f>
        <v>0.2681018519</v>
      </c>
      <c r="D477" s="7" t="str">
        <f>IFERROR(__xludf.DUMMYFUNCTION("""COMPUTED_VALUE"""),"SpABRM297307")</f>
        <v>SpABRM297307</v>
      </c>
      <c r="E477" s="310"/>
      <c r="F477" s="310"/>
      <c r="G477" s="310" t="str">
        <f>IFERROR(__xludf.DUMMYFUNCTION("""COMPUTED_VALUE"""),"Negative")</f>
        <v>Negative</v>
      </c>
      <c r="H477" s="319" t="str">
        <f>IFERROR(__xludf.DUMMYFUNCTION("""COMPUTED_VALUE"""),"Negative")</f>
        <v>Negative</v>
      </c>
      <c r="I477" s="308">
        <f>IFERROR(__xludf.DUMMYFUNCTION("""COMPUTED_VALUE"""),44875.0)</f>
        <v>44875</v>
      </c>
      <c r="J477" s="311">
        <f>IFERROR(__xludf.DUMMYFUNCTION("""COMPUTED_VALUE"""),0.4436805555555556)</f>
        <v>0.4436805556</v>
      </c>
      <c r="K477" s="54"/>
      <c r="L477" s="7"/>
      <c r="M477" s="312"/>
      <c r="N477" s="172">
        <f>IFERROR(__xludf.DUMMYFUNCTION("""COMPUTED_VALUE"""),3.0)</f>
        <v>3</v>
      </c>
      <c r="O477" s="172" t="str">
        <f t="shared" si="3"/>
        <v/>
      </c>
      <c r="P477" s="313">
        <f>IFERROR(__xludf.DUMMYFUNCTION("""COMPUTED_VALUE"""),0.0)</f>
        <v>0</v>
      </c>
      <c r="Q477" s="76" t="b">
        <f>VLOOKUP($B477,'Run Reconcile'!B$2:O1399,14,FALSE)</f>
        <v>1</v>
      </c>
      <c r="R477" s="314" t="str">
        <f t="array" ref="R477">IF($Q477, INDEX('Run Reconcile'!A$2:A1399,MATCH(B477,'Run Reconcile'!B$2:B1399,0),1),IFERROR(0/0,""))</f>
        <v>RUN-ABRM_2022-11-10_RFR-072</v>
      </c>
      <c r="S477" s="315" t="str">
        <f t="shared" ref="S477:T477" si="958">IF(COUNTIF(W$2:W1399, $A477) &gt; 0,TRUE,IFERROR(0/0,""))</f>
        <v/>
      </c>
      <c r="T477" s="315" t="str">
        <f t="shared" si="958"/>
        <v/>
      </c>
      <c r="U477" s="114" t="str">
        <f t="array" ref="U477">IF(ISBLANK($R477), INDEX('Run Reconcile'!A$2:A1399, MATCH($B477, 'Run Reconcile'!B$2:B1399, 0)+Z477, 1), IFERROR(0/0,""))
</f>
        <v/>
      </c>
      <c r="V477" s="316" t="str">
        <f t="shared" si="5"/>
        <v>RUN-ABRM_2022-11-10_RFR-072</v>
      </c>
      <c r="Y477" s="317" t="str">
        <f t="shared" si="6"/>
        <v/>
      </c>
      <c r="Z477" s="83" t="str">
        <f t="shared" si="7"/>
        <v/>
      </c>
      <c r="AA477" s="83" t="str">
        <f t="shared" si="8"/>
        <v/>
      </c>
      <c r="AB477" s="83" t="str">
        <f t="shared" si="9"/>
        <v/>
      </c>
      <c r="AC477" s="18" t="str">
        <f t="shared" ref="AC477:AD477" si="959">IF(_xlfn.ISFORMULA(S477),IFERROR(0/0,""),TRUE)</f>
        <v/>
      </c>
      <c r="AD477" s="18" t="str">
        <f t="shared" si="959"/>
        <v/>
      </c>
      <c r="AE477" s="43"/>
      <c r="AF477" s="58" t="s">
        <v>76</v>
      </c>
      <c r="AG477" s="55" t="str">
        <f t="shared" si="11"/>
        <v/>
      </c>
    </row>
    <row r="478">
      <c r="A478" s="7" t="str">
        <f>IFERROR(__xludf.DUMMYFUNCTION("""COMPUTED_VALUE"""),"AJ7999")</f>
        <v>AJ7999</v>
      </c>
      <c r="B478" s="308">
        <f>IFERROR(__xludf.DUMMYFUNCTION("""COMPUTED_VALUE"""),44875.0)</f>
        <v>44875</v>
      </c>
      <c r="C478" s="309">
        <f>IFERROR(__xludf.DUMMYFUNCTION("""COMPUTED_VALUE"""),0.28247685185185184)</f>
        <v>0.2824768519</v>
      </c>
      <c r="D478" s="7" t="str">
        <f>IFERROR(__xludf.DUMMYFUNCTION("""COMPUTED_VALUE"""),"SpABRM128250")</f>
        <v>SpABRM128250</v>
      </c>
      <c r="E478" s="310"/>
      <c r="F478" s="310"/>
      <c r="G478" s="310" t="str">
        <f>IFERROR(__xludf.DUMMYFUNCTION("""COMPUTED_VALUE"""),"Negative")</f>
        <v>Negative</v>
      </c>
      <c r="H478" s="319" t="str">
        <f>IFERROR(__xludf.DUMMYFUNCTION("""COMPUTED_VALUE"""),"Negative")</f>
        <v>Negative</v>
      </c>
      <c r="I478" s="308">
        <f>IFERROR(__xludf.DUMMYFUNCTION("""COMPUTED_VALUE"""),44875.0)</f>
        <v>44875</v>
      </c>
      <c r="J478" s="311">
        <f>IFERROR(__xludf.DUMMYFUNCTION("""COMPUTED_VALUE"""),0.4436921296296296)</f>
        <v>0.4436921296</v>
      </c>
      <c r="K478" s="54"/>
      <c r="L478" s="7"/>
      <c r="M478" s="312"/>
      <c r="N478" s="172">
        <f>IFERROR(__xludf.DUMMYFUNCTION("""COMPUTED_VALUE"""),3.0)</f>
        <v>3</v>
      </c>
      <c r="O478" s="172" t="str">
        <f t="shared" si="3"/>
        <v/>
      </c>
      <c r="P478" s="313">
        <f>IFERROR(__xludf.DUMMYFUNCTION("""COMPUTED_VALUE"""),0.0)</f>
        <v>0</v>
      </c>
      <c r="Q478" s="76" t="b">
        <f>VLOOKUP($B478,'Run Reconcile'!B$2:O1399,14,FALSE)</f>
        <v>1</v>
      </c>
      <c r="R478" s="314" t="str">
        <f t="array" ref="R478">IF($Q478, INDEX('Run Reconcile'!A$2:A1399,MATCH(B478,'Run Reconcile'!B$2:B1399,0),1),IFERROR(0/0,""))</f>
        <v>RUN-ABRM_2022-11-10_RFR-072</v>
      </c>
      <c r="S478" s="315" t="str">
        <f t="shared" ref="S478:T478" si="960">IF(COUNTIF(W$2:W1399, $A478) &gt; 0,TRUE,IFERROR(0/0,""))</f>
        <v/>
      </c>
      <c r="T478" s="315" t="str">
        <f t="shared" si="960"/>
        <v/>
      </c>
      <c r="U478" s="114" t="str">
        <f t="array" ref="U478">IF(ISBLANK($R478), INDEX('Run Reconcile'!A$2:A1399, MATCH($B478, 'Run Reconcile'!B$2:B1399, 0)+Z478, 1), IFERROR(0/0,""))
</f>
        <v/>
      </c>
      <c r="V478" s="316" t="str">
        <f t="shared" si="5"/>
        <v>RUN-ABRM_2022-11-10_RFR-072</v>
      </c>
      <c r="Y478" s="317" t="str">
        <f t="shared" si="6"/>
        <v/>
      </c>
      <c r="Z478" s="83" t="str">
        <f t="shared" si="7"/>
        <v/>
      </c>
      <c r="AA478" s="83" t="str">
        <f t="shared" si="8"/>
        <v/>
      </c>
      <c r="AB478" s="83" t="str">
        <f t="shared" si="9"/>
        <v/>
      </c>
      <c r="AC478" s="18" t="str">
        <f t="shared" ref="AC478:AD478" si="961">IF(_xlfn.ISFORMULA(S478),IFERROR(0/0,""),TRUE)</f>
        <v/>
      </c>
      <c r="AD478" s="18" t="str">
        <f t="shared" si="961"/>
        <v/>
      </c>
      <c r="AE478" s="43"/>
      <c r="AF478" s="58" t="s">
        <v>76</v>
      </c>
      <c r="AG478" s="55" t="str">
        <f t="shared" si="11"/>
        <v/>
      </c>
    </row>
    <row r="479">
      <c r="A479" s="7" t="str">
        <f>IFERROR(__xludf.DUMMYFUNCTION("""COMPUTED_VALUE"""),"AG708")</f>
        <v>AG708</v>
      </c>
      <c r="B479" s="308">
        <f>IFERROR(__xludf.DUMMYFUNCTION("""COMPUTED_VALUE"""),44875.0)</f>
        <v>44875</v>
      </c>
      <c r="C479" s="309">
        <f>IFERROR(__xludf.DUMMYFUNCTION("""COMPUTED_VALUE"""),0.32081018518518517)</f>
        <v>0.3208101852</v>
      </c>
      <c r="D479" s="7" t="str">
        <f>IFERROR(__xludf.DUMMYFUNCTION("""COMPUTED_VALUE"""),"SpABRM814022")</f>
        <v>SpABRM814022</v>
      </c>
      <c r="E479" s="310"/>
      <c r="F479" s="310"/>
      <c r="G479" s="310" t="str">
        <f>IFERROR(__xludf.DUMMYFUNCTION("""COMPUTED_VALUE"""),"Negative")</f>
        <v>Negative</v>
      </c>
      <c r="H479" s="319" t="str">
        <f>IFERROR(__xludf.DUMMYFUNCTION("""COMPUTED_VALUE"""),"Negative")</f>
        <v>Negative</v>
      </c>
      <c r="I479" s="308">
        <f>IFERROR(__xludf.DUMMYFUNCTION("""COMPUTED_VALUE"""),44875.0)</f>
        <v>44875</v>
      </c>
      <c r="J479" s="311">
        <f>IFERROR(__xludf.DUMMYFUNCTION("""COMPUTED_VALUE"""),0.4436921296296296)</f>
        <v>0.4436921296</v>
      </c>
      <c r="K479" s="54"/>
      <c r="L479" s="7"/>
      <c r="M479" s="312"/>
      <c r="N479" s="172">
        <f>IFERROR(__xludf.DUMMYFUNCTION("""COMPUTED_VALUE"""),1.0)</f>
        <v>1</v>
      </c>
      <c r="O479" s="172" t="str">
        <f t="shared" si="3"/>
        <v/>
      </c>
      <c r="P479" s="313">
        <f>IFERROR(__xludf.DUMMYFUNCTION("""COMPUTED_VALUE"""),0.0)</f>
        <v>0</v>
      </c>
      <c r="Q479" s="76" t="b">
        <f>VLOOKUP($B479,'Run Reconcile'!B$2:O1399,14,FALSE)</f>
        <v>1</v>
      </c>
      <c r="R479" s="314" t="str">
        <f t="array" ref="R479">IF($Q479, INDEX('Run Reconcile'!A$2:A1399,MATCH(B479,'Run Reconcile'!B$2:B1399,0),1),IFERROR(0/0,""))</f>
        <v>RUN-ABRM_2022-11-10_RFR-072</v>
      </c>
      <c r="S479" s="315" t="str">
        <f t="shared" ref="S479:T479" si="962">IF(COUNTIF(W$2:W1399, $A479) &gt; 0,TRUE,IFERROR(0/0,""))</f>
        <v/>
      </c>
      <c r="T479" s="315" t="str">
        <f t="shared" si="962"/>
        <v/>
      </c>
      <c r="U479" s="114" t="str">
        <f t="array" ref="U479">IF(ISBLANK($R479), INDEX('Run Reconcile'!A$2:A1399, MATCH($B479, 'Run Reconcile'!B$2:B1399, 0)+Z479, 1), IFERROR(0/0,""))
</f>
        <v/>
      </c>
      <c r="V479" s="316" t="str">
        <f t="shared" si="5"/>
        <v>RUN-ABRM_2022-11-10_RFR-072</v>
      </c>
      <c r="Y479" s="317" t="str">
        <f t="shared" si="6"/>
        <v/>
      </c>
      <c r="Z479" s="83" t="str">
        <f t="shared" si="7"/>
        <v/>
      </c>
      <c r="AA479" s="83" t="str">
        <f t="shared" si="8"/>
        <v/>
      </c>
      <c r="AB479" s="83" t="str">
        <f t="shared" si="9"/>
        <v/>
      </c>
      <c r="AC479" s="18" t="str">
        <f t="shared" ref="AC479:AD479" si="963">IF(_xlfn.ISFORMULA(S479),IFERROR(0/0,""),TRUE)</f>
        <v/>
      </c>
      <c r="AD479" s="18" t="str">
        <f t="shared" si="963"/>
        <v/>
      </c>
      <c r="AE479" s="43"/>
      <c r="AF479" s="58" t="s">
        <v>76</v>
      </c>
      <c r="AG479" s="55" t="str">
        <f t="shared" si="11"/>
        <v/>
      </c>
    </row>
    <row r="480">
      <c r="A480" s="7" t="str">
        <f>IFERROR(__xludf.DUMMYFUNCTION("""COMPUTED_VALUE"""),"AG607")</f>
        <v>AG607</v>
      </c>
      <c r="B480" s="308">
        <f>IFERROR(__xludf.DUMMYFUNCTION("""COMPUTED_VALUE"""),44875.0)</f>
        <v>44875</v>
      </c>
      <c r="C480" s="309">
        <f>IFERROR(__xludf.DUMMYFUNCTION("""COMPUTED_VALUE"""),0.42341435185185183)</f>
        <v>0.4234143519</v>
      </c>
      <c r="D480" s="7" t="str">
        <f>IFERROR(__xludf.DUMMYFUNCTION("""COMPUTED_VALUE"""),"SpABRM655136")</f>
        <v>SpABRM655136</v>
      </c>
      <c r="E480" s="310"/>
      <c r="F480" s="310"/>
      <c r="G480" s="310" t="str">
        <f>IFERROR(__xludf.DUMMYFUNCTION("""COMPUTED_VALUE"""),"Negative")</f>
        <v>Negative</v>
      </c>
      <c r="H480" s="319" t="str">
        <f>IFERROR(__xludf.DUMMYFUNCTION("""COMPUTED_VALUE"""),"Negative")</f>
        <v>Negative</v>
      </c>
      <c r="I480" s="308">
        <f>IFERROR(__xludf.DUMMYFUNCTION("""COMPUTED_VALUE"""),44875.0)</f>
        <v>44875</v>
      </c>
      <c r="J480" s="311">
        <f>IFERROR(__xludf.DUMMYFUNCTION("""COMPUTED_VALUE"""),0.4436921296296296)</f>
        <v>0.4436921296</v>
      </c>
      <c r="K480" s="54"/>
      <c r="L480" s="7"/>
      <c r="M480" s="312"/>
      <c r="N480" s="172">
        <f>IFERROR(__xludf.DUMMYFUNCTION("""COMPUTED_VALUE"""),1.0)</f>
        <v>1</v>
      </c>
      <c r="O480" s="172" t="str">
        <f t="shared" si="3"/>
        <v/>
      </c>
      <c r="P480" s="313">
        <f>IFERROR(__xludf.DUMMYFUNCTION("""COMPUTED_VALUE"""),0.0)</f>
        <v>0</v>
      </c>
      <c r="Q480" s="76" t="b">
        <f>VLOOKUP($B480,'Run Reconcile'!B$2:O1399,14,FALSE)</f>
        <v>1</v>
      </c>
      <c r="R480" s="314" t="str">
        <f t="array" ref="R480">IF($Q480, INDEX('Run Reconcile'!A$2:A1399,MATCH(B480,'Run Reconcile'!B$2:B1399,0),1),IFERROR(0/0,""))</f>
        <v>RUN-ABRM_2022-11-10_RFR-072</v>
      </c>
      <c r="S480" s="315" t="str">
        <f t="shared" ref="S480:T480" si="964">IF(COUNTIF(W$2:W1399, $A480) &gt; 0,TRUE,IFERROR(0/0,""))</f>
        <v/>
      </c>
      <c r="T480" s="315" t="str">
        <f t="shared" si="964"/>
        <v/>
      </c>
      <c r="U480" s="114" t="str">
        <f t="array" ref="U480">IF(ISBLANK($R480), INDEX('Run Reconcile'!A$2:A1399, MATCH($B480, 'Run Reconcile'!B$2:B1399, 0)+Z480, 1), IFERROR(0/0,""))
</f>
        <v/>
      </c>
      <c r="V480" s="316" t="str">
        <f t="shared" si="5"/>
        <v>RUN-ABRM_2022-11-10_RFR-072</v>
      </c>
      <c r="Y480" s="317" t="str">
        <f t="shared" si="6"/>
        <v/>
      </c>
      <c r="Z480" s="83" t="str">
        <f t="shared" si="7"/>
        <v/>
      </c>
      <c r="AA480" s="83" t="str">
        <f t="shared" si="8"/>
        <v/>
      </c>
      <c r="AB480" s="83" t="str">
        <f t="shared" si="9"/>
        <v/>
      </c>
      <c r="AC480" s="18" t="str">
        <f t="shared" ref="AC480:AD480" si="965">IF(_xlfn.ISFORMULA(S480),IFERROR(0/0,""),TRUE)</f>
        <v/>
      </c>
      <c r="AD480" s="18" t="str">
        <f t="shared" si="965"/>
        <v/>
      </c>
      <c r="AE480" s="43"/>
      <c r="AF480" s="58" t="s">
        <v>76</v>
      </c>
      <c r="AG480" s="55" t="str">
        <f t="shared" si="11"/>
        <v/>
      </c>
    </row>
    <row r="481">
      <c r="A481" s="7" t="str">
        <f>IFERROR(__xludf.DUMMYFUNCTION("""COMPUTED_VALUE"""),"AH8591")</f>
        <v>AH8591</v>
      </c>
      <c r="B481" s="308">
        <f>IFERROR(__xludf.DUMMYFUNCTION("""COMPUTED_VALUE"""),44875.0)</f>
        <v>44875</v>
      </c>
      <c r="C481" s="309">
        <f>IFERROR(__xludf.DUMMYFUNCTION("""COMPUTED_VALUE"""),0.42381944444444447)</f>
        <v>0.4238194444</v>
      </c>
      <c r="D481" s="7" t="str">
        <f>IFERROR(__xludf.DUMMYFUNCTION("""COMPUTED_VALUE"""),"SpABRM655136")</f>
        <v>SpABRM655136</v>
      </c>
      <c r="E481" s="310"/>
      <c r="F481" s="310"/>
      <c r="G481" s="310" t="str">
        <f>IFERROR(__xludf.DUMMYFUNCTION("""COMPUTED_VALUE"""),"Negative")</f>
        <v>Negative</v>
      </c>
      <c r="H481" s="319" t="str">
        <f>IFERROR(__xludf.DUMMYFUNCTION("""COMPUTED_VALUE"""),"Negative")</f>
        <v>Negative</v>
      </c>
      <c r="I481" s="308">
        <f>IFERROR(__xludf.DUMMYFUNCTION("""COMPUTED_VALUE"""),44875.0)</f>
        <v>44875</v>
      </c>
      <c r="J481" s="311">
        <f>IFERROR(__xludf.DUMMYFUNCTION("""COMPUTED_VALUE"""),0.4437037037037037)</f>
        <v>0.4437037037</v>
      </c>
      <c r="K481" s="54"/>
      <c r="L481" s="7"/>
      <c r="M481" s="312"/>
      <c r="N481" s="172">
        <f>IFERROR(__xludf.DUMMYFUNCTION("""COMPUTED_VALUE"""),2.0)</f>
        <v>2</v>
      </c>
      <c r="O481" s="172" t="str">
        <f t="shared" si="3"/>
        <v/>
      </c>
      <c r="P481" s="313">
        <f>IFERROR(__xludf.DUMMYFUNCTION("""COMPUTED_VALUE"""),0.0)</f>
        <v>0</v>
      </c>
      <c r="Q481" s="76" t="b">
        <f>VLOOKUP($B481,'Run Reconcile'!B$2:O1399,14,FALSE)</f>
        <v>1</v>
      </c>
      <c r="R481" s="314" t="str">
        <f t="array" ref="R481">IF($Q481, INDEX('Run Reconcile'!A$2:A1399,MATCH(B481,'Run Reconcile'!B$2:B1399,0),1),IFERROR(0/0,""))</f>
        <v>RUN-ABRM_2022-11-10_RFR-072</v>
      </c>
      <c r="S481" s="315" t="str">
        <f t="shared" ref="S481:T481" si="966">IF(COUNTIF(W$2:W1399, $A481) &gt; 0,TRUE,IFERROR(0/0,""))</f>
        <v/>
      </c>
      <c r="T481" s="315" t="str">
        <f t="shared" si="966"/>
        <v/>
      </c>
      <c r="U481" s="114" t="str">
        <f t="array" ref="U481">IF(ISBLANK($R481), INDEX('Run Reconcile'!A$2:A1399, MATCH($B481, 'Run Reconcile'!B$2:B1399, 0)+Z481, 1), IFERROR(0/0,""))
</f>
        <v/>
      </c>
      <c r="V481" s="316" t="str">
        <f t="shared" si="5"/>
        <v>RUN-ABRM_2022-11-10_RFR-072</v>
      </c>
      <c r="Y481" s="317" t="str">
        <f t="shared" si="6"/>
        <v/>
      </c>
      <c r="Z481" s="83" t="str">
        <f t="shared" si="7"/>
        <v/>
      </c>
      <c r="AA481" s="83" t="str">
        <f t="shared" si="8"/>
        <v/>
      </c>
      <c r="AB481" s="83" t="str">
        <f t="shared" si="9"/>
        <v/>
      </c>
      <c r="AC481" s="18" t="str">
        <f t="shared" ref="AC481:AD481" si="967">IF(_xlfn.ISFORMULA(S481),IFERROR(0/0,""),TRUE)</f>
        <v/>
      </c>
      <c r="AD481" s="18" t="str">
        <f t="shared" si="967"/>
        <v/>
      </c>
      <c r="AE481" s="43"/>
      <c r="AF481" s="58" t="s">
        <v>76</v>
      </c>
      <c r="AG481" s="55" t="str">
        <f t="shared" si="11"/>
        <v/>
      </c>
    </row>
    <row r="482">
      <c r="A482" s="7" t="str">
        <f>IFERROR(__xludf.DUMMYFUNCTION("""COMPUTED_VALUE"""),"AH8605")</f>
        <v>AH8605</v>
      </c>
      <c r="B482" s="308">
        <f>IFERROR(__xludf.DUMMYFUNCTION("""COMPUTED_VALUE"""),44875.0)</f>
        <v>44875</v>
      </c>
      <c r="C482" s="309">
        <f>IFERROR(__xludf.DUMMYFUNCTION("""COMPUTED_VALUE"""),0.4241666666666667)</f>
        <v>0.4241666667</v>
      </c>
      <c r="D482" s="7" t="str">
        <f>IFERROR(__xludf.DUMMYFUNCTION("""COMPUTED_VALUE"""),"SpABRM655136")</f>
        <v>SpABRM655136</v>
      </c>
      <c r="E482" s="310"/>
      <c r="F482" s="310"/>
      <c r="G482" s="310" t="str">
        <f>IFERROR(__xludf.DUMMYFUNCTION("""COMPUTED_VALUE"""),"Negative")</f>
        <v>Negative</v>
      </c>
      <c r="H482" s="319" t="str">
        <f>IFERROR(__xludf.DUMMYFUNCTION("""COMPUTED_VALUE"""),"Negative")</f>
        <v>Negative</v>
      </c>
      <c r="I482" s="308">
        <f>IFERROR(__xludf.DUMMYFUNCTION("""COMPUTED_VALUE"""),44875.0)</f>
        <v>44875</v>
      </c>
      <c r="J482" s="311">
        <f>IFERROR(__xludf.DUMMYFUNCTION("""COMPUTED_VALUE"""),0.4437037037037037)</f>
        <v>0.4437037037</v>
      </c>
      <c r="K482" s="54"/>
      <c r="L482" s="7"/>
      <c r="M482" s="312"/>
      <c r="N482" s="172">
        <f>IFERROR(__xludf.DUMMYFUNCTION("""COMPUTED_VALUE"""),2.0)</f>
        <v>2</v>
      </c>
      <c r="O482" s="172" t="str">
        <f t="shared" si="3"/>
        <v/>
      </c>
      <c r="P482" s="313">
        <f>IFERROR(__xludf.DUMMYFUNCTION("""COMPUTED_VALUE"""),0.0)</f>
        <v>0</v>
      </c>
      <c r="Q482" s="76" t="b">
        <f>VLOOKUP($B482,'Run Reconcile'!B$2:O1399,14,FALSE)</f>
        <v>1</v>
      </c>
      <c r="R482" s="314" t="str">
        <f t="array" ref="R482">IF($Q482, INDEX('Run Reconcile'!A$2:A1399,MATCH(B482,'Run Reconcile'!B$2:B1399,0),1),IFERROR(0/0,""))</f>
        <v>RUN-ABRM_2022-11-10_RFR-072</v>
      </c>
      <c r="S482" s="315" t="str">
        <f t="shared" ref="S482:T482" si="968">IF(COUNTIF(W$2:W1399, $A482) &gt; 0,TRUE,IFERROR(0/0,""))</f>
        <v/>
      </c>
      <c r="T482" s="315" t="str">
        <f t="shared" si="968"/>
        <v/>
      </c>
      <c r="U482" s="114" t="str">
        <f t="array" ref="U482">IF(ISBLANK($R482), INDEX('Run Reconcile'!A$2:A1399, MATCH($B482, 'Run Reconcile'!B$2:B1399, 0)+Z482, 1), IFERROR(0/0,""))
</f>
        <v/>
      </c>
      <c r="V482" s="316" t="str">
        <f t="shared" si="5"/>
        <v>RUN-ABRM_2022-11-10_RFR-072</v>
      </c>
      <c r="Y482" s="317" t="str">
        <f t="shared" si="6"/>
        <v/>
      </c>
      <c r="Z482" s="83" t="str">
        <f t="shared" si="7"/>
        <v/>
      </c>
      <c r="AA482" s="83" t="str">
        <f t="shared" si="8"/>
        <v/>
      </c>
      <c r="AB482" s="83" t="str">
        <f t="shared" si="9"/>
        <v/>
      </c>
      <c r="AC482" s="18" t="str">
        <f t="shared" ref="AC482:AD482" si="969">IF(_xlfn.ISFORMULA(S482),IFERROR(0/0,""),TRUE)</f>
        <v/>
      </c>
      <c r="AD482" s="18" t="str">
        <f t="shared" si="969"/>
        <v/>
      </c>
      <c r="AE482" s="43"/>
      <c r="AF482" s="58" t="s">
        <v>76</v>
      </c>
      <c r="AG482" s="55" t="str">
        <f t="shared" si="11"/>
        <v/>
      </c>
    </row>
    <row r="483">
      <c r="A483" s="7" t="str">
        <f>IFERROR(__xludf.DUMMYFUNCTION("""COMPUTED_VALUE"""),"AK5458")</f>
        <v>AK5458</v>
      </c>
      <c r="B483" s="308">
        <f>IFERROR(__xludf.DUMMYFUNCTION("""COMPUTED_VALUE"""),44875.0)</f>
        <v>44875</v>
      </c>
      <c r="C483" s="309">
        <f>IFERROR(__xludf.DUMMYFUNCTION("""COMPUTED_VALUE"""),0.4246759259259259)</f>
        <v>0.4246759259</v>
      </c>
      <c r="D483" s="7" t="str">
        <f>IFERROR(__xludf.DUMMYFUNCTION("""COMPUTED_VALUE"""),"SpABRM655136")</f>
        <v>SpABRM655136</v>
      </c>
      <c r="E483" s="310"/>
      <c r="F483" s="310"/>
      <c r="G483" s="310" t="str">
        <f>IFERROR(__xludf.DUMMYFUNCTION("""COMPUTED_VALUE"""),"Negative")</f>
        <v>Negative</v>
      </c>
      <c r="H483" s="319" t="str">
        <f>IFERROR(__xludf.DUMMYFUNCTION("""COMPUTED_VALUE"""),"Negative")</f>
        <v>Negative</v>
      </c>
      <c r="I483" s="308">
        <f>IFERROR(__xludf.DUMMYFUNCTION("""COMPUTED_VALUE"""),44875.0)</f>
        <v>44875</v>
      </c>
      <c r="J483" s="311">
        <f>IFERROR(__xludf.DUMMYFUNCTION("""COMPUTED_VALUE"""),0.4437037037037037)</f>
        <v>0.4437037037</v>
      </c>
      <c r="K483" s="54"/>
      <c r="L483" s="7"/>
      <c r="M483" s="312"/>
      <c r="N483" s="172">
        <f>IFERROR(__xludf.DUMMYFUNCTION("""COMPUTED_VALUE"""),1.0)</f>
        <v>1</v>
      </c>
      <c r="O483" s="172" t="str">
        <f t="shared" si="3"/>
        <v/>
      </c>
      <c r="P483" s="313">
        <f>IFERROR(__xludf.DUMMYFUNCTION("""COMPUTED_VALUE"""),0.0)</f>
        <v>0</v>
      </c>
      <c r="Q483" s="76" t="b">
        <f>VLOOKUP($B483,'Run Reconcile'!B$2:O1399,14,FALSE)</f>
        <v>1</v>
      </c>
      <c r="R483" s="314" t="str">
        <f t="array" ref="R483">IF($Q483, INDEX('Run Reconcile'!A$2:A1399,MATCH(B483,'Run Reconcile'!B$2:B1399,0),1),IFERROR(0/0,""))</f>
        <v>RUN-ABRM_2022-11-10_RFR-072</v>
      </c>
      <c r="S483" s="315" t="str">
        <f t="shared" ref="S483:T483" si="970">IF(COUNTIF(W$2:W1399, $A483) &gt; 0,TRUE,IFERROR(0/0,""))</f>
        <v/>
      </c>
      <c r="T483" s="315" t="str">
        <f t="shared" si="970"/>
        <v/>
      </c>
      <c r="U483" s="114" t="str">
        <f t="array" ref="U483">IF(ISBLANK($R483), INDEX('Run Reconcile'!A$2:A1399, MATCH($B483, 'Run Reconcile'!B$2:B1399, 0)+Z483, 1), IFERROR(0/0,""))
</f>
        <v/>
      </c>
      <c r="V483" s="316" t="str">
        <f t="shared" si="5"/>
        <v>RUN-ABRM_2022-11-10_RFR-072</v>
      </c>
      <c r="Y483" s="317" t="str">
        <f t="shared" si="6"/>
        <v/>
      </c>
      <c r="Z483" s="83" t="str">
        <f t="shared" si="7"/>
        <v/>
      </c>
      <c r="AA483" s="83" t="str">
        <f t="shared" si="8"/>
        <v/>
      </c>
      <c r="AB483" s="83" t="str">
        <f t="shared" si="9"/>
        <v/>
      </c>
      <c r="AC483" s="18" t="str">
        <f t="shared" ref="AC483:AD483" si="971">IF(_xlfn.ISFORMULA(S483),IFERROR(0/0,""),TRUE)</f>
        <v/>
      </c>
      <c r="AD483" s="18" t="str">
        <f t="shared" si="971"/>
        <v/>
      </c>
      <c r="AE483" s="43"/>
      <c r="AF483" s="58" t="s">
        <v>76</v>
      </c>
      <c r="AG483" s="55" t="str">
        <f t="shared" si="11"/>
        <v/>
      </c>
    </row>
    <row r="484">
      <c r="A484" s="7" t="str">
        <f>IFERROR(__xludf.DUMMYFUNCTION("""COMPUTED_VALUE"""),"AG1948")</f>
        <v>AG1948</v>
      </c>
      <c r="B484" s="308">
        <f>IFERROR(__xludf.DUMMYFUNCTION("""COMPUTED_VALUE"""),44876.0)</f>
        <v>44876</v>
      </c>
      <c r="C484" s="309">
        <f>IFERROR(__xludf.DUMMYFUNCTION("""COMPUTED_VALUE"""),0.2778009259259259)</f>
        <v>0.2778009259</v>
      </c>
      <c r="D484" s="7" t="str">
        <f>IFERROR(__xludf.DUMMYFUNCTION("""COMPUTED_VALUE"""),"SpABRM128250")</f>
        <v>SpABRM128250</v>
      </c>
      <c r="E484" s="310"/>
      <c r="F484" s="310"/>
      <c r="G484" s="310" t="str">
        <f>IFERROR(__xludf.DUMMYFUNCTION("""COMPUTED_VALUE"""),"Negative")</f>
        <v>Negative</v>
      </c>
      <c r="H484" s="319" t="str">
        <f>IFERROR(__xludf.DUMMYFUNCTION("""COMPUTED_VALUE"""),"Negative")</f>
        <v>Negative</v>
      </c>
      <c r="I484" s="308">
        <f>IFERROR(__xludf.DUMMYFUNCTION("""COMPUTED_VALUE"""),44876.0)</f>
        <v>44876</v>
      </c>
      <c r="J484" s="311">
        <f>IFERROR(__xludf.DUMMYFUNCTION("""COMPUTED_VALUE"""),0.3674189814814815)</f>
        <v>0.3674189815</v>
      </c>
      <c r="K484" s="54"/>
      <c r="L484" s="7"/>
      <c r="M484" s="312"/>
      <c r="N484" s="172">
        <f>IFERROR(__xludf.DUMMYFUNCTION("""COMPUTED_VALUE"""),3.0)</f>
        <v>3</v>
      </c>
      <c r="O484" s="172" t="b">
        <f t="shared" si="3"/>
        <v>1</v>
      </c>
      <c r="P484" s="313">
        <f>IFERROR(__xludf.DUMMYFUNCTION("""COMPUTED_VALUE"""),0.0)</f>
        <v>0</v>
      </c>
      <c r="Q484" s="76" t="b">
        <f>VLOOKUP($B484,'Run Reconcile'!B$2:O1399,14,FALSE)</f>
        <v>1</v>
      </c>
      <c r="R484" s="314" t="str">
        <f t="array" ref="R484">IF($Q484, INDEX('Run Reconcile'!A$2:A1399,MATCH(B484,'Run Reconcile'!B$2:B1399,0),1),IFERROR(0/0,""))</f>
        <v>RUN-ABRM_2022-11-11_RFR-073</v>
      </c>
      <c r="S484" s="315" t="str">
        <f t="shared" ref="S484:T484" si="972">IF(COUNTIF(W$2:W1399, $A484) &gt; 0,TRUE,IFERROR(0/0,""))</f>
        <v/>
      </c>
      <c r="T484" s="315" t="str">
        <f t="shared" si="972"/>
        <v/>
      </c>
      <c r="U484" s="114" t="str">
        <f t="array" ref="U484">IF(ISBLANK($R484), INDEX('Run Reconcile'!A$2:A1399, MATCH($B484, 'Run Reconcile'!B$2:B1399, 0)+Z484, 1), IFERROR(0/0,""))
</f>
        <v/>
      </c>
      <c r="V484" s="316" t="str">
        <f t="shared" si="5"/>
        <v>RUN-ABRM_2022-11-11_RFR-073</v>
      </c>
      <c r="Y484" s="317" t="str">
        <f t="shared" si="6"/>
        <v/>
      </c>
      <c r="Z484" s="83" t="str">
        <f t="shared" si="7"/>
        <v/>
      </c>
      <c r="AA484" s="83" t="str">
        <f t="shared" si="8"/>
        <v/>
      </c>
      <c r="AB484" s="83" t="str">
        <f t="shared" si="9"/>
        <v/>
      </c>
      <c r="AC484" s="18" t="str">
        <f t="shared" ref="AC484:AD484" si="973">IF(_xlfn.ISFORMULA(S484),IFERROR(0/0,""),TRUE)</f>
        <v/>
      </c>
      <c r="AD484" s="18" t="str">
        <f t="shared" si="973"/>
        <v/>
      </c>
      <c r="AE484" s="43"/>
      <c r="AF484" s="58" t="s">
        <v>77</v>
      </c>
      <c r="AG484" s="55" t="str">
        <f t="shared" si="11"/>
        <v/>
      </c>
    </row>
    <row r="485">
      <c r="A485" s="7" t="str">
        <f>IFERROR(__xludf.DUMMYFUNCTION("""COMPUTED_VALUE"""),"AH8586")</f>
        <v>AH8586</v>
      </c>
      <c r="B485" s="308">
        <f>IFERROR(__xludf.DUMMYFUNCTION("""COMPUTED_VALUE"""),44876.0)</f>
        <v>44876</v>
      </c>
      <c r="C485" s="309">
        <f>IFERROR(__xludf.DUMMYFUNCTION("""COMPUTED_VALUE"""),0.29202546296296295)</f>
        <v>0.292025463</v>
      </c>
      <c r="D485" s="7" t="str">
        <f>IFERROR(__xludf.DUMMYFUNCTION("""COMPUTED_VALUE"""),"SpABRM716377")</f>
        <v>SpABRM716377</v>
      </c>
      <c r="E485" s="310"/>
      <c r="F485" s="310"/>
      <c r="G485" s="310" t="str">
        <f>IFERROR(__xludf.DUMMYFUNCTION("""COMPUTED_VALUE"""),"Negative")</f>
        <v>Negative</v>
      </c>
      <c r="H485" s="319" t="str">
        <f>IFERROR(__xludf.DUMMYFUNCTION("""COMPUTED_VALUE"""),"Negative")</f>
        <v>Negative</v>
      </c>
      <c r="I485" s="308">
        <f>IFERROR(__xludf.DUMMYFUNCTION("""COMPUTED_VALUE"""),44876.0)</f>
        <v>44876</v>
      </c>
      <c r="J485" s="311">
        <f>IFERROR(__xludf.DUMMYFUNCTION("""COMPUTED_VALUE"""),0.3674189814814815)</f>
        <v>0.3674189815</v>
      </c>
      <c r="K485" s="54"/>
      <c r="L485" s="7"/>
      <c r="M485" s="312"/>
      <c r="N485" s="172">
        <f>IFERROR(__xludf.DUMMYFUNCTION("""COMPUTED_VALUE"""),2.0)</f>
        <v>2</v>
      </c>
      <c r="O485" s="172" t="str">
        <f t="shared" si="3"/>
        <v/>
      </c>
      <c r="P485" s="313">
        <f>IFERROR(__xludf.DUMMYFUNCTION("""COMPUTED_VALUE"""),0.0)</f>
        <v>0</v>
      </c>
      <c r="Q485" s="76" t="b">
        <f>VLOOKUP($B485,'Run Reconcile'!B$2:O1399,14,FALSE)</f>
        <v>1</v>
      </c>
      <c r="R485" s="314" t="str">
        <f t="array" ref="R485">IF($Q485, INDEX('Run Reconcile'!A$2:A1399,MATCH(B485,'Run Reconcile'!B$2:B1399,0),1),IFERROR(0/0,""))</f>
        <v>RUN-ABRM_2022-11-11_RFR-073</v>
      </c>
      <c r="S485" s="315" t="str">
        <f t="shared" ref="S485:T485" si="974">IF(COUNTIF(W$2:W1399, $A485) &gt; 0,TRUE,IFERROR(0/0,""))</f>
        <v/>
      </c>
      <c r="T485" s="315" t="str">
        <f t="shared" si="974"/>
        <v/>
      </c>
      <c r="U485" s="114" t="str">
        <f t="array" ref="U485">IF(ISBLANK($R485), INDEX('Run Reconcile'!A$2:A1399, MATCH($B485, 'Run Reconcile'!B$2:B1399, 0)+Z485, 1), IFERROR(0/0,""))
</f>
        <v/>
      </c>
      <c r="V485" s="316" t="str">
        <f t="shared" si="5"/>
        <v>RUN-ABRM_2022-11-11_RFR-073</v>
      </c>
      <c r="Y485" s="317" t="str">
        <f t="shared" si="6"/>
        <v/>
      </c>
      <c r="Z485" s="83" t="str">
        <f t="shared" si="7"/>
        <v/>
      </c>
      <c r="AA485" s="83" t="str">
        <f t="shared" si="8"/>
        <v/>
      </c>
      <c r="AB485" s="83" t="str">
        <f t="shared" si="9"/>
        <v/>
      </c>
      <c r="AC485" s="18" t="str">
        <f t="shared" ref="AC485:AD485" si="975">IF(_xlfn.ISFORMULA(S485),IFERROR(0/0,""),TRUE)</f>
        <v/>
      </c>
      <c r="AD485" s="18" t="str">
        <f t="shared" si="975"/>
        <v/>
      </c>
      <c r="AE485" s="43"/>
      <c r="AF485" s="58" t="s">
        <v>77</v>
      </c>
      <c r="AG485" s="55" t="str">
        <f t="shared" si="11"/>
        <v/>
      </c>
    </row>
    <row r="486">
      <c r="A486" s="7" t="str">
        <f>IFERROR(__xludf.DUMMYFUNCTION("""COMPUTED_VALUE"""),"AG2121")</f>
        <v>AG2121</v>
      </c>
      <c r="B486" s="308">
        <f>IFERROR(__xludf.DUMMYFUNCTION("""COMPUTED_VALUE"""),44876.0)</f>
        <v>44876</v>
      </c>
      <c r="C486" s="309">
        <f>IFERROR(__xludf.DUMMYFUNCTION("""COMPUTED_VALUE"""),0.3066203703703704)</f>
        <v>0.3066203704</v>
      </c>
      <c r="D486" s="7" t="str">
        <f>IFERROR(__xludf.DUMMYFUNCTION("""COMPUTED_VALUE"""),"SpABRM655136")</f>
        <v>SpABRM655136</v>
      </c>
      <c r="E486" s="310"/>
      <c r="F486" s="310"/>
      <c r="G486" s="310" t="str">
        <f>IFERROR(__xludf.DUMMYFUNCTION("""COMPUTED_VALUE"""),"Negative")</f>
        <v>Negative</v>
      </c>
      <c r="H486" s="319" t="str">
        <f>IFERROR(__xludf.DUMMYFUNCTION("""COMPUTED_VALUE"""),"Negative")</f>
        <v>Negative</v>
      </c>
      <c r="I486" s="308">
        <f>IFERROR(__xludf.DUMMYFUNCTION("""COMPUTED_VALUE"""),44876.0)</f>
        <v>44876</v>
      </c>
      <c r="J486" s="311">
        <f>IFERROR(__xludf.DUMMYFUNCTION("""COMPUTED_VALUE"""),0.3674189814814815)</f>
        <v>0.3674189815</v>
      </c>
      <c r="K486" s="54"/>
      <c r="L486" s="7"/>
      <c r="M486" s="312"/>
      <c r="N486" s="172">
        <f>IFERROR(__xludf.DUMMYFUNCTION("""COMPUTED_VALUE"""),2.0)</f>
        <v>2</v>
      </c>
      <c r="O486" s="172" t="str">
        <f t="shared" si="3"/>
        <v/>
      </c>
      <c r="P486" s="313">
        <f>IFERROR(__xludf.DUMMYFUNCTION("""COMPUTED_VALUE"""),0.0)</f>
        <v>0</v>
      </c>
      <c r="Q486" s="76" t="b">
        <f>VLOOKUP($B486,'Run Reconcile'!B$2:O1399,14,FALSE)</f>
        <v>1</v>
      </c>
      <c r="R486" s="314" t="str">
        <f t="array" ref="R486">IF($Q486, INDEX('Run Reconcile'!A$2:A1399,MATCH(B486,'Run Reconcile'!B$2:B1399,0),1),IFERROR(0/0,""))</f>
        <v>RUN-ABRM_2022-11-11_RFR-073</v>
      </c>
      <c r="S486" s="315" t="str">
        <f t="shared" ref="S486:T486" si="976">IF(COUNTIF(W$2:W1399, $A486) &gt; 0,TRUE,IFERROR(0/0,""))</f>
        <v/>
      </c>
      <c r="T486" s="315" t="str">
        <f t="shared" si="976"/>
        <v/>
      </c>
      <c r="U486" s="114" t="str">
        <f t="array" ref="U486">IF(ISBLANK($R486), INDEX('Run Reconcile'!A$2:A1399, MATCH($B486, 'Run Reconcile'!B$2:B1399, 0)+Z486, 1), IFERROR(0/0,""))
</f>
        <v/>
      </c>
      <c r="V486" s="316" t="str">
        <f t="shared" si="5"/>
        <v>RUN-ABRM_2022-11-11_RFR-073</v>
      </c>
      <c r="Y486" s="317" t="str">
        <f t="shared" si="6"/>
        <v/>
      </c>
      <c r="Z486" s="83" t="str">
        <f t="shared" si="7"/>
        <v/>
      </c>
      <c r="AA486" s="83" t="str">
        <f t="shared" si="8"/>
        <v/>
      </c>
      <c r="AB486" s="83" t="str">
        <f t="shared" si="9"/>
        <v/>
      </c>
      <c r="AC486" s="18" t="str">
        <f t="shared" ref="AC486:AD486" si="977">IF(_xlfn.ISFORMULA(S486),IFERROR(0/0,""),TRUE)</f>
        <v/>
      </c>
      <c r="AD486" s="18" t="str">
        <f t="shared" si="977"/>
        <v/>
      </c>
      <c r="AE486" s="43"/>
      <c r="AF486" s="58" t="s">
        <v>77</v>
      </c>
      <c r="AG486" s="55" t="str">
        <f t="shared" si="11"/>
        <v/>
      </c>
    </row>
    <row r="487">
      <c r="A487" s="7" t="str">
        <f>IFERROR(__xludf.DUMMYFUNCTION("""COMPUTED_VALUE"""),"AG1943")</f>
        <v>AG1943</v>
      </c>
      <c r="B487" s="308">
        <f>IFERROR(__xludf.DUMMYFUNCTION("""COMPUTED_VALUE"""),44876.0)</f>
        <v>44876</v>
      </c>
      <c r="C487" s="309">
        <f>IFERROR(__xludf.DUMMYFUNCTION("""COMPUTED_VALUE"""),0.30693287037037037)</f>
        <v>0.3069328704</v>
      </c>
      <c r="D487" s="7" t="str">
        <f>IFERROR(__xludf.DUMMYFUNCTION("""COMPUTED_VALUE"""),"SpABRM188986")</f>
        <v>SpABRM188986</v>
      </c>
      <c r="E487" s="310"/>
      <c r="F487" s="310"/>
      <c r="G487" s="310" t="str">
        <f>IFERROR(__xludf.DUMMYFUNCTION("""COMPUTED_VALUE"""),"Negative")</f>
        <v>Negative</v>
      </c>
      <c r="H487" s="319" t="str">
        <f>IFERROR(__xludf.DUMMYFUNCTION("""COMPUTED_VALUE"""),"Negative")</f>
        <v>Negative</v>
      </c>
      <c r="I487" s="308">
        <f>IFERROR(__xludf.DUMMYFUNCTION("""COMPUTED_VALUE"""),44876.0)</f>
        <v>44876</v>
      </c>
      <c r="J487" s="311">
        <f>IFERROR(__xludf.DUMMYFUNCTION("""COMPUTED_VALUE"""),0.36743055555555554)</f>
        <v>0.3674305556</v>
      </c>
      <c r="K487" s="54"/>
      <c r="L487" s="7"/>
      <c r="M487" s="312"/>
      <c r="N487" s="172">
        <f>IFERROR(__xludf.DUMMYFUNCTION("""COMPUTED_VALUE"""),2.0)</f>
        <v>2</v>
      </c>
      <c r="O487" s="172" t="str">
        <f t="shared" si="3"/>
        <v/>
      </c>
      <c r="P487" s="313">
        <f>IFERROR(__xludf.DUMMYFUNCTION("""COMPUTED_VALUE"""),0.0)</f>
        <v>0</v>
      </c>
      <c r="Q487" s="76" t="b">
        <f>VLOOKUP($B487,'Run Reconcile'!B$2:O1399,14,FALSE)</f>
        <v>1</v>
      </c>
      <c r="R487" s="314" t="str">
        <f t="array" ref="R487">IF($Q487, INDEX('Run Reconcile'!A$2:A1399,MATCH(B487,'Run Reconcile'!B$2:B1399,0),1),IFERROR(0/0,""))</f>
        <v>RUN-ABRM_2022-11-11_RFR-073</v>
      </c>
      <c r="S487" s="315" t="str">
        <f t="shared" ref="S487:T487" si="978">IF(COUNTIF(W$2:W1399, $A487) &gt; 0,TRUE,IFERROR(0/0,""))</f>
        <v/>
      </c>
      <c r="T487" s="315" t="str">
        <f t="shared" si="978"/>
        <v/>
      </c>
      <c r="U487" s="114" t="str">
        <f t="array" ref="U487">IF(ISBLANK($R487), INDEX('Run Reconcile'!A$2:A1399, MATCH($B487, 'Run Reconcile'!B$2:B1399, 0)+Z487, 1), IFERROR(0/0,""))
</f>
        <v/>
      </c>
      <c r="V487" s="316" t="str">
        <f t="shared" si="5"/>
        <v>RUN-ABRM_2022-11-11_RFR-073</v>
      </c>
      <c r="Y487" s="317" t="str">
        <f t="shared" si="6"/>
        <v/>
      </c>
      <c r="Z487" s="83" t="str">
        <f t="shared" si="7"/>
        <v/>
      </c>
      <c r="AA487" s="83" t="str">
        <f t="shared" si="8"/>
        <v/>
      </c>
      <c r="AB487" s="83" t="str">
        <f t="shared" si="9"/>
        <v/>
      </c>
      <c r="AC487" s="18" t="str">
        <f t="shared" ref="AC487:AD487" si="979">IF(_xlfn.ISFORMULA(S487),IFERROR(0/0,""),TRUE)</f>
        <v/>
      </c>
      <c r="AD487" s="18" t="str">
        <f t="shared" si="979"/>
        <v/>
      </c>
      <c r="AE487" s="43"/>
      <c r="AF487" s="58" t="s">
        <v>77</v>
      </c>
      <c r="AG487" s="55" t="str">
        <f t="shared" si="11"/>
        <v/>
      </c>
    </row>
    <row r="488">
      <c r="A488" s="7" t="str">
        <f>IFERROR(__xludf.DUMMYFUNCTION("""COMPUTED_VALUE"""),"AG1781")</f>
        <v>AG1781</v>
      </c>
      <c r="B488" s="308">
        <f>IFERROR(__xludf.DUMMYFUNCTION("""COMPUTED_VALUE"""),44876.0)</f>
        <v>44876</v>
      </c>
      <c r="C488" s="309">
        <f>IFERROR(__xludf.DUMMYFUNCTION("""COMPUTED_VALUE"""),0.32501157407407405)</f>
        <v>0.3250115741</v>
      </c>
      <c r="D488" s="7" t="str">
        <f>IFERROR(__xludf.DUMMYFUNCTION("""COMPUTED_VALUE"""),"SpABRM655136")</f>
        <v>SpABRM655136</v>
      </c>
      <c r="E488" s="310"/>
      <c r="F488" s="310"/>
      <c r="G488" s="310" t="str">
        <f>IFERROR(__xludf.DUMMYFUNCTION("""COMPUTED_VALUE"""),"Negative")</f>
        <v>Negative</v>
      </c>
      <c r="H488" s="319" t="str">
        <f>IFERROR(__xludf.DUMMYFUNCTION("""COMPUTED_VALUE"""),"Negative")</f>
        <v>Negative</v>
      </c>
      <c r="I488" s="308">
        <f>IFERROR(__xludf.DUMMYFUNCTION("""COMPUTED_VALUE"""),44876.0)</f>
        <v>44876</v>
      </c>
      <c r="J488" s="311">
        <f>IFERROR(__xludf.DUMMYFUNCTION("""COMPUTED_VALUE"""),0.36743055555555554)</f>
        <v>0.3674305556</v>
      </c>
      <c r="K488" s="54"/>
      <c r="L488" s="7"/>
      <c r="M488" s="312"/>
      <c r="N488" s="172">
        <f>IFERROR(__xludf.DUMMYFUNCTION("""COMPUTED_VALUE"""),3.0)</f>
        <v>3</v>
      </c>
      <c r="O488" s="172" t="str">
        <f t="shared" si="3"/>
        <v/>
      </c>
      <c r="P488" s="313">
        <f>IFERROR(__xludf.DUMMYFUNCTION("""COMPUTED_VALUE"""),0.0)</f>
        <v>0</v>
      </c>
      <c r="Q488" s="76" t="b">
        <f>VLOOKUP($B488,'Run Reconcile'!B$2:O1399,14,FALSE)</f>
        <v>1</v>
      </c>
      <c r="R488" s="314" t="str">
        <f t="array" ref="R488">IF($Q488, INDEX('Run Reconcile'!A$2:A1399,MATCH(B488,'Run Reconcile'!B$2:B1399,0),1),IFERROR(0/0,""))</f>
        <v>RUN-ABRM_2022-11-11_RFR-073</v>
      </c>
      <c r="S488" s="315" t="str">
        <f t="shared" ref="S488:T488" si="980">IF(COUNTIF(W$2:W1399, $A488) &gt; 0,TRUE,IFERROR(0/0,""))</f>
        <v/>
      </c>
      <c r="T488" s="315" t="str">
        <f t="shared" si="980"/>
        <v/>
      </c>
      <c r="U488" s="114" t="str">
        <f t="array" ref="U488">IF(ISBLANK($R488), INDEX('Run Reconcile'!A$2:A1399, MATCH($B488, 'Run Reconcile'!B$2:B1399, 0)+Z488, 1), IFERROR(0/0,""))
</f>
        <v/>
      </c>
      <c r="V488" s="316" t="str">
        <f t="shared" si="5"/>
        <v>RUN-ABRM_2022-11-11_RFR-073</v>
      </c>
      <c r="Y488" s="317" t="str">
        <f t="shared" si="6"/>
        <v/>
      </c>
      <c r="Z488" s="83" t="str">
        <f t="shared" si="7"/>
        <v/>
      </c>
      <c r="AA488" s="83" t="str">
        <f t="shared" si="8"/>
        <v/>
      </c>
      <c r="AB488" s="83" t="str">
        <f t="shared" si="9"/>
        <v/>
      </c>
      <c r="AC488" s="18" t="str">
        <f t="shared" ref="AC488:AD488" si="981">IF(_xlfn.ISFORMULA(S488),IFERROR(0/0,""),TRUE)</f>
        <v/>
      </c>
      <c r="AD488" s="18" t="str">
        <f t="shared" si="981"/>
        <v/>
      </c>
      <c r="AE488" s="43"/>
      <c r="AF488" s="58" t="s">
        <v>77</v>
      </c>
      <c r="AG488" s="55" t="str">
        <f t="shared" si="11"/>
        <v/>
      </c>
    </row>
    <row r="489">
      <c r="A489" s="7" t="str">
        <f>IFERROR(__xludf.DUMMYFUNCTION("""COMPUTED_VALUE"""),"AG391")</f>
        <v>AG391</v>
      </c>
      <c r="B489" s="308">
        <f>IFERROR(__xludf.DUMMYFUNCTION("""COMPUTED_VALUE"""),44879.0)</f>
        <v>44879</v>
      </c>
      <c r="C489" s="309">
        <f>IFERROR(__xludf.DUMMYFUNCTION("""COMPUTED_VALUE"""),0.21802083333333333)</f>
        <v>0.2180208333</v>
      </c>
      <c r="D489" s="7" t="str">
        <f>IFERROR(__xludf.DUMMYFUNCTION("""COMPUTED_VALUE"""),"SpABRM516158")</f>
        <v>SpABRM516158</v>
      </c>
      <c r="E489" s="310"/>
      <c r="F489" s="310"/>
      <c r="G489" s="310" t="str">
        <f>IFERROR(__xludf.DUMMYFUNCTION("""COMPUTED_VALUE"""),"Negative")</f>
        <v>Negative</v>
      </c>
      <c r="H489" s="319" t="str">
        <f>IFERROR(__xludf.DUMMYFUNCTION("""COMPUTED_VALUE"""),"Negative")</f>
        <v>Negative</v>
      </c>
      <c r="I489" s="308">
        <f>IFERROR(__xludf.DUMMYFUNCTION("""COMPUTED_VALUE"""),44880.0)</f>
        <v>44880</v>
      </c>
      <c r="J489" s="311">
        <f>IFERROR(__xludf.DUMMYFUNCTION("""COMPUTED_VALUE"""),0.40195601851851853)</f>
        <v>0.4019560185</v>
      </c>
      <c r="K489" s="54"/>
      <c r="L489" s="7"/>
      <c r="M489" s="312"/>
      <c r="N489" s="172">
        <f>IFERROR(__xludf.DUMMYFUNCTION("""COMPUTED_VALUE"""),1.0)</f>
        <v>1</v>
      </c>
      <c r="O489" s="172" t="b">
        <f t="shared" si="3"/>
        <v>1</v>
      </c>
      <c r="P489" s="313">
        <f>IFERROR(__xludf.DUMMYFUNCTION("""COMPUTED_VALUE"""),1.0)</f>
        <v>1</v>
      </c>
      <c r="Q489" s="76" t="b">
        <f>VLOOKUP($B489,'Run Reconcile'!B$2:O1399,14,FALSE)</f>
        <v>1</v>
      </c>
      <c r="R489" s="314" t="str">
        <f t="array" ref="R489">IF($Q489, INDEX('Run Reconcile'!A$2:A1399,MATCH(B489,'Run Reconcile'!B$2:B1399,0),1),IFERROR(0/0,""))</f>
        <v>RUN-ABRM_2022-11-14_RFR-075</v>
      </c>
      <c r="S489" s="315" t="str">
        <f t="shared" ref="S489:T489" si="982">IF(COUNTIF(W$2:W1399, $A489) &gt; 0,TRUE,IFERROR(0/0,""))</f>
        <v/>
      </c>
      <c r="T489" s="315" t="str">
        <f t="shared" si="982"/>
        <v/>
      </c>
      <c r="U489" s="114" t="str">
        <f t="array" ref="U489">IF(ISBLANK($R489), INDEX('Run Reconcile'!A$2:A1399, MATCH($B489, 'Run Reconcile'!B$2:B1399, 0)+Z489, 1), IFERROR(0/0,""))
</f>
        <v/>
      </c>
      <c r="V489" s="316" t="str">
        <f t="shared" si="5"/>
        <v>RUN-ABRM_2022-11-14_RFR-075</v>
      </c>
      <c r="Y489" s="317" t="str">
        <f t="shared" si="6"/>
        <v/>
      </c>
      <c r="Z489" s="83" t="str">
        <f t="shared" si="7"/>
        <v/>
      </c>
      <c r="AA489" s="83" t="str">
        <f t="shared" si="8"/>
        <v/>
      </c>
      <c r="AB489" s="83" t="str">
        <f t="shared" si="9"/>
        <v/>
      </c>
      <c r="AC489" s="18" t="str">
        <f t="shared" ref="AC489:AD489" si="983">IF(_xlfn.ISFORMULA(S489),IFERROR(0/0,""),TRUE)</f>
        <v/>
      </c>
      <c r="AD489" s="18" t="str">
        <f t="shared" si="983"/>
        <v/>
      </c>
      <c r="AE489" s="43"/>
      <c r="AF489" s="58" t="s">
        <v>78</v>
      </c>
      <c r="AG489" s="55" t="str">
        <f t="shared" si="11"/>
        <v/>
      </c>
    </row>
    <row r="490">
      <c r="A490" s="7" t="str">
        <f>IFERROR(__xludf.DUMMYFUNCTION("""COMPUTED_VALUE"""),"AH6734")</f>
        <v>AH6734</v>
      </c>
      <c r="B490" s="308">
        <f>IFERROR(__xludf.DUMMYFUNCTION("""COMPUTED_VALUE"""),44879.0)</f>
        <v>44879</v>
      </c>
      <c r="C490" s="309">
        <f>IFERROR(__xludf.DUMMYFUNCTION("""COMPUTED_VALUE"""),0.2881134259259259)</f>
        <v>0.2881134259</v>
      </c>
      <c r="D490" s="7" t="str">
        <f>IFERROR(__xludf.DUMMYFUNCTION("""COMPUTED_VALUE"""),"SpABRM128250")</f>
        <v>SpABRM128250</v>
      </c>
      <c r="E490" s="310"/>
      <c r="F490" s="310"/>
      <c r="G490" s="310" t="str">
        <f>IFERROR(__xludf.DUMMYFUNCTION("""COMPUTED_VALUE"""),"Negative")</f>
        <v>Negative</v>
      </c>
      <c r="H490" s="319" t="str">
        <f>IFERROR(__xludf.DUMMYFUNCTION("""COMPUTED_VALUE"""),"Negative")</f>
        <v>Negative</v>
      </c>
      <c r="I490" s="308">
        <f>IFERROR(__xludf.DUMMYFUNCTION("""COMPUTED_VALUE"""),44880.0)</f>
        <v>44880</v>
      </c>
      <c r="J490" s="311">
        <f>IFERROR(__xludf.DUMMYFUNCTION("""COMPUTED_VALUE"""),0.40195601851851853)</f>
        <v>0.4019560185</v>
      </c>
      <c r="K490" s="54"/>
      <c r="L490" s="7"/>
      <c r="M490" s="312"/>
      <c r="N490" s="172">
        <f>IFERROR(__xludf.DUMMYFUNCTION("""COMPUTED_VALUE"""),3.0)</f>
        <v>3</v>
      </c>
      <c r="O490" s="172" t="str">
        <f t="shared" si="3"/>
        <v/>
      </c>
      <c r="P490" s="313">
        <f>IFERROR(__xludf.DUMMYFUNCTION("""COMPUTED_VALUE"""),1.0)</f>
        <v>1</v>
      </c>
      <c r="Q490" s="76" t="b">
        <f>VLOOKUP($B490,'Run Reconcile'!B$2:O1399,14,FALSE)</f>
        <v>1</v>
      </c>
      <c r="R490" s="314" t="str">
        <f t="array" ref="R490">IF($Q490, INDEX('Run Reconcile'!A$2:A1399,MATCH(B490,'Run Reconcile'!B$2:B1399,0),1),IFERROR(0/0,""))</f>
        <v>RUN-ABRM_2022-11-14_RFR-075</v>
      </c>
      <c r="S490" s="315" t="str">
        <f t="shared" ref="S490:T490" si="984">IF(COUNTIF(W$2:W1399, $A490) &gt; 0,TRUE,IFERROR(0/0,""))</f>
        <v/>
      </c>
      <c r="T490" s="315" t="str">
        <f t="shared" si="984"/>
        <v/>
      </c>
      <c r="U490" s="114" t="str">
        <f t="array" ref="U490">IF(ISBLANK($R490), INDEX('Run Reconcile'!A$2:A1399, MATCH($B490, 'Run Reconcile'!B$2:B1399, 0)+Z490, 1), IFERROR(0/0,""))
</f>
        <v/>
      </c>
      <c r="V490" s="316" t="str">
        <f t="shared" si="5"/>
        <v>RUN-ABRM_2022-11-14_RFR-075</v>
      </c>
      <c r="Y490" s="317" t="str">
        <f t="shared" si="6"/>
        <v/>
      </c>
      <c r="Z490" s="83" t="str">
        <f t="shared" si="7"/>
        <v/>
      </c>
      <c r="AA490" s="83" t="str">
        <f t="shared" si="8"/>
        <v/>
      </c>
      <c r="AB490" s="83" t="str">
        <f t="shared" si="9"/>
        <v/>
      </c>
      <c r="AC490" s="18" t="str">
        <f t="shared" ref="AC490:AD490" si="985">IF(_xlfn.ISFORMULA(S490),IFERROR(0/0,""),TRUE)</f>
        <v/>
      </c>
      <c r="AD490" s="18" t="str">
        <f t="shared" si="985"/>
        <v/>
      </c>
      <c r="AE490" s="43"/>
      <c r="AF490" s="58" t="s">
        <v>78</v>
      </c>
      <c r="AG490" s="55" t="str">
        <f t="shared" si="11"/>
        <v/>
      </c>
    </row>
    <row r="491">
      <c r="A491" s="7" t="str">
        <f>IFERROR(__xludf.DUMMYFUNCTION("""COMPUTED_VALUE"""),"AG349")</f>
        <v>AG349</v>
      </c>
      <c r="B491" s="308">
        <f>IFERROR(__xludf.DUMMYFUNCTION("""COMPUTED_VALUE"""),44879.0)</f>
        <v>44879</v>
      </c>
      <c r="C491" s="309">
        <f>IFERROR(__xludf.DUMMYFUNCTION("""COMPUTED_VALUE"""),0.2888773148148148)</f>
        <v>0.2888773148</v>
      </c>
      <c r="D491" s="7" t="str">
        <f>IFERROR(__xludf.DUMMYFUNCTION("""COMPUTED_VALUE"""),"SpABRM716377")</f>
        <v>SpABRM716377</v>
      </c>
      <c r="E491" s="310"/>
      <c r="F491" s="310"/>
      <c r="G491" s="310" t="str">
        <f>IFERROR(__xludf.DUMMYFUNCTION("""COMPUTED_VALUE"""),"Negative")</f>
        <v>Negative</v>
      </c>
      <c r="H491" s="319" t="str">
        <f>IFERROR(__xludf.DUMMYFUNCTION("""COMPUTED_VALUE"""),"Negative")</f>
        <v>Negative</v>
      </c>
      <c r="I491" s="308">
        <f>IFERROR(__xludf.DUMMYFUNCTION("""COMPUTED_VALUE"""),44880.0)</f>
        <v>44880</v>
      </c>
      <c r="J491" s="311">
        <f>IFERROR(__xludf.DUMMYFUNCTION("""COMPUTED_VALUE"""),0.40195601851851853)</f>
        <v>0.4019560185</v>
      </c>
      <c r="K491" s="54"/>
      <c r="L491" s="7"/>
      <c r="M491" s="312"/>
      <c r="N491" s="172">
        <f>IFERROR(__xludf.DUMMYFUNCTION("""COMPUTED_VALUE"""),2.0)</f>
        <v>2</v>
      </c>
      <c r="O491" s="172" t="str">
        <f t="shared" si="3"/>
        <v/>
      </c>
      <c r="P491" s="313">
        <f>IFERROR(__xludf.DUMMYFUNCTION("""COMPUTED_VALUE"""),1.0)</f>
        <v>1</v>
      </c>
      <c r="Q491" s="76" t="b">
        <f>VLOOKUP($B491,'Run Reconcile'!B$2:O1399,14,FALSE)</f>
        <v>1</v>
      </c>
      <c r="R491" s="314" t="str">
        <f t="array" ref="R491">IF($Q491, INDEX('Run Reconcile'!A$2:A1399,MATCH(B491,'Run Reconcile'!B$2:B1399,0),1),IFERROR(0/0,""))</f>
        <v>RUN-ABRM_2022-11-14_RFR-075</v>
      </c>
      <c r="S491" s="315" t="str">
        <f t="shared" ref="S491:T491" si="986">IF(COUNTIF(W$2:W1399, $A491) &gt; 0,TRUE,IFERROR(0/0,""))</f>
        <v/>
      </c>
      <c r="T491" s="315" t="str">
        <f t="shared" si="986"/>
        <v/>
      </c>
      <c r="U491" s="114" t="str">
        <f t="array" ref="U491">IF(ISBLANK($R491), INDEX('Run Reconcile'!A$2:A1399, MATCH($B491, 'Run Reconcile'!B$2:B1399, 0)+Z491, 1), IFERROR(0/0,""))
</f>
        <v/>
      </c>
      <c r="V491" s="316" t="str">
        <f t="shared" si="5"/>
        <v>RUN-ABRM_2022-11-14_RFR-075</v>
      </c>
      <c r="Y491" s="317" t="str">
        <f t="shared" si="6"/>
        <v/>
      </c>
      <c r="Z491" s="83" t="str">
        <f t="shared" si="7"/>
        <v/>
      </c>
      <c r="AA491" s="83" t="str">
        <f t="shared" si="8"/>
        <v/>
      </c>
      <c r="AB491" s="83" t="str">
        <f t="shared" si="9"/>
        <v/>
      </c>
      <c r="AC491" s="18" t="str">
        <f t="shared" ref="AC491:AD491" si="987">IF(_xlfn.ISFORMULA(S491),IFERROR(0/0,""),TRUE)</f>
        <v/>
      </c>
      <c r="AD491" s="18" t="str">
        <f t="shared" si="987"/>
        <v/>
      </c>
      <c r="AE491" s="43"/>
      <c r="AF491" s="58" t="s">
        <v>78</v>
      </c>
      <c r="AG491" s="55" t="str">
        <f t="shared" si="11"/>
        <v/>
      </c>
    </row>
    <row r="492">
      <c r="A492" s="7" t="str">
        <f>IFERROR(__xludf.DUMMYFUNCTION("""COMPUTED_VALUE"""),"AH7895")</f>
        <v>AH7895</v>
      </c>
      <c r="B492" s="308">
        <f>IFERROR(__xludf.DUMMYFUNCTION("""COMPUTED_VALUE"""),44879.0)</f>
        <v>44879</v>
      </c>
      <c r="C492" s="309">
        <f>IFERROR(__xludf.DUMMYFUNCTION("""COMPUTED_VALUE"""),0.2929976851851852)</f>
        <v>0.2929976852</v>
      </c>
      <c r="D492" s="7" t="str">
        <f>IFERROR(__xludf.DUMMYFUNCTION("""COMPUTED_VALUE"""),"SpABRM297307")</f>
        <v>SpABRM297307</v>
      </c>
      <c r="E492" s="310"/>
      <c r="F492" s="310"/>
      <c r="G492" s="310" t="str">
        <f>IFERROR(__xludf.DUMMYFUNCTION("""COMPUTED_VALUE"""),"Negative")</f>
        <v>Negative</v>
      </c>
      <c r="H492" s="319" t="str">
        <f>IFERROR(__xludf.DUMMYFUNCTION("""COMPUTED_VALUE"""),"Negative")</f>
        <v>Negative</v>
      </c>
      <c r="I492" s="308">
        <f>IFERROR(__xludf.DUMMYFUNCTION("""COMPUTED_VALUE"""),44880.0)</f>
        <v>44880</v>
      </c>
      <c r="J492" s="311">
        <f>IFERROR(__xludf.DUMMYFUNCTION("""COMPUTED_VALUE"""),0.40196759259259257)</f>
        <v>0.4019675926</v>
      </c>
      <c r="K492" s="54"/>
      <c r="L492" s="7"/>
      <c r="M492" s="312"/>
      <c r="N492" s="172">
        <f>IFERROR(__xludf.DUMMYFUNCTION("""COMPUTED_VALUE"""),3.0)</f>
        <v>3</v>
      </c>
      <c r="O492" s="172" t="str">
        <f t="shared" si="3"/>
        <v/>
      </c>
      <c r="P492" s="313">
        <f>IFERROR(__xludf.DUMMYFUNCTION("""COMPUTED_VALUE"""),1.0)</f>
        <v>1</v>
      </c>
      <c r="Q492" s="76" t="b">
        <f>VLOOKUP($B492,'Run Reconcile'!B$2:O1399,14,FALSE)</f>
        <v>1</v>
      </c>
      <c r="R492" s="314" t="str">
        <f t="array" ref="R492">IF($Q492, INDEX('Run Reconcile'!A$2:A1399,MATCH(B492,'Run Reconcile'!B$2:B1399,0),1),IFERROR(0/0,""))</f>
        <v>RUN-ABRM_2022-11-14_RFR-075</v>
      </c>
      <c r="S492" s="315" t="str">
        <f t="shared" ref="S492:T492" si="988">IF(COUNTIF(W$2:W1399, $A492) &gt; 0,TRUE,IFERROR(0/0,""))</f>
        <v/>
      </c>
      <c r="T492" s="315" t="str">
        <f t="shared" si="988"/>
        <v/>
      </c>
      <c r="U492" s="114" t="str">
        <f t="array" ref="U492">IF(ISBLANK($R492), INDEX('Run Reconcile'!A$2:A1399, MATCH($B492, 'Run Reconcile'!B$2:B1399, 0)+Z492, 1), IFERROR(0/0,""))
</f>
        <v/>
      </c>
      <c r="V492" s="316" t="str">
        <f t="shared" si="5"/>
        <v>RUN-ABRM_2022-11-14_RFR-075</v>
      </c>
      <c r="Y492" s="317" t="str">
        <f t="shared" si="6"/>
        <v/>
      </c>
      <c r="Z492" s="83" t="str">
        <f t="shared" si="7"/>
        <v/>
      </c>
      <c r="AA492" s="83" t="str">
        <f t="shared" si="8"/>
        <v/>
      </c>
      <c r="AB492" s="83" t="str">
        <f t="shared" si="9"/>
        <v/>
      </c>
      <c r="AC492" s="18" t="str">
        <f t="shared" ref="AC492:AD492" si="989">IF(_xlfn.ISFORMULA(S492),IFERROR(0/0,""),TRUE)</f>
        <v/>
      </c>
      <c r="AD492" s="18" t="str">
        <f t="shared" si="989"/>
        <v/>
      </c>
      <c r="AE492" s="43"/>
      <c r="AF492" s="58" t="s">
        <v>78</v>
      </c>
      <c r="AG492" s="55" t="str">
        <f t="shared" si="11"/>
        <v/>
      </c>
    </row>
    <row r="493">
      <c r="A493" s="7" t="str">
        <f>IFERROR(__xludf.DUMMYFUNCTION("""COMPUTED_VALUE"""),"AG236")</f>
        <v>AG236</v>
      </c>
      <c r="B493" s="308">
        <f>IFERROR(__xludf.DUMMYFUNCTION("""COMPUTED_VALUE"""),44879.0)</f>
        <v>44879</v>
      </c>
      <c r="C493" s="309">
        <f>IFERROR(__xludf.DUMMYFUNCTION("""COMPUTED_VALUE"""),0.3012962962962963)</f>
        <v>0.3012962963</v>
      </c>
      <c r="D493" s="7" t="str">
        <f>IFERROR(__xludf.DUMMYFUNCTION("""COMPUTED_VALUE"""),"SpABRM655136")</f>
        <v>SpABRM655136</v>
      </c>
      <c r="E493" s="310"/>
      <c r="F493" s="310"/>
      <c r="G493" s="310" t="str">
        <f>IFERROR(__xludf.DUMMYFUNCTION("""COMPUTED_VALUE"""),"Negative")</f>
        <v>Negative</v>
      </c>
      <c r="H493" s="319" t="str">
        <f>IFERROR(__xludf.DUMMYFUNCTION("""COMPUTED_VALUE"""),"Negative")</f>
        <v>Negative</v>
      </c>
      <c r="I493" s="308">
        <f>IFERROR(__xludf.DUMMYFUNCTION("""COMPUTED_VALUE"""),44880.0)</f>
        <v>44880</v>
      </c>
      <c r="J493" s="311">
        <f>IFERROR(__xludf.DUMMYFUNCTION("""COMPUTED_VALUE"""),0.40196759259259257)</f>
        <v>0.4019675926</v>
      </c>
      <c r="K493" s="54"/>
      <c r="L493" s="7"/>
      <c r="M493" s="312"/>
      <c r="N493" s="172">
        <f>IFERROR(__xludf.DUMMYFUNCTION("""COMPUTED_VALUE"""),2.0)</f>
        <v>2</v>
      </c>
      <c r="O493" s="172" t="str">
        <f t="shared" si="3"/>
        <v/>
      </c>
      <c r="P493" s="313">
        <f>IFERROR(__xludf.DUMMYFUNCTION("""COMPUTED_VALUE"""),1.0)</f>
        <v>1</v>
      </c>
      <c r="Q493" s="76" t="b">
        <f>VLOOKUP($B493,'Run Reconcile'!B$2:O1399,14,FALSE)</f>
        <v>1</v>
      </c>
      <c r="R493" s="314" t="str">
        <f t="array" ref="R493">IF($Q493, INDEX('Run Reconcile'!A$2:A1399,MATCH(B493,'Run Reconcile'!B$2:B1399,0),1),IFERROR(0/0,""))</f>
        <v>RUN-ABRM_2022-11-14_RFR-075</v>
      </c>
      <c r="S493" s="315" t="str">
        <f t="shared" ref="S493:T493" si="990">IF(COUNTIF(W$2:W1399, $A493) &gt; 0,TRUE,IFERROR(0/0,""))</f>
        <v/>
      </c>
      <c r="T493" s="315" t="str">
        <f t="shared" si="990"/>
        <v/>
      </c>
      <c r="U493" s="114" t="str">
        <f t="array" ref="U493">IF(ISBLANK($R493), INDEX('Run Reconcile'!A$2:A1399, MATCH($B493, 'Run Reconcile'!B$2:B1399, 0)+Z493, 1), IFERROR(0/0,""))
</f>
        <v/>
      </c>
      <c r="V493" s="316" t="str">
        <f t="shared" si="5"/>
        <v>RUN-ABRM_2022-11-14_RFR-075</v>
      </c>
      <c r="Y493" s="317" t="str">
        <f t="shared" si="6"/>
        <v/>
      </c>
      <c r="Z493" s="83" t="str">
        <f t="shared" si="7"/>
        <v/>
      </c>
      <c r="AA493" s="83" t="str">
        <f t="shared" si="8"/>
        <v/>
      </c>
      <c r="AB493" s="83" t="str">
        <f t="shared" si="9"/>
        <v/>
      </c>
      <c r="AC493" s="18" t="str">
        <f t="shared" ref="AC493:AD493" si="991">IF(_xlfn.ISFORMULA(S493),IFERROR(0/0,""),TRUE)</f>
        <v/>
      </c>
      <c r="AD493" s="18" t="str">
        <f t="shared" si="991"/>
        <v/>
      </c>
      <c r="AE493" s="43"/>
      <c r="AF493" s="58" t="s">
        <v>78</v>
      </c>
      <c r="AG493" s="55" t="str">
        <f t="shared" si="11"/>
        <v/>
      </c>
    </row>
    <row r="494">
      <c r="A494" s="7" t="str">
        <f>IFERROR(__xludf.DUMMYFUNCTION("""COMPUTED_VALUE"""),"AG1763")</f>
        <v>AG1763</v>
      </c>
      <c r="B494" s="308">
        <f>IFERROR(__xludf.DUMMYFUNCTION("""COMPUTED_VALUE"""),44879.0)</f>
        <v>44879</v>
      </c>
      <c r="C494" s="309">
        <f>IFERROR(__xludf.DUMMYFUNCTION("""COMPUTED_VALUE"""),0.34324074074074074)</f>
        <v>0.3432407407</v>
      </c>
      <c r="D494" s="7" t="str">
        <f>IFERROR(__xludf.DUMMYFUNCTION("""COMPUTED_VALUE"""),"SpABRM188986")</f>
        <v>SpABRM188986</v>
      </c>
      <c r="E494" s="310"/>
      <c r="F494" s="310"/>
      <c r="G494" s="310" t="str">
        <f>IFERROR(__xludf.DUMMYFUNCTION("""COMPUTED_VALUE"""),"Negative")</f>
        <v>Negative</v>
      </c>
      <c r="H494" s="319" t="str">
        <f>IFERROR(__xludf.DUMMYFUNCTION("""COMPUTED_VALUE"""),"Negative")</f>
        <v>Negative</v>
      </c>
      <c r="I494" s="308">
        <f>IFERROR(__xludf.DUMMYFUNCTION("""COMPUTED_VALUE"""),44880.0)</f>
        <v>44880</v>
      </c>
      <c r="J494" s="311">
        <f>IFERROR(__xludf.DUMMYFUNCTION("""COMPUTED_VALUE"""),0.40196759259259257)</f>
        <v>0.4019675926</v>
      </c>
      <c r="K494" s="54"/>
      <c r="L494" s="7"/>
      <c r="M494" s="312"/>
      <c r="N494" s="172">
        <f>IFERROR(__xludf.DUMMYFUNCTION("""COMPUTED_VALUE"""),1.0)</f>
        <v>1</v>
      </c>
      <c r="O494" s="172" t="str">
        <f t="shared" si="3"/>
        <v/>
      </c>
      <c r="P494" s="313">
        <f>IFERROR(__xludf.DUMMYFUNCTION("""COMPUTED_VALUE"""),1.0)</f>
        <v>1</v>
      </c>
      <c r="Q494" s="76" t="b">
        <f>VLOOKUP($B494,'Run Reconcile'!B$2:O1399,14,FALSE)</f>
        <v>1</v>
      </c>
      <c r="R494" s="314" t="str">
        <f t="array" ref="R494">IF($Q494, INDEX('Run Reconcile'!A$2:A1399,MATCH(B494,'Run Reconcile'!B$2:B1399,0),1),IFERROR(0/0,""))</f>
        <v>RUN-ABRM_2022-11-14_RFR-075</v>
      </c>
      <c r="S494" s="315" t="str">
        <f t="shared" ref="S494:T494" si="992">IF(COUNTIF(W$2:W1399, $A494) &gt; 0,TRUE,IFERROR(0/0,""))</f>
        <v/>
      </c>
      <c r="T494" s="315" t="str">
        <f t="shared" si="992"/>
        <v/>
      </c>
      <c r="U494" s="114" t="str">
        <f t="array" ref="U494">IF(ISBLANK($R494), INDEX('Run Reconcile'!A$2:A1399, MATCH($B494, 'Run Reconcile'!B$2:B1399, 0)+Z494, 1), IFERROR(0/0,""))
</f>
        <v/>
      </c>
      <c r="V494" s="316" t="str">
        <f t="shared" si="5"/>
        <v>RUN-ABRM_2022-11-14_RFR-075</v>
      </c>
      <c r="Y494" s="317" t="str">
        <f t="shared" si="6"/>
        <v/>
      </c>
      <c r="Z494" s="83" t="str">
        <f t="shared" si="7"/>
        <v/>
      </c>
      <c r="AA494" s="83" t="str">
        <f t="shared" si="8"/>
        <v/>
      </c>
      <c r="AB494" s="83" t="str">
        <f t="shared" si="9"/>
        <v/>
      </c>
      <c r="AC494" s="18" t="str">
        <f t="shared" ref="AC494:AD494" si="993">IF(_xlfn.ISFORMULA(S494),IFERROR(0/0,""),TRUE)</f>
        <v/>
      </c>
      <c r="AD494" s="18" t="str">
        <f t="shared" si="993"/>
        <v/>
      </c>
      <c r="AE494" s="43"/>
      <c r="AF494" s="58" t="s">
        <v>78</v>
      </c>
      <c r="AG494" s="55" t="str">
        <f t="shared" si="11"/>
        <v/>
      </c>
    </row>
    <row r="495">
      <c r="A495" s="7" t="str">
        <f>IFERROR(__xludf.DUMMYFUNCTION("""COMPUTED_VALUE"""),"AH8553")</f>
        <v>AH8553</v>
      </c>
      <c r="B495" s="308">
        <f>IFERROR(__xludf.DUMMYFUNCTION("""COMPUTED_VALUE"""),44879.0)</f>
        <v>44879</v>
      </c>
      <c r="C495" s="309">
        <f>IFERROR(__xludf.DUMMYFUNCTION("""COMPUTED_VALUE"""),0.3439814814814815)</f>
        <v>0.3439814815</v>
      </c>
      <c r="D495" s="7" t="str">
        <f>IFERROR(__xludf.DUMMYFUNCTION("""COMPUTED_VALUE"""),"SpABRM188986")</f>
        <v>SpABRM188986</v>
      </c>
      <c r="E495" s="310"/>
      <c r="F495" s="310"/>
      <c r="G495" s="310" t="str">
        <f>IFERROR(__xludf.DUMMYFUNCTION("""COMPUTED_VALUE"""),"Negative")</f>
        <v>Negative</v>
      </c>
      <c r="H495" s="319" t="str">
        <f>IFERROR(__xludf.DUMMYFUNCTION("""COMPUTED_VALUE"""),"Negative")</f>
        <v>Negative</v>
      </c>
      <c r="I495" s="308">
        <f>IFERROR(__xludf.DUMMYFUNCTION("""COMPUTED_VALUE"""),44880.0)</f>
        <v>44880</v>
      </c>
      <c r="J495" s="311">
        <f>IFERROR(__xludf.DUMMYFUNCTION("""COMPUTED_VALUE"""),0.40196759259259257)</f>
        <v>0.4019675926</v>
      </c>
      <c r="K495" s="54"/>
      <c r="L495" s="7"/>
      <c r="M495" s="312"/>
      <c r="N495" s="172">
        <f>IFERROR(__xludf.DUMMYFUNCTION("""COMPUTED_VALUE"""),1.0)</f>
        <v>1</v>
      </c>
      <c r="O495" s="172" t="str">
        <f t="shared" si="3"/>
        <v/>
      </c>
      <c r="P495" s="313">
        <f>IFERROR(__xludf.DUMMYFUNCTION("""COMPUTED_VALUE"""),1.0)</f>
        <v>1</v>
      </c>
      <c r="Q495" s="76" t="b">
        <f>VLOOKUP($B495,'Run Reconcile'!B$2:O1399,14,FALSE)</f>
        <v>1</v>
      </c>
      <c r="R495" s="314" t="str">
        <f t="array" ref="R495">IF($Q495, INDEX('Run Reconcile'!A$2:A1399,MATCH(B495,'Run Reconcile'!B$2:B1399,0),1),IFERROR(0/0,""))</f>
        <v>RUN-ABRM_2022-11-14_RFR-075</v>
      </c>
      <c r="S495" s="315" t="str">
        <f t="shared" ref="S495:T495" si="994">IF(COUNTIF(W$2:W1399, $A495) &gt; 0,TRUE,IFERROR(0/0,""))</f>
        <v/>
      </c>
      <c r="T495" s="315" t="str">
        <f t="shared" si="994"/>
        <v/>
      </c>
      <c r="U495" s="114" t="str">
        <f t="array" ref="U495">IF(ISBLANK($R495), INDEX('Run Reconcile'!A$2:A1399, MATCH($B495, 'Run Reconcile'!B$2:B1399, 0)+Z495, 1), IFERROR(0/0,""))
</f>
        <v/>
      </c>
      <c r="V495" s="316" t="str">
        <f t="shared" si="5"/>
        <v>RUN-ABRM_2022-11-14_RFR-075</v>
      </c>
      <c r="Y495" s="317" t="str">
        <f t="shared" si="6"/>
        <v/>
      </c>
      <c r="Z495" s="83" t="str">
        <f t="shared" si="7"/>
        <v/>
      </c>
      <c r="AA495" s="83" t="str">
        <f t="shared" si="8"/>
        <v/>
      </c>
      <c r="AB495" s="83" t="str">
        <f t="shared" si="9"/>
        <v/>
      </c>
      <c r="AC495" s="18" t="str">
        <f t="shared" ref="AC495:AD495" si="995">IF(_xlfn.ISFORMULA(S495),IFERROR(0/0,""),TRUE)</f>
        <v/>
      </c>
      <c r="AD495" s="18" t="str">
        <f t="shared" si="995"/>
        <v/>
      </c>
      <c r="AE495" s="43"/>
      <c r="AF495" s="58" t="s">
        <v>78</v>
      </c>
      <c r="AG495" s="55" t="str">
        <f t="shared" si="11"/>
        <v/>
      </c>
    </row>
    <row r="496">
      <c r="A496" s="7" t="str">
        <f>IFERROR(__xludf.DUMMYFUNCTION("""COMPUTED_VALUE"""),"AG431")</f>
        <v>AG431</v>
      </c>
      <c r="B496" s="308">
        <f>IFERROR(__xludf.DUMMYFUNCTION("""COMPUTED_VALUE"""),44879.0)</f>
        <v>44879</v>
      </c>
      <c r="C496" s="309">
        <f>IFERROR(__xludf.DUMMYFUNCTION("""COMPUTED_VALUE"""),0.3470949074074074)</f>
        <v>0.3470949074</v>
      </c>
      <c r="D496" s="7" t="str">
        <f>IFERROR(__xludf.DUMMYFUNCTION("""COMPUTED_VALUE"""),"SpABRM188986")</f>
        <v>SpABRM188986</v>
      </c>
      <c r="E496" s="310"/>
      <c r="F496" s="310"/>
      <c r="G496" s="310" t="str">
        <f>IFERROR(__xludf.DUMMYFUNCTION("""COMPUTED_VALUE"""),"Null")</f>
        <v>Null</v>
      </c>
      <c r="H496" s="319" t="str">
        <f>IFERROR(__xludf.DUMMYFUNCTION("""COMPUTED_VALUE"""),"Negative")</f>
        <v>Negative</v>
      </c>
      <c r="I496" s="319"/>
      <c r="J496" s="54"/>
      <c r="K496" s="54">
        <f>IFERROR(__xludf.DUMMYFUNCTION("""COMPUTED_VALUE"""),2.0)</f>
        <v>2</v>
      </c>
      <c r="L496" s="7"/>
      <c r="M496" s="312"/>
      <c r="N496" s="172">
        <f>IFERROR(__xludf.DUMMYFUNCTION("""COMPUTED_VALUE"""),2.0)</f>
        <v>2</v>
      </c>
      <c r="O496" s="172" t="str">
        <f t="shared" si="3"/>
        <v/>
      </c>
      <c r="P496" s="313">
        <f>IFERROR(__xludf.DUMMYFUNCTION("""COMPUTED_VALUE"""),-1.0)</f>
        <v>-1</v>
      </c>
      <c r="Q496" s="76" t="b">
        <f>VLOOKUP($B496,'Run Reconcile'!B$2:O1399,14,FALSE)</f>
        <v>1</v>
      </c>
      <c r="R496" s="314" t="str">
        <f t="array" ref="R496">IF($Q496, INDEX('Run Reconcile'!A$2:A1399,MATCH(B496,'Run Reconcile'!B$2:B1399,0),1),IFERROR(0/0,""))</f>
        <v>RUN-ABRM_2022-11-14_RFR-075</v>
      </c>
      <c r="S496" s="315" t="str">
        <f t="shared" ref="S496:T496" si="996">IF(COUNTIF(W$2:W1399, $A496) &gt; 0,TRUE,IFERROR(0/0,""))</f>
        <v/>
      </c>
      <c r="T496" s="315" t="str">
        <f t="shared" si="996"/>
        <v/>
      </c>
      <c r="U496" s="114" t="str">
        <f t="array" ref="U496">IF(ISBLANK($R496), INDEX('Run Reconcile'!A$2:A1399, MATCH($B496, 'Run Reconcile'!B$2:B1399, 0)+Z496, 1), IFERROR(0/0,""))
</f>
        <v/>
      </c>
      <c r="V496" s="316" t="str">
        <f t="shared" si="5"/>
        <v>RUN-ABRM_2022-11-14_RFR-075</v>
      </c>
      <c r="Y496" s="317" t="str">
        <f t="shared" si="6"/>
        <v/>
      </c>
      <c r="Z496" s="83" t="str">
        <f t="shared" si="7"/>
        <v/>
      </c>
      <c r="AA496" s="83" t="str">
        <f t="shared" si="8"/>
        <v/>
      </c>
      <c r="AB496" s="83" t="str">
        <f t="shared" si="9"/>
        <v/>
      </c>
      <c r="AC496" s="18" t="str">
        <f t="shared" ref="AC496:AD496" si="997">IF(_xlfn.ISFORMULA(S496),IFERROR(0/0,""),TRUE)</f>
        <v/>
      </c>
      <c r="AD496" s="18" t="str">
        <f t="shared" si="997"/>
        <v/>
      </c>
      <c r="AE496" s="43"/>
      <c r="AF496" s="58" t="s">
        <v>78</v>
      </c>
      <c r="AG496" s="55" t="str">
        <f t="shared" si="11"/>
        <v/>
      </c>
    </row>
    <row r="497">
      <c r="A497" s="7" t="str">
        <f>IFERROR(__xludf.DUMMYFUNCTION("""COMPUTED_VALUE"""),"AJ7048")</f>
        <v>AJ7048</v>
      </c>
      <c r="B497" s="308">
        <f>IFERROR(__xludf.DUMMYFUNCTION("""COMPUTED_VALUE"""),44880.0)</f>
        <v>44880</v>
      </c>
      <c r="C497" s="309">
        <f>IFERROR(__xludf.DUMMYFUNCTION("""COMPUTED_VALUE"""),0.21166666666666667)</f>
        <v>0.2116666667</v>
      </c>
      <c r="D497" s="7" t="str">
        <f>IFERROR(__xludf.DUMMYFUNCTION("""COMPUTED_VALUE"""),"SpABRM454310")</f>
        <v>SpABRM454310</v>
      </c>
      <c r="E497" s="310"/>
      <c r="F497" s="310"/>
      <c r="G497" s="310" t="str">
        <f>IFERROR(__xludf.DUMMYFUNCTION("""COMPUTED_VALUE"""),"Negative")</f>
        <v>Negative</v>
      </c>
      <c r="H497" s="319" t="str">
        <f>IFERROR(__xludf.DUMMYFUNCTION("""COMPUTED_VALUE"""),"Negative")</f>
        <v>Negative</v>
      </c>
      <c r="I497" s="308">
        <f>IFERROR(__xludf.DUMMYFUNCTION("""COMPUTED_VALUE"""),44880.0)</f>
        <v>44880</v>
      </c>
      <c r="J497" s="311">
        <f>IFERROR(__xludf.DUMMYFUNCTION("""COMPUTED_VALUE"""),0.4180787037037037)</f>
        <v>0.4180787037</v>
      </c>
      <c r="K497" s="54"/>
      <c r="L497" s="7"/>
      <c r="M497" s="312"/>
      <c r="N497" s="172">
        <f>IFERROR(__xludf.DUMMYFUNCTION("""COMPUTED_VALUE"""),3.0)</f>
        <v>3</v>
      </c>
      <c r="O497" s="172" t="b">
        <f t="shared" si="3"/>
        <v>1</v>
      </c>
      <c r="P497" s="313">
        <f>IFERROR(__xludf.DUMMYFUNCTION("""COMPUTED_VALUE"""),0.0)</f>
        <v>0</v>
      </c>
      <c r="Q497" s="76" t="b">
        <f>VLOOKUP($B497,'Run Reconcile'!B$2:O1399,14,FALSE)</f>
        <v>1</v>
      </c>
      <c r="R497" s="314" t="str">
        <f t="array" ref="R497">IF($Q497, INDEX('Run Reconcile'!A$2:A1399,MATCH(B497,'Run Reconcile'!B$2:B1399,0),1),IFERROR(0/0,""))</f>
        <v>RUN-ABRM_2022-11-15_RFR-076</v>
      </c>
      <c r="S497" s="315" t="str">
        <f t="shared" ref="S497:T497" si="998">IF(COUNTIF(W$2:W1399, $A497) &gt; 0,TRUE,IFERROR(0/0,""))</f>
        <v/>
      </c>
      <c r="T497" s="315" t="str">
        <f t="shared" si="998"/>
        <v/>
      </c>
      <c r="U497" s="114" t="str">
        <f t="array" ref="U497">IF(ISBLANK($R497), INDEX('Run Reconcile'!A$2:A1399, MATCH($B497, 'Run Reconcile'!B$2:B1399, 0)+Z497, 1), IFERROR(0/0,""))
</f>
        <v/>
      </c>
      <c r="V497" s="316" t="str">
        <f t="shared" si="5"/>
        <v>RUN-ABRM_2022-11-15_RFR-076</v>
      </c>
      <c r="Y497" s="317" t="str">
        <f t="shared" si="6"/>
        <v/>
      </c>
      <c r="Z497" s="83" t="str">
        <f t="shared" si="7"/>
        <v/>
      </c>
      <c r="AA497" s="83" t="str">
        <f t="shared" si="8"/>
        <v/>
      </c>
      <c r="AB497" s="83" t="str">
        <f t="shared" si="9"/>
        <v/>
      </c>
      <c r="AC497" s="18" t="str">
        <f t="shared" ref="AC497:AD497" si="999">IF(_xlfn.ISFORMULA(S497),IFERROR(0/0,""),TRUE)</f>
        <v/>
      </c>
      <c r="AD497" s="18" t="str">
        <f t="shared" si="999"/>
        <v/>
      </c>
      <c r="AE497" s="43"/>
      <c r="AF497" s="58" t="s">
        <v>79</v>
      </c>
      <c r="AG497" s="55" t="str">
        <f t="shared" si="11"/>
        <v/>
      </c>
    </row>
    <row r="498">
      <c r="A498" s="7" t="str">
        <f>IFERROR(__xludf.DUMMYFUNCTION("""COMPUTED_VALUE"""),"AH8302")</f>
        <v>AH8302</v>
      </c>
      <c r="B498" s="308">
        <f>IFERROR(__xludf.DUMMYFUNCTION("""COMPUTED_VALUE"""),44880.0)</f>
        <v>44880</v>
      </c>
      <c r="C498" s="309">
        <f>IFERROR(__xludf.DUMMYFUNCTION("""COMPUTED_VALUE"""),0.24634259259259259)</f>
        <v>0.2463425926</v>
      </c>
      <c r="D498" s="7" t="str">
        <f>IFERROR(__xludf.DUMMYFUNCTION("""COMPUTED_VALUE"""),"SpABRM297307")</f>
        <v>SpABRM297307</v>
      </c>
      <c r="E498" s="310"/>
      <c r="F498" s="310"/>
      <c r="G498" s="310" t="str">
        <f>IFERROR(__xludf.DUMMYFUNCTION("""COMPUTED_VALUE"""),"Negative")</f>
        <v>Negative</v>
      </c>
      <c r="H498" s="319" t="str">
        <f>IFERROR(__xludf.DUMMYFUNCTION("""COMPUTED_VALUE"""),"Negative")</f>
        <v>Negative</v>
      </c>
      <c r="I498" s="308">
        <f>IFERROR(__xludf.DUMMYFUNCTION("""COMPUTED_VALUE"""),44880.0)</f>
        <v>44880</v>
      </c>
      <c r="J498" s="311">
        <f>IFERROR(__xludf.DUMMYFUNCTION("""COMPUTED_VALUE"""),0.4180787037037037)</f>
        <v>0.4180787037</v>
      </c>
      <c r="K498" s="54"/>
      <c r="L498" s="7"/>
      <c r="M498" s="312"/>
      <c r="N498" s="172">
        <f>IFERROR(__xludf.DUMMYFUNCTION("""COMPUTED_VALUE"""),3.0)</f>
        <v>3</v>
      </c>
      <c r="O498" s="172" t="str">
        <f t="shared" si="3"/>
        <v/>
      </c>
      <c r="P498" s="313">
        <f>IFERROR(__xludf.DUMMYFUNCTION("""COMPUTED_VALUE"""),0.0)</f>
        <v>0</v>
      </c>
      <c r="Q498" s="76" t="b">
        <f>VLOOKUP($B498,'Run Reconcile'!B$2:O1399,14,FALSE)</f>
        <v>1</v>
      </c>
      <c r="R498" s="314" t="str">
        <f t="array" ref="R498">IF($Q498, INDEX('Run Reconcile'!A$2:A1399,MATCH(B498,'Run Reconcile'!B$2:B1399,0),1),IFERROR(0/0,""))</f>
        <v>RUN-ABRM_2022-11-15_RFR-076</v>
      </c>
      <c r="S498" s="315" t="str">
        <f t="shared" ref="S498:T498" si="1000">IF(COUNTIF(W$2:W1399, $A498) &gt; 0,TRUE,IFERROR(0/0,""))</f>
        <v/>
      </c>
      <c r="T498" s="315" t="str">
        <f t="shared" si="1000"/>
        <v/>
      </c>
      <c r="U498" s="114" t="str">
        <f t="array" ref="U498">IF(ISBLANK($R498), INDEX('Run Reconcile'!A$2:A1399, MATCH($B498, 'Run Reconcile'!B$2:B1399, 0)+Z498, 1), IFERROR(0/0,""))
</f>
        <v/>
      </c>
      <c r="V498" s="316" t="str">
        <f t="shared" si="5"/>
        <v>RUN-ABRM_2022-11-15_RFR-076</v>
      </c>
      <c r="Y498" s="317" t="str">
        <f t="shared" si="6"/>
        <v/>
      </c>
      <c r="Z498" s="83" t="str">
        <f t="shared" si="7"/>
        <v/>
      </c>
      <c r="AA498" s="83" t="str">
        <f t="shared" si="8"/>
        <v/>
      </c>
      <c r="AB498" s="83" t="str">
        <f t="shared" si="9"/>
        <v/>
      </c>
      <c r="AC498" s="18" t="str">
        <f t="shared" ref="AC498:AD498" si="1001">IF(_xlfn.ISFORMULA(S498),IFERROR(0/0,""),TRUE)</f>
        <v/>
      </c>
      <c r="AD498" s="18" t="str">
        <f t="shared" si="1001"/>
        <v/>
      </c>
      <c r="AE498" s="43"/>
      <c r="AF498" s="58" t="s">
        <v>79</v>
      </c>
      <c r="AG498" s="55" t="str">
        <f t="shared" si="11"/>
        <v/>
      </c>
    </row>
    <row r="499">
      <c r="A499" s="7" t="str">
        <f>IFERROR(__xludf.DUMMYFUNCTION("""COMPUTED_VALUE"""),"AJ8175")</f>
        <v>AJ8175</v>
      </c>
      <c r="B499" s="308">
        <f>IFERROR(__xludf.DUMMYFUNCTION("""COMPUTED_VALUE"""),44880.0)</f>
        <v>44880</v>
      </c>
      <c r="C499" s="309">
        <f>IFERROR(__xludf.DUMMYFUNCTION("""COMPUTED_VALUE"""),0.27917824074074077)</f>
        <v>0.2791782407</v>
      </c>
      <c r="D499" s="7" t="str">
        <f>IFERROR(__xludf.DUMMYFUNCTION("""COMPUTED_VALUE"""),"SpABRM128250")</f>
        <v>SpABRM128250</v>
      </c>
      <c r="E499" s="310"/>
      <c r="F499" s="310"/>
      <c r="G499" s="310" t="str">
        <f>IFERROR(__xludf.DUMMYFUNCTION("""COMPUTED_VALUE"""),"Negative")</f>
        <v>Negative</v>
      </c>
      <c r="H499" s="319" t="str">
        <f>IFERROR(__xludf.DUMMYFUNCTION("""COMPUTED_VALUE"""),"Negative")</f>
        <v>Negative</v>
      </c>
      <c r="I499" s="308">
        <f>IFERROR(__xludf.DUMMYFUNCTION("""COMPUTED_VALUE"""),44880.0)</f>
        <v>44880</v>
      </c>
      <c r="J499" s="311">
        <f>IFERROR(__xludf.DUMMYFUNCTION("""COMPUTED_VALUE"""),0.4180787037037037)</f>
        <v>0.4180787037</v>
      </c>
      <c r="K499" s="54"/>
      <c r="L499" s="7"/>
      <c r="M499" s="312"/>
      <c r="N499" s="172">
        <f>IFERROR(__xludf.DUMMYFUNCTION("""COMPUTED_VALUE"""),3.0)</f>
        <v>3</v>
      </c>
      <c r="O499" s="172" t="str">
        <f t="shared" si="3"/>
        <v/>
      </c>
      <c r="P499" s="313">
        <f>IFERROR(__xludf.DUMMYFUNCTION("""COMPUTED_VALUE"""),0.0)</f>
        <v>0</v>
      </c>
      <c r="Q499" s="76" t="b">
        <f>VLOOKUP($B499,'Run Reconcile'!B$2:O1399,14,FALSE)</f>
        <v>1</v>
      </c>
      <c r="R499" s="314" t="str">
        <f t="array" ref="R499">IF($Q499, INDEX('Run Reconcile'!A$2:A1399,MATCH(B499,'Run Reconcile'!B$2:B1399,0),1),IFERROR(0/0,""))</f>
        <v>RUN-ABRM_2022-11-15_RFR-076</v>
      </c>
      <c r="S499" s="315" t="str">
        <f t="shared" ref="S499:T499" si="1002">IF(COUNTIF(W$2:W1399, $A499) &gt; 0,TRUE,IFERROR(0/0,""))</f>
        <v/>
      </c>
      <c r="T499" s="315" t="str">
        <f t="shared" si="1002"/>
        <v/>
      </c>
      <c r="U499" s="114" t="str">
        <f t="array" ref="U499">IF(ISBLANK($R499), INDEX('Run Reconcile'!A$2:A1399, MATCH($B499, 'Run Reconcile'!B$2:B1399, 0)+Z499, 1), IFERROR(0/0,""))
</f>
        <v/>
      </c>
      <c r="V499" s="316" t="str">
        <f t="shared" si="5"/>
        <v>RUN-ABRM_2022-11-15_RFR-076</v>
      </c>
      <c r="Y499" s="317" t="str">
        <f t="shared" si="6"/>
        <v/>
      </c>
      <c r="Z499" s="83" t="str">
        <f t="shared" si="7"/>
        <v/>
      </c>
      <c r="AA499" s="83" t="str">
        <f t="shared" si="8"/>
        <v/>
      </c>
      <c r="AB499" s="83" t="str">
        <f t="shared" si="9"/>
        <v/>
      </c>
      <c r="AC499" s="18" t="str">
        <f t="shared" ref="AC499:AD499" si="1003">IF(_xlfn.ISFORMULA(S499),IFERROR(0/0,""),TRUE)</f>
        <v/>
      </c>
      <c r="AD499" s="18" t="str">
        <f t="shared" si="1003"/>
        <v/>
      </c>
      <c r="AE499" s="43"/>
      <c r="AF499" s="58" t="s">
        <v>79</v>
      </c>
      <c r="AG499" s="55" t="str">
        <f t="shared" si="11"/>
        <v/>
      </c>
    </row>
    <row r="500">
      <c r="A500" s="7" t="str">
        <f>IFERROR(__xludf.DUMMYFUNCTION("""COMPUTED_VALUE"""),"AG680")</f>
        <v>AG680</v>
      </c>
      <c r="B500" s="308">
        <f>IFERROR(__xludf.DUMMYFUNCTION("""COMPUTED_VALUE"""),44880.0)</f>
        <v>44880</v>
      </c>
      <c r="C500" s="309">
        <f>IFERROR(__xludf.DUMMYFUNCTION("""COMPUTED_VALUE"""),0.2907060185185185)</f>
        <v>0.2907060185</v>
      </c>
      <c r="D500" s="7" t="str">
        <f>IFERROR(__xludf.DUMMYFUNCTION("""COMPUTED_VALUE"""),"SpABRM655136")</f>
        <v>SpABRM655136</v>
      </c>
      <c r="E500" s="310"/>
      <c r="F500" s="310"/>
      <c r="G500" s="310" t="str">
        <f>IFERROR(__xludf.DUMMYFUNCTION("""COMPUTED_VALUE"""),"Negative")</f>
        <v>Negative</v>
      </c>
      <c r="H500" s="319" t="str">
        <f>IFERROR(__xludf.DUMMYFUNCTION("""COMPUTED_VALUE"""),"Negative")</f>
        <v>Negative</v>
      </c>
      <c r="I500" s="308">
        <f>IFERROR(__xludf.DUMMYFUNCTION("""COMPUTED_VALUE"""),44880.0)</f>
        <v>44880</v>
      </c>
      <c r="J500" s="311">
        <f>IFERROR(__xludf.DUMMYFUNCTION("""COMPUTED_VALUE"""),0.4180787037037037)</f>
        <v>0.4180787037</v>
      </c>
      <c r="K500" s="54"/>
      <c r="L500" s="7"/>
      <c r="M500" s="312"/>
      <c r="N500" s="172">
        <f>IFERROR(__xludf.DUMMYFUNCTION("""COMPUTED_VALUE"""),2.0)</f>
        <v>2</v>
      </c>
      <c r="O500" s="172" t="str">
        <f t="shared" si="3"/>
        <v/>
      </c>
      <c r="P500" s="313">
        <f>IFERROR(__xludf.DUMMYFUNCTION("""COMPUTED_VALUE"""),0.0)</f>
        <v>0</v>
      </c>
      <c r="Q500" s="76" t="b">
        <f>VLOOKUP($B500,'Run Reconcile'!B$2:O1399,14,FALSE)</f>
        <v>1</v>
      </c>
      <c r="R500" s="314" t="str">
        <f t="array" ref="R500">IF($Q500, INDEX('Run Reconcile'!A$2:A1399,MATCH(B500,'Run Reconcile'!B$2:B1399,0),1),IFERROR(0/0,""))</f>
        <v>RUN-ABRM_2022-11-15_RFR-076</v>
      </c>
      <c r="S500" s="315" t="str">
        <f t="shared" ref="S500:T500" si="1004">IF(COUNTIF(W$2:W1399, $A500) &gt; 0,TRUE,IFERROR(0/0,""))</f>
        <v/>
      </c>
      <c r="T500" s="315" t="str">
        <f t="shared" si="1004"/>
        <v/>
      </c>
      <c r="U500" s="114" t="str">
        <f t="array" ref="U500">IF(ISBLANK($R500), INDEX('Run Reconcile'!A$2:A1399, MATCH($B500, 'Run Reconcile'!B$2:B1399, 0)+Z500, 1), IFERROR(0/0,""))
</f>
        <v/>
      </c>
      <c r="V500" s="316" t="str">
        <f t="shared" si="5"/>
        <v>RUN-ABRM_2022-11-15_RFR-076</v>
      </c>
      <c r="Y500" s="317" t="str">
        <f t="shared" si="6"/>
        <v/>
      </c>
      <c r="Z500" s="83" t="str">
        <f t="shared" si="7"/>
        <v/>
      </c>
      <c r="AA500" s="83" t="str">
        <f t="shared" si="8"/>
        <v/>
      </c>
      <c r="AB500" s="83" t="str">
        <f t="shared" si="9"/>
        <v/>
      </c>
      <c r="AC500" s="18" t="str">
        <f t="shared" ref="AC500:AD500" si="1005">IF(_xlfn.ISFORMULA(S500),IFERROR(0/0,""),TRUE)</f>
        <v/>
      </c>
      <c r="AD500" s="18" t="str">
        <f t="shared" si="1005"/>
        <v/>
      </c>
      <c r="AE500" s="43"/>
      <c r="AF500" s="58" t="s">
        <v>79</v>
      </c>
      <c r="AG500" s="55" t="str">
        <f t="shared" si="11"/>
        <v/>
      </c>
    </row>
    <row r="501">
      <c r="A501" s="7" t="str">
        <f>IFERROR(__xludf.DUMMYFUNCTION("""COMPUTED_VALUE"""),"AG1479")</f>
        <v>AG1479</v>
      </c>
      <c r="B501" s="308">
        <f>IFERROR(__xludf.DUMMYFUNCTION("""COMPUTED_VALUE"""),44880.0)</f>
        <v>44880</v>
      </c>
      <c r="C501" s="309">
        <f>IFERROR(__xludf.DUMMYFUNCTION("""COMPUTED_VALUE"""),0.29421296296296295)</f>
        <v>0.294212963</v>
      </c>
      <c r="D501" s="7" t="str">
        <f>IFERROR(__xludf.DUMMYFUNCTION("""COMPUTED_VALUE"""),"SpABRM460827")</f>
        <v>SpABRM460827</v>
      </c>
      <c r="E501" s="310"/>
      <c r="F501" s="310"/>
      <c r="G501" s="310" t="str">
        <f>IFERROR(__xludf.DUMMYFUNCTION("""COMPUTED_VALUE"""),"Negative")</f>
        <v>Negative</v>
      </c>
      <c r="H501" s="319" t="str">
        <f>IFERROR(__xludf.DUMMYFUNCTION("""COMPUTED_VALUE"""),"Negative")</f>
        <v>Negative</v>
      </c>
      <c r="I501" s="308">
        <f>IFERROR(__xludf.DUMMYFUNCTION("""COMPUTED_VALUE"""),44880.0)</f>
        <v>44880</v>
      </c>
      <c r="J501" s="311">
        <f>IFERROR(__xludf.DUMMYFUNCTION("""COMPUTED_VALUE"""),0.4180787037037037)</f>
        <v>0.4180787037</v>
      </c>
      <c r="K501" s="54"/>
      <c r="L501" s="7"/>
      <c r="M501" s="312"/>
      <c r="N501" s="172">
        <f>IFERROR(__xludf.DUMMYFUNCTION("""COMPUTED_VALUE"""),1.0)</f>
        <v>1</v>
      </c>
      <c r="O501" s="172" t="str">
        <f t="shared" si="3"/>
        <v/>
      </c>
      <c r="P501" s="313">
        <f>IFERROR(__xludf.DUMMYFUNCTION("""COMPUTED_VALUE"""),0.0)</f>
        <v>0</v>
      </c>
      <c r="Q501" s="76" t="b">
        <f>VLOOKUP($B501,'Run Reconcile'!B$2:O1399,14,FALSE)</f>
        <v>1</v>
      </c>
      <c r="R501" s="314" t="str">
        <f t="array" ref="R501">IF($Q501, INDEX('Run Reconcile'!A$2:A1399,MATCH(B501,'Run Reconcile'!B$2:B1399,0),1),IFERROR(0/0,""))</f>
        <v>RUN-ABRM_2022-11-15_RFR-076</v>
      </c>
      <c r="S501" s="315" t="str">
        <f t="shared" ref="S501:T501" si="1006">IF(COUNTIF(W$2:W1399, $A501) &gt; 0,TRUE,IFERROR(0/0,""))</f>
        <v/>
      </c>
      <c r="T501" s="315" t="str">
        <f t="shared" si="1006"/>
        <v/>
      </c>
      <c r="U501" s="114" t="str">
        <f t="array" ref="U501">IF(ISBLANK($R501), INDEX('Run Reconcile'!A$2:A1399, MATCH($B501, 'Run Reconcile'!B$2:B1399, 0)+Z501, 1), IFERROR(0/0,""))
</f>
        <v/>
      </c>
      <c r="V501" s="316" t="str">
        <f t="shared" si="5"/>
        <v>RUN-ABRM_2022-11-15_RFR-076</v>
      </c>
      <c r="Y501" s="317" t="str">
        <f t="shared" si="6"/>
        <v/>
      </c>
      <c r="Z501" s="83" t="str">
        <f t="shared" si="7"/>
        <v/>
      </c>
      <c r="AA501" s="83" t="str">
        <f t="shared" si="8"/>
        <v/>
      </c>
      <c r="AB501" s="83" t="str">
        <f t="shared" si="9"/>
        <v/>
      </c>
      <c r="AC501" s="18" t="str">
        <f t="shared" ref="AC501:AD501" si="1007">IF(_xlfn.ISFORMULA(S501),IFERROR(0/0,""),TRUE)</f>
        <v/>
      </c>
      <c r="AD501" s="18" t="str">
        <f t="shared" si="1007"/>
        <v/>
      </c>
      <c r="AE501" s="43"/>
      <c r="AF501" s="58" t="s">
        <v>79</v>
      </c>
      <c r="AG501" s="55" t="str">
        <f t="shared" si="11"/>
        <v/>
      </c>
    </row>
    <row r="502">
      <c r="A502" s="7" t="str">
        <f>IFERROR(__xludf.DUMMYFUNCTION("""COMPUTED_VALUE"""),"AJ7715")</f>
        <v>AJ7715</v>
      </c>
      <c r="B502" s="308">
        <f>IFERROR(__xludf.DUMMYFUNCTION("""COMPUTED_VALUE"""),44880.0)</f>
        <v>44880</v>
      </c>
      <c r="C502" s="309">
        <f>IFERROR(__xludf.DUMMYFUNCTION("""COMPUTED_VALUE"""),0.29636574074074074)</f>
        <v>0.2963657407</v>
      </c>
      <c r="D502" s="7" t="str">
        <f>IFERROR(__xludf.DUMMYFUNCTION("""COMPUTED_VALUE"""),"SpABRM516158")</f>
        <v>SpABRM516158</v>
      </c>
      <c r="E502" s="310"/>
      <c r="F502" s="310"/>
      <c r="G502" s="310" t="str">
        <f>IFERROR(__xludf.DUMMYFUNCTION("""COMPUTED_VALUE"""),"Negative")</f>
        <v>Negative</v>
      </c>
      <c r="H502" s="319" t="str">
        <f>IFERROR(__xludf.DUMMYFUNCTION("""COMPUTED_VALUE"""),"Negative")</f>
        <v>Negative</v>
      </c>
      <c r="I502" s="308">
        <f>IFERROR(__xludf.DUMMYFUNCTION("""COMPUTED_VALUE"""),44880.0)</f>
        <v>44880</v>
      </c>
      <c r="J502" s="311">
        <f>IFERROR(__xludf.DUMMYFUNCTION("""COMPUTED_VALUE"""),0.4180787037037037)</f>
        <v>0.4180787037</v>
      </c>
      <c r="K502" s="54"/>
      <c r="L502" s="7"/>
      <c r="M502" s="312"/>
      <c r="N502" s="172">
        <f>IFERROR(__xludf.DUMMYFUNCTION("""COMPUTED_VALUE"""),1.0)</f>
        <v>1</v>
      </c>
      <c r="O502" s="172" t="str">
        <f t="shared" si="3"/>
        <v/>
      </c>
      <c r="P502" s="313">
        <f>IFERROR(__xludf.DUMMYFUNCTION("""COMPUTED_VALUE"""),0.0)</f>
        <v>0</v>
      </c>
      <c r="Q502" s="76" t="b">
        <f>VLOOKUP($B502,'Run Reconcile'!B$2:O1399,14,FALSE)</f>
        <v>1</v>
      </c>
      <c r="R502" s="314" t="str">
        <f t="array" ref="R502">IF($Q502, INDEX('Run Reconcile'!A$2:A1399,MATCH(B502,'Run Reconcile'!B$2:B1399,0),1),IFERROR(0/0,""))</f>
        <v>RUN-ABRM_2022-11-15_RFR-076</v>
      </c>
      <c r="S502" s="315" t="str">
        <f t="shared" ref="S502:T502" si="1008">IF(COUNTIF(W$2:W1399, $A502) &gt; 0,TRUE,IFERROR(0/0,""))</f>
        <v/>
      </c>
      <c r="T502" s="315" t="str">
        <f t="shared" si="1008"/>
        <v/>
      </c>
      <c r="U502" s="114" t="str">
        <f t="array" ref="U502">IF(ISBLANK($R502), INDEX('Run Reconcile'!A$2:A1399, MATCH($B502, 'Run Reconcile'!B$2:B1399, 0)+Z502, 1), IFERROR(0/0,""))
</f>
        <v/>
      </c>
      <c r="V502" s="316" t="str">
        <f t="shared" si="5"/>
        <v>RUN-ABRM_2022-11-15_RFR-076</v>
      </c>
      <c r="Y502" s="317" t="str">
        <f t="shared" si="6"/>
        <v/>
      </c>
      <c r="Z502" s="83" t="str">
        <f t="shared" si="7"/>
        <v/>
      </c>
      <c r="AA502" s="83" t="str">
        <f t="shared" si="8"/>
        <v/>
      </c>
      <c r="AB502" s="83" t="str">
        <f t="shared" si="9"/>
        <v/>
      </c>
      <c r="AC502" s="18" t="str">
        <f t="shared" ref="AC502:AD502" si="1009">IF(_xlfn.ISFORMULA(S502),IFERROR(0/0,""),TRUE)</f>
        <v/>
      </c>
      <c r="AD502" s="18" t="str">
        <f t="shared" si="1009"/>
        <v/>
      </c>
      <c r="AE502" s="43"/>
      <c r="AF502" s="58" t="s">
        <v>79</v>
      </c>
      <c r="AG502" s="55" t="str">
        <f t="shared" si="11"/>
        <v/>
      </c>
    </row>
    <row r="503">
      <c r="A503" s="7" t="str">
        <f>IFERROR(__xludf.DUMMYFUNCTION("""COMPUTED_VALUE"""),"AG761")</f>
        <v>AG761</v>
      </c>
      <c r="B503" s="308">
        <f>IFERROR(__xludf.DUMMYFUNCTION("""COMPUTED_VALUE"""),44880.0)</f>
        <v>44880</v>
      </c>
      <c r="C503" s="309">
        <f>IFERROR(__xludf.DUMMYFUNCTION("""COMPUTED_VALUE"""),0.399525462962963)</f>
        <v>0.399525463</v>
      </c>
      <c r="D503" s="7" t="str">
        <f>IFERROR(__xludf.DUMMYFUNCTION("""COMPUTED_VALUE"""),"SpABRM188986")</f>
        <v>SpABRM188986</v>
      </c>
      <c r="E503" s="310"/>
      <c r="F503" s="310"/>
      <c r="G503" s="310" t="str">
        <f>IFERROR(__xludf.DUMMYFUNCTION("""COMPUTED_VALUE"""),"Negative")</f>
        <v>Negative</v>
      </c>
      <c r="H503" s="319" t="str">
        <f>IFERROR(__xludf.DUMMYFUNCTION("""COMPUTED_VALUE"""),"Negative")</f>
        <v>Negative</v>
      </c>
      <c r="I503" s="308">
        <f>IFERROR(__xludf.DUMMYFUNCTION("""COMPUTED_VALUE"""),44880.0)</f>
        <v>44880</v>
      </c>
      <c r="J503" s="311">
        <f>IFERROR(__xludf.DUMMYFUNCTION("""COMPUTED_VALUE"""),0.4180787037037037)</f>
        <v>0.4180787037</v>
      </c>
      <c r="K503" s="54"/>
      <c r="L503" s="7"/>
      <c r="M503" s="312"/>
      <c r="N503" s="172">
        <f>IFERROR(__xludf.DUMMYFUNCTION("""COMPUTED_VALUE"""),2.0)</f>
        <v>2</v>
      </c>
      <c r="O503" s="172" t="str">
        <f t="shared" si="3"/>
        <v/>
      </c>
      <c r="P503" s="313">
        <f>IFERROR(__xludf.DUMMYFUNCTION("""COMPUTED_VALUE"""),0.0)</f>
        <v>0</v>
      </c>
      <c r="Q503" s="76" t="b">
        <f>VLOOKUP($B503,'Run Reconcile'!B$2:O1399,14,FALSE)</f>
        <v>1</v>
      </c>
      <c r="R503" s="314" t="str">
        <f t="array" ref="R503">IF($Q503, INDEX('Run Reconcile'!A$2:A1399,MATCH(B503,'Run Reconcile'!B$2:B1399,0),1),IFERROR(0/0,""))</f>
        <v>RUN-ABRM_2022-11-15_RFR-076</v>
      </c>
      <c r="S503" s="315" t="str">
        <f t="shared" ref="S503:T503" si="1010">IF(COUNTIF(W$2:W1399, $A503) &gt; 0,TRUE,IFERROR(0/0,""))</f>
        <v/>
      </c>
      <c r="T503" s="315" t="str">
        <f t="shared" si="1010"/>
        <v/>
      </c>
      <c r="U503" s="114" t="str">
        <f t="array" ref="U503">IF(ISBLANK($R503), INDEX('Run Reconcile'!A$2:A1399, MATCH($B503, 'Run Reconcile'!B$2:B1399, 0)+Z503, 1), IFERROR(0/0,""))
</f>
        <v/>
      </c>
      <c r="V503" s="316" t="str">
        <f t="shared" si="5"/>
        <v>RUN-ABRM_2022-11-15_RFR-076</v>
      </c>
      <c r="Y503" s="317" t="str">
        <f t="shared" si="6"/>
        <v/>
      </c>
      <c r="Z503" s="83" t="str">
        <f t="shared" si="7"/>
        <v/>
      </c>
      <c r="AA503" s="83" t="str">
        <f t="shared" si="8"/>
        <v/>
      </c>
      <c r="AB503" s="83" t="str">
        <f t="shared" si="9"/>
        <v/>
      </c>
      <c r="AC503" s="18" t="str">
        <f t="shared" ref="AC503:AD503" si="1011">IF(_xlfn.ISFORMULA(S503),IFERROR(0/0,""),TRUE)</f>
        <v/>
      </c>
      <c r="AD503" s="18" t="str">
        <f t="shared" si="1011"/>
        <v/>
      </c>
      <c r="AE503" s="43"/>
      <c r="AF503" s="58" t="s">
        <v>79</v>
      </c>
      <c r="AG503" s="55" t="str">
        <f t="shared" si="11"/>
        <v/>
      </c>
    </row>
    <row r="504">
      <c r="A504" s="7" t="str">
        <f>IFERROR(__xludf.DUMMYFUNCTION("""COMPUTED_VALUE"""),"AH7891")</f>
        <v>AH7891</v>
      </c>
      <c r="B504" s="308">
        <f>IFERROR(__xludf.DUMMYFUNCTION("""COMPUTED_VALUE"""),44880.0)</f>
        <v>44880</v>
      </c>
      <c r="C504" s="309">
        <f>IFERROR(__xludf.DUMMYFUNCTION("""COMPUTED_VALUE"""),0.40065972222222224)</f>
        <v>0.4006597222</v>
      </c>
      <c r="D504" s="7" t="str">
        <f>IFERROR(__xludf.DUMMYFUNCTION("""COMPUTED_VALUE"""),"SpABRM188986")</f>
        <v>SpABRM188986</v>
      </c>
      <c r="E504" s="310"/>
      <c r="F504" s="310"/>
      <c r="G504" s="310" t="str">
        <f>IFERROR(__xludf.DUMMYFUNCTION("""COMPUTED_VALUE"""),"Negative")</f>
        <v>Negative</v>
      </c>
      <c r="H504" s="319" t="str">
        <f>IFERROR(__xludf.DUMMYFUNCTION("""COMPUTED_VALUE"""),"Negative")</f>
        <v>Negative</v>
      </c>
      <c r="I504" s="308">
        <f>IFERROR(__xludf.DUMMYFUNCTION("""COMPUTED_VALUE"""),44880.0)</f>
        <v>44880</v>
      </c>
      <c r="J504" s="311">
        <f>IFERROR(__xludf.DUMMYFUNCTION("""COMPUTED_VALUE"""),0.4180787037037037)</f>
        <v>0.4180787037</v>
      </c>
      <c r="K504" s="54"/>
      <c r="L504" s="7"/>
      <c r="M504" s="312"/>
      <c r="N504" s="172">
        <f>IFERROR(__xludf.DUMMYFUNCTION("""COMPUTED_VALUE"""),3.0)</f>
        <v>3</v>
      </c>
      <c r="O504" s="172" t="str">
        <f t="shared" si="3"/>
        <v/>
      </c>
      <c r="P504" s="313">
        <f>IFERROR(__xludf.DUMMYFUNCTION("""COMPUTED_VALUE"""),0.0)</f>
        <v>0</v>
      </c>
      <c r="Q504" s="76" t="b">
        <f>VLOOKUP($B504,'Run Reconcile'!B$2:O1399,14,FALSE)</f>
        <v>1</v>
      </c>
      <c r="R504" s="314" t="str">
        <f t="array" ref="R504">IF($Q504, INDEX('Run Reconcile'!A$2:A1399,MATCH(B504,'Run Reconcile'!B$2:B1399,0),1),IFERROR(0/0,""))</f>
        <v>RUN-ABRM_2022-11-15_RFR-076</v>
      </c>
      <c r="S504" s="315" t="str">
        <f t="shared" ref="S504:T504" si="1012">IF(COUNTIF(W$2:W1399, $A504) &gt; 0,TRUE,IFERROR(0/0,""))</f>
        <v/>
      </c>
      <c r="T504" s="315" t="str">
        <f t="shared" si="1012"/>
        <v/>
      </c>
      <c r="U504" s="114" t="str">
        <f t="array" ref="U504">IF(ISBLANK($R504), INDEX('Run Reconcile'!A$2:A1399, MATCH($B504, 'Run Reconcile'!B$2:B1399, 0)+Z504, 1), IFERROR(0/0,""))
</f>
        <v/>
      </c>
      <c r="V504" s="316" t="str">
        <f t="shared" si="5"/>
        <v>RUN-ABRM_2022-11-15_RFR-076</v>
      </c>
      <c r="Y504" s="317" t="str">
        <f t="shared" si="6"/>
        <v/>
      </c>
      <c r="Z504" s="83" t="str">
        <f t="shared" si="7"/>
        <v/>
      </c>
      <c r="AA504" s="83" t="str">
        <f t="shared" si="8"/>
        <v/>
      </c>
      <c r="AB504" s="83" t="str">
        <f t="shared" si="9"/>
        <v/>
      </c>
      <c r="AC504" s="18" t="str">
        <f t="shared" ref="AC504:AD504" si="1013">IF(_xlfn.ISFORMULA(S504),IFERROR(0/0,""),TRUE)</f>
        <v/>
      </c>
      <c r="AD504" s="18" t="str">
        <f t="shared" si="1013"/>
        <v/>
      </c>
      <c r="AE504" s="43"/>
      <c r="AF504" s="58" t="s">
        <v>79</v>
      </c>
      <c r="AG504" s="55" t="str">
        <f t="shared" si="11"/>
        <v/>
      </c>
    </row>
    <row r="505">
      <c r="A505" s="7" t="str">
        <f>IFERROR(__xludf.DUMMYFUNCTION("""COMPUTED_VALUE"""),"AJ8781")</f>
        <v>AJ8781</v>
      </c>
      <c r="B505" s="308">
        <f>IFERROR(__xludf.DUMMYFUNCTION("""COMPUTED_VALUE"""),44881.0)</f>
        <v>44881</v>
      </c>
      <c r="C505" s="309">
        <f>IFERROR(__xludf.DUMMYFUNCTION("""COMPUTED_VALUE"""),0.2350925925925926)</f>
        <v>0.2350925926</v>
      </c>
      <c r="D505" s="7" t="str">
        <f>IFERROR(__xludf.DUMMYFUNCTION("""COMPUTED_VALUE"""),"SpABRM454310")</f>
        <v>SpABRM454310</v>
      </c>
      <c r="E505" s="310"/>
      <c r="F505" s="310"/>
      <c r="G505" s="310" t="str">
        <f>IFERROR(__xludf.DUMMYFUNCTION("""COMPUTED_VALUE"""),"Negative")</f>
        <v>Negative</v>
      </c>
      <c r="H505" s="319" t="str">
        <f>IFERROR(__xludf.DUMMYFUNCTION("""COMPUTED_VALUE"""),"Negative")</f>
        <v>Negative</v>
      </c>
      <c r="I505" s="308">
        <f>IFERROR(__xludf.DUMMYFUNCTION("""COMPUTED_VALUE"""),44881.0)</f>
        <v>44881</v>
      </c>
      <c r="J505" s="311">
        <f>IFERROR(__xludf.DUMMYFUNCTION("""COMPUTED_VALUE"""),0.4046875)</f>
        <v>0.4046875</v>
      </c>
      <c r="K505" s="54"/>
      <c r="L505" s="7"/>
      <c r="M505" s="312"/>
      <c r="N505" s="172">
        <f>IFERROR(__xludf.DUMMYFUNCTION("""COMPUTED_VALUE"""),3.0)</f>
        <v>3</v>
      </c>
      <c r="O505" s="172" t="b">
        <f t="shared" si="3"/>
        <v>1</v>
      </c>
      <c r="P505" s="313">
        <f>IFERROR(__xludf.DUMMYFUNCTION("""COMPUTED_VALUE"""),0.0)</f>
        <v>0</v>
      </c>
      <c r="Q505" s="76" t="b">
        <f>VLOOKUP($B505,'Run Reconcile'!B$2:O1399,14,FALSE)</f>
        <v>1</v>
      </c>
      <c r="R505" s="314" t="str">
        <f t="array" ref="R505">IF($Q505, INDEX('Run Reconcile'!A$2:A1399,MATCH(B505,'Run Reconcile'!B$2:B1399,0),1),IFERROR(0/0,""))</f>
        <v>RUN-ABRM_2022-11-16_RFR-078</v>
      </c>
      <c r="S505" s="315" t="str">
        <f t="shared" ref="S505:T505" si="1014">IF(COUNTIF(W$2:W1399, $A505) &gt; 0,TRUE,IFERROR(0/0,""))</f>
        <v/>
      </c>
      <c r="T505" s="315" t="str">
        <f t="shared" si="1014"/>
        <v/>
      </c>
      <c r="U505" s="114" t="str">
        <f t="array" ref="U505">IF(ISBLANK($R505), INDEX('Run Reconcile'!A$2:A1399, MATCH($B505, 'Run Reconcile'!B$2:B1399, 0)+Z505, 1), IFERROR(0/0,""))
</f>
        <v/>
      </c>
      <c r="V505" s="316" t="str">
        <f t="shared" si="5"/>
        <v>RUN-ABRM_2022-11-16_RFR-078</v>
      </c>
      <c r="Y505" s="317" t="str">
        <f t="shared" si="6"/>
        <v/>
      </c>
      <c r="Z505" s="83" t="str">
        <f t="shared" si="7"/>
        <v/>
      </c>
      <c r="AA505" s="83" t="str">
        <f t="shared" si="8"/>
        <v/>
      </c>
      <c r="AB505" s="83" t="str">
        <f t="shared" si="9"/>
        <v/>
      </c>
      <c r="AC505" s="18" t="str">
        <f t="shared" ref="AC505:AD505" si="1015">IF(_xlfn.ISFORMULA(S505),IFERROR(0/0,""),TRUE)</f>
        <v/>
      </c>
      <c r="AD505" s="18" t="str">
        <f t="shared" si="1015"/>
        <v/>
      </c>
      <c r="AE505" s="43"/>
      <c r="AF505" s="58" t="s">
        <v>80</v>
      </c>
      <c r="AG505" s="55" t="str">
        <f t="shared" si="11"/>
        <v/>
      </c>
    </row>
    <row r="506">
      <c r="A506" s="7" t="str">
        <f>IFERROR(__xludf.DUMMYFUNCTION("""COMPUTED_VALUE"""),"AG1464")</f>
        <v>AG1464</v>
      </c>
      <c r="B506" s="308">
        <f>IFERROR(__xludf.DUMMYFUNCTION("""COMPUTED_VALUE"""),44881.0)</f>
        <v>44881</v>
      </c>
      <c r="C506" s="309">
        <f>IFERROR(__xludf.DUMMYFUNCTION("""COMPUTED_VALUE"""),0.24541666666666667)</f>
        <v>0.2454166667</v>
      </c>
      <c r="D506" s="7" t="str">
        <f>IFERROR(__xludf.DUMMYFUNCTION("""COMPUTED_VALUE"""),"SpABRM516158")</f>
        <v>SpABRM516158</v>
      </c>
      <c r="E506" s="310"/>
      <c r="F506" s="310"/>
      <c r="G506" s="310" t="str">
        <f>IFERROR(__xludf.DUMMYFUNCTION("""COMPUTED_VALUE"""),"Negative")</f>
        <v>Negative</v>
      </c>
      <c r="H506" s="319" t="str">
        <f>IFERROR(__xludf.DUMMYFUNCTION("""COMPUTED_VALUE"""),"Negative")</f>
        <v>Negative</v>
      </c>
      <c r="I506" s="308">
        <f>IFERROR(__xludf.DUMMYFUNCTION("""COMPUTED_VALUE"""),44881.0)</f>
        <v>44881</v>
      </c>
      <c r="J506" s="311">
        <f>IFERROR(__xludf.DUMMYFUNCTION("""COMPUTED_VALUE"""),0.4046875)</f>
        <v>0.4046875</v>
      </c>
      <c r="K506" s="54"/>
      <c r="L506" s="7"/>
      <c r="M506" s="312"/>
      <c r="N506" s="172">
        <f>IFERROR(__xludf.DUMMYFUNCTION("""COMPUTED_VALUE"""),1.0)</f>
        <v>1</v>
      </c>
      <c r="O506" s="172" t="str">
        <f t="shared" si="3"/>
        <v/>
      </c>
      <c r="P506" s="313">
        <f>IFERROR(__xludf.DUMMYFUNCTION("""COMPUTED_VALUE"""),0.0)</f>
        <v>0</v>
      </c>
      <c r="Q506" s="76" t="b">
        <f>VLOOKUP($B506,'Run Reconcile'!B$2:O1399,14,FALSE)</f>
        <v>1</v>
      </c>
      <c r="R506" s="314" t="str">
        <f t="array" ref="R506">IF($Q506, INDEX('Run Reconcile'!A$2:A1399,MATCH(B506,'Run Reconcile'!B$2:B1399,0),1),IFERROR(0/0,""))</f>
        <v>RUN-ABRM_2022-11-16_RFR-078</v>
      </c>
      <c r="S506" s="315" t="str">
        <f t="shared" ref="S506:T506" si="1016">IF(COUNTIF(W$2:W1399, $A506) &gt; 0,TRUE,IFERROR(0/0,""))</f>
        <v/>
      </c>
      <c r="T506" s="315" t="str">
        <f t="shared" si="1016"/>
        <v/>
      </c>
      <c r="U506" s="114" t="str">
        <f t="array" ref="U506">IF(ISBLANK($R506), INDEX('Run Reconcile'!A$2:A1399, MATCH($B506, 'Run Reconcile'!B$2:B1399, 0)+Z506, 1), IFERROR(0/0,""))
</f>
        <v/>
      </c>
      <c r="V506" s="316" t="str">
        <f t="shared" si="5"/>
        <v>RUN-ABRM_2022-11-16_RFR-078</v>
      </c>
      <c r="Y506" s="317" t="str">
        <f t="shared" si="6"/>
        <v/>
      </c>
      <c r="Z506" s="83" t="str">
        <f t="shared" si="7"/>
        <v/>
      </c>
      <c r="AA506" s="83" t="str">
        <f t="shared" si="8"/>
        <v/>
      </c>
      <c r="AB506" s="83" t="str">
        <f t="shared" si="9"/>
        <v/>
      </c>
      <c r="AC506" s="18" t="str">
        <f t="shared" ref="AC506:AD506" si="1017">IF(_xlfn.ISFORMULA(S506),IFERROR(0/0,""),TRUE)</f>
        <v/>
      </c>
      <c r="AD506" s="18" t="str">
        <f t="shared" si="1017"/>
        <v/>
      </c>
      <c r="AE506" s="43"/>
      <c r="AF506" s="58" t="s">
        <v>80</v>
      </c>
      <c r="AG506" s="55" t="str">
        <f t="shared" si="11"/>
        <v/>
      </c>
    </row>
    <row r="507">
      <c r="A507" s="7" t="str">
        <f>IFERROR(__xludf.DUMMYFUNCTION("""COMPUTED_VALUE"""),"AH6804")</f>
        <v>AH6804</v>
      </c>
      <c r="B507" s="308">
        <f>IFERROR(__xludf.DUMMYFUNCTION("""COMPUTED_VALUE"""),44881.0)</f>
        <v>44881</v>
      </c>
      <c r="C507" s="309">
        <f>IFERROR(__xludf.DUMMYFUNCTION("""COMPUTED_VALUE"""),0.2940625)</f>
        <v>0.2940625</v>
      </c>
      <c r="D507" s="7" t="str">
        <f>IFERROR(__xludf.DUMMYFUNCTION("""COMPUTED_VALUE"""),"SpABRM128250")</f>
        <v>SpABRM128250</v>
      </c>
      <c r="E507" s="310"/>
      <c r="F507" s="310"/>
      <c r="G507" s="310" t="str">
        <f>IFERROR(__xludf.DUMMYFUNCTION("""COMPUTED_VALUE"""),"Negative")</f>
        <v>Negative</v>
      </c>
      <c r="H507" s="319" t="str">
        <f>IFERROR(__xludf.DUMMYFUNCTION("""COMPUTED_VALUE"""),"Negative")</f>
        <v>Negative</v>
      </c>
      <c r="I507" s="308">
        <f>IFERROR(__xludf.DUMMYFUNCTION("""COMPUTED_VALUE"""),44881.0)</f>
        <v>44881</v>
      </c>
      <c r="J507" s="311">
        <f>IFERROR(__xludf.DUMMYFUNCTION("""COMPUTED_VALUE"""),0.40469907407407407)</f>
        <v>0.4046990741</v>
      </c>
      <c r="K507" s="54"/>
      <c r="L507" s="7"/>
      <c r="M507" s="312"/>
      <c r="N507" s="172">
        <f>IFERROR(__xludf.DUMMYFUNCTION("""COMPUTED_VALUE"""),3.0)</f>
        <v>3</v>
      </c>
      <c r="O507" s="172" t="str">
        <f t="shared" si="3"/>
        <v/>
      </c>
      <c r="P507" s="313">
        <f>IFERROR(__xludf.DUMMYFUNCTION("""COMPUTED_VALUE"""),0.0)</f>
        <v>0</v>
      </c>
      <c r="Q507" s="76" t="b">
        <f>VLOOKUP($B507,'Run Reconcile'!B$2:O1399,14,FALSE)</f>
        <v>1</v>
      </c>
      <c r="R507" s="314" t="str">
        <f t="array" ref="R507">IF($Q507, INDEX('Run Reconcile'!A$2:A1399,MATCH(B507,'Run Reconcile'!B$2:B1399,0),1),IFERROR(0/0,""))</f>
        <v>RUN-ABRM_2022-11-16_RFR-078</v>
      </c>
      <c r="S507" s="315" t="str">
        <f t="shared" ref="S507:T507" si="1018">IF(COUNTIF(W$2:W1399, $A507) &gt; 0,TRUE,IFERROR(0/0,""))</f>
        <v/>
      </c>
      <c r="T507" s="315" t="str">
        <f t="shared" si="1018"/>
        <v/>
      </c>
      <c r="U507" s="114" t="str">
        <f t="array" ref="U507">IF(ISBLANK($R507), INDEX('Run Reconcile'!A$2:A1399, MATCH($B507, 'Run Reconcile'!B$2:B1399, 0)+Z507, 1), IFERROR(0/0,""))
</f>
        <v/>
      </c>
      <c r="V507" s="316" t="str">
        <f t="shared" si="5"/>
        <v>RUN-ABRM_2022-11-16_RFR-078</v>
      </c>
      <c r="Y507" s="317" t="str">
        <f t="shared" si="6"/>
        <v/>
      </c>
      <c r="Z507" s="83" t="str">
        <f t="shared" si="7"/>
        <v/>
      </c>
      <c r="AA507" s="83" t="str">
        <f t="shared" si="8"/>
        <v/>
      </c>
      <c r="AB507" s="83" t="str">
        <f t="shared" si="9"/>
        <v/>
      </c>
      <c r="AC507" s="18" t="str">
        <f t="shared" ref="AC507:AD507" si="1019">IF(_xlfn.ISFORMULA(S507),IFERROR(0/0,""),TRUE)</f>
        <v/>
      </c>
      <c r="AD507" s="18" t="str">
        <f t="shared" si="1019"/>
        <v/>
      </c>
      <c r="AE507" s="43"/>
      <c r="AF507" s="58" t="s">
        <v>80</v>
      </c>
      <c r="AG507" s="55" t="str">
        <f t="shared" si="11"/>
        <v/>
      </c>
    </row>
    <row r="508">
      <c r="A508" s="7" t="str">
        <f>IFERROR(__xludf.DUMMYFUNCTION("""COMPUTED_VALUE"""),"AH8762")</f>
        <v>AH8762</v>
      </c>
      <c r="B508" s="308">
        <f>IFERROR(__xludf.DUMMYFUNCTION("""COMPUTED_VALUE"""),44881.0)</f>
        <v>44881</v>
      </c>
      <c r="C508" s="309">
        <f>IFERROR(__xludf.DUMMYFUNCTION("""COMPUTED_VALUE"""),0.2986226851851852)</f>
        <v>0.2986226852</v>
      </c>
      <c r="D508" s="7" t="str">
        <f>IFERROR(__xludf.DUMMYFUNCTION("""COMPUTED_VALUE"""),"SpABRM297307")</f>
        <v>SpABRM297307</v>
      </c>
      <c r="E508" s="310"/>
      <c r="F508" s="310"/>
      <c r="G508" s="310" t="str">
        <f>IFERROR(__xludf.DUMMYFUNCTION("""COMPUTED_VALUE"""),"Negative")</f>
        <v>Negative</v>
      </c>
      <c r="H508" s="319" t="str">
        <f>IFERROR(__xludf.DUMMYFUNCTION("""COMPUTED_VALUE"""),"Negative")</f>
        <v>Negative</v>
      </c>
      <c r="I508" s="308">
        <f>IFERROR(__xludf.DUMMYFUNCTION("""COMPUTED_VALUE"""),44881.0)</f>
        <v>44881</v>
      </c>
      <c r="J508" s="311">
        <f>IFERROR(__xludf.DUMMYFUNCTION("""COMPUTED_VALUE"""),0.40469907407407407)</f>
        <v>0.4046990741</v>
      </c>
      <c r="K508" s="54"/>
      <c r="L508" s="7"/>
      <c r="M508" s="312"/>
      <c r="N508" s="172">
        <f>IFERROR(__xludf.DUMMYFUNCTION("""COMPUTED_VALUE"""),3.0)</f>
        <v>3</v>
      </c>
      <c r="O508" s="172" t="str">
        <f t="shared" si="3"/>
        <v/>
      </c>
      <c r="P508" s="313">
        <f>IFERROR(__xludf.DUMMYFUNCTION("""COMPUTED_VALUE"""),0.0)</f>
        <v>0</v>
      </c>
      <c r="Q508" s="76" t="b">
        <f>VLOOKUP($B508,'Run Reconcile'!B$2:O1399,14,FALSE)</f>
        <v>1</v>
      </c>
      <c r="R508" s="314" t="str">
        <f t="array" ref="R508">IF($Q508, INDEX('Run Reconcile'!A$2:A1399,MATCH(B508,'Run Reconcile'!B$2:B1399,0),1),IFERROR(0/0,""))</f>
        <v>RUN-ABRM_2022-11-16_RFR-078</v>
      </c>
      <c r="S508" s="315" t="str">
        <f t="shared" ref="S508:T508" si="1020">IF(COUNTIF(W$2:W1399, $A508) &gt; 0,TRUE,IFERROR(0/0,""))</f>
        <v/>
      </c>
      <c r="T508" s="315" t="str">
        <f t="shared" si="1020"/>
        <v/>
      </c>
      <c r="U508" s="114" t="str">
        <f t="array" ref="U508">IF(ISBLANK($R508), INDEX('Run Reconcile'!A$2:A1399, MATCH($B508, 'Run Reconcile'!B$2:B1399, 0)+Z508, 1), IFERROR(0/0,""))
</f>
        <v/>
      </c>
      <c r="V508" s="316" t="str">
        <f t="shared" si="5"/>
        <v>RUN-ABRM_2022-11-16_RFR-078</v>
      </c>
      <c r="Y508" s="317" t="str">
        <f t="shared" si="6"/>
        <v/>
      </c>
      <c r="Z508" s="83" t="str">
        <f t="shared" si="7"/>
        <v/>
      </c>
      <c r="AA508" s="83" t="str">
        <f t="shared" si="8"/>
        <v/>
      </c>
      <c r="AB508" s="83" t="str">
        <f t="shared" si="9"/>
        <v/>
      </c>
      <c r="AC508" s="18" t="str">
        <f t="shared" ref="AC508:AD508" si="1021">IF(_xlfn.ISFORMULA(S508),IFERROR(0/0,""),TRUE)</f>
        <v/>
      </c>
      <c r="AD508" s="18" t="str">
        <f t="shared" si="1021"/>
        <v/>
      </c>
      <c r="AE508" s="43"/>
      <c r="AF508" s="58" t="s">
        <v>80</v>
      </c>
      <c r="AG508" s="55" t="str">
        <f t="shared" si="11"/>
        <v/>
      </c>
    </row>
    <row r="509">
      <c r="A509" s="7" t="str">
        <f>IFERROR(__xludf.DUMMYFUNCTION("""COMPUTED_VALUE"""),"AH8481")</f>
        <v>AH8481</v>
      </c>
      <c r="B509" s="308">
        <f>IFERROR(__xludf.DUMMYFUNCTION("""COMPUTED_VALUE"""),44881.0)</f>
        <v>44881</v>
      </c>
      <c r="C509" s="309">
        <f>IFERROR(__xludf.DUMMYFUNCTION("""COMPUTED_VALUE"""),0.3526851851851852)</f>
        <v>0.3526851852</v>
      </c>
      <c r="D509" s="7" t="str">
        <f>IFERROR(__xludf.DUMMYFUNCTION("""COMPUTED_VALUE"""),"SpABRM655136")</f>
        <v>SpABRM655136</v>
      </c>
      <c r="E509" s="310"/>
      <c r="F509" s="310"/>
      <c r="G509" s="310" t="str">
        <f>IFERROR(__xludf.DUMMYFUNCTION("""COMPUTED_VALUE"""),"Negative")</f>
        <v>Negative</v>
      </c>
      <c r="H509" s="319" t="str">
        <f>IFERROR(__xludf.DUMMYFUNCTION("""COMPUTED_VALUE"""),"Negative")</f>
        <v>Negative</v>
      </c>
      <c r="I509" s="308">
        <f>IFERROR(__xludf.DUMMYFUNCTION("""COMPUTED_VALUE"""),44881.0)</f>
        <v>44881</v>
      </c>
      <c r="J509" s="311">
        <f>IFERROR(__xludf.DUMMYFUNCTION("""COMPUTED_VALUE"""),0.40469907407407407)</f>
        <v>0.4046990741</v>
      </c>
      <c r="K509" s="54"/>
      <c r="L509" s="7"/>
      <c r="M509" s="312"/>
      <c r="N509" s="172">
        <f>IFERROR(__xludf.DUMMYFUNCTION("""COMPUTED_VALUE"""),2.0)</f>
        <v>2</v>
      </c>
      <c r="O509" s="172" t="str">
        <f t="shared" si="3"/>
        <v/>
      </c>
      <c r="P509" s="313">
        <f>IFERROR(__xludf.DUMMYFUNCTION("""COMPUTED_VALUE"""),0.0)</f>
        <v>0</v>
      </c>
      <c r="Q509" s="76" t="b">
        <f>VLOOKUP($B509,'Run Reconcile'!B$2:O1399,14,FALSE)</f>
        <v>1</v>
      </c>
      <c r="R509" s="314" t="str">
        <f t="array" ref="R509">IF($Q509, INDEX('Run Reconcile'!A$2:A1399,MATCH(B509,'Run Reconcile'!B$2:B1399,0),1),IFERROR(0/0,""))</f>
        <v>RUN-ABRM_2022-11-16_RFR-078</v>
      </c>
      <c r="S509" s="315" t="str">
        <f t="shared" ref="S509:T509" si="1022">IF(COUNTIF(W$2:W1399, $A509) &gt; 0,TRUE,IFERROR(0/0,""))</f>
        <v/>
      </c>
      <c r="T509" s="315" t="str">
        <f t="shared" si="1022"/>
        <v/>
      </c>
      <c r="U509" s="114" t="str">
        <f t="array" ref="U509">IF(ISBLANK($R509), INDEX('Run Reconcile'!A$2:A1399, MATCH($B509, 'Run Reconcile'!B$2:B1399, 0)+Z509, 1), IFERROR(0/0,""))
</f>
        <v/>
      </c>
      <c r="V509" s="316" t="str">
        <f t="shared" si="5"/>
        <v>RUN-ABRM_2022-11-16_RFR-078</v>
      </c>
      <c r="Y509" s="317" t="str">
        <f t="shared" si="6"/>
        <v/>
      </c>
      <c r="Z509" s="83" t="str">
        <f t="shared" si="7"/>
        <v/>
      </c>
      <c r="AA509" s="83" t="str">
        <f t="shared" si="8"/>
        <v/>
      </c>
      <c r="AB509" s="83" t="str">
        <f t="shared" si="9"/>
        <v/>
      </c>
      <c r="AC509" s="18" t="str">
        <f t="shared" ref="AC509:AD509" si="1023">IF(_xlfn.ISFORMULA(S509),IFERROR(0/0,""),TRUE)</f>
        <v/>
      </c>
      <c r="AD509" s="18" t="str">
        <f t="shared" si="1023"/>
        <v/>
      </c>
      <c r="AE509" s="43"/>
      <c r="AF509" s="58" t="s">
        <v>80</v>
      </c>
      <c r="AG509" s="55" t="str">
        <f t="shared" si="11"/>
        <v/>
      </c>
    </row>
    <row r="510">
      <c r="A510" s="7" t="str">
        <f>IFERROR(__xludf.DUMMYFUNCTION("""COMPUTED_VALUE"""),"AH224")</f>
        <v>AH224</v>
      </c>
      <c r="B510" s="308">
        <f>IFERROR(__xludf.DUMMYFUNCTION("""COMPUTED_VALUE"""),44881.0)</f>
        <v>44881</v>
      </c>
      <c r="C510" s="309">
        <f>IFERROR(__xludf.DUMMYFUNCTION("""COMPUTED_VALUE"""),0.35453703703703704)</f>
        <v>0.354537037</v>
      </c>
      <c r="D510" s="7" t="str">
        <f>IFERROR(__xludf.DUMMYFUNCTION("""COMPUTED_VALUE"""),"SpABRM655136")</f>
        <v>SpABRM655136</v>
      </c>
      <c r="E510" s="310"/>
      <c r="F510" s="310"/>
      <c r="G510" s="310" t="str">
        <f>IFERROR(__xludf.DUMMYFUNCTION("""COMPUTED_VALUE"""),"Negative")</f>
        <v>Negative</v>
      </c>
      <c r="H510" s="319" t="str">
        <f>IFERROR(__xludf.DUMMYFUNCTION("""COMPUTED_VALUE"""),"Negative")</f>
        <v>Negative</v>
      </c>
      <c r="I510" s="308">
        <f>IFERROR(__xludf.DUMMYFUNCTION("""COMPUTED_VALUE"""),44881.0)</f>
        <v>44881</v>
      </c>
      <c r="J510" s="311">
        <f>IFERROR(__xludf.DUMMYFUNCTION("""COMPUTED_VALUE"""),0.40471064814814817)</f>
        <v>0.4047106481</v>
      </c>
      <c r="K510" s="54"/>
      <c r="L510" s="7"/>
      <c r="M510" s="312"/>
      <c r="N510" s="172">
        <f>IFERROR(__xludf.DUMMYFUNCTION("""COMPUTED_VALUE"""),2.0)</f>
        <v>2</v>
      </c>
      <c r="O510" s="172" t="str">
        <f t="shared" si="3"/>
        <v/>
      </c>
      <c r="P510" s="313">
        <f>IFERROR(__xludf.DUMMYFUNCTION("""COMPUTED_VALUE"""),0.0)</f>
        <v>0</v>
      </c>
      <c r="Q510" s="76" t="b">
        <f>VLOOKUP($B510,'Run Reconcile'!B$2:O1399,14,FALSE)</f>
        <v>1</v>
      </c>
      <c r="R510" s="314" t="str">
        <f t="array" ref="R510">IF($Q510, INDEX('Run Reconcile'!A$2:A1399,MATCH(B510,'Run Reconcile'!B$2:B1399,0),1),IFERROR(0/0,""))</f>
        <v>RUN-ABRM_2022-11-16_RFR-078</v>
      </c>
      <c r="S510" s="315" t="str">
        <f t="shared" ref="S510:T510" si="1024">IF(COUNTIF(W$2:W1399, $A510) &gt; 0,TRUE,IFERROR(0/0,""))</f>
        <v/>
      </c>
      <c r="T510" s="315" t="str">
        <f t="shared" si="1024"/>
        <v/>
      </c>
      <c r="U510" s="114" t="str">
        <f t="array" ref="U510">IF(ISBLANK($R510), INDEX('Run Reconcile'!A$2:A1399, MATCH($B510, 'Run Reconcile'!B$2:B1399, 0)+Z510, 1), IFERROR(0/0,""))
</f>
        <v/>
      </c>
      <c r="V510" s="316" t="str">
        <f t="shared" si="5"/>
        <v>RUN-ABRM_2022-11-16_RFR-078</v>
      </c>
      <c r="Y510" s="317" t="str">
        <f t="shared" si="6"/>
        <v/>
      </c>
      <c r="Z510" s="83" t="str">
        <f t="shared" si="7"/>
        <v/>
      </c>
      <c r="AA510" s="83" t="str">
        <f t="shared" si="8"/>
        <v/>
      </c>
      <c r="AB510" s="83" t="str">
        <f t="shared" si="9"/>
        <v/>
      </c>
      <c r="AC510" s="18" t="str">
        <f t="shared" ref="AC510:AD510" si="1025">IF(_xlfn.ISFORMULA(S510),IFERROR(0/0,""),TRUE)</f>
        <v/>
      </c>
      <c r="AD510" s="18" t="str">
        <f t="shared" si="1025"/>
        <v/>
      </c>
      <c r="AE510" s="43"/>
      <c r="AF510" s="58" t="s">
        <v>80</v>
      </c>
      <c r="AG510" s="55" t="str">
        <f t="shared" si="11"/>
        <v/>
      </c>
    </row>
    <row r="511">
      <c r="A511" s="7" t="str">
        <f>IFERROR(__xludf.DUMMYFUNCTION("""COMPUTED_VALUE"""),"AG233")</f>
        <v>AG233</v>
      </c>
      <c r="B511" s="308">
        <f>IFERROR(__xludf.DUMMYFUNCTION("""COMPUTED_VALUE"""),44881.0)</f>
        <v>44881</v>
      </c>
      <c r="C511" s="309">
        <f>IFERROR(__xludf.DUMMYFUNCTION("""COMPUTED_VALUE"""),0.3566666666666667)</f>
        <v>0.3566666667</v>
      </c>
      <c r="D511" s="7" t="str">
        <f>IFERROR(__xludf.DUMMYFUNCTION("""COMPUTED_VALUE"""),"SpABRM655136")</f>
        <v>SpABRM655136</v>
      </c>
      <c r="E511" s="310"/>
      <c r="F511" s="310"/>
      <c r="G511" s="310" t="str">
        <f>IFERROR(__xludf.DUMMYFUNCTION("""COMPUTED_VALUE"""),"Negative")</f>
        <v>Negative</v>
      </c>
      <c r="H511" s="319" t="str">
        <f>IFERROR(__xludf.DUMMYFUNCTION("""COMPUTED_VALUE"""),"Negative")</f>
        <v>Negative</v>
      </c>
      <c r="I511" s="308">
        <f>IFERROR(__xludf.DUMMYFUNCTION("""COMPUTED_VALUE"""),44881.0)</f>
        <v>44881</v>
      </c>
      <c r="J511" s="311">
        <f>IFERROR(__xludf.DUMMYFUNCTION("""COMPUTED_VALUE"""),0.40471064814814817)</f>
        <v>0.4047106481</v>
      </c>
      <c r="K511" s="54"/>
      <c r="L511" s="7"/>
      <c r="M511" s="312"/>
      <c r="N511" s="172">
        <f>IFERROR(__xludf.DUMMYFUNCTION("""COMPUTED_VALUE"""),1.0)</f>
        <v>1</v>
      </c>
      <c r="O511" s="172" t="str">
        <f t="shared" si="3"/>
        <v/>
      </c>
      <c r="P511" s="313">
        <f>IFERROR(__xludf.DUMMYFUNCTION("""COMPUTED_VALUE"""),0.0)</f>
        <v>0</v>
      </c>
      <c r="Q511" s="76" t="b">
        <f>VLOOKUP($B511,'Run Reconcile'!B$2:O1399,14,FALSE)</f>
        <v>1</v>
      </c>
      <c r="R511" s="314" t="str">
        <f t="array" ref="R511">IF($Q511, INDEX('Run Reconcile'!A$2:A1399,MATCH(B511,'Run Reconcile'!B$2:B1399,0),1),IFERROR(0/0,""))</f>
        <v>RUN-ABRM_2022-11-16_RFR-078</v>
      </c>
      <c r="S511" s="315" t="str">
        <f t="shared" ref="S511:T511" si="1026">IF(COUNTIF(W$2:W1399, $A511) &gt; 0,TRUE,IFERROR(0/0,""))</f>
        <v/>
      </c>
      <c r="T511" s="315" t="str">
        <f t="shared" si="1026"/>
        <v/>
      </c>
      <c r="U511" s="114" t="str">
        <f t="array" ref="U511">IF(ISBLANK($R511), INDEX('Run Reconcile'!A$2:A1399, MATCH($B511, 'Run Reconcile'!B$2:B1399, 0)+Z511, 1), IFERROR(0/0,""))
</f>
        <v/>
      </c>
      <c r="V511" s="316" t="str">
        <f t="shared" si="5"/>
        <v>RUN-ABRM_2022-11-16_RFR-078</v>
      </c>
      <c r="Y511" s="317" t="str">
        <f t="shared" si="6"/>
        <v/>
      </c>
      <c r="Z511" s="83" t="str">
        <f t="shared" si="7"/>
        <v/>
      </c>
      <c r="AA511" s="83" t="str">
        <f t="shared" si="8"/>
        <v/>
      </c>
      <c r="AB511" s="83" t="str">
        <f t="shared" si="9"/>
        <v/>
      </c>
      <c r="AC511" s="18" t="str">
        <f t="shared" ref="AC511:AD511" si="1027">IF(_xlfn.ISFORMULA(S511),IFERROR(0/0,""),TRUE)</f>
        <v/>
      </c>
      <c r="AD511" s="18" t="str">
        <f t="shared" si="1027"/>
        <v/>
      </c>
      <c r="AE511" s="43"/>
      <c r="AF511" s="58" t="s">
        <v>80</v>
      </c>
      <c r="AG511" s="55" t="str">
        <f t="shared" si="11"/>
        <v/>
      </c>
    </row>
    <row r="512">
      <c r="A512" s="7" t="str">
        <f>IFERROR(__xludf.DUMMYFUNCTION("""COMPUTED_VALUE"""),"AH8998")</f>
        <v>AH8998</v>
      </c>
      <c r="B512" s="308">
        <f>IFERROR(__xludf.DUMMYFUNCTION("""COMPUTED_VALUE"""),44881.0)</f>
        <v>44881</v>
      </c>
      <c r="C512" s="309">
        <f>IFERROR(__xludf.DUMMYFUNCTION("""COMPUTED_VALUE"""),0.3570023148148148)</f>
        <v>0.3570023148</v>
      </c>
      <c r="D512" s="7" t="str">
        <f>IFERROR(__xludf.DUMMYFUNCTION("""COMPUTED_VALUE"""),"SpABRM655136")</f>
        <v>SpABRM655136</v>
      </c>
      <c r="E512" s="310"/>
      <c r="F512" s="310"/>
      <c r="G512" s="310" t="str">
        <f>IFERROR(__xludf.DUMMYFUNCTION("""COMPUTED_VALUE"""),"Negative")</f>
        <v>Negative</v>
      </c>
      <c r="H512" s="319" t="str">
        <f>IFERROR(__xludf.DUMMYFUNCTION("""COMPUTED_VALUE"""),"Negative")</f>
        <v>Negative</v>
      </c>
      <c r="I512" s="308">
        <f>IFERROR(__xludf.DUMMYFUNCTION("""COMPUTED_VALUE"""),44881.0)</f>
        <v>44881</v>
      </c>
      <c r="J512" s="311">
        <f>IFERROR(__xludf.DUMMYFUNCTION("""COMPUTED_VALUE"""),0.40471064814814817)</f>
        <v>0.4047106481</v>
      </c>
      <c r="K512" s="54"/>
      <c r="L512" s="7"/>
      <c r="M512" s="312"/>
      <c r="N512" s="172">
        <f>IFERROR(__xludf.DUMMYFUNCTION("""COMPUTED_VALUE"""),2.0)</f>
        <v>2</v>
      </c>
      <c r="O512" s="172" t="str">
        <f t="shared" si="3"/>
        <v/>
      </c>
      <c r="P512" s="313">
        <f>IFERROR(__xludf.DUMMYFUNCTION("""COMPUTED_VALUE"""),0.0)</f>
        <v>0</v>
      </c>
      <c r="Q512" s="76" t="b">
        <f>VLOOKUP($B512,'Run Reconcile'!B$2:O1399,14,FALSE)</f>
        <v>1</v>
      </c>
      <c r="R512" s="314" t="str">
        <f t="array" ref="R512">IF($Q512, INDEX('Run Reconcile'!A$2:A1399,MATCH(B512,'Run Reconcile'!B$2:B1399,0),1),IFERROR(0/0,""))</f>
        <v>RUN-ABRM_2022-11-16_RFR-078</v>
      </c>
      <c r="S512" s="315" t="str">
        <f t="shared" ref="S512:T512" si="1028">IF(COUNTIF(W$2:W1399, $A512) &gt; 0,TRUE,IFERROR(0/0,""))</f>
        <v/>
      </c>
      <c r="T512" s="315" t="str">
        <f t="shared" si="1028"/>
        <v/>
      </c>
      <c r="U512" s="114" t="str">
        <f t="array" ref="U512">IF(ISBLANK($R512), INDEX('Run Reconcile'!A$2:A1399, MATCH($B512, 'Run Reconcile'!B$2:B1399, 0)+Z512, 1), IFERROR(0/0,""))
</f>
        <v/>
      </c>
      <c r="V512" s="316" t="str">
        <f t="shared" si="5"/>
        <v>RUN-ABRM_2022-11-16_RFR-078</v>
      </c>
      <c r="Y512" s="317" t="str">
        <f t="shared" si="6"/>
        <v/>
      </c>
      <c r="Z512" s="83" t="str">
        <f t="shared" si="7"/>
        <v/>
      </c>
      <c r="AA512" s="83" t="str">
        <f t="shared" si="8"/>
        <v/>
      </c>
      <c r="AB512" s="83" t="str">
        <f t="shared" si="9"/>
        <v/>
      </c>
      <c r="AC512" s="18" t="str">
        <f t="shared" ref="AC512:AD512" si="1029">IF(_xlfn.ISFORMULA(S512),IFERROR(0/0,""),TRUE)</f>
        <v/>
      </c>
      <c r="AD512" s="18" t="str">
        <f t="shared" si="1029"/>
        <v/>
      </c>
      <c r="AE512" s="43"/>
      <c r="AF512" s="58" t="s">
        <v>80</v>
      </c>
      <c r="AG512" s="55" t="str">
        <f t="shared" si="11"/>
        <v/>
      </c>
    </row>
    <row r="513">
      <c r="A513" s="7" t="str">
        <f>IFERROR(__xludf.DUMMYFUNCTION("""COMPUTED_VALUE"""),"AG872")</f>
        <v>AG872</v>
      </c>
      <c r="B513" s="308">
        <f>IFERROR(__xludf.DUMMYFUNCTION("""COMPUTED_VALUE"""),44881.0)</f>
        <v>44881</v>
      </c>
      <c r="C513" s="309">
        <f>IFERROR(__xludf.DUMMYFUNCTION("""COMPUTED_VALUE"""),0.3574189814814815)</f>
        <v>0.3574189815</v>
      </c>
      <c r="D513" s="7" t="str">
        <f>IFERROR(__xludf.DUMMYFUNCTION("""COMPUTED_VALUE"""),"SpABRM655136")</f>
        <v>SpABRM655136</v>
      </c>
      <c r="E513" s="310"/>
      <c r="F513" s="310"/>
      <c r="G513" s="310" t="str">
        <f>IFERROR(__xludf.DUMMYFUNCTION("""COMPUTED_VALUE"""),"Negative")</f>
        <v>Negative</v>
      </c>
      <c r="H513" s="319" t="str">
        <f>IFERROR(__xludf.DUMMYFUNCTION("""COMPUTED_VALUE"""),"Negative")</f>
        <v>Negative</v>
      </c>
      <c r="I513" s="308">
        <f>IFERROR(__xludf.DUMMYFUNCTION("""COMPUTED_VALUE"""),44881.0)</f>
        <v>44881</v>
      </c>
      <c r="J513" s="311">
        <f>IFERROR(__xludf.DUMMYFUNCTION("""COMPUTED_VALUE"""),0.4047222222222222)</f>
        <v>0.4047222222</v>
      </c>
      <c r="K513" s="54"/>
      <c r="L513" s="7"/>
      <c r="M513" s="312"/>
      <c r="N513" s="172">
        <f>IFERROR(__xludf.DUMMYFUNCTION("""COMPUTED_VALUE"""),2.0)</f>
        <v>2</v>
      </c>
      <c r="O513" s="172" t="str">
        <f t="shared" si="3"/>
        <v/>
      </c>
      <c r="P513" s="313">
        <f>IFERROR(__xludf.DUMMYFUNCTION("""COMPUTED_VALUE"""),0.0)</f>
        <v>0</v>
      </c>
      <c r="Q513" s="76" t="b">
        <f>VLOOKUP($B513,'Run Reconcile'!B$2:O1399,14,FALSE)</f>
        <v>1</v>
      </c>
      <c r="R513" s="314" t="str">
        <f t="array" ref="R513">IF($Q513, INDEX('Run Reconcile'!A$2:A1399,MATCH(B513,'Run Reconcile'!B$2:B1399,0),1),IFERROR(0/0,""))</f>
        <v>RUN-ABRM_2022-11-16_RFR-078</v>
      </c>
      <c r="S513" s="315" t="str">
        <f t="shared" ref="S513:T513" si="1030">IF(COUNTIF(W$2:W1399, $A513) &gt; 0,TRUE,IFERROR(0/0,""))</f>
        <v/>
      </c>
      <c r="T513" s="315" t="str">
        <f t="shared" si="1030"/>
        <v/>
      </c>
      <c r="U513" s="114" t="str">
        <f t="array" ref="U513">IF(ISBLANK($R513), INDEX('Run Reconcile'!A$2:A1399, MATCH($B513, 'Run Reconcile'!B$2:B1399, 0)+Z513, 1), IFERROR(0/0,""))
</f>
        <v/>
      </c>
      <c r="V513" s="316" t="str">
        <f t="shared" si="5"/>
        <v>RUN-ABRM_2022-11-16_RFR-078</v>
      </c>
      <c r="Y513" s="317" t="str">
        <f t="shared" si="6"/>
        <v/>
      </c>
      <c r="Z513" s="83" t="str">
        <f t="shared" si="7"/>
        <v/>
      </c>
      <c r="AA513" s="83" t="str">
        <f t="shared" si="8"/>
        <v/>
      </c>
      <c r="AB513" s="83" t="str">
        <f t="shared" si="9"/>
        <v/>
      </c>
      <c r="AC513" s="18" t="str">
        <f t="shared" ref="AC513:AD513" si="1031">IF(_xlfn.ISFORMULA(S513),IFERROR(0/0,""),TRUE)</f>
        <v/>
      </c>
      <c r="AD513" s="18" t="str">
        <f t="shared" si="1031"/>
        <v/>
      </c>
      <c r="AE513" s="43"/>
      <c r="AF513" s="58" t="s">
        <v>80</v>
      </c>
      <c r="AG513" s="55" t="str">
        <f t="shared" si="11"/>
        <v/>
      </c>
    </row>
    <row r="514">
      <c r="A514" s="7" t="str">
        <f>IFERROR(__xludf.DUMMYFUNCTION("""COMPUTED_VALUE"""),"AH6908")</f>
        <v>AH6908</v>
      </c>
      <c r="B514" s="308">
        <f>IFERROR(__xludf.DUMMYFUNCTION("""COMPUTED_VALUE"""),44882.0)</f>
        <v>44882</v>
      </c>
      <c r="C514" s="309">
        <f>IFERROR(__xludf.DUMMYFUNCTION("""COMPUTED_VALUE"""),0.21693287037037037)</f>
        <v>0.2169328704</v>
      </c>
      <c r="D514" s="7" t="str">
        <f>IFERROR(__xludf.DUMMYFUNCTION("""COMPUTED_VALUE"""),"SpABRM454310")</f>
        <v>SpABRM454310</v>
      </c>
      <c r="E514" s="310"/>
      <c r="F514" s="310"/>
      <c r="G514" s="310" t="str">
        <f>IFERROR(__xludf.DUMMYFUNCTION("""COMPUTED_VALUE"""),"Negative")</f>
        <v>Negative</v>
      </c>
      <c r="H514" s="319" t="str">
        <f>IFERROR(__xludf.DUMMYFUNCTION("""COMPUTED_VALUE"""),"Negative")</f>
        <v>Negative</v>
      </c>
      <c r="I514" s="308">
        <f>IFERROR(__xludf.DUMMYFUNCTION("""COMPUTED_VALUE"""),44883.0)</f>
        <v>44883</v>
      </c>
      <c r="J514" s="311">
        <f>IFERROR(__xludf.DUMMYFUNCTION("""COMPUTED_VALUE"""),0.29333333333333333)</f>
        <v>0.2933333333</v>
      </c>
      <c r="K514" s="54"/>
      <c r="L514" s="7"/>
      <c r="M514" s="312"/>
      <c r="N514" s="172">
        <f>IFERROR(__xludf.DUMMYFUNCTION("""COMPUTED_VALUE"""),3.0)</f>
        <v>3</v>
      </c>
      <c r="O514" s="172" t="b">
        <f t="shared" si="3"/>
        <v>1</v>
      </c>
      <c r="P514" s="313">
        <f>IFERROR(__xludf.DUMMYFUNCTION("""COMPUTED_VALUE"""),1.0)</f>
        <v>1</v>
      </c>
      <c r="Q514" s="76" t="b">
        <f>VLOOKUP($B514,'Run Reconcile'!B$2:O1399,14,FALSE)</f>
        <v>1</v>
      </c>
      <c r="R514" s="314" t="str">
        <f t="array" ref="R514">IF($Q514, INDEX('Run Reconcile'!A$2:A1399,MATCH(B514,'Run Reconcile'!B$2:B1399,0),1),IFERROR(0/0,""))</f>
        <v>RUN-ABRM_2022-11-17_RFR-079</v>
      </c>
      <c r="S514" s="315" t="str">
        <f t="shared" ref="S514:T514" si="1032">IF(COUNTIF(W$2:W1399, $A514) &gt; 0,TRUE,IFERROR(0/0,""))</f>
        <v/>
      </c>
      <c r="T514" s="315" t="str">
        <f t="shared" si="1032"/>
        <v/>
      </c>
      <c r="U514" s="114" t="str">
        <f t="array" ref="U514">IF(ISBLANK($R514), INDEX('Run Reconcile'!A$2:A1399, MATCH($B514, 'Run Reconcile'!B$2:B1399, 0)+Z514, 1), IFERROR(0/0,""))
</f>
        <v/>
      </c>
      <c r="V514" s="316" t="str">
        <f t="shared" si="5"/>
        <v>RUN-ABRM_2022-11-17_RFR-079</v>
      </c>
      <c r="Y514" s="317" t="str">
        <f t="shared" si="6"/>
        <v/>
      </c>
      <c r="Z514" s="83" t="str">
        <f t="shared" si="7"/>
        <v/>
      </c>
      <c r="AA514" s="83" t="str">
        <f t="shared" si="8"/>
        <v/>
      </c>
      <c r="AB514" s="83" t="str">
        <f t="shared" si="9"/>
        <v/>
      </c>
      <c r="AC514" s="18" t="str">
        <f t="shared" ref="AC514:AD514" si="1033">IF(_xlfn.ISFORMULA(S514),IFERROR(0/0,""),TRUE)</f>
        <v/>
      </c>
      <c r="AD514" s="18" t="str">
        <f t="shared" si="1033"/>
        <v/>
      </c>
      <c r="AE514" s="43"/>
      <c r="AF514" s="58" t="s">
        <v>81</v>
      </c>
      <c r="AG514" s="55" t="str">
        <f t="shared" si="11"/>
        <v/>
      </c>
    </row>
    <row r="515">
      <c r="A515" s="7" t="str">
        <f>IFERROR(__xludf.DUMMYFUNCTION("""COMPUTED_VALUE"""),"AH331")</f>
        <v>AH331</v>
      </c>
      <c r="B515" s="308">
        <f>IFERROR(__xludf.DUMMYFUNCTION("""COMPUTED_VALUE"""),44882.0)</f>
        <v>44882</v>
      </c>
      <c r="C515" s="309">
        <f>IFERROR(__xludf.DUMMYFUNCTION("""COMPUTED_VALUE"""),0.2898148148148148)</f>
        <v>0.2898148148</v>
      </c>
      <c r="D515" s="7" t="str">
        <f>IFERROR(__xludf.DUMMYFUNCTION("""COMPUTED_VALUE"""),"SpABRM128250")</f>
        <v>SpABRM128250</v>
      </c>
      <c r="E515" s="310"/>
      <c r="F515" s="310"/>
      <c r="G515" s="310" t="str">
        <f>IFERROR(__xludf.DUMMYFUNCTION("""COMPUTED_VALUE"""),"Negative")</f>
        <v>Negative</v>
      </c>
      <c r="H515" s="319" t="str">
        <f>IFERROR(__xludf.DUMMYFUNCTION("""COMPUTED_VALUE"""),"Negative")</f>
        <v>Negative</v>
      </c>
      <c r="I515" s="308">
        <f>IFERROR(__xludf.DUMMYFUNCTION("""COMPUTED_VALUE"""),44883.0)</f>
        <v>44883</v>
      </c>
      <c r="J515" s="311">
        <f>IFERROR(__xludf.DUMMYFUNCTION("""COMPUTED_VALUE"""),0.29333333333333333)</f>
        <v>0.2933333333</v>
      </c>
      <c r="K515" s="54"/>
      <c r="L515" s="7"/>
      <c r="M515" s="312"/>
      <c r="N515" s="172">
        <f>IFERROR(__xludf.DUMMYFUNCTION("""COMPUTED_VALUE"""),3.0)</f>
        <v>3</v>
      </c>
      <c r="O515" s="172" t="str">
        <f t="shared" si="3"/>
        <v/>
      </c>
      <c r="P515" s="313">
        <f>IFERROR(__xludf.DUMMYFUNCTION("""COMPUTED_VALUE"""),1.0)</f>
        <v>1</v>
      </c>
      <c r="Q515" s="76" t="b">
        <f>VLOOKUP($B515,'Run Reconcile'!B$2:O1399,14,FALSE)</f>
        <v>1</v>
      </c>
      <c r="R515" s="314" t="str">
        <f t="array" ref="R515">IF($Q515, INDEX('Run Reconcile'!A$2:A1399,MATCH(B515,'Run Reconcile'!B$2:B1399,0),1),IFERROR(0/0,""))</f>
        <v>RUN-ABRM_2022-11-17_RFR-079</v>
      </c>
      <c r="S515" s="315" t="str">
        <f t="shared" ref="S515:T515" si="1034">IF(COUNTIF(W$2:W1399, $A515) &gt; 0,TRUE,IFERROR(0/0,""))</f>
        <v/>
      </c>
      <c r="T515" s="315" t="str">
        <f t="shared" si="1034"/>
        <v/>
      </c>
      <c r="U515" s="114" t="str">
        <f t="array" ref="U515">IF(ISBLANK($R515), INDEX('Run Reconcile'!A$2:A1399, MATCH($B515, 'Run Reconcile'!B$2:B1399, 0)+Z515, 1), IFERROR(0/0,""))
</f>
        <v/>
      </c>
      <c r="V515" s="316" t="str">
        <f t="shared" si="5"/>
        <v>RUN-ABRM_2022-11-17_RFR-079</v>
      </c>
      <c r="Y515" s="317" t="str">
        <f t="shared" si="6"/>
        <v/>
      </c>
      <c r="Z515" s="83" t="str">
        <f t="shared" si="7"/>
        <v/>
      </c>
      <c r="AA515" s="83" t="str">
        <f t="shared" si="8"/>
        <v/>
      </c>
      <c r="AB515" s="83" t="str">
        <f t="shared" si="9"/>
        <v/>
      </c>
      <c r="AC515" s="18" t="str">
        <f t="shared" ref="AC515:AD515" si="1035">IF(_xlfn.ISFORMULA(S515),IFERROR(0/0,""),TRUE)</f>
        <v/>
      </c>
      <c r="AD515" s="18" t="str">
        <f t="shared" si="1035"/>
        <v/>
      </c>
      <c r="AE515" s="43"/>
      <c r="AF515" s="58" t="s">
        <v>81</v>
      </c>
      <c r="AG515" s="55" t="str">
        <f t="shared" si="11"/>
        <v/>
      </c>
    </row>
    <row r="516">
      <c r="A516" s="7" t="str">
        <f>IFERROR(__xludf.DUMMYFUNCTION("""COMPUTED_VALUE"""),"AG566")</f>
        <v>AG566</v>
      </c>
      <c r="B516" s="308">
        <f>IFERROR(__xludf.DUMMYFUNCTION("""COMPUTED_VALUE"""),44882.0)</f>
        <v>44882</v>
      </c>
      <c r="C516" s="309">
        <f>IFERROR(__xludf.DUMMYFUNCTION("""COMPUTED_VALUE"""),0.29211805555555553)</f>
        <v>0.2921180556</v>
      </c>
      <c r="D516" s="7" t="str">
        <f>IFERROR(__xludf.DUMMYFUNCTION("""COMPUTED_VALUE"""),"SpABRM516158")</f>
        <v>SpABRM516158</v>
      </c>
      <c r="E516" s="310"/>
      <c r="F516" s="310"/>
      <c r="G516" s="310" t="str">
        <f>IFERROR(__xludf.DUMMYFUNCTION("""COMPUTED_VALUE"""),"Negative")</f>
        <v>Negative</v>
      </c>
      <c r="H516" s="319" t="str">
        <f>IFERROR(__xludf.DUMMYFUNCTION("""COMPUTED_VALUE"""),"Negative")</f>
        <v>Negative</v>
      </c>
      <c r="I516" s="308">
        <f>IFERROR(__xludf.DUMMYFUNCTION("""COMPUTED_VALUE"""),44883.0)</f>
        <v>44883</v>
      </c>
      <c r="J516" s="311">
        <f>IFERROR(__xludf.DUMMYFUNCTION("""COMPUTED_VALUE"""),0.29334490740740743)</f>
        <v>0.2933449074</v>
      </c>
      <c r="K516" s="54"/>
      <c r="L516" s="7"/>
      <c r="M516" s="312"/>
      <c r="N516" s="172">
        <f>IFERROR(__xludf.DUMMYFUNCTION("""COMPUTED_VALUE"""),1.0)</f>
        <v>1</v>
      </c>
      <c r="O516" s="172" t="str">
        <f t="shared" si="3"/>
        <v/>
      </c>
      <c r="P516" s="313">
        <f>IFERROR(__xludf.DUMMYFUNCTION("""COMPUTED_VALUE"""),1.0)</f>
        <v>1</v>
      </c>
      <c r="Q516" s="76" t="b">
        <f>VLOOKUP($B516,'Run Reconcile'!B$2:O1399,14,FALSE)</f>
        <v>1</v>
      </c>
      <c r="R516" s="314" t="str">
        <f t="array" ref="R516">IF($Q516, INDEX('Run Reconcile'!A$2:A1399,MATCH(B516,'Run Reconcile'!B$2:B1399,0),1),IFERROR(0/0,""))</f>
        <v>RUN-ABRM_2022-11-17_RFR-079</v>
      </c>
      <c r="S516" s="315" t="str">
        <f t="shared" ref="S516:T516" si="1036">IF(COUNTIF(W$2:W1399, $A516) &gt; 0,TRUE,IFERROR(0/0,""))</f>
        <v/>
      </c>
      <c r="T516" s="315" t="str">
        <f t="shared" si="1036"/>
        <v/>
      </c>
      <c r="U516" s="114" t="str">
        <f t="array" ref="U516">IF(ISBLANK($R516), INDEX('Run Reconcile'!A$2:A1399, MATCH($B516, 'Run Reconcile'!B$2:B1399, 0)+Z516, 1), IFERROR(0/0,""))
</f>
        <v/>
      </c>
      <c r="V516" s="316" t="str">
        <f t="shared" si="5"/>
        <v>RUN-ABRM_2022-11-17_RFR-079</v>
      </c>
      <c r="Y516" s="317" t="str">
        <f t="shared" si="6"/>
        <v/>
      </c>
      <c r="Z516" s="83" t="str">
        <f t="shared" si="7"/>
        <v/>
      </c>
      <c r="AA516" s="83" t="str">
        <f t="shared" si="8"/>
        <v/>
      </c>
      <c r="AB516" s="83" t="str">
        <f t="shared" si="9"/>
        <v/>
      </c>
      <c r="AC516" s="18" t="str">
        <f t="shared" ref="AC516:AD516" si="1037">IF(_xlfn.ISFORMULA(S516),IFERROR(0/0,""),TRUE)</f>
        <v/>
      </c>
      <c r="AD516" s="18" t="str">
        <f t="shared" si="1037"/>
        <v/>
      </c>
      <c r="AE516" s="43"/>
      <c r="AF516" s="58" t="s">
        <v>81</v>
      </c>
      <c r="AG516" s="55" t="str">
        <f t="shared" si="11"/>
        <v/>
      </c>
    </row>
    <row r="517">
      <c r="A517" s="7" t="str">
        <f>IFERROR(__xludf.DUMMYFUNCTION("""COMPUTED_VALUE"""),"AG715")</f>
        <v>AG715</v>
      </c>
      <c r="B517" s="308">
        <f>IFERROR(__xludf.DUMMYFUNCTION("""COMPUTED_VALUE"""),44882.0)</f>
        <v>44882</v>
      </c>
      <c r="C517" s="309">
        <f>IFERROR(__xludf.DUMMYFUNCTION("""COMPUTED_VALUE"""),0.29983796296296295)</f>
        <v>0.299837963</v>
      </c>
      <c r="D517" s="7" t="str">
        <f>IFERROR(__xludf.DUMMYFUNCTION("""COMPUTED_VALUE"""),"SpABRM297307")</f>
        <v>SpABRM297307</v>
      </c>
      <c r="E517" s="310"/>
      <c r="F517" s="310"/>
      <c r="G517" s="310" t="str">
        <f>IFERROR(__xludf.DUMMYFUNCTION("""COMPUTED_VALUE"""),"Negative")</f>
        <v>Negative</v>
      </c>
      <c r="H517" s="319" t="str">
        <f>IFERROR(__xludf.DUMMYFUNCTION("""COMPUTED_VALUE"""),"Negative")</f>
        <v>Negative</v>
      </c>
      <c r="I517" s="308">
        <f>IFERROR(__xludf.DUMMYFUNCTION("""COMPUTED_VALUE"""),44883.0)</f>
        <v>44883</v>
      </c>
      <c r="J517" s="311">
        <f>IFERROR(__xludf.DUMMYFUNCTION("""COMPUTED_VALUE"""),0.29334490740740743)</f>
        <v>0.2933449074</v>
      </c>
      <c r="K517" s="54"/>
      <c r="L517" s="7"/>
      <c r="M517" s="312"/>
      <c r="N517" s="172">
        <f>IFERROR(__xludf.DUMMYFUNCTION("""COMPUTED_VALUE"""),3.0)</f>
        <v>3</v>
      </c>
      <c r="O517" s="172" t="str">
        <f t="shared" si="3"/>
        <v/>
      </c>
      <c r="P517" s="313">
        <f>IFERROR(__xludf.DUMMYFUNCTION("""COMPUTED_VALUE"""),1.0)</f>
        <v>1</v>
      </c>
      <c r="Q517" s="76" t="b">
        <f>VLOOKUP($B517,'Run Reconcile'!B$2:O1399,14,FALSE)</f>
        <v>1</v>
      </c>
      <c r="R517" s="314" t="str">
        <f t="array" ref="R517">IF($Q517, INDEX('Run Reconcile'!A$2:A1399,MATCH(B517,'Run Reconcile'!B$2:B1399,0),1),IFERROR(0/0,""))</f>
        <v>RUN-ABRM_2022-11-17_RFR-079</v>
      </c>
      <c r="S517" s="315" t="str">
        <f t="shared" ref="S517:T517" si="1038">IF(COUNTIF(W$2:W1399, $A517) &gt; 0,TRUE,IFERROR(0/0,""))</f>
        <v/>
      </c>
      <c r="T517" s="315" t="str">
        <f t="shared" si="1038"/>
        <v/>
      </c>
      <c r="U517" s="114" t="str">
        <f t="array" ref="U517">IF(ISBLANK($R517), INDEX('Run Reconcile'!A$2:A1399, MATCH($B517, 'Run Reconcile'!B$2:B1399, 0)+Z517, 1), IFERROR(0/0,""))
</f>
        <v/>
      </c>
      <c r="V517" s="316" t="str">
        <f t="shared" si="5"/>
        <v>RUN-ABRM_2022-11-17_RFR-079</v>
      </c>
      <c r="Y517" s="317" t="str">
        <f t="shared" si="6"/>
        <v/>
      </c>
      <c r="Z517" s="83" t="str">
        <f t="shared" si="7"/>
        <v/>
      </c>
      <c r="AA517" s="83" t="str">
        <f t="shared" si="8"/>
        <v/>
      </c>
      <c r="AB517" s="83" t="str">
        <f t="shared" si="9"/>
        <v/>
      </c>
      <c r="AC517" s="18" t="str">
        <f t="shared" ref="AC517:AD517" si="1039">IF(_xlfn.ISFORMULA(S517),IFERROR(0/0,""),TRUE)</f>
        <v/>
      </c>
      <c r="AD517" s="18" t="str">
        <f t="shared" si="1039"/>
        <v/>
      </c>
      <c r="AE517" s="43"/>
      <c r="AF517" s="58" t="s">
        <v>81</v>
      </c>
      <c r="AG517" s="55" t="str">
        <f t="shared" si="11"/>
        <v/>
      </c>
    </row>
    <row r="518">
      <c r="A518" s="7" t="str">
        <f>IFERROR(__xludf.DUMMYFUNCTION("""COMPUTED_VALUE"""),"AH8052")</f>
        <v>AH8052</v>
      </c>
      <c r="B518" s="308">
        <f>IFERROR(__xludf.DUMMYFUNCTION("""COMPUTED_VALUE"""),44882.0)</f>
        <v>44882</v>
      </c>
      <c r="C518" s="309">
        <f>IFERROR(__xludf.DUMMYFUNCTION("""COMPUTED_VALUE"""),0.39765046296296297)</f>
        <v>0.397650463</v>
      </c>
      <c r="D518" s="7" t="str">
        <f>IFERROR(__xludf.DUMMYFUNCTION("""COMPUTED_VALUE"""),"SpABRM188986")</f>
        <v>SpABRM188986</v>
      </c>
      <c r="E518" s="310"/>
      <c r="F518" s="310"/>
      <c r="G518" s="310" t="str">
        <f>IFERROR(__xludf.DUMMYFUNCTION("""COMPUTED_VALUE"""),"Null")</f>
        <v>Null</v>
      </c>
      <c r="H518" s="319" t="str">
        <f>IFERROR(__xludf.DUMMYFUNCTION("""COMPUTED_VALUE"""),"Negative")</f>
        <v>Negative</v>
      </c>
      <c r="I518" s="319"/>
      <c r="J518" s="54"/>
      <c r="K518" s="54">
        <f>IFERROR(__xludf.DUMMYFUNCTION("""COMPUTED_VALUE"""),2.0)</f>
        <v>2</v>
      </c>
      <c r="L518" s="7"/>
      <c r="M518" s="312"/>
      <c r="N518" s="172">
        <f>IFERROR(__xludf.DUMMYFUNCTION("""COMPUTED_VALUE"""),2.0)</f>
        <v>2</v>
      </c>
      <c r="O518" s="172" t="str">
        <f t="shared" si="3"/>
        <v/>
      </c>
      <c r="P518" s="313">
        <f>IFERROR(__xludf.DUMMYFUNCTION("""COMPUTED_VALUE"""),-1.0)</f>
        <v>-1</v>
      </c>
      <c r="Q518" s="76" t="b">
        <f>VLOOKUP($B518,'Run Reconcile'!B$2:O1399,14,FALSE)</f>
        <v>1</v>
      </c>
      <c r="R518" s="314" t="str">
        <f t="array" ref="R518">IF($Q518, INDEX('Run Reconcile'!A$2:A1399,MATCH(B518,'Run Reconcile'!B$2:B1399,0),1),IFERROR(0/0,""))</f>
        <v>RUN-ABRM_2022-11-17_RFR-079</v>
      </c>
      <c r="S518" s="315" t="str">
        <f t="shared" ref="S518:T518" si="1040">IF(COUNTIF(W$2:W1399, $A518) &gt; 0,TRUE,IFERROR(0/0,""))</f>
        <v/>
      </c>
      <c r="T518" s="315" t="str">
        <f t="shared" si="1040"/>
        <v/>
      </c>
      <c r="U518" s="114" t="str">
        <f t="array" ref="U518">IF(ISBLANK($R518), INDEX('Run Reconcile'!A$2:A1399, MATCH($B518, 'Run Reconcile'!B$2:B1399, 0)+Z518, 1), IFERROR(0/0,""))
</f>
        <v/>
      </c>
      <c r="V518" s="316" t="str">
        <f t="shared" si="5"/>
        <v>RUN-ABRM_2022-11-17_RFR-079</v>
      </c>
      <c r="Y518" s="317" t="str">
        <f t="shared" si="6"/>
        <v/>
      </c>
      <c r="Z518" s="83" t="str">
        <f t="shared" si="7"/>
        <v/>
      </c>
      <c r="AA518" s="83" t="str">
        <f t="shared" si="8"/>
        <v/>
      </c>
      <c r="AB518" s="83" t="str">
        <f t="shared" si="9"/>
        <v/>
      </c>
      <c r="AC518" s="18" t="str">
        <f t="shared" ref="AC518:AD518" si="1041">IF(_xlfn.ISFORMULA(S518),IFERROR(0/0,""),TRUE)</f>
        <v/>
      </c>
      <c r="AD518" s="18" t="str">
        <f t="shared" si="1041"/>
        <v/>
      </c>
      <c r="AE518" s="43"/>
      <c r="AF518" s="58" t="s">
        <v>81</v>
      </c>
      <c r="AG518" s="55" t="str">
        <f t="shared" si="11"/>
        <v/>
      </c>
    </row>
    <row r="519">
      <c r="A519" s="7" t="str">
        <f>IFERROR(__xludf.DUMMYFUNCTION("""COMPUTED_VALUE"""),"AG2084")</f>
        <v>AG2084</v>
      </c>
      <c r="B519" s="308">
        <f>IFERROR(__xludf.DUMMYFUNCTION("""COMPUTED_VALUE"""),44883.0)</f>
        <v>44883</v>
      </c>
      <c r="C519" s="309">
        <f>IFERROR(__xludf.DUMMYFUNCTION("""COMPUTED_VALUE"""),0.24809027777777778)</f>
        <v>0.2480902778</v>
      </c>
      <c r="D519" s="7" t="str">
        <f>IFERROR(__xludf.DUMMYFUNCTION("""COMPUTED_VALUE"""),"SpABRM516158")</f>
        <v>SpABRM516158</v>
      </c>
      <c r="E519" s="310"/>
      <c r="F519" s="310"/>
      <c r="G519" s="310" t="str">
        <f>IFERROR(__xludf.DUMMYFUNCTION("""COMPUTED_VALUE"""),"Negative")</f>
        <v>Negative</v>
      </c>
      <c r="H519" s="319" t="str">
        <f>IFERROR(__xludf.DUMMYFUNCTION("""COMPUTED_VALUE"""),"Negative")</f>
        <v>Negative</v>
      </c>
      <c r="I519" s="308">
        <f>IFERROR(__xludf.DUMMYFUNCTION("""COMPUTED_VALUE"""),44883.0)</f>
        <v>44883</v>
      </c>
      <c r="J519" s="311">
        <f>IFERROR(__xludf.DUMMYFUNCTION("""COMPUTED_VALUE"""),0.36943287037037037)</f>
        <v>0.3694328704</v>
      </c>
      <c r="K519" s="54"/>
      <c r="L519" s="7"/>
      <c r="M519" s="312"/>
      <c r="N519" s="172">
        <f>IFERROR(__xludf.DUMMYFUNCTION("""COMPUTED_VALUE"""),1.0)</f>
        <v>1</v>
      </c>
      <c r="O519" s="172" t="b">
        <f t="shared" si="3"/>
        <v>1</v>
      </c>
      <c r="P519" s="313">
        <f>IFERROR(__xludf.DUMMYFUNCTION("""COMPUTED_VALUE"""),0.0)</f>
        <v>0</v>
      </c>
      <c r="Q519" s="76" t="b">
        <f>VLOOKUP($B519,'Run Reconcile'!B$2:O1399,14,FALSE)</f>
        <v>1</v>
      </c>
      <c r="R519" s="314" t="str">
        <f t="array" ref="R519">IF($Q519, INDEX('Run Reconcile'!A$2:A1399,MATCH(B519,'Run Reconcile'!B$2:B1399,0),1),IFERROR(0/0,""))</f>
        <v>RUN-ABRM_2022-11-18_RFR-081</v>
      </c>
      <c r="S519" s="315" t="str">
        <f t="shared" ref="S519:T519" si="1042">IF(COUNTIF(W$2:W1399, $A519) &gt; 0,TRUE,IFERROR(0/0,""))</f>
        <v/>
      </c>
      <c r="T519" s="315" t="str">
        <f t="shared" si="1042"/>
        <v/>
      </c>
      <c r="U519" s="114" t="str">
        <f t="array" ref="U519">IF(ISBLANK($R519), INDEX('Run Reconcile'!A$2:A1399, MATCH($B519, 'Run Reconcile'!B$2:B1399, 0)+Z519, 1), IFERROR(0/0,""))
</f>
        <v/>
      </c>
      <c r="V519" s="316" t="str">
        <f t="shared" si="5"/>
        <v>RUN-ABRM_2022-11-18_RFR-081</v>
      </c>
      <c r="Y519" s="317" t="str">
        <f t="shared" si="6"/>
        <v/>
      </c>
      <c r="Z519" s="83" t="str">
        <f t="shared" si="7"/>
        <v/>
      </c>
      <c r="AA519" s="83" t="str">
        <f t="shared" si="8"/>
        <v/>
      </c>
      <c r="AB519" s="83" t="str">
        <f t="shared" si="9"/>
        <v/>
      </c>
      <c r="AC519" s="18" t="str">
        <f t="shared" ref="AC519:AD519" si="1043">IF(_xlfn.ISFORMULA(S519),IFERROR(0/0,""),TRUE)</f>
        <v/>
      </c>
      <c r="AD519" s="18" t="str">
        <f t="shared" si="1043"/>
        <v/>
      </c>
      <c r="AE519" s="43"/>
      <c r="AF519" s="58" t="s">
        <v>82</v>
      </c>
      <c r="AG519" s="55" t="str">
        <f t="shared" si="11"/>
        <v/>
      </c>
    </row>
    <row r="520">
      <c r="A520" s="7" t="str">
        <f>IFERROR(__xludf.DUMMYFUNCTION("""COMPUTED_VALUE"""),"AK8154")</f>
        <v>AK8154</v>
      </c>
      <c r="B520" s="308">
        <f>IFERROR(__xludf.DUMMYFUNCTION("""COMPUTED_VALUE"""),44883.0)</f>
        <v>44883</v>
      </c>
      <c r="C520" s="309">
        <f>IFERROR(__xludf.DUMMYFUNCTION("""COMPUTED_VALUE"""),0.2907060185185185)</f>
        <v>0.2907060185</v>
      </c>
      <c r="D520" s="7" t="str">
        <f>IFERROR(__xludf.DUMMYFUNCTION("""COMPUTED_VALUE"""),"SpABRM655136")</f>
        <v>SpABRM655136</v>
      </c>
      <c r="E520" s="310"/>
      <c r="F520" s="310"/>
      <c r="G520" s="310" t="str">
        <f>IFERROR(__xludf.DUMMYFUNCTION("""COMPUTED_VALUE"""),"Negative")</f>
        <v>Negative</v>
      </c>
      <c r="H520" s="319" t="str">
        <f>IFERROR(__xludf.DUMMYFUNCTION("""COMPUTED_VALUE"""),"Negative")</f>
        <v>Negative</v>
      </c>
      <c r="I520" s="308">
        <f>IFERROR(__xludf.DUMMYFUNCTION("""COMPUTED_VALUE"""),44883.0)</f>
        <v>44883</v>
      </c>
      <c r="J520" s="311">
        <f>IFERROR(__xludf.DUMMYFUNCTION("""COMPUTED_VALUE"""),0.36943287037037037)</f>
        <v>0.3694328704</v>
      </c>
      <c r="K520" s="54"/>
      <c r="L520" s="7"/>
      <c r="M520" s="312"/>
      <c r="N520" s="172">
        <f>IFERROR(__xludf.DUMMYFUNCTION("""COMPUTED_VALUE"""),2.0)</f>
        <v>2</v>
      </c>
      <c r="O520" s="172" t="str">
        <f t="shared" si="3"/>
        <v/>
      </c>
      <c r="P520" s="313">
        <f>IFERROR(__xludf.DUMMYFUNCTION("""COMPUTED_VALUE"""),0.0)</f>
        <v>0</v>
      </c>
      <c r="Q520" s="76" t="b">
        <f>VLOOKUP($B520,'Run Reconcile'!B$2:O1399,14,FALSE)</f>
        <v>1</v>
      </c>
      <c r="R520" s="314" t="str">
        <f t="array" ref="R520">IF($Q520, INDEX('Run Reconcile'!A$2:A1399,MATCH(B520,'Run Reconcile'!B$2:B1399,0),1),IFERROR(0/0,""))</f>
        <v>RUN-ABRM_2022-11-18_RFR-081</v>
      </c>
      <c r="S520" s="315" t="str">
        <f t="shared" ref="S520:T520" si="1044">IF(COUNTIF(W$2:W1399, $A520) &gt; 0,TRUE,IFERROR(0/0,""))</f>
        <v/>
      </c>
      <c r="T520" s="315" t="str">
        <f t="shared" si="1044"/>
        <v/>
      </c>
      <c r="U520" s="114" t="str">
        <f t="array" ref="U520">IF(ISBLANK($R520), INDEX('Run Reconcile'!A$2:A1399, MATCH($B520, 'Run Reconcile'!B$2:B1399, 0)+Z520, 1), IFERROR(0/0,""))
</f>
        <v/>
      </c>
      <c r="V520" s="316" t="str">
        <f t="shared" si="5"/>
        <v>RUN-ABRM_2022-11-18_RFR-081</v>
      </c>
      <c r="Y520" s="317" t="str">
        <f t="shared" si="6"/>
        <v/>
      </c>
      <c r="Z520" s="83" t="str">
        <f t="shared" si="7"/>
        <v/>
      </c>
      <c r="AA520" s="83" t="str">
        <f t="shared" si="8"/>
        <v/>
      </c>
      <c r="AB520" s="83" t="str">
        <f t="shared" si="9"/>
        <v/>
      </c>
      <c r="AC520" s="18" t="str">
        <f t="shared" ref="AC520:AD520" si="1045">IF(_xlfn.ISFORMULA(S520),IFERROR(0/0,""),TRUE)</f>
        <v/>
      </c>
      <c r="AD520" s="18" t="str">
        <f t="shared" si="1045"/>
        <v/>
      </c>
      <c r="AE520" s="43"/>
      <c r="AF520" s="58" t="s">
        <v>82</v>
      </c>
      <c r="AG520" s="55" t="str">
        <f t="shared" si="11"/>
        <v/>
      </c>
    </row>
    <row r="521">
      <c r="A521" s="7" t="str">
        <f>IFERROR(__xludf.DUMMYFUNCTION("""COMPUTED_VALUE"""),"AK4902")</f>
        <v>AK4902</v>
      </c>
      <c r="B521" s="308">
        <f>IFERROR(__xludf.DUMMYFUNCTION("""COMPUTED_VALUE"""),44883.0)</f>
        <v>44883</v>
      </c>
      <c r="C521" s="309">
        <f>IFERROR(__xludf.DUMMYFUNCTION("""COMPUTED_VALUE"""),0.2927314814814815)</f>
        <v>0.2927314815</v>
      </c>
      <c r="D521" s="7" t="str">
        <f>IFERROR(__xludf.DUMMYFUNCTION("""COMPUTED_VALUE"""),"SpABRM188986")</f>
        <v>SpABRM188986</v>
      </c>
      <c r="E521" s="310"/>
      <c r="F521" s="310"/>
      <c r="G521" s="310" t="str">
        <f>IFERROR(__xludf.DUMMYFUNCTION("""COMPUTED_VALUE"""),"Negative")</f>
        <v>Negative</v>
      </c>
      <c r="H521" s="319" t="str">
        <f>IFERROR(__xludf.DUMMYFUNCTION("""COMPUTED_VALUE"""),"Negative")</f>
        <v>Negative</v>
      </c>
      <c r="I521" s="308">
        <f>IFERROR(__xludf.DUMMYFUNCTION("""COMPUTED_VALUE"""),44883.0)</f>
        <v>44883</v>
      </c>
      <c r="J521" s="311">
        <f>IFERROR(__xludf.DUMMYFUNCTION("""COMPUTED_VALUE"""),0.36944444444444446)</f>
        <v>0.3694444444</v>
      </c>
      <c r="K521" s="54"/>
      <c r="L521" s="7"/>
      <c r="M521" s="312"/>
      <c r="N521" s="172">
        <f>IFERROR(__xludf.DUMMYFUNCTION("""COMPUTED_VALUE"""),2.0)</f>
        <v>2</v>
      </c>
      <c r="O521" s="172" t="str">
        <f t="shared" si="3"/>
        <v/>
      </c>
      <c r="P521" s="313">
        <f>IFERROR(__xludf.DUMMYFUNCTION("""COMPUTED_VALUE"""),0.0)</f>
        <v>0</v>
      </c>
      <c r="Q521" s="76" t="b">
        <f>VLOOKUP($B521,'Run Reconcile'!B$2:O1399,14,FALSE)</f>
        <v>1</v>
      </c>
      <c r="R521" s="314" t="str">
        <f t="array" ref="R521">IF($Q521, INDEX('Run Reconcile'!A$2:A1399,MATCH(B521,'Run Reconcile'!B$2:B1399,0),1),IFERROR(0/0,""))</f>
        <v>RUN-ABRM_2022-11-18_RFR-081</v>
      </c>
      <c r="S521" s="315" t="str">
        <f t="shared" ref="S521:T521" si="1046">IF(COUNTIF(W$2:W1399, $A521) &gt; 0,TRUE,IFERROR(0/0,""))</f>
        <v/>
      </c>
      <c r="T521" s="315" t="str">
        <f t="shared" si="1046"/>
        <v/>
      </c>
      <c r="U521" s="114" t="str">
        <f t="array" ref="U521">IF(ISBLANK($R521), INDEX('Run Reconcile'!A$2:A1399, MATCH($B521, 'Run Reconcile'!B$2:B1399, 0)+Z521, 1), IFERROR(0/0,""))
</f>
        <v/>
      </c>
      <c r="V521" s="316" t="str">
        <f t="shared" si="5"/>
        <v>RUN-ABRM_2022-11-18_RFR-081</v>
      </c>
      <c r="Y521" s="317" t="str">
        <f t="shared" si="6"/>
        <v/>
      </c>
      <c r="Z521" s="83" t="str">
        <f t="shared" si="7"/>
        <v/>
      </c>
      <c r="AA521" s="83" t="str">
        <f t="shared" si="8"/>
        <v/>
      </c>
      <c r="AB521" s="83" t="str">
        <f t="shared" si="9"/>
        <v/>
      </c>
      <c r="AC521" s="18" t="str">
        <f t="shared" ref="AC521:AD521" si="1047">IF(_xlfn.ISFORMULA(S521),IFERROR(0/0,""),TRUE)</f>
        <v/>
      </c>
      <c r="AD521" s="18" t="str">
        <f t="shared" si="1047"/>
        <v/>
      </c>
      <c r="AE521" s="43"/>
      <c r="AF521" s="58" t="s">
        <v>82</v>
      </c>
      <c r="AG521" s="55" t="str">
        <f t="shared" si="11"/>
        <v/>
      </c>
    </row>
    <row r="522">
      <c r="A522" s="7" t="str">
        <f>IFERROR(__xludf.DUMMYFUNCTION("""COMPUTED_VALUE"""),"AH606")</f>
        <v>AH606</v>
      </c>
      <c r="B522" s="308">
        <f>IFERROR(__xludf.DUMMYFUNCTION("""COMPUTED_VALUE"""),44883.0)</f>
        <v>44883</v>
      </c>
      <c r="C522" s="309">
        <f>IFERROR(__xludf.DUMMYFUNCTION("""COMPUTED_VALUE"""),0.30028935185185185)</f>
        <v>0.3002893519</v>
      </c>
      <c r="D522" s="7" t="str">
        <f>IFERROR(__xludf.DUMMYFUNCTION("""COMPUTED_VALUE"""),"SpABRM297307")</f>
        <v>SpABRM297307</v>
      </c>
      <c r="E522" s="310"/>
      <c r="F522" s="310"/>
      <c r="G522" s="310" t="str">
        <f>IFERROR(__xludf.DUMMYFUNCTION("""COMPUTED_VALUE"""),"Negative")</f>
        <v>Negative</v>
      </c>
      <c r="H522" s="319" t="str">
        <f>IFERROR(__xludf.DUMMYFUNCTION("""COMPUTED_VALUE"""),"Negative")</f>
        <v>Negative</v>
      </c>
      <c r="I522" s="308">
        <f>IFERROR(__xludf.DUMMYFUNCTION("""COMPUTED_VALUE"""),44883.0)</f>
        <v>44883</v>
      </c>
      <c r="J522" s="311">
        <f>IFERROR(__xludf.DUMMYFUNCTION("""COMPUTED_VALUE"""),0.36944444444444446)</f>
        <v>0.3694444444</v>
      </c>
      <c r="K522" s="54"/>
      <c r="L522" s="7"/>
      <c r="M522" s="312"/>
      <c r="N522" s="172">
        <f>IFERROR(__xludf.DUMMYFUNCTION("""COMPUTED_VALUE"""),4.0)</f>
        <v>4</v>
      </c>
      <c r="O522" s="172" t="str">
        <f t="shared" si="3"/>
        <v/>
      </c>
      <c r="P522" s="313">
        <f>IFERROR(__xludf.DUMMYFUNCTION("""COMPUTED_VALUE"""),0.0)</f>
        <v>0</v>
      </c>
      <c r="Q522" s="76" t="b">
        <f>VLOOKUP($B522,'Run Reconcile'!B$2:O1399,14,FALSE)</f>
        <v>1</v>
      </c>
      <c r="R522" s="314" t="str">
        <f t="array" ref="R522">IF($Q522, INDEX('Run Reconcile'!A$2:A1399,MATCH(B522,'Run Reconcile'!B$2:B1399,0),1),IFERROR(0/0,""))</f>
        <v>RUN-ABRM_2022-11-18_RFR-081</v>
      </c>
      <c r="S522" s="315" t="str">
        <f t="shared" ref="S522:T522" si="1048">IF(COUNTIF(W$2:W1399, $A522) &gt; 0,TRUE,IFERROR(0/0,""))</f>
        <v/>
      </c>
      <c r="T522" s="315" t="str">
        <f t="shared" si="1048"/>
        <v/>
      </c>
      <c r="U522" s="114" t="str">
        <f t="array" ref="U522">IF(ISBLANK($R522), INDEX('Run Reconcile'!A$2:A1399, MATCH($B522, 'Run Reconcile'!B$2:B1399, 0)+Z522, 1), IFERROR(0/0,""))
</f>
        <v/>
      </c>
      <c r="V522" s="316" t="str">
        <f t="shared" si="5"/>
        <v>RUN-ABRM_2022-11-18_RFR-081</v>
      </c>
      <c r="Y522" s="317" t="str">
        <f t="shared" si="6"/>
        <v/>
      </c>
      <c r="Z522" s="83" t="str">
        <f t="shared" si="7"/>
        <v/>
      </c>
      <c r="AA522" s="83" t="str">
        <f t="shared" si="8"/>
        <v/>
      </c>
      <c r="AB522" s="83" t="str">
        <f t="shared" si="9"/>
        <v/>
      </c>
      <c r="AC522" s="18" t="str">
        <f t="shared" ref="AC522:AD522" si="1049">IF(_xlfn.ISFORMULA(S522),IFERROR(0/0,""),TRUE)</f>
        <v/>
      </c>
      <c r="AD522" s="18" t="str">
        <f t="shared" si="1049"/>
        <v/>
      </c>
      <c r="AE522" s="43"/>
      <c r="AF522" s="58" t="s">
        <v>82</v>
      </c>
      <c r="AG522" s="55" t="str">
        <f t="shared" si="11"/>
        <v/>
      </c>
    </row>
    <row r="523">
      <c r="A523" s="7" t="str">
        <f>IFERROR(__xludf.DUMMYFUNCTION("""COMPUTED_VALUE"""),"AG631")</f>
        <v>AG631</v>
      </c>
      <c r="B523" s="308">
        <f>IFERROR(__xludf.DUMMYFUNCTION("""COMPUTED_VALUE"""),44883.0)</f>
        <v>44883</v>
      </c>
      <c r="C523" s="309">
        <f>IFERROR(__xludf.DUMMYFUNCTION("""COMPUTED_VALUE"""),0.32623842592592595)</f>
        <v>0.3262384259</v>
      </c>
      <c r="D523" s="7" t="str">
        <f>IFERROR(__xludf.DUMMYFUNCTION("""COMPUTED_VALUE"""),"SpABRM655136")</f>
        <v>SpABRM655136</v>
      </c>
      <c r="E523" s="310"/>
      <c r="F523" s="310"/>
      <c r="G523" s="310" t="str">
        <f>IFERROR(__xludf.DUMMYFUNCTION("""COMPUTED_VALUE"""),"Negative")</f>
        <v>Negative</v>
      </c>
      <c r="H523" s="319" t="str">
        <f>IFERROR(__xludf.DUMMYFUNCTION("""COMPUTED_VALUE"""),"Negative")</f>
        <v>Negative</v>
      </c>
      <c r="I523" s="308">
        <f>IFERROR(__xludf.DUMMYFUNCTION("""COMPUTED_VALUE"""),44883.0)</f>
        <v>44883</v>
      </c>
      <c r="J523" s="311">
        <f>IFERROR(__xludf.DUMMYFUNCTION("""COMPUTED_VALUE"""),0.36944444444444446)</f>
        <v>0.3694444444</v>
      </c>
      <c r="K523" s="54"/>
      <c r="L523" s="7"/>
      <c r="M523" s="312"/>
      <c r="N523" s="172">
        <f>IFERROR(__xludf.DUMMYFUNCTION("""COMPUTED_VALUE"""),4.0)</f>
        <v>4</v>
      </c>
      <c r="O523" s="172" t="str">
        <f t="shared" si="3"/>
        <v/>
      </c>
      <c r="P523" s="313">
        <f>IFERROR(__xludf.DUMMYFUNCTION("""COMPUTED_VALUE"""),0.0)</f>
        <v>0</v>
      </c>
      <c r="Q523" s="76" t="b">
        <f>VLOOKUP($B523,'Run Reconcile'!B$2:O1399,14,FALSE)</f>
        <v>1</v>
      </c>
      <c r="R523" s="314" t="str">
        <f t="array" ref="R523">IF($Q523, INDEX('Run Reconcile'!A$2:A1399,MATCH(B523,'Run Reconcile'!B$2:B1399,0),1),IFERROR(0/0,""))</f>
        <v>RUN-ABRM_2022-11-18_RFR-081</v>
      </c>
      <c r="S523" s="315" t="str">
        <f t="shared" ref="S523:T523" si="1050">IF(COUNTIF(W$2:W1399, $A523) &gt; 0,TRUE,IFERROR(0/0,""))</f>
        <v/>
      </c>
      <c r="T523" s="315" t="str">
        <f t="shared" si="1050"/>
        <v/>
      </c>
      <c r="U523" s="114" t="str">
        <f t="array" ref="U523">IF(ISBLANK($R523), INDEX('Run Reconcile'!A$2:A1399, MATCH($B523, 'Run Reconcile'!B$2:B1399, 0)+Z523, 1), IFERROR(0/0,""))
</f>
        <v/>
      </c>
      <c r="V523" s="316" t="str">
        <f t="shared" si="5"/>
        <v>RUN-ABRM_2022-11-18_RFR-081</v>
      </c>
      <c r="Y523" s="317" t="str">
        <f t="shared" si="6"/>
        <v/>
      </c>
      <c r="Z523" s="83" t="str">
        <f t="shared" si="7"/>
        <v/>
      </c>
      <c r="AA523" s="83" t="str">
        <f t="shared" si="8"/>
        <v/>
      </c>
      <c r="AB523" s="83" t="str">
        <f t="shared" si="9"/>
        <v/>
      </c>
      <c r="AC523" s="18" t="str">
        <f t="shared" ref="AC523:AD523" si="1051">IF(_xlfn.ISFORMULA(S523),IFERROR(0/0,""),TRUE)</f>
        <v/>
      </c>
      <c r="AD523" s="18" t="str">
        <f t="shared" si="1051"/>
        <v/>
      </c>
      <c r="AE523" s="43"/>
      <c r="AF523" s="58" t="s">
        <v>82</v>
      </c>
      <c r="AG523" s="55" t="str">
        <f t="shared" si="11"/>
        <v/>
      </c>
    </row>
    <row r="524">
      <c r="A524" s="7" t="str">
        <f>IFERROR(__xludf.DUMMYFUNCTION("""COMPUTED_VALUE"""),"AG1864")</f>
        <v>AG1864</v>
      </c>
      <c r="B524" s="308">
        <f>IFERROR(__xludf.DUMMYFUNCTION("""COMPUTED_VALUE"""),44884.0)</f>
        <v>44884</v>
      </c>
      <c r="C524" s="309">
        <f>IFERROR(__xludf.DUMMYFUNCTION("""COMPUTED_VALUE"""),0.7242013888888889)</f>
        <v>0.7242013889</v>
      </c>
      <c r="D524" s="7" t="str">
        <f>IFERROR(__xludf.DUMMYFUNCTION("""COMPUTED_VALUE"""),"SpABRM655136")</f>
        <v>SpABRM655136</v>
      </c>
      <c r="E524" s="310"/>
      <c r="F524" s="310"/>
      <c r="G524" s="310" t="str">
        <f>IFERROR(__xludf.DUMMYFUNCTION("""COMPUTED_VALUE"""),"Negative")</f>
        <v>Negative</v>
      </c>
      <c r="H524" s="319" t="str">
        <f>IFERROR(__xludf.DUMMYFUNCTION("""COMPUTED_VALUE"""),"Negative")</f>
        <v>Negative</v>
      </c>
      <c r="I524" s="308">
        <f>IFERROR(__xludf.DUMMYFUNCTION("""COMPUTED_VALUE"""),44884.0)</f>
        <v>44884</v>
      </c>
      <c r="J524" s="311">
        <f>IFERROR(__xludf.DUMMYFUNCTION("""COMPUTED_VALUE"""),0.7458217592592593)</f>
        <v>0.7458217593</v>
      </c>
      <c r="K524" s="54"/>
      <c r="L524" s="7"/>
      <c r="M524" s="312"/>
      <c r="N524" s="172">
        <f>IFERROR(__xludf.DUMMYFUNCTION("""COMPUTED_VALUE"""),1.0)</f>
        <v>1</v>
      </c>
      <c r="O524" s="172" t="b">
        <f t="shared" si="3"/>
        <v>1</v>
      </c>
      <c r="P524" s="313">
        <f>IFERROR(__xludf.DUMMYFUNCTION("""COMPUTED_VALUE"""),0.0)</f>
        <v>0</v>
      </c>
      <c r="Q524" s="76" t="b">
        <f>VLOOKUP($B524,'Run Reconcile'!B$2:O1399,14,FALSE)</f>
        <v>1</v>
      </c>
      <c r="R524" s="314" t="str">
        <f t="array" ref="R524">IF($Q524, INDEX('Run Reconcile'!A$2:A1399,MATCH(B524,'Run Reconcile'!B$2:B1399,0),1),IFERROR(0/0,""))</f>
        <v>RUN-ABRM_2022-11-19_RFR-082</v>
      </c>
      <c r="S524" s="315" t="str">
        <f t="shared" ref="S524:T524" si="1052">IF(COUNTIF(W$2:W1399, $A524) &gt; 0,TRUE,IFERROR(0/0,""))</f>
        <v/>
      </c>
      <c r="T524" s="315" t="str">
        <f t="shared" si="1052"/>
        <v/>
      </c>
      <c r="U524" s="114" t="str">
        <f t="array" ref="U524">IF(ISBLANK($R524), INDEX('Run Reconcile'!A$2:A1399, MATCH($B524, 'Run Reconcile'!B$2:B1399, 0)+Z524, 1), IFERROR(0/0,""))
</f>
        <v/>
      </c>
      <c r="V524" s="316" t="str">
        <f t="shared" si="5"/>
        <v>RUN-ABRM_2022-11-19_RFR-082</v>
      </c>
      <c r="Y524" s="317" t="str">
        <f t="shared" si="6"/>
        <v/>
      </c>
      <c r="Z524" s="83" t="str">
        <f t="shared" si="7"/>
        <v/>
      </c>
      <c r="AA524" s="83" t="str">
        <f t="shared" si="8"/>
        <v/>
      </c>
      <c r="AB524" s="83" t="str">
        <f t="shared" si="9"/>
        <v/>
      </c>
      <c r="AC524" s="18" t="str">
        <f t="shared" ref="AC524:AD524" si="1053">IF(_xlfn.ISFORMULA(S524),IFERROR(0/0,""),TRUE)</f>
        <v/>
      </c>
      <c r="AD524" s="18" t="str">
        <f t="shared" si="1053"/>
        <v/>
      </c>
      <c r="AE524" s="43"/>
      <c r="AF524" s="58" t="s">
        <v>83</v>
      </c>
      <c r="AG524" s="55" t="str">
        <f t="shared" si="11"/>
        <v/>
      </c>
    </row>
    <row r="525">
      <c r="A525" s="7" t="str">
        <f>IFERROR(__xludf.DUMMYFUNCTION("""COMPUTED_VALUE"""),"AK5340")</f>
        <v>AK5340</v>
      </c>
      <c r="B525" s="308">
        <f>IFERROR(__xludf.DUMMYFUNCTION("""COMPUTED_VALUE"""),44884.0)</f>
        <v>44884</v>
      </c>
      <c r="C525" s="309">
        <f>IFERROR(__xludf.DUMMYFUNCTION("""COMPUTED_VALUE"""),0.7245254629629629)</f>
        <v>0.724525463</v>
      </c>
      <c r="D525" s="7" t="str">
        <f>IFERROR(__xludf.DUMMYFUNCTION("""COMPUTED_VALUE"""),"SpABRM655136")</f>
        <v>SpABRM655136</v>
      </c>
      <c r="E525" s="310"/>
      <c r="F525" s="310"/>
      <c r="G525" s="310" t="str">
        <f>IFERROR(__xludf.DUMMYFUNCTION("""COMPUTED_VALUE"""),"Negative")</f>
        <v>Negative</v>
      </c>
      <c r="H525" s="319" t="str">
        <f>IFERROR(__xludf.DUMMYFUNCTION("""COMPUTED_VALUE"""),"Negative")</f>
        <v>Negative</v>
      </c>
      <c r="I525" s="308">
        <f>IFERROR(__xludf.DUMMYFUNCTION("""COMPUTED_VALUE"""),44884.0)</f>
        <v>44884</v>
      </c>
      <c r="J525" s="311">
        <f>IFERROR(__xludf.DUMMYFUNCTION("""COMPUTED_VALUE"""),0.7747222222222222)</f>
        <v>0.7747222222</v>
      </c>
      <c r="K525" s="54"/>
      <c r="L525" s="7"/>
      <c r="M525" s="312"/>
      <c r="N525" s="172">
        <f>IFERROR(__xludf.DUMMYFUNCTION("""COMPUTED_VALUE"""),1.0)</f>
        <v>1</v>
      </c>
      <c r="O525" s="172" t="str">
        <f t="shared" si="3"/>
        <v/>
      </c>
      <c r="P525" s="313">
        <f>IFERROR(__xludf.DUMMYFUNCTION("""COMPUTED_VALUE"""),0.0)</f>
        <v>0</v>
      </c>
      <c r="Q525" s="76" t="b">
        <f>VLOOKUP($B525,'Run Reconcile'!B$2:O1399,14,FALSE)</f>
        <v>1</v>
      </c>
      <c r="R525" s="314" t="str">
        <f t="array" ref="R525">IF($Q525, INDEX('Run Reconcile'!A$2:A1399,MATCH(B525,'Run Reconcile'!B$2:B1399,0),1),IFERROR(0/0,""))</f>
        <v>RUN-ABRM_2022-11-19_RFR-082</v>
      </c>
      <c r="S525" s="315" t="str">
        <f t="shared" ref="S525:T525" si="1054">IF(COUNTIF(W$2:W1399, $A525) &gt; 0,TRUE,IFERROR(0/0,""))</f>
        <v/>
      </c>
      <c r="T525" s="315" t="str">
        <f t="shared" si="1054"/>
        <v/>
      </c>
      <c r="U525" s="114" t="str">
        <f t="array" ref="U525">IF(ISBLANK($R525), INDEX('Run Reconcile'!A$2:A1399, MATCH($B525, 'Run Reconcile'!B$2:B1399, 0)+Z525, 1), IFERROR(0/0,""))
</f>
        <v/>
      </c>
      <c r="V525" s="316" t="str">
        <f t="shared" si="5"/>
        <v>RUN-ABRM_2022-11-19_RFR-082</v>
      </c>
      <c r="Y525" s="317" t="str">
        <f t="shared" si="6"/>
        <v/>
      </c>
      <c r="Z525" s="83" t="str">
        <f t="shared" si="7"/>
        <v/>
      </c>
      <c r="AA525" s="83" t="str">
        <f t="shared" si="8"/>
        <v/>
      </c>
      <c r="AB525" s="83" t="str">
        <f t="shared" si="9"/>
        <v/>
      </c>
      <c r="AC525" s="18" t="str">
        <f t="shared" ref="AC525:AD525" si="1055">IF(_xlfn.ISFORMULA(S525),IFERROR(0/0,""),TRUE)</f>
        <v/>
      </c>
      <c r="AD525" s="18" t="str">
        <f t="shared" si="1055"/>
        <v/>
      </c>
      <c r="AE525" s="43"/>
      <c r="AF525" s="58" t="s">
        <v>83</v>
      </c>
      <c r="AG525" s="55" t="str">
        <f t="shared" si="11"/>
        <v/>
      </c>
    </row>
    <row r="526">
      <c r="A526" s="7" t="str">
        <f>IFERROR(__xludf.DUMMYFUNCTION("""COMPUTED_VALUE"""),"AK7890")</f>
        <v>AK7890</v>
      </c>
      <c r="B526" s="308">
        <f>IFERROR(__xludf.DUMMYFUNCTION("""COMPUTED_VALUE"""),44885.0)</f>
        <v>44885</v>
      </c>
      <c r="C526" s="309">
        <f>IFERROR(__xludf.DUMMYFUNCTION("""COMPUTED_VALUE"""),0.5810069444444445)</f>
        <v>0.5810069444</v>
      </c>
      <c r="D526" s="7" t="str">
        <f>IFERROR(__xludf.DUMMYFUNCTION("""COMPUTED_VALUE"""),"SpABRM655136")</f>
        <v>SpABRM655136</v>
      </c>
      <c r="E526" s="310"/>
      <c r="F526" s="310"/>
      <c r="G526" s="310" t="str">
        <f>IFERROR(__xludf.DUMMYFUNCTION("""COMPUTED_VALUE"""),"Inconclusive")</f>
        <v>Inconclusive</v>
      </c>
      <c r="H526" s="319" t="str">
        <f>IFERROR(__xludf.DUMMYFUNCTION("""COMPUTED_VALUE"""),"Negative")</f>
        <v>Negative</v>
      </c>
      <c r="I526" s="308">
        <f>IFERROR(__xludf.DUMMYFUNCTION("""COMPUTED_VALUE"""),44886.0)</f>
        <v>44886</v>
      </c>
      <c r="J526" s="311">
        <f>IFERROR(__xludf.DUMMYFUNCTION("""COMPUTED_VALUE"""),0.27100694444444445)</f>
        <v>0.2710069444</v>
      </c>
      <c r="K526" s="54">
        <f>IFERROR(__xludf.DUMMYFUNCTION("""COMPUTED_VALUE"""),2.5)</f>
        <v>2.5</v>
      </c>
      <c r="L526" s="7" t="str">
        <f>IFERROR(__xludf.DUMMYFUNCTION("""COMPUTED_VALUE"""),"RT Jan26 - reruns were neg")</f>
        <v>RT Jan26 - reruns were neg</v>
      </c>
      <c r="M526" s="312"/>
      <c r="N526" s="172">
        <f>IFERROR(__xludf.DUMMYFUNCTION("""COMPUTED_VALUE"""),1.0)</f>
        <v>1</v>
      </c>
      <c r="O526" s="172" t="b">
        <f t="shared" si="3"/>
        <v>1</v>
      </c>
      <c r="P526" s="313">
        <f>IFERROR(__xludf.DUMMYFUNCTION("""COMPUTED_VALUE"""),1.0)</f>
        <v>1</v>
      </c>
      <c r="Q526" s="76" t="b">
        <f>VLOOKUP($B526,'Run Reconcile'!B$2:O1399,14,FALSE)</f>
        <v>1</v>
      </c>
      <c r="R526" s="314" t="str">
        <f t="array" ref="R526">IF($Q526, INDEX('Run Reconcile'!A$2:A1399,MATCH(B526,'Run Reconcile'!B$2:B1399,0),1),IFERROR(0/0,""))</f>
        <v>RUN-ABRM_2022-11-20_RFR-084</v>
      </c>
      <c r="S526" s="315" t="str">
        <f t="shared" ref="S526:T526" si="1056">IF(COUNTIF(W$2:W1399, $A526) &gt; 0,TRUE,IFERROR(0/0,""))</f>
        <v/>
      </c>
      <c r="T526" s="315" t="str">
        <f t="shared" si="1056"/>
        <v/>
      </c>
      <c r="U526" s="114" t="str">
        <f t="array" ref="U526">IF(ISBLANK($R526), INDEX('Run Reconcile'!A$2:A1399, MATCH($B526, 'Run Reconcile'!B$2:B1399, 0)+Z526, 1), IFERROR(0/0,""))
</f>
        <v/>
      </c>
      <c r="V526" s="316" t="str">
        <f t="shared" si="5"/>
        <v>RUN-ABRM_2022-11-20_RFR-084</v>
      </c>
      <c r="Y526" s="317" t="str">
        <f t="shared" si="6"/>
        <v/>
      </c>
      <c r="Z526" s="83" t="str">
        <f t="shared" si="7"/>
        <v/>
      </c>
      <c r="AA526" s="83" t="str">
        <f t="shared" si="8"/>
        <v/>
      </c>
      <c r="AB526" s="83" t="str">
        <f t="shared" si="9"/>
        <v/>
      </c>
      <c r="AC526" s="18" t="str">
        <f t="shared" ref="AC526:AD526" si="1057">IF(_xlfn.ISFORMULA(S526),IFERROR(0/0,""),TRUE)</f>
        <v/>
      </c>
      <c r="AD526" s="18" t="str">
        <f t="shared" si="1057"/>
        <v/>
      </c>
      <c r="AE526" s="43"/>
      <c r="AF526" s="58" t="s">
        <v>84</v>
      </c>
      <c r="AG526" s="55" t="str">
        <f t="shared" si="11"/>
        <v/>
      </c>
    </row>
    <row r="527">
      <c r="A527" s="7" t="str">
        <f>IFERROR(__xludf.DUMMYFUNCTION("""COMPUTED_VALUE"""),"AG556")</f>
        <v>AG556</v>
      </c>
      <c r="B527" s="308">
        <f>IFERROR(__xludf.DUMMYFUNCTION("""COMPUTED_VALUE"""),44885.0)</f>
        <v>44885</v>
      </c>
      <c r="C527" s="309">
        <f>IFERROR(__xludf.DUMMYFUNCTION("""COMPUTED_VALUE"""),0.5812384259259259)</f>
        <v>0.5812384259</v>
      </c>
      <c r="D527" s="7" t="str">
        <f>IFERROR(__xludf.DUMMYFUNCTION("""COMPUTED_VALUE"""),"SpABRM655136")</f>
        <v>SpABRM655136</v>
      </c>
      <c r="E527" s="310"/>
      <c r="F527" s="310"/>
      <c r="G527" s="310" t="str">
        <f>IFERROR(__xludf.DUMMYFUNCTION("""COMPUTED_VALUE"""),"Negative")</f>
        <v>Negative</v>
      </c>
      <c r="H527" s="319" t="str">
        <f>IFERROR(__xludf.DUMMYFUNCTION("""COMPUTED_VALUE"""),"Negative")</f>
        <v>Negative</v>
      </c>
      <c r="I527" s="308">
        <f>IFERROR(__xludf.DUMMYFUNCTION("""COMPUTED_VALUE"""),44886.0)</f>
        <v>44886</v>
      </c>
      <c r="J527" s="311">
        <f>IFERROR(__xludf.DUMMYFUNCTION("""COMPUTED_VALUE"""),0.27100694444444445)</f>
        <v>0.2710069444</v>
      </c>
      <c r="K527" s="54"/>
      <c r="L527" s="7"/>
      <c r="M527" s="312"/>
      <c r="N527" s="172">
        <f>IFERROR(__xludf.DUMMYFUNCTION("""COMPUTED_VALUE"""),1.0)</f>
        <v>1</v>
      </c>
      <c r="O527" s="172" t="str">
        <f t="shared" si="3"/>
        <v/>
      </c>
      <c r="P527" s="313">
        <f>IFERROR(__xludf.DUMMYFUNCTION("""COMPUTED_VALUE"""),1.0)</f>
        <v>1</v>
      </c>
      <c r="Q527" s="76" t="b">
        <f>VLOOKUP($B527,'Run Reconcile'!B$2:O1399,14,FALSE)</f>
        <v>1</v>
      </c>
      <c r="R527" s="314" t="str">
        <f t="array" ref="R527">IF($Q527, INDEX('Run Reconcile'!A$2:A1399,MATCH(B527,'Run Reconcile'!B$2:B1399,0),1),IFERROR(0/0,""))</f>
        <v>RUN-ABRM_2022-11-20_RFR-084</v>
      </c>
      <c r="S527" s="315" t="str">
        <f t="shared" ref="S527:T527" si="1058">IF(COUNTIF(W$2:W1399, $A527) &gt; 0,TRUE,IFERROR(0/0,""))</f>
        <v/>
      </c>
      <c r="T527" s="315" t="str">
        <f t="shared" si="1058"/>
        <v/>
      </c>
      <c r="U527" s="114" t="str">
        <f t="array" ref="U527">IF(ISBLANK($R527), INDEX('Run Reconcile'!A$2:A1399, MATCH($B527, 'Run Reconcile'!B$2:B1399, 0)+Z527, 1), IFERROR(0/0,""))
</f>
        <v/>
      </c>
      <c r="V527" s="316" t="str">
        <f t="shared" si="5"/>
        <v>RUN-ABRM_2022-11-20_RFR-084</v>
      </c>
      <c r="Y527" s="317" t="str">
        <f t="shared" si="6"/>
        <v/>
      </c>
      <c r="Z527" s="83" t="str">
        <f t="shared" si="7"/>
        <v/>
      </c>
      <c r="AA527" s="83" t="str">
        <f t="shared" si="8"/>
        <v/>
      </c>
      <c r="AB527" s="83" t="str">
        <f t="shared" si="9"/>
        <v/>
      </c>
      <c r="AC527" s="18" t="str">
        <f t="shared" ref="AC527:AD527" si="1059">IF(_xlfn.ISFORMULA(S527),IFERROR(0/0,""),TRUE)</f>
        <v/>
      </c>
      <c r="AD527" s="18" t="str">
        <f t="shared" si="1059"/>
        <v/>
      </c>
      <c r="AE527" s="43"/>
      <c r="AF527" s="58" t="s">
        <v>84</v>
      </c>
      <c r="AG527" s="55" t="str">
        <f t="shared" si="11"/>
        <v/>
      </c>
    </row>
    <row r="528">
      <c r="A528" s="7" t="str">
        <f>IFERROR(__xludf.DUMMYFUNCTION("""COMPUTED_VALUE"""),"AG2203")</f>
        <v>AG2203</v>
      </c>
      <c r="B528" s="308">
        <f>IFERROR(__xludf.DUMMYFUNCTION("""COMPUTED_VALUE"""),44886.0)</f>
        <v>44886</v>
      </c>
      <c r="C528" s="309">
        <f>IFERROR(__xludf.DUMMYFUNCTION("""COMPUTED_VALUE"""),0.23635416666666667)</f>
        <v>0.2363541667</v>
      </c>
      <c r="D528" s="7" t="str">
        <f>IFERROR(__xludf.DUMMYFUNCTION("""COMPUTED_VALUE"""),"SpABRM655136")</f>
        <v>SpABRM655136</v>
      </c>
      <c r="E528" s="310"/>
      <c r="F528" s="310"/>
      <c r="G528" s="310" t="str">
        <f>IFERROR(__xludf.DUMMYFUNCTION("""COMPUTED_VALUE"""),"Negative")</f>
        <v>Negative</v>
      </c>
      <c r="H528" s="319" t="str">
        <f>IFERROR(__xludf.DUMMYFUNCTION("""COMPUTED_VALUE"""),"Negative")</f>
        <v>Negative</v>
      </c>
      <c r="I528" s="308">
        <f>IFERROR(__xludf.DUMMYFUNCTION("""COMPUTED_VALUE"""),44886.0)</f>
        <v>44886</v>
      </c>
      <c r="J528" s="311">
        <f>IFERROR(__xludf.DUMMYFUNCTION("""COMPUTED_VALUE"""),0.2711574074074074)</f>
        <v>0.2711574074</v>
      </c>
      <c r="K528" s="54"/>
      <c r="L528" s="7"/>
      <c r="M528" s="312"/>
      <c r="N528" s="172">
        <f>IFERROR(__xludf.DUMMYFUNCTION("""COMPUTED_VALUE"""),1.0)</f>
        <v>1</v>
      </c>
      <c r="O528" s="172" t="b">
        <f t="shared" si="3"/>
        <v>1</v>
      </c>
      <c r="P528" s="313">
        <f>IFERROR(__xludf.DUMMYFUNCTION("""COMPUTED_VALUE"""),0.0)</f>
        <v>0</v>
      </c>
      <c r="Q528" s="76" t="str">
        <f>VLOOKUP($B528,'Run Reconcile'!B$2:O1399,14,FALSE)</f>
        <v/>
      </c>
      <c r="R528" s="314" t="str">
        <f t="array" ref="R528">IF($Q528, INDEX('Run Reconcile'!A$2:A1399,MATCH(B528,'Run Reconcile'!B$2:B1399,0),1),IFERROR(0/0,""))</f>
        <v/>
      </c>
      <c r="S528" s="315" t="str">
        <f t="shared" ref="S528:T528" si="1060">IF(COUNTIF(W$2:W1399, $A528) &gt; 0,TRUE,IFERROR(0/0,""))</f>
        <v/>
      </c>
      <c r="T528" s="315" t="str">
        <f t="shared" si="1060"/>
        <v/>
      </c>
      <c r="U528" s="114" t="str">
        <f t="array" ref="U528">IF(ISBLANK($R528), INDEX('Run Reconcile'!A$2:A1399, MATCH($B528, 'Run Reconcile'!B$2:B1399, 0)+Z528, 1), IFERROR(0/0,""))
</f>
        <v>RUN-ABRM_2022-11-21_RFR-087</v>
      </c>
      <c r="V528" s="316" t="str">
        <f t="shared" si="5"/>
        <v>RUN-ABRM_2022-11-21_RFR-087</v>
      </c>
      <c r="Y528" s="317" t="str">
        <f t="shared" si="6"/>
        <v/>
      </c>
      <c r="Z528" s="83" t="str">
        <f t="shared" si="7"/>
        <v/>
      </c>
      <c r="AA528" s="83" t="str">
        <f t="shared" si="8"/>
        <v/>
      </c>
      <c r="AB528" s="83" t="str">
        <f t="shared" si="9"/>
        <v/>
      </c>
      <c r="AC528" s="18" t="str">
        <f t="shared" ref="AC528:AD528" si="1061">IF(_xlfn.ISFORMULA(S528),IFERROR(0/0,""),TRUE)</f>
        <v/>
      </c>
      <c r="AD528" s="18" t="str">
        <f t="shared" si="1061"/>
        <v/>
      </c>
      <c r="AE528" s="43"/>
      <c r="AF528" s="58" t="s">
        <v>85</v>
      </c>
      <c r="AG528" s="55" t="str">
        <f t="shared" si="11"/>
        <v/>
      </c>
    </row>
    <row r="529">
      <c r="A529" s="7" t="str">
        <f>IFERROR(__xludf.DUMMYFUNCTION("""COMPUTED_VALUE"""),"AJ5477")</f>
        <v>AJ5477</v>
      </c>
      <c r="B529" s="308">
        <f>IFERROR(__xludf.DUMMYFUNCTION("""COMPUTED_VALUE"""),44886.0)</f>
        <v>44886</v>
      </c>
      <c r="C529" s="309">
        <f>IFERROR(__xludf.DUMMYFUNCTION("""COMPUTED_VALUE"""),0.23663194444444444)</f>
        <v>0.2366319444</v>
      </c>
      <c r="D529" s="7" t="str">
        <f>IFERROR(__xludf.DUMMYFUNCTION("""COMPUTED_VALUE"""),"SpABRM655136")</f>
        <v>SpABRM655136</v>
      </c>
      <c r="E529" s="310"/>
      <c r="F529" s="310"/>
      <c r="G529" s="310" t="str">
        <f>IFERROR(__xludf.DUMMYFUNCTION("""COMPUTED_VALUE"""),"Negative")</f>
        <v>Negative</v>
      </c>
      <c r="H529" s="319" t="str">
        <f>IFERROR(__xludf.DUMMYFUNCTION("""COMPUTED_VALUE"""),"Negative")</f>
        <v>Negative</v>
      </c>
      <c r="I529" s="308">
        <f>IFERROR(__xludf.DUMMYFUNCTION("""COMPUTED_VALUE"""),44886.0)</f>
        <v>44886</v>
      </c>
      <c r="J529" s="311">
        <f>IFERROR(__xludf.DUMMYFUNCTION("""COMPUTED_VALUE"""),0.2711689814814815)</f>
        <v>0.2711689815</v>
      </c>
      <c r="K529" s="54"/>
      <c r="L529" s="7"/>
      <c r="M529" s="312"/>
      <c r="N529" s="172">
        <f>IFERROR(__xludf.DUMMYFUNCTION("""COMPUTED_VALUE"""),1.0)</f>
        <v>1</v>
      </c>
      <c r="O529" s="172" t="str">
        <f t="shared" si="3"/>
        <v/>
      </c>
      <c r="P529" s="313">
        <f>IFERROR(__xludf.DUMMYFUNCTION("""COMPUTED_VALUE"""),0.0)</f>
        <v>0</v>
      </c>
      <c r="Q529" s="76" t="str">
        <f>VLOOKUP($B529,'Run Reconcile'!B$2:O1399,14,FALSE)</f>
        <v/>
      </c>
      <c r="R529" s="314" t="str">
        <f t="array" ref="R529">IF($Q529, INDEX('Run Reconcile'!A$2:A1399,MATCH(B529,'Run Reconcile'!B$2:B1399,0),1),IFERROR(0/0,""))</f>
        <v/>
      </c>
      <c r="S529" s="315" t="str">
        <f t="shared" ref="S529:T529" si="1062">IF(COUNTIF(W$2:W1399, $A529) &gt; 0,TRUE,IFERROR(0/0,""))</f>
        <v/>
      </c>
      <c r="T529" s="315" t="str">
        <f t="shared" si="1062"/>
        <v/>
      </c>
      <c r="U529" s="114" t="str">
        <f t="array" ref="U529">IF(ISBLANK($R529), INDEX('Run Reconcile'!A$2:A1399, MATCH($B529, 'Run Reconcile'!B$2:B1399, 0)+Z529, 1), IFERROR(0/0,""))
</f>
        <v>RUN-ABRM_2022-11-21_RFR-087</v>
      </c>
      <c r="V529" s="316" t="str">
        <f t="shared" si="5"/>
        <v>RUN-ABRM_2022-11-21_RFR-087</v>
      </c>
      <c r="Y529" s="317" t="str">
        <f t="shared" si="6"/>
        <v/>
      </c>
      <c r="Z529" s="83" t="str">
        <f t="shared" si="7"/>
        <v/>
      </c>
      <c r="AA529" s="83" t="str">
        <f t="shared" si="8"/>
        <v/>
      </c>
      <c r="AB529" s="83" t="str">
        <f t="shared" si="9"/>
        <v/>
      </c>
      <c r="AC529" s="18" t="str">
        <f t="shared" ref="AC529:AD529" si="1063">IF(_xlfn.ISFORMULA(S529),IFERROR(0/0,""),TRUE)</f>
        <v/>
      </c>
      <c r="AD529" s="18" t="str">
        <f t="shared" si="1063"/>
        <v/>
      </c>
      <c r="AE529" s="43"/>
      <c r="AF529" s="58" t="s">
        <v>85</v>
      </c>
      <c r="AG529" s="55" t="str">
        <f t="shared" si="11"/>
        <v/>
      </c>
    </row>
    <row r="530">
      <c r="A530" s="7" t="str">
        <f>IFERROR(__xludf.DUMMYFUNCTION("""COMPUTED_VALUE"""),"AH7374")</f>
        <v>AH7374</v>
      </c>
      <c r="B530" s="308">
        <f>IFERROR(__xludf.DUMMYFUNCTION("""COMPUTED_VALUE"""),44886.0)</f>
        <v>44886</v>
      </c>
      <c r="C530" s="309">
        <f>IFERROR(__xludf.DUMMYFUNCTION("""COMPUTED_VALUE"""),0.23689814814814814)</f>
        <v>0.2368981481</v>
      </c>
      <c r="D530" s="7" t="str">
        <f>IFERROR(__xludf.DUMMYFUNCTION("""COMPUTED_VALUE"""),"SpABRM655136")</f>
        <v>SpABRM655136</v>
      </c>
      <c r="E530" s="310"/>
      <c r="F530" s="310"/>
      <c r="G530" s="310" t="str">
        <f>IFERROR(__xludf.DUMMYFUNCTION("""COMPUTED_VALUE"""),"Negative")</f>
        <v>Negative</v>
      </c>
      <c r="H530" s="319" t="str">
        <f>IFERROR(__xludf.DUMMYFUNCTION("""COMPUTED_VALUE"""),"Negative")</f>
        <v>Negative</v>
      </c>
      <c r="I530" s="308">
        <f>IFERROR(__xludf.DUMMYFUNCTION("""COMPUTED_VALUE"""),44886.0)</f>
        <v>44886</v>
      </c>
      <c r="J530" s="311">
        <f>IFERROR(__xludf.DUMMYFUNCTION("""COMPUTED_VALUE"""),0.2711689814814815)</f>
        <v>0.2711689815</v>
      </c>
      <c r="K530" s="54"/>
      <c r="L530" s="7"/>
      <c r="M530" s="312"/>
      <c r="N530" s="172">
        <f>IFERROR(__xludf.DUMMYFUNCTION("""COMPUTED_VALUE"""),1.0)</f>
        <v>1</v>
      </c>
      <c r="O530" s="172" t="str">
        <f t="shared" si="3"/>
        <v/>
      </c>
      <c r="P530" s="313">
        <f>IFERROR(__xludf.DUMMYFUNCTION("""COMPUTED_VALUE"""),0.0)</f>
        <v>0</v>
      </c>
      <c r="Q530" s="76" t="str">
        <f>VLOOKUP($B530,'Run Reconcile'!B$2:O1399,14,FALSE)</f>
        <v/>
      </c>
      <c r="R530" s="314" t="str">
        <f t="array" ref="R530">IF($Q530, INDEX('Run Reconcile'!A$2:A1399,MATCH(B530,'Run Reconcile'!B$2:B1399,0),1),IFERROR(0/0,""))</f>
        <v/>
      </c>
      <c r="S530" s="315" t="str">
        <f t="shared" ref="S530:T530" si="1064">IF(COUNTIF(W$2:W1399, $A530) &gt; 0,TRUE,IFERROR(0/0,""))</f>
        <v/>
      </c>
      <c r="T530" s="315" t="str">
        <f t="shared" si="1064"/>
        <v/>
      </c>
      <c r="U530" s="114" t="str">
        <f t="array" ref="U530">IF(ISBLANK($R530), INDEX('Run Reconcile'!A$2:A1399, MATCH($B530, 'Run Reconcile'!B$2:B1399, 0)+Z530, 1), IFERROR(0/0,""))
</f>
        <v>RUN-ABRM_2022-11-21_RFR-087</v>
      </c>
      <c r="V530" s="316" t="str">
        <f t="shared" si="5"/>
        <v>RUN-ABRM_2022-11-21_RFR-087</v>
      </c>
      <c r="Y530" s="317" t="str">
        <f t="shared" si="6"/>
        <v/>
      </c>
      <c r="Z530" s="83" t="str">
        <f t="shared" si="7"/>
        <v/>
      </c>
      <c r="AA530" s="83" t="str">
        <f t="shared" si="8"/>
        <v/>
      </c>
      <c r="AB530" s="83" t="str">
        <f t="shared" si="9"/>
        <v/>
      </c>
      <c r="AC530" s="18" t="str">
        <f t="shared" ref="AC530:AD530" si="1065">IF(_xlfn.ISFORMULA(S530),IFERROR(0/0,""),TRUE)</f>
        <v/>
      </c>
      <c r="AD530" s="18" t="str">
        <f t="shared" si="1065"/>
        <v/>
      </c>
      <c r="AE530" s="43"/>
      <c r="AF530" s="58" t="s">
        <v>85</v>
      </c>
      <c r="AG530" s="55" t="str">
        <f t="shared" si="11"/>
        <v/>
      </c>
    </row>
    <row r="531">
      <c r="A531" s="7" t="str">
        <f>IFERROR(__xludf.DUMMYFUNCTION("""COMPUTED_VALUE"""),"AG255")</f>
        <v>AG255</v>
      </c>
      <c r="B531" s="308">
        <f>IFERROR(__xludf.DUMMYFUNCTION("""COMPUTED_VALUE"""),44886.0)</f>
        <v>44886</v>
      </c>
      <c r="C531" s="309">
        <f>IFERROR(__xludf.DUMMYFUNCTION("""COMPUTED_VALUE"""),0.29637731481481483)</f>
        <v>0.2963773148</v>
      </c>
      <c r="D531" s="7" t="str">
        <f>IFERROR(__xludf.DUMMYFUNCTION("""COMPUTED_VALUE"""),"SpABRM297307")</f>
        <v>SpABRM297307</v>
      </c>
      <c r="E531" s="310"/>
      <c r="F531" s="310"/>
      <c r="G531" s="310" t="str">
        <f>IFERROR(__xludf.DUMMYFUNCTION("""COMPUTED_VALUE"""),"Negative")</f>
        <v>Negative</v>
      </c>
      <c r="H531" s="319" t="str">
        <f>IFERROR(__xludf.DUMMYFUNCTION("""COMPUTED_VALUE"""),"Negative")</f>
        <v>Negative</v>
      </c>
      <c r="I531" s="308">
        <f>IFERROR(__xludf.DUMMYFUNCTION("""COMPUTED_VALUE"""),44886.0)</f>
        <v>44886</v>
      </c>
      <c r="J531" s="311">
        <f>IFERROR(__xludf.DUMMYFUNCTION("""COMPUTED_VALUE"""),0.43581018518518516)</f>
        <v>0.4358101852</v>
      </c>
      <c r="K531" s="54"/>
      <c r="L531" s="7"/>
      <c r="M531" s="312"/>
      <c r="N531" s="172">
        <f>IFERROR(__xludf.DUMMYFUNCTION("""COMPUTED_VALUE"""),3.0)</f>
        <v>3</v>
      </c>
      <c r="O531" s="172" t="str">
        <f t="shared" si="3"/>
        <v/>
      </c>
      <c r="P531" s="313">
        <f>IFERROR(__xludf.DUMMYFUNCTION("""COMPUTED_VALUE"""),0.0)</f>
        <v>0</v>
      </c>
      <c r="Q531" s="76" t="str">
        <f>VLOOKUP($B531,'Run Reconcile'!B$2:O1399,14,FALSE)</f>
        <v/>
      </c>
      <c r="R531" s="314" t="str">
        <f t="array" ref="R531">IF($Q531, INDEX('Run Reconcile'!A$2:A1399,MATCH(B531,'Run Reconcile'!B$2:B1399,0),1),IFERROR(0/0,""))</f>
        <v/>
      </c>
      <c r="S531" s="315" t="str">
        <f t="shared" ref="S531:T531" si="1066">IF(COUNTIF(W$2:W1399, $A531) &gt; 0,TRUE,IFERROR(0/0,""))</f>
        <v/>
      </c>
      <c r="T531" s="315" t="b">
        <f t="shared" si="1066"/>
        <v>1</v>
      </c>
      <c r="U531" s="114" t="str">
        <f t="array" ref="U531">IF(ISBLANK($R531), INDEX('Run Reconcile'!A$2:A1399, MATCH($B531, 'Run Reconcile'!B$2:B1399, 0)+Z531, 1), IFERROR(0/0,""))
</f>
        <v>RUN-ABRM_2022-11-21_RFR-088</v>
      </c>
      <c r="V531" s="316" t="str">
        <f t="shared" si="5"/>
        <v>RUN-ABRM_2022-11-21_RFR-088</v>
      </c>
      <c r="X531" s="7" t="s">
        <v>1360</v>
      </c>
      <c r="Y531" s="317">
        <f t="shared" si="6"/>
        <v>1</v>
      </c>
      <c r="Z531" s="83">
        <f t="shared" si="7"/>
        <v>1</v>
      </c>
      <c r="AA531" s="83" t="str">
        <f t="shared" si="8"/>
        <v/>
      </c>
      <c r="AB531" s="83">
        <f t="shared" si="9"/>
        <v>1</v>
      </c>
      <c r="AC531" s="18" t="str">
        <f t="shared" ref="AC531:AD531" si="1067">IF(_xlfn.ISFORMULA(S531),IFERROR(0/0,""),TRUE)</f>
        <v/>
      </c>
      <c r="AD531" s="18" t="str">
        <f t="shared" si="1067"/>
        <v/>
      </c>
      <c r="AE531" s="43"/>
      <c r="AF531" s="58" t="s">
        <v>86</v>
      </c>
      <c r="AG531" s="55" t="str">
        <f t="shared" si="11"/>
        <v/>
      </c>
    </row>
    <row r="532">
      <c r="A532" s="7" t="str">
        <f>IFERROR(__xludf.DUMMYFUNCTION("""COMPUTED_VALUE"""),"AJ4785")</f>
        <v>AJ4785</v>
      </c>
      <c r="B532" s="308">
        <f>IFERROR(__xludf.DUMMYFUNCTION("""COMPUTED_VALUE"""),44886.0)</f>
        <v>44886</v>
      </c>
      <c r="C532" s="309">
        <f>IFERROR(__xludf.DUMMYFUNCTION("""COMPUTED_VALUE"""),0.32251157407407405)</f>
        <v>0.3225115741</v>
      </c>
      <c r="D532" s="7" t="str">
        <f>IFERROR(__xludf.DUMMYFUNCTION("""COMPUTED_VALUE"""),"SpABRM655136")</f>
        <v>SpABRM655136</v>
      </c>
      <c r="E532" s="310"/>
      <c r="F532" s="310"/>
      <c r="G532" s="310" t="str">
        <f>IFERROR(__xludf.DUMMYFUNCTION("""COMPUTED_VALUE"""),"Negative")</f>
        <v>Negative</v>
      </c>
      <c r="H532" s="319" t="str">
        <f>IFERROR(__xludf.DUMMYFUNCTION("""COMPUTED_VALUE"""),"Negative")</f>
        <v>Negative</v>
      </c>
      <c r="I532" s="308">
        <f>IFERROR(__xludf.DUMMYFUNCTION("""COMPUTED_VALUE"""),44886.0)</f>
        <v>44886</v>
      </c>
      <c r="J532" s="311">
        <f>IFERROR(__xludf.DUMMYFUNCTION("""COMPUTED_VALUE"""),0.43581018518518516)</f>
        <v>0.4358101852</v>
      </c>
      <c r="K532" s="54"/>
      <c r="L532" s="7"/>
      <c r="M532" s="312"/>
      <c r="N532" s="172">
        <f>IFERROR(__xludf.DUMMYFUNCTION("""COMPUTED_VALUE"""),2.0)</f>
        <v>2</v>
      </c>
      <c r="O532" s="172" t="str">
        <f t="shared" si="3"/>
        <v/>
      </c>
      <c r="P532" s="313">
        <f>IFERROR(__xludf.DUMMYFUNCTION("""COMPUTED_VALUE"""),0.0)</f>
        <v>0</v>
      </c>
      <c r="Q532" s="76" t="str">
        <f>VLOOKUP($B532,'Run Reconcile'!B$2:O1399,14,FALSE)</f>
        <v/>
      </c>
      <c r="R532" s="314" t="str">
        <f t="array" ref="R532">IF($Q532, INDEX('Run Reconcile'!A$2:A1399,MATCH(B532,'Run Reconcile'!B$2:B1399,0),1),IFERROR(0/0,""))</f>
        <v/>
      </c>
      <c r="S532" s="315" t="str">
        <f t="shared" ref="S532:T532" si="1068">IF(COUNTIF(W$2:W1399, $A532) &gt; 0,TRUE,IFERROR(0/0,""))</f>
        <v/>
      </c>
      <c r="T532" s="315" t="b">
        <f t="shared" si="1068"/>
        <v>1</v>
      </c>
      <c r="U532" s="114" t="str">
        <f t="array" ref="U532">IF(ISBLANK($R532), INDEX('Run Reconcile'!A$2:A1399, MATCH($B532, 'Run Reconcile'!B$2:B1399, 0)+Z532, 1), IFERROR(0/0,""))
</f>
        <v>RUN-ABRM_2022-11-21_RFR-088</v>
      </c>
      <c r="V532" s="316" t="str">
        <f t="shared" si="5"/>
        <v>RUN-ABRM_2022-11-21_RFR-088</v>
      </c>
      <c r="X532" s="7" t="s">
        <v>1361</v>
      </c>
      <c r="Y532" s="317">
        <f t="shared" si="6"/>
        <v>1</v>
      </c>
      <c r="Z532" s="83">
        <f t="shared" si="7"/>
        <v>1</v>
      </c>
      <c r="AA532" s="83" t="str">
        <f t="shared" si="8"/>
        <v/>
      </c>
      <c r="AB532" s="83">
        <f t="shared" si="9"/>
        <v>1</v>
      </c>
      <c r="AC532" s="18" t="str">
        <f t="shared" ref="AC532:AD532" si="1069">IF(_xlfn.ISFORMULA(S532),IFERROR(0/0,""),TRUE)</f>
        <v/>
      </c>
      <c r="AD532" s="18" t="str">
        <f t="shared" si="1069"/>
        <v/>
      </c>
      <c r="AE532" s="43"/>
      <c r="AF532" s="58" t="s">
        <v>86</v>
      </c>
      <c r="AG532" s="55" t="str">
        <f t="shared" si="11"/>
        <v/>
      </c>
    </row>
    <row r="533">
      <c r="A533" s="7" t="str">
        <f>IFERROR(__xludf.DUMMYFUNCTION("""COMPUTED_VALUE"""),"AH8784")</f>
        <v>AH8784</v>
      </c>
      <c r="B533" s="308">
        <f>IFERROR(__xludf.DUMMYFUNCTION("""COMPUTED_VALUE"""),44886.0)</f>
        <v>44886</v>
      </c>
      <c r="C533" s="309">
        <f>IFERROR(__xludf.DUMMYFUNCTION("""COMPUTED_VALUE"""),0.35814814814814816)</f>
        <v>0.3581481481</v>
      </c>
      <c r="D533" s="7" t="str">
        <f>IFERROR(__xludf.DUMMYFUNCTION("""COMPUTED_VALUE"""),"SpABRM655136")</f>
        <v>SpABRM655136</v>
      </c>
      <c r="E533" s="310"/>
      <c r="F533" s="310"/>
      <c r="G533" s="310" t="str">
        <f>IFERROR(__xludf.DUMMYFUNCTION("""COMPUTED_VALUE"""),"Negative")</f>
        <v>Negative</v>
      </c>
      <c r="H533" s="319" t="str">
        <f>IFERROR(__xludf.DUMMYFUNCTION("""COMPUTED_VALUE"""),"Negative")</f>
        <v>Negative</v>
      </c>
      <c r="I533" s="308">
        <f>IFERROR(__xludf.DUMMYFUNCTION("""COMPUTED_VALUE"""),44886.0)</f>
        <v>44886</v>
      </c>
      <c r="J533" s="311">
        <f>IFERROR(__xludf.DUMMYFUNCTION("""COMPUTED_VALUE"""),0.43582175925925926)</f>
        <v>0.4358217593</v>
      </c>
      <c r="K533" s="54"/>
      <c r="L533" s="7"/>
      <c r="M533" s="312"/>
      <c r="N533" s="172">
        <f>IFERROR(__xludf.DUMMYFUNCTION("""COMPUTED_VALUE"""),4.0)</f>
        <v>4</v>
      </c>
      <c r="O533" s="172" t="str">
        <f t="shared" si="3"/>
        <v/>
      </c>
      <c r="P533" s="313">
        <f>IFERROR(__xludf.DUMMYFUNCTION("""COMPUTED_VALUE"""),0.0)</f>
        <v>0</v>
      </c>
      <c r="Q533" s="76" t="str">
        <f>VLOOKUP($B533,'Run Reconcile'!B$2:O1399,14,FALSE)</f>
        <v/>
      </c>
      <c r="R533" s="314" t="str">
        <f t="array" ref="R533">IF($Q533, INDEX('Run Reconcile'!A$2:A1399,MATCH(B533,'Run Reconcile'!B$2:B1399,0),1),IFERROR(0/0,""))</f>
        <v/>
      </c>
      <c r="S533" s="315" t="str">
        <f t="shared" ref="S533:T533" si="1070">IF(COUNTIF(W$2:W1399, $A533) &gt; 0,TRUE,IFERROR(0/0,""))</f>
        <v/>
      </c>
      <c r="T533" s="315" t="b">
        <f t="shared" si="1070"/>
        <v>1</v>
      </c>
      <c r="U533" s="114" t="str">
        <f t="array" ref="U533">IF(ISBLANK($R533), INDEX('Run Reconcile'!A$2:A1399, MATCH($B533, 'Run Reconcile'!B$2:B1399, 0)+Z533, 1), IFERROR(0/0,""))
</f>
        <v>RUN-ABRM_2022-11-21_RFR-088</v>
      </c>
      <c r="V533" s="316" t="str">
        <f t="shared" si="5"/>
        <v>RUN-ABRM_2022-11-21_RFR-088</v>
      </c>
      <c r="X533" s="7" t="s">
        <v>1362</v>
      </c>
      <c r="Y533" s="317">
        <f t="shared" si="6"/>
        <v>1</v>
      </c>
      <c r="Z533" s="83">
        <f t="shared" si="7"/>
        <v>1</v>
      </c>
      <c r="AA533" s="83" t="str">
        <f t="shared" si="8"/>
        <v/>
      </c>
      <c r="AB533" s="83">
        <f t="shared" si="9"/>
        <v>1</v>
      </c>
      <c r="AC533" s="18" t="str">
        <f t="shared" ref="AC533:AD533" si="1071">IF(_xlfn.ISFORMULA(S533),IFERROR(0/0,""),TRUE)</f>
        <v/>
      </c>
      <c r="AD533" s="18" t="str">
        <f t="shared" si="1071"/>
        <v/>
      </c>
      <c r="AE533" s="43"/>
      <c r="AF533" s="58" t="s">
        <v>86</v>
      </c>
      <c r="AG533" s="55" t="str">
        <f t="shared" si="11"/>
        <v/>
      </c>
    </row>
    <row r="534">
      <c r="A534" s="7" t="str">
        <f>IFERROR(__xludf.DUMMYFUNCTION("""COMPUTED_VALUE"""),"AH621")</f>
        <v>AH621</v>
      </c>
      <c r="B534" s="308">
        <f>IFERROR(__xludf.DUMMYFUNCTION("""COMPUTED_VALUE"""),44886.0)</f>
        <v>44886</v>
      </c>
      <c r="C534" s="309">
        <f>IFERROR(__xludf.DUMMYFUNCTION("""COMPUTED_VALUE"""),0.36061342592592593)</f>
        <v>0.3606134259</v>
      </c>
      <c r="D534" s="7" t="str">
        <f>IFERROR(__xludf.DUMMYFUNCTION("""COMPUTED_VALUE"""),"SpABRM655136")</f>
        <v>SpABRM655136</v>
      </c>
      <c r="E534" s="310"/>
      <c r="F534" s="310"/>
      <c r="G534" s="310" t="str">
        <f>IFERROR(__xludf.DUMMYFUNCTION("""COMPUTED_VALUE"""),"Negative")</f>
        <v>Negative</v>
      </c>
      <c r="H534" s="319" t="str">
        <f>IFERROR(__xludf.DUMMYFUNCTION("""COMPUTED_VALUE"""),"Negative")</f>
        <v>Negative</v>
      </c>
      <c r="I534" s="308">
        <f>IFERROR(__xludf.DUMMYFUNCTION("""COMPUTED_VALUE"""),44886.0)</f>
        <v>44886</v>
      </c>
      <c r="J534" s="311">
        <f>IFERROR(__xludf.DUMMYFUNCTION("""COMPUTED_VALUE"""),0.43582175925925926)</f>
        <v>0.4358217593</v>
      </c>
      <c r="K534" s="54"/>
      <c r="L534" s="7"/>
      <c r="M534" s="312"/>
      <c r="N534" s="172">
        <f>IFERROR(__xludf.DUMMYFUNCTION("""COMPUTED_VALUE"""),1.0)</f>
        <v>1</v>
      </c>
      <c r="O534" s="172" t="str">
        <f t="shared" si="3"/>
        <v/>
      </c>
      <c r="P534" s="313">
        <f>IFERROR(__xludf.DUMMYFUNCTION("""COMPUTED_VALUE"""),0.0)</f>
        <v>0</v>
      </c>
      <c r="Q534" s="76" t="str">
        <f>VLOOKUP($B534,'Run Reconcile'!B$2:O1399,14,FALSE)</f>
        <v/>
      </c>
      <c r="R534" s="314" t="str">
        <f t="array" ref="R534">IF($Q534, INDEX('Run Reconcile'!A$2:A1399,MATCH(B534,'Run Reconcile'!B$2:B1399,0),1),IFERROR(0/0,""))</f>
        <v/>
      </c>
      <c r="S534" s="315" t="str">
        <f t="shared" ref="S534:T534" si="1072">IF(COUNTIF(W$2:W1399, $A534) &gt; 0,TRUE,IFERROR(0/0,""))</f>
        <v/>
      </c>
      <c r="T534" s="315" t="b">
        <f t="shared" si="1072"/>
        <v>1</v>
      </c>
      <c r="U534" s="114" t="str">
        <f t="array" ref="U534">IF(ISBLANK($R534), INDEX('Run Reconcile'!A$2:A1399, MATCH($B534, 'Run Reconcile'!B$2:B1399, 0)+Z534, 1), IFERROR(0/0,""))
</f>
        <v>RUN-ABRM_2022-11-21_RFR-088</v>
      </c>
      <c r="V534" s="316" t="str">
        <f t="shared" si="5"/>
        <v>RUN-ABRM_2022-11-21_RFR-088</v>
      </c>
      <c r="X534" s="7" t="s">
        <v>1363</v>
      </c>
      <c r="Y534" s="317">
        <f t="shared" si="6"/>
        <v>1</v>
      </c>
      <c r="Z534" s="83">
        <f t="shared" si="7"/>
        <v>1</v>
      </c>
      <c r="AA534" s="83" t="str">
        <f t="shared" si="8"/>
        <v/>
      </c>
      <c r="AB534" s="83">
        <f t="shared" si="9"/>
        <v>1</v>
      </c>
      <c r="AC534" s="18" t="str">
        <f t="shared" ref="AC534:AD534" si="1073">IF(_xlfn.ISFORMULA(S534),IFERROR(0/0,""),TRUE)</f>
        <v/>
      </c>
      <c r="AD534" s="18" t="str">
        <f t="shared" si="1073"/>
        <v/>
      </c>
      <c r="AE534" s="43"/>
      <c r="AF534" s="58" t="s">
        <v>86</v>
      </c>
      <c r="AG534" s="55" t="str">
        <f t="shared" si="11"/>
        <v/>
      </c>
    </row>
    <row r="535">
      <c r="A535" s="7" t="str">
        <f>IFERROR(__xludf.DUMMYFUNCTION("""COMPUTED_VALUE"""),"AH8864")</f>
        <v>AH8864</v>
      </c>
      <c r="B535" s="308">
        <f>IFERROR(__xludf.DUMMYFUNCTION("""COMPUTED_VALUE"""),44887.0)</f>
        <v>44887</v>
      </c>
      <c r="C535" s="309">
        <f>IFERROR(__xludf.DUMMYFUNCTION("""COMPUTED_VALUE"""),0.29075231481481484)</f>
        <v>0.2907523148</v>
      </c>
      <c r="D535" s="7" t="str">
        <f>IFERROR(__xludf.DUMMYFUNCTION("""COMPUTED_VALUE"""),"SpABRM367540")</f>
        <v>SpABRM367540</v>
      </c>
      <c r="E535" s="310"/>
      <c r="F535" s="310"/>
      <c r="G535" s="310" t="str">
        <f>IFERROR(__xludf.DUMMYFUNCTION("""COMPUTED_VALUE"""),"Negative")</f>
        <v>Negative</v>
      </c>
      <c r="H535" s="319" t="str">
        <f>IFERROR(__xludf.DUMMYFUNCTION("""COMPUTED_VALUE"""),"Negative")</f>
        <v>Negative</v>
      </c>
      <c r="I535" s="308">
        <f>IFERROR(__xludf.DUMMYFUNCTION("""COMPUTED_VALUE"""),44887.0)</f>
        <v>44887</v>
      </c>
      <c r="J535" s="311">
        <f>IFERROR(__xludf.DUMMYFUNCTION("""COMPUTED_VALUE"""),0.39674768518518516)</f>
        <v>0.3967476852</v>
      </c>
      <c r="K535" s="54"/>
      <c r="L535" s="7"/>
      <c r="M535" s="312"/>
      <c r="N535" s="172">
        <f>IFERROR(__xludf.DUMMYFUNCTION("""COMPUTED_VALUE"""),3.0)</f>
        <v>3</v>
      </c>
      <c r="O535" s="172" t="b">
        <f t="shared" si="3"/>
        <v>1</v>
      </c>
      <c r="P535" s="313">
        <f>IFERROR(__xludf.DUMMYFUNCTION("""COMPUTED_VALUE"""),0.0)</f>
        <v>0</v>
      </c>
      <c r="Q535" s="76" t="b">
        <f>VLOOKUP($B535,'Run Reconcile'!B$2:O1399,14,FALSE)</f>
        <v>1</v>
      </c>
      <c r="R535" s="314" t="str">
        <f t="array" ref="R535">IF($Q535, INDEX('Run Reconcile'!A$2:A1399,MATCH(B535,'Run Reconcile'!B$2:B1399,0),1),IFERROR(0/0,""))</f>
        <v>RUN-ABRM_2022-11-22_RFR-089</v>
      </c>
      <c r="S535" s="315" t="str">
        <f t="shared" ref="S535:T535" si="1074">IF(COUNTIF(W$2:W1399, $A535) &gt; 0,TRUE,IFERROR(0/0,""))</f>
        <v/>
      </c>
      <c r="T535" s="315" t="str">
        <f t="shared" si="1074"/>
        <v/>
      </c>
      <c r="U535" s="114" t="str">
        <f t="array" ref="U535">IF(ISBLANK($R535), INDEX('Run Reconcile'!A$2:A1399, MATCH($B535, 'Run Reconcile'!B$2:B1399, 0)+Z535, 1), IFERROR(0/0,""))
</f>
        <v/>
      </c>
      <c r="V535" s="316" t="str">
        <f t="shared" si="5"/>
        <v>RUN-ABRM_2022-11-22_RFR-089</v>
      </c>
      <c r="Y535" s="317" t="str">
        <f t="shared" si="6"/>
        <v/>
      </c>
      <c r="Z535" s="83" t="str">
        <f t="shared" si="7"/>
        <v/>
      </c>
      <c r="AA535" s="83" t="str">
        <f t="shared" si="8"/>
        <v/>
      </c>
      <c r="AB535" s="83" t="str">
        <f t="shared" si="9"/>
        <v/>
      </c>
      <c r="AC535" s="18" t="str">
        <f t="shared" ref="AC535:AD535" si="1075">IF(_xlfn.ISFORMULA(S535),IFERROR(0/0,""),TRUE)</f>
        <v/>
      </c>
      <c r="AD535" s="18" t="str">
        <f t="shared" si="1075"/>
        <v/>
      </c>
      <c r="AE535" s="43"/>
      <c r="AF535" s="58" t="s">
        <v>87</v>
      </c>
      <c r="AG535" s="55" t="str">
        <f t="shared" si="11"/>
        <v/>
      </c>
    </row>
    <row r="536">
      <c r="A536" s="7" t="str">
        <f>IFERROR(__xludf.DUMMYFUNCTION("""COMPUTED_VALUE"""),"AG1462")</f>
        <v>AG1462</v>
      </c>
      <c r="B536" s="308">
        <f>IFERROR(__xludf.DUMMYFUNCTION("""COMPUTED_VALUE"""),44887.0)</f>
        <v>44887</v>
      </c>
      <c r="C536" s="309">
        <f>IFERROR(__xludf.DUMMYFUNCTION("""COMPUTED_VALUE"""),0.29409722222222223)</f>
        <v>0.2940972222</v>
      </c>
      <c r="D536" s="7" t="str">
        <f>IFERROR(__xludf.DUMMYFUNCTION("""COMPUTED_VALUE"""),"SpABRM188986")</f>
        <v>SpABRM188986</v>
      </c>
      <c r="E536" s="310"/>
      <c r="F536" s="310"/>
      <c r="G536" s="310" t="str">
        <f>IFERROR(__xludf.DUMMYFUNCTION("""COMPUTED_VALUE"""),"Negative")</f>
        <v>Negative</v>
      </c>
      <c r="H536" s="319" t="str">
        <f>IFERROR(__xludf.DUMMYFUNCTION("""COMPUTED_VALUE"""),"Negative")</f>
        <v>Negative</v>
      </c>
      <c r="I536" s="308">
        <f>IFERROR(__xludf.DUMMYFUNCTION("""COMPUTED_VALUE"""),44887.0)</f>
        <v>44887</v>
      </c>
      <c r="J536" s="311">
        <f>IFERROR(__xludf.DUMMYFUNCTION("""COMPUTED_VALUE"""),0.39675925925925926)</f>
        <v>0.3967592593</v>
      </c>
      <c r="K536" s="54"/>
      <c r="L536" s="7"/>
      <c r="M536" s="312"/>
      <c r="N536" s="172">
        <f>IFERROR(__xludf.DUMMYFUNCTION("""COMPUTED_VALUE"""),2.0)</f>
        <v>2</v>
      </c>
      <c r="O536" s="172" t="str">
        <f t="shared" si="3"/>
        <v/>
      </c>
      <c r="P536" s="313">
        <f>IFERROR(__xludf.DUMMYFUNCTION("""COMPUTED_VALUE"""),0.0)</f>
        <v>0</v>
      </c>
      <c r="Q536" s="76" t="b">
        <f>VLOOKUP($B536,'Run Reconcile'!B$2:O1399,14,FALSE)</f>
        <v>1</v>
      </c>
      <c r="R536" s="314" t="str">
        <f t="array" ref="R536">IF($Q536, INDEX('Run Reconcile'!A$2:A1399,MATCH(B536,'Run Reconcile'!B$2:B1399,0),1),IFERROR(0/0,""))</f>
        <v>RUN-ABRM_2022-11-22_RFR-089</v>
      </c>
      <c r="S536" s="315" t="str">
        <f t="shared" ref="S536:T536" si="1076">IF(COUNTIF(W$2:W1399, $A536) &gt; 0,TRUE,IFERROR(0/0,""))</f>
        <v/>
      </c>
      <c r="T536" s="315" t="str">
        <f t="shared" si="1076"/>
        <v/>
      </c>
      <c r="U536" s="114" t="str">
        <f t="array" ref="U536">IF(ISBLANK($R536), INDEX('Run Reconcile'!A$2:A1399, MATCH($B536, 'Run Reconcile'!B$2:B1399, 0)+Z536, 1), IFERROR(0/0,""))
</f>
        <v/>
      </c>
      <c r="V536" s="316" t="str">
        <f t="shared" si="5"/>
        <v>RUN-ABRM_2022-11-22_RFR-089</v>
      </c>
      <c r="Y536" s="317" t="str">
        <f t="shared" si="6"/>
        <v/>
      </c>
      <c r="Z536" s="83" t="str">
        <f t="shared" si="7"/>
        <v/>
      </c>
      <c r="AA536" s="83" t="str">
        <f t="shared" si="8"/>
        <v/>
      </c>
      <c r="AB536" s="83" t="str">
        <f t="shared" si="9"/>
        <v/>
      </c>
      <c r="AC536" s="18" t="str">
        <f t="shared" ref="AC536:AD536" si="1077">IF(_xlfn.ISFORMULA(S536),IFERROR(0/0,""),TRUE)</f>
        <v/>
      </c>
      <c r="AD536" s="18" t="str">
        <f t="shared" si="1077"/>
        <v/>
      </c>
      <c r="AE536" s="43"/>
      <c r="AF536" s="58" t="s">
        <v>87</v>
      </c>
      <c r="AG536" s="55" t="str">
        <f t="shared" si="11"/>
        <v/>
      </c>
    </row>
    <row r="537">
      <c r="A537" s="7" t="str">
        <f>IFERROR(__xludf.DUMMYFUNCTION("""COMPUTED_VALUE"""),"AJ8111")</f>
        <v>AJ8111</v>
      </c>
      <c r="B537" s="308">
        <f>IFERROR(__xludf.DUMMYFUNCTION("""COMPUTED_VALUE"""),44887.0)</f>
        <v>44887</v>
      </c>
      <c r="C537" s="309">
        <f>IFERROR(__xludf.DUMMYFUNCTION("""COMPUTED_VALUE"""),0.29993055555555553)</f>
        <v>0.2999305556</v>
      </c>
      <c r="D537" s="7" t="str">
        <f>IFERROR(__xludf.DUMMYFUNCTION("""COMPUTED_VALUE"""),"SpABRM454310")</f>
        <v>SpABRM454310</v>
      </c>
      <c r="E537" s="310"/>
      <c r="F537" s="310"/>
      <c r="G537" s="310" t="str">
        <f>IFERROR(__xludf.DUMMYFUNCTION("""COMPUTED_VALUE"""),"Negative")</f>
        <v>Negative</v>
      </c>
      <c r="H537" s="319" t="str">
        <f>IFERROR(__xludf.DUMMYFUNCTION("""COMPUTED_VALUE"""),"Negative")</f>
        <v>Negative</v>
      </c>
      <c r="I537" s="308">
        <f>IFERROR(__xludf.DUMMYFUNCTION("""COMPUTED_VALUE"""),44887.0)</f>
        <v>44887</v>
      </c>
      <c r="J537" s="311">
        <f>IFERROR(__xludf.DUMMYFUNCTION("""COMPUTED_VALUE"""),0.39675925925925926)</f>
        <v>0.3967592593</v>
      </c>
      <c r="K537" s="54"/>
      <c r="L537" s="7"/>
      <c r="M537" s="312"/>
      <c r="N537" s="172">
        <f>IFERROR(__xludf.DUMMYFUNCTION("""COMPUTED_VALUE"""),3.0)</f>
        <v>3</v>
      </c>
      <c r="O537" s="172" t="str">
        <f t="shared" si="3"/>
        <v/>
      </c>
      <c r="P537" s="313">
        <f>IFERROR(__xludf.DUMMYFUNCTION("""COMPUTED_VALUE"""),0.0)</f>
        <v>0</v>
      </c>
      <c r="Q537" s="76" t="b">
        <f>VLOOKUP($B537,'Run Reconcile'!B$2:O1399,14,FALSE)</f>
        <v>1</v>
      </c>
      <c r="R537" s="314" t="str">
        <f t="array" ref="R537">IF($Q537, INDEX('Run Reconcile'!A$2:A1399,MATCH(B537,'Run Reconcile'!B$2:B1399,0),1),IFERROR(0/0,""))</f>
        <v>RUN-ABRM_2022-11-22_RFR-089</v>
      </c>
      <c r="S537" s="315" t="str">
        <f t="shared" ref="S537:T537" si="1078">IF(COUNTIF(W$2:W1399, $A537) &gt; 0,TRUE,IFERROR(0/0,""))</f>
        <v/>
      </c>
      <c r="T537" s="315" t="str">
        <f t="shared" si="1078"/>
        <v/>
      </c>
      <c r="U537" s="114" t="str">
        <f t="array" ref="U537">IF(ISBLANK($R537), INDEX('Run Reconcile'!A$2:A1399, MATCH($B537, 'Run Reconcile'!B$2:B1399, 0)+Z537, 1), IFERROR(0/0,""))
</f>
        <v/>
      </c>
      <c r="V537" s="316" t="str">
        <f t="shared" si="5"/>
        <v>RUN-ABRM_2022-11-22_RFR-089</v>
      </c>
      <c r="Y537" s="317" t="str">
        <f t="shared" si="6"/>
        <v/>
      </c>
      <c r="Z537" s="83" t="str">
        <f t="shared" si="7"/>
        <v/>
      </c>
      <c r="AA537" s="83" t="str">
        <f t="shared" si="8"/>
        <v/>
      </c>
      <c r="AB537" s="83" t="str">
        <f t="shared" si="9"/>
        <v/>
      </c>
      <c r="AC537" s="18" t="str">
        <f t="shared" ref="AC537:AD537" si="1079">IF(_xlfn.ISFORMULA(S537),IFERROR(0/0,""),TRUE)</f>
        <v/>
      </c>
      <c r="AD537" s="18" t="str">
        <f t="shared" si="1079"/>
        <v/>
      </c>
      <c r="AE537" s="43"/>
      <c r="AF537" s="58" t="s">
        <v>87</v>
      </c>
      <c r="AG537" s="55" t="str">
        <f t="shared" si="11"/>
        <v/>
      </c>
    </row>
    <row r="538">
      <c r="A538" s="7" t="str">
        <f>IFERROR(__xludf.DUMMYFUNCTION("""COMPUTED_VALUE"""),"AJ7637")</f>
        <v>AJ7637</v>
      </c>
      <c r="B538" s="308">
        <f>IFERROR(__xludf.DUMMYFUNCTION("""COMPUTED_VALUE"""),44887.0)</f>
        <v>44887</v>
      </c>
      <c r="C538" s="309">
        <f>IFERROR(__xludf.DUMMYFUNCTION("""COMPUTED_VALUE"""),0.3047222222222222)</f>
        <v>0.3047222222</v>
      </c>
      <c r="D538" s="7" t="str">
        <f>IFERROR(__xludf.DUMMYFUNCTION("""COMPUTED_VALUE"""),"SpABRM297307")</f>
        <v>SpABRM297307</v>
      </c>
      <c r="E538" s="310"/>
      <c r="F538" s="310"/>
      <c r="G538" s="310" t="str">
        <f>IFERROR(__xludf.DUMMYFUNCTION("""COMPUTED_VALUE"""),"Negative")</f>
        <v>Negative</v>
      </c>
      <c r="H538" s="319" t="str">
        <f>IFERROR(__xludf.DUMMYFUNCTION("""COMPUTED_VALUE"""),"Negative")</f>
        <v>Negative</v>
      </c>
      <c r="I538" s="308">
        <f>IFERROR(__xludf.DUMMYFUNCTION("""COMPUTED_VALUE"""),44887.0)</f>
        <v>44887</v>
      </c>
      <c r="J538" s="311">
        <f>IFERROR(__xludf.DUMMYFUNCTION("""COMPUTED_VALUE"""),0.39675925925925926)</f>
        <v>0.3967592593</v>
      </c>
      <c r="K538" s="54"/>
      <c r="L538" s="7"/>
      <c r="M538" s="312"/>
      <c r="N538" s="172">
        <f>IFERROR(__xludf.DUMMYFUNCTION("""COMPUTED_VALUE"""),3.0)</f>
        <v>3</v>
      </c>
      <c r="O538" s="172" t="str">
        <f t="shared" si="3"/>
        <v/>
      </c>
      <c r="P538" s="313">
        <f>IFERROR(__xludf.DUMMYFUNCTION("""COMPUTED_VALUE"""),0.0)</f>
        <v>0</v>
      </c>
      <c r="Q538" s="76" t="b">
        <f>VLOOKUP($B538,'Run Reconcile'!B$2:O1399,14,FALSE)</f>
        <v>1</v>
      </c>
      <c r="R538" s="314" t="str">
        <f t="array" ref="R538">IF($Q538, INDEX('Run Reconcile'!A$2:A1399,MATCH(B538,'Run Reconcile'!B$2:B1399,0),1),IFERROR(0/0,""))</f>
        <v>RUN-ABRM_2022-11-22_RFR-089</v>
      </c>
      <c r="S538" s="315" t="str">
        <f t="shared" ref="S538:T538" si="1080">IF(COUNTIF(W$2:W1399, $A538) &gt; 0,TRUE,IFERROR(0/0,""))</f>
        <v/>
      </c>
      <c r="T538" s="315" t="str">
        <f t="shared" si="1080"/>
        <v/>
      </c>
      <c r="U538" s="114" t="str">
        <f t="array" ref="U538">IF(ISBLANK($R538), INDEX('Run Reconcile'!A$2:A1399, MATCH($B538, 'Run Reconcile'!B$2:B1399, 0)+Z538, 1), IFERROR(0/0,""))
</f>
        <v/>
      </c>
      <c r="V538" s="316" t="str">
        <f t="shared" si="5"/>
        <v>RUN-ABRM_2022-11-22_RFR-089</v>
      </c>
      <c r="Y538" s="317" t="str">
        <f t="shared" si="6"/>
        <v/>
      </c>
      <c r="Z538" s="83" t="str">
        <f t="shared" si="7"/>
        <v/>
      </c>
      <c r="AA538" s="83" t="str">
        <f t="shared" si="8"/>
        <v/>
      </c>
      <c r="AB538" s="83" t="str">
        <f t="shared" si="9"/>
        <v/>
      </c>
      <c r="AC538" s="18" t="str">
        <f t="shared" ref="AC538:AD538" si="1081">IF(_xlfn.ISFORMULA(S538),IFERROR(0/0,""),TRUE)</f>
        <v/>
      </c>
      <c r="AD538" s="18" t="str">
        <f t="shared" si="1081"/>
        <v/>
      </c>
      <c r="AE538" s="43"/>
      <c r="AF538" s="58" t="s">
        <v>87</v>
      </c>
      <c r="AG538" s="55" t="str">
        <f t="shared" si="11"/>
        <v/>
      </c>
    </row>
    <row r="539">
      <c r="A539" s="7" t="str">
        <f>IFERROR(__xludf.DUMMYFUNCTION("""COMPUTED_VALUE"""),"AG777")</f>
        <v>AG777</v>
      </c>
      <c r="B539" s="308">
        <f>IFERROR(__xludf.DUMMYFUNCTION("""COMPUTED_VALUE"""),44887.0)</f>
        <v>44887</v>
      </c>
      <c r="C539" s="309">
        <f>IFERROR(__xludf.DUMMYFUNCTION("""COMPUTED_VALUE"""),0.30896990740740743)</f>
        <v>0.3089699074</v>
      </c>
      <c r="D539" s="7" t="str">
        <f>IFERROR(__xludf.DUMMYFUNCTION("""COMPUTED_VALUE"""),"SpABRM516158")</f>
        <v>SpABRM516158</v>
      </c>
      <c r="E539" s="310"/>
      <c r="F539" s="310"/>
      <c r="G539" s="310" t="str">
        <f>IFERROR(__xludf.DUMMYFUNCTION("""COMPUTED_VALUE"""),"Negative")</f>
        <v>Negative</v>
      </c>
      <c r="H539" s="319" t="str">
        <f>IFERROR(__xludf.DUMMYFUNCTION("""COMPUTED_VALUE"""),"Negative")</f>
        <v>Negative</v>
      </c>
      <c r="I539" s="308">
        <f>IFERROR(__xludf.DUMMYFUNCTION("""COMPUTED_VALUE"""),44887.0)</f>
        <v>44887</v>
      </c>
      <c r="J539" s="311">
        <f>IFERROR(__xludf.DUMMYFUNCTION("""COMPUTED_VALUE"""),0.39677083333333335)</f>
        <v>0.3967708333</v>
      </c>
      <c r="K539" s="54"/>
      <c r="L539" s="7"/>
      <c r="M539" s="312"/>
      <c r="N539" s="172">
        <f>IFERROR(__xludf.DUMMYFUNCTION("""COMPUTED_VALUE"""),1.0)</f>
        <v>1</v>
      </c>
      <c r="O539" s="172" t="str">
        <f t="shared" si="3"/>
        <v/>
      </c>
      <c r="P539" s="313">
        <f>IFERROR(__xludf.DUMMYFUNCTION("""COMPUTED_VALUE"""),0.0)</f>
        <v>0</v>
      </c>
      <c r="Q539" s="76" t="b">
        <f>VLOOKUP($B539,'Run Reconcile'!B$2:O1399,14,FALSE)</f>
        <v>1</v>
      </c>
      <c r="R539" s="314" t="str">
        <f t="array" ref="R539">IF($Q539, INDEX('Run Reconcile'!A$2:A1399,MATCH(B539,'Run Reconcile'!B$2:B1399,0),1),IFERROR(0/0,""))</f>
        <v>RUN-ABRM_2022-11-22_RFR-089</v>
      </c>
      <c r="S539" s="315" t="str">
        <f t="shared" ref="S539:T539" si="1082">IF(COUNTIF(W$2:W1399, $A539) &gt; 0,TRUE,IFERROR(0/0,""))</f>
        <v/>
      </c>
      <c r="T539" s="315" t="str">
        <f t="shared" si="1082"/>
        <v/>
      </c>
      <c r="U539" s="114" t="str">
        <f t="array" ref="U539">IF(ISBLANK($R539), INDEX('Run Reconcile'!A$2:A1399, MATCH($B539, 'Run Reconcile'!B$2:B1399, 0)+Z539, 1), IFERROR(0/0,""))
</f>
        <v/>
      </c>
      <c r="V539" s="316" t="str">
        <f t="shared" si="5"/>
        <v>RUN-ABRM_2022-11-22_RFR-089</v>
      </c>
      <c r="Y539" s="317" t="str">
        <f t="shared" si="6"/>
        <v/>
      </c>
      <c r="Z539" s="83" t="str">
        <f t="shared" si="7"/>
        <v/>
      </c>
      <c r="AA539" s="83" t="str">
        <f t="shared" si="8"/>
        <v/>
      </c>
      <c r="AB539" s="83" t="str">
        <f t="shared" si="9"/>
        <v/>
      </c>
      <c r="AC539" s="18" t="str">
        <f t="shared" ref="AC539:AD539" si="1083">IF(_xlfn.ISFORMULA(S539),IFERROR(0/0,""),TRUE)</f>
        <v/>
      </c>
      <c r="AD539" s="18" t="str">
        <f t="shared" si="1083"/>
        <v/>
      </c>
      <c r="AE539" s="43"/>
      <c r="AF539" s="58" t="s">
        <v>87</v>
      </c>
      <c r="AG539" s="55" t="str">
        <f t="shared" si="11"/>
        <v/>
      </c>
    </row>
    <row r="540">
      <c r="A540" s="7" t="str">
        <f>IFERROR(__xludf.DUMMYFUNCTION("""COMPUTED_VALUE"""),"AH7144")</f>
        <v>AH7144</v>
      </c>
      <c r="B540" s="308">
        <f>IFERROR(__xludf.DUMMYFUNCTION("""COMPUTED_VALUE"""),44887.0)</f>
        <v>44887</v>
      </c>
      <c r="C540" s="309">
        <f>IFERROR(__xludf.DUMMYFUNCTION("""COMPUTED_VALUE"""),0.30974537037037037)</f>
        <v>0.3097453704</v>
      </c>
      <c r="D540" s="7" t="str">
        <f>IFERROR(__xludf.DUMMYFUNCTION("""COMPUTED_VALUE"""),"SpABRM655136")</f>
        <v>SpABRM655136</v>
      </c>
      <c r="E540" s="310"/>
      <c r="F540" s="310"/>
      <c r="G540" s="310" t="str">
        <f>IFERROR(__xludf.DUMMYFUNCTION("""COMPUTED_VALUE"""),"Negative")</f>
        <v>Negative</v>
      </c>
      <c r="H540" s="319" t="str">
        <f>IFERROR(__xludf.DUMMYFUNCTION("""COMPUTED_VALUE"""),"Negative")</f>
        <v>Negative</v>
      </c>
      <c r="I540" s="308">
        <f>IFERROR(__xludf.DUMMYFUNCTION("""COMPUTED_VALUE"""),44887.0)</f>
        <v>44887</v>
      </c>
      <c r="J540" s="311">
        <f>IFERROR(__xludf.DUMMYFUNCTION("""COMPUTED_VALUE"""),0.39677083333333335)</f>
        <v>0.3967708333</v>
      </c>
      <c r="K540" s="54"/>
      <c r="L540" s="7"/>
      <c r="M540" s="312"/>
      <c r="N540" s="172">
        <f>IFERROR(__xludf.DUMMYFUNCTION("""COMPUTED_VALUE"""),1.0)</f>
        <v>1</v>
      </c>
      <c r="O540" s="172" t="str">
        <f t="shared" si="3"/>
        <v/>
      </c>
      <c r="P540" s="313">
        <f>IFERROR(__xludf.DUMMYFUNCTION("""COMPUTED_VALUE"""),0.0)</f>
        <v>0</v>
      </c>
      <c r="Q540" s="76" t="b">
        <f>VLOOKUP($B540,'Run Reconcile'!B$2:O1399,14,FALSE)</f>
        <v>1</v>
      </c>
      <c r="R540" s="314" t="str">
        <f t="array" ref="R540">IF($Q540, INDEX('Run Reconcile'!A$2:A1399,MATCH(B540,'Run Reconcile'!B$2:B1399,0),1),IFERROR(0/0,""))</f>
        <v>RUN-ABRM_2022-11-22_RFR-089</v>
      </c>
      <c r="S540" s="315" t="str">
        <f t="shared" ref="S540:T540" si="1084">IF(COUNTIF(W$2:W1399, $A540) &gt; 0,TRUE,IFERROR(0/0,""))</f>
        <v/>
      </c>
      <c r="T540" s="315" t="str">
        <f t="shared" si="1084"/>
        <v/>
      </c>
      <c r="U540" s="114" t="str">
        <f t="array" ref="U540">IF(ISBLANK($R540), INDEX('Run Reconcile'!A$2:A1399, MATCH($B540, 'Run Reconcile'!B$2:B1399, 0)+Z540, 1), IFERROR(0/0,""))
</f>
        <v/>
      </c>
      <c r="V540" s="316" t="str">
        <f t="shared" si="5"/>
        <v>RUN-ABRM_2022-11-22_RFR-089</v>
      </c>
      <c r="Y540" s="317" t="str">
        <f t="shared" si="6"/>
        <v/>
      </c>
      <c r="Z540" s="83" t="str">
        <f t="shared" si="7"/>
        <v/>
      </c>
      <c r="AA540" s="83" t="str">
        <f t="shared" si="8"/>
        <v/>
      </c>
      <c r="AB540" s="83" t="str">
        <f t="shared" si="9"/>
        <v/>
      </c>
      <c r="AC540" s="18" t="str">
        <f t="shared" ref="AC540:AD540" si="1085">IF(_xlfn.ISFORMULA(S540),IFERROR(0/0,""),TRUE)</f>
        <v/>
      </c>
      <c r="AD540" s="18" t="str">
        <f t="shared" si="1085"/>
        <v/>
      </c>
      <c r="AE540" s="43"/>
      <c r="AF540" s="58" t="s">
        <v>87</v>
      </c>
      <c r="AG540" s="55" t="str">
        <f t="shared" si="11"/>
        <v/>
      </c>
    </row>
    <row r="541">
      <c r="A541" s="7" t="str">
        <f>IFERROR(__xludf.DUMMYFUNCTION("""COMPUTED_VALUE"""),"AG1219")</f>
        <v>AG1219</v>
      </c>
      <c r="B541" s="308">
        <f>IFERROR(__xludf.DUMMYFUNCTION("""COMPUTED_VALUE"""),44887.0)</f>
        <v>44887</v>
      </c>
      <c r="C541" s="309">
        <f>IFERROR(__xludf.DUMMYFUNCTION("""COMPUTED_VALUE"""),0.3100810185185185)</f>
        <v>0.3100810185</v>
      </c>
      <c r="D541" s="7" t="str">
        <f>IFERROR(__xludf.DUMMYFUNCTION("""COMPUTED_VALUE"""),"SpABRM655136")</f>
        <v>SpABRM655136</v>
      </c>
      <c r="E541" s="310"/>
      <c r="F541" s="310"/>
      <c r="G541" s="310" t="str">
        <f>IFERROR(__xludf.DUMMYFUNCTION("""COMPUTED_VALUE"""),"Negative")</f>
        <v>Negative</v>
      </c>
      <c r="H541" s="319" t="str">
        <f>IFERROR(__xludf.DUMMYFUNCTION("""COMPUTED_VALUE"""),"Negative")</f>
        <v>Negative</v>
      </c>
      <c r="I541" s="308">
        <f>IFERROR(__xludf.DUMMYFUNCTION("""COMPUTED_VALUE"""),44887.0)</f>
        <v>44887</v>
      </c>
      <c r="J541" s="311">
        <f>IFERROR(__xludf.DUMMYFUNCTION("""COMPUTED_VALUE"""),0.3967824074074074)</f>
        <v>0.3967824074</v>
      </c>
      <c r="K541" s="54"/>
      <c r="L541" s="7"/>
      <c r="M541" s="312"/>
      <c r="N541" s="172">
        <f>IFERROR(__xludf.DUMMYFUNCTION("""COMPUTED_VALUE"""),1.0)</f>
        <v>1</v>
      </c>
      <c r="O541" s="172" t="str">
        <f t="shared" si="3"/>
        <v/>
      </c>
      <c r="P541" s="313">
        <f>IFERROR(__xludf.DUMMYFUNCTION("""COMPUTED_VALUE"""),0.0)</f>
        <v>0</v>
      </c>
      <c r="Q541" s="76" t="b">
        <f>VLOOKUP($B541,'Run Reconcile'!B$2:O1399,14,FALSE)</f>
        <v>1</v>
      </c>
      <c r="R541" s="314" t="str">
        <f t="array" ref="R541">IF($Q541, INDEX('Run Reconcile'!A$2:A1399,MATCH(B541,'Run Reconcile'!B$2:B1399,0),1),IFERROR(0/0,""))</f>
        <v>RUN-ABRM_2022-11-22_RFR-089</v>
      </c>
      <c r="S541" s="315" t="str">
        <f t="shared" ref="S541:T541" si="1086">IF(COUNTIF(W$2:W1399, $A541) &gt; 0,TRUE,IFERROR(0/0,""))</f>
        <v/>
      </c>
      <c r="T541" s="315" t="str">
        <f t="shared" si="1086"/>
        <v/>
      </c>
      <c r="U541" s="114" t="str">
        <f t="array" ref="U541">IF(ISBLANK($R541), INDEX('Run Reconcile'!A$2:A1399, MATCH($B541, 'Run Reconcile'!B$2:B1399, 0)+Z541, 1), IFERROR(0/0,""))
</f>
        <v/>
      </c>
      <c r="V541" s="316" t="str">
        <f t="shared" si="5"/>
        <v>RUN-ABRM_2022-11-22_RFR-089</v>
      </c>
      <c r="Y541" s="317" t="str">
        <f t="shared" si="6"/>
        <v/>
      </c>
      <c r="Z541" s="83" t="str">
        <f t="shared" si="7"/>
        <v/>
      </c>
      <c r="AA541" s="83" t="str">
        <f t="shared" si="8"/>
        <v/>
      </c>
      <c r="AB541" s="83" t="str">
        <f t="shared" si="9"/>
        <v/>
      </c>
      <c r="AC541" s="18" t="str">
        <f t="shared" ref="AC541:AD541" si="1087">IF(_xlfn.ISFORMULA(S541),IFERROR(0/0,""),TRUE)</f>
        <v/>
      </c>
      <c r="AD541" s="18" t="str">
        <f t="shared" si="1087"/>
        <v/>
      </c>
      <c r="AE541" s="43"/>
      <c r="AF541" s="58" t="s">
        <v>87</v>
      </c>
      <c r="AG541" s="55" t="str">
        <f t="shared" si="11"/>
        <v/>
      </c>
    </row>
    <row r="542">
      <c r="A542" s="7" t="str">
        <f>IFERROR(__xludf.DUMMYFUNCTION("""COMPUTED_VALUE"""),"AH311")</f>
        <v>AH311</v>
      </c>
      <c r="B542" s="308">
        <f>IFERROR(__xludf.DUMMYFUNCTION("""COMPUTED_VALUE"""),44887.0)</f>
        <v>44887</v>
      </c>
      <c r="C542" s="309">
        <f>IFERROR(__xludf.DUMMYFUNCTION("""COMPUTED_VALUE"""),0.31776620370370373)</f>
        <v>0.3177662037</v>
      </c>
      <c r="D542" s="7" t="str">
        <f>IFERROR(__xludf.DUMMYFUNCTION("""COMPUTED_VALUE"""),"SpABRM655136")</f>
        <v>SpABRM655136</v>
      </c>
      <c r="E542" s="310"/>
      <c r="F542" s="310"/>
      <c r="G542" s="310" t="str">
        <f>IFERROR(__xludf.DUMMYFUNCTION("""COMPUTED_VALUE"""),"Negative")</f>
        <v>Negative</v>
      </c>
      <c r="H542" s="319" t="str">
        <f>IFERROR(__xludf.DUMMYFUNCTION("""COMPUTED_VALUE"""),"Negative")</f>
        <v>Negative</v>
      </c>
      <c r="I542" s="308">
        <f>IFERROR(__xludf.DUMMYFUNCTION("""COMPUTED_VALUE"""),44887.0)</f>
        <v>44887</v>
      </c>
      <c r="J542" s="311">
        <f>IFERROR(__xludf.DUMMYFUNCTION("""COMPUTED_VALUE"""),0.3967824074074074)</f>
        <v>0.3967824074</v>
      </c>
      <c r="K542" s="54"/>
      <c r="L542" s="7"/>
      <c r="M542" s="312"/>
      <c r="N542" s="172">
        <f>IFERROR(__xludf.DUMMYFUNCTION("""COMPUTED_VALUE"""),1.0)</f>
        <v>1</v>
      </c>
      <c r="O542" s="172" t="str">
        <f t="shared" si="3"/>
        <v/>
      </c>
      <c r="P542" s="313">
        <f>IFERROR(__xludf.DUMMYFUNCTION("""COMPUTED_VALUE"""),0.0)</f>
        <v>0</v>
      </c>
      <c r="Q542" s="76" t="b">
        <f>VLOOKUP($B542,'Run Reconcile'!B$2:O1399,14,FALSE)</f>
        <v>1</v>
      </c>
      <c r="R542" s="314" t="str">
        <f t="array" ref="R542">IF($Q542, INDEX('Run Reconcile'!A$2:A1399,MATCH(B542,'Run Reconcile'!B$2:B1399,0),1),IFERROR(0/0,""))</f>
        <v>RUN-ABRM_2022-11-22_RFR-089</v>
      </c>
      <c r="S542" s="315" t="str">
        <f t="shared" ref="S542:T542" si="1088">IF(COUNTIF(W$2:W1399, $A542) &gt; 0,TRUE,IFERROR(0/0,""))</f>
        <v/>
      </c>
      <c r="T542" s="315" t="str">
        <f t="shared" si="1088"/>
        <v/>
      </c>
      <c r="U542" s="114" t="str">
        <f t="array" ref="U542">IF(ISBLANK($R542), INDEX('Run Reconcile'!A$2:A1399, MATCH($B542, 'Run Reconcile'!B$2:B1399, 0)+Z542, 1), IFERROR(0/0,""))
</f>
        <v/>
      </c>
      <c r="V542" s="316" t="str">
        <f t="shared" si="5"/>
        <v>RUN-ABRM_2022-11-22_RFR-089</v>
      </c>
      <c r="Y542" s="317" t="str">
        <f t="shared" si="6"/>
        <v/>
      </c>
      <c r="Z542" s="83" t="str">
        <f t="shared" si="7"/>
        <v/>
      </c>
      <c r="AA542" s="83" t="str">
        <f t="shared" si="8"/>
        <v/>
      </c>
      <c r="AB542" s="83" t="str">
        <f t="shared" si="9"/>
        <v/>
      </c>
      <c r="AC542" s="18" t="str">
        <f t="shared" ref="AC542:AD542" si="1089">IF(_xlfn.ISFORMULA(S542),IFERROR(0/0,""),TRUE)</f>
        <v/>
      </c>
      <c r="AD542" s="18" t="str">
        <f t="shared" si="1089"/>
        <v/>
      </c>
      <c r="AE542" s="43"/>
      <c r="AF542" s="58" t="s">
        <v>87</v>
      </c>
      <c r="AG542" s="55" t="str">
        <f t="shared" si="11"/>
        <v/>
      </c>
    </row>
    <row r="543">
      <c r="A543" s="7" t="str">
        <f>IFERROR(__xludf.DUMMYFUNCTION("""COMPUTED_VALUE"""),"AJ9712")</f>
        <v>AJ9712</v>
      </c>
      <c r="B543" s="308">
        <f>IFERROR(__xludf.DUMMYFUNCTION("""COMPUTED_VALUE"""),44887.0)</f>
        <v>44887</v>
      </c>
      <c r="C543" s="309">
        <f>IFERROR(__xludf.DUMMYFUNCTION("""COMPUTED_VALUE"""),0.32275462962962964)</f>
        <v>0.3227546296</v>
      </c>
      <c r="D543" s="7" t="str">
        <f>IFERROR(__xludf.DUMMYFUNCTION("""COMPUTED_VALUE"""),"SpABRM814022")</f>
        <v>SpABRM814022</v>
      </c>
      <c r="E543" s="310"/>
      <c r="F543" s="310"/>
      <c r="G543" s="310" t="str">
        <f>IFERROR(__xludf.DUMMYFUNCTION("""COMPUTED_VALUE"""),"Negative")</f>
        <v>Negative</v>
      </c>
      <c r="H543" s="319" t="str">
        <f>IFERROR(__xludf.DUMMYFUNCTION("""COMPUTED_VALUE"""),"Negative")</f>
        <v>Negative</v>
      </c>
      <c r="I543" s="308">
        <f>IFERROR(__xludf.DUMMYFUNCTION("""COMPUTED_VALUE"""),44887.0)</f>
        <v>44887</v>
      </c>
      <c r="J543" s="311">
        <f>IFERROR(__xludf.DUMMYFUNCTION("""COMPUTED_VALUE"""),0.3967939814814815)</f>
        <v>0.3967939815</v>
      </c>
      <c r="K543" s="54"/>
      <c r="L543" s="7"/>
      <c r="M543" s="312"/>
      <c r="N543" s="172">
        <f>IFERROR(__xludf.DUMMYFUNCTION("""COMPUTED_VALUE"""),1.0)</f>
        <v>1</v>
      </c>
      <c r="O543" s="172" t="str">
        <f t="shared" si="3"/>
        <v/>
      </c>
      <c r="P543" s="313">
        <f>IFERROR(__xludf.DUMMYFUNCTION("""COMPUTED_VALUE"""),0.0)</f>
        <v>0</v>
      </c>
      <c r="Q543" s="76" t="b">
        <f>VLOOKUP($B543,'Run Reconcile'!B$2:O1399,14,FALSE)</f>
        <v>1</v>
      </c>
      <c r="R543" s="314" t="str">
        <f t="array" ref="R543">IF($Q543, INDEX('Run Reconcile'!A$2:A1399,MATCH(B543,'Run Reconcile'!B$2:B1399,0),1),IFERROR(0/0,""))</f>
        <v>RUN-ABRM_2022-11-22_RFR-089</v>
      </c>
      <c r="S543" s="315" t="str">
        <f t="shared" ref="S543:T543" si="1090">IF(COUNTIF(W$2:W1399, $A543) &gt; 0,TRUE,IFERROR(0/0,""))</f>
        <v/>
      </c>
      <c r="T543" s="315" t="str">
        <f t="shared" si="1090"/>
        <v/>
      </c>
      <c r="U543" s="114" t="str">
        <f t="array" ref="U543">IF(ISBLANK($R543), INDEX('Run Reconcile'!A$2:A1399, MATCH($B543, 'Run Reconcile'!B$2:B1399, 0)+Z543, 1), IFERROR(0/0,""))
</f>
        <v/>
      </c>
      <c r="V543" s="316" t="str">
        <f t="shared" si="5"/>
        <v>RUN-ABRM_2022-11-22_RFR-089</v>
      </c>
      <c r="Y543" s="317" t="str">
        <f t="shared" si="6"/>
        <v/>
      </c>
      <c r="Z543" s="83" t="str">
        <f t="shared" si="7"/>
        <v/>
      </c>
      <c r="AA543" s="83" t="str">
        <f t="shared" si="8"/>
        <v/>
      </c>
      <c r="AB543" s="83" t="str">
        <f t="shared" si="9"/>
        <v/>
      </c>
      <c r="AC543" s="18" t="str">
        <f t="shared" ref="AC543:AD543" si="1091">IF(_xlfn.ISFORMULA(S543),IFERROR(0/0,""),TRUE)</f>
        <v/>
      </c>
      <c r="AD543" s="18" t="str">
        <f t="shared" si="1091"/>
        <v/>
      </c>
      <c r="AE543" s="43"/>
      <c r="AF543" s="58" t="s">
        <v>87</v>
      </c>
      <c r="AG543" s="55" t="str">
        <f t="shared" si="11"/>
        <v/>
      </c>
    </row>
    <row r="544">
      <c r="A544" s="7" t="str">
        <f>IFERROR(__xludf.DUMMYFUNCTION("""COMPUTED_VALUE"""),"AH7624")</f>
        <v>AH7624</v>
      </c>
      <c r="B544" s="308">
        <f>IFERROR(__xludf.DUMMYFUNCTION("""COMPUTED_VALUE"""),44887.0)</f>
        <v>44887</v>
      </c>
      <c r="C544" s="309">
        <f>IFERROR(__xludf.DUMMYFUNCTION("""COMPUTED_VALUE"""),0.323125)</f>
        <v>0.323125</v>
      </c>
      <c r="D544" s="7" t="str">
        <f>IFERROR(__xludf.DUMMYFUNCTION("""COMPUTED_VALUE"""),"SpABRM655136")</f>
        <v>SpABRM655136</v>
      </c>
      <c r="E544" s="310"/>
      <c r="F544" s="310"/>
      <c r="G544" s="310" t="str">
        <f>IFERROR(__xludf.DUMMYFUNCTION("""COMPUTED_VALUE"""),"Negative")</f>
        <v>Negative</v>
      </c>
      <c r="H544" s="319" t="str">
        <f>IFERROR(__xludf.DUMMYFUNCTION("""COMPUTED_VALUE"""),"Negative")</f>
        <v>Negative</v>
      </c>
      <c r="I544" s="308">
        <f>IFERROR(__xludf.DUMMYFUNCTION("""COMPUTED_VALUE"""),44887.0)</f>
        <v>44887</v>
      </c>
      <c r="J544" s="311">
        <f>IFERROR(__xludf.DUMMYFUNCTION("""COMPUTED_VALUE"""),0.3967939814814815)</f>
        <v>0.3967939815</v>
      </c>
      <c r="K544" s="54"/>
      <c r="L544" s="7"/>
      <c r="M544" s="312"/>
      <c r="N544" s="172">
        <f>IFERROR(__xludf.DUMMYFUNCTION("""COMPUTED_VALUE"""),2.0)</f>
        <v>2</v>
      </c>
      <c r="O544" s="172" t="str">
        <f t="shared" si="3"/>
        <v/>
      </c>
      <c r="P544" s="313">
        <f>IFERROR(__xludf.DUMMYFUNCTION("""COMPUTED_VALUE"""),0.0)</f>
        <v>0</v>
      </c>
      <c r="Q544" s="76" t="b">
        <f>VLOOKUP($B544,'Run Reconcile'!B$2:O1399,14,FALSE)</f>
        <v>1</v>
      </c>
      <c r="R544" s="314" t="str">
        <f t="array" ref="R544">IF($Q544, INDEX('Run Reconcile'!A$2:A1399,MATCH(B544,'Run Reconcile'!B$2:B1399,0),1),IFERROR(0/0,""))</f>
        <v>RUN-ABRM_2022-11-22_RFR-089</v>
      </c>
      <c r="S544" s="315" t="str">
        <f t="shared" ref="S544:T544" si="1092">IF(COUNTIF(W$2:W1399, $A544) &gt; 0,TRUE,IFERROR(0/0,""))</f>
        <v/>
      </c>
      <c r="T544" s="315" t="str">
        <f t="shared" si="1092"/>
        <v/>
      </c>
      <c r="U544" s="114" t="str">
        <f t="array" ref="U544">IF(ISBLANK($R544), INDEX('Run Reconcile'!A$2:A1399, MATCH($B544, 'Run Reconcile'!B$2:B1399, 0)+Z544, 1), IFERROR(0/0,""))
</f>
        <v/>
      </c>
      <c r="V544" s="316" t="str">
        <f t="shared" si="5"/>
        <v>RUN-ABRM_2022-11-22_RFR-089</v>
      </c>
      <c r="Y544" s="317" t="str">
        <f t="shared" si="6"/>
        <v/>
      </c>
      <c r="Z544" s="83" t="str">
        <f t="shared" si="7"/>
        <v/>
      </c>
      <c r="AA544" s="83" t="str">
        <f t="shared" si="8"/>
        <v/>
      </c>
      <c r="AB544" s="83" t="str">
        <f t="shared" si="9"/>
        <v/>
      </c>
      <c r="AC544" s="18" t="str">
        <f t="shared" ref="AC544:AD544" si="1093">IF(_xlfn.ISFORMULA(S544),IFERROR(0/0,""),TRUE)</f>
        <v/>
      </c>
      <c r="AD544" s="18" t="str">
        <f t="shared" si="1093"/>
        <v/>
      </c>
      <c r="AE544" s="43"/>
      <c r="AF544" s="58" t="s">
        <v>87</v>
      </c>
      <c r="AG544" s="55" t="str">
        <f t="shared" si="11"/>
        <v/>
      </c>
    </row>
    <row r="545">
      <c r="A545" s="7" t="str">
        <f>IFERROR(__xludf.DUMMYFUNCTION("""COMPUTED_VALUE"""),"AH8063")</f>
        <v>AH8063</v>
      </c>
      <c r="B545" s="308">
        <f>IFERROR(__xludf.DUMMYFUNCTION("""COMPUTED_VALUE"""),44887.0)</f>
        <v>44887</v>
      </c>
      <c r="C545" s="309">
        <f>IFERROR(__xludf.DUMMYFUNCTION("""COMPUTED_VALUE"""),0.33037037037037037)</f>
        <v>0.3303703704</v>
      </c>
      <c r="D545" s="7" t="str">
        <f>IFERROR(__xludf.DUMMYFUNCTION("""COMPUTED_VALUE"""),"SpABRM655136")</f>
        <v>SpABRM655136</v>
      </c>
      <c r="E545" s="310"/>
      <c r="F545" s="310"/>
      <c r="G545" s="310" t="str">
        <f>IFERROR(__xludf.DUMMYFUNCTION("""COMPUTED_VALUE"""),"Negative")</f>
        <v>Negative</v>
      </c>
      <c r="H545" s="319" t="str">
        <f>IFERROR(__xludf.DUMMYFUNCTION("""COMPUTED_VALUE"""),"Negative")</f>
        <v>Negative</v>
      </c>
      <c r="I545" s="308">
        <f>IFERROR(__xludf.DUMMYFUNCTION("""COMPUTED_VALUE"""),44887.0)</f>
        <v>44887</v>
      </c>
      <c r="J545" s="311">
        <f>IFERROR(__xludf.DUMMYFUNCTION("""COMPUTED_VALUE"""),0.3968055555555556)</f>
        <v>0.3968055556</v>
      </c>
      <c r="K545" s="54"/>
      <c r="L545" s="7"/>
      <c r="M545" s="312"/>
      <c r="N545" s="172">
        <f>IFERROR(__xludf.DUMMYFUNCTION("""COMPUTED_VALUE"""),3.0)</f>
        <v>3</v>
      </c>
      <c r="O545" s="172" t="str">
        <f t="shared" si="3"/>
        <v/>
      </c>
      <c r="P545" s="313">
        <f>IFERROR(__xludf.DUMMYFUNCTION("""COMPUTED_VALUE"""),0.0)</f>
        <v>0</v>
      </c>
      <c r="Q545" s="76" t="b">
        <f>VLOOKUP($B545,'Run Reconcile'!B$2:O1399,14,FALSE)</f>
        <v>1</v>
      </c>
      <c r="R545" s="314" t="str">
        <f t="array" ref="R545">IF($Q545, INDEX('Run Reconcile'!A$2:A1399,MATCH(B545,'Run Reconcile'!B$2:B1399,0),1),IFERROR(0/0,""))</f>
        <v>RUN-ABRM_2022-11-22_RFR-089</v>
      </c>
      <c r="S545" s="315" t="str">
        <f t="shared" ref="S545:T545" si="1094">IF(COUNTIF(W$2:W1399, $A545) &gt; 0,TRUE,IFERROR(0/0,""))</f>
        <v/>
      </c>
      <c r="T545" s="315" t="str">
        <f t="shared" si="1094"/>
        <v/>
      </c>
      <c r="U545" s="114" t="str">
        <f t="array" ref="U545">IF(ISBLANK($R545), INDEX('Run Reconcile'!A$2:A1399, MATCH($B545, 'Run Reconcile'!B$2:B1399, 0)+Z545, 1), IFERROR(0/0,""))
</f>
        <v/>
      </c>
      <c r="V545" s="316" t="str">
        <f t="shared" si="5"/>
        <v>RUN-ABRM_2022-11-22_RFR-089</v>
      </c>
      <c r="Y545" s="317" t="str">
        <f t="shared" si="6"/>
        <v/>
      </c>
      <c r="Z545" s="83" t="str">
        <f t="shared" si="7"/>
        <v/>
      </c>
      <c r="AA545" s="83" t="str">
        <f t="shared" si="8"/>
        <v/>
      </c>
      <c r="AB545" s="83" t="str">
        <f t="shared" si="9"/>
        <v/>
      </c>
      <c r="AC545" s="18" t="str">
        <f t="shared" ref="AC545:AD545" si="1095">IF(_xlfn.ISFORMULA(S545),IFERROR(0/0,""),TRUE)</f>
        <v/>
      </c>
      <c r="AD545" s="18" t="str">
        <f t="shared" si="1095"/>
        <v/>
      </c>
      <c r="AE545" s="43"/>
      <c r="AF545" s="58" t="s">
        <v>87</v>
      </c>
      <c r="AG545" s="55" t="str">
        <f t="shared" si="11"/>
        <v/>
      </c>
    </row>
    <row r="546">
      <c r="A546" s="7" t="str">
        <f>IFERROR(__xludf.DUMMYFUNCTION("""COMPUTED_VALUE"""),"AJ8767")</f>
        <v>AJ8767</v>
      </c>
      <c r="B546" s="308">
        <f>IFERROR(__xludf.DUMMYFUNCTION("""COMPUTED_VALUE"""),44890.0)</f>
        <v>44890</v>
      </c>
      <c r="C546" s="309">
        <f>IFERROR(__xludf.DUMMYFUNCTION("""COMPUTED_VALUE"""),0.15880787037037036)</f>
        <v>0.1588078704</v>
      </c>
      <c r="D546" s="7" t="str">
        <f>IFERROR(__xludf.DUMMYFUNCTION("""COMPUTED_VALUE"""),"SpABRM655136")</f>
        <v>SpABRM655136</v>
      </c>
      <c r="E546" s="310"/>
      <c r="F546" s="310"/>
      <c r="G546" s="310" t="str">
        <f>IFERROR(__xludf.DUMMYFUNCTION("""COMPUTED_VALUE"""),"Negative")</f>
        <v>Negative</v>
      </c>
      <c r="H546" s="319" t="str">
        <f>IFERROR(__xludf.DUMMYFUNCTION("""COMPUTED_VALUE"""),"Negative")</f>
        <v>Negative</v>
      </c>
      <c r="I546" s="308">
        <f>IFERROR(__xludf.DUMMYFUNCTION("""COMPUTED_VALUE"""),44890.0)</f>
        <v>44890</v>
      </c>
      <c r="J546" s="311">
        <f>IFERROR(__xludf.DUMMYFUNCTION("""COMPUTED_VALUE"""),0.1764236111111111)</f>
        <v>0.1764236111</v>
      </c>
      <c r="K546" s="54"/>
      <c r="L546" s="7"/>
      <c r="M546" s="312"/>
      <c r="N546" s="172">
        <f>IFERROR(__xludf.DUMMYFUNCTION("""COMPUTED_VALUE"""),1.0)</f>
        <v>1</v>
      </c>
      <c r="O546" s="172" t="b">
        <f t="shared" si="3"/>
        <v>1</v>
      </c>
      <c r="P546" s="313">
        <f>IFERROR(__xludf.DUMMYFUNCTION("""COMPUTED_VALUE"""),0.0)</f>
        <v>0</v>
      </c>
      <c r="Q546" s="76" t="b">
        <f>VLOOKUP($B546,'Run Reconcile'!B$2:O1399,14,FALSE)</f>
        <v>1</v>
      </c>
      <c r="R546" s="314" t="str">
        <f t="array" ref="R546">IF($Q546, INDEX('Run Reconcile'!A$2:A1399,MATCH(B546,'Run Reconcile'!B$2:B1399,0),1),IFERROR(0/0,""))</f>
        <v>RUN-ABRM_2022-11-25_RFR-090</v>
      </c>
      <c r="S546" s="315" t="str">
        <f t="shared" ref="S546:T546" si="1096">IF(COUNTIF(W$2:W1399, $A546) &gt; 0,TRUE,IFERROR(0/0,""))</f>
        <v/>
      </c>
      <c r="T546" s="315" t="str">
        <f t="shared" si="1096"/>
        <v/>
      </c>
      <c r="U546" s="114" t="str">
        <f t="array" ref="U546">IF(ISBLANK($R546), INDEX('Run Reconcile'!A$2:A1399, MATCH($B546, 'Run Reconcile'!B$2:B1399, 0)+Z546, 1), IFERROR(0/0,""))
</f>
        <v/>
      </c>
      <c r="V546" s="316" t="str">
        <f t="shared" si="5"/>
        <v>RUN-ABRM_2022-11-25_RFR-090</v>
      </c>
      <c r="Y546" s="317" t="str">
        <f t="shared" si="6"/>
        <v/>
      </c>
      <c r="Z546" s="83" t="str">
        <f t="shared" si="7"/>
        <v/>
      </c>
      <c r="AA546" s="83" t="str">
        <f t="shared" si="8"/>
        <v/>
      </c>
      <c r="AB546" s="83" t="str">
        <f t="shared" si="9"/>
        <v/>
      </c>
      <c r="AC546" s="18" t="str">
        <f t="shared" ref="AC546:AD546" si="1097">IF(_xlfn.ISFORMULA(S546),IFERROR(0/0,""),TRUE)</f>
        <v/>
      </c>
      <c r="AD546" s="18" t="str">
        <f t="shared" si="1097"/>
        <v/>
      </c>
      <c r="AE546" s="43"/>
      <c r="AF546" s="58" t="s">
        <v>88</v>
      </c>
      <c r="AG546" s="55" t="str">
        <f t="shared" si="11"/>
        <v/>
      </c>
    </row>
    <row r="547">
      <c r="A547" s="7" t="str">
        <f>IFERROR(__xludf.DUMMYFUNCTION("""COMPUTED_VALUE"""),"AG688")</f>
        <v>AG688</v>
      </c>
      <c r="B547" s="308">
        <f>IFERROR(__xludf.DUMMYFUNCTION("""COMPUTED_VALUE"""),44890.0)</f>
        <v>44890</v>
      </c>
      <c r="C547" s="309">
        <f>IFERROR(__xludf.DUMMYFUNCTION("""COMPUTED_VALUE"""),0.15908564814814816)</f>
        <v>0.1590856481</v>
      </c>
      <c r="D547" s="7" t="str">
        <f>IFERROR(__xludf.DUMMYFUNCTION("""COMPUTED_VALUE"""),"SpABRM655136")</f>
        <v>SpABRM655136</v>
      </c>
      <c r="E547" s="310"/>
      <c r="F547" s="310"/>
      <c r="G547" s="310" t="str">
        <f>IFERROR(__xludf.DUMMYFUNCTION("""COMPUTED_VALUE"""),"Negative")</f>
        <v>Negative</v>
      </c>
      <c r="H547" s="319" t="str">
        <f>IFERROR(__xludf.DUMMYFUNCTION("""COMPUTED_VALUE"""),"Negative")</f>
        <v>Negative</v>
      </c>
      <c r="I547" s="308">
        <f>IFERROR(__xludf.DUMMYFUNCTION("""COMPUTED_VALUE"""),44890.0)</f>
        <v>44890</v>
      </c>
      <c r="J547" s="311">
        <f>IFERROR(__xludf.DUMMYFUNCTION("""COMPUTED_VALUE"""),0.1764236111111111)</f>
        <v>0.1764236111</v>
      </c>
      <c r="K547" s="54"/>
      <c r="L547" s="7"/>
      <c r="M547" s="312"/>
      <c r="N547" s="172">
        <f>IFERROR(__xludf.DUMMYFUNCTION("""COMPUTED_VALUE"""),1.0)</f>
        <v>1</v>
      </c>
      <c r="O547" s="172" t="str">
        <f t="shared" si="3"/>
        <v/>
      </c>
      <c r="P547" s="313">
        <f>IFERROR(__xludf.DUMMYFUNCTION("""COMPUTED_VALUE"""),0.0)</f>
        <v>0</v>
      </c>
      <c r="Q547" s="76" t="b">
        <f>VLOOKUP($B547,'Run Reconcile'!B$2:O1399,14,FALSE)</f>
        <v>1</v>
      </c>
      <c r="R547" s="314" t="str">
        <f t="array" ref="R547">IF($Q547, INDEX('Run Reconcile'!A$2:A1399,MATCH(B547,'Run Reconcile'!B$2:B1399,0),1),IFERROR(0/0,""))</f>
        <v>RUN-ABRM_2022-11-25_RFR-090</v>
      </c>
      <c r="S547" s="315" t="str">
        <f t="shared" ref="S547:T547" si="1098">IF(COUNTIF(W$2:W1399, $A547) &gt; 0,TRUE,IFERROR(0/0,""))</f>
        <v/>
      </c>
      <c r="T547" s="315" t="str">
        <f t="shared" si="1098"/>
        <v/>
      </c>
      <c r="U547" s="114" t="str">
        <f t="array" ref="U547">IF(ISBLANK($R547), INDEX('Run Reconcile'!A$2:A1399, MATCH($B547, 'Run Reconcile'!B$2:B1399, 0)+Z547, 1), IFERROR(0/0,""))
</f>
        <v/>
      </c>
      <c r="V547" s="316" t="str">
        <f t="shared" si="5"/>
        <v>RUN-ABRM_2022-11-25_RFR-090</v>
      </c>
      <c r="Y547" s="317" t="str">
        <f t="shared" si="6"/>
        <v/>
      </c>
      <c r="Z547" s="83" t="str">
        <f t="shared" si="7"/>
        <v/>
      </c>
      <c r="AA547" s="83" t="str">
        <f t="shared" si="8"/>
        <v/>
      </c>
      <c r="AB547" s="83" t="str">
        <f t="shared" si="9"/>
        <v/>
      </c>
      <c r="AC547" s="18" t="str">
        <f t="shared" ref="AC547:AD547" si="1099">IF(_xlfn.ISFORMULA(S547),IFERROR(0/0,""),TRUE)</f>
        <v/>
      </c>
      <c r="AD547" s="18" t="str">
        <f t="shared" si="1099"/>
        <v/>
      </c>
      <c r="AE547" s="43"/>
      <c r="AF547" s="58" t="s">
        <v>88</v>
      </c>
      <c r="AG547" s="55" t="str">
        <f t="shared" si="11"/>
        <v/>
      </c>
    </row>
    <row r="548">
      <c r="A548" s="7" t="str">
        <f>IFERROR(__xludf.DUMMYFUNCTION("""COMPUTED_VALUE"""),"AH7688")</f>
        <v>AH7688</v>
      </c>
      <c r="B548" s="308">
        <f>IFERROR(__xludf.DUMMYFUNCTION("""COMPUTED_VALUE"""),44890.0)</f>
        <v>44890</v>
      </c>
      <c r="C548" s="309">
        <f>IFERROR(__xludf.DUMMYFUNCTION("""COMPUTED_VALUE"""),0.15935185185185186)</f>
        <v>0.1593518519</v>
      </c>
      <c r="D548" s="7" t="str">
        <f>IFERROR(__xludf.DUMMYFUNCTION("""COMPUTED_VALUE"""),"SpABRM655136")</f>
        <v>SpABRM655136</v>
      </c>
      <c r="E548" s="310"/>
      <c r="F548" s="310"/>
      <c r="G548" s="310" t="str">
        <f>IFERROR(__xludf.DUMMYFUNCTION("""COMPUTED_VALUE"""),"Negative")</f>
        <v>Negative</v>
      </c>
      <c r="H548" s="319" t="str">
        <f>IFERROR(__xludf.DUMMYFUNCTION("""COMPUTED_VALUE"""),"Negative")</f>
        <v>Negative</v>
      </c>
      <c r="I548" s="308">
        <f>IFERROR(__xludf.DUMMYFUNCTION("""COMPUTED_VALUE"""),44890.0)</f>
        <v>44890</v>
      </c>
      <c r="J548" s="311">
        <f>IFERROR(__xludf.DUMMYFUNCTION("""COMPUTED_VALUE"""),0.1764351851851852)</f>
        <v>0.1764351852</v>
      </c>
      <c r="K548" s="54"/>
      <c r="L548" s="7"/>
      <c r="M548" s="312"/>
      <c r="N548" s="172">
        <f>IFERROR(__xludf.DUMMYFUNCTION("""COMPUTED_VALUE"""),2.0)</f>
        <v>2</v>
      </c>
      <c r="O548" s="172" t="str">
        <f t="shared" si="3"/>
        <v/>
      </c>
      <c r="P548" s="313">
        <f>IFERROR(__xludf.DUMMYFUNCTION("""COMPUTED_VALUE"""),0.0)</f>
        <v>0</v>
      </c>
      <c r="Q548" s="76" t="b">
        <f>VLOOKUP($B548,'Run Reconcile'!B$2:O1399,14,FALSE)</f>
        <v>1</v>
      </c>
      <c r="R548" s="314" t="str">
        <f t="array" ref="R548">IF($Q548, INDEX('Run Reconcile'!A$2:A1399,MATCH(B548,'Run Reconcile'!B$2:B1399,0),1),IFERROR(0/0,""))</f>
        <v>RUN-ABRM_2022-11-25_RFR-090</v>
      </c>
      <c r="S548" s="315" t="str">
        <f t="shared" ref="S548:T548" si="1100">IF(COUNTIF(W$2:W1399, $A548) &gt; 0,TRUE,IFERROR(0/0,""))</f>
        <v/>
      </c>
      <c r="T548" s="315" t="str">
        <f t="shared" si="1100"/>
        <v/>
      </c>
      <c r="U548" s="114" t="str">
        <f t="array" ref="U548">IF(ISBLANK($R548), INDEX('Run Reconcile'!A$2:A1399, MATCH($B548, 'Run Reconcile'!B$2:B1399, 0)+Z548, 1), IFERROR(0/0,""))
</f>
        <v/>
      </c>
      <c r="V548" s="316" t="str">
        <f t="shared" si="5"/>
        <v>RUN-ABRM_2022-11-25_RFR-090</v>
      </c>
      <c r="Y548" s="317" t="str">
        <f t="shared" si="6"/>
        <v/>
      </c>
      <c r="Z548" s="83" t="str">
        <f t="shared" si="7"/>
        <v/>
      </c>
      <c r="AA548" s="83" t="str">
        <f t="shared" si="8"/>
        <v/>
      </c>
      <c r="AB548" s="83" t="str">
        <f t="shared" si="9"/>
        <v/>
      </c>
      <c r="AC548" s="18" t="str">
        <f t="shared" ref="AC548:AD548" si="1101">IF(_xlfn.ISFORMULA(S548),IFERROR(0/0,""),TRUE)</f>
        <v/>
      </c>
      <c r="AD548" s="18" t="str">
        <f t="shared" si="1101"/>
        <v/>
      </c>
      <c r="AE548" s="43"/>
      <c r="AF548" s="58" t="s">
        <v>88</v>
      </c>
      <c r="AG548" s="55" t="str">
        <f t="shared" si="11"/>
        <v/>
      </c>
    </row>
    <row r="549">
      <c r="A549" s="7" t="str">
        <f>IFERROR(__xludf.DUMMYFUNCTION("""COMPUTED_VALUE"""),"AK7853")</f>
        <v>AK7853</v>
      </c>
      <c r="B549" s="308">
        <f>IFERROR(__xludf.DUMMYFUNCTION("""COMPUTED_VALUE"""),44892.0)</f>
        <v>44892</v>
      </c>
      <c r="C549" s="309">
        <f>IFERROR(__xludf.DUMMYFUNCTION("""COMPUTED_VALUE"""),0.3365856481481482)</f>
        <v>0.3365856481</v>
      </c>
      <c r="D549" s="7" t="str">
        <f>IFERROR(__xludf.DUMMYFUNCTION("""COMPUTED_VALUE"""),"SpABRM716377")</f>
        <v>SpABRM716377</v>
      </c>
      <c r="E549" s="310"/>
      <c r="F549" s="310"/>
      <c r="G549" s="310" t="str">
        <f>IFERROR(__xludf.DUMMYFUNCTION("""COMPUTED_VALUE"""),"Negative")</f>
        <v>Negative</v>
      </c>
      <c r="H549" s="319" t="str">
        <f>IFERROR(__xludf.DUMMYFUNCTION("""COMPUTED_VALUE"""),"Negative")</f>
        <v>Negative</v>
      </c>
      <c r="I549" s="308">
        <f>IFERROR(__xludf.DUMMYFUNCTION("""COMPUTED_VALUE"""),44892.0)</f>
        <v>44892</v>
      </c>
      <c r="J549" s="311">
        <f>IFERROR(__xludf.DUMMYFUNCTION("""COMPUTED_VALUE"""),0.44756944444444446)</f>
        <v>0.4475694444</v>
      </c>
      <c r="K549" s="54"/>
      <c r="L549" s="7"/>
      <c r="M549" s="312"/>
      <c r="N549" s="172">
        <f>IFERROR(__xludf.DUMMYFUNCTION("""COMPUTED_VALUE"""),1.0)</f>
        <v>1</v>
      </c>
      <c r="O549" s="172" t="b">
        <f t="shared" si="3"/>
        <v>1</v>
      </c>
      <c r="P549" s="313">
        <f>IFERROR(__xludf.DUMMYFUNCTION("""COMPUTED_VALUE"""),0.0)</f>
        <v>0</v>
      </c>
      <c r="Q549" s="76" t="b">
        <f>VLOOKUP($B549,'Run Reconcile'!B$2:O1399,14,FALSE)</f>
        <v>1</v>
      </c>
      <c r="R549" s="314" t="str">
        <f t="array" ref="R549">IF($Q549, INDEX('Run Reconcile'!A$2:A1399,MATCH(B549,'Run Reconcile'!B$2:B1399,0),1),IFERROR(0/0,""))</f>
        <v>RUN-ABRM_2022-11-27_RFR-091</v>
      </c>
      <c r="S549" s="315" t="str">
        <f t="shared" ref="S549:T549" si="1102">IF(COUNTIF(W$2:W1399, $A549) &gt; 0,TRUE,IFERROR(0/0,""))</f>
        <v/>
      </c>
      <c r="T549" s="315" t="str">
        <f t="shared" si="1102"/>
        <v/>
      </c>
      <c r="U549" s="114" t="str">
        <f t="array" ref="U549">IF(ISBLANK($R549), INDEX('Run Reconcile'!A$2:A1399, MATCH($B549, 'Run Reconcile'!B$2:B1399, 0)+Z549, 1), IFERROR(0/0,""))
</f>
        <v/>
      </c>
      <c r="V549" s="316" t="str">
        <f t="shared" si="5"/>
        <v>RUN-ABRM_2022-11-27_RFR-091</v>
      </c>
      <c r="Y549" s="317" t="str">
        <f t="shared" si="6"/>
        <v/>
      </c>
      <c r="Z549" s="83" t="str">
        <f t="shared" si="7"/>
        <v/>
      </c>
      <c r="AA549" s="83" t="str">
        <f t="shared" si="8"/>
        <v/>
      </c>
      <c r="AB549" s="83" t="str">
        <f t="shared" si="9"/>
        <v/>
      </c>
      <c r="AC549" s="18" t="str">
        <f t="shared" ref="AC549:AD549" si="1103">IF(_xlfn.ISFORMULA(S549),IFERROR(0/0,""),TRUE)</f>
        <v/>
      </c>
      <c r="AD549" s="18" t="str">
        <f t="shared" si="1103"/>
        <v/>
      </c>
      <c r="AE549" s="43"/>
      <c r="AF549" s="58" t="s">
        <v>89</v>
      </c>
      <c r="AG549" s="55" t="str">
        <f t="shared" si="11"/>
        <v/>
      </c>
    </row>
    <row r="550">
      <c r="A550" s="7" t="str">
        <f>IFERROR(__xludf.DUMMYFUNCTION("""COMPUTED_VALUE"""),"AH6843")</f>
        <v>AH6843</v>
      </c>
      <c r="B550" s="308">
        <f>IFERROR(__xludf.DUMMYFUNCTION("""COMPUTED_VALUE"""),44892.0)</f>
        <v>44892</v>
      </c>
      <c r="C550" s="309">
        <f>IFERROR(__xludf.DUMMYFUNCTION("""COMPUTED_VALUE"""),0.33717592592592593)</f>
        <v>0.3371759259</v>
      </c>
      <c r="D550" s="7" t="str">
        <f>IFERROR(__xludf.DUMMYFUNCTION("""COMPUTED_VALUE"""),"SpABRM814022")</f>
        <v>SpABRM814022</v>
      </c>
      <c r="E550" s="310"/>
      <c r="F550" s="310"/>
      <c r="G550" s="310" t="str">
        <f>IFERROR(__xludf.DUMMYFUNCTION("""COMPUTED_VALUE"""),"Negative")</f>
        <v>Negative</v>
      </c>
      <c r="H550" s="319" t="str">
        <f>IFERROR(__xludf.DUMMYFUNCTION("""COMPUTED_VALUE"""),"Negative")</f>
        <v>Negative</v>
      </c>
      <c r="I550" s="308">
        <f>IFERROR(__xludf.DUMMYFUNCTION("""COMPUTED_VALUE"""),44892.0)</f>
        <v>44892</v>
      </c>
      <c r="J550" s="311">
        <f>IFERROR(__xludf.DUMMYFUNCTION("""COMPUTED_VALUE"""),0.4475810185185185)</f>
        <v>0.4475810185</v>
      </c>
      <c r="K550" s="54"/>
      <c r="L550" s="7"/>
      <c r="M550" s="312"/>
      <c r="N550" s="172">
        <f>IFERROR(__xludf.DUMMYFUNCTION("""COMPUTED_VALUE"""),1.0)</f>
        <v>1</v>
      </c>
      <c r="O550" s="172" t="str">
        <f t="shared" si="3"/>
        <v/>
      </c>
      <c r="P550" s="313">
        <f>IFERROR(__xludf.DUMMYFUNCTION("""COMPUTED_VALUE"""),0.0)</f>
        <v>0</v>
      </c>
      <c r="Q550" s="76" t="b">
        <f>VLOOKUP($B550,'Run Reconcile'!B$2:O1399,14,FALSE)</f>
        <v>1</v>
      </c>
      <c r="R550" s="314" t="str">
        <f t="array" ref="R550">IF($Q550, INDEX('Run Reconcile'!A$2:A1399,MATCH(B550,'Run Reconcile'!B$2:B1399,0),1),IFERROR(0/0,""))</f>
        <v>RUN-ABRM_2022-11-27_RFR-091</v>
      </c>
      <c r="S550" s="315" t="str">
        <f t="shared" ref="S550:T550" si="1104">IF(COUNTIF(W$2:W1399, $A550) &gt; 0,TRUE,IFERROR(0/0,""))</f>
        <v/>
      </c>
      <c r="T550" s="315" t="str">
        <f t="shared" si="1104"/>
        <v/>
      </c>
      <c r="U550" s="114" t="str">
        <f t="array" ref="U550">IF(ISBLANK($R550), INDEX('Run Reconcile'!A$2:A1399, MATCH($B550, 'Run Reconcile'!B$2:B1399, 0)+Z550, 1), IFERROR(0/0,""))
</f>
        <v/>
      </c>
      <c r="V550" s="316" t="str">
        <f t="shared" si="5"/>
        <v>RUN-ABRM_2022-11-27_RFR-091</v>
      </c>
      <c r="Y550" s="317" t="str">
        <f t="shared" si="6"/>
        <v/>
      </c>
      <c r="Z550" s="83" t="str">
        <f t="shared" si="7"/>
        <v/>
      </c>
      <c r="AA550" s="83" t="str">
        <f t="shared" si="8"/>
        <v/>
      </c>
      <c r="AB550" s="83" t="str">
        <f t="shared" si="9"/>
        <v/>
      </c>
      <c r="AC550" s="18" t="str">
        <f t="shared" ref="AC550:AD550" si="1105">IF(_xlfn.ISFORMULA(S550),IFERROR(0/0,""),TRUE)</f>
        <v/>
      </c>
      <c r="AD550" s="18" t="str">
        <f t="shared" si="1105"/>
        <v/>
      </c>
      <c r="AE550" s="43"/>
      <c r="AF550" s="58" t="s">
        <v>89</v>
      </c>
      <c r="AG550" s="55" t="str">
        <f t="shared" si="11"/>
        <v/>
      </c>
    </row>
    <row r="551">
      <c r="A551" s="7" t="str">
        <f>IFERROR(__xludf.DUMMYFUNCTION("""COMPUTED_VALUE"""),"AH6744")</f>
        <v>AH6744</v>
      </c>
      <c r="B551" s="308">
        <f>IFERROR(__xludf.DUMMYFUNCTION("""COMPUTED_VALUE"""),44892.0)</f>
        <v>44892</v>
      </c>
      <c r="C551" s="309">
        <f>IFERROR(__xludf.DUMMYFUNCTION("""COMPUTED_VALUE"""),0.40546296296296297)</f>
        <v>0.405462963</v>
      </c>
      <c r="D551" s="7" t="str">
        <f>IFERROR(__xludf.DUMMYFUNCTION("""COMPUTED_VALUE"""),"SpABRM655136")</f>
        <v>SpABRM655136</v>
      </c>
      <c r="E551" s="310"/>
      <c r="F551" s="310"/>
      <c r="G551" s="310" t="str">
        <f>IFERROR(__xludf.DUMMYFUNCTION("""COMPUTED_VALUE"""),"Negative")</f>
        <v>Negative</v>
      </c>
      <c r="H551" s="319" t="str">
        <f>IFERROR(__xludf.DUMMYFUNCTION("""COMPUTED_VALUE"""),"Negative")</f>
        <v>Negative</v>
      </c>
      <c r="I551" s="308">
        <f>IFERROR(__xludf.DUMMYFUNCTION("""COMPUTED_VALUE"""),44892.0)</f>
        <v>44892</v>
      </c>
      <c r="J551" s="311">
        <f>IFERROR(__xludf.DUMMYFUNCTION("""COMPUTED_VALUE"""),0.4475810185185185)</f>
        <v>0.4475810185</v>
      </c>
      <c r="K551" s="54"/>
      <c r="L551" s="7"/>
      <c r="M551" s="312"/>
      <c r="N551" s="172">
        <f>IFERROR(__xludf.DUMMYFUNCTION("""COMPUTED_VALUE"""),1.0)</f>
        <v>1</v>
      </c>
      <c r="O551" s="172" t="str">
        <f t="shared" si="3"/>
        <v/>
      </c>
      <c r="P551" s="313">
        <f>IFERROR(__xludf.DUMMYFUNCTION("""COMPUTED_VALUE"""),0.0)</f>
        <v>0</v>
      </c>
      <c r="Q551" s="76" t="b">
        <f>VLOOKUP($B551,'Run Reconcile'!B$2:O1399,14,FALSE)</f>
        <v>1</v>
      </c>
      <c r="R551" s="314" t="str">
        <f t="array" ref="R551">IF($Q551, INDEX('Run Reconcile'!A$2:A1399,MATCH(B551,'Run Reconcile'!B$2:B1399,0),1),IFERROR(0/0,""))</f>
        <v>RUN-ABRM_2022-11-27_RFR-091</v>
      </c>
      <c r="S551" s="315" t="str">
        <f t="shared" ref="S551:T551" si="1106">IF(COUNTIF(W$2:W1399, $A551) &gt; 0,TRUE,IFERROR(0/0,""))</f>
        <v/>
      </c>
      <c r="T551" s="315" t="str">
        <f t="shared" si="1106"/>
        <v/>
      </c>
      <c r="U551" s="114" t="str">
        <f t="array" ref="U551">IF(ISBLANK($R551), INDEX('Run Reconcile'!A$2:A1399, MATCH($B551, 'Run Reconcile'!B$2:B1399, 0)+Z551, 1), IFERROR(0/0,""))
</f>
        <v/>
      </c>
      <c r="V551" s="316" t="str">
        <f t="shared" si="5"/>
        <v>RUN-ABRM_2022-11-27_RFR-091</v>
      </c>
      <c r="Y551" s="317" t="str">
        <f t="shared" si="6"/>
        <v/>
      </c>
      <c r="Z551" s="83" t="str">
        <f t="shared" si="7"/>
        <v/>
      </c>
      <c r="AA551" s="83" t="str">
        <f t="shared" si="8"/>
        <v/>
      </c>
      <c r="AB551" s="83" t="str">
        <f t="shared" si="9"/>
        <v/>
      </c>
      <c r="AC551" s="18" t="str">
        <f t="shared" ref="AC551:AD551" si="1107">IF(_xlfn.ISFORMULA(S551),IFERROR(0/0,""),TRUE)</f>
        <v/>
      </c>
      <c r="AD551" s="18" t="str">
        <f t="shared" si="1107"/>
        <v/>
      </c>
      <c r="AE551" s="43"/>
      <c r="AF551" s="58" t="s">
        <v>89</v>
      </c>
      <c r="AG551" s="55" t="str">
        <f t="shared" si="11"/>
        <v/>
      </c>
    </row>
    <row r="552">
      <c r="A552" s="7" t="str">
        <f>IFERROR(__xludf.DUMMYFUNCTION("""COMPUTED_VALUE"""),"AH8690")</f>
        <v>AH8690</v>
      </c>
      <c r="B552" s="308">
        <f>IFERROR(__xludf.DUMMYFUNCTION("""COMPUTED_VALUE"""),44892.0)</f>
        <v>44892</v>
      </c>
      <c r="C552" s="309">
        <f>IFERROR(__xludf.DUMMYFUNCTION("""COMPUTED_VALUE"""),0.40619212962962964)</f>
        <v>0.4061921296</v>
      </c>
      <c r="D552" s="7" t="str">
        <f>IFERROR(__xludf.DUMMYFUNCTION("""COMPUTED_VALUE"""),"SpABRM655136")</f>
        <v>SpABRM655136</v>
      </c>
      <c r="E552" s="310"/>
      <c r="F552" s="310"/>
      <c r="G552" s="310" t="str">
        <f>IFERROR(__xludf.DUMMYFUNCTION("""COMPUTED_VALUE"""),"Negative")</f>
        <v>Negative</v>
      </c>
      <c r="H552" s="319" t="str">
        <f>IFERROR(__xludf.DUMMYFUNCTION("""COMPUTED_VALUE"""),"Negative")</f>
        <v>Negative</v>
      </c>
      <c r="I552" s="308">
        <f>IFERROR(__xludf.DUMMYFUNCTION("""COMPUTED_VALUE"""),44892.0)</f>
        <v>44892</v>
      </c>
      <c r="J552" s="311">
        <f>IFERROR(__xludf.DUMMYFUNCTION("""COMPUTED_VALUE"""),0.4475925925925926)</f>
        <v>0.4475925926</v>
      </c>
      <c r="K552" s="54"/>
      <c r="L552" s="7"/>
      <c r="M552" s="312"/>
      <c r="N552" s="172">
        <f>IFERROR(__xludf.DUMMYFUNCTION("""COMPUTED_VALUE"""),3.0)</f>
        <v>3</v>
      </c>
      <c r="O552" s="172" t="str">
        <f t="shared" si="3"/>
        <v/>
      </c>
      <c r="P552" s="313">
        <f>IFERROR(__xludf.DUMMYFUNCTION("""COMPUTED_VALUE"""),0.0)</f>
        <v>0</v>
      </c>
      <c r="Q552" s="76" t="b">
        <f>VLOOKUP($B552,'Run Reconcile'!B$2:O1399,14,FALSE)</f>
        <v>1</v>
      </c>
      <c r="R552" s="314" t="str">
        <f t="array" ref="R552">IF($Q552, INDEX('Run Reconcile'!A$2:A1399,MATCH(B552,'Run Reconcile'!B$2:B1399,0),1),IFERROR(0/0,""))</f>
        <v>RUN-ABRM_2022-11-27_RFR-091</v>
      </c>
      <c r="S552" s="315" t="str">
        <f t="shared" ref="S552:T552" si="1108">IF(COUNTIF(W$2:W1399, $A552) &gt; 0,TRUE,IFERROR(0/0,""))</f>
        <v/>
      </c>
      <c r="T552" s="315" t="str">
        <f t="shared" si="1108"/>
        <v/>
      </c>
      <c r="U552" s="114" t="str">
        <f t="array" ref="U552">IF(ISBLANK($R552), INDEX('Run Reconcile'!A$2:A1399, MATCH($B552, 'Run Reconcile'!B$2:B1399, 0)+Z552, 1), IFERROR(0/0,""))
</f>
        <v/>
      </c>
      <c r="V552" s="316" t="str">
        <f t="shared" si="5"/>
        <v>RUN-ABRM_2022-11-27_RFR-091</v>
      </c>
      <c r="Y552" s="317" t="str">
        <f t="shared" si="6"/>
        <v/>
      </c>
      <c r="Z552" s="83" t="str">
        <f t="shared" si="7"/>
        <v/>
      </c>
      <c r="AA552" s="83" t="str">
        <f t="shared" si="8"/>
        <v/>
      </c>
      <c r="AB552" s="83" t="str">
        <f t="shared" si="9"/>
        <v/>
      </c>
      <c r="AC552" s="18" t="str">
        <f t="shared" ref="AC552:AD552" si="1109">IF(_xlfn.ISFORMULA(S552),IFERROR(0/0,""),TRUE)</f>
        <v/>
      </c>
      <c r="AD552" s="18" t="str">
        <f t="shared" si="1109"/>
        <v/>
      </c>
      <c r="AE552" s="43"/>
      <c r="AF552" s="58" t="s">
        <v>89</v>
      </c>
      <c r="AG552" s="55" t="str">
        <f t="shared" si="11"/>
        <v/>
      </c>
    </row>
    <row r="553">
      <c r="A553" s="7" t="str">
        <f>IFERROR(__xludf.DUMMYFUNCTION("""COMPUTED_VALUE"""),"AJ7933")</f>
        <v>AJ7933</v>
      </c>
      <c r="B553" s="308">
        <f>IFERROR(__xludf.DUMMYFUNCTION("""COMPUTED_VALUE"""),44893.0)</f>
        <v>44893</v>
      </c>
      <c r="C553" s="309">
        <f>IFERROR(__xludf.DUMMYFUNCTION("""COMPUTED_VALUE"""),0.2969097222222222)</f>
        <v>0.2969097222</v>
      </c>
      <c r="D553" s="7" t="str">
        <f>IFERROR(__xludf.DUMMYFUNCTION("""COMPUTED_VALUE"""),"SpABRM716377")</f>
        <v>SpABRM716377</v>
      </c>
      <c r="E553" s="310"/>
      <c r="F553" s="310"/>
      <c r="G553" s="310" t="str">
        <f>IFERROR(__xludf.DUMMYFUNCTION("""COMPUTED_VALUE"""),"Negative")</f>
        <v>Negative</v>
      </c>
      <c r="H553" s="319" t="str">
        <f>IFERROR(__xludf.DUMMYFUNCTION("""COMPUTED_VALUE"""),"Negative")</f>
        <v>Negative</v>
      </c>
      <c r="I553" s="308">
        <f>IFERROR(__xludf.DUMMYFUNCTION("""COMPUTED_VALUE"""),44894.0)</f>
        <v>44894</v>
      </c>
      <c r="J553" s="311">
        <f>IFERROR(__xludf.DUMMYFUNCTION("""COMPUTED_VALUE"""),0.4938425925925926)</f>
        <v>0.4938425926</v>
      </c>
      <c r="K553" s="54"/>
      <c r="L553" s="7"/>
      <c r="M553" s="312"/>
      <c r="N553" s="172">
        <f>IFERROR(__xludf.DUMMYFUNCTION("""COMPUTED_VALUE"""),3.0)</f>
        <v>3</v>
      </c>
      <c r="O553" s="172" t="b">
        <f t="shared" si="3"/>
        <v>1</v>
      </c>
      <c r="P553" s="313">
        <f>IFERROR(__xludf.DUMMYFUNCTION("""COMPUTED_VALUE"""),1.0)</f>
        <v>1</v>
      </c>
      <c r="Q553" s="76" t="b">
        <f>VLOOKUP($B553,'Run Reconcile'!B$2:O1399,14,FALSE)</f>
        <v>1</v>
      </c>
      <c r="R553" s="314" t="str">
        <f t="array" ref="R553">IF($Q553, INDEX('Run Reconcile'!A$2:A1399,MATCH(B553,'Run Reconcile'!B$2:B1399,0),1),IFERROR(0/0,""))</f>
        <v>RUN-ABRM_2022-11-28_RFR-092</v>
      </c>
      <c r="S553" s="315" t="str">
        <f t="shared" ref="S553:T553" si="1110">IF(COUNTIF(W$2:W1399, $A553) &gt; 0,TRUE,IFERROR(0/0,""))</f>
        <v/>
      </c>
      <c r="T553" s="315" t="str">
        <f t="shared" si="1110"/>
        <v/>
      </c>
      <c r="U553" s="114" t="str">
        <f t="array" ref="U553">IF(ISBLANK($R553), INDEX('Run Reconcile'!A$2:A1399, MATCH($B553, 'Run Reconcile'!B$2:B1399, 0)+Z553, 1), IFERROR(0/0,""))
</f>
        <v/>
      </c>
      <c r="V553" s="316" t="str">
        <f t="shared" si="5"/>
        <v>RUN-ABRM_2022-11-28_RFR-092</v>
      </c>
      <c r="Y553" s="317" t="str">
        <f t="shared" si="6"/>
        <v/>
      </c>
      <c r="Z553" s="83" t="str">
        <f t="shared" si="7"/>
        <v/>
      </c>
      <c r="AA553" s="83" t="str">
        <f t="shared" si="8"/>
        <v/>
      </c>
      <c r="AB553" s="83" t="str">
        <f t="shared" si="9"/>
        <v/>
      </c>
      <c r="AC553" s="18" t="str">
        <f t="shared" ref="AC553:AD553" si="1111">IF(_xlfn.ISFORMULA(S553),IFERROR(0/0,""),TRUE)</f>
        <v/>
      </c>
      <c r="AD553" s="18" t="str">
        <f t="shared" si="1111"/>
        <v/>
      </c>
      <c r="AE553" s="43"/>
      <c r="AF553" s="58" t="s">
        <v>90</v>
      </c>
      <c r="AG553" s="55" t="str">
        <f t="shared" si="11"/>
        <v/>
      </c>
    </row>
    <row r="554">
      <c r="A554" s="7" t="str">
        <f>IFERROR(__xludf.DUMMYFUNCTION("""COMPUTED_VALUE"""),"AG585")</f>
        <v>AG585</v>
      </c>
      <c r="B554" s="308">
        <f>IFERROR(__xludf.DUMMYFUNCTION("""COMPUTED_VALUE"""),44893.0)</f>
        <v>44893</v>
      </c>
      <c r="C554" s="309">
        <f>IFERROR(__xludf.DUMMYFUNCTION("""COMPUTED_VALUE"""),0.29875)</f>
        <v>0.29875</v>
      </c>
      <c r="D554" s="7" t="str">
        <f>IFERROR(__xludf.DUMMYFUNCTION("""COMPUTED_VALUE"""),"SpABRM367540")</f>
        <v>SpABRM367540</v>
      </c>
      <c r="E554" s="310"/>
      <c r="F554" s="310"/>
      <c r="G554" s="310" t="str">
        <f>IFERROR(__xludf.DUMMYFUNCTION("""COMPUTED_VALUE"""),"Negative")</f>
        <v>Negative</v>
      </c>
      <c r="H554" s="319" t="str">
        <f>IFERROR(__xludf.DUMMYFUNCTION("""COMPUTED_VALUE"""),"Negative")</f>
        <v>Negative</v>
      </c>
      <c r="I554" s="308">
        <f>IFERROR(__xludf.DUMMYFUNCTION("""COMPUTED_VALUE"""),44894.0)</f>
        <v>44894</v>
      </c>
      <c r="J554" s="311">
        <f>IFERROR(__xludf.DUMMYFUNCTION("""COMPUTED_VALUE"""),0.4938425925925926)</f>
        <v>0.4938425926</v>
      </c>
      <c r="K554" s="54"/>
      <c r="L554" s="7"/>
      <c r="M554" s="312"/>
      <c r="N554" s="172">
        <f>IFERROR(__xludf.DUMMYFUNCTION("""COMPUTED_VALUE"""),3.0)</f>
        <v>3</v>
      </c>
      <c r="O554" s="172" t="str">
        <f t="shared" si="3"/>
        <v/>
      </c>
      <c r="P554" s="313">
        <f>IFERROR(__xludf.DUMMYFUNCTION("""COMPUTED_VALUE"""),1.0)</f>
        <v>1</v>
      </c>
      <c r="Q554" s="76" t="b">
        <f>VLOOKUP($B554,'Run Reconcile'!B$2:O1399,14,FALSE)</f>
        <v>1</v>
      </c>
      <c r="R554" s="314" t="str">
        <f t="array" ref="R554">IF($Q554, INDEX('Run Reconcile'!A$2:A1399,MATCH(B554,'Run Reconcile'!B$2:B1399,0),1),IFERROR(0/0,""))</f>
        <v>RUN-ABRM_2022-11-28_RFR-092</v>
      </c>
      <c r="S554" s="315" t="str">
        <f t="shared" ref="S554:T554" si="1112">IF(COUNTIF(W$2:W1399, $A554) &gt; 0,TRUE,IFERROR(0/0,""))</f>
        <v/>
      </c>
      <c r="T554" s="315" t="str">
        <f t="shared" si="1112"/>
        <v/>
      </c>
      <c r="U554" s="114" t="str">
        <f t="array" ref="U554">IF(ISBLANK($R554), INDEX('Run Reconcile'!A$2:A1399, MATCH($B554, 'Run Reconcile'!B$2:B1399, 0)+Z554, 1), IFERROR(0/0,""))
</f>
        <v/>
      </c>
      <c r="V554" s="316" t="str">
        <f t="shared" si="5"/>
        <v>RUN-ABRM_2022-11-28_RFR-092</v>
      </c>
      <c r="Y554" s="317" t="str">
        <f t="shared" si="6"/>
        <v/>
      </c>
      <c r="Z554" s="83" t="str">
        <f t="shared" si="7"/>
        <v/>
      </c>
      <c r="AA554" s="83" t="str">
        <f t="shared" si="8"/>
        <v/>
      </c>
      <c r="AB554" s="83" t="str">
        <f t="shared" si="9"/>
        <v/>
      </c>
      <c r="AC554" s="18" t="str">
        <f t="shared" ref="AC554:AD554" si="1113">IF(_xlfn.ISFORMULA(S554),IFERROR(0/0,""),TRUE)</f>
        <v/>
      </c>
      <c r="AD554" s="18" t="str">
        <f t="shared" si="1113"/>
        <v/>
      </c>
      <c r="AE554" s="43"/>
      <c r="AF554" s="58" t="s">
        <v>90</v>
      </c>
      <c r="AG554" s="55" t="str">
        <f t="shared" si="11"/>
        <v/>
      </c>
    </row>
    <row r="555">
      <c r="A555" s="7" t="str">
        <f>IFERROR(__xludf.DUMMYFUNCTION("""COMPUTED_VALUE"""),"AG900")</f>
        <v>AG900</v>
      </c>
      <c r="B555" s="308">
        <f>IFERROR(__xludf.DUMMYFUNCTION("""COMPUTED_VALUE"""),44893.0)</f>
        <v>44893</v>
      </c>
      <c r="C555" s="309">
        <f>IFERROR(__xludf.DUMMYFUNCTION("""COMPUTED_VALUE"""),0.3016666666666667)</f>
        <v>0.3016666667</v>
      </c>
      <c r="D555" s="7" t="str">
        <f>IFERROR(__xludf.DUMMYFUNCTION("""COMPUTED_VALUE"""),"SpABRM756011")</f>
        <v>SpABRM756011</v>
      </c>
      <c r="E555" s="310"/>
      <c r="F555" s="310"/>
      <c r="G555" s="310" t="str">
        <f>IFERROR(__xludf.DUMMYFUNCTION("""COMPUTED_VALUE"""),"Negative")</f>
        <v>Negative</v>
      </c>
      <c r="H555" s="319" t="str">
        <f>IFERROR(__xludf.DUMMYFUNCTION("""COMPUTED_VALUE"""),"Negative")</f>
        <v>Negative</v>
      </c>
      <c r="I555" s="308">
        <f>IFERROR(__xludf.DUMMYFUNCTION("""COMPUTED_VALUE"""),44894.0)</f>
        <v>44894</v>
      </c>
      <c r="J555" s="311">
        <f>IFERROR(__xludf.DUMMYFUNCTION("""COMPUTED_VALUE"""),0.49385416666666665)</f>
        <v>0.4938541667</v>
      </c>
      <c r="K555" s="54"/>
      <c r="L555" s="7"/>
      <c r="M555" s="312"/>
      <c r="N555" s="172">
        <f>IFERROR(__xludf.DUMMYFUNCTION("""COMPUTED_VALUE"""),2.0)</f>
        <v>2</v>
      </c>
      <c r="O555" s="172" t="str">
        <f t="shared" si="3"/>
        <v/>
      </c>
      <c r="P555" s="313">
        <f>IFERROR(__xludf.DUMMYFUNCTION("""COMPUTED_VALUE"""),1.0)</f>
        <v>1</v>
      </c>
      <c r="Q555" s="76" t="b">
        <f>VLOOKUP($B555,'Run Reconcile'!B$2:O1399,14,FALSE)</f>
        <v>1</v>
      </c>
      <c r="R555" s="314" t="str">
        <f t="array" ref="R555">IF($Q555, INDEX('Run Reconcile'!A$2:A1399,MATCH(B555,'Run Reconcile'!B$2:B1399,0),1),IFERROR(0/0,""))</f>
        <v>RUN-ABRM_2022-11-28_RFR-092</v>
      </c>
      <c r="S555" s="315" t="str">
        <f t="shared" ref="S555:T555" si="1114">IF(COUNTIF(W$2:W1399, $A555) &gt; 0,TRUE,IFERROR(0/0,""))</f>
        <v/>
      </c>
      <c r="T555" s="315" t="str">
        <f t="shared" si="1114"/>
        <v/>
      </c>
      <c r="U555" s="114" t="str">
        <f t="array" ref="U555">IF(ISBLANK($R555), INDEX('Run Reconcile'!A$2:A1399, MATCH($B555, 'Run Reconcile'!B$2:B1399, 0)+Z555, 1), IFERROR(0/0,""))
</f>
        <v/>
      </c>
      <c r="V555" s="316" t="str">
        <f t="shared" si="5"/>
        <v>RUN-ABRM_2022-11-28_RFR-092</v>
      </c>
      <c r="Y555" s="317" t="str">
        <f t="shared" si="6"/>
        <v/>
      </c>
      <c r="Z555" s="83" t="str">
        <f t="shared" si="7"/>
        <v/>
      </c>
      <c r="AA555" s="83" t="str">
        <f t="shared" si="8"/>
        <v/>
      </c>
      <c r="AB555" s="83" t="str">
        <f t="shared" si="9"/>
        <v/>
      </c>
      <c r="AC555" s="18" t="str">
        <f t="shared" ref="AC555:AD555" si="1115">IF(_xlfn.ISFORMULA(S555),IFERROR(0/0,""),TRUE)</f>
        <v/>
      </c>
      <c r="AD555" s="18" t="str">
        <f t="shared" si="1115"/>
        <v/>
      </c>
      <c r="AE555" s="43"/>
      <c r="AF555" s="58" t="s">
        <v>90</v>
      </c>
      <c r="AG555" s="55" t="str">
        <f t="shared" si="11"/>
        <v/>
      </c>
    </row>
    <row r="556">
      <c r="A556" s="7" t="str">
        <f>IFERROR(__xludf.DUMMYFUNCTION("""COMPUTED_VALUE"""),"AH727")</f>
        <v>AH727</v>
      </c>
      <c r="B556" s="308">
        <f>IFERROR(__xludf.DUMMYFUNCTION("""COMPUTED_VALUE"""),44893.0)</f>
        <v>44893</v>
      </c>
      <c r="C556" s="309">
        <f>IFERROR(__xludf.DUMMYFUNCTION("""COMPUTED_VALUE"""),0.3044791666666667)</f>
        <v>0.3044791667</v>
      </c>
      <c r="D556" s="7" t="str">
        <f>IFERROR(__xludf.DUMMYFUNCTION("""COMPUTED_VALUE"""),"SpABRM297307")</f>
        <v>SpABRM297307</v>
      </c>
      <c r="E556" s="310"/>
      <c r="F556" s="310"/>
      <c r="G556" s="310" t="str">
        <f>IFERROR(__xludf.DUMMYFUNCTION("""COMPUTED_VALUE"""),"Negative")</f>
        <v>Negative</v>
      </c>
      <c r="H556" s="319" t="str">
        <f>IFERROR(__xludf.DUMMYFUNCTION("""COMPUTED_VALUE"""),"Negative")</f>
        <v>Negative</v>
      </c>
      <c r="I556" s="308">
        <f>IFERROR(__xludf.DUMMYFUNCTION("""COMPUTED_VALUE"""),44894.0)</f>
        <v>44894</v>
      </c>
      <c r="J556" s="311">
        <f>IFERROR(__xludf.DUMMYFUNCTION("""COMPUTED_VALUE"""),0.49385416666666665)</f>
        <v>0.4938541667</v>
      </c>
      <c r="K556" s="54"/>
      <c r="L556" s="7"/>
      <c r="M556" s="312"/>
      <c r="N556" s="172">
        <f>IFERROR(__xludf.DUMMYFUNCTION("""COMPUTED_VALUE"""),4.0)</f>
        <v>4</v>
      </c>
      <c r="O556" s="172" t="str">
        <f t="shared" si="3"/>
        <v/>
      </c>
      <c r="P556" s="313">
        <f>IFERROR(__xludf.DUMMYFUNCTION("""COMPUTED_VALUE"""),1.0)</f>
        <v>1</v>
      </c>
      <c r="Q556" s="76" t="b">
        <f>VLOOKUP($B556,'Run Reconcile'!B$2:O1399,14,FALSE)</f>
        <v>1</v>
      </c>
      <c r="R556" s="314" t="str">
        <f t="array" ref="R556">IF($Q556, INDEX('Run Reconcile'!A$2:A1399,MATCH(B556,'Run Reconcile'!B$2:B1399,0),1),IFERROR(0/0,""))</f>
        <v>RUN-ABRM_2022-11-28_RFR-092</v>
      </c>
      <c r="S556" s="315" t="str">
        <f t="shared" ref="S556:T556" si="1116">IF(COUNTIF(W$2:W1399, $A556) &gt; 0,TRUE,IFERROR(0/0,""))</f>
        <v/>
      </c>
      <c r="T556" s="315" t="str">
        <f t="shared" si="1116"/>
        <v/>
      </c>
      <c r="U556" s="114" t="str">
        <f t="array" ref="U556">IF(ISBLANK($R556), INDEX('Run Reconcile'!A$2:A1399, MATCH($B556, 'Run Reconcile'!B$2:B1399, 0)+Z556, 1), IFERROR(0/0,""))
</f>
        <v/>
      </c>
      <c r="V556" s="316" t="str">
        <f t="shared" si="5"/>
        <v>RUN-ABRM_2022-11-28_RFR-092</v>
      </c>
      <c r="Y556" s="317" t="str">
        <f t="shared" si="6"/>
        <v/>
      </c>
      <c r="Z556" s="83" t="str">
        <f t="shared" si="7"/>
        <v/>
      </c>
      <c r="AA556" s="83" t="str">
        <f t="shared" si="8"/>
        <v/>
      </c>
      <c r="AB556" s="83" t="str">
        <f t="shared" si="9"/>
        <v/>
      </c>
      <c r="AC556" s="18" t="str">
        <f t="shared" ref="AC556:AD556" si="1117">IF(_xlfn.ISFORMULA(S556),IFERROR(0/0,""),TRUE)</f>
        <v/>
      </c>
      <c r="AD556" s="18" t="str">
        <f t="shared" si="1117"/>
        <v/>
      </c>
      <c r="AE556" s="43"/>
      <c r="AF556" s="58" t="s">
        <v>90</v>
      </c>
      <c r="AG556" s="55" t="str">
        <f t="shared" si="11"/>
        <v/>
      </c>
    </row>
    <row r="557">
      <c r="A557" s="7" t="str">
        <f>IFERROR(__xludf.DUMMYFUNCTION("""COMPUTED_VALUE"""),"AH7834")</f>
        <v>AH7834</v>
      </c>
      <c r="B557" s="308">
        <f>IFERROR(__xludf.DUMMYFUNCTION("""COMPUTED_VALUE"""),44893.0)</f>
        <v>44893</v>
      </c>
      <c r="C557" s="309">
        <f>IFERROR(__xludf.DUMMYFUNCTION("""COMPUTED_VALUE"""),0.3046875)</f>
        <v>0.3046875</v>
      </c>
      <c r="D557" s="7" t="str">
        <f>IFERROR(__xludf.DUMMYFUNCTION("""COMPUTED_VALUE"""),"SpABRM128250")</f>
        <v>SpABRM128250</v>
      </c>
      <c r="E557" s="310"/>
      <c r="F557" s="310"/>
      <c r="G557" s="310" t="str">
        <f>IFERROR(__xludf.DUMMYFUNCTION("""COMPUTED_VALUE"""),"Negative")</f>
        <v>Negative</v>
      </c>
      <c r="H557" s="319" t="str">
        <f>IFERROR(__xludf.DUMMYFUNCTION("""COMPUTED_VALUE"""),"Negative")</f>
        <v>Negative</v>
      </c>
      <c r="I557" s="308">
        <f>IFERROR(__xludf.DUMMYFUNCTION("""COMPUTED_VALUE"""),44894.0)</f>
        <v>44894</v>
      </c>
      <c r="J557" s="311">
        <f>IFERROR(__xludf.DUMMYFUNCTION("""COMPUTED_VALUE"""),0.49385416666666665)</f>
        <v>0.4938541667</v>
      </c>
      <c r="K557" s="54"/>
      <c r="L557" s="7"/>
      <c r="M557" s="312"/>
      <c r="N557" s="172">
        <f>IFERROR(__xludf.DUMMYFUNCTION("""COMPUTED_VALUE"""),3.0)</f>
        <v>3</v>
      </c>
      <c r="O557" s="172" t="str">
        <f t="shared" si="3"/>
        <v/>
      </c>
      <c r="P557" s="313">
        <f>IFERROR(__xludf.DUMMYFUNCTION("""COMPUTED_VALUE"""),1.0)</f>
        <v>1</v>
      </c>
      <c r="Q557" s="76" t="b">
        <f>VLOOKUP($B557,'Run Reconcile'!B$2:O1399,14,FALSE)</f>
        <v>1</v>
      </c>
      <c r="R557" s="314" t="str">
        <f t="array" ref="R557">IF($Q557, INDEX('Run Reconcile'!A$2:A1399,MATCH(B557,'Run Reconcile'!B$2:B1399,0),1),IFERROR(0/0,""))</f>
        <v>RUN-ABRM_2022-11-28_RFR-092</v>
      </c>
      <c r="S557" s="315" t="str">
        <f t="shared" ref="S557:T557" si="1118">IF(COUNTIF(W$2:W1399, $A557) &gt; 0,TRUE,IFERROR(0/0,""))</f>
        <v/>
      </c>
      <c r="T557" s="315" t="str">
        <f t="shared" si="1118"/>
        <v/>
      </c>
      <c r="U557" s="114" t="str">
        <f t="array" ref="U557">IF(ISBLANK($R557), INDEX('Run Reconcile'!A$2:A1399, MATCH($B557, 'Run Reconcile'!B$2:B1399, 0)+Z557, 1), IFERROR(0/0,""))
</f>
        <v/>
      </c>
      <c r="V557" s="316" t="str">
        <f t="shared" si="5"/>
        <v>RUN-ABRM_2022-11-28_RFR-092</v>
      </c>
      <c r="Y557" s="317" t="str">
        <f t="shared" si="6"/>
        <v/>
      </c>
      <c r="Z557" s="83" t="str">
        <f t="shared" si="7"/>
        <v/>
      </c>
      <c r="AA557" s="83" t="str">
        <f t="shared" si="8"/>
        <v/>
      </c>
      <c r="AB557" s="83" t="str">
        <f t="shared" si="9"/>
        <v/>
      </c>
      <c r="AC557" s="18" t="str">
        <f t="shared" ref="AC557:AD557" si="1119">IF(_xlfn.ISFORMULA(S557),IFERROR(0/0,""),TRUE)</f>
        <v/>
      </c>
      <c r="AD557" s="18" t="str">
        <f t="shared" si="1119"/>
        <v/>
      </c>
      <c r="AE557" s="43"/>
      <c r="AF557" s="58" t="s">
        <v>90</v>
      </c>
      <c r="AG557" s="55" t="str">
        <f t="shared" si="11"/>
        <v/>
      </c>
    </row>
    <row r="558">
      <c r="A558" s="7" t="str">
        <f>IFERROR(__xludf.DUMMYFUNCTION("""COMPUTED_VALUE"""),"AG167")</f>
        <v>AG167</v>
      </c>
      <c r="B558" s="308">
        <f>IFERROR(__xludf.DUMMYFUNCTION("""COMPUTED_VALUE"""),44893.0)</f>
        <v>44893</v>
      </c>
      <c r="C558" s="309">
        <f>IFERROR(__xludf.DUMMYFUNCTION("""COMPUTED_VALUE"""),0.3207638888888889)</f>
        <v>0.3207638889</v>
      </c>
      <c r="D558" s="7" t="str">
        <f>IFERROR(__xludf.DUMMYFUNCTION("""COMPUTED_VALUE"""),"SpABRM814022")</f>
        <v>SpABRM814022</v>
      </c>
      <c r="E558" s="310"/>
      <c r="F558" s="310"/>
      <c r="G558" s="310" t="str">
        <f>IFERROR(__xludf.DUMMYFUNCTION("""COMPUTED_VALUE"""),"Negative")</f>
        <v>Negative</v>
      </c>
      <c r="H558" s="319" t="str">
        <f>IFERROR(__xludf.DUMMYFUNCTION("""COMPUTED_VALUE"""),"Negative")</f>
        <v>Negative</v>
      </c>
      <c r="I558" s="308">
        <f>IFERROR(__xludf.DUMMYFUNCTION("""COMPUTED_VALUE"""),44894.0)</f>
        <v>44894</v>
      </c>
      <c r="J558" s="311">
        <f>IFERROR(__xludf.DUMMYFUNCTION("""COMPUTED_VALUE"""),0.49386574074074074)</f>
        <v>0.4938657407</v>
      </c>
      <c r="K558" s="54"/>
      <c r="L558" s="7"/>
      <c r="M558" s="312"/>
      <c r="N558" s="172">
        <f>IFERROR(__xludf.DUMMYFUNCTION("""COMPUTED_VALUE"""),1.0)</f>
        <v>1</v>
      </c>
      <c r="O558" s="172" t="str">
        <f t="shared" si="3"/>
        <v/>
      </c>
      <c r="P558" s="313">
        <f>IFERROR(__xludf.DUMMYFUNCTION("""COMPUTED_VALUE"""),1.0)</f>
        <v>1</v>
      </c>
      <c r="Q558" s="76" t="b">
        <f>VLOOKUP($B558,'Run Reconcile'!B$2:O1399,14,FALSE)</f>
        <v>1</v>
      </c>
      <c r="R558" s="314" t="str">
        <f t="array" ref="R558">IF($Q558, INDEX('Run Reconcile'!A$2:A1399,MATCH(B558,'Run Reconcile'!B$2:B1399,0),1),IFERROR(0/0,""))</f>
        <v>RUN-ABRM_2022-11-28_RFR-092</v>
      </c>
      <c r="S558" s="315" t="str">
        <f t="shared" ref="S558:T558" si="1120">IF(COUNTIF(W$2:W1399, $A558) &gt; 0,TRUE,IFERROR(0/0,""))</f>
        <v/>
      </c>
      <c r="T558" s="315" t="str">
        <f t="shared" si="1120"/>
        <v/>
      </c>
      <c r="U558" s="114" t="str">
        <f t="array" ref="U558">IF(ISBLANK($R558), INDEX('Run Reconcile'!A$2:A1399, MATCH($B558, 'Run Reconcile'!B$2:B1399, 0)+Z558, 1), IFERROR(0/0,""))
</f>
        <v/>
      </c>
      <c r="V558" s="316" t="str">
        <f t="shared" si="5"/>
        <v>RUN-ABRM_2022-11-28_RFR-092</v>
      </c>
      <c r="Y558" s="317" t="str">
        <f t="shared" si="6"/>
        <v/>
      </c>
      <c r="Z558" s="83" t="str">
        <f t="shared" si="7"/>
        <v/>
      </c>
      <c r="AA558" s="83" t="str">
        <f t="shared" si="8"/>
        <v/>
      </c>
      <c r="AB558" s="83" t="str">
        <f t="shared" si="9"/>
        <v/>
      </c>
      <c r="AC558" s="18" t="str">
        <f t="shared" ref="AC558:AD558" si="1121">IF(_xlfn.ISFORMULA(S558),IFERROR(0/0,""),TRUE)</f>
        <v/>
      </c>
      <c r="AD558" s="18" t="str">
        <f t="shared" si="1121"/>
        <v/>
      </c>
      <c r="AE558" s="43"/>
      <c r="AF558" s="58" t="s">
        <v>90</v>
      </c>
      <c r="AG558" s="55" t="str">
        <f t="shared" si="11"/>
        <v/>
      </c>
    </row>
    <row r="559">
      <c r="A559" s="7" t="str">
        <f>IFERROR(__xludf.DUMMYFUNCTION("""COMPUTED_VALUE"""),"AH1146")</f>
        <v>AH1146</v>
      </c>
      <c r="B559" s="308">
        <f>IFERROR(__xludf.DUMMYFUNCTION("""COMPUTED_VALUE"""),44893.0)</f>
        <v>44893</v>
      </c>
      <c r="C559" s="309">
        <f>IFERROR(__xludf.DUMMYFUNCTION("""COMPUTED_VALUE"""),0.3233333333333333)</f>
        <v>0.3233333333</v>
      </c>
      <c r="D559" s="7" t="str">
        <f>IFERROR(__xludf.DUMMYFUNCTION("""COMPUTED_VALUE"""),"SpABRM655136")</f>
        <v>SpABRM655136</v>
      </c>
      <c r="E559" s="310"/>
      <c r="F559" s="310"/>
      <c r="G559" s="310" t="str">
        <f>IFERROR(__xludf.DUMMYFUNCTION("""COMPUTED_VALUE"""),"Negative")</f>
        <v>Negative</v>
      </c>
      <c r="H559" s="319" t="str">
        <f>IFERROR(__xludf.DUMMYFUNCTION("""COMPUTED_VALUE"""),"Negative")</f>
        <v>Negative</v>
      </c>
      <c r="I559" s="308">
        <f>IFERROR(__xludf.DUMMYFUNCTION("""COMPUTED_VALUE"""),44894.0)</f>
        <v>44894</v>
      </c>
      <c r="J559" s="311">
        <f>IFERROR(__xludf.DUMMYFUNCTION("""COMPUTED_VALUE"""),0.49386574074074074)</f>
        <v>0.4938657407</v>
      </c>
      <c r="K559" s="54"/>
      <c r="L559" s="7"/>
      <c r="M559" s="312"/>
      <c r="N559" s="172">
        <f>IFERROR(__xludf.DUMMYFUNCTION("""COMPUTED_VALUE"""),1.0)</f>
        <v>1</v>
      </c>
      <c r="O559" s="172" t="str">
        <f t="shared" si="3"/>
        <v/>
      </c>
      <c r="P559" s="313">
        <f>IFERROR(__xludf.DUMMYFUNCTION("""COMPUTED_VALUE"""),1.0)</f>
        <v>1</v>
      </c>
      <c r="Q559" s="76" t="b">
        <f>VLOOKUP($B559,'Run Reconcile'!B$2:O1399,14,FALSE)</f>
        <v>1</v>
      </c>
      <c r="R559" s="314" t="str">
        <f t="array" ref="R559">IF($Q559, INDEX('Run Reconcile'!A$2:A1399,MATCH(B559,'Run Reconcile'!B$2:B1399,0),1),IFERROR(0/0,""))</f>
        <v>RUN-ABRM_2022-11-28_RFR-092</v>
      </c>
      <c r="S559" s="315" t="str">
        <f t="shared" ref="S559:T559" si="1122">IF(COUNTIF(W$2:W1399, $A559) &gt; 0,TRUE,IFERROR(0/0,""))</f>
        <v/>
      </c>
      <c r="T559" s="315" t="str">
        <f t="shared" si="1122"/>
        <v/>
      </c>
      <c r="U559" s="114" t="str">
        <f t="array" ref="U559">IF(ISBLANK($R559), INDEX('Run Reconcile'!A$2:A1399, MATCH($B559, 'Run Reconcile'!B$2:B1399, 0)+Z559, 1), IFERROR(0/0,""))
</f>
        <v/>
      </c>
      <c r="V559" s="316" t="str">
        <f t="shared" si="5"/>
        <v>RUN-ABRM_2022-11-28_RFR-092</v>
      </c>
      <c r="Y559" s="317" t="str">
        <f t="shared" si="6"/>
        <v/>
      </c>
      <c r="Z559" s="83" t="str">
        <f t="shared" si="7"/>
        <v/>
      </c>
      <c r="AA559" s="83" t="str">
        <f t="shared" si="8"/>
        <v/>
      </c>
      <c r="AB559" s="83" t="str">
        <f t="shared" si="9"/>
        <v/>
      </c>
      <c r="AC559" s="18" t="str">
        <f t="shared" ref="AC559:AD559" si="1123">IF(_xlfn.ISFORMULA(S559),IFERROR(0/0,""),TRUE)</f>
        <v/>
      </c>
      <c r="AD559" s="18" t="str">
        <f t="shared" si="1123"/>
        <v/>
      </c>
      <c r="AE559" s="43"/>
      <c r="AF559" s="58" t="s">
        <v>90</v>
      </c>
      <c r="AG559" s="55" t="str">
        <f t="shared" si="11"/>
        <v/>
      </c>
    </row>
    <row r="560">
      <c r="A560" s="7" t="str">
        <f>IFERROR(__xludf.DUMMYFUNCTION("""COMPUTED_VALUE"""),"AH7510")</f>
        <v>AH7510</v>
      </c>
      <c r="B560" s="308">
        <f>IFERROR(__xludf.DUMMYFUNCTION("""COMPUTED_VALUE"""),44893.0)</f>
        <v>44893</v>
      </c>
      <c r="C560" s="309">
        <f>IFERROR(__xludf.DUMMYFUNCTION("""COMPUTED_VALUE"""),0.3244675925925926)</f>
        <v>0.3244675926</v>
      </c>
      <c r="D560" s="7" t="str">
        <f>IFERROR(__xludf.DUMMYFUNCTION("""COMPUTED_VALUE"""),"SpABRM655136")</f>
        <v>SpABRM655136</v>
      </c>
      <c r="E560" s="310"/>
      <c r="F560" s="310"/>
      <c r="G560" s="310" t="str">
        <f>IFERROR(__xludf.DUMMYFUNCTION("""COMPUTED_VALUE"""),"Negative")</f>
        <v>Negative</v>
      </c>
      <c r="H560" s="319" t="str">
        <f>IFERROR(__xludf.DUMMYFUNCTION("""COMPUTED_VALUE"""),"Negative")</f>
        <v>Negative</v>
      </c>
      <c r="I560" s="308">
        <f>IFERROR(__xludf.DUMMYFUNCTION("""COMPUTED_VALUE"""),44894.0)</f>
        <v>44894</v>
      </c>
      <c r="J560" s="311">
        <f>IFERROR(__xludf.DUMMYFUNCTION("""COMPUTED_VALUE"""),0.49386574074074074)</f>
        <v>0.4938657407</v>
      </c>
      <c r="K560" s="54"/>
      <c r="L560" s="7"/>
      <c r="M560" s="312"/>
      <c r="N560" s="172">
        <f>IFERROR(__xludf.DUMMYFUNCTION("""COMPUTED_VALUE"""),2.0)</f>
        <v>2</v>
      </c>
      <c r="O560" s="172" t="str">
        <f t="shared" si="3"/>
        <v/>
      </c>
      <c r="P560" s="313">
        <f>IFERROR(__xludf.DUMMYFUNCTION("""COMPUTED_VALUE"""),1.0)</f>
        <v>1</v>
      </c>
      <c r="Q560" s="76" t="b">
        <f>VLOOKUP($B560,'Run Reconcile'!B$2:O1399,14,FALSE)</f>
        <v>1</v>
      </c>
      <c r="R560" s="314" t="str">
        <f t="array" ref="R560">IF($Q560, INDEX('Run Reconcile'!A$2:A1399,MATCH(B560,'Run Reconcile'!B$2:B1399,0),1),IFERROR(0/0,""))</f>
        <v>RUN-ABRM_2022-11-28_RFR-092</v>
      </c>
      <c r="S560" s="315" t="str">
        <f t="shared" ref="S560:T560" si="1124">IF(COUNTIF(W$2:W1399, $A560) &gt; 0,TRUE,IFERROR(0/0,""))</f>
        <v/>
      </c>
      <c r="T560" s="315" t="str">
        <f t="shared" si="1124"/>
        <v/>
      </c>
      <c r="U560" s="114" t="str">
        <f t="array" ref="U560">IF(ISBLANK($R560), INDEX('Run Reconcile'!A$2:A1399, MATCH($B560, 'Run Reconcile'!B$2:B1399, 0)+Z560, 1), IFERROR(0/0,""))
</f>
        <v/>
      </c>
      <c r="V560" s="316" t="str">
        <f t="shared" si="5"/>
        <v>RUN-ABRM_2022-11-28_RFR-092</v>
      </c>
      <c r="Y560" s="317" t="str">
        <f t="shared" si="6"/>
        <v/>
      </c>
      <c r="Z560" s="83" t="str">
        <f t="shared" si="7"/>
        <v/>
      </c>
      <c r="AA560" s="83" t="str">
        <f t="shared" si="8"/>
        <v/>
      </c>
      <c r="AB560" s="83" t="str">
        <f t="shared" si="9"/>
        <v/>
      </c>
      <c r="AC560" s="18" t="str">
        <f t="shared" ref="AC560:AD560" si="1125">IF(_xlfn.ISFORMULA(S560),IFERROR(0/0,""),TRUE)</f>
        <v/>
      </c>
      <c r="AD560" s="18" t="str">
        <f t="shared" si="1125"/>
        <v/>
      </c>
      <c r="AE560" s="43"/>
      <c r="AF560" s="58" t="s">
        <v>90</v>
      </c>
      <c r="AG560" s="55" t="str">
        <f t="shared" si="11"/>
        <v/>
      </c>
    </row>
    <row r="561">
      <c r="A561" s="7" t="str">
        <f>IFERROR(__xludf.DUMMYFUNCTION("""COMPUTED_VALUE"""),"AG1744")</f>
        <v>AG1744</v>
      </c>
      <c r="B561" s="308">
        <f>IFERROR(__xludf.DUMMYFUNCTION("""COMPUTED_VALUE"""),44893.0)</f>
        <v>44893</v>
      </c>
      <c r="C561" s="309">
        <f>IFERROR(__xludf.DUMMYFUNCTION("""COMPUTED_VALUE"""),0.3256134259259259)</f>
        <v>0.3256134259</v>
      </c>
      <c r="D561" s="7" t="str">
        <f>IFERROR(__xludf.DUMMYFUNCTION("""COMPUTED_VALUE"""),"SpABRM655136")</f>
        <v>SpABRM655136</v>
      </c>
      <c r="E561" s="310"/>
      <c r="F561" s="310"/>
      <c r="G561" s="310" t="str">
        <f>IFERROR(__xludf.DUMMYFUNCTION("""COMPUTED_VALUE"""),"Negative")</f>
        <v>Negative</v>
      </c>
      <c r="H561" s="319" t="str">
        <f>IFERROR(__xludf.DUMMYFUNCTION("""COMPUTED_VALUE"""),"Negative")</f>
        <v>Negative</v>
      </c>
      <c r="I561" s="308">
        <f>IFERROR(__xludf.DUMMYFUNCTION("""COMPUTED_VALUE"""),44894.0)</f>
        <v>44894</v>
      </c>
      <c r="J561" s="311">
        <f>IFERROR(__xludf.DUMMYFUNCTION("""COMPUTED_VALUE"""),0.49387731481481484)</f>
        <v>0.4938773148</v>
      </c>
      <c r="K561" s="54"/>
      <c r="L561" s="7"/>
      <c r="M561" s="312"/>
      <c r="N561" s="172">
        <f>IFERROR(__xludf.DUMMYFUNCTION("""COMPUTED_VALUE"""),2.0)</f>
        <v>2</v>
      </c>
      <c r="O561" s="172" t="str">
        <f t="shared" si="3"/>
        <v/>
      </c>
      <c r="P561" s="313">
        <f>IFERROR(__xludf.DUMMYFUNCTION("""COMPUTED_VALUE"""),1.0)</f>
        <v>1</v>
      </c>
      <c r="Q561" s="76" t="b">
        <f>VLOOKUP($B561,'Run Reconcile'!B$2:O1399,14,FALSE)</f>
        <v>1</v>
      </c>
      <c r="R561" s="314" t="str">
        <f t="array" ref="R561">IF($Q561, INDEX('Run Reconcile'!A$2:A1399,MATCH(B561,'Run Reconcile'!B$2:B1399,0),1),IFERROR(0/0,""))</f>
        <v>RUN-ABRM_2022-11-28_RFR-092</v>
      </c>
      <c r="S561" s="315" t="str">
        <f t="shared" ref="S561:T561" si="1126">IF(COUNTIF(W$2:W1399, $A561) &gt; 0,TRUE,IFERROR(0/0,""))</f>
        <v/>
      </c>
      <c r="T561" s="315" t="str">
        <f t="shared" si="1126"/>
        <v/>
      </c>
      <c r="U561" s="114" t="str">
        <f t="array" ref="U561">IF(ISBLANK($R561), INDEX('Run Reconcile'!A$2:A1399, MATCH($B561, 'Run Reconcile'!B$2:B1399, 0)+Z561, 1), IFERROR(0/0,""))
</f>
        <v/>
      </c>
      <c r="V561" s="316" t="str">
        <f t="shared" si="5"/>
        <v>RUN-ABRM_2022-11-28_RFR-092</v>
      </c>
      <c r="Y561" s="317" t="str">
        <f t="shared" si="6"/>
        <v/>
      </c>
      <c r="Z561" s="83" t="str">
        <f t="shared" si="7"/>
        <v/>
      </c>
      <c r="AA561" s="83" t="str">
        <f t="shared" si="8"/>
        <v/>
      </c>
      <c r="AB561" s="83" t="str">
        <f t="shared" si="9"/>
        <v/>
      </c>
      <c r="AC561" s="18" t="str">
        <f t="shared" ref="AC561:AD561" si="1127">IF(_xlfn.ISFORMULA(S561),IFERROR(0/0,""),TRUE)</f>
        <v/>
      </c>
      <c r="AD561" s="18" t="str">
        <f t="shared" si="1127"/>
        <v/>
      </c>
      <c r="AE561" s="43"/>
      <c r="AF561" s="58" t="s">
        <v>90</v>
      </c>
      <c r="AG561" s="55" t="str">
        <f t="shared" si="11"/>
        <v/>
      </c>
    </row>
    <row r="562">
      <c r="A562" s="7" t="str">
        <f>IFERROR(__xludf.DUMMYFUNCTION("""COMPUTED_VALUE"""),"AH7072")</f>
        <v>AH7072</v>
      </c>
      <c r="B562" s="308">
        <f>IFERROR(__xludf.DUMMYFUNCTION("""COMPUTED_VALUE"""),44893.0)</f>
        <v>44893</v>
      </c>
      <c r="C562" s="309">
        <f>IFERROR(__xludf.DUMMYFUNCTION("""COMPUTED_VALUE"""),0.3363888888888889)</f>
        <v>0.3363888889</v>
      </c>
      <c r="D562" s="7" t="str">
        <f>IFERROR(__xludf.DUMMYFUNCTION("""COMPUTED_VALUE"""),"SpABRM655136")</f>
        <v>SpABRM655136</v>
      </c>
      <c r="E562" s="310"/>
      <c r="F562" s="310"/>
      <c r="G562" s="310" t="str">
        <f>IFERROR(__xludf.DUMMYFUNCTION("""COMPUTED_VALUE"""),"Negative")</f>
        <v>Negative</v>
      </c>
      <c r="H562" s="319" t="str">
        <f>IFERROR(__xludf.DUMMYFUNCTION("""COMPUTED_VALUE"""),"Negative")</f>
        <v>Negative</v>
      </c>
      <c r="I562" s="308">
        <f>IFERROR(__xludf.DUMMYFUNCTION("""COMPUTED_VALUE"""),44894.0)</f>
        <v>44894</v>
      </c>
      <c r="J562" s="311">
        <f>IFERROR(__xludf.DUMMYFUNCTION("""COMPUTED_VALUE"""),0.49387731481481484)</f>
        <v>0.4938773148</v>
      </c>
      <c r="K562" s="54"/>
      <c r="L562" s="7"/>
      <c r="M562" s="312"/>
      <c r="N562" s="172">
        <f>IFERROR(__xludf.DUMMYFUNCTION("""COMPUTED_VALUE"""),2.0)</f>
        <v>2</v>
      </c>
      <c r="O562" s="172" t="str">
        <f t="shared" si="3"/>
        <v/>
      </c>
      <c r="P562" s="313">
        <f>IFERROR(__xludf.DUMMYFUNCTION("""COMPUTED_VALUE"""),1.0)</f>
        <v>1</v>
      </c>
      <c r="Q562" s="76" t="b">
        <f>VLOOKUP($B562,'Run Reconcile'!B$2:O1399,14,FALSE)</f>
        <v>1</v>
      </c>
      <c r="R562" s="314" t="str">
        <f t="array" ref="R562">IF($Q562, INDEX('Run Reconcile'!A$2:A1399,MATCH(B562,'Run Reconcile'!B$2:B1399,0),1),IFERROR(0/0,""))</f>
        <v>RUN-ABRM_2022-11-28_RFR-092</v>
      </c>
      <c r="S562" s="315" t="str">
        <f t="shared" ref="S562:T562" si="1128">IF(COUNTIF(W$2:W1399, $A562) &gt; 0,TRUE,IFERROR(0/0,""))</f>
        <v/>
      </c>
      <c r="T562" s="315" t="str">
        <f t="shared" si="1128"/>
        <v/>
      </c>
      <c r="U562" s="114" t="str">
        <f t="array" ref="U562">IF(ISBLANK($R562), INDEX('Run Reconcile'!A$2:A1399, MATCH($B562, 'Run Reconcile'!B$2:B1399, 0)+Z562, 1), IFERROR(0/0,""))
</f>
        <v/>
      </c>
      <c r="V562" s="316" t="str">
        <f t="shared" si="5"/>
        <v>RUN-ABRM_2022-11-28_RFR-092</v>
      </c>
      <c r="Y562" s="317" t="str">
        <f t="shared" si="6"/>
        <v/>
      </c>
      <c r="Z562" s="83" t="str">
        <f t="shared" si="7"/>
        <v/>
      </c>
      <c r="AA562" s="83" t="str">
        <f t="shared" si="8"/>
        <v/>
      </c>
      <c r="AB562" s="83" t="str">
        <f t="shared" si="9"/>
        <v/>
      </c>
      <c r="AC562" s="18" t="str">
        <f t="shared" ref="AC562:AD562" si="1129">IF(_xlfn.ISFORMULA(S562),IFERROR(0/0,""),TRUE)</f>
        <v/>
      </c>
      <c r="AD562" s="18" t="str">
        <f t="shared" si="1129"/>
        <v/>
      </c>
      <c r="AE562" s="43"/>
      <c r="AF562" s="58" t="s">
        <v>90</v>
      </c>
      <c r="AG562" s="55" t="str">
        <f t="shared" si="11"/>
        <v/>
      </c>
    </row>
    <row r="563">
      <c r="A563" s="7" t="str">
        <f>IFERROR(__xludf.DUMMYFUNCTION("""COMPUTED_VALUE"""),"AJ9353")</f>
        <v>AJ9353</v>
      </c>
      <c r="B563" s="308">
        <f>IFERROR(__xludf.DUMMYFUNCTION("""COMPUTED_VALUE"""),44894.0)</f>
        <v>44894</v>
      </c>
      <c r="C563" s="309">
        <f>IFERROR(__xludf.DUMMYFUNCTION("""COMPUTED_VALUE"""),0.2839351851851852)</f>
        <v>0.2839351852</v>
      </c>
      <c r="D563" s="7" t="str">
        <f>IFERROR(__xludf.DUMMYFUNCTION("""COMPUTED_VALUE"""),"SpABRM128250")</f>
        <v>SpABRM128250</v>
      </c>
      <c r="E563" s="310"/>
      <c r="F563" s="310"/>
      <c r="G563" s="310" t="str">
        <f>IFERROR(__xludf.DUMMYFUNCTION("""COMPUTED_VALUE"""),"Negative")</f>
        <v>Negative</v>
      </c>
      <c r="H563" s="319" t="str">
        <f>IFERROR(__xludf.DUMMYFUNCTION("""COMPUTED_VALUE"""),"Negative")</f>
        <v>Negative</v>
      </c>
      <c r="I563" s="308">
        <f>IFERROR(__xludf.DUMMYFUNCTION("""COMPUTED_VALUE"""),44894.0)</f>
        <v>44894</v>
      </c>
      <c r="J563" s="311">
        <f>IFERROR(__xludf.DUMMYFUNCTION("""COMPUTED_VALUE"""),0.4938888888888889)</f>
        <v>0.4938888889</v>
      </c>
      <c r="K563" s="54"/>
      <c r="L563" s="7"/>
      <c r="M563" s="312"/>
      <c r="N563" s="172">
        <f>IFERROR(__xludf.DUMMYFUNCTION("""COMPUTED_VALUE"""),3.0)</f>
        <v>3</v>
      </c>
      <c r="O563" s="172" t="b">
        <f t="shared" si="3"/>
        <v>1</v>
      </c>
      <c r="P563" s="313">
        <f>IFERROR(__xludf.DUMMYFUNCTION("""COMPUTED_VALUE"""),0.0)</f>
        <v>0</v>
      </c>
      <c r="Q563" s="76" t="b">
        <f>VLOOKUP($B563,'Run Reconcile'!B$2:O1399,14,FALSE)</f>
        <v>1</v>
      </c>
      <c r="R563" s="314" t="str">
        <f t="array" ref="R563">IF($Q563, INDEX('Run Reconcile'!A$2:A1399,MATCH(B563,'Run Reconcile'!B$2:B1399,0),1),IFERROR(0/0,""))</f>
        <v>RUN-ABRM_2022-11-29_RFR-093</v>
      </c>
      <c r="S563" s="315" t="str">
        <f t="shared" ref="S563:T563" si="1130">IF(COUNTIF(W$2:W1399, $A563) &gt; 0,TRUE,IFERROR(0/0,""))</f>
        <v/>
      </c>
      <c r="T563" s="315" t="str">
        <f t="shared" si="1130"/>
        <v/>
      </c>
      <c r="U563" s="114" t="str">
        <f t="array" ref="U563">IF(ISBLANK($R563), INDEX('Run Reconcile'!A$2:A1399, MATCH($B563, 'Run Reconcile'!B$2:B1399, 0)+Z563, 1), IFERROR(0/0,""))
</f>
        <v/>
      </c>
      <c r="V563" s="316" t="str">
        <f t="shared" si="5"/>
        <v>RUN-ABRM_2022-11-29_RFR-093</v>
      </c>
      <c r="Y563" s="317" t="str">
        <f t="shared" si="6"/>
        <v/>
      </c>
      <c r="Z563" s="83" t="str">
        <f t="shared" si="7"/>
        <v/>
      </c>
      <c r="AA563" s="83" t="str">
        <f t="shared" si="8"/>
        <v/>
      </c>
      <c r="AB563" s="83" t="str">
        <f t="shared" si="9"/>
        <v/>
      </c>
      <c r="AC563" s="18" t="str">
        <f t="shared" ref="AC563:AD563" si="1131">IF(_xlfn.ISFORMULA(S563),IFERROR(0/0,""),TRUE)</f>
        <v/>
      </c>
      <c r="AD563" s="18" t="str">
        <f t="shared" si="1131"/>
        <v/>
      </c>
      <c r="AE563" s="43"/>
      <c r="AF563" s="58" t="s">
        <v>91</v>
      </c>
      <c r="AG563" s="55" t="str">
        <f t="shared" si="11"/>
        <v/>
      </c>
    </row>
    <row r="564">
      <c r="A564" s="7" t="str">
        <f>IFERROR(__xludf.DUMMYFUNCTION("""COMPUTED_VALUE"""),"AG1908")</f>
        <v>AG1908</v>
      </c>
      <c r="B564" s="308">
        <f>IFERROR(__xludf.DUMMYFUNCTION("""COMPUTED_VALUE"""),44894.0)</f>
        <v>44894</v>
      </c>
      <c r="C564" s="309">
        <f>IFERROR(__xludf.DUMMYFUNCTION("""COMPUTED_VALUE"""),0.2937152777777778)</f>
        <v>0.2937152778</v>
      </c>
      <c r="D564" s="7" t="str">
        <f>IFERROR(__xludf.DUMMYFUNCTION("""COMPUTED_VALUE"""),"SpABRM367540")</f>
        <v>SpABRM367540</v>
      </c>
      <c r="E564" s="310"/>
      <c r="F564" s="310"/>
      <c r="G564" s="310" t="str">
        <f>IFERROR(__xludf.DUMMYFUNCTION("""COMPUTED_VALUE"""),"Negative")</f>
        <v>Negative</v>
      </c>
      <c r="H564" s="319" t="str">
        <f>IFERROR(__xludf.DUMMYFUNCTION("""COMPUTED_VALUE"""),"Negative")</f>
        <v>Negative</v>
      </c>
      <c r="I564" s="308">
        <f>IFERROR(__xludf.DUMMYFUNCTION("""COMPUTED_VALUE"""),44894.0)</f>
        <v>44894</v>
      </c>
      <c r="J564" s="311">
        <f>IFERROR(__xludf.DUMMYFUNCTION("""COMPUTED_VALUE"""),0.4938888888888889)</f>
        <v>0.4938888889</v>
      </c>
      <c r="K564" s="54"/>
      <c r="L564" s="7"/>
      <c r="M564" s="312"/>
      <c r="N564" s="172">
        <f>IFERROR(__xludf.DUMMYFUNCTION("""COMPUTED_VALUE"""),3.0)</f>
        <v>3</v>
      </c>
      <c r="O564" s="172" t="str">
        <f t="shared" si="3"/>
        <v/>
      </c>
      <c r="P564" s="313">
        <f>IFERROR(__xludf.DUMMYFUNCTION("""COMPUTED_VALUE"""),0.0)</f>
        <v>0</v>
      </c>
      <c r="Q564" s="76" t="b">
        <f>VLOOKUP($B564,'Run Reconcile'!B$2:O1399,14,FALSE)</f>
        <v>1</v>
      </c>
      <c r="R564" s="314" t="str">
        <f t="array" ref="R564">IF($Q564, INDEX('Run Reconcile'!A$2:A1399,MATCH(B564,'Run Reconcile'!B$2:B1399,0),1),IFERROR(0/0,""))</f>
        <v>RUN-ABRM_2022-11-29_RFR-093</v>
      </c>
      <c r="S564" s="315" t="str">
        <f t="shared" ref="S564:T564" si="1132">IF(COUNTIF(W$2:W1399, $A564) &gt; 0,TRUE,IFERROR(0/0,""))</f>
        <v/>
      </c>
      <c r="T564" s="315" t="str">
        <f t="shared" si="1132"/>
        <v/>
      </c>
      <c r="U564" s="114" t="str">
        <f t="array" ref="U564">IF(ISBLANK($R564), INDEX('Run Reconcile'!A$2:A1399, MATCH($B564, 'Run Reconcile'!B$2:B1399, 0)+Z564, 1), IFERROR(0/0,""))
</f>
        <v/>
      </c>
      <c r="V564" s="316" t="str">
        <f t="shared" si="5"/>
        <v>RUN-ABRM_2022-11-29_RFR-093</v>
      </c>
      <c r="Y564" s="317" t="str">
        <f t="shared" si="6"/>
        <v/>
      </c>
      <c r="Z564" s="83" t="str">
        <f t="shared" si="7"/>
        <v/>
      </c>
      <c r="AA564" s="83" t="str">
        <f t="shared" si="8"/>
        <v/>
      </c>
      <c r="AB564" s="83" t="str">
        <f t="shared" si="9"/>
        <v/>
      </c>
      <c r="AC564" s="18" t="str">
        <f t="shared" ref="AC564:AD564" si="1133">IF(_xlfn.ISFORMULA(S564),IFERROR(0/0,""),TRUE)</f>
        <v/>
      </c>
      <c r="AD564" s="18" t="str">
        <f t="shared" si="1133"/>
        <v/>
      </c>
      <c r="AE564" s="43"/>
      <c r="AF564" s="58" t="s">
        <v>91</v>
      </c>
      <c r="AG564" s="55" t="str">
        <f t="shared" si="11"/>
        <v/>
      </c>
    </row>
    <row r="565">
      <c r="A565" s="7" t="str">
        <f>IFERROR(__xludf.DUMMYFUNCTION("""COMPUTED_VALUE"""),"AH6763")</f>
        <v>AH6763</v>
      </c>
      <c r="B565" s="308">
        <f>IFERROR(__xludf.DUMMYFUNCTION("""COMPUTED_VALUE"""),44894.0)</f>
        <v>44894</v>
      </c>
      <c r="C565" s="309">
        <f>IFERROR(__xludf.DUMMYFUNCTION("""COMPUTED_VALUE"""),0.30466435185185187)</f>
        <v>0.3046643519</v>
      </c>
      <c r="D565" s="7" t="str">
        <f>IFERROR(__xludf.DUMMYFUNCTION("""COMPUTED_VALUE"""),"SpABRM454310")</f>
        <v>SpABRM454310</v>
      </c>
      <c r="E565" s="310"/>
      <c r="F565" s="310"/>
      <c r="G565" s="310" t="str">
        <f>IFERROR(__xludf.DUMMYFUNCTION("""COMPUTED_VALUE"""),"Negative")</f>
        <v>Negative</v>
      </c>
      <c r="H565" s="319" t="str">
        <f>IFERROR(__xludf.DUMMYFUNCTION("""COMPUTED_VALUE"""),"Negative")</f>
        <v>Negative</v>
      </c>
      <c r="I565" s="308">
        <f>IFERROR(__xludf.DUMMYFUNCTION("""COMPUTED_VALUE"""),44894.0)</f>
        <v>44894</v>
      </c>
      <c r="J565" s="311">
        <f>IFERROR(__xludf.DUMMYFUNCTION("""COMPUTED_VALUE"""),0.49390046296296297)</f>
        <v>0.493900463</v>
      </c>
      <c r="K565" s="54"/>
      <c r="L565" s="7"/>
      <c r="M565" s="312"/>
      <c r="N565" s="172">
        <f>IFERROR(__xludf.DUMMYFUNCTION("""COMPUTED_VALUE"""),3.0)</f>
        <v>3</v>
      </c>
      <c r="O565" s="172" t="str">
        <f t="shared" si="3"/>
        <v/>
      </c>
      <c r="P565" s="313">
        <f>IFERROR(__xludf.DUMMYFUNCTION("""COMPUTED_VALUE"""),0.0)</f>
        <v>0</v>
      </c>
      <c r="Q565" s="76" t="b">
        <f>VLOOKUP($B565,'Run Reconcile'!B$2:O1399,14,FALSE)</f>
        <v>1</v>
      </c>
      <c r="R565" s="314" t="str">
        <f t="array" ref="R565">IF($Q565, INDEX('Run Reconcile'!A$2:A1399,MATCH(B565,'Run Reconcile'!B$2:B1399,0),1),IFERROR(0/0,""))</f>
        <v>RUN-ABRM_2022-11-29_RFR-093</v>
      </c>
      <c r="S565" s="315" t="str">
        <f t="shared" ref="S565:T565" si="1134">IF(COUNTIF(W$2:W1399, $A565) &gt; 0,TRUE,IFERROR(0/0,""))</f>
        <v/>
      </c>
      <c r="T565" s="315" t="str">
        <f t="shared" si="1134"/>
        <v/>
      </c>
      <c r="U565" s="114" t="str">
        <f t="array" ref="U565">IF(ISBLANK($R565), INDEX('Run Reconcile'!A$2:A1399, MATCH($B565, 'Run Reconcile'!B$2:B1399, 0)+Z565, 1), IFERROR(0/0,""))
</f>
        <v/>
      </c>
      <c r="V565" s="316" t="str">
        <f t="shared" si="5"/>
        <v>RUN-ABRM_2022-11-29_RFR-093</v>
      </c>
      <c r="Y565" s="317" t="str">
        <f t="shared" si="6"/>
        <v/>
      </c>
      <c r="Z565" s="83" t="str">
        <f t="shared" si="7"/>
        <v/>
      </c>
      <c r="AA565" s="83" t="str">
        <f t="shared" si="8"/>
        <v/>
      </c>
      <c r="AB565" s="83" t="str">
        <f t="shared" si="9"/>
        <v/>
      </c>
      <c r="AC565" s="18" t="str">
        <f t="shared" ref="AC565:AD565" si="1135">IF(_xlfn.ISFORMULA(S565),IFERROR(0/0,""),TRUE)</f>
        <v/>
      </c>
      <c r="AD565" s="18" t="str">
        <f t="shared" si="1135"/>
        <v/>
      </c>
      <c r="AE565" s="43"/>
      <c r="AF565" s="58" t="s">
        <v>91</v>
      </c>
      <c r="AG565" s="55" t="str">
        <f t="shared" si="11"/>
        <v/>
      </c>
    </row>
    <row r="566">
      <c r="A566" s="7" t="str">
        <f>IFERROR(__xludf.DUMMYFUNCTION("""COMPUTED_VALUE"""),"AH231")</f>
        <v>AH231</v>
      </c>
      <c r="B566" s="308">
        <f>IFERROR(__xludf.DUMMYFUNCTION("""COMPUTED_VALUE"""),44894.0)</f>
        <v>44894</v>
      </c>
      <c r="C566" s="309">
        <f>IFERROR(__xludf.DUMMYFUNCTION("""COMPUTED_VALUE"""),0.3170138888888889)</f>
        <v>0.3170138889</v>
      </c>
      <c r="D566" s="7" t="str">
        <f>IFERROR(__xludf.DUMMYFUNCTION("""COMPUTED_VALUE"""),"SpABRM655136")</f>
        <v>SpABRM655136</v>
      </c>
      <c r="E566" s="310"/>
      <c r="F566" s="310"/>
      <c r="G566" s="310" t="str">
        <f>IFERROR(__xludf.DUMMYFUNCTION("""COMPUTED_VALUE"""),"Negative")</f>
        <v>Negative</v>
      </c>
      <c r="H566" s="319" t="str">
        <f>IFERROR(__xludf.DUMMYFUNCTION("""COMPUTED_VALUE"""),"Negative")</f>
        <v>Negative</v>
      </c>
      <c r="I566" s="308">
        <f>IFERROR(__xludf.DUMMYFUNCTION("""COMPUTED_VALUE"""),44894.0)</f>
        <v>44894</v>
      </c>
      <c r="J566" s="311">
        <f>IFERROR(__xludf.DUMMYFUNCTION("""COMPUTED_VALUE"""),0.49390046296296297)</f>
        <v>0.493900463</v>
      </c>
      <c r="K566" s="54"/>
      <c r="L566" s="7"/>
      <c r="M566" s="312"/>
      <c r="N566" s="172">
        <f>IFERROR(__xludf.DUMMYFUNCTION("""COMPUTED_VALUE"""),1.0)</f>
        <v>1</v>
      </c>
      <c r="O566" s="172" t="str">
        <f t="shared" si="3"/>
        <v/>
      </c>
      <c r="P566" s="313">
        <f>IFERROR(__xludf.DUMMYFUNCTION("""COMPUTED_VALUE"""),0.0)</f>
        <v>0</v>
      </c>
      <c r="Q566" s="76" t="b">
        <f>VLOOKUP($B566,'Run Reconcile'!B$2:O1399,14,FALSE)</f>
        <v>1</v>
      </c>
      <c r="R566" s="314" t="str">
        <f t="array" ref="R566">IF($Q566, INDEX('Run Reconcile'!A$2:A1399,MATCH(B566,'Run Reconcile'!B$2:B1399,0),1),IFERROR(0/0,""))</f>
        <v>RUN-ABRM_2022-11-29_RFR-093</v>
      </c>
      <c r="S566" s="315" t="str">
        <f t="shared" ref="S566:T566" si="1136">IF(COUNTIF(W$2:W1399, $A566) &gt; 0,TRUE,IFERROR(0/0,""))</f>
        <v/>
      </c>
      <c r="T566" s="315" t="str">
        <f t="shared" si="1136"/>
        <v/>
      </c>
      <c r="U566" s="114" t="str">
        <f t="array" ref="U566">IF(ISBLANK($R566), INDEX('Run Reconcile'!A$2:A1399, MATCH($B566, 'Run Reconcile'!B$2:B1399, 0)+Z566, 1), IFERROR(0/0,""))
</f>
        <v/>
      </c>
      <c r="V566" s="316" t="str">
        <f t="shared" si="5"/>
        <v>RUN-ABRM_2022-11-29_RFR-093</v>
      </c>
      <c r="Y566" s="317" t="str">
        <f t="shared" si="6"/>
        <v/>
      </c>
      <c r="Z566" s="83" t="str">
        <f t="shared" si="7"/>
        <v/>
      </c>
      <c r="AA566" s="83" t="str">
        <f t="shared" si="8"/>
        <v/>
      </c>
      <c r="AB566" s="83" t="str">
        <f t="shared" si="9"/>
        <v/>
      </c>
      <c r="AC566" s="18" t="str">
        <f t="shared" ref="AC566:AD566" si="1137">IF(_xlfn.ISFORMULA(S566),IFERROR(0/0,""),TRUE)</f>
        <v/>
      </c>
      <c r="AD566" s="18" t="str">
        <f t="shared" si="1137"/>
        <v/>
      </c>
      <c r="AE566" s="43"/>
      <c r="AF566" s="58" t="s">
        <v>91</v>
      </c>
      <c r="AG566" s="55" t="str">
        <f t="shared" si="11"/>
        <v/>
      </c>
    </row>
    <row r="567">
      <c r="A567" s="7" t="str">
        <f>IFERROR(__xludf.DUMMYFUNCTION("""COMPUTED_VALUE"""),"AK6077")</f>
        <v>AK6077</v>
      </c>
      <c r="B567" s="308">
        <f>IFERROR(__xludf.DUMMYFUNCTION("""COMPUTED_VALUE"""),44894.0)</f>
        <v>44894</v>
      </c>
      <c r="C567" s="309">
        <f>IFERROR(__xludf.DUMMYFUNCTION("""COMPUTED_VALUE"""),0.31730324074074073)</f>
        <v>0.3173032407</v>
      </c>
      <c r="D567" s="7" t="str">
        <f>IFERROR(__xludf.DUMMYFUNCTION("""COMPUTED_VALUE"""),"SpABRM655136")</f>
        <v>SpABRM655136</v>
      </c>
      <c r="E567" s="310"/>
      <c r="F567" s="310"/>
      <c r="G567" s="310" t="str">
        <f>IFERROR(__xludf.DUMMYFUNCTION("""COMPUTED_VALUE"""),"Negative")</f>
        <v>Negative</v>
      </c>
      <c r="H567" s="319" t="str">
        <f>IFERROR(__xludf.DUMMYFUNCTION("""COMPUTED_VALUE"""),"Negative")</f>
        <v>Negative</v>
      </c>
      <c r="I567" s="308">
        <f>IFERROR(__xludf.DUMMYFUNCTION("""COMPUTED_VALUE"""),44894.0)</f>
        <v>44894</v>
      </c>
      <c r="J567" s="311">
        <f>IFERROR(__xludf.DUMMYFUNCTION("""COMPUTED_VALUE"""),0.49390046296296297)</f>
        <v>0.493900463</v>
      </c>
      <c r="K567" s="54"/>
      <c r="L567" s="7"/>
      <c r="M567" s="312"/>
      <c r="N567" s="172">
        <f>IFERROR(__xludf.DUMMYFUNCTION("""COMPUTED_VALUE"""),1.0)</f>
        <v>1</v>
      </c>
      <c r="O567" s="172" t="str">
        <f t="shared" si="3"/>
        <v/>
      </c>
      <c r="P567" s="313">
        <f>IFERROR(__xludf.DUMMYFUNCTION("""COMPUTED_VALUE"""),0.0)</f>
        <v>0</v>
      </c>
      <c r="Q567" s="76" t="b">
        <f>VLOOKUP($B567,'Run Reconcile'!B$2:O1399,14,FALSE)</f>
        <v>1</v>
      </c>
      <c r="R567" s="314" t="str">
        <f t="array" ref="R567">IF($Q567, INDEX('Run Reconcile'!A$2:A1399,MATCH(B567,'Run Reconcile'!B$2:B1399,0),1),IFERROR(0/0,""))</f>
        <v>RUN-ABRM_2022-11-29_RFR-093</v>
      </c>
      <c r="S567" s="315" t="str">
        <f t="shared" ref="S567:T567" si="1138">IF(COUNTIF(W$2:W1399, $A567) &gt; 0,TRUE,IFERROR(0/0,""))</f>
        <v/>
      </c>
      <c r="T567" s="315" t="str">
        <f t="shared" si="1138"/>
        <v/>
      </c>
      <c r="U567" s="114" t="str">
        <f t="array" ref="U567">IF(ISBLANK($R567), INDEX('Run Reconcile'!A$2:A1399, MATCH($B567, 'Run Reconcile'!B$2:B1399, 0)+Z567, 1), IFERROR(0/0,""))
</f>
        <v/>
      </c>
      <c r="V567" s="316" t="str">
        <f t="shared" si="5"/>
        <v>RUN-ABRM_2022-11-29_RFR-093</v>
      </c>
      <c r="Y567" s="317" t="str">
        <f t="shared" si="6"/>
        <v/>
      </c>
      <c r="Z567" s="83" t="str">
        <f t="shared" si="7"/>
        <v/>
      </c>
      <c r="AA567" s="83" t="str">
        <f t="shared" si="8"/>
        <v/>
      </c>
      <c r="AB567" s="83" t="str">
        <f t="shared" si="9"/>
        <v/>
      </c>
      <c r="AC567" s="18" t="str">
        <f t="shared" ref="AC567:AD567" si="1139">IF(_xlfn.ISFORMULA(S567),IFERROR(0/0,""),TRUE)</f>
        <v/>
      </c>
      <c r="AD567" s="18" t="str">
        <f t="shared" si="1139"/>
        <v/>
      </c>
      <c r="AE567" s="43"/>
      <c r="AF567" s="58" t="s">
        <v>91</v>
      </c>
      <c r="AG567" s="55" t="str">
        <f t="shared" si="11"/>
        <v/>
      </c>
    </row>
    <row r="568">
      <c r="A568" s="7" t="str">
        <f>IFERROR(__xludf.DUMMYFUNCTION("""COMPUTED_VALUE"""),"AG413")</f>
        <v>AG413</v>
      </c>
      <c r="B568" s="308">
        <f>IFERROR(__xludf.DUMMYFUNCTION("""COMPUTED_VALUE"""),44894.0)</f>
        <v>44894</v>
      </c>
      <c r="C568" s="309">
        <f>IFERROR(__xludf.DUMMYFUNCTION("""COMPUTED_VALUE"""),0.31766203703703705)</f>
        <v>0.317662037</v>
      </c>
      <c r="D568" s="7" t="str">
        <f>IFERROR(__xludf.DUMMYFUNCTION("""COMPUTED_VALUE"""),"SpABRM655136")</f>
        <v>SpABRM655136</v>
      </c>
      <c r="E568" s="310"/>
      <c r="F568" s="310"/>
      <c r="G568" s="310" t="str">
        <f>IFERROR(__xludf.DUMMYFUNCTION("""COMPUTED_VALUE"""),"Negative")</f>
        <v>Negative</v>
      </c>
      <c r="H568" s="319" t="str">
        <f>IFERROR(__xludf.DUMMYFUNCTION("""COMPUTED_VALUE"""),"Negative")</f>
        <v>Negative</v>
      </c>
      <c r="I568" s="308">
        <f>IFERROR(__xludf.DUMMYFUNCTION("""COMPUTED_VALUE"""),44894.0)</f>
        <v>44894</v>
      </c>
      <c r="J568" s="311">
        <f>IFERROR(__xludf.DUMMYFUNCTION("""COMPUTED_VALUE"""),0.493912037037037)</f>
        <v>0.493912037</v>
      </c>
      <c r="K568" s="54"/>
      <c r="L568" s="7"/>
      <c r="M568" s="312"/>
      <c r="N568" s="172">
        <f>IFERROR(__xludf.DUMMYFUNCTION("""COMPUTED_VALUE"""),1.0)</f>
        <v>1</v>
      </c>
      <c r="O568" s="172" t="str">
        <f t="shared" si="3"/>
        <v/>
      </c>
      <c r="P568" s="313">
        <f>IFERROR(__xludf.DUMMYFUNCTION("""COMPUTED_VALUE"""),0.0)</f>
        <v>0</v>
      </c>
      <c r="Q568" s="76" t="b">
        <f>VLOOKUP($B568,'Run Reconcile'!B$2:O1399,14,FALSE)</f>
        <v>1</v>
      </c>
      <c r="R568" s="314" t="str">
        <f t="array" ref="R568">IF($Q568, INDEX('Run Reconcile'!A$2:A1399,MATCH(B568,'Run Reconcile'!B$2:B1399,0),1),IFERROR(0/0,""))</f>
        <v>RUN-ABRM_2022-11-29_RFR-093</v>
      </c>
      <c r="S568" s="315" t="str">
        <f t="shared" ref="S568:T568" si="1140">IF(COUNTIF(W$2:W1399, $A568) &gt; 0,TRUE,IFERROR(0/0,""))</f>
        <v/>
      </c>
      <c r="T568" s="315" t="str">
        <f t="shared" si="1140"/>
        <v/>
      </c>
      <c r="U568" s="114" t="str">
        <f t="array" ref="U568">IF(ISBLANK($R568), INDEX('Run Reconcile'!A$2:A1399, MATCH($B568, 'Run Reconcile'!B$2:B1399, 0)+Z568, 1), IFERROR(0/0,""))
</f>
        <v/>
      </c>
      <c r="V568" s="316" t="str">
        <f t="shared" si="5"/>
        <v>RUN-ABRM_2022-11-29_RFR-093</v>
      </c>
      <c r="Y568" s="317" t="str">
        <f t="shared" si="6"/>
        <v/>
      </c>
      <c r="Z568" s="83" t="str">
        <f t="shared" si="7"/>
        <v/>
      </c>
      <c r="AA568" s="83" t="str">
        <f t="shared" si="8"/>
        <v/>
      </c>
      <c r="AB568" s="83" t="str">
        <f t="shared" si="9"/>
        <v/>
      </c>
      <c r="AC568" s="18" t="str">
        <f t="shared" ref="AC568:AD568" si="1141">IF(_xlfn.ISFORMULA(S568),IFERROR(0/0,""),TRUE)</f>
        <v/>
      </c>
      <c r="AD568" s="18" t="str">
        <f t="shared" si="1141"/>
        <v/>
      </c>
      <c r="AE568" s="43"/>
      <c r="AF568" s="58" t="s">
        <v>91</v>
      </c>
      <c r="AG568" s="55" t="str">
        <f t="shared" si="11"/>
        <v/>
      </c>
    </row>
    <row r="569">
      <c r="A569" s="7" t="str">
        <f>IFERROR(__xludf.DUMMYFUNCTION("""COMPUTED_VALUE"""),"AJ5310")</f>
        <v>AJ5310</v>
      </c>
      <c r="B569" s="308">
        <f>IFERROR(__xludf.DUMMYFUNCTION("""COMPUTED_VALUE"""),44894.0)</f>
        <v>44894</v>
      </c>
      <c r="C569" s="309">
        <f>IFERROR(__xludf.DUMMYFUNCTION("""COMPUTED_VALUE"""),0.3272453703703704)</f>
        <v>0.3272453704</v>
      </c>
      <c r="D569" s="7" t="str">
        <f>IFERROR(__xludf.DUMMYFUNCTION("""COMPUTED_VALUE"""),"SpABRM655136")</f>
        <v>SpABRM655136</v>
      </c>
      <c r="E569" s="310"/>
      <c r="F569" s="310"/>
      <c r="G569" s="310" t="str">
        <f>IFERROR(__xludf.DUMMYFUNCTION("""COMPUTED_VALUE"""),"Negative")</f>
        <v>Negative</v>
      </c>
      <c r="H569" s="319" t="str">
        <f>IFERROR(__xludf.DUMMYFUNCTION("""COMPUTED_VALUE"""),"Negative")</f>
        <v>Negative</v>
      </c>
      <c r="I569" s="308">
        <f>IFERROR(__xludf.DUMMYFUNCTION("""COMPUTED_VALUE"""),44894.0)</f>
        <v>44894</v>
      </c>
      <c r="J569" s="311">
        <f>IFERROR(__xludf.DUMMYFUNCTION("""COMPUTED_VALUE"""),0.493912037037037)</f>
        <v>0.493912037</v>
      </c>
      <c r="K569" s="54"/>
      <c r="L569" s="7"/>
      <c r="M569" s="312"/>
      <c r="N569" s="172">
        <f>IFERROR(__xludf.DUMMYFUNCTION("""COMPUTED_VALUE"""),1.0)</f>
        <v>1</v>
      </c>
      <c r="O569" s="172" t="str">
        <f t="shared" si="3"/>
        <v/>
      </c>
      <c r="P569" s="313">
        <f>IFERROR(__xludf.DUMMYFUNCTION("""COMPUTED_VALUE"""),0.0)</f>
        <v>0</v>
      </c>
      <c r="Q569" s="76" t="b">
        <f>VLOOKUP($B569,'Run Reconcile'!B$2:O1399,14,FALSE)</f>
        <v>1</v>
      </c>
      <c r="R569" s="314" t="str">
        <f t="array" ref="R569">IF($Q569, INDEX('Run Reconcile'!A$2:A1399,MATCH(B569,'Run Reconcile'!B$2:B1399,0),1),IFERROR(0/0,""))</f>
        <v>RUN-ABRM_2022-11-29_RFR-093</v>
      </c>
      <c r="S569" s="315" t="str">
        <f t="shared" ref="S569:T569" si="1142">IF(COUNTIF(W$2:W1399, $A569) &gt; 0,TRUE,IFERROR(0/0,""))</f>
        <v/>
      </c>
      <c r="T569" s="315" t="str">
        <f t="shared" si="1142"/>
        <v/>
      </c>
      <c r="U569" s="114" t="str">
        <f t="array" ref="U569">IF(ISBLANK($R569), INDEX('Run Reconcile'!A$2:A1399, MATCH($B569, 'Run Reconcile'!B$2:B1399, 0)+Z569, 1), IFERROR(0/0,""))
</f>
        <v/>
      </c>
      <c r="V569" s="316" t="str">
        <f t="shared" si="5"/>
        <v>RUN-ABRM_2022-11-29_RFR-093</v>
      </c>
      <c r="Y569" s="317" t="str">
        <f t="shared" si="6"/>
        <v/>
      </c>
      <c r="Z569" s="83" t="str">
        <f t="shared" si="7"/>
        <v/>
      </c>
      <c r="AA569" s="83" t="str">
        <f t="shared" si="8"/>
        <v/>
      </c>
      <c r="AB569" s="83" t="str">
        <f t="shared" si="9"/>
        <v/>
      </c>
      <c r="AC569" s="18" t="str">
        <f t="shared" ref="AC569:AD569" si="1143">IF(_xlfn.ISFORMULA(S569),IFERROR(0/0,""),TRUE)</f>
        <v/>
      </c>
      <c r="AD569" s="18" t="str">
        <f t="shared" si="1143"/>
        <v/>
      </c>
      <c r="AE569" s="43"/>
      <c r="AF569" s="58" t="s">
        <v>91</v>
      </c>
      <c r="AG569" s="55" t="str">
        <f t="shared" si="11"/>
        <v/>
      </c>
    </row>
    <row r="570">
      <c r="A570" s="7" t="str">
        <f>IFERROR(__xludf.DUMMYFUNCTION("""COMPUTED_VALUE"""),"AK7460")</f>
        <v>AK7460</v>
      </c>
      <c r="B570" s="308">
        <f>IFERROR(__xludf.DUMMYFUNCTION("""COMPUTED_VALUE"""),44894.0)</f>
        <v>44894</v>
      </c>
      <c r="C570" s="309">
        <f>IFERROR(__xludf.DUMMYFUNCTION("""COMPUTED_VALUE"""),0.32868055555555553)</f>
        <v>0.3286805556</v>
      </c>
      <c r="D570" s="7" t="str">
        <f>IFERROR(__xludf.DUMMYFUNCTION("""COMPUTED_VALUE"""),"SpABRM297307")</f>
        <v>SpABRM297307</v>
      </c>
      <c r="E570" s="310"/>
      <c r="F570" s="310"/>
      <c r="G570" s="310" t="str">
        <f>IFERROR(__xludf.DUMMYFUNCTION("""COMPUTED_VALUE"""),"Negative")</f>
        <v>Negative</v>
      </c>
      <c r="H570" s="319" t="str">
        <f>IFERROR(__xludf.DUMMYFUNCTION("""COMPUTED_VALUE"""),"Negative")</f>
        <v>Negative</v>
      </c>
      <c r="I570" s="308">
        <f>IFERROR(__xludf.DUMMYFUNCTION("""COMPUTED_VALUE"""),44894.0)</f>
        <v>44894</v>
      </c>
      <c r="J570" s="311">
        <f>IFERROR(__xludf.DUMMYFUNCTION("""COMPUTED_VALUE"""),0.4939236111111111)</f>
        <v>0.4939236111</v>
      </c>
      <c r="K570" s="54"/>
      <c r="L570" s="7"/>
      <c r="M570" s="312"/>
      <c r="N570" s="172">
        <f>IFERROR(__xludf.DUMMYFUNCTION("""COMPUTED_VALUE"""),3.0)</f>
        <v>3</v>
      </c>
      <c r="O570" s="172" t="str">
        <f t="shared" si="3"/>
        <v/>
      </c>
      <c r="P570" s="313">
        <f>IFERROR(__xludf.DUMMYFUNCTION("""COMPUTED_VALUE"""),0.0)</f>
        <v>0</v>
      </c>
      <c r="Q570" s="76" t="b">
        <f>VLOOKUP($B570,'Run Reconcile'!B$2:O1399,14,FALSE)</f>
        <v>1</v>
      </c>
      <c r="R570" s="314" t="str">
        <f t="array" ref="R570">IF($Q570, INDEX('Run Reconcile'!A$2:A1399,MATCH(B570,'Run Reconcile'!B$2:B1399,0),1),IFERROR(0/0,""))</f>
        <v>RUN-ABRM_2022-11-29_RFR-093</v>
      </c>
      <c r="S570" s="315" t="str">
        <f t="shared" ref="S570:T570" si="1144">IF(COUNTIF(W$2:W1399, $A570) &gt; 0,TRUE,IFERROR(0/0,""))</f>
        <v/>
      </c>
      <c r="T570" s="315" t="str">
        <f t="shared" si="1144"/>
        <v/>
      </c>
      <c r="U570" s="114" t="str">
        <f t="array" ref="U570">IF(ISBLANK($R570), INDEX('Run Reconcile'!A$2:A1399, MATCH($B570, 'Run Reconcile'!B$2:B1399, 0)+Z570, 1), IFERROR(0/0,""))
</f>
        <v/>
      </c>
      <c r="V570" s="316" t="str">
        <f t="shared" si="5"/>
        <v>RUN-ABRM_2022-11-29_RFR-093</v>
      </c>
      <c r="Y570" s="317" t="str">
        <f t="shared" si="6"/>
        <v/>
      </c>
      <c r="Z570" s="83" t="str">
        <f t="shared" si="7"/>
        <v/>
      </c>
      <c r="AA570" s="83" t="str">
        <f t="shared" si="8"/>
        <v/>
      </c>
      <c r="AB570" s="83" t="str">
        <f t="shared" si="9"/>
        <v/>
      </c>
      <c r="AC570" s="18" t="str">
        <f t="shared" ref="AC570:AD570" si="1145">IF(_xlfn.ISFORMULA(S570),IFERROR(0/0,""),TRUE)</f>
        <v/>
      </c>
      <c r="AD570" s="18" t="str">
        <f t="shared" si="1145"/>
        <v/>
      </c>
      <c r="AE570" s="43"/>
      <c r="AF570" s="58" t="s">
        <v>91</v>
      </c>
      <c r="AG570" s="55" t="str">
        <f t="shared" si="11"/>
        <v/>
      </c>
    </row>
    <row r="571">
      <c r="A571" s="7" t="str">
        <f>IFERROR(__xludf.DUMMYFUNCTION("""COMPUTED_VALUE"""),"AJ9875")</f>
        <v>AJ9875</v>
      </c>
      <c r="B571" s="308">
        <f>IFERROR(__xludf.DUMMYFUNCTION("""COMPUTED_VALUE"""),44894.0)</f>
        <v>44894</v>
      </c>
      <c r="C571" s="309">
        <f>IFERROR(__xludf.DUMMYFUNCTION("""COMPUTED_VALUE"""),0.33368055555555554)</f>
        <v>0.3336805556</v>
      </c>
      <c r="D571" s="7" t="str">
        <f>IFERROR(__xludf.DUMMYFUNCTION("""COMPUTED_VALUE"""),"SpABRM814022")</f>
        <v>SpABRM814022</v>
      </c>
      <c r="E571" s="310"/>
      <c r="F571" s="310"/>
      <c r="G571" s="310" t="str">
        <f>IFERROR(__xludf.DUMMYFUNCTION("""COMPUTED_VALUE"""),"Negative")</f>
        <v>Negative</v>
      </c>
      <c r="H571" s="319" t="str">
        <f>IFERROR(__xludf.DUMMYFUNCTION("""COMPUTED_VALUE"""),"Negative")</f>
        <v>Negative</v>
      </c>
      <c r="I571" s="308">
        <f>IFERROR(__xludf.DUMMYFUNCTION("""COMPUTED_VALUE"""),44894.0)</f>
        <v>44894</v>
      </c>
      <c r="J571" s="311">
        <f>IFERROR(__xludf.DUMMYFUNCTION("""COMPUTED_VALUE"""),0.4939236111111111)</f>
        <v>0.4939236111</v>
      </c>
      <c r="K571" s="54"/>
      <c r="L571" s="7"/>
      <c r="M571" s="312"/>
      <c r="N571" s="172">
        <f>IFERROR(__xludf.DUMMYFUNCTION("""COMPUTED_VALUE"""),2.0)</f>
        <v>2</v>
      </c>
      <c r="O571" s="172" t="str">
        <f t="shared" si="3"/>
        <v/>
      </c>
      <c r="P571" s="313">
        <f>IFERROR(__xludf.DUMMYFUNCTION("""COMPUTED_VALUE"""),0.0)</f>
        <v>0</v>
      </c>
      <c r="Q571" s="76" t="b">
        <f>VLOOKUP($B571,'Run Reconcile'!B$2:O1399,14,FALSE)</f>
        <v>1</v>
      </c>
      <c r="R571" s="314" t="str">
        <f t="array" ref="R571">IF($Q571, INDEX('Run Reconcile'!A$2:A1399,MATCH(B571,'Run Reconcile'!B$2:B1399,0),1),IFERROR(0/0,""))</f>
        <v>RUN-ABRM_2022-11-29_RFR-093</v>
      </c>
      <c r="S571" s="315" t="str">
        <f t="shared" ref="S571:T571" si="1146">IF(COUNTIF(W$2:W1399, $A571) &gt; 0,TRUE,IFERROR(0/0,""))</f>
        <v/>
      </c>
      <c r="T571" s="315" t="str">
        <f t="shared" si="1146"/>
        <v/>
      </c>
      <c r="U571" s="114" t="str">
        <f t="array" ref="U571">IF(ISBLANK($R571), INDEX('Run Reconcile'!A$2:A1399, MATCH($B571, 'Run Reconcile'!B$2:B1399, 0)+Z571, 1), IFERROR(0/0,""))
</f>
        <v/>
      </c>
      <c r="V571" s="316" t="str">
        <f t="shared" si="5"/>
        <v>RUN-ABRM_2022-11-29_RFR-093</v>
      </c>
      <c r="Y571" s="317" t="str">
        <f t="shared" si="6"/>
        <v/>
      </c>
      <c r="Z571" s="83" t="str">
        <f t="shared" si="7"/>
        <v/>
      </c>
      <c r="AA571" s="83" t="str">
        <f t="shared" si="8"/>
        <v/>
      </c>
      <c r="AB571" s="83" t="str">
        <f t="shared" si="9"/>
        <v/>
      </c>
      <c r="AC571" s="18" t="str">
        <f t="shared" ref="AC571:AD571" si="1147">IF(_xlfn.ISFORMULA(S571),IFERROR(0/0,""),TRUE)</f>
        <v/>
      </c>
      <c r="AD571" s="18" t="str">
        <f t="shared" si="1147"/>
        <v/>
      </c>
      <c r="AE571" s="43"/>
      <c r="AF571" s="58" t="s">
        <v>91</v>
      </c>
      <c r="AG571" s="55" t="str">
        <f t="shared" si="11"/>
        <v/>
      </c>
    </row>
    <row r="572">
      <c r="A572" s="7" t="str">
        <f>IFERROR(__xludf.DUMMYFUNCTION("""COMPUTED_VALUE"""),"AH9124")</f>
        <v>AH9124</v>
      </c>
      <c r="B572" s="308">
        <f>IFERROR(__xludf.DUMMYFUNCTION("""COMPUTED_VALUE"""),44894.0)</f>
        <v>44894</v>
      </c>
      <c r="C572" s="309">
        <f>IFERROR(__xludf.DUMMYFUNCTION("""COMPUTED_VALUE"""),0.3387384259259259)</f>
        <v>0.3387384259</v>
      </c>
      <c r="D572" s="7" t="str">
        <f>IFERROR(__xludf.DUMMYFUNCTION("""COMPUTED_VALUE"""),"SpABRM655136")</f>
        <v>SpABRM655136</v>
      </c>
      <c r="E572" s="310"/>
      <c r="F572" s="310"/>
      <c r="G572" s="310" t="str">
        <f>IFERROR(__xludf.DUMMYFUNCTION("""COMPUTED_VALUE"""),"Negative")</f>
        <v>Negative</v>
      </c>
      <c r="H572" s="319" t="str">
        <f>IFERROR(__xludf.DUMMYFUNCTION("""COMPUTED_VALUE"""),"Negative")</f>
        <v>Negative</v>
      </c>
      <c r="I572" s="308">
        <f>IFERROR(__xludf.DUMMYFUNCTION("""COMPUTED_VALUE"""),44894.0)</f>
        <v>44894</v>
      </c>
      <c r="J572" s="311">
        <f>IFERROR(__xludf.DUMMYFUNCTION("""COMPUTED_VALUE"""),0.4939236111111111)</f>
        <v>0.4939236111</v>
      </c>
      <c r="K572" s="54"/>
      <c r="L572" s="7"/>
      <c r="M572" s="312"/>
      <c r="N572" s="172">
        <f>IFERROR(__xludf.DUMMYFUNCTION("""COMPUTED_VALUE"""),1.0)</f>
        <v>1</v>
      </c>
      <c r="O572" s="172" t="str">
        <f t="shared" si="3"/>
        <v/>
      </c>
      <c r="P572" s="313">
        <f>IFERROR(__xludf.DUMMYFUNCTION("""COMPUTED_VALUE"""),0.0)</f>
        <v>0</v>
      </c>
      <c r="Q572" s="76" t="b">
        <f>VLOOKUP($B572,'Run Reconcile'!B$2:O1399,14,FALSE)</f>
        <v>1</v>
      </c>
      <c r="R572" s="314" t="str">
        <f t="array" ref="R572">IF($Q572, INDEX('Run Reconcile'!A$2:A1399,MATCH(B572,'Run Reconcile'!B$2:B1399,0),1),IFERROR(0/0,""))</f>
        <v>RUN-ABRM_2022-11-29_RFR-093</v>
      </c>
      <c r="S572" s="315" t="str">
        <f t="shared" ref="S572:T572" si="1148">IF(COUNTIF(W$2:W1399, $A572) &gt; 0,TRUE,IFERROR(0/0,""))</f>
        <v/>
      </c>
      <c r="T572" s="315" t="str">
        <f t="shared" si="1148"/>
        <v/>
      </c>
      <c r="U572" s="114" t="str">
        <f t="array" ref="U572">IF(ISBLANK($R572), INDEX('Run Reconcile'!A$2:A1399, MATCH($B572, 'Run Reconcile'!B$2:B1399, 0)+Z572, 1), IFERROR(0/0,""))
</f>
        <v/>
      </c>
      <c r="V572" s="316" t="str">
        <f t="shared" si="5"/>
        <v>RUN-ABRM_2022-11-29_RFR-093</v>
      </c>
      <c r="Y572" s="317" t="str">
        <f t="shared" si="6"/>
        <v/>
      </c>
      <c r="Z572" s="83" t="str">
        <f t="shared" si="7"/>
        <v/>
      </c>
      <c r="AA572" s="83" t="str">
        <f t="shared" si="8"/>
        <v/>
      </c>
      <c r="AB572" s="83" t="str">
        <f t="shared" si="9"/>
        <v/>
      </c>
      <c r="AC572" s="18" t="str">
        <f t="shared" ref="AC572:AD572" si="1149">IF(_xlfn.ISFORMULA(S572),IFERROR(0/0,""),TRUE)</f>
        <v/>
      </c>
      <c r="AD572" s="18" t="str">
        <f t="shared" si="1149"/>
        <v/>
      </c>
      <c r="AE572" s="43"/>
      <c r="AF572" s="58" t="s">
        <v>91</v>
      </c>
      <c r="AG572" s="55" t="str">
        <f t="shared" si="11"/>
        <v/>
      </c>
    </row>
    <row r="573">
      <c r="A573" s="7" t="str">
        <f>IFERROR(__xludf.DUMMYFUNCTION("""COMPUTED_VALUE"""),"AG1760")</f>
        <v>AG1760</v>
      </c>
      <c r="B573" s="308">
        <f>IFERROR(__xludf.DUMMYFUNCTION("""COMPUTED_VALUE"""),44894.0)</f>
        <v>44894</v>
      </c>
      <c r="C573" s="309">
        <f>IFERROR(__xludf.DUMMYFUNCTION("""COMPUTED_VALUE"""),0.35756944444444444)</f>
        <v>0.3575694444</v>
      </c>
      <c r="D573" s="7" t="str">
        <f>IFERROR(__xludf.DUMMYFUNCTION("""COMPUTED_VALUE"""),"SpABRM655136")</f>
        <v>SpABRM655136</v>
      </c>
      <c r="E573" s="310"/>
      <c r="F573" s="310"/>
      <c r="G573" s="310" t="str">
        <f>IFERROR(__xludf.DUMMYFUNCTION("""COMPUTED_VALUE"""),"Negative")</f>
        <v>Negative</v>
      </c>
      <c r="H573" s="319" t="str">
        <f>IFERROR(__xludf.DUMMYFUNCTION("""COMPUTED_VALUE"""),"Negative")</f>
        <v>Negative</v>
      </c>
      <c r="I573" s="308">
        <f>IFERROR(__xludf.DUMMYFUNCTION("""COMPUTED_VALUE"""),44894.0)</f>
        <v>44894</v>
      </c>
      <c r="J573" s="311">
        <f>IFERROR(__xludf.DUMMYFUNCTION("""COMPUTED_VALUE"""),0.4939351851851852)</f>
        <v>0.4939351852</v>
      </c>
      <c r="K573" s="54"/>
      <c r="L573" s="7"/>
      <c r="M573" s="312"/>
      <c r="N573" s="172">
        <f>IFERROR(__xludf.DUMMYFUNCTION("""COMPUTED_VALUE"""),3.0)</f>
        <v>3</v>
      </c>
      <c r="O573" s="172" t="str">
        <f t="shared" si="3"/>
        <v/>
      </c>
      <c r="P573" s="313">
        <f>IFERROR(__xludf.DUMMYFUNCTION("""COMPUTED_VALUE"""),0.0)</f>
        <v>0</v>
      </c>
      <c r="Q573" s="76" t="b">
        <f>VLOOKUP($B573,'Run Reconcile'!B$2:O1399,14,FALSE)</f>
        <v>1</v>
      </c>
      <c r="R573" s="314" t="str">
        <f t="array" ref="R573">IF($Q573, INDEX('Run Reconcile'!A$2:A1399,MATCH(B573,'Run Reconcile'!B$2:B1399,0),1),IFERROR(0/0,""))</f>
        <v>RUN-ABRM_2022-11-29_RFR-093</v>
      </c>
      <c r="S573" s="315" t="str">
        <f t="shared" ref="S573:T573" si="1150">IF(COUNTIF(W$2:W1399, $A573) &gt; 0,TRUE,IFERROR(0/0,""))</f>
        <v/>
      </c>
      <c r="T573" s="315" t="str">
        <f t="shared" si="1150"/>
        <v/>
      </c>
      <c r="U573" s="114" t="str">
        <f t="array" ref="U573">IF(ISBLANK($R573), INDEX('Run Reconcile'!A$2:A1399, MATCH($B573, 'Run Reconcile'!B$2:B1399, 0)+Z573, 1), IFERROR(0/0,""))
</f>
        <v/>
      </c>
      <c r="V573" s="316" t="str">
        <f t="shared" si="5"/>
        <v>RUN-ABRM_2022-11-29_RFR-093</v>
      </c>
      <c r="Y573" s="317" t="str">
        <f t="shared" si="6"/>
        <v/>
      </c>
      <c r="Z573" s="83" t="str">
        <f t="shared" si="7"/>
        <v/>
      </c>
      <c r="AA573" s="83" t="str">
        <f t="shared" si="8"/>
        <v/>
      </c>
      <c r="AB573" s="83" t="str">
        <f t="shared" si="9"/>
        <v/>
      </c>
      <c r="AC573" s="18" t="str">
        <f t="shared" ref="AC573:AD573" si="1151">IF(_xlfn.ISFORMULA(S573),IFERROR(0/0,""),TRUE)</f>
        <v/>
      </c>
      <c r="AD573" s="18" t="str">
        <f t="shared" si="1151"/>
        <v/>
      </c>
      <c r="AE573" s="43"/>
      <c r="AF573" s="58" t="s">
        <v>91</v>
      </c>
      <c r="AG573" s="55" t="str">
        <f t="shared" si="11"/>
        <v/>
      </c>
    </row>
    <row r="574">
      <c r="A574" s="7" t="str">
        <f>IFERROR(__xludf.DUMMYFUNCTION("""COMPUTED_VALUE"""),"AH414")</f>
        <v>AH414</v>
      </c>
      <c r="B574" s="308">
        <f>IFERROR(__xludf.DUMMYFUNCTION("""COMPUTED_VALUE"""),44895.0)</f>
        <v>44895</v>
      </c>
      <c r="C574" s="309">
        <f>IFERROR(__xludf.DUMMYFUNCTION("""COMPUTED_VALUE"""),0.2114814814814815)</f>
        <v>0.2114814815</v>
      </c>
      <c r="D574" s="7" t="str">
        <f>IFERROR(__xludf.DUMMYFUNCTION("""COMPUTED_VALUE"""),"SpABRM454310")</f>
        <v>SpABRM454310</v>
      </c>
      <c r="E574" s="310"/>
      <c r="F574" s="310"/>
      <c r="G574" s="310" t="str">
        <f>IFERROR(__xludf.DUMMYFUNCTION("""COMPUTED_VALUE"""),"Negative")</f>
        <v>Negative</v>
      </c>
      <c r="H574" s="319" t="str">
        <f>IFERROR(__xludf.DUMMYFUNCTION("""COMPUTED_VALUE"""),"Negative")</f>
        <v>Negative</v>
      </c>
      <c r="I574" s="308">
        <f>IFERROR(__xludf.DUMMYFUNCTION("""COMPUTED_VALUE"""),44895.0)</f>
        <v>44895</v>
      </c>
      <c r="J574" s="311">
        <f>IFERROR(__xludf.DUMMYFUNCTION("""COMPUTED_VALUE"""),0.44633101851851853)</f>
        <v>0.4463310185</v>
      </c>
      <c r="K574" s="54"/>
      <c r="L574" s="7"/>
      <c r="M574" s="312"/>
      <c r="N574" s="172">
        <f>IFERROR(__xludf.DUMMYFUNCTION("""COMPUTED_VALUE"""),3.0)</f>
        <v>3</v>
      </c>
      <c r="O574" s="172" t="b">
        <f t="shared" si="3"/>
        <v>1</v>
      </c>
      <c r="P574" s="313">
        <f>IFERROR(__xludf.DUMMYFUNCTION("""COMPUTED_VALUE"""),0.0)</f>
        <v>0</v>
      </c>
      <c r="Q574" s="76" t="b">
        <f>VLOOKUP($B574,'Run Reconcile'!B$2:O1399,14,FALSE)</f>
        <v>1</v>
      </c>
      <c r="R574" s="314" t="str">
        <f t="array" ref="R574">IF($Q574, INDEX('Run Reconcile'!A$2:A1399,MATCH(B574,'Run Reconcile'!B$2:B1399,0),1),IFERROR(0/0,""))</f>
        <v>RUN-ABRM_2022-11-30_RFR-094</v>
      </c>
      <c r="S574" s="315" t="str">
        <f t="shared" ref="S574:T574" si="1152">IF(COUNTIF(W$2:W1399, $A574) &gt; 0,TRUE,IFERROR(0/0,""))</f>
        <v/>
      </c>
      <c r="T574" s="315" t="str">
        <f t="shared" si="1152"/>
        <v/>
      </c>
      <c r="U574" s="114" t="str">
        <f t="array" ref="U574">IF(ISBLANK($R574), INDEX('Run Reconcile'!A$2:A1399, MATCH($B574, 'Run Reconcile'!B$2:B1399, 0)+Z574, 1), IFERROR(0/0,""))
</f>
        <v/>
      </c>
      <c r="V574" s="316" t="str">
        <f t="shared" si="5"/>
        <v>RUN-ABRM_2022-11-30_RFR-094</v>
      </c>
      <c r="Y574" s="317" t="str">
        <f t="shared" si="6"/>
        <v/>
      </c>
      <c r="Z574" s="83" t="str">
        <f t="shared" si="7"/>
        <v/>
      </c>
      <c r="AA574" s="83" t="str">
        <f t="shared" si="8"/>
        <v/>
      </c>
      <c r="AB574" s="83" t="str">
        <f t="shared" si="9"/>
        <v/>
      </c>
      <c r="AC574" s="18" t="str">
        <f t="shared" ref="AC574:AD574" si="1153">IF(_xlfn.ISFORMULA(S574),IFERROR(0/0,""),TRUE)</f>
        <v/>
      </c>
      <c r="AD574" s="18" t="str">
        <f t="shared" si="1153"/>
        <v/>
      </c>
      <c r="AE574" s="43"/>
      <c r="AF574" s="58" t="s">
        <v>92</v>
      </c>
      <c r="AG574" s="55" t="str">
        <f t="shared" si="11"/>
        <v/>
      </c>
    </row>
    <row r="575">
      <c r="A575" s="7" t="str">
        <f>IFERROR(__xludf.DUMMYFUNCTION("""COMPUTED_VALUE"""),"AH920")</f>
        <v>AH920</v>
      </c>
      <c r="B575" s="308">
        <f>IFERROR(__xludf.DUMMYFUNCTION("""COMPUTED_VALUE"""),44895.0)</f>
        <v>44895</v>
      </c>
      <c r="C575" s="309">
        <f>IFERROR(__xludf.DUMMYFUNCTION("""COMPUTED_VALUE"""),0.2209837962962963)</f>
        <v>0.2209837963</v>
      </c>
      <c r="D575" s="7" t="str">
        <f>IFERROR(__xludf.DUMMYFUNCTION("""COMPUTED_VALUE"""),"SpABRM655136")</f>
        <v>SpABRM655136</v>
      </c>
      <c r="E575" s="310"/>
      <c r="F575" s="310"/>
      <c r="G575" s="310" t="str">
        <f>IFERROR(__xludf.DUMMYFUNCTION("""COMPUTED_VALUE"""),"Negative")</f>
        <v>Negative</v>
      </c>
      <c r="H575" s="319" t="str">
        <f>IFERROR(__xludf.DUMMYFUNCTION("""COMPUTED_VALUE"""),"Negative")</f>
        <v>Negative</v>
      </c>
      <c r="I575" s="308">
        <f>IFERROR(__xludf.DUMMYFUNCTION("""COMPUTED_VALUE"""),44895.0)</f>
        <v>44895</v>
      </c>
      <c r="J575" s="311">
        <f>IFERROR(__xludf.DUMMYFUNCTION("""COMPUTED_VALUE"""),0.44634259259259257)</f>
        <v>0.4463425926</v>
      </c>
      <c r="K575" s="54"/>
      <c r="L575" s="7"/>
      <c r="M575" s="312"/>
      <c r="N575" s="172">
        <f>IFERROR(__xludf.DUMMYFUNCTION("""COMPUTED_VALUE"""),2.0)</f>
        <v>2</v>
      </c>
      <c r="O575" s="172" t="str">
        <f t="shared" si="3"/>
        <v/>
      </c>
      <c r="P575" s="313">
        <f>IFERROR(__xludf.DUMMYFUNCTION("""COMPUTED_VALUE"""),0.0)</f>
        <v>0</v>
      </c>
      <c r="Q575" s="76" t="b">
        <f>VLOOKUP($B575,'Run Reconcile'!B$2:O1399,14,FALSE)</f>
        <v>1</v>
      </c>
      <c r="R575" s="314" t="str">
        <f t="array" ref="R575">IF($Q575, INDEX('Run Reconcile'!A$2:A1399,MATCH(B575,'Run Reconcile'!B$2:B1399,0),1),IFERROR(0/0,""))</f>
        <v>RUN-ABRM_2022-11-30_RFR-094</v>
      </c>
      <c r="S575" s="315" t="str">
        <f t="shared" ref="S575:T575" si="1154">IF(COUNTIF(W$2:W1399, $A575) &gt; 0,TRUE,IFERROR(0/0,""))</f>
        <v/>
      </c>
      <c r="T575" s="315" t="str">
        <f t="shared" si="1154"/>
        <v/>
      </c>
      <c r="U575" s="114" t="str">
        <f t="array" ref="U575">IF(ISBLANK($R575), INDEX('Run Reconcile'!A$2:A1399, MATCH($B575, 'Run Reconcile'!B$2:B1399, 0)+Z575, 1), IFERROR(0/0,""))
</f>
        <v/>
      </c>
      <c r="V575" s="316" t="str">
        <f t="shared" si="5"/>
        <v>RUN-ABRM_2022-11-30_RFR-094</v>
      </c>
      <c r="Y575" s="317" t="str">
        <f t="shared" si="6"/>
        <v/>
      </c>
      <c r="Z575" s="83" t="str">
        <f t="shared" si="7"/>
        <v/>
      </c>
      <c r="AA575" s="83" t="str">
        <f t="shared" si="8"/>
        <v/>
      </c>
      <c r="AB575" s="83" t="str">
        <f t="shared" si="9"/>
        <v/>
      </c>
      <c r="AC575" s="18" t="str">
        <f t="shared" ref="AC575:AD575" si="1155">IF(_xlfn.ISFORMULA(S575),IFERROR(0/0,""),TRUE)</f>
        <v/>
      </c>
      <c r="AD575" s="18" t="str">
        <f t="shared" si="1155"/>
        <v/>
      </c>
      <c r="AE575" s="43"/>
      <c r="AF575" s="58" t="s">
        <v>92</v>
      </c>
      <c r="AG575" s="55" t="str">
        <f t="shared" si="11"/>
        <v/>
      </c>
    </row>
    <row r="576">
      <c r="A576" s="7" t="str">
        <f>IFERROR(__xludf.DUMMYFUNCTION("""COMPUTED_VALUE"""),"AG1632")</f>
        <v>AG1632</v>
      </c>
      <c r="B576" s="308">
        <f>IFERROR(__xludf.DUMMYFUNCTION("""COMPUTED_VALUE"""),44895.0)</f>
        <v>44895</v>
      </c>
      <c r="C576" s="309">
        <f>IFERROR(__xludf.DUMMYFUNCTION("""COMPUTED_VALUE"""),0.25074074074074076)</f>
        <v>0.2507407407</v>
      </c>
      <c r="D576" s="7" t="str">
        <f>IFERROR(__xludf.DUMMYFUNCTION("""COMPUTED_VALUE"""),"SpABRM297307")</f>
        <v>SpABRM297307</v>
      </c>
      <c r="E576" s="310"/>
      <c r="F576" s="310"/>
      <c r="G576" s="310" t="str">
        <f>IFERROR(__xludf.DUMMYFUNCTION("""COMPUTED_VALUE"""),"Negative")</f>
        <v>Negative</v>
      </c>
      <c r="H576" s="319" t="str">
        <f>IFERROR(__xludf.DUMMYFUNCTION("""COMPUTED_VALUE"""),"Negative")</f>
        <v>Negative</v>
      </c>
      <c r="I576" s="308">
        <f>IFERROR(__xludf.DUMMYFUNCTION("""COMPUTED_VALUE"""),44895.0)</f>
        <v>44895</v>
      </c>
      <c r="J576" s="311">
        <f>IFERROR(__xludf.DUMMYFUNCTION("""COMPUTED_VALUE"""),0.44634259259259257)</f>
        <v>0.4463425926</v>
      </c>
      <c r="K576" s="54"/>
      <c r="L576" s="7"/>
      <c r="M576" s="312"/>
      <c r="N576" s="172">
        <f>IFERROR(__xludf.DUMMYFUNCTION("""COMPUTED_VALUE"""),3.0)</f>
        <v>3</v>
      </c>
      <c r="O576" s="172" t="str">
        <f t="shared" si="3"/>
        <v/>
      </c>
      <c r="P576" s="313">
        <f>IFERROR(__xludf.DUMMYFUNCTION("""COMPUTED_VALUE"""),0.0)</f>
        <v>0</v>
      </c>
      <c r="Q576" s="76" t="b">
        <f>VLOOKUP($B576,'Run Reconcile'!B$2:O1399,14,FALSE)</f>
        <v>1</v>
      </c>
      <c r="R576" s="314" t="str">
        <f t="array" ref="R576">IF($Q576, INDEX('Run Reconcile'!A$2:A1399,MATCH(B576,'Run Reconcile'!B$2:B1399,0),1),IFERROR(0/0,""))</f>
        <v>RUN-ABRM_2022-11-30_RFR-094</v>
      </c>
      <c r="S576" s="315" t="str">
        <f t="shared" ref="S576:T576" si="1156">IF(COUNTIF(W$2:W1399, $A576) &gt; 0,TRUE,IFERROR(0/0,""))</f>
        <v/>
      </c>
      <c r="T576" s="315" t="str">
        <f t="shared" si="1156"/>
        <v/>
      </c>
      <c r="U576" s="114" t="str">
        <f t="array" ref="U576">IF(ISBLANK($R576), INDEX('Run Reconcile'!A$2:A1399, MATCH($B576, 'Run Reconcile'!B$2:B1399, 0)+Z576, 1), IFERROR(0/0,""))
</f>
        <v/>
      </c>
      <c r="V576" s="316" t="str">
        <f t="shared" si="5"/>
        <v>RUN-ABRM_2022-11-30_RFR-094</v>
      </c>
      <c r="Y576" s="317" t="str">
        <f t="shared" si="6"/>
        <v/>
      </c>
      <c r="Z576" s="83" t="str">
        <f t="shared" si="7"/>
        <v/>
      </c>
      <c r="AA576" s="83" t="str">
        <f t="shared" si="8"/>
        <v/>
      </c>
      <c r="AB576" s="83" t="str">
        <f t="shared" si="9"/>
        <v/>
      </c>
      <c r="AC576" s="18" t="str">
        <f t="shared" ref="AC576:AD576" si="1157">IF(_xlfn.ISFORMULA(S576),IFERROR(0/0,""),TRUE)</f>
        <v/>
      </c>
      <c r="AD576" s="18" t="str">
        <f t="shared" si="1157"/>
        <v/>
      </c>
      <c r="AE576" s="43"/>
      <c r="AF576" s="58" t="s">
        <v>92</v>
      </c>
      <c r="AG576" s="55" t="str">
        <f t="shared" si="11"/>
        <v/>
      </c>
    </row>
    <row r="577">
      <c r="A577" s="7" t="str">
        <f>IFERROR(__xludf.DUMMYFUNCTION("""COMPUTED_VALUE"""),"AG219")</f>
        <v>AG219</v>
      </c>
      <c r="B577" s="308">
        <f>IFERROR(__xludf.DUMMYFUNCTION("""COMPUTED_VALUE"""),44895.0)</f>
        <v>44895</v>
      </c>
      <c r="C577" s="309">
        <f>IFERROR(__xludf.DUMMYFUNCTION("""COMPUTED_VALUE"""),0.29560185185185184)</f>
        <v>0.2956018519</v>
      </c>
      <c r="D577" s="7" t="str">
        <f>IFERROR(__xludf.DUMMYFUNCTION("""COMPUTED_VALUE"""),"SpABRM367540")</f>
        <v>SpABRM367540</v>
      </c>
      <c r="E577" s="310"/>
      <c r="F577" s="310"/>
      <c r="G577" s="310" t="str">
        <f>IFERROR(__xludf.DUMMYFUNCTION("""COMPUTED_VALUE"""),"Negative")</f>
        <v>Negative</v>
      </c>
      <c r="H577" s="319" t="str">
        <f>IFERROR(__xludf.DUMMYFUNCTION("""COMPUTED_VALUE"""),"Negative")</f>
        <v>Negative</v>
      </c>
      <c r="I577" s="308">
        <f>IFERROR(__xludf.DUMMYFUNCTION("""COMPUTED_VALUE"""),44895.0)</f>
        <v>44895</v>
      </c>
      <c r="J577" s="311">
        <f>IFERROR(__xludf.DUMMYFUNCTION("""COMPUTED_VALUE"""),0.44635416666666666)</f>
        <v>0.4463541667</v>
      </c>
      <c r="K577" s="54"/>
      <c r="L577" s="7"/>
      <c r="M577" s="312"/>
      <c r="N577" s="172">
        <f>IFERROR(__xludf.DUMMYFUNCTION("""COMPUTED_VALUE"""),3.0)</f>
        <v>3</v>
      </c>
      <c r="O577" s="172" t="str">
        <f t="shared" si="3"/>
        <v/>
      </c>
      <c r="P577" s="313">
        <f>IFERROR(__xludf.DUMMYFUNCTION("""COMPUTED_VALUE"""),0.0)</f>
        <v>0</v>
      </c>
      <c r="Q577" s="76" t="b">
        <f>VLOOKUP($B577,'Run Reconcile'!B$2:O1399,14,FALSE)</f>
        <v>1</v>
      </c>
      <c r="R577" s="314" t="str">
        <f t="array" ref="R577">IF($Q577, INDEX('Run Reconcile'!A$2:A1399,MATCH(B577,'Run Reconcile'!B$2:B1399,0),1),IFERROR(0/0,""))</f>
        <v>RUN-ABRM_2022-11-30_RFR-094</v>
      </c>
      <c r="S577" s="315" t="str">
        <f t="shared" ref="S577:T577" si="1158">IF(COUNTIF(W$2:W1399, $A577) &gt; 0,TRUE,IFERROR(0/0,""))</f>
        <v/>
      </c>
      <c r="T577" s="315" t="str">
        <f t="shared" si="1158"/>
        <v/>
      </c>
      <c r="U577" s="114" t="str">
        <f t="array" ref="U577">IF(ISBLANK($R577), INDEX('Run Reconcile'!A$2:A1399, MATCH($B577, 'Run Reconcile'!B$2:B1399, 0)+Z577, 1), IFERROR(0/0,""))
</f>
        <v/>
      </c>
      <c r="V577" s="316" t="str">
        <f t="shared" si="5"/>
        <v>RUN-ABRM_2022-11-30_RFR-094</v>
      </c>
      <c r="Y577" s="317" t="str">
        <f t="shared" si="6"/>
        <v/>
      </c>
      <c r="Z577" s="83" t="str">
        <f t="shared" si="7"/>
        <v/>
      </c>
      <c r="AA577" s="83" t="str">
        <f t="shared" si="8"/>
        <v/>
      </c>
      <c r="AB577" s="83" t="str">
        <f t="shared" si="9"/>
        <v/>
      </c>
      <c r="AC577" s="18" t="str">
        <f t="shared" ref="AC577:AD577" si="1159">IF(_xlfn.ISFORMULA(S577),IFERROR(0/0,""),TRUE)</f>
        <v/>
      </c>
      <c r="AD577" s="18" t="str">
        <f t="shared" si="1159"/>
        <v/>
      </c>
      <c r="AE577" s="43"/>
      <c r="AF577" s="58" t="s">
        <v>92</v>
      </c>
      <c r="AG577" s="55" t="str">
        <f t="shared" si="11"/>
        <v/>
      </c>
    </row>
    <row r="578">
      <c r="A578" s="7" t="str">
        <f>IFERROR(__xludf.DUMMYFUNCTION("""COMPUTED_VALUE"""),"AH1821")</f>
        <v>AH1821</v>
      </c>
      <c r="B578" s="308">
        <f>IFERROR(__xludf.DUMMYFUNCTION("""COMPUTED_VALUE"""),44895.0)</f>
        <v>44895</v>
      </c>
      <c r="C578" s="309">
        <f>IFERROR(__xludf.DUMMYFUNCTION("""COMPUTED_VALUE"""),0.30530092592592595)</f>
        <v>0.3053009259</v>
      </c>
      <c r="D578" s="7" t="str">
        <f>IFERROR(__xludf.DUMMYFUNCTION("""COMPUTED_VALUE"""),"SpABRM756011")</f>
        <v>SpABRM756011</v>
      </c>
      <c r="E578" s="310"/>
      <c r="F578" s="310"/>
      <c r="G578" s="310" t="str">
        <f>IFERROR(__xludf.DUMMYFUNCTION("""COMPUTED_VALUE"""),"Negative")</f>
        <v>Negative</v>
      </c>
      <c r="H578" s="319" t="str">
        <f>IFERROR(__xludf.DUMMYFUNCTION("""COMPUTED_VALUE"""),"Negative")</f>
        <v>Negative</v>
      </c>
      <c r="I578" s="308">
        <f>IFERROR(__xludf.DUMMYFUNCTION("""COMPUTED_VALUE"""),44895.0)</f>
        <v>44895</v>
      </c>
      <c r="J578" s="311">
        <f>IFERROR(__xludf.DUMMYFUNCTION("""COMPUTED_VALUE"""),0.44635416666666666)</f>
        <v>0.4463541667</v>
      </c>
      <c r="K578" s="54"/>
      <c r="L578" s="7"/>
      <c r="M578" s="312"/>
      <c r="N578" s="172">
        <f>IFERROR(__xludf.DUMMYFUNCTION("""COMPUTED_VALUE"""),1.0)</f>
        <v>1</v>
      </c>
      <c r="O578" s="172" t="str">
        <f t="shared" si="3"/>
        <v/>
      </c>
      <c r="P578" s="313">
        <f>IFERROR(__xludf.DUMMYFUNCTION("""COMPUTED_VALUE"""),0.0)</f>
        <v>0</v>
      </c>
      <c r="Q578" s="76" t="b">
        <f>VLOOKUP($B578,'Run Reconcile'!B$2:O1399,14,FALSE)</f>
        <v>1</v>
      </c>
      <c r="R578" s="314" t="str">
        <f t="array" ref="R578">IF($Q578, INDEX('Run Reconcile'!A$2:A1399,MATCH(B578,'Run Reconcile'!B$2:B1399,0),1),IFERROR(0/0,""))</f>
        <v>RUN-ABRM_2022-11-30_RFR-094</v>
      </c>
      <c r="S578" s="315" t="str">
        <f t="shared" ref="S578:T578" si="1160">IF(COUNTIF(W$2:W1399, $A578) &gt; 0,TRUE,IFERROR(0/0,""))</f>
        <v/>
      </c>
      <c r="T578" s="315" t="str">
        <f t="shared" si="1160"/>
        <v/>
      </c>
      <c r="U578" s="114" t="str">
        <f t="array" ref="U578">IF(ISBLANK($R578), INDEX('Run Reconcile'!A$2:A1399, MATCH($B578, 'Run Reconcile'!B$2:B1399, 0)+Z578, 1), IFERROR(0/0,""))
</f>
        <v/>
      </c>
      <c r="V578" s="316" t="str">
        <f t="shared" si="5"/>
        <v>RUN-ABRM_2022-11-30_RFR-094</v>
      </c>
      <c r="Y578" s="317" t="str">
        <f t="shared" si="6"/>
        <v/>
      </c>
      <c r="Z578" s="83" t="str">
        <f t="shared" si="7"/>
        <v/>
      </c>
      <c r="AA578" s="83" t="str">
        <f t="shared" si="8"/>
        <v/>
      </c>
      <c r="AB578" s="83" t="str">
        <f t="shared" si="9"/>
        <v/>
      </c>
      <c r="AC578" s="18" t="str">
        <f t="shared" ref="AC578:AD578" si="1161">IF(_xlfn.ISFORMULA(S578),IFERROR(0/0,""),TRUE)</f>
        <v/>
      </c>
      <c r="AD578" s="18" t="str">
        <f t="shared" si="1161"/>
        <v/>
      </c>
      <c r="AE578" s="43"/>
      <c r="AF578" s="58" t="s">
        <v>92</v>
      </c>
      <c r="AG578" s="55" t="str">
        <f t="shared" si="11"/>
        <v/>
      </c>
    </row>
    <row r="579">
      <c r="A579" s="7" t="str">
        <f>IFERROR(__xludf.DUMMYFUNCTION("""COMPUTED_VALUE"""),"AH8642")</f>
        <v>AH8642</v>
      </c>
      <c r="B579" s="308">
        <f>IFERROR(__xludf.DUMMYFUNCTION("""COMPUTED_VALUE"""),44895.0)</f>
        <v>44895</v>
      </c>
      <c r="C579" s="309">
        <f>IFERROR(__xludf.DUMMYFUNCTION("""COMPUTED_VALUE"""),0.30699074074074073)</f>
        <v>0.3069907407</v>
      </c>
      <c r="D579" s="7" t="str">
        <f>IFERROR(__xludf.DUMMYFUNCTION("""COMPUTED_VALUE"""),"SpABRM756011")</f>
        <v>SpABRM756011</v>
      </c>
      <c r="E579" s="310"/>
      <c r="F579" s="310"/>
      <c r="G579" s="310" t="str">
        <f>IFERROR(__xludf.DUMMYFUNCTION("""COMPUTED_VALUE"""),"Negative")</f>
        <v>Negative</v>
      </c>
      <c r="H579" s="319" t="str">
        <f>IFERROR(__xludf.DUMMYFUNCTION("""COMPUTED_VALUE"""),"Negative")</f>
        <v>Negative</v>
      </c>
      <c r="I579" s="308">
        <f>IFERROR(__xludf.DUMMYFUNCTION("""COMPUTED_VALUE"""),44895.0)</f>
        <v>44895</v>
      </c>
      <c r="J579" s="311">
        <f>IFERROR(__xludf.DUMMYFUNCTION("""COMPUTED_VALUE"""),0.44635416666666666)</f>
        <v>0.4463541667</v>
      </c>
      <c r="K579" s="54"/>
      <c r="L579" s="7"/>
      <c r="M579" s="312"/>
      <c r="N579" s="172">
        <f>IFERROR(__xludf.DUMMYFUNCTION("""COMPUTED_VALUE"""),1.0)</f>
        <v>1</v>
      </c>
      <c r="O579" s="172" t="str">
        <f t="shared" si="3"/>
        <v/>
      </c>
      <c r="P579" s="313">
        <f>IFERROR(__xludf.DUMMYFUNCTION("""COMPUTED_VALUE"""),0.0)</f>
        <v>0</v>
      </c>
      <c r="Q579" s="76" t="b">
        <f>VLOOKUP($B579,'Run Reconcile'!B$2:O1399,14,FALSE)</f>
        <v>1</v>
      </c>
      <c r="R579" s="314" t="str">
        <f t="array" ref="R579">IF($Q579, INDEX('Run Reconcile'!A$2:A1399,MATCH(B579,'Run Reconcile'!B$2:B1399,0),1),IFERROR(0/0,""))</f>
        <v>RUN-ABRM_2022-11-30_RFR-094</v>
      </c>
      <c r="S579" s="315" t="str">
        <f t="shared" ref="S579:T579" si="1162">IF(COUNTIF(W$2:W1399, $A579) &gt; 0,TRUE,IFERROR(0/0,""))</f>
        <v/>
      </c>
      <c r="T579" s="315" t="str">
        <f t="shared" si="1162"/>
        <v/>
      </c>
      <c r="U579" s="114" t="str">
        <f t="array" ref="U579">IF(ISBLANK($R579), INDEX('Run Reconcile'!A$2:A1399, MATCH($B579, 'Run Reconcile'!B$2:B1399, 0)+Z579, 1), IFERROR(0/0,""))
</f>
        <v/>
      </c>
      <c r="V579" s="316" t="str">
        <f t="shared" si="5"/>
        <v>RUN-ABRM_2022-11-30_RFR-094</v>
      </c>
      <c r="Y579" s="317" t="str">
        <f t="shared" si="6"/>
        <v/>
      </c>
      <c r="Z579" s="83" t="str">
        <f t="shared" si="7"/>
        <v/>
      </c>
      <c r="AA579" s="83" t="str">
        <f t="shared" si="8"/>
        <v/>
      </c>
      <c r="AB579" s="83" t="str">
        <f t="shared" si="9"/>
        <v/>
      </c>
      <c r="AC579" s="18" t="str">
        <f t="shared" ref="AC579:AD579" si="1163">IF(_xlfn.ISFORMULA(S579),IFERROR(0/0,""),TRUE)</f>
        <v/>
      </c>
      <c r="AD579" s="18" t="str">
        <f t="shared" si="1163"/>
        <v/>
      </c>
      <c r="AE579" s="43"/>
      <c r="AF579" s="58" t="s">
        <v>92</v>
      </c>
      <c r="AG579" s="55" t="str">
        <f t="shared" si="11"/>
        <v/>
      </c>
    </row>
    <row r="580">
      <c r="A580" s="7" t="str">
        <f>IFERROR(__xludf.DUMMYFUNCTION("""COMPUTED_VALUE"""),"AJ4127")</f>
        <v>AJ4127</v>
      </c>
      <c r="B580" s="308">
        <f>IFERROR(__xludf.DUMMYFUNCTION("""COMPUTED_VALUE"""),44895.0)</f>
        <v>44895</v>
      </c>
      <c r="C580" s="309">
        <f>IFERROR(__xludf.DUMMYFUNCTION("""COMPUTED_VALUE"""),0.32202546296296297)</f>
        <v>0.322025463</v>
      </c>
      <c r="D580" s="7" t="str">
        <f>IFERROR(__xludf.DUMMYFUNCTION("""COMPUTED_VALUE"""),"SpABRM814022")</f>
        <v>SpABRM814022</v>
      </c>
      <c r="E580" s="310"/>
      <c r="F580" s="310"/>
      <c r="G580" s="310" t="str">
        <f>IFERROR(__xludf.DUMMYFUNCTION("""COMPUTED_VALUE"""),"Negative")</f>
        <v>Negative</v>
      </c>
      <c r="H580" s="319" t="str">
        <f>IFERROR(__xludf.DUMMYFUNCTION("""COMPUTED_VALUE"""),"Negative")</f>
        <v>Negative</v>
      </c>
      <c r="I580" s="308">
        <f>IFERROR(__xludf.DUMMYFUNCTION("""COMPUTED_VALUE"""),44895.0)</f>
        <v>44895</v>
      </c>
      <c r="J580" s="311">
        <f>IFERROR(__xludf.DUMMYFUNCTION("""COMPUTED_VALUE"""),0.44636574074074076)</f>
        <v>0.4463657407</v>
      </c>
      <c r="K580" s="54"/>
      <c r="L580" s="7"/>
      <c r="M580" s="312"/>
      <c r="N580" s="172">
        <f>IFERROR(__xludf.DUMMYFUNCTION("""COMPUTED_VALUE"""),2.0)</f>
        <v>2</v>
      </c>
      <c r="O580" s="172" t="str">
        <f t="shared" si="3"/>
        <v/>
      </c>
      <c r="P580" s="313">
        <f>IFERROR(__xludf.DUMMYFUNCTION("""COMPUTED_VALUE"""),0.0)</f>
        <v>0</v>
      </c>
      <c r="Q580" s="76" t="b">
        <f>VLOOKUP($B580,'Run Reconcile'!B$2:O1399,14,FALSE)</f>
        <v>1</v>
      </c>
      <c r="R580" s="314" t="str">
        <f t="array" ref="R580">IF($Q580, INDEX('Run Reconcile'!A$2:A1399,MATCH(B580,'Run Reconcile'!B$2:B1399,0),1),IFERROR(0/0,""))</f>
        <v>RUN-ABRM_2022-11-30_RFR-094</v>
      </c>
      <c r="S580" s="315" t="str">
        <f t="shared" ref="S580:T580" si="1164">IF(COUNTIF(W$2:W1399, $A580) &gt; 0,TRUE,IFERROR(0/0,""))</f>
        <v/>
      </c>
      <c r="T580" s="315" t="str">
        <f t="shared" si="1164"/>
        <v/>
      </c>
      <c r="U580" s="114" t="str">
        <f t="array" ref="U580">IF(ISBLANK($R580), INDEX('Run Reconcile'!A$2:A1399, MATCH($B580, 'Run Reconcile'!B$2:B1399, 0)+Z580, 1), IFERROR(0/0,""))
</f>
        <v/>
      </c>
      <c r="V580" s="316" t="str">
        <f t="shared" si="5"/>
        <v>RUN-ABRM_2022-11-30_RFR-094</v>
      </c>
      <c r="Y580" s="317" t="str">
        <f t="shared" si="6"/>
        <v/>
      </c>
      <c r="Z580" s="83" t="str">
        <f t="shared" si="7"/>
        <v/>
      </c>
      <c r="AA580" s="83" t="str">
        <f t="shared" si="8"/>
        <v/>
      </c>
      <c r="AB580" s="83" t="str">
        <f t="shared" si="9"/>
        <v/>
      </c>
      <c r="AC580" s="18" t="str">
        <f t="shared" ref="AC580:AD580" si="1165">IF(_xlfn.ISFORMULA(S580),IFERROR(0/0,""),TRUE)</f>
        <v/>
      </c>
      <c r="AD580" s="18" t="str">
        <f t="shared" si="1165"/>
        <v/>
      </c>
      <c r="AE580" s="43"/>
      <c r="AF580" s="58" t="s">
        <v>92</v>
      </c>
      <c r="AG580" s="55" t="str">
        <f t="shared" si="11"/>
        <v/>
      </c>
    </row>
    <row r="581">
      <c r="A581" s="7" t="str">
        <f>IFERROR(__xludf.DUMMYFUNCTION("""COMPUTED_VALUE"""),"AG205")</f>
        <v>AG205</v>
      </c>
      <c r="B581" s="308">
        <f>IFERROR(__xludf.DUMMYFUNCTION("""COMPUTED_VALUE"""),44895.0)</f>
        <v>44895</v>
      </c>
      <c r="C581" s="309">
        <f>IFERROR(__xludf.DUMMYFUNCTION("""COMPUTED_VALUE"""),0.3318055555555556)</f>
        <v>0.3318055556</v>
      </c>
      <c r="D581" s="7" t="str">
        <f>IFERROR(__xludf.DUMMYFUNCTION("""COMPUTED_VALUE"""),"SpABRM655136")</f>
        <v>SpABRM655136</v>
      </c>
      <c r="E581" s="310"/>
      <c r="F581" s="310"/>
      <c r="G581" s="310" t="str">
        <f>IFERROR(__xludf.DUMMYFUNCTION("""COMPUTED_VALUE"""),"Negative")</f>
        <v>Negative</v>
      </c>
      <c r="H581" s="319" t="str">
        <f>IFERROR(__xludf.DUMMYFUNCTION("""COMPUTED_VALUE"""),"Negative")</f>
        <v>Negative</v>
      </c>
      <c r="I581" s="308">
        <f>IFERROR(__xludf.DUMMYFUNCTION("""COMPUTED_VALUE"""),44895.0)</f>
        <v>44895</v>
      </c>
      <c r="J581" s="311">
        <f>IFERROR(__xludf.DUMMYFUNCTION("""COMPUTED_VALUE"""),0.44636574074074076)</f>
        <v>0.4463657407</v>
      </c>
      <c r="K581" s="54"/>
      <c r="L581" s="7"/>
      <c r="M581" s="312"/>
      <c r="N581" s="172">
        <f>IFERROR(__xludf.DUMMYFUNCTION("""COMPUTED_VALUE"""),3.0)</f>
        <v>3</v>
      </c>
      <c r="O581" s="172" t="str">
        <f t="shared" si="3"/>
        <v/>
      </c>
      <c r="P581" s="313">
        <f>IFERROR(__xludf.DUMMYFUNCTION("""COMPUTED_VALUE"""),0.0)</f>
        <v>0</v>
      </c>
      <c r="Q581" s="76" t="b">
        <f>VLOOKUP($B581,'Run Reconcile'!B$2:O1399,14,FALSE)</f>
        <v>1</v>
      </c>
      <c r="R581" s="314" t="str">
        <f t="array" ref="R581">IF($Q581, INDEX('Run Reconcile'!A$2:A1399,MATCH(B581,'Run Reconcile'!B$2:B1399,0),1),IFERROR(0/0,""))</f>
        <v>RUN-ABRM_2022-11-30_RFR-094</v>
      </c>
      <c r="S581" s="315" t="str">
        <f t="shared" ref="S581:T581" si="1166">IF(COUNTIF(W$2:W1399, $A581) &gt; 0,TRUE,IFERROR(0/0,""))</f>
        <v/>
      </c>
      <c r="T581" s="315" t="str">
        <f t="shared" si="1166"/>
        <v/>
      </c>
      <c r="U581" s="114" t="str">
        <f t="array" ref="U581">IF(ISBLANK($R581), INDEX('Run Reconcile'!A$2:A1399, MATCH($B581, 'Run Reconcile'!B$2:B1399, 0)+Z581, 1), IFERROR(0/0,""))
</f>
        <v/>
      </c>
      <c r="V581" s="316" t="str">
        <f t="shared" si="5"/>
        <v>RUN-ABRM_2022-11-30_RFR-094</v>
      </c>
      <c r="Y581" s="317" t="str">
        <f t="shared" si="6"/>
        <v/>
      </c>
      <c r="Z581" s="83" t="str">
        <f t="shared" si="7"/>
        <v/>
      </c>
      <c r="AA581" s="83" t="str">
        <f t="shared" si="8"/>
        <v/>
      </c>
      <c r="AB581" s="83" t="str">
        <f t="shared" si="9"/>
        <v/>
      </c>
      <c r="AC581" s="18" t="str">
        <f t="shared" ref="AC581:AD581" si="1167">IF(_xlfn.ISFORMULA(S581),IFERROR(0/0,""),TRUE)</f>
        <v/>
      </c>
      <c r="AD581" s="18" t="str">
        <f t="shared" si="1167"/>
        <v/>
      </c>
      <c r="AE581" s="43"/>
      <c r="AF581" s="58" t="s">
        <v>92</v>
      </c>
      <c r="AG581" s="55" t="str">
        <f t="shared" si="11"/>
        <v/>
      </c>
    </row>
    <row r="582">
      <c r="A582" s="7" t="str">
        <f>IFERROR(__xludf.DUMMYFUNCTION("""COMPUTED_VALUE"""),"AG1666")</f>
        <v>AG1666</v>
      </c>
      <c r="B582" s="308">
        <f>IFERROR(__xludf.DUMMYFUNCTION("""COMPUTED_VALUE"""),44895.0)</f>
        <v>44895</v>
      </c>
      <c r="C582" s="309">
        <f>IFERROR(__xludf.DUMMYFUNCTION("""COMPUTED_VALUE"""),0.34100694444444446)</f>
        <v>0.3410069444</v>
      </c>
      <c r="D582" s="7" t="str">
        <f>IFERROR(__xludf.DUMMYFUNCTION("""COMPUTED_VALUE"""),"SpABRM655136")</f>
        <v>SpABRM655136</v>
      </c>
      <c r="E582" s="310"/>
      <c r="F582" s="310"/>
      <c r="G582" s="310" t="str">
        <f>IFERROR(__xludf.DUMMYFUNCTION("""COMPUTED_VALUE"""),"Negative")</f>
        <v>Negative</v>
      </c>
      <c r="H582" s="319" t="str">
        <f>IFERROR(__xludf.DUMMYFUNCTION("""COMPUTED_VALUE"""),"Negative")</f>
        <v>Negative</v>
      </c>
      <c r="I582" s="308">
        <f>IFERROR(__xludf.DUMMYFUNCTION("""COMPUTED_VALUE"""),44895.0)</f>
        <v>44895</v>
      </c>
      <c r="J582" s="311">
        <f>IFERROR(__xludf.DUMMYFUNCTION("""COMPUTED_VALUE"""),0.44636574074074076)</f>
        <v>0.4463657407</v>
      </c>
      <c r="K582" s="54"/>
      <c r="L582" s="7"/>
      <c r="M582" s="312"/>
      <c r="N582" s="172">
        <f>IFERROR(__xludf.DUMMYFUNCTION("""COMPUTED_VALUE"""),3.0)</f>
        <v>3</v>
      </c>
      <c r="O582" s="172" t="str">
        <f t="shared" si="3"/>
        <v/>
      </c>
      <c r="P582" s="313">
        <f>IFERROR(__xludf.DUMMYFUNCTION("""COMPUTED_VALUE"""),0.0)</f>
        <v>0</v>
      </c>
      <c r="Q582" s="76" t="b">
        <f>VLOOKUP($B582,'Run Reconcile'!B$2:O1399,14,FALSE)</f>
        <v>1</v>
      </c>
      <c r="R582" s="314" t="str">
        <f t="array" ref="R582">IF($Q582, INDEX('Run Reconcile'!A$2:A1399,MATCH(B582,'Run Reconcile'!B$2:B1399,0),1),IFERROR(0/0,""))</f>
        <v>RUN-ABRM_2022-11-30_RFR-094</v>
      </c>
      <c r="S582" s="315" t="str">
        <f t="shared" ref="S582:T582" si="1168">IF(COUNTIF(W$2:W1399, $A582) &gt; 0,TRUE,IFERROR(0/0,""))</f>
        <v/>
      </c>
      <c r="T582" s="315" t="str">
        <f t="shared" si="1168"/>
        <v/>
      </c>
      <c r="U582" s="114" t="str">
        <f t="array" ref="U582">IF(ISBLANK($R582), INDEX('Run Reconcile'!A$2:A1399, MATCH($B582, 'Run Reconcile'!B$2:B1399, 0)+Z582, 1), IFERROR(0/0,""))
</f>
        <v/>
      </c>
      <c r="V582" s="316" t="str">
        <f t="shared" si="5"/>
        <v>RUN-ABRM_2022-11-30_RFR-094</v>
      </c>
      <c r="Y582" s="317" t="str">
        <f t="shared" si="6"/>
        <v/>
      </c>
      <c r="Z582" s="83" t="str">
        <f t="shared" si="7"/>
        <v/>
      </c>
      <c r="AA582" s="83" t="str">
        <f t="shared" si="8"/>
        <v/>
      </c>
      <c r="AB582" s="83" t="str">
        <f t="shared" si="9"/>
        <v/>
      </c>
      <c r="AC582" s="18" t="str">
        <f t="shared" ref="AC582:AD582" si="1169">IF(_xlfn.ISFORMULA(S582),IFERROR(0/0,""),TRUE)</f>
        <v/>
      </c>
      <c r="AD582" s="18" t="str">
        <f t="shared" si="1169"/>
        <v/>
      </c>
      <c r="AE582" s="43"/>
      <c r="AF582" s="58" t="s">
        <v>92</v>
      </c>
      <c r="AG582" s="55" t="str">
        <f t="shared" si="11"/>
        <v/>
      </c>
    </row>
    <row r="583">
      <c r="A583" s="7" t="str">
        <f>IFERROR(__xludf.DUMMYFUNCTION("""COMPUTED_VALUE"""),"AH6757")</f>
        <v>AH6757</v>
      </c>
      <c r="B583" s="308">
        <f>IFERROR(__xludf.DUMMYFUNCTION("""COMPUTED_VALUE"""),44896.0)</f>
        <v>44896</v>
      </c>
      <c r="C583" s="309">
        <f>IFERROR(__xludf.DUMMYFUNCTION("""COMPUTED_VALUE"""),0.20752314814814815)</f>
        <v>0.2075231481</v>
      </c>
      <c r="D583" s="7" t="str">
        <f>IFERROR(__xludf.DUMMYFUNCTION("""COMPUTED_VALUE"""),"SpABRM454310")</f>
        <v>SpABRM454310</v>
      </c>
      <c r="E583" s="310"/>
      <c r="F583" s="310"/>
      <c r="G583" s="310" t="str">
        <f>IFERROR(__xludf.DUMMYFUNCTION("""COMPUTED_VALUE"""),"Negative")</f>
        <v>Negative</v>
      </c>
      <c r="H583" s="319" t="str">
        <f>IFERROR(__xludf.DUMMYFUNCTION("""COMPUTED_VALUE"""),"Negative")</f>
        <v>Negative</v>
      </c>
      <c r="I583" s="308">
        <f>IFERROR(__xludf.DUMMYFUNCTION("""COMPUTED_VALUE"""),44896.0)</f>
        <v>44896</v>
      </c>
      <c r="J583" s="311">
        <f>IFERROR(__xludf.DUMMYFUNCTION("""COMPUTED_VALUE"""),0.4483449074074074)</f>
        <v>0.4483449074</v>
      </c>
      <c r="K583" s="54"/>
      <c r="L583" s="7"/>
      <c r="M583" s="312"/>
      <c r="N583" s="172">
        <f>IFERROR(__xludf.DUMMYFUNCTION("""COMPUTED_VALUE"""),3.0)</f>
        <v>3</v>
      </c>
      <c r="O583" s="172" t="b">
        <f t="shared" si="3"/>
        <v>1</v>
      </c>
      <c r="P583" s="313">
        <f>IFERROR(__xludf.DUMMYFUNCTION("""COMPUTED_VALUE"""),0.0)</f>
        <v>0</v>
      </c>
      <c r="Q583" s="76" t="b">
        <f>VLOOKUP($B583,'Run Reconcile'!B$2:O1399,14,FALSE)</f>
        <v>1</v>
      </c>
      <c r="R583" s="314" t="str">
        <f t="array" ref="R583">IF($Q583, INDEX('Run Reconcile'!A$2:A1399,MATCH(B583,'Run Reconcile'!B$2:B1399,0),1),IFERROR(0/0,""))</f>
        <v>RUN-ABRM_2022-12-01_RFR-095</v>
      </c>
      <c r="S583" s="315" t="str">
        <f t="shared" ref="S583:T583" si="1170">IF(COUNTIF(W$2:W1399, $A583) &gt; 0,TRUE,IFERROR(0/0,""))</f>
        <v/>
      </c>
      <c r="T583" s="315" t="str">
        <f t="shared" si="1170"/>
        <v/>
      </c>
      <c r="U583" s="114" t="str">
        <f t="array" ref="U583">IF(ISBLANK($R583), INDEX('Run Reconcile'!A$2:A1399, MATCH($B583, 'Run Reconcile'!B$2:B1399, 0)+Z583, 1), IFERROR(0/0,""))
</f>
        <v/>
      </c>
      <c r="V583" s="316" t="str">
        <f t="shared" si="5"/>
        <v>RUN-ABRM_2022-12-01_RFR-095</v>
      </c>
      <c r="Y583" s="317" t="str">
        <f t="shared" si="6"/>
        <v/>
      </c>
      <c r="Z583" s="83" t="str">
        <f t="shared" si="7"/>
        <v/>
      </c>
      <c r="AA583" s="83" t="str">
        <f t="shared" si="8"/>
        <v/>
      </c>
      <c r="AB583" s="83" t="str">
        <f t="shared" si="9"/>
        <v/>
      </c>
      <c r="AC583" s="18" t="str">
        <f t="shared" ref="AC583:AD583" si="1171">IF(_xlfn.ISFORMULA(S583),IFERROR(0/0,""),TRUE)</f>
        <v/>
      </c>
      <c r="AD583" s="18" t="str">
        <f t="shared" si="1171"/>
        <v/>
      </c>
      <c r="AE583" s="43"/>
      <c r="AF583" s="58" t="s">
        <v>93</v>
      </c>
      <c r="AG583" s="55" t="str">
        <f t="shared" si="11"/>
        <v/>
      </c>
    </row>
    <row r="584">
      <c r="A584" s="7" t="str">
        <f>IFERROR(__xludf.DUMMYFUNCTION("""COMPUTED_VALUE"""),"AH7890")</f>
        <v>AH7890</v>
      </c>
      <c r="B584" s="308">
        <f>IFERROR(__xludf.DUMMYFUNCTION("""COMPUTED_VALUE"""),44896.0)</f>
        <v>44896</v>
      </c>
      <c r="C584" s="309">
        <f>IFERROR(__xludf.DUMMYFUNCTION("""COMPUTED_VALUE"""),0.29403935185185187)</f>
        <v>0.2940393519</v>
      </c>
      <c r="D584" s="7" t="str">
        <f>IFERROR(__xludf.DUMMYFUNCTION("""COMPUTED_VALUE"""),"SpABRM128250")</f>
        <v>SpABRM128250</v>
      </c>
      <c r="E584" s="310"/>
      <c r="F584" s="310"/>
      <c r="G584" s="310" t="str">
        <f>IFERROR(__xludf.DUMMYFUNCTION("""COMPUTED_VALUE"""),"Negative")</f>
        <v>Negative</v>
      </c>
      <c r="H584" s="319" t="str">
        <f>IFERROR(__xludf.DUMMYFUNCTION("""COMPUTED_VALUE"""),"Negative")</f>
        <v>Negative</v>
      </c>
      <c r="I584" s="308">
        <f>IFERROR(__xludf.DUMMYFUNCTION("""COMPUTED_VALUE"""),44896.0)</f>
        <v>44896</v>
      </c>
      <c r="J584" s="311">
        <f>IFERROR(__xludf.DUMMYFUNCTION("""COMPUTED_VALUE"""),0.4483564814814815)</f>
        <v>0.4483564815</v>
      </c>
      <c r="K584" s="54"/>
      <c r="L584" s="7"/>
      <c r="M584" s="312"/>
      <c r="N584" s="172">
        <f>IFERROR(__xludf.DUMMYFUNCTION("""COMPUTED_VALUE"""),3.0)</f>
        <v>3</v>
      </c>
      <c r="O584" s="172" t="str">
        <f t="shared" si="3"/>
        <v/>
      </c>
      <c r="P584" s="313">
        <f>IFERROR(__xludf.DUMMYFUNCTION("""COMPUTED_VALUE"""),0.0)</f>
        <v>0</v>
      </c>
      <c r="Q584" s="76" t="b">
        <f>VLOOKUP($B584,'Run Reconcile'!B$2:O1399,14,FALSE)</f>
        <v>1</v>
      </c>
      <c r="R584" s="314" t="str">
        <f t="array" ref="R584">IF($Q584, INDEX('Run Reconcile'!A$2:A1399,MATCH(B584,'Run Reconcile'!B$2:B1399,0),1),IFERROR(0/0,""))</f>
        <v>RUN-ABRM_2022-12-01_RFR-095</v>
      </c>
      <c r="S584" s="315" t="str">
        <f t="shared" ref="S584:T584" si="1172">IF(COUNTIF(W$2:W1399, $A584) &gt; 0,TRUE,IFERROR(0/0,""))</f>
        <v/>
      </c>
      <c r="T584" s="315" t="str">
        <f t="shared" si="1172"/>
        <v/>
      </c>
      <c r="U584" s="114" t="str">
        <f t="array" ref="U584">IF(ISBLANK($R584), INDEX('Run Reconcile'!A$2:A1399, MATCH($B584, 'Run Reconcile'!B$2:B1399, 0)+Z584, 1), IFERROR(0/0,""))
</f>
        <v/>
      </c>
      <c r="V584" s="316" t="str">
        <f t="shared" si="5"/>
        <v>RUN-ABRM_2022-12-01_RFR-095</v>
      </c>
      <c r="Y584" s="317" t="str">
        <f t="shared" si="6"/>
        <v/>
      </c>
      <c r="Z584" s="83" t="str">
        <f t="shared" si="7"/>
        <v/>
      </c>
      <c r="AA584" s="83" t="str">
        <f t="shared" si="8"/>
        <v/>
      </c>
      <c r="AB584" s="83" t="str">
        <f t="shared" si="9"/>
        <v/>
      </c>
      <c r="AC584" s="18" t="str">
        <f t="shared" ref="AC584:AD584" si="1173">IF(_xlfn.ISFORMULA(S584),IFERROR(0/0,""),TRUE)</f>
        <v/>
      </c>
      <c r="AD584" s="18" t="str">
        <f t="shared" si="1173"/>
        <v/>
      </c>
      <c r="AE584" s="43"/>
      <c r="AF584" s="58" t="s">
        <v>93</v>
      </c>
      <c r="AG584" s="55" t="str">
        <f t="shared" si="11"/>
        <v/>
      </c>
    </row>
    <row r="585">
      <c r="A585" s="7" t="str">
        <f>IFERROR(__xludf.DUMMYFUNCTION("""COMPUTED_VALUE"""),"AG755")</f>
        <v>AG755</v>
      </c>
      <c r="B585" s="308">
        <f>IFERROR(__xludf.DUMMYFUNCTION("""COMPUTED_VALUE"""),44896.0)</f>
        <v>44896</v>
      </c>
      <c r="C585" s="309">
        <f>IFERROR(__xludf.DUMMYFUNCTION("""COMPUTED_VALUE"""),0.30189814814814814)</f>
        <v>0.3018981481</v>
      </c>
      <c r="D585" s="7" t="str">
        <f>IFERROR(__xludf.DUMMYFUNCTION("""COMPUTED_VALUE"""),"SpABRM367540")</f>
        <v>SpABRM367540</v>
      </c>
      <c r="E585" s="310"/>
      <c r="F585" s="310"/>
      <c r="G585" s="310" t="str">
        <f>IFERROR(__xludf.DUMMYFUNCTION("""COMPUTED_VALUE"""),"Negative")</f>
        <v>Negative</v>
      </c>
      <c r="H585" s="319" t="str">
        <f>IFERROR(__xludf.DUMMYFUNCTION("""COMPUTED_VALUE"""),"Negative")</f>
        <v>Negative</v>
      </c>
      <c r="I585" s="308">
        <f>IFERROR(__xludf.DUMMYFUNCTION("""COMPUTED_VALUE"""),44896.0)</f>
        <v>44896</v>
      </c>
      <c r="J585" s="311">
        <f>IFERROR(__xludf.DUMMYFUNCTION("""COMPUTED_VALUE"""),0.4483564814814815)</f>
        <v>0.4483564815</v>
      </c>
      <c r="K585" s="54"/>
      <c r="L585" s="7"/>
      <c r="M585" s="312"/>
      <c r="N585" s="172">
        <f>IFERROR(__xludf.DUMMYFUNCTION("""COMPUTED_VALUE"""),3.0)</f>
        <v>3</v>
      </c>
      <c r="O585" s="172" t="str">
        <f t="shared" si="3"/>
        <v/>
      </c>
      <c r="P585" s="313">
        <f>IFERROR(__xludf.DUMMYFUNCTION("""COMPUTED_VALUE"""),0.0)</f>
        <v>0</v>
      </c>
      <c r="Q585" s="76" t="b">
        <f>VLOOKUP($B585,'Run Reconcile'!B$2:O1399,14,FALSE)</f>
        <v>1</v>
      </c>
      <c r="R585" s="314" t="str">
        <f t="array" ref="R585">IF($Q585, INDEX('Run Reconcile'!A$2:A1399,MATCH(B585,'Run Reconcile'!B$2:B1399,0),1),IFERROR(0/0,""))</f>
        <v>RUN-ABRM_2022-12-01_RFR-095</v>
      </c>
      <c r="S585" s="315" t="str">
        <f t="shared" ref="S585:T585" si="1174">IF(COUNTIF(W$2:W1399, $A585) &gt; 0,TRUE,IFERROR(0/0,""))</f>
        <v/>
      </c>
      <c r="T585" s="315" t="str">
        <f t="shared" si="1174"/>
        <v/>
      </c>
      <c r="U585" s="114" t="str">
        <f t="array" ref="U585">IF(ISBLANK($R585), INDEX('Run Reconcile'!A$2:A1399, MATCH($B585, 'Run Reconcile'!B$2:B1399, 0)+Z585, 1), IFERROR(0/0,""))
</f>
        <v/>
      </c>
      <c r="V585" s="316" t="str">
        <f t="shared" si="5"/>
        <v>RUN-ABRM_2022-12-01_RFR-095</v>
      </c>
      <c r="Y585" s="317" t="str">
        <f t="shared" si="6"/>
        <v/>
      </c>
      <c r="Z585" s="83" t="str">
        <f t="shared" si="7"/>
        <v/>
      </c>
      <c r="AA585" s="83" t="str">
        <f t="shared" si="8"/>
        <v/>
      </c>
      <c r="AB585" s="83" t="str">
        <f t="shared" si="9"/>
        <v/>
      </c>
      <c r="AC585" s="18" t="str">
        <f t="shared" ref="AC585:AD585" si="1175">IF(_xlfn.ISFORMULA(S585),IFERROR(0/0,""),TRUE)</f>
        <v/>
      </c>
      <c r="AD585" s="18" t="str">
        <f t="shared" si="1175"/>
        <v/>
      </c>
      <c r="AE585" s="43"/>
      <c r="AF585" s="58" t="s">
        <v>93</v>
      </c>
      <c r="AG585" s="55" t="str">
        <f t="shared" si="11"/>
        <v/>
      </c>
    </row>
    <row r="586">
      <c r="A586" s="7" t="str">
        <f>IFERROR(__xludf.DUMMYFUNCTION("""COMPUTED_VALUE"""),"AG1439")</f>
        <v>AG1439</v>
      </c>
      <c r="B586" s="308">
        <f>IFERROR(__xludf.DUMMYFUNCTION("""COMPUTED_VALUE"""),44896.0)</f>
        <v>44896</v>
      </c>
      <c r="C586" s="309">
        <f>IFERROR(__xludf.DUMMYFUNCTION("""COMPUTED_VALUE"""),0.32135416666666666)</f>
        <v>0.3213541667</v>
      </c>
      <c r="D586" s="7" t="str">
        <f>IFERROR(__xludf.DUMMYFUNCTION("""COMPUTED_VALUE"""),"SpABRM655136")</f>
        <v>SpABRM655136</v>
      </c>
      <c r="E586" s="310"/>
      <c r="F586" s="310"/>
      <c r="G586" s="310" t="str">
        <f>IFERROR(__xludf.DUMMYFUNCTION("""COMPUTED_VALUE"""),"Negative")</f>
        <v>Negative</v>
      </c>
      <c r="H586" s="319" t="str">
        <f>IFERROR(__xludf.DUMMYFUNCTION("""COMPUTED_VALUE"""),"Negative")</f>
        <v>Negative</v>
      </c>
      <c r="I586" s="308">
        <f>IFERROR(__xludf.DUMMYFUNCTION("""COMPUTED_VALUE"""),44896.0)</f>
        <v>44896</v>
      </c>
      <c r="J586" s="311">
        <f>IFERROR(__xludf.DUMMYFUNCTION("""COMPUTED_VALUE"""),0.44836805555555553)</f>
        <v>0.4483680556</v>
      </c>
      <c r="K586" s="54"/>
      <c r="L586" s="7"/>
      <c r="M586" s="312"/>
      <c r="N586" s="172">
        <f>IFERROR(__xludf.DUMMYFUNCTION("""COMPUTED_VALUE"""),2.0)</f>
        <v>2</v>
      </c>
      <c r="O586" s="172" t="str">
        <f t="shared" si="3"/>
        <v/>
      </c>
      <c r="P586" s="313">
        <f>IFERROR(__xludf.DUMMYFUNCTION("""COMPUTED_VALUE"""),0.0)</f>
        <v>0</v>
      </c>
      <c r="Q586" s="76" t="b">
        <f>VLOOKUP($B586,'Run Reconcile'!B$2:O1399,14,FALSE)</f>
        <v>1</v>
      </c>
      <c r="R586" s="314" t="str">
        <f t="array" ref="R586">IF($Q586, INDEX('Run Reconcile'!A$2:A1399,MATCH(B586,'Run Reconcile'!B$2:B1399,0),1),IFERROR(0/0,""))</f>
        <v>RUN-ABRM_2022-12-01_RFR-095</v>
      </c>
      <c r="S586" s="315" t="str">
        <f t="shared" ref="S586:T586" si="1176">IF(COUNTIF(W$2:W1399, $A586) &gt; 0,TRUE,IFERROR(0/0,""))</f>
        <v/>
      </c>
      <c r="T586" s="315" t="str">
        <f t="shared" si="1176"/>
        <v/>
      </c>
      <c r="U586" s="114" t="str">
        <f t="array" ref="U586">IF(ISBLANK($R586), INDEX('Run Reconcile'!A$2:A1399, MATCH($B586, 'Run Reconcile'!B$2:B1399, 0)+Z586, 1), IFERROR(0/0,""))
</f>
        <v/>
      </c>
      <c r="V586" s="316" t="str">
        <f t="shared" si="5"/>
        <v>RUN-ABRM_2022-12-01_RFR-095</v>
      </c>
      <c r="Y586" s="317" t="str">
        <f t="shared" si="6"/>
        <v/>
      </c>
      <c r="Z586" s="83" t="str">
        <f t="shared" si="7"/>
        <v/>
      </c>
      <c r="AA586" s="83" t="str">
        <f t="shared" si="8"/>
        <v/>
      </c>
      <c r="AB586" s="83" t="str">
        <f t="shared" si="9"/>
        <v/>
      </c>
      <c r="AC586" s="18" t="str">
        <f t="shared" ref="AC586:AD586" si="1177">IF(_xlfn.ISFORMULA(S586),IFERROR(0/0,""),TRUE)</f>
        <v/>
      </c>
      <c r="AD586" s="18" t="str">
        <f t="shared" si="1177"/>
        <v/>
      </c>
      <c r="AE586" s="43"/>
      <c r="AF586" s="58" t="s">
        <v>93</v>
      </c>
      <c r="AG586" s="55" t="str">
        <f t="shared" si="11"/>
        <v/>
      </c>
    </row>
    <row r="587">
      <c r="A587" s="7" t="str">
        <f>IFERROR(__xludf.DUMMYFUNCTION("""COMPUTED_VALUE"""),"AJ9393")</f>
        <v>AJ9393</v>
      </c>
      <c r="B587" s="308">
        <f>IFERROR(__xludf.DUMMYFUNCTION("""COMPUTED_VALUE"""),44896.0)</f>
        <v>44896</v>
      </c>
      <c r="C587" s="309">
        <f>IFERROR(__xludf.DUMMYFUNCTION("""COMPUTED_VALUE"""),0.324525462962963)</f>
        <v>0.324525463</v>
      </c>
      <c r="D587" s="7" t="str">
        <f>IFERROR(__xludf.DUMMYFUNCTION("""COMPUTED_VALUE"""),"SpABRM814022")</f>
        <v>SpABRM814022</v>
      </c>
      <c r="E587" s="310"/>
      <c r="F587" s="310"/>
      <c r="G587" s="310" t="str">
        <f>IFERROR(__xludf.DUMMYFUNCTION("""COMPUTED_VALUE"""),"Negative")</f>
        <v>Negative</v>
      </c>
      <c r="H587" s="319" t="str">
        <f>IFERROR(__xludf.DUMMYFUNCTION("""COMPUTED_VALUE"""),"Negative")</f>
        <v>Negative</v>
      </c>
      <c r="I587" s="308">
        <f>IFERROR(__xludf.DUMMYFUNCTION("""COMPUTED_VALUE"""),44896.0)</f>
        <v>44896</v>
      </c>
      <c r="J587" s="311">
        <f>IFERROR(__xludf.DUMMYFUNCTION("""COMPUTED_VALUE"""),0.44836805555555553)</f>
        <v>0.4483680556</v>
      </c>
      <c r="K587" s="54"/>
      <c r="L587" s="7"/>
      <c r="M587" s="312"/>
      <c r="N587" s="172">
        <f>IFERROR(__xludf.DUMMYFUNCTION("""COMPUTED_VALUE"""),1.0)</f>
        <v>1</v>
      </c>
      <c r="O587" s="172" t="str">
        <f t="shared" si="3"/>
        <v/>
      </c>
      <c r="P587" s="313">
        <f>IFERROR(__xludf.DUMMYFUNCTION("""COMPUTED_VALUE"""),0.0)</f>
        <v>0</v>
      </c>
      <c r="Q587" s="76" t="b">
        <f>VLOOKUP($B587,'Run Reconcile'!B$2:O1399,14,FALSE)</f>
        <v>1</v>
      </c>
      <c r="R587" s="314" t="str">
        <f t="array" ref="R587">IF($Q587, INDEX('Run Reconcile'!A$2:A1399,MATCH(B587,'Run Reconcile'!B$2:B1399,0),1),IFERROR(0/0,""))</f>
        <v>RUN-ABRM_2022-12-01_RFR-095</v>
      </c>
      <c r="S587" s="315" t="str">
        <f t="shared" ref="S587:T587" si="1178">IF(COUNTIF(W$2:W1399, $A587) &gt; 0,TRUE,IFERROR(0/0,""))</f>
        <v/>
      </c>
      <c r="T587" s="315" t="str">
        <f t="shared" si="1178"/>
        <v/>
      </c>
      <c r="U587" s="114" t="str">
        <f t="array" ref="U587">IF(ISBLANK($R587), INDEX('Run Reconcile'!A$2:A1399, MATCH($B587, 'Run Reconcile'!B$2:B1399, 0)+Z587, 1), IFERROR(0/0,""))
</f>
        <v/>
      </c>
      <c r="V587" s="316" t="str">
        <f t="shared" si="5"/>
        <v>RUN-ABRM_2022-12-01_RFR-095</v>
      </c>
      <c r="Y587" s="317" t="str">
        <f t="shared" si="6"/>
        <v/>
      </c>
      <c r="Z587" s="83" t="str">
        <f t="shared" si="7"/>
        <v/>
      </c>
      <c r="AA587" s="83" t="str">
        <f t="shared" si="8"/>
        <v/>
      </c>
      <c r="AB587" s="83" t="str">
        <f t="shared" si="9"/>
        <v/>
      </c>
      <c r="AC587" s="18" t="str">
        <f t="shared" ref="AC587:AD587" si="1179">IF(_xlfn.ISFORMULA(S587),IFERROR(0/0,""),TRUE)</f>
        <v/>
      </c>
      <c r="AD587" s="18" t="str">
        <f t="shared" si="1179"/>
        <v/>
      </c>
      <c r="AE587" s="43"/>
      <c r="AF587" s="58" t="s">
        <v>93</v>
      </c>
      <c r="AG587" s="55" t="str">
        <f t="shared" si="11"/>
        <v/>
      </c>
    </row>
    <row r="588">
      <c r="A588" s="7" t="str">
        <f>IFERROR(__xludf.DUMMYFUNCTION("""COMPUTED_VALUE"""),"AH220")</f>
        <v>AH220</v>
      </c>
      <c r="B588" s="308">
        <f>IFERROR(__xludf.DUMMYFUNCTION("""COMPUTED_VALUE"""),44896.0)</f>
        <v>44896</v>
      </c>
      <c r="C588" s="309">
        <f>IFERROR(__xludf.DUMMYFUNCTION("""COMPUTED_VALUE"""),0.3267939814814815)</f>
        <v>0.3267939815</v>
      </c>
      <c r="D588" s="7" t="str">
        <f>IFERROR(__xludf.DUMMYFUNCTION("""COMPUTED_VALUE"""),"SpABRM655136")</f>
        <v>SpABRM655136</v>
      </c>
      <c r="E588" s="310"/>
      <c r="F588" s="310"/>
      <c r="G588" s="310" t="str">
        <f>IFERROR(__xludf.DUMMYFUNCTION("""COMPUTED_VALUE"""),"Negative")</f>
        <v>Negative</v>
      </c>
      <c r="H588" s="319" t="str">
        <f>IFERROR(__xludf.DUMMYFUNCTION("""COMPUTED_VALUE"""),"Negative")</f>
        <v>Negative</v>
      </c>
      <c r="I588" s="308">
        <f>IFERROR(__xludf.DUMMYFUNCTION("""COMPUTED_VALUE"""),44896.0)</f>
        <v>44896</v>
      </c>
      <c r="J588" s="311">
        <f>IFERROR(__xludf.DUMMYFUNCTION("""COMPUTED_VALUE"""),0.44836805555555553)</f>
        <v>0.4483680556</v>
      </c>
      <c r="K588" s="54"/>
      <c r="L588" s="7"/>
      <c r="M588" s="312"/>
      <c r="N588" s="172">
        <f>IFERROR(__xludf.DUMMYFUNCTION("""COMPUTED_VALUE"""),3.0)</f>
        <v>3</v>
      </c>
      <c r="O588" s="172" t="str">
        <f t="shared" si="3"/>
        <v/>
      </c>
      <c r="P588" s="313">
        <f>IFERROR(__xludf.DUMMYFUNCTION("""COMPUTED_VALUE"""),0.0)</f>
        <v>0</v>
      </c>
      <c r="Q588" s="76" t="b">
        <f>VLOOKUP($B588,'Run Reconcile'!B$2:O1399,14,FALSE)</f>
        <v>1</v>
      </c>
      <c r="R588" s="314" t="str">
        <f t="array" ref="R588">IF($Q588, INDEX('Run Reconcile'!A$2:A1399,MATCH(B588,'Run Reconcile'!B$2:B1399,0),1),IFERROR(0/0,""))</f>
        <v>RUN-ABRM_2022-12-01_RFR-095</v>
      </c>
      <c r="S588" s="315" t="str">
        <f t="shared" ref="S588:T588" si="1180">IF(COUNTIF(W$2:W1399, $A588) &gt; 0,TRUE,IFERROR(0/0,""))</f>
        <v/>
      </c>
      <c r="T588" s="315" t="str">
        <f t="shared" si="1180"/>
        <v/>
      </c>
      <c r="U588" s="114" t="str">
        <f t="array" ref="U588">IF(ISBLANK($R588), INDEX('Run Reconcile'!A$2:A1399, MATCH($B588, 'Run Reconcile'!B$2:B1399, 0)+Z588, 1), IFERROR(0/0,""))
</f>
        <v/>
      </c>
      <c r="V588" s="316" t="str">
        <f t="shared" si="5"/>
        <v>RUN-ABRM_2022-12-01_RFR-095</v>
      </c>
      <c r="Y588" s="317" t="str">
        <f t="shared" si="6"/>
        <v/>
      </c>
      <c r="Z588" s="83" t="str">
        <f t="shared" si="7"/>
        <v/>
      </c>
      <c r="AA588" s="83" t="str">
        <f t="shared" si="8"/>
        <v/>
      </c>
      <c r="AB588" s="83" t="str">
        <f t="shared" si="9"/>
        <v/>
      </c>
      <c r="AC588" s="18" t="str">
        <f t="shared" ref="AC588:AD588" si="1181">IF(_xlfn.ISFORMULA(S588),IFERROR(0/0,""),TRUE)</f>
        <v/>
      </c>
      <c r="AD588" s="18" t="str">
        <f t="shared" si="1181"/>
        <v/>
      </c>
      <c r="AE588" s="43"/>
      <c r="AF588" s="58" t="s">
        <v>93</v>
      </c>
      <c r="AG588" s="55" t="str">
        <f t="shared" si="11"/>
        <v/>
      </c>
    </row>
    <row r="589">
      <c r="A589" s="7" t="str">
        <f>IFERROR(__xludf.DUMMYFUNCTION("""COMPUTED_VALUE"""),"AH8380")</f>
        <v>AH8380</v>
      </c>
      <c r="B589" s="308">
        <f>IFERROR(__xludf.DUMMYFUNCTION("""COMPUTED_VALUE"""),44896.0)</f>
        <v>44896</v>
      </c>
      <c r="C589" s="309">
        <f>IFERROR(__xludf.DUMMYFUNCTION("""COMPUTED_VALUE"""),0.39818287037037037)</f>
        <v>0.3981828704</v>
      </c>
      <c r="D589" s="7" t="str">
        <f>IFERROR(__xludf.DUMMYFUNCTION("""COMPUTED_VALUE"""),"SpABRM655136")</f>
        <v>SpABRM655136</v>
      </c>
      <c r="E589" s="310"/>
      <c r="F589" s="310"/>
      <c r="G589" s="310" t="str">
        <f>IFERROR(__xludf.DUMMYFUNCTION("""COMPUTED_VALUE"""),"Negative")</f>
        <v>Negative</v>
      </c>
      <c r="H589" s="319" t="str">
        <f>IFERROR(__xludf.DUMMYFUNCTION("""COMPUTED_VALUE"""),"Negative")</f>
        <v>Negative</v>
      </c>
      <c r="I589" s="308">
        <f>IFERROR(__xludf.DUMMYFUNCTION("""COMPUTED_VALUE"""),44896.0)</f>
        <v>44896</v>
      </c>
      <c r="J589" s="311">
        <f>IFERROR(__xludf.DUMMYFUNCTION("""COMPUTED_VALUE"""),0.47583333333333333)</f>
        <v>0.4758333333</v>
      </c>
      <c r="K589" s="54"/>
      <c r="L589" s="7"/>
      <c r="M589" s="312"/>
      <c r="N589" s="172">
        <f>IFERROR(__xludf.DUMMYFUNCTION("""COMPUTED_VALUE"""),4.0)</f>
        <v>4</v>
      </c>
      <c r="O589" s="172" t="str">
        <f t="shared" si="3"/>
        <v/>
      </c>
      <c r="P589" s="313">
        <f>IFERROR(__xludf.DUMMYFUNCTION("""COMPUTED_VALUE"""),0.0)</f>
        <v>0</v>
      </c>
      <c r="Q589" s="76" t="b">
        <f>VLOOKUP($B589,'Run Reconcile'!B$2:O1399,14,FALSE)</f>
        <v>1</v>
      </c>
      <c r="R589" s="314" t="str">
        <f t="array" ref="R589">IF($Q589, INDEX('Run Reconcile'!A$2:A1399,MATCH(B589,'Run Reconcile'!B$2:B1399,0),1),IFERROR(0/0,""))</f>
        <v>RUN-ABRM_2022-12-01_RFR-095</v>
      </c>
      <c r="S589" s="315" t="str">
        <f t="shared" ref="S589:T589" si="1182">IF(COUNTIF(W$2:W1399, $A589) &gt; 0,TRUE,IFERROR(0/0,""))</f>
        <v/>
      </c>
      <c r="T589" s="315" t="str">
        <f t="shared" si="1182"/>
        <v/>
      </c>
      <c r="U589" s="114" t="str">
        <f t="array" ref="U589">IF(ISBLANK($R589), INDEX('Run Reconcile'!A$2:A1399, MATCH($B589, 'Run Reconcile'!B$2:B1399, 0)+Z589, 1), IFERROR(0/0,""))
</f>
        <v/>
      </c>
      <c r="V589" s="316" t="str">
        <f t="shared" si="5"/>
        <v>RUN-ABRM_2022-12-01_RFR-095</v>
      </c>
      <c r="Y589" s="317" t="str">
        <f t="shared" si="6"/>
        <v/>
      </c>
      <c r="Z589" s="83" t="str">
        <f t="shared" si="7"/>
        <v/>
      </c>
      <c r="AA589" s="83" t="str">
        <f t="shared" si="8"/>
        <v/>
      </c>
      <c r="AB589" s="83" t="str">
        <f t="shared" si="9"/>
        <v/>
      </c>
      <c r="AC589" s="18" t="str">
        <f t="shared" ref="AC589:AD589" si="1183">IF(_xlfn.ISFORMULA(S589),IFERROR(0/0,""),TRUE)</f>
        <v/>
      </c>
      <c r="AD589" s="18" t="str">
        <f t="shared" si="1183"/>
        <v/>
      </c>
      <c r="AE589" s="43"/>
      <c r="AF589" s="58" t="s">
        <v>93</v>
      </c>
      <c r="AG589" s="55" t="str">
        <f t="shared" si="11"/>
        <v/>
      </c>
    </row>
    <row r="590">
      <c r="A590" s="7" t="str">
        <f>IFERROR(__xludf.DUMMYFUNCTION("""COMPUTED_VALUE"""),"AG574")</f>
        <v>AG574</v>
      </c>
      <c r="B590" s="308">
        <f>IFERROR(__xludf.DUMMYFUNCTION("""COMPUTED_VALUE"""),44897.0)</f>
        <v>44897</v>
      </c>
      <c r="C590" s="309">
        <f>IFERROR(__xludf.DUMMYFUNCTION("""COMPUTED_VALUE"""),0.2850810185185185)</f>
        <v>0.2850810185</v>
      </c>
      <c r="D590" s="7" t="str">
        <f>IFERROR(__xludf.DUMMYFUNCTION("""COMPUTED_VALUE"""),"SpABRM716377")</f>
        <v>SpABRM716377</v>
      </c>
      <c r="E590" s="310"/>
      <c r="F590" s="310"/>
      <c r="G590" s="310" t="str">
        <f>IFERROR(__xludf.DUMMYFUNCTION("""COMPUTED_VALUE"""),"Negative")</f>
        <v>Negative</v>
      </c>
      <c r="H590" s="319" t="str">
        <f>IFERROR(__xludf.DUMMYFUNCTION("""COMPUTED_VALUE"""),"Negative")</f>
        <v>Negative</v>
      </c>
      <c r="I590" s="308">
        <f>IFERROR(__xludf.DUMMYFUNCTION("""COMPUTED_VALUE"""),44900.0)</f>
        <v>44900</v>
      </c>
      <c r="J590" s="311">
        <f>IFERROR(__xludf.DUMMYFUNCTION("""COMPUTED_VALUE"""),0.3303009259259259)</f>
        <v>0.3303009259</v>
      </c>
      <c r="K590" s="54"/>
      <c r="L590" s="7"/>
      <c r="M590" s="312"/>
      <c r="N590" s="172">
        <f>IFERROR(__xludf.DUMMYFUNCTION("""COMPUTED_VALUE"""),3.0)</f>
        <v>3</v>
      </c>
      <c r="O590" s="172" t="b">
        <f t="shared" si="3"/>
        <v>1</v>
      </c>
      <c r="P590" s="313">
        <f>IFERROR(__xludf.DUMMYFUNCTION("""COMPUTED_VALUE"""),3.0)</f>
        <v>3</v>
      </c>
      <c r="Q590" s="76" t="b">
        <f>VLOOKUP($B590,'Run Reconcile'!B$2:O1399,14,FALSE)</f>
        <v>1</v>
      </c>
      <c r="R590" s="314" t="str">
        <f t="array" ref="R590">IF($Q590, INDEX('Run Reconcile'!A$2:A1399,MATCH(B590,'Run Reconcile'!B$2:B1399,0),1),IFERROR(0/0,""))</f>
        <v>RUN-ABRM_2022-12-02_RFR-097</v>
      </c>
      <c r="S590" s="315" t="str">
        <f t="shared" ref="S590:T590" si="1184">IF(COUNTIF(W$2:W1399, $A590) &gt; 0,TRUE,IFERROR(0/0,""))</f>
        <v/>
      </c>
      <c r="T590" s="315" t="str">
        <f t="shared" si="1184"/>
        <v/>
      </c>
      <c r="U590" s="114" t="str">
        <f t="array" ref="U590">IF(ISBLANK($R590), INDEX('Run Reconcile'!A$2:A1399, MATCH($B590, 'Run Reconcile'!B$2:B1399, 0)+Z590, 1), IFERROR(0/0,""))
</f>
        <v/>
      </c>
      <c r="V590" s="316" t="str">
        <f t="shared" si="5"/>
        <v>RUN-ABRM_2022-12-02_RFR-097</v>
      </c>
      <c r="Y590" s="317" t="str">
        <f t="shared" si="6"/>
        <v/>
      </c>
      <c r="Z590" s="83" t="str">
        <f t="shared" si="7"/>
        <v/>
      </c>
      <c r="AA590" s="83" t="str">
        <f t="shared" si="8"/>
        <v/>
      </c>
      <c r="AB590" s="83" t="str">
        <f t="shared" si="9"/>
        <v/>
      </c>
      <c r="AC590" s="18" t="str">
        <f t="shared" ref="AC590:AD590" si="1185">IF(_xlfn.ISFORMULA(S590),IFERROR(0/0,""),TRUE)</f>
        <v/>
      </c>
      <c r="AD590" s="18" t="str">
        <f t="shared" si="1185"/>
        <v/>
      </c>
      <c r="AE590" s="43"/>
      <c r="AF590" s="58" t="s">
        <v>94</v>
      </c>
      <c r="AG590" s="55" t="str">
        <f t="shared" si="11"/>
        <v/>
      </c>
    </row>
    <row r="591">
      <c r="A591" s="7" t="str">
        <f>IFERROR(__xludf.DUMMYFUNCTION("""COMPUTED_VALUE"""),"AH9854")</f>
        <v>AH9854</v>
      </c>
      <c r="B591" s="308">
        <f>IFERROR(__xludf.DUMMYFUNCTION("""COMPUTED_VALUE"""),44897.0)</f>
        <v>44897</v>
      </c>
      <c r="C591" s="309">
        <f>IFERROR(__xludf.DUMMYFUNCTION("""COMPUTED_VALUE"""),0.28575231481481483)</f>
        <v>0.2857523148</v>
      </c>
      <c r="D591" s="7" t="str">
        <f>IFERROR(__xludf.DUMMYFUNCTION("""COMPUTED_VALUE"""),"SpABRM128250")</f>
        <v>SpABRM128250</v>
      </c>
      <c r="E591" s="310"/>
      <c r="F591" s="310"/>
      <c r="G591" s="310" t="str">
        <f>IFERROR(__xludf.DUMMYFUNCTION("""COMPUTED_VALUE"""),"Negative")</f>
        <v>Negative</v>
      </c>
      <c r="H591" s="319" t="str">
        <f>IFERROR(__xludf.DUMMYFUNCTION("""COMPUTED_VALUE"""),"Negative")</f>
        <v>Negative</v>
      </c>
      <c r="I591" s="308">
        <f>IFERROR(__xludf.DUMMYFUNCTION("""COMPUTED_VALUE"""),44900.0)</f>
        <v>44900</v>
      </c>
      <c r="J591" s="311">
        <f>IFERROR(__xludf.DUMMYFUNCTION("""COMPUTED_VALUE"""),0.3303009259259259)</f>
        <v>0.3303009259</v>
      </c>
      <c r="K591" s="54"/>
      <c r="L591" s="7"/>
      <c r="M591" s="312"/>
      <c r="N591" s="172">
        <f>IFERROR(__xludf.DUMMYFUNCTION("""COMPUTED_VALUE"""),3.0)</f>
        <v>3</v>
      </c>
      <c r="O591" s="172" t="str">
        <f t="shared" si="3"/>
        <v/>
      </c>
      <c r="P591" s="313">
        <f>IFERROR(__xludf.DUMMYFUNCTION("""COMPUTED_VALUE"""),3.0)</f>
        <v>3</v>
      </c>
      <c r="Q591" s="76" t="b">
        <f>VLOOKUP($B591,'Run Reconcile'!B$2:O1399,14,FALSE)</f>
        <v>1</v>
      </c>
      <c r="R591" s="314" t="str">
        <f t="array" ref="R591">IF($Q591, INDEX('Run Reconcile'!A$2:A1399,MATCH(B591,'Run Reconcile'!B$2:B1399,0),1),IFERROR(0/0,""))</f>
        <v>RUN-ABRM_2022-12-02_RFR-097</v>
      </c>
      <c r="S591" s="315" t="str">
        <f t="shared" ref="S591:T591" si="1186">IF(COUNTIF(W$2:W1399, $A591) &gt; 0,TRUE,IFERROR(0/0,""))</f>
        <v/>
      </c>
      <c r="T591" s="315" t="str">
        <f t="shared" si="1186"/>
        <v/>
      </c>
      <c r="U591" s="114" t="str">
        <f t="array" ref="U591">IF(ISBLANK($R591), INDEX('Run Reconcile'!A$2:A1399, MATCH($B591, 'Run Reconcile'!B$2:B1399, 0)+Z591, 1), IFERROR(0/0,""))
</f>
        <v/>
      </c>
      <c r="V591" s="316" t="str">
        <f t="shared" si="5"/>
        <v>RUN-ABRM_2022-12-02_RFR-097</v>
      </c>
      <c r="Y591" s="317" t="str">
        <f t="shared" si="6"/>
        <v/>
      </c>
      <c r="Z591" s="83" t="str">
        <f t="shared" si="7"/>
        <v/>
      </c>
      <c r="AA591" s="83" t="str">
        <f t="shared" si="8"/>
        <v/>
      </c>
      <c r="AB591" s="83" t="str">
        <f t="shared" si="9"/>
        <v/>
      </c>
      <c r="AC591" s="18" t="str">
        <f t="shared" ref="AC591:AD591" si="1187">IF(_xlfn.ISFORMULA(S591),IFERROR(0/0,""),TRUE)</f>
        <v/>
      </c>
      <c r="AD591" s="18" t="str">
        <f t="shared" si="1187"/>
        <v/>
      </c>
      <c r="AE591" s="43"/>
      <c r="AF591" s="58" t="s">
        <v>94</v>
      </c>
      <c r="AG591" s="55" t="str">
        <f t="shared" si="11"/>
        <v/>
      </c>
    </row>
    <row r="592">
      <c r="A592" s="7" t="str">
        <f>IFERROR(__xludf.DUMMYFUNCTION("""COMPUTED_VALUE"""),"AH8376")</f>
        <v>AH8376</v>
      </c>
      <c r="B592" s="308">
        <f>IFERROR(__xludf.DUMMYFUNCTION("""COMPUTED_VALUE"""),44897.0)</f>
        <v>44897</v>
      </c>
      <c r="C592" s="309">
        <f>IFERROR(__xludf.DUMMYFUNCTION("""COMPUTED_VALUE"""),0.3207175925925926)</f>
        <v>0.3207175926</v>
      </c>
      <c r="D592" s="7" t="str">
        <f>IFERROR(__xludf.DUMMYFUNCTION("""COMPUTED_VALUE"""),"SpABRM655136")</f>
        <v>SpABRM655136</v>
      </c>
      <c r="E592" s="310"/>
      <c r="F592" s="310"/>
      <c r="G592" s="310" t="str">
        <f>IFERROR(__xludf.DUMMYFUNCTION("""COMPUTED_VALUE"""),"Negative")</f>
        <v>Negative</v>
      </c>
      <c r="H592" s="319" t="str">
        <f>IFERROR(__xludf.DUMMYFUNCTION("""COMPUTED_VALUE"""),"Negative")</f>
        <v>Negative</v>
      </c>
      <c r="I592" s="308">
        <f>IFERROR(__xludf.DUMMYFUNCTION("""COMPUTED_VALUE"""),44900.0)</f>
        <v>44900</v>
      </c>
      <c r="J592" s="311">
        <f>IFERROR(__xludf.DUMMYFUNCTION("""COMPUTED_VALUE"""),0.3303009259259259)</f>
        <v>0.3303009259</v>
      </c>
      <c r="K592" s="54"/>
      <c r="L592" s="7"/>
      <c r="M592" s="312"/>
      <c r="N592" s="172">
        <f>IFERROR(__xludf.DUMMYFUNCTION("""COMPUTED_VALUE"""),3.0)</f>
        <v>3</v>
      </c>
      <c r="O592" s="172" t="str">
        <f t="shared" si="3"/>
        <v/>
      </c>
      <c r="P592" s="313">
        <f>IFERROR(__xludf.DUMMYFUNCTION("""COMPUTED_VALUE"""),3.0)</f>
        <v>3</v>
      </c>
      <c r="Q592" s="76" t="b">
        <f>VLOOKUP($B592,'Run Reconcile'!B$2:O1399,14,FALSE)</f>
        <v>1</v>
      </c>
      <c r="R592" s="314" t="str">
        <f t="array" ref="R592">IF($Q592, INDEX('Run Reconcile'!A$2:A1399,MATCH(B592,'Run Reconcile'!B$2:B1399,0),1),IFERROR(0/0,""))</f>
        <v>RUN-ABRM_2022-12-02_RFR-097</v>
      </c>
      <c r="S592" s="315" t="str">
        <f t="shared" ref="S592:T592" si="1188">IF(COUNTIF(W$2:W1399, $A592) &gt; 0,TRUE,IFERROR(0/0,""))</f>
        <v/>
      </c>
      <c r="T592" s="315" t="str">
        <f t="shared" si="1188"/>
        <v/>
      </c>
      <c r="U592" s="114" t="str">
        <f t="array" ref="U592">IF(ISBLANK($R592), INDEX('Run Reconcile'!A$2:A1399, MATCH($B592, 'Run Reconcile'!B$2:B1399, 0)+Z592, 1), IFERROR(0/0,""))
</f>
        <v/>
      </c>
      <c r="V592" s="316" t="str">
        <f t="shared" si="5"/>
        <v>RUN-ABRM_2022-12-02_RFR-097</v>
      </c>
      <c r="Y592" s="317" t="str">
        <f t="shared" si="6"/>
        <v/>
      </c>
      <c r="Z592" s="83" t="str">
        <f t="shared" si="7"/>
        <v/>
      </c>
      <c r="AA592" s="83" t="str">
        <f t="shared" si="8"/>
        <v/>
      </c>
      <c r="AB592" s="83" t="str">
        <f t="shared" si="9"/>
        <v/>
      </c>
      <c r="AC592" s="18" t="str">
        <f t="shared" ref="AC592:AD592" si="1189">IF(_xlfn.ISFORMULA(S592),IFERROR(0/0,""),TRUE)</f>
        <v/>
      </c>
      <c r="AD592" s="18" t="str">
        <f t="shared" si="1189"/>
        <v/>
      </c>
      <c r="AE592" s="43"/>
      <c r="AF592" s="58" t="s">
        <v>94</v>
      </c>
      <c r="AG592" s="55" t="str">
        <f t="shared" si="11"/>
        <v/>
      </c>
    </row>
    <row r="593">
      <c r="A593" s="7" t="str">
        <f>IFERROR(__xludf.DUMMYFUNCTION("""COMPUTED_VALUE"""),"AG386")</f>
        <v>AG386</v>
      </c>
      <c r="B593" s="308">
        <f>IFERROR(__xludf.DUMMYFUNCTION("""COMPUTED_VALUE"""),44897.0)</f>
        <v>44897</v>
      </c>
      <c r="C593" s="309">
        <f>IFERROR(__xludf.DUMMYFUNCTION("""COMPUTED_VALUE"""),0.3209606481481482)</f>
        <v>0.3209606481</v>
      </c>
      <c r="D593" s="7" t="str">
        <f>IFERROR(__xludf.DUMMYFUNCTION("""COMPUTED_VALUE"""),"SpABRM655136")</f>
        <v>SpABRM655136</v>
      </c>
      <c r="E593" s="310"/>
      <c r="F593" s="310"/>
      <c r="G593" s="310" t="str">
        <f>IFERROR(__xludf.DUMMYFUNCTION("""COMPUTED_VALUE"""),"Negative")</f>
        <v>Negative</v>
      </c>
      <c r="H593" s="319" t="str">
        <f>IFERROR(__xludf.DUMMYFUNCTION("""COMPUTED_VALUE"""),"Negative")</f>
        <v>Negative</v>
      </c>
      <c r="I593" s="308">
        <f>IFERROR(__xludf.DUMMYFUNCTION("""COMPUTED_VALUE"""),44900.0)</f>
        <v>44900</v>
      </c>
      <c r="J593" s="311">
        <f>IFERROR(__xludf.DUMMYFUNCTION("""COMPUTED_VALUE"""),0.3303125)</f>
        <v>0.3303125</v>
      </c>
      <c r="K593" s="54"/>
      <c r="L593" s="7"/>
      <c r="M593" s="312"/>
      <c r="N593" s="172">
        <f>IFERROR(__xludf.DUMMYFUNCTION("""COMPUTED_VALUE"""),2.0)</f>
        <v>2</v>
      </c>
      <c r="O593" s="172" t="str">
        <f t="shared" si="3"/>
        <v/>
      </c>
      <c r="P593" s="313">
        <f>IFERROR(__xludf.DUMMYFUNCTION("""COMPUTED_VALUE"""),3.0)</f>
        <v>3</v>
      </c>
      <c r="Q593" s="76" t="b">
        <f>VLOOKUP($B593,'Run Reconcile'!B$2:O1399,14,FALSE)</f>
        <v>1</v>
      </c>
      <c r="R593" s="314" t="str">
        <f t="array" ref="R593">IF($Q593, INDEX('Run Reconcile'!A$2:A1399,MATCH(B593,'Run Reconcile'!B$2:B1399,0),1),IFERROR(0/0,""))</f>
        <v>RUN-ABRM_2022-12-02_RFR-097</v>
      </c>
      <c r="S593" s="315" t="str">
        <f t="shared" ref="S593:T593" si="1190">IF(COUNTIF(W$2:W1399, $A593) &gt; 0,TRUE,IFERROR(0/0,""))</f>
        <v/>
      </c>
      <c r="T593" s="315" t="str">
        <f t="shared" si="1190"/>
        <v/>
      </c>
      <c r="U593" s="114" t="str">
        <f t="array" ref="U593">IF(ISBLANK($R593), INDEX('Run Reconcile'!A$2:A1399, MATCH($B593, 'Run Reconcile'!B$2:B1399, 0)+Z593, 1), IFERROR(0/0,""))
</f>
        <v/>
      </c>
      <c r="V593" s="316" t="str">
        <f t="shared" si="5"/>
        <v>RUN-ABRM_2022-12-02_RFR-097</v>
      </c>
      <c r="Y593" s="317" t="str">
        <f t="shared" si="6"/>
        <v/>
      </c>
      <c r="Z593" s="83" t="str">
        <f t="shared" si="7"/>
        <v/>
      </c>
      <c r="AA593" s="83" t="str">
        <f t="shared" si="8"/>
        <v/>
      </c>
      <c r="AB593" s="83" t="str">
        <f t="shared" si="9"/>
        <v/>
      </c>
      <c r="AC593" s="18" t="str">
        <f t="shared" ref="AC593:AD593" si="1191">IF(_xlfn.ISFORMULA(S593),IFERROR(0/0,""),TRUE)</f>
        <v/>
      </c>
      <c r="AD593" s="18" t="str">
        <f t="shared" si="1191"/>
        <v/>
      </c>
      <c r="AE593" s="43"/>
      <c r="AF593" s="58" t="s">
        <v>94</v>
      </c>
      <c r="AG593" s="55" t="str">
        <f t="shared" si="11"/>
        <v/>
      </c>
    </row>
    <row r="594">
      <c r="A594" s="7" t="str">
        <f>IFERROR(__xludf.DUMMYFUNCTION("""COMPUTED_VALUE"""),"AH262")</f>
        <v>AH262</v>
      </c>
      <c r="B594" s="308">
        <f>IFERROR(__xludf.DUMMYFUNCTION("""COMPUTED_VALUE"""),44897.0)</f>
        <v>44897</v>
      </c>
      <c r="C594" s="309">
        <f>IFERROR(__xludf.DUMMYFUNCTION("""COMPUTED_VALUE"""),0.3246875)</f>
        <v>0.3246875</v>
      </c>
      <c r="D594" s="7" t="str">
        <f>IFERROR(__xludf.DUMMYFUNCTION("""COMPUTED_VALUE"""),"SpABRM814022")</f>
        <v>SpABRM814022</v>
      </c>
      <c r="E594" s="310"/>
      <c r="F594" s="310"/>
      <c r="G594" s="310" t="str">
        <f>IFERROR(__xludf.DUMMYFUNCTION("""COMPUTED_VALUE"""),"Negative")</f>
        <v>Negative</v>
      </c>
      <c r="H594" s="319" t="str">
        <f>IFERROR(__xludf.DUMMYFUNCTION("""COMPUTED_VALUE"""),"Negative")</f>
        <v>Negative</v>
      </c>
      <c r="I594" s="308">
        <f>IFERROR(__xludf.DUMMYFUNCTION("""COMPUTED_VALUE"""),44900.0)</f>
        <v>44900</v>
      </c>
      <c r="J594" s="311">
        <f>IFERROR(__xludf.DUMMYFUNCTION("""COMPUTED_VALUE"""),0.3303125)</f>
        <v>0.3303125</v>
      </c>
      <c r="K594" s="54"/>
      <c r="L594" s="7"/>
      <c r="M594" s="312"/>
      <c r="N594" s="172">
        <f>IFERROR(__xludf.DUMMYFUNCTION("""COMPUTED_VALUE"""),1.0)</f>
        <v>1</v>
      </c>
      <c r="O594" s="172" t="str">
        <f t="shared" si="3"/>
        <v/>
      </c>
      <c r="P594" s="313">
        <f>IFERROR(__xludf.DUMMYFUNCTION("""COMPUTED_VALUE"""),3.0)</f>
        <v>3</v>
      </c>
      <c r="Q594" s="76" t="b">
        <f>VLOOKUP($B594,'Run Reconcile'!B$2:O1399,14,FALSE)</f>
        <v>1</v>
      </c>
      <c r="R594" s="314" t="str">
        <f t="array" ref="R594">IF($Q594, INDEX('Run Reconcile'!A$2:A1399,MATCH(B594,'Run Reconcile'!B$2:B1399,0),1),IFERROR(0/0,""))</f>
        <v>RUN-ABRM_2022-12-02_RFR-097</v>
      </c>
      <c r="S594" s="315" t="str">
        <f t="shared" ref="S594:T594" si="1192">IF(COUNTIF(W$2:W1399, $A594) &gt; 0,TRUE,IFERROR(0/0,""))</f>
        <v/>
      </c>
      <c r="T594" s="315" t="str">
        <f t="shared" si="1192"/>
        <v/>
      </c>
      <c r="U594" s="114" t="str">
        <f t="array" ref="U594">IF(ISBLANK($R594), INDEX('Run Reconcile'!A$2:A1399, MATCH($B594, 'Run Reconcile'!B$2:B1399, 0)+Z594, 1), IFERROR(0/0,""))
</f>
        <v/>
      </c>
      <c r="V594" s="316" t="str">
        <f t="shared" si="5"/>
        <v>RUN-ABRM_2022-12-02_RFR-097</v>
      </c>
      <c r="Y594" s="317" t="str">
        <f t="shared" si="6"/>
        <v/>
      </c>
      <c r="Z594" s="83" t="str">
        <f t="shared" si="7"/>
        <v/>
      </c>
      <c r="AA594" s="83" t="str">
        <f t="shared" si="8"/>
        <v/>
      </c>
      <c r="AB594" s="83" t="str">
        <f t="shared" si="9"/>
        <v/>
      </c>
      <c r="AC594" s="18" t="str">
        <f t="shared" ref="AC594:AD594" si="1193">IF(_xlfn.ISFORMULA(S594),IFERROR(0/0,""),TRUE)</f>
        <v/>
      </c>
      <c r="AD594" s="18" t="str">
        <f t="shared" si="1193"/>
        <v/>
      </c>
      <c r="AE594" s="43"/>
      <c r="AF594" s="58" t="s">
        <v>94</v>
      </c>
      <c r="AG594" s="55" t="str">
        <f t="shared" si="11"/>
        <v/>
      </c>
    </row>
    <row r="595">
      <c r="A595" s="7" t="str">
        <f>IFERROR(__xludf.DUMMYFUNCTION("""COMPUTED_VALUE"""),"AK5356")</f>
        <v>AK5356</v>
      </c>
      <c r="B595" s="308">
        <f>IFERROR(__xludf.DUMMYFUNCTION("""COMPUTED_VALUE"""),44897.0)</f>
        <v>44897</v>
      </c>
      <c r="C595" s="309">
        <f>IFERROR(__xludf.DUMMYFUNCTION("""COMPUTED_VALUE"""),0.3292013888888889)</f>
        <v>0.3292013889</v>
      </c>
      <c r="D595" s="7" t="str">
        <f>IFERROR(__xludf.DUMMYFUNCTION("""COMPUTED_VALUE"""),"SpABRM297307")</f>
        <v>SpABRM297307</v>
      </c>
      <c r="E595" s="310"/>
      <c r="F595" s="310"/>
      <c r="G595" s="310" t="str">
        <f>IFERROR(__xludf.DUMMYFUNCTION("""COMPUTED_VALUE"""),"Negative")</f>
        <v>Negative</v>
      </c>
      <c r="H595" s="319" t="str">
        <f>IFERROR(__xludf.DUMMYFUNCTION("""COMPUTED_VALUE"""),"Negative")</f>
        <v>Negative</v>
      </c>
      <c r="I595" s="308">
        <f>IFERROR(__xludf.DUMMYFUNCTION("""COMPUTED_VALUE"""),44900.0)</f>
        <v>44900</v>
      </c>
      <c r="J595" s="311">
        <f>IFERROR(__xludf.DUMMYFUNCTION("""COMPUTED_VALUE"""),0.33032407407407405)</f>
        <v>0.3303240741</v>
      </c>
      <c r="K595" s="54"/>
      <c r="L595" s="7"/>
      <c r="M595" s="312"/>
      <c r="N595" s="172">
        <f>IFERROR(__xludf.DUMMYFUNCTION("""COMPUTED_VALUE"""),4.0)</f>
        <v>4</v>
      </c>
      <c r="O595" s="172" t="str">
        <f t="shared" si="3"/>
        <v/>
      </c>
      <c r="P595" s="313">
        <f>IFERROR(__xludf.DUMMYFUNCTION("""COMPUTED_VALUE"""),3.0)</f>
        <v>3</v>
      </c>
      <c r="Q595" s="76" t="b">
        <f>VLOOKUP($B595,'Run Reconcile'!B$2:O1399,14,FALSE)</f>
        <v>1</v>
      </c>
      <c r="R595" s="314" t="str">
        <f t="array" ref="R595">IF($Q595, INDEX('Run Reconcile'!A$2:A1399,MATCH(B595,'Run Reconcile'!B$2:B1399,0),1),IFERROR(0/0,""))</f>
        <v>RUN-ABRM_2022-12-02_RFR-097</v>
      </c>
      <c r="S595" s="315" t="str">
        <f t="shared" ref="S595:T595" si="1194">IF(COUNTIF(W$2:W1399, $A595) &gt; 0,TRUE,IFERROR(0/0,""))</f>
        <v/>
      </c>
      <c r="T595" s="315" t="str">
        <f t="shared" si="1194"/>
        <v/>
      </c>
      <c r="U595" s="114" t="str">
        <f t="array" ref="U595">IF(ISBLANK($R595), INDEX('Run Reconcile'!A$2:A1399, MATCH($B595, 'Run Reconcile'!B$2:B1399, 0)+Z595, 1), IFERROR(0/0,""))
</f>
        <v/>
      </c>
      <c r="V595" s="316" t="str">
        <f t="shared" si="5"/>
        <v>RUN-ABRM_2022-12-02_RFR-097</v>
      </c>
      <c r="Y595" s="317" t="str">
        <f t="shared" si="6"/>
        <v/>
      </c>
      <c r="Z595" s="83" t="str">
        <f t="shared" si="7"/>
        <v/>
      </c>
      <c r="AA595" s="83" t="str">
        <f t="shared" si="8"/>
        <v/>
      </c>
      <c r="AB595" s="83" t="str">
        <f t="shared" si="9"/>
        <v/>
      </c>
      <c r="AC595" s="18" t="str">
        <f t="shared" ref="AC595:AD595" si="1195">IF(_xlfn.ISFORMULA(S595),IFERROR(0/0,""),TRUE)</f>
        <v/>
      </c>
      <c r="AD595" s="18" t="str">
        <f t="shared" si="1195"/>
        <v/>
      </c>
      <c r="AE595" s="43"/>
      <c r="AF595" s="58" t="s">
        <v>94</v>
      </c>
      <c r="AG595" s="55" t="str">
        <f t="shared" si="11"/>
        <v/>
      </c>
    </row>
    <row r="596">
      <c r="A596" s="7" t="str">
        <f>IFERROR(__xludf.DUMMYFUNCTION("""COMPUTED_VALUE"""),"AG1750")</f>
        <v>AG1750</v>
      </c>
      <c r="B596" s="308">
        <f>IFERROR(__xludf.DUMMYFUNCTION("""COMPUTED_VALUE"""),44900.0)</f>
        <v>44900</v>
      </c>
      <c r="C596" s="309">
        <f>IFERROR(__xludf.DUMMYFUNCTION("""COMPUTED_VALUE"""),0.20091435185185186)</f>
        <v>0.2009143519</v>
      </c>
      <c r="D596" s="7" t="str">
        <f>IFERROR(__xludf.DUMMYFUNCTION("""COMPUTED_VALUE"""),"SpABRM454310")</f>
        <v>SpABRM454310</v>
      </c>
      <c r="E596" s="310"/>
      <c r="F596" s="310"/>
      <c r="G596" s="310" t="str">
        <f>IFERROR(__xludf.DUMMYFUNCTION("""COMPUTED_VALUE"""),"Negative")</f>
        <v>Negative</v>
      </c>
      <c r="H596" s="319" t="str">
        <f>IFERROR(__xludf.DUMMYFUNCTION("""COMPUTED_VALUE"""),"Negative")</f>
        <v>Negative</v>
      </c>
      <c r="I596" s="308">
        <f>IFERROR(__xludf.DUMMYFUNCTION("""COMPUTED_VALUE"""),44900.0)</f>
        <v>44900</v>
      </c>
      <c r="J596" s="311">
        <f>IFERROR(__xludf.DUMMYFUNCTION("""COMPUTED_VALUE"""),0.4461805555555556)</f>
        <v>0.4461805556</v>
      </c>
      <c r="K596" s="54"/>
      <c r="L596" s="7"/>
      <c r="M596" s="312"/>
      <c r="N596" s="172">
        <f>IFERROR(__xludf.DUMMYFUNCTION("""COMPUTED_VALUE"""),3.0)</f>
        <v>3</v>
      </c>
      <c r="O596" s="172" t="b">
        <f t="shared" si="3"/>
        <v>1</v>
      </c>
      <c r="P596" s="313">
        <f>IFERROR(__xludf.DUMMYFUNCTION("""COMPUTED_VALUE"""),0.0)</f>
        <v>0</v>
      </c>
      <c r="Q596" s="76" t="b">
        <f>VLOOKUP($B596,'Run Reconcile'!B$2:O1399,14,FALSE)</f>
        <v>1</v>
      </c>
      <c r="R596" s="314" t="str">
        <f t="array" ref="R596">IF($Q596, INDEX('Run Reconcile'!A$2:A1399,MATCH(B596,'Run Reconcile'!B$2:B1399,0),1),IFERROR(0/0,""))</f>
        <v>RUN-ABRM_2022-12-05_RFR-098</v>
      </c>
      <c r="S596" s="315" t="str">
        <f t="shared" ref="S596:T596" si="1196">IF(COUNTIF(W$2:W1399, $A596) &gt; 0,TRUE,IFERROR(0/0,""))</f>
        <v/>
      </c>
      <c r="T596" s="315" t="str">
        <f t="shared" si="1196"/>
        <v/>
      </c>
      <c r="U596" s="114" t="str">
        <f t="array" ref="U596">IF(ISBLANK($R596), INDEX('Run Reconcile'!A$2:A1399, MATCH($B596, 'Run Reconcile'!B$2:B1399, 0)+Z596, 1), IFERROR(0/0,""))
</f>
        <v/>
      </c>
      <c r="V596" s="316" t="str">
        <f t="shared" si="5"/>
        <v>RUN-ABRM_2022-12-05_RFR-098</v>
      </c>
      <c r="Y596" s="317" t="str">
        <f t="shared" si="6"/>
        <v/>
      </c>
      <c r="Z596" s="83" t="str">
        <f t="shared" si="7"/>
        <v/>
      </c>
      <c r="AA596" s="83" t="str">
        <f t="shared" si="8"/>
        <v/>
      </c>
      <c r="AB596" s="83" t="str">
        <f t="shared" si="9"/>
        <v/>
      </c>
      <c r="AC596" s="18" t="str">
        <f t="shared" ref="AC596:AD596" si="1197">IF(_xlfn.ISFORMULA(S596),IFERROR(0/0,""),TRUE)</f>
        <v/>
      </c>
      <c r="AD596" s="18" t="str">
        <f t="shared" si="1197"/>
        <v/>
      </c>
      <c r="AE596" s="43"/>
      <c r="AF596" s="58" t="s">
        <v>95</v>
      </c>
      <c r="AG596" s="55" t="str">
        <f t="shared" si="11"/>
        <v/>
      </c>
    </row>
    <row r="597">
      <c r="A597" s="7" t="str">
        <f>IFERROR(__xludf.DUMMYFUNCTION("""COMPUTED_VALUE"""),"AJ9887")</f>
        <v>AJ9887</v>
      </c>
      <c r="B597" s="308">
        <f>IFERROR(__xludf.DUMMYFUNCTION("""COMPUTED_VALUE"""),44900.0)</f>
        <v>44900</v>
      </c>
      <c r="C597" s="309">
        <f>IFERROR(__xludf.DUMMYFUNCTION("""COMPUTED_VALUE"""),0.28983796296296294)</f>
        <v>0.289837963</v>
      </c>
      <c r="D597" s="7" t="str">
        <f>IFERROR(__xludf.DUMMYFUNCTION("""COMPUTED_VALUE"""),"SpABRM297307")</f>
        <v>SpABRM297307</v>
      </c>
      <c r="E597" s="310"/>
      <c r="F597" s="310"/>
      <c r="G597" s="310" t="str">
        <f>IFERROR(__xludf.DUMMYFUNCTION("""COMPUTED_VALUE"""),"Negative")</f>
        <v>Negative</v>
      </c>
      <c r="H597" s="319" t="str">
        <f>IFERROR(__xludf.DUMMYFUNCTION("""COMPUTED_VALUE"""),"Negative")</f>
        <v>Negative</v>
      </c>
      <c r="I597" s="308">
        <f>IFERROR(__xludf.DUMMYFUNCTION("""COMPUTED_VALUE"""),44900.0)</f>
        <v>44900</v>
      </c>
      <c r="J597" s="311">
        <f>IFERROR(__xludf.DUMMYFUNCTION("""COMPUTED_VALUE"""),0.4461805555555556)</f>
        <v>0.4461805556</v>
      </c>
      <c r="K597" s="54"/>
      <c r="L597" s="7"/>
      <c r="M597" s="312"/>
      <c r="N597" s="172">
        <f>IFERROR(__xludf.DUMMYFUNCTION("""COMPUTED_VALUE"""),3.0)</f>
        <v>3</v>
      </c>
      <c r="O597" s="172" t="str">
        <f t="shared" si="3"/>
        <v/>
      </c>
      <c r="P597" s="313">
        <f>IFERROR(__xludf.DUMMYFUNCTION("""COMPUTED_VALUE"""),0.0)</f>
        <v>0</v>
      </c>
      <c r="Q597" s="76" t="b">
        <f>VLOOKUP($B597,'Run Reconcile'!B$2:O1399,14,FALSE)</f>
        <v>1</v>
      </c>
      <c r="R597" s="314" t="str">
        <f t="array" ref="R597">IF($Q597, INDEX('Run Reconcile'!A$2:A1399,MATCH(B597,'Run Reconcile'!B$2:B1399,0),1),IFERROR(0/0,""))</f>
        <v>RUN-ABRM_2022-12-05_RFR-098</v>
      </c>
      <c r="S597" s="315" t="str">
        <f t="shared" ref="S597:T597" si="1198">IF(COUNTIF(W$2:W1399, $A597) &gt; 0,TRUE,IFERROR(0/0,""))</f>
        <v/>
      </c>
      <c r="T597" s="315" t="str">
        <f t="shared" si="1198"/>
        <v/>
      </c>
      <c r="U597" s="114" t="str">
        <f t="array" ref="U597">IF(ISBLANK($R597), INDEX('Run Reconcile'!A$2:A1399, MATCH($B597, 'Run Reconcile'!B$2:B1399, 0)+Z597, 1), IFERROR(0/0,""))
</f>
        <v/>
      </c>
      <c r="V597" s="316" t="str">
        <f t="shared" si="5"/>
        <v>RUN-ABRM_2022-12-05_RFR-098</v>
      </c>
      <c r="Y597" s="317" t="str">
        <f t="shared" si="6"/>
        <v/>
      </c>
      <c r="Z597" s="83" t="str">
        <f t="shared" si="7"/>
        <v/>
      </c>
      <c r="AA597" s="83" t="str">
        <f t="shared" si="8"/>
        <v/>
      </c>
      <c r="AB597" s="83" t="str">
        <f t="shared" si="9"/>
        <v/>
      </c>
      <c r="AC597" s="18" t="str">
        <f t="shared" ref="AC597:AD597" si="1199">IF(_xlfn.ISFORMULA(S597),IFERROR(0/0,""),TRUE)</f>
        <v/>
      </c>
      <c r="AD597" s="18" t="str">
        <f t="shared" si="1199"/>
        <v/>
      </c>
      <c r="AE597" s="43"/>
      <c r="AF597" s="58" t="s">
        <v>95</v>
      </c>
      <c r="AG597" s="55" t="str">
        <f t="shared" si="11"/>
        <v/>
      </c>
    </row>
    <row r="598">
      <c r="A598" s="7" t="str">
        <f>IFERROR(__xludf.DUMMYFUNCTION("""COMPUTED_VALUE"""),"AJ8739")</f>
        <v>AJ8739</v>
      </c>
      <c r="B598" s="308">
        <f>IFERROR(__xludf.DUMMYFUNCTION("""COMPUTED_VALUE"""),44900.0)</f>
        <v>44900</v>
      </c>
      <c r="C598" s="309">
        <f>IFERROR(__xludf.DUMMYFUNCTION("""COMPUTED_VALUE"""),0.3249537037037037)</f>
        <v>0.3249537037</v>
      </c>
      <c r="D598" s="7" t="str">
        <f>IFERROR(__xludf.DUMMYFUNCTION("""COMPUTED_VALUE"""),"SpABRM655136")</f>
        <v>SpABRM655136</v>
      </c>
      <c r="E598" s="310"/>
      <c r="F598" s="310"/>
      <c r="G598" s="310" t="str">
        <f>IFERROR(__xludf.DUMMYFUNCTION("""COMPUTED_VALUE"""),"Negative")</f>
        <v>Negative</v>
      </c>
      <c r="H598" s="319" t="str">
        <f>IFERROR(__xludf.DUMMYFUNCTION("""COMPUTED_VALUE"""),"Negative")</f>
        <v>Negative</v>
      </c>
      <c r="I598" s="308">
        <f>IFERROR(__xludf.DUMMYFUNCTION("""COMPUTED_VALUE"""),44900.0)</f>
        <v>44900</v>
      </c>
      <c r="J598" s="311">
        <f>IFERROR(__xludf.DUMMYFUNCTION("""COMPUTED_VALUE"""),0.4461921296296296)</f>
        <v>0.4461921296</v>
      </c>
      <c r="K598" s="54"/>
      <c r="L598" s="7"/>
      <c r="M598" s="312"/>
      <c r="N598" s="172">
        <f>IFERROR(__xludf.DUMMYFUNCTION("""COMPUTED_VALUE"""),2.0)</f>
        <v>2</v>
      </c>
      <c r="O598" s="172" t="str">
        <f t="shared" si="3"/>
        <v/>
      </c>
      <c r="P598" s="313">
        <f>IFERROR(__xludf.DUMMYFUNCTION("""COMPUTED_VALUE"""),0.0)</f>
        <v>0</v>
      </c>
      <c r="Q598" s="76" t="b">
        <f>VLOOKUP($B598,'Run Reconcile'!B$2:O1399,14,FALSE)</f>
        <v>1</v>
      </c>
      <c r="R598" s="314" t="str">
        <f t="array" ref="R598">IF($Q598, INDEX('Run Reconcile'!A$2:A1399,MATCH(B598,'Run Reconcile'!B$2:B1399,0),1),IFERROR(0/0,""))</f>
        <v>RUN-ABRM_2022-12-05_RFR-098</v>
      </c>
      <c r="S598" s="315" t="str">
        <f t="shared" ref="S598:T598" si="1200">IF(COUNTIF(W$2:W1399, $A598) &gt; 0,TRUE,IFERROR(0/0,""))</f>
        <v/>
      </c>
      <c r="T598" s="315" t="str">
        <f t="shared" si="1200"/>
        <v/>
      </c>
      <c r="U598" s="114" t="str">
        <f t="array" ref="U598">IF(ISBLANK($R598), INDEX('Run Reconcile'!A$2:A1399, MATCH($B598, 'Run Reconcile'!B$2:B1399, 0)+Z598, 1), IFERROR(0/0,""))
</f>
        <v/>
      </c>
      <c r="V598" s="316" t="str">
        <f t="shared" si="5"/>
        <v>RUN-ABRM_2022-12-05_RFR-098</v>
      </c>
      <c r="Y598" s="317" t="str">
        <f t="shared" si="6"/>
        <v/>
      </c>
      <c r="Z598" s="83" t="str">
        <f t="shared" si="7"/>
        <v/>
      </c>
      <c r="AA598" s="83" t="str">
        <f t="shared" si="8"/>
        <v/>
      </c>
      <c r="AB598" s="83" t="str">
        <f t="shared" si="9"/>
        <v/>
      </c>
      <c r="AC598" s="18" t="str">
        <f t="shared" ref="AC598:AD598" si="1201">IF(_xlfn.ISFORMULA(S598),IFERROR(0/0,""),TRUE)</f>
        <v/>
      </c>
      <c r="AD598" s="18" t="str">
        <f t="shared" si="1201"/>
        <v/>
      </c>
      <c r="AE598" s="43"/>
      <c r="AF598" s="58" t="s">
        <v>95</v>
      </c>
      <c r="AG598" s="55" t="str">
        <f t="shared" si="11"/>
        <v/>
      </c>
    </row>
    <row r="599">
      <c r="A599" s="7" t="str">
        <f>IFERROR(__xludf.DUMMYFUNCTION("""COMPUTED_VALUE"""),"AG1312")</f>
        <v>AG1312</v>
      </c>
      <c r="B599" s="308">
        <f>IFERROR(__xludf.DUMMYFUNCTION("""COMPUTED_VALUE"""),44900.0)</f>
        <v>44900</v>
      </c>
      <c r="C599" s="309">
        <f>IFERROR(__xludf.DUMMYFUNCTION("""COMPUTED_VALUE"""),0.3262731481481482)</f>
        <v>0.3262731481</v>
      </c>
      <c r="D599" s="7" t="str">
        <f>IFERROR(__xludf.DUMMYFUNCTION("""COMPUTED_VALUE"""),"SpABRM655136")</f>
        <v>SpABRM655136</v>
      </c>
      <c r="E599" s="310"/>
      <c r="F599" s="310"/>
      <c r="G599" s="310" t="str">
        <f>IFERROR(__xludf.DUMMYFUNCTION("""COMPUTED_VALUE"""),"Negative")</f>
        <v>Negative</v>
      </c>
      <c r="H599" s="319" t="str">
        <f>IFERROR(__xludf.DUMMYFUNCTION("""COMPUTED_VALUE"""),"Negative")</f>
        <v>Negative</v>
      </c>
      <c r="I599" s="308">
        <f>IFERROR(__xludf.DUMMYFUNCTION("""COMPUTED_VALUE"""),44900.0)</f>
        <v>44900</v>
      </c>
      <c r="J599" s="311">
        <f>IFERROR(__xludf.DUMMYFUNCTION("""COMPUTED_VALUE"""),0.4461921296296296)</f>
        <v>0.4461921296</v>
      </c>
      <c r="K599" s="54"/>
      <c r="L599" s="7"/>
      <c r="M599" s="312"/>
      <c r="N599" s="172">
        <f>IFERROR(__xludf.DUMMYFUNCTION("""COMPUTED_VALUE"""),2.0)</f>
        <v>2</v>
      </c>
      <c r="O599" s="172" t="str">
        <f t="shared" si="3"/>
        <v/>
      </c>
      <c r="P599" s="313">
        <f>IFERROR(__xludf.DUMMYFUNCTION("""COMPUTED_VALUE"""),0.0)</f>
        <v>0</v>
      </c>
      <c r="Q599" s="76" t="b">
        <f>VLOOKUP($B599,'Run Reconcile'!B$2:O1399,14,FALSE)</f>
        <v>1</v>
      </c>
      <c r="R599" s="314" t="str">
        <f t="array" ref="R599">IF($Q599, INDEX('Run Reconcile'!A$2:A1399,MATCH(B599,'Run Reconcile'!B$2:B1399,0),1),IFERROR(0/0,""))</f>
        <v>RUN-ABRM_2022-12-05_RFR-098</v>
      </c>
      <c r="S599" s="315" t="str">
        <f t="shared" ref="S599:T599" si="1202">IF(COUNTIF(W$2:W1399, $A599) &gt; 0,TRUE,IFERROR(0/0,""))</f>
        <v/>
      </c>
      <c r="T599" s="315" t="str">
        <f t="shared" si="1202"/>
        <v/>
      </c>
      <c r="U599" s="114" t="str">
        <f t="array" ref="U599">IF(ISBLANK($R599), INDEX('Run Reconcile'!A$2:A1399, MATCH($B599, 'Run Reconcile'!B$2:B1399, 0)+Z599, 1), IFERROR(0/0,""))
</f>
        <v/>
      </c>
      <c r="V599" s="316" t="str">
        <f t="shared" si="5"/>
        <v>RUN-ABRM_2022-12-05_RFR-098</v>
      </c>
      <c r="Y599" s="317" t="str">
        <f t="shared" si="6"/>
        <v/>
      </c>
      <c r="Z599" s="83" t="str">
        <f t="shared" si="7"/>
        <v/>
      </c>
      <c r="AA599" s="83" t="str">
        <f t="shared" si="8"/>
        <v/>
      </c>
      <c r="AB599" s="83" t="str">
        <f t="shared" si="9"/>
        <v/>
      </c>
      <c r="AC599" s="18" t="str">
        <f t="shared" ref="AC599:AD599" si="1203">IF(_xlfn.ISFORMULA(S599),IFERROR(0/0,""),TRUE)</f>
        <v/>
      </c>
      <c r="AD599" s="18" t="str">
        <f t="shared" si="1203"/>
        <v/>
      </c>
      <c r="AE599" s="43"/>
      <c r="AF599" s="58" t="s">
        <v>95</v>
      </c>
      <c r="AG599" s="55" t="str">
        <f t="shared" si="11"/>
        <v/>
      </c>
    </row>
    <row r="600">
      <c r="A600" s="7" t="str">
        <f>IFERROR(__xludf.DUMMYFUNCTION("""COMPUTED_VALUE"""),"AJ8296")</f>
        <v>AJ8296</v>
      </c>
      <c r="B600" s="308">
        <f>IFERROR(__xludf.DUMMYFUNCTION("""COMPUTED_VALUE"""),44900.0)</f>
        <v>44900</v>
      </c>
      <c r="C600" s="309">
        <f>IFERROR(__xludf.DUMMYFUNCTION("""COMPUTED_VALUE"""),0.3285763888888889)</f>
        <v>0.3285763889</v>
      </c>
      <c r="D600" s="7" t="str">
        <f>IFERROR(__xludf.DUMMYFUNCTION("""COMPUTED_VALUE"""),"SpABRM655136")</f>
        <v>SpABRM655136</v>
      </c>
      <c r="E600" s="310"/>
      <c r="F600" s="310"/>
      <c r="G600" s="310" t="str">
        <f>IFERROR(__xludf.DUMMYFUNCTION("""COMPUTED_VALUE"""),"Negative")</f>
        <v>Negative</v>
      </c>
      <c r="H600" s="319" t="str">
        <f>IFERROR(__xludf.DUMMYFUNCTION("""COMPUTED_VALUE"""),"Negative")</f>
        <v>Negative</v>
      </c>
      <c r="I600" s="308">
        <f>IFERROR(__xludf.DUMMYFUNCTION("""COMPUTED_VALUE"""),44900.0)</f>
        <v>44900</v>
      </c>
      <c r="J600" s="311">
        <f>IFERROR(__xludf.DUMMYFUNCTION("""COMPUTED_VALUE"""),0.4461921296296296)</f>
        <v>0.4461921296</v>
      </c>
      <c r="K600" s="54"/>
      <c r="L600" s="7"/>
      <c r="M600" s="312"/>
      <c r="N600" s="172">
        <f>IFERROR(__xludf.DUMMYFUNCTION("""COMPUTED_VALUE"""),2.0)</f>
        <v>2</v>
      </c>
      <c r="O600" s="172" t="str">
        <f t="shared" si="3"/>
        <v/>
      </c>
      <c r="P600" s="313">
        <f>IFERROR(__xludf.DUMMYFUNCTION("""COMPUTED_VALUE"""),0.0)</f>
        <v>0</v>
      </c>
      <c r="Q600" s="76" t="b">
        <f>VLOOKUP($B600,'Run Reconcile'!B$2:O1399,14,FALSE)</f>
        <v>1</v>
      </c>
      <c r="R600" s="314" t="str">
        <f t="array" ref="R600">IF($Q600, INDEX('Run Reconcile'!A$2:A1399,MATCH(B600,'Run Reconcile'!B$2:B1399,0),1),IFERROR(0/0,""))</f>
        <v>RUN-ABRM_2022-12-05_RFR-098</v>
      </c>
      <c r="S600" s="315" t="str">
        <f t="shared" ref="S600:T600" si="1204">IF(COUNTIF(W$2:W1399, $A600) &gt; 0,TRUE,IFERROR(0/0,""))</f>
        <v/>
      </c>
      <c r="T600" s="315" t="str">
        <f t="shared" si="1204"/>
        <v/>
      </c>
      <c r="U600" s="114" t="str">
        <f t="array" ref="U600">IF(ISBLANK($R600), INDEX('Run Reconcile'!A$2:A1399, MATCH($B600, 'Run Reconcile'!B$2:B1399, 0)+Z600, 1), IFERROR(0/0,""))
</f>
        <v/>
      </c>
      <c r="V600" s="316" t="str">
        <f t="shared" si="5"/>
        <v>RUN-ABRM_2022-12-05_RFR-098</v>
      </c>
      <c r="Y600" s="317" t="str">
        <f t="shared" si="6"/>
        <v/>
      </c>
      <c r="Z600" s="83" t="str">
        <f t="shared" si="7"/>
        <v/>
      </c>
      <c r="AA600" s="83" t="str">
        <f t="shared" si="8"/>
        <v/>
      </c>
      <c r="AB600" s="83" t="str">
        <f t="shared" si="9"/>
        <v/>
      </c>
      <c r="AC600" s="18" t="str">
        <f t="shared" ref="AC600:AD600" si="1205">IF(_xlfn.ISFORMULA(S600),IFERROR(0/0,""),TRUE)</f>
        <v/>
      </c>
      <c r="AD600" s="18" t="str">
        <f t="shared" si="1205"/>
        <v/>
      </c>
      <c r="AE600" s="43"/>
      <c r="AF600" s="58" t="s">
        <v>95</v>
      </c>
      <c r="AG600" s="55" t="str">
        <f t="shared" si="11"/>
        <v/>
      </c>
    </row>
    <row r="601">
      <c r="A601" s="7" t="str">
        <f>IFERROR(__xludf.DUMMYFUNCTION("""COMPUTED_VALUE"""),"AH8232")</f>
        <v>AH8232</v>
      </c>
      <c r="B601" s="308">
        <f>IFERROR(__xludf.DUMMYFUNCTION("""COMPUTED_VALUE"""),44900.0)</f>
        <v>44900</v>
      </c>
      <c r="C601" s="309">
        <f>IFERROR(__xludf.DUMMYFUNCTION("""COMPUTED_VALUE"""),0.33391203703703703)</f>
        <v>0.333912037</v>
      </c>
      <c r="D601" s="7" t="str">
        <f>IFERROR(__xludf.DUMMYFUNCTION("""COMPUTED_VALUE"""),"SpABRM655136")</f>
        <v>SpABRM655136</v>
      </c>
      <c r="E601" s="310"/>
      <c r="F601" s="310"/>
      <c r="G601" s="310" t="str">
        <f>IFERROR(__xludf.DUMMYFUNCTION("""COMPUTED_VALUE"""),"Negative")</f>
        <v>Negative</v>
      </c>
      <c r="H601" s="319" t="str">
        <f>IFERROR(__xludf.DUMMYFUNCTION("""COMPUTED_VALUE"""),"Negative")</f>
        <v>Negative</v>
      </c>
      <c r="I601" s="308">
        <f>IFERROR(__xludf.DUMMYFUNCTION("""COMPUTED_VALUE"""),44900.0)</f>
        <v>44900</v>
      </c>
      <c r="J601" s="311">
        <f>IFERROR(__xludf.DUMMYFUNCTION("""COMPUTED_VALUE"""),0.4462037037037037)</f>
        <v>0.4462037037</v>
      </c>
      <c r="K601" s="54"/>
      <c r="L601" s="7"/>
      <c r="M601" s="312"/>
      <c r="N601" s="172">
        <f>IFERROR(__xludf.DUMMYFUNCTION("""COMPUTED_VALUE"""),2.0)</f>
        <v>2</v>
      </c>
      <c r="O601" s="172" t="str">
        <f t="shared" si="3"/>
        <v/>
      </c>
      <c r="P601" s="313">
        <f>IFERROR(__xludf.DUMMYFUNCTION("""COMPUTED_VALUE"""),0.0)</f>
        <v>0</v>
      </c>
      <c r="Q601" s="76" t="b">
        <f>VLOOKUP($B601,'Run Reconcile'!B$2:O1399,14,FALSE)</f>
        <v>1</v>
      </c>
      <c r="R601" s="314" t="str">
        <f t="array" ref="R601">IF($Q601, INDEX('Run Reconcile'!A$2:A1399,MATCH(B601,'Run Reconcile'!B$2:B1399,0),1),IFERROR(0/0,""))</f>
        <v>RUN-ABRM_2022-12-05_RFR-098</v>
      </c>
      <c r="S601" s="315" t="str">
        <f t="shared" ref="S601:T601" si="1206">IF(COUNTIF(W$2:W1399, $A601) &gt; 0,TRUE,IFERROR(0/0,""))</f>
        <v/>
      </c>
      <c r="T601" s="315" t="str">
        <f t="shared" si="1206"/>
        <v/>
      </c>
      <c r="U601" s="114" t="str">
        <f t="array" ref="U601">IF(ISBLANK($R601), INDEX('Run Reconcile'!A$2:A1399, MATCH($B601, 'Run Reconcile'!B$2:B1399, 0)+Z601, 1), IFERROR(0/0,""))
</f>
        <v/>
      </c>
      <c r="V601" s="316" t="str">
        <f t="shared" si="5"/>
        <v>RUN-ABRM_2022-12-05_RFR-098</v>
      </c>
      <c r="Y601" s="317" t="str">
        <f t="shared" si="6"/>
        <v/>
      </c>
      <c r="Z601" s="83" t="str">
        <f t="shared" si="7"/>
        <v/>
      </c>
      <c r="AA601" s="83" t="str">
        <f t="shared" si="8"/>
        <v/>
      </c>
      <c r="AB601" s="83" t="str">
        <f t="shared" si="9"/>
        <v/>
      </c>
      <c r="AC601" s="18" t="str">
        <f t="shared" ref="AC601:AD601" si="1207">IF(_xlfn.ISFORMULA(S601),IFERROR(0/0,""),TRUE)</f>
        <v/>
      </c>
      <c r="AD601" s="18" t="str">
        <f t="shared" si="1207"/>
        <v/>
      </c>
      <c r="AE601" s="43"/>
      <c r="AF601" s="58" t="s">
        <v>95</v>
      </c>
      <c r="AG601" s="55" t="str">
        <f t="shared" si="11"/>
        <v/>
      </c>
    </row>
    <row r="602">
      <c r="A602" s="7" t="str">
        <f>IFERROR(__xludf.DUMMYFUNCTION("""COMPUTED_VALUE"""),"AH8976")</f>
        <v>AH8976</v>
      </c>
      <c r="B602" s="308">
        <f>IFERROR(__xludf.DUMMYFUNCTION("""COMPUTED_VALUE"""),44900.0)</f>
        <v>44900</v>
      </c>
      <c r="C602" s="309">
        <f>IFERROR(__xludf.DUMMYFUNCTION("""COMPUTED_VALUE"""),0.3686111111111111)</f>
        <v>0.3686111111</v>
      </c>
      <c r="D602" s="7" t="str">
        <f>IFERROR(__xludf.DUMMYFUNCTION("""COMPUTED_VALUE"""),"SpABRM655136")</f>
        <v>SpABRM655136</v>
      </c>
      <c r="E602" s="310"/>
      <c r="F602" s="310"/>
      <c r="G602" s="310" t="str">
        <f>IFERROR(__xludf.DUMMYFUNCTION("""COMPUTED_VALUE"""),"Negative")</f>
        <v>Negative</v>
      </c>
      <c r="H602" s="319" t="str">
        <f>IFERROR(__xludf.DUMMYFUNCTION("""COMPUTED_VALUE"""),"Negative")</f>
        <v>Negative</v>
      </c>
      <c r="I602" s="308">
        <f>IFERROR(__xludf.DUMMYFUNCTION("""COMPUTED_VALUE"""),44900.0)</f>
        <v>44900</v>
      </c>
      <c r="J602" s="311">
        <f>IFERROR(__xludf.DUMMYFUNCTION("""COMPUTED_VALUE"""),0.4462037037037037)</f>
        <v>0.4462037037</v>
      </c>
      <c r="K602" s="54"/>
      <c r="L602" s="7"/>
      <c r="M602" s="312"/>
      <c r="N602" s="172">
        <f>IFERROR(__xludf.DUMMYFUNCTION("""COMPUTED_VALUE"""),4.0)</f>
        <v>4</v>
      </c>
      <c r="O602" s="172" t="str">
        <f t="shared" si="3"/>
        <v/>
      </c>
      <c r="P602" s="313">
        <f>IFERROR(__xludf.DUMMYFUNCTION("""COMPUTED_VALUE"""),0.0)</f>
        <v>0</v>
      </c>
      <c r="Q602" s="76" t="b">
        <f>VLOOKUP($B602,'Run Reconcile'!B$2:O1399,14,FALSE)</f>
        <v>1</v>
      </c>
      <c r="R602" s="314" t="str">
        <f t="array" ref="R602">IF($Q602, INDEX('Run Reconcile'!A$2:A1399,MATCH(B602,'Run Reconcile'!B$2:B1399,0),1),IFERROR(0/0,""))</f>
        <v>RUN-ABRM_2022-12-05_RFR-098</v>
      </c>
      <c r="S602" s="315" t="str">
        <f t="shared" ref="S602:T602" si="1208">IF(COUNTIF(W$2:W1399, $A602) &gt; 0,TRUE,IFERROR(0/0,""))</f>
        <v/>
      </c>
      <c r="T602" s="315" t="str">
        <f t="shared" si="1208"/>
        <v/>
      </c>
      <c r="U602" s="114" t="str">
        <f t="array" ref="U602">IF(ISBLANK($R602), INDEX('Run Reconcile'!A$2:A1399, MATCH($B602, 'Run Reconcile'!B$2:B1399, 0)+Z602, 1), IFERROR(0/0,""))
</f>
        <v/>
      </c>
      <c r="V602" s="316" t="str">
        <f t="shared" si="5"/>
        <v>RUN-ABRM_2022-12-05_RFR-098</v>
      </c>
      <c r="Y602" s="317" t="str">
        <f t="shared" si="6"/>
        <v/>
      </c>
      <c r="Z602" s="83" t="str">
        <f t="shared" si="7"/>
        <v/>
      </c>
      <c r="AA602" s="83" t="str">
        <f t="shared" si="8"/>
        <v/>
      </c>
      <c r="AB602" s="83" t="str">
        <f t="shared" si="9"/>
        <v/>
      </c>
      <c r="AC602" s="18" t="str">
        <f t="shared" ref="AC602:AD602" si="1209">IF(_xlfn.ISFORMULA(S602),IFERROR(0/0,""),TRUE)</f>
        <v/>
      </c>
      <c r="AD602" s="18" t="str">
        <f t="shared" si="1209"/>
        <v/>
      </c>
      <c r="AE602" s="43"/>
      <c r="AF602" s="58" t="s">
        <v>95</v>
      </c>
      <c r="AG602" s="55" t="str">
        <f t="shared" si="11"/>
        <v/>
      </c>
    </row>
    <row r="603">
      <c r="A603" s="7" t="str">
        <f>IFERROR(__xludf.DUMMYFUNCTION("""COMPUTED_VALUE"""),"AG2030")</f>
        <v>AG2030</v>
      </c>
      <c r="B603" s="308">
        <f>IFERROR(__xludf.DUMMYFUNCTION("""COMPUTED_VALUE"""),44900.0)</f>
        <v>44900</v>
      </c>
      <c r="C603" s="309">
        <f>IFERROR(__xludf.DUMMYFUNCTION("""COMPUTED_VALUE"""),0.39381944444444444)</f>
        <v>0.3938194444</v>
      </c>
      <c r="D603" s="7" t="str">
        <f>IFERROR(__xludf.DUMMYFUNCTION("""COMPUTED_VALUE"""),"SpABRM655136")</f>
        <v>SpABRM655136</v>
      </c>
      <c r="E603" s="310"/>
      <c r="F603" s="310"/>
      <c r="G603" s="310" t="str">
        <f>IFERROR(__xludf.DUMMYFUNCTION("""COMPUTED_VALUE"""),"Negative")</f>
        <v>Negative</v>
      </c>
      <c r="H603" s="319" t="str">
        <f>IFERROR(__xludf.DUMMYFUNCTION("""COMPUTED_VALUE"""),"Negative")</f>
        <v>Negative</v>
      </c>
      <c r="I603" s="308">
        <f>IFERROR(__xludf.DUMMYFUNCTION("""COMPUTED_VALUE"""),44900.0)</f>
        <v>44900</v>
      </c>
      <c r="J603" s="311">
        <f>IFERROR(__xludf.DUMMYFUNCTION("""COMPUTED_VALUE"""),0.44621527777777775)</f>
        <v>0.4462152778</v>
      </c>
      <c r="K603" s="54"/>
      <c r="L603" s="7"/>
      <c r="M603" s="312"/>
      <c r="N603" s="172">
        <f>IFERROR(__xludf.DUMMYFUNCTION("""COMPUTED_VALUE"""),2.0)</f>
        <v>2</v>
      </c>
      <c r="O603" s="172" t="str">
        <f t="shared" si="3"/>
        <v/>
      </c>
      <c r="P603" s="313">
        <f>IFERROR(__xludf.DUMMYFUNCTION("""COMPUTED_VALUE"""),0.0)</f>
        <v>0</v>
      </c>
      <c r="Q603" s="76" t="b">
        <f>VLOOKUP($B603,'Run Reconcile'!B$2:O1399,14,FALSE)</f>
        <v>1</v>
      </c>
      <c r="R603" s="314" t="str">
        <f t="array" ref="R603">IF($Q603, INDEX('Run Reconcile'!A$2:A1399,MATCH(B603,'Run Reconcile'!B$2:B1399,0),1),IFERROR(0/0,""))</f>
        <v>RUN-ABRM_2022-12-05_RFR-098</v>
      </c>
      <c r="S603" s="315" t="str">
        <f t="shared" ref="S603:T603" si="1210">IF(COUNTIF(W$2:W1399, $A603) &gt; 0,TRUE,IFERROR(0/0,""))</f>
        <v/>
      </c>
      <c r="T603" s="315" t="str">
        <f t="shared" si="1210"/>
        <v/>
      </c>
      <c r="U603" s="114" t="str">
        <f t="array" ref="U603">IF(ISBLANK($R603), INDEX('Run Reconcile'!A$2:A1399, MATCH($B603, 'Run Reconcile'!B$2:B1399, 0)+Z603, 1), IFERROR(0/0,""))
</f>
        <v/>
      </c>
      <c r="V603" s="316" t="str">
        <f t="shared" si="5"/>
        <v>RUN-ABRM_2022-12-05_RFR-098</v>
      </c>
      <c r="Y603" s="317" t="str">
        <f t="shared" si="6"/>
        <v/>
      </c>
      <c r="Z603" s="83" t="str">
        <f t="shared" si="7"/>
        <v/>
      </c>
      <c r="AA603" s="83" t="str">
        <f t="shared" si="8"/>
        <v/>
      </c>
      <c r="AB603" s="83" t="str">
        <f t="shared" si="9"/>
        <v/>
      </c>
      <c r="AC603" s="18" t="str">
        <f t="shared" ref="AC603:AD603" si="1211">IF(_xlfn.ISFORMULA(S603),IFERROR(0/0,""),TRUE)</f>
        <v/>
      </c>
      <c r="AD603" s="18" t="str">
        <f t="shared" si="1211"/>
        <v/>
      </c>
      <c r="AE603" s="43"/>
      <c r="AF603" s="58" t="s">
        <v>95</v>
      </c>
      <c r="AG603" s="55" t="str">
        <f t="shared" si="11"/>
        <v/>
      </c>
    </row>
    <row r="604">
      <c r="A604" s="7" t="str">
        <f>IFERROR(__xludf.DUMMYFUNCTION("""COMPUTED_VALUE"""),"AH7042")</f>
        <v>AH7042</v>
      </c>
      <c r="B604" s="308">
        <f>IFERROR(__xludf.DUMMYFUNCTION("""COMPUTED_VALUE"""),44901.0)</f>
        <v>44901</v>
      </c>
      <c r="C604" s="309">
        <f>IFERROR(__xludf.DUMMYFUNCTION("""COMPUTED_VALUE"""),0.19604166666666667)</f>
        <v>0.1960416667</v>
      </c>
      <c r="D604" s="7" t="str">
        <f>IFERROR(__xludf.DUMMYFUNCTION("""COMPUTED_VALUE"""),"SpABRM297307")</f>
        <v>SpABRM297307</v>
      </c>
      <c r="E604" s="310"/>
      <c r="F604" s="310"/>
      <c r="G604" s="310" t="str">
        <f>IFERROR(__xludf.DUMMYFUNCTION("""COMPUTED_VALUE"""),"Negative")</f>
        <v>Negative</v>
      </c>
      <c r="H604" s="319" t="str">
        <f>IFERROR(__xludf.DUMMYFUNCTION("""COMPUTED_VALUE"""),"Negative")</f>
        <v>Negative</v>
      </c>
      <c r="I604" s="308">
        <f>IFERROR(__xludf.DUMMYFUNCTION("""COMPUTED_VALUE"""),44901.0)</f>
        <v>44901</v>
      </c>
      <c r="J604" s="311">
        <f>IFERROR(__xludf.DUMMYFUNCTION("""COMPUTED_VALUE"""),0.42409722222222224)</f>
        <v>0.4240972222</v>
      </c>
      <c r="K604" s="54"/>
      <c r="L604" s="7"/>
      <c r="M604" s="312"/>
      <c r="N604" s="172">
        <f>IFERROR(__xludf.DUMMYFUNCTION("""COMPUTED_VALUE"""),3.0)</f>
        <v>3</v>
      </c>
      <c r="O604" s="172" t="b">
        <f t="shared" si="3"/>
        <v>1</v>
      </c>
      <c r="P604" s="313">
        <f>IFERROR(__xludf.DUMMYFUNCTION("""COMPUTED_VALUE"""),0.0)</f>
        <v>0</v>
      </c>
      <c r="Q604" s="76" t="b">
        <f>VLOOKUP($B604,'Run Reconcile'!B$2:O1399,14,FALSE)</f>
        <v>1</v>
      </c>
      <c r="R604" s="314" t="str">
        <f t="array" ref="R604">IF($Q604, INDEX('Run Reconcile'!A$2:A1399,MATCH(B604,'Run Reconcile'!B$2:B1399,0),1),IFERROR(0/0,""))</f>
        <v>RUN-ABRM_2022-12-06_RFR-099</v>
      </c>
      <c r="S604" s="315" t="str">
        <f t="shared" ref="S604:T604" si="1212">IF(COUNTIF(W$2:W1399, $A604) &gt; 0,TRUE,IFERROR(0/0,""))</f>
        <v/>
      </c>
      <c r="T604" s="315" t="str">
        <f t="shared" si="1212"/>
        <v/>
      </c>
      <c r="U604" s="114" t="str">
        <f t="array" ref="U604">IF(ISBLANK($R604), INDEX('Run Reconcile'!A$2:A1399, MATCH($B604, 'Run Reconcile'!B$2:B1399, 0)+Z604, 1), IFERROR(0/0,""))
</f>
        <v/>
      </c>
      <c r="V604" s="316" t="str">
        <f t="shared" si="5"/>
        <v>RUN-ABRM_2022-12-06_RFR-099</v>
      </c>
      <c r="Y604" s="317" t="str">
        <f t="shared" si="6"/>
        <v/>
      </c>
      <c r="Z604" s="83" t="str">
        <f t="shared" si="7"/>
        <v/>
      </c>
      <c r="AA604" s="83" t="str">
        <f t="shared" si="8"/>
        <v/>
      </c>
      <c r="AB604" s="83" t="str">
        <f t="shared" si="9"/>
        <v/>
      </c>
      <c r="AC604" s="18" t="str">
        <f t="shared" ref="AC604:AD604" si="1213">IF(_xlfn.ISFORMULA(S604),IFERROR(0/0,""),TRUE)</f>
        <v/>
      </c>
      <c r="AD604" s="18" t="str">
        <f t="shared" si="1213"/>
        <v/>
      </c>
      <c r="AE604" s="43"/>
      <c r="AF604" s="58" t="s">
        <v>96</v>
      </c>
      <c r="AG604" s="55" t="str">
        <f t="shared" si="11"/>
        <v/>
      </c>
    </row>
    <row r="605">
      <c r="A605" s="7" t="str">
        <f>IFERROR(__xludf.DUMMYFUNCTION("""COMPUTED_VALUE"""),"AJ8223")</f>
        <v>AJ8223</v>
      </c>
      <c r="B605" s="308">
        <f>IFERROR(__xludf.DUMMYFUNCTION("""COMPUTED_VALUE"""),44901.0)</f>
        <v>44901</v>
      </c>
      <c r="C605" s="309">
        <f>IFERROR(__xludf.DUMMYFUNCTION("""COMPUTED_VALUE"""),0.218125)</f>
        <v>0.218125</v>
      </c>
      <c r="D605" s="7" t="str">
        <f>IFERROR(__xludf.DUMMYFUNCTION("""COMPUTED_VALUE"""),"SpABRM454310")</f>
        <v>SpABRM454310</v>
      </c>
      <c r="E605" s="310"/>
      <c r="F605" s="310"/>
      <c r="G605" s="310" t="str">
        <f>IFERROR(__xludf.DUMMYFUNCTION("""COMPUTED_VALUE"""),"Negative")</f>
        <v>Negative</v>
      </c>
      <c r="H605" s="319" t="str">
        <f>IFERROR(__xludf.DUMMYFUNCTION("""COMPUTED_VALUE"""),"Negative")</f>
        <v>Negative</v>
      </c>
      <c r="I605" s="308">
        <f>IFERROR(__xludf.DUMMYFUNCTION("""COMPUTED_VALUE"""),44901.0)</f>
        <v>44901</v>
      </c>
      <c r="J605" s="311">
        <f>IFERROR(__xludf.DUMMYFUNCTION("""COMPUTED_VALUE"""),0.42409722222222224)</f>
        <v>0.4240972222</v>
      </c>
      <c r="K605" s="54"/>
      <c r="L605" s="7"/>
      <c r="M605" s="312"/>
      <c r="N605" s="172">
        <f>IFERROR(__xludf.DUMMYFUNCTION("""COMPUTED_VALUE"""),3.0)</f>
        <v>3</v>
      </c>
      <c r="O605" s="172" t="str">
        <f t="shared" si="3"/>
        <v/>
      </c>
      <c r="P605" s="313">
        <f>IFERROR(__xludf.DUMMYFUNCTION("""COMPUTED_VALUE"""),0.0)</f>
        <v>0</v>
      </c>
      <c r="Q605" s="76" t="b">
        <f>VLOOKUP($B605,'Run Reconcile'!B$2:O1399,14,FALSE)</f>
        <v>1</v>
      </c>
      <c r="R605" s="314" t="str">
        <f t="array" ref="R605">IF($Q605, INDEX('Run Reconcile'!A$2:A1399,MATCH(B605,'Run Reconcile'!B$2:B1399,0),1),IFERROR(0/0,""))</f>
        <v>RUN-ABRM_2022-12-06_RFR-099</v>
      </c>
      <c r="S605" s="315" t="str">
        <f t="shared" ref="S605:T605" si="1214">IF(COUNTIF(W$2:W1399, $A605) &gt; 0,TRUE,IFERROR(0/0,""))</f>
        <v/>
      </c>
      <c r="T605" s="315" t="str">
        <f t="shared" si="1214"/>
        <v/>
      </c>
      <c r="U605" s="114" t="str">
        <f t="array" ref="U605">IF(ISBLANK($R605), INDEX('Run Reconcile'!A$2:A1399, MATCH($B605, 'Run Reconcile'!B$2:B1399, 0)+Z605, 1), IFERROR(0/0,""))
</f>
        <v/>
      </c>
      <c r="V605" s="316" t="str">
        <f t="shared" si="5"/>
        <v>RUN-ABRM_2022-12-06_RFR-099</v>
      </c>
      <c r="Y605" s="317" t="str">
        <f t="shared" si="6"/>
        <v/>
      </c>
      <c r="Z605" s="83" t="str">
        <f t="shared" si="7"/>
        <v/>
      </c>
      <c r="AA605" s="83" t="str">
        <f t="shared" si="8"/>
        <v/>
      </c>
      <c r="AB605" s="83" t="str">
        <f t="shared" si="9"/>
        <v/>
      </c>
      <c r="AC605" s="18" t="str">
        <f t="shared" ref="AC605:AD605" si="1215">IF(_xlfn.ISFORMULA(S605),IFERROR(0/0,""),TRUE)</f>
        <v/>
      </c>
      <c r="AD605" s="18" t="str">
        <f t="shared" si="1215"/>
        <v/>
      </c>
      <c r="AE605" s="43"/>
      <c r="AF605" s="58" t="s">
        <v>96</v>
      </c>
      <c r="AG605" s="55" t="str">
        <f t="shared" si="11"/>
        <v/>
      </c>
    </row>
    <row r="606">
      <c r="A606" s="7" t="str">
        <f>IFERROR(__xludf.DUMMYFUNCTION("""COMPUTED_VALUE"""),"AJ8576")</f>
        <v>AJ8576</v>
      </c>
      <c r="B606" s="308">
        <f>IFERROR(__xludf.DUMMYFUNCTION("""COMPUTED_VALUE"""),44901.0)</f>
        <v>44901</v>
      </c>
      <c r="C606" s="309">
        <f>IFERROR(__xludf.DUMMYFUNCTION("""COMPUTED_VALUE"""),0.23364583333333333)</f>
        <v>0.2336458333</v>
      </c>
      <c r="D606" s="7" t="str">
        <f>IFERROR(__xludf.DUMMYFUNCTION("""COMPUTED_VALUE"""),"SpABRM655136")</f>
        <v>SpABRM655136</v>
      </c>
      <c r="E606" s="310"/>
      <c r="F606" s="310"/>
      <c r="G606" s="310" t="str">
        <f>IFERROR(__xludf.DUMMYFUNCTION("""COMPUTED_VALUE"""),"Negative")</f>
        <v>Negative</v>
      </c>
      <c r="H606" s="319" t="str">
        <f>IFERROR(__xludf.DUMMYFUNCTION("""COMPUTED_VALUE"""),"Negative")</f>
        <v>Negative</v>
      </c>
      <c r="I606" s="308">
        <f>IFERROR(__xludf.DUMMYFUNCTION("""COMPUTED_VALUE"""),44901.0)</f>
        <v>44901</v>
      </c>
      <c r="J606" s="311">
        <f>IFERROR(__xludf.DUMMYFUNCTION("""COMPUTED_VALUE"""),0.4241087962962963)</f>
        <v>0.4241087963</v>
      </c>
      <c r="K606" s="54"/>
      <c r="L606" s="7"/>
      <c r="M606" s="312"/>
      <c r="N606" s="172">
        <f>IFERROR(__xludf.DUMMYFUNCTION("""COMPUTED_VALUE"""),2.0)</f>
        <v>2</v>
      </c>
      <c r="O606" s="172" t="str">
        <f t="shared" si="3"/>
        <v/>
      </c>
      <c r="P606" s="313">
        <f>IFERROR(__xludf.DUMMYFUNCTION("""COMPUTED_VALUE"""),0.0)</f>
        <v>0</v>
      </c>
      <c r="Q606" s="76" t="b">
        <f>VLOOKUP($B606,'Run Reconcile'!B$2:O1399,14,FALSE)</f>
        <v>1</v>
      </c>
      <c r="R606" s="314" t="str">
        <f t="array" ref="R606">IF($Q606, INDEX('Run Reconcile'!A$2:A1399,MATCH(B606,'Run Reconcile'!B$2:B1399,0),1),IFERROR(0/0,""))</f>
        <v>RUN-ABRM_2022-12-06_RFR-099</v>
      </c>
      <c r="S606" s="315" t="str">
        <f t="shared" ref="S606:T606" si="1216">IF(COUNTIF(W$2:W1399, $A606) &gt; 0,TRUE,IFERROR(0/0,""))</f>
        <v/>
      </c>
      <c r="T606" s="315" t="str">
        <f t="shared" si="1216"/>
        <v/>
      </c>
      <c r="U606" s="114" t="str">
        <f t="array" ref="U606">IF(ISBLANK($R606), INDEX('Run Reconcile'!A$2:A1399, MATCH($B606, 'Run Reconcile'!B$2:B1399, 0)+Z606, 1), IFERROR(0/0,""))
</f>
        <v/>
      </c>
      <c r="V606" s="316" t="str">
        <f t="shared" si="5"/>
        <v>RUN-ABRM_2022-12-06_RFR-099</v>
      </c>
      <c r="Y606" s="317" t="str">
        <f t="shared" si="6"/>
        <v/>
      </c>
      <c r="Z606" s="83" t="str">
        <f t="shared" si="7"/>
        <v/>
      </c>
      <c r="AA606" s="83" t="str">
        <f t="shared" si="8"/>
        <v/>
      </c>
      <c r="AB606" s="83" t="str">
        <f t="shared" si="9"/>
        <v/>
      </c>
      <c r="AC606" s="18" t="str">
        <f t="shared" ref="AC606:AD606" si="1217">IF(_xlfn.ISFORMULA(S606),IFERROR(0/0,""),TRUE)</f>
        <v/>
      </c>
      <c r="AD606" s="18" t="str">
        <f t="shared" si="1217"/>
        <v/>
      </c>
      <c r="AE606" s="43"/>
      <c r="AF606" s="58" t="s">
        <v>96</v>
      </c>
      <c r="AG606" s="55" t="str">
        <f t="shared" si="11"/>
        <v/>
      </c>
    </row>
    <row r="607">
      <c r="A607" s="7" t="str">
        <f>IFERROR(__xludf.DUMMYFUNCTION("""COMPUTED_VALUE"""),"AH7010")</f>
        <v>AH7010</v>
      </c>
      <c r="B607" s="308">
        <f>IFERROR(__xludf.DUMMYFUNCTION("""COMPUTED_VALUE"""),44901.0)</f>
        <v>44901</v>
      </c>
      <c r="C607" s="309">
        <f>IFERROR(__xludf.DUMMYFUNCTION("""COMPUTED_VALUE"""),0.23662037037037037)</f>
        <v>0.2366203704</v>
      </c>
      <c r="D607" s="7" t="str">
        <f>IFERROR(__xludf.DUMMYFUNCTION("""COMPUTED_VALUE"""),"SpABRM128250")</f>
        <v>SpABRM128250</v>
      </c>
      <c r="E607" s="310"/>
      <c r="F607" s="310"/>
      <c r="G607" s="310" t="str">
        <f>IFERROR(__xludf.DUMMYFUNCTION("""COMPUTED_VALUE"""),"Negative")</f>
        <v>Negative</v>
      </c>
      <c r="H607" s="319" t="str">
        <f>IFERROR(__xludf.DUMMYFUNCTION("""COMPUTED_VALUE"""),"Negative")</f>
        <v>Negative</v>
      </c>
      <c r="I607" s="308">
        <f>IFERROR(__xludf.DUMMYFUNCTION("""COMPUTED_VALUE"""),44901.0)</f>
        <v>44901</v>
      </c>
      <c r="J607" s="311">
        <f>IFERROR(__xludf.DUMMYFUNCTION("""COMPUTED_VALUE"""),0.4241087962962963)</f>
        <v>0.4241087963</v>
      </c>
      <c r="K607" s="54"/>
      <c r="L607" s="7"/>
      <c r="M607" s="312"/>
      <c r="N607" s="172">
        <f>IFERROR(__xludf.DUMMYFUNCTION("""COMPUTED_VALUE"""),3.0)</f>
        <v>3</v>
      </c>
      <c r="O607" s="172" t="str">
        <f t="shared" si="3"/>
        <v/>
      </c>
      <c r="P607" s="313">
        <f>IFERROR(__xludf.DUMMYFUNCTION("""COMPUTED_VALUE"""),0.0)</f>
        <v>0</v>
      </c>
      <c r="Q607" s="76" t="b">
        <f>VLOOKUP($B607,'Run Reconcile'!B$2:O1399,14,FALSE)</f>
        <v>1</v>
      </c>
      <c r="R607" s="314" t="str">
        <f t="array" ref="R607">IF($Q607, INDEX('Run Reconcile'!A$2:A1399,MATCH(B607,'Run Reconcile'!B$2:B1399,0),1),IFERROR(0/0,""))</f>
        <v>RUN-ABRM_2022-12-06_RFR-099</v>
      </c>
      <c r="S607" s="315" t="str">
        <f t="shared" ref="S607:T607" si="1218">IF(COUNTIF(W$2:W1399, $A607) &gt; 0,TRUE,IFERROR(0/0,""))</f>
        <v/>
      </c>
      <c r="T607" s="315" t="str">
        <f t="shared" si="1218"/>
        <v/>
      </c>
      <c r="U607" s="114" t="str">
        <f t="array" ref="U607">IF(ISBLANK($R607), INDEX('Run Reconcile'!A$2:A1399, MATCH($B607, 'Run Reconcile'!B$2:B1399, 0)+Z607, 1), IFERROR(0/0,""))
</f>
        <v/>
      </c>
      <c r="V607" s="316" t="str">
        <f t="shared" si="5"/>
        <v>RUN-ABRM_2022-12-06_RFR-099</v>
      </c>
      <c r="Y607" s="317" t="str">
        <f t="shared" si="6"/>
        <v/>
      </c>
      <c r="Z607" s="83" t="str">
        <f t="shared" si="7"/>
        <v/>
      </c>
      <c r="AA607" s="83" t="str">
        <f t="shared" si="8"/>
        <v/>
      </c>
      <c r="AB607" s="83" t="str">
        <f t="shared" si="9"/>
        <v/>
      </c>
      <c r="AC607" s="18" t="str">
        <f t="shared" ref="AC607:AD607" si="1219">IF(_xlfn.ISFORMULA(S607),IFERROR(0/0,""),TRUE)</f>
        <v/>
      </c>
      <c r="AD607" s="18" t="str">
        <f t="shared" si="1219"/>
        <v/>
      </c>
      <c r="AE607" s="43"/>
      <c r="AF607" s="58" t="s">
        <v>96</v>
      </c>
      <c r="AG607" s="55" t="str">
        <f t="shared" si="11"/>
        <v/>
      </c>
    </row>
    <row r="608">
      <c r="A608" s="7" t="str">
        <f>IFERROR(__xludf.DUMMYFUNCTION("""COMPUTED_VALUE"""),"AH1139")</f>
        <v>AH1139</v>
      </c>
      <c r="B608" s="308">
        <f>IFERROR(__xludf.DUMMYFUNCTION("""COMPUTED_VALUE"""),44901.0)</f>
        <v>44901</v>
      </c>
      <c r="C608" s="309">
        <f>IFERROR(__xludf.DUMMYFUNCTION("""COMPUTED_VALUE"""),0.30063657407407407)</f>
        <v>0.3006365741</v>
      </c>
      <c r="D608" s="7" t="str">
        <f>IFERROR(__xludf.DUMMYFUNCTION("""COMPUTED_VALUE"""),"SpABRM367540")</f>
        <v>SpABRM367540</v>
      </c>
      <c r="E608" s="310"/>
      <c r="F608" s="310"/>
      <c r="G608" s="310" t="str">
        <f>IFERROR(__xludf.DUMMYFUNCTION("""COMPUTED_VALUE"""),"Negative")</f>
        <v>Negative</v>
      </c>
      <c r="H608" s="319" t="str">
        <f>IFERROR(__xludf.DUMMYFUNCTION("""COMPUTED_VALUE"""),"Negative")</f>
        <v>Negative</v>
      </c>
      <c r="I608" s="308">
        <f>IFERROR(__xludf.DUMMYFUNCTION("""COMPUTED_VALUE"""),44901.0)</f>
        <v>44901</v>
      </c>
      <c r="J608" s="311">
        <f>IFERROR(__xludf.DUMMYFUNCTION("""COMPUTED_VALUE"""),0.42412037037037037)</f>
        <v>0.4241203704</v>
      </c>
      <c r="K608" s="54"/>
      <c r="L608" s="7"/>
      <c r="M608" s="312"/>
      <c r="N608" s="172">
        <f>IFERROR(__xludf.DUMMYFUNCTION("""COMPUTED_VALUE"""),3.0)</f>
        <v>3</v>
      </c>
      <c r="O608" s="172" t="str">
        <f t="shared" si="3"/>
        <v/>
      </c>
      <c r="P608" s="313">
        <f>IFERROR(__xludf.DUMMYFUNCTION("""COMPUTED_VALUE"""),0.0)</f>
        <v>0</v>
      </c>
      <c r="Q608" s="76" t="b">
        <f>VLOOKUP($B608,'Run Reconcile'!B$2:O1399,14,FALSE)</f>
        <v>1</v>
      </c>
      <c r="R608" s="314" t="str">
        <f t="array" ref="R608">IF($Q608, INDEX('Run Reconcile'!A$2:A1399,MATCH(B608,'Run Reconcile'!B$2:B1399,0),1),IFERROR(0/0,""))</f>
        <v>RUN-ABRM_2022-12-06_RFR-099</v>
      </c>
      <c r="S608" s="315" t="str">
        <f t="shared" ref="S608:T608" si="1220">IF(COUNTIF(W$2:W1399, $A608) &gt; 0,TRUE,IFERROR(0/0,""))</f>
        <v/>
      </c>
      <c r="T608" s="315" t="str">
        <f t="shared" si="1220"/>
        <v/>
      </c>
      <c r="U608" s="114" t="str">
        <f t="array" ref="U608">IF(ISBLANK($R608), INDEX('Run Reconcile'!A$2:A1399, MATCH($B608, 'Run Reconcile'!B$2:B1399, 0)+Z608, 1), IFERROR(0/0,""))
</f>
        <v/>
      </c>
      <c r="V608" s="316" t="str">
        <f t="shared" si="5"/>
        <v>RUN-ABRM_2022-12-06_RFR-099</v>
      </c>
      <c r="Y608" s="317" t="str">
        <f t="shared" si="6"/>
        <v/>
      </c>
      <c r="Z608" s="83" t="str">
        <f t="shared" si="7"/>
        <v/>
      </c>
      <c r="AA608" s="83" t="str">
        <f t="shared" si="8"/>
        <v/>
      </c>
      <c r="AB608" s="83" t="str">
        <f t="shared" si="9"/>
        <v/>
      </c>
      <c r="AC608" s="18" t="str">
        <f t="shared" ref="AC608:AD608" si="1221">IF(_xlfn.ISFORMULA(S608),IFERROR(0/0,""),TRUE)</f>
        <v/>
      </c>
      <c r="AD608" s="18" t="str">
        <f t="shared" si="1221"/>
        <v/>
      </c>
      <c r="AE608" s="43"/>
      <c r="AF608" s="58" t="s">
        <v>96</v>
      </c>
      <c r="AG608" s="55" t="str">
        <f t="shared" si="11"/>
        <v/>
      </c>
    </row>
    <row r="609">
      <c r="A609" s="7" t="str">
        <f>IFERROR(__xludf.DUMMYFUNCTION("""COMPUTED_VALUE"""),"AH9069")</f>
        <v>AH9069</v>
      </c>
      <c r="B609" s="308">
        <f>IFERROR(__xludf.DUMMYFUNCTION("""COMPUTED_VALUE"""),44901.0)</f>
        <v>44901</v>
      </c>
      <c r="C609" s="309">
        <f>IFERROR(__xludf.DUMMYFUNCTION("""COMPUTED_VALUE"""),0.31194444444444447)</f>
        <v>0.3119444444</v>
      </c>
      <c r="D609" s="7" t="str">
        <f>IFERROR(__xludf.DUMMYFUNCTION("""COMPUTED_VALUE"""),"SpABRM460827")</f>
        <v>SpABRM460827</v>
      </c>
      <c r="E609" s="310"/>
      <c r="F609" s="310"/>
      <c r="G609" s="310" t="str">
        <f>IFERROR(__xludf.DUMMYFUNCTION("""COMPUTED_VALUE"""),"Negative")</f>
        <v>Negative</v>
      </c>
      <c r="H609" s="319" t="str">
        <f>IFERROR(__xludf.DUMMYFUNCTION("""COMPUTED_VALUE"""),"Negative")</f>
        <v>Negative</v>
      </c>
      <c r="I609" s="308">
        <f>IFERROR(__xludf.DUMMYFUNCTION("""COMPUTED_VALUE"""),44901.0)</f>
        <v>44901</v>
      </c>
      <c r="J609" s="311">
        <f>IFERROR(__xludf.DUMMYFUNCTION("""COMPUTED_VALUE"""),0.42412037037037037)</f>
        <v>0.4241203704</v>
      </c>
      <c r="K609" s="54"/>
      <c r="L609" s="7"/>
      <c r="M609" s="312"/>
      <c r="N609" s="172">
        <f>IFERROR(__xludf.DUMMYFUNCTION("""COMPUTED_VALUE"""),1.0)</f>
        <v>1</v>
      </c>
      <c r="O609" s="172" t="str">
        <f t="shared" si="3"/>
        <v/>
      </c>
      <c r="P609" s="313">
        <f>IFERROR(__xludf.DUMMYFUNCTION("""COMPUTED_VALUE"""),0.0)</f>
        <v>0</v>
      </c>
      <c r="Q609" s="76" t="b">
        <f>VLOOKUP($B609,'Run Reconcile'!B$2:O1399,14,FALSE)</f>
        <v>1</v>
      </c>
      <c r="R609" s="314" t="str">
        <f t="array" ref="R609">IF($Q609, INDEX('Run Reconcile'!A$2:A1399,MATCH(B609,'Run Reconcile'!B$2:B1399,0),1),IFERROR(0/0,""))</f>
        <v>RUN-ABRM_2022-12-06_RFR-099</v>
      </c>
      <c r="S609" s="315" t="str">
        <f t="shared" ref="S609:T609" si="1222">IF(COUNTIF(W$2:W1399, $A609) &gt; 0,TRUE,IFERROR(0/0,""))</f>
        <v/>
      </c>
      <c r="T609" s="315" t="str">
        <f t="shared" si="1222"/>
        <v/>
      </c>
      <c r="U609" s="114" t="str">
        <f t="array" ref="U609">IF(ISBLANK($R609), INDEX('Run Reconcile'!A$2:A1399, MATCH($B609, 'Run Reconcile'!B$2:B1399, 0)+Z609, 1), IFERROR(0/0,""))
</f>
        <v/>
      </c>
      <c r="V609" s="316" t="str">
        <f t="shared" si="5"/>
        <v>RUN-ABRM_2022-12-06_RFR-099</v>
      </c>
      <c r="Y609" s="317" t="str">
        <f t="shared" si="6"/>
        <v/>
      </c>
      <c r="Z609" s="83" t="str">
        <f t="shared" si="7"/>
        <v/>
      </c>
      <c r="AA609" s="83" t="str">
        <f t="shared" si="8"/>
        <v/>
      </c>
      <c r="AB609" s="83" t="str">
        <f t="shared" si="9"/>
        <v/>
      </c>
      <c r="AC609" s="18" t="str">
        <f t="shared" ref="AC609:AD609" si="1223">IF(_xlfn.ISFORMULA(S609),IFERROR(0/0,""),TRUE)</f>
        <v/>
      </c>
      <c r="AD609" s="18" t="str">
        <f t="shared" si="1223"/>
        <v/>
      </c>
      <c r="AE609" s="43"/>
      <c r="AF609" s="58" t="s">
        <v>96</v>
      </c>
      <c r="AG609" s="55" t="str">
        <f t="shared" si="11"/>
        <v/>
      </c>
    </row>
    <row r="610">
      <c r="A610" s="7" t="str">
        <f>IFERROR(__xludf.DUMMYFUNCTION("""COMPUTED_VALUE"""),"AH7423")</f>
        <v>AH7423</v>
      </c>
      <c r="B610" s="308">
        <f>IFERROR(__xludf.DUMMYFUNCTION("""COMPUTED_VALUE"""),44901.0)</f>
        <v>44901</v>
      </c>
      <c r="C610" s="309">
        <f>IFERROR(__xludf.DUMMYFUNCTION("""COMPUTED_VALUE"""),0.3251851851851852)</f>
        <v>0.3251851852</v>
      </c>
      <c r="D610" s="7" t="str">
        <f>IFERROR(__xludf.DUMMYFUNCTION("""COMPUTED_VALUE"""),"SpABRM814022")</f>
        <v>SpABRM814022</v>
      </c>
      <c r="E610" s="310"/>
      <c r="F610" s="310"/>
      <c r="G610" s="310" t="str">
        <f>IFERROR(__xludf.DUMMYFUNCTION("""COMPUTED_VALUE"""),"Negative")</f>
        <v>Negative</v>
      </c>
      <c r="H610" s="319" t="str">
        <f>IFERROR(__xludf.DUMMYFUNCTION("""COMPUTED_VALUE"""),"Negative")</f>
        <v>Negative</v>
      </c>
      <c r="I610" s="308">
        <f>IFERROR(__xludf.DUMMYFUNCTION("""COMPUTED_VALUE"""),44901.0)</f>
        <v>44901</v>
      </c>
      <c r="J610" s="311">
        <f>IFERROR(__xludf.DUMMYFUNCTION("""COMPUTED_VALUE"""),0.42413194444444446)</f>
        <v>0.4241319444</v>
      </c>
      <c r="K610" s="54"/>
      <c r="L610" s="7"/>
      <c r="M610" s="312"/>
      <c r="N610" s="172">
        <f>IFERROR(__xludf.DUMMYFUNCTION("""COMPUTED_VALUE"""),2.0)</f>
        <v>2</v>
      </c>
      <c r="O610" s="172" t="str">
        <f t="shared" si="3"/>
        <v/>
      </c>
      <c r="P610" s="313">
        <f>IFERROR(__xludf.DUMMYFUNCTION("""COMPUTED_VALUE"""),0.0)</f>
        <v>0</v>
      </c>
      <c r="Q610" s="76" t="b">
        <f>VLOOKUP($B610,'Run Reconcile'!B$2:O1399,14,FALSE)</f>
        <v>1</v>
      </c>
      <c r="R610" s="314" t="str">
        <f t="array" ref="R610">IF($Q610, INDEX('Run Reconcile'!A$2:A1399,MATCH(B610,'Run Reconcile'!B$2:B1399,0),1),IFERROR(0/0,""))</f>
        <v>RUN-ABRM_2022-12-06_RFR-099</v>
      </c>
      <c r="S610" s="315" t="str">
        <f t="shared" ref="S610:T610" si="1224">IF(COUNTIF(W$2:W1399, $A610) &gt; 0,TRUE,IFERROR(0/0,""))</f>
        <v/>
      </c>
      <c r="T610" s="315" t="str">
        <f t="shared" si="1224"/>
        <v/>
      </c>
      <c r="U610" s="114" t="str">
        <f t="array" ref="U610">IF(ISBLANK($R610), INDEX('Run Reconcile'!A$2:A1399, MATCH($B610, 'Run Reconcile'!B$2:B1399, 0)+Z610, 1), IFERROR(0/0,""))
</f>
        <v/>
      </c>
      <c r="V610" s="316" t="str">
        <f t="shared" si="5"/>
        <v>RUN-ABRM_2022-12-06_RFR-099</v>
      </c>
      <c r="Y610" s="317" t="str">
        <f t="shared" si="6"/>
        <v/>
      </c>
      <c r="Z610" s="83" t="str">
        <f t="shared" si="7"/>
        <v/>
      </c>
      <c r="AA610" s="83" t="str">
        <f t="shared" si="8"/>
        <v/>
      </c>
      <c r="AB610" s="83" t="str">
        <f t="shared" si="9"/>
        <v/>
      </c>
      <c r="AC610" s="18" t="str">
        <f t="shared" ref="AC610:AD610" si="1225">IF(_xlfn.ISFORMULA(S610),IFERROR(0/0,""),TRUE)</f>
        <v/>
      </c>
      <c r="AD610" s="18" t="str">
        <f t="shared" si="1225"/>
        <v/>
      </c>
      <c r="AE610" s="43"/>
      <c r="AF610" s="58" t="s">
        <v>96</v>
      </c>
      <c r="AG610" s="55" t="str">
        <f t="shared" si="11"/>
        <v/>
      </c>
    </row>
    <row r="611">
      <c r="A611" s="7" t="str">
        <f>IFERROR(__xludf.DUMMYFUNCTION("""COMPUTED_VALUE"""),"AG1718")</f>
        <v>AG1718</v>
      </c>
      <c r="B611" s="308">
        <f>IFERROR(__xludf.DUMMYFUNCTION("""COMPUTED_VALUE"""),44901.0)</f>
        <v>44901</v>
      </c>
      <c r="C611" s="309">
        <f>IFERROR(__xludf.DUMMYFUNCTION("""COMPUTED_VALUE"""),0.37136574074074075)</f>
        <v>0.3713657407</v>
      </c>
      <c r="D611" s="7" t="str">
        <f>IFERROR(__xludf.DUMMYFUNCTION("""COMPUTED_VALUE"""),"SpABRM655136")</f>
        <v>SpABRM655136</v>
      </c>
      <c r="E611" s="310"/>
      <c r="F611" s="310"/>
      <c r="G611" s="310" t="str">
        <f>IFERROR(__xludf.DUMMYFUNCTION("""COMPUTED_VALUE"""),"Negative")</f>
        <v>Negative</v>
      </c>
      <c r="H611" s="319" t="str">
        <f>IFERROR(__xludf.DUMMYFUNCTION("""COMPUTED_VALUE"""),"Negative")</f>
        <v>Negative</v>
      </c>
      <c r="I611" s="308">
        <f>IFERROR(__xludf.DUMMYFUNCTION("""COMPUTED_VALUE"""),44901.0)</f>
        <v>44901</v>
      </c>
      <c r="J611" s="311">
        <f>IFERROR(__xludf.DUMMYFUNCTION("""COMPUTED_VALUE"""),0.42413194444444446)</f>
        <v>0.4241319444</v>
      </c>
      <c r="K611" s="54"/>
      <c r="L611" s="7"/>
      <c r="M611" s="312"/>
      <c r="N611" s="172">
        <f>IFERROR(__xludf.DUMMYFUNCTION("""COMPUTED_VALUE"""),3.0)</f>
        <v>3</v>
      </c>
      <c r="O611" s="172" t="str">
        <f t="shared" si="3"/>
        <v/>
      </c>
      <c r="P611" s="313">
        <f>IFERROR(__xludf.DUMMYFUNCTION("""COMPUTED_VALUE"""),0.0)</f>
        <v>0</v>
      </c>
      <c r="Q611" s="76" t="b">
        <f>VLOOKUP($B611,'Run Reconcile'!B$2:O1399,14,FALSE)</f>
        <v>1</v>
      </c>
      <c r="R611" s="314" t="str">
        <f t="array" ref="R611">IF($Q611, INDEX('Run Reconcile'!A$2:A1399,MATCH(B611,'Run Reconcile'!B$2:B1399,0),1),IFERROR(0/0,""))</f>
        <v>RUN-ABRM_2022-12-06_RFR-099</v>
      </c>
      <c r="S611" s="315" t="str">
        <f t="shared" ref="S611:T611" si="1226">IF(COUNTIF(W$2:W1399, $A611) &gt; 0,TRUE,IFERROR(0/0,""))</f>
        <v/>
      </c>
      <c r="T611" s="315" t="str">
        <f t="shared" si="1226"/>
        <v/>
      </c>
      <c r="U611" s="114" t="str">
        <f t="array" ref="U611">IF(ISBLANK($R611), INDEX('Run Reconcile'!A$2:A1399, MATCH($B611, 'Run Reconcile'!B$2:B1399, 0)+Z611, 1), IFERROR(0/0,""))
</f>
        <v/>
      </c>
      <c r="V611" s="316" t="str">
        <f t="shared" si="5"/>
        <v>RUN-ABRM_2022-12-06_RFR-099</v>
      </c>
      <c r="Y611" s="317" t="str">
        <f t="shared" si="6"/>
        <v/>
      </c>
      <c r="Z611" s="83" t="str">
        <f t="shared" si="7"/>
        <v/>
      </c>
      <c r="AA611" s="83" t="str">
        <f t="shared" si="8"/>
        <v/>
      </c>
      <c r="AB611" s="83" t="str">
        <f t="shared" si="9"/>
        <v/>
      </c>
      <c r="AC611" s="18" t="str">
        <f t="shared" ref="AC611:AD611" si="1227">IF(_xlfn.ISFORMULA(S611),IFERROR(0/0,""),TRUE)</f>
        <v/>
      </c>
      <c r="AD611" s="18" t="str">
        <f t="shared" si="1227"/>
        <v/>
      </c>
      <c r="AE611" s="43"/>
      <c r="AF611" s="58" t="s">
        <v>96</v>
      </c>
      <c r="AG611" s="55" t="str">
        <f t="shared" si="11"/>
        <v/>
      </c>
    </row>
    <row r="612">
      <c r="A612" s="7" t="str">
        <f>IFERROR(__xludf.DUMMYFUNCTION("""COMPUTED_VALUE"""),"AJ9901")</f>
        <v>AJ9901</v>
      </c>
      <c r="B612" s="308">
        <f>IFERROR(__xludf.DUMMYFUNCTION("""COMPUTED_VALUE"""),44902.0)</f>
        <v>44902</v>
      </c>
      <c r="C612" s="309">
        <f>IFERROR(__xludf.DUMMYFUNCTION("""COMPUTED_VALUE"""),0.20145833333333332)</f>
        <v>0.2014583333</v>
      </c>
      <c r="D612" s="7" t="str">
        <f>IFERROR(__xludf.DUMMYFUNCTION("""COMPUTED_VALUE"""),"SpABRM454310")</f>
        <v>SpABRM454310</v>
      </c>
      <c r="E612" s="310"/>
      <c r="F612" s="310"/>
      <c r="G612" s="310" t="str">
        <f>IFERROR(__xludf.DUMMYFUNCTION("""COMPUTED_VALUE"""),"Negative")</f>
        <v>Negative</v>
      </c>
      <c r="H612" s="319" t="str">
        <f>IFERROR(__xludf.DUMMYFUNCTION("""COMPUTED_VALUE"""),"Negative")</f>
        <v>Negative</v>
      </c>
      <c r="I612" s="308">
        <f>IFERROR(__xludf.DUMMYFUNCTION("""COMPUTED_VALUE"""),44902.0)</f>
        <v>44902</v>
      </c>
      <c r="J612" s="311">
        <f>IFERROR(__xludf.DUMMYFUNCTION("""COMPUTED_VALUE"""),0.41456018518518517)</f>
        <v>0.4145601852</v>
      </c>
      <c r="K612" s="54"/>
      <c r="L612" s="7"/>
      <c r="M612" s="312"/>
      <c r="N612" s="172">
        <f>IFERROR(__xludf.DUMMYFUNCTION("""COMPUTED_VALUE"""),3.0)</f>
        <v>3</v>
      </c>
      <c r="O612" s="172" t="b">
        <f t="shared" si="3"/>
        <v>1</v>
      </c>
      <c r="P612" s="313">
        <f>IFERROR(__xludf.DUMMYFUNCTION("""COMPUTED_VALUE"""),0.0)</f>
        <v>0</v>
      </c>
      <c r="Q612" s="76" t="b">
        <f>VLOOKUP($B612,'Run Reconcile'!B$2:O1399,14,FALSE)</f>
        <v>1</v>
      </c>
      <c r="R612" s="314" t="str">
        <f t="array" ref="R612">IF($Q612, INDEX('Run Reconcile'!A$2:A1399,MATCH(B612,'Run Reconcile'!B$2:B1399,0),1),IFERROR(0/0,""))</f>
        <v>RUN-ABRM_2022-12-07_RFR-100</v>
      </c>
      <c r="S612" s="315" t="str">
        <f t="shared" ref="S612:T612" si="1228">IF(COUNTIF(W$2:W1399, $A612) &gt; 0,TRUE,IFERROR(0/0,""))</f>
        <v/>
      </c>
      <c r="T612" s="315" t="str">
        <f t="shared" si="1228"/>
        <v/>
      </c>
      <c r="U612" s="114" t="str">
        <f t="array" ref="U612">IF(ISBLANK($R612), INDEX('Run Reconcile'!A$2:A1399, MATCH($B612, 'Run Reconcile'!B$2:B1399, 0)+Z612, 1), IFERROR(0/0,""))
</f>
        <v/>
      </c>
      <c r="V612" s="316" t="str">
        <f t="shared" si="5"/>
        <v>RUN-ABRM_2022-12-07_RFR-100</v>
      </c>
      <c r="Y612" s="317" t="str">
        <f t="shared" si="6"/>
        <v/>
      </c>
      <c r="Z612" s="83" t="str">
        <f t="shared" si="7"/>
        <v/>
      </c>
      <c r="AA612" s="83" t="str">
        <f t="shared" si="8"/>
        <v/>
      </c>
      <c r="AB612" s="83" t="str">
        <f t="shared" si="9"/>
        <v/>
      </c>
      <c r="AC612" s="18" t="str">
        <f t="shared" ref="AC612:AD612" si="1229">IF(_xlfn.ISFORMULA(S612),IFERROR(0/0,""),TRUE)</f>
        <v/>
      </c>
      <c r="AD612" s="18" t="str">
        <f t="shared" si="1229"/>
        <v/>
      </c>
      <c r="AE612" s="43"/>
      <c r="AF612" s="58" t="s">
        <v>97</v>
      </c>
      <c r="AG612" s="55" t="str">
        <f t="shared" si="11"/>
        <v/>
      </c>
    </row>
    <row r="613">
      <c r="A613" s="7" t="str">
        <f>IFERROR(__xludf.DUMMYFUNCTION("""COMPUTED_VALUE"""),"AG1931")</f>
        <v>AG1931</v>
      </c>
      <c r="B613" s="308">
        <f>IFERROR(__xludf.DUMMYFUNCTION("""COMPUTED_VALUE"""),44902.0)</f>
        <v>44902</v>
      </c>
      <c r="C613" s="309">
        <f>IFERROR(__xludf.DUMMYFUNCTION("""COMPUTED_VALUE"""),0.2868981481481481)</f>
        <v>0.2868981481</v>
      </c>
      <c r="D613" s="7" t="str">
        <f>IFERROR(__xludf.DUMMYFUNCTION("""COMPUTED_VALUE"""),"SpABRM652382")</f>
        <v>SpABRM652382</v>
      </c>
      <c r="E613" s="310"/>
      <c r="F613" s="310"/>
      <c r="G613" s="310" t="str">
        <f>IFERROR(__xludf.DUMMYFUNCTION("""COMPUTED_VALUE"""),"Negative")</f>
        <v>Negative</v>
      </c>
      <c r="H613" s="319" t="str">
        <f>IFERROR(__xludf.DUMMYFUNCTION("""COMPUTED_VALUE"""),"Negative")</f>
        <v>Negative</v>
      </c>
      <c r="I613" s="308">
        <f>IFERROR(__xludf.DUMMYFUNCTION("""COMPUTED_VALUE"""),44902.0)</f>
        <v>44902</v>
      </c>
      <c r="J613" s="311">
        <f>IFERROR(__xludf.DUMMYFUNCTION("""COMPUTED_VALUE"""),0.41456018518518517)</f>
        <v>0.4145601852</v>
      </c>
      <c r="K613" s="54"/>
      <c r="L613" s="7"/>
      <c r="M613" s="312"/>
      <c r="N613" s="172">
        <f>IFERROR(__xludf.DUMMYFUNCTION("""COMPUTED_VALUE"""),2.0)</f>
        <v>2</v>
      </c>
      <c r="O613" s="172" t="str">
        <f t="shared" si="3"/>
        <v/>
      </c>
      <c r="P613" s="313">
        <f>IFERROR(__xludf.DUMMYFUNCTION("""COMPUTED_VALUE"""),0.0)</f>
        <v>0</v>
      </c>
      <c r="Q613" s="76" t="b">
        <f>VLOOKUP($B613,'Run Reconcile'!B$2:O1399,14,FALSE)</f>
        <v>1</v>
      </c>
      <c r="R613" s="314" t="str">
        <f t="array" ref="R613">IF($Q613, INDEX('Run Reconcile'!A$2:A1399,MATCH(B613,'Run Reconcile'!B$2:B1399,0),1),IFERROR(0/0,""))</f>
        <v>RUN-ABRM_2022-12-07_RFR-100</v>
      </c>
      <c r="S613" s="315" t="str">
        <f t="shared" ref="S613:T613" si="1230">IF(COUNTIF(W$2:W1399, $A613) &gt; 0,TRUE,IFERROR(0/0,""))</f>
        <v/>
      </c>
      <c r="T613" s="315" t="str">
        <f t="shared" si="1230"/>
        <v/>
      </c>
      <c r="U613" s="114" t="str">
        <f t="array" ref="U613">IF(ISBLANK($R613), INDEX('Run Reconcile'!A$2:A1399, MATCH($B613, 'Run Reconcile'!B$2:B1399, 0)+Z613, 1), IFERROR(0/0,""))
</f>
        <v/>
      </c>
      <c r="V613" s="316" t="str">
        <f t="shared" si="5"/>
        <v>RUN-ABRM_2022-12-07_RFR-100</v>
      </c>
      <c r="Y613" s="317" t="str">
        <f t="shared" si="6"/>
        <v/>
      </c>
      <c r="Z613" s="83" t="str">
        <f t="shared" si="7"/>
        <v/>
      </c>
      <c r="AA613" s="83" t="str">
        <f t="shared" si="8"/>
        <v/>
      </c>
      <c r="AB613" s="83" t="str">
        <f t="shared" si="9"/>
        <v/>
      </c>
      <c r="AC613" s="18" t="str">
        <f t="shared" ref="AC613:AD613" si="1231">IF(_xlfn.ISFORMULA(S613),IFERROR(0/0,""),TRUE)</f>
        <v/>
      </c>
      <c r="AD613" s="18" t="str">
        <f t="shared" si="1231"/>
        <v/>
      </c>
      <c r="AE613" s="43"/>
      <c r="AF613" s="58" t="s">
        <v>97</v>
      </c>
      <c r="AG613" s="55" t="str">
        <f t="shared" si="11"/>
        <v/>
      </c>
    </row>
    <row r="614">
      <c r="A614" s="7" t="str">
        <f>IFERROR(__xludf.DUMMYFUNCTION("""COMPUTED_VALUE"""),"AH9090")</f>
        <v>AH9090</v>
      </c>
      <c r="B614" s="308">
        <f>IFERROR(__xludf.DUMMYFUNCTION("""COMPUTED_VALUE"""),44902.0)</f>
        <v>44902</v>
      </c>
      <c r="C614" s="309">
        <f>IFERROR(__xludf.DUMMYFUNCTION("""COMPUTED_VALUE"""),0.29125)</f>
        <v>0.29125</v>
      </c>
      <c r="D614" s="7" t="str">
        <f>IFERROR(__xludf.DUMMYFUNCTION("""COMPUTED_VALUE"""),"SpABRM128250")</f>
        <v>SpABRM128250</v>
      </c>
      <c r="E614" s="310"/>
      <c r="F614" s="310"/>
      <c r="G614" s="310" t="str">
        <f>IFERROR(__xludf.DUMMYFUNCTION("""COMPUTED_VALUE"""),"Negative")</f>
        <v>Negative</v>
      </c>
      <c r="H614" s="319" t="str">
        <f>IFERROR(__xludf.DUMMYFUNCTION("""COMPUTED_VALUE"""),"Negative")</f>
        <v>Negative</v>
      </c>
      <c r="I614" s="308">
        <f>IFERROR(__xludf.DUMMYFUNCTION("""COMPUTED_VALUE"""),44902.0)</f>
        <v>44902</v>
      </c>
      <c r="J614" s="311">
        <f>IFERROR(__xludf.DUMMYFUNCTION("""COMPUTED_VALUE"""),0.41457175925925926)</f>
        <v>0.4145717593</v>
      </c>
      <c r="K614" s="54"/>
      <c r="L614" s="7"/>
      <c r="M614" s="312"/>
      <c r="N614" s="172">
        <f>IFERROR(__xludf.DUMMYFUNCTION("""COMPUTED_VALUE"""),3.0)</f>
        <v>3</v>
      </c>
      <c r="O614" s="172" t="str">
        <f t="shared" si="3"/>
        <v/>
      </c>
      <c r="P614" s="313">
        <f>IFERROR(__xludf.DUMMYFUNCTION("""COMPUTED_VALUE"""),0.0)</f>
        <v>0</v>
      </c>
      <c r="Q614" s="76" t="b">
        <f>VLOOKUP($B614,'Run Reconcile'!B$2:O1399,14,FALSE)</f>
        <v>1</v>
      </c>
      <c r="R614" s="314" t="str">
        <f t="array" ref="R614">IF($Q614, INDEX('Run Reconcile'!A$2:A1399,MATCH(B614,'Run Reconcile'!B$2:B1399,0),1),IFERROR(0/0,""))</f>
        <v>RUN-ABRM_2022-12-07_RFR-100</v>
      </c>
      <c r="S614" s="315" t="str">
        <f t="shared" ref="S614:T614" si="1232">IF(COUNTIF(W$2:W1399, $A614) &gt; 0,TRUE,IFERROR(0/0,""))</f>
        <v/>
      </c>
      <c r="T614" s="315" t="str">
        <f t="shared" si="1232"/>
        <v/>
      </c>
      <c r="U614" s="114" t="str">
        <f t="array" ref="U614">IF(ISBLANK($R614), INDEX('Run Reconcile'!A$2:A1399, MATCH($B614, 'Run Reconcile'!B$2:B1399, 0)+Z614, 1), IFERROR(0/0,""))
</f>
        <v/>
      </c>
      <c r="V614" s="316" t="str">
        <f t="shared" si="5"/>
        <v>RUN-ABRM_2022-12-07_RFR-100</v>
      </c>
      <c r="Y614" s="317" t="str">
        <f t="shared" si="6"/>
        <v/>
      </c>
      <c r="Z614" s="83" t="str">
        <f t="shared" si="7"/>
        <v/>
      </c>
      <c r="AA614" s="83" t="str">
        <f t="shared" si="8"/>
        <v/>
      </c>
      <c r="AB614" s="83" t="str">
        <f t="shared" si="9"/>
        <v/>
      </c>
      <c r="AC614" s="18" t="str">
        <f t="shared" ref="AC614:AD614" si="1233">IF(_xlfn.ISFORMULA(S614),IFERROR(0/0,""),TRUE)</f>
        <v/>
      </c>
      <c r="AD614" s="18" t="str">
        <f t="shared" si="1233"/>
        <v/>
      </c>
      <c r="AE614" s="43"/>
      <c r="AF614" s="58" t="s">
        <v>97</v>
      </c>
      <c r="AG614" s="55" t="str">
        <f t="shared" si="11"/>
        <v/>
      </c>
    </row>
    <row r="615">
      <c r="A615" s="7" t="str">
        <f>IFERROR(__xludf.DUMMYFUNCTION("""COMPUTED_VALUE"""),"AG2242")</f>
        <v>AG2242</v>
      </c>
      <c r="B615" s="308">
        <f>IFERROR(__xludf.DUMMYFUNCTION("""COMPUTED_VALUE"""),44902.0)</f>
        <v>44902</v>
      </c>
      <c r="C615" s="309">
        <f>IFERROR(__xludf.DUMMYFUNCTION("""COMPUTED_VALUE"""),0.2971990740740741)</f>
        <v>0.2971990741</v>
      </c>
      <c r="D615" s="7" t="str">
        <f>IFERROR(__xludf.DUMMYFUNCTION("""COMPUTED_VALUE"""),"SpABRM367540")</f>
        <v>SpABRM367540</v>
      </c>
      <c r="E615" s="310"/>
      <c r="F615" s="310"/>
      <c r="G615" s="310" t="str">
        <f>IFERROR(__xludf.DUMMYFUNCTION("""COMPUTED_VALUE"""),"Negative")</f>
        <v>Negative</v>
      </c>
      <c r="H615" s="319" t="str">
        <f>IFERROR(__xludf.DUMMYFUNCTION("""COMPUTED_VALUE"""),"Negative")</f>
        <v>Negative</v>
      </c>
      <c r="I615" s="308">
        <f>IFERROR(__xludf.DUMMYFUNCTION("""COMPUTED_VALUE"""),44902.0)</f>
        <v>44902</v>
      </c>
      <c r="J615" s="311">
        <f>IFERROR(__xludf.DUMMYFUNCTION("""COMPUTED_VALUE"""),0.41457175925925926)</f>
        <v>0.4145717593</v>
      </c>
      <c r="K615" s="54"/>
      <c r="L615" s="7"/>
      <c r="M615" s="312"/>
      <c r="N615" s="172">
        <f>IFERROR(__xludf.DUMMYFUNCTION("""COMPUTED_VALUE"""),3.0)</f>
        <v>3</v>
      </c>
      <c r="O615" s="172" t="str">
        <f t="shared" si="3"/>
        <v/>
      </c>
      <c r="P615" s="313">
        <f>IFERROR(__xludf.DUMMYFUNCTION("""COMPUTED_VALUE"""),0.0)</f>
        <v>0</v>
      </c>
      <c r="Q615" s="76" t="b">
        <f>VLOOKUP($B615,'Run Reconcile'!B$2:O1399,14,FALSE)</f>
        <v>1</v>
      </c>
      <c r="R615" s="314" t="str">
        <f t="array" ref="R615">IF($Q615, INDEX('Run Reconcile'!A$2:A1399,MATCH(B615,'Run Reconcile'!B$2:B1399,0),1),IFERROR(0/0,""))</f>
        <v>RUN-ABRM_2022-12-07_RFR-100</v>
      </c>
      <c r="S615" s="315" t="str">
        <f t="shared" ref="S615:T615" si="1234">IF(COUNTIF(W$2:W1399, $A615) &gt; 0,TRUE,IFERROR(0/0,""))</f>
        <v/>
      </c>
      <c r="T615" s="315" t="str">
        <f t="shared" si="1234"/>
        <v/>
      </c>
      <c r="U615" s="114" t="str">
        <f t="array" ref="U615">IF(ISBLANK($R615), INDEX('Run Reconcile'!A$2:A1399, MATCH($B615, 'Run Reconcile'!B$2:B1399, 0)+Z615, 1), IFERROR(0/0,""))
</f>
        <v/>
      </c>
      <c r="V615" s="316" t="str">
        <f t="shared" si="5"/>
        <v>RUN-ABRM_2022-12-07_RFR-100</v>
      </c>
      <c r="Y615" s="317" t="str">
        <f t="shared" si="6"/>
        <v/>
      </c>
      <c r="Z615" s="83" t="str">
        <f t="shared" si="7"/>
        <v/>
      </c>
      <c r="AA615" s="83" t="str">
        <f t="shared" si="8"/>
        <v/>
      </c>
      <c r="AB615" s="83" t="str">
        <f t="shared" si="9"/>
        <v/>
      </c>
      <c r="AC615" s="18" t="str">
        <f t="shared" ref="AC615:AD615" si="1235">IF(_xlfn.ISFORMULA(S615),IFERROR(0/0,""),TRUE)</f>
        <v/>
      </c>
      <c r="AD615" s="18" t="str">
        <f t="shared" si="1235"/>
        <v/>
      </c>
      <c r="AE615" s="43"/>
      <c r="AF615" s="58" t="s">
        <v>97</v>
      </c>
      <c r="AG615" s="55" t="str">
        <f t="shared" si="11"/>
        <v/>
      </c>
    </row>
    <row r="616">
      <c r="A616" s="7" t="str">
        <f>IFERROR(__xludf.DUMMYFUNCTION("""COMPUTED_VALUE"""),"AG142")</f>
        <v>AG142</v>
      </c>
      <c r="B616" s="308">
        <f>IFERROR(__xludf.DUMMYFUNCTION("""COMPUTED_VALUE"""),44902.0)</f>
        <v>44902</v>
      </c>
      <c r="C616" s="309">
        <f>IFERROR(__xludf.DUMMYFUNCTION("""COMPUTED_VALUE"""),0.3147800925925926)</f>
        <v>0.3147800926</v>
      </c>
      <c r="D616" s="7" t="str">
        <f>IFERROR(__xludf.DUMMYFUNCTION("""COMPUTED_VALUE"""),"SpABRM655136")</f>
        <v>SpABRM655136</v>
      </c>
      <c r="E616" s="310"/>
      <c r="F616" s="310"/>
      <c r="G616" s="310" t="str">
        <f>IFERROR(__xludf.DUMMYFUNCTION("""COMPUTED_VALUE"""),"Negative")</f>
        <v>Negative</v>
      </c>
      <c r="H616" s="319" t="str">
        <f>IFERROR(__xludf.DUMMYFUNCTION("""COMPUTED_VALUE"""),"Negative")</f>
        <v>Negative</v>
      </c>
      <c r="I616" s="308">
        <f>IFERROR(__xludf.DUMMYFUNCTION("""COMPUTED_VALUE"""),44902.0)</f>
        <v>44902</v>
      </c>
      <c r="J616" s="311">
        <f>IFERROR(__xludf.DUMMYFUNCTION("""COMPUTED_VALUE"""),0.41458333333333336)</f>
        <v>0.4145833333</v>
      </c>
      <c r="K616" s="54"/>
      <c r="L616" s="7"/>
      <c r="M616" s="312"/>
      <c r="N616" s="172">
        <f>IFERROR(__xludf.DUMMYFUNCTION("""COMPUTED_VALUE"""),2.0)</f>
        <v>2</v>
      </c>
      <c r="O616" s="172" t="str">
        <f t="shared" si="3"/>
        <v/>
      </c>
      <c r="P616" s="313">
        <f>IFERROR(__xludf.DUMMYFUNCTION("""COMPUTED_VALUE"""),0.0)</f>
        <v>0</v>
      </c>
      <c r="Q616" s="76" t="b">
        <f>VLOOKUP($B616,'Run Reconcile'!B$2:O1399,14,FALSE)</f>
        <v>1</v>
      </c>
      <c r="R616" s="314" t="str">
        <f t="array" ref="R616">IF($Q616, INDEX('Run Reconcile'!A$2:A1399,MATCH(B616,'Run Reconcile'!B$2:B1399,0),1),IFERROR(0/0,""))</f>
        <v>RUN-ABRM_2022-12-07_RFR-100</v>
      </c>
      <c r="S616" s="315" t="str">
        <f t="shared" ref="S616:T616" si="1236">IF(COUNTIF(W$2:W1399, $A616) &gt; 0,TRUE,IFERROR(0/0,""))</f>
        <v/>
      </c>
      <c r="T616" s="315" t="str">
        <f t="shared" si="1236"/>
        <v/>
      </c>
      <c r="U616" s="114" t="str">
        <f t="array" ref="U616">IF(ISBLANK($R616), INDEX('Run Reconcile'!A$2:A1399, MATCH($B616, 'Run Reconcile'!B$2:B1399, 0)+Z616, 1), IFERROR(0/0,""))
</f>
        <v/>
      </c>
      <c r="V616" s="316" t="str">
        <f t="shared" si="5"/>
        <v>RUN-ABRM_2022-12-07_RFR-100</v>
      </c>
      <c r="Y616" s="317" t="str">
        <f t="shared" si="6"/>
        <v/>
      </c>
      <c r="Z616" s="83" t="str">
        <f t="shared" si="7"/>
        <v/>
      </c>
      <c r="AA616" s="83" t="str">
        <f t="shared" si="8"/>
        <v/>
      </c>
      <c r="AB616" s="83" t="str">
        <f t="shared" si="9"/>
        <v/>
      </c>
      <c r="AC616" s="18" t="str">
        <f t="shared" ref="AC616:AD616" si="1237">IF(_xlfn.ISFORMULA(S616),IFERROR(0/0,""),TRUE)</f>
        <v/>
      </c>
      <c r="AD616" s="18" t="str">
        <f t="shared" si="1237"/>
        <v/>
      </c>
      <c r="AE616" s="43"/>
      <c r="AF616" s="58" t="s">
        <v>97</v>
      </c>
      <c r="AG616" s="55" t="str">
        <f t="shared" si="11"/>
        <v/>
      </c>
    </row>
    <row r="617">
      <c r="A617" s="7" t="str">
        <f>IFERROR(__xludf.DUMMYFUNCTION("""COMPUTED_VALUE"""),"AH979")</f>
        <v>AH979</v>
      </c>
      <c r="B617" s="308">
        <f>IFERROR(__xludf.DUMMYFUNCTION("""COMPUTED_VALUE"""),44902.0)</f>
        <v>44902</v>
      </c>
      <c r="C617" s="309">
        <f>IFERROR(__xludf.DUMMYFUNCTION("""COMPUTED_VALUE"""),0.3171759259259259)</f>
        <v>0.3171759259</v>
      </c>
      <c r="D617" s="7" t="str">
        <f>IFERROR(__xludf.DUMMYFUNCTION("""COMPUTED_VALUE"""),"SpABRM655136")</f>
        <v>SpABRM655136</v>
      </c>
      <c r="E617" s="310"/>
      <c r="F617" s="310"/>
      <c r="G617" s="310" t="str">
        <f>IFERROR(__xludf.DUMMYFUNCTION("""COMPUTED_VALUE"""),"Negative")</f>
        <v>Negative</v>
      </c>
      <c r="H617" s="319" t="str">
        <f>IFERROR(__xludf.DUMMYFUNCTION("""COMPUTED_VALUE"""),"Negative")</f>
        <v>Negative</v>
      </c>
      <c r="I617" s="308">
        <f>IFERROR(__xludf.DUMMYFUNCTION("""COMPUTED_VALUE"""),44902.0)</f>
        <v>44902</v>
      </c>
      <c r="J617" s="311">
        <f>IFERROR(__xludf.DUMMYFUNCTION("""COMPUTED_VALUE"""),0.41458333333333336)</f>
        <v>0.4145833333</v>
      </c>
      <c r="K617" s="54"/>
      <c r="L617" s="7"/>
      <c r="M617" s="312"/>
      <c r="N617" s="172">
        <f>IFERROR(__xludf.DUMMYFUNCTION("""COMPUTED_VALUE"""),4.0)</f>
        <v>4</v>
      </c>
      <c r="O617" s="172" t="str">
        <f t="shared" si="3"/>
        <v/>
      </c>
      <c r="P617" s="313">
        <f>IFERROR(__xludf.DUMMYFUNCTION("""COMPUTED_VALUE"""),0.0)</f>
        <v>0</v>
      </c>
      <c r="Q617" s="76" t="b">
        <f>VLOOKUP($B617,'Run Reconcile'!B$2:O1399,14,FALSE)</f>
        <v>1</v>
      </c>
      <c r="R617" s="314" t="str">
        <f t="array" ref="R617">IF($Q617, INDEX('Run Reconcile'!A$2:A1399,MATCH(B617,'Run Reconcile'!B$2:B1399,0),1),IFERROR(0/0,""))</f>
        <v>RUN-ABRM_2022-12-07_RFR-100</v>
      </c>
      <c r="S617" s="315" t="str">
        <f t="shared" ref="S617:T617" si="1238">IF(COUNTIF(W$2:W1399, $A617) &gt; 0,TRUE,IFERROR(0/0,""))</f>
        <v/>
      </c>
      <c r="T617" s="315" t="str">
        <f t="shared" si="1238"/>
        <v/>
      </c>
      <c r="U617" s="114" t="str">
        <f t="array" ref="U617">IF(ISBLANK($R617), INDEX('Run Reconcile'!A$2:A1399, MATCH($B617, 'Run Reconcile'!B$2:B1399, 0)+Z617, 1), IFERROR(0/0,""))
</f>
        <v/>
      </c>
      <c r="V617" s="316" t="str">
        <f t="shared" si="5"/>
        <v>RUN-ABRM_2022-12-07_RFR-100</v>
      </c>
      <c r="Y617" s="317" t="str">
        <f t="shared" si="6"/>
        <v/>
      </c>
      <c r="Z617" s="83" t="str">
        <f t="shared" si="7"/>
        <v/>
      </c>
      <c r="AA617" s="83" t="str">
        <f t="shared" si="8"/>
        <v/>
      </c>
      <c r="AB617" s="83" t="str">
        <f t="shared" si="9"/>
        <v/>
      </c>
      <c r="AC617" s="18" t="str">
        <f t="shared" ref="AC617:AD617" si="1239">IF(_xlfn.ISFORMULA(S617),IFERROR(0/0,""),TRUE)</f>
        <v/>
      </c>
      <c r="AD617" s="18" t="str">
        <f t="shared" si="1239"/>
        <v/>
      </c>
      <c r="AE617" s="43"/>
      <c r="AF617" s="58" t="s">
        <v>97</v>
      </c>
      <c r="AG617" s="55" t="str">
        <f t="shared" si="11"/>
        <v/>
      </c>
    </row>
    <row r="618">
      <c r="A618" s="7" t="str">
        <f>IFERROR(__xludf.DUMMYFUNCTION("""COMPUTED_VALUE"""),"AH6872")</f>
        <v>AH6872</v>
      </c>
      <c r="B618" s="308">
        <f>IFERROR(__xludf.DUMMYFUNCTION("""COMPUTED_VALUE"""),44902.0)</f>
        <v>44902</v>
      </c>
      <c r="C618" s="309">
        <f>IFERROR(__xludf.DUMMYFUNCTION("""COMPUTED_VALUE"""),0.32641203703703703)</f>
        <v>0.326412037</v>
      </c>
      <c r="D618" s="7" t="str">
        <f>IFERROR(__xludf.DUMMYFUNCTION("""COMPUTED_VALUE"""),"SpABRM814022")</f>
        <v>SpABRM814022</v>
      </c>
      <c r="E618" s="310"/>
      <c r="F618" s="310"/>
      <c r="G618" s="310" t="str">
        <f>IFERROR(__xludf.DUMMYFUNCTION("""COMPUTED_VALUE"""),"Negative")</f>
        <v>Negative</v>
      </c>
      <c r="H618" s="319" t="str">
        <f>IFERROR(__xludf.DUMMYFUNCTION("""COMPUTED_VALUE"""),"Negative")</f>
        <v>Negative</v>
      </c>
      <c r="I618" s="308">
        <f>IFERROR(__xludf.DUMMYFUNCTION("""COMPUTED_VALUE"""),44902.0)</f>
        <v>44902</v>
      </c>
      <c r="J618" s="311">
        <f>IFERROR(__xludf.DUMMYFUNCTION("""COMPUTED_VALUE"""),0.41458333333333336)</f>
        <v>0.4145833333</v>
      </c>
      <c r="K618" s="54"/>
      <c r="L618" s="7"/>
      <c r="M618" s="312"/>
      <c r="N618" s="172">
        <f>IFERROR(__xludf.DUMMYFUNCTION("""COMPUTED_VALUE"""),1.0)</f>
        <v>1</v>
      </c>
      <c r="O618" s="172" t="str">
        <f t="shared" si="3"/>
        <v/>
      </c>
      <c r="P618" s="313">
        <f>IFERROR(__xludf.DUMMYFUNCTION("""COMPUTED_VALUE"""),0.0)</f>
        <v>0</v>
      </c>
      <c r="Q618" s="76" t="b">
        <f>VLOOKUP($B618,'Run Reconcile'!B$2:O1399,14,FALSE)</f>
        <v>1</v>
      </c>
      <c r="R618" s="314" t="str">
        <f t="array" ref="R618">IF($Q618, INDEX('Run Reconcile'!A$2:A1399,MATCH(B618,'Run Reconcile'!B$2:B1399,0),1),IFERROR(0/0,""))</f>
        <v>RUN-ABRM_2022-12-07_RFR-100</v>
      </c>
      <c r="S618" s="315" t="str">
        <f t="shared" ref="S618:T618" si="1240">IF(COUNTIF(W$2:W1399, $A618) &gt; 0,TRUE,IFERROR(0/0,""))</f>
        <v/>
      </c>
      <c r="T618" s="315" t="str">
        <f t="shared" si="1240"/>
        <v/>
      </c>
      <c r="U618" s="114" t="str">
        <f t="array" ref="U618">IF(ISBLANK($R618), INDEX('Run Reconcile'!A$2:A1399, MATCH($B618, 'Run Reconcile'!B$2:B1399, 0)+Z618, 1), IFERROR(0/0,""))
</f>
        <v/>
      </c>
      <c r="V618" s="316" t="str">
        <f t="shared" si="5"/>
        <v>RUN-ABRM_2022-12-07_RFR-100</v>
      </c>
      <c r="Y618" s="317" t="str">
        <f t="shared" si="6"/>
        <v/>
      </c>
      <c r="Z618" s="83" t="str">
        <f t="shared" si="7"/>
        <v/>
      </c>
      <c r="AA618" s="83" t="str">
        <f t="shared" si="8"/>
        <v/>
      </c>
      <c r="AB618" s="83" t="str">
        <f t="shared" si="9"/>
        <v/>
      </c>
      <c r="AC618" s="18" t="str">
        <f t="shared" ref="AC618:AD618" si="1241">IF(_xlfn.ISFORMULA(S618),IFERROR(0/0,""),TRUE)</f>
        <v/>
      </c>
      <c r="AD618" s="18" t="str">
        <f t="shared" si="1241"/>
        <v/>
      </c>
      <c r="AE618" s="43"/>
      <c r="AF618" s="58" t="s">
        <v>97</v>
      </c>
      <c r="AG618" s="55" t="str">
        <f t="shared" si="11"/>
        <v/>
      </c>
    </row>
    <row r="619">
      <c r="A619" s="7" t="str">
        <f>IFERROR(__xludf.DUMMYFUNCTION("""COMPUTED_VALUE"""),"AG2083")</f>
        <v>AG2083</v>
      </c>
      <c r="B619" s="308">
        <f>IFERROR(__xludf.DUMMYFUNCTION("""COMPUTED_VALUE"""),44902.0)</f>
        <v>44902</v>
      </c>
      <c r="C619" s="309">
        <f>IFERROR(__xludf.DUMMYFUNCTION("""COMPUTED_VALUE"""),0.3555902777777778)</f>
        <v>0.3555902778</v>
      </c>
      <c r="D619" s="7" t="str">
        <f>IFERROR(__xludf.DUMMYFUNCTION("""COMPUTED_VALUE"""),"SpABRM655136")</f>
        <v>SpABRM655136</v>
      </c>
      <c r="E619" s="310"/>
      <c r="F619" s="310"/>
      <c r="G619" s="310" t="str">
        <f>IFERROR(__xludf.DUMMYFUNCTION("""COMPUTED_VALUE"""),"Negative")</f>
        <v>Negative</v>
      </c>
      <c r="H619" s="319" t="str">
        <f>IFERROR(__xludf.DUMMYFUNCTION("""COMPUTED_VALUE"""),"Negative")</f>
        <v>Negative</v>
      </c>
      <c r="I619" s="308">
        <f>IFERROR(__xludf.DUMMYFUNCTION("""COMPUTED_VALUE"""),44902.0)</f>
        <v>44902</v>
      </c>
      <c r="J619" s="311">
        <f>IFERROR(__xludf.DUMMYFUNCTION("""COMPUTED_VALUE"""),0.4145949074074074)</f>
        <v>0.4145949074</v>
      </c>
      <c r="K619" s="54"/>
      <c r="L619" s="7"/>
      <c r="M619" s="312"/>
      <c r="N619" s="172">
        <f>IFERROR(__xludf.DUMMYFUNCTION("""COMPUTED_VALUE"""),2.0)</f>
        <v>2</v>
      </c>
      <c r="O619" s="172" t="str">
        <f t="shared" si="3"/>
        <v/>
      </c>
      <c r="P619" s="313">
        <f>IFERROR(__xludf.DUMMYFUNCTION("""COMPUTED_VALUE"""),0.0)</f>
        <v>0</v>
      </c>
      <c r="Q619" s="76" t="b">
        <f>VLOOKUP($B619,'Run Reconcile'!B$2:O1399,14,FALSE)</f>
        <v>1</v>
      </c>
      <c r="R619" s="314" t="str">
        <f t="array" ref="R619">IF($Q619, INDEX('Run Reconcile'!A$2:A1399,MATCH(B619,'Run Reconcile'!B$2:B1399,0),1),IFERROR(0/0,""))</f>
        <v>RUN-ABRM_2022-12-07_RFR-100</v>
      </c>
      <c r="S619" s="315" t="str">
        <f t="shared" ref="S619:T619" si="1242">IF(COUNTIF(W$2:W1399, $A619) &gt; 0,TRUE,IFERROR(0/0,""))</f>
        <v/>
      </c>
      <c r="T619" s="315" t="str">
        <f t="shared" si="1242"/>
        <v/>
      </c>
      <c r="U619" s="114" t="str">
        <f t="array" ref="U619">IF(ISBLANK($R619), INDEX('Run Reconcile'!A$2:A1399, MATCH($B619, 'Run Reconcile'!B$2:B1399, 0)+Z619, 1), IFERROR(0/0,""))
</f>
        <v/>
      </c>
      <c r="V619" s="316" t="str">
        <f t="shared" si="5"/>
        <v>RUN-ABRM_2022-12-07_RFR-100</v>
      </c>
      <c r="Y619" s="317" t="str">
        <f t="shared" si="6"/>
        <v/>
      </c>
      <c r="Z619" s="83" t="str">
        <f t="shared" si="7"/>
        <v/>
      </c>
      <c r="AA619" s="83" t="str">
        <f t="shared" si="8"/>
        <v/>
      </c>
      <c r="AB619" s="83" t="str">
        <f t="shared" si="9"/>
        <v/>
      </c>
      <c r="AC619" s="18" t="str">
        <f t="shared" ref="AC619:AD619" si="1243">IF(_xlfn.ISFORMULA(S619),IFERROR(0/0,""),TRUE)</f>
        <v/>
      </c>
      <c r="AD619" s="18" t="str">
        <f t="shared" si="1243"/>
        <v/>
      </c>
      <c r="AE619" s="43"/>
      <c r="AF619" s="58" t="s">
        <v>97</v>
      </c>
      <c r="AG619" s="55" t="str">
        <f t="shared" si="11"/>
        <v/>
      </c>
    </row>
    <row r="620">
      <c r="A620" s="7" t="str">
        <f>IFERROR(__xludf.DUMMYFUNCTION("""COMPUTED_VALUE"""),"AK7370")</f>
        <v>AK7370</v>
      </c>
      <c r="B620" s="308">
        <f>IFERROR(__xludf.DUMMYFUNCTION("""COMPUTED_VALUE"""),44903.0)</f>
        <v>44903</v>
      </c>
      <c r="C620" s="309">
        <f>IFERROR(__xludf.DUMMYFUNCTION("""COMPUTED_VALUE"""),0.28662037037037036)</f>
        <v>0.2866203704</v>
      </c>
      <c r="D620" s="7" t="str">
        <f>IFERROR(__xludf.DUMMYFUNCTION("""COMPUTED_VALUE"""),"SpABRM297307")</f>
        <v>SpABRM297307</v>
      </c>
      <c r="E620" s="310"/>
      <c r="F620" s="310"/>
      <c r="G620" s="310" t="str">
        <f>IFERROR(__xludf.DUMMYFUNCTION("""COMPUTED_VALUE"""),"Negative")</f>
        <v>Negative</v>
      </c>
      <c r="H620" s="319" t="str">
        <f>IFERROR(__xludf.DUMMYFUNCTION("""COMPUTED_VALUE"""),"Negative")</f>
        <v>Negative</v>
      </c>
      <c r="I620" s="308">
        <f>IFERROR(__xludf.DUMMYFUNCTION("""COMPUTED_VALUE"""),44903.0)</f>
        <v>44903</v>
      </c>
      <c r="J620" s="311">
        <f>IFERROR(__xludf.DUMMYFUNCTION("""COMPUTED_VALUE"""),0.4283796296296296)</f>
        <v>0.4283796296</v>
      </c>
      <c r="K620" s="54"/>
      <c r="L620" s="7"/>
      <c r="M620" s="312"/>
      <c r="N620" s="172">
        <f>IFERROR(__xludf.DUMMYFUNCTION("""COMPUTED_VALUE"""),4.0)</f>
        <v>4</v>
      </c>
      <c r="O620" s="172" t="b">
        <f t="shared" si="3"/>
        <v>1</v>
      </c>
      <c r="P620" s="313">
        <f>IFERROR(__xludf.DUMMYFUNCTION("""COMPUTED_VALUE"""),0.0)</f>
        <v>0</v>
      </c>
      <c r="Q620" s="76" t="b">
        <f>VLOOKUP($B620,'Run Reconcile'!B$2:O1399,14,FALSE)</f>
        <v>1</v>
      </c>
      <c r="R620" s="314" t="str">
        <f t="array" ref="R620">IF($Q620, INDEX('Run Reconcile'!A$2:A1399,MATCH(B620,'Run Reconcile'!B$2:B1399,0),1),IFERROR(0/0,""))</f>
        <v>RUN-ABRM_2022-12-08_RFR-101</v>
      </c>
      <c r="S620" s="315" t="str">
        <f t="shared" ref="S620:T620" si="1244">IF(COUNTIF(W$2:W1399, $A620) &gt; 0,TRUE,IFERROR(0/0,""))</f>
        <v/>
      </c>
      <c r="T620" s="315" t="str">
        <f t="shared" si="1244"/>
        <v/>
      </c>
      <c r="U620" s="114" t="str">
        <f t="array" ref="U620">IF(ISBLANK($R620), INDEX('Run Reconcile'!A$2:A1399, MATCH($B620, 'Run Reconcile'!B$2:B1399, 0)+Z620, 1), IFERROR(0/0,""))
</f>
        <v/>
      </c>
      <c r="V620" s="316" t="str">
        <f t="shared" si="5"/>
        <v>RUN-ABRM_2022-12-08_RFR-101</v>
      </c>
      <c r="Y620" s="317" t="str">
        <f t="shared" si="6"/>
        <v/>
      </c>
      <c r="Z620" s="83" t="str">
        <f t="shared" si="7"/>
        <v/>
      </c>
      <c r="AA620" s="83" t="str">
        <f t="shared" si="8"/>
        <v/>
      </c>
      <c r="AB620" s="83" t="str">
        <f t="shared" si="9"/>
        <v/>
      </c>
      <c r="AC620" s="18" t="str">
        <f t="shared" ref="AC620:AD620" si="1245">IF(_xlfn.ISFORMULA(S620),IFERROR(0/0,""),TRUE)</f>
        <v/>
      </c>
      <c r="AD620" s="18" t="str">
        <f t="shared" si="1245"/>
        <v/>
      </c>
      <c r="AE620" s="43"/>
      <c r="AF620" s="58" t="s">
        <v>98</v>
      </c>
      <c r="AG620" s="55" t="str">
        <f t="shared" si="11"/>
        <v/>
      </c>
    </row>
    <row r="621">
      <c r="A621" s="7" t="str">
        <f>IFERROR(__xludf.DUMMYFUNCTION("""COMPUTED_VALUE"""),"AG173")</f>
        <v>AG173</v>
      </c>
      <c r="B621" s="308">
        <f>IFERROR(__xludf.DUMMYFUNCTION("""COMPUTED_VALUE"""),44903.0)</f>
        <v>44903</v>
      </c>
      <c r="C621" s="309">
        <f>IFERROR(__xludf.DUMMYFUNCTION("""COMPUTED_VALUE"""),0.2963078703703704)</f>
        <v>0.2963078704</v>
      </c>
      <c r="D621" s="7" t="str">
        <f>IFERROR(__xludf.DUMMYFUNCTION("""COMPUTED_VALUE"""),"SpABRM367540")</f>
        <v>SpABRM367540</v>
      </c>
      <c r="E621" s="310"/>
      <c r="F621" s="310"/>
      <c r="G621" s="310" t="str">
        <f>IFERROR(__xludf.DUMMYFUNCTION("""COMPUTED_VALUE"""),"Positive")</f>
        <v>Positive</v>
      </c>
      <c r="H621" s="319" t="str">
        <f>IFERROR(__xludf.DUMMYFUNCTION("""COMPUTED_VALUE"""),"Positive")</f>
        <v>Positive</v>
      </c>
      <c r="I621" s="308">
        <f>IFERROR(__xludf.DUMMYFUNCTION("""COMPUTED_VALUE"""),44903.0)</f>
        <v>44903</v>
      </c>
      <c r="J621" s="311">
        <f>IFERROR(__xludf.DUMMYFUNCTION("""COMPUTED_VALUE"""),0.4659027777777778)</f>
        <v>0.4659027778</v>
      </c>
      <c r="K621" s="54"/>
      <c r="L621" s="7"/>
      <c r="M621" s="312"/>
      <c r="N621" s="172">
        <f>IFERROR(__xludf.DUMMYFUNCTION("""COMPUTED_VALUE"""),3.0)</f>
        <v>3</v>
      </c>
      <c r="O621" s="172" t="str">
        <f t="shared" si="3"/>
        <v/>
      </c>
      <c r="P621" s="313">
        <f>IFERROR(__xludf.DUMMYFUNCTION("""COMPUTED_VALUE"""),0.0)</f>
        <v>0</v>
      </c>
      <c r="Q621" s="76" t="b">
        <f>VLOOKUP($B621,'Run Reconcile'!B$2:O1399,14,FALSE)</f>
        <v>1</v>
      </c>
      <c r="R621" s="314" t="str">
        <f t="array" ref="R621">IF($Q621, INDEX('Run Reconcile'!A$2:A1399,MATCH(B621,'Run Reconcile'!B$2:B1399,0),1),IFERROR(0/0,""))</f>
        <v>RUN-ABRM_2022-12-08_RFR-101</v>
      </c>
      <c r="S621" s="315" t="str">
        <f t="shared" ref="S621:T621" si="1246">IF(COUNTIF(W$2:W1399, $A621) &gt; 0,TRUE,IFERROR(0/0,""))</f>
        <v/>
      </c>
      <c r="T621" s="315" t="str">
        <f t="shared" si="1246"/>
        <v/>
      </c>
      <c r="U621" s="114" t="str">
        <f t="array" ref="U621">IF(ISBLANK($R621), INDEX('Run Reconcile'!A$2:A1399, MATCH($B621, 'Run Reconcile'!B$2:B1399, 0)+Z621, 1), IFERROR(0/0,""))
</f>
        <v/>
      </c>
      <c r="V621" s="316" t="str">
        <f t="shared" si="5"/>
        <v>RUN-ABRM_2022-12-08_RFR-101</v>
      </c>
      <c r="Y621" s="317" t="str">
        <f t="shared" si="6"/>
        <v/>
      </c>
      <c r="Z621" s="83" t="str">
        <f t="shared" si="7"/>
        <v/>
      </c>
      <c r="AA621" s="83" t="str">
        <f t="shared" si="8"/>
        <v/>
      </c>
      <c r="AB621" s="83" t="str">
        <f t="shared" si="9"/>
        <v/>
      </c>
      <c r="AC621" s="18" t="str">
        <f t="shared" ref="AC621:AD621" si="1247">IF(_xlfn.ISFORMULA(S621),IFERROR(0/0,""),TRUE)</f>
        <v/>
      </c>
      <c r="AD621" s="18" t="str">
        <f t="shared" si="1247"/>
        <v/>
      </c>
      <c r="AE621" s="43"/>
      <c r="AF621" s="58" t="s">
        <v>98</v>
      </c>
      <c r="AG621" s="55" t="str">
        <f t="shared" si="11"/>
        <v/>
      </c>
    </row>
    <row r="622">
      <c r="A622" s="7" t="str">
        <f>IFERROR(__xludf.DUMMYFUNCTION("""COMPUTED_VALUE"""),"AJ8359")</f>
        <v>AJ8359</v>
      </c>
      <c r="B622" s="308">
        <f>IFERROR(__xludf.DUMMYFUNCTION("""COMPUTED_VALUE"""),44903.0)</f>
        <v>44903</v>
      </c>
      <c r="C622" s="309">
        <f>IFERROR(__xludf.DUMMYFUNCTION("""COMPUTED_VALUE"""),0.3229976851851852)</f>
        <v>0.3229976852</v>
      </c>
      <c r="D622" s="7" t="str">
        <f>IFERROR(__xludf.DUMMYFUNCTION("""COMPUTED_VALUE"""),"SpABRM814022")</f>
        <v>SpABRM814022</v>
      </c>
      <c r="E622" s="310"/>
      <c r="F622" s="310"/>
      <c r="G622" s="310" t="str">
        <f>IFERROR(__xludf.DUMMYFUNCTION("""COMPUTED_VALUE"""),"Negative")</f>
        <v>Negative</v>
      </c>
      <c r="H622" s="319" t="str">
        <f>IFERROR(__xludf.DUMMYFUNCTION("""COMPUTED_VALUE"""),"Negative")</f>
        <v>Negative</v>
      </c>
      <c r="I622" s="308">
        <f>IFERROR(__xludf.DUMMYFUNCTION("""COMPUTED_VALUE"""),44903.0)</f>
        <v>44903</v>
      </c>
      <c r="J622" s="311">
        <f>IFERROR(__xludf.DUMMYFUNCTION("""COMPUTED_VALUE"""),0.4283912037037037)</f>
        <v>0.4283912037</v>
      </c>
      <c r="K622" s="54"/>
      <c r="L622" s="7"/>
      <c r="M622" s="312"/>
      <c r="N622" s="172">
        <f>IFERROR(__xludf.DUMMYFUNCTION("""COMPUTED_VALUE"""),1.0)</f>
        <v>1</v>
      </c>
      <c r="O622" s="172" t="str">
        <f t="shared" si="3"/>
        <v/>
      </c>
      <c r="P622" s="313">
        <f>IFERROR(__xludf.DUMMYFUNCTION("""COMPUTED_VALUE"""),0.0)</f>
        <v>0</v>
      </c>
      <c r="Q622" s="76" t="b">
        <f>VLOOKUP($B622,'Run Reconcile'!B$2:O1399,14,FALSE)</f>
        <v>1</v>
      </c>
      <c r="R622" s="314" t="str">
        <f t="array" ref="R622">IF($Q622, INDEX('Run Reconcile'!A$2:A1399,MATCH(B622,'Run Reconcile'!B$2:B1399,0),1),IFERROR(0/0,""))</f>
        <v>RUN-ABRM_2022-12-08_RFR-101</v>
      </c>
      <c r="S622" s="315" t="str">
        <f t="shared" ref="S622:T622" si="1248">IF(COUNTIF(W$2:W1399, $A622) &gt; 0,TRUE,IFERROR(0/0,""))</f>
        <v/>
      </c>
      <c r="T622" s="315" t="str">
        <f t="shared" si="1248"/>
        <v/>
      </c>
      <c r="U622" s="114" t="str">
        <f t="array" ref="U622">IF(ISBLANK($R622), INDEX('Run Reconcile'!A$2:A1399, MATCH($B622, 'Run Reconcile'!B$2:B1399, 0)+Z622, 1), IFERROR(0/0,""))
</f>
        <v/>
      </c>
      <c r="V622" s="316" t="str">
        <f t="shared" si="5"/>
        <v>RUN-ABRM_2022-12-08_RFR-101</v>
      </c>
      <c r="Y622" s="317" t="str">
        <f t="shared" si="6"/>
        <v/>
      </c>
      <c r="Z622" s="83" t="str">
        <f t="shared" si="7"/>
        <v/>
      </c>
      <c r="AA622" s="83" t="str">
        <f t="shared" si="8"/>
        <v/>
      </c>
      <c r="AB622" s="83" t="str">
        <f t="shared" si="9"/>
        <v/>
      </c>
      <c r="AC622" s="18" t="str">
        <f t="shared" ref="AC622:AD622" si="1249">IF(_xlfn.ISFORMULA(S622),IFERROR(0/0,""),TRUE)</f>
        <v/>
      </c>
      <c r="AD622" s="18" t="str">
        <f t="shared" si="1249"/>
        <v/>
      </c>
      <c r="AE622" s="43"/>
      <c r="AF622" s="58" t="s">
        <v>98</v>
      </c>
      <c r="AG622" s="55" t="str">
        <f t="shared" si="11"/>
        <v/>
      </c>
    </row>
    <row r="623">
      <c r="A623" s="7" t="str">
        <f>IFERROR(__xludf.DUMMYFUNCTION("""COMPUTED_VALUE"""),"AJ7904")</f>
        <v>AJ7904</v>
      </c>
      <c r="B623" s="308">
        <f>IFERROR(__xludf.DUMMYFUNCTION("""COMPUTED_VALUE"""),44903.0)</f>
        <v>44903</v>
      </c>
      <c r="C623" s="309">
        <f>IFERROR(__xludf.DUMMYFUNCTION("""COMPUTED_VALUE"""),0.32653935185185184)</f>
        <v>0.3265393519</v>
      </c>
      <c r="D623" s="7" t="str">
        <f>IFERROR(__xludf.DUMMYFUNCTION("""COMPUTED_VALUE"""),"SpABRM655136")</f>
        <v>SpABRM655136</v>
      </c>
      <c r="E623" s="310"/>
      <c r="F623" s="310"/>
      <c r="G623" s="310" t="str">
        <f>IFERROR(__xludf.DUMMYFUNCTION("""COMPUTED_VALUE"""),"Negative")</f>
        <v>Negative</v>
      </c>
      <c r="H623" s="319" t="str">
        <f>IFERROR(__xludf.DUMMYFUNCTION("""COMPUTED_VALUE"""),"Negative")</f>
        <v>Negative</v>
      </c>
      <c r="I623" s="308">
        <f>IFERROR(__xludf.DUMMYFUNCTION("""COMPUTED_VALUE"""),44903.0)</f>
        <v>44903</v>
      </c>
      <c r="J623" s="311">
        <f>IFERROR(__xludf.DUMMYFUNCTION("""COMPUTED_VALUE"""),0.4283912037037037)</f>
        <v>0.4283912037</v>
      </c>
      <c r="K623" s="54"/>
      <c r="L623" s="7"/>
      <c r="M623" s="312"/>
      <c r="N623" s="172">
        <f>IFERROR(__xludf.DUMMYFUNCTION("""COMPUTED_VALUE"""),2.0)</f>
        <v>2</v>
      </c>
      <c r="O623" s="172" t="str">
        <f t="shared" si="3"/>
        <v/>
      </c>
      <c r="P623" s="313">
        <f>IFERROR(__xludf.DUMMYFUNCTION("""COMPUTED_VALUE"""),0.0)</f>
        <v>0</v>
      </c>
      <c r="Q623" s="76" t="b">
        <f>VLOOKUP($B623,'Run Reconcile'!B$2:O1399,14,FALSE)</f>
        <v>1</v>
      </c>
      <c r="R623" s="314" t="str">
        <f t="array" ref="R623">IF($Q623, INDEX('Run Reconcile'!A$2:A1399,MATCH(B623,'Run Reconcile'!B$2:B1399,0),1),IFERROR(0/0,""))</f>
        <v>RUN-ABRM_2022-12-08_RFR-101</v>
      </c>
      <c r="S623" s="315" t="str">
        <f t="shared" ref="S623:T623" si="1250">IF(COUNTIF(W$2:W1399, $A623) &gt; 0,TRUE,IFERROR(0/0,""))</f>
        <v/>
      </c>
      <c r="T623" s="315" t="str">
        <f t="shared" si="1250"/>
        <v/>
      </c>
      <c r="U623" s="114" t="str">
        <f t="array" ref="U623">IF(ISBLANK($R623), INDEX('Run Reconcile'!A$2:A1399, MATCH($B623, 'Run Reconcile'!B$2:B1399, 0)+Z623, 1), IFERROR(0/0,""))
</f>
        <v/>
      </c>
      <c r="V623" s="316" t="str">
        <f t="shared" si="5"/>
        <v>RUN-ABRM_2022-12-08_RFR-101</v>
      </c>
      <c r="Y623" s="317" t="str">
        <f t="shared" si="6"/>
        <v/>
      </c>
      <c r="Z623" s="83" t="str">
        <f t="shared" si="7"/>
        <v/>
      </c>
      <c r="AA623" s="83" t="str">
        <f t="shared" si="8"/>
        <v/>
      </c>
      <c r="AB623" s="83" t="str">
        <f t="shared" si="9"/>
        <v/>
      </c>
      <c r="AC623" s="18" t="str">
        <f t="shared" ref="AC623:AD623" si="1251">IF(_xlfn.ISFORMULA(S623),IFERROR(0/0,""),TRUE)</f>
        <v/>
      </c>
      <c r="AD623" s="18" t="str">
        <f t="shared" si="1251"/>
        <v/>
      </c>
      <c r="AE623" s="43"/>
      <c r="AF623" s="58" t="s">
        <v>98</v>
      </c>
      <c r="AG623" s="55" t="str">
        <f t="shared" si="11"/>
        <v/>
      </c>
    </row>
    <row r="624">
      <c r="A624" s="7" t="str">
        <f>IFERROR(__xludf.DUMMYFUNCTION("""COMPUTED_VALUE"""),"AH7489")</f>
        <v>AH7489</v>
      </c>
      <c r="B624" s="308">
        <f>IFERROR(__xludf.DUMMYFUNCTION("""COMPUTED_VALUE"""),44903.0)</f>
        <v>44903</v>
      </c>
      <c r="C624" s="309">
        <f>IFERROR(__xludf.DUMMYFUNCTION("""COMPUTED_VALUE"""),0.3511342592592593)</f>
        <v>0.3511342593</v>
      </c>
      <c r="D624" s="7" t="str">
        <f>IFERROR(__xludf.DUMMYFUNCTION("""COMPUTED_VALUE"""),"SpABRM655136")</f>
        <v>SpABRM655136</v>
      </c>
      <c r="E624" s="310"/>
      <c r="F624" s="310"/>
      <c r="G624" s="310" t="str">
        <f>IFERROR(__xludf.DUMMYFUNCTION("""COMPUTED_VALUE"""),"Negative")</f>
        <v>Negative</v>
      </c>
      <c r="H624" s="319" t="str">
        <f>IFERROR(__xludf.DUMMYFUNCTION("""COMPUTED_VALUE"""),"Negative")</f>
        <v>Negative</v>
      </c>
      <c r="I624" s="308">
        <f>IFERROR(__xludf.DUMMYFUNCTION("""COMPUTED_VALUE"""),44903.0)</f>
        <v>44903</v>
      </c>
      <c r="J624" s="311">
        <f>IFERROR(__xludf.DUMMYFUNCTION("""COMPUTED_VALUE"""),0.4284027777777778)</f>
        <v>0.4284027778</v>
      </c>
      <c r="K624" s="54"/>
      <c r="L624" s="7"/>
      <c r="M624" s="312"/>
      <c r="N624" s="172">
        <f>IFERROR(__xludf.DUMMYFUNCTION("""COMPUTED_VALUE"""),3.0)</f>
        <v>3</v>
      </c>
      <c r="O624" s="172" t="str">
        <f t="shared" si="3"/>
        <v/>
      </c>
      <c r="P624" s="313">
        <f>IFERROR(__xludf.DUMMYFUNCTION("""COMPUTED_VALUE"""),0.0)</f>
        <v>0</v>
      </c>
      <c r="Q624" s="76" t="b">
        <f>VLOOKUP($B624,'Run Reconcile'!B$2:O1399,14,FALSE)</f>
        <v>1</v>
      </c>
      <c r="R624" s="314" t="str">
        <f t="array" ref="R624">IF($Q624, INDEX('Run Reconcile'!A$2:A1399,MATCH(B624,'Run Reconcile'!B$2:B1399,0),1),IFERROR(0/0,""))</f>
        <v>RUN-ABRM_2022-12-08_RFR-101</v>
      </c>
      <c r="S624" s="315" t="str">
        <f t="shared" ref="S624:T624" si="1252">IF(COUNTIF(W$2:W1399, $A624) &gt; 0,TRUE,IFERROR(0/0,""))</f>
        <v/>
      </c>
      <c r="T624" s="315" t="str">
        <f t="shared" si="1252"/>
        <v/>
      </c>
      <c r="U624" s="114" t="str">
        <f t="array" ref="U624">IF(ISBLANK($R624), INDEX('Run Reconcile'!A$2:A1399, MATCH($B624, 'Run Reconcile'!B$2:B1399, 0)+Z624, 1), IFERROR(0/0,""))
</f>
        <v/>
      </c>
      <c r="V624" s="316" t="str">
        <f t="shared" si="5"/>
        <v>RUN-ABRM_2022-12-08_RFR-101</v>
      </c>
      <c r="Y624" s="317" t="str">
        <f t="shared" si="6"/>
        <v/>
      </c>
      <c r="Z624" s="83" t="str">
        <f t="shared" si="7"/>
        <v/>
      </c>
      <c r="AA624" s="83" t="str">
        <f t="shared" si="8"/>
        <v/>
      </c>
      <c r="AB624" s="83" t="str">
        <f t="shared" si="9"/>
        <v/>
      </c>
      <c r="AC624" s="18" t="str">
        <f t="shared" ref="AC624:AD624" si="1253">IF(_xlfn.ISFORMULA(S624),IFERROR(0/0,""),TRUE)</f>
        <v/>
      </c>
      <c r="AD624" s="18" t="str">
        <f t="shared" si="1253"/>
        <v/>
      </c>
      <c r="AE624" s="43"/>
      <c r="AF624" s="58" t="s">
        <v>98</v>
      </c>
      <c r="AG624" s="55" t="str">
        <f t="shared" si="11"/>
        <v/>
      </c>
    </row>
    <row r="625">
      <c r="A625" s="7" t="str">
        <f>IFERROR(__xludf.DUMMYFUNCTION("""COMPUTED_VALUE"""),"AJ9806")</f>
        <v>AJ9806</v>
      </c>
      <c r="B625" s="308">
        <f>IFERROR(__xludf.DUMMYFUNCTION("""COMPUTED_VALUE"""),44903.0)</f>
        <v>44903</v>
      </c>
      <c r="C625" s="309">
        <f>IFERROR(__xludf.DUMMYFUNCTION("""COMPUTED_VALUE"""),0.35150462962962964)</f>
        <v>0.3515046296</v>
      </c>
      <c r="D625" s="7" t="str">
        <f>IFERROR(__xludf.DUMMYFUNCTION("""COMPUTED_VALUE"""),"SpABRM655136")</f>
        <v>SpABRM655136</v>
      </c>
      <c r="E625" s="310"/>
      <c r="F625" s="310"/>
      <c r="G625" s="310" t="str">
        <f>IFERROR(__xludf.DUMMYFUNCTION("""COMPUTED_VALUE"""),"Negative")</f>
        <v>Negative</v>
      </c>
      <c r="H625" s="319" t="str">
        <f>IFERROR(__xludf.DUMMYFUNCTION("""COMPUTED_VALUE"""),"Negative")</f>
        <v>Negative</v>
      </c>
      <c r="I625" s="308">
        <f>IFERROR(__xludf.DUMMYFUNCTION("""COMPUTED_VALUE"""),44903.0)</f>
        <v>44903</v>
      </c>
      <c r="J625" s="311">
        <f>IFERROR(__xludf.DUMMYFUNCTION("""COMPUTED_VALUE"""),0.4284027777777778)</f>
        <v>0.4284027778</v>
      </c>
      <c r="K625" s="54"/>
      <c r="L625" s="7"/>
      <c r="M625" s="312"/>
      <c r="N625" s="172">
        <f>IFERROR(__xludf.DUMMYFUNCTION("""COMPUTED_VALUE"""),3.0)</f>
        <v>3</v>
      </c>
      <c r="O625" s="172" t="str">
        <f t="shared" si="3"/>
        <v/>
      </c>
      <c r="P625" s="313">
        <f>IFERROR(__xludf.DUMMYFUNCTION("""COMPUTED_VALUE"""),0.0)</f>
        <v>0</v>
      </c>
      <c r="Q625" s="76" t="b">
        <f>VLOOKUP($B625,'Run Reconcile'!B$2:O1399,14,FALSE)</f>
        <v>1</v>
      </c>
      <c r="R625" s="314" t="str">
        <f t="array" ref="R625">IF($Q625, INDEX('Run Reconcile'!A$2:A1399,MATCH(B625,'Run Reconcile'!B$2:B1399,0),1),IFERROR(0/0,""))</f>
        <v>RUN-ABRM_2022-12-08_RFR-101</v>
      </c>
      <c r="S625" s="315" t="str">
        <f t="shared" ref="S625:T625" si="1254">IF(COUNTIF(W$2:W1399, $A625) &gt; 0,TRUE,IFERROR(0/0,""))</f>
        <v/>
      </c>
      <c r="T625" s="315" t="str">
        <f t="shared" si="1254"/>
        <v/>
      </c>
      <c r="U625" s="114" t="str">
        <f t="array" ref="U625">IF(ISBLANK($R625), INDEX('Run Reconcile'!A$2:A1399, MATCH($B625, 'Run Reconcile'!B$2:B1399, 0)+Z625, 1), IFERROR(0/0,""))
</f>
        <v/>
      </c>
      <c r="V625" s="316" t="str">
        <f t="shared" si="5"/>
        <v>RUN-ABRM_2022-12-08_RFR-101</v>
      </c>
      <c r="Y625" s="317" t="str">
        <f t="shared" si="6"/>
        <v/>
      </c>
      <c r="Z625" s="83" t="str">
        <f t="shared" si="7"/>
        <v/>
      </c>
      <c r="AA625" s="83" t="str">
        <f t="shared" si="8"/>
        <v/>
      </c>
      <c r="AB625" s="83" t="str">
        <f t="shared" si="9"/>
        <v/>
      </c>
      <c r="AC625" s="18" t="str">
        <f t="shared" ref="AC625:AD625" si="1255">IF(_xlfn.ISFORMULA(S625),IFERROR(0/0,""),TRUE)</f>
        <v/>
      </c>
      <c r="AD625" s="18" t="str">
        <f t="shared" si="1255"/>
        <v/>
      </c>
      <c r="AE625" s="43"/>
      <c r="AF625" s="58" t="s">
        <v>98</v>
      </c>
      <c r="AG625" s="55" t="str">
        <f t="shared" si="11"/>
        <v/>
      </c>
    </row>
    <row r="626">
      <c r="A626" s="7" t="str">
        <f>IFERROR(__xludf.DUMMYFUNCTION("""COMPUTED_VALUE"""),"AH7874")</f>
        <v>AH7874</v>
      </c>
      <c r="B626" s="308">
        <f>IFERROR(__xludf.DUMMYFUNCTION("""COMPUTED_VALUE"""),44903.0)</f>
        <v>44903</v>
      </c>
      <c r="C626" s="309">
        <f>IFERROR(__xludf.DUMMYFUNCTION("""COMPUTED_VALUE"""),0.35375)</f>
        <v>0.35375</v>
      </c>
      <c r="D626" s="7" t="str">
        <f>IFERROR(__xludf.DUMMYFUNCTION("""COMPUTED_VALUE"""),"SpABRM655136")</f>
        <v>SpABRM655136</v>
      </c>
      <c r="E626" s="310"/>
      <c r="F626" s="310"/>
      <c r="G626" s="310" t="str">
        <f>IFERROR(__xludf.DUMMYFUNCTION("""COMPUTED_VALUE"""),"Negative")</f>
        <v>Negative</v>
      </c>
      <c r="H626" s="319" t="str">
        <f>IFERROR(__xludf.DUMMYFUNCTION("""COMPUTED_VALUE"""),"Negative")</f>
        <v>Negative</v>
      </c>
      <c r="I626" s="308">
        <f>IFERROR(__xludf.DUMMYFUNCTION("""COMPUTED_VALUE"""),44903.0)</f>
        <v>44903</v>
      </c>
      <c r="J626" s="311">
        <f>IFERROR(__xludf.DUMMYFUNCTION("""COMPUTED_VALUE"""),0.42841435185185184)</f>
        <v>0.4284143519</v>
      </c>
      <c r="K626" s="54"/>
      <c r="L626" s="7"/>
      <c r="M626" s="312"/>
      <c r="N626" s="172">
        <f>IFERROR(__xludf.DUMMYFUNCTION("""COMPUTED_VALUE"""),4.0)</f>
        <v>4</v>
      </c>
      <c r="O626" s="172" t="str">
        <f t="shared" si="3"/>
        <v/>
      </c>
      <c r="P626" s="313">
        <f>IFERROR(__xludf.DUMMYFUNCTION("""COMPUTED_VALUE"""),0.0)</f>
        <v>0</v>
      </c>
      <c r="Q626" s="76" t="b">
        <f>VLOOKUP($B626,'Run Reconcile'!B$2:O1399,14,FALSE)</f>
        <v>1</v>
      </c>
      <c r="R626" s="314" t="str">
        <f t="array" ref="R626">IF($Q626, INDEX('Run Reconcile'!A$2:A1399,MATCH(B626,'Run Reconcile'!B$2:B1399,0),1),IFERROR(0/0,""))</f>
        <v>RUN-ABRM_2022-12-08_RFR-101</v>
      </c>
      <c r="S626" s="315" t="str">
        <f t="shared" ref="S626:T626" si="1256">IF(COUNTIF(W$2:W1399, $A626) &gt; 0,TRUE,IFERROR(0/0,""))</f>
        <v/>
      </c>
      <c r="T626" s="315" t="str">
        <f t="shared" si="1256"/>
        <v/>
      </c>
      <c r="U626" s="114" t="str">
        <f t="array" ref="U626">IF(ISBLANK($R626), INDEX('Run Reconcile'!A$2:A1399, MATCH($B626, 'Run Reconcile'!B$2:B1399, 0)+Z626, 1), IFERROR(0/0,""))
</f>
        <v/>
      </c>
      <c r="V626" s="316" t="str">
        <f t="shared" si="5"/>
        <v>RUN-ABRM_2022-12-08_RFR-101</v>
      </c>
      <c r="Y626" s="317" t="str">
        <f t="shared" si="6"/>
        <v/>
      </c>
      <c r="Z626" s="83" t="str">
        <f t="shared" si="7"/>
        <v/>
      </c>
      <c r="AA626" s="83" t="str">
        <f t="shared" si="8"/>
        <v/>
      </c>
      <c r="AB626" s="83" t="str">
        <f t="shared" si="9"/>
        <v/>
      </c>
      <c r="AC626" s="18" t="str">
        <f t="shared" ref="AC626:AD626" si="1257">IF(_xlfn.ISFORMULA(S626),IFERROR(0/0,""),TRUE)</f>
        <v/>
      </c>
      <c r="AD626" s="18" t="str">
        <f t="shared" si="1257"/>
        <v/>
      </c>
      <c r="AE626" s="43"/>
      <c r="AF626" s="58" t="s">
        <v>98</v>
      </c>
      <c r="AG626" s="55" t="str">
        <f t="shared" si="11"/>
        <v/>
      </c>
    </row>
    <row r="627">
      <c r="A627" s="7" t="str">
        <f>IFERROR(__xludf.DUMMYFUNCTION("""COMPUTED_VALUE"""),"AH189")</f>
        <v>AH189</v>
      </c>
      <c r="B627" s="308">
        <f>IFERROR(__xludf.DUMMYFUNCTION("""COMPUTED_VALUE"""),44904.0)</f>
        <v>44904</v>
      </c>
      <c r="C627" s="309">
        <f>IFERROR(__xludf.DUMMYFUNCTION("""COMPUTED_VALUE"""),0.1540277777777778)</f>
        <v>0.1540277778</v>
      </c>
      <c r="D627" s="7" t="str">
        <f>IFERROR(__xludf.DUMMYFUNCTION("""COMPUTED_VALUE"""),"SpABRM655136")</f>
        <v>SpABRM655136</v>
      </c>
      <c r="E627" s="310"/>
      <c r="F627" s="310"/>
      <c r="G627" s="310" t="str">
        <f>IFERROR(__xludf.DUMMYFUNCTION("""COMPUTED_VALUE"""),"Negative")</f>
        <v>Negative</v>
      </c>
      <c r="H627" s="319" t="str">
        <f>IFERROR(__xludf.DUMMYFUNCTION("""COMPUTED_VALUE"""),"Negative")</f>
        <v>Negative</v>
      </c>
      <c r="I627" s="308">
        <f>IFERROR(__xludf.DUMMYFUNCTION("""COMPUTED_VALUE"""),44907.0)</f>
        <v>44907</v>
      </c>
      <c r="J627" s="311">
        <f>IFERROR(__xludf.DUMMYFUNCTION("""COMPUTED_VALUE"""),0.35466435185185186)</f>
        <v>0.3546643519</v>
      </c>
      <c r="K627" s="54"/>
      <c r="L627" s="7"/>
      <c r="M627" s="312"/>
      <c r="N627" s="172">
        <f>IFERROR(__xludf.DUMMYFUNCTION("""COMPUTED_VALUE"""),1.0)</f>
        <v>1</v>
      </c>
      <c r="O627" s="172" t="b">
        <f t="shared" si="3"/>
        <v>1</v>
      </c>
      <c r="P627" s="313">
        <f>IFERROR(__xludf.DUMMYFUNCTION("""COMPUTED_VALUE"""),3.0)</f>
        <v>3</v>
      </c>
      <c r="Q627" s="76" t="b">
        <f>VLOOKUP($B627,'Run Reconcile'!B$2:O1399,14,FALSE)</f>
        <v>1</v>
      </c>
      <c r="R627" s="314" t="str">
        <f t="array" ref="R627">IF($Q627, INDEX('Run Reconcile'!A$2:A1399,MATCH(B627,'Run Reconcile'!B$2:B1399,0),1),IFERROR(0/0,""))</f>
        <v>RUN-ABRM_2022-12-09_RFR-104</v>
      </c>
      <c r="S627" s="315" t="str">
        <f t="shared" ref="S627:T627" si="1258">IF(COUNTIF(W$2:W1399, $A627) &gt; 0,TRUE,IFERROR(0/0,""))</f>
        <v/>
      </c>
      <c r="T627" s="315" t="b">
        <f t="shared" si="1258"/>
        <v>1</v>
      </c>
      <c r="U627" s="114" t="str">
        <f t="array" ref="U627">IF(ISBLANK($R627), INDEX('Run Reconcile'!A$2:A1399, MATCH($B627, 'Run Reconcile'!B$2:B1399, 0)+Z627, 1), IFERROR(0/0,""))
</f>
        <v/>
      </c>
      <c r="V627" s="316" t="str">
        <f t="shared" si="5"/>
        <v>RUN-ABRM_2022-12-09_RFR-104</v>
      </c>
      <c r="X627" s="7" t="s">
        <v>1364</v>
      </c>
      <c r="Y627" s="317">
        <f t="shared" si="6"/>
        <v>1</v>
      </c>
      <c r="Z627" s="83">
        <f t="shared" si="7"/>
        <v>1</v>
      </c>
      <c r="AA627" s="83" t="str">
        <f t="shared" si="8"/>
        <v/>
      </c>
      <c r="AB627" s="83">
        <f t="shared" si="9"/>
        <v>1</v>
      </c>
      <c r="AC627" s="18" t="str">
        <f t="shared" ref="AC627:AD627" si="1259">IF(_xlfn.ISFORMULA(S627),IFERROR(0/0,""),TRUE)</f>
        <v/>
      </c>
      <c r="AD627" s="18" t="str">
        <f t="shared" si="1259"/>
        <v/>
      </c>
      <c r="AE627" s="43"/>
      <c r="AF627" s="58" t="s">
        <v>99</v>
      </c>
      <c r="AG627" s="55" t="str">
        <f t="shared" si="11"/>
        <v/>
      </c>
    </row>
    <row r="628">
      <c r="A628" s="7" t="str">
        <f>IFERROR(__xludf.DUMMYFUNCTION("""COMPUTED_VALUE"""),"AG465")</f>
        <v>AG465</v>
      </c>
      <c r="B628" s="308">
        <f>IFERROR(__xludf.DUMMYFUNCTION("""COMPUTED_VALUE"""),44904.0)</f>
        <v>44904</v>
      </c>
      <c r="C628" s="309">
        <f>IFERROR(__xludf.DUMMYFUNCTION("""COMPUTED_VALUE"""),0.15425925925925926)</f>
        <v>0.1542592593</v>
      </c>
      <c r="D628" s="7" t="str">
        <f>IFERROR(__xludf.DUMMYFUNCTION("""COMPUTED_VALUE"""),"SpABRM655136")</f>
        <v>SpABRM655136</v>
      </c>
      <c r="E628" s="310"/>
      <c r="F628" s="310"/>
      <c r="G628" s="310" t="str">
        <f>IFERROR(__xludf.DUMMYFUNCTION("""COMPUTED_VALUE"""),"Negative")</f>
        <v>Negative</v>
      </c>
      <c r="H628" s="319" t="str">
        <f>IFERROR(__xludf.DUMMYFUNCTION("""COMPUTED_VALUE"""),"Negative")</f>
        <v>Negative</v>
      </c>
      <c r="I628" s="308">
        <f>IFERROR(__xludf.DUMMYFUNCTION("""COMPUTED_VALUE"""),44907.0)</f>
        <v>44907</v>
      </c>
      <c r="J628" s="311">
        <f>IFERROR(__xludf.DUMMYFUNCTION("""COMPUTED_VALUE"""),0.35467592592592595)</f>
        <v>0.3546759259</v>
      </c>
      <c r="K628" s="54"/>
      <c r="L628" s="7"/>
      <c r="M628" s="312"/>
      <c r="N628" s="172">
        <f>IFERROR(__xludf.DUMMYFUNCTION("""COMPUTED_VALUE"""),1.0)</f>
        <v>1</v>
      </c>
      <c r="O628" s="172" t="str">
        <f t="shared" si="3"/>
        <v/>
      </c>
      <c r="P628" s="313">
        <f>IFERROR(__xludf.DUMMYFUNCTION("""COMPUTED_VALUE"""),3.0)</f>
        <v>3</v>
      </c>
      <c r="Q628" s="76" t="b">
        <f>VLOOKUP($B628,'Run Reconcile'!B$2:O1399,14,FALSE)</f>
        <v>1</v>
      </c>
      <c r="R628" s="314" t="str">
        <f t="array" ref="R628">IF($Q628, INDEX('Run Reconcile'!A$2:A1399,MATCH(B628,'Run Reconcile'!B$2:B1399,0),1),IFERROR(0/0,""))</f>
        <v>RUN-ABRM_2022-12-09_RFR-104</v>
      </c>
      <c r="S628" s="315" t="str">
        <f t="shared" ref="S628:T628" si="1260">IF(COUNTIF(W$2:W1399, $A628) &gt; 0,TRUE,IFERROR(0/0,""))</f>
        <v/>
      </c>
      <c r="T628" s="315" t="b">
        <f t="shared" si="1260"/>
        <v>1</v>
      </c>
      <c r="U628" s="114" t="str">
        <f t="array" ref="U628">IF(ISBLANK($R628), INDEX('Run Reconcile'!A$2:A1399, MATCH($B628, 'Run Reconcile'!B$2:B1399, 0)+Z628, 1), IFERROR(0/0,""))
</f>
        <v/>
      </c>
      <c r="V628" s="316" t="str">
        <f t="shared" si="5"/>
        <v>RUN-ABRM_2022-12-09_RFR-104</v>
      </c>
      <c r="X628" s="7" t="s">
        <v>1365</v>
      </c>
      <c r="Y628" s="317">
        <f t="shared" si="6"/>
        <v>1</v>
      </c>
      <c r="Z628" s="83">
        <f t="shared" si="7"/>
        <v>1</v>
      </c>
      <c r="AA628" s="83" t="str">
        <f t="shared" si="8"/>
        <v/>
      </c>
      <c r="AB628" s="83">
        <f t="shared" si="9"/>
        <v>1</v>
      </c>
      <c r="AC628" s="18" t="str">
        <f t="shared" ref="AC628:AD628" si="1261">IF(_xlfn.ISFORMULA(S628),IFERROR(0/0,""),TRUE)</f>
        <v/>
      </c>
      <c r="AD628" s="18" t="str">
        <f t="shared" si="1261"/>
        <v/>
      </c>
      <c r="AE628" s="43"/>
      <c r="AF628" s="58" t="s">
        <v>99</v>
      </c>
      <c r="AG628" s="55" t="str">
        <f t="shared" si="11"/>
        <v/>
      </c>
    </row>
    <row r="629">
      <c r="A629" s="7" t="str">
        <f>IFERROR(__xludf.DUMMYFUNCTION("""COMPUTED_VALUE"""),"AG628")</f>
        <v>AG628</v>
      </c>
      <c r="B629" s="308">
        <f>IFERROR(__xludf.DUMMYFUNCTION("""COMPUTED_VALUE"""),44904.0)</f>
        <v>44904</v>
      </c>
      <c r="C629" s="309">
        <f>IFERROR(__xludf.DUMMYFUNCTION("""COMPUTED_VALUE"""),0.29002314814814817)</f>
        <v>0.2900231481</v>
      </c>
      <c r="D629" s="7" t="str">
        <f>IFERROR(__xludf.DUMMYFUNCTION("""COMPUTED_VALUE"""),"SpABRM128250")</f>
        <v>SpABRM128250</v>
      </c>
      <c r="E629" s="310"/>
      <c r="F629" s="310"/>
      <c r="G629" s="310" t="str">
        <f>IFERROR(__xludf.DUMMYFUNCTION("""COMPUTED_VALUE"""),"Negative")</f>
        <v>Negative</v>
      </c>
      <c r="H629" s="319" t="str">
        <f>IFERROR(__xludf.DUMMYFUNCTION("""COMPUTED_VALUE"""),"Negative")</f>
        <v>Negative</v>
      </c>
      <c r="I629" s="308">
        <f>IFERROR(__xludf.DUMMYFUNCTION("""COMPUTED_VALUE"""),44907.0)</f>
        <v>44907</v>
      </c>
      <c r="J629" s="311">
        <f>IFERROR(__xludf.DUMMYFUNCTION("""COMPUTED_VALUE"""),0.3546875)</f>
        <v>0.3546875</v>
      </c>
      <c r="K629" s="54"/>
      <c r="L629" s="7"/>
      <c r="M629" s="312"/>
      <c r="N629" s="172">
        <f>IFERROR(__xludf.DUMMYFUNCTION("""COMPUTED_VALUE"""),3.0)</f>
        <v>3</v>
      </c>
      <c r="O629" s="172" t="str">
        <f t="shared" si="3"/>
        <v/>
      </c>
      <c r="P629" s="313">
        <f>IFERROR(__xludf.DUMMYFUNCTION("""COMPUTED_VALUE"""),3.0)</f>
        <v>3</v>
      </c>
      <c r="Q629" s="76" t="b">
        <f>VLOOKUP($B629,'Run Reconcile'!B$2:O1399,14,FALSE)</f>
        <v>1</v>
      </c>
      <c r="R629" s="314" t="str">
        <f t="array" ref="R629">IF($Q629, INDEX('Run Reconcile'!A$2:A1399,MATCH(B629,'Run Reconcile'!B$2:B1399,0),1),IFERROR(0/0,""))</f>
        <v>RUN-ABRM_2022-12-09_RFR-104</v>
      </c>
      <c r="S629" s="315" t="str">
        <f t="shared" ref="S629:T629" si="1262">IF(COUNTIF(W$2:W1399, $A629) &gt; 0,TRUE,IFERROR(0/0,""))</f>
        <v/>
      </c>
      <c r="T629" s="315" t="b">
        <f t="shared" si="1262"/>
        <v>1</v>
      </c>
      <c r="U629" s="114" t="str">
        <f t="array" ref="U629">IF(ISBLANK($R629), INDEX('Run Reconcile'!A$2:A1399, MATCH($B629, 'Run Reconcile'!B$2:B1399, 0)+Z629, 1), IFERROR(0/0,""))
</f>
        <v/>
      </c>
      <c r="V629" s="316" t="str">
        <f t="shared" si="5"/>
        <v>RUN-ABRM_2022-12-09_RFR-104</v>
      </c>
      <c r="X629" s="7" t="s">
        <v>1366</v>
      </c>
      <c r="Y629" s="317">
        <f t="shared" si="6"/>
        <v>1</v>
      </c>
      <c r="Z629" s="83">
        <f t="shared" si="7"/>
        <v>1</v>
      </c>
      <c r="AA629" s="83" t="str">
        <f t="shared" si="8"/>
        <v/>
      </c>
      <c r="AB629" s="83">
        <f t="shared" si="9"/>
        <v>1</v>
      </c>
      <c r="AC629" s="18" t="str">
        <f t="shared" ref="AC629:AD629" si="1263">IF(_xlfn.ISFORMULA(S629),IFERROR(0/0,""),TRUE)</f>
        <v/>
      </c>
      <c r="AD629" s="18" t="str">
        <f t="shared" si="1263"/>
        <v/>
      </c>
      <c r="AE629" s="43"/>
      <c r="AF629" s="58" t="s">
        <v>99</v>
      </c>
      <c r="AG629" s="55" t="str">
        <f t="shared" si="11"/>
        <v/>
      </c>
    </row>
    <row r="630">
      <c r="A630" s="7" t="str">
        <f>IFERROR(__xludf.DUMMYFUNCTION("""COMPUTED_VALUE"""),"AJ9495")</f>
        <v>AJ9495</v>
      </c>
      <c r="B630" s="308">
        <f>IFERROR(__xludf.DUMMYFUNCTION("""COMPUTED_VALUE"""),44904.0)</f>
        <v>44904</v>
      </c>
      <c r="C630" s="309">
        <f>IFERROR(__xludf.DUMMYFUNCTION("""COMPUTED_VALUE"""),0.3267476851851852)</f>
        <v>0.3267476852</v>
      </c>
      <c r="D630" s="7" t="str">
        <f>IFERROR(__xludf.DUMMYFUNCTION("""COMPUTED_VALUE"""),"SpABRM814022")</f>
        <v>SpABRM814022</v>
      </c>
      <c r="E630" s="310"/>
      <c r="F630" s="310"/>
      <c r="G630" s="310" t="str">
        <f>IFERROR(__xludf.DUMMYFUNCTION("""COMPUTED_VALUE"""),"Negative")</f>
        <v>Negative</v>
      </c>
      <c r="H630" s="319" t="str">
        <f>IFERROR(__xludf.DUMMYFUNCTION("""COMPUTED_VALUE"""),"Negative")</f>
        <v>Negative</v>
      </c>
      <c r="I630" s="308">
        <f>IFERROR(__xludf.DUMMYFUNCTION("""COMPUTED_VALUE"""),44907.0)</f>
        <v>44907</v>
      </c>
      <c r="J630" s="311">
        <f>IFERROR(__xludf.DUMMYFUNCTION("""COMPUTED_VALUE"""),0.3546990740740741)</f>
        <v>0.3546990741</v>
      </c>
      <c r="K630" s="54"/>
      <c r="L630" s="7"/>
      <c r="M630" s="312"/>
      <c r="N630" s="172">
        <f>IFERROR(__xludf.DUMMYFUNCTION("""COMPUTED_VALUE"""),1.0)</f>
        <v>1</v>
      </c>
      <c r="O630" s="172" t="str">
        <f t="shared" si="3"/>
        <v/>
      </c>
      <c r="P630" s="313">
        <f>IFERROR(__xludf.DUMMYFUNCTION("""COMPUTED_VALUE"""),3.0)</f>
        <v>3</v>
      </c>
      <c r="Q630" s="76" t="b">
        <f>VLOOKUP($B630,'Run Reconcile'!B$2:O1399,14,FALSE)</f>
        <v>1</v>
      </c>
      <c r="R630" s="314" t="str">
        <f t="array" ref="R630">IF($Q630, INDEX('Run Reconcile'!A$2:A1399,MATCH(B630,'Run Reconcile'!B$2:B1399,0),1),IFERROR(0/0,""))</f>
        <v>RUN-ABRM_2022-12-09_RFR-104</v>
      </c>
      <c r="S630" s="315" t="str">
        <f t="shared" ref="S630:T630" si="1264">IF(COUNTIF(W$2:W1399, $A630) &gt; 0,TRUE,IFERROR(0/0,""))</f>
        <v/>
      </c>
      <c r="T630" s="315" t="b">
        <f t="shared" si="1264"/>
        <v>1</v>
      </c>
      <c r="U630" s="114" t="str">
        <f t="array" ref="U630">IF(ISBLANK($R630), INDEX('Run Reconcile'!A$2:A1399, MATCH($B630, 'Run Reconcile'!B$2:B1399, 0)+Z630, 1), IFERROR(0/0,""))
</f>
        <v/>
      </c>
      <c r="V630" s="316" t="str">
        <f t="shared" si="5"/>
        <v>RUN-ABRM_2022-12-09_RFR-104</v>
      </c>
      <c r="X630" s="7" t="s">
        <v>1367</v>
      </c>
      <c r="Y630" s="317">
        <f t="shared" si="6"/>
        <v>1</v>
      </c>
      <c r="Z630" s="83">
        <f t="shared" si="7"/>
        <v>1</v>
      </c>
      <c r="AA630" s="83" t="str">
        <f t="shared" si="8"/>
        <v/>
      </c>
      <c r="AB630" s="83">
        <f t="shared" si="9"/>
        <v>1</v>
      </c>
      <c r="AC630" s="18" t="str">
        <f t="shared" ref="AC630:AD630" si="1265">IF(_xlfn.ISFORMULA(S630),IFERROR(0/0,""),TRUE)</f>
        <v/>
      </c>
      <c r="AD630" s="18" t="str">
        <f t="shared" si="1265"/>
        <v/>
      </c>
      <c r="AE630" s="43"/>
      <c r="AF630" s="58" t="s">
        <v>99</v>
      </c>
      <c r="AG630" s="55" t="str">
        <f t="shared" si="11"/>
        <v/>
      </c>
    </row>
    <row r="631">
      <c r="A631" s="7" t="str">
        <f>IFERROR(__xludf.DUMMYFUNCTION("""COMPUTED_VALUE"""),"AH6935")</f>
        <v>AH6935</v>
      </c>
      <c r="B631" s="308">
        <f>IFERROR(__xludf.DUMMYFUNCTION("""COMPUTED_VALUE"""),44904.0)</f>
        <v>44904</v>
      </c>
      <c r="C631" s="309">
        <f>IFERROR(__xludf.DUMMYFUNCTION("""COMPUTED_VALUE"""),0.3608564814814815)</f>
        <v>0.3608564815</v>
      </c>
      <c r="D631" s="7" t="str">
        <f>IFERROR(__xludf.DUMMYFUNCTION("""COMPUTED_VALUE"""),"SpABRM655136")</f>
        <v>SpABRM655136</v>
      </c>
      <c r="E631" s="310"/>
      <c r="F631" s="310"/>
      <c r="G631" s="310" t="str">
        <f>IFERROR(__xludf.DUMMYFUNCTION("""COMPUTED_VALUE"""),"Negative")</f>
        <v>Negative</v>
      </c>
      <c r="H631" s="319" t="str">
        <f>IFERROR(__xludf.DUMMYFUNCTION("""COMPUTED_VALUE"""),"Negative")</f>
        <v>Negative</v>
      </c>
      <c r="I631" s="308">
        <f>IFERROR(__xludf.DUMMYFUNCTION("""COMPUTED_VALUE"""),44907.0)</f>
        <v>44907</v>
      </c>
      <c r="J631" s="311">
        <f>IFERROR(__xludf.DUMMYFUNCTION("""COMPUTED_VALUE"""),0.3546990740740741)</f>
        <v>0.3546990741</v>
      </c>
      <c r="K631" s="54"/>
      <c r="L631" s="7"/>
      <c r="M631" s="312"/>
      <c r="N631" s="172">
        <f>IFERROR(__xludf.DUMMYFUNCTION("""COMPUTED_VALUE"""),4.0)</f>
        <v>4</v>
      </c>
      <c r="O631" s="172" t="str">
        <f t="shared" si="3"/>
        <v/>
      </c>
      <c r="P631" s="313">
        <f>IFERROR(__xludf.DUMMYFUNCTION("""COMPUTED_VALUE"""),3.0)</f>
        <v>3</v>
      </c>
      <c r="Q631" s="76" t="b">
        <f>VLOOKUP($B631,'Run Reconcile'!B$2:O1399,14,FALSE)</f>
        <v>1</v>
      </c>
      <c r="R631" s="314" t="str">
        <f t="array" ref="R631">IF($Q631, INDEX('Run Reconcile'!A$2:A1399,MATCH(B631,'Run Reconcile'!B$2:B1399,0),1),IFERROR(0/0,""))</f>
        <v>RUN-ABRM_2022-12-09_RFR-104</v>
      </c>
      <c r="S631" s="315" t="str">
        <f t="shared" ref="S631:T631" si="1266">IF(COUNTIF(W$2:W1399, $A631) &gt; 0,TRUE,IFERROR(0/0,""))</f>
        <v/>
      </c>
      <c r="T631" s="315" t="b">
        <f t="shared" si="1266"/>
        <v>1</v>
      </c>
      <c r="U631" s="114" t="str">
        <f t="array" ref="U631">IF(ISBLANK($R631), INDEX('Run Reconcile'!A$2:A1399, MATCH($B631, 'Run Reconcile'!B$2:B1399, 0)+Z631, 1), IFERROR(0/0,""))
</f>
        <v/>
      </c>
      <c r="V631" s="316" t="str">
        <f t="shared" si="5"/>
        <v>RUN-ABRM_2022-12-09_RFR-104</v>
      </c>
      <c r="X631" s="7" t="s">
        <v>1368</v>
      </c>
      <c r="Y631" s="317">
        <f t="shared" si="6"/>
        <v>1</v>
      </c>
      <c r="Z631" s="83">
        <f t="shared" si="7"/>
        <v>1</v>
      </c>
      <c r="AA631" s="83" t="str">
        <f t="shared" si="8"/>
        <v/>
      </c>
      <c r="AB631" s="83">
        <f t="shared" si="9"/>
        <v>1</v>
      </c>
      <c r="AC631" s="18" t="str">
        <f t="shared" ref="AC631:AD631" si="1267">IF(_xlfn.ISFORMULA(S631),IFERROR(0/0,""),TRUE)</f>
        <v/>
      </c>
      <c r="AD631" s="18" t="str">
        <f t="shared" si="1267"/>
        <v/>
      </c>
      <c r="AE631" s="43"/>
      <c r="AF631" s="58" t="s">
        <v>99</v>
      </c>
      <c r="AG631" s="55" t="str">
        <f t="shared" si="11"/>
        <v/>
      </c>
    </row>
    <row r="632">
      <c r="A632" s="7" t="str">
        <f>IFERROR(__xludf.DUMMYFUNCTION("""COMPUTED_VALUE"""),"AH326")</f>
        <v>AH326</v>
      </c>
      <c r="B632" s="308">
        <f>IFERROR(__xludf.DUMMYFUNCTION("""COMPUTED_VALUE"""),44907.0)</f>
        <v>44907</v>
      </c>
      <c r="C632" s="309">
        <f>IFERROR(__xludf.DUMMYFUNCTION("""COMPUTED_VALUE"""),0.3236111111111111)</f>
        <v>0.3236111111</v>
      </c>
      <c r="D632" s="7" t="str">
        <f>IFERROR(__xludf.DUMMYFUNCTION("""COMPUTED_VALUE"""),"SpABRM814022")</f>
        <v>SpABRM814022</v>
      </c>
      <c r="E632" s="310"/>
      <c r="F632" s="310"/>
      <c r="G632" s="310" t="str">
        <f>IFERROR(__xludf.DUMMYFUNCTION("""COMPUTED_VALUE"""),"Negative")</f>
        <v>Negative</v>
      </c>
      <c r="H632" s="319" t="str">
        <f>IFERROR(__xludf.DUMMYFUNCTION("""COMPUTED_VALUE"""),"Negative")</f>
        <v>Negative</v>
      </c>
      <c r="I632" s="308">
        <f>IFERROR(__xludf.DUMMYFUNCTION("""COMPUTED_VALUE"""),44907.0)</f>
        <v>44907</v>
      </c>
      <c r="J632" s="311">
        <f>IFERROR(__xludf.DUMMYFUNCTION("""COMPUTED_VALUE"""),0.3995138888888889)</f>
        <v>0.3995138889</v>
      </c>
      <c r="K632" s="54"/>
      <c r="L632" s="7"/>
      <c r="M632" s="312"/>
      <c r="N632" s="172">
        <f>IFERROR(__xludf.DUMMYFUNCTION("""COMPUTED_VALUE"""),1.0)</f>
        <v>1</v>
      </c>
      <c r="O632" s="172" t="b">
        <f t="shared" si="3"/>
        <v>1</v>
      </c>
      <c r="P632" s="313">
        <f>IFERROR(__xludf.DUMMYFUNCTION("""COMPUTED_VALUE"""),0.0)</f>
        <v>0</v>
      </c>
      <c r="Q632" s="76" t="str">
        <f>VLOOKUP($B632,'Run Reconcile'!B$2:O1399,14,FALSE)</f>
        <v/>
      </c>
      <c r="R632" s="314" t="str">
        <f t="array" ref="R632">IF($Q632, INDEX('Run Reconcile'!A$2:A1399,MATCH(B632,'Run Reconcile'!B$2:B1399,0),1),IFERROR(0/0,""))</f>
        <v/>
      </c>
      <c r="S632" s="315" t="str">
        <f t="shared" ref="S632:T632" si="1268">IF(COUNTIF(W$2:W1399, $A632) &gt; 0,TRUE,IFERROR(0/0,""))</f>
        <v/>
      </c>
      <c r="T632" s="315" t="str">
        <f t="shared" si="1268"/>
        <v/>
      </c>
      <c r="U632" s="114" t="str">
        <f t="array" ref="U632">IF(ISBLANK($R632), INDEX('Run Reconcile'!A$2:A1399, MATCH($B632, 'Run Reconcile'!B$2:B1399, 0)+Z632, 1), IFERROR(0/0,""))
</f>
        <v>RUN-ABRM_2022-12-12_RFR-105</v>
      </c>
      <c r="V632" s="316" t="str">
        <f t="shared" si="5"/>
        <v>RUN-ABRM_2022-12-12_RFR-105</v>
      </c>
      <c r="Y632" s="317" t="str">
        <f t="shared" si="6"/>
        <v/>
      </c>
      <c r="Z632" s="83" t="str">
        <f t="shared" si="7"/>
        <v/>
      </c>
      <c r="AA632" s="83" t="str">
        <f t="shared" si="8"/>
        <v/>
      </c>
      <c r="AB632" s="83" t="str">
        <f t="shared" si="9"/>
        <v/>
      </c>
      <c r="AC632" s="18" t="str">
        <f t="shared" ref="AC632:AD632" si="1269">IF(_xlfn.ISFORMULA(S632),IFERROR(0/0,""),TRUE)</f>
        <v/>
      </c>
      <c r="AD632" s="18" t="str">
        <f t="shared" si="1269"/>
        <v/>
      </c>
      <c r="AE632" s="43"/>
      <c r="AF632" s="58" t="s">
        <v>100</v>
      </c>
      <c r="AG632" s="55" t="str">
        <f t="shared" si="11"/>
        <v/>
      </c>
    </row>
    <row r="633">
      <c r="A633" s="7" t="str">
        <f>IFERROR(__xludf.DUMMYFUNCTION("""COMPUTED_VALUE"""),"AH9107")</f>
        <v>AH9107</v>
      </c>
      <c r="B633" s="308">
        <f>IFERROR(__xludf.DUMMYFUNCTION("""COMPUTED_VALUE"""),44907.0)</f>
        <v>44907</v>
      </c>
      <c r="C633" s="309">
        <f>IFERROR(__xludf.DUMMYFUNCTION("""COMPUTED_VALUE"""),0.3441782407407407)</f>
        <v>0.3441782407</v>
      </c>
      <c r="D633" s="7" t="str">
        <f>IFERROR(__xludf.DUMMYFUNCTION("""COMPUTED_VALUE"""),"SpABRM655136")</f>
        <v>SpABRM655136</v>
      </c>
      <c r="E633" s="310"/>
      <c r="F633" s="310"/>
      <c r="G633" s="310" t="str">
        <f>IFERROR(__xludf.DUMMYFUNCTION("""COMPUTED_VALUE"""),"Negative")</f>
        <v>Negative</v>
      </c>
      <c r="H633" s="319" t="str">
        <f>IFERROR(__xludf.DUMMYFUNCTION("""COMPUTED_VALUE"""),"Negative")</f>
        <v>Negative</v>
      </c>
      <c r="I633" s="308">
        <f>IFERROR(__xludf.DUMMYFUNCTION("""COMPUTED_VALUE"""),44907.0)</f>
        <v>44907</v>
      </c>
      <c r="J633" s="311">
        <f>IFERROR(__xludf.DUMMYFUNCTION("""COMPUTED_VALUE"""),0.4614814814814815)</f>
        <v>0.4614814815</v>
      </c>
      <c r="K633" s="54"/>
      <c r="L633" s="7"/>
      <c r="M633" s="312"/>
      <c r="N633" s="172">
        <f>IFERROR(__xludf.DUMMYFUNCTION("""COMPUTED_VALUE"""),1.0)</f>
        <v>1</v>
      </c>
      <c r="O633" s="172" t="str">
        <f t="shared" si="3"/>
        <v/>
      </c>
      <c r="P633" s="313">
        <f>IFERROR(__xludf.DUMMYFUNCTION("""COMPUTED_VALUE"""),0.0)</f>
        <v>0</v>
      </c>
      <c r="Q633" s="76" t="str">
        <f>VLOOKUP($B633,'Run Reconcile'!B$2:O1399,14,FALSE)</f>
        <v/>
      </c>
      <c r="R633" s="314" t="str">
        <f t="array" ref="R633">IF($Q633, INDEX('Run Reconcile'!A$2:A1399,MATCH(B633,'Run Reconcile'!B$2:B1399,0),1),IFERROR(0/0,""))</f>
        <v/>
      </c>
      <c r="S633" s="315" t="str">
        <f t="shared" ref="S633:T633" si="1270">IF(COUNTIF(W$2:W1399, $A633) &gt; 0,TRUE,IFERROR(0/0,""))</f>
        <v/>
      </c>
      <c r="T633" s="315" t="str">
        <f t="shared" si="1270"/>
        <v/>
      </c>
      <c r="U633" s="114" t="str">
        <f t="array" ref="U633">IF(ISBLANK($R633), INDEX('Run Reconcile'!A$2:A1399, MATCH($B633, 'Run Reconcile'!B$2:B1399, 0)+Z633, 1), IFERROR(0/0,""))
</f>
        <v>RUN-ABRM_2022-12-12_RFR-105</v>
      </c>
      <c r="V633" s="316" t="str">
        <f t="shared" si="5"/>
        <v>RUN-ABRM_2022-12-12_RFR-105</v>
      </c>
      <c r="Y633" s="317" t="str">
        <f t="shared" si="6"/>
        <v/>
      </c>
      <c r="Z633" s="83" t="str">
        <f t="shared" si="7"/>
        <v/>
      </c>
      <c r="AA633" s="83" t="str">
        <f t="shared" si="8"/>
        <v/>
      </c>
      <c r="AB633" s="83" t="str">
        <f t="shared" si="9"/>
        <v/>
      </c>
      <c r="AC633" s="18" t="str">
        <f t="shared" ref="AC633:AD633" si="1271">IF(_xlfn.ISFORMULA(S633),IFERROR(0/0,""),TRUE)</f>
        <v/>
      </c>
      <c r="AD633" s="18" t="str">
        <f t="shared" si="1271"/>
        <v/>
      </c>
      <c r="AE633" s="43"/>
      <c r="AF633" s="58" t="s">
        <v>100</v>
      </c>
      <c r="AG633" s="55" t="str">
        <f t="shared" si="11"/>
        <v/>
      </c>
    </row>
    <row r="634">
      <c r="A634" s="7" t="str">
        <f>IFERROR(__xludf.DUMMYFUNCTION("""COMPUTED_VALUE"""),"AJ9700")</f>
        <v>AJ9700</v>
      </c>
      <c r="B634" s="308">
        <f>IFERROR(__xludf.DUMMYFUNCTION("""COMPUTED_VALUE"""),44907.0)</f>
        <v>44907</v>
      </c>
      <c r="C634" s="309">
        <f>IFERROR(__xludf.DUMMYFUNCTION("""COMPUTED_VALUE"""),0.3444675925925926)</f>
        <v>0.3444675926</v>
      </c>
      <c r="D634" s="7" t="str">
        <f>IFERROR(__xludf.DUMMYFUNCTION("""COMPUTED_VALUE"""),"SpABRM655136")</f>
        <v>SpABRM655136</v>
      </c>
      <c r="E634" s="310"/>
      <c r="F634" s="310"/>
      <c r="G634" s="310" t="str">
        <f>IFERROR(__xludf.DUMMYFUNCTION("""COMPUTED_VALUE"""),"Negative")</f>
        <v>Negative</v>
      </c>
      <c r="H634" s="319" t="str">
        <f>IFERROR(__xludf.DUMMYFUNCTION("""COMPUTED_VALUE"""),"Negative")</f>
        <v>Negative</v>
      </c>
      <c r="I634" s="308">
        <f>IFERROR(__xludf.DUMMYFUNCTION("""COMPUTED_VALUE"""),44907.0)</f>
        <v>44907</v>
      </c>
      <c r="J634" s="311">
        <f>IFERROR(__xludf.DUMMYFUNCTION("""COMPUTED_VALUE"""),0.46149305555555553)</f>
        <v>0.4614930556</v>
      </c>
      <c r="K634" s="54"/>
      <c r="L634" s="7"/>
      <c r="M634" s="312"/>
      <c r="N634" s="172">
        <f>IFERROR(__xludf.DUMMYFUNCTION("""COMPUTED_VALUE"""),1.0)</f>
        <v>1</v>
      </c>
      <c r="O634" s="172" t="str">
        <f t="shared" si="3"/>
        <v/>
      </c>
      <c r="P634" s="313">
        <f>IFERROR(__xludf.DUMMYFUNCTION("""COMPUTED_VALUE"""),0.0)</f>
        <v>0</v>
      </c>
      <c r="Q634" s="76" t="str">
        <f>VLOOKUP($B634,'Run Reconcile'!B$2:O1399,14,FALSE)</f>
        <v/>
      </c>
      <c r="R634" s="314" t="str">
        <f t="array" ref="R634">IF($Q634, INDEX('Run Reconcile'!A$2:A1399,MATCH(B634,'Run Reconcile'!B$2:B1399,0),1),IFERROR(0/0,""))</f>
        <v/>
      </c>
      <c r="S634" s="315" t="str">
        <f t="shared" ref="S634:T634" si="1272">IF(COUNTIF(W$2:W1399, $A634) &gt; 0,TRUE,IFERROR(0/0,""))</f>
        <v/>
      </c>
      <c r="T634" s="315" t="str">
        <f t="shared" si="1272"/>
        <v/>
      </c>
      <c r="U634" s="114" t="str">
        <f t="array" ref="U634">IF(ISBLANK($R634), INDEX('Run Reconcile'!A$2:A1399, MATCH($B634, 'Run Reconcile'!B$2:B1399, 0)+Z634, 1), IFERROR(0/0,""))
</f>
        <v>RUN-ABRM_2022-12-12_RFR-105</v>
      </c>
      <c r="V634" s="316" t="str">
        <f t="shared" si="5"/>
        <v>RUN-ABRM_2022-12-12_RFR-105</v>
      </c>
      <c r="Y634" s="317" t="str">
        <f t="shared" si="6"/>
        <v/>
      </c>
      <c r="Z634" s="83" t="str">
        <f t="shared" si="7"/>
        <v/>
      </c>
      <c r="AA634" s="83" t="str">
        <f t="shared" si="8"/>
        <v/>
      </c>
      <c r="AB634" s="83" t="str">
        <f t="shared" si="9"/>
        <v/>
      </c>
      <c r="AC634" s="18" t="str">
        <f t="shared" ref="AC634:AD634" si="1273">IF(_xlfn.ISFORMULA(S634),IFERROR(0/0,""),TRUE)</f>
        <v/>
      </c>
      <c r="AD634" s="18" t="str">
        <f t="shared" si="1273"/>
        <v/>
      </c>
      <c r="AE634" s="43"/>
      <c r="AF634" s="58" t="s">
        <v>100</v>
      </c>
      <c r="AG634" s="55" t="str">
        <f t="shared" si="11"/>
        <v/>
      </c>
    </row>
    <row r="635">
      <c r="A635" s="7" t="str">
        <f>IFERROR(__xludf.DUMMYFUNCTION("""COMPUTED_VALUE"""),"AJ8746")</f>
        <v>AJ8746</v>
      </c>
      <c r="B635" s="308">
        <f>IFERROR(__xludf.DUMMYFUNCTION("""COMPUTED_VALUE"""),44907.0)</f>
        <v>44907</v>
      </c>
      <c r="C635" s="309">
        <f>IFERROR(__xludf.DUMMYFUNCTION("""COMPUTED_VALUE"""),0.46197916666666666)</f>
        <v>0.4619791667</v>
      </c>
      <c r="D635" s="7" t="str">
        <f>IFERROR(__xludf.DUMMYFUNCTION("""COMPUTED_VALUE"""),"SpABRM655136")</f>
        <v>SpABRM655136</v>
      </c>
      <c r="E635" s="310"/>
      <c r="F635" s="310"/>
      <c r="G635" s="310" t="str">
        <f>IFERROR(__xludf.DUMMYFUNCTION("""COMPUTED_VALUE"""),"Negative")</f>
        <v>Negative</v>
      </c>
      <c r="H635" s="319" t="str">
        <f>IFERROR(__xludf.DUMMYFUNCTION("""COMPUTED_VALUE"""),"Negative")</f>
        <v>Negative</v>
      </c>
      <c r="I635" s="308">
        <f>IFERROR(__xludf.DUMMYFUNCTION("""COMPUTED_VALUE"""),44907.0)</f>
        <v>44907</v>
      </c>
      <c r="J635" s="311">
        <f>IFERROR(__xludf.DUMMYFUNCTION("""COMPUTED_VALUE"""),0.5004861111111111)</f>
        <v>0.5004861111</v>
      </c>
      <c r="K635" s="54"/>
      <c r="L635" s="7"/>
      <c r="M635" s="312"/>
      <c r="N635" s="172">
        <f>IFERROR(__xludf.DUMMYFUNCTION("""COMPUTED_VALUE"""),1.0)</f>
        <v>1</v>
      </c>
      <c r="O635" s="172" t="str">
        <f t="shared" si="3"/>
        <v/>
      </c>
      <c r="P635" s="313">
        <f>IFERROR(__xludf.DUMMYFUNCTION("""COMPUTED_VALUE"""),0.0)</f>
        <v>0</v>
      </c>
      <c r="Q635" s="76" t="str">
        <f>VLOOKUP($B635,'Run Reconcile'!B$2:O1399,14,FALSE)</f>
        <v/>
      </c>
      <c r="R635" s="314" t="str">
        <f t="array" ref="R635">IF($Q635, INDEX('Run Reconcile'!A$2:A1399,MATCH(B635,'Run Reconcile'!B$2:B1399,0),1),IFERROR(0/0,""))</f>
        <v/>
      </c>
      <c r="S635" s="315" t="str">
        <f t="shared" ref="S635:T635" si="1274">IF(COUNTIF(W$2:W1399, $A635) &gt; 0,TRUE,IFERROR(0/0,""))</f>
        <v/>
      </c>
      <c r="T635" s="315" t="b">
        <f t="shared" si="1274"/>
        <v>1</v>
      </c>
      <c r="U635" s="114" t="str">
        <f t="array" ref="U635">IF(ISBLANK($R635), INDEX('Run Reconcile'!A$2:A1399, MATCH($B635, 'Run Reconcile'!B$2:B1399, 0)+Z635, 1), IFERROR(0/0,""))
</f>
        <v>RUN-ABRM_2022-12-12_RFR-107</v>
      </c>
      <c r="V635" s="110" t="s">
        <v>101</v>
      </c>
      <c r="X635" s="7" t="s">
        <v>1369</v>
      </c>
      <c r="Y635" s="317">
        <f t="shared" si="6"/>
        <v>1</v>
      </c>
      <c r="Z635" s="83">
        <f t="shared" si="7"/>
        <v>1</v>
      </c>
      <c r="AA635" s="83" t="str">
        <f t="shared" si="8"/>
        <v/>
      </c>
      <c r="AB635" s="83">
        <f t="shared" si="9"/>
        <v>1</v>
      </c>
      <c r="AC635" s="18" t="str">
        <f t="shared" ref="AC635:AD635" si="1275">IF(_xlfn.ISFORMULA(S635),IFERROR(0/0,""),TRUE)</f>
        <v/>
      </c>
      <c r="AD635" s="18" t="str">
        <f t="shared" si="1275"/>
        <v/>
      </c>
      <c r="AE635" s="43"/>
      <c r="AF635" s="176" t="s">
        <v>101</v>
      </c>
      <c r="AG635" s="55" t="str">
        <f t="shared" si="11"/>
        <v/>
      </c>
    </row>
    <row r="636">
      <c r="A636" s="7" t="str">
        <f>IFERROR(__xludf.DUMMYFUNCTION("""COMPUTED_VALUE"""),"AH7660")</f>
        <v>AH7660</v>
      </c>
      <c r="B636" s="308">
        <f>IFERROR(__xludf.DUMMYFUNCTION("""COMPUTED_VALUE"""),44907.0)</f>
        <v>44907</v>
      </c>
      <c r="C636" s="309">
        <f>IFERROR(__xludf.DUMMYFUNCTION("""COMPUTED_VALUE"""),0.4622222222222222)</f>
        <v>0.4622222222</v>
      </c>
      <c r="D636" s="7" t="str">
        <f>IFERROR(__xludf.DUMMYFUNCTION("""COMPUTED_VALUE"""),"SpABRM655136")</f>
        <v>SpABRM655136</v>
      </c>
      <c r="E636" s="310"/>
      <c r="F636" s="310"/>
      <c r="G636" s="310" t="str">
        <f>IFERROR(__xludf.DUMMYFUNCTION("""COMPUTED_VALUE"""),"Negative")</f>
        <v>Negative</v>
      </c>
      <c r="H636" s="319" t="str">
        <f>IFERROR(__xludf.DUMMYFUNCTION("""COMPUTED_VALUE"""),"Negative")</f>
        <v>Negative</v>
      </c>
      <c r="I636" s="308">
        <f>IFERROR(__xludf.DUMMYFUNCTION("""COMPUTED_VALUE"""),44907.0)</f>
        <v>44907</v>
      </c>
      <c r="J636" s="311">
        <f>IFERROR(__xludf.DUMMYFUNCTION("""COMPUTED_VALUE"""),0.5004861111111111)</f>
        <v>0.5004861111</v>
      </c>
      <c r="K636" s="54"/>
      <c r="L636" s="7"/>
      <c r="M636" s="312"/>
      <c r="N636" s="172">
        <f>IFERROR(__xludf.DUMMYFUNCTION("""COMPUTED_VALUE"""),1.0)</f>
        <v>1</v>
      </c>
      <c r="O636" s="172" t="str">
        <f t="shared" si="3"/>
        <v/>
      </c>
      <c r="P636" s="313">
        <f>IFERROR(__xludf.DUMMYFUNCTION("""COMPUTED_VALUE"""),0.0)</f>
        <v>0</v>
      </c>
      <c r="Q636" s="76" t="str">
        <f>VLOOKUP($B636,'Run Reconcile'!B$2:O1399,14,FALSE)</f>
        <v/>
      </c>
      <c r="R636" s="314" t="str">
        <f t="array" ref="R636">IF($Q636, INDEX('Run Reconcile'!A$2:A1399,MATCH(B636,'Run Reconcile'!B$2:B1399,0),1),IFERROR(0/0,""))</f>
        <v/>
      </c>
      <c r="S636" s="315" t="str">
        <f t="shared" ref="S636:T636" si="1276">IF(COUNTIF(W$2:W1399, $A636) &gt; 0,TRUE,IFERROR(0/0,""))</f>
        <v/>
      </c>
      <c r="T636" s="315" t="b">
        <f t="shared" si="1276"/>
        <v>1</v>
      </c>
      <c r="U636" s="114" t="str">
        <f t="array" ref="U636">IF(ISBLANK($R636), INDEX('Run Reconcile'!A$2:A1399, MATCH($B636, 'Run Reconcile'!B$2:B1399, 0)+Z636, 1), IFERROR(0/0,""))
</f>
        <v>RUN-ABRM_2022-12-12_RFR-107</v>
      </c>
      <c r="V636" s="110" t="s">
        <v>101</v>
      </c>
      <c r="X636" s="7" t="s">
        <v>1370</v>
      </c>
      <c r="Y636" s="317">
        <f t="shared" si="6"/>
        <v>1</v>
      </c>
      <c r="Z636" s="83">
        <f t="shared" si="7"/>
        <v>1</v>
      </c>
      <c r="AA636" s="83" t="str">
        <f t="shared" si="8"/>
        <v/>
      </c>
      <c r="AB636" s="83">
        <f t="shared" si="9"/>
        <v>1</v>
      </c>
      <c r="AC636" s="18" t="str">
        <f t="shared" ref="AC636:AD636" si="1277">IF(_xlfn.ISFORMULA(S636),IFERROR(0/0,""),TRUE)</f>
        <v/>
      </c>
      <c r="AD636" s="18" t="str">
        <f t="shared" si="1277"/>
        <v/>
      </c>
      <c r="AE636" s="43"/>
      <c r="AF636" s="176" t="s">
        <v>101</v>
      </c>
      <c r="AG636" s="55" t="str">
        <f t="shared" si="11"/>
        <v/>
      </c>
    </row>
    <row r="637">
      <c r="A637" s="7" t="str">
        <f>IFERROR(__xludf.DUMMYFUNCTION("""COMPUTED_VALUE"""),"AH7389")</f>
        <v>AH7389</v>
      </c>
      <c r="B637" s="308">
        <f>IFERROR(__xludf.DUMMYFUNCTION("""COMPUTED_VALUE"""),44908.0)</f>
        <v>44908</v>
      </c>
      <c r="C637" s="309">
        <f>IFERROR(__xludf.DUMMYFUNCTION("""COMPUTED_VALUE"""),0.3500810185185185)</f>
        <v>0.3500810185</v>
      </c>
      <c r="D637" s="7" t="str">
        <f>IFERROR(__xludf.DUMMYFUNCTION("""COMPUTED_VALUE"""),"SpABRM454310")</f>
        <v>SpABRM454310</v>
      </c>
      <c r="E637" s="310"/>
      <c r="F637" s="310"/>
      <c r="G637" s="310" t="str">
        <f>IFERROR(__xludf.DUMMYFUNCTION("""COMPUTED_VALUE"""),"Negative")</f>
        <v>Negative</v>
      </c>
      <c r="H637" s="319" t="str">
        <f>IFERROR(__xludf.DUMMYFUNCTION("""COMPUTED_VALUE"""),"Negative")</f>
        <v>Negative</v>
      </c>
      <c r="I637" s="308">
        <f>IFERROR(__xludf.DUMMYFUNCTION("""COMPUTED_VALUE"""),44908.0)</f>
        <v>44908</v>
      </c>
      <c r="J637" s="311">
        <f>IFERROR(__xludf.DUMMYFUNCTION("""COMPUTED_VALUE"""),0.5698842592592592)</f>
        <v>0.5698842593</v>
      </c>
      <c r="K637" s="54"/>
      <c r="L637" s="7"/>
      <c r="M637" s="312"/>
      <c r="N637" s="172">
        <f>IFERROR(__xludf.DUMMYFUNCTION("""COMPUTED_VALUE"""),2.0)</f>
        <v>2</v>
      </c>
      <c r="O637" s="172" t="b">
        <f t="shared" si="3"/>
        <v>1</v>
      </c>
      <c r="P637" s="313">
        <f>IFERROR(__xludf.DUMMYFUNCTION("""COMPUTED_VALUE"""),0.0)</f>
        <v>0</v>
      </c>
      <c r="Q637" s="76" t="b">
        <f>VLOOKUP($B637,'Run Reconcile'!B$2:O1399,14,FALSE)</f>
        <v>1</v>
      </c>
      <c r="R637" s="314" t="str">
        <f t="array" ref="R637">IF($Q637, INDEX('Run Reconcile'!A$2:A1399,MATCH(B637,'Run Reconcile'!B$2:B1399,0),1),IFERROR(0/0,""))</f>
        <v>RUN-ABRM_2022-12-13_RFR-108</v>
      </c>
      <c r="S637" s="315" t="str">
        <f t="shared" ref="S637:T637" si="1278">IF(COUNTIF(W$2:W1399, $A637) &gt; 0,TRUE,IFERROR(0/0,""))</f>
        <v/>
      </c>
      <c r="T637" s="315" t="str">
        <f t="shared" si="1278"/>
        <v/>
      </c>
      <c r="U637" s="114" t="str">
        <f t="array" ref="U637">IF(ISBLANK($R637), INDEX('Run Reconcile'!A$2:A1399, MATCH($B637, 'Run Reconcile'!B$2:B1399, 0)+Z637, 1), IFERROR(0/0,""))
</f>
        <v/>
      </c>
      <c r="V637" s="316" t="str">
        <f t="shared" ref="V637:V1358" si="1281">CONCATENATE($R637,$U637)</f>
        <v>RUN-ABRM_2022-12-13_RFR-108</v>
      </c>
      <c r="Y637" s="317" t="str">
        <f t="shared" si="6"/>
        <v/>
      </c>
      <c r="Z637" s="83" t="str">
        <f t="shared" si="7"/>
        <v/>
      </c>
      <c r="AA637" s="83" t="str">
        <f t="shared" si="8"/>
        <v/>
      </c>
      <c r="AB637" s="83" t="str">
        <f t="shared" si="9"/>
        <v/>
      </c>
      <c r="AC637" s="18" t="str">
        <f t="shared" ref="AC637:AD637" si="1279">IF(_xlfn.ISFORMULA(S637),IFERROR(0/0,""),TRUE)</f>
        <v/>
      </c>
      <c r="AD637" s="18" t="str">
        <f t="shared" si="1279"/>
        <v/>
      </c>
      <c r="AE637" s="43"/>
      <c r="AF637" s="58" t="s">
        <v>102</v>
      </c>
      <c r="AG637" s="55" t="str">
        <f t="shared" si="11"/>
        <v/>
      </c>
    </row>
    <row r="638">
      <c r="A638" s="7" t="str">
        <f>IFERROR(__xludf.DUMMYFUNCTION("""COMPUTED_VALUE"""),"AJ5650")</f>
        <v>AJ5650</v>
      </c>
      <c r="B638" s="308">
        <f>IFERROR(__xludf.DUMMYFUNCTION("""COMPUTED_VALUE"""),44908.0)</f>
        <v>44908</v>
      </c>
      <c r="C638" s="309">
        <f>IFERROR(__xludf.DUMMYFUNCTION("""COMPUTED_VALUE"""),0.35180555555555554)</f>
        <v>0.3518055556</v>
      </c>
      <c r="D638" s="7" t="str">
        <f>IFERROR(__xludf.DUMMYFUNCTION("""COMPUTED_VALUE"""),"SpABRM297307")</f>
        <v>SpABRM297307</v>
      </c>
      <c r="E638" s="310"/>
      <c r="F638" s="310"/>
      <c r="G638" s="310" t="str">
        <f>IFERROR(__xludf.DUMMYFUNCTION("""COMPUTED_VALUE"""),"Negative")</f>
        <v>Negative</v>
      </c>
      <c r="H638" s="319" t="str">
        <f>IFERROR(__xludf.DUMMYFUNCTION("""COMPUTED_VALUE"""),"Negative")</f>
        <v>Negative</v>
      </c>
      <c r="I638" s="308">
        <f>IFERROR(__xludf.DUMMYFUNCTION("""COMPUTED_VALUE"""),44908.0)</f>
        <v>44908</v>
      </c>
      <c r="J638" s="311">
        <f>IFERROR(__xludf.DUMMYFUNCTION("""COMPUTED_VALUE"""),0.5698958333333334)</f>
        <v>0.5698958333</v>
      </c>
      <c r="K638" s="54"/>
      <c r="L638" s="7"/>
      <c r="M638" s="312"/>
      <c r="N638" s="172">
        <f>IFERROR(__xludf.DUMMYFUNCTION("""COMPUTED_VALUE"""),4.0)</f>
        <v>4</v>
      </c>
      <c r="O638" s="172" t="str">
        <f t="shared" si="3"/>
        <v/>
      </c>
      <c r="P638" s="313">
        <f>IFERROR(__xludf.DUMMYFUNCTION("""COMPUTED_VALUE"""),0.0)</f>
        <v>0</v>
      </c>
      <c r="Q638" s="76" t="b">
        <f>VLOOKUP($B638,'Run Reconcile'!B$2:O1399,14,FALSE)</f>
        <v>1</v>
      </c>
      <c r="R638" s="314" t="str">
        <f t="array" ref="R638">IF($Q638, INDEX('Run Reconcile'!A$2:A1399,MATCH(B638,'Run Reconcile'!B$2:B1399,0),1),IFERROR(0/0,""))</f>
        <v>RUN-ABRM_2022-12-13_RFR-108</v>
      </c>
      <c r="S638" s="315" t="str">
        <f t="shared" ref="S638:T638" si="1280">IF(COUNTIF(W$2:W1399, $A638) &gt; 0,TRUE,IFERROR(0/0,""))</f>
        <v/>
      </c>
      <c r="T638" s="315" t="str">
        <f t="shared" si="1280"/>
        <v/>
      </c>
      <c r="U638" s="114" t="str">
        <f t="array" ref="U638">IF(ISBLANK($R638), INDEX('Run Reconcile'!A$2:A1399, MATCH($B638, 'Run Reconcile'!B$2:B1399, 0)+Z638, 1), IFERROR(0/0,""))
</f>
        <v/>
      </c>
      <c r="V638" s="316" t="str">
        <f t="shared" si="1281"/>
        <v>RUN-ABRM_2022-12-13_RFR-108</v>
      </c>
      <c r="Y638" s="317" t="str">
        <f t="shared" si="6"/>
        <v/>
      </c>
      <c r="Z638" s="83" t="str">
        <f t="shared" si="7"/>
        <v/>
      </c>
      <c r="AA638" s="83" t="str">
        <f t="shared" si="8"/>
        <v/>
      </c>
      <c r="AB638" s="83" t="str">
        <f t="shared" si="9"/>
        <v/>
      </c>
      <c r="AC638" s="18" t="str">
        <f t="shared" ref="AC638:AD638" si="1282">IF(_xlfn.ISFORMULA(S638),IFERROR(0/0,""),TRUE)</f>
        <v/>
      </c>
      <c r="AD638" s="18" t="str">
        <f t="shared" si="1282"/>
        <v/>
      </c>
      <c r="AE638" s="43"/>
      <c r="AF638" s="58" t="s">
        <v>102</v>
      </c>
      <c r="AG638" s="55" t="str">
        <f t="shared" si="11"/>
        <v/>
      </c>
    </row>
    <row r="639">
      <c r="A639" s="7" t="str">
        <f>IFERROR(__xludf.DUMMYFUNCTION("""COMPUTED_VALUE"""),"AJ9513")</f>
        <v>AJ9513</v>
      </c>
      <c r="B639" s="308">
        <f>IFERROR(__xludf.DUMMYFUNCTION("""COMPUTED_VALUE"""),44908.0)</f>
        <v>44908</v>
      </c>
      <c r="C639" s="309">
        <f>IFERROR(__xludf.DUMMYFUNCTION("""COMPUTED_VALUE"""),0.4262152777777778)</f>
        <v>0.4262152778</v>
      </c>
      <c r="D639" s="7" t="str">
        <f>IFERROR(__xludf.DUMMYFUNCTION("""COMPUTED_VALUE"""),"SpABRM297307")</f>
        <v>SpABRM297307</v>
      </c>
      <c r="E639" s="310"/>
      <c r="F639" s="310"/>
      <c r="G639" s="310" t="str">
        <f>IFERROR(__xludf.DUMMYFUNCTION("""COMPUTED_VALUE"""),"Negative")</f>
        <v>Negative</v>
      </c>
      <c r="H639" s="319" t="str">
        <f>IFERROR(__xludf.DUMMYFUNCTION("""COMPUTED_VALUE"""),"Negative")</f>
        <v>Negative</v>
      </c>
      <c r="I639" s="308">
        <f>IFERROR(__xludf.DUMMYFUNCTION("""COMPUTED_VALUE"""),44908.0)</f>
        <v>44908</v>
      </c>
      <c r="J639" s="311">
        <f>IFERROR(__xludf.DUMMYFUNCTION("""COMPUTED_VALUE"""),0.5698958333333334)</f>
        <v>0.5698958333</v>
      </c>
      <c r="K639" s="54"/>
      <c r="L639" s="7"/>
      <c r="M639" s="312"/>
      <c r="N639" s="172">
        <f>IFERROR(__xludf.DUMMYFUNCTION("""COMPUTED_VALUE"""),1.0)</f>
        <v>1</v>
      </c>
      <c r="O639" s="172" t="str">
        <f t="shared" si="3"/>
        <v/>
      </c>
      <c r="P639" s="313">
        <f>IFERROR(__xludf.DUMMYFUNCTION("""COMPUTED_VALUE"""),0.0)</f>
        <v>0</v>
      </c>
      <c r="Q639" s="76" t="b">
        <f>VLOOKUP($B639,'Run Reconcile'!B$2:O1399,14,FALSE)</f>
        <v>1</v>
      </c>
      <c r="R639" s="314" t="str">
        <f t="array" ref="R639">IF($Q639, INDEX('Run Reconcile'!A$2:A1399,MATCH(B639,'Run Reconcile'!B$2:B1399,0),1),IFERROR(0/0,""))</f>
        <v>RUN-ABRM_2022-12-13_RFR-108</v>
      </c>
      <c r="S639" s="315" t="str">
        <f t="shared" ref="S639:T639" si="1283">IF(COUNTIF(W$2:W1399, $A639) &gt; 0,TRUE,IFERROR(0/0,""))</f>
        <v/>
      </c>
      <c r="T639" s="315" t="str">
        <f t="shared" si="1283"/>
        <v/>
      </c>
      <c r="U639" s="114" t="str">
        <f t="array" ref="U639">IF(ISBLANK($R639), INDEX('Run Reconcile'!A$2:A1399, MATCH($B639, 'Run Reconcile'!B$2:B1399, 0)+Z639, 1), IFERROR(0/0,""))
</f>
        <v/>
      </c>
      <c r="V639" s="316" t="str">
        <f t="shared" si="1281"/>
        <v>RUN-ABRM_2022-12-13_RFR-108</v>
      </c>
      <c r="Y639" s="317" t="str">
        <f t="shared" si="6"/>
        <v/>
      </c>
      <c r="Z639" s="83" t="str">
        <f t="shared" si="7"/>
        <v/>
      </c>
      <c r="AA639" s="83" t="str">
        <f t="shared" si="8"/>
        <v/>
      </c>
      <c r="AB639" s="83" t="str">
        <f t="shared" si="9"/>
        <v/>
      </c>
      <c r="AC639" s="18" t="str">
        <f t="shared" ref="AC639:AD639" si="1284">IF(_xlfn.ISFORMULA(S639),IFERROR(0/0,""),TRUE)</f>
        <v/>
      </c>
      <c r="AD639" s="18" t="str">
        <f t="shared" si="1284"/>
        <v/>
      </c>
      <c r="AE639" s="43"/>
      <c r="AF639" s="58" t="s">
        <v>102</v>
      </c>
      <c r="AG639" s="55" t="str">
        <f t="shared" si="11"/>
        <v/>
      </c>
    </row>
    <row r="640">
      <c r="A640" s="7" t="str">
        <f>IFERROR(__xludf.DUMMYFUNCTION("""COMPUTED_VALUE"""),"AG1182")</f>
        <v>AG1182</v>
      </c>
      <c r="B640" s="308">
        <f>IFERROR(__xludf.DUMMYFUNCTION("""COMPUTED_VALUE"""),44908.0)</f>
        <v>44908</v>
      </c>
      <c r="C640" s="309">
        <f>IFERROR(__xludf.DUMMYFUNCTION("""COMPUTED_VALUE"""),0.4680787037037037)</f>
        <v>0.4680787037</v>
      </c>
      <c r="D640" s="7" t="str">
        <f>IFERROR(__xludf.DUMMYFUNCTION("""COMPUTED_VALUE"""),"SpABRM128250")</f>
        <v>SpABRM128250</v>
      </c>
      <c r="E640" s="310"/>
      <c r="F640" s="310"/>
      <c r="G640" s="310" t="str">
        <f>IFERROR(__xludf.DUMMYFUNCTION("""COMPUTED_VALUE"""),"Negative")</f>
        <v>Negative</v>
      </c>
      <c r="H640" s="319" t="str">
        <f>IFERROR(__xludf.DUMMYFUNCTION("""COMPUTED_VALUE"""),"Negative")</f>
        <v>Negative</v>
      </c>
      <c r="I640" s="308">
        <f>IFERROR(__xludf.DUMMYFUNCTION("""COMPUTED_VALUE"""),44908.0)</f>
        <v>44908</v>
      </c>
      <c r="J640" s="311">
        <f>IFERROR(__xludf.DUMMYFUNCTION("""COMPUTED_VALUE"""),0.5699074074074074)</f>
        <v>0.5699074074</v>
      </c>
      <c r="K640" s="54"/>
      <c r="L640" s="7"/>
      <c r="M640" s="312"/>
      <c r="N640" s="172">
        <f>IFERROR(__xludf.DUMMYFUNCTION("""COMPUTED_VALUE"""),3.0)</f>
        <v>3</v>
      </c>
      <c r="O640" s="172" t="str">
        <f t="shared" si="3"/>
        <v/>
      </c>
      <c r="P640" s="313">
        <f>IFERROR(__xludf.DUMMYFUNCTION("""COMPUTED_VALUE"""),0.0)</f>
        <v>0</v>
      </c>
      <c r="Q640" s="76" t="b">
        <f>VLOOKUP($B640,'Run Reconcile'!B$2:O1399,14,FALSE)</f>
        <v>1</v>
      </c>
      <c r="R640" s="314" t="str">
        <f t="array" ref="R640">IF($Q640, INDEX('Run Reconcile'!A$2:A1399,MATCH(B640,'Run Reconcile'!B$2:B1399,0),1),IFERROR(0/0,""))</f>
        <v>RUN-ABRM_2022-12-13_RFR-108</v>
      </c>
      <c r="S640" s="315" t="str">
        <f t="shared" ref="S640:T640" si="1285">IF(COUNTIF(W$2:W1399, $A640) &gt; 0,TRUE,IFERROR(0/0,""))</f>
        <v/>
      </c>
      <c r="T640" s="315" t="str">
        <f t="shared" si="1285"/>
        <v/>
      </c>
      <c r="U640" s="114" t="str">
        <f t="array" ref="U640">IF(ISBLANK($R640), INDEX('Run Reconcile'!A$2:A1399, MATCH($B640, 'Run Reconcile'!B$2:B1399, 0)+Z640, 1), IFERROR(0/0,""))
</f>
        <v/>
      </c>
      <c r="V640" s="316" t="str">
        <f t="shared" si="1281"/>
        <v>RUN-ABRM_2022-12-13_RFR-108</v>
      </c>
      <c r="Y640" s="317" t="str">
        <f t="shared" si="6"/>
        <v/>
      </c>
      <c r="Z640" s="83" t="str">
        <f t="shared" si="7"/>
        <v/>
      </c>
      <c r="AA640" s="83" t="str">
        <f t="shared" si="8"/>
        <v/>
      </c>
      <c r="AB640" s="83" t="str">
        <f t="shared" si="9"/>
        <v/>
      </c>
      <c r="AC640" s="18" t="str">
        <f t="shared" ref="AC640:AD640" si="1286">IF(_xlfn.ISFORMULA(S640),IFERROR(0/0,""),TRUE)</f>
        <v/>
      </c>
      <c r="AD640" s="18" t="str">
        <f t="shared" si="1286"/>
        <v/>
      </c>
      <c r="AE640" s="43"/>
      <c r="AF640" s="58" t="s">
        <v>102</v>
      </c>
      <c r="AG640" s="55" t="str">
        <f t="shared" si="11"/>
        <v/>
      </c>
    </row>
    <row r="641">
      <c r="A641" s="7" t="str">
        <f>IFERROR(__xludf.DUMMYFUNCTION("""COMPUTED_VALUE"""),"AH237")</f>
        <v>AH237</v>
      </c>
      <c r="B641" s="308">
        <f>IFERROR(__xludf.DUMMYFUNCTION("""COMPUTED_VALUE"""),44908.0)</f>
        <v>44908</v>
      </c>
      <c r="C641" s="309">
        <f>IFERROR(__xludf.DUMMYFUNCTION("""COMPUTED_VALUE"""),0.5534722222222223)</f>
        <v>0.5534722222</v>
      </c>
      <c r="D641" s="7" t="str">
        <f>IFERROR(__xludf.DUMMYFUNCTION("""COMPUTED_VALUE"""),"SpABRM655136")</f>
        <v>SpABRM655136</v>
      </c>
      <c r="E641" s="310"/>
      <c r="F641" s="310"/>
      <c r="G641" s="310" t="str">
        <f>IFERROR(__xludf.DUMMYFUNCTION("""COMPUTED_VALUE"""),"Negative")</f>
        <v>Negative</v>
      </c>
      <c r="H641" s="319" t="str">
        <f>IFERROR(__xludf.DUMMYFUNCTION("""COMPUTED_VALUE"""),"Negative")</f>
        <v>Negative</v>
      </c>
      <c r="I641" s="308">
        <f>IFERROR(__xludf.DUMMYFUNCTION("""COMPUTED_VALUE"""),44908.0)</f>
        <v>44908</v>
      </c>
      <c r="J641" s="311">
        <f>IFERROR(__xludf.DUMMYFUNCTION("""COMPUTED_VALUE"""),0.5699074074074074)</f>
        <v>0.5699074074</v>
      </c>
      <c r="K641" s="54"/>
      <c r="L641" s="7"/>
      <c r="M641" s="312"/>
      <c r="N641" s="172">
        <f>IFERROR(__xludf.DUMMYFUNCTION("""COMPUTED_VALUE"""),1.0)</f>
        <v>1</v>
      </c>
      <c r="O641" s="172" t="str">
        <f t="shared" si="3"/>
        <v/>
      </c>
      <c r="P641" s="313">
        <f>IFERROR(__xludf.DUMMYFUNCTION("""COMPUTED_VALUE"""),0.0)</f>
        <v>0</v>
      </c>
      <c r="Q641" s="76" t="b">
        <f>VLOOKUP($B641,'Run Reconcile'!B$2:O1399,14,FALSE)</f>
        <v>1</v>
      </c>
      <c r="R641" s="314" t="str">
        <f t="array" ref="R641">IF($Q641, INDEX('Run Reconcile'!A$2:A1399,MATCH(B641,'Run Reconcile'!B$2:B1399,0),1),IFERROR(0/0,""))</f>
        <v>RUN-ABRM_2022-12-13_RFR-108</v>
      </c>
      <c r="S641" s="315" t="str">
        <f t="shared" ref="S641:T641" si="1287">IF(COUNTIF(W$2:W1399, $A641) &gt; 0,TRUE,IFERROR(0/0,""))</f>
        <v/>
      </c>
      <c r="T641" s="315" t="str">
        <f t="shared" si="1287"/>
        <v/>
      </c>
      <c r="U641" s="114" t="str">
        <f t="array" ref="U641">IF(ISBLANK($R641), INDEX('Run Reconcile'!A$2:A1399, MATCH($B641, 'Run Reconcile'!B$2:B1399, 0)+Z641, 1), IFERROR(0/0,""))
</f>
        <v/>
      </c>
      <c r="V641" s="316" t="str">
        <f t="shared" si="1281"/>
        <v>RUN-ABRM_2022-12-13_RFR-108</v>
      </c>
      <c r="Y641" s="317" t="str">
        <f t="shared" si="6"/>
        <v/>
      </c>
      <c r="Z641" s="83" t="str">
        <f t="shared" si="7"/>
        <v/>
      </c>
      <c r="AA641" s="83" t="str">
        <f t="shared" si="8"/>
        <v/>
      </c>
      <c r="AB641" s="83" t="str">
        <f t="shared" si="9"/>
        <v/>
      </c>
      <c r="AC641" s="18" t="str">
        <f t="shared" ref="AC641:AD641" si="1288">IF(_xlfn.ISFORMULA(S641),IFERROR(0/0,""),TRUE)</f>
        <v/>
      </c>
      <c r="AD641" s="18" t="str">
        <f t="shared" si="1288"/>
        <v/>
      </c>
      <c r="AE641" s="43"/>
      <c r="AF641" s="58" t="s">
        <v>102</v>
      </c>
      <c r="AG641" s="55" t="str">
        <f t="shared" si="11"/>
        <v/>
      </c>
    </row>
    <row r="642">
      <c r="A642" s="7" t="str">
        <f>IFERROR(__xludf.DUMMYFUNCTION("""COMPUTED_VALUE"""),"AH7587")</f>
        <v>AH7587</v>
      </c>
      <c r="B642" s="308">
        <f>IFERROR(__xludf.DUMMYFUNCTION("""COMPUTED_VALUE"""),44911.0)</f>
        <v>44911</v>
      </c>
      <c r="C642" s="309">
        <f>IFERROR(__xludf.DUMMYFUNCTION("""COMPUTED_VALUE"""),0.32658564814814817)</f>
        <v>0.3265856481</v>
      </c>
      <c r="D642" s="7" t="str">
        <f>IFERROR(__xludf.DUMMYFUNCTION("""COMPUTED_VALUE"""),"SpABRM814022")</f>
        <v>SpABRM814022</v>
      </c>
      <c r="E642" s="310"/>
      <c r="F642" s="310"/>
      <c r="G642" s="310" t="str">
        <f>IFERROR(__xludf.DUMMYFUNCTION("""COMPUTED_VALUE"""),"Negative")</f>
        <v>Negative</v>
      </c>
      <c r="H642" s="319" t="str">
        <f>IFERROR(__xludf.DUMMYFUNCTION("""COMPUTED_VALUE"""),"Negative")</f>
        <v>Negative</v>
      </c>
      <c r="I642" s="308">
        <f>IFERROR(__xludf.DUMMYFUNCTION("""COMPUTED_VALUE"""),44911.0)</f>
        <v>44911</v>
      </c>
      <c r="J642" s="311">
        <f>IFERROR(__xludf.DUMMYFUNCTION("""COMPUTED_VALUE"""),0.3925810185185185)</f>
        <v>0.3925810185</v>
      </c>
      <c r="K642" s="54"/>
      <c r="L642" s="7"/>
      <c r="M642" s="312"/>
      <c r="N642" s="172">
        <f>IFERROR(__xludf.DUMMYFUNCTION("""COMPUTED_VALUE"""),1.0)</f>
        <v>1</v>
      </c>
      <c r="O642" s="172"/>
      <c r="P642" s="313">
        <f>IFERROR(__xludf.DUMMYFUNCTION("""COMPUTED_VALUE"""),0.0)</f>
        <v>0</v>
      </c>
      <c r="Q642" s="76" t="b">
        <f>VLOOKUP($B642,'Run Reconcile'!B$2:O1399,14,FALSE)</f>
        <v>1</v>
      </c>
      <c r="R642" s="314" t="str">
        <f t="array" ref="R642">IF($Q642, INDEX('Run Reconcile'!A$2:A1399,MATCH(B642,'Run Reconcile'!B$2:B1399,0),1),IFERROR(0/0,""))</f>
        <v>RUN-ABRM_2022-12-16_RFR-109</v>
      </c>
      <c r="S642" s="315" t="str">
        <f t="shared" ref="S642:T642" si="1289">IF(COUNTIF(W$2:W1399, $A642) &gt; 0,TRUE,IFERROR(0/0,""))</f>
        <v/>
      </c>
      <c r="T642" s="315" t="str">
        <f t="shared" si="1289"/>
        <v/>
      </c>
      <c r="U642" s="114" t="str">
        <f t="array" ref="U642">IF(ISBLANK($R642), INDEX('Run Reconcile'!A$2:A1399, MATCH($B642, 'Run Reconcile'!B$2:B1399, 0)+Z642, 1), IFERROR(0/0,""))
</f>
        <v/>
      </c>
      <c r="V642" s="316" t="str">
        <f t="shared" si="1281"/>
        <v>RUN-ABRM_2022-12-16_RFR-109</v>
      </c>
      <c r="Y642" s="317" t="str">
        <f t="shared" si="6"/>
        <v/>
      </c>
      <c r="Z642" s="83" t="str">
        <f t="shared" si="7"/>
        <v/>
      </c>
      <c r="AA642" s="83" t="str">
        <f t="shared" si="8"/>
        <v/>
      </c>
      <c r="AB642" s="83" t="str">
        <f t="shared" si="9"/>
        <v/>
      </c>
      <c r="AC642" s="18" t="str">
        <f t="shared" ref="AC642:AD642" si="1290">IF(_xlfn.ISFORMULA(S642),IFERROR(0/0,""),TRUE)</f>
        <v/>
      </c>
      <c r="AD642" s="18" t="str">
        <f t="shared" si="1290"/>
        <v/>
      </c>
      <c r="AE642" s="43"/>
      <c r="AF642" s="58" t="s">
        <v>103</v>
      </c>
      <c r="AG642" s="55" t="str">
        <f t="shared" si="11"/>
        <v/>
      </c>
    </row>
    <row r="643">
      <c r="A643" s="7" t="str">
        <f>IFERROR(__xludf.DUMMYFUNCTION("""COMPUTED_VALUE"""),"AJ9821")</f>
        <v>AJ9821</v>
      </c>
      <c r="B643" s="308">
        <f>IFERROR(__xludf.DUMMYFUNCTION("""COMPUTED_VALUE"""),44911.0)</f>
        <v>44911</v>
      </c>
      <c r="C643" s="309">
        <f>IFERROR(__xludf.DUMMYFUNCTION("""COMPUTED_VALUE"""),0.3697800925925926)</f>
        <v>0.3697800926</v>
      </c>
      <c r="D643" s="7" t="str">
        <f>IFERROR(__xludf.DUMMYFUNCTION("""COMPUTED_VALUE"""),"SpABRM655136")</f>
        <v>SpABRM655136</v>
      </c>
      <c r="E643" s="310"/>
      <c r="F643" s="310"/>
      <c r="G643" s="310" t="str">
        <f>IFERROR(__xludf.DUMMYFUNCTION("""COMPUTED_VALUE"""),"Negative")</f>
        <v>Negative</v>
      </c>
      <c r="H643" s="319" t="str">
        <f>IFERROR(__xludf.DUMMYFUNCTION("""COMPUTED_VALUE"""),"Negative")</f>
        <v>Negative</v>
      </c>
      <c r="I643" s="308">
        <f>IFERROR(__xludf.DUMMYFUNCTION("""COMPUTED_VALUE"""),44911.0)</f>
        <v>44911</v>
      </c>
      <c r="J643" s="311">
        <f>IFERROR(__xludf.DUMMYFUNCTION("""COMPUTED_VALUE"""),0.3925925925925926)</f>
        <v>0.3925925926</v>
      </c>
      <c r="K643" s="54"/>
      <c r="L643" s="7"/>
      <c r="M643" s="312"/>
      <c r="N643" s="172">
        <f>IFERROR(__xludf.DUMMYFUNCTION("""COMPUTED_VALUE"""),1.0)</f>
        <v>1</v>
      </c>
      <c r="O643" s="172"/>
      <c r="P643" s="313">
        <f>IFERROR(__xludf.DUMMYFUNCTION("""COMPUTED_VALUE"""),0.0)</f>
        <v>0</v>
      </c>
      <c r="Q643" s="76" t="b">
        <f>VLOOKUP($B643,'Run Reconcile'!B$2:O1399,14,FALSE)</f>
        <v>1</v>
      </c>
      <c r="R643" s="314" t="str">
        <f t="array" ref="R643">IF($Q643, INDEX('Run Reconcile'!A$2:A1399,MATCH(B643,'Run Reconcile'!B$2:B1399,0),1),IFERROR(0/0,""))</f>
        <v>RUN-ABRM_2022-12-16_RFR-109</v>
      </c>
      <c r="S643" s="315" t="str">
        <f t="shared" ref="S643:T643" si="1291">IF(COUNTIF(W$2:W1399, $A643) &gt; 0,TRUE,IFERROR(0/0,""))</f>
        <v/>
      </c>
      <c r="T643" s="315" t="str">
        <f t="shared" si="1291"/>
        <v/>
      </c>
      <c r="U643" s="114" t="str">
        <f t="array" ref="U643">IF(ISBLANK($R643), INDEX('Run Reconcile'!A$2:A1399, MATCH($B643, 'Run Reconcile'!B$2:B1399, 0)+Z643, 1), IFERROR(0/0,""))
</f>
        <v/>
      </c>
      <c r="V643" s="316" t="str">
        <f t="shared" si="1281"/>
        <v>RUN-ABRM_2022-12-16_RFR-109</v>
      </c>
      <c r="Y643" s="317" t="str">
        <f t="shared" si="6"/>
        <v/>
      </c>
      <c r="Z643" s="83" t="str">
        <f t="shared" si="7"/>
        <v/>
      </c>
      <c r="AA643" s="83" t="str">
        <f t="shared" si="8"/>
        <v/>
      </c>
      <c r="AB643" s="83" t="str">
        <f t="shared" si="9"/>
        <v/>
      </c>
      <c r="AC643" s="18" t="str">
        <f t="shared" ref="AC643:AD643" si="1292">IF(_xlfn.ISFORMULA(S643),IFERROR(0/0,""),TRUE)</f>
        <v/>
      </c>
      <c r="AD643" s="18" t="str">
        <f t="shared" si="1292"/>
        <v/>
      </c>
      <c r="AE643" s="43"/>
      <c r="AF643" s="58" t="s">
        <v>103</v>
      </c>
      <c r="AG643" s="55" t="str">
        <f t="shared" si="11"/>
        <v/>
      </c>
    </row>
    <row r="644">
      <c r="A644" s="7" t="str">
        <f>IFERROR(__xludf.DUMMYFUNCTION("""COMPUTED_VALUE"""),"AJ7494")</f>
        <v>AJ7494</v>
      </c>
      <c r="B644" s="308">
        <f>IFERROR(__xludf.DUMMYFUNCTION("""COMPUTED_VALUE"""),44911.0)</f>
        <v>44911</v>
      </c>
      <c r="C644" s="309">
        <f>IFERROR(__xludf.DUMMYFUNCTION("""COMPUTED_VALUE"""),0.3700115740740741)</f>
        <v>0.3700115741</v>
      </c>
      <c r="D644" s="7" t="str">
        <f>IFERROR(__xludf.DUMMYFUNCTION("""COMPUTED_VALUE"""),"SpABRM655136")</f>
        <v>SpABRM655136</v>
      </c>
      <c r="E644" s="310"/>
      <c r="F644" s="310"/>
      <c r="G644" s="310" t="str">
        <f>IFERROR(__xludf.DUMMYFUNCTION("""COMPUTED_VALUE"""),"Negative")</f>
        <v>Negative</v>
      </c>
      <c r="H644" s="319" t="str">
        <f>IFERROR(__xludf.DUMMYFUNCTION("""COMPUTED_VALUE"""),"Negative")</f>
        <v>Negative</v>
      </c>
      <c r="I644" s="308">
        <f>IFERROR(__xludf.DUMMYFUNCTION("""COMPUTED_VALUE"""),44911.0)</f>
        <v>44911</v>
      </c>
      <c r="J644" s="311">
        <f>IFERROR(__xludf.DUMMYFUNCTION("""COMPUTED_VALUE"""),0.3925925925925926)</f>
        <v>0.3925925926</v>
      </c>
      <c r="K644" s="54"/>
      <c r="L644" s="7"/>
      <c r="M644" s="312"/>
      <c r="N644" s="172">
        <f>IFERROR(__xludf.DUMMYFUNCTION("""COMPUTED_VALUE"""),1.0)</f>
        <v>1</v>
      </c>
      <c r="O644" s="172"/>
      <c r="P644" s="313">
        <f>IFERROR(__xludf.DUMMYFUNCTION("""COMPUTED_VALUE"""),0.0)</f>
        <v>0</v>
      </c>
      <c r="Q644" s="76" t="b">
        <f>VLOOKUP($B644,'Run Reconcile'!B$2:O1399,14,FALSE)</f>
        <v>1</v>
      </c>
      <c r="R644" s="314" t="str">
        <f t="array" ref="R644">IF($Q644, INDEX('Run Reconcile'!A$2:A1399,MATCH(B644,'Run Reconcile'!B$2:B1399,0),1),IFERROR(0/0,""))</f>
        <v>RUN-ABRM_2022-12-16_RFR-109</v>
      </c>
      <c r="S644" s="315" t="str">
        <f t="shared" ref="S644:T644" si="1293">IF(COUNTIF(W$2:W1399, $A644) &gt; 0,TRUE,IFERROR(0/0,""))</f>
        <v/>
      </c>
      <c r="T644" s="315" t="str">
        <f t="shared" si="1293"/>
        <v/>
      </c>
      <c r="U644" s="114" t="str">
        <f t="array" ref="U644">IF(ISBLANK($R644), INDEX('Run Reconcile'!A$2:A1399, MATCH($B644, 'Run Reconcile'!B$2:B1399, 0)+Z644, 1), IFERROR(0/0,""))
</f>
        <v/>
      </c>
      <c r="V644" s="316" t="str">
        <f t="shared" si="1281"/>
        <v>RUN-ABRM_2022-12-16_RFR-109</v>
      </c>
      <c r="Y644" s="317" t="str">
        <f t="shared" si="6"/>
        <v/>
      </c>
      <c r="Z644" s="83" t="str">
        <f t="shared" si="7"/>
        <v/>
      </c>
      <c r="AA644" s="83" t="str">
        <f t="shared" si="8"/>
        <v/>
      </c>
      <c r="AB644" s="83" t="str">
        <f t="shared" si="9"/>
        <v/>
      </c>
      <c r="AC644" s="18" t="str">
        <f t="shared" ref="AC644:AD644" si="1294">IF(_xlfn.ISFORMULA(S644),IFERROR(0/0,""),TRUE)</f>
        <v/>
      </c>
      <c r="AD644" s="18" t="str">
        <f t="shared" si="1294"/>
        <v/>
      </c>
      <c r="AE644" s="43"/>
      <c r="AF644" s="58" t="s">
        <v>103</v>
      </c>
      <c r="AG644" s="55" t="str">
        <f t="shared" si="11"/>
        <v/>
      </c>
    </row>
    <row r="645">
      <c r="A645" s="7" t="str">
        <f>IFERROR(__xludf.DUMMYFUNCTION("""COMPUTED_VALUE"""),"AK7303")</f>
        <v>AK7303</v>
      </c>
      <c r="B645" s="308">
        <f>IFERROR(__xludf.DUMMYFUNCTION("""COMPUTED_VALUE"""),44914.0)</f>
        <v>44914</v>
      </c>
      <c r="C645" s="309">
        <f>IFERROR(__xludf.DUMMYFUNCTION("""COMPUTED_VALUE"""),0.25276620370370373)</f>
        <v>0.2527662037</v>
      </c>
      <c r="D645" s="7" t="str">
        <f>IFERROR(__xludf.DUMMYFUNCTION("""COMPUTED_VALUE"""),"SpABRM454310")</f>
        <v>SpABRM454310</v>
      </c>
      <c r="E645" s="310"/>
      <c r="F645" s="310"/>
      <c r="G645" s="310" t="str">
        <f>IFERROR(__xludf.DUMMYFUNCTION("""COMPUTED_VALUE"""),"Negative")</f>
        <v>Negative</v>
      </c>
      <c r="H645" s="319" t="str">
        <f>IFERROR(__xludf.DUMMYFUNCTION("""COMPUTED_VALUE"""),"Negative")</f>
        <v>Negative</v>
      </c>
      <c r="I645" s="308">
        <f>IFERROR(__xludf.DUMMYFUNCTION("""COMPUTED_VALUE"""),44914.0)</f>
        <v>44914</v>
      </c>
      <c r="J645" s="311">
        <f>IFERROR(__xludf.DUMMYFUNCTION("""COMPUTED_VALUE"""),0.4157638888888889)</f>
        <v>0.4157638889</v>
      </c>
      <c r="K645" s="54"/>
      <c r="L645" s="7"/>
      <c r="M645" s="312"/>
      <c r="N645" s="172">
        <f>IFERROR(__xludf.DUMMYFUNCTION("""COMPUTED_VALUE"""),3.0)</f>
        <v>3</v>
      </c>
      <c r="O645" s="172"/>
      <c r="P645" s="313">
        <f>IFERROR(__xludf.DUMMYFUNCTION("""COMPUTED_VALUE"""),0.0)</f>
        <v>0</v>
      </c>
      <c r="Q645" s="76" t="b">
        <f>VLOOKUP($B645,'Run Reconcile'!B$2:O1399,14,FALSE)</f>
        <v>1</v>
      </c>
      <c r="R645" s="314" t="str">
        <f t="array" ref="R645">IF($Q645, INDEX('Run Reconcile'!A$2:A1399,MATCH(B645,'Run Reconcile'!B$2:B1399,0),1),IFERROR(0/0,""))</f>
        <v>RUN-ABRM_2022-12-19_RFR-110</v>
      </c>
      <c r="S645" s="315" t="str">
        <f t="shared" ref="S645:T645" si="1295">IF(COUNTIF(W$2:W1399, $A645) &gt; 0,TRUE,IFERROR(0/0,""))</f>
        <v/>
      </c>
      <c r="T645" s="315" t="str">
        <f t="shared" si="1295"/>
        <v/>
      </c>
      <c r="U645" s="114" t="str">
        <f t="array" ref="U645">IF(ISBLANK($R645), INDEX('Run Reconcile'!A$2:A1399, MATCH($B645, 'Run Reconcile'!B$2:B1399, 0)+Z645, 1), IFERROR(0/0,""))
</f>
        <v/>
      </c>
      <c r="V645" s="316" t="str">
        <f t="shared" si="1281"/>
        <v>RUN-ABRM_2022-12-19_RFR-110</v>
      </c>
      <c r="Y645" s="317" t="str">
        <f t="shared" si="6"/>
        <v/>
      </c>
      <c r="Z645" s="83" t="str">
        <f t="shared" si="7"/>
        <v/>
      </c>
      <c r="AA645" s="83" t="str">
        <f t="shared" si="8"/>
        <v/>
      </c>
      <c r="AB645" s="83" t="str">
        <f t="shared" si="9"/>
        <v/>
      </c>
      <c r="AC645" s="18" t="str">
        <f t="shared" ref="AC645:AD645" si="1296">IF(_xlfn.ISFORMULA(S645),IFERROR(0/0,""),TRUE)</f>
        <v/>
      </c>
      <c r="AD645" s="18" t="str">
        <f t="shared" si="1296"/>
        <v/>
      </c>
      <c r="AE645" s="43"/>
      <c r="AF645" s="58" t="s">
        <v>104</v>
      </c>
      <c r="AG645" s="55" t="str">
        <f t="shared" si="11"/>
        <v/>
      </c>
    </row>
    <row r="646">
      <c r="A646" s="7" t="str">
        <f>IFERROR(__xludf.DUMMYFUNCTION("""COMPUTED_VALUE"""),"AJ7640")</f>
        <v>AJ7640</v>
      </c>
      <c r="B646" s="308">
        <f>IFERROR(__xludf.DUMMYFUNCTION("""COMPUTED_VALUE"""),44914.0)</f>
        <v>44914</v>
      </c>
      <c r="C646" s="309">
        <f>IFERROR(__xludf.DUMMYFUNCTION("""COMPUTED_VALUE"""),0.2832986111111111)</f>
        <v>0.2832986111</v>
      </c>
      <c r="D646" s="7" t="str">
        <f>IFERROR(__xludf.DUMMYFUNCTION("""COMPUTED_VALUE"""),"SpABRM297307")</f>
        <v>SpABRM297307</v>
      </c>
      <c r="E646" s="310"/>
      <c r="F646" s="310"/>
      <c r="G646" s="310" t="str">
        <f>IFERROR(__xludf.DUMMYFUNCTION("""COMPUTED_VALUE"""),"Negative")</f>
        <v>Negative</v>
      </c>
      <c r="H646" s="319" t="str">
        <f>IFERROR(__xludf.DUMMYFUNCTION("""COMPUTED_VALUE"""),"Negative")</f>
        <v>Negative</v>
      </c>
      <c r="I646" s="308">
        <f>IFERROR(__xludf.DUMMYFUNCTION("""COMPUTED_VALUE"""),44914.0)</f>
        <v>44914</v>
      </c>
      <c r="J646" s="311">
        <f>IFERROR(__xludf.DUMMYFUNCTION("""COMPUTED_VALUE"""),0.43158564814814815)</f>
        <v>0.4315856481</v>
      </c>
      <c r="K646" s="54"/>
      <c r="L646" s="7"/>
      <c r="M646" s="312"/>
      <c r="N646" s="172">
        <f>IFERROR(__xludf.DUMMYFUNCTION("""COMPUTED_VALUE"""),4.0)</f>
        <v>4</v>
      </c>
      <c r="O646" s="172"/>
      <c r="P646" s="313">
        <f>IFERROR(__xludf.DUMMYFUNCTION("""COMPUTED_VALUE"""),0.0)</f>
        <v>0</v>
      </c>
      <c r="Q646" s="76" t="b">
        <f>VLOOKUP($B646,'Run Reconcile'!B$2:O1399,14,FALSE)</f>
        <v>1</v>
      </c>
      <c r="R646" s="314" t="str">
        <f t="array" ref="R646">IF($Q646, INDEX('Run Reconcile'!A$2:A1399,MATCH(B646,'Run Reconcile'!B$2:B1399,0),1),IFERROR(0/0,""))</f>
        <v>RUN-ABRM_2022-12-19_RFR-110</v>
      </c>
      <c r="S646" s="315" t="str">
        <f t="shared" ref="S646:T646" si="1297">IF(COUNTIF(W$2:W1399, $A646) &gt; 0,TRUE,IFERROR(0/0,""))</f>
        <v/>
      </c>
      <c r="T646" s="315" t="str">
        <f t="shared" si="1297"/>
        <v/>
      </c>
      <c r="U646" s="114" t="str">
        <f t="array" ref="U646">IF(ISBLANK($R646), INDEX('Run Reconcile'!A$2:A1399, MATCH($B646, 'Run Reconcile'!B$2:B1399, 0)+Z646, 1), IFERROR(0/0,""))
</f>
        <v/>
      </c>
      <c r="V646" s="316" t="str">
        <f t="shared" si="1281"/>
        <v>RUN-ABRM_2022-12-19_RFR-110</v>
      </c>
      <c r="Y646" s="317" t="str">
        <f t="shared" si="6"/>
        <v/>
      </c>
      <c r="Z646" s="83" t="str">
        <f t="shared" si="7"/>
        <v/>
      </c>
      <c r="AA646" s="83" t="str">
        <f t="shared" si="8"/>
        <v/>
      </c>
      <c r="AB646" s="83" t="str">
        <f t="shared" si="9"/>
        <v/>
      </c>
      <c r="AC646" s="18" t="str">
        <f t="shared" ref="AC646:AD646" si="1298">IF(_xlfn.ISFORMULA(S646),IFERROR(0/0,""),TRUE)</f>
        <v/>
      </c>
      <c r="AD646" s="18" t="str">
        <f t="shared" si="1298"/>
        <v/>
      </c>
      <c r="AE646" s="43"/>
      <c r="AF646" s="58" t="s">
        <v>104</v>
      </c>
      <c r="AG646" s="55" t="str">
        <f t="shared" si="11"/>
        <v/>
      </c>
    </row>
    <row r="647">
      <c r="A647" s="7" t="str">
        <f>IFERROR(__xludf.DUMMYFUNCTION("""COMPUTED_VALUE"""),"AJ7870")</f>
        <v>AJ7870</v>
      </c>
      <c r="B647" s="308">
        <f>IFERROR(__xludf.DUMMYFUNCTION("""COMPUTED_VALUE"""),44914.0)</f>
        <v>44914</v>
      </c>
      <c r="C647" s="309">
        <f>IFERROR(__xludf.DUMMYFUNCTION("""COMPUTED_VALUE"""),0.2942476851851852)</f>
        <v>0.2942476852</v>
      </c>
      <c r="D647" s="7" t="str">
        <f>IFERROR(__xludf.DUMMYFUNCTION("""COMPUTED_VALUE"""),"SpABRM128250")</f>
        <v>SpABRM128250</v>
      </c>
      <c r="E647" s="310"/>
      <c r="F647" s="310"/>
      <c r="G647" s="310" t="str">
        <f>IFERROR(__xludf.DUMMYFUNCTION("""COMPUTED_VALUE"""),"Negative")</f>
        <v>Negative</v>
      </c>
      <c r="H647" s="319" t="str">
        <f>IFERROR(__xludf.DUMMYFUNCTION("""COMPUTED_VALUE"""),"Negative")</f>
        <v>Negative</v>
      </c>
      <c r="I647" s="308">
        <f>IFERROR(__xludf.DUMMYFUNCTION("""COMPUTED_VALUE"""),44914.0)</f>
        <v>44914</v>
      </c>
      <c r="J647" s="311">
        <f>IFERROR(__xludf.DUMMYFUNCTION("""COMPUTED_VALUE"""),0.41577546296296297)</f>
        <v>0.415775463</v>
      </c>
      <c r="K647" s="54"/>
      <c r="L647" s="7"/>
      <c r="M647" s="312"/>
      <c r="N647" s="172">
        <f>IFERROR(__xludf.DUMMYFUNCTION("""COMPUTED_VALUE"""),3.0)</f>
        <v>3</v>
      </c>
      <c r="O647" s="172"/>
      <c r="P647" s="313">
        <f>IFERROR(__xludf.DUMMYFUNCTION("""COMPUTED_VALUE"""),0.0)</f>
        <v>0</v>
      </c>
      <c r="Q647" s="76" t="b">
        <f>VLOOKUP($B647,'Run Reconcile'!B$2:O1399,14,FALSE)</f>
        <v>1</v>
      </c>
      <c r="R647" s="314" t="str">
        <f t="array" ref="R647">IF($Q647, INDEX('Run Reconcile'!A$2:A1399,MATCH(B647,'Run Reconcile'!B$2:B1399,0),1),IFERROR(0/0,""))</f>
        <v>RUN-ABRM_2022-12-19_RFR-110</v>
      </c>
      <c r="S647" s="315" t="str">
        <f t="shared" ref="S647:T647" si="1299">IF(COUNTIF(W$2:W1399, $A647) &gt; 0,TRUE,IFERROR(0/0,""))</f>
        <v/>
      </c>
      <c r="T647" s="315" t="str">
        <f t="shared" si="1299"/>
        <v/>
      </c>
      <c r="U647" s="114" t="str">
        <f t="array" ref="U647">IF(ISBLANK($R647), INDEX('Run Reconcile'!A$2:A1399, MATCH($B647, 'Run Reconcile'!B$2:B1399, 0)+Z647, 1), IFERROR(0/0,""))
</f>
        <v/>
      </c>
      <c r="V647" s="316" t="str">
        <f t="shared" si="1281"/>
        <v>RUN-ABRM_2022-12-19_RFR-110</v>
      </c>
      <c r="Y647" s="317" t="str">
        <f t="shared" si="6"/>
        <v/>
      </c>
      <c r="Z647" s="83" t="str">
        <f t="shared" si="7"/>
        <v/>
      </c>
      <c r="AA647" s="83" t="str">
        <f t="shared" si="8"/>
        <v/>
      </c>
      <c r="AB647" s="83" t="str">
        <f t="shared" si="9"/>
        <v/>
      </c>
      <c r="AC647" s="18" t="str">
        <f t="shared" ref="AC647:AD647" si="1300">IF(_xlfn.ISFORMULA(S647),IFERROR(0/0,""),TRUE)</f>
        <v/>
      </c>
      <c r="AD647" s="18" t="str">
        <f t="shared" si="1300"/>
        <v/>
      </c>
      <c r="AE647" s="43"/>
      <c r="AF647" s="58" t="s">
        <v>104</v>
      </c>
      <c r="AG647" s="55" t="str">
        <f t="shared" si="11"/>
        <v/>
      </c>
    </row>
    <row r="648">
      <c r="A648" s="7" t="str">
        <f>IFERROR(__xludf.DUMMYFUNCTION("""COMPUTED_VALUE"""),"AJ8636")</f>
        <v>AJ8636</v>
      </c>
      <c r="B648" s="308">
        <f>IFERROR(__xludf.DUMMYFUNCTION("""COMPUTED_VALUE"""),44914.0)</f>
        <v>44914</v>
      </c>
      <c r="C648" s="309">
        <f>IFERROR(__xludf.DUMMYFUNCTION("""COMPUTED_VALUE"""),0.3293171296296296)</f>
        <v>0.3293171296</v>
      </c>
      <c r="D648" s="7" t="str">
        <f>IFERROR(__xludf.DUMMYFUNCTION("""COMPUTED_VALUE"""),"SpABRM814022")</f>
        <v>SpABRM814022</v>
      </c>
      <c r="E648" s="310"/>
      <c r="F648" s="310"/>
      <c r="G648" s="310" t="str">
        <f>IFERROR(__xludf.DUMMYFUNCTION("""COMPUTED_VALUE"""),"Negative")</f>
        <v>Negative</v>
      </c>
      <c r="H648" s="319" t="str">
        <f>IFERROR(__xludf.DUMMYFUNCTION("""COMPUTED_VALUE"""),"Negative")</f>
        <v>Negative</v>
      </c>
      <c r="I648" s="308">
        <f>IFERROR(__xludf.DUMMYFUNCTION("""COMPUTED_VALUE"""),44914.0)</f>
        <v>44914</v>
      </c>
      <c r="J648" s="311">
        <f>IFERROR(__xludf.DUMMYFUNCTION("""COMPUTED_VALUE"""),0.41577546296296297)</f>
        <v>0.415775463</v>
      </c>
      <c r="K648" s="54"/>
      <c r="L648" s="7"/>
      <c r="M648" s="312"/>
      <c r="N648" s="172">
        <f>IFERROR(__xludf.DUMMYFUNCTION("""COMPUTED_VALUE"""),1.0)</f>
        <v>1</v>
      </c>
      <c r="O648" s="172"/>
      <c r="P648" s="313">
        <f>IFERROR(__xludf.DUMMYFUNCTION("""COMPUTED_VALUE"""),0.0)</f>
        <v>0</v>
      </c>
      <c r="Q648" s="76" t="b">
        <f>VLOOKUP($B648,'Run Reconcile'!B$2:O1399,14,FALSE)</f>
        <v>1</v>
      </c>
      <c r="R648" s="314" t="str">
        <f t="array" ref="R648">IF($Q648, INDEX('Run Reconcile'!A$2:A1399,MATCH(B648,'Run Reconcile'!B$2:B1399,0),1),IFERROR(0/0,""))</f>
        <v>RUN-ABRM_2022-12-19_RFR-110</v>
      </c>
      <c r="S648" s="315" t="str">
        <f t="shared" ref="S648:T648" si="1301">IF(COUNTIF(W$2:W1399, $A648) &gt; 0,TRUE,IFERROR(0/0,""))</f>
        <v/>
      </c>
      <c r="T648" s="315" t="str">
        <f t="shared" si="1301"/>
        <v/>
      </c>
      <c r="U648" s="114" t="str">
        <f t="array" ref="U648">IF(ISBLANK($R648), INDEX('Run Reconcile'!A$2:A1399, MATCH($B648, 'Run Reconcile'!B$2:B1399, 0)+Z648, 1), IFERROR(0/0,""))
</f>
        <v/>
      </c>
      <c r="V648" s="316" t="str">
        <f t="shared" si="1281"/>
        <v>RUN-ABRM_2022-12-19_RFR-110</v>
      </c>
      <c r="Y648" s="317" t="str">
        <f t="shared" si="6"/>
        <v/>
      </c>
      <c r="Z648" s="83" t="str">
        <f t="shared" si="7"/>
        <v/>
      </c>
      <c r="AA648" s="83" t="str">
        <f t="shared" si="8"/>
        <v/>
      </c>
      <c r="AB648" s="83" t="str">
        <f t="shared" si="9"/>
        <v/>
      </c>
      <c r="AC648" s="18" t="str">
        <f t="shared" ref="AC648:AD648" si="1302">IF(_xlfn.ISFORMULA(S648),IFERROR(0/0,""),TRUE)</f>
        <v/>
      </c>
      <c r="AD648" s="18" t="str">
        <f t="shared" si="1302"/>
        <v/>
      </c>
      <c r="AE648" s="43"/>
      <c r="AF648" s="58" t="s">
        <v>104</v>
      </c>
      <c r="AG648" s="55" t="str">
        <f t="shared" si="11"/>
        <v/>
      </c>
    </row>
    <row r="649">
      <c r="A649" s="7" t="str">
        <f>IFERROR(__xludf.DUMMYFUNCTION("""COMPUTED_VALUE"""),"AK6116")</f>
        <v>AK6116</v>
      </c>
      <c r="B649" s="308">
        <f>IFERROR(__xludf.DUMMYFUNCTION("""COMPUTED_VALUE"""),44914.0)</f>
        <v>44914</v>
      </c>
      <c r="C649" s="309">
        <f>IFERROR(__xludf.DUMMYFUNCTION("""COMPUTED_VALUE"""),0.38515046296296296)</f>
        <v>0.385150463</v>
      </c>
      <c r="D649" s="7" t="str">
        <f>IFERROR(__xludf.DUMMYFUNCTION("""COMPUTED_VALUE"""),"SpABRM655136")</f>
        <v>SpABRM655136</v>
      </c>
      <c r="E649" s="310"/>
      <c r="F649" s="310"/>
      <c r="G649" s="310" t="str">
        <f>IFERROR(__xludf.DUMMYFUNCTION("""COMPUTED_VALUE"""),"Negative")</f>
        <v>Negative</v>
      </c>
      <c r="H649" s="319" t="str">
        <f>IFERROR(__xludf.DUMMYFUNCTION("""COMPUTED_VALUE"""),"Negative")</f>
        <v>Negative</v>
      </c>
      <c r="I649" s="308">
        <f>IFERROR(__xludf.DUMMYFUNCTION("""COMPUTED_VALUE"""),44914.0)</f>
        <v>44914</v>
      </c>
      <c r="J649" s="311">
        <f>IFERROR(__xludf.DUMMYFUNCTION("""COMPUTED_VALUE"""),0.41577546296296297)</f>
        <v>0.415775463</v>
      </c>
      <c r="K649" s="54"/>
      <c r="L649" s="7"/>
      <c r="M649" s="312"/>
      <c r="N649" s="172">
        <f>IFERROR(__xludf.DUMMYFUNCTION("""COMPUTED_VALUE"""),2.0)</f>
        <v>2</v>
      </c>
      <c r="O649" s="172"/>
      <c r="P649" s="313">
        <f>IFERROR(__xludf.DUMMYFUNCTION("""COMPUTED_VALUE"""),0.0)</f>
        <v>0</v>
      </c>
      <c r="Q649" s="76" t="b">
        <f>VLOOKUP($B649,'Run Reconcile'!B$2:O1399,14,FALSE)</f>
        <v>1</v>
      </c>
      <c r="R649" s="314" t="str">
        <f t="array" ref="R649">IF($Q649, INDEX('Run Reconcile'!A$2:A1399,MATCH(B649,'Run Reconcile'!B$2:B1399,0),1),IFERROR(0/0,""))</f>
        <v>RUN-ABRM_2022-12-19_RFR-110</v>
      </c>
      <c r="S649" s="315" t="str">
        <f t="shared" ref="S649:T649" si="1303">IF(COUNTIF(W$2:W1399, $A649) &gt; 0,TRUE,IFERROR(0/0,""))</f>
        <v/>
      </c>
      <c r="T649" s="315" t="str">
        <f t="shared" si="1303"/>
        <v/>
      </c>
      <c r="U649" s="114" t="str">
        <f t="array" ref="U649">IF(ISBLANK($R649), INDEX('Run Reconcile'!A$2:A1399, MATCH($B649, 'Run Reconcile'!B$2:B1399, 0)+Z649, 1), IFERROR(0/0,""))
</f>
        <v/>
      </c>
      <c r="V649" s="316" t="str">
        <f t="shared" si="1281"/>
        <v>RUN-ABRM_2022-12-19_RFR-110</v>
      </c>
      <c r="Y649" s="317" t="str">
        <f t="shared" si="6"/>
        <v/>
      </c>
      <c r="Z649" s="83" t="str">
        <f t="shared" si="7"/>
        <v/>
      </c>
      <c r="AA649" s="83" t="str">
        <f t="shared" si="8"/>
        <v/>
      </c>
      <c r="AB649" s="83" t="str">
        <f t="shared" si="9"/>
        <v/>
      </c>
      <c r="AC649" s="18" t="str">
        <f t="shared" ref="AC649:AD649" si="1304">IF(_xlfn.ISFORMULA(S649),IFERROR(0/0,""),TRUE)</f>
        <v/>
      </c>
      <c r="AD649" s="18" t="str">
        <f t="shared" si="1304"/>
        <v/>
      </c>
      <c r="AE649" s="43"/>
      <c r="AF649" s="58" t="s">
        <v>104</v>
      </c>
      <c r="AG649" s="55" t="str">
        <f t="shared" si="11"/>
        <v/>
      </c>
    </row>
    <row r="650">
      <c r="A650" s="7" t="str">
        <f>IFERROR(__xludf.DUMMYFUNCTION("""COMPUTED_VALUE"""),"AJ7774")</f>
        <v>AJ7774</v>
      </c>
      <c r="B650" s="308">
        <f>IFERROR(__xludf.DUMMYFUNCTION("""COMPUTED_VALUE"""),44915.0)</f>
        <v>44915</v>
      </c>
      <c r="C650" s="309">
        <f>IFERROR(__xludf.DUMMYFUNCTION("""COMPUTED_VALUE"""),0.24125)</f>
        <v>0.24125</v>
      </c>
      <c r="D650" s="7" t="str">
        <f>IFERROR(__xludf.DUMMYFUNCTION("""COMPUTED_VALUE"""),"SpABRM454310")</f>
        <v>SpABRM454310</v>
      </c>
      <c r="E650" s="310"/>
      <c r="F650" s="310"/>
      <c r="G650" s="310" t="str">
        <f>IFERROR(__xludf.DUMMYFUNCTION("""COMPUTED_VALUE"""),"Negative")</f>
        <v>Negative</v>
      </c>
      <c r="H650" s="319" t="str">
        <f>IFERROR(__xludf.DUMMYFUNCTION("""COMPUTED_VALUE"""),"Negative")</f>
        <v>Negative</v>
      </c>
      <c r="I650" s="308">
        <f>IFERROR(__xludf.DUMMYFUNCTION("""COMPUTED_VALUE"""),44915.0)</f>
        <v>44915</v>
      </c>
      <c r="J650" s="311">
        <f>IFERROR(__xludf.DUMMYFUNCTION("""COMPUTED_VALUE"""),0.42900462962962965)</f>
        <v>0.4290046296</v>
      </c>
      <c r="K650" s="54"/>
      <c r="L650" s="7"/>
      <c r="M650" s="312"/>
      <c r="N650" s="172">
        <f>IFERROR(__xludf.DUMMYFUNCTION("""COMPUTED_VALUE"""),2.0)</f>
        <v>2</v>
      </c>
      <c r="O650" s="172"/>
      <c r="P650" s="313">
        <f>IFERROR(__xludf.DUMMYFUNCTION("""COMPUTED_VALUE"""),0.0)</f>
        <v>0</v>
      </c>
      <c r="Q650" s="76" t="b">
        <f>VLOOKUP($B650,'Run Reconcile'!B$2:O1399,14,FALSE)</f>
        <v>1</v>
      </c>
      <c r="R650" s="314" t="str">
        <f t="array" ref="R650">IF($Q650, INDEX('Run Reconcile'!A$2:A1399,MATCH(B650,'Run Reconcile'!B$2:B1399,0),1),IFERROR(0/0,""))</f>
        <v>RUN-ABRM_2022-12-20_RFR-112</v>
      </c>
      <c r="S650" s="315" t="str">
        <f t="shared" ref="S650:T650" si="1305">IF(COUNTIF(W$2:W1399, $A650) &gt; 0,TRUE,IFERROR(0/0,""))</f>
        <v/>
      </c>
      <c r="T650" s="315" t="str">
        <f t="shared" si="1305"/>
        <v/>
      </c>
      <c r="U650" s="114" t="str">
        <f t="array" ref="U650">IF(ISBLANK($R650), INDEX('Run Reconcile'!A$2:A1399, MATCH($B650, 'Run Reconcile'!B$2:B1399, 0)+Z650, 1), IFERROR(0/0,""))
</f>
        <v/>
      </c>
      <c r="V650" s="316" t="str">
        <f t="shared" si="1281"/>
        <v>RUN-ABRM_2022-12-20_RFR-112</v>
      </c>
      <c r="Y650" s="317" t="str">
        <f t="shared" si="6"/>
        <v/>
      </c>
      <c r="Z650" s="83" t="str">
        <f t="shared" si="7"/>
        <v/>
      </c>
      <c r="AA650" s="83" t="str">
        <f t="shared" si="8"/>
        <v/>
      </c>
      <c r="AB650" s="83" t="str">
        <f t="shared" si="9"/>
        <v/>
      </c>
      <c r="AC650" s="18" t="str">
        <f t="shared" ref="AC650:AD650" si="1306">IF(_xlfn.ISFORMULA(S650),IFERROR(0/0,""),TRUE)</f>
        <v/>
      </c>
      <c r="AD650" s="18" t="str">
        <f t="shared" si="1306"/>
        <v/>
      </c>
      <c r="AE650" s="43"/>
      <c r="AF650" s="58" t="s">
        <v>105</v>
      </c>
      <c r="AG650" s="55" t="str">
        <f t="shared" si="11"/>
        <v/>
      </c>
    </row>
    <row r="651">
      <c r="A651" s="7" t="str">
        <f>IFERROR(__xludf.DUMMYFUNCTION("""COMPUTED_VALUE"""),"AG1395")</f>
        <v>AG1395</v>
      </c>
      <c r="B651" s="308">
        <f>IFERROR(__xludf.DUMMYFUNCTION("""COMPUTED_VALUE"""),44915.0)</f>
        <v>44915</v>
      </c>
      <c r="C651" s="309">
        <f>IFERROR(__xludf.DUMMYFUNCTION("""COMPUTED_VALUE"""),0.28850694444444447)</f>
        <v>0.2885069444</v>
      </c>
      <c r="D651" s="7" t="str">
        <f>IFERROR(__xludf.DUMMYFUNCTION("""COMPUTED_VALUE"""),"SpABRM652382")</f>
        <v>SpABRM652382</v>
      </c>
      <c r="E651" s="310"/>
      <c r="F651" s="310"/>
      <c r="G651" s="310" t="str">
        <f>IFERROR(__xludf.DUMMYFUNCTION("""COMPUTED_VALUE"""),"Negative")</f>
        <v>Negative</v>
      </c>
      <c r="H651" s="319" t="str">
        <f>IFERROR(__xludf.DUMMYFUNCTION("""COMPUTED_VALUE"""),"Negative")</f>
        <v>Negative</v>
      </c>
      <c r="I651" s="308">
        <f>IFERROR(__xludf.DUMMYFUNCTION("""COMPUTED_VALUE"""),44915.0)</f>
        <v>44915</v>
      </c>
      <c r="J651" s="311">
        <f>IFERROR(__xludf.DUMMYFUNCTION("""COMPUTED_VALUE"""),0.4290162037037037)</f>
        <v>0.4290162037</v>
      </c>
      <c r="K651" s="54"/>
      <c r="L651" s="7"/>
      <c r="M651" s="312"/>
      <c r="N651" s="172">
        <f>IFERROR(__xludf.DUMMYFUNCTION("""COMPUTED_VALUE"""),2.0)</f>
        <v>2</v>
      </c>
      <c r="O651" s="172"/>
      <c r="P651" s="313">
        <f>IFERROR(__xludf.DUMMYFUNCTION("""COMPUTED_VALUE"""),0.0)</f>
        <v>0</v>
      </c>
      <c r="Q651" s="76" t="b">
        <f>VLOOKUP($B651,'Run Reconcile'!B$2:O1399,14,FALSE)</f>
        <v>1</v>
      </c>
      <c r="R651" s="314" t="str">
        <f t="array" ref="R651">IF($Q651, INDEX('Run Reconcile'!A$2:A1399,MATCH(B651,'Run Reconcile'!B$2:B1399,0),1),IFERROR(0/0,""))</f>
        <v>RUN-ABRM_2022-12-20_RFR-112</v>
      </c>
      <c r="S651" s="315" t="str">
        <f t="shared" ref="S651:T651" si="1307">IF(COUNTIF(W$2:W1399, $A651) &gt; 0,TRUE,IFERROR(0/0,""))</f>
        <v/>
      </c>
      <c r="T651" s="315" t="str">
        <f t="shared" si="1307"/>
        <v/>
      </c>
      <c r="U651" s="114" t="str">
        <f t="array" ref="U651">IF(ISBLANK($R651), INDEX('Run Reconcile'!A$2:A1399, MATCH($B651, 'Run Reconcile'!B$2:B1399, 0)+Z651, 1), IFERROR(0/0,""))
</f>
        <v/>
      </c>
      <c r="V651" s="316" t="str">
        <f t="shared" si="1281"/>
        <v>RUN-ABRM_2022-12-20_RFR-112</v>
      </c>
      <c r="Y651" s="317" t="str">
        <f t="shared" si="6"/>
        <v/>
      </c>
      <c r="Z651" s="83" t="str">
        <f t="shared" si="7"/>
        <v/>
      </c>
      <c r="AA651" s="83" t="str">
        <f t="shared" si="8"/>
        <v/>
      </c>
      <c r="AB651" s="83" t="str">
        <f t="shared" si="9"/>
        <v/>
      </c>
      <c r="AC651" s="18" t="str">
        <f t="shared" ref="AC651:AD651" si="1308">IF(_xlfn.ISFORMULA(S651),IFERROR(0/0,""),TRUE)</f>
        <v/>
      </c>
      <c r="AD651" s="18" t="str">
        <f t="shared" si="1308"/>
        <v/>
      </c>
      <c r="AE651" s="43"/>
      <c r="AF651" s="58" t="s">
        <v>105</v>
      </c>
      <c r="AG651" s="55" t="str">
        <f t="shared" si="11"/>
        <v/>
      </c>
    </row>
    <row r="652">
      <c r="A652" s="7" t="str">
        <f>IFERROR(__xludf.DUMMYFUNCTION("""COMPUTED_VALUE"""),"AJ8569")</f>
        <v>AJ8569</v>
      </c>
      <c r="B652" s="308">
        <f>IFERROR(__xludf.DUMMYFUNCTION("""COMPUTED_VALUE"""),44915.0)</f>
        <v>44915</v>
      </c>
      <c r="C652" s="309">
        <f>IFERROR(__xludf.DUMMYFUNCTION("""COMPUTED_VALUE"""),0.2953472222222222)</f>
        <v>0.2953472222</v>
      </c>
      <c r="D652" s="7" t="str">
        <f>IFERROR(__xludf.DUMMYFUNCTION("""COMPUTED_VALUE"""),"SpABRM297307")</f>
        <v>SpABRM297307</v>
      </c>
      <c r="E652" s="310"/>
      <c r="F652" s="310"/>
      <c r="G652" s="310" t="str">
        <f>IFERROR(__xludf.DUMMYFUNCTION("""COMPUTED_VALUE"""),"Negative")</f>
        <v>Negative</v>
      </c>
      <c r="H652" s="319" t="str">
        <f>IFERROR(__xludf.DUMMYFUNCTION("""COMPUTED_VALUE"""),"Negative")</f>
        <v>Negative</v>
      </c>
      <c r="I652" s="308">
        <f>IFERROR(__xludf.DUMMYFUNCTION("""COMPUTED_VALUE"""),44915.0)</f>
        <v>44915</v>
      </c>
      <c r="J652" s="311">
        <f>IFERROR(__xludf.DUMMYFUNCTION("""COMPUTED_VALUE"""),0.4290162037037037)</f>
        <v>0.4290162037</v>
      </c>
      <c r="K652" s="54"/>
      <c r="L652" s="7"/>
      <c r="M652" s="312"/>
      <c r="N652" s="172">
        <f>IFERROR(__xludf.DUMMYFUNCTION("""COMPUTED_VALUE"""),4.0)</f>
        <v>4</v>
      </c>
      <c r="O652" s="172"/>
      <c r="P652" s="313">
        <f>IFERROR(__xludf.DUMMYFUNCTION("""COMPUTED_VALUE"""),0.0)</f>
        <v>0</v>
      </c>
      <c r="Q652" s="76" t="b">
        <f>VLOOKUP($B652,'Run Reconcile'!B$2:O1399,14,FALSE)</f>
        <v>1</v>
      </c>
      <c r="R652" s="314" t="str">
        <f t="array" ref="R652">IF($Q652, INDEX('Run Reconcile'!A$2:A1399,MATCH(B652,'Run Reconcile'!B$2:B1399,0),1),IFERROR(0/0,""))</f>
        <v>RUN-ABRM_2022-12-20_RFR-112</v>
      </c>
      <c r="S652" s="315" t="str">
        <f t="shared" ref="S652:T652" si="1309">IF(COUNTIF(W$2:W1399, $A652) &gt; 0,TRUE,IFERROR(0/0,""))</f>
        <v/>
      </c>
      <c r="T652" s="315" t="str">
        <f t="shared" si="1309"/>
        <v/>
      </c>
      <c r="U652" s="114" t="str">
        <f t="array" ref="U652">IF(ISBLANK($R652), INDEX('Run Reconcile'!A$2:A1399, MATCH($B652, 'Run Reconcile'!B$2:B1399, 0)+Z652, 1), IFERROR(0/0,""))
</f>
        <v/>
      </c>
      <c r="V652" s="316" t="str">
        <f t="shared" si="1281"/>
        <v>RUN-ABRM_2022-12-20_RFR-112</v>
      </c>
      <c r="Y652" s="317" t="str">
        <f t="shared" si="6"/>
        <v/>
      </c>
      <c r="Z652" s="83" t="str">
        <f t="shared" si="7"/>
        <v/>
      </c>
      <c r="AA652" s="83" t="str">
        <f t="shared" si="8"/>
        <v/>
      </c>
      <c r="AB652" s="83" t="str">
        <f t="shared" si="9"/>
        <v/>
      </c>
      <c r="AC652" s="18" t="str">
        <f t="shared" ref="AC652:AD652" si="1310">IF(_xlfn.ISFORMULA(S652),IFERROR(0/0,""),TRUE)</f>
        <v/>
      </c>
      <c r="AD652" s="18" t="str">
        <f t="shared" si="1310"/>
        <v/>
      </c>
      <c r="AE652" s="43"/>
      <c r="AF652" s="58" t="s">
        <v>105</v>
      </c>
      <c r="AG652" s="55" t="str">
        <f t="shared" si="11"/>
        <v/>
      </c>
    </row>
    <row r="653">
      <c r="A653" s="7" t="str">
        <f>IFERROR(__xludf.DUMMYFUNCTION("""COMPUTED_VALUE"""),"AH6753")</f>
        <v>AH6753</v>
      </c>
      <c r="B653" s="308">
        <f>IFERROR(__xludf.DUMMYFUNCTION("""COMPUTED_VALUE"""),44915.0)</f>
        <v>44915</v>
      </c>
      <c r="C653" s="309">
        <f>IFERROR(__xludf.DUMMYFUNCTION("""COMPUTED_VALUE"""),0.29608796296296297)</f>
        <v>0.296087963</v>
      </c>
      <c r="D653" s="7" t="str">
        <f>IFERROR(__xludf.DUMMYFUNCTION("""COMPUTED_VALUE"""),"SpABRM128250")</f>
        <v>SpABRM128250</v>
      </c>
      <c r="E653" s="310"/>
      <c r="F653" s="310"/>
      <c r="G653" s="310" t="str">
        <f>IFERROR(__xludf.DUMMYFUNCTION("""COMPUTED_VALUE"""),"Negative")</f>
        <v>Negative</v>
      </c>
      <c r="H653" s="319" t="str">
        <f>IFERROR(__xludf.DUMMYFUNCTION("""COMPUTED_VALUE"""),"Negative")</f>
        <v>Negative</v>
      </c>
      <c r="I653" s="308">
        <f>IFERROR(__xludf.DUMMYFUNCTION("""COMPUTED_VALUE"""),44915.0)</f>
        <v>44915</v>
      </c>
      <c r="J653" s="311">
        <f>IFERROR(__xludf.DUMMYFUNCTION("""COMPUTED_VALUE"""),0.4290162037037037)</f>
        <v>0.4290162037</v>
      </c>
      <c r="K653" s="54"/>
      <c r="L653" s="7"/>
      <c r="M653" s="312"/>
      <c r="N653" s="172">
        <f>IFERROR(__xludf.DUMMYFUNCTION("""COMPUTED_VALUE"""),3.0)</f>
        <v>3</v>
      </c>
      <c r="O653" s="172"/>
      <c r="P653" s="313">
        <f>IFERROR(__xludf.DUMMYFUNCTION("""COMPUTED_VALUE"""),0.0)</f>
        <v>0</v>
      </c>
      <c r="Q653" s="76" t="b">
        <f>VLOOKUP($B653,'Run Reconcile'!B$2:O1399,14,FALSE)</f>
        <v>1</v>
      </c>
      <c r="R653" s="314" t="str">
        <f t="array" ref="R653">IF($Q653, INDEX('Run Reconcile'!A$2:A1399,MATCH(B653,'Run Reconcile'!B$2:B1399,0),1),IFERROR(0/0,""))</f>
        <v>RUN-ABRM_2022-12-20_RFR-112</v>
      </c>
      <c r="S653" s="315" t="str">
        <f t="shared" ref="S653:T653" si="1311">IF(COUNTIF(W$2:W1399, $A653) &gt; 0,TRUE,IFERROR(0/0,""))</f>
        <v/>
      </c>
      <c r="T653" s="315" t="str">
        <f t="shared" si="1311"/>
        <v/>
      </c>
      <c r="U653" s="114" t="str">
        <f t="array" ref="U653">IF(ISBLANK($R653), INDEX('Run Reconcile'!A$2:A1399, MATCH($B653, 'Run Reconcile'!B$2:B1399, 0)+Z653, 1), IFERROR(0/0,""))
</f>
        <v/>
      </c>
      <c r="V653" s="316" t="str">
        <f t="shared" si="1281"/>
        <v>RUN-ABRM_2022-12-20_RFR-112</v>
      </c>
      <c r="Y653" s="317" t="str">
        <f t="shared" si="6"/>
        <v/>
      </c>
      <c r="Z653" s="83" t="str">
        <f t="shared" si="7"/>
        <v/>
      </c>
      <c r="AA653" s="83" t="str">
        <f t="shared" si="8"/>
        <v/>
      </c>
      <c r="AB653" s="83" t="str">
        <f t="shared" si="9"/>
        <v/>
      </c>
      <c r="AC653" s="18" t="str">
        <f t="shared" ref="AC653:AD653" si="1312">IF(_xlfn.ISFORMULA(S653),IFERROR(0/0,""),TRUE)</f>
        <v/>
      </c>
      <c r="AD653" s="18" t="str">
        <f t="shared" si="1312"/>
        <v/>
      </c>
      <c r="AE653" s="43"/>
      <c r="AF653" s="58" t="s">
        <v>105</v>
      </c>
      <c r="AG653" s="55" t="str">
        <f t="shared" si="11"/>
        <v/>
      </c>
    </row>
    <row r="654">
      <c r="A654" s="7" t="str">
        <f>IFERROR(__xludf.DUMMYFUNCTION("""COMPUTED_VALUE"""),"AH59")</f>
        <v>AH59</v>
      </c>
      <c r="B654" s="308">
        <f>IFERROR(__xludf.DUMMYFUNCTION("""COMPUTED_VALUE"""),44915.0)</f>
        <v>44915</v>
      </c>
      <c r="C654" s="309">
        <f>IFERROR(__xludf.DUMMYFUNCTION("""COMPUTED_VALUE"""),0.3101273148148148)</f>
        <v>0.3101273148</v>
      </c>
      <c r="D654" s="7" t="str">
        <f>IFERROR(__xludf.DUMMYFUNCTION("""COMPUTED_VALUE"""),"SpABRM655136")</f>
        <v>SpABRM655136</v>
      </c>
      <c r="E654" s="310"/>
      <c r="F654" s="310"/>
      <c r="G654" s="310" t="str">
        <f>IFERROR(__xludf.DUMMYFUNCTION("""COMPUTED_VALUE"""),"Negative")</f>
        <v>Negative</v>
      </c>
      <c r="H654" s="319" t="str">
        <f>IFERROR(__xludf.DUMMYFUNCTION("""COMPUTED_VALUE"""),"Negative")</f>
        <v>Negative</v>
      </c>
      <c r="I654" s="308">
        <f>IFERROR(__xludf.DUMMYFUNCTION("""COMPUTED_VALUE"""),44915.0)</f>
        <v>44915</v>
      </c>
      <c r="J654" s="311">
        <f>IFERROR(__xludf.DUMMYFUNCTION("""COMPUTED_VALUE"""),0.4290277777777778)</f>
        <v>0.4290277778</v>
      </c>
      <c r="K654" s="54"/>
      <c r="L654" s="7"/>
      <c r="M654" s="312"/>
      <c r="N654" s="172">
        <f>IFERROR(__xludf.DUMMYFUNCTION("""COMPUTED_VALUE"""),2.0)</f>
        <v>2</v>
      </c>
      <c r="O654" s="172"/>
      <c r="P654" s="313">
        <f>IFERROR(__xludf.DUMMYFUNCTION("""COMPUTED_VALUE"""),0.0)</f>
        <v>0</v>
      </c>
      <c r="Q654" s="76" t="b">
        <f>VLOOKUP($B654,'Run Reconcile'!B$2:O1399,14,FALSE)</f>
        <v>1</v>
      </c>
      <c r="R654" s="314" t="str">
        <f t="array" ref="R654">IF($Q654, INDEX('Run Reconcile'!A$2:A1399,MATCH(B654,'Run Reconcile'!B$2:B1399,0),1),IFERROR(0/0,""))</f>
        <v>RUN-ABRM_2022-12-20_RFR-112</v>
      </c>
      <c r="S654" s="315" t="str">
        <f t="shared" ref="S654:T654" si="1313">IF(COUNTIF(W$2:W1399, $A654) &gt; 0,TRUE,IFERROR(0/0,""))</f>
        <v/>
      </c>
      <c r="T654" s="315" t="str">
        <f t="shared" si="1313"/>
        <v/>
      </c>
      <c r="U654" s="114" t="str">
        <f t="array" ref="U654">IF(ISBLANK($R654), INDEX('Run Reconcile'!A$2:A1399, MATCH($B654, 'Run Reconcile'!B$2:B1399, 0)+Z654, 1), IFERROR(0/0,""))
</f>
        <v/>
      </c>
      <c r="V654" s="316" t="str">
        <f t="shared" si="1281"/>
        <v>RUN-ABRM_2022-12-20_RFR-112</v>
      </c>
      <c r="Y654" s="317" t="str">
        <f t="shared" si="6"/>
        <v/>
      </c>
      <c r="Z654" s="83" t="str">
        <f t="shared" si="7"/>
        <v/>
      </c>
      <c r="AA654" s="83" t="str">
        <f t="shared" si="8"/>
        <v/>
      </c>
      <c r="AB654" s="83" t="str">
        <f t="shared" si="9"/>
        <v/>
      </c>
      <c r="AC654" s="18" t="str">
        <f t="shared" ref="AC654:AD654" si="1314">IF(_xlfn.ISFORMULA(S654),IFERROR(0/0,""),TRUE)</f>
        <v/>
      </c>
      <c r="AD654" s="18" t="str">
        <f t="shared" si="1314"/>
        <v/>
      </c>
      <c r="AE654" s="43"/>
      <c r="AF654" s="58" t="s">
        <v>105</v>
      </c>
      <c r="AG654" s="55" t="str">
        <f t="shared" si="11"/>
        <v/>
      </c>
    </row>
    <row r="655">
      <c r="A655" s="7" t="str">
        <f>IFERROR(__xludf.DUMMYFUNCTION("""COMPUTED_VALUE"""),"AG2339")</f>
        <v>AG2339</v>
      </c>
      <c r="B655" s="308">
        <f>IFERROR(__xludf.DUMMYFUNCTION("""COMPUTED_VALUE"""),44915.0)</f>
        <v>44915</v>
      </c>
      <c r="C655" s="309">
        <f>IFERROR(__xludf.DUMMYFUNCTION("""COMPUTED_VALUE"""),0.31776620370370373)</f>
        <v>0.3177662037</v>
      </c>
      <c r="D655" s="7" t="str">
        <f>IFERROR(__xludf.DUMMYFUNCTION("""COMPUTED_VALUE"""),"SpABRM814022")</f>
        <v>SpABRM814022</v>
      </c>
      <c r="E655" s="310"/>
      <c r="F655" s="310"/>
      <c r="G655" s="310" t="str">
        <f>IFERROR(__xludf.DUMMYFUNCTION("""COMPUTED_VALUE"""),"Negative")</f>
        <v>Negative</v>
      </c>
      <c r="H655" s="319" t="str">
        <f>IFERROR(__xludf.DUMMYFUNCTION("""COMPUTED_VALUE"""),"Negative")</f>
        <v>Negative</v>
      </c>
      <c r="I655" s="308">
        <f>IFERROR(__xludf.DUMMYFUNCTION("""COMPUTED_VALUE"""),44915.0)</f>
        <v>44915</v>
      </c>
      <c r="J655" s="311">
        <f>IFERROR(__xludf.DUMMYFUNCTION("""COMPUTED_VALUE"""),0.4290277777777778)</f>
        <v>0.4290277778</v>
      </c>
      <c r="K655" s="54"/>
      <c r="L655" s="7"/>
      <c r="M655" s="312"/>
      <c r="N655" s="172">
        <f>IFERROR(__xludf.DUMMYFUNCTION("""COMPUTED_VALUE"""),1.0)</f>
        <v>1</v>
      </c>
      <c r="O655" s="172"/>
      <c r="P655" s="313">
        <f>IFERROR(__xludf.DUMMYFUNCTION("""COMPUTED_VALUE"""),0.0)</f>
        <v>0</v>
      </c>
      <c r="Q655" s="76" t="b">
        <f>VLOOKUP($B655,'Run Reconcile'!B$2:O1399,14,FALSE)</f>
        <v>1</v>
      </c>
      <c r="R655" s="314" t="str">
        <f t="array" ref="R655">IF($Q655, INDEX('Run Reconcile'!A$2:A1399,MATCH(B655,'Run Reconcile'!B$2:B1399,0),1),IFERROR(0/0,""))</f>
        <v>RUN-ABRM_2022-12-20_RFR-112</v>
      </c>
      <c r="S655" s="315" t="str">
        <f t="shared" ref="S655:T655" si="1315">IF(COUNTIF(W$2:W1399, $A655) &gt; 0,TRUE,IFERROR(0/0,""))</f>
        <v/>
      </c>
      <c r="T655" s="315" t="str">
        <f t="shared" si="1315"/>
        <v/>
      </c>
      <c r="U655" s="114" t="str">
        <f t="array" ref="U655">IF(ISBLANK($R655), INDEX('Run Reconcile'!A$2:A1399, MATCH($B655, 'Run Reconcile'!B$2:B1399, 0)+Z655, 1), IFERROR(0/0,""))
</f>
        <v/>
      </c>
      <c r="V655" s="316" t="str">
        <f t="shared" si="1281"/>
        <v>RUN-ABRM_2022-12-20_RFR-112</v>
      </c>
      <c r="Y655" s="317" t="str">
        <f t="shared" si="6"/>
        <v/>
      </c>
      <c r="Z655" s="83" t="str">
        <f t="shared" si="7"/>
        <v/>
      </c>
      <c r="AA655" s="83" t="str">
        <f t="shared" si="8"/>
        <v/>
      </c>
      <c r="AB655" s="83" t="str">
        <f t="shared" si="9"/>
        <v/>
      </c>
      <c r="AC655" s="18" t="str">
        <f t="shared" ref="AC655:AD655" si="1316">IF(_xlfn.ISFORMULA(S655),IFERROR(0/0,""),TRUE)</f>
        <v/>
      </c>
      <c r="AD655" s="18" t="str">
        <f t="shared" si="1316"/>
        <v/>
      </c>
      <c r="AE655" s="43"/>
      <c r="AF655" s="58" t="s">
        <v>105</v>
      </c>
      <c r="AG655" s="55" t="str">
        <f t="shared" si="11"/>
        <v/>
      </c>
    </row>
    <row r="656">
      <c r="A656" s="7" t="str">
        <f>IFERROR(__xludf.DUMMYFUNCTION("""COMPUTED_VALUE"""),"AH112")</f>
        <v>AH112</v>
      </c>
      <c r="B656" s="308">
        <f>IFERROR(__xludf.DUMMYFUNCTION("""COMPUTED_VALUE"""),44915.0)</f>
        <v>44915</v>
      </c>
      <c r="C656" s="309">
        <f>IFERROR(__xludf.DUMMYFUNCTION("""COMPUTED_VALUE"""),0.32241898148148146)</f>
        <v>0.3224189815</v>
      </c>
      <c r="D656" s="7" t="str">
        <f>IFERROR(__xludf.DUMMYFUNCTION("""COMPUTED_VALUE"""),"SpABRM655136")</f>
        <v>SpABRM655136</v>
      </c>
      <c r="E656" s="310"/>
      <c r="F656" s="310"/>
      <c r="G656" s="310" t="str">
        <f>IFERROR(__xludf.DUMMYFUNCTION("""COMPUTED_VALUE"""),"Positive")</f>
        <v>Positive</v>
      </c>
      <c r="H656" s="319" t="str">
        <f>IFERROR(__xludf.DUMMYFUNCTION("""COMPUTED_VALUE"""),"Positive")</f>
        <v>Positive</v>
      </c>
      <c r="I656" s="308">
        <f>IFERROR(__xludf.DUMMYFUNCTION("""COMPUTED_VALUE"""),44915.0)</f>
        <v>44915</v>
      </c>
      <c r="J656" s="311">
        <f>IFERROR(__xludf.DUMMYFUNCTION("""COMPUTED_VALUE"""),0.42900462962962965)</f>
        <v>0.4290046296</v>
      </c>
      <c r="K656" s="54"/>
      <c r="L656" s="7"/>
      <c r="M656" s="312"/>
      <c r="N656" s="172">
        <f>IFERROR(__xludf.DUMMYFUNCTION("""COMPUTED_VALUE"""),1.0)</f>
        <v>1</v>
      </c>
      <c r="O656" s="172"/>
      <c r="P656" s="313">
        <f>IFERROR(__xludf.DUMMYFUNCTION("""COMPUTED_VALUE"""),0.0)</f>
        <v>0</v>
      </c>
      <c r="Q656" s="76" t="b">
        <f>VLOOKUP($B656,'Run Reconcile'!B$2:O1399,14,FALSE)</f>
        <v>1</v>
      </c>
      <c r="R656" s="314" t="str">
        <f t="array" ref="R656">IF($Q656, INDEX('Run Reconcile'!A$2:A1399,MATCH(B656,'Run Reconcile'!B$2:B1399,0),1),IFERROR(0/0,""))</f>
        <v>RUN-ABRM_2022-12-20_RFR-112</v>
      </c>
      <c r="S656" s="315" t="str">
        <f t="shared" ref="S656:T656" si="1317">IF(COUNTIF(W$2:W1399, $A656) &gt; 0,TRUE,IFERROR(0/0,""))</f>
        <v/>
      </c>
      <c r="T656" s="315" t="str">
        <f t="shared" si="1317"/>
        <v/>
      </c>
      <c r="U656" s="114" t="str">
        <f t="array" ref="U656">IF(ISBLANK($R656), INDEX('Run Reconcile'!A$2:A1399, MATCH($B656, 'Run Reconcile'!B$2:B1399, 0)+Z656, 1), IFERROR(0/0,""))
</f>
        <v/>
      </c>
      <c r="V656" s="316" t="str">
        <f t="shared" si="1281"/>
        <v>RUN-ABRM_2022-12-20_RFR-112</v>
      </c>
      <c r="Y656" s="317" t="str">
        <f t="shared" si="6"/>
        <v/>
      </c>
      <c r="Z656" s="83" t="str">
        <f t="shared" si="7"/>
        <v/>
      </c>
      <c r="AA656" s="83" t="str">
        <f t="shared" si="8"/>
        <v/>
      </c>
      <c r="AB656" s="83" t="str">
        <f t="shared" si="9"/>
        <v/>
      </c>
      <c r="AC656" s="18" t="str">
        <f t="shared" ref="AC656:AD656" si="1318">IF(_xlfn.ISFORMULA(S656),IFERROR(0/0,""),TRUE)</f>
        <v/>
      </c>
      <c r="AD656" s="18" t="str">
        <f t="shared" si="1318"/>
        <v/>
      </c>
      <c r="AE656" s="43"/>
      <c r="AF656" s="58" t="s">
        <v>105</v>
      </c>
      <c r="AG656" s="55" t="str">
        <f t="shared" si="11"/>
        <v/>
      </c>
    </row>
    <row r="657">
      <c r="A657" s="7" t="str">
        <f>IFERROR(__xludf.DUMMYFUNCTION("""COMPUTED_VALUE"""),"AJ9480")</f>
        <v>AJ9480</v>
      </c>
      <c r="B657" s="308">
        <f>IFERROR(__xludf.DUMMYFUNCTION("""COMPUTED_VALUE"""),44915.0)</f>
        <v>44915</v>
      </c>
      <c r="C657" s="309">
        <f>IFERROR(__xludf.DUMMYFUNCTION("""COMPUTED_VALUE"""),0.3227083333333333)</f>
        <v>0.3227083333</v>
      </c>
      <c r="D657" s="7" t="str">
        <f>IFERROR(__xludf.DUMMYFUNCTION("""COMPUTED_VALUE"""),"SpABRM655136")</f>
        <v>SpABRM655136</v>
      </c>
      <c r="E657" s="310"/>
      <c r="F657" s="310"/>
      <c r="G657" s="310" t="str">
        <f>IFERROR(__xludf.DUMMYFUNCTION("""COMPUTED_VALUE"""),"Positive")</f>
        <v>Positive</v>
      </c>
      <c r="H657" s="319" t="str">
        <f>IFERROR(__xludf.DUMMYFUNCTION("""COMPUTED_VALUE"""),"Positive")</f>
        <v>Positive</v>
      </c>
      <c r="I657" s="308">
        <f>IFERROR(__xludf.DUMMYFUNCTION("""COMPUTED_VALUE"""),44915.0)</f>
        <v>44915</v>
      </c>
      <c r="J657" s="311">
        <f>IFERROR(__xludf.DUMMYFUNCTION("""COMPUTED_VALUE"""),0.4290162037037037)</f>
        <v>0.4290162037</v>
      </c>
      <c r="K657" s="54"/>
      <c r="L657" s="7"/>
      <c r="M657" s="312"/>
      <c r="N657" s="172">
        <f>IFERROR(__xludf.DUMMYFUNCTION("""COMPUTED_VALUE"""),1.0)</f>
        <v>1</v>
      </c>
      <c r="O657" s="172"/>
      <c r="P657" s="313">
        <f>IFERROR(__xludf.DUMMYFUNCTION("""COMPUTED_VALUE"""),0.0)</f>
        <v>0</v>
      </c>
      <c r="Q657" s="76" t="b">
        <f>VLOOKUP($B657,'Run Reconcile'!B$2:O1399,14,FALSE)</f>
        <v>1</v>
      </c>
      <c r="R657" s="314" t="str">
        <f t="array" ref="R657">IF($Q657, INDEX('Run Reconcile'!A$2:A1399,MATCH(B657,'Run Reconcile'!B$2:B1399,0),1),IFERROR(0/0,""))</f>
        <v>RUN-ABRM_2022-12-20_RFR-112</v>
      </c>
      <c r="S657" s="315" t="str">
        <f t="shared" ref="S657:T657" si="1319">IF(COUNTIF(W$2:W1399, $A657) &gt; 0,TRUE,IFERROR(0/0,""))</f>
        <v/>
      </c>
      <c r="T657" s="315" t="str">
        <f t="shared" si="1319"/>
        <v/>
      </c>
      <c r="U657" s="114" t="str">
        <f t="array" ref="U657">IF(ISBLANK($R657), INDEX('Run Reconcile'!A$2:A1399, MATCH($B657, 'Run Reconcile'!B$2:B1399, 0)+Z657, 1), IFERROR(0/0,""))
</f>
        <v/>
      </c>
      <c r="V657" s="316" t="str">
        <f t="shared" si="1281"/>
        <v>RUN-ABRM_2022-12-20_RFR-112</v>
      </c>
      <c r="Y657" s="317" t="str">
        <f t="shared" si="6"/>
        <v/>
      </c>
      <c r="Z657" s="83" t="str">
        <f t="shared" si="7"/>
        <v/>
      </c>
      <c r="AA657" s="83" t="str">
        <f t="shared" si="8"/>
        <v/>
      </c>
      <c r="AB657" s="83" t="str">
        <f t="shared" si="9"/>
        <v/>
      </c>
      <c r="AC657" s="18" t="str">
        <f t="shared" ref="AC657:AD657" si="1320">IF(_xlfn.ISFORMULA(S657),IFERROR(0/0,""),TRUE)</f>
        <v/>
      </c>
      <c r="AD657" s="18" t="str">
        <f t="shared" si="1320"/>
        <v/>
      </c>
      <c r="AE657" s="43"/>
      <c r="AF657" s="58" t="s">
        <v>105</v>
      </c>
      <c r="AG657" s="55" t="str">
        <f t="shared" si="11"/>
        <v/>
      </c>
    </row>
    <row r="658">
      <c r="A658" s="7" t="str">
        <f>IFERROR(__xludf.DUMMYFUNCTION("""COMPUTED_VALUE"""),"AK6205")</f>
        <v>AK6205</v>
      </c>
      <c r="B658" s="308">
        <f>IFERROR(__xludf.DUMMYFUNCTION("""COMPUTED_VALUE"""),44915.0)</f>
        <v>44915</v>
      </c>
      <c r="C658" s="309">
        <f>IFERROR(__xludf.DUMMYFUNCTION("""COMPUTED_VALUE"""),0.3748842592592593)</f>
        <v>0.3748842593</v>
      </c>
      <c r="D658" s="7" t="str">
        <f>IFERROR(__xludf.DUMMYFUNCTION("""COMPUTED_VALUE"""),"SpABRM655136")</f>
        <v>SpABRM655136</v>
      </c>
      <c r="E658" s="310"/>
      <c r="F658" s="310"/>
      <c r="G658" s="310" t="str">
        <f>IFERROR(__xludf.DUMMYFUNCTION("""COMPUTED_VALUE"""),"Negative")</f>
        <v>Negative</v>
      </c>
      <c r="H658" s="319" t="str">
        <f>IFERROR(__xludf.DUMMYFUNCTION("""COMPUTED_VALUE"""),"Negative")</f>
        <v>Negative</v>
      </c>
      <c r="I658" s="308">
        <f>IFERROR(__xludf.DUMMYFUNCTION("""COMPUTED_VALUE"""),44915.0)</f>
        <v>44915</v>
      </c>
      <c r="J658" s="311">
        <f>IFERROR(__xludf.DUMMYFUNCTION("""COMPUTED_VALUE"""),0.4290393518518518)</f>
        <v>0.4290393519</v>
      </c>
      <c r="K658" s="54"/>
      <c r="L658" s="7"/>
      <c r="M658" s="312"/>
      <c r="N658" s="172">
        <f>IFERROR(__xludf.DUMMYFUNCTION("""COMPUTED_VALUE"""),2.0)</f>
        <v>2</v>
      </c>
      <c r="O658" s="172"/>
      <c r="P658" s="313">
        <f>IFERROR(__xludf.DUMMYFUNCTION("""COMPUTED_VALUE"""),0.0)</f>
        <v>0</v>
      </c>
      <c r="Q658" s="76" t="b">
        <f>VLOOKUP($B658,'Run Reconcile'!B$2:O1399,14,FALSE)</f>
        <v>1</v>
      </c>
      <c r="R658" s="314" t="str">
        <f t="array" ref="R658">IF($Q658, INDEX('Run Reconcile'!A$2:A1399,MATCH(B658,'Run Reconcile'!B$2:B1399,0),1),IFERROR(0/0,""))</f>
        <v>RUN-ABRM_2022-12-20_RFR-112</v>
      </c>
      <c r="S658" s="315" t="str">
        <f t="shared" ref="S658:T658" si="1321">IF(COUNTIF(W$2:W1399, $A658) &gt; 0,TRUE,IFERROR(0/0,""))</f>
        <v/>
      </c>
      <c r="T658" s="315" t="str">
        <f t="shared" si="1321"/>
        <v/>
      </c>
      <c r="U658" s="114" t="str">
        <f t="array" ref="U658">IF(ISBLANK($R658), INDEX('Run Reconcile'!A$2:A1399, MATCH($B658, 'Run Reconcile'!B$2:B1399, 0)+Z658, 1), IFERROR(0/0,""))
</f>
        <v/>
      </c>
      <c r="V658" s="316" t="str">
        <f t="shared" si="1281"/>
        <v>RUN-ABRM_2022-12-20_RFR-112</v>
      </c>
      <c r="Y658" s="317" t="str">
        <f t="shared" si="6"/>
        <v/>
      </c>
      <c r="Z658" s="83" t="str">
        <f t="shared" si="7"/>
        <v/>
      </c>
      <c r="AA658" s="83" t="str">
        <f t="shared" si="8"/>
        <v/>
      </c>
      <c r="AB658" s="83" t="str">
        <f t="shared" si="9"/>
        <v/>
      </c>
      <c r="AC658" s="18" t="str">
        <f t="shared" ref="AC658:AD658" si="1322">IF(_xlfn.ISFORMULA(S658),IFERROR(0/0,""),TRUE)</f>
        <v/>
      </c>
      <c r="AD658" s="18" t="str">
        <f t="shared" si="1322"/>
        <v/>
      </c>
      <c r="AE658" s="43"/>
      <c r="AF658" s="58" t="s">
        <v>105</v>
      </c>
      <c r="AG658" s="55" t="str">
        <f t="shared" si="11"/>
        <v/>
      </c>
    </row>
    <row r="659">
      <c r="A659" s="120" t="str">
        <f>IFERROR(__xludf.DUMMYFUNCTION("""COMPUTED_VALUE"""),"AH857")</f>
        <v>AH857</v>
      </c>
      <c r="B659" s="320">
        <f>IFERROR(__xludf.DUMMYFUNCTION("""COMPUTED_VALUE"""),44916.0)</f>
        <v>44916</v>
      </c>
      <c r="C659" s="321">
        <f>IFERROR(__xludf.DUMMYFUNCTION("""COMPUTED_VALUE"""),0.2970833333333333)</f>
        <v>0.2970833333</v>
      </c>
      <c r="D659" s="120" t="str">
        <f>IFERROR(__xludf.DUMMYFUNCTION("""COMPUTED_VALUE"""),"SpABRM297307")</f>
        <v>SpABRM297307</v>
      </c>
      <c r="E659" s="322"/>
      <c r="F659" s="322"/>
      <c r="G659" s="322" t="str">
        <f>IFERROR(__xludf.DUMMYFUNCTION("""COMPUTED_VALUE"""),"Negative")</f>
        <v>Negative</v>
      </c>
      <c r="H659" s="323" t="str">
        <f>IFERROR(__xludf.DUMMYFUNCTION("""COMPUTED_VALUE"""),"Negative")</f>
        <v>Negative</v>
      </c>
      <c r="I659" s="320">
        <f>IFERROR(__xludf.DUMMYFUNCTION("""COMPUTED_VALUE"""),44916.0)</f>
        <v>44916</v>
      </c>
      <c r="J659" s="324">
        <f>IFERROR(__xludf.DUMMYFUNCTION("""COMPUTED_VALUE"""),0.39122685185185185)</f>
        <v>0.3912268519</v>
      </c>
      <c r="K659" s="123"/>
      <c r="L659" s="120"/>
      <c r="M659" s="325"/>
      <c r="N659" s="283">
        <f>IFERROR(__xludf.DUMMYFUNCTION("""COMPUTED_VALUE"""),4.0)</f>
        <v>4</v>
      </c>
      <c r="O659" s="283"/>
      <c r="P659" s="326">
        <f>IFERROR(__xludf.DUMMYFUNCTION("""COMPUTED_VALUE"""),0.0)</f>
        <v>0</v>
      </c>
      <c r="Q659" s="293" t="str">
        <f>VLOOKUP($B659,'Run Reconcile'!B$2:O1399,14,FALSE)</f>
        <v/>
      </c>
      <c r="R659" s="327" t="str">
        <f t="array" ref="R659">IF($Q659, INDEX('Run Reconcile'!A$2:A1399,MATCH(B659,'Run Reconcile'!B$2:B1399,0),1),IFERROR(0/0,""))</f>
        <v/>
      </c>
      <c r="S659" s="328" t="str">
        <f t="shared" ref="S659:T659" si="1323">IF(COUNTIF(W$2:W1399, $A659) &gt; 0,TRUE,IFERROR(0/0,""))</f>
        <v/>
      </c>
      <c r="T659" s="328" t="str">
        <f t="shared" si="1323"/>
        <v/>
      </c>
      <c r="U659" s="114" t="str">
        <f t="array" ref="U659">IF(ISBLANK($R659), INDEX('Run Reconcile'!A$2:A1399, MATCH($B659, 'Run Reconcile'!B$2:B1399, 0)+Z659, 1), IFERROR(0/0,""))
</f>
        <v>RUN-ABRM_2022-12-21_RFR-113</v>
      </c>
      <c r="V659" s="329" t="str">
        <f t="shared" si="1281"/>
        <v>RUN-ABRM_2022-12-21_RFR-113</v>
      </c>
      <c r="W659" s="120"/>
      <c r="X659" s="120"/>
      <c r="Y659" s="317" t="str">
        <f t="shared" si="6"/>
        <v/>
      </c>
      <c r="Z659" s="83" t="str">
        <f t="shared" si="7"/>
        <v/>
      </c>
      <c r="AA659" s="83" t="str">
        <f t="shared" si="8"/>
        <v/>
      </c>
      <c r="AB659" s="83" t="str">
        <f t="shared" si="9"/>
        <v/>
      </c>
      <c r="AC659" s="263" t="str">
        <f t="shared" ref="AC659:AD659" si="1324">IF(_xlfn.ISFORMULA(S659),IFERROR(0/0,""),TRUE)</f>
        <v/>
      </c>
      <c r="AD659" s="263" t="str">
        <f t="shared" si="1324"/>
        <v/>
      </c>
      <c r="AE659" s="125"/>
      <c r="AF659" s="330" t="s">
        <v>107</v>
      </c>
      <c r="AG659" s="55" t="str">
        <f t="shared" si="11"/>
        <v/>
      </c>
      <c r="AH659" s="120"/>
      <c r="AI659" s="120"/>
      <c r="AJ659" s="120"/>
      <c r="AK659" s="120"/>
    </row>
    <row r="660">
      <c r="A660" s="7" t="str">
        <f>IFERROR(__xludf.DUMMYFUNCTION("""COMPUTED_VALUE"""),"AH55")</f>
        <v>AH55</v>
      </c>
      <c r="B660" s="308">
        <f>IFERROR(__xludf.DUMMYFUNCTION("""COMPUTED_VALUE"""),44916.0)</f>
        <v>44916</v>
      </c>
      <c r="C660" s="309">
        <f>IFERROR(__xludf.DUMMYFUNCTION("""COMPUTED_VALUE"""),0.3179166666666667)</f>
        <v>0.3179166667</v>
      </c>
      <c r="D660" s="7" t="str">
        <f>IFERROR(__xludf.DUMMYFUNCTION("""COMPUTED_VALUE"""),"SpABRM655136")</f>
        <v>SpABRM655136</v>
      </c>
      <c r="E660" s="310"/>
      <c r="F660" s="310"/>
      <c r="G660" s="310" t="str">
        <f>IFERROR(__xludf.DUMMYFUNCTION("""COMPUTED_VALUE"""),"Negative")</f>
        <v>Negative</v>
      </c>
      <c r="H660" s="319" t="str">
        <f>IFERROR(__xludf.DUMMYFUNCTION("""COMPUTED_VALUE"""),"Negative")</f>
        <v>Negative</v>
      </c>
      <c r="I660" s="308">
        <f>IFERROR(__xludf.DUMMYFUNCTION("""COMPUTED_VALUE"""),44916.0)</f>
        <v>44916</v>
      </c>
      <c r="J660" s="311">
        <f>IFERROR(__xludf.DUMMYFUNCTION("""COMPUTED_VALUE"""),0.39123842592592595)</f>
        <v>0.3912384259</v>
      </c>
      <c r="K660" s="54"/>
      <c r="L660" s="7"/>
      <c r="M660" s="312"/>
      <c r="N660" s="172">
        <f>IFERROR(__xludf.DUMMYFUNCTION("""COMPUTED_VALUE"""),1.0)</f>
        <v>1</v>
      </c>
      <c r="O660" s="172"/>
      <c r="P660" s="313">
        <f>IFERROR(__xludf.DUMMYFUNCTION("""COMPUTED_VALUE"""),0.0)</f>
        <v>0</v>
      </c>
      <c r="Q660" s="76" t="str">
        <f>VLOOKUP($B660,'Run Reconcile'!B$2:O1399,14,FALSE)</f>
        <v/>
      </c>
      <c r="R660" s="314" t="str">
        <f t="array" ref="R660">IF($Q660, INDEX('Run Reconcile'!A$2:A1399,MATCH(B660,'Run Reconcile'!B$2:B1399,0),1),IFERROR(0/0,""))</f>
        <v/>
      </c>
      <c r="S660" s="315" t="str">
        <f t="shared" ref="S660:T660" si="1325">IF(COUNTIF(W$2:W1399, $A660) &gt; 0,TRUE,IFERROR(0/0,""))</f>
        <v/>
      </c>
      <c r="T660" s="315" t="str">
        <f t="shared" si="1325"/>
        <v/>
      </c>
      <c r="U660" s="114" t="str">
        <f t="array" ref="U660">IF(ISBLANK($R660), INDEX('Run Reconcile'!A$2:A1399, MATCH($B660, 'Run Reconcile'!B$2:B1399, 0)+Z660, 1), IFERROR(0/0,""))
</f>
        <v>RUN-ABRM_2022-12-21_RFR-113</v>
      </c>
      <c r="V660" s="316" t="str">
        <f t="shared" si="1281"/>
        <v>RUN-ABRM_2022-12-21_RFR-113</v>
      </c>
      <c r="Y660" s="317" t="str">
        <f t="shared" si="6"/>
        <v/>
      </c>
      <c r="Z660" s="83" t="str">
        <f t="shared" si="7"/>
        <v/>
      </c>
      <c r="AA660" s="83" t="str">
        <f t="shared" si="8"/>
        <v/>
      </c>
      <c r="AB660" s="83" t="str">
        <f t="shared" si="9"/>
        <v/>
      </c>
      <c r="AC660" s="18" t="str">
        <f t="shared" ref="AC660:AD660" si="1326">IF(_xlfn.ISFORMULA(S660),IFERROR(0/0,""),TRUE)</f>
        <v/>
      </c>
      <c r="AD660" s="18" t="str">
        <f t="shared" si="1326"/>
        <v/>
      </c>
      <c r="AE660" s="43"/>
      <c r="AF660" s="58" t="s">
        <v>107</v>
      </c>
      <c r="AG660" s="55" t="str">
        <f t="shared" si="11"/>
        <v/>
      </c>
    </row>
    <row r="661">
      <c r="A661" s="7" t="str">
        <f>IFERROR(__xludf.DUMMYFUNCTION("""COMPUTED_VALUE"""),"AJ7194")</f>
        <v>AJ7194</v>
      </c>
      <c r="B661" s="308">
        <f>IFERROR(__xludf.DUMMYFUNCTION("""COMPUTED_VALUE"""),44916.0)</f>
        <v>44916</v>
      </c>
      <c r="C661" s="309">
        <f>IFERROR(__xludf.DUMMYFUNCTION("""COMPUTED_VALUE"""),0.3182175925925926)</f>
        <v>0.3182175926</v>
      </c>
      <c r="D661" s="7" t="str">
        <f>IFERROR(__xludf.DUMMYFUNCTION("""COMPUTED_VALUE"""),"SpABRM655136")</f>
        <v>SpABRM655136</v>
      </c>
      <c r="E661" s="310"/>
      <c r="F661" s="310"/>
      <c r="G661" s="310" t="str">
        <f>IFERROR(__xludf.DUMMYFUNCTION("""COMPUTED_VALUE"""),"Negative")</f>
        <v>Negative</v>
      </c>
      <c r="H661" s="319" t="str">
        <f>IFERROR(__xludf.DUMMYFUNCTION("""COMPUTED_VALUE"""),"Negative")</f>
        <v>Negative</v>
      </c>
      <c r="I661" s="308">
        <f>IFERROR(__xludf.DUMMYFUNCTION("""COMPUTED_VALUE"""),44916.0)</f>
        <v>44916</v>
      </c>
      <c r="J661" s="311">
        <f>IFERROR(__xludf.DUMMYFUNCTION("""COMPUTED_VALUE"""),0.39123842592592595)</f>
        <v>0.3912384259</v>
      </c>
      <c r="K661" s="54"/>
      <c r="L661" s="7"/>
      <c r="M661" s="312"/>
      <c r="N661" s="172">
        <f>IFERROR(__xludf.DUMMYFUNCTION("""COMPUTED_VALUE"""),1.0)</f>
        <v>1</v>
      </c>
      <c r="O661" s="172"/>
      <c r="P661" s="313">
        <f>IFERROR(__xludf.DUMMYFUNCTION("""COMPUTED_VALUE"""),0.0)</f>
        <v>0</v>
      </c>
      <c r="Q661" s="76" t="str">
        <f>VLOOKUP($B661,'Run Reconcile'!B$2:O1399,14,FALSE)</f>
        <v/>
      </c>
      <c r="R661" s="314" t="str">
        <f t="array" ref="R661">IF($Q661, INDEX('Run Reconcile'!A$2:A1399,MATCH(B661,'Run Reconcile'!B$2:B1399,0),1),IFERROR(0/0,""))</f>
        <v/>
      </c>
      <c r="S661" s="315" t="str">
        <f t="shared" ref="S661:T661" si="1327">IF(COUNTIF(W$2:W1399, $A661) &gt; 0,TRUE,IFERROR(0/0,""))</f>
        <v/>
      </c>
      <c r="T661" s="315" t="str">
        <f t="shared" si="1327"/>
        <v/>
      </c>
      <c r="U661" s="114" t="str">
        <f t="array" ref="U661">IF(ISBLANK($R661), INDEX('Run Reconcile'!A$2:A1399, MATCH($B661, 'Run Reconcile'!B$2:B1399, 0)+Z661, 1), IFERROR(0/0,""))
</f>
        <v>RUN-ABRM_2022-12-21_RFR-113</v>
      </c>
      <c r="V661" s="316" t="str">
        <f t="shared" si="1281"/>
        <v>RUN-ABRM_2022-12-21_RFR-113</v>
      </c>
      <c r="Y661" s="317" t="str">
        <f t="shared" si="6"/>
        <v/>
      </c>
      <c r="Z661" s="83" t="str">
        <f t="shared" si="7"/>
        <v/>
      </c>
      <c r="AA661" s="83" t="str">
        <f t="shared" si="8"/>
        <v/>
      </c>
      <c r="AB661" s="83" t="str">
        <f t="shared" si="9"/>
        <v/>
      </c>
      <c r="AC661" s="18" t="str">
        <f t="shared" ref="AC661:AD661" si="1328">IF(_xlfn.ISFORMULA(S661),IFERROR(0/0,""),TRUE)</f>
        <v/>
      </c>
      <c r="AD661" s="18" t="str">
        <f t="shared" si="1328"/>
        <v/>
      </c>
      <c r="AE661" s="43"/>
      <c r="AF661" s="58" t="s">
        <v>107</v>
      </c>
      <c r="AG661" s="55" t="str">
        <f t="shared" si="11"/>
        <v/>
      </c>
    </row>
    <row r="662">
      <c r="A662" s="7" t="str">
        <f>IFERROR(__xludf.DUMMYFUNCTION("""COMPUTED_VALUE"""),"AJ9597")</f>
        <v>AJ9597</v>
      </c>
      <c r="B662" s="308">
        <f>IFERROR(__xludf.DUMMYFUNCTION("""COMPUTED_VALUE"""),44916.0)</f>
        <v>44916</v>
      </c>
      <c r="C662" s="309">
        <f>IFERROR(__xludf.DUMMYFUNCTION("""COMPUTED_VALUE"""),0.3262615740740741)</f>
        <v>0.3262615741</v>
      </c>
      <c r="D662" s="7" t="str">
        <f>IFERROR(__xludf.DUMMYFUNCTION("""COMPUTED_VALUE"""),"SpABRM814022")</f>
        <v>SpABRM814022</v>
      </c>
      <c r="E662" s="310"/>
      <c r="F662" s="310"/>
      <c r="G662" s="310" t="str">
        <f>IFERROR(__xludf.DUMMYFUNCTION("""COMPUTED_VALUE"""),"Negative")</f>
        <v>Negative</v>
      </c>
      <c r="H662" s="319" t="str">
        <f>IFERROR(__xludf.DUMMYFUNCTION("""COMPUTED_VALUE"""),"Negative")</f>
        <v>Negative</v>
      </c>
      <c r="I662" s="308">
        <f>IFERROR(__xludf.DUMMYFUNCTION("""COMPUTED_VALUE"""),44916.0)</f>
        <v>44916</v>
      </c>
      <c r="J662" s="311">
        <f>IFERROR(__xludf.DUMMYFUNCTION("""COMPUTED_VALUE"""),0.39123842592592595)</f>
        <v>0.3912384259</v>
      </c>
      <c r="K662" s="54"/>
      <c r="L662" s="7"/>
      <c r="M662" s="312"/>
      <c r="N662" s="172">
        <f>IFERROR(__xludf.DUMMYFUNCTION("""COMPUTED_VALUE"""),1.0)</f>
        <v>1</v>
      </c>
      <c r="O662" s="172"/>
      <c r="P662" s="313">
        <f>IFERROR(__xludf.DUMMYFUNCTION("""COMPUTED_VALUE"""),0.0)</f>
        <v>0</v>
      </c>
      <c r="Q662" s="76" t="str">
        <f>VLOOKUP($B662,'Run Reconcile'!B$2:O1399,14,FALSE)</f>
        <v/>
      </c>
      <c r="R662" s="314" t="str">
        <f t="array" ref="R662">IF($Q662, INDEX('Run Reconcile'!A$2:A1399,MATCH(B662,'Run Reconcile'!B$2:B1399,0),1),IFERROR(0/0,""))</f>
        <v/>
      </c>
      <c r="S662" s="315" t="str">
        <f t="shared" ref="S662:T662" si="1329">IF(COUNTIF(W$2:W1399, $A662) &gt; 0,TRUE,IFERROR(0/0,""))</f>
        <v/>
      </c>
      <c r="T662" s="315" t="str">
        <f t="shared" si="1329"/>
        <v/>
      </c>
      <c r="U662" s="114" t="str">
        <f t="array" ref="U662">IF(ISBLANK($R662), INDEX('Run Reconcile'!A$2:A1399, MATCH($B662, 'Run Reconcile'!B$2:B1399, 0)+Z662, 1), IFERROR(0/0,""))
</f>
        <v>RUN-ABRM_2022-12-21_RFR-113</v>
      </c>
      <c r="V662" s="316" t="str">
        <f t="shared" si="1281"/>
        <v>RUN-ABRM_2022-12-21_RFR-113</v>
      </c>
      <c r="Y662" s="317" t="str">
        <f t="shared" si="6"/>
        <v/>
      </c>
      <c r="Z662" s="83" t="str">
        <f t="shared" si="7"/>
        <v/>
      </c>
      <c r="AA662" s="83" t="str">
        <f t="shared" si="8"/>
        <v/>
      </c>
      <c r="AB662" s="83" t="str">
        <f t="shared" si="9"/>
        <v/>
      </c>
      <c r="AC662" s="18" t="str">
        <f t="shared" ref="AC662:AD662" si="1330">IF(_xlfn.ISFORMULA(S662),IFERROR(0/0,""),TRUE)</f>
        <v/>
      </c>
      <c r="AD662" s="18" t="str">
        <f t="shared" si="1330"/>
        <v/>
      </c>
      <c r="AE662" s="43"/>
      <c r="AF662" s="58" t="s">
        <v>107</v>
      </c>
      <c r="AG662" s="55" t="str">
        <f t="shared" si="11"/>
        <v/>
      </c>
    </row>
    <row r="663">
      <c r="A663" s="7" t="str">
        <f>IFERROR(__xludf.DUMMYFUNCTION("""COMPUTED_VALUE"""),"AG1300")</f>
        <v>AG1300</v>
      </c>
      <c r="B663" s="308">
        <f>IFERROR(__xludf.DUMMYFUNCTION("""COMPUTED_VALUE"""),44916.0)</f>
        <v>44916</v>
      </c>
      <c r="C663" s="309">
        <f>IFERROR(__xludf.DUMMYFUNCTION("""COMPUTED_VALUE"""),0.32944444444444443)</f>
        <v>0.3294444444</v>
      </c>
      <c r="D663" s="7" t="str">
        <f>IFERROR(__xludf.DUMMYFUNCTION("""COMPUTED_VALUE"""),"SpABRM655136")</f>
        <v>SpABRM655136</v>
      </c>
      <c r="E663" s="310"/>
      <c r="F663" s="310"/>
      <c r="G663" s="310" t="str">
        <f>IFERROR(__xludf.DUMMYFUNCTION("""COMPUTED_VALUE"""),"Negative")</f>
        <v>Negative</v>
      </c>
      <c r="H663" s="319" t="str">
        <f>IFERROR(__xludf.DUMMYFUNCTION("""COMPUTED_VALUE"""),"Negative")</f>
        <v>Negative</v>
      </c>
      <c r="I663" s="308">
        <f>IFERROR(__xludf.DUMMYFUNCTION("""COMPUTED_VALUE"""),44916.0)</f>
        <v>44916</v>
      </c>
      <c r="J663" s="311">
        <f>IFERROR(__xludf.DUMMYFUNCTION("""COMPUTED_VALUE"""),0.39125)</f>
        <v>0.39125</v>
      </c>
      <c r="K663" s="54"/>
      <c r="L663" s="7"/>
      <c r="M663" s="312"/>
      <c r="N663" s="172">
        <f>IFERROR(__xludf.DUMMYFUNCTION("""COMPUTED_VALUE"""),2.0)</f>
        <v>2</v>
      </c>
      <c r="O663" s="172"/>
      <c r="P663" s="313">
        <f>IFERROR(__xludf.DUMMYFUNCTION("""COMPUTED_VALUE"""),0.0)</f>
        <v>0</v>
      </c>
      <c r="Q663" s="76" t="str">
        <f>VLOOKUP($B663,'Run Reconcile'!B$2:O1399,14,FALSE)</f>
        <v/>
      </c>
      <c r="R663" s="314" t="str">
        <f t="array" ref="R663">IF($Q663, INDEX('Run Reconcile'!A$2:A1399,MATCH(B663,'Run Reconcile'!B$2:B1399,0),1),IFERROR(0/0,""))</f>
        <v/>
      </c>
      <c r="S663" s="315" t="str">
        <f t="shared" ref="S663:T663" si="1331">IF(COUNTIF(W$2:W1399, $A663) &gt; 0,TRUE,IFERROR(0/0,""))</f>
        <v/>
      </c>
      <c r="T663" s="315" t="str">
        <f t="shared" si="1331"/>
        <v/>
      </c>
      <c r="U663" s="114" t="str">
        <f t="array" ref="U663">IF(ISBLANK($R663), INDEX('Run Reconcile'!A$2:A1399, MATCH($B663, 'Run Reconcile'!B$2:B1399, 0)+Z663, 1), IFERROR(0/0,""))
</f>
        <v>RUN-ABRM_2022-12-21_RFR-113</v>
      </c>
      <c r="V663" s="316" t="str">
        <f t="shared" si="1281"/>
        <v>RUN-ABRM_2022-12-21_RFR-113</v>
      </c>
      <c r="Y663" s="317" t="str">
        <f t="shared" si="6"/>
        <v/>
      </c>
      <c r="Z663" s="83" t="str">
        <f t="shared" si="7"/>
        <v/>
      </c>
      <c r="AA663" s="83" t="str">
        <f t="shared" si="8"/>
        <v/>
      </c>
      <c r="AB663" s="83" t="str">
        <f t="shared" si="9"/>
        <v/>
      </c>
      <c r="AC663" s="18" t="str">
        <f t="shared" ref="AC663:AD663" si="1332">IF(_xlfn.ISFORMULA(S663),IFERROR(0/0,""),TRUE)</f>
        <v/>
      </c>
      <c r="AD663" s="18" t="str">
        <f t="shared" si="1332"/>
        <v/>
      </c>
      <c r="AE663" s="43"/>
      <c r="AF663" s="58" t="s">
        <v>107</v>
      </c>
      <c r="AG663" s="55" t="str">
        <f t="shared" si="11"/>
        <v/>
      </c>
    </row>
    <row r="664">
      <c r="A664" s="331" t="str">
        <f>IFERROR(__xludf.DUMMYFUNCTION("""COMPUTED_VALUE"""),"AJ9662")</f>
        <v>AJ9662</v>
      </c>
      <c r="B664" s="332">
        <f>IFERROR(__xludf.DUMMYFUNCTION("""COMPUTED_VALUE"""),44916.0)</f>
        <v>44916</v>
      </c>
      <c r="C664" s="333">
        <f>IFERROR(__xludf.DUMMYFUNCTION("""COMPUTED_VALUE"""),0.3914814814814815)</f>
        <v>0.3914814815</v>
      </c>
      <c r="D664" s="7" t="str">
        <f>IFERROR(__xludf.DUMMYFUNCTION("""COMPUTED_VALUE"""),"SpABRM756011")</f>
        <v>SpABRM756011</v>
      </c>
      <c r="E664" s="310"/>
      <c r="F664" s="310"/>
      <c r="G664" s="310" t="str">
        <f>IFERROR(__xludf.DUMMYFUNCTION("""COMPUTED_VALUE"""),"Negative")</f>
        <v>Negative</v>
      </c>
      <c r="H664" s="319" t="str">
        <f>IFERROR(__xludf.DUMMYFUNCTION("""COMPUTED_VALUE"""),"Negative")</f>
        <v>Negative</v>
      </c>
      <c r="I664" s="308">
        <f>IFERROR(__xludf.DUMMYFUNCTION("""COMPUTED_VALUE"""),44917.0)</f>
        <v>44917</v>
      </c>
      <c r="J664" s="311">
        <f>IFERROR(__xludf.DUMMYFUNCTION("""COMPUTED_VALUE"""),0.4137037037037037)</f>
        <v>0.4137037037</v>
      </c>
      <c r="K664" s="54"/>
      <c r="L664" s="7"/>
      <c r="M664" s="312"/>
      <c r="N664" s="172">
        <f>IFERROR(__xludf.DUMMYFUNCTION("""COMPUTED_VALUE"""),2.0)</f>
        <v>2</v>
      </c>
      <c r="O664" s="172"/>
      <c r="P664" s="313">
        <f>IFERROR(__xludf.DUMMYFUNCTION("""COMPUTED_VALUE"""),1.0)</f>
        <v>1</v>
      </c>
      <c r="Q664" s="76" t="str">
        <f>VLOOKUP($B664,'Run Reconcile'!B$2:O1399,14,FALSE)</f>
        <v/>
      </c>
      <c r="R664" s="314" t="str">
        <f t="array" ref="R664">IF($Q664, INDEX('Run Reconcile'!A$2:A1399,MATCH(B664,'Run Reconcile'!B$2:B1399,0),1),IFERROR(0/0,""))</f>
        <v/>
      </c>
      <c r="S664" s="315" t="str">
        <f t="shared" ref="S664:T664" si="1333">IF(COUNTIF(W$2:W1399, $A664) &gt; 0,TRUE,IFERROR(0/0,""))</f>
        <v/>
      </c>
      <c r="T664" s="315" t="b">
        <f t="shared" si="1333"/>
        <v>1</v>
      </c>
      <c r="U664" s="114" t="str">
        <f t="array" ref="U664">IF(ISBLANK($R664), INDEX('Run Reconcile'!A$2:A1399, MATCH($B664, 'Run Reconcile'!B$2:B1399, 0)+Z664, 1), IFERROR(0/0,""))
</f>
        <v>RUN-ABRM_2022-12-21_APS-001</v>
      </c>
      <c r="V664" s="316" t="str">
        <f t="shared" si="1281"/>
        <v>RUN-ABRM_2022-12-21_APS-001</v>
      </c>
      <c r="X664" s="7" t="s">
        <v>1371</v>
      </c>
      <c r="Y664" s="317">
        <f t="shared" si="6"/>
        <v>1</v>
      </c>
      <c r="Z664" s="83">
        <f t="shared" si="7"/>
        <v>1</v>
      </c>
      <c r="AA664" s="83" t="str">
        <f t="shared" si="8"/>
        <v/>
      </c>
      <c r="AB664" s="83">
        <f t="shared" si="9"/>
        <v>1</v>
      </c>
      <c r="AC664" s="18" t="str">
        <f t="shared" ref="AC664:AD664" si="1334">IF(_xlfn.ISFORMULA(S664),IFERROR(0/0,""),TRUE)</f>
        <v/>
      </c>
      <c r="AD664" s="18" t="str">
        <f t="shared" si="1334"/>
        <v/>
      </c>
      <c r="AE664" s="43"/>
      <c r="AF664" s="58" t="s">
        <v>107</v>
      </c>
      <c r="AG664" s="55" t="b">
        <f t="shared" si="11"/>
        <v>0</v>
      </c>
    </row>
    <row r="665">
      <c r="A665" s="120" t="str">
        <f>IFERROR(__xludf.DUMMYFUNCTION("""COMPUTED_VALUE"""),"AH7377")</f>
        <v>AH7377</v>
      </c>
      <c r="B665" s="320">
        <f>IFERROR(__xludf.DUMMYFUNCTION("""COMPUTED_VALUE"""),44917.0)</f>
        <v>44917</v>
      </c>
      <c r="C665" s="321">
        <f>IFERROR(__xludf.DUMMYFUNCTION("""COMPUTED_VALUE"""),0.1291087962962963)</f>
        <v>0.1291087963</v>
      </c>
      <c r="D665" s="120" t="str">
        <f>IFERROR(__xludf.DUMMYFUNCTION("""COMPUTED_VALUE"""),"SpABRM655136")</f>
        <v>SpABRM655136</v>
      </c>
      <c r="E665" s="322"/>
      <c r="F665" s="322"/>
      <c r="G665" s="322" t="str">
        <f>IFERROR(__xludf.DUMMYFUNCTION("""COMPUTED_VALUE"""),"Inconclusive")</f>
        <v>Inconclusive</v>
      </c>
      <c r="H665" s="323" t="str">
        <f>IFERROR(__xludf.DUMMYFUNCTION("""COMPUTED_VALUE"""),"Negative")</f>
        <v>Negative</v>
      </c>
      <c r="I665" s="320">
        <f>IFERROR(__xludf.DUMMYFUNCTION("""COMPUTED_VALUE"""),44917.0)</f>
        <v>44917</v>
      </c>
      <c r="J665" s="324">
        <f>IFERROR(__xludf.DUMMYFUNCTION("""COMPUTED_VALUE"""),0.44484953703703706)</f>
        <v>0.444849537</v>
      </c>
      <c r="K665" s="123">
        <f>IFERROR(__xludf.DUMMYFUNCTION("""COMPUTED_VALUE"""),2.5)</f>
        <v>2.5</v>
      </c>
      <c r="L665" s="120" t="str">
        <f>IFERROR(__xludf.DUMMYFUNCTION("""COMPUTED_VALUE"""),"RT Jan26 - reruns were neg")</f>
        <v>RT Jan26 - reruns were neg</v>
      </c>
      <c r="M665" s="325"/>
      <c r="N665" s="283">
        <f>IFERROR(__xludf.DUMMYFUNCTION("""COMPUTED_VALUE"""),1.0)</f>
        <v>1</v>
      </c>
      <c r="O665" s="283"/>
      <c r="P665" s="326">
        <f>IFERROR(__xludf.DUMMYFUNCTION("""COMPUTED_VALUE"""),0.0)</f>
        <v>0</v>
      </c>
      <c r="Q665" s="293" t="b">
        <f>VLOOKUP($B665,'Run Reconcile'!B$2:O1399,14,FALSE)</f>
        <v>1</v>
      </c>
      <c r="R665" s="327" t="str">
        <f t="array" ref="R665">IF($Q665, INDEX('Run Reconcile'!A$2:A1399,MATCH(B665,'Run Reconcile'!B$2:B1399,0),1),IFERROR(0/0,""))</f>
        <v>RUN-ABRM_2022-12-22_RFR-114</v>
      </c>
      <c r="S665" s="328" t="str">
        <f t="shared" ref="S665:T665" si="1335">IF(COUNTIF(W$2:W1399, $A665) &gt; 0,TRUE,IFERROR(0/0,""))</f>
        <v/>
      </c>
      <c r="T665" s="328" t="str">
        <f t="shared" si="1335"/>
        <v/>
      </c>
      <c r="U665" s="114" t="str">
        <f t="array" ref="U665">IF(ISBLANK($R665), INDEX('Run Reconcile'!A$2:A1399, MATCH($B665, 'Run Reconcile'!B$2:B1399, 0)+Z665, 1), IFERROR(0/0,""))
</f>
        <v/>
      </c>
      <c r="V665" s="329" t="str">
        <f t="shared" si="1281"/>
        <v>RUN-ABRM_2022-12-22_RFR-114</v>
      </c>
      <c r="W665" s="120"/>
      <c r="X665" s="120"/>
      <c r="Y665" s="317" t="str">
        <f t="shared" si="6"/>
        <v/>
      </c>
      <c r="Z665" s="83" t="str">
        <f t="shared" si="7"/>
        <v/>
      </c>
      <c r="AA665" s="83" t="str">
        <f t="shared" si="8"/>
        <v/>
      </c>
      <c r="AB665" s="83" t="str">
        <f t="shared" si="9"/>
        <v/>
      </c>
      <c r="AC665" s="263" t="str">
        <f t="shared" ref="AC665:AD665" si="1336">IF(_xlfn.ISFORMULA(S665),IFERROR(0/0,""),TRUE)</f>
        <v/>
      </c>
      <c r="AD665" s="263" t="str">
        <f t="shared" si="1336"/>
        <v/>
      </c>
      <c r="AE665" s="125"/>
      <c r="AF665" s="330" t="s">
        <v>108</v>
      </c>
      <c r="AG665" s="55" t="str">
        <f t="shared" si="11"/>
        <v/>
      </c>
      <c r="AH665" s="120"/>
      <c r="AI665" s="120"/>
      <c r="AJ665" s="120"/>
      <c r="AK665" s="120"/>
    </row>
    <row r="666">
      <c r="A666" s="7" t="str">
        <f>IFERROR(__xludf.DUMMYFUNCTION("""COMPUTED_VALUE"""),"AJ7334")</f>
        <v>AJ7334</v>
      </c>
      <c r="B666" s="308">
        <f>IFERROR(__xludf.DUMMYFUNCTION("""COMPUTED_VALUE"""),44917.0)</f>
        <v>44917</v>
      </c>
      <c r="C666" s="309">
        <f>IFERROR(__xludf.DUMMYFUNCTION("""COMPUTED_VALUE"""),0.19436342592592593)</f>
        <v>0.1943634259</v>
      </c>
      <c r="D666" s="7" t="str">
        <f>IFERROR(__xludf.DUMMYFUNCTION("""COMPUTED_VALUE"""),"SpABRM655136")</f>
        <v>SpABRM655136</v>
      </c>
      <c r="E666" s="310"/>
      <c r="F666" s="310"/>
      <c r="G666" s="310" t="str">
        <f>IFERROR(__xludf.DUMMYFUNCTION("""COMPUTED_VALUE"""),"Negative")</f>
        <v>Negative</v>
      </c>
      <c r="H666" s="319" t="str">
        <f>IFERROR(__xludf.DUMMYFUNCTION("""COMPUTED_VALUE"""),"Negative")</f>
        <v>Negative</v>
      </c>
      <c r="I666" s="308">
        <f>IFERROR(__xludf.DUMMYFUNCTION("""COMPUTED_VALUE"""),44917.0)</f>
        <v>44917</v>
      </c>
      <c r="J666" s="311">
        <f>IFERROR(__xludf.DUMMYFUNCTION("""COMPUTED_VALUE"""),0.4137152777777778)</f>
        <v>0.4137152778</v>
      </c>
      <c r="K666" s="54"/>
      <c r="L666" s="7"/>
      <c r="M666" s="312"/>
      <c r="N666" s="172">
        <f>IFERROR(__xludf.DUMMYFUNCTION("""COMPUTED_VALUE"""),1.0)</f>
        <v>1</v>
      </c>
      <c r="O666" s="172"/>
      <c r="P666" s="313">
        <f>IFERROR(__xludf.DUMMYFUNCTION("""COMPUTED_VALUE"""),0.0)</f>
        <v>0</v>
      </c>
      <c r="Q666" s="76" t="b">
        <f>VLOOKUP($B666,'Run Reconcile'!B$2:O1399,14,FALSE)</f>
        <v>1</v>
      </c>
      <c r="R666" s="314" t="str">
        <f t="array" ref="R666">IF($Q666, INDEX('Run Reconcile'!A$2:A1399,MATCH(B666,'Run Reconcile'!B$2:B1399,0),1),IFERROR(0/0,""))</f>
        <v>RUN-ABRM_2022-12-22_RFR-114</v>
      </c>
      <c r="S666" s="315" t="str">
        <f t="shared" ref="S666:T666" si="1337">IF(COUNTIF(W$2:W1399, $A666) &gt; 0,TRUE,IFERROR(0/0,""))</f>
        <v/>
      </c>
      <c r="T666" s="315" t="str">
        <f t="shared" si="1337"/>
        <v/>
      </c>
      <c r="U666" s="114" t="str">
        <f t="array" ref="U666">IF(ISBLANK($R666), INDEX('Run Reconcile'!A$2:A1399, MATCH($B666, 'Run Reconcile'!B$2:B1399, 0)+Z666, 1), IFERROR(0/0,""))
</f>
        <v/>
      </c>
      <c r="V666" s="316" t="str">
        <f t="shared" si="1281"/>
        <v>RUN-ABRM_2022-12-22_RFR-114</v>
      </c>
      <c r="Y666" s="317" t="str">
        <f t="shared" si="6"/>
        <v/>
      </c>
      <c r="Z666" s="83" t="str">
        <f t="shared" si="7"/>
        <v/>
      </c>
      <c r="AA666" s="83" t="str">
        <f t="shared" si="8"/>
        <v/>
      </c>
      <c r="AB666" s="83" t="str">
        <f t="shared" si="9"/>
        <v/>
      </c>
      <c r="AC666" s="18" t="str">
        <f t="shared" ref="AC666:AD666" si="1338">IF(_xlfn.ISFORMULA(S666),IFERROR(0/0,""),TRUE)</f>
        <v/>
      </c>
      <c r="AD666" s="18" t="str">
        <f t="shared" si="1338"/>
        <v/>
      </c>
      <c r="AE666" s="43"/>
      <c r="AF666" s="58" t="s">
        <v>108</v>
      </c>
      <c r="AG666" s="55" t="str">
        <f t="shared" si="11"/>
        <v/>
      </c>
    </row>
    <row r="667">
      <c r="A667" s="7" t="str">
        <f>IFERROR(__xludf.DUMMYFUNCTION("""COMPUTED_VALUE"""),"AH7516")</f>
        <v>AH7516</v>
      </c>
      <c r="B667" s="308">
        <f>IFERROR(__xludf.DUMMYFUNCTION("""COMPUTED_VALUE"""),44917.0)</f>
        <v>44917</v>
      </c>
      <c r="C667" s="309">
        <f>IFERROR(__xludf.DUMMYFUNCTION("""COMPUTED_VALUE"""),0.2417013888888889)</f>
        <v>0.2417013889</v>
      </c>
      <c r="D667" s="7" t="str">
        <f>IFERROR(__xludf.DUMMYFUNCTION("""COMPUTED_VALUE"""),"SpABRM297307")</f>
        <v>SpABRM297307</v>
      </c>
      <c r="E667" s="310"/>
      <c r="F667" s="310"/>
      <c r="G667" s="310" t="str">
        <f>IFERROR(__xludf.DUMMYFUNCTION("""COMPUTED_VALUE"""),"Negative")</f>
        <v>Negative</v>
      </c>
      <c r="H667" s="319" t="str">
        <f>IFERROR(__xludf.DUMMYFUNCTION("""COMPUTED_VALUE"""),"Negative")</f>
        <v>Negative</v>
      </c>
      <c r="I667" s="308">
        <f>IFERROR(__xludf.DUMMYFUNCTION("""COMPUTED_VALUE"""),44917.0)</f>
        <v>44917</v>
      </c>
      <c r="J667" s="311">
        <f>IFERROR(__xludf.DUMMYFUNCTION("""COMPUTED_VALUE"""),0.4137152777777778)</f>
        <v>0.4137152778</v>
      </c>
      <c r="K667" s="54"/>
      <c r="L667" s="7"/>
      <c r="M667" s="312"/>
      <c r="N667" s="172">
        <f>IFERROR(__xludf.DUMMYFUNCTION("""COMPUTED_VALUE"""),3.0)</f>
        <v>3</v>
      </c>
      <c r="O667" s="172"/>
      <c r="P667" s="313">
        <f>IFERROR(__xludf.DUMMYFUNCTION("""COMPUTED_VALUE"""),0.0)</f>
        <v>0</v>
      </c>
      <c r="Q667" s="76" t="b">
        <f>VLOOKUP($B667,'Run Reconcile'!B$2:O1399,14,FALSE)</f>
        <v>1</v>
      </c>
      <c r="R667" s="314" t="str">
        <f t="array" ref="R667">IF($Q667, INDEX('Run Reconcile'!A$2:A1399,MATCH(B667,'Run Reconcile'!B$2:B1399,0),1),IFERROR(0/0,""))</f>
        <v>RUN-ABRM_2022-12-22_RFR-114</v>
      </c>
      <c r="S667" s="315" t="str">
        <f t="shared" ref="S667:T667" si="1339">IF(COUNTIF(W$2:W1399, $A667) &gt; 0,TRUE,IFERROR(0/0,""))</f>
        <v/>
      </c>
      <c r="T667" s="315" t="str">
        <f t="shared" si="1339"/>
        <v/>
      </c>
      <c r="U667" s="114" t="str">
        <f t="array" ref="U667">IF(ISBLANK($R667), INDEX('Run Reconcile'!A$2:A1399, MATCH($B667, 'Run Reconcile'!B$2:B1399, 0)+Z667, 1), IFERROR(0/0,""))
</f>
        <v/>
      </c>
      <c r="V667" s="316" t="str">
        <f t="shared" si="1281"/>
        <v>RUN-ABRM_2022-12-22_RFR-114</v>
      </c>
      <c r="Y667" s="317" t="str">
        <f t="shared" si="6"/>
        <v/>
      </c>
      <c r="Z667" s="83" t="str">
        <f t="shared" si="7"/>
        <v/>
      </c>
      <c r="AA667" s="83" t="str">
        <f t="shared" si="8"/>
        <v/>
      </c>
      <c r="AB667" s="83" t="str">
        <f t="shared" si="9"/>
        <v/>
      </c>
      <c r="AC667" s="18" t="str">
        <f t="shared" ref="AC667:AD667" si="1340">IF(_xlfn.ISFORMULA(S667),IFERROR(0/0,""),TRUE)</f>
        <v/>
      </c>
      <c r="AD667" s="18" t="str">
        <f t="shared" si="1340"/>
        <v/>
      </c>
      <c r="AE667" s="43"/>
      <c r="AF667" s="58" t="s">
        <v>108</v>
      </c>
      <c r="AG667" s="55" t="str">
        <f t="shared" si="11"/>
        <v/>
      </c>
    </row>
    <row r="668">
      <c r="A668" s="7" t="str">
        <f>IFERROR(__xludf.DUMMYFUNCTION("""COMPUTED_VALUE"""),"AH142")</f>
        <v>AH142</v>
      </c>
      <c r="B668" s="308">
        <f>IFERROR(__xludf.DUMMYFUNCTION("""COMPUTED_VALUE"""),44917.0)</f>
        <v>44917</v>
      </c>
      <c r="C668" s="309">
        <f>IFERROR(__xludf.DUMMYFUNCTION("""COMPUTED_VALUE"""),0.2949537037037037)</f>
        <v>0.2949537037</v>
      </c>
      <c r="D668" s="7" t="str">
        <f>IFERROR(__xludf.DUMMYFUNCTION("""COMPUTED_VALUE"""),"SpABRM128250")</f>
        <v>SpABRM128250</v>
      </c>
      <c r="E668" s="310"/>
      <c r="F668" s="310"/>
      <c r="G668" s="310" t="str">
        <f>IFERROR(__xludf.DUMMYFUNCTION("""COMPUTED_VALUE"""),"Negative")</f>
        <v>Negative</v>
      </c>
      <c r="H668" s="319" t="str">
        <f>IFERROR(__xludf.DUMMYFUNCTION("""COMPUTED_VALUE"""),"Negative")</f>
        <v>Negative</v>
      </c>
      <c r="I668" s="308">
        <f>IFERROR(__xludf.DUMMYFUNCTION("""COMPUTED_VALUE"""),44917.0)</f>
        <v>44917</v>
      </c>
      <c r="J668" s="311">
        <f>IFERROR(__xludf.DUMMYFUNCTION("""COMPUTED_VALUE"""),0.4137268518518519)</f>
        <v>0.4137268519</v>
      </c>
      <c r="K668" s="54"/>
      <c r="L668" s="7"/>
      <c r="M668" s="312"/>
      <c r="N668" s="172">
        <f>IFERROR(__xludf.DUMMYFUNCTION("""COMPUTED_VALUE"""),3.0)</f>
        <v>3</v>
      </c>
      <c r="O668" s="172"/>
      <c r="P668" s="313">
        <f>IFERROR(__xludf.DUMMYFUNCTION("""COMPUTED_VALUE"""),0.0)</f>
        <v>0</v>
      </c>
      <c r="Q668" s="76" t="b">
        <f>VLOOKUP($B668,'Run Reconcile'!B$2:O1399,14,FALSE)</f>
        <v>1</v>
      </c>
      <c r="R668" s="314" t="str">
        <f t="array" ref="R668">IF($Q668, INDEX('Run Reconcile'!A$2:A1399,MATCH(B668,'Run Reconcile'!B$2:B1399,0),1),IFERROR(0/0,""))</f>
        <v>RUN-ABRM_2022-12-22_RFR-114</v>
      </c>
      <c r="S668" s="315" t="str">
        <f t="shared" ref="S668:T668" si="1341">IF(COUNTIF(W$2:W1399, $A668) &gt; 0,TRUE,IFERROR(0/0,""))</f>
        <v/>
      </c>
      <c r="T668" s="315" t="str">
        <f t="shared" si="1341"/>
        <v/>
      </c>
      <c r="U668" s="114" t="str">
        <f t="array" ref="U668">IF(ISBLANK($R668), INDEX('Run Reconcile'!A$2:A1399, MATCH($B668, 'Run Reconcile'!B$2:B1399, 0)+Z668, 1), IFERROR(0/0,""))
</f>
        <v/>
      </c>
      <c r="V668" s="316" t="str">
        <f t="shared" si="1281"/>
        <v>RUN-ABRM_2022-12-22_RFR-114</v>
      </c>
      <c r="Y668" s="317" t="str">
        <f t="shared" si="6"/>
        <v/>
      </c>
      <c r="Z668" s="83" t="str">
        <f t="shared" si="7"/>
        <v/>
      </c>
      <c r="AA668" s="83" t="str">
        <f t="shared" si="8"/>
        <v/>
      </c>
      <c r="AB668" s="83" t="str">
        <f t="shared" si="9"/>
        <v/>
      </c>
      <c r="AC668" s="18" t="str">
        <f t="shared" ref="AC668:AD668" si="1342">IF(_xlfn.ISFORMULA(S668),IFERROR(0/0,""),TRUE)</f>
        <v/>
      </c>
      <c r="AD668" s="18" t="str">
        <f t="shared" si="1342"/>
        <v/>
      </c>
      <c r="AE668" s="43"/>
      <c r="AF668" s="58" t="s">
        <v>108</v>
      </c>
      <c r="AG668" s="55" t="str">
        <f t="shared" si="11"/>
        <v/>
      </c>
    </row>
    <row r="669">
      <c r="A669" s="7" t="str">
        <f>IFERROR(__xludf.DUMMYFUNCTION("""COMPUTED_VALUE"""),"AH9248")</f>
        <v>AH9248</v>
      </c>
      <c r="B669" s="308">
        <f>IFERROR(__xludf.DUMMYFUNCTION("""COMPUTED_VALUE"""),44917.0)</f>
        <v>44917</v>
      </c>
      <c r="C669" s="309">
        <f>IFERROR(__xludf.DUMMYFUNCTION("""COMPUTED_VALUE"""),0.33292824074074073)</f>
        <v>0.3329282407</v>
      </c>
      <c r="D669" s="7" t="str">
        <f>IFERROR(__xludf.DUMMYFUNCTION("""COMPUTED_VALUE"""),"SpABRM716377")</f>
        <v>SpABRM716377</v>
      </c>
      <c r="E669" s="310"/>
      <c r="F669" s="310"/>
      <c r="G669" s="310" t="str">
        <f>IFERROR(__xludf.DUMMYFUNCTION("""COMPUTED_VALUE"""),"Negative")</f>
        <v>Negative</v>
      </c>
      <c r="H669" s="319" t="str">
        <f>IFERROR(__xludf.DUMMYFUNCTION("""COMPUTED_VALUE"""),"Negative")</f>
        <v>Negative</v>
      </c>
      <c r="I669" s="308">
        <f>IFERROR(__xludf.DUMMYFUNCTION("""COMPUTED_VALUE"""),44917.0)</f>
        <v>44917</v>
      </c>
      <c r="J669" s="311">
        <f>IFERROR(__xludf.DUMMYFUNCTION("""COMPUTED_VALUE"""),0.4137268518518519)</f>
        <v>0.4137268519</v>
      </c>
      <c r="K669" s="54"/>
      <c r="L669" s="7"/>
      <c r="M669" s="312"/>
      <c r="N669" s="172">
        <f>IFERROR(__xludf.DUMMYFUNCTION("""COMPUTED_VALUE"""),3.0)</f>
        <v>3</v>
      </c>
      <c r="O669" s="172"/>
      <c r="P669" s="313">
        <f>IFERROR(__xludf.DUMMYFUNCTION("""COMPUTED_VALUE"""),0.0)</f>
        <v>0</v>
      </c>
      <c r="Q669" s="76" t="b">
        <f>VLOOKUP($B669,'Run Reconcile'!B$2:O1399,14,FALSE)</f>
        <v>1</v>
      </c>
      <c r="R669" s="314" t="str">
        <f t="array" ref="R669">IF($Q669, INDEX('Run Reconcile'!A$2:A1399,MATCH(B669,'Run Reconcile'!B$2:B1399,0),1),IFERROR(0/0,""))</f>
        <v>RUN-ABRM_2022-12-22_RFR-114</v>
      </c>
      <c r="S669" s="315" t="str">
        <f t="shared" ref="S669:T669" si="1343">IF(COUNTIF(W$2:W1399, $A669) &gt; 0,TRUE,IFERROR(0/0,""))</f>
        <v/>
      </c>
      <c r="T669" s="315" t="str">
        <f t="shared" si="1343"/>
        <v/>
      </c>
      <c r="U669" s="114" t="str">
        <f t="array" ref="U669">IF(ISBLANK($R669), INDEX('Run Reconcile'!A$2:A1399, MATCH($B669, 'Run Reconcile'!B$2:B1399, 0)+Z669, 1), IFERROR(0/0,""))
</f>
        <v/>
      </c>
      <c r="V669" s="316" t="str">
        <f t="shared" si="1281"/>
        <v>RUN-ABRM_2022-12-22_RFR-114</v>
      </c>
      <c r="Y669" s="317" t="str">
        <f t="shared" si="6"/>
        <v/>
      </c>
      <c r="Z669" s="83" t="str">
        <f t="shared" si="7"/>
        <v/>
      </c>
      <c r="AA669" s="83" t="str">
        <f t="shared" si="8"/>
        <v/>
      </c>
      <c r="AB669" s="83" t="str">
        <f t="shared" si="9"/>
        <v/>
      </c>
      <c r="AC669" s="18" t="str">
        <f t="shared" ref="AC669:AD669" si="1344">IF(_xlfn.ISFORMULA(S669),IFERROR(0/0,""),TRUE)</f>
        <v/>
      </c>
      <c r="AD669" s="18" t="str">
        <f t="shared" si="1344"/>
        <v/>
      </c>
      <c r="AE669" s="43"/>
      <c r="AF669" s="58" t="s">
        <v>108</v>
      </c>
      <c r="AG669" s="55" t="str">
        <f t="shared" si="11"/>
        <v/>
      </c>
    </row>
    <row r="670">
      <c r="A670" s="7" t="str">
        <f>IFERROR(__xludf.DUMMYFUNCTION("""COMPUTED_VALUE"""),"AH6956")</f>
        <v>AH6956</v>
      </c>
      <c r="B670" s="308">
        <f>IFERROR(__xludf.DUMMYFUNCTION("""COMPUTED_VALUE"""),44917.0)</f>
        <v>44917</v>
      </c>
      <c r="C670" s="309">
        <f>IFERROR(__xludf.DUMMYFUNCTION("""COMPUTED_VALUE"""),0.4451851851851852)</f>
        <v>0.4451851852</v>
      </c>
      <c r="D670" s="7" t="str">
        <f>IFERROR(__xludf.DUMMYFUNCTION("""COMPUTED_VALUE"""),"SpABRM655136")</f>
        <v>SpABRM655136</v>
      </c>
      <c r="E670" s="310"/>
      <c r="F670" s="310"/>
      <c r="G670" s="310" t="str">
        <f>IFERROR(__xludf.DUMMYFUNCTION("""COMPUTED_VALUE"""),"Inconclusive")</f>
        <v>Inconclusive</v>
      </c>
      <c r="H670" s="319" t="str">
        <f>IFERROR(__xludf.DUMMYFUNCTION("""COMPUTED_VALUE"""),"Negative")</f>
        <v>Negative</v>
      </c>
      <c r="I670" s="308">
        <f>IFERROR(__xludf.DUMMYFUNCTION("""COMPUTED_VALUE"""),44917.0)</f>
        <v>44917</v>
      </c>
      <c r="J670" s="311">
        <f>IFERROR(__xludf.DUMMYFUNCTION("""COMPUTED_VALUE"""),0.4986111111111111)</f>
        <v>0.4986111111</v>
      </c>
      <c r="K670" s="54">
        <f>IFERROR(__xludf.DUMMYFUNCTION("""COMPUTED_VALUE"""),2.5)</f>
        <v>2.5</v>
      </c>
      <c r="L670" s="7" t="str">
        <f>IFERROR(__xludf.DUMMYFUNCTION("""COMPUTED_VALUE"""),"RT Jan26 - reruns were neg")</f>
        <v>RT Jan26 - reruns were neg</v>
      </c>
      <c r="M670" s="312"/>
      <c r="N670" s="172">
        <f>IFERROR(__xludf.DUMMYFUNCTION("""COMPUTED_VALUE"""),1.0)</f>
        <v>1</v>
      </c>
      <c r="O670" s="172"/>
      <c r="P670" s="313">
        <f>IFERROR(__xludf.DUMMYFUNCTION("""COMPUTED_VALUE"""),0.0)</f>
        <v>0</v>
      </c>
      <c r="Q670" s="76" t="b">
        <f>VLOOKUP($B670,'Run Reconcile'!B$2:O1399,14,FALSE)</f>
        <v>1</v>
      </c>
      <c r="R670" s="314" t="str">
        <f t="array" ref="R670">IF($Q670, INDEX('Run Reconcile'!A$2:A1399,MATCH(B670,'Run Reconcile'!B$2:B1399,0),1),IFERROR(0/0,""))</f>
        <v>RUN-ABRM_2022-12-22_RFR-114</v>
      </c>
      <c r="S670" s="315" t="str">
        <f t="shared" ref="S670:T670" si="1345">IF(COUNTIF(W$2:W1399, $A670) &gt; 0,TRUE,IFERROR(0/0,""))</f>
        <v/>
      </c>
      <c r="T670" s="315" t="str">
        <f t="shared" si="1345"/>
        <v/>
      </c>
      <c r="U670" s="114" t="str">
        <f t="array" ref="U670">IF(ISBLANK($R670), INDEX('Run Reconcile'!A$2:A1399, MATCH($B670, 'Run Reconcile'!B$2:B1399, 0)+Z670, 1), IFERROR(0/0,""))
</f>
        <v/>
      </c>
      <c r="V670" s="316" t="str">
        <f t="shared" si="1281"/>
        <v>RUN-ABRM_2022-12-22_RFR-114</v>
      </c>
      <c r="Y670" s="317" t="str">
        <f t="shared" si="6"/>
        <v/>
      </c>
      <c r="Z670" s="83" t="str">
        <f t="shared" si="7"/>
        <v/>
      </c>
      <c r="AA670" s="83" t="str">
        <f t="shared" si="8"/>
        <v/>
      </c>
      <c r="AB670" s="83" t="str">
        <f t="shared" si="9"/>
        <v/>
      </c>
      <c r="AC670" s="18" t="str">
        <f t="shared" ref="AC670:AD670" si="1346">IF(_xlfn.ISFORMULA(S670),IFERROR(0/0,""),TRUE)</f>
        <v/>
      </c>
      <c r="AD670" s="18" t="str">
        <f t="shared" si="1346"/>
        <v/>
      </c>
      <c r="AE670" s="43"/>
      <c r="AF670" s="58" t="s">
        <v>108</v>
      </c>
      <c r="AG670" s="55" t="str">
        <f t="shared" si="11"/>
        <v/>
      </c>
    </row>
    <row r="671">
      <c r="A671" s="120" t="str">
        <f>IFERROR(__xludf.DUMMYFUNCTION("""COMPUTED_VALUE"""),"AH8977")</f>
        <v>AH8977</v>
      </c>
      <c r="B671" s="320">
        <f>IFERROR(__xludf.DUMMYFUNCTION("""COMPUTED_VALUE"""),44928.0)</f>
        <v>44928</v>
      </c>
      <c r="C671" s="321">
        <f>IFERROR(__xludf.DUMMYFUNCTION("""COMPUTED_VALUE"""),0.1709490740740741)</f>
        <v>0.1709490741</v>
      </c>
      <c r="D671" s="120" t="str">
        <f>IFERROR(__xludf.DUMMYFUNCTION("""COMPUTED_VALUE"""),"SpABRM655136")</f>
        <v>SpABRM655136</v>
      </c>
      <c r="E671" s="322"/>
      <c r="F671" s="322"/>
      <c r="G671" s="322" t="str">
        <f>IFERROR(__xludf.DUMMYFUNCTION("""COMPUTED_VALUE"""),"Negative")</f>
        <v>Negative</v>
      </c>
      <c r="H671" s="323" t="str">
        <f>IFERROR(__xludf.DUMMYFUNCTION("""COMPUTED_VALUE"""),"Negative")</f>
        <v>Negative</v>
      </c>
      <c r="I671" s="320">
        <f>IFERROR(__xludf.DUMMYFUNCTION("""COMPUTED_VALUE"""),44928.0)</f>
        <v>44928</v>
      </c>
      <c r="J671" s="324">
        <f>IFERROR(__xludf.DUMMYFUNCTION("""COMPUTED_VALUE"""),0.4193634259259259)</f>
        <v>0.4193634259</v>
      </c>
      <c r="K671" s="123"/>
      <c r="L671" s="120"/>
      <c r="M671" s="325"/>
      <c r="N671" s="283">
        <f>IFERROR(__xludf.DUMMYFUNCTION("""COMPUTED_VALUE"""),2.0)</f>
        <v>2</v>
      </c>
      <c r="O671" s="283"/>
      <c r="P671" s="326">
        <f>IFERROR(__xludf.DUMMYFUNCTION("""COMPUTED_VALUE"""),0.0)</f>
        <v>0</v>
      </c>
      <c r="Q671" s="293" t="b">
        <f>VLOOKUP($B671,'Run Reconcile'!B$2:O1399,14,FALSE)</f>
        <v>1</v>
      </c>
      <c r="R671" s="327" t="str">
        <f t="array" ref="R671">IF($Q671, INDEX('Run Reconcile'!A$2:A1399,MATCH(B671,'Run Reconcile'!B$2:B1399,0),1),IFERROR(0/0,""))</f>
        <v>RUN-ABRM_2023-01-02_RFR-117</v>
      </c>
      <c r="S671" s="328" t="str">
        <f t="shared" ref="S671:T671" si="1347">IF(COUNTIF(W$2:W1399, $A671) &gt; 0,TRUE,IFERROR(0/0,""))</f>
        <v/>
      </c>
      <c r="T671" s="328" t="str">
        <f t="shared" si="1347"/>
        <v/>
      </c>
      <c r="U671" s="114" t="str">
        <f t="array" ref="U671">IF(ISBLANK($R671), INDEX('Run Reconcile'!A$2:A1399, MATCH($B671, 'Run Reconcile'!B$2:B1399, 0)+Z671, 1), IFERROR(0/0,""))
</f>
        <v/>
      </c>
      <c r="V671" s="329" t="str">
        <f t="shared" si="1281"/>
        <v>RUN-ABRM_2023-01-02_RFR-117</v>
      </c>
      <c r="W671" s="120"/>
      <c r="X671" s="120"/>
      <c r="Y671" s="317" t="str">
        <f t="shared" si="6"/>
        <v/>
      </c>
      <c r="Z671" s="83" t="str">
        <f t="shared" si="7"/>
        <v/>
      </c>
      <c r="AA671" s="83" t="str">
        <f t="shared" si="8"/>
        <v/>
      </c>
      <c r="AB671" s="83" t="str">
        <f t="shared" si="9"/>
        <v/>
      </c>
      <c r="AC671" s="263" t="str">
        <f t="shared" ref="AC671:AD671" si="1348">IF(_xlfn.ISFORMULA(S671),IFERROR(0/0,""),TRUE)</f>
        <v/>
      </c>
      <c r="AD671" s="263" t="str">
        <f t="shared" si="1348"/>
        <v/>
      </c>
      <c r="AE671" s="125"/>
      <c r="AF671" s="330" t="s">
        <v>109</v>
      </c>
      <c r="AG671" s="55" t="str">
        <f t="shared" si="11"/>
        <v/>
      </c>
      <c r="AH671" s="120"/>
      <c r="AI671" s="120"/>
      <c r="AJ671" s="120"/>
      <c r="AK671" s="120"/>
    </row>
    <row r="672">
      <c r="A672" s="7" t="str">
        <f>IFERROR(__xludf.DUMMYFUNCTION("""COMPUTED_VALUE"""),"AG1485")</f>
        <v>AG1485</v>
      </c>
      <c r="B672" s="308">
        <f>IFERROR(__xludf.DUMMYFUNCTION("""COMPUTED_VALUE"""),44928.0)</f>
        <v>44928</v>
      </c>
      <c r="C672" s="309">
        <f>IFERROR(__xludf.DUMMYFUNCTION("""COMPUTED_VALUE"""),0.27652777777777776)</f>
        <v>0.2765277778</v>
      </c>
      <c r="D672" s="7" t="str">
        <f>IFERROR(__xludf.DUMMYFUNCTION("""COMPUTED_VALUE"""),"SpABRM652382")</f>
        <v>SpABRM652382</v>
      </c>
      <c r="E672" s="310"/>
      <c r="F672" s="310"/>
      <c r="G672" s="310" t="str">
        <f>IFERROR(__xludf.DUMMYFUNCTION("""COMPUTED_VALUE"""),"Negative")</f>
        <v>Negative</v>
      </c>
      <c r="H672" s="319" t="str">
        <f>IFERROR(__xludf.DUMMYFUNCTION("""COMPUTED_VALUE"""),"Negative")</f>
        <v>Negative</v>
      </c>
      <c r="I672" s="308">
        <f>IFERROR(__xludf.DUMMYFUNCTION("""COMPUTED_VALUE"""),44928.0)</f>
        <v>44928</v>
      </c>
      <c r="J672" s="311">
        <f>IFERROR(__xludf.DUMMYFUNCTION("""COMPUTED_VALUE"""),0.419375)</f>
        <v>0.419375</v>
      </c>
      <c r="K672" s="54"/>
      <c r="L672" s="7"/>
      <c r="M672" s="312"/>
      <c r="N672" s="172">
        <f>IFERROR(__xludf.DUMMYFUNCTION("""COMPUTED_VALUE"""),2.0)</f>
        <v>2</v>
      </c>
      <c r="O672" s="172"/>
      <c r="P672" s="313">
        <f>IFERROR(__xludf.DUMMYFUNCTION("""COMPUTED_VALUE"""),0.0)</f>
        <v>0</v>
      </c>
      <c r="Q672" s="76" t="b">
        <f>VLOOKUP($B672,'Run Reconcile'!B$2:O1399,14,FALSE)</f>
        <v>1</v>
      </c>
      <c r="R672" s="314" t="str">
        <f t="array" ref="R672">IF($Q672, INDEX('Run Reconcile'!A$2:A1399,MATCH(B672,'Run Reconcile'!B$2:B1399,0),1),IFERROR(0/0,""))</f>
        <v>RUN-ABRM_2023-01-02_RFR-117</v>
      </c>
      <c r="S672" s="315" t="str">
        <f t="shared" ref="S672:T672" si="1349">IF(COUNTIF(W$2:W1399, $A672) &gt; 0,TRUE,IFERROR(0/0,""))</f>
        <v/>
      </c>
      <c r="T672" s="315" t="str">
        <f t="shared" si="1349"/>
        <v/>
      </c>
      <c r="U672" s="114" t="str">
        <f t="array" ref="U672">IF(ISBLANK($R672), INDEX('Run Reconcile'!A$2:A1399, MATCH($B672, 'Run Reconcile'!B$2:B1399, 0)+Z672, 1), IFERROR(0/0,""))
</f>
        <v/>
      </c>
      <c r="V672" s="316" t="str">
        <f t="shared" si="1281"/>
        <v>RUN-ABRM_2023-01-02_RFR-117</v>
      </c>
      <c r="Y672" s="317" t="str">
        <f t="shared" si="6"/>
        <v/>
      </c>
      <c r="Z672" s="83" t="str">
        <f t="shared" si="7"/>
        <v/>
      </c>
      <c r="AA672" s="83" t="str">
        <f t="shared" si="8"/>
        <v/>
      </c>
      <c r="AB672" s="83" t="str">
        <f t="shared" si="9"/>
        <v/>
      </c>
      <c r="AC672" s="18" t="str">
        <f t="shared" ref="AC672:AD672" si="1350">IF(_xlfn.ISFORMULA(S672),IFERROR(0/0,""),TRUE)</f>
        <v/>
      </c>
      <c r="AD672" s="18" t="str">
        <f t="shared" si="1350"/>
        <v/>
      </c>
      <c r="AE672" s="43"/>
      <c r="AF672" s="58" t="s">
        <v>109</v>
      </c>
      <c r="AG672" s="55" t="str">
        <f t="shared" si="11"/>
        <v/>
      </c>
    </row>
    <row r="673">
      <c r="A673" s="7" t="str">
        <f>IFERROR(__xludf.DUMMYFUNCTION("""COMPUTED_VALUE"""),"AH7046")</f>
        <v>AH7046</v>
      </c>
      <c r="B673" s="308">
        <f>IFERROR(__xludf.DUMMYFUNCTION("""COMPUTED_VALUE"""),44928.0)</f>
        <v>44928</v>
      </c>
      <c r="C673" s="309">
        <f>IFERROR(__xludf.DUMMYFUNCTION("""COMPUTED_VALUE"""),0.2971990740740741)</f>
        <v>0.2971990741</v>
      </c>
      <c r="D673" s="7" t="str">
        <f>IFERROR(__xludf.DUMMYFUNCTION("""COMPUTED_VALUE"""),"SpABRM454310")</f>
        <v>SpABRM454310</v>
      </c>
      <c r="E673" s="310"/>
      <c r="F673" s="310"/>
      <c r="G673" s="310" t="str">
        <f>IFERROR(__xludf.DUMMYFUNCTION("""COMPUTED_VALUE"""),"Negative")</f>
        <v>Negative</v>
      </c>
      <c r="H673" s="319" t="str">
        <f>IFERROR(__xludf.DUMMYFUNCTION("""COMPUTED_VALUE"""),"Negative")</f>
        <v>Negative</v>
      </c>
      <c r="I673" s="308">
        <f>IFERROR(__xludf.DUMMYFUNCTION("""COMPUTED_VALUE"""),44928.0)</f>
        <v>44928</v>
      </c>
      <c r="J673" s="311">
        <f>IFERROR(__xludf.DUMMYFUNCTION("""COMPUTED_VALUE"""),0.419375)</f>
        <v>0.419375</v>
      </c>
      <c r="K673" s="54"/>
      <c r="L673" s="7"/>
      <c r="M673" s="312"/>
      <c r="N673" s="172">
        <f>IFERROR(__xludf.DUMMYFUNCTION("""COMPUTED_VALUE"""),5.0)</f>
        <v>5</v>
      </c>
      <c r="O673" s="172"/>
      <c r="P673" s="313">
        <f>IFERROR(__xludf.DUMMYFUNCTION("""COMPUTED_VALUE"""),0.0)</f>
        <v>0</v>
      </c>
      <c r="Q673" s="76" t="b">
        <f>VLOOKUP($B673,'Run Reconcile'!B$2:O1399,14,FALSE)</f>
        <v>1</v>
      </c>
      <c r="R673" s="314" t="str">
        <f t="array" ref="R673">IF($Q673, INDEX('Run Reconcile'!A$2:A1399,MATCH(B673,'Run Reconcile'!B$2:B1399,0),1),IFERROR(0/0,""))</f>
        <v>RUN-ABRM_2023-01-02_RFR-117</v>
      </c>
      <c r="S673" s="315" t="str">
        <f t="shared" ref="S673:T673" si="1351">IF(COUNTIF(W$2:W1399, $A673) &gt; 0,TRUE,IFERROR(0/0,""))</f>
        <v/>
      </c>
      <c r="T673" s="315" t="str">
        <f t="shared" si="1351"/>
        <v/>
      </c>
      <c r="U673" s="114" t="str">
        <f t="array" ref="U673">IF(ISBLANK($R673), INDEX('Run Reconcile'!A$2:A1399, MATCH($B673, 'Run Reconcile'!B$2:B1399, 0)+Z673, 1), IFERROR(0/0,""))
</f>
        <v/>
      </c>
      <c r="V673" s="316" t="str">
        <f t="shared" si="1281"/>
        <v>RUN-ABRM_2023-01-02_RFR-117</v>
      </c>
      <c r="Y673" s="317" t="str">
        <f t="shared" si="6"/>
        <v/>
      </c>
      <c r="Z673" s="83" t="str">
        <f t="shared" si="7"/>
        <v/>
      </c>
      <c r="AA673" s="83" t="str">
        <f t="shared" si="8"/>
        <v/>
      </c>
      <c r="AB673" s="83" t="str">
        <f t="shared" si="9"/>
        <v/>
      </c>
      <c r="AC673" s="18" t="str">
        <f t="shared" ref="AC673:AD673" si="1352">IF(_xlfn.ISFORMULA(S673),IFERROR(0/0,""),TRUE)</f>
        <v/>
      </c>
      <c r="AD673" s="18" t="str">
        <f t="shared" si="1352"/>
        <v/>
      </c>
      <c r="AE673" s="43"/>
      <c r="AF673" s="58" t="s">
        <v>109</v>
      </c>
      <c r="AG673" s="55" t="str">
        <f t="shared" si="11"/>
        <v/>
      </c>
    </row>
    <row r="674">
      <c r="A674" s="7" t="str">
        <f>IFERROR(__xludf.DUMMYFUNCTION("""COMPUTED_VALUE"""),"AJ9820")</f>
        <v>AJ9820</v>
      </c>
      <c r="B674" s="308">
        <f>IFERROR(__xludf.DUMMYFUNCTION("""COMPUTED_VALUE"""),44928.0)</f>
        <v>44928</v>
      </c>
      <c r="C674" s="309">
        <f>IFERROR(__xludf.DUMMYFUNCTION("""COMPUTED_VALUE"""),0.3123958333333333)</f>
        <v>0.3123958333</v>
      </c>
      <c r="D674" s="7" t="str">
        <f>IFERROR(__xludf.DUMMYFUNCTION("""COMPUTED_VALUE"""),"SpABRM655136")</f>
        <v>SpABRM655136</v>
      </c>
      <c r="E674" s="310"/>
      <c r="F674" s="310"/>
      <c r="G674" s="310" t="str">
        <f>IFERROR(__xludf.DUMMYFUNCTION("""COMPUTED_VALUE"""),"Negative")</f>
        <v>Negative</v>
      </c>
      <c r="H674" s="319" t="str">
        <f>IFERROR(__xludf.DUMMYFUNCTION("""COMPUTED_VALUE"""),"Negative")</f>
        <v>Negative</v>
      </c>
      <c r="I674" s="308">
        <f>IFERROR(__xludf.DUMMYFUNCTION("""COMPUTED_VALUE"""),44928.0)</f>
        <v>44928</v>
      </c>
      <c r="J674" s="311">
        <f>IFERROR(__xludf.DUMMYFUNCTION("""COMPUTED_VALUE"""),0.4193865740740741)</f>
        <v>0.4193865741</v>
      </c>
      <c r="K674" s="54"/>
      <c r="L674" s="7"/>
      <c r="M674" s="312"/>
      <c r="N674" s="172">
        <f>IFERROR(__xludf.DUMMYFUNCTION("""COMPUTED_VALUE"""),2.0)</f>
        <v>2</v>
      </c>
      <c r="O674" s="172"/>
      <c r="P674" s="313">
        <f>IFERROR(__xludf.DUMMYFUNCTION("""COMPUTED_VALUE"""),0.0)</f>
        <v>0</v>
      </c>
      <c r="Q674" s="76" t="b">
        <f>VLOOKUP($B674,'Run Reconcile'!B$2:O1399,14,FALSE)</f>
        <v>1</v>
      </c>
      <c r="R674" s="314" t="str">
        <f t="array" ref="R674">IF($Q674, INDEX('Run Reconcile'!A$2:A1399,MATCH(B674,'Run Reconcile'!B$2:B1399,0),1),IFERROR(0/0,""))</f>
        <v>RUN-ABRM_2023-01-02_RFR-117</v>
      </c>
      <c r="S674" s="315" t="str">
        <f t="shared" ref="S674:T674" si="1353">IF(COUNTIF(W$2:W1399, $A674) &gt; 0,TRUE,IFERROR(0/0,""))</f>
        <v/>
      </c>
      <c r="T674" s="315" t="str">
        <f t="shared" si="1353"/>
        <v/>
      </c>
      <c r="U674" s="114" t="str">
        <f t="array" ref="U674">IF(ISBLANK($R674), INDEX('Run Reconcile'!A$2:A1399, MATCH($B674, 'Run Reconcile'!B$2:B1399, 0)+Z674, 1), IFERROR(0/0,""))
</f>
        <v/>
      </c>
      <c r="V674" s="316" t="str">
        <f t="shared" si="1281"/>
        <v>RUN-ABRM_2023-01-02_RFR-117</v>
      </c>
      <c r="Y674" s="317" t="str">
        <f t="shared" si="6"/>
        <v/>
      </c>
      <c r="Z674" s="83" t="str">
        <f t="shared" si="7"/>
        <v/>
      </c>
      <c r="AA674" s="83" t="str">
        <f t="shared" si="8"/>
        <v/>
      </c>
      <c r="AB674" s="83" t="str">
        <f t="shared" si="9"/>
        <v/>
      </c>
      <c r="AC674" s="18" t="str">
        <f t="shared" ref="AC674:AD674" si="1354">IF(_xlfn.ISFORMULA(S674),IFERROR(0/0,""),TRUE)</f>
        <v/>
      </c>
      <c r="AD674" s="18" t="str">
        <f t="shared" si="1354"/>
        <v/>
      </c>
      <c r="AE674" s="43"/>
      <c r="AF674" s="58" t="s">
        <v>109</v>
      </c>
      <c r="AG674" s="55" t="str">
        <f t="shared" si="11"/>
        <v/>
      </c>
    </row>
    <row r="675">
      <c r="A675" s="7" t="str">
        <f>IFERROR(__xludf.DUMMYFUNCTION("""COMPUTED_VALUE"""),"AJ8244")</f>
        <v>AJ8244</v>
      </c>
      <c r="B675" s="308">
        <f>IFERROR(__xludf.DUMMYFUNCTION("""COMPUTED_VALUE"""),44928.0)</f>
        <v>44928</v>
      </c>
      <c r="C675" s="309">
        <f>IFERROR(__xludf.DUMMYFUNCTION("""COMPUTED_VALUE"""),0.31267361111111114)</f>
        <v>0.3126736111</v>
      </c>
      <c r="D675" s="7" t="str">
        <f>IFERROR(__xludf.DUMMYFUNCTION("""COMPUTED_VALUE"""),"SpABRM655136")</f>
        <v>SpABRM655136</v>
      </c>
      <c r="E675" s="310"/>
      <c r="F675" s="310"/>
      <c r="G675" s="310" t="str">
        <f>IFERROR(__xludf.DUMMYFUNCTION("""COMPUTED_VALUE"""),"Negative")</f>
        <v>Negative</v>
      </c>
      <c r="H675" s="319" t="str">
        <f>IFERROR(__xludf.DUMMYFUNCTION("""COMPUTED_VALUE"""),"Negative")</f>
        <v>Negative</v>
      </c>
      <c r="I675" s="308">
        <f>IFERROR(__xludf.DUMMYFUNCTION("""COMPUTED_VALUE"""),44928.0)</f>
        <v>44928</v>
      </c>
      <c r="J675" s="311">
        <f>IFERROR(__xludf.DUMMYFUNCTION("""COMPUTED_VALUE"""),0.4193865740740741)</f>
        <v>0.4193865741</v>
      </c>
      <c r="K675" s="54"/>
      <c r="L675" s="7"/>
      <c r="M675" s="312"/>
      <c r="N675" s="172">
        <f>IFERROR(__xludf.DUMMYFUNCTION("""COMPUTED_VALUE"""),1.0)</f>
        <v>1</v>
      </c>
      <c r="O675" s="172"/>
      <c r="P675" s="313">
        <f>IFERROR(__xludf.DUMMYFUNCTION("""COMPUTED_VALUE"""),0.0)</f>
        <v>0</v>
      </c>
      <c r="Q675" s="76" t="b">
        <f>VLOOKUP($B675,'Run Reconcile'!B$2:O1399,14,FALSE)</f>
        <v>1</v>
      </c>
      <c r="R675" s="314" t="str">
        <f t="array" ref="R675">IF($Q675, INDEX('Run Reconcile'!A$2:A1399,MATCH(B675,'Run Reconcile'!B$2:B1399,0),1),IFERROR(0/0,""))</f>
        <v>RUN-ABRM_2023-01-02_RFR-117</v>
      </c>
      <c r="S675" s="315" t="str">
        <f t="shared" ref="S675:T675" si="1355">IF(COUNTIF(W$2:W1399, $A675) &gt; 0,TRUE,IFERROR(0/0,""))</f>
        <v/>
      </c>
      <c r="T675" s="315" t="str">
        <f t="shared" si="1355"/>
        <v/>
      </c>
      <c r="U675" s="114" t="str">
        <f t="array" ref="U675">IF(ISBLANK($R675), INDEX('Run Reconcile'!A$2:A1399, MATCH($B675, 'Run Reconcile'!B$2:B1399, 0)+Z675, 1), IFERROR(0/0,""))
</f>
        <v/>
      </c>
      <c r="V675" s="316" t="str">
        <f t="shared" si="1281"/>
        <v>RUN-ABRM_2023-01-02_RFR-117</v>
      </c>
      <c r="Y675" s="317" t="str">
        <f t="shared" si="6"/>
        <v/>
      </c>
      <c r="Z675" s="83" t="str">
        <f t="shared" si="7"/>
        <v/>
      </c>
      <c r="AA675" s="83" t="str">
        <f t="shared" si="8"/>
        <v/>
      </c>
      <c r="AB675" s="83" t="str">
        <f t="shared" si="9"/>
        <v/>
      </c>
      <c r="AC675" s="18" t="str">
        <f t="shared" ref="AC675:AD675" si="1356">IF(_xlfn.ISFORMULA(S675),IFERROR(0/0,""),TRUE)</f>
        <v/>
      </c>
      <c r="AD675" s="18" t="str">
        <f t="shared" si="1356"/>
        <v/>
      </c>
      <c r="AE675" s="43"/>
      <c r="AF675" s="58" t="s">
        <v>109</v>
      </c>
      <c r="AG675" s="55" t="str">
        <f t="shared" si="11"/>
        <v/>
      </c>
    </row>
    <row r="676">
      <c r="A676" s="7" t="str">
        <f>IFERROR(__xludf.DUMMYFUNCTION("""COMPUTED_VALUE"""),"AJ4664")</f>
        <v>AJ4664</v>
      </c>
      <c r="B676" s="308">
        <f>IFERROR(__xludf.DUMMYFUNCTION("""COMPUTED_VALUE"""),44928.0)</f>
        <v>44928</v>
      </c>
      <c r="C676" s="309">
        <f>IFERROR(__xludf.DUMMYFUNCTION("""COMPUTED_VALUE"""),0.31708333333333333)</f>
        <v>0.3170833333</v>
      </c>
      <c r="D676" s="7" t="str">
        <f>IFERROR(__xludf.DUMMYFUNCTION("""COMPUTED_VALUE"""),"SpABRM814022")</f>
        <v>SpABRM814022</v>
      </c>
      <c r="E676" s="310"/>
      <c r="F676" s="310"/>
      <c r="G676" s="310" t="str">
        <f>IFERROR(__xludf.DUMMYFUNCTION("""COMPUTED_VALUE"""),"Negative")</f>
        <v>Negative</v>
      </c>
      <c r="H676" s="319" t="str">
        <f>IFERROR(__xludf.DUMMYFUNCTION("""COMPUTED_VALUE"""),"Negative")</f>
        <v>Negative</v>
      </c>
      <c r="I676" s="308">
        <f>IFERROR(__xludf.DUMMYFUNCTION("""COMPUTED_VALUE"""),44928.0)</f>
        <v>44928</v>
      </c>
      <c r="J676" s="311">
        <f>IFERROR(__xludf.DUMMYFUNCTION("""COMPUTED_VALUE"""),0.41939814814814813)</f>
        <v>0.4193981481</v>
      </c>
      <c r="K676" s="54"/>
      <c r="L676" s="7"/>
      <c r="M676" s="312"/>
      <c r="N676" s="172">
        <f>IFERROR(__xludf.DUMMYFUNCTION("""COMPUTED_VALUE"""),1.0)</f>
        <v>1</v>
      </c>
      <c r="O676" s="172"/>
      <c r="P676" s="313">
        <f>IFERROR(__xludf.DUMMYFUNCTION("""COMPUTED_VALUE"""),0.0)</f>
        <v>0</v>
      </c>
      <c r="Q676" s="76" t="b">
        <f>VLOOKUP($B676,'Run Reconcile'!B$2:O1399,14,FALSE)</f>
        <v>1</v>
      </c>
      <c r="R676" s="314" t="str">
        <f t="array" ref="R676">IF($Q676, INDEX('Run Reconcile'!A$2:A1399,MATCH(B676,'Run Reconcile'!B$2:B1399,0),1),IFERROR(0/0,""))</f>
        <v>RUN-ABRM_2023-01-02_RFR-117</v>
      </c>
      <c r="S676" s="315" t="str">
        <f t="shared" ref="S676:T676" si="1357">IF(COUNTIF(W$2:W1399, $A676) &gt; 0,TRUE,IFERROR(0/0,""))</f>
        <v/>
      </c>
      <c r="T676" s="315" t="str">
        <f t="shared" si="1357"/>
        <v/>
      </c>
      <c r="U676" s="114" t="str">
        <f t="array" ref="U676">IF(ISBLANK($R676), INDEX('Run Reconcile'!A$2:A1399, MATCH($B676, 'Run Reconcile'!B$2:B1399, 0)+Z676, 1), IFERROR(0/0,""))
</f>
        <v/>
      </c>
      <c r="V676" s="316" t="str">
        <f t="shared" si="1281"/>
        <v>RUN-ABRM_2023-01-02_RFR-117</v>
      </c>
      <c r="Y676" s="317" t="str">
        <f t="shared" si="6"/>
        <v/>
      </c>
      <c r="Z676" s="83" t="str">
        <f t="shared" si="7"/>
        <v/>
      </c>
      <c r="AA676" s="83" t="str">
        <f t="shared" si="8"/>
        <v/>
      </c>
      <c r="AB676" s="83" t="str">
        <f t="shared" si="9"/>
        <v/>
      </c>
      <c r="AC676" s="18" t="str">
        <f t="shared" ref="AC676:AD676" si="1358">IF(_xlfn.ISFORMULA(S676),IFERROR(0/0,""),TRUE)</f>
        <v/>
      </c>
      <c r="AD676" s="18" t="str">
        <f t="shared" si="1358"/>
        <v/>
      </c>
      <c r="AE676" s="43"/>
      <c r="AF676" s="58" t="s">
        <v>109</v>
      </c>
      <c r="AG676" s="55" t="str">
        <f t="shared" si="11"/>
        <v/>
      </c>
    </row>
    <row r="677">
      <c r="A677" s="7" t="str">
        <f>IFERROR(__xludf.DUMMYFUNCTION("""COMPUTED_VALUE"""),"AH7621")</f>
        <v>AH7621</v>
      </c>
      <c r="B677" s="308">
        <f>IFERROR(__xludf.DUMMYFUNCTION("""COMPUTED_VALUE"""),44928.0)</f>
        <v>44928</v>
      </c>
      <c r="C677" s="309">
        <f>IFERROR(__xludf.DUMMYFUNCTION("""COMPUTED_VALUE"""),0.31864583333333335)</f>
        <v>0.3186458333</v>
      </c>
      <c r="D677" s="7" t="str">
        <f>IFERROR(__xludf.DUMMYFUNCTION("""COMPUTED_VALUE"""),"SpABRM128250")</f>
        <v>SpABRM128250</v>
      </c>
      <c r="E677" s="310"/>
      <c r="F677" s="310"/>
      <c r="G677" s="310" t="str">
        <f>IFERROR(__xludf.DUMMYFUNCTION("""COMPUTED_VALUE"""),"Negative")</f>
        <v>Negative</v>
      </c>
      <c r="H677" s="319" t="str">
        <f>IFERROR(__xludf.DUMMYFUNCTION("""COMPUTED_VALUE"""),"Negative")</f>
        <v>Negative</v>
      </c>
      <c r="I677" s="308">
        <f>IFERROR(__xludf.DUMMYFUNCTION("""COMPUTED_VALUE"""),44928.0)</f>
        <v>44928</v>
      </c>
      <c r="J677" s="311">
        <f>IFERROR(__xludf.DUMMYFUNCTION("""COMPUTED_VALUE"""),0.4194097222222222)</f>
        <v>0.4194097222</v>
      </c>
      <c r="K677" s="54"/>
      <c r="L677" s="7"/>
      <c r="M677" s="312"/>
      <c r="N677" s="172">
        <f>IFERROR(__xludf.DUMMYFUNCTION("""COMPUTED_VALUE"""),3.0)</f>
        <v>3</v>
      </c>
      <c r="O677" s="172"/>
      <c r="P677" s="313">
        <f>IFERROR(__xludf.DUMMYFUNCTION("""COMPUTED_VALUE"""),0.0)</f>
        <v>0</v>
      </c>
      <c r="Q677" s="76" t="b">
        <f>VLOOKUP($B677,'Run Reconcile'!B$2:O1399,14,FALSE)</f>
        <v>1</v>
      </c>
      <c r="R677" s="314" t="str">
        <f t="array" ref="R677">IF($Q677, INDEX('Run Reconcile'!A$2:A1399,MATCH(B677,'Run Reconcile'!B$2:B1399,0),1),IFERROR(0/0,""))</f>
        <v>RUN-ABRM_2023-01-02_RFR-117</v>
      </c>
      <c r="S677" s="315" t="str">
        <f t="shared" ref="S677:T677" si="1359">IF(COUNTIF(W$2:W1399, $A677) &gt; 0,TRUE,IFERROR(0/0,""))</f>
        <v/>
      </c>
      <c r="T677" s="315" t="str">
        <f t="shared" si="1359"/>
        <v/>
      </c>
      <c r="U677" s="114" t="str">
        <f t="array" ref="U677">IF(ISBLANK($R677), INDEX('Run Reconcile'!A$2:A1399, MATCH($B677, 'Run Reconcile'!B$2:B1399, 0)+Z677, 1), IFERROR(0/0,""))
</f>
        <v/>
      </c>
      <c r="V677" s="316" t="str">
        <f t="shared" si="1281"/>
        <v>RUN-ABRM_2023-01-02_RFR-117</v>
      </c>
      <c r="Y677" s="317" t="str">
        <f t="shared" si="6"/>
        <v/>
      </c>
      <c r="Z677" s="83" t="str">
        <f t="shared" si="7"/>
        <v/>
      </c>
      <c r="AA677" s="83" t="str">
        <f t="shared" si="8"/>
        <v/>
      </c>
      <c r="AB677" s="83" t="str">
        <f t="shared" si="9"/>
        <v/>
      </c>
      <c r="AC677" s="18" t="str">
        <f t="shared" ref="AC677:AD677" si="1360">IF(_xlfn.ISFORMULA(S677),IFERROR(0/0,""),TRUE)</f>
        <v/>
      </c>
      <c r="AD677" s="18" t="str">
        <f t="shared" si="1360"/>
        <v/>
      </c>
      <c r="AE677" s="43"/>
      <c r="AF677" s="58" t="s">
        <v>109</v>
      </c>
      <c r="AG677" s="55" t="str">
        <f t="shared" si="11"/>
        <v/>
      </c>
    </row>
    <row r="678">
      <c r="A678" s="7" t="str">
        <f>IFERROR(__xludf.DUMMYFUNCTION("""COMPUTED_VALUE"""),"AJ8248")</f>
        <v>AJ8248</v>
      </c>
      <c r="B678" s="308">
        <f>IFERROR(__xludf.DUMMYFUNCTION("""COMPUTED_VALUE"""),44928.0)</f>
        <v>44928</v>
      </c>
      <c r="C678" s="309">
        <f>IFERROR(__xludf.DUMMYFUNCTION("""COMPUTED_VALUE"""),0.36039351851851853)</f>
        <v>0.3603935185</v>
      </c>
      <c r="D678" s="7" t="str">
        <f>IFERROR(__xludf.DUMMYFUNCTION("""COMPUTED_VALUE"""),"SpABRM655136")</f>
        <v>SpABRM655136</v>
      </c>
      <c r="E678" s="310"/>
      <c r="F678" s="310"/>
      <c r="G678" s="310" t="str">
        <f>IFERROR(__xludf.DUMMYFUNCTION("""COMPUTED_VALUE"""),"Negative")</f>
        <v>Negative</v>
      </c>
      <c r="H678" s="319" t="str">
        <f>IFERROR(__xludf.DUMMYFUNCTION("""COMPUTED_VALUE"""),"Negative")</f>
        <v>Negative</v>
      </c>
      <c r="I678" s="308">
        <f>IFERROR(__xludf.DUMMYFUNCTION("""COMPUTED_VALUE"""),44928.0)</f>
        <v>44928</v>
      </c>
      <c r="J678" s="311">
        <f>IFERROR(__xludf.DUMMYFUNCTION("""COMPUTED_VALUE"""),0.4194097222222222)</f>
        <v>0.4194097222</v>
      </c>
      <c r="K678" s="54"/>
      <c r="L678" s="7"/>
      <c r="M678" s="312"/>
      <c r="N678" s="172">
        <f>IFERROR(__xludf.DUMMYFUNCTION("""COMPUTED_VALUE"""),1.0)</f>
        <v>1</v>
      </c>
      <c r="O678" s="172"/>
      <c r="P678" s="313">
        <f>IFERROR(__xludf.DUMMYFUNCTION("""COMPUTED_VALUE"""),0.0)</f>
        <v>0</v>
      </c>
      <c r="Q678" s="76" t="b">
        <f>VLOOKUP($B678,'Run Reconcile'!B$2:O1399,14,FALSE)</f>
        <v>1</v>
      </c>
      <c r="R678" s="314" t="str">
        <f t="array" ref="R678">IF($Q678, INDEX('Run Reconcile'!A$2:A1399,MATCH(B678,'Run Reconcile'!B$2:B1399,0),1),IFERROR(0/0,""))</f>
        <v>RUN-ABRM_2023-01-02_RFR-117</v>
      </c>
      <c r="S678" s="315" t="str">
        <f t="shared" ref="S678:T678" si="1361">IF(COUNTIF(W$2:W1399, $A678) &gt; 0,TRUE,IFERROR(0/0,""))</f>
        <v/>
      </c>
      <c r="T678" s="315" t="str">
        <f t="shared" si="1361"/>
        <v/>
      </c>
      <c r="U678" s="114" t="str">
        <f t="array" ref="U678">IF(ISBLANK($R678), INDEX('Run Reconcile'!A$2:A1399, MATCH($B678, 'Run Reconcile'!B$2:B1399, 0)+Z678, 1), IFERROR(0/0,""))
</f>
        <v/>
      </c>
      <c r="V678" s="316" t="str">
        <f t="shared" si="1281"/>
        <v>RUN-ABRM_2023-01-02_RFR-117</v>
      </c>
      <c r="Y678" s="317" t="str">
        <f t="shared" si="6"/>
        <v/>
      </c>
      <c r="Z678" s="83" t="str">
        <f t="shared" si="7"/>
        <v/>
      </c>
      <c r="AA678" s="83" t="str">
        <f t="shared" si="8"/>
        <v/>
      </c>
      <c r="AB678" s="83" t="str">
        <f t="shared" si="9"/>
        <v/>
      </c>
      <c r="AC678" s="18" t="str">
        <f t="shared" ref="AC678:AD678" si="1362">IF(_xlfn.ISFORMULA(S678),IFERROR(0/0,""),TRUE)</f>
        <v/>
      </c>
      <c r="AD678" s="18" t="str">
        <f t="shared" si="1362"/>
        <v/>
      </c>
      <c r="AE678" s="43"/>
      <c r="AF678" s="58" t="s">
        <v>109</v>
      </c>
      <c r="AG678" s="55" t="str">
        <f t="shared" si="11"/>
        <v/>
      </c>
    </row>
    <row r="679">
      <c r="A679" s="7" t="str">
        <f>IFERROR(__xludf.DUMMYFUNCTION("""COMPUTED_VALUE"""),"AG1999")</f>
        <v>AG1999</v>
      </c>
      <c r="B679" s="308">
        <f>IFERROR(__xludf.DUMMYFUNCTION("""COMPUTED_VALUE"""),44928.0)</f>
        <v>44928</v>
      </c>
      <c r="C679" s="309">
        <f>IFERROR(__xludf.DUMMYFUNCTION("""COMPUTED_VALUE"""),0.37216435185185187)</f>
        <v>0.3721643519</v>
      </c>
      <c r="D679" s="7" t="str">
        <f>IFERROR(__xludf.DUMMYFUNCTION("""COMPUTED_VALUE"""),"SpABRM655136")</f>
        <v>SpABRM655136</v>
      </c>
      <c r="E679" s="310"/>
      <c r="F679" s="310"/>
      <c r="G679" s="310" t="str">
        <f>IFERROR(__xludf.DUMMYFUNCTION("""COMPUTED_VALUE"""),"Negative")</f>
        <v>Negative</v>
      </c>
      <c r="H679" s="319" t="str">
        <f>IFERROR(__xludf.DUMMYFUNCTION("""COMPUTED_VALUE"""),"Negative")</f>
        <v>Negative</v>
      </c>
      <c r="I679" s="308">
        <f>IFERROR(__xludf.DUMMYFUNCTION("""COMPUTED_VALUE"""),44928.0)</f>
        <v>44928</v>
      </c>
      <c r="J679" s="311">
        <f>IFERROR(__xludf.DUMMYFUNCTION("""COMPUTED_VALUE"""),0.4194212962962963)</f>
        <v>0.4194212963</v>
      </c>
      <c r="K679" s="54"/>
      <c r="L679" s="7"/>
      <c r="M679" s="312"/>
      <c r="N679" s="172">
        <f>IFERROR(__xludf.DUMMYFUNCTION("""COMPUTED_VALUE"""),4.0)</f>
        <v>4</v>
      </c>
      <c r="O679" s="172"/>
      <c r="P679" s="313">
        <f>IFERROR(__xludf.DUMMYFUNCTION("""COMPUTED_VALUE"""),0.0)</f>
        <v>0</v>
      </c>
      <c r="Q679" s="76" t="b">
        <f>VLOOKUP($B679,'Run Reconcile'!B$2:O1399,14,FALSE)</f>
        <v>1</v>
      </c>
      <c r="R679" s="314" t="str">
        <f t="array" ref="R679">IF($Q679, INDEX('Run Reconcile'!A$2:A1399,MATCH(B679,'Run Reconcile'!B$2:B1399,0),1),IFERROR(0/0,""))</f>
        <v>RUN-ABRM_2023-01-02_RFR-117</v>
      </c>
      <c r="S679" s="315" t="str">
        <f t="shared" ref="S679:T679" si="1363">IF(COUNTIF(W$2:W1399, $A679) &gt; 0,TRUE,IFERROR(0/0,""))</f>
        <v/>
      </c>
      <c r="T679" s="315" t="str">
        <f t="shared" si="1363"/>
        <v/>
      </c>
      <c r="U679" s="114" t="str">
        <f t="array" ref="U679">IF(ISBLANK($R679), INDEX('Run Reconcile'!A$2:A1399, MATCH($B679, 'Run Reconcile'!B$2:B1399, 0)+Z679, 1), IFERROR(0/0,""))
</f>
        <v/>
      </c>
      <c r="V679" s="316" t="str">
        <f t="shared" si="1281"/>
        <v>RUN-ABRM_2023-01-02_RFR-117</v>
      </c>
      <c r="Y679" s="317" t="str">
        <f t="shared" si="6"/>
        <v/>
      </c>
      <c r="Z679" s="83" t="str">
        <f t="shared" si="7"/>
        <v/>
      </c>
      <c r="AA679" s="83" t="str">
        <f t="shared" si="8"/>
        <v/>
      </c>
      <c r="AB679" s="83" t="str">
        <f t="shared" si="9"/>
        <v/>
      </c>
      <c r="AC679" s="18" t="str">
        <f t="shared" ref="AC679:AD679" si="1364">IF(_xlfn.ISFORMULA(S679),IFERROR(0/0,""),TRUE)</f>
        <v/>
      </c>
      <c r="AD679" s="18" t="str">
        <f t="shared" si="1364"/>
        <v/>
      </c>
      <c r="AE679" s="43"/>
      <c r="AF679" s="58" t="s">
        <v>109</v>
      </c>
      <c r="AG679" s="55" t="str">
        <f t="shared" si="11"/>
        <v/>
      </c>
    </row>
    <row r="680">
      <c r="A680" s="7" t="str">
        <f>IFERROR(__xludf.DUMMYFUNCTION("""COMPUTED_VALUE"""),"AH897")</f>
        <v>AH897</v>
      </c>
      <c r="B680" s="308">
        <f>IFERROR(__xludf.DUMMYFUNCTION("""COMPUTED_VALUE"""),44929.0)</f>
        <v>44929</v>
      </c>
      <c r="C680" s="309">
        <f>IFERROR(__xludf.DUMMYFUNCTION("""COMPUTED_VALUE"""),0.25731481481481483)</f>
        <v>0.2573148148</v>
      </c>
      <c r="D680" s="7" t="str">
        <f>IFERROR(__xludf.DUMMYFUNCTION("""COMPUTED_VALUE"""),"SpABRM128250")</f>
        <v>SpABRM128250</v>
      </c>
      <c r="E680" s="310"/>
      <c r="F680" s="310"/>
      <c r="G680" s="310" t="str">
        <f>IFERROR(__xludf.DUMMYFUNCTION("""COMPUTED_VALUE"""),"Negative")</f>
        <v>Negative</v>
      </c>
      <c r="H680" s="319" t="str">
        <f>IFERROR(__xludf.DUMMYFUNCTION("""COMPUTED_VALUE"""),"Negative")</f>
        <v>Negative</v>
      </c>
      <c r="I680" s="308">
        <f>IFERROR(__xludf.DUMMYFUNCTION("""COMPUTED_VALUE"""),44929.0)</f>
        <v>44929</v>
      </c>
      <c r="J680" s="311">
        <f>IFERROR(__xludf.DUMMYFUNCTION("""COMPUTED_VALUE"""),0.410474537037037)</f>
        <v>0.410474537</v>
      </c>
      <c r="K680" s="54"/>
      <c r="L680" s="7"/>
      <c r="M680" s="312"/>
      <c r="N680" s="172">
        <f>IFERROR(__xludf.DUMMYFUNCTION("""COMPUTED_VALUE"""),3.0)</f>
        <v>3</v>
      </c>
      <c r="O680" s="172"/>
      <c r="P680" s="313">
        <f>IFERROR(__xludf.DUMMYFUNCTION("""COMPUTED_VALUE"""),0.0)</f>
        <v>0</v>
      </c>
      <c r="Q680" s="76" t="b">
        <f>VLOOKUP($B680,'Run Reconcile'!B$2:O1399,14,FALSE)</f>
        <v>1</v>
      </c>
      <c r="R680" s="314" t="str">
        <f t="array" ref="R680">IF($Q680, INDEX('Run Reconcile'!A$2:A1399,MATCH(B680,'Run Reconcile'!B$2:B1399,0),1),IFERROR(0/0,""))</f>
        <v>RUN-ABRM_2023-01-03_RFR-118</v>
      </c>
      <c r="S680" s="315" t="str">
        <f t="shared" ref="S680:T680" si="1365">IF(COUNTIF(W$2:W1399, $A680) &gt; 0,TRUE,IFERROR(0/0,""))</f>
        <v/>
      </c>
      <c r="T680" s="315" t="str">
        <f t="shared" si="1365"/>
        <v/>
      </c>
      <c r="U680" s="114" t="str">
        <f t="array" ref="U680">IF(ISBLANK($R680), INDEX('Run Reconcile'!A$2:A1399, MATCH($B680, 'Run Reconcile'!B$2:B1399, 0)+Z680, 1), IFERROR(0/0,""))
</f>
        <v/>
      </c>
      <c r="V680" s="316" t="str">
        <f t="shared" si="1281"/>
        <v>RUN-ABRM_2023-01-03_RFR-118</v>
      </c>
      <c r="Y680" s="317" t="str">
        <f t="shared" si="6"/>
        <v/>
      </c>
      <c r="Z680" s="83" t="str">
        <f t="shared" si="7"/>
        <v/>
      </c>
      <c r="AA680" s="83" t="str">
        <f t="shared" si="8"/>
        <v/>
      </c>
      <c r="AB680" s="83" t="str">
        <f t="shared" si="9"/>
        <v/>
      </c>
      <c r="AC680" s="18" t="str">
        <f t="shared" ref="AC680:AD680" si="1366">IF(_xlfn.ISFORMULA(S680),IFERROR(0/0,""),TRUE)</f>
        <v/>
      </c>
      <c r="AD680" s="18" t="str">
        <f t="shared" si="1366"/>
        <v/>
      </c>
      <c r="AE680" s="43"/>
      <c r="AF680" s="58" t="s">
        <v>110</v>
      </c>
      <c r="AG680" s="55" t="str">
        <f t="shared" si="11"/>
        <v/>
      </c>
    </row>
    <row r="681">
      <c r="A681" s="7" t="str">
        <f>IFERROR(__xludf.DUMMYFUNCTION("""COMPUTED_VALUE"""),"AJ4710")</f>
        <v>AJ4710</v>
      </c>
      <c r="B681" s="308">
        <f>IFERROR(__xludf.DUMMYFUNCTION("""COMPUTED_VALUE"""),44929.0)</f>
        <v>44929</v>
      </c>
      <c r="C681" s="309">
        <f>IFERROR(__xludf.DUMMYFUNCTION("""COMPUTED_VALUE"""),0.27880787037037036)</f>
        <v>0.2788078704</v>
      </c>
      <c r="D681" s="7" t="str">
        <f>IFERROR(__xludf.DUMMYFUNCTION("""COMPUTED_VALUE"""),"SpABRM454310")</f>
        <v>SpABRM454310</v>
      </c>
      <c r="E681" s="310"/>
      <c r="F681" s="310"/>
      <c r="G681" s="310" t="str">
        <f>IFERROR(__xludf.DUMMYFUNCTION("""COMPUTED_VALUE"""),"Negative")</f>
        <v>Negative</v>
      </c>
      <c r="H681" s="319" t="str">
        <f>IFERROR(__xludf.DUMMYFUNCTION("""COMPUTED_VALUE"""),"Negative")</f>
        <v>Negative</v>
      </c>
      <c r="I681" s="308">
        <f>IFERROR(__xludf.DUMMYFUNCTION("""COMPUTED_VALUE"""),44929.0)</f>
        <v>44929</v>
      </c>
      <c r="J681" s="311">
        <f>IFERROR(__xludf.DUMMYFUNCTION("""COMPUTED_VALUE"""),0.4104861111111111)</f>
        <v>0.4104861111</v>
      </c>
      <c r="K681" s="54"/>
      <c r="L681" s="7"/>
      <c r="M681" s="312"/>
      <c r="N681" s="172">
        <f>IFERROR(__xludf.DUMMYFUNCTION("""COMPUTED_VALUE"""),3.0)</f>
        <v>3</v>
      </c>
      <c r="O681" s="172"/>
      <c r="P681" s="313">
        <f>IFERROR(__xludf.DUMMYFUNCTION("""COMPUTED_VALUE"""),0.0)</f>
        <v>0</v>
      </c>
      <c r="Q681" s="76" t="b">
        <f>VLOOKUP($B681,'Run Reconcile'!B$2:O1399,14,FALSE)</f>
        <v>1</v>
      </c>
      <c r="R681" s="314" t="str">
        <f t="array" ref="R681">IF($Q681, INDEX('Run Reconcile'!A$2:A1399,MATCH(B681,'Run Reconcile'!B$2:B1399,0),1),IFERROR(0/0,""))</f>
        <v>RUN-ABRM_2023-01-03_RFR-118</v>
      </c>
      <c r="S681" s="315" t="str">
        <f t="shared" ref="S681:T681" si="1367">IF(COUNTIF(W$2:W1399, $A681) &gt; 0,TRUE,IFERROR(0/0,""))</f>
        <v/>
      </c>
      <c r="T681" s="315" t="str">
        <f t="shared" si="1367"/>
        <v/>
      </c>
      <c r="U681" s="114" t="str">
        <f t="array" ref="U681">IF(ISBLANK($R681), INDEX('Run Reconcile'!A$2:A1399, MATCH($B681, 'Run Reconcile'!B$2:B1399, 0)+Z681, 1), IFERROR(0/0,""))
</f>
        <v/>
      </c>
      <c r="V681" s="316" t="str">
        <f t="shared" si="1281"/>
        <v>RUN-ABRM_2023-01-03_RFR-118</v>
      </c>
      <c r="Y681" s="317" t="str">
        <f t="shared" si="6"/>
        <v/>
      </c>
      <c r="Z681" s="83" t="str">
        <f t="shared" si="7"/>
        <v/>
      </c>
      <c r="AA681" s="83" t="str">
        <f t="shared" si="8"/>
        <v/>
      </c>
      <c r="AB681" s="83" t="str">
        <f t="shared" si="9"/>
        <v/>
      </c>
      <c r="AC681" s="18" t="str">
        <f t="shared" ref="AC681:AD681" si="1368">IF(_xlfn.ISFORMULA(S681),IFERROR(0/0,""),TRUE)</f>
        <v/>
      </c>
      <c r="AD681" s="18" t="str">
        <f t="shared" si="1368"/>
        <v/>
      </c>
      <c r="AE681" s="43"/>
      <c r="AF681" s="58" t="s">
        <v>110</v>
      </c>
      <c r="AG681" s="55" t="str">
        <f t="shared" si="11"/>
        <v/>
      </c>
    </row>
    <row r="682">
      <c r="A682" s="7" t="str">
        <f>IFERROR(__xludf.DUMMYFUNCTION("""COMPUTED_VALUE"""),"AH6873")</f>
        <v>AH6873</v>
      </c>
      <c r="B682" s="308">
        <f>IFERROR(__xludf.DUMMYFUNCTION("""COMPUTED_VALUE"""),44929.0)</f>
        <v>44929</v>
      </c>
      <c r="C682" s="309">
        <f>IFERROR(__xludf.DUMMYFUNCTION("""COMPUTED_VALUE"""),0.27917824074074077)</f>
        <v>0.2791782407</v>
      </c>
      <c r="D682" s="7" t="str">
        <f>IFERROR(__xludf.DUMMYFUNCTION("""COMPUTED_VALUE"""),"SpABRM454310")</f>
        <v>SpABRM454310</v>
      </c>
      <c r="E682" s="310"/>
      <c r="F682" s="310"/>
      <c r="G682" s="310" t="str">
        <f>IFERROR(__xludf.DUMMYFUNCTION("""COMPUTED_VALUE"""),"Negative")</f>
        <v>Negative</v>
      </c>
      <c r="H682" s="319" t="str">
        <f>IFERROR(__xludf.DUMMYFUNCTION("""COMPUTED_VALUE"""),"Negative")</f>
        <v>Negative</v>
      </c>
      <c r="I682" s="308">
        <f>IFERROR(__xludf.DUMMYFUNCTION("""COMPUTED_VALUE"""),44929.0)</f>
        <v>44929</v>
      </c>
      <c r="J682" s="311">
        <f>IFERROR(__xludf.DUMMYFUNCTION("""COMPUTED_VALUE"""),0.4104861111111111)</f>
        <v>0.4104861111</v>
      </c>
      <c r="K682" s="54"/>
      <c r="L682" s="7"/>
      <c r="M682" s="312"/>
      <c r="N682" s="172">
        <f>IFERROR(__xludf.DUMMYFUNCTION("""COMPUTED_VALUE"""),2.0)</f>
        <v>2</v>
      </c>
      <c r="O682" s="172"/>
      <c r="P682" s="313">
        <f>IFERROR(__xludf.DUMMYFUNCTION("""COMPUTED_VALUE"""),0.0)</f>
        <v>0</v>
      </c>
      <c r="Q682" s="76" t="b">
        <f>VLOOKUP($B682,'Run Reconcile'!B$2:O1399,14,FALSE)</f>
        <v>1</v>
      </c>
      <c r="R682" s="314" t="str">
        <f t="array" ref="R682">IF($Q682, INDEX('Run Reconcile'!A$2:A1399,MATCH(B682,'Run Reconcile'!B$2:B1399,0),1),IFERROR(0/0,""))</f>
        <v>RUN-ABRM_2023-01-03_RFR-118</v>
      </c>
      <c r="S682" s="315" t="str">
        <f t="shared" ref="S682:T682" si="1369">IF(COUNTIF(W$2:W1399, $A682) &gt; 0,TRUE,IFERROR(0/0,""))</f>
        <v/>
      </c>
      <c r="T682" s="315" t="str">
        <f t="shared" si="1369"/>
        <v/>
      </c>
      <c r="U682" s="114" t="str">
        <f t="array" ref="U682">IF(ISBLANK($R682), INDEX('Run Reconcile'!A$2:A1399, MATCH($B682, 'Run Reconcile'!B$2:B1399, 0)+Z682, 1), IFERROR(0/0,""))
</f>
        <v/>
      </c>
      <c r="V682" s="316" t="str">
        <f t="shared" si="1281"/>
        <v>RUN-ABRM_2023-01-03_RFR-118</v>
      </c>
      <c r="Y682" s="317" t="str">
        <f t="shared" si="6"/>
        <v/>
      </c>
      <c r="Z682" s="83" t="str">
        <f t="shared" si="7"/>
        <v/>
      </c>
      <c r="AA682" s="83" t="str">
        <f t="shared" si="8"/>
        <v/>
      </c>
      <c r="AB682" s="83" t="str">
        <f t="shared" si="9"/>
        <v/>
      </c>
      <c r="AC682" s="18" t="str">
        <f t="shared" ref="AC682:AD682" si="1370">IF(_xlfn.ISFORMULA(S682),IFERROR(0/0,""),TRUE)</f>
        <v/>
      </c>
      <c r="AD682" s="18" t="str">
        <f t="shared" si="1370"/>
        <v/>
      </c>
      <c r="AE682" s="43"/>
      <c r="AF682" s="58" t="s">
        <v>110</v>
      </c>
      <c r="AG682" s="55" t="str">
        <f t="shared" si="11"/>
        <v/>
      </c>
    </row>
    <row r="683">
      <c r="A683" s="7" t="str">
        <f>IFERROR(__xludf.DUMMYFUNCTION("""COMPUTED_VALUE"""),"AH7677")</f>
        <v>AH7677</v>
      </c>
      <c r="B683" s="308">
        <f>IFERROR(__xludf.DUMMYFUNCTION("""COMPUTED_VALUE"""),44929.0)</f>
        <v>44929</v>
      </c>
      <c r="C683" s="309">
        <f>IFERROR(__xludf.DUMMYFUNCTION("""COMPUTED_VALUE"""),0.28760416666666666)</f>
        <v>0.2876041667</v>
      </c>
      <c r="D683" s="7" t="str">
        <f>IFERROR(__xludf.DUMMYFUNCTION("""COMPUTED_VALUE"""),"SpABRM297307")</f>
        <v>SpABRM297307</v>
      </c>
      <c r="E683" s="310"/>
      <c r="F683" s="310"/>
      <c r="G683" s="310" t="str">
        <f>IFERROR(__xludf.DUMMYFUNCTION("""COMPUTED_VALUE"""),"Negative")</f>
        <v>Negative</v>
      </c>
      <c r="H683" s="319" t="str">
        <f>IFERROR(__xludf.DUMMYFUNCTION("""COMPUTED_VALUE"""),"Negative")</f>
        <v>Negative</v>
      </c>
      <c r="I683" s="308">
        <f>IFERROR(__xludf.DUMMYFUNCTION("""COMPUTED_VALUE"""),44929.0)</f>
        <v>44929</v>
      </c>
      <c r="J683" s="311">
        <f>IFERROR(__xludf.DUMMYFUNCTION("""COMPUTED_VALUE"""),0.4104976851851852)</f>
        <v>0.4104976852</v>
      </c>
      <c r="K683" s="54"/>
      <c r="L683" s="7"/>
      <c r="M683" s="312"/>
      <c r="N683" s="172">
        <f>IFERROR(__xludf.DUMMYFUNCTION("""COMPUTED_VALUE"""),4.0)</f>
        <v>4</v>
      </c>
      <c r="O683" s="172"/>
      <c r="P683" s="313">
        <f>IFERROR(__xludf.DUMMYFUNCTION("""COMPUTED_VALUE"""),0.0)</f>
        <v>0</v>
      </c>
      <c r="Q683" s="76" t="b">
        <f>VLOOKUP($B683,'Run Reconcile'!B$2:O1399,14,FALSE)</f>
        <v>1</v>
      </c>
      <c r="R683" s="314" t="str">
        <f t="array" ref="R683">IF($Q683, INDEX('Run Reconcile'!A$2:A1399,MATCH(B683,'Run Reconcile'!B$2:B1399,0),1),IFERROR(0/0,""))</f>
        <v>RUN-ABRM_2023-01-03_RFR-118</v>
      </c>
      <c r="S683" s="315" t="str">
        <f t="shared" ref="S683:T683" si="1371">IF(COUNTIF(W$2:W1399, $A683) &gt; 0,TRUE,IFERROR(0/0,""))</f>
        <v/>
      </c>
      <c r="T683" s="315" t="str">
        <f t="shared" si="1371"/>
        <v/>
      </c>
      <c r="U683" s="114" t="str">
        <f t="array" ref="U683">IF(ISBLANK($R683), INDEX('Run Reconcile'!A$2:A1399, MATCH($B683, 'Run Reconcile'!B$2:B1399, 0)+Z683, 1), IFERROR(0/0,""))
</f>
        <v/>
      </c>
      <c r="V683" s="316" t="str">
        <f t="shared" si="1281"/>
        <v>RUN-ABRM_2023-01-03_RFR-118</v>
      </c>
      <c r="Y683" s="317" t="str">
        <f t="shared" si="6"/>
        <v/>
      </c>
      <c r="Z683" s="83" t="str">
        <f t="shared" si="7"/>
        <v/>
      </c>
      <c r="AA683" s="83" t="str">
        <f t="shared" si="8"/>
        <v/>
      </c>
      <c r="AB683" s="83" t="str">
        <f t="shared" si="9"/>
        <v/>
      </c>
      <c r="AC683" s="18" t="str">
        <f t="shared" ref="AC683:AD683" si="1372">IF(_xlfn.ISFORMULA(S683),IFERROR(0/0,""),TRUE)</f>
        <v/>
      </c>
      <c r="AD683" s="18" t="str">
        <f t="shared" si="1372"/>
        <v/>
      </c>
      <c r="AE683" s="43"/>
      <c r="AF683" s="58" t="s">
        <v>110</v>
      </c>
      <c r="AG683" s="55" t="str">
        <f t="shared" si="11"/>
        <v/>
      </c>
    </row>
    <row r="684">
      <c r="A684" s="7" t="str">
        <f>IFERROR(__xludf.DUMMYFUNCTION("""COMPUTED_VALUE"""),"AJ9576")</f>
        <v>AJ9576</v>
      </c>
      <c r="B684" s="308">
        <f>IFERROR(__xludf.DUMMYFUNCTION("""COMPUTED_VALUE"""),44929.0)</f>
        <v>44929</v>
      </c>
      <c r="C684" s="309">
        <f>IFERROR(__xludf.DUMMYFUNCTION("""COMPUTED_VALUE"""),0.28833333333333333)</f>
        <v>0.2883333333</v>
      </c>
      <c r="D684" s="7" t="str">
        <f>IFERROR(__xludf.DUMMYFUNCTION("""COMPUTED_VALUE"""),"SpABRM367540")</f>
        <v>SpABRM367540</v>
      </c>
      <c r="E684" s="310"/>
      <c r="F684" s="310"/>
      <c r="G684" s="310" t="str">
        <f>IFERROR(__xludf.DUMMYFUNCTION("""COMPUTED_VALUE"""),"Negative")</f>
        <v>Negative</v>
      </c>
      <c r="H684" s="319" t="str">
        <f>IFERROR(__xludf.DUMMYFUNCTION("""COMPUTED_VALUE"""),"Negative")</f>
        <v>Negative</v>
      </c>
      <c r="I684" s="308">
        <f>IFERROR(__xludf.DUMMYFUNCTION("""COMPUTED_VALUE"""),44929.0)</f>
        <v>44929</v>
      </c>
      <c r="J684" s="311">
        <f>IFERROR(__xludf.DUMMYFUNCTION("""COMPUTED_VALUE"""),0.41050925925925924)</f>
        <v>0.4105092593</v>
      </c>
      <c r="K684" s="54"/>
      <c r="L684" s="7"/>
      <c r="M684" s="312"/>
      <c r="N684" s="172">
        <f>IFERROR(__xludf.DUMMYFUNCTION("""COMPUTED_VALUE"""),3.0)</f>
        <v>3</v>
      </c>
      <c r="O684" s="172"/>
      <c r="P684" s="313">
        <f>IFERROR(__xludf.DUMMYFUNCTION("""COMPUTED_VALUE"""),0.0)</f>
        <v>0</v>
      </c>
      <c r="Q684" s="76" t="b">
        <f>VLOOKUP($B684,'Run Reconcile'!B$2:O1399,14,FALSE)</f>
        <v>1</v>
      </c>
      <c r="R684" s="314" t="str">
        <f t="array" ref="R684">IF($Q684, INDEX('Run Reconcile'!A$2:A1399,MATCH(B684,'Run Reconcile'!B$2:B1399,0),1),IFERROR(0/0,""))</f>
        <v>RUN-ABRM_2023-01-03_RFR-118</v>
      </c>
      <c r="S684" s="315" t="str">
        <f t="shared" ref="S684:T684" si="1373">IF(COUNTIF(W$2:W1399, $A684) &gt; 0,TRUE,IFERROR(0/0,""))</f>
        <v/>
      </c>
      <c r="T684" s="315" t="str">
        <f t="shared" si="1373"/>
        <v/>
      </c>
      <c r="U684" s="114" t="str">
        <f t="array" ref="U684">IF(ISBLANK($R684), INDEX('Run Reconcile'!A$2:A1399, MATCH($B684, 'Run Reconcile'!B$2:B1399, 0)+Z684, 1), IFERROR(0/0,""))
</f>
        <v/>
      </c>
      <c r="V684" s="316" t="str">
        <f t="shared" si="1281"/>
        <v>RUN-ABRM_2023-01-03_RFR-118</v>
      </c>
      <c r="Y684" s="317" t="str">
        <f t="shared" si="6"/>
        <v/>
      </c>
      <c r="Z684" s="83" t="str">
        <f t="shared" si="7"/>
        <v/>
      </c>
      <c r="AA684" s="83" t="str">
        <f t="shared" si="8"/>
        <v/>
      </c>
      <c r="AB684" s="83" t="str">
        <f t="shared" si="9"/>
        <v/>
      </c>
      <c r="AC684" s="18" t="str">
        <f t="shared" ref="AC684:AD684" si="1374">IF(_xlfn.ISFORMULA(S684),IFERROR(0/0,""),TRUE)</f>
        <v/>
      </c>
      <c r="AD684" s="18" t="str">
        <f t="shared" si="1374"/>
        <v/>
      </c>
      <c r="AE684" s="43"/>
      <c r="AF684" s="58" t="s">
        <v>110</v>
      </c>
      <c r="AG684" s="55" t="str">
        <f t="shared" si="11"/>
        <v/>
      </c>
    </row>
    <row r="685">
      <c r="A685" s="7" t="str">
        <f>IFERROR(__xludf.DUMMYFUNCTION("""COMPUTED_VALUE"""),"AJ8155")</f>
        <v>AJ8155</v>
      </c>
      <c r="B685" s="308">
        <f>IFERROR(__xludf.DUMMYFUNCTION("""COMPUTED_VALUE"""),44929.0)</f>
        <v>44929</v>
      </c>
      <c r="C685" s="309">
        <f>IFERROR(__xludf.DUMMYFUNCTION("""COMPUTED_VALUE"""),0.2985069444444444)</f>
        <v>0.2985069444</v>
      </c>
      <c r="D685" s="7" t="str">
        <f>IFERROR(__xludf.DUMMYFUNCTION("""COMPUTED_VALUE"""),"SpABRM756011")</f>
        <v>SpABRM756011</v>
      </c>
      <c r="E685" s="310"/>
      <c r="F685" s="310"/>
      <c r="G685" s="310" t="str">
        <f>IFERROR(__xludf.DUMMYFUNCTION("""COMPUTED_VALUE"""),"Negative")</f>
        <v>Negative</v>
      </c>
      <c r="H685" s="319" t="str">
        <f>IFERROR(__xludf.DUMMYFUNCTION("""COMPUTED_VALUE"""),"Negative")</f>
        <v>Negative</v>
      </c>
      <c r="I685" s="308">
        <f>IFERROR(__xludf.DUMMYFUNCTION("""COMPUTED_VALUE"""),44929.0)</f>
        <v>44929</v>
      </c>
      <c r="J685" s="311">
        <f>IFERROR(__xludf.DUMMYFUNCTION("""COMPUTED_VALUE"""),0.4363888888888889)</f>
        <v>0.4363888889</v>
      </c>
      <c r="K685" s="54"/>
      <c r="L685" s="7"/>
      <c r="M685" s="312"/>
      <c r="N685" s="172">
        <f>IFERROR(__xludf.DUMMYFUNCTION("""COMPUTED_VALUE"""),2.0)</f>
        <v>2</v>
      </c>
      <c r="O685" s="172"/>
      <c r="P685" s="313">
        <f>IFERROR(__xludf.DUMMYFUNCTION("""COMPUTED_VALUE"""),0.0)</f>
        <v>0</v>
      </c>
      <c r="Q685" s="76" t="b">
        <f>VLOOKUP($B685,'Run Reconcile'!B$2:O1399,14,FALSE)</f>
        <v>1</v>
      </c>
      <c r="R685" s="314" t="str">
        <f t="array" ref="R685">IF($Q685, INDEX('Run Reconcile'!A$2:A1399,MATCH(B685,'Run Reconcile'!B$2:B1399,0),1),IFERROR(0/0,""))</f>
        <v>RUN-ABRM_2023-01-03_RFR-118</v>
      </c>
      <c r="S685" s="315" t="str">
        <f t="shared" ref="S685:T685" si="1375">IF(COUNTIF(W$2:W1399, $A685) &gt; 0,TRUE,IFERROR(0/0,""))</f>
        <v/>
      </c>
      <c r="T685" s="315" t="str">
        <f t="shared" si="1375"/>
        <v/>
      </c>
      <c r="U685" s="114" t="str">
        <f t="array" ref="U685">IF(ISBLANK($R685), INDEX('Run Reconcile'!A$2:A1399, MATCH($B685, 'Run Reconcile'!B$2:B1399, 0)+Z685, 1), IFERROR(0/0,""))
</f>
        <v/>
      </c>
      <c r="V685" s="316" t="str">
        <f t="shared" si="1281"/>
        <v>RUN-ABRM_2023-01-03_RFR-118</v>
      </c>
      <c r="Y685" s="317" t="str">
        <f t="shared" si="6"/>
        <v/>
      </c>
      <c r="Z685" s="83" t="str">
        <f t="shared" si="7"/>
        <v/>
      </c>
      <c r="AA685" s="83" t="str">
        <f t="shared" si="8"/>
        <v/>
      </c>
      <c r="AB685" s="83" t="str">
        <f t="shared" si="9"/>
        <v/>
      </c>
      <c r="AC685" s="18" t="str">
        <f t="shared" ref="AC685:AD685" si="1376">IF(_xlfn.ISFORMULA(S685),IFERROR(0/0,""),TRUE)</f>
        <v/>
      </c>
      <c r="AD685" s="18" t="str">
        <f t="shared" si="1376"/>
        <v/>
      </c>
      <c r="AE685" s="43"/>
      <c r="AF685" s="58" t="s">
        <v>110</v>
      </c>
      <c r="AG685" s="55" t="str">
        <f t="shared" si="11"/>
        <v/>
      </c>
    </row>
    <row r="686">
      <c r="A686" s="7" t="str">
        <f>IFERROR(__xludf.DUMMYFUNCTION("""COMPUTED_VALUE"""),"AH7657")</f>
        <v>AH7657</v>
      </c>
      <c r="B686" s="308">
        <f>IFERROR(__xludf.DUMMYFUNCTION("""COMPUTED_VALUE"""),44929.0)</f>
        <v>44929</v>
      </c>
      <c r="C686" s="309">
        <f>IFERROR(__xludf.DUMMYFUNCTION("""COMPUTED_VALUE"""),0.31851851851851853)</f>
        <v>0.3185185185</v>
      </c>
      <c r="D686" s="7" t="str">
        <f>IFERROR(__xludf.DUMMYFUNCTION("""COMPUTED_VALUE"""),"SpABRM460827")</f>
        <v>SpABRM460827</v>
      </c>
      <c r="E686" s="310"/>
      <c r="F686" s="310"/>
      <c r="G686" s="310" t="str">
        <f>IFERROR(__xludf.DUMMYFUNCTION("""COMPUTED_VALUE"""),"Negative")</f>
        <v>Negative</v>
      </c>
      <c r="H686" s="319" t="str">
        <f>IFERROR(__xludf.DUMMYFUNCTION("""COMPUTED_VALUE"""),"Negative")</f>
        <v>Negative</v>
      </c>
      <c r="I686" s="308">
        <f>IFERROR(__xludf.DUMMYFUNCTION("""COMPUTED_VALUE"""),44929.0)</f>
        <v>44929</v>
      </c>
      <c r="J686" s="311">
        <f>IFERROR(__xludf.DUMMYFUNCTION("""COMPUTED_VALUE"""),0.41050925925925924)</f>
        <v>0.4105092593</v>
      </c>
      <c r="K686" s="54"/>
      <c r="L686" s="7"/>
      <c r="M686" s="312"/>
      <c r="N686" s="172">
        <f>IFERROR(__xludf.DUMMYFUNCTION("""COMPUTED_VALUE"""),1.0)</f>
        <v>1</v>
      </c>
      <c r="O686" s="172"/>
      <c r="P686" s="313">
        <f>IFERROR(__xludf.DUMMYFUNCTION("""COMPUTED_VALUE"""),0.0)</f>
        <v>0</v>
      </c>
      <c r="Q686" s="76" t="b">
        <f>VLOOKUP($B686,'Run Reconcile'!B$2:O1399,14,FALSE)</f>
        <v>1</v>
      </c>
      <c r="R686" s="314" t="str">
        <f t="array" ref="R686">IF($Q686, INDEX('Run Reconcile'!A$2:A1399,MATCH(B686,'Run Reconcile'!B$2:B1399,0),1),IFERROR(0/0,""))</f>
        <v>RUN-ABRM_2023-01-03_RFR-118</v>
      </c>
      <c r="S686" s="315" t="str">
        <f t="shared" ref="S686:T686" si="1377">IF(COUNTIF(W$2:W1399, $A686) &gt; 0,TRUE,IFERROR(0/0,""))</f>
        <v/>
      </c>
      <c r="T686" s="315" t="str">
        <f t="shared" si="1377"/>
        <v/>
      </c>
      <c r="U686" s="114" t="str">
        <f t="array" ref="U686">IF(ISBLANK($R686), INDEX('Run Reconcile'!A$2:A1399, MATCH($B686, 'Run Reconcile'!B$2:B1399, 0)+Z686, 1), IFERROR(0/0,""))
</f>
        <v/>
      </c>
      <c r="V686" s="316" t="str">
        <f t="shared" si="1281"/>
        <v>RUN-ABRM_2023-01-03_RFR-118</v>
      </c>
      <c r="Y686" s="317" t="str">
        <f t="shared" si="6"/>
        <v/>
      </c>
      <c r="Z686" s="83" t="str">
        <f t="shared" si="7"/>
        <v/>
      </c>
      <c r="AA686" s="83" t="str">
        <f t="shared" si="8"/>
        <v/>
      </c>
      <c r="AB686" s="83" t="str">
        <f t="shared" si="9"/>
        <v/>
      </c>
      <c r="AC686" s="18" t="str">
        <f t="shared" ref="AC686:AD686" si="1378">IF(_xlfn.ISFORMULA(S686),IFERROR(0/0,""),TRUE)</f>
        <v/>
      </c>
      <c r="AD686" s="18" t="str">
        <f t="shared" si="1378"/>
        <v/>
      </c>
      <c r="AE686" s="43"/>
      <c r="AF686" s="58" t="s">
        <v>110</v>
      </c>
      <c r="AG686" s="55" t="str">
        <f t="shared" si="11"/>
        <v/>
      </c>
    </row>
    <row r="687">
      <c r="A687" s="7" t="str">
        <f>IFERROR(__xludf.DUMMYFUNCTION("""COMPUTED_VALUE"""),"AG2049")</f>
        <v>AG2049</v>
      </c>
      <c r="B687" s="308">
        <f>IFERROR(__xludf.DUMMYFUNCTION("""COMPUTED_VALUE"""),44929.0)</f>
        <v>44929</v>
      </c>
      <c r="C687" s="309">
        <f>IFERROR(__xludf.DUMMYFUNCTION("""COMPUTED_VALUE"""),0.3204513888888889)</f>
        <v>0.3204513889</v>
      </c>
      <c r="D687" s="7" t="str">
        <f>IFERROR(__xludf.DUMMYFUNCTION("""COMPUTED_VALUE"""),"SpABRM814022")</f>
        <v>SpABRM814022</v>
      </c>
      <c r="E687" s="310"/>
      <c r="F687" s="310"/>
      <c r="G687" s="310" t="str">
        <f>IFERROR(__xludf.DUMMYFUNCTION("""COMPUTED_VALUE"""),"Negative")</f>
        <v>Negative</v>
      </c>
      <c r="H687" s="319" t="str">
        <f>IFERROR(__xludf.DUMMYFUNCTION("""COMPUTED_VALUE"""),"Negative")</f>
        <v>Negative</v>
      </c>
      <c r="I687" s="308">
        <f>IFERROR(__xludf.DUMMYFUNCTION("""COMPUTED_VALUE"""),44929.0)</f>
        <v>44929</v>
      </c>
      <c r="J687" s="311">
        <f>IFERROR(__xludf.DUMMYFUNCTION("""COMPUTED_VALUE"""),0.41052083333333333)</f>
        <v>0.4105208333</v>
      </c>
      <c r="K687" s="54"/>
      <c r="L687" s="7"/>
      <c r="M687" s="312"/>
      <c r="N687" s="172">
        <f>IFERROR(__xludf.DUMMYFUNCTION("""COMPUTED_VALUE"""),1.0)</f>
        <v>1</v>
      </c>
      <c r="O687" s="172"/>
      <c r="P687" s="313">
        <f>IFERROR(__xludf.DUMMYFUNCTION("""COMPUTED_VALUE"""),0.0)</f>
        <v>0</v>
      </c>
      <c r="Q687" s="76" t="b">
        <f>VLOOKUP($B687,'Run Reconcile'!B$2:O1399,14,FALSE)</f>
        <v>1</v>
      </c>
      <c r="R687" s="314" t="str">
        <f t="array" ref="R687">IF($Q687, INDEX('Run Reconcile'!A$2:A1399,MATCH(B687,'Run Reconcile'!B$2:B1399,0),1),IFERROR(0/0,""))</f>
        <v>RUN-ABRM_2023-01-03_RFR-118</v>
      </c>
      <c r="S687" s="315" t="str">
        <f t="shared" ref="S687:T687" si="1379">IF(COUNTIF(W$2:W1399, $A687) &gt; 0,TRUE,IFERROR(0/0,""))</f>
        <v/>
      </c>
      <c r="T687" s="315" t="str">
        <f t="shared" si="1379"/>
        <v/>
      </c>
      <c r="U687" s="114" t="str">
        <f t="array" ref="U687">IF(ISBLANK($R687), INDEX('Run Reconcile'!A$2:A1399, MATCH($B687, 'Run Reconcile'!B$2:B1399, 0)+Z687, 1), IFERROR(0/0,""))
</f>
        <v/>
      </c>
      <c r="V687" s="316" t="str">
        <f t="shared" si="1281"/>
        <v>RUN-ABRM_2023-01-03_RFR-118</v>
      </c>
      <c r="Y687" s="317" t="str">
        <f t="shared" si="6"/>
        <v/>
      </c>
      <c r="Z687" s="83" t="str">
        <f t="shared" si="7"/>
        <v/>
      </c>
      <c r="AA687" s="83" t="str">
        <f t="shared" si="8"/>
        <v/>
      </c>
      <c r="AB687" s="83" t="str">
        <f t="shared" si="9"/>
        <v/>
      </c>
      <c r="AC687" s="18" t="str">
        <f t="shared" ref="AC687:AD687" si="1380">IF(_xlfn.ISFORMULA(S687),IFERROR(0/0,""),TRUE)</f>
        <v/>
      </c>
      <c r="AD687" s="18" t="str">
        <f t="shared" si="1380"/>
        <v/>
      </c>
      <c r="AE687" s="43"/>
      <c r="AF687" s="58" t="s">
        <v>110</v>
      </c>
      <c r="AG687" s="55" t="str">
        <f t="shared" si="11"/>
        <v/>
      </c>
    </row>
    <row r="688">
      <c r="A688" s="7" t="str">
        <f>IFERROR(__xludf.DUMMYFUNCTION("""COMPUTED_VALUE"""),"AH6954")</f>
        <v>AH6954</v>
      </c>
      <c r="B688" s="308">
        <f>IFERROR(__xludf.DUMMYFUNCTION("""COMPUTED_VALUE"""),44929.0)</f>
        <v>44929</v>
      </c>
      <c r="C688" s="309">
        <f>IFERROR(__xludf.DUMMYFUNCTION("""COMPUTED_VALUE"""),0.3228125)</f>
        <v>0.3228125</v>
      </c>
      <c r="D688" s="7" t="str">
        <f>IFERROR(__xludf.DUMMYFUNCTION("""COMPUTED_VALUE"""),"SpABRM655136")</f>
        <v>SpABRM655136</v>
      </c>
      <c r="E688" s="310"/>
      <c r="F688" s="310"/>
      <c r="G688" s="310" t="str">
        <f>IFERROR(__xludf.DUMMYFUNCTION("""COMPUTED_VALUE"""),"Negative")</f>
        <v>Negative</v>
      </c>
      <c r="H688" s="319" t="str">
        <f>IFERROR(__xludf.DUMMYFUNCTION("""COMPUTED_VALUE"""),"Negative")</f>
        <v>Negative</v>
      </c>
      <c r="I688" s="308">
        <f>IFERROR(__xludf.DUMMYFUNCTION("""COMPUTED_VALUE"""),44929.0)</f>
        <v>44929</v>
      </c>
      <c r="J688" s="311">
        <f>IFERROR(__xludf.DUMMYFUNCTION("""COMPUTED_VALUE"""),0.41052083333333333)</f>
        <v>0.4105208333</v>
      </c>
      <c r="K688" s="54"/>
      <c r="L688" s="7"/>
      <c r="M688" s="312"/>
      <c r="N688" s="172">
        <f>IFERROR(__xludf.DUMMYFUNCTION("""COMPUTED_VALUE"""),2.0)</f>
        <v>2</v>
      </c>
      <c r="O688" s="172"/>
      <c r="P688" s="313">
        <f>IFERROR(__xludf.DUMMYFUNCTION("""COMPUTED_VALUE"""),0.0)</f>
        <v>0</v>
      </c>
      <c r="Q688" s="76" t="b">
        <f>VLOOKUP($B688,'Run Reconcile'!B$2:O1399,14,FALSE)</f>
        <v>1</v>
      </c>
      <c r="R688" s="314" t="str">
        <f t="array" ref="R688">IF($Q688, INDEX('Run Reconcile'!A$2:A1399,MATCH(B688,'Run Reconcile'!B$2:B1399,0),1),IFERROR(0/0,""))</f>
        <v>RUN-ABRM_2023-01-03_RFR-118</v>
      </c>
      <c r="S688" s="315" t="str">
        <f t="shared" ref="S688:T688" si="1381">IF(COUNTIF(W$2:W1399, $A688) &gt; 0,TRUE,IFERROR(0/0,""))</f>
        <v/>
      </c>
      <c r="T688" s="315" t="str">
        <f t="shared" si="1381"/>
        <v/>
      </c>
      <c r="U688" s="114" t="str">
        <f t="array" ref="U688">IF(ISBLANK($R688), INDEX('Run Reconcile'!A$2:A1399, MATCH($B688, 'Run Reconcile'!B$2:B1399, 0)+Z688, 1), IFERROR(0/0,""))
</f>
        <v/>
      </c>
      <c r="V688" s="316" t="str">
        <f t="shared" si="1281"/>
        <v>RUN-ABRM_2023-01-03_RFR-118</v>
      </c>
      <c r="Y688" s="317" t="str">
        <f t="shared" si="6"/>
        <v/>
      </c>
      <c r="Z688" s="83" t="str">
        <f t="shared" si="7"/>
        <v/>
      </c>
      <c r="AA688" s="83" t="str">
        <f t="shared" si="8"/>
        <v/>
      </c>
      <c r="AB688" s="83" t="str">
        <f t="shared" si="9"/>
        <v/>
      </c>
      <c r="AC688" s="18" t="str">
        <f t="shared" ref="AC688:AD688" si="1382">IF(_xlfn.ISFORMULA(S688),IFERROR(0/0,""),TRUE)</f>
        <v/>
      </c>
      <c r="AD688" s="18" t="str">
        <f t="shared" si="1382"/>
        <v/>
      </c>
      <c r="AE688" s="43"/>
      <c r="AF688" s="58" t="s">
        <v>110</v>
      </c>
      <c r="AG688" s="55" t="str">
        <f t="shared" si="11"/>
        <v/>
      </c>
    </row>
    <row r="689">
      <c r="A689" s="7" t="str">
        <f>IFERROR(__xludf.DUMMYFUNCTION("""COMPUTED_VALUE"""),"AG925")</f>
        <v>AG925</v>
      </c>
      <c r="B689" s="308">
        <f>IFERROR(__xludf.DUMMYFUNCTION("""COMPUTED_VALUE"""),44929.0)</f>
        <v>44929</v>
      </c>
      <c r="C689" s="309">
        <f>IFERROR(__xludf.DUMMYFUNCTION("""COMPUTED_VALUE"""),0.33719907407407407)</f>
        <v>0.3371990741</v>
      </c>
      <c r="D689" s="7" t="str">
        <f>IFERROR(__xludf.DUMMYFUNCTION("""COMPUTED_VALUE"""),"SpABRM655136")</f>
        <v>SpABRM655136</v>
      </c>
      <c r="E689" s="310"/>
      <c r="F689" s="310"/>
      <c r="G689" s="310" t="str">
        <f>IFERROR(__xludf.DUMMYFUNCTION("""COMPUTED_VALUE"""),"Negative")</f>
        <v>Negative</v>
      </c>
      <c r="H689" s="319" t="str">
        <f>IFERROR(__xludf.DUMMYFUNCTION("""COMPUTED_VALUE"""),"Negative")</f>
        <v>Negative</v>
      </c>
      <c r="I689" s="308">
        <f>IFERROR(__xludf.DUMMYFUNCTION("""COMPUTED_VALUE"""),44929.0)</f>
        <v>44929</v>
      </c>
      <c r="J689" s="311">
        <f>IFERROR(__xludf.DUMMYFUNCTION("""COMPUTED_VALUE"""),0.41053240740740743)</f>
        <v>0.4105324074</v>
      </c>
      <c r="K689" s="54"/>
      <c r="L689" s="7"/>
      <c r="M689" s="312"/>
      <c r="N689" s="172">
        <f>IFERROR(__xludf.DUMMYFUNCTION("""COMPUTED_VALUE"""),3.0)</f>
        <v>3</v>
      </c>
      <c r="O689" s="172"/>
      <c r="P689" s="313">
        <f>IFERROR(__xludf.DUMMYFUNCTION("""COMPUTED_VALUE"""),0.0)</f>
        <v>0</v>
      </c>
      <c r="Q689" s="76" t="b">
        <f>VLOOKUP($B689,'Run Reconcile'!B$2:O1399,14,FALSE)</f>
        <v>1</v>
      </c>
      <c r="R689" s="314" t="str">
        <f t="array" ref="R689">IF($Q689, INDEX('Run Reconcile'!A$2:A1399,MATCH(B689,'Run Reconcile'!B$2:B1399,0),1),IFERROR(0/0,""))</f>
        <v>RUN-ABRM_2023-01-03_RFR-118</v>
      </c>
      <c r="S689" s="315" t="str">
        <f t="shared" ref="S689:T689" si="1383">IF(COUNTIF(W$2:W1399, $A689) &gt; 0,TRUE,IFERROR(0/0,""))</f>
        <v/>
      </c>
      <c r="T689" s="315" t="str">
        <f t="shared" si="1383"/>
        <v/>
      </c>
      <c r="U689" s="114" t="str">
        <f t="array" ref="U689">IF(ISBLANK($R689), INDEX('Run Reconcile'!A$2:A1399, MATCH($B689, 'Run Reconcile'!B$2:B1399, 0)+Z689, 1), IFERROR(0/0,""))
</f>
        <v/>
      </c>
      <c r="V689" s="316" t="str">
        <f t="shared" si="1281"/>
        <v>RUN-ABRM_2023-01-03_RFR-118</v>
      </c>
      <c r="Y689" s="317" t="str">
        <f t="shared" si="6"/>
        <v/>
      </c>
      <c r="Z689" s="83" t="str">
        <f t="shared" si="7"/>
        <v/>
      </c>
      <c r="AA689" s="83" t="str">
        <f t="shared" si="8"/>
        <v/>
      </c>
      <c r="AB689" s="83" t="str">
        <f t="shared" si="9"/>
        <v/>
      </c>
      <c r="AC689" s="18" t="str">
        <f t="shared" ref="AC689:AD689" si="1384">IF(_xlfn.ISFORMULA(S689),IFERROR(0/0,""),TRUE)</f>
        <v/>
      </c>
      <c r="AD689" s="18" t="str">
        <f t="shared" si="1384"/>
        <v/>
      </c>
      <c r="AE689" s="43"/>
      <c r="AF689" s="58" t="s">
        <v>110</v>
      </c>
      <c r="AG689" s="55" t="str">
        <f t="shared" si="11"/>
        <v/>
      </c>
    </row>
    <row r="690">
      <c r="A690" s="7" t="str">
        <f>IFERROR(__xludf.DUMMYFUNCTION("""COMPUTED_VALUE"""),"AH411")</f>
        <v>AH411</v>
      </c>
      <c r="B690" s="308">
        <f>IFERROR(__xludf.DUMMYFUNCTION("""COMPUTED_VALUE"""),44929.0)</f>
        <v>44929</v>
      </c>
      <c r="C690" s="309">
        <f>IFERROR(__xludf.DUMMYFUNCTION("""COMPUTED_VALUE"""),0.3752662037037037)</f>
        <v>0.3752662037</v>
      </c>
      <c r="D690" s="7" t="str">
        <f>IFERROR(__xludf.DUMMYFUNCTION("""COMPUTED_VALUE"""),"SpABRM655136")</f>
        <v>SpABRM655136</v>
      </c>
      <c r="E690" s="310"/>
      <c r="F690" s="310"/>
      <c r="G690" s="310" t="str">
        <f>IFERROR(__xludf.DUMMYFUNCTION("""COMPUTED_VALUE"""),"Negative")</f>
        <v>Negative</v>
      </c>
      <c r="H690" s="319" t="str">
        <f>IFERROR(__xludf.DUMMYFUNCTION("""COMPUTED_VALUE"""),"Negative")</f>
        <v>Negative</v>
      </c>
      <c r="I690" s="308">
        <f>IFERROR(__xludf.DUMMYFUNCTION("""COMPUTED_VALUE"""),44929.0)</f>
        <v>44929</v>
      </c>
      <c r="J690" s="311">
        <f>IFERROR(__xludf.DUMMYFUNCTION("""COMPUTED_VALUE"""),0.41053240740740743)</f>
        <v>0.4105324074</v>
      </c>
      <c r="K690" s="54"/>
      <c r="L690" s="7"/>
      <c r="M690" s="312"/>
      <c r="N690" s="172">
        <f>IFERROR(__xludf.DUMMYFUNCTION("""COMPUTED_VALUE"""),1.0)</f>
        <v>1</v>
      </c>
      <c r="O690" s="172"/>
      <c r="P690" s="313">
        <f>IFERROR(__xludf.DUMMYFUNCTION("""COMPUTED_VALUE"""),0.0)</f>
        <v>0</v>
      </c>
      <c r="Q690" s="76" t="b">
        <f>VLOOKUP($B690,'Run Reconcile'!B$2:O1399,14,FALSE)</f>
        <v>1</v>
      </c>
      <c r="R690" s="314" t="str">
        <f t="array" ref="R690">IF($Q690, INDEX('Run Reconcile'!A$2:A1399,MATCH(B690,'Run Reconcile'!B$2:B1399,0),1),IFERROR(0/0,""))</f>
        <v>RUN-ABRM_2023-01-03_RFR-118</v>
      </c>
      <c r="S690" s="315" t="str">
        <f t="shared" ref="S690:T690" si="1385">IF(COUNTIF(W$2:W1399, $A690) &gt; 0,TRUE,IFERROR(0/0,""))</f>
        <v/>
      </c>
      <c r="T690" s="315" t="str">
        <f t="shared" si="1385"/>
        <v/>
      </c>
      <c r="U690" s="114" t="str">
        <f t="array" ref="U690">IF(ISBLANK($R690), INDEX('Run Reconcile'!A$2:A1399, MATCH($B690, 'Run Reconcile'!B$2:B1399, 0)+Z690, 1), IFERROR(0/0,""))
</f>
        <v/>
      </c>
      <c r="V690" s="316" t="str">
        <f t="shared" si="1281"/>
        <v>RUN-ABRM_2023-01-03_RFR-118</v>
      </c>
      <c r="Y690" s="317" t="str">
        <f t="shared" si="6"/>
        <v/>
      </c>
      <c r="Z690" s="83" t="str">
        <f t="shared" si="7"/>
        <v/>
      </c>
      <c r="AA690" s="83" t="str">
        <f t="shared" si="8"/>
        <v/>
      </c>
      <c r="AB690" s="83" t="str">
        <f t="shared" si="9"/>
        <v/>
      </c>
      <c r="AC690" s="18" t="str">
        <f t="shared" ref="AC690:AD690" si="1386">IF(_xlfn.ISFORMULA(S690),IFERROR(0/0,""),TRUE)</f>
        <v/>
      </c>
      <c r="AD690" s="18" t="str">
        <f t="shared" si="1386"/>
        <v/>
      </c>
      <c r="AE690" s="43"/>
      <c r="AF690" s="58" t="s">
        <v>110</v>
      </c>
      <c r="AG690" s="55" t="str">
        <f t="shared" si="11"/>
        <v/>
      </c>
    </row>
    <row r="691">
      <c r="A691" s="7" t="str">
        <f>IFERROR(__xludf.DUMMYFUNCTION("""COMPUTED_VALUE"""),"AJ8022")</f>
        <v>AJ8022</v>
      </c>
      <c r="B691" s="308">
        <f>IFERROR(__xludf.DUMMYFUNCTION("""COMPUTED_VALUE"""),44930.0)</f>
        <v>44930</v>
      </c>
      <c r="C691" s="309">
        <f>IFERROR(__xludf.DUMMYFUNCTION("""COMPUTED_VALUE"""),0.27199074074074076)</f>
        <v>0.2719907407</v>
      </c>
      <c r="D691" s="7" t="str">
        <f>IFERROR(__xludf.DUMMYFUNCTION("""COMPUTED_VALUE"""),"SpABRM454310")</f>
        <v>SpABRM454310</v>
      </c>
      <c r="E691" s="310"/>
      <c r="F691" s="310"/>
      <c r="G691" s="310" t="str">
        <f>IFERROR(__xludf.DUMMYFUNCTION("""COMPUTED_VALUE"""),"Negative")</f>
        <v>Negative</v>
      </c>
      <c r="H691" s="319" t="str">
        <f>IFERROR(__xludf.DUMMYFUNCTION("""COMPUTED_VALUE"""),"Negative")</f>
        <v>Negative</v>
      </c>
      <c r="I691" s="308">
        <f>IFERROR(__xludf.DUMMYFUNCTION("""COMPUTED_VALUE"""),44930.0)</f>
        <v>44930</v>
      </c>
      <c r="J691" s="311">
        <f>IFERROR(__xludf.DUMMYFUNCTION("""COMPUTED_VALUE"""),0.43)</f>
        <v>0.43</v>
      </c>
      <c r="K691" s="54"/>
      <c r="L691" s="7"/>
      <c r="M691" s="312"/>
      <c r="N691" s="172">
        <f>IFERROR(__xludf.DUMMYFUNCTION("""COMPUTED_VALUE"""),3.0)</f>
        <v>3</v>
      </c>
      <c r="O691" s="172"/>
      <c r="P691" s="313">
        <f>IFERROR(__xludf.DUMMYFUNCTION("""COMPUTED_VALUE"""),0.0)</f>
        <v>0</v>
      </c>
      <c r="Q691" s="76" t="b">
        <f>VLOOKUP($B691,'Run Reconcile'!B$2:O1399,14,FALSE)</f>
        <v>1</v>
      </c>
      <c r="R691" s="314" t="str">
        <f t="array" ref="R691">IF($Q691, INDEX('Run Reconcile'!A$2:A1399,MATCH(B691,'Run Reconcile'!B$2:B1399,0),1),IFERROR(0/0,""))</f>
        <v>RUN-ABRM_2023-01-04_RFR-120</v>
      </c>
      <c r="S691" s="315" t="str">
        <f t="shared" ref="S691:T691" si="1387">IF(COUNTIF(W$2:W1399, $A691) &gt; 0,TRUE,IFERROR(0/0,""))</f>
        <v/>
      </c>
      <c r="T691" s="315" t="str">
        <f t="shared" si="1387"/>
        <v/>
      </c>
      <c r="U691" s="114" t="str">
        <f t="array" ref="U691">IF(ISBLANK($R691), INDEX('Run Reconcile'!A$2:A1399, MATCH($B691, 'Run Reconcile'!B$2:B1399, 0)+Z691, 1), IFERROR(0/0,""))
</f>
        <v/>
      </c>
      <c r="V691" s="316" t="str">
        <f t="shared" si="1281"/>
        <v>RUN-ABRM_2023-01-04_RFR-120</v>
      </c>
      <c r="Y691" s="317" t="str">
        <f t="shared" si="6"/>
        <v/>
      </c>
      <c r="Z691" s="83" t="str">
        <f t="shared" si="7"/>
        <v/>
      </c>
      <c r="AA691" s="83" t="str">
        <f t="shared" si="8"/>
        <v/>
      </c>
      <c r="AB691" s="83" t="str">
        <f t="shared" si="9"/>
        <v/>
      </c>
      <c r="AC691" s="18" t="str">
        <f t="shared" ref="AC691:AD691" si="1388">IF(_xlfn.ISFORMULA(S691),IFERROR(0/0,""),TRUE)</f>
        <v/>
      </c>
      <c r="AD691" s="18" t="str">
        <f t="shared" si="1388"/>
        <v/>
      </c>
      <c r="AE691" s="43"/>
      <c r="AF691" s="58" t="s">
        <v>111</v>
      </c>
      <c r="AG691" s="55" t="str">
        <f t="shared" si="11"/>
        <v/>
      </c>
    </row>
    <row r="692">
      <c r="A692" s="7" t="str">
        <f>IFERROR(__xludf.DUMMYFUNCTION("""COMPUTED_VALUE"""),"AJ8054")</f>
        <v>AJ8054</v>
      </c>
      <c r="B692" s="308">
        <f>IFERROR(__xludf.DUMMYFUNCTION("""COMPUTED_VALUE"""),44930.0)</f>
        <v>44930</v>
      </c>
      <c r="C692" s="309">
        <f>IFERROR(__xludf.DUMMYFUNCTION("""COMPUTED_VALUE"""),0.27274305555555556)</f>
        <v>0.2727430556</v>
      </c>
      <c r="D692" s="7" t="str">
        <f>IFERROR(__xludf.DUMMYFUNCTION("""COMPUTED_VALUE"""),"SpABRM454310")</f>
        <v>SpABRM454310</v>
      </c>
      <c r="E692" s="310"/>
      <c r="F692" s="310"/>
      <c r="G692" s="310" t="str">
        <f>IFERROR(__xludf.DUMMYFUNCTION("""COMPUTED_VALUE"""),"Negative")</f>
        <v>Negative</v>
      </c>
      <c r="H692" s="319" t="str">
        <f>IFERROR(__xludf.DUMMYFUNCTION("""COMPUTED_VALUE"""),"Negative")</f>
        <v>Negative</v>
      </c>
      <c r="I692" s="308">
        <f>IFERROR(__xludf.DUMMYFUNCTION("""COMPUTED_VALUE"""),44930.0)</f>
        <v>44930</v>
      </c>
      <c r="J692" s="311">
        <f>IFERROR(__xludf.DUMMYFUNCTION("""COMPUTED_VALUE"""),0.4300115740740741)</f>
        <v>0.4300115741</v>
      </c>
      <c r="K692" s="54"/>
      <c r="L692" s="7"/>
      <c r="M692" s="312"/>
      <c r="N692" s="172">
        <f>IFERROR(__xludf.DUMMYFUNCTION("""COMPUTED_VALUE"""),2.0)</f>
        <v>2</v>
      </c>
      <c r="O692" s="172"/>
      <c r="P692" s="313">
        <f>IFERROR(__xludf.DUMMYFUNCTION("""COMPUTED_VALUE"""),0.0)</f>
        <v>0</v>
      </c>
      <c r="Q692" s="76" t="b">
        <f>VLOOKUP($B692,'Run Reconcile'!B$2:O1399,14,FALSE)</f>
        <v>1</v>
      </c>
      <c r="R692" s="314" t="str">
        <f t="array" ref="R692">IF($Q692, INDEX('Run Reconcile'!A$2:A1399,MATCH(B692,'Run Reconcile'!B$2:B1399,0),1),IFERROR(0/0,""))</f>
        <v>RUN-ABRM_2023-01-04_RFR-120</v>
      </c>
      <c r="S692" s="315" t="str">
        <f t="shared" ref="S692:T692" si="1389">IF(COUNTIF(W$2:W1399, $A692) &gt; 0,TRUE,IFERROR(0/0,""))</f>
        <v/>
      </c>
      <c r="T692" s="315" t="str">
        <f t="shared" si="1389"/>
        <v/>
      </c>
      <c r="U692" s="114" t="str">
        <f t="array" ref="U692">IF(ISBLANK($R692), INDEX('Run Reconcile'!A$2:A1399, MATCH($B692, 'Run Reconcile'!B$2:B1399, 0)+Z692, 1), IFERROR(0/0,""))
</f>
        <v/>
      </c>
      <c r="V692" s="316" t="str">
        <f t="shared" si="1281"/>
        <v>RUN-ABRM_2023-01-04_RFR-120</v>
      </c>
      <c r="Y692" s="317" t="str">
        <f t="shared" si="6"/>
        <v/>
      </c>
      <c r="Z692" s="83" t="str">
        <f t="shared" si="7"/>
        <v/>
      </c>
      <c r="AA692" s="83" t="str">
        <f t="shared" si="8"/>
        <v/>
      </c>
      <c r="AB692" s="83" t="str">
        <f t="shared" si="9"/>
        <v/>
      </c>
      <c r="AC692" s="18" t="str">
        <f t="shared" ref="AC692:AD692" si="1390">IF(_xlfn.ISFORMULA(S692),IFERROR(0/0,""),TRUE)</f>
        <v/>
      </c>
      <c r="AD692" s="18" t="str">
        <f t="shared" si="1390"/>
        <v/>
      </c>
      <c r="AE692" s="43"/>
      <c r="AF692" s="58" t="s">
        <v>111</v>
      </c>
      <c r="AG692" s="55" t="str">
        <f t="shared" si="11"/>
        <v/>
      </c>
    </row>
    <row r="693">
      <c r="A693" s="7" t="str">
        <f>IFERROR(__xludf.DUMMYFUNCTION("""COMPUTED_VALUE"""),"AH7124")</f>
        <v>AH7124</v>
      </c>
      <c r="B693" s="308">
        <f>IFERROR(__xludf.DUMMYFUNCTION("""COMPUTED_VALUE"""),44930.0)</f>
        <v>44930</v>
      </c>
      <c r="C693" s="309">
        <f>IFERROR(__xludf.DUMMYFUNCTION("""COMPUTED_VALUE"""),0.2897222222222222)</f>
        <v>0.2897222222</v>
      </c>
      <c r="D693" s="7" t="str">
        <f>IFERROR(__xludf.DUMMYFUNCTION("""COMPUTED_VALUE"""),"SpABRM297307")</f>
        <v>SpABRM297307</v>
      </c>
      <c r="E693" s="310"/>
      <c r="F693" s="310"/>
      <c r="G693" s="310" t="str">
        <f>IFERROR(__xludf.DUMMYFUNCTION("""COMPUTED_VALUE"""),"Negative")</f>
        <v>Negative</v>
      </c>
      <c r="H693" s="319" t="str">
        <f>IFERROR(__xludf.DUMMYFUNCTION("""COMPUTED_VALUE"""),"Negative")</f>
        <v>Negative</v>
      </c>
      <c r="I693" s="308">
        <f>IFERROR(__xludf.DUMMYFUNCTION("""COMPUTED_VALUE"""),44930.0)</f>
        <v>44930</v>
      </c>
      <c r="J693" s="311">
        <f>IFERROR(__xludf.DUMMYFUNCTION("""COMPUTED_VALUE"""),0.4300115740740741)</f>
        <v>0.4300115741</v>
      </c>
      <c r="K693" s="54"/>
      <c r="L693" s="7"/>
      <c r="M693" s="312"/>
      <c r="N693" s="172">
        <f>IFERROR(__xludf.DUMMYFUNCTION("""COMPUTED_VALUE"""),4.0)</f>
        <v>4</v>
      </c>
      <c r="O693" s="172"/>
      <c r="P693" s="313">
        <f>IFERROR(__xludf.DUMMYFUNCTION("""COMPUTED_VALUE"""),0.0)</f>
        <v>0</v>
      </c>
      <c r="Q693" s="76" t="b">
        <f>VLOOKUP($B693,'Run Reconcile'!B$2:O1399,14,FALSE)</f>
        <v>1</v>
      </c>
      <c r="R693" s="314" t="str">
        <f t="array" ref="R693">IF($Q693, INDEX('Run Reconcile'!A$2:A1399,MATCH(B693,'Run Reconcile'!B$2:B1399,0),1),IFERROR(0/0,""))</f>
        <v>RUN-ABRM_2023-01-04_RFR-120</v>
      </c>
      <c r="S693" s="315" t="str">
        <f t="shared" ref="S693:T693" si="1391">IF(COUNTIF(W$2:W1399, $A693) &gt; 0,TRUE,IFERROR(0/0,""))</f>
        <v/>
      </c>
      <c r="T693" s="315" t="str">
        <f t="shared" si="1391"/>
        <v/>
      </c>
      <c r="U693" s="114" t="str">
        <f t="array" ref="U693">IF(ISBLANK($R693), INDEX('Run Reconcile'!A$2:A1399, MATCH($B693, 'Run Reconcile'!B$2:B1399, 0)+Z693, 1), IFERROR(0/0,""))
</f>
        <v/>
      </c>
      <c r="V693" s="316" t="str">
        <f t="shared" si="1281"/>
        <v>RUN-ABRM_2023-01-04_RFR-120</v>
      </c>
      <c r="Y693" s="317" t="str">
        <f t="shared" si="6"/>
        <v/>
      </c>
      <c r="Z693" s="83" t="str">
        <f t="shared" si="7"/>
        <v/>
      </c>
      <c r="AA693" s="83" t="str">
        <f t="shared" si="8"/>
        <v/>
      </c>
      <c r="AB693" s="83" t="str">
        <f t="shared" si="9"/>
        <v/>
      </c>
      <c r="AC693" s="18" t="str">
        <f t="shared" ref="AC693:AD693" si="1392">IF(_xlfn.ISFORMULA(S693),IFERROR(0/0,""),TRUE)</f>
        <v/>
      </c>
      <c r="AD693" s="18" t="str">
        <f t="shared" si="1392"/>
        <v/>
      </c>
      <c r="AE693" s="43"/>
      <c r="AF693" s="58" t="s">
        <v>111</v>
      </c>
      <c r="AG693" s="55" t="str">
        <f t="shared" si="11"/>
        <v/>
      </c>
    </row>
    <row r="694">
      <c r="A694" s="7" t="str">
        <f>IFERROR(__xludf.DUMMYFUNCTION("""COMPUTED_VALUE"""),"AK6280")</f>
        <v>AK6280</v>
      </c>
      <c r="B694" s="308">
        <f>IFERROR(__xludf.DUMMYFUNCTION("""COMPUTED_VALUE"""),44930.0)</f>
        <v>44930</v>
      </c>
      <c r="C694" s="309">
        <f>IFERROR(__xludf.DUMMYFUNCTION("""COMPUTED_VALUE"""),0.29104166666666664)</f>
        <v>0.2910416667</v>
      </c>
      <c r="D694" s="7" t="str">
        <f>IFERROR(__xludf.DUMMYFUNCTION("""COMPUTED_VALUE"""),"SpABRM128250")</f>
        <v>SpABRM128250</v>
      </c>
      <c r="E694" s="310"/>
      <c r="F694" s="310"/>
      <c r="G694" s="310" t="str">
        <f>IFERROR(__xludf.DUMMYFUNCTION("""COMPUTED_VALUE"""),"Negative")</f>
        <v>Negative</v>
      </c>
      <c r="H694" s="319" t="str">
        <f>IFERROR(__xludf.DUMMYFUNCTION("""COMPUTED_VALUE"""),"Negative")</f>
        <v>Negative</v>
      </c>
      <c r="I694" s="308">
        <f>IFERROR(__xludf.DUMMYFUNCTION("""COMPUTED_VALUE"""),44930.0)</f>
        <v>44930</v>
      </c>
      <c r="J694" s="311">
        <f>IFERROR(__xludf.DUMMYFUNCTION("""COMPUTED_VALUE"""),0.4300231481481481)</f>
        <v>0.4300231481</v>
      </c>
      <c r="K694" s="54"/>
      <c r="L694" s="7"/>
      <c r="M694" s="312"/>
      <c r="N694" s="172">
        <f>IFERROR(__xludf.DUMMYFUNCTION("""COMPUTED_VALUE"""),3.0)</f>
        <v>3</v>
      </c>
      <c r="O694" s="172"/>
      <c r="P694" s="313">
        <f>IFERROR(__xludf.DUMMYFUNCTION("""COMPUTED_VALUE"""),0.0)</f>
        <v>0</v>
      </c>
      <c r="Q694" s="76" t="b">
        <f>VLOOKUP($B694,'Run Reconcile'!B$2:O1399,14,FALSE)</f>
        <v>1</v>
      </c>
      <c r="R694" s="314" t="str">
        <f t="array" ref="R694">IF($Q694, INDEX('Run Reconcile'!A$2:A1399,MATCH(B694,'Run Reconcile'!B$2:B1399,0),1),IFERROR(0/0,""))</f>
        <v>RUN-ABRM_2023-01-04_RFR-120</v>
      </c>
      <c r="S694" s="315" t="str">
        <f t="shared" ref="S694:T694" si="1393">IF(COUNTIF(W$2:W1399, $A694) &gt; 0,TRUE,IFERROR(0/0,""))</f>
        <v/>
      </c>
      <c r="T694" s="315" t="str">
        <f t="shared" si="1393"/>
        <v/>
      </c>
      <c r="U694" s="114" t="str">
        <f t="array" ref="U694">IF(ISBLANK($R694), INDEX('Run Reconcile'!A$2:A1399, MATCH($B694, 'Run Reconcile'!B$2:B1399, 0)+Z694, 1), IFERROR(0/0,""))
</f>
        <v/>
      </c>
      <c r="V694" s="316" t="str">
        <f t="shared" si="1281"/>
        <v>RUN-ABRM_2023-01-04_RFR-120</v>
      </c>
      <c r="Y694" s="317" t="str">
        <f t="shared" si="6"/>
        <v/>
      </c>
      <c r="Z694" s="83" t="str">
        <f t="shared" si="7"/>
        <v/>
      </c>
      <c r="AA694" s="83" t="str">
        <f t="shared" si="8"/>
        <v/>
      </c>
      <c r="AB694" s="83" t="str">
        <f t="shared" si="9"/>
        <v/>
      </c>
      <c r="AC694" s="18" t="str">
        <f t="shared" ref="AC694:AD694" si="1394">IF(_xlfn.ISFORMULA(S694),IFERROR(0/0,""),TRUE)</f>
        <v/>
      </c>
      <c r="AD694" s="18" t="str">
        <f t="shared" si="1394"/>
        <v/>
      </c>
      <c r="AE694" s="43"/>
      <c r="AF694" s="58" t="s">
        <v>111</v>
      </c>
      <c r="AG694" s="55" t="str">
        <f t="shared" si="11"/>
        <v/>
      </c>
    </row>
    <row r="695">
      <c r="A695" s="7" t="str">
        <f>IFERROR(__xludf.DUMMYFUNCTION("""COMPUTED_VALUE"""),"AJ6756")</f>
        <v>AJ6756</v>
      </c>
      <c r="B695" s="308">
        <f>IFERROR(__xludf.DUMMYFUNCTION("""COMPUTED_VALUE"""),44930.0)</f>
        <v>44930</v>
      </c>
      <c r="C695" s="309">
        <f>IFERROR(__xludf.DUMMYFUNCTION("""COMPUTED_VALUE"""),0.3305208333333333)</f>
        <v>0.3305208333</v>
      </c>
      <c r="D695" s="7" t="str">
        <f>IFERROR(__xludf.DUMMYFUNCTION("""COMPUTED_VALUE"""),"SpABRM655136")</f>
        <v>SpABRM655136</v>
      </c>
      <c r="E695" s="310"/>
      <c r="F695" s="310"/>
      <c r="G695" s="310" t="str">
        <f>IFERROR(__xludf.DUMMYFUNCTION("""COMPUTED_VALUE"""),"Negative")</f>
        <v>Negative</v>
      </c>
      <c r="H695" s="319" t="str">
        <f>IFERROR(__xludf.DUMMYFUNCTION("""COMPUTED_VALUE"""),"Negative")</f>
        <v>Negative</v>
      </c>
      <c r="I695" s="308">
        <f>IFERROR(__xludf.DUMMYFUNCTION("""COMPUTED_VALUE"""),44930.0)</f>
        <v>44930</v>
      </c>
      <c r="J695" s="311">
        <f>IFERROR(__xludf.DUMMYFUNCTION("""COMPUTED_VALUE"""),0.4300231481481481)</f>
        <v>0.4300231481</v>
      </c>
      <c r="K695" s="54"/>
      <c r="L695" s="7"/>
      <c r="M695" s="312"/>
      <c r="N695" s="172">
        <f>IFERROR(__xludf.DUMMYFUNCTION("""COMPUTED_VALUE"""),2.0)</f>
        <v>2</v>
      </c>
      <c r="O695" s="172"/>
      <c r="P695" s="313">
        <f>IFERROR(__xludf.DUMMYFUNCTION("""COMPUTED_VALUE"""),0.0)</f>
        <v>0</v>
      </c>
      <c r="Q695" s="76" t="b">
        <f>VLOOKUP($B695,'Run Reconcile'!B$2:O1399,14,FALSE)</f>
        <v>1</v>
      </c>
      <c r="R695" s="314" t="str">
        <f t="array" ref="R695">IF($Q695, INDEX('Run Reconcile'!A$2:A1399,MATCH(B695,'Run Reconcile'!B$2:B1399,0),1),IFERROR(0/0,""))</f>
        <v>RUN-ABRM_2023-01-04_RFR-120</v>
      </c>
      <c r="S695" s="315" t="str">
        <f t="shared" ref="S695:T695" si="1395">IF(COUNTIF(W$2:W1399, $A695) &gt; 0,TRUE,IFERROR(0/0,""))</f>
        <v/>
      </c>
      <c r="T695" s="315" t="str">
        <f t="shared" si="1395"/>
        <v/>
      </c>
      <c r="U695" s="114" t="str">
        <f t="array" ref="U695">IF(ISBLANK($R695), INDEX('Run Reconcile'!A$2:A1399, MATCH($B695, 'Run Reconcile'!B$2:B1399, 0)+Z695, 1), IFERROR(0/0,""))
</f>
        <v/>
      </c>
      <c r="V695" s="316" t="str">
        <f t="shared" si="1281"/>
        <v>RUN-ABRM_2023-01-04_RFR-120</v>
      </c>
      <c r="Y695" s="317" t="str">
        <f t="shared" si="6"/>
        <v/>
      </c>
      <c r="Z695" s="83" t="str">
        <f t="shared" si="7"/>
        <v/>
      </c>
      <c r="AA695" s="83" t="str">
        <f t="shared" si="8"/>
        <v/>
      </c>
      <c r="AB695" s="83" t="str">
        <f t="shared" si="9"/>
        <v/>
      </c>
      <c r="AC695" s="18" t="str">
        <f t="shared" ref="AC695:AD695" si="1396">IF(_xlfn.ISFORMULA(S695),IFERROR(0/0,""),TRUE)</f>
        <v/>
      </c>
      <c r="AD695" s="18" t="str">
        <f t="shared" si="1396"/>
        <v/>
      </c>
      <c r="AE695" s="43"/>
      <c r="AF695" s="58" t="s">
        <v>111</v>
      </c>
      <c r="AG695" s="55" t="str">
        <f t="shared" si="11"/>
        <v/>
      </c>
    </row>
    <row r="696">
      <c r="A696" s="7" t="str">
        <f>IFERROR(__xludf.DUMMYFUNCTION("""COMPUTED_VALUE"""),"AH8275")</f>
        <v>AH8275</v>
      </c>
      <c r="B696" s="308">
        <f>IFERROR(__xludf.DUMMYFUNCTION("""COMPUTED_VALUE"""),44930.0)</f>
        <v>44930</v>
      </c>
      <c r="C696" s="309">
        <f>IFERROR(__xludf.DUMMYFUNCTION("""COMPUTED_VALUE"""),0.34780092592592593)</f>
        <v>0.3478009259</v>
      </c>
      <c r="D696" s="7" t="str">
        <f>IFERROR(__xludf.DUMMYFUNCTION("""COMPUTED_VALUE"""),"SpABRM655136")</f>
        <v>SpABRM655136</v>
      </c>
      <c r="E696" s="310"/>
      <c r="F696" s="310"/>
      <c r="G696" s="310" t="str">
        <f>IFERROR(__xludf.DUMMYFUNCTION("""COMPUTED_VALUE"""),"Negative")</f>
        <v>Negative</v>
      </c>
      <c r="H696" s="319" t="str">
        <f>IFERROR(__xludf.DUMMYFUNCTION("""COMPUTED_VALUE"""),"Negative")</f>
        <v>Negative</v>
      </c>
      <c r="I696" s="308">
        <f>IFERROR(__xludf.DUMMYFUNCTION("""COMPUTED_VALUE"""),44930.0)</f>
        <v>44930</v>
      </c>
      <c r="J696" s="311">
        <f>IFERROR(__xludf.DUMMYFUNCTION("""COMPUTED_VALUE"""),0.4300347222222222)</f>
        <v>0.4300347222</v>
      </c>
      <c r="K696" s="54"/>
      <c r="L696" s="7"/>
      <c r="M696" s="312"/>
      <c r="N696" s="172">
        <f>IFERROR(__xludf.DUMMYFUNCTION("""COMPUTED_VALUE"""),4.0)</f>
        <v>4</v>
      </c>
      <c r="O696" s="172"/>
      <c r="P696" s="313">
        <f>IFERROR(__xludf.DUMMYFUNCTION("""COMPUTED_VALUE"""),0.0)</f>
        <v>0</v>
      </c>
      <c r="Q696" s="76" t="b">
        <f>VLOOKUP($B696,'Run Reconcile'!B$2:O1399,14,FALSE)</f>
        <v>1</v>
      </c>
      <c r="R696" s="314" t="str">
        <f t="array" ref="R696">IF($Q696, INDEX('Run Reconcile'!A$2:A1399,MATCH(B696,'Run Reconcile'!B$2:B1399,0),1),IFERROR(0/0,""))</f>
        <v>RUN-ABRM_2023-01-04_RFR-120</v>
      </c>
      <c r="S696" s="315" t="str">
        <f t="shared" ref="S696:T696" si="1397">IF(COUNTIF(W$2:W1399, $A696) &gt; 0,TRUE,IFERROR(0/0,""))</f>
        <v/>
      </c>
      <c r="T696" s="315" t="str">
        <f t="shared" si="1397"/>
        <v/>
      </c>
      <c r="U696" s="114" t="str">
        <f t="array" ref="U696">IF(ISBLANK($R696), INDEX('Run Reconcile'!A$2:A1399, MATCH($B696, 'Run Reconcile'!B$2:B1399, 0)+Z696, 1), IFERROR(0/0,""))
</f>
        <v/>
      </c>
      <c r="V696" s="316" t="str">
        <f t="shared" si="1281"/>
        <v>RUN-ABRM_2023-01-04_RFR-120</v>
      </c>
      <c r="Y696" s="317" t="str">
        <f t="shared" si="6"/>
        <v/>
      </c>
      <c r="Z696" s="83" t="str">
        <f t="shared" si="7"/>
        <v/>
      </c>
      <c r="AA696" s="83" t="str">
        <f t="shared" si="8"/>
        <v/>
      </c>
      <c r="AB696" s="83" t="str">
        <f t="shared" si="9"/>
        <v/>
      </c>
      <c r="AC696" s="18" t="str">
        <f t="shared" ref="AC696:AD696" si="1398">IF(_xlfn.ISFORMULA(S696),IFERROR(0/0,""),TRUE)</f>
        <v/>
      </c>
      <c r="AD696" s="18" t="str">
        <f t="shared" si="1398"/>
        <v/>
      </c>
      <c r="AE696" s="43"/>
      <c r="AF696" s="58" t="s">
        <v>111</v>
      </c>
      <c r="AG696" s="55" t="str">
        <f t="shared" si="11"/>
        <v/>
      </c>
    </row>
    <row r="697">
      <c r="A697" s="7" t="str">
        <f>IFERROR(__xludf.DUMMYFUNCTION("""COMPUTED_VALUE"""),"AJ8265")</f>
        <v>AJ8265</v>
      </c>
      <c r="B697" s="308">
        <f>IFERROR(__xludf.DUMMYFUNCTION("""COMPUTED_VALUE"""),44931.0)</f>
        <v>44931</v>
      </c>
      <c r="C697" s="309">
        <f>IFERROR(__xludf.DUMMYFUNCTION("""COMPUTED_VALUE"""),0.24520833333333333)</f>
        <v>0.2452083333</v>
      </c>
      <c r="D697" s="7" t="str">
        <f>IFERROR(__xludf.DUMMYFUNCTION("""COMPUTED_VALUE"""),"SpABRM297307")</f>
        <v>SpABRM297307</v>
      </c>
      <c r="E697" s="310"/>
      <c r="F697" s="310"/>
      <c r="G697" s="310" t="str">
        <f>IFERROR(__xludf.DUMMYFUNCTION("""COMPUTED_VALUE"""),"Negative")</f>
        <v>Negative</v>
      </c>
      <c r="H697" s="319" t="str">
        <f>IFERROR(__xludf.DUMMYFUNCTION("""COMPUTED_VALUE"""),"Negative")</f>
        <v>Negative</v>
      </c>
      <c r="I697" s="308">
        <f>IFERROR(__xludf.DUMMYFUNCTION("""COMPUTED_VALUE"""),44931.0)</f>
        <v>44931</v>
      </c>
      <c r="J697" s="311">
        <f>IFERROR(__xludf.DUMMYFUNCTION("""COMPUTED_VALUE"""),0.44988425925925923)</f>
        <v>0.4498842593</v>
      </c>
      <c r="K697" s="54"/>
      <c r="L697" s="7"/>
      <c r="M697" s="312"/>
      <c r="N697" s="172">
        <f>IFERROR(__xludf.DUMMYFUNCTION("""COMPUTED_VALUE"""),3.0)</f>
        <v>3</v>
      </c>
      <c r="O697" s="172"/>
      <c r="P697" s="313">
        <f>IFERROR(__xludf.DUMMYFUNCTION("""COMPUTED_VALUE"""),0.0)</f>
        <v>0</v>
      </c>
      <c r="Q697" s="76" t="b">
        <f>VLOOKUP($B697,'Run Reconcile'!B$2:O1399,14,FALSE)</f>
        <v>1</v>
      </c>
      <c r="R697" s="314" t="str">
        <f t="array" ref="R697">IF($Q697, INDEX('Run Reconcile'!A$2:A1399,MATCH(B697,'Run Reconcile'!B$2:B1399,0),1),IFERROR(0/0,""))</f>
        <v>RUN-ABRM_2023-01-05_RFR-121</v>
      </c>
      <c r="S697" s="315" t="str">
        <f t="shared" ref="S697:T697" si="1399">IF(COUNTIF(W$2:W1399, $A697) &gt; 0,TRUE,IFERROR(0/0,""))</f>
        <v/>
      </c>
      <c r="T697" s="315" t="str">
        <f t="shared" si="1399"/>
        <v/>
      </c>
      <c r="U697" s="114" t="str">
        <f t="array" ref="U697">IF(ISBLANK($R697), INDEX('Run Reconcile'!A$2:A1399, MATCH($B697, 'Run Reconcile'!B$2:B1399, 0)+Z697, 1), IFERROR(0/0,""))
</f>
        <v/>
      </c>
      <c r="V697" s="316" t="str">
        <f t="shared" si="1281"/>
        <v>RUN-ABRM_2023-01-05_RFR-121</v>
      </c>
      <c r="Y697" s="317" t="str">
        <f t="shared" si="6"/>
        <v/>
      </c>
      <c r="Z697" s="83" t="str">
        <f t="shared" si="7"/>
        <v/>
      </c>
      <c r="AA697" s="83" t="str">
        <f t="shared" si="8"/>
        <v/>
      </c>
      <c r="AB697" s="83" t="str">
        <f t="shared" si="9"/>
        <v/>
      </c>
      <c r="AC697" s="18" t="str">
        <f t="shared" ref="AC697:AD697" si="1400">IF(_xlfn.ISFORMULA(S697),IFERROR(0/0,""),TRUE)</f>
        <v/>
      </c>
      <c r="AD697" s="18" t="str">
        <f t="shared" si="1400"/>
        <v/>
      </c>
      <c r="AE697" s="43"/>
      <c r="AF697" s="58" t="s">
        <v>112</v>
      </c>
      <c r="AG697" s="55" t="str">
        <f t="shared" si="11"/>
        <v/>
      </c>
    </row>
    <row r="698">
      <c r="A698" s="7" t="str">
        <f>IFERROR(__xludf.DUMMYFUNCTION("""COMPUTED_VALUE"""),"AG830")</f>
        <v>AG830</v>
      </c>
      <c r="B698" s="308">
        <f>IFERROR(__xludf.DUMMYFUNCTION("""COMPUTED_VALUE"""),44931.0)</f>
        <v>44931</v>
      </c>
      <c r="C698" s="309">
        <f>IFERROR(__xludf.DUMMYFUNCTION("""COMPUTED_VALUE"""),0.3030324074074074)</f>
        <v>0.3030324074</v>
      </c>
      <c r="D698" s="7" t="str">
        <f>IFERROR(__xludf.DUMMYFUNCTION("""COMPUTED_VALUE"""),"SpABRM128250")</f>
        <v>SpABRM128250</v>
      </c>
      <c r="E698" s="310"/>
      <c r="F698" s="310"/>
      <c r="G698" s="310" t="str">
        <f>IFERROR(__xludf.DUMMYFUNCTION("""COMPUTED_VALUE"""),"Negative")</f>
        <v>Negative</v>
      </c>
      <c r="H698" s="319" t="str">
        <f>IFERROR(__xludf.DUMMYFUNCTION("""COMPUTED_VALUE"""),"Negative")</f>
        <v>Negative</v>
      </c>
      <c r="I698" s="308">
        <f>IFERROR(__xludf.DUMMYFUNCTION("""COMPUTED_VALUE"""),44931.0)</f>
        <v>44931</v>
      </c>
      <c r="J698" s="311">
        <f>IFERROR(__xludf.DUMMYFUNCTION("""COMPUTED_VALUE"""),0.44988425925925923)</f>
        <v>0.4498842593</v>
      </c>
      <c r="K698" s="54"/>
      <c r="L698" s="7"/>
      <c r="M698" s="312"/>
      <c r="N698" s="172">
        <f>IFERROR(__xludf.DUMMYFUNCTION("""COMPUTED_VALUE"""),3.0)</f>
        <v>3</v>
      </c>
      <c r="O698" s="172"/>
      <c r="P698" s="313">
        <f>IFERROR(__xludf.DUMMYFUNCTION("""COMPUTED_VALUE"""),0.0)</f>
        <v>0</v>
      </c>
      <c r="Q698" s="76" t="b">
        <f>VLOOKUP($B698,'Run Reconcile'!B$2:O1399,14,FALSE)</f>
        <v>1</v>
      </c>
      <c r="R698" s="314" t="str">
        <f t="array" ref="R698">IF($Q698, INDEX('Run Reconcile'!A$2:A1399,MATCH(B698,'Run Reconcile'!B$2:B1399,0),1),IFERROR(0/0,""))</f>
        <v>RUN-ABRM_2023-01-05_RFR-121</v>
      </c>
      <c r="S698" s="315" t="str">
        <f t="shared" ref="S698:T698" si="1401">IF(COUNTIF(W$2:W1399, $A698) &gt; 0,TRUE,IFERROR(0/0,""))</f>
        <v/>
      </c>
      <c r="T698" s="315" t="str">
        <f t="shared" si="1401"/>
        <v/>
      </c>
      <c r="U698" s="114" t="str">
        <f t="array" ref="U698">IF(ISBLANK($R698), INDEX('Run Reconcile'!A$2:A1399, MATCH($B698, 'Run Reconcile'!B$2:B1399, 0)+Z698, 1), IFERROR(0/0,""))
</f>
        <v/>
      </c>
      <c r="V698" s="316" t="str">
        <f t="shared" si="1281"/>
        <v>RUN-ABRM_2023-01-05_RFR-121</v>
      </c>
      <c r="Y698" s="317" t="str">
        <f t="shared" si="6"/>
        <v/>
      </c>
      <c r="Z698" s="83" t="str">
        <f t="shared" si="7"/>
        <v/>
      </c>
      <c r="AA698" s="83" t="str">
        <f t="shared" si="8"/>
        <v/>
      </c>
      <c r="AB698" s="83" t="str">
        <f t="shared" si="9"/>
        <v/>
      </c>
      <c r="AC698" s="18" t="str">
        <f t="shared" ref="AC698:AD698" si="1402">IF(_xlfn.ISFORMULA(S698),IFERROR(0/0,""),TRUE)</f>
        <v/>
      </c>
      <c r="AD698" s="18" t="str">
        <f t="shared" si="1402"/>
        <v/>
      </c>
      <c r="AE698" s="43"/>
      <c r="AF698" s="58" t="s">
        <v>112</v>
      </c>
      <c r="AG698" s="55" t="str">
        <f t="shared" si="11"/>
        <v/>
      </c>
    </row>
    <row r="699">
      <c r="A699" s="7" t="str">
        <f>IFERROR(__xludf.DUMMYFUNCTION("""COMPUTED_VALUE"""),"AH648")</f>
        <v>AH648</v>
      </c>
      <c r="B699" s="308">
        <f>IFERROR(__xludf.DUMMYFUNCTION("""COMPUTED_VALUE"""),44931.0)</f>
        <v>44931</v>
      </c>
      <c r="C699" s="309">
        <f>IFERROR(__xludf.DUMMYFUNCTION("""COMPUTED_VALUE"""),0.3241087962962963)</f>
        <v>0.3241087963</v>
      </c>
      <c r="D699" s="7" t="str">
        <f>IFERROR(__xludf.DUMMYFUNCTION("""COMPUTED_VALUE"""),"SpABRM655136")</f>
        <v>SpABRM655136</v>
      </c>
      <c r="E699" s="310"/>
      <c r="F699" s="310"/>
      <c r="G699" s="310" t="str">
        <f>IFERROR(__xludf.DUMMYFUNCTION("""COMPUTED_VALUE"""),"Negative")</f>
        <v>Negative</v>
      </c>
      <c r="H699" s="319" t="str">
        <f>IFERROR(__xludf.DUMMYFUNCTION("""COMPUTED_VALUE"""),"Negative")</f>
        <v>Negative</v>
      </c>
      <c r="I699" s="308">
        <f>IFERROR(__xludf.DUMMYFUNCTION("""COMPUTED_VALUE"""),44931.0)</f>
        <v>44931</v>
      </c>
      <c r="J699" s="311">
        <f>IFERROR(__xludf.DUMMYFUNCTION("""COMPUTED_VALUE"""),0.44989583333333333)</f>
        <v>0.4498958333</v>
      </c>
      <c r="K699" s="54"/>
      <c r="L699" s="7"/>
      <c r="M699" s="312"/>
      <c r="N699" s="172">
        <f>IFERROR(__xludf.DUMMYFUNCTION("""COMPUTED_VALUE"""),1.0)</f>
        <v>1</v>
      </c>
      <c r="O699" s="172"/>
      <c r="P699" s="313">
        <f>IFERROR(__xludf.DUMMYFUNCTION("""COMPUTED_VALUE"""),0.0)</f>
        <v>0</v>
      </c>
      <c r="Q699" s="76" t="b">
        <f>VLOOKUP($B699,'Run Reconcile'!B$2:O1399,14,FALSE)</f>
        <v>1</v>
      </c>
      <c r="R699" s="314" t="str">
        <f t="array" ref="R699">IF($Q699, INDEX('Run Reconcile'!A$2:A1399,MATCH(B699,'Run Reconcile'!B$2:B1399,0),1),IFERROR(0/0,""))</f>
        <v>RUN-ABRM_2023-01-05_RFR-121</v>
      </c>
      <c r="S699" s="315" t="str">
        <f t="shared" ref="S699:T699" si="1403">IF(COUNTIF(W$2:W1399, $A699) &gt; 0,TRUE,IFERROR(0/0,""))</f>
        <v/>
      </c>
      <c r="T699" s="315" t="str">
        <f t="shared" si="1403"/>
        <v/>
      </c>
      <c r="U699" s="114" t="str">
        <f t="array" ref="U699">IF(ISBLANK($R699), INDEX('Run Reconcile'!A$2:A1399, MATCH($B699, 'Run Reconcile'!B$2:B1399, 0)+Z699, 1), IFERROR(0/0,""))
</f>
        <v/>
      </c>
      <c r="V699" s="316" t="str">
        <f t="shared" si="1281"/>
        <v>RUN-ABRM_2023-01-05_RFR-121</v>
      </c>
      <c r="Y699" s="317" t="str">
        <f t="shared" si="6"/>
        <v/>
      </c>
      <c r="Z699" s="83" t="str">
        <f t="shared" si="7"/>
        <v/>
      </c>
      <c r="AA699" s="83" t="str">
        <f t="shared" si="8"/>
        <v/>
      </c>
      <c r="AB699" s="83" t="str">
        <f t="shared" si="9"/>
        <v/>
      </c>
      <c r="AC699" s="18" t="str">
        <f t="shared" ref="AC699:AD699" si="1404">IF(_xlfn.ISFORMULA(S699),IFERROR(0/0,""),TRUE)</f>
        <v/>
      </c>
      <c r="AD699" s="18" t="str">
        <f t="shared" si="1404"/>
        <v/>
      </c>
      <c r="AE699" s="43"/>
      <c r="AF699" s="58" t="s">
        <v>112</v>
      </c>
      <c r="AG699" s="55" t="str">
        <f t="shared" si="11"/>
        <v/>
      </c>
    </row>
    <row r="700">
      <c r="A700" s="7" t="str">
        <f>IFERROR(__xludf.DUMMYFUNCTION("""COMPUTED_VALUE"""),"AJ5534")</f>
        <v>AJ5534</v>
      </c>
      <c r="B700" s="308">
        <f>IFERROR(__xludf.DUMMYFUNCTION("""COMPUTED_VALUE"""),44931.0)</f>
        <v>44931</v>
      </c>
      <c r="C700" s="309">
        <f>IFERROR(__xludf.DUMMYFUNCTION("""COMPUTED_VALUE"""),0.32439814814814816)</f>
        <v>0.3243981481</v>
      </c>
      <c r="D700" s="7" t="str">
        <f>IFERROR(__xludf.DUMMYFUNCTION("""COMPUTED_VALUE"""),"SpABRM655136")</f>
        <v>SpABRM655136</v>
      </c>
      <c r="E700" s="310"/>
      <c r="F700" s="310"/>
      <c r="G700" s="310" t="str">
        <f>IFERROR(__xludf.DUMMYFUNCTION("""COMPUTED_VALUE"""),"Negative")</f>
        <v>Negative</v>
      </c>
      <c r="H700" s="319" t="str">
        <f>IFERROR(__xludf.DUMMYFUNCTION("""COMPUTED_VALUE"""),"Negative")</f>
        <v>Negative</v>
      </c>
      <c r="I700" s="308">
        <f>IFERROR(__xludf.DUMMYFUNCTION("""COMPUTED_VALUE"""),44931.0)</f>
        <v>44931</v>
      </c>
      <c r="J700" s="311">
        <f>IFERROR(__xludf.DUMMYFUNCTION("""COMPUTED_VALUE"""),0.44989583333333333)</f>
        <v>0.4498958333</v>
      </c>
      <c r="K700" s="54"/>
      <c r="L700" s="7"/>
      <c r="M700" s="312"/>
      <c r="N700" s="172">
        <f>IFERROR(__xludf.DUMMYFUNCTION("""COMPUTED_VALUE"""),1.0)</f>
        <v>1</v>
      </c>
      <c r="O700" s="172"/>
      <c r="P700" s="313">
        <f>IFERROR(__xludf.DUMMYFUNCTION("""COMPUTED_VALUE"""),0.0)</f>
        <v>0</v>
      </c>
      <c r="Q700" s="76" t="b">
        <f>VLOOKUP($B700,'Run Reconcile'!B$2:O1399,14,FALSE)</f>
        <v>1</v>
      </c>
      <c r="R700" s="314" t="str">
        <f t="array" ref="R700">IF($Q700, INDEX('Run Reconcile'!A$2:A1399,MATCH(B700,'Run Reconcile'!B$2:B1399,0),1),IFERROR(0/0,""))</f>
        <v>RUN-ABRM_2023-01-05_RFR-121</v>
      </c>
      <c r="S700" s="315" t="str">
        <f t="shared" ref="S700:T700" si="1405">IF(COUNTIF(W$2:W1399, $A700) &gt; 0,TRUE,IFERROR(0/0,""))</f>
        <v/>
      </c>
      <c r="T700" s="315" t="str">
        <f t="shared" si="1405"/>
        <v/>
      </c>
      <c r="U700" s="114" t="str">
        <f t="array" ref="U700">IF(ISBLANK($R700), INDEX('Run Reconcile'!A$2:A1399, MATCH($B700, 'Run Reconcile'!B$2:B1399, 0)+Z700, 1), IFERROR(0/0,""))
</f>
        <v/>
      </c>
      <c r="V700" s="316" t="str">
        <f t="shared" si="1281"/>
        <v>RUN-ABRM_2023-01-05_RFR-121</v>
      </c>
      <c r="Y700" s="317" t="str">
        <f t="shared" si="6"/>
        <v/>
      </c>
      <c r="Z700" s="83" t="str">
        <f t="shared" si="7"/>
        <v/>
      </c>
      <c r="AA700" s="83" t="str">
        <f t="shared" si="8"/>
        <v/>
      </c>
      <c r="AB700" s="83" t="str">
        <f t="shared" si="9"/>
        <v/>
      </c>
      <c r="AC700" s="18" t="str">
        <f t="shared" ref="AC700:AD700" si="1406">IF(_xlfn.ISFORMULA(S700),IFERROR(0/0,""),TRUE)</f>
        <v/>
      </c>
      <c r="AD700" s="18" t="str">
        <f t="shared" si="1406"/>
        <v/>
      </c>
      <c r="AE700" s="43"/>
      <c r="AF700" s="58" t="s">
        <v>112</v>
      </c>
      <c r="AG700" s="55" t="str">
        <f t="shared" si="11"/>
        <v/>
      </c>
    </row>
    <row r="701">
      <c r="A701" s="7" t="str">
        <f>IFERROR(__xludf.DUMMYFUNCTION("""COMPUTED_VALUE"""),"AH8852")</f>
        <v>AH8852</v>
      </c>
      <c r="B701" s="308">
        <f>IFERROR(__xludf.DUMMYFUNCTION("""COMPUTED_VALUE"""),44931.0)</f>
        <v>44931</v>
      </c>
      <c r="C701" s="309">
        <f>IFERROR(__xludf.DUMMYFUNCTION("""COMPUTED_VALUE"""),0.3491087962962963)</f>
        <v>0.3491087963</v>
      </c>
      <c r="D701" s="7" t="str">
        <f>IFERROR(__xludf.DUMMYFUNCTION("""COMPUTED_VALUE"""),"SpABRM655136")</f>
        <v>SpABRM655136</v>
      </c>
      <c r="E701" s="310"/>
      <c r="F701" s="310"/>
      <c r="G701" s="310" t="str">
        <f>IFERROR(__xludf.DUMMYFUNCTION("""COMPUTED_VALUE"""),"Negative")</f>
        <v>Negative</v>
      </c>
      <c r="H701" s="319" t="str">
        <f>IFERROR(__xludf.DUMMYFUNCTION("""COMPUTED_VALUE"""),"Negative")</f>
        <v>Negative</v>
      </c>
      <c r="I701" s="308">
        <f>IFERROR(__xludf.DUMMYFUNCTION("""COMPUTED_VALUE"""),44931.0)</f>
        <v>44931</v>
      </c>
      <c r="J701" s="311">
        <f>IFERROR(__xludf.DUMMYFUNCTION("""COMPUTED_VALUE"""),0.47597222222222224)</f>
        <v>0.4759722222</v>
      </c>
      <c r="K701" s="54"/>
      <c r="L701" s="7"/>
      <c r="M701" s="312"/>
      <c r="N701" s="172">
        <f>IFERROR(__xludf.DUMMYFUNCTION("""COMPUTED_VALUE"""),4.0)</f>
        <v>4</v>
      </c>
      <c r="O701" s="172"/>
      <c r="P701" s="313">
        <f>IFERROR(__xludf.DUMMYFUNCTION("""COMPUTED_VALUE"""),0.0)</f>
        <v>0</v>
      </c>
      <c r="Q701" s="76" t="b">
        <f>VLOOKUP($B701,'Run Reconcile'!B$2:O1399,14,FALSE)</f>
        <v>1</v>
      </c>
      <c r="R701" s="314" t="str">
        <f t="array" ref="R701">IF($Q701, INDEX('Run Reconcile'!A$2:A1399,MATCH(B701,'Run Reconcile'!B$2:B1399,0),1),IFERROR(0/0,""))</f>
        <v>RUN-ABRM_2023-01-05_RFR-121</v>
      </c>
      <c r="S701" s="315" t="str">
        <f t="shared" ref="S701:T701" si="1407">IF(COUNTIF(W$2:W1399, $A701) &gt; 0,TRUE,IFERROR(0/0,""))</f>
        <v/>
      </c>
      <c r="T701" s="315" t="str">
        <f t="shared" si="1407"/>
        <v/>
      </c>
      <c r="U701" s="114" t="str">
        <f t="array" ref="U701">IF(ISBLANK($R701), INDEX('Run Reconcile'!A$2:A1399, MATCH($B701, 'Run Reconcile'!B$2:B1399, 0)+Z701, 1), IFERROR(0/0,""))
</f>
        <v/>
      </c>
      <c r="V701" s="316" t="str">
        <f t="shared" si="1281"/>
        <v>RUN-ABRM_2023-01-05_RFR-121</v>
      </c>
      <c r="Y701" s="317" t="str">
        <f t="shared" si="6"/>
        <v/>
      </c>
      <c r="Z701" s="83" t="str">
        <f t="shared" si="7"/>
        <v/>
      </c>
      <c r="AA701" s="83" t="str">
        <f t="shared" si="8"/>
        <v/>
      </c>
      <c r="AB701" s="83" t="str">
        <f t="shared" si="9"/>
        <v/>
      </c>
      <c r="AC701" s="18" t="str">
        <f t="shared" ref="AC701:AD701" si="1408">IF(_xlfn.ISFORMULA(S701),IFERROR(0/0,""),TRUE)</f>
        <v/>
      </c>
      <c r="AD701" s="18" t="str">
        <f t="shared" si="1408"/>
        <v/>
      </c>
      <c r="AE701" s="43"/>
      <c r="AF701" s="58" t="s">
        <v>112</v>
      </c>
      <c r="AG701" s="55" t="str">
        <f t="shared" si="11"/>
        <v/>
      </c>
    </row>
    <row r="702">
      <c r="A702" s="7" t="str">
        <f>IFERROR(__xludf.DUMMYFUNCTION("""COMPUTED_VALUE"""),"AJ9535")</f>
        <v>AJ9535</v>
      </c>
      <c r="B702" s="308">
        <f>IFERROR(__xludf.DUMMYFUNCTION("""COMPUTED_VALUE"""),44931.0)</f>
        <v>44931</v>
      </c>
      <c r="C702" s="309">
        <f>IFERROR(__xludf.DUMMYFUNCTION("""COMPUTED_VALUE"""),0.358125)</f>
        <v>0.358125</v>
      </c>
      <c r="D702" s="7" t="str">
        <f>IFERROR(__xludf.DUMMYFUNCTION("""COMPUTED_VALUE"""),"SpABRM655136")</f>
        <v>SpABRM655136</v>
      </c>
      <c r="E702" s="310"/>
      <c r="F702" s="310"/>
      <c r="G702" s="310" t="str">
        <f>IFERROR(__xludf.DUMMYFUNCTION("""COMPUTED_VALUE"""),"Negative")</f>
        <v>Negative</v>
      </c>
      <c r="H702" s="319" t="str">
        <f>IFERROR(__xludf.DUMMYFUNCTION("""COMPUTED_VALUE"""),"Negative")</f>
        <v>Negative</v>
      </c>
      <c r="I702" s="308">
        <f>IFERROR(__xludf.DUMMYFUNCTION("""COMPUTED_VALUE"""),44931.0)</f>
        <v>44931</v>
      </c>
      <c r="J702" s="311">
        <f>IFERROR(__xludf.DUMMYFUNCTION("""COMPUTED_VALUE"""),0.4499074074074074)</f>
        <v>0.4499074074</v>
      </c>
      <c r="K702" s="54"/>
      <c r="L702" s="7"/>
      <c r="M702" s="312"/>
      <c r="N702" s="172">
        <f>IFERROR(__xludf.DUMMYFUNCTION("""COMPUTED_VALUE"""),3.0)</f>
        <v>3</v>
      </c>
      <c r="O702" s="172"/>
      <c r="P702" s="313">
        <f>IFERROR(__xludf.DUMMYFUNCTION("""COMPUTED_VALUE"""),0.0)</f>
        <v>0</v>
      </c>
      <c r="Q702" s="76" t="b">
        <f>VLOOKUP($B702,'Run Reconcile'!B$2:O1399,14,FALSE)</f>
        <v>1</v>
      </c>
      <c r="R702" s="314" t="str">
        <f t="array" ref="R702">IF($Q702, INDEX('Run Reconcile'!A$2:A1399,MATCH(B702,'Run Reconcile'!B$2:B1399,0),1),IFERROR(0/0,""))</f>
        <v>RUN-ABRM_2023-01-05_RFR-121</v>
      </c>
      <c r="S702" s="315" t="str">
        <f t="shared" ref="S702:T702" si="1409">IF(COUNTIF(W$2:W1399, $A702) &gt; 0,TRUE,IFERROR(0/0,""))</f>
        <v/>
      </c>
      <c r="T702" s="315" t="str">
        <f t="shared" si="1409"/>
        <v/>
      </c>
      <c r="U702" s="114" t="str">
        <f t="array" ref="U702">IF(ISBLANK($R702), INDEX('Run Reconcile'!A$2:A1399, MATCH($B702, 'Run Reconcile'!B$2:B1399, 0)+Z702, 1), IFERROR(0/0,""))
</f>
        <v/>
      </c>
      <c r="V702" s="316" t="str">
        <f t="shared" si="1281"/>
        <v>RUN-ABRM_2023-01-05_RFR-121</v>
      </c>
      <c r="Y702" s="317" t="str">
        <f t="shared" si="6"/>
        <v/>
      </c>
      <c r="Z702" s="83" t="str">
        <f t="shared" si="7"/>
        <v/>
      </c>
      <c r="AA702" s="83" t="str">
        <f t="shared" si="8"/>
        <v/>
      </c>
      <c r="AB702" s="83" t="str">
        <f t="shared" si="9"/>
        <v/>
      </c>
      <c r="AC702" s="18" t="str">
        <f t="shared" ref="AC702:AD702" si="1410">IF(_xlfn.ISFORMULA(S702),IFERROR(0/0,""),TRUE)</f>
        <v/>
      </c>
      <c r="AD702" s="18" t="str">
        <f t="shared" si="1410"/>
        <v/>
      </c>
      <c r="AE702" s="43"/>
      <c r="AF702" s="58" t="s">
        <v>112</v>
      </c>
      <c r="AG702" s="55" t="str">
        <f t="shared" si="11"/>
        <v/>
      </c>
    </row>
    <row r="703">
      <c r="A703" s="7" t="str">
        <f>IFERROR(__xludf.DUMMYFUNCTION("""COMPUTED_VALUE"""),"AJ9717")</f>
        <v>AJ9717</v>
      </c>
      <c r="B703" s="308">
        <f>IFERROR(__xludf.DUMMYFUNCTION("""COMPUTED_VALUE"""),44932.0)</f>
        <v>44932</v>
      </c>
      <c r="C703" s="309">
        <f>IFERROR(__xludf.DUMMYFUNCTION("""COMPUTED_VALUE"""),0.26555555555555554)</f>
        <v>0.2655555556</v>
      </c>
      <c r="D703" s="7" t="str">
        <f>IFERROR(__xludf.DUMMYFUNCTION("""COMPUTED_VALUE"""),"SpABRM297307")</f>
        <v>SpABRM297307</v>
      </c>
      <c r="E703" s="310"/>
      <c r="F703" s="310"/>
      <c r="G703" s="310" t="str">
        <f>IFERROR(__xludf.DUMMYFUNCTION("""COMPUTED_VALUE"""),"Negative")</f>
        <v>Negative</v>
      </c>
      <c r="H703" s="319" t="str">
        <f>IFERROR(__xludf.DUMMYFUNCTION("""COMPUTED_VALUE"""),"Negative")</f>
        <v>Negative</v>
      </c>
      <c r="I703" s="308">
        <f>IFERROR(__xludf.DUMMYFUNCTION("""COMPUTED_VALUE"""),44932.0)</f>
        <v>44932</v>
      </c>
      <c r="J703" s="311">
        <f>IFERROR(__xludf.DUMMYFUNCTION("""COMPUTED_VALUE"""),0.45121527777777776)</f>
        <v>0.4512152778</v>
      </c>
      <c r="K703" s="54"/>
      <c r="L703" s="7"/>
      <c r="M703" s="312"/>
      <c r="N703" s="172">
        <f>IFERROR(__xludf.DUMMYFUNCTION("""COMPUTED_VALUE"""),3.0)</f>
        <v>3</v>
      </c>
      <c r="O703" s="172"/>
      <c r="P703" s="313">
        <f>IFERROR(__xludf.DUMMYFUNCTION("""COMPUTED_VALUE"""),0.0)</f>
        <v>0</v>
      </c>
      <c r="Q703" s="76" t="b">
        <f>VLOOKUP($B703,'Run Reconcile'!B$2:O1399,14,FALSE)</f>
        <v>1</v>
      </c>
      <c r="R703" s="314" t="str">
        <f t="array" ref="R703">IF($Q703, INDEX('Run Reconcile'!A$2:A1399,MATCH(B703,'Run Reconcile'!B$2:B1399,0),1),IFERROR(0/0,""))</f>
        <v>RUN-ABRM_2023-01-06_RFR-123</v>
      </c>
      <c r="S703" s="315" t="str">
        <f t="shared" ref="S703:T703" si="1411">IF(COUNTIF(W$2:W1399, $A703) &gt; 0,TRUE,IFERROR(0/0,""))</f>
        <v/>
      </c>
      <c r="T703" s="315" t="str">
        <f t="shared" si="1411"/>
        <v/>
      </c>
      <c r="U703" s="114" t="str">
        <f t="array" ref="U703">IF(ISBLANK($R703), INDEX('Run Reconcile'!A$2:A1399, MATCH($B703, 'Run Reconcile'!B$2:B1399, 0)+Z703, 1), IFERROR(0/0,""))
</f>
        <v/>
      </c>
      <c r="V703" s="316" t="str">
        <f t="shared" si="1281"/>
        <v>RUN-ABRM_2023-01-06_RFR-123</v>
      </c>
      <c r="Y703" s="317" t="str">
        <f t="shared" si="6"/>
        <v/>
      </c>
      <c r="Z703" s="83" t="str">
        <f t="shared" si="7"/>
        <v/>
      </c>
      <c r="AA703" s="83" t="str">
        <f t="shared" si="8"/>
        <v/>
      </c>
      <c r="AB703" s="83" t="str">
        <f t="shared" si="9"/>
        <v/>
      </c>
      <c r="AC703" s="18" t="str">
        <f t="shared" ref="AC703:AD703" si="1412">IF(_xlfn.ISFORMULA(S703),IFERROR(0/0,""),TRUE)</f>
        <v/>
      </c>
      <c r="AD703" s="18" t="str">
        <f t="shared" si="1412"/>
        <v/>
      </c>
      <c r="AE703" s="43"/>
      <c r="AF703" s="58" t="s">
        <v>113</v>
      </c>
      <c r="AG703" s="55" t="str">
        <f t="shared" si="11"/>
        <v/>
      </c>
    </row>
    <row r="704">
      <c r="A704" s="7" t="str">
        <f>IFERROR(__xludf.DUMMYFUNCTION("""COMPUTED_VALUE"""),"AJ9063")</f>
        <v>AJ9063</v>
      </c>
      <c r="B704" s="308">
        <f>IFERROR(__xludf.DUMMYFUNCTION("""COMPUTED_VALUE"""),44932.0)</f>
        <v>44932</v>
      </c>
      <c r="C704" s="309">
        <f>IFERROR(__xludf.DUMMYFUNCTION("""COMPUTED_VALUE"""),0.2974537037037037)</f>
        <v>0.2974537037</v>
      </c>
      <c r="D704" s="7" t="str">
        <f>IFERROR(__xludf.DUMMYFUNCTION("""COMPUTED_VALUE"""),"SpABRM128250")</f>
        <v>SpABRM128250</v>
      </c>
      <c r="E704" s="310"/>
      <c r="F704" s="310"/>
      <c r="G704" s="310" t="str">
        <f>IFERROR(__xludf.DUMMYFUNCTION("""COMPUTED_VALUE"""),"Negative")</f>
        <v>Negative</v>
      </c>
      <c r="H704" s="319" t="str">
        <f>IFERROR(__xludf.DUMMYFUNCTION("""COMPUTED_VALUE"""),"Negative")</f>
        <v>Negative</v>
      </c>
      <c r="I704" s="308">
        <f>IFERROR(__xludf.DUMMYFUNCTION("""COMPUTED_VALUE"""),44932.0)</f>
        <v>44932</v>
      </c>
      <c r="J704" s="311">
        <f>IFERROR(__xludf.DUMMYFUNCTION("""COMPUTED_VALUE"""),0.4305555555555556)</f>
        <v>0.4305555556</v>
      </c>
      <c r="K704" s="54"/>
      <c r="L704" s="7"/>
      <c r="M704" s="312"/>
      <c r="N704" s="172">
        <f>IFERROR(__xludf.DUMMYFUNCTION("""COMPUTED_VALUE"""),3.0)</f>
        <v>3</v>
      </c>
      <c r="O704" s="172"/>
      <c r="P704" s="313">
        <f>IFERROR(__xludf.DUMMYFUNCTION("""COMPUTED_VALUE"""),0.0)</f>
        <v>0</v>
      </c>
      <c r="Q704" s="76" t="b">
        <f>VLOOKUP($B704,'Run Reconcile'!B$2:O1399,14,FALSE)</f>
        <v>1</v>
      </c>
      <c r="R704" s="314" t="str">
        <f t="array" ref="R704">IF($Q704, INDEX('Run Reconcile'!A$2:A1399,MATCH(B704,'Run Reconcile'!B$2:B1399,0),1),IFERROR(0/0,""))</f>
        <v>RUN-ABRM_2023-01-06_RFR-123</v>
      </c>
      <c r="S704" s="315" t="str">
        <f t="shared" ref="S704:T704" si="1413">IF(COUNTIF(W$2:W1399, $A704) &gt; 0,TRUE,IFERROR(0/0,""))</f>
        <v/>
      </c>
      <c r="T704" s="315" t="str">
        <f t="shared" si="1413"/>
        <v/>
      </c>
      <c r="U704" s="114" t="str">
        <f t="array" ref="U704">IF(ISBLANK($R704), INDEX('Run Reconcile'!A$2:A1399, MATCH($B704, 'Run Reconcile'!B$2:B1399, 0)+Z704, 1), IFERROR(0/0,""))
</f>
        <v/>
      </c>
      <c r="V704" s="316" t="str">
        <f t="shared" si="1281"/>
        <v>RUN-ABRM_2023-01-06_RFR-123</v>
      </c>
      <c r="Y704" s="317" t="str">
        <f t="shared" si="6"/>
        <v/>
      </c>
      <c r="Z704" s="83" t="str">
        <f t="shared" si="7"/>
        <v/>
      </c>
      <c r="AA704" s="83" t="str">
        <f t="shared" si="8"/>
        <v/>
      </c>
      <c r="AB704" s="83" t="str">
        <f t="shared" si="9"/>
        <v/>
      </c>
      <c r="AC704" s="18" t="str">
        <f t="shared" ref="AC704:AD704" si="1414">IF(_xlfn.ISFORMULA(S704),IFERROR(0/0,""),TRUE)</f>
        <v/>
      </c>
      <c r="AD704" s="18" t="str">
        <f t="shared" si="1414"/>
        <v/>
      </c>
      <c r="AE704" s="43"/>
      <c r="AF704" s="58" t="s">
        <v>113</v>
      </c>
      <c r="AG704" s="55" t="str">
        <f t="shared" si="11"/>
        <v/>
      </c>
    </row>
    <row r="705">
      <c r="A705" s="7" t="str">
        <f>IFERROR(__xludf.DUMMYFUNCTION("""COMPUTED_VALUE"""),"AH8337")</f>
        <v>AH8337</v>
      </c>
      <c r="B705" s="308">
        <f>IFERROR(__xludf.DUMMYFUNCTION("""COMPUTED_VALUE"""),44932.0)</f>
        <v>44932</v>
      </c>
      <c r="C705" s="309">
        <f>IFERROR(__xludf.DUMMYFUNCTION("""COMPUTED_VALUE"""),0.3168287037037037)</f>
        <v>0.3168287037</v>
      </c>
      <c r="D705" s="7" t="str">
        <f>IFERROR(__xludf.DUMMYFUNCTION("""COMPUTED_VALUE"""),"SpABRM655136")</f>
        <v>SpABRM655136</v>
      </c>
      <c r="E705" s="310"/>
      <c r="F705" s="310"/>
      <c r="G705" s="310" t="str">
        <f>IFERROR(__xludf.DUMMYFUNCTION("""COMPUTED_VALUE"""),"Negative")</f>
        <v>Negative</v>
      </c>
      <c r="H705" s="319" t="str">
        <f>IFERROR(__xludf.DUMMYFUNCTION("""COMPUTED_VALUE"""),"Negative")</f>
        <v>Negative</v>
      </c>
      <c r="I705" s="308">
        <f>IFERROR(__xludf.DUMMYFUNCTION("""COMPUTED_VALUE"""),44932.0)</f>
        <v>44932</v>
      </c>
      <c r="J705" s="311">
        <f>IFERROR(__xludf.DUMMYFUNCTION("""COMPUTED_VALUE"""),0.4305555555555556)</f>
        <v>0.4305555556</v>
      </c>
      <c r="K705" s="54"/>
      <c r="L705" s="7"/>
      <c r="M705" s="312"/>
      <c r="N705" s="172">
        <f>IFERROR(__xludf.DUMMYFUNCTION("""COMPUTED_VALUE"""),1.0)</f>
        <v>1</v>
      </c>
      <c r="O705" s="172"/>
      <c r="P705" s="313">
        <f>IFERROR(__xludf.DUMMYFUNCTION("""COMPUTED_VALUE"""),0.0)</f>
        <v>0</v>
      </c>
      <c r="Q705" s="76" t="b">
        <f>VLOOKUP($B705,'Run Reconcile'!B$2:O1399,14,FALSE)</f>
        <v>1</v>
      </c>
      <c r="R705" s="314" t="str">
        <f t="array" ref="R705">IF($Q705, INDEX('Run Reconcile'!A$2:A1399,MATCH(B705,'Run Reconcile'!B$2:B1399,0),1),IFERROR(0/0,""))</f>
        <v>RUN-ABRM_2023-01-06_RFR-123</v>
      </c>
      <c r="S705" s="315" t="str">
        <f t="shared" ref="S705:T705" si="1415">IF(COUNTIF(W$2:W1399, $A705) &gt; 0,TRUE,IFERROR(0/0,""))</f>
        <v/>
      </c>
      <c r="T705" s="315" t="str">
        <f t="shared" si="1415"/>
        <v/>
      </c>
      <c r="U705" s="114" t="str">
        <f t="array" ref="U705">IF(ISBLANK($R705), INDEX('Run Reconcile'!A$2:A1399, MATCH($B705, 'Run Reconcile'!B$2:B1399, 0)+Z705, 1), IFERROR(0/0,""))
</f>
        <v/>
      </c>
      <c r="V705" s="316" t="str">
        <f t="shared" si="1281"/>
        <v>RUN-ABRM_2023-01-06_RFR-123</v>
      </c>
      <c r="Y705" s="317" t="str">
        <f t="shared" si="6"/>
        <v/>
      </c>
      <c r="Z705" s="83" t="str">
        <f t="shared" si="7"/>
        <v/>
      </c>
      <c r="AA705" s="83" t="str">
        <f t="shared" si="8"/>
        <v/>
      </c>
      <c r="AB705" s="83" t="str">
        <f t="shared" si="9"/>
        <v/>
      </c>
      <c r="AC705" s="18" t="str">
        <f t="shared" ref="AC705:AD705" si="1416">IF(_xlfn.ISFORMULA(S705),IFERROR(0/0,""),TRUE)</f>
        <v/>
      </c>
      <c r="AD705" s="18" t="str">
        <f t="shared" si="1416"/>
        <v/>
      </c>
      <c r="AE705" s="43"/>
      <c r="AF705" s="58" t="s">
        <v>113</v>
      </c>
      <c r="AG705" s="55" t="str">
        <f t="shared" si="11"/>
        <v/>
      </c>
    </row>
    <row r="706">
      <c r="A706" s="7" t="str">
        <f>IFERROR(__xludf.DUMMYFUNCTION("""COMPUTED_VALUE"""),"AJ7768")</f>
        <v>AJ7768</v>
      </c>
      <c r="B706" s="308">
        <f>IFERROR(__xludf.DUMMYFUNCTION("""COMPUTED_VALUE"""),44932.0)</f>
        <v>44932</v>
      </c>
      <c r="C706" s="309">
        <f>IFERROR(__xludf.DUMMYFUNCTION("""COMPUTED_VALUE"""),0.3170486111111111)</f>
        <v>0.3170486111</v>
      </c>
      <c r="D706" s="7" t="str">
        <f>IFERROR(__xludf.DUMMYFUNCTION("""COMPUTED_VALUE"""),"SpABRM655136")</f>
        <v>SpABRM655136</v>
      </c>
      <c r="E706" s="310"/>
      <c r="F706" s="310"/>
      <c r="G706" s="310" t="str">
        <f>IFERROR(__xludf.DUMMYFUNCTION("""COMPUTED_VALUE"""),"Negative")</f>
        <v>Negative</v>
      </c>
      <c r="H706" s="319" t="str">
        <f>IFERROR(__xludf.DUMMYFUNCTION("""COMPUTED_VALUE"""),"Negative")</f>
        <v>Negative</v>
      </c>
      <c r="I706" s="308">
        <f>IFERROR(__xludf.DUMMYFUNCTION("""COMPUTED_VALUE"""),44932.0)</f>
        <v>44932</v>
      </c>
      <c r="J706" s="311">
        <f>IFERROR(__xludf.DUMMYFUNCTION("""COMPUTED_VALUE"""),0.4305671296296296)</f>
        <v>0.4305671296</v>
      </c>
      <c r="K706" s="54"/>
      <c r="L706" s="7"/>
      <c r="M706" s="312"/>
      <c r="N706" s="172">
        <f>IFERROR(__xludf.DUMMYFUNCTION("""COMPUTED_VALUE"""),1.0)</f>
        <v>1</v>
      </c>
      <c r="O706" s="172"/>
      <c r="P706" s="313">
        <f>IFERROR(__xludf.DUMMYFUNCTION("""COMPUTED_VALUE"""),0.0)</f>
        <v>0</v>
      </c>
      <c r="Q706" s="76" t="b">
        <f>VLOOKUP($B706,'Run Reconcile'!B$2:O1399,14,FALSE)</f>
        <v>1</v>
      </c>
      <c r="R706" s="314" t="str">
        <f t="array" ref="R706">IF($Q706, INDEX('Run Reconcile'!A$2:A1399,MATCH(B706,'Run Reconcile'!B$2:B1399,0),1),IFERROR(0/0,""))</f>
        <v>RUN-ABRM_2023-01-06_RFR-123</v>
      </c>
      <c r="S706" s="315" t="str">
        <f t="shared" ref="S706:T706" si="1417">IF(COUNTIF(W$2:W1399, $A706) &gt; 0,TRUE,IFERROR(0/0,""))</f>
        <v/>
      </c>
      <c r="T706" s="315" t="str">
        <f t="shared" si="1417"/>
        <v/>
      </c>
      <c r="U706" s="114" t="str">
        <f t="array" ref="U706">IF(ISBLANK($R706), INDEX('Run Reconcile'!A$2:A1399, MATCH($B706, 'Run Reconcile'!B$2:B1399, 0)+Z706, 1), IFERROR(0/0,""))
</f>
        <v/>
      </c>
      <c r="V706" s="316" t="str">
        <f t="shared" si="1281"/>
        <v>RUN-ABRM_2023-01-06_RFR-123</v>
      </c>
      <c r="Y706" s="317" t="str">
        <f t="shared" si="6"/>
        <v/>
      </c>
      <c r="Z706" s="83" t="str">
        <f t="shared" si="7"/>
        <v/>
      </c>
      <c r="AA706" s="83" t="str">
        <f t="shared" si="8"/>
        <v/>
      </c>
      <c r="AB706" s="83" t="str">
        <f t="shared" si="9"/>
        <v/>
      </c>
      <c r="AC706" s="18" t="str">
        <f t="shared" ref="AC706:AD706" si="1418">IF(_xlfn.ISFORMULA(S706),IFERROR(0/0,""),TRUE)</f>
        <v/>
      </c>
      <c r="AD706" s="18" t="str">
        <f t="shared" si="1418"/>
        <v/>
      </c>
      <c r="AE706" s="43"/>
      <c r="AF706" s="58" t="s">
        <v>113</v>
      </c>
      <c r="AG706" s="55" t="str">
        <f t="shared" si="11"/>
        <v/>
      </c>
    </row>
    <row r="707">
      <c r="A707" s="7" t="str">
        <f>IFERROR(__xludf.DUMMYFUNCTION("""COMPUTED_VALUE"""),"AH105")</f>
        <v>AH105</v>
      </c>
      <c r="B707" s="308">
        <f>IFERROR(__xludf.DUMMYFUNCTION("""COMPUTED_VALUE"""),44932.0)</f>
        <v>44932</v>
      </c>
      <c r="C707" s="309">
        <f>IFERROR(__xludf.DUMMYFUNCTION("""COMPUTED_VALUE"""),0.33775462962962965)</f>
        <v>0.3377546296</v>
      </c>
      <c r="D707" s="7" t="str">
        <f>IFERROR(__xludf.DUMMYFUNCTION("""COMPUTED_VALUE"""),"SpABRM716377")</f>
        <v>SpABRM716377</v>
      </c>
      <c r="E707" s="310"/>
      <c r="F707" s="310"/>
      <c r="G707" s="310" t="str">
        <f>IFERROR(__xludf.DUMMYFUNCTION("""COMPUTED_VALUE"""),"Negative")</f>
        <v>Negative</v>
      </c>
      <c r="H707" s="319" t="str">
        <f>IFERROR(__xludf.DUMMYFUNCTION("""COMPUTED_VALUE"""),"Negative")</f>
        <v>Negative</v>
      </c>
      <c r="I707" s="308">
        <f>IFERROR(__xludf.DUMMYFUNCTION("""COMPUTED_VALUE"""),44932.0)</f>
        <v>44932</v>
      </c>
      <c r="J707" s="311">
        <f>IFERROR(__xludf.DUMMYFUNCTION("""COMPUTED_VALUE"""),0.45122685185185185)</f>
        <v>0.4512268519</v>
      </c>
      <c r="K707" s="54"/>
      <c r="L707" s="7"/>
      <c r="M707" s="312"/>
      <c r="N707" s="172">
        <f>IFERROR(__xludf.DUMMYFUNCTION("""COMPUTED_VALUE"""),3.0)</f>
        <v>3</v>
      </c>
      <c r="O707" s="172"/>
      <c r="P707" s="313">
        <f>IFERROR(__xludf.DUMMYFUNCTION("""COMPUTED_VALUE"""),0.0)</f>
        <v>0</v>
      </c>
      <c r="Q707" s="76" t="b">
        <f>VLOOKUP($B707,'Run Reconcile'!B$2:O1399,14,FALSE)</f>
        <v>1</v>
      </c>
      <c r="R707" s="314" t="str">
        <f t="array" ref="R707">IF($Q707, INDEX('Run Reconcile'!A$2:A1399,MATCH(B707,'Run Reconcile'!B$2:B1399,0),1),IFERROR(0/0,""))</f>
        <v>RUN-ABRM_2023-01-06_RFR-123</v>
      </c>
      <c r="S707" s="315" t="str">
        <f t="shared" ref="S707:T707" si="1419">IF(COUNTIF(W$2:W1399, $A707) &gt; 0,TRUE,IFERROR(0/0,""))</f>
        <v/>
      </c>
      <c r="T707" s="315" t="str">
        <f t="shared" si="1419"/>
        <v/>
      </c>
      <c r="U707" s="114" t="str">
        <f t="array" ref="U707">IF(ISBLANK($R707), INDEX('Run Reconcile'!A$2:A1399, MATCH($B707, 'Run Reconcile'!B$2:B1399, 0)+Z707, 1), IFERROR(0/0,""))
</f>
        <v/>
      </c>
      <c r="V707" s="316" t="str">
        <f t="shared" si="1281"/>
        <v>RUN-ABRM_2023-01-06_RFR-123</v>
      </c>
      <c r="Y707" s="317" t="str">
        <f t="shared" si="6"/>
        <v/>
      </c>
      <c r="Z707" s="83" t="str">
        <f t="shared" si="7"/>
        <v/>
      </c>
      <c r="AA707" s="83" t="str">
        <f t="shared" si="8"/>
        <v/>
      </c>
      <c r="AB707" s="83" t="str">
        <f t="shared" si="9"/>
        <v/>
      </c>
      <c r="AC707" s="18" t="str">
        <f t="shared" ref="AC707:AD707" si="1420">IF(_xlfn.ISFORMULA(S707),IFERROR(0/0,""),TRUE)</f>
        <v/>
      </c>
      <c r="AD707" s="18" t="str">
        <f t="shared" si="1420"/>
        <v/>
      </c>
      <c r="AE707" s="43"/>
      <c r="AF707" s="58" t="s">
        <v>113</v>
      </c>
      <c r="AG707" s="55" t="str">
        <f t="shared" si="11"/>
        <v/>
      </c>
    </row>
    <row r="708">
      <c r="A708" s="7" t="str">
        <f>IFERROR(__xludf.DUMMYFUNCTION("""COMPUTED_VALUE"""),"AG643")</f>
        <v>AG643</v>
      </c>
      <c r="B708" s="308">
        <f>IFERROR(__xludf.DUMMYFUNCTION("""COMPUTED_VALUE"""),44932.0)</f>
        <v>44932</v>
      </c>
      <c r="C708" s="309">
        <f>IFERROR(__xludf.DUMMYFUNCTION("""COMPUTED_VALUE"""),0.35100694444444447)</f>
        <v>0.3510069444</v>
      </c>
      <c r="D708" s="7" t="str">
        <f>IFERROR(__xludf.DUMMYFUNCTION("""COMPUTED_VALUE"""),"SpABRM655136")</f>
        <v>SpABRM655136</v>
      </c>
      <c r="E708" s="310"/>
      <c r="F708" s="310"/>
      <c r="G708" s="310" t="str">
        <f>IFERROR(__xludf.DUMMYFUNCTION("""COMPUTED_VALUE"""),"Negative")</f>
        <v>Negative</v>
      </c>
      <c r="H708" s="319" t="str">
        <f>IFERROR(__xludf.DUMMYFUNCTION("""COMPUTED_VALUE"""),"Negative")</f>
        <v>Negative</v>
      </c>
      <c r="I708" s="308">
        <f>IFERROR(__xludf.DUMMYFUNCTION("""COMPUTED_VALUE"""),44932.0)</f>
        <v>44932</v>
      </c>
      <c r="J708" s="311">
        <f>IFERROR(__xludf.DUMMYFUNCTION("""COMPUTED_VALUE"""),0.4305671296296296)</f>
        <v>0.4305671296</v>
      </c>
      <c r="K708" s="54"/>
      <c r="L708" s="7"/>
      <c r="M708" s="312"/>
      <c r="N708" s="172">
        <f>IFERROR(__xludf.DUMMYFUNCTION("""COMPUTED_VALUE"""),3.0)</f>
        <v>3</v>
      </c>
      <c r="O708" s="172"/>
      <c r="P708" s="313">
        <f>IFERROR(__xludf.DUMMYFUNCTION("""COMPUTED_VALUE"""),0.0)</f>
        <v>0</v>
      </c>
      <c r="Q708" s="76" t="b">
        <f>VLOOKUP($B708,'Run Reconcile'!B$2:O1399,14,FALSE)</f>
        <v>1</v>
      </c>
      <c r="R708" s="314" t="str">
        <f t="array" ref="R708">IF($Q708, INDEX('Run Reconcile'!A$2:A1399,MATCH(B708,'Run Reconcile'!B$2:B1399,0),1),IFERROR(0/0,""))</f>
        <v>RUN-ABRM_2023-01-06_RFR-123</v>
      </c>
      <c r="S708" s="315" t="str">
        <f t="shared" ref="S708:T708" si="1421">IF(COUNTIF(W$2:W1399, $A708) &gt; 0,TRUE,IFERROR(0/0,""))</f>
        <v/>
      </c>
      <c r="T708" s="315" t="str">
        <f t="shared" si="1421"/>
        <v/>
      </c>
      <c r="U708" s="114" t="str">
        <f t="array" ref="U708">IF(ISBLANK($R708), INDEX('Run Reconcile'!A$2:A1399, MATCH($B708, 'Run Reconcile'!B$2:B1399, 0)+Z708, 1), IFERROR(0/0,""))
</f>
        <v/>
      </c>
      <c r="V708" s="316" t="str">
        <f t="shared" si="1281"/>
        <v>RUN-ABRM_2023-01-06_RFR-123</v>
      </c>
      <c r="Y708" s="317" t="str">
        <f t="shared" si="6"/>
        <v/>
      </c>
      <c r="Z708" s="83" t="str">
        <f t="shared" si="7"/>
        <v/>
      </c>
      <c r="AA708" s="83" t="str">
        <f t="shared" si="8"/>
        <v/>
      </c>
      <c r="AB708" s="83" t="str">
        <f t="shared" si="9"/>
        <v/>
      </c>
      <c r="AC708" s="18" t="str">
        <f t="shared" ref="AC708:AD708" si="1422">IF(_xlfn.ISFORMULA(S708),IFERROR(0/0,""),TRUE)</f>
        <v/>
      </c>
      <c r="AD708" s="18" t="str">
        <f t="shared" si="1422"/>
        <v/>
      </c>
      <c r="AE708" s="43"/>
      <c r="AF708" s="58" t="s">
        <v>113</v>
      </c>
      <c r="AG708" s="55" t="str">
        <f t="shared" si="11"/>
        <v/>
      </c>
    </row>
    <row r="709">
      <c r="A709" s="7" t="str">
        <f>IFERROR(__xludf.DUMMYFUNCTION("""COMPUTED_VALUE"""),"AG1775")</f>
        <v>AG1775</v>
      </c>
      <c r="B709" s="308">
        <f>IFERROR(__xludf.DUMMYFUNCTION("""COMPUTED_VALUE"""),44935.0)</f>
        <v>44935</v>
      </c>
      <c r="C709" s="309">
        <f>IFERROR(__xludf.DUMMYFUNCTION("""COMPUTED_VALUE"""),0.2883449074074074)</f>
        <v>0.2883449074</v>
      </c>
      <c r="D709" s="7" t="str">
        <f>IFERROR(__xludf.DUMMYFUNCTION("""COMPUTED_VALUE"""),"SpABRM128250")</f>
        <v>SpABRM128250</v>
      </c>
      <c r="E709" s="310"/>
      <c r="F709" s="310"/>
      <c r="G709" s="310" t="str">
        <f>IFERROR(__xludf.DUMMYFUNCTION("""COMPUTED_VALUE"""),"Negative")</f>
        <v>Negative</v>
      </c>
      <c r="H709" s="319" t="str">
        <f>IFERROR(__xludf.DUMMYFUNCTION("""COMPUTED_VALUE"""),"Negative")</f>
        <v>Negative</v>
      </c>
      <c r="I709" s="308">
        <f>IFERROR(__xludf.DUMMYFUNCTION("""COMPUTED_VALUE"""),44935.0)</f>
        <v>44935</v>
      </c>
      <c r="J709" s="311">
        <f>IFERROR(__xludf.DUMMYFUNCTION("""COMPUTED_VALUE"""),0.48483796296296294)</f>
        <v>0.484837963</v>
      </c>
      <c r="K709" s="54"/>
      <c r="L709" s="7"/>
      <c r="M709" s="312"/>
      <c r="N709" s="172">
        <f>IFERROR(__xludf.DUMMYFUNCTION("""COMPUTED_VALUE"""),3.0)</f>
        <v>3</v>
      </c>
      <c r="O709" s="172"/>
      <c r="P709" s="313">
        <f>IFERROR(__xludf.DUMMYFUNCTION("""COMPUTED_VALUE"""),0.0)</f>
        <v>0</v>
      </c>
      <c r="Q709" s="76" t="b">
        <f>VLOOKUP($B709,'Run Reconcile'!B$2:O1399,14,FALSE)</f>
        <v>1</v>
      </c>
      <c r="R709" s="314" t="str">
        <f t="array" ref="R709">IF($Q709, INDEX('Run Reconcile'!A$2:A1399,MATCH(B709,'Run Reconcile'!B$2:B1399,0),1),IFERROR(0/0,""))</f>
        <v>RUN-ABRM_2023-01-09_RFR-125</v>
      </c>
      <c r="S709" s="315" t="str">
        <f t="shared" ref="S709:T709" si="1423">IF(COUNTIF(W$2:W1399, $A709) &gt; 0,TRUE,IFERROR(0/0,""))</f>
        <v/>
      </c>
      <c r="T709" s="315" t="str">
        <f t="shared" si="1423"/>
        <v/>
      </c>
      <c r="U709" s="114" t="str">
        <f t="array" ref="U709">IF(ISBLANK($R709), INDEX('Run Reconcile'!A$2:A1399, MATCH($B709, 'Run Reconcile'!B$2:B1399, 0)+Z709, 1), IFERROR(0/0,""))
</f>
        <v/>
      </c>
      <c r="V709" s="316" t="str">
        <f t="shared" si="1281"/>
        <v>RUN-ABRM_2023-01-09_RFR-125</v>
      </c>
      <c r="Y709" s="317" t="str">
        <f t="shared" si="6"/>
        <v/>
      </c>
      <c r="Z709" s="83" t="str">
        <f t="shared" si="7"/>
        <v/>
      </c>
      <c r="AA709" s="83" t="str">
        <f t="shared" si="8"/>
        <v/>
      </c>
      <c r="AB709" s="83" t="str">
        <f t="shared" si="9"/>
        <v/>
      </c>
      <c r="AC709" s="18" t="str">
        <f t="shared" ref="AC709:AD709" si="1424">IF(_xlfn.ISFORMULA(S709),IFERROR(0/0,""),TRUE)</f>
        <v/>
      </c>
      <c r="AD709" s="18" t="str">
        <f t="shared" si="1424"/>
        <v/>
      </c>
      <c r="AE709" s="43"/>
      <c r="AF709" s="58" t="s">
        <v>114</v>
      </c>
      <c r="AG709" s="55" t="str">
        <f t="shared" si="11"/>
        <v/>
      </c>
    </row>
    <row r="710">
      <c r="A710" s="7" t="str">
        <f>IFERROR(__xludf.DUMMYFUNCTION("""COMPUTED_VALUE"""),"AJ8348")</f>
        <v>AJ8348</v>
      </c>
      <c r="B710" s="308">
        <f>IFERROR(__xludf.DUMMYFUNCTION("""COMPUTED_VALUE"""),44935.0)</f>
        <v>44935</v>
      </c>
      <c r="C710" s="309">
        <f>IFERROR(__xludf.DUMMYFUNCTION("""COMPUTED_VALUE"""),0.29077546296296297)</f>
        <v>0.290775463</v>
      </c>
      <c r="D710" s="7" t="str">
        <f>IFERROR(__xludf.DUMMYFUNCTION("""COMPUTED_VALUE"""),"SpABRM454310")</f>
        <v>SpABRM454310</v>
      </c>
      <c r="E710" s="310"/>
      <c r="F710" s="310"/>
      <c r="G710" s="310" t="str">
        <f>IFERROR(__xludf.DUMMYFUNCTION("""COMPUTED_VALUE"""),"Negative")</f>
        <v>Negative</v>
      </c>
      <c r="H710" s="319" t="str">
        <f>IFERROR(__xludf.DUMMYFUNCTION("""COMPUTED_VALUE"""),"Negative")</f>
        <v>Negative</v>
      </c>
      <c r="I710" s="308">
        <f>IFERROR(__xludf.DUMMYFUNCTION("""COMPUTED_VALUE"""),44935.0)</f>
        <v>44935</v>
      </c>
      <c r="J710" s="311">
        <f>IFERROR(__xludf.DUMMYFUNCTION("""COMPUTED_VALUE"""),0.48484953703703704)</f>
        <v>0.484849537</v>
      </c>
      <c r="K710" s="54"/>
      <c r="L710" s="7"/>
      <c r="M710" s="312"/>
      <c r="N710" s="172">
        <f>IFERROR(__xludf.DUMMYFUNCTION("""COMPUTED_VALUE"""),3.0)</f>
        <v>3</v>
      </c>
      <c r="O710" s="172"/>
      <c r="P710" s="313">
        <f>IFERROR(__xludf.DUMMYFUNCTION("""COMPUTED_VALUE"""),0.0)</f>
        <v>0</v>
      </c>
      <c r="Q710" s="76" t="b">
        <f>VLOOKUP($B710,'Run Reconcile'!B$2:O1399,14,FALSE)</f>
        <v>1</v>
      </c>
      <c r="R710" s="314" t="str">
        <f t="array" ref="R710">IF($Q710, INDEX('Run Reconcile'!A$2:A1399,MATCH(B710,'Run Reconcile'!B$2:B1399,0),1),IFERROR(0/0,""))</f>
        <v>RUN-ABRM_2023-01-09_RFR-125</v>
      </c>
      <c r="S710" s="315" t="str">
        <f t="shared" ref="S710:T710" si="1425">IF(COUNTIF(W$2:W1399, $A710) &gt; 0,TRUE,IFERROR(0/0,""))</f>
        <v/>
      </c>
      <c r="T710" s="315" t="str">
        <f t="shared" si="1425"/>
        <v/>
      </c>
      <c r="U710" s="114" t="str">
        <f t="array" ref="U710">IF(ISBLANK($R710), INDEX('Run Reconcile'!A$2:A1399, MATCH($B710, 'Run Reconcile'!B$2:B1399, 0)+Z710, 1), IFERROR(0/0,""))
</f>
        <v/>
      </c>
      <c r="V710" s="316" t="str">
        <f t="shared" si="1281"/>
        <v>RUN-ABRM_2023-01-09_RFR-125</v>
      </c>
      <c r="Y710" s="317" t="str">
        <f t="shared" si="6"/>
        <v/>
      </c>
      <c r="Z710" s="83" t="str">
        <f t="shared" si="7"/>
        <v/>
      </c>
      <c r="AA710" s="83" t="str">
        <f t="shared" si="8"/>
        <v/>
      </c>
      <c r="AB710" s="83" t="str">
        <f t="shared" si="9"/>
        <v/>
      </c>
      <c r="AC710" s="18" t="str">
        <f t="shared" ref="AC710:AD710" si="1426">IF(_xlfn.ISFORMULA(S710),IFERROR(0/0,""),TRUE)</f>
        <v/>
      </c>
      <c r="AD710" s="18" t="str">
        <f t="shared" si="1426"/>
        <v/>
      </c>
      <c r="AE710" s="43"/>
      <c r="AF710" s="58" t="s">
        <v>114</v>
      </c>
      <c r="AG710" s="55" t="str">
        <f t="shared" si="11"/>
        <v/>
      </c>
    </row>
    <row r="711">
      <c r="A711" s="7" t="str">
        <f>IFERROR(__xludf.DUMMYFUNCTION("""COMPUTED_VALUE"""),"AJ8099")</f>
        <v>AJ8099</v>
      </c>
      <c r="B711" s="308">
        <f>IFERROR(__xludf.DUMMYFUNCTION("""COMPUTED_VALUE"""),44935.0)</f>
        <v>44935</v>
      </c>
      <c r="C711" s="309">
        <f>IFERROR(__xludf.DUMMYFUNCTION("""COMPUTED_VALUE"""),0.2909027777777778)</f>
        <v>0.2909027778</v>
      </c>
      <c r="D711" s="7" t="str">
        <f>IFERROR(__xludf.DUMMYFUNCTION("""COMPUTED_VALUE"""),"SpABRM297307")</f>
        <v>SpABRM297307</v>
      </c>
      <c r="E711" s="310"/>
      <c r="F711" s="310"/>
      <c r="G711" s="310" t="str">
        <f>IFERROR(__xludf.DUMMYFUNCTION("""COMPUTED_VALUE"""),"Negative")</f>
        <v>Negative</v>
      </c>
      <c r="H711" s="319" t="str">
        <f>IFERROR(__xludf.DUMMYFUNCTION("""COMPUTED_VALUE"""),"Negative")</f>
        <v>Negative</v>
      </c>
      <c r="I711" s="308">
        <f>IFERROR(__xludf.DUMMYFUNCTION("""COMPUTED_VALUE"""),44935.0)</f>
        <v>44935</v>
      </c>
      <c r="J711" s="311">
        <f>IFERROR(__xludf.DUMMYFUNCTION("""COMPUTED_VALUE"""),0.48484953703703704)</f>
        <v>0.484849537</v>
      </c>
      <c r="K711" s="54"/>
      <c r="L711" s="7"/>
      <c r="M711" s="312"/>
      <c r="N711" s="172">
        <f>IFERROR(__xludf.DUMMYFUNCTION("""COMPUTED_VALUE"""),4.0)</f>
        <v>4</v>
      </c>
      <c r="O711" s="172"/>
      <c r="P711" s="313">
        <f>IFERROR(__xludf.DUMMYFUNCTION("""COMPUTED_VALUE"""),0.0)</f>
        <v>0</v>
      </c>
      <c r="Q711" s="76" t="b">
        <f>VLOOKUP($B711,'Run Reconcile'!B$2:O1399,14,FALSE)</f>
        <v>1</v>
      </c>
      <c r="R711" s="314" t="str">
        <f t="array" ref="R711">IF($Q711, INDEX('Run Reconcile'!A$2:A1399,MATCH(B711,'Run Reconcile'!B$2:B1399,0),1),IFERROR(0/0,""))</f>
        <v>RUN-ABRM_2023-01-09_RFR-125</v>
      </c>
      <c r="S711" s="315" t="str">
        <f t="shared" ref="S711:T711" si="1427">IF(COUNTIF(W$2:W1399, $A711) &gt; 0,TRUE,IFERROR(0/0,""))</f>
        <v/>
      </c>
      <c r="T711" s="315" t="str">
        <f t="shared" si="1427"/>
        <v/>
      </c>
      <c r="U711" s="114" t="str">
        <f t="array" ref="U711">IF(ISBLANK($R711), INDEX('Run Reconcile'!A$2:A1399, MATCH($B711, 'Run Reconcile'!B$2:B1399, 0)+Z711, 1), IFERROR(0/0,""))
</f>
        <v/>
      </c>
      <c r="V711" s="316" t="str">
        <f t="shared" si="1281"/>
        <v>RUN-ABRM_2023-01-09_RFR-125</v>
      </c>
      <c r="Y711" s="317" t="str">
        <f t="shared" si="6"/>
        <v/>
      </c>
      <c r="Z711" s="83" t="str">
        <f t="shared" si="7"/>
        <v/>
      </c>
      <c r="AA711" s="83" t="str">
        <f t="shared" si="8"/>
        <v/>
      </c>
      <c r="AB711" s="83" t="str">
        <f t="shared" si="9"/>
        <v/>
      </c>
      <c r="AC711" s="18" t="str">
        <f t="shared" ref="AC711:AD711" si="1428">IF(_xlfn.ISFORMULA(S711),IFERROR(0/0,""),TRUE)</f>
        <v/>
      </c>
      <c r="AD711" s="18" t="str">
        <f t="shared" si="1428"/>
        <v/>
      </c>
      <c r="AE711" s="43"/>
      <c r="AF711" s="58" t="s">
        <v>114</v>
      </c>
      <c r="AG711" s="55" t="str">
        <f t="shared" si="11"/>
        <v/>
      </c>
    </row>
    <row r="712">
      <c r="A712" s="7" t="str">
        <f>IFERROR(__xludf.DUMMYFUNCTION("""COMPUTED_VALUE"""),"AJ4440")</f>
        <v>AJ4440</v>
      </c>
      <c r="B712" s="308">
        <f>IFERROR(__xludf.DUMMYFUNCTION("""COMPUTED_VALUE"""),44935.0)</f>
        <v>44935</v>
      </c>
      <c r="C712" s="309">
        <f>IFERROR(__xludf.DUMMYFUNCTION("""COMPUTED_VALUE"""),0.32989583333333333)</f>
        <v>0.3298958333</v>
      </c>
      <c r="D712" s="7" t="str">
        <f>IFERROR(__xludf.DUMMYFUNCTION("""COMPUTED_VALUE"""),"SpABRM655136")</f>
        <v>SpABRM655136</v>
      </c>
      <c r="E712" s="310"/>
      <c r="F712" s="310"/>
      <c r="G712" s="310" t="str">
        <f>IFERROR(__xludf.DUMMYFUNCTION("""COMPUTED_VALUE"""),"Negative")</f>
        <v>Negative</v>
      </c>
      <c r="H712" s="319" t="str">
        <f>IFERROR(__xludf.DUMMYFUNCTION("""COMPUTED_VALUE"""),"Negative")</f>
        <v>Negative</v>
      </c>
      <c r="I712" s="308">
        <f>IFERROR(__xludf.DUMMYFUNCTION("""COMPUTED_VALUE"""),44935.0)</f>
        <v>44935</v>
      </c>
      <c r="J712" s="311">
        <f>IFERROR(__xludf.DUMMYFUNCTION("""COMPUTED_VALUE"""),0.48486111111111113)</f>
        <v>0.4848611111</v>
      </c>
      <c r="K712" s="54"/>
      <c r="L712" s="7"/>
      <c r="M712" s="312"/>
      <c r="N712" s="172">
        <f>IFERROR(__xludf.DUMMYFUNCTION("""COMPUTED_VALUE"""),1.0)</f>
        <v>1</v>
      </c>
      <c r="O712" s="172"/>
      <c r="P712" s="313">
        <f>IFERROR(__xludf.DUMMYFUNCTION("""COMPUTED_VALUE"""),0.0)</f>
        <v>0</v>
      </c>
      <c r="Q712" s="76" t="b">
        <f>VLOOKUP($B712,'Run Reconcile'!B$2:O1399,14,FALSE)</f>
        <v>1</v>
      </c>
      <c r="R712" s="314" t="str">
        <f t="array" ref="R712">IF($Q712, INDEX('Run Reconcile'!A$2:A1399,MATCH(B712,'Run Reconcile'!B$2:B1399,0),1),IFERROR(0/0,""))</f>
        <v>RUN-ABRM_2023-01-09_RFR-125</v>
      </c>
      <c r="S712" s="315" t="str">
        <f t="shared" ref="S712:T712" si="1429">IF(COUNTIF(W$2:W1399, $A712) &gt; 0,TRUE,IFERROR(0/0,""))</f>
        <v/>
      </c>
      <c r="T712" s="315" t="str">
        <f t="shared" si="1429"/>
        <v/>
      </c>
      <c r="U712" s="114" t="str">
        <f t="array" ref="U712">IF(ISBLANK($R712), INDEX('Run Reconcile'!A$2:A1399, MATCH($B712, 'Run Reconcile'!B$2:B1399, 0)+Z712, 1), IFERROR(0/0,""))
</f>
        <v/>
      </c>
      <c r="V712" s="316" t="str">
        <f t="shared" si="1281"/>
        <v>RUN-ABRM_2023-01-09_RFR-125</v>
      </c>
      <c r="Y712" s="317" t="str">
        <f t="shared" si="6"/>
        <v/>
      </c>
      <c r="Z712" s="83" t="str">
        <f t="shared" si="7"/>
        <v/>
      </c>
      <c r="AA712" s="83" t="str">
        <f t="shared" si="8"/>
        <v/>
      </c>
      <c r="AB712" s="83" t="str">
        <f t="shared" si="9"/>
        <v/>
      </c>
      <c r="AC712" s="18" t="str">
        <f t="shared" ref="AC712:AD712" si="1430">IF(_xlfn.ISFORMULA(S712),IFERROR(0/0,""),TRUE)</f>
        <v/>
      </c>
      <c r="AD712" s="18" t="str">
        <f t="shared" si="1430"/>
        <v/>
      </c>
      <c r="AE712" s="43"/>
      <c r="AF712" s="58" t="s">
        <v>114</v>
      </c>
      <c r="AG712" s="55" t="str">
        <f t="shared" si="11"/>
        <v/>
      </c>
    </row>
    <row r="713">
      <c r="A713" s="7" t="str">
        <f>IFERROR(__xludf.DUMMYFUNCTION("""COMPUTED_VALUE"""),"AH7580")</f>
        <v>AH7580</v>
      </c>
      <c r="B713" s="308">
        <f>IFERROR(__xludf.DUMMYFUNCTION("""COMPUTED_VALUE"""),44935.0)</f>
        <v>44935</v>
      </c>
      <c r="C713" s="309">
        <f>IFERROR(__xludf.DUMMYFUNCTION("""COMPUTED_VALUE"""),0.3302893518518519)</f>
        <v>0.3302893519</v>
      </c>
      <c r="D713" s="7" t="str">
        <f>IFERROR(__xludf.DUMMYFUNCTION("""COMPUTED_VALUE"""),"SpABRM655136")</f>
        <v>SpABRM655136</v>
      </c>
      <c r="E713" s="310"/>
      <c r="F713" s="310"/>
      <c r="G713" s="310" t="str">
        <f>IFERROR(__xludf.DUMMYFUNCTION("""COMPUTED_VALUE"""),"Negative")</f>
        <v>Negative</v>
      </c>
      <c r="H713" s="319" t="str">
        <f>IFERROR(__xludf.DUMMYFUNCTION("""COMPUTED_VALUE"""),"Negative")</f>
        <v>Negative</v>
      </c>
      <c r="I713" s="308">
        <f>IFERROR(__xludf.DUMMYFUNCTION("""COMPUTED_VALUE"""),44935.0)</f>
        <v>44935</v>
      </c>
      <c r="J713" s="311">
        <f>IFERROR(__xludf.DUMMYFUNCTION("""COMPUTED_VALUE"""),0.48486111111111113)</f>
        <v>0.4848611111</v>
      </c>
      <c r="K713" s="54"/>
      <c r="L713" s="7"/>
      <c r="M713" s="312"/>
      <c r="N713" s="172">
        <f>IFERROR(__xludf.DUMMYFUNCTION("""COMPUTED_VALUE"""),1.0)</f>
        <v>1</v>
      </c>
      <c r="O713" s="172"/>
      <c r="P713" s="313">
        <f>IFERROR(__xludf.DUMMYFUNCTION("""COMPUTED_VALUE"""),0.0)</f>
        <v>0</v>
      </c>
      <c r="Q713" s="76" t="b">
        <f>VLOOKUP($B713,'Run Reconcile'!B$2:O1399,14,FALSE)</f>
        <v>1</v>
      </c>
      <c r="R713" s="314" t="str">
        <f t="array" ref="R713">IF($Q713, INDEX('Run Reconcile'!A$2:A1399,MATCH(B713,'Run Reconcile'!B$2:B1399,0),1),IFERROR(0/0,""))</f>
        <v>RUN-ABRM_2023-01-09_RFR-125</v>
      </c>
      <c r="S713" s="315" t="str">
        <f t="shared" ref="S713:T713" si="1431">IF(COUNTIF(W$2:W1399, $A713) &gt; 0,TRUE,IFERROR(0/0,""))</f>
        <v/>
      </c>
      <c r="T713" s="315" t="str">
        <f t="shared" si="1431"/>
        <v/>
      </c>
      <c r="U713" s="114" t="str">
        <f t="array" ref="U713">IF(ISBLANK($R713), INDEX('Run Reconcile'!A$2:A1399, MATCH($B713, 'Run Reconcile'!B$2:B1399, 0)+Z713, 1), IFERROR(0/0,""))
</f>
        <v/>
      </c>
      <c r="V713" s="316" t="str">
        <f t="shared" si="1281"/>
        <v>RUN-ABRM_2023-01-09_RFR-125</v>
      </c>
      <c r="Y713" s="317" t="str">
        <f t="shared" si="6"/>
        <v/>
      </c>
      <c r="Z713" s="83" t="str">
        <f t="shared" si="7"/>
        <v/>
      </c>
      <c r="AA713" s="83" t="str">
        <f t="shared" si="8"/>
        <v/>
      </c>
      <c r="AB713" s="83" t="str">
        <f t="shared" si="9"/>
        <v/>
      </c>
      <c r="AC713" s="18" t="str">
        <f t="shared" ref="AC713:AD713" si="1432">IF(_xlfn.ISFORMULA(S713),IFERROR(0/0,""),TRUE)</f>
        <v/>
      </c>
      <c r="AD713" s="18" t="str">
        <f t="shared" si="1432"/>
        <v/>
      </c>
      <c r="AE713" s="43"/>
      <c r="AF713" s="58" t="s">
        <v>114</v>
      </c>
      <c r="AG713" s="55" t="str">
        <f t="shared" si="11"/>
        <v/>
      </c>
    </row>
    <row r="714">
      <c r="A714" s="7" t="str">
        <f>IFERROR(__xludf.DUMMYFUNCTION("""COMPUTED_VALUE"""),"AH6861")</f>
        <v>AH6861</v>
      </c>
      <c r="B714" s="308">
        <f>IFERROR(__xludf.DUMMYFUNCTION("""COMPUTED_VALUE"""),44935.0)</f>
        <v>44935</v>
      </c>
      <c r="C714" s="309">
        <f>IFERROR(__xludf.DUMMYFUNCTION("""COMPUTED_VALUE"""),0.33068287037037036)</f>
        <v>0.3306828704</v>
      </c>
      <c r="D714" s="7" t="str">
        <f>IFERROR(__xludf.DUMMYFUNCTION("""COMPUTED_VALUE"""),"SpABRM655136")</f>
        <v>SpABRM655136</v>
      </c>
      <c r="E714" s="310"/>
      <c r="F714" s="310"/>
      <c r="G714" s="310" t="str">
        <f>IFERROR(__xludf.DUMMYFUNCTION("""COMPUTED_VALUE"""),"Negative")</f>
        <v>Negative</v>
      </c>
      <c r="H714" s="319" t="str">
        <f>IFERROR(__xludf.DUMMYFUNCTION("""COMPUTED_VALUE"""),"Negative")</f>
        <v>Negative</v>
      </c>
      <c r="I714" s="308">
        <f>IFERROR(__xludf.DUMMYFUNCTION("""COMPUTED_VALUE"""),44935.0)</f>
        <v>44935</v>
      </c>
      <c r="J714" s="311">
        <f>IFERROR(__xludf.DUMMYFUNCTION("""COMPUTED_VALUE"""),0.48487268518518517)</f>
        <v>0.4848726852</v>
      </c>
      <c r="K714" s="54"/>
      <c r="L714" s="7"/>
      <c r="M714" s="312"/>
      <c r="N714" s="172">
        <f>IFERROR(__xludf.DUMMYFUNCTION("""COMPUTED_VALUE"""),1.0)</f>
        <v>1</v>
      </c>
      <c r="O714" s="172"/>
      <c r="P714" s="313">
        <f>IFERROR(__xludf.DUMMYFUNCTION("""COMPUTED_VALUE"""),0.0)</f>
        <v>0</v>
      </c>
      <c r="Q714" s="76" t="b">
        <f>VLOOKUP($B714,'Run Reconcile'!B$2:O1399,14,FALSE)</f>
        <v>1</v>
      </c>
      <c r="R714" s="314" t="str">
        <f t="array" ref="R714">IF($Q714, INDEX('Run Reconcile'!A$2:A1399,MATCH(B714,'Run Reconcile'!B$2:B1399,0),1),IFERROR(0/0,""))</f>
        <v>RUN-ABRM_2023-01-09_RFR-125</v>
      </c>
      <c r="S714" s="315" t="str">
        <f t="shared" ref="S714:T714" si="1433">IF(COUNTIF(W$2:W1399, $A714) &gt; 0,TRUE,IFERROR(0/0,""))</f>
        <v/>
      </c>
      <c r="T714" s="315" t="str">
        <f t="shared" si="1433"/>
        <v/>
      </c>
      <c r="U714" s="114" t="str">
        <f t="array" ref="U714">IF(ISBLANK($R714), INDEX('Run Reconcile'!A$2:A1399, MATCH($B714, 'Run Reconcile'!B$2:B1399, 0)+Z714, 1), IFERROR(0/0,""))
</f>
        <v/>
      </c>
      <c r="V714" s="316" t="str">
        <f t="shared" si="1281"/>
        <v>RUN-ABRM_2023-01-09_RFR-125</v>
      </c>
      <c r="Y714" s="317" t="str">
        <f t="shared" si="6"/>
        <v/>
      </c>
      <c r="Z714" s="83" t="str">
        <f t="shared" si="7"/>
        <v/>
      </c>
      <c r="AA714" s="83" t="str">
        <f t="shared" si="8"/>
        <v/>
      </c>
      <c r="AB714" s="83" t="str">
        <f t="shared" si="9"/>
        <v/>
      </c>
      <c r="AC714" s="18" t="str">
        <f t="shared" ref="AC714:AD714" si="1434">IF(_xlfn.ISFORMULA(S714),IFERROR(0/0,""),TRUE)</f>
        <v/>
      </c>
      <c r="AD714" s="18" t="str">
        <f t="shared" si="1434"/>
        <v/>
      </c>
      <c r="AE714" s="43"/>
      <c r="AF714" s="58" t="s">
        <v>114</v>
      </c>
      <c r="AG714" s="55" t="str">
        <f t="shared" si="11"/>
        <v/>
      </c>
    </row>
    <row r="715">
      <c r="A715" s="7" t="str">
        <f>IFERROR(__xludf.DUMMYFUNCTION("""COMPUTED_VALUE"""),"AJ8139")</f>
        <v>AJ8139</v>
      </c>
      <c r="B715" s="308">
        <f>IFERROR(__xludf.DUMMYFUNCTION("""COMPUTED_VALUE"""),44935.0)</f>
        <v>44935</v>
      </c>
      <c r="C715" s="309">
        <f>IFERROR(__xludf.DUMMYFUNCTION("""COMPUTED_VALUE"""),0.3310416666666667)</f>
        <v>0.3310416667</v>
      </c>
      <c r="D715" s="7" t="str">
        <f>IFERROR(__xludf.DUMMYFUNCTION("""COMPUTED_VALUE"""),"SpABRM655136")</f>
        <v>SpABRM655136</v>
      </c>
      <c r="E715" s="310"/>
      <c r="F715" s="310"/>
      <c r="G715" s="310" t="str">
        <f>IFERROR(__xludf.DUMMYFUNCTION("""COMPUTED_VALUE"""),"Negative")</f>
        <v>Negative</v>
      </c>
      <c r="H715" s="319" t="str">
        <f>IFERROR(__xludf.DUMMYFUNCTION("""COMPUTED_VALUE"""),"Negative")</f>
        <v>Negative</v>
      </c>
      <c r="I715" s="308">
        <f>IFERROR(__xludf.DUMMYFUNCTION("""COMPUTED_VALUE"""),44935.0)</f>
        <v>44935</v>
      </c>
      <c r="J715" s="311">
        <f>IFERROR(__xludf.DUMMYFUNCTION("""COMPUTED_VALUE"""),0.49898148148148147)</f>
        <v>0.4989814815</v>
      </c>
      <c r="K715" s="54"/>
      <c r="L715" s="7"/>
      <c r="M715" s="312"/>
      <c r="N715" s="172">
        <f>IFERROR(__xludf.DUMMYFUNCTION("""COMPUTED_VALUE"""),1.0)</f>
        <v>1</v>
      </c>
      <c r="O715" s="172"/>
      <c r="P715" s="313">
        <f>IFERROR(__xludf.DUMMYFUNCTION("""COMPUTED_VALUE"""),0.0)</f>
        <v>0</v>
      </c>
      <c r="Q715" s="76" t="b">
        <f>VLOOKUP($B715,'Run Reconcile'!B$2:O1399,14,FALSE)</f>
        <v>1</v>
      </c>
      <c r="R715" s="314" t="str">
        <f t="array" ref="R715">IF($Q715, INDEX('Run Reconcile'!A$2:A1399,MATCH(B715,'Run Reconcile'!B$2:B1399,0),1),IFERROR(0/0,""))</f>
        <v>RUN-ABRM_2023-01-09_RFR-125</v>
      </c>
      <c r="S715" s="315" t="str">
        <f t="shared" ref="S715:T715" si="1435">IF(COUNTIF(W$2:W1399, $A715) &gt; 0,TRUE,IFERROR(0/0,""))</f>
        <v/>
      </c>
      <c r="T715" s="315" t="str">
        <f t="shared" si="1435"/>
        <v/>
      </c>
      <c r="U715" s="114" t="str">
        <f t="array" ref="U715">IF(ISBLANK($R715), INDEX('Run Reconcile'!A$2:A1399, MATCH($B715, 'Run Reconcile'!B$2:B1399, 0)+Z715, 1), IFERROR(0/0,""))
</f>
        <v/>
      </c>
      <c r="V715" s="316" t="str">
        <f t="shared" si="1281"/>
        <v>RUN-ABRM_2023-01-09_RFR-125</v>
      </c>
      <c r="Y715" s="317" t="str">
        <f t="shared" si="6"/>
        <v/>
      </c>
      <c r="Z715" s="83" t="str">
        <f t="shared" si="7"/>
        <v/>
      </c>
      <c r="AA715" s="83" t="str">
        <f t="shared" si="8"/>
        <v/>
      </c>
      <c r="AB715" s="83" t="str">
        <f t="shared" si="9"/>
        <v/>
      </c>
      <c r="AC715" s="18" t="str">
        <f t="shared" ref="AC715:AD715" si="1436">IF(_xlfn.ISFORMULA(S715),IFERROR(0/0,""),TRUE)</f>
        <v/>
      </c>
      <c r="AD715" s="18" t="str">
        <f t="shared" si="1436"/>
        <v/>
      </c>
      <c r="AE715" s="43"/>
      <c r="AF715" s="58" t="s">
        <v>114</v>
      </c>
      <c r="AG715" s="55" t="str">
        <f t="shared" si="11"/>
        <v/>
      </c>
    </row>
    <row r="716">
      <c r="A716" s="7" t="str">
        <f>IFERROR(__xludf.DUMMYFUNCTION("""COMPUTED_VALUE"""),"AG682")</f>
        <v>AG682</v>
      </c>
      <c r="B716" s="308">
        <f>IFERROR(__xludf.DUMMYFUNCTION("""COMPUTED_VALUE"""),44935.0)</f>
        <v>44935</v>
      </c>
      <c r="C716" s="309">
        <f>IFERROR(__xludf.DUMMYFUNCTION("""COMPUTED_VALUE"""),0.33449074074074076)</f>
        <v>0.3344907407</v>
      </c>
      <c r="D716" s="7" t="str">
        <f>IFERROR(__xludf.DUMMYFUNCTION("""COMPUTED_VALUE"""),"SpABRM655136")</f>
        <v>SpABRM655136</v>
      </c>
      <c r="E716" s="310"/>
      <c r="F716" s="310"/>
      <c r="G716" s="310" t="str">
        <f>IFERROR(__xludf.DUMMYFUNCTION("""COMPUTED_VALUE"""),"Negative")</f>
        <v>Negative</v>
      </c>
      <c r="H716" s="319" t="str">
        <f>IFERROR(__xludf.DUMMYFUNCTION("""COMPUTED_VALUE"""),"Negative")</f>
        <v>Negative</v>
      </c>
      <c r="I716" s="308">
        <f>IFERROR(__xludf.DUMMYFUNCTION("""COMPUTED_VALUE"""),44935.0)</f>
        <v>44935</v>
      </c>
      <c r="J716" s="311">
        <f>IFERROR(__xludf.DUMMYFUNCTION("""COMPUTED_VALUE"""),0.48487268518518517)</f>
        <v>0.4848726852</v>
      </c>
      <c r="K716" s="54"/>
      <c r="L716" s="7"/>
      <c r="M716" s="312"/>
      <c r="N716" s="172">
        <f>IFERROR(__xludf.DUMMYFUNCTION("""COMPUTED_VALUE"""),1.0)</f>
        <v>1</v>
      </c>
      <c r="O716" s="172"/>
      <c r="P716" s="313">
        <f>IFERROR(__xludf.DUMMYFUNCTION("""COMPUTED_VALUE"""),0.0)</f>
        <v>0</v>
      </c>
      <c r="Q716" s="76" t="b">
        <f>VLOOKUP($B716,'Run Reconcile'!B$2:O1399,14,FALSE)</f>
        <v>1</v>
      </c>
      <c r="R716" s="314" t="str">
        <f t="array" ref="R716">IF($Q716, INDEX('Run Reconcile'!A$2:A1399,MATCH(B716,'Run Reconcile'!B$2:B1399,0),1),IFERROR(0/0,""))</f>
        <v>RUN-ABRM_2023-01-09_RFR-125</v>
      </c>
      <c r="S716" s="315" t="str">
        <f t="shared" ref="S716:T716" si="1437">IF(COUNTIF(W$2:W1399, $A716) &gt; 0,TRUE,IFERROR(0/0,""))</f>
        <v/>
      </c>
      <c r="T716" s="315" t="str">
        <f t="shared" si="1437"/>
        <v/>
      </c>
      <c r="U716" s="114" t="str">
        <f t="array" ref="U716">IF(ISBLANK($R716), INDEX('Run Reconcile'!A$2:A1399, MATCH($B716, 'Run Reconcile'!B$2:B1399, 0)+Z716, 1), IFERROR(0/0,""))
</f>
        <v/>
      </c>
      <c r="V716" s="316" t="str">
        <f t="shared" si="1281"/>
        <v>RUN-ABRM_2023-01-09_RFR-125</v>
      </c>
      <c r="Y716" s="317" t="str">
        <f t="shared" si="6"/>
        <v/>
      </c>
      <c r="Z716" s="83" t="str">
        <f t="shared" si="7"/>
        <v/>
      </c>
      <c r="AA716" s="83" t="str">
        <f t="shared" si="8"/>
        <v/>
      </c>
      <c r="AB716" s="83" t="str">
        <f t="shared" si="9"/>
        <v/>
      </c>
      <c r="AC716" s="18" t="str">
        <f t="shared" ref="AC716:AD716" si="1438">IF(_xlfn.ISFORMULA(S716),IFERROR(0/0,""),TRUE)</f>
        <v/>
      </c>
      <c r="AD716" s="18" t="str">
        <f t="shared" si="1438"/>
        <v/>
      </c>
      <c r="AE716" s="43"/>
      <c r="AF716" s="58" t="s">
        <v>114</v>
      </c>
      <c r="AG716" s="55" t="str">
        <f t="shared" si="11"/>
        <v/>
      </c>
    </row>
    <row r="717">
      <c r="A717" s="7" t="str">
        <f>IFERROR(__xludf.DUMMYFUNCTION("""COMPUTED_VALUE"""),"AH8270")</f>
        <v>AH8270</v>
      </c>
      <c r="B717" s="308">
        <f>IFERROR(__xludf.DUMMYFUNCTION("""COMPUTED_VALUE"""),44935.0)</f>
        <v>44935</v>
      </c>
      <c r="C717" s="309">
        <f>IFERROR(__xludf.DUMMYFUNCTION("""COMPUTED_VALUE"""),0.4197222222222222)</f>
        <v>0.4197222222</v>
      </c>
      <c r="D717" s="7" t="str">
        <f>IFERROR(__xludf.DUMMYFUNCTION("""COMPUTED_VALUE"""),"SpABRM655136")</f>
        <v>SpABRM655136</v>
      </c>
      <c r="E717" s="310"/>
      <c r="F717" s="310"/>
      <c r="G717" s="310" t="str">
        <f>IFERROR(__xludf.DUMMYFUNCTION("""COMPUTED_VALUE"""),"Negative")</f>
        <v>Negative</v>
      </c>
      <c r="H717" s="319" t="str">
        <f>IFERROR(__xludf.DUMMYFUNCTION("""COMPUTED_VALUE"""),"Negative")</f>
        <v>Negative</v>
      </c>
      <c r="I717" s="308">
        <f>IFERROR(__xludf.DUMMYFUNCTION("""COMPUTED_VALUE"""),44935.0)</f>
        <v>44935</v>
      </c>
      <c r="J717" s="311">
        <f>IFERROR(__xludf.DUMMYFUNCTION("""COMPUTED_VALUE"""),0.48488425925925926)</f>
        <v>0.4848842593</v>
      </c>
      <c r="K717" s="54"/>
      <c r="L717" s="7"/>
      <c r="M717" s="312"/>
      <c r="N717" s="172">
        <f>IFERROR(__xludf.DUMMYFUNCTION("""COMPUTED_VALUE"""),4.0)</f>
        <v>4</v>
      </c>
      <c r="O717" s="172"/>
      <c r="P717" s="313">
        <f>IFERROR(__xludf.DUMMYFUNCTION("""COMPUTED_VALUE"""),0.0)</f>
        <v>0</v>
      </c>
      <c r="Q717" s="76" t="b">
        <f>VLOOKUP($B717,'Run Reconcile'!B$2:O1399,14,FALSE)</f>
        <v>1</v>
      </c>
      <c r="R717" s="314" t="str">
        <f t="array" ref="R717">IF($Q717, INDEX('Run Reconcile'!A$2:A1399,MATCH(B717,'Run Reconcile'!B$2:B1399,0),1),IFERROR(0/0,""))</f>
        <v>RUN-ABRM_2023-01-09_RFR-125</v>
      </c>
      <c r="S717" s="315" t="str">
        <f t="shared" ref="S717:T717" si="1439">IF(COUNTIF(W$2:W1399, $A717) &gt; 0,TRUE,IFERROR(0/0,""))</f>
        <v/>
      </c>
      <c r="T717" s="315" t="str">
        <f t="shared" si="1439"/>
        <v/>
      </c>
      <c r="U717" s="114" t="str">
        <f t="array" ref="U717">IF(ISBLANK($R717), INDEX('Run Reconcile'!A$2:A1399, MATCH($B717, 'Run Reconcile'!B$2:B1399, 0)+Z717, 1), IFERROR(0/0,""))
</f>
        <v/>
      </c>
      <c r="V717" s="316" t="str">
        <f t="shared" si="1281"/>
        <v>RUN-ABRM_2023-01-09_RFR-125</v>
      </c>
      <c r="Y717" s="317" t="str">
        <f t="shared" si="6"/>
        <v/>
      </c>
      <c r="Z717" s="83" t="str">
        <f t="shared" si="7"/>
        <v/>
      </c>
      <c r="AA717" s="83" t="str">
        <f t="shared" si="8"/>
        <v/>
      </c>
      <c r="AB717" s="83" t="str">
        <f t="shared" si="9"/>
        <v/>
      </c>
      <c r="AC717" s="18" t="str">
        <f t="shared" ref="AC717:AD717" si="1440">IF(_xlfn.ISFORMULA(S717),IFERROR(0/0,""),TRUE)</f>
        <v/>
      </c>
      <c r="AD717" s="18" t="str">
        <f t="shared" si="1440"/>
        <v/>
      </c>
      <c r="AE717" s="43"/>
      <c r="AF717" s="58" t="s">
        <v>114</v>
      </c>
      <c r="AG717" s="55" t="str">
        <f t="shared" si="11"/>
        <v/>
      </c>
    </row>
    <row r="718">
      <c r="A718" s="7" t="str">
        <f>IFERROR(__xludf.DUMMYFUNCTION("""COMPUTED_VALUE"""),"AJ9284")</f>
        <v>AJ9284</v>
      </c>
      <c r="B718" s="308">
        <f>IFERROR(__xludf.DUMMYFUNCTION("""COMPUTED_VALUE"""),44936.0)</f>
        <v>44936</v>
      </c>
      <c r="C718" s="309">
        <f>IFERROR(__xludf.DUMMYFUNCTION("""COMPUTED_VALUE"""),0.1723148148148148)</f>
        <v>0.1723148148</v>
      </c>
      <c r="D718" s="7" t="str">
        <f>IFERROR(__xludf.DUMMYFUNCTION("""COMPUTED_VALUE"""),"SpABRM655136")</f>
        <v>SpABRM655136</v>
      </c>
      <c r="E718" s="310"/>
      <c r="F718" s="310"/>
      <c r="G718" s="310" t="str">
        <f>IFERROR(__xludf.DUMMYFUNCTION("""COMPUTED_VALUE"""),"Negative")</f>
        <v>Negative</v>
      </c>
      <c r="H718" s="319" t="str">
        <f>IFERROR(__xludf.DUMMYFUNCTION("""COMPUTED_VALUE"""),"Negative")</f>
        <v>Negative</v>
      </c>
      <c r="I718" s="308">
        <f>IFERROR(__xludf.DUMMYFUNCTION("""COMPUTED_VALUE"""),44936.0)</f>
        <v>44936</v>
      </c>
      <c r="J718" s="311">
        <f>IFERROR(__xludf.DUMMYFUNCTION("""COMPUTED_VALUE"""),0.4254513888888889)</f>
        <v>0.4254513889</v>
      </c>
      <c r="K718" s="54"/>
      <c r="L718" s="7"/>
      <c r="M718" s="312"/>
      <c r="N718" s="172">
        <f>IFERROR(__xludf.DUMMYFUNCTION("""COMPUTED_VALUE"""),2.0)</f>
        <v>2</v>
      </c>
      <c r="O718" s="172"/>
      <c r="P718" s="313">
        <f>IFERROR(__xludf.DUMMYFUNCTION("""COMPUTED_VALUE"""),0.0)</f>
        <v>0</v>
      </c>
      <c r="Q718" s="76" t="b">
        <f>VLOOKUP($B718,'Run Reconcile'!B$2:O1399,14,FALSE)</f>
        <v>1</v>
      </c>
      <c r="R718" s="314" t="str">
        <f t="array" ref="R718">IF($Q718, INDEX('Run Reconcile'!A$2:A1399,MATCH(B718,'Run Reconcile'!B$2:B1399,0),1),IFERROR(0/0,""))</f>
        <v>RUN-ABRM_2023-01-10_RFR-126</v>
      </c>
      <c r="S718" s="315" t="str">
        <f t="shared" ref="S718:T718" si="1441">IF(COUNTIF(W$2:W1399, $A718) &gt; 0,TRUE,IFERROR(0/0,""))</f>
        <v/>
      </c>
      <c r="T718" s="315" t="str">
        <f t="shared" si="1441"/>
        <v/>
      </c>
      <c r="U718" s="114" t="str">
        <f t="array" ref="U718">IF(ISBLANK($R718), INDEX('Run Reconcile'!A$2:A1399, MATCH($B718, 'Run Reconcile'!B$2:B1399, 0)+Z718, 1), IFERROR(0/0,""))
</f>
        <v/>
      </c>
      <c r="V718" s="316" t="str">
        <f t="shared" si="1281"/>
        <v>RUN-ABRM_2023-01-10_RFR-126</v>
      </c>
      <c r="Y718" s="317" t="str">
        <f t="shared" si="6"/>
        <v/>
      </c>
      <c r="Z718" s="83" t="str">
        <f t="shared" si="7"/>
        <v/>
      </c>
      <c r="AA718" s="83" t="str">
        <f t="shared" si="8"/>
        <v/>
      </c>
      <c r="AB718" s="83" t="str">
        <f t="shared" si="9"/>
        <v/>
      </c>
      <c r="AC718" s="18" t="str">
        <f t="shared" ref="AC718:AD718" si="1442">IF(_xlfn.ISFORMULA(S718),IFERROR(0/0,""),TRUE)</f>
        <v/>
      </c>
      <c r="AD718" s="18" t="str">
        <f t="shared" si="1442"/>
        <v/>
      </c>
      <c r="AE718" s="43"/>
      <c r="AF718" s="58" t="s">
        <v>115</v>
      </c>
      <c r="AG718" s="55" t="str">
        <f t="shared" si="11"/>
        <v/>
      </c>
    </row>
    <row r="719">
      <c r="A719" s="7" t="str">
        <f>IFERROR(__xludf.DUMMYFUNCTION("""COMPUTED_VALUE"""),"AH6808")</f>
        <v>AH6808</v>
      </c>
      <c r="B719" s="308">
        <f>IFERROR(__xludf.DUMMYFUNCTION("""COMPUTED_VALUE"""),44936.0)</f>
        <v>44936</v>
      </c>
      <c r="C719" s="309">
        <f>IFERROR(__xludf.DUMMYFUNCTION("""COMPUTED_VALUE"""),0.2858101851851852)</f>
        <v>0.2858101852</v>
      </c>
      <c r="D719" s="7" t="str">
        <f>IFERROR(__xludf.DUMMYFUNCTION("""COMPUTED_VALUE"""),"SpABRM128250")</f>
        <v>SpABRM128250</v>
      </c>
      <c r="E719" s="310"/>
      <c r="F719" s="310"/>
      <c r="G719" s="310" t="str">
        <f>IFERROR(__xludf.DUMMYFUNCTION("""COMPUTED_VALUE"""),"Negative")</f>
        <v>Negative</v>
      </c>
      <c r="H719" s="319" t="str">
        <f>IFERROR(__xludf.DUMMYFUNCTION("""COMPUTED_VALUE"""),"Negative")</f>
        <v>Negative</v>
      </c>
      <c r="I719" s="308">
        <f>IFERROR(__xludf.DUMMYFUNCTION("""COMPUTED_VALUE"""),44936.0)</f>
        <v>44936</v>
      </c>
      <c r="J719" s="311">
        <f>IFERROR(__xludf.DUMMYFUNCTION("""COMPUTED_VALUE"""),0.3977662037037037)</f>
        <v>0.3977662037</v>
      </c>
      <c r="K719" s="54"/>
      <c r="L719" s="7"/>
      <c r="M719" s="312"/>
      <c r="N719" s="172">
        <f>IFERROR(__xludf.DUMMYFUNCTION("""COMPUTED_VALUE"""),3.0)</f>
        <v>3</v>
      </c>
      <c r="O719" s="172"/>
      <c r="P719" s="313">
        <f>IFERROR(__xludf.DUMMYFUNCTION("""COMPUTED_VALUE"""),0.0)</f>
        <v>0</v>
      </c>
      <c r="Q719" s="76" t="b">
        <f>VLOOKUP($B719,'Run Reconcile'!B$2:O1399,14,FALSE)</f>
        <v>1</v>
      </c>
      <c r="R719" s="314" t="str">
        <f t="array" ref="R719">IF($Q719, INDEX('Run Reconcile'!A$2:A1399,MATCH(B719,'Run Reconcile'!B$2:B1399,0),1),IFERROR(0/0,""))</f>
        <v>RUN-ABRM_2023-01-10_RFR-126</v>
      </c>
      <c r="S719" s="315" t="str">
        <f t="shared" ref="S719:T719" si="1443">IF(COUNTIF(W$2:W1399, $A719) &gt; 0,TRUE,IFERROR(0/0,""))</f>
        <v/>
      </c>
      <c r="T719" s="315" t="str">
        <f t="shared" si="1443"/>
        <v/>
      </c>
      <c r="U719" s="114" t="str">
        <f t="array" ref="U719">IF(ISBLANK($R719), INDEX('Run Reconcile'!A$2:A1399, MATCH($B719, 'Run Reconcile'!B$2:B1399, 0)+Z719, 1), IFERROR(0/0,""))
</f>
        <v/>
      </c>
      <c r="V719" s="316" t="str">
        <f t="shared" si="1281"/>
        <v>RUN-ABRM_2023-01-10_RFR-126</v>
      </c>
      <c r="Y719" s="317" t="str">
        <f t="shared" si="6"/>
        <v/>
      </c>
      <c r="Z719" s="83" t="str">
        <f t="shared" si="7"/>
        <v/>
      </c>
      <c r="AA719" s="83" t="str">
        <f t="shared" si="8"/>
        <v/>
      </c>
      <c r="AB719" s="83" t="str">
        <f t="shared" si="9"/>
        <v/>
      </c>
      <c r="AC719" s="18" t="str">
        <f t="shared" ref="AC719:AD719" si="1444">IF(_xlfn.ISFORMULA(S719),IFERROR(0/0,""),TRUE)</f>
        <v/>
      </c>
      <c r="AD719" s="18" t="str">
        <f t="shared" si="1444"/>
        <v/>
      </c>
      <c r="AE719" s="43"/>
      <c r="AF719" s="58" t="s">
        <v>115</v>
      </c>
      <c r="AG719" s="55" t="str">
        <f t="shared" si="11"/>
        <v/>
      </c>
    </row>
    <row r="720">
      <c r="A720" s="7" t="str">
        <f>IFERROR(__xludf.DUMMYFUNCTION("""COMPUTED_VALUE"""),"AJ9424")</f>
        <v>AJ9424</v>
      </c>
      <c r="B720" s="308">
        <f>IFERROR(__xludf.DUMMYFUNCTION("""COMPUTED_VALUE"""),44936.0)</f>
        <v>44936</v>
      </c>
      <c r="C720" s="309">
        <f>IFERROR(__xludf.DUMMYFUNCTION("""COMPUTED_VALUE"""),0.29739583333333336)</f>
        <v>0.2973958333</v>
      </c>
      <c r="D720" s="7" t="str">
        <f>IFERROR(__xludf.DUMMYFUNCTION("""COMPUTED_VALUE"""),"SpABRM454310")</f>
        <v>SpABRM454310</v>
      </c>
      <c r="E720" s="310"/>
      <c r="F720" s="310"/>
      <c r="G720" s="310" t="str">
        <f>IFERROR(__xludf.DUMMYFUNCTION("""COMPUTED_VALUE"""),"Negative")</f>
        <v>Negative</v>
      </c>
      <c r="H720" s="319" t="str">
        <f>IFERROR(__xludf.DUMMYFUNCTION("""COMPUTED_VALUE"""),"Negative")</f>
        <v>Negative</v>
      </c>
      <c r="I720" s="308">
        <f>IFERROR(__xludf.DUMMYFUNCTION("""COMPUTED_VALUE"""),44936.0)</f>
        <v>44936</v>
      </c>
      <c r="J720" s="311">
        <f>IFERROR(__xludf.DUMMYFUNCTION("""COMPUTED_VALUE"""),0.3977777777777778)</f>
        <v>0.3977777778</v>
      </c>
      <c r="K720" s="54"/>
      <c r="L720" s="7"/>
      <c r="M720" s="312"/>
      <c r="N720" s="172">
        <f>IFERROR(__xludf.DUMMYFUNCTION("""COMPUTED_VALUE"""),2.0)</f>
        <v>2</v>
      </c>
      <c r="O720" s="172"/>
      <c r="P720" s="313">
        <f>IFERROR(__xludf.DUMMYFUNCTION("""COMPUTED_VALUE"""),0.0)</f>
        <v>0</v>
      </c>
      <c r="Q720" s="76" t="b">
        <f>VLOOKUP($B720,'Run Reconcile'!B$2:O1399,14,FALSE)</f>
        <v>1</v>
      </c>
      <c r="R720" s="314" t="str">
        <f t="array" ref="R720">IF($Q720, INDEX('Run Reconcile'!A$2:A1399,MATCH(B720,'Run Reconcile'!B$2:B1399,0),1),IFERROR(0/0,""))</f>
        <v>RUN-ABRM_2023-01-10_RFR-126</v>
      </c>
      <c r="S720" s="315" t="str">
        <f t="shared" ref="S720:T720" si="1445">IF(COUNTIF(W$2:W1399, $A720) &gt; 0,TRUE,IFERROR(0/0,""))</f>
        <v/>
      </c>
      <c r="T720" s="315" t="str">
        <f t="shared" si="1445"/>
        <v/>
      </c>
      <c r="U720" s="114" t="str">
        <f t="array" ref="U720">IF(ISBLANK($R720), INDEX('Run Reconcile'!A$2:A1399, MATCH($B720, 'Run Reconcile'!B$2:B1399, 0)+Z720, 1), IFERROR(0/0,""))
</f>
        <v/>
      </c>
      <c r="V720" s="316" t="str">
        <f t="shared" si="1281"/>
        <v>RUN-ABRM_2023-01-10_RFR-126</v>
      </c>
      <c r="Y720" s="317" t="str">
        <f t="shared" si="6"/>
        <v/>
      </c>
      <c r="Z720" s="83" t="str">
        <f t="shared" si="7"/>
        <v/>
      </c>
      <c r="AA720" s="83" t="str">
        <f t="shared" si="8"/>
        <v/>
      </c>
      <c r="AB720" s="83" t="str">
        <f t="shared" si="9"/>
        <v/>
      </c>
      <c r="AC720" s="18" t="str">
        <f t="shared" ref="AC720:AD720" si="1446">IF(_xlfn.ISFORMULA(S720),IFERROR(0/0,""),TRUE)</f>
        <v/>
      </c>
      <c r="AD720" s="18" t="str">
        <f t="shared" si="1446"/>
        <v/>
      </c>
      <c r="AE720" s="43"/>
      <c r="AF720" s="58" t="s">
        <v>115</v>
      </c>
      <c r="AG720" s="55" t="str">
        <f t="shared" si="11"/>
        <v/>
      </c>
    </row>
    <row r="721">
      <c r="A721" s="7" t="str">
        <f>IFERROR(__xludf.DUMMYFUNCTION("""COMPUTED_VALUE"""),"AJ4743")</f>
        <v>AJ4743</v>
      </c>
      <c r="B721" s="308">
        <f>IFERROR(__xludf.DUMMYFUNCTION("""COMPUTED_VALUE"""),44936.0)</f>
        <v>44936</v>
      </c>
      <c r="C721" s="309">
        <f>IFERROR(__xludf.DUMMYFUNCTION("""COMPUTED_VALUE"""),0.33697916666666666)</f>
        <v>0.3369791667</v>
      </c>
      <c r="D721" s="7" t="str">
        <f>IFERROR(__xludf.DUMMYFUNCTION("""COMPUTED_VALUE"""),"SpABRM655136")</f>
        <v>SpABRM655136</v>
      </c>
      <c r="E721" s="310"/>
      <c r="F721" s="310"/>
      <c r="G721" s="310" t="str">
        <f>IFERROR(__xludf.DUMMYFUNCTION("""COMPUTED_VALUE"""),"Negative")</f>
        <v>Negative</v>
      </c>
      <c r="H721" s="319" t="str">
        <f>IFERROR(__xludf.DUMMYFUNCTION("""COMPUTED_VALUE"""),"Negative")</f>
        <v>Negative</v>
      </c>
      <c r="I721" s="308">
        <f>IFERROR(__xludf.DUMMYFUNCTION("""COMPUTED_VALUE"""),44936.0)</f>
        <v>44936</v>
      </c>
      <c r="J721" s="311">
        <f>IFERROR(__xludf.DUMMYFUNCTION("""COMPUTED_VALUE"""),0.3977777777777778)</f>
        <v>0.3977777778</v>
      </c>
      <c r="K721" s="54"/>
      <c r="L721" s="7"/>
      <c r="M721" s="312"/>
      <c r="N721" s="172">
        <f>IFERROR(__xludf.DUMMYFUNCTION("""COMPUTED_VALUE"""),1.0)</f>
        <v>1</v>
      </c>
      <c r="O721" s="172"/>
      <c r="P721" s="313">
        <f>IFERROR(__xludf.DUMMYFUNCTION("""COMPUTED_VALUE"""),0.0)</f>
        <v>0</v>
      </c>
      <c r="Q721" s="76" t="b">
        <f>VLOOKUP($B721,'Run Reconcile'!B$2:O1399,14,FALSE)</f>
        <v>1</v>
      </c>
      <c r="R721" s="314" t="str">
        <f t="array" ref="R721">IF($Q721, INDEX('Run Reconcile'!A$2:A1399,MATCH(B721,'Run Reconcile'!B$2:B1399,0),1),IFERROR(0/0,""))</f>
        <v>RUN-ABRM_2023-01-10_RFR-126</v>
      </c>
      <c r="S721" s="315" t="str">
        <f t="shared" ref="S721:T721" si="1447">IF(COUNTIF(W$2:W1399, $A721) &gt; 0,TRUE,IFERROR(0/0,""))</f>
        <v/>
      </c>
      <c r="T721" s="315" t="str">
        <f t="shared" si="1447"/>
        <v/>
      </c>
      <c r="U721" s="114" t="str">
        <f t="array" ref="U721">IF(ISBLANK($R721), INDEX('Run Reconcile'!A$2:A1399, MATCH($B721, 'Run Reconcile'!B$2:B1399, 0)+Z721, 1), IFERROR(0/0,""))
</f>
        <v/>
      </c>
      <c r="V721" s="316" t="str">
        <f t="shared" si="1281"/>
        <v>RUN-ABRM_2023-01-10_RFR-126</v>
      </c>
      <c r="Y721" s="317" t="str">
        <f t="shared" si="6"/>
        <v/>
      </c>
      <c r="Z721" s="83" t="str">
        <f t="shared" si="7"/>
        <v/>
      </c>
      <c r="AA721" s="83" t="str">
        <f t="shared" si="8"/>
        <v/>
      </c>
      <c r="AB721" s="83" t="str">
        <f t="shared" si="9"/>
        <v/>
      </c>
      <c r="AC721" s="18" t="str">
        <f t="shared" ref="AC721:AD721" si="1448">IF(_xlfn.ISFORMULA(S721),IFERROR(0/0,""),TRUE)</f>
        <v/>
      </c>
      <c r="AD721" s="18" t="str">
        <f t="shared" si="1448"/>
        <v/>
      </c>
      <c r="AE721" s="43"/>
      <c r="AF721" s="58" t="s">
        <v>115</v>
      </c>
      <c r="AG721" s="55" t="str">
        <f t="shared" si="11"/>
        <v/>
      </c>
    </row>
    <row r="722">
      <c r="A722" s="7" t="str">
        <f>IFERROR(__xludf.DUMMYFUNCTION("""COMPUTED_VALUE"""),"AH336")</f>
        <v>AH336</v>
      </c>
      <c r="B722" s="308">
        <f>IFERROR(__xludf.DUMMYFUNCTION("""COMPUTED_VALUE"""),44936.0)</f>
        <v>44936</v>
      </c>
      <c r="C722" s="309">
        <f>IFERROR(__xludf.DUMMYFUNCTION("""COMPUTED_VALUE"""),0.33740740740740743)</f>
        <v>0.3374074074</v>
      </c>
      <c r="D722" s="7" t="str">
        <f>IFERROR(__xludf.DUMMYFUNCTION("""COMPUTED_VALUE"""),"SpABRM655136")</f>
        <v>SpABRM655136</v>
      </c>
      <c r="E722" s="310"/>
      <c r="F722" s="310"/>
      <c r="G722" s="310" t="str">
        <f>IFERROR(__xludf.DUMMYFUNCTION("""COMPUTED_VALUE"""),"Negative")</f>
        <v>Negative</v>
      </c>
      <c r="H722" s="319" t="str">
        <f>IFERROR(__xludf.DUMMYFUNCTION("""COMPUTED_VALUE"""),"Negative")</f>
        <v>Negative</v>
      </c>
      <c r="I722" s="308">
        <f>IFERROR(__xludf.DUMMYFUNCTION("""COMPUTED_VALUE"""),44936.0)</f>
        <v>44936</v>
      </c>
      <c r="J722" s="311">
        <f>IFERROR(__xludf.DUMMYFUNCTION("""COMPUTED_VALUE"""),0.425462962962963)</f>
        <v>0.425462963</v>
      </c>
      <c r="K722" s="54"/>
      <c r="L722" s="7"/>
      <c r="M722" s="312"/>
      <c r="N722" s="172">
        <f>IFERROR(__xludf.DUMMYFUNCTION("""COMPUTED_VALUE"""),3.0)</f>
        <v>3</v>
      </c>
      <c r="O722" s="172"/>
      <c r="P722" s="313">
        <f>IFERROR(__xludf.DUMMYFUNCTION("""COMPUTED_VALUE"""),0.0)</f>
        <v>0</v>
      </c>
      <c r="Q722" s="76" t="b">
        <f>VLOOKUP($B722,'Run Reconcile'!B$2:O1399,14,FALSE)</f>
        <v>1</v>
      </c>
      <c r="R722" s="314" t="str">
        <f t="array" ref="R722">IF($Q722, INDEX('Run Reconcile'!A$2:A1399,MATCH(B722,'Run Reconcile'!B$2:B1399,0),1),IFERROR(0/0,""))</f>
        <v>RUN-ABRM_2023-01-10_RFR-126</v>
      </c>
      <c r="S722" s="315" t="str">
        <f t="shared" ref="S722:T722" si="1449">IF(COUNTIF(W$2:W1399, $A722) &gt; 0,TRUE,IFERROR(0/0,""))</f>
        <v/>
      </c>
      <c r="T722" s="315" t="str">
        <f t="shared" si="1449"/>
        <v/>
      </c>
      <c r="U722" s="114" t="str">
        <f t="array" ref="U722">IF(ISBLANK($R722), INDEX('Run Reconcile'!A$2:A1399, MATCH($B722, 'Run Reconcile'!B$2:B1399, 0)+Z722, 1), IFERROR(0/0,""))
</f>
        <v/>
      </c>
      <c r="V722" s="316" t="str">
        <f t="shared" si="1281"/>
        <v>RUN-ABRM_2023-01-10_RFR-126</v>
      </c>
      <c r="Y722" s="317" t="str">
        <f t="shared" si="6"/>
        <v/>
      </c>
      <c r="Z722" s="83" t="str">
        <f t="shared" si="7"/>
        <v/>
      </c>
      <c r="AA722" s="83" t="str">
        <f t="shared" si="8"/>
        <v/>
      </c>
      <c r="AB722" s="83" t="str">
        <f t="shared" si="9"/>
        <v/>
      </c>
      <c r="AC722" s="18" t="str">
        <f t="shared" ref="AC722:AD722" si="1450">IF(_xlfn.ISFORMULA(S722),IFERROR(0/0,""),TRUE)</f>
        <v/>
      </c>
      <c r="AD722" s="18" t="str">
        <f t="shared" si="1450"/>
        <v/>
      </c>
      <c r="AE722" s="43"/>
      <c r="AF722" s="58" t="s">
        <v>115</v>
      </c>
      <c r="AG722" s="55" t="str">
        <f t="shared" si="11"/>
        <v/>
      </c>
    </row>
    <row r="723">
      <c r="A723" s="7" t="str">
        <f>IFERROR(__xludf.DUMMYFUNCTION("""COMPUTED_VALUE"""),"AH8141")</f>
        <v>AH8141</v>
      </c>
      <c r="B723" s="308">
        <f>IFERROR(__xludf.DUMMYFUNCTION("""COMPUTED_VALUE"""),44936.0)</f>
        <v>44936</v>
      </c>
      <c r="C723" s="309">
        <f>IFERROR(__xludf.DUMMYFUNCTION("""COMPUTED_VALUE"""),0.3380902777777778)</f>
        <v>0.3380902778</v>
      </c>
      <c r="D723" s="7" t="str">
        <f>IFERROR(__xludf.DUMMYFUNCTION("""COMPUTED_VALUE"""),"SpABRM655136")</f>
        <v>SpABRM655136</v>
      </c>
      <c r="E723" s="310"/>
      <c r="F723" s="310"/>
      <c r="G723" s="310" t="str">
        <f>IFERROR(__xludf.DUMMYFUNCTION("""COMPUTED_VALUE"""),"Negative")</f>
        <v>Negative</v>
      </c>
      <c r="H723" s="319" t="str">
        <f>IFERROR(__xludf.DUMMYFUNCTION("""COMPUTED_VALUE"""),"Negative")</f>
        <v>Negative</v>
      </c>
      <c r="I723" s="308">
        <f>IFERROR(__xludf.DUMMYFUNCTION("""COMPUTED_VALUE"""),44936.0)</f>
        <v>44936</v>
      </c>
      <c r="J723" s="311">
        <f>IFERROR(__xludf.DUMMYFUNCTION("""COMPUTED_VALUE"""),0.3977893518518518)</f>
        <v>0.3977893519</v>
      </c>
      <c r="K723" s="54"/>
      <c r="L723" s="7"/>
      <c r="M723" s="312"/>
      <c r="N723" s="172">
        <f>IFERROR(__xludf.DUMMYFUNCTION("""COMPUTED_VALUE"""),1.0)</f>
        <v>1</v>
      </c>
      <c r="O723" s="172"/>
      <c r="P723" s="313">
        <f>IFERROR(__xludf.DUMMYFUNCTION("""COMPUTED_VALUE"""),0.0)</f>
        <v>0</v>
      </c>
      <c r="Q723" s="76" t="b">
        <f>VLOOKUP($B723,'Run Reconcile'!B$2:O1399,14,FALSE)</f>
        <v>1</v>
      </c>
      <c r="R723" s="314" t="str">
        <f t="array" ref="R723">IF($Q723, INDEX('Run Reconcile'!A$2:A1399,MATCH(B723,'Run Reconcile'!B$2:B1399,0),1),IFERROR(0/0,""))</f>
        <v>RUN-ABRM_2023-01-10_RFR-126</v>
      </c>
      <c r="S723" s="315" t="str">
        <f t="shared" ref="S723:T723" si="1451">IF(COUNTIF(W$2:W1399, $A723) &gt; 0,TRUE,IFERROR(0/0,""))</f>
        <v/>
      </c>
      <c r="T723" s="315" t="str">
        <f t="shared" si="1451"/>
        <v/>
      </c>
      <c r="U723" s="114" t="str">
        <f t="array" ref="U723">IF(ISBLANK($R723), INDEX('Run Reconcile'!A$2:A1399, MATCH($B723, 'Run Reconcile'!B$2:B1399, 0)+Z723, 1), IFERROR(0/0,""))
</f>
        <v/>
      </c>
      <c r="V723" s="316" t="str">
        <f t="shared" si="1281"/>
        <v>RUN-ABRM_2023-01-10_RFR-126</v>
      </c>
      <c r="Y723" s="317" t="str">
        <f t="shared" si="6"/>
        <v/>
      </c>
      <c r="Z723" s="83" t="str">
        <f t="shared" si="7"/>
        <v/>
      </c>
      <c r="AA723" s="83" t="str">
        <f t="shared" si="8"/>
        <v/>
      </c>
      <c r="AB723" s="83" t="str">
        <f t="shared" si="9"/>
        <v/>
      </c>
      <c r="AC723" s="18" t="str">
        <f t="shared" ref="AC723:AD723" si="1452">IF(_xlfn.ISFORMULA(S723),IFERROR(0/0,""),TRUE)</f>
        <v/>
      </c>
      <c r="AD723" s="18" t="str">
        <f t="shared" si="1452"/>
        <v/>
      </c>
      <c r="AE723" s="43"/>
      <c r="AF723" s="58" t="s">
        <v>115</v>
      </c>
      <c r="AG723" s="55" t="str">
        <f t="shared" si="11"/>
        <v/>
      </c>
    </row>
    <row r="724">
      <c r="A724" s="7" t="str">
        <f>IFERROR(__xludf.DUMMYFUNCTION("""COMPUTED_VALUE"""),"AK7513")</f>
        <v>AK7513</v>
      </c>
      <c r="B724" s="308">
        <f>IFERROR(__xludf.DUMMYFUNCTION("""COMPUTED_VALUE"""),44936.0)</f>
        <v>44936</v>
      </c>
      <c r="C724" s="309">
        <f>IFERROR(__xludf.DUMMYFUNCTION("""COMPUTED_VALUE"""),0.3386226851851852)</f>
        <v>0.3386226852</v>
      </c>
      <c r="D724" s="7" t="str">
        <f>IFERROR(__xludf.DUMMYFUNCTION("""COMPUTED_VALUE"""),"SpABRM655136")</f>
        <v>SpABRM655136</v>
      </c>
      <c r="E724" s="310"/>
      <c r="F724" s="310"/>
      <c r="G724" s="310" t="str">
        <f>IFERROR(__xludf.DUMMYFUNCTION("""COMPUTED_VALUE"""),"Negative")</f>
        <v>Negative</v>
      </c>
      <c r="H724" s="319" t="str">
        <f>IFERROR(__xludf.DUMMYFUNCTION("""COMPUTED_VALUE"""),"Negative")</f>
        <v>Negative</v>
      </c>
      <c r="I724" s="308">
        <f>IFERROR(__xludf.DUMMYFUNCTION("""COMPUTED_VALUE"""),44936.0)</f>
        <v>44936</v>
      </c>
      <c r="J724" s="311">
        <f>IFERROR(__xludf.DUMMYFUNCTION("""COMPUTED_VALUE"""),0.3977893518518518)</f>
        <v>0.3977893519</v>
      </c>
      <c r="K724" s="54"/>
      <c r="L724" s="7"/>
      <c r="M724" s="312"/>
      <c r="N724" s="172">
        <f>IFERROR(__xludf.DUMMYFUNCTION("""COMPUTED_VALUE"""),1.0)</f>
        <v>1</v>
      </c>
      <c r="O724" s="172"/>
      <c r="P724" s="313">
        <f>IFERROR(__xludf.DUMMYFUNCTION("""COMPUTED_VALUE"""),0.0)</f>
        <v>0</v>
      </c>
      <c r="Q724" s="76" t="b">
        <f>VLOOKUP($B724,'Run Reconcile'!B$2:O1399,14,FALSE)</f>
        <v>1</v>
      </c>
      <c r="R724" s="314" t="str">
        <f t="array" ref="R724">IF($Q724, INDEX('Run Reconcile'!A$2:A1399,MATCH(B724,'Run Reconcile'!B$2:B1399,0),1),IFERROR(0/0,""))</f>
        <v>RUN-ABRM_2023-01-10_RFR-126</v>
      </c>
      <c r="S724" s="315" t="str">
        <f t="shared" ref="S724:T724" si="1453">IF(COUNTIF(W$2:W1399, $A724) &gt; 0,TRUE,IFERROR(0/0,""))</f>
        <v/>
      </c>
      <c r="T724" s="315" t="str">
        <f t="shared" si="1453"/>
        <v/>
      </c>
      <c r="U724" s="114" t="str">
        <f t="array" ref="U724">IF(ISBLANK($R724), INDEX('Run Reconcile'!A$2:A1399, MATCH($B724, 'Run Reconcile'!B$2:B1399, 0)+Z724, 1), IFERROR(0/0,""))
</f>
        <v/>
      </c>
      <c r="V724" s="316" t="str">
        <f t="shared" si="1281"/>
        <v>RUN-ABRM_2023-01-10_RFR-126</v>
      </c>
      <c r="Y724" s="317" t="str">
        <f t="shared" si="6"/>
        <v/>
      </c>
      <c r="Z724" s="83" t="str">
        <f t="shared" si="7"/>
        <v/>
      </c>
      <c r="AA724" s="83" t="str">
        <f t="shared" si="8"/>
        <v/>
      </c>
      <c r="AB724" s="83" t="str">
        <f t="shared" si="9"/>
        <v/>
      </c>
      <c r="AC724" s="18" t="str">
        <f t="shared" ref="AC724:AD724" si="1454">IF(_xlfn.ISFORMULA(S724),IFERROR(0/0,""),TRUE)</f>
        <v/>
      </c>
      <c r="AD724" s="18" t="str">
        <f t="shared" si="1454"/>
        <v/>
      </c>
      <c r="AE724" s="43"/>
      <c r="AF724" s="58" t="s">
        <v>115</v>
      </c>
      <c r="AG724" s="55" t="str">
        <f t="shared" si="11"/>
        <v/>
      </c>
    </row>
    <row r="725">
      <c r="A725" s="7" t="str">
        <f>IFERROR(__xludf.DUMMYFUNCTION("""COMPUTED_VALUE"""),"AH8478")</f>
        <v>AH8478</v>
      </c>
      <c r="B725" s="308">
        <f>IFERROR(__xludf.DUMMYFUNCTION("""COMPUTED_VALUE"""),44936.0)</f>
        <v>44936</v>
      </c>
      <c r="C725" s="309">
        <f>IFERROR(__xludf.DUMMYFUNCTION("""COMPUTED_VALUE"""),0.3417939814814815)</f>
        <v>0.3417939815</v>
      </c>
      <c r="D725" s="7" t="str">
        <f>IFERROR(__xludf.DUMMYFUNCTION("""COMPUTED_VALUE"""),"SpABRM655136")</f>
        <v>SpABRM655136</v>
      </c>
      <c r="E725" s="310"/>
      <c r="F725" s="310"/>
      <c r="G725" s="310" t="str">
        <f>IFERROR(__xludf.DUMMYFUNCTION("""COMPUTED_VALUE"""),"Negative")</f>
        <v>Negative</v>
      </c>
      <c r="H725" s="319" t="str">
        <f>IFERROR(__xludf.DUMMYFUNCTION("""COMPUTED_VALUE"""),"Negative")</f>
        <v>Negative</v>
      </c>
      <c r="I725" s="308">
        <f>IFERROR(__xludf.DUMMYFUNCTION("""COMPUTED_VALUE"""),44936.0)</f>
        <v>44936</v>
      </c>
      <c r="J725" s="311">
        <f>IFERROR(__xludf.DUMMYFUNCTION("""COMPUTED_VALUE"""),0.3978009259259259)</f>
        <v>0.3978009259</v>
      </c>
      <c r="K725" s="54"/>
      <c r="L725" s="7"/>
      <c r="M725" s="312"/>
      <c r="N725" s="172">
        <f>IFERROR(__xludf.DUMMYFUNCTION("""COMPUTED_VALUE"""),3.0)</f>
        <v>3</v>
      </c>
      <c r="O725" s="172"/>
      <c r="P725" s="313">
        <f>IFERROR(__xludf.DUMMYFUNCTION("""COMPUTED_VALUE"""),0.0)</f>
        <v>0</v>
      </c>
      <c r="Q725" s="76" t="b">
        <f>VLOOKUP($B725,'Run Reconcile'!B$2:O1399,14,FALSE)</f>
        <v>1</v>
      </c>
      <c r="R725" s="314" t="str">
        <f t="array" ref="R725">IF($Q725, INDEX('Run Reconcile'!A$2:A1399,MATCH(B725,'Run Reconcile'!B$2:B1399,0),1),IFERROR(0/0,""))</f>
        <v>RUN-ABRM_2023-01-10_RFR-126</v>
      </c>
      <c r="S725" s="315" t="str">
        <f t="shared" ref="S725:T725" si="1455">IF(COUNTIF(W$2:W1399, $A725) &gt; 0,TRUE,IFERROR(0/0,""))</f>
        <v/>
      </c>
      <c r="T725" s="315" t="str">
        <f t="shared" si="1455"/>
        <v/>
      </c>
      <c r="U725" s="114" t="str">
        <f t="array" ref="U725">IF(ISBLANK($R725), INDEX('Run Reconcile'!A$2:A1399, MATCH($B725, 'Run Reconcile'!B$2:B1399, 0)+Z725, 1), IFERROR(0/0,""))
</f>
        <v/>
      </c>
      <c r="V725" s="316" t="str">
        <f t="shared" si="1281"/>
        <v>RUN-ABRM_2023-01-10_RFR-126</v>
      </c>
      <c r="Y725" s="317" t="str">
        <f t="shared" si="6"/>
        <v/>
      </c>
      <c r="Z725" s="83" t="str">
        <f t="shared" si="7"/>
        <v/>
      </c>
      <c r="AA725" s="83" t="str">
        <f t="shared" si="8"/>
        <v/>
      </c>
      <c r="AB725" s="83" t="str">
        <f t="shared" si="9"/>
        <v/>
      </c>
      <c r="AC725" s="18" t="str">
        <f t="shared" ref="AC725:AD725" si="1456">IF(_xlfn.ISFORMULA(S725),IFERROR(0/0,""),TRUE)</f>
        <v/>
      </c>
      <c r="AD725" s="18" t="str">
        <f t="shared" si="1456"/>
        <v/>
      </c>
      <c r="AE725" s="43"/>
      <c r="AF725" s="58" t="s">
        <v>115</v>
      </c>
      <c r="AG725" s="55" t="str">
        <f t="shared" si="11"/>
        <v/>
      </c>
    </row>
    <row r="726">
      <c r="A726" s="7" t="str">
        <f>IFERROR(__xludf.DUMMYFUNCTION("""COMPUTED_VALUE"""),"AG545")</f>
        <v>AG545</v>
      </c>
      <c r="B726" s="308">
        <f>IFERROR(__xludf.DUMMYFUNCTION("""COMPUTED_VALUE"""),44937.0)</f>
        <v>44937</v>
      </c>
      <c r="C726" s="309">
        <f>IFERROR(__xludf.DUMMYFUNCTION("""COMPUTED_VALUE"""),0.19913194444444443)</f>
        <v>0.1991319444</v>
      </c>
      <c r="D726" s="7" t="str">
        <f>IFERROR(__xludf.DUMMYFUNCTION("""COMPUTED_VALUE"""),"SpABRM454310")</f>
        <v>SpABRM454310</v>
      </c>
      <c r="E726" s="310"/>
      <c r="F726" s="310"/>
      <c r="G726" s="310" t="str">
        <f>IFERROR(__xludf.DUMMYFUNCTION("""COMPUTED_VALUE"""),"Negative")</f>
        <v>Negative</v>
      </c>
      <c r="H726" s="319" t="str">
        <f>IFERROR(__xludf.DUMMYFUNCTION("""COMPUTED_VALUE"""),"Negative")</f>
        <v>Negative</v>
      </c>
      <c r="I726" s="308">
        <f>IFERROR(__xludf.DUMMYFUNCTION("""COMPUTED_VALUE"""),44937.0)</f>
        <v>44937</v>
      </c>
      <c r="J726" s="311">
        <f>IFERROR(__xludf.DUMMYFUNCTION("""COMPUTED_VALUE"""),0.3803125)</f>
        <v>0.3803125</v>
      </c>
      <c r="K726" s="54"/>
      <c r="L726" s="7"/>
      <c r="M726" s="312"/>
      <c r="N726" s="172">
        <f>IFERROR(__xludf.DUMMYFUNCTION("""COMPUTED_VALUE"""),3.0)</f>
        <v>3</v>
      </c>
      <c r="O726" s="172"/>
      <c r="P726" s="313">
        <f>IFERROR(__xludf.DUMMYFUNCTION("""COMPUTED_VALUE"""),0.0)</f>
        <v>0</v>
      </c>
      <c r="Q726" s="76" t="b">
        <f>VLOOKUP($B726,'Run Reconcile'!B$2:O1399,14,FALSE)</f>
        <v>1</v>
      </c>
      <c r="R726" s="314" t="str">
        <f t="array" ref="R726">IF($Q726, INDEX('Run Reconcile'!A$2:A1399,MATCH(B726,'Run Reconcile'!B$2:B1399,0),1),IFERROR(0/0,""))</f>
        <v>RUN-ABRM_2023-01-11_RFR-128</v>
      </c>
      <c r="S726" s="315" t="str">
        <f t="shared" ref="S726:T726" si="1457">IF(COUNTIF(W$2:W1399, $A726) &gt; 0,TRUE,IFERROR(0/0,""))</f>
        <v/>
      </c>
      <c r="T726" s="315" t="str">
        <f t="shared" si="1457"/>
        <v/>
      </c>
      <c r="U726" s="114" t="str">
        <f t="array" ref="U726">IF(ISBLANK($R726), INDEX('Run Reconcile'!A$2:A1399, MATCH($B726, 'Run Reconcile'!B$2:B1399, 0)+Z726, 1), IFERROR(0/0,""))
</f>
        <v/>
      </c>
      <c r="V726" s="316" t="str">
        <f t="shared" si="1281"/>
        <v>RUN-ABRM_2023-01-11_RFR-128</v>
      </c>
      <c r="Y726" s="317" t="str">
        <f t="shared" si="6"/>
        <v/>
      </c>
      <c r="Z726" s="83" t="str">
        <f t="shared" si="7"/>
        <v/>
      </c>
      <c r="AA726" s="83" t="str">
        <f t="shared" si="8"/>
        <v/>
      </c>
      <c r="AB726" s="83" t="str">
        <f t="shared" si="9"/>
        <v/>
      </c>
      <c r="AC726" s="18" t="str">
        <f t="shared" ref="AC726:AD726" si="1458">IF(_xlfn.ISFORMULA(S726),IFERROR(0/0,""),TRUE)</f>
        <v/>
      </c>
      <c r="AD726" s="18" t="str">
        <f t="shared" si="1458"/>
        <v/>
      </c>
      <c r="AE726" s="43"/>
      <c r="AF726" s="58" t="s">
        <v>116</v>
      </c>
      <c r="AG726" s="55" t="str">
        <f t="shared" si="11"/>
        <v/>
      </c>
    </row>
    <row r="727">
      <c r="A727" s="7" t="str">
        <f>IFERROR(__xludf.DUMMYFUNCTION("""COMPUTED_VALUE"""),"AH361")</f>
        <v>AH361</v>
      </c>
      <c r="B727" s="308">
        <f>IFERROR(__xludf.DUMMYFUNCTION("""COMPUTED_VALUE"""),44937.0)</f>
        <v>44937</v>
      </c>
      <c r="C727" s="309">
        <f>IFERROR(__xludf.DUMMYFUNCTION("""COMPUTED_VALUE"""),0.2869675925925926)</f>
        <v>0.2869675926</v>
      </c>
      <c r="D727" s="7" t="str">
        <f>IFERROR(__xludf.DUMMYFUNCTION("""COMPUTED_VALUE"""),"SpABRM128250")</f>
        <v>SpABRM128250</v>
      </c>
      <c r="E727" s="310"/>
      <c r="F727" s="310"/>
      <c r="G727" s="310" t="str">
        <f>IFERROR(__xludf.DUMMYFUNCTION("""COMPUTED_VALUE"""),"Negative")</f>
        <v>Negative</v>
      </c>
      <c r="H727" s="319" t="str">
        <f>IFERROR(__xludf.DUMMYFUNCTION("""COMPUTED_VALUE"""),"Negative")</f>
        <v>Negative</v>
      </c>
      <c r="I727" s="308">
        <f>IFERROR(__xludf.DUMMYFUNCTION("""COMPUTED_VALUE"""),44937.0)</f>
        <v>44937</v>
      </c>
      <c r="J727" s="311">
        <f>IFERROR(__xludf.DUMMYFUNCTION("""COMPUTED_VALUE"""),0.3803125)</f>
        <v>0.3803125</v>
      </c>
      <c r="K727" s="54"/>
      <c r="L727" s="7"/>
      <c r="M727" s="312"/>
      <c r="N727" s="172">
        <f>IFERROR(__xludf.DUMMYFUNCTION("""COMPUTED_VALUE"""),3.0)</f>
        <v>3</v>
      </c>
      <c r="O727" s="172"/>
      <c r="P727" s="313">
        <f>IFERROR(__xludf.DUMMYFUNCTION("""COMPUTED_VALUE"""),0.0)</f>
        <v>0</v>
      </c>
      <c r="Q727" s="76" t="b">
        <f>VLOOKUP($B727,'Run Reconcile'!B$2:O1399,14,FALSE)</f>
        <v>1</v>
      </c>
      <c r="R727" s="314" t="str">
        <f t="array" ref="R727">IF($Q727, INDEX('Run Reconcile'!A$2:A1399,MATCH(B727,'Run Reconcile'!B$2:B1399,0),1),IFERROR(0/0,""))</f>
        <v>RUN-ABRM_2023-01-11_RFR-128</v>
      </c>
      <c r="S727" s="315" t="str">
        <f t="shared" ref="S727:T727" si="1459">IF(COUNTIF(W$2:W1399, $A727) &gt; 0,TRUE,IFERROR(0/0,""))</f>
        <v/>
      </c>
      <c r="T727" s="315" t="str">
        <f t="shared" si="1459"/>
        <v/>
      </c>
      <c r="U727" s="114" t="str">
        <f t="array" ref="U727">IF(ISBLANK($R727), INDEX('Run Reconcile'!A$2:A1399, MATCH($B727, 'Run Reconcile'!B$2:B1399, 0)+Z727, 1), IFERROR(0/0,""))
</f>
        <v/>
      </c>
      <c r="V727" s="316" t="str">
        <f t="shared" si="1281"/>
        <v>RUN-ABRM_2023-01-11_RFR-128</v>
      </c>
      <c r="Y727" s="317" t="str">
        <f t="shared" si="6"/>
        <v/>
      </c>
      <c r="Z727" s="83" t="str">
        <f t="shared" si="7"/>
        <v/>
      </c>
      <c r="AA727" s="83" t="str">
        <f t="shared" si="8"/>
        <v/>
      </c>
      <c r="AB727" s="83" t="str">
        <f t="shared" si="9"/>
        <v/>
      </c>
      <c r="AC727" s="18" t="str">
        <f t="shared" ref="AC727:AD727" si="1460">IF(_xlfn.ISFORMULA(S727),IFERROR(0/0,""),TRUE)</f>
        <v/>
      </c>
      <c r="AD727" s="18" t="str">
        <f t="shared" si="1460"/>
        <v/>
      </c>
      <c r="AE727" s="43"/>
      <c r="AF727" s="58" t="s">
        <v>116</v>
      </c>
      <c r="AG727" s="55" t="str">
        <f t="shared" si="11"/>
        <v/>
      </c>
    </row>
    <row r="728">
      <c r="A728" s="7" t="str">
        <f>IFERROR(__xludf.DUMMYFUNCTION("""COMPUTED_VALUE"""),"AJ8280")</f>
        <v>AJ8280</v>
      </c>
      <c r="B728" s="308">
        <f>IFERROR(__xludf.DUMMYFUNCTION("""COMPUTED_VALUE"""),44937.0)</f>
        <v>44937</v>
      </c>
      <c r="C728" s="309">
        <f>IFERROR(__xludf.DUMMYFUNCTION("""COMPUTED_VALUE"""),0.30416666666666664)</f>
        <v>0.3041666667</v>
      </c>
      <c r="D728" s="7" t="str">
        <f>IFERROR(__xludf.DUMMYFUNCTION("""COMPUTED_VALUE"""),"SpABRM297307")</f>
        <v>SpABRM297307</v>
      </c>
      <c r="E728" s="310"/>
      <c r="F728" s="310"/>
      <c r="G728" s="310" t="str">
        <f>IFERROR(__xludf.DUMMYFUNCTION("""COMPUTED_VALUE"""),"Negative")</f>
        <v>Negative</v>
      </c>
      <c r="H728" s="319" t="str">
        <f>IFERROR(__xludf.DUMMYFUNCTION("""COMPUTED_VALUE"""),"Negative")</f>
        <v>Negative</v>
      </c>
      <c r="I728" s="308">
        <f>IFERROR(__xludf.DUMMYFUNCTION("""COMPUTED_VALUE"""),44937.0)</f>
        <v>44937</v>
      </c>
      <c r="J728" s="311">
        <f>IFERROR(__xludf.DUMMYFUNCTION("""COMPUTED_VALUE"""),0.3803240740740741)</f>
        <v>0.3803240741</v>
      </c>
      <c r="K728" s="54"/>
      <c r="L728" s="7"/>
      <c r="M728" s="312"/>
      <c r="N728" s="172">
        <f>IFERROR(__xludf.DUMMYFUNCTION("""COMPUTED_VALUE"""),3.0)</f>
        <v>3</v>
      </c>
      <c r="O728" s="172"/>
      <c r="P728" s="313">
        <f>IFERROR(__xludf.DUMMYFUNCTION("""COMPUTED_VALUE"""),0.0)</f>
        <v>0</v>
      </c>
      <c r="Q728" s="76" t="b">
        <f>VLOOKUP($B728,'Run Reconcile'!B$2:O1399,14,FALSE)</f>
        <v>1</v>
      </c>
      <c r="R728" s="314" t="str">
        <f t="array" ref="R728">IF($Q728, INDEX('Run Reconcile'!A$2:A1399,MATCH(B728,'Run Reconcile'!B$2:B1399,0),1),IFERROR(0/0,""))</f>
        <v>RUN-ABRM_2023-01-11_RFR-128</v>
      </c>
      <c r="S728" s="315" t="str">
        <f t="shared" ref="S728:T728" si="1461">IF(COUNTIF(W$2:W1399, $A728) &gt; 0,TRUE,IFERROR(0/0,""))</f>
        <v/>
      </c>
      <c r="T728" s="315" t="str">
        <f t="shared" si="1461"/>
        <v/>
      </c>
      <c r="U728" s="114" t="str">
        <f t="array" ref="U728">IF(ISBLANK($R728), INDEX('Run Reconcile'!A$2:A1399, MATCH($B728, 'Run Reconcile'!B$2:B1399, 0)+Z728, 1), IFERROR(0/0,""))
</f>
        <v/>
      </c>
      <c r="V728" s="316" t="str">
        <f t="shared" si="1281"/>
        <v>RUN-ABRM_2023-01-11_RFR-128</v>
      </c>
      <c r="Y728" s="317" t="str">
        <f t="shared" si="6"/>
        <v/>
      </c>
      <c r="Z728" s="83" t="str">
        <f t="shared" si="7"/>
        <v/>
      </c>
      <c r="AA728" s="83" t="str">
        <f t="shared" si="8"/>
        <v/>
      </c>
      <c r="AB728" s="83" t="str">
        <f t="shared" si="9"/>
        <v/>
      </c>
      <c r="AC728" s="18" t="str">
        <f t="shared" ref="AC728:AD728" si="1462">IF(_xlfn.ISFORMULA(S728),IFERROR(0/0,""),TRUE)</f>
        <v/>
      </c>
      <c r="AD728" s="18" t="str">
        <f t="shared" si="1462"/>
        <v/>
      </c>
      <c r="AE728" s="43"/>
      <c r="AF728" s="58" t="s">
        <v>116</v>
      </c>
      <c r="AG728" s="55" t="str">
        <f t="shared" si="11"/>
        <v/>
      </c>
    </row>
    <row r="729">
      <c r="A729" s="7" t="str">
        <f>IFERROR(__xludf.DUMMYFUNCTION("""COMPUTED_VALUE"""),"AH7436")</f>
        <v>AH7436</v>
      </c>
      <c r="B729" s="308">
        <f>IFERROR(__xludf.DUMMYFUNCTION("""COMPUTED_VALUE"""),44937.0)</f>
        <v>44937</v>
      </c>
      <c r="C729" s="309">
        <f>IFERROR(__xludf.DUMMYFUNCTION("""COMPUTED_VALUE"""),0.3048958333333333)</f>
        <v>0.3048958333</v>
      </c>
      <c r="D729" s="7" t="str">
        <f>IFERROR(__xludf.DUMMYFUNCTION("""COMPUTED_VALUE"""),"SpABRM367540")</f>
        <v>SpABRM367540</v>
      </c>
      <c r="E729" s="310"/>
      <c r="F729" s="310"/>
      <c r="G729" s="310" t="str">
        <f>IFERROR(__xludf.DUMMYFUNCTION("""COMPUTED_VALUE"""),"Negative")</f>
        <v>Negative</v>
      </c>
      <c r="H729" s="319" t="str">
        <f>IFERROR(__xludf.DUMMYFUNCTION("""COMPUTED_VALUE"""),"Negative")</f>
        <v>Negative</v>
      </c>
      <c r="I729" s="308">
        <f>IFERROR(__xludf.DUMMYFUNCTION("""COMPUTED_VALUE"""),44937.0)</f>
        <v>44937</v>
      </c>
      <c r="J729" s="311">
        <f>IFERROR(__xludf.DUMMYFUNCTION("""COMPUTED_VALUE"""),0.3803240740740741)</f>
        <v>0.3803240741</v>
      </c>
      <c r="K729" s="54"/>
      <c r="L729" s="7"/>
      <c r="M729" s="312"/>
      <c r="N729" s="172">
        <f>IFERROR(__xludf.DUMMYFUNCTION("""COMPUTED_VALUE"""),3.0)</f>
        <v>3</v>
      </c>
      <c r="O729" s="172"/>
      <c r="P729" s="313">
        <f>IFERROR(__xludf.DUMMYFUNCTION("""COMPUTED_VALUE"""),0.0)</f>
        <v>0</v>
      </c>
      <c r="Q729" s="76" t="b">
        <f>VLOOKUP($B729,'Run Reconcile'!B$2:O1399,14,FALSE)</f>
        <v>1</v>
      </c>
      <c r="R729" s="314" t="str">
        <f t="array" ref="R729">IF($Q729, INDEX('Run Reconcile'!A$2:A1399,MATCH(B729,'Run Reconcile'!B$2:B1399,0),1),IFERROR(0/0,""))</f>
        <v>RUN-ABRM_2023-01-11_RFR-128</v>
      </c>
      <c r="S729" s="315" t="str">
        <f t="shared" ref="S729:T729" si="1463">IF(COUNTIF(W$2:W1399, $A729) &gt; 0,TRUE,IFERROR(0/0,""))</f>
        <v/>
      </c>
      <c r="T729" s="315" t="str">
        <f t="shared" si="1463"/>
        <v/>
      </c>
      <c r="U729" s="114" t="str">
        <f t="array" ref="U729">IF(ISBLANK($R729), INDEX('Run Reconcile'!A$2:A1399, MATCH($B729, 'Run Reconcile'!B$2:B1399, 0)+Z729, 1), IFERROR(0/0,""))
</f>
        <v/>
      </c>
      <c r="V729" s="316" t="str">
        <f t="shared" si="1281"/>
        <v>RUN-ABRM_2023-01-11_RFR-128</v>
      </c>
      <c r="Y729" s="317" t="str">
        <f t="shared" si="6"/>
        <v/>
      </c>
      <c r="Z729" s="83" t="str">
        <f t="shared" si="7"/>
        <v/>
      </c>
      <c r="AA729" s="83" t="str">
        <f t="shared" si="8"/>
        <v/>
      </c>
      <c r="AB729" s="83" t="str">
        <f t="shared" si="9"/>
        <v/>
      </c>
      <c r="AC729" s="18" t="str">
        <f t="shared" ref="AC729:AD729" si="1464">IF(_xlfn.ISFORMULA(S729),IFERROR(0/0,""),TRUE)</f>
        <v/>
      </c>
      <c r="AD729" s="18" t="str">
        <f t="shared" si="1464"/>
        <v/>
      </c>
      <c r="AE729" s="43"/>
      <c r="AF729" s="58" t="s">
        <v>116</v>
      </c>
      <c r="AG729" s="55" t="str">
        <f t="shared" si="11"/>
        <v/>
      </c>
    </row>
    <row r="730">
      <c r="A730" s="7" t="str">
        <f>IFERROR(__xludf.DUMMYFUNCTION("""COMPUTED_VALUE"""),"AJ9742")</f>
        <v>AJ9742</v>
      </c>
      <c r="B730" s="308">
        <f>IFERROR(__xludf.DUMMYFUNCTION("""COMPUTED_VALUE"""),44937.0)</f>
        <v>44937</v>
      </c>
      <c r="C730" s="309">
        <f>IFERROR(__xludf.DUMMYFUNCTION("""COMPUTED_VALUE"""),0.31462962962962965)</f>
        <v>0.3146296296</v>
      </c>
      <c r="D730" s="7" t="str">
        <f>IFERROR(__xludf.DUMMYFUNCTION("""COMPUTED_VALUE"""),"SpABRM814022")</f>
        <v>SpABRM814022</v>
      </c>
      <c r="E730" s="310"/>
      <c r="F730" s="310"/>
      <c r="G730" s="310" t="str">
        <f>IFERROR(__xludf.DUMMYFUNCTION("""COMPUTED_VALUE"""),"Negative")</f>
        <v>Negative</v>
      </c>
      <c r="H730" s="319" t="str">
        <f>IFERROR(__xludf.DUMMYFUNCTION("""COMPUTED_VALUE"""),"Negative")</f>
        <v>Negative</v>
      </c>
      <c r="I730" s="308">
        <f>IFERROR(__xludf.DUMMYFUNCTION("""COMPUTED_VALUE"""),44937.0)</f>
        <v>44937</v>
      </c>
      <c r="J730" s="311">
        <f>IFERROR(__xludf.DUMMYFUNCTION("""COMPUTED_VALUE"""),0.38033564814814813)</f>
        <v>0.3803356481</v>
      </c>
      <c r="K730" s="54"/>
      <c r="L730" s="7"/>
      <c r="M730" s="312"/>
      <c r="N730" s="172">
        <f>IFERROR(__xludf.DUMMYFUNCTION("""COMPUTED_VALUE"""),1.0)</f>
        <v>1</v>
      </c>
      <c r="O730" s="172"/>
      <c r="P730" s="313">
        <f>IFERROR(__xludf.DUMMYFUNCTION("""COMPUTED_VALUE"""),0.0)</f>
        <v>0</v>
      </c>
      <c r="Q730" s="76" t="b">
        <f>VLOOKUP($B730,'Run Reconcile'!B$2:O1399,14,FALSE)</f>
        <v>1</v>
      </c>
      <c r="R730" s="314" t="str">
        <f t="array" ref="R730">IF($Q730, INDEX('Run Reconcile'!A$2:A1399,MATCH(B730,'Run Reconcile'!B$2:B1399,0),1),IFERROR(0/0,""))</f>
        <v>RUN-ABRM_2023-01-11_RFR-128</v>
      </c>
      <c r="S730" s="315" t="str">
        <f t="shared" ref="S730:T730" si="1465">IF(COUNTIF(W$2:W1399, $A730) &gt; 0,TRUE,IFERROR(0/0,""))</f>
        <v/>
      </c>
      <c r="T730" s="315" t="str">
        <f t="shared" si="1465"/>
        <v/>
      </c>
      <c r="U730" s="114" t="str">
        <f t="array" ref="U730">IF(ISBLANK($R730), INDEX('Run Reconcile'!A$2:A1399, MATCH($B730, 'Run Reconcile'!B$2:B1399, 0)+Z730, 1), IFERROR(0/0,""))
</f>
        <v/>
      </c>
      <c r="V730" s="316" t="str">
        <f t="shared" si="1281"/>
        <v>RUN-ABRM_2023-01-11_RFR-128</v>
      </c>
      <c r="Y730" s="317" t="str">
        <f t="shared" si="6"/>
        <v/>
      </c>
      <c r="Z730" s="83" t="str">
        <f t="shared" si="7"/>
        <v/>
      </c>
      <c r="AA730" s="83" t="str">
        <f t="shared" si="8"/>
        <v/>
      </c>
      <c r="AB730" s="83" t="str">
        <f t="shared" si="9"/>
        <v/>
      </c>
      <c r="AC730" s="18" t="str">
        <f t="shared" ref="AC730:AD730" si="1466">IF(_xlfn.ISFORMULA(S730),IFERROR(0/0,""),TRUE)</f>
        <v/>
      </c>
      <c r="AD730" s="18" t="str">
        <f t="shared" si="1466"/>
        <v/>
      </c>
      <c r="AE730" s="43"/>
      <c r="AF730" s="58" t="s">
        <v>116</v>
      </c>
      <c r="AG730" s="55" t="str">
        <f t="shared" si="11"/>
        <v/>
      </c>
    </row>
    <row r="731">
      <c r="A731" s="7" t="str">
        <f>IFERROR(__xludf.DUMMYFUNCTION("""COMPUTED_VALUE"""),"AH8228")</f>
        <v>AH8228</v>
      </c>
      <c r="B731" s="308">
        <f>IFERROR(__xludf.DUMMYFUNCTION("""COMPUTED_VALUE"""),44937.0)</f>
        <v>44937</v>
      </c>
      <c r="C731" s="309">
        <f>IFERROR(__xludf.DUMMYFUNCTION("""COMPUTED_VALUE"""),0.32318287037037036)</f>
        <v>0.3231828704</v>
      </c>
      <c r="D731" s="7" t="str">
        <f>IFERROR(__xludf.DUMMYFUNCTION("""COMPUTED_VALUE"""),"SpABRM655136")</f>
        <v>SpABRM655136</v>
      </c>
      <c r="E731" s="310"/>
      <c r="F731" s="310"/>
      <c r="G731" s="310" t="str">
        <f>IFERROR(__xludf.DUMMYFUNCTION("""COMPUTED_VALUE"""),"Negative")</f>
        <v>Negative</v>
      </c>
      <c r="H731" s="319" t="str">
        <f>IFERROR(__xludf.DUMMYFUNCTION("""COMPUTED_VALUE"""),"Negative")</f>
        <v>Negative</v>
      </c>
      <c r="I731" s="308">
        <f>IFERROR(__xludf.DUMMYFUNCTION("""COMPUTED_VALUE"""),44937.0)</f>
        <v>44937</v>
      </c>
      <c r="J731" s="311">
        <f>IFERROR(__xludf.DUMMYFUNCTION("""COMPUTED_VALUE"""),0.38033564814814813)</f>
        <v>0.3803356481</v>
      </c>
      <c r="K731" s="54"/>
      <c r="L731" s="7"/>
      <c r="M731" s="312"/>
      <c r="N731" s="172">
        <f>IFERROR(__xludf.DUMMYFUNCTION("""COMPUTED_VALUE"""),2.0)</f>
        <v>2</v>
      </c>
      <c r="O731" s="172"/>
      <c r="P731" s="313">
        <f>IFERROR(__xludf.DUMMYFUNCTION("""COMPUTED_VALUE"""),0.0)</f>
        <v>0</v>
      </c>
      <c r="Q731" s="76" t="b">
        <f>VLOOKUP($B731,'Run Reconcile'!B$2:O1399,14,FALSE)</f>
        <v>1</v>
      </c>
      <c r="R731" s="314" t="str">
        <f t="array" ref="R731">IF($Q731, INDEX('Run Reconcile'!A$2:A1399,MATCH(B731,'Run Reconcile'!B$2:B1399,0),1),IFERROR(0/0,""))</f>
        <v>RUN-ABRM_2023-01-11_RFR-128</v>
      </c>
      <c r="S731" s="315" t="str">
        <f t="shared" ref="S731:T731" si="1467">IF(COUNTIF(W$2:W1399, $A731) &gt; 0,TRUE,IFERROR(0/0,""))</f>
        <v/>
      </c>
      <c r="T731" s="315" t="str">
        <f t="shared" si="1467"/>
        <v/>
      </c>
      <c r="U731" s="114" t="str">
        <f t="array" ref="U731">IF(ISBLANK($R731), INDEX('Run Reconcile'!A$2:A1399, MATCH($B731, 'Run Reconcile'!B$2:B1399, 0)+Z731, 1), IFERROR(0/0,""))
</f>
        <v/>
      </c>
      <c r="V731" s="316" t="str">
        <f t="shared" si="1281"/>
        <v>RUN-ABRM_2023-01-11_RFR-128</v>
      </c>
      <c r="Y731" s="317" t="str">
        <f t="shared" si="6"/>
        <v/>
      </c>
      <c r="Z731" s="83" t="str">
        <f t="shared" si="7"/>
        <v/>
      </c>
      <c r="AA731" s="83" t="str">
        <f t="shared" si="8"/>
        <v/>
      </c>
      <c r="AB731" s="83" t="str">
        <f t="shared" si="9"/>
        <v/>
      </c>
      <c r="AC731" s="18" t="str">
        <f t="shared" ref="AC731:AD731" si="1468">IF(_xlfn.ISFORMULA(S731),IFERROR(0/0,""),TRUE)</f>
        <v/>
      </c>
      <c r="AD731" s="18" t="str">
        <f t="shared" si="1468"/>
        <v/>
      </c>
      <c r="AE731" s="43"/>
      <c r="AF731" s="58" t="s">
        <v>116</v>
      </c>
      <c r="AG731" s="55" t="str">
        <f t="shared" si="11"/>
        <v/>
      </c>
    </row>
    <row r="732">
      <c r="A732" s="7" t="str">
        <f>IFERROR(__xludf.DUMMYFUNCTION("""COMPUTED_VALUE"""),"AH228")</f>
        <v>AH228</v>
      </c>
      <c r="B732" s="308">
        <f>IFERROR(__xludf.DUMMYFUNCTION("""COMPUTED_VALUE"""),44937.0)</f>
        <v>44937</v>
      </c>
      <c r="C732" s="309">
        <f>IFERROR(__xludf.DUMMYFUNCTION("""COMPUTED_VALUE"""),0.32377314814814817)</f>
        <v>0.3237731481</v>
      </c>
      <c r="D732" s="7" t="str">
        <f>IFERROR(__xludf.DUMMYFUNCTION("""COMPUTED_VALUE"""),"SpABRM655136")</f>
        <v>SpABRM655136</v>
      </c>
      <c r="E732" s="310"/>
      <c r="F732" s="310"/>
      <c r="G732" s="310" t="str">
        <f>IFERROR(__xludf.DUMMYFUNCTION("""COMPUTED_VALUE"""),"Negative")</f>
        <v>Negative</v>
      </c>
      <c r="H732" s="319" t="str">
        <f>IFERROR(__xludf.DUMMYFUNCTION("""COMPUTED_VALUE"""),"Negative")</f>
        <v>Negative</v>
      </c>
      <c r="I732" s="308">
        <f>IFERROR(__xludf.DUMMYFUNCTION("""COMPUTED_VALUE"""),44937.0)</f>
        <v>44937</v>
      </c>
      <c r="J732" s="311">
        <f>IFERROR(__xludf.DUMMYFUNCTION("""COMPUTED_VALUE"""),0.3803472222222222)</f>
        <v>0.3803472222</v>
      </c>
      <c r="K732" s="54"/>
      <c r="L732" s="7"/>
      <c r="M732" s="312"/>
      <c r="N732" s="172">
        <f>IFERROR(__xludf.DUMMYFUNCTION("""COMPUTED_VALUE"""),1.0)</f>
        <v>1</v>
      </c>
      <c r="O732" s="172"/>
      <c r="P732" s="313">
        <f>IFERROR(__xludf.DUMMYFUNCTION("""COMPUTED_VALUE"""),0.0)</f>
        <v>0</v>
      </c>
      <c r="Q732" s="76" t="b">
        <f>VLOOKUP($B732,'Run Reconcile'!B$2:O1399,14,FALSE)</f>
        <v>1</v>
      </c>
      <c r="R732" s="314" t="str">
        <f t="array" ref="R732">IF($Q732, INDEX('Run Reconcile'!A$2:A1399,MATCH(B732,'Run Reconcile'!B$2:B1399,0),1),IFERROR(0/0,""))</f>
        <v>RUN-ABRM_2023-01-11_RFR-128</v>
      </c>
      <c r="S732" s="315" t="str">
        <f t="shared" ref="S732:T732" si="1469">IF(COUNTIF(W$2:W1399, $A732) &gt; 0,TRUE,IFERROR(0/0,""))</f>
        <v/>
      </c>
      <c r="T732" s="315" t="str">
        <f t="shared" si="1469"/>
        <v/>
      </c>
      <c r="U732" s="114" t="str">
        <f t="array" ref="U732">IF(ISBLANK($R732), INDEX('Run Reconcile'!A$2:A1399, MATCH($B732, 'Run Reconcile'!B$2:B1399, 0)+Z732, 1), IFERROR(0/0,""))
</f>
        <v/>
      </c>
      <c r="V732" s="316" t="str">
        <f t="shared" si="1281"/>
        <v>RUN-ABRM_2023-01-11_RFR-128</v>
      </c>
      <c r="Y732" s="317" t="str">
        <f t="shared" si="6"/>
        <v/>
      </c>
      <c r="Z732" s="83" t="str">
        <f t="shared" si="7"/>
        <v/>
      </c>
      <c r="AA732" s="83" t="str">
        <f t="shared" si="8"/>
        <v/>
      </c>
      <c r="AB732" s="83" t="str">
        <f t="shared" si="9"/>
        <v/>
      </c>
      <c r="AC732" s="18" t="str">
        <f t="shared" ref="AC732:AD732" si="1470">IF(_xlfn.ISFORMULA(S732),IFERROR(0/0,""),TRUE)</f>
        <v/>
      </c>
      <c r="AD732" s="18" t="str">
        <f t="shared" si="1470"/>
        <v/>
      </c>
      <c r="AE732" s="43"/>
      <c r="AF732" s="58" t="s">
        <v>116</v>
      </c>
      <c r="AG732" s="55" t="str">
        <f t="shared" si="11"/>
        <v/>
      </c>
    </row>
    <row r="733">
      <c r="A733" s="7" t="str">
        <f>IFERROR(__xludf.DUMMYFUNCTION("""COMPUTED_VALUE"""),"AJ9571")</f>
        <v>AJ9571</v>
      </c>
      <c r="B733" s="308">
        <f>IFERROR(__xludf.DUMMYFUNCTION("""COMPUTED_VALUE"""),44937.0)</f>
        <v>44937</v>
      </c>
      <c r="C733" s="309">
        <f>IFERROR(__xludf.DUMMYFUNCTION("""COMPUTED_VALUE"""),0.3273611111111111)</f>
        <v>0.3273611111</v>
      </c>
      <c r="D733" s="7" t="str">
        <f>IFERROR(__xludf.DUMMYFUNCTION("""COMPUTED_VALUE"""),"SpABRM655136")</f>
        <v>SpABRM655136</v>
      </c>
      <c r="E733" s="310"/>
      <c r="F733" s="310"/>
      <c r="G733" s="310" t="str">
        <f>IFERROR(__xludf.DUMMYFUNCTION("""COMPUTED_VALUE"""),"Negative")</f>
        <v>Negative</v>
      </c>
      <c r="H733" s="319" t="str">
        <f>IFERROR(__xludf.DUMMYFUNCTION("""COMPUTED_VALUE"""),"Negative")</f>
        <v>Negative</v>
      </c>
      <c r="I733" s="308">
        <f>IFERROR(__xludf.DUMMYFUNCTION("""COMPUTED_VALUE"""),44937.0)</f>
        <v>44937</v>
      </c>
      <c r="J733" s="311">
        <f>IFERROR(__xludf.DUMMYFUNCTION("""COMPUTED_VALUE"""),0.3803472222222222)</f>
        <v>0.3803472222</v>
      </c>
      <c r="K733" s="54"/>
      <c r="L733" s="7"/>
      <c r="M733" s="312"/>
      <c r="N733" s="172">
        <f>IFERROR(__xludf.DUMMYFUNCTION("""COMPUTED_VALUE"""),1.0)</f>
        <v>1</v>
      </c>
      <c r="O733" s="172"/>
      <c r="P733" s="313">
        <f>IFERROR(__xludf.DUMMYFUNCTION("""COMPUTED_VALUE"""),0.0)</f>
        <v>0</v>
      </c>
      <c r="Q733" s="76" t="b">
        <f>VLOOKUP($B733,'Run Reconcile'!B$2:O1399,14,FALSE)</f>
        <v>1</v>
      </c>
      <c r="R733" s="314" t="str">
        <f t="array" ref="R733">IF($Q733, INDEX('Run Reconcile'!A$2:A1399,MATCH(B733,'Run Reconcile'!B$2:B1399,0),1),IFERROR(0/0,""))</f>
        <v>RUN-ABRM_2023-01-11_RFR-128</v>
      </c>
      <c r="S733" s="315" t="str">
        <f t="shared" ref="S733:T733" si="1471">IF(COUNTIF(W$2:W1399, $A733) &gt; 0,TRUE,IFERROR(0/0,""))</f>
        <v/>
      </c>
      <c r="T733" s="315" t="str">
        <f t="shared" si="1471"/>
        <v/>
      </c>
      <c r="U733" s="114" t="str">
        <f t="array" ref="U733">IF(ISBLANK($R733), INDEX('Run Reconcile'!A$2:A1399, MATCH($B733, 'Run Reconcile'!B$2:B1399, 0)+Z733, 1), IFERROR(0/0,""))
</f>
        <v/>
      </c>
      <c r="V733" s="316" t="str">
        <f t="shared" si="1281"/>
        <v>RUN-ABRM_2023-01-11_RFR-128</v>
      </c>
      <c r="Y733" s="317" t="str">
        <f t="shared" si="6"/>
        <v/>
      </c>
      <c r="Z733" s="83" t="str">
        <f t="shared" si="7"/>
        <v/>
      </c>
      <c r="AA733" s="83" t="str">
        <f t="shared" si="8"/>
        <v/>
      </c>
      <c r="AB733" s="83" t="str">
        <f t="shared" si="9"/>
        <v/>
      </c>
      <c r="AC733" s="18" t="str">
        <f t="shared" ref="AC733:AD733" si="1472">IF(_xlfn.ISFORMULA(S733),IFERROR(0/0,""),TRUE)</f>
        <v/>
      </c>
      <c r="AD733" s="18" t="str">
        <f t="shared" si="1472"/>
        <v/>
      </c>
      <c r="AE733" s="43"/>
      <c r="AF733" s="58" t="s">
        <v>116</v>
      </c>
      <c r="AG733" s="55" t="str">
        <f t="shared" si="11"/>
        <v/>
      </c>
    </row>
    <row r="734">
      <c r="A734" s="7" t="str">
        <f>IFERROR(__xludf.DUMMYFUNCTION("""COMPUTED_VALUE"""),"AG1417")</f>
        <v>AG1417</v>
      </c>
      <c r="B734" s="308">
        <f>IFERROR(__xludf.DUMMYFUNCTION("""COMPUTED_VALUE"""),44938.0)</f>
        <v>44938</v>
      </c>
      <c r="C734" s="309">
        <f>IFERROR(__xludf.DUMMYFUNCTION("""COMPUTED_VALUE"""),0.25288194444444445)</f>
        <v>0.2528819444</v>
      </c>
      <c r="D734" s="7" t="str">
        <f>IFERROR(__xludf.DUMMYFUNCTION("""COMPUTED_VALUE"""),"SpABRM297307")</f>
        <v>SpABRM297307</v>
      </c>
      <c r="E734" s="310"/>
      <c r="F734" s="310"/>
      <c r="G734" s="310" t="str">
        <f>IFERROR(__xludf.DUMMYFUNCTION("""COMPUTED_VALUE"""),"Inconclusive")</f>
        <v>Inconclusive</v>
      </c>
      <c r="H734" s="319" t="str">
        <f>IFERROR(__xludf.DUMMYFUNCTION("""COMPUTED_VALUE"""),"Inconclusive")</f>
        <v>Inconclusive</v>
      </c>
      <c r="I734" s="308">
        <f>IFERROR(__xludf.DUMMYFUNCTION("""COMPUTED_VALUE"""),44938.0)</f>
        <v>44938</v>
      </c>
      <c r="J734" s="311">
        <f>IFERROR(__xludf.DUMMYFUNCTION("""COMPUTED_VALUE"""),0.5979282407407407)</f>
        <v>0.5979282407</v>
      </c>
      <c r="K734" s="54"/>
      <c r="L734" s="7"/>
      <c r="M734" s="312"/>
      <c r="N734" s="172">
        <f>IFERROR(__xludf.DUMMYFUNCTION("""COMPUTED_VALUE"""),3.0)</f>
        <v>3</v>
      </c>
      <c r="O734" s="172"/>
      <c r="P734" s="313">
        <f>IFERROR(__xludf.DUMMYFUNCTION("""COMPUTED_VALUE"""),0.0)</f>
        <v>0</v>
      </c>
      <c r="Q734" s="76" t="b">
        <f>VLOOKUP($B734,'Run Reconcile'!B$2:O1399,14,FALSE)</f>
        <v>1</v>
      </c>
      <c r="R734" s="314" t="str">
        <f t="array" ref="R734">IF($Q734, INDEX('Run Reconcile'!A$2:A1399,MATCH(B734,'Run Reconcile'!B$2:B1399,0),1),IFERROR(0/0,""))</f>
        <v>RUN-ABRM_2023-01-12_RFR-129</v>
      </c>
      <c r="S734" s="315" t="str">
        <f t="shared" ref="S734:T734" si="1473">IF(COUNTIF(W$2:W1399, $A734) &gt; 0,TRUE,IFERROR(0/0,""))</f>
        <v/>
      </c>
      <c r="T734" s="315" t="str">
        <f t="shared" si="1473"/>
        <v/>
      </c>
      <c r="U734" s="114" t="str">
        <f t="array" ref="U734">IF(ISBLANK($R734), INDEX('Run Reconcile'!A$2:A1399, MATCH($B734, 'Run Reconcile'!B$2:B1399, 0)+Z734, 1), IFERROR(0/0,""))
</f>
        <v/>
      </c>
      <c r="V734" s="316" t="str">
        <f t="shared" si="1281"/>
        <v>RUN-ABRM_2023-01-12_RFR-129</v>
      </c>
      <c r="Y734" s="317" t="str">
        <f t="shared" si="6"/>
        <v/>
      </c>
      <c r="Z734" s="83" t="str">
        <f t="shared" si="7"/>
        <v/>
      </c>
      <c r="AA734" s="83" t="str">
        <f t="shared" si="8"/>
        <v/>
      </c>
      <c r="AB734" s="83" t="str">
        <f t="shared" si="9"/>
        <v/>
      </c>
      <c r="AC734" s="18" t="str">
        <f t="shared" ref="AC734:AD734" si="1474">IF(_xlfn.ISFORMULA(S734),IFERROR(0/0,""),TRUE)</f>
        <v/>
      </c>
      <c r="AD734" s="18" t="str">
        <f t="shared" si="1474"/>
        <v/>
      </c>
      <c r="AE734" s="43"/>
      <c r="AF734" s="58" t="s">
        <v>117</v>
      </c>
      <c r="AG734" s="55" t="str">
        <f t="shared" si="11"/>
        <v/>
      </c>
    </row>
    <row r="735">
      <c r="A735" s="7" t="str">
        <f>IFERROR(__xludf.DUMMYFUNCTION("""COMPUTED_VALUE"""),"AH7373")</f>
        <v>AH7373</v>
      </c>
      <c r="B735" s="308">
        <f>IFERROR(__xludf.DUMMYFUNCTION("""COMPUTED_VALUE"""),44938.0)</f>
        <v>44938</v>
      </c>
      <c r="C735" s="309">
        <f>IFERROR(__xludf.DUMMYFUNCTION("""COMPUTED_VALUE"""),0.28850694444444447)</f>
        <v>0.2885069444</v>
      </c>
      <c r="D735" s="7" t="str">
        <f>IFERROR(__xludf.DUMMYFUNCTION("""COMPUTED_VALUE"""),"SpABRM655136")</f>
        <v>SpABRM655136</v>
      </c>
      <c r="E735" s="310"/>
      <c r="F735" s="310"/>
      <c r="G735" s="310" t="str">
        <f>IFERROR(__xludf.DUMMYFUNCTION("""COMPUTED_VALUE"""),"Negative")</f>
        <v>Negative</v>
      </c>
      <c r="H735" s="319" t="str">
        <f>IFERROR(__xludf.DUMMYFUNCTION("""COMPUTED_VALUE"""),"Negative")</f>
        <v>Negative</v>
      </c>
      <c r="I735" s="308">
        <f>IFERROR(__xludf.DUMMYFUNCTION("""COMPUTED_VALUE"""),44938.0)</f>
        <v>44938</v>
      </c>
      <c r="J735" s="311">
        <f>IFERROR(__xludf.DUMMYFUNCTION("""COMPUTED_VALUE"""),0.5979282407407407)</f>
        <v>0.5979282407</v>
      </c>
      <c r="K735" s="54"/>
      <c r="L735" s="7"/>
      <c r="M735" s="312"/>
      <c r="N735" s="172">
        <f>IFERROR(__xludf.DUMMYFUNCTION("""COMPUTED_VALUE"""),2.0)</f>
        <v>2</v>
      </c>
      <c r="O735" s="172"/>
      <c r="P735" s="313">
        <f>IFERROR(__xludf.DUMMYFUNCTION("""COMPUTED_VALUE"""),0.0)</f>
        <v>0</v>
      </c>
      <c r="Q735" s="76" t="b">
        <f>VLOOKUP($B735,'Run Reconcile'!B$2:O1399,14,FALSE)</f>
        <v>1</v>
      </c>
      <c r="R735" s="314" t="str">
        <f t="array" ref="R735">IF($Q735, INDEX('Run Reconcile'!A$2:A1399,MATCH(B735,'Run Reconcile'!B$2:B1399,0),1),IFERROR(0/0,""))</f>
        <v>RUN-ABRM_2023-01-12_RFR-129</v>
      </c>
      <c r="S735" s="315" t="str">
        <f t="shared" ref="S735:T735" si="1475">IF(COUNTIF(W$2:W1399, $A735) &gt; 0,TRUE,IFERROR(0/0,""))</f>
        <v/>
      </c>
      <c r="T735" s="315" t="str">
        <f t="shared" si="1475"/>
        <v/>
      </c>
      <c r="U735" s="114" t="str">
        <f t="array" ref="U735">IF(ISBLANK($R735), INDEX('Run Reconcile'!A$2:A1399, MATCH($B735, 'Run Reconcile'!B$2:B1399, 0)+Z735, 1), IFERROR(0/0,""))
</f>
        <v/>
      </c>
      <c r="V735" s="316" t="str">
        <f t="shared" si="1281"/>
        <v>RUN-ABRM_2023-01-12_RFR-129</v>
      </c>
      <c r="Y735" s="317" t="str">
        <f t="shared" si="6"/>
        <v/>
      </c>
      <c r="Z735" s="83" t="str">
        <f t="shared" si="7"/>
        <v/>
      </c>
      <c r="AA735" s="83" t="str">
        <f t="shared" si="8"/>
        <v/>
      </c>
      <c r="AB735" s="83" t="str">
        <f t="shared" si="9"/>
        <v/>
      </c>
      <c r="AC735" s="18" t="str">
        <f t="shared" ref="AC735:AD735" si="1476">IF(_xlfn.ISFORMULA(S735),IFERROR(0/0,""),TRUE)</f>
        <v/>
      </c>
      <c r="AD735" s="18" t="str">
        <f t="shared" si="1476"/>
        <v/>
      </c>
      <c r="AE735" s="43"/>
      <c r="AF735" s="58" t="s">
        <v>117</v>
      </c>
      <c r="AG735" s="55" t="str">
        <f t="shared" si="11"/>
        <v/>
      </c>
    </row>
    <row r="736">
      <c r="A736" s="7" t="str">
        <f>IFERROR(__xludf.DUMMYFUNCTION("""COMPUTED_VALUE"""),"AK6580")</f>
        <v>AK6580</v>
      </c>
      <c r="B736" s="308">
        <f>IFERROR(__xludf.DUMMYFUNCTION("""COMPUTED_VALUE"""),44938.0)</f>
        <v>44938</v>
      </c>
      <c r="C736" s="309">
        <f>IFERROR(__xludf.DUMMYFUNCTION("""COMPUTED_VALUE"""),0.28877314814814814)</f>
        <v>0.2887731481</v>
      </c>
      <c r="D736" s="7" t="str">
        <f>IFERROR(__xludf.DUMMYFUNCTION("""COMPUTED_VALUE"""),"SpABRM655136")</f>
        <v>SpABRM655136</v>
      </c>
      <c r="E736" s="310"/>
      <c r="F736" s="310"/>
      <c r="G736" s="310" t="str">
        <f>IFERROR(__xludf.DUMMYFUNCTION("""COMPUTED_VALUE"""),"Negative")</f>
        <v>Negative</v>
      </c>
      <c r="H736" s="319" t="str">
        <f>IFERROR(__xludf.DUMMYFUNCTION("""COMPUTED_VALUE"""),"Negative")</f>
        <v>Negative</v>
      </c>
      <c r="I736" s="308">
        <f>IFERROR(__xludf.DUMMYFUNCTION("""COMPUTED_VALUE"""),44938.0)</f>
        <v>44938</v>
      </c>
      <c r="J736" s="311">
        <f>IFERROR(__xludf.DUMMYFUNCTION("""COMPUTED_VALUE"""),0.5979398148148148)</f>
        <v>0.5979398148</v>
      </c>
      <c r="K736" s="54"/>
      <c r="L736" s="7"/>
      <c r="M736" s="312"/>
      <c r="N736" s="172">
        <f>IFERROR(__xludf.DUMMYFUNCTION("""COMPUTED_VALUE"""),1.0)</f>
        <v>1</v>
      </c>
      <c r="O736" s="172"/>
      <c r="P736" s="313">
        <f>IFERROR(__xludf.DUMMYFUNCTION("""COMPUTED_VALUE"""),0.0)</f>
        <v>0</v>
      </c>
      <c r="Q736" s="76" t="b">
        <f>VLOOKUP($B736,'Run Reconcile'!B$2:O1399,14,FALSE)</f>
        <v>1</v>
      </c>
      <c r="R736" s="314" t="str">
        <f t="array" ref="R736">IF($Q736, INDEX('Run Reconcile'!A$2:A1399,MATCH(B736,'Run Reconcile'!B$2:B1399,0),1),IFERROR(0/0,""))</f>
        <v>RUN-ABRM_2023-01-12_RFR-129</v>
      </c>
      <c r="S736" s="315" t="str">
        <f t="shared" ref="S736:T736" si="1477">IF(COUNTIF(W$2:W1399, $A736) &gt; 0,TRUE,IFERROR(0/0,""))</f>
        <v/>
      </c>
      <c r="T736" s="315" t="str">
        <f t="shared" si="1477"/>
        <v/>
      </c>
      <c r="U736" s="114" t="str">
        <f t="array" ref="U736">IF(ISBLANK($R736), INDEX('Run Reconcile'!A$2:A1399, MATCH($B736, 'Run Reconcile'!B$2:B1399, 0)+Z736, 1), IFERROR(0/0,""))
</f>
        <v/>
      </c>
      <c r="V736" s="316" t="str">
        <f t="shared" si="1281"/>
        <v>RUN-ABRM_2023-01-12_RFR-129</v>
      </c>
      <c r="Y736" s="317" t="str">
        <f t="shared" si="6"/>
        <v/>
      </c>
      <c r="Z736" s="83" t="str">
        <f t="shared" si="7"/>
        <v/>
      </c>
      <c r="AA736" s="83" t="str">
        <f t="shared" si="8"/>
        <v/>
      </c>
      <c r="AB736" s="83" t="str">
        <f t="shared" si="9"/>
        <v/>
      </c>
      <c r="AC736" s="18" t="str">
        <f t="shared" ref="AC736:AD736" si="1478">IF(_xlfn.ISFORMULA(S736),IFERROR(0/0,""),TRUE)</f>
        <v/>
      </c>
      <c r="AD736" s="18" t="str">
        <f t="shared" si="1478"/>
        <v/>
      </c>
      <c r="AE736" s="43"/>
      <c r="AF736" s="58" t="s">
        <v>117</v>
      </c>
      <c r="AG736" s="55" t="str">
        <f t="shared" si="11"/>
        <v/>
      </c>
    </row>
    <row r="737">
      <c r="A737" s="7" t="str">
        <f>IFERROR(__xludf.DUMMYFUNCTION("""COMPUTED_VALUE"""),"AJ9815")</f>
        <v>AJ9815</v>
      </c>
      <c r="B737" s="308">
        <f>IFERROR(__xludf.DUMMYFUNCTION("""COMPUTED_VALUE"""),44938.0)</f>
        <v>44938</v>
      </c>
      <c r="C737" s="309">
        <f>IFERROR(__xludf.DUMMYFUNCTION("""COMPUTED_VALUE"""),0.29542824074074076)</f>
        <v>0.2954282407</v>
      </c>
      <c r="D737" s="7" t="str">
        <f>IFERROR(__xludf.DUMMYFUNCTION("""COMPUTED_VALUE"""),"SpABRM814022")</f>
        <v>SpABRM814022</v>
      </c>
      <c r="E737" s="310"/>
      <c r="F737" s="310"/>
      <c r="G737" s="310" t="str">
        <f>IFERROR(__xludf.DUMMYFUNCTION("""COMPUTED_VALUE"""),"Negative")</f>
        <v>Negative</v>
      </c>
      <c r="H737" s="319" t="str">
        <f>IFERROR(__xludf.DUMMYFUNCTION("""COMPUTED_VALUE"""),"Negative")</f>
        <v>Negative</v>
      </c>
      <c r="I737" s="308">
        <f>IFERROR(__xludf.DUMMYFUNCTION("""COMPUTED_VALUE"""),44938.0)</f>
        <v>44938</v>
      </c>
      <c r="J737" s="311">
        <f>IFERROR(__xludf.DUMMYFUNCTION("""COMPUTED_VALUE"""),0.5979398148148148)</f>
        <v>0.5979398148</v>
      </c>
      <c r="K737" s="54"/>
      <c r="L737" s="7"/>
      <c r="M737" s="312"/>
      <c r="N737" s="172">
        <f>IFERROR(__xludf.DUMMYFUNCTION("""COMPUTED_VALUE"""),1.0)</f>
        <v>1</v>
      </c>
      <c r="O737" s="172"/>
      <c r="P737" s="313">
        <f>IFERROR(__xludf.DUMMYFUNCTION("""COMPUTED_VALUE"""),0.0)</f>
        <v>0</v>
      </c>
      <c r="Q737" s="76" t="b">
        <f>VLOOKUP($B737,'Run Reconcile'!B$2:O1399,14,FALSE)</f>
        <v>1</v>
      </c>
      <c r="R737" s="314" t="str">
        <f t="array" ref="R737">IF($Q737, INDEX('Run Reconcile'!A$2:A1399,MATCH(B737,'Run Reconcile'!B$2:B1399,0),1),IFERROR(0/0,""))</f>
        <v>RUN-ABRM_2023-01-12_RFR-129</v>
      </c>
      <c r="S737" s="315" t="str">
        <f t="shared" ref="S737:T737" si="1479">IF(COUNTIF(W$2:W1399, $A737) &gt; 0,TRUE,IFERROR(0/0,""))</f>
        <v/>
      </c>
      <c r="T737" s="315" t="str">
        <f t="shared" si="1479"/>
        <v/>
      </c>
      <c r="U737" s="114" t="str">
        <f t="array" ref="U737">IF(ISBLANK($R737), INDEX('Run Reconcile'!A$2:A1399, MATCH($B737, 'Run Reconcile'!B$2:B1399, 0)+Z737, 1), IFERROR(0/0,""))
</f>
        <v/>
      </c>
      <c r="V737" s="316" t="str">
        <f t="shared" si="1281"/>
        <v>RUN-ABRM_2023-01-12_RFR-129</v>
      </c>
      <c r="Y737" s="317" t="str">
        <f t="shared" si="6"/>
        <v/>
      </c>
      <c r="Z737" s="83" t="str">
        <f t="shared" si="7"/>
        <v/>
      </c>
      <c r="AA737" s="83" t="str">
        <f t="shared" si="8"/>
        <v/>
      </c>
      <c r="AB737" s="83" t="str">
        <f t="shared" si="9"/>
        <v/>
      </c>
      <c r="AC737" s="18" t="str">
        <f t="shared" ref="AC737:AD737" si="1480">IF(_xlfn.ISFORMULA(S737),IFERROR(0/0,""),TRUE)</f>
        <v/>
      </c>
      <c r="AD737" s="18" t="str">
        <f t="shared" si="1480"/>
        <v/>
      </c>
      <c r="AE737" s="43"/>
      <c r="AF737" s="58" t="s">
        <v>117</v>
      </c>
      <c r="AG737" s="55" t="str">
        <f t="shared" si="11"/>
        <v/>
      </c>
    </row>
    <row r="738">
      <c r="A738" s="7" t="str">
        <f>IFERROR(__xludf.DUMMYFUNCTION("""COMPUTED_VALUE"""),"AJ8732")</f>
        <v>AJ8732</v>
      </c>
      <c r="B738" s="308">
        <f>IFERROR(__xludf.DUMMYFUNCTION("""COMPUTED_VALUE"""),44939.0)</f>
        <v>44939</v>
      </c>
      <c r="C738" s="309">
        <f>IFERROR(__xludf.DUMMYFUNCTION("""COMPUTED_VALUE"""),0.1725925925925926)</f>
        <v>0.1725925926</v>
      </c>
      <c r="D738" s="7" t="str">
        <f>IFERROR(__xludf.DUMMYFUNCTION("""COMPUTED_VALUE"""),"SpABRM655136")</f>
        <v>SpABRM655136</v>
      </c>
      <c r="E738" s="310"/>
      <c r="F738" s="310"/>
      <c r="G738" s="310" t="str">
        <f>IFERROR(__xludf.DUMMYFUNCTION("""COMPUTED_VALUE"""),"Negative")</f>
        <v>Negative</v>
      </c>
      <c r="H738" s="319" t="str">
        <f>IFERROR(__xludf.DUMMYFUNCTION("""COMPUTED_VALUE"""),"Negative")</f>
        <v>Negative</v>
      </c>
      <c r="I738" s="308">
        <f>IFERROR(__xludf.DUMMYFUNCTION("""COMPUTED_VALUE"""),44939.0)</f>
        <v>44939</v>
      </c>
      <c r="J738" s="311">
        <f>IFERROR(__xludf.DUMMYFUNCTION("""COMPUTED_VALUE"""),0.4333449074074074)</f>
        <v>0.4333449074</v>
      </c>
      <c r="K738" s="54"/>
      <c r="L738" s="7"/>
      <c r="M738" s="312"/>
      <c r="N738" s="172">
        <f>IFERROR(__xludf.DUMMYFUNCTION("""COMPUTED_VALUE"""),2.0)</f>
        <v>2</v>
      </c>
      <c r="O738" s="172"/>
      <c r="P738" s="313">
        <f>IFERROR(__xludf.DUMMYFUNCTION("""COMPUTED_VALUE"""),0.0)</f>
        <v>0</v>
      </c>
      <c r="Q738" s="76" t="b">
        <f>VLOOKUP($B738,'Run Reconcile'!B$2:O1399,14,FALSE)</f>
        <v>1</v>
      </c>
      <c r="R738" s="314" t="str">
        <f t="array" ref="R738">IF($Q738, INDEX('Run Reconcile'!A$2:A1399,MATCH(B738,'Run Reconcile'!B$2:B1399,0),1),IFERROR(0/0,""))</f>
        <v>RUN-ABRM_2023-01-13_RFR-131</v>
      </c>
      <c r="S738" s="315" t="str">
        <f t="shared" ref="S738:T738" si="1481">IF(COUNTIF(W$2:W1399, $A738) &gt; 0,TRUE,IFERROR(0/0,""))</f>
        <v/>
      </c>
      <c r="T738" s="315" t="str">
        <f t="shared" si="1481"/>
        <v/>
      </c>
      <c r="U738" s="114" t="str">
        <f t="array" ref="U738">IF(ISBLANK($R738), INDEX('Run Reconcile'!A$2:A1399, MATCH($B738, 'Run Reconcile'!B$2:B1399, 0)+Z738, 1), IFERROR(0/0,""))
</f>
        <v/>
      </c>
      <c r="V738" s="316" t="str">
        <f t="shared" si="1281"/>
        <v>RUN-ABRM_2023-01-13_RFR-131</v>
      </c>
      <c r="Y738" s="317" t="str">
        <f t="shared" si="6"/>
        <v/>
      </c>
      <c r="Z738" s="83" t="str">
        <f t="shared" si="7"/>
        <v/>
      </c>
      <c r="AA738" s="83" t="str">
        <f t="shared" si="8"/>
        <v/>
      </c>
      <c r="AB738" s="83" t="str">
        <f t="shared" si="9"/>
        <v/>
      </c>
      <c r="AC738" s="18" t="str">
        <f t="shared" ref="AC738:AD738" si="1482">IF(_xlfn.ISFORMULA(S738),IFERROR(0/0,""),TRUE)</f>
        <v/>
      </c>
      <c r="AD738" s="18" t="str">
        <f t="shared" si="1482"/>
        <v/>
      </c>
      <c r="AE738" s="43"/>
      <c r="AF738" s="58" t="s">
        <v>118</v>
      </c>
      <c r="AG738" s="55" t="str">
        <f t="shared" si="11"/>
        <v/>
      </c>
    </row>
    <row r="739">
      <c r="A739" s="7" t="str">
        <f>IFERROR(__xludf.DUMMYFUNCTION("""COMPUTED_VALUE"""),"AJ5243")</f>
        <v>AJ5243</v>
      </c>
      <c r="B739" s="308">
        <f>IFERROR(__xludf.DUMMYFUNCTION("""COMPUTED_VALUE"""),44939.0)</f>
        <v>44939</v>
      </c>
      <c r="C739" s="309">
        <f>IFERROR(__xludf.DUMMYFUNCTION("""COMPUTED_VALUE"""),0.2167013888888889)</f>
        <v>0.2167013889</v>
      </c>
      <c r="D739" s="7" t="str">
        <f>IFERROR(__xludf.DUMMYFUNCTION("""COMPUTED_VALUE"""),"SpABRM454310")</f>
        <v>SpABRM454310</v>
      </c>
      <c r="E739" s="310"/>
      <c r="F739" s="310"/>
      <c r="G739" s="310" t="str">
        <f>IFERROR(__xludf.DUMMYFUNCTION("""COMPUTED_VALUE"""),"Negative")</f>
        <v>Negative</v>
      </c>
      <c r="H739" s="319" t="str">
        <f>IFERROR(__xludf.DUMMYFUNCTION("""COMPUTED_VALUE"""),"Negative")</f>
        <v>Negative</v>
      </c>
      <c r="I739" s="308">
        <f>IFERROR(__xludf.DUMMYFUNCTION("""COMPUTED_VALUE"""),44939.0)</f>
        <v>44939</v>
      </c>
      <c r="J739" s="311">
        <f>IFERROR(__xludf.DUMMYFUNCTION("""COMPUTED_VALUE"""),0.4333564814814815)</f>
        <v>0.4333564815</v>
      </c>
      <c r="K739" s="54"/>
      <c r="L739" s="7"/>
      <c r="M739" s="312"/>
      <c r="N739" s="172">
        <f>IFERROR(__xludf.DUMMYFUNCTION("""COMPUTED_VALUE"""),3.0)</f>
        <v>3</v>
      </c>
      <c r="O739" s="172"/>
      <c r="P739" s="313">
        <f>IFERROR(__xludf.DUMMYFUNCTION("""COMPUTED_VALUE"""),0.0)</f>
        <v>0</v>
      </c>
      <c r="Q739" s="76" t="b">
        <f>VLOOKUP($B739,'Run Reconcile'!B$2:O1399,14,FALSE)</f>
        <v>1</v>
      </c>
      <c r="R739" s="314" t="str">
        <f t="array" ref="R739">IF($Q739, INDEX('Run Reconcile'!A$2:A1399,MATCH(B739,'Run Reconcile'!B$2:B1399,0),1),IFERROR(0/0,""))</f>
        <v>RUN-ABRM_2023-01-13_RFR-131</v>
      </c>
      <c r="S739" s="315" t="str">
        <f t="shared" ref="S739:T739" si="1483">IF(COUNTIF(W$2:W1399, $A739) &gt; 0,TRUE,IFERROR(0/0,""))</f>
        <v/>
      </c>
      <c r="T739" s="315" t="str">
        <f t="shared" si="1483"/>
        <v/>
      </c>
      <c r="U739" s="114" t="str">
        <f t="array" ref="U739">IF(ISBLANK($R739), INDEX('Run Reconcile'!A$2:A1399, MATCH($B739, 'Run Reconcile'!B$2:B1399, 0)+Z739, 1), IFERROR(0/0,""))
</f>
        <v/>
      </c>
      <c r="V739" s="316" t="str">
        <f t="shared" si="1281"/>
        <v>RUN-ABRM_2023-01-13_RFR-131</v>
      </c>
      <c r="Y739" s="317" t="str">
        <f t="shared" si="6"/>
        <v/>
      </c>
      <c r="Z739" s="83" t="str">
        <f t="shared" si="7"/>
        <v/>
      </c>
      <c r="AA739" s="83" t="str">
        <f t="shared" si="8"/>
        <v/>
      </c>
      <c r="AB739" s="83" t="str">
        <f t="shared" si="9"/>
        <v/>
      </c>
      <c r="AC739" s="18" t="str">
        <f t="shared" ref="AC739:AD739" si="1484">IF(_xlfn.ISFORMULA(S739),IFERROR(0/0,""),TRUE)</f>
        <v/>
      </c>
      <c r="AD739" s="18" t="str">
        <f t="shared" si="1484"/>
        <v/>
      </c>
      <c r="AE739" s="43"/>
      <c r="AF739" s="58" t="s">
        <v>118</v>
      </c>
      <c r="AG739" s="55" t="str">
        <f t="shared" si="11"/>
        <v/>
      </c>
    </row>
    <row r="740">
      <c r="A740" s="7" t="str">
        <f>IFERROR(__xludf.DUMMYFUNCTION("""COMPUTED_VALUE"""),"AJ8059")</f>
        <v>AJ8059</v>
      </c>
      <c r="B740" s="308">
        <f>IFERROR(__xludf.DUMMYFUNCTION("""COMPUTED_VALUE"""),44939.0)</f>
        <v>44939</v>
      </c>
      <c r="C740" s="309">
        <f>IFERROR(__xludf.DUMMYFUNCTION("""COMPUTED_VALUE"""),0.24020833333333333)</f>
        <v>0.2402083333</v>
      </c>
      <c r="D740" s="7" t="str">
        <f>IFERROR(__xludf.DUMMYFUNCTION("""COMPUTED_VALUE"""),"SpABRM297307")</f>
        <v>SpABRM297307</v>
      </c>
      <c r="E740" s="310"/>
      <c r="F740" s="310"/>
      <c r="G740" s="310" t="str">
        <f>IFERROR(__xludf.DUMMYFUNCTION("""COMPUTED_VALUE"""),"Negative")</f>
        <v>Negative</v>
      </c>
      <c r="H740" s="319" t="str">
        <f>IFERROR(__xludf.DUMMYFUNCTION("""COMPUTED_VALUE"""),"Negative")</f>
        <v>Negative</v>
      </c>
      <c r="I740" s="308">
        <f>IFERROR(__xludf.DUMMYFUNCTION("""COMPUTED_VALUE"""),44939.0)</f>
        <v>44939</v>
      </c>
      <c r="J740" s="311">
        <f>IFERROR(__xludf.DUMMYFUNCTION("""COMPUTED_VALUE"""),0.4333680555555556)</f>
        <v>0.4333680556</v>
      </c>
      <c r="K740" s="54"/>
      <c r="L740" s="7"/>
      <c r="M740" s="312"/>
      <c r="N740" s="172">
        <f>IFERROR(__xludf.DUMMYFUNCTION("""COMPUTED_VALUE"""),3.0)</f>
        <v>3</v>
      </c>
      <c r="O740" s="172"/>
      <c r="P740" s="313">
        <f>IFERROR(__xludf.DUMMYFUNCTION("""COMPUTED_VALUE"""),0.0)</f>
        <v>0</v>
      </c>
      <c r="Q740" s="76" t="b">
        <f>VLOOKUP($B740,'Run Reconcile'!B$2:O1399,14,FALSE)</f>
        <v>1</v>
      </c>
      <c r="R740" s="314" t="str">
        <f t="array" ref="R740">IF($Q740, INDEX('Run Reconcile'!A$2:A1399,MATCH(B740,'Run Reconcile'!B$2:B1399,0),1),IFERROR(0/0,""))</f>
        <v>RUN-ABRM_2023-01-13_RFR-131</v>
      </c>
      <c r="S740" s="315" t="str">
        <f t="shared" ref="S740:T740" si="1485">IF(COUNTIF(W$2:W1399, $A740) &gt; 0,TRUE,IFERROR(0/0,""))</f>
        <v/>
      </c>
      <c r="T740" s="315" t="str">
        <f t="shared" si="1485"/>
        <v/>
      </c>
      <c r="U740" s="114" t="str">
        <f t="array" ref="U740">IF(ISBLANK($R740), INDEX('Run Reconcile'!A$2:A1399, MATCH($B740, 'Run Reconcile'!B$2:B1399, 0)+Z740, 1), IFERROR(0/0,""))
</f>
        <v/>
      </c>
      <c r="V740" s="316" t="str">
        <f t="shared" si="1281"/>
        <v>RUN-ABRM_2023-01-13_RFR-131</v>
      </c>
      <c r="Y740" s="317" t="str">
        <f t="shared" si="6"/>
        <v/>
      </c>
      <c r="Z740" s="83" t="str">
        <f t="shared" si="7"/>
        <v/>
      </c>
      <c r="AA740" s="83" t="str">
        <f t="shared" si="8"/>
        <v/>
      </c>
      <c r="AB740" s="83" t="str">
        <f t="shared" si="9"/>
        <v/>
      </c>
      <c r="AC740" s="18" t="str">
        <f t="shared" ref="AC740:AD740" si="1486">IF(_xlfn.ISFORMULA(S740),IFERROR(0/0,""),TRUE)</f>
        <v/>
      </c>
      <c r="AD740" s="18" t="str">
        <f t="shared" si="1486"/>
        <v/>
      </c>
      <c r="AE740" s="43"/>
      <c r="AF740" s="58" t="s">
        <v>118</v>
      </c>
      <c r="AG740" s="55" t="str">
        <f t="shared" si="11"/>
        <v/>
      </c>
    </row>
    <row r="741">
      <c r="A741" s="7" t="str">
        <f>IFERROR(__xludf.DUMMYFUNCTION("""COMPUTED_VALUE"""),"AG1403")</f>
        <v>AG1403</v>
      </c>
      <c r="B741" s="308">
        <f>IFERROR(__xludf.DUMMYFUNCTION("""COMPUTED_VALUE"""),44939.0)</f>
        <v>44939</v>
      </c>
      <c r="C741" s="309">
        <f>IFERROR(__xludf.DUMMYFUNCTION("""COMPUTED_VALUE"""),0.30020833333333335)</f>
        <v>0.3002083333</v>
      </c>
      <c r="D741" s="7" t="str">
        <f>IFERROR(__xludf.DUMMYFUNCTION("""COMPUTED_VALUE"""),"SpABRM367540")</f>
        <v>SpABRM367540</v>
      </c>
      <c r="E741" s="310"/>
      <c r="F741" s="310"/>
      <c r="G741" s="310" t="str">
        <f>IFERROR(__xludf.DUMMYFUNCTION("""COMPUTED_VALUE"""),"Negative")</f>
        <v>Negative</v>
      </c>
      <c r="H741" s="319" t="str">
        <f>IFERROR(__xludf.DUMMYFUNCTION("""COMPUTED_VALUE"""),"Negative")</f>
        <v>Negative</v>
      </c>
      <c r="I741" s="308">
        <f>IFERROR(__xludf.DUMMYFUNCTION("""COMPUTED_VALUE"""),44939.0)</f>
        <v>44939</v>
      </c>
      <c r="J741" s="311">
        <f>IFERROR(__xludf.DUMMYFUNCTION("""COMPUTED_VALUE"""),0.4333680555555556)</f>
        <v>0.4333680556</v>
      </c>
      <c r="K741" s="54"/>
      <c r="L741" s="7"/>
      <c r="M741" s="312"/>
      <c r="N741" s="172">
        <f>IFERROR(__xludf.DUMMYFUNCTION("""COMPUTED_VALUE"""),3.0)</f>
        <v>3</v>
      </c>
      <c r="O741" s="172"/>
      <c r="P741" s="313">
        <f>IFERROR(__xludf.DUMMYFUNCTION("""COMPUTED_VALUE"""),0.0)</f>
        <v>0</v>
      </c>
      <c r="Q741" s="76" t="b">
        <f>VLOOKUP($B741,'Run Reconcile'!B$2:O1399,14,FALSE)</f>
        <v>1</v>
      </c>
      <c r="R741" s="314" t="str">
        <f t="array" ref="R741">IF($Q741, INDEX('Run Reconcile'!A$2:A1399,MATCH(B741,'Run Reconcile'!B$2:B1399,0),1),IFERROR(0/0,""))</f>
        <v>RUN-ABRM_2023-01-13_RFR-131</v>
      </c>
      <c r="S741" s="315" t="str">
        <f t="shared" ref="S741:T741" si="1487">IF(COUNTIF(W$2:W1399, $A741) &gt; 0,TRUE,IFERROR(0/0,""))</f>
        <v/>
      </c>
      <c r="T741" s="315" t="str">
        <f t="shared" si="1487"/>
        <v/>
      </c>
      <c r="U741" s="114" t="str">
        <f t="array" ref="U741">IF(ISBLANK($R741), INDEX('Run Reconcile'!A$2:A1399, MATCH($B741, 'Run Reconcile'!B$2:B1399, 0)+Z741, 1), IFERROR(0/0,""))
</f>
        <v/>
      </c>
      <c r="V741" s="316" t="str">
        <f t="shared" si="1281"/>
        <v>RUN-ABRM_2023-01-13_RFR-131</v>
      </c>
      <c r="Y741" s="317" t="str">
        <f t="shared" si="6"/>
        <v/>
      </c>
      <c r="Z741" s="83" t="str">
        <f t="shared" si="7"/>
        <v/>
      </c>
      <c r="AA741" s="83" t="str">
        <f t="shared" si="8"/>
        <v/>
      </c>
      <c r="AB741" s="83" t="str">
        <f t="shared" si="9"/>
        <v/>
      </c>
      <c r="AC741" s="18" t="str">
        <f t="shared" ref="AC741:AD741" si="1488">IF(_xlfn.ISFORMULA(S741),IFERROR(0/0,""),TRUE)</f>
        <v/>
      </c>
      <c r="AD741" s="18" t="str">
        <f t="shared" si="1488"/>
        <v/>
      </c>
      <c r="AE741" s="43"/>
      <c r="AF741" s="58" t="s">
        <v>118</v>
      </c>
      <c r="AG741" s="55" t="str">
        <f t="shared" si="11"/>
        <v/>
      </c>
    </row>
    <row r="742">
      <c r="A742" s="7" t="str">
        <f>IFERROR(__xludf.DUMMYFUNCTION("""COMPUTED_VALUE"""),"AG1625")</f>
        <v>AG1625</v>
      </c>
      <c r="B742" s="308">
        <f>IFERROR(__xludf.DUMMYFUNCTION("""COMPUTED_VALUE"""),44939.0)</f>
        <v>44939</v>
      </c>
      <c r="C742" s="309">
        <f>IFERROR(__xludf.DUMMYFUNCTION("""COMPUTED_VALUE"""),0.32319444444444445)</f>
        <v>0.3231944444</v>
      </c>
      <c r="D742" s="7" t="str">
        <f>IFERROR(__xludf.DUMMYFUNCTION("""COMPUTED_VALUE"""),"SpABRM814022")</f>
        <v>SpABRM814022</v>
      </c>
      <c r="E742" s="310"/>
      <c r="F742" s="310"/>
      <c r="G742" s="310" t="str">
        <f>IFERROR(__xludf.DUMMYFUNCTION("""COMPUTED_VALUE"""),"Inconclusive")</f>
        <v>Inconclusive</v>
      </c>
      <c r="H742" s="319" t="str">
        <f>IFERROR(__xludf.DUMMYFUNCTION("""COMPUTED_VALUE"""),"Inconclusive")</f>
        <v>Inconclusive</v>
      </c>
      <c r="I742" s="308">
        <f>IFERROR(__xludf.DUMMYFUNCTION("""COMPUTED_VALUE"""),44939.0)</f>
        <v>44939</v>
      </c>
      <c r="J742" s="311">
        <f>IFERROR(__xludf.DUMMYFUNCTION("""COMPUTED_VALUE"""),0.5109722222222223)</f>
        <v>0.5109722222</v>
      </c>
      <c r="K742" s="54"/>
      <c r="L742" s="7"/>
      <c r="M742" s="312"/>
      <c r="N742" s="172">
        <f>IFERROR(__xludf.DUMMYFUNCTION("""COMPUTED_VALUE"""),1.0)</f>
        <v>1</v>
      </c>
      <c r="O742" s="172"/>
      <c r="P742" s="313">
        <f>IFERROR(__xludf.DUMMYFUNCTION("""COMPUTED_VALUE"""),0.0)</f>
        <v>0</v>
      </c>
      <c r="Q742" s="76" t="b">
        <f>VLOOKUP($B742,'Run Reconcile'!B$2:O1399,14,FALSE)</f>
        <v>1</v>
      </c>
      <c r="R742" s="314" t="str">
        <f t="array" ref="R742">IF($Q742, INDEX('Run Reconcile'!A$2:A1399,MATCH(B742,'Run Reconcile'!B$2:B1399,0),1),IFERROR(0/0,""))</f>
        <v>RUN-ABRM_2023-01-13_RFR-131</v>
      </c>
      <c r="S742" s="315" t="str">
        <f t="shared" ref="S742:T742" si="1489">IF(COUNTIF(W$2:W1399, $A742) &gt; 0,TRUE,IFERROR(0/0,""))</f>
        <v/>
      </c>
      <c r="T742" s="315" t="str">
        <f t="shared" si="1489"/>
        <v/>
      </c>
      <c r="U742" s="114" t="str">
        <f t="array" ref="U742">IF(ISBLANK($R742), INDEX('Run Reconcile'!A$2:A1399, MATCH($B742, 'Run Reconcile'!B$2:B1399, 0)+Z742, 1), IFERROR(0/0,""))
</f>
        <v/>
      </c>
      <c r="V742" s="316" t="str">
        <f t="shared" si="1281"/>
        <v>RUN-ABRM_2023-01-13_RFR-131</v>
      </c>
      <c r="Y742" s="317" t="str">
        <f t="shared" si="6"/>
        <v/>
      </c>
      <c r="Z742" s="83" t="str">
        <f t="shared" si="7"/>
        <v/>
      </c>
      <c r="AA742" s="83" t="str">
        <f t="shared" si="8"/>
        <v/>
      </c>
      <c r="AB742" s="83" t="str">
        <f t="shared" si="9"/>
        <v/>
      </c>
      <c r="AC742" s="18" t="str">
        <f t="shared" ref="AC742:AD742" si="1490">IF(_xlfn.ISFORMULA(S742),IFERROR(0/0,""),TRUE)</f>
        <v/>
      </c>
      <c r="AD742" s="18" t="str">
        <f t="shared" si="1490"/>
        <v/>
      </c>
      <c r="AE742" s="43"/>
      <c r="AF742" s="58" t="s">
        <v>118</v>
      </c>
      <c r="AG742" s="55" t="str">
        <f t="shared" si="11"/>
        <v/>
      </c>
    </row>
    <row r="743">
      <c r="A743" s="7" t="str">
        <f>IFERROR(__xludf.DUMMYFUNCTION("""COMPUTED_VALUE"""),"AH223")</f>
        <v>AH223</v>
      </c>
      <c r="B743" s="308">
        <f>IFERROR(__xludf.DUMMYFUNCTION("""COMPUTED_VALUE"""),44939.0)</f>
        <v>44939</v>
      </c>
      <c r="C743" s="309">
        <f>IFERROR(__xludf.DUMMYFUNCTION("""COMPUTED_VALUE"""),0.32936342592592593)</f>
        <v>0.3293634259</v>
      </c>
      <c r="D743" s="7" t="str">
        <f>IFERROR(__xludf.DUMMYFUNCTION("""COMPUTED_VALUE"""),"SpABRM655136")</f>
        <v>SpABRM655136</v>
      </c>
      <c r="E743" s="310"/>
      <c r="F743" s="310"/>
      <c r="G743" s="310" t="str">
        <f>IFERROR(__xludf.DUMMYFUNCTION("""COMPUTED_VALUE"""),"Negative")</f>
        <v>Negative</v>
      </c>
      <c r="H743" s="319" t="str">
        <f>IFERROR(__xludf.DUMMYFUNCTION("""COMPUTED_VALUE"""),"Negative")</f>
        <v>Negative</v>
      </c>
      <c r="I743" s="308">
        <f>IFERROR(__xludf.DUMMYFUNCTION("""COMPUTED_VALUE"""),44939.0)</f>
        <v>44939</v>
      </c>
      <c r="J743" s="311">
        <f>IFERROR(__xludf.DUMMYFUNCTION("""COMPUTED_VALUE"""),0.4333796296296296)</f>
        <v>0.4333796296</v>
      </c>
      <c r="K743" s="54"/>
      <c r="L743" s="7"/>
      <c r="M743" s="312"/>
      <c r="N743" s="172">
        <f>IFERROR(__xludf.DUMMYFUNCTION("""COMPUTED_VALUE"""),1.0)</f>
        <v>1</v>
      </c>
      <c r="O743" s="172"/>
      <c r="P743" s="313">
        <f>IFERROR(__xludf.DUMMYFUNCTION("""COMPUTED_VALUE"""),0.0)</f>
        <v>0</v>
      </c>
      <c r="Q743" s="76" t="b">
        <f>VLOOKUP($B743,'Run Reconcile'!B$2:O1399,14,FALSE)</f>
        <v>1</v>
      </c>
      <c r="R743" s="314" t="str">
        <f t="array" ref="R743">IF($Q743, INDEX('Run Reconcile'!A$2:A1399,MATCH(B743,'Run Reconcile'!B$2:B1399,0),1),IFERROR(0/0,""))</f>
        <v>RUN-ABRM_2023-01-13_RFR-131</v>
      </c>
      <c r="S743" s="315" t="str">
        <f t="shared" ref="S743:T743" si="1491">IF(COUNTIF(W$2:W1399, $A743) &gt; 0,TRUE,IFERROR(0/0,""))</f>
        <v/>
      </c>
      <c r="T743" s="315" t="str">
        <f t="shared" si="1491"/>
        <v/>
      </c>
      <c r="U743" s="114" t="str">
        <f t="array" ref="U743">IF(ISBLANK($R743), INDEX('Run Reconcile'!A$2:A1399, MATCH($B743, 'Run Reconcile'!B$2:B1399, 0)+Z743, 1), IFERROR(0/0,""))
</f>
        <v/>
      </c>
      <c r="V743" s="316" t="str">
        <f t="shared" si="1281"/>
        <v>RUN-ABRM_2023-01-13_RFR-131</v>
      </c>
      <c r="Y743" s="317" t="str">
        <f t="shared" si="6"/>
        <v/>
      </c>
      <c r="Z743" s="83" t="str">
        <f t="shared" si="7"/>
        <v/>
      </c>
      <c r="AA743" s="83" t="str">
        <f t="shared" si="8"/>
        <v/>
      </c>
      <c r="AB743" s="83" t="str">
        <f t="shared" si="9"/>
        <v/>
      </c>
      <c r="AC743" s="18" t="str">
        <f t="shared" ref="AC743:AD743" si="1492">IF(_xlfn.ISFORMULA(S743),IFERROR(0/0,""),TRUE)</f>
        <v/>
      </c>
      <c r="AD743" s="18" t="str">
        <f t="shared" si="1492"/>
        <v/>
      </c>
      <c r="AE743" s="43"/>
      <c r="AF743" s="58" t="s">
        <v>118</v>
      </c>
      <c r="AG743" s="55" t="str">
        <f t="shared" si="11"/>
        <v/>
      </c>
    </row>
    <row r="744">
      <c r="A744" s="7" t="str">
        <f>IFERROR(__xludf.DUMMYFUNCTION("""COMPUTED_VALUE"""),"AJ9132")</f>
        <v>AJ9132</v>
      </c>
      <c r="B744" s="308">
        <f>IFERROR(__xludf.DUMMYFUNCTION("""COMPUTED_VALUE"""),44939.0)</f>
        <v>44939</v>
      </c>
      <c r="C744" s="309">
        <f>IFERROR(__xludf.DUMMYFUNCTION("""COMPUTED_VALUE"""),0.3317939814814815)</f>
        <v>0.3317939815</v>
      </c>
      <c r="D744" s="7" t="str">
        <f>IFERROR(__xludf.DUMMYFUNCTION("""COMPUTED_VALUE"""),"SpABRM655136")</f>
        <v>SpABRM655136</v>
      </c>
      <c r="E744" s="310"/>
      <c r="F744" s="310"/>
      <c r="G744" s="310" t="str">
        <f>IFERROR(__xludf.DUMMYFUNCTION("""COMPUTED_VALUE"""),"Negative")</f>
        <v>Negative</v>
      </c>
      <c r="H744" s="319" t="str">
        <f>IFERROR(__xludf.DUMMYFUNCTION("""COMPUTED_VALUE"""),"Negative")</f>
        <v>Negative</v>
      </c>
      <c r="I744" s="308">
        <f>IFERROR(__xludf.DUMMYFUNCTION("""COMPUTED_VALUE"""),44939.0)</f>
        <v>44939</v>
      </c>
      <c r="J744" s="311">
        <f>IFERROR(__xludf.DUMMYFUNCTION("""COMPUTED_VALUE"""),0.4333912037037037)</f>
        <v>0.4333912037</v>
      </c>
      <c r="K744" s="54"/>
      <c r="L744" s="7"/>
      <c r="M744" s="312"/>
      <c r="N744" s="172">
        <f>IFERROR(__xludf.DUMMYFUNCTION("""COMPUTED_VALUE"""),2.0)</f>
        <v>2</v>
      </c>
      <c r="O744" s="172"/>
      <c r="P744" s="313">
        <f>IFERROR(__xludf.DUMMYFUNCTION("""COMPUTED_VALUE"""),0.0)</f>
        <v>0</v>
      </c>
      <c r="Q744" s="76" t="b">
        <f>VLOOKUP($B744,'Run Reconcile'!B$2:O1399,14,FALSE)</f>
        <v>1</v>
      </c>
      <c r="R744" s="314" t="str">
        <f t="array" ref="R744">IF($Q744, INDEX('Run Reconcile'!A$2:A1399,MATCH(B744,'Run Reconcile'!B$2:B1399,0),1),IFERROR(0/0,""))</f>
        <v>RUN-ABRM_2023-01-13_RFR-131</v>
      </c>
      <c r="S744" s="315" t="str">
        <f t="shared" ref="S744:T744" si="1493">IF(COUNTIF(W$2:W1399, $A744) &gt; 0,TRUE,IFERROR(0/0,""))</f>
        <v/>
      </c>
      <c r="T744" s="315" t="str">
        <f t="shared" si="1493"/>
        <v/>
      </c>
      <c r="U744" s="114" t="str">
        <f t="array" ref="U744">IF(ISBLANK($R744), INDEX('Run Reconcile'!A$2:A1399, MATCH($B744, 'Run Reconcile'!B$2:B1399, 0)+Z744, 1), IFERROR(0/0,""))
</f>
        <v/>
      </c>
      <c r="V744" s="316" t="str">
        <f t="shared" si="1281"/>
        <v>RUN-ABRM_2023-01-13_RFR-131</v>
      </c>
      <c r="Y744" s="317" t="str">
        <f t="shared" si="6"/>
        <v/>
      </c>
      <c r="Z744" s="83" t="str">
        <f t="shared" si="7"/>
        <v/>
      </c>
      <c r="AA744" s="83" t="str">
        <f t="shared" si="8"/>
        <v/>
      </c>
      <c r="AB744" s="83" t="str">
        <f t="shared" si="9"/>
        <v/>
      </c>
      <c r="AC744" s="18" t="str">
        <f t="shared" ref="AC744:AD744" si="1494">IF(_xlfn.ISFORMULA(S744),IFERROR(0/0,""),TRUE)</f>
        <v/>
      </c>
      <c r="AD744" s="18" t="str">
        <f t="shared" si="1494"/>
        <v/>
      </c>
      <c r="AE744" s="43"/>
      <c r="AF744" s="58" t="s">
        <v>118</v>
      </c>
      <c r="AG744" s="55" t="str">
        <f t="shared" si="11"/>
        <v/>
      </c>
    </row>
    <row r="745">
      <c r="A745" s="7" t="str">
        <f>IFERROR(__xludf.DUMMYFUNCTION("""COMPUTED_VALUE"""),"AH567")</f>
        <v>AH567</v>
      </c>
      <c r="B745" s="308">
        <f>IFERROR(__xludf.DUMMYFUNCTION("""COMPUTED_VALUE"""),44939.0)</f>
        <v>44939</v>
      </c>
      <c r="C745" s="309">
        <f>IFERROR(__xludf.DUMMYFUNCTION("""COMPUTED_VALUE"""),0.33238425925925924)</f>
        <v>0.3323842593</v>
      </c>
      <c r="D745" s="7" t="str">
        <f>IFERROR(__xludf.DUMMYFUNCTION("""COMPUTED_VALUE"""),"SpABRM655136")</f>
        <v>SpABRM655136</v>
      </c>
      <c r="E745" s="310"/>
      <c r="F745" s="310"/>
      <c r="G745" s="310" t="str">
        <f>IFERROR(__xludf.DUMMYFUNCTION("""COMPUTED_VALUE"""),"Negative")</f>
        <v>Negative</v>
      </c>
      <c r="H745" s="319" t="str">
        <f>IFERROR(__xludf.DUMMYFUNCTION("""COMPUTED_VALUE"""),"Negative")</f>
        <v>Negative</v>
      </c>
      <c r="I745" s="308">
        <f>IFERROR(__xludf.DUMMYFUNCTION("""COMPUTED_VALUE"""),44939.0)</f>
        <v>44939</v>
      </c>
      <c r="J745" s="311">
        <f>IFERROR(__xludf.DUMMYFUNCTION("""COMPUTED_VALUE"""),0.4333912037037037)</f>
        <v>0.4333912037</v>
      </c>
      <c r="K745" s="54"/>
      <c r="L745" s="7"/>
      <c r="M745" s="312"/>
      <c r="N745" s="172">
        <f>IFERROR(__xludf.DUMMYFUNCTION("""COMPUTED_VALUE"""),1.0)</f>
        <v>1</v>
      </c>
      <c r="O745" s="172"/>
      <c r="P745" s="313">
        <f>IFERROR(__xludf.DUMMYFUNCTION("""COMPUTED_VALUE"""),0.0)</f>
        <v>0</v>
      </c>
      <c r="Q745" s="76" t="b">
        <f>VLOOKUP($B745,'Run Reconcile'!B$2:O1399,14,FALSE)</f>
        <v>1</v>
      </c>
      <c r="R745" s="314" t="str">
        <f t="array" ref="R745">IF($Q745, INDEX('Run Reconcile'!A$2:A1399,MATCH(B745,'Run Reconcile'!B$2:B1399,0),1),IFERROR(0/0,""))</f>
        <v>RUN-ABRM_2023-01-13_RFR-131</v>
      </c>
      <c r="S745" s="315" t="str">
        <f t="shared" ref="S745:T745" si="1495">IF(COUNTIF(W$2:W1399, $A745) &gt; 0,TRUE,IFERROR(0/0,""))</f>
        <v/>
      </c>
      <c r="T745" s="315" t="str">
        <f t="shared" si="1495"/>
        <v/>
      </c>
      <c r="U745" s="114" t="str">
        <f t="array" ref="U745">IF(ISBLANK($R745), INDEX('Run Reconcile'!A$2:A1399, MATCH($B745, 'Run Reconcile'!B$2:B1399, 0)+Z745, 1), IFERROR(0/0,""))
</f>
        <v/>
      </c>
      <c r="V745" s="316" t="str">
        <f t="shared" si="1281"/>
        <v>RUN-ABRM_2023-01-13_RFR-131</v>
      </c>
      <c r="Y745" s="317" t="str">
        <f t="shared" si="6"/>
        <v/>
      </c>
      <c r="Z745" s="83" t="str">
        <f t="shared" si="7"/>
        <v/>
      </c>
      <c r="AA745" s="83" t="str">
        <f t="shared" si="8"/>
        <v/>
      </c>
      <c r="AB745" s="83" t="str">
        <f t="shared" si="9"/>
        <v/>
      </c>
      <c r="AC745" s="18" t="str">
        <f t="shared" ref="AC745:AD745" si="1496">IF(_xlfn.ISFORMULA(S745),IFERROR(0/0,""),TRUE)</f>
        <v/>
      </c>
      <c r="AD745" s="18" t="str">
        <f t="shared" si="1496"/>
        <v/>
      </c>
      <c r="AE745" s="43"/>
      <c r="AF745" s="58" t="s">
        <v>118</v>
      </c>
      <c r="AG745" s="55" t="str">
        <f t="shared" si="11"/>
        <v/>
      </c>
    </row>
    <row r="746">
      <c r="A746" s="7" t="str">
        <f>IFERROR(__xludf.DUMMYFUNCTION("""COMPUTED_VALUE"""),"AJ8645")</f>
        <v>AJ8645</v>
      </c>
      <c r="B746" s="308">
        <f>IFERROR(__xludf.DUMMYFUNCTION("""COMPUTED_VALUE"""),44939.0)</f>
        <v>44939</v>
      </c>
      <c r="C746" s="309">
        <f>IFERROR(__xludf.DUMMYFUNCTION("""COMPUTED_VALUE"""),0.3446412037037037)</f>
        <v>0.3446412037</v>
      </c>
      <c r="D746" s="7" t="str">
        <f>IFERROR(__xludf.DUMMYFUNCTION("""COMPUTED_VALUE"""),"SpABRM655136")</f>
        <v>SpABRM655136</v>
      </c>
      <c r="E746" s="310"/>
      <c r="F746" s="310"/>
      <c r="G746" s="310" t="str">
        <f>IFERROR(__xludf.DUMMYFUNCTION("""COMPUTED_VALUE"""),"Negative")</f>
        <v>Negative</v>
      </c>
      <c r="H746" s="319" t="str">
        <f>IFERROR(__xludf.DUMMYFUNCTION("""COMPUTED_VALUE"""),"Negative")</f>
        <v>Negative</v>
      </c>
      <c r="I746" s="308">
        <f>IFERROR(__xludf.DUMMYFUNCTION("""COMPUTED_VALUE"""),44939.0)</f>
        <v>44939</v>
      </c>
      <c r="J746" s="311">
        <f>IFERROR(__xludf.DUMMYFUNCTION("""COMPUTED_VALUE"""),0.4334027777777778)</f>
        <v>0.4334027778</v>
      </c>
      <c r="K746" s="54"/>
      <c r="L746" s="7"/>
      <c r="M746" s="312"/>
      <c r="N746" s="172">
        <f>IFERROR(__xludf.DUMMYFUNCTION("""COMPUTED_VALUE"""),4.0)</f>
        <v>4</v>
      </c>
      <c r="O746" s="172"/>
      <c r="P746" s="313">
        <f>IFERROR(__xludf.DUMMYFUNCTION("""COMPUTED_VALUE"""),0.0)</f>
        <v>0</v>
      </c>
      <c r="Q746" s="76" t="b">
        <f>VLOOKUP($B746,'Run Reconcile'!B$2:O1399,14,FALSE)</f>
        <v>1</v>
      </c>
      <c r="R746" s="314" t="str">
        <f t="array" ref="R746">IF($Q746, INDEX('Run Reconcile'!A$2:A1399,MATCH(B746,'Run Reconcile'!B$2:B1399,0),1),IFERROR(0/0,""))</f>
        <v>RUN-ABRM_2023-01-13_RFR-131</v>
      </c>
      <c r="S746" s="315" t="str">
        <f t="shared" ref="S746:T746" si="1497">IF(COUNTIF(W$2:W1399, $A746) &gt; 0,TRUE,IFERROR(0/0,""))</f>
        <v/>
      </c>
      <c r="T746" s="315" t="str">
        <f t="shared" si="1497"/>
        <v/>
      </c>
      <c r="U746" s="114" t="str">
        <f t="array" ref="U746">IF(ISBLANK($R746), INDEX('Run Reconcile'!A$2:A1399, MATCH($B746, 'Run Reconcile'!B$2:B1399, 0)+Z746, 1), IFERROR(0/0,""))
</f>
        <v/>
      </c>
      <c r="V746" s="316" t="str">
        <f t="shared" si="1281"/>
        <v>RUN-ABRM_2023-01-13_RFR-131</v>
      </c>
      <c r="Y746" s="317" t="str">
        <f t="shared" si="6"/>
        <v/>
      </c>
      <c r="Z746" s="83" t="str">
        <f t="shared" si="7"/>
        <v/>
      </c>
      <c r="AA746" s="83" t="str">
        <f t="shared" si="8"/>
        <v/>
      </c>
      <c r="AB746" s="83" t="str">
        <f t="shared" si="9"/>
        <v/>
      </c>
      <c r="AC746" s="18" t="str">
        <f t="shared" ref="AC746:AD746" si="1498">IF(_xlfn.ISFORMULA(S746),IFERROR(0/0,""),TRUE)</f>
        <v/>
      </c>
      <c r="AD746" s="18" t="str">
        <f t="shared" si="1498"/>
        <v/>
      </c>
      <c r="AE746" s="43"/>
      <c r="AF746" s="58" t="s">
        <v>118</v>
      </c>
      <c r="AG746" s="55" t="str">
        <f t="shared" si="11"/>
        <v/>
      </c>
    </row>
    <row r="747">
      <c r="A747" s="7" t="str">
        <f>IFERROR(__xludf.DUMMYFUNCTION("""COMPUTED_VALUE"""),"AG1742")</f>
        <v>AG1742</v>
      </c>
      <c r="B747" s="308">
        <f>IFERROR(__xludf.DUMMYFUNCTION("""COMPUTED_VALUE"""),44939.0)</f>
        <v>44939</v>
      </c>
      <c r="C747" s="309">
        <f>IFERROR(__xludf.DUMMYFUNCTION("""COMPUTED_VALUE"""),0.40552083333333333)</f>
        <v>0.4055208333</v>
      </c>
      <c r="D747" s="7" t="str">
        <f>IFERROR(__xludf.DUMMYFUNCTION("""COMPUTED_VALUE"""),"SpABRM655136")</f>
        <v>SpABRM655136</v>
      </c>
      <c r="E747" s="310"/>
      <c r="F747" s="310"/>
      <c r="G747" s="310" t="str">
        <f>IFERROR(__xludf.DUMMYFUNCTION("""COMPUTED_VALUE"""),"Negative")</f>
        <v>Negative</v>
      </c>
      <c r="H747" s="319" t="str">
        <f>IFERROR(__xludf.DUMMYFUNCTION("""COMPUTED_VALUE"""),"Negative")</f>
        <v>Negative</v>
      </c>
      <c r="I747" s="308">
        <f>IFERROR(__xludf.DUMMYFUNCTION("""COMPUTED_VALUE"""),44939.0)</f>
        <v>44939</v>
      </c>
      <c r="J747" s="311">
        <f>IFERROR(__xludf.DUMMYFUNCTION("""COMPUTED_VALUE"""),0.43341435185185184)</f>
        <v>0.4334143519</v>
      </c>
      <c r="K747" s="54"/>
      <c r="L747" s="7"/>
      <c r="M747" s="312"/>
      <c r="N747" s="172">
        <f>IFERROR(__xludf.DUMMYFUNCTION("""COMPUTED_VALUE"""),1.0)</f>
        <v>1</v>
      </c>
      <c r="O747" s="172"/>
      <c r="P747" s="313">
        <f>IFERROR(__xludf.DUMMYFUNCTION("""COMPUTED_VALUE"""),0.0)</f>
        <v>0</v>
      </c>
      <c r="Q747" s="76" t="b">
        <f>VLOOKUP($B747,'Run Reconcile'!B$2:O1399,14,FALSE)</f>
        <v>1</v>
      </c>
      <c r="R747" s="314" t="str">
        <f t="array" ref="R747">IF($Q747, INDEX('Run Reconcile'!A$2:A1399,MATCH(B747,'Run Reconcile'!B$2:B1399,0),1),IFERROR(0/0,""))</f>
        <v>RUN-ABRM_2023-01-13_RFR-131</v>
      </c>
      <c r="S747" s="315" t="str">
        <f t="shared" ref="S747:T747" si="1499">IF(COUNTIF(W$2:W1399, $A747) &gt; 0,TRUE,IFERROR(0/0,""))</f>
        <v/>
      </c>
      <c r="T747" s="315" t="str">
        <f t="shared" si="1499"/>
        <v/>
      </c>
      <c r="U747" s="114" t="str">
        <f t="array" ref="U747">IF(ISBLANK($R747), INDEX('Run Reconcile'!A$2:A1399, MATCH($B747, 'Run Reconcile'!B$2:B1399, 0)+Z747, 1), IFERROR(0/0,""))
</f>
        <v/>
      </c>
      <c r="V747" s="316" t="str">
        <f t="shared" si="1281"/>
        <v>RUN-ABRM_2023-01-13_RFR-131</v>
      </c>
      <c r="Y747" s="317" t="str">
        <f t="shared" si="6"/>
        <v/>
      </c>
      <c r="Z747" s="83" t="str">
        <f t="shared" si="7"/>
        <v/>
      </c>
      <c r="AA747" s="83" t="str">
        <f t="shared" si="8"/>
        <v/>
      </c>
      <c r="AB747" s="83" t="str">
        <f t="shared" si="9"/>
        <v/>
      </c>
      <c r="AC747" s="18" t="str">
        <f t="shared" ref="AC747:AD747" si="1500">IF(_xlfn.ISFORMULA(S747),IFERROR(0/0,""),TRUE)</f>
        <v/>
      </c>
      <c r="AD747" s="18" t="str">
        <f t="shared" si="1500"/>
        <v/>
      </c>
      <c r="AE747" s="43"/>
      <c r="AF747" s="58" t="s">
        <v>118</v>
      </c>
      <c r="AG747" s="55" t="str">
        <f t="shared" si="11"/>
        <v/>
      </c>
    </row>
    <row r="748">
      <c r="A748" s="7" t="str">
        <f>IFERROR(__xludf.DUMMYFUNCTION("""COMPUTED_VALUE"""),"AH6911")</f>
        <v>AH6911</v>
      </c>
      <c r="B748" s="308">
        <f>IFERROR(__xludf.DUMMYFUNCTION("""COMPUTED_VALUE"""),44942.0)</f>
        <v>44942</v>
      </c>
      <c r="C748" s="309">
        <f>IFERROR(__xludf.DUMMYFUNCTION("""COMPUTED_VALUE"""),0.21008101851851851)</f>
        <v>0.2100810185</v>
      </c>
      <c r="D748" s="7" t="str">
        <f>IFERROR(__xludf.DUMMYFUNCTION("""COMPUTED_VALUE"""),"SpABRM655136")</f>
        <v>SpABRM655136</v>
      </c>
      <c r="E748" s="310"/>
      <c r="F748" s="310"/>
      <c r="G748" s="310" t="str">
        <f>IFERROR(__xludf.DUMMYFUNCTION("""COMPUTED_VALUE"""),"Negative")</f>
        <v>Negative</v>
      </c>
      <c r="H748" s="319" t="str">
        <f>IFERROR(__xludf.DUMMYFUNCTION("""COMPUTED_VALUE"""),"Negative")</f>
        <v>Negative</v>
      </c>
      <c r="I748" s="308">
        <f>IFERROR(__xludf.DUMMYFUNCTION("""COMPUTED_VALUE"""),44942.0)</f>
        <v>44942</v>
      </c>
      <c r="J748" s="311">
        <f>IFERROR(__xludf.DUMMYFUNCTION("""COMPUTED_VALUE"""),0.40063657407407405)</f>
        <v>0.4006365741</v>
      </c>
      <c r="K748" s="54"/>
      <c r="L748" s="7"/>
      <c r="M748" s="312"/>
      <c r="N748" s="172">
        <f>IFERROR(__xludf.DUMMYFUNCTION("""COMPUTED_VALUE"""),2.0)</f>
        <v>2</v>
      </c>
      <c r="O748" s="172"/>
      <c r="P748" s="313">
        <f>IFERROR(__xludf.DUMMYFUNCTION("""COMPUTED_VALUE"""),0.0)</f>
        <v>0</v>
      </c>
      <c r="Q748" s="76" t="b">
        <f>VLOOKUP($B748,'Run Reconcile'!B$2:O1399,14,FALSE)</f>
        <v>1</v>
      </c>
      <c r="R748" s="314" t="str">
        <f t="array" ref="R748">IF($Q748, INDEX('Run Reconcile'!A$2:A1399,MATCH(B748,'Run Reconcile'!B$2:B1399,0),1),IFERROR(0/0,""))</f>
        <v>RUN-ABRM_2023-01-16_RFR-133</v>
      </c>
      <c r="S748" s="315" t="str">
        <f t="shared" ref="S748:T748" si="1501">IF(COUNTIF(W$2:W1399, $A748) &gt; 0,TRUE,IFERROR(0/0,""))</f>
        <v/>
      </c>
      <c r="T748" s="315" t="str">
        <f t="shared" si="1501"/>
        <v/>
      </c>
      <c r="U748" s="114" t="str">
        <f t="array" ref="U748">IF(ISBLANK($R748), INDEX('Run Reconcile'!A$2:A1399, MATCH($B748, 'Run Reconcile'!B$2:B1399, 0)+Z748, 1), IFERROR(0/0,""))
</f>
        <v/>
      </c>
      <c r="V748" s="316" t="str">
        <f t="shared" si="1281"/>
        <v>RUN-ABRM_2023-01-16_RFR-133</v>
      </c>
      <c r="Y748" s="317" t="str">
        <f t="shared" si="6"/>
        <v/>
      </c>
      <c r="Z748" s="83" t="str">
        <f t="shared" si="7"/>
        <v/>
      </c>
      <c r="AA748" s="83" t="str">
        <f t="shared" si="8"/>
        <v/>
      </c>
      <c r="AB748" s="83" t="str">
        <f t="shared" si="9"/>
        <v/>
      </c>
      <c r="AC748" s="18" t="str">
        <f t="shared" ref="AC748:AD748" si="1502">IF(_xlfn.ISFORMULA(S748),IFERROR(0/0,""),TRUE)</f>
        <v/>
      </c>
      <c r="AD748" s="18" t="str">
        <f t="shared" si="1502"/>
        <v/>
      </c>
      <c r="AE748" s="43"/>
      <c r="AF748" s="58" t="s">
        <v>119</v>
      </c>
      <c r="AG748" s="55" t="str">
        <f t="shared" si="11"/>
        <v/>
      </c>
    </row>
    <row r="749">
      <c r="A749" s="7" t="str">
        <f>IFERROR(__xludf.DUMMYFUNCTION("""COMPUTED_VALUE"""),"AH1387")</f>
        <v>AH1387</v>
      </c>
      <c r="B749" s="308">
        <f>IFERROR(__xludf.DUMMYFUNCTION("""COMPUTED_VALUE"""),44942.0)</f>
        <v>44942</v>
      </c>
      <c r="C749" s="309">
        <f>IFERROR(__xludf.DUMMYFUNCTION("""COMPUTED_VALUE"""),0.23803240740740741)</f>
        <v>0.2380324074</v>
      </c>
      <c r="D749" s="7" t="str">
        <f>IFERROR(__xludf.DUMMYFUNCTION("""COMPUTED_VALUE"""),"SpABRM297307")</f>
        <v>SpABRM297307</v>
      </c>
      <c r="E749" s="310"/>
      <c r="F749" s="310"/>
      <c r="G749" s="310" t="str">
        <f>IFERROR(__xludf.DUMMYFUNCTION("""COMPUTED_VALUE"""),"Negative")</f>
        <v>Negative</v>
      </c>
      <c r="H749" s="319" t="str">
        <f>IFERROR(__xludf.DUMMYFUNCTION("""COMPUTED_VALUE"""),"Negative")</f>
        <v>Negative</v>
      </c>
      <c r="I749" s="308">
        <f>IFERROR(__xludf.DUMMYFUNCTION("""COMPUTED_VALUE"""),44942.0)</f>
        <v>44942</v>
      </c>
      <c r="J749" s="311">
        <f>IFERROR(__xludf.DUMMYFUNCTION("""COMPUTED_VALUE"""),0.4155787037037037)</f>
        <v>0.4155787037</v>
      </c>
      <c r="K749" s="54"/>
      <c r="L749" s="7"/>
      <c r="M749" s="312"/>
      <c r="N749" s="172">
        <f>IFERROR(__xludf.DUMMYFUNCTION("""COMPUTED_VALUE"""),3.0)</f>
        <v>3</v>
      </c>
      <c r="O749" s="172"/>
      <c r="P749" s="313">
        <f>IFERROR(__xludf.DUMMYFUNCTION("""COMPUTED_VALUE"""),0.0)</f>
        <v>0</v>
      </c>
      <c r="Q749" s="76" t="b">
        <f>VLOOKUP($B749,'Run Reconcile'!B$2:O1399,14,FALSE)</f>
        <v>1</v>
      </c>
      <c r="R749" s="314" t="str">
        <f t="array" ref="R749">IF($Q749, INDEX('Run Reconcile'!A$2:A1399,MATCH(B749,'Run Reconcile'!B$2:B1399,0),1),IFERROR(0/0,""))</f>
        <v>RUN-ABRM_2023-01-16_RFR-133</v>
      </c>
      <c r="S749" s="315" t="str">
        <f t="shared" ref="S749:T749" si="1503">IF(COUNTIF(W$2:W1399, $A749) &gt; 0,TRUE,IFERROR(0/0,""))</f>
        <v/>
      </c>
      <c r="T749" s="315" t="str">
        <f t="shared" si="1503"/>
        <v/>
      </c>
      <c r="U749" s="114" t="str">
        <f t="array" ref="U749">IF(ISBLANK($R749), INDEX('Run Reconcile'!A$2:A1399, MATCH($B749, 'Run Reconcile'!B$2:B1399, 0)+Z749, 1), IFERROR(0/0,""))
</f>
        <v/>
      </c>
      <c r="V749" s="316" t="str">
        <f t="shared" si="1281"/>
        <v>RUN-ABRM_2023-01-16_RFR-133</v>
      </c>
      <c r="Y749" s="317" t="str">
        <f t="shared" si="6"/>
        <v/>
      </c>
      <c r="Z749" s="83" t="str">
        <f t="shared" si="7"/>
        <v/>
      </c>
      <c r="AA749" s="83" t="str">
        <f t="shared" si="8"/>
        <v/>
      </c>
      <c r="AB749" s="83" t="str">
        <f t="shared" si="9"/>
        <v/>
      </c>
      <c r="AC749" s="18" t="str">
        <f t="shared" ref="AC749:AD749" si="1504">IF(_xlfn.ISFORMULA(S749),IFERROR(0/0,""),TRUE)</f>
        <v/>
      </c>
      <c r="AD749" s="18" t="str">
        <f t="shared" si="1504"/>
        <v/>
      </c>
      <c r="AE749" s="43"/>
      <c r="AF749" s="58" t="s">
        <v>119</v>
      </c>
      <c r="AG749" s="55" t="str">
        <f t="shared" si="11"/>
        <v/>
      </c>
    </row>
    <row r="750">
      <c r="A750" s="7" t="str">
        <f>IFERROR(__xludf.DUMMYFUNCTION("""COMPUTED_VALUE"""),"AJ7923")</f>
        <v>AJ7923</v>
      </c>
      <c r="B750" s="308">
        <f>IFERROR(__xludf.DUMMYFUNCTION("""COMPUTED_VALUE"""),44942.0)</f>
        <v>44942</v>
      </c>
      <c r="C750" s="309">
        <f>IFERROR(__xludf.DUMMYFUNCTION("""COMPUTED_VALUE"""),0.28954861111111113)</f>
        <v>0.2895486111</v>
      </c>
      <c r="D750" s="7" t="str">
        <f>IFERROR(__xludf.DUMMYFUNCTION("""COMPUTED_VALUE"""),"SpABRM128250")</f>
        <v>SpABRM128250</v>
      </c>
      <c r="E750" s="310"/>
      <c r="F750" s="310"/>
      <c r="G750" s="310" t="str">
        <f>IFERROR(__xludf.DUMMYFUNCTION("""COMPUTED_VALUE"""),"Negative")</f>
        <v>Negative</v>
      </c>
      <c r="H750" s="319" t="str">
        <f>IFERROR(__xludf.DUMMYFUNCTION("""COMPUTED_VALUE"""),"Negative")</f>
        <v>Negative</v>
      </c>
      <c r="I750" s="308">
        <f>IFERROR(__xludf.DUMMYFUNCTION("""COMPUTED_VALUE"""),44942.0)</f>
        <v>44942</v>
      </c>
      <c r="J750" s="311">
        <f>IFERROR(__xludf.DUMMYFUNCTION("""COMPUTED_VALUE"""),0.40064814814814814)</f>
        <v>0.4006481481</v>
      </c>
      <c r="K750" s="54"/>
      <c r="L750" s="7"/>
      <c r="M750" s="312"/>
      <c r="N750" s="172">
        <f>IFERROR(__xludf.DUMMYFUNCTION("""COMPUTED_VALUE"""),3.0)</f>
        <v>3</v>
      </c>
      <c r="O750" s="172"/>
      <c r="P750" s="313">
        <f>IFERROR(__xludf.DUMMYFUNCTION("""COMPUTED_VALUE"""),0.0)</f>
        <v>0</v>
      </c>
      <c r="Q750" s="76" t="b">
        <f>VLOOKUP($B750,'Run Reconcile'!B$2:O1399,14,FALSE)</f>
        <v>1</v>
      </c>
      <c r="R750" s="314" t="str">
        <f t="array" ref="R750">IF($Q750, INDEX('Run Reconcile'!A$2:A1399,MATCH(B750,'Run Reconcile'!B$2:B1399,0),1),IFERROR(0/0,""))</f>
        <v>RUN-ABRM_2023-01-16_RFR-133</v>
      </c>
      <c r="S750" s="315" t="str">
        <f t="shared" ref="S750:T750" si="1505">IF(COUNTIF(W$2:W1399, $A750) &gt; 0,TRUE,IFERROR(0/0,""))</f>
        <v/>
      </c>
      <c r="T750" s="315" t="str">
        <f t="shared" si="1505"/>
        <v/>
      </c>
      <c r="U750" s="114" t="str">
        <f t="array" ref="U750">IF(ISBLANK($R750), INDEX('Run Reconcile'!A$2:A1399, MATCH($B750, 'Run Reconcile'!B$2:B1399, 0)+Z750, 1), IFERROR(0/0,""))
</f>
        <v/>
      </c>
      <c r="V750" s="316" t="str">
        <f t="shared" si="1281"/>
        <v>RUN-ABRM_2023-01-16_RFR-133</v>
      </c>
      <c r="Y750" s="317" t="str">
        <f t="shared" si="6"/>
        <v/>
      </c>
      <c r="Z750" s="83" t="str">
        <f t="shared" si="7"/>
        <v/>
      </c>
      <c r="AA750" s="83" t="str">
        <f t="shared" si="8"/>
        <v/>
      </c>
      <c r="AB750" s="83" t="str">
        <f t="shared" si="9"/>
        <v/>
      </c>
      <c r="AC750" s="18" t="str">
        <f t="shared" ref="AC750:AD750" si="1506">IF(_xlfn.ISFORMULA(S750),IFERROR(0/0,""),TRUE)</f>
        <v/>
      </c>
      <c r="AD750" s="18" t="str">
        <f t="shared" si="1506"/>
        <v/>
      </c>
      <c r="AE750" s="43"/>
      <c r="AF750" s="58" t="s">
        <v>119</v>
      </c>
      <c r="AG750" s="55" t="str">
        <f t="shared" si="11"/>
        <v/>
      </c>
    </row>
    <row r="751">
      <c r="A751" s="7" t="str">
        <f>IFERROR(__xludf.DUMMYFUNCTION("""COMPUTED_VALUE"""),"AK6704")</f>
        <v>AK6704</v>
      </c>
      <c r="B751" s="308">
        <f>IFERROR(__xludf.DUMMYFUNCTION("""COMPUTED_VALUE"""),44942.0)</f>
        <v>44942</v>
      </c>
      <c r="C751" s="309">
        <f>IFERROR(__xludf.DUMMYFUNCTION("""COMPUTED_VALUE"""),0.2962037037037037)</f>
        <v>0.2962037037</v>
      </c>
      <c r="D751" s="7" t="str">
        <f>IFERROR(__xludf.DUMMYFUNCTION("""COMPUTED_VALUE"""),"SpABRM454310")</f>
        <v>SpABRM454310</v>
      </c>
      <c r="E751" s="310"/>
      <c r="F751" s="310"/>
      <c r="G751" s="310" t="str">
        <f>IFERROR(__xludf.DUMMYFUNCTION("""COMPUTED_VALUE"""),"Negative")</f>
        <v>Negative</v>
      </c>
      <c r="H751" s="319" t="str">
        <f>IFERROR(__xludf.DUMMYFUNCTION("""COMPUTED_VALUE"""),"Negative")</f>
        <v>Negative</v>
      </c>
      <c r="I751" s="308">
        <f>IFERROR(__xludf.DUMMYFUNCTION("""COMPUTED_VALUE"""),44942.0)</f>
        <v>44942</v>
      </c>
      <c r="J751" s="311">
        <f>IFERROR(__xludf.DUMMYFUNCTION("""COMPUTED_VALUE"""),0.40065972222222224)</f>
        <v>0.4006597222</v>
      </c>
      <c r="K751" s="54"/>
      <c r="L751" s="7"/>
      <c r="M751" s="312"/>
      <c r="N751" s="172">
        <f>IFERROR(__xludf.DUMMYFUNCTION("""COMPUTED_VALUE"""),3.0)</f>
        <v>3</v>
      </c>
      <c r="O751" s="172"/>
      <c r="P751" s="313">
        <f>IFERROR(__xludf.DUMMYFUNCTION("""COMPUTED_VALUE"""),0.0)</f>
        <v>0</v>
      </c>
      <c r="Q751" s="76" t="b">
        <f>VLOOKUP($B751,'Run Reconcile'!B$2:O1399,14,FALSE)</f>
        <v>1</v>
      </c>
      <c r="R751" s="314" t="str">
        <f t="array" ref="R751">IF($Q751, INDEX('Run Reconcile'!A$2:A1399,MATCH(B751,'Run Reconcile'!B$2:B1399,0),1),IFERROR(0/0,""))</f>
        <v>RUN-ABRM_2023-01-16_RFR-133</v>
      </c>
      <c r="S751" s="315" t="str">
        <f t="shared" ref="S751:T751" si="1507">IF(COUNTIF(W$2:W1399, $A751) &gt; 0,TRUE,IFERROR(0/0,""))</f>
        <v/>
      </c>
      <c r="T751" s="315" t="str">
        <f t="shared" si="1507"/>
        <v/>
      </c>
      <c r="U751" s="114" t="str">
        <f t="array" ref="U751">IF(ISBLANK($R751), INDEX('Run Reconcile'!A$2:A1399, MATCH($B751, 'Run Reconcile'!B$2:B1399, 0)+Z751, 1), IFERROR(0/0,""))
</f>
        <v/>
      </c>
      <c r="V751" s="316" t="str">
        <f t="shared" si="1281"/>
        <v>RUN-ABRM_2023-01-16_RFR-133</v>
      </c>
      <c r="Y751" s="317" t="str">
        <f t="shared" si="6"/>
        <v/>
      </c>
      <c r="Z751" s="83" t="str">
        <f t="shared" si="7"/>
        <v/>
      </c>
      <c r="AA751" s="83" t="str">
        <f t="shared" si="8"/>
        <v/>
      </c>
      <c r="AB751" s="83" t="str">
        <f t="shared" si="9"/>
        <v/>
      </c>
      <c r="AC751" s="18" t="str">
        <f t="shared" ref="AC751:AD751" si="1508">IF(_xlfn.ISFORMULA(S751),IFERROR(0/0,""),TRUE)</f>
        <v/>
      </c>
      <c r="AD751" s="18" t="str">
        <f t="shared" si="1508"/>
        <v/>
      </c>
      <c r="AE751" s="43"/>
      <c r="AF751" s="58" t="s">
        <v>119</v>
      </c>
      <c r="AG751" s="55" t="str">
        <f t="shared" si="11"/>
        <v/>
      </c>
    </row>
    <row r="752">
      <c r="A752" s="7" t="str">
        <f>IFERROR(__xludf.DUMMYFUNCTION("""COMPUTED_VALUE"""),"AK5490")</f>
        <v>AK5490</v>
      </c>
      <c r="B752" s="308">
        <f>IFERROR(__xludf.DUMMYFUNCTION("""COMPUTED_VALUE"""),44942.0)</f>
        <v>44942</v>
      </c>
      <c r="C752" s="309">
        <f>IFERROR(__xludf.DUMMYFUNCTION("""COMPUTED_VALUE"""),0.30787037037037035)</f>
        <v>0.3078703704</v>
      </c>
      <c r="D752" s="7" t="str">
        <f>IFERROR(__xludf.DUMMYFUNCTION("""COMPUTED_VALUE"""),"SpABRM814022")</f>
        <v>SpABRM814022</v>
      </c>
      <c r="E752" s="310"/>
      <c r="F752" s="310"/>
      <c r="G752" s="310" t="str">
        <f>IFERROR(__xludf.DUMMYFUNCTION("""COMPUTED_VALUE"""),"Negative")</f>
        <v>Negative</v>
      </c>
      <c r="H752" s="319" t="str">
        <f>IFERROR(__xludf.DUMMYFUNCTION("""COMPUTED_VALUE"""),"Negative")</f>
        <v>Negative</v>
      </c>
      <c r="I752" s="308">
        <f>IFERROR(__xludf.DUMMYFUNCTION("""COMPUTED_VALUE"""),44942.0)</f>
        <v>44942</v>
      </c>
      <c r="J752" s="311">
        <f>IFERROR(__xludf.DUMMYFUNCTION("""COMPUTED_VALUE"""),0.40065972222222224)</f>
        <v>0.4006597222</v>
      </c>
      <c r="K752" s="54"/>
      <c r="L752" s="7"/>
      <c r="M752" s="312"/>
      <c r="N752" s="172">
        <f>IFERROR(__xludf.DUMMYFUNCTION("""COMPUTED_VALUE"""),1.0)</f>
        <v>1</v>
      </c>
      <c r="O752" s="172"/>
      <c r="P752" s="313">
        <f>IFERROR(__xludf.DUMMYFUNCTION("""COMPUTED_VALUE"""),0.0)</f>
        <v>0</v>
      </c>
      <c r="Q752" s="76" t="b">
        <f>VLOOKUP($B752,'Run Reconcile'!B$2:O1399,14,FALSE)</f>
        <v>1</v>
      </c>
      <c r="R752" s="314" t="str">
        <f t="array" ref="R752">IF($Q752, INDEX('Run Reconcile'!A$2:A1399,MATCH(B752,'Run Reconcile'!B$2:B1399,0),1),IFERROR(0/0,""))</f>
        <v>RUN-ABRM_2023-01-16_RFR-133</v>
      </c>
      <c r="S752" s="315" t="str">
        <f t="shared" ref="S752:T752" si="1509">IF(COUNTIF(W$2:W1399, $A752) &gt; 0,TRUE,IFERROR(0/0,""))</f>
        <v/>
      </c>
      <c r="T752" s="315" t="str">
        <f t="shared" si="1509"/>
        <v/>
      </c>
      <c r="U752" s="114" t="str">
        <f t="array" ref="U752">IF(ISBLANK($R752), INDEX('Run Reconcile'!A$2:A1399, MATCH($B752, 'Run Reconcile'!B$2:B1399, 0)+Z752, 1), IFERROR(0/0,""))
</f>
        <v/>
      </c>
      <c r="V752" s="316" t="str">
        <f t="shared" si="1281"/>
        <v>RUN-ABRM_2023-01-16_RFR-133</v>
      </c>
      <c r="Y752" s="317" t="str">
        <f t="shared" si="6"/>
        <v/>
      </c>
      <c r="Z752" s="83" t="str">
        <f t="shared" si="7"/>
        <v/>
      </c>
      <c r="AA752" s="83" t="str">
        <f t="shared" si="8"/>
        <v/>
      </c>
      <c r="AB752" s="83" t="str">
        <f t="shared" si="9"/>
        <v/>
      </c>
      <c r="AC752" s="18" t="str">
        <f t="shared" ref="AC752:AD752" si="1510">IF(_xlfn.ISFORMULA(S752),IFERROR(0/0,""),TRUE)</f>
        <v/>
      </c>
      <c r="AD752" s="18" t="str">
        <f t="shared" si="1510"/>
        <v/>
      </c>
      <c r="AE752" s="43"/>
      <c r="AF752" s="58" t="s">
        <v>119</v>
      </c>
      <c r="AG752" s="55" t="str">
        <f t="shared" si="11"/>
        <v/>
      </c>
    </row>
    <row r="753">
      <c r="A753" s="7" t="str">
        <f>IFERROR(__xludf.DUMMYFUNCTION("""COMPUTED_VALUE"""),"AH7347")</f>
        <v>AH7347</v>
      </c>
      <c r="B753" s="308">
        <f>IFERROR(__xludf.DUMMYFUNCTION("""COMPUTED_VALUE"""),44942.0)</f>
        <v>44942</v>
      </c>
      <c r="C753" s="309">
        <f>IFERROR(__xludf.DUMMYFUNCTION("""COMPUTED_VALUE"""),0.316724537037037)</f>
        <v>0.316724537</v>
      </c>
      <c r="D753" s="7" t="str">
        <f>IFERROR(__xludf.DUMMYFUNCTION("""COMPUTED_VALUE"""),"SpABRM367540")</f>
        <v>SpABRM367540</v>
      </c>
      <c r="E753" s="310"/>
      <c r="F753" s="310"/>
      <c r="G753" s="310" t="str">
        <f>IFERROR(__xludf.DUMMYFUNCTION("""COMPUTED_VALUE"""),"Negative")</f>
        <v>Negative</v>
      </c>
      <c r="H753" s="319" t="str">
        <f>IFERROR(__xludf.DUMMYFUNCTION("""COMPUTED_VALUE"""),"Negative")</f>
        <v>Negative</v>
      </c>
      <c r="I753" s="308">
        <f>IFERROR(__xludf.DUMMYFUNCTION("""COMPUTED_VALUE"""),44942.0)</f>
        <v>44942</v>
      </c>
      <c r="J753" s="311">
        <f>IFERROR(__xludf.DUMMYFUNCTION("""COMPUTED_VALUE"""),0.4006712962962963)</f>
        <v>0.4006712963</v>
      </c>
      <c r="K753" s="54"/>
      <c r="L753" s="7"/>
      <c r="M753" s="312"/>
      <c r="N753" s="172">
        <f>IFERROR(__xludf.DUMMYFUNCTION("""COMPUTED_VALUE"""),3.0)</f>
        <v>3</v>
      </c>
      <c r="O753" s="172"/>
      <c r="P753" s="313">
        <f>IFERROR(__xludf.DUMMYFUNCTION("""COMPUTED_VALUE"""),0.0)</f>
        <v>0</v>
      </c>
      <c r="Q753" s="76" t="b">
        <f>VLOOKUP($B753,'Run Reconcile'!B$2:O1399,14,FALSE)</f>
        <v>1</v>
      </c>
      <c r="R753" s="314" t="str">
        <f t="array" ref="R753">IF($Q753, INDEX('Run Reconcile'!A$2:A1399,MATCH(B753,'Run Reconcile'!B$2:B1399,0),1),IFERROR(0/0,""))</f>
        <v>RUN-ABRM_2023-01-16_RFR-133</v>
      </c>
      <c r="S753" s="315" t="str">
        <f t="shared" ref="S753:T753" si="1511">IF(COUNTIF(W$2:W1399, $A753) &gt; 0,TRUE,IFERROR(0/0,""))</f>
        <v/>
      </c>
      <c r="T753" s="315" t="str">
        <f t="shared" si="1511"/>
        <v/>
      </c>
      <c r="U753" s="114" t="str">
        <f t="array" ref="U753">IF(ISBLANK($R753), INDEX('Run Reconcile'!A$2:A1399, MATCH($B753, 'Run Reconcile'!B$2:B1399, 0)+Z753, 1), IFERROR(0/0,""))
</f>
        <v/>
      </c>
      <c r="V753" s="316" t="str">
        <f t="shared" si="1281"/>
        <v>RUN-ABRM_2023-01-16_RFR-133</v>
      </c>
      <c r="Y753" s="317" t="str">
        <f t="shared" si="6"/>
        <v/>
      </c>
      <c r="Z753" s="83" t="str">
        <f t="shared" si="7"/>
        <v/>
      </c>
      <c r="AA753" s="83" t="str">
        <f t="shared" si="8"/>
        <v/>
      </c>
      <c r="AB753" s="83" t="str">
        <f t="shared" si="9"/>
        <v/>
      </c>
      <c r="AC753" s="18" t="str">
        <f t="shared" ref="AC753:AD753" si="1512">IF(_xlfn.ISFORMULA(S753),IFERROR(0/0,""),TRUE)</f>
        <v/>
      </c>
      <c r="AD753" s="18" t="str">
        <f t="shared" si="1512"/>
        <v/>
      </c>
      <c r="AE753" s="43"/>
      <c r="AF753" s="58" t="s">
        <v>119</v>
      </c>
      <c r="AG753" s="55" t="str">
        <f t="shared" si="11"/>
        <v/>
      </c>
    </row>
    <row r="754">
      <c r="A754" s="7" t="str">
        <f>IFERROR(__xludf.DUMMYFUNCTION("""COMPUTED_VALUE"""),"AH967")</f>
        <v>AH967</v>
      </c>
      <c r="B754" s="308">
        <f>IFERROR(__xludf.DUMMYFUNCTION("""COMPUTED_VALUE"""),44942.0)</f>
        <v>44942</v>
      </c>
      <c r="C754" s="309">
        <f>IFERROR(__xludf.DUMMYFUNCTION("""COMPUTED_VALUE"""),0.3352199074074074)</f>
        <v>0.3352199074</v>
      </c>
      <c r="D754" s="7" t="str">
        <f>IFERROR(__xludf.DUMMYFUNCTION("""COMPUTED_VALUE"""),"SpABRM655136")</f>
        <v>SpABRM655136</v>
      </c>
      <c r="E754" s="310"/>
      <c r="F754" s="310"/>
      <c r="G754" s="310" t="str">
        <f>IFERROR(__xludf.DUMMYFUNCTION("""COMPUTED_VALUE"""),"Negative")</f>
        <v>Negative</v>
      </c>
      <c r="H754" s="319" t="str">
        <f>IFERROR(__xludf.DUMMYFUNCTION("""COMPUTED_VALUE"""),"Negative")</f>
        <v>Negative</v>
      </c>
      <c r="I754" s="308">
        <f>IFERROR(__xludf.DUMMYFUNCTION("""COMPUTED_VALUE"""),44942.0)</f>
        <v>44942</v>
      </c>
      <c r="J754" s="311">
        <f>IFERROR(__xludf.DUMMYFUNCTION("""COMPUTED_VALUE"""),0.40068287037037037)</f>
        <v>0.4006828704</v>
      </c>
      <c r="K754" s="54"/>
      <c r="L754" s="7"/>
      <c r="M754" s="312"/>
      <c r="N754" s="172">
        <f>IFERROR(__xludf.DUMMYFUNCTION("""COMPUTED_VALUE"""),1.0)</f>
        <v>1</v>
      </c>
      <c r="O754" s="172"/>
      <c r="P754" s="313">
        <f>IFERROR(__xludf.DUMMYFUNCTION("""COMPUTED_VALUE"""),0.0)</f>
        <v>0</v>
      </c>
      <c r="Q754" s="76" t="b">
        <f>VLOOKUP($B754,'Run Reconcile'!B$2:O1399,14,FALSE)</f>
        <v>1</v>
      </c>
      <c r="R754" s="314" t="str">
        <f t="array" ref="R754">IF($Q754, INDEX('Run Reconcile'!A$2:A1399,MATCH(B754,'Run Reconcile'!B$2:B1399,0),1),IFERROR(0/0,""))</f>
        <v>RUN-ABRM_2023-01-16_RFR-133</v>
      </c>
      <c r="S754" s="315" t="str">
        <f t="shared" ref="S754:T754" si="1513">IF(COUNTIF(W$2:W1399, $A754) &gt; 0,TRUE,IFERROR(0/0,""))</f>
        <v/>
      </c>
      <c r="T754" s="315" t="str">
        <f t="shared" si="1513"/>
        <v/>
      </c>
      <c r="U754" s="114" t="str">
        <f t="array" ref="U754">IF(ISBLANK($R754), INDEX('Run Reconcile'!A$2:A1399, MATCH($B754, 'Run Reconcile'!B$2:B1399, 0)+Z754, 1), IFERROR(0/0,""))
</f>
        <v/>
      </c>
      <c r="V754" s="316" t="str">
        <f t="shared" si="1281"/>
        <v>RUN-ABRM_2023-01-16_RFR-133</v>
      </c>
      <c r="Y754" s="317" t="str">
        <f t="shared" si="6"/>
        <v/>
      </c>
      <c r="Z754" s="83" t="str">
        <f t="shared" si="7"/>
        <v/>
      </c>
      <c r="AA754" s="83" t="str">
        <f t="shared" si="8"/>
        <v/>
      </c>
      <c r="AB754" s="83" t="str">
        <f t="shared" si="9"/>
        <v/>
      </c>
      <c r="AC754" s="18" t="str">
        <f t="shared" ref="AC754:AD754" si="1514">IF(_xlfn.ISFORMULA(S754),IFERROR(0/0,""),TRUE)</f>
        <v/>
      </c>
      <c r="AD754" s="18" t="str">
        <f t="shared" si="1514"/>
        <v/>
      </c>
      <c r="AE754" s="43"/>
      <c r="AF754" s="58" t="s">
        <v>119</v>
      </c>
      <c r="AG754" s="55" t="str">
        <f t="shared" si="11"/>
        <v/>
      </c>
    </row>
    <row r="755">
      <c r="A755" s="7" t="str">
        <f>IFERROR(__xludf.DUMMYFUNCTION("""COMPUTED_VALUE"""),"AJ9599")</f>
        <v>AJ9599</v>
      </c>
      <c r="B755" s="308">
        <f>IFERROR(__xludf.DUMMYFUNCTION("""COMPUTED_VALUE"""),44942.0)</f>
        <v>44942</v>
      </c>
      <c r="C755" s="309">
        <f>IFERROR(__xludf.DUMMYFUNCTION("""COMPUTED_VALUE"""),0.3362962962962963)</f>
        <v>0.3362962963</v>
      </c>
      <c r="D755" s="7" t="str">
        <f>IFERROR(__xludf.DUMMYFUNCTION("""COMPUTED_VALUE"""),"SpABRM655136")</f>
        <v>SpABRM655136</v>
      </c>
      <c r="E755" s="310"/>
      <c r="F755" s="310"/>
      <c r="G755" s="310" t="str">
        <f>IFERROR(__xludf.DUMMYFUNCTION("""COMPUTED_VALUE"""),"Negative")</f>
        <v>Negative</v>
      </c>
      <c r="H755" s="319" t="str">
        <f>IFERROR(__xludf.DUMMYFUNCTION("""COMPUTED_VALUE"""),"Negative")</f>
        <v>Negative</v>
      </c>
      <c r="I755" s="308">
        <f>IFERROR(__xludf.DUMMYFUNCTION("""COMPUTED_VALUE"""),44942.0)</f>
        <v>44942</v>
      </c>
      <c r="J755" s="311">
        <f>IFERROR(__xludf.DUMMYFUNCTION("""COMPUTED_VALUE"""),0.40068287037037037)</f>
        <v>0.4006828704</v>
      </c>
      <c r="K755" s="54"/>
      <c r="L755" s="7"/>
      <c r="M755" s="312"/>
      <c r="N755" s="172">
        <f>IFERROR(__xludf.DUMMYFUNCTION("""COMPUTED_VALUE"""),1.0)</f>
        <v>1</v>
      </c>
      <c r="O755" s="172"/>
      <c r="P755" s="313">
        <f>IFERROR(__xludf.DUMMYFUNCTION("""COMPUTED_VALUE"""),0.0)</f>
        <v>0</v>
      </c>
      <c r="Q755" s="76" t="b">
        <f>VLOOKUP($B755,'Run Reconcile'!B$2:O1399,14,FALSE)</f>
        <v>1</v>
      </c>
      <c r="R755" s="314" t="str">
        <f t="array" ref="R755">IF($Q755, INDEX('Run Reconcile'!A$2:A1399,MATCH(B755,'Run Reconcile'!B$2:B1399,0),1),IFERROR(0/0,""))</f>
        <v>RUN-ABRM_2023-01-16_RFR-133</v>
      </c>
      <c r="S755" s="315" t="str">
        <f t="shared" ref="S755:T755" si="1515">IF(COUNTIF(W$2:W1399, $A755) &gt; 0,TRUE,IFERROR(0/0,""))</f>
        <v/>
      </c>
      <c r="T755" s="315" t="str">
        <f t="shared" si="1515"/>
        <v/>
      </c>
      <c r="U755" s="114" t="str">
        <f t="array" ref="U755">IF(ISBLANK($R755), INDEX('Run Reconcile'!A$2:A1399, MATCH($B755, 'Run Reconcile'!B$2:B1399, 0)+Z755, 1), IFERROR(0/0,""))
</f>
        <v/>
      </c>
      <c r="V755" s="316" t="str">
        <f t="shared" si="1281"/>
        <v>RUN-ABRM_2023-01-16_RFR-133</v>
      </c>
      <c r="Y755" s="317" t="str">
        <f t="shared" si="6"/>
        <v/>
      </c>
      <c r="Z755" s="83" t="str">
        <f t="shared" si="7"/>
        <v/>
      </c>
      <c r="AA755" s="83" t="str">
        <f t="shared" si="8"/>
        <v/>
      </c>
      <c r="AB755" s="83" t="str">
        <f t="shared" si="9"/>
        <v/>
      </c>
      <c r="AC755" s="18" t="str">
        <f t="shared" ref="AC755:AD755" si="1516">IF(_xlfn.ISFORMULA(S755),IFERROR(0/0,""),TRUE)</f>
        <v/>
      </c>
      <c r="AD755" s="18" t="str">
        <f t="shared" si="1516"/>
        <v/>
      </c>
      <c r="AE755" s="43"/>
      <c r="AF755" s="58" t="s">
        <v>119</v>
      </c>
      <c r="AG755" s="55" t="str">
        <f t="shared" si="11"/>
        <v/>
      </c>
    </row>
    <row r="756">
      <c r="A756" s="7" t="str">
        <f>IFERROR(__xludf.DUMMYFUNCTION("""COMPUTED_VALUE"""),"AJ8123")</f>
        <v>AJ8123</v>
      </c>
      <c r="B756" s="308">
        <f>IFERROR(__xludf.DUMMYFUNCTION("""COMPUTED_VALUE"""),44942.0)</f>
        <v>44942</v>
      </c>
      <c r="C756" s="309">
        <f>IFERROR(__xludf.DUMMYFUNCTION("""COMPUTED_VALUE"""),0.33818287037037037)</f>
        <v>0.3381828704</v>
      </c>
      <c r="D756" s="7" t="str">
        <f>IFERROR(__xludf.DUMMYFUNCTION("""COMPUTED_VALUE"""),"SpABRM655136")</f>
        <v>SpABRM655136</v>
      </c>
      <c r="E756" s="310"/>
      <c r="F756" s="310"/>
      <c r="G756" s="310" t="str">
        <f>IFERROR(__xludf.DUMMYFUNCTION("""COMPUTED_VALUE"""),"Negative")</f>
        <v>Negative</v>
      </c>
      <c r="H756" s="319" t="str">
        <f>IFERROR(__xludf.DUMMYFUNCTION("""COMPUTED_VALUE"""),"Negative")</f>
        <v>Negative</v>
      </c>
      <c r="I756" s="308">
        <f>IFERROR(__xludf.DUMMYFUNCTION("""COMPUTED_VALUE"""),44942.0)</f>
        <v>44942</v>
      </c>
      <c r="J756" s="311">
        <f>IFERROR(__xludf.DUMMYFUNCTION("""COMPUTED_VALUE"""),0.40069444444444446)</f>
        <v>0.4006944444</v>
      </c>
      <c r="K756" s="54"/>
      <c r="L756" s="7"/>
      <c r="M756" s="312"/>
      <c r="N756" s="172">
        <f>IFERROR(__xludf.DUMMYFUNCTION("""COMPUTED_VALUE"""),1.0)</f>
        <v>1</v>
      </c>
      <c r="O756" s="172"/>
      <c r="P756" s="313">
        <f>IFERROR(__xludf.DUMMYFUNCTION("""COMPUTED_VALUE"""),0.0)</f>
        <v>0</v>
      </c>
      <c r="Q756" s="76" t="b">
        <f>VLOOKUP($B756,'Run Reconcile'!B$2:O1399,14,FALSE)</f>
        <v>1</v>
      </c>
      <c r="R756" s="314" t="str">
        <f t="array" ref="R756">IF($Q756, INDEX('Run Reconcile'!A$2:A1399,MATCH(B756,'Run Reconcile'!B$2:B1399,0),1),IFERROR(0/0,""))</f>
        <v>RUN-ABRM_2023-01-16_RFR-133</v>
      </c>
      <c r="S756" s="315" t="str">
        <f t="shared" ref="S756:T756" si="1517">IF(COUNTIF(W$2:W1399, $A756) &gt; 0,TRUE,IFERROR(0/0,""))</f>
        <v/>
      </c>
      <c r="T756" s="315" t="str">
        <f t="shared" si="1517"/>
        <v/>
      </c>
      <c r="U756" s="114" t="str">
        <f t="array" ref="U756">IF(ISBLANK($R756), INDEX('Run Reconcile'!A$2:A1399, MATCH($B756, 'Run Reconcile'!B$2:B1399, 0)+Z756, 1), IFERROR(0/0,""))
</f>
        <v/>
      </c>
      <c r="V756" s="316" t="str">
        <f t="shared" si="1281"/>
        <v>RUN-ABRM_2023-01-16_RFR-133</v>
      </c>
      <c r="Y756" s="317" t="str">
        <f t="shared" si="6"/>
        <v/>
      </c>
      <c r="Z756" s="83" t="str">
        <f t="shared" si="7"/>
        <v/>
      </c>
      <c r="AA756" s="83" t="str">
        <f t="shared" si="8"/>
        <v/>
      </c>
      <c r="AB756" s="83" t="str">
        <f t="shared" si="9"/>
        <v/>
      </c>
      <c r="AC756" s="18" t="str">
        <f t="shared" ref="AC756:AD756" si="1518">IF(_xlfn.ISFORMULA(S756),IFERROR(0/0,""),TRUE)</f>
        <v/>
      </c>
      <c r="AD756" s="18" t="str">
        <f t="shared" si="1518"/>
        <v/>
      </c>
      <c r="AE756" s="43"/>
      <c r="AF756" s="58" t="s">
        <v>119</v>
      </c>
      <c r="AG756" s="55" t="str">
        <f t="shared" si="11"/>
        <v/>
      </c>
    </row>
    <row r="757">
      <c r="A757" s="7" t="str">
        <f>IFERROR(__xludf.DUMMYFUNCTION("""COMPUTED_VALUE"""),"AH347")</f>
        <v>AH347</v>
      </c>
      <c r="B757" s="308">
        <f>IFERROR(__xludf.DUMMYFUNCTION("""COMPUTED_VALUE"""),44943.0)</f>
        <v>44943</v>
      </c>
      <c r="C757" s="309">
        <f>IFERROR(__xludf.DUMMYFUNCTION("""COMPUTED_VALUE"""),0.21421296296296297)</f>
        <v>0.214212963</v>
      </c>
      <c r="D757" s="7" t="str">
        <f>IFERROR(__xludf.DUMMYFUNCTION("""COMPUTED_VALUE"""),"SpABRM454310")</f>
        <v>SpABRM454310</v>
      </c>
      <c r="E757" s="310"/>
      <c r="F757" s="310"/>
      <c r="G757" s="310" t="str">
        <f>IFERROR(__xludf.DUMMYFUNCTION("""COMPUTED_VALUE"""),"Negative")</f>
        <v>Negative</v>
      </c>
      <c r="H757" s="319" t="str">
        <f>IFERROR(__xludf.DUMMYFUNCTION("""COMPUTED_VALUE"""),"Negative")</f>
        <v>Negative</v>
      </c>
      <c r="I757" s="308">
        <f>IFERROR(__xludf.DUMMYFUNCTION("""COMPUTED_VALUE"""),44943.0)</f>
        <v>44943</v>
      </c>
      <c r="J757" s="311">
        <f>IFERROR(__xludf.DUMMYFUNCTION("""COMPUTED_VALUE"""),0.39814814814814814)</f>
        <v>0.3981481481</v>
      </c>
      <c r="K757" s="54"/>
      <c r="L757" s="7"/>
      <c r="M757" s="312"/>
      <c r="N757" s="172">
        <f>IFERROR(__xludf.DUMMYFUNCTION("""COMPUTED_VALUE"""),3.0)</f>
        <v>3</v>
      </c>
      <c r="O757" s="172"/>
      <c r="P757" s="313">
        <f>IFERROR(__xludf.DUMMYFUNCTION("""COMPUTED_VALUE"""),0.0)</f>
        <v>0</v>
      </c>
      <c r="Q757" s="76" t="b">
        <f>VLOOKUP($B757,'Run Reconcile'!B$2:O1399,14,FALSE)</f>
        <v>1</v>
      </c>
      <c r="R757" s="314" t="str">
        <f t="array" ref="R757">IF($Q757, INDEX('Run Reconcile'!A$2:A1399,MATCH(B757,'Run Reconcile'!B$2:B1399,0),1),IFERROR(0/0,""))</f>
        <v>RUN-ABRM_2023-01-17_RFR-135</v>
      </c>
      <c r="S757" s="315" t="str">
        <f t="shared" ref="S757:T757" si="1519">IF(COUNTIF(W$2:W1399, $A757) &gt; 0,TRUE,IFERROR(0/0,""))</f>
        <v/>
      </c>
      <c r="T757" s="315" t="str">
        <f t="shared" si="1519"/>
        <v/>
      </c>
      <c r="U757" s="114" t="str">
        <f t="array" ref="U757">IF(ISBLANK($R757), INDEX('Run Reconcile'!A$2:A1399, MATCH($B757, 'Run Reconcile'!B$2:B1399, 0)+Z757, 1), IFERROR(0/0,""))
</f>
        <v/>
      </c>
      <c r="V757" s="316" t="str">
        <f t="shared" si="1281"/>
        <v>RUN-ABRM_2023-01-17_RFR-135</v>
      </c>
      <c r="Y757" s="317" t="str">
        <f t="shared" si="6"/>
        <v/>
      </c>
      <c r="Z757" s="83" t="str">
        <f t="shared" si="7"/>
        <v/>
      </c>
      <c r="AA757" s="83" t="str">
        <f t="shared" si="8"/>
        <v/>
      </c>
      <c r="AB757" s="83" t="str">
        <f t="shared" si="9"/>
        <v/>
      </c>
      <c r="AC757" s="18" t="str">
        <f t="shared" ref="AC757:AD757" si="1520">IF(_xlfn.ISFORMULA(S757),IFERROR(0/0,""),TRUE)</f>
        <v/>
      </c>
      <c r="AD757" s="18" t="str">
        <f t="shared" si="1520"/>
        <v/>
      </c>
      <c r="AE757" s="43"/>
      <c r="AF757" s="58" t="s">
        <v>120</v>
      </c>
      <c r="AG757" s="55" t="str">
        <f t="shared" si="11"/>
        <v/>
      </c>
    </row>
    <row r="758">
      <c r="A758" s="7" t="str">
        <f>IFERROR(__xludf.DUMMYFUNCTION("""COMPUTED_VALUE"""),"AK6818")</f>
        <v>AK6818</v>
      </c>
      <c r="B758" s="308">
        <f>IFERROR(__xludf.DUMMYFUNCTION("""COMPUTED_VALUE"""),44943.0)</f>
        <v>44943</v>
      </c>
      <c r="C758" s="309">
        <f>IFERROR(__xludf.DUMMYFUNCTION("""COMPUTED_VALUE"""),0.28913194444444446)</f>
        <v>0.2891319444</v>
      </c>
      <c r="D758" s="7" t="str">
        <f>IFERROR(__xludf.DUMMYFUNCTION("""COMPUTED_VALUE"""),"SpABRM297307")</f>
        <v>SpABRM297307</v>
      </c>
      <c r="E758" s="310"/>
      <c r="F758" s="310"/>
      <c r="G758" s="310" t="str">
        <f>IFERROR(__xludf.DUMMYFUNCTION("""COMPUTED_VALUE"""),"Negative")</f>
        <v>Negative</v>
      </c>
      <c r="H758" s="319" t="str">
        <f>IFERROR(__xludf.DUMMYFUNCTION("""COMPUTED_VALUE"""),"Negative")</f>
        <v>Negative</v>
      </c>
      <c r="I758" s="308">
        <f>IFERROR(__xludf.DUMMYFUNCTION("""COMPUTED_VALUE"""),44943.0)</f>
        <v>44943</v>
      </c>
      <c r="J758" s="311">
        <f>IFERROR(__xludf.DUMMYFUNCTION("""COMPUTED_VALUE"""),0.39815972222222223)</f>
        <v>0.3981597222</v>
      </c>
      <c r="K758" s="54"/>
      <c r="L758" s="7"/>
      <c r="M758" s="312"/>
      <c r="N758" s="172">
        <f>IFERROR(__xludf.DUMMYFUNCTION("""COMPUTED_VALUE"""),4.0)</f>
        <v>4</v>
      </c>
      <c r="O758" s="172"/>
      <c r="P758" s="313">
        <f>IFERROR(__xludf.DUMMYFUNCTION("""COMPUTED_VALUE"""),0.0)</f>
        <v>0</v>
      </c>
      <c r="Q758" s="76" t="b">
        <f>VLOOKUP($B758,'Run Reconcile'!B$2:O1399,14,FALSE)</f>
        <v>1</v>
      </c>
      <c r="R758" s="314" t="str">
        <f t="array" ref="R758">IF($Q758, INDEX('Run Reconcile'!A$2:A1399,MATCH(B758,'Run Reconcile'!B$2:B1399,0),1),IFERROR(0/0,""))</f>
        <v>RUN-ABRM_2023-01-17_RFR-135</v>
      </c>
      <c r="S758" s="315" t="str">
        <f t="shared" ref="S758:T758" si="1521">IF(COUNTIF(W$2:W1399, $A758) &gt; 0,TRUE,IFERROR(0/0,""))</f>
        <v/>
      </c>
      <c r="T758" s="315" t="str">
        <f t="shared" si="1521"/>
        <v/>
      </c>
      <c r="U758" s="114" t="str">
        <f t="array" ref="U758">IF(ISBLANK($R758), INDEX('Run Reconcile'!A$2:A1399, MATCH($B758, 'Run Reconcile'!B$2:B1399, 0)+Z758, 1), IFERROR(0/0,""))
</f>
        <v/>
      </c>
      <c r="V758" s="316" t="str">
        <f t="shared" si="1281"/>
        <v>RUN-ABRM_2023-01-17_RFR-135</v>
      </c>
      <c r="Y758" s="317" t="str">
        <f t="shared" si="6"/>
        <v/>
      </c>
      <c r="Z758" s="83" t="str">
        <f t="shared" si="7"/>
        <v/>
      </c>
      <c r="AA758" s="83" t="str">
        <f t="shared" si="8"/>
        <v/>
      </c>
      <c r="AB758" s="83" t="str">
        <f t="shared" si="9"/>
        <v/>
      </c>
      <c r="AC758" s="18" t="str">
        <f t="shared" ref="AC758:AD758" si="1522">IF(_xlfn.ISFORMULA(S758),IFERROR(0/0,""),TRUE)</f>
        <v/>
      </c>
      <c r="AD758" s="18" t="str">
        <f t="shared" si="1522"/>
        <v/>
      </c>
      <c r="AE758" s="43"/>
      <c r="AF758" s="58" t="s">
        <v>120</v>
      </c>
      <c r="AG758" s="55" t="str">
        <f t="shared" si="11"/>
        <v/>
      </c>
    </row>
    <row r="759">
      <c r="A759" s="7" t="str">
        <f>IFERROR(__xludf.DUMMYFUNCTION("""COMPUTED_VALUE"""),"AJ8415")</f>
        <v>AJ8415</v>
      </c>
      <c r="B759" s="308">
        <f>IFERROR(__xludf.DUMMYFUNCTION("""COMPUTED_VALUE"""),44943.0)</f>
        <v>44943</v>
      </c>
      <c r="C759" s="309">
        <f>IFERROR(__xludf.DUMMYFUNCTION("""COMPUTED_VALUE"""),0.2967708333333333)</f>
        <v>0.2967708333</v>
      </c>
      <c r="D759" s="7" t="str">
        <f>IFERROR(__xludf.DUMMYFUNCTION("""COMPUTED_VALUE"""),"SpABRM367540")</f>
        <v>SpABRM367540</v>
      </c>
      <c r="E759" s="310"/>
      <c r="F759" s="310"/>
      <c r="G759" s="310" t="str">
        <f>IFERROR(__xludf.DUMMYFUNCTION("""COMPUTED_VALUE"""),"Negative")</f>
        <v>Negative</v>
      </c>
      <c r="H759" s="319" t="str">
        <f>IFERROR(__xludf.DUMMYFUNCTION("""COMPUTED_VALUE"""),"Negative")</f>
        <v>Negative</v>
      </c>
      <c r="I759" s="308">
        <f>IFERROR(__xludf.DUMMYFUNCTION("""COMPUTED_VALUE"""),44943.0)</f>
        <v>44943</v>
      </c>
      <c r="J759" s="311">
        <f>IFERROR(__xludf.DUMMYFUNCTION("""COMPUTED_VALUE"""),0.39815972222222223)</f>
        <v>0.3981597222</v>
      </c>
      <c r="K759" s="54"/>
      <c r="L759" s="7"/>
      <c r="M759" s="312"/>
      <c r="N759" s="172">
        <f>IFERROR(__xludf.DUMMYFUNCTION("""COMPUTED_VALUE"""),3.0)</f>
        <v>3</v>
      </c>
      <c r="O759" s="172"/>
      <c r="P759" s="313">
        <f>IFERROR(__xludf.DUMMYFUNCTION("""COMPUTED_VALUE"""),0.0)</f>
        <v>0</v>
      </c>
      <c r="Q759" s="76" t="b">
        <f>VLOOKUP($B759,'Run Reconcile'!B$2:O1399,14,FALSE)</f>
        <v>1</v>
      </c>
      <c r="R759" s="314" t="str">
        <f t="array" ref="R759">IF($Q759, INDEX('Run Reconcile'!A$2:A1399,MATCH(B759,'Run Reconcile'!B$2:B1399,0),1),IFERROR(0/0,""))</f>
        <v>RUN-ABRM_2023-01-17_RFR-135</v>
      </c>
      <c r="S759" s="315" t="str">
        <f t="shared" ref="S759:T759" si="1523">IF(COUNTIF(W$2:W1399, $A759) &gt; 0,TRUE,IFERROR(0/0,""))</f>
        <v/>
      </c>
      <c r="T759" s="315" t="str">
        <f t="shared" si="1523"/>
        <v/>
      </c>
      <c r="U759" s="114" t="str">
        <f t="array" ref="U759">IF(ISBLANK($R759), INDEX('Run Reconcile'!A$2:A1399, MATCH($B759, 'Run Reconcile'!B$2:B1399, 0)+Z759, 1), IFERROR(0/0,""))
</f>
        <v/>
      </c>
      <c r="V759" s="316" t="str">
        <f t="shared" si="1281"/>
        <v>RUN-ABRM_2023-01-17_RFR-135</v>
      </c>
      <c r="Y759" s="317" t="str">
        <f t="shared" si="6"/>
        <v/>
      </c>
      <c r="Z759" s="83" t="str">
        <f t="shared" si="7"/>
        <v/>
      </c>
      <c r="AA759" s="83" t="str">
        <f t="shared" si="8"/>
        <v/>
      </c>
      <c r="AB759" s="83" t="str">
        <f t="shared" si="9"/>
        <v/>
      </c>
      <c r="AC759" s="18" t="str">
        <f t="shared" ref="AC759:AD759" si="1524">IF(_xlfn.ISFORMULA(S759),IFERROR(0/0,""),TRUE)</f>
        <v/>
      </c>
      <c r="AD759" s="18" t="str">
        <f t="shared" si="1524"/>
        <v/>
      </c>
      <c r="AE759" s="43"/>
      <c r="AF759" s="58" t="s">
        <v>120</v>
      </c>
      <c r="AG759" s="55" t="str">
        <f t="shared" si="11"/>
        <v/>
      </c>
    </row>
    <row r="760">
      <c r="A760" s="7" t="str">
        <f>IFERROR(__xludf.DUMMYFUNCTION("""COMPUTED_VALUE"""),"AJ7877")</f>
        <v>AJ7877</v>
      </c>
      <c r="B760" s="308">
        <f>IFERROR(__xludf.DUMMYFUNCTION("""COMPUTED_VALUE"""),44943.0)</f>
        <v>44943</v>
      </c>
      <c r="C760" s="309">
        <f>IFERROR(__xludf.DUMMYFUNCTION("""COMPUTED_VALUE"""),0.30537037037037035)</f>
        <v>0.3053703704</v>
      </c>
      <c r="D760" s="7" t="str">
        <f>IFERROR(__xludf.DUMMYFUNCTION("""COMPUTED_VALUE"""),"SpABRM814022")</f>
        <v>SpABRM814022</v>
      </c>
      <c r="E760" s="310"/>
      <c r="F760" s="310"/>
      <c r="G760" s="310" t="str">
        <f>IFERROR(__xludf.DUMMYFUNCTION("""COMPUTED_VALUE"""),"Negative")</f>
        <v>Negative</v>
      </c>
      <c r="H760" s="319" t="str">
        <f>IFERROR(__xludf.DUMMYFUNCTION("""COMPUTED_VALUE"""),"Negative")</f>
        <v>Negative</v>
      </c>
      <c r="I760" s="308">
        <f>IFERROR(__xludf.DUMMYFUNCTION("""COMPUTED_VALUE"""),44943.0)</f>
        <v>44943</v>
      </c>
      <c r="J760" s="311">
        <f>IFERROR(__xludf.DUMMYFUNCTION("""COMPUTED_VALUE"""),0.3981712962962963)</f>
        <v>0.3981712963</v>
      </c>
      <c r="K760" s="54"/>
      <c r="L760" s="7"/>
      <c r="M760" s="312"/>
      <c r="N760" s="172">
        <f>IFERROR(__xludf.DUMMYFUNCTION("""COMPUTED_VALUE"""),1.0)</f>
        <v>1</v>
      </c>
      <c r="O760" s="172"/>
      <c r="P760" s="313">
        <f>IFERROR(__xludf.DUMMYFUNCTION("""COMPUTED_VALUE"""),0.0)</f>
        <v>0</v>
      </c>
      <c r="Q760" s="76" t="b">
        <f>VLOOKUP($B760,'Run Reconcile'!B$2:O1399,14,FALSE)</f>
        <v>1</v>
      </c>
      <c r="R760" s="314" t="str">
        <f t="array" ref="R760">IF($Q760, INDEX('Run Reconcile'!A$2:A1399,MATCH(B760,'Run Reconcile'!B$2:B1399,0),1),IFERROR(0/0,""))</f>
        <v>RUN-ABRM_2023-01-17_RFR-135</v>
      </c>
      <c r="S760" s="315" t="str">
        <f t="shared" ref="S760:T760" si="1525">IF(COUNTIF(W$2:W1399, $A760) &gt; 0,TRUE,IFERROR(0/0,""))</f>
        <v/>
      </c>
      <c r="T760" s="315" t="str">
        <f t="shared" si="1525"/>
        <v/>
      </c>
      <c r="U760" s="114" t="str">
        <f t="array" ref="U760">IF(ISBLANK($R760), INDEX('Run Reconcile'!A$2:A1399, MATCH($B760, 'Run Reconcile'!B$2:B1399, 0)+Z760, 1), IFERROR(0/0,""))
</f>
        <v/>
      </c>
      <c r="V760" s="316" t="str">
        <f t="shared" si="1281"/>
        <v>RUN-ABRM_2023-01-17_RFR-135</v>
      </c>
      <c r="Y760" s="317" t="str">
        <f t="shared" si="6"/>
        <v/>
      </c>
      <c r="Z760" s="83" t="str">
        <f t="shared" si="7"/>
        <v/>
      </c>
      <c r="AA760" s="83" t="str">
        <f t="shared" si="8"/>
        <v/>
      </c>
      <c r="AB760" s="83" t="str">
        <f t="shared" si="9"/>
        <v/>
      </c>
      <c r="AC760" s="18" t="str">
        <f t="shared" ref="AC760:AD760" si="1526">IF(_xlfn.ISFORMULA(S760),IFERROR(0/0,""),TRUE)</f>
        <v/>
      </c>
      <c r="AD760" s="18" t="str">
        <f t="shared" si="1526"/>
        <v/>
      </c>
      <c r="AE760" s="43"/>
      <c r="AF760" s="58" t="s">
        <v>120</v>
      </c>
      <c r="AG760" s="55" t="str">
        <f t="shared" si="11"/>
        <v/>
      </c>
    </row>
    <row r="761">
      <c r="A761" s="7" t="str">
        <f>IFERROR(__xludf.DUMMYFUNCTION("""COMPUTED_VALUE"""),"AH7647")</f>
        <v>AH7647</v>
      </c>
      <c r="B761" s="308">
        <f>IFERROR(__xludf.DUMMYFUNCTION("""COMPUTED_VALUE"""),44943.0)</f>
        <v>44943</v>
      </c>
      <c r="C761" s="309">
        <f>IFERROR(__xludf.DUMMYFUNCTION("""COMPUTED_VALUE"""),0.3111921296296296)</f>
        <v>0.3111921296</v>
      </c>
      <c r="D761" s="7" t="str">
        <f>IFERROR(__xludf.DUMMYFUNCTION("""COMPUTED_VALUE"""),"SpABRM655136")</f>
        <v>SpABRM655136</v>
      </c>
      <c r="E761" s="310"/>
      <c r="F761" s="310"/>
      <c r="G761" s="310" t="str">
        <f>IFERROR(__xludf.DUMMYFUNCTION("""COMPUTED_VALUE"""),"Negative")</f>
        <v>Negative</v>
      </c>
      <c r="H761" s="319" t="str">
        <f>IFERROR(__xludf.DUMMYFUNCTION("""COMPUTED_VALUE"""),"Negative")</f>
        <v>Negative</v>
      </c>
      <c r="I761" s="308">
        <f>IFERROR(__xludf.DUMMYFUNCTION("""COMPUTED_VALUE"""),44943.0)</f>
        <v>44943</v>
      </c>
      <c r="J761" s="311">
        <f>IFERROR(__xludf.DUMMYFUNCTION("""COMPUTED_VALUE"""),0.39818287037037037)</f>
        <v>0.3981828704</v>
      </c>
      <c r="K761" s="54"/>
      <c r="L761" s="7"/>
      <c r="M761" s="312"/>
      <c r="N761" s="172">
        <f>IFERROR(__xludf.DUMMYFUNCTION("""COMPUTED_VALUE"""),1.0)</f>
        <v>1</v>
      </c>
      <c r="O761" s="172"/>
      <c r="P761" s="313">
        <f>IFERROR(__xludf.DUMMYFUNCTION("""COMPUTED_VALUE"""),0.0)</f>
        <v>0</v>
      </c>
      <c r="Q761" s="76" t="b">
        <f>VLOOKUP($B761,'Run Reconcile'!B$2:O1399,14,FALSE)</f>
        <v>1</v>
      </c>
      <c r="R761" s="314" t="str">
        <f t="array" ref="R761">IF($Q761, INDEX('Run Reconcile'!A$2:A1399,MATCH(B761,'Run Reconcile'!B$2:B1399,0),1),IFERROR(0/0,""))</f>
        <v>RUN-ABRM_2023-01-17_RFR-135</v>
      </c>
      <c r="S761" s="315" t="str">
        <f t="shared" ref="S761:T761" si="1527">IF(COUNTIF(W$2:W1399, $A761) &gt; 0,TRUE,IFERROR(0/0,""))</f>
        <v/>
      </c>
      <c r="T761" s="315" t="str">
        <f t="shared" si="1527"/>
        <v/>
      </c>
      <c r="U761" s="114" t="str">
        <f t="array" ref="U761">IF(ISBLANK($R761), INDEX('Run Reconcile'!A$2:A1399, MATCH($B761, 'Run Reconcile'!B$2:B1399, 0)+Z761, 1), IFERROR(0/0,""))
</f>
        <v/>
      </c>
      <c r="V761" s="316" t="str">
        <f t="shared" si="1281"/>
        <v>RUN-ABRM_2023-01-17_RFR-135</v>
      </c>
      <c r="Y761" s="317" t="str">
        <f t="shared" si="6"/>
        <v/>
      </c>
      <c r="Z761" s="83" t="str">
        <f t="shared" si="7"/>
        <v/>
      </c>
      <c r="AA761" s="83" t="str">
        <f t="shared" si="8"/>
        <v/>
      </c>
      <c r="AB761" s="83" t="str">
        <f t="shared" si="9"/>
        <v/>
      </c>
      <c r="AC761" s="18" t="str">
        <f t="shared" ref="AC761:AD761" si="1528">IF(_xlfn.ISFORMULA(S761),IFERROR(0/0,""),TRUE)</f>
        <v/>
      </c>
      <c r="AD761" s="18" t="str">
        <f t="shared" si="1528"/>
        <v/>
      </c>
      <c r="AE761" s="43"/>
      <c r="AF761" s="58" t="s">
        <v>120</v>
      </c>
      <c r="AG761" s="55" t="str">
        <f t="shared" si="11"/>
        <v/>
      </c>
    </row>
    <row r="762">
      <c r="A762" s="7" t="str">
        <f>IFERROR(__xludf.DUMMYFUNCTION("""COMPUTED_VALUE"""),"AH6960")</f>
        <v>AH6960</v>
      </c>
      <c r="B762" s="308">
        <f>IFERROR(__xludf.DUMMYFUNCTION("""COMPUTED_VALUE"""),44943.0)</f>
        <v>44943</v>
      </c>
      <c r="C762" s="309">
        <f>IFERROR(__xludf.DUMMYFUNCTION("""COMPUTED_VALUE"""),0.3116550925925926)</f>
        <v>0.3116550926</v>
      </c>
      <c r="D762" s="7" t="str">
        <f>IFERROR(__xludf.DUMMYFUNCTION("""COMPUTED_VALUE"""),"SpABRM655136")</f>
        <v>SpABRM655136</v>
      </c>
      <c r="E762" s="310"/>
      <c r="F762" s="310"/>
      <c r="G762" s="310" t="str">
        <f>IFERROR(__xludf.DUMMYFUNCTION("""COMPUTED_VALUE"""),"Negative")</f>
        <v>Negative</v>
      </c>
      <c r="H762" s="319" t="str">
        <f>IFERROR(__xludf.DUMMYFUNCTION("""COMPUTED_VALUE"""),"Negative")</f>
        <v>Negative</v>
      </c>
      <c r="I762" s="308">
        <f>IFERROR(__xludf.DUMMYFUNCTION("""COMPUTED_VALUE"""),44943.0)</f>
        <v>44943</v>
      </c>
      <c r="J762" s="311">
        <f>IFERROR(__xludf.DUMMYFUNCTION("""COMPUTED_VALUE"""),0.39818287037037037)</f>
        <v>0.3981828704</v>
      </c>
      <c r="K762" s="54"/>
      <c r="L762" s="7"/>
      <c r="M762" s="312"/>
      <c r="N762" s="172">
        <f>IFERROR(__xludf.DUMMYFUNCTION("""COMPUTED_VALUE"""),2.0)</f>
        <v>2</v>
      </c>
      <c r="O762" s="172"/>
      <c r="P762" s="313">
        <f>IFERROR(__xludf.DUMMYFUNCTION("""COMPUTED_VALUE"""),0.0)</f>
        <v>0</v>
      </c>
      <c r="Q762" s="76" t="b">
        <f>VLOOKUP($B762,'Run Reconcile'!B$2:O1399,14,FALSE)</f>
        <v>1</v>
      </c>
      <c r="R762" s="314" t="str">
        <f t="array" ref="R762">IF($Q762, INDEX('Run Reconcile'!A$2:A1399,MATCH(B762,'Run Reconcile'!B$2:B1399,0),1),IFERROR(0/0,""))</f>
        <v>RUN-ABRM_2023-01-17_RFR-135</v>
      </c>
      <c r="S762" s="315" t="str">
        <f t="shared" ref="S762:T762" si="1529">IF(COUNTIF(W$2:W1399, $A762) &gt; 0,TRUE,IFERROR(0/0,""))</f>
        <v/>
      </c>
      <c r="T762" s="315" t="str">
        <f t="shared" si="1529"/>
        <v/>
      </c>
      <c r="U762" s="114" t="str">
        <f t="array" ref="U762">IF(ISBLANK($R762), INDEX('Run Reconcile'!A$2:A1399, MATCH($B762, 'Run Reconcile'!B$2:B1399, 0)+Z762, 1), IFERROR(0/0,""))
</f>
        <v/>
      </c>
      <c r="V762" s="316" t="str">
        <f t="shared" si="1281"/>
        <v>RUN-ABRM_2023-01-17_RFR-135</v>
      </c>
      <c r="Y762" s="317" t="str">
        <f t="shared" si="6"/>
        <v/>
      </c>
      <c r="Z762" s="83" t="str">
        <f t="shared" si="7"/>
        <v/>
      </c>
      <c r="AA762" s="83" t="str">
        <f t="shared" si="8"/>
        <v/>
      </c>
      <c r="AB762" s="83" t="str">
        <f t="shared" si="9"/>
        <v/>
      </c>
      <c r="AC762" s="18" t="str">
        <f t="shared" ref="AC762:AD762" si="1530">IF(_xlfn.ISFORMULA(S762),IFERROR(0/0,""),TRUE)</f>
        <v/>
      </c>
      <c r="AD762" s="18" t="str">
        <f t="shared" si="1530"/>
        <v/>
      </c>
      <c r="AE762" s="43"/>
      <c r="AF762" s="58" t="s">
        <v>120</v>
      </c>
      <c r="AG762" s="55" t="str">
        <f t="shared" si="11"/>
        <v/>
      </c>
    </row>
    <row r="763">
      <c r="A763" s="7" t="str">
        <f>IFERROR(__xludf.DUMMYFUNCTION("""COMPUTED_VALUE"""),"AG1049")</f>
        <v>AG1049</v>
      </c>
      <c r="B763" s="308">
        <f>IFERROR(__xludf.DUMMYFUNCTION("""COMPUTED_VALUE"""),44943.0)</f>
        <v>44943</v>
      </c>
      <c r="C763" s="309">
        <f>IFERROR(__xludf.DUMMYFUNCTION("""COMPUTED_VALUE"""),0.32612268518518517)</f>
        <v>0.3261226852</v>
      </c>
      <c r="D763" s="7" t="str">
        <f>IFERROR(__xludf.DUMMYFUNCTION("""COMPUTED_VALUE"""),"SpABRM655136")</f>
        <v>SpABRM655136</v>
      </c>
      <c r="E763" s="310"/>
      <c r="F763" s="310"/>
      <c r="G763" s="310" t="str">
        <f>IFERROR(__xludf.DUMMYFUNCTION("""COMPUTED_VALUE"""),"Negative")</f>
        <v>Negative</v>
      </c>
      <c r="H763" s="319" t="str">
        <f>IFERROR(__xludf.DUMMYFUNCTION("""COMPUTED_VALUE"""),"Negative")</f>
        <v>Negative</v>
      </c>
      <c r="I763" s="308">
        <f>IFERROR(__xludf.DUMMYFUNCTION("""COMPUTED_VALUE"""),44943.0)</f>
        <v>44943</v>
      </c>
      <c r="J763" s="311">
        <f>IFERROR(__xludf.DUMMYFUNCTION("""COMPUTED_VALUE"""),0.39819444444444446)</f>
        <v>0.3981944444</v>
      </c>
      <c r="K763" s="54"/>
      <c r="L763" s="7"/>
      <c r="M763" s="312"/>
      <c r="N763" s="172">
        <f>IFERROR(__xludf.DUMMYFUNCTION("""COMPUTED_VALUE"""),1.0)</f>
        <v>1</v>
      </c>
      <c r="O763" s="172"/>
      <c r="P763" s="313">
        <f>IFERROR(__xludf.DUMMYFUNCTION("""COMPUTED_VALUE"""),0.0)</f>
        <v>0</v>
      </c>
      <c r="Q763" s="76" t="b">
        <f>VLOOKUP($B763,'Run Reconcile'!B$2:O1399,14,FALSE)</f>
        <v>1</v>
      </c>
      <c r="R763" s="314" t="str">
        <f t="array" ref="R763">IF($Q763, INDEX('Run Reconcile'!A$2:A1399,MATCH(B763,'Run Reconcile'!B$2:B1399,0),1),IFERROR(0/0,""))</f>
        <v>RUN-ABRM_2023-01-17_RFR-135</v>
      </c>
      <c r="S763" s="315" t="str">
        <f t="shared" ref="S763:T763" si="1531">IF(COUNTIF(W$2:W1399, $A763) &gt; 0,TRUE,IFERROR(0/0,""))</f>
        <v/>
      </c>
      <c r="T763" s="315" t="str">
        <f t="shared" si="1531"/>
        <v/>
      </c>
      <c r="U763" s="114" t="str">
        <f t="array" ref="U763">IF(ISBLANK($R763), INDEX('Run Reconcile'!A$2:A1399, MATCH($B763, 'Run Reconcile'!B$2:B1399, 0)+Z763, 1), IFERROR(0/0,""))
</f>
        <v/>
      </c>
      <c r="V763" s="316" t="str">
        <f t="shared" si="1281"/>
        <v>RUN-ABRM_2023-01-17_RFR-135</v>
      </c>
      <c r="Y763" s="317" t="str">
        <f t="shared" si="6"/>
        <v/>
      </c>
      <c r="Z763" s="83" t="str">
        <f t="shared" si="7"/>
        <v/>
      </c>
      <c r="AA763" s="83" t="str">
        <f t="shared" si="8"/>
        <v/>
      </c>
      <c r="AB763" s="83" t="str">
        <f t="shared" si="9"/>
        <v/>
      </c>
      <c r="AC763" s="18" t="str">
        <f t="shared" ref="AC763:AD763" si="1532">IF(_xlfn.ISFORMULA(S763),IFERROR(0/0,""),TRUE)</f>
        <v/>
      </c>
      <c r="AD763" s="18" t="str">
        <f t="shared" si="1532"/>
        <v/>
      </c>
      <c r="AE763" s="43"/>
      <c r="AF763" s="58" t="s">
        <v>120</v>
      </c>
      <c r="AG763" s="55" t="str">
        <f t="shared" si="11"/>
        <v/>
      </c>
    </row>
    <row r="764">
      <c r="A764" s="7" t="str">
        <f>IFERROR(__xludf.DUMMYFUNCTION("""COMPUTED_VALUE"""),"AJ9753")</f>
        <v>AJ9753</v>
      </c>
      <c r="B764" s="308">
        <f>IFERROR(__xludf.DUMMYFUNCTION("""COMPUTED_VALUE"""),44943.0)</f>
        <v>44943</v>
      </c>
      <c r="C764" s="309">
        <f>IFERROR(__xludf.DUMMYFUNCTION("""COMPUTED_VALUE"""),0.3362847222222222)</f>
        <v>0.3362847222</v>
      </c>
      <c r="D764" s="7" t="str">
        <f>IFERROR(__xludf.DUMMYFUNCTION("""COMPUTED_VALUE"""),"SpABRM655136")</f>
        <v>SpABRM655136</v>
      </c>
      <c r="E764" s="310"/>
      <c r="F764" s="310"/>
      <c r="G764" s="310" t="str">
        <f>IFERROR(__xludf.DUMMYFUNCTION("""COMPUTED_VALUE"""),"Negative")</f>
        <v>Negative</v>
      </c>
      <c r="H764" s="319" t="str">
        <f>IFERROR(__xludf.DUMMYFUNCTION("""COMPUTED_VALUE"""),"Negative")</f>
        <v>Negative</v>
      </c>
      <c r="I764" s="308">
        <f>IFERROR(__xludf.DUMMYFUNCTION("""COMPUTED_VALUE"""),44943.0)</f>
        <v>44943</v>
      </c>
      <c r="J764" s="311">
        <f>IFERROR(__xludf.DUMMYFUNCTION("""COMPUTED_VALUE"""),0.39819444444444446)</f>
        <v>0.3981944444</v>
      </c>
      <c r="K764" s="54"/>
      <c r="L764" s="7"/>
      <c r="M764" s="312"/>
      <c r="N764" s="172">
        <f>IFERROR(__xludf.DUMMYFUNCTION("""COMPUTED_VALUE"""),1.0)</f>
        <v>1</v>
      </c>
      <c r="O764" s="172"/>
      <c r="P764" s="313">
        <f>IFERROR(__xludf.DUMMYFUNCTION("""COMPUTED_VALUE"""),0.0)</f>
        <v>0</v>
      </c>
      <c r="Q764" s="76" t="b">
        <f>VLOOKUP($B764,'Run Reconcile'!B$2:O1399,14,FALSE)</f>
        <v>1</v>
      </c>
      <c r="R764" s="314" t="str">
        <f t="array" ref="R764">IF($Q764, INDEX('Run Reconcile'!A$2:A1399,MATCH(B764,'Run Reconcile'!B$2:B1399,0),1),IFERROR(0/0,""))</f>
        <v>RUN-ABRM_2023-01-17_RFR-135</v>
      </c>
      <c r="S764" s="315" t="str">
        <f t="shared" ref="S764:T764" si="1533">IF(COUNTIF(W$2:W1399, $A764) &gt; 0,TRUE,IFERROR(0/0,""))</f>
        <v/>
      </c>
      <c r="T764" s="315" t="str">
        <f t="shared" si="1533"/>
        <v/>
      </c>
      <c r="U764" s="114" t="str">
        <f t="array" ref="U764">IF(ISBLANK($R764), INDEX('Run Reconcile'!A$2:A1399, MATCH($B764, 'Run Reconcile'!B$2:B1399, 0)+Z764, 1), IFERROR(0/0,""))
</f>
        <v/>
      </c>
      <c r="V764" s="316" t="str">
        <f t="shared" si="1281"/>
        <v>RUN-ABRM_2023-01-17_RFR-135</v>
      </c>
      <c r="Y764" s="317" t="str">
        <f t="shared" si="6"/>
        <v/>
      </c>
      <c r="Z764" s="83" t="str">
        <f t="shared" si="7"/>
        <v/>
      </c>
      <c r="AA764" s="83" t="str">
        <f t="shared" si="8"/>
        <v/>
      </c>
      <c r="AB764" s="83" t="str">
        <f t="shared" si="9"/>
        <v/>
      </c>
      <c r="AC764" s="18" t="str">
        <f t="shared" ref="AC764:AD764" si="1534">IF(_xlfn.ISFORMULA(S764),IFERROR(0/0,""),TRUE)</f>
        <v/>
      </c>
      <c r="AD764" s="18" t="str">
        <f t="shared" si="1534"/>
        <v/>
      </c>
      <c r="AE764" s="43"/>
      <c r="AF764" s="58" t="s">
        <v>120</v>
      </c>
      <c r="AG764" s="55" t="str">
        <f t="shared" si="11"/>
        <v/>
      </c>
    </row>
    <row r="765">
      <c r="A765" s="7" t="str">
        <f>IFERROR(__xludf.DUMMYFUNCTION("""COMPUTED_VALUE"""),"AJ9272")</f>
        <v>AJ9272</v>
      </c>
      <c r="B765" s="308">
        <f>IFERROR(__xludf.DUMMYFUNCTION("""COMPUTED_VALUE"""),44943.0)</f>
        <v>44943</v>
      </c>
      <c r="C765" s="309">
        <f>IFERROR(__xludf.DUMMYFUNCTION("""COMPUTED_VALUE"""),0.3365972222222222)</f>
        <v>0.3365972222</v>
      </c>
      <c r="D765" s="7" t="str">
        <f>IFERROR(__xludf.DUMMYFUNCTION("""COMPUTED_VALUE"""),"SpABRM655136")</f>
        <v>SpABRM655136</v>
      </c>
      <c r="E765" s="310"/>
      <c r="F765" s="310"/>
      <c r="G765" s="310" t="str">
        <f>IFERROR(__xludf.DUMMYFUNCTION("""COMPUTED_VALUE"""),"Negative")</f>
        <v>Negative</v>
      </c>
      <c r="H765" s="319" t="str">
        <f>IFERROR(__xludf.DUMMYFUNCTION("""COMPUTED_VALUE"""),"Negative")</f>
        <v>Negative</v>
      </c>
      <c r="I765" s="308">
        <f>IFERROR(__xludf.DUMMYFUNCTION("""COMPUTED_VALUE"""),44943.0)</f>
        <v>44943</v>
      </c>
      <c r="J765" s="311">
        <f>IFERROR(__xludf.DUMMYFUNCTION("""COMPUTED_VALUE"""),0.3982060185185185)</f>
        <v>0.3982060185</v>
      </c>
      <c r="K765" s="54"/>
      <c r="L765" s="7"/>
      <c r="M765" s="312"/>
      <c r="N765" s="172">
        <f>IFERROR(__xludf.DUMMYFUNCTION("""COMPUTED_VALUE"""),1.0)</f>
        <v>1</v>
      </c>
      <c r="O765" s="172"/>
      <c r="P765" s="313">
        <f>IFERROR(__xludf.DUMMYFUNCTION("""COMPUTED_VALUE"""),0.0)</f>
        <v>0</v>
      </c>
      <c r="Q765" s="76" t="b">
        <f>VLOOKUP($B765,'Run Reconcile'!B$2:O1399,14,FALSE)</f>
        <v>1</v>
      </c>
      <c r="R765" s="314" t="str">
        <f t="array" ref="R765">IF($Q765, INDEX('Run Reconcile'!A$2:A1399,MATCH(B765,'Run Reconcile'!B$2:B1399,0),1),IFERROR(0/0,""))</f>
        <v>RUN-ABRM_2023-01-17_RFR-135</v>
      </c>
      <c r="S765" s="315" t="str">
        <f t="shared" ref="S765:T765" si="1535">IF(COUNTIF(W$2:W1399, $A765) &gt; 0,TRUE,IFERROR(0/0,""))</f>
        <v/>
      </c>
      <c r="T765" s="315" t="str">
        <f t="shared" si="1535"/>
        <v/>
      </c>
      <c r="U765" s="114" t="str">
        <f t="array" ref="U765">IF(ISBLANK($R765), INDEX('Run Reconcile'!A$2:A1399, MATCH($B765, 'Run Reconcile'!B$2:B1399, 0)+Z765, 1), IFERROR(0/0,""))
</f>
        <v/>
      </c>
      <c r="V765" s="316" t="str">
        <f t="shared" si="1281"/>
        <v>RUN-ABRM_2023-01-17_RFR-135</v>
      </c>
      <c r="Y765" s="317" t="str">
        <f t="shared" si="6"/>
        <v/>
      </c>
      <c r="Z765" s="83" t="str">
        <f t="shared" si="7"/>
        <v/>
      </c>
      <c r="AA765" s="83" t="str">
        <f t="shared" si="8"/>
        <v/>
      </c>
      <c r="AB765" s="83" t="str">
        <f t="shared" si="9"/>
        <v/>
      </c>
      <c r="AC765" s="18" t="str">
        <f t="shared" ref="AC765:AD765" si="1536">IF(_xlfn.ISFORMULA(S765),IFERROR(0/0,""),TRUE)</f>
        <v/>
      </c>
      <c r="AD765" s="18" t="str">
        <f t="shared" si="1536"/>
        <v/>
      </c>
      <c r="AE765" s="43"/>
      <c r="AF765" s="58" t="s">
        <v>120</v>
      </c>
      <c r="AG765" s="55" t="str">
        <f t="shared" si="11"/>
        <v/>
      </c>
    </row>
    <row r="766">
      <c r="A766" s="7" t="str">
        <f>IFERROR(__xludf.DUMMYFUNCTION("""COMPUTED_VALUE"""),"AJ9885")</f>
        <v>AJ9885</v>
      </c>
      <c r="B766" s="308">
        <f>IFERROR(__xludf.DUMMYFUNCTION("""COMPUTED_VALUE"""),44943.0)</f>
        <v>44943</v>
      </c>
      <c r="C766" s="309">
        <f>IFERROR(__xludf.DUMMYFUNCTION("""COMPUTED_VALUE"""),0.34903935185185186)</f>
        <v>0.3490393519</v>
      </c>
      <c r="D766" s="7" t="str">
        <f>IFERROR(__xludf.DUMMYFUNCTION("""COMPUTED_VALUE"""),"SpABRM655136")</f>
        <v>SpABRM655136</v>
      </c>
      <c r="E766" s="310"/>
      <c r="F766" s="310"/>
      <c r="G766" s="310" t="str">
        <f>IFERROR(__xludf.DUMMYFUNCTION("""COMPUTED_VALUE"""),"Negative")</f>
        <v>Negative</v>
      </c>
      <c r="H766" s="319" t="str">
        <f>IFERROR(__xludf.DUMMYFUNCTION("""COMPUTED_VALUE"""),"Negative")</f>
        <v>Negative</v>
      </c>
      <c r="I766" s="308">
        <f>IFERROR(__xludf.DUMMYFUNCTION("""COMPUTED_VALUE"""),44943.0)</f>
        <v>44943</v>
      </c>
      <c r="J766" s="311">
        <f>IFERROR(__xludf.DUMMYFUNCTION("""COMPUTED_VALUE"""),0.3982060185185185)</f>
        <v>0.3982060185</v>
      </c>
      <c r="K766" s="54"/>
      <c r="L766" s="7"/>
      <c r="M766" s="312"/>
      <c r="N766" s="172">
        <f>IFERROR(__xludf.DUMMYFUNCTION("""COMPUTED_VALUE"""),3.0)</f>
        <v>3</v>
      </c>
      <c r="O766" s="172"/>
      <c r="P766" s="313">
        <f>IFERROR(__xludf.DUMMYFUNCTION("""COMPUTED_VALUE"""),0.0)</f>
        <v>0</v>
      </c>
      <c r="Q766" s="76" t="b">
        <f>VLOOKUP($B766,'Run Reconcile'!B$2:O1399,14,FALSE)</f>
        <v>1</v>
      </c>
      <c r="R766" s="314" t="str">
        <f t="array" ref="R766">IF($Q766, INDEX('Run Reconcile'!A$2:A1399,MATCH(B766,'Run Reconcile'!B$2:B1399,0),1),IFERROR(0/0,""))</f>
        <v>RUN-ABRM_2023-01-17_RFR-135</v>
      </c>
      <c r="S766" s="315" t="str">
        <f t="shared" ref="S766:T766" si="1537">IF(COUNTIF(W$2:W1399, $A766) &gt; 0,TRUE,IFERROR(0/0,""))</f>
        <v/>
      </c>
      <c r="T766" s="315" t="str">
        <f t="shared" si="1537"/>
        <v/>
      </c>
      <c r="U766" s="114" t="str">
        <f t="array" ref="U766">IF(ISBLANK($R766), INDEX('Run Reconcile'!A$2:A1399, MATCH($B766, 'Run Reconcile'!B$2:B1399, 0)+Z766, 1), IFERROR(0/0,""))
</f>
        <v/>
      </c>
      <c r="V766" s="316" t="str">
        <f t="shared" si="1281"/>
        <v>RUN-ABRM_2023-01-17_RFR-135</v>
      </c>
      <c r="Y766" s="317" t="str">
        <f t="shared" si="6"/>
        <v/>
      </c>
      <c r="Z766" s="83" t="str">
        <f t="shared" si="7"/>
        <v/>
      </c>
      <c r="AA766" s="83" t="str">
        <f t="shared" si="8"/>
        <v/>
      </c>
      <c r="AB766" s="83" t="str">
        <f t="shared" si="9"/>
        <v/>
      </c>
      <c r="AC766" s="18" t="str">
        <f t="shared" ref="AC766:AD766" si="1538">IF(_xlfn.ISFORMULA(S766),IFERROR(0/0,""),TRUE)</f>
        <v/>
      </c>
      <c r="AD766" s="18" t="str">
        <f t="shared" si="1538"/>
        <v/>
      </c>
      <c r="AE766" s="43"/>
      <c r="AF766" s="58" t="s">
        <v>120</v>
      </c>
      <c r="AG766" s="55" t="str">
        <f t="shared" si="11"/>
        <v/>
      </c>
    </row>
    <row r="767">
      <c r="A767" s="7" t="str">
        <f>IFERROR(__xludf.DUMMYFUNCTION("""COMPUTED_VALUE"""),"AJ7174")</f>
        <v>AJ7174</v>
      </c>
      <c r="B767" s="308">
        <f>IFERROR(__xludf.DUMMYFUNCTION("""COMPUTED_VALUE"""),44944.0)</f>
        <v>44944</v>
      </c>
      <c r="C767" s="309">
        <f>IFERROR(__xludf.DUMMYFUNCTION("""COMPUTED_VALUE"""),0.2127199074074074)</f>
        <v>0.2127199074</v>
      </c>
      <c r="D767" s="7" t="str">
        <f>IFERROR(__xludf.DUMMYFUNCTION("""COMPUTED_VALUE"""),"SpABRM454310")</f>
        <v>SpABRM454310</v>
      </c>
      <c r="E767" s="310"/>
      <c r="F767" s="310"/>
      <c r="G767" s="310" t="str">
        <f>IFERROR(__xludf.DUMMYFUNCTION("""COMPUTED_VALUE"""),"Negative")</f>
        <v>Negative</v>
      </c>
      <c r="H767" s="319" t="str">
        <f>IFERROR(__xludf.DUMMYFUNCTION("""COMPUTED_VALUE"""),"Negative")</f>
        <v>Negative</v>
      </c>
      <c r="I767" s="308">
        <f>IFERROR(__xludf.DUMMYFUNCTION("""COMPUTED_VALUE"""),44944.0)</f>
        <v>44944</v>
      </c>
      <c r="J767" s="311">
        <f>IFERROR(__xludf.DUMMYFUNCTION("""COMPUTED_VALUE"""),0.3825)</f>
        <v>0.3825</v>
      </c>
      <c r="K767" s="54"/>
      <c r="L767" s="7"/>
      <c r="M767" s="312"/>
      <c r="N767" s="172">
        <f>IFERROR(__xludf.DUMMYFUNCTION("""COMPUTED_VALUE"""),3.0)</f>
        <v>3</v>
      </c>
      <c r="O767" s="172"/>
      <c r="P767" s="313">
        <f>IFERROR(__xludf.DUMMYFUNCTION("""COMPUTED_VALUE"""),0.0)</f>
        <v>0</v>
      </c>
      <c r="Q767" s="76" t="b">
        <f>VLOOKUP($B767,'Run Reconcile'!B$2:O1399,14,FALSE)</f>
        <v>1</v>
      </c>
      <c r="R767" s="314" t="str">
        <f t="array" ref="R767">IF($Q767, INDEX('Run Reconcile'!A$2:A1399,MATCH(B767,'Run Reconcile'!B$2:B1399,0),1),IFERROR(0/0,""))</f>
        <v>RUN-ABRM_2023-01-18_RFR-136</v>
      </c>
      <c r="S767" s="315" t="str">
        <f t="shared" ref="S767:T767" si="1539">IF(COUNTIF(W$2:W1399, $A767) &gt; 0,TRUE,IFERROR(0/0,""))</f>
        <v/>
      </c>
      <c r="T767" s="315" t="str">
        <f t="shared" si="1539"/>
        <v/>
      </c>
      <c r="U767" s="114" t="str">
        <f t="array" ref="U767">IF(ISBLANK($R767), INDEX('Run Reconcile'!A$2:A1399, MATCH($B767, 'Run Reconcile'!B$2:B1399, 0)+Z767, 1), IFERROR(0/0,""))
</f>
        <v/>
      </c>
      <c r="V767" s="316" t="str">
        <f t="shared" si="1281"/>
        <v>RUN-ABRM_2023-01-18_RFR-136</v>
      </c>
      <c r="Y767" s="317" t="str">
        <f t="shared" si="6"/>
        <v/>
      </c>
      <c r="Z767" s="83" t="str">
        <f t="shared" si="7"/>
        <v/>
      </c>
      <c r="AA767" s="83" t="str">
        <f t="shared" si="8"/>
        <v/>
      </c>
      <c r="AB767" s="83" t="str">
        <f t="shared" si="9"/>
        <v/>
      </c>
      <c r="AC767" s="18" t="str">
        <f t="shared" ref="AC767:AD767" si="1540">IF(_xlfn.ISFORMULA(S767),IFERROR(0/0,""),TRUE)</f>
        <v/>
      </c>
      <c r="AD767" s="18" t="str">
        <f t="shared" si="1540"/>
        <v/>
      </c>
      <c r="AE767" s="43"/>
      <c r="AF767" s="58" t="s">
        <v>121</v>
      </c>
      <c r="AG767" s="55" t="str">
        <f t="shared" si="11"/>
        <v/>
      </c>
    </row>
    <row r="768">
      <c r="A768" s="7" t="str">
        <f>IFERROR(__xludf.DUMMYFUNCTION("""COMPUTED_VALUE"""),"AG358")</f>
        <v>AG358</v>
      </c>
      <c r="B768" s="308">
        <f>IFERROR(__xludf.DUMMYFUNCTION("""COMPUTED_VALUE"""),44944.0)</f>
        <v>44944</v>
      </c>
      <c r="C768" s="309">
        <f>IFERROR(__xludf.DUMMYFUNCTION("""COMPUTED_VALUE"""),0.2813310185185185)</f>
        <v>0.2813310185</v>
      </c>
      <c r="D768" s="7" t="str">
        <f>IFERROR(__xludf.DUMMYFUNCTION("""COMPUTED_VALUE"""),"SpABRM128250")</f>
        <v>SpABRM128250</v>
      </c>
      <c r="E768" s="310"/>
      <c r="F768" s="310"/>
      <c r="G768" s="310" t="str">
        <f>IFERROR(__xludf.DUMMYFUNCTION("""COMPUTED_VALUE"""),"Negative")</f>
        <v>Negative</v>
      </c>
      <c r="H768" s="319" t="str">
        <f>IFERROR(__xludf.DUMMYFUNCTION("""COMPUTED_VALUE"""),"Negative")</f>
        <v>Negative</v>
      </c>
      <c r="I768" s="308">
        <f>IFERROR(__xludf.DUMMYFUNCTION("""COMPUTED_VALUE"""),44944.0)</f>
        <v>44944</v>
      </c>
      <c r="J768" s="311">
        <f>IFERROR(__xludf.DUMMYFUNCTION("""COMPUTED_VALUE"""),0.3825115740740741)</f>
        <v>0.3825115741</v>
      </c>
      <c r="K768" s="54"/>
      <c r="L768" s="7"/>
      <c r="M768" s="312"/>
      <c r="N768" s="172">
        <f>IFERROR(__xludf.DUMMYFUNCTION("""COMPUTED_VALUE"""),3.0)</f>
        <v>3</v>
      </c>
      <c r="O768" s="172"/>
      <c r="P768" s="313">
        <f>IFERROR(__xludf.DUMMYFUNCTION("""COMPUTED_VALUE"""),0.0)</f>
        <v>0</v>
      </c>
      <c r="Q768" s="76" t="b">
        <f>VLOOKUP($B768,'Run Reconcile'!B$2:O1399,14,FALSE)</f>
        <v>1</v>
      </c>
      <c r="R768" s="314" t="str">
        <f t="array" ref="R768">IF($Q768, INDEX('Run Reconcile'!A$2:A1399,MATCH(B768,'Run Reconcile'!B$2:B1399,0),1),IFERROR(0/0,""))</f>
        <v>RUN-ABRM_2023-01-18_RFR-136</v>
      </c>
      <c r="S768" s="315" t="str">
        <f t="shared" ref="S768:T768" si="1541">IF(COUNTIF(W$2:W1399, $A768) &gt; 0,TRUE,IFERROR(0/0,""))</f>
        <v/>
      </c>
      <c r="T768" s="315" t="str">
        <f t="shared" si="1541"/>
        <v/>
      </c>
      <c r="U768" s="114" t="str">
        <f t="array" ref="U768">IF(ISBLANK($R768), INDEX('Run Reconcile'!A$2:A1399, MATCH($B768, 'Run Reconcile'!B$2:B1399, 0)+Z768, 1), IFERROR(0/0,""))
</f>
        <v/>
      </c>
      <c r="V768" s="316" t="str">
        <f t="shared" si="1281"/>
        <v>RUN-ABRM_2023-01-18_RFR-136</v>
      </c>
      <c r="Y768" s="317" t="str">
        <f t="shared" si="6"/>
        <v/>
      </c>
      <c r="Z768" s="83" t="str">
        <f t="shared" si="7"/>
        <v/>
      </c>
      <c r="AA768" s="83" t="str">
        <f t="shared" si="8"/>
        <v/>
      </c>
      <c r="AB768" s="83" t="str">
        <f t="shared" si="9"/>
        <v/>
      </c>
      <c r="AC768" s="18" t="str">
        <f t="shared" ref="AC768:AD768" si="1542">IF(_xlfn.ISFORMULA(S768),IFERROR(0/0,""),TRUE)</f>
        <v/>
      </c>
      <c r="AD768" s="18" t="str">
        <f t="shared" si="1542"/>
        <v/>
      </c>
      <c r="AE768" s="43"/>
      <c r="AF768" s="58" t="s">
        <v>121</v>
      </c>
      <c r="AG768" s="55" t="str">
        <f t="shared" si="11"/>
        <v/>
      </c>
    </row>
    <row r="769">
      <c r="A769" s="7" t="str">
        <f>IFERROR(__xludf.DUMMYFUNCTION("""COMPUTED_VALUE"""),"AH685")</f>
        <v>AH685</v>
      </c>
      <c r="B769" s="308">
        <f>IFERROR(__xludf.DUMMYFUNCTION("""COMPUTED_VALUE"""),44944.0)</f>
        <v>44944</v>
      </c>
      <c r="C769" s="309">
        <f>IFERROR(__xludf.DUMMYFUNCTION("""COMPUTED_VALUE"""),0.3209606481481482)</f>
        <v>0.3209606481</v>
      </c>
      <c r="D769" s="7" t="str">
        <f>IFERROR(__xludf.DUMMYFUNCTION("""COMPUTED_VALUE"""),"SpABRM655136")</f>
        <v>SpABRM655136</v>
      </c>
      <c r="E769" s="310"/>
      <c r="F769" s="310"/>
      <c r="G769" s="310" t="str">
        <f>IFERROR(__xludf.DUMMYFUNCTION("""COMPUTED_VALUE"""),"Negative")</f>
        <v>Negative</v>
      </c>
      <c r="H769" s="319" t="str">
        <f>IFERROR(__xludf.DUMMYFUNCTION("""COMPUTED_VALUE"""),"Negative")</f>
        <v>Negative</v>
      </c>
      <c r="I769" s="308">
        <f>IFERROR(__xludf.DUMMYFUNCTION("""COMPUTED_VALUE"""),44944.0)</f>
        <v>44944</v>
      </c>
      <c r="J769" s="311">
        <f>IFERROR(__xludf.DUMMYFUNCTION("""COMPUTED_VALUE"""),0.3825115740740741)</f>
        <v>0.3825115741</v>
      </c>
      <c r="K769" s="54"/>
      <c r="L769" s="7"/>
      <c r="M769" s="312"/>
      <c r="N769" s="172">
        <f>IFERROR(__xludf.DUMMYFUNCTION("""COMPUTED_VALUE"""),2.0)</f>
        <v>2</v>
      </c>
      <c r="O769" s="172"/>
      <c r="P769" s="313">
        <f>IFERROR(__xludf.DUMMYFUNCTION("""COMPUTED_VALUE"""),0.0)</f>
        <v>0</v>
      </c>
      <c r="Q769" s="76" t="b">
        <f>VLOOKUP($B769,'Run Reconcile'!B$2:O1399,14,FALSE)</f>
        <v>1</v>
      </c>
      <c r="R769" s="314" t="str">
        <f t="array" ref="R769">IF($Q769, INDEX('Run Reconcile'!A$2:A1399,MATCH(B769,'Run Reconcile'!B$2:B1399,0),1),IFERROR(0/0,""))</f>
        <v>RUN-ABRM_2023-01-18_RFR-136</v>
      </c>
      <c r="S769" s="315" t="str">
        <f t="shared" ref="S769:T769" si="1543">IF(COUNTIF(W$2:W1399, $A769) &gt; 0,TRUE,IFERROR(0/0,""))</f>
        <v/>
      </c>
      <c r="T769" s="315" t="str">
        <f t="shared" si="1543"/>
        <v/>
      </c>
      <c r="U769" s="114" t="str">
        <f t="array" ref="U769">IF(ISBLANK($R769), INDEX('Run Reconcile'!A$2:A1399, MATCH($B769, 'Run Reconcile'!B$2:B1399, 0)+Z769, 1), IFERROR(0/0,""))
</f>
        <v/>
      </c>
      <c r="V769" s="316" t="str">
        <f t="shared" si="1281"/>
        <v>RUN-ABRM_2023-01-18_RFR-136</v>
      </c>
      <c r="Y769" s="317" t="str">
        <f t="shared" si="6"/>
        <v/>
      </c>
      <c r="Z769" s="83" t="str">
        <f t="shared" si="7"/>
        <v/>
      </c>
      <c r="AA769" s="83" t="str">
        <f t="shared" si="8"/>
        <v/>
      </c>
      <c r="AB769" s="83" t="str">
        <f t="shared" si="9"/>
        <v/>
      </c>
      <c r="AC769" s="18" t="str">
        <f t="shared" ref="AC769:AD769" si="1544">IF(_xlfn.ISFORMULA(S769),IFERROR(0/0,""),TRUE)</f>
        <v/>
      </c>
      <c r="AD769" s="18" t="str">
        <f t="shared" si="1544"/>
        <v/>
      </c>
      <c r="AE769" s="43"/>
      <c r="AF769" s="58" t="s">
        <v>121</v>
      </c>
      <c r="AG769" s="55" t="str">
        <f t="shared" si="11"/>
        <v/>
      </c>
    </row>
    <row r="770">
      <c r="A770" s="7" t="str">
        <f>IFERROR(__xludf.DUMMYFUNCTION("""COMPUTED_VALUE"""),"AJ8814")</f>
        <v>AJ8814</v>
      </c>
      <c r="B770" s="308">
        <f>IFERROR(__xludf.DUMMYFUNCTION("""COMPUTED_VALUE"""),44944.0)</f>
        <v>44944</v>
      </c>
      <c r="C770" s="309">
        <f>IFERROR(__xludf.DUMMYFUNCTION("""COMPUTED_VALUE"""),0.3212847222222222)</f>
        <v>0.3212847222</v>
      </c>
      <c r="D770" s="7" t="str">
        <f>IFERROR(__xludf.DUMMYFUNCTION("""COMPUTED_VALUE"""),"SpABRM655136")</f>
        <v>SpABRM655136</v>
      </c>
      <c r="E770" s="310"/>
      <c r="F770" s="310"/>
      <c r="G770" s="310" t="str">
        <f>IFERROR(__xludf.DUMMYFUNCTION("""COMPUTED_VALUE"""),"Negative")</f>
        <v>Negative</v>
      </c>
      <c r="H770" s="319" t="str">
        <f>IFERROR(__xludf.DUMMYFUNCTION("""COMPUTED_VALUE"""),"Negative")</f>
        <v>Negative</v>
      </c>
      <c r="I770" s="308">
        <f>IFERROR(__xludf.DUMMYFUNCTION("""COMPUTED_VALUE"""),44944.0)</f>
        <v>44944</v>
      </c>
      <c r="J770" s="311">
        <f>IFERROR(__xludf.DUMMYFUNCTION("""COMPUTED_VALUE"""),0.38252314814814814)</f>
        <v>0.3825231481</v>
      </c>
      <c r="K770" s="54"/>
      <c r="L770" s="7"/>
      <c r="M770" s="312"/>
      <c r="N770" s="172">
        <f>IFERROR(__xludf.DUMMYFUNCTION("""COMPUTED_VALUE"""),1.0)</f>
        <v>1</v>
      </c>
      <c r="O770" s="172"/>
      <c r="P770" s="313">
        <f>IFERROR(__xludf.DUMMYFUNCTION("""COMPUTED_VALUE"""),0.0)</f>
        <v>0</v>
      </c>
      <c r="Q770" s="76" t="b">
        <f>VLOOKUP($B770,'Run Reconcile'!B$2:O1399,14,FALSE)</f>
        <v>1</v>
      </c>
      <c r="R770" s="314" t="str">
        <f t="array" ref="R770">IF($Q770, INDEX('Run Reconcile'!A$2:A1399,MATCH(B770,'Run Reconcile'!B$2:B1399,0),1),IFERROR(0/0,""))</f>
        <v>RUN-ABRM_2023-01-18_RFR-136</v>
      </c>
      <c r="S770" s="315" t="str">
        <f t="shared" ref="S770:T770" si="1545">IF(COUNTIF(W$2:W1399, $A770) &gt; 0,TRUE,IFERROR(0/0,""))</f>
        <v/>
      </c>
      <c r="T770" s="315" t="str">
        <f t="shared" si="1545"/>
        <v/>
      </c>
      <c r="U770" s="114" t="str">
        <f t="array" ref="U770">IF(ISBLANK($R770), INDEX('Run Reconcile'!A$2:A1399, MATCH($B770, 'Run Reconcile'!B$2:B1399, 0)+Z770, 1), IFERROR(0/0,""))
</f>
        <v/>
      </c>
      <c r="V770" s="316" t="str">
        <f t="shared" si="1281"/>
        <v>RUN-ABRM_2023-01-18_RFR-136</v>
      </c>
      <c r="Y770" s="317" t="str">
        <f t="shared" si="6"/>
        <v/>
      </c>
      <c r="Z770" s="83" t="str">
        <f t="shared" si="7"/>
        <v/>
      </c>
      <c r="AA770" s="83" t="str">
        <f t="shared" si="8"/>
        <v/>
      </c>
      <c r="AB770" s="83" t="str">
        <f t="shared" si="9"/>
        <v/>
      </c>
      <c r="AC770" s="18" t="str">
        <f t="shared" ref="AC770:AD770" si="1546">IF(_xlfn.ISFORMULA(S770),IFERROR(0/0,""),TRUE)</f>
        <v/>
      </c>
      <c r="AD770" s="18" t="str">
        <f t="shared" si="1546"/>
        <v/>
      </c>
      <c r="AE770" s="43"/>
      <c r="AF770" s="58" t="s">
        <v>121</v>
      </c>
      <c r="AG770" s="55" t="str">
        <f t="shared" si="11"/>
        <v/>
      </c>
    </row>
    <row r="771">
      <c r="A771" s="7" t="str">
        <f>IFERROR(__xludf.DUMMYFUNCTION("""COMPUTED_VALUE"""),"AJ8999")</f>
        <v>AJ8999</v>
      </c>
      <c r="B771" s="308">
        <f>IFERROR(__xludf.DUMMYFUNCTION("""COMPUTED_VALUE"""),44944.0)</f>
        <v>44944</v>
      </c>
      <c r="C771" s="309">
        <f>IFERROR(__xludf.DUMMYFUNCTION("""COMPUTED_VALUE"""),0.33390046296296294)</f>
        <v>0.333900463</v>
      </c>
      <c r="D771" s="7" t="str">
        <f>IFERROR(__xludf.DUMMYFUNCTION("""COMPUTED_VALUE"""),"SpABRM297307")</f>
        <v>SpABRM297307</v>
      </c>
      <c r="E771" s="310"/>
      <c r="F771" s="310"/>
      <c r="G771" s="310" t="str">
        <f>IFERROR(__xludf.DUMMYFUNCTION("""COMPUTED_VALUE"""),"Negative")</f>
        <v>Negative</v>
      </c>
      <c r="H771" s="319" t="str">
        <f>IFERROR(__xludf.DUMMYFUNCTION("""COMPUTED_VALUE"""),"Negative")</f>
        <v>Negative</v>
      </c>
      <c r="I771" s="308">
        <f>IFERROR(__xludf.DUMMYFUNCTION("""COMPUTED_VALUE"""),44944.0)</f>
        <v>44944</v>
      </c>
      <c r="J771" s="311">
        <f>IFERROR(__xludf.DUMMYFUNCTION("""COMPUTED_VALUE"""),0.38253472222222223)</f>
        <v>0.3825347222</v>
      </c>
      <c r="K771" s="54"/>
      <c r="L771" s="7"/>
      <c r="M771" s="312"/>
      <c r="N771" s="172">
        <f>IFERROR(__xludf.DUMMYFUNCTION("""COMPUTED_VALUE"""),4.0)</f>
        <v>4</v>
      </c>
      <c r="O771" s="172"/>
      <c r="P771" s="313">
        <f>IFERROR(__xludf.DUMMYFUNCTION("""COMPUTED_VALUE"""),0.0)</f>
        <v>0</v>
      </c>
      <c r="Q771" s="76" t="b">
        <f>VLOOKUP($B771,'Run Reconcile'!B$2:O1399,14,FALSE)</f>
        <v>1</v>
      </c>
      <c r="R771" s="314" t="str">
        <f t="array" ref="R771">IF($Q771, INDEX('Run Reconcile'!A$2:A1399,MATCH(B771,'Run Reconcile'!B$2:B1399,0),1),IFERROR(0/0,""))</f>
        <v>RUN-ABRM_2023-01-18_RFR-136</v>
      </c>
      <c r="S771" s="315" t="str">
        <f t="shared" ref="S771:T771" si="1547">IF(COUNTIF(W$2:W1399, $A771) &gt; 0,TRUE,IFERROR(0/0,""))</f>
        <v/>
      </c>
      <c r="T771" s="315" t="str">
        <f t="shared" si="1547"/>
        <v/>
      </c>
      <c r="U771" s="114" t="str">
        <f t="array" ref="U771">IF(ISBLANK($R771), INDEX('Run Reconcile'!A$2:A1399, MATCH($B771, 'Run Reconcile'!B$2:B1399, 0)+Z771, 1), IFERROR(0/0,""))
</f>
        <v/>
      </c>
      <c r="V771" s="316" t="str">
        <f t="shared" si="1281"/>
        <v>RUN-ABRM_2023-01-18_RFR-136</v>
      </c>
      <c r="Y771" s="317" t="str">
        <f t="shared" si="6"/>
        <v/>
      </c>
      <c r="Z771" s="83" t="str">
        <f t="shared" si="7"/>
        <v/>
      </c>
      <c r="AA771" s="83" t="str">
        <f t="shared" si="8"/>
        <v/>
      </c>
      <c r="AB771" s="83" t="str">
        <f t="shared" si="9"/>
        <v/>
      </c>
      <c r="AC771" s="18" t="str">
        <f t="shared" ref="AC771:AD771" si="1548">IF(_xlfn.ISFORMULA(S771),IFERROR(0/0,""),TRUE)</f>
        <v/>
      </c>
      <c r="AD771" s="18" t="str">
        <f t="shared" si="1548"/>
        <v/>
      </c>
      <c r="AE771" s="43"/>
      <c r="AF771" s="58" t="s">
        <v>121</v>
      </c>
      <c r="AG771" s="55" t="str">
        <f t="shared" si="11"/>
        <v/>
      </c>
    </row>
    <row r="772">
      <c r="A772" s="7" t="str">
        <f>IFERROR(__xludf.DUMMYFUNCTION("""COMPUTED_VALUE"""),"AH7090")</f>
        <v>AH7090</v>
      </c>
      <c r="B772" s="308">
        <f>IFERROR(__xludf.DUMMYFUNCTION("""COMPUTED_VALUE"""),44944.0)</f>
        <v>44944</v>
      </c>
      <c r="C772" s="309">
        <f>IFERROR(__xludf.DUMMYFUNCTION("""COMPUTED_VALUE"""),0.3434490740740741)</f>
        <v>0.3434490741</v>
      </c>
      <c r="D772" s="7" t="str">
        <f>IFERROR(__xludf.DUMMYFUNCTION("""COMPUTED_VALUE"""),"SpABRM655136")</f>
        <v>SpABRM655136</v>
      </c>
      <c r="E772" s="310"/>
      <c r="F772" s="310"/>
      <c r="G772" s="310" t="str">
        <f>IFERROR(__xludf.DUMMYFUNCTION("""COMPUTED_VALUE"""),"Negative")</f>
        <v>Negative</v>
      </c>
      <c r="H772" s="319" t="str">
        <f>IFERROR(__xludf.DUMMYFUNCTION("""COMPUTED_VALUE"""),"Negative")</f>
        <v>Negative</v>
      </c>
      <c r="I772" s="308">
        <f>IFERROR(__xludf.DUMMYFUNCTION("""COMPUTED_VALUE"""),44944.0)</f>
        <v>44944</v>
      </c>
      <c r="J772" s="311">
        <f>IFERROR(__xludf.DUMMYFUNCTION("""COMPUTED_VALUE"""),0.38253472222222223)</f>
        <v>0.3825347222</v>
      </c>
      <c r="K772" s="54"/>
      <c r="L772" s="7"/>
      <c r="M772" s="312"/>
      <c r="N772" s="172">
        <f>IFERROR(__xludf.DUMMYFUNCTION("""COMPUTED_VALUE"""),4.0)</f>
        <v>4</v>
      </c>
      <c r="O772" s="172"/>
      <c r="P772" s="313">
        <f>IFERROR(__xludf.DUMMYFUNCTION("""COMPUTED_VALUE"""),0.0)</f>
        <v>0</v>
      </c>
      <c r="Q772" s="76" t="b">
        <f>VLOOKUP($B772,'Run Reconcile'!B$2:O1399,14,FALSE)</f>
        <v>1</v>
      </c>
      <c r="R772" s="314" t="str">
        <f t="array" ref="R772">IF($Q772, INDEX('Run Reconcile'!A$2:A1399,MATCH(B772,'Run Reconcile'!B$2:B1399,0),1),IFERROR(0/0,""))</f>
        <v>RUN-ABRM_2023-01-18_RFR-136</v>
      </c>
      <c r="S772" s="315" t="str">
        <f t="shared" ref="S772:T772" si="1549">IF(COUNTIF(W$2:W1399, $A772) &gt; 0,TRUE,IFERROR(0/0,""))</f>
        <v/>
      </c>
      <c r="T772" s="315" t="str">
        <f t="shared" si="1549"/>
        <v/>
      </c>
      <c r="U772" s="114" t="str">
        <f t="array" ref="U772">IF(ISBLANK($R772), INDEX('Run Reconcile'!A$2:A1399, MATCH($B772, 'Run Reconcile'!B$2:B1399, 0)+Z772, 1), IFERROR(0/0,""))
</f>
        <v/>
      </c>
      <c r="V772" s="316" t="str">
        <f t="shared" si="1281"/>
        <v>RUN-ABRM_2023-01-18_RFR-136</v>
      </c>
      <c r="Y772" s="317" t="str">
        <f t="shared" si="6"/>
        <v/>
      </c>
      <c r="Z772" s="83" t="str">
        <f t="shared" si="7"/>
        <v/>
      </c>
      <c r="AA772" s="83" t="str">
        <f t="shared" si="8"/>
        <v/>
      </c>
      <c r="AB772" s="83" t="str">
        <f t="shared" si="9"/>
        <v/>
      </c>
      <c r="AC772" s="18" t="str">
        <f t="shared" ref="AC772:AD772" si="1550">IF(_xlfn.ISFORMULA(S772),IFERROR(0/0,""),TRUE)</f>
        <v/>
      </c>
      <c r="AD772" s="18" t="str">
        <f t="shared" si="1550"/>
        <v/>
      </c>
      <c r="AE772" s="43"/>
      <c r="AF772" s="58" t="s">
        <v>121</v>
      </c>
      <c r="AG772" s="55" t="str">
        <f t="shared" si="11"/>
        <v/>
      </c>
    </row>
    <row r="773">
      <c r="A773" s="7" t="str">
        <f>IFERROR(__xludf.DUMMYFUNCTION("""COMPUTED_VALUE"""),"AJ8145")</f>
        <v>AJ8145</v>
      </c>
      <c r="B773" s="308">
        <f>IFERROR(__xludf.DUMMYFUNCTION("""COMPUTED_VALUE"""),44945.0)</f>
        <v>44945</v>
      </c>
      <c r="C773" s="309">
        <f>IFERROR(__xludf.DUMMYFUNCTION("""COMPUTED_VALUE"""),0.2835185185185185)</f>
        <v>0.2835185185</v>
      </c>
      <c r="D773" s="7" t="str">
        <f>IFERROR(__xludf.DUMMYFUNCTION("""COMPUTED_VALUE"""),"SpABRM297307")</f>
        <v>SpABRM297307</v>
      </c>
      <c r="E773" s="310"/>
      <c r="F773" s="310"/>
      <c r="G773" s="310" t="str">
        <f>IFERROR(__xludf.DUMMYFUNCTION("""COMPUTED_VALUE"""),"Negative")</f>
        <v>Negative</v>
      </c>
      <c r="H773" s="319" t="str">
        <f>IFERROR(__xludf.DUMMYFUNCTION("""COMPUTED_VALUE"""),"Negative")</f>
        <v>Negative</v>
      </c>
      <c r="I773" s="308">
        <f>IFERROR(__xludf.DUMMYFUNCTION("""COMPUTED_VALUE"""),44945.0)</f>
        <v>44945</v>
      </c>
      <c r="J773" s="311">
        <f>IFERROR(__xludf.DUMMYFUNCTION("""COMPUTED_VALUE"""),0.41866898148148146)</f>
        <v>0.4186689815</v>
      </c>
      <c r="K773" s="54"/>
      <c r="L773" s="7"/>
      <c r="M773" s="312"/>
      <c r="N773" s="172">
        <f>IFERROR(__xludf.DUMMYFUNCTION("""COMPUTED_VALUE"""),4.0)</f>
        <v>4</v>
      </c>
      <c r="O773" s="172"/>
      <c r="P773" s="313">
        <f>IFERROR(__xludf.DUMMYFUNCTION("""COMPUTED_VALUE"""),0.0)</f>
        <v>0</v>
      </c>
      <c r="Q773" s="76" t="b">
        <f>VLOOKUP($B773,'Run Reconcile'!B$2:O1399,14,FALSE)</f>
        <v>1</v>
      </c>
      <c r="R773" s="314" t="str">
        <f t="array" ref="R773">IF($Q773, INDEX('Run Reconcile'!A$2:A1399,MATCH(B773,'Run Reconcile'!B$2:B1399,0),1),IFERROR(0/0,""))</f>
        <v>RUN-ABRM_2023-01-19_RFR-137</v>
      </c>
      <c r="S773" s="315" t="str">
        <f t="shared" ref="S773:T773" si="1551">IF(COUNTIF(W$2:W1399, $A773) &gt; 0,TRUE,IFERROR(0/0,""))</f>
        <v/>
      </c>
      <c r="T773" s="315" t="str">
        <f t="shared" si="1551"/>
        <v/>
      </c>
      <c r="U773" s="114" t="str">
        <f t="array" ref="U773">IF(ISBLANK($R773), INDEX('Run Reconcile'!A$2:A1399, MATCH($B773, 'Run Reconcile'!B$2:B1399, 0)+Z773, 1), IFERROR(0/0,""))
</f>
        <v/>
      </c>
      <c r="V773" s="316" t="str">
        <f t="shared" si="1281"/>
        <v>RUN-ABRM_2023-01-19_RFR-137</v>
      </c>
      <c r="Y773" s="317" t="str">
        <f t="shared" si="6"/>
        <v/>
      </c>
      <c r="Z773" s="83" t="str">
        <f t="shared" si="7"/>
        <v/>
      </c>
      <c r="AA773" s="83" t="str">
        <f t="shared" si="8"/>
        <v/>
      </c>
      <c r="AB773" s="83" t="str">
        <f t="shared" si="9"/>
        <v/>
      </c>
      <c r="AC773" s="18" t="str">
        <f t="shared" ref="AC773:AD773" si="1552">IF(_xlfn.ISFORMULA(S773),IFERROR(0/0,""),TRUE)</f>
        <v/>
      </c>
      <c r="AD773" s="18" t="str">
        <f t="shared" si="1552"/>
        <v/>
      </c>
      <c r="AE773" s="43"/>
      <c r="AF773" s="58" t="s">
        <v>122</v>
      </c>
      <c r="AG773" s="55" t="str">
        <f t="shared" si="11"/>
        <v/>
      </c>
    </row>
    <row r="774">
      <c r="A774" s="7" t="str">
        <f>IFERROR(__xludf.DUMMYFUNCTION("""COMPUTED_VALUE"""),"AJ7954")</f>
        <v>AJ7954</v>
      </c>
      <c r="B774" s="308">
        <f>IFERROR(__xludf.DUMMYFUNCTION("""COMPUTED_VALUE"""),44945.0)</f>
        <v>44945</v>
      </c>
      <c r="C774" s="309">
        <f>IFERROR(__xludf.DUMMYFUNCTION("""COMPUTED_VALUE"""),0.28684027777777776)</f>
        <v>0.2868402778</v>
      </c>
      <c r="D774" s="7" t="str">
        <f>IFERROR(__xludf.DUMMYFUNCTION("""COMPUTED_VALUE"""),"SpABRM716377")</f>
        <v>SpABRM716377</v>
      </c>
      <c r="E774" s="310"/>
      <c r="F774" s="310"/>
      <c r="G774" s="310" t="str">
        <f>IFERROR(__xludf.DUMMYFUNCTION("""COMPUTED_VALUE"""),"Negative")</f>
        <v>Negative</v>
      </c>
      <c r="H774" s="319" t="str">
        <f>IFERROR(__xludf.DUMMYFUNCTION("""COMPUTED_VALUE"""),"Negative")</f>
        <v>Negative</v>
      </c>
      <c r="I774" s="308">
        <f>IFERROR(__xludf.DUMMYFUNCTION("""COMPUTED_VALUE"""),44945.0)</f>
        <v>44945</v>
      </c>
      <c r="J774" s="311">
        <f>IFERROR(__xludf.DUMMYFUNCTION("""COMPUTED_VALUE"""),0.41866898148148146)</f>
        <v>0.4186689815</v>
      </c>
      <c r="K774" s="54"/>
      <c r="L774" s="7"/>
      <c r="M774" s="312"/>
      <c r="N774" s="172">
        <f>IFERROR(__xludf.DUMMYFUNCTION("""COMPUTED_VALUE"""),3.0)</f>
        <v>3</v>
      </c>
      <c r="O774" s="172"/>
      <c r="P774" s="313">
        <f>IFERROR(__xludf.DUMMYFUNCTION("""COMPUTED_VALUE"""),0.0)</f>
        <v>0</v>
      </c>
      <c r="Q774" s="76" t="b">
        <f>VLOOKUP($B774,'Run Reconcile'!B$2:O1399,14,FALSE)</f>
        <v>1</v>
      </c>
      <c r="R774" s="314" t="str">
        <f t="array" ref="R774">IF($Q774, INDEX('Run Reconcile'!A$2:A1399,MATCH(B774,'Run Reconcile'!B$2:B1399,0),1),IFERROR(0/0,""))</f>
        <v>RUN-ABRM_2023-01-19_RFR-137</v>
      </c>
      <c r="S774" s="315" t="str">
        <f t="shared" ref="S774:T774" si="1553">IF(COUNTIF(W$2:W1399, $A774) &gt; 0,TRUE,IFERROR(0/0,""))</f>
        <v/>
      </c>
      <c r="T774" s="315" t="str">
        <f t="shared" si="1553"/>
        <v/>
      </c>
      <c r="U774" s="114" t="str">
        <f t="array" ref="U774">IF(ISBLANK($R774), INDEX('Run Reconcile'!A$2:A1399, MATCH($B774, 'Run Reconcile'!B$2:B1399, 0)+Z774, 1), IFERROR(0/0,""))
</f>
        <v/>
      </c>
      <c r="V774" s="316" t="str">
        <f t="shared" si="1281"/>
        <v>RUN-ABRM_2023-01-19_RFR-137</v>
      </c>
      <c r="Y774" s="317" t="str">
        <f t="shared" si="6"/>
        <v/>
      </c>
      <c r="Z774" s="83" t="str">
        <f t="shared" si="7"/>
        <v/>
      </c>
      <c r="AA774" s="83" t="str">
        <f t="shared" si="8"/>
        <v/>
      </c>
      <c r="AB774" s="83" t="str">
        <f t="shared" si="9"/>
        <v/>
      </c>
      <c r="AC774" s="18" t="str">
        <f t="shared" ref="AC774:AD774" si="1554">IF(_xlfn.ISFORMULA(S774),IFERROR(0/0,""),TRUE)</f>
        <v/>
      </c>
      <c r="AD774" s="18" t="str">
        <f t="shared" si="1554"/>
        <v/>
      </c>
      <c r="AE774" s="43"/>
      <c r="AF774" s="58" t="s">
        <v>122</v>
      </c>
      <c r="AG774" s="55" t="str">
        <f t="shared" si="11"/>
        <v/>
      </c>
    </row>
    <row r="775">
      <c r="A775" s="7" t="str">
        <f>IFERROR(__xludf.DUMMYFUNCTION("""COMPUTED_VALUE"""),"AH610")</f>
        <v>AH610</v>
      </c>
      <c r="B775" s="308">
        <f>IFERROR(__xludf.DUMMYFUNCTION("""COMPUTED_VALUE"""),44945.0)</f>
        <v>44945</v>
      </c>
      <c r="C775" s="309">
        <f>IFERROR(__xludf.DUMMYFUNCTION("""COMPUTED_VALUE"""),0.2889583333333333)</f>
        <v>0.2889583333</v>
      </c>
      <c r="D775" s="7" t="str">
        <f>IFERROR(__xludf.DUMMYFUNCTION("""COMPUTED_VALUE"""),"SpABRM128250")</f>
        <v>SpABRM128250</v>
      </c>
      <c r="E775" s="310"/>
      <c r="F775" s="310"/>
      <c r="G775" s="310" t="str">
        <f>IFERROR(__xludf.DUMMYFUNCTION("""COMPUTED_VALUE"""),"Negative")</f>
        <v>Negative</v>
      </c>
      <c r="H775" s="319" t="str">
        <f>IFERROR(__xludf.DUMMYFUNCTION("""COMPUTED_VALUE"""),"Negative")</f>
        <v>Negative</v>
      </c>
      <c r="I775" s="308">
        <f>IFERROR(__xludf.DUMMYFUNCTION("""COMPUTED_VALUE"""),44945.0)</f>
        <v>44945</v>
      </c>
      <c r="J775" s="311">
        <f>IFERROR(__xludf.DUMMYFUNCTION("""COMPUTED_VALUE"""),0.41868055555555556)</f>
        <v>0.4186805556</v>
      </c>
      <c r="K775" s="54"/>
      <c r="L775" s="7"/>
      <c r="M775" s="312"/>
      <c r="N775" s="172">
        <f>IFERROR(__xludf.DUMMYFUNCTION("""COMPUTED_VALUE"""),3.0)</f>
        <v>3</v>
      </c>
      <c r="O775" s="172"/>
      <c r="P775" s="313">
        <f>IFERROR(__xludf.DUMMYFUNCTION("""COMPUTED_VALUE"""),0.0)</f>
        <v>0</v>
      </c>
      <c r="Q775" s="76" t="b">
        <f>VLOOKUP($B775,'Run Reconcile'!B$2:O1399,14,FALSE)</f>
        <v>1</v>
      </c>
      <c r="R775" s="314" t="str">
        <f t="array" ref="R775">IF($Q775, INDEX('Run Reconcile'!A$2:A1399,MATCH(B775,'Run Reconcile'!B$2:B1399,0),1),IFERROR(0/0,""))</f>
        <v>RUN-ABRM_2023-01-19_RFR-137</v>
      </c>
      <c r="S775" s="315" t="str">
        <f t="shared" ref="S775:T775" si="1555">IF(COUNTIF(W$2:W1399, $A775) &gt; 0,TRUE,IFERROR(0/0,""))</f>
        <v/>
      </c>
      <c r="T775" s="315" t="str">
        <f t="shared" si="1555"/>
        <v/>
      </c>
      <c r="U775" s="114" t="str">
        <f t="array" ref="U775">IF(ISBLANK($R775), INDEX('Run Reconcile'!A$2:A1399, MATCH($B775, 'Run Reconcile'!B$2:B1399, 0)+Z775, 1), IFERROR(0/0,""))
</f>
        <v/>
      </c>
      <c r="V775" s="316" t="str">
        <f t="shared" si="1281"/>
        <v>RUN-ABRM_2023-01-19_RFR-137</v>
      </c>
      <c r="Y775" s="317" t="str">
        <f t="shared" si="6"/>
        <v/>
      </c>
      <c r="Z775" s="83" t="str">
        <f t="shared" si="7"/>
        <v/>
      </c>
      <c r="AA775" s="83" t="str">
        <f t="shared" si="8"/>
        <v/>
      </c>
      <c r="AB775" s="83" t="str">
        <f t="shared" si="9"/>
        <v/>
      </c>
      <c r="AC775" s="18" t="str">
        <f t="shared" ref="AC775:AD775" si="1556">IF(_xlfn.ISFORMULA(S775),IFERROR(0/0,""),TRUE)</f>
        <v/>
      </c>
      <c r="AD775" s="18" t="str">
        <f t="shared" si="1556"/>
        <v/>
      </c>
      <c r="AE775" s="43"/>
      <c r="AF775" s="58" t="s">
        <v>122</v>
      </c>
      <c r="AG775" s="55" t="str">
        <f t="shared" si="11"/>
        <v/>
      </c>
    </row>
    <row r="776">
      <c r="A776" s="7" t="str">
        <f>IFERROR(__xludf.DUMMYFUNCTION("""COMPUTED_VALUE"""),"AK6579")</f>
        <v>AK6579</v>
      </c>
      <c r="B776" s="308">
        <f>IFERROR(__xludf.DUMMYFUNCTION("""COMPUTED_VALUE"""),44945.0)</f>
        <v>44945</v>
      </c>
      <c r="C776" s="309">
        <f>IFERROR(__xludf.DUMMYFUNCTION("""COMPUTED_VALUE"""),0.3193171296296296)</f>
        <v>0.3193171296</v>
      </c>
      <c r="D776" s="7" t="str">
        <f>IFERROR(__xludf.DUMMYFUNCTION("""COMPUTED_VALUE"""),"SpABRM814022")</f>
        <v>SpABRM814022</v>
      </c>
      <c r="E776" s="310"/>
      <c r="F776" s="310"/>
      <c r="G776" s="310" t="str">
        <f>IFERROR(__xludf.DUMMYFUNCTION("""COMPUTED_VALUE"""),"Negative")</f>
        <v>Negative</v>
      </c>
      <c r="H776" s="319" t="str">
        <f>IFERROR(__xludf.DUMMYFUNCTION("""COMPUTED_VALUE"""),"Negative")</f>
        <v>Negative</v>
      </c>
      <c r="I776" s="308">
        <f>IFERROR(__xludf.DUMMYFUNCTION("""COMPUTED_VALUE"""),44945.0)</f>
        <v>44945</v>
      </c>
      <c r="J776" s="311">
        <f>IFERROR(__xludf.DUMMYFUNCTION("""COMPUTED_VALUE"""),0.41868055555555556)</f>
        <v>0.4186805556</v>
      </c>
      <c r="K776" s="54"/>
      <c r="L776" s="7"/>
      <c r="M776" s="312"/>
      <c r="N776" s="172">
        <f>IFERROR(__xludf.DUMMYFUNCTION("""COMPUTED_VALUE"""),1.0)</f>
        <v>1</v>
      </c>
      <c r="O776" s="172"/>
      <c r="P776" s="313">
        <f>IFERROR(__xludf.DUMMYFUNCTION("""COMPUTED_VALUE"""),0.0)</f>
        <v>0</v>
      </c>
      <c r="Q776" s="76" t="b">
        <f>VLOOKUP($B776,'Run Reconcile'!B$2:O1399,14,FALSE)</f>
        <v>1</v>
      </c>
      <c r="R776" s="314" t="str">
        <f t="array" ref="R776">IF($Q776, INDEX('Run Reconcile'!A$2:A1399,MATCH(B776,'Run Reconcile'!B$2:B1399,0),1),IFERROR(0/0,""))</f>
        <v>RUN-ABRM_2023-01-19_RFR-137</v>
      </c>
      <c r="S776" s="315" t="str">
        <f t="shared" ref="S776:T776" si="1557">IF(COUNTIF(W$2:W1399, $A776) &gt; 0,TRUE,IFERROR(0/0,""))</f>
        <v/>
      </c>
      <c r="T776" s="315" t="str">
        <f t="shared" si="1557"/>
        <v/>
      </c>
      <c r="U776" s="114" t="str">
        <f t="array" ref="U776">IF(ISBLANK($R776), INDEX('Run Reconcile'!A$2:A1399, MATCH($B776, 'Run Reconcile'!B$2:B1399, 0)+Z776, 1), IFERROR(0/0,""))
</f>
        <v/>
      </c>
      <c r="V776" s="316" t="str">
        <f t="shared" si="1281"/>
        <v>RUN-ABRM_2023-01-19_RFR-137</v>
      </c>
      <c r="Y776" s="317" t="str">
        <f t="shared" si="6"/>
        <v/>
      </c>
      <c r="Z776" s="83" t="str">
        <f t="shared" si="7"/>
        <v/>
      </c>
      <c r="AA776" s="83" t="str">
        <f t="shared" si="8"/>
        <v/>
      </c>
      <c r="AB776" s="83" t="str">
        <f t="shared" si="9"/>
        <v/>
      </c>
      <c r="AC776" s="18" t="str">
        <f t="shared" ref="AC776:AD776" si="1558">IF(_xlfn.ISFORMULA(S776),IFERROR(0/0,""),TRUE)</f>
        <v/>
      </c>
      <c r="AD776" s="18" t="str">
        <f t="shared" si="1558"/>
        <v/>
      </c>
      <c r="AE776" s="43"/>
      <c r="AF776" s="58" t="s">
        <v>122</v>
      </c>
      <c r="AG776" s="55" t="str">
        <f t="shared" si="11"/>
        <v/>
      </c>
    </row>
    <row r="777">
      <c r="A777" s="7" t="str">
        <f>IFERROR(__xludf.DUMMYFUNCTION("""COMPUTED_VALUE"""),"AJ7501")</f>
        <v>AJ7501</v>
      </c>
      <c r="B777" s="308">
        <f>IFERROR(__xludf.DUMMYFUNCTION("""COMPUTED_VALUE"""),44945.0)</f>
        <v>44945</v>
      </c>
      <c r="C777" s="309">
        <f>IFERROR(__xludf.DUMMYFUNCTION("""COMPUTED_VALUE"""),0.3200462962962963)</f>
        <v>0.3200462963</v>
      </c>
      <c r="D777" s="7" t="str">
        <f>IFERROR(__xludf.DUMMYFUNCTION("""COMPUTED_VALUE"""),"SpABRM655136")</f>
        <v>SpABRM655136</v>
      </c>
      <c r="E777" s="310"/>
      <c r="F777" s="310"/>
      <c r="G777" s="310" t="str">
        <f>IFERROR(__xludf.DUMMYFUNCTION("""COMPUTED_VALUE"""),"Negative")</f>
        <v>Negative</v>
      </c>
      <c r="H777" s="319" t="str">
        <f>IFERROR(__xludf.DUMMYFUNCTION("""COMPUTED_VALUE"""),"Negative")</f>
        <v>Negative</v>
      </c>
      <c r="I777" s="308">
        <f>IFERROR(__xludf.DUMMYFUNCTION("""COMPUTED_VALUE"""),44945.0)</f>
        <v>44945</v>
      </c>
      <c r="J777" s="311">
        <f>IFERROR(__xludf.DUMMYFUNCTION("""COMPUTED_VALUE"""),0.4447337962962963)</f>
        <v>0.4447337963</v>
      </c>
      <c r="K777" s="54"/>
      <c r="L777" s="7"/>
      <c r="M777" s="312"/>
      <c r="N777" s="172">
        <f>IFERROR(__xludf.DUMMYFUNCTION("""COMPUTED_VALUE"""),2.0)</f>
        <v>2</v>
      </c>
      <c r="O777" s="172"/>
      <c r="P777" s="313">
        <f>IFERROR(__xludf.DUMMYFUNCTION("""COMPUTED_VALUE"""),0.0)</f>
        <v>0</v>
      </c>
      <c r="Q777" s="76" t="b">
        <f>VLOOKUP($B777,'Run Reconcile'!B$2:O1399,14,FALSE)</f>
        <v>1</v>
      </c>
      <c r="R777" s="314" t="str">
        <f t="array" ref="R777">IF($Q777, INDEX('Run Reconcile'!A$2:A1399,MATCH(B777,'Run Reconcile'!B$2:B1399,0),1),IFERROR(0/0,""))</f>
        <v>RUN-ABRM_2023-01-19_RFR-137</v>
      </c>
      <c r="S777" s="315" t="str">
        <f t="shared" ref="S777:T777" si="1559">IF(COUNTIF(W$2:W1399, $A777) &gt; 0,TRUE,IFERROR(0/0,""))</f>
        <v/>
      </c>
      <c r="T777" s="315" t="str">
        <f t="shared" si="1559"/>
        <v/>
      </c>
      <c r="U777" s="114" t="str">
        <f t="array" ref="U777">IF(ISBLANK($R777), INDEX('Run Reconcile'!A$2:A1399, MATCH($B777, 'Run Reconcile'!B$2:B1399, 0)+Z777, 1), IFERROR(0/0,""))
</f>
        <v/>
      </c>
      <c r="V777" s="316" t="str">
        <f t="shared" si="1281"/>
        <v>RUN-ABRM_2023-01-19_RFR-137</v>
      </c>
      <c r="Y777" s="317" t="str">
        <f t="shared" si="6"/>
        <v/>
      </c>
      <c r="Z777" s="83" t="str">
        <f t="shared" si="7"/>
        <v/>
      </c>
      <c r="AA777" s="83" t="str">
        <f t="shared" si="8"/>
        <v/>
      </c>
      <c r="AB777" s="83" t="str">
        <f t="shared" si="9"/>
        <v/>
      </c>
      <c r="AC777" s="18" t="str">
        <f t="shared" ref="AC777:AD777" si="1560">IF(_xlfn.ISFORMULA(S777),IFERROR(0/0,""),TRUE)</f>
        <v/>
      </c>
      <c r="AD777" s="18" t="str">
        <f t="shared" si="1560"/>
        <v/>
      </c>
      <c r="AE777" s="43"/>
      <c r="AF777" s="58" t="s">
        <v>122</v>
      </c>
      <c r="AG777" s="55" t="str">
        <f t="shared" si="11"/>
        <v/>
      </c>
    </row>
    <row r="778">
      <c r="A778" s="7" t="str">
        <f>IFERROR(__xludf.DUMMYFUNCTION("""COMPUTED_VALUE"""),"AK6398")</f>
        <v>AK6398</v>
      </c>
      <c r="B778" s="308">
        <f>IFERROR(__xludf.DUMMYFUNCTION("""COMPUTED_VALUE"""),44945.0)</f>
        <v>44945</v>
      </c>
      <c r="C778" s="309">
        <f>IFERROR(__xludf.DUMMYFUNCTION("""COMPUTED_VALUE"""),0.3204166666666667)</f>
        <v>0.3204166667</v>
      </c>
      <c r="D778" s="7" t="str">
        <f>IFERROR(__xludf.DUMMYFUNCTION("""COMPUTED_VALUE"""),"SpABRM655136")</f>
        <v>SpABRM655136</v>
      </c>
      <c r="E778" s="310"/>
      <c r="F778" s="310"/>
      <c r="G778" s="310" t="str">
        <f>IFERROR(__xludf.DUMMYFUNCTION("""COMPUTED_VALUE"""),"Negative")</f>
        <v>Negative</v>
      </c>
      <c r="H778" s="319" t="str">
        <f>IFERROR(__xludf.DUMMYFUNCTION("""COMPUTED_VALUE"""),"Negative")</f>
        <v>Negative</v>
      </c>
      <c r="I778" s="308">
        <f>IFERROR(__xludf.DUMMYFUNCTION("""COMPUTED_VALUE"""),44945.0)</f>
        <v>44945</v>
      </c>
      <c r="J778" s="311">
        <f>IFERROR(__xludf.DUMMYFUNCTION("""COMPUTED_VALUE"""),0.41869212962962965)</f>
        <v>0.4186921296</v>
      </c>
      <c r="K778" s="54"/>
      <c r="L778" s="7"/>
      <c r="M778" s="312"/>
      <c r="N778" s="172">
        <f>IFERROR(__xludf.DUMMYFUNCTION("""COMPUTED_VALUE"""),1.0)</f>
        <v>1</v>
      </c>
      <c r="O778" s="172"/>
      <c r="P778" s="313">
        <f>IFERROR(__xludf.DUMMYFUNCTION("""COMPUTED_VALUE"""),0.0)</f>
        <v>0</v>
      </c>
      <c r="Q778" s="76" t="b">
        <f>VLOOKUP($B778,'Run Reconcile'!B$2:O1399,14,FALSE)</f>
        <v>1</v>
      </c>
      <c r="R778" s="314" t="str">
        <f t="array" ref="R778">IF($Q778, INDEX('Run Reconcile'!A$2:A1399,MATCH(B778,'Run Reconcile'!B$2:B1399,0),1),IFERROR(0/0,""))</f>
        <v>RUN-ABRM_2023-01-19_RFR-137</v>
      </c>
      <c r="S778" s="315" t="str">
        <f t="shared" ref="S778:T778" si="1561">IF(COUNTIF(W$2:W1399, $A778) &gt; 0,TRUE,IFERROR(0/0,""))</f>
        <v/>
      </c>
      <c r="T778" s="315" t="str">
        <f t="shared" si="1561"/>
        <v/>
      </c>
      <c r="U778" s="114" t="str">
        <f t="array" ref="U778">IF(ISBLANK($R778), INDEX('Run Reconcile'!A$2:A1399, MATCH($B778, 'Run Reconcile'!B$2:B1399, 0)+Z778, 1), IFERROR(0/0,""))
</f>
        <v/>
      </c>
      <c r="V778" s="316" t="str">
        <f t="shared" si="1281"/>
        <v>RUN-ABRM_2023-01-19_RFR-137</v>
      </c>
      <c r="Y778" s="317" t="str">
        <f t="shared" si="6"/>
        <v/>
      </c>
      <c r="Z778" s="83" t="str">
        <f t="shared" si="7"/>
        <v/>
      </c>
      <c r="AA778" s="83" t="str">
        <f t="shared" si="8"/>
        <v/>
      </c>
      <c r="AB778" s="83" t="str">
        <f t="shared" si="9"/>
        <v/>
      </c>
      <c r="AC778" s="18" t="str">
        <f t="shared" ref="AC778:AD778" si="1562">IF(_xlfn.ISFORMULA(S778),IFERROR(0/0,""),TRUE)</f>
        <v/>
      </c>
      <c r="AD778" s="18" t="str">
        <f t="shared" si="1562"/>
        <v/>
      </c>
      <c r="AE778" s="43"/>
      <c r="AF778" s="58" t="s">
        <v>122</v>
      </c>
      <c r="AG778" s="55" t="str">
        <f t="shared" si="11"/>
        <v/>
      </c>
    </row>
    <row r="779">
      <c r="A779" s="7" t="str">
        <f>IFERROR(__xludf.DUMMYFUNCTION("""COMPUTED_VALUE"""),"AH1026")</f>
        <v>AH1026</v>
      </c>
      <c r="B779" s="308">
        <f>IFERROR(__xludf.DUMMYFUNCTION("""COMPUTED_VALUE"""),44945.0)</f>
        <v>44945</v>
      </c>
      <c r="C779" s="309">
        <f>IFERROR(__xludf.DUMMYFUNCTION("""COMPUTED_VALUE"""),0.32859953703703704)</f>
        <v>0.328599537</v>
      </c>
      <c r="D779" s="7" t="str">
        <f>IFERROR(__xludf.DUMMYFUNCTION("""COMPUTED_VALUE"""),"SpABRM655136")</f>
        <v>SpABRM655136</v>
      </c>
      <c r="E779" s="310"/>
      <c r="F779" s="310"/>
      <c r="G779" s="310" t="str">
        <f>IFERROR(__xludf.DUMMYFUNCTION("""COMPUTED_VALUE"""),"Negative")</f>
        <v>Negative</v>
      </c>
      <c r="H779" s="319" t="str">
        <f>IFERROR(__xludf.DUMMYFUNCTION("""COMPUTED_VALUE"""),"Negative")</f>
        <v>Negative</v>
      </c>
      <c r="I779" s="308">
        <f>IFERROR(__xludf.DUMMYFUNCTION("""COMPUTED_VALUE"""),44945.0)</f>
        <v>44945</v>
      </c>
      <c r="J779" s="311">
        <f>IFERROR(__xludf.DUMMYFUNCTION("""COMPUTED_VALUE"""),0.41869212962962965)</f>
        <v>0.4186921296</v>
      </c>
      <c r="K779" s="54"/>
      <c r="L779" s="7"/>
      <c r="M779" s="312"/>
      <c r="N779" s="172">
        <f>IFERROR(__xludf.DUMMYFUNCTION("""COMPUTED_VALUE"""),1.0)</f>
        <v>1</v>
      </c>
      <c r="O779" s="172"/>
      <c r="P779" s="313">
        <f>IFERROR(__xludf.DUMMYFUNCTION("""COMPUTED_VALUE"""),0.0)</f>
        <v>0</v>
      </c>
      <c r="Q779" s="76" t="b">
        <f>VLOOKUP($B779,'Run Reconcile'!B$2:O1399,14,FALSE)</f>
        <v>1</v>
      </c>
      <c r="R779" s="314" t="str">
        <f t="array" ref="R779">IF($Q779, INDEX('Run Reconcile'!A$2:A1399,MATCH(B779,'Run Reconcile'!B$2:B1399,0),1),IFERROR(0/0,""))</f>
        <v>RUN-ABRM_2023-01-19_RFR-137</v>
      </c>
      <c r="S779" s="315" t="str">
        <f t="shared" ref="S779:T779" si="1563">IF(COUNTIF(W$2:W1399, $A779) &gt; 0,TRUE,IFERROR(0/0,""))</f>
        <v/>
      </c>
      <c r="T779" s="315" t="str">
        <f t="shared" si="1563"/>
        <v/>
      </c>
      <c r="U779" s="114" t="str">
        <f t="array" ref="U779">IF(ISBLANK($R779), INDEX('Run Reconcile'!A$2:A1399, MATCH($B779, 'Run Reconcile'!B$2:B1399, 0)+Z779, 1), IFERROR(0/0,""))
</f>
        <v/>
      </c>
      <c r="V779" s="316" t="str">
        <f t="shared" si="1281"/>
        <v>RUN-ABRM_2023-01-19_RFR-137</v>
      </c>
      <c r="Y779" s="317" t="str">
        <f t="shared" si="6"/>
        <v/>
      </c>
      <c r="Z779" s="83" t="str">
        <f t="shared" si="7"/>
        <v/>
      </c>
      <c r="AA779" s="83" t="str">
        <f t="shared" si="8"/>
        <v/>
      </c>
      <c r="AB779" s="83" t="str">
        <f t="shared" si="9"/>
        <v/>
      </c>
      <c r="AC779" s="18" t="str">
        <f t="shared" ref="AC779:AD779" si="1564">IF(_xlfn.ISFORMULA(S779),IFERROR(0/0,""),TRUE)</f>
        <v/>
      </c>
      <c r="AD779" s="18" t="str">
        <f t="shared" si="1564"/>
        <v/>
      </c>
      <c r="AE779" s="43"/>
      <c r="AF779" s="58" t="s">
        <v>122</v>
      </c>
      <c r="AG779" s="55" t="str">
        <f t="shared" si="11"/>
        <v/>
      </c>
    </row>
    <row r="780">
      <c r="A780" s="7" t="str">
        <f>IFERROR(__xludf.DUMMYFUNCTION("""COMPUTED_VALUE"""),"AH7234")</f>
        <v>AH7234</v>
      </c>
      <c r="B780" s="308">
        <f>IFERROR(__xludf.DUMMYFUNCTION("""COMPUTED_VALUE"""),44945.0)</f>
        <v>44945</v>
      </c>
      <c r="C780" s="309">
        <f>IFERROR(__xludf.DUMMYFUNCTION("""COMPUTED_VALUE"""),0.3668518518518519)</f>
        <v>0.3668518519</v>
      </c>
      <c r="D780" s="7" t="str">
        <f>IFERROR(__xludf.DUMMYFUNCTION("""COMPUTED_VALUE"""),"SpABRM655136")</f>
        <v>SpABRM655136</v>
      </c>
      <c r="E780" s="310"/>
      <c r="F780" s="310"/>
      <c r="G780" s="310" t="str">
        <f>IFERROR(__xludf.DUMMYFUNCTION("""COMPUTED_VALUE"""),"Negative")</f>
        <v>Negative</v>
      </c>
      <c r="H780" s="319" t="str">
        <f>IFERROR(__xludf.DUMMYFUNCTION("""COMPUTED_VALUE"""),"Negative")</f>
        <v>Negative</v>
      </c>
      <c r="I780" s="308">
        <f>IFERROR(__xludf.DUMMYFUNCTION("""COMPUTED_VALUE"""),44945.0)</f>
        <v>44945</v>
      </c>
      <c r="J780" s="311">
        <f>IFERROR(__xludf.DUMMYFUNCTION("""COMPUTED_VALUE"""),0.4187037037037037)</f>
        <v>0.4187037037</v>
      </c>
      <c r="K780" s="54"/>
      <c r="L780" s="7"/>
      <c r="M780" s="312"/>
      <c r="N780" s="172">
        <f>IFERROR(__xludf.DUMMYFUNCTION("""COMPUTED_VALUE"""),3.0)</f>
        <v>3</v>
      </c>
      <c r="O780" s="172"/>
      <c r="P780" s="313">
        <f>IFERROR(__xludf.DUMMYFUNCTION("""COMPUTED_VALUE"""),0.0)</f>
        <v>0</v>
      </c>
      <c r="Q780" s="76" t="b">
        <f>VLOOKUP($B780,'Run Reconcile'!B$2:O1399,14,FALSE)</f>
        <v>1</v>
      </c>
      <c r="R780" s="314" t="str">
        <f t="array" ref="R780">IF($Q780, INDEX('Run Reconcile'!A$2:A1399,MATCH(B780,'Run Reconcile'!B$2:B1399,0),1),IFERROR(0/0,""))</f>
        <v>RUN-ABRM_2023-01-19_RFR-137</v>
      </c>
      <c r="S780" s="315" t="str">
        <f t="shared" ref="S780:T780" si="1565">IF(COUNTIF(W$2:W1399, $A780) &gt; 0,TRUE,IFERROR(0/0,""))</f>
        <v/>
      </c>
      <c r="T780" s="315" t="str">
        <f t="shared" si="1565"/>
        <v/>
      </c>
      <c r="U780" s="114" t="str">
        <f t="array" ref="U780">IF(ISBLANK($R780), INDEX('Run Reconcile'!A$2:A1399, MATCH($B780, 'Run Reconcile'!B$2:B1399, 0)+Z780, 1), IFERROR(0/0,""))
</f>
        <v/>
      </c>
      <c r="V780" s="316" t="str">
        <f t="shared" si="1281"/>
        <v>RUN-ABRM_2023-01-19_RFR-137</v>
      </c>
      <c r="Y780" s="317" t="str">
        <f t="shared" si="6"/>
        <v/>
      </c>
      <c r="Z780" s="83" t="str">
        <f t="shared" si="7"/>
        <v/>
      </c>
      <c r="AA780" s="83" t="str">
        <f t="shared" si="8"/>
        <v/>
      </c>
      <c r="AB780" s="83" t="str">
        <f t="shared" si="9"/>
        <v/>
      </c>
      <c r="AC780" s="18" t="str">
        <f t="shared" ref="AC780:AD780" si="1566">IF(_xlfn.ISFORMULA(S780),IFERROR(0/0,""),TRUE)</f>
        <v/>
      </c>
      <c r="AD780" s="18" t="str">
        <f t="shared" si="1566"/>
        <v/>
      </c>
      <c r="AE780" s="43"/>
      <c r="AF780" s="58" t="s">
        <v>122</v>
      </c>
      <c r="AG780" s="55" t="str">
        <f t="shared" si="11"/>
        <v/>
      </c>
    </row>
    <row r="781">
      <c r="A781" s="7" t="str">
        <f>IFERROR(__xludf.DUMMYFUNCTION("""COMPUTED_VALUE"""),"AH7548")</f>
        <v>AH7548</v>
      </c>
      <c r="B781" s="308">
        <f>IFERROR(__xludf.DUMMYFUNCTION("""COMPUTED_VALUE"""),44945.0)</f>
        <v>44945</v>
      </c>
      <c r="C781" s="309">
        <f>IFERROR(__xludf.DUMMYFUNCTION("""COMPUTED_VALUE"""),0.36702546296296296)</f>
        <v>0.367025463</v>
      </c>
      <c r="D781" s="7" t="str">
        <f>IFERROR(__xludf.DUMMYFUNCTION("""COMPUTED_VALUE"""),"SpABRM655136")</f>
        <v>SpABRM655136</v>
      </c>
      <c r="E781" s="310"/>
      <c r="F781" s="310"/>
      <c r="G781" s="310" t="str">
        <f>IFERROR(__xludf.DUMMYFUNCTION("""COMPUTED_VALUE"""),"Negative")</f>
        <v>Negative</v>
      </c>
      <c r="H781" s="319" t="str">
        <f>IFERROR(__xludf.DUMMYFUNCTION("""COMPUTED_VALUE"""),"Negative")</f>
        <v>Negative</v>
      </c>
      <c r="I781" s="308">
        <f>IFERROR(__xludf.DUMMYFUNCTION("""COMPUTED_VALUE"""),44945.0)</f>
        <v>44945</v>
      </c>
      <c r="J781" s="311">
        <f>IFERROR(__xludf.DUMMYFUNCTION("""COMPUTED_VALUE"""),0.4187152777777778)</f>
        <v>0.4187152778</v>
      </c>
      <c r="K781" s="54"/>
      <c r="L781" s="7"/>
      <c r="M781" s="312"/>
      <c r="N781" s="172">
        <f>IFERROR(__xludf.DUMMYFUNCTION("""COMPUTED_VALUE"""),1.0)</f>
        <v>1</v>
      </c>
      <c r="O781" s="172"/>
      <c r="P781" s="313">
        <f>IFERROR(__xludf.DUMMYFUNCTION("""COMPUTED_VALUE"""),0.0)</f>
        <v>0</v>
      </c>
      <c r="Q781" s="76" t="b">
        <f>VLOOKUP($B781,'Run Reconcile'!B$2:O1399,14,FALSE)</f>
        <v>1</v>
      </c>
      <c r="R781" s="314" t="str">
        <f t="array" ref="R781">IF($Q781, INDEX('Run Reconcile'!A$2:A1399,MATCH(B781,'Run Reconcile'!B$2:B1399,0),1),IFERROR(0/0,""))</f>
        <v>RUN-ABRM_2023-01-19_RFR-137</v>
      </c>
      <c r="S781" s="315" t="str">
        <f t="shared" ref="S781:T781" si="1567">IF(COUNTIF(W$2:W1399, $A781) &gt; 0,TRUE,IFERROR(0/0,""))</f>
        <v/>
      </c>
      <c r="T781" s="315" t="str">
        <f t="shared" si="1567"/>
        <v/>
      </c>
      <c r="U781" s="114" t="str">
        <f t="array" ref="U781">IF(ISBLANK($R781), INDEX('Run Reconcile'!A$2:A1399, MATCH($B781, 'Run Reconcile'!B$2:B1399, 0)+Z781, 1), IFERROR(0/0,""))
</f>
        <v/>
      </c>
      <c r="V781" s="316" t="str">
        <f t="shared" si="1281"/>
        <v>RUN-ABRM_2023-01-19_RFR-137</v>
      </c>
      <c r="Y781" s="317" t="str">
        <f t="shared" si="6"/>
        <v/>
      </c>
      <c r="Z781" s="83" t="str">
        <f t="shared" si="7"/>
        <v/>
      </c>
      <c r="AA781" s="83" t="str">
        <f t="shared" si="8"/>
        <v/>
      </c>
      <c r="AB781" s="83" t="str">
        <f t="shared" si="9"/>
        <v/>
      </c>
      <c r="AC781" s="18" t="str">
        <f t="shared" ref="AC781:AD781" si="1568">IF(_xlfn.ISFORMULA(S781),IFERROR(0/0,""),TRUE)</f>
        <v/>
      </c>
      <c r="AD781" s="18" t="str">
        <f t="shared" si="1568"/>
        <v/>
      </c>
      <c r="AE781" s="43"/>
      <c r="AF781" s="58" t="s">
        <v>122</v>
      </c>
      <c r="AG781" s="55" t="str">
        <f t="shared" si="11"/>
        <v/>
      </c>
    </row>
    <row r="782">
      <c r="A782" s="7" t="str">
        <f>IFERROR(__xludf.DUMMYFUNCTION("""COMPUTED_VALUE"""),"AH7555")</f>
        <v>AH7555</v>
      </c>
      <c r="B782" s="308">
        <f>IFERROR(__xludf.DUMMYFUNCTION("""COMPUTED_VALUE"""),44946.0)</f>
        <v>44946</v>
      </c>
      <c r="C782" s="309">
        <f>IFERROR(__xludf.DUMMYFUNCTION("""COMPUTED_VALUE"""),0.2808217592592593)</f>
        <v>0.2808217593</v>
      </c>
      <c r="D782" s="7" t="str">
        <f>IFERROR(__xludf.DUMMYFUNCTION("""COMPUTED_VALUE"""),"SpABRM128250")</f>
        <v>SpABRM128250</v>
      </c>
      <c r="E782" s="310"/>
      <c r="F782" s="310"/>
      <c r="G782" s="310" t="str">
        <f>IFERROR(__xludf.DUMMYFUNCTION("""COMPUTED_VALUE"""),"Negative")</f>
        <v>Negative</v>
      </c>
      <c r="H782" s="319" t="str">
        <f>IFERROR(__xludf.DUMMYFUNCTION("""COMPUTED_VALUE"""),"Negative")</f>
        <v>Negative</v>
      </c>
      <c r="I782" s="308">
        <f>IFERROR(__xludf.DUMMYFUNCTION("""COMPUTED_VALUE"""),44946.0)</f>
        <v>44946</v>
      </c>
      <c r="J782" s="311">
        <f>IFERROR(__xludf.DUMMYFUNCTION("""COMPUTED_VALUE"""),0.4045138888888889)</f>
        <v>0.4045138889</v>
      </c>
      <c r="K782" s="54"/>
      <c r="L782" s="7"/>
      <c r="M782" s="312"/>
      <c r="N782" s="172">
        <f>IFERROR(__xludf.DUMMYFUNCTION("""COMPUTED_VALUE"""),3.0)</f>
        <v>3</v>
      </c>
      <c r="O782" s="172"/>
      <c r="P782" s="313">
        <f>IFERROR(__xludf.DUMMYFUNCTION("""COMPUTED_VALUE"""),0.0)</f>
        <v>0</v>
      </c>
      <c r="Q782" s="76" t="b">
        <f>VLOOKUP($B782,'Run Reconcile'!B$2:O1399,14,FALSE)</f>
        <v>1</v>
      </c>
      <c r="R782" s="314" t="str">
        <f t="array" ref="R782">IF($Q782, INDEX('Run Reconcile'!A$2:A1399,MATCH(B782,'Run Reconcile'!B$2:B1399,0),1),IFERROR(0/0,""))</f>
        <v>RUN-ABRM_2023-01-20_RFR-139</v>
      </c>
      <c r="S782" s="315" t="str">
        <f t="shared" ref="S782:T782" si="1569">IF(COUNTIF(W$2:W1399, $A782) &gt; 0,TRUE,IFERROR(0/0,""))</f>
        <v/>
      </c>
      <c r="T782" s="315" t="str">
        <f t="shared" si="1569"/>
        <v/>
      </c>
      <c r="U782" s="114" t="str">
        <f t="array" ref="U782">IF(ISBLANK($R782), INDEX('Run Reconcile'!A$2:A1399, MATCH($B782, 'Run Reconcile'!B$2:B1399, 0)+Z782, 1), IFERROR(0/0,""))
</f>
        <v/>
      </c>
      <c r="V782" s="316" t="str">
        <f t="shared" si="1281"/>
        <v>RUN-ABRM_2023-01-20_RFR-139</v>
      </c>
      <c r="Y782" s="317" t="str">
        <f t="shared" si="6"/>
        <v/>
      </c>
      <c r="Z782" s="83" t="str">
        <f t="shared" si="7"/>
        <v/>
      </c>
      <c r="AA782" s="83" t="str">
        <f t="shared" si="8"/>
        <v/>
      </c>
      <c r="AB782" s="83" t="str">
        <f t="shared" si="9"/>
        <v/>
      </c>
      <c r="AC782" s="18" t="str">
        <f t="shared" ref="AC782:AD782" si="1570">IF(_xlfn.ISFORMULA(S782),IFERROR(0/0,""),TRUE)</f>
        <v/>
      </c>
      <c r="AD782" s="18" t="str">
        <f t="shared" si="1570"/>
        <v/>
      </c>
      <c r="AE782" s="43"/>
      <c r="AF782" s="58" t="s">
        <v>123</v>
      </c>
      <c r="AG782" s="55" t="str">
        <f t="shared" si="11"/>
        <v/>
      </c>
    </row>
    <row r="783">
      <c r="A783" s="7" t="str">
        <f>IFERROR(__xludf.DUMMYFUNCTION("""COMPUTED_VALUE"""),"AH7537")</f>
        <v>AH7537</v>
      </c>
      <c r="B783" s="308">
        <f>IFERROR(__xludf.DUMMYFUNCTION("""COMPUTED_VALUE"""),44946.0)</f>
        <v>44946</v>
      </c>
      <c r="C783" s="309">
        <f>IFERROR(__xludf.DUMMYFUNCTION("""COMPUTED_VALUE"""),0.311412037037037)</f>
        <v>0.311412037</v>
      </c>
      <c r="D783" s="7" t="str">
        <f>IFERROR(__xludf.DUMMYFUNCTION("""COMPUTED_VALUE"""),"SpABRM655136")</f>
        <v>SpABRM655136</v>
      </c>
      <c r="E783" s="310"/>
      <c r="F783" s="310"/>
      <c r="G783" s="310" t="str">
        <f>IFERROR(__xludf.DUMMYFUNCTION("""COMPUTED_VALUE"""),"Negative")</f>
        <v>Negative</v>
      </c>
      <c r="H783" s="319" t="str">
        <f>IFERROR(__xludf.DUMMYFUNCTION("""COMPUTED_VALUE"""),"Negative")</f>
        <v>Negative</v>
      </c>
      <c r="I783" s="308">
        <f>IFERROR(__xludf.DUMMYFUNCTION("""COMPUTED_VALUE"""),44946.0)</f>
        <v>44946</v>
      </c>
      <c r="J783" s="311">
        <f>IFERROR(__xludf.DUMMYFUNCTION("""COMPUTED_VALUE"""),0.4195949074074074)</f>
        <v>0.4195949074</v>
      </c>
      <c r="K783" s="54"/>
      <c r="L783" s="7"/>
      <c r="M783" s="312"/>
      <c r="N783" s="172">
        <f>IFERROR(__xludf.DUMMYFUNCTION("""COMPUTED_VALUE"""),1.0)</f>
        <v>1</v>
      </c>
      <c r="O783" s="172"/>
      <c r="P783" s="313">
        <f>IFERROR(__xludf.DUMMYFUNCTION("""COMPUTED_VALUE"""),0.0)</f>
        <v>0</v>
      </c>
      <c r="Q783" s="76" t="b">
        <f>VLOOKUP($B783,'Run Reconcile'!B$2:O1399,14,FALSE)</f>
        <v>1</v>
      </c>
      <c r="R783" s="314" t="str">
        <f t="array" ref="R783">IF($Q783, INDEX('Run Reconcile'!A$2:A1399,MATCH(B783,'Run Reconcile'!B$2:B1399,0),1),IFERROR(0/0,""))</f>
        <v>RUN-ABRM_2023-01-20_RFR-139</v>
      </c>
      <c r="S783" s="315" t="str">
        <f t="shared" ref="S783:T783" si="1571">IF(COUNTIF(W$2:W1399, $A783) &gt; 0,TRUE,IFERROR(0/0,""))</f>
        <v/>
      </c>
      <c r="T783" s="315" t="str">
        <f t="shared" si="1571"/>
        <v/>
      </c>
      <c r="U783" s="114" t="str">
        <f t="array" ref="U783">IF(ISBLANK($R783), INDEX('Run Reconcile'!A$2:A1399, MATCH($B783, 'Run Reconcile'!B$2:B1399, 0)+Z783, 1), IFERROR(0/0,""))
</f>
        <v/>
      </c>
      <c r="V783" s="316" t="str">
        <f t="shared" si="1281"/>
        <v>RUN-ABRM_2023-01-20_RFR-139</v>
      </c>
      <c r="Y783" s="317" t="str">
        <f t="shared" si="6"/>
        <v/>
      </c>
      <c r="Z783" s="83" t="str">
        <f t="shared" si="7"/>
        <v/>
      </c>
      <c r="AA783" s="83" t="str">
        <f t="shared" si="8"/>
        <v/>
      </c>
      <c r="AB783" s="83" t="str">
        <f t="shared" si="9"/>
        <v/>
      </c>
      <c r="AC783" s="18" t="str">
        <f t="shared" ref="AC783:AD783" si="1572">IF(_xlfn.ISFORMULA(S783),IFERROR(0/0,""),TRUE)</f>
        <v/>
      </c>
      <c r="AD783" s="18" t="str">
        <f t="shared" si="1572"/>
        <v/>
      </c>
      <c r="AE783" s="43"/>
      <c r="AF783" s="58" t="s">
        <v>123</v>
      </c>
      <c r="AG783" s="55" t="str">
        <f t="shared" si="11"/>
        <v/>
      </c>
    </row>
    <row r="784">
      <c r="A784" s="7" t="str">
        <f>IFERROR(__xludf.DUMMYFUNCTION("""COMPUTED_VALUE"""),"AJ8942")</f>
        <v>AJ8942</v>
      </c>
      <c r="B784" s="308">
        <f>IFERROR(__xludf.DUMMYFUNCTION("""COMPUTED_VALUE"""),44946.0)</f>
        <v>44946</v>
      </c>
      <c r="C784" s="309">
        <f>IFERROR(__xludf.DUMMYFUNCTION("""COMPUTED_VALUE"""),0.3116435185185185)</f>
        <v>0.3116435185</v>
      </c>
      <c r="D784" s="7" t="str">
        <f>IFERROR(__xludf.DUMMYFUNCTION("""COMPUTED_VALUE"""),"SpABRM655136")</f>
        <v>SpABRM655136</v>
      </c>
      <c r="E784" s="310"/>
      <c r="F784" s="310"/>
      <c r="G784" s="310" t="str">
        <f>IFERROR(__xludf.DUMMYFUNCTION("""COMPUTED_VALUE"""),"Negative")</f>
        <v>Negative</v>
      </c>
      <c r="H784" s="319" t="str">
        <f>IFERROR(__xludf.DUMMYFUNCTION("""COMPUTED_VALUE"""),"Inconclusive")</f>
        <v>Inconclusive</v>
      </c>
      <c r="I784" s="308">
        <f>IFERROR(__xludf.DUMMYFUNCTION("""COMPUTED_VALUE"""),44946.0)</f>
        <v>44946</v>
      </c>
      <c r="J784" s="311">
        <f>IFERROR(__xludf.DUMMYFUNCTION("""COMPUTED_VALUE"""),0.4196064814814815)</f>
        <v>0.4196064815</v>
      </c>
      <c r="K784" s="54">
        <f>IFERROR(__xludf.DUMMYFUNCTION("""COMPUTED_VALUE"""),4.1)</f>
        <v>4.1</v>
      </c>
      <c r="L784" s="7" t="str">
        <f>IFERROR(__xludf.DUMMYFUNCTION("""COMPUTED_VALUE"""),"RT Jan26 - photo and LUM show Incl call")</f>
        <v>RT Jan26 - photo and LUM show Incl call</v>
      </c>
      <c r="M784" s="312"/>
      <c r="N784" s="172">
        <f>IFERROR(__xludf.DUMMYFUNCTION("""COMPUTED_VALUE"""),2.0)</f>
        <v>2</v>
      </c>
      <c r="O784" s="172"/>
      <c r="P784" s="313">
        <f>IFERROR(__xludf.DUMMYFUNCTION("""COMPUTED_VALUE"""),0.0)</f>
        <v>0</v>
      </c>
      <c r="Q784" s="76" t="b">
        <f>VLOOKUP($B784,'Run Reconcile'!B$2:O1399,14,FALSE)</f>
        <v>1</v>
      </c>
      <c r="R784" s="314" t="str">
        <f t="array" ref="R784">IF($Q784, INDEX('Run Reconcile'!A$2:A1399,MATCH(B784,'Run Reconcile'!B$2:B1399,0),1),IFERROR(0/0,""))</f>
        <v>RUN-ABRM_2023-01-20_RFR-139</v>
      </c>
      <c r="S784" s="315" t="str">
        <f t="shared" ref="S784:T784" si="1573">IF(COUNTIF(W$2:W1399, $A784) &gt; 0,TRUE,IFERROR(0/0,""))</f>
        <v/>
      </c>
      <c r="T784" s="315" t="str">
        <f t="shared" si="1573"/>
        <v/>
      </c>
      <c r="U784" s="114" t="str">
        <f t="array" ref="U784">IF(ISBLANK($R784), INDEX('Run Reconcile'!A$2:A1399, MATCH($B784, 'Run Reconcile'!B$2:B1399, 0)+Z784, 1), IFERROR(0/0,""))
</f>
        <v/>
      </c>
      <c r="V784" s="316" t="str">
        <f t="shared" si="1281"/>
        <v>RUN-ABRM_2023-01-20_RFR-139</v>
      </c>
      <c r="Y784" s="317" t="str">
        <f t="shared" si="6"/>
        <v/>
      </c>
      <c r="Z784" s="83" t="str">
        <f t="shared" si="7"/>
        <v/>
      </c>
      <c r="AA784" s="83" t="str">
        <f t="shared" si="8"/>
        <v/>
      </c>
      <c r="AB784" s="83" t="str">
        <f t="shared" si="9"/>
        <v/>
      </c>
      <c r="AC784" s="18" t="str">
        <f t="shared" ref="AC784:AD784" si="1574">IF(_xlfn.ISFORMULA(S784),IFERROR(0/0,""),TRUE)</f>
        <v/>
      </c>
      <c r="AD784" s="18" t="str">
        <f t="shared" si="1574"/>
        <v/>
      </c>
      <c r="AE784" s="43"/>
      <c r="AF784" s="58" t="s">
        <v>123</v>
      </c>
      <c r="AG784" s="55" t="str">
        <f t="shared" si="11"/>
        <v/>
      </c>
    </row>
    <row r="785">
      <c r="A785" s="7" t="str">
        <f>IFERROR(__xludf.DUMMYFUNCTION("""COMPUTED_VALUE"""),"AJ9110")</f>
        <v>AJ9110</v>
      </c>
      <c r="B785" s="308">
        <f>IFERROR(__xludf.DUMMYFUNCTION("""COMPUTED_VALUE"""),44946.0)</f>
        <v>44946</v>
      </c>
      <c r="C785" s="309">
        <f>IFERROR(__xludf.DUMMYFUNCTION("""COMPUTED_VALUE"""),0.31574074074074077)</f>
        <v>0.3157407407</v>
      </c>
      <c r="D785" s="7" t="str">
        <f>IFERROR(__xludf.DUMMYFUNCTION("""COMPUTED_VALUE"""),"SpABRM814022")</f>
        <v>SpABRM814022</v>
      </c>
      <c r="E785" s="310"/>
      <c r="F785" s="310"/>
      <c r="G785" s="310" t="str">
        <f>IFERROR(__xludf.DUMMYFUNCTION("""COMPUTED_VALUE"""),"Negative")</f>
        <v>Negative</v>
      </c>
      <c r="H785" s="319" t="str">
        <f>IFERROR(__xludf.DUMMYFUNCTION("""COMPUTED_VALUE"""),"Negative")</f>
        <v>Negative</v>
      </c>
      <c r="I785" s="308">
        <f>IFERROR(__xludf.DUMMYFUNCTION("""COMPUTED_VALUE"""),44946.0)</f>
        <v>44946</v>
      </c>
      <c r="J785" s="311">
        <f>IFERROR(__xludf.DUMMYFUNCTION("""COMPUTED_VALUE"""),0.4045138888888889)</f>
        <v>0.4045138889</v>
      </c>
      <c r="K785" s="54"/>
      <c r="L785" s="7"/>
      <c r="M785" s="312"/>
      <c r="N785" s="172">
        <f>IFERROR(__xludf.DUMMYFUNCTION("""COMPUTED_VALUE"""),2.0)</f>
        <v>2</v>
      </c>
      <c r="O785" s="172"/>
      <c r="P785" s="313">
        <f>IFERROR(__xludf.DUMMYFUNCTION("""COMPUTED_VALUE"""),0.0)</f>
        <v>0</v>
      </c>
      <c r="Q785" s="76" t="b">
        <f>VLOOKUP($B785,'Run Reconcile'!B$2:O1399,14,FALSE)</f>
        <v>1</v>
      </c>
      <c r="R785" s="314" t="str">
        <f t="array" ref="R785">IF($Q785, INDEX('Run Reconcile'!A$2:A1399,MATCH(B785,'Run Reconcile'!B$2:B1399,0),1),IFERROR(0/0,""))</f>
        <v>RUN-ABRM_2023-01-20_RFR-139</v>
      </c>
      <c r="S785" s="315" t="str">
        <f t="shared" ref="S785:T785" si="1575">IF(COUNTIF(W$2:W1399, $A785) &gt; 0,TRUE,IFERROR(0/0,""))</f>
        <v/>
      </c>
      <c r="T785" s="315" t="str">
        <f t="shared" si="1575"/>
        <v/>
      </c>
      <c r="U785" s="114" t="str">
        <f t="array" ref="U785">IF(ISBLANK($R785), INDEX('Run Reconcile'!A$2:A1399, MATCH($B785, 'Run Reconcile'!B$2:B1399, 0)+Z785, 1), IFERROR(0/0,""))
</f>
        <v/>
      </c>
      <c r="V785" s="316" t="str">
        <f t="shared" si="1281"/>
        <v>RUN-ABRM_2023-01-20_RFR-139</v>
      </c>
      <c r="Y785" s="317" t="str">
        <f t="shared" si="6"/>
        <v/>
      </c>
      <c r="Z785" s="83" t="str">
        <f t="shared" si="7"/>
        <v/>
      </c>
      <c r="AA785" s="83" t="str">
        <f t="shared" si="8"/>
        <v/>
      </c>
      <c r="AB785" s="83" t="str">
        <f t="shared" si="9"/>
        <v/>
      </c>
      <c r="AC785" s="18" t="str">
        <f t="shared" ref="AC785:AD785" si="1576">IF(_xlfn.ISFORMULA(S785),IFERROR(0/0,""),TRUE)</f>
        <v/>
      </c>
      <c r="AD785" s="18" t="str">
        <f t="shared" si="1576"/>
        <v/>
      </c>
      <c r="AE785" s="43"/>
      <c r="AF785" s="58" t="s">
        <v>123</v>
      </c>
      <c r="AG785" s="55" t="str">
        <f t="shared" si="11"/>
        <v/>
      </c>
    </row>
    <row r="786">
      <c r="A786" s="7" t="str">
        <f>IFERROR(__xludf.DUMMYFUNCTION("""COMPUTED_VALUE"""),"AJ8138A")</f>
        <v>AJ8138A</v>
      </c>
      <c r="B786" s="308">
        <f>IFERROR(__xludf.DUMMYFUNCTION("""COMPUTED_VALUE"""),44946.0)</f>
        <v>44946</v>
      </c>
      <c r="C786" s="309">
        <f>IFERROR(__xludf.DUMMYFUNCTION("""COMPUTED_VALUE"""),0.3333449074074074)</f>
        <v>0.3333449074</v>
      </c>
      <c r="D786" s="7" t="str">
        <f>IFERROR(__xludf.DUMMYFUNCTION("""COMPUTED_VALUE"""),"SpABRM655136")</f>
        <v>SpABRM655136</v>
      </c>
      <c r="E786" s="310"/>
      <c r="F786" s="310"/>
      <c r="G786" s="310" t="str">
        <f>IFERROR(__xludf.DUMMYFUNCTION("""COMPUTED_VALUE"""),"Negative")</f>
        <v>Negative</v>
      </c>
      <c r="H786" s="319" t="str">
        <f>IFERROR(__xludf.DUMMYFUNCTION("""COMPUTED_VALUE"""),"Negative")</f>
        <v>Negative</v>
      </c>
      <c r="I786" s="308">
        <f>IFERROR(__xludf.DUMMYFUNCTION("""COMPUTED_VALUE"""),44946.0)</f>
        <v>44946</v>
      </c>
      <c r="J786" s="311">
        <f>IFERROR(__xludf.DUMMYFUNCTION("""COMPUTED_VALUE"""),0.404525462962963)</f>
        <v>0.404525463</v>
      </c>
      <c r="K786" s="54"/>
      <c r="L786" s="7"/>
      <c r="M786" s="312"/>
      <c r="N786" s="172">
        <f>IFERROR(__xludf.DUMMYFUNCTION("""COMPUTED_VALUE"""),1.0)</f>
        <v>1</v>
      </c>
      <c r="O786" s="172"/>
      <c r="P786" s="313">
        <f>IFERROR(__xludf.DUMMYFUNCTION("""COMPUTED_VALUE"""),0.0)</f>
        <v>0</v>
      </c>
      <c r="Q786" s="76" t="b">
        <f>VLOOKUP($B786,'Run Reconcile'!B$2:O1399,14,FALSE)</f>
        <v>1</v>
      </c>
      <c r="R786" s="314" t="str">
        <f t="array" ref="R786">IF($Q786, INDEX('Run Reconcile'!A$2:A1399,MATCH(B786,'Run Reconcile'!B$2:B1399,0),1),IFERROR(0/0,""))</f>
        <v>RUN-ABRM_2023-01-20_RFR-139</v>
      </c>
      <c r="S786" s="315" t="str">
        <f t="shared" ref="S786:T786" si="1577">IF(COUNTIF(W$2:W1399, $A786) &gt; 0,TRUE,IFERROR(0/0,""))</f>
        <v/>
      </c>
      <c r="T786" s="315" t="str">
        <f t="shared" si="1577"/>
        <v/>
      </c>
      <c r="U786" s="114" t="str">
        <f t="array" ref="U786">IF(ISBLANK($R786), INDEX('Run Reconcile'!A$2:A1399, MATCH($B786, 'Run Reconcile'!B$2:B1399, 0)+Z786, 1), IFERROR(0/0,""))
</f>
        <v/>
      </c>
      <c r="V786" s="316" t="str">
        <f t="shared" si="1281"/>
        <v>RUN-ABRM_2023-01-20_RFR-139</v>
      </c>
      <c r="Y786" s="317" t="str">
        <f t="shared" si="6"/>
        <v/>
      </c>
      <c r="Z786" s="83" t="str">
        <f t="shared" si="7"/>
        <v/>
      </c>
      <c r="AA786" s="83" t="str">
        <f t="shared" si="8"/>
        <v/>
      </c>
      <c r="AB786" s="83" t="str">
        <f t="shared" si="9"/>
        <v/>
      </c>
      <c r="AC786" s="18" t="str">
        <f t="shared" ref="AC786:AD786" si="1578">IF(_xlfn.ISFORMULA(S786),IFERROR(0/0,""),TRUE)</f>
        <v/>
      </c>
      <c r="AD786" s="18" t="str">
        <f t="shared" si="1578"/>
        <v/>
      </c>
      <c r="AE786" s="43"/>
      <c r="AF786" s="58" t="s">
        <v>123</v>
      </c>
      <c r="AG786" s="55" t="str">
        <f t="shared" si="11"/>
        <v/>
      </c>
    </row>
    <row r="787">
      <c r="A787" s="7" t="str">
        <f>IFERROR(__xludf.DUMMYFUNCTION("""COMPUTED_VALUE"""),"AH6821")</f>
        <v>AH6821</v>
      </c>
      <c r="B787" s="308">
        <f>IFERROR(__xludf.DUMMYFUNCTION("""COMPUTED_VALUE"""),44946.0)</f>
        <v>44946</v>
      </c>
      <c r="C787" s="309">
        <f>IFERROR(__xludf.DUMMYFUNCTION("""COMPUTED_VALUE"""),0.35327546296296297)</f>
        <v>0.353275463</v>
      </c>
      <c r="D787" s="7" t="str">
        <f>IFERROR(__xludf.DUMMYFUNCTION("""COMPUTED_VALUE"""),"SpABRM655136")</f>
        <v>SpABRM655136</v>
      </c>
      <c r="E787" s="310"/>
      <c r="F787" s="310"/>
      <c r="G787" s="310" t="str">
        <f>IFERROR(__xludf.DUMMYFUNCTION("""COMPUTED_VALUE"""),"Negative")</f>
        <v>Negative</v>
      </c>
      <c r="H787" s="319" t="str">
        <f>IFERROR(__xludf.DUMMYFUNCTION("""COMPUTED_VALUE"""),"Negative")</f>
        <v>Negative</v>
      </c>
      <c r="I787" s="308">
        <f>IFERROR(__xludf.DUMMYFUNCTION("""COMPUTED_VALUE"""),44946.0)</f>
        <v>44946</v>
      </c>
      <c r="J787" s="311">
        <f>IFERROR(__xludf.DUMMYFUNCTION("""COMPUTED_VALUE"""),0.40453703703703703)</f>
        <v>0.404537037</v>
      </c>
      <c r="K787" s="54"/>
      <c r="L787" s="7"/>
      <c r="M787" s="312"/>
      <c r="N787" s="172">
        <f>IFERROR(__xludf.DUMMYFUNCTION("""COMPUTED_VALUE"""),3.0)</f>
        <v>3</v>
      </c>
      <c r="O787" s="172"/>
      <c r="P787" s="313">
        <f>IFERROR(__xludf.DUMMYFUNCTION("""COMPUTED_VALUE"""),0.0)</f>
        <v>0</v>
      </c>
      <c r="Q787" s="76" t="b">
        <f>VLOOKUP($B787,'Run Reconcile'!B$2:O1399,14,FALSE)</f>
        <v>1</v>
      </c>
      <c r="R787" s="314" t="str">
        <f t="array" ref="R787">IF($Q787, INDEX('Run Reconcile'!A$2:A1399,MATCH(B787,'Run Reconcile'!B$2:B1399,0),1),IFERROR(0/0,""))</f>
        <v>RUN-ABRM_2023-01-20_RFR-139</v>
      </c>
      <c r="S787" s="315" t="str">
        <f t="shared" ref="S787:T787" si="1579">IF(COUNTIF(W$2:W1399, $A787) &gt; 0,TRUE,IFERROR(0/0,""))</f>
        <v/>
      </c>
      <c r="T787" s="315" t="str">
        <f t="shared" si="1579"/>
        <v/>
      </c>
      <c r="U787" s="114" t="str">
        <f t="array" ref="U787">IF(ISBLANK($R787), INDEX('Run Reconcile'!A$2:A1399, MATCH($B787, 'Run Reconcile'!B$2:B1399, 0)+Z787, 1), IFERROR(0/0,""))
</f>
        <v/>
      </c>
      <c r="V787" s="316" t="str">
        <f t="shared" si="1281"/>
        <v>RUN-ABRM_2023-01-20_RFR-139</v>
      </c>
      <c r="Y787" s="317" t="str">
        <f t="shared" si="6"/>
        <v/>
      </c>
      <c r="Z787" s="83" t="str">
        <f t="shared" si="7"/>
        <v/>
      </c>
      <c r="AA787" s="83" t="str">
        <f t="shared" si="8"/>
        <v/>
      </c>
      <c r="AB787" s="83" t="str">
        <f t="shared" si="9"/>
        <v/>
      </c>
      <c r="AC787" s="18" t="str">
        <f t="shared" ref="AC787:AD787" si="1580">IF(_xlfn.ISFORMULA(S787),IFERROR(0/0,""),TRUE)</f>
        <v/>
      </c>
      <c r="AD787" s="18" t="str">
        <f t="shared" si="1580"/>
        <v/>
      </c>
      <c r="AE787" s="43"/>
      <c r="AF787" s="58" t="s">
        <v>123</v>
      </c>
      <c r="AG787" s="55" t="str">
        <f t="shared" si="11"/>
        <v/>
      </c>
    </row>
    <row r="788">
      <c r="A788" s="120" t="str">
        <f>IFERROR(__xludf.DUMMYFUNCTION("""COMPUTED_VALUE"""),"AH8330")</f>
        <v>AH8330</v>
      </c>
      <c r="B788" s="320">
        <f>IFERROR(__xludf.DUMMYFUNCTION("""COMPUTED_VALUE"""),44949.0)</f>
        <v>44949</v>
      </c>
      <c r="C788" s="321">
        <f>IFERROR(__xludf.DUMMYFUNCTION("""COMPUTED_VALUE"""),0.21814814814814815)</f>
        <v>0.2181481481</v>
      </c>
      <c r="D788" s="120" t="str">
        <f>IFERROR(__xludf.DUMMYFUNCTION("""COMPUTED_VALUE"""),"SpABRM655136")</f>
        <v>SpABRM655136</v>
      </c>
      <c r="E788" s="322"/>
      <c r="F788" s="322"/>
      <c r="G788" s="322" t="str">
        <f>IFERROR(__xludf.DUMMYFUNCTION("""COMPUTED_VALUE"""),"Negative")</f>
        <v>Negative</v>
      </c>
      <c r="H788" s="323" t="str">
        <f>IFERROR(__xludf.DUMMYFUNCTION("""COMPUTED_VALUE"""),"Negative")</f>
        <v>Negative</v>
      </c>
      <c r="I788" s="320">
        <f>IFERROR(__xludf.DUMMYFUNCTION("""COMPUTED_VALUE"""),44949.0)</f>
        <v>44949</v>
      </c>
      <c r="J788" s="324">
        <f>IFERROR(__xludf.DUMMYFUNCTION("""COMPUTED_VALUE"""),0.42877314814814815)</f>
        <v>0.4287731481</v>
      </c>
      <c r="K788" s="123"/>
      <c r="L788" s="120"/>
      <c r="M788" s="325"/>
      <c r="N788" s="283">
        <f>IFERROR(__xludf.DUMMYFUNCTION("""COMPUTED_VALUE"""),2.0)</f>
        <v>2</v>
      </c>
      <c r="O788" s="283"/>
      <c r="P788" s="326">
        <f>IFERROR(__xludf.DUMMYFUNCTION("""COMPUTED_VALUE"""),0.0)</f>
        <v>0</v>
      </c>
      <c r="Q788" s="293" t="str">
        <f>VLOOKUP($B788,'Run Reconcile'!B$2:O1399,14,FALSE)</f>
        <v/>
      </c>
      <c r="R788" s="327" t="str">
        <f t="array" ref="R788">IF($Q788, INDEX('Run Reconcile'!A$2:A1399,MATCH(B788,'Run Reconcile'!B$2:B1399,0),1),IFERROR(0/0,""))</f>
        <v/>
      </c>
      <c r="S788" s="328" t="str">
        <f t="shared" ref="S788:T788" si="1581">IF(COUNTIF(W$2:W1399, $A788) &gt; 0,TRUE,IFERROR(0/0,""))</f>
        <v/>
      </c>
      <c r="T788" s="328" t="str">
        <f t="shared" si="1581"/>
        <v/>
      </c>
      <c r="U788" s="294" t="str">
        <f t="array" ref="U788">IF(ISBLANK($R788), INDEX('Run Reconcile'!A$2:A1399, MATCH($B788, 'Run Reconcile'!B$2:B1399, 0)+Z788, 1), IFERROR(0/0,""))
</f>
        <v>RUN-ABRM_2023-01-23_RFR-140</v>
      </c>
      <c r="V788" s="329" t="str">
        <f t="shared" si="1281"/>
        <v>RUN-ABRM_2023-01-23_RFR-140</v>
      </c>
      <c r="W788" s="120"/>
      <c r="X788" s="120"/>
      <c r="Y788" s="334" t="str">
        <f t="shared" si="6"/>
        <v/>
      </c>
      <c r="Z788" s="295" t="str">
        <f t="shared" si="7"/>
        <v/>
      </c>
      <c r="AA788" s="295" t="str">
        <f t="shared" si="8"/>
        <v/>
      </c>
      <c r="AB788" s="295" t="str">
        <f t="shared" si="9"/>
        <v/>
      </c>
      <c r="AC788" s="263" t="str">
        <f t="shared" ref="AC788:AD788" si="1582">IF(_xlfn.ISFORMULA(S788),IFERROR(0/0,""),TRUE)</f>
        <v/>
      </c>
      <c r="AD788" s="263" t="str">
        <f t="shared" si="1582"/>
        <v/>
      </c>
      <c r="AE788" s="125"/>
      <c r="AF788" s="330" t="s">
        <v>125</v>
      </c>
      <c r="AG788" s="268" t="str">
        <f t="shared" si="11"/>
        <v/>
      </c>
      <c r="AH788" s="120"/>
      <c r="AI788" s="120"/>
      <c r="AJ788" s="120"/>
      <c r="AK788" s="120"/>
    </row>
    <row r="789">
      <c r="A789" s="7" t="str">
        <f>IFERROR(__xludf.DUMMYFUNCTION("""COMPUTED_VALUE"""),"AH678")</f>
        <v>AH678</v>
      </c>
      <c r="B789" s="308">
        <f>IFERROR(__xludf.DUMMYFUNCTION("""COMPUTED_VALUE"""),44949.0)</f>
        <v>44949</v>
      </c>
      <c r="C789" s="309">
        <f>IFERROR(__xludf.DUMMYFUNCTION("""COMPUTED_VALUE"""),0.2466435185185185)</f>
        <v>0.2466435185</v>
      </c>
      <c r="D789" s="7" t="str">
        <f>IFERROR(__xludf.DUMMYFUNCTION("""COMPUTED_VALUE"""),"SpABRM716377")</f>
        <v>SpABRM716377</v>
      </c>
      <c r="E789" s="310"/>
      <c r="F789" s="310"/>
      <c r="G789" s="310" t="str">
        <f>IFERROR(__xludf.DUMMYFUNCTION("""COMPUTED_VALUE"""),"Negative")</f>
        <v>Negative</v>
      </c>
      <c r="H789" s="319" t="str">
        <f>IFERROR(__xludf.DUMMYFUNCTION("""COMPUTED_VALUE"""),"Negative")</f>
        <v>Negative</v>
      </c>
      <c r="I789" s="308">
        <f>IFERROR(__xludf.DUMMYFUNCTION("""COMPUTED_VALUE"""),44949.0)</f>
        <v>44949</v>
      </c>
      <c r="J789" s="311">
        <f>IFERROR(__xludf.DUMMYFUNCTION("""COMPUTED_VALUE"""),0.40064814814814814)</f>
        <v>0.4006481481</v>
      </c>
      <c r="K789" s="54"/>
      <c r="L789" s="7"/>
      <c r="M789" s="312"/>
      <c r="N789" s="172">
        <f>IFERROR(__xludf.DUMMYFUNCTION("""COMPUTED_VALUE"""),3.0)</f>
        <v>3</v>
      </c>
      <c r="O789" s="172"/>
      <c r="P789" s="313">
        <f>IFERROR(__xludf.DUMMYFUNCTION("""COMPUTED_VALUE"""),0.0)</f>
        <v>0</v>
      </c>
      <c r="Q789" s="76" t="str">
        <f>VLOOKUP($B789,'Run Reconcile'!B$2:O1399,14,FALSE)</f>
        <v/>
      </c>
      <c r="R789" s="314" t="str">
        <f t="array" ref="R789">IF($Q789, INDEX('Run Reconcile'!A$2:A1399,MATCH(B789,'Run Reconcile'!B$2:B1399,0),1),IFERROR(0/0,""))</f>
        <v/>
      </c>
      <c r="S789" s="315" t="str">
        <f t="shared" ref="S789:T789" si="1583">IF(COUNTIF(W$2:W1399, $A789) &gt; 0,TRUE,IFERROR(0/0,""))</f>
        <v/>
      </c>
      <c r="T789" s="315" t="str">
        <f t="shared" si="1583"/>
        <v/>
      </c>
      <c r="U789" s="114" t="str">
        <f t="array" ref="U789">IF(ISBLANK($R789), INDEX('Run Reconcile'!A$2:A1399, MATCH($B789, 'Run Reconcile'!B$2:B1399, 0)+Z789, 1), IFERROR(0/0,""))
</f>
        <v>RUN-ABRM_2023-01-23_RFR-140</v>
      </c>
      <c r="V789" s="316" t="str">
        <f t="shared" si="1281"/>
        <v>RUN-ABRM_2023-01-23_RFR-140</v>
      </c>
      <c r="Y789" s="317" t="str">
        <f t="shared" si="6"/>
        <v/>
      </c>
      <c r="Z789" s="83" t="str">
        <f t="shared" si="7"/>
        <v/>
      </c>
      <c r="AA789" s="83" t="str">
        <f t="shared" si="8"/>
        <v/>
      </c>
      <c r="AB789" s="83" t="str">
        <f t="shared" si="9"/>
        <v/>
      </c>
      <c r="AC789" s="18" t="str">
        <f t="shared" ref="AC789:AD789" si="1584">IF(_xlfn.ISFORMULA(S789),IFERROR(0/0,""),TRUE)</f>
        <v/>
      </c>
      <c r="AD789" s="18" t="str">
        <f t="shared" si="1584"/>
        <v/>
      </c>
      <c r="AE789" s="43"/>
      <c r="AF789" s="58" t="s">
        <v>125</v>
      </c>
      <c r="AG789" s="55" t="str">
        <f t="shared" si="11"/>
        <v/>
      </c>
    </row>
    <row r="790">
      <c r="A790" s="7" t="str">
        <f>IFERROR(__xludf.DUMMYFUNCTION("""COMPUTED_VALUE"""),"AJ7552")</f>
        <v>AJ7552</v>
      </c>
      <c r="B790" s="308">
        <f>IFERROR(__xludf.DUMMYFUNCTION("""COMPUTED_VALUE"""),44949.0)</f>
        <v>44949</v>
      </c>
      <c r="C790" s="309">
        <f>IFERROR(__xludf.DUMMYFUNCTION("""COMPUTED_VALUE"""),0.2911226851851852)</f>
        <v>0.2911226852</v>
      </c>
      <c r="D790" s="7" t="str">
        <f>IFERROR(__xludf.DUMMYFUNCTION("""COMPUTED_VALUE"""),"SpABRM128250")</f>
        <v>SpABRM128250</v>
      </c>
      <c r="E790" s="310"/>
      <c r="F790" s="310"/>
      <c r="G790" s="310" t="str">
        <f>IFERROR(__xludf.DUMMYFUNCTION("""COMPUTED_VALUE"""),"Negative")</f>
        <v>Negative</v>
      </c>
      <c r="H790" s="319" t="str">
        <f>IFERROR(__xludf.DUMMYFUNCTION("""COMPUTED_VALUE"""),"Negative")</f>
        <v>Negative</v>
      </c>
      <c r="I790" s="308">
        <f>IFERROR(__xludf.DUMMYFUNCTION("""COMPUTED_VALUE"""),44949.0)</f>
        <v>44949</v>
      </c>
      <c r="J790" s="311">
        <f>IFERROR(__xludf.DUMMYFUNCTION("""COMPUTED_VALUE"""),0.40065972222222224)</f>
        <v>0.4006597222</v>
      </c>
      <c r="K790" s="54"/>
      <c r="L790" s="7"/>
      <c r="M790" s="312"/>
      <c r="N790" s="172">
        <f>IFERROR(__xludf.DUMMYFUNCTION("""COMPUTED_VALUE"""),3.0)</f>
        <v>3</v>
      </c>
      <c r="O790" s="172"/>
      <c r="P790" s="313">
        <f>IFERROR(__xludf.DUMMYFUNCTION("""COMPUTED_VALUE"""),0.0)</f>
        <v>0</v>
      </c>
      <c r="Q790" s="76" t="str">
        <f>VLOOKUP($B790,'Run Reconcile'!B$2:O1399,14,FALSE)</f>
        <v/>
      </c>
      <c r="R790" s="314" t="str">
        <f t="array" ref="R790">IF($Q790, INDEX('Run Reconcile'!A$2:A1399,MATCH(B790,'Run Reconcile'!B$2:B1399,0),1),IFERROR(0/0,""))</f>
        <v/>
      </c>
      <c r="S790" s="315" t="str">
        <f t="shared" ref="S790:T790" si="1585">IF(COUNTIF(W$2:W1399, $A790) &gt; 0,TRUE,IFERROR(0/0,""))</f>
        <v/>
      </c>
      <c r="T790" s="315" t="str">
        <f t="shared" si="1585"/>
        <v/>
      </c>
      <c r="U790" s="114" t="str">
        <f t="array" ref="U790">IF(ISBLANK($R790), INDEX('Run Reconcile'!A$2:A1399, MATCH($B790, 'Run Reconcile'!B$2:B1399, 0)+Z790, 1), IFERROR(0/0,""))
</f>
        <v>RUN-ABRM_2023-01-23_RFR-140</v>
      </c>
      <c r="V790" s="316" t="str">
        <f t="shared" si="1281"/>
        <v>RUN-ABRM_2023-01-23_RFR-140</v>
      </c>
      <c r="Y790" s="317" t="str">
        <f t="shared" si="6"/>
        <v/>
      </c>
      <c r="Z790" s="83" t="str">
        <f t="shared" si="7"/>
        <v/>
      </c>
      <c r="AA790" s="83" t="str">
        <f t="shared" si="8"/>
        <v/>
      </c>
      <c r="AB790" s="83" t="str">
        <f t="shared" si="9"/>
        <v/>
      </c>
      <c r="AC790" s="18" t="str">
        <f t="shared" ref="AC790:AD790" si="1586">IF(_xlfn.ISFORMULA(S790),IFERROR(0/0,""),TRUE)</f>
        <v/>
      </c>
      <c r="AD790" s="18" t="str">
        <f t="shared" si="1586"/>
        <v/>
      </c>
      <c r="AE790" s="43"/>
      <c r="AF790" s="58" t="s">
        <v>125</v>
      </c>
      <c r="AG790" s="55" t="str">
        <f t="shared" si="11"/>
        <v/>
      </c>
    </row>
    <row r="791">
      <c r="A791" s="7" t="str">
        <f>IFERROR(__xludf.DUMMYFUNCTION("""COMPUTED_VALUE"""),"AK5344")</f>
        <v>AK5344</v>
      </c>
      <c r="B791" s="308">
        <f>IFERROR(__xludf.DUMMYFUNCTION("""COMPUTED_VALUE"""),44949.0)</f>
        <v>44949</v>
      </c>
      <c r="C791" s="309">
        <f>IFERROR(__xludf.DUMMYFUNCTION("""COMPUTED_VALUE"""),0.3047800925925926)</f>
        <v>0.3047800926</v>
      </c>
      <c r="D791" s="7" t="str">
        <f>IFERROR(__xludf.DUMMYFUNCTION("""COMPUTED_VALUE"""),"SpABRM814022")</f>
        <v>SpABRM814022</v>
      </c>
      <c r="E791" s="310"/>
      <c r="F791" s="310"/>
      <c r="G791" s="310" t="str">
        <f>IFERROR(__xludf.DUMMYFUNCTION("""COMPUTED_VALUE"""),"Negative")</f>
        <v>Negative</v>
      </c>
      <c r="H791" s="319" t="str">
        <f>IFERROR(__xludf.DUMMYFUNCTION("""COMPUTED_VALUE"""),"Negative")</f>
        <v>Negative</v>
      </c>
      <c r="I791" s="308">
        <f>IFERROR(__xludf.DUMMYFUNCTION("""COMPUTED_VALUE"""),44949.0)</f>
        <v>44949</v>
      </c>
      <c r="J791" s="311">
        <f>IFERROR(__xludf.DUMMYFUNCTION("""COMPUTED_VALUE"""),0.4006712962962963)</f>
        <v>0.4006712963</v>
      </c>
      <c r="K791" s="54"/>
      <c r="L791" s="7"/>
      <c r="M791" s="312"/>
      <c r="N791" s="172">
        <f>IFERROR(__xludf.DUMMYFUNCTION("""COMPUTED_VALUE"""),1.0)</f>
        <v>1</v>
      </c>
      <c r="O791" s="172"/>
      <c r="P791" s="313">
        <f>IFERROR(__xludf.DUMMYFUNCTION("""COMPUTED_VALUE"""),0.0)</f>
        <v>0</v>
      </c>
      <c r="Q791" s="76" t="str">
        <f>VLOOKUP($B791,'Run Reconcile'!B$2:O1399,14,FALSE)</f>
        <v/>
      </c>
      <c r="R791" s="314" t="str">
        <f t="array" ref="R791">IF($Q791, INDEX('Run Reconcile'!A$2:A1399,MATCH(B791,'Run Reconcile'!B$2:B1399,0),1),IFERROR(0/0,""))</f>
        <v/>
      </c>
      <c r="S791" s="315" t="str">
        <f t="shared" ref="S791:T791" si="1587">IF(COUNTIF(W$2:W1399, $A791) &gt; 0,TRUE,IFERROR(0/0,""))</f>
        <v/>
      </c>
      <c r="T791" s="315" t="str">
        <f t="shared" si="1587"/>
        <v/>
      </c>
      <c r="U791" s="114" t="str">
        <f t="array" ref="U791">IF(ISBLANK($R791), INDEX('Run Reconcile'!A$2:A1399, MATCH($B791, 'Run Reconcile'!B$2:B1399, 0)+Z791, 1), IFERROR(0/0,""))
</f>
        <v>RUN-ABRM_2023-01-23_RFR-140</v>
      </c>
      <c r="V791" s="316" t="str">
        <f t="shared" si="1281"/>
        <v>RUN-ABRM_2023-01-23_RFR-140</v>
      </c>
      <c r="Y791" s="317" t="str">
        <f t="shared" si="6"/>
        <v/>
      </c>
      <c r="Z791" s="83" t="str">
        <f t="shared" si="7"/>
        <v/>
      </c>
      <c r="AA791" s="83" t="str">
        <f t="shared" si="8"/>
        <v/>
      </c>
      <c r="AB791" s="83" t="str">
        <f t="shared" si="9"/>
        <v/>
      </c>
      <c r="AC791" s="18" t="str">
        <f t="shared" ref="AC791:AD791" si="1588">IF(_xlfn.ISFORMULA(S791),IFERROR(0/0,""),TRUE)</f>
        <v/>
      </c>
      <c r="AD791" s="18" t="str">
        <f t="shared" si="1588"/>
        <v/>
      </c>
      <c r="AE791" s="43"/>
      <c r="AF791" s="58" t="s">
        <v>125</v>
      </c>
      <c r="AG791" s="55" t="str">
        <f t="shared" si="11"/>
        <v/>
      </c>
    </row>
    <row r="792">
      <c r="A792" s="7" t="str">
        <f>IFERROR(__xludf.DUMMYFUNCTION("""COMPUTED_VALUE"""),"AH6836")</f>
        <v>AH6836</v>
      </c>
      <c r="B792" s="308">
        <f>IFERROR(__xludf.DUMMYFUNCTION("""COMPUTED_VALUE"""),44949.0)</f>
        <v>44949</v>
      </c>
      <c r="C792" s="309">
        <f>IFERROR(__xludf.DUMMYFUNCTION("""COMPUTED_VALUE"""),0.3058796296296296)</f>
        <v>0.3058796296</v>
      </c>
      <c r="D792" s="7" t="str">
        <f>IFERROR(__xludf.DUMMYFUNCTION("""COMPUTED_VALUE"""),"SpABRM655136")</f>
        <v>SpABRM655136</v>
      </c>
      <c r="E792" s="310"/>
      <c r="F792" s="310"/>
      <c r="G792" s="310" t="str">
        <f>IFERROR(__xludf.DUMMYFUNCTION("""COMPUTED_VALUE"""),"Negative")</f>
        <v>Negative</v>
      </c>
      <c r="H792" s="319" t="str">
        <f>IFERROR(__xludf.DUMMYFUNCTION("""COMPUTED_VALUE"""),"Negative")</f>
        <v>Negative</v>
      </c>
      <c r="I792" s="308">
        <f>IFERROR(__xludf.DUMMYFUNCTION("""COMPUTED_VALUE"""),44949.0)</f>
        <v>44949</v>
      </c>
      <c r="J792" s="311">
        <f>IFERROR(__xludf.DUMMYFUNCTION("""COMPUTED_VALUE"""),0.4640856481481481)</f>
        <v>0.4640856481</v>
      </c>
      <c r="K792" s="54"/>
      <c r="L792" s="7"/>
      <c r="M792" s="312"/>
      <c r="N792" s="172">
        <f>IFERROR(__xludf.DUMMYFUNCTION("""COMPUTED_VALUE"""),1.0)</f>
        <v>1</v>
      </c>
      <c r="O792" s="172"/>
      <c r="P792" s="313">
        <f>IFERROR(__xludf.DUMMYFUNCTION("""COMPUTED_VALUE"""),0.0)</f>
        <v>0</v>
      </c>
      <c r="Q792" s="76" t="str">
        <f>VLOOKUP($B792,'Run Reconcile'!B$2:O1399,14,FALSE)</f>
        <v/>
      </c>
      <c r="R792" s="314" t="str">
        <f t="array" ref="R792">IF($Q792, INDEX('Run Reconcile'!A$2:A1399,MATCH(B792,'Run Reconcile'!B$2:B1399,0),1),IFERROR(0/0,""))</f>
        <v/>
      </c>
      <c r="S792" s="315" t="str">
        <f t="shared" ref="S792:T792" si="1589">IF(COUNTIF(W$2:W1399, $A792) &gt; 0,TRUE,IFERROR(0/0,""))</f>
        <v/>
      </c>
      <c r="T792" s="315" t="str">
        <f t="shared" si="1589"/>
        <v/>
      </c>
      <c r="U792" s="114" t="str">
        <f t="array" ref="U792">IF(ISBLANK($R792), INDEX('Run Reconcile'!A$2:A1399, MATCH($B792, 'Run Reconcile'!B$2:B1399, 0)+Z792, 1), IFERROR(0/0,""))
</f>
        <v>RUN-ABRM_2023-01-23_RFR-140</v>
      </c>
      <c r="V792" s="316" t="str">
        <f t="shared" si="1281"/>
        <v>RUN-ABRM_2023-01-23_RFR-140</v>
      </c>
      <c r="Y792" s="317" t="str">
        <f t="shared" si="6"/>
        <v/>
      </c>
      <c r="Z792" s="83" t="str">
        <f t="shared" si="7"/>
        <v/>
      </c>
      <c r="AA792" s="83" t="str">
        <f t="shared" si="8"/>
        <v/>
      </c>
      <c r="AB792" s="83" t="str">
        <f t="shared" si="9"/>
        <v/>
      </c>
      <c r="AC792" s="18" t="str">
        <f t="shared" ref="AC792:AD792" si="1590">IF(_xlfn.ISFORMULA(S792),IFERROR(0/0,""),TRUE)</f>
        <v/>
      </c>
      <c r="AD792" s="18" t="str">
        <f t="shared" si="1590"/>
        <v/>
      </c>
      <c r="AE792" s="43"/>
      <c r="AF792" s="58" t="s">
        <v>125</v>
      </c>
      <c r="AG792" s="55" t="str">
        <f t="shared" si="11"/>
        <v/>
      </c>
    </row>
    <row r="793">
      <c r="A793" s="7" t="str">
        <f>IFERROR(__xludf.DUMMYFUNCTION("""COMPUTED_VALUE"""),"AJ9672")</f>
        <v>AJ9672</v>
      </c>
      <c r="B793" s="308">
        <f>IFERROR(__xludf.DUMMYFUNCTION("""COMPUTED_VALUE"""),44949.0)</f>
        <v>44949</v>
      </c>
      <c r="C793" s="309">
        <f>IFERROR(__xludf.DUMMYFUNCTION("""COMPUTED_VALUE"""),0.30909722222222225)</f>
        <v>0.3090972222</v>
      </c>
      <c r="D793" s="7" t="str">
        <f>IFERROR(__xludf.DUMMYFUNCTION("""COMPUTED_VALUE"""),"SpABRM756011")</f>
        <v>SpABRM756011</v>
      </c>
      <c r="E793" s="310"/>
      <c r="F793" s="310"/>
      <c r="G793" s="310" t="str">
        <f>IFERROR(__xludf.DUMMYFUNCTION("""COMPUTED_VALUE"""),"Negative")</f>
        <v>Negative</v>
      </c>
      <c r="H793" s="319" t="str">
        <f>IFERROR(__xludf.DUMMYFUNCTION("""COMPUTED_VALUE"""),"Negative")</f>
        <v>Negative</v>
      </c>
      <c r="I793" s="308">
        <f>IFERROR(__xludf.DUMMYFUNCTION("""COMPUTED_VALUE"""),44949.0)</f>
        <v>44949</v>
      </c>
      <c r="J793" s="311">
        <f>IFERROR(__xludf.DUMMYFUNCTION("""COMPUTED_VALUE"""),0.4006712962962963)</f>
        <v>0.4006712963</v>
      </c>
      <c r="K793" s="54"/>
      <c r="L793" s="7"/>
      <c r="M793" s="312"/>
      <c r="N793" s="172">
        <f>IFERROR(__xludf.DUMMYFUNCTION("""COMPUTED_VALUE"""),2.0)</f>
        <v>2</v>
      </c>
      <c r="O793" s="172"/>
      <c r="P793" s="313">
        <f>IFERROR(__xludf.DUMMYFUNCTION("""COMPUTED_VALUE"""),0.0)</f>
        <v>0</v>
      </c>
      <c r="Q793" s="76" t="str">
        <f>VLOOKUP($B793,'Run Reconcile'!B$2:O1399,14,FALSE)</f>
        <v/>
      </c>
      <c r="R793" s="314" t="str">
        <f t="array" ref="R793">IF($Q793, INDEX('Run Reconcile'!A$2:A1399,MATCH(B793,'Run Reconcile'!B$2:B1399,0),1),IFERROR(0/0,""))</f>
        <v/>
      </c>
      <c r="S793" s="315" t="str">
        <f t="shared" ref="S793:T793" si="1591">IF(COUNTIF(W$2:W1399, $A793) &gt; 0,TRUE,IFERROR(0/0,""))</f>
        <v/>
      </c>
      <c r="T793" s="315" t="str">
        <f t="shared" si="1591"/>
        <v/>
      </c>
      <c r="U793" s="114" t="str">
        <f t="array" ref="U793">IF(ISBLANK($R793), INDEX('Run Reconcile'!A$2:A1399, MATCH($B793, 'Run Reconcile'!B$2:B1399, 0)+Z793, 1), IFERROR(0/0,""))
</f>
        <v>RUN-ABRM_2023-01-23_RFR-140</v>
      </c>
      <c r="V793" s="316" t="str">
        <f t="shared" si="1281"/>
        <v>RUN-ABRM_2023-01-23_RFR-140</v>
      </c>
      <c r="Y793" s="317" t="str">
        <f t="shared" si="6"/>
        <v/>
      </c>
      <c r="Z793" s="83" t="str">
        <f t="shared" si="7"/>
        <v/>
      </c>
      <c r="AA793" s="83" t="str">
        <f t="shared" si="8"/>
        <v/>
      </c>
      <c r="AB793" s="83" t="str">
        <f t="shared" si="9"/>
        <v/>
      </c>
      <c r="AC793" s="18" t="str">
        <f t="shared" ref="AC793:AD793" si="1592">IF(_xlfn.ISFORMULA(S793),IFERROR(0/0,""),TRUE)</f>
        <v/>
      </c>
      <c r="AD793" s="18" t="str">
        <f t="shared" si="1592"/>
        <v/>
      </c>
      <c r="AE793" s="43"/>
      <c r="AF793" s="58" t="s">
        <v>125</v>
      </c>
      <c r="AG793" s="55" t="str">
        <f t="shared" si="11"/>
        <v/>
      </c>
    </row>
    <row r="794">
      <c r="A794" s="7" t="str">
        <f>IFERROR(__xludf.DUMMYFUNCTION("""COMPUTED_VALUE"""),"AJ8437")</f>
        <v>AJ8437</v>
      </c>
      <c r="B794" s="308">
        <f>IFERROR(__xludf.DUMMYFUNCTION("""COMPUTED_VALUE"""),44949.0)</f>
        <v>44949</v>
      </c>
      <c r="C794" s="309">
        <f>IFERROR(__xludf.DUMMYFUNCTION("""COMPUTED_VALUE"""),0.3223726851851852)</f>
        <v>0.3223726852</v>
      </c>
      <c r="D794" s="7" t="str">
        <f>IFERROR(__xludf.DUMMYFUNCTION("""COMPUTED_VALUE"""),"SpABRM655136")</f>
        <v>SpABRM655136</v>
      </c>
      <c r="E794" s="310"/>
      <c r="F794" s="310"/>
      <c r="G794" s="310" t="str">
        <f>IFERROR(__xludf.DUMMYFUNCTION("""COMPUTED_VALUE"""),"Negative")</f>
        <v>Negative</v>
      </c>
      <c r="H794" s="319" t="str">
        <f>IFERROR(__xludf.DUMMYFUNCTION("""COMPUTED_VALUE"""),"Negative")</f>
        <v>Negative</v>
      </c>
      <c r="I794" s="308">
        <f>IFERROR(__xludf.DUMMYFUNCTION("""COMPUTED_VALUE"""),44949.0)</f>
        <v>44949</v>
      </c>
      <c r="J794" s="311">
        <f>IFERROR(__xludf.DUMMYFUNCTION("""COMPUTED_VALUE"""),0.42878472222222225)</f>
        <v>0.4287847222</v>
      </c>
      <c r="K794" s="54"/>
      <c r="L794" s="7"/>
      <c r="M794" s="312"/>
      <c r="N794" s="172">
        <f>IFERROR(__xludf.DUMMYFUNCTION("""COMPUTED_VALUE"""),4.0)</f>
        <v>4</v>
      </c>
      <c r="O794" s="172"/>
      <c r="P794" s="313">
        <f>IFERROR(__xludf.DUMMYFUNCTION("""COMPUTED_VALUE"""),0.0)</f>
        <v>0</v>
      </c>
      <c r="Q794" s="76" t="str">
        <f>VLOOKUP($B794,'Run Reconcile'!B$2:O1399,14,FALSE)</f>
        <v/>
      </c>
      <c r="R794" s="314" t="str">
        <f t="array" ref="R794">IF($Q794, INDEX('Run Reconcile'!A$2:A1399,MATCH(B794,'Run Reconcile'!B$2:B1399,0),1),IFERROR(0/0,""))</f>
        <v/>
      </c>
      <c r="S794" s="315" t="str">
        <f t="shared" ref="S794:T794" si="1593">IF(COUNTIF(W$2:W1399, $A794) &gt; 0,TRUE,IFERROR(0/0,""))</f>
        <v/>
      </c>
      <c r="T794" s="315" t="str">
        <f t="shared" si="1593"/>
        <v/>
      </c>
      <c r="U794" s="114" t="str">
        <f t="array" ref="U794">IF(ISBLANK($R794), INDEX('Run Reconcile'!A$2:A1399, MATCH($B794, 'Run Reconcile'!B$2:B1399, 0)+Z794, 1), IFERROR(0/0,""))
</f>
        <v>RUN-ABRM_2023-01-23_RFR-140</v>
      </c>
      <c r="V794" s="316" t="str">
        <f t="shared" si="1281"/>
        <v>RUN-ABRM_2023-01-23_RFR-140</v>
      </c>
      <c r="Y794" s="317" t="str">
        <f t="shared" si="6"/>
        <v/>
      </c>
      <c r="Z794" s="83" t="str">
        <f t="shared" si="7"/>
        <v/>
      </c>
      <c r="AA794" s="83" t="str">
        <f t="shared" si="8"/>
        <v/>
      </c>
      <c r="AB794" s="83" t="str">
        <f t="shared" si="9"/>
        <v/>
      </c>
      <c r="AC794" s="18" t="str">
        <f t="shared" ref="AC794:AD794" si="1594">IF(_xlfn.ISFORMULA(S794),IFERROR(0/0,""),TRUE)</f>
        <v/>
      </c>
      <c r="AD794" s="18" t="str">
        <f t="shared" si="1594"/>
        <v/>
      </c>
      <c r="AE794" s="43"/>
      <c r="AF794" s="58" t="s">
        <v>125</v>
      </c>
      <c r="AG794" s="55" t="str">
        <f t="shared" si="11"/>
        <v/>
      </c>
    </row>
    <row r="795">
      <c r="A795" s="7" t="str">
        <f>IFERROR(__xludf.DUMMYFUNCTION("""COMPUTED_VALUE"""),"AJ9423")</f>
        <v>AJ9423</v>
      </c>
      <c r="B795" s="308">
        <f>IFERROR(__xludf.DUMMYFUNCTION("""COMPUTED_VALUE"""),44949.0)</f>
        <v>44949</v>
      </c>
      <c r="C795" s="309">
        <f>IFERROR(__xludf.DUMMYFUNCTION("""COMPUTED_VALUE"""),0.3361458333333333)</f>
        <v>0.3361458333</v>
      </c>
      <c r="D795" s="7" t="str">
        <f>IFERROR(__xludf.DUMMYFUNCTION("""COMPUTED_VALUE"""),"SpABRM655136")</f>
        <v>SpABRM655136</v>
      </c>
      <c r="E795" s="310"/>
      <c r="F795" s="310"/>
      <c r="G795" s="310" t="str">
        <f>IFERROR(__xludf.DUMMYFUNCTION("""COMPUTED_VALUE"""),"Negative")</f>
        <v>Negative</v>
      </c>
      <c r="H795" s="319" t="str">
        <f>IFERROR(__xludf.DUMMYFUNCTION("""COMPUTED_VALUE"""),"Negative")</f>
        <v>Negative</v>
      </c>
      <c r="I795" s="308">
        <f>IFERROR(__xludf.DUMMYFUNCTION("""COMPUTED_VALUE"""),44949.0)</f>
        <v>44949</v>
      </c>
      <c r="J795" s="311">
        <f>IFERROR(__xludf.DUMMYFUNCTION("""COMPUTED_VALUE"""),0.40068287037037037)</f>
        <v>0.4006828704</v>
      </c>
      <c r="K795" s="54"/>
      <c r="L795" s="7"/>
      <c r="M795" s="312"/>
      <c r="N795" s="172">
        <f>IFERROR(__xludf.DUMMYFUNCTION("""COMPUTED_VALUE"""),4.0)</f>
        <v>4</v>
      </c>
      <c r="O795" s="172"/>
      <c r="P795" s="313">
        <f>IFERROR(__xludf.DUMMYFUNCTION("""COMPUTED_VALUE"""),0.0)</f>
        <v>0</v>
      </c>
      <c r="Q795" s="76" t="str">
        <f>VLOOKUP($B795,'Run Reconcile'!B$2:O1399,14,FALSE)</f>
        <v/>
      </c>
      <c r="R795" s="314" t="str">
        <f t="array" ref="R795">IF($Q795, INDEX('Run Reconcile'!A$2:A1399,MATCH(B795,'Run Reconcile'!B$2:B1399,0),1),IFERROR(0/0,""))</f>
        <v/>
      </c>
      <c r="S795" s="315" t="str">
        <f t="shared" ref="S795:T795" si="1595">IF(COUNTIF(W$2:W1399, $A795) &gt; 0,TRUE,IFERROR(0/0,""))</f>
        <v/>
      </c>
      <c r="T795" s="315" t="str">
        <f t="shared" si="1595"/>
        <v/>
      </c>
      <c r="U795" s="114" t="str">
        <f t="array" ref="U795">IF(ISBLANK($R795), INDEX('Run Reconcile'!A$2:A1399, MATCH($B795, 'Run Reconcile'!B$2:B1399, 0)+Z795, 1), IFERROR(0/0,""))
</f>
        <v>RUN-ABRM_2023-01-23_RFR-140</v>
      </c>
      <c r="V795" s="316" t="str">
        <f t="shared" si="1281"/>
        <v>RUN-ABRM_2023-01-23_RFR-140</v>
      </c>
      <c r="Y795" s="317" t="str">
        <f t="shared" si="6"/>
        <v/>
      </c>
      <c r="Z795" s="83" t="str">
        <f t="shared" si="7"/>
        <v/>
      </c>
      <c r="AA795" s="83" t="str">
        <f t="shared" si="8"/>
        <v/>
      </c>
      <c r="AB795" s="83" t="str">
        <f t="shared" si="9"/>
        <v/>
      </c>
      <c r="AC795" s="18" t="str">
        <f t="shared" ref="AC795:AD795" si="1596">IF(_xlfn.ISFORMULA(S795),IFERROR(0/0,""),TRUE)</f>
        <v/>
      </c>
      <c r="AD795" s="18" t="str">
        <f t="shared" si="1596"/>
        <v/>
      </c>
      <c r="AE795" s="43"/>
      <c r="AF795" s="58" t="s">
        <v>125</v>
      </c>
      <c r="AG795" s="55" t="str">
        <f t="shared" si="11"/>
        <v/>
      </c>
    </row>
    <row r="796">
      <c r="A796" s="331" t="str">
        <f>IFERROR(__xludf.DUMMYFUNCTION("""COMPUTED_VALUE"""),"AH7310")</f>
        <v>AH7310</v>
      </c>
      <c r="B796" s="332">
        <f>IFERROR(__xludf.DUMMYFUNCTION("""COMPUTED_VALUE"""),44949.0)</f>
        <v>44949</v>
      </c>
      <c r="C796" s="333">
        <f>IFERROR(__xludf.DUMMYFUNCTION("""COMPUTED_VALUE"""),0.4351388888888889)</f>
        <v>0.4351388889</v>
      </c>
      <c r="D796" s="7" t="str">
        <f>IFERROR(__xludf.DUMMYFUNCTION("""COMPUTED_VALUE"""),"SpABRM655136")</f>
        <v>SpABRM655136</v>
      </c>
      <c r="E796" s="310"/>
      <c r="F796" s="310"/>
      <c r="G796" s="310" t="str">
        <f>IFERROR(__xludf.DUMMYFUNCTION("""COMPUTED_VALUE"""),"Negative")</f>
        <v>Negative</v>
      </c>
      <c r="H796" s="319" t="str">
        <f>IFERROR(__xludf.DUMMYFUNCTION("""COMPUTED_VALUE"""),"Negative")</f>
        <v>Negative</v>
      </c>
      <c r="I796" s="308">
        <f>IFERROR(__xludf.DUMMYFUNCTION("""COMPUTED_VALUE"""),44949.0)</f>
        <v>44949</v>
      </c>
      <c r="J796" s="311">
        <f>IFERROR(__xludf.DUMMYFUNCTION("""COMPUTED_VALUE"""),0.4640972222222222)</f>
        <v>0.4640972222</v>
      </c>
      <c r="K796" s="54"/>
      <c r="L796" s="7"/>
      <c r="M796" s="312"/>
      <c r="N796" s="172">
        <f>IFERROR(__xludf.DUMMYFUNCTION("""COMPUTED_VALUE"""),1.0)</f>
        <v>1</v>
      </c>
      <c r="O796" s="172"/>
      <c r="P796" s="313">
        <f>IFERROR(__xludf.DUMMYFUNCTION("""COMPUTED_VALUE"""),0.0)</f>
        <v>0</v>
      </c>
      <c r="Q796" s="76" t="str">
        <f>VLOOKUP($B796,'Run Reconcile'!B$2:O1399,14,FALSE)</f>
        <v/>
      </c>
      <c r="R796" s="314" t="str">
        <f t="array" ref="R796">IF($Q796, INDEX('Run Reconcile'!A$2:A1399,MATCH(B796,'Run Reconcile'!B$2:B1399,0),1),IFERROR(0/0,""))</f>
        <v/>
      </c>
      <c r="S796" s="315" t="str">
        <f t="shared" ref="S796:T796" si="1597">IF(COUNTIF(W$2:W1399, $A796) &gt; 0,TRUE,IFERROR(0/0,""))</f>
        <v/>
      </c>
      <c r="T796" s="315" t="b">
        <f t="shared" si="1597"/>
        <v>1</v>
      </c>
      <c r="U796" s="114" t="str">
        <f t="array" ref="U796">IF(ISBLANK($R796), INDEX('Run Reconcile'!A$2:A1399, MATCH($B796, 'Run Reconcile'!B$2:B1399, 0)+Z796, 1), IFERROR(0/0,""))
</f>
        <v>RUN-ABRM_2023-01-23_APS-002</v>
      </c>
      <c r="V796" s="316" t="str">
        <f t="shared" si="1281"/>
        <v>RUN-ABRM_2023-01-23_APS-002</v>
      </c>
      <c r="X796" s="7" t="s">
        <v>1372</v>
      </c>
      <c r="Y796" s="317">
        <f t="shared" si="6"/>
        <v>1</v>
      </c>
      <c r="Z796" s="83">
        <f t="shared" si="7"/>
        <v>1</v>
      </c>
      <c r="AA796" s="83" t="str">
        <f t="shared" si="8"/>
        <v/>
      </c>
      <c r="AB796" s="83">
        <f t="shared" si="9"/>
        <v>1</v>
      </c>
      <c r="AC796" s="18" t="str">
        <f t="shared" ref="AC796:AD796" si="1598">IF(_xlfn.ISFORMULA(S796),IFERROR(0/0,""),TRUE)</f>
        <v/>
      </c>
      <c r="AD796" s="18" t="str">
        <f t="shared" si="1598"/>
        <v/>
      </c>
      <c r="AE796" s="43"/>
      <c r="AF796" s="58" t="s">
        <v>125</v>
      </c>
      <c r="AG796" s="55" t="b">
        <f t="shared" si="11"/>
        <v>0</v>
      </c>
    </row>
    <row r="797">
      <c r="A797" s="120" t="str">
        <f>IFERROR(__xludf.DUMMYFUNCTION("""COMPUTED_VALUE"""),"AH134")</f>
        <v>AH134</v>
      </c>
      <c r="B797" s="320">
        <f>IFERROR(__xludf.DUMMYFUNCTION("""COMPUTED_VALUE"""),44951.0)</f>
        <v>44951</v>
      </c>
      <c r="C797" s="321">
        <f>IFERROR(__xludf.DUMMYFUNCTION("""COMPUTED_VALUE"""),0.24206018518518518)</f>
        <v>0.2420601852</v>
      </c>
      <c r="D797" s="120" t="str">
        <f>IFERROR(__xludf.DUMMYFUNCTION("""COMPUTED_VALUE"""),"SpABRM454310")</f>
        <v>SpABRM454310</v>
      </c>
      <c r="E797" s="322"/>
      <c r="F797" s="322"/>
      <c r="G797" s="322" t="str">
        <f>IFERROR(__xludf.DUMMYFUNCTION("""COMPUTED_VALUE"""),"Negative")</f>
        <v>Negative</v>
      </c>
      <c r="H797" s="323" t="str">
        <f>IFERROR(__xludf.DUMMYFUNCTION("""COMPUTED_VALUE"""),"Negative")</f>
        <v>Negative</v>
      </c>
      <c r="I797" s="320">
        <f>IFERROR(__xludf.DUMMYFUNCTION("""COMPUTED_VALUE"""),44951.0)</f>
        <v>44951</v>
      </c>
      <c r="J797" s="324">
        <f>IFERROR(__xludf.DUMMYFUNCTION("""COMPUTED_VALUE"""),0.40302083333333333)</f>
        <v>0.4030208333</v>
      </c>
      <c r="K797" s="123"/>
      <c r="L797" s="120"/>
      <c r="M797" s="325"/>
      <c r="N797" s="283">
        <f>IFERROR(__xludf.DUMMYFUNCTION("""COMPUTED_VALUE"""),2.0)</f>
        <v>2</v>
      </c>
      <c r="O797" s="283"/>
      <c r="P797" s="326">
        <f>IFERROR(__xludf.DUMMYFUNCTION("""COMPUTED_VALUE"""),0.0)</f>
        <v>0</v>
      </c>
      <c r="Q797" s="293" t="b">
        <f>VLOOKUP($B797,'Run Reconcile'!B$2:O1399,14,FALSE)</f>
        <v>1</v>
      </c>
      <c r="R797" s="327" t="str">
        <f t="array" ref="R797">IF($Q797, INDEX('Run Reconcile'!A$2:A1399,MATCH(B797,'Run Reconcile'!B$2:B1399,0),1),IFERROR(0/0,""))</f>
        <v>RUN-ABRM_2023-01-25_RFR-143</v>
      </c>
      <c r="S797" s="328" t="str">
        <f t="shared" ref="S797:T797" si="1599">IF(COUNTIF(W$2:W1399, $A797) &gt; 0,TRUE,IFERROR(0/0,""))</f>
        <v/>
      </c>
      <c r="T797" s="328" t="str">
        <f t="shared" si="1599"/>
        <v/>
      </c>
      <c r="U797" s="294" t="str">
        <f t="array" ref="U797">IF(ISBLANK($R797), INDEX('Run Reconcile'!A$2:A1399, MATCH($B797, 'Run Reconcile'!B$2:B1399, 0)+Z797, 1), IFERROR(0/0,""))
</f>
        <v/>
      </c>
      <c r="V797" s="329" t="str">
        <f t="shared" si="1281"/>
        <v>RUN-ABRM_2023-01-25_RFR-143</v>
      </c>
      <c r="W797" s="120"/>
      <c r="X797" s="120"/>
      <c r="Y797" s="334" t="str">
        <f t="shared" si="6"/>
        <v/>
      </c>
      <c r="Z797" s="295" t="str">
        <f t="shared" si="7"/>
        <v/>
      </c>
      <c r="AA797" s="295" t="str">
        <f t="shared" si="8"/>
        <v/>
      </c>
      <c r="AB797" s="295" t="str">
        <f t="shared" si="9"/>
        <v/>
      </c>
      <c r="AC797" s="263" t="str">
        <f t="shared" ref="AC797:AD797" si="1600">IF(_xlfn.ISFORMULA(S797),IFERROR(0/0,""),TRUE)</f>
        <v/>
      </c>
      <c r="AD797" s="263" t="str">
        <f t="shared" si="1600"/>
        <v/>
      </c>
      <c r="AE797" s="125"/>
      <c r="AF797" s="330" t="s">
        <v>126</v>
      </c>
      <c r="AG797" s="268" t="str">
        <f t="shared" si="11"/>
        <v/>
      </c>
      <c r="AH797" s="120"/>
      <c r="AI797" s="120"/>
      <c r="AJ797" s="120"/>
      <c r="AK797" s="120"/>
    </row>
    <row r="798">
      <c r="A798" s="7" t="str">
        <f>IFERROR(__xludf.DUMMYFUNCTION("""COMPUTED_VALUE"""),"AJ6514")</f>
        <v>AJ6514</v>
      </c>
      <c r="B798" s="308">
        <f>IFERROR(__xludf.DUMMYFUNCTION("""COMPUTED_VALUE"""),44951.0)</f>
        <v>44951</v>
      </c>
      <c r="C798" s="309">
        <f>IFERROR(__xludf.DUMMYFUNCTION("""COMPUTED_VALUE"""),0.26449074074074075)</f>
        <v>0.2644907407</v>
      </c>
      <c r="D798" s="7" t="str">
        <f>IFERROR(__xludf.DUMMYFUNCTION("""COMPUTED_VALUE"""),"SpABRM128250")</f>
        <v>SpABRM128250</v>
      </c>
      <c r="E798" s="310"/>
      <c r="F798" s="310"/>
      <c r="G798" s="310" t="str">
        <f>IFERROR(__xludf.DUMMYFUNCTION("""COMPUTED_VALUE"""),"Negative")</f>
        <v>Negative</v>
      </c>
      <c r="H798" s="319" t="str">
        <f>IFERROR(__xludf.DUMMYFUNCTION("""COMPUTED_VALUE"""),"Negative")</f>
        <v>Negative</v>
      </c>
      <c r="I798" s="308">
        <f>IFERROR(__xludf.DUMMYFUNCTION("""COMPUTED_VALUE"""),44951.0)</f>
        <v>44951</v>
      </c>
      <c r="J798" s="311">
        <f>IFERROR(__xludf.DUMMYFUNCTION("""COMPUTED_VALUE"""),0.4030324074074074)</f>
        <v>0.4030324074</v>
      </c>
      <c r="K798" s="54"/>
      <c r="L798" s="7"/>
      <c r="M798" s="312"/>
      <c r="N798" s="172">
        <f>IFERROR(__xludf.DUMMYFUNCTION("""COMPUTED_VALUE"""),3.0)</f>
        <v>3</v>
      </c>
      <c r="O798" s="172"/>
      <c r="P798" s="313">
        <f>IFERROR(__xludf.DUMMYFUNCTION("""COMPUTED_VALUE"""),0.0)</f>
        <v>0</v>
      </c>
      <c r="Q798" s="76" t="b">
        <f>VLOOKUP($B798,'Run Reconcile'!B$2:O1399,14,FALSE)</f>
        <v>1</v>
      </c>
      <c r="R798" s="314" t="str">
        <f t="array" ref="R798">IF($Q798, INDEX('Run Reconcile'!A$2:A1399,MATCH(B798,'Run Reconcile'!B$2:B1399,0),1),IFERROR(0/0,""))</f>
        <v>RUN-ABRM_2023-01-25_RFR-143</v>
      </c>
      <c r="S798" s="315" t="str">
        <f t="shared" ref="S798:T798" si="1601">IF(COUNTIF(W$2:W1399, $A798) &gt; 0,TRUE,IFERROR(0/0,""))</f>
        <v/>
      </c>
      <c r="T798" s="315" t="str">
        <f t="shared" si="1601"/>
        <v/>
      </c>
      <c r="U798" s="114" t="str">
        <f t="array" ref="U798">IF(ISBLANK($R798), INDEX('Run Reconcile'!A$2:A1399, MATCH($B798, 'Run Reconcile'!B$2:B1399, 0)+Z798, 1), IFERROR(0/0,""))
</f>
        <v/>
      </c>
      <c r="V798" s="316" t="str">
        <f t="shared" si="1281"/>
        <v>RUN-ABRM_2023-01-25_RFR-143</v>
      </c>
      <c r="Y798" s="317" t="str">
        <f t="shared" si="6"/>
        <v/>
      </c>
      <c r="Z798" s="83" t="str">
        <f t="shared" si="7"/>
        <v/>
      </c>
      <c r="AA798" s="83" t="str">
        <f t="shared" si="8"/>
        <v/>
      </c>
      <c r="AB798" s="83" t="str">
        <f t="shared" si="9"/>
        <v/>
      </c>
      <c r="AC798" s="18" t="str">
        <f t="shared" ref="AC798:AD798" si="1602">IF(_xlfn.ISFORMULA(S798),IFERROR(0/0,""),TRUE)</f>
        <v/>
      </c>
      <c r="AD798" s="18" t="str">
        <f t="shared" si="1602"/>
        <v/>
      </c>
      <c r="AE798" s="43"/>
      <c r="AF798" s="58" t="s">
        <v>126</v>
      </c>
      <c r="AG798" s="55" t="str">
        <f t="shared" si="11"/>
        <v/>
      </c>
    </row>
    <row r="799">
      <c r="A799" s="7" t="str">
        <f>IFERROR(__xludf.DUMMYFUNCTION("""COMPUTED_VALUE"""),"AJ8938")</f>
        <v>AJ8938</v>
      </c>
      <c r="B799" s="308">
        <f>IFERROR(__xludf.DUMMYFUNCTION("""COMPUTED_VALUE"""),44951.0)</f>
        <v>44951</v>
      </c>
      <c r="C799" s="309">
        <f>IFERROR(__xludf.DUMMYFUNCTION("""COMPUTED_VALUE"""),0.29337962962962966)</f>
        <v>0.2933796296</v>
      </c>
      <c r="D799" s="7" t="str">
        <f>IFERROR(__xludf.DUMMYFUNCTION("""COMPUTED_VALUE"""),"SpABRM297307")</f>
        <v>SpABRM297307</v>
      </c>
      <c r="E799" s="310"/>
      <c r="F799" s="310"/>
      <c r="G799" s="310" t="str">
        <f>IFERROR(__xludf.DUMMYFUNCTION("""COMPUTED_VALUE"""),"Negative")</f>
        <v>Negative</v>
      </c>
      <c r="H799" s="319" t="str">
        <f>IFERROR(__xludf.DUMMYFUNCTION("""COMPUTED_VALUE"""),"Negative")</f>
        <v>Negative</v>
      </c>
      <c r="I799" s="308">
        <f>IFERROR(__xludf.DUMMYFUNCTION("""COMPUTED_VALUE"""),44951.0)</f>
        <v>44951</v>
      </c>
      <c r="J799" s="311">
        <f>IFERROR(__xludf.DUMMYFUNCTION("""COMPUTED_VALUE"""),0.4030324074074074)</f>
        <v>0.4030324074</v>
      </c>
      <c r="K799" s="54"/>
      <c r="L799" s="7"/>
      <c r="M799" s="312"/>
      <c r="N799" s="172">
        <f>IFERROR(__xludf.DUMMYFUNCTION("""COMPUTED_VALUE"""),4.0)</f>
        <v>4</v>
      </c>
      <c r="O799" s="172"/>
      <c r="P799" s="313">
        <f>IFERROR(__xludf.DUMMYFUNCTION("""COMPUTED_VALUE"""),0.0)</f>
        <v>0</v>
      </c>
      <c r="Q799" s="76" t="b">
        <f>VLOOKUP($B799,'Run Reconcile'!B$2:O1399,14,FALSE)</f>
        <v>1</v>
      </c>
      <c r="R799" s="314" t="str">
        <f t="array" ref="R799">IF($Q799, INDEX('Run Reconcile'!A$2:A1399,MATCH(B799,'Run Reconcile'!B$2:B1399,0),1),IFERROR(0/0,""))</f>
        <v>RUN-ABRM_2023-01-25_RFR-143</v>
      </c>
      <c r="S799" s="315" t="str">
        <f t="shared" ref="S799:T799" si="1603">IF(COUNTIF(W$2:W1399, $A799) &gt; 0,TRUE,IFERROR(0/0,""))</f>
        <v/>
      </c>
      <c r="T799" s="315" t="str">
        <f t="shared" si="1603"/>
        <v/>
      </c>
      <c r="U799" s="114" t="str">
        <f t="array" ref="U799">IF(ISBLANK($R799), INDEX('Run Reconcile'!A$2:A1399, MATCH($B799, 'Run Reconcile'!B$2:B1399, 0)+Z799, 1), IFERROR(0/0,""))
</f>
        <v/>
      </c>
      <c r="V799" s="316" t="str">
        <f t="shared" si="1281"/>
        <v>RUN-ABRM_2023-01-25_RFR-143</v>
      </c>
      <c r="Y799" s="317" t="str">
        <f t="shared" si="6"/>
        <v/>
      </c>
      <c r="Z799" s="83" t="str">
        <f t="shared" si="7"/>
        <v/>
      </c>
      <c r="AA799" s="83" t="str">
        <f t="shared" si="8"/>
        <v/>
      </c>
      <c r="AB799" s="83" t="str">
        <f t="shared" si="9"/>
        <v/>
      </c>
      <c r="AC799" s="18" t="str">
        <f t="shared" ref="AC799:AD799" si="1604">IF(_xlfn.ISFORMULA(S799),IFERROR(0/0,""),TRUE)</f>
        <v/>
      </c>
      <c r="AD799" s="18" t="str">
        <f t="shared" si="1604"/>
        <v/>
      </c>
      <c r="AE799" s="43"/>
      <c r="AF799" s="58" t="s">
        <v>126</v>
      </c>
      <c r="AG799" s="55" t="str">
        <f t="shared" si="11"/>
        <v/>
      </c>
    </row>
    <row r="800">
      <c r="A800" s="7" t="str">
        <f>IFERROR(__xludf.DUMMYFUNCTION("""COMPUTED_VALUE"""),"AG913")</f>
        <v>AG913</v>
      </c>
      <c r="B800" s="308">
        <f>IFERROR(__xludf.DUMMYFUNCTION("""COMPUTED_VALUE"""),44951.0)</f>
        <v>44951</v>
      </c>
      <c r="C800" s="309">
        <f>IFERROR(__xludf.DUMMYFUNCTION("""COMPUTED_VALUE"""),0.2941550925925926)</f>
        <v>0.2941550926</v>
      </c>
      <c r="D800" s="7" t="str">
        <f>IFERROR(__xludf.DUMMYFUNCTION("""COMPUTED_VALUE"""),"SpABRM655136")</f>
        <v>SpABRM655136</v>
      </c>
      <c r="E800" s="310"/>
      <c r="F800" s="310"/>
      <c r="G800" s="310" t="str">
        <f>IFERROR(__xludf.DUMMYFUNCTION("""COMPUTED_VALUE"""),"Negative")</f>
        <v>Negative</v>
      </c>
      <c r="H800" s="319" t="str">
        <f>IFERROR(__xludf.DUMMYFUNCTION("""COMPUTED_VALUE"""),"Negative")</f>
        <v>Negative</v>
      </c>
      <c r="I800" s="308">
        <f>IFERROR(__xludf.DUMMYFUNCTION("""COMPUTED_VALUE"""),44951.0)</f>
        <v>44951</v>
      </c>
      <c r="J800" s="311">
        <f>IFERROR(__xludf.DUMMYFUNCTION("""COMPUTED_VALUE"""),0.40304398148148146)</f>
        <v>0.4030439815</v>
      </c>
      <c r="K800" s="54"/>
      <c r="L800" s="7"/>
      <c r="M800" s="312"/>
      <c r="N800" s="172">
        <f>IFERROR(__xludf.DUMMYFUNCTION("""COMPUTED_VALUE"""),2.0)</f>
        <v>2</v>
      </c>
      <c r="O800" s="172"/>
      <c r="P800" s="313">
        <f>IFERROR(__xludf.DUMMYFUNCTION("""COMPUTED_VALUE"""),0.0)</f>
        <v>0</v>
      </c>
      <c r="Q800" s="76" t="b">
        <f>VLOOKUP($B800,'Run Reconcile'!B$2:O1399,14,FALSE)</f>
        <v>1</v>
      </c>
      <c r="R800" s="314" t="str">
        <f t="array" ref="R800">IF($Q800, INDEX('Run Reconcile'!A$2:A1399,MATCH(B800,'Run Reconcile'!B$2:B1399,0),1),IFERROR(0/0,""))</f>
        <v>RUN-ABRM_2023-01-25_RFR-143</v>
      </c>
      <c r="S800" s="315" t="str">
        <f t="shared" ref="S800:T800" si="1605">IF(COUNTIF(W$2:W1399, $A800) &gt; 0,TRUE,IFERROR(0/0,""))</f>
        <v/>
      </c>
      <c r="T800" s="315" t="str">
        <f t="shared" si="1605"/>
        <v/>
      </c>
      <c r="U800" s="114" t="str">
        <f t="array" ref="U800">IF(ISBLANK($R800), INDEX('Run Reconcile'!A$2:A1399, MATCH($B800, 'Run Reconcile'!B$2:B1399, 0)+Z800, 1), IFERROR(0/0,""))
</f>
        <v/>
      </c>
      <c r="V800" s="316" t="str">
        <f t="shared" si="1281"/>
        <v>RUN-ABRM_2023-01-25_RFR-143</v>
      </c>
      <c r="Y800" s="317" t="str">
        <f t="shared" si="6"/>
        <v/>
      </c>
      <c r="Z800" s="83" t="str">
        <f t="shared" si="7"/>
        <v/>
      </c>
      <c r="AA800" s="83" t="str">
        <f t="shared" si="8"/>
        <v/>
      </c>
      <c r="AB800" s="83" t="str">
        <f t="shared" si="9"/>
        <v/>
      </c>
      <c r="AC800" s="18" t="str">
        <f t="shared" ref="AC800:AD800" si="1606">IF(_xlfn.ISFORMULA(S800),IFERROR(0/0,""),TRUE)</f>
        <v/>
      </c>
      <c r="AD800" s="18" t="str">
        <f t="shared" si="1606"/>
        <v/>
      </c>
      <c r="AE800" s="43"/>
      <c r="AF800" s="58" t="s">
        <v>126</v>
      </c>
      <c r="AG800" s="55" t="str">
        <f t="shared" si="11"/>
        <v/>
      </c>
    </row>
    <row r="801">
      <c r="A801" s="7" t="str">
        <f>IFERROR(__xludf.DUMMYFUNCTION("""COMPUTED_VALUE"""),"AH8558")</f>
        <v>AH8558</v>
      </c>
      <c r="B801" s="308">
        <f>IFERROR(__xludf.DUMMYFUNCTION("""COMPUTED_VALUE"""),44951.0)</f>
        <v>44951</v>
      </c>
      <c r="C801" s="309">
        <f>IFERROR(__xludf.DUMMYFUNCTION("""COMPUTED_VALUE"""),0.29452546296296295)</f>
        <v>0.294525463</v>
      </c>
      <c r="D801" s="7" t="str">
        <f>IFERROR(__xludf.DUMMYFUNCTION("""COMPUTED_VALUE"""),"SpABRM655136")</f>
        <v>SpABRM655136</v>
      </c>
      <c r="E801" s="310"/>
      <c r="F801" s="310"/>
      <c r="G801" s="310" t="str">
        <f>IFERROR(__xludf.DUMMYFUNCTION("""COMPUTED_VALUE"""),"Negative")</f>
        <v>Negative</v>
      </c>
      <c r="H801" s="319" t="str">
        <f>IFERROR(__xludf.DUMMYFUNCTION("""COMPUTED_VALUE"""),"Negative")</f>
        <v>Negative</v>
      </c>
      <c r="I801" s="308">
        <f>IFERROR(__xludf.DUMMYFUNCTION("""COMPUTED_VALUE"""),44952.0)</f>
        <v>44952</v>
      </c>
      <c r="J801" s="311">
        <f>IFERROR(__xludf.DUMMYFUNCTION("""COMPUTED_VALUE"""),0.4026851851851852)</f>
        <v>0.4026851852</v>
      </c>
      <c r="K801" s="54"/>
      <c r="L801" s="7"/>
      <c r="M801" s="312"/>
      <c r="N801" s="172">
        <f>IFERROR(__xludf.DUMMYFUNCTION("""COMPUTED_VALUE"""),1.0)</f>
        <v>1</v>
      </c>
      <c r="O801" s="172"/>
      <c r="P801" s="313">
        <f>IFERROR(__xludf.DUMMYFUNCTION("""COMPUTED_VALUE"""),1.0)</f>
        <v>1</v>
      </c>
      <c r="Q801" s="76" t="b">
        <f>VLOOKUP($B801,'Run Reconcile'!B$2:O1399,14,FALSE)</f>
        <v>1</v>
      </c>
      <c r="R801" s="314" t="str">
        <f t="array" ref="R801">IF($Q801, INDEX('Run Reconcile'!A$2:A1399,MATCH(B801,'Run Reconcile'!B$2:B1399,0),1),IFERROR(0/0,""))</f>
        <v>RUN-ABRM_2023-01-25_RFR-143</v>
      </c>
      <c r="S801" s="315" t="str">
        <f t="shared" ref="S801:T801" si="1607">IF(COUNTIF(W$2:W1399, $A801) &gt; 0,TRUE,IFERROR(0/0,""))</f>
        <v/>
      </c>
      <c r="T801" s="315" t="str">
        <f t="shared" si="1607"/>
        <v/>
      </c>
      <c r="U801" s="114" t="str">
        <f t="array" ref="U801">IF(ISBLANK($R801), INDEX('Run Reconcile'!A$2:A1399, MATCH($B801, 'Run Reconcile'!B$2:B1399, 0)+Z801, 1), IFERROR(0/0,""))
</f>
        <v/>
      </c>
      <c r="V801" s="316" t="str">
        <f t="shared" si="1281"/>
        <v>RUN-ABRM_2023-01-25_RFR-143</v>
      </c>
      <c r="Y801" s="317" t="str">
        <f t="shared" si="6"/>
        <v/>
      </c>
      <c r="Z801" s="83" t="str">
        <f t="shared" si="7"/>
        <v/>
      </c>
      <c r="AA801" s="83" t="str">
        <f t="shared" si="8"/>
        <v/>
      </c>
      <c r="AB801" s="83" t="str">
        <f t="shared" si="9"/>
        <v/>
      </c>
      <c r="AC801" s="18" t="str">
        <f t="shared" ref="AC801:AD801" si="1608">IF(_xlfn.ISFORMULA(S801),IFERROR(0/0,""),TRUE)</f>
        <v/>
      </c>
      <c r="AD801" s="18" t="str">
        <f t="shared" si="1608"/>
        <v/>
      </c>
      <c r="AE801" s="43"/>
      <c r="AF801" s="58" t="s">
        <v>126</v>
      </c>
      <c r="AG801" s="55" t="str">
        <f t="shared" si="11"/>
        <v/>
      </c>
    </row>
    <row r="802">
      <c r="A802" s="7" t="str">
        <f>IFERROR(__xludf.DUMMYFUNCTION("""COMPUTED_VALUE"""),"AG220")</f>
        <v>AG220</v>
      </c>
      <c r="B802" s="308">
        <f>IFERROR(__xludf.DUMMYFUNCTION("""COMPUTED_VALUE"""),44951.0)</f>
        <v>44951</v>
      </c>
      <c r="C802" s="309">
        <f>IFERROR(__xludf.DUMMYFUNCTION("""COMPUTED_VALUE"""),0.3174652777777778)</f>
        <v>0.3174652778</v>
      </c>
      <c r="D802" s="7" t="str">
        <f>IFERROR(__xludf.DUMMYFUNCTION("""COMPUTED_VALUE"""),"SpABRM655136")</f>
        <v>SpABRM655136</v>
      </c>
      <c r="E802" s="310"/>
      <c r="F802" s="310"/>
      <c r="G802" s="310" t="str">
        <f>IFERROR(__xludf.DUMMYFUNCTION("""COMPUTED_VALUE"""),"Negative")</f>
        <v>Negative</v>
      </c>
      <c r="H802" s="319" t="str">
        <f>IFERROR(__xludf.DUMMYFUNCTION("""COMPUTED_VALUE"""),"Negative")</f>
        <v>Negative</v>
      </c>
      <c r="I802" s="308">
        <f>IFERROR(__xludf.DUMMYFUNCTION("""COMPUTED_VALUE"""),44951.0)</f>
        <v>44951</v>
      </c>
      <c r="J802" s="311">
        <f>IFERROR(__xludf.DUMMYFUNCTION("""COMPUTED_VALUE"""),0.40304398148148146)</f>
        <v>0.4030439815</v>
      </c>
      <c r="K802" s="54"/>
      <c r="L802" s="7"/>
      <c r="M802" s="312"/>
      <c r="N802" s="172">
        <f>IFERROR(__xludf.DUMMYFUNCTION("""COMPUTED_VALUE"""),1.0)</f>
        <v>1</v>
      </c>
      <c r="O802" s="172"/>
      <c r="P802" s="313">
        <f>IFERROR(__xludf.DUMMYFUNCTION("""COMPUTED_VALUE"""),0.0)</f>
        <v>0</v>
      </c>
      <c r="Q802" s="76" t="b">
        <f>VLOOKUP($B802,'Run Reconcile'!B$2:O1399,14,FALSE)</f>
        <v>1</v>
      </c>
      <c r="R802" s="314" t="str">
        <f t="array" ref="R802">IF($Q802, INDEX('Run Reconcile'!A$2:A1399,MATCH(B802,'Run Reconcile'!B$2:B1399,0),1),IFERROR(0/0,""))</f>
        <v>RUN-ABRM_2023-01-25_RFR-143</v>
      </c>
      <c r="S802" s="315" t="str">
        <f t="shared" ref="S802:T802" si="1609">IF(COUNTIF(W$2:W1399, $A802) &gt; 0,TRUE,IFERROR(0/0,""))</f>
        <v/>
      </c>
      <c r="T802" s="315" t="str">
        <f t="shared" si="1609"/>
        <v/>
      </c>
      <c r="U802" s="114" t="str">
        <f t="array" ref="U802">IF(ISBLANK($R802), INDEX('Run Reconcile'!A$2:A1399, MATCH($B802, 'Run Reconcile'!B$2:B1399, 0)+Z802, 1), IFERROR(0/0,""))
</f>
        <v/>
      </c>
      <c r="V802" s="316" t="str">
        <f t="shared" si="1281"/>
        <v>RUN-ABRM_2023-01-25_RFR-143</v>
      </c>
      <c r="Y802" s="317" t="str">
        <f t="shared" si="6"/>
        <v/>
      </c>
      <c r="Z802" s="83" t="str">
        <f t="shared" si="7"/>
        <v/>
      </c>
      <c r="AA802" s="83" t="str">
        <f t="shared" si="8"/>
        <v/>
      </c>
      <c r="AB802" s="83" t="str">
        <f t="shared" si="9"/>
        <v/>
      </c>
      <c r="AC802" s="18" t="str">
        <f t="shared" ref="AC802:AD802" si="1610">IF(_xlfn.ISFORMULA(S802),IFERROR(0/0,""),TRUE)</f>
        <v/>
      </c>
      <c r="AD802" s="18" t="str">
        <f t="shared" si="1610"/>
        <v/>
      </c>
      <c r="AE802" s="43"/>
      <c r="AF802" s="58" t="s">
        <v>126</v>
      </c>
      <c r="AG802" s="55" t="str">
        <f t="shared" si="11"/>
        <v/>
      </c>
    </row>
    <row r="803">
      <c r="A803" s="7" t="str">
        <f>IFERROR(__xludf.DUMMYFUNCTION("""COMPUTED_VALUE"""),"AJ8900")</f>
        <v>AJ8900</v>
      </c>
      <c r="B803" s="308">
        <f>IFERROR(__xludf.DUMMYFUNCTION("""COMPUTED_VALUE"""),44951.0)</f>
        <v>44951</v>
      </c>
      <c r="C803" s="309">
        <f>IFERROR(__xludf.DUMMYFUNCTION("""COMPUTED_VALUE"""),0.342349537037037)</f>
        <v>0.342349537</v>
      </c>
      <c r="D803" s="7" t="str">
        <f>IFERROR(__xludf.DUMMYFUNCTION("""COMPUTED_VALUE"""),"SpABRM655136")</f>
        <v>SpABRM655136</v>
      </c>
      <c r="E803" s="310"/>
      <c r="F803" s="310"/>
      <c r="G803" s="310" t="str">
        <f>IFERROR(__xludf.DUMMYFUNCTION("""COMPUTED_VALUE"""),"Negative")</f>
        <v>Negative</v>
      </c>
      <c r="H803" s="319" t="str">
        <f>IFERROR(__xludf.DUMMYFUNCTION("""COMPUTED_VALUE"""),"Negative")</f>
        <v>Negative</v>
      </c>
      <c r="I803" s="308">
        <f>IFERROR(__xludf.DUMMYFUNCTION("""COMPUTED_VALUE"""),44951.0)</f>
        <v>44951</v>
      </c>
      <c r="J803" s="311">
        <f>IFERROR(__xludf.DUMMYFUNCTION("""COMPUTED_VALUE"""),0.40305555555555556)</f>
        <v>0.4030555556</v>
      </c>
      <c r="K803" s="54"/>
      <c r="L803" s="7"/>
      <c r="M803" s="312"/>
      <c r="N803" s="172">
        <f>IFERROR(__xludf.DUMMYFUNCTION("""COMPUTED_VALUE"""),3.0)</f>
        <v>3</v>
      </c>
      <c r="O803" s="172"/>
      <c r="P803" s="313">
        <f>IFERROR(__xludf.DUMMYFUNCTION("""COMPUTED_VALUE"""),0.0)</f>
        <v>0</v>
      </c>
      <c r="Q803" s="76" t="b">
        <f>VLOOKUP($B803,'Run Reconcile'!B$2:O1399,14,FALSE)</f>
        <v>1</v>
      </c>
      <c r="R803" s="314" t="str">
        <f t="array" ref="R803">IF($Q803, INDEX('Run Reconcile'!A$2:A1399,MATCH(B803,'Run Reconcile'!B$2:B1399,0),1),IFERROR(0/0,""))</f>
        <v>RUN-ABRM_2023-01-25_RFR-143</v>
      </c>
      <c r="S803" s="315" t="str">
        <f t="shared" ref="S803:T803" si="1611">IF(COUNTIF(W$2:W1399, $A803) &gt; 0,TRUE,IFERROR(0/0,""))</f>
        <v/>
      </c>
      <c r="T803" s="315" t="str">
        <f t="shared" si="1611"/>
        <v/>
      </c>
      <c r="U803" s="114" t="str">
        <f t="array" ref="U803">IF(ISBLANK($R803), INDEX('Run Reconcile'!A$2:A1399, MATCH($B803, 'Run Reconcile'!B$2:B1399, 0)+Z803, 1), IFERROR(0/0,""))
</f>
        <v/>
      </c>
      <c r="V803" s="316" t="str">
        <f t="shared" si="1281"/>
        <v>RUN-ABRM_2023-01-25_RFR-143</v>
      </c>
      <c r="Y803" s="317" t="str">
        <f t="shared" si="6"/>
        <v/>
      </c>
      <c r="Z803" s="83" t="str">
        <f t="shared" si="7"/>
        <v/>
      </c>
      <c r="AA803" s="83" t="str">
        <f t="shared" si="8"/>
        <v/>
      </c>
      <c r="AB803" s="83" t="str">
        <f t="shared" si="9"/>
        <v/>
      </c>
      <c r="AC803" s="18" t="str">
        <f t="shared" ref="AC803:AD803" si="1612">IF(_xlfn.ISFORMULA(S803),IFERROR(0/0,""),TRUE)</f>
        <v/>
      </c>
      <c r="AD803" s="18" t="str">
        <f t="shared" si="1612"/>
        <v/>
      </c>
      <c r="AE803" s="43"/>
      <c r="AF803" s="58" t="s">
        <v>126</v>
      </c>
      <c r="AG803" s="55" t="str">
        <f t="shared" si="11"/>
        <v/>
      </c>
    </row>
    <row r="804">
      <c r="A804" s="7" t="str">
        <f>IFERROR(__xludf.DUMMYFUNCTION("""COMPUTED_VALUE"""),"AH7428")</f>
        <v>AH7428</v>
      </c>
      <c r="B804" s="308">
        <f>IFERROR(__xludf.DUMMYFUNCTION("""COMPUTED_VALUE"""),44952.0)</f>
        <v>44952</v>
      </c>
      <c r="C804" s="309">
        <f>IFERROR(__xludf.DUMMYFUNCTION("""COMPUTED_VALUE"""),0.25219907407407405)</f>
        <v>0.2521990741</v>
      </c>
      <c r="D804" s="7" t="str">
        <f>IFERROR(__xludf.DUMMYFUNCTION("""COMPUTED_VALUE"""),"SpABRM128250")</f>
        <v>SpABRM128250</v>
      </c>
      <c r="E804" s="310"/>
      <c r="F804" s="310"/>
      <c r="G804" s="310" t="str">
        <f>IFERROR(__xludf.DUMMYFUNCTION("""COMPUTED_VALUE"""),"Negative")</f>
        <v>Negative</v>
      </c>
      <c r="H804" s="319" t="str">
        <f>IFERROR(__xludf.DUMMYFUNCTION("""COMPUTED_VALUE"""),"Negative")</f>
        <v>Negative</v>
      </c>
      <c r="I804" s="308">
        <f>IFERROR(__xludf.DUMMYFUNCTION("""COMPUTED_VALUE"""),44952.0)</f>
        <v>44952</v>
      </c>
      <c r="J804" s="311">
        <f>IFERROR(__xludf.DUMMYFUNCTION("""COMPUTED_VALUE"""),0.4272916666666667)</f>
        <v>0.4272916667</v>
      </c>
      <c r="K804" s="54"/>
      <c r="L804" s="7"/>
      <c r="M804" s="312"/>
      <c r="N804" s="172">
        <f>IFERROR(__xludf.DUMMYFUNCTION("""COMPUTED_VALUE"""),3.0)</f>
        <v>3</v>
      </c>
      <c r="O804" s="172"/>
      <c r="P804" s="313">
        <f>IFERROR(__xludf.DUMMYFUNCTION("""COMPUTED_VALUE"""),0.0)</f>
        <v>0</v>
      </c>
      <c r="Q804" s="76" t="b">
        <f>VLOOKUP($B804,'Run Reconcile'!B$2:O1399,14,FALSE)</f>
        <v>1</v>
      </c>
      <c r="R804" s="314" t="str">
        <f t="array" ref="R804">IF($Q804, INDEX('Run Reconcile'!A$2:A1399,MATCH(B804,'Run Reconcile'!B$2:B1399,0),1),IFERROR(0/0,""))</f>
        <v>RUN-ABRM_2023-01-26_RFR-145</v>
      </c>
      <c r="S804" s="315" t="str">
        <f t="shared" ref="S804:T804" si="1613">IF(COUNTIF(W$2:W1399, $A804) &gt; 0,TRUE,IFERROR(0/0,""))</f>
        <v/>
      </c>
      <c r="T804" s="315" t="str">
        <f t="shared" si="1613"/>
        <v/>
      </c>
      <c r="U804" s="114" t="str">
        <f t="array" ref="U804">IF(ISBLANK($R804), INDEX('Run Reconcile'!A$2:A1399, MATCH($B804, 'Run Reconcile'!B$2:B1399, 0)+Z804, 1), IFERROR(0/0,""))
</f>
        <v/>
      </c>
      <c r="V804" s="316" t="str">
        <f t="shared" si="1281"/>
        <v>RUN-ABRM_2023-01-26_RFR-145</v>
      </c>
      <c r="Y804" s="317" t="str">
        <f t="shared" si="6"/>
        <v/>
      </c>
      <c r="Z804" s="83" t="str">
        <f t="shared" si="7"/>
        <v/>
      </c>
      <c r="AA804" s="83" t="str">
        <f t="shared" si="8"/>
        <v/>
      </c>
      <c r="AB804" s="83" t="str">
        <f t="shared" si="9"/>
        <v/>
      </c>
      <c r="AC804" s="18" t="str">
        <f t="shared" ref="AC804:AD804" si="1614">IF(_xlfn.ISFORMULA(S804),IFERROR(0/0,""),TRUE)</f>
        <v/>
      </c>
      <c r="AD804" s="18" t="str">
        <f t="shared" si="1614"/>
        <v/>
      </c>
      <c r="AE804" s="43"/>
      <c r="AF804" s="58" t="s">
        <v>127</v>
      </c>
      <c r="AG804" s="55" t="str">
        <f t="shared" si="11"/>
        <v/>
      </c>
    </row>
    <row r="805">
      <c r="A805" s="7" t="str">
        <f>IFERROR(__xludf.DUMMYFUNCTION("""COMPUTED_VALUE"""),"AJ8045")</f>
        <v>AJ8045</v>
      </c>
      <c r="B805" s="308">
        <f>IFERROR(__xludf.DUMMYFUNCTION("""COMPUTED_VALUE"""),44952.0)</f>
        <v>44952</v>
      </c>
      <c r="C805" s="309">
        <f>IFERROR(__xludf.DUMMYFUNCTION("""COMPUTED_VALUE"""),0.30212962962962964)</f>
        <v>0.3021296296</v>
      </c>
      <c r="D805" s="7" t="str">
        <f>IFERROR(__xludf.DUMMYFUNCTION("""COMPUTED_VALUE"""),"SpABRM367540")</f>
        <v>SpABRM367540</v>
      </c>
      <c r="E805" s="310"/>
      <c r="F805" s="310"/>
      <c r="G805" s="310" t="str">
        <f>IFERROR(__xludf.DUMMYFUNCTION("""COMPUTED_VALUE"""),"Negative")</f>
        <v>Negative</v>
      </c>
      <c r="H805" s="319" t="str">
        <f>IFERROR(__xludf.DUMMYFUNCTION("""COMPUTED_VALUE"""),"Negative")</f>
        <v>Negative</v>
      </c>
      <c r="I805" s="308">
        <f>IFERROR(__xludf.DUMMYFUNCTION("""COMPUTED_VALUE"""),44952.0)</f>
        <v>44952</v>
      </c>
      <c r="J805" s="311">
        <f>IFERROR(__xludf.DUMMYFUNCTION("""COMPUTED_VALUE"""),0.40324074074074073)</f>
        <v>0.4032407407</v>
      </c>
      <c r="K805" s="54"/>
      <c r="L805" s="7"/>
      <c r="M805" s="312"/>
      <c r="N805" s="172">
        <f>IFERROR(__xludf.DUMMYFUNCTION("""COMPUTED_VALUE"""),3.0)</f>
        <v>3</v>
      </c>
      <c r="O805" s="172"/>
      <c r="P805" s="313">
        <f>IFERROR(__xludf.DUMMYFUNCTION("""COMPUTED_VALUE"""),0.0)</f>
        <v>0</v>
      </c>
      <c r="Q805" s="76" t="b">
        <f>VLOOKUP($B805,'Run Reconcile'!B$2:O1399,14,FALSE)</f>
        <v>1</v>
      </c>
      <c r="R805" s="314" t="str">
        <f t="array" ref="R805">IF($Q805, INDEX('Run Reconcile'!A$2:A1399,MATCH(B805,'Run Reconcile'!B$2:B1399,0),1),IFERROR(0/0,""))</f>
        <v>RUN-ABRM_2023-01-26_RFR-145</v>
      </c>
      <c r="S805" s="315" t="str">
        <f t="shared" ref="S805:T805" si="1615">IF(COUNTIF(W$2:W1399, $A805) &gt; 0,TRUE,IFERROR(0/0,""))</f>
        <v/>
      </c>
      <c r="T805" s="315" t="str">
        <f t="shared" si="1615"/>
        <v/>
      </c>
      <c r="U805" s="114" t="str">
        <f t="array" ref="U805">IF(ISBLANK($R805), INDEX('Run Reconcile'!A$2:A1399, MATCH($B805, 'Run Reconcile'!B$2:B1399, 0)+Z805, 1), IFERROR(0/0,""))
</f>
        <v/>
      </c>
      <c r="V805" s="316" t="str">
        <f t="shared" si="1281"/>
        <v>RUN-ABRM_2023-01-26_RFR-145</v>
      </c>
      <c r="Y805" s="317" t="str">
        <f t="shared" si="6"/>
        <v/>
      </c>
      <c r="Z805" s="83" t="str">
        <f t="shared" si="7"/>
        <v/>
      </c>
      <c r="AA805" s="83" t="str">
        <f t="shared" si="8"/>
        <v/>
      </c>
      <c r="AB805" s="83" t="str">
        <f t="shared" si="9"/>
        <v/>
      </c>
      <c r="AC805" s="18" t="str">
        <f t="shared" ref="AC805:AD805" si="1616">IF(_xlfn.ISFORMULA(S805),IFERROR(0/0,""),TRUE)</f>
        <v/>
      </c>
      <c r="AD805" s="18" t="str">
        <f t="shared" si="1616"/>
        <v/>
      </c>
      <c r="AE805" s="43"/>
      <c r="AF805" s="58" t="s">
        <v>127</v>
      </c>
      <c r="AG805" s="55" t="str">
        <f t="shared" si="11"/>
        <v/>
      </c>
    </row>
    <row r="806">
      <c r="A806" s="7" t="str">
        <f>IFERROR(__xludf.DUMMYFUNCTION("""COMPUTED_VALUE"""),"AK9953")</f>
        <v>AK9953</v>
      </c>
      <c r="B806" s="308">
        <f>IFERROR(__xludf.DUMMYFUNCTION("""COMPUTED_VALUE"""),44952.0)</f>
        <v>44952</v>
      </c>
      <c r="C806" s="309">
        <f>IFERROR(__xludf.DUMMYFUNCTION("""COMPUTED_VALUE"""),0.32425925925925925)</f>
        <v>0.3242592593</v>
      </c>
      <c r="D806" s="7" t="str">
        <f>IFERROR(__xludf.DUMMYFUNCTION("""COMPUTED_VALUE"""),"SpABRM297307")</f>
        <v>SpABRM297307</v>
      </c>
      <c r="E806" s="310"/>
      <c r="F806" s="310"/>
      <c r="G806" s="310" t="str">
        <f>IFERROR(__xludf.DUMMYFUNCTION("""COMPUTED_VALUE"""),"Negative")</f>
        <v>Negative</v>
      </c>
      <c r="H806" s="319" t="str">
        <f>IFERROR(__xludf.DUMMYFUNCTION("""COMPUTED_VALUE"""),"Negative")</f>
        <v>Negative</v>
      </c>
      <c r="I806" s="308">
        <f>IFERROR(__xludf.DUMMYFUNCTION("""COMPUTED_VALUE"""),44952.0)</f>
        <v>44952</v>
      </c>
      <c r="J806" s="311">
        <f>IFERROR(__xludf.DUMMYFUNCTION("""COMPUTED_VALUE"""),0.4273032407407407)</f>
        <v>0.4273032407</v>
      </c>
      <c r="K806" s="54"/>
      <c r="L806" s="7"/>
      <c r="M806" s="312"/>
      <c r="N806" s="172">
        <f>IFERROR(__xludf.DUMMYFUNCTION("""COMPUTED_VALUE"""),4.0)</f>
        <v>4</v>
      </c>
      <c r="O806" s="172"/>
      <c r="P806" s="313">
        <f>IFERROR(__xludf.DUMMYFUNCTION("""COMPUTED_VALUE"""),0.0)</f>
        <v>0</v>
      </c>
      <c r="Q806" s="76" t="b">
        <f>VLOOKUP($B806,'Run Reconcile'!B$2:O1399,14,FALSE)</f>
        <v>1</v>
      </c>
      <c r="R806" s="314" t="str">
        <f t="array" ref="R806">IF($Q806, INDEX('Run Reconcile'!A$2:A1399,MATCH(B806,'Run Reconcile'!B$2:B1399,0),1),IFERROR(0/0,""))</f>
        <v>RUN-ABRM_2023-01-26_RFR-145</v>
      </c>
      <c r="S806" s="315" t="str">
        <f t="shared" ref="S806:T806" si="1617">IF(COUNTIF(W$2:W1399, $A806) &gt; 0,TRUE,IFERROR(0/0,""))</f>
        <v/>
      </c>
      <c r="T806" s="315" t="str">
        <f t="shared" si="1617"/>
        <v/>
      </c>
      <c r="U806" s="114" t="str">
        <f t="array" ref="U806">IF(ISBLANK($R806), INDEX('Run Reconcile'!A$2:A1399, MATCH($B806, 'Run Reconcile'!B$2:B1399, 0)+Z806, 1), IFERROR(0/0,""))
</f>
        <v/>
      </c>
      <c r="V806" s="316" t="str">
        <f t="shared" si="1281"/>
        <v>RUN-ABRM_2023-01-26_RFR-145</v>
      </c>
      <c r="Y806" s="317" t="str">
        <f t="shared" si="6"/>
        <v/>
      </c>
      <c r="Z806" s="83" t="str">
        <f t="shared" si="7"/>
        <v/>
      </c>
      <c r="AA806" s="83" t="str">
        <f t="shared" si="8"/>
        <v/>
      </c>
      <c r="AB806" s="83" t="str">
        <f t="shared" si="9"/>
        <v/>
      </c>
      <c r="AC806" s="18" t="str">
        <f t="shared" ref="AC806:AD806" si="1618">IF(_xlfn.ISFORMULA(S806),IFERROR(0/0,""),TRUE)</f>
        <v/>
      </c>
      <c r="AD806" s="18" t="str">
        <f t="shared" si="1618"/>
        <v/>
      </c>
      <c r="AE806" s="43"/>
      <c r="AF806" s="58" t="s">
        <v>127</v>
      </c>
      <c r="AG806" s="55" t="str">
        <f t="shared" si="11"/>
        <v/>
      </c>
    </row>
    <row r="807">
      <c r="A807" s="7" t="str">
        <f>IFERROR(__xludf.DUMMYFUNCTION("""COMPUTED_VALUE"""),"AJ9358")</f>
        <v>AJ9358</v>
      </c>
      <c r="B807" s="308">
        <f>IFERROR(__xludf.DUMMYFUNCTION("""COMPUTED_VALUE"""),44952.0)</f>
        <v>44952</v>
      </c>
      <c r="C807" s="309">
        <f>IFERROR(__xludf.DUMMYFUNCTION("""COMPUTED_VALUE"""),0.329375)</f>
        <v>0.329375</v>
      </c>
      <c r="D807" s="7" t="str">
        <f>IFERROR(__xludf.DUMMYFUNCTION("""COMPUTED_VALUE"""),"SpABRM655136")</f>
        <v>SpABRM655136</v>
      </c>
      <c r="E807" s="310"/>
      <c r="F807" s="310"/>
      <c r="G807" s="310" t="str">
        <f>IFERROR(__xludf.DUMMYFUNCTION("""COMPUTED_VALUE"""),"Negative")</f>
        <v>Negative</v>
      </c>
      <c r="H807" s="319" t="str">
        <f>IFERROR(__xludf.DUMMYFUNCTION("""COMPUTED_VALUE"""),"Negative")</f>
        <v>Negative</v>
      </c>
      <c r="I807" s="308">
        <f>IFERROR(__xludf.DUMMYFUNCTION("""COMPUTED_VALUE"""),44952.0)</f>
        <v>44952</v>
      </c>
      <c r="J807" s="311">
        <f>IFERROR(__xludf.DUMMYFUNCTION("""COMPUTED_VALUE"""),0.4032523148148148)</f>
        <v>0.4032523148</v>
      </c>
      <c r="K807" s="54"/>
      <c r="L807" s="7"/>
      <c r="M807" s="312"/>
      <c r="N807" s="172">
        <f>IFERROR(__xludf.DUMMYFUNCTION("""COMPUTED_VALUE"""),2.0)</f>
        <v>2</v>
      </c>
      <c r="O807" s="172"/>
      <c r="P807" s="313">
        <f>IFERROR(__xludf.DUMMYFUNCTION("""COMPUTED_VALUE"""),0.0)</f>
        <v>0</v>
      </c>
      <c r="Q807" s="76" t="b">
        <f>VLOOKUP($B807,'Run Reconcile'!B$2:O1399,14,FALSE)</f>
        <v>1</v>
      </c>
      <c r="R807" s="314" t="str">
        <f t="array" ref="R807">IF($Q807, INDEX('Run Reconcile'!A$2:A1399,MATCH(B807,'Run Reconcile'!B$2:B1399,0),1),IFERROR(0/0,""))</f>
        <v>RUN-ABRM_2023-01-26_RFR-145</v>
      </c>
      <c r="S807" s="315" t="str">
        <f t="shared" ref="S807:T807" si="1619">IF(COUNTIF(W$2:W1399, $A807) &gt; 0,TRUE,IFERROR(0/0,""))</f>
        <v/>
      </c>
      <c r="T807" s="315" t="str">
        <f t="shared" si="1619"/>
        <v/>
      </c>
      <c r="U807" s="114" t="str">
        <f t="array" ref="U807">IF(ISBLANK($R807), INDEX('Run Reconcile'!A$2:A1399, MATCH($B807, 'Run Reconcile'!B$2:B1399, 0)+Z807, 1), IFERROR(0/0,""))
</f>
        <v/>
      </c>
      <c r="V807" s="316" t="str">
        <f t="shared" si="1281"/>
        <v>RUN-ABRM_2023-01-26_RFR-145</v>
      </c>
      <c r="Y807" s="317" t="str">
        <f t="shared" si="6"/>
        <v/>
      </c>
      <c r="Z807" s="83" t="str">
        <f t="shared" si="7"/>
        <v/>
      </c>
      <c r="AA807" s="83" t="str">
        <f t="shared" si="8"/>
        <v/>
      </c>
      <c r="AB807" s="83" t="str">
        <f t="shared" si="9"/>
        <v/>
      </c>
      <c r="AC807" s="18" t="str">
        <f t="shared" ref="AC807:AD807" si="1620">IF(_xlfn.ISFORMULA(S807),IFERROR(0/0,""),TRUE)</f>
        <v/>
      </c>
      <c r="AD807" s="18" t="str">
        <f t="shared" si="1620"/>
        <v/>
      </c>
      <c r="AE807" s="43"/>
      <c r="AF807" s="58" t="s">
        <v>127</v>
      </c>
      <c r="AG807" s="55" t="str">
        <f t="shared" si="11"/>
        <v/>
      </c>
    </row>
    <row r="808">
      <c r="A808" s="7" t="str">
        <f>IFERROR(__xludf.DUMMYFUNCTION("""COMPUTED_VALUE"""),"AH9155")</f>
        <v>AH9155</v>
      </c>
      <c r="B808" s="308">
        <f>IFERROR(__xludf.DUMMYFUNCTION("""COMPUTED_VALUE"""),44952.0)</f>
        <v>44952</v>
      </c>
      <c r="C808" s="309">
        <f>IFERROR(__xludf.DUMMYFUNCTION("""COMPUTED_VALUE"""),0.33012731481481483)</f>
        <v>0.3301273148</v>
      </c>
      <c r="D808" s="7" t="str">
        <f>IFERROR(__xludf.DUMMYFUNCTION("""COMPUTED_VALUE"""),"SpABRM655136")</f>
        <v>SpABRM655136</v>
      </c>
      <c r="E808" s="310"/>
      <c r="F808" s="310"/>
      <c r="G808" s="310" t="str">
        <f>IFERROR(__xludf.DUMMYFUNCTION("""COMPUTED_VALUE"""),"Negative")</f>
        <v>Negative</v>
      </c>
      <c r="H808" s="319" t="str">
        <f>IFERROR(__xludf.DUMMYFUNCTION("""COMPUTED_VALUE"""),"Negative")</f>
        <v>Negative</v>
      </c>
      <c r="I808" s="308">
        <f>IFERROR(__xludf.DUMMYFUNCTION("""COMPUTED_VALUE"""),44952.0)</f>
        <v>44952</v>
      </c>
      <c r="J808" s="311">
        <f>IFERROR(__xludf.DUMMYFUNCTION("""COMPUTED_VALUE"""),0.4032523148148148)</f>
        <v>0.4032523148</v>
      </c>
      <c r="K808" s="54"/>
      <c r="L808" s="7"/>
      <c r="M808" s="312"/>
      <c r="N808" s="172">
        <f>IFERROR(__xludf.DUMMYFUNCTION("""COMPUTED_VALUE"""),1.0)</f>
        <v>1</v>
      </c>
      <c r="O808" s="172"/>
      <c r="P808" s="313">
        <f>IFERROR(__xludf.DUMMYFUNCTION("""COMPUTED_VALUE"""),0.0)</f>
        <v>0</v>
      </c>
      <c r="Q808" s="76" t="b">
        <f>VLOOKUP($B808,'Run Reconcile'!B$2:O1399,14,FALSE)</f>
        <v>1</v>
      </c>
      <c r="R808" s="314" t="str">
        <f t="array" ref="R808">IF($Q808, INDEX('Run Reconcile'!A$2:A1399,MATCH(B808,'Run Reconcile'!B$2:B1399,0),1),IFERROR(0/0,""))</f>
        <v>RUN-ABRM_2023-01-26_RFR-145</v>
      </c>
      <c r="S808" s="315" t="str">
        <f t="shared" ref="S808:T808" si="1621">IF(COUNTIF(W$2:W1399, $A808) &gt; 0,TRUE,IFERROR(0/0,""))</f>
        <v/>
      </c>
      <c r="T808" s="315" t="str">
        <f t="shared" si="1621"/>
        <v/>
      </c>
      <c r="U808" s="114" t="str">
        <f t="array" ref="U808">IF(ISBLANK($R808), INDEX('Run Reconcile'!A$2:A1399, MATCH($B808, 'Run Reconcile'!B$2:B1399, 0)+Z808, 1), IFERROR(0/0,""))
</f>
        <v/>
      </c>
      <c r="V808" s="316" t="str">
        <f t="shared" si="1281"/>
        <v>RUN-ABRM_2023-01-26_RFR-145</v>
      </c>
      <c r="Y808" s="317" t="str">
        <f t="shared" si="6"/>
        <v/>
      </c>
      <c r="Z808" s="83" t="str">
        <f t="shared" si="7"/>
        <v/>
      </c>
      <c r="AA808" s="83" t="str">
        <f t="shared" si="8"/>
        <v/>
      </c>
      <c r="AB808" s="83" t="str">
        <f t="shared" si="9"/>
        <v/>
      </c>
      <c r="AC808" s="18" t="str">
        <f t="shared" ref="AC808:AD808" si="1622">IF(_xlfn.ISFORMULA(S808),IFERROR(0/0,""),TRUE)</f>
        <v/>
      </c>
      <c r="AD808" s="18" t="str">
        <f t="shared" si="1622"/>
        <v/>
      </c>
      <c r="AE808" s="43"/>
      <c r="AF808" s="58" t="s">
        <v>127</v>
      </c>
      <c r="AG808" s="55" t="str">
        <f t="shared" si="11"/>
        <v/>
      </c>
    </row>
    <row r="809">
      <c r="A809" s="7" t="str">
        <f>IFERROR(__xludf.DUMMYFUNCTION("""COMPUTED_VALUE"""),"AH428")</f>
        <v>AH428</v>
      </c>
      <c r="B809" s="308">
        <f>IFERROR(__xludf.DUMMYFUNCTION("""COMPUTED_VALUE"""),44952.0)</f>
        <v>44952</v>
      </c>
      <c r="C809" s="309">
        <f>IFERROR(__xludf.DUMMYFUNCTION("""COMPUTED_VALUE"""),0.33046296296296296)</f>
        <v>0.330462963</v>
      </c>
      <c r="D809" s="7" t="str">
        <f>IFERROR(__xludf.DUMMYFUNCTION("""COMPUTED_VALUE"""),"SpABRM655136")</f>
        <v>SpABRM655136</v>
      </c>
      <c r="E809" s="310"/>
      <c r="F809" s="310"/>
      <c r="G809" s="310" t="str">
        <f>IFERROR(__xludf.DUMMYFUNCTION("""COMPUTED_VALUE"""),"Negative")</f>
        <v>Negative</v>
      </c>
      <c r="H809" s="319" t="str">
        <f>IFERROR(__xludf.DUMMYFUNCTION("""COMPUTED_VALUE"""),"Negative")</f>
        <v>Negative</v>
      </c>
      <c r="I809" s="308">
        <f>IFERROR(__xludf.DUMMYFUNCTION("""COMPUTED_VALUE"""),44952.0)</f>
        <v>44952</v>
      </c>
      <c r="J809" s="311">
        <f>IFERROR(__xludf.DUMMYFUNCTION("""COMPUTED_VALUE"""),0.40326388888888887)</f>
        <v>0.4032638889</v>
      </c>
      <c r="K809" s="54"/>
      <c r="L809" s="7"/>
      <c r="M809" s="312"/>
      <c r="N809" s="172">
        <f>IFERROR(__xludf.DUMMYFUNCTION("""COMPUTED_VALUE"""),1.0)</f>
        <v>1</v>
      </c>
      <c r="O809" s="172"/>
      <c r="P809" s="313">
        <f>IFERROR(__xludf.DUMMYFUNCTION("""COMPUTED_VALUE"""),0.0)</f>
        <v>0</v>
      </c>
      <c r="Q809" s="76" t="b">
        <f>VLOOKUP($B809,'Run Reconcile'!B$2:O1399,14,FALSE)</f>
        <v>1</v>
      </c>
      <c r="R809" s="314" t="str">
        <f t="array" ref="R809">IF($Q809, INDEX('Run Reconcile'!A$2:A1399,MATCH(B809,'Run Reconcile'!B$2:B1399,0),1),IFERROR(0/0,""))</f>
        <v>RUN-ABRM_2023-01-26_RFR-145</v>
      </c>
      <c r="S809" s="315" t="str">
        <f t="shared" ref="S809:T809" si="1623">IF(COUNTIF(W$2:W1399, $A809) &gt; 0,TRUE,IFERROR(0/0,""))</f>
        <v/>
      </c>
      <c r="T809" s="315" t="str">
        <f t="shared" si="1623"/>
        <v/>
      </c>
      <c r="U809" s="114" t="str">
        <f t="array" ref="U809">IF(ISBLANK($R809), INDEX('Run Reconcile'!A$2:A1399, MATCH($B809, 'Run Reconcile'!B$2:B1399, 0)+Z809, 1), IFERROR(0/0,""))
</f>
        <v/>
      </c>
      <c r="V809" s="316" t="str">
        <f t="shared" si="1281"/>
        <v>RUN-ABRM_2023-01-26_RFR-145</v>
      </c>
      <c r="Y809" s="317" t="str">
        <f t="shared" si="6"/>
        <v/>
      </c>
      <c r="Z809" s="83" t="str">
        <f t="shared" si="7"/>
        <v/>
      </c>
      <c r="AA809" s="83" t="str">
        <f t="shared" si="8"/>
        <v/>
      </c>
      <c r="AB809" s="83" t="str">
        <f t="shared" si="9"/>
        <v/>
      </c>
      <c r="AC809" s="18" t="str">
        <f t="shared" ref="AC809:AD809" si="1624">IF(_xlfn.ISFORMULA(S809),IFERROR(0/0,""),TRUE)</f>
        <v/>
      </c>
      <c r="AD809" s="18" t="str">
        <f t="shared" si="1624"/>
        <v/>
      </c>
      <c r="AE809" s="43"/>
      <c r="AF809" s="58" t="s">
        <v>127</v>
      </c>
      <c r="AG809" s="55" t="str">
        <f t="shared" si="11"/>
        <v/>
      </c>
    </row>
    <row r="810">
      <c r="A810" s="120" t="str">
        <f>IFERROR(__xludf.DUMMYFUNCTION("""COMPUTED_VALUE"""),"AJ9704")</f>
        <v>AJ9704</v>
      </c>
      <c r="B810" s="320">
        <f>IFERROR(__xludf.DUMMYFUNCTION("""COMPUTED_VALUE"""),44953.0)</f>
        <v>44953</v>
      </c>
      <c r="C810" s="321">
        <f>IFERROR(__xludf.DUMMYFUNCTION("""COMPUTED_VALUE"""),0.22354166666666667)</f>
        <v>0.2235416667</v>
      </c>
      <c r="D810" s="120" t="str">
        <f>IFERROR(__xludf.DUMMYFUNCTION("""COMPUTED_VALUE"""),"SpABRM655136")</f>
        <v>SpABRM655136</v>
      </c>
      <c r="E810" s="322"/>
      <c r="F810" s="322"/>
      <c r="G810" s="322" t="str">
        <f>IFERROR(__xludf.DUMMYFUNCTION("""COMPUTED_VALUE"""),"Negative")</f>
        <v>Negative</v>
      </c>
      <c r="H810" s="323" t="str">
        <f>IFERROR(__xludf.DUMMYFUNCTION("""COMPUTED_VALUE"""),"Negative")</f>
        <v>Negative</v>
      </c>
      <c r="I810" s="320">
        <f>IFERROR(__xludf.DUMMYFUNCTION("""COMPUTED_VALUE"""),44953.0)</f>
        <v>44953</v>
      </c>
      <c r="J810" s="324">
        <f>IFERROR(__xludf.DUMMYFUNCTION("""COMPUTED_VALUE"""),0.40565972222222224)</f>
        <v>0.4056597222</v>
      </c>
      <c r="K810" s="123"/>
      <c r="L810" s="120"/>
      <c r="M810" s="325"/>
      <c r="N810" s="283">
        <f>IFERROR(__xludf.DUMMYFUNCTION("""COMPUTED_VALUE"""),2.0)</f>
        <v>2</v>
      </c>
      <c r="O810" s="283"/>
      <c r="P810" s="326">
        <f>IFERROR(__xludf.DUMMYFUNCTION("""COMPUTED_VALUE"""),0.0)</f>
        <v>0</v>
      </c>
      <c r="Q810" s="293" t="str">
        <f>VLOOKUP($B810,'Run Reconcile'!B$2:O1399,14,FALSE)</f>
        <v/>
      </c>
      <c r="R810" s="327" t="str">
        <f t="array" ref="R810">IF($Q810, INDEX('Run Reconcile'!A$2:A1399,MATCH(B810,'Run Reconcile'!B$2:B1399,0),1),IFERROR(0/0,""))</f>
        <v/>
      </c>
      <c r="S810" s="328" t="str">
        <f t="shared" ref="S810:T810" si="1625">IF(COUNTIF(W$2:W1399, $A810) &gt; 0,TRUE,IFERROR(0/0,""))</f>
        <v/>
      </c>
      <c r="T810" s="328" t="str">
        <f t="shared" si="1625"/>
        <v/>
      </c>
      <c r="U810" s="294" t="str">
        <f t="array" ref="U810">IF(ISBLANK($R810), INDEX('Run Reconcile'!A$2:A1399, MATCH($B810, 'Run Reconcile'!B$2:B1399, 0)+Z810, 1), IFERROR(0/0,""))
</f>
        <v>RUN-ABRM_2023-01-27_RFR-147</v>
      </c>
      <c r="V810" s="329" t="str">
        <f t="shared" si="1281"/>
        <v>RUN-ABRM_2023-01-27_RFR-147</v>
      </c>
      <c r="W810" s="120"/>
      <c r="X810" s="120"/>
      <c r="Y810" s="334" t="str">
        <f t="shared" si="6"/>
        <v/>
      </c>
      <c r="Z810" s="295" t="str">
        <f t="shared" si="7"/>
        <v/>
      </c>
      <c r="AA810" s="295" t="str">
        <f t="shared" si="8"/>
        <v/>
      </c>
      <c r="AB810" s="295" t="str">
        <f t="shared" si="9"/>
        <v/>
      </c>
      <c r="AC810" s="263" t="str">
        <f t="shared" ref="AC810:AD810" si="1626">IF(_xlfn.ISFORMULA(S810),IFERROR(0/0,""),TRUE)</f>
        <v/>
      </c>
      <c r="AD810" s="263" t="str">
        <f t="shared" si="1626"/>
        <v/>
      </c>
      <c r="AE810" s="125"/>
      <c r="AF810" s="330" t="s">
        <v>129</v>
      </c>
      <c r="AG810" s="268" t="str">
        <f t="shared" si="11"/>
        <v/>
      </c>
      <c r="AH810" s="120"/>
      <c r="AI810" s="120"/>
      <c r="AJ810" s="120"/>
      <c r="AK810" s="120"/>
    </row>
    <row r="811">
      <c r="A811" s="7" t="str">
        <f>IFERROR(__xludf.DUMMYFUNCTION("""COMPUTED_VALUE"""),"AH207")</f>
        <v>AH207</v>
      </c>
      <c r="B811" s="308">
        <f>IFERROR(__xludf.DUMMYFUNCTION("""COMPUTED_VALUE"""),44953.0)</f>
        <v>44953</v>
      </c>
      <c r="C811" s="309">
        <f>IFERROR(__xludf.DUMMYFUNCTION("""COMPUTED_VALUE"""),0.2997800925925926)</f>
        <v>0.2997800926</v>
      </c>
      <c r="D811" s="7" t="str">
        <f>IFERROR(__xludf.DUMMYFUNCTION("""COMPUTED_VALUE"""),"SpABRM297307")</f>
        <v>SpABRM297307</v>
      </c>
      <c r="E811" s="310"/>
      <c r="F811" s="310"/>
      <c r="G811" s="310" t="str">
        <f>IFERROR(__xludf.DUMMYFUNCTION("""COMPUTED_VALUE"""),"Negative")</f>
        <v>Negative</v>
      </c>
      <c r="H811" s="319" t="str">
        <f>IFERROR(__xludf.DUMMYFUNCTION("""COMPUTED_VALUE"""),"Negative")</f>
        <v>Negative</v>
      </c>
      <c r="I811" s="308">
        <f>IFERROR(__xludf.DUMMYFUNCTION("""COMPUTED_VALUE"""),44953.0)</f>
        <v>44953</v>
      </c>
      <c r="J811" s="311">
        <f>IFERROR(__xludf.DUMMYFUNCTION("""COMPUTED_VALUE"""),0.40565972222222224)</f>
        <v>0.4056597222</v>
      </c>
      <c r="K811" s="54"/>
      <c r="L811" s="7"/>
      <c r="M811" s="312"/>
      <c r="N811" s="172">
        <f>IFERROR(__xludf.DUMMYFUNCTION("""COMPUTED_VALUE"""),3.0)</f>
        <v>3</v>
      </c>
      <c r="O811" s="172"/>
      <c r="P811" s="313">
        <f>IFERROR(__xludf.DUMMYFUNCTION("""COMPUTED_VALUE"""),0.0)</f>
        <v>0</v>
      </c>
      <c r="Q811" s="76" t="str">
        <f>VLOOKUP($B811,'Run Reconcile'!B$2:O1399,14,FALSE)</f>
        <v/>
      </c>
      <c r="R811" s="314" t="str">
        <f t="array" ref="R811">IF($Q811, INDEX('Run Reconcile'!A$2:A1399,MATCH(B811,'Run Reconcile'!B$2:B1399,0),1),IFERROR(0/0,""))</f>
        <v/>
      </c>
      <c r="S811" s="315" t="str">
        <f t="shared" ref="S811:T811" si="1627">IF(COUNTIF(W$2:W1399, $A811) &gt; 0,TRUE,IFERROR(0/0,""))</f>
        <v/>
      </c>
      <c r="T811" s="315" t="str">
        <f t="shared" si="1627"/>
        <v/>
      </c>
      <c r="U811" s="114" t="str">
        <f t="array" ref="U811">IF(ISBLANK($R811), INDEX('Run Reconcile'!A$2:A1399, MATCH($B811, 'Run Reconcile'!B$2:B1399, 0)+Z811, 1), IFERROR(0/0,""))
</f>
        <v>RUN-ABRM_2023-01-27_RFR-147</v>
      </c>
      <c r="V811" s="316" t="str">
        <f t="shared" si="1281"/>
        <v>RUN-ABRM_2023-01-27_RFR-147</v>
      </c>
      <c r="Y811" s="317" t="str">
        <f t="shared" si="6"/>
        <v/>
      </c>
      <c r="Z811" s="83" t="str">
        <f t="shared" si="7"/>
        <v/>
      </c>
      <c r="AA811" s="83" t="str">
        <f t="shared" si="8"/>
        <v/>
      </c>
      <c r="AB811" s="83" t="str">
        <f t="shared" si="9"/>
        <v/>
      </c>
      <c r="AC811" s="18" t="str">
        <f t="shared" ref="AC811:AD811" si="1628">IF(_xlfn.ISFORMULA(S811),IFERROR(0/0,""),TRUE)</f>
        <v/>
      </c>
      <c r="AD811" s="18" t="str">
        <f t="shared" si="1628"/>
        <v/>
      </c>
      <c r="AE811" s="43"/>
      <c r="AF811" s="58" t="s">
        <v>129</v>
      </c>
      <c r="AG811" s="55" t="str">
        <f t="shared" si="11"/>
        <v/>
      </c>
    </row>
    <row r="812">
      <c r="A812" s="7" t="str">
        <f>IFERROR(__xludf.DUMMYFUNCTION("""COMPUTED_VALUE"""),"AK9614")</f>
        <v>AK9614</v>
      </c>
      <c r="B812" s="308">
        <f>IFERROR(__xludf.DUMMYFUNCTION("""COMPUTED_VALUE"""),44953.0)</f>
        <v>44953</v>
      </c>
      <c r="C812" s="309">
        <f>IFERROR(__xludf.DUMMYFUNCTION("""COMPUTED_VALUE"""),0.30474537037037036)</f>
        <v>0.3047453704</v>
      </c>
      <c r="D812" s="7" t="str">
        <f>IFERROR(__xludf.DUMMYFUNCTION("""COMPUTED_VALUE"""),"SpABRM128250")</f>
        <v>SpABRM128250</v>
      </c>
      <c r="E812" s="310"/>
      <c r="F812" s="310"/>
      <c r="G812" s="310" t="str">
        <f>IFERROR(__xludf.DUMMYFUNCTION("""COMPUTED_VALUE"""),"Negative")</f>
        <v>Negative</v>
      </c>
      <c r="H812" s="319" t="str">
        <f>IFERROR(__xludf.DUMMYFUNCTION("""COMPUTED_VALUE"""),"Negative")</f>
        <v>Negative</v>
      </c>
      <c r="I812" s="308">
        <f>IFERROR(__xludf.DUMMYFUNCTION("""COMPUTED_VALUE"""),44953.0)</f>
        <v>44953</v>
      </c>
      <c r="J812" s="311">
        <f>IFERROR(__xludf.DUMMYFUNCTION("""COMPUTED_VALUE"""),0.4056712962962963)</f>
        <v>0.4056712963</v>
      </c>
      <c r="K812" s="54"/>
      <c r="L812" s="7"/>
      <c r="M812" s="312"/>
      <c r="N812" s="172">
        <f>IFERROR(__xludf.DUMMYFUNCTION("""COMPUTED_VALUE"""),3.0)</f>
        <v>3</v>
      </c>
      <c r="O812" s="172"/>
      <c r="P812" s="313">
        <f>IFERROR(__xludf.DUMMYFUNCTION("""COMPUTED_VALUE"""),0.0)</f>
        <v>0</v>
      </c>
      <c r="Q812" s="76" t="str">
        <f>VLOOKUP($B812,'Run Reconcile'!B$2:O1399,14,FALSE)</f>
        <v/>
      </c>
      <c r="R812" s="314" t="str">
        <f t="array" ref="R812">IF($Q812, INDEX('Run Reconcile'!A$2:A1399,MATCH(B812,'Run Reconcile'!B$2:B1399,0),1),IFERROR(0/0,""))</f>
        <v/>
      </c>
      <c r="S812" s="315" t="str">
        <f t="shared" ref="S812:T812" si="1629">IF(COUNTIF(W$2:W1399, $A812) &gt; 0,TRUE,IFERROR(0/0,""))</f>
        <v/>
      </c>
      <c r="T812" s="315" t="str">
        <f t="shared" si="1629"/>
        <v/>
      </c>
      <c r="U812" s="114" t="str">
        <f t="array" ref="U812">IF(ISBLANK($R812), INDEX('Run Reconcile'!A$2:A1399, MATCH($B812, 'Run Reconcile'!B$2:B1399, 0)+Z812, 1), IFERROR(0/0,""))
</f>
        <v>RUN-ABRM_2023-01-27_RFR-147</v>
      </c>
      <c r="V812" s="316" t="str">
        <f t="shared" si="1281"/>
        <v>RUN-ABRM_2023-01-27_RFR-147</v>
      </c>
      <c r="Y812" s="317" t="str">
        <f t="shared" si="6"/>
        <v/>
      </c>
      <c r="Z812" s="83" t="str">
        <f t="shared" si="7"/>
        <v/>
      </c>
      <c r="AA812" s="83" t="str">
        <f t="shared" si="8"/>
        <v/>
      </c>
      <c r="AB812" s="83" t="str">
        <f t="shared" si="9"/>
        <v/>
      </c>
      <c r="AC812" s="18" t="str">
        <f t="shared" ref="AC812:AD812" si="1630">IF(_xlfn.ISFORMULA(S812),IFERROR(0/0,""),TRUE)</f>
        <v/>
      </c>
      <c r="AD812" s="18" t="str">
        <f t="shared" si="1630"/>
        <v/>
      </c>
      <c r="AE812" s="43"/>
      <c r="AF812" s="58" t="s">
        <v>129</v>
      </c>
      <c r="AG812" s="55" t="str">
        <f t="shared" si="11"/>
        <v/>
      </c>
    </row>
    <row r="813">
      <c r="A813" s="7" t="str">
        <f>IFERROR(__xludf.DUMMYFUNCTION("""COMPUTED_VALUE"""),"AH113")</f>
        <v>AH113</v>
      </c>
      <c r="B813" s="308">
        <f>IFERROR(__xludf.DUMMYFUNCTION("""COMPUTED_VALUE"""),44953.0)</f>
        <v>44953</v>
      </c>
      <c r="C813" s="309">
        <f>IFERROR(__xludf.DUMMYFUNCTION("""COMPUTED_VALUE"""),0.32729166666666665)</f>
        <v>0.3272916667</v>
      </c>
      <c r="D813" s="7" t="str">
        <f>IFERROR(__xludf.DUMMYFUNCTION("""COMPUTED_VALUE"""),"SpABRM655136")</f>
        <v>SpABRM655136</v>
      </c>
      <c r="E813" s="310"/>
      <c r="F813" s="310"/>
      <c r="G813" s="310" t="str">
        <f>IFERROR(__xludf.DUMMYFUNCTION("""COMPUTED_VALUE"""),"Negative")</f>
        <v>Negative</v>
      </c>
      <c r="H813" s="319" t="str">
        <f>IFERROR(__xludf.DUMMYFUNCTION("""COMPUTED_VALUE"""),"Negative")</f>
        <v>Negative</v>
      </c>
      <c r="I813" s="308">
        <f>IFERROR(__xludf.DUMMYFUNCTION("""COMPUTED_VALUE"""),44953.0)</f>
        <v>44953</v>
      </c>
      <c r="J813" s="311">
        <f>IFERROR(__xludf.DUMMYFUNCTION("""COMPUTED_VALUE"""),0.4056712962962963)</f>
        <v>0.4056712963</v>
      </c>
      <c r="K813" s="54"/>
      <c r="L813" s="7"/>
      <c r="M813" s="312"/>
      <c r="N813" s="172">
        <f>IFERROR(__xludf.DUMMYFUNCTION("""COMPUTED_VALUE"""),1.0)</f>
        <v>1</v>
      </c>
      <c r="O813" s="172"/>
      <c r="P813" s="313">
        <f>IFERROR(__xludf.DUMMYFUNCTION("""COMPUTED_VALUE"""),0.0)</f>
        <v>0</v>
      </c>
      <c r="Q813" s="76" t="str">
        <f>VLOOKUP($B813,'Run Reconcile'!B$2:O1399,14,FALSE)</f>
        <v/>
      </c>
      <c r="R813" s="314" t="str">
        <f t="array" ref="R813">IF($Q813, INDEX('Run Reconcile'!A$2:A1399,MATCH(B813,'Run Reconcile'!B$2:B1399,0),1),IFERROR(0/0,""))</f>
        <v/>
      </c>
      <c r="S813" s="315" t="str">
        <f t="shared" ref="S813:T813" si="1631">IF(COUNTIF(W$2:W1399, $A813) &gt; 0,TRUE,IFERROR(0/0,""))</f>
        <v/>
      </c>
      <c r="T813" s="315" t="str">
        <f t="shared" si="1631"/>
        <v/>
      </c>
      <c r="U813" s="114" t="str">
        <f t="array" ref="U813">IF(ISBLANK($R813), INDEX('Run Reconcile'!A$2:A1399, MATCH($B813, 'Run Reconcile'!B$2:B1399, 0)+Z813, 1), IFERROR(0/0,""))
</f>
        <v>RUN-ABRM_2023-01-27_RFR-147</v>
      </c>
      <c r="V813" s="316" t="str">
        <f t="shared" si="1281"/>
        <v>RUN-ABRM_2023-01-27_RFR-147</v>
      </c>
      <c r="Y813" s="317" t="str">
        <f t="shared" si="6"/>
        <v/>
      </c>
      <c r="Z813" s="83" t="str">
        <f t="shared" si="7"/>
        <v/>
      </c>
      <c r="AA813" s="83" t="str">
        <f t="shared" si="8"/>
        <v/>
      </c>
      <c r="AB813" s="83" t="str">
        <f t="shared" si="9"/>
        <v/>
      </c>
      <c r="AC813" s="18" t="str">
        <f t="shared" ref="AC813:AD813" si="1632">IF(_xlfn.ISFORMULA(S813),IFERROR(0/0,""),TRUE)</f>
        <v/>
      </c>
      <c r="AD813" s="18" t="str">
        <f t="shared" si="1632"/>
        <v/>
      </c>
      <c r="AE813" s="43"/>
      <c r="AF813" s="58" t="s">
        <v>129</v>
      </c>
      <c r="AG813" s="55" t="str">
        <f t="shared" si="11"/>
        <v/>
      </c>
    </row>
    <row r="814">
      <c r="A814" s="7" t="str">
        <f>IFERROR(__xludf.DUMMYFUNCTION("""COMPUTED_VALUE"""),"AH7148")</f>
        <v>AH7148</v>
      </c>
      <c r="B814" s="308">
        <f>IFERROR(__xludf.DUMMYFUNCTION("""COMPUTED_VALUE"""),44953.0)</f>
        <v>44953</v>
      </c>
      <c r="C814" s="309">
        <f>IFERROR(__xludf.DUMMYFUNCTION("""COMPUTED_VALUE"""),0.32752314814814815)</f>
        <v>0.3275231481</v>
      </c>
      <c r="D814" s="7" t="str">
        <f>IFERROR(__xludf.DUMMYFUNCTION("""COMPUTED_VALUE"""),"SpABRM655136")</f>
        <v>SpABRM655136</v>
      </c>
      <c r="E814" s="310"/>
      <c r="F814" s="310"/>
      <c r="G814" s="310" t="str">
        <f>IFERROR(__xludf.DUMMYFUNCTION("""COMPUTED_VALUE"""),"Negative")</f>
        <v>Negative</v>
      </c>
      <c r="H814" s="319" t="str">
        <f>IFERROR(__xludf.DUMMYFUNCTION("""COMPUTED_VALUE"""),"Negative")</f>
        <v>Negative</v>
      </c>
      <c r="I814" s="308">
        <f>IFERROR(__xludf.DUMMYFUNCTION("""COMPUTED_VALUE"""),44953.0)</f>
        <v>44953</v>
      </c>
      <c r="J814" s="311">
        <f>IFERROR(__xludf.DUMMYFUNCTION("""COMPUTED_VALUE"""),0.4056828703703704)</f>
        <v>0.4056828704</v>
      </c>
      <c r="K814" s="54"/>
      <c r="L814" s="7"/>
      <c r="M814" s="312"/>
      <c r="N814" s="172">
        <f>IFERROR(__xludf.DUMMYFUNCTION("""COMPUTED_VALUE"""),1.0)</f>
        <v>1</v>
      </c>
      <c r="O814" s="172"/>
      <c r="P814" s="313">
        <f>IFERROR(__xludf.DUMMYFUNCTION("""COMPUTED_VALUE"""),0.0)</f>
        <v>0</v>
      </c>
      <c r="Q814" s="76" t="str">
        <f>VLOOKUP($B814,'Run Reconcile'!B$2:O1399,14,FALSE)</f>
        <v/>
      </c>
      <c r="R814" s="314" t="str">
        <f t="array" ref="R814">IF($Q814, INDEX('Run Reconcile'!A$2:A1399,MATCH(B814,'Run Reconcile'!B$2:B1399,0),1),IFERROR(0/0,""))</f>
        <v/>
      </c>
      <c r="S814" s="315" t="str">
        <f t="shared" ref="S814:T814" si="1633">IF(COUNTIF(W$2:W1399, $A814) &gt; 0,TRUE,IFERROR(0/0,""))</f>
        <v/>
      </c>
      <c r="T814" s="315" t="str">
        <f t="shared" si="1633"/>
        <v/>
      </c>
      <c r="U814" s="114" t="str">
        <f t="array" ref="U814">IF(ISBLANK($R814), INDEX('Run Reconcile'!A$2:A1399, MATCH($B814, 'Run Reconcile'!B$2:B1399, 0)+Z814, 1), IFERROR(0/0,""))
</f>
        <v>RUN-ABRM_2023-01-27_RFR-147</v>
      </c>
      <c r="V814" s="316" t="str">
        <f t="shared" si="1281"/>
        <v>RUN-ABRM_2023-01-27_RFR-147</v>
      </c>
      <c r="Y814" s="317" t="str">
        <f t="shared" si="6"/>
        <v/>
      </c>
      <c r="Z814" s="83" t="str">
        <f t="shared" si="7"/>
        <v/>
      </c>
      <c r="AA814" s="83" t="str">
        <f t="shared" si="8"/>
        <v/>
      </c>
      <c r="AB814" s="83" t="str">
        <f t="shared" si="9"/>
        <v/>
      </c>
      <c r="AC814" s="18" t="str">
        <f t="shared" ref="AC814:AD814" si="1634">IF(_xlfn.ISFORMULA(S814),IFERROR(0/0,""),TRUE)</f>
        <v/>
      </c>
      <c r="AD814" s="18" t="str">
        <f t="shared" si="1634"/>
        <v/>
      </c>
      <c r="AE814" s="43"/>
      <c r="AF814" s="58" t="s">
        <v>129</v>
      </c>
      <c r="AG814" s="55" t="str">
        <f t="shared" si="11"/>
        <v/>
      </c>
    </row>
    <row r="815">
      <c r="A815" s="7" t="str">
        <f>IFERROR(__xludf.DUMMYFUNCTION("""COMPUTED_VALUE"""),"AG2028")</f>
        <v>AG2028</v>
      </c>
      <c r="B815" s="308">
        <f>IFERROR(__xludf.DUMMYFUNCTION("""COMPUTED_VALUE"""),44953.0)</f>
        <v>44953</v>
      </c>
      <c r="C815" s="309">
        <f>IFERROR(__xludf.DUMMYFUNCTION("""COMPUTED_VALUE"""),0.33403935185185185)</f>
        <v>0.3340393519</v>
      </c>
      <c r="D815" s="7" t="str">
        <f>IFERROR(__xludf.DUMMYFUNCTION("""COMPUTED_VALUE"""),"SpABRM716377")</f>
        <v>SpABRM716377</v>
      </c>
      <c r="E815" s="310"/>
      <c r="F815" s="310"/>
      <c r="G815" s="310" t="str">
        <f>IFERROR(__xludf.DUMMYFUNCTION("""COMPUTED_VALUE"""),"Negative")</f>
        <v>Negative</v>
      </c>
      <c r="H815" s="319" t="str">
        <f>IFERROR(__xludf.DUMMYFUNCTION("""COMPUTED_VALUE"""),"Negative")</f>
        <v>Negative</v>
      </c>
      <c r="I815" s="308">
        <f>IFERROR(__xludf.DUMMYFUNCTION("""COMPUTED_VALUE"""),44953.0)</f>
        <v>44953</v>
      </c>
      <c r="J815" s="311">
        <f>IFERROR(__xludf.DUMMYFUNCTION("""COMPUTED_VALUE"""),0.42899305555555556)</f>
        <v>0.4289930556</v>
      </c>
      <c r="K815" s="54"/>
      <c r="L815" s="7"/>
      <c r="M815" s="312"/>
      <c r="N815" s="172">
        <f>IFERROR(__xludf.DUMMYFUNCTION("""COMPUTED_VALUE"""),3.0)</f>
        <v>3</v>
      </c>
      <c r="O815" s="172"/>
      <c r="P815" s="313">
        <f>IFERROR(__xludf.DUMMYFUNCTION("""COMPUTED_VALUE"""),0.0)</f>
        <v>0</v>
      </c>
      <c r="Q815" s="76" t="str">
        <f>VLOOKUP($B815,'Run Reconcile'!B$2:O1399,14,FALSE)</f>
        <v/>
      </c>
      <c r="R815" s="314" t="str">
        <f t="array" ref="R815">IF($Q815, INDEX('Run Reconcile'!A$2:A1399,MATCH(B815,'Run Reconcile'!B$2:B1399,0),1),IFERROR(0/0,""))</f>
        <v/>
      </c>
      <c r="S815" s="315" t="str">
        <f t="shared" ref="S815:T815" si="1635">IF(COUNTIF(W$2:W1399, $A815) &gt; 0,TRUE,IFERROR(0/0,""))</f>
        <v/>
      </c>
      <c r="T815" s="315" t="str">
        <f t="shared" si="1635"/>
        <v/>
      </c>
      <c r="U815" s="114" t="str">
        <f t="array" ref="U815">IF(ISBLANK($R815), INDEX('Run Reconcile'!A$2:A1399, MATCH($B815, 'Run Reconcile'!B$2:B1399, 0)+Z815, 1), IFERROR(0/0,""))
</f>
        <v>RUN-ABRM_2023-01-27_RFR-147</v>
      </c>
      <c r="V815" s="316" t="str">
        <f t="shared" si="1281"/>
        <v>RUN-ABRM_2023-01-27_RFR-147</v>
      </c>
      <c r="Y815" s="317" t="str">
        <f t="shared" si="6"/>
        <v/>
      </c>
      <c r="Z815" s="83" t="str">
        <f t="shared" si="7"/>
        <v/>
      </c>
      <c r="AA815" s="83" t="str">
        <f t="shared" si="8"/>
        <v/>
      </c>
      <c r="AB815" s="83" t="str">
        <f t="shared" si="9"/>
        <v/>
      </c>
      <c r="AC815" s="18" t="str">
        <f t="shared" ref="AC815:AD815" si="1636">IF(_xlfn.ISFORMULA(S815),IFERROR(0/0,""),TRUE)</f>
        <v/>
      </c>
      <c r="AD815" s="18" t="str">
        <f t="shared" si="1636"/>
        <v/>
      </c>
      <c r="AE815" s="43"/>
      <c r="AF815" s="58" t="s">
        <v>129</v>
      </c>
      <c r="AG815" s="55" t="str">
        <f t="shared" si="11"/>
        <v/>
      </c>
    </row>
    <row r="816">
      <c r="A816" s="331" t="str">
        <f>IFERROR(__xludf.DUMMYFUNCTION("""COMPUTED_VALUE"""),"AH364")</f>
        <v>AH364</v>
      </c>
      <c r="B816" s="332">
        <f>IFERROR(__xludf.DUMMYFUNCTION("""COMPUTED_VALUE"""),44953.0)</f>
        <v>44953</v>
      </c>
      <c r="C816" s="333">
        <f>IFERROR(__xludf.DUMMYFUNCTION("""COMPUTED_VALUE"""),0.4068287037037037)</f>
        <v>0.4068287037</v>
      </c>
      <c r="D816" s="7" t="str">
        <f>IFERROR(__xludf.DUMMYFUNCTION("""COMPUTED_VALUE"""),"SpABRM655136")</f>
        <v>SpABRM655136</v>
      </c>
      <c r="E816" s="310"/>
      <c r="F816" s="310"/>
      <c r="G816" s="310" t="str">
        <f>IFERROR(__xludf.DUMMYFUNCTION("""COMPUTED_VALUE"""),"Negative")</f>
        <v>Negative</v>
      </c>
      <c r="H816" s="319" t="str">
        <f>IFERROR(__xludf.DUMMYFUNCTION("""COMPUTED_VALUE"""),"Negative")</f>
        <v>Negative</v>
      </c>
      <c r="I816" s="308">
        <f>IFERROR(__xludf.DUMMYFUNCTION("""COMPUTED_VALUE"""),44953.0)</f>
        <v>44953</v>
      </c>
      <c r="J816" s="311">
        <f>IFERROR(__xludf.DUMMYFUNCTION("""COMPUTED_VALUE"""),0.42899305555555556)</f>
        <v>0.4289930556</v>
      </c>
      <c r="K816" s="54"/>
      <c r="L816" s="7"/>
      <c r="M816" s="312"/>
      <c r="N816" s="172">
        <f>IFERROR(__xludf.DUMMYFUNCTION("""COMPUTED_VALUE"""),1.0)</f>
        <v>1</v>
      </c>
      <c r="O816" s="172"/>
      <c r="P816" s="313">
        <f>IFERROR(__xludf.DUMMYFUNCTION("""COMPUTED_VALUE"""),0.0)</f>
        <v>0</v>
      </c>
      <c r="Q816" s="76" t="str">
        <f>VLOOKUP($B816,'Run Reconcile'!B$2:O1399,14,FALSE)</f>
        <v/>
      </c>
      <c r="R816" s="314" t="str">
        <f t="array" ref="R816">IF($Q816, INDEX('Run Reconcile'!A$2:A1399,MATCH(B816,'Run Reconcile'!B$2:B1399,0),1),IFERROR(0/0,""))</f>
        <v/>
      </c>
      <c r="S816" s="315" t="str">
        <f t="shared" ref="S816:T816" si="1637">IF(COUNTIF(W$2:W1399, $A816) &gt; 0,TRUE,IFERROR(0/0,""))</f>
        <v/>
      </c>
      <c r="T816" s="315" t="b">
        <f t="shared" si="1637"/>
        <v>1</v>
      </c>
      <c r="U816" s="114" t="str">
        <f t="array" ref="U816">IF(ISBLANK($R816), INDEX('Run Reconcile'!A$2:A1399, MATCH($B816, 'Run Reconcile'!B$2:B1399, 0)+Z816, 1), IFERROR(0/0,""))
</f>
        <v>RUN-ABRM_2023-01-27_APS-003</v>
      </c>
      <c r="V816" s="316" t="str">
        <f t="shared" si="1281"/>
        <v>RUN-ABRM_2023-01-27_APS-003</v>
      </c>
      <c r="X816" s="7" t="s">
        <v>1373</v>
      </c>
      <c r="Y816" s="317">
        <f t="shared" si="6"/>
        <v>1</v>
      </c>
      <c r="Z816" s="83">
        <f t="shared" si="7"/>
        <v>1</v>
      </c>
      <c r="AA816" s="83" t="str">
        <f t="shared" si="8"/>
        <v/>
      </c>
      <c r="AB816" s="83">
        <f t="shared" si="9"/>
        <v>1</v>
      </c>
      <c r="AC816" s="18" t="str">
        <f t="shared" ref="AC816:AD816" si="1638">IF(_xlfn.ISFORMULA(S816),IFERROR(0/0,""),TRUE)</f>
        <v/>
      </c>
      <c r="AD816" s="18" t="str">
        <f t="shared" si="1638"/>
        <v/>
      </c>
      <c r="AE816" s="43"/>
      <c r="AF816" s="58" t="s">
        <v>129</v>
      </c>
      <c r="AG816" s="55" t="b">
        <f t="shared" si="11"/>
        <v>0</v>
      </c>
    </row>
    <row r="817">
      <c r="A817" s="120" t="str">
        <f>IFERROR(__xludf.DUMMYFUNCTION("""COMPUTED_VALUE"""),"AJ21")</f>
        <v>AJ21</v>
      </c>
      <c r="B817" s="320">
        <f>IFERROR(__xludf.DUMMYFUNCTION("""COMPUTED_VALUE"""),44956.0)</f>
        <v>44956</v>
      </c>
      <c r="C817" s="321">
        <f>IFERROR(__xludf.DUMMYFUNCTION("""COMPUTED_VALUE"""),0.25925925925925924)</f>
        <v>0.2592592593</v>
      </c>
      <c r="D817" s="120" t="str">
        <f>IFERROR(__xludf.DUMMYFUNCTION("""COMPUTED_VALUE"""),"SpABRM655136")</f>
        <v>SpABRM655136</v>
      </c>
      <c r="E817" s="322"/>
      <c r="F817" s="322"/>
      <c r="G817" s="322" t="str">
        <f>IFERROR(__xludf.DUMMYFUNCTION("""COMPUTED_VALUE"""),"Negative")</f>
        <v>Negative</v>
      </c>
      <c r="H817" s="323" t="str">
        <f>IFERROR(__xludf.DUMMYFUNCTION("""COMPUTED_VALUE"""),"Negative")</f>
        <v>Negative</v>
      </c>
      <c r="I817" s="320">
        <f>IFERROR(__xludf.DUMMYFUNCTION("""COMPUTED_VALUE"""),44956.0)</f>
        <v>44956</v>
      </c>
      <c r="J817" s="324">
        <f>IFERROR(__xludf.DUMMYFUNCTION("""COMPUTED_VALUE"""),0.41583333333333333)</f>
        <v>0.4158333333</v>
      </c>
      <c r="K817" s="123"/>
      <c r="L817" s="120"/>
      <c r="M817" s="325"/>
      <c r="N817" s="283">
        <f>IFERROR(__xludf.DUMMYFUNCTION("""COMPUTED_VALUE"""),2.0)</f>
        <v>2</v>
      </c>
      <c r="O817" s="283"/>
      <c r="P817" s="326">
        <f>IFERROR(__xludf.DUMMYFUNCTION("""COMPUTED_VALUE"""),0.0)</f>
        <v>0</v>
      </c>
      <c r="Q817" s="293" t="b">
        <f>VLOOKUP($B817,'Run Reconcile'!B$2:O1399,14,FALSE)</f>
        <v>1</v>
      </c>
      <c r="R817" s="327" t="str">
        <f t="array" ref="R817">IF($Q817, INDEX('Run Reconcile'!A$2:A1399,MATCH(B817,'Run Reconcile'!B$2:B1399,0),1),IFERROR(0/0,""))</f>
        <v>RUN-ABRM_2023-01-30_RFR-149</v>
      </c>
      <c r="S817" s="328" t="str">
        <f t="shared" ref="S817:T817" si="1639">IF(COUNTIF(W$2:W1399, $A817) &gt; 0,TRUE,IFERROR(0/0,""))</f>
        <v/>
      </c>
      <c r="T817" s="328" t="str">
        <f t="shared" si="1639"/>
        <v/>
      </c>
      <c r="U817" s="294" t="str">
        <f t="array" ref="U817">IF(ISBLANK($R817), INDEX('Run Reconcile'!A$2:A1399, MATCH($B817, 'Run Reconcile'!B$2:B1399, 0)+Z817, 1), IFERROR(0/0,""))
</f>
        <v/>
      </c>
      <c r="V817" s="329" t="str">
        <f t="shared" si="1281"/>
        <v>RUN-ABRM_2023-01-30_RFR-149</v>
      </c>
      <c r="W817" s="120"/>
      <c r="X817" s="120"/>
      <c r="Y817" s="334" t="str">
        <f t="shared" si="6"/>
        <v/>
      </c>
      <c r="Z817" s="295" t="str">
        <f t="shared" si="7"/>
        <v/>
      </c>
      <c r="AA817" s="295" t="str">
        <f t="shared" si="8"/>
        <v/>
      </c>
      <c r="AB817" s="295" t="str">
        <f t="shared" si="9"/>
        <v/>
      </c>
      <c r="AC817" s="263" t="str">
        <f t="shared" ref="AC817:AD817" si="1640">IF(_xlfn.ISFORMULA(S817),IFERROR(0/0,""),TRUE)</f>
        <v/>
      </c>
      <c r="AD817" s="263" t="str">
        <f t="shared" si="1640"/>
        <v/>
      </c>
      <c r="AE817" s="125"/>
      <c r="AF817" s="330" t="s">
        <v>130</v>
      </c>
      <c r="AG817" s="268" t="str">
        <f t="shared" si="11"/>
        <v/>
      </c>
      <c r="AH817" s="120"/>
      <c r="AI817" s="120"/>
      <c r="AJ817" s="120"/>
      <c r="AK817" s="120"/>
    </row>
    <row r="818">
      <c r="A818" s="7" t="str">
        <f>IFERROR(__xludf.DUMMYFUNCTION("""COMPUTED_VALUE"""),"AJ9682")</f>
        <v>AJ9682</v>
      </c>
      <c r="B818" s="308">
        <f>IFERROR(__xludf.DUMMYFUNCTION("""COMPUTED_VALUE"""),44956.0)</f>
        <v>44956</v>
      </c>
      <c r="C818" s="309">
        <f>IFERROR(__xludf.DUMMYFUNCTION("""COMPUTED_VALUE"""),0.2908101851851852)</f>
        <v>0.2908101852</v>
      </c>
      <c r="D818" s="7" t="str">
        <f>IFERROR(__xludf.DUMMYFUNCTION("""COMPUTED_VALUE"""),"SpABRM297307")</f>
        <v>SpABRM297307</v>
      </c>
      <c r="E818" s="310"/>
      <c r="F818" s="310"/>
      <c r="G818" s="310" t="str">
        <f>IFERROR(__xludf.DUMMYFUNCTION("""COMPUTED_VALUE"""),"Negative")</f>
        <v>Negative</v>
      </c>
      <c r="H818" s="319" t="str">
        <f>IFERROR(__xludf.DUMMYFUNCTION("""COMPUTED_VALUE"""),"Negative")</f>
        <v>Negative</v>
      </c>
      <c r="I818" s="308">
        <f>IFERROR(__xludf.DUMMYFUNCTION("""COMPUTED_VALUE"""),44956.0)</f>
        <v>44956</v>
      </c>
      <c r="J818" s="311">
        <f>IFERROR(__xludf.DUMMYFUNCTION("""COMPUTED_VALUE"""),0.4158449074074074)</f>
        <v>0.4158449074</v>
      </c>
      <c r="K818" s="54"/>
      <c r="L818" s="7"/>
      <c r="M818" s="312"/>
      <c r="N818" s="172">
        <f>IFERROR(__xludf.DUMMYFUNCTION("""COMPUTED_VALUE"""),3.0)</f>
        <v>3</v>
      </c>
      <c r="O818" s="172"/>
      <c r="P818" s="313">
        <f>IFERROR(__xludf.DUMMYFUNCTION("""COMPUTED_VALUE"""),0.0)</f>
        <v>0</v>
      </c>
      <c r="Q818" s="76" t="b">
        <f>VLOOKUP($B818,'Run Reconcile'!B$2:O1399,14,FALSE)</f>
        <v>1</v>
      </c>
      <c r="R818" s="314" t="str">
        <f t="array" ref="R818">IF($Q818, INDEX('Run Reconcile'!A$2:A1399,MATCH(B818,'Run Reconcile'!B$2:B1399,0),1),IFERROR(0/0,""))</f>
        <v>RUN-ABRM_2023-01-30_RFR-149</v>
      </c>
      <c r="S818" s="315" t="str">
        <f t="shared" ref="S818:T818" si="1641">IF(COUNTIF(W$2:W1399, $A818) &gt; 0,TRUE,IFERROR(0/0,""))</f>
        <v/>
      </c>
      <c r="T818" s="315" t="str">
        <f t="shared" si="1641"/>
        <v/>
      </c>
      <c r="U818" s="114" t="str">
        <f t="array" ref="U818">IF(ISBLANK($R818), INDEX('Run Reconcile'!A$2:A1399, MATCH($B818, 'Run Reconcile'!B$2:B1399, 0)+Z818, 1), IFERROR(0/0,""))
</f>
        <v/>
      </c>
      <c r="V818" s="316" t="str">
        <f t="shared" si="1281"/>
        <v>RUN-ABRM_2023-01-30_RFR-149</v>
      </c>
      <c r="Y818" s="317" t="str">
        <f t="shared" si="6"/>
        <v/>
      </c>
      <c r="Z818" s="83" t="str">
        <f t="shared" si="7"/>
        <v/>
      </c>
      <c r="AA818" s="83" t="str">
        <f t="shared" si="8"/>
        <v/>
      </c>
      <c r="AB818" s="83" t="str">
        <f t="shared" si="9"/>
        <v/>
      </c>
      <c r="AC818" s="18" t="str">
        <f t="shared" ref="AC818:AD818" si="1642">IF(_xlfn.ISFORMULA(S818),IFERROR(0/0,""),TRUE)</f>
        <v/>
      </c>
      <c r="AD818" s="18" t="str">
        <f t="shared" si="1642"/>
        <v/>
      </c>
      <c r="AE818" s="43"/>
      <c r="AF818" s="58" t="s">
        <v>130</v>
      </c>
      <c r="AG818" s="55" t="str">
        <f t="shared" si="11"/>
        <v/>
      </c>
    </row>
    <row r="819">
      <c r="A819" s="7" t="str">
        <f>IFERROR(__xludf.DUMMYFUNCTION("""COMPUTED_VALUE"""),"AR1307")</f>
        <v>AR1307</v>
      </c>
      <c r="B819" s="308">
        <f>IFERROR(__xludf.DUMMYFUNCTION("""COMPUTED_VALUE"""),44956.0)</f>
        <v>44956</v>
      </c>
      <c r="C819" s="309">
        <f>IFERROR(__xludf.DUMMYFUNCTION("""COMPUTED_VALUE"""),0.29255787037037034)</f>
        <v>0.2925578704</v>
      </c>
      <c r="D819" s="7" t="str">
        <f>IFERROR(__xludf.DUMMYFUNCTION("""COMPUTED_VALUE"""),"SpABRM454310")</f>
        <v>SpABRM454310</v>
      </c>
      <c r="E819" s="310"/>
      <c r="F819" s="310"/>
      <c r="G819" s="310" t="str">
        <f>IFERROR(__xludf.DUMMYFUNCTION("""COMPUTED_VALUE"""),"Negative")</f>
        <v>Negative</v>
      </c>
      <c r="H819" s="319" t="str">
        <f>IFERROR(__xludf.DUMMYFUNCTION("""COMPUTED_VALUE"""),"Negative")</f>
        <v>Negative</v>
      </c>
      <c r="I819" s="308">
        <f>IFERROR(__xludf.DUMMYFUNCTION("""COMPUTED_VALUE"""),44956.0)</f>
        <v>44956</v>
      </c>
      <c r="J819" s="311">
        <f>IFERROR(__xludf.DUMMYFUNCTION("""COMPUTED_VALUE"""),0.41585648148148147)</f>
        <v>0.4158564815</v>
      </c>
      <c r="K819" s="54"/>
      <c r="L819" s="7"/>
      <c r="M819" s="312"/>
      <c r="N819" s="172">
        <f>IFERROR(__xludf.DUMMYFUNCTION("""COMPUTED_VALUE"""),2.0)</f>
        <v>2</v>
      </c>
      <c r="O819" s="172"/>
      <c r="P819" s="313">
        <f>IFERROR(__xludf.DUMMYFUNCTION("""COMPUTED_VALUE"""),0.0)</f>
        <v>0</v>
      </c>
      <c r="Q819" s="76" t="b">
        <f>VLOOKUP($B819,'Run Reconcile'!B$2:O1399,14,FALSE)</f>
        <v>1</v>
      </c>
      <c r="R819" s="314" t="str">
        <f t="array" ref="R819">IF($Q819, INDEX('Run Reconcile'!A$2:A1399,MATCH(B819,'Run Reconcile'!B$2:B1399,0),1),IFERROR(0/0,""))</f>
        <v>RUN-ABRM_2023-01-30_RFR-149</v>
      </c>
      <c r="S819" s="315" t="str">
        <f t="shared" ref="S819:T819" si="1643">IF(COUNTIF(W$2:W1399, $A819) &gt; 0,TRUE,IFERROR(0/0,""))</f>
        <v/>
      </c>
      <c r="T819" s="315" t="str">
        <f t="shared" si="1643"/>
        <v/>
      </c>
      <c r="U819" s="114" t="str">
        <f t="array" ref="U819">IF(ISBLANK($R819), INDEX('Run Reconcile'!A$2:A1399, MATCH($B819, 'Run Reconcile'!B$2:B1399, 0)+Z819, 1), IFERROR(0/0,""))
</f>
        <v/>
      </c>
      <c r="V819" s="316" t="str">
        <f t="shared" si="1281"/>
        <v>RUN-ABRM_2023-01-30_RFR-149</v>
      </c>
      <c r="Y819" s="317" t="str">
        <f t="shared" si="6"/>
        <v/>
      </c>
      <c r="Z819" s="83" t="str">
        <f t="shared" si="7"/>
        <v/>
      </c>
      <c r="AA819" s="83" t="str">
        <f t="shared" si="8"/>
        <v/>
      </c>
      <c r="AB819" s="83" t="str">
        <f t="shared" si="9"/>
        <v/>
      </c>
      <c r="AC819" s="18" t="str">
        <f t="shared" ref="AC819:AD819" si="1644">IF(_xlfn.ISFORMULA(S819),IFERROR(0/0,""),TRUE)</f>
        <v/>
      </c>
      <c r="AD819" s="18" t="str">
        <f t="shared" si="1644"/>
        <v/>
      </c>
      <c r="AE819" s="43"/>
      <c r="AF819" s="58" t="s">
        <v>130</v>
      </c>
      <c r="AG819" s="55" t="str">
        <f t="shared" si="11"/>
        <v/>
      </c>
    </row>
    <row r="820">
      <c r="A820" s="7" t="str">
        <f>IFERROR(__xludf.DUMMYFUNCTION("""COMPUTED_VALUE"""),"AG1184")</f>
        <v>AG1184</v>
      </c>
      <c r="B820" s="308">
        <f>IFERROR(__xludf.DUMMYFUNCTION("""COMPUTED_VALUE"""),44956.0)</f>
        <v>44956</v>
      </c>
      <c r="C820" s="309">
        <f>IFERROR(__xludf.DUMMYFUNCTION("""COMPUTED_VALUE"""),0.334212962962963)</f>
        <v>0.334212963</v>
      </c>
      <c r="D820" s="7" t="str">
        <f>IFERROR(__xludf.DUMMYFUNCTION("""COMPUTED_VALUE"""),"SpABRM814022")</f>
        <v>SpABRM814022</v>
      </c>
      <c r="E820" s="310"/>
      <c r="F820" s="310"/>
      <c r="G820" s="310" t="str">
        <f>IFERROR(__xludf.DUMMYFUNCTION("""COMPUTED_VALUE"""),"Negative")</f>
        <v>Negative</v>
      </c>
      <c r="H820" s="319" t="str">
        <f>IFERROR(__xludf.DUMMYFUNCTION("""COMPUTED_VALUE"""),"Negative")</f>
        <v>Negative</v>
      </c>
      <c r="I820" s="308">
        <f>IFERROR(__xludf.DUMMYFUNCTION("""COMPUTED_VALUE"""),44956.0)</f>
        <v>44956</v>
      </c>
      <c r="J820" s="311">
        <f>IFERROR(__xludf.DUMMYFUNCTION("""COMPUTED_VALUE"""),0.41586805555555556)</f>
        <v>0.4158680556</v>
      </c>
      <c r="K820" s="54"/>
      <c r="L820" s="7"/>
      <c r="M820" s="312"/>
      <c r="N820" s="172">
        <f>IFERROR(__xludf.DUMMYFUNCTION("""COMPUTED_VALUE"""),1.0)</f>
        <v>1</v>
      </c>
      <c r="O820" s="172"/>
      <c r="P820" s="313">
        <f>IFERROR(__xludf.DUMMYFUNCTION("""COMPUTED_VALUE"""),0.0)</f>
        <v>0</v>
      </c>
      <c r="Q820" s="76" t="b">
        <f>VLOOKUP($B820,'Run Reconcile'!B$2:O1399,14,FALSE)</f>
        <v>1</v>
      </c>
      <c r="R820" s="314" t="str">
        <f t="array" ref="R820">IF($Q820, INDEX('Run Reconcile'!A$2:A1399,MATCH(B820,'Run Reconcile'!B$2:B1399,0),1),IFERROR(0/0,""))</f>
        <v>RUN-ABRM_2023-01-30_RFR-149</v>
      </c>
      <c r="S820" s="315" t="str">
        <f t="shared" ref="S820:T820" si="1645">IF(COUNTIF(W$2:W1399, $A820) &gt; 0,TRUE,IFERROR(0/0,""))</f>
        <v/>
      </c>
      <c r="T820" s="315" t="str">
        <f t="shared" si="1645"/>
        <v/>
      </c>
      <c r="U820" s="114" t="str">
        <f t="array" ref="U820">IF(ISBLANK($R820), INDEX('Run Reconcile'!A$2:A1399, MATCH($B820, 'Run Reconcile'!B$2:B1399, 0)+Z820, 1), IFERROR(0/0,""))
</f>
        <v/>
      </c>
      <c r="V820" s="316" t="str">
        <f t="shared" si="1281"/>
        <v>RUN-ABRM_2023-01-30_RFR-149</v>
      </c>
      <c r="Y820" s="317" t="str">
        <f t="shared" si="6"/>
        <v/>
      </c>
      <c r="Z820" s="83" t="str">
        <f t="shared" si="7"/>
        <v/>
      </c>
      <c r="AA820" s="83" t="str">
        <f t="shared" si="8"/>
        <v/>
      </c>
      <c r="AB820" s="83" t="str">
        <f t="shared" si="9"/>
        <v/>
      </c>
      <c r="AC820" s="18" t="str">
        <f t="shared" ref="AC820:AD820" si="1646">IF(_xlfn.ISFORMULA(S820),IFERROR(0/0,""),TRUE)</f>
        <v/>
      </c>
      <c r="AD820" s="18" t="str">
        <f t="shared" si="1646"/>
        <v/>
      </c>
      <c r="AE820" s="43"/>
      <c r="AF820" s="58" t="s">
        <v>130</v>
      </c>
      <c r="AG820" s="55" t="str">
        <f t="shared" si="11"/>
        <v/>
      </c>
    </row>
    <row r="821">
      <c r="A821" s="7" t="str">
        <f>IFERROR(__xludf.DUMMYFUNCTION("""COMPUTED_VALUE"""),"AH7551")</f>
        <v>AH7551</v>
      </c>
      <c r="B821" s="308">
        <f>IFERROR(__xludf.DUMMYFUNCTION("""COMPUTED_VALUE"""),44956.0)</f>
        <v>44956</v>
      </c>
      <c r="C821" s="309">
        <f>IFERROR(__xludf.DUMMYFUNCTION("""COMPUTED_VALUE"""),0.33748842592592593)</f>
        <v>0.3374884259</v>
      </c>
      <c r="D821" s="7" t="str">
        <f>IFERROR(__xludf.DUMMYFUNCTION("""COMPUTED_VALUE"""),"SpABRM655136")</f>
        <v>SpABRM655136</v>
      </c>
      <c r="E821" s="310"/>
      <c r="F821" s="310"/>
      <c r="G821" s="310" t="str">
        <f>IFERROR(__xludf.DUMMYFUNCTION("""COMPUTED_VALUE"""),"Negative")</f>
        <v>Negative</v>
      </c>
      <c r="H821" s="319" t="str">
        <f>IFERROR(__xludf.DUMMYFUNCTION("""COMPUTED_VALUE"""),"Negative")</f>
        <v>Negative</v>
      </c>
      <c r="I821" s="308">
        <f>IFERROR(__xludf.DUMMYFUNCTION("""COMPUTED_VALUE"""),44956.0)</f>
        <v>44956</v>
      </c>
      <c r="J821" s="311">
        <f>IFERROR(__xludf.DUMMYFUNCTION("""COMPUTED_VALUE"""),0.41586805555555556)</f>
        <v>0.4158680556</v>
      </c>
      <c r="K821" s="54"/>
      <c r="L821" s="7"/>
      <c r="M821" s="312"/>
      <c r="N821" s="172">
        <f>IFERROR(__xludf.DUMMYFUNCTION("""COMPUTED_VALUE"""),2.0)</f>
        <v>2</v>
      </c>
      <c r="O821" s="172"/>
      <c r="P821" s="313">
        <f>IFERROR(__xludf.DUMMYFUNCTION("""COMPUTED_VALUE"""),0.0)</f>
        <v>0</v>
      </c>
      <c r="Q821" s="76" t="b">
        <f>VLOOKUP($B821,'Run Reconcile'!B$2:O1399,14,FALSE)</f>
        <v>1</v>
      </c>
      <c r="R821" s="314" t="str">
        <f t="array" ref="R821">IF($Q821, INDEX('Run Reconcile'!A$2:A1399,MATCH(B821,'Run Reconcile'!B$2:B1399,0),1),IFERROR(0/0,""))</f>
        <v>RUN-ABRM_2023-01-30_RFR-149</v>
      </c>
      <c r="S821" s="315" t="str">
        <f t="shared" ref="S821:T821" si="1647">IF(COUNTIF(W$2:W1399, $A821) &gt; 0,TRUE,IFERROR(0/0,""))</f>
        <v/>
      </c>
      <c r="T821" s="315" t="str">
        <f t="shared" si="1647"/>
        <v/>
      </c>
      <c r="U821" s="114" t="str">
        <f t="array" ref="U821">IF(ISBLANK($R821), INDEX('Run Reconcile'!A$2:A1399, MATCH($B821, 'Run Reconcile'!B$2:B1399, 0)+Z821, 1), IFERROR(0/0,""))
</f>
        <v/>
      </c>
      <c r="V821" s="316" t="str">
        <f t="shared" si="1281"/>
        <v>RUN-ABRM_2023-01-30_RFR-149</v>
      </c>
      <c r="Y821" s="317" t="str">
        <f t="shared" si="6"/>
        <v/>
      </c>
      <c r="Z821" s="83" t="str">
        <f t="shared" si="7"/>
        <v/>
      </c>
      <c r="AA821" s="83" t="str">
        <f t="shared" si="8"/>
        <v/>
      </c>
      <c r="AB821" s="83" t="str">
        <f t="shared" si="9"/>
        <v/>
      </c>
      <c r="AC821" s="18" t="str">
        <f t="shared" ref="AC821:AD821" si="1648">IF(_xlfn.ISFORMULA(S821),IFERROR(0/0,""),TRUE)</f>
        <v/>
      </c>
      <c r="AD821" s="18" t="str">
        <f t="shared" si="1648"/>
        <v/>
      </c>
      <c r="AE821" s="43"/>
      <c r="AF821" s="58" t="s">
        <v>130</v>
      </c>
      <c r="AG821" s="55" t="str">
        <f t="shared" si="11"/>
        <v/>
      </c>
    </row>
    <row r="822">
      <c r="A822" s="7" t="str">
        <f>IFERROR(__xludf.DUMMYFUNCTION("""COMPUTED_VALUE"""),"AJ2150")</f>
        <v>AJ2150</v>
      </c>
      <c r="B822" s="308">
        <f>IFERROR(__xludf.DUMMYFUNCTION("""COMPUTED_VALUE"""),44956.0)</f>
        <v>44956</v>
      </c>
      <c r="C822" s="309">
        <f>IFERROR(__xludf.DUMMYFUNCTION("""COMPUTED_VALUE"""),0.33775462962962965)</f>
        <v>0.3377546296</v>
      </c>
      <c r="D822" s="7" t="str">
        <f>IFERROR(__xludf.DUMMYFUNCTION("""COMPUTED_VALUE"""),"SpABRM655136")</f>
        <v>SpABRM655136</v>
      </c>
      <c r="E822" s="310"/>
      <c r="F822" s="310"/>
      <c r="G822" s="310" t="str">
        <f>IFERROR(__xludf.DUMMYFUNCTION("""COMPUTED_VALUE"""),"Negative")</f>
        <v>Negative</v>
      </c>
      <c r="H822" s="319" t="str">
        <f>IFERROR(__xludf.DUMMYFUNCTION("""COMPUTED_VALUE"""),"Negative")</f>
        <v>Negative</v>
      </c>
      <c r="I822" s="308">
        <f>IFERROR(__xludf.DUMMYFUNCTION("""COMPUTED_VALUE"""),44956.0)</f>
        <v>44956</v>
      </c>
      <c r="J822" s="311">
        <f>IFERROR(__xludf.DUMMYFUNCTION("""COMPUTED_VALUE"""),0.41587962962962965)</f>
        <v>0.4158796296</v>
      </c>
      <c r="K822" s="54"/>
      <c r="L822" s="7"/>
      <c r="M822" s="312"/>
      <c r="N822" s="172">
        <f>IFERROR(__xludf.DUMMYFUNCTION("""COMPUTED_VALUE"""),1.0)</f>
        <v>1</v>
      </c>
      <c r="O822" s="172"/>
      <c r="P822" s="313">
        <f>IFERROR(__xludf.DUMMYFUNCTION("""COMPUTED_VALUE"""),0.0)</f>
        <v>0</v>
      </c>
      <c r="Q822" s="76" t="b">
        <f>VLOOKUP($B822,'Run Reconcile'!B$2:O1399,14,FALSE)</f>
        <v>1</v>
      </c>
      <c r="R822" s="314" t="str">
        <f t="array" ref="R822">IF($Q822, INDEX('Run Reconcile'!A$2:A1399,MATCH(B822,'Run Reconcile'!B$2:B1399,0),1),IFERROR(0/0,""))</f>
        <v>RUN-ABRM_2023-01-30_RFR-149</v>
      </c>
      <c r="S822" s="315" t="str">
        <f t="shared" ref="S822:T822" si="1649">IF(COUNTIF(W$2:W1399, $A822) &gt; 0,TRUE,IFERROR(0/0,""))</f>
        <v/>
      </c>
      <c r="T822" s="315" t="str">
        <f t="shared" si="1649"/>
        <v/>
      </c>
      <c r="U822" s="114" t="str">
        <f t="array" ref="U822">IF(ISBLANK($R822), INDEX('Run Reconcile'!A$2:A1399, MATCH($B822, 'Run Reconcile'!B$2:B1399, 0)+Z822, 1), IFERROR(0/0,""))
</f>
        <v/>
      </c>
      <c r="V822" s="316" t="str">
        <f t="shared" si="1281"/>
        <v>RUN-ABRM_2023-01-30_RFR-149</v>
      </c>
      <c r="Y822" s="317" t="str">
        <f t="shared" si="6"/>
        <v/>
      </c>
      <c r="Z822" s="83" t="str">
        <f t="shared" si="7"/>
        <v/>
      </c>
      <c r="AA822" s="83" t="str">
        <f t="shared" si="8"/>
        <v/>
      </c>
      <c r="AB822" s="83" t="str">
        <f t="shared" si="9"/>
        <v/>
      </c>
      <c r="AC822" s="18" t="str">
        <f t="shared" ref="AC822:AD822" si="1650">IF(_xlfn.ISFORMULA(S822),IFERROR(0/0,""),TRUE)</f>
        <v/>
      </c>
      <c r="AD822" s="18" t="str">
        <f t="shared" si="1650"/>
        <v/>
      </c>
      <c r="AE822" s="43"/>
      <c r="AF822" s="58" t="s">
        <v>130</v>
      </c>
      <c r="AG822" s="55" t="str">
        <f t="shared" si="11"/>
        <v/>
      </c>
    </row>
    <row r="823">
      <c r="A823" s="7" t="str">
        <f>IFERROR(__xludf.DUMMYFUNCTION("""COMPUTED_VALUE"""),"AB9623")</f>
        <v>AB9623</v>
      </c>
      <c r="B823" s="308">
        <f>IFERROR(__xludf.DUMMYFUNCTION("""COMPUTED_VALUE"""),44956.0)</f>
        <v>44956</v>
      </c>
      <c r="C823" s="309">
        <f>IFERROR(__xludf.DUMMYFUNCTION("""COMPUTED_VALUE"""),0.3500347222222222)</f>
        <v>0.3500347222</v>
      </c>
      <c r="D823" s="7" t="str">
        <f>IFERROR(__xludf.DUMMYFUNCTION("""COMPUTED_VALUE"""),"SpABRM655136")</f>
        <v>SpABRM655136</v>
      </c>
      <c r="E823" s="310"/>
      <c r="F823" s="310"/>
      <c r="G823" s="310" t="str">
        <f>IFERROR(__xludf.DUMMYFUNCTION("""COMPUTED_VALUE"""),"Negative")</f>
        <v>Negative</v>
      </c>
      <c r="H823" s="319" t="str">
        <f>IFERROR(__xludf.DUMMYFUNCTION("""COMPUTED_VALUE"""),"Negative")</f>
        <v>Negative</v>
      </c>
      <c r="I823" s="308">
        <f>IFERROR(__xludf.DUMMYFUNCTION("""COMPUTED_VALUE"""),44956.0)</f>
        <v>44956</v>
      </c>
      <c r="J823" s="311">
        <f>IFERROR(__xludf.DUMMYFUNCTION("""COMPUTED_VALUE"""),0.4158912037037037)</f>
        <v>0.4158912037</v>
      </c>
      <c r="K823" s="54"/>
      <c r="L823" s="7"/>
      <c r="M823" s="312"/>
      <c r="N823" s="172">
        <f>IFERROR(__xludf.DUMMYFUNCTION("""COMPUTED_VALUE"""),2.0)</f>
        <v>2</v>
      </c>
      <c r="O823" s="172"/>
      <c r="P823" s="313">
        <f>IFERROR(__xludf.DUMMYFUNCTION("""COMPUTED_VALUE"""),0.0)</f>
        <v>0</v>
      </c>
      <c r="Q823" s="76" t="b">
        <f>VLOOKUP($B823,'Run Reconcile'!B$2:O1399,14,FALSE)</f>
        <v>1</v>
      </c>
      <c r="R823" s="314" t="str">
        <f t="array" ref="R823">IF($Q823, INDEX('Run Reconcile'!A$2:A1399,MATCH(B823,'Run Reconcile'!B$2:B1399,0),1),IFERROR(0/0,""))</f>
        <v>RUN-ABRM_2023-01-30_RFR-149</v>
      </c>
      <c r="S823" s="315" t="str">
        <f t="shared" ref="S823:T823" si="1651">IF(COUNTIF(W$2:W1399, $A823) &gt; 0,TRUE,IFERROR(0/0,""))</f>
        <v/>
      </c>
      <c r="T823" s="315" t="str">
        <f t="shared" si="1651"/>
        <v/>
      </c>
      <c r="U823" s="114" t="str">
        <f t="array" ref="U823">IF(ISBLANK($R823), INDEX('Run Reconcile'!A$2:A1399, MATCH($B823, 'Run Reconcile'!B$2:B1399, 0)+Z823, 1), IFERROR(0/0,""))
</f>
        <v/>
      </c>
      <c r="V823" s="316" t="str">
        <f t="shared" si="1281"/>
        <v>RUN-ABRM_2023-01-30_RFR-149</v>
      </c>
      <c r="Y823" s="317" t="str">
        <f t="shared" si="6"/>
        <v/>
      </c>
      <c r="Z823" s="83" t="str">
        <f t="shared" si="7"/>
        <v/>
      </c>
      <c r="AA823" s="83" t="str">
        <f t="shared" si="8"/>
        <v/>
      </c>
      <c r="AB823" s="83" t="str">
        <f t="shared" si="9"/>
        <v/>
      </c>
      <c r="AC823" s="18" t="str">
        <f t="shared" ref="AC823:AD823" si="1652">IF(_xlfn.ISFORMULA(S823),IFERROR(0/0,""),TRUE)</f>
        <v/>
      </c>
      <c r="AD823" s="18" t="str">
        <f t="shared" si="1652"/>
        <v/>
      </c>
      <c r="AE823" s="43"/>
      <c r="AF823" s="58" t="s">
        <v>130</v>
      </c>
      <c r="AG823" s="55" t="str">
        <f t="shared" si="11"/>
        <v/>
      </c>
    </row>
    <row r="824">
      <c r="A824" s="7" t="str">
        <f>IFERROR(__xludf.DUMMYFUNCTION("""COMPUTED_VALUE"""),"AJ8654")</f>
        <v>AJ8654</v>
      </c>
      <c r="B824" s="308">
        <f>IFERROR(__xludf.DUMMYFUNCTION("""COMPUTED_VALUE"""),44963.0)</f>
        <v>44963</v>
      </c>
      <c r="C824" s="309">
        <f>IFERROR(__xludf.DUMMYFUNCTION("""COMPUTED_VALUE"""),0.3608564814814815)</f>
        <v>0.3608564815</v>
      </c>
      <c r="D824" s="7" t="str">
        <f>IFERROR(__xludf.DUMMYFUNCTION("""COMPUTED_VALUE"""),"SpABRM655136")</f>
        <v>SpABRM655136</v>
      </c>
      <c r="E824" s="310"/>
      <c r="F824" s="310"/>
      <c r="G824" s="310" t="str">
        <f>IFERROR(__xludf.DUMMYFUNCTION("""COMPUTED_VALUE"""),"Negative")</f>
        <v>Negative</v>
      </c>
      <c r="H824" s="319" t="str">
        <f>IFERROR(__xludf.DUMMYFUNCTION("""COMPUTED_VALUE"""),"Negative")</f>
        <v>Negative</v>
      </c>
      <c r="I824" s="308">
        <f>IFERROR(__xludf.DUMMYFUNCTION("""COMPUTED_VALUE"""),44963.0)</f>
        <v>44963</v>
      </c>
      <c r="J824" s="311">
        <f>IFERROR(__xludf.DUMMYFUNCTION("""COMPUTED_VALUE"""),0.38885416666666667)</f>
        <v>0.3888541667</v>
      </c>
      <c r="K824" s="54"/>
      <c r="L824" s="7"/>
      <c r="M824" s="312"/>
      <c r="N824" s="172">
        <f>IFERROR(__xludf.DUMMYFUNCTION("""COMPUTED_VALUE"""),1.0)</f>
        <v>1</v>
      </c>
      <c r="O824" s="172"/>
      <c r="P824" s="313">
        <f>IFERROR(__xludf.DUMMYFUNCTION("""COMPUTED_VALUE"""),0.0)</f>
        <v>0</v>
      </c>
      <c r="Q824" s="76" t="b">
        <f>VLOOKUP($B824,'Run Reconcile'!B$2:O1399,14,FALSE)</f>
        <v>1</v>
      </c>
      <c r="R824" s="314" t="str">
        <f t="array" ref="R824">IF($Q824, INDEX('Run Reconcile'!A$2:A1399,MATCH(B824,'Run Reconcile'!B$2:B1399,0),1),IFERROR(0/0,""))</f>
        <v>RUN-ABRM_2023-02-06_RFR-150</v>
      </c>
      <c r="S824" s="315" t="str">
        <f t="shared" ref="S824:T824" si="1653">IF(COUNTIF(W$2:W1399, $A824) &gt; 0,TRUE,IFERROR(0/0,""))</f>
        <v/>
      </c>
      <c r="T824" s="315" t="str">
        <f t="shared" si="1653"/>
        <v/>
      </c>
      <c r="U824" s="114" t="str">
        <f t="array" ref="U824">IF(ISBLANK($R824), INDEX('Run Reconcile'!A$2:A1399, MATCH($B824, 'Run Reconcile'!B$2:B1399, 0)+Z824, 1), IFERROR(0/0,""))
</f>
        <v/>
      </c>
      <c r="V824" s="316" t="str">
        <f t="shared" si="1281"/>
        <v>RUN-ABRM_2023-02-06_RFR-150</v>
      </c>
      <c r="Y824" s="317" t="str">
        <f t="shared" si="6"/>
        <v/>
      </c>
      <c r="Z824" s="83" t="str">
        <f t="shared" si="7"/>
        <v/>
      </c>
      <c r="AA824" s="83" t="str">
        <f t="shared" si="8"/>
        <v/>
      </c>
      <c r="AB824" s="83" t="str">
        <f t="shared" si="9"/>
        <v/>
      </c>
      <c r="AC824" s="18" t="str">
        <f t="shared" ref="AC824:AD824" si="1654">IF(_xlfn.ISFORMULA(S824),IFERROR(0/0,""),TRUE)</f>
        <v/>
      </c>
      <c r="AD824" s="18" t="str">
        <f t="shared" si="1654"/>
        <v/>
      </c>
      <c r="AE824" s="43"/>
      <c r="AF824" s="58" t="s">
        <v>131</v>
      </c>
      <c r="AG824" s="55" t="str">
        <f t="shared" si="11"/>
        <v/>
      </c>
    </row>
    <row r="825">
      <c r="A825" s="7" t="str">
        <f>IFERROR(__xludf.DUMMYFUNCTION("""COMPUTED_VALUE"""),"AR607")</f>
        <v>AR607</v>
      </c>
      <c r="B825" s="308">
        <f>IFERROR(__xludf.DUMMYFUNCTION("""COMPUTED_VALUE"""),44963.0)</f>
        <v>44963</v>
      </c>
      <c r="C825" s="309">
        <f>IFERROR(__xludf.DUMMYFUNCTION("""COMPUTED_VALUE"""),0.36116898148148147)</f>
        <v>0.3611689815</v>
      </c>
      <c r="D825" s="7" t="str">
        <f>IFERROR(__xludf.DUMMYFUNCTION("""COMPUTED_VALUE"""),"SpABRM655136")</f>
        <v>SpABRM655136</v>
      </c>
      <c r="E825" s="310"/>
      <c r="F825" s="310"/>
      <c r="G825" s="310" t="str">
        <f>IFERROR(__xludf.DUMMYFUNCTION("""COMPUTED_VALUE"""),"Negative")</f>
        <v>Negative</v>
      </c>
      <c r="H825" s="319" t="str">
        <f>IFERROR(__xludf.DUMMYFUNCTION("""COMPUTED_VALUE"""),"Negative")</f>
        <v>Negative</v>
      </c>
      <c r="I825" s="308">
        <f>IFERROR(__xludf.DUMMYFUNCTION("""COMPUTED_VALUE"""),44963.0)</f>
        <v>44963</v>
      </c>
      <c r="J825" s="311">
        <f>IFERROR(__xludf.DUMMYFUNCTION("""COMPUTED_VALUE"""),0.38885416666666667)</f>
        <v>0.3888541667</v>
      </c>
      <c r="K825" s="54"/>
      <c r="L825" s="7"/>
      <c r="M825" s="312"/>
      <c r="N825" s="172">
        <f>IFERROR(__xludf.DUMMYFUNCTION("""COMPUTED_VALUE"""),1.0)</f>
        <v>1</v>
      </c>
      <c r="O825" s="172"/>
      <c r="P825" s="313">
        <f>IFERROR(__xludf.DUMMYFUNCTION("""COMPUTED_VALUE"""),0.0)</f>
        <v>0</v>
      </c>
      <c r="Q825" s="76" t="b">
        <f>VLOOKUP($B825,'Run Reconcile'!B$2:O1399,14,FALSE)</f>
        <v>1</v>
      </c>
      <c r="R825" s="314" t="str">
        <f t="array" ref="R825">IF($Q825, INDEX('Run Reconcile'!A$2:A1399,MATCH(B825,'Run Reconcile'!B$2:B1399,0),1),IFERROR(0/0,""))</f>
        <v>RUN-ABRM_2023-02-06_RFR-150</v>
      </c>
      <c r="S825" s="315" t="str">
        <f t="shared" ref="S825:T825" si="1655">IF(COUNTIF(W$2:W1399, $A825) &gt; 0,TRUE,IFERROR(0/0,""))</f>
        <v/>
      </c>
      <c r="T825" s="315" t="str">
        <f t="shared" si="1655"/>
        <v/>
      </c>
      <c r="U825" s="114" t="str">
        <f t="array" ref="U825">IF(ISBLANK($R825), INDEX('Run Reconcile'!A$2:A1399, MATCH($B825, 'Run Reconcile'!B$2:B1399, 0)+Z825, 1), IFERROR(0/0,""))
</f>
        <v/>
      </c>
      <c r="V825" s="316" t="str">
        <f t="shared" si="1281"/>
        <v>RUN-ABRM_2023-02-06_RFR-150</v>
      </c>
      <c r="Y825" s="317" t="str">
        <f t="shared" si="6"/>
        <v/>
      </c>
      <c r="Z825" s="83" t="str">
        <f t="shared" si="7"/>
        <v/>
      </c>
      <c r="AA825" s="83" t="str">
        <f t="shared" si="8"/>
        <v/>
      </c>
      <c r="AB825" s="83" t="str">
        <f t="shared" si="9"/>
        <v/>
      </c>
      <c r="AC825" s="18" t="str">
        <f t="shared" ref="AC825:AD825" si="1656">IF(_xlfn.ISFORMULA(S825),IFERROR(0/0,""),TRUE)</f>
        <v/>
      </c>
      <c r="AD825" s="18" t="str">
        <f t="shared" si="1656"/>
        <v/>
      </c>
      <c r="AE825" s="43"/>
      <c r="AF825" s="58" t="s">
        <v>131</v>
      </c>
      <c r="AG825" s="55" t="str">
        <f t="shared" si="11"/>
        <v/>
      </c>
    </row>
    <row r="826">
      <c r="A826" s="7" t="str">
        <f>IFERROR(__xludf.DUMMYFUNCTION("""COMPUTED_VALUE"""),"AR1666")</f>
        <v>AR1666</v>
      </c>
      <c r="B826" s="308">
        <f>IFERROR(__xludf.DUMMYFUNCTION("""COMPUTED_VALUE"""),44964.0)</f>
        <v>44964</v>
      </c>
      <c r="C826" s="309">
        <f>IFERROR(__xludf.DUMMYFUNCTION("""COMPUTED_VALUE"""),0.23217592592592592)</f>
        <v>0.2321759259</v>
      </c>
      <c r="D826" s="7" t="str">
        <f>IFERROR(__xludf.DUMMYFUNCTION("""COMPUTED_VALUE"""),"SpABRM454310")</f>
        <v>SpABRM454310</v>
      </c>
      <c r="E826" s="310"/>
      <c r="F826" s="310"/>
      <c r="G826" s="310" t="str">
        <f>IFERROR(__xludf.DUMMYFUNCTION("""COMPUTED_VALUE"""),"Negative")</f>
        <v>Negative</v>
      </c>
      <c r="H826" s="319" t="str">
        <f>IFERROR(__xludf.DUMMYFUNCTION("""COMPUTED_VALUE"""),"Negative")</f>
        <v>Negative</v>
      </c>
      <c r="I826" s="308">
        <f>IFERROR(__xludf.DUMMYFUNCTION("""COMPUTED_VALUE"""),44964.0)</f>
        <v>44964</v>
      </c>
      <c r="J826" s="311">
        <f>IFERROR(__xludf.DUMMYFUNCTION("""COMPUTED_VALUE"""),0.4034490740740741)</f>
        <v>0.4034490741</v>
      </c>
      <c r="K826" s="54"/>
      <c r="L826" s="7"/>
      <c r="M826" s="312"/>
      <c r="N826" s="172">
        <f>IFERROR(__xludf.DUMMYFUNCTION("""COMPUTED_VALUE"""),3.0)</f>
        <v>3</v>
      </c>
      <c r="O826" s="172"/>
      <c r="P826" s="313">
        <f>IFERROR(__xludf.DUMMYFUNCTION("""COMPUTED_VALUE"""),0.0)</f>
        <v>0</v>
      </c>
      <c r="Q826" s="76" t="b">
        <f>VLOOKUP($B826,'Run Reconcile'!B$2:O1399,14,FALSE)</f>
        <v>1</v>
      </c>
      <c r="R826" s="314" t="str">
        <f t="array" ref="R826">IF($Q826, INDEX('Run Reconcile'!A$2:A1399,MATCH(B826,'Run Reconcile'!B$2:B1399,0),1),IFERROR(0/0,""))</f>
        <v>RUN-ABRM_2023-02-07_APS-004</v>
      </c>
      <c r="S826" s="315" t="str">
        <f t="shared" ref="S826:T826" si="1657">IF(COUNTIF(W$2:W1399, $A826) &gt; 0,TRUE,IFERROR(0/0,""))</f>
        <v/>
      </c>
      <c r="T826" s="315" t="str">
        <f t="shared" si="1657"/>
        <v/>
      </c>
      <c r="U826" s="114" t="str">
        <f t="array" ref="U826">IF(ISBLANK($R826), INDEX('Run Reconcile'!A$2:A1399, MATCH($B826, 'Run Reconcile'!B$2:B1399, 0)+Z826, 1), IFERROR(0/0,""))
</f>
        <v/>
      </c>
      <c r="V826" s="316" t="str">
        <f t="shared" si="1281"/>
        <v>RUN-ABRM_2023-02-07_APS-004</v>
      </c>
      <c r="Y826" s="317" t="str">
        <f t="shared" si="6"/>
        <v/>
      </c>
      <c r="Z826" s="83" t="str">
        <f t="shared" si="7"/>
        <v/>
      </c>
      <c r="AA826" s="83" t="str">
        <f t="shared" si="8"/>
        <v/>
      </c>
      <c r="AB826" s="83" t="str">
        <f t="shared" si="9"/>
        <v/>
      </c>
      <c r="AC826" s="18" t="str">
        <f t="shared" ref="AC826:AD826" si="1658">IF(_xlfn.ISFORMULA(S826),IFERROR(0/0,""),TRUE)</f>
        <v/>
      </c>
      <c r="AD826" s="18" t="str">
        <f t="shared" si="1658"/>
        <v/>
      </c>
      <c r="AE826" s="43"/>
      <c r="AF826" s="58" t="s">
        <v>1374</v>
      </c>
      <c r="AG826" s="55" t="b">
        <f t="shared" si="11"/>
        <v>0</v>
      </c>
    </row>
    <row r="827">
      <c r="A827" s="7" t="str">
        <f>IFERROR(__xludf.DUMMYFUNCTION("""COMPUTED_VALUE"""),"AR768")</f>
        <v>AR768</v>
      </c>
      <c r="B827" s="308">
        <f>IFERROR(__xludf.DUMMYFUNCTION("""COMPUTED_VALUE"""),44964.0)</f>
        <v>44964</v>
      </c>
      <c r="C827" s="309">
        <f>IFERROR(__xludf.DUMMYFUNCTION("""COMPUTED_VALUE"""),0.3002546296296296)</f>
        <v>0.3002546296</v>
      </c>
      <c r="D827" s="7" t="str">
        <f>IFERROR(__xludf.DUMMYFUNCTION("""COMPUTED_VALUE"""),"SpABRM297307")</f>
        <v>SpABRM297307</v>
      </c>
      <c r="E827" s="310"/>
      <c r="F827" s="310"/>
      <c r="G827" s="310" t="str">
        <f>IFERROR(__xludf.DUMMYFUNCTION("""COMPUTED_VALUE"""),"Negative")</f>
        <v>Negative</v>
      </c>
      <c r="H827" s="319" t="str">
        <f>IFERROR(__xludf.DUMMYFUNCTION("""COMPUTED_VALUE"""),"Negative")</f>
        <v>Negative</v>
      </c>
      <c r="I827" s="308">
        <f>IFERROR(__xludf.DUMMYFUNCTION("""COMPUTED_VALUE"""),44964.0)</f>
        <v>44964</v>
      </c>
      <c r="J827" s="311">
        <f>IFERROR(__xludf.DUMMYFUNCTION("""COMPUTED_VALUE"""),0.40346064814814814)</f>
        <v>0.4034606481</v>
      </c>
      <c r="K827" s="54"/>
      <c r="L827" s="7"/>
      <c r="M827" s="312"/>
      <c r="N827" s="172">
        <f>IFERROR(__xludf.DUMMYFUNCTION("""COMPUTED_VALUE"""),4.0)</f>
        <v>4</v>
      </c>
      <c r="O827" s="172"/>
      <c r="P827" s="313">
        <f>IFERROR(__xludf.DUMMYFUNCTION("""COMPUTED_VALUE"""),0.0)</f>
        <v>0</v>
      </c>
      <c r="Q827" s="76" t="b">
        <f>VLOOKUP($B827,'Run Reconcile'!B$2:O1399,14,FALSE)</f>
        <v>1</v>
      </c>
      <c r="R827" s="314" t="str">
        <f t="array" ref="R827">IF($Q827, INDEX('Run Reconcile'!A$2:A1399,MATCH(B827,'Run Reconcile'!B$2:B1399,0),1),IFERROR(0/0,""))</f>
        <v>RUN-ABRM_2023-02-07_APS-004</v>
      </c>
      <c r="S827" s="315" t="str">
        <f t="shared" ref="S827:T827" si="1659">IF(COUNTIF(W$2:W1399, $A827) &gt; 0,TRUE,IFERROR(0/0,""))</f>
        <v/>
      </c>
      <c r="T827" s="315" t="str">
        <f t="shared" si="1659"/>
        <v/>
      </c>
      <c r="U827" s="114" t="str">
        <f t="array" ref="U827">IF(ISBLANK($R827), INDEX('Run Reconcile'!A$2:A1399, MATCH($B827, 'Run Reconcile'!B$2:B1399, 0)+Z827, 1), IFERROR(0/0,""))
</f>
        <v/>
      </c>
      <c r="V827" s="316" t="str">
        <f t="shared" si="1281"/>
        <v>RUN-ABRM_2023-02-07_APS-004</v>
      </c>
      <c r="Y827" s="317" t="str">
        <f t="shared" si="6"/>
        <v/>
      </c>
      <c r="Z827" s="83" t="str">
        <f t="shared" si="7"/>
        <v/>
      </c>
      <c r="AA827" s="83" t="str">
        <f t="shared" si="8"/>
        <v/>
      </c>
      <c r="AB827" s="83" t="str">
        <f t="shared" si="9"/>
        <v/>
      </c>
      <c r="AC827" s="18" t="str">
        <f t="shared" ref="AC827:AD827" si="1660">IF(_xlfn.ISFORMULA(S827),IFERROR(0/0,""),TRUE)</f>
        <v/>
      </c>
      <c r="AD827" s="18" t="str">
        <f t="shared" si="1660"/>
        <v/>
      </c>
      <c r="AE827" s="43"/>
      <c r="AF827" s="58" t="s">
        <v>1374</v>
      </c>
      <c r="AG827" s="55" t="b">
        <f t="shared" si="11"/>
        <v>0</v>
      </c>
    </row>
    <row r="828">
      <c r="A828" s="7" t="str">
        <f>IFERROR(__xludf.DUMMYFUNCTION("""COMPUTED_VALUE"""),"AR766")</f>
        <v>AR766</v>
      </c>
      <c r="B828" s="308">
        <f>IFERROR(__xludf.DUMMYFUNCTION("""COMPUTED_VALUE"""),44964.0)</f>
        <v>44964</v>
      </c>
      <c r="C828" s="309">
        <f>IFERROR(__xludf.DUMMYFUNCTION("""COMPUTED_VALUE"""),0.3176388888888889)</f>
        <v>0.3176388889</v>
      </c>
      <c r="D828" s="7" t="str">
        <f>IFERROR(__xludf.DUMMYFUNCTION("""COMPUTED_VALUE"""),"SpABRM655136")</f>
        <v>SpABRM655136</v>
      </c>
      <c r="E828" s="310"/>
      <c r="F828" s="310"/>
      <c r="G828" s="310" t="str">
        <f>IFERROR(__xludf.DUMMYFUNCTION("""COMPUTED_VALUE"""),"Negative")</f>
        <v>Negative</v>
      </c>
      <c r="H828" s="319" t="str">
        <f>IFERROR(__xludf.DUMMYFUNCTION("""COMPUTED_VALUE"""),"Negative")</f>
        <v>Negative</v>
      </c>
      <c r="I828" s="308">
        <f>IFERROR(__xludf.DUMMYFUNCTION("""COMPUTED_VALUE"""),44964.0)</f>
        <v>44964</v>
      </c>
      <c r="J828" s="311">
        <f>IFERROR(__xludf.DUMMYFUNCTION("""COMPUTED_VALUE"""),0.40346064814814814)</f>
        <v>0.4034606481</v>
      </c>
      <c r="K828" s="54"/>
      <c r="L828" s="7"/>
      <c r="M828" s="312"/>
      <c r="N828" s="172">
        <f>IFERROR(__xludf.DUMMYFUNCTION("""COMPUTED_VALUE"""),1.0)</f>
        <v>1</v>
      </c>
      <c r="O828" s="172"/>
      <c r="P828" s="313">
        <f>IFERROR(__xludf.DUMMYFUNCTION("""COMPUTED_VALUE"""),0.0)</f>
        <v>0</v>
      </c>
      <c r="Q828" s="76" t="b">
        <f>VLOOKUP($B828,'Run Reconcile'!B$2:O1399,14,FALSE)</f>
        <v>1</v>
      </c>
      <c r="R828" s="314" t="str">
        <f t="array" ref="R828">IF($Q828, INDEX('Run Reconcile'!A$2:A1399,MATCH(B828,'Run Reconcile'!B$2:B1399,0),1),IFERROR(0/0,""))</f>
        <v>RUN-ABRM_2023-02-07_APS-004</v>
      </c>
      <c r="S828" s="315" t="str">
        <f t="shared" ref="S828:T828" si="1661">IF(COUNTIF(W$2:W1399, $A828) &gt; 0,TRUE,IFERROR(0/0,""))</f>
        <v/>
      </c>
      <c r="T828" s="315" t="str">
        <f t="shared" si="1661"/>
        <v/>
      </c>
      <c r="U828" s="114" t="str">
        <f t="array" ref="U828">IF(ISBLANK($R828), INDEX('Run Reconcile'!A$2:A1399, MATCH($B828, 'Run Reconcile'!B$2:B1399, 0)+Z828, 1), IFERROR(0/0,""))
</f>
        <v/>
      </c>
      <c r="V828" s="316" t="str">
        <f t="shared" si="1281"/>
        <v>RUN-ABRM_2023-02-07_APS-004</v>
      </c>
      <c r="Y828" s="317" t="str">
        <f t="shared" si="6"/>
        <v/>
      </c>
      <c r="Z828" s="83" t="str">
        <f t="shared" si="7"/>
        <v/>
      </c>
      <c r="AA828" s="83" t="str">
        <f t="shared" si="8"/>
        <v/>
      </c>
      <c r="AB828" s="83" t="str">
        <f t="shared" si="9"/>
        <v/>
      </c>
      <c r="AC828" s="18" t="str">
        <f t="shared" ref="AC828:AD828" si="1662">IF(_xlfn.ISFORMULA(S828),IFERROR(0/0,""),TRUE)</f>
        <v/>
      </c>
      <c r="AD828" s="18" t="str">
        <f t="shared" si="1662"/>
        <v/>
      </c>
      <c r="AE828" s="43"/>
      <c r="AF828" s="58" t="s">
        <v>1374</v>
      </c>
      <c r="AG828" s="55" t="b">
        <f t="shared" si="11"/>
        <v>0</v>
      </c>
    </row>
    <row r="829">
      <c r="A829" s="7" t="str">
        <f>IFERROR(__xludf.DUMMYFUNCTION("""COMPUTED_VALUE"""),"AJ7031")</f>
        <v>AJ7031</v>
      </c>
      <c r="B829" s="308">
        <f>IFERROR(__xludf.DUMMYFUNCTION("""COMPUTED_VALUE"""),44964.0)</f>
        <v>44964</v>
      </c>
      <c r="C829" s="309">
        <f>IFERROR(__xludf.DUMMYFUNCTION("""COMPUTED_VALUE"""),0.3179166666666667)</f>
        <v>0.3179166667</v>
      </c>
      <c r="D829" s="7" t="str">
        <f>IFERROR(__xludf.DUMMYFUNCTION("""COMPUTED_VALUE"""),"SpABRM655136")</f>
        <v>SpABRM655136</v>
      </c>
      <c r="E829" s="310"/>
      <c r="F829" s="310"/>
      <c r="G829" s="310" t="str">
        <f>IFERROR(__xludf.DUMMYFUNCTION("""COMPUTED_VALUE"""),"Negative")</f>
        <v>Negative</v>
      </c>
      <c r="H829" s="319" t="str">
        <f>IFERROR(__xludf.DUMMYFUNCTION("""COMPUTED_VALUE"""),"Negative")</f>
        <v>Negative</v>
      </c>
      <c r="I829" s="308">
        <f>IFERROR(__xludf.DUMMYFUNCTION("""COMPUTED_VALUE"""),44964.0)</f>
        <v>44964</v>
      </c>
      <c r="J829" s="311">
        <f>IFERROR(__xludf.DUMMYFUNCTION("""COMPUTED_VALUE"""),0.40347222222222223)</f>
        <v>0.4034722222</v>
      </c>
      <c r="K829" s="54"/>
      <c r="L829" s="7"/>
      <c r="M829" s="312"/>
      <c r="N829" s="172">
        <f>IFERROR(__xludf.DUMMYFUNCTION("""COMPUTED_VALUE"""),1.0)</f>
        <v>1</v>
      </c>
      <c r="O829" s="172"/>
      <c r="P829" s="313">
        <f>IFERROR(__xludf.DUMMYFUNCTION("""COMPUTED_VALUE"""),0.0)</f>
        <v>0</v>
      </c>
      <c r="Q829" s="76" t="b">
        <f>VLOOKUP($B829,'Run Reconcile'!B$2:O1399,14,FALSE)</f>
        <v>1</v>
      </c>
      <c r="R829" s="314" t="str">
        <f t="array" ref="R829">IF($Q829, INDEX('Run Reconcile'!A$2:A1399,MATCH(B829,'Run Reconcile'!B$2:B1399,0),1),IFERROR(0/0,""))</f>
        <v>RUN-ABRM_2023-02-07_APS-004</v>
      </c>
      <c r="S829" s="315" t="str">
        <f t="shared" ref="S829:T829" si="1663">IF(COUNTIF(W$2:W1399, $A829) &gt; 0,TRUE,IFERROR(0/0,""))</f>
        <v/>
      </c>
      <c r="T829" s="315" t="str">
        <f t="shared" si="1663"/>
        <v/>
      </c>
      <c r="U829" s="114" t="str">
        <f t="array" ref="U829">IF(ISBLANK($R829), INDEX('Run Reconcile'!A$2:A1399, MATCH($B829, 'Run Reconcile'!B$2:B1399, 0)+Z829, 1), IFERROR(0/0,""))
</f>
        <v/>
      </c>
      <c r="V829" s="316" t="str">
        <f t="shared" si="1281"/>
        <v>RUN-ABRM_2023-02-07_APS-004</v>
      </c>
      <c r="Y829" s="317" t="str">
        <f t="shared" si="6"/>
        <v/>
      </c>
      <c r="Z829" s="83" t="str">
        <f t="shared" si="7"/>
        <v/>
      </c>
      <c r="AA829" s="83" t="str">
        <f t="shared" si="8"/>
        <v/>
      </c>
      <c r="AB829" s="83" t="str">
        <f t="shared" si="9"/>
        <v/>
      </c>
      <c r="AC829" s="18" t="str">
        <f t="shared" ref="AC829:AD829" si="1664">IF(_xlfn.ISFORMULA(S829),IFERROR(0/0,""),TRUE)</f>
        <v/>
      </c>
      <c r="AD829" s="18" t="str">
        <f t="shared" si="1664"/>
        <v/>
      </c>
      <c r="AE829" s="43"/>
      <c r="AF829" s="58" t="s">
        <v>1374</v>
      </c>
      <c r="AG829" s="55" t="b">
        <f t="shared" si="11"/>
        <v>0</v>
      </c>
    </row>
    <row r="830">
      <c r="A830" s="7" t="str">
        <f>IFERROR(__xludf.DUMMYFUNCTION("""COMPUTED_VALUE"""),"AR1143")</f>
        <v>AR1143</v>
      </c>
      <c r="B830" s="308">
        <f>IFERROR(__xludf.DUMMYFUNCTION("""COMPUTED_VALUE"""),44964.0)</f>
        <v>44964</v>
      </c>
      <c r="C830" s="309">
        <f>IFERROR(__xludf.DUMMYFUNCTION("""COMPUTED_VALUE"""),0.3181597222222222)</f>
        <v>0.3181597222</v>
      </c>
      <c r="D830" s="7" t="str">
        <f>IFERROR(__xludf.DUMMYFUNCTION("""COMPUTED_VALUE"""),"SpABRM655136")</f>
        <v>SpABRM655136</v>
      </c>
      <c r="E830" s="310"/>
      <c r="F830" s="310"/>
      <c r="G830" s="310" t="str">
        <f>IFERROR(__xludf.DUMMYFUNCTION("""COMPUTED_VALUE"""),"Negative")</f>
        <v>Negative</v>
      </c>
      <c r="H830" s="319" t="str">
        <f>IFERROR(__xludf.DUMMYFUNCTION("""COMPUTED_VALUE"""),"Negative")</f>
        <v>Negative</v>
      </c>
      <c r="I830" s="308">
        <f>IFERROR(__xludf.DUMMYFUNCTION("""COMPUTED_VALUE"""),44964.0)</f>
        <v>44964</v>
      </c>
      <c r="J830" s="311">
        <f>IFERROR(__xludf.DUMMYFUNCTION("""COMPUTED_VALUE"""),0.40347222222222223)</f>
        <v>0.4034722222</v>
      </c>
      <c r="K830" s="54"/>
      <c r="L830" s="7"/>
      <c r="M830" s="312"/>
      <c r="N830" s="172">
        <f>IFERROR(__xludf.DUMMYFUNCTION("""COMPUTED_VALUE"""),1.0)</f>
        <v>1</v>
      </c>
      <c r="O830" s="172"/>
      <c r="P830" s="313">
        <f>IFERROR(__xludf.DUMMYFUNCTION("""COMPUTED_VALUE"""),0.0)</f>
        <v>0</v>
      </c>
      <c r="Q830" s="76" t="b">
        <f>VLOOKUP($B830,'Run Reconcile'!B$2:O1399,14,FALSE)</f>
        <v>1</v>
      </c>
      <c r="R830" s="314" t="str">
        <f t="array" ref="R830">IF($Q830, INDEX('Run Reconcile'!A$2:A1399,MATCH(B830,'Run Reconcile'!B$2:B1399,0),1),IFERROR(0/0,""))</f>
        <v>RUN-ABRM_2023-02-07_APS-004</v>
      </c>
      <c r="S830" s="315" t="str">
        <f t="shared" ref="S830:T830" si="1665">IF(COUNTIF(W$2:W1399, $A830) &gt; 0,TRUE,IFERROR(0/0,""))</f>
        <v/>
      </c>
      <c r="T830" s="315" t="str">
        <f t="shared" si="1665"/>
        <v/>
      </c>
      <c r="U830" s="114" t="str">
        <f t="array" ref="U830">IF(ISBLANK($R830), INDEX('Run Reconcile'!A$2:A1399, MATCH($B830, 'Run Reconcile'!B$2:B1399, 0)+Z830, 1), IFERROR(0/0,""))
</f>
        <v/>
      </c>
      <c r="V830" s="316" t="str">
        <f t="shared" si="1281"/>
        <v>RUN-ABRM_2023-02-07_APS-004</v>
      </c>
      <c r="Y830" s="317" t="str">
        <f t="shared" si="6"/>
        <v/>
      </c>
      <c r="Z830" s="83" t="str">
        <f t="shared" si="7"/>
        <v/>
      </c>
      <c r="AA830" s="83" t="str">
        <f t="shared" si="8"/>
        <v/>
      </c>
      <c r="AB830" s="83" t="str">
        <f t="shared" si="9"/>
        <v/>
      </c>
      <c r="AC830" s="18" t="str">
        <f t="shared" ref="AC830:AD830" si="1666">IF(_xlfn.ISFORMULA(S830),IFERROR(0/0,""),TRUE)</f>
        <v/>
      </c>
      <c r="AD830" s="18" t="str">
        <f t="shared" si="1666"/>
        <v/>
      </c>
      <c r="AE830" s="43"/>
      <c r="AF830" s="58" t="s">
        <v>1374</v>
      </c>
      <c r="AG830" s="55" t="b">
        <f t="shared" si="11"/>
        <v>0</v>
      </c>
    </row>
    <row r="831">
      <c r="A831" s="7" t="str">
        <f>IFERROR(__xludf.DUMMYFUNCTION("""COMPUTED_VALUE"""),"AK6409")</f>
        <v>AK6409</v>
      </c>
      <c r="B831" s="308">
        <f>IFERROR(__xludf.DUMMYFUNCTION("""COMPUTED_VALUE"""),44964.0)</f>
        <v>44964</v>
      </c>
      <c r="C831" s="309">
        <f>IFERROR(__xludf.DUMMYFUNCTION("""COMPUTED_VALUE"""),0.35630787037037037)</f>
        <v>0.3563078704</v>
      </c>
      <c r="D831" s="7" t="str">
        <f>IFERROR(__xludf.DUMMYFUNCTION("""COMPUTED_VALUE"""),"SpABRM655136")</f>
        <v>SpABRM655136</v>
      </c>
      <c r="E831" s="310"/>
      <c r="F831" s="310"/>
      <c r="G831" s="310" t="str">
        <f>IFERROR(__xludf.DUMMYFUNCTION("""COMPUTED_VALUE"""),"Negative")</f>
        <v>Negative</v>
      </c>
      <c r="H831" s="319" t="str">
        <f>IFERROR(__xludf.DUMMYFUNCTION("""COMPUTED_VALUE"""),"Negative")</f>
        <v>Negative</v>
      </c>
      <c r="I831" s="308">
        <f>IFERROR(__xludf.DUMMYFUNCTION("""COMPUTED_VALUE"""),44964.0)</f>
        <v>44964</v>
      </c>
      <c r="J831" s="311">
        <f>IFERROR(__xludf.DUMMYFUNCTION("""COMPUTED_VALUE"""),0.40348379629629627)</f>
        <v>0.4034837963</v>
      </c>
      <c r="K831" s="54"/>
      <c r="L831" s="7"/>
      <c r="M831" s="312"/>
      <c r="N831" s="172">
        <f>IFERROR(__xludf.DUMMYFUNCTION("""COMPUTED_VALUE"""),2.0)</f>
        <v>2</v>
      </c>
      <c r="O831" s="172"/>
      <c r="P831" s="313">
        <f>IFERROR(__xludf.DUMMYFUNCTION("""COMPUTED_VALUE"""),0.0)</f>
        <v>0</v>
      </c>
      <c r="Q831" s="76" t="b">
        <f>VLOOKUP($B831,'Run Reconcile'!B$2:O1399,14,FALSE)</f>
        <v>1</v>
      </c>
      <c r="R831" s="314" t="str">
        <f t="array" ref="R831">IF($Q831, INDEX('Run Reconcile'!A$2:A1399,MATCH(B831,'Run Reconcile'!B$2:B1399,0),1),IFERROR(0/0,""))</f>
        <v>RUN-ABRM_2023-02-07_APS-004</v>
      </c>
      <c r="S831" s="315" t="str">
        <f t="shared" ref="S831:T831" si="1667">IF(COUNTIF(W$2:W1399, $A831) &gt; 0,TRUE,IFERROR(0/0,""))</f>
        <v/>
      </c>
      <c r="T831" s="315" t="str">
        <f t="shared" si="1667"/>
        <v/>
      </c>
      <c r="U831" s="114" t="str">
        <f t="array" ref="U831">IF(ISBLANK($R831), INDEX('Run Reconcile'!A$2:A1399, MATCH($B831, 'Run Reconcile'!B$2:B1399, 0)+Z831, 1), IFERROR(0/0,""))
</f>
        <v/>
      </c>
      <c r="V831" s="316" t="str">
        <f t="shared" si="1281"/>
        <v>RUN-ABRM_2023-02-07_APS-004</v>
      </c>
      <c r="Y831" s="317" t="str">
        <f t="shared" si="6"/>
        <v/>
      </c>
      <c r="Z831" s="83" t="str">
        <f t="shared" si="7"/>
        <v/>
      </c>
      <c r="AA831" s="83" t="str">
        <f t="shared" si="8"/>
        <v/>
      </c>
      <c r="AB831" s="83" t="str">
        <f t="shared" si="9"/>
        <v/>
      </c>
      <c r="AC831" s="18" t="str">
        <f t="shared" ref="AC831:AD831" si="1668">IF(_xlfn.ISFORMULA(S831),IFERROR(0/0,""),TRUE)</f>
        <v/>
      </c>
      <c r="AD831" s="18" t="str">
        <f t="shared" si="1668"/>
        <v/>
      </c>
      <c r="AE831" s="43"/>
      <c r="AF831" s="58" t="s">
        <v>1374</v>
      </c>
      <c r="AG831" s="55" t="b">
        <f t="shared" si="11"/>
        <v>0</v>
      </c>
    </row>
    <row r="832">
      <c r="A832" s="7" t="str">
        <f>IFERROR(__xludf.DUMMYFUNCTION("""COMPUTED_VALUE"""),"AJ8058")</f>
        <v>AJ8058</v>
      </c>
      <c r="B832" s="308">
        <f>IFERROR(__xludf.DUMMYFUNCTION("""COMPUTED_VALUE"""),44965.0)</f>
        <v>44965</v>
      </c>
      <c r="C832" s="309">
        <f>IFERROR(__xludf.DUMMYFUNCTION("""COMPUTED_VALUE"""),0.23858796296296297)</f>
        <v>0.238587963</v>
      </c>
      <c r="D832" s="7" t="str">
        <f>IFERROR(__xludf.DUMMYFUNCTION("""COMPUTED_VALUE"""),"SpABRM297307")</f>
        <v>SpABRM297307</v>
      </c>
      <c r="E832" s="310"/>
      <c r="F832" s="310"/>
      <c r="G832" s="310" t="str">
        <f>IFERROR(__xludf.DUMMYFUNCTION("""COMPUTED_VALUE"""),"Negative")</f>
        <v>Negative</v>
      </c>
      <c r="H832" s="319" t="str">
        <f>IFERROR(__xludf.DUMMYFUNCTION("""COMPUTED_VALUE"""),"Negative")</f>
        <v>Negative</v>
      </c>
      <c r="I832" s="308">
        <f>IFERROR(__xludf.DUMMYFUNCTION("""COMPUTED_VALUE"""),44965.0)</f>
        <v>44965</v>
      </c>
      <c r="J832" s="311">
        <f>IFERROR(__xludf.DUMMYFUNCTION("""COMPUTED_VALUE"""),0.38484953703703706)</f>
        <v>0.384849537</v>
      </c>
      <c r="K832" s="54"/>
      <c r="L832" s="7"/>
      <c r="M832" s="312"/>
      <c r="N832" s="172">
        <f>IFERROR(__xludf.DUMMYFUNCTION("""COMPUTED_VALUE"""),3.0)</f>
        <v>3</v>
      </c>
      <c r="O832" s="172"/>
      <c r="P832" s="313">
        <f>IFERROR(__xludf.DUMMYFUNCTION("""COMPUTED_VALUE"""),0.0)</f>
        <v>0</v>
      </c>
      <c r="Q832" s="76" t="b">
        <f>VLOOKUP($B832,'Run Reconcile'!B$2:O1399,14,FALSE)</f>
        <v>1</v>
      </c>
      <c r="R832" s="314" t="str">
        <f t="array" ref="R832">IF($Q832, INDEX('Run Reconcile'!A$2:A1399,MATCH(B832,'Run Reconcile'!B$2:B1399,0),1),IFERROR(0/0,""))</f>
        <v>RUN-ABRM_2023-02-08_RFR-151</v>
      </c>
      <c r="S832" s="315" t="str">
        <f t="shared" ref="S832:T832" si="1669">IF(COUNTIF(W$2:W1399, $A832) &gt; 0,TRUE,IFERROR(0/0,""))</f>
        <v/>
      </c>
      <c r="T832" s="315" t="str">
        <f t="shared" si="1669"/>
        <v/>
      </c>
      <c r="U832" s="114" t="str">
        <f t="array" ref="U832">IF(ISBLANK($R832), INDEX('Run Reconcile'!A$2:A1399, MATCH($B832, 'Run Reconcile'!B$2:B1399, 0)+Z832, 1), IFERROR(0/0,""))
</f>
        <v/>
      </c>
      <c r="V832" s="316" t="str">
        <f t="shared" si="1281"/>
        <v>RUN-ABRM_2023-02-08_RFR-151</v>
      </c>
      <c r="Y832" s="317" t="str">
        <f t="shared" si="6"/>
        <v/>
      </c>
      <c r="Z832" s="83" t="str">
        <f t="shared" si="7"/>
        <v/>
      </c>
      <c r="AA832" s="83" t="str">
        <f t="shared" si="8"/>
        <v/>
      </c>
      <c r="AB832" s="83" t="str">
        <f t="shared" si="9"/>
        <v/>
      </c>
      <c r="AC832" s="18" t="str">
        <f t="shared" ref="AC832:AD832" si="1670">IF(_xlfn.ISFORMULA(S832),IFERROR(0/0,""),TRUE)</f>
        <v/>
      </c>
      <c r="AD832" s="18" t="str">
        <f t="shared" si="1670"/>
        <v/>
      </c>
      <c r="AE832" s="43"/>
      <c r="AF832" s="58" t="s">
        <v>133</v>
      </c>
      <c r="AG832" s="55" t="str">
        <f t="shared" si="11"/>
        <v/>
      </c>
    </row>
    <row r="833">
      <c r="A833" s="7" t="str">
        <f>IFERROR(__xludf.DUMMYFUNCTION("""COMPUTED_VALUE"""),"AH1161")</f>
        <v>AH1161</v>
      </c>
      <c r="B833" s="308">
        <f>IFERROR(__xludf.DUMMYFUNCTION("""COMPUTED_VALUE"""),44965.0)</f>
        <v>44965</v>
      </c>
      <c r="C833" s="309">
        <f>IFERROR(__xludf.DUMMYFUNCTION("""COMPUTED_VALUE"""),0.29359953703703706)</f>
        <v>0.293599537</v>
      </c>
      <c r="D833" s="7" t="str">
        <f>IFERROR(__xludf.DUMMYFUNCTION("""COMPUTED_VALUE"""),"SpABRM367540")</f>
        <v>SpABRM367540</v>
      </c>
      <c r="E833" s="310"/>
      <c r="F833" s="310"/>
      <c r="G833" s="310" t="str">
        <f>IFERROR(__xludf.DUMMYFUNCTION("""COMPUTED_VALUE"""),"Negative")</f>
        <v>Negative</v>
      </c>
      <c r="H833" s="319" t="str">
        <f>IFERROR(__xludf.DUMMYFUNCTION("""COMPUTED_VALUE"""),"Negative")</f>
        <v>Negative</v>
      </c>
      <c r="I833" s="308">
        <f>IFERROR(__xludf.DUMMYFUNCTION("""COMPUTED_VALUE"""),44965.0)</f>
        <v>44965</v>
      </c>
      <c r="J833" s="311">
        <f>IFERROR(__xludf.DUMMYFUNCTION("""COMPUTED_VALUE"""),0.4076273148148148)</f>
        <v>0.4076273148</v>
      </c>
      <c r="K833" s="54"/>
      <c r="L833" s="7"/>
      <c r="M833" s="312"/>
      <c r="N833" s="172">
        <f>IFERROR(__xludf.DUMMYFUNCTION("""COMPUTED_VALUE"""),3.0)</f>
        <v>3</v>
      </c>
      <c r="O833" s="172"/>
      <c r="P833" s="313">
        <f>IFERROR(__xludf.DUMMYFUNCTION("""COMPUTED_VALUE"""),0.0)</f>
        <v>0</v>
      </c>
      <c r="Q833" s="76" t="b">
        <f>VLOOKUP($B833,'Run Reconcile'!B$2:O1399,14,FALSE)</f>
        <v>1</v>
      </c>
      <c r="R833" s="314" t="str">
        <f t="array" ref="R833">IF($Q833, INDEX('Run Reconcile'!A$2:A1399,MATCH(B833,'Run Reconcile'!B$2:B1399,0),1),IFERROR(0/0,""))</f>
        <v>RUN-ABRM_2023-02-08_RFR-151</v>
      </c>
      <c r="S833" s="315" t="str">
        <f t="shared" ref="S833:T833" si="1671">IF(COUNTIF(W$2:W1399, $A833) &gt; 0,TRUE,IFERROR(0/0,""))</f>
        <v/>
      </c>
      <c r="T833" s="315" t="str">
        <f t="shared" si="1671"/>
        <v/>
      </c>
      <c r="U833" s="114" t="str">
        <f t="array" ref="U833">IF(ISBLANK($R833), INDEX('Run Reconcile'!A$2:A1399, MATCH($B833, 'Run Reconcile'!B$2:B1399, 0)+Z833, 1), IFERROR(0/0,""))
</f>
        <v/>
      </c>
      <c r="V833" s="316" t="str">
        <f t="shared" si="1281"/>
        <v>RUN-ABRM_2023-02-08_RFR-151</v>
      </c>
      <c r="Y833" s="317" t="str">
        <f t="shared" si="6"/>
        <v/>
      </c>
      <c r="Z833" s="83" t="str">
        <f t="shared" si="7"/>
        <v/>
      </c>
      <c r="AA833" s="83" t="str">
        <f t="shared" si="8"/>
        <v/>
      </c>
      <c r="AB833" s="83" t="str">
        <f t="shared" si="9"/>
        <v/>
      </c>
      <c r="AC833" s="18" t="str">
        <f t="shared" ref="AC833:AD833" si="1672">IF(_xlfn.ISFORMULA(S833),IFERROR(0/0,""),TRUE)</f>
        <v/>
      </c>
      <c r="AD833" s="18" t="str">
        <f t="shared" si="1672"/>
        <v/>
      </c>
      <c r="AE833" s="43"/>
      <c r="AF833" s="58" t="s">
        <v>133</v>
      </c>
      <c r="AG833" s="55" t="str">
        <f t="shared" si="11"/>
        <v/>
      </c>
    </row>
    <row r="834">
      <c r="A834" s="7" t="str">
        <f>IFERROR(__xludf.DUMMYFUNCTION("""COMPUTED_VALUE"""),"AG1015")</f>
        <v>AG1015</v>
      </c>
      <c r="B834" s="308">
        <f>IFERROR(__xludf.DUMMYFUNCTION("""COMPUTED_VALUE"""),44965.0)</f>
        <v>44965</v>
      </c>
      <c r="C834" s="309">
        <f>IFERROR(__xludf.DUMMYFUNCTION("""COMPUTED_VALUE"""),0.313912037037037)</f>
        <v>0.313912037</v>
      </c>
      <c r="D834" s="7" t="str">
        <f>IFERROR(__xludf.DUMMYFUNCTION("""COMPUTED_VALUE"""),"SpABRM814022")</f>
        <v>SpABRM814022</v>
      </c>
      <c r="E834" s="310"/>
      <c r="F834" s="310"/>
      <c r="G834" s="310" t="str">
        <f>IFERROR(__xludf.DUMMYFUNCTION("""COMPUTED_VALUE"""),"Negative")</f>
        <v>Negative</v>
      </c>
      <c r="H834" s="319" t="str">
        <f>IFERROR(__xludf.DUMMYFUNCTION("""COMPUTED_VALUE"""),"Negative")</f>
        <v>Negative</v>
      </c>
      <c r="I834" s="308">
        <f>IFERROR(__xludf.DUMMYFUNCTION("""COMPUTED_VALUE"""),44965.0)</f>
        <v>44965</v>
      </c>
      <c r="J834" s="311">
        <f>IFERROR(__xludf.DUMMYFUNCTION("""COMPUTED_VALUE"""),0.3848611111111111)</f>
        <v>0.3848611111</v>
      </c>
      <c r="K834" s="54"/>
      <c r="L834" s="7"/>
      <c r="M834" s="312"/>
      <c r="N834" s="172">
        <f>IFERROR(__xludf.DUMMYFUNCTION("""COMPUTED_VALUE"""),1.0)</f>
        <v>1</v>
      </c>
      <c r="O834" s="172"/>
      <c r="P834" s="313">
        <f>IFERROR(__xludf.DUMMYFUNCTION("""COMPUTED_VALUE"""),0.0)</f>
        <v>0</v>
      </c>
      <c r="Q834" s="76" t="b">
        <f>VLOOKUP($B834,'Run Reconcile'!B$2:O1399,14,FALSE)</f>
        <v>1</v>
      </c>
      <c r="R834" s="314" t="str">
        <f t="array" ref="R834">IF($Q834, INDEX('Run Reconcile'!A$2:A1399,MATCH(B834,'Run Reconcile'!B$2:B1399,0),1),IFERROR(0/0,""))</f>
        <v>RUN-ABRM_2023-02-08_RFR-151</v>
      </c>
      <c r="S834" s="315" t="str">
        <f t="shared" ref="S834:T834" si="1673">IF(COUNTIF(W$2:W1399, $A834) &gt; 0,TRUE,IFERROR(0/0,""))</f>
        <v/>
      </c>
      <c r="T834" s="315" t="str">
        <f t="shared" si="1673"/>
        <v/>
      </c>
      <c r="U834" s="114" t="str">
        <f t="array" ref="U834">IF(ISBLANK($R834), INDEX('Run Reconcile'!A$2:A1399, MATCH($B834, 'Run Reconcile'!B$2:B1399, 0)+Z834, 1), IFERROR(0/0,""))
</f>
        <v/>
      </c>
      <c r="V834" s="316" t="str">
        <f t="shared" si="1281"/>
        <v>RUN-ABRM_2023-02-08_RFR-151</v>
      </c>
      <c r="Y834" s="317" t="str">
        <f t="shared" si="6"/>
        <v/>
      </c>
      <c r="Z834" s="83" t="str">
        <f t="shared" si="7"/>
        <v/>
      </c>
      <c r="AA834" s="83" t="str">
        <f t="shared" si="8"/>
        <v/>
      </c>
      <c r="AB834" s="83" t="str">
        <f t="shared" si="9"/>
        <v/>
      </c>
      <c r="AC834" s="18" t="str">
        <f t="shared" ref="AC834:AD834" si="1674">IF(_xlfn.ISFORMULA(S834),IFERROR(0/0,""),TRUE)</f>
        <v/>
      </c>
      <c r="AD834" s="18" t="str">
        <f t="shared" si="1674"/>
        <v/>
      </c>
      <c r="AE834" s="43"/>
      <c r="AF834" s="58" t="s">
        <v>133</v>
      </c>
      <c r="AG834" s="55" t="str">
        <f t="shared" si="11"/>
        <v/>
      </c>
    </row>
    <row r="835">
      <c r="A835" s="7" t="str">
        <f>IFERROR(__xludf.DUMMYFUNCTION("""COMPUTED_VALUE"""),"AR358")</f>
        <v>AR358</v>
      </c>
      <c r="B835" s="308">
        <f>IFERROR(__xludf.DUMMYFUNCTION("""COMPUTED_VALUE"""),44965.0)</f>
        <v>44965</v>
      </c>
      <c r="C835" s="309">
        <f>IFERROR(__xludf.DUMMYFUNCTION("""COMPUTED_VALUE"""),0.3271296296296296)</f>
        <v>0.3271296296</v>
      </c>
      <c r="D835" s="7" t="str">
        <f>IFERROR(__xludf.DUMMYFUNCTION("""COMPUTED_VALUE"""),"SpABRM655136")</f>
        <v>SpABRM655136</v>
      </c>
      <c r="E835" s="310"/>
      <c r="F835" s="310"/>
      <c r="G835" s="310" t="str">
        <f>IFERROR(__xludf.DUMMYFUNCTION("""COMPUTED_VALUE"""),"Negative")</f>
        <v>Negative</v>
      </c>
      <c r="H835" s="319" t="str">
        <f>IFERROR(__xludf.DUMMYFUNCTION("""COMPUTED_VALUE"""),"Negative")</f>
        <v>Negative</v>
      </c>
      <c r="I835" s="308">
        <f>IFERROR(__xludf.DUMMYFUNCTION("""COMPUTED_VALUE"""),44965.0)</f>
        <v>44965</v>
      </c>
      <c r="J835" s="311">
        <f>IFERROR(__xludf.DUMMYFUNCTION("""COMPUTED_VALUE"""),0.3848611111111111)</f>
        <v>0.3848611111</v>
      </c>
      <c r="K835" s="54"/>
      <c r="L835" s="7"/>
      <c r="M835" s="312"/>
      <c r="N835" s="172">
        <f>IFERROR(__xludf.DUMMYFUNCTION("""COMPUTED_VALUE"""),2.0)</f>
        <v>2</v>
      </c>
      <c r="O835" s="172"/>
      <c r="P835" s="313">
        <f>IFERROR(__xludf.DUMMYFUNCTION("""COMPUTED_VALUE"""),0.0)</f>
        <v>0</v>
      </c>
      <c r="Q835" s="76" t="b">
        <f>VLOOKUP($B835,'Run Reconcile'!B$2:O1399,14,FALSE)</f>
        <v>1</v>
      </c>
      <c r="R835" s="314" t="str">
        <f t="array" ref="R835">IF($Q835, INDEX('Run Reconcile'!A$2:A1399,MATCH(B835,'Run Reconcile'!B$2:B1399,0),1),IFERROR(0/0,""))</f>
        <v>RUN-ABRM_2023-02-08_RFR-151</v>
      </c>
      <c r="S835" s="315" t="str">
        <f t="shared" ref="S835:T835" si="1675">IF(COUNTIF(W$2:W1399, $A835) &gt; 0,TRUE,IFERROR(0/0,""))</f>
        <v/>
      </c>
      <c r="T835" s="315" t="str">
        <f t="shared" si="1675"/>
        <v/>
      </c>
      <c r="U835" s="114" t="str">
        <f t="array" ref="U835">IF(ISBLANK($R835), INDEX('Run Reconcile'!A$2:A1399, MATCH($B835, 'Run Reconcile'!B$2:B1399, 0)+Z835, 1), IFERROR(0/0,""))
</f>
        <v/>
      </c>
      <c r="V835" s="316" t="str">
        <f t="shared" si="1281"/>
        <v>RUN-ABRM_2023-02-08_RFR-151</v>
      </c>
      <c r="Y835" s="317" t="str">
        <f t="shared" si="6"/>
        <v/>
      </c>
      <c r="Z835" s="83" t="str">
        <f t="shared" si="7"/>
        <v/>
      </c>
      <c r="AA835" s="83" t="str">
        <f t="shared" si="8"/>
        <v/>
      </c>
      <c r="AB835" s="83" t="str">
        <f t="shared" si="9"/>
        <v/>
      </c>
      <c r="AC835" s="18" t="str">
        <f t="shared" ref="AC835:AD835" si="1676">IF(_xlfn.ISFORMULA(S835),IFERROR(0/0,""),TRUE)</f>
        <v/>
      </c>
      <c r="AD835" s="18" t="str">
        <f t="shared" si="1676"/>
        <v/>
      </c>
      <c r="AE835" s="43"/>
      <c r="AF835" s="58" t="s">
        <v>133</v>
      </c>
      <c r="AG835" s="55" t="str">
        <f t="shared" si="11"/>
        <v/>
      </c>
    </row>
    <row r="836">
      <c r="A836" s="7" t="str">
        <f>IFERROR(__xludf.DUMMYFUNCTION("""COMPUTED_VALUE"""),"AR1355")</f>
        <v>AR1355</v>
      </c>
      <c r="B836" s="308">
        <f>IFERROR(__xludf.DUMMYFUNCTION("""COMPUTED_VALUE"""),44965.0)</f>
        <v>44965</v>
      </c>
      <c r="C836" s="309">
        <f>IFERROR(__xludf.DUMMYFUNCTION("""COMPUTED_VALUE"""),0.3313425925925926)</f>
        <v>0.3313425926</v>
      </c>
      <c r="D836" s="7" t="str">
        <f>IFERROR(__xludf.DUMMYFUNCTION("""COMPUTED_VALUE"""),"SpABRM655136")</f>
        <v>SpABRM655136</v>
      </c>
      <c r="E836" s="310"/>
      <c r="F836" s="310"/>
      <c r="G836" s="310" t="str">
        <f>IFERROR(__xludf.DUMMYFUNCTION("""COMPUTED_VALUE"""),"Negative")</f>
        <v>Negative</v>
      </c>
      <c r="H836" s="319" t="str">
        <f>IFERROR(__xludf.DUMMYFUNCTION("""COMPUTED_VALUE"""),"Negative")</f>
        <v>Negative</v>
      </c>
      <c r="I836" s="308">
        <f>IFERROR(__xludf.DUMMYFUNCTION("""COMPUTED_VALUE"""),44965.0)</f>
        <v>44965</v>
      </c>
      <c r="J836" s="311">
        <f>IFERROR(__xludf.DUMMYFUNCTION("""COMPUTED_VALUE"""),0.3848726851851852)</f>
        <v>0.3848726852</v>
      </c>
      <c r="K836" s="54"/>
      <c r="L836" s="7"/>
      <c r="M836" s="312"/>
      <c r="N836" s="172">
        <f>IFERROR(__xludf.DUMMYFUNCTION("""COMPUTED_VALUE"""),1.0)</f>
        <v>1</v>
      </c>
      <c r="O836" s="172"/>
      <c r="P836" s="313">
        <f>IFERROR(__xludf.DUMMYFUNCTION("""COMPUTED_VALUE"""),0.0)</f>
        <v>0</v>
      </c>
      <c r="Q836" s="76" t="b">
        <f>VLOOKUP($B836,'Run Reconcile'!B$2:O1399,14,FALSE)</f>
        <v>1</v>
      </c>
      <c r="R836" s="314" t="str">
        <f t="array" ref="R836">IF($Q836, INDEX('Run Reconcile'!A$2:A1399,MATCH(B836,'Run Reconcile'!B$2:B1399,0),1),IFERROR(0/0,""))</f>
        <v>RUN-ABRM_2023-02-08_RFR-151</v>
      </c>
      <c r="S836" s="315" t="str">
        <f t="shared" ref="S836:T836" si="1677">IF(COUNTIF(W$2:W1399, $A836) &gt; 0,TRUE,IFERROR(0/0,""))</f>
        <v/>
      </c>
      <c r="T836" s="315" t="str">
        <f t="shared" si="1677"/>
        <v/>
      </c>
      <c r="U836" s="114" t="str">
        <f t="array" ref="U836">IF(ISBLANK($R836), INDEX('Run Reconcile'!A$2:A1399, MATCH($B836, 'Run Reconcile'!B$2:B1399, 0)+Z836, 1), IFERROR(0/0,""))
</f>
        <v/>
      </c>
      <c r="V836" s="316" t="str">
        <f t="shared" si="1281"/>
        <v>RUN-ABRM_2023-02-08_RFR-151</v>
      </c>
      <c r="Y836" s="317" t="str">
        <f t="shared" si="6"/>
        <v/>
      </c>
      <c r="Z836" s="83" t="str">
        <f t="shared" si="7"/>
        <v/>
      </c>
      <c r="AA836" s="83" t="str">
        <f t="shared" si="8"/>
        <v/>
      </c>
      <c r="AB836" s="83" t="str">
        <f t="shared" si="9"/>
        <v/>
      </c>
      <c r="AC836" s="18" t="str">
        <f t="shared" ref="AC836:AD836" si="1678">IF(_xlfn.ISFORMULA(S836),IFERROR(0/0,""),TRUE)</f>
        <v/>
      </c>
      <c r="AD836" s="18" t="str">
        <f t="shared" si="1678"/>
        <v/>
      </c>
      <c r="AE836" s="43"/>
      <c r="AF836" s="58" t="s">
        <v>133</v>
      </c>
      <c r="AG836" s="55" t="str">
        <f t="shared" si="11"/>
        <v/>
      </c>
    </row>
    <row r="837">
      <c r="A837" s="7" t="str">
        <f>IFERROR(__xludf.DUMMYFUNCTION("""COMPUTED_VALUE"""),"AR1817")</f>
        <v>AR1817</v>
      </c>
      <c r="B837" s="308">
        <f>IFERROR(__xludf.DUMMYFUNCTION("""COMPUTED_VALUE"""),44965.0)</f>
        <v>44965</v>
      </c>
      <c r="C837" s="309">
        <f>IFERROR(__xludf.DUMMYFUNCTION("""COMPUTED_VALUE"""),0.3367013888888889)</f>
        <v>0.3367013889</v>
      </c>
      <c r="D837" s="7" t="str">
        <f>IFERROR(__xludf.DUMMYFUNCTION("""COMPUTED_VALUE"""),"SpABRM655136")</f>
        <v>SpABRM655136</v>
      </c>
      <c r="E837" s="310"/>
      <c r="F837" s="310"/>
      <c r="G837" s="310" t="str">
        <f>IFERROR(__xludf.DUMMYFUNCTION("""COMPUTED_VALUE"""),"Negative")</f>
        <v>Negative</v>
      </c>
      <c r="H837" s="319" t="str">
        <f>IFERROR(__xludf.DUMMYFUNCTION("""COMPUTED_VALUE"""),"Negative")</f>
        <v>Negative</v>
      </c>
      <c r="I837" s="308">
        <f>IFERROR(__xludf.DUMMYFUNCTION("""COMPUTED_VALUE"""),44965.0)</f>
        <v>44965</v>
      </c>
      <c r="J837" s="311">
        <f>IFERROR(__xludf.DUMMYFUNCTION("""COMPUTED_VALUE"""),0.3848726851851852)</f>
        <v>0.3848726852</v>
      </c>
      <c r="K837" s="54"/>
      <c r="L837" s="7"/>
      <c r="M837" s="312"/>
      <c r="N837" s="172">
        <f>IFERROR(__xludf.DUMMYFUNCTION("""COMPUTED_VALUE"""),2.0)</f>
        <v>2</v>
      </c>
      <c r="O837" s="172"/>
      <c r="P837" s="313">
        <f>IFERROR(__xludf.DUMMYFUNCTION("""COMPUTED_VALUE"""),0.0)</f>
        <v>0</v>
      </c>
      <c r="Q837" s="76" t="b">
        <f>VLOOKUP($B837,'Run Reconcile'!B$2:O1399,14,FALSE)</f>
        <v>1</v>
      </c>
      <c r="R837" s="314" t="str">
        <f t="array" ref="R837">IF($Q837, INDEX('Run Reconcile'!A$2:A1399,MATCH(B837,'Run Reconcile'!B$2:B1399,0),1),IFERROR(0/0,""))</f>
        <v>RUN-ABRM_2023-02-08_RFR-151</v>
      </c>
      <c r="S837" s="315" t="str">
        <f t="shared" ref="S837:T837" si="1679">IF(COUNTIF(W$2:W1399, $A837) &gt; 0,TRUE,IFERROR(0/0,""))</f>
        <v/>
      </c>
      <c r="T837" s="315" t="str">
        <f t="shared" si="1679"/>
        <v/>
      </c>
      <c r="U837" s="114" t="str">
        <f t="array" ref="U837">IF(ISBLANK($R837), INDEX('Run Reconcile'!A$2:A1399, MATCH($B837, 'Run Reconcile'!B$2:B1399, 0)+Z837, 1), IFERROR(0/0,""))
</f>
        <v/>
      </c>
      <c r="V837" s="316" t="str">
        <f t="shared" si="1281"/>
        <v>RUN-ABRM_2023-02-08_RFR-151</v>
      </c>
      <c r="Y837" s="317" t="str">
        <f t="shared" si="6"/>
        <v/>
      </c>
      <c r="Z837" s="83" t="str">
        <f t="shared" si="7"/>
        <v/>
      </c>
      <c r="AA837" s="83" t="str">
        <f t="shared" si="8"/>
        <v/>
      </c>
      <c r="AB837" s="83" t="str">
        <f t="shared" si="9"/>
        <v/>
      </c>
      <c r="AC837" s="18" t="str">
        <f t="shared" ref="AC837:AD837" si="1680">IF(_xlfn.ISFORMULA(S837),IFERROR(0/0,""),TRUE)</f>
        <v/>
      </c>
      <c r="AD837" s="18" t="str">
        <f t="shared" si="1680"/>
        <v/>
      </c>
      <c r="AE837" s="43"/>
      <c r="AF837" s="58" t="s">
        <v>133</v>
      </c>
      <c r="AG837" s="55" t="str">
        <f t="shared" si="11"/>
        <v/>
      </c>
    </row>
    <row r="838">
      <c r="A838" s="7" t="str">
        <f>IFERROR(__xludf.DUMMYFUNCTION("""COMPUTED_VALUE"""),"AR901")</f>
        <v>AR901</v>
      </c>
      <c r="B838" s="308">
        <f>IFERROR(__xludf.DUMMYFUNCTION("""COMPUTED_VALUE"""),44965.0)</f>
        <v>44965</v>
      </c>
      <c r="C838" s="309">
        <f>IFERROR(__xludf.DUMMYFUNCTION("""COMPUTED_VALUE"""),0.33769675925925924)</f>
        <v>0.3376967593</v>
      </c>
      <c r="D838" s="7" t="str">
        <f>IFERROR(__xludf.DUMMYFUNCTION("""COMPUTED_VALUE"""),"SpABRM655136")</f>
        <v>SpABRM655136</v>
      </c>
      <c r="E838" s="310"/>
      <c r="F838" s="310"/>
      <c r="G838" s="310" t="str">
        <f>IFERROR(__xludf.DUMMYFUNCTION("""COMPUTED_VALUE"""),"Negative")</f>
        <v>Negative</v>
      </c>
      <c r="H838" s="319" t="str">
        <f>IFERROR(__xludf.DUMMYFUNCTION("""COMPUTED_VALUE"""),"Negative")</f>
        <v>Negative</v>
      </c>
      <c r="I838" s="308">
        <f>IFERROR(__xludf.DUMMYFUNCTION("""COMPUTED_VALUE"""),44965.0)</f>
        <v>44965</v>
      </c>
      <c r="J838" s="311">
        <f>IFERROR(__xludf.DUMMYFUNCTION("""COMPUTED_VALUE"""),0.38488425925925923)</f>
        <v>0.3848842593</v>
      </c>
      <c r="K838" s="54"/>
      <c r="L838" s="7"/>
      <c r="M838" s="312"/>
      <c r="N838" s="172">
        <f>IFERROR(__xludf.DUMMYFUNCTION("""COMPUTED_VALUE"""),1.0)</f>
        <v>1</v>
      </c>
      <c r="O838" s="172"/>
      <c r="P838" s="313">
        <f>IFERROR(__xludf.DUMMYFUNCTION("""COMPUTED_VALUE"""),0.0)</f>
        <v>0</v>
      </c>
      <c r="Q838" s="76" t="b">
        <f>VLOOKUP($B838,'Run Reconcile'!B$2:O1399,14,FALSE)</f>
        <v>1</v>
      </c>
      <c r="R838" s="314" t="str">
        <f t="array" ref="R838">IF($Q838, INDEX('Run Reconcile'!A$2:A1399,MATCH(B838,'Run Reconcile'!B$2:B1399,0),1),IFERROR(0/0,""))</f>
        <v>RUN-ABRM_2023-02-08_RFR-151</v>
      </c>
      <c r="S838" s="315" t="str">
        <f t="shared" ref="S838:T838" si="1681">IF(COUNTIF(W$2:W1399, $A838) &gt; 0,TRUE,IFERROR(0/0,""))</f>
        <v/>
      </c>
      <c r="T838" s="315" t="str">
        <f t="shared" si="1681"/>
        <v/>
      </c>
      <c r="U838" s="114" t="str">
        <f t="array" ref="U838">IF(ISBLANK($R838), INDEX('Run Reconcile'!A$2:A1399, MATCH($B838, 'Run Reconcile'!B$2:B1399, 0)+Z838, 1), IFERROR(0/0,""))
</f>
        <v/>
      </c>
      <c r="V838" s="316" t="str">
        <f t="shared" si="1281"/>
        <v>RUN-ABRM_2023-02-08_RFR-151</v>
      </c>
      <c r="Y838" s="317" t="str">
        <f t="shared" si="6"/>
        <v/>
      </c>
      <c r="Z838" s="83" t="str">
        <f t="shared" si="7"/>
        <v/>
      </c>
      <c r="AA838" s="83" t="str">
        <f t="shared" si="8"/>
        <v/>
      </c>
      <c r="AB838" s="83" t="str">
        <f t="shared" si="9"/>
        <v/>
      </c>
      <c r="AC838" s="18" t="str">
        <f t="shared" ref="AC838:AD838" si="1682">IF(_xlfn.ISFORMULA(S838),IFERROR(0/0,""),TRUE)</f>
        <v/>
      </c>
      <c r="AD838" s="18" t="str">
        <f t="shared" si="1682"/>
        <v/>
      </c>
      <c r="AE838" s="43"/>
      <c r="AF838" s="58" t="s">
        <v>133</v>
      </c>
      <c r="AG838" s="55" t="str">
        <f t="shared" si="11"/>
        <v/>
      </c>
    </row>
    <row r="839">
      <c r="A839" s="7" t="str">
        <f>IFERROR(__xludf.DUMMYFUNCTION("""COMPUTED_VALUE"""),"AJ8277")</f>
        <v>AJ8277</v>
      </c>
      <c r="B839" s="308">
        <f>IFERROR(__xludf.DUMMYFUNCTION("""COMPUTED_VALUE"""),44965.0)</f>
        <v>44965</v>
      </c>
      <c r="C839" s="309">
        <f>IFERROR(__xludf.DUMMYFUNCTION("""COMPUTED_VALUE"""),0.3389351851851852)</f>
        <v>0.3389351852</v>
      </c>
      <c r="D839" s="7" t="str">
        <f>IFERROR(__xludf.DUMMYFUNCTION("""COMPUTED_VALUE"""),"SpABRM655136")</f>
        <v>SpABRM655136</v>
      </c>
      <c r="E839" s="310"/>
      <c r="F839" s="310"/>
      <c r="G839" s="310" t="str">
        <f>IFERROR(__xludf.DUMMYFUNCTION("""COMPUTED_VALUE"""),"Negative")</f>
        <v>Negative</v>
      </c>
      <c r="H839" s="319" t="str">
        <f>IFERROR(__xludf.DUMMYFUNCTION("""COMPUTED_VALUE"""),"Negative")</f>
        <v>Negative</v>
      </c>
      <c r="I839" s="308">
        <f>IFERROR(__xludf.DUMMYFUNCTION("""COMPUTED_VALUE"""),44965.0)</f>
        <v>44965</v>
      </c>
      <c r="J839" s="311">
        <f>IFERROR(__xludf.DUMMYFUNCTION("""COMPUTED_VALUE"""),0.3848958333333333)</f>
        <v>0.3848958333</v>
      </c>
      <c r="K839" s="54"/>
      <c r="L839" s="7"/>
      <c r="M839" s="312"/>
      <c r="N839" s="172">
        <f>IFERROR(__xludf.DUMMYFUNCTION("""COMPUTED_VALUE"""),3.0)</f>
        <v>3</v>
      </c>
      <c r="O839" s="172"/>
      <c r="P839" s="313">
        <f>IFERROR(__xludf.DUMMYFUNCTION("""COMPUTED_VALUE"""),0.0)</f>
        <v>0</v>
      </c>
      <c r="Q839" s="76" t="b">
        <f>VLOOKUP($B839,'Run Reconcile'!B$2:O1399,14,FALSE)</f>
        <v>1</v>
      </c>
      <c r="R839" s="314" t="str">
        <f t="array" ref="R839">IF($Q839, INDEX('Run Reconcile'!A$2:A1399,MATCH(B839,'Run Reconcile'!B$2:B1399,0),1),IFERROR(0/0,""))</f>
        <v>RUN-ABRM_2023-02-08_RFR-151</v>
      </c>
      <c r="S839" s="315" t="str">
        <f t="shared" ref="S839:T839" si="1683">IF(COUNTIF(W$2:W1399, $A839) &gt; 0,TRUE,IFERROR(0/0,""))</f>
        <v/>
      </c>
      <c r="T839" s="315" t="str">
        <f t="shared" si="1683"/>
        <v/>
      </c>
      <c r="U839" s="114" t="str">
        <f t="array" ref="U839">IF(ISBLANK($R839), INDEX('Run Reconcile'!A$2:A1399, MATCH($B839, 'Run Reconcile'!B$2:B1399, 0)+Z839, 1), IFERROR(0/0,""))
</f>
        <v/>
      </c>
      <c r="V839" s="316" t="str">
        <f t="shared" si="1281"/>
        <v>RUN-ABRM_2023-02-08_RFR-151</v>
      </c>
      <c r="Y839" s="317" t="str">
        <f t="shared" si="6"/>
        <v/>
      </c>
      <c r="Z839" s="83" t="str">
        <f t="shared" si="7"/>
        <v/>
      </c>
      <c r="AA839" s="83" t="str">
        <f t="shared" si="8"/>
        <v/>
      </c>
      <c r="AB839" s="83" t="str">
        <f t="shared" si="9"/>
        <v/>
      </c>
      <c r="AC839" s="18" t="str">
        <f t="shared" ref="AC839:AD839" si="1684">IF(_xlfn.ISFORMULA(S839),IFERROR(0/0,""),TRUE)</f>
        <v/>
      </c>
      <c r="AD839" s="18" t="str">
        <f t="shared" si="1684"/>
        <v/>
      </c>
      <c r="AE839" s="43"/>
      <c r="AF839" s="58" t="s">
        <v>133</v>
      </c>
      <c r="AG839" s="55" t="str">
        <f t="shared" si="11"/>
        <v/>
      </c>
    </row>
    <row r="840">
      <c r="A840" s="7" t="str">
        <f>IFERROR(__xludf.DUMMYFUNCTION("""COMPUTED_VALUE"""),"AR1002")</f>
        <v>AR1002</v>
      </c>
      <c r="B840" s="308">
        <f>IFERROR(__xludf.DUMMYFUNCTION("""COMPUTED_VALUE"""),44966.0)</f>
        <v>44966</v>
      </c>
      <c r="C840" s="309">
        <f>IFERROR(__xludf.DUMMYFUNCTION("""COMPUTED_VALUE"""),0.2769212962962963)</f>
        <v>0.2769212963</v>
      </c>
      <c r="D840" s="7" t="str">
        <f>IFERROR(__xludf.DUMMYFUNCTION("""COMPUTED_VALUE"""),"SpABRM128250")</f>
        <v>SpABRM128250</v>
      </c>
      <c r="E840" s="310"/>
      <c r="F840" s="310"/>
      <c r="G840" s="310" t="str">
        <f>IFERROR(__xludf.DUMMYFUNCTION("""COMPUTED_VALUE"""),"Negative")</f>
        <v>Negative</v>
      </c>
      <c r="H840" s="319" t="str">
        <f>IFERROR(__xludf.DUMMYFUNCTION("""COMPUTED_VALUE"""),"Negative")</f>
        <v>Negative</v>
      </c>
      <c r="I840" s="308">
        <f>IFERROR(__xludf.DUMMYFUNCTION("""COMPUTED_VALUE"""),44966.0)</f>
        <v>44966</v>
      </c>
      <c r="J840" s="311">
        <f>IFERROR(__xludf.DUMMYFUNCTION("""COMPUTED_VALUE"""),0.3989699074074074)</f>
        <v>0.3989699074</v>
      </c>
      <c r="K840" s="54"/>
      <c r="L840" s="7"/>
      <c r="M840" s="312"/>
      <c r="N840" s="172">
        <f>IFERROR(__xludf.DUMMYFUNCTION("""COMPUTED_VALUE"""),3.0)</f>
        <v>3</v>
      </c>
      <c r="O840" s="172"/>
      <c r="P840" s="313">
        <f>IFERROR(__xludf.DUMMYFUNCTION("""COMPUTED_VALUE"""),0.0)</f>
        <v>0</v>
      </c>
      <c r="Q840" s="76" t="b">
        <f>VLOOKUP($B840,'Run Reconcile'!B$2:O1399,14,FALSE)</f>
        <v>1</v>
      </c>
      <c r="R840" s="314" t="str">
        <f t="array" ref="R840">IF($Q840, INDEX('Run Reconcile'!A$2:A1399,MATCH(B840,'Run Reconcile'!B$2:B1399,0),1),IFERROR(0/0,""))</f>
        <v>RUN-ABRM_2023-02-09_RFR-153</v>
      </c>
      <c r="S840" s="315" t="str">
        <f t="shared" ref="S840:T840" si="1685">IF(COUNTIF(W$2:W1399, $A840) &gt; 0,TRUE,IFERROR(0/0,""))</f>
        <v/>
      </c>
      <c r="T840" s="315" t="str">
        <f t="shared" si="1685"/>
        <v/>
      </c>
      <c r="U840" s="114" t="str">
        <f t="array" ref="U840">IF(ISBLANK($R840), INDEX('Run Reconcile'!A$2:A1399, MATCH($B840, 'Run Reconcile'!B$2:B1399, 0)+Z840, 1), IFERROR(0/0,""))
</f>
        <v/>
      </c>
      <c r="V840" s="316" t="str">
        <f t="shared" si="1281"/>
        <v>RUN-ABRM_2023-02-09_RFR-153</v>
      </c>
      <c r="Y840" s="317" t="str">
        <f t="shared" si="6"/>
        <v/>
      </c>
      <c r="Z840" s="83" t="str">
        <f t="shared" si="7"/>
        <v/>
      </c>
      <c r="AA840" s="83" t="str">
        <f t="shared" si="8"/>
        <v/>
      </c>
      <c r="AB840" s="83" t="str">
        <f t="shared" si="9"/>
        <v/>
      </c>
      <c r="AC840" s="18" t="str">
        <f t="shared" ref="AC840:AD840" si="1686">IF(_xlfn.ISFORMULA(S840),IFERROR(0/0,""),TRUE)</f>
        <v/>
      </c>
      <c r="AD840" s="18" t="str">
        <f t="shared" si="1686"/>
        <v/>
      </c>
      <c r="AE840" s="43"/>
      <c r="AF840" s="58" t="s">
        <v>134</v>
      </c>
      <c r="AG840" s="55" t="str">
        <f t="shared" si="11"/>
        <v/>
      </c>
    </row>
    <row r="841">
      <c r="A841" s="7" t="str">
        <f>IFERROR(__xludf.DUMMYFUNCTION("""COMPUTED_VALUE"""),"AH650")</f>
        <v>AH650</v>
      </c>
      <c r="B841" s="308">
        <f>IFERROR(__xludf.DUMMYFUNCTION("""COMPUTED_VALUE"""),44966.0)</f>
        <v>44966</v>
      </c>
      <c r="C841" s="309">
        <f>IFERROR(__xludf.DUMMYFUNCTION("""COMPUTED_VALUE"""),0.28616898148148145)</f>
        <v>0.2861689815</v>
      </c>
      <c r="D841" s="7" t="str">
        <f>IFERROR(__xludf.DUMMYFUNCTION("""COMPUTED_VALUE"""),"SpABRM297307")</f>
        <v>SpABRM297307</v>
      </c>
      <c r="E841" s="310"/>
      <c r="F841" s="310"/>
      <c r="G841" s="310" t="str">
        <f>IFERROR(__xludf.DUMMYFUNCTION("""COMPUTED_VALUE"""),"Negative")</f>
        <v>Negative</v>
      </c>
      <c r="H841" s="319" t="str">
        <f>IFERROR(__xludf.DUMMYFUNCTION("""COMPUTED_VALUE"""),"Negative")</f>
        <v>Negative</v>
      </c>
      <c r="I841" s="308">
        <f>IFERROR(__xludf.DUMMYFUNCTION("""COMPUTED_VALUE"""),44966.0)</f>
        <v>44966</v>
      </c>
      <c r="J841" s="311">
        <f>IFERROR(__xludf.DUMMYFUNCTION("""COMPUTED_VALUE"""),0.3989814814814815)</f>
        <v>0.3989814815</v>
      </c>
      <c r="K841" s="54"/>
      <c r="L841" s="7"/>
      <c r="M841" s="312"/>
      <c r="N841" s="172">
        <f>IFERROR(__xludf.DUMMYFUNCTION("""COMPUTED_VALUE"""),3.0)</f>
        <v>3</v>
      </c>
      <c r="O841" s="172"/>
      <c r="P841" s="313">
        <f>IFERROR(__xludf.DUMMYFUNCTION("""COMPUTED_VALUE"""),0.0)</f>
        <v>0</v>
      </c>
      <c r="Q841" s="76" t="b">
        <f>VLOOKUP($B841,'Run Reconcile'!B$2:O1399,14,FALSE)</f>
        <v>1</v>
      </c>
      <c r="R841" s="314" t="str">
        <f t="array" ref="R841">IF($Q841, INDEX('Run Reconcile'!A$2:A1399,MATCH(B841,'Run Reconcile'!B$2:B1399,0),1),IFERROR(0/0,""))</f>
        <v>RUN-ABRM_2023-02-09_RFR-153</v>
      </c>
      <c r="S841" s="315" t="str">
        <f t="shared" ref="S841:T841" si="1687">IF(COUNTIF(W$2:W1399, $A841) &gt; 0,TRUE,IFERROR(0/0,""))</f>
        <v/>
      </c>
      <c r="T841" s="315" t="str">
        <f t="shared" si="1687"/>
        <v/>
      </c>
      <c r="U841" s="114" t="str">
        <f t="array" ref="U841">IF(ISBLANK($R841), INDEX('Run Reconcile'!A$2:A1399, MATCH($B841, 'Run Reconcile'!B$2:B1399, 0)+Z841, 1), IFERROR(0/0,""))
</f>
        <v/>
      </c>
      <c r="V841" s="316" t="str">
        <f t="shared" si="1281"/>
        <v>RUN-ABRM_2023-02-09_RFR-153</v>
      </c>
      <c r="Y841" s="317" t="str">
        <f t="shared" si="6"/>
        <v/>
      </c>
      <c r="Z841" s="83" t="str">
        <f t="shared" si="7"/>
        <v/>
      </c>
      <c r="AA841" s="83" t="str">
        <f t="shared" si="8"/>
        <v/>
      </c>
      <c r="AB841" s="83" t="str">
        <f t="shared" si="9"/>
        <v/>
      </c>
      <c r="AC841" s="18" t="str">
        <f t="shared" ref="AC841:AD841" si="1688">IF(_xlfn.ISFORMULA(S841),IFERROR(0/0,""),TRUE)</f>
        <v/>
      </c>
      <c r="AD841" s="18" t="str">
        <f t="shared" si="1688"/>
        <v/>
      </c>
      <c r="AE841" s="43"/>
      <c r="AF841" s="58" t="s">
        <v>134</v>
      </c>
      <c r="AG841" s="55" t="str">
        <f t="shared" si="11"/>
        <v/>
      </c>
    </row>
    <row r="842">
      <c r="A842" s="7" t="str">
        <f>IFERROR(__xludf.DUMMYFUNCTION("""COMPUTED_VALUE"""),"AH7424")</f>
        <v>AH7424</v>
      </c>
      <c r="B842" s="308">
        <f>IFERROR(__xludf.DUMMYFUNCTION("""COMPUTED_VALUE"""),44966.0)</f>
        <v>44966</v>
      </c>
      <c r="C842" s="309">
        <f>IFERROR(__xludf.DUMMYFUNCTION("""COMPUTED_VALUE"""),0.2880671296296296)</f>
        <v>0.2880671296</v>
      </c>
      <c r="D842" s="7" t="str">
        <f>IFERROR(__xludf.DUMMYFUNCTION("""COMPUTED_VALUE"""),"SpABRM367540")</f>
        <v>SpABRM367540</v>
      </c>
      <c r="E842" s="310"/>
      <c r="F842" s="310"/>
      <c r="G842" s="310" t="str">
        <f>IFERROR(__xludf.DUMMYFUNCTION("""COMPUTED_VALUE"""),"Negative")</f>
        <v>Negative</v>
      </c>
      <c r="H842" s="319" t="str">
        <f>IFERROR(__xludf.DUMMYFUNCTION("""COMPUTED_VALUE"""),"Negative")</f>
        <v>Negative</v>
      </c>
      <c r="I842" s="308">
        <f>IFERROR(__xludf.DUMMYFUNCTION("""COMPUTED_VALUE"""),44966.0)</f>
        <v>44966</v>
      </c>
      <c r="J842" s="311">
        <f>IFERROR(__xludf.DUMMYFUNCTION("""COMPUTED_VALUE"""),0.3989814814814815)</f>
        <v>0.3989814815</v>
      </c>
      <c r="K842" s="54"/>
      <c r="L842" s="7"/>
      <c r="M842" s="312"/>
      <c r="N842" s="172">
        <f>IFERROR(__xludf.DUMMYFUNCTION("""COMPUTED_VALUE"""),3.0)</f>
        <v>3</v>
      </c>
      <c r="O842" s="172"/>
      <c r="P842" s="313">
        <f>IFERROR(__xludf.DUMMYFUNCTION("""COMPUTED_VALUE"""),0.0)</f>
        <v>0</v>
      </c>
      <c r="Q842" s="76" t="b">
        <f>VLOOKUP($B842,'Run Reconcile'!B$2:O1399,14,FALSE)</f>
        <v>1</v>
      </c>
      <c r="R842" s="314" t="str">
        <f t="array" ref="R842">IF($Q842, INDEX('Run Reconcile'!A$2:A1399,MATCH(B842,'Run Reconcile'!B$2:B1399,0),1),IFERROR(0/0,""))</f>
        <v>RUN-ABRM_2023-02-09_RFR-153</v>
      </c>
      <c r="S842" s="315" t="str">
        <f t="shared" ref="S842:T842" si="1689">IF(COUNTIF(W$2:W1399, $A842) &gt; 0,TRUE,IFERROR(0/0,""))</f>
        <v/>
      </c>
      <c r="T842" s="315" t="str">
        <f t="shared" si="1689"/>
        <v/>
      </c>
      <c r="U842" s="114" t="str">
        <f t="array" ref="U842">IF(ISBLANK($R842), INDEX('Run Reconcile'!A$2:A1399, MATCH($B842, 'Run Reconcile'!B$2:B1399, 0)+Z842, 1), IFERROR(0/0,""))
</f>
        <v/>
      </c>
      <c r="V842" s="316" t="str">
        <f t="shared" si="1281"/>
        <v>RUN-ABRM_2023-02-09_RFR-153</v>
      </c>
      <c r="Y842" s="317" t="str">
        <f t="shared" si="6"/>
        <v/>
      </c>
      <c r="Z842" s="83" t="str">
        <f t="shared" si="7"/>
        <v/>
      </c>
      <c r="AA842" s="83" t="str">
        <f t="shared" si="8"/>
        <v/>
      </c>
      <c r="AB842" s="83" t="str">
        <f t="shared" si="9"/>
        <v/>
      </c>
      <c r="AC842" s="18" t="str">
        <f t="shared" ref="AC842:AD842" si="1690">IF(_xlfn.ISFORMULA(S842),IFERROR(0/0,""),TRUE)</f>
        <v/>
      </c>
      <c r="AD842" s="18" t="str">
        <f t="shared" si="1690"/>
        <v/>
      </c>
      <c r="AE842" s="43"/>
      <c r="AF842" s="58" t="s">
        <v>134</v>
      </c>
      <c r="AG842" s="55" t="str">
        <f t="shared" si="11"/>
        <v/>
      </c>
    </row>
    <row r="843">
      <c r="A843" s="7" t="str">
        <f>IFERROR(__xludf.DUMMYFUNCTION("""COMPUTED_VALUE"""),"AG1037")</f>
        <v>AG1037</v>
      </c>
      <c r="B843" s="308">
        <f>IFERROR(__xludf.DUMMYFUNCTION("""COMPUTED_VALUE"""),44966.0)</f>
        <v>44966</v>
      </c>
      <c r="C843" s="309">
        <f>IFERROR(__xludf.DUMMYFUNCTION("""COMPUTED_VALUE"""),0.33238425925925924)</f>
        <v>0.3323842593</v>
      </c>
      <c r="D843" s="7" t="str">
        <f>IFERROR(__xludf.DUMMYFUNCTION("""COMPUTED_VALUE"""),"SpABRM716377")</f>
        <v>SpABRM716377</v>
      </c>
      <c r="E843" s="310"/>
      <c r="F843" s="310"/>
      <c r="G843" s="310" t="str">
        <f>IFERROR(__xludf.DUMMYFUNCTION("""COMPUTED_VALUE"""),"Negative")</f>
        <v>Negative</v>
      </c>
      <c r="H843" s="319" t="str">
        <f>IFERROR(__xludf.DUMMYFUNCTION("""COMPUTED_VALUE"""),"Negative")</f>
        <v>Negative</v>
      </c>
      <c r="I843" s="308">
        <f>IFERROR(__xludf.DUMMYFUNCTION("""COMPUTED_VALUE"""),44966.0)</f>
        <v>44966</v>
      </c>
      <c r="J843" s="311">
        <f>IFERROR(__xludf.DUMMYFUNCTION("""COMPUTED_VALUE"""),0.39899305555555553)</f>
        <v>0.3989930556</v>
      </c>
      <c r="K843" s="54"/>
      <c r="L843" s="7"/>
      <c r="M843" s="312"/>
      <c r="N843" s="172">
        <f>IFERROR(__xludf.DUMMYFUNCTION("""COMPUTED_VALUE"""),3.0)</f>
        <v>3</v>
      </c>
      <c r="O843" s="172"/>
      <c r="P843" s="313">
        <f>IFERROR(__xludf.DUMMYFUNCTION("""COMPUTED_VALUE"""),0.0)</f>
        <v>0</v>
      </c>
      <c r="Q843" s="76" t="b">
        <f>VLOOKUP($B843,'Run Reconcile'!B$2:O1399,14,FALSE)</f>
        <v>1</v>
      </c>
      <c r="R843" s="314" t="str">
        <f t="array" ref="R843">IF($Q843, INDEX('Run Reconcile'!A$2:A1399,MATCH(B843,'Run Reconcile'!B$2:B1399,0),1),IFERROR(0/0,""))</f>
        <v>RUN-ABRM_2023-02-09_RFR-153</v>
      </c>
      <c r="S843" s="315" t="str">
        <f t="shared" ref="S843:T843" si="1691">IF(COUNTIF(W$2:W1399, $A843) &gt; 0,TRUE,IFERROR(0/0,""))</f>
        <v/>
      </c>
      <c r="T843" s="315" t="str">
        <f t="shared" si="1691"/>
        <v/>
      </c>
      <c r="U843" s="114" t="str">
        <f t="array" ref="U843">IF(ISBLANK($R843), INDEX('Run Reconcile'!A$2:A1399, MATCH($B843, 'Run Reconcile'!B$2:B1399, 0)+Z843, 1), IFERROR(0/0,""))
</f>
        <v/>
      </c>
      <c r="V843" s="316" t="str">
        <f t="shared" si="1281"/>
        <v>RUN-ABRM_2023-02-09_RFR-153</v>
      </c>
      <c r="Y843" s="317" t="str">
        <f t="shared" si="6"/>
        <v/>
      </c>
      <c r="Z843" s="83" t="str">
        <f t="shared" si="7"/>
        <v/>
      </c>
      <c r="AA843" s="83" t="str">
        <f t="shared" si="8"/>
        <v/>
      </c>
      <c r="AB843" s="83" t="str">
        <f t="shared" si="9"/>
        <v/>
      </c>
      <c r="AC843" s="18" t="str">
        <f t="shared" ref="AC843:AD843" si="1692">IF(_xlfn.ISFORMULA(S843),IFERROR(0/0,""),TRUE)</f>
        <v/>
      </c>
      <c r="AD843" s="18" t="str">
        <f t="shared" si="1692"/>
        <v/>
      </c>
      <c r="AE843" s="43"/>
      <c r="AF843" s="58" t="s">
        <v>134</v>
      </c>
      <c r="AG843" s="55" t="str">
        <f t="shared" si="11"/>
        <v/>
      </c>
    </row>
    <row r="844">
      <c r="A844" s="7" t="str">
        <f>IFERROR(__xludf.DUMMYFUNCTION("""COMPUTED_VALUE"""),"AR1804")</f>
        <v>AR1804</v>
      </c>
      <c r="B844" s="308">
        <f>IFERROR(__xludf.DUMMYFUNCTION("""COMPUTED_VALUE"""),44966.0)</f>
        <v>44966</v>
      </c>
      <c r="C844" s="309">
        <f>IFERROR(__xludf.DUMMYFUNCTION("""COMPUTED_VALUE"""),0.33565972222222223)</f>
        <v>0.3356597222</v>
      </c>
      <c r="D844" s="7" t="str">
        <f>IFERROR(__xludf.DUMMYFUNCTION("""COMPUTED_VALUE"""),"SpABRM655136")</f>
        <v>SpABRM655136</v>
      </c>
      <c r="E844" s="310"/>
      <c r="F844" s="310"/>
      <c r="G844" s="310" t="str">
        <f>IFERROR(__xludf.DUMMYFUNCTION("""COMPUTED_VALUE"""),"Negative")</f>
        <v>Negative</v>
      </c>
      <c r="H844" s="319" t="str">
        <f>IFERROR(__xludf.DUMMYFUNCTION("""COMPUTED_VALUE"""),"Negative")</f>
        <v>Negative</v>
      </c>
      <c r="I844" s="308">
        <f>IFERROR(__xludf.DUMMYFUNCTION("""COMPUTED_VALUE"""),44966.0)</f>
        <v>44966</v>
      </c>
      <c r="J844" s="311">
        <f>IFERROR(__xludf.DUMMYFUNCTION("""COMPUTED_VALUE"""),0.3990046296296296)</f>
        <v>0.3990046296</v>
      </c>
      <c r="K844" s="54"/>
      <c r="L844" s="7"/>
      <c r="M844" s="312"/>
      <c r="N844" s="172">
        <f>IFERROR(__xludf.DUMMYFUNCTION("""COMPUTED_VALUE"""),2.0)</f>
        <v>2</v>
      </c>
      <c r="O844" s="172"/>
      <c r="P844" s="313">
        <f>IFERROR(__xludf.DUMMYFUNCTION("""COMPUTED_VALUE"""),0.0)</f>
        <v>0</v>
      </c>
      <c r="Q844" s="76" t="b">
        <f>VLOOKUP($B844,'Run Reconcile'!B$2:O1399,14,FALSE)</f>
        <v>1</v>
      </c>
      <c r="R844" s="314" t="str">
        <f t="array" ref="R844">IF($Q844, INDEX('Run Reconcile'!A$2:A1399,MATCH(B844,'Run Reconcile'!B$2:B1399,0),1),IFERROR(0/0,""))</f>
        <v>RUN-ABRM_2023-02-09_RFR-153</v>
      </c>
      <c r="S844" s="315" t="str">
        <f t="shared" ref="S844:T844" si="1693">IF(COUNTIF(W$2:W1399, $A844) &gt; 0,TRUE,IFERROR(0/0,""))</f>
        <v/>
      </c>
      <c r="T844" s="315" t="str">
        <f t="shared" si="1693"/>
        <v/>
      </c>
      <c r="U844" s="114" t="str">
        <f t="array" ref="U844">IF(ISBLANK($R844), INDEX('Run Reconcile'!A$2:A1399, MATCH($B844, 'Run Reconcile'!B$2:B1399, 0)+Z844, 1), IFERROR(0/0,""))
</f>
        <v/>
      </c>
      <c r="V844" s="316" t="str">
        <f t="shared" si="1281"/>
        <v>RUN-ABRM_2023-02-09_RFR-153</v>
      </c>
      <c r="Y844" s="317" t="str">
        <f t="shared" si="6"/>
        <v/>
      </c>
      <c r="Z844" s="83" t="str">
        <f t="shared" si="7"/>
        <v/>
      </c>
      <c r="AA844" s="83" t="str">
        <f t="shared" si="8"/>
        <v/>
      </c>
      <c r="AB844" s="83" t="str">
        <f t="shared" si="9"/>
        <v/>
      </c>
      <c r="AC844" s="18" t="str">
        <f t="shared" ref="AC844:AD844" si="1694">IF(_xlfn.ISFORMULA(S844),IFERROR(0/0,""),TRUE)</f>
        <v/>
      </c>
      <c r="AD844" s="18" t="str">
        <f t="shared" si="1694"/>
        <v/>
      </c>
      <c r="AE844" s="43"/>
      <c r="AF844" s="58" t="s">
        <v>134</v>
      </c>
      <c r="AG844" s="55" t="str">
        <f t="shared" si="11"/>
        <v/>
      </c>
    </row>
    <row r="845">
      <c r="A845" s="7" t="str">
        <f>IFERROR(__xludf.DUMMYFUNCTION("""COMPUTED_VALUE"""),"AG2125")</f>
        <v>AG2125</v>
      </c>
      <c r="B845" s="308">
        <f>IFERROR(__xludf.DUMMYFUNCTION("""COMPUTED_VALUE"""),44966.0)</f>
        <v>44966</v>
      </c>
      <c r="C845" s="309">
        <f>IFERROR(__xludf.DUMMYFUNCTION("""COMPUTED_VALUE"""),0.33619212962962963)</f>
        <v>0.3361921296</v>
      </c>
      <c r="D845" s="7" t="str">
        <f>IFERROR(__xludf.DUMMYFUNCTION("""COMPUTED_VALUE"""),"SpABRM655136")</f>
        <v>SpABRM655136</v>
      </c>
      <c r="E845" s="310"/>
      <c r="F845" s="310"/>
      <c r="G845" s="310" t="str">
        <f>IFERROR(__xludf.DUMMYFUNCTION("""COMPUTED_VALUE"""),"Negative")</f>
        <v>Negative</v>
      </c>
      <c r="H845" s="319" t="str">
        <f>IFERROR(__xludf.DUMMYFUNCTION("""COMPUTED_VALUE"""),"Negative")</f>
        <v>Negative</v>
      </c>
      <c r="I845" s="308">
        <f>IFERROR(__xludf.DUMMYFUNCTION("""COMPUTED_VALUE"""),44966.0)</f>
        <v>44966</v>
      </c>
      <c r="J845" s="311">
        <f>IFERROR(__xludf.DUMMYFUNCTION("""COMPUTED_VALUE"""),0.3990162037037037)</f>
        <v>0.3990162037</v>
      </c>
      <c r="K845" s="54"/>
      <c r="L845" s="7"/>
      <c r="M845" s="312"/>
      <c r="N845" s="172">
        <f>IFERROR(__xludf.DUMMYFUNCTION("""COMPUTED_VALUE"""),1.0)</f>
        <v>1</v>
      </c>
      <c r="O845" s="172"/>
      <c r="P845" s="313">
        <f>IFERROR(__xludf.DUMMYFUNCTION("""COMPUTED_VALUE"""),0.0)</f>
        <v>0</v>
      </c>
      <c r="Q845" s="76" t="b">
        <f>VLOOKUP($B845,'Run Reconcile'!B$2:O1399,14,FALSE)</f>
        <v>1</v>
      </c>
      <c r="R845" s="314" t="str">
        <f t="array" ref="R845">IF($Q845, INDEX('Run Reconcile'!A$2:A1399,MATCH(B845,'Run Reconcile'!B$2:B1399,0),1),IFERROR(0/0,""))</f>
        <v>RUN-ABRM_2023-02-09_RFR-153</v>
      </c>
      <c r="S845" s="315" t="str">
        <f t="shared" ref="S845:T845" si="1695">IF(COUNTIF(W$2:W1399, $A845) &gt; 0,TRUE,IFERROR(0/0,""))</f>
        <v/>
      </c>
      <c r="T845" s="315" t="str">
        <f t="shared" si="1695"/>
        <v/>
      </c>
      <c r="U845" s="114" t="str">
        <f t="array" ref="U845">IF(ISBLANK($R845), INDEX('Run Reconcile'!A$2:A1399, MATCH($B845, 'Run Reconcile'!B$2:B1399, 0)+Z845, 1), IFERROR(0/0,""))
</f>
        <v/>
      </c>
      <c r="V845" s="316" t="str">
        <f t="shared" si="1281"/>
        <v>RUN-ABRM_2023-02-09_RFR-153</v>
      </c>
      <c r="Y845" s="317" t="str">
        <f t="shared" si="6"/>
        <v/>
      </c>
      <c r="Z845" s="83" t="str">
        <f t="shared" si="7"/>
        <v/>
      </c>
      <c r="AA845" s="83" t="str">
        <f t="shared" si="8"/>
        <v/>
      </c>
      <c r="AB845" s="83" t="str">
        <f t="shared" si="9"/>
        <v/>
      </c>
      <c r="AC845" s="18" t="str">
        <f t="shared" ref="AC845:AD845" si="1696">IF(_xlfn.ISFORMULA(S845),IFERROR(0/0,""),TRUE)</f>
        <v/>
      </c>
      <c r="AD845" s="18" t="str">
        <f t="shared" si="1696"/>
        <v/>
      </c>
      <c r="AE845" s="43"/>
      <c r="AF845" s="58" t="s">
        <v>134</v>
      </c>
      <c r="AG845" s="55" t="str">
        <f t="shared" si="11"/>
        <v/>
      </c>
    </row>
    <row r="846">
      <c r="A846" s="7" t="str">
        <f>IFERROR(__xludf.DUMMYFUNCTION("""COMPUTED_VALUE"""),"AH6951")</f>
        <v>AH6951</v>
      </c>
      <c r="B846" s="308">
        <f>IFERROR(__xludf.DUMMYFUNCTION("""COMPUTED_VALUE"""),44966.0)</f>
        <v>44966</v>
      </c>
      <c r="C846" s="309">
        <f>IFERROR(__xludf.DUMMYFUNCTION("""COMPUTED_VALUE"""),0.33644675925925926)</f>
        <v>0.3364467593</v>
      </c>
      <c r="D846" s="7" t="str">
        <f>IFERROR(__xludf.DUMMYFUNCTION("""COMPUTED_VALUE"""),"SpABRM655136")</f>
        <v>SpABRM655136</v>
      </c>
      <c r="E846" s="310"/>
      <c r="F846" s="310"/>
      <c r="G846" s="310" t="str">
        <f>IFERROR(__xludf.DUMMYFUNCTION("""COMPUTED_VALUE"""),"Negative")</f>
        <v>Negative</v>
      </c>
      <c r="H846" s="319" t="str">
        <f>IFERROR(__xludf.DUMMYFUNCTION("""COMPUTED_VALUE"""),"Negative")</f>
        <v>Negative</v>
      </c>
      <c r="I846" s="308">
        <f>IFERROR(__xludf.DUMMYFUNCTION("""COMPUTED_VALUE"""),44966.0)</f>
        <v>44966</v>
      </c>
      <c r="J846" s="311">
        <f>IFERROR(__xludf.DUMMYFUNCTION("""COMPUTED_VALUE"""),0.3990162037037037)</f>
        <v>0.3990162037</v>
      </c>
      <c r="K846" s="54"/>
      <c r="L846" s="7"/>
      <c r="M846" s="312"/>
      <c r="N846" s="172">
        <f>IFERROR(__xludf.DUMMYFUNCTION("""COMPUTED_VALUE"""),1.0)</f>
        <v>1</v>
      </c>
      <c r="O846" s="172"/>
      <c r="P846" s="313">
        <f>IFERROR(__xludf.DUMMYFUNCTION("""COMPUTED_VALUE"""),0.0)</f>
        <v>0</v>
      </c>
      <c r="Q846" s="76" t="b">
        <f>VLOOKUP($B846,'Run Reconcile'!B$2:O1399,14,FALSE)</f>
        <v>1</v>
      </c>
      <c r="R846" s="314" t="str">
        <f t="array" ref="R846">IF($Q846, INDEX('Run Reconcile'!A$2:A1399,MATCH(B846,'Run Reconcile'!B$2:B1399,0),1),IFERROR(0/0,""))</f>
        <v>RUN-ABRM_2023-02-09_RFR-153</v>
      </c>
      <c r="S846" s="315" t="str">
        <f t="shared" ref="S846:T846" si="1697">IF(COUNTIF(W$2:W1399, $A846) &gt; 0,TRUE,IFERROR(0/0,""))</f>
        <v/>
      </c>
      <c r="T846" s="315" t="str">
        <f t="shared" si="1697"/>
        <v/>
      </c>
      <c r="U846" s="114" t="str">
        <f t="array" ref="U846">IF(ISBLANK($R846), INDEX('Run Reconcile'!A$2:A1399, MATCH($B846, 'Run Reconcile'!B$2:B1399, 0)+Z846, 1), IFERROR(0/0,""))
</f>
        <v/>
      </c>
      <c r="V846" s="316" t="str">
        <f t="shared" si="1281"/>
        <v>RUN-ABRM_2023-02-09_RFR-153</v>
      </c>
      <c r="Y846" s="317" t="str">
        <f t="shared" si="6"/>
        <v/>
      </c>
      <c r="Z846" s="83" t="str">
        <f t="shared" si="7"/>
        <v/>
      </c>
      <c r="AA846" s="83" t="str">
        <f t="shared" si="8"/>
        <v/>
      </c>
      <c r="AB846" s="83" t="str">
        <f t="shared" si="9"/>
        <v/>
      </c>
      <c r="AC846" s="18" t="str">
        <f t="shared" ref="AC846:AD846" si="1698">IF(_xlfn.ISFORMULA(S846),IFERROR(0/0,""),TRUE)</f>
        <v/>
      </c>
      <c r="AD846" s="18" t="str">
        <f t="shared" si="1698"/>
        <v/>
      </c>
      <c r="AE846" s="43"/>
      <c r="AF846" s="58" t="s">
        <v>134</v>
      </c>
      <c r="AG846" s="55" t="str">
        <f t="shared" si="11"/>
        <v/>
      </c>
    </row>
    <row r="847">
      <c r="A847" s="7" t="str">
        <f>IFERROR(__xludf.DUMMYFUNCTION("""COMPUTED_VALUE"""),"AH6715")</f>
        <v>AH6715</v>
      </c>
      <c r="B847" s="308">
        <f>IFERROR(__xludf.DUMMYFUNCTION("""COMPUTED_VALUE"""),44966.0)</f>
        <v>44966</v>
      </c>
      <c r="C847" s="309">
        <f>IFERROR(__xludf.DUMMYFUNCTION("""COMPUTED_VALUE"""),0.3378703703703704)</f>
        <v>0.3378703704</v>
      </c>
      <c r="D847" s="7" t="str">
        <f>IFERROR(__xludf.DUMMYFUNCTION("""COMPUTED_VALUE"""),"SpABRM655136")</f>
        <v>SpABRM655136</v>
      </c>
      <c r="E847" s="310"/>
      <c r="F847" s="310"/>
      <c r="G847" s="310" t="str">
        <f>IFERROR(__xludf.DUMMYFUNCTION("""COMPUTED_VALUE"""),"Negative")</f>
        <v>Negative</v>
      </c>
      <c r="H847" s="319" t="str">
        <f>IFERROR(__xludf.DUMMYFUNCTION("""COMPUTED_VALUE"""),"Negative")</f>
        <v>Negative</v>
      </c>
      <c r="I847" s="308">
        <f>IFERROR(__xludf.DUMMYFUNCTION("""COMPUTED_VALUE"""),44966.0)</f>
        <v>44966</v>
      </c>
      <c r="J847" s="311">
        <f>IFERROR(__xludf.DUMMYFUNCTION("""COMPUTED_VALUE"""),0.39902777777777776)</f>
        <v>0.3990277778</v>
      </c>
      <c r="K847" s="54"/>
      <c r="L847" s="7"/>
      <c r="M847" s="312"/>
      <c r="N847" s="172">
        <f>IFERROR(__xludf.DUMMYFUNCTION("""COMPUTED_VALUE"""),4.0)</f>
        <v>4</v>
      </c>
      <c r="O847" s="172"/>
      <c r="P847" s="313">
        <f>IFERROR(__xludf.DUMMYFUNCTION("""COMPUTED_VALUE"""),0.0)</f>
        <v>0</v>
      </c>
      <c r="Q847" s="76" t="b">
        <f>VLOOKUP($B847,'Run Reconcile'!B$2:O1399,14,FALSE)</f>
        <v>1</v>
      </c>
      <c r="R847" s="314" t="str">
        <f t="array" ref="R847">IF($Q847, INDEX('Run Reconcile'!A$2:A1399,MATCH(B847,'Run Reconcile'!B$2:B1399,0),1),IFERROR(0/0,""))</f>
        <v>RUN-ABRM_2023-02-09_RFR-153</v>
      </c>
      <c r="S847" s="315" t="str">
        <f t="shared" ref="S847:T847" si="1699">IF(COUNTIF(W$2:W1399, $A847) &gt; 0,TRUE,IFERROR(0/0,""))</f>
        <v/>
      </c>
      <c r="T847" s="315" t="str">
        <f t="shared" si="1699"/>
        <v/>
      </c>
      <c r="U847" s="114" t="str">
        <f t="array" ref="U847">IF(ISBLANK($R847), INDEX('Run Reconcile'!A$2:A1399, MATCH($B847, 'Run Reconcile'!B$2:B1399, 0)+Z847, 1), IFERROR(0/0,""))
</f>
        <v/>
      </c>
      <c r="V847" s="316" t="str">
        <f t="shared" si="1281"/>
        <v>RUN-ABRM_2023-02-09_RFR-153</v>
      </c>
      <c r="Y847" s="317" t="str">
        <f t="shared" si="6"/>
        <v/>
      </c>
      <c r="Z847" s="83" t="str">
        <f t="shared" si="7"/>
        <v/>
      </c>
      <c r="AA847" s="83" t="str">
        <f t="shared" si="8"/>
        <v/>
      </c>
      <c r="AB847" s="83" t="str">
        <f t="shared" si="9"/>
        <v/>
      </c>
      <c r="AC847" s="18" t="str">
        <f t="shared" ref="AC847:AD847" si="1700">IF(_xlfn.ISFORMULA(S847),IFERROR(0/0,""),TRUE)</f>
        <v/>
      </c>
      <c r="AD847" s="18" t="str">
        <f t="shared" si="1700"/>
        <v/>
      </c>
      <c r="AE847" s="43"/>
      <c r="AF847" s="58" t="s">
        <v>134</v>
      </c>
      <c r="AG847" s="55" t="str">
        <f t="shared" si="11"/>
        <v/>
      </c>
    </row>
    <row r="848">
      <c r="A848" s="7" t="str">
        <f>IFERROR(__xludf.DUMMYFUNCTION("""COMPUTED_VALUE"""),"AK5389")</f>
        <v>AK5389</v>
      </c>
      <c r="B848" s="308">
        <f>IFERROR(__xludf.DUMMYFUNCTION("""COMPUTED_VALUE"""),44966.0)</f>
        <v>44966</v>
      </c>
      <c r="C848" s="309">
        <f>IFERROR(__xludf.DUMMYFUNCTION("""COMPUTED_VALUE"""),0.35072916666666665)</f>
        <v>0.3507291667</v>
      </c>
      <c r="D848" s="7" t="str">
        <f>IFERROR(__xludf.DUMMYFUNCTION("""COMPUTED_VALUE"""),"SpABRM655136")</f>
        <v>SpABRM655136</v>
      </c>
      <c r="E848" s="310"/>
      <c r="F848" s="310"/>
      <c r="G848" s="310" t="str">
        <f>IFERROR(__xludf.DUMMYFUNCTION("""COMPUTED_VALUE"""),"Negative")</f>
        <v>Negative</v>
      </c>
      <c r="H848" s="319" t="str">
        <f>IFERROR(__xludf.DUMMYFUNCTION("""COMPUTED_VALUE"""),"Negative")</f>
        <v>Negative</v>
      </c>
      <c r="I848" s="308">
        <f>IFERROR(__xludf.DUMMYFUNCTION("""COMPUTED_VALUE"""),44966.0)</f>
        <v>44966</v>
      </c>
      <c r="J848" s="311">
        <f>IFERROR(__xludf.DUMMYFUNCTION("""COMPUTED_VALUE"""),0.39903935185185185)</f>
        <v>0.3990393519</v>
      </c>
      <c r="K848" s="54"/>
      <c r="L848" s="7"/>
      <c r="M848" s="312"/>
      <c r="N848" s="172">
        <f>IFERROR(__xludf.DUMMYFUNCTION("""COMPUTED_VALUE"""),3.0)</f>
        <v>3</v>
      </c>
      <c r="O848" s="172"/>
      <c r="P848" s="313">
        <f>IFERROR(__xludf.DUMMYFUNCTION("""COMPUTED_VALUE"""),0.0)</f>
        <v>0</v>
      </c>
      <c r="Q848" s="76" t="b">
        <f>VLOOKUP($B848,'Run Reconcile'!B$2:O1399,14,FALSE)</f>
        <v>1</v>
      </c>
      <c r="R848" s="314" t="str">
        <f t="array" ref="R848">IF($Q848, INDEX('Run Reconcile'!A$2:A1399,MATCH(B848,'Run Reconcile'!B$2:B1399,0),1),IFERROR(0/0,""))</f>
        <v>RUN-ABRM_2023-02-09_RFR-153</v>
      </c>
      <c r="S848" s="315" t="str">
        <f t="shared" ref="S848:T848" si="1701">IF(COUNTIF(W$2:W1399, $A848) &gt; 0,TRUE,IFERROR(0/0,""))</f>
        <v/>
      </c>
      <c r="T848" s="315" t="str">
        <f t="shared" si="1701"/>
        <v/>
      </c>
      <c r="U848" s="114" t="str">
        <f t="array" ref="U848">IF(ISBLANK($R848), INDEX('Run Reconcile'!A$2:A1399, MATCH($B848, 'Run Reconcile'!B$2:B1399, 0)+Z848, 1), IFERROR(0/0,""))
</f>
        <v/>
      </c>
      <c r="V848" s="316" t="str">
        <f t="shared" si="1281"/>
        <v>RUN-ABRM_2023-02-09_RFR-153</v>
      </c>
      <c r="Y848" s="317" t="str">
        <f t="shared" si="6"/>
        <v/>
      </c>
      <c r="Z848" s="83" t="str">
        <f t="shared" si="7"/>
        <v/>
      </c>
      <c r="AA848" s="83" t="str">
        <f t="shared" si="8"/>
        <v/>
      </c>
      <c r="AB848" s="83" t="str">
        <f t="shared" si="9"/>
        <v/>
      </c>
      <c r="AC848" s="18" t="str">
        <f t="shared" ref="AC848:AD848" si="1702">IF(_xlfn.ISFORMULA(S848),IFERROR(0/0,""),TRUE)</f>
        <v/>
      </c>
      <c r="AD848" s="18" t="str">
        <f t="shared" si="1702"/>
        <v/>
      </c>
      <c r="AE848" s="43"/>
      <c r="AF848" s="58" t="s">
        <v>134</v>
      </c>
      <c r="AG848" s="55" t="str">
        <f t="shared" si="11"/>
        <v/>
      </c>
    </row>
    <row r="849">
      <c r="A849" s="7" t="str">
        <f>IFERROR(__xludf.DUMMYFUNCTION("""COMPUTED_VALUE"""),"AR1382")</f>
        <v>AR1382</v>
      </c>
      <c r="B849" s="308">
        <f>IFERROR(__xludf.DUMMYFUNCTION("""COMPUTED_VALUE"""),44967.0)</f>
        <v>44967</v>
      </c>
      <c r="C849" s="309">
        <f>IFERROR(__xludf.DUMMYFUNCTION("""COMPUTED_VALUE"""),0.24204861111111112)</f>
        <v>0.2420486111</v>
      </c>
      <c r="D849" s="7" t="str">
        <f>IFERROR(__xludf.DUMMYFUNCTION("""COMPUTED_VALUE"""),"SpABRM128250")</f>
        <v>SpABRM128250</v>
      </c>
      <c r="E849" s="310"/>
      <c r="F849" s="310"/>
      <c r="G849" s="310" t="str">
        <f>IFERROR(__xludf.DUMMYFUNCTION("""COMPUTED_VALUE"""),"Negative")</f>
        <v>Negative</v>
      </c>
      <c r="H849" s="319" t="str">
        <f>IFERROR(__xludf.DUMMYFUNCTION("""COMPUTED_VALUE"""),"Negative")</f>
        <v>Negative</v>
      </c>
      <c r="I849" s="308">
        <f>IFERROR(__xludf.DUMMYFUNCTION("""COMPUTED_VALUE"""),44967.0)</f>
        <v>44967</v>
      </c>
      <c r="J849" s="311">
        <f>IFERROR(__xludf.DUMMYFUNCTION("""COMPUTED_VALUE"""),0.40756944444444443)</f>
        <v>0.4075694444</v>
      </c>
      <c r="K849" s="54"/>
      <c r="L849" s="7"/>
      <c r="M849" s="312"/>
      <c r="N849" s="172">
        <f>IFERROR(__xludf.DUMMYFUNCTION("""COMPUTED_VALUE"""),3.0)</f>
        <v>3</v>
      </c>
      <c r="O849" s="172"/>
      <c r="P849" s="313">
        <f>IFERROR(__xludf.DUMMYFUNCTION("""COMPUTED_VALUE"""),0.0)</f>
        <v>0</v>
      </c>
      <c r="Q849" s="76" t="b">
        <f>VLOOKUP($B849,'Run Reconcile'!B$2:O1399,14,FALSE)</f>
        <v>1</v>
      </c>
      <c r="R849" s="314" t="str">
        <f t="array" ref="R849">IF($Q849, INDEX('Run Reconcile'!A$2:A1399,MATCH(B849,'Run Reconcile'!B$2:B1399,0),1),IFERROR(0/0,""))</f>
        <v>RUN-ABRM_2023-02-10_RFR-154</v>
      </c>
      <c r="S849" s="315" t="str">
        <f t="shared" ref="S849:T849" si="1703">IF(COUNTIF(W$2:W1399, $A849) &gt; 0,TRUE,IFERROR(0/0,""))</f>
        <v/>
      </c>
      <c r="T849" s="315" t="str">
        <f t="shared" si="1703"/>
        <v/>
      </c>
      <c r="U849" s="114" t="str">
        <f t="array" ref="U849">IF(ISBLANK($R849), INDEX('Run Reconcile'!A$2:A1399, MATCH($B849, 'Run Reconcile'!B$2:B1399, 0)+Z849, 1), IFERROR(0/0,""))
</f>
        <v/>
      </c>
      <c r="V849" s="316" t="str">
        <f t="shared" si="1281"/>
        <v>RUN-ABRM_2023-02-10_RFR-154</v>
      </c>
      <c r="Y849" s="317" t="str">
        <f t="shared" si="6"/>
        <v/>
      </c>
      <c r="Z849" s="83" t="str">
        <f t="shared" si="7"/>
        <v/>
      </c>
      <c r="AA849" s="83" t="str">
        <f t="shared" si="8"/>
        <v/>
      </c>
      <c r="AB849" s="83" t="str">
        <f t="shared" si="9"/>
        <v/>
      </c>
      <c r="AC849" s="18" t="str">
        <f t="shared" ref="AC849:AD849" si="1704">IF(_xlfn.ISFORMULA(S849),IFERROR(0/0,""),TRUE)</f>
        <v/>
      </c>
      <c r="AD849" s="18" t="str">
        <f t="shared" si="1704"/>
        <v/>
      </c>
      <c r="AE849" s="43"/>
      <c r="AF849" s="58" t="s">
        <v>135</v>
      </c>
      <c r="AG849" s="55" t="str">
        <f t="shared" si="11"/>
        <v/>
      </c>
    </row>
    <row r="850">
      <c r="A850" s="7" t="str">
        <f>IFERROR(__xludf.DUMMYFUNCTION("""COMPUTED_VALUE"""),"AJ8737")</f>
        <v>AJ8737</v>
      </c>
      <c r="B850" s="308">
        <f>IFERROR(__xludf.DUMMYFUNCTION("""COMPUTED_VALUE"""),44967.0)</f>
        <v>44967</v>
      </c>
      <c r="C850" s="309">
        <f>IFERROR(__xludf.DUMMYFUNCTION("""COMPUTED_VALUE"""),0.26762731481481483)</f>
        <v>0.2676273148</v>
      </c>
      <c r="D850" s="7" t="str">
        <f>IFERROR(__xludf.DUMMYFUNCTION("""COMPUTED_VALUE"""),"SpABRM297307")</f>
        <v>SpABRM297307</v>
      </c>
      <c r="E850" s="310"/>
      <c r="F850" s="310"/>
      <c r="G850" s="310" t="str">
        <f>IFERROR(__xludf.DUMMYFUNCTION("""COMPUTED_VALUE"""),"Negative")</f>
        <v>Negative</v>
      </c>
      <c r="H850" s="319" t="str">
        <f>IFERROR(__xludf.DUMMYFUNCTION("""COMPUTED_VALUE"""),"Negative")</f>
        <v>Negative</v>
      </c>
      <c r="I850" s="308">
        <f>IFERROR(__xludf.DUMMYFUNCTION("""COMPUTED_VALUE"""),44967.0)</f>
        <v>44967</v>
      </c>
      <c r="J850" s="311">
        <f>IFERROR(__xludf.DUMMYFUNCTION("""COMPUTED_VALUE"""),0.4075810185185185)</f>
        <v>0.4075810185</v>
      </c>
      <c r="K850" s="54"/>
      <c r="L850" s="7"/>
      <c r="M850" s="312"/>
      <c r="N850" s="172">
        <f>IFERROR(__xludf.DUMMYFUNCTION("""COMPUTED_VALUE"""),3.0)</f>
        <v>3</v>
      </c>
      <c r="O850" s="172"/>
      <c r="P850" s="313">
        <f>IFERROR(__xludf.DUMMYFUNCTION("""COMPUTED_VALUE"""),0.0)</f>
        <v>0</v>
      </c>
      <c r="Q850" s="76" t="b">
        <f>VLOOKUP($B850,'Run Reconcile'!B$2:O1399,14,FALSE)</f>
        <v>1</v>
      </c>
      <c r="R850" s="314" t="str">
        <f t="array" ref="R850">IF($Q850, INDEX('Run Reconcile'!A$2:A1399,MATCH(B850,'Run Reconcile'!B$2:B1399,0),1),IFERROR(0/0,""))</f>
        <v>RUN-ABRM_2023-02-10_RFR-154</v>
      </c>
      <c r="S850" s="315" t="str">
        <f t="shared" ref="S850:T850" si="1705">IF(COUNTIF(W$2:W1399, $A850) &gt; 0,TRUE,IFERROR(0/0,""))</f>
        <v/>
      </c>
      <c r="T850" s="315" t="str">
        <f t="shared" si="1705"/>
        <v/>
      </c>
      <c r="U850" s="114" t="str">
        <f t="array" ref="U850">IF(ISBLANK($R850), INDEX('Run Reconcile'!A$2:A1399, MATCH($B850, 'Run Reconcile'!B$2:B1399, 0)+Z850, 1), IFERROR(0/0,""))
</f>
        <v/>
      </c>
      <c r="V850" s="316" t="str">
        <f t="shared" si="1281"/>
        <v>RUN-ABRM_2023-02-10_RFR-154</v>
      </c>
      <c r="Y850" s="317" t="str">
        <f t="shared" si="6"/>
        <v/>
      </c>
      <c r="Z850" s="83" t="str">
        <f t="shared" si="7"/>
        <v/>
      </c>
      <c r="AA850" s="83" t="str">
        <f t="shared" si="8"/>
        <v/>
      </c>
      <c r="AB850" s="83" t="str">
        <f t="shared" si="9"/>
        <v/>
      </c>
      <c r="AC850" s="18" t="str">
        <f t="shared" ref="AC850:AD850" si="1706">IF(_xlfn.ISFORMULA(S850),IFERROR(0/0,""),TRUE)</f>
        <v/>
      </c>
      <c r="AD850" s="18" t="str">
        <f t="shared" si="1706"/>
        <v/>
      </c>
      <c r="AE850" s="43"/>
      <c r="AF850" s="58" t="s">
        <v>135</v>
      </c>
      <c r="AG850" s="55" t="str">
        <f t="shared" si="11"/>
        <v/>
      </c>
    </row>
    <row r="851">
      <c r="A851" s="7" t="str">
        <f>IFERROR(__xludf.DUMMYFUNCTION("""COMPUTED_VALUE"""),"AJ9312")</f>
        <v>AJ9312</v>
      </c>
      <c r="B851" s="308">
        <f>IFERROR(__xludf.DUMMYFUNCTION("""COMPUTED_VALUE"""),44967.0)</f>
        <v>44967</v>
      </c>
      <c r="C851" s="309">
        <f>IFERROR(__xludf.DUMMYFUNCTION("""COMPUTED_VALUE"""),0.27927083333333336)</f>
        <v>0.2792708333</v>
      </c>
      <c r="D851" s="7" t="str">
        <f>IFERROR(__xludf.DUMMYFUNCTION("""COMPUTED_VALUE"""),"SpABRM367540")</f>
        <v>SpABRM367540</v>
      </c>
      <c r="E851" s="310"/>
      <c r="F851" s="310"/>
      <c r="G851" s="310" t="str">
        <f>IFERROR(__xludf.DUMMYFUNCTION("""COMPUTED_VALUE"""),"Negative")</f>
        <v>Negative</v>
      </c>
      <c r="H851" s="319" t="str">
        <f>IFERROR(__xludf.DUMMYFUNCTION("""COMPUTED_VALUE"""),"Negative")</f>
        <v>Negative</v>
      </c>
      <c r="I851" s="308">
        <f>IFERROR(__xludf.DUMMYFUNCTION("""COMPUTED_VALUE"""),44967.0)</f>
        <v>44967</v>
      </c>
      <c r="J851" s="311">
        <f>IFERROR(__xludf.DUMMYFUNCTION("""COMPUTED_VALUE"""),0.4075810185185185)</f>
        <v>0.4075810185</v>
      </c>
      <c r="K851" s="54"/>
      <c r="L851" s="7"/>
      <c r="M851" s="312"/>
      <c r="N851" s="172">
        <f>IFERROR(__xludf.DUMMYFUNCTION("""COMPUTED_VALUE"""),3.0)</f>
        <v>3</v>
      </c>
      <c r="O851" s="172"/>
      <c r="P851" s="313">
        <f>IFERROR(__xludf.DUMMYFUNCTION("""COMPUTED_VALUE"""),0.0)</f>
        <v>0</v>
      </c>
      <c r="Q851" s="76" t="b">
        <f>VLOOKUP($B851,'Run Reconcile'!B$2:O1399,14,FALSE)</f>
        <v>1</v>
      </c>
      <c r="R851" s="314" t="str">
        <f t="array" ref="R851">IF($Q851, INDEX('Run Reconcile'!A$2:A1399,MATCH(B851,'Run Reconcile'!B$2:B1399,0),1),IFERROR(0/0,""))</f>
        <v>RUN-ABRM_2023-02-10_RFR-154</v>
      </c>
      <c r="S851" s="315" t="str">
        <f t="shared" ref="S851:T851" si="1707">IF(COUNTIF(W$2:W1399, $A851) &gt; 0,TRUE,IFERROR(0/0,""))</f>
        <v/>
      </c>
      <c r="T851" s="315" t="str">
        <f t="shared" si="1707"/>
        <v/>
      </c>
      <c r="U851" s="114" t="str">
        <f t="array" ref="U851">IF(ISBLANK($R851), INDEX('Run Reconcile'!A$2:A1399, MATCH($B851, 'Run Reconcile'!B$2:B1399, 0)+Z851, 1), IFERROR(0/0,""))
</f>
        <v/>
      </c>
      <c r="V851" s="316" t="str">
        <f t="shared" si="1281"/>
        <v>RUN-ABRM_2023-02-10_RFR-154</v>
      </c>
      <c r="Y851" s="317" t="str">
        <f t="shared" si="6"/>
        <v/>
      </c>
      <c r="Z851" s="83" t="str">
        <f t="shared" si="7"/>
        <v/>
      </c>
      <c r="AA851" s="83" t="str">
        <f t="shared" si="8"/>
        <v/>
      </c>
      <c r="AB851" s="83" t="str">
        <f t="shared" si="9"/>
        <v/>
      </c>
      <c r="AC851" s="18" t="str">
        <f t="shared" ref="AC851:AD851" si="1708">IF(_xlfn.ISFORMULA(S851),IFERROR(0/0,""),TRUE)</f>
        <v/>
      </c>
      <c r="AD851" s="18" t="str">
        <f t="shared" si="1708"/>
        <v/>
      </c>
      <c r="AE851" s="43"/>
      <c r="AF851" s="58" t="s">
        <v>135</v>
      </c>
      <c r="AG851" s="55" t="str">
        <f t="shared" si="11"/>
        <v/>
      </c>
    </row>
    <row r="852">
      <c r="A852" s="7" t="str">
        <f>IFERROR(__xludf.DUMMYFUNCTION("""COMPUTED_VALUE"""),"AH1698")</f>
        <v>AH1698</v>
      </c>
      <c r="B852" s="308">
        <f>IFERROR(__xludf.DUMMYFUNCTION("""COMPUTED_VALUE"""),44967.0)</f>
        <v>44967</v>
      </c>
      <c r="C852" s="309">
        <f>IFERROR(__xludf.DUMMYFUNCTION("""COMPUTED_VALUE"""),0.33697916666666666)</f>
        <v>0.3369791667</v>
      </c>
      <c r="D852" s="7" t="str">
        <f>IFERROR(__xludf.DUMMYFUNCTION("""COMPUTED_VALUE"""),"SpABRM655136")</f>
        <v>SpABRM655136</v>
      </c>
      <c r="E852" s="310"/>
      <c r="F852" s="310"/>
      <c r="G852" s="310" t="str">
        <f>IFERROR(__xludf.DUMMYFUNCTION("""COMPUTED_VALUE"""),"Negative")</f>
        <v>Negative</v>
      </c>
      <c r="H852" s="319" t="str">
        <f>IFERROR(__xludf.DUMMYFUNCTION("""COMPUTED_VALUE"""),"Negative")</f>
        <v>Negative</v>
      </c>
      <c r="I852" s="308">
        <f>IFERROR(__xludf.DUMMYFUNCTION("""COMPUTED_VALUE"""),44967.0)</f>
        <v>44967</v>
      </c>
      <c r="J852" s="311">
        <f>IFERROR(__xludf.DUMMYFUNCTION("""COMPUTED_VALUE"""),0.4075925925925926)</f>
        <v>0.4075925926</v>
      </c>
      <c r="K852" s="54"/>
      <c r="L852" s="7"/>
      <c r="M852" s="312"/>
      <c r="N852" s="172">
        <f>IFERROR(__xludf.DUMMYFUNCTION("""COMPUTED_VALUE"""),1.0)</f>
        <v>1</v>
      </c>
      <c r="O852" s="172"/>
      <c r="P852" s="313">
        <f>IFERROR(__xludf.DUMMYFUNCTION("""COMPUTED_VALUE"""),0.0)</f>
        <v>0</v>
      </c>
      <c r="Q852" s="76" t="b">
        <f>VLOOKUP($B852,'Run Reconcile'!B$2:O1399,14,FALSE)</f>
        <v>1</v>
      </c>
      <c r="R852" s="314" t="str">
        <f t="array" ref="R852">IF($Q852, INDEX('Run Reconcile'!A$2:A1399,MATCH(B852,'Run Reconcile'!B$2:B1399,0),1),IFERROR(0/0,""))</f>
        <v>RUN-ABRM_2023-02-10_RFR-154</v>
      </c>
      <c r="S852" s="315" t="str">
        <f t="shared" ref="S852:T852" si="1709">IF(COUNTIF(W$2:W1399, $A852) &gt; 0,TRUE,IFERROR(0/0,""))</f>
        <v/>
      </c>
      <c r="T852" s="315" t="str">
        <f t="shared" si="1709"/>
        <v/>
      </c>
      <c r="U852" s="114" t="str">
        <f t="array" ref="U852">IF(ISBLANK($R852), INDEX('Run Reconcile'!A$2:A1399, MATCH($B852, 'Run Reconcile'!B$2:B1399, 0)+Z852, 1), IFERROR(0/0,""))
</f>
        <v/>
      </c>
      <c r="V852" s="316" t="str">
        <f t="shared" si="1281"/>
        <v>RUN-ABRM_2023-02-10_RFR-154</v>
      </c>
      <c r="Y852" s="317" t="str">
        <f t="shared" si="6"/>
        <v/>
      </c>
      <c r="Z852" s="83" t="str">
        <f t="shared" si="7"/>
        <v/>
      </c>
      <c r="AA852" s="83" t="str">
        <f t="shared" si="8"/>
        <v/>
      </c>
      <c r="AB852" s="83" t="str">
        <f t="shared" si="9"/>
        <v/>
      </c>
      <c r="AC852" s="18" t="str">
        <f t="shared" ref="AC852:AD852" si="1710">IF(_xlfn.ISFORMULA(S852),IFERROR(0/0,""),TRUE)</f>
        <v/>
      </c>
      <c r="AD852" s="18" t="str">
        <f t="shared" si="1710"/>
        <v/>
      </c>
      <c r="AE852" s="43"/>
      <c r="AF852" s="58" t="s">
        <v>135</v>
      </c>
      <c r="AG852" s="55" t="str">
        <f t="shared" si="11"/>
        <v/>
      </c>
    </row>
    <row r="853">
      <c r="A853" s="7" t="str">
        <f>IFERROR(__xludf.DUMMYFUNCTION("""COMPUTED_VALUE"""),"AK4963")</f>
        <v>AK4963</v>
      </c>
      <c r="B853" s="308">
        <f>IFERROR(__xludf.DUMMYFUNCTION("""COMPUTED_VALUE"""),44967.0)</f>
        <v>44967</v>
      </c>
      <c r="C853" s="309">
        <f>IFERROR(__xludf.DUMMYFUNCTION("""COMPUTED_VALUE"""),0.33738425925925924)</f>
        <v>0.3373842593</v>
      </c>
      <c r="D853" s="7" t="str">
        <f>IFERROR(__xludf.DUMMYFUNCTION("""COMPUTED_VALUE"""),"SpABRM655136")</f>
        <v>SpABRM655136</v>
      </c>
      <c r="E853" s="310"/>
      <c r="F853" s="310"/>
      <c r="G853" s="310" t="str">
        <f>IFERROR(__xludf.DUMMYFUNCTION("""COMPUTED_VALUE"""),"Negative")</f>
        <v>Negative</v>
      </c>
      <c r="H853" s="319" t="str">
        <f>IFERROR(__xludf.DUMMYFUNCTION("""COMPUTED_VALUE"""),"Negative")</f>
        <v>Negative</v>
      </c>
      <c r="I853" s="308">
        <f>IFERROR(__xludf.DUMMYFUNCTION("""COMPUTED_VALUE"""),44967.0)</f>
        <v>44967</v>
      </c>
      <c r="J853" s="311">
        <f>IFERROR(__xludf.DUMMYFUNCTION("""COMPUTED_VALUE"""),0.4075925925925926)</f>
        <v>0.4075925926</v>
      </c>
      <c r="K853" s="54"/>
      <c r="L853" s="7"/>
      <c r="M853" s="312"/>
      <c r="N853" s="172">
        <f>IFERROR(__xludf.DUMMYFUNCTION("""COMPUTED_VALUE"""),1.0)</f>
        <v>1</v>
      </c>
      <c r="O853" s="172"/>
      <c r="P853" s="313">
        <f>IFERROR(__xludf.DUMMYFUNCTION("""COMPUTED_VALUE"""),0.0)</f>
        <v>0</v>
      </c>
      <c r="Q853" s="76" t="b">
        <f>VLOOKUP($B853,'Run Reconcile'!B$2:O1399,14,FALSE)</f>
        <v>1</v>
      </c>
      <c r="R853" s="314" t="str">
        <f t="array" ref="R853">IF($Q853, INDEX('Run Reconcile'!A$2:A1399,MATCH(B853,'Run Reconcile'!B$2:B1399,0),1),IFERROR(0/0,""))</f>
        <v>RUN-ABRM_2023-02-10_RFR-154</v>
      </c>
      <c r="S853" s="315" t="str">
        <f t="shared" ref="S853:T853" si="1711">IF(COUNTIF(W$2:W1399, $A853) &gt; 0,TRUE,IFERROR(0/0,""))</f>
        <v/>
      </c>
      <c r="T853" s="315" t="str">
        <f t="shared" si="1711"/>
        <v/>
      </c>
      <c r="U853" s="114" t="str">
        <f t="array" ref="U853">IF(ISBLANK($R853), INDEX('Run Reconcile'!A$2:A1399, MATCH($B853, 'Run Reconcile'!B$2:B1399, 0)+Z853, 1), IFERROR(0/0,""))
</f>
        <v/>
      </c>
      <c r="V853" s="316" t="str">
        <f t="shared" si="1281"/>
        <v>RUN-ABRM_2023-02-10_RFR-154</v>
      </c>
      <c r="Y853" s="317" t="str">
        <f t="shared" si="6"/>
        <v/>
      </c>
      <c r="Z853" s="83" t="str">
        <f t="shared" si="7"/>
        <v/>
      </c>
      <c r="AA853" s="83" t="str">
        <f t="shared" si="8"/>
        <v/>
      </c>
      <c r="AB853" s="83" t="str">
        <f t="shared" si="9"/>
        <v/>
      </c>
      <c r="AC853" s="18" t="str">
        <f t="shared" ref="AC853:AD853" si="1712">IF(_xlfn.ISFORMULA(S853),IFERROR(0/0,""),TRUE)</f>
        <v/>
      </c>
      <c r="AD853" s="18" t="str">
        <f t="shared" si="1712"/>
        <v/>
      </c>
      <c r="AE853" s="43"/>
      <c r="AF853" s="58" t="s">
        <v>135</v>
      </c>
      <c r="AG853" s="55" t="str">
        <f t="shared" si="11"/>
        <v/>
      </c>
    </row>
    <row r="854">
      <c r="A854" s="7" t="str">
        <f>IFERROR(__xludf.DUMMYFUNCTION("""COMPUTED_VALUE"""),"AR1941")</f>
        <v>AR1941</v>
      </c>
      <c r="B854" s="308">
        <f>IFERROR(__xludf.DUMMYFUNCTION("""COMPUTED_VALUE"""),44967.0)</f>
        <v>44967</v>
      </c>
      <c r="C854" s="309">
        <f>IFERROR(__xludf.DUMMYFUNCTION("""COMPUTED_VALUE"""),0.3378125)</f>
        <v>0.3378125</v>
      </c>
      <c r="D854" s="7" t="str">
        <f>IFERROR(__xludf.DUMMYFUNCTION("""COMPUTED_VALUE"""),"SpABRM655136")</f>
        <v>SpABRM655136</v>
      </c>
      <c r="E854" s="310"/>
      <c r="F854" s="310"/>
      <c r="G854" s="310" t="str">
        <f>IFERROR(__xludf.DUMMYFUNCTION("""COMPUTED_VALUE"""),"Negative")</f>
        <v>Negative</v>
      </c>
      <c r="H854" s="319" t="str">
        <f>IFERROR(__xludf.DUMMYFUNCTION("""COMPUTED_VALUE"""),"Negative")</f>
        <v>Negative</v>
      </c>
      <c r="I854" s="308">
        <f>IFERROR(__xludf.DUMMYFUNCTION("""COMPUTED_VALUE"""),44967.0)</f>
        <v>44967</v>
      </c>
      <c r="J854" s="311">
        <f>IFERROR(__xludf.DUMMYFUNCTION("""COMPUTED_VALUE"""),0.40760416666666666)</f>
        <v>0.4076041667</v>
      </c>
      <c r="K854" s="54"/>
      <c r="L854" s="7"/>
      <c r="M854" s="312"/>
      <c r="N854" s="172">
        <f>IFERROR(__xludf.DUMMYFUNCTION("""COMPUTED_VALUE"""),2.0)</f>
        <v>2</v>
      </c>
      <c r="O854" s="172"/>
      <c r="P854" s="313">
        <f>IFERROR(__xludf.DUMMYFUNCTION("""COMPUTED_VALUE"""),0.0)</f>
        <v>0</v>
      </c>
      <c r="Q854" s="76" t="b">
        <f>VLOOKUP($B854,'Run Reconcile'!B$2:O1399,14,FALSE)</f>
        <v>1</v>
      </c>
      <c r="R854" s="314" t="str">
        <f t="array" ref="R854">IF($Q854, INDEX('Run Reconcile'!A$2:A1399,MATCH(B854,'Run Reconcile'!B$2:B1399,0),1),IFERROR(0/0,""))</f>
        <v>RUN-ABRM_2023-02-10_RFR-154</v>
      </c>
      <c r="S854" s="315" t="str">
        <f t="shared" ref="S854:T854" si="1713">IF(COUNTIF(W$2:W1399, $A854) &gt; 0,TRUE,IFERROR(0/0,""))</f>
        <v/>
      </c>
      <c r="T854" s="315" t="str">
        <f t="shared" si="1713"/>
        <v/>
      </c>
      <c r="U854" s="114" t="str">
        <f t="array" ref="U854">IF(ISBLANK($R854), INDEX('Run Reconcile'!A$2:A1399, MATCH($B854, 'Run Reconcile'!B$2:B1399, 0)+Z854, 1), IFERROR(0/0,""))
</f>
        <v/>
      </c>
      <c r="V854" s="316" t="str">
        <f t="shared" si="1281"/>
        <v>RUN-ABRM_2023-02-10_RFR-154</v>
      </c>
      <c r="Y854" s="317" t="str">
        <f t="shared" si="6"/>
        <v/>
      </c>
      <c r="Z854" s="83" t="str">
        <f t="shared" si="7"/>
        <v/>
      </c>
      <c r="AA854" s="83" t="str">
        <f t="shared" si="8"/>
        <v/>
      </c>
      <c r="AB854" s="83" t="str">
        <f t="shared" si="9"/>
        <v/>
      </c>
      <c r="AC854" s="18" t="str">
        <f t="shared" ref="AC854:AD854" si="1714">IF(_xlfn.ISFORMULA(S854),IFERROR(0/0,""),TRUE)</f>
        <v/>
      </c>
      <c r="AD854" s="18" t="str">
        <f t="shared" si="1714"/>
        <v/>
      </c>
      <c r="AE854" s="43"/>
      <c r="AF854" s="58" t="s">
        <v>135</v>
      </c>
      <c r="AG854" s="55" t="str">
        <f t="shared" si="11"/>
        <v/>
      </c>
    </row>
    <row r="855">
      <c r="A855" s="7" t="str">
        <f>IFERROR(__xludf.DUMMYFUNCTION("""COMPUTED_VALUE"""),"AJ8090")</f>
        <v>AJ8090</v>
      </c>
      <c r="B855" s="308">
        <f>IFERROR(__xludf.DUMMYFUNCTION("""COMPUTED_VALUE"""),44967.0)</f>
        <v>44967</v>
      </c>
      <c r="C855" s="309">
        <f>IFERROR(__xludf.DUMMYFUNCTION("""COMPUTED_VALUE"""),0.3381134259259259)</f>
        <v>0.3381134259</v>
      </c>
      <c r="D855" s="7" t="str">
        <f>IFERROR(__xludf.DUMMYFUNCTION("""COMPUTED_VALUE"""),"SpABRM655136")</f>
        <v>SpABRM655136</v>
      </c>
      <c r="E855" s="310"/>
      <c r="F855" s="310"/>
      <c r="G855" s="310" t="str">
        <f>IFERROR(__xludf.DUMMYFUNCTION("""COMPUTED_VALUE"""),"Negative")</f>
        <v>Negative</v>
      </c>
      <c r="H855" s="319" t="str">
        <f>IFERROR(__xludf.DUMMYFUNCTION("""COMPUTED_VALUE"""),"Negative")</f>
        <v>Negative</v>
      </c>
      <c r="I855" s="308">
        <f>IFERROR(__xludf.DUMMYFUNCTION("""COMPUTED_VALUE"""),44967.0)</f>
        <v>44967</v>
      </c>
      <c r="J855" s="311">
        <f>IFERROR(__xludf.DUMMYFUNCTION("""COMPUTED_VALUE"""),0.40761574074074075)</f>
        <v>0.4076157407</v>
      </c>
      <c r="K855" s="54"/>
      <c r="L855" s="7"/>
      <c r="M855" s="312"/>
      <c r="N855" s="172">
        <f>IFERROR(__xludf.DUMMYFUNCTION("""COMPUTED_VALUE"""),1.0)</f>
        <v>1</v>
      </c>
      <c r="O855" s="172"/>
      <c r="P855" s="313">
        <f>IFERROR(__xludf.DUMMYFUNCTION("""COMPUTED_VALUE"""),0.0)</f>
        <v>0</v>
      </c>
      <c r="Q855" s="76" t="b">
        <f>VLOOKUP($B855,'Run Reconcile'!B$2:O1399,14,FALSE)</f>
        <v>1</v>
      </c>
      <c r="R855" s="314" t="str">
        <f t="array" ref="R855">IF($Q855, INDEX('Run Reconcile'!A$2:A1399,MATCH(B855,'Run Reconcile'!B$2:B1399,0),1),IFERROR(0/0,""))</f>
        <v>RUN-ABRM_2023-02-10_RFR-154</v>
      </c>
      <c r="S855" s="315" t="str">
        <f t="shared" ref="S855:T855" si="1715">IF(COUNTIF(W$2:W1399, $A855) &gt; 0,TRUE,IFERROR(0/0,""))</f>
        <v/>
      </c>
      <c r="T855" s="315" t="str">
        <f t="shared" si="1715"/>
        <v/>
      </c>
      <c r="U855" s="114" t="str">
        <f t="array" ref="U855">IF(ISBLANK($R855), INDEX('Run Reconcile'!A$2:A1399, MATCH($B855, 'Run Reconcile'!B$2:B1399, 0)+Z855, 1), IFERROR(0/0,""))
</f>
        <v/>
      </c>
      <c r="V855" s="316" t="str">
        <f t="shared" si="1281"/>
        <v>RUN-ABRM_2023-02-10_RFR-154</v>
      </c>
      <c r="Y855" s="317" t="str">
        <f t="shared" si="6"/>
        <v/>
      </c>
      <c r="Z855" s="83" t="str">
        <f t="shared" si="7"/>
        <v/>
      </c>
      <c r="AA855" s="83" t="str">
        <f t="shared" si="8"/>
        <v/>
      </c>
      <c r="AB855" s="83" t="str">
        <f t="shared" si="9"/>
        <v/>
      </c>
      <c r="AC855" s="18" t="str">
        <f t="shared" ref="AC855:AD855" si="1716">IF(_xlfn.ISFORMULA(S855),IFERROR(0/0,""),TRUE)</f>
        <v/>
      </c>
      <c r="AD855" s="18" t="str">
        <f t="shared" si="1716"/>
        <v/>
      </c>
      <c r="AE855" s="43"/>
      <c r="AF855" s="58" t="s">
        <v>135</v>
      </c>
      <c r="AG855" s="55" t="str">
        <f t="shared" si="11"/>
        <v/>
      </c>
    </row>
    <row r="856">
      <c r="A856" s="7" t="str">
        <f>IFERROR(__xludf.DUMMYFUNCTION("""COMPUTED_VALUE"""),"AJ9826")</f>
        <v>AJ9826</v>
      </c>
      <c r="B856" s="308">
        <f>IFERROR(__xludf.DUMMYFUNCTION("""COMPUTED_VALUE"""),44967.0)</f>
        <v>44967</v>
      </c>
      <c r="C856" s="309">
        <f>IFERROR(__xludf.DUMMYFUNCTION("""COMPUTED_VALUE"""),0.34283564814814815)</f>
        <v>0.3428356481</v>
      </c>
      <c r="D856" s="7" t="str">
        <f>IFERROR(__xludf.DUMMYFUNCTION("""COMPUTED_VALUE"""),"SpABRM655136")</f>
        <v>SpABRM655136</v>
      </c>
      <c r="E856" s="310"/>
      <c r="F856" s="310"/>
      <c r="G856" s="310" t="str">
        <f>IFERROR(__xludf.DUMMYFUNCTION("""COMPUTED_VALUE"""),"Negative")</f>
        <v>Negative</v>
      </c>
      <c r="H856" s="319" t="str">
        <f>IFERROR(__xludf.DUMMYFUNCTION("""COMPUTED_VALUE"""),"Negative")</f>
        <v>Negative</v>
      </c>
      <c r="I856" s="308">
        <f>IFERROR(__xludf.DUMMYFUNCTION("""COMPUTED_VALUE"""),44967.0)</f>
        <v>44967</v>
      </c>
      <c r="J856" s="311">
        <f>IFERROR(__xludf.DUMMYFUNCTION("""COMPUTED_VALUE"""),0.43150462962962965)</f>
        <v>0.4315046296</v>
      </c>
      <c r="K856" s="54"/>
      <c r="L856" s="7"/>
      <c r="M856" s="312"/>
      <c r="N856" s="172">
        <f>IFERROR(__xludf.DUMMYFUNCTION("""COMPUTED_VALUE"""),3.0)</f>
        <v>3</v>
      </c>
      <c r="O856" s="172"/>
      <c r="P856" s="313">
        <f>IFERROR(__xludf.DUMMYFUNCTION("""COMPUTED_VALUE"""),0.0)</f>
        <v>0</v>
      </c>
      <c r="Q856" s="76" t="b">
        <f>VLOOKUP($B856,'Run Reconcile'!B$2:O1399,14,FALSE)</f>
        <v>1</v>
      </c>
      <c r="R856" s="314" t="str">
        <f t="array" ref="R856">IF($Q856, INDEX('Run Reconcile'!A$2:A1399,MATCH(B856,'Run Reconcile'!B$2:B1399,0),1),IFERROR(0/0,""))</f>
        <v>RUN-ABRM_2023-02-10_RFR-154</v>
      </c>
      <c r="S856" s="315" t="str">
        <f t="shared" ref="S856:T856" si="1717">IF(COUNTIF(W$2:W1399, $A856) &gt; 0,TRUE,IFERROR(0/0,""))</f>
        <v/>
      </c>
      <c r="T856" s="315" t="str">
        <f t="shared" si="1717"/>
        <v/>
      </c>
      <c r="U856" s="114" t="str">
        <f t="array" ref="U856">IF(ISBLANK($R856), INDEX('Run Reconcile'!A$2:A1399, MATCH($B856, 'Run Reconcile'!B$2:B1399, 0)+Z856, 1), IFERROR(0/0,""))
</f>
        <v/>
      </c>
      <c r="V856" s="316" t="str">
        <f t="shared" si="1281"/>
        <v>RUN-ABRM_2023-02-10_RFR-154</v>
      </c>
      <c r="Y856" s="317" t="str">
        <f t="shared" si="6"/>
        <v/>
      </c>
      <c r="Z856" s="83" t="str">
        <f t="shared" si="7"/>
        <v/>
      </c>
      <c r="AA856" s="83" t="str">
        <f t="shared" si="8"/>
        <v/>
      </c>
      <c r="AB856" s="83" t="str">
        <f t="shared" si="9"/>
        <v/>
      </c>
      <c r="AC856" s="18" t="str">
        <f t="shared" ref="AC856:AD856" si="1718">IF(_xlfn.ISFORMULA(S856),IFERROR(0/0,""),TRUE)</f>
        <v/>
      </c>
      <c r="AD856" s="18" t="str">
        <f t="shared" si="1718"/>
        <v/>
      </c>
      <c r="AE856" s="43"/>
      <c r="AF856" s="58" t="s">
        <v>135</v>
      </c>
      <c r="AG856" s="55" t="str">
        <f t="shared" si="11"/>
        <v/>
      </c>
    </row>
    <row r="857">
      <c r="A857" s="7" t="str">
        <f>IFERROR(__xludf.DUMMYFUNCTION("""COMPUTED_VALUE"""),"AK9655")</f>
        <v>AK9655</v>
      </c>
      <c r="B857" s="308">
        <f>IFERROR(__xludf.DUMMYFUNCTION("""COMPUTED_VALUE"""),44970.0)</f>
        <v>44970</v>
      </c>
      <c r="C857" s="309">
        <f>IFERROR(__xludf.DUMMYFUNCTION("""COMPUTED_VALUE"""),0.2001388888888889)</f>
        <v>0.2001388889</v>
      </c>
      <c r="D857" s="7" t="str">
        <f>IFERROR(__xludf.DUMMYFUNCTION("""COMPUTED_VALUE"""),"SpABRM655136")</f>
        <v>SpABRM655136</v>
      </c>
      <c r="E857" s="310"/>
      <c r="F857" s="310"/>
      <c r="G857" s="310" t="str">
        <f>IFERROR(__xludf.DUMMYFUNCTION("""COMPUTED_VALUE"""),"Negative")</f>
        <v>Negative</v>
      </c>
      <c r="H857" s="319" t="str">
        <f>IFERROR(__xludf.DUMMYFUNCTION("""COMPUTED_VALUE"""),"Negative")</f>
        <v>Negative</v>
      </c>
      <c r="I857" s="308">
        <f>IFERROR(__xludf.DUMMYFUNCTION("""COMPUTED_VALUE"""),44970.0)</f>
        <v>44970</v>
      </c>
      <c r="J857" s="311">
        <f>IFERROR(__xludf.DUMMYFUNCTION("""COMPUTED_VALUE"""),0.4194560185185185)</f>
        <v>0.4194560185</v>
      </c>
      <c r="K857" s="54"/>
      <c r="L857" s="7"/>
      <c r="M857" s="312"/>
      <c r="N857" s="172">
        <f>IFERROR(__xludf.DUMMYFUNCTION("""COMPUTED_VALUE"""),2.0)</f>
        <v>2</v>
      </c>
      <c r="O857" s="172"/>
      <c r="P857" s="313">
        <f>IFERROR(__xludf.DUMMYFUNCTION("""COMPUTED_VALUE"""),0.0)</f>
        <v>0</v>
      </c>
      <c r="Q857" s="76" t="b">
        <f>VLOOKUP($B857,'Run Reconcile'!B$2:O1399,14,FALSE)</f>
        <v>1</v>
      </c>
      <c r="R857" s="314" t="str">
        <f t="array" ref="R857">IF($Q857, INDEX('Run Reconcile'!A$2:A1399,MATCH(B857,'Run Reconcile'!B$2:B1399,0),1),IFERROR(0/0,""))</f>
        <v>RUN-ABRM_2023-02-13_RFR-156</v>
      </c>
      <c r="S857" s="315" t="str">
        <f t="shared" ref="S857:T857" si="1719">IF(COUNTIF(W$2:W1399, $A857) &gt; 0,TRUE,IFERROR(0/0,""))</f>
        <v/>
      </c>
      <c r="T857" s="315" t="str">
        <f t="shared" si="1719"/>
        <v/>
      </c>
      <c r="U857" s="114" t="str">
        <f t="array" ref="U857">IF(ISBLANK($R857), INDEX('Run Reconcile'!A$2:A1399, MATCH($B857, 'Run Reconcile'!B$2:B1399, 0)+Z857, 1), IFERROR(0/0,""))
</f>
        <v/>
      </c>
      <c r="V857" s="316" t="str">
        <f t="shared" si="1281"/>
        <v>RUN-ABRM_2023-02-13_RFR-156</v>
      </c>
      <c r="Y857" s="317" t="str">
        <f t="shared" si="6"/>
        <v/>
      </c>
      <c r="Z857" s="83" t="str">
        <f t="shared" si="7"/>
        <v/>
      </c>
      <c r="AA857" s="83" t="str">
        <f t="shared" si="8"/>
        <v/>
      </c>
      <c r="AB857" s="83" t="str">
        <f t="shared" si="9"/>
        <v/>
      </c>
      <c r="AC857" s="18" t="str">
        <f t="shared" ref="AC857:AD857" si="1720">IF(_xlfn.ISFORMULA(S857),IFERROR(0/0,""),TRUE)</f>
        <v/>
      </c>
      <c r="AD857" s="18" t="str">
        <f t="shared" si="1720"/>
        <v/>
      </c>
      <c r="AE857" s="43"/>
      <c r="AF857" s="58" t="s">
        <v>136</v>
      </c>
      <c r="AG857" s="55" t="str">
        <f t="shared" si="11"/>
        <v/>
      </c>
    </row>
    <row r="858">
      <c r="A858" s="7" t="str">
        <f>IFERROR(__xludf.DUMMYFUNCTION("""COMPUTED_VALUE"""),"AR1076")</f>
        <v>AR1076</v>
      </c>
      <c r="B858" s="308">
        <f>IFERROR(__xludf.DUMMYFUNCTION("""COMPUTED_VALUE"""),44970.0)</f>
        <v>44970</v>
      </c>
      <c r="C858" s="309">
        <f>IFERROR(__xludf.DUMMYFUNCTION("""COMPUTED_VALUE"""),0.23582175925925927)</f>
        <v>0.2358217593</v>
      </c>
      <c r="D858" s="7" t="str">
        <f>IFERROR(__xludf.DUMMYFUNCTION("""COMPUTED_VALUE"""),"SpABRM454310")</f>
        <v>SpABRM454310</v>
      </c>
      <c r="E858" s="310"/>
      <c r="F858" s="310"/>
      <c r="G858" s="310" t="str">
        <f>IFERROR(__xludf.DUMMYFUNCTION("""COMPUTED_VALUE"""),"Negative")</f>
        <v>Negative</v>
      </c>
      <c r="H858" s="319" t="str">
        <f>IFERROR(__xludf.DUMMYFUNCTION("""COMPUTED_VALUE"""),"Negative")</f>
        <v>Negative</v>
      </c>
      <c r="I858" s="308">
        <f>IFERROR(__xludf.DUMMYFUNCTION("""COMPUTED_VALUE"""),44970.0)</f>
        <v>44970</v>
      </c>
      <c r="J858" s="311">
        <f>IFERROR(__xludf.DUMMYFUNCTION("""COMPUTED_VALUE"""),0.4343518518518519)</f>
        <v>0.4343518519</v>
      </c>
      <c r="K858" s="54"/>
      <c r="L858" s="7"/>
      <c r="M858" s="312"/>
      <c r="N858" s="172">
        <f>IFERROR(__xludf.DUMMYFUNCTION("""COMPUTED_VALUE"""),2.0)</f>
        <v>2</v>
      </c>
      <c r="O858" s="172"/>
      <c r="P858" s="313">
        <f>IFERROR(__xludf.DUMMYFUNCTION("""COMPUTED_VALUE"""),0.0)</f>
        <v>0</v>
      </c>
      <c r="Q858" s="76" t="b">
        <f>VLOOKUP($B858,'Run Reconcile'!B$2:O1399,14,FALSE)</f>
        <v>1</v>
      </c>
      <c r="R858" s="314" t="str">
        <f t="array" ref="R858">IF($Q858, INDEX('Run Reconcile'!A$2:A1399,MATCH(B858,'Run Reconcile'!B$2:B1399,0),1),IFERROR(0/0,""))</f>
        <v>RUN-ABRM_2023-02-13_RFR-156</v>
      </c>
      <c r="S858" s="315" t="str">
        <f t="shared" ref="S858:T858" si="1721">IF(COUNTIF(W$2:W1399, $A858) &gt; 0,TRUE,IFERROR(0/0,""))</f>
        <v/>
      </c>
      <c r="T858" s="315" t="str">
        <f t="shared" si="1721"/>
        <v/>
      </c>
      <c r="U858" s="114" t="str">
        <f t="array" ref="U858">IF(ISBLANK($R858), INDEX('Run Reconcile'!A$2:A1399, MATCH($B858, 'Run Reconcile'!B$2:B1399, 0)+Z858, 1), IFERROR(0/0,""))
</f>
        <v/>
      </c>
      <c r="V858" s="316" t="str">
        <f t="shared" si="1281"/>
        <v>RUN-ABRM_2023-02-13_RFR-156</v>
      </c>
      <c r="Y858" s="317" t="str">
        <f t="shared" si="6"/>
        <v/>
      </c>
      <c r="Z858" s="83" t="str">
        <f t="shared" si="7"/>
        <v/>
      </c>
      <c r="AA858" s="83" t="str">
        <f t="shared" si="8"/>
        <v/>
      </c>
      <c r="AB858" s="83" t="str">
        <f t="shared" si="9"/>
        <v/>
      </c>
      <c r="AC858" s="18" t="str">
        <f t="shared" ref="AC858:AD858" si="1722">IF(_xlfn.ISFORMULA(S858),IFERROR(0/0,""),TRUE)</f>
        <v/>
      </c>
      <c r="AD858" s="18" t="str">
        <f t="shared" si="1722"/>
        <v/>
      </c>
      <c r="AE858" s="43"/>
      <c r="AF858" s="58" t="s">
        <v>136</v>
      </c>
      <c r="AG858" s="55" t="str">
        <f t="shared" si="11"/>
        <v/>
      </c>
    </row>
    <row r="859">
      <c r="A859" s="7" t="str">
        <f>IFERROR(__xludf.DUMMYFUNCTION("""COMPUTED_VALUE"""),"AJ9880")</f>
        <v>AJ9880</v>
      </c>
      <c r="B859" s="308">
        <f>IFERROR(__xludf.DUMMYFUNCTION("""COMPUTED_VALUE"""),44970.0)</f>
        <v>44970</v>
      </c>
      <c r="C859" s="309">
        <f>IFERROR(__xludf.DUMMYFUNCTION("""COMPUTED_VALUE"""),0.2366550925925926)</f>
        <v>0.2366550926</v>
      </c>
      <c r="D859" s="7" t="str">
        <f>IFERROR(__xludf.DUMMYFUNCTION("""COMPUTED_VALUE"""),"SpABRM297307")</f>
        <v>SpABRM297307</v>
      </c>
      <c r="E859" s="310"/>
      <c r="F859" s="310"/>
      <c r="G859" s="310" t="str">
        <f>IFERROR(__xludf.DUMMYFUNCTION("""COMPUTED_VALUE"""),"Negative")</f>
        <v>Negative</v>
      </c>
      <c r="H859" s="319" t="str">
        <f>IFERROR(__xludf.DUMMYFUNCTION("""COMPUTED_VALUE"""),"Negative")</f>
        <v>Negative</v>
      </c>
      <c r="I859" s="308">
        <f>IFERROR(__xludf.DUMMYFUNCTION("""COMPUTED_VALUE"""),44970.0)</f>
        <v>44970</v>
      </c>
      <c r="J859" s="311">
        <f>IFERROR(__xludf.DUMMYFUNCTION("""COMPUTED_VALUE"""),0.4194675925925926)</f>
        <v>0.4194675926</v>
      </c>
      <c r="K859" s="54"/>
      <c r="L859" s="7"/>
      <c r="M859" s="312"/>
      <c r="N859" s="172">
        <f>IFERROR(__xludf.DUMMYFUNCTION("""COMPUTED_VALUE"""),3.0)</f>
        <v>3</v>
      </c>
      <c r="O859" s="172"/>
      <c r="P859" s="313">
        <f>IFERROR(__xludf.DUMMYFUNCTION("""COMPUTED_VALUE"""),0.0)</f>
        <v>0</v>
      </c>
      <c r="Q859" s="76" t="b">
        <f>VLOOKUP($B859,'Run Reconcile'!B$2:O1399,14,FALSE)</f>
        <v>1</v>
      </c>
      <c r="R859" s="314" t="str">
        <f t="array" ref="R859">IF($Q859, INDEX('Run Reconcile'!A$2:A1399,MATCH(B859,'Run Reconcile'!B$2:B1399,0),1),IFERROR(0/0,""))</f>
        <v>RUN-ABRM_2023-02-13_RFR-156</v>
      </c>
      <c r="S859" s="315" t="str">
        <f t="shared" ref="S859:T859" si="1723">IF(COUNTIF(W$2:W1399, $A859) &gt; 0,TRUE,IFERROR(0/0,""))</f>
        <v/>
      </c>
      <c r="T859" s="315" t="str">
        <f t="shared" si="1723"/>
        <v/>
      </c>
      <c r="U859" s="114" t="str">
        <f t="array" ref="U859">IF(ISBLANK($R859), INDEX('Run Reconcile'!A$2:A1399, MATCH($B859, 'Run Reconcile'!B$2:B1399, 0)+Z859, 1), IFERROR(0/0,""))
</f>
        <v/>
      </c>
      <c r="V859" s="316" t="str">
        <f t="shared" si="1281"/>
        <v>RUN-ABRM_2023-02-13_RFR-156</v>
      </c>
      <c r="Y859" s="317" t="str">
        <f t="shared" si="6"/>
        <v/>
      </c>
      <c r="Z859" s="83" t="str">
        <f t="shared" si="7"/>
        <v/>
      </c>
      <c r="AA859" s="83" t="str">
        <f t="shared" si="8"/>
        <v/>
      </c>
      <c r="AB859" s="83" t="str">
        <f t="shared" si="9"/>
        <v/>
      </c>
      <c r="AC859" s="18" t="str">
        <f t="shared" ref="AC859:AD859" si="1724">IF(_xlfn.ISFORMULA(S859),IFERROR(0/0,""),TRUE)</f>
        <v/>
      </c>
      <c r="AD859" s="18" t="str">
        <f t="shared" si="1724"/>
        <v/>
      </c>
      <c r="AE859" s="43"/>
      <c r="AF859" s="58" t="s">
        <v>136</v>
      </c>
      <c r="AG859" s="55" t="str">
        <f t="shared" si="11"/>
        <v/>
      </c>
    </row>
    <row r="860">
      <c r="A860" s="7" t="str">
        <f>IFERROR(__xludf.DUMMYFUNCTION("""COMPUTED_VALUE"""),"AR1229")</f>
        <v>AR1229</v>
      </c>
      <c r="B860" s="308">
        <f>IFERROR(__xludf.DUMMYFUNCTION("""COMPUTED_VALUE"""),44970.0)</f>
        <v>44970</v>
      </c>
      <c r="C860" s="309">
        <f>IFERROR(__xludf.DUMMYFUNCTION("""COMPUTED_VALUE"""),0.2470601851851852)</f>
        <v>0.2470601852</v>
      </c>
      <c r="D860" s="7" t="str">
        <f>IFERROR(__xludf.DUMMYFUNCTION("""COMPUTED_VALUE"""),"SpABRM128250")</f>
        <v>SpABRM128250</v>
      </c>
      <c r="E860" s="310"/>
      <c r="F860" s="310"/>
      <c r="G860" s="310" t="str">
        <f>IFERROR(__xludf.DUMMYFUNCTION("""COMPUTED_VALUE"""),"Negative")</f>
        <v>Negative</v>
      </c>
      <c r="H860" s="319" t="str">
        <f>IFERROR(__xludf.DUMMYFUNCTION("""COMPUTED_VALUE"""),"Negative")</f>
        <v>Negative</v>
      </c>
      <c r="I860" s="308">
        <f>IFERROR(__xludf.DUMMYFUNCTION("""COMPUTED_VALUE"""),44970.0)</f>
        <v>44970</v>
      </c>
      <c r="J860" s="311">
        <f>IFERROR(__xludf.DUMMYFUNCTION("""COMPUTED_VALUE"""),0.4194675925925926)</f>
        <v>0.4194675926</v>
      </c>
      <c r="K860" s="54"/>
      <c r="L860" s="7"/>
      <c r="M860" s="312"/>
      <c r="N860" s="172">
        <f>IFERROR(__xludf.DUMMYFUNCTION("""COMPUTED_VALUE"""),3.0)</f>
        <v>3</v>
      </c>
      <c r="O860" s="172"/>
      <c r="P860" s="313">
        <f>IFERROR(__xludf.DUMMYFUNCTION("""COMPUTED_VALUE"""),0.0)</f>
        <v>0</v>
      </c>
      <c r="Q860" s="76" t="b">
        <f>VLOOKUP($B860,'Run Reconcile'!B$2:O1399,14,FALSE)</f>
        <v>1</v>
      </c>
      <c r="R860" s="314" t="str">
        <f t="array" ref="R860">IF($Q860, INDEX('Run Reconcile'!A$2:A1399,MATCH(B860,'Run Reconcile'!B$2:B1399,0),1),IFERROR(0/0,""))</f>
        <v>RUN-ABRM_2023-02-13_RFR-156</v>
      </c>
      <c r="S860" s="315" t="str">
        <f t="shared" ref="S860:T860" si="1725">IF(COUNTIF(W$2:W1399, $A860) &gt; 0,TRUE,IFERROR(0/0,""))</f>
        <v/>
      </c>
      <c r="T860" s="315" t="str">
        <f t="shared" si="1725"/>
        <v/>
      </c>
      <c r="U860" s="114" t="str">
        <f t="array" ref="U860">IF(ISBLANK($R860), INDEX('Run Reconcile'!A$2:A1399, MATCH($B860, 'Run Reconcile'!B$2:B1399, 0)+Z860, 1), IFERROR(0/0,""))
</f>
        <v/>
      </c>
      <c r="V860" s="316" t="str">
        <f t="shared" si="1281"/>
        <v>RUN-ABRM_2023-02-13_RFR-156</v>
      </c>
      <c r="Y860" s="317" t="str">
        <f t="shared" si="6"/>
        <v/>
      </c>
      <c r="Z860" s="83" t="str">
        <f t="shared" si="7"/>
        <v/>
      </c>
      <c r="AA860" s="83" t="str">
        <f t="shared" si="8"/>
        <v/>
      </c>
      <c r="AB860" s="83" t="str">
        <f t="shared" si="9"/>
        <v/>
      </c>
      <c r="AC860" s="18" t="str">
        <f t="shared" ref="AC860:AD860" si="1726">IF(_xlfn.ISFORMULA(S860),IFERROR(0/0,""),TRUE)</f>
        <v/>
      </c>
      <c r="AD860" s="18" t="str">
        <f t="shared" si="1726"/>
        <v/>
      </c>
      <c r="AE860" s="43"/>
      <c r="AF860" s="58" t="s">
        <v>136</v>
      </c>
      <c r="AG860" s="55" t="str">
        <f t="shared" si="11"/>
        <v/>
      </c>
    </row>
    <row r="861">
      <c r="A861" s="7" t="str">
        <f>IFERROR(__xludf.DUMMYFUNCTION("""COMPUTED_VALUE"""),"AH275")</f>
        <v>AH275</v>
      </c>
      <c r="B861" s="308">
        <f>IFERROR(__xludf.DUMMYFUNCTION("""COMPUTED_VALUE"""),44970.0)</f>
        <v>44970</v>
      </c>
      <c r="C861" s="309">
        <f>IFERROR(__xludf.DUMMYFUNCTION("""COMPUTED_VALUE"""),0.2991435185185185)</f>
        <v>0.2991435185</v>
      </c>
      <c r="D861" s="7" t="str">
        <f>IFERROR(__xludf.DUMMYFUNCTION("""COMPUTED_VALUE"""),"SpABRM367540")</f>
        <v>SpABRM367540</v>
      </c>
      <c r="E861" s="310"/>
      <c r="F861" s="310"/>
      <c r="G861" s="310" t="str">
        <f>IFERROR(__xludf.DUMMYFUNCTION("""COMPUTED_VALUE"""),"Negative")</f>
        <v>Negative</v>
      </c>
      <c r="H861" s="319" t="str">
        <f>IFERROR(__xludf.DUMMYFUNCTION("""COMPUTED_VALUE"""),"Negative")</f>
        <v>Negative</v>
      </c>
      <c r="I861" s="308">
        <f>IFERROR(__xludf.DUMMYFUNCTION("""COMPUTED_VALUE"""),44970.0)</f>
        <v>44970</v>
      </c>
      <c r="J861" s="311">
        <f>IFERROR(__xludf.DUMMYFUNCTION("""COMPUTED_VALUE"""),0.4194791666666667)</f>
        <v>0.4194791667</v>
      </c>
      <c r="K861" s="54"/>
      <c r="L861" s="7"/>
      <c r="M861" s="312"/>
      <c r="N861" s="172">
        <f>IFERROR(__xludf.DUMMYFUNCTION("""COMPUTED_VALUE"""),3.0)</f>
        <v>3</v>
      </c>
      <c r="O861" s="172"/>
      <c r="P861" s="313">
        <f>IFERROR(__xludf.DUMMYFUNCTION("""COMPUTED_VALUE"""),0.0)</f>
        <v>0</v>
      </c>
      <c r="Q861" s="76" t="b">
        <f>VLOOKUP($B861,'Run Reconcile'!B$2:O1399,14,FALSE)</f>
        <v>1</v>
      </c>
      <c r="R861" s="314" t="str">
        <f t="array" ref="R861">IF($Q861, INDEX('Run Reconcile'!A$2:A1399,MATCH(B861,'Run Reconcile'!B$2:B1399,0),1),IFERROR(0/0,""))</f>
        <v>RUN-ABRM_2023-02-13_RFR-156</v>
      </c>
      <c r="S861" s="315" t="str">
        <f t="shared" ref="S861:T861" si="1727">IF(COUNTIF(W$2:W1399, $A861) &gt; 0,TRUE,IFERROR(0/0,""))</f>
        <v/>
      </c>
      <c r="T861" s="315" t="str">
        <f t="shared" si="1727"/>
        <v/>
      </c>
      <c r="U861" s="114" t="str">
        <f t="array" ref="U861">IF(ISBLANK($R861), INDEX('Run Reconcile'!A$2:A1399, MATCH($B861, 'Run Reconcile'!B$2:B1399, 0)+Z861, 1), IFERROR(0/0,""))
</f>
        <v/>
      </c>
      <c r="V861" s="316" t="str">
        <f t="shared" si="1281"/>
        <v>RUN-ABRM_2023-02-13_RFR-156</v>
      </c>
      <c r="Y861" s="317" t="str">
        <f t="shared" si="6"/>
        <v/>
      </c>
      <c r="Z861" s="83" t="str">
        <f t="shared" si="7"/>
        <v/>
      </c>
      <c r="AA861" s="83" t="str">
        <f t="shared" si="8"/>
        <v/>
      </c>
      <c r="AB861" s="83" t="str">
        <f t="shared" si="9"/>
        <v/>
      </c>
      <c r="AC861" s="18" t="str">
        <f t="shared" ref="AC861:AD861" si="1728">IF(_xlfn.ISFORMULA(S861),IFERROR(0/0,""),TRUE)</f>
        <v/>
      </c>
      <c r="AD861" s="18" t="str">
        <f t="shared" si="1728"/>
        <v/>
      </c>
      <c r="AE861" s="43"/>
      <c r="AF861" s="58" t="s">
        <v>136</v>
      </c>
      <c r="AG861" s="55" t="str">
        <f t="shared" si="11"/>
        <v/>
      </c>
    </row>
    <row r="862">
      <c r="A862" s="7" t="str">
        <f>IFERROR(__xludf.DUMMYFUNCTION("""COMPUTED_VALUE"""),"AH903")</f>
        <v>AH903</v>
      </c>
      <c r="B862" s="308">
        <f>IFERROR(__xludf.DUMMYFUNCTION("""COMPUTED_VALUE"""),44970.0)</f>
        <v>44970</v>
      </c>
      <c r="C862" s="309">
        <f>IFERROR(__xludf.DUMMYFUNCTION("""COMPUTED_VALUE"""),0.3887962962962963)</f>
        <v>0.3887962963</v>
      </c>
      <c r="D862" s="7" t="str">
        <f>IFERROR(__xludf.DUMMYFUNCTION("""COMPUTED_VALUE"""),"SpABRM655136")</f>
        <v>SpABRM655136</v>
      </c>
      <c r="E862" s="310"/>
      <c r="F862" s="310"/>
      <c r="G862" s="310" t="str">
        <f>IFERROR(__xludf.DUMMYFUNCTION("""COMPUTED_VALUE"""),"Negative")</f>
        <v>Negative</v>
      </c>
      <c r="H862" s="319" t="str">
        <f>IFERROR(__xludf.DUMMYFUNCTION("""COMPUTED_VALUE"""),"Negative")</f>
        <v>Negative</v>
      </c>
      <c r="I862" s="308">
        <f>IFERROR(__xludf.DUMMYFUNCTION("""COMPUTED_VALUE"""),44970.0)</f>
        <v>44970</v>
      </c>
      <c r="J862" s="311">
        <f>IFERROR(__xludf.DUMMYFUNCTION("""COMPUTED_VALUE"""),0.4194907407407407)</f>
        <v>0.4194907407</v>
      </c>
      <c r="K862" s="54"/>
      <c r="L862" s="7"/>
      <c r="M862" s="312"/>
      <c r="N862" s="172">
        <f>IFERROR(__xludf.DUMMYFUNCTION("""COMPUTED_VALUE"""),1.0)</f>
        <v>1</v>
      </c>
      <c r="O862" s="172"/>
      <c r="P862" s="313">
        <f>IFERROR(__xludf.DUMMYFUNCTION("""COMPUTED_VALUE"""),0.0)</f>
        <v>0</v>
      </c>
      <c r="Q862" s="76" t="b">
        <f>VLOOKUP($B862,'Run Reconcile'!B$2:O1399,14,FALSE)</f>
        <v>1</v>
      </c>
      <c r="R862" s="314" t="str">
        <f t="array" ref="R862">IF($Q862, INDEX('Run Reconcile'!A$2:A1399,MATCH(B862,'Run Reconcile'!B$2:B1399,0),1),IFERROR(0/0,""))</f>
        <v>RUN-ABRM_2023-02-13_RFR-156</v>
      </c>
      <c r="S862" s="315" t="str">
        <f t="shared" ref="S862:T862" si="1729">IF(COUNTIF(W$2:W1399, $A862) &gt; 0,TRUE,IFERROR(0/0,""))</f>
        <v/>
      </c>
      <c r="T862" s="315" t="str">
        <f t="shared" si="1729"/>
        <v/>
      </c>
      <c r="U862" s="114" t="str">
        <f t="array" ref="U862">IF(ISBLANK($R862), INDEX('Run Reconcile'!A$2:A1399, MATCH($B862, 'Run Reconcile'!B$2:B1399, 0)+Z862, 1), IFERROR(0/0,""))
</f>
        <v/>
      </c>
      <c r="V862" s="316" t="str">
        <f t="shared" si="1281"/>
        <v>RUN-ABRM_2023-02-13_RFR-156</v>
      </c>
      <c r="Y862" s="317" t="str">
        <f t="shared" si="6"/>
        <v/>
      </c>
      <c r="Z862" s="83" t="str">
        <f t="shared" si="7"/>
        <v/>
      </c>
      <c r="AA862" s="83" t="str">
        <f t="shared" si="8"/>
        <v/>
      </c>
      <c r="AB862" s="83" t="str">
        <f t="shared" si="9"/>
        <v/>
      </c>
      <c r="AC862" s="18" t="str">
        <f t="shared" ref="AC862:AD862" si="1730">IF(_xlfn.ISFORMULA(S862),IFERROR(0/0,""),TRUE)</f>
        <v/>
      </c>
      <c r="AD862" s="18" t="str">
        <f t="shared" si="1730"/>
        <v/>
      </c>
      <c r="AE862" s="43"/>
      <c r="AF862" s="58" t="s">
        <v>136</v>
      </c>
      <c r="AG862" s="55" t="str">
        <f t="shared" si="11"/>
        <v/>
      </c>
    </row>
    <row r="863">
      <c r="A863" s="7" t="str">
        <f>IFERROR(__xludf.DUMMYFUNCTION("""COMPUTED_VALUE"""),"AB9901")</f>
        <v>AB9901</v>
      </c>
      <c r="B863" s="308">
        <f>IFERROR(__xludf.DUMMYFUNCTION("""COMPUTED_VALUE"""),44970.0)</f>
        <v>44970</v>
      </c>
      <c r="C863" s="309">
        <f>IFERROR(__xludf.DUMMYFUNCTION("""COMPUTED_VALUE"""),0.3892361111111111)</f>
        <v>0.3892361111</v>
      </c>
      <c r="D863" s="7" t="str">
        <f>IFERROR(__xludf.DUMMYFUNCTION("""COMPUTED_VALUE"""),"SpABRM655136")</f>
        <v>SpABRM655136</v>
      </c>
      <c r="E863" s="310"/>
      <c r="F863" s="310"/>
      <c r="G863" s="310" t="str">
        <f>IFERROR(__xludf.DUMMYFUNCTION("""COMPUTED_VALUE"""),"Negative")</f>
        <v>Negative</v>
      </c>
      <c r="H863" s="319" t="str">
        <f>IFERROR(__xludf.DUMMYFUNCTION("""COMPUTED_VALUE"""),"Negative")</f>
        <v>Negative</v>
      </c>
      <c r="I863" s="308">
        <f>IFERROR(__xludf.DUMMYFUNCTION("""COMPUTED_VALUE"""),44970.0)</f>
        <v>44970</v>
      </c>
      <c r="J863" s="311">
        <f>IFERROR(__xludf.DUMMYFUNCTION("""COMPUTED_VALUE"""),0.4194907407407407)</f>
        <v>0.4194907407</v>
      </c>
      <c r="K863" s="54"/>
      <c r="L863" s="7"/>
      <c r="M863" s="312"/>
      <c r="N863" s="172">
        <f>IFERROR(__xludf.DUMMYFUNCTION("""COMPUTED_VALUE"""),2.0)</f>
        <v>2</v>
      </c>
      <c r="O863" s="172"/>
      <c r="P863" s="313">
        <f>IFERROR(__xludf.DUMMYFUNCTION("""COMPUTED_VALUE"""),0.0)</f>
        <v>0</v>
      </c>
      <c r="Q863" s="76" t="b">
        <f>VLOOKUP($B863,'Run Reconcile'!B$2:O1399,14,FALSE)</f>
        <v>1</v>
      </c>
      <c r="R863" s="314" t="str">
        <f t="array" ref="R863">IF($Q863, INDEX('Run Reconcile'!A$2:A1399,MATCH(B863,'Run Reconcile'!B$2:B1399,0),1),IFERROR(0/0,""))</f>
        <v>RUN-ABRM_2023-02-13_RFR-156</v>
      </c>
      <c r="S863" s="315" t="str">
        <f t="shared" ref="S863:T863" si="1731">IF(COUNTIF(W$2:W1399, $A863) &gt; 0,TRUE,IFERROR(0/0,""))</f>
        <v/>
      </c>
      <c r="T863" s="315" t="str">
        <f t="shared" si="1731"/>
        <v/>
      </c>
      <c r="U863" s="114" t="str">
        <f t="array" ref="U863">IF(ISBLANK($R863), INDEX('Run Reconcile'!A$2:A1399, MATCH($B863, 'Run Reconcile'!B$2:B1399, 0)+Z863, 1), IFERROR(0/0,""))
</f>
        <v/>
      </c>
      <c r="V863" s="316" t="str">
        <f t="shared" si="1281"/>
        <v>RUN-ABRM_2023-02-13_RFR-156</v>
      </c>
      <c r="Y863" s="317" t="str">
        <f t="shared" si="6"/>
        <v/>
      </c>
      <c r="Z863" s="83" t="str">
        <f t="shared" si="7"/>
        <v/>
      </c>
      <c r="AA863" s="83" t="str">
        <f t="shared" si="8"/>
        <v/>
      </c>
      <c r="AB863" s="83" t="str">
        <f t="shared" si="9"/>
        <v/>
      </c>
      <c r="AC863" s="18" t="str">
        <f t="shared" ref="AC863:AD863" si="1732">IF(_xlfn.ISFORMULA(S863),IFERROR(0/0,""),TRUE)</f>
        <v/>
      </c>
      <c r="AD863" s="18" t="str">
        <f t="shared" si="1732"/>
        <v/>
      </c>
      <c r="AE863" s="43"/>
      <c r="AF863" s="58" t="s">
        <v>136</v>
      </c>
      <c r="AG863" s="55" t="str">
        <f t="shared" si="11"/>
        <v/>
      </c>
    </row>
    <row r="864">
      <c r="A864" s="7" t="str">
        <f>IFERROR(__xludf.DUMMYFUNCTION("""COMPUTED_VALUE"""),"AR386")</f>
        <v>AR386</v>
      </c>
      <c r="B864" s="308">
        <f>IFERROR(__xludf.DUMMYFUNCTION("""COMPUTED_VALUE"""),44970.0)</f>
        <v>44970</v>
      </c>
      <c r="C864" s="309">
        <f>IFERROR(__xludf.DUMMYFUNCTION("""COMPUTED_VALUE"""),0.3895023148148148)</f>
        <v>0.3895023148</v>
      </c>
      <c r="D864" s="7" t="str">
        <f>IFERROR(__xludf.DUMMYFUNCTION("""COMPUTED_VALUE"""),"SpABRM655136")</f>
        <v>SpABRM655136</v>
      </c>
      <c r="E864" s="310"/>
      <c r="F864" s="310"/>
      <c r="G864" s="310" t="str">
        <f>IFERROR(__xludf.DUMMYFUNCTION("""COMPUTED_VALUE"""),"Negative")</f>
        <v>Negative</v>
      </c>
      <c r="H864" s="319" t="str">
        <f>IFERROR(__xludf.DUMMYFUNCTION("""COMPUTED_VALUE"""),"Negative")</f>
        <v>Negative</v>
      </c>
      <c r="I864" s="308">
        <f>IFERROR(__xludf.DUMMYFUNCTION("""COMPUTED_VALUE"""),44970.0)</f>
        <v>44970</v>
      </c>
      <c r="J864" s="311">
        <f>IFERROR(__xludf.DUMMYFUNCTION("""COMPUTED_VALUE"""),0.4195023148148148)</f>
        <v>0.4195023148</v>
      </c>
      <c r="K864" s="54"/>
      <c r="L864" s="7"/>
      <c r="M864" s="312"/>
      <c r="N864" s="172">
        <f>IFERROR(__xludf.DUMMYFUNCTION("""COMPUTED_VALUE"""),3.0)</f>
        <v>3</v>
      </c>
      <c r="O864" s="172"/>
      <c r="P864" s="313">
        <f>IFERROR(__xludf.DUMMYFUNCTION("""COMPUTED_VALUE"""),0.0)</f>
        <v>0</v>
      </c>
      <c r="Q864" s="76" t="b">
        <f>VLOOKUP($B864,'Run Reconcile'!B$2:O1399,14,FALSE)</f>
        <v>1</v>
      </c>
      <c r="R864" s="314" t="str">
        <f t="array" ref="R864">IF($Q864, INDEX('Run Reconcile'!A$2:A1399,MATCH(B864,'Run Reconcile'!B$2:B1399,0),1),IFERROR(0/0,""))</f>
        <v>RUN-ABRM_2023-02-13_RFR-156</v>
      </c>
      <c r="S864" s="315" t="str">
        <f t="shared" ref="S864:T864" si="1733">IF(COUNTIF(W$2:W1399, $A864) &gt; 0,TRUE,IFERROR(0/0,""))</f>
        <v/>
      </c>
      <c r="T864" s="315" t="str">
        <f t="shared" si="1733"/>
        <v/>
      </c>
      <c r="U864" s="114" t="str">
        <f t="array" ref="U864">IF(ISBLANK($R864), INDEX('Run Reconcile'!A$2:A1399, MATCH($B864, 'Run Reconcile'!B$2:B1399, 0)+Z864, 1), IFERROR(0/0,""))
</f>
        <v/>
      </c>
      <c r="V864" s="316" t="str">
        <f t="shared" si="1281"/>
        <v>RUN-ABRM_2023-02-13_RFR-156</v>
      </c>
      <c r="Y864" s="317" t="str">
        <f t="shared" si="6"/>
        <v/>
      </c>
      <c r="Z864" s="83" t="str">
        <f t="shared" si="7"/>
        <v/>
      </c>
      <c r="AA864" s="83" t="str">
        <f t="shared" si="8"/>
        <v/>
      </c>
      <c r="AB864" s="83" t="str">
        <f t="shared" si="9"/>
        <v/>
      </c>
      <c r="AC864" s="18" t="str">
        <f t="shared" ref="AC864:AD864" si="1734">IF(_xlfn.ISFORMULA(S864),IFERROR(0/0,""),TRUE)</f>
        <v/>
      </c>
      <c r="AD864" s="18" t="str">
        <f t="shared" si="1734"/>
        <v/>
      </c>
      <c r="AE864" s="43"/>
      <c r="AF864" s="58" t="s">
        <v>136</v>
      </c>
      <c r="AG864" s="55" t="str">
        <f t="shared" si="11"/>
        <v/>
      </c>
    </row>
    <row r="865">
      <c r="A865" s="7" t="str">
        <f>IFERROR(__xludf.DUMMYFUNCTION("""COMPUTED_VALUE"""),"AH789")</f>
        <v>AH789</v>
      </c>
      <c r="B865" s="308">
        <f>IFERROR(__xludf.DUMMYFUNCTION("""COMPUTED_VALUE"""),44970.0)</f>
        <v>44970</v>
      </c>
      <c r="C865" s="309">
        <f>IFERROR(__xludf.DUMMYFUNCTION("""COMPUTED_VALUE"""),0.39023148148148146)</f>
        <v>0.3902314815</v>
      </c>
      <c r="D865" s="7" t="str">
        <f>IFERROR(__xludf.DUMMYFUNCTION("""COMPUTED_VALUE"""),"SpABRM655136")</f>
        <v>SpABRM655136</v>
      </c>
      <c r="E865" s="310"/>
      <c r="F865" s="310"/>
      <c r="G865" s="310" t="str">
        <f>IFERROR(__xludf.DUMMYFUNCTION("""COMPUTED_VALUE"""),"Negative")</f>
        <v>Negative</v>
      </c>
      <c r="H865" s="319" t="str">
        <f>IFERROR(__xludf.DUMMYFUNCTION("""COMPUTED_VALUE"""),"Negative")</f>
        <v>Negative</v>
      </c>
      <c r="I865" s="308">
        <f>IFERROR(__xludf.DUMMYFUNCTION("""COMPUTED_VALUE"""),44970.0)</f>
        <v>44970</v>
      </c>
      <c r="J865" s="311">
        <f>IFERROR(__xludf.DUMMYFUNCTION("""COMPUTED_VALUE"""),0.4195023148148148)</f>
        <v>0.4195023148</v>
      </c>
      <c r="K865" s="54"/>
      <c r="L865" s="7"/>
      <c r="M865" s="312"/>
      <c r="N865" s="172">
        <f>IFERROR(__xludf.DUMMYFUNCTION("""COMPUTED_VALUE"""),1.0)</f>
        <v>1</v>
      </c>
      <c r="O865" s="172"/>
      <c r="P865" s="313">
        <f>IFERROR(__xludf.DUMMYFUNCTION("""COMPUTED_VALUE"""),0.0)</f>
        <v>0</v>
      </c>
      <c r="Q865" s="76" t="b">
        <f>VLOOKUP($B865,'Run Reconcile'!B$2:O1399,14,FALSE)</f>
        <v>1</v>
      </c>
      <c r="R865" s="314" t="str">
        <f t="array" ref="R865">IF($Q865, INDEX('Run Reconcile'!A$2:A1399,MATCH(B865,'Run Reconcile'!B$2:B1399,0),1),IFERROR(0/0,""))</f>
        <v>RUN-ABRM_2023-02-13_RFR-156</v>
      </c>
      <c r="S865" s="315" t="str">
        <f t="shared" ref="S865:T865" si="1735">IF(COUNTIF(W$2:W1399, $A865) &gt; 0,TRUE,IFERROR(0/0,""))</f>
        <v/>
      </c>
      <c r="T865" s="315" t="str">
        <f t="shared" si="1735"/>
        <v/>
      </c>
      <c r="U865" s="114" t="str">
        <f t="array" ref="U865">IF(ISBLANK($R865), INDEX('Run Reconcile'!A$2:A1399, MATCH($B865, 'Run Reconcile'!B$2:B1399, 0)+Z865, 1), IFERROR(0/0,""))
</f>
        <v/>
      </c>
      <c r="V865" s="316" t="str">
        <f t="shared" si="1281"/>
        <v>RUN-ABRM_2023-02-13_RFR-156</v>
      </c>
      <c r="Y865" s="317" t="str">
        <f t="shared" si="6"/>
        <v/>
      </c>
      <c r="Z865" s="83" t="str">
        <f t="shared" si="7"/>
        <v/>
      </c>
      <c r="AA865" s="83" t="str">
        <f t="shared" si="8"/>
        <v/>
      </c>
      <c r="AB865" s="83" t="str">
        <f t="shared" si="9"/>
        <v/>
      </c>
      <c r="AC865" s="18" t="str">
        <f t="shared" ref="AC865:AD865" si="1736">IF(_xlfn.ISFORMULA(S865),IFERROR(0/0,""),TRUE)</f>
        <v/>
      </c>
      <c r="AD865" s="18" t="str">
        <f t="shared" si="1736"/>
        <v/>
      </c>
      <c r="AE865" s="43"/>
      <c r="AF865" s="58" t="s">
        <v>136</v>
      </c>
      <c r="AG865" s="55" t="str">
        <f t="shared" si="11"/>
        <v/>
      </c>
    </row>
    <row r="866">
      <c r="A866" s="7" t="str">
        <f>IFERROR(__xludf.DUMMYFUNCTION("""COMPUTED_VALUE"""),"AK9753")</f>
        <v>AK9753</v>
      </c>
      <c r="B866" s="308">
        <f>IFERROR(__xludf.DUMMYFUNCTION("""COMPUTED_VALUE"""),44971.0)</f>
        <v>44971</v>
      </c>
      <c r="C866" s="309">
        <f>IFERROR(__xludf.DUMMYFUNCTION("""COMPUTED_VALUE"""),0.2337847222222222)</f>
        <v>0.2337847222</v>
      </c>
      <c r="D866" s="7" t="str">
        <f>IFERROR(__xludf.DUMMYFUNCTION("""COMPUTED_VALUE"""),"SpABRM454310")</f>
        <v>SpABRM454310</v>
      </c>
      <c r="E866" s="310"/>
      <c r="F866" s="310"/>
      <c r="G866" s="310" t="str">
        <f>IFERROR(__xludf.DUMMYFUNCTION("""COMPUTED_VALUE"""),"Negative")</f>
        <v>Negative</v>
      </c>
      <c r="H866" s="319" t="str">
        <f>IFERROR(__xludf.DUMMYFUNCTION("""COMPUTED_VALUE"""),"Negative")</f>
        <v>Negative</v>
      </c>
      <c r="I866" s="308">
        <f>IFERROR(__xludf.DUMMYFUNCTION("""COMPUTED_VALUE"""),44971.0)</f>
        <v>44971</v>
      </c>
      <c r="J866" s="311">
        <f>IFERROR(__xludf.DUMMYFUNCTION("""COMPUTED_VALUE"""),0.42302083333333335)</f>
        <v>0.4230208333</v>
      </c>
      <c r="K866" s="54"/>
      <c r="L866" s="7"/>
      <c r="M866" s="312"/>
      <c r="N866" s="172">
        <f>IFERROR(__xludf.DUMMYFUNCTION("""COMPUTED_VALUE"""),3.0)</f>
        <v>3</v>
      </c>
      <c r="O866" s="172"/>
      <c r="P866" s="313">
        <f>IFERROR(__xludf.DUMMYFUNCTION("""COMPUTED_VALUE"""),0.0)</f>
        <v>0</v>
      </c>
      <c r="Q866" s="76" t="b">
        <f>VLOOKUP($B866,'Run Reconcile'!B$2:O1399,14,FALSE)</f>
        <v>1</v>
      </c>
      <c r="R866" s="314" t="str">
        <f t="array" ref="R866">IF($Q866, INDEX('Run Reconcile'!A$2:A1399,MATCH(B866,'Run Reconcile'!B$2:B1399,0),1),IFERROR(0/0,""))</f>
        <v>RUN-ABRM_2023-02-14_RFR-158</v>
      </c>
      <c r="S866" s="315" t="str">
        <f t="shared" ref="S866:T866" si="1737">IF(COUNTIF(W$2:W1399, $A866) &gt; 0,TRUE,IFERROR(0/0,""))</f>
        <v/>
      </c>
      <c r="T866" s="315" t="str">
        <f t="shared" si="1737"/>
        <v/>
      </c>
      <c r="U866" s="114" t="str">
        <f t="array" ref="U866">IF(ISBLANK($R866), INDEX('Run Reconcile'!A$2:A1399, MATCH($B866, 'Run Reconcile'!B$2:B1399, 0)+Z866, 1), IFERROR(0/0,""))
</f>
        <v/>
      </c>
      <c r="V866" s="316" t="str">
        <f t="shared" si="1281"/>
        <v>RUN-ABRM_2023-02-14_RFR-158</v>
      </c>
      <c r="Y866" s="317" t="str">
        <f t="shared" si="6"/>
        <v/>
      </c>
      <c r="Z866" s="83" t="str">
        <f t="shared" si="7"/>
        <v/>
      </c>
      <c r="AA866" s="83" t="str">
        <f t="shared" si="8"/>
        <v/>
      </c>
      <c r="AB866" s="83" t="str">
        <f t="shared" si="9"/>
        <v/>
      </c>
      <c r="AC866" s="18" t="str">
        <f t="shared" ref="AC866:AD866" si="1738">IF(_xlfn.ISFORMULA(S866),IFERROR(0/0,""),TRUE)</f>
        <v/>
      </c>
      <c r="AD866" s="18" t="str">
        <f t="shared" si="1738"/>
        <v/>
      </c>
      <c r="AE866" s="43"/>
      <c r="AF866" s="58" t="s">
        <v>137</v>
      </c>
      <c r="AG866" s="55" t="str">
        <f t="shared" si="11"/>
        <v/>
      </c>
    </row>
    <row r="867">
      <c r="A867" s="7" t="str">
        <f>IFERROR(__xludf.DUMMYFUNCTION("""COMPUTED_VALUE"""),"AR1167")</f>
        <v>AR1167</v>
      </c>
      <c r="B867" s="308">
        <f>IFERROR(__xludf.DUMMYFUNCTION("""COMPUTED_VALUE"""),44971.0)</f>
        <v>44971</v>
      </c>
      <c r="C867" s="309">
        <f>IFERROR(__xludf.DUMMYFUNCTION("""COMPUTED_VALUE"""),0.2495138888888889)</f>
        <v>0.2495138889</v>
      </c>
      <c r="D867" s="7" t="str">
        <f>IFERROR(__xludf.DUMMYFUNCTION("""COMPUTED_VALUE"""),"SpABRM128250")</f>
        <v>SpABRM128250</v>
      </c>
      <c r="E867" s="310"/>
      <c r="F867" s="310"/>
      <c r="G867" s="310" t="str">
        <f>IFERROR(__xludf.DUMMYFUNCTION("""COMPUTED_VALUE"""),"Negative")</f>
        <v>Negative</v>
      </c>
      <c r="H867" s="319" t="str">
        <f>IFERROR(__xludf.DUMMYFUNCTION("""COMPUTED_VALUE"""),"Negative")</f>
        <v>Negative</v>
      </c>
      <c r="I867" s="308">
        <f>IFERROR(__xludf.DUMMYFUNCTION("""COMPUTED_VALUE"""),44971.0)</f>
        <v>44971</v>
      </c>
      <c r="J867" s="311">
        <f>IFERROR(__xludf.DUMMYFUNCTION("""COMPUTED_VALUE"""),0.4230324074074074)</f>
        <v>0.4230324074</v>
      </c>
      <c r="K867" s="54"/>
      <c r="L867" s="7"/>
      <c r="M867" s="312"/>
      <c r="N867" s="172">
        <f>IFERROR(__xludf.DUMMYFUNCTION("""COMPUTED_VALUE"""),3.0)</f>
        <v>3</v>
      </c>
      <c r="O867" s="172"/>
      <c r="P867" s="313">
        <f>IFERROR(__xludf.DUMMYFUNCTION("""COMPUTED_VALUE"""),0.0)</f>
        <v>0</v>
      </c>
      <c r="Q867" s="76" t="b">
        <f>VLOOKUP($B867,'Run Reconcile'!B$2:O1399,14,FALSE)</f>
        <v>1</v>
      </c>
      <c r="R867" s="314" t="str">
        <f t="array" ref="R867">IF($Q867, INDEX('Run Reconcile'!A$2:A1399,MATCH(B867,'Run Reconcile'!B$2:B1399,0),1),IFERROR(0/0,""))</f>
        <v>RUN-ABRM_2023-02-14_RFR-158</v>
      </c>
      <c r="S867" s="315" t="str">
        <f t="shared" ref="S867:T867" si="1739">IF(COUNTIF(W$2:W1399, $A867) &gt; 0,TRUE,IFERROR(0/0,""))</f>
        <v/>
      </c>
      <c r="T867" s="315" t="str">
        <f t="shared" si="1739"/>
        <v/>
      </c>
      <c r="U867" s="114" t="str">
        <f t="array" ref="U867">IF(ISBLANK($R867), INDEX('Run Reconcile'!A$2:A1399, MATCH($B867, 'Run Reconcile'!B$2:B1399, 0)+Z867, 1), IFERROR(0/0,""))
</f>
        <v/>
      </c>
      <c r="V867" s="316" t="str">
        <f t="shared" si="1281"/>
        <v>RUN-ABRM_2023-02-14_RFR-158</v>
      </c>
      <c r="Y867" s="317" t="str">
        <f t="shared" si="6"/>
        <v/>
      </c>
      <c r="Z867" s="83" t="str">
        <f t="shared" si="7"/>
        <v/>
      </c>
      <c r="AA867" s="83" t="str">
        <f t="shared" si="8"/>
        <v/>
      </c>
      <c r="AB867" s="83" t="str">
        <f t="shared" si="9"/>
        <v/>
      </c>
      <c r="AC867" s="18" t="str">
        <f t="shared" ref="AC867:AD867" si="1740">IF(_xlfn.ISFORMULA(S867),IFERROR(0/0,""),TRUE)</f>
        <v/>
      </c>
      <c r="AD867" s="18" t="str">
        <f t="shared" si="1740"/>
        <v/>
      </c>
      <c r="AE867" s="43"/>
      <c r="AF867" s="58" t="s">
        <v>137</v>
      </c>
      <c r="AG867" s="55" t="str">
        <f t="shared" si="11"/>
        <v/>
      </c>
    </row>
    <row r="868">
      <c r="A868" s="7" t="str">
        <f>IFERROR(__xludf.DUMMYFUNCTION("""COMPUTED_VALUE"""),"AK9947")</f>
        <v>AK9947</v>
      </c>
      <c r="B868" s="308">
        <f>IFERROR(__xludf.DUMMYFUNCTION("""COMPUTED_VALUE"""),44971.0)</f>
        <v>44971</v>
      </c>
      <c r="C868" s="309">
        <f>IFERROR(__xludf.DUMMYFUNCTION("""COMPUTED_VALUE"""),0.27125)</f>
        <v>0.27125</v>
      </c>
      <c r="D868" s="7" t="str">
        <f>IFERROR(__xludf.DUMMYFUNCTION("""COMPUTED_VALUE"""),"SpABRM655136")</f>
        <v>SpABRM655136</v>
      </c>
      <c r="E868" s="310"/>
      <c r="F868" s="310"/>
      <c r="G868" s="310" t="str">
        <f>IFERROR(__xludf.DUMMYFUNCTION("""COMPUTED_VALUE"""),"Negative")</f>
        <v>Negative</v>
      </c>
      <c r="H868" s="319" t="str">
        <f>IFERROR(__xludf.DUMMYFUNCTION("""COMPUTED_VALUE"""),"Negative")</f>
        <v>Negative</v>
      </c>
      <c r="I868" s="308">
        <f>IFERROR(__xludf.DUMMYFUNCTION("""COMPUTED_VALUE"""),44971.0)</f>
        <v>44971</v>
      </c>
      <c r="J868" s="311">
        <f>IFERROR(__xludf.DUMMYFUNCTION("""COMPUTED_VALUE"""),0.4230324074074074)</f>
        <v>0.4230324074</v>
      </c>
      <c r="K868" s="54"/>
      <c r="L868" s="7"/>
      <c r="M868" s="312"/>
      <c r="N868" s="172">
        <f>IFERROR(__xludf.DUMMYFUNCTION("""COMPUTED_VALUE"""),2.0)</f>
        <v>2</v>
      </c>
      <c r="O868" s="172"/>
      <c r="P868" s="313">
        <f>IFERROR(__xludf.DUMMYFUNCTION("""COMPUTED_VALUE"""),0.0)</f>
        <v>0</v>
      </c>
      <c r="Q868" s="76" t="b">
        <f>VLOOKUP($B868,'Run Reconcile'!B$2:O1399,14,FALSE)</f>
        <v>1</v>
      </c>
      <c r="R868" s="314" t="str">
        <f t="array" ref="R868">IF($Q868, INDEX('Run Reconcile'!A$2:A1399,MATCH(B868,'Run Reconcile'!B$2:B1399,0),1),IFERROR(0/0,""))</f>
        <v>RUN-ABRM_2023-02-14_RFR-158</v>
      </c>
      <c r="S868" s="315" t="str">
        <f t="shared" ref="S868:T868" si="1741">IF(COUNTIF(W$2:W1399, $A868) &gt; 0,TRUE,IFERROR(0/0,""))</f>
        <v/>
      </c>
      <c r="T868" s="315" t="str">
        <f t="shared" si="1741"/>
        <v/>
      </c>
      <c r="U868" s="114" t="str">
        <f t="array" ref="U868">IF(ISBLANK($R868), INDEX('Run Reconcile'!A$2:A1399, MATCH($B868, 'Run Reconcile'!B$2:B1399, 0)+Z868, 1), IFERROR(0/0,""))
</f>
        <v/>
      </c>
      <c r="V868" s="316" t="str">
        <f t="shared" si="1281"/>
        <v>RUN-ABRM_2023-02-14_RFR-158</v>
      </c>
      <c r="Y868" s="317" t="str">
        <f t="shared" si="6"/>
        <v/>
      </c>
      <c r="Z868" s="83" t="str">
        <f t="shared" si="7"/>
        <v/>
      </c>
      <c r="AA868" s="83" t="str">
        <f t="shared" si="8"/>
        <v/>
      </c>
      <c r="AB868" s="83" t="str">
        <f t="shared" si="9"/>
        <v/>
      </c>
      <c r="AC868" s="18" t="str">
        <f t="shared" ref="AC868:AD868" si="1742">IF(_xlfn.ISFORMULA(S868),IFERROR(0/0,""),TRUE)</f>
        <v/>
      </c>
      <c r="AD868" s="18" t="str">
        <f t="shared" si="1742"/>
        <v/>
      </c>
      <c r="AE868" s="43"/>
      <c r="AF868" s="58" t="s">
        <v>137</v>
      </c>
      <c r="AG868" s="55" t="str">
        <f t="shared" si="11"/>
        <v/>
      </c>
    </row>
    <row r="869">
      <c r="A869" s="7" t="str">
        <f>IFERROR(__xludf.DUMMYFUNCTION("""COMPUTED_VALUE"""),"AH7408")</f>
        <v>AH7408</v>
      </c>
      <c r="B869" s="308">
        <f>IFERROR(__xludf.DUMMYFUNCTION("""COMPUTED_VALUE"""),44971.0)</f>
        <v>44971</v>
      </c>
      <c r="C869" s="309">
        <f>IFERROR(__xludf.DUMMYFUNCTION("""COMPUTED_VALUE"""),0.3013425925925926)</f>
        <v>0.3013425926</v>
      </c>
      <c r="D869" s="7" t="str">
        <f>IFERROR(__xludf.DUMMYFUNCTION("""COMPUTED_VALUE"""),"SpABRM297307")</f>
        <v>SpABRM297307</v>
      </c>
      <c r="E869" s="310"/>
      <c r="F869" s="310"/>
      <c r="G869" s="310" t="str">
        <f>IFERROR(__xludf.DUMMYFUNCTION("""COMPUTED_VALUE"""),"Negative")</f>
        <v>Negative</v>
      </c>
      <c r="H869" s="319" t="str">
        <f>IFERROR(__xludf.DUMMYFUNCTION("""COMPUTED_VALUE"""),"Negative")</f>
        <v>Negative</v>
      </c>
      <c r="I869" s="308">
        <f>IFERROR(__xludf.DUMMYFUNCTION("""COMPUTED_VALUE"""),44971.0)</f>
        <v>44971</v>
      </c>
      <c r="J869" s="311">
        <f>IFERROR(__xludf.DUMMYFUNCTION("""COMPUTED_VALUE"""),0.4230439814814815)</f>
        <v>0.4230439815</v>
      </c>
      <c r="K869" s="54"/>
      <c r="L869" s="7"/>
      <c r="M869" s="312"/>
      <c r="N869" s="172">
        <f>IFERROR(__xludf.DUMMYFUNCTION("""COMPUTED_VALUE"""),4.0)</f>
        <v>4</v>
      </c>
      <c r="O869" s="172"/>
      <c r="P869" s="313">
        <f>IFERROR(__xludf.DUMMYFUNCTION("""COMPUTED_VALUE"""),0.0)</f>
        <v>0</v>
      </c>
      <c r="Q869" s="76" t="b">
        <f>VLOOKUP($B869,'Run Reconcile'!B$2:O1399,14,FALSE)</f>
        <v>1</v>
      </c>
      <c r="R869" s="314" t="str">
        <f t="array" ref="R869">IF($Q869, INDEX('Run Reconcile'!A$2:A1399,MATCH(B869,'Run Reconcile'!B$2:B1399,0),1),IFERROR(0/0,""))</f>
        <v>RUN-ABRM_2023-02-14_RFR-158</v>
      </c>
      <c r="S869" s="315" t="str">
        <f t="shared" ref="S869:T869" si="1743">IF(COUNTIF(W$2:W1399, $A869) &gt; 0,TRUE,IFERROR(0/0,""))</f>
        <v/>
      </c>
      <c r="T869" s="315" t="str">
        <f t="shared" si="1743"/>
        <v/>
      </c>
      <c r="U869" s="114" t="str">
        <f t="array" ref="U869">IF(ISBLANK($R869), INDEX('Run Reconcile'!A$2:A1399, MATCH($B869, 'Run Reconcile'!B$2:B1399, 0)+Z869, 1), IFERROR(0/0,""))
</f>
        <v/>
      </c>
      <c r="V869" s="316" t="str">
        <f t="shared" si="1281"/>
        <v>RUN-ABRM_2023-02-14_RFR-158</v>
      </c>
      <c r="Y869" s="317" t="str">
        <f t="shared" si="6"/>
        <v/>
      </c>
      <c r="Z869" s="83" t="str">
        <f t="shared" si="7"/>
        <v/>
      </c>
      <c r="AA869" s="83" t="str">
        <f t="shared" si="8"/>
        <v/>
      </c>
      <c r="AB869" s="83" t="str">
        <f t="shared" si="9"/>
        <v/>
      </c>
      <c r="AC869" s="18" t="str">
        <f t="shared" ref="AC869:AD869" si="1744">IF(_xlfn.ISFORMULA(S869),IFERROR(0/0,""),TRUE)</f>
        <v/>
      </c>
      <c r="AD869" s="18" t="str">
        <f t="shared" si="1744"/>
        <v/>
      </c>
      <c r="AE869" s="43"/>
      <c r="AF869" s="58" t="s">
        <v>137</v>
      </c>
      <c r="AG869" s="55" t="str">
        <f t="shared" si="11"/>
        <v/>
      </c>
    </row>
    <row r="870">
      <c r="A870" s="7" t="str">
        <f>IFERROR(__xludf.DUMMYFUNCTION("""COMPUTED_VALUE"""),"AG4467")</f>
        <v>AG4467</v>
      </c>
      <c r="B870" s="308">
        <f>IFERROR(__xludf.DUMMYFUNCTION("""COMPUTED_VALUE"""),44971.0)</f>
        <v>44971</v>
      </c>
      <c r="C870" s="309">
        <f>IFERROR(__xludf.DUMMYFUNCTION("""COMPUTED_VALUE"""),0.32630787037037035)</f>
        <v>0.3263078704</v>
      </c>
      <c r="D870" s="7" t="str">
        <f>IFERROR(__xludf.DUMMYFUNCTION("""COMPUTED_VALUE"""),"SpABRM814022")</f>
        <v>SpABRM814022</v>
      </c>
      <c r="E870" s="310"/>
      <c r="F870" s="310"/>
      <c r="G870" s="310" t="str">
        <f>IFERROR(__xludf.DUMMYFUNCTION("""COMPUTED_VALUE"""),"Negative")</f>
        <v>Negative</v>
      </c>
      <c r="H870" s="319" t="str">
        <f>IFERROR(__xludf.DUMMYFUNCTION("""COMPUTED_VALUE"""),"Negative")</f>
        <v>Negative</v>
      </c>
      <c r="I870" s="308">
        <f>IFERROR(__xludf.DUMMYFUNCTION("""COMPUTED_VALUE"""),44971.0)</f>
        <v>44971</v>
      </c>
      <c r="J870" s="311">
        <f>IFERROR(__xludf.DUMMYFUNCTION("""COMPUTED_VALUE"""),0.4230555555555556)</f>
        <v>0.4230555556</v>
      </c>
      <c r="K870" s="54"/>
      <c r="L870" s="7"/>
      <c r="M870" s="312"/>
      <c r="N870" s="172">
        <f>IFERROR(__xludf.DUMMYFUNCTION("""COMPUTED_VALUE"""),1.0)</f>
        <v>1</v>
      </c>
      <c r="O870" s="172"/>
      <c r="P870" s="313">
        <f>IFERROR(__xludf.DUMMYFUNCTION("""COMPUTED_VALUE"""),0.0)</f>
        <v>0</v>
      </c>
      <c r="Q870" s="76" t="b">
        <f>VLOOKUP($B870,'Run Reconcile'!B$2:O1399,14,FALSE)</f>
        <v>1</v>
      </c>
      <c r="R870" s="314" t="str">
        <f t="array" ref="R870">IF($Q870, INDEX('Run Reconcile'!A$2:A1399,MATCH(B870,'Run Reconcile'!B$2:B1399,0),1),IFERROR(0/0,""))</f>
        <v>RUN-ABRM_2023-02-14_RFR-158</v>
      </c>
      <c r="S870" s="315" t="str">
        <f t="shared" ref="S870:T870" si="1745">IF(COUNTIF(W$2:W1399, $A870) &gt; 0,TRUE,IFERROR(0/0,""))</f>
        <v/>
      </c>
      <c r="T870" s="315" t="str">
        <f t="shared" si="1745"/>
        <v/>
      </c>
      <c r="U870" s="114" t="str">
        <f t="array" ref="U870">IF(ISBLANK($R870), INDEX('Run Reconcile'!A$2:A1399, MATCH($B870, 'Run Reconcile'!B$2:B1399, 0)+Z870, 1), IFERROR(0/0,""))
</f>
        <v/>
      </c>
      <c r="V870" s="316" t="str">
        <f t="shared" si="1281"/>
        <v>RUN-ABRM_2023-02-14_RFR-158</v>
      </c>
      <c r="Y870" s="317" t="str">
        <f t="shared" si="6"/>
        <v/>
      </c>
      <c r="Z870" s="83" t="str">
        <f t="shared" si="7"/>
        <v/>
      </c>
      <c r="AA870" s="83" t="str">
        <f t="shared" si="8"/>
        <v/>
      </c>
      <c r="AB870" s="83" t="str">
        <f t="shared" si="9"/>
        <v/>
      </c>
      <c r="AC870" s="18" t="str">
        <f t="shared" ref="AC870:AD870" si="1746">IF(_xlfn.ISFORMULA(S870),IFERROR(0/0,""),TRUE)</f>
        <v/>
      </c>
      <c r="AD870" s="18" t="str">
        <f t="shared" si="1746"/>
        <v/>
      </c>
      <c r="AE870" s="43"/>
      <c r="AF870" s="58" t="s">
        <v>137</v>
      </c>
      <c r="AG870" s="55" t="str">
        <f t="shared" si="11"/>
        <v/>
      </c>
    </row>
    <row r="871">
      <c r="A871" s="7" t="str">
        <f>IFERROR(__xludf.DUMMYFUNCTION("""COMPUTED_VALUE"""),"AG727")</f>
        <v>AG727</v>
      </c>
      <c r="B871" s="308">
        <f>IFERROR(__xludf.DUMMYFUNCTION("""COMPUTED_VALUE"""),44971.0)</f>
        <v>44971</v>
      </c>
      <c r="C871" s="309">
        <f>IFERROR(__xludf.DUMMYFUNCTION("""COMPUTED_VALUE"""),0.34314814814814815)</f>
        <v>0.3431481481</v>
      </c>
      <c r="D871" s="7" t="str">
        <f>IFERROR(__xludf.DUMMYFUNCTION("""COMPUTED_VALUE"""),"SpABRM655136")</f>
        <v>SpABRM655136</v>
      </c>
      <c r="E871" s="310"/>
      <c r="F871" s="310"/>
      <c r="G871" s="310" t="str">
        <f>IFERROR(__xludf.DUMMYFUNCTION("""COMPUTED_VALUE"""),"Negative")</f>
        <v>Negative</v>
      </c>
      <c r="H871" s="319" t="str">
        <f>IFERROR(__xludf.DUMMYFUNCTION("""COMPUTED_VALUE"""),"Negative")</f>
        <v>Negative</v>
      </c>
      <c r="I871" s="308">
        <f>IFERROR(__xludf.DUMMYFUNCTION("""COMPUTED_VALUE"""),44971.0)</f>
        <v>44971</v>
      </c>
      <c r="J871" s="311">
        <f>IFERROR(__xludf.DUMMYFUNCTION("""COMPUTED_VALUE"""),0.4230671296296296)</f>
        <v>0.4230671296</v>
      </c>
      <c r="K871" s="54"/>
      <c r="L871" s="7"/>
      <c r="M871" s="312"/>
      <c r="N871" s="172">
        <f>IFERROR(__xludf.DUMMYFUNCTION("""COMPUTED_VALUE"""),1.0)</f>
        <v>1</v>
      </c>
      <c r="O871" s="172"/>
      <c r="P871" s="313">
        <f>IFERROR(__xludf.DUMMYFUNCTION("""COMPUTED_VALUE"""),0.0)</f>
        <v>0</v>
      </c>
      <c r="Q871" s="76" t="b">
        <f>VLOOKUP($B871,'Run Reconcile'!B$2:O1399,14,FALSE)</f>
        <v>1</v>
      </c>
      <c r="R871" s="314" t="str">
        <f t="array" ref="R871">IF($Q871, INDEX('Run Reconcile'!A$2:A1399,MATCH(B871,'Run Reconcile'!B$2:B1399,0),1),IFERROR(0/0,""))</f>
        <v>RUN-ABRM_2023-02-14_RFR-158</v>
      </c>
      <c r="S871" s="315" t="str">
        <f t="shared" ref="S871:T871" si="1747">IF(COUNTIF(W$2:W1399, $A871) &gt; 0,TRUE,IFERROR(0/0,""))</f>
        <v/>
      </c>
      <c r="T871" s="315" t="str">
        <f t="shared" si="1747"/>
        <v/>
      </c>
      <c r="U871" s="114" t="str">
        <f t="array" ref="U871">IF(ISBLANK($R871), INDEX('Run Reconcile'!A$2:A1399, MATCH($B871, 'Run Reconcile'!B$2:B1399, 0)+Z871, 1), IFERROR(0/0,""))
</f>
        <v/>
      </c>
      <c r="V871" s="316" t="str">
        <f t="shared" si="1281"/>
        <v>RUN-ABRM_2023-02-14_RFR-158</v>
      </c>
      <c r="Y871" s="317" t="str">
        <f t="shared" si="6"/>
        <v/>
      </c>
      <c r="Z871" s="83" t="str">
        <f t="shared" si="7"/>
        <v/>
      </c>
      <c r="AA871" s="83" t="str">
        <f t="shared" si="8"/>
        <v/>
      </c>
      <c r="AB871" s="83" t="str">
        <f t="shared" si="9"/>
        <v/>
      </c>
      <c r="AC871" s="18" t="str">
        <f t="shared" ref="AC871:AD871" si="1748">IF(_xlfn.ISFORMULA(S871),IFERROR(0/0,""),TRUE)</f>
        <v/>
      </c>
      <c r="AD871" s="18" t="str">
        <f t="shared" si="1748"/>
        <v/>
      </c>
      <c r="AE871" s="43"/>
      <c r="AF871" s="58" t="s">
        <v>137</v>
      </c>
      <c r="AG871" s="55" t="str">
        <f t="shared" si="11"/>
        <v/>
      </c>
    </row>
    <row r="872">
      <c r="A872" s="7" t="str">
        <f>IFERROR(__xludf.DUMMYFUNCTION("""COMPUTED_VALUE"""),"AK9706")</f>
        <v>AK9706</v>
      </c>
      <c r="B872" s="308">
        <f>IFERROR(__xludf.DUMMYFUNCTION("""COMPUTED_VALUE"""),44971.0)</f>
        <v>44971</v>
      </c>
      <c r="C872" s="309">
        <f>IFERROR(__xludf.DUMMYFUNCTION("""COMPUTED_VALUE"""),0.34350694444444446)</f>
        <v>0.3435069444</v>
      </c>
      <c r="D872" s="7" t="str">
        <f>IFERROR(__xludf.DUMMYFUNCTION("""COMPUTED_VALUE"""),"SpABRM655136")</f>
        <v>SpABRM655136</v>
      </c>
      <c r="E872" s="310"/>
      <c r="F872" s="310"/>
      <c r="G872" s="310" t="str">
        <f>IFERROR(__xludf.DUMMYFUNCTION("""COMPUTED_VALUE"""),"Negative")</f>
        <v>Negative</v>
      </c>
      <c r="H872" s="319" t="str">
        <f>IFERROR(__xludf.DUMMYFUNCTION("""COMPUTED_VALUE"""),"Negative")</f>
        <v>Negative</v>
      </c>
      <c r="I872" s="308">
        <f>IFERROR(__xludf.DUMMYFUNCTION("""COMPUTED_VALUE"""),44971.0)</f>
        <v>44971</v>
      </c>
      <c r="J872" s="311">
        <f>IFERROR(__xludf.DUMMYFUNCTION("""COMPUTED_VALUE"""),0.4230671296296296)</f>
        <v>0.4230671296</v>
      </c>
      <c r="K872" s="54"/>
      <c r="L872" s="7"/>
      <c r="M872" s="312"/>
      <c r="N872" s="172">
        <f>IFERROR(__xludf.DUMMYFUNCTION("""COMPUTED_VALUE"""),1.0)</f>
        <v>1</v>
      </c>
      <c r="O872" s="172"/>
      <c r="P872" s="313">
        <f>IFERROR(__xludf.DUMMYFUNCTION("""COMPUTED_VALUE"""),0.0)</f>
        <v>0</v>
      </c>
      <c r="Q872" s="76" t="b">
        <f>VLOOKUP($B872,'Run Reconcile'!B$2:O1399,14,FALSE)</f>
        <v>1</v>
      </c>
      <c r="R872" s="314" t="str">
        <f t="array" ref="R872">IF($Q872, INDEX('Run Reconcile'!A$2:A1399,MATCH(B872,'Run Reconcile'!B$2:B1399,0),1),IFERROR(0/0,""))</f>
        <v>RUN-ABRM_2023-02-14_RFR-158</v>
      </c>
      <c r="S872" s="315" t="str">
        <f t="shared" ref="S872:T872" si="1749">IF(COUNTIF(W$2:W1399, $A872) &gt; 0,TRUE,IFERROR(0/0,""))</f>
        <v/>
      </c>
      <c r="T872" s="315" t="str">
        <f t="shared" si="1749"/>
        <v/>
      </c>
      <c r="U872" s="114" t="str">
        <f t="array" ref="U872">IF(ISBLANK($R872), INDEX('Run Reconcile'!A$2:A1399, MATCH($B872, 'Run Reconcile'!B$2:B1399, 0)+Z872, 1), IFERROR(0/0,""))
</f>
        <v/>
      </c>
      <c r="V872" s="316" t="str">
        <f t="shared" si="1281"/>
        <v>RUN-ABRM_2023-02-14_RFR-158</v>
      </c>
      <c r="Y872" s="317" t="str">
        <f t="shared" si="6"/>
        <v/>
      </c>
      <c r="Z872" s="83" t="str">
        <f t="shared" si="7"/>
        <v/>
      </c>
      <c r="AA872" s="83" t="str">
        <f t="shared" si="8"/>
        <v/>
      </c>
      <c r="AB872" s="83" t="str">
        <f t="shared" si="9"/>
        <v/>
      </c>
      <c r="AC872" s="18" t="str">
        <f t="shared" ref="AC872:AD872" si="1750">IF(_xlfn.ISFORMULA(S872),IFERROR(0/0,""),TRUE)</f>
        <v/>
      </c>
      <c r="AD872" s="18" t="str">
        <f t="shared" si="1750"/>
        <v/>
      </c>
      <c r="AE872" s="43"/>
      <c r="AF872" s="58" t="s">
        <v>137</v>
      </c>
      <c r="AG872" s="55" t="str">
        <f t="shared" si="11"/>
        <v/>
      </c>
    </row>
    <row r="873">
      <c r="A873" s="7" t="str">
        <f>IFERROR(__xludf.DUMMYFUNCTION("""COMPUTED_VALUE"""),"AK9882")</f>
        <v>AK9882</v>
      </c>
      <c r="B873" s="308">
        <f>IFERROR(__xludf.DUMMYFUNCTION("""COMPUTED_VALUE"""),44971.0)</f>
        <v>44971</v>
      </c>
      <c r="C873" s="309">
        <f>IFERROR(__xludf.DUMMYFUNCTION("""COMPUTED_VALUE"""),0.34381944444444446)</f>
        <v>0.3438194444</v>
      </c>
      <c r="D873" s="7" t="str">
        <f>IFERROR(__xludf.DUMMYFUNCTION("""COMPUTED_VALUE"""),"SpABRM655136")</f>
        <v>SpABRM655136</v>
      </c>
      <c r="E873" s="310"/>
      <c r="F873" s="310"/>
      <c r="G873" s="310" t="str">
        <f>IFERROR(__xludf.DUMMYFUNCTION("""COMPUTED_VALUE"""),"Negative")</f>
        <v>Negative</v>
      </c>
      <c r="H873" s="319" t="str">
        <f>IFERROR(__xludf.DUMMYFUNCTION("""COMPUTED_VALUE"""),"Negative")</f>
        <v>Negative</v>
      </c>
      <c r="I873" s="308">
        <f>IFERROR(__xludf.DUMMYFUNCTION("""COMPUTED_VALUE"""),44971.0)</f>
        <v>44971</v>
      </c>
      <c r="J873" s="311">
        <f>IFERROR(__xludf.DUMMYFUNCTION("""COMPUTED_VALUE"""),0.4230787037037037)</f>
        <v>0.4230787037</v>
      </c>
      <c r="K873" s="54"/>
      <c r="L873" s="7"/>
      <c r="M873" s="312"/>
      <c r="N873" s="172">
        <f>IFERROR(__xludf.DUMMYFUNCTION("""COMPUTED_VALUE"""),3.0)</f>
        <v>3</v>
      </c>
      <c r="O873" s="172"/>
      <c r="P873" s="313">
        <f>IFERROR(__xludf.DUMMYFUNCTION("""COMPUTED_VALUE"""),0.0)</f>
        <v>0</v>
      </c>
      <c r="Q873" s="76" t="b">
        <f>VLOOKUP($B873,'Run Reconcile'!B$2:O1399,14,FALSE)</f>
        <v>1</v>
      </c>
      <c r="R873" s="314" t="str">
        <f t="array" ref="R873">IF($Q873, INDEX('Run Reconcile'!A$2:A1399,MATCH(B873,'Run Reconcile'!B$2:B1399,0),1),IFERROR(0/0,""))</f>
        <v>RUN-ABRM_2023-02-14_RFR-158</v>
      </c>
      <c r="S873" s="315" t="str">
        <f t="shared" ref="S873:T873" si="1751">IF(COUNTIF(W$2:W1399, $A873) &gt; 0,TRUE,IFERROR(0/0,""))</f>
        <v/>
      </c>
      <c r="T873" s="315" t="str">
        <f t="shared" si="1751"/>
        <v/>
      </c>
      <c r="U873" s="114" t="str">
        <f t="array" ref="U873">IF(ISBLANK($R873), INDEX('Run Reconcile'!A$2:A1399, MATCH($B873, 'Run Reconcile'!B$2:B1399, 0)+Z873, 1), IFERROR(0/0,""))
</f>
        <v/>
      </c>
      <c r="V873" s="316" t="str">
        <f t="shared" si="1281"/>
        <v>RUN-ABRM_2023-02-14_RFR-158</v>
      </c>
      <c r="Y873" s="317" t="str">
        <f t="shared" si="6"/>
        <v/>
      </c>
      <c r="Z873" s="83" t="str">
        <f t="shared" si="7"/>
        <v/>
      </c>
      <c r="AA873" s="83" t="str">
        <f t="shared" si="8"/>
        <v/>
      </c>
      <c r="AB873" s="83" t="str">
        <f t="shared" si="9"/>
        <v/>
      </c>
      <c r="AC873" s="18" t="str">
        <f t="shared" ref="AC873:AD873" si="1752">IF(_xlfn.ISFORMULA(S873),IFERROR(0/0,""),TRUE)</f>
        <v/>
      </c>
      <c r="AD873" s="18" t="str">
        <f t="shared" si="1752"/>
        <v/>
      </c>
      <c r="AE873" s="43"/>
      <c r="AF873" s="58" t="s">
        <v>137</v>
      </c>
      <c r="AG873" s="55" t="str">
        <f t="shared" si="11"/>
        <v/>
      </c>
    </row>
    <row r="874">
      <c r="A874" s="7" t="str">
        <f>IFERROR(__xludf.DUMMYFUNCTION("""COMPUTED_VALUE"""),"AR1375")</f>
        <v>AR1375</v>
      </c>
      <c r="B874" s="308">
        <f>IFERROR(__xludf.DUMMYFUNCTION("""COMPUTED_VALUE"""),44972.0)</f>
        <v>44972</v>
      </c>
      <c r="C874" s="309">
        <f>IFERROR(__xludf.DUMMYFUNCTION("""COMPUTED_VALUE"""),0.20966435185185187)</f>
        <v>0.2096643519</v>
      </c>
      <c r="D874" s="7" t="str">
        <f>IFERROR(__xludf.DUMMYFUNCTION("""COMPUTED_VALUE"""),"SpABRM454310")</f>
        <v>SpABRM454310</v>
      </c>
      <c r="E874" s="310"/>
      <c r="F874" s="310"/>
      <c r="G874" s="310" t="str">
        <f>IFERROR(__xludf.DUMMYFUNCTION("""COMPUTED_VALUE"""),"Negative")</f>
        <v>Negative</v>
      </c>
      <c r="H874" s="319" t="str">
        <f>IFERROR(__xludf.DUMMYFUNCTION("""COMPUTED_VALUE"""),"Negative")</f>
        <v>Negative</v>
      </c>
      <c r="I874" s="308">
        <f>IFERROR(__xludf.DUMMYFUNCTION("""COMPUTED_VALUE"""),44972.0)</f>
        <v>44972</v>
      </c>
      <c r="J874" s="311">
        <f>IFERROR(__xludf.DUMMYFUNCTION("""COMPUTED_VALUE"""),0.3932407407407407)</f>
        <v>0.3932407407</v>
      </c>
      <c r="K874" s="54"/>
      <c r="L874" s="7"/>
      <c r="M874" s="312"/>
      <c r="N874" s="172">
        <f>IFERROR(__xludf.DUMMYFUNCTION("""COMPUTED_VALUE"""),3.0)</f>
        <v>3</v>
      </c>
      <c r="O874" s="172"/>
      <c r="P874" s="313">
        <f>IFERROR(__xludf.DUMMYFUNCTION("""COMPUTED_VALUE"""),0.0)</f>
        <v>0</v>
      </c>
      <c r="Q874" s="76" t="b">
        <f>VLOOKUP($B874,'Run Reconcile'!B$2:O1399,14,FALSE)</f>
        <v>1</v>
      </c>
      <c r="R874" s="314" t="str">
        <f t="array" ref="R874">IF($Q874, INDEX('Run Reconcile'!A$2:A1399,MATCH(B874,'Run Reconcile'!B$2:B1399,0),1),IFERROR(0/0,""))</f>
        <v>RUN-ABRM_2023-02-15_RFR-160</v>
      </c>
      <c r="S874" s="315" t="str">
        <f t="shared" ref="S874:T874" si="1753">IF(COUNTIF(W$2:W1399, $A874) &gt; 0,TRUE,IFERROR(0/0,""))</f>
        <v/>
      </c>
      <c r="T874" s="315" t="str">
        <f t="shared" si="1753"/>
        <v/>
      </c>
      <c r="U874" s="114" t="str">
        <f t="array" ref="U874">IF(ISBLANK($R874), INDEX('Run Reconcile'!A$2:A1399, MATCH($B874, 'Run Reconcile'!B$2:B1399, 0)+Z874, 1), IFERROR(0/0,""))
</f>
        <v/>
      </c>
      <c r="V874" s="316" t="str">
        <f t="shared" si="1281"/>
        <v>RUN-ABRM_2023-02-15_RFR-160</v>
      </c>
      <c r="Y874" s="317" t="str">
        <f t="shared" si="6"/>
        <v/>
      </c>
      <c r="Z874" s="83" t="str">
        <f t="shared" si="7"/>
        <v/>
      </c>
      <c r="AA874" s="83" t="str">
        <f t="shared" si="8"/>
        <v/>
      </c>
      <c r="AB874" s="83" t="str">
        <f t="shared" si="9"/>
        <v/>
      </c>
      <c r="AC874" s="18" t="str">
        <f t="shared" ref="AC874:AD874" si="1754">IF(_xlfn.ISFORMULA(S874),IFERROR(0/0,""),TRUE)</f>
        <v/>
      </c>
      <c r="AD874" s="18" t="str">
        <f t="shared" si="1754"/>
        <v/>
      </c>
      <c r="AE874" s="43"/>
      <c r="AF874" s="58" t="s">
        <v>138</v>
      </c>
      <c r="AG874" s="55" t="str">
        <f t="shared" si="11"/>
        <v/>
      </c>
    </row>
    <row r="875">
      <c r="A875" s="7" t="str">
        <f>IFERROR(__xludf.DUMMYFUNCTION("""COMPUTED_VALUE"""),"AK9848")</f>
        <v>AK9848</v>
      </c>
      <c r="B875" s="308">
        <f>IFERROR(__xludf.DUMMYFUNCTION("""COMPUTED_VALUE"""),44972.0)</f>
        <v>44972</v>
      </c>
      <c r="C875" s="309">
        <f>IFERROR(__xludf.DUMMYFUNCTION("""COMPUTED_VALUE"""),0.2814583333333333)</f>
        <v>0.2814583333</v>
      </c>
      <c r="D875" s="7" t="str">
        <f>IFERROR(__xludf.DUMMYFUNCTION("""COMPUTED_VALUE"""),"SpABRM128250")</f>
        <v>SpABRM128250</v>
      </c>
      <c r="E875" s="310"/>
      <c r="F875" s="310"/>
      <c r="G875" s="310" t="str">
        <f>IFERROR(__xludf.DUMMYFUNCTION("""COMPUTED_VALUE"""),"Negative")</f>
        <v>Negative</v>
      </c>
      <c r="H875" s="319" t="str">
        <f>IFERROR(__xludf.DUMMYFUNCTION("""COMPUTED_VALUE"""),"Negative")</f>
        <v>Negative</v>
      </c>
      <c r="I875" s="308">
        <f>IFERROR(__xludf.DUMMYFUNCTION("""COMPUTED_VALUE"""),44972.0)</f>
        <v>44972</v>
      </c>
      <c r="J875" s="311">
        <f>IFERROR(__xludf.DUMMYFUNCTION("""COMPUTED_VALUE"""),0.3932523148148148)</f>
        <v>0.3932523148</v>
      </c>
      <c r="K875" s="54"/>
      <c r="L875" s="7"/>
      <c r="M875" s="312"/>
      <c r="N875" s="172">
        <f>IFERROR(__xludf.DUMMYFUNCTION("""COMPUTED_VALUE"""),3.0)</f>
        <v>3</v>
      </c>
      <c r="O875" s="172"/>
      <c r="P875" s="313">
        <f>IFERROR(__xludf.DUMMYFUNCTION("""COMPUTED_VALUE"""),0.0)</f>
        <v>0</v>
      </c>
      <c r="Q875" s="76" t="b">
        <f>VLOOKUP($B875,'Run Reconcile'!B$2:O1399,14,FALSE)</f>
        <v>1</v>
      </c>
      <c r="R875" s="314" t="str">
        <f t="array" ref="R875">IF($Q875, INDEX('Run Reconcile'!A$2:A1399,MATCH(B875,'Run Reconcile'!B$2:B1399,0),1),IFERROR(0/0,""))</f>
        <v>RUN-ABRM_2023-02-15_RFR-160</v>
      </c>
      <c r="S875" s="315" t="str">
        <f t="shared" ref="S875:T875" si="1755">IF(COUNTIF(W$2:W1399, $A875) &gt; 0,TRUE,IFERROR(0/0,""))</f>
        <v/>
      </c>
      <c r="T875" s="315" t="str">
        <f t="shared" si="1755"/>
        <v/>
      </c>
      <c r="U875" s="114" t="str">
        <f t="array" ref="U875">IF(ISBLANK($R875), INDEX('Run Reconcile'!A$2:A1399, MATCH($B875, 'Run Reconcile'!B$2:B1399, 0)+Z875, 1), IFERROR(0/0,""))
</f>
        <v/>
      </c>
      <c r="V875" s="316" t="str">
        <f t="shared" si="1281"/>
        <v>RUN-ABRM_2023-02-15_RFR-160</v>
      </c>
      <c r="Y875" s="317" t="str">
        <f t="shared" si="6"/>
        <v/>
      </c>
      <c r="Z875" s="83" t="str">
        <f t="shared" si="7"/>
        <v/>
      </c>
      <c r="AA875" s="83" t="str">
        <f t="shared" si="8"/>
        <v/>
      </c>
      <c r="AB875" s="83" t="str">
        <f t="shared" si="9"/>
        <v/>
      </c>
      <c r="AC875" s="18" t="str">
        <f t="shared" ref="AC875:AD875" si="1756">IF(_xlfn.ISFORMULA(S875),IFERROR(0/0,""),TRUE)</f>
        <v/>
      </c>
      <c r="AD875" s="18" t="str">
        <f t="shared" si="1756"/>
        <v/>
      </c>
      <c r="AE875" s="43"/>
      <c r="AF875" s="58" t="s">
        <v>138</v>
      </c>
      <c r="AG875" s="55" t="str">
        <f t="shared" si="11"/>
        <v/>
      </c>
    </row>
    <row r="876">
      <c r="A876" s="7" t="str">
        <f>IFERROR(__xludf.DUMMYFUNCTION("""COMPUTED_VALUE"""),"AR772")</f>
        <v>AR772</v>
      </c>
      <c r="B876" s="308">
        <f>IFERROR(__xludf.DUMMYFUNCTION("""COMPUTED_VALUE"""),44972.0)</f>
        <v>44972</v>
      </c>
      <c r="C876" s="309">
        <f>IFERROR(__xludf.DUMMYFUNCTION("""COMPUTED_VALUE"""),0.29097222222222224)</f>
        <v>0.2909722222</v>
      </c>
      <c r="D876" s="7" t="str">
        <f>IFERROR(__xludf.DUMMYFUNCTION("""COMPUTED_VALUE"""),"SpABRM297307")</f>
        <v>SpABRM297307</v>
      </c>
      <c r="E876" s="310"/>
      <c r="F876" s="310"/>
      <c r="G876" s="310" t="str">
        <f>IFERROR(__xludf.DUMMYFUNCTION("""COMPUTED_VALUE"""),"Negative")</f>
        <v>Negative</v>
      </c>
      <c r="H876" s="319" t="str">
        <f>IFERROR(__xludf.DUMMYFUNCTION("""COMPUTED_VALUE"""),"Negative")</f>
        <v>Negative</v>
      </c>
      <c r="I876" s="308">
        <f>IFERROR(__xludf.DUMMYFUNCTION("""COMPUTED_VALUE"""),44972.0)</f>
        <v>44972</v>
      </c>
      <c r="J876" s="311">
        <f>IFERROR(__xludf.DUMMYFUNCTION("""COMPUTED_VALUE"""),0.3932523148148148)</f>
        <v>0.3932523148</v>
      </c>
      <c r="K876" s="54"/>
      <c r="L876" s="7"/>
      <c r="M876" s="312"/>
      <c r="N876" s="172">
        <f>IFERROR(__xludf.DUMMYFUNCTION("""COMPUTED_VALUE"""),4.0)</f>
        <v>4</v>
      </c>
      <c r="O876" s="172"/>
      <c r="P876" s="313">
        <f>IFERROR(__xludf.DUMMYFUNCTION("""COMPUTED_VALUE"""),0.0)</f>
        <v>0</v>
      </c>
      <c r="Q876" s="76" t="b">
        <f>VLOOKUP($B876,'Run Reconcile'!B$2:O1399,14,FALSE)</f>
        <v>1</v>
      </c>
      <c r="R876" s="314" t="str">
        <f t="array" ref="R876">IF($Q876, INDEX('Run Reconcile'!A$2:A1399,MATCH(B876,'Run Reconcile'!B$2:B1399,0),1),IFERROR(0/0,""))</f>
        <v>RUN-ABRM_2023-02-15_RFR-160</v>
      </c>
      <c r="S876" s="315" t="str">
        <f t="shared" ref="S876:T876" si="1757">IF(COUNTIF(W$2:W1399, $A876) &gt; 0,TRUE,IFERROR(0/0,""))</f>
        <v/>
      </c>
      <c r="T876" s="315" t="str">
        <f t="shared" si="1757"/>
        <v/>
      </c>
      <c r="U876" s="114" t="str">
        <f t="array" ref="U876">IF(ISBLANK($R876), INDEX('Run Reconcile'!A$2:A1399, MATCH($B876, 'Run Reconcile'!B$2:B1399, 0)+Z876, 1), IFERROR(0/0,""))
</f>
        <v/>
      </c>
      <c r="V876" s="316" t="str">
        <f t="shared" si="1281"/>
        <v>RUN-ABRM_2023-02-15_RFR-160</v>
      </c>
      <c r="Y876" s="317" t="str">
        <f t="shared" si="6"/>
        <v/>
      </c>
      <c r="Z876" s="83" t="str">
        <f t="shared" si="7"/>
        <v/>
      </c>
      <c r="AA876" s="83" t="str">
        <f t="shared" si="8"/>
        <v/>
      </c>
      <c r="AB876" s="83" t="str">
        <f t="shared" si="9"/>
        <v/>
      </c>
      <c r="AC876" s="18" t="str">
        <f t="shared" ref="AC876:AD876" si="1758">IF(_xlfn.ISFORMULA(S876),IFERROR(0/0,""),TRUE)</f>
        <v/>
      </c>
      <c r="AD876" s="18" t="str">
        <f t="shared" si="1758"/>
        <v/>
      </c>
      <c r="AE876" s="43"/>
      <c r="AF876" s="58" t="s">
        <v>138</v>
      </c>
      <c r="AG876" s="55" t="str">
        <f t="shared" si="11"/>
        <v/>
      </c>
    </row>
    <row r="877">
      <c r="A877" s="7" t="str">
        <f>IFERROR(__xludf.DUMMYFUNCTION("""COMPUTED_VALUE"""),"AJ8903")</f>
        <v>AJ8903</v>
      </c>
      <c r="B877" s="308">
        <f>IFERROR(__xludf.DUMMYFUNCTION("""COMPUTED_VALUE"""),44972.0)</f>
        <v>44972</v>
      </c>
      <c r="C877" s="309">
        <f>IFERROR(__xludf.DUMMYFUNCTION("""COMPUTED_VALUE"""),0.3233101851851852)</f>
        <v>0.3233101852</v>
      </c>
      <c r="D877" s="7" t="str">
        <f>IFERROR(__xludf.DUMMYFUNCTION("""COMPUTED_VALUE"""),"SpABRM814022")</f>
        <v>SpABRM814022</v>
      </c>
      <c r="E877" s="310"/>
      <c r="F877" s="310"/>
      <c r="G877" s="310" t="str">
        <f>IFERROR(__xludf.DUMMYFUNCTION("""COMPUTED_VALUE"""),"Negative")</f>
        <v>Negative</v>
      </c>
      <c r="H877" s="319" t="str">
        <f>IFERROR(__xludf.DUMMYFUNCTION("""COMPUTED_VALUE"""),"Negative")</f>
        <v>Negative</v>
      </c>
      <c r="I877" s="308">
        <f>IFERROR(__xludf.DUMMYFUNCTION("""COMPUTED_VALUE"""),44972.0)</f>
        <v>44972</v>
      </c>
      <c r="J877" s="311">
        <f>IFERROR(__xludf.DUMMYFUNCTION("""COMPUTED_VALUE"""),0.3932638888888889)</f>
        <v>0.3932638889</v>
      </c>
      <c r="K877" s="54"/>
      <c r="L877" s="7"/>
      <c r="M877" s="312"/>
      <c r="N877" s="172">
        <f>IFERROR(__xludf.DUMMYFUNCTION("""COMPUTED_VALUE"""),1.0)</f>
        <v>1</v>
      </c>
      <c r="O877" s="172"/>
      <c r="P877" s="313">
        <f>IFERROR(__xludf.DUMMYFUNCTION("""COMPUTED_VALUE"""),0.0)</f>
        <v>0</v>
      </c>
      <c r="Q877" s="76" t="b">
        <f>VLOOKUP($B877,'Run Reconcile'!B$2:O1399,14,FALSE)</f>
        <v>1</v>
      </c>
      <c r="R877" s="314" t="str">
        <f t="array" ref="R877">IF($Q877, INDEX('Run Reconcile'!A$2:A1399,MATCH(B877,'Run Reconcile'!B$2:B1399,0),1),IFERROR(0/0,""))</f>
        <v>RUN-ABRM_2023-02-15_RFR-160</v>
      </c>
      <c r="S877" s="315" t="str">
        <f t="shared" ref="S877:T877" si="1759">IF(COUNTIF(W$2:W1399, $A877) &gt; 0,TRUE,IFERROR(0/0,""))</f>
        <v/>
      </c>
      <c r="T877" s="315" t="str">
        <f t="shared" si="1759"/>
        <v/>
      </c>
      <c r="U877" s="114" t="str">
        <f t="array" ref="U877">IF(ISBLANK($R877), INDEX('Run Reconcile'!A$2:A1399, MATCH($B877, 'Run Reconcile'!B$2:B1399, 0)+Z877, 1), IFERROR(0/0,""))
</f>
        <v/>
      </c>
      <c r="V877" s="316" t="str">
        <f t="shared" si="1281"/>
        <v>RUN-ABRM_2023-02-15_RFR-160</v>
      </c>
      <c r="Y877" s="317" t="str">
        <f t="shared" si="6"/>
        <v/>
      </c>
      <c r="Z877" s="83" t="str">
        <f t="shared" si="7"/>
        <v/>
      </c>
      <c r="AA877" s="83" t="str">
        <f t="shared" si="8"/>
        <v/>
      </c>
      <c r="AB877" s="83" t="str">
        <f t="shared" si="9"/>
        <v/>
      </c>
      <c r="AC877" s="18" t="str">
        <f t="shared" ref="AC877:AD877" si="1760">IF(_xlfn.ISFORMULA(S877),IFERROR(0/0,""),TRUE)</f>
        <v/>
      </c>
      <c r="AD877" s="18" t="str">
        <f t="shared" si="1760"/>
        <v/>
      </c>
      <c r="AE877" s="43"/>
      <c r="AF877" s="58" t="s">
        <v>138</v>
      </c>
      <c r="AG877" s="55" t="str">
        <f t="shared" si="11"/>
        <v/>
      </c>
    </row>
    <row r="878">
      <c r="A878" s="7" t="str">
        <f>IFERROR(__xludf.DUMMYFUNCTION("""COMPUTED_VALUE"""),"AK9786")</f>
        <v>AK9786</v>
      </c>
      <c r="B878" s="308">
        <f>IFERROR(__xludf.DUMMYFUNCTION("""COMPUTED_VALUE"""),44972.0)</f>
        <v>44972</v>
      </c>
      <c r="C878" s="309">
        <f>IFERROR(__xludf.DUMMYFUNCTION("""COMPUTED_VALUE"""),0.39167824074074076)</f>
        <v>0.3916782407</v>
      </c>
      <c r="D878" s="7" t="str">
        <f>IFERROR(__xludf.DUMMYFUNCTION("""COMPUTED_VALUE"""),"SpABRM655136")</f>
        <v>SpABRM655136</v>
      </c>
      <c r="E878" s="310"/>
      <c r="F878" s="310"/>
      <c r="G878" s="310" t="str">
        <f>IFERROR(__xludf.DUMMYFUNCTION("""COMPUTED_VALUE"""),"Negative")</f>
        <v>Negative</v>
      </c>
      <c r="H878" s="319" t="str">
        <f>IFERROR(__xludf.DUMMYFUNCTION("""COMPUTED_VALUE"""),"Negative")</f>
        <v>Negative</v>
      </c>
      <c r="I878" s="308">
        <f>IFERROR(__xludf.DUMMYFUNCTION("""COMPUTED_VALUE"""),44972.0)</f>
        <v>44972</v>
      </c>
      <c r="J878" s="311">
        <f>IFERROR(__xludf.DUMMYFUNCTION("""COMPUTED_VALUE"""),0.39327546296296295)</f>
        <v>0.393275463</v>
      </c>
      <c r="K878" s="54"/>
      <c r="L878" s="7"/>
      <c r="M878" s="312"/>
      <c r="N878" s="172">
        <f>IFERROR(__xludf.DUMMYFUNCTION("""COMPUTED_VALUE"""),1.0)</f>
        <v>1</v>
      </c>
      <c r="O878" s="172"/>
      <c r="P878" s="313">
        <f>IFERROR(__xludf.DUMMYFUNCTION("""COMPUTED_VALUE"""),0.0)</f>
        <v>0</v>
      </c>
      <c r="Q878" s="76" t="b">
        <f>VLOOKUP($B878,'Run Reconcile'!B$2:O1399,14,FALSE)</f>
        <v>1</v>
      </c>
      <c r="R878" s="314" t="str">
        <f t="array" ref="R878">IF($Q878, INDEX('Run Reconcile'!A$2:A1399,MATCH(B878,'Run Reconcile'!B$2:B1399,0),1),IFERROR(0/0,""))</f>
        <v>RUN-ABRM_2023-02-15_RFR-160</v>
      </c>
      <c r="S878" s="315" t="str">
        <f t="shared" ref="S878:T878" si="1761">IF(COUNTIF(W$2:W1399, $A878) &gt; 0,TRUE,IFERROR(0/0,""))</f>
        <v/>
      </c>
      <c r="T878" s="315" t="str">
        <f t="shared" si="1761"/>
        <v/>
      </c>
      <c r="U878" s="114" t="str">
        <f t="array" ref="U878">IF(ISBLANK($R878), INDEX('Run Reconcile'!A$2:A1399, MATCH($B878, 'Run Reconcile'!B$2:B1399, 0)+Z878, 1), IFERROR(0/0,""))
</f>
        <v/>
      </c>
      <c r="V878" s="316" t="str">
        <f t="shared" si="1281"/>
        <v>RUN-ABRM_2023-02-15_RFR-160</v>
      </c>
      <c r="Y878" s="317" t="str">
        <f t="shared" si="6"/>
        <v/>
      </c>
      <c r="Z878" s="83" t="str">
        <f t="shared" si="7"/>
        <v/>
      </c>
      <c r="AA878" s="83" t="str">
        <f t="shared" si="8"/>
        <v/>
      </c>
      <c r="AB878" s="83" t="str">
        <f t="shared" si="9"/>
        <v/>
      </c>
      <c r="AC878" s="18" t="str">
        <f t="shared" ref="AC878:AD878" si="1762">IF(_xlfn.ISFORMULA(S878),IFERROR(0/0,""),TRUE)</f>
        <v/>
      </c>
      <c r="AD878" s="18" t="str">
        <f t="shared" si="1762"/>
        <v/>
      </c>
      <c r="AE878" s="43"/>
      <c r="AF878" s="58" t="s">
        <v>138</v>
      </c>
      <c r="AG878" s="55" t="str">
        <f t="shared" si="11"/>
        <v/>
      </c>
    </row>
    <row r="879">
      <c r="A879" s="7" t="str">
        <f>IFERROR(__xludf.DUMMYFUNCTION("""COMPUTED_VALUE"""),"AB9624")</f>
        <v>AB9624</v>
      </c>
      <c r="B879" s="308">
        <f>IFERROR(__xludf.DUMMYFUNCTION("""COMPUTED_VALUE"""),44972.0)</f>
        <v>44972</v>
      </c>
      <c r="C879" s="309">
        <f>IFERROR(__xludf.DUMMYFUNCTION("""COMPUTED_VALUE"""),0.392037037037037)</f>
        <v>0.392037037</v>
      </c>
      <c r="D879" s="7" t="str">
        <f>IFERROR(__xludf.DUMMYFUNCTION("""COMPUTED_VALUE"""),"SpABRM655136")</f>
        <v>SpABRM655136</v>
      </c>
      <c r="E879" s="310"/>
      <c r="F879" s="310"/>
      <c r="G879" s="310" t="str">
        <f>IFERROR(__xludf.DUMMYFUNCTION("""COMPUTED_VALUE"""),"Negative")</f>
        <v>Negative</v>
      </c>
      <c r="H879" s="319" t="str">
        <f>IFERROR(__xludf.DUMMYFUNCTION("""COMPUTED_VALUE"""),"Negative")</f>
        <v>Negative</v>
      </c>
      <c r="I879" s="308">
        <f>IFERROR(__xludf.DUMMYFUNCTION("""COMPUTED_VALUE"""),44972.0)</f>
        <v>44972</v>
      </c>
      <c r="J879" s="311">
        <f>IFERROR(__xludf.DUMMYFUNCTION("""COMPUTED_VALUE"""),0.39327546296296295)</f>
        <v>0.393275463</v>
      </c>
      <c r="K879" s="54"/>
      <c r="L879" s="7"/>
      <c r="M879" s="312"/>
      <c r="N879" s="172">
        <f>IFERROR(__xludf.DUMMYFUNCTION("""COMPUTED_VALUE"""),3.0)</f>
        <v>3</v>
      </c>
      <c r="O879" s="172"/>
      <c r="P879" s="313">
        <f>IFERROR(__xludf.DUMMYFUNCTION("""COMPUTED_VALUE"""),0.0)</f>
        <v>0</v>
      </c>
      <c r="Q879" s="76" t="b">
        <f>VLOOKUP($B879,'Run Reconcile'!B$2:O1399,14,FALSE)</f>
        <v>1</v>
      </c>
      <c r="R879" s="314" t="str">
        <f t="array" ref="R879">IF($Q879, INDEX('Run Reconcile'!A$2:A1399,MATCH(B879,'Run Reconcile'!B$2:B1399,0),1),IFERROR(0/0,""))</f>
        <v>RUN-ABRM_2023-02-15_RFR-160</v>
      </c>
      <c r="S879" s="315" t="str">
        <f t="shared" ref="S879:T879" si="1763">IF(COUNTIF(W$2:W1399, $A879) &gt; 0,TRUE,IFERROR(0/0,""))</f>
        <v/>
      </c>
      <c r="T879" s="315" t="str">
        <f t="shared" si="1763"/>
        <v/>
      </c>
      <c r="U879" s="114" t="str">
        <f t="array" ref="U879">IF(ISBLANK($R879), INDEX('Run Reconcile'!A$2:A1399, MATCH($B879, 'Run Reconcile'!B$2:B1399, 0)+Z879, 1), IFERROR(0/0,""))
</f>
        <v/>
      </c>
      <c r="V879" s="316" t="str">
        <f t="shared" si="1281"/>
        <v>RUN-ABRM_2023-02-15_RFR-160</v>
      </c>
      <c r="Y879" s="317" t="str">
        <f t="shared" si="6"/>
        <v/>
      </c>
      <c r="Z879" s="83" t="str">
        <f t="shared" si="7"/>
        <v/>
      </c>
      <c r="AA879" s="83" t="str">
        <f t="shared" si="8"/>
        <v/>
      </c>
      <c r="AB879" s="83" t="str">
        <f t="shared" si="9"/>
        <v/>
      </c>
      <c r="AC879" s="18" t="str">
        <f t="shared" ref="AC879:AD879" si="1764">IF(_xlfn.ISFORMULA(S879),IFERROR(0/0,""),TRUE)</f>
        <v/>
      </c>
      <c r="AD879" s="18" t="str">
        <f t="shared" si="1764"/>
        <v/>
      </c>
      <c r="AE879" s="43"/>
      <c r="AF879" s="58" t="s">
        <v>138</v>
      </c>
      <c r="AG879" s="55" t="str">
        <f t="shared" si="11"/>
        <v/>
      </c>
    </row>
    <row r="880">
      <c r="A880" s="7" t="str">
        <f>IFERROR(__xludf.DUMMYFUNCTION("""COMPUTED_VALUE"""),"AR1604")</f>
        <v>AR1604</v>
      </c>
      <c r="B880" s="308">
        <f>IFERROR(__xludf.DUMMYFUNCTION("""COMPUTED_VALUE"""),44972.0)</f>
        <v>44972</v>
      </c>
      <c r="C880" s="309">
        <f>IFERROR(__xludf.DUMMYFUNCTION("""COMPUTED_VALUE"""),0.39243055555555556)</f>
        <v>0.3924305556</v>
      </c>
      <c r="D880" s="7" t="str">
        <f>IFERROR(__xludf.DUMMYFUNCTION("""COMPUTED_VALUE"""),"SpABRM655136")</f>
        <v>SpABRM655136</v>
      </c>
      <c r="E880" s="310"/>
      <c r="F880" s="310"/>
      <c r="G880" s="310" t="str">
        <f>IFERROR(__xludf.DUMMYFUNCTION("""COMPUTED_VALUE"""),"Negative")</f>
        <v>Negative</v>
      </c>
      <c r="H880" s="319" t="str">
        <f>IFERROR(__xludf.DUMMYFUNCTION("""COMPUTED_VALUE"""),"Negative")</f>
        <v>Negative</v>
      </c>
      <c r="I880" s="308">
        <f>IFERROR(__xludf.DUMMYFUNCTION("""COMPUTED_VALUE"""),44972.0)</f>
        <v>44972</v>
      </c>
      <c r="J880" s="311">
        <f>IFERROR(__xludf.DUMMYFUNCTION("""COMPUTED_VALUE"""),0.39328703703703705)</f>
        <v>0.393287037</v>
      </c>
      <c r="K880" s="54"/>
      <c r="L880" s="7"/>
      <c r="M880" s="312"/>
      <c r="N880" s="172">
        <f>IFERROR(__xludf.DUMMYFUNCTION("""COMPUTED_VALUE"""),2.0)</f>
        <v>2</v>
      </c>
      <c r="O880" s="172"/>
      <c r="P880" s="313">
        <f>IFERROR(__xludf.DUMMYFUNCTION("""COMPUTED_VALUE"""),0.0)</f>
        <v>0</v>
      </c>
      <c r="Q880" s="76" t="b">
        <f>VLOOKUP($B880,'Run Reconcile'!B$2:O1399,14,FALSE)</f>
        <v>1</v>
      </c>
      <c r="R880" s="314" t="str">
        <f t="array" ref="R880">IF($Q880, INDEX('Run Reconcile'!A$2:A1399,MATCH(B880,'Run Reconcile'!B$2:B1399,0),1),IFERROR(0/0,""))</f>
        <v>RUN-ABRM_2023-02-15_RFR-160</v>
      </c>
      <c r="S880" s="315" t="str">
        <f t="shared" ref="S880:T880" si="1765">IF(COUNTIF(W$2:W1399, $A880) &gt; 0,TRUE,IFERROR(0/0,""))</f>
        <v/>
      </c>
      <c r="T880" s="315" t="str">
        <f t="shared" si="1765"/>
        <v/>
      </c>
      <c r="U880" s="114" t="str">
        <f t="array" ref="U880">IF(ISBLANK($R880), INDEX('Run Reconcile'!A$2:A1399, MATCH($B880, 'Run Reconcile'!B$2:B1399, 0)+Z880, 1), IFERROR(0/0,""))
</f>
        <v/>
      </c>
      <c r="V880" s="316" t="str">
        <f t="shared" si="1281"/>
        <v>RUN-ABRM_2023-02-15_RFR-160</v>
      </c>
      <c r="Y880" s="317" t="str">
        <f t="shared" si="6"/>
        <v/>
      </c>
      <c r="Z880" s="83" t="str">
        <f t="shared" si="7"/>
        <v/>
      </c>
      <c r="AA880" s="83" t="str">
        <f t="shared" si="8"/>
        <v/>
      </c>
      <c r="AB880" s="83" t="str">
        <f t="shared" si="9"/>
        <v/>
      </c>
      <c r="AC880" s="18" t="str">
        <f t="shared" ref="AC880:AD880" si="1766">IF(_xlfn.ISFORMULA(S880),IFERROR(0/0,""),TRUE)</f>
        <v/>
      </c>
      <c r="AD880" s="18" t="str">
        <f t="shared" si="1766"/>
        <v/>
      </c>
      <c r="AE880" s="43"/>
      <c r="AF880" s="58" t="s">
        <v>138</v>
      </c>
      <c r="AG880" s="55" t="str">
        <f t="shared" si="11"/>
        <v/>
      </c>
    </row>
    <row r="881">
      <c r="A881" s="7" t="str">
        <f>IFERROR(__xludf.DUMMYFUNCTION("""COMPUTED_VALUE"""),"AJ9839")</f>
        <v>AJ9839</v>
      </c>
      <c r="B881" s="308">
        <f>IFERROR(__xludf.DUMMYFUNCTION("""COMPUTED_VALUE"""),44973.0)</f>
        <v>44973</v>
      </c>
      <c r="C881" s="309">
        <f>IFERROR(__xludf.DUMMYFUNCTION("""COMPUTED_VALUE"""),0.2384837962962963)</f>
        <v>0.2384837963</v>
      </c>
      <c r="D881" s="7" t="str">
        <f>IFERROR(__xludf.DUMMYFUNCTION("""COMPUTED_VALUE"""),"SpABRM297307")</f>
        <v>SpABRM297307</v>
      </c>
      <c r="E881" s="310"/>
      <c r="F881" s="310"/>
      <c r="G881" s="310" t="str">
        <f>IFERROR(__xludf.DUMMYFUNCTION("""COMPUTED_VALUE"""),"Negative")</f>
        <v>Negative</v>
      </c>
      <c r="H881" s="319" t="str">
        <f>IFERROR(__xludf.DUMMYFUNCTION("""COMPUTED_VALUE"""),"Negative")</f>
        <v>Negative</v>
      </c>
      <c r="I881" s="308">
        <f>IFERROR(__xludf.DUMMYFUNCTION("""COMPUTED_VALUE"""),44973.0)</f>
        <v>44973</v>
      </c>
      <c r="J881" s="311">
        <f>IFERROR(__xludf.DUMMYFUNCTION("""COMPUTED_VALUE"""),0.38462962962962965)</f>
        <v>0.3846296296</v>
      </c>
      <c r="K881" s="54"/>
      <c r="L881" s="7"/>
      <c r="M881" s="312"/>
      <c r="N881" s="172">
        <f>IFERROR(__xludf.DUMMYFUNCTION("""COMPUTED_VALUE"""),3.0)</f>
        <v>3</v>
      </c>
      <c r="O881" s="172"/>
      <c r="P881" s="313">
        <f>IFERROR(__xludf.DUMMYFUNCTION("""COMPUTED_VALUE"""),0.0)</f>
        <v>0</v>
      </c>
      <c r="Q881" s="76" t="b">
        <f>VLOOKUP($B881,'Run Reconcile'!B$2:O1399,14,FALSE)</f>
        <v>1</v>
      </c>
      <c r="R881" s="314" t="str">
        <f t="array" ref="R881">IF($Q881, INDEX('Run Reconcile'!A$2:A1399,MATCH(B881,'Run Reconcile'!B$2:B1399,0),1),IFERROR(0/0,""))</f>
        <v>RUN-ABRM_2023-02-16_RFR-161</v>
      </c>
      <c r="S881" s="315" t="str">
        <f t="shared" ref="S881:T881" si="1767">IF(COUNTIF(W$2:W1399, $A881) &gt; 0,TRUE,IFERROR(0/0,""))</f>
        <v/>
      </c>
      <c r="T881" s="315" t="str">
        <f t="shared" si="1767"/>
        <v/>
      </c>
      <c r="U881" s="114" t="str">
        <f t="array" ref="U881">IF(ISBLANK($R881), INDEX('Run Reconcile'!A$2:A1399, MATCH($B881, 'Run Reconcile'!B$2:B1399, 0)+Z881, 1), IFERROR(0/0,""))
</f>
        <v/>
      </c>
      <c r="V881" s="316" t="str">
        <f t="shared" si="1281"/>
        <v>RUN-ABRM_2023-02-16_RFR-161</v>
      </c>
      <c r="Y881" s="317" t="str">
        <f t="shared" si="6"/>
        <v/>
      </c>
      <c r="Z881" s="83" t="str">
        <f t="shared" si="7"/>
        <v/>
      </c>
      <c r="AA881" s="83" t="str">
        <f t="shared" si="8"/>
        <v/>
      </c>
      <c r="AB881" s="83" t="str">
        <f t="shared" si="9"/>
        <v/>
      </c>
      <c r="AC881" s="18" t="str">
        <f t="shared" ref="AC881:AD881" si="1768">IF(_xlfn.ISFORMULA(S881),IFERROR(0/0,""),TRUE)</f>
        <v/>
      </c>
      <c r="AD881" s="18" t="str">
        <f t="shared" si="1768"/>
        <v/>
      </c>
      <c r="AE881" s="43"/>
      <c r="AF881" s="58" t="s">
        <v>139</v>
      </c>
      <c r="AG881" s="55" t="str">
        <f t="shared" si="11"/>
        <v/>
      </c>
    </row>
    <row r="882">
      <c r="A882" s="7" t="str">
        <f>IFERROR(__xludf.DUMMYFUNCTION("""COMPUTED_VALUE"""),"AK9933")</f>
        <v>AK9933</v>
      </c>
      <c r="B882" s="308">
        <f>IFERROR(__xludf.DUMMYFUNCTION("""COMPUTED_VALUE"""),44973.0)</f>
        <v>44973</v>
      </c>
      <c r="C882" s="309">
        <f>IFERROR(__xludf.DUMMYFUNCTION("""COMPUTED_VALUE"""),0.2920949074074074)</f>
        <v>0.2920949074</v>
      </c>
      <c r="D882" s="7" t="str">
        <f>IFERROR(__xludf.DUMMYFUNCTION("""COMPUTED_VALUE"""),"SpABRM128250")</f>
        <v>SpABRM128250</v>
      </c>
      <c r="E882" s="310"/>
      <c r="F882" s="310"/>
      <c r="G882" s="310" t="str">
        <f>IFERROR(__xludf.DUMMYFUNCTION("""COMPUTED_VALUE"""),"Negative")</f>
        <v>Negative</v>
      </c>
      <c r="H882" s="319" t="str">
        <f>IFERROR(__xludf.DUMMYFUNCTION("""COMPUTED_VALUE"""),"Negative")</f>
        <v>Negative</v>
      </c>
      <c r="I882" s="308">
        <f>IFERROR(__xludf.DUMMYFUNCTION("""COMPUTED_VALUE"""),44973.0)</f>
        <v>44973</v>
      </c>
      <c r="J882" s="311">
        <f>IFERROR(__xludf.DUMMYFUNCTION("""COMPUTED_VALUE"""),0.3846412037037037)</f>
        <v>0.3846412037</v>
      </c>
      <c r="K882" s="54"/>
      <c r="L882" s="7"/>
      <c r="M882" s="312"/>
      <c r="N882" s="172">
        <f>IFERROR(__xludf.DUMMYFUNCTION("""COMPUTED_VALUE"""),3.0)</f>
        <v>3</v>
      </c>
      <c r="O882" s="172"/>
      <c r="P882" s="313">
        <f>IFERROR(__xludf.DUMMYFUNCTION("""COMPUTED_VALUE"""),0.0)</f>
        <v>0</v>
      </c>
      <c r="Q882" s="76" t="b">
        <f>VLOOKUP($B882,'Run Reconcile'!B$2:O1399,14,FALSE)</f>
        <v>1</v>
      </c>
      <c r="R882" s="314" t="str">
        <f t="array" ref="R882">IF($Q882, INDEX('Run Reconcile'!A$2:A1399,MATCH(B882,'Run Reconcile'!B$2:B1399,0),1),IFERROR(0/0,""))</f>
        <v>RUN-ABRM_2023-02-16_RFR-161</v>
      </c>
      <c r="S882" s="315" t="str">
        <f t="shared" ref="S882:T882" si="1769">IF(COUNTIF(W$2:W1399, $A882) &gt; 0,TRUE,IFERROR(0/0,""))</f>
        <v/>
      </c>
      <c r="T882" s="315" t="str">
        <f t="shared" si="1769"/>
        <v/>
      </c>
      <c r="U882" s="114" t="str">
        <f t="array" ref="U882">IF(ISBLANK($R882), INDEX('Run Reconcile'!A$2:A1399, MATCH($B882, 'Run Reconcile'!B$2:B1399, 0)+Z882, 1), IFERROR(0/0,""))
</f>
        <v/>
      </c>
      <c r="V882" s="316" t="str">
        <f t="shared" si="1281"/>
        <v>RUN-ABRM_2023-02-16_RFR-161</v>
      </c>
      <c r="Y882" s="317" t="str">
        <f t="shared" si="6"/>
        <v/>
      </c>
      <c r="Z882" s="83" t="str">
        <f t="shared" si="7"/>
        <v/>
      </c>
      <c r="AA882" s="83" t="str">
        <f t="shared" si="8"/>
        <v/>
      </c>
      <c r="AB882" s="83" t="str">
        <f t="shared" si="9"/>
        <v/>
      </c>
      <c r="AC882" s="18" t="str">
        <f t="shared" ref="AC882:AD882" si="1770">IF(_xlfn.ISFORMULA(S882),IFERROR(0/0,""),TRUE)</f>
        <v/>
      </c>
      <c r="AD882" s="18" t="str">
        <f t="shared" si="1770"/>
        <v/>
      </c>
      <c r="AE882" s="43"/>
      <c r="AF882" s="58" t="s">
        <v>139</v>
      </c>
      <c r="AG882" s="55" t="str">
        <f t="shared" si="11"/>
        <v/>
      </c>
    </row>
    <row r="883">
      <c r="A883" s="7" t="str">
        <f>IFERROR(__xludf.DUMMYFUNCTION("""COMPUTED_VALUE"""),"AH785")</f>
        <v>AH785</v>
      </c>
      <c r="B883" s="308">
        <f>IFERROR(__xludf.DUMMYFUNCTION("""COMPUTED_VALUE"""),44973.0)</f>
        <v>44973</v>
      </c>
      <c r="C883" s="309">
        <f>IFERROR(__xludf.DUMMYFUNCTION("""COMPUTED_VALUE"""),0.306412037037037)</f>
        <v>0.306412037</v>
      </c>
      <c r="D883" s="7" t="str">
        <f>IFERROR(__xludf.DUMMYFUNCTION("""COMPUTED_VALUE"""),"SpABRM367540")</f>
        <v>SpABRM367540</v>
      </c>
      <c r="E883" s="310"/>
      <c r="F883" s="310"/>
      <c r="G883" s="310" t="str">
        <f>IFERROR(__xludf.DUMMYFUNCTION("""COMPUTED_VALUE"""),"Negative")</f>
        <v>Negative</v>
      </c>
      <c r="H883" s="319" t="str">
        <f>IFERROR(__xludf.DUMMYFUNCTION("""COMPUTED_VALUE"""),"Negative")</f>
        <v>Negative</v>
      </c>
      <c r="I883" s="308">
        <f>IFERROR(__xludf.DUMMYFUNCTION("""COMPUTED_VALUE"""),44973.0)</f>
        <v>44973</v>
      </c>
      <c r="J883" s="311">
        <f>IFERROR(__xludf.DUMMYFUNCTION("""COMPUTED_VALUE"""),0.3846527777777778)</f>
        <v>0.3846527778</v>
      </c>
      <c r="K883" s="54"/>
      <c r="L883" s="7"/>
      <c r="M883" s="312"/>
      <c r="N883" s="172">
        <f>IFERROR(__xludf.DUMMYFUNCTION("""COMPUTED_VALUE"""),3.0)</f>
        <v>3</v>
      </c>
      <c r="O883" s="172"/>
      <c r="P883" s="313">
        <f>IFERROR(__xludf.DUMMYFUNCTION("""COMPUTED_VALUE"""),0.0)</f>
        <v>0</v>
      </c>
      <c r="Q883" s="76" t="b">
        <f>VLOOKUP($B883,'Run Reconcile'!B$2:O1399,14,FALSE)</f>
        <v>1</v>
      </c>
      <c r="R883" s="314" t="str">
        <f t="array" ref="R883">IF($Q883, INDEX('Run Reconcile'!A$2:A1399,MATCH(B883,'Run Reconcile'!B$2:B1399,0),1),IFERROR(0/0,""))</f>
        <v>RUN-ABRM_2023-02-16_RFR-161</v>
      </c>
      <c r="S883" s="315" t="str">
        <f t="shared" ref="S883:T883" si="1771">IF(COUNTIF(W$2:W1399, $A883) &gt; 0,TRUE,IFERROR(0/0,""))</f>
        <v/>
      </c>
      <c r="T883" s="315" t="str">
        <f t="shared" si="1771"/>
        <v/>
      </c>
      <c r="U883" s="114" t="str">
        <f t="array" ref="U883">IF(ISBLANK($R883), INDEX('Run Reconcile'!A$2:A1399, MATCH($B883, 'Run Reconcile'!B$2:B1399, 0)+Z883, 1), IFERROR(0/0,""))
</f>
        <v/>
      </c>
      <c r="V883" s="316" t="str">
        <f t="shared" si="1281"/>
        <v>RUN-ABRM_2023-02-16_RFR-161</v>
      </c>
      <c r="Y883" s="317" t="str">
        <f t="shared" si="6"/>
        <v/>
      </c>
      <c r="Z883" s="83" t="str">
        <f t="shared" si="7"/>
        <v/>
      </c>
      <c r="AA883" s="83" t="str">
        <f t="shared" si="8"/>
        <v/>
      </c>
      <c r="AB883" s="83" t="str">
        <f t="shared" si="9"/>
        <v/>
      </c>
      <c r="AC883" s="18" t="str">
        <f t="shared" ref="AC883:AD883" si="1772">IF(_xlfn.ISFORMULA(S883),IFERROR(0/0,""),TRUE)</f>
        <v/>
      </c>
      <c r="AD883" s="18" t="str">
        <f t="shared" si="1772"/>
        <v/>
      </c>
      <c r="AE883" s="43"/>
      <c r="AF883" s="58" t="s">
        <v>139</v>
      </c>
      <c r="AG883" s="55" t="str">
        <f t="shared" si="11"/>
        <v/>
      </c>
    </row>
    <row r="884">
      <c r="A884" s="7" t="str">
        <f>IFERROR(__xludf.DUMMYFUNCTION("""COMPUTED_VALUE"""),"AR367")</f>
        <v>AR367</v>
      </c>
      <c r="B884" s="308">
        <f>IFERROR(__xludf.DUMMYFUNCTION("""COMPUTED_VALUE"""),44973.0)</f>
        <v>44973</v>
      </c>
      <c r="C884" s="309">
        <f>IFERROR(__xludf.DUMMYFUNCTION("""COMPUTED_VALUE"""),0.31636574074074075)</f>
        <v>0.3163657407</v>
      </c>
      <c r="D884" s="7" t="str">
        <f>IFERROR(__xludf.DUMMYFUNCTION("""COMPUTED_VALUE"""),"SpABRM655136")</f>
        <v>SpABRM655136</v>
      </c>
      <c r="E884" s="310"/>
      <c r="F884" s="310"/>
      <c r="G884" s="310" t="str">
        <f>IFERROR(__xludf.DUMMYFUNCTION("""COMPUTED_VALUE"""),"Negative")</f>
        <v>Negative</v>
      </c>
      <c r="H884" s="319" t="str">
        <f>IFERROR(__xludf.DUMMYFUNCTION("""COMPUTED_VALUE"""),"Negative")</f>
        <v>Negative</v>
      </c>
      <c r="I884" s="308">
        <f>IFERROR(__xludf.DUMMYFUNCTION("""COMPUTED_VALUE"""),44973.0)</f>
        <v>44973</v>
      </c>
      <c r="J884" s="311">
        <f>IFERROR(__xludf.DUMMYFUNCTION("""COMPUTED_VALUE"""),0.3846527777777778)</f>
        <v>0.3846527778</v>
      </c>
      <c r="K884" s="54"/>
      <c r="L884" s="7"/>
      <c r="M884" s="312"/>
      <c r="N884" s="172">
        <f>IFERROR(__xludf.DUMMYFUNCTION("""COMPUTED_VALUE"""),2.0)</f>
        <v>2</v>
      </c>
      <c r="O884" s="172"/>
      <c r="P884" s="313">
        <f>IFERROR(__xludf.DUMMYFUNCTION("""COMPUTED_VALUE"""),0.0)</f>
        <v>0</v>
      </c>
      <c r="Q884" s="76" t="b">
        <f>VLOOKUP($B884,'Run Reconcile'!B$2:O1399,14,FALSE)</f>
        <v>1</v>
      </c>
      <c r="R884" s="314" t="str">
        <f t="array" ref="R884">IF($Q884, INDEX('Run Reconcile'!A$2:A1399,MATCH(B884,'Run Reconcile'!B$2:B1399,0),1),IFERROR(0/0,""))</f>
        <v>RUN-ABRM_2023-02-16_RFR-161</v>
      </c>
      <c r="S884" s="315" t="str">
        <f t="shared" ref="S884:T884" si="1773">IF(COUNTIF(W$2:W1399, $A884) &gt; 0,TRUE,IFERROR(0/0,""))</f>
        <v/>
      </c>
      <c r="T884" s="315" t="str">
        <f t="shared" si="1773"/>
        <v/>
      </c>
      <c r="U884" s="114" t="str">
        <f t="array" ref="U884">IF(ISBLANK($R884), INDEX('Run Reconcile'!A$2:A1399, MATCH($B884, 'Run Reconcile'!B$2:B1399, 0)+Z884, 1), IFERROR(0/0,""))
</f>
        <v/>
      </c>
      <c r="V884" s="316" t="str">
        <f t="shared" si="1281"/>
        <v>RUN-ABRM_2023-02-16_RFR-161</v>
      </c>
      <c r="Y884" s="317" t="str">
        <f t="shared" si="6"/>
        <v/>
      </c>
      <c r="Z884" s="83" t="str">
        <f t="shared" si="7"/>
        <v/>
      </c>
      <c r="AA884" s="83" t="str">
        <f t="shared" si="8"/>
        <v/>
      </c>
      <c r="AB884" s="83" t="str">
        <f t="shared" si="9"/>
        <v/>
      </c>
      <c r="AC884" s="18" t="str">
        <f t="shared" ref="AC884:AD884" si="1774">IF(_xlfn.ISFORMULA(S884),IFERROR(0/0,""),TRUE)</f>
        <v/>
      </c>
      <c r="AD884" s="18" t="str">
        <f t="shared" si="1774"/>
        <v/>
      </c>
      <c r="AE884" s="43"/>
      <c r="AF884" s="58" t="s">
        <v>139</v>
      </c>
      <c r="AG884" s="55" t="str">
        <f t="shared" si="11"/>
        <v/>
      </c>
    </row>
    <row r="885">
      <c r="A885" s="7" t="str">
        <f>IFERROR(__xludf.DUMMYFUNCTION("""COMPUTED_VALUE"""),"AG780")</f>
        <v>AG780</v>
      </c>
      <c r="B885" s="308">
        <f>IFERROR(__xludf.DUMMYFUNCTION("""COMPUTED_VALUE"""),44973.0)</f>
        <v>44973</v>
      </c>
      <c r="C885" s="309">
        <f>IFERROR(__xludf.DUMMYFUNCTION("""COMPUTED_VALUE"""),0.31675925925925924)</f>
        <v>0.3167592593</v>
      </c>
      <c r="D885" s="7" t="str">
        <f>IFERROR(__xludf.DUMMYFUNCTION("""COMPUTED_VALUE"""),"SpABRM814022")</f>
        <v>SpABRM814022</v>
      </c>
      <c r="E885" s="310"/>
      <c r="F885" s="310"/>
      <c r="G885" s="310" t="str">
        <f>IFERROR(__xludf.DUMMYFUNCTION("""COMPUTED_VALUE"""),"Negative")</f>
        <v>Negative</v>
      </c>
      <c r="H885" s="319" t="str">
        <f>IFERROR(__xludf.DUMMYFUNCTION("""COMPUTED_VALUE"""),"Negative")</f>
        <v>Negative</v>
      </c>
      <c r="I885" s="308">
        <f>IFERROR(__xludf.DUMMYFUNCTION("""COMPUTED_VALUE"""),44973.0)</f>
        <v>44973</v>
      </c>
      <c r="J885" s="311">
        <f>IFERROR(__xludf.DUMMYFUNCTION("""COMPUTED_VALUE"""),0.3846643518518518)</f>
        <v>0.3846643519</v>
      </c>
      <c r="K885" s="54"/>
      <c r="L885" s="7"/>
      <c r="M885" s="312"/>
      <c r="N885" s="172">
        <f>IFERROR(__xludf.DUMMYFUNCTION("""COMPUTED_VALUE"""),1.0)</f>
        <v>1</v>
      </c>
      <c r="O885" s="172"/>
      <c r="P885" s="313">
        <f>IFERROR(__xludf.DUMMYFUNCTION("""COMPUTED_VALUE"""),0.0)</f>
        <v>0</v>
      </c>
      <c r="Q885" s="76" t="b">
        <f>VLOOKUP($B885,'Run Reconcile'!B$2:O1399,14,FALSE)</f>
        <v>1</v>
      </c>
      <c r="R885" s="314" t="str">
        <f t="array" ref="R885">IF($Q885, INDEX('Run Reconcile'!A$2:A1399,MATCH(B885,'Run Reconcile'!B$2:B1399,0),1),IFERROR(0/0,""))</f>
        <v>RUN-ABRM_2023-02-16_RFR-161</v>
      </c>
      <c r="S885" s="315" t="str">
        <f t="shared" ref="S885:T885" si="1775">IF(COUNTIF(W$2:W1399, $A885) &gt; 0,TRUE,IFERROR(0/0,""))</f>
        <v/>
      </c>
      <c r="T885" s="315" t="str">
        <f t="shared" si="1775"/>
        <v/>
      </c>
      <c r="U885" s="114" t="str">
        <f t="array" ref="U885">IF(ISBLANK($R885), INDEX('Run Reconcile'!A$2:A1399, MATCH($B885, 'Run Reconcile'!B$2:B1399, 0)+Z885, 1), IFERROR(0/0,""))
</f>
        <v/>
      </c>
      <c r="V885" s="316" t="str">
        <f t="shared" si="1281"/>
        <v>RUN-ABRM_2023-02-16_RFR-161</v>
      </c>
      <c r="Y885" s="317" t="str">
        <f t="shared" si="6"/>
        <v/>
      </c>
      <c r="Z885" s="83" t="str">
        <f t="shared" si="7"/>
        <v/>
      </c>
      <c r="AA885" s="83" t="str">
        <f t="shared" si="8"/>
        <v/>
      </c>
      <c r="AB885" s="83" t="str">
        <f t="shared" si="9"/>
        <v/>
      </c>
      <c r="AC885" s="18" t="str">
        <f t="shared" ref="AC885:AD885" si="1776">IF(_xlfn.ISFORMULA(S885),IFERROR(0/0,""),TRUE)</f>
        <v/>
      </c>
      <c r="AD885" s="18" t="str">
        <f t="shared" si="1776"/>
        <v/>
      </c>
      <c r="AE885" s="43"/>
      <c r="AF885" s="58" t="s">
        <v>139</v>
      </c>
      <c r="AG885" s="55" t="str">
        <f t="shared" si="11"/>
        <v/>
      </c>
    </row>
    <row r="886">
      <c r="A886" s="7" t="str">
        <f>IFERROR(__xludf.DUMMYFUNCTION("""COMPUTED_VALUE"""),"AK9859")</f>
        <v>AK9859</v>
      </c>
      <c r="B886" s="308">
        <f>IFERROR(__xludf.DUMMYFUNCTION("""COMPUTED_VALUE"""),44973.0)</f>
        <v>44973</v>
      </c>
      <c r="C886" s="309">
        <f>IFERROR(__xludf.DUMMYFUNCTION("""COMPUTED_VALUE"""),0.3260300925925926)</f>
        <v>0.3260300926</v>
      </c>
      <c r="D886" s="7" t="str">
        <f>IFERROR(__xludf.DUMMYFUNCTION("""COMPUTED_VALUE"""),"SpABRM655136")</f>
        <v>SpABRM655136</v>
      </c>
      <c r="E886" s="310"/>
      <c r="F886" s="310"/>
      <c r="G886" s="310" t="str">
        <f>IFERROR(__xludf.DUMMYFUNCTION("""COMPUTED_VALUE"""),"Negative")</f>
        <v>Negative</v>
      </c>
      <c r="H886" s="319" t="str">
        <f>IFERROR(__xludf.DUMMYFUNCTION("""COMPUTED_VALUE"""),"Negative")</f>
        <v>Negative</v>
      </c>
      <c r="I886" s="308">
        <f>IFERROR(__xludf.DUMMYFUNCTION("""COMPUTED_VALUE"""),44973.0)</f>
        <v>44973</v>
      </c>
      <c r="J886" s="311">
        <f>IFERROR(__xludf.DUMMYFUNCTION("""COMPUTED_VALUE"""),0.3846759259259259)</f>
        <v>0.3846759259</v>
      </c>
      <c r="K886" s="54"/>
      <c r="L886" s="7"/>
      <c r="M886" s="312"/>
      <c r="N886" s="172">
        <f>IFERROR(__xludf.DUMMYFUNCTION("""COMPUTED_VALUE"""),1.0)</f>
        <v>1</v>
      </c>
      <c r="O886" s="172"/>
      <c r="P886" s="313">
        <f>IFERROR(__xludf.DUMMYFUNCTION("""COMPUTED_VALUE"""),0.0)</f>
        <v>0</v>
      </c>
      <c r="Q886" s="76" t="b">
        <f>VLOOKUP($B886,'Run Reconcile'!B$2:O1399,14,FALSE)</f>
        <v>1</v>
      </c>
      <c r="R886" s="314" t="str">
        <f t="array" ref="R886">IF($Q886, INDEX('Run Reconcile'!A$2:A1399,MATCH(B886,'Run Reconcile'!B$2:B1399,0),1),IFERROR(0/0,""))</f>
        <v>RUN-ABRM_2023-02-16_RFR-161</v>
      </c>
      <c r="S886" s="315" t="str">
        <f t="shared" ref="S886:T886" si="1777">IF(COUNTIF(W$2:W1399, $A886) &gt; 0,TRUE,IFERROR(0/0,""))</f>
        <v/>
      </c>
      <c r="T886" s="315" t="str">
        <f t="shared" si="1777"/>
        <v/>
      </c>
      <c r="U886" s="114" t="str">
        <f t="array" ref="U886">IF(ISBLANK($R886), INDEX('Run Reconcile'!A$2:A1399, MATCH($B886, 'Run Reconcile'!B$2:B1399, 0)+Z886, 1), IFERROR(0/0,""))
</f>
        <v/>
      </c>
      <c r="V886" s="316" t="str">
        <f t="shared" si="1281"/>
        <v>RUN-ABRM_2023-02-16_RFR-161</v>
      </c>
      <c r="Y886" s="317" t="str">
        <f t="shared" si="6"/>
        <v/>
      </c>
      <c r="Z886" s="83" t="str">
        <f t="shared" si="7"/>
        <v/>
      </c>
      <c r="AA886" s="83" t="str">
        <f t="shared" si="8"/>
        <v/>
      </c>
      <c r="AB886" s="83" t="str">
        <f t="shared" si="9"/>
        <v/>
      </c>
      <c r="AC886" s="18" t="str">
        <f t="shared" ref="AC886:AD886" si="1778">IF(_xlfn.ISFORMULA(S886),IFERROR(0/0,""),TRUE)</f>
        <v/>
      </c>
      <c r="AD886" s="18" t="str">
        <f t="shared" si="1778"/>
        <v/>
      </c>
      <c r="AE886" s="43"/>
      <c r="AF886" s="58" t="s">
        <v>139</v>
      </c>
      <c r="AG886" s="55" t="str">
        <f t="shared" si="11"/>
        <v/>
      </c>
    </row>
    <row r="887">
      <c r="A887" s="7" t="str">
        <f>IFERROR(__xludf.DUMMYFUNCTION("""COMPUTED_VALUE"""),"AH464")</f>
        <v>AH464</v>
      </c>
      <c r="B887" s="308">
        <f>IFERROR(__xludf.DUMMYFUNCTION("""COMPUTED_VALUE"""),44973.0)</f>
        <v>44973</v>
      </c>
      <c r="C887" s="309">
        <f>IFERROR(__xludf.DUMMYFUNCTION("""COMPUTED_VALUE"""),0.3290162037037037)</f>
        <v>0.3290162037</v>
      </c>
      <c r="D887" s="7" t="str">
        <f>IFERROR(__xludf.DUMMYFUNCTION("""COMPUTED_VALUE"""),"SpABRM655136")</f>
        <v>SpABRM655136</v>
      </c>
      <c r="E887" s="310"/>
      <c r="F887" s="310"/>
      <c r="G887" s="310" t="str">
        <f>IFERROR(__xludf.DUMMYFUNCTION("""COMPUTED_VALUE"""),"Negative")</f>
        <v>Negative</v>
      </c>
      <c r="H887" s="319" t="str">
        <f>IFERROR(__xludf.DUMMYFUNCTION("""COMPUTED_VALUE"""),"Negative")</f>
        <v>Negative</v>
      </c>
      <c r="I887" s="308">
        <f>IFERROR(__xludf.DUMMYFUNCTION("""COMPUTED_VALUE"""),44973.0)</f>
        <v>44973</v>
      </c>
      <c r="J887" s="311">
        <f>IFERROR(__xludf.DUMMYFUNCTION("""COMPUTED_VALUE"""),0.3846759259259259)</f>
        <v>0.3846759259</v>
      </c>
      <c r="K887" s="54"/>
      <c r="L887" s="7"/>
      <c r="M887" s="312"/>
      <c r="N887" s="172">
        <f>IFERROR(__xludf.DUMMYFUNCTION("""COMPUTED_VALUE"""),4.0)</f>
        <v>4</v>
      </c>
      <c r="O887" s="172"/>
      <c r="P887" s="313">
        <f>IFERROR(__xludf.DUMMYFUNCTION("""COMPUTED_VALUE"""),0.0)</f>
        <v>0</v>
      </c>
      <c r="Q887" s="76" t="b">
        <f>VLOOKUP($B887,'Run Reconcile'!B$2:O1399,14,FALSE)</f>
        <v>1</v>
      </c>
      <c r="R887" s="314" t="str">
        <f t="array" ref="R887">IF($Q887, INDEX('Run Reconcile'!A$2:A1399,MATCH(B887,'Run Reconcile'!B$2:B1399,0),1),IFERROR(0/0,""))</f>
        <v>RUN-ABRM_2023-02-16_RFR-161</v>
      </c>
      <c r="S887" s="315" t="str">
        <f t="shared" ref="S887:T887" si="1779">IF(COUNTIF(W$2:W1399, $A887) &gt; 0,TRUE,IFERROR(0/0,""))</f>
        <v/>
      </c>
      <c r="T887" s="315" t="str">
        <f t="shared" si="1779"/>
        <v/>
      </c>
      <c r="U887" s="114" t="str">
        <f t="array" ref="U887">IF(ISBLANK($R887), INDEX('Run Reconcile'!A$2:A1399, MATCH($B887, 'Run Reconcile'!B$2:B1399, 0)+Z887, 1), IFERROR(0/0,""))
</f>
        <v/>
      </c>
      <c r="V887" s="316" t="str">
        <f t="shared" si="1281"/>
        <v>RUN-ABRM_2023-02-16_RFR-161</v>
      </c>
      <c r="Y887" s="317" t="str">
        <f t="shared" si="6"/>
        <v/>
      </c>
      <c r="Z887" s="83" t="str">
        <f t="shared" si="7"/>
        <v/>
      </c>
      <c r="AA887" s="83" t="str">
        <f t="shared" si="8"/>
        <v/>
      </c>
      <c r="AB887" s="83" t="str">
        <f t="shared" si="9"/>
        <v/>
      </c>
      <c r="AC887" s="18" t="str">
        <f t="shared" ref="AC887:AD887" si="1780">IF(_xlfn.ISFORMULA(S887),IFERROR(0/0,""),TRUE)</f>
        <v/>
      </c>
      <c r="AD887" s="18" t="str">
        <f t="shared" si="1780"/>
        <v/>
      </c>
      <c r="AE887" s="43"/>
      <c r="AF887" s="58" t="s">
        <v>139</v>
      </c>
      <c r="AG887" s="55" t="str">
        <f t="shared" si="11"/>
        <v/>
      </c>
    </row>
    <row r="888">
      <c r="A888" s="7" t="str">
        <f>IFERROR(__xludf.DUMMYFUNCTION("""COMPUTED_VALUE"""),"AR137")</f>
        <v>AR137</v>
      </c>
      <c r="B888" s="308">
        <f>IFERROR(__xludf.DUMMYFUNCTION("""COMPUTED_VALUE"""),44974.0)</f>
        <v>44974</v>
      </c>
      <c r="C888" s="309">
        <f>IFERROR(__xludf.DUMMYFUNCTION("""COMPUTED_VALUE"""),0.18915509259259258)</f>
        <v>0.1891550926</v>
      </c>
      <c r="D888" s="7" t="str">
        <f>IFERROR(__xludf.DUMMYFUNCTION("""COMPUTED_VALUE"""),"SpABRM655136")</f>
        <v>SpABRM655136</v>
      </c>
      <c r="E888" s="310"/>
      <c r="F888" s="310"/>
      <c r="G888" s="310" t="str">
        <f>IFERROR(__xludf.DUMMYFUNCTION("""COMPUTED_VALUE"""),"Negative")</f>
        <v>Negative</v>
      </c>
      <c r="H888" s="319" t="str">
        <f>IFERROR(__xludf.DUMMYFUNCTION("""COMPUTED_VALUE"""),"Negative")</f>
        <v>Negative</v>
      </c>
      <c r="I888" s="308">
        <f>IFERROR(__xludf.DUMMYFUNCTION("""COMPUTED_VALUE"""),44974.0)</f>
        <v>44974</v>
      </c>
      <c r="J888" s="311">
        <f>IFERROR(__xludf.DUMMYFUNCTION("""COMPUTED_VALUE"""),0.3987962962962963)</f>
        <v>0.3987962963</v>
      </c>
      <c r="K888" s="54"/>
      <c r="L888" s="7"/>
      <c r="M888" s="312"/>
      <c r="N888" s="172">
        <f>IFERROR(__xludf.DUMMYFUNCTION("""COMPUTED_VALUE"""),2.0)</f>
        <v>2</v>
      </c>
      <c r="O888" s="172"/>
      <c r="P888" s="313">
        <f>IFERROR(__xludf.DUMMYFUNCTION("""COMPUTED_VALUE"""),0.0)</f>
        <v>0</v>
      </c>
      <c r="Q888" s="76" t="b">
        <f>VLOOKUP($B888,'Run Reconcile'!B$2:O1399,14,FALSE)</f>
        <v>1</v>
      </c>
      <c r="R888" s="314" t="str">
        <f t="array" ref="R888">IF($Q888, INDEX('Run Reconcile'!A$2:A1399,MATCH(B888,'Run Reconcile'!B$2:B1399,0),1),IFERROR(0/0,""))</f>
        <v>RUN-ABRM_2023-02-17_RFR-162</v>
      </c>
      <c r="S888" s="315" t="str">
        <f t="shared" ref="S888:T888" si="1781">IF(COUNTIF(W$2:W1399, $A888) &gt; 0,TRUE,IFERROR(0/0,""))</f>
        <v/>
      </c>
      <c r="T888" s="315" t="str">
        <f t="shared" si="1781"/>
        <v/>
      </c>
      <c r="U888" s="114" t="str">
        <f t="array" ref="U888">IF(ISBLANK($R888), INDEX('Run Reconcile'!A$2:A1399, MATCH($B888, 'Run Reconcile'!B$2:B1399, 0)+Z888, 1), IFERROR(0/0,""))
</f>
        <v/>
      </c>
      <c r="V888" s="316" t="str">
        <f t="shared" si="1281"/>
        <v>RUN-ABRM_2023-02-17_RFR-162</v>
      </c>
      <c r="Y888" s="317" t="str">
        <f t="shared" si="6"/>
        <v/>
      </c>
      <c r="Z888" s="83" t="str">
        <f t="shared" si="7"/>
        <v/>
      </c>
      <c r="AA888" s="83" t="str">
        <f t="shared" si="8"/>
        <v/>
      </c>
      <c r="AB888" s="83" t="str">
        <f t="shared" si="9"/>
        <v/>
      </c>
      <c r="AC888" s="18" t="str">
        <f t="shared" ref="AC888:AD888" si="1782">IF(_xlfn.ISFORMULA(S888),IFERROR(0/0,""),TRUE)</f>
        <v/>
      </c>
      <c r="AD888" s="18" t="str">
        <f t="shared" si="1782"/>
        <v/>
      </c>
      <c r="AE888" s="43"/>
      <c r="AF888" s="58" t="s">
        <v>140</v>
      </c>
      <c r="AG888" s="55" t="str">
        <f t="shared" si="11"/>
        <v/>
      </c>
    </row>
    <row r="889">
      <c r="A889" s="7" t="str">
        <f>IFERROR(__xludf.DUMMYFUNCTION("""COMPUTED_VALUE"""),"AR187")</f>
        <v>AR187</v>
      </c>
      <c r="B889" s="308">
        <f>IFERROR(__xludf.DUMMYFUNCTION("""COMPUTED_VALUE"""),44974.0)</f>
        <v>44974</v>
      </c>
      <c r="C889" s="309">
        <f>IFERROR(__xludf.DUMMYFUNCTION("""COMPUTED_VALUE"""),0.2809027777777778)</f>
        <v>0.2809027778</v>
      </c>
      <c r="D889" s="7" t="str">
        <f>IFERROR(__xludf.DUMMYFUNCTION("""COMPUTED_VALUE"""),"SpABRM128250")</f>
        <v>SpABRM128250</v>
      </c>
      <c r="E889" s="310"/>
      <c r="F889" s="310"/>
      <c r="G889" s="310" t="str">
        <f>IFERROR(__xludf.DUMMYFUNCTION("""COMPUTED_VALUE"""),"Negative")</f>
        <v>Negative</v>
      </c>
      <c r="H889" s="319" t="str">
        <f>IFERROR(__xludf.DUMMYFUNCTION("""COMPUTED_VALUE"""),"Negative")</f>
        <v>Negative</v>
      </c>
      <c r="I889" s="308">
        <f>IFERROR(__xludf.DUMMYFUNCTION("""COMPUTED_VALUE"""),44974.0)</f>
        <v>44974</v>
      </c>
      <c r="J889" s="311">
        <f>IFERROR(__xludf.DUMMYFUNCTION("""COMPUTED_VALUE"""),0.39880787037037035)</f>
        <v>0.3988078704</v>
      </c>
      <c r="K889" s="54"/>
      <c r="L889" s="7"/>
      <c r="M889" s="312"/>
      <c r="N889" s="172">
        <f>IFERROR(__xludf.DUMMYFUNCTION("""COMPUTED_VALUE"""),3.0)</f>
        <v>3</v>
      </c>
      <c r="O889" s="172"/>
      <c r="P889" s="313">
        <f>IFERROR(__xludf.DUMMYFUNCTION("""COMPUTED_VALUE"""),0.0)</f>
        <v>0</v>
      </c>
      <c r="Q889" s="76" t="b">
        <f>VLOOKUP($B889,'Run Reconcile'!B$2:O1399,14,FALSE)</f>
        <v>1</v>
      </c>
      <c r="R889" s="314" t="str">
        <f t="array" ref="R889">IF($Q889, INDEX('Run Reconcile'!A$2:A1399,MATCH(B889,'Run Reconcile'!B$2:B1399,0),1),IFERROR(0/0,""))</f>
        <v>RUN-ABRM_2023-02-17_RFR-162</v>
      </c>
      <c r="S889" s="315" t="str">
        <f t="shared" ref="S889:T889" si="1783">IF(COUNTIF(W$2:W1399, $A889) &gt; 0,TRUE,IFERROR(0/0,""))</f>
        <v/>
      </c>
      <c r="T889" s="315" t="str">
        <f t="shared" si="1783"/>
        <v/>
      </c>
      <c r="U889" s="114" t="str">
        <f t="array" ref="U889">IF(ISBLANK($R889), INDEX('Run Reconcile'!A$2:A1399, MATCH($B889, 'Run Reconcile'!B$2:B1399, 0)+Z889, 1), IFERROR(0/0,""))
</f>
        <v/>
      </c>
      <c r="V889" s="316" t="str">
        <f t="shared" si="1281"/>
        <v>RUN-ABRM_2023-02-17_RFR-162</v>
      </c>
      <c r="Y889" s="317" t="str">
        <f t="shared" si="6"/>
        <v/>
      </c>
      <c r="Z889" s="83" t="str">
        <f t="shared" si="7"/>
        <v/>
      </c>
      <c r="AA889" s="83" t="str">
        <f t="shared" si="8"/>
        <v/>
      </c>
      <c r="AB889" s="83" t="str">
        <f t="shared" si="9"/>
        <v/>
      </c>
      <c r="AC889" s="18" t="str">
        <f t="shared" ref="AC889:AD889" si="1784">IF(_xlfn.ISFORMULA(S889),IFERROR(0/0,""),TRUE)</f>
        <v/>
      </c>
      <c r="AD889" s="18" t="str">
        <f t="shared" si="1784"/>
        <v/>
      </c>
      <c r="AE889" s="43"/>
      <c r="AF889" s="58" t="s">
        <v>140</v>
      </c>
      <c r="AG889" s="55" t="str">
        <f t="shared" si="11"/>
        <v/>
      </c>
    </row>
    <row r="890">
      <c r="A890" s="7" t="str">
        <f>IFERROR(__xludf.DUMMYFUNCTION("""COMPUTED_VALUE"""),"AG657")</f>
        <v>AG657</v>
      </c>
      <c r="B890" s="308">
        <f>IFERROR(__xludf.DUMMYFUNCTION("""COMPUTED_VALUE"""),44974.0)</f>
        <v>44974</v>
      </c>
      <c r="C890" s="309">
        <f>IFERROR(__xludf.DUMMYFUNCTION("""COMPUTED_VALUE"""),0.2950231481481482)</f>
        <v>0.2950231481</v>
      </c>
      <c r="D890" s="7" t="str">
        <f>IFERROR(__xludf.DUMMYFUNCTION("""COMPUTED_VALUE"""),"SpABRM367540")</f>
        <v>SpABRM367540</v>
      </c>
      <c r="E890" s="310"/>
      <c r="F890" s="310"/>
      <c r="G890" s="310" t="str">
        <f>IFERROR(__xludf.DUMMYFUNCTION("""COMPUTED_VALUE"""),"Negative")</f>
        <v>Negative</v>
      </c>
      <c r="H890" s="319" t="str">
        <f>IFERROR(__xludf.DUMMYFUNCTION("""COMPUTED_VALUE"""),"Negative")</f>
        <v>Negative</v>
      </c>
      <c r="I890" s="308">
        <f>IFERROR(__xludf.DUMMYFUNCTION("""COMPUTED_VALUE"""),44974.0)</f>
        <v>44974</v>
      </c>
      <c r="J890" s="311">
        <f>IFERROR(__xludf.DUMMYFUNCTION("""COMPUTED_VALUE"""),0.39881944444444445)</f>
        <v>0.3988194444</v>
      </c>
      <c r="K890" s="54"/>
      <c r="L890" s="7"/>
      <c r="M890" s="312"/>
      <c r="N890" s="172">
        <f>IFERROR(__xludf.DUMMYFUNCTION("""COMPUTED_VALUE"""),3.0)</f>
        <v>3</v>
      </c>
      <c r="O890" s="172"/>
      <c r="P890" s="313">
        <f>IFERROR(__xludf.DUMMYFUNCTION("""COMPUTED_VALUE"""),0.0)</f>
        <v>0</v>
      </c>
      <c r="Q890" s="76" t="b">
        <f>VLOOKUP($B890,'Run Reconcile'!B$2:O1399,14,FALSE)</f>
        <v>1</v>
      </c>
      <c r="R890" s="314" t="str">
        <f t="array" ref="R890">IF($Q890, INDEX('Run Reconcile'!A$2:A1399,MATCH(B890,'Run Reconcile'!B$2:B1399,0),1),IFERROR(0/0,""))</f>
        <v>RUN-ABRM_2023-02-17_RFR-162</v>
      </c>
      <c r="S890" s="315" t="str">
        <f t="shared" ref="S890:T890" si="1785">IF(COUNTIF(W$2:W1399, $A890) &gt; 0,TRUE,IFERROR(0/0,""))</f>
        <v/>
      </c>
      <c r="T890" s="315" t="str">
        <f t="shared" si="1785"/>
        <v/>
      </c>
      <c r="U890" s="114" t="str">
        <f t="array" ref="U890">IF(ISBLANK($R890), INDEX('Run Reconcile'!A$2:A1399, MATCH($B890, 'Run Reconcile'!B$2:B1399, 0)+Z890, 1), IFERROR(0/0,""))
</f>
        <v/>
      </c>
      <c r="V890" s="316" t="str">
        <f t="shared" si="1281"/>
        <v>RUN-ABRM_2023-02-17_RFR-162</v>
      </c>
      <c r="Y890" s="317" t="str">
        <f t="shared" si="6"/>
        <v/>
      </c>
      <c r="Z890" s="83" t="str">
        <f t="shared" si="7"/>
        <v/>
      </c>
      <c r="AA890" s="83" t="str">
        <f t="shared" si="8"/>
        <v/>
      </c>
      <c r="AB890" s="83" t="str">
        <f t="shared" si="9"/>
        <v/>
      </c>
      <c r="AC890" s="18" t="str">
        <f t="shared" ref="AC890:AD890" si="1786">IF(_xlfn.ISFORMULA(S890),IFERROR(0/0,""),TRUE)</f>
        <v/>
      </c>
      <c r="AD890" s="18" t="str">
        <f t="shared" si="1786"/>
        <v/>
      </c>
      <c r="AE890" s="43"/>
      <c r="AF890" s="58" t="s">
        <v>140</v>
      </c>
      <c r="AG890" s="55" t="str">
        <f t="shared" si="11"/>
        <v/>
      </c>
    </row>
    <row r="891">
      <c r="A891" s="7" t="str">
        <f>IFERROR(__xludf.DUMMYFUNCTION("""COMPUTED_VALUE"""),"AR472")</f>
        <v>AR472</v>
      </c>
      <c r="B891" s="308">
        <f>IFERROR(__xludf.DUMMYFUNCTION("""COMPUTED_VALUE"""),44974.0)</f>
        <v>44974</v>
      </c>
      <c r="C891" s="309">
        <f>IFERROR(__xludf.DUMMYFUNCTION("""COMPUTED_VALUE"""),0.2995486111111111)</f>
        <v>0.2995486111</v>
      </c>
      <c r="D891" s="7" t="str">
        <f>IFERROR(__xludf.DUMMYFUNCTION("""COMPUTED_VALUE"""),"SpABRM297307")</f>
        <v>SpABRM297307</v>
      </c>
      <c r="E891" s="310"/>
      <c r="F891" s="310"/>
      <c r="G891" s="310" t="str">
        <f>IFERROR(__xludf.DUMMYFUNCTION("""COMPUTED_VALUE"""),"Negative")</f>
        <v>Negative</v>
      </c>
      <c r="H891" s="319" t="str">
        <f>IFERROR(__xludf.DUMMYFUNCTION("""COMPUTED_VALUE"""),"Negative")</f>
        <v>Negative</v>
      </c>
      <c r="I891" s="308">
        <f>IFERROR(__xludf.DUMMYFUNCTION("""COMPUTED_VALUE"""),44974.0)</f>
        <v>44974</v>
      </c>
      <c r="J891" s="311">
        <f>IFERROR(__xludf.DUMMYFUNCTION("""COMPUTED_VALUE"""),0.39881944444444445)</f>
        <v>0.3988194444</v>
      </c>
      <c r="K891" s="54"/>
      <c r="L891" s="7"/>
      <c r="M891" s="312"/>
      <c r="N891" s="172">
        <f>IFERROR(__xludf.DUMMYFUNCTION("""COMPUTED_VALUE"""),3.0)</f>
        <v>3</v>
      </c>
      <c r="O891" s="172"/>
      <c r="P891" s="313">
        <f>IFERROR(__xludf.DUMMYFUNCTION("""COMPUTED_VALUE"""),0.0)</f>
        <v>0</v>
      </c>
      <c r="Q891" s="76" t="b">
        <f>VLOOKUP($B891,'Run Reconcile'!B$2:O1399,14,FALSE)</f>
        <v>1</v>
      </c>
      <c r="R891" s="314" t="str">
        <f t="array" ref="R891">IF($Q891, INDEX('Run Reconcile'!A$2:A1399,MATCH(B891,'Run Reconcile'!B$2:B1399,0),1),IFERROR(0/0,""))</f>
        <v>RUN-ABRM_2023-02-17_RFR-162</v>
      </c>
      <c r="S891" s="315" t="str">
        <f t="shared" ref="S891:T891" si="1787">IF(COUNTIF(W$2:W1399, $A891) &gt; 0,TRUE,IFERROR(0/0,""))</f>
        <v/>
      </c>
      <c r="T891" s="315" t="str">
        <f t="shared" si="1787"/>
        <v/>
      </c>
      <c r="U891" s="114" t="str">
        <f t="array" ref="U891">IF(ISBLANK($R891), INDEX('Run Reconcile'!A$2:A1399, MATCH($B891, 'Run Reconcile'!B$2:B1399, 0)+Z891, 1), IFERROR(0/0,""))
</f>
        <v/>
      </c>
      <c r="V891" s="316" t="str">
        <f t="shared" si="1281"/>
        <v>RUN-ABRM_2023-02-17_RFR-162</v>
      </c>
      <c r="Y891" s="317" t="str">
        <f t="shared" si="6"/>
        <v/>
      </c>
      <c r="Z891" s="83" t="str">
        <f t="shared" si="7"/>
        <v/>
      </c>
      <c r="AA891" s="83" t="str">
        <f t="shared" si="8"/>
        <v/>
      </c>
      <c r="AB891" s="83" t="str">
        <f t="shared" si="9"/>
        <v/>
      </c>
      <c r="AC891" s="18" t="str">
        <f t="shared" ref="AC891:AD891" si="1788">IF(_xlfn.ISFORMULA(S891),IFERROR(0/0,""),TRUE)</f>
        <v/>
      </c>
      <c r="AD891" s="18" t="str">
        <f t="shared" si="1788"/>
        <v/>
      </c>
      <c r="AE891" s="43"/>
      <c r="AF891" s="58" t="s">
        <v>140</v>
      </c>
      <c r="AG891" s="55" t="str">
        <f t="shared" si="11"/>
        <v/>
      </c>
    </row>
    <row r="892">
      <c r="A892" s="7" t="str">
        <f>IFERROR(__xludf.DUMMYFUNCTION("""COMPUTED_VALUE"""),"AR117")</f>
        <v>AR117</v>
      </c>
      <c r="B892" s="308">
        <f>IFERROR(__xludf.DUMMYFUNCTION("""COMPUTED_VALUE"""),44974.0)</f>
        <v>44974</v>
      </c>
      <c r="C892" s="309">
        <f>IFERROR(__xludf.DUMMYFUNCTION("""COMPUTED_VALUE"""),0.31449074074074074)</f>
        <v>0.3144907407</v>
      </c>
      <c r="D892" s="7" t="str">
        <f>IFERROR(__xludf.DUMMYFUNCTION("""COMPUTED_VALUE"""),"SpABRM655136")</f>
        <v>SpABRM655136</v>
      </c>
      <c r="E892" s="310"/>
      <c r="F892" s="310"/>
      <c r="G892" s="310" t="str">
        <f>IFERROR(__xludf.DUMMYFUNCTION("""COMPUTED_VALUE"""),"Negative")</f>
        <v>Negative</v>
      </c>
      <c r="H892" s="319" t="str">
        <f>IFERROR(__xludf.DUMMYFUNCTION("""COMPUTED_VALUE"""),"Negative")</f>
        <v>Negative</v>
      </c>
      <c r="I892" s="308">
        <f>IFERROR(__xludf.DUMMYFUNCTION("""COMPUTED_VALUE"""),44974.0)</f>
        <v>44974</v>
      </c>
      <c r="J892" s="311">
        <f>IFERROR(__xludf.DUMMYFUNCTION("""COMPUTED_VALUE"""),0.39883101851851854)</f>
        <v>0.3988310185</v>
      </c>
      <c r="K892" s="54"/>
      <c r="L892" s="7"/>
      <c r="M892" s="312"/>
      <c r="N892" s="172">
        <f>IFERROR(__xludf.DUMMYFUNCTION("""COMPUTED_VALUE"""),1.0)</f>
        <v>1</v>
      </c>
      <c r="O892" s="172"/>
      <c r="P892" s="313">
        <f>IFERROR(__xludf.DUMMYFUNCTION("""COMPUTED_VALUE"""),0.0)</f>
        <v>0</v>
      </c>
      <c r="Q892" s="76" t="b">
        <f>VLOOKUP($B892,'Run Reconcile'!B$2:O1399,14,FALSE)</f>
        <v>1</v>
      </c>
      <c r="R892" s="314" t="str">
        <f t="array" ref="R892">IF($Q892, INDEX('Run Reconcile'!A$2:A1399,MATCH(B892,'Run Reconcile'!B$2:B1399,0),1),IFERROR(0/0,""))</f>
        <v>RUN-ABRM_2023-02-17_RFR-162</v>
      </c>
      <c r="S892" s="315" t="str">
        <f t="shared" ref="S892:T892" si="1789">IF(COUNTIF(W$2:W1399, $A892) &gt; 0,TRUE,IFERROR(0/0,""))</f>
        <v/>
      </c>
      <c r="T892" s="315" t="str">
        <f t="shared" si="1789"/>
        <v/>
      </c>
      <c r="U892" s="114" t="str">
        <f t="array" ref="U892">IF(ISBLANK($R892), INDEX('Run Reconcile'!A$2:A1399, MATCH($B892, 'Run Reconcile'!B$2:B1399, 0)+Z892, 1), IFERROR(0/0,""))
</f>
        <v/>
      </c>
      <c r="V892" s="316" t="str">
        <f t="shared" si="1281"/>
        <v>RUN-ABRM_2023-02-17_RFR-162</v>
      </c>
      <c r="Y892" s="317" t="str">
        <f t="shared" si="6"/>
        <v/>
      </c>
      <c r="Z892" s="83" t="str">
        <f t="shared" si="7"/>
        <v/>
      </c>
      <c r="AA892" s="83" t="str">
        <f t="shared" si="8"/>
        <v/>
      </c>
      <c r="AB892" s="83" t="str">
        <f t="shared" si="9"/>
        <v/>
      </c>
      <c r="AC892" s="18" t="str">
        <f t="shared" ref="AC892:AD892" si="1790">IF(_xlfn.ISFORMULA(S892),IFERROR(0/0,""),TRUE)</f>
        <v/>
      </c>
      <c r="AD892" s="18" t="str">
        <f t="shared" si="1790"/>
        <v/>
      </c>
      <c r="AE892" s="43"/>
      <c r="AF892" s="58" t="s">
        <v>140</v>
      </c>
      <c r="AG892" s="55" t="str">
        <f t="shared" si="11"/>
        <v/>
      </c>
    </row>
    <row r="893">
      <c r="A893" s="7" t="str">
        <f>IFERROR(__xludf.DUMMYFUNCTION("""COMPUTED_VALUE"""),"AJ9715")</f>
        <v>AJ9715</v>
      </c>
      <c r="B893" s="308">
        <f>IFERROR(__xludf.DUMMYFUNCTION("""COMPUTED_VALUE"""),44974.0)</f>
        <v>44974</v>
      </c>
      <c r="C893" s="309">
        <f>IFERROR(__xludf.DUMMYFUNCTION("""COMPUTED_VALUE"""),0.32633101851851853)</f>
        <v>0.3263310185</v>
      </c>
      <c r="D893" s="7" t="str">
        <f>IFERROR(__xludf.DUMMYFUNCTION("""COMPUTED_VALUE"""),"SpABRM814022")</f>
        <v>SpABRM814022</v>
      </c>
      <c r="E893" s="310"/>
      <c r="F893" s="310"/>
      <c r="G893" s="310" t="str">
        <f>IFERROR(__xludf.DUMMYFUNCTION("""COMPUTED_VALUE"""),"Negative")</f>
        <v>Negative</v>
      </c>
      <c r="H893" s="319" t="str">
        <f>IFERROR(__xludf.DUMMYFUNCTION("""COMPUTED_VALUE"""),"Negative")</f>
        <v>Negative</v>
      </c>
      <c r="I893" s="308">
        <f>IFERROR(__xludf.DUMMYFUNCTION("""COMPUTED_VALUE"""),44974.0)</f>
        <v>44974</v>
      </c>
      <c r="J893" s="311">
        <f>IFERROR(__xludf.DUMMYFUNCTION("""COMPUTED_VALUE"""),0.3988425925925926)</f>
        <v>0.3988425926</v>
      </c>
      <c r="K893" s="54"/>
      <c r="L893" s="7"/>
      <c r="M893" s="312"/>
      <c r="N893" s="172">
        <f>IFERROR(__xludf.DUMMYFUNCTION("""COMPUTED_VALUE"""),1.0)</f>
        <v>1</v>
      </c>
      <c r="O893" s="172"/>
      <c r="P893" s="313">
        <f>IFERROR(__xludf.DUMMYFUNCTION("""COMPUTED_VALUE"""),0.0)</f>
        <v>0</v>
      </c>
      <c r="Q893" s="76" t="b">
        <f>VLOOKUP($B893,'Run Reconcile'!B$2:O1399,14,FALSE)</f>
        <v>1</v>
      </c>
      <c r="R893" s="314" t="str">
        <f t="array" ref="R893">IF($Q893, INDEX('Run Reconcile'!A$2:A1399,MATCH(B893,'Run Reconcile'!B$2:B1399,0),1),IFERROR(0/0,""))</f>
        <v>RUN-ABRM_2023-02-17_RFR-162</v>
      </c>
      <c r="S893" s="315" t="str">
        <f t="shared" ref="S893:T893" si="1791">IF(COUNTIF(W$2:W1399, $A893) &gt; 0,TRUE,IFERROR(0/0,""))</f>
        <v/>
      </c>
      <c r="T893" s="315" t="str">
        <f t="shared" si="1791"/>
        <v/>
      </c>
      <c r="U893" s="114" t="str">
        <f t="array" ref="U893">IF(ISBLANK($R893), INDEX('Run Reconcile'!A$2:A1399, MATCH($B893, 'Run Reconcile'!B$2:B1399, 0)+Z893, 1), IFERROR(0/0,""))
</f>
        <v/>
      </c>
      <c r="V893" s="316" t="str">
        <f t="shared" si="1281"/>
        <v>RUN-ABRM_2023-02-17_RFR-162</v>
      </c>
      <c r="Y893" s="317" t="str">
        <f t="shared" si="6"/>
        <v/>
      </c>
      <c r="Z893" s="83" t="str">
        <f t="shared" si="7"/>
        <v/>
      </c>
      <c r="AA893" s="83" t="str">
        <f t="shared" si="8"/>
        <v/>
      </c>
      <c r="AB893" s="83" t="str">
        <f t="shared" si="9"/>
        <v/>
      </c>
      <c r="AC893" s="18" t="str">
        <f t="shared" ref="AC893:AD893" si="1792">IF(_xlfn.ISFORMULA(S893),IFERROR(0/0,""),TRUE)</f>
        <v/>
      </c>
      <c r="AD893" s="18" t="str">
        <f t="shared" si="1792"/>
        <v/>
      </c>
      <c r="AE893" s="43"/>
      <c r="AF893" s="58" t="s">
        <v>140</v>
      </c>
      <c r="AG893" s="55" t="str">
        <f t="shared" si="11"/>
        <v/>
      </c>
    </row>
    <row r="894">
      <c r="A894" s="7" t="str">
        <f>IFERROR(__xludf.DUMMYFUNCTION("""COMPUTED_VALUE"""),"AJ8084")</f>
        <v>AJ8084</v>
      </c>
      <c r="B894" s="308">
        <f>IFERROR(__xludf.DUMMYFUNCTION("""COMPUTED_VALUE"""),44974.0)</f>
        <v>44974</v>
      </c>
      <c r="C894" s="309">
        <f>IFERROR(__xludf.DUMMYFUNCTION("""COMPUTED_VALUE"""),0.3275462962962963)</f>
        <v>0.3275462963</v>
      </c>
      <c r="D894" s="7" t="str">
        <f>IFERROR(__xludf.DUMMYFUNCTION("""COMPUTED_VALUE"""),"SpABRM655136")</f>
        <v>SpABRM655136</v>
      </c>
      <c r="E894" s="310"/>
      <c r="F894" s="310"/>
      <c r="G894" s="310" t="str">
        <f>IFERROR(__xludf.DUMMYFUNCTION("""COMPUTED_VALUE"""),"Negative")</f>
        <v>Negative</v>
      </c>
      <c r="H894" s="319" t="str">
        <f>IFERROR(__xludf.DUMMYFUNCTION("""COMPUTED_VALUE"""),"Negative")</f>
        <v>Negative</v>
      </c>
      <c r="I894" s="308">
        <f>IFERROR(__xludf.DUMMYFUNCTION("""COMPUTED_VALUE"""),44974.0)</f>
        <v>44974</v>
      </c>
      <c r="J894" s="311">
        <f>IFERROR(__xludf.DUMMYFUNCTION("""COMPUTED_VALUE"""),0.3988541666666667)</f>
        <v>0.3988541667</v>
      </c>
      <c r="K894" s="54"/>
      <c r="L894" s="7"/>
      <c r="M894" s="312"/>
      <c r="N894" s="172">
        <f>IFERROR(__xludf.DUMMYFUNCTION("""COMPUTED_VALUE"""),1.0)</f>
        <v>1</v>
      </c>
      <c r="O894" s="172"/>
      <c r="P894" s="313">
        <f>IFERROR(__xludf.DUMMYFUNCTION("""COMPUTED_VALUE"""),0.0)</f>
        <v>0</v>
      </c>
      <c r="Q894" s="76" t="b">
        <f>VLOOKUP($B894,'Run Reconcile'!B$2:O1399,14,FALSE)</f>
        <v>1</v>
      </c>
      <c r="R894" s="314" t="str">
        <f t="array" ref="R894">IF($Q894, INDEX('Run Reconcile'!A$2:A1399,MATCH(B894,'Run Reconcile'!B$2:B1399,0),1),IFERROR(0/0,""))</f>
        <v>RUN-ABRM_2023-02-17_RFR-162</v>
      </c>
      <c r="S894" s="315" t="str">
        <f t="shared" ref="S894:T894" si="1793">IF(COUNTIF(W$2:W1399, $A894) &gt; 0,TRUE,IFERROR(0/0,""))</f>
        <v/>
      </c>
      <c r="T894" s="315" t="str">
        <f t="shared" si="1793"/>
        <v/>
      </c>
      <c r="U894" s="114" t="str">
        <f t="array" ref="U894">IF(ISBLANK($R894), INDEX('Run Reconcile'!A$2:A1399, MATCH($B894, 'Run Reconcile'!B$2:B1399, 0)+Z894, 1), IFERROR(0/0,""))
</f>
        <v/>
      </c>
      <c r="V894" s="316" t="str">
        <f t="shared" si="1281"/>
        <v>RUN-ABRM_2023-02-17_RFR-162</v>
      </c>
      <c r="Y894" s="317" t="str">
        <f t="shared" si="6"/>
        <v/>
      </c>
      <c r="Z894" s="83" t="str">
        <f t="shared" si="7"/>
        <v/>
      </c>
      <c r="AA894" s="83" t="str">
        <f t="shared" si="8"/>
        <v/>
      </c>
      <c r="AB894" s="83" t="str">
        <f t="shared" si="9"/>
        <v/>
      </c>
      <c r="AC894" s="18" t="str">
        <f t="shared" ref="AC894:AD894" si="1794">IF(_xlfn.ISFORMULA(S894),IFERROR(0/0,""),TRUE)</f>
        <v/>
      </c>
      <c r="AD894" s="18" t="str">
        <f t="shared" si="1794"/>
        <v/>
      </c>
      <c r="AE894" s="43"/>
      <c r="AF894" s="58" t="s">
        <v>140</v>
      </c>
      <c r="AG894" s="55" t="str">
        <f t="shared" si="11"/>
        <v/>
      </c>
    </row>
    <row r="895">
      <c r="A895" s="7" t="str">
        <f>IFERROR(__xludf.DUMMYFUNCTION("""COMPUTED_VALUE"""),"AE9929")</f>
        <v>AE9929</v>
      </c>
      <c r="B895" s="308">
        <f>IFERROR(__xludf.DUMMYFUNCTION("""COMPUTED_VALUE"""),44974.0)</f>
        <v>44974</v>
      </c>
      <c r="C895" s="309">
        <f>IFERROR(__xludf.DUMMYFUNCTION("""COMPUTED_VALUE"""),0.35510416666666667)</f>
        <v>0.3551041667</v>
      </c>
      <c r="D895" s="7" t="str">
        <f>IFERROR(__xludf.DUMMYFUNCTION("""COMPUTED_VALUE"""),"SpABRM655136")</f>
        <v>SpABRM655136</v>
      </c>
      <c r="E895" s="310"/>
      <c r="F895" s="310"/>
      <c r="G895" s="310" t="str">
        <f>IFERROR(__xludf.DUMMYFUNCTION("""COMPUTED_VALUE"""),"Negative")</f>
        <v>Negative</v>
      </c>
      <c r="H895" s="319" t="str">
        <f>IFERROR(__xludf.DUMMYFUNCTION("""COMPUTED_VALUE"""),"Negative")</f>
        <v>Negative</v>
      </c>
      <c r="I895" s="308">
        <f>IFERROR(__xludf.DUMMYFUNCTION("""COMPUTED_VALUE"""),44974.0)</f>
        <v>44974</v>
      </c>
      <c r="J895" s="311">
        <f>IFERROR(__xludf.DUMMYFUNCTION("""COMPUTED_VALUE"""),0.3988657407407407)</f>
        <v>0.3988657407</v>
      </c>
      <c r="K895" s="54"/>
      <c r="L895" s="7"/>
      <c r="M895" s="312"/>
      <c r="N895" s="172">
        <f>IFERROR(__xludf.DUMMYFUNCTION("""COMPUTED_VALUE"""),1.0)</f>
        <v>1</v>
      </c>
      <c r="O895" s="172"/>
      <c r="P895" s="313">
        <f>IFERROR(__xludf.DUMMYFUNCTION("""COMPUTED_VALUE"""),0.0)</f>
        <v>0</v>
      </c>
      <c r="Q895" s="76" t="b">
        <f>VLOOKUP($B895,'Run Reconcile'!B$2:O1399,14,FALSE)</f>
        <v>1</v>
      </c>
      <c r="R895" s="314" t="str">
        <f t="array" ref="R895">IF($Q895, INDEX('Run Reconcile'!A$2:A1399,MATCH(B895,'Run Reconcile'!B$2:B1399,0),1),IFERROR(0/0,""))</f>
        <v>RUN-ABRM_2023-02-17_RFR-162</v>
      </c>
      <c r="S895" s="315" t="str">
        <f t="shared" ref="S895:T895" si="1795">IF(COUNTIF(W$2:W1399, $A895) &gt; 0,TRUE,IFERROR(0/0,""))</f>
        <v/>
      </c>
      <c r="T895" s="315" t="str">
        <f t="shared" si="1795"/>
        <v/>
      </c>
      <c r="U895" s="114" t="str">
        <f t="array" ref="U895">IF(ISBLANK($R895), INDEX('Run Reconcile'!A$2:A1399, MATCH($B895, 'Run Reconcile'!B$2:B1399, 0)+Z895, 1), IFERROR(0/0,""))
</f>
        <v/>
      </c>
      <c r="V895" s="316" t="str">
        <f t="shared" si="1281"/>
        <v>RUN-ABRM_2023-02-17_RFR-162</v>
      </c>
      <c r="Y895" s="317" t="str">
        <f t="shared" si="6"/>
        <v/>
      </c>
      <c r="Z895" s="83" t="str">
        <f t="shared" si="7"/>
        <v/>
      </c>
      <c r="AA895" s="83" t="str">
        <f t="shared" si="8"/>
        <v/>
      </c>
      <c r="AB895" s="83" t="str">
        <f t="shared" si="9"/>
        <v/>
      </c>
      <c r="AC895" s="18" t="str">
        <f t="shared" ref="AC895:AD895" si="1796">IF(_xlfn.ISFORMULA(S895),IFERROR(0/0,""),TRUE)</f>
        <v/>
      </c>
      <c r="AD895" s="18" t="str">
        <f t="shared" si="1796"/>
        <v/>
      </c>
      <c r="AE895" s="43"/>
      <c r="AF895" s="58" t="s">
        <v>140</v>
      </c>
      <c r="AG895" s="55" t="str">
        <f t="shared" si="11"/>
        <v/>
      </c>
    </row>
    <row r="896">
      <c r="A896" s="7" t="str">
        <f>IFERROR(__xludf.DUMMYFUNCTION("""COMPUTED_VALUE"""),"AR1370")</f>
        <v>AR1370</v>
      </c>
      <c r="B896" s="308">
        <f>IFERROR(__xludf.DUMMYFUNCTION("""COMPUTED_VALUE"""),44977.0)</f>
        <v>44977</v>
      </c>
      <c r="C896" s="309">
        <f>IFERROR(__xludf.DUMMYFUNCTION("""COMPUTED_VALUE"""),0.25753472222222223)</f>
        <v>0.2575347222</v>
      </c>
      <c r="D896" s="7" t="str">
        <f>IFERROR(__xludf.DUMMYFUNCTION("""COMPUTED_VALUE"""),"SpABRM454310")</f>
        <v>SpABRM454310</v>
      </c>
      <c r="E896" s="310"/>
      <c r="F896" s="310"/>
      <c r="G896" s="310" t="str">
        <f>IFERROR(__xludf.DUMMYFUNCTION("""COMPUTED_VALUE"""),"Negative")</f>
        <v>Negative</v>
      </c>
      <c r="H896" s="319" t="str">
        <f>IFERROR(__xludf.DUMMYFUNCTION("""COMPUTED_VALUE"""),"Negative")</f>
        <v>Negative</v>
      </c>
      <c r="I896" s="308">
        <f>IFERROR(__xludf.DUMMYFUNCTION("""COMPUTED_VALUE"""),44977.0)</f>
        <v>44977</v>
      </c>
      <c r="J896" s="311">
        <f>IFERROR(__xludf.DUMMYFUNCTION("""COMPUTED_VALUE"""),0.3999537037037037)</f>
        <v>0.3999537037</v>
      </c>
      <c r="K896" s="54"/>
      <c r="L896" s="7"/>
      <c r="M896" s="312"/>
      <c r="N896" s="172">
        <f>IFERROR(__xludf.DUMMYFUNCTION("""COMPUTED_VALUE"""),3.0)</f>
        <v>3</v>
      </c>
      <c r="O896" s="172"/>
      <c r="P896" s="313">
        <f>IFERROR(__xludf.DUMMYFUNCTION("""COMPUTED_VALUE"""),0.0)</f>
        <v>0</v>
      </c>
      <c r="Q896" s="76" t="b">
        <f>VLOOKUP($B896,'Run Reconcile'!B$2:O1399,14,FALSE)</f>
        <v>1</v>
      </c>
      <c r="R896" s="314" t="str">
        <f t="array" ref="R896">IF($Q896, INDEX('Run Reconcile'!A$2:A1399,MATCH(B896,'Run Reconcile'!B$2:B1399,0),1),IFERROR(0/0,""))</f>
        <v>RUN-ABRM_2023-02-20_RFR-163</v>
      </c>
      <c r="S896" s="315" t="str">
        <f t="shared" ref="S896:T896" si="1797">IF(COUNTIF(W$2:W1399, $A896) &gt; 0,TRUE,IFERROR(0/0,""))</f>
        <v/>
      </c>
      <c r="T896" s="315" t="str">
        <f t="shared" si="1797"/>
        <v/>
      </c>
      <c r="U896" s="114" t="str">
        <f t="array" ref="U896">IF(ISBLANK($R896), INDEX('Run Reconcile'!A$2:A1399, MATCH($B896, 'Run Reconcile'!B$2:B1399, 0)+Z896, 1), IFERROR(0/0,""))
</f>
        <v/>
      </c>
      <c r="V896" s="316" t="str">
        <f t="shared" si="1281"/>
        <v>RUN-ABRM_2023-02-20_RFR-163</v>
      </c>
      <c r="Y896" s="317" t="str">
        <f t="shared" si="6"/>
        <v/>
      </c>
      <c r="Z896" s="83" t="str">
        <f t="shared" si="7"/>
        <v/>
      </c>
      <c r="AA896" s="83" t="str">
        <f t="shared" si="8"/>
        <v/>
      </c>
      <c r="AB896" s="83" t="str">
        <f t="shared" si="9"/>
        <v/>
      </c>
      <c r="AC896" s="18" t="str">
        <f t="shared" ref="AC896:AD896" si="1798">IF(_xlfn.ISFORMULA(S896),IFERROR(0/0,""),TRUE)</f>
        <v/>
      </c>
      <c r="AD896" s="18" t="str">
        <f t="shared" si="1798"/>
        <v/>
      </c>
      <c r="AE896" s="43"/>
      <c r="AF896" s="58" t="s">
        <v>141</v>
      </c>
      <c r="AG896" s="55" t="str">
        <f t="shared" si="11"/>
        <v/>
      </c>
    </row>
    <row r="897">
      <c r="A897" s="7" t="str">
        <f>IFERROR(__xludf.DUMMYFUNCTION("""COMPUTED_VALUE"""),"AR174")</f>
        <v>AR174</v>
      </c>
      <c r="B897" s="308">
        <f>IFERROR(__xludf.DUMMYFUNCTION("""COMPUTED_VALUE"""),44977.0)</f>
        <v>44977</v>
      </c>
      <c r="C897" s="309">
        <f>IFERROR(__xludf.DUMMYFUNCTION("""COMPUTED_VALUE"""),0.2934259259259259)</f>
        <v>0.2934259259</v>
      </c>
      <c r="D897" s="7" t="str">
        <f>IFERROR(__xludf.DUMMYFUNCTION("""COMPUTED_VALUE"""),"SpABRM128250")</f>
        <v>SpABRM128250</v>
      </c>
      <c r="E897" s="310"/>
      <c r="F897" s="310"/>
      <c r="G897" s="310" t="str">
        <f>IFERROR(__xludf.DUMMYFUNCTION("""COMPUTED_VALUE"""),"Negative")</f>
        <v>Negative</v>
      </c>
      <c r="H897" s="319" t="str">
        <f>IFERROR(__xludf.DUMMYFUNCTION("""COMPUTED_VALUE"""),"Negative")</f>
        <v>Negative</v>
      </c>
      <c r="I897" s="308">
        <f>IFERROR(__xludf.DUMMYFUNCTION("""COMPUTED_VALUE"""),44977.0)</f>
        <v>44977</v>
      </c>
      <c r="J897" s="311">
        <f>IFERROR(__xludf.DUMMYFUNCTION("""COMPUTED_VALUE"""),0.3999652777777778)</f>
        <v>0.3999652778</v>
      </c>
      <c r="K897" s="54"/>
      <c r="L897" s="7"/>
      <c r="M897" s="312"/>
      <c r="N897" s="172">
        <f>IFERROR(__xludf.DUMMYFUNCTION("""COMPUTED_VALUE"""),3.0)</f>
        <v>3</v>
      </c>
      <c r="O897" s="172"/>
      <c r="P897" s="313">
        <f>IFERROR(__xludf.DUMMYFUNCTION("""COMPUTED_VALUE"""),0.0)</f>
        <v>0</v>
      </c>
      <c r="Q897" s="76" t="b">
        <f>VLOOKUP($B897,'Run Reconcile'!B$2:O1399,14,FALSE)</f>
        <v>1</v>
      </c>
      <c r="R897" s="314" t="str">
        <f t="array" ref="R897">IF($Q897, INDEX('Run Reconcile'!A$2:A1399,MATCH(B897,'Run Reconcile'!B$2:B1399,0),1),IFERROR(0/0,""))</f>
        <v>RUN-ABRM_2023-02-20_RFR-163</v>
      </c>
      <c r="S897" s="315" t="str">
        <f t="shared" ref="S897:T897" si="1799">IF(COUNTIF(W$2:W1399, $A897) &gt; 0,TRUE,IFERROR(0/0,""))</f>
        <v/>
      </c>
      <c r="T897" s="315" t="str">
        <f t="shared" si="1799"/>
        <v/>
      </c>
      <c r="U897" s="114" t="str">
        <f t="array" ref="U897">IF(ISBLANK($R897), INDEX('Run Reconcile'!A$2:A1399, MATCH($B897, 'Run Reconcile'!B$2:B1399, 0)+Z897, 1), IFERROR(0/0,""))
</f>
        <v/>
      </c>
      <c r="V897" s="316" t="str">
        <f t="shared" si="1281"/>
        <v>RUN-ABRM_2023-02-20_RFR-163</v>
      </c>
      <c r="Y897" s="317" t="str">
        <f t="shared" si="6"/>
        <v/>
      </c>
      <c r="Z897" s="83" t="str">
        <f t="shared" si="7"/>
        <v/>
      </c>
      <c r="AA897" s="83" t="str">
        <f t="shared" si="8"/>
        <v/>
      </c>
      <c r="AB897" s="83" t="str">
        <f t="shared" si="9"/>
        <v/>
      </c>
      <c r="AC897" s="18" t="str">
        <f t="shared" ref="AC897:AD897" si="1800">IF(_xlfn.ISFORMULA(S897),IFERROR(0/0,""),TRUE)</f>
        <v/>
      </c>
      <c r="AD897" s="18" t="str">
        <f t="shared" si="1800"/>
        <v/>
      </c>
      <c r="AE897" s="43"/>
      <c r="AF897" s="58" t="s">
        <v>141</v>
      </c>
      <c r="AG897" s="55" t="str">
        <f t="shared" si="11"/>
        <v/>
      </c>
    </row>
    <row r="898">
      <c r="A898" s="7" t="str">
        <f>IFERROR(__xludf.DUMMYFUNCTION("""COMPUTED_VALUE"""),"AK9711")</f>
        <v>AK9711</v>
      </c>
      <c r="B898" s="308">
        <f>IFERROR(__xludf.DUMMYFUNCTION("""COMPUTED_VALUE"""),44977.0)</f>
        <v>44977</v>
      </c>
      <c r="C898" s="309">
        <f>IFERROR(__xludf.DUMMYFUNCTION("""COMPUTED_VALUE"""),0.2965625)</f>
        <v>0.2965625</v>
      </c>
      <c r="D898" s="7" t="str">
        <f>IFERROR(__xludf.DUMMYFUNCTION("""COMPUTED_VALUE"""),"SpABRM297307")</f>
        <v>SpABRM297307</v>
      </c>
      <c r="E898" s="310"/>
      <c r="F898" s="310"/>
      <c r="G898" s="310" t="str">
        <f>IFERROR(__xludf.DUMMYFUNCTION("""COMPUTED_VALUE"""),"Negative")</f>
        <v>Negative</v>
      </c>
      <c r="H898" s="319" t="str">
        <f>IFERROR(__xludf.DUMMYFUNCTION("""COMPUTED_VALUE"""),"Negative")</f>
        <v>Negative</v>
      </c>
      <c r="I898" s="308">
        <f>IFERROR(__xludf.DUMMYFUNCTION("""COMPUTED_VALUE"""),44977.0)</f>
        <v>44977</v>
      </c>
      <c r="J898" s="311">
        <f>IFERROR(__xludf.DUMMYFUNCTION("""COMPUTED_VALUE"""),0.39997685185185183)</f>
        <v>0.3999768519</v>
      </c>
      <c r="K898" s="54"/>
      <c r="L898" s="7"/>
      <c r="M898" s="312"/>
      <c r="N898" s="172">
        <f>IFERROR(__xludf.DUMMYFUNCTION("""COMPUTED_VALUE"""),4.0)</f>
        <v>4</v>
      </c>
      <c r="O898" s="172"/>
      <c r="P898" s="313">
        <f>IFERROR(__xludf.DUMMYFUNCTION("""COMPUTED_VALUE"""),0.0)</f>
        <v>0</v>
      </c>
      <c r="Q898" s="76" t="b">
        <f>VLOOKUP($B898,'Run Reconcile'!B$2:O1399,14,FALSE)</f>
        <v>1</v>
      </c>
      <c r="R898" s="314" t="str">
        <f t="array" ref="R898">IF($Q898, INDEX('Run Reconcile'!A$2:A1399,MATCH(B898,'Run Reconcile'!B$2:B1399,0),1),IFERROR(0/0,""))</f>
        <v>RUN-ABRM_2023-02-20_RFR-163</v>
      </c>
      <c r="S898" s="315" t="str">
        <f t="shared" ref="S898:T898" si="1801">IF(COUNTIF(W$2:W1399, $A898) &gt; 0,TRUE,IFERROR(0/0,""))</f>
        <v/>
      </c>
      <c r="T898" s="315" t="str">
        <f t="shared" si="1801"/>
        <v/>
      </c>
      <c r="U898" s="114" t="str">
        <f t="array" ref="U898">IF(ISBLANK($R898), INDEX('Run Reconcile'!A$2:A1399, MATCH($B898, 'Run Reconcile'!B$2:B1399, 0)+Z898, 1), IFERROR(0/0,""))
</f>
        <v/>
      </c>
      <c r="V898" s="316" t="str">
        <f t="shared" si="1281"/>
        <v>RUN-ABRM_2023-02-20_RFR-163</v>
      </c>
      <c r="Y898" s="317" t="str">
        <f t="shared" si="6"/>
        <v/>
      </c>
      <c r="Z898" s="83" t="str">
        <f t="shared" si="7"/>
        <v/>
      </c>
      <c r="AA898" s="83" t="str">
        <f t="shared" si="8"/>
        <v/>
      </c>
      <c r="AB898" s="83" t="str">
        <f t="shared" si="9"/>
        <v/>
      </c>
      <c r="AC898" s="18" t="str">
        <f t="shared" ref="AC898:AD898" si="1802">IF(_xlfn.ISFORMULA(S898),IFERROR(0/0,""),TRUE)</f>
        <v/>
      </c>
      <c r="AD898" s="18" t="str">
        <f t="shared" si="1802"/>
        <v/>
      </c>
      <c r="AE898" s="43"/>
      <c r="AF898" s="58" t="s">
        <v>141</v>
      </c>
      <c r="AG898" s="55" t="str">
        <f t="shared" si="11"/>
        <v/>
      </c>
    </row>
    <row r="899">
      <c r="A899" s="7" t="str">
        <f>IFERROR(__xludf.DUMMYFUNCTION("""COMPUTED_VALUE"""),"AR1210")</f>
        <v>AR1210</v>
      </c>
      <c r="B899" s="308">
        <f>IFERROR(__xludf.DUMMYFUNCTION("""COMPUTED_VALUE"""),44977.0)</f>
        <v>44977</v>
      </c>
      <c r="C899" s="309">
        <f>IFERROR(__xludf.DUMMYFUNCTION("""COMPUTED_VALUE"""),0.31851851851851853)</f>
        <v>0.3185185185</v>
      </c>
      <c r="D899" s="7" t="str">
        <f>IFERROR(__xludf.DUMMYFUNCTION("""COMPUTED_VALUE"""),"SpABRM655136")</f>
        <v>SpABRM655136</v>
      </c>
      <c r="E899" s="310"/>
      <c r="F899" s="310"/>
      <c r="G899" s="310" t="str">
        <f>IFERROR(__xludf.DUMMYFUNCTION("""COMPUTED_VALUE"""),"Negative")</f>
        <v>Negative</v>
      </c>
      <c r="H899" s="319" t="str">
        <f>IFERROR(__xludf.DUMMYFUNCTION("""COMPUTED_VALUE"""),"Negative")</f>
        <v>Negative</v>
      </c>
      <c r="I899" s="308">
        <f>IFERROR(__xludf.DUMMYFUNCTION("""COMPUTED_VALUE"""),44977.0)</f>
        <v>44977</v>
      </c>
      <c r="J899" s="311">
        <f>IFERROR(__xludf.DUMMYFUNCTION("""COMPUTED_VALUE"""),0.39997685185185183)</f>
        <v>0.3999768519</v>
      </c>
      <c r="K899" s="54"/>
      <c r="L899" s="7"/>
      <c r="M899" s="312"/>
      <c r="N899" s="172">
        <f>IFERROR(__xludf.DUMMYFUNCTION("""COMPUTED_VALUE"""),1.0)</f>
        <v>1</v>
      </c>
      <c r="O899" s="172"/>
      <c r="P899" s="313">
        <f>IFERROR(__xludf.DUMMYFUNCTION("""COMPUTED_VALUE"""),0.0)</f>
        <v>0</v>
      </c>
      <c r="Q899" s="76" t="b">
        <f>VLOOKUP($B899,'Run Reconcile'!B$2:O1399,14,FALSE)</f>
        <v>1</v>
      </c>
      <c r="R899" s="314" t="str">
        <f t="array" ref="R899">IF($Q899, INDEX('Run Reconcile'!A$2:A1399,MATCH(B899,'Run Reconcile'!B$2:B1399,0),1),IFERROR(0/0,""))</f>
        <v>RUN-ABRM_2023-02-20_RFR-163</v>
      </c>
      <c r="S899" s="315" t="str">
        <f t="shared" ref="S899:T899" si="1803">IF(COUNTIF(W$2:W1399, $A899) &gt; 0,TRUE,IFERROR(0/0,""))</f>
        <v/>
      </c>
      <c r="T899" s="315" t="str">
        <f t="shared" si="1803"/>
        <v/>
      </c>
      <c r="U899" s="114" t="str">
        <f t="array" ref="U899">IF(ISBLANK($R899), INDEX('Run Reconcile'!A$2:A1399, MATCH($B899, 'Run Reconcile'!B$2:B1399, 0)+Z899, 1), IFERROR(0/0,""))
</f>
        <v/>
      </c>
      <c r="V899" s="316" t="str">
        <f t="shared" si="1281"/>
        <v>RUN-ABRM_2023-02-20_RFR-163</v>
      </c>
      <c r="Y899" s="317" t="str">
        <f t="shared" si="6"/>
        <v/>
      </c>
      <c r="Z899" s="83" t="str">
        <f t="shared" si="7"/>
        <v/>
      </c>
      <c r="AA899" s="83" t="str">
        <f t="shared" si="8"/>
        <v/>
      </c>
      <c r="AB899" s="83" t="str">
        <f t="shared" si="9"/>
        <v/>
      </c>
      <c r="AC899" s="18" t="str">
        <f t="shared" ref="AC899:AD899" si="1804">IF(_xlfn.ISFORMULA(S899),IFERROR(0/0,""),TRUE)</f>
        <v/>
      </c>
      <c r="AD899" s="18" t="str">
        <f t="shared" si="1804"/>
        <v/>
      </c>
      <c r="AE899" s="43"/>
      <c r="AF899" s="58" t="s">
        <v>141</v>
      </c>
      <c r="AG899" s="55" t="str">
        <f t="shared" si="11"/>
        <v/>
      </c>
    </row>
    <row r="900">
      <c r="A900" s="7" t="str">
        <f>IFERROR(__xludf.DUMMYFUNCTION("""COMPUTED_VALUE"""),"AR468")</f>
        <v>AR468</v>
      </c>
      <c r="B900" s="308">
        <f>IFERROR(__xludf.DUMMYFUNCTION("""COMPUTED_VALUE"""),44977.0)</f>
        <v>44977</v>
      </c>
      <c r="C900" s="309">
        <f>IFERROR(__xludf.DUMMYFUNCTION("""COMPUTED_VALUE"""),0.31881944444444443)</f>
        <v>0.3188194444</v>
      </c>
      <c r="D900" s="7" t="str">
        <f>IFERROR(__xludf.DUMMYFUNCTION("""COMPUTED_VALUE"""),"SpABRM655136")</f>
        <v>SpABRM655136</v>
      </c>
      <c r="E900" s="310"/>
      <c r="F900" s="310"/>
      <c r="G900" s="310" t="str">
        <f>IFERROR(__xludf.DUMMYFUNCTION("""COMPUTED_VALUE"""),"Negative")</f>
        <v>Negative</v>
      </c>
      <c r="H900" s="319" t="str">
        <f>IFERROR(__xludf.DUMMYFUNCTION("""COMPUTED_VALUE"""),"Negative")</f>
        <v>Negative</v>
      </c>
      <c r="I900" s="308">
        <f>IFERROR(__xludf.DUMMYFUNCTION("""COMPUTED_VALUE"""),44977.0)</f>
        <v>44977</v>
      </c>
      <c r="J900" s="311">
        <f>IFERROR(__xludf.DUMMYFUNCTION("""COMPUTED_VALUE"""),0.39998842592592593)</f>
        <v>0.3999884259</v>
      </c>
      <c r="K900" s="54"/>
      <c r="L900" s="7"/>
      <c r="M900" s="312"/>
      <c r="N900" s="172">
        <f>IFERROR(__xludf.DUMMYFUNCTION("""COMPUTED_VALUE"""),2.0)</f>
        <v>2</v>
      </c>
      <c r="O900" s="172"/>
      <c r="P900" s="313">
        <f>IFERROR(__xludf.DUMMYFUNCTION("""COMPUTED_VALUE"""),0.0)</f>
        <v>0</v>
      </c>
      <c r="Q900" s="76" t="b">
        <f>VLOOKUP($B900,'Run Reconcile'!B$2:O1399,14,FALSE)</f>
        <v>1</v>
      </c>
      <c r="R900" s="314" t="str">
        <f t="array" ref="R900">IF($Q900, INDEX('Run Reconcile'!A$2:A1399,MATCH(B900,'Run Reconcile'!B$2:B1399,0),1),IFERROR(0/0,""))</f>
        <v>RUN-ABRM_2023-02-20_RFR-163</v>
      </c>
      <c r="S900" s="315" t="str">
        <f t="shared" ref="S900:T900" si="1805">IF(COUNTIF(W$2:W1399, $A900) &gt; 0,TRUE,IFERROR(0/0,""))</f>
        <v/>
      </c>
      <c r="T900" s="315" t="str">
        <f t="shared" si="1805"/>
        <v/>
      </c>
      <c r="U900" s="114" t="str">
        <f t="array" ref="U900">IF(ISBLANK($R900), INDEX('Run Reconcile'!A$2:A1399, MATCH($B900, 'Run Reconcile'!B$2:B1399, 0)+Z900, 1), IFERROR(0/0,""))
</f>
        <v/>
      </c>
      <c r="V900" s="316" t="str">
        <f t="shared" si="1281"/>
        <v>RUN-ABRM_2023-02-20_RFR-163</v>
      </c>
      <c r="Y900" s="317" t="str">
        <f t="shared" si="6"/>
        <v/>
      </c>
      <c r="Z900" s="83" t="str">
        <f t="shared" si="7"/>
        <v/>
      </c>
      <c r="AA900" s="83" t="str">
        <f t="shared" si="8"/>
        <v/>
      </c>
      <c r="AB900" s="83" t="str">
        <f t="shared" si="9"/>
        <v/>
      </c>
      <c r="AC900" s="18" t="str">
        <f t="shared" ref="AC900:AD900" si="1806">IF(_xlfn.ISFORMULA(S900),IFERROR(0/0,""),TRUE)</f>
        <v/>
      </c>
      <c r="AD900" s="18" t="str">
        <f t="shared" si="1806"/>
        <v/>
      </c>
      <c r="AE900" s="43"/>
      <c r="AF900" s="58" t="s">
        <v>141</v>
      </c>
      <c r="AG900" s="55" t="str">
        <f t="shared" si="11"/>
        <v/>
      </c>
    </row>
    <row r="901">
      <c r="A901" s="7" t="str">
        <f>IFERROR(__xludf.DUMMYFUNCTION("""COMPUTED_VALUE"""),"AR889")</f>
        <v>AR889</v>
      </c>
      <c r="B901" s="308">
        <f>IFERROR(__xludf.DUMMYFUNCTION("""COMPUTED_VALUE"""),44977.0)</f>
        <v>44977</v>
      </c>
      <c r="C901" s="309">
        <f>IFERROR(__xludf.DUMMYFUNCTION("""COMPUTED_VALUE"""),0.3231712962962963)</f>
        <v>0.3231712963</v>
      </c>
      <c r="D901" s="7" t="str">
        <f>IFERROR(__xludf.DUMMYFUNCTION("""COMPUTED_VALUE"""),"SpABRM655136")</f>
        <v>SpABRM655136</v>
      </c>
      <c r="E901" s="310"/>
      <c r="F901" s="310"/>
      <c r="G901" s="310" t="str">
        <f>IFERROR(__xludf.DUMMYFUNCTION("""COMPUTED_VALUE"""),"Negative")</f>
        <v>Negative</v>
      </c>
      <c r="H901" s="319" t="str">
        <f>IFERROR(__xludf.DUMMYFUNCTION("""COMPUTED_VALUE"""),"Negative")</f>
        <v>Negative</v>
      </c>
      <c r="I901" s="308">
        <f>IFERROR(__xludf.DUMMYFUNCTION("""COMPUTED_VALUE"""),44977.0)</f>
        <v>44977</v>
      </c>
      <c r="J901" s="311">
        <f>IFERROR(__xludf.DUMMYFUNCTION("""COMPUTED_VALUE"""),0.4)</f>
        <v>0.4</v>
      </c>
      <c r="K901" s="54"/>
      <c r="L901" s="7"/>
      <c r="M901" s="312"/>
      <c r="N901" s="172">
        <f>IFERROR(__xludf.DUMMYFUNCTION("""COMPUTED_VALUE"""),1.0)</f>
        <v>1</v>
      </c>
      <c r="O901" s="172"/>
      <c r="P901" s="313">
        <f>IFERROR(__xludf.DUMMYFUNCTION("""COMPUTED_VALUE"""),0.0)</f>
        <v>0</v>
      </c>
      <c r="Q901" s="76" t="b">
        <f>VLOOKUP($B901,'Run Reconcile'!B$2:O1399,14,FALSE)</f>
        <v>1</v>
      </c>
      <c r="R901" s="314" t="str">
        <f t="array" ref="R901">IF($Q901, INDEX('Run Reconcile'!A$2:A1399,MATCH(B901,'Run Reconcile'!B$2:B1399,0),1),IFERROR(0/0,""))</f>
        <v>RUN-ABRM_2023-02-20_RFR-163</v>
      </c>
      <c r="S901" s="315" t="str">
        <f t="shared" ref="S901:T901" si="1807">IF(COUNTIF(W$2:W1399, $A901) &gt; 0,TRUE,IFERROR(0/0,""))</f>
        <v/>
      </c>
      <c r="T901" s="315" t="str">
        <f t="shared" si="1807"/>
        <v/>
      </c>
      <c r="U901" s="114" t="str">
        <f t="array" ref="U901">IF(ISBLANK($R901), INDEX('Run Reconcile'!A$2:A1399, MATCH($B901, 'Run Reconcile'!B$2:B1399, 0)+Z901, 1), IFERROR(0/0,""))
</f>
        <v/>
      </c>
      <c r="V901" s="316" t="str">
        <f t="shared" si="1281"/>
        <v>RUN-ABRM_2023-02-20_RFR-163</v>
      </c>
      <c r="Y901" s="317" t="str">
        <f t="shared" si="6"/>
        <v/>
      </c>
      <c r="Z901" s="83" t="str">
        <f t="shared" si="7"/>
        <v/>
      </c>
      <c r="AA901" s="83" t="str">
        <f t="shared" si="8"/>
        <v/>
      </c>
      <c r="AB901" s="83" t="str">
        <f t="shared" si="9"/>
        <v/>
      </c>
      <c r="AC901" s="18" t="str">
        <f t="shared" ref="AC901:AD901" si="1808">IF(_xlfn.ISFORMULA(S901),IFERROR(0/0,""),TRUE)</f>
        <v/>
      </c>
      <c r="AD901" s="18" t="str">
        <f t="shared" si="1808"/>
        <v/>
      </c>
      <c r="AE901" s="43"/>
      <c r="AF901" s="58" t="s">
        <v>141</v>
      </c>
      <c r="AG901" s="55" t="str">
        <f t="shared" si="11"/>
        <v/>
      </c>
    </row>
    <row r="902">
      <c r="A902" s="7" t="str">
        <f>IFERROR(__xludf.DUMMYFUNCTION("""COMPUTED_VALUE"""),"AR149")</f>
        <v>AR149</v>
      </c>
      <c r="B902" s="308">
        <f>IFERROR(__xludf.DUMMYFUNCTION("""COMPUTED_VALUE"""),44977.0)</f>
        <v>44977</v>
      </c>
      <c r="C902" s="309">
        <f>IFERROR(__xludf.DUMMYFUNCTION("""COMPUTED_VALUE"""),0.3968171296296296)</f>
        <v>0.3968171296</v>
      </c>
      <c r="D902" s="7" t="str">
        <f>IFERROR(__xludf.DUMMYFUNCTION("""COMPUTED_VALUE"""),"SpABRM655136")</f>
        <v>SpABRM655136</v>
      </c>
      <c r="E902" s="310"/>
      <c r="F902" s="310"/>
      <c r="G902" s="310" t="str">
        <f>IFERROR(__xludf.DUMMYFUNCTION("""COMPUTED_VALUE"""),"Negative")</f>
        <v>Negative</v>
      </c>
      <c r="H902" s="319" t="str">
        <f>IFERROR(__xludf.DUMMYFUNCTION("""COMPUTED_VALUE"""),"Negative")</f>
        <v>Negative</v>
      </c>
      <c r="I902" s="308">
        <f>IFERROR(__xludf.DUMMYFUNCTION("""COMPUTED_VALUE"""),44977.0)</f>
        <v>44977</v>
      </c>
      <c r="J902" s="311">
        <f>IFERROR(__xludf.DUMMYFUNCTION("""COMPUTED_VALUE"""),0.40001157407407406)</f>
        <v>0.4000115741</v>
      </c>
      <c r="K902" s="54"/>
      <c r="L902" s="7"/>
      <c r="M902" s="312"/>
      <c r="N902" s="172">
        <f>IFERROR(__xludf.DUMMYFUNCTION("""COMPUTED_VALUE"""),3.0)</f>
        <v>3</v>
      </c>
      <c r="O902" s="172"/>
      <c r="P902" s="313">
        <f>IFERROR(__xludf.DUMMYFUNCTION("""COMPUTED_VALUE"""),0.0)</f>
        <v>0</v>
      </c>
      <c r="Q902" s="76" t="b">
        <f>VLOOKUP($B902,'Run Reconcile'!B$2:O1399,14,FALSE)</f>
        <v>1</v>
      </c>
      <c r="R902" s="314" t="str">
        <f t="array" ref="R902">IF($Q902, INDEX('Run Reconcile'!A$2:A1399,MATCH(B902,'Run Reconcile'!B$2:B1399,0),1),IFERROR(0/0,""))</f>
        <v>RUN-ABRM_2023-02-20_RFR-163</v>
      </c>
      <c r="S902" s="315" t="str">
        <f t="shared" ref="S902:T902" si="1809">IF(COUNTIF(W$2:W1399, $A902) &gt; 0,TRUE,IFERROR(0/0,""))</f>
        <v/>
      </c>
      <c r="T902" s="315" t="str">
        <f t="shared" si="1809"/>
        <v/>
      </c>
      <c r="U902" s="114" t="str">
        <f t="array" ref="U902">IF(ISBLANK($R902), INDEX('Run Reconcile'!A$2:A1399, MATCH($B902, 'Run Reconcile'!B$2:B1399, 0)+Z902, 1), IFERROR(0/0,""))
</f>
        <v/>
      </c>
      <c r="V902" s="316" t="str">
        <f t="shared" si="1281"/>
        <v>RUN-ABRM_2023-02-20_RFR-163</v>
      </c>
      <c r="Y902" s="317" t="str">
        <f t="shared" si="6"/>
        <v/>
      </c>
      <c r="Z902" s="83" t="str">
        <f t="shared" si="7"/>
        <v/>
      </c>
      <c r="AA902" s="83" t="str">
        <f t="shared" si="8"/>
        <v/>
      </c>
      <c r="AB902" s="83" t="str">
        <f t="shared" si="9"/>
        <v/>
      </c>
      <c r="AC902" s="18" t="str">
        <f t="shared" ref="AC902:AD902" si="1810">IF(_xlfn.ISFORMULA(S902),IFERROR(0/0,""),TRUE)</f>
        <v/>
      </c>
      <c r="AD902" s="18" t="str">
        <f t="shared" si="1810"/>
        <v/>
      </c>
      <c r="AE902" s="43"/>
      <c r="AF902" s="58" t="s">
        <v>141</v>
      </c>
      <c r="AG902" s="55" t="str">
        <f t="shared" si="11"/>
        <v/>
      </c>
    </row>
    <row r="903">
      <c r="A903" s="7" t="str">
        <f>IFERROR(__xludf.DUMMYFUNCTION("""COMPUTED_VALUE"""),"AR693")</f>
        <v>AR693</v>
      </c>
      <c r="B903" s="308">
        <f>IFERROR(__xludf.DUMMYFUNCTION("""COMPUTED_VALUE"""),44977.0)</f>
        <v>44977</v>
      </c>
      <c r="C903" s="309">
        <f>IFERROR(__xludf.DUMMYFUNCTION("""COMPUTED_VALUE"""),0.3972685185185185)</f>
        <v>0.3972685185</v>
      </c>
      <c r="D903" s="7" t="str">
        <f>IFERROR(__xludf.DUMMYFUNCTION("""COMPUTED_VALUE"""),"SpABRM655136")</f>
        <v>SpABRM655136</v>
      </c>
      <c r="E903" s="310"/>
      <c r="F903" s="310"/>
      <c r="G903" s="310" t="str">
        <f>IFERROR(__xludf.DUMMYFUNCTION("""COMPUTED_VALUE"""),"Negative")</f>
        <v>Negative</v>
      </c>
      <c r="H903" s="319" t="str">
        <f>IFERROR(__xludf.DUMMYFUNCTION("""COMPUTED_VALUE"""),"Negative")</f>
        <v>Negative</v>
      </c>
      <c r="I903" s="308">
        <f>IFERROR(__xludf.DUMMYFUNCTION("""COMPUTED_VALUE"""),44977.0)</f>
        <v>44977</v>
      </c>
      <c r="J903" s="311">
        <f>IFERROR(__xludf.DUMMYFUNCTION("""COMPUTED_VALUE"""),0.40002314814814816)</f>
        <v>0.4000231481</v>
      </c>
      <c r="K903" s="54"/>
      <c r="L903" s="7"/>
      <c r="M903" s="312"/>
      <c r="N903" s="172">
        <f>IFERROR(__xludf.DUMMYFUNCTION("""COMPUTED_VALUE"""),1.0)</f>
        <v>1</v>
      </c>
      <c r="O903" s="172"/>
      <c r="P903" s="313">
        <f>IFERROR(__xludf.DUMMYFUNCTION("""COMPUTED_VALUE"""),0.0)</f>
        <v>0</v>
      </c>
      <c r="Q903" s="76" t="b">
        <f>VLOOKUP($B903,'Run Reconcile'!B$2:O1399,14,FALSE)</f>
        <v>1</v>
      </c>
      <c r="R903" s="314" t="str">
        <f t="array" ref="R903">IF($Q903, INDEX('Run Reconcile'!A$2:A1399,MATCH(B903,'Run Reconcile'!B$2:B1399,0),1),IFERROR(0/0,""))</f>
        <v>RUN-ABRM_2023-02-20_RFR-163</v>
      </c>
      <c r="S903" s="315" t="str">
        <f t="shared" ref="S903:T903" si="1811">IF(COUNTIF(W$2:W1399, $A903) &gt; 0,TRUE,IFERROR(0/0,""))</f>
        <v/>
      </c>
      <c r="T903" s="315" t="str">
        <f t="shared" si="1811"/>
        <v/>
      </c>
      <c r="U903" s="114" t="str">
        <f t="array" ref="U903">IF(ISBLANK($R903), INDEX('Run Reconcile'!A$2:A1399, MATCH($B903, 'Run Reconcile'!B$2:B1399, 0)+Z903, 1), IFERROR(0/0,""))
</f>
        <v/>
      </c>
      <c r="V903" s="316" t="str">
        <f t="shared" si="1281"/>
        <v>RUN-ABRM_2023-02-20_RFR-163</v>
      </c>
      <c r="Y903" s="317" t="str">
        <f t="shared" si="6"/>
        <v/>
      </c>
      <c r="Z903" s="83" t="str">
        <f t="shared" si="7"/>
        <v/>
      </c>
      <c r="AA903" s="83" t="str">
        <f t="shared" si="8"/>
        <v/>
      </c>
      <c r="AB903" s="83" t="str">
        <f t="shared" si="9"/>
        <v/>
      </c>
      <c r="AC903" s="18" t="str">
        <f t="shared" ref="AC903:AD903" si="1812">IF(_xlfn.ISFORMULA(S903),IFERROR(0/0,""),TRUE)</f>
        <v/>
      </c>
      <c r="AD903" s="18" t="str">
        <f t="shared" si="1812"/>
        <v/>
      </c>
      <c r="AE903" s="43"/>
      <c r="AF903" s="58" t="s">
        <v>141</v>
      </c>
      <c r="AG903" s="55" t="str">
        <f t="shared" si="11"/>
        <v/>
      </c>
    </row>
    <row r="904">
      <c r="A904" s="7" t="str">
        <f>IFERROR(__xludf.DUMMYFUNCTION("""COMPUTED_VALUE"""),"AR566")</f>
        <v>AR566</v>
      </c>
      <c r="B904" s="308">
        <f>IFERROR(__xludf.DUMMYFUNCTION("""COMPUTED_VALUE"""),44977.0)</f>
        <v>44977</v>
      </c>
      <c r="C904" s="309">
        <f>IFERROR(__xludf.DUMMYFUNCTION("""COMPUTED_VALUE"""),0.39922453703703703)</f>
        <v>0.399224537</v>
      </c>
      <c r="D904" s="7" t="str">
        <f>IFERROR(__xludf.DUMMYFUNCTION("""COMPUTED_VALUE"""),"SpABRM655136")</f>
        <v>SpABRM655136</v>
      </c>
      <c r="E904" s="310"/>
      <c r="F904" s="310"/>
      <c r="G904" s="310" t="str">
        <f>IFERROR(__xludf.DUMMYFUNCTION("""COMPUTED_VALUE"""),"Negative")</f>
        <v>Negative</v>
      </c>
      <c r="H904" s="319" t="str">
        <f>IFERROR(__xludf.DUMMYFUNCTION("""COMPUTED_VALUE"""),"Negative")</f>
        <v>Negative</v>
      </c>
      <c r="I904" s="308">
        <f>IFERROR(__xludf.DUMMYFUNCTION("""COMPUTED_VALUE"""),44977.0)</f>
        <v>44977</v>
      </c>
      <c r="J904" s="311">
        <f>IFERROR(__xludf.DUMMYFUNCTION("""COMPUTED_VALUE"""),0.40002314814814816)</f>
        <v>0.4000231481</v>
      </c>
      <c r="K904" s="54"/>
      <c r="L904" s="7"/>
      <c r="M904" s="312"/>
      <c r="N904" s="172">
        <f>IFERROR(__xludf.DUMMYFUNCTION("""COMPUTED_VALUE"""),2.0)</f>
        <v>2</v>
      </c>
      <c r="O904" s="172"/>
      <c r="P904" s="313">
        <f>IFERROR(__xludf.DUMMYFUNCTION("""COMPUTED_VALUE"""),0.0)</f>
        <v>0</v>
      </c>
      <c r="Q904" s="76" t="b">
        <f>VLOOKUP($B904,'Run Reconcile'!B$2:O1399,14,FALSE)</f>
        <v>1</v>
      </c>
      <c r="R904" s="314" t="str">
        <f t="array" ref="R904">IF($Q904, INDEX('Run Reconcile'!A$2:A1399,MATCH(B904,'Run Reconcile'!B$2:B1399,0),1),IFERROR(0/0,""))</f>
        <v>RUN-ABRM_2023-02-20_RFR-163</v>
      </c>
      <c r="S904" s="315" t="str">
        <f t="shared" ref="S904:T904" si="1813">IF(COUNTIF(W$2:W1399, $A904) &gt; 0,TRUE,IFERROR(0/0,""))</f>
        <v/>
      </c>
      <c r="T904" s="315" t="str">
        <f t="shared" si="1813"/>
        <v/>
      </c>
      <c r="U904" s="114" t="str">
        <f t="array" ref="U904">IF(ISBLANK($R904), INDEX('Run Reconcile'!A$2:A1399, MATCH($B904, 'Run Reconcile'!B$2:B1399, 0)+Z904, 1), IFERROR(0/0,""))
</f>
        <v/>
      </c>
      <c r="V904" s="316" t="str">
        <f t="shared" si="1281"/>
        <v>RUN-ABRM_2023-02-20_RFR-163</v>
      </c>
      <c r="Y904" s="317" t="str">
        <f t="shared" si="6"/>
        <v/>
      </c>
      <c r="Z904" s="83" t="str">
        <f t="shared" si="7"/>
        <v/>
      </c>
      <c r="AA904" s="83" t="str">
        <f t="shared" si="8"/>
        <v/>
      </c>
      <c r="AB904" s="83" t="str">
        <f t="shared" si="9"/>
        <v/>
      </c>
      <c r="AC904" s="18" t="str">
        <f t="shared" ref="AC904:AD904" si="1814">IF(_xlfn.ISFORMULA(S904),IFERROR(0/0,""),TRUE)</f>
        <v/>
      </c>
      <c r="AD904" s="18" t="str">
        <f t="shared" si="1814"/>
        <v/>
      </c>
      <c r="AE904" s="43"/>
      <c r="AF904" s="58" t="s">
        <v>141</v>
      </c>
      <c r="AG904" s="55" t="str">
        <f t="shared" si="11"/>
        <v/>
      </c>
    </row>
    <row r="905">
      <c r="A905" s="7" t="str">
        <f>IFERROR(__xludf.DUMMYFUNCTION("""COMPUTED_VALUE"""),"AJ8566")</f>
        <v>AJ8566</v>
      </c>
      <c r="B905" s="308">
        <f>IFERROR(__xludf.DUMMYFUNCTION("""COMPUTED_VALUE"""),44978.0)</f>
        <v>44978</v>
      </c>
      <c r="C905" s="309">
        <f>IFERROR(__xludf.DUMMYFUNCTION("""COMPUTED_VALUE"""),0.26332175925925927)</f>
        <v>0.2633217593</v>
      </c>
      <c r="D905" s="7" t="str">
        <f>IFERROR(__xludf.DUMMYFUNCTION("""COMPUTED_VALUE"""),"SpABRM454310")</f>
        <v>SpABRM454310</v>
      </c>
      <c r="E905" s="310"/>
      <c r="F905" s="310"/>
      <c r="G905" s="310" t="str">
        <f>IFERROR(__xludf.DUMMYFUNCTION("""COMPUTED_VALUE"""),"Negative")</f>
        <v>Negative</v>
      </c>
      <c r="H905" s="319" t="str">
        <f>IFERROR(__xludf.DUMMYFUNCTION("""COMPUTED_VALUE"""),"Negative")</f>
        <v>Negative</v>
      </c>
      <c r="I905" s="308">
        <f>IFERROR(__xludf.DUMMYFUNCTION("""COMPUTED_VALUE"""),44978.0)</f>
        <v>44978</v>
      </c>
      <c r="J905" s="311">
        <f>IFERROR(__xludf.DUMMYFUNCTION("""COMPUTED_VALUE"""),0.392349537037037)</f>
        <v>0.392349537</v>
      </c>
      <c r="K905" s="54"/>
      <c r="L905" s="7"/>
      <c r="M905" s="312"/>
      <c r="N905" s="172">
        <f>IFERROR(__xludf.DUMMYFUNCTION("""COMPUTED_VALUE"""),2.0)</f>
        <v>2</v>
      </c>
      <c r="O905" s="172"/>
      <c r="P905" s="313">
        <f>IFERROR(__xludf.DUMMYFUNCTION("""COMPUTED_VALUE"""),0.0)</f>
        <v>0</v>
      </c>
      <c r="Q905" s="76" t="b">
        <f>VLOOKUP($B905,'Run Reconcile'!B$2:O1399,14,FALSE)</f>
        <v>1</v>
      </c>
      <c r="R905" s="314" t="str">
        <f t="array" ref="R905">IF($Q905, INDEX('Run Reconcile'!A$2:A1399,MATCH(B905,'Run Reconcile'!B$2:B1399,0),1),IFERROR(0/0,""))</f>
        <v>RUN-ABRM_2023-02-21_RFR-164</v>
      </c>
      <c r="S905" s="315" t="str">
        <f t="shared" ref="S905:T905" si="1815">IF(COUNTIF(W$2:W1399, $A905) &gt; 0,TRUE,IFERROR(0/0,""))</f>
        <v/>
      </c>
      <c r="T905" s="315" t="str">
        <f t="shared" si="1815"/>
        <v/>
      </c>
      <c r="U905" s="114" t="str">
        <f t="array" ref="U905">IF(ISBLANK($R905), INDEX('Run Reconcile'!A$2:A1399, MATCH($B905, 'Run Reconcile'!B$2:B1399, 0)+Z905, 1), IFERROR(0/0,""))
</f>
        <v/>
      </c>
      <c r="V905" s="316" t="str">
        <f t="shared" si="1281"/>
        <v>RUN-ABRM_2023-02-21_RFR-164</v>
      </c>
      <c r="Y905" s="317" t="str">
        <f t="shared" si="6"/>
        <v/>
      </c>
      <c r="Z905" s="83" t="str">
        <f t="shared" si="7"/>
        <v/>
      </c>
      <c r="AA905" s="83" t="str">
        <f t="shared" si="8"/>
        <v/>
      </c>
      <c r="AB905" s="83" t="str">
        <f t="shared" si="9"/>
        <v/>
      </c>
      <c r="AC905" s="18" t="str">
        <f t="shared" ref="AC905:AD905" si="1816">IF(_xlfn.ISFORMULA(S905),IFERROR(0/0,""),TRUE)</f>
        <v/>
      </c>
      <c r="AD905" s="18" t="str">
        <f t="shared" si="1816"/>
        <v/>
      </c>
      <c r="AE905" s="43"/>
      <c r="AF905" s="58" t="s">
        <v>142</v>
      </c>
      <c r="AG905" s="55" t="str">
        <f t="shared" si="11"/>
        <v/>
      </c>
    </row>
    <row r="906">
      <c r="A906" s="7" t="str">
        <f>IFERROR(__xludf.DUMMYFUNCTION("""COMPUTED_VALUE"""),"AR1320")</f>
        <v>AR1320</v>
      </c>
      <c r="B906" s="308">
        <f>IFERROR(__xludf.DUMMYFUNCTION("""COMPUTED_VALUE"""),44978.0)</f>
        <v>44978</v>
      </c>
      <c r="C906" s="309">
        <f>IFERROR(__xludf.DUMMYFUNCTION("""COMPUTED_VALUE"""),0.2695023148148148)</f>
        <v>0.2695023148</v>
      </c>
      <c r="D906" s="7" t="str">
        <f>IFERROR(__xludf.DUMMYFUNCTION("""COMPUTED_VALUE"""),"SpABRM297307")</f>
        <v>SpABRM297307</v>
      </c>
      <c r="E906" s="310"/>
      <c r="F906" s="310"/>
      <c r="G906" s="310" t="str">
        <f>IFERROR(__xludf.DUMMYFUNCTION("""COMPUTED_VALUE"""),"Negative")</f>
        <v>Negative</v>
      </c>
      <c r="H906" s="319" t="str">
        <f>IFERROR(__xludf.DUMMYFUNCTION("""COMPUTED_VALUE"""),"Negative")</f>
        <v>Negative</v>
      </c>
      <c r="I906" s="308">
        <f>IFERROR(__xludf.DUMMYFUNCTION("""COMPUTED_VALUE"""),44979.0)</f>
        <v>44979</v>
      </c>
      <c r="J906" s="311">
        <f>IFERROR(__xludf.DUMMYFUNCTION("""COMPUTED_VALUE"""),0.39525462962962965)</f>
        <v>0.3952546296</v>
      </c>
      <c r="K906" s="54"/>
      <c r="L906" s="7"/>
      <c r="M906" s="312"/>
      <c r="N906" s="172">
        <f>IFERROR(__xludf.DUMMYFUNCTION("""COMPUTED_VALUE"""),3.0)</f>
        <v>3</v>
      </c>
      <c r="O906" s="172"/>
      <c r="P906" s="313">
        <f>IFERROR(__xludf.DUMMYFUNCTION("""COMPUTED_VALUE"""),1.0)</f>
        <v>1</v>
      </c>
      <c r="Q906" s="76" t="b">
        <f>VLOOKUP($B906,'Run Reconcile'!B$2:O1399,14,FALSE)</f>
        <v>1</v>
      </c>
      <c r="R906" s="314" t="str">
        <f t="array" ref="R906">IF($Q906, INDEX('Run Reconcile'!A$2:A1399,MATCH(B906,'Run Reconcile'!B$2:B1399,0),1),IFERROR(0/0,""))</f>
        <v>RUN-ABRM_2023-02-21_RFR-164</v>
      </c>
      <c r="S906" s="315" t="str">
        <f t="shared" ref="S906:T906" si="1817">IF(COUNTIF(W$2:W1399, $A906) &gt; 0,TRUE,IFERROR(0/0,""))</f>
        <v/>
      </c>
      <c r="T906" s="315" t="str">
        <f t="shared" si="1817"/>
        <v/>
      </c>
      <c r="U906" s="114" t="str">
        <f t="array" ref="U906">IF(ISBLANK($R906), INDEX('Run Reconcile'!A$2:A1399, MATCH($B906, 'Run Reconcile'!B$2:B1399, 0)+Z906, 1), IFERROR(0/0,""))
</f>
        <v/>
      </c>
      <c r="V906" s="316" t="str">
        <f t="shared" si="1281"/>
        <v>RUN-ABRM_2023-02-21_RFR-164</v>
      </c>
      <c r="Y906" s="317" t="str">
        <f t="shared" si="6"/>
        <v/>
      </c>
      <c r="Z906" s="83" t="str">
        <f t="shared" si="7"/>
        <v/>
      </c>
      <c r="AA906" s="83" t="str">
        <f t="shared" si="8"/>
        <v/>
      </c>
      <c r="AB906" s="83" t="str">
        <f t="shared" si="9"/>
        <v/>
      </c>
      <c r="AC906" s="18" t="str">
        <f t="shared" ref="AC906:AD906" si="1818">IF(_xlfn.ISFORMULA(S906),IFERROR(0/0,""),TRUE)</f>
        <v/>
      </c>
      <c r="AD906" s="18" t="str">
        <f t="shared" si="1818"/>
        <v/>
      </c>
      <c r="AE906" s="43"/>
      <c r="AF906" s="58" t="s">
        <v>142</v>
      </c>
      <c r="AG906" s="55" t="str">
        <f t="shared" si="11"/>
        <v/>
      </c>
    </row>
    <row r="907">
      <c r="A907" s="7" t="str">
        <f>IFERROR(__xludf.DUMMYFUNCTION("""COMPUTED_VALUE"""),"AR1507")</f>
        <v>AR1507</v>
      </c>
      <c r="B907" s="308">
        <f>IFERROR(__xludf.DUMMYFUNCTION("""COMPUTED_VALUE"""),44978.0)</f>
        <v>44978</v>
      </c>
      <c r="C907" s="309">
        <f>IFERROR(__xludf.DUMMYFUNCTION("""COMPUTED_VALUE"""),0.26957175925925925)</f>
        <v>0.2695717593</v>
      </c>
      <c r="D907" s="7" t="str">
        <f>IFERROR(__xludf.DUMMYFUNCTION("""COMPUTED_VALUE"""),"SpABRM128250")</f>
        <v>SpABRM128250</v>
      </c>
      <c r="E907" s="310"/>
      <c r="F907" s="310"/>
      <c r="G907" s="310" t="str">
        <f>IFERROR(__xludf.DUMMYFUNCTION("""COMPUTED_VALUE"""),"Negative")</f>
        <v>Negative</v>
      </c>
      <c r="H907" s="319" t="str">
        <f>IFERROR(__xludf.DUMMYFUNCTION("""COMPUTED_VALUE"""),"Negative")</f>
        <v>Negative</v>
      </c>
      <c r="I907" s="308">
        <f>IFERROR(__xludf.DUMMYFUNCTION("""COMPUTED_VALUE"""),44978.0)</f>
        <v>44978</v>
      </c>
      <c r="J907" s="311">
        <f>IFERROR(__xludf.DUMMYFUNCTION("""COMPUTED_VALUE"""),0.3923611111111111)</f>
        <v>0.3923611111</v>
      </c>
      <c r="K907" s="54"/>
      <c r="L907" s="7"/>
      <c r="M907" s="312"/>
      <c r="N907" s="172">
        <f>IFERROR(__xludf.DUMMYFUNCTION("""COMPUTED_VALUE"""),3.0)</f>
        <v>3</v>
      </c>
      <c r="O907" s="172"/>
      <c r="P907" s="313">
        <f>IFERROR(__xludf.DUMMYFUNCTION("""COMPUTED_VALUE"""),0.0)</f>
        <v>0</v>
      </c>
      <c r="Q907" s="76" t="b">
        <f>VLOOKUP($B907,'Run Reconcile'!B$2:O1399,14,FALSE)</f>
        <v>1</v>
      </c>
      <c r="R907" s="314" t="str">
        <f t="array" ref="R907">IF($Q907, INDEX('Run Reconcile'!A$2:A1399,MATCH(B907,'Run Reconcile'!B$2:B1399,0),1),IFERROR(0/0,""))</f>
        <v>RUN-ABRM_2023-02-21_RFR-164</v>
      </c>
      <c r="S907" s="315" t="str">
        <f t="shared" ref="S907:T907" si="1819">IF(COUNTIF(W$2:W1399, $A907) &gt; 0,TRUE,IFERROR(0/0,""))</f>
        <v/>
      </c>
      <c r="T907" s="315" t="str">
        <f t="shared" si="1819"/>
        <v/>
      </c>
      <c r="U907" s="114" t="str">
        <f t="array" ref="U907">IF(ISBLANK($R907), INDEX('Run Reconcile'!A$2:A1399, MATCH($B907, 'Run Reconcile'!B$2:B1399, 0)+Z907, 1), IFERROR(0/0,""))
</f>
        <v/>
      </c>
      <c r="V907" s="316" t="str">
        <f t="shared" si="1281"/>
        <v>RUN-ABRM_2023-02-21_RFR-164</v>
      </c>
      <c r="Y907" s="317" t="str">
        <f t="shared" si="6"/>
        <v/>
      </c>
      <c r="Z907" s="83" t="str">
        <f t="shared" si="7"/>
        <v/>
      </c>
      <c r="AA907" s="83" t="str">
        <f t="shared" si="8"/>
        <v/>
      </c>
      <c r="AB907" s="83" t="str">
        <f t="shared" si="9"/>
        <v/>
      </c>
      <c r="AC907" s="18" t="str">
        <f t="shared" ref="AC907:AD907" si="1820">IF(_xlfn.ISFORMULA(S907),IFERROR(0/0,""),TRUE)</f>
        <v/>
      </c>
      <c r="AD907" s="18" t="str">
        <f t="shared" si="1820"/>
        <v/>
      </c>
      <c r="AE907" s="43"/>
      <c r="AF907" s="58" t="s">
        <v>142</v>
      </c>
      <c r="AG907" s="55" t="str">
        <f t="shared" si="11"/>
        <v/>
      </c>
    </row>
    <row r="908">
      <c r="A908" s="7" t="str">
        <f>IFERROR(__xludf.DUMMYFUNCTION("""COMPUTED_VALUE"""),"AH7333")</f>
        <v>AH7333</v>
      </c>
      <c r="B908" s="308">
        <f>IFERROR(__xludf.DUMMYFUNCTION("""COMPUTED_VALUE"""),44978.0)</f>
        <v>44978</v>
      </c>
      <c r="C908" s="309">
        <f>IFERROR(__xludf.DUMMYFUNCTION("""COMPUTED_VALUE"""),0.29280092592592594)</f>
        <v>0.2928009259</v>
      </c>
      <c r="D908" s="7" t="str">
        <f>IFERROR(__xludf.DUMMYFUNCTION("""COMPUTED_VALUE"""),"SpABRM367540")</f>
        <v>SpABRM367540</v>
      </c>
      <c r="E908" s="310"/>
      <c r="F908" s="310"/>
      <c r="G908" s="310" t="str">
        <f>IFERROR(__xludf.DUMMYFUNCTION("""COMPUTED_VALUE"""),"Negative")</f>
        <v>Negative</v>
      </c>
      <c r="H908" s="319" t="str">
        <f>IFERROR(__xludf.DUMMYFUNCTION("""COMPUTED_VALUE"""),"Negative")</f>
        <v>Negative</v>
      </c>
      <c r="I908" s="308">
        <f>IFERROR(__xludf.DUMMYFUNCTION("""COMPUTED_VALUE"""),44978.0)</f>
        <v>44978</v>
      </c>
      <c r="J908" s="311">
        <f>IFERROR(__xludf.DUMMYFUNCTION("""COMPUTED_VALUE"""),0.3923611111111111)</f>
        <v>0.3923611111</v>
      </c>
      <c r="K908" s="54"/>
      <c r="L908" s="7"/>
      <c r="M908" s="312"/>
      <c r="N908" s="172">
        <f>IFERROR(__xludf.DUMMYFUNCTION("""COMPUTED_VALUE"""),3.0)</f>
        <v>3</v>
      </c>
      <c r="O908" s="172"/>
      <c r="P908" s="313">
        <f>IFERROR(__xludf.DUMMYFUNCTION("""COMPUTED_VALUE"""),0.0)</f>
        <v>0</v>
      </c>
      <c r="Q908" s="76" t="b">
        <f>VLOOKUP($B908,'Run Reconcile'!B$2:O1399,14,FALSE)</f>
        <v>1</v>
      </c>
      <c r="R908" s="314" t="str">
        <f t="array" ref="R908">IF($Q908, INDEX('Run Reconcile'!A$2:A1399,MATCH(B908,'Run Reconcile'!B$2:B1399,0),1),IFERROR(0/0,""))</f>
        <v>RUN-ABRM_2023-02-21_RFR-164</v>
      </c>
      <c r="S908" s="315" t="str">
        <f t="shared" ref="S908:T908" si="1821">IF(COUNTIF(W$2:W1399, $A908) &gt; 0,TRUE,IFERROR(0/0,""))</f>
        <v/>
      </c>
      <c r="T908" s="315" t="str">
        <f t="shared" si="1821"/>
        <v/>
      </c>
      <c r="U908" s="114" t="str">
        <f t="array" ref="U908">IF(ISBLANK($R908), INDEX('Run Reconcile'!A$2:A1399, MATCH($B908, 'Run Reconcile'!B$2:B1399, 0)+Z908, 1), IFERROR(0/0,""))
</f>
        <v/>
      </c>
      <c r="V908" s="316" t="str">
        <f t="shared" si="1281"/>
        <v>RUN-ABRM_2023-02-21_RFR-164</v>
      </c>
      <c r="Y908" s="317" t="str">
        <f t="shared" si="6"/>
        <v/>
      </c>
      <c r="Z908" s="83" t="str">
        <f t="shared" si="7"/>
        <v/>
      </c>
      <c r="AA908" s="83" t="str">
        <f t="shared" si="8"/>
        <v/>
      </c>
      <c r="AB908" s="83" t="str">
        <f t="shared" si="9"/>
        <v/>
      </c>
      <c r="AC908" s="18" t="str">
        <f t="shared" ref="AC908:AD908" si="1822">IF(_xlfn.ISFORMULA(S908),IFERROR(0/0,""),TRUE)</f>
        <v/>
      </c>
      <c r="AD908" s="18" t="str">
        <f t="shared" si="1822"/>
        <v/>
      </c>
      <c r="AE908" s="43"/>
      <c r="AF908" s="58" t="s">
        <v>142</v>
      </c>
      <c r="AG908" s="55" t="str">
        <f t="shared" si="11"/>
        <v/>
      </c>
    </row>
    <row r="909">
      <c r="A909" s="7" t="str">
        <f>IFERROR(__xludf.DUMMYFUNCTION("""COMPUTED_VALUE"""),"AK9635")</f>
        <v>AK9635</v>
      </c>
      <c r="B909" s="308">
        <f>IFERROR(__xludf.DUMMYFUNCTION("""COMPUTED_VALUE"""),44978.0)</f>
        <v>44978</v>
      </c>
      <c r="C909" s="309">
        <f>IFERROR(__xludf.DUMMYFUNCTION("""COMPUTED_VALUE"""),0.3179513888888889)</f>
        <v>0.3179513889</v>
      </c>
      <c r="D909" s="7" t="str">
        <f>IFERROR(__xludf.DUMMYFUNCTION("""COMPUTED_VALUE"""),"SpABRM519188")</f>
        <v>SpABRM519188</v>
      </c>
      <c r="E909" s="310"/>
      <c r="F909" s="310"/>
      <c r="G909" s="310" t="str">
        <f>IFERROR(__xludf.DUMMYFUNCTION("""COMPUTED_VALUE"""),"Negative")</f>
        <v>Negative</v>
      </c>
      <c r="H909" s="319" t="str">
        <f>IFERROR(__xludf.DUMMYFUNCTION("""COMPUTED_VALUE"""),"Negative")</f>
        <v>Negative</v>
      </c>
      <c r="I909" s="308">
        <f>IFERROR(__xludf.DUMMYFUNCTION("""COMPUTED_VALUE"""),44978.0)</f>
        <v>44978</v>
      </c>
      <c r="J909" s="311">
        <f>IFERROR(__xludf.DUMMYFUNCTION("""COMPUTED_VALUE"""),0.3923726851851852)</f>
        <v>0.3923726852</v>
      </c>
      <c r="K909" s="54"/>
      <c r="L909" s="7"/>
      <c r="M909" s="312"/>
      <c r="N909" s="172">
        <f>IFERROR(__xludf.DUMMYFUNCTION("""COMPUTED_VALUE"""),1.0)</f>
        <v>1</v>
      </c>
      <c r="O909" s="172"/>
      <c r="P909" s="313">
        <f>IFERROR(__xludf.DUMMYFUNCTION("""COMPUTED_VALUE"""),0.0)</f>
        <v>0</v>
      </c>
      <c r="Q909" s="76" t="b">
        <f>VLOOKUP($B909,'Run Reconcile'!B$2:O1399,14,FALSE)</f>
        <v>1</v>
      </c>
      <c r="R909" s="314" t="str">
        <f t="array" ref="R909">IF($Q909, INDEX('Run Reconcile'!A$2:A1399,MATCH(B909,'Run Reconcile'!B$2:B1399,0),1),IFERROR(0/0,""))</f>
        <v>RUN-ABRM_2023-02-21_RFR-164</v>
      </c>
      <c r="S909" s="315" t="str">
        <f t="shared" ref="S909:T909" si="1823">IF(COUNTIF(W$2:W1399, $A909) &gt; 0,TRUE,IFERROR(0/0,""))</f>
        <v/>
      </c>
      <c r="T909" s="315" t="str">
        <f t="shared" si="1823"/>
        <v/>
      </c>
      <c r="U909" s="114" t="str">
        <f t="array" ref="U909">IF(ISBLANK($R909), INDEX('Run Reconcile'!A$2:A1399, MATCH($B909, 'Run Reconcile'!B$2:B1399, 0)+Z909, 1), IFERROR(0/0,""))
</f>
        <v/>
      </c>
      <c r="V909" s="316" t="str">
        <f t="shared" si="1281"/>
        <v>RUN-ABRM_2023-02-21_RFR-164</v>
      </c>
      <c r="Y909" s="317" t="str">
        <f t="shared" si="6"/>
        <v/>
      </c>
      <c r="Z909" s="83" t="str">
        <f t="shared" si="7"/>
        <v/>
      </c>
      <c r="AA909" s="83" t="str">
        <f t="shared" si="8"/>
        <v/>
      </c>
      <c r="AB909" s="83" t="str">
        <f t="shared" si="9"/>
        <v/>
      </c>
      <c r="AC909" s="18" t="str">
        <f t="shared" ref="AC909:AD909" si="1824">IF(_xlfn.ISFORMULA(S909),IFERROR(0/0,""),TRUE)</f>
        <v/>
      </c>
      <c r="AD909" s="18" t="str">
        <f t="shared" si="1824"/>
        <v/>
      </c>
      <c r="AE909" s="43"/>
      <c r="AF909" s="58" t="s">
        <v>142</v>
      </c>
      <c r="AG909" s="55" t="str">
        <f t="shared" si="11"/>
        <v/>
      </c>
    </row>
    <row r="910">
      <c r="A910" s="7" t="str">
        <f>IFERROR(__xludf.DUMMYFUNCTION("""COMPUTED_VALUE"""),"AR1656")</f>
        <v>AR1656</v>
      </c>
      <c r="B910" s="308">
        <f>IFERROR(__xludf.DUMMYFUNCTION("""COMPUTED_VALUE"""),44978.0)</f>
        <v>44978</v>
      </c>
      <c r="C910" s="309">
        <f>IFERROR(__xludf.DUMMYFUNCTION("""COMPUTED_VALUE"""),0.34203703703703703)</f>
        <v>0.342037037</v>
      </c>
      <c r="D910" s="7" t="str">
        <f>IFERROR(__xludf.DUMMYFUNCTION("""COMPUTED_VALUE"""),"SpABRM655136")</f>
        <v>SpABRM655136</v>
      </c>
      <c r="E910" s="310"/>
      <c r="F910" s="310"/>
      <c r="G910" s="310" t="str">
        <f>IFERROR(__xludf.DUMMYFUNCTION("""COMPUTED_VALUE"""),"Negative")</f>
        <v>Negative</v>
      </c>
      <c r="H910" s="319" t="str">
        <f>IFERROR(__xludf.DUMMYFUNCTION("""COMPUTED_VALUE"""),"Negative")</f>
        <v>Negative</v>
      </c>
      <c r="I910" s="308">
        <f>IFERROR(__xludf.DUMMYFUNCTION("""COMPUTED_VALUE"""),44978.0)</f>
        <v>44978</v>
      </c>
      <c r="J910" s="311">
        <f>IFERROR(__xludf.DUMMYFUNCTION("""COMPUTED_VALUE"""),0.39238425925925924)</f>
        <v>0.3923842593</v>
      </c>
      <c r="K910" s="54"/>
      <c r="L910" s="7"/>
      <c r="M910" s="312"/>
      <c r="N910" s="172">
        <f>IFERROR(__xludf.DUMMYFUNCTION("""COMPUTED_VALUE"""),2.0)</f>
        <v>2</v>
      </c>
      <c r="O910" s="172"/>
      <c r="P910" s="313">
        <f>IFERROR(__xludf.DUMMYFUNCTION("""COMPUTED_VALUE"""),0.0)</f>
        <v>0</v>
      </c>
      <c r="Q910" s="76" t="b">
        <f>VLOOKUP($B910,'Run Reconcile'!B$2:O1399,14,FALSE)</f>
        <v>1</v>
      </c>
      <c r="R910" s="314" t="str">
        <f t="array" ref="R910">IF($Q910, INDEX('Run Reconcile'!A$2:A1399,MATCH(B910,'Run Reconcile'!B$2:B1399,0),1),IFERROR(0/0,""))</f>
        <v>RUN-ABRM_2023-02-21_RFR-164</v>
      </c>
      <c r="S910" s="315" t="str">
        <f t="shared" ref="S910:T910" si="1825">IF(COUNTIF(W$2:W1399, $A910) &gt; 0,TRUE,IFERROR(0/0,""))</f>
        <v/>
      </c>
      <c r="T910" s="315" t="str">
        <f t="shared" si="1825"/>
        <v/>
      </c>
      <c r="U910" s="114" t="str">
        <f t="array" ref="U910">IF(ISBLANK($R910), INDEX('Run Reconcile'!A$2:A1399, MATCH($B910, 'Run Reconcile'!B$2:B1399, 0)+Z910, 1), IFERROR(0/0,""))
</f>
        <v/>
      </c>
      <c r="V910" s="316" t="str">
        <f t="shared" si="1281"/>
        <v>RUN-ABRM_2023-02-21_RFR-164</v>
      </c>
      <c r="Y910" s="317" t="str">
        <f t="shared" si="6"/>
        <v/>
      </c>
      <c r="Z910" s="83" t="str">
        <f t="shared" si="7"/>
        <v/>
      </c>
      <c r="AA910" s="83" t="str">
        <f t="shared" si="8"/>
        <v/>
      </c>
      <c r="AB910" s="83" t="str">
        <f t="shared" si="9"/>
        <v/>
      </c>
      <c r="AC910" s="18" t="str">
        <f t="shared" ref="AC910:AD910" si="1826">IF(_xlfn.ISFORMULA(S910),IFERROR(0/0,""),TRUE)</f>
        <v/>
      </c>
      <c r="AD910" s="18" t="str">
        <f t="shared" si="1826"/>
        <v/>
      </c>
      <c r="AE910" s="43"/>
      <c r="AF910" s="58" t="s">
        <v>142</v>
      </c>
      <c r="AG910" s="55" t="str">
        <f t="shared" si="11"/>
        <v/>
      </c>
    </row>
    <row r="911">
      <c r="A911" s="7" t="str">
        <f>IFERROR(__xludf.DUMMYFUNCTION("""COMPUTED_VALUE"""),"AR1598")</f>
        <v>AR1598</v>
      </c>
      <c r="B911" s="308">
        <f>IFERROR(__xludf.DUMMYFUNCTION("""COMPUTED_VALUE"""),44978.0)</f>
        <v>44978</v>
      </c>
      <c r="C911" s="309">
        <f>IFERROR(__xludf.DUMMYFUNCTION("""COMPUTED_VALUE"""),0.3429050925925926)</f>
        <v>0.3429050926</v>
      </c>
      <c r="D911" s="7" t="str">
        <f>IFERROR(__xludf.DUMMYFUNCTION("""COMPUTED_VALUE"""),"SpABRM655136")</f>
        <v>SpABRM655136</v>
      </c>
      <c r="E911" s="310"/>
      <c r="F911" s="310"/>
      <c r="G911" s="310" t="str">
        <f>IFERROR(__xludf.DUMMYFUNCTION("""COMPUTED_VALUE"""),"Negative")</f>
        <v>Negative</v>
      </c>
      <c r="H911" s="319" t="str">
        <f>IFERROR(__xludf.DUMMYFUNCTION("""COMPUTED_VALUE"""),"Negative")</f>
        <v>Negative</v>
      </c>
      <c r="I911" s="308">
        <f>IFERROR(__xludf.DUMMYFUNCTION("""COMPUTED_VALUE"""),44978.0)</f>
        <v>44978</v>
      </c>
      <c r="J911" s="311">
        <f>IFERROR(__xludf.DUMMYFUNCTION("""COMPUTED_VALUE"""),0.39238425925925924)</f>
        <v>0.3923842593</v>
      </c>
      <c r="K911" s="54"/>
      <c r="L911" s="7"/>
      <c r="M911" s="312"/>
      <c r="N911" s="172">
        <f>IFERROR(__xludf.DUMMYFUNCTION("""COMPUTED_VALUE"""),3.0)</f>
        <v>3</v>
      </c>
      <c r="O911" s="172"/>
      <c r="P911" s="313">
        <f>IFERROR(__xludf.DUMMYFUNCTION("""COMPUTED_VALUE"""),0.0)</f>
        <v>0</v>
      </c>
      <c r="Q911" s="76" t="b">
        <f>VLOOKUP($B911,'Run Reconcile'!B$2:O1399,14,FALSE)</f>
        <v>1</v>
      </c>
      <c r="R911" s="314" t="str">
        <f t="array" ref="R911">IF($Q911, INDEX('Run Reconcile'!A$2:A1399,MATCH(B911,'Run Reconcile'!B$2:B1399,0),1),IFERROR(0/0,""))</f>
        <v>RUN-ABRM_2023-02-21_RFR-164</v>
      </c>
      <c r="S911" s="315" t="str">
        <f t="shared" ref="S911:T911" si="1827">IF(COUNTIF(W$2:W1399, $A911) &gt; 0,TRUE,IFERROR(0/0,""))</f>
        <v/>
      </c>
      <c r="T911" s="315" t="str">
        <f t="shared" si="1827"/>
        <v/>
      </c>
      <c r="U911" s="114" t="str">
        <f t="array" ref="U911">IF(ISBLANK($R911), INDEX('Run Reconcile'!A$2:A1399, MATCH($B911, 'Run Reconcile'!B$2:B1399, 0)+Z911, 1), IFERROR(0/0,""))
</f>
        <v/>
      </c>
      <c r="V911" s="316" t="str">
        <f t="shared" si="1281"/>
        <v>RUN-ABRM_2023-02-21_RFR-164</v>
      </c>
      <c r="Y911" s="317" t="str">
        <f t="shared" si="6"/>
        <v/>
      </c>
      <c r="Z911" s="83" t="str">
        <f t="shared" si="7"/>
        <v/>
      </c>
      <c r="AA911" s="83" t="str">
        <f t="shared" si="8"/>
        <v/>
      </c>
      <c r="AB911" s="83" t="str">
        <f t="shared" si="9"/>
        <v/>
      </c>
      <c r="AC911" s="18" t="str">
        <f t="shared" ref="AC911:AD911" si="1828">IF(_xlfn.ISFORMULA(S911),IFERROR(0/0,""),TRUE)</f>
        <v/>
      </c>
      <c r="AD911" s="18" t="str">
        <f t="shared" si="1828"/>
        <v/>
      </c>
      <c r="AE911" s="43"/>
      <c r="AF911" s="58" t="s">
        <v>142</v>
      </c>
      <c r="AG911" s="55" t="str">
        <f t="shared" si="11"/>
        <v/>
      </c>
    </row>
    <row r="912">
      <c r="A912" s="7" t="str">
        <f>IFERROR(__xludf.DUMMYFUNCTION("""COMPUTED_VALUE"""),"AH682")</f>
        <v>AH682</v>
      </c>
      <c r="B912" s="308">
        <f>IFERROR(__xludf.DUMMYFUNCTION("""COMPUTED_VALUE"""),44979.0)</f>
        <v>44979</v>
      </c>
      <c r="C912" s="309">
        <f>IFERROR(__xludf.DUMMYFUNCTION("""COMPUTED_VALUE"""),0.2344212962962963)</f>
        <v>0.2344212963</v>
      </c>
      <c r="D912" s="7" t="str">
        <f>IFERROR(__xludf.DUMMYFUNCTION("""COMPUTED_VALUE"""),"SpABRM454310")</f>
        <v>SpABRM454310</v>
      </c>
      <c r="E912" s="310"/>
      <c r="F912" s="310"/>
      <c r="G912" s="310" t="str">
        <f>IFERROR(__xludf.DUMMYFUNCTION("""COMPUTED_VALUE"""),"Negative")</f>
        <v>Negative</v>
      </c>
      <c r="H912" s="319" t="str">
        <f>IFERROR(__xludf.DUMMYFUNCTION("""COMPUTED_VALUE"""),"Negative")</f>
        <v>Negative</v>
      </c>
      <c r="I912" s="308">
        <f>IFERROR(__xludf.DUMMYFUNCTION("""COMPUTED_VALUE"""),44979.0)</f>
        <v>44979</v>
      </c>
      <c r="J912" s="311">
        <f>IFERROR(__xludf.DUMMYFUNCTION("""COMPUTED_VALUE"""),0.39795138888888887)</f>
        <v>0.3979513889</v>
      </c>
      <c r="K912" s="54"/>
      <c r="L912" s="7"/>
      <c r="M912" s="312"/>
      <c r="N912" s="172">
        <f>IFERROR(__xludf.DUMMYFUNCTION("""COMPUTED_VALUE"""),3.0)</f>
        <v>3</v>
      </c>
      <c r="O912" s="172"/>
      <c r="P912" s="313">
        <f>IFERROR(__xludf.DUMMYFUNCTION("""COMPUTED_VALUE"""),0.0)</f>
        <v>0</v>
      </c>
      <c r="Q912" s="76" t="b">
        <f>VLOOKUP($B912,'Run Reconcile'!B$2:O1399,14,FALSE)</f>
        <v>1</v>
      </c>
      <c r="R912" s="314" t="str">
        <f t="array" ref="R912">IF($Q912, INDEX('Run Reconcile'!A$2:A1399,MATCH(B912,'Run Reconcile'!B$2:B1399,0),1),IFERROR(0/0,""))</f>
        <v>RUN-ABRM_2023-02-22_RFR-166</v>
      </c>
      <c r="S912" s="315" t="str">
        <f t="shared" ref="S912:T912" si="1829">IF(COUNTIF(W$2:W1399, $A912) &gt; 0,TRUE,IFERROR(0/0,""))</f>
        <v/>
      </c>
      <c r="T912" s="315" t="str">
        <f t="shared" si="1829"/>
        <v/>
      </c>
      <c r="U912" s="114" t="str">
        <f t="array" ref="U912">IF(ISBLANK($R912), INDEX('Run Reconcile'!A$2:A1399, MATCH($B912, 'Run Reconcile'!B$2:B1399, 0)+Z912, 1), IFERROR(0/0,""))
</f>
        <v/>
      </c>
      <c r="V912" s="316" t="str">
        <f t="shared" si="1281"/>
        <v>RUN-ABRM_2023-02-22_RFR-166</v>
      </c>
      <c r="Y912" s="317" t="str">
        <f t="shared" si="6"/>
        <v/>
      </c>
      <c r="Z912" s="83" t="str">
        <f t="shared" si="7"/>
        <v/>
      </c>
      <c r="AA912" s="83" t="str">
        <f t="shared" si="8"/>
        <v/>
      </c>
      <c r="AB912" s="83" t="str">
        <f t="shared" si="9"/>
        <v/>
      </c>
      <c r="AC912" s="18" t="str">
        <f t="shared" ref="AC912:AD912" si="1830">IF(_xlfn.ISFORMULA(S912),IFERROR(0/0,""),TRUE)</f>
        <v/>
      </c>
      <c r="AD912" s="18" t="str">
        <f t="shared" si="1830"/>
        <v/>
      </c>
      <c r="AE912" s="43"/>
      <c r="AF912" s="58" t="s">
        <v>143</v>
      </c>
      <c r="AG912" s="55" t="str">
        <f t="shared" si="11"/>
        <v/>
      </c>
    </row>
    <row r="913">
      <c r="A913" s="7" t="str">
        <f>IFERROR(__xludf.DUMMYFUNCTION("""COMPUTED_VALUE"""),"AB9969")</f>
        <v>AB9969</v>
      </c>
      <c r="B913" s="308">
        <f>IFERROR(__xludf.DUMMYFUNCTION("""COMPUTED_VALUE"""),44979.0)</f>
        <v>44979</v>
      </c>
      <c r="C913" s="309">
        <f>IFERROR(__xludf.DUMMYFUNCTION("""COMPUTED_VALUE"""),0.2770949074074074)</f>
        <v>0.2770949074</v>
      </c>
      <c r="D913" s="7" t="str">
        <f>IFERROR(__xludf.DUMMYFUNCTION("""COMPUTED_VALUE"""),"SpABRM297307")</f>
        <v>SpABRM297307</v>
      </c>
      <c r="E913" s="310"/>
      <c r="F913" s="310"/>
      <c r="G913" s="310" t="str">
        <f>IFERROR(__xludf.DUMMYFUNCTION("""COMPUTED_VALUE"""),"Negative")</f>
        <v>Negative</v>
      </c>
      <c r="H913" s="319" t="str">
        <f>IFERROR(__xludf.DUMMYFUNCTION("""COMPUTED_VALUE"""),"Negative")</f>
        <v>Negative</v>
      </c>
      <c r="I913" s="308">
        <f>IFERROR(__xludf.DUMMYFUNCTION("""COMPUTED_VALUE"""),44979.0)</f>
        <v>44979</v>
      </c>
      <c r="J913" s="311">
        <f>IFERROR(__xludf.DUMMYFUNCTION("""COMPUTED_VALUE"""),0.39796296296296296)</f>
        <v>0.397962963</v>
      </c>
      <c r="K913" s="54"/>
      <c r="L913" s="7"/>
      <c r="M913" s="312"/>
      <c r="N913" s="172">
        <f>IFERROR(__xludf.DUMMYFUNCTION("""COMPUTED_VALUE"""),3.0)</f>
        <v>3</v>
      </c>
      <c r="O913" s="172"/>
      <c r="P913" s="313">
        <f>IFERROR(__xludf.DUMMYFUNCTION("""COMPUTED_VALUE"""),0.0)</f>
        <v>0</v>
      </c>
      <c r="Q913" s="76" t="b">
        <f>VLOOKUP($B913,'Run Reconcile'!B$2:O1399,14,FALSE)</f>
        <v>1</v>
      </c>
      <c r="R913" s="314" t="str">
        <f t="array" ref="R913">IF($Q913, INDEX('Run Reconcile'!A$2:A1399,MATCH(B913,'Run Reconcile'!B$2:B1399,0),1),IFERROR(0/0,""))</f>
        <v>RUN-ABRM_2023-02-22_RFR-166</v>
      </c>
      <c r="S913" s="315" t="str">
        <f t="shared" ref="S913:T913" si="1831">IF(COUNTIF(W$2:W1399, $A913) &gt; 0,TRUE,IFERROR(0/0,""))</f>
        <v/>
      </c>
      <c r="T913" s="315" t="str">
        <f t="shared" si="1831"/>
        <v/>
      </c>
      <c r="U913" s="114" t="str">
        <f t="array" ref="U913">IF(ISBLANK($R913), INDEX('Run Reconcile'!A$2:A1399, MATCH($B913, 'Run Reconcile'!B$2:B1399, 0)+Z913, 1), IFERROR(0/0,""))
</f>
        <v/>
      </c>
      <c r="V913" s="316" t="str">
        <f t="shared" si="1281"/>
        <v>RUN-ABRM_2023-02-22_RFR-166</v>
      </c>
      <c r="Y913" s="317" t="str">
        <f t="shared" si="6"/>
        <v/>
      </c>
      <c r="Z913" s="83" t="str">
        <f t="shared" si="7"/>
        <v/>
      </c>
      <c r="AA913" s="83" t="str">
        <f t="shared" si="8"/>
        <v/>
      </c>
      <c r="AB913" s="83" t="str">
        <f t="shared" si="9"/>
        <v/>
      </c>
      <c r="AC913" s="18" t="str">
        <f t="shared" ref="AC913:AD913" si="1832">IF(_xlfn.ISFORMULA(S913),IFERROR(0/0,""),TRUE)</f>
        <v/>
      </c>
      <c r="AD913" s="18" t="str">
        <f t="shared" si="1832"/>
        <v/>
      </c>
      <c r="AE913" s="43"/>
      <c r="AF913" s="58" t="s">
        <v>143</v>
      </c>
      <c r="AG913" s="55" t="str">
        <f t="shared" si="11"/>
        <v/>
      </c>
    </row>
    <row r="914">
      <c r="A914" s="7" t="str">
        <f>IFERROR(__xludf.DUMMYFUNCTION("""COMPUTED_VALUE"""),"AR874")</f>
        <v>AR874</v>
      </c>
      <c r="B914" s="308">
        <f>IFERROR(__xludf.DUMMYFUNCTION("""COMPUTED_VALUE"""),44979.0)</f>
        <v>44979</v>
      </c>
      <c r="C914" s="309">
        <f>IFERROR(__xludf.DUMMYFUNCTION("""COMPUTED_VALUE"""),0.2816898148148148)</f>
        <v>0.2816898148</v>
      </c>
      <c r="D914" s="7" t="str">
        <f>IFERROR(__xludf.DUMMYFUNCTION("""COMPUTED_VALUE"""),"SpABRM128250")</f>
        <v>SpABRM128250</v>
      </c>
      <c r="E914" s="310"/>
      <c r="F914" s="310"/>
      <c r="G914" s="310" t="str">
        <f>IFERROR(__xludf.DUMMYFUNCTION("""COMPUTED_VALUE"""),"Negative")</f>
        <v>Negative</v>
      </c>
      <c r="H914" s="319" t="str">
        <f>IFERROR(__xludf.DUMMYFUNCTION("""COMPUTED_VALUE"""),"Negative")</f>
        <v>Negative</v>
      </c>
      <c r="I914" s="308">
        <f>IFERROR(__xludf.DUMMYFUNCTION("""COMPUTED_VALUE"""),44979.0)</f>
        <v>44979</v>
      </c>
      <c r="J914" s="311">
        <f>IFERROR(__xludf.DUMMYFUNCTION("""COMPUTED_VALUE"""),0.39796296296296296)</f>
        <v>0.397962963</v>
      </c>
      <c r="K914" s="54"/>
      <c r="L914" s="7"/>
      <c r="M914" s="312"/>
      <c r="N914" s="172">
        <f>IFERROR(__xludf.DUMMYFUNCTION("""COMPUTED_VALUE"""),3.0)</f>
        <v>3</v>
      </c>
      <c r="O914" s="172"/>
      <c r="P914" s="313">
        <f>IFERROR(__xludf.DUMMYFUNCTION("""COMPUTED_VALUE"""),0.0)</f>
        <v>0</v>
      </c>
      <c r="Q914" s="76" t="b">
        <f>VLOOKUP($B914,'Run Reconcile'!B$2:O1399,14,FALSE)</f>
        <v>1</v>
      </c>
      <c r="R914" s="314" t="str">
        <f t="array" ref="R914">IF($Q914, INDEX('Run Reconcile'!A$2:A1399,MATCH(B914,'Run Reconcile'!B$2:B1399,0),1),IFERROR(0/0,""))</f>
        <v>RUN-ABRM_2023-02-22_RFR-166</v>
      </c>
      <c r="S914" s="315" t="str">
        <f t="shared" ref="S914:T914" si="1833">IF(COUNTIF(W$2:W1399, $A914) &gt; 0,TRUE,IFERROR(0/0,""))</f>
        <v/>
      </c>
      <c r="T914" s="315" t="str">
        <f t="shared" si="1833"/>
        <v/>
      </c>
      <c r="U914" s="114" t="str">
        <f t="array" ref="U914">IF(ISBLANK($R914), INDEX('Run Reconcile'!A$2:A1399, MATCH($B914, 'Run Reconcile'!B$2:B1399, 0)+Z914, 1), IFERROR(0/0,""))
</f>
        <v/>
      </c>
      <c r="V914" s="316" t="str">
        <f t="shared" si="1281"/>
        <v>RUN-ABRM_2023-02-22_RFR-166</v>
      </c>
      <c r="Y914" s="317" t="str">
        <f t="shared" si="6"/>
        <v/>
      </c>
      <c r="Z914" s="83" t="str">
        <f t="shared" si="7"/>
        <v/>
      </c>
      <c r="AA914" s="83" t="str">
        <f t="shared" si="8"/>
        <v/>
      </c>
      <c r="AB914" s="83" t="str">
        <f t="shared" si="9"/>
        <v/>
      </c>
      <c r="AC914" s="18" t="str">
        <f t="shared" ref="AC914:AD914" si="1834">IF(_xlfn.ISFORMULA(S914),IFERROR(0/0,""),TRUE)</f>
        <v/>
      </c>
      <c r="AD914" s="18" t="str">
        <f t="shared" si="1834"/>
        <v/>
      </c>
      <c r="AE914" s="43"/>
      <c r="AF914" s="58" t="s">
        <v>143</v>
      </c>
      <c r="AG914" s="55" t="str">
        <f t="shared" si="11"/>
        <v/>
      </c>
    </row>
    <row r="915">
      <c r="A915" s="7" t="str">
        <f>IFERROR(__xludf.DUMMYFUNCTION("""COMPUTED_VALUE"""),"AR66")</f>
        <v>AR66</v>
      </c>
      <c r="B915" s="308">
        <f>IFERROR(__xludf.DUMMYFUNCTION("""COMPUTED_VALUE"""),44979.0)</f>
        <v>44979</v>
      </c>
      <c r="C915" s="309">
        <f>IFERROR(__xludf.DUMMYFUNCTION("""COMPUTED_VALUE"""),0.29856481481481484)</f>
        <v>0.2985648148</v>
      </c>
      <c r="D915" s="7" t="str">
        <f>IFERROR(__xludf.DUMMYFUNCTION("""COMPUTED_VALUE"""),"SpABRM519188")</f>
        <v>SpABRM519188</v>
      </c>
      <c r="E915" s="310"/>
      <c r="F915" s="310"/>
      <c r="G915" s="310" t="str">
        <f>IFERROR(__xludf.DUMMYFUNCTION("""COMPUTED_VALUE"""),"Negative")</f>
        <v>Negative</v>
      </c>
      <c r="H915" s="319" t="str">
        <f>IFERROR(__xludf.DUMMYFUNCTION("""COMPUTED_VALUE"""),"Negative")</f>
        <v>Negative</v>
      </c>
      <c r="I915" s="308">
        <f>IFERROR(__xludf.DUMMYFUNCTION("""COMPUTED_VALUE"""),44979.0)</f>
        <v>44979</v>
      </c>
      <c r="J915" s="311">
        <f>IFERROR(__xludf.DUMMYFUNCTION("""COMPUTED_VALUE"""),0.39797453703703706)</f>
        <v>0.397974537</v>
      </c>
      <c r="K915" s="54"/>
      <c r="L915" s="7"/>
      <c r="M915" s="312"/>
      <c r="N915" s="172">
        <f>IFERROR(__xludf.DUMMYFUNCTION("""COMPUTED_VALUE"""),1.0)</f>
        <v>1</v>
      </c>
      <c r="O915" s="172"/>
      <c r="P915" s="313">
        <f>IFERROR(__xludf.DUMMYFUNCTION("""COMPUTED_VALUE"""),0.0)</f>
        <v>0</v>
      </c>
      <c r="Q915" s="76" t="b">
        <f>VLOOKUP($B915,'Run Reconcile'!B$2:O1399,14,FALSE)</f>
        <v>1</v>
      </c>
      <c r="R915" s="314" t="str">
        <f t="array" ref="R915">IF($Q915, INDEX('Run Reconcile'!A$2:A1399,MATCH(B915,'Run Reconcile'!B$2:B1399,0),1),IFERROR(0/0,""))</f>
        <v>RUN-ABRM_2023-02-22_RFR-166</v>
      </c>
      <c r="S915" s="315" t="str">
        <f t="shared" ref="S915:T915" si="1835">IF(COUNTIF(W$2:W1399, $A915) &gt; 0,TRUE,IFERROR(0/0,""))</f>
        <v/>
      </c>
      <c r="T915" s="315" t="str">
        <f t="shared" si="1835"/>
        <v/>
      </c>
      <c r="U915" s="114" t="str">
        <f t="array" ref="U915">IF(ISBLANK($R915), INDEX('Run Reconcile'!A$2:A1399, MATCH($B915, 'Run Reconcile'!B$2:B1399, 0)+Z915, 1), IFERROR(0/0,""))
</f>
        <v/>
      </c>
      <c r="V915" s="316" t="str">
        <f t="shared" si="1281"/>
        <v>RUN-ABRM_2023-02-22_RFR-166</v>
      </c>
      <c r="Y915" s="317" t="str">
        <f t="shared" si="6"/>
        <v/>
      </c>
      <c r="Z915" s="83" t="str">
        <f t="shared" si="7"/>
        <v/>
      </c>
      <c r="AA915" s="83" t="str">
        <f t="shared" si="8"/>
        <v/>
      </c>
      <c r="AB915" s="83" t="str">
        <f t="shared" si="9"/>
        <v/>
      </c>
      <c r="AC915" s="18" t="str">
        <f t="shared" ref="AC915:AD915" si="1836">IF(_xlfn.ISFORMULA(S915),IFERROR(0/0,""),TRUE)</f>
        <v/>
      </c>
      <c r="AD915" s="18" t="str">
        <f t="shared" si="1836"/>
        <v/>
      </c>
      <c r="AE915" s="43"/>
      <c r="AF915" s="58" t="s">
        <v>143</v>
      </c>
      <c r="AG915" s="55" t="str">
        <f t="shared" si="11"/>
        <v/>
      </c>
    </row>
    <row r="916">
      <c r="A916" s="7" t="str">
        <f>IFERROR(__xludf.DUMMYFUNCTION("""COMPUTED_VALUE"""),"AR1231")</f>
        <v>AR1231</v>
      </c>
      <c r="B916" s="308">
        <f>IFERROR(__xludf.DUMMYFUNCTION("""COMPUTED_VALUE"""),44979.0)</f>
        <v>44979</v>
      </c>
      <c r="C916" s="309">
        <f>IFERROR(__xludf.DUMMYFUNCTION("""COMPUTED_VALUE"""),0.32488425925925923)</f>
        <v>0.3248842593</v>
      </c>
      <c r="D916" s="7" t="str">
        <f>IFERROR(__xludf.DUMMYFUNCTION("""COMPUTED_VALUE"""),"SpABRM655136")</f>
        <v>SpABRM655136</v>
      </c>
      <c r="E916" s="310"/>
      <c r="F916" s="310"/>
      <c r="G916" s="310" t="str">
        <f>IFERROR(__xludf.DUMMYFUNCTION("""COMPUTED_VALUE"""),"Negative")</f>
        <v>Negative</v>
      </c>
      <c r="H916" s="319" t="str">
        <f>IFERROR(__xludf.DUMMYFUNCTION("""COMPUTED_VALUE"""),"Negative")</f>
        <v>Negative</v>
      </c>
      <c r="I916" s="308">
        <f>IFERROR(__xludf.DUMMYFUNCTION("""COMPUTED_VALUE"""),44979.0)</f>
        <v>44979</v>
      </c>
      <c r="J916" s="311">
        <f>IFERROR(__xludf.DUMMYFUNCTION("""COMPUTED_VALUE"""),0.3979861111111111)</f>
        <v>0.3979861111</v>
      </c>
      <c r="K916" s="54"/>
      <c r="L916" s="7"/>
      <c r="M916" s="312"/>
      <c r="N916" s="172">
        <f>IFERROR(__xludf.DUMMYFUNCTION("""COMPUTED_VALUE"""),1.0)</f>
        <v>1</v>
      </c>
      <c r="O916" s="172"/>
      <c r="P916" s="313">
        <f>IFERROR(__xludf.DUMMYFUNCTION("""COMPUTED_VALUE"""),0.0)</f>
        <v>0</v>
      </c>
      <c r="Q916" s="76" t="b">
        <f>VLOOKUP($B916,'Run Reconcile'!B$2:O1399,14,FALSE)</f>
        <v>1</v>
      </c>
      <c r="R916" s="314" t="str">
        <f t="array" ref="R916">IF($Q916, INDEX('Run Reconcile'!A$2:A1399,MATCH(B916,'Run Reconcile'!B$2:B1399,0),1),IFERROR(0/0,""))</f>
        <v>RUN-ABRM_2023-02-22_RFR-166</v>
      </c>
      <c r="S916" s="315" t="str">
        <f t="shared" ref="S916:T916" si="1837">IF(COUNTIF(W$2:W1399, $A916) &gt; 0,TRUE,IFERROR(0/0,""))</f>
        <v/>
      </c>
      <c r="T916" s="315" t="str">
        <f t="shared" si="1837"/>
        <v/>
      </c>
      <c r="U916" s="114" t="str">
        <f t="array" ref="U916">IF(ISBLANK($R916), INDEX('Run Reconcile'!A$2:A1399, MATCH($B916, 'Run Reconcile'!B$2:B1399, 0)+Z916, 1), IFERROR(0/0,""))
</f>
        <v/>
      </c>
      <c r="V916" s="316" t="str">
        <f t="shared" si="1281"/>
        <v>RUN-ABRM_2023-02-22_RFR-166</v>
      </c>
      <c r="Y916" s="317" t="str">
        <f t="shared" si="6"/>
        <v/>
      </c>
      <c r="Z916" s="83" t="str">
        <f t="shared" si="7"/>
        <v/>
      </c>
      <c r="AA916" s="83" t="str">
        <f t="shared" si="8"/>
        <v/>
      </c>
      <c r="AB916" s="83" t="str">
        <f t="shared" si="9"/>
        <v/>
      </c>
      <c r="AC916" s="18" t="str">
        <f t="shared" ref="AC916:AD916" si="1838">IF(_xlfn.ISFORMULA(S916),IFERROR(0/0,""),TRUE)</f>
        <v/>
      </c>
      <c r="AD916" s="18" t="str">
        <f t="shared" si="1838"/>
        <v/>
      </c>
      <c r="AE916" s="43"/>
      <c r="AF916" s="58" t="s">
        <v>143</v>
      </c>
      <c r="AG916" s="55" t="str">
        <f t="shared" si="11"/>
        <v/>
      </c>
    </row>
    <row r="917">
      <c r="A917" s="7" t="str">
        <f>IFERROR(__xludf.DUMMYFUNCTION("""COMPUTED_VALUE"""),"AR1798")</f>
        <v>AR1798</v>
      </c>
      <c r="B917" s="308">
        <f>IFERROR(__xludf.DUMMYFUNCTION("""COMPUTED_VALUE"""),44979.0)</f>
        <v>44979</v>
      </c>
      <c r="C917" s="309">
        <f>IFERROR(__xludf.DUMMYFUNCTION("""COMPUTED_VALUE"""),0.3255324074074074)</f>
        <v>0.3255324074</v>
      </c>
      <c r="D917" s="7" t="str">
        <f>IFERROR(__xludf.DUMMYFUNCTION("""COMPUTED_VALUE"""),"SpABRM655136")</f>
        <v>SpABRM655136</v>
      </c>
      <c r="E917" s="310"/>
      <c r="F917" s="310"/>
      <c r="G917" s="310" t="str">
        <f>IFERROR(__xludf.DUMMYFUNCTION("""COMPUTED_VALUE"""),"Negative")</f>
        <v>Negative</v>
      </c>
      <c r="H917" s="319" t="str">
        <f>IFERROR(__xludf.DUMMYFUNCTION("""COMPUTED_VALUE"""),"Negative")</f>
        <v>Negative</v>
      </c>
      <c r="I917" s="308">
        <f>IFERROR(__xludf.DUMMYFUNCTION("""COMPUTED_VALUE"""),44979.0)</f>
        <v>44979</v>
      </c>
      <c r="J917" s="311">
        <f>IFERROR(__xludf.DUMMYFUNCTION("""COMPUTED_VALUE"""),0.3979976851851852)</f>
        <v>0.3979976852</v>
      </c>
      <c r="K917" s="54"/>
      <c r="L917" s="7"/>
      <c r="M917" s="312"/>
      <c r="N917" s="172">
        <f>IFERROR(__xludf.DUMMYFUNCTION("""COMPUTED_VALUE"""),2.0)</f>
        <v>2</v>
      </c>
      <c r="O917" s="172"/>
      <c r="P917" s="313">
        <f>IFERROR(__xludf.DUMMYFUNCTION("""COMPUTED_VALUE"""),0.0)</f>
        <v>0</v>
      </c>
      <c r="Q917" s="76" t="b">
        <f>VLOOKUP($B917,'Run Reconcile'!B$2:O1399,14,FALSE)</f>
        <v>1</v>
      </c>
      <c r="R917" s="314" t="str">
        <f t="array" ref="R917">IF($Q917, INDEX('Run Reconcile'!A$2:A1399,MATCH(B917,'Run Reconcile'!B$2:B1399,0),1),IFERROR(0/0,""))</f>
        <v>RUN-ABRM_2023-02-22_RFR-166</v>
      </c>
      <c r="S917" s="315" t="str">
        <f t="shared" ref="S917:T917" si="1839">IF(COUNTIF(W$2:W1399, $A917) &gt; 0,TRUE,IFERROR(0/0,""))</f>
        <v/>
      </c>
      <c r="T917" s="315" t="str">
        <f t="shared" si="1839"/>
        <v/>
      </c>
      <c r="U917" s="114" t="str">
        <f t="array" ref="U917">IF(ISBLANK($R917), INDEX('Run Reconcile'!A$2:A1399, MATCH($B917, 'Run Reconcile'!B$2:B1399, 0)+Z917, 1), IFERROR(0/0,""))
</f>
        <v/>
      </c>
      <c r="V917" s="316" t="str">
        <f t="shared" si="1281"/>
        <v>RUN-ABRM_2023-02-22_RFR-166</v>
      </c>
      <c r="Y917" s="317" t="str">
        <f t="shared" si="6"/>
        <v/>
      </c>
      <c r="Z917" s="83" t="str">
        <f t="shared" si="7"/>
        <v/>
      </c>
      <c r="AA917" s="83" t="str">
        <f t="shared" si="8"/>
        <v/>
      </c>
      <c r="AB917" s="83" t="str">
        <f t="shared" si="9"/>
        <v/>
      </c>
      <c r="AC917" s="18" t="str">
        <f t="shared" ref="AC917:AD917" si="1840">IF(_xlfn.ISFORMULA(S917),IFERROR(0/0,""),TRUE)</f>
        <v/>
      </c>
      <c r="AD917" s="18" t="str">
        <f t="shared" si="1840"/>
        <v/>
      </c>
      <c r="AE917" s="43"/>
      <c r="AF917" s="58" t="s">
        <v>143</v>
      </c>
      <c r="AG917" s="55" t="str">
        <f t="shared" si="11"/>
        <v/>
      </c>
    </row>
    <row r="918">
      <c r="A918" s="7" t="str">
        <f>IFERROR(__xludf.DUMMYFUNCTION("""COMPUTED_VALUE"""),"AR206")</f>
        <v>AR206</v>
      </c>
      <c r="B918" s="308">
        <f>IFERROR(__xludf.DUMMYFUNCTION("""COMPUTED_VALUE"""),44979.0)</f>
        <v>44979</v>
      </c>
      <c r="C918" s="309">
        <f>IFERROR(__xludf.DUMMYFUNCTION("""COMPUTED_VALUE"""),0.32611111111111113)</f>
        <v>0.3261111111</v>
      </c>
      <c r="D918" s="7" t="str">
        <f>IFERROR(__xludf.DUMMYFUNCTION("""COMPUTED_VALUE"""),"SpABRM814022")</f>
        <v>SpABRM814022</v>
      </c>
      <c r="E918" s="310"/>
      <c r="F918" s="310"/>
      <c r="G918" s="310" t="str">
        <f>IFERROR(__xludf.DUMMYFUNCTION("""COMPUTED_VALUE"""),"Negative")</f>
        <v>Negative</v>
      </c>
      <c r="H918" s="319" t="str">
        <f>IFERROR(__xludf.DUMMYFUNCTION("""COMPUTED_VALUE"""),"Negative")</f>
        <v>Negative</v>
      </c>
      <c r="I918" s="308">
        <f>IFERROR(__xludf.DUMMYFUNCTION("""COMPUTED_VALUE"""),44979.0)</f>
        <v>44979</v>
      </c>
      <c r="J918" s="311">
        <f>IFERROR(__xludf.DUMMYFUNCTION("""COMPUTED_VALUE"""),0.3979976851851852)</f>
        <v>0.3979976852</v>
      </c>
      <c r="K918" s="54"/>
      <c r="L918" s="7"/>
      <c r="M918" s="312"/>
      <c r="N918" s="172">
        <f>IFERROR(__xludf.DUMMYFUNCTION("""COMPUTED_VALUE"""),1.0)</f>
        <v>1</v>
      </c>
      <c r="O918" s="172"/>
      <c r="P918" s="313">
        <f>IFERROR(__xludf.DUMMYFUNCTION("""COMPUTED_VALUE"""),0.0)</f>
        <v>0</v>
      </c>
      <c r="Q918" s="76" t="b">
        <f>VLOOKUP($B918,'Run Reconcile'!B$2:O1399,14,FALSE)</f>
        <v>1</v>
      </c>
      <c r="R918" s="314" t="str">
        <f t="array" ref="R918">IF($Q918, INDEX('Run Reconcile'!A$2:A1399,MATCH(B918,'Run Reconcile'!B$2:B1399,0),1),IFERROR(0/0,""))</f>
        <v>RUN-ABRM_2023-02-22_RFR-166</v>
      </c>
      <c r="S918" s="315" t="str">
        <f t="shared" ref="S918:T918" si="1841">IF(COUNTIF(W$2:W1399, $A918) &gt; 0,TRUE,IFERROR(0/0,""))</f>
        <v/>
      </c>
      <c r="T918" s="315" t="str">
        <f t="shared" si="1841"/>
        <v/>
      </c>
      <c r="U918" s="114" t="str">
        <f t="array" ref="U918">IF(ISBLANK($R918), INDEX('Run Reconcile'!A$2:A1399, MATCH($B918, 'Run Reconcile'!B$2:B1399, 0)+Z918, 1), IFERROR(0/0,""))
</f>
        <v/>
      </c>
      <c r="V918" s="316" t="str">
        <f t="shared" si="1281"/>
        <v>RUN-ABRM_2023-02-22_RFR-166</v>
      </c>
      <c r="Y918" s="317" t="str">
        <f t="shared" si="6"/>
        <v/>
      </c>
      <c r="Z918" s="83" t="str">
        <f t="shared" si="7"/>
        <v/>
      </c>
      <c r="AA918" s="83" t="str">
        <f t="shared" si="8"/>
        <v/>
      </c>
      <c r="AB918" s="83" t="str">
        <f t="shared" si="9"/>
        <v/>
      </c>
      <c r="AC918" s="18" t="str">
        <f t="shared" ref="AC918:AD918" si="1842">IF(_xlfn.ISFORMULA(S918),IFERROR(0/0,""),TRUE)</f>
        <v/>
      </c>
      <c r="AD918" s="18" t="str">
        <f t="shared" si="1842"/>
        <v/>
      </c>
      <c r="AE918" s="43"/>
      <c r="AF918" s="58" t="s">
        <v>143</v>
      </c>
      <c r="AG918" s="55" t="str">
        <f t="shared" si="11"/>
        <v/>
      </c>
    </row>
    <row r="919">
      <c r="A919" s="7" t="str">
        <f>IFERROR(__xludf.DUMMYFUNCTION("""COMPUTED_VALUE"""),"AR1416")</f>
        <v>AR1416</v>
      </c>
      <c r="B919" s="308">
        <f>IFERROR(__xludf.DUMMYFUNCTION("""COMPUTED_VALUE"""),44979.0)</f>
        <v>44979</v>
      </c>
      <c r="C919" s="309">
        <f>IFERROR(__xludf.DUMMYFUNCTION("""COMPUTED_VALUE"""),0.3474421296296296)</f>
        <v>0.3474421296</v>
      </c>
      <c r="D919" s="7" t="str">
        <f>IFERROR(__xludf.DUMMYFUNCTION("""COMPUTED_VALUE"""),"SpABRM814022")</f>
        <v>SpABRM814022</v>
      </c>
      <c r="E919" s="310"/>
      <c r="F919" s="310"/>
      <c r="G919" s="310" t="str">
        <f>IFERROR(__xludf.DUMMYFUNCTION("""COMPUTED_VALUE"""),"Negative")</f>
        <v>Negative</v>
      </c>
      <c r="H919" s="319" t="str">
        <f>IFERROR(__xludf.DUMMYFUNCTION("""COMPUTED_VALUE"""),"Negative")</f>
        <v>Negative</v>
      </c>
      <c r="I919" s="308">
        <f>IFERROR(__xludf.DUMMYFUNCTION("""COMPUTED_VALUE"""),44979.0)</f>
        <v>44979</v>
      </c>
      <c r="J919" s="311">
        <f>IFERROR(__xludf.DUMMYFUNCTION("""COMPUTED_VALUE"""),0.3980092592592593)</f>
        <v>0.3980092593</v>
      </c>
      <c r="K919" s="54"/>
      <c r="L919" s="7"/>
      <c r="M919" s="312"/>
      <c r="N919" s="172">
        <f>IFERROR(__xludf.DUMMYFUNCTION("""COMPUTED_VALUE"""),4.0)</f>
        <v>4</v>
      </c>
      <c r="O919" s="172"/>
      <c r="P919" s="313">
        <f>IFERROR(__xludf.DUMMYFUNCTION("""COMPUTED_VALUE"""),0.0)</f>
        <v>0</v>
      </c>
      <c r="Q919" s="76" t="b">
        <f>VLOOKUP($B919,'Run Reconcile'!B$2:O1399,14,FALSE)</f>
        <v>1</v>
      </c>
      <c r="R919" s="314" t="str">
        <f t="array" ref="R919">IF($Q919, INDEX('Run Reconcile'!A$2:A1399,MATCH(B919,'Run Reconcile'!B$2:B1399,0),1),IFERROR(0/0,""))</f>
        <v>RUN-ABRM_2023-02-22_RFR-166</v>
      </c>
      <c r="S919" s="315" t="str">
        <f t="shared" ref="S919:T919" si="1843">IF(COUNTIF(W$2:W1399, $A919) &gt; 0,TRUE,IFERROR(0/0,""))</f>
        <v/>
      </c>
      <c r="T919" s="315" t="str">
        <f t="shared" si="1843"/>
        <v/>
      </c>
      <c r="U919" s="114" t="str">
        <f t="array" ref="U919">IF(ISBLANK($R919), INDEX('Run Reconcile'!A$2:A1399, MATCH($B919, 'Run Reconcile'!B$2:B1399, 0)+Z919, 1), IFERROR(0/0,""))
</f>
        <v/>
      </c>
      <c r="V919" s="316" t="str">
        <f t="shared" si="1281"/>
        <v>RUN-ABRM_2023-02-22_RFR-166</v>
      </c>
      <c r="Y919" s="317" t="str">
        <f t="shared" si="6"/>
        <v/>
      </c>
      <c r="Z919" s="83" t="str">
        <f t="shared" si="7"/>
        <v/>
      </c>
      <c r="AA919" s="83" t="str">
        <f t="shared" si="8"/>
        <v/>
      </c>
      <c r="AB919" s="83" t="str">
        <f t="shared" si="9"/>
        <v/>
      </c>
      <c r="AC919" s="18" t="str">
        <f t="shared" ref="AC919:AD919" si="1844">IF(_xlfn.ISFORMULA(S919),IFERROR(0/0,""),TRUE)</f>
        <v/>
      </c>
      <c r="AD919" s="18" t="str">
        <f t="shared" si="1844"/>
        <v/>
      </c>
      <c r="AE919" s="43"/>
      <c r="AF919" s="58" t="s">
        <v>143</v>
      </c>
      <c r="AG919" s="55" t="str">
        <f t="shared" si="11"/>
        <v/>
      </c>
    </row>
    <row r="920">
      <c r="A920" s="7" t="str">
        <f>IFERROR(__xludf.DUMMYFUNCTION("""COMPUTED_VALUE"""),"AR471")</f>
        <v>AR471</v>
      </c>
      <c r="B920" s="308">
        <f>IFERROR(__xludf.DUMMYFUNCTION("""COMPUTED_VALUE"""),44980.0)</f>
        <v>44980</v>
      </c>
      <c r="C920" s="309">
        <f>IFERROR(__xludf.DUMMYFUNCTION("""COMPUTED_VALUE"""),0.29369212962962965)</f>
        <v>0.2936921296</v>
      </c>
      <c r="D920" s="7" t="str">
        <f>IFERROR(__xludf.DUMMYFUNCTION("""COMPUTED_VALUE"""),"SpABRM128250")</f>
        <v>SpABRM128250</v>
      </c>
      <c r="E920" s="310"/>
      <c r="F920" s="310"/>
      <c r="G920" s="310" t="str">
        <f>IFERROR(__xludf.DUMMYFUNCTION("""COMPUTED_VALUE"""),"Negative")</f>
        <v>Negative</v>
      </c>
      <c r="H920" s="319" t="str">
        <f>IFERROR(__xludf.DUMMYFUNCTION("""COMPUTED_VALUE"""),"Negative")</f>
        <v>Negative</v>
      </c>
      <c r="I920" s="308">
        <f>IFERROR(__xludf.DUMMYFUNCTION("""COMPUTED_VALUE"""),44980.0)</f>
        <v>44980</v>
      </c>
      <c r="J920" s="311">
        <f>IFERROR(__xludf.DUMMYFUNCTION("""COMPUTED_VALUE"""),0.4340162037037037)</f>
        <v>0.4340162037</v>
      </c>
      <c r="K920" s="54"/>
      <c r="L920" s="7"/>
      <c r="M920" s="312"/>
      <c r="N920" s="172">
        <f>IFERROR(__xludf.DUMMYFUNCTION("""COMPUTED_VALUE"""),3.0)</f>
        <v>3</v>
      </c>
      <c r="O920" s="172"/>
      <c r="P920" s="313">
        <f>IFERROR(__xludf.DUMMYFUNCTION("""COMPUTED_VALUE"""),0.0)</f>
        <v>0</v>
      </c>
      <c r="Q920" s="76" t="b">
        <f>VLOOKUP($B920,'Run Reconcile'!B$2:O1399,14,FALSE)</f>
        <v>1</v>
      </c>
      <c r="R920" s="314" t="str">
        <f t="array" ref="R920">IF($Q920, INDEX('Run Reconcile'!A$2:A1399,MATCH(B920,'Run Reconcile'!B$2:B1399,0),1),IFERROR(0/0,""))</f>
        <v>RUN-ABRM_2023-02-23_RFR-167</v>
      </c>
      <c r="S920" s="315" t="str">
        <f t="shared" ref="S920:T920" si="1845">IF(COUNTIF(W$2:W1399, $A920) &gt; 0,TRUE,IFERROR(0/0,""))</f>
        <v/>
      </c>
      <c r="T920" s="315" t="str">
        <f t="shared" si="1845"/>
        <v/>
      </c>
      <c r="U920" s="114" t="str">
        <f t="array" ref="U920">IF(ISBLANK($R920), INDEX('Run Reconcile'!A$2:A1399, MATCH($B920, 'Run Reconcile'!B$2:B1399, 0)+Z920, 1), IFERROR(0/0,""))
</f>
        <v/>
      </c>
      <c r="V920" s="316" t="str">
        <f t="shared" si="1281"/>
        <v>RUN-ABRM_2023-02-23_RFR-167</v>
      </c>
      <c r="Y920" s="317" t="str">
        <f t="shared" si="6"/>
        <v/>
      </c>
      <c r="Z920" s="83" t="str">
        <f t="shared" si="7"/>
        <v/>
      </c>
      <c r="AA920" s="83" t="str">
        <f t="shared" si="8"/>
        <v/>
      </c>
      <c r="AB920" s="83" t="str">
        <f t="shared" si="9"/>
        <v/>
      </c>
      <c r="AC920" s="18" t="str">
        <f t="shared" ref="AC920:AD920" si="1846">IF(_xlfn.ISFORMULA(S920),IFERROR(0/0,""),TRUE)</f>
        <v/>
      </c>
      <c r="AD920" s="18" t="str">
        <f t="shared" si="1846"/>
        <v/>
      </c>
      <c r="AE920" s="43"/>
      <c r="AF920" s="58" t="s">
        <v>144</v>
      </c>
      <c r="AG920" s="55" t="str">
        <f t="shared" si="11"/>
        <v/>
      </c>
    </row>
    <row r="921">
      <c r="A921" s="7" t="str">
        <f>IFERROR(__xludf.DUMMYFUNCTION("""COMPUTED_VALUE"""),"AK9845")</f>
        <v>AK9845</v>
      </c>
      <c r="B921" s="308">
        <f>IFERROR(__xludf.DUMMYFUNCTION("""COMPUTED_VALUE"""),44980.0)</f>
        <v>44980</v>
      </c>
      <c r="C921" s="309">
        <f>IFERROR(__xludf.DUMMYFUNCTION("""COMPUTED_VALUE"""),0.2976736111111111)</f>
        <v>0.2976736111</v>
      </c>
      <c r="D921" s="7" t="str">
        <f>IFERROR(__xludf.DUMMYFUNCTION("""COMPUTED_VALUE"""),"SpABRM297307")</f>
        <v>SpABRM297307</v>
      </c>
      <c r="E921" s="310"/>
      <c r="F921" s="310"/>
      <c r="G921" s="310" t="str">
        <f>IFERROR(__xludf.DUMMYFUNCTION("""COMPUTED_VALUE"""),"Negative")</f>
        <v>Negative</v>
      </c>
      <c r="H921" s="319" t="str">
        <f>IFERROR(__xludf.DUMMYFUNCTION("""COMPUTED_VALUE"""),"Negative")</f>
        <v>Negative</v>
      </c>
      <c r="I921" s="308">
        <f>IFERROR(__xludf.DUMMYFUNCTION("""COMPUTED_VALUE"""),44980.0)</f>
        <v>44980</v>
      </c>
      <c r="J921" s="311">
        <f>IFERROR(__xludf.DUMMYFUNCTION("""COMPUTED_VALUE"""),0.4597453703703704)</f>
        <v>0.4597453704</v>
      </c>
      <c r="K921" s="54"/>
      <c r="L921" s="7"/>
      <c r="M921" s="312"/>
      <c r="N921" s="172">
        <f>IFERROR(__xludf.DUMMYFUNCTION("""COMPUTED_VALUE"""),4.0)</f>
        <v>4</v>
      </c>
      <c r="O921" s="172"/>
      <c r="P921" s="313">
        <f>IFERROR(__xludf.DUMMYFUNCTION("""COMPUTED_VALUE"""),0.0)</f>
        <v>0</v>
      </c>
      <c r="Q921" s="76" t="b">
        <f>VLOOKUP($B921,'Run Reconcile'!B$2:O1399,14,FALSE)</f>
        <v>1</v>
      </c>
      <c r="R921" s="314" t="str">
        <f t="array" ref="R921">IF($Q921, INDEX('Run Reconcile'!A$2:A1399,MATCH(B921,'Run Reconcile'!B$2:B1399,0),1),IFERROR(0/0,""))</f>
        <v>RUN-ABRM_2023-02-23_RFR-167</v>
      </c>
      <c r="S921" s="315" t="str">
        <f t="shared" ref="S921:T921" si="1847">IF(COUNTIF(W$2:W1399, $A921) &gt; 0,TRUE,IFERROR(0/0,""))</f>
        <v/>
      </c>
      <c r="T921" s="315" t="str">
        <f t="shared" si="1847"/>
        <v/>
      </c>
      <c r="U921" s="114" t="str">
        <f t="array" ref="U921">IF(ISBLANK($R921), INDEX('Run Reconcile'!A$2:A1399, MATCH($B921, 'Run Reconcile'!B$2:B1399, 0)+Z921, 1), IFERROR(0/0,""))
</f>
        <v/>
      </c>
      <c r="V921" s="316" t="str">
        <f t="shared" si="1281"/>
        <v>RUN-ABRM_2023-02-23_RFR-167</v>
      </c>
      <c r="Y921" s="317" t="str">
        <f t="shared" si="6"/>
        <v/>
      </c>
      <c r="Z921" s="83" t="str">
        <f t="shared" si="7"/>
        <v/>
      </c>
      <c r="AA921" s="83" t="str">
        <f t="shared" si="8"/>
        <v/>
      </c>
      <c r="AB921" s="83" t="str">
        <f t="shared" si="9"/>
        <v/>
      </c>
      <c r="AC921" s="18" t="str">
        <f t="shared" ref="AC921:AD921" si="1848">IF(_xlfn.ISFORMULA(S921),IFERROR(0/0,""),TRUE)</f>
        <v/>
      </c>
      <c r="AD921" s="18" t="str">
        <f t="shared" si="1848"/>
        <v/>
      </c>
      <c r="AE921" s="43"/>
      <c r="AF921" s="58" t="s">
        <v>144</v>
      </c>
      <c r="AG921" s="55" t="str">
        <f t="shared" si="11"/>
        <v/>
      </c>
    </row>
    <row r="922">
      <c r="A922" s="7" t="str">
        <f>IFERROR(__xludf.DUMMYFUNCTION("""COMPUTED_VALUE"""),"AR1039")</f>
        <v>AR1039</v>
      </c>
      <c r="B922" s="308">
        <f>IFERROR(__xludf.DUMMYFUNCTION("""COMPUTED_VALUE"""),44980.0)</f>
        <v>44980</v>
      </c>
      <c r="C922" s="309">
        <f>IFERROR(__xludf.DUMMYFUNCTION("""COMPUTED_VALUE"""),0.3271875)</f>
        <v>0.3271875</v>
      </c>
      <c r="D922" s="7" t="str">
        <f>IFERROR(__xludf.DUMMYFUNCTION("""COMPUTED_VALUE"""),"SpABRM519188")</f>
        <v>SpABRM519188</v>
      </c>
      <c r="E922" s="310"/>
      <c r="F922" s="310"/>
      <c r="G922" s="310" t="str">
        <f>IFERROR(__xludf.DUMMYFUNCTION("""COMPUTED_VALUE"""),"Negative")</f>
        <v>Negative</v>
      </c>
      <c r="H922" s="319" t="str">
        <f>IFERROR(__xludf.DUMMYFUNCTION("""COMPUTED_VALUE"""),"Negative")</f>
        <v>Negative</v>
      </c>
      <c r="I922" s="308">
        <f>IFERROR(__xludf.DUMMYFUNCTION("""COMPUTED_VALUE"""),44980.0)</f>
        <v>44980</v>
      </c>
      <c r="J922" s="311">
        <f>IFERROR(__xludf.DUMMYFUNCTION("""COMPUTED_VALUE"""),0.4340277777777778)</f>
        <v>0.4340277778</v>
      </c>
      <c r="K922" s="54"/>
      <c r="L922" s="7"/>
      <c r="M922" s="312"/>
      <c r="N922" s="172">
        <f>IFERROR(__xludf.DUMMYFUNCTION("""COMPUTED_VALUE"""),1.0)</f>
        <v>1</v>
      </c>
      <c r="O922" s="172"/>
      <c r="P922" s="313">
        <f>IFERROR(__xludf.DUMMYFUNCTION("""COMPUTED_VALUE"""),0.0)</f>
        <v>0</v>
      </c>
      <c r="Q922" s="76" t="b">
        <f>VLOOKUP($B922,'Run Reconcile'!B$2:O1399,14,FALSE)</f>
        <v>1</v>
      </c>
      <c r="R922" s="314" t="str">
        <f t="array" ref="R922">IF($Q922, INDEX('Run Reconcile'!A$2:A1399,MATCH(B922,'Run Reconcile'!B$2:B1399,0),1),IFERROR(0/0,""))</f>
        <v>RUN-ABRM_2023-02-23_RFR-167</v>
      </c>
      <c r="S922" s="315" t="str">
        <f t="shared" ref="S922:T922" si="1849">IF(COUNTIF(W$2:W1399, $A922) &gt; 0,TRUE,IFERROR(0/0,""))</f>
        <v/>
      </c>
      <c r="T922" s="315" t="str">
        <f t="shared" si="1849"/>
        <v/>
      </c>
      <c r="U922" s="114" t="str">
        <f t="array" ref="U922">IF(ISBLANK($R922), INDEX('Run Reconcile'!A$2:A1399, MATCH($B922, 'Run Reconcile'!B$2:B1399, 0)+Z922, 1), IFERROR(0/0,""))
</f>
        <v/>
      </c>
      <c r="V922" s="316" t="str">
        <f t="shared" si="1281"/>
        <v>RUN-ABRM_2023-02-23_RFR-167</v>
      </c>
      <c r="Y922" s="317" t="str">
        <f t="shared" si="6"/>
        <v/>
      </c>
      <c r="Z922" s="83" t="str">
        <f t="shared" si="7"/>
        <v/>
      </c>
      <c r="AA922" s="83" t="str">
        <f t="shared" si="8"/>
        <v/>
      </c>
      <c r="AB922" s="83" t="str">
        <f t="shared" si="9"/>
        <v/>
      </c>
      <c r="AC922" s="18" t="str">
        <f t="shared" ref="AC922:AD922" si="1850">IF(_xlfn.ISFORMULA(S922),IFERROR(0/0,""),TRUE)</f>
        <v/>
      </c>
      <c r="AD922" s="18" t="str">
        <f t="shared" si="1850"/>
        <v/>
      </c>
      <c r="AE922" s="43"/>
      <c r="AF922" s="58" t="s">
        <v>144</v>
      </c>
      <c r="AG922" s="55" t="str">
        <f t="shared" si="11"/>
        <v/>
      </c>
    </row>
    <row r="923">
      <c r="A923" s="7" t="str">
        <f>IFERROR(__xludf.DUMMYFUNCTION("""COMPUTED_VALUE"""),"AR750")</f>
        <v>AR750</v>
      </c>
      <c r="B923" s="308">
        <f>IFERROR(__xludf.DUMMYFUNCTION("""COMPUTED_VALUE"""),44980.0)</f>
        <v>44980</v>
      </c>
      <c r="C923" s="309">
        <f>IFERROR(__xludf.DUMMYFUNCTION("""COMPUTED_VALUE"""),0.32939814814814816)</f>
        <v>0.3293981481</v>
      </c>
      <c r="D923" s="7" t="str">
        <f>IFERROR(__xludf.DUMMYFUNCTION("""COMPUTED_VALUE"""),"SpABRM716377")</f>
        <v>SpABRM716377</v>
      </c>
      <c r="E923" s="310"/>
      <c r="F923" s="310"/>
      <c r="G923" s="310" t="str">
        <f>IFERROR(__xludf.DUMMYFUNCTION("""COMPUTED_VALUE"""),"Negative")</f>
        <v>Negative</v>
      </c>
      <c r="H923" s="319" t="str">
        <f>IFERROR(__xludf.DUMMYFUNCTION("""COMPUTED_VALUE"""),"Negative")</f>
        <v>Negative</v>
      </c>
      <c r="I923" s="308">
        <f>IFERROR(__xludf.DUMMYFUNCTION("""COMPUTED_VALUE"""),44980.0)</f>
        <v>44980</v>
      </c>
      <c r="J923" s="311">
        <f>IFERROR(__xludf.DUMMYFUNCTION("""COMPUTED_VALUE"""),0.43403935185185183)</f>
        <v>0.4340393519</v>
      </c>
      <c r="K923" s="54"/>
      <c r="L923" s="7"/>
      <c r="M923" s="312"/>
      <c r="N923" s="172">
        <f>IFERROR(__xludf.DUMMYFUNCTION("""COMPUTED_VALUE"""),2.0)</f>
        <v>2</v>
      </c>
      <c r="O923" s="172"/>
      <c r="P923" s="313">
        <f>IFERROR(__xludf.DUMMYFUNCTION("""COMPUTED_VALUE"""),0.0)</f>
        <v>0</v>
      </c>
      <c r="Q923" s="76" t="b">
        <f>VLOOKUP($B923,'Run Reconcile'!B$2:O1399,14,FALSE)</f>
        <v>1</v>
      </c>
      <c r="R923" s="314" t="str">
        <f t="array" ref="R923">IF($Q923, INDEX('Run Reconcile'!A$2:A1399,MATCH(B923,'Run Reconcile'!B$2:B1399,0),1),IFERROR(0/0,""))</f>
        <v>RUN-ABRM_2023-02-23_RFR-167</v>
      </c>
      <c r="S923" s="315" t="str">
        <f t="shared" ref="S923:T923" si="1851">IF(COUNTIF(W$2:W1399, $A923) &gt; 0,TRUE,IFERROR(0/0,""))</f>
        <v/>
      </c>
      <c r="T923" s="315" t="str">
        <f t="shared" si="1851"/>
        <v/>
      </c>
      <c r="U923" s="114" t="str">
        <f t="array" ref="U923">IF(ISBLANK($R923), INDEX('Run Reconcile'!A$2:A1399, MATCH($B923, 'Run Reconcile'!B$2:B1399, 0)+Z923, 1), IFERROR(0/0,""))
</f>
        <v/>
      </c>
      <c r="V923" s="316" t="str">
        <f t="shared" si="1281"/>
        <v>RUN-ABRM_2023-02-23_RFR-167</v>
      </c>
      <c r="Y923" s="317" t="str">
        <f t="shared" si="6"/>
        <v/>
      </c>
      <c r="Z923" s="83" t="str">
        <f t="shared" si="7"/>
        <v/>
      </c>
      <c r="AA923" s="83" t="str">
        <f t="shared" si="8"/>
        <v/>
      </c>
      <c r="AB923" s="83" t="str">
        <f t="shared" si="9"/>
        <v/>
      </c>
      <c r="AC923" s="18" t="str">
        <f t="shared" ref="AC923:AD923" si="1852">IF(_xlfn.ISFORMULA(S923),IFERROR(0/0,""),TRUE)</f>
        <v/>
      </c>
      <c r="AD923" s="18" t="str">
        <f t="shared" si="1852"/>
        <v/>
      </c>
      <c r="AE923" s="43"/>
      <c r="AF923" s="58" t="s">
        <v>144</v>
      </c>
      <c r="AG923" s="55" t="str">
        <f t="shared" si="11"/>
        <v/>
      </c>
    </row>
    <row r="924">
      <c r="A924" s="7" t="str">
        <f>IFERROR(__xludf.DUMMYFUNCTION("""COMPUTED_VALUE"""),"AR736")</f>
        <v>AR736</v>
      </c>
      <c r="B924" s="308">
        <f>IFERROR(__xludf.DUMMYFUNCTION("""COMPUTED_VALUE"""),44980.0)</f>
        <v>44980</v>
      </c>
      <c r="C924" s="309">
        <f>IFERROR(__xludf.DUMMYFUNCTION("""COMPUTED_VALUE"""),0.3311574074074074)</f>
        <v>0.3311574074</v>
      </c>
      <c r="D924" s="7" t="str">
        <f>IFERROR(__xludf.DUMMYFUNCTION("""COMPUTED_VALUE"""),"SpABRM814022")</f>
        <v>SpABRM814022</v>
      </c>
      <c r="E924" s="310"/>
      <c r="F924" s="310"/>
      <c r="G924" s="310" t="str">
        <f>IFERROR(__xludf.DUMMYFUNCTION("""COMPUTED_VALUE"""),"Negative")</f>
        <v>Negative</v>
      </c>
      <c r="H924" s="319" t="str">
        <f>IFERROR(__xludf.DUMMYFUNCTION("""COMPUTED_VALUE"""),"Negative")</f>
        <v>Negative</v>
      </c>
      <c r="I924" s="308">
        <f>IFERROR(__xludf.DUMMYFUNCTION("""COMPUTED_VALUE"""),44980.0)</f>
        <v>44980</v>
      </c>
      <c r="J924" s="311">
        <f>IFERROR(__xludf.DUMMYFUNCTION("""COMPUTED_VALUE"""),0.4340509259259259)</f>
        <v>0.4340509259</v>
      </c>
      <c r="K924" s="54"/>
      <c r="L924" s="7"/>
      <c r="M924" s="312"/>
      <c r="N924" s="172">
        <f>IFERROR(__xludf.DUMMYFUNCTION("""COMPUTED_VALUE"""),1.0)</f>
        <v>1</v>
      </c>
      <c r="O924" s="172"/>
      <c r="P924" s="313">
        <f>IFERROR(__xludf.DUMMYFUNCTION("""COMPUTED_VALUE"""),0.0)</f>
        <v>0</v>
      </c>
      <c r="Q924" s="76" t="b">
        <f>VLOOKUP($B924,'Run Reconcile'!B$2:O1399,14,FALSE)</f>
        <v>1</v>
      </c>
      <c r="R924" s="314" t="str">
        <f t="array" ref="R924">IF($Q924, INDEX('Run Reconcile'!A$2:A1399,MATCH(B924,'Run Reconcile'!B$2:B1399,0),1),IFERROR(0/0,""))</f>
        <v>RUN-ABRM_2023-02-23_RFR-167</v>
      </c>
      <c r="S924" s="315" t="str">
        <f t="shared" ref="S924:T924" si="1853">IF(COUNTIF(W$2:W1399, $A924) &gt; 0,TRUE,IFERROR(0/0,""))</f>
        <v/>
      </c>
      <c r="T924" s="315" t="str">
        <f t="shared" si="1853"/>
        <v/>
      </c>
      <c r="U924" s="114" t="str">
        <f t="array" ref="U924">IF(ISBLANK($R924), INDEX('Run Reconcile'!A$2:A1399, MATCH($B924, 'Run Reconcile'!B$2:B1399, 0)+Z924, 1), IFERROR(0/0,""))
</f>
        <v/>
      </c>
      <c r="V924" s="316" t="str">
        <f t="shared" si="1281"/>
        <v>RUN-ABRM_2023-02-23_RFR-167</v>
      </c>
      <c r="Y924" s="317" t="str">
        <f t="shared" si="6"/>
        <v/>
      </c>
      <c r="Z924" s="83" t="str">
        <f t="shared" si="7"/>
        <v/>
      </c>
      <c r="AA924" s="83" t="str">
        <f t="shared" si="8"/>
        <v/>
      </c>
      <c r="AB924" s="83" t="str">
        <f t="shared" si="9"/>
        <v/>
      </c>
      <c r="AC924" s="18" t="str">
        <f t="shared" ref="AC924:AD924" si="1854">IF(_xlfn.ISFORMULA(S924),IFERROR(0/0,""),TRUE)</f>
        <v/>
      </c>
      <c r="AD924" s="18" t="str">
        <f t="shared" si="1854"/>
        <v/>
      </c>
      <c r="AE924" s="43"/>
      <c r="AF924" s="58" t="s">
        <v>144</v>
      </c>
      <c r="AG924" s="55" t="str">
        <f t="shared" si="11"/>
        <v/>
      </c>
    </row>
    <row r="925">
      <c r="A925" s="7" t="str">
        <f>IFERROR(__xludf.DUMMYFUNCTION("""COMPUTED_VALUE"""),"AR1158")</f>
        <v>AR1158</v>
      </c>
      <c r="B925" s="308">
        <f>IFERROR(__xludf.DUMMYFUNCTION("""COMPUTED_VALUE"""),44980.0)</f>
        <v>44980</v>
      </c>
      <c r="C925" s="309">
        <f>IFERROR(__xludf.DUMMYFUNCTION("""COMPUTED_VALUE"""),0.33891203703703704)</f>
        <v>0.338912037</v>
      </c>
      <c r="D925" s="7" t="str">
        <f>IFERROR(__xludf.DUMMYFUNCTION("""COMPUTED_VALUE"""),"SpABRM655136")</f>
        <v>SpABRM655136</v>
      </c>
      <c r="E925" s="310"/>
      <c r="F925" s="310"/>
      <c r="G925" s="310" t="str">
        <f>IFERROR(__xludf.DUMMYFUNCTION("""COMPUTED_VALUE"""),"Negative")</f>
        <v>Negative</v>
      </c>
      <c r="H925" s="319" t="str">
        <f>IFERROR(__xludf.DUMMYFUNCTION("""COMPUTED_VALUE"""),"Negative")</f>
        <v>Negative</v>
      </c>
      <c r="I925" s="308">
        <f>IFERROR(__xludf.DUMMYFUNCTION("""COMPUTED_VALUE"""),44980.0)</f>
        <v>44980</v>
      </c>
      <c r="J925" s="311">
        <f>IFERROR(__xludf.DUMMYFUNCTION("""COMPUTED_VALUE"""),0.4340625)</f>
        <v>0.4340625</v>
      </c>
      <c r="K925" s="54"/>
      <c r="L925" s="7"/>
      <c r="M925" s="312"/>
      <c r="N925" s="172">
        <f>IFERROR(__xludf.DUMMYFUNCTION("""COMPUTED_VALUE"""),4.0)</f>
        <v>4</v>
      </c>
      <c r="O925" s="172"/>
      <c r="P925" s="313">
        <f>IFERROR(__xludf.DUMMYFUNCTION("""COMPUTED_VALUE"""),0.0)</f>
        <v>0</v>
      </c>
      <c r="Q925" s="76" t="b">
        <f>VLOOKUP($B925,'Run Reconcile'!B$2:O1399,14,FALSE)</f>
        <v>1</v>
      </c>
      <c r="R925" s="314" t="str">
        <f t="array" ref="R925">IF($Q925, INDEX('Run Reconcile'!A$2:A1399,MATCH(B925,'Run Reconcile'!B$2:B1399,0),1),IFERROR(0/0,""))</f>
        <v>RUN-ABRM_2023-02-23_RFR-167</v>
      </c>
      <c r="S925" s="315" t="str">
        <f t="shared" ref="S925:T925" si="1855">IF(COUNTIF(W$2:W1399, $A925) &gt; 0,TRUE,IFERROR(0/0,""))</f>
        <v/>
      </c>
      <c r="T925" s="315" t="str">
        <f t="shared" si="1855"/>
        <v/>
      </c>
      <c r="U925" s="114" t="str">
        <f t="array" ref="U925">IF(ISBLANK($R925), INDEX('Run Reconcile'!A$2:A1399, MATCH($B925, 'Run Reconcile'!B$2:B1399, 0)+Z925, 1), IFERROR(0/0,""))
</f>
        <v/>
      </c>
      <c r="V925" s="316" t="str">
        <f t="shared" si="1281"/>
        <v>RUN-ABRM_2023-02-23_RFR-167</v>
      </c>
      <c r="Y925" s="317" t="str">
        <f t="shared" si="6"/>
        <v/>
      </c>
      <c r="Z925" s="83" t="str">
        <f t="shared" si="7"/>
        <v/>
      </c>
      <c r="AA925" s="83" t="str">
        <f t="shared" si="8"/>
        <v/>
      </c>
      <c r="AB925" s="83" t="str">
        <f t="shared" si="9"/>
        <v/>
      </c>
      <c r="AC925" s="18" t="str">
        <f t="shared" ref="AC925:AD925" si="1856">IF(_xlfn.ISFORMULA(S925),IFERROR(0/0,""),TRUE)</f>
        <v/>
      </c>
      <c r="AD925" s="18" t="str">
        <f t="shared" si="1856"/>
        <v/>
      </c>
      <c r="AE925" s="43"/>
      <c r="AF925" s="58" t="s">
        <v>144</v>
      </c>
      <c r="AG925" s="55" t="str">
        <f t="shared" si="11"/>
        <v/>
      </c>
    </row>
    <row r="926">
      <c r="A926" s="7" t="str">
        <f>IFERROR(__xludf.DUMMYFUNCTION("""COMPUTED_VALUE"""),"AH6819")</f>
        <v>AH6819</v>
      </c>
      <c r="B926" s="308">
        <f>IFERROR(__xludf.DUMMYFUNCTION("""COMPUTED_VALUE"""),44980.0)</f>
        <v>44980</v>
      </c>
      <c r="C926" s="309">
        <f>IFERROR(__xludf.DUMMYFUNCTION("""COMPUTED_VALUE"""),0.3396180555555556)</f>
        <v>0.3396180556</v>
      </c>
      <c r="D926" s="7" t="str">
        <f>IFERROR(__xludf.DUMMYFUNCTION("""COMPUTED_VALUE"""),"SpABRM655136")</f>
        <v>SpABRM655136</v>
      </c>
      <c r="E926" s="310"/>
      <c r="F926" s="310"/>
      <c r="G926" s="310" t="str">
        <f>IFERROR(__xludf.DUMMYFUNCTION("""COMPUTED_VALUE"""),"Negative")</f>
        <v>Negative</v>
      </c>
      <c r="H926" s="319" t="str">
        <f>IFERROR(__xludf.DUMMYFUNCTION("""COMPUTED_VALUE"""),"Negative")</f>
        <v>Negative</v>
      </c>
      <c r="I926" s="308">
        <f>IFERROR(__xludf.DUMMYFUNCTION("""COMPUTED_VALUE"""),44980.0)</f>
        <v>44980</v>
      </c>
      <c r="J926" s="311">
        <f>IFERROR(__xludf.DUMMYFUNCTION("""COMPUTED_VALUE"""),0.43407407407407406)</f>
        <v>0.4340740741</v>
      </c>
      <c r="K926" s="54"/>
      <c r="L926" s="7"/>
      <c r="M926" s="312"/>
      <c r="N926" s="172">
        <f>IFERROR(__xludf.DUMMYFUNCTION("""COMPUTED_VALUE"""),2.0)</f>
        <v>2</v>
      </c>
      <c r="O926" s="172"/>
      <c r="P926" s="313">
        <f>IFERROR(__xludf.DUMMYFUNCTION("""COMPUTED_VALUE"""),0.0)</f>
        <v>0</v>
      </c>
      <c r="Q926" s="76" t="b">
        <f>VLOOKUP($B926,'Run Reconcile'!B$2:O1399,14,FALSE)</f>
        <v>1</v>
      </c>
      <c r="R926" s="314" t="str">
        <f t="array" ref="R926">IF($Q926, INDEX('Run Reconcile'!A$2:A1399,MATCH(B926,'Run Reconcile'!B$2:B1399,0),1),IFERROR(0/0,""))</f>
        <v>RUN-ABRM_2023-02-23_RFR-167</v>
      </c>
      <c r="S926" s="315" t="str">
        <f t="shared" ref="S926:T926" si="1857">IF(COUNTIF(W$2:W1399, $A926) &gt; 0,TRUE,IFERROR(0/0,""))</f>
        <v/>
      </c>
      <c r="T926" s="315" t="str">
        <f t="shared" si="1857"/>
        <v/>
      </c>
      <c r="U926" s="114" t="str">
        <f t="array" ref="U926">IF(ISBLANK($R926), INDEX('Run Reconcile'!A$2:A1399, MATCH($B926, 'Run Reconcile'!B$2:B1399, 0)+Z926, 1), IFERROR(0/0,""))
</f>
        <v/>
      </c>
      <c r="V926" s="316" t="str">
        <f t="shared" si="1281"/>
        <v>RUN-ABRM_2023-02-23_RFR-167</v>
      </c>
      <c r="Y926" s="317" t="str">
        <f t="shared" si="6"/>
        <v/>
      </c>
      <c r="Z926" s="83" t="str">
        <f t="shared" si="7"/>
        <v/>
      </c>
      <c r="AA926" s="83" t="str">
        <f t="shared" si="8"/>
        <v/>
      </c>
      <c r="AB926" s="83" t="str">
        <f t="shared" si="9"/>
        <v/>
      </c>
      <c r="AC926" s="18" t="str">
        <f t="shared" ref="AC926:AD926" si="1858">IF(_xlfn.ISFORMULA(S926),IFERROR(0/0,""),TRUE)</f>
        <v/>
      </c>
      <c r="AD926" s="18" t="str">
        <f t="shared" si="1858"/>
        <v/>
      </c>
      <c r="AE926" s="43"/>
      <c r="AF926" s="58" t="s">
        <v>144</v>
      </c>
      <c r="AG926" s="55" t="str">
        <f t="shared" si="11"/>
        <v/>
      </c>
    </row>
    <row r="927">
      <c r="A927" s="7" t="str">
        <f>IFERROR(__xludf.DUMMYFUNCTION("""COMPUTED_VALUE"""),"AR651")</f>
        <v>AR651</v>
      </c>
      <c r="B927" s="308">
        <f>IFERROR(__xludf.DUMMYFUNCTION("""COMPUTED_VALUE"""),44980.0)</f>
        <v>44980</v>
      </c>
      <c r="C927" s="309">
        <f>IFERROR(__xludf.DUMMYFUNCTION("""COMPUTED_VALUE"""),0.3400578703703704)</f>
        <v>0.3400578704</v>
      </c>
      <c r="D927" s="7" t="str">
        <f>IFERROR(__xludf.DUMMYFUNCTION("""COMPUTED_VALUE"""),"SpABRM655136")</f>
        <v>SpABRM655136</v>
      </c>
      <c r="E927" s="310"/>
      <c r="F927" s="310"/>
      <c r="G927" s="310" t="str">
        <f>IFERROR(__xludf.DUMMYFUNCTION("""COMPUTED_VALUE"""),"Negative")</f>
        <v>Negative</v>
      </c>
      <c r="H927" s="319" t="str">
        <f>IFERROR(__xludf.DUMMYFUNCTION("""COMPUTED_VALUE"""),"Negative")</f>
        <v>Negative</v>
      </c>
      <c r="I927" s="308">
        <f>IFERROR(__xludf.DUMMYFUNCTION("""COMPUTED_VALUE"""),44980.0)</f>
        <v>44980</v>
      </c>
      <c r="J927" s="311">
        <f>IFERROR(__xludf.DUMMYFUNCTION("""COMPUTED_VALUE"""),0.43407407407407406)</f>
        <v>0.4340740741</v>
      </c>
      <c r="K927" s="54"/>
      <c r="L927" s="7"/>
      <c r="M927" s="312"/>
      <c r="N927" s="172">
        <f>IFERROR(__xludf.DUMMYFUNCTION("""COMPUTED_VALUE"""),1.0)</f>
        <v>1</v>
      </c>
      <c r="O927" s="172"/>
      <c r="P927" s="313">
        <f>IFERROR(__xludf.DUMMYFUNCTION("""COMPUTED_VALUE"""),0.0)</f>
        <v>0</v>
      </c>
      <c r="Q927" s="76" t="b">
        <f>VLOOKUP($B927,'Run Reconcile'!B$2:O1399,14,FALSE)</f>
        <v>1</v>
      </c>
      <c r="R927" s="314" t="str">
        <f t="array" ref="R927">IF($Q927, INDEX('Run Reconcile'!A$2:A1399,MATCH(B927,'Run Reconcile'!B$2:B1399,0),1),IFERROR(0/0,""))</f>
        <v>RUN-ABRM_2023-02-23_RFR-167</v>
      </c>
      <c r="S927" s="315" t="str">
        <f t="shared" ref="S927:T927" si="1859">IF(COUNTIF(W$2:W1399, $A927) &gt; 0,TRUE,IFERROR(0/0,""))</f>
        <v/>
      </c>
      <c r="T927" s="315" t="str">
        <f t="shared" si="1859"/>
        <v/>
      </c>
      <c r="U927" s="114" t="str">
        <f t="array" ref="U927">IF(ISBLANK($R927), INDEX('Run Reconcile'!A$2:A1399, MATCH($B927, 'Run Reconcile'!B$2:B1399, 0)+Z927, 1), IFERROR(0/0,""))
</f>
        <v/>
      </c>
      <c r="V927" s="316" t="str">
        <f t="shared" si="1281"/>
        <v>RUN-ABRM_2023-02-23_RFR-167</v>
      </c>
      <c r="Y927" s="317" t="str">
        <f t="shared" si="6"/>
        <v/>
      </c>
      <c r="Z927" s="83" t="str">
        <f t="shared" si="7"/>
        <v/>
      </c>
      <c r="AA927" s="83" t="str">
        <f t="shared" si="8"/>
        <v/>
      </c>
      <c r="AB927" s="83" t="str">
        <f t="shared" si="9"/>
        <v/>
      </c>
      <c r="AC927" s="18" t="str">
        <f t="shared" ref="AC927:AD927" si="1860">IF(_xlfn.ISFORMULA(S927),IFERROR(0/0,""),TRUE)</f>
        <v/>
      </c>
      <c r="AD927" s="18" t="str">
        <f t="shared" si="1860"/>
        <v/>
      </c>
      <c r="AE927" s="43"/>
      <c r="AF927" s="58" t="s">
        <v>144</v>
      </c>
      <c r="AG927" s="55" t="str">
        <f t="shared" si="11"/>
        <v/>
      </c>
    </row>
    <row r="928">
      <c r="A928" s="7" t="str">
        <f>IFERROR(__xludf.DUMMYFUNCTION("""COMPUTED_VALUE"""),"AR35")</f>
        <v>AR35</v>
      </c>
      <c r="B928" s="308">
        <f>IFERROR(__xludf.DUMMYFUNCTION("""COMPUTED_VALUE"""),44980.0)</f>
        <v>44980</v>
      </c>
      <c r="C928" s="309">
        <f>IFERROR(__xludf.DUMMYFUNCTION("""COMPUTED_VALUE"""),0.34078703703703705)</f>
        <v>0.340787037</v>
      </c>
      <c r="D928" s="7" t="str">
        <f>IFERROR(__xludf.DUMMYFUNCTION("""COMPUTED_VALUE"""),"SpABRM655136")</f>
        <v>SpABRM655136</v>
      </c>
      <c r="E928" s="310"/>
      <c r="F928" s="310"/>
      <c r="G928" s="310" t="str">
        <f>IFERROR(__xludf.DUMMYFUNCTION("""COMPUTED_VALUE"""),"Negative")</f>
        <v>Negative</v>
      </c>
      <c r="H928" s="319" t="str">
        <f>IFERROR(__xludf.DUMMYFUNCTION("""COMPUTED_VALUE"""),"Negative")</f>
        <v>Negative</v>
      </c>
      <c r="I928" s="308">
        <f>IFERROR(__xludf.DUMMYFUNCTION("""COMPUTED_VALUE"""),44980.0)</f>
        <v>44980</v>
      </c>
      <c r="J928" s="311">
        <f>IFERROR(__xludf.DUMMYFUNCTION("""COMPUTED_VALUE"""),0.43408564814814815)</f>
        <v>0.4340856481</v>
      </c>
      <c r="K928" s="54"/>
      <c r="L928" s="7"/>
      <c r="M928" s="312"/>
      <c r="N928" s="172">
        <f>IFERROR(__xludf.DUMMYFUNCTION("""COMPUTED_VALUE"""),2.0)</f>
        <v>2</v>
      </c>
      <c r="O928" s="172"/>
      <c r="P928" s="313">
        <f>IFERROR(__xludf.DUMMYFUNCTION("""COMPUTED_VALUE"""),0.0)</f>
        <v>0</v>
      </c>
      <c r="Q928" s="76" t="b">
        <f>VLOOKUP($B928,'Run Reconcile'!B$2:O1399,14,FALSE)</f>
        <v>1</v>
      </c>
      <c r="R928" s="314" t="str">
        <f t="array" ref="R928">IF($Q928, INDEX('Run Reconcile'!A$2:A1399,MATCH(B928,'Run Reconcile'!B$2:B1399,0),1),IFERROR(0/0,""))</f>
        <v>RUN-ABRM_2023-02-23_RFR-167</v>
      </c>
      <c r="S928" s="315" t="str">
        <f t="shared" ref="S928:T928" si="1861">IF(COUNTIF(W$2:W1399, $A928) &gt; 0,TRUE,IFERROR(0/0,""))</f>
        <v/>
      </c>
      <c r="T928" s="315" t="str">
        <f t="shared" si="1861"/>
        <v/>
      </c>
      <c r="U928" s="114" t="str">
        <f t="array" ref="U928">IF(ISBLANK($R928), INDEX('Run Reconcile'!A$2:A1399, MATCH($B928, 'Run Reconcile'!B$2:B1399, 0)+Z928, 1), IFERROR(0/0,""))
</f>
        <v/>
      </c>
      <c r="V928" s="316" t="str">
        <f t="shared" si="1281"/>
        <v>RUN-ABRM_2023-02-23_RFR-167</v>
      </c>
      <c r="Y928" s="317" t="str">
        <f t="shared" si="6"/>
        <v/>
      </c>
      <c r="Z928" s="83" t="str">
        <f t="shared" si="7"/>
        <v/>
      </c>
      <c r="AA928" s="83" t="str">
        <f t="shared" si="8"/>
        <v/>
      </c>
      <c r="AB928" s="83" t="str">
        <f t="shared" si="9"/>
        <v/>
      </c>
      <c r="AC928" s="18" t="str">
        <f t="shared" ref="AC928:AD928" si="1862">IF(_xlfn.ISFORMULA(S928),IFERROR(0/0,""),TRUE)</f>
        <v/>
      </c>
      <c r="AD928" s="18" t="str">
        <f t="shared" si="1862"/>
        <v/>
      </c>
      <c r="AE928" s="43"/>
      <c r="AF928" s="58" t="s">
        <v>144</v>
      </c>
      <c r="AG928" s="55" t="str">
        <f t="shared" si="11"/>
        <v/>
      </c>
    </row>
    <row r="929">
      <c r="A929" s="7" t="str">
        <f>IFERROR(__xludf.DUMMYFUNCTION("""COMPUTED_VALUE"""),"AR981")</f>
        <v>AR981</v>
      </c>
      <c r="B929" s="308">
        <f>IFERROR(__xludf.DUMMYFUNCTION("""COMPUTED_VALUE"""),44981.0)</f>
        <v>44981</v>
      </c>
      <c r="C929" s="309">
        <f>IFERROR(__xludf.DUMMYFUNCTION("""COMPUTED_VALUE"""),0.2501157407407407)</f>
        <v>0.2501157407</v>
      </c>
      <c r="D929" s="7" t="str">
        <f>IFERROR(__xludf.DUMMYFUNCTION("""COMPUTED_VALUE"""),"SpABRM128250")</f>
        <v>SpABRM128250</v>
      </c>
      <c r="E929" s="310"/>
      <c r="F929" s="310"/>
      <c r="G929" s="310" t="str">
        <f>IFERROR(__xludf.DUMMYFUNCTION("""COMPUTED_VALUE"""),"Negative")</f>
        <v>Negative</v>
      </c>
      <c r="H929" s="319" t="str">
        <f>IFERROR(__xludf.DUMMYFUNCTION("""COMPUTED_VALUE"""),"Negative")</f>
        <v>Negative</v>
      </c>
      <c r="I929" s="308">
        <f>IFERROR(__xludf.DUMMYFUNCTION("""COMPUTED_VALUE"""),44981.0)</f>
        <v>44981</v>
      </c>
      <c r="J929" s="311">
        <f>IFERROR(__xludf.DUMMYFUNCTION("""COMPUTED_VALUE"""),0.37851851851851853)</f>
        <v>0.3785185185</v>
      </c>
      <c r="K929" s="54"/>
      <c r="L929" s="7"/>
      <c r="M929" s="312"/>
      <c r="N929" s="172">
        <f>IFERROR(__xludf.DUMMYFUNCTION("""COMPUTED_VALUE"""),3.0)</f>
        <v>3</v>
      </c>
      <c r="O929" s="172"/>
      <c r="P929" s="313">
        <f>IFERROR(__xludf.DUMMYFUNCTION("""COMPUTED_VALUE"""),0.0)</f>
        <v>0</v>
      </c>
      <c r="Q929" s="76" t="b">
        <f>VLOOKUP($B929,'Run Reconcile'!B$2:O1399,14,FALSE)</f>
        <v>1</v>
      </c>
      <c r="R929" s="314" t="str">
        <f t="array" ref="R929">IF($Q929, INDEX('Run Reconcile'!A$2:A1399,MATCH(B929,'Run Reconcile'!B$2:B1399,0),1),IFERROR(0/0,""))</f>
        <v>RUN-ABRM_2023-02-24_RFR-169</v>
      </c>
      <c r="S929" s="315" t="str">
        <f t="shared" ref="S929:T929" si="1863">IF(COUNTIF(W$2:W1399, $A929) &gt; 0,TRUE,IFERROR(0/0,""))</f>
        <v/>
      </c>
      <c r="T929" s="315" t="str">
        <f t="shared" si="1863"/>
        <v/>
      </c>
      <c r="U929" s="114" t="str">
        <f t="array" ref="U929">IF(ISBLANK($R929), INDEX('Run Reconcile'!A$2:A1399, MATCH($B929, 'Run Reconcile'!B$2:B1399, 0)+Z929, 1), IFERROR(0/0,""))
</f>
        <v/>
      </c>
      <c r="V929" s="316" t="str">
        <f t="shared" si="1281"/>
        <v>RUN-ABRM_2023-02-24_RFR-169</v>
      </c>
      <c r="Y929" s="317" t="str">
        <f t="shared" si="6"/>
        <v/>
      </c>
      <c r="Z929" s="83" t="str">
        <f t="shared" si="7"/>
        <v/>
      </c>
      <c r="AA929" s="83" t="str">
        <f t="shared" si="8"/>
        <v/>
      </c>
      <c r="AB929" s="83" t="str">
        <f t="shared" si="9"/>
        <v/>
      </c>
      <c r="AC929" s="18" t="str">
        <f t="shared" ref="AC929:AD929" si="1864">IF(_xlfn.ISFORMULA(S929),IFERROR(0/0,""),TRUE)</f>
        <v/>
      </c>
      <c r="AD929" s="18" t="str">
        <f t="shared" si="1864"/>
        <v/>
      </c>
      <c r="AE929" s="43"/>
      <c r="AF929" s="58" t="s">
        <v>145</v>
      </c>
      <c r="AG929" s="55" t="str">
        <f t="shared" si="11"/>
        <v/>
      </c>
    </row>
    <row r="930">
      <c r="A930" s="7" t="str">
        <f>IFERROR(__xludf.DUMMYFUNCTION("""COMPUTED_VALUE"""),"AR992")</f>
        <v>AR992</v>
      </c>
      <c r="B930" s="308">
        <f>IFERROR(__xludf.DUMMYFUNCTION("""COMPUTED_VALUE"""),44981.0)</f>
        <v>44981</v>
      </c>
      <c r="C930" s="309">
        <f>IFERROR(__xludf.DUMMYFUNCTION("""COMPUTED_VALUE"""),0.29234953703703703)</f>
        <v>0.292349537</v>
      </c>
      <c r="D930" s="7" t="str">
        <f>IFERROR(__xludf.DUMMYFUNCTION("""COMPUTED_VALUE"""),"SpABRM519188")</f>
        <v>SpABRM519188</v>
      </c>
      <c r="E930" s="310"/>
      <c r="F930" s="310"/>
      <c r="G930" s="310" t="str">
        <f>IFERROR(__xludf.DUMMYFUNCTION("""COMPUTED_VALUE"""),"Negative")</f>
        <v>Negative</v>
      </c>
      <c r="H930" s="319" t="str">
        <f>IFERROR(__xludf.DUMMYFUNCTION("""COMPUTED_VALUE"""),"Negative")</f>
        <v>Negative</v>
      </c>
      <c r="I930" s="308">
        <f>IFERROR(__xludf.DUMMYFUNCTION("""COMPUTED_VALUE"""),44981.0)</f>
        <v>44981</v>
      </c>
      <c r="J930" s="311">
        <f>IFERROR(__xludf.DUMMYFUNCTION("""COMPUTED_VALUE"""),0.37853009259259257)</f>
        <v>0.3785300926</v>
      </c>
      <c r="K930" s="54"/>
      <c r="L930" s="7"/>
      <c r="M930" s="312"/>
      <c r="N930" s="172">
        <f>IFERROR(__xludf.DUMMYFUNCTION("""COMPUTED_VALUE"""),1.0)</f>
        <v>1</v>
      </c>
      <c r="O930" s="172"/>
      <c r="P930" s="313">
        <f>IFERROR(__xludf.DUMMYFUNCTION("""COMPUTED_VALUE"""),0.0)</f>
        <v>0</v>
      </c>
      <c r="Q930" s="76" t="b">
        <f>VLOOKUP($B930,'Run Reconcile'!B$2:O1399,14,FALSE)</f>
        <v>1</v>
      </c>
      <c r="R930" s="314" t="str">
        <f t="array" ref="R930">IF($Q930, INDEX('Run Reconcile'!A$2:A1399,MATCH(B930,'Run Reconcile'!B$2:B1399,0),1),IFERROR(0/0,""))</f>
        <v>RUN-ABRM_2023-02-24_RFR-169</v>
      </c>
      <c r="S930" s="315" t="str">
        <f t="shared" ref="S930:T930" si="1865">IF(COUNTIF(W$2:W1399, $A930) &gt; 0,TRUE,IFERROR(0/0,""))</f>
        <v/>
      </c>
      <c r="T930" s="315" t="str">
        <f t="shared" si="1865"/>
        <v/>
      </c>
      <c r="U930" s="114" t="str">
        <f t="array" ref="U930">IF(ISBLANK($R930), INDEX('Run Reconcile'!A$2:A1399, MATCH($B930, 'Run Reconcile'!B$2:B1399, 0)+Z930, 1), IFERROR(0/0,""))
</f>
        <v/>
      </c>
      <c r="V930" s="316" t="str">
        <f t="shared" si="1281"/>
        <v>RUN-ABRM_2023-02-24_RFR-169</v>
      </c>
      <c r="Y930" s="317" t="str">
        <f t="shared" si="6"/>
        <v/>
      </c>
      <c r="Z930" s="83" t="str">
        <f t="shared" si="7"/>
        <v/>
      </c>
      <c r="AA930" s="83" t="str">
        <f t="shared" si="8"/>
        <v/>
      </c>
      <c r="AB930" s="83" t="str">
        <f t="shared" si="9"/>
        <v/>
      </c>
      <c r="AC930" s="18" t="str">
        <f t="shared" ref="AC930:AD930" si="1866">IF(_xlfn.ISFORMULA(S930),IFERROR(0/0,""),TRUE)</f>
        <v/>
      </c>
      <c r="AD930" s="18" t="str">
        <f t="shared" si="1866"/>
        <v/>
      </c>
      <c r="AE930" s="43"/>
      <c r="AF930" s="58" t="s">
        <v>145</v>
      </c>
      <c r="AG930" s="55" t="str">
        <f t="shared" si="11"/>
        <v/>
      </c>
    </row>
    <row r="931">
      <c r="A931" s="7" t="str">
        <f>IFERROR(__xludf.DUMMYFUNCTION("""COMPUTED_VALUE"""),"AR944")</f>
        <v>AR944</v>
      </c>
      <c r="B931" s="308">
        <f>IFERROR(__xludf.DUMMYFUNCTION("""COMPUTED_VALUE"""),44981.0)</f>
        <v>44981</v>
      </c>
      <c r="C931" s="309">
        <f>IFERROR(__xludf.DUMMYFUNCTION("""COMPUTED_VALUE"""),0.32608796296296294)</f>
        <v>0.326087963</v>
      </c>
      <c r="D931" s="7" t="str">
        <f>IFERROR(__xludf.DUMMYFUNCTION("""COMPUTED_VALUE"""),"SpABRM655136")</f>
        <v>SpABRM655136</v>
      </c>
      <c r="E931" s="310"/>
      <c r="F931" s="310"/>
      <c r="G931" s="310" t="str">
        <f>IFERROR(__xludf.DUMMYFUNCTION("""COMPUTED_VALUE"""),"Negative")</f>
        <v>Negative</v>
      </c>
      <c r="H931" s="319" t="str">
        <f>IFERROR(__xludf.DUMMYFUNCTION("""COMPUTED_VALUE"""),"Negative")</f>
        <v>Negative</v>
      </c>
      <c r="I931" s="308">
        <f>IFERROR(__xludf.DUMMYFUNCTION("""COMPUTED_VALUE"""),44981.0)</f>
        <v>44981</v>
      </c>
      <c r="J931" s="311">
        <f>IFERROR(__xludf.DUMMYFUNCTION("""COMPUTED_VALUE"""),0.37854166666666667)</f>
        <v>0.3785416667</v>
      </c>
      <c r="K931" s="54"/>
      <c r="L931" s="7"/>
      <c r="M931" s="312"/>
      <c r="N931" s="172">
        <f>IFERROR(__xludf.DUMMYFUNCTION("""COMPUTED_VALUE"""),2.0)</f>
        <v>2</v>
      </c>
      <c r="O931" s="172"/>
      <c r="P931" s="313">
        <f>IFERROR(__xludf.DUMMYFUNCTION("""COMPUTED_VALUE"""),0.0)</f>
        <v>0</v>
      </c>
      <c r="Q931" s="76" t="b">
        <f>VLOOKUP($B931,'Run Reconcile'!B$2:O1399,14,FALSE)</f>
        <v>1</v>
      </c>
      <c r="R931" s="314" t="str">
        <f t="array" ref="R931">IF($Q931, INDEX('Run Reconcile'!A$2:A1399,MATCH(B931,'Run Reconcile'!B$2:B1399,0),1),IFERROR(0/0,""))</f>
        <v>RUN-ABRM_2023-02-24_RFR-169</v>
      </c>
      <c r="S931" s="315" t="str">
        <f t="shared" ref="S931:T931" si="1867">IF(COUNTIF(W$2:W1399, $A931) &gt; 0,TRUE,IFERROR(0/0,""))</f>
        <v/>
      </c>
      <c r="T931" s="315" t="str">
        <f t="shared" si="1867"/>
        <v/>
      </c>
      <c r="U931" s="114" t="str">
        <f t="array" ref="U931">IF(ISBLANK($R931), INDEX('Run Reconcile'!A$2:A1399, MATCH($B931, 'Run Reconcile'!B$2:B1399, 0)+Z931, 1), IFERROR(0/0,""))
</f>
        <v/>
      </c>
      <c r="V931" s="316" t="str">
        <f t="shared" si="1281"/>
        <v>RUN-ABRM_2023-02-24_RFR-169</v>
      </c>
      <c r="Y931" s="317" t="str">
        <f t="shared" si="6"/>
        <v/>
      </c>
      <c r="Z931" s="83" t="str">
        <f t="shared" si="7"/>
        <v/>
      </c>
      <c r="AA931" s="83" t="str">
        <f t="shared" si="8"/>
        <v/>
      </c>
      <c r="AB931" s="83" t="str">
        <f t="shared" si="9"/>
        <v/>
      </c>
      <c r="AC931" s="18" t="str">
        <f t="shared" ref="AC931:AD931" si="1868">IF(_xlfn.ISFORMULA(S931),IFERROR(0/0,""),TRUE)</f>
        <v/>
      </c>
      <c r="AD931" s="18" t="str">
        <f t="shared" si="1868"/>
        <v/>
      </c>
      <c r="AE931" s="43"/>
      <c r="AF931" s="58" t="s">
        <v>145</v>
      </c>
      <c r="AG931" s="55" t="str">
        <f t="shared" si="11"/>
        <v/>
      </c>
    </row>
    <row r="932">
      <c r="A932" s="7" t="str">
        <f>IFERROR(__xludf.DUMMYFUNCTION("""COMPUTED_VALUE"""),"AR1115")</f>
        <v>AR1115</v>
      </c>
      <c r="B932" s="308">
        <f>IFERROR(__xludf.DUMMYFUNCTION("""COMPUTED_VALUE"""),44981.0)</f>
        <v>44981</v>
      </c>
      <c r="C932" s="309">
        <f>IFERROR(__xludf.DUMMYFUNCTION("""COMPUTED_VALUE"""),0.32645833333333335)</f>
        <v>0.3264583333</v>
      </c>
      <c r="D932" s="7" t="str">
        <f>IFERROR(__xludf.DUMMYFUNCTION("""COMPUTED_VALUE"""),"SpABRM655136")</f>
        <v>SpABRM655136</v>
      </c>
      <c r="E932" s="310"/>
      <c r="F932" s="310"/>
      <c r="G932" s="310" t="str">
        <f>IFERROR(__xludf.DUMMYFUNCTION("""COMPUTED_VALUE"""),"Negative")</f>
        <v>Negative</v>
      </c>
      <c r="H932" s="319" t="str">
        <f>IFERROR(__xludf.DUMMYFUNCTION("""COMPUTED_VALUE"""),"Negative")</f>
        <v>Negative</v>
      </c>
      <c r="I932" s="308">
        <f>IFERROR(__xludf.DUMMYFUNCTION("""COMPUTED_VALUE"""),44981.0)</f>
        <v>44981</v>
      </c>
      <c r="J932" s="311">
        <f>IFERROR(__xludf.DUMMYFUNCTION("""COMPUTED_VALUE"""),0.40133101851851855)</f>
        <v>0.4013310185</v>
      </c>
      <c r="K932" s="54"/>
      <c r="L932" s="7"/>
      <c r="M932" s="312"/>
      <c r="N932" s="172">
        <f>IFERROR(__xludf.DUMMYFUNCTION("""COMPUTED_VALUE"""),1.0)</f>
        <v>1</v>
      </c>
      <c r="O932" s="172"/>
      <c r="P932" s="313">
        <f>IFERROR(__xludf.DUMMYFUNCTION("""COMPUTED_VALUE"""),0.0)</f>
        <v>0</v>
      </c>
      <c r="Q932" s="76" t="b">
        <f>VLOOKUP($B932,'Run Reconcile'!B$2:O1399,14,FALSE)</f>
        <v>1</v>
      </c>
      <c r="R932" s="314" t="str">
        <f t="array" ref="R932">IF($Q932, INDEX('Run Reconcile'!A$2:A1399,MATCH(B932,'Run Reconcile'!B$2:B1399,0),1),IFERROR(0/0,""))</f>
        <v>RUN-ABRM_2023-02-24_RFR-169</v>
      </c>
      <c r="S932" s="315" t="str">
        <f t="shared" ref="S932:T932" si="1869">IF(COUNTIF(W$2:W1399, $A932) &gt; 0,TRUE,IFERROR(0/0,""))</f>
        <v/>
      </c>
      <c r="T932" s="315" t="str">
        <f t="shared" si="1869"/>
        <v/>
      </c>
      <c r="U932" s="114" t="str">
        <f t="array" ref="U932">IF(ISBLANK($R932), INDEX('Run Reconcile'!A$2:A1399, MATCH($B932, 'Run Reconcile'!B$2:B1399, 0)+Z932, 1), IFERROR(0/0,""))
</f>
        <v/>
      </c>
      <c r="V932" s="316" t="str">
        <f t="shared" si="1281"/>
        <v>RUN-ABRM_2023-02-24_RFR-169</v>
      </c>
      <c r="Y932" s="317" t="str">
        <f t="shared" si="6"/>
        <v/>
      </c>
      <c r="Z932" s="83" t="str">
        <f t="shared" si="7"/>
        <v/>
      </c>
      <c r="AA932" s="83" t="str">
        <f t="shared" si="8"/>
        <v/>
      </c>
      <c r="AB932" s="83" t="str">
        <f t="shared" si="9"/>
        <v/>
      </c>
      <c r="AC932" s="18" t="str">
        <f t="shared" ref="AC932:AD932" si="1870">IF(_xlfn.ISFORMULA(S932),IFERROR(0/0,""),TRUE)</f>
        <v/>
      </c>
      <c r="AD932" s="18" t="str">
        <f t="shared" si="1870"/>
        <v/>
      </c>
      <c r="AE932" s="43"/>
      <c r="AF932" s="58" t="s">
        <v>145</v>
      </c>
      <c r="AG932" s="55" t="str">
        <f t="shared" si="11"/>
        <v/>
      </c>
    </row>
    <row r="933">
      <c r="A933" s="7" t="str">
        <f>IFERROR(__xludf.DUMMYFUNCTION("""COMPUTED_VALUE"""),"AK9995")</f>
        <v>AK9995</v>
      </c>
      <c r="B933" s="308">
        <f>IFERROR(__xludf.DUMMYFUNCTION("""COMPUTED_VALUE"""),44981.0)</f>
        <v>44981</v>
      </c>
      <c r="C933" s="309">
        <f>IFERROR(__xludf.DUMMYFUNCTION("""COMPUTED_VALUE"""),0.33383101851851854)</f>
        <v>0.3338310185</v>
      </c>
      <c r="D933" s="7" t="str">
        <f>IFERROR(__xludf.DUMMYFUNCTION("""COMPUTED_VALUE"""),"SpABRM655136")</f>
        <v>SpABRM655136</v>
      </c>
      <c r="E933" s="310"/>
      <c r="F933" s="310"/>
      <c r="G933" s="310" t="str">
        <f>IFERROR(__xludf.DUMMYFUNCTION("""COMPUTED_VALUE"""),"Negative")</f>
        <v>Negative</v>
      </c>
      <c r="H933" s="319" t="str">
        <f>IFERROR(__xludf.DUMMYFUNCTION("""COMPUTED_VALUE"""),"Negative")</f>
        <v>Negative</v>
      </c>
      <c r="I933" s="308">
        <f>IFERROR(__xludf.DUMMYFUNCTION("""COMPUTED_VALUE"""),44981.0)</f>
        <v>44981</v>
      </c>
      <c r="J933" s="311">
        <f>IFERROR(__xludf.DUMMYFUNCTION("""COMPUTED_VALUE"""),0.37854166666666667)</f>
        <v>0.3785416667</v>
      </c>
      <c r="K933" s="54"/>
      <c r="L933" s="7"/>
      <c r="M933" s="312"/>
      <c r="N933" s="172">
        <f>IFERROR(__xludf.DUMMYFUNCTION("""COMPUTED_VALUE"""),4.0)</f>
        <v>4</v>
      </c>
      <c r="O933" s="172"/>
      <c r="P933" s="313">
        <f>IFERROR(__xludf.DUMMYFUNCTION("""COMPUTED_VALUE"""),0.0)</f>
        <v>0</v>
      </c>
      <c r="Q933" s="76" t="b">
        <f>VLOOKUP($B933,'Run Reconcile'!B$2:O1399,14,FALSE)</f>
        <v>1</v>
      </c>
      <c r="R933" s="314" t="str">
        <f t="array" ref="R933">IF($Q933, INDEX('Run Reconcile'!A$2:A1399,MATCH(B933,'Run Reconcile'!B$2:B1399,0),1),IFERROR(0/0,""))</f>
        <v>RUN-ABRM_2023-02-24_RFR-169</v>
      </c>
      <c r="S933" s="315" t="str">
        <f t="shared" ref="S933:T933" si="1871">IF(COUNTIF(W$2:W1399, $A933) &gt; 0,TRUE,IFERROR(0/0,""))</f>
        <v/>
      </c>
      <c r="T933" s="315" t="str">
        <f t="shared" si="1871"/>
        <v/>
      </c>
      <c r="U933" s="114" t="str">
        <f t="array" ref="U933">IF(ISBLANK($R933), INDEX('Run Reconcile'!A$2:A1399, MATCH($B933, 'Run Reconcile'!B$2:B1399, 0)+Z933, 1), IFERROR(0/0,""))
</f>
        <v/>
      </c>
      <c r="V933" s="316" t="str">
        <f t="shared" si="1281"/>
        <v>RUN-ABRM_2023-02-24_RFR-169</v>
      </c>
      <c r="Y933" s="317" t="str">
        <f t="shared" si="6"/>
        <v/>
      </c>
      <c r="Z933" s="83" t="str">
        <f t="shared" si="7"/>
        <v/>
      </c>
      <c r="AA933" s="83" t="str">
        <f t="shared" si="8"/>
        <v/>
      </c>
      <c r="AB933" s="83" t="str">
        <f t="shared" si="9"/>
        <v/>
      </c>
      <c r="AC933" s="18" t="str">
        <f t="shared" ref="AC933:AD933" si="1872">IF(_xlfn.ISFORMULA(S933),IFERROR(0/0,""),TRUE)</f>
        <v/>
      </c>
      <c r="AD933" s="18" t="str">
        <f t="shared" si="1872"/>
        <v/>
      </c>
      <c r="AE933" s="43"/>
      <c r="AF933" s="58" t="s">
        <v>145</v>
      </c>
      <c r="AG933" s="55" t="str">
        <f t="shared" si="11"/>
        <v/>
      </c>
    </row>
    <row r="934">
      <c r="A934" s="7" t="str">
        <f>IFERROR(__xludf.DUMMYFUNCTION("""COMPUTED_VALUE"""),"AR1271")</f>
        <v>AR1271</v>
      </c>
      <c r="B934" s="308">
        <f>IFERROR(__xludf.DUMMYFUNCTION("""COMPUTED_VALUE"""),44981.0)</f>
        <v>44981</v>
      </c>
      <c r="C934" s="309">
        <f>IFERROR(__xludf.DUMMYFUNCTION("""COMPUTED_VALUE"""),0.33425925925925926)</f>
        <v>0.3342592593</v>
      </c>
      <c r="D934" s="7" t="str">
        <f>IFERROR(__xludf.DUMMYFUNCTION("""COMPUTED_VALUE"""),"SpABRM655136")</f>
        <v>SpABRM655136</v>
      </c>
      <c r="E934" s="310"/>
      <c r="F934" s="310"/>
      <c r="G934" s="310" t="str">
        <f>IFERROR(__xludf.DUMMYFUNCTION("""COMPUTED_VALUE"""),"Negative")</f>
        <v>Negative</v>
      </c>
      <c r="H934" s="319" t="str">
        <f>IFERROR(__xludf.DUMMYFUNCTION("""COMPUTED_VALUE"""),"Negative")</f>
        <v>Negative</v>
      </c>
      <c r="I934" s="308">
        <f>IFERROR(__xludf.DUMMYFUNCTION("""COMPUTED_VALUE"""),44981.0)</f>
        <v>44981</v>
      </c>
      <c r="J934" s="311">
        <f>IFERROR(__xludf.DUMMYFUNCTION("""COMPUTED_VALUE"""),0.37855324074074076)</f>
        <v>0.3785532407</v>
      </c>
      <c r="K934" s="54"/>
      <c r="L934" s="7"/>
      <c r="M934" s="312"/>
      <c r="N934" s="172">
        <f>IFERROR(__xludf.DUMMYFUNCTION("""COMPUTED_VALUE"""),1.0)</f>
        <v>1</v>
      </c>
      <c r="O934" s="172"/>
      <c r="P934" s="313">
        <f>IFERROR(__xludf.DUMMYFUNCTION("""COMPUTED_VALUE"""),0.0)</f>
        <v>0</v>
      </c>
      <c r="Q934" s="76" t="b">
        <f>VLOOKUP($B934,'Run Reconcile'!B$2:O1399,14,FALSE)</f>
        <v>1</v>
      </c>
      <c r="R934" s="314" t="str">
        <f t="array" ref="R934">IF($Q934, INDEX('Run Reconcile'!A$2:A1399,MATCH(B934,'Run Reconcile'!B$2:B1399,0),1),IFERROR(0/0,""))</f>
        <v>RUN-ABRM_2023-02-24_RFR-169</v>
      </c>
      <c r="S934" s="315" t="str">
        <f t="shared" ref="S934:T934" si="1873">IF(COUNTIF(W$2:W1399, $A934) &gt; 0,TRUE,IFERROR(0/0,""))</f>
        <v/>
      </c>
      <c r="T934" s="315" t="str">
        <f t="shared" si="1873"/>
        <v/>
      </c>
      <c r="U934" s="114" t="str">
        <f t="array" ref="U934">IF(ISBLANK($R934), INDEX('Run Reconcile'!A$2:A1399, MATCH($B934, 'Run Reconcile'!B$2:B1399, 0)+Z934, 1), IFERROR(0/0,""))
</f>
        <v/>
      </c>
      <c r="V934" s="316" t="str">
        <f t="shared" si="1281"/>
        <v>RUN-ABRM_2023-02-24_RFR-169</v>
      </c>
      <c r="Y934" s="317" t="str">
        <f t="shared" si="6"/>
        <v/>
      </c>
      <c r="Z934" s="83" t="str">
        <f t="shared" si="7"/>
        <v/>
      </c>
      <c r="AA934" s="83" t="str">
        <f t="shared" si="8"/>
        <v/>
      </c>
      <c r="AB934" s="83" t="str">
        <f t="shared" si="9"/>
        <v/>
      </c>
      <c r="AC934" s="18" t="str">
        <f t="shared" ref="AC934:AD934" si="1874">IF(_xlfn.ISFORMULA(S934),IFERROR(0/0,""),TRUE)</f>
        <v/>
      </c>
      <c r="AD934" s="18" t="str">
        <f t="shared" si="1874"/>
        <v/>
      </c>
      <c r="AE934" s="43"/>
      <c r="AF934" s="58" t="s">
        <v>145</v>
      </c>
      <c r="AG934" s="55" t="str">
        <f t="shared" si="11"/>
        <v/>
      </c>
    </row>
    <row r="935">
      <c r="A935" s="7" t="str">
        <f>IFERROR(__xludf.DUMMYFUNCTION("""COMPUTED_VALUE"""),"AR630")</f>
        <v>AR630</v>
      </c>
      <c r="B935" s="308">
        <f>IFERROR(__xludf.DUMMYFUNCTION("""COMPUTED_VALUE"""),44981.0)</f>
        <v>44981</v>
      </c>
      <c r="C935" s="309">
        <f>IFERROR(__xludf.DUMMYFUNCTION("""COMPUTED_VALUE"""),0.3345138888888889)</f>
        <v>0.3345138889</v>
      </c>
      <c r="D935" s="7" t="str">
        <f>IFERROR(__xludf.DUMMYFUNCTION("""COMPUTED_VALUE"""),"SpABRM655136")</f>
        <v>SpABRM655136</v>
      </c>
      <c r="E935" s="310"/>
      <c r="F935" s="310"/>
      <c r="G935" s="310" t="str">
        <f>IFERROR(__xludf.DUMMYFUNCTION("""COMPUTED_VALUE"""),"Negative")</f>
        <v>Negative</v>
      </c>
      <c r="H935" s="319" t="str">
        <f>IFERROR(__xludf.DUMMYFUNCTION("""COMPUTED_VALUE"""),"Negative")</f>
        <v>Negative</v>
      </c>
      <c r="I935" s="308">
        <f>IFERROR(__xludf.DUMMYFUNCTION("""COMPUTED_VALUE"""),44981.0)</f>
        <v>44981</v>
      </c>
      <c r="J935" s="311">
        <f>IFERROR(__xludf.DUMMYFUNCTION("""COMPUTED_VALUE"""),0.3785648148148148)</f>
        <v>0.3785648148</v>
      </c>
      <c r="K935" s="54"/>
      <c r="L935" s="7"/>
      <c r="M935" s="312"/>
      <c r="N935" s="172">
        <f>IFERROR(__xludf.DUMMYFUNCTION("""COMPUTED_VALUE"""),2.0)</f>
        <v>2</v>
      </c>
      <c r="O935" s="172"/>
      <c r="P935" s="313">
        <f>IFERROR(__xludf.DUMMYFUNCTION("""COMPUTED_VALUE"""),0.0)</f>
        <v>0</v>
      </c>
      <c r="Q935" s="76" t="b">
        <f>VLOOKUP($B935,'Run Reconcile'!B$2:O1399,14,FALSE)</f>
        <v>1</v>
      </c>
      <c r="R935" s="314" t="str">
        <f t="array" ref="R935">IF($Q935, INDEX('Run Reconcile'!A$2:A1399,MATCH(B935,'Run Reconcile'!B$2:B1399,0),1),IFERROR(0/0,""))</f>
        <v>RUN-ABRM_2023-02-24_RFR-169</v>
      </c>
      <c r="S935" s="315" t="str">
        <f t="shared" ref="S935:T935" si="1875">IF(COUNTIF(W$2:W1399, $A935) &gt; 0,TRUE,IFERROR(0/0,""))</f>
        <v/>
      </c>
      <c r="T935" s="315" t="str">
        <f t="shared" si="1875"/>
        <v/>
      </c>
      <c r="U935" s="114" t="str">
        <f t="array" ref="U935">IF(ISBLANK($R935), INDEX('Run Reconcile'!A$2:A1399, MATCH($B935, 'Run Reconcile'!B$2:B1399, 0)+Z935, 1), IFERROR(0/0,""))
</f>
        <v/>
      </c>
      <c r="V935" s="316" t="str">
        <f t="shared" si="1281"/>
        <v>RUN-ABRM_2023-02-24_RFR-169</v>
      </c>
      <c r="Y935" s="317" t="str">
        <f t="shared" si="6"/>
        <v/>
      </c>
      <c r="Z935" s="83" t="str">
        <f t="shared" si="7"/>
        <v/>
      </c>
      <c r="AA935" s="83" t="str">
        <f t="shared" si="8"/>
        <v/>
      </c>
      <c r="AB935" s="83" t="str">
        <f t="shared" si="9"/>
        <v/>
      </c>
      <c r="AC935" s="18" t="str">
        <f t="shared" ref="AC935:AD935" si="1876">IF(_xlfn.ISFORMULA(S935),IFERROR(0/0,""),TRUE)</f>
        <v/>
      </c>
      <c r="AD935" s="18" t="str">
        <f t="shared" si="1876"/>
        <v/>
      </c>
      <c r="AE935" s="43"/>
      <c r="AF935" s="58" t="s">
        <v>145</v>
      </c>
      <c r="AG935" s="55" t="str">
        <f t="shared" si="11"/>
        <v/>
      </c>
    </row>
    <row r="936">
      <c r="A936" s="7" t="str">
        <f>IFERROR(__xludf.DUMMYFUNCTION("""COMPUTED_VALUE"""),"AB9635")</f>
        <v>AB9635</v>
      </c>
      <c r="B936" s="308">
        <f>IFERROR(__xludf.DUMMYFUNCTION("""COMPUTED_VALUE"""),44984.0)</f>
        <v>44984</v>
      </c>
      <c r="C936" s="309">
        <f>IFERROR(__xludf.DUMMYFUNCTION("""COMPUTED_VALUE"""),0.23304398148148148)</f>
        <v>0.2330439815</v>
      </c>
      <c r="D936" s="7" t="str">
        <f>IFERROR(__xludf.DUMMYFUNCTION("""COMPUTED_VALUE"""),"SpABRM128250")</f>
        <v>SpABRM128250</v>
      </c>
      <c r="E936" s="310"/>
      <c r="F936" s="310"/>
      <c r="G936" s="310" t="str">
        <f>IFERROR(__xludf.DUMMYFUNCTION("""COMPUTED_VALUE"""),"Negative")</f>
        <v>Negative</v>
      </c>
      <c r="H936" s="319" t="str">
        <f>IFERROR(__xludf.DUMMYFUNCTION("""COMPUTED_VALUE"""),"Negative")</f>
        <v>Negative</v>
      </c>
      <c r="I936" s="308">
        <f>IFERROR(__xludf.DUMMYFUNCTION("""COMPUTED_VALUE"""),44984.0)</f>
        <v>44984</v>
      </c>
      <c r="J936" s="311">
        <f>IFERROR(__xludf.DUMMYFUNCTION("""COMPUTED_VALUE"""),0.4086689814814815)</f>
        <v>0.4086689815</v>
      </c>
      <c r="K936" s="54"/>
      <c r="L936" s="7"/>
      <c r="M936" s="312"/>
      <c r="N936" s="172">
        <f>IFERROR(__xludf.DUMMYFUNCTION("""COMPUTED_VALUE"""),3.0)</f>
        <v>3</v>
      </c>
      <c r="O936" s="172"/>
      <c r="P936" s="313">
        <f>IFERROR(__xludf.DUMMYFUNCTION("""COMPUTED_VALUE"""),0.0)</f>
        <v>0</v>
      </c>
      <c r="Q936" s="76" t="b">
        <f>VLOOKUP($B936,'Run Reconcile'!B$2:O1399,14,FALSE)</f>
        <v>1</v>
      </c>
      <c r="R936" s="314" t="str">
        <f t="array" ref="R936">IF($Q936, INDEX('Run Reconcile'!A$2:A1399,MATCH(B936,'Run Reconcile'!B$2:B1399,0),1),IFERROR(0/0,""))</f>
        <v>RUN-ABRM_2023-02-27_RFR-171</v>
      </c>
      <c r="S936" s="315" t="str">
        <f t="shared" ref="S936:T936" si="1877">IF(COUNTIF(W$2:W1399, $A936) &gt; 0,TRUE,IFERROR(0/0,""))</f>
        <v/>
      </c>
      <c r="T936" s="315" t="str">
        <f t="shared" si="1877"/>
        <v/>
      </c>
      <c r="U936" s="114" t="str">
        <f t="array" ref="U936">IF(ISBLANK($R936), INDEX('Run Reconcile'!A$2:A1399, MATCH($B936, 'Run Reconcile'!B$2:B1399, 0)+Z936, 1), IFERROR(0/0,""))
</f>
        <v/>
      </c>
      <c r="V936" s="316" t="str">
        <f t="shared" si="1281"/>
        <v>RUN-ABRM_2023-02-27_RFR-171</v>
      </c>
      <c r="Y936" s="317" t="str">
        <f t="shared" si="6"/>
        <v/>
      </c>
      <c r="Z936" s="83" t="str">
        <f t="shared" si="7"/>
        <v/>
      </c>
      <c r="AA936" s="83" t="str">
        <f t="shared" si="8"/>
        <v/>
      </c>
      <c r="AB936" s="83" t="str">
        <f t="shared" si="9"/>
        <v/>
      </c>
      <c r="AC936" s="18" t="str">
        <f t="shared" ref="AC936:AD936" si="1878">IF(_xlfn.ISFORMULA(S936),IFERROR(0/0,""),TRUE)</f>
        <v/>
      </c>
      <c r="AD936" s="18" t="str">
        <f t="shared" si="1878"/>
        <v/>
      </c>
      <c r="AE936" s="43"/>
      <c r="AF936" s="58" t="s">
        <v>146</v>
      </c>
      <c r="AG936" s="55" t="str">
        <f t="shared" si="11"/>
        <v/>
      </c>
    </row>
    <row r="937">
      <c r="A937" s="7" t="str">
        <f>IFERROR(__xludf.DUMMYFUNCTION("""COMPUTED_VALUE"""),"AR438")</f>
        <v>AR438</v>
      </c>
      <c r="B937" s="308">
        <f>IFERROR(__xludf.DUMMYFUNCTION("""COMPUTED_VALUE"""),44984.0)</f>
        <v>44984</v>
      </c>
      <c r="C937" s="309">
        <f>IFERROR(__xludf.DUMMYFUNCTION("""COMPUTED_VALUE"""),0.24173611111111112)</f>
        <v>0.2417361111</v>
      </c>
      <c r="D937" s="7" t="str">
        <f>IFERROR(__xludf.DUMMYFUNCTION("""COMPUTED_VALUE"""),"SpABRM297307")</f>
        <v>SpABRM297307</v>
      </c>
      <c r="E937" s="310"/>
      <c r="F937" s="310"/>
      <c r="G937" s="310" t="str">
        <f>IFERROR(__xludf.DUMMYFUNCTION("""COMPUTED_VALUE"""),"Negative")</f>
        <v>Negative</v>
      </c>
      <c r="H937" s="319" t="str">
        <f>IFERROR(__xludf.DUMMYFUNCTION("""COMPUTED_VALUE"""),"Negative")</f>
        <v>Negative</v>
      </c>
      <c r="I937" s="308">
        <f>IFERROR(__xludf.DUMMYFUNCTION("""COMPUTED_VALUE"""),44984.0)</f>
        <v>44984</v>
      </c>
      <c r="J937" s="311">
        <f>IFERROR(__xludf.DUMMYFUNCTION("""COMPUTED_VALUE"""),0.4086689814814815)</f>
        <v>0.4086689815</v>
      </c>
      <c r="K937" s="54"/>
      <c r="L937" s="7"/>
      <c r="M937" s="312"/>
      <c r="N937" s="172">
        <f>IFERROR(__xludf.DUMMYFUNCTION("""COMPUTED_VALUE"""),3.0)</f>
        <v>3</v>
      </c>
      <c r="O937" s="172"/>
      <c r="P937" s="313">
        <f>IFERROR(__xludf.DUMMYFUNCTION("""COMPUTED_VALUE"""),0.0)</f>
        <v>0</v>
      </c>
      <c r="Q937" s="76" t="b">
        <f>VLOOKUP($B937,'Run Reconcile'!B$2:O1399,14,FALSE)</f>
        <v>1</v>
      </c>
      <c r="R937" s="314" t="str">
        <f t="array" ref="R937">IF($Q937, INDEX('Run Reconcile'!A$2:A1399,MATCH(B937,'Run Reconcile'!B$2:B1399,0),1),IFERROR(0/0,""))</f>
        <v>RUN-ABRM_2023-02-27_RFR-171</v>
      </c>
      <c r="S937" s="315" t="str">
        <f t="shared" ref="S937:T937" si="1879">IF(COUNTIF(W$2:W1399, $A937) &gt; 0,TRUE,IFERROR(0/0,""))</f>
        <v/>
      </c>
      <c r="T937" s="315" t="str">
        <f t="shared" si="1879"/>
        <v/>
      </c>
      <c r="U937" s="114" t="str">
        <f t="array" ref="U937">IF(ISBLANK($R937), INDEX('Run Reconcile'!A$2:A1399, MATCH($B937, 'Run Reconcile'!B$2:B1399, 0)+Z937, 1), IFERROR(0/0,""))
</f>
        <v/>
      </c>
      <c r="V937" s="316" t="str">
        <f t="shared" si="1281"/>
        <v>RUN-ABRM_2023-02-27_RFR-171</v>
      </c>
      <c r="Y937" s="317" t="str">
        <f t="shared" si="6"/>
        <v/>
      </c>
      <c r="Z937" s="83" t="str">
        <f t="shared" si="7"/>
        <v/>
      </c>
      <c r="AA937" s="83" t="str">
        <f t="shared" si="8"/>
        <v/>
      </c>
      <c r="AB937" s="83" t="str">
        <f t="shared" si="9"/>
        <v/>
      </c>
      <c r="AC937" s="18" t="str">
        <f t="shared" ref="AC937:AD937" si="1880">IF(_xlfn.ISFORMULA(S937),IFERROR(0/0,""),TRUE)</f>
        <v/>
      </c>
      <c r="AD937" s="18" t="str">
        <f t="shared" si="1880"/>
        <v/>
      </c>
      <c r="AE937" s="43"/>
      <c r="AF937" s="58" t="s">
        <v>146</v>
      </c>
      <c r="AG937" s="55" t="str">
        <f t="shared" si="11"/>
        <v/>
      </c>
    </row>
    <row r="938">
      <c r="A938" s="7" t="str">
        <f>IFERROR(__xludf.DUMMYFUNCTION("""COMPUTED_VALUE"""),"AJ8482")</f>
        <v>AJ8482</v>
      </c>
      <c r="B938" s="308">
        <f>IFERROR(__xludf.DUMMYFUNCTION("""COMPUTED_VALUE"""),44984.0)</f>
        <v>44984</v>
      </c>
      <c r="C938" s="309">
        <f>IFERROR(__xludf.DUMMYFUNCTION("""COMPUTED_VALUE"""),0.2922337962962963)</f>
        <v>0.2922337963</v>
      </c>
      <c r="D938" s="7" t="str">
        <f>IFERROR(__xludf.DUMMYFUNCTION("""COMPUTED_VALUE"""),"SpABRM367540")</f>
        <v>SpABRM367540</v>
      </c>
      <c r="E938" s="310"/>
      <c r="F938" s="310"/>
      <c r="G938" s="310" t="str">
        <f>IFERROR(__xludf.DUMMYFUNCTION("""COMPUTED_VALUE"""),"Negative")</f>
        <v>Negative</v>
      </c>
      <c r="H938" s="319" t="str">
        <f>IFERROR(__xludf.DUMMYFUNCTION("""COMPUTED_VALUE"""),"Negative")</f>
        <v>Negative</v>
      </c>
      <c r="I938" s="308">
        <f>IFERROR(__xludf.DUMMYFUNCTION("""COMPUTED_VALUE"""),44984.0)</f>
        <v>44984</v>
      </c>
      <c r="J938" s="311">
        <f>IFERROR(__xludf.DUMMYFUNCTION("""COMPUTED_VALUE"""),0.40868055555555555)</f>
        <v>0.4086805556</v>
      </c>
      <c r="K938" s="54"/>
      <c r="L938" s="7"/>
      <c r="M938" s="312"/>
      <c r="N938" s="172">
        <f>IFERROR(__xludf.DUMMYFUNCTION("""COMPUTED_VALUE"""),3.0)</f>
        <v>3</v>
      </c>
      <c r="O938" s="172"/>
      <c r="P938" s="313">
        <f>IFERROR(__xludf.DUMMYFUNCTION("""COMPUTED_VALUE"""),0.0)</f>
        <v>0</v>
      </c>
      <c r="Q938" s="76" t="b">
        <f>VLOOKUP($B938,'Run Reconcile'!B$2:O1399,14,FALSE)</f>
        <v>1</v>
      </c>
      <c r="R938" s="314" t="str">
        <f t="array" ref="R938">IF($Q938, INDEX('Run Reconcile'!A$2:A1399,MATCH(B938,'Run Reconcile'!B$2:B1399,0),1),IFERROR(0/0,""))</f>
        <v>RUN-ABRM_2023-02-27_RFR-171</v>
      </c>
      <c r="S938" s="315" t="str">
        <f t="shared" ref="S938:T938" si="1881">IF(COUNTIF(W$2:W1399, $A938) &gt; 0,TRUE,IFERROR(0/0,""))</f>
        <v/>
      </c>
      <c r="T938" s="315" t="str">
        <f t="shared" si="1881"/>
        <v/>
      </c>
      <c r="U938" s="114" t="str">
        <f t="array" ref="U938">IF(ISBLANK($R938), INDEX('Run Reconcile'!A$2:A1399, MATCH($B938, 'Run Reconcile'!B$2:B1399, 0)+Z938, 1), IFERROR(0/0,""))
</f>
        <v/>
      </c>
      <c r="V938" s="316" t="str">
        <f t="shared" si="1281"/>
        <v>RUN-ABRM_2023-02-27_RFR-171</v>
      </c>
      <c r="Y938" s="317" t="str">
        <f t="shared" si="6"/>
        <v/>
      </c>
      <c r="Z938" s="83" t="str">
        <f t="shared" si="7"/>
        <v/>
      </c>
      <c r="AA938" s="83" t="str">
        <f t="shared" si="8"/>
        <v/>
      </c>
      <c r="AB938" s="83" t="str">
        <f t="shared" si="9"/>
        <v/>
      </c>
      <c r="AC938" s="18" t="str">
        <f t="shared" ref="AC938:AD938" si="1882">IF(_xlfn.ISFORMULA(S938),IFERROR(0/0,""),TRUE)</f>
        <v/>
      </c>
      <c r="AD938" s="18" t="str">
        <f t="shared" si="1882"/>
        <v/>
      </c>
      <c r="AE938" s="43"/>
      <c r="AF938" s="58" t="s">
        <v>146</v>
      </c>
      <c r="AG938" s="55" t="str">
        <f t="shared" si="11"/>
        <v/>
      </c>
    </row>
    <row r="939">
      <c r="A939" s="7" t="str">
        <f>IFERROR(__xludf.DUMMYFUNCTION("""COMPUTED_VALUE"""),"AR475")</f>
        <v>AR475</v>
      </c>
      <c r="B939" s="308">
        <f>IFERROR(__xludf.DUMMYFUNCTION("""COMPUTED_VALUE"""),44984.0)</f>
        <v>44984</v>
      </c>
      <c r="C939" s="309">
        <f>IFERROR(__xludf.DUMMYFUNCTION("""COMPUTED_VALUE"""),0.3198611111111111)</f>
        <v>0.3198611111</v>
      </c>
      <c r="D939" s="7" t="str">
        <f>IFERROR(__xludf.DUMMYFUNCTION("""COMPUTED_VALUE"""),"SpABRM519188")</f>
        <v>SpABRM519188</v>
      </c>
      <c r="E939" s="310"/>
      <c r="F939" s="310"/>
      <c r="G939" s="310" t="str">
        <f>IFERROR(__xludf.DUMMYFUNCTION("""COMPUTED_VALUE"""),"Negative")</f>
        <v>Negative</v>
      </c>
      <c r="H939" s="319" t="str">
        <f>IFERROR(__xludf.DUMMYFUNCTION("""COMPUTED_VALUE"""),"Negative")</f>
        <v>Negative</v>
      </c>
      <c r="I939" s="308">
        <f>IFERROR(__xludf.DUMMYFUNCTION("""COMPUTED_VALUE"""),44984.0)</f>
        <v>44984</v>
      </c>
      <c r="J939" s="311">
        <f>IFERROR(__xludf.DUMMYFUNCTION("""COMPUTED_VALUE"""),0.40869212962962964)</f>
        <v>0.4086921296</v>
      </c>
      <c r="K939" s="54"/>
      <c r="L939" s="7"/>
      <c r="M939" s="312"/>
      <c r="N939" s="172">
        <f>IFERROR(__xludf.DUMMYFUNCTION("""COMPUTED_VALUE"""),1.0)</f>
        <v>1</v>
      </c>
      <c r="O939" s="172"/>
      <c r="P939" s="313">
        <f>IFERROR(__xludf.DUMMYFUNCTION("""COMPUTED_VALUE"""),0.0)</f>
        <v>0</v>
      </c>
      <c r="Q939" s="76" t="b">
        <f>VLOOKUP($B939,'Run Reconcile'!B$2:O1399,14,FALSE)</f>
        <v>1</v>
      </c>
      <c r="R939" s="314" t="str">
        <f t="array" ref="R939">IF($Q939, INDEX('Run Reconcile'!A$2:A1399,MATCH(B939,'Run Reconcile'!B$2:B1399,0),1),IFERROR(0/0,""))</f>
        <v>RUN-ABRM_2023-02-27_RFR-171</v>
      </c>
      <c r="S939" s="315" t="str">
        <f t="shared" ref="S939:T939" si="1883">IF(COUNTIF(W$2:W1399, $A939) &gt; 0,TRUE,IFERROR(0/0,""))</f>
        <v/>
      </c>
      <c r="T939" s="315" t="str">
        <f t="shared" si="1883"/>
        <v/>
      </c>
      <c r="U939" s="114" t="str">
        <f t="array" ref="U939">IF(ISBLANK($R939), INDEX('Run Reconcile'!A$2:A1399, MATCH($B939, 'Run Reconcile'!B$2:B1399, 0)+Z939, 1), IFERROR(0/0,""))
</f>
        <v/>
      </c>
      <c r="V939" s="316" t="str">
        <f t="shared" si="1281"/>
        <v>RUN-ABRM_2023-02-27_RFR-171</v>
      </c>
      <c r="Y939" s="317" t="str">
        <f t="shared" si="6"/>
        <v/>
      </c>
      <c r="Z939" s="83" t="str">
        <f t="shared" si="7"/>
        <v/>
      </c>
      <c r="AA939" s="83" t="str">
        <f t="shared" si="8"/>
        <v/>
      </c>
      <c r="AB939" s="83" t="str">
        <f t="shared" si="9"/>
        <v/>
      </c>
      <c r="AC939" s="18" t="str">
        <f t="shared" ref="AC939:AD939" si="1884">IF(_xlfn.ISFORMULA(S939),IFERROR(0/0,""),TRUE)</f>
        <v/>
      </c>
      <c r="AD939" s="18" t="str">
        <f t="shared" si="1884"/>
        <v/>
      </c>
      <c r="AE939" s="43"/>
      <c r="AF939" s="58" t="s">
        <v>146</v>
      </c>
      <c r="AG939" s="55" t="str">
        <f t="shared" si="11"/>
        <v/>
      </c>
    </row>
    <row r="940">
      <c r="A940" s="7" t="str">
        <f>IFERROR(__xludf.DUMMYFUNCTION("""COMPUTED_VALUE"""),"AR560")</f>
        <v>AR560</v>
      </c>
      <c r="B940" s="308">
        <f>IFERROR(__xludf.DUMMYFUNCTION("""COMPUTED_VALUE"""),44984.0)</f>
        <v>44984</v>
      </c>
      <c r="C940" s="309">
        <f>IFERROR(__xludf.DUMMYFUNCTION("""COMPUTED_VALUE"""),0.32586805555555554)</f>
        <v>0.3258680556</v>
      </c>
      <c r="D940" s="7" t="str">
        <f>IFERROR(__xludf.DUMMYFUNCTION("""COMPUTED_VALUE"""),"SpABRM655136")</f>
        <v>SpABRM655136</v>
      </c>
      <c r="E940" s="310"/>
      <c r="F940" s="310"/>
      <c r="G940" s="310" t="str">
        <f>IFERROR(__xludf.DUMMYFUNCTION("""COMPUTED_VALUE"""),"Negative")</f>
        <v>Negative</v>
      </c>
      <c r="H940" s="319" t="str">
        <f>IFERROR(__xludf.DUMMYFUNCTION("""COMPUTED_VALUE"""),"Negative")</f>
        <v>Negative</v>
      </c>
      <c r="I940" s="308">
        <f>IFERROR(__xludf.DUMMYFUNCTION("""COMPUTED_VALUE"""),44984.0)</f>
        <v>44984</v>
      </c>
      <c r="J940" s="311">
        <f>IFERROR(__xludf.DUMMYFUNCTION("""COMPUTED_VALUE"""),0.4087037037037037)</f>
        <v>0.4087037037</v>
      </c>
      <c r="K940" s="54"/>
      <c r="L940" s="7"/>
      <c r="M940" s="312"/>
      <c r="N940" s="172">
        <f>IFERROR(__xludf.DUMMYFUNCTION("""COMPUTED_VALUE"""),2.0)</f>
        <v>2</v>
      </c>
      <c r="O940" s="172"/>
      <c r="P940" s="313">
        <f>IFERROR(__xludf.DUMMYFUNCTION("""COMPUTED_VALUE"""),0.0)</f>
        <v>0</v>
      </c>
      <c r="Q940" s="76" t="b">
        <f>VLOOKUP($B940,'Run Reconcile'!B$2:O1399,14,FALSE)</f>
        <v>1</v>
      </c>
      <c r="R940" s="314" t="str">
        <f t="array" ref="R940">IF($Q940, INDEX('Run Reconcile'!A$2:A1399,MATCH(B940,'Run Reconcile'!B$2:B1399,0),1),IFERROR(0/0,""))</f>
        <v>RUN-ABRM_2023-02-27_RFR-171</v>
      </c>
      <c r="S940" s="315" t="str">
        <f t="shared" ref="S940:T940" si="1885">IF(COUNTIF(W$2:W1399, $A940) &gt; 0,TRUE,IFERROR(0/0,""))</f>
        <v/>
      </c>
      <c r="T940" s="315" t="str">
        <f t="shared" si="1885"/>
        <v/>
      </c>
      <c r="U940" s="114" t="str">
        <f t="array" ref="U940">IF(ISBLANK($R940), INDEX('Run Reconcile'!A$2:A1399, MATCH($B940, 'Run Reconcile'!B$2:B1399, 0)+Z940, 1), IFERROR(0/0,""))
</f>
        <v/>
      </c>
      <c r="V940" s="316" t="str">
        <f t="shared" si="1281"/>
        <v>RUN-ABRM_2023-02-27_RFR-171</v>
      </c>
      <c r="Y940" s="317" t="str">
        <f t="shared" si="6"/>
        <v/>
      </c>
      <c r="Z940" s="83" t="str">
        <f t="shared" si="7"/>
        <v/>
      </c>
      <c r="AA940" s="83" t="str">
        <f t="shared" si="8"/>
        <v/>
      </c>
      <c r="AB940" s="83" t="str">
        <f t="shared" si="9"/>
        <v/>
      </c>
      <c r="AC940" s="18" t="str">
        <f t="shared" ref="AC940:AD940" si="1886">IF(_xlfn.ISFORMULA(S940),IFERROR(0/0,""),TRUE)</f>
        <v/>
      </c>
      <c r="AD940" s="18" t="str">
        <f t="shared" si="1886"/>
        <v/>
      </c>
      <c r="AE940" s="43"/>
      <c r="AF940" s="58" t="s">
        <v>146</v>
      </c>
      <c r="AG940" s="55" t="str">
        <f t="shared" si="11"/>
        <v/>
      </c>
    </row>
    <row r="941">
      <c r="A941" s="7" t="str">
        <f>IFERROR(__xludf.DUMMYFUNCTION("""COMPUTED_VALUE"""),"AR133")</f>
        <v>AR133</v>
      </c>
      <c r="B941" s="308">
        <f>IFERROR(__xludf.DUMMYFUNCTION("""COMPUTED_VALUE"""),44984.0)</f>
        <v>44984</v>
      </c>
      <c r="C941" s="309">
        <f>IFERROR(__xludf.DUMMYFUNCTION("""COMPUTED_VALUE"""),0.3448263888888889)</f>
        <v>0.3448263889</v>
      </c>
      <c r="D941" s="7" t="str">
        <f>IFERROR(__xludf.DUMMYFUNCTION("""COMPUTED_VALUE"""),"SpABRM655136")</f>
        <v>SpABRM655136</v>
      </c>
      <c r="E941" s="310"/>
      <c r="F941" s="310"/>
      <c r="G941" s="310" t="str">
        <f>IFERROR(__xludf.DUMMYFUNCTION("""COMPUTED_VALUE"""),"Negative")</f>
        <v>Negative</v>
      </c>
      <c r="H941" s="319" t="str">
        <f>IFERROR(__xludf.DUMMYFUNCTION("""COMPUTED_VALUE"""),"Negative")</f>
        <v>Negative</v>
      </c>
      <c r="I941" s="308">
        <f>IFERROR(__xludf.DUMMYFUNCTION("""COMPUTED_VALUE"""),44984.0)</f>
        <v>44984</v>
      </c>
      <c r="J941" s="311">
        <f>IFERROR(__xludf.DUMMYFUNCTION("""COMPUTED_VALUE"""),0.4087152777777778)</f>
        <v>0.4087152778</v>
      </c>
      <c r="K941" s="54"/>
      <c r="L941" s="7"/>
      <c r="M941" s="312"/>
      <c r="N941" s="172">
        <f>IFERROR(__xludf.DUMMYFUNCTION("""COMPUTED_VALUE"""),1.0)</f>
        <v>1</v>
      </c>
      <c r="O941" s="172"/>
      <c r="P941" s="313">
        <f>IFERROR(__xludf.DUMMYFUNCTION("""COMPUTED_VALUE"""),0.0)</f>
        <v>0</v>
      </c>
      <c r="Q941" s="76" t="b">
        <f>VLOOKUP($B941,'Run Reconcile'!B$2:O1399,14,FALSE)</f>
        <v>1</v>
      </c>
      <c r="R941" s="314" t="str">
        <f t="array" ref="R941">IF($Q941, INDEX('Run Reconcile'!A$2:A1399,MATCH(B941,'Run Reconcile'!B$2:B1399,0),1),IFERROR(0/0,""))</f>
        <v>RUN-ABRM_2023-02-27_RFR-171</v>
      </c>
      <c r="S941" s="315" t="str">
        <f t="shared" ref="S941:T941" si="1887">IF(COUNTIF(W$2:W1399, $A941) &gt; 0,TRUE,IFERROR(0/0,""))</f>
        <v/>
      </c>
      <c r="T941" s="315" t="str">
        <f t="shared" si="1887"/>
        <v/>
      </c>
      <c r="U941" s="114" t="str">
        <f t="array" ref="U941">IF(ISBLANK($R941), INDEX('Run Reconcile'!A$2:A1399, MATCH($B941, 'Run Reconcile'!B$2:B1399, 0)+Z941, 1), IFERROR(0/0,""))
</f>
        <v/>
      </c>
      <c r="V941" s="316" t="str">
        <f t="shared" si="1281"/>
        <v>RUN-ABRM_2023-02-27_RFR-171</v>
      </c>
      <c r="Y941" s="317" t="str">
        <f t="shared" si="6"/>
        <v/>
      </c>
      <c r="Z941" s="83" t="str">
        <f t="shared" si="7"/>
        <v/>
      </c>
      <c r="AA941" s="83" t="str">
        <f t="shared" si="8"/>
        <v/>
      </c>
      <c r="AB941" s="83" t="str">
        <f t="shared" si="9"/>
        <v/>
      </c>
      <c r="AC941" s="18" t="str">
        <f t="shared" ref="AC941:AD941" si="1888">IF(_xlfn.ISFORMULA(S941),IFERROR(0/0,""),TRUE)</f>
        <v/>
      </c>
      <c r="AD941" s="18" t="str">
        <f t="shared" si="1888"/>
        <v/>
      </c>
      <c r="AE941" s="43"/>
      <c r="AF941" s="58" t="s">
        <v>146</v>
      </c>
      <c r="AG941" s="55" t="str">
        <f t="shared" si="11"/>
        <v/>
      </c>
    </row>
    <row r="942">
      <c r="A942" s="7" t="str">
        <f>IFERROR(__xludf.DUMMYFUNCTION("""COMPUTED_VALUE"""),"AR569")</f>
        <v>AR569</v>
      </c>
      <c r="B942" s="308">
        <f>IFERROR(__xludf.DUMMYFUNCTION("""COMPUTED_VALUE"""),44984.0)</f>
        <v>44984</v>
      </c>
      <c r="C942" s="309">
        <f>IFERROR(__xludf.DUMMYFUNCTION("""COMPUTED_VALUE"""),0.345162037037037)</f>
        <v>0.345162037</v>
      </c>
      <c r="D942" s="7" t="str">
        <f>IFERROR(__xludf.DUMMYFUNCTION("""COMPUTED_VALUE"""),"SpABRM655136")</f>
        <v>SpABRM655136</v>
      </c>
      <c r="E942" s="310"/>
      <c r="F942" s="310"/>
      <c r="G942" s="310" t="str">
        <f>IFERROR(__xludf.DUMMYFUNCTION("""COMPUTED_VALUE"""),"Negative")</f>
        <v>Negative</v>
      </c>
      <c r="H942" s="319" t="str">
        <f>IFERROR(__xludf.DUMMYFUNCTION("""COMPUTED_VALUE"""),"Negative")</f>
        <v>Negative</v>
      </c>
      <c r="I942" s="308">
        <f>IFERROR(__xludf.DUMMYFUNCTION("""COMPUTED_VALUE"""),44984.0)</f>
        <v>44984</v>
      </c>
      <c r="J942" s="311">
        <f>IFERROR(__xludf.DUMMYFUNCTION("""COMPUTED_VALUE"""),0.40872685185185187)</f>
        <v>0.4087268519</v>
      </c>
      <c r="K942" s="54"/>
      <c r="L942" s="7"/>
      <c r="M942" s="312"/>
      <c r="N942" s="172">
        <f>IFERROR(__xludf.DUMMYFUNCTION("""COMPUTED_VALUE"""),4.0)</f>
        <v>4</v>
      </c>
      <c r="O942" s="172"/>
      <c r="P942" s="313">
        <f>IFERROR(__xludf.DUMMYFUNCTION("""COMPUTED_VALUE"""),0.0)</f>
        <v>0</v>
      </c>
      <c r="Q942" s="76" t="b">
        <f>VLOOKUP($B942,'Run Reconcile'!B$2:O1399,14,FALSE)</f>
        <v>1</v>
      </c>
      <c r="R942" s="314" t="str">
        <f t="array" ref="R942">IF($Q942, INDEX('Run Reconcile'!A$2:A1399,MATCH(B942,'Run Reconcile'!B$2:B1399,0),1),IFERROR(0/0,""))</f>
        <v>RUN-ABRM_2023-02-27_RFR-171</v>
      </c>
      <c r="S942" s="315" t="str">
        <f t="shared" ref="S942:T942" si="1889">IF(COUNTIF(W$2:W1399, $A942) &gt; 0,TRUE,IFERROR(0/0,""))</f>
        <v/>
      </c>
      <c r="T942" s="315" t="str">
        <f t="shared" si="1889"/>
        <v/>
      </c>
      <c r="U942" s="114" t="str">
        <f t="array" ref="U942">IF(ISBLANK($R942), INDEX('Run Reconcile'!A$2:A1399, MATCH($B942, 'Run Reconcile'!B$2:B1399, 0)+Z942, 1), IFERROR(0/0,""))
</f>
        <v/>
      </c>
      <c r="V942" s="316" t="str">
        <f t="shared" si="1281"/>
        <v>RUN-ABRM_2023-02-27_RFR-171</v>
      </c>
      <c r="Y942" s="317" t="str">
        <f t="shared" si="6"/>
        <v/>
      </c>
      <c r="Z942" s="83" t="str">
        <f t="shared" si="7"/>
        <v/>
      </c>
      <c r="AA942" s="83" t="str">
        <f t="shared" si="8"/>
        <v/>
      </c>
      <c r="AB942" s="83" t="str">
        <f t="shared" si="9"/>
        <v/>
      </c>
      <c r="AC942" s="18" t="str">
        <f t="shared" ref="AC942:AD942" si="1890">IF(_xlfn.ISFORMULA(S942),IFERROR(0/0,""),TRUE)</f>
        <v/>
      </c>
      <c r="AD942" s="18" t="str">
        <f t="shared" si="1890"/>
        <v/>
      </c>
      <c r="AE942" s="43"/>
      <c r="AF942" s="58" t="s">
        <v>146</v>
      </c>
      <c r="AG942" s="55" t="str">
        <f t="shared" si="11"/>
        <v/>
      </c>
    </row>
    <row r="943">
      <c r="A943" s="7" t="str">
        <f>IFERROR(__xludf.DUMMYFUNCTION("""COMPUTED_VALUE"""),"AR813")</f>
        <v>AR813</v>
      </c>
      <c r="B943" s="308">
        <f>IFERROR(__xludf.DUMMYFUNCTION("""COMPUTED_VALUE"""),44984.0)</f>
        <v>44984</v>
      </c>
      <c r="C943" s="309">
        <f>IFERROR(__xludf.DUMMYFUNCTION("""COMPUTED_VALUE"""),0.34574074074074074)</f>
        <v>0.3457407407</v>
      </c>
      <c r="D943" s="7" t="str">
        <f>IFERROR(__xludf.DUMMYFUNCTION("""COMPUTED_VALUE"""),"SpABRM655136")</f>
        <v>SpABRM655136</v>
      </c>
      <c r="E943" s="310"/>
      <c r="F943" s="310"/>
      <c r="G943" s="310" t="str">
        <f>IFERROR(__xludf.DUMMYFUNCTION("""COMPUTED_VALUE"""),"Negative")</f>
        <v>Negative</v>
      </c>
      <c r="H943" s="319" t="str">
        <f>IFERROR(__xludf.DUMMYFUNCTION("""COMPUTED_VALUE"""),"Negative")</f>
        <v>Negative</v>
      </c>
      <c r="I943" s="308">
        <f>IFERROR(__xludf.DUMMYFUNCTION("""COMPUTED_VALUE"""),44984.0)</f>
        <v>44984</v>
      </c>
      <c r="J943" s="311">
        <f>IFERROR(__xludf.DUMMYFUNCTION("""COMPUTED_VALUE"""),0.4087384259259259)</f>
        <v>0.4087384259</v>
      </c>
      <c r="K943" s="54"/>
      <c r="L943" s="7"/>
      <c r="M943" s="312"/>
      <c r="N943" s="172">
        <f>IFERROR(__xludf.DUMMYFUNCTION("""COMPUTED_VALUE"""),1.0)</f>
        <v>1</v>
      </c>
      <c r="O943" s="172"/>
      <c r="P943" s="313">
        <f>IFERROR(__xludf.DUMMYFUNCTION("""COMPUTED_VALUE"""),0.0)</f>
        <v>0</v>
      </c>
      <c r="Q943" s="76" t="b">
        <f>VLOOKUP($B943,'Run Reconcile'!B$2:O1399,14,FALSE)</f>
        <v>1</v>
      </c>
      <c r="R943" s="314" t="str">
        <f t="array" ref="R943">IF($Q943, INDEX('Run Reconcile'!A$2:A1399,MATCH(B943,'Run Reconcile'!B$2:B1399,0),1),IFERROR(0/0,""))</f>
        <v>RUN-ABRM_2023-02-27_RFR-171</v>
      </c>
      <c r="S943" s="315" t="str">
        <f t="shared" ref="S943:T943" si="1891">IF(COUNTIF(W$2:W1399, $A943) &gt; 0,TRUE,IFERROR(0/0,""))</f>
        <v/>
      </c>
      <c r="T943" s="315" t="str">
        <f t="shared" si="1891"/>
        <v/>
      </c>
      <c r="U943" s="114" t="str">
        <f t="array" ref="U943">IF(ISBLANK($R943), INDEX('Run Reconcile'!A$2:A1399, MATCH($B943, 'Run Reconcile'!B$2:B1399, 0)+Z943, 1), IFERROR(0/0,""))
</f>
        <v/>
      </c>
      <c r="V943" s="316" t="str">
        <f t="shared" si="1281"/>
        <v>RUN-ABRM_2023-02-27_RFR-171</v>
      </c>
      <c r="Y943" s="317" t="str">
        <f t="shared" si="6"/>
        <v/>
      </c>
      <c r="Z943" s="83" t="str">
        <f t="shared" si="7"/>
        <v/>
      </c>
      <c r="AA943" s="83" t="str">
        <f t="shared" si="8"/>
        <v/>
      </c>
      <c r="AB943" s="83" t="str">
        <f t="shared" si="9"/>
        <v/>
      </c>
      <c r="AC943" s="18" t="str">
        <f t="shared" ref="AC943:AD943" si="1892">IF(_xlfn.ISFORMULA(S943),IFERROR(0/0,""),TRUE)</f>
        <v/>
      </c>
      <c r="AD943" s="18" t="str">
        <f t="shared" si="1892"/>
        <v/>
      </c>
      <c r="AE943" s="43"/>
      <c r="AF943" s="58" t="s">
        <v>146</v>
      </c>
      <c r="AG943" s="55" t="str">
        <f t="shared" si="11"/>
        <v/>
      </c>
    </row>
    <row r="944">
      <c r="A944" s="7" t="str">
        <f>IFERROR(__xludf.DUMMYFUNCTION("""COMPUTED_VALUE"""),"AR1191")</f>
        <v>AR1191</v>
      </c>
      <c r="B944" s="308">
        <f>IFERROR(__xludf.DUMMYFUNCTION("""COMPUTED_VALUE"""),44984.0)</f>
        <v>44984</v>
      </c>
      <c r="C944" s="309">
        <f>IFERROR(__xludf.DUMMYFUNCTION("""COMPUTED_VALUE"""),0.3466898148148148)</f>
        <v>0.3466898148</v>
      </c>
      <c r="D944" s="7" t="str">
        <f>IFERROR(__xludf.DUMMYFUNCTION("""COMPUTED_VALUE"""),"SpABRM655136")</f>
        <v>SpABRM655136</v>
      </c>
      <c r="E944" s="310"/>
      <c r="F944" s="310"/>
      <c r="G944" s="310" t="str">
        <f>IFERROR(__xludf.DUMMYFUNCTION("""COMPUTED_VALUE"""),"Negative")</f>
        <v>Negative</v>
      </c>
      <c r="H944" s="319" t="str">
        <f>IFERROR(__xludf.DUMMYFUNCTION("""COMPUTED_VALUE"""),"Negative")</f>
        <v>Negative</v>
      </c>
      <c r="I944" s="308">
        <f>IFERROR(__xludf.DUMMYFUNCTION("""COMPUTED_VALUE"""),44984.0)</f>
        <v>44984</v>
      </c>
      <c r="J944" s="311">
        <f>IFERROR(__xludf.DUMMYFUNCTION("""COMPUTED_VALUE"""),0.4087384259259259)</f>
        <v>0.4087384259</v>
      </c>
      <c r="K944" s="54"/>
      <c r="L944" s="7"/>
      <c r="M944" s="312"/>
      <c r="N944" s="172">
        <f>IFERROR(__xludf.DUMMYFUNCTION("""COMPUTED_VALUE"""),3.0)</f>
        <v>3</v>
      </c>
      <c r="O944" s="172"/>
      <c r="P944" s="313">
        <f>IFERROR(__xludf.DUMMYFUNCTION("""COMPUTED_VALUE"""),0.0)</f>
        <v>0</v>
      </c>
      <c r="Q944" s="76" t="b">
        <f>VLOOKUP($B944,'Run Reconcile'!B$2:O1399,14,FALSE)</f>
        <v>1</v>
      </c>
      <c r="R944" s="314" t="str">
        <f t="array" ref="R944">IF($Q944, INDEX('Run Reconcile'!A$2:A1399,MATCH(B944,'Run Reconcile'!B$2:B1399,0),1),IFERROR(0/0,""))</f>
        <v>RUN-ABRM_2023-02-27_RFR-171</v>
      </c>
      <c r="S944" s="315" t="str">
        <f t="shared" ref="S944:T944" si="1893">IF(COUNTIF(W$2:W1399, $A944) &gt; 0,TRUE,IFERROR(0/0,""))</f>
        <v/>
      </c>
      <c r="T944" s="315" t="str">
        <f t="shared" si="1893"/>
        <v/>
      </c>
      <c r="U944" s="114" t="str">
        <f t="array" ref="U944">IF(ISBLANK($R944), INDEX('Run Reconcile'!A$2:A1399, MATCH($B944, 'Run Reconcile'!B$2:B1399, 0)+Z944, 1), IFERROR(0/0,""))
</f>
        <v/>
      </c>
      <c r="V944" s="316" t="str">
        <f t="shared" si="1281"/>
        <v>RUN-ABRM_2023-02-27_RFR-171</v>
      </c>
      <c r="Y944" s="317" t="str">
        <f t="shared" si="6"/>
        <v/>
      </c>
      <c r="Z944" s="83" t="str">
        <f t="shared" si="7"/>
        <v/>
      </c>
      <c r="AA944" s="83" t="str">
        <f t="shared" si="8"/>
        <v/>
      </c>
      <c r="AB944" s="83" t="str">
        <f t="shared" si="9"/>
        <v/>
      </c>
      <c r="AC944" s="18" t="str">
        <f t="shared" ref="AC944:AD944" si="1894">IF(_xlfn.ISFORMULA(S944),IFERROR(0/0,""),TRUE)</f>
        <v/>
      </c>
      <c r="AD944" s="18" t="str">
        <f t="shared" si="1894"/>
        <v/>
      </c>
      <c r="AE944" s="43"/>
      <c r="AF944" s="58" t="s">
        <v>146</v>
      </c>
      <c r="AG944" s="55" t="str">
        <f t="shared" si="11"/>
        <v/>
      </c>
    </row>
    <row r="945">
      <c r="A945" s="7" t="str">
        <f>IFERROR(__xludf.DUMMYFUNCTION("""COMPUTED_VALUE"""),"AR1042")</f>
        <v>AR1042</v>
      </c>
      <c r="B945" s="308">
        <f>IFERROR(__xludf.DUMMYFUNCTION("""COMPUTED_VALUE"""),44984.0)</f>
        <v>44984</v>
      </c>
      <c r="C945" s="309">
        <f>IFERROR(__xludf.DUMMYFUNCTION("""COMPUTED_VALUE"""),0.3485185185185185)</f>
        <v>0.3485185185</v>
      </c>
      <c r="D945" s="7" t="str">
        <f>IFERROR(__xludf.DUMMYFUNCTION("""COMPUTED_VALUE"""),"SpABRM655136")</f>
        <v>SpABRM655136</v>
      </c>
      <c r="E945" s="310"/>
      <c r="F945" s="310"/>
      <c r="G945" s="310" t="str">
        <f>IFERROR(__xludf.DUMMYFUNCTION("""COMPUTED_VALUE"""),"Negative")</f>
        <v>Negative</v>
      </c>
      <c r="H945" s="319" t="str">
        <f>IFERROR(__xludf.DUMMYFUNCTION("""COMPUTED_VALUE"""),"Negative")</f>
        <v>Negative</v>
      </c>
      <c r="I945" s="308">
        <f>IFERROR(__xludf.DUMMYFUNCTION("""COMPUTED_VALUE"""),44984.0)</f>
        <v>44984</v>
      </c>
      <c r="J945" s="311">
        <f>IFERROR(__xludf.DUMMYFUNCTION("""COMPUTED_VALUE"""),0.4330671296296296)</f>
        <v>0.4330671296</v>
      </c>
      <c r="K945" s="54"/>
      <c r="L945" s="7"/>
      <c r="M945" s="312"/>
      <c r="N945" s="172">
        <f>IFERROR(__xludf.DUMMYFUNCTION("""COMPUTED_VALUE"""),1.0)</f>
        <v>1</v>
      </c>
      <c r="O945" s="172"/>
      <c r="P945" s="313">
        <f>IFERROR(__xludf.DUMMYFUNCTION("""COMPUTED_VALUE"""),0.0)</f>
        <v>0</v>
      </c>
      <c r="Q945" s="76" t="b">
        <f>VLOOKUP($B945,'Run Reconcile'!B$2:O1399,14,FALSE)</f>
        <v>1</v>
      </c>
      <c r="R945" s="314" t="str">
        <f t="array" ref="R945">IF($Q945, INDEX('Run Reconcile'!A$2:A1399,MATCH(B945,'Run Reconcile'!B$2:B1399,0),1),IFERROR(0/0,""))</f>
        <v>RUN-ABRM_2023-02-27_RFR-171</v>
      </c>
      <c r="S945" s="315" t="str">
        <f t="shared" ref="S945:T945" si="1895">IF(COUNTIF(W$2:W1399, $A945) &gt; 0,TRUE,IFERROR(0/0,""))</f>
        <v/>
      </c>
      <c r="T945" s="315" t="str">
        <f t="shared" si="1895"/>
        <v/>
      </c>
      <c r="U945" s="114" t="str">
        <f t="array" ref="U945">IF(ISBLANK($R945), INDEX('Run Reconcile'!A$2:A1399, MATCH($B945, 'Run Reconcile'!B$2:B1399, 0)+Z945, 1), IFERROR(0/0,""))
</f>
        <v/>
      </c>
      <c r="V945" s="316" t="str">
        <f t="shared" si="1281"/>
        <v>RUN-ABRM_2023-02-27_RFR-171</v>
      </c>
      <c r="Y945" s="317" t="str">
        <f t="shared" si="6"/>
        <v/>
      </c>
      <c r="Z945" s="83" t="str">
        <f t="shared" si="7"/>
        <v/>
      </c>
      <c r="AA945" s="83" t="str">
        <f t="shared" si="8"/>
        <v/>
      </c>
      <c r="AB945" s="83" t="str">
        <f t="shared" si="9"/>
        <v/>
      </c>
      <c r="AC945" s="18" t="str">
        <f t="shared" ref="AC945:AD945" si="1896">IF(_xlfn.ISFORMULA(S945),IFERROR(0/0,""),TRUE)</f>
        <v/>
      </c>
      <c r="AD945" s="18" t="str">
        <f t="shared" si="1896"/>
        <v/>
      </c>
      <c r="AE945" s="43"/>
      <c r="AF945" s="58" t="s">
        <v>146</v>
      </c>
      <c r="AG945" s="55" t="str">
        <f t="shared" si="11"/>
        <v/>
      </c>
    </row>
    <row r="946">
      <c r="A946" s="7" t="str">
        <f>IFERROR(__xludf.DUMMYFUNCTION("""COMPUTED_VALUE"""),"AK9926")</f>
        <v>AK9926</v>
      </c>
      <c r="B946" s="308">
        <f>IFERROR(__xludf.DUMMYFUNCTION("""COMPUTED_VALUE"""),44985.0)</f>
        <v>44985</v>
      </c>
      <c r="C946" s="309">
        <f>IFERROR(__xludf.DUMMYFUNCTION("""COMPUTED_VALUE"""),0.2326388888888889)</f>
        <v>0.2326388889</v>
      </c>
      <c r="D946" s="7" t="str">
        <f>IFERROR(__xludf.DUMMYFUNCTION("""COMPUTED_VALUE"""),"SpABRM454310")</f>
        <v>SpABRM454310</v>
      </c>
      <c r="E946" s="310"/>
      <c r="F946" s="310"/>
      <c r="G946" s="310" t="str">
        <f>IFERROR(__xludf.DUMMYFUNCTION("""COMPUTED_VALUE"""),"Negative")</f>
        <v>Negative</v>
      </c>
      <c r="H946" s="319" t="str">
        <f>IFERROR(__xludf.DUMMYFUNCTION("""COMPUTED_VALUE"""),"Negative")</f>
        <v>Negative</v>
      </c>
      <c r="I946" s="308">
        <f>IFERROR(__xludf.DUMMYFUNCTION("""COMPUTED_VALUE"""),44985.0)</f>
        <v>44985</v>
      </c>
      <c r="J946" s="311">
        <f>IFERROR(__xludf.DUMMYFUNCTION("""COMPUTED_VALUE"""),0.3876736111111111)</f>
        <v>0.3876736111</v>
      </c>
      <c r="K946" s="54"/>
      <c r="L946" s="7"/>
      <c r="M946" s="312"/>
      <c r="N946" s="172">
        <f>IFERROR(__xludf.DUMMYFUNCTION("""COMPUTED_VALUE"""),3.0)</f>
        <v>3</v>
      </c>
      <c r="O946" s="172"/>
      <c r="P946" s="313">
        <f>IFERROR(__xludf.DUMMYFUNCTION("""COMPUTED_VALUE"""),0.0)</f>
        <v>0</v>
      </c>
      <c r="Q946" s="76" t="b">
        <f>VLOOKUP($B946,'Run Reconcile'!B$2:O1399,14,FALSE)</f>
        <v>1</v>
      </c>
      <c r="R946" s="314" t="str">
        <f t="array" ref="R946">IF($Q946, INDEX('Run Reconcile'!A$2:A1399,MATCH(B946,'Run Reconcile'!B$2:B1399,0),1),IFERROR(0/0,""))</f>
        <v>RUN-ABRM_2023-02-28_RFR-173</v>
      </c>
      <c r="S946" s="315" t="str">
        <f t="shared" ref="S946:T946" si="1897">IF(COUNTIF(W$2:W1399, $A946) &gt; 0,TRUE,IFERROR(0/0,""))</f>
        <v/>
      </c>
      <c r="T946" s="315" t="str">
        <f t="shared" si="1897"/>
        <v/>
      </c>
      <c r="U946" s="114" t="str">
        <f t="array" ref="U946">IF(ISBLANK($R946), INDEX('Run Reconcile'!A$2:A1399, MATCH($B946, 'Run Reconcile'!B$2:B1399, 0)+Z946, 1), IFERROR(0/0,""))
</f>
        <v/>
      </c>
      <c r="V946" s="316" t="str">
        <f t="shared" si="1281"/>
        <v>RUN-ABRM_2023-02-28_RFR-173</v>
      </c>
      <c r="Y946" s="317" t="str">
        <f t="shared" si="6"/>
        <v/>
      </c>
      <c r="Z946" s="83" t="str">
        <f t="shared" si="7"/>
        <v/>
      </c>
      <c r="AA946" s="83" t="str">
        <f t="shared" si="8"/>
        <v/>
      </c>
      <c r="AB946" s="83" t="str">
        <f t="shared" si="9"/>
        <v/>
      </c>
      <c r="AC946" s="18" t="str">
        <f t="shared" ref="AC946:AD946" si="1898">IF(_xlfn.ISFORMULA(S946),IFERROR(0/0,""),TRUE)</f>
        <v/>
      </c>
      <c r="AD946" s="18" t="str">
        <f t="shared" si="1898"/>
        <v/>
      </c>
      <c r="AE946" s="43"/>
      <c r="AF946" s="58" t="s">
        <v>147</v>
      </c>
      <c r="AG946" s="55" t="str">
        <f t="shared" si="11"/>
        <v/>
      </c>
    </row>
    <row r="947">
      <c r="A947" s="7" t="str">
        <f>IFERROR(__xludf.DUMMYFUNCTION("""COMPUTED_VALUE"""),"AB9430")</f>
        <v>AB9430</v>
      </c>
      <c r="B947" s="308">
        <f>IFERROR(__xludf.DUMMYFUNCTION("""COMPUTED_VALUE"""),44985.0)</f>
        <v>44985</v>
      </c>
      <c r="C947" s="309">
        <f>IFERROR(__xludf.DUMMYFUNCTION("""COMPUTED_VALUE"""),0.23635416666666667)</f>
        <v>0.2363541667</v>
      </c>
      <c r="D947" s="7" t="str">
        <f>IFERROR(__xludf.DUMMYFUNCTION("""COMPUTED_VALUE"""),"SpABRM128250")</f>
        <v>SpABRM128250</v>
      </c>
      <c r="E947" s="310"/>
      <c r="F947" s="310"/>
      <c r="G947" s="310" t="str">
        <f>IFERROR(__xludf.DUMMYFUNCTION("""COMPUTED_VALUE"""),"Negative")</f>
        <v>Negative</v>
      </c>
      <c r="H947" s="319" t="str">
        <f>IFERROR(__xludf.DUMMYFUNCTION("""COMPUTED_VALUE"""),"Negative")</f>
        <v>Negative</v>
      </c>
      <c r="I947" s="308">
        <f>IFERROR(__xludf.DUMMYFUNCTION("""COMPUTED_VALUE"""),44985.0)</f>
        <v>44985</v>
      </c>
      <c r="J947" s="311">
        <f>IFERROR(__xludf.DUMMYFUNCTION("""COMPUTED_VALUE"""),0.3876851851851852)</f>
        <v>0.3876851852</v>
      </c>
      <c r="K947" s="54"/>
      <c r="L947" s="7"/>
      <c r="M947" s="312"/>
      <c r="N947" s="172">
        <f>IFERROR(__xludf.DUMMYFUNCTION("""COMPUTED_VALUE"""),3.0)</f>
        <v>3</v>
      </c>
      <c r="O947" s="172"/>
      <c r="P947" s="313">
        <f>IFERROR(__xludf.DUMMYFUNCTION("""COMPUTED_VALUE"""),0.0)</f>
        <v>0</v>
      </c>
      <c r="Q947" s="76" t="b">
        <f>VLOOKUP($B947,'Run Reconcile'!B$2:O1399,14,FALSE)</f>
        <v>1</v>
      </c>
      <c r="R947" s="314" t="str">
        <f t="array" ref="R947">IF($Q947, INDEX('Run Reconcile'!A$2:A1399,MATCH(B947,'Run Reconcile'!B$2:B1399,0),1),IFERROR(0/0,""))</f>
        <v>RUN-ABRM_2023-02-28_RFR-173</v>
      </c>
      <c r="S947" s="315" t="str">
        <f t="shared" ref="S947:T947" si="1899">IF(COUNTIF(W$2:W1399, $A947) &gt; 0,TRUE,IFERROR(0/0,""))</f>
        <v/>
      </c>
      <c r="T947" s="315" t="str">
        <f t="shared" si="1899"/>
        <v/>
      </c>
      <c r="U947" s="114" t="str">
        <f t="array" ref="U947">IF(ISBLANK($R947), INDEX('Run Reconcile'!A$2:A1399, MATCH($B947, 'Run Reconcile'!B$2:B1399, 0)+Z947, 1), IFERROR(0/0,""))
</f>
        <v/>
      </c>
      <c r="V947" s="316" t="str">
        <f t="shared" si="1281"/>
        <v>RUN-ABRM_2023-02-28_RFR-173</v>
      </c>
      <c r="Y947" s="317" t="str">
        <f t="shared" si="6"/>
        <v/>
      </c>
      <c r="Z947" s="83" t="str">
        <f t="shared" si="7"/>
        <v/>
      </c>
      <c r="AA947" s="83" t="str">
        <f t="shared" si="8"/>
        <v/>
      </c>
      <c r="AB947" s="83" t="str">
        <f t="shared" si="9"/>
        <v/>
      </c>
      <c r="AC947" s="18" t="str">
        <f t="shared" ref="AC947:AD947" si="1900">IF(_xlfn.ISFORMULA(S947),IFERROR(0/0,""),TRUE)</f>
        <v/>
      </c>
      <c r="AD947" s="18" t="str">
        <f t="shared" si="1900"/>
        <v/>
      </c>
      <c r="AE947" s="43"/>
      <c r="AF947" s="58" t="s">
        <v>147</v>
      </c>
      <c r="AG947" s="55" t="str">
        <f t="shared" si="11"/>
        <v/>
      </c>
    </row>
    <row r="948">
      <c r="A948" s="7" t="str">
        <f>IFERROR(__xludf.DUMMYFUNCTION("""COMPUTED_VALUE"""),"AR415")</f>
        <v>AR415</v>
      </c>
      <c r="B948" s="308">
        <f>IFERROR(__xludf.DUMMYFUNCTION("""COMPUTED_VALUE"""),44985.0)</f>
        <v>44985</v>
      </c>
      <c r="C948" s="309">
        <f>IFERROR(__xludf.DUMMYFUNCTION("""COMPUTED_VALUE"""),0.2484837962962963)</f>
        <v>0.2484837963</v>
      </c>
      <c r="D948" s="7" t="str">
        <f>IFERROR(__xludf.DUMMYFUNCTION("""COMPUTED_VALUE"""),"SpABRM297307")</f>
        <v>SpABRM297307</v>
      </c>
      <c r="E948" s="310"/>
      <c r="F948" s="310"/>
      <c r="G948" s="310" t="str">
        <f>IFERROR(__xludf.DUMMYFUNCTION("""COMPUTED_VALUE"""),"Negative")</f>
        <v>Negative</v>
      </c>
      <c r="H948" s="319" t="str">
        <f>IFERROR(__xludf.DUMMYFUNCTION("""COMPUTED_VALUE"""),"Negative")</f>
        <v>Negative</v>
      </c>
      <c r="I948" s="308">
        <f>IFERROR(__xludf.DUMMYFUNCTION("""COMPUTED_VALUE"""),44985.0)</f>
        <v>44985</v>
      </c>
      <c r="J948" s="311">
        <f>IFERROR(__xludf.DUMMYFUNCTION("""COMPUTED_VALUE"""),0.3876967592592593)</f>
        <v>0.3876967593</v>
      </c>
      <c r="K948" s="54"/>
      <c r="L948" s="7"/>
      <c r="M948" s="312"/>
      <c r="N948" s="172">
        <f>IFERROR(__xludf.DUMMYFUNCTION("""COMPUTED_VALUE"""),3.0)</f>
        <v>3</v>
      </c>
      <c r="O948" s="172"/>
      <c r="P948" s="313">
        <f>IFERROR(__xludf.DUMMYFUNCTION("""COMPUTED_VALUE"""),0.0)</f>
        <v>0</v>
      </c>
      <c r="Q948" s="76" t="b">
        <f>VLOOKUP($B948,'Run Reconcile'!B$2:O1399,14,FALSE)</f>
        <v>1</v>
      </c>
      <c r="R948" s="314" t="str">
        <f t="array" ref="R948">IF($Q948, INDEX('Run Reconcile'!A$2:A1399,MATCH(B948,'Run Reconcile'!B$2:B1399,0),1),IFERROR(0/0,""))</f>
        <v>RUN-ABRM_2023-02-28_RFR-173</v>
      </c>
      <c r="S948" s="315" t="str">
        <f t="shared" ref="S948:T948" si="1901">IF(COUNTIF(W$2:W1399, $A948) &gt; 0,TRUE,IFERROR(0/0,""))</f>
        <v/>
      </c>
      <c r="T948" s="315" t="str">
        <f t="shared" si="1901"/>
        <v/>
      </c>
      <c r="U948" s="114" t="str">
        <f t="array" ref="U948">IF(ISBLANK($R948), INDEX('Run Reconcile'!A$2:A1399, MATCH($B948, 'Run Reconcile'!B$2:B1399, 0)+Z948, 1), IFERROR(0/0,""))
</f>
        <v/>
      </c>
      <c r="V948" s="316" t="str">
        <f t="shared" si="1281"/>
        <v>RUN-ABRM_2023-02-28_RFR-173</v>
      </c>
      <c r="Y948" s="317" t="str">
        <f t="shared" si="6"/>
        <v/>
      </c>
      <c r="Z948" s="83" t="str">
        <f t="shared" si="7"/>
        <v/>
      </c>
      <c r="AA948" s="83" t="str">
        <f t="shared" si="8"/>
        <v/>
      </c>
      <c r="AB948" s="83" t="str">
        <f t="shared" si="9"/>
        <v/>
      </c>
      <c r="AC948" s="18" t="str">
        <f t="shared" ref="AC948:AD948" si="1902">IF(_xlfn.ISFORMULA(S948),IFERROR(0/0,""),TRUE)</f>
        <v/>
      </c>
      <c r="AD948" s="18" t="str">
        <f t="shared" si="1902"/>
        <v/>
      </c>
      <c r="AE948" s="43"/>
      <c r="AF948" s="58" t="s">
        <v>147</v>
      </c>
      <c r="AG948" s="55" t="str">
        <f t="shared" si="11"/>
        <v/>
      </c>
    </row>
    <row r="949">
      <c r="A949" s="7" t="str">
        <f>IFERROR(__xludf.DUMMYFUNCTION("""COMPUTED_VALUE"""),"AR47")</f>
        <v>AR47</v>
      </c>
      <c r="B949" s="308">
        <f>IFERROR(__xludf.DUMMYFUNCTION("""COMPUTED_VALUE"""),44985.0)</f>
        <v>44985</v>
      </c>
      <c r="C949" s="309">
        <f>IFERROR(__xludf.DUMMYFUNCTION("""COMPUTED_VALUE"""),0.30724537037037036)</f>
        <v>0.3072453704</v>
      </c>
      <c r="D949" s="7" t="str">
        <f>IFERROR(__xludf.DUMMYFUNCTION("""COMPUTED_VALUE"""),"SpABRM519188")</f>
        <v>SpABRM519188</v>
      </c>
      <c r="E949" s="310"/>
      <c r="F949" s="310"/>
      <c r="G949" s="310" t="str">
        <f>IFERROR(__xludf.DUMMYFUNCTION("""COMPUTED_VALUE"""),"Negative")</f>
        <v>Negative</v>
      </c>
      <c r="H949" s="319" t="str">
        <f>IFERROR(__xludf.DUMMYFUNCTION("""COMPUTED_VALUE"""),"Negative")</f>
        <v>Negative</v>
      </c>
      <c r="I949" s="308">
        <f>IFERROR(__xludf.DUMMYFUNCTION("""COMPUTED_VALUE"""),44985.0)</f>
        <v>44985</v>
      </c>
      <c r="J949" s="311">
        <f>IFERROR(__xludf.DUMMYFUNCTION("""COMPUTED_VALUE"""),0.3876967592592593)</f>
        <v>0.3876967593</v>
      </c>
      <c r="K949" s="54"/>
      <c r="L949" s="7"/>
      <c r="M949" s="312"/>
      <c r="N949" s="172">
        <f>IFERROR(__xludf.DUMMYFUNCTION("""COMPUTED_VALUE"""),1.0)</f>
        <v>1</v>
      </c>
      <c r="O949" s="172"/>
      <c r="P949" s="313">
        <f>IFERROR(__xludf.DUMMYFUNCTION("""COMPUTED_VALUE"""),0.0)</f>
        <v>0</v>
      </c>
      <c r="Q949" s="76" t="b">
        <f>VLOOKUP($B949,'Run Reconcile'!B$2:O1399,14,FALSE)</f>
        <v>1</v>
      </c>
      <c r="R949" s="314" t="str">
        <f t="array" ref="R949">IF($Q949, INDEX('Run Reconcile'!A$2:A1399,MATCH(B949,'Run Reconcile'!B$2:B1399,0),1),IFERROR(0/0,""))</f>
        <v>RUN-ABRM_2023-02-28_RFR-173</v>
      </c>
      <c r="S949" s="315" t="str">
        <f t="shared" ref="S949:T949" si="1903">IF(COUNTIF(W$2:W1399, $A949) &gt; 0,TRUE,IFERROR(0/0,""))</f>
        <v/>
      </c>
      <c r="T949" s="315" t="str">
        <f t="shared" si="1903"/>
        <v/>
      </c>
      <c r="U949" s="114" t="str">
        <f t="array" ref="U949">IF(ISBLANK($R949), INDEX('Run Reconcile'!A$2:A1399, MATCH($B949, 'Run Reconcile'!B$2:B1399, 0)+Z949, 1), IFERROR(0/0,""))
</f>
        <v/>
      </c>
      <c r="V949" s="316" t="str">
        <f t="shared" si="1281"/>
        <v>RUN-ABRM_2023-02-28_RFR-173</v>
      </c>
      <c r="Y949" s="317" t="str">
        <f t="shared" si="6"/>
        <v/>
      </c>
      <c r="Z949" s="83" t="str">
        <f t="shared" si="7"/>
        <v/>
      </c>
      <c r="AA949" s="83" t="str">
        <f t="shared" si="8"/>
        <v/>
      </c>
      <c r="AB949" s="83" t="str">
        <f t="shared" si="9"/>
        <v/>
      </c>
      <c r="AC949" s="18" t="str">
        <f t="shared" ref="AC949:AD949" si="1904">IF(_xlfn.ISFORMULA(S949),IFERROR(0/0,""),TRUE)</f>
        <v/>
      </c>
      <c r="AD949" s="18" t="str">
        <f t="shared" si="1904"/>
        <v/>
      </c>
      <c r="AE949" s="43"/>
      <c r="AF949" s="58" t="s">
        <v>147</v>
      </c>
      <c r="AG949" s="55" t="str">
        <f t="shared" si="11"/>
        <v/>
      </c>
    </row>
    <row r="950">
      <c r="A950" s="7" t="str">
        <f>IFERROR(__xludf.DUMMYFUNCTION("""COMPUTED_VALUE"""),"AR1658")</f>
        <v>AR1658</v>
      </c>
      <c r="B950" s="308">
        <f>IFERROR(__xludf.DUMMYFUNCTION("""COMPUTED_VALUE"""),44985.0)</f>
        <v>44985</v>
      </c>
      <c r="C950" s="309">
        <f>IFERROR(__xludf.DUMMYFUNCTION("""COMPUTED_VALUE"""),0.30841435185185184)</f>
        <v>0.3084143519</v>
      </c>
      <c r="D950" s="7" t="str">
        <f>IFERROR(__xludf.DUMMYFUNCTION("""COMPUTED_VALUE"""),"SpABRM655136")</f>
        <v>SpABRM655136</v>
      </c>
      <c r="E950" s="310"/>
      <c r="F950" s="310"/>
      <c r="G950" s="310" t="str">
        <f>IFERROR(__xludf.DUMMYFUNCTION("""COMPUTED_VALUE"""),"Negative")</f>
        <v>Negative</v>
      </c>
      <c r="H950" s="319" t="str">
        <f>IFERROR(__xludf.DUMMYFUNCTION("""COMPUTED_VALUE"""),"Negative")</f>
        <v>Negative</v>
      </c>
      <c r="I950" s="308">
        <f>IFERROR(__xludf.DUMMYFUNCTION("""COMPUTED_VALUE"""),44985.0)</f>
        <v>44985</v>
      </c>
      <c r="J950" s="311">
        <f>IFERROR(__xludf.DUMMYFUNCTION("""COMPUTED_VALUE"""),0.4154513888888889)</f>
        <v>0.4154513889</v>
      </c>
      <c r="K950" s="54"/>
      <c r="L950" s="7"/>
      <c r="M950" s="312"/>
      <c r="N950" s="172">
        <f>IFERROR(__xludf.DUMMYFUNCTION("""COMPUTED_VALUE"""),2.0)</f>
        <v>2</v>
      </c>
      <c r="O950" s="172"/>
      <c r="P950" s="313">
        <f>IFERROR(__xludf.DUMMYFUNCTION("""COMPUTED_VALUE"""),0.0)</f>
        <v>0</v>
      </c>
      <c r="Q950" s="76" t="b">
        <f>VLOOKUP($B950,'Run Reconcile'!B$2:O1399,14,FALSE)</f>
        <v>1</v>
      </c>
      <c r="R950" s="314" t="str">
        <f t="array" ref="R950">IF($Q950, INDEX('Run Reconcile'!A$2:A1399,MATCH(B950,'Run Reconcile'!B$2:B1399,0),1),IFERROR(0/0,""))</f>
        <v>RUN-ABRM_2023-02-28_RFR-173</v>
      </c>
      <c r="S950" s="315" t="str">
        <f t="shared" ref="S950:T950" si="1905">IF(COUNTIF(W$2:W1399, $A950) &gt; 0,TRUE,IFERROR(0/0,""))</f>
        <v/>
      </c>
      <c r="T950" s="315" t="str">
        <f t="shared" si="1905"/>
        <v/>
      </c>
      <c r="U950" s="114" t="str">
        <f t="array" ref="U950">IF(ISBLANK($R950), INDEX('Run Reconcile'!A$2:A1399, MATCH($B950, 'Run Reconcile'!B$2:B1399, 0)+Z950, 1), IFERROR(0/0,""))
</f>
        <v/>
      </c>
      <c r="V950" s="316" t="str">
        <f t="shared" si="1281"/>
        <v>RUN-ABRM_2023-02-28_RFR-173</v>
      </c>
      <c r="Y950" s="317" t="str">
        <f t="shared" si="6"/>
        <v/>
      </c>
      <c r="Z950" s="83" t="str">
        <f t="shared" si="7"/>
        <v/>
      </c>
      <c r="AA950" s="83" t="str">
        <f t="shared" si="8"/>
        <v/>
      </c>
      <c r="AB950" s="83" t="str">
        <f t="shared" si="9"/>
        <v/>
      </c>
      <c r="AC950" s="18" t="str">
        <f t="shared" ref="AC950:AD950" si="1906">IF(_xlfn.ISFORMULA(S950),IFERROR(0/0,""),TRUE)</f>
        <v/>
      </c>
      <c r="AD950" s="18" t="str">
        <f t="shared" si="1906"/>
        <v/>
      </c>
      <c r="AE950" s="43"/>
      <c r="AF950" s="58" t="s">
        <v>147</v>
      </c>
      <c r="AG950" s="55" t="str">
        <f t="shared" si="11"/>
        <v/>
      </c>
    </row>
    <row r="951">
      <c r="A951" s="7" t="str">
        <f>IFERROR(__xludf.DUMMYFUNCTION("""COMPUTED_VALUE"""),"AR1441")</f>
        <v>AR1441</v>
      </c>
      <c r="B951" s="308">
        <f>IFERROR(__xludf.DUMMYFUNCTION("""COMPUTED_VALUE"""),44985.0)</f>
        <v>44985</v>
      </c>
      <c r="C951" s="309">
        <f>IFERROR(__xludf.DUMMYFUNCTION("""COMPUTED_VALUE"""),0.31811342592592595)</f>
        <v>0.3181134259</v>
      </c>
      <c r="D951" s="7" t="str">
        <f>IFERROR(__xludf.DUMMYFUNCTION("""COMPUTED_VALUE"""),"SpABRM655136")</f>
        <v>SpABRM655136</v>
      </c>
      <c r="E951" s="310"/>
      <c r="F951" s="310"/>
      <c r="G951" s="310" t="str">
        <f>IFERROR(__xludf.DUMMYFUNCTION("""COMPUTED_VALUE"""),"Negative")</f>
        <v>Negative</v>
      </c>
      <c r="H951" s="319" t="str">
        <f>IFERROR(__xludf.DUMMYFUNCTION("""COMPUTED_VALUE"""),"Negative")</f>
        <v>Negative</v>
      </c>
      <c r="I951" s="308">
        <f>IFERROR(__xludf.DUMMYFUNCTION("""COMPUTED_VALUE"""),44985.0)</f>
        <v>44985</v>
      </c>
      <c r="J951" s="311">
        <f>IFERROR(__xludf.DUMMYFUNCTION("""COMPUTED_VALUE"""),0.415474537037037)</f>
        <v>0.415474537</v>
      </c>
      <c r="K951" s="54"/>
      <c r="L951" s="7"/>
      <c r="M951" s="312"/>
      <c r="N951" s="172">
        <f>IFERROR(__xludf.DUMMYFUNCTION("""COMPUTED_VALUE"""),4.0)</f>
        <v>4</v>
      </c>
      <c r="O951" s="172"/>
      <c r="P951" s="313">
        <f>IFERROR(__xludf.DUMMYFUNCTION("""COMPUTED_VALUE"""),0.0)</f>
        <v>0</v>
      </c>
      <c r="Q951" s="76" t="b">
        <f>VLOOKUP($B951,'Run Reconcile'!B$2:O1399,14,FALSE)</f>
        <v>1</v>
      </c>
      <c r="R951" s="314" t="str">
        <f t="array" ref="R951">IF($Q951, INDEX('Run Reconcile'!A$2:A1399,MATCH(B951,'Run Reconcile'!B$2:B1399,0),1),IFERROR(0/0,""))</f>
        <v>RUN-ABRM_2023-02-28_RFR-173</v>
      </c>
      <c r="S951" s="315" t="str">
        <f t="shared" ref="S951:T951" si="1907">IF(COUNTIF(W$2:W1399, $A951) &gt; 0,TRUE,IFERROR(0/0,""))</f>
        <v/>
      </c>
      <c r="T951" s="315" t="str">
        <f t="shared" si="1907"/>
        <v/>
      </c>
      <c r="U951" s="114" t="str">
        <f t="array" ref="U951">IF(ISBLANK($R951), INDEX('Run Reconcile'!A$2:A1399, MATCH($B951, 'Run Reconcile'!B$2:B1399, 0)+Z951, 1), IFERROR(0/0,""))
</f>
        <v/>
      </c>
      <c r="V951" s="316" t="str">
        <f t="shared" si="1281"/>
        <v>RUN-ABRM_2023-02-28_RFR-173</v>
      </c>
      <c r="Y951" s="317" t="str">
        <f t="shared" si="6"/>
        <v/>
      </c>
      <c r="Z951" s="83" t="str">
        <f t="shared" si="7"/>
        <v/>
      </c>
      <c r="AA951" s="83" t="str">
        <f t="shared" si="8"/>
        <v/>
      </c>
      <c r="AB951" s="83" t="str">
        <f t="shared" si="9"/>
        <v/>
      </c>
      <c r="AC951" s="18" t="str">
        <f t="shared" ref="AC951:AD951" si="1908">IF(_xlfn.ISFORMULA(S951),IFERROR(0/0,""),TRUE)</f>
        <v/>
      </c>
      <c r="AD951" s="18" t="str">
        <f t="shared" si="1908"/>
        <v/>
      </c>
      <c r="AE951" s="43"/>
      <c r="AF951" s="58" t="s">
        <v>147</v>
      </c>
      <c r="AG951" s="55" t="str">
        <f t="shared" si="11"/>
        <v/>
      </c>
    </row>
    <row r="952">
      <c r="A952" s="7" t="str">
        <f>IFERROR(__xludf.DUMMYFUNCTION("""COMPUTED_VALUE"""),"AR958")</f>
        <v>AR958</v>
      </c>
      <c r="B952" s="308">
        <f>IFERROR(__xludf.DUMMYFUNCTION("""COMPUTED_VALUE"""),44985.0)</f>
        <v>44985</v>
      </c>
      <c r="C952" s="309">
        <f>IFERROR(__xludf.DUMMYFUNCTION("""COMPUTED_VALUE"""),0.3195601851851852)</f>
        <v>0.3195601852</v>
      </c>
      <c r="D952" s="7" t="str">
        <f>IFERROR(__xludf.DUMMYFUNCTION("""COMPUTED_VALUE"""),"SpABRM814022")</f>
        <v>SpABRM814022</v>
      </c>
      <c r="E952" s="310"/>
      <c r="F952" s="310"/>
      <c r="G952" s="310" t="str">
        <f>IFERROR(__xludf.DUMMYFUNCTION("""COMPUTED_VALUE"""),"Negative")</f>
        <v>Negative</v>
      </c>
      <c r="H952" s="319" t="str">
        <f>IFERROR(__xludf.DUMMYFUNCTION("""COMPUTED_VALUE"""),"Negative")</f>
        <v>Negative</v>
      </c>
      <c r="I952" s="308">
        <f>IFERROR(__xludf.DUMMYFUNCTION("""COMPUTED_VALUE"""),44985.0)</f>
        <v>44985</v>
      </c>
      <c r="J952" s="311">
        <f>IFERROR(__xludf.DUMMYFUNCTION("""COMPUTED_VALUE"""),0.3877083333333333)</f>
        <v>0.3877083333</v>
      </c>
      <c r="K952" s="54"/>
      <c r="L952" s="7"/>
      <c r="M952" s="312"/>
      <c r="N952" s="172">
        <f>IFERROR(__xludf.DUMMYFUNCTION("""COMPUTED_VALUE"""),1.0)</f>
        <v>1</v>
      </c>
      <c r="O952" s="172"/>
      <c r="P952" s="313">
        <f>IFERROR(__xludf.DUMMYFUNCTION("""COMPUTED_VALUE"""),0.0)</f>
        <v>0</v>
      </c>
      <c r="Q952" s="76" t="b">
        <f>VLOOKUP($B952,'Run Reconcile'!B$2:O1399,14,FALSE)</f>
        <v>1</v>
      </c>
      <c r="R952" s="314" t="str">
        <f t="array" ref="R952">IF($Q952, INDEX('Run Reconcile'!A$2:A1399,MATCH(B952,'Run Reconcile'!B$2:B1399,0),1),IFERROR(0/0,""))</f>
        <v>RUN-ABRM_2023-02-28_RFR-173</v>
      </c>
      <c r="S952" s="315" t="str">
        <f t="shared" ref="S952:T952" si="1909">IF(COUNTIF(W$2:W1399, $A952) &gt; 0,TRUE,IFERROR(0/0,""))</f>
        <v/>
      </c>
      <c r="T952" s="315" t="str">
        <f t="shared" si="1909"/>
        <v/>
      </c>
      <c r="U952" s="114" t="str">
        <f t="array" ref="U952">IF(ISBLANK($R952), INDEX('Run Reconcile'!A$2:A1399, MATCH($B952, 'Run Reconcile'!B$2:B1399, 0)+Z952, 1), IFERROR(0/0,""))
</f>
        <v/>
      </c>
      <c r="V952" s="316" t="str">
        <f t="shared" si="1281"/>
        <v>RUN-ABRM_2023-02-28_RFR-173</v>
      </c>
      <c r="Y952" s="317" t="str">
        <f t="shared" si="6"/>
        <v/>
      </c>
      <c r="Z952" s="83" t="str">
        <f t="shared" si="7"/>
        <v/>
      </c>
      <c r="AA952" s="83" t="str">
        <f t="shared" si="8"/>
        <v/>
      </c>
      <c r="AB952" s="83" t="str">
        <f t="shared" si="9"/>
        <v/>
      </c>
      <c r="AC952" s="18" t="str">
        <f t="shared" ref="AC952:AD952" si="1910">IF(_xlfn.ISFORMULA(S952),IFERROR(0/0,""),TRUE)</f>
        <v/>
      </c>
      <c r="AD952" s="18" t="str">
        <f t="shared" si="1910"/>
        <v/>
      </c>
      <c r="AE952" s="43"/>
      <c r="AF952" s="58" t="s">
        <v>147</v>
      </c>
      <c r="AG952" s="55" t="str">
        <f t="shared" si="11"/>
        <v/>
      </c>
    </row>
    <row r="953">
      <c r="A953" s="7" t="str">
        <f>IFERROR(__xludf.DUMMYFUNCTION("""COMPUTED_VALUE"""),"AJ9391")</f>
        <v>AJ9391</v>
      </c>
      <c r="B953" s="308">
        <f>IFERROR(__xludf.DUMMYFUNCTION("""COMPUTED_VALUE"""),44986.0)</f>
        <v>44986</v>
      </c>
      <c r="C953" s="309">
        <f>IFERROR(__xludf.DUMMYFUNCTION("""COMPUTED_VALUE"""),0.21241898148148147)</f>
        <v>0.2124189815</v>
      </c>
      <c r="D953" s="7" t="str">
        <f>IFERROR(__xludf.DUMMYFUNCTION("""COMPUTED_VALUE"""),"SpABRM454310")</f>
        <v>SpABRM454310</v>
      </c>
      <c r="E953" s="310"/>
      <c r="F953" s="310"/>
      <c r="G953" s="310" t="str">
        <f>IFERROR(__xludf.DUMMYFUNCTION("""COMPUTED_VALUE"""),"Negative")</f>
        <v>Negative</v>
      </c>
      <c r="H953" s="319" t="str">
        <f>IFERROR(__xludf.DUMMYFUNCTION("""COMPUTED_VALUE"""),"Negative")</f>
        <v>Negative</v>
      </c>
      <c r="I953" s="308">
        <f>IFERROR(__xludf.DUMMYFUNCTION("""COMPUTED_VALUE"""),44986.0)</f>
        <v>44986</v>
      </c>
      <c r="J953" s="311">
        <f>IFERROR(__xludf.DUMMYFUNCTION("""COMPUTED_VALUE"""),0.39769675925925924)</f>
        <v>0.3976967593</v>
      </c>
      <c r="K953" s="54"/>
      <c r="L953" s="7"/>
      <c r="M953" s="312"/>
      <c r="N953" s="172">
        <f>IFERROR(__xludf.DUMMYFUNCTION("""COMPUTED_VALUE"""),3.0)</f>
        <v>3</v>
      </c>
      <c r="O953" s="172"/>
      <c r="P953" s="313">
        <f>IFERROR(__xludf.DUMMYFUNCTION("""COMPUTED_VALUE"""),0.0)</f>
        <v>0</v>
      </c>
      <c r="Q953" s="76" t="b">
        <f>VLOOKUP($B953,'Run Reconcile'!B$2:O1399,14,FALSE)</f>
        <v>1</v>
      </c>
      <c r="R953" s="314" t="str">
        <f t="array" ref="R953">IF($Q953, INDEX('Run Reconcile'!A$2:A1399,MATCH(B953,'Run Reconcile'!B$2:B1399,0),1),IFERROR(0/0,""))</f>
        <v>RUN-ABRM_2023-03-01_RFR-175</v>
      </c>
      <c r="S953" s="315" t="str">
        <f t="shared" ref="S953:T953" si="1911">IF(COUNTIF(W$2:W1399, $A953) &gt; 0,TRUE,IFERROR(0/0,""))</f>
        <v/>
      </c>
      <c r="T953" s="315" t="str">
        <f t="shared" si="1911"/>
        <v/>
      </c>
      <c r="U953" s="114" t="str">
        <f t="array" ref="U953">IF(ISBLANK($R953), INDEX('Run Reconcile'!A$2:A1399, MATCH($B953, 'Run Reconcile'!B$2:B1399, 0)+Z953, 1), IFERROR(0/0,""))
</f>
        <v/>
      </c>
      <c r="V953" s="316" t="str">
        <f t="shared" si="1281"/>
        <v>RUN-ABRM_2023-03-01_RFR-175</v>
      </c>
      <c r="Y953" s="317" t="str">
        <f t="shared" si="6"/>
        <v/>
      </c>
      <c r="Z953" s="83" t="str">
        <f t="shared" si="7"/>
        <v/>
      </c>
      <c r="AA953" s="83" t="str">
        <f t="shared" si="8"/>
        <v/>
      </c>
      <c r="AB953" s="83" t="str">
        <f t="shared" si="9"/>
        <v/>
      </c>
      <c r="AC953" s="18" t="str">
        <f t="shared" ref="AC953:AD953" si="1912">IF(_xlfn.ISFORMULA(S953),IFERROR(0/0,""),TRUE)</f>
        <v/>
      </c>
      <c r="AD953" s="18" t="str">
        <f t="shared" si="1912"/>
        <v/>
      </c>
      <c r="AE953" s="43"/>
      <c r="AF953" s="58" t="s">
        <v>148</v>
      </c>
      <c r="AG953" s="55" t="str">
        <f t="shared" si="11"/>
        <v/>
      </c>
    </row>
    <row r="954">
      <c r="A954" s="7" t="str">
        <f>IFERROR(__xludf.DUMMYFUNCTION("""COMPUTED_VALUE"""),"AR976")</f>
        <v>AR976</v>
      </c>
      <c r="B954" s="308">
        <f>IFERROR(__xludf.DUMMYFUNCTION("""COMPUTED_VALUE"""),44986.0)</f>
        <v>44986</v>
      </c>
      <c r="C954" s="309">
        <f>IFERROR(__xludf.DUMMYFUNCTION("""COMPUTED_VALUE"""),0.2653935185185185)</f>
        <v>0.2653935185</v>
      </c>
      <c r="D954" s="7" t="str">
        <f>IFERROR(__xludf.DUMMYFUNCTION("""COMPUTED_VALUE"""),"SpABRM297307")</f>
        <v>SpABRM297307</v>
      </c>
      <c r="E954" s="310"/>
      <c r="F954" s="310"/>
      <c r="G954" s="310" t="str">
        <f>IFERROR(__xludf.DUMMYFUNCTION("""COMPUTED_VALUE"""),"Negative")</f>
        <v>Negative</v>
      </c>
      <c r="H954" s="319" t="str">
        <f>IFERROR(__xludf.DUMMYFUNCTION("""COMPUTED_VALUE"""),"Negative")</f>
        <v>Negative</v>
      </c>
      <c r="I954" s="308">
        <f>IFERROR(__xludf.DUMMYFUNCTION("""COMPUTED_VALUE"""),44986.0)</f>
        <v>44986</v>
      </c>
      <c r="J954" s="311">
        <f>IFERROR(__xludf.DUMMYFUNCTION("""COMPUTED_VALUE"""),0.39769675925925924)</f>
        <v>0.3976967593</v>
      </c>
      <c r="K954" s="54"/>
      <c r="L954" s="7"/>
      <c r="M954" s="312"/>
      <c r="N954" s="172">
        <f>IFERROR(__xludf.DUMMYFUNCTION("""COMPUTED_VALUE"""),3.0)</f>
        <v>3</v>
      </c>
      <c r="O954" s="172"/>
      <c r="P954" s="313">
        <f>IFERROR(__xludf.DUMMYFUNCTION("""COMPUTED_VALUE"""),0.0)</f>
        <v>0</v>
      </c>
      <c r="Q954" s="76" t="b">
        <f>VLOOKUP($B954,'Run Reconcile'!B$2:O1399,14,FALSE)</f>
        <v>1</v>
      </c>
      <c r="R954" s="314" t="str">
        <f t="array" ref="R954">IF($Q954, INDEX('Run Reconcile'!A$2:A1399,MATCH(B954,'Run Reconcile'!B$2:B1399,0),1),IFERROR(0/0,""))</f>
        <v>RUN-ABRM_2023-03-01_RFR-175</v>
      </c>
      <c r="S954" s="315" t="str">
        <f t="shared" ref="S954:T954" si="1913">IF(COUNTIF(W$2:W1399, $A954) &gt; 0,TRUE,IFERROR(0/0,""))</f>
        <v/>
      </c>
      <c r="T954" s="315" t="str">
        <f t="shared" si="1913"/>
        <v/>
      </c>
      <c r="U954" s="114" t="str">
        <f t="array" ref="U954">IF(ISBLANK($R954), INDEX('Run Reconcile'!A$2:A1399, MATCH($B954, 'Run Reconcile'!B$2:B1399, 0)+Z954, 1), IFERROR(0/0,""))
</f>
        <v/>
      </c>
      <c r="V954" s="316" t="str">
        <f t="shared" si="1281"/>
        <v>RUN-ABRM_2023-03-01_RFR-175</v>
      </c>
      <c r="Y954" s="317" t="str">
        <f t="shared" si="6"/>
        <v/>
      </c>
      <c r="Z954" s="83" t="str">
        <f t="shared" si="7"/>
        <v/>
      </c>
      <c r="AA954" s="83" t="str">
        <f t="shared" si="8"/>
        <v/>
      </c>
      <c r="AB954" s="83" t="str">
        <f t="shared" si="9"/>
        <v/>
      </c>
      <c r="AC954" s="18" t="str">
        <f t="shared" ref="AC954:AD954" si="1914">IF(_xlfn.ISFORMULA(S954),IFERROR(0/0,""),TRUE)</f>
        <v/>
      </c>
      <c r="AD954" s="18" t="str">
        <f t="shared" si="1914"/>
        <v/>
      </c>
      <c r="AE954" s="43"/>
      <c r="AF954" s="58" t="s">
        <v>148</v>
      </c>
      <c r="AG954" s="55" t="str">
        <f t="shared" si="11"/>
        <v/>
      </c>
    </row>
    <row r="955">
      <c r="A955" s="7" t="str">
        <f>IFERROR(__xludf.DUMMYFUNCTION("""COMPUTED_VALUE"""),"AH7627")</f>
        <v>AH7627</v>
      </c>
      <c r="B955" s="308">
        <f>IFERROR(__xludf.DUMMYFUNCTION("""COMPUTED_VALUE"""),44986.0)</f>
        <v>44986</v>
      </c>
      <c r="C955" s="309">
        <f>IFERROR(__xludf.DUMMYFUNCTION("""COMPUTED_VALUE"""),0.28001157407407407)</f>
        <v>0.2800115741</v>
      </c>
      <c r="D955" s="7" t="str">
        <f>IFERROR(__xludf.DUMMYFUNCTION("""COMPUTED_VALUE"""),"SpABRM367540")</f>
        <v>SpABRM367540</v>
      </c>
      <c r="E955" s="310"/>
      <c r="F955" s="310"/>
      <c r="G955" s="310" t="str">
        <f>IFERROR(__xludf.DUMMYFUNCTION("""COMPUTED_VALUE"""),"Negative")</f>
        <v>Negative</v>
      </c>
      <c r="H955" s="319" t="str">
        <f>IFERROR(__xludf.DUMMYFUNCTION("""COMPUTED_VALUE"""),"Negative")</f>
        <v>Negative</v>
      </c>
      <c r="I955" s="308">
        <f>IFERROR(__xludf.DUMMYFUNCTION("""COMPUTED_VALUE"""),44986.0)</f>
        <v>44986</v>
      </c>
      <c r="J955" s="311">
        <f>IFERROR(__xludf.DUMMYFUNCTION("""COMPUTED_VALUE"""),0.39770833333333333)</f>
        <v>0.3977083333</v>
      </c>
      <c r="K955" s="54"/>
      <c r="L955" s="7"/>
      <c r="M955" s="312"/>
      <c r="N955" s="172">
        <f>IFERROR(__xludf.DUMMYFUNCTION("""COMPUTED_VALUE"""),3.0)</f>
        <v>3</v>
      </c>
      <c r="O955" s="172"/>
      <c r="P955" s="313">
        <f>IFERROR(__xludf.DUMMYFUNCTION("""COMPUTED_VALUE"""),0.0)</f>
        <v>0</v>
      </c>
      <c r="Q955" s="76" t="b">
        <f>VLOOKUP($B955,'Run Reconcile'!B$2:O1399,14,FALSE)</f>
        <v>1</v>
      </c>
      <c r="R955" s="314" t="str">
        <f t="array" ref="R955">IF($Q955, INDEX('Run Reconcile'!A$2:A1399,MATCH(B955,'Run Reconcile'!B$2:B1399,0),1),IFERROR(0/0,""))</f>
        <v>RUN-ABRM_2023-03-01_RFR-175</v>
      </c>
      <c r="S955" s="315" t="str">
        <f t="shared" ref="S955:T955" si="1915">IF(COUNTIF(W$2:W1399, $A955) &gt; 0,TRUE,IFERROR(0/0,""))</f>
        <v/>
      </c>
      <c r="T955" s="315" t="str">
        <f t="shared" si="1915"/>
        <v/>
      </c>
      <c r="U955" s="114" t="str">
        <f t="array" ref="U955">IF(ISBLANK($R955), INDEX('Run Reconcile'!A$2:A1399, MATCH($B955, 'Run Reconcile'!B$2:B1399, 0)+Z955, 1), IFERROR(0/0,""))
</f>
        <v/>
      </c>
      <c r="V955" s="316" t="str">
        <f t="shared" si="1281"/>
        <v>RUN-ABRM_2023-03-01_RFR-175</v>
      </c>
      <c r="Y955" s="317" t="str">
        <f t="shared" si="6"/>
        <v/>
      </c>
      <c r="Z955" s="83" t="str">
        <f t="shared" si="7"/>
        <v/>
      </c>
      <c r="AA955" s="83" t="str">
        <f t="shared" si="8"/>
        <v/>
      </c>
      <c r="AB955" s="83" t="str">
        <f t="shared" si="9"/>
        <v/>
      </c>
      <c r="AC955" s="18" t="str">
        <f t="shared" ref="AC955:AD955" si="1916">IF(_xlfn.ISFORMULA(S955),IFERROR(0/0,""),TRUE)</f>
        <v/>
      </c>
      <c r="AD955" s="18" t="str">
        <f t="shared" si="1916"/>
        <v/>
      </c>
      <c r="AE955" s="43"/>
      <c r="AF955" s="58" t="s">
        <v>148</v>
      </c>
      <c r="AG955" s="55" t="str">
        <f t="shared" si="11"/>
        <v/>
      </c>
    </row>
    <row r="956">
      <c r="A956" s="7" t="str">
        <f>IFERROR(__xludf.DUMMYFUNCTION("""COMPUTED_VALUE"""),"AR1920")</f>
        <v>AR1920</v>
      </c>
      <c r="B956" s="308">
        <f>IFERROR(__xludf.DUMMYFUNCTION("""COMPUTED_VALUE"""),44986.0)</f>
        <v>44986</v>
      </c>
      <c r="C956" s="309">
        <f>IFERROR(__xludf.DUMMYFUNCTION("""COMPUTED_VALUE"""),0.280162037037037)</f>
        <v>0.280162037</v>
      </c>
      <c r="D956" s="7" t="str">
        <f>IFERROR(__xludf.DUMMYFUNCTION("""COMPUTED_VALUE"""),"SpABRM128250")</f>
        <v>SpABRM128250</v>
      </c>
      <c r="E956" s="310"/>
      <c r="F956" s="310"/>
      <c r="G956" s="310" t="str">
        <f>IFERROR(__xludf.DUMMYFUNCTION("""COMPUTED_VALUE"""),"Negative")</f>
        <v>Negative</v>
      </c>
      <c r="H956" s="319" t="str">
        <f>IFERROR(__xludf.DUMMYFUNCTION("""COMPUTED_VALUE"""),"Negative")</f>
        <v>Negative</v>
      </c>
      <c r="I956" s="308">
        <f>IFERROR(__xludf.DUMMYFUNCTION("""COMPUTED_VALUE"""),44986.0)</f>
        <v>44986</v>
      </c>
      <c r="J956" s="311">
        <f>IFERROR(__xludf.DUMMYFUNCTION("""COMPUTED_VALUE"""),0.3977199074074074)</f>
        <v>0.3977199074</v>
      </c>
      <c r="K956" s="54"/>
      <c r="L956" s="7"/>
      <c r="M956" s="312"/>
      <c r="N956" s="172">
        <f>IFERROR(__xludf.DUMMYFUNCTION("""COMPUTED_VALUE"""),3.0)</f>
        <v>3</v>
      </c>
      <c r="O956" s="172"/>
      <c r="P956" s="313">
        <f>IFERROR(__xludf.DUMMYFUNCTION("""COMPUTED_VALUE"""),0.0)</f>
        <v>0</v>
      </c>
      <c r="Q956" s="76" t="b">
        <f>VLOOKUP($B956,'Run Reconcile'!B$2:O1399,14,FALSE)</f>
        <v>1</v>
      </c>
      <c r="R956" s="314" t="str">
        <f t="array" ref="R956">IF($Q956, INDEX('Run Reconcile'!A$2:A1399,MATCH(B956,'Run Reconcile'!B$2:B1399,0),1),IFERROR(0/0,""))</f>
        <v>RUN-ABRM_2023-03-01_RFR-175</v>
      </c>
      <c r="S956" s="315" t="str">
        <f t="shared" ref="S956:T956" si="1917">IF(COUNTIF(W$2:W1399, $A956) &gt; 0,TRUE,IFERROR(0/0,""))</f>
        <v/>
      </c>
      <c r="T956" s="315" t="str">
        <f t="shared" si="1917"/>
        <v/>
      </c>
      <c r="U956" s="114" t="str">
        <f t="array" ref="U956">IF(ISBLANK($R956), INDEX('Run Reconcile'!A$2:A1399, MATCH($B956, 'Run Reconcile'!B$2:B1399, 0)+Z956, 1), IFERROR(0/0,""))
</f>
        <v/>
      </c>
      <c r="V956" s="316" t="str">
        <f t="shared" si="1281"/>
        <v>RUN-ABRM_2023-03-01_RFR-175</v>
      </c>
      <c r="Y956" s="317" t="str">
        <f t="shared" si="6"/>
        <v/>
      </c>
      <c r="Z956" s="83" t="str">
        <f t="shared" si="7"/>
        <v/>
      </c>
      <c r="AA956" s="83" t="str">
        <f t="shared" si="8"/>
        <v/>
      </c>
      <c r="AB956" s="83" t="str">
        <f t="shared" si="9"/>
        <v/>
      </c>
      <c r="AC956" s="18" t="str">
        <f t="shared" ref="AC956:AD956" si="1918">IF(_xlfn.ISFORMULA(S956),IFERROR(0/0,""),TRUE)</f>
        <v/>
      </c>
      <c r="AD956" s="18" t="str">
        <f t="shared" si="1918"/>
        <v/>
      </c>
      <c r="AE956" s="43"/>
      <c r="AF956" s="58" t="s">
        <v>148</v>
      </c>
      <c r="AG956" s="55" t="str">
        <f t="shared" si="11"/>
        <v/>
      </c>
    </row>
    <row r="957">
      <c r="A957" s="7" t="str">
        <f>IFERROR(__xludf.DUMMYFUNCTION("""COMPUTED_VALUE"""),"AR591")</f>
        <v>AR591</v>
      </c>
      <c r="B957" s="308">
        <f>IFERROR(__xludf.DUMMYFUNCTION("""COMPUTED_VALUE"""),44986.0)</f>
        <v>44986</v>
      </c>
      <c r="C957" s="309">
        <f>IFERROR(__xludf.DUMMYFUNCTION("""COMPUTED_VALUE"""),0.3176041666666667)</f>
        <v>0.3176041667</v>
      </c>
      <c r="D957" s="7" t="str">
        <f>IFERROR(__xludf.DUMMYFUNCTION("""COMPUTED_VALUE"""),"SpABRM655136")</f>
        <v>SpABRM655136</v>
      </c>
      <c r="E957" s="310"/>
      <c r="F957" s="310"/>
      <c r="G957" s="310" t="str">
        <f>IFERROR(__xludf.DUMMYFUNCTION("""COMPUTED_VALUE"""),"Negative")</f>
        <v>Negative</v>
      </c>
      <c r="H957" s="319" t="str">
        <f>IFERROR(__xludf.DUMMYFUNCTION("""COMPUTED_VALUE"""),"Negative")</f>
        <v>Negative</v>
      </c>
      <c r="I957" s="308">
        <f>IFERROR(__xludf.DUMMYFUNCTION("""COMPUTED_VALUE"""),44986.0)</f>
        <v>44986</v>
      </c>
      <c r="J957" s="311">
        <f>IFERROR(__xludf.DUMMYFUNCTION("""COMPUTED_VALUE"""),0.3977199074074074)</f>
        <v>0.3977199074</v>
      </c>
      <c r="K957" s="54"/>
      <c r="L957" s="7"/>
      <c r="M957" s="312"/>
      <c r="N957" s="172">
        <f>IFERROR(__xludf.DUMMYFUNCTION("""COMPUTED_VALUE"""),2.0)</f>
        <v>2</v>
      </c>
      <c r="O957" s="172"/>
      <c r="P957" s="313">
        <f>IFERROR(__xludf.DUMMYFUNCTION("""COMPUTED_VALUE"""),0.0)</f>
        <v>0</v>
      </c>
      <c r="Q957" s="76" t="b">
        <f>VLOOKUP($B957,'Run Reconcile'!B$2:O1399,14,FALSE)</f>
        <v>1</v>
      </c>
      <c r="R957" s="314" t="str">
        <f t="array" ref="R957">IF($Q957, INDEX('Run Reconcile'!A$2:A1399,MATCH(B957,'Run Reconcile'!B$2:B1399,0),1),IFERROR(0/0,""))</f>
        <v>RUN-ABRM_2023-03-01_RFR-175</v>
      </c>
      <c r="S957" s="315" t="str">
        <f t="shared" ref="S957:T957" si="1919">IF(COUNTIF(W$2:W1399, $A957) &gt; 0,TRUE,IFERROR(0/0,""))</f>
        <v/>
      </c>
      <c r="T957" s="315" t="str">
        <f t="shared" si="1919"/>
        <v/>
      </c>
      <c r="U957" s="114" t="str">
        <f t="array" ref="U957">IF(ISBLANK($R957), INDEX('Run Reconcile'!A$2:A1399, MATCH($B957, 'Run Reconcile'!B$2:B1399, 0)+Z957, 1), IFERROR(0/0,""))
</f>
        <v/>
      </c>
      <c r="V957" s="316" t="str">
        <f t="shared" si="1281"/>
        <v>RUN-ABRM_2023-03-01_RFR-175</v>
      </c>
      <c r="Y957" s="317" t="str">
        <f t="shared" si="6"/>
        <v/>
      </c>
      <c r="Z957" s="83" t="str">
        <f t="shared" si="7"/>
        <v/>
      </c>
      <c r="AA957" s="83" t="str">
        <f t="shared" si="8"/>
        <v/>
      </c>
      <c r="AB957" s="83" t="str">
        <f t="shared" si="9"/>
        <v/>
      </c>
      <c r="AC957" s="18" t="str">
        <f t="shared" ref="AC957:AD957" si="1920">IF(_xlfn.ISFORMULA(S957),IFERROR(0/0,""),TRUE)</f>
        <v/>
      </c>
      <c r="AD957" s="18" t="str">
        <f t="shared" si="1920"/>
        <v/>
      </c>
      <c r="AE957" s="43"/>
      <c r="AF957" s="58" t="s">
        <v>148</v>
      </c>
      <c r="AG957" s="55" t="str">
        <f t="shared" si="11"/>
        <v/>
      </c>
    </row>
    <row r="958">
      <c r="A958" s="7" t="str">
        <f>IFERROR(__xludf.DUMMYFUNCTION("""COMPUTED_VALUE"""),"AR450")</f>
        <v>AR450</v>
      </c>
      <c r="B958" s="308">
        <f>IFERROR(__xludf.DUMMYFUNCTION("""COMPUTED_VALUE"""),44986.0)</f>
        <v>44986</v>
      </c>
      <c r="C958" s="309">
        <f>IFERROR(__xludf.DUMMYFUNCTION("""COMPUTED_VALUE"""),0.32055555555555554)</f>
        <v>0.3205555556</v>
      </c>
      <c r="D958" s="7" t="str">
        <f>IFERROR(__xludf.DUMMYFUNCTION("""COMPUTED_VALUE"""),"SpABRM519188")</f>
        <v>SpABRM519188</v>
      </c>
      <c r="E958" s="310"/>
      <c r="F958" s="310"/>
      <c r="G958" s="310" t="str">
        <f>IFERROR(__xludf.DUMMYFUNCTION("""COMPUTED_VALUE"""),"Negative")</f>
        <v>Negative</v>
      </c>
      <c r="H958" s="319" t="str">
        <f>IFERROR(__xludf.DUMMYFUNCTION("""COMPUTED_VALUE"""),"Negative")</f>
        <v>Negative</v>
      </c>
      <c r="I958" s="308">
        <f>IFERROR(__xludf.DUMMYFUNCTION("""COMPUTED_VALUE"""),44986.0)</f>
        <v>44986</v>
      </c>
      <c r="J958" s="311">
        <f>IFERROR(__xludf.DUMMYFUNCTION("""COMPUTED_VALUE"""),0.4267361111111111)</f>
        <v>0.4267361111</v>
      </c>
      <c r="K958" s="54"/>
      <c r="L958" s="7"/>
      <c r="M958" s="312"/>
      <c r="N958" s="172">
        <f>IFERROR(__xludf.DUMMYFUNCTION("""COMPUTED_VALUE"""),1.0)</f>
        <v>1</v>
      </c>
      <c r="O958" s="172"/>
      <c r="P958" s="313">
        <f>IFERROR(__xludf.DUMMYFUNCTION("""COMPUTED_VALUE"""),0.0)</f>
        <v>0</v>
      </c>
      <c r="Q958" s="76" t="b">
        <f>VLOOKUP($B958,'Run Reconcile'!B$2:O1399,14,FALSE)</f>
        <v>1</v>
      </c>
      <c r="R958" s="314" t="str">
        <f t="array" ref="R958">IF($Q958, INDEX('Run Reconcile'!A$2:A1399,MATCH(B958,'Run Reconcile'!B$2:B1399,0),1),IFERROR(0/0,""))</f>
        <v>RUN-ABRM_2023-03-01_RFR-175</v>
      </c>
      <c r="S958" s="315" t="str">
        <f t="shared" ref="S958:T958" si="1921">IF(COUNTIF(W$2:W1399, $A958) &gt; 0,TRUE,IFERROR(0/0,""))</f>
        <v/>
      </c>
      <c r="T958" s="315" t="str">
        <f t="shared" si="1921"/>
        <v/>
      </c>
      <c r="U958" s="114" t="str">
        <f t="array" ref="U958">IF(ISBLANK($R958), INDEX('Run Reconcile'!A$2:A1399, MATCH($B958, 'Run Reconcile'!B$2:B1399, 0)+Z958, 1), IFERROR(0/0,""))
</f>
        <v/>
      </c>
      <c r="V958" s="316" t="str">
        <f t="shared" si="1281"/>
        <v>RUN-ABRM_2023-03-01_RFR-175</v>
      </c>
      <c r="Y958" s="317" t="str">
        <f t="shared" si="6"/>
        <v/>
      </c>
      <c r="Z958" s="83" t="str">
        <f t="shared" si="7"/>
        <v/>
      </c>
      <c r="AA958" s="83" t="str">
        <f t="shared" si="8"/>
        <v/>
      </c>
      <c r="AB958" s="83" t="str">
        <f t="shared" si="9"/>
        <v/>
      </c>
      <c r="AC958" s="18" t="str">
        <f t="shared" ref="AC958:AD958" si="1922">IF(_xlfn.ISFORMULA(S958),IFERROR(0/0,""),TRUE)</f>
        <v/>
      </c>
      <c r="AD958" s="18" t="str">
        <f t="shared" si="1922"/>
        <v/>
      </c>
      <c r="AE958" s="43"/>
      <c r="AF958" s="58" t="s">
        <v>148</v>
      </c>
      <c r="AG958" s="55" t="str">
        <f t="shared" si="11"/>
        <v/>
      </c>
    </row>
    <row r="959">
      <c r="A959" s="7" t="str">
        <f>IFERROR(__xludf.DUMMYFUNCTION("""COMPUTED_VALUE"""),"AR805")</f>
        <v>AR805</v>
      </c>
      <c r="B959" s="308">
        <f>IFERROR(__xludf.DUMMYFUNCTION("""COMPUTED_VALUE"""),44986.0)</f>
        <v>44986</v>
      </c>
      <c r="C959" s="309">
        <f>IFERROR(__xludf.DUMMYFUNCTION("""COMPUTED_VALUE"""),0.32200231481481484)</f>
        <v>0.3220023148</v>
      </c>
      <c r="D959" s="7" t="str">
        <f>IFERROR(__xludf.DUMMYFUNCTION("""COMPUTED_VALUE"""),"SpABRM814022")</f>
        <v>SpABRM814022</v>
      </c>
      <c r="E959" s="310"/>
      <c r="F959" s="310"/>
      <c r="G959" s="310" t="str">
        <f>IFERROR(__xludf.DUMMYFUNCTION("""COMPUTED_VALUE"""),"Negative")</f>
        <v>Negative</v>
      </c>
      <c r="H959" s="319" t="str">
        <f>IFERROR(__xludf.DUMMYFUNCTION("""COMPUTED_VALUE"""),"Negative")</f>
        <v>Negative</v>
      </c>
      <c r="I959" s="308">
        <f>IFERROR(__xludf.DUMMYFUNCTION("""COMPUTED_VALUE"""),44986.0)</f>
        <v>44986</v>
      </c>
      <c r="J959" s="311">
        <f>IFERROR(__xludf.DUMMYFUNCTION("""COMPUTED_VALUE"""),0.4267592592592593)</f>
        <v>0.4267592593</v>
      </c>
      <c r="K959" s="54"/>
      <c r="L959" s="7"/>
      <c r="M959" s="312"/>
      <c r="N959" s="172">
        <f>IFERROR(__xludf.DUMMYFUNCTION("""COMPUTED_VALUE"""),1.0)</f>
        <v>1</v>
      </c>
      <c r="O959" s="172"/>
      <c r="P959" s="313">
        <f>IFERROR(__xludf.DUMMYFUNCTION("""COMPUTED_VALUE"""),0.0)</f>
        <v>0</v>
      </c>
      <c r="Q959" s="76" t="b">
        <f>VLOOKUP($B959,'Run Reconcile'!B$2:O1399,14,FALSE)</f>
        <v>1</v>
      </c>
      <c r="R959" s="314" t="str">
        <f t="array" ref="R959">IF($Q959, INDEX('Run Reconcile'!A$2:A1399,MATCH(B959,'Run Reconcile'!B$2:B1399,0),1),IFERROR(0/0,""))</f>
        <v>RUN-ABRM_2023-03-01_RFR-175</v>
      </c>
      <c r="S959" s="315" t="str">
        <f t="shared" ref="S959:T959" si="1923">IF(COUNTIF(W$2:W1399, $A959) &gt; 0,TRUE,IFERROR(0/0,""))</f>
        <v/>
      </c>
      <c r="T959" s="315" t="str">
        <f t="shared" si="1923"/>
        <v/>
      </c>
      <c r="U959" s="114" t="str">
        <f t="array" ref="U959">IF(ISBLANK($R959), INDEX('Run Reconcile'!A$2:A1399, MATCH($B959, 'Run Reconcile'!B$2:B1399, 0)+Z959, 1), IFERROR(0/0,""))
</f>
        <v/>
      </c>
      <c r="V959" s="316" t="str">
        <f t="shared" si="1281"/>
        <v>RUN-ABRM_2023-03-01_RFR-175</v>
      </c>
      <c r="Y959" s="317" t="str">
        <f t="shared" si="6"/>
        <v/>
      </c>
      <c r="Z959" s="83" t="str">
        <f t="shared" si="7"/>
        <v/>
      </c>
      <c r="AA959" s="83" t="str">
        <f t="shared" si="8"/>
        <v/>
      </c>
      <c r="AB959" s="83" t="str">
        <f t="shared" si="9"/>
        <v/>
      </c>
      <c r="AC959" s="18" t="str">
        <f t="shared" ref="AC959:AD959" si="1924">IF(_xlfn.ISFORMULA(S959),IFERROR(0/0,""),TRUE)</f>
        <v/>
      </c>
      <c r="AD959" s="18" t="str">
        <f t="shared" si="1924"/>
        <v/>
      </c>
      <c r="AE959" s="43"/>
      <c r="AF959" s="58" t="s">
        <v>148</v>
      </c>
      <c r="AG959" s="55" t="str">
        <f t="shared" si="11"/>
        <v/>
      </c>
    </row>
    <row r="960">
      <c r="A960" s="7" t="str">
        <f>IFERROR(__xludf.DUMMYFUNCTION("""COMPUTED_VALUE"""),"AB9985")</f>
        <v>AB9985</v>
      </c>
      <c r="B960" s="308">
        <f>IFERROR(__xludf.DUMMYFUNCTION("""COMPUTED_VALUE"""),44986.0)</f>
        <v>44986</v>
      </c>
      <c r="C960" s="309">
        <f>IFERROR(__xludf.DUMMYFUNCTION("""COMPUTED_VALUE"""),0.3224768518518519)</f>
        <v>0.3224768519</v>
      </c>
      <c r="D960" s="7" t="str">
        <f>IFERROR(__xludf.DUMMYFUNCTION("""COMPUTED_VALUE"""),"SpABRM655136")</f>
        <v>SpABRM655136</v>
      </c>
      <c r="E960" s="310"/>
      <c r="F960" s="310"/>
      <c r="G960" s="310" t="str">
        <f>IFERROR(__xludf.DUMMYFUNCTION("""COMPUTED_VALUE"""),"Negative")</f>
        <v>Negative</v>
      </c>
      <c r="H960" s="319" t="str">
        <f>IFERROR(__xludf.DUMMYFUNCTION("""COMPUTED_VALUE"""),"Negative")</f>
        <v>Negative</v>
      </c>
      <c r="I960" s="308">
        <f>IFERROR(__xludf.DUMMYFUNCTION("""COMPUTED_VALUE"""),44986.0)</f>
        <v>44986</v>
      </c>
      <c r="J960" s="311">
        <f>IFERROR(__xludf.DUMMYFUNCTION("""COMPUTED_VALUE"""),0.39773148148148146)</f>
        <v>0.3977314815</v>
      </c>
      <c r="K960" s="54"/>
      <c r="L960" s="7"/>
      <c r="M960" s="312"/>
      <c r="N960" s="172">
        <f>IFERROR(__xludf.DUMMYFUNCTION("""COMPUTED_VALUE"""),1.0)</f>
        <v>1</v>
      </c>
      <c r="O960" s="172"/>
      <c r="P960" s="313">
        <f>IFERROR(__xludf.DUMMYFUNCTION("""COMPUTED_VALUE"""),0.0)</f>
        <v>0</v>
      </c>
      <c r="Q960" s="76" t="b">
        <f>VLOOKUP($B960,'Run Reconcile'!B$2:O1399,14,FALSE)</f>
        <v>1</v>
      </c>
      <c r="R960" s="314" t="str">
        <f t="array" ref="R960">IF($Q960, INDEX('Run Reconcile'!A$2:A1399,MATCH(B960,'Run Reconcile'!B$2:B1399,0),1),IFERROR(0/0,""))</f>
        <v>RUN-ABRM_2023-03-01_RFR-175</v>
      </c>
      <c r="S960" s="315" t="str">
        <f t="shared" ref="S960:T960" si="1925">IF(COUNTIF(W$2:W1399, $A960) &gt; 0,TRUE,IFERROR(0/0,""))</f>
        <v/>
      </c>
      <c r="T960" s="315" t="str">
        <f t="shared" si="1925"/>
        <v/>
      </c>
      <c r="U960" s="114" t="str">
        <f t="array" ref="U960">IF(ISBLANK($R960), INDEX('Run Reconcile'!A$2:A1399, MATCH($B960, 'Run Reconcile'!B$2:B1399, 0)+Z960, 1), IFERROR(0/0,""))
</f>
        <v/>
      </c>
      <c r="V960" s="316" t="str">
        <f t="shared" si="1281"/>
        <v>RUN-ABRM_2023-03-01_RFR-175</v>
      </c>
      <c r="Y960" s="317" t="str">
        <f t="shared" si="6"/>
        <v/>
      </c>
      <c r="Z960" s="83" t="str">
        <f t="shared" si="7"/>
        <v/>
      </c>
      <c r="AA960" s="83" t="str">
        <f t="shared" si="8"/>
        <v/>
      </c>
      <c r="AB960" s="83" t="str">
        <f t="shared" si="9"/>
        <v/>
      </c>
      <c r="AC960" s="18" t="str">
        <f t="shared" ref="AC960:AD960" si="1926">IF(_xlfn.ISFORMULA(S960),IFERROR(0/0,""),TRUE)</f>
        <v/>
      </c>
      <c r="AD960" s="18" t="str">
        <f t="shared" si="1926"/>
        <v/>
      </c>
      <c r="AE960" s="43"/>
      <c r="AF960" s="58" t="s">
        <v>148</v>
      </c>
      <c r="AG960" s="55" t="str">
        <f t="shared" si="11"/>
        <v/>
      </c>
    </row>
    <row r="961">
      <c r="A961" s="7" t="str">
        <f>IFERROR(__xludf.DUMMYFUNCTION("""COMPUTED_VALUE"""),"AK9868")</f>
        <v>AK9868</v>
      </c>
      <c r="B961" s="308">
        <f>IFERROR(__xludf.DUMMYFUNCTION("""COMPUTED_VALUE"""),44986.0)</f>
        <v>44986</v>
      </c>
      <c r="C961" s="309">
        <f>IFERROR(__xludf.DUMMYFUNCTION("""COMPUTED_VALUE"""),0.3430787037037037)</f>
        <v>0.3430787037</v>
      </c>
      <c r="D961" s="7" t="str">
        <f>IFERROR(__xludf.DUMMYFUNCTION("""COMPUTED_VALUE"""),"SpABRM655136")</f>
        <v>SpABRM655136</v>
      </c>
      <c r="E961" s="310"/>
      <c r="F961" s="310"/>
      <c r="G961" s="310" t="str">
        <f>IFERROR(__xludf.DUMMYFUNCTION("""COMPUTED_VALUE"""),"Negative")</f>
        <v>Negative</v>
      </c>
      <c r="H961" s="319" t="str">
        <f>IFERROR(__xludf.DUMMYFUNCTION("""COMPUTED_VALUE"""),"Negative")</f>
        <v>Negative</v>
      </c>
      <c r="I961" s="308">
        <f>IFERROR(__xludf.DUMMYFUNCTION("""COMPUTED_VALUE"""),44986.0)</f>
        <v>44986</v>
      </c>
      <c r="J961" s="311">
        <f>IFERROR(__xludf.DUMMYFUNCTION("""COMPUTED_VALUE"""),0.39774305555555556)</f>
        <v>0.3977430556</v>
      </c>
      <c r="K961" s="54"/>
      <c r="L961" s="7"/>
      <c r="M961" s="312"/>
      <c r="N961" s="172">
        <f>IFERROR(__xludf.DUMMYFUNCTION("""COMPUTED_VALUE"""),4.0)</f>
        <v>4</v>
      </c>
      <c r="O961" s="172"/>
      <c r="P961" s="313">
        <f>IFERROR(__xludf.DUMMYFUNCTION("""COMPUTED_VALUE"""),0.0)</f>
        <v>0</v>
      </c>
      <c r="Q961" s="76" t="b">
        <f>VLOOKUP($B961,'Run Reconcile'!B$2:O1399,14,FALSE)</f>
        <v>1</v>
      </c>
      <c r="R961" s="314" t="str">
        <f t="array" ref="R961">IF($Q961, INDEX('Run Reconcile'!A$2:A1399,MATCH(B961,'Run Reconcile'!B$2:B1399,0),1),IFERROR(0/0,""))</f>
        <v>RUN-ABRM_2023-03-01_RFR-175</v>
      </c>
      <c r="S961" s="315" t="str">
        <f t="shared" ref="S961:T961" si="1927">IF(COUNTIF(W$2:W1399, $A961) &gt; 0,TRUE,IFERROR(0/0,""))</f>
        <v/>
      </c>
      <c r="T961" s="315" t="str">
        <f t="shared" si="1927"/>
        <v/>
      </c>
      <c r="U961" s="114" t="str">
        <f t="array" ref="U961">IF(ISBLANK($R961), INDEX('Run Reconcile'!A$2:A1399, MATCH($B961, 'Run Reconcile'!B$2:B1399, 0)+Z961, 1), IFERROR(0/0,""))
</f>
        <v/>
      </c>
      <c r="V961" s="316" t="str">
        <f t="shared" si="1281"/>
        <v>RUN-ABRM_2023-03-01_RFR-175</v>
      </c>
      <c r="Y961" s="317" t="str">
        <f t="shared" si="6"/>
        <v/>
      </c>
      <c r="Z961" s="83" t="str">
        <f t="shared" si="7"/>
        <v/>
      </c>
      <c r="AA961" s="83" t="str">
        <f t="shared" si="8"/>
        <v/>
      </c>
      <c r="AB961" s="83" t="str">
        <f t="shared" si="9"/>
        <v/>
      </c>
      <c r="AC961" s="18" t="str">
        <f t="shared" ref="AC961:AD961" si="1928">IF(_xlfn.ISFORMULA(S961),IFERROR(0/0,""),TRUE)</f>
        <v/>
      </c>
      <c r="AD961" s="18" t="str">
        <f t="shared" si="1928"/>
        <v/>
      </c>
      <c r="AE961" s="43"/>
      <c r="AF961" s="58" t="s">
        <v>148</v>
      </c>
      <c r="AG961" s="55" t="str">
        <f t="shared" si="11"/>
        <v/>
      </c>
    </row>
    <row r="962">
      <c r="A962" s="7" t="str">
        <f>IFERROR(__xludf.DUMMYFUNCTION("""COMPUTED_VALUE"""),"AR1009")</f>
        <v>AR1009</v>
      </c>
      <c r="B962" s="308">
        <f>IFERROR(__xludf.DUMMYFUNCTION("""COMPUTED_VALUE"""),44987.0)</f>
        <v>44987</v>
      </c>
      <c r="C962" s="309">
        <f>IFERROR(__xludf.DUMMYFUNCTION("""COMPUTED_VALUE"""),0.2868981481481481)</f>
        <v>0.2868981481</v>
      </c>
      <c r="D962" s="7" t="str">
        <f>IFERROR(__xludf.DUMMYFUNCTION("""COMPUTED_VALUE"""),"SpABRM128250")</f>
        <v>SpABRM128250</v>
      </c>
      <c r="E962" s="310"/>
      <c r="F962" s="310"/>
      <c r="G962" s="310" t="str">
        <f>IFERROR(__xludf.DUMMYFUNCTION("""COMPUTED_VALUE"""),"Negative")</f>
        <v>Negative</v>
      </c>
      <c r="H962" s="319" t="str">
        <f>IFERROR(__xludf.DUMMYFUNCTION("""COMPUTED_VALUE"""),"Negative")</f>
        <v>Negative</v>
      </c>
      <c r="I962" s="308">
        <f>IFERROR(__xludf.DUMMYFUNCTION("""COMPUTED_VALUE"""),44987.0)</f>
        <v>44987</v>
      </c>
      <c r="J962" s="311">
        <f>IFERROR(__xludf.DUMMYFUNCTION("""COMPUTED_VALUE"""),0.42877314814814815)</f>
        <v>0.4287731481</v>
      </c>
      <c r="K962" s="54"/>
      <c r="L962" s="7"/>
      <c r="M962" s="312"/>
      <c r="N962" s="172">
        <f>IFERROR(__xludf.DUMMYFUNCTION("""COMPUTED_VALUE"""),3.0)</f>
        <v>3</v>
      </c>
      <c r="O962" s="172"/>
      <c r="P962" s="313">
        <f>IFERROR(__xludf.DUMMYFUNCTION("""COMPUTED_VALUE"""),0.0)</f>
        <v>0</v>
      </c>
      <c r="Q962" s="76" t="str">
        <f>VLOOKUP($B962,'Run Reconcile'!B$2:O1399,14,FALSE)</f>
        <v/>
      </c>
      <c r="R962" s="314" t="str">
        <f t="array" ref="R962">IF($Q962, INDEX('Run Reconcile'!A$2:A1399,MATCH(B962,'Run Reconcile'!B$2:B1399,0),1),IFERROR(0/0,""))</f>
        <v/>
      </c>
      <c r="S962" s="315" t="str">
        <f t="shared" ref="S962:T962" si="1929">IF(COUNTIF(W$2:W1399, $A962) &gt; 0,TRUE,IFERROR(0/0,""))</f>
        <v/>
      </c>
      <c r="T962" s="315" t="str">
        <f t="shared" si="1929"/>
        <v/>
      </c>
      <c r="U962" s="114" t="str">
        <f t="array" ref="U962">IF(ISBLANK($R962), INDEX('Run Reconcile'!A$2:A1399, MATCH($B962, 'Run Reconcile'!B$2:B1399, 0)+Z962, 1), IFERROR(0/0,""))
</f>
        <v>RUN-ABRM_2023-03-02_RFR-177</v>
      </c>
      <c r="V962" s="316" t="str">
        <f t="shared" si="1281"/>
        <v>RUN-ABRM_2023-03-02_RFR-177</v>
      </c>
      <c r="Y962" s="317" t="str">
        <f t="shared" si="6"/>
        <v/>
      </c>
      <c r="Z962" s="83" t="str">
        <f t="shared" si="7"/>
        <v/>
      </c>
      <c r="AA962" s="83" t="str">
        <f t="shared" si="8"/>
        <v/>
      </c>
      <c r="AB962" s="83" t="str">
        <f t="shared" si="9"/>
        <v/>
      </c>
      <c r="AC962" s="18" t="str">
        <f t="shared" ref="AC962:AD962" si="1930">IF(_xlfn.ISFORMULA(S962),IFERROR(0/0,""),TRUE)</f>
        <v/>
      </c>
      <c r="AD962" s="18" t="str">
        <f t="shared" si="1930"/>
        <v/>
      </c>
      <c r="AE962" s="43"/>
      <c r="AF962" s="58" t="s">
        <v>149</v>
      </c>
      <c r="AG962" s="55" t="str">
        <f t="shared" si="11"/>
        <v/>
      </c>
    </row>
    <row r="963">
      <c r="A963" s="7" t="str">
        <f>IFERROR(__xludf.DUMMYFUNCTION("""COMPUTED_VALUE"""),"AR218")</f>
        <v>AR218</v>
      </c>
      <c r="B963" s="308">
        <f>IFERROR(__xludf.DUMMYFUNCTION("""COMPUTED_VALUE"""),44987.0)</f>
        <v>44987</v>
      </c>
      <c r="C963" s="309">
        <f>IFERROR(__xludf.DUMMYFUNCTION("""COMPUTED_VALUE"""),0.31809027777777776)</f>
        <v>0.3180902778</v>
      </c>
      <c r="D963" s="7" t="str">
        <f>IFERROR(__xludf.DUMMYFUNCTION("""COMPUTED_VALUE"""),"SpABRM519188")</f>
        <v>SpABRM519188</v>
      </c>
      <c r="E963" s="310"/>
      <c r="F963" s="310"/>
      <c r="G963" s="310" t="str">
        <f>IFERROR(__xludf.DUMMYFUNCTION("""COMPUTED_VALUE"""),"Negative")</f>
        <v>Negative</v>
      </c>
      <c r="H963" s="319" t="str">
        <f>IFERROR(__xludf.DUMMYFUNCTION("""COMPUTED_VALUE"""),"Negative")</f>
        <v>Negative</v>
      </c>
      <c r="I963" s="308">
        <f>IFERROR(__xludf.DUMMYFUNCTION("""COMPUTED_VALUE"""),44987.0)</f>
        <v>44987</v>
      </c>
      <c r="J963" s="311">
        <f>IFERROR(__xludf.DUMMYFUNCTION("""COMPUTED_VALUE"""),0.42878472222222225)</f>
        <v>0.4287847222</v>
      </c>
      <c r="K963" s="54"/>
      <c r="L963" s="7"/>
      <c r="M963" s="312"/>
      <c r="N963" s="172">
        <f>IFERROR(__xludf.DUMMYFUNCTION("""COMPUTED_VALUE"""),1.0)</f>
        <v>1</v>
      </c>
      <c r="O963" s="172"/>
      <c r="P963" s="313">
        <f>IFERROR(__xludf.DUMMYFUNCTION("""COMPUTED_VALUE"""),0.0)</f>
        <v>0</v>
      </c>
      <c r="Q963" s="76" t="str">
        <f>VLOOKUP($B963,'Run Reconcile'!B$2:O1399,14,FALSE)</f>
        <v/>
      </c>
      <c r="R963" s="314" t="str">
        <f t="array" ref="R963">IF($Q963, INDEX('Run Reconcile'!A$2:A1399,MATCH(B963,'Run Reconcile'!B$2:B1399,0),1),IFERROR(0/0,""))</f>
        <v/>
      </c>
      <c r="S963" s="315" t="str">
        <f t="shared" ref="S963:T963" si="1931">IF(COUNTIF(W$2:W1399, $A963) &gt; 0,TRUE,IFERROR(0/0,""))</f>
        <v/>
      </c>
      <c r="T963" s="315" t="str">
        <f t="shared" si="1931"/>
        <v/>
      </c>
      <c r="U963" s="114" t="str">
        <f t="array" ref="U963">IF(ISBLANK($R963), INDEX('Run Reconcile'!A$2:A1399, MATCH($B963, 'Run Reconcile'!B$2:B1399, 0)+Z963, 1), IFERROR(0/0,""))
</f>
        <v>RUN-ABRM_2023-03-02_RFR-177</v>
      </c>
      <c r="V963" s="316" t="str">
        <f t="shared" si="1281"/>
        <v>RUN-ABRM_2023-03-02_RFR-177</v>
      </c>
      <c r="Y963" s="317" t="str">
        <f t="shared" si="6"/>
        <v/>
      </c>
      <c r="Z963" s="83" t="str">
        <f t="shared" si="7"/>
        <v/>
      </c>
      <c r="AA963" s="83" t="str">
        <f t="shared" si="8"/>
        <v/>
      </c>
      <c r="AB963" s="83" t="str">
        <f t="shared" si="9"/>
        <v/>
      </c>
      <c r="AC963" s="18" t="str">
        <f t="shared" ref="AC963:AD963" si="1932">IF(_xlfn.ISFORMULA(S963),IFERROR(0/0,""),TRUE)</f>
        <v/>
      </c>
      <c r="AD963" s="18" t="str">
        <f t="shared" si="1932"/>
        <v/>
      </c>
      <c r="AE963" s="43"/>
      <c r="AF963" s="58" t="s">
        <v>149</v>
      </c>
      <c r="AG963" s="55" t="str">
        <f t="shared" si="11"/>
        <v/>
      </c>
    </row>
    <row r="964">
      <c r="A964" s="7" t="str">
        <f>IFERROR(__xludf.DUMMYFUNCTION("""COMPUTED_VALUE"""),"AK9952")</f>
        <v>AK9952</v>
      </c>
      <c r="B964" s="308">
        <f>IFERROR(__xludf.DUMMYFUNCTION("""COMPUTED_VALUE"""),44987.0)</f>
        <v>44987</v>
      </c>
      <c r="C964" s="309">
        <f>IFERROR(__xludf.DUMMYFUNCTION("""COMPUTED_VALUE"""),0.3202777777777778)</f>
        <v>0.3202777778</v>
      </c>
      <c r="D964" s="7" t="str">
        <f>IFERROR(__xludf.DUMMYFUNCTION("""COMPUTED_VALUE"""),"SpABRM814022")</f>
        <v>SpABRM814022</v>
      </c>
      <c r="E964" s="310"/>
      <c r="F964" s="310"/>
      <c r="G964" s="310" t="str">
        <f>IFERROR(__xludf.DUMMYFUNCTION("""COMPUTED_VALUE"""),"Negative")</f>
        <v>Negative</v>
      </c>
      <c r="H964" s="319" t="str">
        <f>IFERROR(__xludf.DUMMYFUNCTION("""COMPUTED_VALUE"""),"Negative")</f>
        <v>Negative</v>
      </c>
      <c r="I964" s="308">
        <f>IFERROR(__xludf.DUMMYFUNCTION("""COMPUTED_VALUE"""),44987.0)</f>
        <v>44987</v>
      </c>
      <c r="J964" s="311">
        <f>IFERROR(__xludf.DUMMYFUNCTION("""COMPUTED_VALUE"""),0.4287962962962963)</f>
        <v>0.4287962963</v>
      </c>
      <c r="K964" s="54"/>
      <c r="L964" s="7"/>
      <c r="M964" s="312"/>
      <c r="N964" s="172">
        <f>IFERROR(__xludf.DUMMYFUNCTION("""COMPUTED_VALUE"""),1.0)</f>
        <v>1</v>
      </c>
      <c r="O964" s="172"/>
      <c r="P964" s="313">
        <f>IFERROR(__xludf.DUMMYFUNCTION("""COMPUTED_VALUE"""),0.0)</f>
        <v>0</v>
      </c>
      <c r="Q964" s="76" t="str">
        <f>VLOOKUP($B964,'Run Reconcile'!B$2:O1399,14,FALSE)</f>
        <v/>
      </c>
      <c r="R964" s="314" t="str">
        <f t="array" ref="R964">IF($Q964, INDEX('Run Reconcile'!A$2:A1399,MATCH(B964,'Run Reconcile'!B$2:B1399,0),1),IFERROR(0/0,""))</f>
        <v/>
      </c>
      <c r="S964" s="315" t="str">
        <f t="shared" ref="S964:T964" si="1933">IF(COUNTIF(W$2:W1399, $A964) &gt; 0,TRUE,IFERROR(0/0,""))</f>
        <v/>
      </c>
      <c r="T964" s="315" t="str">
        <f t="shared" si="1933"/>
        <v/>
      </c>
      <c r="U964" s="114" t="str">
        <f t="array" ref="U964">IF(ISBLANK($R964), INDEX('Run Reconcile'!A$2:A1399, MATCH($B964, 'Run Reconcile'!B$2:B1399, 0)+Z964, 1), IFERROR(0/0,""))
</f>
        <v>RUN-ABRM_2023-03-02_RFR-177</v>
      </c>
      <c r="V964" s="316" t="str">
        <f t="shared" si="1281"/>
        <v>RUN-ABRM_2023-03-02_RFR-177</v>
      </c>
      <c r="Y964" s="317" t="str">
        <f t="shared" si="6"/>
        <v/>
      </c>
      <c r="Z964" s="83" t="str">
        <f t="shared" si="7"/>
        <v/>
      </c>
      <c r="AA964" s="83" t="str">
        <f t="shared" si="8"/>
        <v/>
      </c>
      <c r="AB964" s="83" t="str">
        <f t="shared" si="9"/>
        <v/>
      </c>
      <c r="AC964" s="18" t="str">
        <f t="shared" ref="AC964:AD964" si="1934">IF(_xlfn.ISFORMULA(S964),IFERROR(0/0,""),TRUE)</f>
        <v/>
      </c>
      <c r="AD964" s="18" t="str">
        <f t="shared" si="1934"/>
        <v/>
      </c>
      <c r="AE964" s="43"/>
      <c r="AF964" s="58" t="s">
        <v>149</v>
      </c>
      <c r="AG964" s="55" t="str">
        <f t="shared" si="11"/>
        <v/>
      </c>
    </row>
    <row r="965">
      <c r="A965" s="7" t="str">
        <f>IFERROR(__xludf.DUMMYFUNCTION("""COMPUTED_VALUE"""),"AR1172")</f>
        <v>AR1172</v>
      </c>
      <c r="B965" s="308">
        <f>IFERROR(__xludf.DUMMYFUNCTION("""COMPUTED_VALUE"""),44987.0)</f>
        <v>44987</v>
      </c>
      <c r="C965" s="309">
        <f>IFERROR(__xludf.DUMMYFUNCTION("""COMPUTED_VALUE"""),0.32145833333333335)</f>
        <v>0.3214583333</v>
      </c>
      <c r="D965" s="7" t="str">
        <f>IFERROR(__xludf.DUMMYFUNCTION("""COMPUTED_VALUE"""),"SpABRM655136")</f>
        <v>SpABRM655136</v>
      </c>
      <c r="E965" s="310"/>
      <c r="F965" s="310"/>
      <c r="G965" s="310" t="str">
        <f>IFERROR(__xludf.DUMMYFUNCTION("""COMPUTED_VALUE"""),"Negative")</f>
        <v>Negative</v>
      </c>
      <c r="H965" s="319" t="str">
        <f>IFERROR(__xludf.DUMMYFUNCTION("""COMPUTED_VALUE"""),"Negative")</f>
        <v>Negative</v>
      </c>
      <c r="I965" s="308">
        <f>IFERROR(__xludf.DUMMYFUNCTION("""COMPUTED_VALUE"""),44987.0)</f>
        <v>44987</v>
      </c>
      <c r="J965" s="311">
        <f>IFERROR(__xludf.DUMMYFUNCTION("""COMPUTED_VALUE"""),0.4288078703703704)</f>
        <v>0.4288078704</v>
      </c>
      <c r="K965" s="54"/>
      <c r="L965" s="7"/>
      <c r="M965" s="312"/>
      <c r="N965" s="172">
        <f>IFERROR(__xludf.DUMMYFUNCTION("""COMPUTED_VALUE"""),2.0)</f>
        <v>2</v>
      </c>
      <c r="O965" s="172"/>
      <c r="P965" s="313">
        <f>IFERROR(__xludf.DUMMYFUNCTION("""COMPUTED_VALUE"""),0.0)</f>
        <v>0</v>
      </c>
      <c r="Q965" s="76" t="str">
        <f>VLOOKUP($B965,'Run Reconcile'!B$2:O1399,14,FALSE)</f>
        <v/>
      </c>
      <c r="R965" s="314" t="str">
        <f t="array" ref="R965">IF($Q965, INDEX('Run Reconcile'!A$2:A1399,MATCH(B965,'Run Reconcile'!B$2:B1399,0),1),IFERROR(0/0,""))</f>
        <v/>
      </c>
      <c r="S965" s="315" t="str">
        <f t="shared" ref="S965:T965" si="1935">IF(COUNTIF(W$2:W1399, $A965) &gt; 0,TRUE,IFERROR(0/0,""))</f>
        <v/>
      </c>
      <c r="T965" s="315" t="str">
        <f t="shared" si="1935"/>
        <v/>
      </c>
      <c r="U965" s="114" t="str">
        <f t="array" ref="U965">IF(ISBLANK($R965), INDEX('Run Reconcile'!A$2:A1399, MATCH($B965, 'Run Reconcile'!B$2:B1399, 0)+Z965, 1), IFERROR(0/0,""))
</f>
        <v>RUN-ABRM_2023-03-02_RFR-177</v>
      </c>
      <c r="V965" s="316" t="str">
        <f t="shared" si="1281"/>
        <v>RUN-ABRM_2023-03-02_RFR-177</v>
      </c>
      <c r="Y965" s="317" t="str">
        <f t="shared" si="6"/>
        <v/>
      </c>
      <c r="Z965" s="83" t="str">
        <f t="shared" si="7"/>
        <v/>
      </c>
      <c r="AA965" s="83" t="str">
        <f t="shared" si="8"/>
        <v/>
      </c>
      <c r="AB965" s="83" t="str">
        <f t="shared" si="9"/>
        <v/>
      </c>
      <c r="AC965" s="18" t="str">
        <f t="shared" ref="AC965:AD965" si="1936">IF(_xlfn.ISFORMULA(S965),IFERROR(0/0,""),TRUE)</f>
        <v/>
      </c>
      <c r="AD965" s="18" t="str">
        <f t="shared" si="1936"/>
        <v/>
      </c>
      <c r="AE965" s="43"/>
      <c r="AF965" s="58" t="s">
        <v>149</v>
      </c>
      <c r="AG965" s="55" t="str">
        <f t="shared" si="11"/>
        <v/>
      </c>
    </row>
    <row r="966">
      <c r="A966" s="7" t="str">
        <f>IFERROR(__xludf.DUMMYFUNCTION("""COMPUTED_VALUE"""),"AR1022")</f>
        <v>AR1022</v>
      </c>
      <c r="B966" s="308">
        <f>IFERROR(__xludf.DUMMYFUNCTION("""COMPUTED_VALUE"""),44987.0)</f>
        <v>44987</v>
      </c>
      <c r="C966" s="309">
        <f>IFERROR(__xludf.DUMMYFUNCTION("""COMPUTED_VALUE"""),0.32547453703703705)</f>
        <v>0.325474537</v>
      </c>
      <c r="D966" s="7" t="str">
        <f>IFERROR(__xludf.DUMMYFUNCTION("""COMPUTED_VALUE"""),"SpABRM655136")</f>
        <v>SpABRM655136</v>
      </c>
      <c r="E966" s="310"/>
      <c r="F966" s="310"/>
      <c r="G966" s="310" t="str">
        <f>IFERROR(__xludf.DUMMYFUNCTION("""COMPUTED_VALUE"""),"Negative")</f>
        <v>Negative</v>
      </c>
      <c r="H966" s="319" t="str">
        <f>IFERROR(__xludf.DUMMYFUNCTION("""COMPUTED_VALUE"""),"Negative")</f>
        <v>Negative</v>
      </c>
      <c r="I966" s="308">
        <f>IFERROR(__xludf.DUMMYFUNCTION("""COMPUTED_VALUE"""),44987.0)</f>
        <v>44987</v>
      </c>
      <c r="J966" s="311">
        <f>IFERROR(__xludf.DUMMYFUNCTION("""COMPUTED_VALUE"""),0.4288078703703704)</f>
        <v>0.4288078704</v>
      </c>
      <c r="K966" s="54"/>
      <c r="L966" s="7"/>
      <c r="M966" s="312"/>
      <c r="N966" s="172">
        <f>IFERROR(__xludf.DUMMYFUNCTION("""COMPUTED_VALUE"""),2.0)</f>
        <v>2</v>
      </c>
      <c r="O966" s="172"/>
      <c r="P966" s="313">
        <f>IFERROR(__xludf.DUMMYFUNCTION("""COMPUTED_VALUE"""),0.0)</f>
        <v>0</v>
      </c>
      <c r="Q966" s="76" t="str">
        <f>VLOOKUP($B966,'Run Reconcile'!B$2:O1399,14,FALSE)</f>
        <v/>
      </c>
      <c r="R966" s="314" t="str">
        <f t="array" ref="R966">IF($Q966, INDEX('Run Reconcile'!A$2:A1399,MATCH(B966,'Run Reconcile'!B$2:B1399,0),1),IFERROR(0/0,""))</f>
        <v/>
      </c>
      <c r="S966" s="315" t="str">
        <f t="shared" ref="S966:T966" si="1937">IF(COUNTIF(W$2:W1399, $A966) &gt; 0,TRUE,IFERROR(0/0,""))</f>
        <v/>
      </c>
      <c r="T966" s="315" t="str">
        <f t="shared" si="1937"/>
        <v/>
      </c>
      <c r="U966" s="114" t="str">
        <f t="array" ref="U966">IF(ISBLANK($R966), INDEX('Run Reconcile'!A$2:A1399, MATCH($B966, 'Run Reconcile'!B$2:B1399, 0)+Z966, 1), IFERROR(0/0,""))
</f>
        <v>RUN-ABRM_2023-03-02_RFR-177</v>
      </c>
      <c r="V966" s="316" t="str">
        <f t="shared" si="1281"/>
        <v>RUN-ABRM_2023-03-02_RFR-177</v>
      </c>
      <c r="Y966" s="317" t="str">
        <f t="shared" si="6"/>
        <v/>
      </c>
      <c r="Z966" s="83" t="str">
        <f t="shared" si="7"/>
        <v/>
      </c>
      <c r="AA966" s="83" t="str">
        <f t="shared" si="8"/>
        <v/>
      </c>
      <c r="AB966" s="83" t="str">
        <f t="shared" si="9"/>
        <v/>
      </c>
      <c r="AC966" s="18" t="str">
        <f t="shared" ref="AC966:AD966" si="1938">IF(_xlfn.ISFORMULA(S966),IFERROR(0/0,""),TRUE)</f>
        <v/>
      </c>
      <c r="AD966" s="18" t="str">
        <f t="shared" si="1938"/>
        <v/>
      </c>
      <c r="AE966" s="43"/>
      <c r="AF966" s="58" t="s">
        <v>149</v>
      </c>
      <c r="AG966" s="55" t="str">
        <f t="shared" si="11"/>
        <v/>
      </c>
    </row>
    <row r="967">
      <c r="A967" s="7" t="str">
        <f>IFERROR(__xludf.DUMMYFUNCTION("""COMPUTED_VALUE"""),"AR380")</f>
        <v>AR380</v>
      </c>
      <c r="B967" s="308">
        <f>IFERROR(__xludf.DUMMYFUNCTION("""COMPUTED_VALUE"""),44987.0)</f>
        <v>44987</v>
      </c>
      <c r="C967" s="309">
        <f>IFERROR(__xludf.DUMMYFUNCTION("""COMPUTED_VALUE"""),0.33003472222222224)</f>
        <v>0.3300347222</v>
      </c>
      <c r="D967" s="7" t="str">
        <f>IFERROR(__xludf.DUMMYFUNCTION("""COMPUTED_VALUE"""),"SpABRM655136")</f>
        <v>SpABRM655136</v>
      </c>
      <c r="E967" s="310"/>
      <c r="F967" s="310"/>
      <c r="G967" s="310" t="str">
        <f>IFERROR(__xludf.DUMMYFUNCTION("""COMPUTED_VALUE"""),"Negative")</f>
        <v>Negative</v>
      </c>
      <c r="H967" s="319" t="str">
        <f>IFERROR(__xludf.DUMMYFUNCTION("""COMPUTED_VALUE"""),"Negative")</f>
        <v>Negative</v>
      </c>
      <c r="I967" s="308">
        <f>IFERROR(__xludf.DUMMYFUNCTION("""COMPUTED_VALUE"""),44987.0)</f>
        <v>44987</v>
      </c>
      <c r="J967" s="311">
        <f>IFERROR(__xludf.DUMMYFUNCTION("""COMPUTED_VALUE"""),0.4288194444444444)</f>
        <v>0.4288194444</v>
      </c>
      <c r="K967" s="54"/>
      <c r="L967" s="7"/>
      <c r="M967" s="312"/>
      <c r="N967" s="172">
        <f>IFERROR(__xludf.DUMMYFUNCTION("""COMPUTED_VALUE"""),1.0)</f>
        <v>1</v>
      </c>
      <c r="O967" s="172"/>
      <c r="P967" s="313">
        <f>IFERROR(__xludf.DUMMYFUNCTION("""COMPUTED_VALUE"""),0.0)</f>
        <v>0</v>
      </c>
      <c r="Q967" s="76" t="str">
        <f>VLOOKUP($B967,'Run Reconcile'!B$2:O1399,14,FALSE)</f>
        <v/>
      </c>
      <c r="R967" s="314" t="str">
        <f t="array" ref="R967">IF($Q967, INDEX('Run Reconcile'!A$2:A1399,MATCH(B967,'Run Reconcile'!B$2:B1399,0),1),IFERROR(0/0,""))</f>
        <v/>
      </c>
      <c r="S967" s="315" t="str">
        <f t="shared" ref="S967:T967" si="1939">IF(COUNTIF(W$2:W1399, $A967) &gt; 0,TRUE,IFERROR(0/0,""))</f>
        <v/>
      </c>
      <c r="T967" s="315" t="str">
        <f t="shared" si="1939"/>
        <v/>
      </c>
      <c r="U967" s="114" t="str">
        <f t="array" ref="U967">IF(ISBLANK($R967), INDEX('Run Reconcile'!A$2:A1399, MATCH($B967, 'Run Reconcile'!B$2:B1399, 0)+Z967, 1), IFERROR(0/0,""))
</f>
        <v>RUN-ABRM_2023-03-02_RFR-177</v>
      </c>
      <c r="V967" s="316" t="str">
        <f t="shared" si="1281"/>
        <v>RUN-ABRM_2023-03-02_RFR-177</v>
      </c>
      <c r="Y967" s="317" t="str">
        <f t="shared" si="6"/>
        <v/>
      </c>
      <c r="Z967" s="83" t="str">
        <f t="shared" si="7"/>
        <v/>
      </c>
      <c r="AA967" s="83" t="str">
        <f t="shared" si="8"/>
        <v/>
      </c>
      <c r="AB967" s="83" t="str">
        <f t="shared" si="9"/>
        <v/>
      </c>
      <c r="AC967" s="18" t="str">
        <f t="shared" ref="AC967:AD967" si="1940">IF(_xlfn.ISFORMULA(S967),IFERROR(0/0,""),TRUE)</f>
        <v/>
      </c>
      <c r="AD967" s="18" t="str">
        <f t="shared" si="1940"/>
        <v/>
      </c>
      <c r="AE967" s="43"/>
      <c r="AF967" s="58" t="s">
        <v>149</v>
      </c>
      <c r="AG967" s="55" t="str">
        <f t="shared" si="11"/>
        <v/>
      </c>
    </row>
    <row r="968">
      <c r="A968" s="7" t="str">
        <f>IFERROR(__xludf.DUMMYFUNCTION("""COMPUTED_VALUE"""),"AR1366")</f>
        <v>AR1366</v>
      </c>
      <c r="B968" s="308">
        <f>IFERROR(__xludf.DUMMYFUNCTION("""COMPUTED_VALUE"""),44987.0)</f>
        <v>44987</v>
      </c>
      <c r="C968" s="309">
        <f>IFERROR(__xludf.DUMMYFUNCTION("""COMPUTED_VALUE"""),0.33341435185185186)</f>
        <v>0.3334143519</v>
      </c>
      <c r="D968" s="7" t="str">
        <f>IFERROR(__xludf.DUMMYFUNCTION("""COMPUTED_VALUE"""),"SpABRM655136")</f>
        <v>SpABRM655136</v>
      </c>
      <c r="E968" s="310"/>
      <c r="F968" s="310"/>
      <c r="G968" s="310" t="str">
        <f>IFERROR(__xludf.DUMMYFUNCTION("""COMPUTED_VALUE"""),"Negative")</f>
        <v>Negative</v>
      </c>
      <c r="H968" s="319" t="str">
        <f>IFERROR(__xludf.DUMMYFUNCTION("""COMPUTED_VALUE"""),"Negative")</f>
        <v>Negative</v>
      </c>
      <c r="I968" s="308">
        <f>IFERROR(__xludf.DUMMYFUNCTION("""COMPUTED_VALUE"""),44987.0)</f>
        <v>44987</v>
      </c>
      <c r="J968" s="311">
        <f>IFERROR(__xludf.DUMMYFUNCTION("""COMPUTED_VALUE"""),0.4288310185185185)</f>
        <v>0.4288310185</v>
      </c>
      <c r="K968" s="54"/>
      <c r="L968" s="7"/>
      <c r="M968" s="312"/>
      <c r="N968" s="172">
        <f>IFERROR(__xludf.DUMMYFUNCTION("""COMPUTED_VALUE"""),3.0)</f>
        <v>3</v>
      </c>
      <c r="O968" s="172"/>
      <c r="P968" s="313">
        <f>IFERROR(__xludf.DUMMYFUNCTION("""COMPUTED_VALUE"""),0.0)</f>
        <v>0</v>
      </c>
      <c r="Q968" s="76" t="str">
        <f>VLOOKUP($B968,'Run Reconcile'!B$2:O1399,14,FALSE)</f>
        <v/>
      </c>
      <c r="R968" s="314" t="str">
        <f t="array" ref="R968">IF($Q968, INDEX('Run Reconcile'!A$2:A1399,MATCH(B968,'Run Reconcile'!B$2:B1399,0),1),IFERROR(0/0,""))</f>
        <v/>
      </c>
      <c r="S968" s="315" t="str">
        <f t="shared" ref="S968:T968" si="1941">IF(COUNTIF(W$2:W1399, $A968) &gt; 0,TRUE,IFERROR(0/0,""))</f>
        <v/>
      </c>
      <c r="T968" s="315" t="str">
        <f t="shared" si="1941"/>
        <v/>
      </c>
      <c r="U968" s="114" t="str">
        <f t="array" ref="U968">IF(ISBLANK($R968), INDEX('Run Reconcile'!A$2:A1399, MATCH($B968, 'Run Reconcile'!B$2:B1399, 0)+Z968, 1), IFERROR(0/0,""))
</f>
        <v>RUN-ABRM_2023-03-02_RFR-177</v>
      </c>
      <c r="V968" s="316" t="str">
        <f t="shared" si="1281"/>
        <v>RUN-ABRM_2023-03-02_RFR-177</v>
      </c>
      <c r="Y968" s="317" t="str">
        <f t="shared" si="6"/>
        <v/>
      </c>
      <c r="Z968" s="83" t="str">
        <f t="shared" si="7"/>
        <v/>
      </c>
      <c r="AA968" s="83" t="str">
        <f t="shared" si="8"/>
        <v/>
      </c>
      <c r="AB968" s="83" t="str">
        <f t="shared" si="9"/>
        <v/>
      </c>
      <c r="AC968" s="18" t="str">
        <f t="shared" ref="AC968:AD968" si="1942">IF(_xlfn.ISFORMULA(S968),IFERROR(0/0,""),TRUE)</f>
        <v/>
      </c>
      <c r="AD968" s="18" t="str">
        <f t="shared" si="1942"/>
        <v/>
      </c>
      <c r="AE968" s="43"/>
      <c r="AF968" s="58" t="s">
        <v>149</v>
      </c>
      <c r="AG968" s="55" t="str">
        <f t="shared" si="11"/>
        <v/>
      </c>
    </row>
    <row r="969">
      <c r="A969" s="7" t="str">
        <f>IFERROR(__xludf.DUMMYFUNCTION("""COMPUTED_VALUE"""),"AR1136")</f>
        <v>AR1136</v>
      </c>
      <c r="B969" s="308">
        <f>IFERROR(__xludf.DUMMYFUNCTION("""COMPUTED_VALUE"""),44987.0)</f>
        <v>44987</v>
      </c>
      <c r="C969" s="309">
        <f>IFERROR(__xludf.DUMMYFUNCTION("""COMPUTED_VALUE"""),0.33870370370370373)</f>
        <v>0.3387037037</v>
      </c>
      <c r="D969" s="7" t="str">
        <f>IFERROR(__xludf.DUMMYFUNCTION("""COMPUTED_VALUE"""),"SpABRM655136")</f>
        <v>SpABRM655136</v>
      </c>
      <c r="E969" s="310"/>
      <c r="F969" s="310"/>
      <c r="G969" s="310" t="str">
        <f>IFERROR(__xludf.DUMMYFUNCTION("""COMPUTED_VALUE"""),"Negative")</f>
        <v>Negative</v>
      </c>
      <c r="H969" s="319" t="str">
        <f>IFERROR(__xludf.DUMMYFUNCTION("""COMPUTED_VALUE"""),"Negative")</f>
        <v>Negative</v>
      </c>
      <c r="I969" s="308">
        <f>IFERROR(__xludf.DUMMYFUNCTION("""COMPUTED_VALUE"""),44991.0)</f>
        <v>44991</v>
      </c>
      <c r="J969" s="311">
        <f>IFERROR(__xludf.DUMMYFUNCTION("""COMPUTED_VALUE"""),0.3575231481481482)</f>
        <v>0.3575231481</v>
      </c>
      <c r="K969" s="54"/>
      <c r="L969" s="7"/>
      <c r="M969" s="312"/>
      <c r="N969" s="172">
        <f>IFERROR(__xludf.DUMMYFUNCTION("""COMPUTED_VALUE"""),3.0)</f>
        <v>3</v>
      </c>
      <c r="O969" s="172"/>
      <c r="P969" s="313">
        <f>IFERROR(__xludf.DUMMYFUNCTION("""COMPUTED_VALUE"""),4.0)</f>
        <v>4</v>
      </c>
      <c r="Q969" s="76" t="str">
        <f>VLOOKUP($B969,'Run Reconcile'!B$2:O1399,14,FALSE)</f>
        <v/>
      </c>
      <c r="R969" s="314" t="str">
        <f t="array" ref="R969">IF($Q969, INDEX('Run Reconcile'!A$2:A1399,MATCH(B969,'Run Reconcile'!B$2:B1399,0),1),IFERROR(0/0,""))</f>
        <v/>
      </c>
      <c r="S969" s="315" t="str">
        <f t="shared" ref="S969:T969" si="1943">IF(COUNTIF(W$2:W1399, $A969) &gt; 0,TRUE,IFERROR(0/0,""))</f>
        <v/>
      </c>
      <c r="T969" s="315" t="str">
        <f t="shared" si="1943"/>
        <v/>
      </c>
      <c r="U969" s="114" t="str">
        <f t="array" ref="U969">IF(ISBLANK($R969), INDEX('Run Reconcile'!A$2:A1399, MATCH($B969, 'Run Reconcile'!B$2:B1399, 0)+Z969, 1), IFERROR(0/0,""))
</f>
        <v>RUN-ABRM_2023-03-02_RFR-177</v>
      </c>
      <c r="V969" s="316" t="str">
        <f t="shared" si="1281"/>
        <v>RUN-ABRM_2023-03-02_RFR-177</v>
      </c>
      <c r="Y969" s="317" t="str">
        <f t="shared" si="6"/>
        <v/>
      </c>
      <c r="Z969" s="83" t="str">
        <f t="shared" si="7"/>
        <v/>
      </c>
      <c r="AA969" s="83" t="str">
        <f t="shared" si="8"/>
        <v/>
      </c>
      <c r="AB969" s="83" t="str">
        <f t="shared" si="9"/>
        <v/>
      </c>
      <c r="AC969" s="18" t="str">
        <f t="shared" ref="AC969:AD969" si="1944">IF(_xlfn.ISFORMULA(S969),IFERROR(0/0,""),TRUE)</f>
        <v/>
      </c>
      <c r="AD969" s="18" t="str">
        <f t="shared" si="1944"/>
        <v/>
      </c>
      <c r="AE969" s="43"/>
      <c r="AF969" s="58" t="s">
        <v>149</v>
      </c>
      <c r="AG969" s="55" t="str">
        <f t="shared" si="11"/>
        <v/>
      </c>
    </row>
    <row r="970">
      <c r="A970" s="7" t="str">
        <f>IFERROR(__xludf.DUMMYFUNCTION("""COMPUTED_VALUE"""),"AR1694")</f>
        <v>AR1694</v>
      </c>
      <c r="B970" s="308">
        <f>IFERROR(__xludf.DUMMYFUNCTION("""COMPUTED_VALUE"""),44988.0)</f>
        <v>44988</v>
      </c>
      <c r="C970" s="309">
        <f>IFERROR(__xludf.DUMMYFUNCTION("""COMPUTED_VALUE"""),0.30400462962962965)</f>
        <v>0.3040046296</v>
      </c>
      <c r="D970" s="7" t="str">
        <f>IFERROR(__xludf.DUMMYFUNCTION("""COMPUTED_VALUE"""),"SpABRM581899")</f>
        <v>SpABRM581899</v>
      </c>
      <c r="E970" s="310"/>
      <c r="F970" s="310"/>
      <c r="G970" s="310" t="str">
        <f>IFERROR(__xludf.DUMMYFUNCTION("""COMPUTED_VALUE"""),"Negative")</f>
        <v>Negative</v>
      </c>
      <c r="H970" s="319" t="str">
        <f>IFERROR(__xludf.DUMMYFUNCTION("""COMPUTED_VALUE"""),"Negative")</f>
        <v>Negative</v>
      </c>
      <c r="I970" s="308">
        <f>IFERROR(__xludf.DUMMYFUNCTION("""COMPUTED_VALUE"""),44991.0)</f>
        <v>44991</v>
      </c>
      <c r="J970" s="311">
        <f>IFERROR(__xludf.DUMMYFUNCTION("""COMPUTED_VALUE"""),0.3575231481481482)</f>
        <v>0.3575231481</v>
      </c>
      <c r="K970" s="54"/>
      <c r="L970" s="7"/>
      <c r="M970" s="312"/>
      <c r="N970" s="172">
        <f>IFERROR(__xludf.DUMMYFUNCTION("""COMPUTED_VALUE"""),2.0)</f>
        <v>2</v>
      </c>
      <c r="O970" s="172"/>
      <c r="P970" s="313">
        <f>IFERROR(__xludf.DUMMYFUNCTION("""COMPUTED_VALUE"""),3.0)</f>
        <v>3</v>
      </c>
      <c r="Q970" s="76" t="b">
        <f>VLOOKUP($B970,'Run Reconcile'!B$2:O1399,14,FALSE)</f>
        <v>1</v>
      </c>
      <c r="R970" s="314" t="str">
        <f t="array" ref="R970">IF($Q970, INDEX('Run Reconcile'!A$2:A1399,MATCH(B970,'Run Reconcile'!B$2:B1399,0),1),IFERROR(0/0,""))</f>
        <v>RUN-ABRM_2023-03-03_APS-005</v>
      </c>
      <c r="S970" s="315" t="str">
        <f t="shared" ref="S970:T970" si="1945">IF(COUNTIF(W$2:W1399, $A970) &gt; 0,TRUE,IFERROR(0/0,""))</f>
        <v/>
      </c>
      <c r="T970" s="315" t="str">
        <f t="shared" si="1945"/>
        <v/>
      </c>
      <c r="U970" s="114" t="str">
        <f t="array" ref="U970">IF(ISBLANK($R970), INDEX('Run Reconcile'!A$2:A1399, MATCH($B970, 'Run Reconcile'!B$2:B1399, 0)+Z970, 1), IFERROR(0/0,""))
</f>
        <v/>
      </c>
      <c r="V970" s="316" t="str">
        <f t="shared" si="1281"/>
        <v>RUN-ABRM_2023-03-03_APS-005</v>
      </c>
      <c r="Y970" s="317" t="str">
        <f t="shared" si="6"/>
        <v/>
      </c>
      <c r="Z970" s="83" t="str">
        <f t="shared" si="7"/>
        <v/>
      </c>
      <c r="AA970" s="83" t="str">
        <f t="shared" si="8"/>
        <v/>
      </c>
      <c r="AB970" s="83" t="str">
        <f t="shared" si="9"/>
        <v/>
      </c>
      <c r="AC970" s="18" t="str">
        <f t="shared" ref="AC970:AD970" si="1946">IF(_xlfn.ISFORMULA(S970),IFERROR(0/0,""),TRUE)</f>
        <v/>
      </c>
      <c r="AD970" s="18" t="str">
        <f t="shared" si="1946"/>
        <v/>
      </c>
      <c r="AE970" s="43"/>
      <c r="AF970" s="58" t="s">
        <v>1375</v>
      </c>
      <c r="AG970" s="55" t="b">
        <f t="shared" si="11"/>
        <v>0</v>
      </c>
    </row>
    <row r="971">
      <c r="A971" s="7" t="str">
        <f>IFERROR(__xludf.DUMMYFUNCTION("""COMPUTED_VALUE"""),"AR1722")</f>
        <v>AR1722</v>
      </c>
      <c r="B971" s="308">
        <f>IFERROR(__xludf.DUMMYFUNCTION("""COMPUTED_VALUE"""),44988.0)</f>
        <v>44988</v>
      </c>
      <c r="C971" s="309">
        <f>IFERROR(__xludf.DUMMYFUNCTION("""COMPUTED_VALUE"""),0.3171759259259259)</f>
        <v>0.3171759259</v>
      </c>
      <c r="D971" s="7" t="str">
        <f>IFERROR(__xludf.DUMMYFUNCTION("""COMPUTED_VALUE"""),"SpABRM655136")</f>
        <v>SpABRM655136</v>
      </c>
      <c r="E971" s="310"/>
      <c r="F971" s="310"/>
      <c r="G971" s="310" t="str">
        <f>IFERROR(__xludf.DUMMYFUNCTION("""COMPUTED_VALUE"""),"Negative")</f>
        <v>Negative</v>
      </c>
      <c r="H971" s="319" t="str">
        <f>IFERROR(__xludf.DUMMYFUNCTION("""COMPUTED_VALUE"""),"Negative")</f>
        <v>Negative</v>
      </c>
      <c r="I971" s="308">
        <f>IFERROR(__xludf.DUMMYFUNCTION("""COMPUTED_VALUE"""),44991.0)</f>
        <v>44991</v>
      </c>
      <c r="J971" s="311">
        <f>IFERROR(__xludf.DUMMYFUNCTION("""COMPUTED_VALUE"""),0.3575347222222222)</f>
        <v>0.3575347222</v>
      </c>
      <c r="K971" s="54"/>
      <c r="L971" s="7"/>
      <c r="M971" s="312"/>
      <c r="N971" s="172">
        <f>IFERROR(__xludf.DUMMYFUNCTION("""COMPUTED_VALUE"""),2.0)</f>
        <v>2</v>
      </c>
      <c r="O971" s="172"/>
      <c r="P971" s="313">
        <f>IFERROR(__xludf.DUMMYFUNCTION("""COMPUTED_VALUE"""),3.0)</f>
        <v>3</v>
      </c>
      <c r="Q971" s="76" t="b">
        <f>VLOOKUP($B971,'Run Reconcile'!B$2:O1399,14,FALSE)</f>
        <v>1</v>
      </c>
      <c r="R971" s="314" t="str">
        <f t="array" ref="R971">IF($Q971, INDEX('Run Reconcile'!A$2:A1399,MATCH(B971,'Run Reconcile'!B$2:B1399,0),1),IFERROR(0/0,""))</f>
        <v>RUN-ABRM_2023-03-03_APS-005</v>
      </c>
      <c r="S971" s="315" t="str">
        <f t="shared" ref="S971:T971" si="1947">IF(COUNTIF(W$2:W1399, $A971) &gt; 0,TRUE,IFERROR(0/0,""))</f>
        <v/>
      </c>
      <c r="T971" s="315" t="str">
        <f t="shared" si="1947"/>
        <v/>
      </c>
      <c r="U971" s="114" t="str">
        <f t="array" ref="U971">IF(ISBLANK($R971), INDEX('Run Reconcile'!A$2:A1399, MATCH($B971, 'Run Reconcile'!B$2:B1399, 0)+Z971, 1), IFERROR(0/0,""))
</f>
        <v/>
      </c>
      <c r="V971" s="316" t="str">
        <f t="shared" si="1281"/>
        <v>RUN-ABRM_2023-03-03_APS-005</v>
      </c>
      <c r="Y971" s="317" t="str">
        <f t="shared" si="6"/>
        <v/>
      </c>
      <c r="Z971" s="83" t="str">
        <f t="shared" si="7"/>
        <v/>
      </c>
      <c r="AA971" s="83" t="str">
        <f t="shared" si="8"/>
        <v/>
      </c>
      <c r="AB971" s="83" t="str">
        <f t="shared" si="9"/>
        <v/>
      </c>
      <c r="AC971" s="18" t="str">
        <f t="shared" ref="AC971:AD971" si="1948">IF(_xlfn.ISFORMULA(S971),IFERROR(0/0,""),TRUE)</f>
        <v/>
      </c>
      <c r="AD971" s="18" t="str">
        <f t="shared" si="1948"/>
        <v/>
      </c>
      <c r="AE971" s="43"/>
      <c r="AF971" s="58" t="s">
        <v>1375</v>
      </c>
      <c r="AG971" s="55" t="b">
        <f t="shared" si="11"/>
        <v>0</v>
      </c>
    </row>
    <row r="972">
      <c r="A972" s="7" t="str">
        <f>IFERROR(__xludf.DUMMYFUNCTION("""COMPUTED_VALUE"""),"AR1347")</f>
        <v>AR1347</v>
      </c>
      <c r="B972" s="308">
        <f>IFERROR(__xludf.DUMMYFUNCTION("""COMPUTED_VALUE"""),44988.0)</f>
        <v>44988</v>
      </c>
      <c r="C972" s="309">
        <f>IFERROR(__xludf.DUMMYFUNCTION("""COMPUTED_VALUE"""),0.32386574074074076)</f>
        <v>0.3238657407</v>
      </c>
      <c r="D972" s="7" t="str">
        <f>IFERROR(__xludf.DUMMYFUNCTION("""COMPUTED_VALUE"""),"SpABRM814022")</f>
        <v>SpABRM814022</v>
      </c>
      <c r="E972" s="310"/>
      <c r="F972" s="310"/>
      <c r="G972" s="310" t="str">
        <f>IFERROR(__xludf.DUMMYFUNCTION("""COMPUTED_VALUE"""),"Negative")</f>
        <v>Negative</v>
      </c>
      <c r="H972" s="319" t="str">
        <f>IFERROR(__xludf.DUMMYFUNCTION("""COMPUTED_VALUE"""),"Negative")</f>
        <v>Negative</v>
      </c>
      <c r="I972" s="308">
        <f>IFERROR(__xludf.DUMMYFUNCTION("""COMPUTED_VALUE"""),44991.0)</f>
        <v>44991</v>
      </c>
      <c r="J972" s="311">
        <f>IFERROR(__xludf.DUMMYFUNCTION("""COMPUTED_VALUE"""),0.3575462962962963)</f>
        <v>0.3575462963</v>
      </c>
      <c r="K972" s="54"/>
      <c r="L972" s="7"/>
      <c r="M972" s="312"/>
      <c r="N972" s="172">
        <f>IFERROR(__xludf.DUMMYFUNCTION("""COMPUTED_VALUE"""),1.0)</f>
        <v>1</v>
      </c>
      <c r="O972" s="172"/>
      <c r="P972" s="313">
        <f>IFERROR(__xludf.DUMMYFUNCTION("""COMPUTED_VALUE"""),3.0)</f>
        <v>3</v>
      </c>
      <c r="Q972" s="76" t="b">
        <f>VLOOKUP($B972,'Run Reconcile'!B$2:O1399,14,FALSE)</f>
        <v>1</v>
      </c>
      <c r="R972" s="314" t="str">
        <f t="array" ref="R972">IF($Q972, INDEX('Run Reconcile'!A$2:A1399,MATCH(B972,'Run Reconcile'!B$2:B1399,0),1),IFERROR(0/0,""))</f>
        <v>RUN-ABRM_2023-03-03_APS-005</v>
      </c>
      <c r="S972" s="315" t="str">
        <f t="shared" ref="S972:T972" si="1949">IF(COUNTIF(W$2:W1399, $A972) &gt; 0,TRUE,IFERROR(0/0,""))</f>
        <v/>
      </c>
      <c r="T972" s="315" t="str">
        <f t="shared" si="1949"/>
        <v/>
      </c>
      <c r="U972" s="114" t="str">
        <f t="array" ref="U972">IF(ISBLANK($R972), INDEX('Run Reconcile'!A$2:A1399, MATCH($B972, 'Run Reconcile'!B$2:B1399, 0)+Z972, 1), IFERROR(0/0,""))
</f>
        <v/>
      </c>
      <c r="V972" s="316" t="str">
        <f t="shared" si="1281"/>
        <v>RUN-ABRM_2023-03-03_APS-005</v>
      </c>
      <c r="Y972" s="317" t="str">
        <f t="shared" si="6"/>
        <v/>
      </c>
      <c r="Z972" s="83" t="str">
        <f t="shared" si="7"/>
        <v/>
      </c>
      <c r="AA972" s="83" t="str">
        <f t="shared" si="8"/>
        <v/>
      </c>
      <c r="AB972" s="83" t="str">
        <f t="shared" si="9"/>
        <v/>
      </c>
      <c r="AC972" s="18" t="str">
        <f t="shared" ref="AC972:AD972" si="1950">IF(_xlfn.ISFORMULA(S972),IFERROR(0/0,""),TRUE)</f>
        <v/>
      </c>
      <c r="AD972" s="18" t="str">
        <f t="shared" si="1950"/>
        <v/>
      </c>
      <c r="AE972" s="43"/>
      <c r="AF972" s="58" t="s">
        <v>1375</v>
      </c>
      <c r="AG972" s="55" t="b">
        <f t="shared" si="11"/>
        <v>0</v>
      </c>
    </row>
    <row r="973">
      <c r="A973" s="7" t="str">
        <f>IFERROR(__xludf.DUMMYFUNCTION("""COMPUTED_VALUE"""),"AR1032")</f>
        <v>AR1032</v>
      </c>
      <c r="B973" s="308">
        <f>IFERROR(__xludf.DUMMYFUNCTION("""COMPUTED_VALUE"""),44991.0)</f>
        <v>44991</v>
      </c>
      <c r="C973" s="309">
        <f>IFERROR(__xludf.DUMMYFUNCTION("""COMPUTED_VALUE"""),0.2781134259259259)</f>
        <v>0.2781134259</v>
      </c>
      <c r="D973" s="7" t="str">
        <f>IFERROR(__xludf.DUMMYFUNCTION("""COMPUTED_VALUE"""),"SpABRM581899")</f>
        <v>SpABRM581899</v>
      </c>
      <c r="E973" s="310"/>
      <c r="F973" s="310"/>
      <c r="G973" s="310" t="str">
        <f>IFERROR(__xludf.DUMMYFUNCTION("""COMPUTED_VALUE"""),"Negative")</f>
        <v>Negative</v>
      </c>
      <c r="H973" s="319" t="str">
        <f>IFERROR(__xludf.DUMMYFUNCTION("""COMPUTED_VALUE"""),"Negative")</f>
        <v>Negative</v>
      </c>
      <c r="I973" s="308">
        <f>IFERROR(__xludf.DUMMYFUNCTION("""COMPUTED_VALUE"""),44991.0)</f>
        <v>44991</v>
      </c>
      <c r="J973" s="311">
        <f>IFERROR(__xludf.DUMMYFUNCTION("""COMPUTED_VALUE"""),0.425625)</f>
        <v>0.425625</v>
      </c>
      <c r="K973" s="54"/>
      <c r="L973" s="7"/>
      <c r="M973" s="312"/>
      <c r="N973" s="172">
        <f>IFERROR(__xludf.DUMMYFUNCTION("""COMPUTED_VALUE"""),3.0)</f>
        <v>3</v>
      </c>
      <c r="O973" s="172"/>
      <c r="P973" s="313">
        <f>IFERROR(__xludf.DUMMYFUNCTION("""COMPUTED_VALUE"""),0.0)</f>
        <v>0</v>
      </c>
      <c r="Q973" s="76" t="b">
        <f>VLOOKUP($B973,'Run Reconcile'!B$2:O1399,14,FALSE)</f>
        <v>1</v>
      </c>
      <c r="R973" s="314" t="str">
        <f t="array" ref="R973">IF($Q973, INDEX('Run Reconcile'!A$2:A1399,MATCH(B973,'Run Reconcile'!B$2:B1399,0),1),IFERROR(0/0,""))</f>
        <v>RUN-ABRM_2023-03-06_RFR-179</v>
      </c>
      <c r="S973" s="315" t="str">
        <f t="shared" ref="S973:T973" si="1951">IF(COUNTIF(W$2:W1399, $A973) &gt; 0,TRUE,IFERROR(0/0,""))</f>
        <v/>
      </c>
      <c r="T973" s="315" t="str">
        <f t="shared" si="1951"/>
        <v/>
      </c>
      <c r="U973" s="114" t="str">
        <f t="array" ref="U973">IF(ISBLANK($R973), INDEX('Run Reconcile'!A$2:A1399, MATCH($B973, 'Run Reconcile'!B$2:B1399, 0)+Z973, 1), IFERROR(0/0,""))
</f>
        <v/>
      </c>
      <c r="V973" s="316" t="str">
        <f t="shared" si="1281"/>
        <v>RUN-ABRM_2023-03-06_RFR-179</v>
      </c>
      <c r="Y973" s="317" t="str">
        <f t="shared" si="6"/>
        <v/>
      </c>
      <c r="Z973" s="83" t="str">
        <f t="shared" si="7"/>
        <v/>
      </c>
      <c r="AA973" s="83" t="str">
        <f t="shared" si="8"/>
        <v/>
      </c>
      <c r="AB973" s="83" t="str">
        <f t="shared" si="9"/>
        <v/>
      </c>
      <c r="AC973" s="18" t="str">
        <f t="shared" ref="AC973:AD973" si="1952">IF(_xlfn.ISFORMULA(S973),IFERROR(0/0,""),TRUE)</f>
        <v/>
      </c>
      <c r="AD973" s="18" t="str">
        <f t="shared" si="1952"/>
        <v/>
      </c>
      <c r="AE973" s="43"/>
      <c r="AF973" s="58" t="s">
        <v>151</v>
      </c>
      <c r="AG973" s="55" t="str">
        <f t="shared" si="11"/>
        <v/>
      </c>
    </row>
    <row r="974">
      <c r="A974" s="7" t="str">
        <f>IFERROR(__xludf.DUMMYFUNCTION("""COMPUTED_VALUE"""),"AR116")</f>
        <v>AR116</v>
      </c>
      <c r="B974" s="308">
        <f>IFERROR(__xludf.DUMMYFUNCTION("""COMPUTED_VALUE"""),44991.0)</f>
        <v>44991</v>
      </c>
      <c r="C974" s="309">
        <f>IFERROR(__xludf.DUMMYFUNCTION("""COMPUTED_VALUE"""),0.2890972222222222)</f>
        <v>0.2890972222</v>
      </c>
      <c r="D974" s="7" t="str">
        <f>IFERROR(__xludf.DUMMYFUNCTION("""COMPUTED_VALUE"""),"SpABRM297307")</f>
        <v>SpABRM297307</v>
      </c>
      <c r="E974" s="310"/>
      <c r="F974" s="310"/>
      <c r="G974" s="310" t="str">
        <f>IFERROR(__xludf.DUMMYFUNCTION("""COMPUTED_VALUE"""),"Negative")</f>
        <v>Negative</v>
      </c>
      <c r="H974" s="319" t="str">
        <f>IFERROR(__xludf.DUMMYFUNCTION("""COMPUTED_VALUE"""),"Negative")</f>
        <v>Negative</v>
      </c>
      <c r="I974" s="308">
        <f>IFERROR(__xludf.DUMMYFUNCTION("""COMPUTED_VALUE"""),44991.0)</f>
        <v>44991</v>
      </c>
      <c r="J974" s="311">
        <f>IFERROR(__xludf.DUMMYFUNCTION("""COMPUTED_VALUE"""),0.425625)</f>
        <v>0.425625</v>
      </c>
      <c r="K974" s="54"/>
      <c r="L974" s="7"/>
      <c r="M974" s="312"/>
      <c r="N974" s="172">
        <f>IFERROR(__xludf.DUMMYFUNCTION("""COMPUTED_VALUE"""),4.0)</f>
        <v>4</v>
      </c>
      <c r="O974" s="172"/>
      <c r="P974" s="313">
        <f>IFERROR(__xludf.DUMMYFUNCTION("""COMPUTED_VALUE"""),0.0)</f>
        <v>0</v>
      </c>
      <c r="Q974" s="76" t="b">
        <f>VLOOKUP($B974,'Run Reconcile'!B$2:O1399,14,FALSE)</f>
        <v>1</v>
      </c>
      <c r="R974" s="314" t="str">
        <f t="array" ref="R974">IF($Q974, INDEX('Run Reconcile'!A$2:A1399,MATCH(B974,'Run Reconcile'!B$2:B1399,0),1),IFERROR(0/0,""))</f>
        <v>RUN-ABRM_2023-03-06_RFR-179</v>
      </c>
      <c r="S974" s="315" t="str">
        <f t="shared" ref="S974:T974" si="1953">IF(COUNTIF(W$2:W1399, $A974) &gt; 0,TRUE,IFERROR(0/0,""))</f>
        <v/>
      </c>
      <c r="T974" s="315" t="str">
        <f t="shared" si="1953"/>
        <v/>
      </c>
      <c r="U974" s="114" t="str">
        <f t="array" ref="U974">IF(ISBLANK($R974), INDEX('Run Reconcile'!A$2:A1399, MATCH($B974, 'Run Reconcile'!B$2:B1399, 0)+Z974, 1), IFERROR(0/0,""))
</f>
        <v/>
      </c>
      <c r="V974" s="316" t="str">
        <f t="shared" si="1281"/>
        <v>RUN-ABRM_2023-03-06_RFR-179</v>
      </c>
      <c r="Y974" s="317" t="str">
        <f t="shared" si="6"/>
        <v/>
      </c>
      <c r="Z974" s="83" t="str">
        <f t="shared" si="7"/>
        <v/>
      </c>
      <c r="AA974" s="83" t="str">
        <f t="shared" si="8"/>
        <v/>
      </c>
      <c r="AB974" s="83" t="str">
        <f t="shared" si="9"/>
        <v/>
      </c>
      <c r="AC974" s="18" t="str">
        <f t="shared" ref="AC974:AD974" si="1954">IF(_xlfn.ISFORMULA(S974),IFERROR(0/0,""),TRUE)</f>
        <v/>
      </c>
      <c r="AD974" s="18" t="str">
        <f t="shared" si="1954"/>
        <v/>
      </c>
      <c r="AE974" s="43"/>
      <c r="AF974" s="58" t="s">
        <v>151</v>
      </c>
      <c r="AG974" s="55" t="str">
        <f t="shared" si="11"/>
        <v/>
      </c>
    </row>
    <row r="975">
      <c r="A975" s="7" t="str">
        <f>IFERROR(__xludf.DUMMYFUNCTION("""COMPUTED_VALUE"""),"AR928")</f>
        <v>AR928</v>
      </c>
      <c r="B975" s="308">
        <f>IFERROR(__xludf.DUMMYFUNCTION("""COMPUTED_VALUE"""),44991.0)</f>
        <v>44991</v>
      </c>
      <c r="C975" s="309">
        <f>IFERROR(__xludf.DUMMYFUNCTION("""COMPUTED_VALUE"""),0.2920601851851852)</f>
        <v>0.2920601852</v>
      </c>
      <c r="D975" s="7" t="str">
        <f>IFERROR(__xludf.DUMMYFUNCTION("""COMPUTED_VALUE"""),"SpABRM519188")</f>
        <v>SpABRM519188</v>
      </c>
      <c r="E975" s="310"/>
      <c r="F975" s="310"/>
      <c r="G975" s="310" t="str">
        <f>IFERROR(__xludf.DUMMYFUNCTION("""COMPUTED_VALUE"""),"Negative")</f>
        <v>Negative</v>
      </c>
      <c r="H975" s="319" t="str">
        <f>IFERROR(__xludf.DUMMYFUNCTION("""COMPUTED_VALUE"""),"Negative")</f>
        <v>Negative</v>
      </c>
      <c r="I975" s="308">
        <f>IFERROR(__xludf.DUMMYFUNCTION("""COMPUTED_VALUE"""),44991.0)</f>
        <v>44991</v>
      </c>
      <c r="J975" s="311">
        <f>IFERROR(__xludf.DUMMYFUNCTION("""COMPUTED_VALUE"""),0.42563657407407407)</f>
        <v>0.4256365741</v>
      </c>
      <c r="K975" s="54"/>
      <c r="L975" s="7"/>
      <c r="M975" s="312"/>
      <c r="N975" s="172">
        <f>IFERROR(__xludf.DUMMYFUNCTION("""COMPUTED_VALUE"""),1.0)</f>
        <v>1</v>
      </c>
      <c r="O975" s="172"/>
      <c r="P975" s="313">
        <f>IFERROR(__xludf.DUMMYFUNCTION("""COMPUTED_VALUE"""),0.0)</f>
        <v>0</v>
      </c>
      <c r="Q975" s="76" t="b">
        <f>VLOOKUP($B975,'Run Reconcile'!B$2:O1399,14,FALSE)</f>
        <v>1</v>
      </c>
      <c r="R975" s="314" t="str">
        <f t="array" ref="R975">IF($Q975, INDEX('Run Reconcile'!A$2:A1399,MATCH(B975,'Run Reconcile'!B$2:B1399,0),1),IFERROR(0/0,""))</f>
        <v>RUN-ABRM_2023-03-06_RFR-179</v>
      </c>
      <c r="S975" s="315" t="str">
        <f t="shared" ref="S975:T975" si="1955">IF(COUNTIF(W$2:W1399, $A975) &gt; 0,TRUE,IFERROR(0/0,""))</f>
        <v/>
      </c>
      <c r="T975" s="315" t="str">
        <f t="shared" si="1955"/>
        <v/>
      </c>
      <c r="U975" s="114" t="str">
        <f t="array" ref="U975">IF(ISBLANK($R975), INDEX('Run Reconcile'!A$2:A1399, MATCH($B975, 'Run Reconcile'!B$2:B1399, 0)+Z975, 1), IFERROR(0/0,""))
</f>
        <v/>
      </c>
      <c r="V975" s="316" t="str">
        <f t="shared" si="1281"/>
        <v>RUN-ABRM_2023-03-06_RFR-179</v>
      </c>
      <c r="Y975" s="317" t="str">
        <f t="shared" si="6"/>
        <v/>
      </c>
      <c r="Z975" s="83" t="str">
        <f t="shared" si="7"/>
        <v/>
      </c>
      <c r="AA975" s="83" t="str">
        <f t="shared" si="8"/>
        <v/>
      </c>
      <c r="AB975" s="83" t="str">
        <f t="shared" si="9"/>
        <v/>
      </c>
      <c r="AC975" s="18" t="str">
        <f t="shared" ref="AC975:AD975" si="1956">IF(_xlfn.ISFORMULA(S975),IFERROR(0/0,""),TRUE)</f>
        <v/>
      </c>
      <c r="AD975" s="18" t="str">
        <f t="shared" si="1956"/>
        <v/>
      </c>
      <c r="AE975" s="43"/>
      <c r="AF975" s="58" t="s">
        <v>151</v>
      </c>
      <c r="AG975" s="55" t="str">
        <f t="shared" si="11"/>
        <v/>
      </c>
    </row>
    <row r="976">
      <c r="A976" s="7" t="str">
        <f>IFERROR(__xludf.DUMMYFUNCTION("""COMPUTED_VALUE"""),"AK9903")</f>
        <v>AK9903</v>
      </c>
      <c r="B976" s="308">
        <f>IFERROR(__xludf.DUMMYFUNCTION("""COMPUTED_VALUE"""),44991.0)</f>
        <v>44991</v>
      </c>
      <c r="C976" s="309">
        <f>IFERROR(__xludf.DUMMYFUNCTION("""COMPUTED_VALUE"""),0.2939351851851852)</f>
        <v>0.2939351852</v>
      </c>
      <c r="D976" s="7" t="str">
        <f>IFERROR(__xludf.DUMMYFUNCTION("""COMPUTED_VALUE"""),"SpABRM128250")</f>
        <v>SpABRM128250</v>
      </c>
      <c r="E976" s="310"/>
      <c r="F976" s="310"/>
      <c r="G976" s="310" t="str">
        <f>IFERROR(__xludf.DUMMYFUNCTION("""COMPUTED_VALUE"""),"Negative")</f>
        <v>Negative</v>
      </c>
      <c r="H976" s="319" t="str">
        <f>IFERROR(__xludf.DUMMYFUNCTION("""COMPUTED_VALUE"""),"Negative")</f>
        <v>Negative</v>
      </c>
      <c r="I976" s="308">
        <f>IFERROR(__xludf.DUMMYFUNCTION("""COMPUTED_VALUE"""),44991.0)</f>
        <v>44991</v>
      </c>
      <c r="J976" s="311">
        <f>IFERROR(__xludf.DUMMYFUNCTION("""COMPUTED_VALUE"""),0.4256597222222222)</f>
        <v>0.4256597222</v>
      </c>
      <c r="K976" s="54"/>
      <c r="L976" s="7"/>
      <c r="M976" s="312"/>
      <c r="N976" s="172">
        <f>IFERROR(__xludf.DUMMYFUNCTION("""COMPUTED_VALUE"""),3.0)</f>
        <v>3</v>
      </c>
      <c r="O976" s="172"/>
      <c r="P976" s="313">
        <f>IFERROR(__xludf.DUMMYFUNCTION("""COMPUTED_VALUE"""),0.0)</f>
        <v>0</v>
      </c>
      <c r="Q976" s="76" t="b">
        <f>VLOOKUP($B976,'Run Reconcile'!B$2:O1399,14,FALSE)</f>
        <v>1</v>
      </c>
      <c r="R976" s="314" t="str">
        <f t="array" ref="R976">IF($Q976, INDEX('Run Reconcile'!A$2:A1399,MATCH(B976,'Run Reconcile'!B$2:B1399,0),1),IFERROR(0/0,""))</f>
        <v>RUN-ABRM_2023-03-06_RFR-179</v>
      </c>
      <c r="S976" s="315" t="str">
        <f t="shared" ref="S976:T976" si="1957">IF(COUNTIF(W$2:W1399, $A976) &gt; 0,TRUE,IFERROR(0/0,""))</f>
        <v/>
      </c>
      <c r="T976" s="315" t="str">
        <f t="shared" si="1957"/>
        <v/>
      </c>
      <c r="U976" s="114" t="str">
        <f t="array" ref="U976">IF(ISBLANK($R976), INDEX('Run Reconcile'!A$2:A1399, MATCH($B976, 'Run Reconcile'!B$2:B1399, 0)+Z976, 1), IFERROR(0/0,""))
</f>
        <v/>
      </c>
      <c r="V976" s="316" t="str">
        <f t="shared" si="1281"/>
        <v>RUN-ABRM_2023-03-06_RFR-179</v>
      </c>
      <c r="Y976" s="317" t="str">
        <f t="shared" si="6"/>
        <v/>
      </c>
      <c r="Z976" s="83" t="str">
        <f t="shared" si="7"/>
        <v/>
      </c>
      <c r="AA976" s="83" t="str">
        <f t="shared" si="8"/>
        <v/>
      </c>
      <c r="AB976" s="83" t="str">
        <f t="shared" si="9"/>
        <v/>
      </c>
      <c r="AC976" s="18" t="str">
        <f t="shared" ref="AC976:AD976" si="1958">IF(_xlfn.ISFORMULA(S976),IFERROR(0/0,""),TRUE)</f>
        <v/>
      </c>
      <c r="AD976" s="18" t="str">
        <f t="shared" si="1958"/>
        <v/>
      </c>
      <c r="AE976" s="43"/>
      <c r="AF976" s="58" t="s">
        <v>151</v>
      </c>
      <c r="AG976" s="55" t="str">
        <f t="shared" si="11"/>
        <v/>
      </c>
    </row>
    <row r="977">
      <c r="A977" s="7" t="str">
        <f>IFERROR(__xludf.DUMMYFUNCTION("""COMPUTED_VALUE"""),"AR1532")</f>
        <v>AR1532</v>
      </c>
      <c r="B977" s="308">
        <f>IFERROR(__xludf.DUMMYFUNCTION("""COMPUTED_VALUE"""),44991.0)</f>
        <v>44991</v>
      </c>
      <c r="C977" s="309">
        <f>IFERROR(__xludf.DUMMYFUNCTION("""COMPUTED_VALUE"""),0.29496527777777776)</f>
        <v>0.2949652778</v>
      </c>
      <c r="D977" s="7" t="str">
        <f>IFERROR(__xludf.DUMMYFUNCTION("""COMPUTED_VALUE"""),"SpABRM367540")</f>
        <v>SpABRM367540</v>
      </c>
      <c r="E977" s="310"/>
      <c r="F977" s="310"/>
      <c r="G977" s="310" t="str">
        <f>IFERROR(__xludf.DUMMYFUNCTION("""COMPUTED_VALUE"""),"Negative")</f>
        <v>Negative</v>
      </c>
      <c r="H977" s="319" t="str">
        <f>IFERROR(__xludf.DUMMYFUNCTION("""COMPUTED_VALUE"""),"Negative")</f>
        <v>Negative</v>
      </c>
      <c r="I977" s="308">
        <f>IFERROR(__xludf.DUMMYFUNCTION("""COMPUTED_VALUE"""),44991.0)</f>
        <v>44991</v>
      </c>
      <c r="J977" s="311">
        <f>IFERROR(__xludf.DUMMYFUNCTION("""COMPUTED_VALUE"""),0.42563657407407407)</f>
        <v>0.4256365741</v>
      </c>
      <c r="K977" s="54"/>
      <c r="L977" s="7"/>
      <c r="M977" s="312"/>
      <c r="N977" s="172">
        <f>IFERROR(__xludf.DUMMYFUNCTION("""COMPUTED_VALUE"""),3.0)</f>
        <v>3</v>
      </c>
      <c r="O977" s="172"/>
      <c r="P977" s="313">
        <f>IFERROR(__xludf.DUMMYFUNCTION("""COMPUTED_VALUE"""),0.0)</f>
        <v>0</v>
      </c>
      <c r="Q977" s="76" t="b">
        <f>VLOOKUP($B977,'Run Reconcile'!B$2:O1399,14,FALSE)</f>
        <v>1</v>
      </c>
      <c r="R977" s="314" t="str">
        <f t="array" ref="R977">IF($Q977, INDEX('Run Reconcile'!A$2:A1399,MATCH(B977,'Run Reconcile'!B$2:B1399,0),1),IFERROR(0/0,""))</f>
        <v>RUN-ABRM_2023-03-06_RFR-179</v>
      </c>
      <c r="S977" s="315" t="str">
        <f t="shared" ref="S977:T977" si="1959">IF(COUNTIF(W$2:W1399, $A977) &gt; 0,TRUE,IFERROR(0/0,""))</f>
        <v/>
      </c>
      <c r="T977" s="315" t="str">
        <f t="shared" si="1959"/>
        <v/>
      </c>
      <c r="U977" s="114" t="str">
        <f t="array" ref="U977">IF(ISBLANK($R977), INDEX('Run Reconcile'!A$2:A1399, MATCH($B977, 'Run Reconcile'!B$2:B1399, 0)+Z977, 1), IFERROR(0/0,""))
</f>
        <v/>
      </c>
      <c r="V977" s="316" t="str">
        <f t="shared" si="1281"/>
        <v>RUN-ABRM_2023-03-06_RFR-179</v>
      </c>
      <c r="Y977" s="317" t="str">
        <f t="shared" si="6"/>
        <v/>
      </c>
      <c r="Z977" s="83" t="str">
        <f t="shared" si="7"/>
        <v/>
      </c>
      <c r="AA977" s="83" t="str">
        <f t="shared" si="8"/>
        <v/>
      </c>
      <c r="AB977" s="83" t="str">
        <f t="shared" si="9"/>
        <v/>
      </c>
      <c r="AC977" s="18" t="str">
        <f t="shared" ref="AC977:AD977" si="1960">IF(_xlfn.ISFORMULA(S977),IFERROR(0/0,""),TRUE)</f>
        <v/>
      </c>
      <c r="AD977" s="18" t="str">
        <f t="shared" si="1960"/>
        <v/>
      </c>
      <c r="AE977" s="43"/>
      <c r="AF977" s="58" t="s">
        <v>151</v>
      </c>
      <c r="AG977" s="55" t="str">
        <f t="shared" si="11"/>
        <v/>
      </c>
    </row>
    <row r="978">
      <c r="A978" s="7" t="str">
        <f>IFERROR(__xludf.DUMMYFUNCTION("""COMPUTED_VALUE"""),"AR1446")</f>
        <v>AR1446</v>
      </c>
      <c r="B978" s="308">
        <f>IFERROR(__xludf.DUMMYFUNCTION("""COMPUTED_VALUE"""),44991.0)</f>
        <v>44991</v>
      </c>
      <c r="C978" s="309">
        <f>IFERROR(__xludf.DUMMYFUNCTION("""COMPUTED_VALUE"""),0.30814814814814817)</f>
        <v>0.3081481481</v>
      </c>
      <c r="D978" s="7" t="str">
        <f>IFERROR(__xludf.DUMMYFUNCTION("""COMPUTED_VALUE"""),"SpABRM655136")</f>
        <v>SpABRM655136</v>
      </c>
      <c r="E978" s="310"/>
      <c r="F978" s="310"/>
      <c r="G978" s="310" t="str">
        <f>IFERROR(__xludf.DUMMYFUNCTION("""COMPUTED_VALUE"""),"Negative")</f>
        <v>Negative</v>
      </c>
      <c r="H978" s="319" t="str">
        <f>IFERROR(__xludf.DUMMYFUNCTION("""COMPUTED_VALUE"""),"Negative")</f>
        <v>Negative</v>
      </c>
      <c r="I978" s="308">
        <f>IFERROR(__xludf.DUMMYFUNCTION("""COMPUTED_VALUE"""),44991.0)</f>
        <v>44991</v>
      </c>
      <c r="J978" s="311">
        <f>IFERROR(__xludf.DUMMYFUNCTION("""COMPUTED_VALUE"""),0.42564814814814816)</f>
        <v>0.4256481481</v>
      </c>
      <c r="K978" s="54"/>
      <c r="L978" s="7"/>
      <c r="M978" s="312"/>
      <c r="N978" s="172">
        <f>IFERROR(__xludf.DUMMYFUNCTION("""COMPUTED_VALUE"""),3.0)</f>
        <v>3</v>
      </c>
      <c r="O978" s="172"/>
      <c r="P978" s="313">
        <f>IFERROR(__xludf.DUMMYFUNCTION("""COMPUTED_VALUE"""),0.0)</f>
        <v>0</v>
      </c>
      <c r="Q978" s="76" t="b">
        <f>VLOOKUP($B978,'Run Reconcile'!B$2:O1399,14,FALSE)</f>
        <v>1</v>
      </c>
      <c r="R978" s="314" t="str">
        <f t="array" ref="R978">IF($Q978, INDEX('Run Reconcile'!A$2:A1399,MATCH(B978,'Run Reconcile'!B$2:B1399,0),1),IFERROR(0/0,""))</f>
        <v>RUN-ABRM_2023-03-06_RFR-179</v>
      </c>
      <c r="S978" s="315" t="str">
        <f t="shared" ref="S978:T978" si="1961">IF(COUNTIF(W$2:W1399, $A978) &gt; 0,TRUE,IFERROR(0/0,""))</f>
        <v/>
      </c>
      <c r="T978" s="315" t="str">
        <f t="shared" si="1961"/>
        <v/>
      </c>
      <c r="U978" s="114" t="str">
        <f t="array" ref="U978">IF(ISBLANK($R978), INDEX('Run Reconcile'!A$2:A1399, MATCH($B978, 'Run Reconcile'!B$2:B1399, 0)+Z978, 1), IFERROR(0/0,""))
</f>
        <v/>
      </c>
      <c r="V978" s="316" t="str">
        <f t="shared" si="1281"/>
        <v>RUN-ABRM_2023-03-06_RFR-179</v>
      </c>
      <c r="Y978" s="317" t="str">
        <f t="shared" si="6"/>
        <v/>
      </c>
      <c r="Z978" s="83" t="str">
        <f t="shared" si="7"/>
        <v/>
      </c>
      <c r="AA978" s="83" t="str">
        <f t="shared" si="8"/>
        <v/>
      </c>
      <c r="AB978" s="83" t="str">
        <f t="shared" si="9"/>
        <v/>
      </c>
      <c r="AC978" s="18" t="str">
        <f t="shared" ref="AC978:AD978" si="1962">IF(_xlfn.ISFORMULA(S978),IFERROR(0/0,""),TRUE)</f>
        <v/>
      </c>
      <c r="AD978" s="18" t="str">
        <f t="shared" si="1962"/>
        <v/>
      </c>
      <c r="AE978" s="43"/>
      <c r="AF978" s="58" t="s">
        <v>151</v>
      </c>
      <c r="AG978" s="55" t="str">
        <f t="shared" si="11"/>
        <v/>
      </c>
    </row>
    <row r="979">
      <c r="A979" s="7" t="str">
        <f>IFERROR(__xludf.DUMMYFUNCTION("""COMPUTED_VALUE"""),"AR945")</f>
        <v>AR945</v>
      </c>
      <c r="B979" s="308">
        <f>IFERROR(__xludf.DUMMYFUNCTION("""COMPUTED_VALUE"""),44991.0)</f>
        <v>44991</v>
      </c>
      <c r="C979" s="309">
        <f>IFERROR(__xludf.DUMMYFUNCTION("""COMPUTED_VALUE"""),0.30872685185185184)</f>
        <v>0.3087268519</v>
      </c>
      <c r="D979" s="7" t="str">
        <f>IFERROR(__xludf.DUMMYFUNCTION("""COMPUTED_VALUE"""),"SpABRM655136")</f>
        <v>SpABRM655136</v>
      </c>
      <c r="E979" s="310"/>
      <c r="F979" s="310"/>
      <c r="G979" s="310" t="str">
        <f>IFERROR(__xludf.DUMMYFUNCTION("""COMPUTED_VALUE"""),"Negative")</f>
        <v>Negative</v>
      </c>
      <c r="H979" s="319" t="str">
        <f>IFERROR(__xludf.DUMMYFUNCTION("""COMPUTED_VALUE"""),"Negative")</f>
        <v>Negative</v>
      </c>
      <c r="I979" s="308">
        <f>IFERROR(__xludf.DUMMYFUNCTION("""COMPUTED_VALUE"""),44991.0)</f>
        <v>44991</v>
      </c>
      <c r="J979" s="311">
        <f>IFERROR(__xludf.DUMMYFUNCTION("""COMPUTED_VALUE"""),0.42564814814814816)</f>
        <v>0.4256481481</v>
      </c>
      <c r="K979" s="54"/>
      <c r="L979" s="7"/>
      <c r="M979" s="312"/>
      <c r="N979" s="172">
        <f>IFERROR(__xludf.DUMMYFUNCTION("""COMPUTED_VALUE"""),2.0)</f>
        <v>2</v>
      </c>
      <c r="O979" s="172"/>
      <c r="P979" s="313">
        <f>IFERROR(__xludf.DUMMYFUNCTION("""COMPUTED_VALUE"""),0.0)</f>
        <v>0</v>
      </c>
      <c r="Q979" s="76" t="b">
        <f>VLOOKUP($B979,'Run Reconcile'!B$2:O1399,14,FALSE)</f>
        <v>1</v>
      </c>
      <c r="R979" s="314" t="str">
        <f t="array" ref="R979">IF($Q979, INDEX('Run Reconcile'!A$2:A1399,MATCH(B979,'Run Reconcile'!B$2:B1399,0),1),IFERROR(0/0,""))</f>
        <v>RUN-ABRM_2023-03-06_RFR-179</v>
      </c>
      <c r="S979" s="315" t="str">
        <f t="shared" ref="S979:T979" si="1963">IF(COUNTIF(W$2:W1399, $A979) &gt; 0,TRUE,IFERROR(0/0,""))</f>
        <v/>
      </c>
      <c r="T979" s="315" t="str">
        <f t="shared" si="1963"/>
        <v/>
      </c>
      <c r="U979" s="114" t="str">
        <f t="array" ref="U979">IF(ISBLANK($R979), INDEX('Run Reconcile'!A$2:A1399, MATCH($B979, 'Run Reconcile'!B$2:B1399, 0)+Z979, 1), IFERROR(0/0,""))
</f>
        <v/>
      </c>
      <c r="V979" s="316" t="str">
        <f t="shared" si="1281"/>
        <v>RUN-ABRM_2023-03-06_RFR-179</v>
      </c>
      <c r="Y979" s="317" t="str">
        <f t="shared" si="6"/>
        <v/>
      </c>
      <c r="Z979" s="83" t="str">
        <f t="shared" si="7"/>
        <v/>
      </c>
      <c r="AA979" s="83" t="str">
        <f t="shared" si="8"/>
        <v/>
      </c>
      <c r="AB979" s="83" t="str">
        <f t="shared" si="9"/>
        <v/>
      </c>
      <c r="AC979" s="18" t="str">
        <f t="shared" ref="AC979:AD979" si="1964">IF(_xlfn.ISFORMULA(S979),IFERROR(0/0,""),TRUE)</f>
        <v/>
      </c>
      <c r="AD979" s="18" t="str">
        <f t="shared" si="1964"/>
        <v/>
      </c>
      <c r="AE979" s="43"/>
      <c r="AF979" s="58" t="s">
        <v>151</v>
      </c>
      <c r="AG979" s="55" t="str">
        <f t="shared" si="11"/>
        <v/>
      </c>
    </row>
    <row r="980">
      <c r="A980" s="7" t="str">
        <f>IFERROR(__xludf.DUMMYFUNCTION("""COMPUTED_VALUE"""),"AR19")</f>
        <v>AR19</v>
      </c>
      <c r="B980" s="308">
        <f>IFERROR(__xludf.DUMMYFUNCTION("""COMPUTED_VALUE"""),44991.0)</f>
        <v>44991</v>
      </c>
      <c r="C980" s="309">
        <f>IFERROR(__xludf.DUMMYFUNCTION("""COMPUTED_VALUE"""),0.32641203703703703)</f>
        <v>0.326412037</v>
      </c>
      <c r="D980" s="7" t="str">
        <f>IFERROR(__xludf.DUMMYFUNCTION("""COMPUTED_VALUE"""),"SpABRM655136")</f>
        <v>SpABRM655136</v>
      </c>
      <c r="E980" s="310"/>
      <c r="F980" s="310"/>
      <c r="G980" s="310" t="str">
        <f>IFERROR(__xludf.DUMMYFUNCTION("""COMPUTED_VALUE"""),"Negative")</f>
        <v>Negative</v>
      </c>
      <c r="H980" s="319" t="str">
        <f>IFERROR(__xludf.DUMMYFUNCTION("""COMPUTED_VALUE"""),"Negative")</f>
        <v>Negative</v>
      </c>
      <c r="I980" s="308">
        <f>IFERROR(__xludf.DUMMYFUNCTION("""COMPUTED_VALUE"""),44991.0)</f>
        <v>44991</v>
      </c>
      <c r="J980" s="311">
        <f>IFERROR(__xludf.DUMMYFUNCTION("""COMPUTED_VALUE"""),0.4256597222222222)</f>
        <v>0.4256597222</v>
      </c>
      <c r="K980" s="54"/>
      <c r="L980" s="7"/>
      <c r="M980" s="312"/>
      <c r="N980" s="172">
        <f>IFERROR(__xludf.DUMMYFUNCTION("""COMPUTED_VALUE"""),1.0)</f>
        <v>1</v>
      </c>
      <c r="O980" s="172"/>
      <c r="P980" s="313">
        <f>IFERROR(__xludf.DUMMYFUNCTION("""COMPUTED_VALUE"""),0.0)</f>
        <v>0</v>
      </c>
      <c r="Q980" s="76" t="b">
        <f>VLOOKUP($B980,'Run Reconcile'!B$2:O1399,14,FALSE)</f>
        <v>1</v>
      </c>
      <c r="R980" s="314" t="str">
        <f t="array" ref="R980">IF($Q980, INDEX('Run Reconcile'!A$2:A1399,MATCH(B980,'Run Reconcile'!B$2:B1399,0),1),IFERROR(0/0,""))</f>
        <v>RUN-ABRM_2023-03-06_RFR-179</v>
      </c>
      <c r="S980" s="315" t="str">
        <f t="shared" ref="S980:T980" si="1965">IF(COUNTIF(W$2:W1399, $A980) &gt; 0,TRUE,IFERROR(0/0,""))</f>
        <v/>
      </c>
      <c r="T980" s="315" t="str">
        <f t="shared" si="1965"/>
        <v/>
      </c>
      <c r="U980" s="114" t="str">
        <f t="array" ref="U980">IF(ISBLANK($R980), INDEX('Run Reconcile'!A$2:A1399, MATCH($B980, 'Run Reconcile'!B$2:B1399, 0)+Z980, 1), IFERROR(0/0,""))
</f>
        <v/>
      </c>
      <c r="V980" s="316" t="str">
        <f t="shared" si="1281"/>
        <v>RUN-ABRM_2023-03-06_RFR-179</v>
      </c>
      <c r="Y980" s="317" t="str">
        <f t="shared" si="6"/>
        <v/>
      </c>
      <c r="Z980" s="83" t="str">
        <f t="shared" si="7"/>
        <v/>
      </c>
      <c r="AA980" s="83" t="str">
        <f t="shared" si="8"/>
        <v/>
      </c>
      <c r="AB980" s="83" t="str">
        <f t="shared" si="9"/>
        <v/>
      </c>
      <c r="AC980" s="18" t="str">
        <f t="shared" ref="AC980:AD980" si="1966">IF(_xlfn.ISFORMULA(S980),IFERROR(0/0,""),TRUE)</f>
        <v/>
      </c>
      <c r="AD980" s="18" t="str">
        <f t="shared" si="1966"/>
        <v/>
      </c>
      <c r="AE980" s="43"/>
      <c r="AF980" s="58" t="s">
        <v>151</v>
      </c>
      <c r="AG980" s="55" t="str">
        <f t="shared" si="11"/>
        <v/>
      </c>
    </row>
    <row r="981">
      <c r="A981" s="7" t="str">
        <f>IFERROR(__xludf.DUMMYFUNCTION("""COMPUTED_VALUE"""),"AR1423")</f>
        <v>AR1423</v>
      </c>
      <c r="B981" s="308">
        <f>IFERROR(__xludf.DUMMYFUNCTION("""COMPUTED_VALUE"""),44991.0)</f>
        <v>44991</v>
      </c>
      <c r="C981" s="309">
        <f>IFERROR(__xludf.DUMMYFUNCTION("""COMPUTED_VALUE"""),0.32760416666666664)</f>
        <v>0.3276041667</v>
      </c>
      <c r="D981" s="7" t="str">
        <f>IFERROR(__xludf.DUMMYFUNCTION("""COMPUTED_VALUE"""),"SpABRM655136")</f>
        <v>SpABRM655136</v>
      </c>
      <c r="E981" s="310"/>
      <c r="F981" s="310"/>
      <c r="G981" s="310" t="str">
        <f>IFERROR(__xludf.DUMMYFUNCTION("""COMPUTED_VALUE"""),"Negative")</f>
        <v>Negative</v>
      </c>
      <c r="H981" s="319" t="str">
        <f>IFERROR(__xludf.DUMMYFUNCTION("""COMPUTED_VALUE"""),"Negative")</f>
        <v>Negative</v>
      </c>
      <c r="I981" s="308">
        <f>IFERROR(__xludf.DUMMYFUNCTION("""COMPUTED_VALUE"""),44991.0)</f>
        <v>44991</v>
      </c>
      <c r="J981" s="311">
        <f>IFERROR(__xludf.DUMMYFUNCTION("""COMPUTED_VALUE"""),0.4256712962962963)</f>
        <v>0.4256712963</v>
      </c>
      <c r="K981" s="54"/>
      <c r="L981" s="7"/>
      <c r="M981" s="312"/>
      <c r="N981" s="172">
        <f>IFERROR(__xludf.DUMMYFUNCTION("""COMPUTED_VALUE"""),3.0)</f>
        <v>3</v>
      </c>
      <c r="O981" s="172"/>
      <c r="P981" s="313">
        <f>IFERROR(__xludf.DUMMYFUNCTION("""COMPUTED_VALUE"""),0.0)</f>
        <v>0</v>
      </c>
      <c r="Q981" s="76" t="b">
        <f>VLOOKUP($B981,'Run Reconcile'!B$2:O1399,14,FALSE)</f>
        <v>1</v>
      </c>
      <c r="R981" s="314" t="str">
        <f t="array" ref="R981">IF($Q981, INDEX('Run Reconcile'!A$2:A1399,MATCH(B981,'Run Reconcile'!B$2:B1399,0),1),IFERROR(0/0,""))</f>
        <v>RUN-ABRM_2023-03-06_RFR-179</v>
      </c>
      <c r="S981" s="315" t="str">
        <f t="shared" ref="S981:T981" si="1967">IF(COUNTIF(W$2:W1399, $A981) &gt; 0,TRUE,IFERROR(0/0,""))</f>
        <v/>
      </c>
      <c r="T981" s="315" t="str">
        <f t="shared" si="1967"/>
        <v/>
      </c>
      <c r="U981" s="114" t="str">
        <f t="array" ref="U981">IF(ISBLANK($R981), INDEX('Run Reconcile'!A$2:A1399, MATCH($B981, 'Run Reconcile'!B$2:B1399, 0)+Z981, 1), IFERROR(0/0,""))
</f>
        <v/>
      </c>
      <c r="V981" s="316" t="str">
        <f t="shared" si="1281"/>
        <v>RUN-ABRM_2023-03-06_RFR-179</v>
      </c>
      <c r="Y981" s="317" t="str">
        <f t="shared" si="6"/>
        <v/>
      </c>
      <c r="Z981" s="83" t="str">
        <f t="shared" si="7"/>
        <v/>
      </c>
      <c r="AA981" s="83" t="str">
        <f t="shared" si="8"/>
        <v/>
      </c>
      <c r="AB981" s="83" t="str">
        <f t="shared" si="9"/>
        <v/>
      </c>
      <c r="AC981" s="18" t="str">
        <f t="shared" ref="AC981:AD981" si="1968">IF(_xlfn.ISFORMULA(S981),IFERROR(0/0,""),TRUE)</f>
        <v/>
      </c>
      <c r="AD981" s="18" t="str">
        <f t="shared" si="1968"/>
        <v/>
      </c>
      <c r="AE981" s="43"/>
      <c r="AF981" s="58" t="s">
        <v>151</v>
      </c>
      <c r="AG981" s="55" t="str">
        <f t="shared" si="11"/>
        <v/>
      </c>
    </row>
    <row r="982">
      <c r="A982" s="7" t="str">
        <f>IFERROR(__xludf.DUMMYFUNCTION("""COMPUTED_VALUE"""),"AR817")</f>
        <v>AR817</v>
      </c>
      <c r="B982" s="308">
        <f>IFERROR(__xludf.DUMMYFUNCTION("""COMPUTED_VALUE"""),44991.0)</f>
        <v>44991</v>
      </c>
      <c r="C982" s="309">
        <f>IFERROR(__xludf.DUMMYFUNCTION("""COMPUTED_VALUE"""),0.347962962962963)</f>
        <v>0.347962963</v>
      </c>
      <c r="D982" s="7" t="str">
        <f>IFERROR(__xludf.DUMMYFUNCTION("""COMPUTED_VALUE"""),"SpABRM655136")</f>
        <v>SpABRM655136</v>
      </c>
      <c r="E982" s="310"/>
      <c r="F982" s="310"/>
      <c r="G982" s="310" t="str">
        <f>IFERROR(__xludf.DUMMYFUNCTION("""COMPUTED_VALUE"""),"Negative")</f>
        <v>Negative</v>
      </c>
      <c r="H982" s="319" t="str">
        <f>IFERROR(__xludf.DUMMYFUNCTION("""COMPUTED_VALUE"""),"Negative")</f>
        <v>Negative</v>
      </c>
      <c r="I982" s="308">
        <f>IFERROR(__xludf.DUMMYFUNCTION("""COMPUTED_VALUE"""),44991.0)</f>
        <v>44991</v>
      </c>
      <c r="J982" s="311">
        <f>IFERROR(__xludf.DUMMYFUNCTION("""COMPUTED_VALUE"""),0.4256828703703704)</f>
        <v>0.4256828704</v>
      </c>
      <c r="K982" s="54"/>
      <c r="L982" s="7"/>
      <c r="M982" s="312"/>
      <c r="N982" s="172">
        <f>IFERROR(__xludf.DUMMYFUNCTION("""COMPUTED_VALUE"""),4.0)</f>
        <v>4</v>
      </c>
      <c r="O982" s="172"/>
      <c r="P982" s="313">
        <f>IFERROR(__xludf.DUMMYFUNCTION("""COMPUTED_VALUE"""),0.0)</f>
        <v>0</v>
      </c>
      <c r="Q982" s="76" t="b">
        <f>VLOOKUP($B982,'Run Reconcile'!B$2:O1399,14,FALSE)</f>
        <v>1</v>
      </c>
      <c r="R982" s="314" t="str">
        <f t="array" ref="R982">IF($Q982, INDEX('Run Reconcile'!A$2:A1399,MATCH(B982,'Run Reconcile'!B$2:B1399,0),1),IFERROR(0/0,""))</f>
        <v>RUN-ABRM_2023-03-06_RFR-179</v>
      </c>
      <c r="S982" s="315" t="str">
        <f t="shared" ref="S982:T982" si="1969">IF(COUNTIF(W$2:W1399, $A982) &gt; 0,TRUE,IFERROR(0/0,""))</f>
        <v/>
      </c>
      <c r="T982" s="315" t="str">
        <f t="shared" si="1969"/>
        <v/>
      </c>
      <c r="U982" s="114" t="str">
        <f t="array" ref="U982">IF(ISBLANK($R982), INDEX('Run Reconcile'!A$2:A1399, MATCH($B982, 'Run Reconcile'!B$2:B1399, 0)+Z982, 1), IFERROR(0/0,""))
</f>
        <v/>
      </c>
      <c r="V982" s="316" t="str">
        <f t="shared" si="1281"/>
        <v>RUN-ABRM_2023-03-06_RFR-179</v>
      </c>
      <c r="Y982" s="317" t="str">
        <f t="shared" si="6"/>
        <v/>
      </c>
      <c r="Z982" s="83" t="str">
        <f t="shared" si="7"/>
        <v/>
      </c>
      <c r="AA982" s="83" t="str">
        <f t="shared" si="8"/>
        <v/>
      </c>
      <c r="AB982" s="83" t="str">
        <f t="shared" si="9"/>
        <v/>
      </c>
      <c r="AC982" s="18" t="str">
        <f t="shared" ref="AC982:AD982" si="1970">IF(_xlfn.ISFORMULA(S982),IFERROR(0/0,""),TRUE)</f>
        <v/>
      </c>
      <c r="AD982" s="18" t="str">
        <f t="shared" si="1970"/>
        <v/>
      </c>
      <c r="AE982" s="43"/>
      <c r="AF982" s="58" t="s">
        <v>151</v>
      </c>
      <c r="AG982" s="55" t="str">
        <f t="shared" si="11"/>
        <v/>
      </c>
    </row>
    <row r="983">
      <c r="A983" s="7" t="str">
        <f>IFERROR(__xludf.DUMMYFUNCTION("""COMPUTED_VALUE"""),"AR812")</f>
        <v>AR812</v>
      </c>
      <c r="B983" s="308">
        <f>IFERROR(__xludf.DUMMYFUNCTION("""COMPUTED_VALUE"""),44992.0)</f>
        <v>44992</v>
      </c>
      <c r="C983" s="309">
        <f>IFERROR(__xludf.DUMMYFUNCTION("""COMPUTED_VALUE"""),0.2702662037037037)</f>
        <v>0.2702662037</v>
      </c>
      <c r="D983" s="7" t="str">
        <f>IFERROR(__xludf.DUMMYFUNCTION("""COMPUTED_VALUE"""),"SpABRM297307")</f>
        <v>SpABRM297307</v>
      </c>
      <c r="E983" s="310"/>
      <c r="F983" s="310"/>
      <c r="G983" s="310" t="str">
        <f>IFERROR(__xludf.DUMMYFUNCTION("""COMPUTED_VALUE"""),"Negative")</f>
        <v>Negative</v>
      </c>
      <c r="H983" s="319" t="str">
        <f>IFERROR(__xludf.DUMMYFUNCTION("""COMPUTED_VALUE"""),"Negative")</f>
        <v>Negative</v>
      </c>
      <c r="I983" s="308">
        <f>IFERROR(__xludf.DUMMYFUNCTION("""COMPUTED_VALUE"""),44993.0)</f>
        <v>44993</v>
      </c>
      <c r="J983" s="311">
        <f>IFERROR(__xludf.DUMMYFUNCTION("""COMPUTED_VALUE"""),0.3367013888888889)</f>
        <v>0.3367013889</v>
      </c>
      <c r="K983" s="54"/>
      <c r="L983" s="7"/>
      <c r="M983" s="312"/>
      <c r="N983" s="172">
        <f>IFERROR(__xludf.DUMMYFUNCTION("""COMPUTED_VALUE"""),3.0)</f>
        <v>3</v>
      </c>
      <c r="O983" s="172"/>
      <c r="P983" s="313">
        <f>IFERROR(__xludf.DUMMYFUNCTION("""COMPUTED_VALUE"""),1.0)</f>
        <v>1</v>
      </c>
      <c r="Q983" s="76" t="b">
        <f>VLOOKUP($B983,'Run Reconcile'!B$2:O1399,14,FALSE)</f>
        <v>1</v>
      </c>
      <c r="R983" s="314" t="str">
        <f t="array" ref="R983">IF($Q983, INDEX('Run Reconcile'!A$2:A1399,MATCH(B983,'Run Reconcile'!B$2:B1399,0),1),IFERROR(0/0,""))</f>
        <v>RUN-ABRM_2023-03-07_RFR-181</v>
      </c>
      <c r="S983" s="315" t="str">
        <f t="shared" ref="S983:T983" si="1971">IF(COUNTIF(W$2:W1399, $A983) &gt; 0,TRUE,IFERROR(0/0,""))</f>
        <v/>
      </c>
      <c r="T983" s="315" t="str">
        <f t="shared" si="1971"/>
        <v/>
      </c>
      <c r="U983" s="114" t="str">
        <f t="array" ref="U983">IF(ISBLANK($R983), INDEX('Run Reconcile'!A$2:A1399, MATCH($B983, 'Run Reconcile'!B$2:B1399, 0)+Z983, 1), IFERROR(0/0,""))
</f>
        <v/>
      </c>
      <c r="V983" s="316" t="str">
        <f t="shared" si="1281"/>
        <v>RUN-ABRM_2023-03-07_RFR-181</v>
      </c>
      <c r="Y983" s="317" t="str">
        <f t="shared" si="6"/>
        <v/>
      </c>
      <c r="Z983" s="83" t="str">
        <f t="shared" si="7"/>
        <v/>
      </c>
      <c r="AA983" s="83" t="str">
        <f t="shared" si="8"/>
        <v/>
      </c>
      <c r="AB983" s="83" t="str">
        <f t="shared" si="9"/>
        <v/>
      </c>
      <c r="AC983" s="18" t="str">
        <f t="shared" ref="AC983:AD983" si="1972">IF(_xlfn.ISFORMULA(S983),IFERROR(0/0,""),TRUE)</f>
        <v/>
      </c>
      <c r="AD983" s="18" t="str">
        <f t="shared" si="1972"/>
        <v/>
      </c>
      <c r="AE983" s="43"/>
      <c r="AF983" s="58" t="s">
        <v>152</v>
      </c>
      <c r="AG983" s="55" t="str">
        <f t="shared" si="11"/>
        <v/>
      </c>
    </row>
    <row r="984">
      <c r="A984" s="7" t="str">
        <f>IFERROR(__xludf.DUMMYFUNCTION("""COMPUTED_VALUE"""),"AR961")</f>
        <v>AR961</v>
      </c>
      <c r="B984" s="308">
        <f>IFERROR(__xludf.DUMMYFUNCTION("""COMPUTED_VALUE"""),44992.0)</f>
        <v>44992</v>
      </c>
      <c r="C984" s="309">
        <f>IFERROR(__xludf.DUMMYFUNCTION("""COMPUTED_VALUE"""),0.2839351851851852)</f>
        <v>0.2839351852</v>
      </c>
      <c r="D984" s="7" t="str">
        <f>IFERROR(__xludf.DUMMYFUNCTION("""COMPUTED_VALUE"""),"SpABRM581899")</f>
        <v>SpABRM581899</v>
      </c>
      <c r="E984" s="310"/>
      <c r="F984" s="310"/>
      <c r="G984" s="310" t="str">
        <f>IFERROR(__xludf.DUMMYFUNCTION("""COMPUTED_VALUE"""),"Negative")</f>
        <v>Negative</v>
      </c>
      <c r="H984" s="319" t="str">
        <f>IFERROR(__xludf.DUMMYFUNCTION("""COMPUTED_VALUE"""),"Negative")</f>
        <v>Negative</v>
      </c>
      <c r="I984" s="308">
        <f>IFERROR(__xludf.DUMMYFUNCTION("""COMPUTED_VALUE"""),44993.0)</f>
        <v>44993</v>
      </c>
      <c r="J984" s="311">
        <f>IFERROR(__xludf.DUMMYFUNCTION("""COMPUTED_VALUE"""),0.33671296296296294)</f>
        <v>0.336712963</v>
      </c>
      <c r="K984" s="54"/>
      <c r="L984" s="7"/>
      <c r="M984" s="312"/>
      <c r="N984" s="172">
        <f>IFERROR(__xludf.DUMMYFUNCTION("""COMPUTED_VALUE"""),3.0)</f>
        <v>3</v>
      </c>
      <c r="O984" s="172"/>
      <c r="P984" s="313">
        <f>IFERROR(__xludf.DUMMYFUNCTION("""COMPUTED_VALUE"""),1.0)</f>
        <v>1</v>
      </c>
      <c r="Q984" s="76" t="b">
        <f>VLOOKUP($B984,'Run Reconcile'!B$2:O1399,14,FALSE)</f>
        <v>1</v>
      </c>
      <c r="R984" s="314" t="str">
        <f t="array" ref="R984">IF($Q984, INDEX('Run Reconcile'!A$2:A1399,MATCH(B984,'Run Reconcile'!B$2:B1399,0),1),IFERROR(0/0,""))</f>
        <v>RUN-ABRM_2023-03-07_RFR-181</v>
      </c>
      <c r="S984" s="315" t="str">
        <f t="shared" ref="S984:T984" si="1973">IF(COUNTIF(W$2:W1399, $A984) &gt; 0,TRUE,IFERROR(0/0,""))</f>
        <v/>
      </c>
      <c r="T984" s="315" t="str">
        <f t="shared" si="1973"/>
        <v/>
      </c>
      <c r="U984" s="114" t="str">
        <f t="array" ref="U984">IF(ISBLANK($R984), INDEX('Run Reconcile'!A$2:A1399, MATCH($B984, 'Run Reconcile'!B$2:B1399, 0)+Z984, 1), IFERROR(0/0,""))
</f>
        <v/>
      </c>
      <c r="V984" s="316" t="str">
        <f t="shared" si="1281"/>
        <v>RUN-ABRM_2023-03-07_RFR-181</v>
      </c>
      <c r="Y984" s="317" t="str">
        <f t="shared" si="6"/>
        <v/>
      </c>
      <c r="Z984" s="83" t="str">
        <f t="shared" si="7"/>
        <v/>
      </c>
      <c r="AA984" s="83" t="str">
        <f t="shared" si="8"/>
        <v/>
      </c>
      <c r="AB984" s="83" t="str">
        <f t="shared" si="9"/>
        <v/>
      </c>
      <c r="AC984" s="18" t="str">
        <f t="shared" ref="AC984:AD984" si="1974">IF(_xlfn.ISFORMULA(S984),IFERROR(0/0,""),TRUE)</f>
        <v/>
      </c>
      <c r="AD984" s="18" t="str">
        <f t="shared" si="1974"/>
        <v/>
      </c>
      <c r="AE984" s="43"/>
      <c r="AF984" s="58" t="s">
        <v>152</v>
      </c>
      <c r="AG984" s="55" t="str">
        <f t="shared" si="11"/>
        <v/>
      </c>
    </row>
    <row r="985">
      <c r="A985" s="7" t="str">
        <f>IFERROR(__xludf.DUMMYFUNCTION("""COMPUTED_VALUE"""),"AR279")</f>
        <v>AR279</v>
      </c>
      <c r="B985" s="308">
        <f>IFERROR(__xludf.DUMMYFUNCTION("""COMPUTED_VALUE"""),44992.0)</f>
        <v>44992</v>
      </c>
      <c r="C985" s="309">
        <f>IFERROR(__xludf.DUMMYFUNCTION("""COMPUTED_VALUE"""),0.2849074074074074)</f>
        <v>0.2849074074</v>
      </c>
      <c r="D985" s="7" t="str">
        <f>IFERROR(__xludf.DUMMYFUNCTION("""COMPUTED_VALUE"""),"SpABRM128250")</f>
        <v>SpABRM128250</v>
      </c>
      <c r="E985" s="310"/>
      <c r="F985" s="310"/>
      <c r="G985" s="310" t="str">
        <f>IFERROR(__xludf.DUMMYFUNCTION("""COMPUTED_VALUE"""),"Negative")</f>
        <v>Negative</v>
      </c>
      <c r="H985" s="319" t="str">
        <f>IFERROR(__xludf.DUMMYFUNCTION("""COMPUTED_VALUE"""),"Negative")</f>
        <v>Negative</v>
      </c>
      <c r="I985" s="308">
        <f>IFERROR(__xludf.DUMMYFUNCTION("""COMPUTED_VALUE"""),44993.0)</f>
        <v>44993</v>
      </c>
      <c r="J985" s="311">
        <f>IFERROR(__xludf.DUMMYFUNCTION("""COMPUTED_VALUE"""),0.33671296296296294)</f>
        <v>0.336712963</v>
      </c>
      <c r="K985" s="54"/>
      <c r="L985" s="7"/>
      <c r="M985" s="312"/>
      <c r="N985" s="172">
        <f>IFERROR(__xludf.DUMMYFUNCTION("""COMPUTED_VALUE"""),3.0)</f>
        <v>3</v>
      </c>
      <c r="O985" s="172"/>
      <c r="P985" s="313">
        <f>IFERROR(__xludf.DUMMYFUNCTION("""COMPUTED_VALUE"""),1.0)</f>
        <v>1</v>
      </c>
      <c r="Q985" s="76" t="b">
        <f>VLOOKUP($B985,'Run Reconcile'!B$2:O1399,14,FALSE)</f>
        <v>1</v>
      </c>
      <c r="R985" s="314" t="str">
        <f t="array" ref="R985">IF($Q985, INDEX('Run Reconcile'!A$2:A1399,MATCH(B985,'Run Reconcile'!B$2:B1399,0),1),IFERROR(0/0,""))</f>
        <v>RUN-ABRM_2023-03-07_RFR-181</v>
      </c>
      <c r="S985" s="315" t="str">
        <f t="shared" ref="S985:T985" si="1975">IF(COUNTIF(W$2:W1399, $A985) &gt; 0,TRUE,IFERROR(0/0,""))</f>
        <v/>
      </c>
      <c r="T985" s="315" t="str">
        <f t="shared" si="1975"/>
        <v/>
      </c>
      <c r="U985" s="114" t="str">
        <f t="array" ref="U985">IF(ISBLANK($R985), INDEX('Run Reconcile'!A$2:A1399, MATCH($B985, 'Run Reconcile'!B$2:B1399, 0)+Z985, 1), IFERROR(0/0,""))
</f>
        <v/>
      </c>
      <c r="V985" s="316" t="str">
        <f t="shared" si="1281"/>
        <v>RUN-ABRM_2023-03-07_RFR-181</v>
      </c>
      <c r="Y985" s="317" t="str">
        <f t="shared" si="6"/>
        <v/>
      </c>
      <c r="Z985" s="83" t="str">
        <f t="shared" si="7"/>
        <v/>
      </c>
      <c r="AA985" s="83" t="str">
        <f t="shared" si="8"/>
        <v/>
      </c>
      <c r="AB985" s="83" t="str">
        <f t="shared" si="9"/>
        <v/>
      </c>
      <c r="AC985" s="18" t="str">
        <f t="shared" ref="AC985:AD985" si="1976">IF(_xlfn.ISFORMULA(S985),IFERROR(0/0,""),TRUE)</f>
        <v/>
      </c>
      <c r="AD985" s="18" t="str">
        <f t="shared" si="1976"/>
        <v/>
      </c>
      <c r="AE985" s="43"/>
      <c r="AF985" s="58" t="s">
        <v>152</v>
      </c>
      <c r="AG985" s="55" t="str">
        <f t="shared" si="11"/>
        <v/>
      </c>
    </row>
    <row r="986">
      <c r="A986" s="7" t="str">
        <f>IFERROR(__xludf.DUMMYFUNCTION("""COMPUTED_VALUE"""),"AB9996")</f>
        <v>AB9996</v>
      </c>
      <c r="B986" s="308">
        <f>IFERROR(__xludf.DUMMYFUNCTION("""COMPUTED_VALUE"""),44992.0)</f>
        <v>44992</v>
      </c>
      <c r="C986" s="309">
        <f>IFERROR(__xludf.DUMMYFUNCTION("""COMPUTED_VALUE"""),0.31319444444444444)</f>
        <v>0.3131944444</v>
      </c>
      <c r="D986" s="7" t="str">
        <f>IFERROR(__xludf.DUMMYFUNCTION("""COMPUTED_VALUE"""),"SpABRM655136")</f>
        <v>SpABRM655136</v>
      </c>
      <c r="E986" s="310"/>
      <c r="F986" s="310"/>
      <c r="G986" s="310" t="str">
        <f>IFERROR(__xludf.DUMMYFUNCTION("""COMPUTED_VALUE"""),"Negative")</f>
        <v>Negative</v>
      </c>
      <c r="H986" s="319" t="str">
        <f>IFERROR(__xludf.DUMMYFUNCTION("""COMPUTED_VALUE"""),"Negative")</f>
        <v>Negative</v>
      </c>
      <c r="I986" s="308">
        <f>IFERROR(__xludf.DUMMYFUNCTION("""COMPUTED_VALUE"""),44993.0)</f>
        <v>44993</v>
      </c>
      <c r="J986" s="311">
        <f>IFERROR(__xludf.DUMMYFUNCTION("""COMPUTED_VALUE"""),0.33672453703703703)</f>
        <v>0.336724537</v>
      </c>
      <c r="K986" s="54"/>
      <c r="L986" s="7"/>
      <c r="M986" s="312"/>
      <c r="N986" s="172">
        <f>IFERROR(__xludf.DUMMYFUNCTION("""COMPUTED_VALUE"""),2.0)</f>
        <v>2</v>
      </c>
      <c r="O986" s="172"/>
      <c r="P986" s="313">
        <f>IFERROR(__xludf.DUMMYFUNCTION("""COMPUTED_VALUE"""),1.0)</f>
        <v>1</v>
      </c>
      <c r="Q986" s="76" t="b">
        <f>VLOOKUP($B986,'Run Reconcile'!B$2:O1399,14,FALSE)</f>
        <v>1</v>
      </c>
      <c r="R986" s="314" t="str">
        <f t="array" ref="R986">IF($Q986, INDEX('Run Reconcile'!A$2:A1399,MATCH(B986,'Run Reconcile'!B$2:B1399,0),1),IFERROR(0/0,""))</f>
        <v>RUN-ABRM_2023-03-07_RFR-181</v>
      </c>
      <c r="S986" s="315" t="str">
        <f t="shared" ref="S986:T986" si="1977">IF(COUNTIF(W$2:W1399, $A986) &gt; 0,TRUE,IFERROR(0/0,""))</f>
        <v/>
      </c>
      <c r="T986" s="315" t="str">
        <f t="shared" si="1977"/>
        <v/>
      </c>
      <c r="U986" s="114" t="str">
        <f t="array" ref="U986">IF(ISBLANK($R986), INDEX('Run Reconcile'!A$2:A1399, MATCH($B986, 'Run Reconcile'!B$2:B1399, 0)+Z986, 1), IFERROR(0/0,""))
</f>
        <v/>
      </c>
      <c r="V986" s="316" t="str">
        <f t="shared" si="1281"/>
        <v>RUN-ABRM_2023-03-07_RFR-181</v>
      </c>
      <c r="Y986" s="317" t="str">
        <f t="shared" si="6"/>
        <v/>
      </c>
      <c r="Z986" s="83" t="str">
        <f t="shared" si="7"/>
        <v/>
      </c>
      <c r="AA986" s="83" t="str">
        <f t="shared" si="8"/>
        <v/>
      </c>
      <c r="AB986" s="83" t="str">
        <f t="shared" si="9"/>
        <v/>
      </c>
      <c r="AC986" s="18" t="str">
        <f t="shared" ref="AC986:AD986" si="1978">IF(_xlfn.ISFORMULA(S986),IFERROR(0/0,""),TRUE)</f>
        <v/>
      </c>
      <c r="AD986" s="18" t="str">
        <f t="shared" si="1978"/>
        <v/>
      </c>
      <c r="AE986" s="43"/>
      <c r="AF986" s="58" t="s">
        <v>152</v>
      </c>
      <c r="AG986" s="55" t="str">
        <f t="shared" si="11"/>
        <v/>
      </c>
    </row>
    <row r="987">
      <c r="A987" s="7" t="str">
        <f>IFERROR(__xludf.DUMMYFUNCTION("""COMPUTED_VALUE"""),"AR615")</f>
        <v>AR615</v>
      </c>
      <c r="B987" s="308">
        <f>IFERROR(__xludf.DUMMYFUNCTION("""COMPUTED_VALUE"""),44992.0)</f>
        <v>44992</v>
      </c>
      <c r="C987" s="309">
        <f>IFERROR(__xludf.DUMMYFUNCTION("""COMPUTED_VALUE"""),0.3211574074074074)</f>
        <v>0.3211574074</v>
      </c>
      <c r="D987" s="7" t="str">
        <f>IFERROR(__xludf.DUMMYFUNCTION("""COMPUTED_VALUE"""),"SpABRM519188")</f>
        <v>SpABRM519188</v>
      </c>
      <c r="E987" s="310"/>
      <c r="F987" s="310"/>
      <c r="G987" s="310" t="str">
        <f>IFERROR(__xludf.DUMMYFUNCTION("""COMPUTED_VALUE"""),"Negative")</f>
        <v>Negative</v>
      </c>
      <c r="H987" s="319" t="str">
        <f>IFERROR(__xludf.DUMMYFUNCTION("""COMPUTED_VALUE"""),"Negative")</f>
        <v>Negative</v>
      </c>
      <c r="I987" s="308">
        <f>IFERROR(__xludf.DUMMYFUNCTION("""COMPUTED_VALUE"""),44993.0)</f>
        <v>44993</v>
      </c>
      <c r="J987" s="311">
        <f>IFERROR(__xludf.DUMMYFUNCTION("""COMPUTED_VALUE"""),0.3367361111111111)</f>
        <v>0.3367361111</v>
      </c>
      <c r="K987" s="54"/>
      <c r="L987" s="7"/>
      <c r="M987" s="312"/>
      <c r="N987" s="172">
        <f>IFERROR(__xludf.DUMMYFUNCTION("""COMPUTED_VALUE"""),1.0)</f>
        <v>1</v>
      </c>
      <c r="O987" s="172"/>
      <c r="P987" s="313">
        <f>IFERROR(__xludf.DUMMYFUNCTION("""COMPUTED_VALUE"""),1.0)</f>
        <v>1</v>
      </c>
      <c r="Q987" s="76" t="b">
        <f>VLOOKUP($B987,'Run Reconcile'!B$2:O1399,14,FALSE)</f>
        <v>1</v>
      </c>
      <c r="R987" s="314" t="str">
        <f t="array" ref="R987">IF($Q987, INDEX('Run Reconcile'!A$2:A1399,MATCH(B987,'Run Reconcile'!B$2:B1399,0),1),IFERROR(0/0,""))</f>
        <v>RUN-ABRM_2023-03-07_RFR-181</v>
      </c>
      <c r="S987" s="315" t="str">
        <f t="shared" ref="S987:T987" si="1979">IF(COUNTIF(W$2:W1399, $A987) &gt; 0,TRUE,IFERROR(0/0,""))</f>
        <v/>
      </c>
      <c r="T987" s="315" t="str">
        <f t="shared" si="1979"/>
        <v/>
      </c>
      <c r="U987" s="114" t="str">
        <f t="array" ref="U987">IF(ISBLANK($R987), INDEX('Run Reconcile'!A$2:A1399, MATCH($B987, 'Run Reconcile'!B$2:B1399, 0)+Z987, 1), IFERROR(0/0,""))
</f>
        <v/>
      </c>
      <c r="V987" s="316" t="str">
        <f t="shared" si="1281"/>
        <v>RUN-ABRM_2023-03-07_RFR-181</v>
      </c>
      <c r="Y987" s="317" t="str">
        <f t="shared" si="6"/>
        <v/>
      </c>
      <c r="Z987" s="83" t="str">
        <f t="shared" si="7"/>
        <v/>
      </c>
      <c r="AA987" s="83" t="str">
        <f t="shared" si="8"/>
        <v/>
      </c>
      <c r="AB987" s="83" t="str">
        <f t="shared" si="9"/>
        <v/>
      </c>
      <c r="AC987" s="18" t="str">
        <f t="shared" ref="AC987:AD987" si="1980">IF(_xlfn.ISFORMULA(S987),IFERROR(0/0,""),TRUE)</f>
        <v/>
      </c>
      <c r="AD987" s="18" t="str">
        <f t="shared" si="1980"/>
        <v/>
      </c>
      <c r="AE987" s="43"/>
      <c r="AF987" s="58" t="s">
        <v>152</v>
      </c>
      <c r="AG987" s="55" t="str">
        <f t="shared" si="11"/>
        <v/>
      </c>
    </row>
    <row r="988">
      <c r="A988" s="7" t="str">
        <f>IFERROR(__xludf.DUMMYFUNCTION("""COMPUTED_VALUE"""),"AR1535")</f>
        <v>AR1535</v>
      </c>
      <c r="B988" s="308">
        <f>IFERROR(__xludf.DUMMYFUNCTION("""COMPUTED_VALUE"""),44992.0)</f>
        <v>44992</v>
      </c>
      <c r="C988" s="309">
        <f>IFERROR(__xludf.DUMMYFUNCTION("""COMPUTED_VALUE"""),0.32178240740740743)</f>
        <v>0.3217824074</v>
      </c>
      <c r="D988" s="7" t="str">
        <f>IFERROR(__xludf.DUMMYFUNCTION("""COMPUTED_VALUE"""),"SpABRM814022")</f>
        <v>SpABRM814022</v>
      </c>
      <c r="E988" s="310"/>
      <c r="F988" s="310"/>
      <c r="G988" s="310" t="str">
        <f>IFERROR(__xludf.DUMMYFUNCTION("""COMPUTED_VALUE"""),"Negative")</f>
        <v>Negative</v>
      </c>
      <c r="H988" s="319" t="str">
        <f>IFERROR(__xludf.DUMMYFUNCTION("""COMPUTED_VALUE"""),"Negative")</f>
        <v>Negative</v>
      </c>
      <c r="I988" s="308">
        <f>IFERROR(__xludf.DUMMYFUNCTION("""COMPUTED_VALUE"""),44993.0)</f>
        <v>44993</v>
      </c>
      <c r="J988" s="311">
        <f>IFERROR(__xludf.DUMMYFUNCTION("""COMPUTED_VALUE"""),0.3367361111111111)</f>
        <v>0.3367361111</v>
      </c>
      <c r="K988" s="54"/>
      <c r="L988" s="7"/>
      <c r="M988" s="312"/>
      <c r="N988" s="172">
        <f>IFERROR(__xludf.DUMMYFUNCTION("""COMPUTED_VALUE"""),1.0)</f>
        <v>1</v>
      </c>
      <c r="O988" s="172"/>
      <c r="P988" s="313">
        <f>IFERROR(__xludf.DUMMYFUNCTION("""COMPUTED_VALUE"""),1.0)</f>
        <v>1</v>
      </c>
      <c r="Q988" s="76" t="b">
        <f>VLOOKUP($B988,'Run Reconcile'!B$2:O1399,14,FALSE)</f>
        <v>1</v>
      </c>
      <c r="R988" s="314" t="str">
        <f t="array" ref="R988">IF($Q988, INDEX('Run Reconcile'!A$2:A1399,MATCH(B988,'Run Reconcile'!B$2:B1399,0),1),IFERROR(0/0,""))</f>
        <v>RUN-ABRM_2023-03-07_RFR-181</v>
      </c>
      <c r="S988" s="315" t="str">
        <f t="shared" ref="S988:T988" si="1981">IF(COUNTIF(W$2:W1399, $A988) &gt; 0,TRUE,IFERROR(0/0,""))</f>
        <v/>
      </c>
      <c r="T988" s="315" t="str">
        <f t="shared" si="1981"/>
        <v/>
      </c>
      <c r="U988" s="114" t="str">
        <f t="array" ref="U988">IF(ISBLANK($R988), INDEX('Run Reconcile'!A$2:A1399, MATCH($B988, 'Run Reconcile'!B$2:B1399, 0)+Z988, 1), IFERROR(0/0,""))
</f>
        <v/>
      </c>
      <c r="V988" s="316" t="str">
        <f t="shared" si="1281"/>
        <v>RUN-ABRM_2023-03-07_RFR-181</v>
      </c>
      <c r="Y988" s="317" t="str">
        <f t="shared" si="6"/>
        <v/>
      </c>
      <c r="Z988" s="83" t="str">
        <f t="shared" si="7"/>
        <v/>
      </c>
      <c r="AA988" s="83" t="str">
        <f t="shared" si="8"/>
        <v/>
      </c>
      <c r="AB988" s="83" t="str">
        <f t="shared" si="9"/>
        <v/>
      </c>
      <c r="AC988" s="18" t="str">
        <f t="shared" ref="AC988:AD988" si="1982">IF(_xlfn.ISFORMULA(S988),IFERROR(0/0,""),TRUE)</f>
        <v/>
      </c>
      <c r="AD988" s="18" t="str">
        <f t="shared" si="1982"/>
        <v/>
      </c>
      <c r="AE988" s="43"/>
      <c r="AF988" s="58" t="s">
        <v>152</v>
      </c>
      <c r="AG988" s="55" t="str">
        <f t="shared" si="11"/>
        <v/>
      </c>
    </row>
    <row r="989">
      <c r="A989" s="7" t="str">
        <f>IFERROR(__xludf.DUMMYFUNCTION("""COMPUTED_VALUE"""),"AR345")</f>
        <v>AR345</v>
      </c>
      <c r="B989" s="308">
        <f>IFERROR(__xludf.DUMMYFUNCTION("""COMPUTED_VALUE"""),44992.0)</f>
        <v>44992</v>
      </c>
      <c r="C989" s="309">
        <f>IFERROR(__xludf.DUMMYFUNCTION("""COMPUTED_VALUE"""),0.3290740740740741)</f>
        <v>0.3290740741</v>
      </c>
      <c r="D989" s="7" t="str">
        <f>IFERROR(__xludf.DUMMYFUNCTION("""COMPUTED_VALUE"""),"SpABRM655136")</f>
        <v>SpABRM655136</v>
      </c>
      <c r="E989" s="310"/>
      <c r="F989" s="310"/>
      <c r="G989" s="310" t="str">
        <f>IFERROR(__xludf.DUMMYFUNCTION("""COMPUTED_VALUE"""),"Negative")</f>
        <v>Negative</v>
      </c>
      <c r="H989" s="319" t="str">
        <f>IFERROR(__xludf.DUMMYFUNCTION("""COMPUTED_VALUE"""),"Negative")</f>
        <v>Negative</v>
      </c>
      <c r="I989" s="308">
        <f>IFERROR(__xludf.DUMMYFUNCTION("""COMPUTED_VALUE"""),44993.0)</f>
        <v>44993</v>
      </c>
      <c r="J989" s="311">
        <f>IFERROR(__xludf.DUMMYFUNCTION("""COMPUTED_VALUE"""),0.33674768518518516)</f>
        <v>0.3367476852</v>
      </c>
      <c r="K989" s="54"/>
      <c r="L989" s="7"/>
      <c r="M989" s="312"/>
      <c r="N989" s="172">
        <f>IFERROR(__xludf.DUMMYFUNCTION("""COMPUTED_VALUE"""),3.0)</f>
        <v>3</v>
      </c>
      <c r="O989" s="172"/>
      <c r="P989" s="313">
        <f>IFERROR(__xludf.DUMMYFUNCTION("""COMPUTED_VALUE"""),1.0)</f>
        <v>1</v>
      </c>
      <c r="Q989" s="76" t="b">
        <f>VLOOKUP($B989,'Run Reconcile'!B$2:O1399,14,FALSE)</f>
        <v>1</v>
      </c>
      <c r="R989" s="314" t="str">
        <f t="array" ref="R989">IF($Q989, INDEX('Run Reconcile'!A$2:A1399,MATCH(B989,'Run Reconcile'!B$2:B1399,0),1),IFERROR(0/0,""))</f>
        <v>RUN-ABRM_2023-03-07_RFR-181</v>
      </c>
      <c r="S989" s="315" t="str">
        <f t="shared" ref="S989:T989" si="1983">IF(COUNTIF(W$2:W1399, $A989) &gt; 0,TRUE,IFERROR(0/0,""))</f>
        <v/>
      </c>
      <c r="T989" s="315" t="str">
        <f t="shared" si="1983"/>
        <v/>
      </c>
      <c r="U989" s="114" t="str">
        <f t="array" ref="U989">IF(ISBLANK($R989), INDEX('Run Reconcile'!A$2:A1399, MATCH($B989, 'Run Reconcile'!B$2:B1399, 0)+Z989, 1), IFERROR(0/0,""))
</f>
        <v/>
      </c>
      <c r="V989" s="316" t="str">
        <f t="shared" si="1281"/>
        <v>RUN-ABRM_2023-03-07_RFR-181</v>
      </c>
      <c r="Y989" s="317" t="str">
        <f t="shared" si="6"/>
        <v/>
      </c>
      <c r="Z989" s="83" t="str">
        <f t="shared" si="7"/>
        <v/>
      </c>
      <c r="AA989" s="83" t="str">
        <f t="shared" si="8"/>
        <v/>
      </c>
      <c r="AB989" s="83" t="str">
        <f t="shared" si="9"/>
        <v/>
      </c>
      <c r="AC989" s="18" t="str">
        <f t="shared" ref="AC989:AD989" si="1984">IF(_xlfn.ISFORMULA(S989),IFERROR(0/0,""),TRUE)</f>
        <v/>
      </c>
      <c r="AD989" s="18" t="str">
        <f t="shared" si="1984"/>
        <v/>
      </c>
      <c r="AE989" s="43"/>
      <c r="AF989" s="58" t="s">
        <v>152</v>
      </c>
      <c r="AG989" s="55" t="str">
        <f t="shared" si="11"/>
        <v/>
      </c>
    </row>
    <row r="990">
      <c r="A990" s="7" t="str">
        <f>IFERROR(__xludf.DUMMYFUNCTION("""COMPUTED_VALUE"""),"AK9866")</f>
        <v>AK9866</v>
      </c>
      <c r="B990" s="308">
        <f>IFERROR(__xludf.DUMMYFUNCTION("""COMPUTED_VALUE"""),44992.0)</f>
        <v>44992</v>
      </c>
      <c r="C990" s="309">
        <f>IFERROR(__xludf.DUMMYFUNCTION("""COMPUTED_VALUE"""),0.3518865740740741)</f>
        <v>0.3518865741</v>
      </c>
      <c r="D990" s="7" t="str">
        <f>IFERROR(__xludf.DUMMYFUNCTION("""COMPUTED_VALUE"""),"SpABRM655136")</f>
        <v>SpABRM655136</v>
      </c>
      <c r="E990" s="310"/>
      <c r="F990" s="310"/>
      <c r="G990" s="310" t="str">
        <f>IFERROR(__xludf.DUMMYFUNCTION("""COMPUTED_VALUE"""),"Negative")</f>
        <v>Negative</v>
      </c>
      <c r="H990" s="319" t="str">
        <f>IFERROR(__xludf.DUMMYFUNCTION("""COMPUTED_VALUE"""),"Negative")</f>
        <v>Negative</v>
      </c>
      <c r="I990" s="308">
        <f>IFERROR(__xludf.DUMMYFUNCTION("""COMPUTED_VALUE"""),44993.0)</f>
        <v>44993</v>
      </c>
      <c r="J990" s="311">
        <f>IFERROR(__xludf.DUMMYFUNCTION("""COMPUTED_VALUE"""),0.33675925925925926)</f>
        <v>0.3367592593</v>
      </c>
      <c r="K990" s="54"/>
      <c r="L990" s="7"/>
      <c r="M990" s="312"/>
      <c r="N990" s="172">
        <f>IFERROR(__xludf.DUMMYFUNCTION("""COMPUTED_VALUE"""),3.0)</f>
        <v>3</v>
      </c>
      <c r="O990" s="172"/>
      <c r="P990" s="313">
        <f>IFERROR(__xludf.DUMMYFUNCTION("""COMPUTED_VALUE"""),1.0)</f>
        <v>1</v>
      </c>
      <c r="Q990" s="76" t="b">
        <f>VLOOKUP($B990,'Run Reconcile'!B$2:O1399,14,FALSE)</f>
        <v>1</v>
      </c>
      <c r="R990" s="314" t="str">
        <f t="array" ref="R990">IF($Q990, INDEX('Run Reconcile'!A$2:A1399,MATCH(B990,'Run Reconcile'!B$2:B1399,0),1),IFERROR(0/0,""))</f>
        <v>RUN-ABRM_2023-03-07_RFR-181</v>
      </c>
      <c r="S990" s="315" t="str">
        <f t="shared" ref="S990:T990" si="1985">IF(COUNTIF(W$2:W1399, $A990) &gt; 0,TRUE,IFERROR(0/0,""))</f>
        <v/>
      </c>
      <c r="T990" s="315" t="str">
        <f t="shared" si="1985"/>
        <v/>
      </c>
      <c r="U990" s="114" t="str">
        <f t="array" ref="U990">IF(ISBLANK($R990), INDEX('Run Reconcile'!A$2:A1399, MATCH($B990, 'Run Reconcile'!B$2:B1399, 0)+Z990, 1), IFERROR(0/0,""))
</f>
        <v/>
      </c>
      <c r="V990" s="316" t="str">
        <f t="shared" si="1281"/>
        <v>RUN-ABRM_2023-03-07_RFR-181</v>
      </c>
      <c r="Y990" s="317" t="str">
        <f t="shared" si="6"/>
        <v/>
      </c>
      <c r="Z990" s="83" t="str">
        <f t="shared" si="7"/>
        <v/>
      </c>
      <c r="AA990" s="83" t="str">
        <f t="shared" si="8"/>
        <v/>
      </c>
      <c r="AB990" s="83" t="str">
        <f t="shared" si="9"/>
        <v/>
      </c>
      <c r="AC990" s="18" t="str">
        <f t="shared" ref="AC990:AD990" si="1986">IF(_xlfn.ISFORMULA(S990),IFERROR(0/0,""),TRUE)</f>
        <v/>
      </c>
      <c r="AD990" s="18" t="str">
        <f t="shared" si="1986"/>
        <v/>
      </c>
      <c r="AE990" s="43"/>
      <c r="AF990" s="58" t="s">
        <v>152</v>
      </c>
      <c r="AG990" s="55" t="str">
        <f t="shared" si="11"/>
        <v/>
      </c>
    </row>
    <row r="991">
      <c r="A991" s="7" t="str">
        <f>IFERROR(__xludf.DUMMYFUNCTION("""COMPUTED_VALUE"""),"AR1192")</f>
        <v>AR1192</v>
      </c>
      <c r="B991" s="308">
        <f>IFERROR(__xludf.DUMMYFUNCTION("""COMPUTED_VALUE"""),44993.0)</f>
        <v>44993</v>
      </c>
      <c r="C991" s="309">
        <f>IFERROR(__xludf.DUMMYFUNCTION("""COMPUTED_VALUE"""),0.25538194444444445)</f>
        <v>0.2553819444</v>
      </c>
      <c r="D991" s="7" t="str">
        <f>IFERROR(__xludf.DUMMYFUNCTION("""COMPUTED_VALUE"""),"SpABRM454310")</f>
        <v>SpABRM454310</v>
      </c>
      <c r="E991" s="310"/>
      <c r="F991" s="310"/>
      <c r="G991" s="310" t="str">
        <f>IFERROR(__xludf.DUMMYFUNCTION("""COMPUTED_VALUE"""),"Negative")</f>
        <v>Negative</v>
      </c>
      <c r="H991" s="319" t="str">
        <f>IFERROR(__xludf.DUMMYFUNCTION("""COMPUTED_VALUE"""),"Negative")</f>
        <v>Negative</v>
      </c>
      <c r="I991" s="308">
        <f>IFERROR(__xludf.DUMMYFUNCTION("""COMPUTED_VALUE"""),44993.0)</f>
        <v>44993</v>
      </c>
      <c r="J991" s="311">
        <f>IFERROR(__xludf.DUMMYFUNCTION("""COMPUTED_VALUE"""),0.3953935185185185)</f>
        <v>0.3953935185</v>
      </c>
      <c r="K991" s="54"/>
      <c r="L991" s="7"/>
      <c r="M991" s="312"/>
      <c r="N991" s="172">
        <f>IFERROR(__xludf.DUMMYFUNCTION("""COMPUTED_VALUE"""),3.0)</f>
        <v>3</v>
      </c>
      <c r="O991" s="172"/>
      <c r="P991" s="313">
        <f>IFERROR(__xludf.DUMMYFUNCTION("""COMPUTED_VALUE"""),0.0)</f>
        <v>0</v>
      </c>
      <c r="Q991" s="76" t="b">
        <f>VLOOKUP($B991,'Run Reconcile'!B$2:O1399,14,FALSE)</f>
        <v>1</v>
      </c>
      <c r="R991" s="314" t="str">
        <f t="array" ref="R991">IF($Q991, INDEX('Run Reconcile'!A$2:A1399,MATCH(B991,'Run Reconcile'!B$2:B1399,0),1),IFERROR(0/0,""))</f>
        <v>RUN-ABRM_2023-03-08_RFR-182</v>
      </c>
      <c r="S991" s="315" t="str">
        <f t="shared" ref="S991:T991" si="1987">IF(COUNTIF(W$2:W1399, $A991) &gt; 0,TRUE,IFERROR(0/0,""))</f>
        <v/>
      </c>
      <c r="T991" s="315" t="str">
        <f t="shared" si="1987"/>
        <v/>
      </c>
      <c r="U991" s="114" t="str">
        <f t="array" ref="U991">IF(ISBLANK($R991), INDEX('Run Reconcile'!A$2:A1399, MATCH($B991, 'Run Reconcile'!B$2:B1399, 0)+Z991, 1), IFERROR(0/0,""))
</f>
        <v/>
      </c>
      <c r="V991" s="316" t="str">
        <f t="shared" si="1281"/>
        <v>RUN-ABRM_2023-03-08_RFR-182</v>
      </c>
      <c r="Y991" s="317" t="str">
        <f t="shared" si="6"/>
        <v/>
      </c>
      <c r="Z991" s="83" t="str">
        <f t="shared" si="7"/>
        <v/>
      </c>
      <c r="AA991" s="83" t="str">
        <f t="shared" si="8"/>
        <v/>
      </c>
      <c r="AB991" s="83" t="str">
        <f t="shared" si="9"/>
        <v/>
      </c>
      <c r="AC991" s="18" t="str">
        <f t="shared" ref="AC991:AD991" si="1988">IF(_xlfn.ISFORMULA(S991),IFERROR(0/0,""),TRUE)</f>
        <v/>
      </c>
      <c r="AD991" s="18" t="str">
        <f t="shared" si="1988"/>
        <v/>
      </c>
      <c r="AE991" s="43"/>
      <c r="AF991" s="58" t="s">
        <v>153</v>
      </c>
      <c r="AG991" s="55" t="str">
        <f t="shared" si="11"/>
        <v/>
      </c>
    </row>
    <row r="992">
      <c r="A992" s="7" t="str">
        <f>IFERROR(__xludf.DUMMYFUNCTION("""COMPUTED_VALUE"""),"AR1248")</f>
        <v>AR1248</v>
      </c>
      <c r="B992" s="308">
        <f>IFERROR(__xludf.DUMMYFUNCTION("""COMPUTED_VALUE"""),44993.0)</f>
        <v>44993</v>
      </c>
      <c r="C992" s="309">
        <f>IFERROR(__xludf.DUMMYFUNCTION("""COMPUTED_VALUE"""),0.266724537037037)</f>
        <v>0.266724537</v>
      </c>
      <c r="D992" s="7" t="str">
        <f>IFERROR(__xludf.DUMMYFUNCTION("""COMPUTED_VALUE"""),"SpABRM581899")</f>
        <v>SpABRM581899</v>
      </c>
      <c r="E992" s="310"/>
      <c r="F992" s="310"/>
      <c r="G992" s="310" t="str">
        <f>IFERROR(__xludf.DUMMYFUNCTION("""COMPUTED_VALUE"""),"Negative")</f>
        <v>Negative</v>
      </c>
      <c r="H992" s="319" t="str">
        <f>IFERROR(__xludf.DUMMYFUNCTION("""COMPUTED_VALUE"""),"Negative")</f>
        <v>Negative</v>
      </c>
      <c r="I992" s="308">
        <f>IFERROR(__xludf.DUMMYFUNCTION("""COMPUTED_VALUE"""),44993.0)</f>
        <v>44993</v>
      </c>
      <c r="J992" s="311">
        <f>IFERROR(__xludf.DUMMYFUNCTION("""COMPUTED_VALUE"""),0.49930555555555556)</f>
        <v>0.4993055556</v>
      </c>
      <c r="K992" s="54"/>
      <c r="L992" s="7"/>
      <c r="M992" s="312"/>
      <c r="N992" s="172">
        <f>IFERROR(__xludf.DUMMYFUNCTION("""COMPUTED_VALUE"""),3.0)</f>
        <v>3</v>
      </c>
      <c r="O992" s="172"/>
      <c r="P992" s="313">
        <f>IFERROR(__xludf.DUMMYFUNCTION("""COMPUTED_VALUE"""),0.0)</f>
        <v>0</v>
      </c>
      <c r="Q992" s="76" t="b">
        <f>VLOOKUP($B992,'Run Reconcile'!B$2:O1399,14,FALSE)</f>
        <v>1</v>
      </c>
      <c r="R992" s="314" t="str">
        <f t="array" ref="R992">IF($Q992, INDEX('Run Reconcile'!A$2:A1399,MATCH(B992,'Run Reconcile'!B$2:B1399,0),1),IFERROR(0/0,""))</f>
        <v>RUN-ABRM_2023-03-08_RFR-182</v>
      </c>
      <c r="S992" s="315" t="str">
        <f t="shared" ref="S992:T992" si="1989">IF(COUNTIF(W$2:W1399, $A992) &gt; 0,TRUE,IFERROR(0/0,""))</f>
        <v/>
      </c>
      <c r="T992" s="315" t="str">
        <f t="shared" si="1989"/>
        <v/>
      </c>
      <c r="U992" s="114" t="str">
        <f t="array" ref="U992">IF(ISBLANK($R992), INDEX('Run Reconcile'!A$2:A1399, MATCH($B992, 'Run Reconcile'!B$2:B1399, 0)+Z992, 1), IFERROR(0/0,""))
</f>
        <v/>
      </c>
      <c r="V992" s="316" t="str">
        <f t="shared" si="1281"/>
        <v>RUN-ABRM_2023-03-08_RFR-182</v>
      </c>
      <c r="Y992" s="317" t="str">
        <f t="shared" si="6"/>
        <v/>
      </c>
      <c r="Z992" s="83" t="str">
        <f t="shared" si="7"/>
        <v/>
      </c>
      <c r="AA992" s="83" t="str">
        <f t="shared" si="8"/>
        <v/>
      </c>
      <c r="AB992" s="83" t="str">
        <f t="shared" si="9"/>
        <v/>
      </c>
      <c r="AC992" s="18" t="str">
        <f t="shared" ref="AC992:AD992" si="1990">IF(_xlfn.ISFORMULA(S992),IFERROR(0/0,""),TRUE)</f>
        <v/>
      </c>
      <c r="AD992" s="18" t="str">
        <f t="shared" si="1990"/>
        <v/>
      </c>
      <c r="AE992" s="43"/>
      <c r="AF992" s="58" t="s">
        <v>153</v>
      </c>
      <c r="AG992" s="55" t="str">
        <f t="shared" si="11"/>
        <v/>
      </c>
    </row>
    <row r="993">
      <c r="A993" s="7" t="str">
        <f>IFERROR(__xludf.DUMMYFUNCTION("""COMPUTED_VALUE"""),"AR1376")</f>
        <v>AR1376</v>
      </c>
      <c r="B993" s="308">
        <f>IFERROR(__xludf.DUMMYFUNCTION("""COMPUTED_VALUE"""),44993.0)</f>
        <v>44993</v>
      </c>
      <c r="C993" s="309">
        <f>IFERROR(__xludf.DUMMYFUNCTION("""COMPUTED_VALUE"""),0.28421296296296295)</f>
        <v>0.284212963</v>
      </c>
      <c r="D993" s="7" t="str">
        <f>IFERROR(__xludf.DUMMYFUNCTION("""COMPUTED_VALUE"""),"SpABRM297307")</f>
        <v>SpABRM297307</v>
      </c>
      <c r="E993" s="310"/>
      <c r="F993" s="310"/>
      <c r="G993" s="310" t="str">
        <f>IFERROR(__xludf.DUMMYFUNCTION("""COMPUTED_VALUE"""),"Negative")</f>
        <v>Negative</v>
      </c>
      <c r="H993" s="319" t="str">
        <f>IFERROR(__xludf.DUMMYFUNCTION("""COMPUTED_VALUE"""),"Negative")</f>
        <v>Negative</v>
      </c>
      <c r="I993" s="308">
        <f>IFERROR(__xludf.DUMMYFUNCTION("""COMPUTED_VALUE"""),44993.0)</f>
        <v>44993</v>
      </c>
      <c r="J993" s="311">
        <f>IFERROR(__xludf.DUMMYFUNCTION("""COMPUTED_VALUE"""),0.3954050925925926)</f>
        <v>0.3954050926</v>
      </c>
      <c r="K993" s="54"/>
      <c r="L993" s="7"/>
      <c r="M993" s="312"/>
      <c r="N993" s="172">
        <f>IFERROR(__xludf.DUMMYFUNCTION("""COMPUTED_VALUE"""),3.0)</f>
        <v>3</v>
      </c>
      <c r="O993" s="172"/>
      <c r="P993" s="313">
        <f>IFERROR(__xludf.DUMMYFUNCTION("""COMPUTED_VALUE"""),0.0)</f>
        <v>0</v>
      </c>
      <c r="Q993" s="76" t="b">
        <f>VLOOKUP($B993,'Run Reconcile'!B$2:O1399,14,FALSE)</f>
        <v>1</v>
      </c>
      <c r="R993" s="314" t="str">
        <f t="array" ref="R993">IF($Q993, INDEX('Run Reconcile'!A$2:A1399,MATCH(B993,'Run Reconcile'!B$2:B1399,0),1),IFERROR(0/0,""))</f>
        <v>RUN-ABRM_2023-03-08_RFR-182</v>
      </c>
      <c r="S993" s="315" t="str">
        <f t="shared" ref="S993:T993" si="1991">IF(COUNTIF(W$2:W1399, $A993) &gt; 0,TRUE,IFERROR(0/0,""))</f>
        <v/>
      </c>
      <c r="T993" s="315" t="str">
        <f t="shared" si="1991"/>
        <v/>
      </c>
      <c r="U993" s="114" t="str">
        <f t="array" ref="U993">IF(ISBLANK($R993), INDEX('Run Reconcile'!A$2:A1399, MATCH($B993, 'Run Reconcile'!B$2:B1399, 0)+Z993, 1), IFERROR(0/0,""))
</f>
        <v/>
      </c>
      <c r="V993" s="316" t="str">
        <f t="shared" si="1281"/>
        <v>RUN-ABRM_2023-03-08_RFR-182</v>
      </c>
      <c r="Y993" s="317" t="str">
        <f t="shared" si="6"/>
        <v/>
      </c>
      <c r="Z993" s="83" t="str">
        <f t="shared" si="7"/>
        <v/>
      </c>
      <c r="AA993" s="83" t="str">
        <f t="shared" si="8"/>
        <v/>
      </c>
      <c r="AB993" s="83" t="str">
        <f t="shared" si="9"/>
        <v/>
      </c>
      <c r="AC993" s="18" t="str">
        <f t="shared" ref="AC993:AD993" si="1992">IF(_xlfn.ISFORMULA(S993),IFERROR(0/0,""),TRUE)</f>
        <v/>
      </c>
      <c r="AD993" s="18" t="str">
        <f t="shared" si="1992"/>
        <v/>
      </c>
      <c r="AE993" s="43"/>
      <c r="AF993" s="58" t="s">
        <v>153</v>
      </c>
      <c r="AG993" s="55" t="str">
        <f t="shared" si="11"/>
        <v/>
      </c>
    </row>
    <row r="994">
      <c r="A994" s="7" t="str">
        <f>IFERROR(__xludf.DUMMYFUNCTION("""COMPUTED_VALUE"""),"AK9879")</f>
        <v>AK9879</v>
      </c>
      <c r="B994" s="308">
        <f>IFERROR(__xludf.DUMMYFUNCTION("""COMPUTED_VALUE"""),44993.0)</f>
        <v>44993</v>
      </c>
      <c r="C994" s="309">
        <f>IFERROR(__xludf.DUMMYFUNCTION("""COMPUTED_VALUE"""),0.29074074074074074)</f>
        <v>0.2907407407</v>
      </c>
      <c r="D994" s="7" t="str">
        <f>IFERROR(__xludf.DUMMYFUNCTION("""COMPUTED_VALUE"""),"SpABRM128250")</f>
        <v>SpABRM128250</v>
      </c>
      <c r="E994" s="310"/>
      <c r="F994" s="310"/>
      <c r="G994" s="310" t="str">
        <f>IFERROR(__xludf.DUMMYFUNCTION("""COMPUTED_VALUE"""),"Negative")</f>
        <v>Negative</v>
      </c>
      <c r="H994" s="319" t="str">
        <f>IFERROR(__xludf.DUMMYFUNCTION("""COMPUTED_VALUE"""),"Negative")</f>
        <v>Negative</v>
      </c>
      <c r="I994" s="308">
        <f>IFERROR(__xludf.DUMMYFUNCTION("""COMPUTED_VALUE"""),44993.0)</f>
        <v>44993</v>
      </c>
      <c r="J994" s="311">
        <f>IFERROR(__xludf.DUMMYFUNCTION("""COMPUTED_VALUE"""),0.3954166666666667)</f>
        <v>0.3954166667</v>
      </c>
      <c r="K994" s="54"/>
      <c r="L994" s="7"/>
      <c r="M994" s="312"/>
      <c r="N994" s="172">
        <f>IFERROR(__xludf.DUMMYFUNCTION("""COMPUTED_VALUE"""),3.0)</f>
        <v>3</v>
      </c>
      <c r="O994" s="172"/>
      <c r="P994" s="313">
        <f>IFERROR(__xludf.DUMMYFUNCTION("""COMPUTED_VALUE"""),0.0)</f>
        <v>0</v>
      </c>
      <c r="Q994" s="76" t="b">
        <f>VLOOKUP($B994,'Run Reconcile'!B$2:O1399,14,FALSE)</f>
        <v>1</v>
      </c>
      <c r="R994" s="314" t="str">
        <f t="array" ref="R994">IF($Q994, INDEX('Run Reconcile'!A$2:A1399,MATCH(B994,'Run Reconcile'!B$2:B1399,0),1),IFERROR(0/0,""))</f>
        <v>RUN-ABRM_2023-03-08_RFR-182</v>
      </c>
      <c r="S994" s="315" t="str">
        <f t="shared" ref="S994:T994" si="1993">IF(COUNTIF(W$2:W1399, $A994) &gt; 0,TRUE,IFERROR(0/0,""))</f>
        <v/>
      </c>
      <c r="T994" s="315" t="str">
        <f t="shared" si="1993"/>
        <v/>
      </c>
      <c r="U994" s="114" t="str">
        <f t="array" ref="U994">IF(ISBLANK($R994), INDEX('Run Reconcile'!A$2:A1399, MATCH($B994, 'Run Reconcile'!B$2:B1399, 0)+Z994, 1), IFERROR(0/0,""))
</f>
        <v/>
      </c>
      <c r="V994" s="316" t="str">
        <f t="shared" si="1281"/>
        <v>RUN-ABRM_2023-03-08_RFR-182</v>
      </c>
      <c r="Y994" s="317" t="str">
        <f t="shared" si="6"/>
        <v/>
      </c>
      <c r="Z994" s="83" t="str">
        <f t="shared" si="7"/>
        <v/>
      </c>
      <c r="AA994" s="83" t="str">
        <f t="shared" si="8"/>
        <v/>
      </c>
      <c r="AB994" s="83" t="str">
        <f t="shared" si="9"/>
        <v/>
      </c>
      <c r="AC994" s="18" t="str">
        <f t="shared" ref="AC994:AD994" si="1994">IF(_xlfn.ISFORMULA(S994),IFERROR(0/0,""),TRUE)</f>
        <v/>
      </c>
      <c r="AD994" s="18" t="str">
        <f t="shared" si="1994"/>
        <v/>
      </c>
      <c r="AE994" s="43"/>
      <c r="AF994" s="58" t="s">
        <v>153</v>
      </c>
      <c r="AG994" s="55" t="str">
        <f t="shared" si="11"/>
        <v/>
      </c>
    </row>
    <row r="995">
      <c r="A995" s="7" t="str">
        <f>IFERROR(__xludf.DUMMYFUNCTION("""COMPUTED_VALUE"""),"AR1080")</f>
        <v>AR1080</v>
      </c>
      <c r="B995" s="308">
        <f>IFERROR(__xludf.DUMMYFUNCTION("""COMPUTED_VALUE"""),44993.0)</f>
        <v>44993</v>
      </c>
      <c r="C995" s="309">
        <f>IFERROR(__xludf.DUMMYFUNCTION("""COMPUTED_VALUE"""),0.2955439814814815)</f>
        <v>0.2955439815</v>
      </c>
      <c r="D995" s="7" t="str">
        <f>IFERROR(__xludf.DUMMYFUNCTION("""COMPUTED_VALUE"""),"SpABRM367540")</f>
        <v>SpABRM367540</v>
      </c>
      <c r="E995" s="310"/>
      <c r="F995" s="310"/>
      <c r="G995" s="310" t="str">
        <f>IFERROR(__xludf.DUMMYFUNCTION("""COMPUTED_VALUE"""),"Negative")</f>
        <v>Negative</v>
      </c>
      <c r="H995" s="319" t="str">
        <f>IFERROR(__xludf.DUMMYFUNCTION("""COMPUTED_VALUE"""),"Negative")</f>
        <v>Negative</v>
      </c>
      <c r="I995" s="308">
        <f>IFERROR(__xludf.DUMMYFUNCTION("""COMPUTED_VALUE"""),44993.0)</f>
        <v>44993</v>
      </c>
      <c r="J995" s="311">
        <f>IFERROR(__xludf.DUMMYFUNCTION("""COMPUTED_VALUE"""),0.39542824074074073)</f>
        <v>0.3954282407</v>
      </c>
      <c r="K995" s="54"/>
      <c r="L995" s="7"/>
      <c r="M995" s="312"/>
      <c r="N995" s="172">
        <f>IFERROR(__xludf.DUMMYFUNCTION("""COMPUTED_VALUE"""),3.0)</f>
        <v>3</v>
      </c>
      <c r="O995" s="172"/>
      <c r="P995" s="313">
        <f>IFERROR(__xludf.DUMMYFUNCTION("""COMPUTED_VALUE"""),0.0)</f>
        <v>0</v>
      </c>
      <c r="Q995" s="76" t="b">
        <f>VLOOKUP($B995,'Run Reconcile'!B$2:O1399,14,FALSE)</f>
        <v>1</v>
      </c>
      <c r="R995" s="314" t="str">
        <f t="array" ref="R995">IF($Q995, INDEX('Run Reconcile'!A$2:A1399,MATCH(B995,'Run Reconcile'!B$2:B1399,0),1),IFERROR(0/0,""))</f>
        <v>RUN-ABRM_2023-03-08_RFR-182</v>
      </c>
      <c r="S995" s="315" t="str">
        <f t="shared" ref="S995:T995" si="1995">IF(COUNTIF(W$2:W1399, $A995) &gt; 0,TRUE,IFERROR(0/0,""))</f>
        <v/>
      </c>
      <c r="T995" s="315" t="str">
        <f t="shared" si="1995"/>
        <v/>
      </c>
      <c r="U995" s="114" t="str">
        <f t="array" ref="U995">IF(ISBLANK($R995), INDEX('Run Reconcile'!A$2:A1399, MATCH($B995, 'Run Reconcile'!B$2:B1399, 0)+Z995, 1), IFERROR(0/0,""))
</f>
        <v/>
      </c>
      <c r="V995" s="316" t="str">
        <f t="shared" si="1281"/>
        <v>RUN-ABRM_2023-03-08_RFR-182</v>
      </c>
      <c r="Y995" s="317" t="str">
        <f t="shared" si="6"/>
        <v/>
      </c>
      <c r="Z995" s="83" t="str">
        <f t="shared" si="7"/>
        <v/>
      </c>
      <c r="AA995" s="83" t="str">
        <f t="shared" si="8"/>
        <v/>
      </c>
      <c r="AB995" s="83" t="str">
        <f t="shared" si="9"/>
        <v/>
      </c>
      <c r="AC995" s="18" t="str">
        <f t="shared" ref="AC995:AD995" si="1996">IF(_xlfn.ISFORMULA(S995),IFERROR(0/0,""),TRUE)</f>
        <v/>
      </c>
      <c r="AD995" s="18" t="str">
        <f t="shared" si="1996"/>
        <v/>
      </c>
      <c r="AE995" s="43"/>
      <c r="AF995" s="58" t="s">
        <v>153</v>
      </c>
      <c r="AG995" s="55" t="str">
        <f t="shared" si="11"/>
        <v/>
      </c>
    </row>
    <row r="996">
      <c r="A996" s="7" t="str">
        <f>IFERROR(__xludf.DUMMYFUNCTION("""COMPUTED_VALUE"""),"AR1124")</f>
        <v>AR1124</v>
      </c>
      <c r="B996" s="308">
        <f>IFERROR(__xludf.DUMMYFUNCTION("""COMPUTED_VALUE"""),44993.0)</f>
        <v>44993</v>
      </c>
      <c r="C996" s="309">
        <f>IFERROR(__xludf.DUMMYFUNCTION("""COMPUTED_VALUE"""),0.2991666666666667)</f>
        <v>0.2991666667</v>
      </c>
      <c r="D996" s="7" t="str">
        <f>IFERROR(__xludf.DUMMYFUNCTION("""COMPUTED_VALUE"""),"SpABRM519188")</f>
        <v>SpABRM519188</v>
      </c>
      <c r="E996" s="310"/>
      <c r="F996" s="310"/>
      <c r="G996" s="310" t="str">
        <f>IFERROR(__xludf.DUMMYFUNCTION("""COMPUTED_VALUE"""),"Negative")</f>
        <v>Negative</v>
      </c>
      <c r="H996" s="319" t="str">
        <f>IFERROR(__xludf.DUMMYFUNCTION("""COMPUTED_VALUE"""),"Negative")</f>
        <v>Negative</v>
      </c>
      <c r="I996" s="308">
        <f>IFERROR(__xludf.DUMMYFUNCTION("""COMPUTED_VALUE"""),44993.0)</f>
        <v>44993</v>
      </c>
      <c r="J996" s="311">
        <f>IFERROR(__xludf.DUMMYFUNCTION("""COMPUTED_VALUE"""),0.3954398148148148)</f>
        <v>0.3954398148</v>
      </c>
      <c r="K996" s="54"/>
      <c r="L996" s="7"/>
      <c r="M996" s="312"/>
      <c r="N996" s="172">
        <f>IFERROR(__xludf.DUMMYFUNCTION("""COMPUTED_VALUE"""),1.0)</f>
        <v>1</v>
      </c>
      <c r="O996" s="172"/>
      <c r="P996" s="313">
        <f>IFERROR(__xludf.DUMMYFUNCTION("""COMPUTED_VALUE"""),0.0)</f>
        <v>0</v>
      </c>
      <c r="Q996" s="76" t="b">
        <f>VLOOKUP($B996,'Run Reconcile'!B$2:O1399,14,FALSE)</f>
        <v>1</v>
      </c>
      <c r="R996" s="314" t="str">
        <f t="array" ref="R996">IF($Q996, INDEX('Run Reconcile'!A$2:A1399,MATCH(B996,'Run Reconcile'!B$2:B1399,0),1),IFERROR(0/0,""))</f>
        <v>RUN-ABRM_2023-03-08_RFR-182</v>
      </c>
      <c r="S996" s="315" t="str">
        <f t="shared" ref="S996:T996" si="1997">IF(COUNTIF(W$2:W1399, $A996) &gt; 0,TRUE,IFERROR(0/0,""))</f>
        <v/>
      </c>
      <c r="T996" s="315" t="str">
        <f t="shared" si="1997"/>
        <v/>
      </c>
      <c r="U996" s="114" t="str">
        <f t="array" ref="U996">IF(ISBLANK($R996), INDEX('Run Reconcile'!A$2:A1399, MATCH($B996, 'Run Reconcile'!B$2:B1399, 0)+Z996, 1), IFERROR(0/0,""))
</f>
        <v/>
      </c>
      <c r="V996" s="316" t="str">
        <f t="shared" si="1281"/>
        <v>RUN-ABRM_2023-03-08_RFR-182</v>
      </c>
      <c r="Y996" s="317" t="str">
        <f t="shared" si="6"/>
        <v/>
      </c>
      <c r="Z996" s="83" t="str">
        <f t="shared" si="7"/>
        <v/>
      </c>
      <c r="AA996" s="83" t="str">
        <f t="shared" si="8"/>
        <v/>
      </c>
      <c r="AB996" s="83" t="str">
        <f t="shared" si="9"/>
        <v/>
      </c>
      <c r="AC996" s="18" t="str">
        <f t="shared" ref="AC996:AD996" si="1998">IF(_xlfn.ISFORMULA(S996),IFERROR(0/0,""),TRUE)</f>
        <v/>
      </c>
      <c r="AD996" s="18" t="str">
        <f t="shared" si="1998"/>
        <v/>
      </c>
      <c r="AE996" s="43"/>
      <c r="AF996" s="58" t="s">
        <v>153</v>
      </c>
      <c r="AG996" s="55" t="str">
        <f t="shared" si="11"/>
        <v/>
      </c>
    </row>
    <row r="997">
      <c r="A997" s="7" t="str">
        <f>IFERROR(__xludf.DUMMYFUNCTION("""COMPUTED_VALUE"""),"AR1228")</f>
        <v>AR1228</v>
      </c>
      <c r="B997" s="308">
        <f>IFERROR(__xludf.DUMMYFUNCTION("""COMPUTED_VALUE"""),44993.0)</f>
        <v>44993</v>
      </c>
      <c r="C997" s="309">
        <f>IFERROR(__xludf.DUMMYFUNCTION("""COMPUTED_VALUE"""),0.3154976851851852)</f>
        <v>0.3154976852</v>
      </c>
      <c r="D997" s="7" t="str">
        <f>IFERROR(__xludf.DUMMYFUNCTION("""COMPUTED_VALUE"""),"SpABRM655136")</f>
        <v>SpABRM655136</v>
      </c>
      <c r="E997" s="310"/>
      <c r="F997" s="310"/>
      <c r="G997" s="310" t="str">
        <f>IFERROR(__xludf.DUMMYFUNCTION("""COMPUTED_VALUE"""),"Negative")</f>
        <v>Negative</v>
      </c>
      <c r="H997" s="319" t="str">
        <f>IFERROR(__xludf.DUMMYFUNCTION("""COMPUTED_VALUE"""),"Negative")</f>
        <v>Negative</v>
      </c>
      <c r="I997" s="308">
        <f>IFERROR(__xludf.DUMMYFUNCTION("""COMPUTED_VALUE"""),44993.0)</f>
        <v>44993</v>
      </c>
      <c r="J997" s="311">
        <f>IFERROR(__xludf.DUMMYFUNCTION("""COMPUTED_VALUE"""),0.3954398148148148)</f>
        <v>0.3954398148</v>
      </c>
      <c r="K997" s="54"/>
      <c r="L997" s="7"/>
      <c r="M997" s="312"/>
      <c r="N997" s="172">
        <f>IFERROR(__xludf.DUMMYFUNCTION("""COMPUTED_VALUE"""),2.0)</f>
        <v>2</v>
      </c>
      <c r="O997" s="172"/>
      <c r="P997" s="313">
        <f>IFERROR(__xludf.DUMMYFUNCTION("""COMPUTED_VALUE"""),0.0)</f>
        <v>0</v>
      </c>
      <c r="Q997" s="76" t="b">
        <f>VLOOKUP($B997,'Run Reconcile'!B$2:O1399,14,FALSE)</f>
        <v>1</v>
      </c>
      <c r="R997" s="314" t="str">
        <f t="array" ref="R997">IF($Q997, INDEX('Run Reconcile'!A$2:A1399,MATCH(B997,'Run Reconcile'!B$2:B1399,0),1),IFERROR(0/0,""))</f>
        <v>RUN-ABRM_2023-03-08_RFR-182</v>
      </c>
      <c r="S997" s="315" t="str">
        <f t="shared" ref="S997:T997" si="1999">IF(COUNTIF(W$2:W1399, $A997) &gt; 0,TRUE,IFERROR(0/0,""))</f>
        <v/>
      </c>
      <c r="T997" s="315" t="str">
        <f t="shared" si="1999"/>
        <v/>
      </c>
      <c r="U997" s="114" t="str">
        <f t="array" ref="U997">IF(ISBLANK($R997), INDEX('Run Reconcile'!A$2:A1399, MATCH($B997, 'Run Reconcile'!B$2:B1399, 0)+Z997, 1), IFERROR(0/0,""))
</f>
        <v/>
      </c>
      <c r="V997" s="316" t="str">
        <f t="shared" si="1281"/>
        <v>RUN-ABRM_2023-03-08_RFR-182</v>
      </c>
      <c r="Y997" s="317" t="str">
        <f t="shared" si="6"/>
        <v/>
      </c>
      <c r="Z997" s="83" t="str">
        <f t="shared" si="7"/>
        <v/>
      </c>
      <c r="AA997" s="83" t="str">
        <f t="shared" si="8"/>
        <v/>
      </c>
      <c r="AB997" s="83" t="str">
        <f t="shared" si="9"/>
        <v/>
      </c>
      <c r="AC997" s="18" t="str">
        <f t="shared" ref="AC997:AD997" si="2000">IF(_xlfn.ISFORMULA(S997),IFERROR(0/0,""),TRUE)</f>
        <v/>
      </c>
      <c r="AD997" s="18" t="str">
        <f t="shared" si="2000"/>
        <v/>
      </c>
      <c r="AE997" s="43"/>
      <c r="AF997" s="58" t="s">
        <v>153</v>
      </c>
      <c r="AG997" s="55" t="str">
        <f t="shared" si="11"/>
        <v/>
      </c>
    </row>
    <row r="998">
      <c r="A998" s="7" t="str">
        <f>IFERROR(__xludf.DUMMYFUNCTION("""COMPUTED_VALUE"""),"AH556")</f>
        <v>AH556</v>
      </c>
      <c r="B998" s="308">
        <f>IFERROR(__xludf.DUMMYFUNCTION("""COMPUTED_VALUE"""),44993.0)</f>
        <v>44993</v>
      </c>
      <c r="C998" s="309">
        <f>IFERROR(__xludf.DUMMYFUNCTION("""COMPUTED_VALUE"""),0.3241087962962963)</f>
        <v>0.3241087963</v>
      </c>
      <c r="D998" s="7" t="str">
        <f>IFERROR(__xludf.DUMMYFUNCTION("""COMPUTED_VALUE"""),"SpABRM655136")</f>
        <v>SpABRM655136</v>
      </c>
      <c r="E998" s="310"/>
      <c r="F998" s="310"/>
      <c r="G998" s="310" t="str">
        <f>IFERROR(__xludf.DUMMYFUNCTION("""COMPUTED_VALUE"""),"Negative")</f>
        <v>Negative</v>
      </c>
      <c r="H998" s="319" t="str">
        <f>IFERROR(__xludf.DUMMYFUNCTION("""COMPUTED_VALUE"""),"Negative")</f>
        <v>Negative</v>
      </c>
      <c r="I998" s="308">
        <f>IFERROR(__xludf.DUMMYFUNCTION("""COMPUTED_VALUE"""),44993.0)</f>
        <v>44993</v>
      </c>
      <c r="J998" s="311">
        <f>IFERROR(__xludf.DUMMYFUNCTION("""COMPUTED_VALUE"""),0.49931712962962965)</f>
        <v>0.4993171296</v>
      </c>
      <c r="K998" s="54"/>
      <c r="L998" s="7"/>
      <c r="M998" s="312"/>
      <c r="N998" s="172">
        <f>IFERROR(__xludf.DUMMYFUNCTION("""COMPUTED_VALUE"""),2.0)</f>
        <v>2</v>
      </c>
      <c r="O998" s="172"/>
      <c r="P998" s="313">
        <f>IFERROR(__xludf.DUMMYFUNCTION("""COMPUTED_VALUE"""),0.0)</f>
        <v>0</v>
      </c>
      <c r="Q998" s="76" t="b">
        <f>VLOOKUP($B998,'Run Reconcile'!B$2:O1399,14,FALSE)</f>
        <v>1</v>
      </c>
      <c r="R998" s="314" t="str">
        <f t="array" ref="R998">IF($Q998, INDEX('Run Reconcile'!A$2:A1399,MATCH(B998,'Run Reconcile'!B$2:B1399,0),1),IFERROR(0/0,""))</f>
        <v>RUN-ABRM_2023-03-08_RFR-182</v>
      </c>
      <c r="S998" s="315" t="str">
        <f t="shared" ref="S998:T998" si="2001">IF(COUNTIF(W$2:W1399, $A998) &gt; 0,TRUE,IFERROR(0/0,""))</f>
        <v/>
      </c>
      <c r="T998" s="315" t="str">
        <f t="shared" si="2001"/>
        <v/>
      </c>
      <c r="U998" s="114" t="str">
        <f t="array" ref="U998">IF(ISBLANK($R998), INDEX('Run Reconcile'!A$2:A1399, MATCH($B998, 'Run Reconcile'!B$2:B1399, 0)+Z998, 1), IFERROR(0/0,""))
</f>
        <v/>
      </c>
      <c r="V998" s="316" t="str">
        <f t="shared" si="1281"/>
        <v>RUN-ABRM_2023-03-08_RFR-182</v>
      </c>
      <c r="Y998" s="317" t="str">
        <f t="shared" si="6"/>
        <v/>
      </c>
      <c r="Z998" s="83" t="str">
        <f t="shared" si="7"/>
        <v/>
      </c>
      <c r="AA998" s="83" t="str">
        <f t="shared" si="8"/>
        <v/>
      </c>
      <c r="AB998" s="83" t="str">
        <f t="shared" si="9"/>
        <v/>
      </c>
      <c r="AC998" s="18" t="str">
        <f t="shared" ref="AC998:AD998" si="2002">IF(_xlfn.ISFORMULA(S998),IFERROR(0/0,""),TRUE)</f>
        <v/>
      </c>
      <c r="AD998" s="18" t="str">
        <f t="shared" si="2002"/>
        <v/>
      </c>
      <c r="AE998" s="43"/>
      <c r="AF998" s="58" t="s">
        <v>153</v>
      </c>
      <c r="AG998" s="55" t="str">
        <f t="shared" si="11"/>
        <v/>
      </c>
    </row>
    <row r="999">
      <c r="A999" s="7" t="str">
        <f>IFERROR(__xludf.DUMMYFUNCTION("""COMPUTED_VALUE"""),"AR317")</f>
        <v>AR317</v>
      </c>
      <c r="B999" s="308">
        <f>IFERROR(__xludf.DUMMYFUNCTION("""COMPUTED_VALUE"""),44993.0)</f>
        <v>44993</v>
      </c>
      <c r="C999" s="309">
        <f>IFERROR(__xludf.DUMMYFUNCTION("""COMPUTED_VALUE"""),0.33480324074074075)</f>
        <v>0.3348032407</v>
      </c>
      <c r="D999" s="7" t="str">
        <f>IFERROR(__xludf.DUMMYFUNCTION("""COMPUTED_VALUE"""),"SpABRM655136")</f>
        <v>SpABRM655136</v>
      </c>
      <c r="E999" s="310"/>
      <c r="F999" s="310"/>
      <c r="G999" s="310" t="str">
        <f>IFERROR(__xludf.DUMMYFUNCTION("""COMPUTED_VALUE"""),"Negative")</f>
        <v>Negative</v>
      </c>
      <c r="H999" s="319" t="str">
        <f>IFERROR(__xludf.DUMMYFUNCTION("""COMPUTED_VALUE"""),"Negative")</f>
        <v>Negative</v>
      </c>
      <c r="I999" s="308">
        <f>IFERROR(__xludf.DUMMYFUNCTION("""COMPUTED_VALUE"""),44993.0)</f>
        <v>44993</v>
      </c>
      <c r="J999" s="311">
        <f>IFERROR(__xludf.DUMMYFUNCTION("""COMPUTED_VALUE"""),0.39545138888888887)</f>
        <v>0.3954513889</v>
      </c>
      <c r="K999" s="54"/>
      <c r="L999" s="7"/>
      <c r="M999" s="312"/>
      <c r="N999" s="172">
        <f>IFERROR(__xludf.DUMMYFUNCTION("""COMPUTED_VALUE"""),4.0)</f>
        <v>4</v>
      </c>
      <c r="O999" s="172"/>
      <c r="P999" s="313">
        <f>IFERROR(__xludf.DUMMYFUNCTION("""COMPUTED_VALUE"""),0.0)</f>
        <v>0</v>
      </c>
      <c r="Q999" s="76" t="b">
        <f>VLOOKUP($B999,'Run Reconcile'!B$2:O1399,14,FALSE)</f>
        <v>1</v>
      </c>
      <c r="R999" s="314" t="str">
        <f t="array" ref="R999">IF($Q999, INDEX('Run Reconcile'!A$2:A1399,MATCH(B999,'Run Reconcile'!B$2:B1399,0),1),IFERROR(0/0,""))</f>
        <v>RUN-ABRM_2023-03-08_RFR-182</v>
      </c>
      <c r="S999" s="315" t="str">
        <f t="shared" ref="S999:T999" si="2003">IF(COUNTIF(W$2:W1399, $A999) &gt; 0,TRUE,IFERROR(0/0,""))</f>
        <v/>
      </c>
      <c r="T999" s="315" t="str">
        <f t="shared" si="2003"/>
        <v/>
      </c>
      <c r="U999" s="114" t="str">
        <f t="array" ref="U999">IF(ISBLANK($R999), INDEX('Run Reconcile'!A$2:A1399, MATCH($B999, 'Run Reconcile'!B$2:B1399, 0)+Z999, 1), IFERROR(0/0,""))
</f>
        <v/>
      </c>
      <c r="V999" s="316" t="str">
        <f t="shared" si="1281"/>
        <v>RUN-ABRM_2023-03-08_RFR-182</v>
      </c>
      <c r="Y999" s="317" t="str">
        <f t="shared" si="6"/>
        <v/>
      </c>
      <c r="Z999" s="83" t="str">
        <f t="shared" si="7"/>
        <v/>
      </c>
      <c r="AA999" s="83" t="str">
        <f t="shared" si="8"/>
        <v/>
      </c>
      <c r="AB999" s="83" t="str">
        <f t="shared" si="9"/>
        <v/>
      </c>
      <c r="AC999" s="18" t="str">
        <f t="shared" ref="AC999:AD999" si="2004">IF(_xlfn.ISFORMULA(S999),IFERROR(0/0,""),TRUE)</f>
        <v/>
      </c>
      <c r="AD999" s="18" t="str">
        <f t="shared" si="2004"/>
        <v/>
      </c>
      <c r="AE999" s="43"/>
      <c r="AF999" s="58" t="s">
        <v>153</v>
      </c>
      <c r="AG999" s="55" t="str">
        <f t="shared" si="11"/>
        <v/>
      </c>
    </row>
    <row r="1000">
      <c r="A1000" s="7" t="str">
        <f>IFERROR(__xludf.DUMMYFUNCTION("""COMPUTED_VALUE"""),"AR733")</f>
        <v>AR733</v>
      </c>
      <c r="B1000" s="308">
        <f>IFERROR(__xludf.DUMMYFUNCTION("""COMPUTED_VALUE"""),44993.0)</f>
        <v>44993</v>
      </c>
      <c r="C1000" s="309">
        <f>IFERROR(__xludf.DUMMYFUNCTION("""COMPUTED_VALUE"""),0.33520833333333333)</f>
        <v>0.3352083333</v>
      </c>
      <c r="D1000" s="7" t="str">
        <f>IFERROR(__xludf.DUMMYFUNCTION("""COMPUTED_VALUE"""),"SpABRM655136")</f>
        <v>SpABRM655136</v>
      </c>
      <c r="E1000" s="310"/>
      <c r="F1000" s="310"/>
      <c r="G1000" s="310" t="str">
        <f>IFERROR(__xludf.DUMMYFUNCTION("""COMPUTED_VALUE"""),"Negative")</f>
        <v>Negative</v>
      </c>
      <c r="H1000" s="319" t="str">
        <f>IFERROR(__xludf.DUMMYFUNCTION("""COMPUTED_VALUE"""),"Negative")</f>
        <v>Negative</v>
      </c>
      <c r="I1000" s="308">
        <f>IFERROR(__xludf.DUMMYFUNCTION("""COMPUTED_VALUE"""),44993.0)</f>
        <v>44993</v>
      </c>
      <c r="J1000" s="311">
        <f>IFERROR(__xludf.DUMMYFUNCTION("""COMPUTED_VALUE"""),0.39546296296296296)</f>
        <v>0.395462963</v>
      </c>
      <c r="K1000" s="54"/>
      <c r="L1000" s="7"/>
      <c r="M1000" s="312"/>
      <c r="N1000" s="172">
        <f>IFERROR(__xludf.DUMMYFUNCTION("""COMPUTED_VALUE"""),3.0)</f>
        <v>3</v>
      </c>
      <c r="O1000" s="172"/>
      <c r="P1000" s="313">
        <f>IFERROR(__xludf.DUMMYFUNCTION("""COMPUTED_VALUE"""),0.0)</f>
        <v>0</v>
      </c>
      <c r="Q1000" s="76" t="b">
        <f>VLOOKUP($B1000,'Run Reconcile'!B$2:O1399,14,FALSE)</f>
        <v>1</v>
      </c>
      <c r="R1000" s="314" t="str">
        <f t="array" ref="R1000">IF($Q1000, INDEX('Run Reconcile'!A$2:A1399,MATCH(B1000,'Run Reconcile'!B$2:B1399,0),1),IFERROR(0/0,""))</f>
        <v>RUN-ABRM_2023-03-08_RFR-182</v>
      </c>
      <c r="S1000" s="315" t="str">
        <f t="shared" ref="S1000:T1000" si="2005">IF(COUNTIF(W$2:W1399, $A1000) &gt; 0,TRUE,IFERROR(0/0,""))</f>
        <v/>
      </c>
      <c r="T1000" s="315" t="str">
        <f t="shared" si="2005"/>
        <v/>
      </c>
      <c r="U1000" s="114" t="str">
        <f t="array" ref="U1000">IF(ISBLANK($R1000), INDEX('Run Reconcile'!A$2:A1399, MATCH($B1000, 'Run Reconcile'!B$2:B1399, 0)+Z1000, 1), IFERROR(0/0,""))
</f>
        <v/>
      </c>
      <c r="V1000" s="316" t="str">
        <f t="shared" si="1281"/>
        <v>RUN-ABRM_2023-03-08_RFR-182</v>
      </c>
      <c r="Y1000" s="317" t="str">
        <f t="shared" si="6"/>
        <v/>
      </c>
      <c r="Z1000" s="83" t="str">
        <f t="shared" si="7"/>
        <v/>
      </c>
      <c r="AA1000" s="83" t="str">
        <f t="shared" si="8"/>
        <v/>
      </c>
      <c r="AB1000" s="83" t="str">
        <f t="shared" si="9"/>
        <v/>
      </c>
      <c r="AC1000" s="18" t="str">
        <f t="shared" ref="AC1000:AD1000" si="2006">IF(_xlfn.ISFORMULA(S1000),IFERROR(0/0,""),TRUE)</f>
        <v/>
      </c>
      <c r="AD1000" s="18" t="str">
        <f t="shared" si="2006"/>
        <v/>
      </c>
      <c r="AE1000" s="43"/>
      <c r="AF1000" s="58" t="s">
        <v>153</v>
      </c>
      <c r="AG1000" s="55" t="str">
        <f t="shared" si="11"/>
        <v/>
      </c>
    </row>
    <row r="1001">
      <c r="A1001" s="7" t="str">
        <f>IFERROR(__xludf.DUMMYFUNCTION("""COMPUTED_VALUE"""),"AB9823")</f>
        <v>AB9823</v>
      </c>
      <c r="B1001" s="308">
        <f>IFERROR(__xludf.DUMMYFUNCTION("""COMPUTED_VALUE"""),44993.0)</f>
        <v>44993</v>
      </c>
      <c r="C1001" s="309">
        <f>IFERROR(__xludf.DUMMYFUNCTION("""COMPUTED_VALUE"""),0.33523148148148146)</f>
        <v>0.3352314815</v>
      </c>
      <c r="D1001" s="7" t="str">
        <f>IFERROR(__xludf.DUMMYFUNCTION("""COMPUTED_VALUE"""),"SpABRM814022")</f>
        <v>SpABRM814022</v>
      </c>
      <c r="E1001" s="310"/>
      <c r="F1001" s="310"/>
      <c r="G1001" s="310" t="str">
        <f>IFERROR(__xludf.DUMMYFUNCTION("""COMPUTED_VALUE"""),"Negative")</f>
        <v>Negative</v>
      </c>
      <c r="H1001" s="319" t="str">
        <f>IFERROR(__xludf.DUMMYFUNCTION("""COMPUTED_VALUE"""),"Negative")</f>
        <v>Negative</v>
      </c>
      <c r="I1001" s="308">
        <f>IFERROR(__xludf.DUMMYFUNCTION("""COMPUTED_VALUE"""),44993.0)</f>
        <v>44993</v>
      </c>
      <c r="J1001" s="311">
        <f>IFERROR(__xludf.DUMMYFUNCTION("""COMPUTED_VALUE"""),0.39547453703703705)</f>
        <v>0.395474537</v>
      </c>
      <c r="K1001" s="54"/>
      <c r="L1001" s="7"/>
      <c r="M1001" s="312"/>
      <c r="N1001" s="172">
        <f>IFERROR(__xludf.DUMMYFUNCTION("""COMPUTED_VALUE"""),1.0)</f>
        <v>1</v>
      </c>
      <c r="O1001" s="172"/>
      <c r="P1001" s="313">
        <f>IFERROR(__xludf.DUMMYFUNCTION("""COMPUTED_VALUE"""),0.0)</f>
        <v>0</v>
      </c>
      <c r="Q1001" s="76" t="b">
        <f>VLOOKUP($B1001,'Run Reconcile'!B$2:O1399,14,FALSE)</f>
        <v>1</v>
      </c>
      <c r="R1001" s="314" t="str">
        <f t="array" ref="R1001">IF($Q1001, INDEX('Run Reconcile'!A$2:A1399,MATCH(B1001,'Run Reconcile'!B$2:B1399,0),1),IFERROR(0/0,""))</f>
        <v>RUN-ABRM_2023-03-08_RFR-182</v>
      </c>
      <c r="S1001" s="315" t="str">
        <f t="shared" ref="S1001:T1001" si="2007">IF(COUNTIF(W$2:W1399, $A1001) &gt; 0,TRUE,IFERROR(0/0,""))</f>
        <v/>
      </c>
      <c r="T1001" s="315" t="str">
        <f t="shared" si="2007"/>
        <v/>
      </c>
      <c r="U1001" s="114" t="str">
        <f t="array" ref="U1001">IF(ISBLANK($R1001), INDEX('Run Reconcile'!A$2:A1399, MATCH($B1001, 'Run Reconcile'!B$2:B1399, 0)+Z1001, 1), IFERROR(0/0,""))
</f>
        <v/>
      </c>
      <c r="V1001" s="316" t="str">
        <f t="shared" si="1281"/>
        <v>RUN-ABRM_2023-03-08_RFR-182</v>
      </c>
      <c r="Y1001" s="317" t="str">
        <f t="shared" si="6"/>
        <v/>
      </c>
      <c r="Z1001" s="83" t="str">
        <f t="shared" si="7"/>
        <v/>
      </c>
      <c r="AA1001" s="83" t="str">
        <f t="shared" si="8"/>
        <v/>
      </c>
      <c r="AB1001" s="83" t="str">
        <f t="shared" si="9"/>
        <v/>
      </c>
      <c r="AC1001" s="18"/>
      <c r="AD1001" s="18"/>
      <c r="AE1001" s="43"/>
      <c r="AF1001" s="58" t="s">
        <v>153</v>
      </c>
      <c r="AG1001" s="55" t="str">
        <f t="shared" si="11"/>
        <v/>
      </c>
    </row>
    <row r="1002">
      <c r="A1002" s="7" t="str">
        <f>IFERROR(__xludf.DUMMYFUNCTION("""COMPUTED_VALUE"""),"AB9686")</f>
        <v>AB9686</v>
      </c>
      <c r="B1002" s="308">
        <f>IFERROR(__xludf.DUMMYFUNCTION("""COMPUTED_VALUE"""),44994.0)</f>
        <v>44994</v>
      </c>
      <c r="C1002" s="309">
        <f>IFERROR(__xludf.DUMMYFUNCTION("""COMPUTED_VALUE"""),0.2896296296296296)</f>
        <v>0.2896296296</v>
      </c>
      <c r="D1002" s="7" t="str">
        <f>IFERROR(__xludf.DUMMYFUNCTION("""COMPUTED_VALUE"""),"SpABRM128250")</f>
        <v>SpABRM128250</v>
      </c>
      <c r="E1002" s="310"/>
      <c r="F1002" s="310"/>
      <c r="G1002" s="310" t="str">
        <f>IFERROR(__xludf.DUMMYFUNCTION("""COMPUTED_VALUE"""),"Negative")</f>
        <v>Negative</v>
      </c>
      <c r="H1002" s="319" t="str">
        <f>IFERROR(__xludf.DUMMYFUNCTION("""COMPUTED_VALUE"""),"Negative")</f>
        <v>Negative</v>
      </c>
      <c r="I1002" s="308">
        <f>IFERROR(__xludf.DUMMYFUNCTION("""COMPUTED_VALUE"""),44995.0)</f>
        <v>44995</v>
      </c>
      <c r="J1002" s="311">
        <f>IFERROR(__xludf.DUMMYFUNCTION("""COMPUTED_VALUE"""),0.32903935185185185)</f>
        <v>0.3290393519</v>
      </c>
      <c r="K1002" s="54"/>
      <c r="L1002" s="7"/>
      <c r="M1002" s="312"/>
      <c r="N1002" s="172">
        <f>IFERROR(__xludf.DUMMYFUNCTION("""COMPUTED_VALUE"""),3.0)</f>
        <v>3</v>
      </c>
      <c r="O1002" s="172"/>
      <c r="P1002" s="313">
        <f>IFERROR(__xludf.DUMMYFUNCTION("""COMPUTED_VALUE"""),1.0)</f>
        <v>1</v>
      </c>
      <c r="Q1002" s="76" t="b">
        <f>VLOOKUP($B1002,'Run Reconcile'!B$2:O1399,14,FALSE)</f>
        <v>1</v>
      </c>
      <c r="R1002" s="314" t="str">
        <f t="array" ref="R1002">IF($Q1002, INDEX('Run Reconcile'!A$2:A1399,MATCH(B1002,'Run Reconcile'!B$2:B1399,0),1),IFERROR(0/0,""))</f>
        <v>RUN-ABRM_2023-03-09_RFR-184</v>
      </c>
      <c r="S1002" s="315" t="str">
        <f t="shared" ref="S1002:T1002" si="2008">IF(COUNTIF(W$2:W1399, $A1002) &gt; 0,TRUE,IFERROR(0/0,""))</f>
        <v/>
      </c>
      <c r="T1002" s="315" t="str">
        <f t="shared" si="2008"/>
        <v/>
      </c>
      <c r="U1002" s="114" t="str">
        <f t="array" ref="U1002">IF(ISBLANK($R1002), INDEX('Run Reconcile'!A$2:A1399, MATCH($B1002, 'Run Reconcile'!B$2:B1399, 0)+Z1002, 1), IFERROR(0/0,""))
</f>
        <v/>
      </c>
      <c r="V1002" s="316" t="str">
        <f t="shared" si="1281"/>
        <v>RUN-ABRM_2023-03-09_RFR-184</v>
      </c>
      <c r="Y1002" s="317" t="str">
        <f t="shared" si="6"/>
        <v/>
      </c>
      <c r="Z1002" s="83" t="str">
        <f t="shared" si="7"/>
        <v/>
      </c>
      <c r="AA1002" s="83" t="str">
        <f t="shared" si="8"/>
        <v/>
      </c>
      <c r="AB1002" s="83" t="str">
        <f t="shared" si="9"/>
        <v/>
      </c>
      <c r="AC1002" s="18"/>
      <c r="AD1002" s="18"/>
      <c r="AE1002" s="43"/>
      <c r="AF1002" s="58" t="s">
        <v>154</v>
      </c>
      <c r="AG1002" s="55" t="str">
        <f t="shared" si="11"/>
        <v/>
      </c>
    </row>
    <row r="1003">
      <c r="A1003" s="7" t="str">
        <f>IFERROR(__xludf.DUMMYFUNCTION("""COMPUTED_VALUE"""),"AR966")</f>
        <v>AR966</v>
      </c>
      <c r="B1003" s="308">
        <f>IFERROR(__xludf.DUMMYFUNCTION("""COMPUTED_VALUE"""),44994.0)</f>
        <v>44994</v>
      </c>
      <c r="C1003" s="309">
        <f>IFERROR(__xludf.DUMMYFUNCTION("""COMPUTED_VALUE"""),0.29516203703703703)</f>
        <v>0.295162037</v>
      </c>
      <c r="D1003" s="7" t="str">
        <f>IFERROR(__xludf.DUMMYFUNCTION("""COMPUTED_VALUE"""),"SpABRM297307")</f>
        <v>SpABRM297307</v>
      </c>
      <c r="E1003" s="310"/>
      <c r="F1003" s="310"/>
      <c r="G1003" s="310" t="str">
        <f>IFERROR(__xludf.DUMMYFUNCTION("""COMPUTED_VALUE"""),"Negative")</f>
        <v>Negative</v>
      </c>
      <c r="H1003" s="319" t="str">
        <f>IFERROR(__xludf.DUMMYFUNCTION("""COMPUTED_VALUE"""),"Negative")</f>
        <v>Negative</v>
      </c>
      <c r="I1003" s="308">
        <f>IFERROR(__xludf.DUMMYFUNCTION("""COMPUTED_VALUE"""),44995.0)</f>
        <v>44995</v>
      </c>
      <c r="J1003" s="311">
        <f>IFERROR(__xludf.DUMMYFUNCTION("""COMPUTED_VALUE"""),0.32905092592592594)</f>
        <v>0.3290509259</v>
      </c>
      <c r="K1003" s="54"/>
      <c r="L1003" s="7"/>
      <c r="M1003" s="312"/>
      <c r="N1003" s="172">
        <f>IFERROR(__xludf.DUMMYFUNCTION("""COMPUTED_VALUE"""),4.0)</f>
        <v>4</v>
      </c>
      <c r="O1003" s="172"/>
      <c r="P1003" s="313">
        <f>IFERROR(__xludf.DUMMYFUNCTION("""COMPUTED_VALUE"""),1.0)</f>
        <v>1</v>
      </c>
      <c r="Q1003" s="76" t="b">
        <f>VLOOKUP($B1003,'Run Reconcile'!B$2:O1399,14,FALSE)</f>
        <v>1</v>
      </c>
      <c r="R1003" s="314" t="str">
        <f t="array" ref="R1003">IF($Q1003, INDEX('Run Reconcile'!A$2:A1399,MATCH(B1003,'Run Reconcile'!B$2:B1399,0),1),IFERROR(0/0,""))</f>
        <v>RUN-ABRM_2023-03-09_RFR-184</v>
      </c>
      <c r="S1003" s="315" t="str">
        <f t="shared" ref="S1003:T1003" si="2009">IF(COUNTIF(W$2:W1399, $A1003) &gt; 0,TRUE,IFERROR(0/0,""))</f>
        <v/>
      </c>
      <c r="T1003" s="315" t="str">
        <f t="shared" si="2009"/>
        <v/>
      </c>
      <c r="U1003" s="114" t="str">
        <f t="array" ref="U1003">IF(ISBLANK($R1003), INDEX('Run Reconcile'!A$2:A1399, MATCH($B1003, 'Run Reconcile'!B$2:B1399, 0)+Z1003, 1), IFERROR(0/0,""))
</f>
        <v/>
      </c>
      <c r="V1003" s="316" t="str">
        <f t="shared" si="1281"/>
        <v>RUN-ABRM_2023-03-09_RFR-184</v>
      </c>
      <c r="Y1003" s="317" t="str">
        <f t="shared" si="6"/>
        <v/>
      </c>
      <c r="Z1003" s="83" t="str">
        <f t="shared" si="7"/>
        <v/>
      </c>
      <c r="AA1003" s="83" t="str">
        <f t="shared" si="8"/>
        <v/>
      </c>
      <c r="AB1003" s="83" t="str">
        <f t="shared" si="9"/>
        <v/>
      </c>
      <c r="AC1003" s="18"/>
      <c r="AD1003" s="18"/>
      <c r="AE1003" s="43"/>
      <c r="AF1003" s="58" t="s">
        <v>154</v>
      </c>
      <c r="AG1003" s="55" t="str">
        <f t="shared" si="11"/>
        <v/>
      </c>
    </row>
    <row r="1004">
      <c r="A1004" s="7" t="str">
        <f>IFERROR(__xludf.DUMMYFUNCTION("""COMPUTED_VALUE"""),"AR1010")</f>
        <v>AR1010</v>
      </c>
      <c r="B1004" s="308">
        <f>IFERROR(__xludf.DUMMYFUNCTION("""COMPUTED_VALUE"""),44994.0)</f>
        <v>44994</v>
      </c>
      <c r="C1004" s="309">
        <f>IFERROR(__xludf.DUMMYFUNCTION("""COMPUTED_VALUE"""),0.30322916666666666)</f>
        <v>0.3032291667</v>
      </c>
      <c r="D1004" s="7" t="str">
        <f>IFERROR(__xludf.DUMMYFUNCTION("""COMPUTED_VALUE"""),"SpABRM716377")</f>
        <v>SpABRM716377</v>
      </c>
      <c r="E1004" s="310"/>
      <c r="F1004" s="310"/>
      <c r="G1004" s="310" t="str">
        <f>IFERROR(__xludf.DUMMYFUNCTION("""COMPUTED_VALUE"""),"Negative")</f>
        <v>Negative</v>
      </c>
      <c r="H1004" s="319" t="str">
        <f>IFERROR(__xludf.DUMMYFUNCTION("""COMPUTED_VALUE"""),"Negative")</f>
        <v>Negative</v>
      </c>
      <c r="I1004" s="308">
        <f>IFERROR(__xludf.DUMMYFUNCTION("""COMPUTED_VALUE"""),44995.0)</f>
        <v>44995</v>
      </c>
      <c r="J1004" s="311">
        <f>IFERROR(__xludf.DUMMYFUNCTION("""COMPUTED_VALUE"""),0.3290625)</f>
        <v>0.3290625</v>
      </c>
      <c r="K1004" s="54"/>
      <c r="L1004" s="7"/>
      <c r="M1004" s="312"/>
      <c r="N1004" s="172">
        <f>IFERROR(__xludf.DUMMYFUNCTION("""COMPUTED_VALUE"""),3.0)</f>
        <v>3</v>
      </c>
      <c r="O1004" s="172"/>
      <c r="P1004" s="313">
        <f>IFERROR(__xludf.DUMMYFUNCTION("""COMPUTED_VALUE"""),1.0)</f>
        <v>1</v>
      </c>
      <c r="Q1004" s="76" t="b">
        <f>VLOOKUP($B1004,'Run Reconcile'!B$2:O1399,14,FALSE)</f>
        <v>1</v>
      </c>
      <c r="R1004" s="314" t="str">
        <f t="array" ref="R1004">IF($Q1004, INDEX('Run Reconcile'!A$2:A1399,MATCH(B1004,'Run Reconcile'!B$2:B1399,0),1),IFERROR(0/0,""))</f>
        <v>RUN-ABRM_2023-03-09_RFR-184</v>
      </c>
      <c r="S1004" s="315" t="str">
        <f t="shared" ref="S1004:T1004" si="2010">IF(COUNTIF(W$2:W1399, $A1004) &gt; 0,TRUE,IFERROR(0/0,""))</f>
        <v/>
      </c>
      <c r="T1004" s="315" t="str">
        <f t="shared" si="2010"/>
        <v/>
      </c>
      <c r="U1004" s="114" t="str">
        <f t="array" ref="U1004">IF(ISBLANK($R1004), INDEX('Run Reconcile'!A$2:A1399, MATCH($B1004, 'Run Reconcile'!B$2:B1399, 0)+Z1004, 1), IFERROR(0/0,""))
</f>
        <v/>
      </c>
      <c r="V1004" s="316" t="str">
        <f t="shared" si="1281"/>
        <v>RUN-ABRM_2023-03-09_RFR-184</v>
      </c>
      <c r="Y1004" s="317" t="str">
        <f t="shared" si="6"/>
        <v/>
      </c>
      <c r="Z1004" s="83" t="str">
        <f t="shared" si="7"/>
        <v/>
      </c>
      <c r="AA1004" s="83" t="str">
        <f t="shared" si="8"/>
        <v/>
      </c>
      <c r="AB1004" s="83" t="str">
        <f t="shared" si="9"/>
        <v/>
      </c>
      <c r="AC1004" s="18"/>
      <c r="AD1004" s="18"/>
      <c r="AE1004" s="43"/>
      <c r="AF1004" s="58" t="s">
        <v>154</v>
      </c>
      <c r="AG1004" s="55" t="str">
        <f t="shared" si="11"/>
        <v/>
      </c>
    </row>
    <row r="1005">
      <c r="A1005" s="7" t="str">
        <f>IFERROR(__xludf.DUMMYFUNCTION("""COMPUTED_VALUE"""),"AR1447")</f>
        <v>AR1447</v>
      </c>
      <c r="B1005" s="308">
        <f>IFERROR(__xludf.DUMMYFUNCTION("""COMPUTED_VALUE"""),44994.0)</f>
        <v>44994</v>
      </c>
      <c r="C1005" s="309">
        <f>IFERROR(__xludf.DUMMYFUNCTION("""COMPUTED_VALUE"""),0.32255787037037037)</f>
        <v>0.3225578704</v>
      </c>
      <c r="D1005" s="7" t="str">
        <f>IFERROR(__xludf.DUMMYFUNCTION("""COMPUTED_VALUE"""),"SpABRM519188")</f>
        <v>SpABRM519188</v>
      </c>
      <c r="E1005" s="310"/>
      <c r="F1005" s="310"/>
      <c r="G1005" s="310" t="str">
        <f>IFERROR(__xludf.DUMMYFUNCTION("""COMPUTED_VALUE"""),"Negative")</f>
        <v>Negative</v>
      </c>
      <c r="H1005" s="319" t="str">
        <f>IFERROR(__xludf.DUMMYFUNCTION("""COMPUTED_VALUE"""),"Negative")</f>
        <v>Negative</v>
      </c>
      <c r="I1005" s="308">
        <f>IFERROR(__xludf.DUMMYFUNCTION("""COMPUTED_VALUE"""),44995.0)</f>
        <v>44995</v>
      </c>
      <c r="J1005" s="311">
        <f>IFERROR(__xludf.DUMMYFUNCTION("""COMPUTED_VALUE"""),0.3290740740740741)</f>
        <v>0.3290740741</v>
      </c>
      <c r="K1005" s="54"/>
      <c r="L1005" s="7"/>
      <c r="M1005" s="312"/>
      <c r="N1005" s="172">
        <f>IFERROR(__xludf.DUMMYFUNCTION("""COMPUTED_VALUE"""),1.0)</f>
        <v>1</v>
      </c>
      <c r="O1005" s="172"/>
      <c r="P1005" s="313">
        <f>IFERROR(__xludf.DUMMYFUNCTION("""COMPUTED_VALUE"""),1.0)</f>
        <v>1</v>
      </c>
      <c r="Q1005" s="76" t="b">
        <f>VLOOKUP($B1005,'Run Reconcile'!B$2:O1399,14,FALSE)</f>
        <v>1</v>
      </c>
      <c r="R1005" s="314" t="str">
        <f t="array" ref="R1005">IF($Q1005, INDEX('Run Reconcile'!A$2:A1399,MATCH(B1005,'Run Reconcile'!B$2:B1399,0),1),IFERROR(0/0,""))</f>
        <v>RUN-ABRM_2023-03-09_RFR-184</v>
      </c>
      <c r="S1005" s="315" t="str">
        <f t="shared" ref="S1005:T1005" si="2011">IF(COUNTIF(W$2:W1399, $A1005) &gt; 0,TRUE,IFERROR(0/0,""))</f>
        <v/>
      </c>
      <c r="T1005" s="315" t="str">
        <f t="shared" si="2011"/>
        <v/>
      </c>
      <c r="U1005" s="114" t="str">
        <f t="array" ref="U1005">IF(ISBLANK($R1005), INDEX('Run Reconcile'!A$2:A1399, MATCH($B1005, 'Run Reconcile'!B$2:B1399, 0)+Z1005, 1), IFERROR(0/0,""))
</f>
        <v/>
      </c>
      <c r="V1005" s="316" t="str">
        <f t="shared" si="1281"/>
        <v>RUN-ABRM_2023-03-09_RFR-184</v>
      </c>
      <c r="Y1005" s="317" t="str">
        <f t="shared" si="6"/>
        <v/>
      </c>
      <c r="Z1005" s="83" t="str">
        <f t="shared" si="7"/>
        <v/>
      </c>
      <c r="AA1005" s="83" t="str">
        <f t="shared" si="8"/>
        <v/>
      </c>
      <c r="AB1005" s="83" t="str">
        <f t="shared" si="9"/>
        <v/>
      </c>
      <c r="AC1005" s="18"/>
      <c r="AD1005" s="18"/>
      <c r="AE1005" s="43"/>
      <c r="AF1005" s="58" t="s">
        <v>154</v>
      </c>
      <c r="AG1005" s="55" t="str">
        <f t="shared" si="11"/>
        <v/>
      </c>
    </row>
    <row r="1006">
      <c r="A1006" s="7" t="str">
        <f>IFERROR(__xludf.DUMMYFUNCTION("""COMPUTED_VALUE"""),"AR967")</f>
        <v>AR967</v>
      </c>
      <c r="B1006" s="308">
        <f>IFERROR(__xludf.DUMMYFUNCTION("""COMPUTED_VALUE"""),44994.0)</f>
        <v>44994</v>
      </c>
      <c r="C1006" s="309">
        <f>IFERROR(__xludf.DUMMYFUNCTION("""COMPUTED_VALUE"""),0.3325578703703704)</f>
        <v>0.3325578704</v>
      </c>
      <c r="D1006" s="7" t="str">
        <f>IFERROR(__xludf.DUMMYFUNCTION("""COMPUTED_VALUE"""),"SpABRM655136")</f>
        <v>SpABRM655136</v>
      </c>
      <c r="E1006" s="310"/>
      <c r="F1006" s="310"/>
      <c r="G1006" s="310" t="str">
        <f>IFERROR(__xludf.DUMMYFUNCTION("""COMPUTED_VALUE"""),"Negative")</f>
        <v>Negative</v>
      </c>
      <c r="H1006" s="319" t="str">
        <f>IFERROR(__xludf.DUMMYFUNCTION("""COMPUTED_VALUE"""),"Negative")</f>
        <v>Negative</v>
      </c>
      <c r="I1006" s="308">
        <f>IFERROR(__xludf.DUMMYFUNCTION("""COMPUTED_VALUE"""),44995.0)</f>
        <v>44995</v>
      </c>
      <c r="J1006" s="311">
        <f>IFERROR(__xludf.DUMMYFUNCTION("""COMPUTED_VALUE"""),0.3290740740740741)</f>
        <v>0.3290740741</v>
      </c>
      <c r="K1006" s="54"/>
      <c r="L1006" s="7"/>
      <c r="M1006" s="312"/>
      <c r="N1006" s="172">
        <f>IFERROR(__xludf.DUMMYFUNCTION("""COMPUTED_VALUE"""),2.0)</f>
        <v>2</v>
      </c>
      <c r="O1006" s="172"/>
      <c r="P1006" s="313">
        <f>IFERROR(__xludf.DUMMYFUNCTION("""COMPUTED_VALUE"""),1.0)</f>
        <v>1</v>
      </c>
      <c r="Q1006" s="76" t="b">
        <f>VLOOKUP($B1006,'Run Reconcile'!B$2:O1399,14,FALSE)</f>
        <v>1</v>
      </c>
      <c r="R1006" s="314" t="str">
        <f t="array" ref="R1006">IF($Q1006, INDEX('Run Reconcile'!A$2:A1399,MATCH(B1006,'Run Reconcile'!B$2:B1399,0),1),IFERROR(0/0,""))</f>
        <v>RUN-ABRM_2023-03-09_RFR-184</v>
      </c>
      <c r="S1006" s="315" t="str">
        <f t="shared" ref="S1006:T1006" si="2012">IF(COUNTIF(W$2:W1399, $A1006) &gt; 0,TRUE,IFERROR(0/0,""))</f>
        <v/>
      </c>
      <c r="T1006" s="315" t="str">
        <f t="shared" si="2012"/>
        <v/>
      </c>
      <c r="U1006" s="114" t="str">
        <f t="array" ref="U1006">IF(ISBLANK($R1006), INDEX('Run Reconcile'!A$2:A1399, MATCH($B1006, 'Run Reconcile'!B$2:B1399, 0)+Z1006, 1), IFERROR(0/0,""))
</f>
        <v/>
      </c>
      <c r="V1006" s="316" t="str">
        <f t="shared" si="1281"/>
        <v>RUN-ABRM_2023-03-09_RFR-184</v>
      </c>
      <c r="Y1006" s="317" t="str">
        <f t="shared" si="6"/>
        <v/>
      </c>
      <c r="Z1006" s="83" t="str">
        <f t="shared" si="7"/>
        <v/>
      </c>
      <c r="AA1006" s="83" t="str">
        <f t="shared" si="8"/>
        <v/>
      </c>
      <c r="AB1006" s="83" t="str">
        <f t="shared" si="9"/>
        <v/>
      </c>
      <c r="AC1006" s="18"/>
      <c r="AD1006" s="18"/>
      <c r="AE1006" s="43"/>
      <c r="AF1006" s="58" t="s">
        <v>154</v>
      </c>
      <c r="AG1006" s="55" t="str">
        <f t="shared" si="11"/>
        <v/>
      </c>
    </row>
    <row r="1007">
      <c r="A1007" s="7" t="str">
        <f>IFERROR(__xludf.DUMMYFUNCTION("""COMPUTED_VALUE"""),"AR1399")</f>
        <v>AR1399</v>
      </c>
      <c r="B1007" s="308">
        <f>IFERROR(__xludf.DUMMYFUNCTION("""COMPUTED_VALUE"""),44994.0)</f>
        <v>44994</v>
      </c>
      <c r="C1007" s="309">
        <f>IFERROR(__xludf.DUMMYFUNCTION("""COMPUTED_VALUE"""),0.3328125)</f>
        <v>0.3328125</v>
      </c>
      <c r="D1007" s="7" t="str">
        <f>IFERROR(__xludf.DUMMYFUNCTION("""COMPUTED_VALUE"""),"SpABRM655136")</f>
        <v>SpABRM655136</v>
      </c>
      <c r="E1007" s="310"/>
      <c r="F1007" s="310"/>
      <c r="G1007" s="310" t="str">
        <f>IFERROR(__xludf.DUMMYFUNCTION("""COMPUTED_VALUE"""),"Negative")</f>
        <v>Negative</v>
      </c>
      <c r="H1007" s="319" t="str">
        <f>IFERROR(__xludf.DUMMYFUNCTION("""COMPUTED_VALUE"""),"Negative")</f>
        <v>Negative</v>
      </c>
      <c r="I1007" s="308">
        <f>IFERROR(__xludf.DUMMYFUNCTION("""COMPUTED_VALUE"""),44995.0)</f>
        <v>44995</v>
      </c>
      <c r="J1007" s="311">
        <f>IFERROR(__xludf.DUMMYFUNCTION("""COMPUTED_VALUE"""),0.32908564814814817)</f>
        <v>0.3290856481</v>
      </c>
      <c r="K1007" s="54"/>
      <c r="L1007" s="7"/>
      <c r="M1007" s="312"/>
      <c r="N1007" s="172">
        <f>IFERROR(__xludf.DUMMYFUNCTION("""COMPUTED_VALUE"""),1.0)</f>
        <v>1</v>
      </c>
      <c r="O1007" s="172"/>
      <c r="P1007" s="313">
        <f>IFERROR(__xludf.DUMMYFUNCTION("""COMPUTED_VALUE"""),1.0)</f>
        <v>1</v>
      </c>
      <c r="Q1007" s="76" t="b">
        <f>VLOOKUP($B1007,'Run Reconcile'!B$2:O1399,14,FALSE)</f>
        <v>1</v>
      </c>
      <c r="R1007" s="314" t="str">
        <f t="array" ref="R1007">IF($Q1007, INDEX('Run Reconcile'!A$2:A1399,MATCH(B1007,'Run Reconcile'!B$2:B1399,0),1),IFERROR(0/0,""))</f>
        <v>RUN-ABRM_2023-03-09_RFR-184</v>
      </c>
      <c r="S1007" s="315" t="str">
        <f t="shared" ref="S1007:T1007" si="2013">IF(COUNTIF(W$2:W1399, $A1007) &gt; 0,TRUE,IFERROR(0/0,""))</f>
        <v/>
      </c>
      <c r="T1007" s="315" t="str">
        <f t="shared" si="2013"/>
        <v/>
      </c>
      <c r="U1007" s="114" t="str">
        <f t="array" ref="U1007">IF(ISBLANK($R1007), INDEX('Run Reconcile'!A$2:A1399, MATCH($B1007, 'Run Reconcile'!B$2:B1399, 0)+Z1007, 1), IFERROR(0/0,""))
</f>
        <v/>
      </c>
      <c r="V1007" s="316" t="str">
        <f t="shared" si="1281"/>
        <v>RUN-ABRM_2023-03-09_RFR-184</v>
      </c>
      <c r="Y1007" s="317" t="str">
        <f t="shared" si="6"/>
        <v/>
      </c>
      <c r="Z1007" s="83" t="str">
        <f t="shared" si="7"/>
        <v/>
      </c>
      <c r="AA1007" s="83" t="str">
        <f t="shared" si="8"/>
        <v/>
      </c>
      <c r="AB1007" s="83" t="str">
        <f t="shared" si="9"/>
        <v/>
      </c>
      <c r="AC1007" s="18"/>
      <c r="AD1007" s="18"/>
      <c r="AE1007" s="43"/>
      <c r="AF1007" s="58" t="s">
        <v>154</v>
      </c>
      <c r="AG1007" s="55" t="str">
        <f t="shared" si="11"/>
        <v/>
      </c>
    </row>
    <row r="1008">
      <c r="A1008" s="7" t="str">
        <f>IFERROR(__xludf.DUMMYFUNCTION("""COMPUTED_VALUE"""),"AR666")</f>
        <v>AR666</v>
      </c>
      <c r="B1008" s="308">
        <f>IFERROR(__xludf.DUMMYFUNCTION("""COMPUTED_VALUE"""),44994.0)</f>
        <v>44994</v>
      </c>
      <c r="C1008" s="309">
        <f>IFERROR(__xludf.DUMMYFUNCTION("""COMPUTED_VALUE"""),0.33310185185185187)</f>
        <v>0.3331018519</v>
      </c>
      <c r="D1008" s="7" t="str">
        <f>IFERROR(__xludf.DUMMYFUNCTION("""COMPUTED_VALUE"""),"SpABRM655136")</f>
        <v>SpABRM655136</v>
      </c>
      <c r="E1008" s="310"/>
      <c r="F1008" s="310"/>
      <c r="G1008" s="310" t="str">
        <f>IFERROR(__xludf.DUMMYFUNCTION("""COMPUTED_VALUE"""),"Negative")</f>
        <v>Negative</v>
      </c>
      <c r="H1008" s="319" t="str">
        <f>IFERROR(__xludf.DUMMYFUNCTION("""COMPUTED_VALUE"""),"Negative")</f>
        <v>Negative</v>
      </c>
      <c r="I1008" s="308">
        <f>IFERROR(__xludf.DUMMYFUNCTION("""COMPUTED_VALUE"""),44995.0)</f>
        <v>44995</v>
      </c>
      <c r="J1008" s="311">
        <f>IFERROR(__xludf.DUMMYFUNCTION("""COMPUTED_VALUE"""),0.3290972222222222)</f>
        <v>0.3290972222</v>
      </c>
      <c r="K1008" s="54"/>
      <c r="L1008" s="7"/>
      <c r="M1008" s="312"/>
      <c r="N1008" s="172">
        <f>IFERROR(__xludf.DUMMYFUNCTION("""COMPUTED_VALUE"""),3.0)</f>
        <v>3</v>
      </c>
      <c r="O1008" s="172"/>
      <c r="P1008" s="313">
        <f>IFERROR(__xludf.DUMMYFUNCTION("""COMPUTED_VALUE"""),1.0)</f>
        <v>1</v>
      </c>
      <c r="Q1008" s="76" t="b">
        <f>VLOOKUP($B1008,'Run Reconcile'!B$2:O1399,14,FALSE)</f>
        <v>1</v>
      </c>
      <c r="R1008" s="314" t="str">
        <f t="array" ref="R1008">IF($Q1008, INDEX('Run Reconcile'!A$2:A1399,MATCH(B1008,'Run Reconcile'!B$2:B1399,0),1),IFERROR(0/0,""))</f>
        <v>RUN-ABRM_2023-03-09_RFR-184</v>
      </c>
      <c r="S1008" s="315" t="str">
        <f t="shared" ref="S1008:T1008" si="2014">IF(COUNTIF(W$2:W1399, $A1008) &gt; 0,TRUE,IFERROR(0/0,""))</f>
        <v/>
      </c>
      <c r="T1008" s="315" t="str">
        <f t="shared" si="2014"/>
        <v/>
      </c>
      <c r="U1008" s="114" t="str">
        <f t="array" ref="U1008">IF(ISBLANK($R1008), INDEX('Run Reconcile'!A$2:A1399, MATCH($B1008, 'Run Reconcile'!B$2:B1399, 0)+Z1008, 1), IFERROR(0/0,""))
</f>
        <v/>
      </c>
      <c r="V1008" s="316" t="str">
        <f t="shared" si="1281"/>
        <v>RUN-ABRM_2023-03-09_RFR-184</v>
      </c>
      <c r="Y1008" s="317" t="str">
        <f t="shared" si="6"/>
        <v/>
      </c>
      <c r="Z1008" s="83" t="str">
        <f t="shared" si="7"/>
        <v/>
      </c>
      <c r="AA1008" s="83" t="str">
        <f t="shared" si="8"/>
        <v/>
      </c>
      <c r="AB1008" s="83" t="str">
        <f t="shared" si="9"/>
        <v/>
      </c>
      <c r="AC1008" s="18"/>
      <c r="AD1008" s="18"/>
      <c r="AE1008" s="43"/>
      <c r="AF1008" s="58" t="s">
        <v>154</v>
      </c>
      <c r="AG1008" s="55" t="str">
        <f t="shared" si="11"/>
        <v/>
      </c>
    </row>
    <row r="1009">
      <c r="A1009" s="7" t="str">
        <f>IFERROR(__xludf.DUMMYFUNCTION("""COMPUTED_VALUE"""),"AR212")</f>
        <v>AR212</v>
      </c>
      <c r="B1009" s="308">
        <f>IFERROR(__xludf.DUMMYFUNCTION("""COMPUTED_VALUE"""),44994.0)</f>
        <v>44994</v>
      </c>
      <c r="C1009" s="309">
        <f>IFERROR(__xludf.DUMMYFUNCTION("""COMPUTED_VALUE"""),0.3368171296296296)</f>
        <v>0.3368171296</v>
      </c>
      <c r="D1009" s="7" t="str">
        <f>IFERROR(__xludf.DUMMYFUNCTION("""COMPUTED_VALUE"""),"SpABRM655136")</f>
        <v>SpABRM655136</v>
      </c>
      <c r="E1009" s="310"/>
      <c r="F1009" s="310"/>
      <c r="G1009" s="310" t="str">
        <f>IFERROR(__xludf.DUMMYFUNCTION("""COMPUTED_VALUE"""),"Negative")</f>
        <v>Negative</v>
      </c>
      <c r="H1009" s="319" t="str">
        <f>IFERROR(__xludf.DUMMYFUNCTION("""COMPUTED_VALUE"""),"Negative")</f>
        <v>Negative</v>
      </c>
      <c r="I1009" s="308">
        <f>IFERROR(__xludf.DUMMYFUNCTION("""COMPUTED_VALUE"""),44995.0)</f>
        <v>44995</v>
      </c>
      <c r="J1009" s="311">
        <f>IFERROR(__xludf.DUMMYFUNCTION("""COMPUTED_VALUE"""),0.3291087962962963)</f>
        <v>0.3291087963</v>
      </c>
      <c r="K1009" s="54"/>
      <c r="L1009" s="7"/>
      <c r="M1009" s="312"/>
      <c r="N1009" s="172">
        <f>IFERROR(__xludf.DUMMYFUNCTION("""COMPUTED_VALUE"""),2.0)</f>
        <v>2</v>
      </c>
      <c r="O1009" s="172"/>
      <c r="P1009" s="313">
        <f>IFERROR(__xludf.DUMMYFUNCTION("""COMPUTED_VALUE"""),1.0)</f>
        <v>1</v>
      </c>
      <c r="Q1009" s="76" t="b">
        <f>VLOOKUP($B1009,'Run Reconcile'!B$2:O1399,14,FALSE)</f>
        <v>1</v>
      </c>
      <c r="R1009" s="314" t="str">
        <f t="array" ref="R1009">IF($Q1009, INDEX('Run Reconcile'!A$2:A1399,MATCH(B1009,'Run Reconcile'!B$2:B1399,0),1),IFERROR(0/0,""))</f>
        <v>RUN-ABRM_2023-03-09_RFR-184</v>
      </c>
      <c r="S1009" s="315" t="str">
        <f t="shared" ref="S1009:T1009" si="2015">IF(COUNTIF(W$2:W1399, $A1009) &gt; 0,TRUE,IFERROR(0/0,""))</f>
        <v/>
      </c>
      <c r="T1009" s="315" t="str">
        <f t="shared" si="2015"/>
        <v/>
      </c>
      <c r="U1009" s="114" t="str">
        <f t="array" ref="U1009">IF(ISBLANK($R1009), INDEX('Run Reconcile'!A$2:A1399, MATCH($B1009, 'Run Reconcile'!B$2:B1399, 0)+Z1009, 1), IFERROR(0/0,""))
</f>
        <v/>
      </c>
      <c r="V1009" s="316" t="str">
        <f t="shared" si="1281"/>
        <v>RUN-ABRM_2023-03-09_RFR-184</v>
      </c>
      <c r="Y1009" s="317" t="str">
        <f t="shared" si="6"/>
        <v/>
      </c>
      <c r="Z1009" s="83" t="str">
        <f t="shared" si="7"/>
        <v/>
      </c>
      <c r="AA1009" s="83" t="str">
        <f t="shared" si="8"/>
        <v/>
      </c>
      <c r="AB1009" s="83" t="str">
        <f t="shared" si="9"/>
        <v/>
      </c>
      <c r="AC1009" s="18"/>
      <c r="AD1009" s="18"/>
      <c r="AE1009" s="43"/>
      <c r="AF1009" s="58" t="s">
        <v>154</v>
      </c>
      <c r="AG1009" s="55" t="str">
        <f t="shared" si="11"/>
        <v/>
      </c>
    </row>
    <row r="1010">
      <c r="A1010" s="7" t="str">
        <f>IFERROR(__xludf.DUMMYFUNCTION("""COMPUTED_VALUE"""),"AR1233")</f>
        <v>AR1233</v>
      </c>
      <c r="B1010" s="308">
        <f>IFERROR(__xludf.DUMMYFUNCTION("""COMPUTED_VALUE"""),44995.0)</f>
        <v>44995</v>
      </c>
      <c r="C1010" s="309">
        <f>IFERROR(__xludf.DUMMYFUNCTION("""COMPUTED_VALUE"""),0.2759375)</f>
        <v>0.2759375</v>
      </c>
      <c r="D1010" s="7" t="str">
        <f>IFERROR(__xludf.DUMMYFUNCTION("""COMPUTED_VALUE"""),"SpABRM581899")</f>
        <v>SpABRM581899</v>
      </c>
      <c r="E1010" s="310"/>
      <c r="F1010" s="310"/>
      <c r="G1010" s="310" t="str">
        <f>IFERROR(__xludf.DUMMYFUNCTION("""COMPUTED_VALUE"""),"Negative")</f>
        <v>Negative</v>
      </c>
      <c r="H1010" s="319" t="str">
        <f>IFERROR(__xludf.DUMMYFUNCTION("""COMPUTED_VALUE"""),"Negative")</f>
        <v>Negative</v>
      </c>
      <c r="I1010" s="308">
        <f>IFERROR(__xludf.DUMMYFUNCTION("""COMPUTED_VALUE"""),44995.0)</f>
        <v>44995</v>
      </c>
      <c r="J1010" s="311">
        <f>IFERROR(__xludf.DUMMYFUNCTION("""COMPUTED_VALUE"""),0.4031712962962963)</f>
        <v>0.4031712963</v>
      </c>
      <c r="K1010" s="54"/>
      <c r="L1010" s="7"/>
      <c r="M1010" s="312"/>
      <c r="N1010" s="172">
        <f>IFERROR(__xludf.DUMMYFUNCTION("""COMPUTED_VALUE"""),3.0)</f>
        <v>3</v>
      </c>
      <c r="O1010" s="172"/>
      <c r="P1010" s="313">
        <f>IFERROR(__xludf.DUMMYFUNCTION("""COMPUTED_VALUE"""),0.0)</f>
        <v>0</v>
      </c>
      <c r="Q1010" s="76" t="b">
        <f>VLOOKUP($B1010,'Run Reconcile'!B$2:O1399,14,FALSE)</f>
        <v>1</v>
      </c>
      <c r="R1010" s="314" t="str">
        <f t="array" ref="R1010">IF($Q1010, INDEX('Run Reconcile'!A$2:A1399,MATCH(B1010,'Run Reconcile'!B$2:B1399,0),1),IFERROR(0/0,""))</f>
        <v>RUN-ABRM_2023-03-10_RFR-186</v>
      </c>
      <c r="S1010" s="315" t="str">
        <f t="shared" ref="S1010:T1010" si="2016">IF(COUNTIF(W$2:W1399, $A1010) &gt; 0,TRUE,IFERROR(0/0,""))</f>
        <v/>
      </c>
      <c r="T1010" s="315" t="str">
        <f t="shared" si="2016"/>
        <v/>
      </c>
      <c r="U1010" s="114" t="str">
        <f t="array" ref="U1010">IF(ISBLANK($R1010), INDEX('Run Reconcile'!A$2:A1399, MATCH($B1010, 'Run Reconcile'!B$2:B1399, 0)+Z1010, 1), IFERROR(0/0,""))
</f>
        <v/>
      </c>
      <c r="V1010" s="316" t="str">
        <f t="shared" si="1281"/>
        <v>RUN-ABRM_2023-03-10_RFR-186</v>
      </c>
      <c r="Y1010" s="317" t="str">
        <f t="shared" si="6"/>
        <v/>
      </c>
      <c r="Z1010" s="83" t="str">
        <f t="shared" si="7"/>
        <v/>
      </c>
      <c r="AA1010" s="83" t="str">
        <f t="shared" si="8"/>
        <v/>
      </c>
      <c r="AB1010" s="83" t="str">
        <f t="shared" si="9"/>
        <v/>
      </c>
      <c r="AC1010" s="18"/>
      <c r="AD1010" s="18"/>
      <c r="AE1010" s="43"/>
      <c r="AF1010" s="58" t="s">
        <v>155</v>
      </c>
      <c r="AG1010" s="55" t="str">
        <f t="shared" si="11"/>
        <v/>
      </c>
    </row>
    <row r="1011">
      <c r="A1011" s="7" t="str">
        <f>IFERROR(__xludf.DUMMYFUNCTION("""COMPUTED_VALUE"""),"AR1153")</f>
        <v>AR1153</v>
      </c>
      <c r="B1011" s="308">
        <f>IFERROR(__xludf.DUMMYFUNCTION("""COMPUTED_VALUE"""),44995.0)</f>
        <v>44995</v>
      </c>
      <c r="C1011" s="309">
        <f>IFERROR(__xludf.DUMMYFUNCTION("""COMPUTED_VALUE"""),0.29006944444444444)</f>
        <v>0.2900694444</v>
      </c>
      <c r="D1011" s="7" t="str">
        <f>IFERROR(__xludf.DUMMYFUNCTION("""COMPUTED_VALUE"""),"SpABRM128250")</f>
        <v>SpABRM128250</v>
      </c>
      <c r="E1011" s="310"/>
      <c r="F1011" s="310"/>
      <c r="G1011" s="310" t="str">
        <f>IFERROR(__xludf.DUMMYFUNCTION("""COMPUTED_VALUE"""),"Negative")</f>
        <v>Negative</v>
      </c>
      <c r="H1011" s="319" t="str">
        <f>IFERROR(__xludf.DUMMYFUNCTION("""COMPUTED_VALUE"""),"Negative")</f>
        <v>Negative</v>
      </c>
      <c r="I1011" s="308">
        <f>IFERROR(__xludf.DUMMYFUNCTION("""COMPUTED_VALUE"""),44995.0)</f>
        <v>44995</v>
      </c>
      <c r="J1011" s="311">
        <f>IFERROR(__xludf.DUMMYFUNCTION("""COMPUTED_VALUE"""),0.4031712962962963)</f>
        <v>0.4031712963</v>
      </c>
      <c r="K1011" s="54"/>
      <c r="L1011" s="7"/>
      <c r="M1011" s="312"/>
      <c r="N1011" s="172">
        <f>IFERROR(__xludf.DUMMYFUNCTION("""COMPUTED_VALUE"""),3.0)</f>
        <v>3</v>
      </c>
      <c r="O1011" s="172"/>
      <c r="P1011" s="313">
        <f>IFERROR(__xludf.DUMMYFUNCTION("""COMPUTED_VALUE"""),0.0)</f>
        <v>0</v>
      </c>
      <c r="Q1011" s="76" t="b">
        <f>VLOOKUP($B1011,'Run Reconcile'!B$2:O1399,14,FALSE)</f>
        <v>1</v>
      </c>
      <c r="R1011" s="314" t="str">
        <f t="array" ref="R1011">IF($Q1011, INDEX('Run Reconcile'!A$2:A1399,MATCH(B1011,'Run Reconcile'!B$2:B1399,0),1),IFERROR(0/0,""))</f>
        <v>RUN-ABRM_2023-03-10_RFR-186</v>
      </c>
      <c r="S1011" s="315" t="str">
        <f t="shared" ref="S1011:T1011" si="2017">IF(COUNTIF(W$2:W1399, $A1011) &gt; 0,TRUE,IFERROR(0/0,""))</f>
        <v/>
      </c>
      <c r="T1011" s="315" t="str">
        <f t="shared" si="2017"/>
        <v/>
      </c>
      <c r="U1011" s="114" t="str">
        <f t="array" ref="U1011">IF(ISBLANK($R1011), INDEX('Run Reconcile'!A$2:A1399, MATCH($B1011, 'Run Reconcile'!B$2:B1399, 0)+Z1011, 1), IFERROR(0/0,""))
</f>
        <v/>
      </c>
      <c r="V1011" s="316" t="str">
        <f t="shared" si="1281"/>
        <v>RUN-ABRM_2023-03-10_RFR-186</v>
      </c>
      <c r="Y1011" s="317" t="str">
        <f t="shared" si="6"/>
        <v/>
      </c>
      <c r="Z1011" s="83" t="str">
        <f t="shared" si="7"/>
        <v/>
      </c>
      <c r="AA1011" s="83" t="str">
        <f t="shared" si="8"/>
        <v/>
      </c>
      <c r="AB1011" s="83" t="str">
        <f t="shared" si="9"/>
        <v/>
      </c>
      <c r="AC1011" s="18"/>
      <c r="AD1011" s="18"/>
      <c r="AE1011" s="43"/>
      <c r="AF1011" s="58" t="s">
        <v>155</v>
      </c>
      <c r="AG1011" s="55" t="str">
        <f t="shared" si="11"/>
        <v/>
      </c>
    </row>
    <row r="1012">
      <c r="A1012" s="7" t="str">
        <f>IFERROR(__xludf.DUMMYFUNCTION("""COMPUTED_VALUE"""),"AR890")</f>
        <v>AR890</v>
      </c>
      <c r="B1012" s="308">
        <f>IFERROR(__xludf.DUMMYFUNCTION("""COMPUTED_VALUE"""),44995.0)</f>
        <v>44995</v>
      </c>
      <c r="C1012" s="309">
        <f>IFERROR(__xludf.DUMMYFUNCTION("""COMPUTED_VALUE"""),0.2955787037037037)</f>
        <v>0.2955787037</v>
      </c>
      <c r="D1012" s="7" t="str">
        <f>IFERROR(__xludf.DUMMYFUNCTION("""COMPUTED_VALUE"""),"SpABRM367540")</f>
        <v>SpABRM367540</v>
      </c>
      <c r="E1012" s="310"/>
      <c r="F1012" s="310"/>
      <c r="G1012" s="310" t="str">
        <f>IFERROR(__xludf.DUMMYFUNCTION("""COMPUTED_VALUE"""),"Negative")</f>
        <v>Negative</v>
      </c>
      <c r="H1012" s="319" t="str">
        <f>IFERROR(__xludf.DUMMYFUNCTION("""COMPUTED_VALUE"""),"Negative")</f>
        <v>Negative</v>
      </c>
      <c r="I1012" s="308">
        <f>IFERROR(__xludf.DUMMYFUNCTION("""COMPUTED_VALUE"""),44995.0)</f>
        <v>44995</v>
      </c>
      <c r="J1012" s="311">
        <f>IFERROR(__xludf.DUMMYFUNCTION("""COMPUTED_VALUE"""),0.4031712962962963)</f>
        <v>0.4031712963</v>
      </c>
      <c r="K1012" s="54"/>
      <c r="L1012" s="7"/>
      <c r="M1012" s="312"/>
      <c r="N1012" s="172">
        <f>IFERROR(__xludf.DUMMYFUNCTION("""COMPUTED_VALUE"""),3.0)</f>
        <v>3</v>
      </c>
      <c r="O1012" s="172"/>
      <c r="P1012" s="313">
        <f>IFERROR(__xludf.DUMMYFUNCTION("""COMPUTED_VALUE"""),0.0)</f>
        <v>0</v>
      </c>
      <c r="Q1012" s="76" t="b">
        <f>VLOOKUP($B1012,'Run Reconcile'!B$2:O1399,14,FALSE)</f>
        <v>1</v>
      </c>
      <c r="R1012" s="314" t="str">
        <f t="array" ref="R1012">IF($Q1012, INDEX('Run Reconcile'!A$2:A1399,MATCH(B1012,'Run Reconcile'!B$2:B1399,0),1),IFERROR(0/0,""))</f>
        <v>RUN-ABRM_2023-03-10_RFR-186</v>
      </c>
      <c r="S1012" s="315" t="str">
        <f t="shared" ref="S1012:T1012" si="2018">IF(COUNTIF(W$2:W1399, $A1012) &gt; 0,TRUE,IFERROR(0/0,""))</f>
        <v/>
      </c>
      <c r="T1012" s="315" t="str">
        <f t="shared" si="2018"/>
        <v/>
      </c>
      <c r="U1012" s="114" t="str">
        <f t="array" ref="U1012">IF(ISBLANK($R1012), INDEX('Run Reconcile'!A$2:A1399, MATCH($B1012, 'Run Reconcile'!B$2:B1399, 0)+Z1012, 1), IFERROR(0/0,""))
</f>
        <v/>
      </c>
      <c r="V1012" s="316" t="str">
        <f t="shared" si="1281"/>
        <v>RUN-ABRM_2023-03-10_RFR-186</v>
      </c>
      <c r="Y1012" s="317" t="str">
        <f t="shared" si="6"/>
        <v/>
      </c>
      <c r="Z1012" s="83" t="str">
        <f t="shared" si="7"/>
        <v/>
      </c>
      <c r="AA1012" s="83" t="str">
        <f t="shared" si="8"/>
        <v/>
      </c>
      <c r="AB1012" s="83" t="str">
        <f t="shared" si="9"/>
        <v/>
      </c>
      <c r="AC1012" s="18"/>
      <c r="AD1012" s="18"/>
      <c r="AE1012" s="43"/>
      <c r="AF1012" s="58" t="s">
        <v>155</v>
      </c>
      <c r="AG1012" s="55" t="str">
        <f t="shared" si="11"/>
        <v/>
      </c>
    </row>
    <row r="1013">
      <c r="A1013" s="7" t="str">
        <f>IFERROR(__xludf.DUMMYFUNCTION("""COMPUTED_VALUE"""),"AB9939")</f>
        <v>AB9939</v>
      </c>
      <c r="B1013" s="308">
        <f>IFERROR(__xludf.DUMMYFUNCTION("""COMPUTED_VALUE"""),44995.0)</f>
        <v>44995</v>
      </c>
      <c r="C1013" s="309">
        <f>IFERROR(__xludf.DUMMYFUNCTION("""COMPUTED_VALUE"""),0.30640046296296297)</f>
        <v>0.306400463</v>
      </c>
      <c r="D1013" s="7" t="str">
        <f>IFERROR(__xludf.DUMMYFUNCTION("""COMPUTED_VALUE"""),"SpABRM655136")</f>
        <v>SpABRM655136</v>
      </c>
      <c r="E1013" s="310"/>
      <c r="F1013" s="310"/>
      <c r="G1013" s="310" t="str">
        <f>IFERROR(__xludf.DUMMYFUNCTION("""COMPUTED_VALUE"""),"Negative")</f>
        <v>Negative</v>
      </c>
      <c r="H1013" s="319" t="str">
        <f>IFERROR(__xludf.DUMMYFUNCTION("""COMPUTED_VALUE"""),"Negative")</f>
        <v>Negative</v>
      </c>
      <c r="I1013" s="308">
        <f>IFERROR(__xludf.DUMMYFUNCTION("""COMPUTED_VALUE"""),44995.0)</f>
        <v>44995</v>
      </c>
      <c r="J1013" s="311">
        <f>IFERROR(__xludf.DUMMYFUNCTION("""COMPUTED_VALUE"""),0.4031712962962963)</f>
        <v>0.4031712963</v>
      </c>
      <c r="K1013" s="54"/>
      <c r="L1013" s="7"/>
      <c r="M1013" s="312"/>
      <c r="N1013" s="172">
        <f>IFERROR(__xludf.DUMMYFUNCTION("""COMPUTED_VALUE"""),2.0)</f>
        <v>2</v>
      </c>
      <c r="O1013" s="172"/>
      <c r="P1013" s="313">
        <f>IFERROR(__xludf.DUMMYFUNCTION("""COMPUTED_VALUE"""),0.0)</f>
        <v>0</v>
      </c>
      <c r="Q1013" s="76" t="b">
        <f>VLOOKUP($B1013,'Run Reconcile'!B$2:O1399,14,FALSE)</f>
        <v>1</v>
      </c>
      <c r="R1013" s="314" t="str">
        <f t="array" ref="R1013">IF($Q1013, INDEX('Run Reconcile'!A$2:A1399,MATCH(B1013,'Run Reconcile'!B$2:B1399,0),1),IFERROR(0/0,""))</f>
        <v>RUN-ABRM_2023-03-10_RFR-186</v>
      </c>
      <c r="S1013" s="315" t="str">
        <f t="shared" ref="S1013:T1013" si="2019">IF(COUNTIF(W$2:W1399, $A1013) &gt; 0,TRUE,IFERROR(0/0,""))</f>
        <v/>
      </c>
      <c r="T1013" s="315" t="str">
        <f t="shared" si="2019"/>
        <v/>
      </c>
      <c r="U1013" s="114" t="str">
        <f t="array" ref="U1013">IF(ISBLANK($R1013), INDEX('Run Reconcile'!A$2:A1399, MATCH($B1013, 'Run Reconcile'!B$2:B1399, 0)+Z1013, 1), IFERROR(0/0,""))
</f>
        <v/>
      </c>
      <c r="V1013" s="316" t="str">
        <f t="shared" si="1281"/>
        <v>RUN-ABRM_2023-03-10_RFR-186</v>
      </c>
      <c r="Y1013" s="317" t="str">
        <f t="shared" si="6"/>
        <v/>
      </c>
      <c r="Z1013" s="83" t="str">
        <f t="shared" si="7"/>
        <v/>
      </c>
      <c r="AA1013" s="83" t="str">
        <f t="shared" si="8"/>
        <v/>
      </c>
      <c r="AB1013" s="83" t="str">
        <f t="shared" si="9"/>
        <v/>
      </c>
      <c r="AC1013" s="18"/>
      <c r="AD1013" s="18"/>
      <c r="AE1013" s="43"/>
      <c r="AF1013" s="58" t="s">
        <v>155</v>
      </c>
      <c r="AG1013" s="55" t="str">
        <f t="shared" si="11"/>
        <v/>
      </c>
    </row>
    <row r="1014">
      <c r="A1014" s="7" t="str">
        <f>IFERROR(__xludf.DUMMYFUNCTION("""COMPUTED_VALUE"""),"AB9610")</f>
        <v>AB9610</v>
      </c>
      <c r="B1014" s="308">
        <f>IFERROR(__xludf.DUMMYFUNCTION("""COMPUTED_VALUE"""),44995.0)</f>
        <v>44995</v>
      </c>
      <c r="C1014" s="309">
        <f>IFERROR(__xludf.DUMMYFUNCTION("""COMPUTED_VALUE"""),0.31688657407407406)</f>
        <v>0.3168865741</v>
      </c>
      <c r="D1014" s="7" t="str">
        <f>IFERROR(__xludf.DUMMYFUNCTION("""COMPUTED_VALUE"""),"SpABRM841252")</f>
        <v>SpABRM841252</v>
      </c>
      <c r="E1014" s="310"/>
      <c r="F1014" s="310"/>
      <c r="G1014" s="310" t="str">
        <f>IFERROR(__xludf.DUMMYFUNCTION("""COMPUTED_VALUE"""),"Negative")</f>
        <v>Negative</v>
      </c>
      <c r="H1014" s="319" t="str">
        <f>IFERROR(__xludf.DUMMYFUNCTION("""COMPUTED_VALUE"""),"Negative")</f>
        <v>Negative</v>
      </c>
      <c r="I1014" s="308">
        <f>IFERROR(__xludf.DUMMYFUNCTION("""COMPUTED_VALUE"""),44995.0)</f>
        <v>44995</v>
      </c>
      <c r="J1014" s="311">
        <f>IFERROR(__xludf.DUMMYFUNCTION("""COMPUTED_VALUE"""),0.4031712962962963)</f>
        <v>0.4031712963</v>
      </c>
      <c r="K1014" s="54"/>
      <c r="L1014" s="7"/>
      <c r="M1014" s="312"/>
      <c r="N1014" s="172">
        <f>IFERROR(__xludf.DUMMYFUNCTION("""COMPUTED_VALUE"""),1.0)</f>
        <v>1</v>
      </c>
      <c r="O1014" s="172"/>
      <c r="P1014" s="313">
        <f>IFERROR(__xludf.DUMMYFUNCTION("""COMPUTED_VALUE"""),0.0)</f>
        <v>0</v>
      </c>
      <c r="Q1014" s="76" t="b">
        <f>VLOOKUP($B1014,'Run Reconcile'!B$2:O1399,14,FALSE)</f>
        <v>1</v>
      </c>
      <c r="R1014" s="314" t="str">
        <f t="array" ref="R1014">IF($Q1014, INDEX('Run Reconcile'!A$2:A1399,MATCH(B1014,'Run Reconcile'!B$2:B1399,0),1),IFERROR(0/0,""))</f>
        <v>RUN-ABRM_2023-03-10_RFR-186</v>
      </c>
      <c r="S1014" s="315" t="str">
        <f t="shared" ref="S1014:T1014" si="2020">IF(COUNTIF(W$2:W1399, $A1014) &gt; 0,TRUE,IFERROR(0/0,""))</f>
        <v/>
      </c>
      <c r="T1014" s="315" t="str">
        <f t="shared" si="2020"/>
        <v/>
      </c>
      <c r="U1014" s="114" t="str">
        <f t="array" ref="U1014">IF(ISBLANK($R1014), INDEX('Run Reconcile'!A$2:A1399, MATCH($B1014, 'Run Reconcile'!B$2:B1399, 0)+Z1014, 1), IFERROR(0/0,""))
</f>
        <v/>
      </c>
      <c r="V1014" s="316" t="str">
        <f t="shared" si="1281"/>
        <v>RUN-ABRM_2023-03-10_RFR-186</v>
      </c>
      <c r="Y1014" s="317" t="str">
        <f t="shared" si="6"/>
        <v/>
      </c>
      <c r="Z1014" s="83" t="str">
        <f t="shared" si="7"/>
        <v/>
      </c>
      <c r="AA1014" s="83" t="str">
        <f t="shared" si="8"/>
        <v/>
      </c>
      <c r="AB1014" s="83" t="str">
        <f t="shared" si="9"/>
        <v/>
      </c>
      <c r="AC1014" s="18"/>
      <c r="AD1014" s="18"/>
      <c r="AE1014" s="43"/>
      <c r="AF1014" s="58" t="s">
        <v>155</v>
      </c>
      <c r="AG1014" s="55" t="str">
        <f t="shared" si="11"/>
        <v/>
      </c>
    </row>
    <row r="1015">
      <c r="A1015" s="7" t="str">
        <f>IFERROR(__xludf.DUMMYFUNCTION("""COMPUTED_VALUE"""),"AK9750")</f>
        <v>AK9750</v>
      </c>
      <c r="B1015" s="308">
        <f>IFERROR(__xludf.DUMMYFUNCTION("""COMPUTED_VALUE"""),44995.0)</f>
        <v>44995</v>
      </c>
      <c r="C1015" s="309">
        <f>IFERROR(__xludf.DUMMYFUNCTION("""COMPUTED_VALUE"""),0.33068287037037036)</f>
        <v>0.3306828704</v>
      </c>
      <c r="D1015" s="7" t="str">
        <f>IFERROR(__xludf.DUMMYFUNCTION("""COMPUTED_VALUE"""),"SpABRM655136")</f>
        <v>SpABRM655136</v>
      </c>
      <c r="E1015" s="310"/>
      <c r="F1015" s="310"/>
      <c r="G1015" s="310" t="str">
        <f>IFERROR(__xludf.DUMMYFUNCTION("""COMPUTED_VALUE"""),"Negative")</f>
        <v>Negative</v>
      </c>
      <c r="H1015" s="319" t="str">
        <f>IFERROR(__xludf.DUMMYFUNCTION("""COMPUTED_VALUE"""),"Negative")</f>
        <v>Negative</v>
      </c>
      <c r="I1015" s="308">
        <f>IFERROR(__xludf.DUMMYFUNCTION("""COMPUTED_VALUE"""),44995.0)</f>
        <v>44995</v>
      </c>
      <c r="J1015" s="311">
        <f>IFERROR(__xludf.DUMMYFUNCTION("""COMPUTED_VALUE"""),0.40318287037037037)</f>
        <v>0.4031828704</v>
      </c>
      <c r="K1015" s="54"/>
      <c r="L1015" s="7"/>
      <c r="M1015" s="312"/>
      <c r="N1015" s="172">
        <f>IFERROR(__xludf.DUMMYFUNCTION("""COMPUTED_VALUE"""),1.0)</f>
        <v>1</v>
      </c>
      <c r="O1015" s="172"/>
      <c r="P1015" s="313">
        <f>IFERROR(__xludf.DUMMYFUNCTION("""COMPUTED_VALUE"""),0.0)</f>
        <v>0</v>
      </c>
      <c r="Q1015" s="76" t="b">
        <f>VLOOKUP($B1015,'Run Reconcile'!B$2:O1399,14,FALSE)</f>
        <v>1</v>
      </c>
      <c r="R1015" s="314" t="str">
        <f t="array" ref="R1015">IF($Q1015, INDEX('Run Reconcile'!A$2:A1399,MATCH(B1015,'Run Reconcile'!B$2:B1399,0),1),IFERROR(0/0,""))</f>
        <v>RUN-ABRM_2023-03-10_RFR-186</v>
      </c>
      <c r="S1015" s="315" t="str">
        <f t="shared" ref="S1015:T1015" si="2021">IF(COUNTIF(W$2:W1399, $A1015) &gt; 0,TRUE,IFERROR(0/0,""))</f>
        <v/>
      </c>
      <c r="T1015" s="315" t="str">
        <f t="shared" si="2021"/>
        <v/>
      </c>
      <c r="U1015" s="114" t="str">
        <f t="array" ref="U1015">IF(ISBLANK($R1015), INDEX('Run Reconcile'!A$2:A1399, MATCH($B1015, 'Run Reconcile'!B$2:B1399, 0)+Z1015, 1), IFERROR(0/0,""))
</f>
        <v/>
      </c>
      <c r="V1015" s="316" t="str">
        <f t="shared" si="1281"/>
        <v>RUN-ABRM_2023-03-10_RFR-186</v>
      </c>
      <c r="Y1015" s="317" t="str">
        <f t="shared" si="6"/>
        <v/>
      </c>
      <c r="Z1015" s="83" t="str">
        <f t="shared" si="7"/>
        <v/>
      </c>
      <c r="AA1015" s="83" t="str">
        <f t="shared" si="8"/>
        <v/>
      </c>
      <c r="AB1015" s="83" t="str">
        <f t="shared" si="9"/>
        <v/>
      </c>
      <c r="AC1015" s="18"/>
      <c r="AD1015" s="18"/>
      <c r="AE1015" s="43"/>
      <c r="AF1015" s="58" t="s">
        <v>155</v>
      </c>
      <c r="AG1015" s="55" t="str">
        <f t="shared" si="11"/>
        <v/>
      </c>
    </row>
    <row r="1016">
      <c r="A1016" s="7" t="str">
        <f>IFERROR(__xludf.DUMMYFUNCTION("""COMPUTED_VALUE"""),"AR1034")</f>
        <v>AR1034</v>
      </c>
      <c r="B1016" s="308">
        <f>IFERROR(__xludf.DUMMYFUNCTION("""COMPUTED_VALUE"""),44995.0)</f>
        <v>44995</v>
      </c>
      <c r="C1016" s="309">
        <f>IFERROR(__xludf.DUMMYFUNCTION("""COMPUTED_VALUE"""),0.3318402777777778)</f>
        <v>0.3318402778</v>
      </c>
      <c r="D1016" s="7" t="str">
        <f>IFERROR(__xludf.DUMMYFUNCTION("""COMPUTED_VALUE"""),"SpABRM655136")</f>
        <v>SpABRM655136</v>
      </c>
      <c r="E1016" s="310"/>
      <c r="F1016" s="310"/>
      <c r="G1016" s="310" t="str">
        <f>IFERROR(__xludf.DUMMYFUNCTION("""COMPUTED_VALUE"""),"Negative")</f>
        <v>Negative</v>
      </c>
      <c r="H1016" s="319" t="str">
        <f>IFERROR(__xludf.DUMMYFUNCTION("""COMPUTED_VALUE"""),"Negative")</f>
        <v>Negative</v>
      </c>
      <c r="I1016" s="308">
        <f>IFERROR(__xludf.DUMMYFUNCTION("""COMPUTED_VALUE"""),44995.0)</f>
        <v>44995</v>
      </c>
      <c r="J1016" s="311">
        <f>IFERROR(__xludf.DUMMYFUNCTION("""COMPUTED_VALUE"""),0.40318287037037037)</f>
        <v>0.4031828704</v>
      </c>
      <c r="K1016" s="54"/>
      <c r="L1016" s="7"/>
      <c r="M1016" s="312"/>
      <c r="N1016" s="172">
        <f>IFERROR(__xludf.DUMMYFUNCTION("""COMPUTED_VALUE"""),3.0)</f>
        <v>3</v>
      </c>
      <c r="O1016" s="172"/>
      <c r="P1016" s="313">
        <f>IFERROR(__xludf.DUMMYFUNCTION("""COMPUTED_VALUE"""),0.0)</f>
        <v>0</v>
      </c>
      <c r="Q1016" s="76" t="b">
        <f>VLOOKUP($B1016,'Run Reconcile'!B$2:O1399,14,FALSE)</f>
        <v>1</v>
      </c>
      <c r="R1016" s="314" t="str">
        <f t="array" ref="R1016">IF($Q1016, INDEX('Run Reconcile'!A$2:A1399,MATCH(B1016,'Run Reconcile'!B$2:B1399,0),1),IFERROR(0/0,""))</f>
        <v>RUN-ABRM_2023-03-10_RFR-186</v>
      </c>
      <c r="S1016" s="315" t="str">
        <f t="shared" ref="S1016:T1016" si="2022">IF(COUNTIF(W$2:W1399, $A1016) &gt; 0,TRUE,IFERROR(0/0,""))</f>
        <v/>
      </c>
      <c r="T1016" s="315" t="str">
        <f t="shared" si="2022"/>
        <v/>
      </c>
      <c r="U1016" s="114" t="str">
        <f t="array" ref="U1016">IF(ISBLANK($R1016), INDEX('Run Reconcile'!A$2:A1399, MATCH($B1016, 'Run Reconcile'!B$2:B1399, 0)+Z1016, 1), IFERROR(0/0,""))
</f>
        <v/>
      </c>
      <c r="V1016" s="316" t="str">
        <f t="shared" si="1281"/>
        <v>RUN-ABRM_2023-03-10_RFR-186</v>
      </c>
      <c r="Y1016" s="317" t="str">
        <f t="shared" si="6"/>
        <v/>
      </c>
      <c r="Z1016" s="83" t="str">
        <f t="shared" si="7"/>
        <v/>
      </c>
      <c r="AA1016" s="83" t="str">
        <f t="shared" si="8"/>
        <v/>
      </c>
      <c r="AB1016" s="83" t="str">
        <f t="shared" si="9"/>
        <v/>
      </c>
      <c r="AC1016" s="18"/>
      <c r="AD1016" s="18"/>
      <c r="AE1016" s="43"/>
      <c r="AF1016" s="58" t="s">
        <v>155</v>
      </c>
      <c r="AG1016" s="55" t="str">
        <f t="shared" si="11"/>
        <v/>
      </c>
    </row>
    <row r="1017">
      <c r="A1017" s="7" t="str">
        <f>IFERROR(__xludf.DUMMYFUNCTION("""COMPUTED_VALUE"""),"AK9699")</f>
        <v>AK9699</v>
      </c>
      <c r="B1017" s="308">
        <f>IFERROR(__xludf.DUMMYFUNCTION("""COMPUTED_VALUE"""),44995.0)</f>
        <v>44995</v>
      </c>
      <c r="C1017" s="309">
        <f>IFERROR(__xludf.DUMMYFUNCTION("""COMPUTED_VALUE"""),0.3497222222222222)</f>
        <v>0.3497222222</v>
      </c>
      <c r="D1017" s="7" t="str">
        <f>IFERROR(__xludf.DUMMYFUNCTION("""COMPUTED_VALUE"""),"SpABRM841252")</f>
        <v>SpABRM841252</v>
      </c>
      <c r="E1017" s="310"/>
      <c r="F1017" s="310"/>
      <c r="G1017" s="310" t="str">
        <f>IFERROR(__xludf.DUMMYFUNCTION("""COMPUTED_VALUE"""),"Negative")</f>
        <v>Negative</v>
      </c>
      <c r="H1017" s="319" t="str">
        <f>IFERROR(__xludf.DUMMYFUNCTION("""COMPUTED_VALUE"""),"Negative")</f>
        <v>Negative</v>
      </c>
      <c r="I1017" s="308">
        <f>IFERROR(__xludf.DUMMYFUNCTION("""COMPUTED_VALUE"""),44995.0)</f>
        <v>44995</v>
      </c>
      <c r="J1017" s="311">
        <f>IFERROR(__xludf.DUMMYFUNCTION("""COMPUTED_VALUE"""),0.40318287037037037)</f>
        <v>0.4031828704</v>
      </c>
      <c r="K1017" s="54"/>
      <c r="L1017" s="7"/>
      <c r="M1017" s="312"/>
      <c r="N1017" s="172">
        <f>IFERROR(__xludf.DUMMYFUNCTION("""COMPUTED_VALUE"""),1.0)</f>
        <v>1</v>
      </c>
      <c r="O1017" s="172"/>
      <c r="P1017" s="313">
        <f>IFERROR(__xludf.DUMMYFUNCTION("""COMPUTED_VALUE"""),0.0)</f>
        <v>0</v>
      </c>
      <c r="Q1017" s="76" t="b">
        <f>VLOOKUP($B1017,'Run Reconcile'!B$2:O1399,14,FALSE)</f>
        <v>1</v>
      </c>
      <c r="R1017" s="314" t="str">
        <f t="array" ref="R1017">IF($Q1017, INDEX('Run Reconcile'!A$2:A1399,MATCH(B1017,'Run Reconcile'!B$2:B1399,0),1),IFERROR(0/0,""))</f>
        <v>RUN-ABRM_2023-03-10_RFR-186</v>
      </c>
      <c r="S1017" s="315" t="str">
        <f t="shared" ref="S1017:T1017" si="2023">IF(COUNTIF(W$2:W1399, $A1017) &gt; 0,TRUE,IFERROR(0/0,""))</f>
        <v/>
      </c>
      <c r="T1017" s="315" t="str">
        <f t="shared" si="2023"/>
        <v/>
      </c>
      <c r="U1017" s="114" t="str">
        <f t="array" ref="U1017">IF(ISBLANK($R1017), INDEX('Run Reconcile'!A$2:A1399, MATCH($B1017, 'Run Reconcile'!B$2:B1399, 0)+Z1017, 1), IFERROR(0/0,""))
</f>
        <v/>
      </c>
      <c r="V1017" s="316" t="str">
        <f t="shared" si="1281"/>
        <v>RUN-ABRM_2023-03-10_RFR-186</v>
      </c>
      <c r="Y1017" s="317" t="str">
        <f t="shared" si="6"/>
        <v/>
      </c>
      <c r="Z1017" s="83" t="str">
        <f t="shared" si="7"/>
        <v/>
      </c>
      <c r="AA1017" s="83" t="str">
        <f t="shared" si="8"/>
        <v/>
      </c>
      <c r="AB1017" s="83" t="str">
        <f t="shared" si="9"/>
        <v/>
      </c>
      <c r="AC1017" s="18"/>
      <c r="AD1017" s="18"/>
      <c r="AE1017" s="43"/>
      <c r="AF1017" s="58" t="s">
        <v>155</v>
      </c>
      <c r="AG1017" s="55" t="str">
        <f t="shared" si="11"/>
        <v/>
      </c>
    </row>
    <row r="1018">
      <c r="A1018" s="7" t="str">
        <f>IFERROR(__xludf.DUMMYFUNCTION("""COMPUTED_VALUE"""),"AR801")</f>
        <v>AR801</v>
      </c>
      <c r="B1018" s="308">
        <f>IFERROR(__xludf.DUMMYFUNCTION("""COMPUTED_VALUE"""),44995.0)</f>
        <v>44995</v>
      </c>
      <c r="C1018" s="309">
        <f>IFERROR(__xludf.DUMMYFUNCTION("""COMPUTED_VALUE"""),0.3518865740740741)</f>
        <v>0.3518865741</v>
      </c>
      <c r="D1018" s="7" t="str">
        <f>IFERROR(__xludf.DUMMYFUNCTION("""COMPUTED_VALUE"""),"SpABRM841252")</f>
        <v>SpABRM841252</v>
      </c>
      <c r="E1018" s="310"/>
      <c r="F1018" s="310"/>
      <c r="G1018" s="310" t="str">
        <f>IFERROR(__xludf.DUMMYFUNCTION("""COMPUTED_VALUE"""),"Negative")</f>
        <v>Negative</v>
      </c>
      <c r="H1018" s="319" t="str">
        <f>IFERROR(__xludf.DUMMYFUNCTION("""COMPUTED_VALUE"""),"Negative")</f>
        <v>Negative</v>
      </c>
      <c r="I1018" s="308">
        <f>IFERROR(__xludf.DUMMYFUNCTION("""COMPUTED_VALUE"""),44995.0)</f>
        <v>44995</v>
      </c>
      <c r="J1018" s="311">
        <f>IFERROR(__xludf.DUMMYFUNCTION("""COMPUTED_VALUE"""),0.40318287037037037)</f>
        <v>0.4031828704</v>
      </c>
      <c r="K1018" s="54"/>
      <c r="L1018" s="7"/>
      <c r="M1018" s="312"/>
      <c r="N1018" s="172">
        <f>IFERROR(__xludf.DUMMYFUNCTION("""COMPUTED_VALUE"""),1.0)</f>
        <v>1</v>
      </c>
      <c r="O1018" s="172"/>
      <c r="P1018" s="313">
        <f>IFERROR(__xludf.DUMMYFUNCTION("""COMPUTED_VALUE"""),0.0)</f>
        <v>0</v>
      </c>
      <c r="Q1018" s="76" t="b">
        <f>VLOOKUP($B1018,'Run Reconcile'!B$2:O1399,14,FALSE)</f>
        <v>1</v>
      </c>
      <c r="R1018" s="314" t="str">
        <f t="array" ref="R1018">IF($Q1018, INDEX('Run Reconcile'!A$2:A1399,MATCH(B1018,'Run Reconcile'!B$2:B1399,0),1),IFERROR(0/0,""))</f>
        <v>RUN-ABRM_2023-03-10_RFR-186</v>
      </c>
      <c r="S1018" s="315" t="str">
        <f t="shared" ref="S1018:T1018" si="2024">IF(COUNTIF(W$2:W1399, $A1018) &gt; 0,TRUE,IFERROR(0/0,""))</f>
        <v/>
      </c>
      <c r="T1018" s="315" t="str">
        <f t="shared" si="2024"/>
        <v/>
      </c>
      <c r="U1018" s="114" t="str">
        <f t="array" ref="U1018">IF(ISBLANK($R1018), INDEX('Run Reconcile'!A$2:A1399, MATCH($B1018, 'Run Reconcile'!B$2:B1399, 0)+Z1018, 1), IFERROR(0/0,""))
</f>
        <v/>
      </c>
      <c r="V1018" s="316" t="str">
        <f t="shared" si="1281"/>
        <v>RUN-ABRM_2023-03-10_RFR-186</v>
      </c>
      <c r="Y1018" s="317" t="str">
        <f t="shared" si="6"/>
        <v/>
      </c>
      <c r="Z1018" s="83" t="str">
        <f t="shared" si="7"/>
        <v/>
      </c>
      <c r="AA1018" s="83" t="str">
        <f t="shared" si="8"/>
        <v/>
      </c>
      <c r="AB1018" s="83" t="str">
        <f t="shared" si="9"/>
        <v/>
      </c>
      <c r="AC1018" s="18"/>
      <c r="AD1018" s="18"/>
      <c r="AE1018" s="43"/>
      <c r="AF1018" s="58" t="s">
        <v>155</v>
      </c>
      <c r="AG1018" s="55" t="str">
        <f t="shared" si="11"/>
        <v/>
      </c>
    </row>
    <row r="1019">
      <c r="A1019" s="7" t="str">
        <f>IFERROR(__xludf.DUMMYFUNCTION("""COMPUTED_VALUE"""),"AR405")</f>
        <v>AR405</v>
      </c>
      <c r="B1019" s="308">
        <f>IFERROR(__xludf.DUMMYFUNCTION("""COMPUTED_VALUE"""),44995.0)</f>
        <v>44995</v>
      </c>
      <c r="C1019" s="309">
        <f>IFERROR(__xludf.DUMMYFUNCTION("""COMPUTED_VALUE"""),0.35997685185185185)</f>
        <v>0.3599768519</v>
      </c>
      <c r="D1019" s="7" t="str">
        <f>IFERROR(__xludf.DUMMYFUNCTION("""COMPUTED_VALUE"""),"SpABRM655136")</f>
        <v>SpABRM655136</v>
      </c>
      <c r="E1019" s="310"/>
      <c r="F1019" s="310"/>
      <c r="G1019" s="310" t="str">
        <f>IFERROR(__xludf.DUMMYFUNCTION("""COMPUTED_VALUE"""),"Negative")</f>
        <v>Negative</v>
      </c>
      <c r="H1019" s="319" t="str">
        <f>IFERROR(__xludf.DUMMYFUNCTION("""COMPUTED_VALUE"""),"Negative")</f>
        <v>Negative</v>
      </c>
      <c r="I1019" s="308">
        <f>IFERROR(__xludf.DUMMYFUNCTION("""COMPUTED_VALUE"""),44995.0)</f>
        <v>44995</v>
      </c>
      <c r="J1019" s="311">
        <f>IFERROR(__xludf.DUMMYFUNCTION("""COMPUTED_VALUE"""),0.40318287037037037)</f>
        <v>0.4031828704</v>
      </c>
      <c r="K1019" s="54"/>
      <c r="L1019" s="7"/>
      <c r="M1019" s="312"/>
      <c r="N1019" s="172">
        <f>IFERROR(__xludf.DUMMYFUNCTION("""COMPUTED_VALUE"""),1.0)</f>
        <v>1</v>
      </c>
      <c r="O1019" s="172"/>
      <c r="P1019" s="313">
        <f>IFERROR(__xludf.DUMMYFUNCTION("""COMPUTED_VALUE"""),0.0)</f>
        <v>0</v>
      </c>
      <c r="Q1019" s="76" t="b">
        <f>VLOOKUP($B1019,'Run Reconcile'!B$2:O1399,14,FALSE)</f>
        <v>1</v>
      </c>
      <c r="R1019" s="314" t="str">
        <f t="array" ref="R1019">IF($Q1019, INDEX('Run Reconcile'!A$2:A1399,MATCH(B1019,'Run Reconcile'!B$2:B1399,0),1),IFERROR(0/0,""))</f>
        <v>RUN-ABRM_2023-03-10_RFR-186</v>
      </c>
      <c r="S1019" s="315" t="str">
        <f t="shared" ref="S1019:T1019" si="2025">IF(COUNTIF(W$2:W1399, $A1019) &gt; 0,TRUE,IFERROR(0/0,""))</f>
        <v/>
      </c>
      <c r="T1019" s="315" t="str">
        <f t="shared" si="2025"/>
        <v/>
      </c>
      <c r="U1019" s="114" t="str">
        <f t="array" ref="U1019">IF(ISBLANK($R1019), INDEX('Run Reconcile'!A$2:A1399, MATCH($B1019, 'Run Reconcile'!B$2:B1399, 0)+Z1019, 1), IFERROR(0/0,""))
</f>
        <v/>
      </c>
      <c r="V1019" s="316" t="str">
        <f t="shared" si="1281"/>
        <v>RUN-ABRM_2023-03-10_RFR-186</v>
      </c>
      <c r="Y1019" s="317" t="str">
        <f t="shared" si="6"/>
        <v/>
      </c>
      <c r="Z1019" s="83" t="str">
        <f t="shared" si="7"/>
        <v/>
      </c>
      <c r="AA1019" s="83" t="str">
        <f t="shared" si="8"/>
        <v/>
      </c>
      <c r="AB1019" s="83" t="str">
        <f t="shared" si="9"/>
        <v/>
      </c>
      <c r="AC1019" s="18"/>
      <c r="AD1019" s="18"/>
      <c r="AE1019" s="43"/>
      <c r="AF1019" s="58" t="s">
        <v>155</v>
      </c>
      <c r="AG1019" s="55" t="str">
        <f t="shared" si="11"/>
        <v/>
      </c>
    </row>
    <row r="1020">
      <c r="A1020" s="7" t="str">
        <f>IFERROR(__xludf.DUMMYFUNCTION("""COMPUTED_VALUE"""),"AR1948")</f>
        <v>AR1948</v>
      </c>
      <c r="B1020" s="308">
        <f>IFERROR(__xludf.DUMMYFUNCTION("""COMPUTED_VALUE"""),45006.0)</f>
        <v>45006</v>
      </c>
      <c r="C1020" s="309">
        <f>IFERROR(__xludf.DUMMYFUNCTION("""COMPUTED_VALUE"""),0.21386574074074075)</f>
        <v>0.2138657407</v>
      </c>
      <c r="D1020" s="7" t="str">
        <f>IFERROR(__xludf.DUMMYFUNCTION("""COMPUTED_VALUE"""),"SpABRM454310")</f>
        <v>SpABRM454310</v>
      </c>
      <c r="E1020" s="310"/>
      <c r="F1020" s="310"/>
      <c r="G1020" s="310" t="str">
        <f>IFERROR(__xludf.DUMMYFUNCTION("""COMPUTED_VALUE"""),"Negative")</f>
        <v>Negative</v>
      </c>
      <c r="H1020" s="319" t="str">
        <f>IFERROR(__xludf.DUMMYFUNCTION("""COMPUTED_VALUE"""),"Negative")</f>
        <v>Negative</v>
      </c>
      <c r="I1020" s="308">
        <f>IFERROR(__xludf.DUMMYFUNCTION("""COMPUTED_VALUE"""),45007.0)</f>
        <v>45007</v>
      </c>
      <c r="J1020" s="311">
        <f>IFERROR(__xludf.DUMMYFUNCTION("""COMPUTED_VALUE"""),0.4223263888888889)</f>
        <v>0.4223263889</v>
      </c>
      <c r="K1020" s="54"/>
      <c r="L1020" s="7"/>
      <c r="M1020" s="312"/>
      <c r="N1020" s="172">
        <f>IFERROR(__xludf.DUMMYFUNCTION("""COMPUTED_VALUE"""),3.0)</f>
        <v>3</v>
      </c>
      <c r="O1020" s="172"/>
      <c r="P1020" s="313">
        <f>IFERROR(__xludf.DUMMYFUNCTION("""COMPUTED_VALUE"""),1.0)</f>
        <v>1</v>
      </c>
      <c r="Q1020" s="76" t="b">
        <f>VLOOKUP($B1020,'Run Reconcile'!B$2:O1399,14,FALSE)</f>
        <v>1</v>
      </c>
      <c r="R1020" s="314" t="str">
        <f t="array" ref="R1020">IF($Q1020, INDEX('Run Reconcile'!A$2:A1399,MATCH(B1020,'Run Reconcile'!B$2:B1399,0),1),IFERROR(0/0,""))</f>
        <v>RUN-ABRM_2023-03-21_RFR-187</v>
      </c>
      <c r="S1020" s="315" t="str">
        <f t="shared" ref="S1020:T1020" si="2026">IF(COUNTIF(W$2:W1399, $A1020) &gt; 0,TRUE,IFERROR(0/0,""))</f>
        <v/>
      </c>
      <c r="T1020" s="315" t="str">
        <f t="shared" si="2026"/>
        <v/>
      </c>
      <c r="U1020" s="114" t="str">
        <f t="array" ref="U1020">IF(ISBLANK($R1020), INDEX('Run Reconcile'!A$2:A1399, MATCH($B1020, 'Run Reconcile'!B$2:B1399, 0)+Z1020, 1), IFERROR(0/0,""))
</f>
        <v/>
      </c>
      <c r="V1020" s="316" t="str">
        <f t="shared" si="1281"/>
        <v>RUN-ABRM_2023-03-21_RFR-187</v>
      </c>
      <c r="Y1020" s="317" t="str">
        <f t="shared" si="6"/>
        <v/>
      </c>
      <c r="Z1020" s="83" t="str">
        <f t="shared" si="7"/>
        <v/>
      </c>
      <c r="AA1020" s="83" t="str">
        <f t="shared" si="8"/>
        <v/>
      </c>
      <c r="AB1020" s="83" t="str">
        <f t="shared" si="9"/>
        <v/>
      </c>
      <c r="AC1020" s="18"/>
      <c r="AD1020" s="18"/>
      <c r="AE1020" s="43"/>
      <c r="AF1020" s="58" t="s">
        <v>156</v>
      </c>
      <c r="AG1020" s="55" t="str">
        <f t="shared" si="11"/>
        <v/>
      </c>
    </row>
    <row r="1021">
      <c r="A1021" s="7" t="str">
        <f>IFERROR(__xludf.DUMMYFUNCTION("""COMPUTED_VALUE"""),"AR687")</f>
        <v>AR687</v>
      </c>
      <c r="B1021" s="308">
        <f>IFERROR(__xludf.DUMMYFUNCTION("""COMPUTED_VALUE"""),45006.0)</f>
        <v>45006</v>
      </c>
      <c r="C1021" s="309">
        <f>IFERROR(__xludf.DUMMYFUNCTION("""COMPUTED_VALUE"""),0.24483796296296295)</f>
        <v>0.244837963</v>
      </c>
      <c r="D1021" s="7" t="str">
        <f>IFERROR(__xludf.DUMMYFUNCTION("""COMPUTED_VALUE"""),"SpABRM297307")</f>
        <v>SpABRM297307</v>
      </c>
      <c r="E1021" s="310"/>
      <c r="F1021" s="310"/>
      <c r="G1021" s="310" t="str">
        <f>IFERROR(__xludf.DUMMYFUNCTION("""COMPUTED_VALUE"""),"Negative")</f>
        <v>Negative</v>
      </c>
      <c r="H1021" s="319" t="str">
        <f>IFERROR(__xludf.DUMMYFUNCTION("""COMPUTED_VALUE"""),"Negative")</f>
        <v>Negative</v>
      </c>
      <c r="I1021" s="308">
        <f>IFERROR(__xludf.DUMMYFUNCTION("""COMPUTED_VALUE"""),45007.0)</f>
        <v>45007</v>
      </c>
      <c r="J1021" s="311">
        <f>IFERROR(__xludf.DUMMYFUNCTION("""COMPUTED_VALUE"""),0.4223263888888889)</f>
        <v>0.4223263889</v>
      </c>
      <c r="K1021" s="54"/>
      <c r="L1021" s="7"/>
      <c r="M1021" s="312"/>
      <c r="N1021" s="172">
        <f>IFERROR(__xludf.DUMMYFUNCTION("""COMPUTED_VALUE"""),3.0)</f>
        <v>3</v>
      </c>
      <c r="O1021" s="172"/>
      <c r="P1021" s="313">
        <f>IFERROR(__xludf.DUMMYFUNCTION("""COMPUTED_VALUE"""),1.0)</f>
        <v>1</v>
      </c>
      <c r="Q1021" s="76" t="b">
        <f>VLOOKUP($B1021,'Run Reconcile'!B$2:O1399,14,FALSE)</f>
        <v>1</v>
      </c>
      <c r="R1021" s="314" t="str">
        <f t="array" ref="R1021">IF($Q1021, INDEX('Run Reconcile'!A$2:A1399,MATCH(B1021,'Run Reconcile'!B$2:B1399,0),1),IFERROR(0/0,""))</f>
        <v>RUN-ABRM_2023-03-21_RFR-187</v>
      </c>
      <c r="S1021" s="315" t="str">
        <f t="shared" ref="S1021:T1021" si="2027">IF(COUNTIF(W$2:W1399, $A1021) &gt; 0,TRUE,IFERROR(0/0,""))</f>
        <v/>
      </c>
      <c r="T1021" s="315" t="str">
        <f t="shared" si="2027"/>
        <v/>
      </c>
      <c r="U1021" s="114" t="str">
        <f t="array" ref="U1021">IF(ISBLANK($R1021), INDEX('Run Reconcile'!A$2:A1399, MATCH($B1021, 'Run Reconcile'!B$2:B1399, 0)+Z1021, 1), IFERROR(0/0,""))
</f>
        <v/>
      </c>
      <c r="V1021" s="316" t="str">
        <f t="shared" si="1281"/>
        <v>RUN-ABRM_2023-03-21_RFR-187</v>
      </c>
      <c r="Y1021" s="317" t="str">
        <f t="shared" si="6"/>
        <v/>
      </c>
      <c r="Z1021" s="83" t="str">
        <f t="shared" si="7"/>
        <v/>
      </c>
      <c r="AA1021" s="83" t="str">
        <f t="shared" si="8"/>
        <v/>
      </c>
      <c r="AB1021" s="83" t="str">
        <f t="shared" si="9"/>
        <v/>
      </c>
      <c r="AC1021" s="18"/>
      <c r="AD1021" s="18"/>
      <c r="AE1021" s="43"/>
      <c r="AF1021" s="58" t="s">
        <v>156</v>
      </c>
      <c r="AG1021" s="55" t="str">
        <f t="shared" si="11"/>
        <v/>
      </c>
    </row>
    <row r="1022">
      <c r="A1022" s="7" t="str">
        <f>IFERROR(__xludf.DUMMYFUNCTION("""COMPUTED_VALUE"""),"AR686")</f>
        <v>AR686</v>
      </c>
      <c r="B1022" s="308">
        <f>IFERROR(__xludf.DUMMYFUNCTION("""COMPUTED_VALUE"""),45006.0)</f>
        <v>45006</v>
      </c>
      <c r="C1022" s="309">
        <f>IFERROR(__xludf.DUMMYFUNCTION("""COMPUTED_VALUE"""),0.27038194444444447)</f>
        <v>0.2703819444</v>
      </c>
      <c r="D1022" s="7" t="str">
        <f>IFERROR(__xludf.DUMMYFUNCTION("""COMPUTED_VALUE"""),"SpABRM581899")</f>
        <v>SpABRM581899</v>
      </c>
      <c r="E1022" s="310"/>
      <c r="F1022" s="310"/>
      <c r="G1022" s="310" t="str">
        <f>IFERROR(__xludf.DUMMYFUNCTION("""COMPUTED_VALUE"""),"Negative")</f>
        <v>Negative</v>
      </c>
      <c r="H1022" s="319" t="str">
        <f>IFERROR(__xludf.DUMMYFUNCTION("""COMPUTED_VALUE"""),"Negative")</f>
        <v>Negative</v>
      </c>
      <c r="I1022" s="308">
        <f>IFERROR(__xludf.DUMMYFUNCTION("""COMPUTED_VALUE"""),45007.0)</f>
        <v>45007</v>
      </c>
      <c r="J1022" s="311">
        <f>IFERROR(__xludf.DUMMYFUNCTION("""COMPUTED_VALUE"""),0.4223263888888889)</f>
        <v>0.4223263889</v>
      </c>
      <c r="K1022" s="54"/>
      <c r="L1022" s="7"/>
      <c r="M1022" s="312"/>
      <c r="N1022" s="172">
        <f>IFERROR(__xludf.DUMMYFUNCTION("""COMPUTED_VALUE"""),3.0)</f>
        <v>3</v>
      </c>
      <c r="O1022" s="172"/>
      <c r="P1022" s="313">
        <f>IFERROR(__xludf.DUMMYFUNCTION("""COMPUTED_VALUE"""),1.0)</f>
        <v>1</v>
      </c>
      <c r="Q1022" s="76" t="b">
        <f>VLOOKUP($B1022,'Run Reconcile'!B$2:O1399,14,FALSE)</f>
        <v>1</v>
      </c>
      <c r="R1022" s="314" t="str">
        <f t="array" ref="R1022">IF($Q1022, INDEX('Run Reconcile'!A$2:A1399,MATCH(B1022,'Run Reconcile'!B$2:B1399,0),1),IFERROR(0/0,""))</f>
        <v>RUN-ABRM_2023-03-21_RFR-187</v>
      </c>
      <c r="S1022" s="315" t="str">
        <f t="shared" ref="S1022:T1022" si="2028">IF(COUNTIF(W$2:W1399, $A1022) &gt; 0,TRUE,IFERROR(0/0,""))</f>
        <v/>
      </c>
      <c r="T1022" s="315" t="str">
        <f t="shared" si="2028"/>
        <v/>
      </c>
      <c r="U1022" s="114" t="str">
        <f t="array" ref="U1022">IF(ISBLANK($R1022), INDEX('Run Reconcile'!A$2:A1399, MATCH($B1022, 'Run Reconcile'!B$2:B1399, 0)+Z1022, 1), IFERROR(0/0,""))
</f>
        <v/>
      </c>
      <c r="V1022" s="316" t="str">
        <f t="shared" si="1281"/>
        <v>RUN-ABRM_2023-03-21_RFR-187</v>
      </c>
      <c r="Y1022" s="317" t="str">
        <f t="shared" si="6"/>
        <v/>
      </c>
      <c r="Z1022" s="83" t="str">
        <f t="shared" si="7"/>
        <v/>
      </c>
      <c r="AA1022" s="83" t="str">
        <f t="shared" si="8"/>
        <v/>
      </c>
      <c r="AB1022" s="83" t="str">
        <f t="shared" si="9"/>
        <v/>
      </c>
      <c r="AC1022" s="18"/>
      <c r="AD1022" s="18"/>
      <c r="AE1022" s="43"/>
      <c r="AF1022" s="58" t="s">
        <v>156</v>
      </c>
      <c r="AG1022" s="55" t="str">
        <f t="shared" si="11"/>
        <v/>
      </c>
    </row>
    <row r="1023">
      <c r="A1023" s="7" t="str">
        <f>IFERROR(__xludf.DUMMYFUNCTION("""COMPUTED_VALUE"""),"AR1934")</f>
        <v>AR1934</v>
      </c>
      <c r="B1023" s="308">
        <f>IFERROR(__xludf.DUMMYFUNCTION("""COMPUTED_VALUE"""),45006.0)</f>
        <v>45006</v>
      </c>
      <c r="C1023" s="309">
        <f>IFERROR(__xludf.DUMMYFUNCTION("""COMPUTED_VALUE"""),0.2893287037037037)</f>
        <v>0.2893287037</v>
      </c>
      <c r="D1023" s="7" t="str">
        <f>IFERROR(__xludf.DUMMYFUNCTION("""COMPUTED_VALUE"""),"SpABRM519188")</f>
        <v>SpABRM519188</v>
      </c>
      <c r="E1023" s="310"/>
      <c r="F1023" s="310"/>
      <c r="G1023" s="310" t="str">
        <f>IFERROR(__xludf.DUMMYFUNCTION("""COMPUTED_VALUE"""),"Null")</f>
        <v>Null</v>
      </c>
      <c r="H1023" s="319" t="str">
        <f>IFERROR(__xludf.DUMMYFUNCTION("""COMPUTED_VALUE"""),"Negative")</f>
        <v>Negative</v>
      </c>
      <c r="I1023" s="319"/>
      <c r="J1023" s="54"/>
      <c r="K1023" s="54">
        <f>IFERROR(__xludf.DUMMYFUNCTION("""COMPUTED_VALUE"""),2.0)</f>
        <v>2</v>
      </c>
      <c r="L1023" s="7"/>
      <c r="M1023" s="312"/>
      <c r="N1023" s="172">
        <f>IFERROR(__xludf.DUMMYFUNCTION("""COMPUTED_VALUE"""),1.0)</f>
        <v>1</v>
      </c>
      <c r="O1023" s="172"/>
      <c r="P1023" s="313">
        <f>IFERROR(__xludf.DUMMYFUNCTION("""COMPUTED_VALUE"""),-1.0)</f>
        <v>-1</v>
      </c>
      <c r="Q1023" s="76" t="b">
        <f>VLOOKUP($B1023,'Run Reconcile'!B$2:O1399,14,FALSE)</f>
        <v>1</v>
      </c>
      <c r="R1023" s="314" t="str">
        <f t="array" ref="R1023">IF($Q1023, INDEX('Run Reconcile'!A$2:A1399,MATCH(B1023,'Run Reconcile'!B$2:B1399,0),1),IFERROR(0/0,""))</f>
        <v>RUN-ABRM_2023-03-21_RFR-187</v>
      </c>
      <c r="S1023" s="315" t="str">
        <f t="shared" ref="S1023:T1023" si="2029">IF(COUNTIF(W$2:W1399, $A1023) &gt; 0,TRUE,IFERROR(0/0,""))</f>
        <v/>
      </c>
      <c r="T1023" s="315" t="str">
        <f t="shared" si="2029"/>
        <v/>
      </c>
      <c r="U1023" s="114" t="str">
        <f t="array" ref="U1023">IF(ISBLANK($R1023), INDEX('Run Reconcile'!A$2:A1399, MATCH($B1023, 'Run Reconcile'!B$2:B1399, 0)+Z1023, 1), IFERROR(0/0,""))
</f>
        <v/>
      </c>
      <c r="V1023" s="316" t="str">
        <f t="shared" si="1281"/>
        <v>RUN-ABRM_2023-03-21_RFR-187</v>
      </c>
      <c r="Y1023" s="317" t="str">
        <f t="shared" si="6"/>
        <v/>
      </c>
      <c r="Z1023" s="83" t="str">
        <f t="shared" si="7"/>
        <v/>
      </c>
      <c r="AA1023" s="83" t="str">
        <f t="shared" si="8"/>
        <v/>
      </c>
      <c r="AB1023" s="83" t="str">
        <f t="shared" si="9"/>
        <v/>
      </c>
      <c r="AC1023" s="18"/>
      <c r="AD1023" s="18"/>
      <c r="AE1023" s="43"/>
      <c r="AF1023" s="58" t="s">
        <v>156</v>
      </c>
      <c r="AG1023" s="55" t="str">
        <f t="shared" si="11"/>
        <v/>
      </c>
    </row>
    <row r="1024">
      <c r="A1024" s="7" t="str">
        <f>IFERROR(__xludf.DUMMYFUNCTION("""COMPUTED_VALUE"""),"AR650")</f>
        <v>AR650</v>
      </c>
      <c r="B1024" s="308">
        <f>IFERROR(__xludf.DUMMYFUNCTION("""COMPUTED_VALUE"""),45006.0)</f>
        <v>45006</v>
      </c>
      <c r="C1024" s="309">
        <f>IFERROR(__xludf.DUMMYFUNCTION("""COMPUTED_VALUE"""),0.32633101851851853)</f>
        <v>0.3263310185</v>
      </c>
      <c r="D1024" s="7" t="str">
        <f>IFERROR(__xludf.DUMMYFUNCTION("""COMPUTED_VALUE"""),"SpABRM841252")</f>
        <v>SpABRM841252</v>
      </c>
      <c r="E1024" s="310"/>
      <c r="F1024" s="310"/>
      <c r="G1024" s="310" t="str">
        <f>IFERROR(__xludf.DUMMYFUNCTION("""COMPUTED_VALUE"""),"Negative")</f>
        <v>Negative</v>
      </c>
      <c r="H1024" s="319" t="str">
        <f>IFERROR(__xludf.DUMMYFUNCTION("""COMPUTED_VALUE"""),"Negative")</f>
        <v>Negative</v>
      </c>
      <c r="I1024" s="308">
        <f>IFERROR(__xludf.DUMMYFUNCTION("""COMPUTED_VALUE"""),45007.0)</f>
        <v>45007</v>
      </c>
      <c r="J1024" s="311">
        <f>IFERROR(__xludf.DUMMYFUNCTION("""COMPUTED_VALUE"""),0.4223263888888889)</f>
        <v>0.4223263889</v>
      </c>
      <c r="K1024" s="54"/>
      <c r="L1024" s="7"/>
      <c r="M1024" s="312"/>
      <c r="N1024" s="172">
        <f>IFERROR(__xludf.DUMMYFUNCTION("""COMPUTED_VALUE"""),2.0)</f>
        <v>2</v>
      </c>
      <c r="O1024" s="172"/>
      <c r="P1024" s="313">
        <f>IFERROR(__xludf.DUMMYFUNCTION("""COMPUTED_VALUE"""),1.0)</f>
        <v>1</v>
      </c>
      <c r="Q1024" s="76" t="b">
        <f>VLOOKUP($B1024,'Run Reconcile'!B$2:O1399,14,FALSE)</f>
        <v>1</v>
      </c>
      <c r="R1024" s="314" t="str">
        <f t="array" ref="R1024">IF($Q1024, INDEX('Run Reconcile'!A$2:A1399,MATCH(B1024,'Run Reconcile'!B$2:B1399,0),1),IFERROR(0/0,""))</f>
        <v>RUN-ABRM_2023-03-21_RFR-187</v>
      </c>
      <c r="S1024" s="315" t="str">
        <f t="shared" ref="S1024:T1024" si="2030">IF(COUNTIF(W$2:W1399, $A1024) &gt; 0,TRUE,IFERROR(0/0,""))</f>
        <v/>
      </c>
      <c r="T1024" s="315" t="str">
        <f t="shared" si="2030"/>
        <v/>
      </c>
      <c r="U1024" s="114" t="str">
        <f t="array" ref="U1024">IF(ISBLANK($R1024), INDEX('Run Reconcile'!A$2:A1399, MATCH($B1024, 'Run Reconcile'!B$2:B1399, 0)+Z1024, 1), IFERROR(0/0,""))
</f>
        <v/>
      </c>
      <c r="V1024" s="316" t="str">
        <f t="shared" si="1281"/>
        <v>RUN-ABRM_2023-03-21_RFR-187</v>
      </c>
      <c r="Y1024" s="317" t="str">
        <f t="shared" si="6"/>
        <v/>
      </c>
      <c r="Z1024" s="83" t="str">
        <f t="shared" si="7"/>
        <v/>
      </c>
      <c r="AA1024" s="83" t="str">
        <f t="shared" si="8"/>
        <v/>
      </c>
      <c r="AB1024" s="83" t="str">
        <f t="shared" si="9"/>
        <v/>
      </c>
      <c r="AC1024" s="18"/>
      <c r="AD1024" s="18"/>
      <c r="AE1024" s="43"/>
      <c r="AF1024" s="58" t="s">
        <v>156</v>
      </c>
      <c r="AG1024" s="55" t="str">
        <f t="shared" si="11"/>
        <v/>
      </c>
    </row>
    <row r="1025">
      <c r="A1025" s="7" t="str">
        <f>IFERROR(__xludf.DUMMYFUNCTION("""COMPUTED_VALUE"""),"AR869")</f>
        <v>AR869</v>
      </c>
      <c r="B1025" s="308">
        <f>IFERROR(__xludf.DUMMYFUNCTION("""COMPUTED_VALUE"""),45006.0)</f>
        <v>45006</v>
      </c>
      <c r="C1025" s="309">
        <f>IFERROR(__xludf.DUMMYFUNCTION("""COMPUTED_VALUE"""),0.32677083333333334)</f>
        <v>0.3267708333</v>
      </c>
      <c r="D1025" s="7" t="str">
        <f>IFERROR(__xludf.DUMMYFUNCTION("""COMPUTED_VALUE"""),"SpABRM841252")</f>
        <v>SpABRM841252</v>
      </c>
      <c r="E1025" s="310"/>
      <c r="F1025" s="310"/>
      <c r="G1025" s="310" t="str">
        <f>IFERROR(__xludf.DUMMYFUNCTION("""COMPUTED_VALUE"""),"Negative")</f>
        <v>Negative</v>
      </c>
      <c r="H1025" s="319" t="str">
        <f>IFERROR(__xludf.DUMMYFUNCTION("""COMPUTED_VALUE"""),"Negative")</f>
        <v>Negative</v>
      </c>
      <c r="I1025" s="308">
        <f>IFERROR(__xludf.DUMMYFUNCTION("""COMPUTED_VALUE"""),45007.0)</f>
        <v>45007</v>
      </c>
      <c r="J1025" s="311">
        <f>IFERROR(__xludf.DUMMYFUNCTION("""COMPUTED_VALUE"""),0.4223263888888889)</f>
        <v>0.4223263889</v>
      </c>
      <c r="K1025" s="54"/>
      <c r="L1025" s="7"/>
      <c r="M1025" s="312"/>
      <c r="N1025" s="172">
        <f>IFERROR(__xludf.DUMMYFUNCTION("""COMPUTED_VALUE"""),1.0)</f>
        <v>1</v>
      </c>
      <c r="O1025" s="172"/>
      <c r="P1025" s="313">
        <f>IFERROR(__xludf.DUMMYFUNCTION("""COMPUTED_VALUE"""),1.0)</f>
        <v>1</v>
      </c>
      <c r="Q1025" s="76" t="b">
        <f>VLOOKUP($B1025,'Run Reconcile'!B$2:O1399,14,FALSE)</f>
        <v>1</v>
      </c>
      <c r="R1025" s="314" t="str">
        <f t="array" ref="R1025">IF($Q1025, INDEX('Run Reconcile'!A$2:A1399,MATCH(B1025,'Run Reconcile'!B$2:B1399,0),1),IFERROR(0/0,""))</f>
        <v>RUN-ABRM_2023-03-21_RFR-187</v>
      </c>
      <c r="S1025" s="315" t="str">
        <f t="shared" ref="S1025:T1025" si="2031">IF(COUNTIF(W$2:W1399, $A1025) &gt; 0,TRUE,IFERROR(0/0,""))</f>
        <v/>
      </c>
      <c r="T1025" s="315" t="str">
        <f t="shared" si="2031"/>
        <v/>
      </c>
      <c r="U1025" s="114" t="str">
        <f t="array" ref="U1025">IF(ISBLANK($R1025), INDEX('Run Reconcile'!A$2:A1399, MATCH($B1025, 'Run Reconcile'!B$2:B1399, 0)+Z1025, 1), IFERROR(0/0,""))
</f>
        <v/>
      </c>
      <c r="V1025" s="316" t="str">
        <f t="shared" si="1281"/>
        <v>RUN-ABRM_2023-03-21_RFR-187</v>
      </c>
      <c r="Y1025" s="317" t="str">
        <f t="shared" si="6"/>
        <v/>
      </c>
      <c r="Z1025" s="83" t="str">
        <f t="shared" si="7"/>
        <v/>
      </c>
      <c r="AA1025" s="83" t="str">
        <f t="shared" si="8"/>
        <v/>
      </c>
      <c r="AB1025" s="83" t="str">
        <f t="shared" si="9"/>
        <v/>
      </c>
      <c r="AC1025" s="18"/>
      <c r="AD1025" s="18"/>
      <c r="AE1025" s="43"/>
      <c r="AF1025" s="58" t="s">
        <v>156</v>
      </c>
      <c r="AG1025" s="55" t="str">
        <f t="shared" si="11"/>
        <v/>
      </c>
    </row>
    <row r="1026">
      <c r="A1026" s="7" t="str">
        <f>IFERROR(__xludf.DUMMYFUNCTION("""COMPUTED_VALUE"""),"AK9696")</f>
        <v>AK9696</v>
      </c>
      <c r="B1026" s="308">
        <f>IFERROR(__xludf.DUMMYFUNCTION("""COMPUTED_VALUE"""),45006.0)</f>
        <v>45006</v>
      </c>
      <c r="C1026" s="309">
        <f>IFERROR(__xludf.DUMMYFUNCTION("""COMPUTED_VALUE"""),0.3281712962962963)</f>
        <v>0.3281712963</v>
      </c>
      <c r="D1026" s="7" t="str">
        <f>IFERROR(__xludf.DUMMYFUNCTION("""COMPUTED_VALUE"""),"SpABRM841252")</f>
        <v>SpABRM841252</v>
      </c>
      <c r="E1026" s="310"/>
      <c r="F1026" s="310"/>
      <c r="G1026" s="310" t="str">
        <f>IFERROR(__xludf.DUMMYFUNCTION("""COMPUTED_VALUE"""),"Negative")</f>
        <v>Negative</v>
      </c>
      <c r="H1026" s="319" t="str">
        <f>IFERROR(__xludf.DUMMYFUNCTION("""COMPUTED_VALUE"""),"Negative")</f>
        <v>Negative</v>
      </c>
      <c r="I1026" s="308">
        <f>IFERROR(__xludf.DUMMYFUNCTION("""COMPUTED_VALUE"""),45007.0)</f>
        <v>45007</v>
      </c>
      <c r="J1026" s="311">
        <f>IFERROR(__xludf.DUMMYFUNCTION("""COMPUTED_VALUE"""),0.4223263888888889)</f>
        <v>0.4223263889</v>
      </c>
      <c r="K1026" s="54"/>
      <c r="L1026" s="7"/>
      <c r="M1026" s="312"/>
      <c r="N1026" s="172">
        <f>IFERROR(__xludf.DUMMYFUNCTION("""COMPUTED_VALUE"""),3.0)</f>
        <v>3</v>
      </c>
      <c r="O1026" s="172"/>
      <c r="P1026" s="313">
        <f>IFERROR(__xludf.DUMMYFUNCTION("""COMPUTED_VALUE"""),1.0)</f>
        <v>1</v>
      </c>
      <c r="Q1026" s="76" t="b">
        <f>VLOOKUP($B1026,'Run Reconcile'!B$2:O1399,14,FALSE)</f>
        <v>1</v>
      </c>
      <c r="R1026" s="314" t="str">
        <f t="array" ref="R1026">IF($Q1026, INDEX('Run Reconcile'!A$2:A1399,MATCH(B1026,'Run Reconcile'!B$2:B1399,0),1),IFERROR(0/0,""))</f>
        <v>RUN-ABRM_2023-03-21_RFR-187</v>
      </c>
      <c r="S1026" s="315" t="str">
        <f t="shared" ref="S1026:T1026" si="2032">IF(COUNTIF(W$2:W1399, $A1026) &gt; 0,TRUE,IFERROR(0/0,""))</f>
        <v/>
      </c>
      <c r="T1026" s="315" t="str">
        <f t="shared" si="2032"/>
        <v/>
      </c>
      <c r="U1026" s="114" t="str">
        <f t="array" ref="U1026">IF(ISBLANK($R1026), INDEX('Run Reconcile'!A$2:A1399, MATCH($B1026, 'Run Reconcile'!B$2:B1399, 0)+Z1026, 1), IFERROR(0/0,""))
</f>
        <v/>
      </c>
      <c r="V1026" s="316" t="str">
        <f t="shared" si="1281"/>
        <v>RUN-ABRM_2023-03-21_RFR-187</v>
      </c>
      <c r="Y1026" s="317" t="str">
        <f t="shared" si="6"/>
        <v/>
      </c>
      <c r="Z1026" s="83" t="str">
        <f t="shared" si="7"/>
        <v/>
      </c>
      <c r="AA1026" s="83" t="str">
        <f t="shared" si="8"/>
        <v/>
      </c>
      <c r="AB1026" s="83" t="str">
        <f t="shared" si="9"/>
        <v/>
      </c>
      <c r="AC1026" s="18"/>
      <c r="AD1026" s="18"/>
      <c r="AE1026" s="43"/>
      <c r="AF1026" s="58" t="s">
        <v>156</v>
      </c>
      <c r="AG1026" s="55" t="str">
        <f t="shared" si="11"/>
        <v/>
      </c>
    </row>
    <row r="1027">
      <c r="A1027" s="7" t="str">
        <f>IFERROR(__xludf.DUMMYFUNCTION("""COMPUTED_VALUE"""),"AB9615")</f>
        <v>AB9615</v>
      </c>
      <c r="B1027" s="308">
        <f>IFERROR(__xludf.DUMMYFUNCTION("""COMPUTED_VALUE"""),45006.0)</f>
        <v>45006</v>
      </c>
      <c r="C1027" s="309">
        <f>IFERROR(__xludf.DUMMYFUNCTION("""COMPUTED_VALUE"""),0.34199074074074076)</f>
        <v>0.3419907407</v>
      </c>
      <c r="D1027" s="7" t="str">
        <f>IFERROR(__xludf.DUMMYFUNCTION("""COMPUTED_VALUE"""),"SpABRM841252")</f>
        <v>SpABRM841252</v>
      </c>
      <c r="E1027" s="310"/>
      <c r="F1027" s="310"/>
      <c r="G1027" s="310" t="str">
        <f>IFERROR(__xludf.DUMMYFUNCTION("""COMPUTED_VALUE"""),"Negative")</f>
        <v>Negative</v>
      </c>
      <c r="H1027" s="319" t="str">
        <f>IFERROR(__xludf.DUMMYFUNCTION("""COMPUTED_VALUE"""),"Negative")</f>
        <v>Negative</v>
      </c>
      <c r="I1027" s="308">
        <f>IFERROR(__xludf.DUMMYFUNCTION("""COMPUTED_VALUE"""),45007.0)</f>
        <v>45007</v>
      </c>
      <c r="J1027" s="311">
        <f>IFERROR(__xludf.DUMMYFUNCTION("""COMPUTED_VALUE"""),0.4223263888888889)</f>
        <v>0.4223263889</v>
      </c>
      <c r="K1027" s="54"/>
      <c r="L1027" s="7"/>
      <c r="M1027" s="312"/>
      <c r="N1027" s="172">
        <f>IFERROR(__xludf.DUMMYFUNCTION("""COMPUTED_VALUE"""),3.0)</f>
        <v>3</v>
      </c>
      <c r="O1027" s="172"/>
      <c r="P1027" s="313">
        <f>IFERROR(__xludf.DUMMYFUNCTION("""COMPUTED_VALUE"""),1.0)</f>
        <v>1</v>
      </c>
      <c r="Q1027" s="76" t="b">
        <f>VLOOKUP($B1027,'Run Reconcile'!B$2:O1399,14,FALSE)</f>
        <v>1</v>
      </c>
      <c r="R1027" s="314" t="str">
        <f t="array" ref="R1027">IF($Q1027, INDEX('Run Reconcile'!A$2:A1399,MATCH(B1027,'Run Reconcile'!B$2:B1399,0),1),IFERROR(0/0,""))</f>
        <v>RUN-ABRM_2023-03-21_RFR-187</v>
      </c>
      <c r="S1027" s="315" t="str">
        <f t="shared" ref="S1027:T1027" si="2033">IF(COUNTIF(W$2:W1399, $A1027) &gt; 0,TRUE,IFERROR(0/0,""))</f>
        <v/>
      </c>
      <c r="T1027" s="315" t="str">
        <f t="shared" si="2033"/>
        <v/>
      </c>
      <c r="U1027" s="114" t="str">
        <f t="array" ref="U1027">IF(ISBLANK($R1027), INDEX('Run Reconcile'!A$2:A1399, MATCH($B1027, 'Run Reconcile'!B$2:B1399, 0)+Z1027, 1), IFERROR(0/0,""))
</f>
        <v/>
      </c>
      <c r="V1027" s="316" t="str">
        <f t="shared" si="1281"/>
        <v>RUN-ABRM_2023-03-21_RFR-187</v>
      </c>
      <c r="Y1027" s="317" t="str">
        <f t="shared" si="6"/>
        <v/>
      </c>
      <c r="Z1027" s="83" t="str">
        <f t="shared" si="7"/>
        <v/>
      </c>
      <c r="AA1027" s="83" t="str">
        <f t="shared" si="8"/>
        <v/>
      </c>
      <c r="AB1027" s="83" t="str">
        <f t="shared" si="9"/>
        <v/>
      </c>
      <c r="AC1027" s="18"/>
      <c r="AD1027" s="18"/>
      <c r="AE1027" s="43"/>
      <c r="AF1027" s="58" t="s">
        <v>156</v>
      </c>
      <c r="AG1027" s="55" t="str">
        <f t="shared" si="11"/>
        <v/>
      </c>
    </row>
    <row r="1028">
      <c r="A1028" s="7" t="str">
        <f>IFERROR(__xludf.DUMMYFUNCTION("""COMPUTED_VALUE"""),"AR694")</f>
        <v>AR694</v>
      </c>
      <c r="B1028" s="308">
        <f>IFERROR(__xludf.DUMMYFUNCTION("""COMPUTED_VALUE"""),45006.0)</f>
        <v>45006</v>
      </c>
      <c r="C1028" s="309">
        <f>IFERROR(__xludf.DUMMYFUNCTION("""COMPUTED_VALUE"""),0.3723263888888889)</f>
        <v>0.3723263889</v>
      </c>
      <c r="D1028" s="7" t="str">
        <f>IFERROR(__xludf.DUMMYFUNCTION("""COMPUTED_VALUE"""),"SpABRM841252")</f>
        <v>SpABRM841252</v>
      </c>
      <c r="E1028" s="310"/>
      <c r="F1028" s="310"/>
      <c r="G1028" s="310" t="str">
        <f>IFERROR(__xludf.DUMMYFUNCTION("""COMPUTED_VALUE"""),"Negative")</f>
        <v>Negative</v>
      </c>
      <c r="H1028" s="319" t="str">
        <f>IFERROR(__xludf.DUMMYFUNCTION("""COMPUTED_VALUE"""),"Negative")</f>
        <v>Negative</v>
      </c>
      <c r="I1028" s="308">
        <f>IFERROR(__xludf.DUMMYFUNCTION("""COMPUTED_VALUE"""),45007.0)</f>
        <v>45007</v>
      </c>
      <c r="J1028" s="311">
        <f>IFERROR(__xludf.DUMMYFUNCTION("""COMPUTED_VALUE"""),0.4223263888888889)</f>
        <v>0.4223263889</v>
      </c>
      <c r="K1028" s="54"/>
      <c r="L1028" s="7"/>
      <c r="M1028" s="312"/>
      <c r="N1028" s="172">
        <f>IFERROR(__xludf.DUMMYFUNCTION("""COMPUTED_VALUE"""),1.0)</f>
        <v>1</v>
      </c>
      <c r="O1028" s="172"/>
      <c r="P1028" s="313">
        <f>IFERROR(__xludf.DUMMYFUNCTION("""COMPUTED_VALUE"""),1.0)</f>
        <v>1</v>
      </c>
      <c r="Q1028" s="76" t="b">
        <f>VLOOKUP($B1028,'Run Reconcile'!B$2:O1399,14,FALSE)</f>
        <v>1</v>
      </c>
      <c r="R1028" s="314" t="str">
        <f t="array" ref="R1028">IF($Q1028, INDEX('Run Reconcile'!A$2:A1399,MATCH(B1028,'Run Reconcile'!B$2:B1399,0),1),IFERROR(0/0,""))</f>
        <v>RUN-ABRM_2023-03-21_RFR-187</v>
      </c>
      <c r="S1028" s="315" t="str">
        <f t="shared" ref="S1028:T1028" si="2034">IF(COUNTIF(W$2:W1399, $A1028) &gt; 0,TRUE,IFERROR(0/0,""))</f>
        <v/>
      </c>
      <c r="T1028" s="315" t="str">
        <f t="shared" si="2034"/>
        <v/>
      </c>
      <c r="U1028" s="114" t="str">
        <f t="array" ref="U1028">IF(ISBLANK($R1028), INDEX('Run Reconcile'!A$2:A1399, MATCH($B1028, 'Run Reconcile'!B$2:B1399, 0)+Z1028, 1), IFERROR(0/0,""))
</f>
        <v/>
      </c>
      <c r="V1028" s="316" t="str">
        <f t="shared" si="1281"/>
        <v>RUN-ABRM_2023-03-21_RFR-187</v>
      </c>
      <c r="Y1028" s="317" t="str">
        <f t="shared" si="6"/>
        <v/>
      </c>
      <c r="Z1028" s="83" t="str">
        <f t="shared" si="7"/>
        <v/>
      </c>
      <c r="AA1028" s="83" t="str">
        <f t="shared" si="8"/>
        <v/>
      </c>
      <c r="AB1028" s="83" t="str">
        <f t="shared" si="9"/>
        <v/>
      </c>
      <c r="AC1028" s="18"/>
      <c r="AD1028" s="18"/>
      <c r="AE1028" s="43"/>
      <c r="AF1028" s="58" t="s">
        <v>156</v>
      </c>
      <c r="AG1028" s="55" t="str">
        <f t="shared" si="11"/>
        <v/>
      </c>
    </row>
    <row r="1029">
      <c r="A1029" s="7" t="str">
        <f>IFERROR(__xludf.DUMMYFUNCTION("""COMPUTED_VALUE"""),"AK9761")</f>
        <v>AK9761</v>
      </c>
      <c r="B1029" s="308">
        <f>IFERROR(__xludf.DUMMYFUNCTION("""COMPUTED_VALUE"""),45007.0)</f>
        <v>45007</v>
      </c>
      <c r="C1029" s="309">
        <f>IFERROR(__xludf.DUMMYFUNCTION("""COMPUTED_VALUE"""),0.2252662037037037)</f>
        <v>0.2252662037</v>
      </c>
      <c r="D1029" s="7" t="str">
        <f>IFERROR(__xludf.DUMMYFUNCTION("""COMPUTED_VALUE"""),"SpABRM454310")</f>
        <v>SpABRM454310</v>
      </c>
      <c r="E1029" s="310"/>
      <c r="F1029" s="310"/>
      <c r="G1029" s="310" t="str">
        <f>IFERROR(__xludf.DUMMYFUNCTION("""COMPUTED_VALUE"""),"Negative")</f>
        <v>Negative</v>
      </c>
      <c r="H1029" s="319" t="str">
        <f>IFERROR(__xludf.DUMMYFUNCTION("""COMPUTED_VALUE"""),"Negative")</f>
        <v>Negative</v>
      </c>
      <c r="I1029" s="308">
        <f>IFERROR(__xludf.DUMMYFUNCTION("""COMPUTED_VALUE"""),45007.0)</f>
        <v>45007</v>
      </c>
      <c r="J1029" s="311">
        <f>IFERROR(__xludf.DUMMYFUNCTION("""COMPUTED_VALUE"""),0.4223263888888889)</f>
        <v>0.4223263889</v>
      </c>
      <c r="K1029" s="54"/>
      <c r="L1029" s="7"/>
      <c r="M1029" s="312"/>
      <c r="N1029" s="172">
        <f>IFERROR(__xludf.DUMMYFUNCTION("""COMPUTED_VALUE"""),3.0)</f>
        <v>3</v>
      </c>
      <c r="O1029" s="172"/>
      <c r="P1029" s="313">
        <f>IFERROR(__xludf.DUMMYFUNCTION("""COMPUTED_VALUE"""),0.0)</f>
        <v>0</v>
      </c>
      <c r="Q1029" s="76" t="b">
        <f>VLOOKUP($B1029,'Run Reconcile'!B$2:O1399,14,FALSE)</f>
        <v>1</v>
      </c>
      <c r="R1029" s="314" t="str">
        <f t="array" ref="R1029">IF($Q1029, INDEX('Run Reconcile'!A$2:A1399,MATCH(B1029,'Run Reconcile'!B$2:B1399,0),1),IFERROR(0/0,""))</f>
        <v>RUN-ABRM_2023-03-22_RFR-189</v>
      </c>
      <c r="S1029" s="315" t="str">
        <f t="shared" ref="S1029:T1029" si="2035">IF(COUNTIF(W$2:W1399, $A1029) &gt; 0,TRUE,IFERROR(0/0,""))</f>
        <v/>
      </c>
      <c r="T1029" s="315" t="str">
        <f t="shared" si="2035"/>
        <v/>
      </c>
      <c r="U1029" s="114" t="str">
        <f t="array" ref="U1029">IF(ISBLANK($R1029), INDEX('Run Reconcile'!A$2:A1399, MATCH($B1029, 'Run Reconcile'!B$2:B1399, 0)+Z1029, 1), IFERROR(0/0,""))
</f>
        <v/>
      </c>
      <c r="V1029" s="316" t="str">
        <f t="shared" si="1281"/>
        <v>RUN-ABRM_2023-03-22_RFR-189</v>
      </c>
      <c r="Y1029" s="317" t="str">
        <f t="shared" si="6"/>
        <v/>
      </c>
      <c r="Z1029" s="83" t="str">
        <f t="shared" si="7"/>
        <v/>
      </c>
      <c r="AA1029" s="83" t="str">
        <f t="shared" si="8"/>
        <v/>
      </c>
      <c r="AB1029" s="83" t="str">
        <f t="shared" si="9"/>
        <v/>
      </c>
      <c r="AC1029" s="18"/>
      <c r="AD1029" s="18"/>
      <c r="AE1029" s="43"/>
      <c r="AF1029" s="58" t="s">
        <v>157</v>
      </c>
      <c r="AG1029" s="55" t="str">
        <f t="shared" si="11"/>
        <v/>
      </c>
    </row>
    <row r="1030">
      <c r="A1030" s="7" t="str">
        <f>IFERROR(__xludf.DUMMYFUNCTION("""COMPUTED_VALUE"""),"AR631")</f>
        <v>AR631</v>
      </c>
      <c r="B1030" s="308">
        <f>IFERROR(__xludf.DUMMYFUNCTION("""COMPUTED_VALUE"""),45007.0)</f>
        <v>45007</v>
      </c>
      <c r="C1030" s="309">
        <f>IFERROR(__xludf.DUMMYFUNCTION("""COMPUTED_VALUE"""),0.27251157407407406)</f>
        <v>0.2725115741</v>
      </c>
      <c r="D1030" s="7" t="str">
        <f>IFERROR(__xludf.DUMMYFUNCTION("""COMPUTED_VALUE"""),"SpABRM581899")</f>
        <v>SpABRM581899</v>
      </c>
      <c r="E1030" s="310"/>
      <c r="F1030" s="310"/>
      <c r="G1030" s="310" t="str">
        <f>IFERROR(__xludf.DUMMYFUNCTION("""COMPUTED_VALUE"""),"Negative")</f>
        <v>Negative</v>
      </c>
      <c r="H1030" s="319" t="str">
        <f>IFERROR(__xludf.DUMMYFUNCTION("""COMPUTED_VALUE"""),"Negative")</f>
        <v>Negative</v>
      </c>
      <c r="I1030" s="308">
        <f>IFERROR(__xludf.DUMMYFUNCTION("""COMPUTED_VALUE"""),45007.0)</f>
        <v>45007</v>
      </c>
      <c r="J1030" s="311">
        <f>IFERROR(__xludf.DUMMYFUNCTION("""COMPUTED_VALUE"""),0.42233796296296294)</f>
        <v>0.422337963</v>
      </c>
      <c r="K1030" s="54"/>
      <c r="L1030" s="7"/>
      <c r="M1030" s="312"/>
      <c r="N1030" s="172">
        <f>IFERROR(__xludf.DUMMYFUNCTION("""COMPUTED_VALUE"""),3.0)</f>
        <v>3</v>
      </c>
      <c r="O1030" s="172"/>
      <c r="P1030" s="313">
        <f>IFERROR(__xludf.DUMMYFUNCTION("""COMPUTED_VALUE"""),0.0)</f>
        <v>0</v>
      </c>
      <c r="Q1030" s="76" t="b">
        <f>VLOOKUP($B1030,'Run Reconcile'!B$2:O1399,14,FALSE)</f>
        <v>1</v>
      </c>
      <c r="R1030" s="314" t="str">
        <f t="array" ref="R1030">IF($Q1030, INDEX('Run Reconcile'!A$2:A1399,MATCH(B1030,'Run Reconcile'!B$2:B1399,0),1),IFERROR(0/0,""))</f>
        <v>RUN-ABRM_2023-03-22_RFR-189</v>
      </c>
      <c r="S1030" s="315" t="str">
        <f t="shared" ref="S1030:T1030" si="2036">IF(COUNTIF(W$2:W1399, $A1030) &gt; 0,TRUE,IFERROR(0/0,""))</f>
        <v/>
      </c>
      <c r="T1030" s="315" t="str">
        <f t="shared" si="2036"/>
        <v/>
      </c>
      <c r="U1030" s="114" t="str">
        <f t="array" ref="U1030">IF(ISBLANK($R1030), INDEX('Run Reconcile'!A$2:A1399, MATCH($B1030, 'Run Reconcile'!B$2:B1399, 0)+Z1030, 1), IFERROR(0/0,""))
</f>
        <v/>
      </c>
      <c r="V1030" s="316" t="str">
        <f t="shared" si="1281"/>
        <v>RUN-ABRM_2023-03-22_RFR-189</v>
      </c>
      <c r="Y1030" s="317" t="str">
        <f t="shared" si="6"/>
        <v/>
      </c>
      <c r="Z1030" s="83" t="str">
        <f t="shared" si="7"/>
        <v/>
      </c>
      <c r="AA1030" s="83" t="str">
        <f t="shared" si="8"/>
        <v/>
      </c>
      <c r="AB1030" s="83" t="str">
        <f t="shared" si="9"/>
        <v/>
      </c>
      <c r="AC1030" s="18"/>
      <c r="AD1030" s="18"/>
      <c r="AE1030" s="43"/>
      <c r="AF1030" s="58" t="s">
        <v>157</v>
      </c>
      <c r="AG1030" s="55" t="str">
        <f t="shared" si="11"/>
        <v/>
      </c>
    </row>
    <row r="1031">
      <c r="A1031" s="7" t="str">
        <f>IFERROR(__xludf.DUMMYFUNCTION("""COMPUTED_VALUE"""),"AR1396")</f>
        <v>AR1396</v>
      </c>
      <c r="B1031" s="308">
        <f>IFERROR(__xludf.DUMMYFUNCTION("""COMPUTED_VALUE"""),45007.0)</f>
        <v>45007</v>
      </c>
      <c r="C1031" s="309">
        <f>IFERROR(__xludf.DUMMYFUNCTION("""COMPUTED_VALUE"""),0.2973148148148148)</f>
        <v>0.2973148148</v>
      </c>
      <c r="D1031" s="7" t="str">
        <f>IFERROR(__xludf.DUMMYFUNCTION("""COMPUTED_VALUE"""),"SpABRM297307")</f>
        <v>SpABRM297307</v>
      </c>
      <c r="E1031" s="310"/>
      <c r="F1031" s="310"/>
      <c r="G1031" s="310" t="str">
        <f>IFERROR(__xludf.DUMMYFUNCTION("""COMPUTED_VALUE"""),"Negative")</f>
        <v>Negative</v>
      </c>
      <c r="H1031" s="319" t="str">
        <f>IFERROR(__xludf.DUMMYFUNCTION("""COMPUTED_VALUE"""),"Negative")</f>
        <v>Negative</v>
      </c>
      <c r="I1031" s="308">
        <f>IFERROR(__xludf.DUMMYFUNCTION("""COMPUTED_VALUE"""),45007.0)</f>
        <v>45007</v>
      </c>
      <c r="J1031" s="311">
        <f>IFERROR(__xludf.DUMMYFUNCTION("""COMPUTED_VALUE"""),0.42233796296296294)</f>
        <v>0.422337963</v>
      </c>
      <c r="K1031" s="54"/>
      <c r="L1031" s="7"/>
      <c r="M1031" s="312"/>
      <c r="N1031" s="172">
        <f>IFERROR(__xludf.DUMMYFUNCTION("""COMPUTED_VALUE"""),3.0)</f>
        <v>3</v>
      </c>
      <c r="O1031" s="172"/>
      <c r="P1031" s="313">
        <f>IFERROR(__xludf.DUMMYFUNCTION("""COMPUTED_VALUE"""),0.0)</f>
        <v>0</v>
      </c>
      <c r="Q1031" s="76" t="b">
        <f>VLOOKUP($B1031,'Run Reconcile'!B$2:O1399,14,FALSE)</f>
        <v>1</v>
      </c>
      <c r="R1031" s="314" t="str">
        <f t="array" ref="R1031">IF($Q1031, INDEX('Run Reconcile'!A$2:A1399,MATCH(B1031,'Run Reconcile'!B$2:B1399,0),1),IFERROR(0/0,""))</f>
        <v>RUN-ABRM_2023-03-22_RFR-189</v>
      </c>
      <c r="S1031" s="315" t="str">
        <f t="shared" ref="S1031:T1031" si="2037">IF(COUNTIF(W$2:W1399, $A1031) &gt; 0,TRUE,IFERROR(0/0,""))</f>
        <v/>
      </c>
      <c r="T1031" s="315" t="str">
        <f t="shared" si="2037"/>
        <v/>
      </c>
      <c r="U1031" s="114" t="str">
        <f t="array" ref="U1031">IF(ISBLANK($R1031), INDEX('Run Reconcile'!A$2:A1399, MATCH($B1031, 'Run Reconcile'!B$2:B1399, 0)+Z1031, 1), IFERROR(0/0,""))
</f>
        <v/>
      </c>
      <c r="V1031" s="316" t="str">
        <f t="shared" si="1281"/>
        <v>RUN-ABRM_2023-03-22_RFR-189</v>
      </c>
      <c r="Y1031" s="317" t="str">
        <f t="shared" si="6"/>
        <v/>
      </c>
      <c r="Z1031" s="83" t="str">
        <f t="shared" si="7"/>
        <v/>
      </c>
      <c r="AA1031" s="83" t="str">
        <f t="shared" si="8"/>
        <v/>
      </c>
      <c r="AB1031" s="83" t="str">
        <f t="shared" si="9"/>
        <v/>
      </c>
      <c r="AC1031" s="18"/>
      <c r="AD1031" s="18"/>
      <c r="AE1031" s="43"/>
      <c r="AF1031" s="58" t="s">
        <v>157</v>
      </c>
      <c r="AG1031" s="55" t="str">
        <f t="shared" si="11"/>
        <v/>
      </c>
    </row>
    <row r="1032">
      <c r="A1032" s="7" t="str">
        <f>IFERROR(__xludf.DUMMYFUNCTION("""COMPUTED_VALUE"""),"AR1418")</f>
        <v>AR1418</v>
      </c>
      <c r="B1032" s="308">
        <f>IFERROR(__xludf.DUMMYFUNCTION("""COMPUTED_VALUE"""),45007.0)</f>
        <v>45007</v>
      </c>
      <c r="C1032" s="309">
        <f>IFERROR(__xludf.DUMMYFUNCTION("""COMPUTED_VALUE"""),0.2983564814814815)</f>
        <v>0.2983564815</v>
      </c>
      <c r="D1032" s="7" t="str">
        <f>IFERROR(__xludf.DUMMYFUNCTION("""COMPUTED_VALUE"""),"SpABRM367540")</f>
        <v>SpABRM367540</v>
      </c>
      <c r="E1032" s="310"/>
      <c r="F1032" s="310"/>
      <c r="G1032" s="310" t="str">
        <f>IFERROR(__xludf.DUMMYFUNCTION("""COMPUTED_VALUE"""),"Negative")</f>
        <v>Negative</v>
      </c>
      <c r="H1032" s="319" t="str">
        <f>IFERROR(__xludf.DUMMYFUNCTION("""COMPUTED_VALUE"""),"Negative")</f>
        <v>Negative</v>
      </c>
      <c r="I1032" s="308">
        <f>IFERROR(__xludf.DUMMYFUNCTION("""COMPUTED_VALUE"""),45007.0)</f>
        <v>45007</v>
      </c>
      <c r="J1032" s="311">
        <f>IFERROR(__xludf.DUMMYFUNCTION("""COMPUTED_VALUE"""),0.42233796296296294)</f>
        <v>0.422337963</v>
      </c>
      <c r="K1032" s="54"/>
      <c r="L1032" s="7"/>
      <c r="M1032" s="312"/>
      <c r="N1032" s="172">
        <f>IFERROR(__xludf.DUMMYFUNCTION("""COMPUTED_VALUE"""),3.0)</f>
        <v>3</v>
      </c>
      <c r="O1032" s="172"/>
      <c r="P1032" s="313">
        <f>IFERROR(__xludf.DUMMYFUNCTION("""COMPUTED_VALUE"""),0.0)</f>
        <v>0</v>
      </c>
      <c r="Q1032" s="76" t="b">
        <f>VLOOKUP($B1032,'Run Reconcile'!B$2:O1399,14,FALSE)</f>
        <v>1</v>
      </c>
      <c r="R1032" s="314" t="str">
        <f t="array" ref="R1032">IF($Q1032, INDEX('Run Reconcile'!A$2:A1399,MATCH(B1032,'Run Reconcile'!B$2:B1399,0),1),IFERROR(0/0,""))</f>
        <v>RUN-ABRM_2023-03-22_RFR-189</v>
      </c>
      <c r="S1032" s="315" t="str">
        <f t="shared" ref="S1032:T1032" si="2038">IF(COUNTIF(W$2:W1399, $A1032) &gt; 0,TRUE,IFERROR(0/0,""))</f>
        <v/>
      </c>
      <c r="T1032" s="315" t="str">
        <f t="shared" si="2038"/>
        <v/>
      </c>
      <c r="U1032" s="114" t="str">
        <f t="array" ref="U1032">IF(ISBLANK($R1032), INDEX('Run Reconcile'!A$2:A1399, MATCH($B1032, 'Run Reconcile'!B$2:B1399, 0)+Z1032, 1), IFERROR(0/0,""))
</f>
        <v/>
      </c>
      <c r="V1032" s="316" t="str">
        <f t="shared" si="1281"/>
        <v>RUN-ABRM_2023-03-22_RFR-189</v>
      </c>
      <c r="Y1032" s="317" t="str">
        <f t="shared" si="6"/>
        <v/>
      </c>
      <c r="Z1032" s="83" t="str">
        <f t="shared" si="7"/>
        <v/>
      </c>
      <c r="AA1032" s="83" t="str">
        <f t="shared" si="8"/>
        <v/>
      </c>
      <c r="AB1032" s="83" t="str">
        <f t="shared" si="9"/>
        <v/>
      </c>
      <c r="AC1032" s="18"/>
      <c r="AD1032" s="18"/>
      <c r="AE1032" s="43"/>
      <c r="AF1032" s="58" t="s">
        <v>157</v>
      </c>
      <c r="AG1032" s="55" t="str">
        <f t="shared" si="11"/>
        <v/>
      </c>
    </row>
    <row r="1033">
      <c r="A1033" s="7" t="str">
        <f>IFERROR(__xludf.DUMMYFUNCTION("""COMPUTED_VALUE"""),"AK9992")</f>
        <v>AK9992</v>
      </c>
      <c r="B1033" s="308">
        <f>IFERROR(__xludf.DUMMYFUNCTION("""COMPUTED_VALUE"""),45007.0)</f>
        <v>45007</v>
      </c>
      <c r="C1033" s="309">
        <f>IFERROR(__xludf.DUMMYFUNCTION("""COMPUTED_VALUE"""),0.3245486111111111)</f>
        <v>0.3245486111</v>
      </c>
      <c r="D1033" s="7" t="str">
        <f>IFERROR(__xludf.DUMMYFUNCTION("""COMPUTED_VALUE"""),"SpABRM841252")</f>
        <v>SpABRM841252</v>
      </c>
      <c r="E1033" s="310"/>
      <c r="F1033" s="310"/>
      <c r="G1033" s="310" t="str">
        <f>IFERROR(__xludf.DUMMYFUNCTION("""COMPUTED_VALUE"""),"Null")</f>
        <v>Null</v>
      </c>
      <c r="H1033" s="319" t="str">
        <f>IFERROR(__xludf.DUMMYFUNCTION("""COMPUTED_VALUE"""),"Negative")</f>
        <v>Negative</v>
      </c>
      <c r="I1033" s="319"/>
      <c r="J1033" s="54"/>
      <c r="K1033" s="54">
        <f>IFERROR(__xludf.DUMMYFUNCTION("""COMPUTED_VALUE"""),2.0)</f>
        <v>2</v>
      </c>
      <c r="L1033" s="7"/>
      <c r="M1033" s="312"/>
      <c r="N1033" s="172">
        <f>IFERROR(__xludf.DUMMYFUNCTION("""COMPUTED_VALUE"""),1.0)</f>
        <v>1</v>
      </c>
      <c r="O1033" s="172"/>
      <c r="P1033" s="313">
        <f>IFERROR(__xludf.DUMMYFUNCTION("""COMPUTED_VALUE"""),-1.0)</f>
        <v>-1</v>
      </c>
      <c r="Q1033" s="76" t="b">
        <f>VLOOKUP($B1033,'Run Reconcile'!B$2:O1399,14,FALSE)</f>
        <v>1</v>
      </c>
      <c r="R1033" s="314" t="str">
        <f t="array" ref="R1033">IF($Q1033, INDEX('Run Reconcile'!A$2:A1399,MATCH(B1033,'Run Reconcile'!B$2:B1399,0),1),IFERROR(0/0,""))</f>
        <v>RUN-ABRM_2023-03-22_RFR-189</v>
      </c>
      <c r="S1033" s="315" t="str">
        <f t="shared" ref="S1033:T1033" si="2039">IF(COUNTIF(W$2:W1399, $A1033) &gt; 0,TRUE,IFERROR(0/0,""))</f>
        <v/>
      </c>
      <c r="T1033" s="315" t="str">
        <f t="shared" si="2039"/>
        <v/>
      </c>
      <c r="U1033" s="114" t="str">
        <f t="array" ref="U1033">IF(ISBLANK($R1033), INDEX('Run Reconcile'!A$2:A1399, MATCH($B1033, 'Run Reconcile'!B$2:B1399, 0)+Z1033, 1), IFERROR(0/0,""))
</f>
        <v/>
      </c>
      <c r="V1033" s="316" t="str">
        <f t="shared" si="1281"/>
        <v>RUN-ABRM_2023-03-22_RFR-189</v>
      </c>
      <c r="Y1033" s="317" t="str">
        <f t="shared" si="6"/>
        <v/>
      </c>
      <c r="Z1033" s="83" t="str">
        <f t="shared" si="7"/>
        <v/>
      </c>
      <c r="AA1033" s="83" t="str">
        <f t="shared" si="8"/>
        <v/>
      </c>
      <c r="AB1033" s="83" t="str">
        <f t="shared" si="9"/>
        <v/>
      </c>
      <c r="AC1033" s="18"/>
      <c r="AD1033" s="18"/>
      <c r="AE1033" s="43"/>
      <c r="AF1033" s="58" t="s">
        <v>157</v>
      </c>
      <c r="AG1033" s="55" t="str">
        <f t="shared" si="11"/>
        <v/>
      </c>
    </row>
    <row r="1034">
      <c r="A1034" s="7" t="str">
        <f>IFERROR(__xludf.DUMMYFUNCTION("""COMPUTED_VALUE"""),"AR718")</f>
        <v>AR718</v>
      </c>
      <c r="B1034" s="308">
        <f>IFERROR(__xludf.DUMMYFUNCTION("""COMPUTED_VALUE"""),45007.0)</f>
        <v>45007</v>
      </c>
      <c r="C1034" s="309">
        <f>IFERROR(__xludf.DUMMYFUNCTION("""COMPUTED_VALUE"""),0.3254282407407407)</f>
        <v>0.3254282407</v>
      </c>
      <c r="D1034" s="7" t="str">
        <f>IFERROR(__xludf.DUMMYFUNCTION("""COMPUTED_VALUE"""),"SpABRM841252")</f>
        <v>SpABRM841252</v>
      </c>
      <c r="E1034" s="310"/>
      <c r="F1034" s="310"/>
      <c r="G1034" s="310" t="str">
        <f>IFERROR(__xludf.DUMMYFUNCTION("""COMPUTED_VALUE"""),"Negative")</f>
        <v>Negative</v>
      </c>
      <c r="H1034" s="319" t="str">
        <f>IFERROR(__xludf.DUMMYFUNCTION("""COMPUTED_VALUE"""),"Negative")</f>
        <v>Negative</v>
      </c>
      <c r="I1034" s="308">
        <f>IFERROR(__xludf.DUMMYFUNCTION("""COMPUTED_VALUE"""),45007.0)</f>
        <v>45007</v>
      </c>
      <c r="J1034" s="311">
        <f>IFERROR(__xludf.DUMMYFUNCTION("""COMPUTED_VALUE"""),0.42233796296296294)</f>
        <v>0.422337963</v>
      </c>
      <c r="K1034" s="54"/>
      <c r="L1034" s="7"/>
      <c r="M1034" s="312"/>
      <c r="N1034" s="172">
        <f>IFERROR(__xludf.DUMMYFUNCTION("""COMPUTED_VALUE"""),3.0)</f>
        <v>3</v>
      </c>
      <c r="O1034" s="172"/>
      <c r="P1034" s="313">
        <f>IFERROR(__xludf.DUMMYFUNCTION("""COMPUTED_VALUE"""),0.0)</f>
        <v>0</v>
      </c>
      <c r="Q1034" s="76" t="b">
        <f>VLOOKUP($B1034,'Run Reconcile'!B$2:O1399,14,FALSE)</f>
        <v>1</v>
      </c>
      <c r="R1034" s="314" t="str">
        <f t="array" ref="R1034">IF($Q1034, INDEX('Run Reconcile'!A$2:A1399,MATCH(B1034,'Run Reconcile'!B$2:B1399,0),1),IFERROR(0/0,""))</f>
        <v>RUN-ABRM_2023-03-22_RFR-189</v>
      </c>
      <c r="S1034" s="315" t="str">
        <f t="shared" ref="S1034:T1034" si="2040">IF(COUNTIF(W$2:W1399, $A1034) &gt; 0,TRUE,IFERROR(0/0,""))</f>
        <v/>
      </c>
      <c r="T1034" s="315" t="str">
        <f t="shared" si="2040"/>
        <v/>
      </c>
      <c r="U1034" s="114" t="str">
        <f t="array" ref="U1034">IF(ISBLANK($R1034), INDEX('Run Reconcile'!A$2:A1399, MATCH($B1034, 'Run Reconcile'!B$2:B1399, 0)+Z1034, 1), IFERROR(0/0,""))
</f>
        <v/>
      </c>
      <c r="V1034" s="316" t="str">
        <f t="shared" si="1281"/>
        <v>RUN-ABRM_2023-03-22_RFR-189</v>
      </c>
      <c r="Y1034" s="317" t="str">
        <f t="shared" si="6"/>
        <v/>
      </c>
      <c r="Z1034" s="83" t="str">
        <f t="shared" si="7"/>
        <v/>
      </c>
      <c r="AA1034" s="83" t="str">
        <f t="shared" si="8"/>
        <v/>
      </c>
      <c r="AB1034" s="83" t="str">
        <f t="shared" si="9"/>
        <v/>
      </c>
      <c r="AC1034" s="18"/>
      <c r="AD1034" s="18"/>
      <c r="AE1034" s="43"/>
      <c r="AF1034" s="58" t="s">
        <v>157</v>
      </c>
      <c r="AG1034" s="55" t="str">
        <f t="shared" si="11"/>
        <v/>
      </c>
    </row>
    <row r="1035">
      <c r="A1035" s="7" t="str">
        <f>IFERROR(__xludf.DUMMYFUNCTION("""COMPUTED_VALUE"""),"AE9940")</f>
        <v>AE9940</v>
      </c>
      <c r="B1035" s="308">
        <f>IFERROR(__xludf.DUMMYFUNCTION("""COMPUTED_VALUE"""),45007.0)</f>
        <v>45007</v>
      </c>
      <c r="C1035" s="309">
        <f>IFERROR(__xludf.DUMMYFUNCTION("""COMPUTED_VALUE"""),0.32591435185185186)</f>
        <v>0.3259143519</v>
      </c>
      <c r="D1035" s="7" t="str">
        <f>IFERROR(__xludf.DUMMYFUNCTION("""COMPUTED_VALUE"""),"SpABRM655136")</f>
        <v>SpABRM655136</v>
      </c>
      <c r="E1035" s="310"/>
      <c r="F1035" s="310"/>
      <c r="G1035" s="310" t="str">
        <f>IFERROR(__xludf.DUMMYFUNCTION("""COMPUTED_VALUE"""),"Negative")</f>
        <v>Negative</v>
      </c>
      <c r="H1035" s="319" t="str">
        <f>IFERROR(__xludf.DUMMYFUNCTION("""COMPUTED_VALUE"""),"Negative")</f>
        <v>Negative</v>
      </c>
      <c r="I1035" s="308">
        <f>IFERROR(__xludf.DUMMYFUNCTION("""COMPUTED_VALUE"""),45007.0)</f>
        <v>45007</v>
      </c>
      <c r="J1035" s="311">
        <f>IFERROR(__xludf.DUMMYFUNCTION("""COMPUTED_VALUE"""),0.42233796296296294)</f>
        <v>0.422337963</v>
      </c>
      <c r="K1035" s="54"/>
      <c r="L1035" s="7"/>
      <c r="M1035" s="312"/>
      <c r="N1035" s="172">
        <f>IFERROR(__xludf.DUMMYFUNCTION("""COMPUTED_VALUE"""),1.0)</f>
        <v>1</v>
      </c>
      <c r="O1035" s="172"/>
      <c r="P1035" s="313">
        <f>IFERROR(__xludf.DUMMYFUNCTION("""COMPUTED_VALUE"""),0.0)</f>
        <v>0</v>
      </c>
      <c r="Q1035" s="76" t="b">
        <f>VLOOKUP($B1035,'Run Reconcile'!B$2:O1399,14,FALSE)</f>
        <v>1</v>
      </c>
      <c r="R1035" s="314" t="str">
        <f t="array" ref="R1035">IF($Q1035, INDEX('Run Reconcile'!A$2:A1399,MATCH(B1035,'Run Reconcile'!B$2:B1399,0),1),IFERROR(0/0,""))</f>
        <v>RUN-ABRM_2023-03-22_RFR-189</v>
      </c>
      <c r="S1035" s="315" t="str">
        <f t="shared" ref="S1035:T1035" si="2041">IF(COUNTIF(W$2:W1399, $A1035) &gt; 0,TRUE,IFERROR(0/0,""))</f>
        <v/>
      </c>
      <c r="T1035" s="315" t="str">
        <f t="shared" si="2041"/>
        <v/>
      </c>
      <c r="U1035" s="114" t="str">
        <f t="array" ref="U1035">IF(ISBLANK($R1035), INDEX('Run Reconcile'!A$2:A1399, MATCH($B1035, 'Run Reconcile'!B$2:B1399, 0)+Z1035, 1), IFERROR(0/0,""))
</f>
        <v/>
      </c>
      <c r="V1035" s="316" t="str">
        <f t="shared" si="1281"/>
        <v>RUN-ABRM_2023-03-22_RFR-189</v>
      </c>
      <c r="Y1035" s="317" t="str">
        <f t="shared" si="6"/>
        <v/>
      </c>
      <c r="Z1035" s="83" t="str">
        <f t="shared" si="7"/>
        <v/>
      </c>
      <c r="AA1035" s="83" t="str">
        <f t="shared" si="8"/>
        <v/>
      </c>
      <c r="AB1035" s="83" t="str">
        <f t="shared" si="9"/>
        <v/>
      </c>
      <c r="AC1035" s="18"/>
      <c r="AD1035" s="18"/>
      <c r="AE1035" s="43"/>
      <c r="AF1035" s="58" t="s">
        <v>157</v>
      </c>
      <c r="AG1035" s="55" t="str">
        <f t="shared" si="11"/>
        <v/>
      </c>
    </row>
    <row r="1036">
      <c r="A1036" s="7" t="str">
        <f>IFERROR(__xludf.DUMMYFUNCTION("""COMPUTED_VALUE"""),"AK9871")</f>
        <v>AK9871</v>
      </c>
      <c r="B1036" s="308">
        <f>IFERROR(__xludf.DUMMYFUNCTION("""COMPUTED_VALUE"""),45007.0)</f>
        <v>45007</v>
      </c>
      <c r="C1036" s="309">
        <f>IFERROR(__xludf.DUMMYFUNCTION("""COMPUTED_VALUE"""),0.3270601851851852)</f>
        <v>0.3270601852</v>
      </c>
      <c r="D1036" s="7" t="str">
        <f>IFERROR(__xludf.DUMMYFUNCTION("""COMPUTED_VALUE"""),"SpABRM841252")</f>
        <v>SpABRM841252</v>
      </c>
      <c r="E1036" s="310"/>
      <c r="F1036" s="310"/>
      <c r="G1036" s="310" t="str">
        <f>IFERROR(__xludf.DUMMYFUNCTION("""COMPUTED_VALUE"""),"Negative")</f>
        <v>Negative</v>
      </c>
      <c r="H1036" s="319" t="str">
        <f>IFERROR(__xludf.DUMMYFUNCTION("""COMPUTED_VALUE"""),"Negative")</f>
        <v>Negative</v>
      </c>
      <c r="I1036" s="308">
        <f>IFERROR(__xludf.DUMMYFUNCTION("""COMPUTED_VALUE"""),45007.0)</f>
        <v>45007</v>
      </c>
      <c r="J1036" s="311">
        <f>IFERROR(__xludf.DUMMYFUNCTION("""COMPUTED_VALUE"""),0.42233796296296294)</f>
        <v>0.422337963</v>
      </c>
      <c r="K1036" s="54"/>
      <c r="L1036" s="7"/>
      <c r="M1036" s="312"/>
      <c r="N1036" s="172">
        <f>IFERROR(__xludf.DUMMYFUNCTION("""COMPUTED_VALUE"""),1.0)</f>
        <v>1</v>
      </c>
      <c r="O1036" s="172"/>
      <c r="P1036" s="313">
        <f>IFERROR(__xludf.DUMMYFUNCTION("""COMPUTED_VALUE"""),0.0)</f>
        <v>0</v>
      </c>
      <c r="Q1036" s="76" t="b">
        <f>VLOOKUP($B1036,'Run Reconcile'!B$2:O1399,14,FALSE)</f>
        <v>1</v>
      </c>
      <c r="R1036" s="314" t="str">
        <f t="array" ref="R1036">IF($Q1036, INDEX('Run Reconcile'!A$2:A1399,MATCH(B1036,'Run Reconcile'!B$2:B1399,0),1),IFERROR(0/0,""))</f>
        <v>RUN-ABRM_2023-03-22_RFR-189</v>
      </c>
      <c r="S1036" s="315" t="str">
        <f t="shared" ref="S1036:T1036" si="2042">IF(COUNTIF(W$2:W1399, $A1036) &gt; 0,TRUE,IFERROR(0/0,""))</f>
        <v/>
      </c>
      <c r="T1036" s="315" t="str">
        <f t="shared" si="2042"/>
        <v/>
      </c>
      <c r="U1036" s="114" t="str">
        <f t="array" ref="U1036">IF(ISBLANK($R1036), INDEX('Run Reconcile'!A$2:A1399, MATCH($B1036, 'Run Reconcile'!B$2:B1399, 0)+Z1036, 1), IFERROR(0/0,""))
</f>
        <v/>
      </c>
      <c r="V1036" s="316" t="str">
        <f t="shared" si="1281"/>
        <v>RUN-ABRM_2023-03-22_RFR-189</v>
      </c>
      <c r="Y1036" s="317" t="str">
        <f t="shared" si="6"/>
        <v/>
      </c>
      <c r="Z1036" s="83" t="str">
        <f t="shared" si="7"/>
        <v/>
      </c>
      <c r="AA1036" s="83" t="str">
        <f t="shared" si="8"/>
        <v/>
      </c>
      <c r="AB1036" s="83" t="str">
        <f t="shared" si="9"/>
        <v/>
      </c>
      <c r="AC1036" s="18"/>
      <c r="AD1036" s="18"/>
      <c r="AE1036" s="43"/>
      <c r="AF1036" s="58" t="s">
        <v>157</v>
      </c>
      <c r="AG1036" s="55" t="str">
        <f t="shared" si="11"/>
        <v/>
      </c>
    </row>
    <row r="1037">
      <c r="A1037" s="7" t="str">
        <f>IFERROR(__xludf.DUMMYFUNCTION("""COMPUTED_VALUE"""),"AK9997")</f>
        <v>AK9997</v>
      </c>
      <c r="B1037" s="308">
        <f>IFERROR(__xludf.DUMMYFUNCTION("""COMPUTED_VALUE"""),45007.0)</f>
        <v>45007</v>
      </c>
      <c r="C1037" s="309">
        <f>IFERROR(__xludf.DUMMYFUNCTION("""COMPUTED_VALUE"""),0.32861111111111113)</f>
        <v>0.3286111111</v>
      </c>
      <c r="D1037" s="7" t="str">
        <f>IFERROR(__xludf.DUMMYFUNCTION("""COMPUTED_VALUE"""),"SpABRM841252")</f>
        <v>SpABRM841252</v>
      </c>
      <c r="E1037" s="310"/>
      <c r="F1037" s="310"/>
      <c r="G1037" s="310" t="str">
        <f>IFERROR(__xludf.DUMMYFUNCTION("""COMPUTED_VALUE"""),"Negative")</f>
        <v>Negative</v>
      </c>
      <c r="H1037" s="319" t="str">
        <f>IFERROR(__xludf.DUMMYFUNCTION("""COMPUTED_VALUE"""),"Negative")</f>
        <v>Negative</v>
      </c>
      <c r="I1037" s="308">
        <f>IFERROR(__xludf.DUMMYFUNCTION("""COMPUTED_VALUE"""),45007.0)</f>
        <v>45007</v>
      </c>
      <c r="J1037" s="311">
        <f>IFERROR(__xludf.DUMMYFUNCTION("""COMPUTED_VALUE"""),0.42233796296296294)</f>
        <v>0.422337963</v>
      </c>
      <c r="K1037" s="54"/>
      <c r="L1037" s="7"/>
      <c r="M1037" s="312"/>
      <c r="N1037" s="172">
        <f>IFERROR(__xludf.DUMMYFUNCTION("""COMPUTED_VALUE"""),2.0)</f>
        <v>2</v>
      </c>
      <c r="O1037" s="172"/>
      <c r="P1037" s="313">
        <f>IFERROR(__xludf.DUMMYFUNCTION("""COMPUTED_VALUE"""),0.0)</f>
        <v>0</v>
      </c>
      <c r="Q1037" s="76" t="b">
        <f>VLOOKUP($B1037,'Run Reconcile'!B$2:O1399,14,FALSE)</f>
        <v>1</v>
      </c>
      <c r="R1037" s="314" t="str">
        <f t="array" ref="R1037">IF($Q1037, INDEX('Run Reconcile'!A$2:A1399,MATCH(B1037,'Run Reconcile'!B$2:B1399,0),1),IFERROR(0/0,""))</f>
        <v>RUN-ABRM_2023-03-22_RFR-189</v>
      </c>
      <c r="S1037" s="315" t="str">
        <f t="shared" ref="S1037:T1037" si="2043">IF(COUNTIF(W$2:W1399, $A1037) &gt; 0,TRUE,IFERROR(0/0,""))</f>
        <v/>
      </c>
      <c r="T1037" s="315" t="str">
        <f t="shared" si="2043"/>
        <v/>
      </c>
      <c r="U1037" s="114" t="str">
        <f t="array" ref="U1037">IF(ISBLANK($R1037), INDEX('Run Reconcile'!A$2:A1399, MATCH($B1037, 'Run Reconcile'!B$2:B1399, 0)+Z1037, 1), IFERROR(0/0,""))
</f>
        <v/>
      </c>
      <c r="V1037" s="316" t="str">
        <f t="shared" si="1281"/>
        <v>RUN-ABRM_2023-03-22_RFR-189</v>
      </c>
      <c r="Y1037" s="317" t="str">
        <f t="shared" si="6"/>
        <v/>
      </c>
      <c r="Z1037" s="83" t="str">
        <f t="shared" si="7"/>
        <v/>
      </c>
      <c r="AA1037" s="83" t="str">
        <f t="shared" si="8"/>
        <v/>
      </c>
      <c r="AB1037" s="83" t="str">
        <f t="shared" si="9"/>
        <v/>
      </c>
      <c r="AC1037" s="18"/>
      <c r="AD1037" s="18"/>
      <c r="AE1037" s="43"/>
      <c r="AF1037" s="58" t="s">
        <v>157</v>
      </c>
      <c r="AG1037" s="55" t="str">
        <f t="shared" si="11"/>
        <v/>
      </c>
    </row>
    <row r="1038">
      <c r="A1038" s="7" t="str">
        <f>IFERROR(__xludf.DUMMYFUNCTION("""COMPUTED_VALUE"""),"AR58")</f>
        <v>AR58</v>
      </c>
      <c r="B1038" s="308">
        <f>IFERROR(__xludf.DUMMYFUNCTION("""COMPUTED_VALUE"""),45007.0)</f>
        <v>45007</v>
      </c>
      <c r="C1038" s="309">
        <f>IFERROR(__xludf.DUMMYFUNCTION("""COMPUTED_VALUE"""),0.33997685185185184)</f>
        <v>0.3399768519</v>
      </c>
      <c r="D1038" s="7" t="str">
        <f>IFERROR(__xludf.DUMMYFUNCTION("""COMPUTED_VALUE"""),"SpABRM841252")</f>
        <v>SpABRM841252</v>
      </c>
      <c r="E1038" s="310"/>
      <c r="F1038" s="310"/>
      <c r="G1038" s="310" t="str">
        <f>IFERROR(__xludf.DUMMYFUNCTION("""COMPUTED_VALUE"""),"Negative")</f>
        <v>Negative</v>
      </c>
      <c r="H1038" s="319" t="str">
        <f>IFERROR(__xludf.DUMMYFUNCTION("""COMPUTED_VALUE"""),"Negative")</f>
        <v>Negative</v>
      </c>
      <c r="I1038" s="308">
        <f>IFERROR(__xludf.DUMMYFUNCTION("""COMPUTED_VALUE"""),45007.0)</f>
        <v>45007</v>
      </c>
      <c r="J1038" s="311">
        <f>IFERROR(__xludf.DUMMYFUNCTION("""COMPUTED_VALUE"""),0.42233796296296294)</f>
        <v>0.422337963</v>
      </c>
      <c r="K1038" s="54"/>
      <c r="L1038" s="7"/>
      <c r="M1038" s="312"/>
      <c r="N1038" s="172">
        <f>IFERROR(__xludf.DUMMYFUNCTION("""COMPUTED_VALUE"""),4.0)</f>
        <v>4</v>
      </c>
      <c r="O1038" s="172"/>
      <c r="P1038" s="313">
        <f>IFERROR(__xludf.DUMMYFUNCTION("""COMPUTED_VALUE"""),0.0)</f>
        <v>0</v>
      </c>
      <c r="Q1038" s="76" t="b">
        <f>VLOOKUP($B1038,'Run Reconcile'!B$2:O1399,14,FALSE)</f>
        <v>1</v>
      </c>
      <c r="R1038" s="314" t="str">
        <f t="array" ref="R1038">IF($Q1038, INDEX('Run Reconcile'!A$2:A1399,MATCH(B1038,'Run Reconcile'!B$2:B1399,0),1),IFERROR(0/0,""))</f>
        <v>RUN-ABRM_2023-03-22_RFR-189</v>
      </c>
      <c r="S1038" s="315" t="str">
        <f t="shared" ref="S1038:T1038" si="2044">IF(COUNTIF(W$2:W1399, $A1038) &gt; 0,TRUE,IFERROR(0/0,""))</f>
        <v/>
      </c>
      <c r="T1038" s="315" t="str">
        <f t="shared" si="2044"/>
        <v/>
      </c>
      <c r="U1038" s="114" t="str">
        <f t="array" ref="U1038">IF(ISBLANK($R1038), INDEX('Run Reconcile'!A$2:A1399, MATCH($B1038, 'Run Reconcile'!B$2:B1399, 0)+Z1038, 1), IFERROR(0/0,""))
</f>
        <v/>
      </c>
      <c r="V1038" s="316" t="str">
        <f t="shared" si="1281"/>
        <v>RUN-ABRM_2023-03-22_RFR-189</v>
      </c>
      <c r="Y1038" s="317" t="str">
        <f t="shared" si="6"/>
        <v/>
      </c>
      <c r="Z1038" s="83" t="str">
        <f t="shared" si="7"/>
        <v/>
      </c>
      <c r="AA1038" s="83" t="str">
        <f t="shared" si="8"/>
        <v/>
      </c>
      <c r="AB1038" s="83" t="str">
        <f t="shared" si="9"/>
        <v/>
      </c>
      <c r="AC1038" s="18"/>
      <c r="AD1038" s="18"/>
      <c r="AE1038" s="43"/>
      <c r="AF1038" s="58" t="s">
        <v>157</v>
      </c>
      <c r="AG1038" s="55" t="str">
        <f t="shared" si="11"/>
        <v/>
      </c>
    </row>
    <row r="1039">
      <c r="A1039" s="7" t="str">
        <f>IFERROR(__xludf.DUMMYFUNCTION("""COMPUTED_VALUE"""),"AR751")</f>
        <v>AR751</v>
      </c>
      <c r="B1039" s="308">
        <f>IFERROR(__xludf.DUMMYFUNCTION("""COMPUTED_VALUE"""),45007.0)</f>
        <v>45007</v>
      </c>
      <c r="C1039" s="309">
        <f>IFERROR(__xludf.DUMMYFUNCTION("""COMPUTED_VALUE"""),0.34019675925925924)</f>
        <v>0.3401967593</v>
      </c>
      <c r="D1039" s="7" t="str">
        <f>IFERROR(__xludf.DUMMYFUNCTION("""COMPUTED_VALUE"""),"SpABRM841252")</f>
        <v>SpABRM841252</v>
      </c>
      <c r="E1039" s="310"/>
      <c r="F1039" s="310"/>
      <c r="G1039" s="310" t="str">
        <f>IFERROR(__xludf.DUMMYFUNCTION("""COMPUTED_VALUE"""),"Negative")</f>
        <v>Negative</v>
      </c>
      <c r="H1039" s="319" t="str">
        <f>IFERROR(__xludf.DUMMYFUNCTION("""COMPUTED_VALUE"""),"Negative")</f>
        <v>Negative</v>
      </c>
      <c r="I1039" s="308">
        <f>IFERROR(__xludf.DUMMYFUNCTION("""COMPUTED_VALUE"""),45007.0)</f>
        <v>45007</v>
      </c>
      <c r="J1039" s="311">
        <f>IFERROR(__xludf.DUMMYFUNCTION("""COMPUTED_VALUE"""),0.42233796296296294)</f>
        <v>0.422337963</v>
      </c>
      <c r="K1039" s="54"/>
      <c r="L1039" s="7"/>
      <c r="M1039" s="312"/>
      <c r="N1039" s="172">
        <f>IFERROR(__xludf.DUMMYFUNCTION("""COMPUTED_VALUE"""),1.0)</f>
        <v>1</v>
      </c>
      <c r="O1039" s="172"/>
      <c r="P1039" s="313">
        <f>IFERROR(__xludf.DUMMYFUNCTION("""COMPUTED_VALUE"""),0.0)</f>
        <v>0</v>
      </c>
      <c r="Q1039" s="76" t="b">
        <f>VLOOKUP($B1039,'Run Reconcile'!B$2:O1399,14,FALSE)</f>
        <v>1</v>
      </c>
      <c r="R1039" s="314" t="str">
        <f t="array" ref="R1039">IF($Q1039, INDEX('Run Reconcile'!A$2:A1399,MATCH(B1039,'Run Reconcile'!B$2:B1399,0),1),IFERROR(0/0,""))</f>
        <v>RUN-ABRM_2023-03-22_RFR-189</v>
      </c>
      <c r="S1039" s="315" t="str">
        <f t="shared" ref="S1039:T1039" si="2045">IF(COUNTIF(W$2:W1399, $A1039) &gt; 0,TRUE,IFERROR(0/0,""))</f>
        <v/>
      </c>
      <c r="T1039" s="315" t="str">
        <f t="shared" si="2045"/>
        <v/>
      </c>
      <c r="U1039" s="114" t="str">
        <f t="array" ref="U1039">IF(ISBLANK($R1039), INDEX('Run Reconcile'!A$2:A1399, MATCH($B1039, 'Run Reconcile'!B$2:B1399, 0)+Z1039, 1), IFERROR(0/0,""))
</f>
        <v/>
      </c>
      <c r="V1039" s="316" t="str">
        <f t="shared" si="1281"/>
        <v>RUN-ABRM_2023-03-22_RFR-189</v>
      </c>
      <c r="Y1039" s="317" t="str">
        <f t="shared" si="6"/>
        <v/>
      </c>
      <c r="Z1039" s="83" t="str">
        <f t="shared" si="7"/>
        <v/>
      </c>
      <c r="AA1039" s="83" t="str">
        <f t="shared" si="8"/>
        <v/>
      </c>
      <c r="AB1039" s="83" t="str">
        <f t="shared" si="9"/>
        <v/>
      </c>
      <c r="AC1039" s="18"/>
      <c r="AD1039" s="18"/>
      <c r="AE1039" s="43"/>
      <c r="AF1039" s="58" t="s">
        <v>157</v>
      </c>
      <c r="AG1039" s="55" t="str">
        <f t="shared" si="11"/>
        <v/>
      </c>
    </row>
    <row r="1040">
      <c r="A1040" s="7" t="str">
        <f>IFERROR(__xludf.DUMMYFUNCTION("""COMPUTED_VALUE"""),"AR1443")</f>
        <v>AR1443</v>
      </c>
      <c r="B1040" s="308">
        <f>IFERROR(__xludf.DUMMYFUNCTION("""COMPUTED_VALUE"""),45008.0)</f>
        <v>45008</v>
      </c>
      <c r="C1040" s="309">
        <f>IFERROR(__xludf.DUMMYFUNCTION("""COMPUTED_VALUE"""),0.2771412037037037)</f>
        <v>0.2771412037</v>
      </c>
      <c r="D1040" s="7" t="str">
        <f>IFERROR(__xludf.DUMMYFUNCTION("""COMPUTED_VALUE"""),"SpABRM519188")</f>
        <v>SpABRM519188</v>
      </c>
      <c r="E1040" s="310"/>
      <c r="F1040" s="310"/>
      <c r="G1040" s="310" t="str">
        <f>IFERROR(__xludf.DUMMYFUNCTION("""COMPUTED_VALUE"""),"Negative")</f>
        <v>Negative</v>
      </c>
      <c r="H1040" s="319" t="str">
        <f>IFERROR(__xludf.DUMMYFUNCTION("""COMPUTED_VALUE"""),"Negative")</f>
        <v>Negative</v>
      </c>
      <c r="I1040" s="308">
        <f>IFERROR(__xludf.DUMMYFUNCTION("""COMPUTED_VALUE"""),45008.0)</f>
        <v>45008</v>
      </c>
      <c r="J1040" s="311">
        <f>IFERROR(__xludf.DUMMYFUNCTION("""COMPUTED_VALUE"""),0.5254629629629629)</f>
        <v>0.525462963</v>
      </c>
      <c r="K1040" s="54"/>
      <c r="L1040" s="7"/>
      <c r="M1040" s="312"/>
      <c r="N1040" s="172">
        <f>IFERROR(__xludf.DUMMYFUNCTION("""COMPUTED_VALUE"""),1.0)</f>
        <v>1</v>
      </c>
      <c r="O1040" s="172"/>
      <c r="P1040" s="313">
        <f>IFERROR(__xludf.DUMMYFUNCTION("""COMPUTED_VALUE"""),0.0)</f>
        <v>0</v>
      </c>
      <c r="Q1040" s="76" t="b">
        <f>VLOOKUP($B1040,'Run Reconcile'!B$2:O1399,14,FALSE)</f>
        <v>1</v>
      </c>
      <c r="R1040" s="314" t="str">
        <f t="array" ref="R1040">IF($Q1040, INDEX('Run Reconcile'!A$2:A1399,MATCH(B1040,'Run Reconcile'!B$2:B1399,0),1),IFERROR(0/0,""))</f>
        <v>RUN-ABRM_2023-03-23_RFR-191</v>
      </c>
      <c r="S1040" s="315" t="str">
        <f t="shared" ref="S1040:T1040" si="2046">IF(COUNTIF(W$2:W1399, $A1040) &gt; 0,TRUE,IFERROR(0/0,""))</f>
        <v/>
      </c>
      <c r="T1040" s="315" t="str">
        <f t="shared" si="2046"/>
        <v/>
      </c>
      <c r="U1040" s="114" t="str">
        <f t="array" ref="U1040">IF(ISBLANK($R1040), INDEX('Run Reconcile'!A$2:A1399, MATCH($B1040, 'Run Reconcile'!B$2:B1399, 0)+Z1040, 1), IFERROR(0/0,""))
</f>
        <v/>
      </c>
      <c r="V1040" s="316" t="str">
        <f t="shared" si="1281"/>
        <v>RUN-ABRM_2023-03-23_RFR-191</v>
      </c>
      <c r="Y1040" s="317" t="str">
        <f t="shared" si="6"/>
        <v/>
      </c>
      <c r="Z1040" s="83" t="str">
        <f t="shared" si="7"/>
        <v/>
      </c>
      <c r="AA1040" s="83" t="str">
        <f t="shared" si="8"/>
        <v/>
      </c>
      <c r="AB1040" s="83" t="str">
        <f t="shared" si="9"/>
        <v/>
      </c>
      <c r="AC1040" s="18"/>
      <c r="AD1040" s="18"/>
      <c r="AE1040" s="43"/>
      <c r="AF1040" s="58" t="s">
        <v>158</v>
      </c>
      <c r="AG1040" s="55" t="str">
        <f t="shared" si="11"/>
        <v/>
      </c>
    </row>
    <row r="1041">
      <c r="A1041" s="7" t="str">
        <f>IFERROR(__xludf.DUMMYFUNCTION("""COMPUTED_VALUE"""),"AK9898")</f>
        <v>AK9898</v>
      </c>
      <c r="B1041" s="308">
        <f>IFERROR(__xludf.DUMMYFUNCTION("""COMPUTED_VALUE"""),45008.0)</f>
        <v>45008</v>
      </c>
      <c r="C1041" s="309">
        <f>IFERROR(__xludf.DUMMYFUNCTION("""COMPUTED_VALUE"""),0.2871412037037037)</f>
        <v>0.2871412037</v>
      </c>
      <c r="D1041" s="7" t="str">
        <f>IFERROR(__xludf.DUMMYFUNCTION("""COMPUTED_VALUE"""),"SpABRM297307")</f>
        <v>SpABRM297307</v>
      </c>
      <c r="E1041" s="310"/>
      <c r="F1041" s="310"/>
      <c r="G1041" s="310" t="str">
        <f>IFERROR(__xludf.DUMMYFUNCTION("""COMPUTED_VALUE"""),"Negative")</f>
        <v>Negative</v>
      </c>
      <c r="H1041" s="319" t="str">
        <f>IFERROR(__xludf.DUMMYFUNCTION("""COMPUTED_VALUE"""),"Negative")</f>
        <v>Negative</v>
      </c>
      <c r="I1041" s="308">
        <f>IFERROR(__xludf.DUMMYFUNCTION("""COMPUTED_VALUE"""),45008.0)</f>
        <v>45008</v>
      </c>
      <c r="J1041" s="311">
        <f>IFERROR(__xludf.DUMMYFUNCTION("""COMPUTED_VALUE"""),0.5254629629629629)</f>
        <v>0.525462963</v>
      </c>
      <c r="K1041" s="54"/>
      <c r="L1041" s="7"/>
      <c r="M1041" s="312"/>
      <c r="N1041" s="172">
        <f>IFERROR(__xludf.DUMMYFUNCTION("""COMPUTED_VALUE"""),3.0)</f>
        <v>3</v>
      </c>
      <c r="O1041" s="172"/>
      <c r="P1041" s="313">
        <f>IFERROR(__xludf.DUMMYFUNCTION("""COMPUTED_VALUE"""),0.0)</f>
        <v>0</v>
      </c>
      <c r="Q1041" s="76" t="b">
        <f>VLOOKUP($B1041,'Run Reconcile'!B$2:O1399,14,FALSE)</f>
        <v>1</v>
      </c>
      <c r="R1041" s="314" t="str">
        <f t="array" ref="R1041">IF($Q1041, INDEX('Run Reconcile'!A$2:A1399,MATCH(B1041,'Run Reconcile'!B$2:B1399,0),1),IFERROR(0/0,""))</f>
        <v>RUN-ABRM_2023-03-23_RFR-191</v>
      </c>
      <c r="S1041" s="315" t="str">
        <f t="shared" ref="S1041:T1041" si="2047">IF(COUNTIF(W$2:W1399, $A1041) &gt; 0,TRUE,IFERROR(0/0,""))</f>
        <v/>
      </c>
      <c r="T1041" s="315" t="str">
        <f t="shared" si="2047"/>
        <v/>
      </c>
      <c r="U1041" s="114" t="str">
        <f t="array" ref="U1041">IF(ISBLANK($R1041), INDEX('Run Reconcile'!A$2:A1399, MATCH($B1041, 'Run Reconcile'!B$2:B1399, 0)+Z1041, 1), IFERROR(0/0,""))
</f>
        <v/>
      </c>
      <c r="V1041" s="316" t="str">
        <f t="shared" si="1281"/>
        <v>RUN-ABRM_2023-03-23_RFR-191</v>
      </c>
      <c r="Y1041" s="317" t="str">
        <f t="shared" si="6"/>
        <v/>
      </c>
      <c r="Z1041" s="83" t="str">
        <f t="shared" si="7"/>
        <v/>
      </c>
      <c r="AA1041" s="83" t="str">
        <f t="shared" si="8"/>
        <v/>
      </c>
      <c r="AB1041" s="83" t="str">
        <f t="shared" si="9"/>
        <v/>
      </c>
      <c r="AC1041" s="18"/>
      <c r="AD1041" s="18"/>
      <c r="AE1041" s="43"/>
      <c r="AF1041" s="58" t="s">
        <v>158</v>
      </c>
      <c r="AG1041" s="55" t="str">
        <f t="shared" si="11"/>
        <v/>
      </c>
    </row>
    <row r="1042">
      <c r="A1042" s="7" t="str">
        <f>IFERROR(__xludf.DUMMYFUNCTION("""COMPUTED_VALUE"""),"AR946")</f>
        <v>AR946</v>
      </c>
      <c r="B1042" s="308">
        <f>IFERROR(__xludf.DUMMYFUNCTION("""COMPUTED_VALUE"""),45008.0)</f>
        <v>45008</v>
      </c>
      <c r="C1042" s="309">
        <f>IFERROR(__xludf.DUMMYFUNCTION("""COMPUTED_VALUE"""),0.2886574074074074)</f>
        <v>0.2886574074</v>
      </c>
      <c r="D1042" s="7" t="str">
        <f>IFERROR(__xludf.DUMMYFUNCTION("""COMPUTED_VALUE"""),"SpABRM367540")</f>
        <v>SpABRM367540</v>
      </c>
      <c r="E1042" s="310"/>
      <c r="F1042" s="310"/>
      <c r="G1042" s="310" t="str">
        <f>IFERROR(__xludf.DUMMYFUNCTION("""COMPUTED_VALUE"""),"Negative")</f>
        <v>Negative</v>
      </c>
      <c r="H1042" s="319" t="str">
        <f>IFERROR(__xludf.DUMMYFUNCTION("""COMPUTED_VALUE"""),"Negative")</f>
        <v>Negative</v>
      </c>
      <c r="I1042" s="308">
        <f>IFERROR(__xludf.DUMMYFUNCTION("""COMPUTED_VALUE"""),45008.0)</f>
        <v>45008</v>
      </c>
      <c r="J1042" s="311">
        <f>IFERROR(__xludf.DUMMYFUNCTION("""COMPUTED_VALUE"""),0.5254629629629629)</f>
        <v>0.525462963</v>
      </c>
      <c r="K1042" s="54"/>
      <c r="L1042" s="7"/>
      <c r="M1042" s="312"/>
      <c r="N1042" s="172">
        <f>IFERROR(__xludf.DUMMYFUNCTION("""COMPUTED_VALUE"""),3.0)</f>
        <v>3</v>
      </c>
      <c r="O1042" s="172"/>
      <c r="P1042" s="313">
        <f>IFERROR(__xludf.DUMMYFUNCTION("""COMPUTED_VALUE"""),0.0)</f>
        <v>0</v>
      </c>
      <c r="Q1042" s="76" t="b">
        <f>VLOOKUP($B1042,'Run Reconcile'!B$2:O1399,14,FALSE)</f>
        <v>1</v>
      </c>
      <c r="R1042" s="314" t="str">
        <f t="array" ref="R1042">IF($Q1042, INDEX('Run Reconcile'!A$2:A1399,MATCH(B1042,'Run Reconcile'!B$2:B1399,0),1),IFERROR(0/0,""))</f>
        <v>RUN-ABRM_2023-03-23_RFR-191</v>
      </c>
      <c r="S1042" s="315" t="str">
        <f t="shared" ref="S1042:T1042" si="2048">IF(COUNTIF(W$2:W1399, $A1042) &gt; 0,TRUE,IFERROR(0/0,""))</f>
        <v/>
      </c>
      <c r="T1042" s="315" t="str">
        <f t="shared" si="2048"/>
        <v/>
      </c>
      <c r="U1042" s="114" t="str">
        <f t="array" ref="U1042">IF(ISBLANK($R1042), INDEX('Run Reconcile'!A$2:A1399, MATCH($B1042, 'Run Reconcile'!B$2:B1399, 0)+Z1042, 1), IFERROR(0/0,""))
</f>
        <v/>
      </c>
      <c r="V1042" s="316" t="str">
        <f t="shared" si="1281"/>
        <v>RUN-ABRM_2023-03-23_RFR-191</v>
      </c>
      <c r="Y1042" s="317" t="str">
        <f t="shared" si="6"/>
        <v/>
      </c>
      <c r="Z1042" s="83" t="str">
        <f t="shared" si="7"/>
        <v/>
      </c>
      <c r="AA1042" s="83" t="str">
        <f t="shared" si="8"/>
        <v/>
      </c>
      <c r="AB1042" s="83" t="str">
        <f t="shared" si="9"/>
        <v/>
      </c>
      <c r="AC1042" s="18"/>
      <c r="AD1042" s="18"/>
      <c r="AE1042" s="43"/>
      <c r="AF1042" s="58" t="s">
        <v>158</v>
      </c>
      <c r="AG1042" s="55" t="str">
        <f t="shared" si="11"/>
        <v/>
      </c>
    </row>
    <row r="1043">
      <c r="A1043" s="7" t="str">
        <f>IFERROR(__xludf.DUMMYFUNCTION("""COMPUTED_VALUE"""),"AB9712")</f>
        <v>AB9712</v>
      </c>
      <c r="B1043" s="308">
        <f>IFERROR(__xludf.DUMMYFUNCTION("""COMPUTED_VALUE"""),45008.0)</f>
        <v>45008</v>
      </c>
      <c r="C1043" s="309">
        <f>IFERROR(__xludf.DUMMYFUNCTION("""COMPUTED_VALUE"""),0.30819444444444444)</f>
        <v>0.3081944444</v>
      </c>
      <c r="D1043" s="7" t="str">
        <f>IFERROR(__xludf.DUMMYFUNCTION("""COMPUTED_VALUE"""),"SpABRM716377")</f>
        <v>SpABRM716377</v>
      </c>
      <c r="E1043" s="310"/>
      <c r="F1043" s="310"/>
      <c r="G1043" s="310" t="str">
        <f>IFERROR(__xludf.DUMMYFUNCTION("""COMPUTED_VALUE"""),"Negative")</f>
        <v>Negative</v>
      </c>
      <c r="H1043" s="319" t="str">
        <f>IFERROR(__xludf.DUMMYFUNCTION("""COMPUTED_VALUE"""),"Negative")</f>
        <v>Negative</v>
      </c>
      <c r="I1043" s="308">
        <f>IFERROR(__xludf.DUMMYFUNCTION("""COMPUTED_VALUE"""),45008.0)</f>
        <v>45008</v>
      </c>
      <c r="J1043" s="311">
        <f>IFERROR(__xludf.DUMMYFUNCTION("""COMPUTED_VALUE"""),0.5254629629629629)</f>
        <v>0.525462963</v>
      </c>
      <c r="K1043" s="54"/>
      <c r="L1043" s="7"/>
      <c r="M1043" s="312"/>
      <c r="N1043" s="172">
        <f>IFERROR(__xludf.DUMMYFUNCTION("""COMPUTED_VALUE"""),2.0)</f>
        <v>2</v>
      </c>
      <c r="O1043" s="172"/>
      <c r="P1043" s="313">
        <f>IFERROR(__xludf.DUMMYFUNCTION("""COMPUTED_VALUE"""),0.0)</f>
        <v>0</v>
      </c>
      <c r="Q1043" s="76" t="b">
        <f>VLOOKUP($B1043,'Run Reconcile'!B$2:O1399,14,FALSE)</f>
        <v>1</v>
      </c>
      <c r="R1043" s="314" t="str">
        <f t="array" ref="R1043">IF($Q1043, INDEX('Run Reconcile'!A$2:A1399,MATCH(B1043,'Run Reconcile'!B$2:B1399,0),1),IFERROR(0/0,""))</f>
        <v>RUN-ABRM_2023-03-23_RFR-191</v>
      </c>
      <c r="S1043" s="315" t="str">
        <f t="shared" ref="S1043:T1043" si="2049">IF(COUNTIF(W$2:W1399, $A1043) &gt; 0,TRUE,IFERROR(0/0,""))</f>
        <v/>
      </c>
      <c r="T1043" s="315" t="str">
        <f t="shared" si="2049"/>
        <v/>
      </c>
      <c r="U1043" s="114" t="str">
        <f t="array" ref="U1043">IF(ISBLANK($R1043), INDEX('Run Reconcile'!A$2:A1399, MATCH($B1043, 'Run Reconcile'!B$2:B1399, 0)+Z1043, 1), IFERROR(0/0,""))
</f>
        <v/>
      </c>
      <c r="V1043" s="316" t="str">
        <f t="shared" si="1281"/>
        <v>RUN-ABRM_2023-03-23_RFR-191</v>
      </c>
      <c r="Y1043" s="317" t="str">
        <f t="shared" si="6"/>
        <v/>
      </c>
      <c r="Z1043" s="83" t="str">
        <f t="shared" si="7"/>
        <v/>
      </c>
      <c r="AA1043" s="83" t="str">
        <f t="shared" si="8"/>
        <v/>
      </c>
      <c r="AB1043" s="83" t="str">
        <f t="shared" si="9"/>
        <v/>
      </c>
      <c r="AC1043" s="18"/>
      <c r="AD1043" s="18"/>
      <c r="AE1043" s="43"/>
      <c r="AF1043" s="58" t="s">
        <v>158</v>
      </c>
      <c r="AG1043" s="55" t="str">
        <f t="shared" si="11"/>
        <v/>
      </c>
    </row>
    <row r="1044">
      <c r="A1044" s="7" t="str">
        <f>IFERROR(__xludf.DUMMYFUNCTION("""COMPUTED_VALUE"""),"AR861")</f>
        <v>AR861</v>
      </c>
      <c r="B1044" s="308">
        <f>IFERROR(__xludf.DUMMYFUNCTION("""COMPUTED_VALUE"""),45008.0)</f>
        <v>45008</v>
      </c>
      <c r="C1044" s="309">
        <f>IFERROR(__xludf.DUMMYFUNCTION("""COMPUTED_VALUE"""),0.3091087962962963)</f>
        <v>0.3091087963</v>
      </c>
      <c r="D1044" s="7" t="str">
        <f>IFERROR(__xludf.DUMMYFUNCTION("""COMPUTED_VALUE"""),"SpABRM655136")</f>
        <v>SpABRM655136</v>
      </c>
      <c r="E1044" s="310"/>
      <c r="F1044" s="310"/>
      <c r="G1044" s="310" t="str">
        <f>IFERROR(__xludf.DUMMYFUNCTION("""COMPUTED_VALUE"""),"Negative")</f>
        <v>Negative</v>
      </c>
      <c r="H1044" s="319" t="str">
        <f>IFERROR(__xludf.DUMMYFUNCTION("""COMPUTED_VALUE"""),"Negative")</f>
        <v>Negative</v>
      </c>
      <c r="I1044" s="308">
        <f>IFERROR(__xludf.DUMMYFUNCTION("""COMPUTED_VALUE"""),45008.0)</f>
        <v>45008</v>
      </c>
      <c r="J1044" s="311">
        <f>IFERROR(__xludf.DUMMYFUNCTION("""COMPUTED_VALUE"""),0.5254629629629629)</f>
        <v>0.525462963</v>
      </c>
      <c r="K1044" s="54"/>
      <c r="L1044" s="7"/>
      <c r="M1044" s="312"/>
      <c r="N1044" s="172">
        <f>IFERROR(__xludf.DUMMYFUNCTION("""COMPUTED_VALUE"""),2.0)</f>
        <v>2</v>
      </c>
      <c r="O1044" s="172"/>
      <c r="P1044" s="313">
        <f>IFERROR(__xludf.DUMMYFUNCTION("""COMPUTED_VALUE"""),0.0)</f>
        <v>0</v>
      </c>
      <c r="Q1044" s="76" t="b">
        <f>VLOOKUP($B1044,'Run Reconcile'!B$2:O1399,14,FALSE)</f>
        <v>1</v>
      </c>
      <c r="R1044" s="314" t="str">
        <f t="array" ref="R1044">IF($Q1044, INDEX('Run Reconcile'!A$2:A1399,MATCH(B1044,'Run Reconcile'!B$2:B1399,0),1),IFERROR(0/0,""))</f>
        <v>RUN-ABRM_2023-03-23_RFR-191</v>
      </c>
      <c r="S1044" s="315" t="str">
        <f t="shared" ref="S1044:T1044" si="2050">IF(COUNTIF(W$2:W1399, $A1044) &gt; 0,TRUE,IFERROR(0/0,""))</f>
        <v/>
      </c>
      <c r="T1044" s="315" t="str">
        <f t="shared" si="2050"/>
        <v/>
      </c>
      <c r="U1044" s="114" t="str">
        <f t="array" ref="U1044">IF(ISBLANK($R1044), INDEX('Run Reconcile'!A$2:A1399, MATCH($B1044, 'Run Reconcile'!B$2:B1399, 0)+Z1044, 1), IFERROR(0/0,""))
</f>
        <v/>
      </c>
      <c r="V1044" s="316" t="str">
        <f t="shared" si="1281"/>
        <v>RUN-ABRM_2023-03-23_RFR-191</v>
      </c>
      <c r="Y1044" s="317" t="str">
        <f t="shared" si="6"/>
        <v/>
      </c>
      <c r="Z1044" s="83" t="str">
        <f t="shared" si="7"/>
        <v/>
      </c>
      <c r="AA1044" s="83" t="str">
        <f t="shared" si="8"/>
        <v/>
      </c>
      <c r="AB1044" s="83" t="str">
        <f t="shared" si="9"/>
        <v/>
      </c>
      <c r="AC1044" s="18"/>
      <c r="AD1044" s="18"/>
      <c r="AE1044" s="43"/>
      <c r="AF1044" s="58" t="s">
        <v>158</v>
      </c>
      <c r="AG1044" s="55" t="str">
        <f t="shared" si="11"/>
        <v/>
      </c>
    </row>
    <row r="1045">
      <c r="A1045" s="7" t="str">
        <f>IFERROR(__xludf.DUMMYFUNCTION("""COMPUTED_VALUE"""),"AR695")</f>
        <v>AR695</v>
      </c>
      <c r="B1045" s="308">
        <f>IFERROR(__xludf.DUMMYFUNCTION("""COMPUTED_VALUE"""),45008.0)</f>
        <v>45008</v>
      </c>
      <c r="C1045" s="309">
        <f>IFERROR(__xludf.DUMMYFUNCTION("""COMPUTED_VALUE"""),0.3226736111111111)</f>
        <v>0.3226736111</v>
      </c>
      <c r="D1045" s="7" t="str">
        <f>IFERROR(__xludf.DUMMYFUNCTION("""COMPUTED_VALUE"""),"SpABRM841252")</f>
        <v>SpABRM841252</v>
      </c>
      <c r="E1045" s="310"/>
      <c r="F1045" s="310"/>
      <c r="G1045" s="310" t="str">
        <f>IFERROR(__xludf.DUMMYFUNCTION("""COMPUTED_VALUE"""),"Negative")</f>
        <v>Negative</v>
      </c>
      <c r="H1045" s="319" t="str">
        <f>IFERROR(__xludf.DUMMYFUNCTION("""COMPUTED_VALUE"""),"Negative")</f>
        <v>Negative</v>
      </c>
      <c r="I1045" s="308">
        <f>IFERROR(__xludf.DUMMYFUNCTION("""COMPUTED_VALUE"""),45008.0)</f>
        <v>45008</v>
      </c>
      <c r="J1045" s="311">
        <f>IFERROR(__xludf.DUMMYFUNCTION("""COMPUTED_VALUE"""),0.5254629629629629)</f>
        <v>0.525462963</v>
      </c>
      <c r="K1045" s="54"/>
      <c r="L1045" s="7"/>
      <c r="M1045" s="312"/>
      <c r="N1045" s="172">
        <f>IFERROR(__xludf.DUMMYFUNCTION("""COMPUTED_VALUE"""),1.0)</f>
        <v>1</v>
      </c>
      <c r="O1045" s="172"/>
      <c r="P1045" s="313">
        <f>IFERROR(__xludf.DUMMYFUNCTION("""COMPUTED_VALUE"""),0.0)</f>
        <v>0</v>
      </c>
      <c r="Q1045" s="76" t="b">
        <f>VLOOKUP($B1045,'Run Reconcile'!B$2:O1399,14,FALSE)</f>
        <v>1</v>
      </c>
      <c r="R1045" s="314" t="str">
        <f t="array" ref="R1045">IF($Q1045, INDEX('Run Reconcile'!A$2:A1399,MATCH(B1045,'Run Reconcile'!B$2:B1399,0),1),IFERROR(0/0,""))</f>
        <v>RUN-ABRM_2023-03-23_RFR-191</v>
      </c>
      <c r="S1045" s="315" t="str">
        <f t="shared" ref="S1045:T1045" si="2051">IF(COUNTIF(W$2:W1399, $A1045) &gt; 0,TRUE,IFERROR(0/0,""))</f>
        <v/>
      </c>
      <c r="T1045" s="315" t="str">
        <f t="shared" si="2051"/>
        <v/>
      </c>
      <c r="U1045" s="114" t="str">
        <f t="array" ref="U1045">IF(ISBLANK($R1045), INDEX('Run Reconcile'!A$2:A1399, MATCH($B1045, 'Run Reconcile'!B$2:B1399, 0)+Z1045, 1), IFERROR(0/0,""))
</f>
        <v/>
      </c>
      <c r="V1045" s="316" t="str">
        <f t="shared" si="1281"/>
        <v>RUN-ABRM_2023-03-23_RFR-191</v>
      </c>
      <c r="Y1045" s="317" t="str">
        <f t="shared" si="6"/>
        <v/>
      </c>
      <c r="Z1045" s="83" t="str">
        <f t="shared" si="7"/>
        <v/>
      </c>
      <c r="AA1045" s="83" t="str">
        <f t="shared" si="8"/>
        <v/>
      </c>
      <c r="AB1045" s="83" t="str">
        <f t="shared" si="9"/>
        <v/>
      </c>
      <c r="AC1045" s="18"/>
      <c r="AD1045" s="18"/>
      <c r="AE1045" s="43"/>
      <c r="AF1045" s="58" t="s">
        <v>158</v>
      </c>
      <c r="AG1045" s="55" t="str">
        <f t="shared" si="11"/>
        <v/>
      </c>
    </row>
    <row r="1046">
      <c r="A1046" s="7" t="str">
        <f>IFERROR(__xludf.DUMMYFUNCTION("""COMPUTED_VALUE"""),"AR1476")</f>
        <v>AR1476</v>
      </c>
      <c r="B1046" s="308">
        <f>IFERROR(__xludf.DUMMYFUNCTION("""COMPUTED_VALUE"""),45008.0)</f>
        <v>45008</v>
      </c>
      <c r="C1046" s="309">
        <f>IFERROR(__xludf.DUMMYFUNCTION("""COMPUTED_VALUE"""),0.3243287037037037)</f>
        <v>0.3243287037</v>
      </c>
      <c r="D1046" s="7" t="str">
        <f>IFERROR(__xludf.DUMMYFUNCTION("""COMPUTED_VALUE"""),"SpABRM841252")</f>
        <v>SpABRM841252</v>
      </c>
      <c r="E1046" s="310"/>
      <c r="F1046" s="310"/>
      <c r="G1046" s="310" t="str">
        <f>IFERROR(__xludf.DUMMYFUNCTION("""COMPUTED_VALUE"""),"Negative")</f>
        <v>Negative</v>
      </c>
      <c r="H1046" s="319" t="str">
        <f>IFERROR(__xludf.DUMMYFUNCTION("""COMPUTED_VALUE"""),"Negative")</f>
        <v>Negative</v>
      </c>
      <c r="I1046" s="308">
        <f>IFERROR(__xludf.DUMMYFUNCTION("""COMPUTED_VALUE"""),45008.0)</f>
        <v>45008</v>
      </c>
      <c r="J1046" s="311">
        <f>IFERROR(__xludf.DUMMYFUNCTION("""COMPUTED_VALUE"""),0.5254629629629629)</f>
        <v>0.525462963</v>
      </c>
      <c r="K1046" s="54"/>
      <c r="L1046" s="7"/>
      <c r="M1046" s="312"/>
      <c r="N1046" s="172">
        <f>IFERROR(__xludf.DUMMYFUNCTION("""COMPUTED_VALUE"""),2.0)</f>
        <v>2</v>
      </c>
      <c r="O1046" s="172"/>
      <c r="P1046" s="313">
        <f>IFERROR(__xludf.DUMMYFUNCTION("""COMPUTED_VALUE"""),0.0)</f>
        <v>0</v>
      </c>
      <c r="Q1046" s="76" t="b">
        <f>VLOOKUP($B1046,'Run Reconcile'!B$2:O1399,14,FALSE)</f>
        <v>1</v>
      </c>
      <c r="R1046" s="314" t="str">
        <f t="array" ref="R1046">IF($Q1046, INDEX('Run Reconcile'!A$2:A1399,MATCH(B1046,'Run Reconcile'!B$2:B1399,0),1),IFERROR(0/0,""))</f>
        <v>RUN-ABRM_2023-03-23_RFR-191</v>
      </c>
      <c r="S1046" s="315" t="str">
        <f t="shared" ref="S1046:T1046" si="2052">IF(COUNTIF(W$2:W1399, $A1046) &gt; 0,TRUE,IFERROR(0/0,""))</f>
        <v/>
      </c>
      <c r="T1046" s="315" t="str">
        <f t="shared" si="2052"/>
        <v/>
      </c>
      <c r="U1046" s="114" t="str">
        <f t="array" ref="U1046">IF(ISBLANK($R1046), INDEX('Run Reconcile'!A$2:A1399, MATCH($B1046, 'Run Reconcile'!B$2:B1399, 0)+Z1046, 1), IFERROR(0/0,""))
</f>
        <v/>
      </c>
      <c r="V1046" s="316" t="str">
        <f t="shared" si="1281"/>
        <v>RUN-ABRM_2023-03-23_RFR-191</v>
      </c>
      <c r="Y1046" s="317" t="str">
        <f t="shared" si="6"/>
        <v/>
      </c>
      <c r="Z1046" s="83" t="str">
        <f t="shared" si="7"/>
        <v/>
      </c>
      <c r="AA1046" s="83" t="str">
        <f t="shared" si="8"/>
        <v/>
      </c>
      <c r="AB1046" s="83" t="str">
        <f t="shared" si="9"/>
        <v/>
      </c>
      <c r="AC1046" s="18"/>
      <c r="AD1046" s="18"/>
      <c r="AE1046" s="43"/>
      <c r="AF1046" s="58" t="s">
        <v>158</v>
      </c>
      <c r="AG1046" s="55" t="str">
        <f t="shared" si="11"/>
        <v/>
      </c>
    </row>
    <row r="1047">
      <c r="A1047" s="7" t="str">
        <f>IFERROR(__xludf.DUMMYFUNCTION("""COMPUTED_VALUE"""),"AR1297")</f>
        <v>AR1297</v>
      </c>
      <c r="B1047" s="308">
        <f>IFERROR(__xludf.DUMMYFUNCTION("""COMPUTED_VALUE"""),45008.0)</f>
        <v>45008</v>
      </c>
      <c r="C1047" s="309">
        <f>IFERROR(__xludf.DUMMYFUNCTION("""COMPUTED_VALUE"""),0.3281365740740741)</f>
        <v>0.3281365741</v>
      </c>
      <c r="D1047" s="7" t="str">
        <f>IFERROR(__xludf.DUMMYFUNCTION("""COMPUTED_VALUE"""),"SpABRM841252")</f>
        <v>SpABRM841252</v>
      </c>
      <c r="E1047" s="310"/>
      <c r="F1047" s="310"/>
      <c r="G1047" s="310" t="str">
        <f>IFERROR(__xludf.DUMMYFUNCTION("""COMPUTED_VALUE"""),"Negative")</f>
        <v>Negative</v>
      </c>
      <c r="H1047" s="319" t="str">
        <f>IFERROR(__xludf.DUMMYFUNCTION("""COMPUTED_VALUE"""),"Negative")</f>
        <v>Negative</v>
      </c>
      <c r="I1047" s="308">
        <f>IFERROR(__xludf.DUMMYFUNCTION("""COMPUTED_VALUE"""),45008.0)</f>
        <v>45008</v>
      </c>
      <c r="J1047" s="311">
        <f>IFERROR(__xludf.DUMMYFUNCTION("""COMPUTED_VALUE"""),0.5254629629629629)</f>
        <v>0.525462963</v>
      </c>
      <c r="K1047" s="54"/>
      <c r="L1047" s="7"/>
      <c r="M1047" s="312"/>
      <c r="N1047" s="172">
        <f>IFERROR(__xludf.DUMMYFUNCTION("""COMPUTED_VALUE"""),2.0)</f>
        <v>2</v>
      </c>
      <c r="O1047" s="172"/>
      <c r="P1047" s="313">
        <f>IFERROR(__xludf.DUMMYFUNCTION("""COMPUTED_VALUE"""),0.0)</f>
        <v>0</v>
      </c>
      <c r="Q1047" s="76" t="b">
        <f>VLOOKUP($B1047,'Run Reconcile'!B$2:O1399,14,FALSE)</f>
        <v>1</v>
      </c>
      <c r="R1047" s="314" t="str">
        <f t="array" ref="R1047">IF($Q1047, INDEX('Run Reconcile'!A$2:A1399,MATCH(B1047,'Run Reconcile'!B$2:B1399,0),1),IFERROR(0/0,""))</f>
        <v>RUN-ABRM_2023-03-23_RFR-191</v>
      </c>
      <c r="S1047" s="315" t="str">
        <f t="shared" ref="S1047:T1047" si="2053">IF(COUNTIF(W$2:W1399, $A1047) &gt; 0,TRUE,IFERROR(0/0,""))</f>
        <v/>
      </c>
      <c r="T1047" s="315" t="str">
        <f t="shared" si="2053"/>
        <v/>
      </c>
      <c r="U1047" s="114" t="str">
        <f t="array" ref="U1047">IF(ISBLANK($R1047), INDEX('Run Reconcile'!A$2:A1399, MATCH($B1047, 'Run Reconcile'!B$2:B1399, 0)+Z1047, 1), IFERROR(0/0,""))
</f>
        <v/>
      </c>
      <c r="V1047" s="316" t="str">
        <f t="shared" si="1281"/>
        <v>RUN-ABRM_2023-03-23_RFR-191</v>
      </c>
      <c r="Y1047" s="317" t="str">
        <f t="shared" si="6"/>
        <v/>
      </c>
      <c r="Z1047" s="83" t="str">
        <f t="shared" si="7"/>
        <v/>
      </c>
      <c r="AA1047" s="83" t="str">
        <f t="shared" si="8"/>
        <v/>
      </c>
      <c r="AB1047" s="83" t="str">
        <f t="shared" si="9"/>
        <v/>
      </c>
      <c r="AC1047" s="18"/>
      <c r="AD1047" s="18"/>
      <c r="AE1047" s="43"/>
      <c r="AF1047" s="58" t="s">
        <v>158</v>
      </c>
      <c r="AG1047" s="55" t="str">
        <f t="shared" si="11"/>
        <v/>
      </c>
    </row>
    <row r="1048">
      <c r="A1048" s="7" t="str">
        <f>IFERROR(__xludf.DUMMYFUNCTION("""COMPUTED_VALUE"""),"AR1468")</f>
        <v>AR1468</v>
      </c>
      <c r="B1048" s="308">
        <f>IFERROR(__xludf.DUMMYFUNCTION("""COMPUTED_VALUE"""),45008.0)</f>
        <v>45008</v>
      </c>
      <c r="C1048" s="309">
        <f>IFERROR(__xludf.DUMMYFUNCTION("""COMPUTED_VALUE"""),0.3416898148148148)</f>
        <v>0.3416898148</v>
      </c>
      <c r="D1048" s="7" t="str">
        <f>IFERROR(__xludf.DUMMYFUNCTION("""COMPUTED_VALUE"""),"SpABRM841252")</f>
        <v>SpABRM841252</v>
      </c>
      <c r="E1048" s="310"/>
      <c r="F1048" s="310"/>
      <c r="G1048" s="310" t="str">
        <f>IFERROR(__xludf.DUMMYFUNCTION("""COMPUTED_VALUE"""),"Negative")</f>
        <v>Negative</v>
      </c>
      <c r="H1048" s="319" t="str">
        <f>IFERROR(__xludf.DUMMYFUNCTION("""COMPUTED_VALUE"""),"Negative")</f>
        <v>Negative</v>
      </c>
      <c r="I1048" s="308">
        <f>IFERROR(__xludf.DUMMYFUNCTION("""COMPUTED_VALUE"""),45008.0)</f>
        <v>45008</v>
      </c>
      <c r="J1048" s="311">
        <f>IFERROR(__xludf.DUMMYFUNCTION("""COMPUTED_VALUE"""),0.5254629629629629)</f>
        <v>0.525462963</v>
      </c>
      <c r="K1048" s="54"/>
      <c r="L1048" s="7"/>
      <c r="M1048" s="312"/>
      <c r="N1048" s="172">
        <f>IFERROR(__xludf.DUMMYFUNCTION("""COMPUTED_VALUE"""),4.0)</f>
        <v>4</v>
      </c>
      <c r="O1048" s="172"/>
      <c r="P1048" s="313">
        <f>IFERROR(__xludf.DUMMYFUNCTION("""COMPUTED_VALUE"""),0.0)</f>
        <v>0</v>
      </c>
      <c r="Q1048" s="76" t="b">
        <f>VLOOKUP($B1048,'Run Reconcile'!B$2:O1399,14,FALSE)</f>
        <v>1</v>
      </c>
      <c r="R1048" s="314" t="str">
        <f t="array" ref="R1048">IF($Q1048, INDEX('Run Reconcile'!A$2:A1399,MATCH(B1048,'Run Reconcile'!B$2:B1399,0),1),IFERROR(0/0,""))</f>
        <v>RUN-ABRM_2023-03-23_RFR-191</v>
      </c>
      <c r="S1048" s="315" t="str">
        <f t="shared" ref="S1048:T1048" si="2054">IF(COUNTIF(W$2:W1399, $A1048) &gt; 0,TRUE,IFERROR(0/0,""))</f>
        <v/>
      </c>
      <c r="T1048" s="315" t="str">
        <f t="shared" si="2054"/>
        <v/>
      </c>
      <c r="U1048" s="114" t="str">
        <f t="array" ref="U1048">IF(ISBLANK($R1048), INDEX('Run Reconcile'!A$2:A1399, MATCH($B1048, 'Run Reconcile'!B$2:B1399, 0)+Z1048, 1), IFERROR(0/0,""))
</f>
        <v/>
      </c>
      <c r="V1048" s="316" t="str">
        <f t="shared" si="1281"/>
        <v>RUN-ABRM_2023-03-23_RFR-191</v>
      </c>
      <c r="Y1048" s="317" t="str">
        <f t="shared" si="6"/>
        <v/>
      </c>
      <c r="Z1048" s="83" t="str">
        <f t="shared" si="7"/>
        <v/>
      </c>
      <c r="AA1048" s="83" t="str">
        <f t="shared" si="8"/>
        <v/>
      </c>
      <c r="AB1048" s="83" t="str">
        <f t="shared" si="9"/>
        <v/>
      </c>
      <c r="AC1048" s="18"/>
      <c r="AD1048" s="18"/>
      <c r="AE1048" s="43"/>
      <c r="AF1048" s="58" t="s">
        <v>158</v>
      </c>
      <c r="AG1048" s="55" t="str">
        <f t="shared" si="11"/>
        <v/>
      </c>
    </row>
    <row r="1049">
      <c r="A1049" s="7" t="str">
        <f>IFERROR(__xludf.DUMMYFUNCTION("""COMPUTED_VALUE"""),"AR717")</f>
        <v>AR717</v>
      </c>
      <c r="B1049" s="308">
        <f>IFERROR(__xludf.DUMMYFUNCTION("""COMPUTED_VALUE"""),45008.0)</f>
        <v>45008</v>
      </c>
      <c r="C1049" s="309">
        <f>IFERROR(__xludf.DUMMYFUNCTION("""COMPUTED_VALUE"""),0.3494212962962963)</f>
        <v>0.3494212963</v>
      </c>
      <c r="D1049" s="7" t="str">
        <f>IFERROR(__xludf.DUMMYFUNCTION("""COMPUTED_VALUE"""),"SpABRM841252")</f>
        <v>SpABRM841252</v>
      </c>
      <c r="E1049" s="310"/>
      <c r="F1049" s="310"/>
      <c r="G1049" s="310" t="str">
        <f>IFERROR(__xludf.DUMMYFUNCTION("""COMPUTED_VALUE"""),"Null")</f>
        <v>Null</v>
      </c>
      <c r="H1049" s="319" t="str">
        <f>IFERROR(__xludf.DUMMYFUNCTION("""COMPUTED_VALUE"""),"Negative")</f>
        <v>Negative</v>
      </c>
      <c r="I1049" s="319"/>
      <c r="J1049" s="54"/>
      <c r="K1049" s="54">
        <f>IFERROR(__xludf.DUMMYFUNCTION("""COMPUTED_VALUE"""),2.0)</f>
        <v>2</v>
      </c>
      <c r="L1049" s="7"/>
      <c r="M1049" s="312"/>
      <c r="N1049" s="172">
        <f>IFERROR(__xludf.DUMMYFUNCTION("""COMPUTED_VALUE"""),4.0)</f>
        <v>4</v>
      </c>
      <c r="O1049" s="172"/>
      <c r="P1049" s="313">
        <f>IFERROR(__xludf.DUMMYFUNCTION("""COMPUTED_VALUE"""),-1.0)</f>
        <v>-1</v>
      </c>
      <c r="Q1049" s="76" t="b">
        <f>VLOOKUP($B1049,'Run Reconcile'!B$2:O1399,14,FALSE)</f>
        <v>1</v>
      </c>
      <c r="R1049" s="314" t="str">
        <f t="array" ref="R1049">IF($Q1049, INDEX('Run Reconcile'!A$2:A1399,MATCH(B1049,'Run Reconcile'!B$2:B1399,0),1),IFERROR(0/0,""))</f>
        <v>RUN-ABRM_2023-03-23_RFR-191</v>
      </c>
      <c r="S1049" s="315" t="str">
        <f t="shared" ref="S1049:T1049" si="2055">IF(COUNTIF(W$2:W1399, $A1049) &gt; 0,TRUE,IFERROR(0/0,""))</f>
        <v/>
      </c>
      <c r="T1049" s="315" t="str">
        <f t="shared" si="2055"/>
        <v/>
      </c>
      <c r="U1049" s="114" t="str">
        <f t="array" ref="U1049">IF(ISBLANK($R1049), INDEX('Run Reconcile'!A$2:A1399, MATCH($B1049, 'Run Reconcile'!B$2:B1399, 0)+Z1049, 1), IFERROR(0/0,""))
</f>
        <v/>
      </c>
      <c r="V1049" s="316" t="str">
        <f t="shared" si="1281"/>
        <v>RUN-ABRM_2023-03-23_RFR-191</v>
      </c>
      <c r="Y1049" s="317" t="str">
        <f t="shared" si="6"/>
        <v/>
      </c>
      <c r="Z1049" s="83" t="str">
        <f t="shared" si="7"/>
        <v/>
      </c>
      <c r="AA1049" s="83" t="str">
        <f t="shared" si="8"/>
        <v/>
      </c>
      <c r="AB1049" s="83" t="str">
        <f t="shared" si="9"/>
        <v/>
      </c>
      <c r="AC1049" s="18"/>
      <c r="AD1049" s="18"/>
      <c r="AE1049" s="43"/>
      <c r="AF1049" s="58" t="s">
        <v>158</v>
      </c>
      <c r="AG1049" s="55" t="str">
        <f t="shared" si="11"/>
        <v/>
      </c>
    </row>
    <row r="1050">
      <c r="A1050" s="7" t="str">
        <f>IFERROR(__xludf.DUMMYFUNCTION("""COMPUTED_VALUE"""),"AR1264")</f>
        <v>AR1264</v>
      </c>
      <c r="B1050" s="308">
        <f>IFERROR(__xludf.DUMMYFUNCTION("""COMPUTED_VALUE"""),45009.0)</f>
        <v>45009</v>
      </c>
      <c r="C1050" s="309">
        <f>IFERROR(__xludf.DUMMYFUNCTION("""COMPUTED_VALUE"""),0.27247685185185183)</f>
        <v>0.2724768519</v>
      </c>
      <c r="D1050" s="7" t="str">
        <f>IFERROR(__xludf.DUMMYFUNCTION("""COMPUTED_VALUE"""),"SpABRM581899")</f>
        <v>SpABRM581899</v>
      </c>
      <c r="E1050" s="310"/>
      <c r="F1050" s="310"/>
      <c r="G1050" s="310" t="str">
        <f>IFERROR(__xludf.DUMMYFUNCTION("""COMPUTED_VALUE"""),"Negative")</f>
        <v>Negative</v>
      </c>
      <c r="H1050" s="319" t="str">
        <f>IFERROR(__xludf.DUMMYFUNCTION("""COMPUTED_VALUE"""),"Negative")</f>
        <v>Negative</v>
      </c>
      <c r="I1050" s="308">
        <f>IFERROR(__xludf.DUMMYFUNCTION("""COMPUTED_VALUE"""),45012.0)</f>
        <v>45012</v>
      </c>
      <c r="J1050" s="311">
        <f>IFERROR(__xludf.DUMMYFUNCTION("""COMPUTED_VALUE"""),0.4361921296296296)</f>
        <v>0.4361921296</v>
      </c>
      <c r="K1050" s="54"/>
      <c r="L1050" s="7"/>
      <c r="M1050" s="312"/>
      <c r="N1050" s="172">
        <f>IFERROR(__xludf.DUMMYFUNCTION("""COMPUTED_VALUE"""),3.0)</f>
        <v>3</v>
      </c>
      <c r="O1050" s="172"/>
      <c r="P1050" s="313">
        <f>IFERROR(__xludf.DUMMYFUNCTION("""COMPUTED_VALUE"""),3.0)</f>
        <v>3</v>
      </c>
      <c r="Q1050" s="76" t="b">
        <f>VLOOKUP($B1050,'Run Reconcile'!B$2:O1399,14,FALSE)</f>
        <v>1</v>
      </c>
      <c r="R1050" s="314" t="str">
        <f t="array" ref="R1050">IF($Q1050, INDEX('Run Reconcile'!A$2:A1399,MATCH(B1050,'Run Reconcile'!B$2:B1399,0),1),IFERROR(0/0,""))</f>
        <v>RUN-ABRM_2023-03-24_RFR-193</v>
      </c>
      <c r="S1050" s="315" t="str">
        <f t="shared" ref="S1050:T1050" si="2056">IF(COUNTIF(W$2:W1399, $A1050) &gt; 0,TRUE,IFERROR(0/0,""))</f>
        <v/>
      </c>
      <c r="T1050" s="315" t="str">
        <f t="shared" si="2056"/>
        <v/>
      </c>
      <c r="U1050" s="114" t="str">
        <f t="array" ref="U1050">IF(ISBLANK($R1050), INDEX('Run Reconcile'!A$2:A1399, MATCH($B1050, 'Run Reconcile'!B$2:B1399, 0)+Z1050, 1), IFERROR(0/0,""))
</f>
        <v/>
      </c>
      <c r="V1050" s="316" t="str">
        <f t="shared" si="1281"/>
        <v>RUN-ABRM_2023-03-24_RFR-193</v>
      </c>
      <c r="Y1050" s="317" t="str">
        <f t="shared" si="6"/>
        <v/>
      </c>
      <c r="Z1050" s="83" t="str">
        <f t="shared" si="7"/>
        <v/>
      </c>
      <c r="AA1050" s="83" t="str">
        <f t="shared" si="8"/>
        <v/>
      </c>
      <c r="AB1050" s="83" t="str">
        <f t="shared" si="9"/>
        <v/>
      </c>
      <c r="AC1050" s="18"/>
      <c r="AD1050" s="18"/>
      <c r="AE1050" s="43"/>
      <c r="AF1050" s="58" t="s">
        <v>159</v>
      </c>
      <c r="AG1050" s="55" t="str">
        <f t="shared" si="11"/>
        <v/>
      </c>
    </row>
    <row r="1051">
      <c r="A1051" s="7" t="str">
        <f>IFERROR(__xludf.DUMMYFUNCTION("""COMPUTED_VALUE"""),"AR1458")</f>
        <v>AR1458</v>
      </c>
      <c r="B1051" s="308">
        <f>IFERROR(__xludf.DUMMYFUNCTION("""COMPUTED_VALUE"""),45009.0)</f>
        <v>45009</v>
      </c>
      <c r="C1051" s="309">
        <f>IFERROR(__xludf.DUMMYFUNCTION("""COMPUTED_VALUE"""),0.3016435185185185)</f>
        <v>0.3016435185</v>
      </c>
      <c r="D1051" s="7" t="str">
        <f>IFERROR(__xludf.DUMMYFUNCTION("""COMPUTED_VALUE"""),"SpABRM297307")</f>
        <v>SpABRM297307</v>
      </c>
      <c r="E1051" s="310"/>
      <c r="F1051" s="310"/>
      <c r="G1051" s="310" t="str">
        <f>IFERROR(__xludf.DUMMYFUNCTION("""COMPUTED_VALUE"""),"Negative")</f>
        <v>Negative</v>
      </c>
      <c r="H1051" s="319" t="str">
        <f>IFERROR(__xludf.DUMMYFUNCTION("""COMPUTED_VALUE"""),"Negative")</f>
        <v>Negative</v>
      </c>
      <c r="I1051" s="308">
        <f>IFERROR(__xludf.DUMMYFUNCTION("""COMPUTED_VALUE"""),45012.0)</f>
        <v>45012</v>
      </c>
      <c r="J1051" s="311">
        <f>IFERROR(__xludf.DUMMYFUNCTION("""COMPUTED_VALUE"""),0.4361921296296296)</f>
        <v>0.4361921296</v>
      </c>
      <c r="K1051" s="54"/>
      <c r="L1051" s="7"/>
      <c r="M1051" s="312"/>
      <c r="N1051" s="172">
        <f>IFERROR(__xludf.DUMMYFUNCTION("""COMPUTED_VALUE"""),3.0)</f>
        <v>3</v>
      </c>
      <c r="O1051" s="172"/>
      <c r="P1051" s="313">
        <f>IFERROR(__xludf.DUMMYFUNCTION("""COMPUTED_VALUE"""),3.0)</f>
        <v>3</v>
      </c>
      <c r="Q1051" s="76" t="b">
        <f>VLOOKUP($B1051,'Run Reconcile'!B$2:O1399,14,FALSE)</f>
        <v>1</v>
      </c>
      <c r="R1051" s="314" t="str">
        <f t="array" ref="R1051">IF($Q1051, INDEX('Run Reconcile'!A$2:A1399,MATCH(B1051,'Run Reconcile'!B$2:B1399,0),1),IFERROR(0/0,""))</f>
        <v>RUN-ABRM_2023-03-24_RFR-193</v>
      </c>
      <c r="S1051" s="315" t="str">
        <f t="shared" ref="S1051:T1051" si="2057">IF(COUNTIF(W$2:W1399, $A1051) &gt; 0,TRUE,IFERROR(0/0,""))</f>
        <v/>
      </c>
      <c r="T1051" s="315" t="str">
        <f t="shared" si="2057"/>
        <v/>
      </c>
      <c r="U1051" s="114" t="str">
        <f t="array" ref="U1051">IF(ISBLANK($R1051), INDEX('Run Reconcile'!A$2:A1399, MATCH($B1051, 'Run Reconcile'!B$2:B1399, 0)+Z1051, 1), IFERROR(0/0,""))
</f>
        <v/>
      </c>
      <c r="V1051" s="316" t="str">
        <f t="shared" si="1281"/>
        <v>RUN-ABRM_2023-03-24_RFR-193</v>
      </c>
      <c r="Y1051" s="317" t="str">
        <f t="shared" si="6"/>
        <v/>
      </c>
      <c r="Z1051" s="83" t="str">
        <f t="shared" si="7"/>
        <v/>
      </c>
      <c r="AA1051" s="83" t="str">
        <f t="shared" si="8"/>
        <v/>
      </c>
      <c r="AB1051" s="83" t="str">
        <f t="shared" si="9"/>
        <v/>
      </c>
      <c r="AC1051" s="18"/>
      <c r="AD1051" s="18"/>
      <c r="AE1051" s="43"/>
      <c r="AF1051" s="58" t="s">
        <v>159</v>
      </c>
      <c r="AG1051" s="55" t="str">
        <f t="shared" si="11"/>
        <v/>
      </c>
    </row>
    <row r="1052">
      <c r="A1052" s="7" t="str">
        <f>IFERROR(__xludf.DUMMYFUNCTION("""COMPUTED_VALUE"""),"AK9972")</f>
        <v>AK9972</v>
      </c>
      <c r="B1052" s="308">
        <f>IFERROR(__xludf.DUMMYFUNCTION("""COMPUTED_VALUE"""),45009.0)</f>
        <v>45009</v>
      </c>
      <c r="C1052" s="309">
        <f>IFERROR(__xludf.DUMMYFUNCTION("""COMPUTED_VALUE"""),0.303599537037037)</f>
        <v>0.303599537</v>
      </c>
      <c r="D1052" s="7" t="str">
        <f>IFERROR(__xludf.DUMMYFUNCTION("""COMPUTED_VALUE"""),"SpABRM367540")</f>
        <v>SpABRM367540</v>
      </c>
      <c r="E1052" s="310"/>
      <c r="F1052" s="310"/>
      <c r="G1052" s="310" t="str">
        <f>IFERROR(__xludf.DUMMYFUNCTION("""COMPUTED_VALUE"""),"Negative")</f>
        <v>Negative</v>
      </c>
      <c r="H1052" s="319" t="str">
        <f>IFERROR(__xludf.DUMMYFUNCTION("""COMPUTED_VALUE"""),"Negative")</f>
        <v>Negative</v>
      </c>
      <c r="I1052" s="308">
        <f>IFERROR(__xludf.DUMMYFUNCTION("""COMPUTED_VALUE"""),45012.0)</f>
        <v>45012</v>
      </c>
      <c r="J1052" s="311">
        <f>IFERROR(__xludf.DUMMYFUNCTION("""COMPUTED_VALUE"""),0.4361921296296296)</f>
        <v>0.4361921296</v>
      </c>
      <c r="K1052" s="54"/>
      <c r="L1052" s="7"/>
      <c r="M1052" s="312"/>
      <c r="N1052" s="172">
        <f>IFERROR(__xludf.DUMMYFUNCTION("""COMPUTED_VALUE"""),3.0)</f>
        <v>3</v>
      </c>
      <c r="O1052" s="172"/>
      <c r="P1052" s="313">
        <f>IFERROR(__xludf.DUMMYFUNCTION("""COMPUTED_VALUE"""),3.0)</f>
        <v>3</v>
      </c>
      <c r="Q1052" s="76" t="b">
        <f>VLOOKUP($B1052,'Run Reconcile'!B$2:O1399,14,FALSE)</f>
        <v>1</v>
      </c>
      <c r="R1052" s="314" t="str">
        <f t="array" ref="R1052">IF($Q1052, INDEX('Run Reconcile'!A$2:A1399,MATCH(B1052,'Run Reconcile'!B$2:B1399,0),1),IFERROR(0/0,""))</f>
        <v>RUN-ABRM_2023-03-24_RFR-193</v>
      </c>
      <c r="S1052" s="315" t="str">
        <f t="shared" ref="S1052:T1052" si="2058">IF(COUNTIF(W$2:W1399, $A1052) &gt; 0,TRUE,IFERROR(0/0,""))</f>
        <v/>
      </c>
      <c r="T1052" s="315" t="str">
        <f t="shared" si="2058"/>
        <v/>
      </c>
      <c r="U1052" s="114" t="str">
        <f t="array" ref="U1052">IF(ISBLANK($R1052), INDEX('Run Reconcile'!A$2:A1399, MATCH($B1052, 'Run Reconcile'!B$2:B1399, 0)+Z1052, 1), IFERROR(0/0,""))
</f>
        <v/>
      </c>
      <c r="V1052" s="316" t="str">
        <f t="shared" si="1281"/>
        <v>RUN-ABRM_2023-03-24_RFR-193</v>
      </c>
      <c r="Y1052" s="317" t="str">
        <f t="shared" si="6"/>
        <v/>
      </c>
      <c r="Z1052" s="83" t="str">
        <f t="shared" si="7"/>
        <v/>
      </c>
      <c r="AA1052" s="83" t="str">
        <f t="shared" si="8"/>
        <v/>
      </c>
      <c r="AB1052" s="83" t="str">
        <f t="shared" si="9"/>
        <v/>
      </c>
      <c r="AC1052" s="18"/>
      <c r="AD1052" s="18"/>
      <c r="AE1052" s="43"/>
      <c r="AF1052" s="58" t="s">
        <v>159</v>
      </c>
      <c r="AG1052" s="55" t="str">
        <f t="shared" si="11"/>
        <v/>
      </c>
    </row>
    <row r="1053">
      <c r="A1053" s="7" t="str">
        <f>IFERROR(__xludf.DUMMYFUNCTION("""COMPUTED_VALUE"""),"AR1785")</f>
        <v>AR1785</v>
      </c>
      <c r="B1053" s="308">
        <f>IFERROR(__xludf.DUMMYFUNCTION("""COMPUTED_VALUE"""),45009.0)</f>
        <v>45009</v>
      </c>
      <c r="C1053" s="309">
        <f>IFERROR(__xludf.DUMMYFUNCTION("""COMPUTED_VALUE"""),0.3233333333333333)</f>
        <v>0.3233333333</v>
      </c>
      <c r="D1053" s="7" t="str">
        <f>IFERROR(__xludf.DUMMYFUNCTION("""COMPUTED_VALUE"""),"SpABRM655136")</f>
        <v>SpABRM655136</v>
      </c>
      <c r="E1053" s="310"/>
      <c r="F1053" s="310"/>
      <c r="G1053" s="310" t="str">
        <f>IFERROR(__xludf.DUMMYFUNCTION("""COMPUTED_VALUE"""),"Negative")</f>
        <v>Negative</v>
      </c>
      <c r="H1053" s="319" t="str">
        <f>IFERROR(__xludf.DUMMYFUNCTION("""COMPUTED_VALUE"""),"Negative")</f>
        <v>Negative</v>
      </c>
      <c r="I1053" s="308">
        <f>IFERROR(__xludf.DUMMYFUNCTION("""COMPUTED_VALUE"""),45012.0)</f>
        <v>45012</v>
      </c>
      <c r="J1053" s="311">
        <f>IFERROR(__xludf.DUMMYFUNCTION("""COMPUTED_VALUE"""),0.4361921296296296)</f>
        <v>0.4361921296</v>
      </c>
      <c r="K1053" s="54"/>
      <c r="L1053" s="7"/>
      <c r="M1053" s="312"/>
      <c r="N1053" s="172">
        <f>IFERROR(__xludf.DUMMYFUNCTION("""COMPUTED_VALUE"""),2.0)</f>
        <v>2</v>
      </c>
      <c r="O1053" s="172"/>
      <c r="P1053" s="313">
        <f>IFERROR(__xludf.DUMMYFUNCTION("""COMPUTED_VALUE"""),3.0)</f>
        <v>3</v>
      </c>
      <c r="Q1053" s="76" t="b">
        <f>VLOOKUP($B1053,'Run Reconcile'!B$2:O1399,14,FALSE)</f>
        <v>1</v>
      </c>
      <c r="R1053" s="314" t="str">
        <f t="array" ref="R1053">IF($Q1053, INDEX('Run Reconcile'!A$2:A1399,MATCH(B1053,'Run Reconcile'!B$2:B1399,0),1),IFERROR(0/0,""))</f>
        <v>RUN-ABRM_2023-03-24_RFR-193</v>
      </c>
      <c r="S1053" s="315" t="str">
        <f t="shared" ref="S1053:T1053" si="2059">IF(COUNTIF(W$2:W1399, $A1053) &gt; 0,TRUE,IFERROR(0/0,""))</f>
        <v/>
      </c>
      <c r="T1053" s="315" t="str">
        <f t="shared" si="2059"/>
        <v/>
      </c>
      <c r="U1053" s="114" t="str">
        <f t="array" ref="U1053">IF(ISBLANK($R1053), INDEX('Run Reconcile'!A$2:A1399, MATCH($B1053, 'Run Reconcile'!B$2:B1399, 0)+Z1053, 1), IFERROR(0/0,""))
</f>
        <v/>
      </c>
      <c r="V1053" s="316" t="str">
        <f t="shared" si="1281"/>
        <v>RUN-ABRM_2023-03-24_RFR-193</v>
      </c>
      <c r="Y1053" s="317" t="str">
        <f t="shared" si="6"/>
        <v/>
      </c>
      <c r="Z1053" s="83" t="str">
        <f t="shared" si="7"/>
        <v/>
      </c>
      <c r="AA1053" s="83" t="str">
        <f t="shared" si="8"/>
        <v/>
      </c>
      <c r="AB1053" s="83" t="str">
        <f t="shared" si="9"/>
        <v/>
      </c>
      <c r="AC1053" s="18"/>
      <c r="AD1053" s="18"/>
      <c r="AE1053" s="43"/>
      <c r="AF1053" s="58" t="s">
        <v>159</v>
      </c>
      <c r="AG1053" s="55" t="str">
        <f t="shared" si="11"/>
        <v/>
      </c>
    </row>
    <row r="1054">
      <c r="A1054" s="7" t="str">
        <f>IFERROR(__xludf.DUMMYFUNCTION("""COMPUTED_VALUE"""),"AR1074")</f>
        <v>AR1074</v>
      </c>
      <c r="B1054" s="308">
        <f>IFERROR(__xludf.DUMMYFUNCTION("""COMPUTED_VALUE"""),45009.0)</f>
        <v>45009</v>
      </c>
      <c r="C1054" s="309">
        <f>IFERROR(__xludf.DUMMYFUNCTION("""COMPUTED_VALUE"""),0.32349537037037035)</f>
        <v>0.3234953704</v>
      </c>
      <c r="D1054" s="7" t="str">
        <f>IFERROR(__xludf.DUMMYFUNCTION("""COMPUTED_VALUE"""),"SpABRM519188")</f>
        <v>SpABRM519188</v>
      </c>
      <c r="E1054" s="310"/>
      <c r="F1054" s="310"/>
      <c r="G1054" s="310" t="str">
        <f>IFERROR(__xludf.DUMMYFUNCTION("""COMPUTED_VALUE"""),"Negative")</f>
        <v>Negative</v>
      </c>
      <c r="H1054" s="319" t="str">
        <f>IFERROR(__xludf.DUMMYFUNCTION("""COMPUTED_VALUE"""),"Negative")</f>
        <v>Negative</v>
      </c>
      <c r="I1054" s="308">
        <f>IFERROR(__xludf.DUMMYFUNCTION("""COMPUTED_VALUE"""),45012.0)</f>
        <v>45012</v>
      </c>
      <c r="J1054" s="311">
        <f>IFERROR(__xludf.DUMMYFUNCTION("""COMPUTED_VALUE"""),0.4361921296296296)</f>
        <v>0.4361921296</v>
      </c>
      <c r="K1054" s="54"/>
      <c r="L1054" s="7"/>
      <c r="M1054" s="312"/>
      <c r="N1054" s="172">
        <f>IFERROR(__xludf.DUMMYFUNCTION("""COMPUTED_VALUE"""),1.0)</f>
        <v>1</v>
      </c>
      <c r="O1054" s="172"/>
      <c r="P1054" s="313">
        <f>IFERROR(__xludf.DUMMYFUNCTION("""COMPUTED_VALUE"""),3.0)</f>
        <v>3</v>
      </c>
      <c r="Q1054" s="76" t="b">
        <f>VLOOKUP($B1054,'Run Reconcile'!B$2:O1399,14,FALSE)</f>
        <v>1</v>
      </c>
      <c r="R1054" s="314" t="str">
        <f t="array" ref="R1054">IF($Q1054, INDEX('Run Reconcile'!A$2:A1399,MATCH(B1054,'Run Reconcile'!B$2:B1399,0),1),IFERROR(0/0,""))</f>
        <v>RUN-ABRM_2023-03-24_RFR-193</v>
      </c>
      <c r="S1054" s="315" t="str">
        <f t="shared" ref="S1054:T1054" si="2060">IF(COUNTIF(W$2:W1399, $A1054) &gt; 0,TRUE,IFERROR(0/0,""))</f>
        <v/>
      </c>
      <c r="T1054" s="315" t="str">
        <f t="shared" si="2060"/>
        <v/>
      </c>
      <c r="U1054" s="114" t="str">
        <f t="array" ref="U1054">IF(ISBLANK($R1054), INDEX('Run Reconcile'!A$2:A1399, MATCH($B1054, 'Run Reconcile'!B$2:B1399, 0)+Z1054, 1), IFERROR(0/0,""))
</f>
        <v/>
      </c>
      <c r="V1054" s="316" t="str">
        <f t="shared" si="1281"/>
        <v>RUN-ABRM_2023-03-24_RFR-193</v>
      </c>
      <c r="Y1054" s="317" t="str">
        <f t="shared" si="6"/>
        <v/>
      </c>
      <c r="Z1054" s="83" t="str">
        <f t="shared" si="7"/>
        <v/>
      </c>
      <c r="AA1054" s="83" t="str">
        <f t="shared" si="8"/>
        <v/>
      </c>
      <c r="AB1054" s="83" t="str">
        <f t="shared" si="9"/>
        <v/>
      </c>
      <c r="AC1054" s="18"/>
      <c r="AD1054" s="18"/>
      <c r="AE1054" s="43"/>
      <c r="AF1054" s="58" t="s">
        <v>159</v>
      </c>
      <c r="AG1054" s="55" t="str">
        <f t="shared" si="11"/>
        <v/>
      </c>
    </row>
    <row r="1055">
      <c r="A1055" s="7" t="str">
        <f>IFERROR(__xludf.DUMMYFUNCTION("""COMPUTED_VALUE"""),"AR734")</f>
        <v>AR734</v>
      </c>
      <c r="B1055" s="308">
        <f>IFERROR(__xludf.DUMMYFUNCTION("""COMPUTED_VALUE"""),45009.0)</f>
        <v>45009</v>
      </c>
      <c r="C1055" s="309">
        <f>IFERROR(__xludf.DUMMYFUNCTION("""COMPUTED_VALUE"""),0.3251273148148148)</f>
        <v>0.3251273148</v>
      </c>
      <c r="D1055" s="7" t="str">
        <f>IFERROR(__xludf.DUMMYFUNCTION("""COMPUTED_VALUE"""),"SpABRM841252")</f>
        <v>SpABRM841252</v>
      </c>
      <c r="E1055" s="310"/>
      <c r="F1055" s="310"/>
      <c r="G1055" s="310" t="str">
        <f>IFERROR(__xludf.DUMMYFUNCTION("""COMPUTED_VALUE"""),"Negative")</f>
        <v>Negative</v>
      </c>
      <c r="H1055" s="319" t="str">
        <f>IFERROR(__xludf.DUMMYFUNCTION("""COMPUTED_VALUE"""),"Negative")</f>
        <v>Negative</v>
      </c>
      <c r="I1055" s="308">
        <f>IFERROR(__xludf.DUMMYFUNCTION("""COMPUTED_VALUE"""),45012.0)</f>
        <v>45012</v>
      </c>
      <c r="J1055" s="311">
        <f>IFERROR(__xludf.DUMMYFUNCTION("""COMPUTED_VALUE"""),0.4361921296296296)</f>
        <v>0.4361921296</v>
      </c>
      <c r="K1055" s="54"/>
      <c r="L1055" s="7"/>
      <c r="M1055" s="312"/>
      <c r="N1055" s="172">
        <f>IFERROR(__xludf.DUMMYFUNCTION("""COMPUTED_VALUE"""),1.0)</f>
        <v>1</v>
      </c>
      <c r="O1055" s="172"/>
      <c r="P1055" s="313">
        <f>IFERROR(__xludf.DUMMYFUNCTION("""COMPUTED_VALUE"""),3.0)</f>
        <v>3</v>
      </c>
      <c r="Q1055" s="76" t="b">
        <f>VLOOKUP($B1055,'Run Reconcile'!B$2:O1399,14,FALSE)</f>
        <v>1</v>
      </c>
      <c r="R1055" s="314" t="str">
        <f t="array" ref="R1055">IF($Q1055, INDEX('Run Reconcile'!A$2:A1399,MATCH(B1055,'Run Reconcile'!B$2:B1399,0),1),IFERROR(0/0,""))</f>
        <v>RUN-ABRM_2023-03-24_RFR-193</v>
      </c>
      <c r="S1055" s="315" t="str">
        <f t="shared" ref="S1055:T1055" si="2061">IF(COUNTIF(W$2:W1399, $A1055) &gt; 0,TRUE,IFERROR(0/0,""))</f>
        <v/>
      </c>
      <c r="T1055" s="315" t="str">
        <f t="shared" si="2061"/>
        <v/>
      </c>
      <c r="U1055" s="114" t="str">
        <f t="array" ref="U1055">IF(ISBLANK($R1055), INDEX('Run Reconcile'!A$2:A1399, MATCH($B1055, 'Run Reconcile'!B$2:B1399, 0)+Z1055, 1), IFERROR(0/0,""))
</f>
        <v/>
      </c>
      <c r="V1055" s="316" t="str">
        <f t="shared" si="1281"/>
        <v>RUN-ABRM_2023-03-24_RFR-193</v>
      </c>
      <c r="Y1055" s="317" t="str">
        <f t="shared" si="6"/>
        <v/>
      </c>
      <c r="Z1055" s="83" t="str">
        <f t="shared" si="7"/>
        <v/>
      </c>
      <c r="AA1055" s="83" t="str">
        <f t="shared" si="8"/>
        <v/>
      </c>
      <c r="AB1055" s="83" t="str">
        <f t="shared" si="9"/>
        <v/>
      </c>
      <c r="AC1055" s="18"/>
      <c r="AD1055" s="18"/>
      <c r="AE1055" s="43"/>
      <c r="AF1055" s="58" t="s">
        <v>159</v>
      </c>
      <c r="AG1055" s="55" t="str">
        <f t="shared" si="11"/>
        <v/>
      </c>
    </row>
    <row r="1056">
      <c r="A1056" s="7" t="str">
        <f>IFERROR(__xludf.DUMMYFUNCTION("""COMPUTED_VALUE"""),"AJ9074")</f>
        <v>AJ9074</v>
      </c>
      <c r="B1056" s="308">
        <f>IFERROR(__xludf.DUMMYFUNCTION("""COMPUTED_VALUE"""),45009.0)</f>
        <v>45009</v>
      </c>
      <c r="C1056" s="309">
        <f>IFERROR(__xludf.DUMMYFUNCTION("""COMPUTED_VALUE"""),0.37574074074074076)</f>
        <v>0.3757407407</v>
      </c>
      <c r="D1056" s="7" t="str">
        <f>IFERROR(__xludf.DUMMYFUNCTION("""COMPUTED_VALUE"""),"SpABRM841252")</f>
        <v>SpABRM841252</v>
      </c>
      <c r="E1056" s="310"/>
      <c r="F1056" s="310"/>
      <c r="G1056" s="310" t="str">
        <f>IFERROR(__xludf.DUMMYFUNCTION("""COMPUTED_VALUE"""),"Negative")</f>
        <v>Negative</v>
      </c>
      <c r="H1056" s="319" t="str">
        <f>IFERROR(__xludf.DUMMYFUNCTION("""COMPUTED_VALUE"""),"Negative")</f>
        <v>Negative</v>
      </c>
      <c r="I1056" s="308">
        <f>IFERROR(__xludf.DUMMYFUNCTION("""COMPUTED_VALUE"""),45012.0)</f>
        <v>45012</v>
      </c>
      <c r="J1056" s="311">
        <f>IFERROR(__xludf.DUMMYFUNCTION("""COMPUTED_VALUE"""),0.4361921296296296)</f>
        <v>0.4361921296</v>
      </c>
      <c r="K1056" s="54"/>
      <c r="L1056" s="7"/>
      <c r="M1056" s="312"/>
      <c r="N1056" s="172">
        <f>IFERROR(__xludf.DUMMYFUNCTION("""COMPUTED_VALUE"""),2.0)</f>
        <v>2</v>
      </c>
      <c r="O1056" s="172"/>
      <c r="P1056" s="313">
        <f>IFERROR(__xludf.DUMMYFUNCTION("""COMPUTED_VALUE"""),3.0)</f>
        <v>3</v>
      </c>
      <c r="Q1056" s="76" t="b">
        <f>VLOOKUP($B1056,'Run Reconcile'!B$2:O1399,14,FALSE)</f>
        <v>1</v>
      </c>
      <c r="R1056" s="314" t="str">
        <f t="array" ref="R1056">IF($Q1056, INDEX('Run Reconcile'!A$2:A1399,MATCH(B1056,'Run Reconcile'!B$2:B1399,0),1),IFERROR(0/0,""))</f>
        <v>RUN-ABRM_2023-03-24_RFR-193</v>
      </c>
      <c r="S1056" s="315" t="str">
        <f t="shared" ref="S1056:T1056" si="2062">IF(COUNTIF(W$2:W1399, $A1056) &gt; 0,TRUE,IFERROR(0/0,""))</f>
        <v/>
      </c>
      <c r="T1056" s="315" t="str">
        <f t="shared" si="2062"/>
        <v/>
      </c>
      <c r="U1056" s="114" t="str">
        <f t="array" ref="U1056">IF(ISBLANK($R1056), INDEX('Run Reconcile'!A$2:A1399, MATCH($B1056, 'Run Reconcile'!B$2:B1399, 0)+Z1056, 1), IFERROR(0/0,""))
</f>
        <v/>
      </c>
      <c r="V1056" s="316" t="str">
        <f t="shared" si="1281"/>
        <v>RUN-ABRM_2023-03-24_RFR-193</v>
      </c>
      <c r="Y1056" s="317" t="str">
        <f t="shared" si="6"/>
        <v/>
      </c>
      <c r="Z1056" s="83" t="str">
        <f t="shared" si="7"/>
        <v/>
      </c>
      <c r="AA1056" s="83" t="str">
        <f t="shared" si="8"/>
        <v/>
      </c>
      <c r="AB1056" s="83" t="str">
        <f t="shared" si="9"/>
        <v/>
      </c>
      <c r="AC1056" s="18"/>
      <c r="AD1056" s="18"/>
      <c r="AE1056" s="43"/>
      <c r="AF1056" s="58" t="s">
        <v>159</v>
      </c>
      <c r="AG1056" s="55" t="str">
        <f t="shared" si="11"/>
        <v/>
      </c>
    </row>
    <row r="1057">
      <c r="A1057" s="7" t="str">
        <f>IFERROR(__xludf.DUMMYFUNCTION("""COMPUTED_VALUE"""),"AR1351")</f>
        <v>AR1351</v>
      </c>
      <c r="B1057" s="308">
        <f>IFERROR(__xludf.DUMMYFUNCTION("""COMPUTED_VALUE"""),45012.0)</f>
        <v>45012</v>
      </c>
      <c r="C1057" s="309">
        <f>IFERROR(__xludf.DUMMYFUNCTION("""COMPUTED_VALUE"""),0.2429976851851852)</f>
        <v>0.2429976852</v>
      </c>
      <c r="D1057" s="7" t="str">
        <f>IFERROR(__xludf.DUMMYFUNCTION("""COMPUTED_VALUE"""),"SpABRM128250")</f>
        <v>SpABRM128250</v>
      </c>
      <c r="E1057" s="310"/>
      <c r="F1057" s="310"/>
      <c r="G1057" s="310" t="str">
        <f>IFERROR(__xludf.DUMMYFUNCTION("""COMPUTED_VALUE"""),"Negative")</f>
        <v>Negative</v>
      </c>
      <c r="H1057" s="319" t="str">
        <f>IFERROR(__xludf.DUMMYFUNCTION("""COMPUTED_VALUE"""),"Negative")</f>
        <v>Negative</v>
      </c>
      <c r="I1057" s="308">
        <f>IFERROR(__xludf.DUMMYFUNCTION("""COMPUTED_VALUE"""),45012.0)</f>
        <v>45012</v>
      </c>
      <c r="J1057" s="311">
        <f>IFERROR(__xludf.DUMMYFUNCTION("""COMPUTED_VALUE"""),0.4361921296296296)</f>
        <v>0.4361921296</v>
      </c>
      <c r="K1057" s="54"/>
      <c r="L1057" s="7"/>
      <c r="M1057" s="312"/>
      <c r="N1057" s="172">
        <f>IFERROR(__xludf.DUMMYFUNCTION("""COMPUTED_VALUE"""),3.0)</f>
        <v>3</v>
      </c>
      <c r="O1057" s="172"/>
      <c r="P1057" s="313">
        <f>IFERROR(__xludf.DUMMYFUNCTION("""COMPUTED_VALUE"""),0.0)</f>
        <v>0</v>
      </c>
      <c r="Q1057" s="76" t="b">
        <f>VLOOKUP($B1057,'Run Reconcile'!B$2:O1399,14,FALSE)</f>
        <v>1</v>
      </c>
      <c r="R1057" s="314" t="str">
        <f t="array" ref="R1057">IF($Q1057, INDEX('Run Reconcile'!A$2:A1399,MATCH(B1057,'Run Reconcile'!B$2:B1399,0),1),IFERROR(0/0,""))</f>
        <v>RUN-ABRM_2023-03-27_RFR-194</v>
      </c>
      <c r="S1057" s="315" t="str">
        <f t="shared" ref="S1057:T1057" si="2063">IF(COUNTIF(W$2:W1399, $A1057) &gt; 0,TRUE,IFERROR(0/0,""))</f>
        <v/>
      </c>
      <c r="T1057" s="315" t="str">
        <f t="shared" si="2063"/>
        <v/>
      </c>
      <c r="U1057" s="114" t="str">
        <f t="array" ref="U1057">IF(ISBLANK($R1057), INDEX('Run Reconcile'!A$2:A1399, MATCH($B1057, 'Run Reconcile'!B$2:B1399, 0)+Z1057, 1), IFERROR(0/0,""))
</f>
        <v/>
      </c>
      <c r="V1057" s="316" t="str">
        <f t="shared" si="1281"/>
        <v>RUN-ABRM_2023-03-27_RFR-194</v>
      </c>
      <c r="Y1057" s="317" t="str">
        <f t="shared" si="6"/>
        <v/>
      </c>
      <c r="Z1057" s="83" t="str">
        <f t="shared" si="7"/>
        <v/>
      </c>
      <c r="AA1057" s="83" t="str">
        <f t="shared" si="8"/>
        <v/>
      </c>
      <c r="AB1057" s="83" t="str">
        <f t="shared" si="9"/>
        <v/>
      </c>
      <c r="AC1057" s="18"/>
      <c r="AD1057" s="18"/>
      <c r="AE1057" s="43"/>
      <c r="AF1057" s="58" t="s">
        <v>160</v>
      </c>
      <c r="AG1057" s="55" t="str">
        <f t="shared" si="11"/>
        <v/>
      </c>
    </row>
    <row r="1058">
      <c r="A1058" s="7" t="str">
        <f>IFERROR(__xludf.DUMMYFUNCTION("""COMPUTED_VALUE"""),"AR1235")</f>
        <v>AR1235</v>
      </c>
      <c r="B1058" s="308">
        <f>IFERROR(__xludf.DUMMYFUNCTION("""COMPUTED_VALUE"""),45012.0)</f>
        <v>45012</v>
      </c>
      <c r="C1058" s="309">
        <f>IFERROR(__xludf.DUMMYFUNCTION("""COMPUTED_VALUE"""),0.24329861111111112)</f>
        <v>0.2432986111</v>
      </c>
      <c r="D1058" s="7" t="str">
        <f>IFERROR(__xludf.DUMMYFUNCTION("""COMPUTED_VALUE"""),"SpABRM128250")</f>
        <v>SpABRM128250</v>
      </c>
      <c r="E1058" s="310"/>
      <c r="F1058" s="310"/>
      <c r="G1058" s="310" t="str">
        <f>IFERROR(__xludf.DUMMYFUNCTION("""COMPUTED_VALUE"""),"Negative")</f>
        <v>Negative</v>
      </c>
      <c r="H1058" s="319" t="str">
        <f>IFERROR(__xludf.DUMMYFUNCTION("""COMPUTED_VALUE"""),"Negative")</f>
        <v>Negative</v>
      </c>
      <c r="I1058" s="308">
        <f>IFERROR(__xludf.DUMMYFUNCTION("""COMPUTED_VALUE"""),45012.0)</f>
        <v>45012</v>
      </c>
      <c r="J1058" s="311">
        <f>IFERROR(__xludf.DUMMYFUNCTION("""COMPUTED_VALUE"""),0.4361921296296296)</f>
        <v>0.4361921296</v>
      </c>
      <c r="K1058" s="54"/>
      <c r="L1058" s="7"/>
      <c r="M1058" s="312"/>
      <c r="N1058" s="172">
        <f>IFERROR(__xludf.DUMMYFUNCTION("""COMPUTED_VALUE"""),1.0)</f>
        <v>1</v>
      </c>
      <c r="O1058" s="172"/>
      <c r="P1058" s="313">
        <f>IFERROR(__xludf.DUMMYFUNCTION("""COMPUTED_VALUE"""),0.0)</f>
        <v>0</v>
      </c>
      <c r="Q1058" s="76" t="b">
        <f>VLOOKUP($B1058,'Run Reconcile'!B$2:O1399,14,FALSE)</f>
        <v>1</v>
      </c>
      <c r="R1058" s="314" t="str">
        <f t="array" ref="R1058">IF($Q1058, INDEX('Run Reconcile'!A$2:A1399,MATCH(B1058,'Run Reconcile'!B$2:B1399,0),1),IFERROR(0/0,""))</f>
        <v>RUN-ABRM_2023-03-27_RFR-194</v>
      </c>
      <c r="S1058" s="315" t="str">
        <f t="shared" ref="S1058:T1058" si="2064">IF(COUNTIF(W$2:W1399, $A1058) &gt; 0,TRUE,IFERROR(0/0,""))</f>
        <v/>
      </c>
      <c r="T1058" s="315" t="str">
        <f t="shared" si="2064"/>
        <v/>
      </c>
      <c r="U1058" s="114" t="str">
        <f t="array" ref="U1058">IF(ISBLANK($R1058), INDEX('Run Reconcile'!A$2:A1399, MATCH($B1058, 'Run Reconcile'!B$2:B1399, 0)+Z1058, 1), IFERROR(0/0,""))
</f>
        <v/>
      </c>
      <c r="V1058" s="316" t="str">
        <f t="shared" si="1281"/>
        <v>RUN-ABRM_2023-03-27_RFR-194</v>
      </c>
      <c r="Y1058" s="317" t="str">
        <f t="shared" si="6"/>
        <v/>
      </c>
      <c r="Z1058" s="83" t="str">
        <f t="shared" si="7"/>
        <v/>
      </c>
      <c r="AA1058" s="83" t="str">
        <f t="shared" si="8"/>
        <v/>
      </c>
      <c r="AB1058" s="83" t="str">
        <f t="shared" si="9"/>
        <v/>
      </c>
      <c r="AC1058" s="18"/>
      <c r="AD1058" s="18"/>
      <c r="AE1058" s="43"/>
      <c r="AF1058" s="58" t="s">
        <v>160</v>
      </c>
      <c r="AG1058" s="55" t="str">
        <f t="shared" si="11"/>
        <v/>
      </c>
    </row>
    <row r="1059">
      <c r="A1059" s="7" t="str">
        <f>IFERROR(__xludf.DUMMYFUNCTION("""COMPUTED_VALUE"""),"AR1098")</f>
        <v>AR1098</v>
      </c>
      <c r="B1059" s="308">
        <f>IFERROR(__xludf.DUMMYFUNCTION("""COMPUTED_VALUE"""),45012.0)</f>
        <v>45012</v>
      </c>
      <c r="C1059" s="309">
        <f>IFERROR(__xludf.DUMMYFUNCTION("""COMPUTED_VALUE"""),0.24359953703703704)</f>
        <v>0.243599537</v>
      </c>
      <c r="D1059" s="7" t="str">
        <f>IFERROR(__xludf.DUMMYFUNCTION("""COMPUTED_VALUE"""),"SpABRM454310")</f>
        <v>SpABRM454310</v>
      </c>
      <c r="E1059" s="310"/>
      <c r="F1059" s="310"/>
      <c r="G1059" s="310" t="str">
        <f>IFERROR(__xludf.DUMMYFUNCTION("""COMPUTED_VALUE"""),"Null")</f>
        <v>Null</v>
      </c>
      <c r="H1059" s="319" t="str">
        <f>IFERROR(__xludf.DUMMYFUNCTION("""COMPUTED_VALUE"""),"Negative")</f>
        <v>Negative</v>
      </c>
      <c r="I1059" s="319"/>
      <c r="J1059" s="54"/>
      <c r="K1059" s="54">
        <f>IFERROR(__xludf.DUMMYFUNCTION("""COMPUTED_VALUE"""),2.0)</f>
        <v>2</v>
      </c>
      <c r="L1059" s="7"/>
      <c r="M1059" s="312"/>
      <c r="N1059" s="172">
        <f>IFERROR(__xludf.DUMMYFUNCTION("""COMPUTED_VALUE"""),3.0)</f>
        <v>3</v>
      </c>
      <c r="O1059" s="172"/>
      <c r="P1059" s="313">
        <f>IFERROR(__xludf.DUMMYFUNCTION("""COMPUTED_VALUE"""),-1.0)</f>
        <v>-1</v>
      </c>
      <c r="Q1059" s="76" t="b">
        <f>VLOOKUP($B1059,'Run Reconcile'!B$2:O1399,14,FALSE)</f>
        <v>1</v>
      </c>
      <c r="R1059" s="314" t="str">
        <f t="array" ref="R1059">IF($Q1059, INDEX('Run Reconcile'!A$2:A1399,MATCH(B1059,'Run Reconcile'!B$2:B1399,0),1),IFERROR(0/0,""))</f>
        <v>RUN-ABRM_2023-03-27_RFR-194</v>
      </c>
      <c r="S1059" s="315" t="str">
        <f t="shared" ref="S1059:T1059" si="2065">IF(COUNTIF(W$2:W1399, $A1059) &gt; 0,TRUE,IFERROR(0/0,""))</f>
        <v/>
      </c>
      <c r="T1059" s="315" t="str">
        <f t="shared" si="2065"/>
        <v/>
      </c>
      <c r="U1059" s="114" t="str">
        <f t="array" ref="U1059">IF(ISBLANK($R1059), INDEX('Run Reconcile'!A$2:A1399, MATCH($B1059, 'Run Reconcile'!B$2:B1399, 0)+Z1059, 1), IFERROR(0/0,""))
</f>
        <v/>
      </c>
      <c r="V1059" s="316" t="str">
        <f t="shared" si="1281"/>
        <v>RUN-ABRM_2023-03-27_RFR-194</v>
      </c>
      <c r="Y1059" s="317" t="str">
        <f t="shared" si="6"/>
        <v/>
      </c>
      <c r="Z1059" s="83" t="str">
        <f t="shared" si="7"/>
        <v/>
      </c>
      <c r="AA1059" s="83" t="str">
        <f t="shared" si="8"/>
        <v/>
      </c>
      <c r="AB1059" s="83" t="str">
        <f t="shared" si="9"/>
        <v/>
      </c>
      <c r="AC1059" s="18"/>
      <c r="AD1059" s="18"/>
      <c r="AE1059" s="43"/>
      <c r="AF1059" s="58" t="s">
        <v>160</v>
      </c>
      <c r="AG1059" s="55" t="str">
        <f t="shared" si="11"/>
        <v/>
      </c>
    </row>
    <row r="1060">
      <c r="A1060" s="7" t="str">
        <f>IFERROR(__xludf.DUMMYFUNCTION("""COMPUTED_VALUE"""),"AK9924")</f>
        <v>AK9924</v>
      </c>
      <c r="B1060" s="308">
        <f>IFERROR(__xludf.DUMMYFUNCTION("""COMPUTED_VALUE"""),45012.0)</f>
        <v>45012</v>
      </c>
      <c r="C1060" s="309">
        <f>IFERROR(__xludf.DUMMYFUNCTION("""COMPUTED_VALUE"""),0.2629166666666667)</f>
        <v>0.2629166667</v>
      </c>
      <c r="D1060" s="7" t="str">
        <f>IFERROR(__xludf.DUMMYFUNCTION("""COMPUTED_VALUE"""),"SpABRM581899")</f>
        <v>SpABRM581899</v>
      </c>
      <c r="E1060" s="310"/>
      <c r="F1060" s="310"/>
      <c r="G1060" s="310" t="str">
        <f>IFERROR(__xludf.DUMMYFUNCTION("""COMPUTED_VALUE"""),"Negative")</f>
        <v>Negative</v>
      </c>
      <c r="H1060" s="319" t="str">
        <f>IFERROR(__xludf.DUMMYFUNCTION("""COMPUTED_VALUE"""),"Negative")</f>
        <v>Negative</v>
      </c>
      <c r="I1060" s="308">
        <f>IFERROR(__xludf.DUMMYFUNCTION("""COMPUTED_VALUE"""),45012.0)</f>
        <v>45012</v>
      </c>
      <c r="J1060" s="311">
        <f>IFERROR(__xludf.DUMMYFUNCTION("""COMPUTED_VALUE"""),0.4362037037037037)</f>
        <v>0.4362037037</v>
      </c>
      <c r="K1060" s="54"/>
      <c r="L1060" s="7"/>
      <c r="M1060" s="312"/>
      <c r="N1060" s="172">
        <f>IFERROR(__xludf.DUMMYFUNCTION("""COMPUTED_VALUE"""),4.0)</f>
        <v>4</v>
      </c>
      <c r="O1060" s="172"/>
      <c r="P1060" s="313">
        <f>IFERROR(__xludf.DUMMYFUNCTION("""COMPUTED_VALUE"""),0.0)</f>
        <v>0</v>
      </c>
      <c r="Q1060" s="76" t="b">
        <f>VLOOKUP($B1060,'Run Reconcile'!B$2:O1399,14,FALSE)</f>
        <v>1</v>
      </c>
      <c r="R1060" s="314" t="str">
        <f t="array" ref="R1060">IF($Q1060, INDEX('Run Reconcile'!A$2:A1399,MATCH(B1060,'Run Reconcile'!B$2:B1399,0),1),IFERROR(0/0,""))</f>
        <v>RUN-ABRM_2023-03-27_RFR-194</v>
      </c>
      <c r="S1060" s="315" t="str">
        <f t="shared" ref="S1060:T1060" si="2066">IF(COUNTIF(W$2:W1399, $A1060) &gt; 0,TRUE,IFERROR(0/0,""))</f>
        <v/>
      </c>
      <c r="T1060" s="315" t="str">
        <f t="shared" si="2066"/>
        <v/>
      </c>
      <c r="U1060" s="114" t="str">
        <f t="array" ref="U1060">IF(ISBLANK($R1060), INDEX('Run Reconcile'!A$2:A1399, MATCH($B1060, 'Run Reconcile'!B$2:B1399, 0)+Z1060, 1), IFERROR(0/0,""))
</f>
        <v/>
      </c>
      <c r="V1060" s="316" t="str">
        <f t="shared" si="1281"/>
        <v>RUN-ABRM_2023-03-27_RFR-194</v>
      </c>
      <c r="Y1060" s="317" t="str">
        <f t="shared" si="6"/>
        <v/>
      </c>
      <c r="Z1060" s="83" t="str">
        <f t="shared" si="7"/>
        <v/>
      </c>
      <c r="AA1060" s="83" t="str">
        <f t="shared" si="8"/>
        <v/>
      </c>
      <c r="AB1060" s="83" t="str">
        <f t="shared" si="9"/>
        <v/>
      </c>
      <c r="AC1060" s="18"/>
      <c r="AD1060" s="18"/>
      <c r="AE1060" s="43"/>
      <c r="AF1060" s="58" t="s">
        <v>160</v>
      </c>
      <c r="AG1060" s="55" t="str">
        <f t="shared" si="11"/>
        <v/>
      </c>
    </row>
    <row r="1061">
      <c r="A1061" s="7" t="str">
        <f>IFERROR(__xludf.DUMMYFUNCTION("""COMPUTED_VALUE"""),"AR671")</f>
        <v>AR671</v>
      </c>
      <c r="B1061" s="308">
        <f>IFERROR(__xludf.DUMMYFUNCTION("""COMPUTED_VALUE"""),45012.0)</f>
        <v>45012</v>
      </c>
      <c r="C1061" s="309">
        <f>IFERROR(__xludf.DUMMYFUNCTION("""COMPUTED_VALUE"""),0.31287037037037035)</f>
        <v>0.3128703704</v>
      </c>
      <c r="D1061" s="7" t="str">
        <f>IFERROR(__xludf.DUMMYFUNCTION("""COMPUTED_VALUE"""),"SpABRM655136")</f>
        <v>SpABRM655136</v>
      </c>
      <c r="E1061" s="310"/>
      <c r="F1061" s="310"/>
      <c r="G1061" s="310" t="str">
        <f>IFERROR(__xludf.DUMMYFUNCTION("""COMPUTED_VALUE"""),"Negative")</f>
        <v>Negative</v>
      </c>
      <c r="H1061" s="319" t="str">
        <f>IFERROR(__xludf.DUMMYFUNCTION("""COMPUTED_VALUE"""),"Negative")</f>
        <v>Negative</v>
      </c>
      <c r="I1061" s="308">
        <f>IFERROR(__xludf.DUMMYFUNCTION("""COMPUTED_VALUE"""),45012.0)</f>
        <v>45012</v>
      </c>
      <c r="J1061" s="311">
        <f>IFERROR(__xludf.DUMMYFUNCTION("""COMPUTED_VALUE"""),0.4362037037037037)</f>
        <v>0.4362037037</v>
      </c>
      <c r="K1061" s="54"/>
      <c r="L1061" s="7"/>
      <c r="M1061" s="312"/>
      <c r="N1061" s="172">
        <f>IFERROR(__xludf.DUMMYFUNCTION("""COMPUTED_VALUE"""),2.0)</f>
        <v>2</v>
      </c>
      <c r="O1061" s="172"/>
      <c r="P1061" s="313">
        <f>IFERROR(__xludf.DUMMYFUNCTION("""COMPUTED_VALUE"""),0.0)</f>
        <v>0</v>
      </c>
      <c r="Q1061" s="76" t="b">
        <f>VLOOKUP($B1061,'Run Reconcile'!B$2:O1399,14,FALSE)</f>
        <v>1</v>
      </c>
      <c r="R1061" s="314" t="str">
        <f t="array" ref="R1061">IF($Q1061, INDEX('Run Reconcile'!A$2:A1399,MATCH(B1061,'Run Reconcile'!B$2:B1399,0),1),IFERROR(0/0,""))</f>
        <v>RUN-ABRM_2023-03-27_RFR-194</v>
      </c>
      <c r="S1061" s="315" t="str">
        <f t="shared" ref="S1061:T1061" si="2067">IF(COUNTIF(W$2:W1399, $A1061) &gt; 0,TRUE,IFERROR(0/0,""))</f>
        <v/>
      </c>
      <c r="T1061" s="315" t="str">
        <f t="shared" si="2067"/>
        <v/>
      </c>
      <c r="U1061" s="114" t="str">
        <f t="array" ref="U1061">IF(ISBLANK($R1061), INDEX('Run Reconcile'!A$2:A1399, MATCH($B1061, 'Run Reconcile'!B$2:B1399, 0)+Z1061, 1), IFERROR(0/0,""))
</f>
        <v/>
      </c>
      <c r="V1061" s="316" t="str">
        <f t="shared" si="1281"/>
        <v>RUN-ABRM_2023-03-27_RFR-194</v>
      </c>
      <c r="Y1061" s="317" t="str">
        <f t="shared" si="6"/>
        <v/>
      </c>
      <c r="Z1061" s="83" t="str">
        <f t="shared" si="7"/>
        <v/>
      </c>
      <c r="AA1061" s="83" t="str">
        <f t="shared" si="8"/>
        <v/>
      </c>
      <c r="AB1061" s="83" t="str">
        <f t="shared" si="9"/>
        <v/>
      </c>
      <c r="AC1061" s="18"/>
      <c r="AD1061" s="18"/>
      <c r="AE1061" s="43"/>
      <c r="AF1061" s="58" t="s">
        <v>160</v>
      </c>
      <c r="AG1061" s="55" t="str">
        <f t="shared" si="11"/>
        <v/>
      </c>
    </row>
    <row r="1062">
      <c r="A1062" s="7" t="str">
        <f>IFERROR(__xludf.DUMMYFUNCTION("""COMPUTED_VALUE"""),"AR214")</f>
        <v>AR214</v>
      </c>
      <c r="B1062" s="308">
        <f>IFERROR(__xludf.DUMMYFUNCTION("""COMPUTED_VALUE"""),45012.0)</f>
        <v>45012</v>
      </c>
      <c r="C1062" s="309">
        <f>IFERROR(__xludf.DUMMYFUNCTION("""COMPUTED_VALUE"""),0.3178587962962963)</f>
        <v>0.3178587963</v>
      </c>
      <c r="D1062" s="7" t="str">
        <f>IFERROR(__xludf.DUMMYFUNCTION("""COMPUTED_VALUE"""),"SpABRM519188")</f>
        <v>SpABRM519188</v>
      </c>
      <c r="E1062" s="310"/>
      <c r="F1062" s="310"/>
      <c r="G1062" s="310" t="str">
        <f>IFERROR(__xludf.DUMMYFUNCTION("""COMPUTED_VALUE"""),"Negative")</f>
        <v>Negative</v>
      </c>
      <c r="H1062" s="319" t="str">
        <f>IFERROR(__xludf.DUMMYFUNCTION("""COMPUTED_VALUE"""),"Negative")</f>
        <v>Negative</v>
      </c>
      <c r="I1062" s="308">
        <f>IFERROR(__xludf.DUMMYFUNCTION("""COMPUTED_VALUE"""),45012.0)</f>
        <v>45012</v>
      </c>
      <c r="J1062" s="311">
        <f>IFERROR(__xludf.DUMMYFUNCTION("""COMPUTED_VALUE"""),0.4362037037037037)</f>
        <v>0.4362037037</v>
      </c>
      <c r="K1062" s="54"/>
      <c r="L1062" s="7"/>
      <c r="M1062" s="312"/>
      <c r="N1062" s="172">
        <f>IFERROR(__xludf.DUMMYFUNCTION("""COMPUTED_VALUE"""),1.0)</f>
        <v>1</v>
      </c>
      <c r="O1062" s="172"/>
      <c r="P1062" s="313">
        <f>IFERROR(__xludf.DUMMYFUNCTION("""COMPUTED_VALUE"""),0.0)</f>
        <v>0</v>
      </c>
      <c r="Q1062" s="76" t="b">
        <f>VLOOKUP($B1062,'Run Reconcile'!B$2:O1399,14,FALSE)</f>
        <v>1</v>
      </c>
      <c r="R1062" s="314" t="str">
        <f t="array" ref="R1062">IF($Q1062, INDEX('Run Reconcile'!A$2:A1399,MATCH(B1062,'Run Reconcile'!B$2:B1399,0),1),IFERROR(0/0,""))</f>
        <v>RUN-ABRM_2023-03-27_RFR-194</v>
      </c>
      <c r="S1062" s="315" t="str">
        <f t="shared" ref="S1062:T1062" si="2068">IF(COUNTIF(W$2:W1399, $A1062) &gt; 0,TRUE,IFERROR(0/0,""))</f>
        <v/>
      </c>
      <c r="T1062" s="315" t="str">
        <f t="shared" si="2068"/>
        <v/>
      </c>
      <c r="U1062" s="114" t="str">
        <f t="array" ref="U1062">IF(ISBLANK($R1062), INDEX('Run Reconcile'!A$2:A1399, MATCH($B1062, 'Run Reconcile'!B$2:B1399, 0)+Z1062, 1), IFERROR(0/0,""))
</f>
        <v/>
      </c>
      <c r="V1062" s="316" t="str">
        <f t="shared" si="1281"/>
        <v>RUN-ABRM_2023-03-27_RFR-194</v>
      </c>
      <c r="Y1062" s="317" t="str">
        <f t="shared" si="6"/>
        <v/>
      </c>
      <c r="Z1062" s="83" t="str">
        <f t="shared" si="7"/>
        <v/>
      </c>
      <c r="AA1062" s="83" t="str">
        <f t="shared" si="8"/>
        <v/>
      </c>
      <c r="AB1062" s="83" t="str">
        <f t="shared" si="9"/>
        <v/>
      </c>
      <c r="AC1062" s="18"/>
      <c r="AD1062" s="18"/>
      <c r="AE1062" s="43"/>
      <c r="AF1062" s="58" t="s">
        <v>160</v>
      </c>
      <c r="AG1062" s="55" t="str">
        <f t="shared" si="11"/>
        <v/>
      </c>
    </row>
    <row r="1063">
      <c r="A1063" s="7" t="str">
        <f>IFERROR(__xludf.DUMMYFUNCTION("""COMPUTED_VALUE"""),"AR1559")</f>
        <v>AR1559</v>
      </c>
      <c r="B1063" s="308">
        <f>IFERROR(__xludf.DUMMYFUNCTION("""COMPUTED_VALUE"""),45012.0)</f>
        <v>45012</v>
      </c>
      <c r="C1063" s="309">
        <f>IFERROR(__xludf.DUMMYFUNCTION("""COMPUTED_VALUE"""),0.32069444444444445)</f>
        <v>0.3206944444</v>
      </c>
      <c r="D1063" s="7" t="str">
        <f>IFERROR(__xludf.DUMMYFUNCTION("""COMPUTED_VALUE"""),"SpABRM841252")</f>
        <v>SpABRM841252</v>
      </c>
      <c r="E1063" s="310"/>
      <c r="F1063" s="310"/>
      <c r="G1063" s="310" t="str">
        <f>IFERROR(__xludf.DUMMYFUNCTION("""COMPUTED_VALUE"""),"Negative")</f>
        <v>Negative</v>
      </c>
      <c r="H1063" s="319" t="str">
        <f>IFERROR(__xludf.DUMMYFUNCTION("""COMPUTED_VALUE"""),"Negative")</f>
        <v>Negative</v>
      </c>
      <c r="I1063" s="308">
        <f>IFERROR(__xludf.DUMMYFUNCTION("""COMPUTED_VALUE"""),45012.0)</f>
        <v>45012</v>
      </c>
      <c r="J1063" s="311">
        <f>IFERROR(__xludf.DUMMYFUNCTION("""COMPUTED_VALUE"""),0.4362037037037037)</f>
        <v>0.4362037037</v>
      </c>
      <c r="K1063" s="54"/>
      <c r="L1063" s="7"/>
      <c r="M1063" s="312"/>
      <c r="N1063" s="172">
        <f>IFERROR(__xludf.DUMMYFUNCTION("""COMPUTED_VALUE"""),1.0)</f>
        <v>1</v>
      </c>
      <c r="O1063" s="172"/>
      <c r="P1063" s="313">
        <f>IFERROR(__xludf.DUMMYFUNCTION("""COMPUTED_VALUE"""),0.0)</f>
        <v>0</v>
      </c>
      <c r="Q1063" s="76" t="b">
        <f>VLOOKUP($B1063,'Run Reconcile'!B$2:O1399,14,FALSE)</f>
        <v>1</v>
      </c>
      <c r="R1063" s="314" t="str">
        <f t="array" ref="R1063">IF($Q1063, INDEX('Run Reconcile'!A$2:A1399,MATCH(B1063,'Run Reconcile'!B$2:B1399,0),1),IFERROR(0/0,""))</f>
        <v>RUN-ABRM_2023-03-27_RFR-194</v>
      </c>
      <c r="S1063" s="315" t="str">
        <f t="shared" ref="S1063:T1063" si="2069">IF(COUNTIF(W$2:W1399, $A1063) &gt; 0,TRUE,IFERROR(0/0,""))</f>
        <v/>
      </c>
      <c r="T1063" s="315" t="str">
        <f t="shared" si="2069"/>
        <v/>
      </c>
      <c r="U1063" s="114" t="str">
        <f t="array" ref="U1063">IF(ISBLANK($R1063), INDEX('Run Reconcile'!A$2:A1399, MATCH($B1063, 'Run Reconcile'!B$2:B1399, 0)+Z1063, 1), IFERROR(0/0,""))
</f>
        <v/>
      </c>
      <c r="V1063" s="316" t="str">
        <f t="shared" si="1281"/>
        <v>RUN-ABRM_2023-03-27_RFR-194</v>
      </c>
      <c r="Y1063" s="317" t="str">
        <f t="shared" si="6"/>
        <v/>
      </c>
      <c r="Z1063" s="83" t="str">
        <f t="shared" si="7"/>
        <v/>
      </c>
      <c r="AA1063" s="83" t="str">
        <f t="shared" si="8"/>
        <v/>
      </c>
      <c r="AB1063" s="83" t="str">
        <f t="shared" si="9"/>
        <v/>
      </c>
      <c r="AC1063" s="18"/>
      <c r="AD1063" s="18"/>
      <c r="AE1063" s="43"/>
      <c r="AF1063" s="58" t="s">
        <v>160</v>
      </c>
      <c r="AG1063" s="55" t="str">
        <f t="shared" si="11"/>
        <v/>
      </c>
    </row>
    <row r="1064">
      <c r="A1064" s="7" t="str">
        <f>IFERROR(__xludf.DUMMYFUNCTION("""COMPUTED_VALUE"""),"AR1237")</f>
        <v>AR1237</v>
      </c>
      <c r="B1064" s="308">
        <f>IFERROR(__xludf.DUMMYFUNCTION("""COMPUTED_VALUE"""),45012.0)</f>
        <v>45012</v>
      </c>
      <c r="C1064" s="309">
        <f>IFERROR(__xludf.DUMMYFUNCTION("""COMPUTED_VALUE"""),0.32114583333333335)</f>
        <v>0.3211458333</v>
      </c>
      <c r="D1064" s="7" t="str">
        <f>IFERROR(__xludf.DUMMYFUNCTION("""COMPUTED_VALUE"""),"SpABRM841252")</f>
        <v>SpABRM841252</v>
      </c>
      <c r="E1064" s="310"/>
      <c r="F1064" s="310"/>
      <c r="G1064" s="310" t="str">
        <f>IFERROR(__xludf.DUMMYFUNCTION("""COMPUTED_VALUE"""),"Negative")</f>
        <v>Negative</v>
      </c>
      <c r="H1064" s="319" t="str">
        <f>IFERROR(__xludf.DUMMYFUNCTION("""COMPUTED_VALUE"""),"Negative")</f>
        <v>Negative</v>
      </c>
      <c r="I1064" s="308">
        <f>IFERROR(__xludf.DUMMYFUNCTION("""COMPUTED_VALUE"""),45012.0)</f>
        <v>45012</v>
      </c>
      <c r="J1064" s="311">
        <f>IFERROR(__xludf.DUMMYFUNCTION("""COMPUTED_VALUE"""),0.4362037037037037)</f>
        <v>0.4362037037</v>
      </c>
      <c r="K1064" s="54"/>
      <c r="L1064" s="7"/>
      <c r="M1064" s="312"/>
      <c r="N1064" s="172">
        <f>IFERROR(__xludf.DUMMYFUNCTION("""COMPUTED_VALUE"""),4.0)</f>
        <v>4</v>
      </c>
      <c r="O1064" s="172"/>
      <c r="P1064" s="313">
        <f>IFERROR(__xludf.DUMMYFUNCTION("""COMPUTED_VALUE"""),0.0)</f>
        <v>0</v>
      </c>
      <c r="Q1064" s="76" t="b">
        <f>VLOOKUP($B1064,'Run Reconcile'!B$2:O1399,14,FALSE)</f>
        <v>1</v>
      </c>
      <c r="R1064" s="314" t="str">
        <f t="array" ref="R1064">IF($Q1064, INDEX('Run Reconcile'!A$2:A1399,MATCH(B1064,'Run Reconcile'!B$2:B1399,0),1),IFERROR(0/0,""))</f>
        <v>RUN-ABRM_2023-03-27_RFR-194</v>
      </c>
      <c r="S1064" s="315" t="str">
        <f t="shared" ref="S1064:T1064" si="2070">IF(COUNTIF(W$2:W1399, $A1064) &gt; 0,TRUE,IFERROR(0/0,""))</f>
        <v/>
      </c>
      <c r="T1064" s="315" t="str">
        <f t="shared" si="2070"/>
        <v/>
      </c>
      <c r="U1064" s="114" t="str">
        <f t="array" ref="U1064">IF(ISBLANK($R1064), INDEX('Run Reconcile'!A$2:A1399, MATCH($B1064, 'Run Reconcile'!B$2:B1399, 0)+Z1064, 1), IFERROR(0/0,""))
</f>
        <v/>
      </c>
      <c r="V1064" s="316" t="str">
        <f t="shared" si="1281"/>
        <v>RUN-ABRM_2023-03-27_RFR-194</v>
      </c>
      <c r="Y1064" s="317" t="str">
        <f t="shared" si="6"/>
        <v/>
      </c>
      <c r="Z1064" s="83" t="str">
        <f t="shared" si="7"/>
        <v/>
      </c>
      <c r="AA1064" s="83" t="str">
        <f t="shared" si="8"/>
        <v/>
      </c>
      <c r="AB1064" s="83" t="str">
        <f t="shared" si="9"/>
        <v/>
      </c>
      <c r="AC1064" s="18"/>
      <c r="AD1064" s="18"/>
      <c r="AE1064" s="43"/>
      <c r="AF1064" s="58" t="s">
        <v>160</v>
      </c>
      <c r="AG1064" s="55" t="str">
        <f t="shared" si="11"/>
        <v/>
      </c>
    </row>
    <row r="1065">
      <c r="A1065" s="7" t="str">
        <f>IFERROR(__xludf.DUMMYFUNCTION("""COMPUTED_VALUE"""),"AR1631")</f>
        <v>AR1631</v>
      </c>
      <c r="B1065" s="308">
        <f>IFERROR(__xludf.DUMMYFUNCTION("""COMPUTED_VALUE"""),45012.0)</f>
        <v>45012</v>
      </c>
      <c r="C1065" s="309">
        <f>IFERROR(__xludf.DUMMYFUNCTION("""COMPUTED_VALUE"""),0.3411342592592593)</f>
        <v>0.3411342593</v>
      </c>
      <c r="D1065" s="7" t="str">
        <f>IFERROR(__xludf.DUMMYFUNCTION("""COMPUTED_VALUE"""),"SpABRM841252")</f>
        <v>SpABRM841252</v>
      </c>
      <c r="E1065" s="310"/>
      <c r="F1065" s="310"/>
      <c r="G1065" s="310" t="str">
        <f>IFERROR(__xludf.DUMMYFUNCTION("""COMPUTED_VALUE"""),"Negative")</f>
        <v>Negative</v>
      </c>
      <c r="H1065" s="319" t="str">
        <f>IFERROR(__xludf.DUMMYFUNCTION("""COMPUTED_VALUE"""),"Negative")</f>
        <v>Negative</v>
      </c>
      <c r="I1065" s="308">
        <f>IFERROR(__xludf.DUMMYFUNCTION("""COMPUTED_VALUE"""),45012.0)</f>
        <v>45012</v>
      </c>
      <c r="J1065" s="311">
        <f>IFERROR(__xludf.DUMMYFUNCTION("""COMPUTED_VALUE"""),0.4362037037037037)</f>
        <v>0.4362037037</v>
      </c>
      <c r="K1065" s="54"/>
      <c r="L1065" s="7"/>
      <c r="M1065" s="312"/>
      <c r="N1065" s="172">
        <f>IFERROR(__xludf.DUMMYFUNCTION("""COMPUTED_VALUE"""),1.0)</f>
        <v>1</v>
      </c>
      <c r="O1065" s="172"/>
      <c r="P1065" s="313">
        <f>IFERROR(__xludf.DUMMYFUNCTION("""COMPUTED_VALUE"""),0.0)</f>
        <v>0</v>
      </c>
      <c r="Q1065" s="76" t="b">
        <f>VLOOKUP($B1065,'Run Reconcile'!B$2:O1399,14,FALSE)</f>
        <v>1</v>
      </c>
      <c r="R1065" s="314" t="str">
        <f t="array" ref="R1065">IF($Q1065, INDEX('Run Reconcile'!A$2:A1399,MATCH(B1065,'Run Reconcile'!B$2:B1399,0),1),IFERROR(0/0,""))</f>
        <v>RUN-ABRM_2023-03-27_RFR-194</v>
      </c>
      <c r="S1065" s="315" t="str">
        <f t="shared" ref="S1065:T1065" si="2071">IF(COUNTIF(W$2:W1399, $A1065) &gt; 0,TRUE,IFERROR(0/0,""))</f>
        <v/>
      </c>
      <c r="T1065" s="315" t="str">
        <f t="shared" si="2071"/>
        <v/>
      </c>
      <c r="U1065" s="114" t="str">
        <f t="array" ref="U1065">IF(ISBLANK($R1065), INDEX('Run Reconcile'!A$2:A1399, MATCH($B1065, 'Run Reconcile'!B$2:B1399, 0)+Z1065, 1), IFERROR(0/0,""))
</f>
        <v/>
      </c>
      <c r="V1065" s="316" t="str">
        <f t="shared" si="1281"/>
        <v>RUN-ABRM_2023-03-27_RFR-194</v>
      </c>
      <c r="Y1065" s="317" t="str">
        <f t="shared" si="6"/>
        <v/>
      </c>
      <c r="Z1065" s="83" t="str">
        <f t="shared" si="7"/>
        <v/>
      </c>
      <c r="AA1065" s="83" t="str">
        <f t="shared" si="8"/>
        <v/>
      </c>
      <c r="AB1065" s="83" t="str">
        <f t="shared" si="9"/>
        <v/>
      </c>
      <c r="AC1065" s="18"/>
      <c r="AD1065" s="18"/>
      <c r="AE1065" s="43"/>
      <c r="AF1065" s="58" t="s">
        <v>160</v>
      </c>
      <c r="AG1065" s="55" t="str">
        <f t="shared" si="11"/>
        <v/>
      </c>
    </row>
    <row r="1066">
      <c r="A1066" s="7" t="str">
        <f>IFERROR(__xludf.DUMMYFUNCTION("""COMPUTED_VALUE"""),"AR798")</f>
        <v>AR798</v>
      </c>
      <c r="B1066" s="308">
        <f>IFERROR(__xludf.DUMMYFUNCTION("""COMPUTED_VALUE"""),45013.0)</f>
        <v>45013</v>
      </c>
      <c r="C1066" s="309">
        <f>IFERROR(__xludf.DUMMYFUNCTION("""COMPUTED_VALUE"""),0.2372337962962963)</f>
        <v>0.2372337963</v>
      </c>
      <c r="D1066" s="7" t="str">
        <f>IFERROR(__xludf.DUMMYFUNCTION("""COMPUTED_VALUE"""),"SpABRM297307")</f>
        <v>SpABRM297307</v>
      </c>
      <c r="E1066" s="310"/>
      <c r="F1066" s="310"/>
      <c r="G1066" s="310" t="str">
        <f>IFERROR(__xludf.DUMMYFUNCTION("""COMPUTED_VALUE"""),"Negative")</f>
        <v>Negative</v>
      </c>
      <c r="H1066" s="319" t="str">
        <f>IFERROR(__xludf.DUMMYFUNCTION("""COMPUTED_VALUE"""),"Negative")</f>
        <v>Negative</v>
      </c>
      <c r="I1066" s="308">
        <f>IFERROR(__xludf.DUMMYFUNCTION("""COMPUTED_VALUE"""),45013.0)</f>
        <v>45013</v>
      </c>
      <c r="J1066" s="311">
        <f>IFERROR(__xludf.DUMMYFUNCTION("""COMPUTED_VALUE"""),0.5373958333333333)</f>
        <v>0.5373958333</v>
      </c>
      <c r="K1066" s="54"/>
      <c r="L1066" s="7"/>
      <c r="M1066" s="312"/>
      <c r="N1066" s="172">
        <f>IFERROR(__xludf.DUMMYFUNCTION("""COMPUTED_VALUE"""),3.0)</f>
        <v>3</v>
      </c>
      <c r="O1066" s="172"/>
      <c r="P1066" s="313">
        <f>IFERROR(__xludf.DUMMYFUNCTION("""COMPUTED_VALUE"""),0.0)</f>
        <v>0</v>
      </c>
      <c r="Q1066" s="76" t="b">
        <f>VLOOKUP($B1066,'Run Reconcile'!B$2:O1399,14,FALSE)</f>
        <v>1</v>
      </c>
      <c r="R1066" s="314" t="str">
        <f t="array" ref="R1066">IF($Q1066, INDEX('Run Reconcile'!A$2:A1399,MATCH(B1066,'Run Reconcile'!B$2:B1399,0),1),IFERROR(0/0,""))</f>
        <v>RUN-ABRM_2023-03-28_RFR-195</v>
      </c>
      <c r="S1066" s="315" t="str">
        <f t="shared" ref="S1066:T1066" si="2072">IF(COUNTIF(W$2:W1399, $A1066) &gt; 0,TRUE,IFERROR(0/0,""))</f>
        <v/>
      </c>
      <c r="T1066" s="315" t="str">
        <f t="shared" si="2072"/>
        <v/>
      </c>
      <c r="U1066" s="114" t="str">
        <f t="array" ref="U1066">IF(ISBLANK($R1066), INDEX('Run Reconcile'!A$2:A1399, MATCH($B1066, 'Run Reconcile'!B$2:B1399, 0)+Z1066, 1), IFERROR(0/0,""))
</f>
        <v/>
      </c>
      <c r="V1066" s="316" t="str">
        <f t="shared" si="1281"/>
        <v>RUN-ABRM_2023-03-28_RFR-195</v>
      </c>
      <c r="Y1066" s="317" t="str">
        <f t="shared" si="6"/>
        <v/>
      </c>
      <c r="Z1066" s="83" t="str">
        <f t="shared" si="7"/>
        <v/>
      </c>
      <c r="AA1066" s="83" t="str">
        <f t="shared" si="8"/>
        <v/>
      </c>
      <c r="AB1066" s="83" t="str">
        <f t="shared" si="9"/>
        <v/>
      </c>
      <c r="AC1066" s="18"/>
      <c r="AD1066" s="18"/>
      <c r="AE1066" s="43"/>
      <c r="AF1066" s="58" t="s">
        <v>161</v>
      </c>
      <c r="AG1066" s="55" t="str">
        <f t="shared" si="11"/>
        <v/>
      </c>
    </row>
    <row r="1067">
      <c r="A1067" s="7" t="str">
        <f>IFERROR(__xludf.DUMMYFUNCTION("""COMPUTED_VALUE"""),"AB9962")</f>
        <v>AB9962</v>
      </c>
      <c r="B1067" s="308">
        <f>IFERROR(__xludf.DUMMYFUNCTION("""COMPUTED_VALUE"""),45013.0)</f>
        <v>45013</v>
      </c>
      <c r="C1067" s="309">
        <f>IFERROR(__xludf.DUMMYFUNCTION("""COMPUTED_VALUE"""),0.25809027777777777)</f>
        <v>0.2580902778</v>
      </c>
      <c r="D1067" s="7" t="str">
        <f>IFERROR(__xludf.DUMMYFUNCTION("""COMPUTED_VALUE"""),"SpABRM454310")</f>
        <v>SpABRM454310</v>
      </c>
      <c r="E1067" s="310"/>
      <c r="F1067" s="310"/>
      <c r="G1067" s="310" t="str">
        <f>IFERROR(__xludf.DUMMYFUNCTION("""COMPUTED_VALUE"""),"Negative")</f>
        <v>Negative</v>
      </c>
      <c r="H1067" s="319" t="str">
        <f>IFERROR(__xludf.DUMMYFUNCTION("""COMPUTED_VALUE"""),"Negative")</f>
        <v>Negative</v>
      </c>
      <c r="I1067" s="308">
        <f>IFERROR(__xludf.DUMMYFUNCTION("""COMPUTED_VALUE"""),45013.0)</f>
        <v>45013</v>
      </c>
      <c r="J1067" s="311">
        <f>IFERROR(__xludf.DUMMYFUNCTION("""COMPUTED_VALUE"""),0.5373958333333333)</f>
        <v>0.5373958333</v>
      </c>
      <c r="K1067" s="54"/>
      <c r="L1067" s="7"/>
      <c r="M1067" s="312"/>
      <c r="N1067" s="172">
        <f>IFERROR(__xludf.DUMMYFUNCTION("""COMPUTED_VALUE"""),3.0)</f>
        <v>3</v>
      </c>
      <c r="O1067" s="172"/>
      <c r="P1067" s="313">
        <f>IFERROR(__xludf.DUMMYFUNCTION("""COMPUTED_VALUE"""),0.0)</f>
        <v>0</v>
      </c>
      <c r="Q1067" s="76" t="b">
        <f>VLOOKUP($B1067,'Run Reconcile'!B$2:O1399,14,FALSE)</f>
        <v>1</v>
      </c>
      <c r="R1067" s="314" t="str">
        <f t="array" ref="R1067">IF($Q1067, INDEX('Run Reconcile'!A$2:A1399,MATCH(B1067,'Run Reconcile'!B$2:B1399,0),1),IFERROR(0/0,""))</f>
        <v>RUN-ABRM_2023-03-28_RFR-195</v>
      </c>
      <c r="S1067" s="315" t="str">
        <f t="shared" ref="S1067:T1067" si="2073">IF(COUNTIF(W$2:W1399, $A1067) &gt; 0,TRUE,IFERROR(0/0,""))</f>
        <v/>
      </c>
      <c r="T1067" s="315" t="str">
        <f t="shared" si="2073"/>
        <v/>
      </c>
      <c r="U1067" s="114" t="str">
        <f t="array" ref="U1067">IF(ISBLANK($R1067), INDEX('Run Reconcile'!A$2:A1399, MATCH($B1067, 'Run Reconcile'!B$2:B1399, 0)+Z1067, 1), IFERROR(0/0,""))
</f>
        <v/>
      </c>
      <c r="V1067" s="316" t="str">
        <f t="shared" si="1281"/>
        <v>RUN-ABRM_2023-03-28_RFR-195</v>
      </c>
      <c r="Y1067" s="317" t="str">
        <f t="shared" si="6"/>
        <v/>
      </c>
      <c r="Z1067" s="83" t="str">
        <f t="shared" si="7"/>
        <v/>
      </c>
      <c r="AA1067" s="83" t="str">
        <f t="shared" si="8"/>
        <v/>
      </c>
      <c r="AB1067" s="83" t="str">
        <f t="shared" si="9"/>
        <v/>
      </c>
      <c r="AC1067" s="18"/>
      <c r="AD1067" s="18"/>
      <c r="AE1067" s="43"/>
      <c r="AF1067" s="58" t="s">
        <v>161</v>
      </c>
      <c r="AG1067" s="55" t="str">
        <f t="shared" si="11"/>
        <v/>
      </c>
    </row>
    <row r="1068">
      <c r="A1068" s="7" t="str">
        <f>IFERROR(__xludf.DUMMYFUNCTION("""COMPUTED_VALUE"""),"AR1301")</f>
        <v>AR1301</v>
      </c>
      <c r="B1068" s="308">
        <f>IFERROR(__xludf.DUMMYFUNCTION("""COMPUTED_VALUE"""),45013.0)</f>
        <v>45013</v>
      </c>
      <c r="C1068" s="309">
        <f>IFERROR(__xludf.DUMMYFUNCTION("""COMPUTED_VALUE"""),0.28844907407407405)</f>
        <v>0.2884490741</v>
      </c>
      <c r="D1068" s="7" t="str">
        <f>IFERROR(__xludf.DUMMYFUNCTION("""COMPUTED_VALUE"""),"SpABRM581899")</f>
        <v>SpABRM581899</v>
      </c>
      <c r="E1068" s="310"/>
      <c r="F1068" s="310"/>
      <c r="G1068" s="310" t="str">
        <f>IFERROR(__xludf.DUMMYFUNCTION("""COMPUTED_VALUE"""),"Negative")</f>
        <v>Negative</v>
      </c>
      <c r="H1068" s="319" t="str">
        <f>IFERROR(__xludf.DUMMYFUNCTION("""COMPUTED_VALUE"""),"Negative")</f>
        <v>Negative</v>
      </c>
      <c r="I1068" s="308">
        <f>IFERROR(__xludf.DUMMYFUNCTION("""COMPUTED_VALUE"""),45013.0)</f>
        <v>45013</v>
      </c>
      <c r="J1068" s="311">
        <f>IFERROR(__xludf.DUMMYFUNCTION("""COMPUTED_VALUE"""),0.5374074074074074)</f>
        <v>0.5374074074</v>
      </c>
      <c r="K1068" s="54"/>
      <c r="L1068" s="7"/>
      <c r="M1068" s="312"/>
      <c r="N1068" s="172">
        <f>IFERROR(__xludf.DUMMYFUNCTION("""COMPUTED_VALUE"""),4.0)</f>
        <v>4</v>
      </c>
      <c r="O1068" s="172"/>
      <c r="P1068" s="313">
        <f>IFERROR(__xludf.DUMMYFUNCTION("""COMPUTED_VALUE"""),0.0)</f>
        <v>0</v>
      </c>
      <c r="Q1068" s="76" t="b">
        <f>VLOOKUP($B1068,'Run Reconcile'!B$2:O1399,14,FALSE)</f>
        <v>1</v>
      </c>
      <c r="R1068" s="314" t="str">
        <f t="array" ref="R1068">IF($Q1068, INDEX('Run Reconcile'!A$2:A1399,MATCH(B1068,'Run Reconcile'!B$2:B1399,0),1),IFERROR(0/0,""))</f>
        <v>RUN-ABRM_2023-03-28_RFR-195</v>
      </c>
      <c r="S1068" s="315" t="str">
        <f t="shared" ref="S1068:T1068" si="2074">IF(COUNTIF(W$2:W1399, $A1068) &gt; 0,TRUE,IFERROR(0/0,""))</f>
        <v/>
      </c>
      <c r="T1068" s="315" t="str">
        <f t="shared" si="2074"/>
        <v/>
      </c>
      <c r="U1068" s="114" t="str">
        <f t="array" ref="U1068">IF(ISBLANK($R1068), INDEX('Run Reconcile'!A$2:A1399, MATCH($B1068, 'Run Reconcile'!B$2:B1399, 0)+Z1068, 1), IFERROR(0/0,""))
</f>
        <v/>
      </c>
      <c r="V1068" s="316" t="str">
        <f t="shared" si="1281"/>
        <v>RUN-ABRM_2023-03-28_RFR-195</v>
      </c>
      <c r="Y1068" s="317" t="str">
        <f t="shared" si="6"/>
        <v/>
      </c>
      <c r="Z1068" s="83" t="str">
        <f t="shared" si="7"/>
        <v/>
      </c>
      <c r="AA1068" s="83" t="str">
        <f t="shared" si="8"/>
        <v/>
      </c>
      <c r="AB1068" s="83" t="str">
        <f t="shared" si="9"/>
        <v/>
      </c>
      <c r="AC1068" s="18"/>
      <c r="AD1068" s="18"/>
      <c r="AE1068" s="43"/>
      <c r="AF1068" s="58" t="s">
        <v>161</v>
      </c>
      <c r="AG1068" s="55" t="str">
        <f t="shared" si="11"/>
        <v/>
      </c>
    </row>
    <row r="1069">
      <c r="A1069" s="7" t="str">
        <f>IFERROR(__xludf.DUMMYFUNCTION("""COMPUTED_VALUE"""),"AK9765")</f>
        <v>AK9765</v>
      </c>
      <c r="B1069" s="308">
        <f>IFERROR(__xludf.DUMMYFUNCTION("""COMPUTED_VALUE"""),45013.0)</f>
        <v>45013</v>
      </c>
      <c r="C1069" s="309">
        <f>IFERROR(__xludf.DUMMYFUNCTION("""COMPUTED_VALUE"""),0.29712962962962963)</f>
        <v>0.2971296296</v>
      </c>
      <c r="D1069" s="7" t="str">
        <f>IFERROR(__xludf.DUMMYFUNCTION("""COMPUTED_VALUE"""),"SpABRM128250")</f>
        <v>SpABRM128250</v>
      </c>
      <c r="E1069" s="310"/>
      <c r="F1069" s="310"/>
      <c r="G1069" s="310" t="str">
        <f>IFERROR(__xludf.DUMMYFUNCTION("""COMPUTED_VALUE"""),"Negative")</f>
        <v>Negative</v>
      </c>
      <c r="H1069" s="319" t="str">
        <f>IFERROR(__xludf.DUMMYFUNCTION("""COMPUTED_VALUE"""),"Negative")</f>
        <v>Negative</v>
      </c>
      <c r="I1069" s="308">
        <f>IFERROR(__xludf.DUMMYFUNCTION("""COMPUTED_VALUE"""),45013.0)</f>
        <v>45013</v>
      </c>
      <c r="J1069" s="311">
        <f>IFERROR(__xludf.DUMMYFUNCTION("""COMPUTED_VALUE"""),0.5374074074074074)</f>
        <v>0.5374074074</v>
      </c>
      <c r="K1069" s="54"/>
      <c r="L1069" s="7"/>
      <c r="M1069" s="312"/>
      <c r="N1069" s="172">
        <f>IFERROR(__xludf.DUMMYFUNCTION("""COMPUTED_VALUE"""),3.0)</f>
        <v>3</v>
      </c>
      <c r="O1069" s="172"/>
      <c r="P1069" s="313">
        <f>IFERROR(__xludf.DUMMYFUNCTION("""COMPUTED_VALUE"""),0.0)</f>
        <v>0</v>
      </c>
      <c r="Q1069" s="76" t="b">
        <f>VLOOKUP($B1069,'Run Reconcile'!B$2:O1399,14,FALSE)</f>
        <v>1</v>
      </c>
      <c r="R1069" s="314" t="str">
        <f t="array" ref="R1069">IF($Q1069, INDEX('Run Reconcile'!A$2:A1399,MATCH(B1069,'Run Reconcile'!B$2:B1399,0),1),IFERROR(0/0,""))</f>
        <v>RUN-ABRM_2023-03-28_RFR-195</v>
      </c>
      <c r="S1069" s="315" t="str">
        <f t="shared" ref="S1069:T1069" si="2075">IF(COUNTIF(W$2:W1399, $A1069) &gt; 0,TRUE,IFERROR(0/0,""))</f>
        <v/>
      </c>
      <c r="T1069" s="315" t="str">
        <f t="shared" si="2075"/>
        <v/>
      </c>
      <c r="U1069" s="114" t="str">
        <f t="array" ref="U1069">IF(ISBLANK($R1069), INDEX('Run Reconcile'!A$2:A1399, MATCH($B1069, 'Run Reconcile'!B$2:B1399, 0)+Z1069, 1), IFERROR(0/0,""))
</f>
        <v/>
      </c>
      <c r="V1069" s="316" t="str">
        <f t="shared" si="1281"/>
        <v>RUN-ABRM_2023-03-28_RFR-195</v>
      </c>
      <c r="Y1069" s="317" t="str">
        <f t="shared" si="6"/>
        <v/>
      </c>
      <c r="Z1069" s="83" t="str">
        <f t="shared" si="7"/>
        <v/>
      </c>
      <c r="AA1069" s="83" t="str">
        <f t="shared" si="8"/>
        <v/>
      </c>
      <c r="AB1069" s="83" t="str">
        <f t="shared" si="9"/>
        <v/>
      </c>
      <c r="AC1069" s="18"/>
      <c r="AD1069" s="18"/>
      <c r="AE1069" s="43"/>
      <c r="AF1069" s="58" t="s">
        <v>161</v>
      </c>
      <c r="AG1069" s="55" t="str">
        <f t="shared" si="11"/>
        <v/>
      </c>
    </row>
    <row r="1070">
      <c r="A1070" s="7" t="str">
        <f>IFERROR(__xludf.DUMMYFUNCTION("""COMPUTED_VALUE"""),"AE9958")</f>
        <v>AE9958</v>
      </c>
      <c r="B1070" s="308">
        <f>IFERROR(__xludf.DUMMYFUNCTION("""COMPUTED_VALUE"""),45013.0)</f>
        <v>45013</v>
      </c>
      <c r="C1070" s="309">
        <f>IFERROR(__xludf.DUMMYFUNCTION("""COMPUTED_VALUE"""),0.2980555555555556)</f>
        <v>0.2980555556</v>
      </c>
      <c r="D1070" s="7" t="str">
        <f>IFERROR(__xludf.DUMMYFUNCTION("""COMPUTED_VALUE"""),"SpABRM655136")</f>
        <v>SpABRM655136</v>
      </c>
      <c r="E1070" s="310"/>
      <c r="F1070" s="310"/>
      <c r="G1070" s="310" t="str">
        <f>IFERROR(__xludf.DUMMYFUNCTION("""COMPUTED_VALUE"""),"Negative")</f>
        <v>Negative</v>
      </c>
      <c r="H1070" s="319" t="str">
        <f>IFERROR(__xludf.DUMMYFUNCTION("""COMPUTED_VALUE"""),"Negative")</f>
        <v>Negative</v>
      </c>
      <c r="I1070" s="308">
        <f>IFERROR(__xludf.DUMMYFUNCTION("""COMPUTED_VALUE"""),45013.0)</f>
        <v>45013</v>
      </c>
      <c r="J1070" s="311">
        <f>IFERROR(__xludf.DUMMYFUNCTION("""COMPUTED_VALUE"""),0.5374074074074074)</f>
        <v>0.5374074074</v>
      </c>
      <c r="K1070" s="54"/>
      <c r="L1070" s="7"/>
      <c r="M1070" s="312"/>
      <c r="N1070" s="172">
        <f>IFERROR(__xludf.DUMMYFUNCTION("""COMPUTED_VALUE"""),2.0)</f>
        <v>2</v>
      </c>
      <c r="O1070" s="172"/>
      <c r="P1070" s="313">
        <f>IFERROR(__xludf.DUMMYFUNCTION("""COMPUTED_VALUE"""),0.0)</f>
        <v>0</v>
      </c>
      <c r="Q1070" s="76" t="b">
        <f>VLOOKUP($B1070,'Run Reconcile'!B$2:O1399,14,FALSE)</f>
        <v>1</v>
      </c>
      <c r="R1070" s="314" t="str">
        <f t="array" ref="R1070">IF($Q1070, INDEX('Run Reconcile'!A$2:A1399,MATCH(B1070,'Run Reconcile'!B$2:B1399,0),1),IFERROR(0/0,""))</f>
        <v>RUN-ABRM_2023-03-28_RFR-195</v>
      </c>
      <c r="S1070" s="315" t="str">
        <f t="shared" ref="S1070:T1070" si="2076">IF(COUNTIF(W$2:W1399, $A1070) &gt; 0,TRUE,IFERROR(0/0,""))</f>
        <v/>
      </c>
      <c r="T1070" s="315" t="str">
        <f t="shared" si="2076"/>
        <v/>
      </c>
      <c r="U1070" s="114" t="str">
        <f t="array" ref="U1070">IF(ISBLANK($R1070), INDEX('Run Reconcile'!A$2:A1399, MATCH($B1070, 'Run Reconcile'!B$2:B1399, 0)+Z1070, 1), IFERROR(0/0,""))
</f>
        <v/>
      </c>
      <c r="V1070" s="316" t="str">
        <f t="shared" si="1281"/>
        <v>RUN-ABRM_2023-03-28_RFR-195</v>
      </c>
      <c r="Y1070" s="317" t="str">
        <f t="shared" si="6"/>
        <v/>
      </c>
      <c r="Z1070" s="83" t="str">
        <f t="shared" si="7"/>
        <v/>
      </c>
      <c r="AA1070" s="83" t="str">
        <f t="shared" si="8"/>
        <v/>
      </c>
      <c r="AB1070" s="83" t="str">
        <f t="shared" si="9"/>
        <v/>
      </c>
      <c r="AC1070" s="18"/>
      <c r="AD1070" s="18"/>
      <c r="AE1070" s="43"/>
      <c r="AF1070" s="58" t="s">
        <v>161</v>
      </c>
      <c r="AG1070" s="55" t="str">
        <f t="shared" si="11"/>
        <v/>
      </c>
    </row>
    <row r="1071">
      <c r="A1071" s="7" t="str">
        <f>IFERROR(__xludf.DUMMYFUNCTION("""COMPUTED_VALUE"""),"AB9927")</f>
        <v>AB9927</v>
      </c>
      <c r="B1071" s="308">
        <f>IFERROR(__xludf.DUMMYFUNCTION("""COMPUTED_VALUE"""),45013.0)</f>
        <v>45013</v>
      </c>
      <c r="C1071" s="309">
        <f>IFERROR(__xludf.DUMMYFUNCTION("""COMPUTED_VALUE"""),0.3016087962962963)</f>
        <v>0.3016087963</v>
      </c>
      <c r="D1071" s="7" t="str">
        <f>IFERROR(__xludf.DUMMYFUNCTION("""COMPUTED_VALUE"""),"SpABRM519188")</f>
        <v>SpABRM519188</v>
      </c>
      <c r="E1071" s="310"/>
      <c r="F1071" s="310"/>
      <c r="G1071" s="310" t="str">
        <f>IFERROR(__xludf.DUMMYFUNCTION("""COMPUTED_VALUE"""),"Negative")</f>
        <v>Negative</v>
      </c>
      <c r="H1071" s="319" t="str">
        <f>IFERROR(__xludf.DUMMYFUNCTION("""COMPUTED_VALUE"""),"Negative")</f>
        <v>Negative</v>
      </c>
      <c r="I1071" s="308">
        <f>IFERROR(__xludf.DUMMYFUNCTION("""COMPUTED_VALUE"""),45013.0)</f>
        <v>45013</v>
      </c>
      <c r="J1071" s="311">
        <f>IFERROR(__xludf.DUMMYFUNCTION("""COMPUTED_VALUE"""),0.5374074074074074)</f>
        <v>0.5374074074</v>
      </c>
      <c r="K1071" s="54"/>
      <c r="L1071" s="7"/>
      <c r="M1071" s="312"/>
      <c r="N1071" s="172">
        <f>IFERROR(__xludf.DUMMYFUNCTION("""COMPUTED_VALUE"""),1.0)</f>
        <v>1</v>
      </c>
      <c r="O1071" s="172"/>
      <c r="P1071" s="313">
        <f>IFERROR(__xludf.DUMMYFUNCTION("""COMPUTED_VALUE"""),0.0)</f>
        <v>0</v>
      </c>
      <c r="Q1071" s="76" t="b">
        <f>VLOOKUP($B1071,'Run Reconcile'!B$2:O1399,14,FALSE)</f>
        <v>1</v>
      </c>
      <c r="R1071" s="314" t="str">
        <f t="array" ref="R1071">IF($Q1071, INDEX('Run Reconcile'!A$2:A1399,MATCH(B1071,'Run Reconcile'!B$2:B1399,0),1),IFERROR(0/0,""))</f>
        <v>RUN-ABRM_2023-03-28_RFR-195</v>
      </c>
      <c r="S1071" s="315" t="str">
        <f t="shared" ref="S1071:T1071" si="2077">IF(COUNTIF(W$2:W1399, $A1071) &gt; 0,TRUE,IFERROR(0/0,""))</f>
        <v/>
      </c>
      <c r="T1071" s="315" t="str">
        <f t="shared" si="2077"/>
        <v/>
      </c>
      <c r="U1071" s="114" t="str">
        <f t="array" ref="U1071">IF(ISBLANK($R1071), INDEX('Run Reconcile'!A$2:A1399, MATCH($B1071, 'Run Reconcile'!B$2:B1399, 0)+Z1071, 1), IFERROR(0/0,""))
</f>
        <v/>
      </c>
      <c r="V1071" s="316" t="str">
        <f t="shared" si="1281"/>
        <v>RUN-ABRM_2023-03-28_RFR-195</v>
      </c>
      <c r="Y1071" s="317" t="str">
        <f t="shared" si="6"/>
        <v/>
      </c>
      <c r="Z1071" s="83" t="str">
        <f t="shared" si="7"/>
        <v/>
      </c>
      <c r="AA1071" s="83" t="str">
        <f t="shared" si="8"/>
        <v/>
      </c>
      <c r="AB1071" s="83" t="str">
        <f t="shared" si="9"/>
        <v/>
      </c>
      <c r="AC1071" s="18"/>
      <c r="AD1071" s="18"/>
      <c r="AE1071" s="43"/>
      <c r="AF1071" s="58" t="s">
        <v>161</v>
      </c>
      <c r="AG1071" s="55" t="str">
        <f t="shared" si="11"/>
        <v/>
      </c>
    </row>
    <row r="1072">
      <c r="A1072" s="7" t="str">
        <f>IFERROR(__xludf.DUMMYFUNCTION("""COMPUTED_VALUE"""),"AR1359")</f>
        <v>AR1359</v>
      </c>
      <c r="B1072" s="308">
        <f>IFERROR(__xludf.DUMMYFUNCTION("""COMPUTED_VALUE"""),45013.0)</f>
        <v>45013</v>
      </c>
      <c r="C1072" s="309">
        <f>IFERROR(__xludf.DUMMYFUNCTION("""COMPUTED_VALUE"""),0.30190972222222223)</f>
        <v>0.3019097222</v>
      </c>
      <c r="D1072" s="7" t="str">
        <f>IFERROR(__xludf.DUMMYFUNCTION("""COMPUTED_VALUE"""),"SpABRM841252")</f>
        <v>SpABRM841252</v>
      </c>
      <c r="E1072" s="310"/>
      <c r="F1072" s="310"/>
      <c r="G1072" s="310" t="str">
        <f>IFERROR(__xludf.DUMMYFUNCTION("""COMPUTED_VALUE"""),"Negative")</f>
        <v>Negative</v>
      </c>
      <c r="H1072" s="319" t="str">
        <f>IFERROR(__xludf.DUMMYFUNCTION("""COMPUTED_VALUE"""),"Negative")</f>
        <v>Negative</v>
      </c>
      <c r="I1072" s="308">
        <f>IFERROR(__xludf.DUMMYFUNCTION("""COMPUTED_VALUE"""),45013.0)</f>
        <v>45013</v>
      </c>
      <c r="J1072" s="311">
        <f>IFERROR(__xludf.DUMMYFUNCTION("""COMPUTED_VALUE"""),0.5374074074074074)</f>
        <v>0.5374074074</v>
      </c>
      <c r="K1072" s="54"/>
      <c r="L1072" s="7"/>
      <c r="M1072" s="312"/>
      <c r="N1072" s="172">
        <f>IFERROR(__xludf.DUMMYFUNCTION("""COMPUTED_VALUE"""),1.0)</f>
        <v>1</v>
      </c>
      <c r="O1072" s="172"/>
      <c r="P1072" s="313">
        <f>IFERROR(__xludf.DUMMYFUNCTION("""COMPUTED_VALUE"""),0.0)</f>
        <v>0</v>
      </c>
      <c r="Q1072" s="76" t="b">
        <f>VLOOKUP($B1072,'Run Reconcile'!B$2:O1399,14,FALSE)</f>
        <v>1</v>
      </c>
      <c r="R1072" s="314" t="str">
        <f t="array" ref="R1072">IF($Q1072, INDEX('Run Reconcile'!A$2:A1399,MATCH(B1072,'Run Reconcile'!B$2:B1399,0),1),IFERROR(0/0,""))</f>
        <v>RUN-ABRM_2023-03-28_RFR-195</v>
      </c>
      <c r="S1072" s="315" t="str">
        <f t="shared" ref="S1072:T1072" si="2078">IF(COUNTIF(W$2:W1399, $A1072) &gt; 0,TRUE,IFERROR(0/0,""))</f>
        <v/>
      </c>
      <c r="T1072" s="315" t="str">
        <f t="shared" si="2078"/>
        <v/>
      </c>
      <c r="U1072" s="114" t="str">
        <f t="array" ref="U1072">IF(ISBLANK($R1072), INDEX('Run Reconcile'!A$2:A1399, MATCH($B1072, 'Run Reconcile'!B$2:B1399, 0)+Z1072, 1), IFERROR(0/0,""))
</f>
        <v/>
      </c>
      <c r="V1072" s="316" t="str">
        <f t="shared" si="1281"/>
        <v>RUN-ABRM_2023-03-28_RFR-195</v>
      </c>
      <c r="Y1072" s="317" t="str">
        <f t="shared" si="6"/>
        <v/>
      </c>
      <c r="Z1072" s="83" t="str">
        <f t="shared" si="7"/>
        <v/>
      </c>
      <c r="AA1072" s="83" t="str">
        <f t="shared" si="8"/>
        <v/>
      </c>
      <c r="AB1072" s="83" t="str">
        <f t="shared" si="9"/>
        <v/>
      </c>
      <c r="AC1072" s="18"/>
      <c r="AD1072" s="18"/>
      <c r="AE1072" s="43"/>
      <c r="AF1072" s="58" t="s">
        <v>161</v>
      </c>
      <c r="AG1072" s="55" t="str">
        <f t="shared" si="11"/>
        <v/>
      </c>
    </row>
    <row r="1073">
      <c r="A1073" s="7" t="str">
        <f>IFERROR(__xludf.DUMMYFUNCTION("""COMPUTED_VALUE"""),"AR1599")</f>
        <v>AR1599</v>
      </c>
      <c r="B1073" s="308">
        <f>IFERROR(__xludf.DUMMYFUNCTION("""COMPUTED_VALUE"""),45013.0)</f>
        <v>45013</v>
      </c>
      <c r="C1073" s="309">
        <f>IFERROR(__xludf.DUMMYFUNCTION("""COMPUTED_VALUE"""),0.34377314814814813)</f>
        <v>0.3437731481</v>
      </c>
      <c r="D1073" s="7" t="str">
        <f>IFERROR(__xludf.DUMMYFUNCTION("""COMPUTED_VALUE"""),"SpABRM841252")</f>
        <v>SpABRM841252</v>
      </c>
      <c r="E1073" s="310"/>
      <c r="F1073" s="310"/>
      <c r="G1073" s="310" t="str">
        <f>IFERROR(__xludf.DUMMYFUNCTION("""COMPUTED_VALUE"""),"Negative")</f>
        <v>Negative</v>
      </c>
      <c r="H1073" s="319" t="str">
        <f>IFERROR(__xludf.DUMMYFUNCTION("""COMPUTED_VALUE"""),"Negative")</f>
        <v>Negative</v>
      </c>
      <c r="I1073" s="308">
        <f>IFERROR(__xludf.DUMMYFUNCTION("""COMPUTED_VALUE"""),45013.0)</f>
        <v>45013</v>
      </c>
      <c r="J1073" s="311">
        <f>IFERROR(__xludf.DUMMYFUNCTION("""COMPUTED_VALUE"""),0.5374074074074074)</f>
        <v>0.5374074074</v>
      </c>
      <c r="K1073" s="54"/>
      <c r="L1073" s="7"/>
      <c r="M1073" s="312"/>
      <c r="N1073" s="172">
        <f>IFERROR(__xludf.DUMMYFUNCTION("""COMPUTED_VALUE"""),3.0)</f>
        <v>3</v>
      </c>
      <c r="O1073" s="172"/>
      <c r="P1073" s="313">
        <f>IFERROR(__xludf.DUMMYFUNCTION("""COMPUTED_VALUE"""),0.0)</f>
        <v>0</v>
      </c>
      <c r="Q1073" s="76" t="b">
        <f>VLOOKUP($B1073,'Run Reconcile'!B$2:O1399,14,FALSE)</f>
        <v>1</v>
      </c>
      <c r="R1073" s="314" t="str">
        <f t="array" ref="R1073">IF($Q1073, INDEX('Run Reconcile'!A$2:A1399,MATCH(B1073,'Run Reconcile'!B$2:B1399,0),1),IFERROR(0/0,""))</f>
        <v>RUN-ABRM_2023-03-28_RFR-195</v>
      </c>
      <c r="S1073" s="315" t="str">
        <f t="shared" ref="S1073:T1073" si="2079">IF(COUNTIF(W$2:W1399, $A1073) &gt; 0,TRUE,IFERROR(0/0,""))</f>
        <v/>
      </c>
      <c r="T1073" s="315" t="str">
        <f t="shared" si="2079"/>
        <v/>
      </c>
      <c r="U1073" s="114" t="str">
        <f t="array" ref="U1073">IF(ISBLANK($R1073), INDEX('Run Reconcile'!A$2:A1399, MATCH($B1073, 'Run Reconcile'!B$2:B1399, 0)+Z1073, 1), IFERROR(0/0,""))
</f>
        <v/>
      </c>
      <c r="V1073" s="316" t="str">
        <f t="shared" si="1281"/>
        <v>RUN-ABRM_2023-03-28_RFR-195</v>
      </c>
      <c r="Y1073" s="317" t="str">
        <f t="shared" si="6"/>
        <v/>
      </c>
      <c r="Z1073" s="83" t="str">
        <f t="shared" si="7"/>
        <v/>
      </c>
      <c r="AA1073" s="83" t="str">
        <f t="shared" si="8"/>
        <v/>
      </c>
      <c r="AB1073" s="83" t="str">
        <f t="shared" si="9"/>
        <v/>
      </c>
      <c r="AC1073" s="18"/>
      <c r="AD1073" s="18"/>
      <c r="AE1073" s="43"/>
      <c r="AF1073" s="58" t="s">
        <v>161</v>
      </c>
      <c r="AG1073" s="55" t="str">
        <f t="shared" si="11"/>
        <v/>
      </c>
    </row>
    <row r="1074">
      <c r="A1074" s="7" t="str">
        <f>IFERROR(__xludf.DUMMYFUNCTION("""COMPUTED_VALUE"""),"AR1147")</f>
        <v>AR1147</v>
      </c>
      <c r="B1074" s="308">
        <f>IFERROR(__xludf.DUMMYFUNCTION("""COMPUTED_VALUE"""),45014.0)</f>
        <v>45014</v>
      </c>
      <c r="C1074" s="309">
        <f>IFERROR(__xludf.DUMMYFUNCTION("""COMPUTED_VALUE"""),0.23622685185185185)</f>
        <v>0.2362268519</v>
      </c>
      <c r="D1074" s="7" t="str">
        <f>IFERROR(__xludf.DUMMYFUNCTION("""COMPUTED_VALUE"""),"SpABRM581899")</f>
        <v>SpABRM581899</v>
      </c>
      <c r="E1074" s="310"/>
      <c r="F1074" s="310"/>
      <c r="G1074" s="310" t="str">
        <f>IFERROR(__xludf.DUMMYFUNCTION("""COMPUTED_VALUE"""),"Negative")</f>
        <v>Negative</v>
      </c>
      <c r="H1074" s="319" t="str">
        <f>IFERROR(__xludf.DUMMYFUNCTION("""COMPUTED_VALUE"""),"Negative")</f>
        <v>Negative</v>
      </c>
      <c r="I1074" s="308">
        <f>IFERROR(__xludf.DUMMYFUNCTION("""COMPUTED_VALUE"""),45015.0)</f>
        <v>45015</v>
      </c>
      <c r="J1074" s="311">
        <f>IFERROR(__xludf.DUMMYFUNCTION("""COMPUTED_VALUE"""),0.4371412037037037)</f>
        <v>0.4371412037</v>
      </c>
      <c r="K1074" s="54"/>
      <c r="L1074" s="7"/>
      <c r="M1074" s="312"/>
      <c r="N1074" s="172">
        <f>IFERROR(__xludf.DUMMYFUNCTION("""COMPUTED_VALUE"""),4.0)</f>
        <v>4</v>
      </c>
      <c r="O1074" s="172"/>
      <c r="P1074" s="313">
        <f>IFERROR(__xludf.DUMMYFUNCTION("""COMPUTED_VALUE"""),1.0)</f>
        <v>1</v>
      </c>
      <c r="Q1074" s="76" t="b">
        <f>VLOOKUP($B1074,'Run Reconcile'!B$2:O1399,14,FALSE)</f>
        <v>1</v>
      </c>
      <c r="R1074" s="314" t="str">
        <f t="array" ref="R1074">IF($Q1074, INDEX('Run Reconcile'!A$2:A1399,MATCH(B1074,'Run Reconcile'!B$2:B1399,0),1),IFERROR(0/0,""))</f>
        <v>RUN-ABRM_2023-03-29_RFR-196</v>
      </c>
      <c r="S1074" s="315" t="str">
        <f t="shared" ref="S1074:T1074" si="2080">IF(COUNTIF(W$2:W1399, $A1074) &gt; 0,TRUE,IFERROR(0/0,""))</f>
        <v/>
      </c>
      <c r="T1074" s="315" t="str">
        <f t="shared" si="2080"/>
        <v/>
      </c>
      <c r="U1074" s="114" t="str">
        <f t="array" ref="U1074">IF(ISBLANK($R1074), INDEX('Run Reconcile'!A$2:A1399, MATCH($B1074, 'Run Reconcile'!B$2:B1399, 0)+Z1074, 1), IFERROR(0/0,""))
</f>
        <v/>
      </c>
      <c r="V1074" s="316" t="str">
        <f t="shared" si="1281"/>
        <v>RUN-ABRM_2023-03-29_RFR-196</v>
      </c>
      <c r="Y1074" s="317" t="str">
        <f t="shared" si="6"/>
        <v/>
      </c>
      <c r="Z1074" s="83" t="str">
        <f t="shared" si="7"/>
        <v/>
      </c>
      <c r="AA1074" s="83" t="str">
        <f t="shared" si="8"/>
        <v/>
      </c>
      <c r="AB1074" s="83" t="str">
        <f t="shared" si="9"/>
        <v/>
      </c>
      <c r="AC1074" s="18"/>
      <c r="AD1074" s="18"/>
      <c r="AE1074" s="43"/>
      <c r="AF1074" s="58" t="s">
        <v>162</v>
      </c>
      <c r="AG1074" s="55" t="str">
        <f t="shared" si="11"/>
        <v/>
      </c>
    </row>
    <row r="1075">
      <c r="A1075" s="7" t="str">
        <f>IFERROR(__xludf.DUMMYFUNCTION("""COMPUTED_VALUE"""),"AR919")</f>
        <v>AR919</v>
      </c>
      <c r="B1075" s="308">
        <f>IFERROR(__xludf.DUMMYFUNCTION("""COMPUTED_VALUE"""),45014.0)</f>
        <v>45014</v>
      </c>
      <c r="C1075" s="309">
        <f>IFERROR(__xludf.DUMMYFUNCTION("""COMPUTED_VALUE"""),0.2583564814814815)</f>
        <v>0.2583564815</v>
      </c>
      <c r="D1075" s="7" t="str">
        <f>IFERROR(__xludf.DUMMYFUNCTION("""COMPUTED_VALUE"""),"SpABRM454310")</f>
        <v>SpABRM454310</v>
      </c>
      <c r="E1075" s="310"/>
      <c r="F1075" s="310"/>
      <c r="G1075" s="310" t="str">
        <f>IFERROR(__xludf.DUMMYFUNCTION("""COMPUTED_VALUE"""),"Negative")</f>
        <v>Negative</v>
      </c>
      <c r="H1075" s="319" t="str">
        <f>IFERROR(__xludf.DUMMYFUNCTION("""COMPUTED_VALUE"""),"Negative")</f>
        <v>Negative</v>
      </c>
      <c r="I1075" s="308">
        <f>IFERROR(__xludf.DUMMYFUNCTION("""COMPUTED_VALUE"""),45015.0)</f>
        <v>45015</v>
      </c>
      <c r="J1075" s="311">
        <f>IFERROR(__xludf.DUMMYFUNCTION("""COMPUTED_VALUE"""),0.4371412037037037)</f>
        <v>0.4371412037</v>
      </c>
      <c r="K1075" s="54"/>
      <c r="L1075" s="7"/>
      <c r="M1075" s="312"/>
      <c r="N1075" s="172">
        <f>IFERROR(__xludf.DUMMYFUNCTION("""COMPUTED_VALUE"""),2.0)</f>
        <v>2</v>
      </c>
      <c r="O1075" s="172"/>
      <c r="P1075" s="313">
        <f>IFERROR(__xludf.DUMMYFUNCTION("""COMPUTED_VALUE"""),1.0)</f>
        <v>1</v>
      </c>
      <c r="Q1075" s="76" t="b">
        <f>VLOOKUP($B1075,'Run Reconcile'!B$2:O1399,14,FALSE)</f>
        <v>1</v>
      </c>
      <c r="R1075" s="314" t="str">
        <f t="array" ref="R1075">IF($Q1075, INDEX('Run Reconcile'!A$2:A1399,MATCH(B1075,'Run Reconcile'!B$2:B1399,0),1),IFERROR(0/0,""))</f>
        <v>RUN-ABRM_2023-03-29_RFR-196</v>
      </c>
      <c r="S1075" s="315" t="str">
        <f t="shared" ref="S1075:T1075" si="2081">IF(COUNTIF(W$2:W1399, $A1075) &gt; 0,TRUE,IFERROR(0/0,""))</f>
        <v/>
      </c>
      <c r="T1075" s="315" t="str">
        <f t="shared" si="2081"/>
        <v/>
      </c>
      <c r="U1075" s="114" t="str">
        <f t="array" ref="U1075">IF(ISBLANK($R1075), INDEX('Run Reconcile'!A$2:A1399, MATCH($B1075, 'Run Reconcile'!B$2:B1399, 0)+Z1075, 1), IFERROR(0/0,""))
</f>
        <v/>
      </c>
      <c r="V1075" s="316" t="str">
        <f t="shared" si="1281"/>
        <v>RUN-ABRM_2023-03-29_RFR-196</v>
      </c>
      <c r="Y1075" s="317" t="str">
        <f t="shared" si="6"/>
        <v/>
      </c>
      <c r="Z1075" s="83" t="str">
        <f t="shared" si="7"/>
        <v/>
      </c>
      <c r="AA1075" s="83" t="str">
        <f t="shared" si="8"/>
        <v/>
      </c>
      <c r="AB1075" s="83" t="str">
        <f t="shared" si="9"/>
        <v/>
      </c>
      <c r="AC1075" s="18"/>
      <c r="AD1075" s="18"/>
      <c r="AE1075" s="43"/>
      <c r="AF1075" s="58" t="s">
        <v>162</v>
      </c>
      <c r="AG1075" s="55" t="str">
        <f t="shared" si="11"/>
        <v/>
      </c>
    </row>
    <row r="1076">
      <c r="A1076" s="7" t="str">
        <f>IFERROR(__xludf.DUMMYFUNCTION("""COMPUTED_VALUE"""),"AR1686")</f>
        <v>AR1686</v>
      </c>
      <c r="B1076" s="308">
        <f>IFERROR(__xludf.DUMMYFUNCTION("""COMPUTED_VALUE"""),45014.0)</f>
        <v>45014</v>
      </c>
      <c r="C1076" s="309">
        <f>IFERROR(__xludf.DUMMYFUNCTION("""COMPUTED_VALUE"""),0.27068287037037037)</f>
        <v>0.2706828704</v>
      </c>
      <c r="D1076" s="7" t="str">
        <f>IFERROR(__xludf.DUMMYFUNCTION("""COMPUTED_VALUE"""),"SpABRM128250")</f>
        <v>SpABRM128250</v>
      </c>
      <c r="E1076" s="310"/>
      <c r="F1076" s="310"/>
      <c r="G1076" s="310" t="str">
        <f>IFERROR(__xludf.DUMMYFUNCTION("""COMPUTED_VALUE"""),"Negative")</f>
        <v>Negative</v>
      </c>
      <c r="H1076" s="319" t="str">
        <f>IFERROR(__xludf.DUMMYFUNCTION("""COMPUTED_VALUE"""),"Negative")</f>
        <v>Negative</v>
      </c>
      <c r="I1076" s="308">
        <f>IFERROR(__xludf.DUMMYFUNCTION("""COMPUTED_VALUE"""),45015.0)</f>
        <v>45015</v>
      </c>
      <c r="J1076" s="311">
        <f>IFERROR(__xludf.DUMMYFUNCTION("""COMPUTED_VALUE"""),0.4371412037037037)</f>
        <v>0.4371412037</v>
      </c>
      <c r="K1076" s="54"/>
      <c r="L1076" s="7"/>
      <c r="M1076" s="312"/>
      <c r="N1076" s="172">
        <f>IFERROR(__xludf.DUMMYFUNCTION("""COMPUTED_VALUE"""),3.0)</f>
        <v>3</v>
      </c>
      <c r="O1076" s="172"/>
      <c r="P1076" s="313">
        <f>IFERROR(__xludf.DUMMYFUNCTION("""COMPUTED_VALUE"""),1.0)</f>
        <v>1</v>
      </c>
      <c r="Q1076" s="76" t="b">
        <f>VLOOKUP($B1076,'Run Reconcile'!B$2:O1399,14,FALSE)</f>
        <v>1</v>
      </c>
      <c r="R1076" s="314" t="str">
        <f t="array" ref="R1076">IF($Q1076, INDEX('Run Reconcile'!A$2:A1399,MATCH(B1076,'Run Reconcile'!B$2:B1399,0),1),IFERROR(0/0,""))</f>
        <v>RUN-ABRM_2023-03-29_RFR-196</v>
      </c>
      <c r="S1076" s="315" t="str">
        <f t="shared" ref="S1076:T1076" si="2082">IF(COUNTIF(W$2:W1399, $A1076) &gt; 0,TRUE,IFERROR(0/0,""))</f>
        <v/>
      </c>
      <c r="T1076" s="315" t="str">
        <f t="shared" si="2082"/>
        <v/>
      </c>
      <c r="U1076" s="114" t="str">
        <f t="array" ref="U1076">IF(ISBLANK($R1076), INDEX('Run Reconcile'!A$2:A1399, MATCH($B1076, 'Run Reconcile'!B$2:B1399, 0)+Z1076, 1), IFERROR(0/0,""))
</f>
        <v/>
      </c>
      <c r="V1076" s="316" t="str">
        <f t="shared" si="1281"/>
        <v>RUN-ABRM_2023-03-29_RFR-196</v>
      </c>
      <c r="Y1076" s="317" t="str">
        <f t="shared" si="6"/>
        <v/>
      </c>
      <c r="Z1076" s="83" t="str">
        <f t="shared" si="7"/>
        <v/>
      </c>
      <c r="AA1076" s="83" t="str">
        <f t="shared" si="8"/>
        <v/>
      </c>
      <c r="AB1076" s="83" t="str">
        <f t="shared" si="9"/>
        <v/>
      </c>
      <c r="AC1076" s="18"/>
      <c r="AD1076" s="18"/>
      <c r="AE1076" s="43"/>
      <c r="AF1076" s="58" t="s">
        <v>162</v>
      </c>
      <c r="AG1076" s="55" t="str">
        <f t="shared" si="11"/>
        <v/>
      </c>
    </row>
    <row r="1077">
      <c r="A1077" s="7" t="str">
        <f>IFERROR(__xludf.DUMMYFUNCTION("""COMPUTED_VALUE"""),"AR348")</f>
        <v>AR348</v>
      </c>
      <c r="B1077" s="308">
        <f>IFERROR(__xludf.DUMMYFUNCTION("""COMPUTED_VALUE"""),45014.0)</f>
        <v>45014</v>
      </c>
      <c r="C1077" s="309">
        <f>IFERROR(__xludf.DUMMYFUNCTION("""COMPUTED_VALUE"""),0.27797453703703706)</f>
        <v>0.277974537</v>
      </c>
      <c r="D1077" s="7" t="str">
        <f>IFERROR(__xludf.DUMMYFUNCTION("""COMPUTED_VALUE"""),"SpABRM297307")</f>
        <v>SpABRM297307</v>
      </c>
      <c r="E1077" s="310"/>
      <c r="F1077" s="310"/>
      <c r="G1077" s="310" t="str">
        <f>IFERROR(__xludf.DUMMYFUNCTION("""COMPUTED_VALUE"""),"Negative")</f>
        <v>Negative</v>
      </c>
      <c r="H1077" s="319" t="str">
        <f>IFERROR(__xludf.DUMMYFUNCTION("""COMPUTED_VALUE"""),"Negative")</f>
        <v>Negative</v>
      </c>
      <c r="I1077" s="308">
        <f>IFERROR(__xludf.DUMMYFUNCTION("""COMPUTED_VALUE"""),45015.0)</f>
        <v>45015</v>
      </c>
      <c r="J1077" s="311">
        <f>IFERROR(__xludf.DUMMYFUNCTION("""COMPUTED_VALUE"""),0.4371412037037037)</f>
        <v>0.4371412037</v>
      </c>
      <c r="K1077" s="54"/>
      <c r="L1077" s="7"/>
      <c r="M1077" s="312"/>
      <c r="N1077" s="172">
        <f>IFERROR(__xludf.DUMMYFUNCTION("""COMPUTED_VALUE"""),3.0)</f>
        <v>3</v>
      </c>
      <c r="O1077" s="172"/>
      <c r="P1077" s="313">
        <f>IFERROR(__xludf.DUMMYFUNCTION("""COMPUTED_VALUE"""),1.0)</f>
        <v>1</v>
      </c>
      <c r="Q1077" s="76" t="b">
        <f>VLOOKUP($B1077,'Run Reconcile'!B$2:O1399,14,FALSE)</f>
        <v>1</v>
      </c>
      <c r="R1077" s="314" t="str">
        <f t="array" ref="R1077">IF($Q1077, INDEX('Run Reconcile'!A$2:A1399,MATCH(B1077,'Run Reconcile'!B$2:B1399,0),1),IFERROR(0/0,""))</f>
        <v>RUN-ABRM_2023-03-29_RFR-196</v>
      </c>
      <c r="S1077" s="315" t="str">
        <f t="shared" ref="S1077:T1077" si="2083">IF(COUNTIF(W$2:W1399, $A1077) &gt; 0,TRUE,IFERROR(0/0,""))</f>
        <v/>
      </c>
      <c r="T1077" s="315" t="str">
        <f t="shared" si="2083"/>
        <v/>
      </c>
      <c r="U1077" s="114" t="str">
        <f t="array" ref="U1077">IF(ISBLANK($R1077), INDEX('Run Reconcile'!A$2:A1399, MATCH($B1077, 'Run Reconcile'!B$2:B1399, 0)+Z1077, 1), IFERROR(0/0,""))
</f>
        <v/>
      </c>
      <c r="V1077" s="316" t="str">
        <f t="shared" si="1281"/>
        <v>RUN-ABRM_2023-03-29_RFR-196</v>
      </c>
      <c r="Y1077" s="317" t="str">
        <f t="shared" si="6"/>
        <v/>
      </c>
      <c r="Z1077" s="83" t="str">
        <f t="shared" si="7"/>
        <v/>
      </c>
      <c r="AA1077" s="83" t="str">
        <f t="shared" si="8"/>
        <v/>
      </c>
      <c r="AB1077" s="83" t="str">
        <f t="shared" si="9"/>
        <v/>
      </c>
      <c r="AC1077" s="18"/>
      <c r="AD1077" s="18"/>
      <c r="AE1077" s="43"/>
      <c r="AF1077" s="58" t="s">
        <v>162</v>
      </c>
      <c r="AG1077" s="55" t="str">
        <f t="shared" si="11"/>
        <v/>
      </c>
    </row>
    <row r="1078">
      <c r="A1078" s="7" t="str">
        <f>IFERROR(__xludf.DUMMYFUNCTION("""COMPUTED_VALUE"""),"AR729")</f>
        <v>AR729</v>
      </c>
      <c r="B1078" s="308">
        <f>IFERROR(__xludf.DUMMYFUNCTION("""COMPUTED_VALUE"""),45014.0)</f>
        <v>45014</v>
      </c>
      <c r="C1078" s="309">
        <f>IFERROR(__xludf.DUMMYFUNCTION("""COMPUTED_VALUE"""),0.2979513888888889)</f>
        <v>0.2979513889</v>
      </c>
      <c r="D1078" s="7" t="str">
        <f>IFERROR(__xludf.DUMMYFUNCTION("""COMPUTED_VALUE"""),"SpABRM519188")</f>
        <v>SpABRM519188</v>
      </c>
      <c r="E1078" s="310"/>
      <c r="F1078" s="310"/>
      <c r="G1078" s="310" t="str">
        <f>IFERROR(__xludf.DUMMYFUNCTION("""COMPUTED_VALUE"""),"Negative")</f>
        <v>Negative</v>
      </c>
      <c r="H1078" s="319" t="str">
        <f>IFERROR(__xludf.DUMMYFUNCTION("""COMPUTED_VALUE"""),"Negative")</f>
        <v>Negative</v>
      </c>
      <c r="I1078" s="308">
        <f>IFERROR(__xludf.DUMMYFUNCTION("""COMPUTED_VALUE"""),45015.0)</f>
        <v>45015</v>
      </c>
      <c r="J1078" s="311">
        <f>IFERROR(__xludf.DUMMYFUNCTION("""COMPUTED_VALUE"""),0.4371412037037037)</f>
        <v>0.4371412037</v>
      </c>
      <c r="K1078" s="54"/>
      <c r="L1078" s="7"/>
      <c r="M1078" s="312"/>
      <c r="N1078" s="172">
        <f>IFERROR(__xludf.DUMMYFUNCTION("""COMPUTED_VALUE"""),1.0)</f>
        <v>1</v>
      </c>
      <c r="O1078" s="172"/>
      <c r="P1078" s="313">
        <f>IFERROR(__xludf.DUMMYFUNCTION("""COMPUTED_VALUE"""),1.0)</f>
        <v>1</v>
      </c>
      <c r="Q1078" s="76" t="b">
        <f>VLOOKUP($B1078,'Run Reconcile'!B$2:O1399,14,FALSE)</f>
        <v>1</v>
      </c>
      <c r="R1078" s="314" t="str">
        <f t="array" ref="R1078">IF($Q1078, INDEX('Run Reconcile'!A$2:A1399,MATCH(B1078,'Run Reconcile'!B$2:B1399,0),1),IFERROR(0/0,""))</f>
        <v>RUN-ABRM_2023-03-29_RFR-196</v>
      </c>
      <c r="S1078" s="315" t="str">
        <f t="shared" ref="S1078:T1078" si="2084">IF(COUNTIF(W$2:W1399, $A1078) &gt; 0,TRUE,IFERROR(0/0,""))</f>
        <v/>
      </c>
      <c r="T1078" s="315" t="str">
        <f t="shared" si="2084"/>
        <v/>
      </c>
      <c r="U1078" s="114" t="str">
        <f t="array" ref="U1078">IF(ISBLANK($R1078), INDEX('Run Reconcile'!A$2:A1399, MATCH($B1078, 'Run Reconcile'!B$2:B1399, 0)+Z1078, 1), IFERROR(0/0,""))
</f>
        <v/>
      </c>
      <c r="V1078" s="316" t="str">
        <f t="shared" si="1281"/>
        <v>RUN-ABRM_2023-03-29_RFR-196</v>
      </c>
      <c r="Y1078" s="317" t="str">
        <f t="shared" si="6"/>
        <v/>
      </c>
      <c r="Z1078" s="83" t="str">
        <f t="shared" si="7"/>
        <v/>
      </c>
      <c r="AA1078" s="83" t="str">
        <f t="shared" si="8"/>
        <v/>
      </c>
      <c r="AB1078" s="83" t="str">
        <f t="shared" si="9"/>
        <v/>
      </c>
      <c r="AC1078" s="18"/>
      <c r="AD1078" s="18"/>
      <c r="AE1078" s="43"/>
      <c r="AF1078" s="58" t="s">
        <v>162</v>
      </c>
      <c r="AG1078" s="55" t="str">
        <f t="shared" si="11"/>
        <v/>
      </c>
    </row>
    <row r="1079">
      <c r="A1079" s="7" t="str">
        <f>IFERROR(__xludf.DUMMYFUNCTION("""COMPUTED_VALUE"""),"AK9966")</f>
        <v>AK9966</v>
      </c>
      <c r="B1079" s="308">
        <f>IFERROR(__xludf.DUMMYFUNCTION("""COMPUTED_VALUE"""),45014.0)</f>
        <v>45014</v>
      </c>
      <c r="C1079" s="309">
        <f>IFERROR(__xludf.DUMMYFUNCTION("""COMPUTED_VALUE"""),0.33099537037037036)</f>
        <v>0.3309953704</v>
      </c>
      <c r="D1079" s="7" t="str">
        <f>IFERROR(__xludf.DUMMYFUNCTION("""COMPUTED_VALUE"""),"SpABRM655136")</f>
        <v>SpABRM655136</v>
      </c>
      <c r="E1079" s="310"/>
      <c r="F1079" s="310"/>
      <c r="G1079" s="310" t="str">
        <f>IFERROR(__xludf.DUMMYFUNCTION("""COMPUTED_VALUE"""),"Negative")</f>
        <v>Negative</v>
      </c>
      <c r="H1079" s="319" t="str">
        <f>IFERROR(__xludf.DUMMYFUNCTION("""COMPUTED_VALUE"""),"Negative")</f>
        <v>Negative</v>
      </c>
      <c r="I1079" s="308">
        <f>IFERROR(__xludf.DUMMYFUNCTION("""COMPUTED_VALUE"""),45015.0)</f>
        <v>45015</v>
      </c>
      <c r="J1079" s="311">
        <f>IFERROR(__xludf.DUMMYFUNCTION("""COMPUTED_VALUE"""),0.4371412037037037)</f>
        <v>0.4371412037</v>
      </c>
      <c r="K1079" s="54"/>
      <c r="L1079" s="7"/>
      <c r="M1079" s="312"/>
      <c r="N1079" s="172">
        <f>IFERROR(__xludf.DUMMYFUNCTION("""COMPUTED_VALUE"""),2.0)</f>
        <v>2</v>
      </c>
      <c r="O1079" s="172"/>
      <c r="P1079" s="313">
        <f>IFERROR(__xludf.DUMMYFUNCTION("""COMPUTED_VALUE"""),1.0)</f>
        <v>1</v>
      </c>
      <c r="Q1079" s="76" t="b">
        <f>VLOOKUP($B1079,'Run Reconcile'!B$2:O1399,14,FALSE)</f>
        <v>1</v>
      </c>
      <c r="R1079" s="314" t="str">
        <f t="array" ref="R1079">IF($Q1079, INDEX('Run Reconcile'!A$2:A1399,MATCH(B1079,'Run Reconcile'!B$2:B1399,0),1),IFERROR(0/0,""))</f>
        <v>RUN-ABRM_2023-03-29_RFR-196</v>
      </c>
      <c r="S1079" s="315" t="str">
        <f t="shared" ref="S1079:T1079" si="2085">IF(COUNTIF(W$2:W1399, $A1079) &gt; 0,TRUE,IFERROR(0/0,""))</f>
        <v/>
      </c>
      <c r="T1079" s="315" t="str">
        <f t="shared" si="2085"/>
        <v/>
      </c>
      <c r="U1079" s="114" t="str">
        <f t="array" ref="U1079">IF(ISBLANK($R1079), INDEX('Run Reconcile'!A$2:A1399, MATCH($B1079, 'Run Reconcile'!B$2:B1399, 0)+Z1079, 1), IFERROR(0/0,""))
</f>
        <v/>
      </c>
      <c r="V1079" s="316" t="str">
        <f t="shared" si="1281"/>
        <v>RUN-ABRM_2023-03-29_RFR-196</v>
      </c>
      <c r="Y1079" s="317" t="str">
        <f t="shared" si="6"/>
        <v/>
      </c>
      <c r="Z1079" s="83" t="str">
        <f t="shared" si="7"/>
        <v/>
      </c>
      <c r="AA1079" s="83" t="str">
        <f t="shared" si="8"/>
        <v/>
      </c>
      <c r="AB1079" s="83" t="str">
        <f t="shared" si="9"/>
        <v/>
      </c>
      <c r="AC1079" s="18"/>
      <c r="AD1079" s="18"/>
      <c r="AE1079" s="43"/>
      <c r="AF1079" s="58" t="s">
        <v>162</v>
      </c>
      <c r="AG1079" s="55" t="str">
        <f t="shared" si="11"/>
        <v/>
      </c>
    </row>
    <row r="1080">
      <c r="A1080" s="7" t="str">
        <f>IFERROR(__xludf.DUMMYFUNCTION("""COMPUTED_VALUE"""),"AR502")</f>
        <v>AR502</v>
      </c>
      <c r="B1080" s="308">
        <f>IFERROR(__xludf.DUMMYFUNCTION("""COMPUTED_VALUE"""),45014.0)</f>
        <v>45014</v>
      </c>
      <c r="C1080" s="309">
        <f>IFERROR(__xludf.DUMMYFUNCTION("""COMPUTED_VALUE"""),0.3317939814814815)</f>
        <v>0.3317939815</v>
      </c>
      <c r="D1080" s="7" t="str">
        <f>IFERROR(__xludf.DUMMYFUNCTION("""COMPUTED_VALUE"""),"SpABRM841252")</f>
        <v>SpABRM841252</v>
      </c>
      <c r="E1080" s="310"/>
      <c r="F1080" s="310"/>
      <c r="G1080" s="310" t="str">
        <f>IFERROR(__xludf.DUMMYFUNCTION("""COMPUTED_VALUE"""),"Negative")</f>
        <v>Negative</v>
      </c>
      <c r="H1080" s="319" t="str">
        <f>IFERROR(__xludf.DUMMYFUNCTION("""COMPUTED_VALUE"""),"Negative")</f>
        <v>Negative</v>
      </c>
      <c r="I1080" s="308">
        <f>IFERROR(__xludf.DUMMYFUNCTION("""COMPUTED_VALUE"""),45015.0)</f>
        <v>45015</v>
      </c>
      <c r="J1080" s="311">
        <f>IFERROR(__xludf.DUMMYFUNCTION("""COMPUTED_VALUE"""),0.4371412037037037)</f>
        <v>0.4371412037</v>
      </c>
      <c r="K1080" s="54"/>
      <c r="L1080" s="7"/>
      <c r="M1080" s="312"/>
      <c r="N1080" s="172">
        <f>IFERROR(__xludf.DUMMYFUNCTION("""COMPUTED_VALUE"""),1.0)</f>
        <v>1</v>
      </c>
      <c r="O1080" s="172"/>
      <c r="P1080" s="313">
        <f>IFERROR(__xludf.DUMMYFUNCTION("""COMPUTED_VALUE"""),1.0)</f>
        <v>1</v>
      </c>
      <c r="Q1080" s="76" t="b">
        <f>VLOOKUP($B1080,'Run Reconcile'!B$2:O1399,14,FALSE)</f>
        <v>1</v>
      </c>
      <c r="R1080" s="314" t="str">
        <f t="array" ref="R1080">IF($Q1080, INDEX('Run Reconcile'!A$2:A1399,MATCH(B1080,'Run Reconcile'!B$2:B1399,0),1),IFERROR(0/0,""))</f>
        <v>RUN-ABRM_2023-03-29_RFR-196</v>
      </c>
      <c r="S1080" s="315" t="str">
        <f t="shared" ref="S1080:T1080" si="2086">IF(COUNTIF(W$2:W1399, $A1080) &gt; 0,TRUE,IFERROR(0/0,""))</f>
        <v/>
      </c>
      <c r="T1080" s="315" t="str">
        <f t="shared" si="2086"/>
        <v/>
      </c>
      <c r="U1080" s="114" t="str">
        <f t="array" ref="U1080">IF(ISBLANK($R1080), INDEX('Run Reconcile'!A$2:A1399, MATCH($B1080, 'Run Reconcile'!B$2:B1399, 0)+Z1080, 1), IFERROR(0/0,""))
</f>
        <v/>
      </c>
      <c r="V1080" s="316" t="str">
        <f t="shared" si="1281"/>
        <v>RUN-ABRM_2023-03-29_RFR-196</v>
      </c>
      <c r="Y1080" s="317" t="str">
        <f t="shared" si="6"/>
        <v/>
      </c>
      <c r="Z1080" s="83" t="str">
        <f t="shared" si="7"/>
        <v/>
      </c>
      <c r="AA1080" s="83" t="str">
        <f t="shared" si="8"/>
        <v/>
      </c>
      <c r="AB1080" s="83" t="str">
        <f t="shared" si="9"/>
        <v/>
      </c>
      <c r="AC1080" s="18"/>
      <c r="AD1080" s="18"/>
      <c r="AE1080" s="43"/>
      <c r="AF1080" s="58" t="s">
        <v>162</v>
      </c>
      <c r="AG1080" s="55" t="str">
        <f t="shared" si="11"/>
        <v/>
      </c>
    </row>
    <row r="1081">
      <c r="A1081" s="7" t="str">
        <f>IFERROR(__xludf.DUMMYFUNCTION("""COMPUTED_VALUE"""),"AR996")</f>
        <v>AR996</v>
      </c>
      <c r="B1081" s="308">
        <f>IFERROR(__xludf.DUMMYFUNCTION("""COMPUTED_VALUE"""),45014.0)</f>
        <v>45014</v>
      </c>
      <c r="C1081" s="309">
        <f>IFERROR(__xludf.DUMMYFUNCTION("""COMPUTED_VALUE"""),0.33240740740740743)</f>
        <v>0.3324074074</v>
      </c>
      <c r="D1081" s="7" t="str">
        <f>IFERROR(__xludf.DUMMYFUNCTION("""COMPUTED_VALUE"""),"SpABRM841252")</f>
        <v>SpABRM841252</v>
      </c>
      <c r="E1081" s="310"/>
      <c r="F1081" s="310"/>
      <c r="G1081" s="310" t="str">
        <f>IFERROR(__xludf.DUMMYFUNCTION("""COMPUTED_VALUE"""),"Negative")</f>
        <v>Negative</v>
      </c>
      <c r="H1081" s="319" t="str">
        <f>IFERROR(__xludf.DUMMYFUNCTION("""COMPUTED_VALUE"""),"Negative")</f>
        <v>Negative</v>
      </c>
      <c r="I1081" s="308">
        <f>IFERROR(__xludf.DUMMYFUNCTION("""COMPUTED_VALUE"""),45015.0)</f>
        <v>45015</v>
      </c>
      <c r="J1081" s="311">
        <f>IFERROR(__xludf.DUMMYFUNCTION("""COMPUTED_VALUE"""),0.4371412037037037)</f>
        <v>0.4371412037</v>
      </c>
      <c r="K1081" s="54"/>
      <c r="L1081" s="7"/>
      <c r="M1081" s="312"/>
      <c r="N1081" s="172">
        <f>IFERROR(__xludf.DUMMYFUNCTION("""COMPUTED_VALUE"""),1.0)</f>
        <v>1</v>
      </c>
      <c r="O1081" s="172"/>
      <c r="P1081" s="313">
        <f>IFERROR(__xludf.DUMMYFUNCTION("""COMPUTED_VALUE"""),1.0)</f>
        <v>1</v>
      </c>
      <c r="Q1081" s="76" t="b">
        <f>VLOOKUP($B1081,'Run Reconcile'!B$2:O1399,14,FALSE)</f>
        <v>1</v>
      </c>
      <c r="R1081" s="314" t="str">
        <f t="array" ref="R1081">IF($Q1081, INDEX('Run Reconcile'!A$2:A1399,MATCH(B1081,'Run Reconcile'!B$2:B1399,0),1),IFERROR(0/0,""))</f>
        <v>RUN-ABRM_2023-03-29_RFR-196</v>
      </c>
      <c r="S1081" s="315" t="str">
        <f t="shared" ref="S1081:T1081" si="2087">IF(COUNTIF(W$2:W1399, $A1081) &gt; 0,TRUE,IFERROR(0/0,""))</f>
        <v/>
      </c>
      <c r="T1081" s="315" t="str">
        <f t="shared" si="2087"/>
        <v/>
      </c>
      <c r="U1081" s="114" t="str">
        <f t="array" ref="U1081">IF(ISBLANK($R1081), INDEX('Run Reconcile'!A$2:A1399, MATCH($B1081, 'Run Reconcile'!B$2:B1399, 0)+Z1081, 1), IFERROR(0/0,""))
</f>
        <v/>
      </c>
      <c r="V1081" s="316" t="str">
        <f t="shared" si="1281"/>
        <v>RUN-ABRM_2023-03-29_RFR-196</v>
      </c>
      <c r="Y1081" s="317" t="str">
        <f t="shared" si="6"/>
        <v/>
      </c>
      <c r="Z1081" s="83" t="str">
        <f t="shared" si="7"/>
        <v/>
      </c>
      <c r="AA1081" s="83" t="str">
        <f t="shared" si="8"/>
        <v/>
      </c>
      <c r="AB1081" s="83" t="str">
        <f t="shared" si="9"/>
        <v/>
      </c>
      <c r="AC1081" s="18"/>
      <c r="AD1081" s="18"/>
      <c r="AE1081" s="43"/>
      <c r="AF1081" s="58" t="s">
        <v>162</v>
      </c>
      <c r="AG1081" s="55" t="str">
        <f t="shared" si="11"/>
        <v/>
      </c>
    </row>
    <row r="1082">
      <c r="A1082" s="7" t="str">
        <f>IFERROR(__xludf.DUMMYFUNCTION("""COMPUTED_VALUE"""),"AR850")</f>
        <v>AR850</v>
      </c>
      <c r="B1082" s="308">
        <f>IFERROR(__xludf.DUMMYFUNCTION("""COMPUTED_VALUE"""),45014.0)</f>
        <v>45014</v>
      </c>
      <c r="C1082" s="309">
        <f>IFERROR(__xludf.DUMMYFUNCTION("""COMPUTED_VALUE"""),0.33283564814814814)</f>
        <v>0.3328356481</v>
      </c>
      <c r="D1082" s="7" t="str">
        <f>IFERROR(__xludf.DUMMYFUNCTION("""COMPUTED_VALUE"""),"SpABRM841252")</f>
        <v>SpABRM841252</v>
      </c>
      <c r="E1082" s="310"/>
      <c r="F1082" s="310"/>
      <c r="G1082" s="310" t="str">
        <f>IFERROR(__xludf.DUMMYFUNCTION("""COMPUTED_VALUE"""),"Negative")</f>
        <v>Negative</v>
      </c>
      <c r="H1082" s="319" t="str">
        <f>IFERROR(__xludf.DUMMYFUNCTION("""COMPUTED_VALUE"""),"Negative")</f>
        <v>Negative</v>
      </c>
      <c r="I1082" s="308">
        <f>IFERROR(__xludf.DUMMYFUNCTION("""COMPUTED_VALUE"""),45015.0)</f>
        <v>45015</v>
      </c>
      <c r="J1082" s="311">
        <f>IFERROR(__xludf.DUMMYFUNCTION("""COMPUTED_VALUE"""),0.4371412037037037)</f>
        <v>0.4371412037</v>
      </c>
      <c r="K1082" s="54"/>
      <c r="L1082" s="7"/>
      <c r="M1082" s="312"/>
      <c r="N1082" s="172">
        <f>IFERROR(__xludf.DUMMYFUNCTION("""COMPUTED_VALUE"""),3.0)</f>
        <v>3</v>
      </c>
      <c r="O1082" s="172"/>
      <c r="P1082" s="313">
        <f>IFERROR(__xludf.DUMMYFUNCTION("""COMPUTED_VALUE"""),1.0)</f>
        <v>1</v>
      </c>
      <c r="Q1082" s="76" t="b">
        <f>VLOOKUP($B1082,'Run Reconcile'!B$2:O1399,14,FALSE)</f>
        <v>1</v>
      </c>
      <c r="R1082" s="314" t="str">
        <f t="array" ref="R1082">IF($Q1082, INDEX('Run Reconcile'!A$2:A1399,MATCH(B1082,'Run Reconcile'!B$2:B1399,0),1),IFERROR(0/0,""))</f>
        <v>RUN-ABRM_2023-03-29_RFR-196</v>
      </c>
      <c r="S1082" s="315" t="str">
        <f t="shared" ref="S1082:T1082" si="2088">IF(COUNTIF(W$2:W1399, $A1082) &gt; 0,TRUE,IFERROR(0/0,""))</f>
        <v/>
      </c>
      <c r="T1082" s="315" t="str">
        <f t="shared" si="2088"/>
        <v/>
      </c>
      <c r="U1082" s="114" t="str">
        <f t="array" ref="U1082">IF(ISBLANK($R1082), INDEX('Run Reconcile'!A$2:A1399, MATCH($B1082, 'Run Reconcile'!B$2:B1399, 0)+Z1082, 1), IFERROR(0/0,""))
</f>
        <v/>
      </c>
      <c r="V1082" s="316" t="str">
        <f t="shared" si="1281"/>
        <v>RUN-ABRM_2023-03-29_RFR-196</v>
      </c>
      <c r="Y1082" s="317" t="str">
        <f t="shared" si="6"/>
        <v/>
      </c>
      <c r="Z1082" s="83" t="str">
        <f t="shared" si="7"/>
        <v/>
      </c>
      <c r="AA1082" s="83" t="str">
        <f t="shared" si="8"/>
        <v/>
      </c>
      <c r="AB1082" s="83" t="str">
        <f t="shared" si="9"/>
        <v/>
      </c>
      <c r="AC1082" s="18"/>
      <c r="AD1082" s="18"/>
      <c r="AE1082" s="43"/>
      <c r="AF1082" s="58" t="s">
        <v>162</v>
      </c>
      <c r="AG1082" s="55" t="str">
        <f t="shared" si="11"/>
        <v/>
      </c>
    </row>
    <row r="1083">
      <c r="A1083" s="7" t="str">
        <f>IFERROR(__xludf.DUMMYFUNCTION("""COMPUTED_VALUE"""),"AR1374")</f>
        <v>AR1374</v>
      </c>
      <c r="B1083" s="308">
        <f>IFERROR(__xludf.DUMMYFUNCTION("""COMPUTED_VALUE"""),45014.0)</f>
        <v>45014</v>
      </c>
      <c r="C1083" s="309">
        <f>IFERROR(__xludf.DUMMYFUNCTION("""COMPUTED_VALUE"""),0.3459143518518519)</f>
        <v>0.3459143519</v>
      </c>
      <c r="D1083" s="7" t="str">
        <f>IFERROR(__xludf.DUMMYFUNCTION("""COMPUTED_VALUE"""),"SpABRM841252")</f>
        <v>SpABRM841252</v>
      </c>
      <c r="E1083" s="310"/>
      <c r="F1083" s="310"/>
      <c r="G1083" s="310" t="str">
        <f>IFERROR(__xludf.DUMMYFUNCTION("""COMPUTED_VALUE"""),"Negative")</f>
        <v>Negative</v>
      </c>
      <c r="H1083" s="319" t="str">
        <f>IFERROR(__xludf.DUMMYFUNCTION("""COMPUTED_VALUE"""),"Negative")</f>
        <v>Negative</v>
      </c>
      <c r="I1083" s="308">
        <f>IFERROR(__xludf.DUMMYFUNCTION("""COMPUTED_VALUE"""),45015.0)</f>
        <v>45015</v>
      </c>
      <c r="J1083" s="311">
        <f>IFERROR(__xludf.DUMMYFUNCTION("""COMPUTED_VALUE"""),0.4371527777777778)</f>
        <v>0.4371527778</v>
      </c>
      <c r="K1083" s="54"/>
      <c r="L1083" s="7"/>
      <c r="M1083" s="312"/>
      <c r="N1083" s="172">
        <f>IFERROR(__xludf.DUMMYFUNCTION("""COMPUTED_VALUE"""),4.0)</f>
        <v>4</v>
      </c>
      <c r="O1083" s="172"/>
      <c r="P1083" s="313">
        <f>IFERROR(__xludf.DUMMYFUNCTION("""COMPUTED_VALUE"""),1.0)</f>
        <v>1</v>
      </c>
      <c r="Q1083" s="76" t="b">
        <f>VLOOKUP($B1083,'Run Reconcile'!B$2:O1399,14,FALSE)</f>
        <v>1</v>
      </c>
      <c r="R1083" s="314" t="str">
        <f t="array" ref="R1083">IF($Q1083, INDEX('Run Reconcile'!A$2:A1399,MATCH(B1083,'Run Reconcile'!B$2:B1399,0),1),IFERROR(0/0,""))</f>
        <v>RUN-ABRM_2023-03-29_RFR-196</v>
      </c>
      <c r="S1083" s="315" t="str">
        <f t="shared" ref="S1083:T1083" si="2089">IF(COUNTIF(W$2:W1399, $A1083) &gt; 0,TRUE,IFERROR(0/0,""))</f>
        <v/>
      </c>
      <c r="T1083" s="315" t="str">
        <f t="shared" si="2089"/>
        <v/>
      </c>
      <c r="U1083" s="114" t="str">
        <f t="array" ref="U1083">IF(ISBLANK($R1083), INDEX('Run Reconcile'!A$2:A1399, MATCH($B1083, 'Run Reconcile'!B$2:B1399, 0)+Z1083, 1), IFERROR(0/0,""))
</f>
        <v/>
      </c>
      <c r="V1083" s="316" t="str">
        <f t="shared" si="1281"/>
        <v>RUN-ABRM_2023-03-29_RFR-196</v>
      </c>
      <c r="Y1083" s="317" t="str">
        <f t="shared" si="6"/>
        <v/>
      </c>
      <c r="Z1083" s="83" t="str">
        <f t="shared" si="7"/>
        <v/>
      </c>
      <c r="AA1083" s="83" t="str">
        <f t="shared" si="8"/>
        <v/>
      </c>
      <c r="AB1083" s="83" t="str">
        <f t="shared" si="9"/>
        <v/>
      </c>
      <c r="AC1083" s="18"/>
      <c r="AD1083" s="18"/>
      <c r="AE1083" s="43"/>
      <c r="AF1083" s="58" t="s">
        <v>162</v>
      </c>
      <c r="AG1083" s="55" t="str">
        <f t="shared" si="11"/>
        <v/>
      </c>
    </row>
    <row r="1084">
      <c r="A1084" s="7" t="str">
        <f>IFERROR(__xludf.DUMMYFUNCTION("""COMPUTED_VALUE"""),"AR353")</f>
        <v>AR353</v>
      </c>
      <c r="B1084" s="308">
        <f>IFERROR(__xludf.DUMMYFUNCTION("""COMPUTED_VALUE"""),45015.0)</f>
        <v>45015</v>
      </c>
      <c r="C1084" s="309">
        <f>IFERROR(__xludf.DUMMYFUNCTION("""COMPUTED_VALUE"""),0.21959490740740742)</f>
        <v>0.2195949074</v>
      </c>
      <c r="D1084" s="7" t="str">
        <f>IFERROR(__xludf.DUMMYFUNCTION("""COMPUTED_VALUE"""),"SpABRM454310")</f>
        <v>SpABRM454310</v>
      </c>
      <c r="E1084" s="310"/>
      <c r="F1084" s="310"/>
      <c r="G1084" s="310" t="str">
        <f>IFERROR(__xludf.DUMMYFUNCTION("""COMPUTED_VALUE"""),"Negative")</f>
        <v>Negative</v>
      </c>
      <c r="H1084" s="319" t="str">
        <f>IFERROR(__xludf.DUMMYFUNCTION("""COMPUTED_VALUE"""),"Negative")</f>
        <v>Negative</v>
      </c>
      <c r="I1084" s="308">
        <f>IFERROR(__xludf.DUMMYFUNCTION("""COMPUTED_VALUE"""),45015.0)</f>
        <v>45015</v>
      </c>
      <c r="J1084" s="311">
        <f>IFERROR(__xludf.DUMMYFUNCTION("""COMPUTED_VALUE"""),0.4092476851851852)</f>
        <v>0.4092476852</v>
      </c>
      <c r="K1084" s="54"/>
      <c r="L1084" s="7"/>
      <c r="M1084" s="312"/>
      <c r="N1084" s="172">
        <f>IFERROR(__xludf.DUMMYFUNCTION("""COMPUTED_VALUE"""),3.0)</f>
        <v>3</v>
      </c>
      <c r="O1084" s="172"/>
      <c r="P1084" s="313">
        <f>IFERROR(__xludf.DUMMYFUNCTION("""COMPUTED_VALUE"""),0.0)</f>
        <v>0</v>
      </c>
      <c r="Q1084" s="76" t="b">
        <f>VLOOKUP($B1084,'Run Reconcile'!B$2:O1399,14,FALSE)</f>
        <v>1</v>
      </c>
      <c r="R1084" s="314" t="str">
        <f t="array" ref="R1084">IF($Q1084, INDEX('Run Reconcile'!A$2:A1399,MATCH(B1084,'Run Reconcile'!B$2:B1399,0),1),IFERROR(0/0,""))</f>
        <v>RUN-ABRM_2023-03-30_RFR-197</v>
      </c>
      <c r="S1084" s="315" t="str">
        <f t="shared" ref="S1084:T1084" si="2090">IF(COUNTIF(W$2:W1399, $A1084) &gt; 0,TRUE,IFERROR(0/0,""))</f>
        <v/>
      </c>
      <c r="T1084" s="315" t="str">
        <f t="shared" si="2090"/>
        <v/>
      </c>
      <c r="U1084" s="114" t="str">
        <f t="array" ref="U1084">IF(ISBLANK($R1084), INDEX('Run Reconcile'!A$2:A1399, MATCH($B1084, 'Run Reconcile'!B$2:B1399, 0)+Z1084, 1), IFERROR(0/0,""))
</f>
        <v/>
      </c>
      <c r="V1084" s="316" t="str">
        <f t="shared" si="1281"/>
        <v>RUN-ABRM_2023-03-30_RFR-197</v>
      </c>
      <c r="Y1084" s="317" t="str">
        <f t="shared" si="6"/>
        <v/>
      </c>
      <c r="Z1084" s="83" t="str">
        <f t="shared" si="7"/>
        <v/>
      </c>
      <c r="AA1084" s="83" t="str">
        <f t="shared" si="8"/>
        <v/>
      </c>
      <c r="AB1084" s="83" t="str">
        <f t="shared" si="9"/>
        <v/>
      </c>
      <c r="AC1084" s="18"/>
      <c r="AD1084" s="18"/>
      <c r="AE1084" s="43"/>
      <c r="AF1084" s="58" t="s">
        <v>163</v>
      </c>
      <c r="AG1084" s="55" t="str">
        <f t="shared" si="11"/>
        <v/>
      </c>
    </row>
    <row r="1085">
      <c r="A1085" s="7" t="str">
        <f>IFERROR(__xludf.DUMMYFUNCTION("""COMPUTED_VALUE"""),"AK9881")</f>
        <v>AK9881</v>
      </c>
      <c r="B1085" s="308">
        <f>IFERROR(__xludf.DUMMYFUNCTION("""COMPUTED_VALUE"""),45015.0)</f>
        <v>45015</v>
      </c>
      <c r="C1085" s="309">
        <f>IFERROR(__xludf.DUMMYFUNCTION("""COMPUTED_VALUE"""),0.25310185185185186)</f>
        <v>0.2531018519</v>
      </c>
      <c r="D1085" s="7" t="str">
        <f>IFERROR(__xludf.DUMMYFUNCTION("""COMPUTED_VALUE"""),"SpABRM297307")</f>
        <v>SpABRM297307</v>
      </c>
      <c r="E1085" s="310"/>
      <c r="F1085" s="310"/>
      <c r="G1085" s="310" t="str">
        <f>IFERROR(__xludf.DUMMYFUNCTION("""COMPUTED_VALUE"""),"Positive")</f>
        <v>Positive</v>
      </c>
      <c r="H1085" s="319" t="str">
        <f>IFERROR(__xludf.DUMMYFUNCTION("""COMPUTED_VALUE"""),"Positive")</f>
        <v>Positive</v>
      </c>
      <c r="I1085" s="308">
        <f>IFERROR(__xludf.DUMMYFUNCTION("""COMPUTED_VALUE"""),45015.0)</f>
        <v>45015</v>
      </c>
      <c r="J1085" s="311">
        <f>IFERROR(__xludf.DUMMYFUNCTION("""COMPUTED_VALUE"""),0.4371412037037037)</f>
        <v>0.4371412037</v>
      </c>
      <c r="K1085" s="54"/>
      <c r="L1085" s="7"/>
      <c r="M1085" s="312"/>
      <c r="N1085" s="172">
        <f>IFERROR(__xludf.DUMMYFUNCTION("""COMPUTED_VALUE"""),4.0)</f>
        <v>4</v>
      </c>
      <c r="O1085" s="172"/>
      <c r="P1085" s="313">
        <f>IFERROR(__xludf.DUMMYFUNCTION("""COMPUTED_VALUE"""),0.0)</f>
        <v>0</v>
      </c>
      <c r="Q1085" s="76" t="b">
        <f>VLOOKUP($B1085,'Run Reconcile'!B$2:O1399,14,FALSE)</f>
        <v>1</v>
      </c>
      <c r="R1085" s="314" t="str">
        <f t="array" ref="R1085">IF($Q1085, INDEX('Run Reconcile'!A$2:A1399,MATCH(B1085,'Run Reconcile'!B$2:B1399,0),1),IFERROR(0/0,""))</f>
        <v>RUN-ABRM_2023-03-30_RFR-197</v>
      </c>
      <c r="S1085" s="315" t="str">
        <f t="shared" ref="S1085:T1085" si="2091">IF(COUNTIF(W$2:W1399, $A1085) &gt; 0,TRUE,IFERROR(0/0,""))</f>
        <v/>
      </c>
      <c r="T1085" s="315" t="str">
        <f t="shared" si="2091"/>
        <v/>
      </c>
      <c r="U1085" s="114" t="str">
        <f t="array" ref="U1085">IF(ISBLANK($R1085), INDEX('Run Reconcile'!A$2:A1399, MATCH($B1085, 'Run Reconcile'!B$2:B1399, 0)+Z1085, 1), IFERROR(0/0,""))
</f>
        <v/>
      </c>
      <c r="V1085" s="316" t="str">
        <f t="shared" si="1281"/>
        <v>RUN-ABRM_2023-03-30_RFR-197</v>
      </c>
      <c r="Y1085" s="317" t="str">
        <f t="shared" si="6"/>
        <v/>
      </c>
      <c r="Z1085" s="83" t="str">
        <f t="shared" si="7"/>
        <v/>
      </c>
      <c r="AA1085" s="83" t="str">
        <f t="shared" si="8"/>
        <v/>
      </c>
      <c r="AB1085" s="83" t="str">
        <f t="shared" si="9"/>
        <v/>
      </c>
      <c r="AC1085" s="18"/>
      <c r="AD1085" s="18"/>
      <c r="AE1085" s="43"/>
      <c r="AF1085" s="58" t="s">
        <v>163</v>
      </c>
      <c r="AG1085" s="55" t="str">
        <f t="shared" si="11"/>
        <v/>
      </c>
    </row>
    <row r="1086">
      <c r="A1086" s="7" t="str">
        <f>IFERROR(__xludf.DUMMYFUNCTION("""COMPUTED_VALUE"""),"AR1389")</f>
        <v>AR1389</v>
      </c>
      <c r="B1086" s="308">
        <f>IFERROR(__xludf.DUMMYFUNCTION("""COMPUTED_VALUE"""),45015.0)</f>
        <v>45015</v>
      </c>
      <c r="C1086" s="309">
        <f>IFERROR(__xludf.DUMMYFUNCTION("""COMPUTED_VALUE"""),0.2889583333333333)</f>
        <v>0.2889583333</v>
      </c>
      <c r="D1086" s="7" t="str">
        <f>IFERROR(__xludf.DUMMYFUNCTION("""COMPUTED_VALUE"""),"SpABRM128250")</f>
        <v>SpABRM128250</v>
      </c>
      <c r="E1086" s="310"/>
      <c r="F1086" s="310"/>
      <c r="G1086" s="310" t="str">
        <f>IFERROR(__xludf.DUMMYFUNCTION("""COMPUTED_VALUE"""),"Negative")</f>
        <v>Negative</v>
      </c>
      <c r="H1086" s="319" t="str">
        <f>IFERROR(__xludf.DUMMYFUNCTION("""COMPUTED_VALUE"""),"Negative")</f>
        <v>Negative</v>
      </c>
      <c r="I1086" s="308">
        <f>IFERROR(__xludf.DUMMYFUNCTION("""COMPUTED_VALUE"""),45015.0)</f>
        <v>45015</v>
      </c>
      <c r="J1086" s="311">
        <f>IFERROR(__xludf.DUMMYFUNCTION("""COMPUTED_VALUE"""),0.40925925925925927)</f>
        <v>0.4092592593</v>
      </c>
      <c r="K1086" s="54"/>
      <c r="L1086" s="7"/>
      <c r="M1086" s="312"/>
      <c r="N1086" s="172">
        <f>IFERROR(__xludf.DUMMYFUNCTION("""COMPUTED_VALUE"""),3.0)</f>
        <v>3</v>
      </c>
      <c r="O1086" s="172"/>
      <c r="P1086" s="313">
        <f>IFERROR(__xludf.DUMMYFUNCTION("""COMPUTED_VALUE"""),0.0)</f>
        <v>0</v>
      </c>
      <c r="Q1086" s="76" t="b">
        <f>VLOOKUP($B1086,'Run Reconcile'!B$2:O1399,14,FALSE)</f>
        <v>1</v>
      </c>
      <c r="R1086" s="314" t="str">
        <f t="array" ref="R1086">IF($Q1086, INDEX('Run Reconcile'!A$2:A1399,MATCH(B1086,'Run Reconcile'!B$2:B1399,0),1),IFERROR(0/0,""))</f>
        <v>RUN-ABRM_2023-03-30_RFR-197</v>
      </c>
      <c r="S1086" s="315" t="str">
        <f t="shared" ref="S1086:T1086" si="2092">IF(COUNTIF(W$2:W1399, $A1086) &gt; 0,TRUE,IFERROR(0/0,""))</f>
        <v/>
      </c>
      <c r="T1086" s="315" t="str">
        <f t="shared" si="2092"/>
        <v/>
      </c>
      <c r="U1086" s="114" t="str">
        <f t="array" ref="U1086">IF(ISBLANK($R1086), INDEX('Run Reconcile'!A$2:A1399, MATCH($B1086, 'Run Reconcile'!B$2:B1399, 0)+Z1086, 1), IFERROR(0/0,""))
</f>
        <v/>
      </c>
      <c r="V1086" s="316" t="str">
        <f t="shared" si="1281"/>
        <v>RUN-ABRM_2023-03-30_RFR-197</v>
      </c>
      <c r="Y1086" s="317" t="str">
        <f t="shared" si="6"/>
        <v/>
      </c>
      <c r="Z1086" s="83" t="str">
        <f t="shared" si="7"/>
        <v/>
      </c>
      <c r="AA1086" s="83" t="str">
        <f t="shared" si="8"/>
        <v/>
      </c>
      <c r="AB1086" s="83" t="str">
        <f t="shared" si="9"/>
        <v/>
      </c>
      <c r="AC1086" s="18"/>
      <c r="AD1086" s="18"/>
      <c r="AE1086" s="43"/>
      <c r="AF1086" s="58" t="s">
        <v>163</v>
      </c>
      <c r="AG1086" s="55" t="str">
        <f t="shared" si="11"/>
        <v/>
      </c>
    </row>
    <row r="1087">
      <c r="A1087" s="7" t="str">
        <f>IFERROR(__xludf.DUMMYFUNCTION("""COMPUTED_VALUE"""),"AR786")</f>
        <v>AR786</v>
      </c>
      <c r="B1087" s="308">
        <f>IFERROR(__xludf.DUMMYFUNCTION("""COMPUTED_VALUE"""),45015.0)</f>
        <v>45015</v>
      </c>
      <c r="C1087" s="309">
        <f>IFERROR(__xludf.DUMMYFUNCTION("""COMPUTED_VALUE"""),0.29247685185185185)</f>
        <v>0.2924768519</v>
      </c>
      <c r="D1087" s="7" t="str">
        <f>IFERROR(__xludf.DUMMYFUNCTION("""COMPUTED_VALUE"""),"SpABRM367540")</f>
        <v>SpABRM367540</v>
      </c>
      <c r="E1087" s="310"/>
      <c r="F1087" s="310"/>
      <c r="G1087" s="310" t="str">
        <f>IFERROR(__xludf.DUMMYFUNCTION("""COMPUTED_VALUE"""),"Negative")</f>
        <v>Negative</v>
      </c>
      <c r="H1087" s="319" t="str">
        <f>IFERROR(__xludf.DUMMYFUNCTION("""COMPUTED_VALUE"""),"Negative")</f>
        <v>Negative</v>
      </c>
      <c r="I1087" s="308">
        <f>IFERROR(__xludf.DUMMYFUNCTION("""COMPUTED_VALUE"""),45015.0)</f>
        <v>45015</v>
      </c>
      <c r="J1087" s="311">
        <f>IFERROR(__xludf.DUMMYFUNCTION("""COMPUTED_VALUE"""),0.4092708333333333)</f>
        <v>0.4092708333</v>
      </c>
      <c r="K1087" s="54"/>
      <c r="L1087" s="7"/>
      <c r="M1087" s="312"/>
      <c r="N1087" s="172">
        <f>IFERROR(__xludf.DUMMYFUNCTION("""COMPUTED_VALUE"""),3.0)</f>
        <v>3</v>
      </c>
      <c r="O1087" s="172"/>
      <c r="P1087" s="313">
        <f>IFERROR(__xludf.DUMMYFUNCTION("""COMPUTED_VALUE"""),0.0)</f>
        <v>0</v>
      </c>
      <c r="Q1087" s="76" t="b">
        <f>VLOOKUP($B1087,'Run Reconcile'!B$2:O1399,14,FALSE)</f>
        <v>1</v>
      </c>
      <c r="R1087" s="314" t="str">
        <f t="array" ref="R1087">IF($Q1087, INDEX('Run Reconcile'!A$2:A1399,MATCH(B1087,'Run Reconcile'!B$2:B1399,0),1),IFERROR(0/0,""))</f>
        <v>RUN-ABRM_2023-03-30_RFR-197</v>
      </c>
      <c r="S1087" s="315" t="str">
        <f t="shared" ref="S1087:T1087" si="2093">IF(COUNTIF(W$2:W1399, $A1087) &gt; 0,TRUE,IFERROR(0/0,""))</f>
        <v/>
      </c>
      <c r="T1087" s="315" t="str">
        <f t="shared" si="2093"/>
        <v/>
      </c>
      <c r="U1087" s="114" t="str">
        <f t="array" ref="U1087">IF(ISBLANK($R1087), INDEX('Run Reconcile'!A$2:A1399, MATCH($B1087, 'Run Reconcile'!B$2:B1399, 0)+Z1087, 1), IFERROR(0/0,""))
</f>
        <v/>
      </c>
      <c r="V1087" s="316" t="str">
        <f t="shared" si="1281"/>
        <v>RUN-ABRM_2023-03-30_RFR-197</v>
      </c>
      <c r="Y1087" s="317" t="str">
        <f t="shared" si="6"/>
        <v/>
      </c>
      <c r="Z1087" s="83" t="str">
        <f t="shared" si="7"/>
        <v/>
      </c>
      <c r="AA1087" s="83" t="str">
        <f t="shared" si="8"/>
        <v/>
      </c>
      <c r="AB1087" s="83" t="str">
        <f t="shared" si="9"/>
        <v/>
      </c>
      <c r="AC1087" s="18"/>
      <c r="AD1087" s="18"/>
      <c r="AE1087" s="43"/>
      <c r="AF1087" s="58" t="s">
        <v>163</v>
      </c>
      <c r="AG1087" s="55" t="str">
        <f t="shared" si="11"/>
        <v/>
      </c>
    </row>
    <row r="1088">
      <c r="A1088" s="7" t="str">
        <f>IFERROR(__xludf.DUMMYFUNCTION("""COMPUTED_VALUE"""),"AR3")</f>
        <v>AR3</v>
      </c>
      <c r="B1088" s="308">
        <f>IFERROR(__xludf.DUMMYFUNCTION("""COMPUTED_VALUE"""),45015.0)</f>
        <v>45015</v>
      </c>
      <c r="C1088" s="309">
        <f>IFERROR(__xludf.DUMMYFUNCTION("""COMPUTED_VALUE"""),0.3251851851851852)</f>
        <v>0.3251851852</v>
      </c>
      <c r="D1088" s="7" t="str">
        <f>IFERROR(__xludf.DUMMYFUNCTION("""COMPUTED_VALUE"""),"SpABRM655136")</f>
        <v>SpABRM655136</v>
      </c>
      <c r="E1088" s="310"/>
      <c r="F1088" s="310"/>
      <c r="G1088" s="310" t="str">
        <f>IFERROR(__xludf.DUMMYFUNCTION("""COMPUTED_VALUE"""),"Negative")</f>
        <v>Negative</v>
      </c>
      <c r="H1088" s="319" t="str">
        <f>IFERROR(__xludf.DUMMYFUNCTION("""COMPUTED_VALUE"""),"Negative")</f>
        <v>Negative</v>
      </c>
      <c r="I1088" s="308">
        <f>IFERROR(__xludf.DUMMYFUNCTION("""COMPUTED_VALUE"""),45015.0)</f>
        <v>45015</v>
      </c>
      <c r="J1088" s="311">
        <f>IFERROR(__xludf.DUMMYFUNCTION("""COMPUTED_VALUE"""),0.4092708333333333)</f>
        <v>0.4092708333</v>
      </c>
      <c r="K1088" s="54"/>
      <c r="L1088" s="7"/>
      <c r="M1088" s="312"/>
      <c r="N1088" s="172">
        <f>IFERROR(__xludf.DUMMYFUNCTION("""COMPUTED_VALUE"""),2.0)</f>
        <v>2</v>
      </c>
      <c r="O1088" s="172"/>
      <c r="P1088" s="313">
        <f>IFERROR(__xludf.DUMMYFUNCTION("""COMPUTED_VALUE"""),0.0)</f>
        <v>0</v>
      </c>
      <c r="Q1088" s="76" t="b">
        <f>VLOOKUP($B1088,'Run Reconcile'!B$2:O1399,14,FALSE)</f>
        <v>1</v>
      </c>
      <c r="R1088" s="314" t="str">
        <f t="array" ref="R1088">IF($Q1088, INDEX('Run Reconcile'!A$2:A1399,MATCH(B1088,'Run Reconcile'!B$2:B1399,0),1),IFERROR(0/0,""))</f>
        <v>RUN-ABRM_2023-03-30_RFR-197</v>
      </c>
      <c r="S1088" s="315" t="str">
        <f t="shared" ref="S1088:T1088" si="2094">IF(COUNTIF(W$2:W1399, $A1088) &gt; 0,TRUE,IFERROR(0/0,""))</f>
        <v/>
      </c>
      <c r="T1088" s="315" t="str">
        <f t="shared" si="2094"/>
        <v/>
      </c>
      <c r="U1088" s="114" t="str">
        <f t="array" ref="U1088">IF(ISBLANK($R1088), INDEX('Run Reconcile'!A$2:A1399, MATCH($B1088, 'Run Reconcile'!B$2:B1399, 0)+Z1088, 1), IFERROR(0/0,""))
</f>
        <v/>
      </c>
      <c r="V1088" s="316" t="str">
        <f t="shared" si="1281"/>
        <v>RUN-ABRM_2023-03-30_RFR-197</v>
      </c>
      <c r="Y1088" s="317" t="str">
        <f t="shared" si="6"/>
        <v/>
      </c>
      <c r="Z1088" s="83" t="str">
        <f t="shared" si="7"/>
        <v/>
      </c>
      <c r="AA1088" s="83" t="str">
        <f t="shared" si="8"/>
        <v/>
      </c>
      <c r="AB1088" s="83" t="str">
        <f t="shared" si="9"/>
        <v/>
      </c>
      <c r="AC1088" s="18"/>
      <c r="AD1088" s="18"/>
      <c r="AE1088" s="43"/>
      <c r="AF1088" s="58" t="s">
        <v>163</v>
      </c>
      <c r="AG1088" s="55" t="str">
        <f t="shared" si="11"/>
        <v/>
      </c>
    </row>
    <row r="1089">
      <c r="A1089" s="7" t="str">
        <f>IFERROR(__xludf.DUMMYFUNCTION("""COMPUTED_VALUE"""),"AR1111")</f>
        <v>AR1111</v>
      </c>
      <c r="B1089" s="308">
        <f>IFERROR(__xludf.DUMMYFUNCTION("""COMPUTED_VALUE"""),45015.0)</f>
        <v>45015</v>
      </c>
      <c r="C1089" s="309">
        <f>IFERROR(__xludf.DUMMYFUNCTION("""COMPUTED_VALUE"""),0.32665509259259257)</f>
        <v>0.3266550926</v>
      </c>
      <c r="D1089" s="7" t="str">
        <f>IFERROR(__xludf.DUMMYFUNCTION("""COMPUTED_VALUE"""),"SpABRM841252")</f>
        <v>SpABRM841252</v>
      </c>
      <c r="E1089" s="310"/>
      <c r="F1089" s="310"/>
      <c r="G1089" s="310" t="str">
        <f>IFERROR(__xludf.DUMMYFUNCTION("""COMPUTED_VALUE"""),"Negative")</f>
        <v>Negative</v>
      </c>
      <c r="H1089" s="319" t="str">
        <f>IFERROR(__xludf.DUMMYFUNCTION("""COMPUTED_VALUE"""),"Negative")</f>
        <v>Negative</v>
      </c>
      <c r="I1089" s="308">
        <f>IFERROR(__xludf.DUMMYFUNCTION("""COMPUTED_VALUE"""),45015.0)</f>
        <v>45015</v>
      </c>
      <c r="J1089" s="311">
        <f>IFERROR(__xludf.DUMMYFUNCTION("""COMPUTED_VALUE"""),0.4092824074074074)</f>
        <v>0.4092824074</v>
      </c>
      <c r="K1089" s="54"/>
      <c r="L1089" s="7"/>
      <c r="M1089" s="312"/>
      <c r="N1089" s="172">
        <f>IFERROR(__xludf.DUMMYFUNCTION("""COMPUTED_VALUE"""),1.0)</f>
        <v>1</v>
      </c>
      <c r="O1089" s="172"/>
      <c r="P1089" s="313">
        <f>IFERROR(__xludf.DUMMYFUNCTION("""COMPUTED_VALUE"""),0.0)</f>
        <v>0</v>
      </c>
      <c r="Q1089" s="76" t="b">
        <f>VLOOKUP($B1089,'Run Reconcile'!B$2:O1399,14,FALSE)</f>
        <v>1</v>
      </c>
      <c r="R1089" s="314" t="str">
        <f t="array" ref="R1089">IF($Q1089, INDEX('Run Reconcile'!A$2:A1399,MATCH(B1089,'Run Reconcile'!B$2:B1399,0),1),IFERROR(0/0,""))</f>
        <v>RUN-ABRM_2023-03-30_RFR-197</v>
      </c>
      <c r="S1089" s="315" t="str">
        <f t="shared" ref="S1089:T1089" si="2095">IF(COUNTIF(W$2:W1399, $A1089) &gt; 0,TRUE,IFERROR(0/0,""))</f>
        <v/>
      </c>
      <c r="T1089" s="315" t="str">
        <f t="shared" si="2095"/>
        <v/>
      </c>
      <c r="U1089" s="114" t="str">
        <f t="array" ref="U1089">IF(ISBLANK($R1089), INDEX('Run Reconcile'!A$2:A1399, MATCH($B1089, 'Run Reconcile'!B$2:B1399, 0)+Z1089, 1), IFERROR(0/0,""))
</f>
        <v/>
      </c>
      <c r="V1089" s="316" t="str">
        <f t="shared" si="1281"/>
        <v>RUN-ABRM_2023-03-30_RFR-197</v>
      </c>
      <c r="Y1089" s="317" t="str">
        <f t="shared" si="6"/>
        <v/>
      </c>
      <c r="Z1089" s="83" t="str">
        <f t="shared" si="7"/>
        <v/>
      </c>
      <c r="AA1089" s="83" t="str">
        <f t="shared" si="8"/>
        <v/>
      </c>
      <c r="AB1089" s="83" t="str">
        <f t="shared" si="9"/>
        <v/>
      </c>
      <c r="AC1089" s="18"/>
      <c r="AD1089" s="18"/>
      <c r="AE1089" s="43"/>
      <c r="AF1089" s="58" t="s">
        <v>163</v>
      </c>
      <c r="AG1089" s="55" t="str">
        <f t="shared" si="11"/>
        <v/>
      </c>
    </row>
    <row r="1090">
      <c r="A1090" s="7" t="str">
        <f>IFERROR(__xludf.DUMMYFUNCTION("""COMPUTED_VALUE"""),"AR11")</f>
        <v>AR11</v>
      </c>
      <c r="B1090" s="308">
        <f>IFERROR(__xludf.DUMMYFUNCTION("""COMPUTED_VALUE"""),45015.0)</f>
        <v>45015</v>
      </c>
      <c r="C1090" s="309">
        <f>IFERROR(__xludf.DUMMYFUNCTION("""COMPUTED_VALUE"""),0.3269444444444444)</f>
        <v>0.3269444444</v>
      </c>
      <c r="D1090" s="7" t="str">
        <f>IFERROR(__xludf.DUMMYFUNCTION("""COMPUTED_VALUE"""),"SpABRM841252")</f>
        <v>SpABRM841252</v>
      </c>
      <c r="E1090" s="310"/>
      <c r="F1090" s="310"/>
      <c r="G1090" s="310" t="str">
        <f>IFERROR(__xludf.DUMMYFUNCTION("""COMPUTED_VALUE"""),"Negative")</f>
        <v>Negative</v>
      </c>
      <c r="H1090" s="319" t="str">
        <f>IFERROR(__xludf.DUMMYFUNCTION("""COMPUTED_VALUE"""),"Negative")</f>
        <v>Negative</v>
      </c>
      <c r="I1090" s="308">
        <f>IFERROR(__xludf.DUMMYFUNCTION("""COMPUTED_VALUE"""),45015.0)</f>
        <v>45015</v>
      </c>
      <c r="J1090" s="311">
        <f>IFERROR(__xludf.DUMMYFUNCTION("""COMPUTED_VALUE"""),0.4092939814814815)</f>
        <v>0.4092939815</v>
      </c>
      <c r="K1090" s="54"/>
      <c r="L1090" s="7"/>
      <c r="M1090" s="312"/>
      <c r="N1090" s="172">
        <f>IFERROR(__xludf.DUMMYFUNCTION("""COMPUTED_VALUE"""),1.0)</f>
        <v>1</v>
      </c>
      <c r="O1090" s="172"/>
      <c r="P1090" s="313">
        <f>IFERROR(__xludf.DUMMYFUNCTION("""COMPUTED_VALUE"""),0.0)</f>
        <v>0</v>
      </c>
      <c r="Q1090" s="76" t="b">
        <f>VLOOKUP($B1090,'Run Reconcile'!B$2:O1399,14,FALSE)</f>
        <v>1</v>
      </c>
      <c r="R1090" s="314" t="str">
        <f t="array" ref="R1090">IF($Q1090, INDEX('Run Reconcile'!A$2:A1399,MATCH(B1090,'Run Reconcile'!B$2:B1399,0),1),IFERROR(0/0,""))</f>
        <v>RUN-ABRM_2023-03-30_RFR-197</v>
      </c>
      <c r="S1090" s="315" t="str">
        <f t="shared" ref="S1090:T1090" si="2096">IF(COUNTIF(W$2:W1399, $A1090) &gt; 0,TRUE,IFERROR(0/0,""))</f>
        <v/>
      </c>
      <c r="T1090" s="315" t="str">
        <f t="shared" si="2096"/>
        <v/>
      </c>
      <c r="U1090" s="114" t="str">
        <f t="array" ref="U1090">IF(ISBLANK($R1090), INDEX('Run Reconcile'!A$2:A1399, MATCH($B1090, 'Run Reconcile'!B$2:B1399, 0)+Z1090, 1), IFERROR(0/0,""))
</f>
        <v/>
      </c>
      <c r="V1090" s="316" t="str">
        <f t="shared" si="1281"/>
        <v>RUN-ABRM_2023-03-30_RFR-197</v>
      </c>
      <c r="Y1090" s="317" t="str">
        <f t="shared" si="6"/>
        <v/>
      </c>
      <c r="Z1090" s="83" t="str">
        <f t="shared" si="7"/>
        <v/>
      </c>
      <c r="AA1090" s="83" t="str">
        <f t="shared" si="8"/>
        <v/>
      </c>
      <c r="AB1090" s="83" t="str">
        <f t="shared" si="9"/>
        <v/>
      </c>
      <c r="AC1090" s="18"/>
      <c r="AD1090" s="18"/>
      <c r="AE1090" s="43"/>
      <c r="AF1090" s="58" t="s">
        <v>163</v>
      </c>
      <c r="AG1090" s="55" t="str">
        <f t="shared" si="11"/>
        <v/>
      </c>
    </row>
    <row r="1091">
      <c r="A1091" s="7" t="str">
        <f>IFERROR(__xludf.DUMMYFUNCTION("""COMPUTED_VALUE"""),"AR1077")</f>
        <v>AR1077</v>
      </c>
      <c r="B1091" s="308">
        <f>IFERROR(__xludf.DUMMYFUNCTION("""COMPUTED_VALUE"""),45015.0)</f>
        <v>45015</v>
      </c>
      <c r="C1091" s="309">
        <f>IFERROR(__xludf.DUMMYFUNCTION("""COMPUTED_VALUE"""),0.32738425925925924)</f>
        <v>0.3273842593</v>
      </c>
      <c r="D1091" s="7" t="str">
        <f>IFERROR(__xludf.DUMMYFUNCTION("""COMPUTED_VALUE"""),"SpABRM841252")</f>
        <v>SpABRM841252</v>
      </c>
      <c r="E1091" s="310"/>
      <c r="F1091" s="310"/>
      <c r="G1091" s="310" t="str">
        <f>IFERROR(__xludf.DUMMYFUNCTION("""COMPUTED_VALUE"""),"Negative")</f>
        <v>Negative</v>
      </c>
      <c r="H1091" s="319" t="str">
        <f>IFERROR(__xludf.DUMMYFUNCTION("""COMPUTED_VALUE"""),"Negative")</f>
        <v>Negative</v>
      </c>
      <c r="I1091" s="308">
        <f>IFERROR(__xludf.DUMMYFUNCTION("""COMPUTED_VALUE"""),45015.0)</f>
        <v>45015</v>
      </c>
      <c r="J1091" s="311">
        <f>IFERROR(__xludf.DUMMYFUNCTION("""COMPUTED_VALUE"""),0.40930555555555553)</f>
        <v>0.4093055556</v>
      </c>
      <c r="K1091" s="54"/>
      <c r="L1091" s="7"/>
      <c r="M1091" s="312"/>
      <c r="N1091" s="172">
        <f>IFERROR(__xludf.DUMMYFUNCTION("""COMPUTED_VALUE"""),2.0)</f>
        <v>2</v>
      </c>
      <c r="O1091" s="172"/>
      <c r="P1091" s="313">
        <f>IFERROR(__xludf.DUMMYFUNCTION("""COMPUTED_VALUE"""),0.0)</f>
        <v>0</v>
      </c>
      <c r="Q1091" s="76" t="b">
        <f>VLOOKUP($B1091,'Run Reconcile'!B$2:O1399,14,FALSE)</f>
        <v>1</v>
      </c>
      <c r="R1091" s="314" t="str">
        <f t="array" ref="R1091">IF($Q1091, INDEX('Run Reconcile'!A$2:A1399,MATCH(B1091,'Run Reconcile'!B$2:B1399,0),1),IFERROR(0/0,""))</f>
        <v>RUN-ABRM_2023-03-30_RFR-197</v>
      </c>
      <c r="S1091" s="315" t="str">
        <f t="shared" ref="S1091:T1091" si="2097">IF(COUNTIF(W$2:W1399, $A1091) &gt; 0,TRUE,IFERROR(0/0,""))</f>
        <v/>
      </c>
      <c r="T1091" s="315" t="str">
        <f t="shared" si="2097"/>
        <v/>
      </c>
      <c r="U1091" s="114" t="str">
        <f t="array" ref="U1091">IF(ISBLANK($R1091), INDEX('Run Reconcile'!A$2:A1399, MATCH($B1091, 'Run Reconcile'!B$2:B1399, 0)+Z1091, 1), IFERROR(0/0,""))
</f>
        <v/>
      </c>
      <c r="V1091" s="316" t="str">
        <f t="shared" si="1281"/>
        <v>RUN-ABRM_2023-03-30_RFR-197</v>
      </c>
      <c r="Y1091" s="317" t="str">
        <f t="shared" si="6"/>
        <v/>
      </c>
      <c r="Z1091" s="83" t="str">
        <f t="shared" si="7"/>
        <v/>
      </c>
      <c r="AA1091" s="83" t="str">
        <f t="shared" si="8"/>
        <v/>
      </c>
      <c r="AB1091" s="83" t="str">
        <f t="shared" si="9"/>
        <v/>
      </c>
      <c r="AC1091" s="18"/>
      <c r="AD1091" s="18"/>
      <c r="AE1091" s="43"/>
      <c r="AF1091" s="58" t="s">
        <v>163</v>
      </c>
      <c r="AG1091" s="55" t="str">
        <f t="shared" si="11"/>
        <v/>
      </c>
    </row>
    <row r="1092">
      <c r="A1092" s="7" t="str">
        <f>IFERROR(__xludf.DUMMYFUNCTION("""COMPUTED_VALUE"""),"AR1655")</f>
        <v>AR1655</v>
      </c>
      <c r="B1092" s="308">
        <f>IFERROR(__xludf.DUMMYFUNCTION("""COMPUTED_VALUE"""),45015.0)</f>
        <v>45015</v>
      </c>
      <c r="C1092" s="309">
        <f>IFERROR(__xludf.DUMMYFUNCTION("""COMPUTED_VALUE"""),0.3328009259259259)</f>
        <v>0.3328009259</v>
      </c>
      <c r="D1092" s="7" t="str">
        <f>IFERROR(__xludf.DUMMYFUNCTION("""COMPUTED_VALUE"""),"SpABRM519188")</f>
        <v>SpABRM519188</v>
      </c>
      <c r="E1092" s="310"/>
      <c r="F1092" s="310"/>
      <c r="G1092" s="310" t="str">
        <f>IFERROR(__xludf.DUMMYFUNCTION("""COMPUTED_VALUE"""),"Negative")</f>
        <v>Negative</v>
      </c>
      <c r="H1092" s="319" t="str">
        <f>IFERROR(__xludf.DUMMYFUNCTION("""COMPUTED_VALUE"""),"Negative")</f>
        <v>Negative</v>
      </c>
      <c r="I1092" s="308">
        <f>IFERROR(__xludf.DUMMYFUNCTION("""COMPUTED_VALUE"""),45015.0)</f>
        <v>45015</v>
      </c>
      <c r="J1092" s="311">
        <f>IFERROR(__xludf.DUMMYFUNCTION("""COMPUTED_VALUE"""),0.40931712962962963)</f>
        <v>0.4093171296</v>
      </c>
      <c r="K1092" s="54"/>
      <c r="L1092" s="7"/>
      <c r="M1092" s="312"/>
      <c r="N1092" s="172">
        <f>IFERROR(__xludf.DUMMYFUNCTION("""COMPUTED_VALUE"""),1.0)</f>
        <v>1</v>
      </c>
      <c r="O1092" s="172"/>
      <c r="P1092" s="313">
        <f>IFERROR(__xludf.DUMMYFUNCTION("""COMPUTED_VALUE"""),0.0)</f>
        <v>0</v>
      </c>
      <c r="Q1092" s="76" t="b">
        <f>VLOOKUP($B1092,'Run Reconcile'!B$2:O1399,14,FALSE)</f>
        <v>1</v>
      </c>
      <c r="R1092" s="314" t="str">
        <f t="array" ref="R1092">IF($Q1092, INDEX('Run Reconcile'!A$2:A1399,MATCH(B1092,'Run Reconcile'!B$2:B1399,0),1),IFERROR(0/0,""))</f>
        <v>RUN-ABRM_2023-03-30_RFR-197</v>
      </c>
      <c r="S1092" s="315" t="str">
        <f t="shared" ref="S1092:T1092" si="2098">IF(COUNTIF(W$2:W1399, $A1092) &gt; 0,TRUE,IFERROR(0/0,""))</f>
        <v/>
      </c>
      <c r="T1092" s="315" t="str">
        <f t="shared" si="2098"/>
        <v/>
      </c>
      <c r="U1092" s="114" t="str">
        <f t="array" ref="U1092">IF(ISBLANK($R1092), INDEX('Run Reconcile'!A$2:A1399, MATCH($B1092, 'Run Reconcile'!B$2:B1399, 0)+Z1092, 1), IFERROR(0/0,""))
</f>
        <v/>
      </c>
      <c r="V1092" s="316" t="str">
        <f t="shared" si="1281"/>
        <v>RUN-ABRM_2023-03-30_RFR-197</v>
      </c>
      <c r="Y1092" s="317" t="str">
        <f t="shared" si="6"/>
        <v/>
      </c>
      <c r="Z1092" s="83" t="str">
        <f t="shared" si="7"/>
        <v/>
      </c>
      <c r="AA1092" s="83" t="str">
        <f t="shared" si="8"/>
        <v/>
      </c>
      <c r="AB1092" s="83" t="str">
        <f t="shared" si="9"/>
        <v/>
      </c>
      <c r="AC1092" s="18"/>
      <c r="AD1092" s="18"/>
      <c r="AE1092" s="43"/>
      <c r="AF1092" s="58" t="s">
        <v>163</v>
      </c>
      <c r="AG1092" s="55" t="str">
        <f t="shared" si="11"/>
        <v/>
      </c>
    </row>
    <row r="1093">
      <c r="A1093" s="7" t="str">
        <f>IFERROR(__xludf.DUMMYFUNCTION("""COMPUTED_VALUE"""),"AH9188")</f>
        <v>AH9188</v>
      </c>
      <c r="B1093" s="308">
        <f>IFERROR(__xludf.DUMMYFUNCTION("""COMPUTED_VALUE"""),45015.0)</f>
        <v>45015</v>
      </c>
      <c r="C1093" s="309">
        <f>IFERROR(__xludf.DUMMYFUNCTION("""COMPUTED_VALUE"""),0.34761574074074075)</f>
        <v>0.3476157407</v>
      </c>
      <c r="D1093" s="7" t="str">
        <f>IFERROR(__xludf.DUMMYFUNCTION("""COMPUTED_VALUE"""),"SpABRM841252")</f>
        <v>SpABRM841252</v>
      </c>
      <c r="E1093" s="310"/>
      <c r="F1093" s="310"/>
      <c r="G1093" s="310" t="str">
        <f>IFERROR(__xludf.DUMMYFUNCTION("""COMPUTED_VALUE"""),"Negative")</f>
        <v>Negative</v>
      </c>
      <c r="H1093" s="319" t="str">
        <f>IFERROR(__xludf.DUMMYFUNCTION("""COMPUTED_VALUE"""),"Negative")</f>
        <v>Negative</v>
      </c>
      <c r="I1093" s="308">
        <f>IFERROR(__xludf.DUMMYFUNCTION("""COMPUTED_VALUE"""),45015.0)</f>
        <v>45015</v>
      </c>
      <c r="J1093" s="311">
        <f>IFERROR(__xludf.DUMMYFUNCTION("""COMPUTED_VALUE"""),0.40931712962962963)</f>
        <v>0.4093171296</v>
      </c>
      <c r="K1093" s="54"/>
      <c r="L1093" s="7"/>
      <c r="M1093" s="312"/>
      <c r="N1093" s="172">
        <f>IFERROR(__xludf.DUMMYFUNCTION("""COMPUTED_VALUE"""),4.0)</f>
        <v>4</v>
      </c>
      <c r="O1093" s="172"/>
      <c r="P1093" s="313">
        <f>IFERROR(__xludf.DUMMYFUNCTION("""COMPUTED_VALUE"""),0.0)</f>
        <v>0</v>
      </c>
      <c r="Q1093" s="76" t="b">
        <f>VLOOKUP($B1093,'Run Reconcile'!B$2:O1399,14,FALSE)</f>
        <v>1</v>
      </c>
      <c r="R1093" s="314" t="str">
        <f t="array" ref="R1093">IF($Q1093, INDEX('Run Reconcile'!A$2:A1399,MATCH(B1093,'Run Reconcile'!B$2:B1399,0),1),IFERROR(0/0,""))</f>
        <v>RUN-ABRM_2023-03-30_RFR-197</v>
      </c>
      <c r="S1093" s="315" t="str">
        <f t="shared" ref="S1093:T1093" si="2099">IF(COUNTIF(W$2:W1399, $A1093) &gt; 0,TRUE,IFERROR(0/0,""))</f>
        <v/>
      </c>
      <c r="T1093" s="315" t="str">
        <f t="shared" si="2099"/>
        <v/>
      </c>
      <c r="U1093" s="114" t="str">
        <f t="array" ref="U1093">IF(ISBLANK($R1093), INDEX('Run Reconcile'!A$2:A1399, MATCH($B1093, 'Run Reconcile'!B$2:B1399, 0)+Z1093, 1), IFERROR(0/0,""))
</f>
        <v/>
      </c>
      <c r="V1093" s="316" t="str">
        <f t="shared" si="1281"/>
        <v>RUN-ABRM_2023-03-30_RFR-197</v>
      </c>
      <c r="Y1093" s="317" t="str">
        <f t="shared" si="6"/>
        <v/>
      </c>
      <c r="Z1093" s="83" t="str">
        <f t="shared" si="7"/>
        <v/>
      </c>
      <c r="AA1093" s="83" t="str">
        <f t="shared" si="8"/>
        <v/>
      </c>
      <c r="AB1093" s="83" t="str">
        <f t="shared" si="9"/>
        <v/>
      </c>
      <c r="AC1093" s="18"/>
      <c r="AD1093" s="18"/>
      <c r="AE1093" s="43"/>
      <c r="AF1093" s="58" t="s">
        <v>163</v>
      </c>
      <c r="AG1093" s="55" t="str">
        <f t="shared" si="11"/>
        <v/>
      </c>
    </row>
    <row r="1094">
      <c r="A1094" s="7" t="str">
        <f>IFERROR(__xludf.DUMMYFUNCTION("""COMPUTED_VALUE"""),"AB9932")</f>
        <v>AB9932</v>
      </c>
      <c r="B1094" s="308">
        <f>IFERROR(__xludf.DUMMYFUNCTION("""COMPUTED_VALUE"""),45016.0)</f>
        <v>45016</v>
      </c>
      <c r="C1094" s="309">
        <f>IFERROR(__xludf.DUMMYFUNCTION("""COMPUTED_VALUE"""),0.4221875)</f>
        <v>0.4221875</v>
      </c>
      <c r="D1094" s="7" t="str">
        <f>IFERROR(__xludf.DUMMYFUNCTION("""COMPUTED_VALUE"""),"SpABRM655136")</f>
        <v>SpABRM655136</v>
      </c>
      <c r="E1094" s="310"/>
      <c r="F1094" s="310"/>
      <c r="G1094" s="310" t="str">
        <f>IFERROR(__xludf.DUMMYFUNCTION("""COMPUTED_VALUE"""),"Negative")</f>
        <v>Negative</v>
      </c>
      <c r="H1094" s="319" t="str">
        <f>IFERROR(__xludf.DUMMYFUNCTION("""COMPUTED_VALUE"""),"Negative")</f>
        <v>Negative</v>
      </c>
      <c r="I1094" s="308">
        <f>IFERROR(__xludf.DUMMYFUNCTION("""COMPUTED_VALUE"""),45016.0)</f>
        <v>45016</v>
      </c>
      <c r="J1094" s="311">
        <f>IFERROR(__xludf.DUMMYFUNCTION("""COMPUTED_VALUE"""),0.4725578703703704)</f>
        <v>0.4725578704</v>
      </c>
      <c r="K1094" s="54"/>
      <c r="L1094" s="7"/>
      <c r="M1094" s="312"/>
      <c r="N1094" s="172">
        <f>IFERROR(__xludf.DUMMYFUNCTION("""COMPUTED_VALUE"""),1.0)</f>
        <v>1</v>
      </c>
      <c r="O1094" s="172"/>
      <c r="P1094" s="313">
        <f>IFERROR(__xludf.DUMMYFUNCTION("""COMPUTED_VALUE"""),0.0)</f>
        <v>0</v>
      </c>
      <c r="Q1094" s="76" t="str">
        <f>VLOOKUP($B1094,'Run Reconcile'!B$2:O1399,14,FALSE)</f>
        <v/>
      </c>
      <c r="R1094" s="314" t="str">
        <f t="array" ref="R1094">IF($Q1094, INDEX('Run Reconcile'!A$2:A1399,MATCH(B1094,'Run Reconcile'!B$2:B1399,0),1),IFERROR(0/0,""))</f>
        <v/>
      </c>
      <c r="S1094" s="315" t="str">
        <f t="shared" ref="S1094:T1094" si="2100">IF(COUNTIF(W$2:W1399, $A1094) &gt; 0,TRUE,IFERROR(0/0,""))</f>
        <v/>
      </c>
      <c r="T1094" s="315" t="str">
        <f t="shared" si="2100"/>
        <v/>
      </c>
      <c r="U1094" s="114" t="str">
        <f t="array" ref="U1094">IF(ISBLANK($R1094), INDEX('Run Reconcile'!A$2:A1399, MATCH($B1094, 'Run Reconcile'!B$2:B1399, 0)+Z1094, 1), IFERROR(0/0,""))
</f>
        <v>RUN-ABRM_2023-03-31_RFR-199</v>
      </c>
      <c r="V1094" s="316" t="str">
        <f t="shared" si="1281"/>
        <v>RUN-ABRM_2023-03-31_RFR-199</v>
      </c>
      <c r="Y1094" s="317" t="str">
        <f t="shared" si="6"/>
        <v/>
      </c>
      <c r="Z1094" s="83" t="str">
        <f t="shared" si="7"/>
        <v/>
      </c>
      <c r="AA1094" s="83" t="str">
        <f t="shared" si="8"/>
        <v/>
      </c>
      <c r="AB1094" s="83" t="str">
        <f t="shared" si="9"/>
        <v/>
      </c>
      <c r="AC1094" s="18"/>
      <c r="AD1094" s="18"/>
      <c r="AE1094" s="43"/>
      <c r="AF1094" s="58" t="s">
        <v>164</v>
      </c>
      <c r="AG1094" s="55" t="str">
        <f t="shared" si="11"/>
        <v/>
      </c>
    </row>
    <row r="1095">
      <c r="A1095" s="7" t="str">
        <f>IFERROR(__xludf.DUMMYFUNCTION("""COMPUTED_VALUE"""),"AK9728")</f>
        <v>AK9728</v>
      </c>
      <c r="B1095" s="308">
        <f>IFERROR(__xludf.DUMMYFUNCTION("""COMPUTED_VALUE"""),45016.0)</f>
        <v>45016</v>
      </c>
      <c r="C1095" s="309">
        <f>IFERROR(__xludf.DUMMYFUNCTION("""COMPUTED_VALUE"""),0.4224189814814815)</f>
        <v>0.4224189815</v>
      </c>
      <c r="D1095" s="7" t="str">
        <f>IFERROR(__xludf.DUMMYFUNCTION("""COMPUTED_VALUE"""),"SpABRM655136")</f>
        <v>SpABRM655136</v>
      </c>
      <c r="E1095" s="310"/>
      <c r="F1095" s="310"/>
      <c r="G1095" s="310" t="str">
        <f>IFERROR(__xludf.DUMMYFUNCTION("""COMPUTED_VALUE"""),"Negative")</f>
        <v>Negative</v>
      </c>
      <c r="H1095" s="319" t="str">
        <f>IFERROR(__xludf.DUMMYFUNCTION("""COMPUTED_VALUE"""),"Negative")</f>
        <v>Negative</v>
      </c>
      <c r="I1095" s="308">
        <f>IFERROR(__xludf.DUMMYFUNCTION("""COMPUTED_VALUE"""),45016.0)</f>
        <v>45016</v>
      </c>
      <c r="J1095" s="311">
        <f>IFERROR(__xludf.DUMMYFUNCTION("""COMPUTED_VALUE"""),0.4725578703703704)</f>
        <v>0.4725578704</v>
      </c>
      <c r="K1095" s="54"/>
      <c r="L1095" s="7"/>
      <c r="M1095" s="312"/>
      <c r="N1095" s="172">
        <f>IFERROR(__xludf.DUMMYFUNCTION("""COMPUTED_VALUE"""),1.0)</f>
        <v>1</v>
      </c>
      <c r="O1095" s="172"/>
      <c r="P1095" s="313">
        <f>IFERROR(__xludf.DUMMYFUNCTION("""COMPUTED_VALUE"""),0.0)</f>
        <v>0</v>
      </c>
      <c r="Q1095" s="76" t="str">
        <f>VLOOKUP($B1095,'Run Reconcile'!B$2:O1399,14,FALSE)</f>
        <v/>
      </c>
      <c r="R1095" s="314" t="str">
        <f t="array" ref="R1095">IF($Q1095, INDEX('Run Reconcile'!A$2:A1399,MATCH(B1095,'Run Reconcile'!B$2:B1399,0),1),IFERROR(0/0,""))</f>
        <v/>
      </c>
      <c r="S1095" s="315" t="str">
        <f t="shared" ref="S1095:T1095" si="2101">IF(COUNTIF(W$2:W1399, $A1095) &gt; 0,TRUE,IFERROR(0/0,""))</f>
        <v/>
      </c>
      <c r="T1095" s="315" t="str">
        <f t="shared" si="2101"/>
        <v/>
      </c>
      <c r="U1095" s="114" t="str">
        <f t="array" ref="U1095">IF(ISBLANK($R1095), INDEX('Run Reconcile'!A$2:A1399, MATCH($B1095, 'Run Reconcile'!B$2:B1399, 0)+Z1095, 1), IFERROR(0/0,""))
</f>
        <v>RUN-ABRM_2023-03-31_RFR-199</v>
      </c>
      <c r="V1095" s="316" t="str">
        <f t="shared" si="1281"/>
        <v>RUN-ABRM_2023-03-31_RFR-199</v>
      </c>
      <c r="Y1095" s="317" t="str">
        <f t="shared" si="6"/>
        <v/>
      </c>
      <c r="Z1095" s="83" t="str">
        <f t="shared" si="7"/>
        <v/>
      </c>
      <c r="AA1095" s="83" t="str">
        <f t="shared" si="8"/>
        <v/>
      </c>
      <c r="AB1095" s="83" t="str">
        <f t="shared" si="9"/>
        <v/>
      </c>
      <c r="AC1095" s="18"/>
      <c r="AD1095" s="18"/>
      <c r="AE1095" s="43"/>
      <c r="AF1095" s="58" t="s">
        <v>164</v>
      </c>
      <c r="AG1095" s="55" t="str">
        <f t="shared" si="11"/>
        <v/>
      </c>
    </row>
    <row r="1096">
      <c r="A1096" s="7" t="str">
        <f>IFERROR(__xludf.DUMMYFUNCTION("""COMPUTED_VALUE"""),"AR1448")</f>
        <v>AR1448</v>
      </c>
      <c r="B1096" s="308">
        <f>IFERROR(__xludf.DUMMYFUNCTION("""COMPUTED_VALUE"""),45019.0)</f>
        <v>45019</v>
      </c>
      <c r="C1096" s="309">
        <f>IFERROR(__xludf.DUMMYFUNCTION("""COMPUTED_VALUE"""),0.21260416666666668)</f>
        <v>0.2126041667</v>
      </c>
      <c r="D1096" s="7" t="str">
        <f>IFERROR(__xludf.DUMMYFUNCTION("""COMPUTED_VALUE"""),"SpABRM454310")</f>
        <v>SpABRM454310</v>
      </c>
      <c r="E1096" s="310"/>
      <c r="F1096" s="310"/>
      <c r="G1096" s="310" t="str">
        <f>IFERROR(__xludf.DUMMYFUNCTION("""COMPUTED_VALUE"""),"Negative")</f>
        <v>Negative</v>
      </c>
      <c r="H1096" s="319" t="str">
        <f>IFERROR(__xludf.DUMMYFUNCTION("""COMPUTED_VALUE"""),"Negative")</f>
        <v>Negative</v>
      </c>
      <c r="I1096" s="308">
        <f>IFERROR(__xludf.DUMMYFUNCTION("""COMPUTED_VALUE"""),45019.0)</f>
        <v>45019</v>
      </c>
      <c r="J1096" s="311">
        <f>IFERROR(__xludf.DUMMYFUNCTION("""COMPUTED_VALUE"""),0.40770833333333334)</f>
        <v>0.4077083333</v>
      </c>
      <c r="K1096" s="54"/>
      <c r="L1096" s="7"/>
      <c r="M1096" s="312"/>
      <c r="N1096" s="172">
        <f>IFERROR(__xludf.DUMMYFUNCTION("""COMPUTED_VALUE"""),3.0)</f>
        <v>3</v>
      </c>
      <c r="O1096" s="172"/>
      <c r="P1096" s="313">
        <f>IFERROR(__xludf.DUMMYFUNCTION("""COMPUTED_VALUE"""),0.0)</f>
        <v>0</v>
      </c>
      <c r="Q1096" s="76" t="b">
        <f>VLOOKUP($B1096,'Run Reconcile'!B$2:O1399,14,FALSE)</f>
        <v>1</v>
      </c>
      <c r="R1096" s="314" t="str">
        <f t="array" ref="R1096">IF($Q1096, INDEX('Run Reconcile'!A$2:A1399,MATCH(B1096,'Run Reconcile'!B$2:B1399,0),1),IFERROR(0/0,""))</f>
        <v>RUN-ABRM_2023-04-03_RFR-200</v>
      </c>
      <c r="S1096" s="315" t="str">
        <f t="shared" ref="S1096:T1096" si="2102">IF(COUNTIF(W$2:W1399, $A1096) &gt; 0,TRUE,IFERROR(0/0,""))</f>
        <v/>
      </c>
      <c r="T1096" s="315" t="str">
        <f t="shared" si="2102"/>
        <v/>
      </c>
      <c r="U1096" s="114" t="str">
        <f t="array" ref="U1096">IF(ISBLANK($R1096), INDEX('Run Reconcile'!A$2:A1399, MATCH($B1096, 'Run Reconcile'!B$2:B1399, 0)+Z1096, 1), IFERROR(0/0,""))
</f>
        <v/>
      </c>
      <c r="V1096" s="316" t="str">
        <f t="shared" si="1281"/>
        <v>RUN-ABRM_2023-04-03_RFR-200</v>
      </c>
      <c r="Y1096" s="317" t="str">
        <f t="shared" si="6"/>
        <v/>
      </c>
      <c r="Z1096" s="83" t="str">
        <f t="shared" si="7"/>
        <v/>
      </c>
      <c r="AA1096" s="83" t="str">
        <f t="shared" si="8"/>
        <v/>
      </c>
      <c r="AB1096" s="83" t="str">
        <f t="shared" si="9"/>
        <v/>
      </c>
      <c r="AC1096" s="18"/>
      <c r="AD1096" s="18"/>
      <c r="AE1096" s="43"/>
      <c r="AF1096" s="58" t="s">
        <v>165</v>
      </c>
      <c r="AG1096" s="55" t="str">
        <f t="shared" si="11"/>
        <v/>
      </c>
    </row>
    <row r="1097">
      <c r="A1097" s="7" t="str">
        <f>IFERROR(__xludf.DUMMYFUNCTION("""COMPUTED_VALUE"""),"AR1546")</f>
        <v>AR1546</v>
      </c>
      <c r="B1097" s="308">
        <f>IFERROR(__xludf.DUMMYFUNCTION("""COMPUTED_VALUE"""),45019.0)</f>
        <v>45019</v>
      </c>
      <c r="C1097" s="309">
        <f>IFERROR(__xludf.DUMMYFUNCTION("""COMPUTED_VALUE"""),0.23901620370370372)</f>
        <v>0.2390162037</v>
      </c>
      <c r="D1097" s="7" t="str">
        <f>IFERROR(__xludf.DUMMYFUNCTION("""COMPUTED_VALUE"""),"SpABRM655136")</f>
        <v>SpABRM655136</v>
      </c>
      <c r="E1097" s="310"/>
      <c r="F1097" s="310"/>
      <c r="G1097" s="310" t="str">
        <f>IFERROR(__xludf.DUMMYFUNCTION("""COMPUTED_VALUE"""),"Negative")</f>
        <v>Negative</v>
      </c>
      <c r="H1097" s="319" t="str">
        <f>IFERROR(__xludf.DUMMYFUNCTION("""COMPUTED_VALUE"""),"Negative")</f>
        <v>Negative</v>
      </c>
      <c r="I1097" s="308">
        <f>IFERROR(__xludf.DUMMYFUNCTION("""COMPUTED_VALUE"""),45019.0)</f>
        <v>45019</v>
      </c>
      <c r="J1097" s="311">
        <f>IFERROR(__xludf.DUMMYFUNCTION("""COMPUTED_VALUE"""),0.40770833333333334)</f>
        <v>0.4077083333</v>
      </c>
      <c r="K1097" s="54"/>
      <c r="L1097" s="7"/>
      <c r="M1097" s="312"/>
      <c r="N1097" s="172">
        <f>IFERROR(__xludf.DUMMYFUNCTION("""COMPUTED_VALUE"""),2.0)</f>
        <v>2</v>
      </c>
      <c r="O1097" s="172"/>
      <c r="P1097" s="313">
        <f>IFERROR(__xludf.DUMMYFUNCTION("""COMPUTED_VALUE"""),0.0)</f>
        <v>0</v>
      </c>
      <c r="Q1097" s="76" t="b">
        <f>VLOOKUP($B1097,'Run Reconcile'!B$2:O1399,14,FALSE)</f>
        <v>1</v>
      </c>
      <c r="R1097" s="314" t="str">
        <f t="array" ref="R1097">IF($Q1097, INDEX('Run Reconcile'!A$2:A1399,MATCH(B1097,'Run Reconcile'!B$2:B1399,0),1),IFERROR(0/0,""))</f>
        <v>RUN-ABRM_2023-04-03_RFR-200</v>
      </c>
      <c r="S1097" s="315" t="str">
        <f t="shared" ref="S1097:T1097" si="2103">IF(COUNTIF(W$2:W1399, $A1097) &gt; 0,TRUE,IFERROR(0/0,""))</f>
        <v/>
      </c>
      <c r="T1097" s="315" t="str">
        <f t="shared" si="2103"/>
        <v/>
      </c>
      <c r="U1097" s="114" t="str">
        <f t="array" ref="U1097">IF(ISBLANK($R1097), INDEX('Run Reconcile'!A$2:A1399, MATCH($B1097, 'Run Reconcile'!B$2:B1399, 0)+Z1097, 1), IFERROR(0/0,""))
</f>
        <v/>
      </c>
      <c r="V1097" s="316" t="str">
        <f t="shared" si="1281"/>
        <v>RUN-ABRM_2023-04-03_RFR-200</v>
      </c>
      <c r="Y1097" s="317" t="str">
        <f t="shared" si="6"/>
        <v/>
      </c>
      <c r="Z1097" s="83" t="str">
        <f t="shared" si="7"/>
        <v/>
      </c>
      <c r="AA1097" s="83" t="str">
        <f t="shared" si="8"/>
        <v/>
      </c>
      <c r="AB1097" s="83" t="str">
        <f t="shared" si="9"/>
        <v/>
      </c>
      <c r="AC1097" s="18"/>
      <c r="AD1097" s="18"/>
      <c r="AE1097" s="43"/>
      <c r="AF1097" s="58" t="s">
        <v>165</v>
      </c>
      <c r="AG1097" s="55" t="str">
        <f t="shared" si="11"/>
        <v/>
      </c>
    </row>
    <row r="1098">
      <c r="A1098" s="7" t="str">
        <f>IFERROR(__xludf.DUMMYFUNCTION("""COMPUTED_VALUE"""),"AR1477")</f>
        <v>AR1477</v>
      </c>
      <c r="B1098" s="308">
        <f>IFERROR(__xludf.DUMMYFUNCTION("""COMPUTED_VALUE"""),45019.0)</f>
        <v>45019</v>
      </c>
      <c r="C1098" s="309">
        <f>IFERROR(__xludf.DUMMYFUNCTION("""COMPUTED_VALUE"""),0.261712962962963)</f>
        <v>0.261712963</v>
      </c>
      <c r="D1098" s="7" t="str">
        <f>IFERROR(__xludf.DUMMYFUNCTION("""COMPUTED_VALUE"""),"SpABRM581899")</f>
        <v>SpABRM581899</v>
      </c>
      <c r="E1098" s="310"/>
      <c r="F1098" s="310"/>
      <c r="G1098" s="310" t="str">
        <f>IFERROR(__xludf.DUMMYFUNCTION("""COMPUTED_VALUE"""),"Negative")</f>
        <v>Negative</v>
      </c>
      <c r="H1098" s="319" t="str">
        <f>IFERROR(__xludf.DUMMYFUNCTION("""COMPUTED_VALUE"""),"Negative")</f>
        <v>Negative</v>
      </c>
      <c r="I1098" s="308">
        <f>IFERROR(__xludf.DUMMYFUNCTION("""COMPUTED_VALUE"""),45019.0)</f>
        <v>45019</v>
      </c>
      <c r="J1098" s="311">
        <f>IFERROR(__xludf.DUMMYFUNCTION("""COMPUTED_VALUE"""),0.40770833333333334)</f>
        <v>0.4077083333</v>
      </c>
      <c r="K1098" s="54"/>
      <c r="L1098" s="7"/>
      <c r="M1098" s="312"/>
      <c r="N1098" s="172">
        <f>IFERROR(__xludf.DUMMYFUNCTION("""COMPUTED_VALUE"""),3.0)</f>
        <v>3</v>
      </c>
      <c r="O1098" s="172"/>
      <c r="P1098" s="313">
        <f>IFERROR(__xludf.DUMMYFUNCTION("""COMPUTED_VALUE"""),0.0)</f>
        <v>0</v>
      </c>
      <c r="Q1098" s="76" t="b">
        <f>VLOOKUP($B1098,'Run Reconcile'!B$2:O1399,14,FALSE)</f>
        <v>1</v>
      </c>
      <c r="R1098" s="314" t="str">
        <f t="array" ref="R1098">IF($Q1098, INDEX('Run Reconcile'!A$2:A1399,MATCH(B1098,'Run Reconcile'!B$2:B1399,0),1),IFERROR(0/0,""))</f>
        <v>RUN-ABRM_2023-04-03_RFR-200</v>
      </c>
      <c r="S1098" s="315" t="str">
        <f t="shared" ref="S1098:T1098" si="2104">IF(COUNTIF(W$2:W1399, $A1098) &gt; 0,TRUE,IFERROR(0/0,""))</f>
        <v/>
      </c>
      <c r="T1098" s="315" t="str">
        <f t="shared" si="2104"/>
        <v/>
      </c>
      <c r="U1098" s="114" t="str">
        <f t="array" ref="U1098">IF(ISBLANK($R1098), INDEX('Run Reconcile'!A$2:A1399, MATCH($B1098, 'Run Reconcile'!B$2:B1399, 0)+Z1098, 1), IFERROR(0/0,""))
</f>
        <v/>
      </c>
      <c r="V1098" s="316" t="str">
        <f t="shared" si="1281"/>
        <v>RUN-ABRM_2023-04-03_RFR-200</v>
      </c>
      <c r="Y1098" s="317" t="str">
        <f t="shared" si="6"/>
        <v/>
      </c>
      <c r="Z1098" s="83" t="str">
        <f t="shared" si="7"/>
        <v/>
      </c>
      <c r="AA1098" s="83" t="str">
        <f t="shared" si="8"/>
        <v/>
      </c>
      <c r="AB1098" s="83" t="str">
        <f t="shared" si="9"/>
        <v/>
      </c>
      <c r="AC1098" s="18"/>
      <c r="AD1098" s="18"/>
      <c r="AE1098" s="43"/>
      <c r="AF1098" s="58" t="s">
        <v>165</v>
      </c>
      <c r="AG1098" s="55" t="str">
        <f t="shared" si="11"/>
        <v/>
      </c>
    </row>
    <row r="1099">
      <c r="A1099" s="7" t="str">
        <f>IFERROR(__xludf.DUMMYFUNCTION("""COMPUTED_VALUE"""),"AR1001")</f>
        <v>AR1001</v>
      </c>
      <c r="B1099" s="308">
        <f>IFERROR(__xludf.DUMMYFUNCTION("""COMPUTED_VALUE"""),45019.0)</f>
        <v>45019</v>
      </c>
      <c r="C1099" s="309">
        <f>IFERROR(__xludf.DUMMYFUNCTION("""COMPUTED_VALUE"""),0.2814814814814815)</f>
        <v>0.2814814815</v>
      </c>
      <c r="D1099" s="7" t="str">
        <f>IFERROR(__xludf.DUMMYFUNCTION("""COMPUTED_VALUE"""),"SpABRM128250")</f>
        <v>SpABRM128250</v>
      </c>
      <c r="E1099" s="310"/>
      <c r="F1099" s="310"/>
      <c r="G1099" s="310" t="str">
        <f>IFERROR(__xludf.DUMMYFUNCTION("""COMPUTED_VALUE"""),"Negative")</f>
        <v>Negative</v>
      </c>
      <c r="H1099" s="319" t="str">
        <f>IFERROR(__xludf.DUMMYFUNCTION("""COMPUTED_VALUE"""),"Negative")</f>
        <v>Negative</v>
      </c>
      <c r="I1099" s="308">
        <f>IFERROR(__xludf.DUMMYFUNCTION("""COMPUTED_VALUE"""),45019.0)</f>
        <v>45019</v>
      </c>
      <c r="J1099" s="311">
        <f>IFERROR(__xludf.DUMMYFUNCTION("""COMPUTED_VALUE"""),0.40770833333333334)</f>
        <v>0.4077083333</v>
      </c>
      <c r="K1099" s="54"/>
      <c r="L1099" s="7"/>
      <c r="M1099" s="312"/>
      <c r="N1099" s="172">
        <f>IFERROR(__xludf.DUMMYFUNCTION("""COMPUTED_VALUE"""),3.0)</f>
        <v>3</v>
      </c>
      <c r="O1099" s="172"/>
      <c r="P1099" s="313">
        <f>IFERROR(__xludf.DUMMYFUNCTION("""COMPUTED_VALUE"""),0.0)</f>
        <v>0</v>
      </c>
      <c r="Q1099" s="76" t="b">
        <f>VLOOKUP($B1099,'Run Reconcile'!B$2:O1399,14,FALSE)</f>
        <v>1</v>
      </c>
      <c r="R1099" s="314" t="str">
        <f t="array" ref="R1099">IF($Q1099, INDEX('Run Reconcile'!A$2:A1399,MATCH(B1099,'Run Reconcile'!B$2:B1399,0),1),IFERROR(0/0,""))</f>
        <v>RUN-ABRM_2023-04-03_RFR-200</v>
      </c>
      <c r="S1099" s="315" t="str">
        <f t="shared" ref="S1099:T1099" si="2105">IF(COUNTIF(W$2:W1399, $A1099) &gt; 0,TRUE,IFERROR(0/0,""))</f>
        <v/>
      </c>
      <c r="T1099" s="315" t="str">
        <f t="shared" si="2105"/>
        <v/>
      </c>
      <c r="U1099" s="114" t="str">
        <f t="array" ref="U1099">IF(ISBLANK($R1099), INDEX('Run Reconcile'!A$2:A1399, MATCH($B1099, 'Run Reconcile'!B$2:B1399, 0)+Z1099, 1), IFERROR(0/0,""))
</f>
        <v/>
      </c>
      <c r="V1099" s="316" t="str">
        <f t="shared" si="1281"/>
        <v>RUN-ABRM_2023-04-03_RFR-200</v>
      </c>
      <c r="Y1099" s="317" t="str">
        <f t="shared" si="6"/>
        <v/>
      </c>
      <c r="Z1099" s="83" t="str">
        <f t="shared" si="7"/>
        <v/>
      </c>
      <c r="AA1099" s="83" t="str">
        <f t="shared" si="8"/>
        <v/>
      </c>
      <c r="AB1099" s="83" t="str">
        <f t="shared" si="9"/>
        <v/>
      </c>
      <c r="AC1099" s="18"/>
      <c r="AD1099" s="18"/>
      <c r="AE1099" s="43"/>
      <c r="AF1099" s="58" t="s">
        <v>165</v>
      </c>
      <c r="AG1099" s="55" t="str">
        <f t="shared" si="11"/>
        <v/>
      </c>
    </row>
    <row r="1100">
      <c r="A1100" s="7" t="str">
        <f>IFERROR(__xludf.DUMMYFUNCTION("""COMPUTED_VALUE"""),"AR1971")</f>
        <v>AR1971</v>
      </c>
      <c r="B1100" s="308">
        <f>IFERROR(__xludf.DUMMYFUNCTION("""COMPUTED_VALUE"""),45019.0)</f>
        <v>45019</v>
      </c>
      <c r="C1100" s="309">
        <f>IFERROR(__xludf.DUMMYFUNCTION("""COMPUTED_VALUE"""),0.3045717592592593)</f>
        <v>0.3045717593</v>
      </c>
      <c r="D1100" s="7" t="str">
        <f>IFERROR(__xludf.DUMMYFUNCTION("""COMPUTED_VALUE"""),"SpABRM519188")</f>
        <v>SpABRM519188</v>
      </c>
      <c r="E1100" s="310"/>
      <c r="F1100" s="310"/>
      <c r="G1100" s="310" t="str">
        <f>IFERROR(__xludf.DUMMYFUNCTION("""COMPUTED_VALUE"""),"Negative")</f>
        <v>Negative</v>
      </c>
      <c r="H1100" s="319" t="str">
        <f>IFERROR(__xludf.DUMMYFUNCTION("""COMPUTED_VALUE"""),"Negative")</f>
        <v>Negative</v>
      </c>
      <c r="I1100" s="308">
        <f>IFERROR(__xludf.DUMMYFUNCTION("""COMPUTED_VALUE"""),45019.0)</f>
        <v>45019</v>
      </c>
      <c r="J1100" s="311">
        <f>IFERROR(__xludf.DUMMYFUNCTION("""COMPUTED_VALUE"""),0.40771990740740743)</f>
        <v>0.4077199074</v>
      </c>
      <c r="K1100" s="54"/>
      <c r="L1100" s="7"/>
      <c r="M1100" s="312"/>
      <c r="N1100" s="172">
        <f>IFERROR(__xludf.DUMMYFUNCTION("""COMPUTED_VALUE"""),1.0)</f>
        <v>1</v>
      </c>
      <c r="O1100" s="172"/>
      <c r="P1100" s="313">
        <f>IFERROR(__xludf.DUMMYFUNCTION("""COMPUTED_VALUE"""),0.0)</f>
        <v>0</v>
      </c>
      <c r="Q1100" s="76" t="b">
        <f>VLOOKUP($B1100,'Run Reconcile'!B$2:O1399,14,FALSE)</f>
        <v>1</v>
      </c>
      <c r="R1100" s="314" t="str">
        <f t="array" ref="R1100">IF($Q1100, INDEX('Run Reconcile'!A$2:A1399,MATCH(B1100,'Run Reconcile'!B$2:B1399,0),1),IFERROR(0/0,""))</f>
        <v>RUN-ABRM_2023-04-03_RFR-200</v>
      </c>
      <c r="S1100" s="315" t="str">
        <f t="shared" ref="S1100:T1100" si="2106">IF(COUNTIF(W$2:W1399, $A1100) &gt; 0,TRUE,IFERROR(0/0,""))</f>
        <v/>
      </c>
      <c r="T1100" s="315" t="str">
        <f t="shared" si="2106"/>
        <v/>
      </c>
      <c r="U1100" s="114" t="str">
        <f t="array" ref="U1100">IF(ISBLANK($R1100), INDEX('Run Reconcile'!A$2:A1399, MATCH($B1100, 'Run Reconcile'!B$2:B1399, 0)+Z1100, 1), IFERROR(0/0,""))
</f>
        <v/>
      </c>
      <c r="V1100" s="316" t="str">
        <f t="shared" si="1281"/>
        <v>RUN-ABRM_2023-04-03_RFR-200</v>
      </c>
      <c r="Y1100" s="317" t="str">
        <f t="shared" si="6"/>
        <v/>
      </c>
      <c r="Z1100" s="83" t="str">
        <f t="shared" si="7"/>
        <v/>
      </c>
      <c r="AA1100" s="83" t="str">
        <f t="shared" si="8"/>
        <v/>
      </c>
      <c r="AB1100" s="83" t="str">
        <f t="shared" si="9"/>
        <v/>
      </c>
      <c r="AC1100" s="18"/>
      <c r="AD1100" s="18"/>
      <c r="AE1100" s="43"/>
      <c r="AF1100" s="58" t="s">
        <v>165</v>
      </c>
      <c r="AG1100" s="55" t="str">
        <f t="shared" si="11"/>
        <v/>
      </c>
    </row>
    <row r="1101">
      <c r="A1101" s="7" t="str">
        <f>IFERROR(__xludf.DUMMYFUNCTION("""COMPUTED_VALUE"""),"AR189")</f>
        <v>AR189</v>
      </c>
      <c r="B1101" s="308">
        <f>IFERROR(__xludf.DUMMYFUNCTION("""COMPUTED_VALUE"""),45019.0)</f>
        <v>45019</v>
      </c>
      <c r="C1101" s="309">
        <f>IFERROR(__xludf.DUMMYFUNCTION("""COMPUTED_VALUE"""),0.3290046296296296)</f>
        <v>0.3290046296</v>
      </c>
      <c r="D1101" s="7" t="str">
        <f>IFERROR(__xludf.DUMMYFUNCTION("""COMPUTED_VALUE"""),"SpABRM841252")</f>
        <v>SpABRM841252</v>
      </c>
      <c r="E1101" s="310"/>
      <c r="F1101" s="310"/>
      <c r="G1101" s="310" t="str">
        <f>IFERROR(__xludf.DUMMYFUNCTION("""COMPUTED_VALUE"""),"Negative")</f>
        <v>Negative</v>
      </c>
      <c r="H1101" s="319" t="str">
        <f>IFERROR(__xludf.DUMMYFUNCTION("""COMPUTED_VALUE"""),"Negative")</f>
        <v>Negative</v>
      </c>
      <c r="I1101" s="308">
        <f>IFERROR(__xludf.DUMMYFUNCTION("""COMPUTED_VALUE"""),45019.0)</f>
        <v>45019</v>
      </c>
      <c r="J1101" s="311">
        <f>IFERROR(__xludf.DUMMYFUNCTION("""COMPUTED_VALUE"""),0.40771990740740743)</f>
        <v>0.4077199074</v>
      </c>
      <c r="K1101" s="54"/>
      <c r="L1101" s="7"/>
      <c r="M1101" s="312"/>
      <c r="N1101" s="172">
        <f>IFERROR(__xludf.DUMMYFUNCTION("""COMPUTED_VALUE"""),1.0)</f>
        <v>1</v>
      </c>
      <c r="O1101" s="172"/>
      <c r="P1101" s="313">
        <f>IFERROR(__xludf.DUMMYFUNCTION("""COMPUTED_VALUE"""),0.0)</f>
        <v>0</v>
      </c>
      <c r="Q1101" s="76" t="b">
        <f>VLOOKUP($B1101,'Run Reconcile'!B$2:O1399,14,FALSE)</f>
        <v>1</v>
      </c>
      <c r="R1101" s="314" t="str">
        <f t="array" ref="R1101">IF($Q1101, INDEX('Run Reconcile'!A$2:A1399,MATCH(B1101,'Run Reconcile'!B$2:B1399,0),1),IFERROR(0/0,""))</f>
        <v>RUN-ABRM_2023-04-03_RFR-200</v>
      </c>
      <c r="S1101" s="315" t="str">
        <f t="shared" ref="S1101:T1101" si="2107">IF(COUNTIF(W$2:W1399, $A1101) &gt; 0,TRUE,IFERROR(0/0,""))</f>
        <v/>
      </c>
      <c r="T1101" s="315" t="str">
        <f t="shared" si="2107"/>
        <v/>
      </c>
      <c r="U1101" s="114" t="str">
        <f t="array" ref="U1101">IF(ISBLANK($R1101), INDEX('Run Reconcile'!A$2:A1399, MATCH($B1101, 'Run Reconcile'!B$2:B1399, 0)+Z1101, 1), IFERROR(0/0,""))
</f>
        <v/>
      </c>
      <c r="V1101" s="316" t="str">
        <f t="shared" si="1281"/>
        <v>RUN-ABRM_2023-04-03_RFR-200</v>
      </c>
      <c r="Y1101" s="317" t="str">
        <f t="shared" si="6"/>
        <v/>
      </c>
      <c r="Z1101" s="83" t="str">
        <f t="shared" si="7"/>
        <v/>
      </c>
      <c r="AA1101" s="83" t="str">
        <f t="shared" si="8"/>
        <v/>
      </c>
      <c r="AB1101" s="83" t="str">
        <f t="shared" si="9"/>
        <v/>
      </c>
      <c r="AC1101" s="18"/>
      <c r="AD1101" s="18"/>
      <c r="AE1101" s="43"/>
      <c r="AF1101" s="58" t="s">
        <v>165</v>
      </c>
      <c r="AG1101" s="55" t="str">
        <f t="shared" si="11"/>
        <v/>
      </c>
    </row>
    <row r="1102">
      <c r="A1102" s="7" t="str">
        <f>IFERROR(__xludf.DUMMYFUNCTION("""COMPUTED_VALUE"""),"AR1648")</f>
        <v>AR1648</v>
      </c>
      <c r="B1102" s="308">
        <f>IFERROR(__xludf.DUMMYFUNCTION("""COMPUTED_VALUE"""),45019.0)</f>
        <v>45019</v>
      </c>
      <c r="C1102" s="309">
        <f>IFERROR(__xludf.DUMMYFUNCTION("""COMPUTED_VALUE"""),0.3443865740740741)</f>
        <v>0.3443865741</v>
      </c>
      <c r="D1102" s="7" t="str">
        <f>IFERROR(__xludf.DUMMYFUNCTION("""COMPUTED_VALUE"""),"SpABRM841252")</f>
        <v>SpABRM841252</v>
      </c>
      <c r="E1102" s="310"/>
      <c r="F1102" s="310"/>
      <c r="G1102" s="310" t="str">
        <f>IFERROR(__xludf.DUMMYFUNCTION("""COMPUTED_VALUE"""),"Negative")</f>
        <v>Negative</v>
      </c>
      <c r="H1102" s="319" t="str">
        <f>IFERROR(__xludf.DUMMYFUNCTION("""COMPUTED_VALUE"""),"Negative")</f>
        <v>Negative</v>
      </c>
      <c r="I1102" s="308">
        <f>IFERROR(__xludf.DUMMYFUNCTION("""COMPUTED_VALUE"""),45019.0)</f>
        <v>45019</v>
      </c>
      <c r="J1102" s="311">
        <f>IFERROR(__xludf.DUMMYFUNCTION("""COMPUTED_VALUE"""),0.40771990740740743)</f>
        <v>0.4077199074</v>
      </c>
      <c r="K1102" s="54"/>
      <c r="L1102" s="7"/>
      <c r="M1102" s="312"/>
      <c r="N1102" s="172">
        <f>IFERROR(__xludf.DUMMYFUNCTION("""COMPUTED_VALUE"""),4.0)</f>
        <v>4</v>
      </c>
      <c r="O1102" s="172"/>
      <c r="P1102" s="313">
        <f>IFERROR(__xludf.DUMMYFUNCTION("""COMPUTED_VALUE"""),0.0)</f>
        <v>0</v>
      </c>
      <c r="Q1102" s="76" t="b">
        <f>VLOOKUP($B1102,'Run Reconcile'!B$2:O1399,14,FALSE)</f>
        <v>1</v>
      </c>
      <c r="R1102" s="314" t="str">
        <f t="array" ref="R1102">IF($Q1102, INDEX('Run Reconcile'!A$2:A1399,MATCH(B1102,'Run Reconcile'!B$2:B1399,0),1),IFERROR(0/0,""))</f>
        <v>RUN-ABRM_2023-04-03_RFR-200</v>
      </c>
      <c r="S1102" s="315" t="str">
        <f t="shared" ref="S1102:T1102" si="2108">IF(COUNTIF(W$2:W1399, $A1102) &gt; 0,TRUE,IFERROR(0/0,""))</f>
        <v/>
      </c>
      <c r="T1102" s="315" t="str">
        <f t="shared" si="2108"/>
        <v/>
      </c>
      <c r="U1102" s="114" t="str">
        <f t="array" ref="U1102">IF(ISBLANK($R1102), INDEX('Run Reconcile'!A$2:A1399, MATCH($B1102, 'Run Reconcile'!B$2:B1399, 0)+Z1102, 1), IFERROR(0/0,""))
</f>
        <v/>
      </c>
      <c r="V1102" s="316" t="str">
        <f t="shared" si="1281"/>
        <v>RUN-ABRM_2023-04-03_RFR-200</v>
      </c>
      <c r="Y1102" s="317" t="str">
        <f t="shared" si="6"/>
        <v/>
      </c>
      <c r="Z1102" s="83" t="str">
        <f t="shared" si="7"/>
        <v/>
      </c>
      <c r="AA1102" s="83" t="str">
        <f t="shared" si="8"/>
        <v/>
      </c>
      <c r="AB1102" s="83" t="str">
        <f t="shared" si="9"/>
        <v/>
      </c>
      <c r="AC1102" s="18"/>
      <c r="AD1102" s="18"/>
      <c r="AE1102" s="43"/>
      <c r="AF1102" s="58" t="s">
        <v>165</v>
      </c>
      <c r="AG1102" s="55" t="str">
        <f t="shared" si="11"/>
        <v/>
      </c>
    </row>
    <row r="1103">
      <c r="A1103" s="7" t="str">
        <f>IFERROR(__xludf.DUMMYFUNCTION("""COMPUTED_VALUE"""),"AR1496")</f>
        <v>AR1496</v>
      </c>
      <c r="B1103" s="308">
        <f>IFERROR(__xludf.DUMMYFUNCTION("""COMPUTED_VALUE"""),45020.0)</f>
        <v>45020</v>
      </c>
      <c r="C1103" s="309">
        <f>IFERROR(__xludf.DUMMYFUNCTION("""COMPUTED_VALUE"""),0.2087152777777778)</f>
        <v>0.2087152778</v>
      </c>
      <c r="D1103" s="7" t="str">
        <f>IFERROR(__xludf.DUMMYFUNCTION("""COMPUTED_VALUE"""),"SpABRM454310")</f>
        <v>SpABRM454310</v>
      </c>
      <c r="E1103" s="310"/>
      <c r="F1103" s="310"/>
      <c r="G1103" s="310" t="str">
        <f>IFERROR(__xludf.DUMMYFUNCTION("""COMPUTED_VALUE"""),"Negative")</f>
        <v>Negative</v>
      </c>
      <c r="H1103" s="319" t="str">
        <f>IFERROR(__xludf.DUMMYFUNCTION("""COMPUTED_VALUE"""),"Negative")</f>
        <v>Negative</v>
      </c>
      <c r="I1103" s="308">
        <f>IFERROR(__xludf.DUMMYFUNCTION("""COMPUTED_VALUE"""),45020.0)</f>
        <v>45020</v>
      </c>
      <c r="J1103" s="311">
        <f>IFERROR(__xludf.DUMMYFUNCTION("""COMPUTED_VALUE"""),0.4347685185185185)</f>
        <v>0.4347685185</v>
      </c>
      <c r="K1103" s="54"/>
      <c r="L1103" s="7"/>
      <c r="M1103" s="312"/>
      <c r="N1103" s="172">
        <f>IFERROR(__xludf.DUMMYFUNCTION("""COMPUTED_VALUE"""),3.0)</f>
        <v>3</v>
      </c>
      <c r="O1103" s="172"/>
      <c r="P1103" s="313">
        <f>IFERROR(__xludf.DUMMYFUNCTION("""COMPUTED_VALUE"""),0.0)</f>
        <v>0</v>
      </c>
      <c r="Q1103" s="76" t="b">
        <f>VLOOKUP($B1103,'Run Reconcile'!B$2:O1399,14,FALSE)</f>
        <v>1</v>
      </c>
      <c r="R1103" s="314" t="str">
        <f t="array" ref="R1103">IF($Q1103, INDEX('Run Reconcile'!A$2:A1399,MATCH(B1103,'Run Reconcile'!B$2:B1399,0),1),IFERROR(0/0,""))</f>
        <v>RUN-ABRM_2023-04-04_RFR-201</v>
      </c>
      <c r="S1103" s="315" t="str">
        <f t="shared" ref="S1103:T1103" si="2109">IF(COUNTIF(W$2:W1399, $A1103) &gt; 0,TRUE,IFERROR(0/0,""))</f>
        <v/>
      </c>
      <c r="T1103" s="315" t="str">
        <f t="shared" si="2109"/>
        <v/>
      </c>
      <c r="U1103" s="114" t="str">
        <f t="array" ref="U1103">IF(ISBLANK($R1103), INDEX('Run Reconcile'!A$2:A1399, MATCH($B1103, 'Run Reconcile'!B$2:B1399, 0)+Z1103, 1), IFERROR(0/0,""))
</f>
        <v/>
      </c>
      <c r="V1103" s="316" t="str">
        <f t="shared" si="1281"/>
        <v>RUN-ABRM_2023-04-04_RFR-201</v>
      </c>
      <c r="Y1103" s="317" t="str">
        <f t="shared" si="6"/>
        <v/>
      </c>
      <c r="Z1103" s="83" t="str">
        <f t="shared" si="7"/>
        <v/>
      </c>
      <c r="AA1103" s="83" t="str">
        <f t="shared" si="8"/>
        <v/>
      </c>
      <c r="AB1103" s="83" t="str">
        <f t="shared" si="9"/>
        <v/>
      </c>
      <c r="AC1103" s="18"/>
      <c r="AD1103" s="18"/>
      <c r="AE1103" s="43"/>
      <c r="AF1103" s="58" t="s">
        <v>166</v>
      </c>
      <c r="AG1103" s="55" t="str">
        <f t="shared" si="11"/>
        <v/>
      </c>
    </row>
    <row r="1104">
      <c r="A1104" s="7" t="str">
        <f>IFERROR(__xludf.DUMMYFUNCTION("""COMPUTED_VALUE"""),"AR323")</f>
        <v>AR323</v>
      </c>
      <c r="B1104" s="308">
        <f>IFERROR(__xludf.DUMMYFUNCTION("""COMPUTED_VALUE"""),45020.0)</f>
        <v>45020</v>
      </c>
      <c r="C1104" s="309">
        <f>IFERROR(__xludf.DUMMYFUNCTION("""COMPUTED_VALUE"""),0.27922453703703703)</f>
        <v>0.279224537</v>
      </c>
      <c r="D1104" s="7" t="str">
        <f>IFERROR(__xludf.DUMMYFUNCTION("""COMPUTED_VALUE"""),"SpABRM581899")</f>
        <v>SpABRM581899</v>
      </c>
      <c r="E1104" s="310"/>
      <c r="F1104" s="310"/>
      <c r="G1104" s="310" t="str">
        <f>IFERROR(__xludf.DUMMYFUNCTION("""COMPUTED_VALUE"""),"Null")</f>
        <v>Null</v>
      </c>
      <c r="H1104" s="319" t="str">
        <f>IFERROR(__xludf.DUMMYFUNCTION("""COMPUTED_VALUE"""),"Negative")</f>
        <v>Negative</v>
      </c>
      <c r="I1104" s="319"/>
      <c r="J1104" s="54"/>
      <c r="K1104" s="54">
        <f>IFERROR(__xludf.DUMMYFUNCTION("""COMPUTED_VALUE"""),2.0)</f>
        <v>2</v>
      </c>
      <c r="L1104" s="7"/>
      <c r="M1104" s="312"/>
      <c r="N1104" s="172">
        <f>IFERROR(__xludf.DUMMYFUNCTION("""COMPUTED_VALUE"""),3.0)</f>
        <v>3</v>
      </c>
      <c r="O1104" s="172"/>
      <c r="P1104" s="313">
        <f>IFERROR(__xludf.DUMMYFUNCTION("""COMPUTED_VALUE"""),-1.0)</f>
        <v>-1</v>
      </c>
      <c r="Q1104" s="76" t="b">
        <f>VLOOKUP($B1104,'Run Reconcile'!B$2:O1399,14,FALSE)</f>
        <v>1</v>
      </c>
      <c r="R1104" s="314" t="str">
        <f t="array" ref="R1104">IF($Q1104, INDEX('Run Reconcile'!A$2:A1399,MATCH(B1104,'Run Reconcile'!B$2:B1399,0),1),IFERROR(0/0,""))</f>
        <v>RUN-ABRM_2023-04-04_RFR-201</v>
      </c>
      <c r="S1104" s="315" t="str">
        <f t="shared" ref="S1104:T1104" si="2110">IF(COUNTIF(W$2:W1399, $A1104) &gt; 0,TRUE,IFERROR(0/0,""))</f>
        <v/>
      </c>
      <c r="T1104" s="315" t="str">
        <f t="shared" si="2110"/>
        <v/>
      </c>
      <c r="U1104" s="114" t="str">
        <f t="array" ref="U1104">IF(ISBLANK($R1104), INDEX('Run Reconcile'!A$2:A1399, MATCH($B1104, 'Run Reconcile'!B$2:B1399, 0)+Z1104, 1), IFERROR(0/0,""))
</f>
        <v/>
      </c>
      <c r="V1104" s="316" t="str">
        <f t="shared" si="1281"/>
        <v>RUN-ABRM_2023-04-04_RFR-201</v>
      </c>
      <c r="Y1104" s="317" t="str">
        <f t="shared" si="6"/>
        <v/>
      </c>
      <c r="Z1104" s="83" t="str">
        <f t="shared" si="7"/>
        <v/>
      </c>
      <c r="AA1104" s="83" t="str">
        <f t="shared" si="8"/>
        <v/>
      </c>
      <c r="AB1104" s="83" t="str">
        <f t="shared" si="9"/>
        <v/>
      </c>
      <c r="AC1104" s="18"/>
      <c r="AD1104" s="18"/>
      <c r="AE1104" s="43"/>
      <c r="AF1104" s="58" t="s">
        <v>166</v>
      </c>
      <c r="AG1104" s="55" t="str">
        <f t="shared" si="11"/>
        <v/>
      </c>
    </row>
    <row r="1105">
      <c r="A1105" s="7" t="str">
        <f>IFERROR(__xludf.DUMMYFUNCTION("""COMPUTED_VALUE"""),"AR1771")</f>
        <v>AR1771</v>
      </c>
      <c r="B1105" s="308">
        <f>IFERROR(__xludf.DUMMYFUNCTION("""COMPUTED_VALUE"""),45020.0)</f>
        <v>45020</v>
      </c>
      <c r="C1105" s="309">
        <f>IFERROR(__xludf.DUMMYFUNCTION("""COMPUTED_VALUE"""),0.287337962962963)</f>
        <v>0.287337963</v>
      </c>
      <c r="D1105" s="7" t="str">
        <f>IFERROR(__xludf.DUMMYFUNCTION("""COMPUTED_VALUE"""),"SpABRM128250")</f>
        <v>SpABRM128250</v>
      </c>
      <c r="E1105" s="310"/>
      <c r="F1105" s="310"/>
      <c r="G1105" s="310" t="str">
        <f>IFERROR(__xludf.DUMMYFUNCTION("""COMPUTED_VALUE"""),"Negative")</f>
        <v>Negative</v>
      </c>
      <c r="H1105" s="319" t="str">
        <f>IFERROR(__xludf.DUMMYFUNCTION("""COMPUTED_VALUE"""),"Negative")</f>
        <v>Negative</v>
      </c>
      <c r="I1105" s="308">
        <f>IFERROR(__xludf.DUMMYFUNCTION("""COMPUTED_VALUE"""),45020.0)</f>
        <v>45020</v>
      </c>
      <c r="J1105" s="311">
        <f>IFERROR(__xludf.DUMMYFUNCTION("""COMPUTED_VALUE"""),0.4347685185185185)</f>
        <v>0.4347685185</v>
      </c>
      <c r="K1105" s="54"/>
      <c r="L1105" s="7"/>
      <c r="M1105" s="312"/>
      <c r="N1105" s="172">
        <f>IFERROR(__xludf.DUMMYFUNCTION("""COMPUTED_VALUE"""),3.0)</f>
        <v>3</v>
      </c>
      <c r="O1105" s="172"/>
      <c r="P1105" s="313">
        <f>IFERROR(__xludf.DUMMYFUNCTION("""COMPUTED_VALUE"""),0.0)</f>
        <v>0</v>
      </c>
      <c r="Q1105" s="76" t="b">
        <f>VLOOKUP($B1105,'Run Reconcile'!B$2:O1399,14,FALSE)</f>
        <v>1</v>
      </c>
      <c r="R1105" s="314" t="str">
        <f t="array" ref="R1105">IF($Q1105, INDEX('Run Reconcile'!A$2:A1399,MATCH(B1105,'Run Reconcile'!B$2:B1399,0),1),IFERROR(0/0,""))</f>
        <v>RUN-ABRM_2023-04-04_RFR-201</v>
      </c>
      <c r="S1105" s="315" t="str">
        <f t="shared" ref="S1105:T1105" si="2111">IF(COUNTIF(W$2:W1399, $A1105) &gt; 0,TRUE,IFERROR(0/0,""))</f>
        <v/>
      </c>
      <c r="T1105" s="315" t="str">
        <f t="shared" si="2111"/>
        <v/>
      </c>
      <c r="U1105" s="114" t="str">
        <f t="array" ref="U1105">IF(ISBLANK($R1105), INDEX('Run Reconcile'!A$2:A1399, MATCH($B1105, 'Run Reconcile'!B$2:B1399, 0)+Z1105, 1), IFERROR(0/0,""))
</f>
        <v/>
      </c>
      <c r="V1105" s="316" t="str">
        <f t="shared" si="1281"/>
        <v>RUN-ABRM_2023-04-04_RFR-201</v>
      </c>
      <c r="Y1105" s="317" t="str">
        <f t="shared" si="6"/>
        <v/>
      </c>
      <c r="Z1105" s="83" t="str">
        <f t="shared" si="7"/>
        <v/>
      </c>
      <c r="AA1105" s="83" t="str">
        <f t="shared" si="8"/>
        <v/>
      </c>
      <c r="AB1105" s="83" t="str">
        <f t="shared" si="9"/>
        <v/>
      </c>
      <c r="AC1105" s="18"/>
      <c r="AD1105" s="18"/>
      <c r="AE1105" s="43"/>
      <c r="AF1105" s="58" t="s">
        <v>166</v>
      </c>
      <c r="AG1105" s="55" t="str">
        <f t="shared" si="11"/>
        <v/>
      </c>
    </row>
    <row r="1106">
      <c r="A1106" s="7" t="str">
        <f>IFERROR(__xludf.DUMMYFUNCTION("""COMPUTED_VALUE"""),"AR597")</f>
        <v>AR597</v>
      </c>
      <c r="B1106" s="308">
        <f>IFERROR(__xludf.DUMMYFUNCTION("""COMPUTED_VALUE"""),45020.0)</f>
        <v>45020</v>
      </c>
      <c r="C1106" s="309">
        <f>IFERROR(__xludf.DUMMYFUNCTION("""COMPUTED_VALUE"""),0.2883912037037037)</f>
        <v>0.2883912037</v>
      </c>
      <c r="D1106" s="7" t="str">
        <f>IFERROR(__xludf.DUMMYFUNCTION("""COMPUTED_VALUE"""),"SpABRM655136")</f>
        <v>SpABRM655136</v>
      </c>
      <c r="E1106" s="310"/>
      <c r="F1106" s="310"/>
      <c r="G1106" s="310" t="str">
        <f>IFERROR(__xludf.DUMMYFUNCTION("""COMPUTED_VALUE"""),"Negative")</f>
        <v>Negative</v>
      </c>
      <c r="H1106" s="319" t="str">
        <f>IFERROR(__xludf.DUMMYFUNCTION("""COMPUTED_VALUE"""),"Negative")</f>
        <v>Negative</v>
      </c>
      <c r="I1106" s="308">
        <f>IFERROR(__xludf.DUMMYFUNCTION("""COMPUTED_VALUE"""),45020.0)</f>
        <v>45020</v>
      </c>
      <c r="J1106" s="311">
        <f>IFERROR(__xludf.DUMMYFUNCTION("""COMPUTED_VALUE"""),0.4347685185185185)</f>
        <v>0.4347685185</v>
      </c>
      <c r="K1106" s="54"/>
      <c r="L1106" s="7"/>
      <c r="M1106" s="312"/>
      <c r="N1106" s="172">
        <f>IFERROR(__xludf.DUMMYFUNCTION("""COMPUTED_VALUE"""),2.0)</f>
        <v>2</v>
      </c>
      <c r="O1106" s="172"/>
      <c r="P1106" s="313">
        <f>IFERROR(__xludf.DUMMYFUNCTION("""COMPUTED_VALUE"""),0.0)</f>
        <v>0</v>
      </c>
      <c r="Q1106" s="76" t="b">
        <f>VLOOKUP($B1106,'Run Reconcile'!B$2:O1399,14,FALSE)</f>
        <v>1</v>
      </c>
      <c r="R1106" s="314" t="str">
        <f t="array" ref="R1106">IF($Q1106, INDEX('Run Reconcile'!A$2:A1399,MATCH(B1106,'Run Reconcile'!B$2:B1399,0),1),IFERROR(0/0,""))</f>
        <v>RUN-ABRM_2023-04-04_RFR-201</v>
      </c>
      <c r="S1106" s="315" t="str">
        <f t="shared" ref="S1106:T1106" si="2112">IF(COUNTIF(W$2:W1399, $A1106) &gt; 0,TRUE,IFERROR(0/0,""))</f>
        <v/>
      </c>
      <c r="T1106" s="315" t="str">
        <f t="shared" si="2112"/>
        <v/>
      </c>
      <c r="U1106" s="114" t="str">
        <f t="array" ref="U1106">IF(ISBLANK($R1106), INDEX('Run Reconcile'!A$2:A1399, MATCH($B1106, 'Run Reconcile'!B$2:B1399, 0)+Z1106, 1), IFERROR(0/0,""))
</f>
        <v/>
      </c>
      <c r="V1106" s="316" t="str">
        <f t="shared" si="1281"/>
        <v>RUN-ABRM_2023-04-04_RFR-201</v>
      </c>
      <c r="Y1106" s="317" t="str">
        <f t="shared" si="6"/>
        <v/>
      </c>
      <c r="Z1106" s="83" t="str">
        <f t="shared" si="7"/>
        <v/>
      </c>
      <c r="AA1106" s="83" t="str">
        <f t="shared" si="8"/>
        <v/>
      </c>
      <c r="AB1106" s="83" t="str">
        <f t="shared" si="9"/>
        <v/>
      </c>
      <c r="AC1106" s="18"/>
      <c r="AD1106" s="18"/>
      <c r="AE1106" s="43"/>
      <c r="AF1106" s="58" t="s">
        <v>166</v>
      </c>
      <c r="AG1106" s="55" t="str">
        <f t="shared" si="11"/>
        <v/>
      </c>
    </row>
    <row r="1107">
      <c r="A1107" s="7" t="str">
        <f>IFERROR(__xludf.DUMMYFUNCTION("""COMPUTED_VALUE"""),"AB9928")</f>
        <v>AB9928</v>
      </c>
      <c r="B1107" s="308">
        <f>IFERROR(__xludf.DUMMYFUNCTION("""COMPUTED_VALUE"""),45020.0)</f>
        <v>45020</v>
      </c>
      <c r="C1107" s="309">
        <f>IFERROR(__xludf.DUMMYFUNCTION("""COMPUTED_VALUE"""),0.2923263888888889)</f>
        <v>0.2923263889</v>
      </c>
      <c r="D1107" s="7" t="str">
        <f>IFERROR(__xludf.DUMMYFUNCTION("""COMPUTED_VALUE"""),"SpABRM519188")</f>
        <v>SpABRM519188</v>
      </c>
      <c r="E1107" s="310"/>
      <c r="F1107" s="310"/>
      <c r="G1107" s="310" t="str">
        <f>IFERROR(__xludf.DUMMYFUNCTION("""COMPUTED_VALUE"""),"Negative")</f>
        <v>Negative</v>
      </c>
      <c r="H1107" s="319" t="str">
        <f>IFERROR(__xludf.DUMMYFUNCTION("""COMPUTED_VALUE"""),"Negative")</f>
        <v>Negative</v>
      </c>
      <c r="I1107" s="308">
        <f>IFERROR(__xludf.DUMMYFUNCTION("""COMPUTED_VALUE"""),45020.0)</f>
        <v>45020</v>
      </c>
      <c r="J1107" s="311">
        <f>IFERROR(__xludf.DUMMYFUNCTION("""COMPUTED_VALUE"""),0.4347685185185185)</f>
        <v>0.4347685185</v>
      </c>
      <c r="K1107" s="54"/>
      <c r="L1107" s="7"/>
      <c r="M1107" s="312"/>
      <c r="N1107" s="172">
        <f>IFERROR(__xludf.DUMMYFUNCTION("""COMPUTED_VALUE"""),1.0)</f>
        <v>1</v>
      </c>
      <c r="O1107" s="172"/>
      <c r="P1107" s="313">
        <f>IFERROR(__xludf.DUMMYFUNCTION("""COMPUTED_VALUE"""),0.0)</f>
        <v>0</v>
      </c>
      <c r="Q1107" s="76" t="b">
        <f>VLOOKUP($B1107,'Run Reconcile'!B$2:O1399,14,FALSE)</f>
        <v>1</v>
      </c>
      <c r="R1107" s="314" t="str">
        <f t="array" ref="R1107">IF($Q1107, INDEX('Run Reconcile'!A$2:A1399,MATCH(B1107,'Run Reconcile'!B$2:B1399,0),1),IFERROR(0/0,""))</f>
        <v>RUN-ABRM_2023-04-04_RFR-201</v>
      </c>
      <c r="S1107" s="315" t="str">
        <f t="shared" ref="S1107:T1107" si="2113">IF(COUNTIF(W$2:W1399, $A1107) &gt; 0,TRUE,IFERROR(0/0,""))</f>
        <v/>
      </c>
      <c r="T1107" s="315" t="str">
        <f t="shared" si="2113"/>
        <v/>
      </c>
      <c r="U1107" s="114" t="str">
        <f t="array" ref="U1107">IF(ISBLANK($R1107), INDEX('Run Reconcile'!A$2:A1399, MATCH($B1107, 'Run Reconcile'!B$2:B1399, 0)+Z1107, 1), IFERROR(0/0,""))
</f>
        <v/>
      </c>
      <c r="V1107" s="316" t="str">
        <f t="shared" si="1281"/>
        <v>RUN-ABRM_2023-04-04_RFR-201</v>
      </c>
      <c r="Y1107" s="317" t="str">
        <f t="shared" si="6"/>
        <v/>
      </c>
      <c r="Z1107" s="83" t="str">
        <f t="shared" si="7"/>
        <v/>
      </c>
      <c r="AA1107" s="83" t="str">
        <f t="shared" si="8"/>
        <v/>
      </c>
      <c r="AB1107" s="83" t="str">
        <f t="shared" si="9"/>
        <v/>
      </c>
      <c r="AC1107" s="18"/>
      <c r="AD1107" s="18"/>
      <c r="AE1107" s="43"/>
      <c r="AF1107" s="58" t="s">
        <v>166</v>
      </c>
      <c r="AG1107" s="55" t="str">
        <f t="shared" si="11"/>
        <v/>
      </c>
    </row>
    <row r="1108">
      <c r="A1108" s="7" t="str">
        <f>IFERROR(__xludf.DUMMYFUNCTION("""COMPUTED_VALUE"""),"AR865")</f>
        <v>AR865</v>
      </c>
      <c r="B1108" s="308">
        <f>IFERROR(__xludf.DUMMYFUNCTION("""COMPUTED_VALUE"""),45020.0)</f>
        <v>45020</v>
      </c>
      <c r="C1108" s="309">
        <f>IFERROR(__xludf.DUMMYFUNCTION("""COMPUTED_VALUE"""),0.3262615740740741)</f>
        <v>0.3262615741</v>
      </c>
      <c r="D1108" s="7" t="str">
        <f>IFERROR(__xludf.DUMMYFUNCTION("""COMPUTED_VALUE"""),"SpABRM841252")</f>
        <v>SpABRM841252</v>
      </c>
      <c r="E1108" s="310"/>
      <c r="F1108" s="310"/>
      <c r="G1108" s="310" t="str">
        <f>IFERROR(__xludf.DUMMYFUNCTION("""COMPUTED_VALUE"""),"Negative")</f>
        <v>Negative</v>
      </c>
      <c r="H1108" s="319" t="str">
        <f>IFERROR(__xludf.DUMMYFUNCTION("""COMPUTED_VALUE"""),"Negative")</f>
        <v>Negative</v>
      </c>
      <c r="I1108" s="308">
        <f>IFERROR(__xludf.DUMMYFUNCTION("""COMPUTED_VALUE"""),45020.0)</f>
        <v>45020</v>
      </c>
      <c r="J1108" s="311">
        <f>IFERROR(__xludf.DUMMYFUNCTION("""COMPUTED_VALUE"""),0.4347800925925926)</f>
        <v>0.4347800926</v>
      </c>
      <c r="K1108" s="54"/>
      <c r="L1108" s="7"/>
      <c r="M1108" s="312"/>
      <c r="N1108" s="172">
        <f>IFERROR(__xludf.DUMMYFUNCTION("""COMPUTED_VALUE"""),1.0)</f>
        <v>1</v>
      </c>
      <c r="O1108" s="172"/>
      <c r="P1108" s="313">
        <f>IFERROR(__xludf.DUMMYFUNCTION("""COMPUTED_VALUE"""),0.0)</f>
        <v>0</v>
      </c>
      <c r="Q1108" s="76" t="b">
        <f>VLOOKUP($B1108,'Run Reconcile'!B$2:O1399,14,FALSE)</f>
        <v>1</v>
      </c>
      <c r="R1108" s="314" t="str">
        <f t="array" ref="R1108">IF($Q1108, INDEX('Run Reconcile'!A$2:A1399,MATCH(B1108,'Run Reconcile'!B$2:B1399,0),1),IFERROR(0/0,""))</f>
        <v>RUN-ABRM_2023-04-04_RFR-201</v>
      </c>
      <c r="S1108" s="315" t="str">
        <f t="shared" ref="S1108:T1108" si="2114">IF(COUNTIF(W$2:W1399, $A1108) &gt; 0,TRUE,IFERROR(0/0,""))</f>
        <v/>
      </c>
      <c r="T1108" s="315" t="str">
        <f t="shared" si="2114"/>
        <v/>
      </c>
      <c r="U1108" s="114" t="str">
        <f t="array" ref="U1108">IF(ISBLANK($R1108), INDEX('Run Reconcile'!A$2:A1399, MATCH($B1108, 'Run Reconcile'!B$2:B1399, 0)+Z1108, 1), IFERROR(0/0,""))
</f>
        <v/>
      </c>
      <c r="V1108" s="316" t="str">
        <f t="shared" si="1281"/>
        <v>RUN-ABRM_2023-04-04_RFR-201</v>
      </c>
      <c r="Y1108" s="317" t="str">
        <f t="shared" si="6"/>
        <v/>
      </c>
      <c r="Z1108" s="83" t="str">
        <f t="shared" si="7"/>
        <v/>
      </c>
      <c r="AA1108" s="83" t="str">
        <f t="shared" si="8"/>
        <v/>
      </c>
      <c r="AB1108" s="83" t="str">
        <f t="shared" si="9"/>
        <v/>
      </c>
      <c r="AC1108" s="18"/>
      <c r="AD1108" s="18"/>
      <c r="AE1108" s="43"/>
      <c r="AF1108" s="58" t="s">
        <v>166</v>
      </c>
      <c r="AG1108" s="55" t="str">
        <f t="shared" si="11"/>
        <v/>
      </c>
    </row>
    <row r="1109">
      <c r="A1109" s="7" t="str">
        <f>IFERROR(__xludf.DUMMYFUNCTION("""COMPUTED_VALUE"""),"AR1433")</f>
        <v>AR1433</v>
      </c>
      <c r="B1109" s="308">
        <f>IFERROR(__xludf.DUMMYFUNCTION("""COMPUTED_VALUE"""),45020.0)</f>
        <v>45020</v>
      </c>
      <c r="C1109" s="309">
        <f>IFERROR(__xludf.DUMMYFUNCTION("""COMPUTED_VALUE"""),0.3471412037037037)</f>
        <v>0.3471412037</v>
      </c>
      <c r="D1109" s="7" t="str">
        <f>IFERROR(__xludf.DUMMYFUNCTION("""COMPUTED_VALUE"""),"SpABRM841252")</f>
        <v>SpABRM841252</v>
      </c>
      <c r="E1109" s="310"/>
      <c r="F1109" s="310"/>
      <c r="G1109" s="310" t="str">
        <f>IFERROR(__xludf.DUMMYFUNCTION("""COMPUTED_VALUE"""),"Negative")</f>
        <v>Negative</v>
      </c>
      <c r="H1109" s="319" t="str">
        <f>IFERROR(__xludf.DUMMYFUNCTION("""COMPUTED_VALUE"""),"Negative")</f>
        <v>Negative</v>
      </c>
      <c r="I1109" s="308">
        <f>IFERROR(__xludf.DUMMYFUNCTION("""COMPUTED_VALUE"""),45020.0)</f>
        <v>45020</v>
      </c>
      <c r="J1109" s="311">
        <f>IFERROR(__xludf.DUMMYFUNCTION("""COMPUTED_VALUE"""),0.4347800925925926)</f>
        <v>0.4347800926</v>
      </c>
      <c r="K1109" s="54"/>
      <c r="L1109" s="7"/>
      <c r="M1109" s="312"/>
      <c r="N1109" s="172">
        <f>IFERROR(__xludf.DUMMYFUNCTION("""COMPUTED_VALUE"""),1.0)</f>
        <v>1</v>
      </c>
      <c r="O1109" s="172"/>
      <c r="P1109" s="313">
        <f>IFERROR(__xludf.DUMMYFUNCTION("""COMPUTED_VALUE"""),0.0)</f>
        <v>0</v>
      </c>
      <c r="Q1109" s="76" t="b">
        <f>VLOOKUP($B1109,'Run Reconcile'!B$2:O1399,14,FALSE)</f>
        <v>1</v>
      </c>
      <c r="R1109" s="314" t="str">
        <f t="array" ref="R1109">IF($Q1109, INDEX('Run Reconcile'!A$2:A1399,MATCH(B1109,'Run Reconcile'!B$2:B1399,0),1),IFERROR(0/0,""))</f>
        <v>RUN-ABRM_2023-04-04_RFR-201</v>
      </c>
      <c r="S1109" s="315" t="str">
        <f t="shared" ref="S1109:T1109" si="2115">IF(COUNTIF(W$2:W1399, $A1109) &gt; 0,TRUE,IFERROR(0/0,""))</f>
        <v/>
      </c>
      <c r="T1109" s="315" t="str">
        <f t="shared" si="2115"/>
        <v/>
      </c>
      <c r="U1109" s="114" t="str">
        <f t="array" ref="U1109">IF(ISBLANK($R1109), INDEX('Run Reconcile'!A$2:A1399, MATCH($B1109, 'Run Reconcile'!B$2:B1399, 0)+Z1109, 1), IFERROR(0/0,""))
</f>
        <v/>
      </c>
      <c r="V1109" s="316" t="str">
        <f t="shared" si="1281"/>
        <v>RUN-ABRM_2023-04-04_RFR-201</v>
      </c>
      <c r="Y1109" s="317" t="str">
        <f t="shared" si="6"/>
        <v/>
      </c>
      <c r="Z1109" s="83" t="str">
        <f t="shared" si="7"/>
        <v/>
      </c>
      <c r="AA1109" s="83" t="str">
        <f t="shared" si="8"/>
        <v/>
      </c>
      <c r="AB1109" s="83" t="str">
        <f t="shared" si="9"/>
        <v/>
      </c>
      <c r="AC1109" s="18"/>
      <c r="AD1109" s="18"/>
      <c r="AE1109" s="43"/>
      <c r="AF1109" s="58" t="s">
        <v>166</v>
      </c>
      <c r="AG1109" s="55" t="str">
        <f t="shared" si="11"/>
        <v/>
      </c>
    </row>
    <row r="1110">
      <c r="A1110" s="120" t="str">
        <f>IFERROR(__xludf.DUMMYFUNCTION("""COMPUTED_VALUE"""),"AR658")</f>
        <v>AR658</v>
      </c>
      <c r="B1110" s="320">
        <f>IFERROR(__xludf.DUMMYFUNCTION("""COMPUTED_VALUE"""),45021.0)</f>
        <v>45021</v>
      </c>
      <c r="C1110" s="321">
        <f>IFERROR(__xludf.DUMMYFUNCTION("""COMPUTED_VALUE"""),0.2846990740740741)</f>
        <v>0.2846990741</v>
      </c>
      <c r="D1110" s="120" t="str">
        <f>IFERROR(__xludf.DUMMYFUNCTION("""COMPUTED_VALUE"""),"SpABRM655136")</f>
        <v>SpABRM655136</v>
      </c>
      <c r="E1110" s="322"/>
      <c r="F1110" s="322"/>
      <c r="G1110" s="322" t="str">
        <f>IFERROR(__xludf.DUMMYFUNCTION("""COMPUTED_VALUE"""),"Negative")</f>
        <v>Negative</v>
      </c>
      <c r="H1110" s="323" t="str">
        <f>IFERROR(__xludf.DUMMYFUNCTION("""COMPUTED_VALUE"""),"Negative")</f>
        <v>Negative</v>
      </c>
      <c r="I1110" s="320">
        <f>IFERROR(__xludf.DUMMYFUNCTION("""COMPUTED_VALUE"""),45022.0)</f>
        <v>45022</v>
      </c>
      <c r="J1110" s="324">
        <f>IFERROR(__xludf.DUMMYFUNCTION("""COMPUTED_VALUE"""),0.4241898148148148)</f>
        <v>0.4241898148</v>
      </c>
      <c r="K1110" s="123"/>
      <c r="L1110" s="120"/>
      <c r="M1110" s="325"/>
      <c r="N1110" s="283">
        <f>IFERROR(__xludf.DUMMYFUNCTION("""COMPUTED_VALUE"""),2.0)</f>
        <v>2</v>
      </c>
      <c r="O1110" s="283"/>
      <c r="P1110" s="326">
        <f>IFERROR(__xludf.DUMMYFUNCTION("""COMPUTED_VALUE"""),1.0)</f>
        <v>1</v>
      </c>
      <c r="Q1110" s="293" t="str">
        <f>VLOOKUP($B1110,'Run Reconcile'!B$2:O1399,14,FALSE)</f>
        <v/>
      </c>
      <c r="R1110" s="327" t="str">
        <f t="array" ref="R1110">IF($Q1110, INDEX('Run Reconcile'!A$2:A1399,MATCH(B1110,'Run Reconcile'!B$2:B1399,0),1),IFERROR(0/0,""))</f>
        <v/>
      </c>
      <c r="S1110" s="328" t="str">
        <f t="shared" ref="S1110:T1110" si="2116">IF(COUNTIF(W$2:W1399, $A1110) &gt; 0,TRUE,IFERROR(0/0,""))</f>
        <v/>
      </c>
      <c r="T1110" s="328" t="str">
        <f t="shared" si="2116"/>
        <v/>
      </c>
      <c r="U1110" s="294" t="str">
        <f t="array" ref="U1110">IF(ISBLANK($R1110), INDEX('Run Reconcile'!A$2:A1399, MATCH($B1110, 'Run Reconcile'!B$2:B1399, 0)+Z1110, 1), IFERROR(0/0,""))
</f>
        <v>RUN-ABRM_2023-04-05_RFR-203</v>
      </c>
      <c r="V1110" s="329" t="str">
        <f t="shared" si="1281"/>
        <v>RUN-ABRM_2023-04-05_RFR-203</v>
      </c>
      <c r="W1110" s="120"/>
      <c r="X1110" s="120"/>
      <c r="Y1110" s="334" t="str">
        <f t="shared" si="6"/>
        <v/>
      </c>
      <c r="Z1110" s="295" t="str">
        <f t="shared" si="7"/>
        <v/>
      </c>
      <c r="AA1110" s="295" t="str">
        <f t="shared" si="8"/>
        <v/>
      </c>
      <c r="AB1110" s="295" t="str">
        <f t="shared" si="9"/>
        <v/>
      </c>
      <c r="AC1110" s="263"/>
      <c r="AD1110" s="263"/>
      <c r="AE1110" s="125"/>
      <c r="AF1110" s="330" t="s">
        <v>168</v>
      </c>
      <c r="AG1110" s="268" t="str">
        <f t="shared" si="11"/>
        <v/>
      </c>
      <c r="AH1110" s="120"/>
      <c r="AI1110" s="120"/>
      <c r="AJ1110" s="120"/>
      <c r="AK1110" s="120"/>
    </row>
    <row r="1111">
      <c r="A1111" s="331" t="str">
        <f>IFERROR(__xludf.DUMMYFUNCTION("""COMPUTED_VALUE"""),"AR1142")</f>
        <v>AR1142</v>
      </c>
      <c r="B1111" s="332">
        <f>IFERROR(__xludf.DUMMYFUNCTION("""COMPUTED_VALUE"""),45021.0)</f>
        <v>45021</v>
      </c>
      <c r="C1111" s="333">
        <f>IFERROR(__xludf.DUMMYFUNCTION("""COMPUTED_VALUE"""),0.35246527777777775)</f>
        <v>0.3524652778</v>
      </c>
      <c r="D1111" s="7" t="str">
        <f>IFERROR(__xludf.DUMMYFUNCTION("""COMPUTED_VALUE"""),"SpABRM841252")</f>
        <v>SpABRM841252</v>
      </c>
      <c r="E1111" s="310"/>
      <c r="F1111" s="310"/>
      <c r="G1111" s="310" t="str">
        <f>IFERROR(__xludf.DUMMYFUNCTION("""COMPUTED_VALUE"""),"Negative")</f>
        <v>Negative</v>
      </c>
      <c r="H1111" s="319" t="str">
        <f>IFERROR(__xludf.DUMMYFUNCTION("""COMPUTED_VALUE"""),"Negative")</f>
        <v>Negative</v>
      </c>
      <c r="I1111" s="308">
        <f>IFERROR(__xludf.DUMMYFUNCTION("""COMPUTED_VALUE"""),45022.0)</f>
        <v>45022</v>
      </c>
      <c r="J1111" s="311">
        <f>IFERROR(__xludf.DUMMYFUNCTION("""COMPUTED_VALUE"""),0.4241898148148148)</f>
        <v>0.4241898148</v>
      </c>
      <c r="K1111" s="54"/>
      <c r="L1111" s="7"/>
      <c r="M1111" s="312"/>
      <c r="N1111" s="172">
        <f>IFERROR(__xludf.DUMMYFUNCTION("""COMPUTED_VALUE"""),1.0)</f>
        <v>1</v>
      </c>
      <c r="O1111" s="172"/>
      <c r="P1111" s="313">
        <f>IFERROR(__xludf.DUMMYFUNCTION("""COMPUTED_VALUE"""),1.0)</f>
        <v>1</v>
      </c>
      <c r="Q1111" s="76" t="str">
        <f>VLOOKUP($B1111,'Run Reconcile'!B$2:O1399,14,FALSE)</f>
        <v/>
      </c>
      <c r="R1111" s="314" t="str">
        <f t="array" ref="R1111">IF($Q1111, INDEX('Run Reconcile'!A$2:A1399,MATCH(B1111,'Run Reconcile'!B$2:B1399,0),1),IFERROR(0/0,""))</f>
        <v/>
      </c>
      <c r="S1111" s="315" t="str">
        <f t="shared" ref="S1111:T1111" si="2117">IF(COUNTIF(W$2:W1399, $A1111) &gt; 0,TRUE,IFERROR(0/0,""))</f>
        <v/>
      </c>
      <c r="T1111" s="315" t="b">
        <f t="shared" si="2117"/>
        <v>1</v>
      </c>
      <c r="U1111" s="114" t="str">
        <f t="array" ref="U1111">IF(ISBLANK($R1111), INDEX('Run Reconcile'!A$2:A1399, MATCH($B1111, 'Run Reconcile'!B$2:B1399, 0)+Z1111, 1), IFERROR(0/0,""))
</f>
        <v>RUN-ABRM_2023-04-05_APS-006</v>
      </c>
      <c r="V1111" s="316" t="str">
        <f t="shared" si="1281"/>
        <v>RUN-ABRM_2023-04-05_APS-006</v>
      </c>
      <c r="X1111" s="7" t="s">
        <v>1376</v>
      </c>
      <c r="Y1111" s="317">
        <f t="shared" si="6"/>
        <v>1</v>
      </c>
      <c r="Z1111" s="83">
        <f t="shared" si="7"/>
        <v>1</v>
      </c>
      <c r="AA1111" s="83" t="str">
        <f t="shared" si="8"/>
        <v/>
      </c>
      <c r="AB1111" s="83">
        <f t="shared" si="9"/>
        <v>1</v>
      </c>
      <c r="AC1111" s="18"/>
      <c r="AD1111" s="18"/>
      <c r="AE1111" s="43"/>
      <c r="AF1111" s="58" t="s">
        <v>168</v>
      </c>
      <c r="AG1111" s="55" t="b">
        <f t="shared" si="11"/>
        <v>0</v>
      </c>
    </row>
    <row r="1112">
      <c r="A1112" s="120" t="str">
        <f>IFERROR(__xludf.DUMMYFUNCTION("""COMPUTED_VALUE"""),"AR955")</f>
        <v>AR955</v>
      </c>
      <c r="B1112" s="320">
        <f>IFERROR(__xludf.DUMMYFUNCTION("""COMPUTED_VALUE"""),45022.0)</f>
        <v>45022</v>
      </c>
      <c r="C1112" s="321">
        <f>IFERROR(__xludf.DUMMYFUNCTION("""COMPUTED_VALUE"""),0.21847222222222223)</f>
        <v>0.2184722222</v>
      </c>
      <c r="D1112" s="120" t="str">
        <f>IFERROR(__xludf.DUMMYFUNCTION("""COMPUTED_VALUE"""),"SpABRM655136")</f>
        <v>SpABRM655136</v>
      </c>
      <c r="E1112" s="322"/>
      <c r="F1112" s="322"/>
      <c r="G1112" s="322" t="str">
        <f>IFERROR(__xludf.DUMMYFUNCTION("""COMPUTED_VALUE"""),"Negative")</f>
        <v>Negative</v>
      </c>
      <c r="H1112" s="323" t="str">
        <f>IFERROR(__xludf.DUMMYFUNCTION("""COMPUTED_VALUE"""),"Negative")</f>
        <v>Negative</v>
      </c>
      <c r="I1112" s="320">
        <f>IFERROR(__xludf.DUMMYFUNCTION("""COMPUTED_VALUE"""),45022.0)</f>
        <v>45022</v>
      </c>
      <c r="J1112" s="324">
        <f>IFERROR(__xludf.DUMMYFUNCTION("""COMPUTED_VALUE"""),0.4241898148148148)</f>
        <v>0.4241898148</v>
      </c>
      <c r="K1112" s="123"/>
      <c r="L1112" s="120"/>
      <c r="M1112" s="325"/>
      <c r="N1112" s="283">
        <f>IFERROR(__xludf.DUMMYFUNCTION("""COMPUTED_VALUE"""),1.0)</f>
        <v>1</v>
      </c>
      <c r="O1112" s="283"/>
      <c r="P1112" s="326">
        <f>IFERROR(__xludf.DUMMYFUNCTION("""COMPUTED_VALUE"""),0.0)</f>
        <v>0</v>
      </c>
      <c r="Q1112" s="293" t="b">
        <f>VLOOKUP($B1112,'Run Reconcile'!B$2:O1399,14,FALSE)</f>
        <v>1</v>
      </c>
      <c r="R1112" s="327" t="str">
        <f t="array" ref="R1112">IF($Q1112, INDEX('Run Reconcile'!A$2:A1399,MATCH(B1112,'Run Reconcile'!B$2:B1399,0),1),IFERROR(0/0,""))</f>
        <v>RUN-ABRM_2023-04-06_RFR-204</v>
      </c>
      <c r="S1112" s="328" t="str">
        <f t="shared" ref="S1112:T1112" si="2118">IF(COUNTIF(W$2:W1399, $A1112) &gt; 0,TRUE,IFERROR(0/0,""))</f>
        <v/>
      </c>
      <c r="T1112" s="328" t="str">
        <f t="shared" si="2118"/>
        <v/>
      </c>
      <c r="U1112" s="294" t="str">
        <f t="array" ref="U1112">IF(ISBLANK($R1112), INDEX('Run Reconcile'!A$2:A1399, MATCH($B1112, 'Run Reconcile'!B$2:B1399, 0)+Z1112, 1), IFERROR(0/0,""))
</f>
        <v/>
      </c>
      <c r="V1112" s="329" t="str">
        <f t="shared" si="1281"/>
        <v>RUN-ABRM_2023-04-06_RFR-204</v>
      </c>
      <c r="W1112" s="120"/>
      <c r="X1112" s="120"/>
      <c r="Y1112" s="334" t="str">
        <f t="shared" si="6"/>
        <v/>
      </c>
      <c r="Z1112" s="295" t="str">
        <f t="shared" si="7"/>
        <v/>
      </c>
      <c r="AA1112" s="295" t="str">
        <f t="shared" si="8"/>
        <v/>
      </c>
      <c r="AB1112" s="295" t="str">
        <f t="shared" si="9"/>
        <v/>
      </c>
      <c r="AC1112" s="263"/>
      <c r="AD1112" s="263"/>
      <c r="AE1112" s="125"/>
      <c r="AF1112" s="330" t="s">
        <v>169</v>
      </c>
      <c r="AG1112" s="268" t="str">
        <f t="shared" si="11"/>
        <v/>
      </c>
      <c r="AH1112" s="120"/>
      <c r="AI1112" s="120"/>
      <c r="AJ1112" s="120"/>
      <c r="AK1112" s="120"/>
    </row>
    <row r="1113">
      <c r="A1113" s="7" t="str">
        <f>IFERROR(__xludf.DUMMYFUNCTION("""COMPUTED_VALUE"""),"AR1245")</f>
        <v>AR1245</v>
      </c>
      <c r="B1113" s="308">
        <f>IFERROR(__xludf.DUMMYFUNCTION("""COMPUTED_VALUE"""),45022.0)</f>
        <v>45022</v>
      </c>
      <c r="C1113" s="309">
        <f>IFERROR(__xludf.DUMMYFUNCTION("""COMPUTED_VALUE"""),0.23667824074074073)</f>
        <v>0.2366782407</v>
      </c>
      <c r="D1113" s="7" t="str">
        <f>IFERROR(__xludf.DUMMYFUNCTION("""COMPUTED_VALUE"""),"SpABRM297307")</f>
        <v>SpABRM297307</v>
      </c>
      <c r="E1113" s="310"/>
      <c r="F1113" s="310"/>
      <c r="G1113" s="310" t="str">
        <f>IFERROR(__xludf.DUMMYFUNCTION("""COMPUTED_VALUE"""),"Negative")</f>
        <v>Negative</v>
      </c>
      <c r="H1113" s="319" t="str">
        <f>IFERROR(__xludf.DUMMYFUNCTION("""COMPUTED_VALUE"""),"Negative")</f>
        <v>Negative</v>
      </c>
      <c r="I1113" s="308">
        <f>IFERROR(__xludf.DUMMYFUNCTION("""COMPUTED_VALUE"""),45022.0)</f>
        <v>45022</v>
      </c>
      <c r="J1113" s="311">
        <f>IFERROR(__xludf.DUMMYFUNCTION("""COMPUTED_VALUE"""),0.4241898148148148)</f>
        <v>0.4241898148</v>
      </c>
      <c r="K1113" s="54"/>
      <c r="L1113" s="7"/>
      <c r="M1113" s="312"/>
      <c r="N1113" s="172">
        <f>IFERROR(__xludf.DUMMYFUNCTION("""COMPUTED_VALUE"""),4.0)</f>
        <v>4</v>
      </c>
      <c r="O1113" s="172"/>
      <c r="P1113" s="313">
        <f>IFERROR(__xludf.DUMMYFUNCTION("""COMPUTED_VALUE"""),0.0)</f>
        <v>0</v>
      </c>
      <c r="Q1113" s="76" t="b">
        <f>VLOOKUP($B1113,'Run Reconcile'!B$2:O1399,14,FALSE)</f>
        <v>1</v>
      </c>
      <c r="R1113" s="314" t="str">
        <f t="array" ref="R1113">IF($Q1113, INDEX('Run Reconcile'!A$2:A1399,MATCH(B1113,'Run Reconcile'!B$2:B1399,0),1),IFERROR(0/0,""))</f>
        <v>RUN-ABRM_2023-04-06_RFR-204</v>
      </c>
      <c r="S1113" s="315" t="str">
        <f t="shared" ref="S1113:T1113" si="2119">IF(COUNTIF(W$2:W1399, $A1113) &gt; 0,TRUE,IFERROR(0/0,""))</f>
        <v/>
      </c>
      <c r="T1113" s="315" t="str">
        <f t="shared" si="2119"/>
        <v/>
      </c>
      <c r="U1113" s="114" t="str">
        <f t="array" ref="U1113">IF(ISBLANK($R1113), INDEX('Run Reconcile'!A$2:A1399, MATCH($B1113, 'Run Reconcile'!B$2:B1399, 0)+Z1113, 1), IFERROR(0/0,""))
</f>
        <v/>
      </c>
      <c r="V1113" s="316" t="str">
        <f t="shared" si="1281"/>
        <v>RUN-ABRM_2023-04-06_RFR-204</v>
      </c>
      <c r="Y1113" s="317" t="str">
        <f t="shared" si="6"/>
        <v/>
      </c>
      <c r="Z1113" s="83" t="str">
        <f t="shared" si="7"/>
        <v/>
      </c>
      <c r="AA1113" s="83" t="str">
        <f t="shared" si="8"/>
        <v/>
      </c>
      <c r="AB1113" s="83" t="str">
        <f t="shared" si="9"/>
        <v/>
      </c>
      <c r="AC1113" s="18"/>
      <c r="AD1113" s="18"/>
      <c r="AE1113" s="43"/>
      <c r="AF1113" s="58" t="s">
        <v>169</v>
      </c>
      <c r="AG1113" s="55" t="str">
        <f t="shared" si="11"/>
        <v/>
      </c>
    </row>
    <row r="1114">
      <c r="A1114" s="7" t="str">
        <f>IFERROR(__xludf.DUMMYFUNCTION("""COMPUTED_VALUE"""),"AK9826")</f>
        <v>AK9826</v>
      </c>
      <c r="B1114" s="308">
        <f>IFERROR(__xludf.DUMMYFUNCTION("""COMPUTED_VALUE"""),45022.0)</f>
        <v>45022</v>
      </c>
      <c r="C1114" s="309">
        <f>IFERROR(__xludf.DUMMYFUNCTION("""COMPUTED_VALUE"""),0.29369212962962965)</f>
        <v>0.2936921296</v>
      </c>
      <c r="D1114" s="7" t="str">
        <f>IFERROR(__xludf.DUMMYFUNCTION("""COMPUTED_VALUE"""),"SpABRM128250")</f>
        <v>SpABRM128250</v>
      </c>
      <c r="E1114" s="310"/>
      <c r="F1114" s="310"/>
      <c r="G1114" s="310" t="str">
        <f>IFERROR(__xludf.DUMMYFUNCTION("""COMPUTED_VALUE"""),"Negative")</f>
        <v>Negative</v>
      </c>
      <c r="H1114" s="319" t="str">
        <f>IFERROR(__xludf.DUMMYFUNCTION("""COMPUTED_VALUE"""),"Negative")</f>
        <v>Negative</v>
      </c>
      <c r="I1114" s="308">
        <f>IFERROR(__xludf.DUMMYFUNCTION("""COMPUTED_VALUE"""),45022.0)</f>
        <v>45022</v>
      </c>
      <c r="J1114" s="311">
        <f>IFERROR(__xludf.DUMMYFUNCTION("""COMPUTED_VALUE"""),0.42420138888888886)</f>
        <v>0.4242013889</v>
      </c>
      <c r="K1114" s="54"/>
      <c r="L1114" s="7"/>
      <c r="M1114" s="312"/>
      <c r="N1114" s="172">
        <f>IFERROR(__xludf.DUMMYFUNCTION("""COMPUTED_VALUE"""),3.0)</f>
        <v>3</v>
      </c>
      <c r="O1114" s="172"/>
      <c r="P1114" s="313">
        <f>IFERROR(__xludf.DUMMYFUNCTION("""COMPUTED_VALUE"""),0.0)</f>
        <v>0</v>
      </c>
      <c r="Q1114" s="76" t="b">
        <f>VLOOKUP($B1114,'Run Reconcile'!B$2:O1399,14,FALSE)</f>
        <v>1</v>
      </c>
      <c r="R1114" s="314" t="str">
        <f t="array" ref="R1114">IF($Q1114, INDEX('Run Reconcile'!A$2:A1399,MATCH(B1114,'Run Reconcile'!B$2:B1399,0),1),IFERROR(0/0,""))</f>
        <v>RUN-ABRM_2023-04-06_RFR-204</v>
      </c>
      <c r="S1114" s="315" t="str">
        <f t="shared" ref="S1114:T1114" si="2120">IF(COUNTIF(W$2:W1399, $A1114) &gt; 0,TRUE,IFERROR(0/0,""))</f>
        <v/>
      </c>
      <c r="T1114" s="315" t="str">
        <f t="shared" si="2120"/>
        <v/>
      </c>
      <c r="U1114" s="114" t="str">
        <f t="array" ref="U1114">IF(ISBLANK($R1114), INDEX('Run Reconcile'!A$2:A1399, MATCH($B1114, 'Run Reconcile'!B$2:B1399, 0)+Z1114, 1), IFERROR(0/0,""))
</f>
        <v/>
      </c>
      <c r="V1114" s="316" t="str">
        <f t="shared" si="1281"/>
        <v>RUN-ABRM_2023-04-06_RFR-204</v>
      </c>
      <c r="Y1114" s="317" t="str">
        <f t="shared" si="6"/>
        <v/>
      </c>
      <c r="Z1114" s="83" t="str">
        <f t="shared" si="7"/>
        <v/>
      </c>
      <c r="AA1114" s="83" t="str">
        <f t="shared" si="8"/>
        <v/>
      </c>
      <c r="AB1114" s="83" t="str">
        <f t="shared" si="9"/>
        <v/>
      </c>
      <c r="AC1114" s="18"/>
      <c r="AD1114" s="18"/>
      <c r="AE1114" s="43"/>
      <c r="AF1114" s="58" t="s">
        <v>169</v>
      </c>
      <c r="AG1114" s="55" t="str">
        <f t="shared" si="11"/>
        <v/>
      </c>
    </row>
    <row r="1115">
      <c r="A1115" s="7" t="str">
        <f>IFERROR(__xludf.DUMMYFUNCTION("""COMPUTED_VALUE"""),"AE9945")</f>
        <v>AE9945</v>
      </c>
      <c r="B1115" s="308">
        <f>IFERROR(__xludf.DUMMYFUNCTION("""COMPUTED_VALUE"""),45022.0)</f>
        <v>45022</v>
      </c>
      <c r="C1115" s="309">
        <f>IFERROR(__xludf.DUMMYFUNCTION("""COMPUTED_VALUE"""),0.3016550925925926)</f>
        <v>0.3016550926</v>
      </c>
      <c r="D1115" s="7" t="str">
        <f>IFERROR(__xludf.DUMMYFUNCTION("""COMPUTED_VALUE"""),"SpABRM519188")</f>
        <v>SpABRM519188</v>
      </c>
      <c r="E1115" s="310"/>
      <c r="F1115" s="310"/>
      <c r="G1115" s="310" t="str">
        <f>IFERROR(__xludf.DUMMYFUNCTION("""COMPUTED_VALUE"""),"Negative")</f>
        <v>Negative</v>
      </c>
      <c r="H1115" s="319" t="str">
        <f>IFERROR(__xludf.DUMMYFUNCTION("""COMPUTED_VALUE"""),"Negative")</f>
        <v>Negative</v>
      </c>
      <c r="I1115" s="308">
        <f>IFERROR(__xludf.DUMMYFUNCTION("""COMPUTED_VALUE"""),45022.0)</f>
        <v>45022</v>
      </c>
      <c r="J1115" s="311">
        <f>IFERROR(__xludf.DUMMYFUNCTION("""COMPUTED_VALUE"""),0.42420138888888886)</f>
        <v>0.4242013889</v>
      </c>
      <c r="K1115" s="54"/>
      <c r="L1115" s="7"/>
      <c r="M1115" s="312"/>
      <c r="N1115" s="172">
        <f>IFERROR(__xludf.DUMMYFUNCTION("""COMPUTED_VALUE"""),1.0)</f>
        <v>1</v>
      </c>
      <c r="O1115" s="172"/>
      <c r="P1115" s="313">
        <f>IFERROR(__xludf.DUMMYFUNCTION("""COMPUTED_VALUE"""),0.0)</f>
        <v>0</v>
      </c>
      <c r="Q1115" s="76" t="b">
        <f>VLOOKUP($B1115,'Run Reconcile'!B$2:O1399,14,FALSE)</f>
        <v>1</v>
      </c>
      <c r="R1115" s="314" t="str">
        <f t="array" ref="R1115">IF($Q1115, INDEX('Run Reconcile'!A$2:A1399,MATCH(B1115,'Run Reconcile'!B$2:B1399,0),1),IFERROR(0/0,""))</f>
        <v>RUN-ABRM_2023-04-06_RFR-204</v>
      </c>
      <c r="S1115" s="315" t="str">
        <f t="shared" ref="S1115:T1115" si="2121">IF(COUNTIF(W$2:W1399, $A1115) &gt; 0,TRUE,IFERROR(0/0,""))</f>
        <v/>
      </c>
      <c r="T1115" s="315" t="str">
        <f t="shared" si="2121"/>
        <v/>
      </c>
      <c r="U1115" s="114" t="str">
        <f t="array" ref="U1115">IF(ISBLANK($R1115), INDEX('Run Reconcile'!A$2:A1399, MATCH($B1115, 'Run Reconcile'!B$2:B1399, 0)+Z1115, 1), IFERROR(0/0,""))
</f>
        <v/>
      </c>
      <c r="V1115" s="316" t="str">
        <f t="shared" si="1281"/>
        <v>RUN-ABRM_2023-04-06_RFR-204</v>
      </c>
      <c r="Y1115" s="317" t="str">
        <f t="shared" si="6"/>
        <v/>
      </c>
      <c r="Z1115" s="83" t="str">
        <f t="shared" si="7"/>
        <v/>
      </c>
      <c r="AA1115" s="83" t="str">
        <f t="shared" si="8"/>
        <v/>
      </c>
      <c r="AB1115" s="83" t="str">
        <f t="shared" si="9"/>
        <v/>
      </c>
      <c r="AC1115" s="18"/>
      <c r="AD1115" s="18"/>
      <c r="AE1115" s="43"/>
      <c r="AF1115" s="58" t="s">
        <v>169</v>
      </c>
      <c r="AG1115" s="55" t="str">
        <f t="shared" si="11"/>
        <v/>
      </c>
    </row>
    <row r="1116">
      <c r="A1116" s="7" t="str">
        <f>IFERROR(__xludf.DUMMYFUNCTION("""COMPUTED_VALUE"""),"AR1551")</f>
        <v>AR1551</v>
      </c>
      <c r="B1116" s="308">
        <f>IFERROR(__xludf.DUMMYFUNCTION("""COMPUTED_VALUE"""),45022.0)</f>
        <v>45022</v>
      </c>
      <c r="C1116" s="309">
        <f>IFERROR(__xludf.DUMMYFUNCTION("""COMPUTED_VALUE"""),0.33216435185185184)</f>
        <v>0.3321643519</v>
      </c>
      <c r="D1116" s="7" t="str">
        <f>IFERROR(__xludf.DUMMYFUNCTION("""COMPUTED_VALUE"""),"SpABRM841252")</f>
        <v>SpABRM841252</v>
      </c>
      <c r="E1116" s="310"/>
      <c r="F1116" s="310"/>
      <c r="G1116" s="310" t="str">
        <f>IFERROR(__xludf.DUMMYFUNCTION("""COMPUTED_VALUE"""),"Negative")</f>
        <v>Negative</v>
      </c>
      <c r="H1116" s="319" t="str">
        <f>IFERROR(__xludf.DUMMYFUNCTION("""COMPUTED_VALUE"""),"Negative")</f>
        <v>Negative</v>
      </c>
      <c r="I1116" s="308">
        <f>IFERROR(__xludf.DUMMYFUNCTION("""COMPUTED_VALUE"""),45022.0)</f>
        <v>45022</v>
      </c>
      <c r="J1116" s="311">
        <f>IFERROR(__xludf.DUMMYFUNCTION("""COMPUTED_VALUE"""),0.42420138888888886)</f>
        <v>0.4242013889</v>
      </c>
      <c r="K1116" s="54"/>
      <c r="L1116" s="7"/>
      <c r="M1116" s="312"/>
      <c r="N1116" s="172">
        <f>IFERROR(__xludf.DUMMYFUNCTION("""COMPUTED_VALUE"""),1.0)</f>
        <v>1</v>
      </c>
      <c r="O1116" s="172"/>
      <c r="P1116" s="313">
        <f>IFERROR(__xludf.DUMMYFUNCTION("""COMPUTED_VALUE"""),0.0)</f>
        <v>0</v>
      </c>
      <c r="Q1116" s="76" t="b">
        <f>VLOOKUP($B1116,'Run Reconcile'!B$2:O1399,14,FALSE)</f>
        <v>1</v>
      </c>
      <c r="R1116" s="314" t="str">
        <f t="array" ref="R1116">IF($Q1116, INDEX('Run Reconcile'!A$2:A1399,MATCH(B1116,'Run Reconcile'!B$2:B1399,0),1),IFERROR(0/0,""))</f>
        <v>RUN-ABRM_2023-04-06_RFR-204</v>
      </c>
      <c r="S1116" s="315" t="str">
        <f t="shared" ref="S1116:T1116" si="2122">IF(COUNTIF(W$2:W1399, $A1116) &gt; 0,TRUE,IFERROR(0/0,""))</f>
        <v/>
      </c>
      <c r="T1116" s="315" t="str">
        <f t="shared" si="2122"/>
        <v/>
      </c>
      <c r="U1116" s="114" t="str">
        <f t="array" ref="U1116">IF(ISBLANK($R1116), INDEX('Run Reconcile'!A$2:A1399, MATCH($B1116, 'Run Reconcile'!B$2:B1399, 0)+Z1116, 1), IFERROR(0/0,""))
</f>
        <v/>
      </c>
      <c r="V1116" s="316" t="str">
        <f t="shared" si="1281"/>
        <v>RUN-ABRM_2023-04-06_RFR-204</v>
      </c>
      <c r="Y1116" s="317" t="str">
        <f t="shared" si="6"/>
        <v/>
      </c>
      <c r="Z1116" s="83" t="str">
        <f t="shared" si="7"/>
        <v/>
      </c>
      <c r="AA1116" s="83" t="str">
        <f t="shared" si="8"/>
        <v/>
      </c>
      <c r="AB1116" s="83" t="str">
        <f t="shared" si="9"/>
        <v/>
      </c>
      <c r="AC1116" s="18"/>
      <c r="AD1116" s="18"/>
      <c r="AE1116" s="43"/>
      <c r="AF1116" s="58" t="s">
        <v>169</v>
      </c>
      <c r="AG1116" s="55" t="str">
        <f t="shared" si="11"/>
        <v/>
      </c>
    </row>
    <row r="1117">
      <c r="A1117" s="7" t="str">
        <f>IFERROR(__xludf.DUMMYFUNCTION("""COMPUTED_VALUE"""),"AR1139")</f>
        <v>AR1139</v>
      </c>
      <c r="B1117" s="308">
        <f>IFERROR(__xludf.DUMMYFUNCTION("""COMPUTED_VALUE"""),45022.0)</f>
        <v>45022</v>
      </c>
      <c r="C1117" s="309">
        <f>IFERROR(__xludf.DUMMYFUNCTION("""COMPUTED_VALUE"""),0.3325578703703704)</f>
        <v>0.3325578704</v>
      </c>
      <c r="D1117" s="7" t="str">
        <f>IFERROR(__xludf.DUMMYFUNCTION("""COMPUTED_VALUE"""),"SpABRM841252")</f>
        <v>SpABRM841252</v>
      </c>
      <c r="E1117" s="310"/>
      <c r="F1117" s="310"/>
      <c r="G1117" s="310" t="str">
        <f>IFERROR(__xludf.DUMMYFUNCTION("""COMPUTED_VALUE"""),"Negative")</f>
        <v>Negative</v>
      </c>
      <c r="H1117" s="319" t="str">
        <f>IFERROR(__xludf.DUMMYFUNCTION("""COMPUTED_VALUE"""),"Negative")</f>
        <v>Negative</v>
      </c>
      <c r="I1117" s="308">
        <f>IFERROR(__xludf.DUMMYFUNCTION("""COMPUTED_VALUE"""),45022.0)</f>
        <v>45022</v>
      </c>
      <c r="J1117" s="311">
        <f>IFERROR(__xludf.DUMMYFUNCTION("""COMPUTED_VALUE"""),0.42420138888888886)</f>
        <v>0.4242013889</v>
      </c>
      <c r="K1117" s="54"/>
      <c r="L1117" s="7"/>
      <c r="M1117" s="312"/>
      <c r="N1117" s="172">
        <f>IFERROR(__xludf.DUMMYFUNCTION("""COMPUTED_VALUE"""),1.0)</f>
        <v>1</v>
      </c>
      <c r="O1117" s="172"/>
      <c r="P1117" s="313">
        <f>IFERROR(__xludf.DUMMYFUNCTION("""COMPUTED_VALUE"""),0.0)</f>
        <v>0</v>
      </c>
      <c r="Q1117" s="76" t="b">
        <f>VLOOKUP($B1117,'Run Reconcile'!B$2:O1399,14,FALSE)</f>
        <v>1</v>
      </c>
      <c r="R1117" s="314" t="str">
        <f t="array" ref="R1117">IF($Q1117, INDEX('Run Reconcile'!A$2:A1399,MATCH(B1117,'Run Reconcile'!B$2:B1399,0),1),IFERROR(0/0,""))</f>
        <v>RUN-ABRM_2023-04-06_RFR-204</v>
      </c>
      <c r="S1117" s="315" t="str">
        <f t="shared" ref="S1117:T1117" si="2123">IF(COUNTIF(W$2:W1399, $A1117) &gt; 0,TRUE,IFERROR(0/0,""))</f>
        <v/>
      </c>
      <c r="T1117" s="315" t="str">
        <f t="shared" si="2123"/>
        <v/>
      </c>
      <c r="U1117" s="114" t="str">
        <f t="array" ref="U1117">IF(ISBLANK($R1117), INDEX('Run Reconcile'!A$2:A1399, MATCH($B1117, 'Run Reconcile'!B$2:B1399, 0)+Z1117, 1), IFERROR(0/0,""))
</f>
        <v/>
      </c>
      <c r="V1117" s="316" t="str">
        <f t="shared" si="1281"/>
        <v>RUN-ABRM_2023-04-06_RFR-204</v>
      </c>
      <c r="Y1117" s="317" t="str">
        <f t="shared" si="6"/>
        <v/>
      </c>
      <c r="Z1117" s="83" t="str">
        <f t="shared" si="7"/>
        <v/>
      </c>
      <c r="AA1117" s="83" t="str">
        <f t="shared" si="8"/>
        <v/>
      </c>
      <c r="AB1117" s="83" t="str">
        <f t="shared" si="9"/>
        <v/>
      </c>
      <c r="AC1117" s="18"/>
      <c r="AD1117" s="18"/>
      <c r="AE1117" s="43"/>
      <c r="AF1117" s="58" t="s">
        <v>169</v>
      </c>
      <c r="AG1117" s="55" t="str">
        <f t="shared" si="11"/>
        <v/>
      </c>
    </row>
    <row r="1118">
      <c r="A1118" s="7" t="str">
        <f>IFERROR(__xludf.DUMMYFUNCTION("""COMPUTED_VALUE"""),"AK9965")</f>
        <v>AK9965</v>
      </c>
      <c r="B1118" s="308">
        <f>IFERROR(__xludf.DUMMYFUNCTION("""COMPUTED_VALUE"""),45022.0)</f>
        <v>45022</v>
      </c>
      <c r="C1118" s="309">
        <f>IFERROR(__xludf.DUMMYFUNCTION("""COMPUTED_VALUE"""),0.33394675925925926)</f>
        <v>0.3339467593</v>
      </c>
      <c r="D1118" s="7" t="str">
        <f>IFERROR(__xludf.DUMMYFUNCTION("""COMPUTED_VALUE"""),"SpABRM841252")</f>
        <v>SpABRM841252</v>
      </c>
      <c r="E1118" s="310"/>
      <c r="F1118" s="310"/>
      <c r="G1118" s="310" t="str">
        <f>IFERROR(__xludf.DUMMYFUNCTION("""COMPUTED_VALUE"""),"Negative")</f>
        <v>Negative</v>
      </c>
      <c r="H1118" s="319" t="str">
        <f>IFERROR(__xludf.DUMMYFUNCTION("""COMPUTED_VALUE"""),"Negative")</f>
        <v>Negative</v>
      </c>
      <c r="I1118" s="308">
        <f>IFERROR(__xludf.DUMMYFUNCTION("""COMPUTED_VALUE"""),45022.0)</f>
        <v>45022</v>
      </c>
      <c r="J1118" s="311">
        <f>IFERROR(__xludf.DUMMYFUNCTION("""COMPUTED_VALUE"""),0.42420138888888886)</f>
        <v>0.4242013889</v>
      </c>
      <c r="K1118" s="54"/>
      <c r="L1118" s="7"/>
      <c r="M1118" s="312"/>
      <c r="N1118" s="172">
        <f>IFERROR(__xludf.DUMMYFUNCTION("""COMPUTED_VALUE"""),1.0)</f>
        <v>1</v>
      </c>
      <c r="O1118" s="172"/>
      <c r="P1118" s="313">
        <f>IFERROR(__xludf.DUMMYFUNCTION("""COMPUTED_VALUE"""),0.0)</f>
        <v>0</v>
      </c>
      <c r="Q1118" s="76" t="b">
        <f>VLOOKUP($B1118,'Run Reconcile'!B$2:O1399,14,FALSE)</f>
        <v>1</v>
      </c>
      <c r="R1118" s="314" t="str">
        <f t="array" ref="R1118">IF($Q1118, INDEX('Run Reconcile'!A$2:A1399,MATCH(B1118,'Run Reconcile'!B$2:B1399,0),1),IFERROR(0/0,""))</f>
        <v>RUN-ABRM_2023-04-06_RFR-204</v>
      </c>
      <c r="S1118" s="315" t="str">
        <f t="shared" ref="S1118:T1118" si="2124">IF(COUNTIF(W$2:W1399, $A1118) &gt; 0,TRUE,IFERROR(0/0,""))</f>
        <v/>
      </c>
      <c r="T1118" s="315" t="str">
        <f t="shared" si="2124"/>
        <v/>
      </c>
      <c r="U1118" s="114" t="str">
        <f t="array" ref="U1118">IF(ISBLANK($R1118), INDEX('Run Reconcile'!A$2:A1399, MATCH($B1118, 'Run Reconcile'!B$2:B1399, 0)+Z1118, 1), IFERROR(0/0,""))
</f>
        <v/>
      </c>
      <c r="V1118" s="316" t="str">
        <f t="shared" si="1281"/>
        <v>RUN-ABRM_2023-04-06_RFR-204</v>
      </c>
      <c r="Y1118" s="317" t="str">
        <f t="shared" si="6"/>
        <v/>
      </c>
      <c r="Z1118" s="83" t="str">
        <f t="shared" si="7"/>
        <v/>
      </c>
      <c r="AA1118" s="83" t="str">
        <f t="shared" si="8"/>
        <v/>
      </c>
      <c r="AB1118" s="83" t="str">
        <f t="shared" si="9"/>
        <v/>
      </c>
      <c r="AC1118" s="18"/>
      <c r="AD1118" s="18"/>
      <c r="AE1118" s="43"/>
      <c r="AF1118" s="58" t="s">
        <v>169</v>
      </c>
      <c r="AG1118" s="55" t="str">
        <f t="shared" si="11"/>
        <v/>
      </c>
    </row>
    <row r="1119">
      <c r="A1119" s="7" t="str">
        <f>IFERROR(__xludf.DUMMYFUNCTION("""COMPUTED_VALUE"""),"AR271")</f>
        <v>AR271</v>
      </c>
      <c r="B1119" s="308">
        <f>IFERROR(__xludf.DUMMYFUNCTION("""COMPUTED_VALUE"""),45023.0)</f>
        <v>45023</v>
      </c>
      <c r="C1119" s="309">
        <f>IFERROR(__xludf.DUMMYFUNCTION("""COMPUTED_VALUE"""),0.15140046296296297)</f>
        <v>0.151400463</v>
      </c>
      <c r="D1119" s="7" t="str">
        <f>IFERROR(__xludf.DUMMYFUNCTION("""COMPUTED_VALUE"""),"SpABRM655136")</f>
        <v>SpABRM655136</v>
      </c>
      <c r="E1119" s="310"/>
      <c r="F1119" s="310"/>
      <c r="G1119" s="310" t="str">
        <f>IFERROR(__xludf.DUMMYFUNCTION("""COMPUTED_VALUE"""),"Negative")</f>
        <v>Negative</v>
      </c>
      <c r="H1119" s="319" t="str">
        <f>IFERROR(__xludf.DUMMYFUNCTION("""COMPUTED_VALUE"""),"Negative")</f>
        <v>Negative</v>
      </c>
      <c r="I1119" s="308">
        <f>IFERROR(__xludf.DUMMYFUNCTION("""COMPUTED_VALUE"""),45023.0)</f>
        <v>45023</v>
      </c>
      <c r="J1119" s="311">
        <f>IFERROR(__xludf.DUMMYFUNCTION("""COMPUTED_VALUE"""),0.4188425925925926)</f>
        <v>0.4188425926</v>
      </c>
      <c r="K1119" s="54"/>
      <c r="L1119" s="7"/>
      <c r="M1119" s="312"/>
      <c r="N1119" s="172">
        <f>IFERROR(__xludf.DUMMYFUNCTION("""COMPUTED_VALUE"""),1.0)</f>
        <v>1</v>
      </c>
      <c r="O1119" s="172"/>
      <c r="P1119" s="313">
        <f>IFERROR(__xludf.DUMMYFUNCTION("""COMPUTED_VALUE"""),0.0)</f>
        <v>0</v>
      </c>
      <c r="Q1119" s="76" t="b">
        <f>VLOOKUP($B1119,'Run Reconcile'!B$2:O1399,14,FALSE)</f>
        <v>1</v>
      </c>
      <c r="R1119" s="314" t="str">
        <f t="array" ref="R1119">IF($Q1119, INDEX('Run Reconcile'!A$2:A1399,MATCH(B1119,'Run Reconcile'!B$2:B1399,0),1),IFERROR(0/0,""))</f>
        <v>RUN-ABRM_2023-04-07_RFR-206</v>
      </c>
      <c r="S1119" s="315" t="str">
        <f t="shared" ref="S1119:T1119" si="2125">IF(COUNTIF(W$2:W1399, $A1119) &gt; 0,TRUE,IFERROR(0/0,""))</f>
        <v/>
      </c>
      <c r="T1119" s="315" t="str">
        <f t="shared" si="2125"/>
        <v/>
      </c>
      <c r="U1119" s="114" t="str">
        <f t="array" ref="U1119">IF(ISBLANK($R1119), INDEX('Run Reconcile'!A$2:A1399, MATCH($B1119, 'Run Reconcile'!B$2:B1399, 0)+Z1119, 1), IFERROR(0/0,""))
</f>
        <v/>
      </c>
      <c r="V1119" s="316" t="str">
        <f t="shared" si="1281"/>
        <v>RUN-ABRM_2023-04-07_RFR-206</v>
      </c>
      <c r="Y1119" s="317" t="str">
        <f t="shared" si="6"/>
        <v/>
      </c>
      <c r="Z1119" s="83" t="str">
        <f t="shared" si="7"/>
        <v/>
      </c>
      <c r="AA1119" s="83" t="str">
        <f t="shared" si="8"/>
        <v/>
      </c>
      <c r="AB1119" s="83" t="str">
        <f t="shared" si="9"/>
        <v/>
      </c>
      <c r="AC1119" s="18"/>
      <c r="AD1119" s="18"/>
      <c r="AE1119" s="43"/>
      <c r="AF1119" s="58" t="s">
        <v>170</v>
      </c>
      <c r="AG1119" s="55" t="str">
        <f t="shared" si="11"/>
        <v/>
      </c>
    </row>
    <row r="1120">
      <c r="A1120" s="7" t="str">
        <f>IFERROR(__xludf.DUMMYFUNCTION("""COMPUTED_VALUE"""),"AR649")</f>
        <v>AR649</v>
      </c>
      <c r="B1120" s="308">
        <f>IFERROR(__xludf.DUMMYFUNCTION("""COMPUTED_VALUE"""),45023.0)</f>
        <v>45023</v>
      </c>
      <c r="C1120" s="309">
        <f>IFERROR(__xludf.DUMMYFUNCTION("""COMPUTED_VALUE"""),0.28782407407407407)</f>
        <v>0.2878240741</v>
      </c>
      <c r="D1120" s="7" t="str">
        <f>IFERROR(__xludf.DUMMYFUNCTION("""COMPUTED_VALUE"""),"SpABRM581899")</f>
        <v>SpABRM581899</v>
      </c>
      <c r="E1120" s="310"/>
      <c r="F1120" s="310"/>
      <c r="G1120" s="310" t="str">
        <f>IFERROR(__xludf.DUMMYFUNCTION("""COMPUTED_VALUE"""),"Negative")</f>
        <v>Negative</v>
      </c>
      <c r="H1120" s="319" t="str">
        <f>IFERROR(__xludf.DUMMYFUNCTION("""COMPUTED_VALUE"""),"Negative")</f>
        <v>Negative</v>
      </c>
      <c r="I1120" s="308">
        <f>IFERROR(__xludf.DUMMYFUNCTION("""COMPUTED_VALUE"""),45023.0)</f>
        <v>45023</v>
      </c>
      <c r="J1120" s="311">
        <f>IFERROR(__xludf.DUMMYFUNCTION("""COMPUTED_VALUE"""),0.4188425925925926)</f>
        <v>0.4188425926</v>
      </c>
      <c r="K1120" s="54"/>
      <c r="L1120" s="7"/>
      <c r="M1120" s="312"/>
      <c r="N1120" s="172">
        <f>IFERROR(__xludf.DUMMYFUNCTION("""COMPUTED_VALUE"""),4.0)</f>
        <v>4</v>
      </c>
      <c r="O1120" s="172"/>
      <c r="P1120" s="313">
        <f>IFERROR(__xludf.DUMMYFUNCTION("""COMPUTED_VALUE"""),0.0)</f>
        <v>0</v>
      </c>
      <c r="Q1120" s="76" t="b">
        <f>VLOOKUP($B1120,'Run Reconcile'!B$2:O1399,14,FALSE)</f>
        <v>1</v>
      </c>
      <c r="R1120" s="314" t="str">
        <f t="array" ref="R1120">IF($Q1120, INDEX('Run Reconcile'!A$2:A1399,MATCH(B1120,'Run Reconcile'!B$2:B1399,0),1),IFERROR(0/0,""))</f>
        <v>RUN-ABRM_2023-04-07_RFR-206</v>
      </c>
      <c r="S1120" s="315" t="str">
        <f t="shared" ref="S1120:T1120" si="2126">IF(COUNTIF(W$2:W1399, $A1120) &gt; 0,TRUE,IFERROR(0/0,""))</f>
        <v/>
      </c>
      <c r="T1120" s="315" t="str">
        <f t="shared" si="2126"/>
        <v/>
      </c>
      <c r="U1120" s="114" t="str">
        <f t="array" ref="U1120">IF(ISBLANK($R1120), INDEX('Run Reconcile'!A$2:A1399, MATCH($B1120, 'Run Reconcile'!B$2:B1399, 0)+Z1120, 1), IFERROR(0/0,""))
</f>
        <v/>
      </c>
      <c r="V1120" s="316" t="str">
        <f t="shared" si="1281"/>
        <v>RUN-ABRM_2023-04-07_RFR-206</v>
      </c>
      <c r="Y1120" s="317" t="str">
        <f t="shared" si="6"/>
        <v/>
      </c>
      <c r="Z1120" s="83" t="str">
        <f t="shared" si="7"/>
        <v/>
      </c>
      <c r="AA1120" s="83" t="str">
        <f t="shared" si="8"/>
        <v/>
      </c>
      <c r="AB1120" s="83" t="str">
        <f t="shared" si="9"/>
        <v/>
      </c>
      <c r="AC1120" s="18"/>
      <c r="AD1120" s="18"/>
      <c r="AE1120" s="43"/>
      <c r="AF1120" s="58" t="s">
        <v>170</v>
      </c>
      <c r="AG1120" s="55" t="str">
        <f t="shared" si="11"/>
        <v/>
      </c>
    </row>
    <row r="1121">
      <c r="A1121" s="7" t="str">
        <f>IFERROR(__xludf.DUMMYFUNCTION("""COMPUTED_VALUE"""),"AR1363")</f>
        <v>AR1363</v>
      </c>
      <c r="B1121" s="308">
        <f>IFERROR(__xludf.DUMMYFUNCTION("""COMPUTED_VALUE"""),45023.0)</f>
        <v>45023</v>
      </c>
      <c r="C1121" s="309">
        <f>IFERROR(__xludf.DUMMYFUNCTION("""COMPUTED_VALUE"""),0.32178240740740743)</f>
        <v>0.3217824074</v>
      </c>
      <c r="D1121" s="7" t="str">
        <f>IFERROR(__xludf.DUMMYFUNCTION("""COMPUTED_VALUE"""),"SpABRM519188")</f>
        <v>SpABRM519188</v>
      </c>
      <c r="E1121" s="310"/>
      <c r="F1121" s="310"/>
      <c r="G1121" s="310" t="str">
        <f>IFERROR(__xludf.DUMMYFUNCTION("""COMPUTED_VALUE"""),"Negative")</f>
        <v>Negative</v>
      </c>
      <c r="H1121" s="319" t="str">
        <f>IFERROR(__xludf.DUMMYFUNCTION("""COMPUTED_VALUE"""),"Negative")</f>
        <v>Negative</v>
      </c>
      <c r="I1121" s="308">
        <f>IFERROR(__xludf.DUMMYFUNCTION("""COMPUTED_VALUE"""),45023.0)</f>
        <v>45023</v>
      </c>
      <c r="J1121" s="311">
        <f>IFERROR(__xludf.DUMMYFUNCTION("""COMPUTED_VALUE"""),0.4188425925925926)</f>
        <v>0.4188425926</v>
      </c>
      <c r="K1121" s="54"/>
      <c r="L1121" s="7"/>
      <c r="M1121" s="312"/>
      <c r="N1121" s="172">
        <f>IFERROR(__xludf.DUMMYFUNCTION("""COMPUTED_VALUE"""),1.0)</f>
        <v>1</v>
      </c>
      <c r="O1121" s="172"/>
      <c r="P1121" s="313">
        <f>IFERROR(__xludf.DUMMYFUNCTION("""COMPUTED_VALUE"""),0.0)</f>
        <v>0</v>
      </c>
      <c r="Q1121" s="76" t="b">
        <f>VLOOKUP($B1121,'Run Reconcile'!B$2:O1399,14,FALSE)</f>
        <v>1</v>
      </c>
      <c r="R1121" s="314" t="str">
        <f t="array" ref="R1121">IF($Q1121, INDEX('Run Reconcile'!A$2:A1399,MATCH(B1121,'Run Reconcile'!B$2:B1399,0),1),IFERROR(0/0,""))</f>
        <v>RUN-ABRM_2023-04-07_RFR-206</v>
      </c>
      <c r="S1121" s="315" t="str">
        <f t="shared" ref="S1121:T1121" si="2127">IF(COUNTIF(W$2:W1399, $A1121) &gt; 0,TRUE,IFERROR(0/0,""))</f>
        <v/>
      </c>
      <c r="T1121" s="315" t="str">
        <f t="shared" si="2127"/>
        <v/>
      </c>
      <c r="U1121" s="114" t="str">
        <f t="array" ref="U1121">IF(ISBLANK($R1121), INDEX('Run Reconcile'!A$2:A1399, MATCH($B1121, 'Run Reconcile'!B$2:B1399, 0)+Z1121, 1), IFERROR(0/0,""))
</f>
        <v/>
      </c>
      <c r="V1121" s="316" t="str">
        <f t="shared" si="1281"/>
        <v>RUN-ABRM_2023-04-07_RFR-206</v>
      </c>
      <c r="Y1121" s="317" t="str">
        <f t="shared" si="6"/>
        <v/>
      </c>
      <c r="Z1121" s="83" t="str">
        <f t="shared" si="7"/>
        <v/>
      </c>
      <c r="AA1121" s="83" t="str">
        <f t="shared" si="8"/>
        <v/>
      </c>
      <c r="AB1121" s="83" t="str">
        <f t="shared" si="9"/>
        <v/>
      </c>
      <c r="AC1121" s="18"/>
      <c r="AD1121" s="18"/>
      <c r="AE1121" s="43"/>
      <c r="AF1121" s="58" t="s">
        <v>170</v>
      </c>
      <c r="AG1121" s="55" t="str">
        <f t="shared" si="11"/>
        <v/>
      </c>
    </row>
    <row r="1122">
      <c r="A1122" s="7" t="str">
        <f>IFERROR(__xludf.DUMMYFUNCTION("""COMPUTED_VALUE"""),"AR963")</f>
        <v>AR963</v>
      </c>
      <c r="B1122" s="308">
        <f>IFERROR(__xludf.DUMMYFUNCTION("""COMPUTED_VALUE"""),45023.0)</f>
        <v>45023</v>
      </c>
      <c r="C1122" s="309">
        <f>IFERROR(__xludf.DUMMYFUNCTION("""COMPUTED_VALUE"""),0.3393055555555556)</f>
        <v>0.3393055556</v>
      </c>
      <c r="D1122" s="7" t="str">
        <f>IFERROR(__xludf.DUMMYFUNCTION("""COMPUTED_VALUE"""),"SpABRM841252")</f>
        <v>SpABRM841252</v>
      </c>
      <c r="E1122" s="310"/>
      <c r="F1122" s="310"/>
      <c r="G1122" s="310" t="str">
        <f>IFERROR(__xludf.DUMMYFUNCTION("""COMPUTED_VALUE"""),"Negative")</f>
        <v>Negative</v>
      </c>
      <c r="H1122" s="319" t="str">
        <f>IFERROR(__xludf.DUMMYFUNCTION("""COMPUTED_VALUE"""),"Negative")</f>
        <v>Negative</v>
      </c>
      <c r="I1122" s="308">
        <f>IFERROR(__xludf.DUMMYFUNCTION("""COMPUTED_VALUE"""),45023.0)</f>
        <v>45023</v>
      </c>
      <c r="J1122" s="311">
        <f>IFERROR(__xludf.DUMMYFUNCTION("""COMPUTED_VALUE"""),0.4188425925925926)</f>
        <v>0.4188425926</v>
      </c>
      <c r="K1122" s="54"/>
      <c r="L1122" s="7"/>
      <c r="M1122" s="312"/>
      <c r="N1122" s="172">
        <f>IFERROR(__xludf.DUMMYFUNCTION("""COMPUTED_VALUE"""),1.0)</f>
        <v>1</v>
      </c>
      <c r="O1122" s="172"/>
      <c r="P1122" s="313">
        <f>IFERROR(__xludf.DUMMYFUNCTION("""COMPUTED_VALUE"""),0.0)</f>
        <v>0</v>
      </c>
      <c r="Q1122" s="76" t="b">
        <f>VLOOKUP($B1122,'Run Reconcile'!B$2:O1399,14,FALSE)</f>
        <v>1</v>
      </c>
      <c r="R1122" s="314" t="str">
        <f t="array" ref="R1122">IF($Q1122, INDEX('Run Reconcile'!A$2:A1399,MATCH(B1122,'Run Reconcile'!B$2:B1399,0),1),IFERROR(0/0,""))</f>
        <v>RUN-ABRM_2023-04-07_RFR-206</v>
      </c>
      <c r="S1122" s="315" t="str">
        <f t="shared" ref="S1122:T1122" si="2128">IF(COUNTIF(W$2:W1399, $A1122) &gt; 0,TRUE,IFERROR(0/0,""))</f>
        <v/>
      </c>
      <c r="T1122" s="315" t="str">
        <f t="shared" si="2128"/>
        <v/>
      </c>
      <c r="U1122" s="114" t="str">
        <f t="array" ref="U1122">IF(ISBLANK($R1122), INDEX('Run Reconcile'!A$2:A1399, MATCH($B1122, 'Run Reconcile'!B$2:B1399, 0)+Z1122, 1), IFERROR(0/0,""))
</f>
        <v/>
      </c>
      <c r="V1122" s="316" t="str">
        <f t="shared" si="1281"/>
        <v>RUN-ABRM_2023-04-07_RFR-206</v>
      </c>
      <c r="Y1122" s="317" t="str">
        <f t="shared" si="6"/>
        <v/>
      </c>
      <c r="Z1122" s="83" t="str">
        <f t="shared" si="7"/>
        <v/>
      </c>
      <c r="AA1122" s="83" t="str">
        <f t="shared" si="8"/>
        <v/>
      </c>
      <c r="AB1122" s="83" t="str">
        <f t="shared" si="9"/>
        <v/>
      </c>
      <c r="AC1122" s="18"/>
      <c r="AD1122" s="18"/>
      <c r="AE1122" s="43"/>
      <c r="AF1122" s="58" t="s">
        <v>170</v>
      </c>
      <c r="AG1122" s="55" t="str">
        <f t="shared" si="11"/>
        <v/>
      </c>
    </row>
    <row r="1123">
      <c r="A1123" s="7" t="str">
        <f>IFERROR(__xludf.DUMMYFUNCTION("""COMPUTED_VALUE"""),"AR629")</f>
        <v>AR629</v>
      </c>
      <c r="B1123" s="308">
        <f>IFERROR(__xludf.DUMMYFUNCTION("""COMPUTED_VALUE"""),45023.0)</f>
        <v>45023</v>
      </c>
      <c r="C1123" s="309">
        <f>IFERROR(__xludf.DUMMYFUNCTION("""COMPUTED_VALUE"""),0.3396180555555556)</f>
        <v>0.3396180556</v>
      </c>
      <c r="D1123" s="7" t="str">
        <f>IFERROR(__xludf.DUMMYFUNCTION("""COMPUTED_VALUE"""),"SpABRM841252")</f>
        <v>SpABRM841252</v>
      </c>
      <c r="E1123" s="310"/>
      <c r="F1123" s="310"/>
      <c r="G1123" s="310" t="str">
        <f>IFERROR(__xludf.DUMMYFUNCTION("""COMPUTED_VALUE"""),"Negative")</f>
        <v>Negative</v>
      </c>
      <c r="H1123" s="319" t="str">
        <f>IFERROR(__xludf.DUMMYFUNCTION("""COMPUTED_VALUE"""),"Negative")</f>
        <v>Negative</v>
      </c>
      <c r="I1123" s="308">
        <f>IFERROR(__xludf.DUMMYFUNCTION("""COMPUTED_VALUE"""),45023.0)</f>
        <v>45023</v>
      </c>
      <c r="J1123" s="311">
        <f>IFERROR(__xludf.DUMMYFUNCTION("""COMPUTED_VALUE"""),0.4188425925925926)</f>
        <v>0.4188425926</v>
      </c>
      <c r="K1123" s="54"/>
      <c r="L1123" s="7"/>
      <c r="M1123" s="312"/>
      <c r="N1123" s="172">
        <f>IFERROR(__xludf.DUMMYFUNCTION("""COMPUTED_VALUE"""),1.0)</f>
        <v>1</v>
      </c>
      <c r="O1123" s="172"/>
      <c r="P1123" s="313">
        <f>IFERROR(__xludf.DUMMYFUNCTION("""COMPUTED_VALUE"""),0.0)</f>
        <v>0</v>
      </c>
      <c r="Q1123" s="76" t="b">
        <f>VLOOKUP($B1123,'Run Reconcile'!B$2:O1399,14,FALSE)</f>
        <v>1</v>
      </c>
      <c r="R1123" s="314" t="str">
        <f t="array" ref="R1123">IF($Q1123, INDEX('Run Reconcile'!A$2:A1399,MATCH(B1123,'Run Reconcile'!B$2:B1399,0),1),IFERROR(0/0,""))</f>
        <v>RUN-ABRM_2023-04-07_RFR-206</v>
      </c>
      <c r="S1123" s="315" t="str">
        <f t="shared" ref="S1123:T1123" si="2129">IF(COUNTIF(W$2:W1399, $A1123) &gt; 0,TRUE,IFERROR(0/0,""))</f>
        <v/>
      </c>
      <c r="T1123" s="315" t="str">
        <f t="shared" si="2129"/>
        <v/>
      </c>
      <c r="U1123" s="114" t="str">
        <f t="array" ref="U1123">IF(ISBLANK($R1123), INDEX('Run Reconcile'!A$2:A1399, MATCH($B1123, 'Run Reconcile'!B$2:B1399, 0)+Z1123, 1), IFERROR(0/0,""))
</f>
        <v/>
      </c>
      <c r="V1123" s="316" t="str">
        <f t="shared" si="1281"/>
        <v>RUN-ABRM_2023-04-07_RFR-206</v>
      </c>
      <c r="Y1123" s="317" t="str">
        <f t="shared" si="6"/>
        <v/>
      </c>
      <c r="Z1123" s="83" t="str">
        <f t="shared" si="7"/>
        <v/>
      </c>
      <c r="AA1123" s="83" t="str">
        <f t="shared" si="8"/>
        <v/>
      </c>
      <c r="AB1123" s="83" t="str">
        <f t="shared" si="9"/>
        <v/>
      </c>
      <c r="AC1123" s="18"/>
      <c r="AD1123" s="18"/>
      <c r="AE1123" s="43"/>
      <c r="AF1123" s="58" t="s">
        <v>170</v>
      </c>
      <c r="AG1123" s="55" t="str">
        <f t="shared" si="11"/>
        <v/>
      </c>
    </row>
    <row r="1124">
      <c r="A1124" s="7" t="str">
        <f>IFERROR(__xludf.DUMMYFUNCTION("""COMPUTED_VALUE"""),"AR87")</f>
        <v>AR87</v>
      </c>
      <c r="B1124" s="308">
        <f>IFERROR(__xludf.DUMMYFUNCTION("""COMPUTED_VALUE"""),45026.0)</f>
        <v>45026</v>
      </c>
      <c r="C1124" s="309">
        <f>IFERROR(__xludf.DUMMYFUNCTION("""COMPUTED_VALUE"""),0.24325231481481482)</f>
        <v>0.2432523148</v>
      </c>
      <c r="D1124" s="7" t="str">
        <f>IFERROR(__xludf.DUMMYFUNCTION("""COMPUTED_VALUE"""),"SpABRM297307")</f>
        <v>SpABRM297307</v>
      </c>
      <c r="E1124" s="310"/>
      <c r="F1124" s="310"/>
      <c r="G1124" s="310" t="str">
        <f>IFERROR(__xludf.DUMMYFUNCTION("""COMPUTED_VALUE"""),"Negative")</f>
        <v>Negative</v>
      </c>
      <c r="H1124" s="319" t="str">
        <f>IFERROR(__xludf.DUMMYFUNCTION("""COMPUTED_VALUE"""),"Negative")</f>
        <v>Negative</v>
      </c>
      <c r="I1124" s="308">
        <f>IFERROR(__xludf.DUMMYFUNCTION("""COMPUTED_VALUE"""),45026.0)</f>
        <v>45026</v>
      </c>
      <c r="J1124" s="311">
        <f>IFERROR(__xludf.DUMMYFUNCTION("""COMPUTED_VALUE"""),0.408125)</f>
        <v>0.408125</v>
      </c>
      <c r="K1124" s="54"/>
      <c r="L1124" s="7"/>
      <c r="M1124" s="312"/>
      <c r="N1124" s="172">
        <f>IFERROR(__xludf.DUMMYFUNCTION("""COMPUTED_VALUE"""),3.0)</f>
        <v>3</v>
      </c>
      <c r="O1124" s="172"/>
      <c r="P1124" s="313">
        <f>IFERROR(__xludf.DUMMYFUNCTION("""COMPUTED_VALUE"""),0.0)</f>
        <v>0</v>
      </c>
      <c r="Q1124" s="76" t="b">
        <f>VLOOKUP($B1124,'Run Reconcile'!B$2:O1399,14,FALSE)</f>
        <v>1</v>
      </c>
      <c r="R1124" s="314" t="str">
        <f t="array" ref="R1124">IF($Q1124, INDEX('Run Reconcile'!A$2:A1399,MATCH(B1124,'Run Reconcile'!B$2:B1399,0),1),IFERROR(0/0,""))</f>
        <v>RUN-ABRM_2023-04-10_RFR-207</v>
      </c>
      <c r="S1124" s="315" t="str">
        <f t="shared" ref="S1124:T1124" si="2130">IF(COUNTIF(W$2:W1399, $A1124) &gt; 0,TRUE,IFERROR(0/0,""))</f>
        <v/>
      </c>
      <c r="T1124" s="315" t="str">
        <f t="shared" si="2130"/>
        <v/>
      </c>
      <c r="U1124" s="114" t="str">
        <f t="array" ref="U1124">IF(ISBLANK($R1124), INDEX('Run Reconcile'!A$2:A1399, MATCH($B1124, 'Run Reconcile'!B$2:B1399, 0)+Z1124, 1), IFERROR(0/0,""))
</f>
        <v/>
      </c>
      <c r="V1124" s="316" t="str">
        <f t="shared" si="1281"/>
        <v>RUN-ABRM_2023-04-10_RFR-207</v>
      </c>
      <c r="Y1124" s="317" t="str">
        <f t="shared" si="6"/>
        <v/>
      </c>
      <c r="Z1124" s="83" t="str">
        <f t="shared" si="7"/>
        <v/>
      </c>
      <c r="AA1124" s="83" t="str">
        <f t="shared" si="8"/>
        <v/>
      </c>
      <c r="AB1124" s="83" t="str">
        <f t="shared" si="9"/>
        <v/>
      </c>
      <c r="AC1124" s="18"/>
      <c r="AD1124" s="18"/>
      <c r="AE1124" s="43"/>
      <c r="AF1124" s="58" t="s">
        <v>171</v>
      </c>
      <c r="AG1124" s="55" t="str">
        <f t="shared" si="11"/>
        <v/>
      </c>
    </row>
    <row r="1125">
      <c r="A1125" s="7" t="str">
        <f>IFERROR(__xludf.DUMMYFUNCTION("""COMPUTED_VALUE"""),"AE9967")</f>
        <v>AE9967</v>
      </c>
      <c r="B1125" s="308">
        <f>IFERROR(__xludf.DUMMYFUNCTION("""COMPUTED_VALUE"""),45026.0)</f>
        <v>45026</v>
      </c>
      <c r="C1125" s="309">
        <f>IFERROR(__xludf.DUMMYFUNCTION("""COMPUTED_VALUE"""),0.2554513888888889)</f>
        <v>0.2554513889</v>
      </c>
      <c r="D1125" s="7" t="str">
        <f>IFERROR(__xludf.DUMMYFUNCTION("""COMPUTED_VALUE"""),"SpABRM581899")</f>
        <v>SpABRM581899</v>
      </c>
      <c r="E1125" s="310"/>
      <c r="F1125" s="310"/>
      <c r="G1125" s="310" t="str">
        <f>IFERROR(__xludf.DUMMYFUNCTION("""COMPUTED_VALUE"""),"Negative")</f>
        <v>Negative</v>
      </c>
      <c r="H1125" s="319" t="str">
        <f>IFERROR(__xludf.DUMMYFUNCTION("""COMPUTED_VALUE"""),"Negative")</f>
        <v>Negative</v>
      </c>
      <c r="I1125" s="308">
        <f>IFERROR(__xludf.DUMMYFUNCTION("""COMPUTED_VALUE"""),45026.0)</f>
        <v>45026</v>
      </c>
      <c r="J1125" s="311">
        <f>IFERROR(__xludf.DUMMYFUNCTION("""COMPUTED_VALUE"""),0.408125)</f>
        <v>0.408125</v>
      </c>
      <c r="K1125" s="54"/>
      <c r="L1125" s="7"/>
      <c r="M1125" s="312"/>
      <c r="N1125" s="172">
        <f>IFERROR(__xludf.DUMMYFUNCTION("""COMPUTED_VALUE"""),3.0)</f>
        <v>3</v>
      </c>
      <c r="O1125" s="172"/>
      <c r="P1125" s="313">
        <f>IFERROR(__xludf.DUMMYFUNCTION("""COMPUTED_VALUE"""),0.0)</f>
        <v>0</v>
      </c>
      <c r="Q1125" s="76" t="b">
        <f>VLOOKUP($B1125,'Run Reconcile'!B$2:O1399,14,FALSE)</f>
        <v>1</v>
      </c>
      <c r="R1125" s="314" t="str">
        <f t="array" ref="R1125">IF($Q1125, INDEX('Run Reconcile'!A$2:A1399,MATCH(B1125,'Run Reconcile'!B$2:B1399,0),1),IFERROR(0/0,""))</f>
        <v>RUN-ABRM_2023-04-10_RFR-207</v>
      </c>
      <c r="S1125" s="315" t="str">
        <f t="shared" ref="S1125:T1125" si="2131">IF(COUNTIF(W$2:W1399, $A1125) &gt; 0,TRUE,IFERROR(0/0,""))</f>
        <v/>
      </c>
      <c r="T1125" s="315" t="str">
        <f t="shared" si="2131"/>
        <v/>
      </c>
      <c r="U1125" s="114" t="str">
        <f t="array" ref="U1125">IF(ISBLANK($R1125), INDEX('Run Reconcile'!A$2:A1399, MATCH($B1125, 'Run Reconcile'!B$2:B1399, 0)+Z1125, 1), IFERROR(0/0,""))
</f>
        <v/>
      </c>
      <c r="V1125" s="316" t="str">
        <f t="shared" si="1281"/>
        <v>RUN-ABRM_2023-04-10_RFR-207</v>
      </c>
      <c r="Y1125" s="317" t="str">
        <f t="shared" si="6"/>
        <v/>
      </c>
      <c r="Z1125" s="83" t="str">
        <f t="shared" si="7"/>
        <v/>
      </c>
      <c r="AA1125" s="83" t="str">
        <f t="shared" si="8"/>
        <v/>
      </c>
      <c r="AB1125" s="83" t="str">
        <f t="shared" si="9"/>
        <v/>
      </c>
      <c r="AC1125" s="18"/>
      <c r="AD1125" s="18"/>
      <c r="AE1125" s="43"/>
      <c r="AF1125" s="58" t="s">
        <v>171</v>
      </c>
      <c r="AG1125" s="55" t="str">
        <f t="shared" si="11"/>
        <v/>
      </c>
    </row>
    <row r="1126">
      <c r="A1126" s="7" t="str">
        <f>IFERROR(__xludf.DUMMYFUNCTION("""COMPUTED_VALUE"""),"AR910")</f>
        <v>AR910</v>
      </c>
      <c r="B1126" s="308">
        <f>IFERROR(__xludf.DUMMYFUNCTION("""COMPUTED_VALUE"""),45026.0)</f>
        <v>45026</v>
      </c>
      <c r="C1126" s="309">
        <f>IFERROR(__xludf.DUMMYFUNCTION("""COMPUTED_VALUE"""),0.26686342592592593)</f>
        <v>0.2668634259</v>
      </c>
      <c r="D1126" s="7" t="str">
        <f>IFERROR(__xludf.DUMMYFUNCTION("""COMPUTED_VALUE"""),"SpABRM716377")</f>
        <v>SpABRM716377</v>
      </c>
      <c r="E1126" s="310"/>
      <c r="F1126" s="310"/>
      <c r="G1126" s="310" t="str">
        <f>IFERROR(__xludf.DUMMYFUNCTION("""COMPUTED_VALUE"""),"Negative")</f>
        <v>Negative</v>
      </c>
      <c r="H1126" s="319" t="str">
        <f>IFERROR(__xludf.DUMMYFUNCTION("""COMPUTED_VALUE"""),"Negative")</f>
        <v>Negative</v>
      </c>
      <c r="I1126" s="308">
        <f>IFERROR(__xludf.DUMMYFUNCTION("""COMPUTED_VALUE"""),45026.0)</f>
        <v>45026</v>
      </c>
      <c r="J1126" s="311">
        <f>IFERROR(__xludf.DUMMYFUNCTION("""COMPUTED_VALUE"""),0.408125)</f>
        <v>0.408125</v>
      </c>
      <c r="K1126" s="54"/>
      <c r="L1126" s="7"/>
      <c r="M1126" s="312"/>
      <c r="N1126" s="172">
        <f>IFERROR(__xludf.DUMMYFUNCTION("""COMPUTED_VALUE"""),2.0)</f>
        <v>2</v>
      </c>
      <c r="O1126" s="172"/>
      <c r="P1126" s="313">
        <f>IFERROR(__xludf.DUMMYFUNCTION("""COMPUTED_VALUE"""),0.0)</f>
        <v>0</v>
      </c>
      <c r="Q1126" s="76" t="b">
        <f>VLOOKUP($B1126,'Run Reconcile'!B$2:O1399,14,FALSE)</f>
        <v>1</v>
      </c>
      <c r="R1126" s="314" t="str">
        <f t="array" ref="R1126">IF($Q1126, INDEX('Run Reconcile'!A$2:A1399,MATCH(B1126,'Run Reconcile'!B$2:B1399,0),1),IFERROR(0/0,""))</f>
        <v>RUN-ABRM_2023-04-10_RFR-207</v>
      </c>
      <c r="S1126" s="315" t="str">
        <f t="shared" ref="S1126:T1126" si="2132">IF(COUNTIF(W$2:W1399, $A1126) &gt; 0,TRUE,IFERROR(0/0,""))</f>
        <v/>
      </c>
      <c r="T1126" s="315" t="str">
        <f t="shared" si="2132"/>
        <v/>
      </c>
      <c r="U1126" s="114" t="str">
        <f t="array" ref="U1126">IF(ISBLANK($R1126), INDEX('Run Reconcile'!A$2:A1399, MATCH($B1126, 'Run Reconcile'!B$2:B1399, 0)+Z1126, 1), IFERROR(0/0,""))
</f>
        <v/>
      </c>
      <c r="V1126" s="316" t="str">
        <f t="shared" si="1281"/>
        <v>RUN-ABRM_2023-04-10_RFR-207</v>
      </c>
      <c r="Y1126" s="317" t="str">
        <f t="shared" si="6"/>
        <v/>
      </c>
      <c r="Z1126" s="83" t="str">
        <f t="shared" si="7"/>
        <v/>
      </c>
      <c r="AA1126" s="83" t="str">
        <f t="shared" si="8"/>
        <v/>
      </c>
      <c r="AB1126" s="83" t="str">
        <f t="shared" si="9"/>
        <v/>
      </c>
      <c r="AC1126" s="18"/>
      <c r="AD1126" s="18"/>
      <c r="AE1126" s="43"/>
      <c r="AF1126" s="58" t="s">
        <v>171</v>
      </c>
      <c r="AG1126" s="55" t="str">
        <f t="shared" si="11"/>
        <v/>
      </c>
    </row>
    <row r="1127">
      <c r="A1127" s="7" t="str">
        <f>IFERROR(__xludf.DUMMYFUNCTION("""COMPUTED_VALUE"""),"AR1688")</f>
        <v>AR1688</v>
      </c>
      <c r="B1127" s="308">
        <f>IFERROR(__xludf.DUMMYFUNCTION("""COMPUTED_VALUE"""),45026.0)</f>
        <v>45026</v>
      </c>
      <c r="C1127" s="309">
        <f>IFERROR(__xludf.DUMMYFUNCTION("""COMPUTED_VALUE"""),0.27650462962962963)</f>
        <v>0.2765046296</v>
      </c>
      <c r="D1127" s="7" t="str">
        <f>IFERROR(__xludf.DUMMYFUNCTION("""COMPUTED_VALUE"""),"SpABRM128250")</f>
        <v>SpABRM128250</v>
      </c>
      <c r="E1127" s="310"/>
      <c r="F1127" s="310"/>
      <c r="G1127" s="310" t="str">
        <f>IFERROR(__xludf.DUMMYFUNCTION("""COMPUTED_VALUE"""),"Negative")</f>
        <v>Negative</v>
      </c>
      <c r="H1127" s="319" t="str">
        <f>IFERROR(__xludf.DUMMYFUNCTION("""COMPUTED_VALUE"""),"Negative")</f>
        <v>Negative</v>
      </c>
      <c r="I1127" s="308">
        <f>IFERROR(__xludf.DUMMYFUNCTION("""COMPUTED_VALUE"""),45026.0)</f>
        <v>45026</v>
      </c>
      <c r="J1127" s="311">
        <f>IFERROR(__xludf.DUMMYFUNCTION("""COMPUTED_VALUE"""),0.408125)</f>
        <v>0.408125</v>
      </c>
      <c r="K1127" s="54"/>
      <c r="L1127" s="7"/>
      <c r="M1127" s="312"/>
      <c r="N1127" s="172">
        <f>IFERROR(__xludf.DUMMYFUNCTION("""COMPUTED_VALUE"""),3.0)</f>
        <v>3</v>
      </c>
      <c r="O1127" s="172"/>
      <c r="P1127" s="313">
        <f>IFERROR(__xludf.DUMMYFUNCTION("""COMPUTED_VALUE"""),0.0)</f>
        <v>0</v>
      </c>
      <c r="Q1127" s="76" t="b">
        <f>VLOOKUP($B1127,'Run Reconcile'!B$2:O1399,14,FALSE)</f>
        <v>1</v>
      </c>
      <c r="R1127" s="314" t="str">
        <f t="array" ref="R1127">IF($Q1127, INDEX('Run Reconcile'!A$2:A1399,MATCH(B1127,'Run Reconcile'!B$2:B1399,0),1),IFERROR(0/0,""))</f>
        <v>RUN-ABRM_2023-04-10_RFR-207</v>
      </c>
      <c r="S1127" s="315" t="str">
        <f t="shared" ref="S1127:T1127" si="2133">IF(COUNTIF(W$2:W1399, $A1127) &gt; 0,TRUE,IFERROR(0/0,""))</f>
        <v/>
      </c>
      <c r="T1127" s="315" t="str">
        <f t="shared" si="2133"/>
        <v/>
      </c>
      <c r="U1127" s="114" t="str">
        <f t="array" ref="U1127">IF(ISBLANK($R1127), INDEX('Run Reconcile'!A$2:A1399, MATCH($B1127, 'Run Reconcile'!B$2:B1399, 0)+Z1127, 1), IFERROR(0/0,""))
</f>
        <v/>
      </c>
      <c r="V1127" s="316" t="str">
        <f t="shared" si="1281"/>
        <v>RUN-ABRM_2023-04-10_RFR-207</v>
      </c>
      <c r="Y1127" s="317" t="str">
        <f t="shared" si="6"/>
        <v/>
      </c>
      <c r="Z1127" s="83" t="str">
        <f t="shared" si="7"/>
        <v/>
      </c>
      <c r="AA1127" s="83" t="str">
        <f t="shared" si="8"/>
        <v/>
      </c>
      <c r="AB1127" s="83" t="str">
        <f t="shared" si="9"/>
        <v/>
      </c>
      <c r="AC1127" s="18"/>
      <c r="AD1127" s="18"/>
      <c r="AE1127" s="43"/>
      <c r="AF1127" s="58" t="s">
        <v>171</v>
      </c>
      <c r="AG1127" s="55" t="str">
        <f t="shared" si="11"/>
        <v/>
      </c>
    </row>
    <row r="1128">
      <c r="A1128" s="7" t="str">
        <f>IFERROR(__xludf.DUMMYFUNCTION("""COMPUTED_VALUE"""),"AK9893")</f>
        <v>AK9893</v>
      </c>
      <c r="B1128" s="308">
        <f>IFERROR(__xludf.DUMMYFUNCTION("""COMPUTED_VALUE"""),45026.0)</f>
        <v>45026</v>
      </c>
      <c r="C1128" s="309">
        <f>IFERROR(__xludf.DUMMYFUNCTION("""COMPUTED_VALUE"""),0.29627314814814815)</f>
        <v>0.2962731481</v>
      </c>
      <c r="D1128" s="7" t="str">
        <f>IFERROR(__xludf.DUMMYFUNCTION("""COMPUTED_VALUE"""),"SpABRM367540")</f>
        <v>SpABRM367540</v>
      </c>
      <c r="E1128" s="310"/>
      <c r="F1128" s="310"/>
      <c r="G1128" s="310" t="str">
        <f>IFERROR(__xludf.DUMMYFUNCTION("""COMPUTED_VALUE"""),"Negative")</f>
        <v>Negative</v>
      </c>
      <c r="H1128" s="319" t="str">
        <f>IFERROR(__xludf.DUMMYFUNCTION("""COMPUTED_VALUE"""),"Negative")</f>
        <v>Negative</v>
      </c>
      <c r="I1128" s="308">
        <f>IFERROR(__xludf.DUMMYFUNCTION("""COMPUTED_VALUE"""),45026.0)</f>
        <v>45026</v>
      </c>
      <c r="J1128" s="311">
        <f>IFERROR(__xludf.DUMMYFUNCTION("""COMPUTED_VALUE"""),0.40813657407407405)</f>
        <v>0.4081365741</v>
      </c>
      <c r="K1128" s="54"/>
      <c r="L1128" s="7"/>
      <c r="M1128" s="312"/>
      <c r="N1128" s="172">
        <f>IFERROR(__xludf.DUMMYFUNCTION("""COMPUTED_VALUE"""),3.0)</f>
        <v>3</v>
      </c>
      <c r="O1128" s="172"/>
      <c r="P1128" s="313">
        <f>IFERROR(__xludf.DUMMYFUNCTION("""COMPUTED_VALUE"""),0.0)</f>
        <v>0</v>
      </c>
      <c r="Q1128" s="76" t="b">
        <f>VLOOKUP($B1128,'Run Reconcile'!B$2:O1399,14,FALSE)</f>
        <v>1</v>
      </c>
      <c r="R1128" s="314" t="str">
        <f t="array" ref="R1128">IF($Q1128, INDEX('Run Reconcile'!A$2:A1399,MATCH(B1128,'Run Reconcile'!B$2:B1399,0),1),IFERROR(0/0,""))</f>
        <v>RUN-ABRM_2023-04-10_RFR-207</v>
      </c>
      <c r="S1128" s="315" t="str">
        <f t="shared" ref="S1128:T1128" si="2134">IF(COUNTIF(W$2:W1399, $A1128) &gt; 0,TRUE,IFERROR(0/0,""))</f>
        <v/>
      </c>
      <c r="T1128" s="315" t="str">
        <f t="shared" si="2134"/>
        <v/>
      </c>
      <c r="U1128" s="114" t="str">
        <f t="array" ref="U1128">IF(ISBLANK($R1128), INDEX('Run Reconcile'!A$2:A1399, MATCH($B1128, 'Run Reconcile'!B$2:B1399, 0)+Z1128, 1), IFERROR(0/0,""))
</f>
        <v/>
      </c>
      <c r="V1128" s="316" t="str">
        <f t="shared" si="1281"/>
        <v>RUN-ABRM_2023-04-10_RFR-207</v>
      </c>
      <c r="Y1128" s="317" t="str">
        <f t="shared" si="6"/>
        <v/>
      </c>
      <c r="Z1128" s="83" t="str">
        <f t="shared" si="7"/>
        <v/>
      </c>
      <c r="AA1128" s="83" t="str">
        <f t="shared" si="8"/>
        <v/>
      </c>
      <c r="AB1128" s="83" t="str">
        <f t="shared" si="9"/>
        <v/>
      </c>
      <c r="AC1128" s="18"/>
      <c r="AD1128" s="18"/>
      <c r="AE1128" s="43"/>
      <c r="AF1128" s="58" t="s">
        <v>171</v>
      </c>
      <c r="AG1128" s="55" t="str">
        <f t="shared" si="11"/>
        <v/>
      </c>
    </row>
    <row r="1129">
      <c r="A1129" s="7" t="str">
        <f>IFERROR(__xludf.DUMMYFUNCTION("""COMPUTED_VALUE"""),"AR722")</f>
        <v>AR722</v>
      </c>
      <c r="B1129" s="308">
        <f>IFERROR(__xludf.DUMMYFUNCTION("""COMPUTED_VALUE"""),45026.0)</f>
        <v>45026</v>
      </c>
      <c r="C1129" s="309">
        <f>IFERROR(__xludf.DUMMYFUNCTION("""COMPUTED_VALUE"""),0.3040277777777778)</f>
        <v>0.3040277778</v>
      </c>
      <c r="D1129" s="7" t="str">
        <f>IFERROR(__xludf.DUMMYFUNCTION("""COMPUTED_VALUE"""),"SpABRM519188")</f>
        <v>SpABRM519188</v>
      </c>
      <c r="E1129" s="310"/>
      <c r="F1129" s="310"/>
      <c r="G1129" s="310" t="str">
        <f>IFERROR(__xludf.DUMMYFUNCTION("""COMPUTED_VALUE"""),"Negative")</f>
        <v>Negative</v>
      </c>
      <c r="H1129" s="319" t="str">
        <f>IFERROR(__xludf.DUMMYFUNCTION("""COMPUTED_VALUE"""),"Negative")</f>
        <v>Negative</v>
      </c>
      <c r="I1129" s="308">
        <f>IFERROR(__xludf.DUMMYFUNCTION("""COMPUTED_VALUE"""),45026.0)</f>
        <v>45026</v>
      </c>
      <c r="J1129" s="311">
        <f>IFERROR(__xludf.DUMMYFUNCTION("""COMPUTED_VALUE"""),0.40813657407407405)</f>
        <v>0.4081365741</v>
      </c>
      <c r="K1129" s="54"/>
      <c r="L1129" s="7"/>
      <c r="M1129" s="312"/>
      <c r="N1129" s="172">
        <f>IFERROR(__xludf.DUMMYFUNCTION("""COMPUTED_VALUE"""),1.0)</f>
        <v>1</v>
      </c>
      <c r="O1129" s="172"/>
      <c r="P1129" s="313">
        <f>IFERROR(__xludf.DUMMYFUNCTION("""COMPUTED_VALUE"""),0.0)</f>
        <v>0</v>
      </c>
      <c r="Q1129" s="76" t="b">
        <f>VLOOKUP($B1129,'Run Reconcile'!B$2:O1399,14,FALSE)</f>
        <v>1</v>
      </c>
      <c r="R1129" s="314" t="str">
        <f t="array" ref="R1129">IF($Q1129, INDEX('Run Reconcile'!A$2:A1399,MATCH(B1129,'Run Reconcile'!B$2:B1399,0),1),IFERROR(0/0,""))</f>
        <v>RUN-ABRM_2023-04-10_RFR-207</v>
      </c>
      <c r="S1129" s="315" t="str">
        <f t="shared" ref="S1129:T1129" si="2135">IF(COUNTIF(W$2:W1399, $A1129) &gt; 0,TRUE,IFERROR(0/0,""))</f>
        <v/>
      </c>
      <c r="T1129" s="315" t="str">
        <f t="shared" si="2135"/>
        <v/>
      </c>
      <c r="U1129" s="114" t="str">
        <f t="array" ref="U1129">IF(ISBLANK($R1129), INDEX('Run Reconcile'!A$2:A1399, MATCH($B1129, 'Run Reconcile'!B$2:B1399, 0)+Z1129, 1), IFERROR(0/0,""))
</f>
        <v/>
      </c>
      <c r="V1129" s="316" t="str">
        <f t="shared" si="1281"/>
        <v>RUN-ABRM_2023-04-10_RFR-207</v>
      </c>
      <c r="Y1129" s="317" t="str">
        <f t="shared" si="6"/>
        <v/>
      </c>
      <c r="Z1129" s="83" t="str">
        <f t="shared" si="7"/>
        <v/>
      </c>
      <c r="AA1129" s="83" t="str">
        <f t="shared" si="8"/>
        <v/>
      </c>
      <c r="AB1129" s="83" t="str">
        <f t="shared" si="9"/>
        <v/>
      </c>
      <c r="AC1129" s="18"/>
      <c r="AD1129" s="18"/>
      <c r="AE1129" s="43"/>
      <c r="AF1129" s="58" t="s">
        <v>171</v>
      </c>
      <c r="AG1129" s="55" t="str">
        <f t="shared" si="11"/>
        <v/>
      </c>
    </row>
    <row r="1130">
      <c r="A1130" s="7" t="str">
        <f>IFERROR(__xludf.DUMMYFUNCTION("""COMPUTED_VALUE"""),"AR1207")</f>
        <v>AR1207</v>
      </c>
      <c r="B1130" s="308">
        <f>IFERROR(__xludf.DUMMYFUNCTION("""COMPUTED_VALUE"""),45026.0)</f>
        <v>45026</v>
      </c>
      <c r="C1130" s="309">
        <f>IFERROR(__xludf.DUMMYFUNCTION("""COMPUTED_VALUE"""),0.3285416666666667)</f>
        <v>0.3285416667</v>
      </c>
      <c r="D1130" s="7" t="str">
        <f>IFERROR(__xludf.DUMMYFUNCTION("""COMPUTED_VALUE"""),"SpABRM841252")</f>
        <v>SpABRM841252</v>
      </c>
      <c r="E1130" s="310"/>
      <c r="F1130" s="310"/>
      <c r="G1130" s="310" t="str">
        <f>IFERROR(__xludf.DUMMYFUNCTION("""COMPUTED_VALUE"""),"Negative")</f>
        <v>Negative</v>
      </c>
      <c r="H1130" s="319" t="str">
        <f>IFERROR(__xludf.DUMMYFUNCTION("""COMPUTED_VALUE"""),"Negative")</f>
        <v>Negative</v>
      </c>
      <c r="I1130" s="308">
        <f>IFERROR(__xludf.DUMMYFUNCTION("""COMPUTED_VALUE"""),45026.0)</f>
        <v>45026</v>
      </c>
      <c r="J1130" s="311">
        <f>IFERROR(__xludf.DUMMYFUNCTION("""COMPUTED_VALUE"""),0.40813657407407405)</f>
        <v>0.4081365741</v>
      </c>
      <c r="K1130" s="54"/>
      <c r="L1130" s="7"/>
      <c r="M1130" s="312"/>
      <c r="N1130" s="172">
        <f>IFERROR(__xludf.DUMMYFUNCTION("""COMPUTED_VALUE"""),1.0)</f>
        <v>1</v>
      </c>
      <c r="O1130" s="172"/>
      <c r="P1130" s="313">
        <f>IFERROR(__xludf.DUMMYFUNCTION("""COMPUTED_VALUE"""),0.0)</f>
        <v>0</v>
      </c>
      <c r="Q1130" s="76" t="b">
        <f>VLOOKUP($B1130,'Run Reconcile'!B$2:O1399,14,FALSE)</f>
        <v>1</v>
      </c>
      <c r="R1130" s="314" t="str">
        <f t="array" ref="R1130">IF($Q1130, INDEX('Run Reconcile'!A$2:A1399,MATCH(B1130,'Run Reconcile'!B$2:B1399,0),1),IFERROR(0/0,""))</f>
        <v>RUN-ABRM_2023-04-10_RFR-207</v>
      </c>
      <c r="S1130" s="315" t="str">
        <f t="shared" ref="S1130:T1130" si="2136">IF(COUNTIF(W$2:W1399, $A1130) &gt; 0,TRUE,IFERROR(0/0,""))</f>
        <v/>
      </c>
      <c r="T1130" s="315" t="str">
        <f t="shared" si="2136"/>
        <v/>
      </c>
      <c r="U1130" s="114" t="str">
        <f t="array" ref="U1130">IF(ISBLANK($R1130), INDEX('Run Reconcile'!A$2:A1399, MATCH($B1130, 'Run Reconcile'!B$2:B1399, 0)+Z1130, 1), IFERROR(0/0,""))
</f>
        <v/>
      </c>
      <c r="V1130" s="316" t="str">
        <f t="shared" si="1281"/>
        <v>RUN-ABRM_2023-04-10_RFR-207</v>
      </c>
      <c r="Y1130" s="317" t="str">
        <f t="shared" si="6"/>
        <v/>
      </c>
      <c r="Z1130" s="83" t="str">
        <f t="shared" si="7"/>
        <v/>
      </c>
      <c r="AA1130" s="83" t="str">
        <f t="shared" si="8"/>
        <v/>
      </c>
      <c r="AB1130" s="83" t="str">
        <f t="shared" si="9"/>
        <v/>
      </c>
      <c r="AC1130" s="18"/>
      <c r="AD1130" s="18"/>
      <c r="AE1130" s="43"/>
      <c r="AF1130" s="58" t="s">
        <v>171</v>
      </c>
      <c r="AG1130" s="55" t="str">
        <f t="shared" si="11"/>
        <v/>
      </c>
    </row>
    <row r="1131">
      <c r="A1131" s="7" t="str">
        <f>IFERROR(__xludf.DUMMYFUNCTION("""COMPUTED_VALUE"""),"AR645")</f>
        <v>AR645</v>
      </c>
      <c r="B1131" s="308">
        <f>IFERROR(__xludf.DUMMYFUNCTION("""COMPUTED_VALUE"""),45026.0)</f>
        <v>45026</v>
      </c>
      <c r="C1131" s="309">
        <f>IFERROR(__xludf.DUMMYFUNCTION("""COMPUTED_VALUE"""),0.32880787037037035)</f>
        <v>0.3288078704</v>
      </c>
      <c r="D1131" s="7" t="str">
        <f>IFERROR(__xludf.DUMMYFUNCTION("""COMPUTED_VALUE"""),"SpABRM841252")</f>
        <v>SpABRM841252</v>
      </c>
      <c r="E1131" s="310"/>
      <c r="F1131" s="310"/>
      <c r="G1131" s="310" t="str">
        <f>IFERROR(__xludf.DUMMYFUNCTION("""COMPUTED_VALUE"""),"Negative")</f>
        <v>Negative</v>
      </c>
      <c r="H1131" s="319" t="str">
        <f>IFERROR(__xludf.DUMMYFUNCTION("""COMPUTED_VALUE"""),"Negative")</f>
        <v>Negative</v>
      </c>
      <c r="I1131" s="308">
        <f>IFERROR(__xludf.DUMMYFUNCTION("""COMPUTED_VALUE"""),45026.0)</f>
        <v>45026</v>
      </c>
      <c r="J1131" s="311">
        <f>IFERROR(__xludf.DUMMYFUNCTION("""COMPUTED_VALUE"""),0.40813657407407405)</f>
        <v>0.4081365741</v>
      </c>
      <c r="K1131" s="54"/>
      <c r="L1131" s="7"/>
      <c r="M1131" s="312"/>
      <c r="N1131" s="172">
        <f>IFERROR(__xludf.DUMMYFUNCTION("""COMPUTED_VALUE"""),1.0)</f>
        <v>1</v>
      </c>
      <c r="O1131" s="172"/>
      <c r="P1131" s="313">
        <f>IFERROR(__xludf.DUMMYFUNCTION("""COMPUTED_VALUE"""),0.0)</f>
        <v>0</v>
      </c>
      <c r="Q1131" s="76" t="b">
        <f>VLOOKUP($B1131,'Run Reconcile'!B$2:O1399,14,FALSE)</f>
        <v>1</v>
      </c>
      <c r="R1131" s="314" t="str">
        <f t="array" ref="R1131">IF($Q1131, INDEX('Run Reconcile'!A$2:A1399,MATCH(B1131,'Run Reconcile'!B$2:B1399,0),1),IFERROR(0/0,""))</f>
        <v>RUN-ABRM_2023-04-10_RFR-207</v>
      </c>
      <c r="S1131" s="315" t="str">
        <f t="shared" ref="S1131:T1131" si="2137">IF(COUNTIF(W$2:W1399, $A1131) &gt; 0,TRUE,IFERROR(0/0,""))</f>
        <v/>
      </c>
      <c r="T1131" s="315" t="str">
        <f t="shared" si="2137"/>
        <v/>
      </c>
      <c r="U1131" s="114" t="str">
        <f t="array" ref="U1131">IF(ISBLANK($R1131), INDEX('Run Reconcile'!A$2:A1399, MATCH($B1131, 'Run Reconcile'!B$2:B1399, 0)+Z1131, 1), IFERROR(0/0,""))
</f>
        <v/>
      </c>
      <c r="V1131" s="316" t="str">
        <f t="shared" si="1281"/>
        <v>RUN-ABRM_2023-04-10_RFR-207</v>
      </c>
      <c r="Y1131" s="317" t="str">
        <f t="shared" si="6"/>
        <v/>
      </c>
      <c r="Z1131" s="83" t="str">
        <f t="shared" si="7"/>
        <v/>
      </c>
      <c r="AA1131" s="83" t="str">
        <f t="shared" si="8"/>
        <v/>
      </c>
      <c r="AB1131" s="83" t="str">
        <f t="shared" si="9"/>
        <v/>
      </c>
      <c r="AC1131" s="18"/>
      <c r="AD1131" s="18"/>
      <c r="AE1131" s="43"/>
      <c r="AF1131" s="58" t="s">
        <v>171</v>
      </c>
      <c r="AG1131" s="55" t="str">
        <f t="shared" si="11"/>
        <v/>
      </c>
    </row>
    <row r="1132">
      <c r="A1132" s="7" t="str">
        <f>IFERROR(__xludf.DUMMYFUNCTION("""COMPUTED_VALUE"""),"AK9719")</f>
        <v>AK9719</v>
      </c>
      <c r="B1132" s="308">
        <f>IFERROR(__xludf.DUMMYFUNCTION("""COMPUTED_VALUE"""),45026.0)</f>
        <v>45026</v>
      </c>
      <c r="C1132" s="309">
        <f>IFERROR(__xludf.DUMMYFUNCTION("""COMPUTED_VALUE"""),0.33512731481481484)</f>
        <v>0.3351273148</v>
      </c>
      <c r="D1132" s="7" t="str">
        <f>IFERROR(__xludf.DUMMYFUNCTION("""COMPUTED_VALUE"""),"SpABRM841252")</f>
        <v>SpABRM841252</v>
      </c>
      <c r="E1132" s="310"/>
      <c r="F1132" s="310"/>
      <c r="G1132" s="310" t="str">
        <f>IFERROR(__xludf.DUMMYFUNCTION("""COMPUTED_VALUE"""),"Negative")</f>
        <v>Negative</v>
      </c>
      <c r="H1132" s="319" t="str">
        <f>IFERROR(__xludf.DUMMYFUNCTION("""COMPUTED_VALUE"""),"Negative")</f>
        <v>Negative</v>
      </c>
      <c r="I1132" s="308">
        <f>IFERROR(__xludf.DUMMYFUNCTION("""COMPUTED_VALUE"""),45026.0)</f>
        <v>45026</v>
      </c>
      <c r="J1132" s="311">
        <f>IFERROR(__xludf.DUMMYFUNCTION("""COMPUTED_VALUE"""),0.40813657407407405)</f>
        <v>0.4081365741</v>
      </c>
      <c r="K1132" s="54"/>
      <c r="L1132" s="7"/>
      <c r="M1132" s="312"/>
      <c r="N1132" s="172">
        <f>IFERROR(__xludf.DUMMYFUNCTION("""COMPUTED_VALUE"""),1.0)</f>
        <v>1</v>
      </c>
      <c r="O1132" s="172"/>
      <c r="P1132" s="313">
        <f>IFERROR(__xludf.DUMMYFUNCTION("""COMPUTED_VALUE"""),0.0)</f>
        <v>0</v>
      </c>
      <c r="Q1132" s="76" t="b">
        <f>VLOOKUP($B1132,'Run Reconcile'!B$2:O1399,14,FALSE)</f>
        <v>1</v>
      </c>
      <c r="R1132" s="314" t="str">
        <f t="array" ref="R1132">IF($Q1132, INDEX('Run Reconcile'!A$2:A1399,MATCH(B1132,'Run Reconcile'!B$2:B1399,0),1),IFERROR(0/0,""))</f>
        <v>RUN-ABRM_2023-04-10_RFR-207</v>
      </c>
      <c r="S1132" s="315" t="str">
        <f t="shared" ref="S1132:T1132" si="2138">IF(COUNTIF(W$2:W1399, $A1132) &gt; 0,TRUE,IFERROR(0/0,""))</f>
        <v/>
      </c>
      <c r="T1132" s="315" t="str">
        <f t="shared" si="2138"/>
        <v/>
      </c>
      <c r="U1132" s="114" t="str">
        <f t="array" ref="U1132">IF(ISBLANK($R1132), INDEX('Run Reconcile'!A$2:A1399, MATCH($B1132, 'Run Reconcile'!B$2:B1399, 0)+Z1132, 1), IFERROR(0/0,""))
</f>
        <v/>
      </c>
      <c r="V1132" s="316" t="str">
        <f t="shared" si="1281"/>
        <v>RUN-ABRM_2023-04-10_RFR-207</v>
      </c>
      <c r="Y1132" s="317" t="str">
        <f t="shared" si="6"/>
        <v/>
      </c>
      <c r="Z1132" s="83" t="str">
        <f t="shared" si="7"/>
        <v/>
      </c>
      <c r="AA1132" s="83" t="str">
        <f t="shared" si="8"/>
        <v/>
      </c>
      <c r="AB1132" s="83" t="str">
        <f t="shared" si="9"/>
        <v/>
      </c>
      <c r="AC1132" s="18"/>
      <c r="AD1132" s="18"/>
      <c r="AE1132" s="43"/>
      <c r="AF1132" s="58" t="s">
        <v>171</v>
      </c>
      <c r="AG1132" s="55" t="str">
        <f t="shared" si="11"/>
        <v/>
      </c>
    </row>
    <row r="1133">
      <c r="A1133" s="7" t="str">
        <f>IFERROR(__xludf.DUMMYFUNCTION("""COMPUTED_VALUE"""),"AK6799")</f>
        <v>AK6799</v>
      </c>
      <c r="B1133" s="308">
        <f>IFERROR(__xludf.DUMMYFUNCTION("""COMPUTED_VALUE"""),45027.0)</f>
        <v>45027</v>
      </c>
      <c r="C1133" s="309">
        <f>IFERROR(__xludf.DUMMYFUNCTION("""COMPUTED_VALUE"""),0.24391203703703704)</f>
        <v>0.243912037</v>
      </c>
      <c r="D1133" s="7" t="str">
        <f>IFERROR(__xludf.DUMMYFUNCTION("""COMPUTED_VALUE"""),"SpABRM297307")</f>
        <v>SpABRM297307</v>
      </c>
      <c r="E1133" s="310"/>
      <c r="F1133" s="310"/>
      <c r="G1133" s="310" t="str">
        <f>IFERROR(__xludf.DUMMYFUNCTION("""COMPUTED_VALUE"""),"Negative")</f>
        <v>Negative</v>
      </c>
      <c r="H1133" s="319" t="str">
        <f>IFERROR(__xludf.DUMMYFUNCTION("""COMPUTED_VALUE"""),"Negative")</f>
        <v>Negative</v>
      </c>
      <c r="I1133" s="308">
        <f>IFERROR(__xludf.DUMMYFUNCTION("""COMPUTED_VALUE"""),45029.0)</f>
        <v>45029</v>
      </c>
      <c r="J1133" s="311">
        <f>IFERROR(__xludf.DUMMYFUNCTION("""COMPUTED_VALUE"""),0.41758101851851853)</f>
        <v>0.4175810185</v>
      </c>
      <c r="K1133" s="54"/>
      <c r="L1133" s="7"/>
      <c r="M1133" s="312"/>
      <c r="N1133" s="172">
        <f>IFERROR(__xludf.DUMMYFUNCTION("""COMPUTED_VALUE"""),3.0)</f>
        <v>3</v>
      </c>
      <c r="O1133" s="172"/>
      <c r="P1133" s="313">
        <f>IFERROR(__xludf.DUMMYFUNCTION("""COMPUTED_VALUE"""),2.0)</f>
        <v>2</v>
      </c>
      <c r="Q1133" s="76" t="b">
        <f>VLOOKUP($B1133,'Run Reconcile'!B$2:O1399,14,FALSE)</f>
        <v>1</v>
      </c>
      <c r="R1133" s="314" t="str">
        <f t="array" ref="R1133">IF($Q1133, INDEX('Run Reconcile'!A$2:A1399,MATCH(B1133,'Run Reconcile'!B$2:B1399,0),1),IFERROR(0/0,""))</f>
        <v>RUN-ABRM_2023-04-11_RFR-208</v>
      </c>
      <c r="S1133" s="315" t="str">
        <f t="shared" ref="S1133:T1133" si="2139">IF(COUNTIF(W$2:W1399, $A1133) &gt; 0,TRUE,IFERROR(0/0,""))</f>
        <v/>
      </c>
      <c r="T1133" s="315" t="str">
        <f t="shared" si="2139"/>
        <v/>
      </c>
      <c r="U1133" s="114" t="str">
        <f t="array" ref="U1133">IF(ISBLANK($R1133), INDEX('Run Reconcile'!A$2:A1399, MATCH($B1133, 'Run Reconcile'!B$2:B1399, 0)+Z1133, 1), IFERROR(0/0,""))
</f>
        <v/>
      </c>
      <c r="V1133" s="316" t="str">
        <f t="shared" si="1281"/>
        <v>RUN-ABRM_2023-04-11_RFR-208</v>
      </c>
      <c r="Y1133" s="317" t="str">
        <f t="shared" si="6"/>
        <v/>
      </c>
      <c r="Z1133" s="83" t="str">
        <f t="shared" si="7"/>
        <v/>
      </c>
      <c r="AA1133" s="83" t="str">
        <f t="shared" si="8"/>
        <v/>
      </c>
      <c r="AB1133" s="83" t="str">
        <f t="shared" si="9"/>
        <v/>
      </c>
      <c r="AC1133" s="18"/>
      <c r="AD1133" s="18"/>
      <c r="AE1133" s="43"/>
      <c r="AF1133" s="58" t="s">
        <v>172</v>
      </c>
      <c r="AG1133" s="55" t="str">
        <f t="shared" si="11"/>
        <v/>
      </c>
    </row>
    <row r="1134">
      <c r="A1134" s="7" t="str">
        <f>IFERROR(__xludf.DUMMYFUNCTION("""COMPUTED_VALUE"""),"AR708")</f>
        <v>AR708</v>
      </c>
      <c r="B1134" s="308">
        <f>IFERROR(__xludf.DUMMYFUNCTION("""COMPUTED_VALUE"""),45027.0)</f>
        <v>45027</v>
      </c>
      <c r="C1134" s="309">
        <f>IFERROR(__xludf.DUMMYFUNCTION("""COMPUTED_VALUE"""),0.2588078703703704)</f>
        <v>0.2588078704</v>
      </c>
      <c r="D1134" s="7" t="str">
        <f>IFERROR(__xludf.DUMMYFUNCTION("""COMPUTED_VALUE"""),"SpABRM581899")</f>
        <v>SpABRM581899</v>
      </c>
      <c r="E1134" s="310"/>
      <c r="F1134" s="310"/>
      <c r="G1134" s="310" t="str">
        <f>IFERROR(__xludf.DUMMYFUNCTION("""COMPUTED_VALUE"""),"Negative")</f>
        <v>Negative</v>
      </c>
      <c r="H1134" s="319" t="str">
        <f>IFERROR(__xludf.DUMMYFUNCTION("""COMPUTED_VALUE"""),"Negative")</f>
        <v>Negative</v>
      </c>
      <c r="I1134" s="308">
        <f>IFERROR(__xludf.DUMMYFUNCTION("""COMPUTED_VALUE"""),45029.0)</f>
        <v>45029</v>
      </c>
      <c r="J1134" s="311">
        <f>IFERROR(__xludf.DUMMYFUNCTION("""COMPUTED_VALUE"""),0.41758101851851853)</f>
        <v>0.4175810185</v>
      </c>
      <c r="K1134" s="54"/>
      <c r="L1134" s="7"/>
      <c r="M1134" s="312"/>
      <c r="N1134" s="172">
        <f>IFERROR(__xludf.DUMMYFUNCTION("""COMPUTED_VALUE"""),3.0)</f>
        <v>3</v>
      </c>
      <c r="O1134" s="172"/>
      <c r="P1134" s="313">
        <f>IFERROR(__xludf.DUMMYFUNCTION("""COMPUTED_VALUE"""),2.0)</f>
        <v>2</v>
      </c>
      <c r="Q1134" s="76" t="b">
        <f>VLOOKUP($B1134,'Run Reconcile'!B$2:O1399,14,FALSE)</f>
        <v>1</v>
      </c>
      <c r="R1134" s="314" t="str">
        <f t="array" ref="R1134">IF($Q1134, INDEX('Run Reconcile'!A$2:A1399,MATCH(B1134,'Run Reconcile'!B$2:B1399,0),1),IFERROR(0/0,""))</f>
        <v>RUN-ABRM_2023-04-11_RFR-208</v>
      </c>
      <c r="S1134" s="315" t="str">
        <f t="shared" ref="S1134:T1134" si="2140">IF(COUNTIF(W$2:W1399, $A1134) &gt; 0,TRUE,IFERROR(0/0,""))</f>
        <v/>
      </c>
      <c r="T1134" s="315" t="str">
        <f t="shared" si="2140"/>
        <v/>
      </c>
      <c r="U1134" s="114" t="str">
        <f t="array" ref="U1134">IF(ISBLANK($R1134), INDEX('Run Reconcile'!A$2:A1399, MATCH($B1134, 'Run Reconcile'!B$2:B1399, 0)+Z1134, 1), IFERROR(0/0,""))
</f>
        <v/>
      </c>
      <c r="V1134" s="316" t="str">
        <f t="shared" si="1281"/>
        <v>RUN-ABRM_2023-04-11_RFR-208</v>
      </c>
      <c r="Y1134" s="317" t="str">
        <f t="shared" si="6"/>
        <v/>
      </c>
      <c r="Z1134" s="83" t="str">
        <f t="shared" si="7"/>
        <v/>
      </c>
      <c r="AA1134" s="83" t="str">
        <f t="shared" si="8"/>
        <v/>
      </c>
      <c r="AB1134" s="83" t="str">
        <f t="shared" si="9"/>
        <v/>
      </c>
      <c r="AC1134" s="18"/>
      <c r="AD1134" s="18"/>
      <c r="AE1134" s="43"/>
      <c r="AF1134" s="58" t="s">
        <v>172</v>
      </c>
      <c r="AG1134" s="55" t="str">
        <f t="shared" si="11"/>
        <v/>
      </c>
    </row>
    <row r="1135">
      <c r="A1135" s="7" t="str">
        <f>IFERROR(__xludf.DUMMYFUNCTION("""COMPUTED_VALUE"""),"AB9998")</f>
        <v>AB9998</v>
      </c>
      <c r="B1135" s="308">
        <f>IFERROR(__xludf.DUMMYFUNCTION("""COMPUTED_VALUE"""),45027.0)</f>
        <v>45027</v>
      </c>
      <c r="C1135" s="309">
        <f>IFERROR(__xludf.DUMMYFUNCTION("""COMPUTED_VALUE"""),0.285625)</f>
        <v>0.285625</v>
      </c>
      <c r="D1135" s="7" t="str">
        <f>IFERROR(__xludf.DUMMYFUNCTION("""COMPUTED_VALUE"""),"SpABRM128250")</f>
        <v>SpABRM128250</v>
      </c>
      <c r="E1135" s="310"/>
      <c r="F1135" s="310"/>
      <c r="G1135" s="310" t="str">
        <f>IFERROR(__xludf.DUMMYFUNCTION("""COMPUTED_VALUE"""),"Negative")</f>
        <v>Negative</v>
      </c>
      <c r="H1135" s="319" t="str">
        <f>IFERROR(__xludf.DUMMYFUNCTION("""COMPUTED_VALUE"""),"Negative")</f>
        <v>Negative</v>
      </c>
      <c r="I1135" s="308">
        <f>IFERROR(__xludf.DUMMYFUNCTION("""COMPUTED_VALUE"""),45029.0)</f>
        <v>45029</v>
      </c>
      <c r="J1135" s="311">
        <f>IFERROR(__xludf.DUMMYFUNCTION("""COMPUTED_VALUE"""),0.41758101851851853)</f>
        <v>0.4175810185</v>
      </c>
      <c r="K1135" s="54"/>
      <c r="L1135" s="7"/>
      <c r="M1135" s="312"/>
      <c r="N1135" s="172">
        <f>IFERROR(__xludf.DUMMYFUNCTION("""COMPUTED_VALUE"""),3.0)</f>
        <v>3</v>
      </c>
      <c r="O1135" s="172"/>
      <c r="P1135" s="313">
        <f>IFERROR(__xludf.DUMMYFUNCTION("""COMPUTED_VALUE"""),2.0)</f>
        <v>2</v>
      </c>
      <c r="Q1135" s="76" t="b">
        <f>VLOOKUP($B1135,'Run Reconcile'!B$2:O1399,14,FALSE)</f>
        <v>1</v>
      </c>
      <c r="R1135" s="314" t="str">
        <f t="array" ref="R1135">IF($Q1135, INDEX('Run Reconcile'!A$2:A1399,MATCH(B1135,'Run Reconcile'!B$2:B1399,0),1),IFERROR(0/0,""))</f>
        <v>RUN-ABRM_2023-04-11_RFR-208</v>
      </c>
      <c r="S1135" s="315" t="str">
        <f t="shared" ref="S1135:T1135" si="2141">IF(COUNTIF(W$2:W1399, $A1135) &gt; 0,TRUE,IFERROR(0/0,""))</f>
        <v/>
      </c>
      <c r="T1135" s="315" t="str">
        <f t="shared" si="2141"/>
        <v/>
      </c>
      <c r="U1135" s="114" t="str">
        <f t="array" ref="U1135">IF(ISBLANK($R1135), INDEX('Run Reconcile'!A$2:A1399, MATCH($B1135, 'Run Reconcile'!B$2:B1399, 0)+Z1135, 1), IFERROR(0/0,""))
</f>
        <v/>
      </c>
      <c r="V1135" s="316" t="str">
        <f t="shared" si="1281"/>
        <v>RUN-ABRM_2023-04-11_RFR-208</v>
      </c>
      <c r="Y1135" s="317" t="str">
        <f t="shared" si="6"/>
        <v/>
      </c>
      <c r="Z1135" s="83" t="str">
        <f t="shared" si="7"/>
        <v/>
      </c>
      <c r="AA1135" s="83" t="str">
        <f t="shared" si="8"/>
        <v/>
      </c>
      <c r="AB1135" s="83" t="str">
        <f t="shared" si="9"/>
        <v/>
      </c>
      <c r="AC1135" s="18"/>
      <c r="AD1135" s="18"/>
      <c r="AE1135" s="43"/>
      <c r="AF1135" s="58" t="s">
        <v>172</v>
      </c>
      <c r="AG1135" s="55" t="str">
        <f t="shared" si="11"/>
        <v/>
      </c>
    </row>
    <row r="1136">
      <c r="A1136" s="7" t="str">
        <f>IFERROR(__xludf.DUMMYFUNCTION("""COMPUTED_VALUE"""),"AR374")</f>
        <v>AR374</v>
      </c>
      <c r="B1136" s="308">
        <f>IFERROR(__xludf.DUMMYFUNCTION("""COMPUTED_VALUE"""),45027.0)</f>
        <v>45027</v>
      </c>
      <c r="C1136" s="309">
        <f>IFERROR(__xludf.DUMMYFUNCTION("""COMPUTED_VALUE"""),0.29363425925925923)</f>
        <v>0.2936342593</v>
      </c>
      <c r="D1136" s="7" t="str">
        <f>IFERROR(__xludf.DUMMYFUNCTION("""COMPUTED_VALUE"""),"SpABRM716377")</f>
        <v>SpABRM716377</v>
      </c>
      <c r="E1136" s="310"/>
      <c r="F1136" s="310"/>
      <c r="G1136" s="310" t="str">
        <f>IFERROR(__xludf.DUMMYFUNCTION("""COMPUTED_VALUE"""),"Negative")</f>
        <v>Negative</v>
      </c>
      <c r="H1136" s="319" t="str">
        <f>IFERROR(__xludf.DUMMYFUNCTION("""COMPUTED_VALUE"""),"Negative")</f>
        <v>Negative</v>
      </c>
      <c r="I1136" s="308">
        <f>IFERROR(__xludf.DUMMYFUNCTION("""COMPUTED_VALUE"""),45029.0)</f>
        <v>45029</v>
      </c>
      <c r="J1136" s="311">
        <f>IFERROR(__xludf.DUMMYFUNCTION("""COMPUTED_VALUE"""),0.41759259259259257)</f>
        <v>0.4175925926</v>
      </c>
      <c r="K1136" s="54"/>
      <c r="L1136" s="7"/>
      <c r="M1136" s="312"/>
      <c r="N1136" s="172">
        <f>IFERROR(__xludf.DUMMYFUNCTION("""COMPUTED_VALUE"""),2.0)</f>
        <v>2</v>
      </c>
      <c r="O1136" s="172"/>
      <c r="P1136" s="313">
        <f>IFERROR(__xludf.DUMMYFUNCTION("""COMPUTED_VALUE"""),2.0)</f>
        <v>2</v>
      </c>
      <c r="Q1136" s="76" t="b">
        <f>VLOOKUP($B1136,'Run Reconcile'!B$2:O1399,14,FALSE)</f>
        <v>1</v>
      </c>
      <c r="R1136" s="314" t="str">
        <f t="array" ref="R1136">IF($Q1136, INDEX('Run Reconcile'!A$2:A1399,MATCH(B1136,'Run Reconcile'!B$2:B1399,0),1),IFERROR(0/0,""))</f>
        <v>RUN-ABRM_2023-04-11_RFR-208</v>
      </c>
      <c r="S1136" s="315" t="str">
        <f t="shared" ref="S1136:T1136" si="2142">IF(COUNTIF(W$2:W1399, $A1136) &gt; 0,TRUE,IFERROR(0/0,""))</f>
        <v/>
      </c>
      <c r="T1136" s="315" t="str">
        <f t="shared" si="2142"/>
        <v/>
      </c>
      <c r="U1136" s="114" t="str">
        <f t="array" ref="U1136">IF(ISBLANK($R1136), INDEX('Run Reconcile'!A$2:A1399, MATCH($B1136, 'Run Reconcile'!B$2:B1399, 0)+Z1136, 1), IFERROR(0/0,""))
</f>
        <v/>
      </c>
      <c r="V1136" s="316" t="str">
        <f t="shared" si="1281"/>
        <v>RUN-ABRM_2023-04-11_RFR-208</v>
      </c>
      <c r="Y1136" s="317" t="str">
        <f t="shared" si="6"/>
        <v/>
      </c>
      <c r="Z1136" s="83" t="str">
        <f t="shared" si="7"/>
        <v/>
      </c>
      <c r="AA1136" s="83" t="str">
        <f t="shared" si="8"/>
        <v/>
      </c>
      <c r="AB1136" s="83" t="str">
        <f t="shared" si="9"/>
        <v/>
      </c>
      <c r="AC1136" s="18"/>
      <c r="AD1136" s="18"/>
      <c r="AE1136" s="43"/>
      <c r="AF1136" s="58" t="s">
        <v>172</v>
      </c>
      <c r="AG1136" s="55" t="str">
        <f t="shared" si="11"/>
        <v/>
      </c>
    </row>
    <row r="1137">
      <c r="A1137" s="7" t="str">
        <f>IFERROR(__xludf.DUMMYFUNCTION("""COMPUTED_VALUE"""),"AR219")</f>
        <v>AR219</v>
      </c>
      <c r="B1137" s="308">
        <f>IFERROR(__xludf.DUMMYFUNCTION("""COMPUTED_VALUE"""),45027.0)</f>
        <v>45027</v>
      </c>
      <c r="C1137" s="309">
        <f>IFERROR(__xludf.DUMMYFUNCTION("""COMPUTED_VALUE"""),0.31725694444444447)</f>
        <v>0.3172569444</v>
      </c>
      <c r="D1137" s="7" t="str">
        <f>IFERROR(__xludf.DUMMYFUNCTION("""COMPUTED_VALUE"""),"SpABRM519188")</f>
        <v>SpABRM519188</v>
      </c>
      <c r="E1137" s="310"/>
      <c r="F1137" s="310"/>
      <c r="G1137" s="310" t="str">
        <f>IFERROR(__xludf.DUMMYFUNCTION("""COMPUTED_VALUE"""),"Negative")</f>
        <v>Negative</v>
      </c>
      <c r="H1137" s="319" t="str">
        <f>IFERROR(__xludf.DUMMYFUNCTION("""COMPUTED_VALUE"""),"Negative")</f>
        <v>Negative</v>
      </c>
      <c r="I1137" s="308">
        <f>IFERROR(__xludf.DUMMYFUNCTION("""COMPUTED_VALUE"""),45029.0)</f>
        <v>45029</v>
      </c>
      <c r="J1137" s="311">
        <f>IFERROR(__xludf.DUMMYFUNCTION("""COMPUTED_VALUE"""),0.41759259259259257)</f>
        <v>0.4175925926</v>
      </c>
      <c r="K1137" s="54"/>
      <c r="L1137" s="7"/>
      <c r="M1137" s="312"/>
      <c r="N1137" s="172">
        <f>IFERROR(__xludf.DUMMYFUNCTION("""COMPUTED_VALUE"""),1.0)</f>
        <v>1</v>
      </c>
      <c r="O1137" s="172"/>
      <c r="P1137" s="313">
        <f>IFERROR(__xludf.DUMMYFUNCTION("""COMPUTED_VALUE"""),2.0)</f>
        <v>2</v>
      </c>
      <c r="Q1137" s="76" t="b">
        <f>VLOOKUP($B1137,'Run Reconcile'!B$2:O1399,14,FALSE)</f>
        <v>1</v>
      </c>
      <c r="R1137" s="314" t="str">
        <f t="array" ref="R1137">IF($Q1137, INDEX('Run Reconcile'!A$2:A1399,MATCH(B1137,'Run Reconcile'!B$2:B1399,0),1),IFERROR(0/0,""))</f>
        <v>RUN-ABRM_2023-04-11_RFR-208</v>
      </c>
      <c r="S1137" s="315" t="str">
        <f t="shared" ref="S1137:T1137" si="2143">IF(COUNTIF(W$2:W1399, $A1137) &gt; 0,TRUE,IFERROR(0/0,""))</f>
        <v/>
      </c>
      <c r="T1137" s="315" t="str">
        <f t="shared" si="2143"/>
        <v/>
      </c>
      <c r="U1137" s="114" t="str">
        <f t="array" ref="U1137">IF(ISBLANK($R1137), INDEX('Run Reconcile'!A$2:A1399, MATCH($B1137, 'Run Reconcile'!B$2:B1399, 0)+Z1137, 1), IFERROR(0/0,""))
</f>
        <v/>
      </c>
      <c r="V1137" s="316" t="str">
        <f t="shared" si="1281"/>
        <v>RUN-ABRM_2023-04-11_RFR-208</v>
      </c>
      <c r="Y1137" s="317" t="str">
        <f t="shared" si="6"/>
        <v/>
      </c>
      <c r="Z1137" s="83" t="str">
        <f t="shared" si="7"/>
        <v/>
      </c>
      <c r="AA1137" s="83" t="str">
        <f t="shared" si="8"/>
        <v/>
      </c>
      <c r="AB1137" s="83" t="str">
        <f t="shared" si="9"/>
        <v/>
      </c>
      <c r="AC1137" s="18"/>
      <c r="AD1137" s="18"/>
      <c r="AE1137" s="43"/>
      <c r="AF1137" s="58" t="s">
        <v>172</v>
      </c>
      <c r="AG1137" s="55" t="str">
        <f t="shared" si="11"/>
        <v/>
      </c>
    </row>
    <row r="1138">
      <c r="A1138" s="7" t="str">
        <f>IFERROR(__xludf.DUMMYFUNCTION("""COMPUTED_VALUE"""),"AR1023")</f>
        <v>AR1023</v>
      </c>
      <c r="B1138" s="308">
        <f>IFERROR(__xludf.DUMMYFUNCTION("""COMPUTED_VALUE"""),45027.0)</f>
        <v>45027</v>
      </c>
      <c r="C1138" s="309">
        <f>IFERROR(__xludf.DUMMYFUNCTION("""COMPUTED_VALUE"""),0.32983796296296297)</f>
        <v>0.329837963</v>
      </c>
      <c r="D1138" s="7" t="str">
        <f>IFERROR(__xludf.DUMMYFUNCTION("""COMPUTED_VALUE"""),"SpABRM841252")</f>
        <v>SpABRM841252</v>
      </c>
      <c r="E1138" s="310"/>
      <c r="F1138" s="310"/>
      <c r="G1138" s="310" t="str">
        <f>IFERROR(__xludf.DUMMYFUNCTION("""COMPUTED_VALUE"""),"Negative")</f>
        <v>Negative</v>
      </c>
      <c r="H1138" s="319" t="str">
        <f>IFERROR(__xludf.DUMMYFUNCTION("""COMPUTED_VALUE"""),"Negative")</f>
        <v>Negative</v>
      </c>
      <c r="I1138" s="308">
        <f>IFERROR(__xludf.DUMMYFUNCTION("""COMPUTED_VALUE"""),45029.0)</f>
        <v>45029</v>
      </c>
      <c r="J1138" s="311">
        <f>IFERROR(__xludf.DUMMYFUNCTION("""COMPUTED_VALUE"""),0.41759259259259257)</f>
        <v>0.4175925926</v>
      </c>
      <c r="K1138" s="54"/>
      <c r="L1138" s="7"/>
      <c r="M1138" s="312"/>
      <c r="N1138" s="172">
        <f>IFERROR(__xludf.DUMMYFUNCTION("""COMPUTED_VALUE"""),1.0)</f>
        <v>1</v>
      </c>
      <c r="O1138" s="172"/>
      <c r="P1138" s="313">
        <f>IFERROR(__xludf.DUMMYFUNCTION("""COMPUTED_VALUE"""),2.0)</f>
        <v>2</v>
      </c>
      <c r="Q1138" s="76" t="b">
        <f>VLOOKUP($B1138,'Run Reconcile'!B$2:O1399,14,FALSE)</f>
        <v>1</v>
      </c>
      <c r="R1138" s="314" t="str">
        <f t="array" ref="R1138">IF($Q1138, INDEX('Run Reconcile'!A$2:A1399,MATCH(B1138,'Run Reconcile'!B$2:B1399,0),1),IFERROR(0/0,""))</f>
        <v>RUN-ABRM_2023-04-11_RFR-208</v>
      </c>
      <c r="S1138" s="315" t="str">
        <f t="shared" ref="S1138:T1138" si="2144">IF(COUNTIF(W$2:W1399, $A1138) &gt; 0,TRUE,IFERROR(0/0,""))</f>
        <v/>
      </c>
      <c r="T1138" s="315" t="str">
        <f t="shared" si="2144"/>
        <v/>
      </c>
      <c r="U1138" s="114" t="str">
        <f t="array" ref="U1138">IF(ISBLANK($R1138), INDEX('Run Reconcile'!A$2:A1399, MATCH($B1138, 'Run Reconcile'!B$2:B1399, 0)+Z1138, 1), IFERROR(0/0,""))
</f>
        <v/>
      </c>
      <c r="V1138" s="316" t="str">
        <f t="shared" si="1281"/>
        <v>RUN-ABRM_2023-04-11_RFR-208</v>
      </c>
      <c r="Y1138" s="317" t="str">
        <f t="shared" si="6"/>
        <v/>
      </c>
      <c r="Z1138" s="83" t="str">
        <f t="shared" si="7"/>
        <v/>
      </c>
      <c r="AA1138" s="83" t="str">
        <f t="shared" si="8"/>
        <v/>
      </c>
      <c r="AB1138" s="83" t="str">
        <f t="shared" si="9"/>
        <v/>
      </c>
      <c r="AC1138" s="18"/>
      <c r="AD1138" s="18"/>
      <c r="AE1138" s="43"/>
      <c r="AF1138" s="58" t="s">
        <v>172</v>
      </c>
      <c r="AG1138" s="55" t="str">
        <f t="shared" si="11"/>
        <v/>
      </c>
    </row>
    <row r="1139">
      <c r="A1139" s="7" t="str">
        <f>IFERROR(__xludf.DUMMYFUNCTION("""COMPUTED_VALUE"""),"AR1554")</f>
        <v>AR1554</v>
      </c>
      <c r="B1139" s="308">
        <f>IFERROR(__xludf.DUMMYFUNCTION("""COMPUTED_VALUE"""),45027.0)</f>
        <v>45027</v>
      </c>
      <c r="C1139" s="309">
        <f>IFERROR(__xludf.DUMMYFUNCTION("""COMPUTED_VALUE"""),0.33631944444444445)</f>
        <v>0.3363194444</v>
      </c>
      <c r="D1139" s="7" t="str">
        <f>IFERROR(__xludf.DUMMYFUNCTION("""COMPUTED_VALUE"""),"SpABRM841252")</f>
        <v>SpABRM841252</v>
      </c>
      <c r="E1139" s="310"/>
      <c r="F1139" s="310"/>
      <c r="G1139" s="310" t="str">
        <f>IFERROR(__xludf.DUMMYFUNCTION("""COMPUTED_VALUE"""),"Negative")</f>
        <v>Negative</v>
      </c>
      <c r="H1139" s="319" t="str">
        <f>IFERROR(__xludf.DUMMYFUNCTION("""COMPUTED_VALUE"""),"Negative")</f>
        <v>Negative</v>
      </c>
      <c r="I1139" s="308">
        <f>IFERROR(__xludf.DUMMYFUNCTION("""COMPUTED_VALUE"""),45029.0)</f>
        <v>45029</v>
      </c>
      <c r="J1139" s="311">
        <f>IFERROR(__xludf.DUMMYFUNCTION("""COMPUTED_VALUE"""),0.41759259259259257)</f>
        <v>0.4175925926</v>
      </c>
      <c r="K1139" s="54"/>
      <c r="L1139" s="7"/>
      <c r="M1139" s="312"/>
      <c r="N1139" s="172">
        <f>IFERROR(__xludf.DUMMYFUNCTION("""COMPUTED_VALUE"""),1.0)</f>
        <v>1</v>
      </c>
      <c r="O1139" s="172"/>
      <c r="P1139" s="313">
        <f>IFERROR(__xludf.DUMMYFUNCTION("""COMPUTED_VALUE"""),2.0)</f>
        <v>2</v>
      </c>
      <c r="Q1139" s="76" t="b">
        <f>VLOOKUP($B1139,'Run Reconcile'!B$2:O1399,14,FALSE)</f>
        <v>1</v>
      </c>
      <c r="R1139" s="314" t="str">
        <f t="array" ref="R1139">IF($Q1139, INDEX('Run Reconcile'!A$2:A1399,MATCH(B1139,'Run Reconcile'!B$2:B1399,0),1),IFERROR(0/0,""))</f>
        <v>RUN-ABRM_2023-04-11_RFR-208</v>
      </c>
      <c r="S1139" s="315" t="str">
        <f t="shared" ref="S1139:T1139" si="2145">IF(COUNTIF(W$2:W1399, $A1139) &gt; 0,TRUE,IFERROR(0/0,""))</f>
        <v/>
      </c>
      <c r="T1139" s="315" t="str">
        <f t="shared" si="2145"/>
        <v/>
      </c>
      <c r="U1139" s="114" t="str">
        <f t="array" ref="U1139">IF(ISBLANK($R1139), INDEX('Run Reconcile'!A$2:A1399, MATCH($B1139, 'Run Reconcile'!B$2:B1399, 0)+Z1139, 1), IFERROR(0/0,""))
</f>
        <v/>
      </c>
      <c r="V1139" s="316" t="str">
        <f t="shared" si="1281"/>
        <v>RUN-ABRM_2023-04-11_RFR-208</v>
      </c>
      <c r="Y1139" s="317" t="str">
        <f t="shared" si="6"/>
        <v/>
      </c>
      <c r="Z1139" s="83" t="str">
        <f t="shared" si="7"/>
        <v/>
      </c>
      <c r="AA1139" s="83" t="str">
        <f t="shared" si="8"/>
        <v/>
      </c>
      <c r="AB1139" s="83" t="str">
        <f t="shared" si="9"/>
        <v/>
      </c>
      <c r="AC1139" s="18"/>
      <c r="AD1139" s="18"/>
      <c r="AE1139" s="43"/>
      <c r="AF1139" s="58" t="s">
        <v>172</v>
      </c>
      <c r="AG1139" s="55" t="str">
        <f t="shared" si="11"/>
        <v/>
      </c>
    </row>
    <row r="1140">
      <c r="A1140" s="7" t="str">
        <f>IFERROR(__xludf.DUMMYFUNCTION("""COMPUTED_VALUE"""),"AK9594")</f>
        <v>AK9594</v>
      </c>
      <c r="B1140" s="308">
        <f>IFERROR(__xludf.DUMMYFUNCTION("""COMPUTED_VALUE"""),45028.0)</f>
        <v>45028</v>
      </c>
      <c r="C1140" s="309">
        <f>IFERROR(__xludf.DUMMYFUNCTION("""COMPUTED_VALUE"""),0.22711805555555556)</f>
        <v>0.2271180556</v>
      </c>
      <c r="D1140" s="7" t="str">
        <f>IFERROR(__xludf.DUMMYFUNCTION("""COMPUTED_VALUE"""),"SpABRM655136")</f>
        <v>SpABRM655136</v>
      </c>
      <c r="E1140" s="310"/>
      <c r="F1140" s="310"/>
      <c r="G1140" s="310" t="str">
        <f>IFERROR(__xludf.DUMMYFUNCTION("""COMPUTED_VALUE"""),"Negative")</f>
        <v>Negative</v>
      </c>
      <c r="H1140" s="319" t="str">
        <f>IFERROR(__xludf.DUMMYFUNCTION("""COMPUTED_VALUE"""),"Negative")</f>
        <v>Negative</v>
      </c>
      <c r="I1140" s="308">
        <f>IFERROR(__xludf.DUMMYFUNCTION("""COMPUTED_VALUE"""),45029.0)</f>
        <v>45029</v>
      </c>
      <c r="J1140" s="311">
        <f>IFERROR(__xludf.DUMMYFUNCTION("""COMPUTED_VALUE"""),0.41759259259259257)</f>
        <v>0.4175925926</v>
      </c>
      <c r="K1140" s="54"/>
      <c r="L1140" s="7"/>
      <c r="M1140" s="312"/>
      <c r="N1140" s="172">
        <f>IFERROR(__xludf.DUMMYFUNCTION("""COMPUTED_VALUE"""),3.0)</f>
        <v>3</v>
      </c>
      <c r="O1140" s="172"/>
      <c r="P1140" s="313">
        <f>IFERROR(__xludf.DUMMYFUNCTION("""COMPUTED_VALUE"""),1.0)</f>
        <v>1</v>
      </c>
      <c r="Q1140" s="76" t="b">
        <f>VLOOKUP($B1140,'Run Reconcile'!B$2:O1399,14,FALSE)</f>
        <v>1</v>
      </c>
      <c r="R1140" s="314" t="str">
        <f t="array" ref="R1140">IF($Q1140, INDEX('Run Reconcile'!A$2:A1399,MATCH(B1140,'Run Reconcile'!B$2:B1399,0),1),IFERROR(0/0,""))</f>
        <v>RUN-ABRM_2023-04-12_APS-007</v>
      </c>
      <c r="S1140" s="315" t="str">
        <f t="shared" ref="S1140:T1140" si="2146">IF(COUNTIF(W$2:W1399, $A1140) &gt; 0,TRUE,IFERROR(0/0,""))</f>
        <v/>
      </c>
      <c r="T1140" s="315" t="str">
        <f t="shared" si="2146"/>
        <v/>
      </c>
      <c r="U1140" s="114" t="str">
        <f t="array" ref="U1140">IF(ISBLANK($R1140), INDEX('Run Reconcile'!A$2:A1399, MATCH($B1140, 'Run Reconcile'!B$2:B1399, 0)+Z1140, 1), IFERROR(0/0,""))
</f>
        <v/>
      </c>
      <c r="V1140" s="316" t="str">
        <f t="shared" si="1281"/>
        <v>RUN-ABRM_2023-04-12_APS-007</v>
      </c>
      <c r="Y1140" s="317" t="str">
        <f t="shared" si="6"/>
        <v/>
      </c>
      <c r="Z1140" s="83" t="str">
        <f t="shared" si="7"/>
        <v/>
      </c>
      <c r="AA1140" s="83" t="str">
        <f t="shared" si="8"/>
        <v/>
      </c>
      <c r="AB1140" s="83" t="str">
        <f t="shared" si="9"/>
        <v/>
      </c>
      <c r="AC1140" s="18"/>
      <c r="AD1140" s="18"/>
      <c r="AE1140" s="43"/>
      <c r="AF1140" s="58" t="s">
        <v>1377</v>
      </c>
      <c r="AG1140" s="55" t="b">
        <f t="shared" si="11"/>
        <v>0</v>
      </c>
    </row>
    <row r="1141">
      <c r="A1141" s="7" t="str">
        <f>IFERROR(__xludf.DUMMYFUNCTION("""COMPUTED_VALUE"""),"AR1627")</f>
        <v>AR1627</v>
      </c>
      <c r="B1141" s="308">
        <f>IFERROR(__xludf.DUMMYFUNCTION("""COMPUTED_VALUE"""),45028.0)</f>
        <v>45028</v>
      </c>
      <c r="C1141" s="309">
        <f>IFERROR(__xludf.DUMMYFUNCTION("""COMPUTED_VALUE"""),0.2624884259259259)</f>
        <v>0.2624884259</v>
      </c>
      <c r="D1141" s="7" t="str">
        <f>IFERROR(__xludf.DUMMYFUNCTION("""COMPUTED_VALUE"""),"SpABRM581899")</f>
        <v>SpABRM581899</v>
      </c>
      <c r="E1141" s="310"/>
      <c r="F1141" s="310"/>
      <c r="G1141" s="310" t="str">
        <f>IFERROR(__xludf.DUMMYFUNCTION("""COMPUTED_VALUE"""),"Negative")</f>
        <v>Negative</v>
      </c>
      <c r="H1141" s="319" t="str">
        <f>IFERROR(__xludf.DUMMYFUNCTION("""COMPUTED_VALUE"""),"Negative")</f>
        <v>Negative</v>
      </c>
      <c r="I1141" s="308">
        <f>IFERROR(__xludf.DUMMYFUNCTION("""COMPUTED_VALUE"""),45029.0)</f>
        <v>45029</v>
      </c>
      <c r="J1141" s="311">
        <f>IFERROR(__xludf.DUMMYFUNCTION("""COMPUTED_VALUE"""),0.41760416666666667)</f>
        <v>0.4176041667</v>
      </c>
      <c r="K1141" s="54"/>
      <c r="L1141" s="7"/>
      <c r="M1141" s="312"/>
      <c r="N1141" s="172">
        <f>IFERROR(__xludf.DUMMYFUNCTION("""COMPUTED_VALUE"""),3.0)</f>
        <v>3</v>
      </c>
      <c r="O1141" s="172"/>
      <c r="P1141" s="313">
        <f>IFERROR(__xludf.DUMMYFUNCTION("""COMPUTED_VALUE"""),1.0)</f>
        <v>1</v>
      </c>
      <c r="Q1141" s="76" t="b">
        <f>VLOOKUP($B1141,'Run Reconcile'!B$2:O1399,14,FALSE)</f>
        <v>1</v>
      </c>
      <c r="R1141" s="314" t="str">
        <f t="array" ref="R1141">IF($Q1141, INDEX('Run Reconcile'!A$2:A1399,MATCH(B1141,'Run Reconcile'!B$2:B1399,0),1),IFERROR(0/0,""))</f>
        <v>RUN-ABRM_2023-04-12_APS-007</v>
      </c>
      <c r="S1141" s="315" t="str">
        <f t="shared" ref="S1141:T1141" si="2147">IF(COUNTIF(W$2:W1399, $A1141) &gt; 0,TRUE,IFERROR(0/0,""))</f>
        <v/>
      </c>
      <c r="T1141" s="315" t="str">
        <f t="shared" si="2147"/>
        <v/>
      </c>
      <c r="U1141" s="114" t="str">
        <f t="array" ref="U1141">IF(ISBLANK($R1141), INDEX('Run Reconcile'!A$2:A1399, MATCH($B1141, 'Run Reconcile'!B$2:B1399, 0)+Z1141, 1), IFERROR(0/0,""))
</f>
        <v/>
      </c>
      <c r="V1141" s="316" t="str">
        <f t="shared" si="1281"/>
        <v>RUN-ABRM_2023-04-12_APS-007</v>
      </c>
      <c r="Y1141" s="317" t="str">
        <f t="shared" si="6"/>
        <v/>
      </c>
      <c r="Z1141" s="83" t="str">
        <f t="shared" si="7"/>
        <v/>
      </c>
      <c r="AA1141" s="83" t="str">
        <f t="shared" si="8"/>
        <v/>
      </c>
      <c r="AB1141" s="83" t="str">
        <f t="shared" si="9"/>
        <v/>
      </c>
      <c r="AC1141" s="18"/>
      <c r="AD1141" s="18"/>
      <c r="AE1141" s="43"/>
      <c r="AF1141" s="58" t="s">
        <v>1377</v>
      </c>
      <c r="AG1141" s="55" t="b">
        <f t="shared" si="11"/>
        <v>0</v>
      </c>
    </row>
    <row r="1142">
      <c r="A1142" s="7" t="str">
        <f>IFERROR(__xludf.DUMMYFUNCTION("""COMPUTED_VALUE"""),"AB9583")</f>
        <v>AB9583</v>
      </c>
      <c r="B1142" s="308">
        <f>IFERROR(__xludf.DUMMYFUNCTION("""COMPUTED_VALUE"""),45028.0)</f>
        <v>45028</v>
      </c>
      <c r="C1142" s="309">
        <f>IFERROR(__xludf.DUMMYFUNCTION("""COMPUTED_VALUE"""),0.29555555555555557)</f>
        <v>0.2955555556</v>
      </c>
      <c r="D1142" s="7" t="str">
        <f>IFERROR(__xludf.DUMMYFUNCTION("""COMPUTED_VALUE"""),"SpABRM367540")</f>
        <v>SpABRM367540</v>
      </c>
      <c r="E1142" s="310"/>
      <c r="F1142" s="310"/>
      <c r="G1142" s="310" t="str">
        <f>IFERROR(__xludf.DUMMYFUNCTION("""COMPUTED_VALUE"""),"Negative")</f>
        <v>Negative</v>
      </c>
      <c r="H1142" s="319" t="str">
        <f>IFERROR(__xludf.DUMMYFUNCTION("""COMPUTED_VALUE"""),"Negative")</f>
        <v>Negative</v>
      </c>
      <c r="I1142" s="308">
        <f>IFERROR(__xludf.DUMMYFUNCTION("""COMPUTED_VALUE"""),45029.0)</f>
        <v>45029</v>
      </c>
      <c r="J1142" s="311">
        <f>IFERROR(__xludf.DUMMYFUNCTION("""COMPUTED_VALUE"""),0.41760416666666667)</f>
        <v>0.4176041667</v>
      </c>
      <c r="K1142" s="54"/>
      <c r="L1142" s="7"/>
      <c r="M1142" s="312"/>
      <c r="N1142" s="172">
        <f>IFERROR(__xludf.DUMMYFUNCTION("""COMPUTED_VALUE"""),3.0)</f>
        <v>3</v>
      </c>
      <c r="O1142" s="172"/>
      <c r="P1142" s="313">
        <f>IFERROR(__xludf.DUMMYFUNCTION("""COMPUTED_VALUE"""),1.0)</f>
        <v>1</v>
      </c>
      <c r="Q1142" s="76" t="b">
        <f>VLOOKUP($B1142,'Run Reconcile'!B$2:O1399,14,FALSE)</f>
        <v>1</v>
      </c>
      <c r="R1142" s="314" t="str">
        <f t="array" ref="R1142">IF($Q1142, INDEX('Run Reconcile'!A$2:A1399,MATCH(B1142,'Run Reconcile'!B$2:B1399,0),1),IFERROR(0/0,""))</f>
        <v>RUN-ABRM_2023-04-12_APS-007</v>
      </c>
      <c r="S1142" s="315" t="str">
        <f t="shared" ref="S1142:T1142" si="2148">IF(COUNTIF(W$2:W1399, $A1142) &gt; 0,TRUE,IFERROR(0/0,""))</f>
        <v/>
      </c>
      <c r="T1142" s="315" t="str">
        <f t="shared" si="2148"/>
        <v/>
      </c>
      <c r="U1142" s="114" t="str">
        <f t="array" ref="U1142">IF(ISBLANK($R1142), INDEX('Run Reconcile'!A$2:A1399, MATCH($B1142, 'Run Reconcile'!B$2:B1399, 0)+Z1142, 1), IFERROR(0/0,""))
</f>
        <v/>
      </c>
      <c r="V1142" s="316" t="str">
        <f t="shared" si="1281"/>
        <v>RUN-ABRM_2023-04-12_APS-007</v>
      </c>
      <c r="Y1142" s="317" t="str">
        <f t="shared" si="6"/>
        <v/>
      </c>
      <c r="Z1142" s="83" t="str">
        <f t="shared" si="7"/>
        <v/>
      </c>
      <c r="AA1142" s="83" t="str">
        <f t="shared" si="8"/>
        <v/>
      </c>
      <c r="AB1142" s="83" t="str">
        <f t="shared" si="9"/>
        <v/>
      </c>
      <c r="AC1142" s="18"/>
      <c r="AD1142" s="18"/>
      <c r="AE1142" s="43"/>
      <c r="AF1142" s="58" t="s">
        <v>1377</v>
      </c>
      <c r="AG1142" s="55" t="b">
        <f t="shared" si="11"/>
        <v>0</v>
      </c>
    </row>
    <row r="1143">
      <c r="A1143" s="7" t="str">
        <f>IFERROR(__xludf.DUMMYFUNCTION("""COMPUTED_VALUE"""),"AG538")</f>
        <v>AG538</v>
      </c>
      <c r="B1143" s="308">
        <f>IFERROR(__xludf.DUMMYFUNCTION("""COMPUTED_VALUE"""),45028.0)</f>
        <v>45028</v>
      </c>
      <c r="C1143" s="309">
        <f>IFERROR(__xludf.DUMMYFUNCTION("""COMPUTED_VALUE"""),0.29663194444444446)</f>
        <v>0.2966319444</v>
      </c>
      <c r="D1143" s="7" t="str">
        <f>IFERROR(__xludf.DUMMYFUNCTION("""COMPUTED_VALUE"""),"SpABRM297307")</f>
        <v>SpABRM297307</v>
      </c>
      <c r="E1143" s="310"/>
      <c r="F1143" s="310"/>
      <c r="G1143" s="310" t="str">
        <f>IFERROR(__xludf.DUMMYFUNCTION("""COMPUTED_VALUE"""),"Negative")</f>
        <v>Negative</v>
      </c>
      <c r="H1143" s="319" t="str">
        <f>IFERROR(__xludf.DUMMYFUNCTION("""COMPUTED_VALUE"""),"Negative")</f>
        <v>Negative</v>
      </c>
      <c r="I1143" s="308">
        <f>IFERROR(__xludf.DUMMYFUNCTION("""COMPUTED_VALUE"""),45029.0)</f>
        <v>45029</v>
      </c>
      <c r="J1143" s="311">
        <f>IFERROR(__xludf.DUMMYFUNCTION("""COMPUTED_VALUE"""),0.41760416666666667)</f>
        <v>0.4176041667</v>
      </c>
      <c r="K1143" s="54"/>
      <c r="L1143" s="7"/>
      <c r="M1143" s="312"/>
      <c r="N1143" s="172">
        <f>IFERROR(__xludf.DUMMYFUNCTION("""COMPUTED_VALUE"""),3.0)</f>
        <v>3</v>
      </c>
      <c r="O1143" s="172"/>
      <c r="P1143" s="313">
        <f>IFERROR(__xludf.DUMMYFUNCTION("""COMPUTED_VALUE"""),1.0)</f>
        <v>1</v>
      </c>
      <c r="Q1143" s="76" t="b">
        <f>VLOOKUP($B1143,'Run Reconcile'!B$2:O1399,14,FALSE)</f>
        <v>1</v>
      </c>
      <c r="R1143" s="314" t="str">
        <f t="array" ref="R1143">IF($Q1143, INDEX('Run Reconcile'!A$2:A1399,MATCH(B1143,'Run Reconcile'!B$2:B1399,0),1),IFERROR(0/0,""))</f>
        <v>RUN-ABRM_2023-04-12_APS-007</v>
      </c>
      <c r="S1143" s="315" t="str">
        <f t="shared" ref="S1143:T1143" si="2149">IF(COUNTIF(W$2:W1399, $A1143) &gt; 0,TRUE,IFERROR(0/0,""))</f>
        <v/>
      </c>
      <c r="T1143" s="315" t="str">
        <f t="shared" si="2149"/>
        <v/>
      </c>
      <c r="U1143" s="114" t="str">
        <f t="array" ref="U1143">IF(ISBLANK($R1143), INDEX('Run Reconcile'!A$2:A1399, MATCH($B1143, 'Run Reconcile'!B$2:B1399, 0)+Z1143, 1), IFERROR(0/0,""))
</f>
        <v/>
      </c>
      <c r="V1143" s="316" t="str">
        <f t="shared" si="1281"/>
        <v>RUN-ABRM_2023-04-12_APS-007</v>
      </c>
      <c r="Y1143" s="317" t="str">
        <f t="shared" si="6"/>
        <v/>
      </c>
      <c r="Z1143" s="83" t="str">
        <f t="shared" si="7"/>
        <v/>
      </c>
      <c r="AA1143" s="83" t="str">
        <f t="shared" si="8"/>
        <v/>
      </c>
      <c r="AB1143" s="83" t="str">
        <f t="shared" si="9"/>
        <v/>
      </c>
      <c r="AC1143" s="18"/>
      <c r="AD1143" s="18"/>
      <c r="AE1143" s="43"/>
      <c r="AF1143" s="58" t="s">
        <v>1377</v>
      </c>
      <c r="AG1143" s="55" t="b">
        <f t="shared" si="11"/>
        <v>0</v>
      </c>
    </row>
    <row r="1144">
      <c r="A1144" s="7" t="str">
        <f>IFERROR(__xludf.DUMMYFUNCTION("""COMPUTED_VALUE"""),"AB9272")</f>
        <v>AB9272</v>
      </c>
      <c r="B1144" s="308">
        <f>IFERROR(__xludf.DUMMYFUNCTION("""COMPUTED_VALUE"""),45028.0)</f>
        <v>45028</v>
      </c>
      <c r="C1144" s="309">
        <f>IFERROR(__xludf.DUMMYFUNCTION("""COMPUTED_VALUE"""),0.3184837962962963)</f>
        <v>0.3184837963</v>
      </c>
      <c r="D1144" s="7" t="str">
        <f>IFERROR(__xludf.DUMMYFUNCTION("""COMPUTED_VALUE"""),"SpABRM519188")</f>
        <v>SpABRM519188</v>
      </c>
      <c r="E1144" s="310"/>
      <c r="F1144" s="310"/>
      <c r="G1144" s="310" t="str">
        <f>IFERROR(__xludf.DUMMYFUNCTION("""COMPUTED_VALUE"""),"Negative")</f>
        <v>Negative</v>
      </c>
      <c r="H1144" s="319" t="str">
        <f>IFERROR(__xludf.DUMMYFUNCTION("""COMPUTED_VALUE"""),"Negative")</f>
        <v>Negative</v>
      </c>
      <c r="I1144" s="308">
        <f>IFERROR(__xludf.DUMMYFUNCTION("""COMPUTED_VALUE"""),45029.0)</f>
        <v>45029</v>
      </c>
      <c r="J1144" s="311">
        <f>IFERROR(__xludf.DUMMYFUNCTION("""COMPUTED_VALUE"""),0.41760416666666667)</f>
        <v>0.4176041667</v>
      </c>
      <c r="K1144" s="54"/>
      <c r="L1144" s="7"/>
      <c r="M1144" s="312"/>
      <c r="N1144" s="172">
        <f>IFERROR(__xludf.DUMMYFUNCTION("""COMPUTED_VALUE"""),1.0)</f>
        <v>1</v>
      </c>
      <c r="O1144" s="172"/>
      <c r="P1144" s="313">
        <f>IFERROR(__xludf.DUMMYFUNCTION("""COMPUTED_VALUE"""),1.0)</f>
        <v>1</v>
      </c>
      <c r="Q1144" s="76" t="b">
        <f>VLOOKUP($B1144,'Run Reconcile'!B$2:O1399,14,FALSE)</f>
        <v>1</v>
      </c>
      <c r="R1144" s="314" t="str">
        <f t="array" ref="R1144">IF($Q1144, INDEX('Run Reconcile'!A$2:A1399,MATCH(B1144,'Run Reconcile'!B$2:B1399,0),1),IFERROR(0/0,""))</f>
        <v>RUN-ABRM_2023-04-12_APS-007</v>
      </c>
      <c r="S1144" s="315" t="str">
        <f t="shared" ref="S1144:T1144" si="2150">IF(COUNTIF(W$2:W1399, $A1144) &gt; 0,TRUE,IFERROR(0/0,""))</f>
        <v/>
      </c>
      <c r="T1144" s="315" t="str">
        <f t="shared" si="2150"/>
        <v/>
      </c>
      <c r="U1144" s="114" t="str">
        <f t="array" ref="U1144">IF(ISBLANK($R1144), INDEX('Run Reconcile'!A$2:A1399, MATCH($B1144, 'Run Reconcile'!B$2:B1399, 0)+Z1144, 1), IFERROR(0/0,""))
</f>
        <v/>
      </c>
      <c r="V1144" s="316" t="str">
        <f t="shared" si="1281"/>
        <v>RUN-ABRM_2023-04-12_APS-007</v>
      </c>
      <c r="Y1144" s="317" t="str">
        <f t="shared" si="6"/>
        <v/>
      </c>
      <c r="Z1144" s="83" t="str">
        <f t="shared" si="7"/>
        <v/>
      </c>
      <c r="AA1144" s="83" t="str">
        <f t="shared" si="8"/>
        <v/>
      </c>
      <c r="AB1144" s="83" t="str">
        <f t="shared" si="9"/>
        <v/>
      </c>
      <c r="AC1144" s="18"/>
      <c r="AD1144" s="18"/>
      <c r="AE1144" s="43"/>
      <c r="AF1144" s="58" t="s">
        <v>1377</v>
      </c>
      <c r="AG1144" s="55" t="b">
        <f t="shared" si="11"/>
        <v>0</v>
      </c>
    </row>
    <row r="1145">
      <c r="A1145" s="7" t="str">
        <f>IFERROR(__xludf.DUMMYFUNCTION("""COMPUTED_VALUE"""),"AR1429")</f>
        <v>AR1429</v>
      </c>
      <c r="B1145" s="308">
        <f>IFERROR(__xludf.DUMMYFUNCTION("""COMPUTED_VALUE"""),45028.0)</f>
        <v>45028</v>
      </c>
      <c r="C1145" s="309">
        <f>IFERROR(__xludf.DUMMYFUNCTION("""COMPUTED_VALUE"""),0.3382986111111111)</f>
        <v>0.3382986111</v>
      </c>
      <c r="D1145" s="7" t="str">
        <f>IFERROR(__xludf.DUMMYFUNCTION("""COMPUTED_VALUE"""),"SpABRM841252")</f>
        <v>SpABRM841252</v>
      </c>
      <c r="E1145" s="310"/>
      <c r="F1145" s="310"/>
      <c r="G1145" s="310" t="str">
        <f>IFERROR(__xludf.DUMMYFUNCTION("""COMPUTED_VALUE"""),"Negative")</f>
        <v>Negative</v>
      </c>
      <c r="H1145" s="319" t="str">
        <f>IFERROR(__xludf.DUMMYFUNCTION("""COMPUTED_VALUE"""),"Negative")</f>
        <v>Negative</v>
      </c>
      <c r="I1145" s="308">
        <f>IFERROR(__xludf.DUMMYFUNCTION("""COMPUTED_VALUE"""),45029.0)</f>
        <v>45029</v>
      </c>
      <c r="J1145" s="311">
        <f>IFERROR(__xludf.DUMMYFUNCTION("""COMPUTED_VALUE"""),0.41760416666666667)</f>
        <v>0.4176041667</v>
      </c>
      <c r="K1145" s="54"/>
      <c r="L1145" s="7"/>
      <c r="M1145" s="312"/>
      <c r="N1145" s="172">
        <f>IFERROR(__xludf.DUMMYFUNCTION("""COMPUTED_VALUE"""),1.0)</f>
        <v>1</v>
      </c>
      <c r="O1145" s="172"/>
      <c r="P1145" s="313">
        <f>IFERROR(__xludf.DUMMYFUNCTION("""COMPUTED_VALUE"""),1.0)</f>
        <v>1</v>
      </c>
      <c r="Q1145" s="76" t="b">
        <f>VLOOKUP($B1145,'Run Reconcile'!B$2:O1399,14,FALSE)</f>
        <v>1</v>
      </c>
      <c r="R1145" s="314" t="str">
        <f t="array" ref="R1145">IF($Q1145, INDEX('Run Reconcile'!A$2:A1399,MATCH(B1145,'Run Reconcile'!B$2:B1399,0),1),IFERROR(0/0,""))</f>
        <v>RUN-ABRM_2023-04-12_APS-007</v>
      </c>
      <c r="S1145" s="315" t="str">
        <f t="shared" ref="S1145:T1145" si="2151">IF(COUNTIF(W$2:W1399, $A1145) &gt; 0,TRUE,IFERROR(0/0,""))</f>
        <v/>
      </c>
      <c r="T1145" s="315" t="str">
        <f t="shared" si="2151"/>
        <v/>
      </c>
      <c r="U1145" s="114" t="str">
        <f t="array" ref="U1145">IF(ISBLANK($R1145), INDEX('Run Reconcile'!A$2:A1399, MATCH($B1145, 'Run Reconcile'!B$2:B1399, 0)+Z1145, 1), IFERROR(0/0,""))
</f>
        <v/>
      </c>
      <c r="V1145" s="316" t="str">
        <f t="shared" si="1281"/>
        <v>RUN-ABRM_2023-04-12_APS-007</v>
      </c>
      <c r="Y1145" s="317" t="str">
        <f t="shared" si="6"/>
        <v/>
      </c>
      <c r="Z1145" s="83" t="str">
        <f t="shared" si="7"/>
        <v/>
      </c>
      <c r="AA1145" s="83" t="str">
        <f t="shared" si="8"/>
        <v/>
      </c>
      <c r="AB1145" s="83" t="str">
        <f t="shared" si="9"/>
        <v/>
      </c>
      <c r="AC1145" s="18"/>
      <c r="AD1145" s="18"/>
      <c r="AE1145" s="43"/>
      <c r="AF1145" s="58" t="s">
        <v>1377</v>
      </c>
      <c r="AG1145" s="55" t="b">
        <f t="shared" si="11"/>
        <v>0</v>
      </c>
    </row>
    <row r="1146">
      <c r="A1146" s="7" t="str">
        <f>IFERROR(__xludf.DUMMYFUNCTION("""COMPUTED_VALUE"""),"AK9923")</f>
        <v>AK9923</v>
      </c>
      <c r="B1146" s="308">
        <f>IFERROR(__xludf.DUMMYFUNCTION("""COMPUTED_VALUE"""),45028.0)</f>
        <v>45028</v>
      </c>
      <c r="C1146" s="309">
        <f>IFERROR(__xludf.DUMMYFUNCTION("""COMPUTED_VALUE"""),0.34305555555555556)</f>
        <v>0.3430555556</v>
      </c>
      <c r="D1146" s="7" t="str">
        <f>IFERROR(__xludf.DUMMYFUNCTION("""COMPUTED_VALUE"""),"SpABRM841252")</f>
        <v>SpABRM841252</v>
      </c>
      <c r="E1146" s="310"/>
      <c r="F1146" s="310"/>
      <c r="G1146" s="310" t="str">
        <f>IFERROR(__xludf.DUMMYFUNCTION("""COMPUTED_VALUE"""),"Negative")</f>
        <v>Negative</v>
      </c>
      <c r="H1146" s="319" t="str">
        <f>IFERROR(__xludf.DUMMYFUNCTION("""COMPUTED_VALUE"""),"Negative")</f>
        <v>Negative</v>
      </c>
      <c r="I1146" s="308">
        <f>IFERROR(__xludf.DUMMYFUNCTION("""COMPUTED_VALUE"""),45029.0)</f>
        <v>45029</v>
      </c>
      <c r="J1146" s="311">
        <f>IFERROR(__xludf.DUMMYFUNCTION("""COMPUTED_VALUE"""),0.41760416666666667)</f>
        <v>0.4176041667</v>
      </c>
      <c r="K1146" s="54"/>
      <c r="L1146" s="7"/>
      <c r="M1146" s="312"/>
      <c r="N1146" s="172">
        <f>IFERROR(__xludf.DUMMYFUNCTION("""COMPUTED_VALUE"""),1.0)</f>
        <v>1</v>
      </c>
      <c r="O1146" s="172"/>
      <c r="P1146" s="313">
        <f>IFERROR(__xludf.DUMMYFUNCTION("""COMPUTED_VALUE"""),1.0)</f>
        <v>1</v>
      </c>
      <c r="Q1146" s="76" t="b">
        <f>VLOOKUP($B1146,'Run Reconcile'!B$2:O1399,14,FALSE)</f>
        <v>1</v>
      </c>
      <c r="R1146" s="314" t="str">
        <f t="array" ref="R1146">IF($Q1146, INDEX('Run Reconcile'!A$2:A1399,MATCH(B1146,'Run Reconcile'!B$2:B1399,0),1),IFERROR(0/0,""))</f>
        <v>RUN-ABRM_2023-04-12_APS-007</v>
      </c>
      <c r="S1146" s="315" t="str">
        <f t="shared" ref="S1146:T1146" si="2152">IF(COUNTIF(W$2:W1399, $A1146) &gt; 0,TRUE,IFERROR(0/0,""))</f>
        <v/>
      </c>
      <c r="T1146" s="315" t="str">
        <f t="shared" si="2152"/>
        <v/>
      </c>
      <c r="U1146" s="114" t="str">
        <f t="array" ref="U1146">IF(ISBLANK($R1146), INDEX('Run Reconcile'!A$2:A1399, MATCH($B1146, 'Run Reconcile'!B$2:B1399, 0)+Z1146, 1), IFERROR(0/0,""))
</f>
        <v/>
      </c>
      <c r="V1146" s="316" t="str">
        <f t="shared" si="1281"/>
        <v>RUN-ABRM_2023-04-12_APS-007</v>
      </c>
      <c r="Y1146" s="317" t="str">
        <f t="shared" si="6"/>
        <v/>
      </c>
      <c r="Z1146" s="83" t="str">
        <f t="shared" si="7"/>
        <v/>
      </c>
      <c r="AA1146" s="83" t="str">
        <f t="shared" si="8"/>
        <v/>
      </c>
      <c r="AB1146" s="83" t="str">
        <f t="shared" si="9"/>
        <v/>
      </c>
      <c r="AC1146" s="18"/>
      <c r="AD1146" s="18"/>
      <c r="AE1146" s="43"/>
      <c r="AF1146" s="58" t="s">
        <v>1377</v>
      </c>
      <c r="AG1146" s="55" t="b">
        <f t="shared" si="11"/>
        <v>0</v>
      </c>
    </row>
    <row r="1147">
      <c r="A1147" s="7" t="str">
        <f>IFERROR(__xludf.DUMMYFUNCTION("""COMPUTED_VALUE"""),"AR1743")</f>
        <v>AR1743</v>
      </c>
      <c r="B1147" s="308">
        <f>IFERROR(__xludf.DUMMYFUNCTION("""COMPUTED_VALUE"""),45029.0)</f>
        <v>45029</v>
      </c>
      <c r="C1147" s="309">
        <f>IFERROR(__xludf.DUMMYFUNCTION("""COMPUTED_VALUE"""),0.2415625)</f>
        <v>0.2415625</v>
      </c>
      <c r="D1147" s="7" t="str">
        <f>IFERROR(__xludf.DUMMYFUNCTION("""COMPUTED_VALUE"""),"SpABRM128250")</f>
        <v>SpABRM128250</v>
      </c>
      <c r="E1147" s="310"/>
      <c r="F1147" s="310"/>
      <c r="G1147" s="310" t="str">
        <f>IFERROR(__xludf.DUMMYFUNCTION("""COMPUTED_VALUE"""),"Negative")</f>
        <v>Negative</v>
      </c>
      <c r="H1147" s="319" t="str">
        <f>IFERROR(__xludf.DUMMYFUNCTION("""COMPUTED_VALUE"""),"Negative")</f>
        <v>Negative</v>
      </c>
      <c r="I1147" s="308">
        <f>IFERROR(__xludf.DUMMYFUNCTION("""COMPUTED_VALUE"""),45029.0)</f>
        <v>45029</v>
      </c>
      <c r="J1147" s="311">
        <f>IFERROR(__xludf.DUMMYFUNCTION("""COMPUTED_VALUE"""),0.41761574074074076)</f>
        <v>0.4176157407</v>
      </c>
      <c r="K1147" s="54"/>
      <c r="L1147" s="7"/>
      <c r="M1147" s="312"/>
      <c r="N1147" s="172">
        <f>IFERROR(__xludf.DUMMYFUNCTION("""COMPUTED_VALUE"""),3.0)</f>
        <v>3</v>
      </c>
      <c r="O1147" s="172"/>
      <c r="P1147" s="313">
        <f>IFERROR(__xludf.DUMMYFUNCTION("""COMPUTED_VALUE"""),0.0)</f>
        <v>0</v>
      </c>
      <c r="Q1147" s="76" t="b">
        <f>VLOOKUP($B1147,'Run Reconcile'!B$2:O1399,14,FALSE)</f>
        <v>1</v>
      </c>
      <c r="R1147" s="314" t="str">
        <f t="array" ref="R1147">IF($Q1147, INDEX('Run Reconcile'!A$2:A1399,MATCH(B1147,'Run Reconcile'!B$2:B1399,0),1),IFERROR(0/0,""))</f>
        <v>RUN-ABRM_2023-04-13_APS-008</v>
      </c>
      <c r="S1147" s="315" t="str">
        <f t="shared" ref="S1147:T1147" si="2153">IF(COUNTIF(W$2:W1399, $A1147) &gt; 0,TRUE,IFERROR(0/0,""))</f>
        <v/>
      </c>
      <c r="T1147" s="315" t="str">
        <f t="shared" si="2153"/>
        <v/>
      </c>
      <c r="U1147" s="114" t="str">
        <f t="array" ref="U1147">IF(ISBLANK($R1147), INDEX('Run Reconcile'!A$2:A1399, MATCH($B1147, 'Run Reconcile'!B$2:B1399, 0)+Z1147, 1), IFERROR(0/0,""))
</f>
        <v/>
      </c>
      <c r="V1147" s="316" t="str">
        <f t="shared" si="1281"/>
        <v>RUN-ABRM_2023-04-13_APS-008</v>
      </c>
      <c r="Y1147" s="317" t="str">
        <f t="shared" si="6"/>
        <v/>
      </c>
      <c r="Z1147" s="83" t="str">
        <f t="shared" si="7"/>
        <v/>
      </c>
      <c r="AA1147" s="83" t="str">
        <f t="shared" si="8"/>
        <v/>
      </c>
      <c r="AB1147" s="83" t="str">
        <f t="shared" si="9"/>
        <v/>
      </c>
      <c r="AC1147" s="18"/>
      <c r="AD1147" s="18"/>
      <c r="AE1147" s="43"/>
      <c r="AF1147" s="58" t="s">
        <v>1378</v>
      </c>
      <c r="AG1147" s="55" t="b">
        <f t="shared" si="11"/>
        <v>0</v>
      </c>
    </row>
    <row r="1148">
      <c r="A1148" s="7" t="str">
        <f>IFERROR(__xludf.DUMMYFUNCTION("""COMPUTED_VALUE"""),"AR860")</f>
        <v>AR860</v>
      </c>
      <c r="B1148" s="308">
        <f>IFERROR(__xludf.DUMMYFUNCTION("""COMPUTED_VALUE"""),45029.0)</f>
        <v>45029</v>
      </c>
      <c r="C1148" s="309">
        <f>IFERROR(__xludf.DUMMYFUNCTION("""COMPUTED_VALUE"""),0.26372685185185185)</f>
        <v>0.2637268519</v>
      </c>
      <c r="D1148" s="7" t="str">
        <f>IFERROR(__xludf.DUMMYFUNCTION("""COMPUTED_VALUE"""),"SpABRM581899")</f>
        <v>SpABRM581899</v>
      </c>
      <c r="E1148" s="310"/>
      <c r="F1148" s="310"/>
      <c r="G1148" s="310" t="str">
        <f>IFERROR(__xludf.DUMMYFUNCTION("""COMPUTED_VALUE"""),"Negative")</f>
        <v>Negative</v>
      </c>
      <c r="H1148" s="319" t="str">
        <f>IFERROR(__xludf.DUMMYFUNCTION("""COMPUTED_VALUE"""),"Negative")</f>
        <v>Negative</v>
      </c>
      <c r="I1148" s="308">
        <f>IFERROR(__xludf.DUMMYFUNCTION("""COMPUTED_VALUE"""),45029.0)</f>
        <v>45029</v>
      </c>
      <c r="J1148" s="311">
        <f>IFERROR(__xludf.DUMMYFUNCTION("""COMPUTED_VALUE"""),0.41761574074074076)</f>
        <v>0.4176157407</v>
      </c>
      <c r="K1148" s="54"/>
      <c r="L1148" s="7"/>
      <c r="M1148" s="312"/>
      <c r="N1148" s="172">
        <f>IFERROR(__xludf.DUMMYFUNCTION("""COMPUTED_VALUE"""),3.0)</f>
        <v>3</v>
      </c>
      <c r="O1148" s="172"/>
      <c r="P1148" s="313">
        <f>IFERROR(__xludf.DUMMYFUNCTION("""COMPUTED_VALUE"""),0.0)</f>
        <v>0</v>
      </c>
      <c r="Q1148" s="76" t="b">
        <f>VLOOKUP($B1148,'Run Reconcile'!B$2:O1399,14,FALSE)</f>
        <v>1</v>
      </c>
      <c r="R1148" s="314" t="str">
        <f t="array" ref="R1148">IF($Q1148, INDEX('Run Reconcile'!A$2:A1399,MATCH(B1148,'Run Reconcile'!B$2:B1399,0),1),IFERROR(0/0,""))</f>
        <v>RUN-ABRM_2023-04-13_APS-008</v>
      </c>
      <c r="S1148" s="315" t="str">
        <f t="shared" ref="S1148:T1148" si="2154">IF(COUNTIF(W$2:W1399, $A1148) &gt; 0,TRUE,IFERROR(0/0,""))</f>
        <v/>
      </c>
      <c r="T1148" s="315" t="str">
        <f t="shared" si="2154"/>
        <v/>
      </c>
      <c r="U1148" s="114" t="str">
        <f t="array" ref="U1148">IF(ISBLANK($R1148), INDEX('Run Reconcile'!A$2:A1399, MATCH($B1148, 'Run Reconcile'!B$2:B1399, 0)+Z1148, 1), IFERROR(0/0,""))
</f>
        <v/>
      </c>
      <c r="V1148" s="316" t="str">
        <f t="shared" si="1281"/>
        <v>RUN-ABRM_2023-04-13_APS-008</v>
      </c>
      <c r="Y1148" s="317" t="str">
        <f t="shared" si="6"/>
        <v/>
      </c>
      <c r="Z1148" s="83" t="str">
        <f t="shared" si="7"/>
        <v/>
      </c>
      <c r="AA1148" s="83" t="str">
        <f t="shared" si="8"/>
        <v/>
      </c>
      <c r="AB1148" s="83" t="str">
        <f t="shared" si="9"/>
        <v/>
      </c>
      <c r="AC1148" s="18"/>
      <c r="AD1148" s="18"/>
      <c r="AE1148" s="43"/>
      <c r="AF1148" s="58" t="s">
        <v>1378</v>
      </c>
      <c r="AG1148" s="55" t="b">
        <f t="shared" si="11"/>
        <v>0</v>
      </c>
    </row>
    <row r="1149">
      <c r="A1149" s="7" t="str">
        <f>IFERROR(__xludf.DUMMYFUNCTION("""COMPUTED_VALUE"""),"AR1021")</f>
        <v>AR1021</v>
      </c>
      <c r="B1149" s="308">
        <f>IFERROR(__xludf.DUMMYFUNCTION("""COMPUTED_VALUE"""),45029.0)</f>
        <v>45029</v>
      </c>
      <c r="C1149" s="309">
        <f>IFERROR(__xludf.DUMMYFUNCTION("""COMPUTED_VALUE"""),0.2920833333333333)</f>
        <v>0.2920833333</v>
      </c>
      <c r="D1149" s="7" t="str">
        <f>IFERROR(__xludf.DUMMYFUNCTION("""COMPUTED_VALUE"""),"SpABRM519188")</f>
        <v>SpABRM519188</v>
      </c>
      <c r="E1149" s="310"/>
      <c r="F1149" s="310"/>
      <c r="G1149" s="310" t="str">
        <f>IFERROR(__xludf.DUMMYFUNCTION("""COMPUTED_VALUE"""),"Negative")</f>
        <v>Negative</v>
      </c>
      <c r="H1149" s="319" t="str">
        <f>IFERROR(__xludf.DUMMYFUNCTION("""COMPUTED_VALUE"""),"Negative")</f>
        <v>Negative</v>
      </c>
      <c r="I1149" s="308">
        <f>IFERROR(__xludf.DUMMYFUNCTION("""COMPUTED_VALUE"""),45029.0)</f>
        <v>45029</v>
      </c>
      <c r="J1149" s="311">
        <f>IFERROR(__xludf.DUMMYFUNCTION("""COMPUTED_VALUE"""),0.41761574074074076)</f>
        <v>0.4176157407</v>
      </c>
      <c r="K1149" s="54"/>
      <c r="L1149" s="7"/>
      <c r="M1149" s="312"/>
      <c r="N1149" s="172">
        <f>IFERROR(__xludf.DUMMYFUNCTION("""COMPUTED_VALUE"""),1.0)</f>
        <v>1</v>
      </c>
      <c r="O1149" s="172"/>
      <c r="P1149" s="313">
        <f>IFERROR(__xludf.DUMMYFUNCTION("""COMPUTED_VALUE"""),0.0)</f>
        <v>0</v>
      </c>
      <c r="Q1149" s="76" t="b">
        <f>VLOOKUP($B1149,'Run Reconcile'!B$2:O1399,14,FALSE)</f>
        <v>1</v>
      </c>
      <c r="R1149" s="314" t="str">
        <f t="array" ref="R1149">IF($Q1149, INDEX('Run Reconcile'!A$2:A1399,MATCH(B1149,'Run Reconcile'!B$2:B1399,0),1),IFERROR(0/0,""))</f>
        <v>RUN-ABRM_2023-04-13_APS-008</v>
      </c>
      <c r="S1149" s="315" t="str">
        <f t="shared" ref="S1149:T1149" si="2155">IF(COUNTIF(W$2:W1399, $A1149) &gt; 0,TRUE,IFERROR(0/0,""))</f>
        <v/>
      </c>
      <c r="T1149" s="315" t="str">
        <f t="shared" si="2155"/>
        <v/>
      </c>
      <c r="U1149" s="114" t="str">
        <f t="array" ref="U1149">IF(ISBLANK($R1149), INDEX('Run Reconcile'!A$2:A1399, MATCH($B1149, 'Run Reconcile'!B$2:B1399, 0)+Z1149, 1), IFERROR(0/0,""))
</f>
        <v/>
      </c>
      <c r="V1149" s="316" t="str">
        <f t="shared" si="1281"/>
        <v>RUN-ABRM_2023-04-13_APS-008</v>
      </c>
      <c r="Y1149" s="317" t="str">
        <f t="shared" si="6"/>
        <v/>
      </c>
      <c r="Z1149" s="83" t="str">
        <f t="shared" si="7"/>
        <v/>
      </c>
      <c r="AA1149" s="83" t="str">
        <f t="shared" si="8"/>
        <v/>
      </c>
      <c r="AB1149" s="83" t="str">
        <f t="shared" si="9"/>
        <v/>
      </c>
      <c r="AC1149" s="18"/>
      <c r="AD1149" s="18"/>
      <c r="AE1149" s="43"/>
      <c r="AF1149" s="58" t="s">
        <v>1378</v>
      </c>
      <c r="AG1149" s="55" t="b">
        <f t="shared" si="11"/>
        <v>0</v>
      </c>
    </row>
    <row r="1150">
      <c r="A1150" s="7" t="str">
        <f>IFERROR(__xludf.DUMMYFUNCTION("""COMPUTED_VALUE"""),"AK9846")</f>
        <v>AK9846</v>
      </c>
      <c r="B1150" s="308">
        <f>IFERROR(__xludf.DUMMYFUNCTION("""COMPUTED_VALUE"""),45029.0)</f>
        <v>45029</v>
      </c>
      <c r="C1150" s="309">
        <f>IFERROR(__xludf.DUMMYFUNCTION("""COMPUTED_VALUE"""),0.2992361111111111)</f>
        <v>0.2992361111</v>
      </c>
      <c r="D1150" s="7" t="str">
        <f>IFERROR(__xludf.DUMMYFUNCTION("""COMPUTED_VALUE"""),"SpABRM297307")</f>
        <v>SpABRM297307</v>
      </c>
      <c r="E1150" s="310"/>
      <c r="F1150" s="310"/>
      <c r="G1150" s="310" t="str">
        <f>IFERROR(__xludf.DUMMYFUNCTION("""COMPUTED_VALUE"""),"Negative")</f>
        <v>Negative</v>
      </c>
      <c r="H1150" s="319" t="str">
        <f>IFERROR(__xludf.DUMMYFUNCTION("""COMPUTED_VALUE"""),"Negative")</f>
        <v>Negative</v>
      </c>
      <c r="I1150" s="308">
        <f>IFERROR(__xludf.DUMMYFUNCTION("""COMPUTED_VALUE"""),45029.0)</f>
        <v>45029</v>
      </c>
      <c r="J1150" s="311">
        <f>IFERROR(__xludf.DUMMYFUNCTION("""COMPUTED_VALUE"""),0.41761574074074076)</f>
        <v>0.4176157407</v>
      </c>
      <c r="K1150" s="54"/>
      <c r="L1150" s="7"/>
      <c r="M1150" s="312"/>
      <c r="N1150" s="172">
        <f>IFERROR(__xludf.DUMMYFUNCTION("""COMPUTED_VALUE"""),4.0)</f>
        <v>4</v>
      </c>
      <c r="O1150" s="172"/>
      <c r="P1150" s="313">
        <f>IFERROR(__xludf.DUMMYFUNCTION("""COMPUTED_VALUE"""),0.0)</f>
        <v>0</v>
      </c>
      <c r="Q1150" s="76" t="b">
        <f>VLOOKUP($B1150,'Run Reconcile'!B$2:O1399,14,FALSE)</f>
        <v>1</v>
      </c>
      <c r="R1150" s="314" t="str">
        <f t="array" ref="R1150">IF($Q1150, INDEX('Run Reconcile'!A$2:A1399,MATCH(B1150,'Run Reconcile'!B$2:B1399,0),1),IFERROR(0/0,""))</f>
        <v>RUN-ABRM_2023-04-13_APS-008</v>
      </c>
      <c r="S1150" s="315" t="str">
        <f t="shared" ref="S1150:T1150" si="2156">IF(COUNTIF(W$2:W1399, $A1150) &gt; 0,TRUE,IFERROR(0/0,""))</f>
        <v/>
      </c>
      <c r="T1150" s="315" t="str">
        <f t="shared" si="2156"/>
        <v/>
      </c>
      <c r="U1150" s="114" t="str">
        <f t="array" ref="U1150">IF(ISBLANK($R1150), INDEX('Run Reconcile'!A$2:A1399, MATCH($B1150, 'Run Reconcile'!B$2:B1399, 0)+Z1150, 1), IFERROR(0/0,""))
</f>
        <v/>
      </c>
      <c r="V1150" s="316" t="str">
        <f t="shared" si="1281"/>
        <v>RUN-ABRM_2023-04-13_APS-008</v>
      </c>
      <c r="Y1150" s="317" t="str">
        <f t="shared" si="6"/>
        <v/>
      </c>
      <c r="Z1150" s="83" t="str">
        <f t="shared" si="7"/>
        <v/>
      </c>
      <c r="AA1150" s="83" t="str">
        <f t="shared" si="8"/>
        <v/>
      </c>
      <c r="AB1150" s="83" t="str">
        <f t="shared" si="9"/>
        <v/>
      </c>
      <c r="AC1150" s="18"/>
      <c r="AD1150" s="18"/>
      <c r="AE1150" s="43"/>
      <c r="AF1150" s="58" t="s">
        <v>1378</v>
      </c>
      <c r="AG1150" s="55" t="b">
        <f t="shared" si="11"/>
        <v>0</v>
      </c>
    </row>
    <row r="1151">
      <c r="A1151" s="7" t="str">
        <f>IFERROR(__xludf.DUMMYFUNCTION("""COMPUTED_VALUE"""),"AR1745")</f>
        <v>AR1745</v>
      </c>
      <c r="B1151" s="308">
        <f>IFERROR(__xludf.DUMMYFUNCTION("""COMPUTED_VALUE"""),45029.0)</f>
        <v>45029</v>
      </c>
      <c r="C1151" s="309">
        <f>IFERROR(__xludf.DUMMYFUNCTION("""COMPUTED_VALUE"""),0.30261574074074077)</f>
        <v>0.3026157407</v>
      </c>
      <c r="D1151" s="7" t="str">
        <f>IFERROR(__xludf.DUMMYFUNCTION("""COMPUTED_VALUE"""),"SpABRM367540")</f>
        <v>SpABRM367540</v>
      </c>
      <c r="E1151" s="310"/>
      <c r="F1151" s="310"/>
      <c r="G1151" s="310" t="str">
        <f>IFERROR(__xludf.DUMMYFUNCTION("""COMPUTED_VALUE"""),"Negative")</f>
        <v>Negative</v>
      </c>
      <c r="H1151" s="319" t="str">
        <f>IFERROR(__xludf.DUMMYFUNCTION("""COMPUTED_VALUE"""),"Negative")</f>
        <v>Negative</v>
      </c>
      <c r="I1151" s="308">
        <f>IFERROR(__xludf.DUMMYFUNCTION("""COMPUTED_VALUE"""),45029.0)</f>
        <v>45029</v>
      </c>
      <c r="J1151" s="311">
        <f>IFERROR(__xludf.DUMMYFUNCTION("""COMPUTED_VALUE"""),0.41761574074074076)</f>
        <v>0.4176157407</v>
      </c>
      <c r="K1151" s="54"/>
      <c r="L1151" s="7"/>
      <c r="M1151" s="312"/>
      <c r="N1151" s="172">
        <f>IFERROR(__xludf.DUMMYFUNCTION("""COMPUTED_VALUE"""),3.0)</f>
        <v>3</v>
      </c>
      <c r="O1151" s="172"/>
      <c r="P1151" s="313">
        <f>IFERROR(__xludf.DUMMYFUNCTION("""COMPUTED_VALUE"""),0.0)</f>
        <v>0</v>
      </c>
      <c r="Q1151" s="76" t="b">
        <f>VLOOKUP($B1151,'Run Reconcile'!B$2:O1399,14,FALSE)</f>
        <v>1</v>
      </c>
      <c r="R1151" s="314" t="str">
        <f t="array" ref="R1151">IF($Q1151, INDEX('Run Reconcile'!A$2:A1399,MATCH(B1151,'Run Reconcile'!B$2:B1399,0),1),IFERROR(0/0,""))</f>
        <v>RUN-ABRM_2023-04-13_APS-008</v>
      </c>
      <c r="S1151" s="315" t="str">
        <f t="shared" ref="S1151:T1151" si="2157">IF(COUNTIF(W$2:W1399, $A1151) &gt; 0,TRUE,IFERROR(0/0,""))</f>
        <v/>
      </c>
      <c r="T1151" s="315" t="str">
        <f t="shared" si="2157"/>
        <v/>
      </c>
      <c r="U1151" s="114" t="str">
        <f t="array" ref="U1151">IF(ISBLANK($R1151), INDEX('Run Reconcile'!A$2:A1399, MATCH($B1151, 'Run Reconcile'!B$2:B1399, 0)+Z1151, 1), IFERROR(0/0,""))
</f>
        <v/>
      </c>
      <c r="V1151" s="316" t="str">
        <f t="shared" si="1281"/>
        <v>RUN-ABRM_2023-04-13_APS-008</v>
      </c>
      <c r="Y1151" s="317" t="str">
        <f t="shared" si="6"/>
        <v/>
      </c>
      <c r="Z1151" s="83" t="str">
        <f t="shared" si="7"/>
        <v/>
      </c>
      <c r="AA1151" s="83" t="str">
        <f t="shared" si="8"/>
        <v/>
      </c>
      <c r="AB1151" s="83" t="str">
        <f t="shared" si="9"/>
        <v/>
      </c>
      <c r="AC1151" s="18"/>
      <c r="AD1151" s="18"/>
      <c r="AE1151" s="43"/>
      <c r="AF1151" s="58" t="s">
        <v>1378</v>
      </c>
      <c r="AG1151" s="55" t="b">
        <f t="shared" si="11"/>
        <v>0</v>
      </c>
    </row>
    <row r="1152">
      <c r="A1152" s="7" t="str">
        <f>IFERROR(__xludf.DUMMYFUNCTION("""COMPUTED_VALUE"""),"AR917")</f>
        <v>AR917</v>
      </c>
      <c r="B1152" s="308">
        <f>IFERROR(__xludf.DUMMYFUNCTION("""COMPUTED_VALUE"""),45029.0)</f>
        <v>45029</v>
      </c>
      <c r="C1152" s="309">
        <f>IFERROR(__xludf.DUMMYFUNCTION("""COMPUTED_VALUE"""),0.3076157407407407)</f>
        <v>0.3076157407</v>
      </c>
      <c r="D1152" s="7" t="str">
        <f>IFERROR(__xludf.DUMMYFUNCTION("""COMPUTED_VALUE"""),"SpABRM716377")</f>
        <v>SpABRM716377</v>
      </c>
      <c r="E1152" s="310"/>
      <c r="F1152" s="310"/>
      <c r="G1152" s="310" t="str">
        <f>IFERROR(__xludf.DUMMYFUNCTION("""COMPUTED_VALUE"""),"Inconclusive")</f>
        <v>Inconclusive</v>
      </c>
      <c r="H1152" s="319" t="str">
        <f>IFERROR(__xludf.DUMMYFUNCTION("""COMPUTED_VALUE"""),"Negative")</f>
        <v>Negative</v>
      </c>
      <c r="I1152" s="308">
        <f>IFERROR(__xludf.DUMMYFUNCTION("""COMPUTED_VALUE"""),45033.0)</f>
        <v>45033</v>
      </c>
      <c r="J1152" s="311">
        <f>IFERROR(__xludf.DUMMYFUNCTION("""COMPUTED_VALUE"""),0.3945486111111111)</f>
        <v>0.3945486111</v>
      </c>
      <c r="K1152" s="54">
        <f>IFERROR(__xludf.DUMMYFUNCTION("""COMPUTED_VALUE"""),2.5)</f>
        <v>2.5</v>
      </c>
      <c r="L1152" s="7" t="str">
        <f>IFERROR(__xludf.DUMMYFUNCTION("""COMPUTED_VALUE"""),"RT Jan26 - reruns were neg")</f>
        <v>RT Jan26 - reruns were neg</v>
      </c>
      <c r="M1152" s="312"/>
      <c r="N1152" s="172">
        <f>IFERROR(__xludf.DUMMYFUNCTION("""COMPUTED_VALUE"""),2.0)</f>
        <v>2</v>
      </c>
      <c r="O1152" s="172"/>
      <c r="P1152" s="313">
        <f>IFERROR(__xludf.DUMMYFUNCTION("""COMPUTED_VALUE"""),4.0)</f>
        <v>4</v>
      </c>
      <c r="Q1152" s="76" t="b">
        <f>VLOOKUP($B1152,'Run Reconcile'!B$2:O1399,14,FALSE)</f>
        <v>1</v>
      </c>
      <c r="R1152" s="314" t="str">
        <f t="array" ref="R1152">IF($Q1152, INDEX('Run Reconcile'!A$2:A1399,MATCH(B1152,'Run Reconcile'!B$2:B1399,0),1),IFERROR(0/0,""))</f>
        <v>RUN-ABRM_2023-04-13_APS-008</v>
      </c>
      <c r="S1152" s="315" t="str">
        <f t="shared" ref="S1152:T1152" si="2158">IF(COUNTIF(W$2:W1399, $A1152) &gt; 0,TRUE,IFERROR(0/0,""))</f>
        <v/>
      </c>
      <c r="T1152" s="315" t="str">
        <f t="shared" si="2158"/>
        <v/>
      </c>
      <c r="U1152" s="114" t="str">
        <f t="array" ref="U1152">IF(ISBLANK($R1152), INDEX('Run Reconcile'!A$2:A1399, MATCH($B1152, 'Run Reconcile'!B$2:B1399, 0)+Z1152, 1), IFERROR(0/0,""))
</f>
        <v/>
      </c>
      <c r="V1152" s="316" t="str">
        <f t="shared" si="1281"/>
        <v>RUN-ABRM_2023-04-13_APS-008</v>
      </c>
      <c r="Y1152" s="317" t="str">
        <f t="shared" si="6"/>
        <v/>
      </c>
      <c r="Z1152" s="83" t="str">
        <f t="shared" si="7"/>
        <v/>
      </c>
      <c r="AA1152" s="83" t="str">
        <f t="shared" si="8"/>
        <v/>
      </c>
      <c r="AB1152" s="83" t="str">
        <f t="shared" si="9"/>
        <v/>
      </c>
      <c r="AC1152" s="18"/>
      <c r="AD1152" s="18"/>
      <c r="AE1152" s="43"/>
      <c r="AF1152" s="58" t="s">
        <v>1378</v>
      </c>
      <c r="AG1152" s="55" t="b">
        <f t="shared" si="11"/>
        <v>0</v>
      </c>
    </row>
    <row r="1153">
      <c r="A1153" s="7" t="str">
        <f>IFERROR(__xludf.DUMMYFUNCTION("""COMPUTED_VALUE"""),"AR1168")</f>
        <v>AR1168</v>
      </c>
      <c r="B1153" s="308">
        <f>IFERROR(__xludf.DUMMYFUNCTION("""COMPUTED_VALUE"""),45029.0)</f>
        <v>45029</v>
      </c>
      <c r="C1153" s="309">
        <f>IFERROR(__xludf.DUMMYFUNCTION("""COMPUTED_VALUE"""),0.32862268518518517)</f>
        <v>0.3286226852</v>
      </c>
      <c r="D1153" s="7" t="str">
        <f>IFERROR(__xludf.DUMMYFUNCTION("""COMPUTED_VALUE"""),"SpABRM841252")</f>
        <v>SpABRM841252</v>
      </c>
      <c r="E1153" s="310"/>
      <c r="F1153" s="310"/>
      <c r="G1153" s="310" t="str">
        <f>IFERROR(__xludf.DUMMYFUNCTION("""COMPUTED_VALUE"""),"Negative")</f>
        <v>Negative</v>
      </c>
      <c r="H1153" s="319" t="str">
        <f>IFERROR(__xludf.DUMMYFUNCTION("""COMPUTED_VALUE"""),"Negative")</f>
        <v>Negative</v>
      </c>
      <c r="I1153" s="308">
        <f>IFERROR(__xludf.DUMMYFUNCTION("""COMPUTED_VALUE"""),45029.0)</f>
        <v>45029</v>
      </c>
      <c r="J1153" s="311">
        <f>IFERROR(__xludf.DUMMYFUNCTION("""COMPUTED_VALUE"""),0.4176273148148148)</f>
        <v>0.4176273148</v>
      </c>
      <c r="K1153" s="54"/>
      <c r="L1153" s="7"/>
      <c r="M1153" s="312"/>
      <c r="N1153" s="172">
        <f>IFERROR(__xludf.DUMMYFUNCTION("""COMPUTED_VALUE"""),1.0)</f>
        <v>1</v>
      </c>
      <c r="O1153" s="172"/>
      <c r="P1153" s="313">
        <f>IFERROR(__xludf.DUMMYFUNCTION("""COMPUTED_VALUE"""),0.0)</f>
        <v>0</v>
      </c>
      <c r="Q1153" s="76" t="b">
        <f>VLOOKUP($B1153,'Run Reconcile'!B$2:O1399,14,FALSE)</f>
        <v>1</v>
      </c>
      <c r="R1153" s="314" t="str">
        <f t="array" ref="R1153">IF($Q1153, INDEX('Run Reconcile'!A$2:A1399,MATCH(B1153,'Run Reconcile'!B$2:B1399,0),1),IFERROR(0/0,""))</f>
        <v>RUN-ABRM_2023-04-13_APS-008</v>
      </c>
      <c r="S1153" s="315" t="str">
        <f t="shared" ref="S1153:T1153" si="2159">IF(COUNTIF(W$2:W1399, $A1153) &gt; 0,TRUE,IFERROR(0/0,""))</f>
        <v/>
      </c>
      <c r="T1153" s="315" t="str">
        <f t="shared" si="2159"/>
        <v/>
      </c>
      <c r="U1153" s="114" t="str">
        <f t="array" ref="U1153">IF(ISBLANK($R1153), INDEX('Run Reconcile'!A$2:A1399, MATCH($B1153, 'Run Reconcile'!B$2:B1399, 0)+Z1153, 1), IFERROR(0/0,""))
</f>
        <v/>
      </c>
      <c r="V1153" s="316" t="str">
        <f t="shared" si="1281"/>
        <v>RUN-ABRM_2023-04-13_APS-008</v>
      </c>
      <c r="Y1153" s="317" t="str">
        <f t="shared" si="6"/>
        <v/>
      </c>
      <c r="Z1153" s="83" t="str">
        <f t="shared" si="7"/>
        <v/>
      </c>
      <c r="AA1153" s="83" t="str">
        <f t="shared" si="8"/>
        <v/>
      </c>
      <c r="AB1153" s="83" t="str">
        <f t="shared" si="9"/>
        <v/>
      </c>
      <c r="AC1153" s="18"/>
      <c r="AD1153" s="18"/>
      <c r="AE1153" s="43"/>
      <c r="AF1153" s="58" t="s">
        <v>1378</v>
      </c>
      <c r="AG1153" s="55" t="b">
        <f t="shared" si="11"/>
        <v>0</v>
      </c>
    </row>
    <row r="1154">
      <c r="A1154" s="7" t="str">
        <f>IFERROR(__xludf.DUMMYFUNCTION("""COMPUTED_VALUE"""),"AR247")</f>
        <v>AR247</v>
      </c>
      <c r="B1154" s="308">
        <f>IFERROR(__xludf.DUMMYFUNCTION("""COMPUTED_VALUE"""),45029.0)</f>
        <v>45029</v>
      </c>
      <c r="C1154" s="309">
        <f>IFERROR(__xludf.DUMMYFUNCTION("""COMPUTED_VALUE"""),0.3295486111111111)</f>
        <v>0.3295486111</v>
      </c>
      <c r="D1154" s="7" t="str">
        <f>IFERROR(__xludf.DUMMYFUNCTION("""COMPUTED_VALUE"""),"SpABRM841252")</f>
        <v>SpABRM841252</v>
      </c>
      <c r="E1154" s="310"/>
      <c r="F1154" s="310"/>
      <c r="G1154" s="310" t="str">
        <f>IFERROR(__xludf.DUMMYFUNCTION("""COMPUTED_VALUE"""),"Negative")</f>
        <v>Negative</v>
      </c>
      <c r="H1154" s="319" t="str">
        <f>IFERROR(__xludf.DUMMYFUNCTION("""COMPUTED_VALUE"""),"Negative")</f>
        <v>Negative</v>
      </c>
      <c r="I1154" s="308">
        <f>IFERROR(__xludf.DUMMYFUNCTION("""COMPUTED_VALUE"""),45029.0)</f>
        <v>45029</v>
      </c>
      <c r="J1154" s="311">
        <f>IFERROR(__xludf.DUMMYFUNCTION("""COMPUTED_VALUE"""),0.4176273148148148)</f>
        <v>0.4176273148</v>
      </c>
      <c r="K1154" s="54"/>
      <c r="L1154" s="7"/>
      <c r="M1154" s="312"/>
      <c r="N1154" s="172">
        <f>IFERROR(__xludf.DUMMYFUNCTION("""COMPUTED_VALUE"""),1.0)</f>
        <v>1</v>
      </c>
      <c r="O1154" s="172"/>
      <c r="P1154" s="313">
        <f>IFERROR(__xludf.DUMMYFUNCTION("""COMPUTED_VALUE"""),0.0)</f>
        <v>0</v>
      </c>
      <c r="Q1154" s="76" t="b">
        <f>VLOOKUP($B1154,'Run Reconcile'!B$2:O1399,14,FALSE)</f>
        <v>1</v>
      </c>
      <c r="R1154" s="314" t="str">
        <f t="array" ref="R1154">IF($Q1154, INDEX('Run Reconcile'!A$2:A1399,MATCH(B1154,'Run Reconcile'!B$2:B1399,0),1),IFERROR(0/0,""))</f>
        <v>RUN-ABRM_2023-04-13_APS-008</v>
      </c>
      <c r="S1154" s="315" t="str">
        <f t="shared" ref="S1154:T1154" si="2160">IF(COUNTIF(W$2:W1399, $A1154) &gt; 0,TRUE,IFERROR(0/0,""))</f>
        <v/>
      </c>
      <c r="T1154" s="315" t="str">
        <f t="shared" si="2160"/>
        <v/>
      </c>
      <c r="U1154" s="114" t="str">
        <f t="array" ref="U1154">IF(ISBLANK($R1154), INDEX('Run Reconcile'!A$2:A1399, MATCH($B1154, 'Run Reconcile'!B$2:B1399, 0)+Z1154, 1), IFERROR(0/0,""))
</f>
        <v/>
      </c>
      <c r="V1154" s="316" t="str">
        <f t="shared" si="1281"/>
        <v>RUN-ABRM_2023-04-13_APS-008</v>
      </c>
      <c r="Y1154" s="317" t="str">
        <f t="shared" si="6"/>
        <v/>
      </c>
      <c r="Z1154" s="83" t="str">
        <f t="shared" si="7"/>
        <v/>
      </c>
      <c r="AA1154" s="83" t="str">
        <f t="shared" si="8"/>
        <v/>
      </c>
      <c r="AB1154" s="83" t="str">
        <f t="shared" si="9"/>
        <v/>
      </c>
      <c r="AC1154" s="18"/>
      <c r="AD1154" s="18"/>
      <c r="AE1154" s="43"/>
      <c r="AF1154" s="58" t="s">
        <v>1378</v>
      </c>
      <c r="AG1154" s="55" t="b">
        <f t="shared" si="11"/>
        <v>0</v>
      </c>
    </row>
    <row r="1155">
      <c r="A1155" s="7" t="str">
        <f>IFERROR(__xludf.DUMMYFUNCTION("""COMPUTED_VALUE"""),"AR577")</f>
        <v>AR577</v>
      </c>
      <c r="B1155" s="308">
        <f>IFERROR(__xludf.DUMMYFUNCTION("""COMPUTED_VALUE"""),45030.0)</f>
        <v>45030</v>
      </c>
      <c r="C1155" s="309">
        <f>IFERROR(__xludf.DUMMYFUNCTION("""COMPUTED_VALUE"""),0.2897222222222222)</f>
        <v>0.2897222222</v>
      </c>
      <c r="D1155" s="7" t="str">
        <f>IFERROR(__xludf.DUMMYFUNCTION("""COMPUTED_VALUE"""),"SpABRM128250")</f>
        <v>SpABRM128250</v>
      </c>
      <c r="E1155" s="310"/>
      <c r="F1155" s="310"/>
      <c r="G1155" s="310" t="str">
        <f>IFERROR(__xludf.DUMMYFUNCTION("""COMPUTED_VALUE"""),"Negative")</f>
        <v>Negative</v>
      </c>
      <c r="H1155" s="319" t="str">
        <f>IFERROR(__xludf.DUMMYFUNCTION("""COMPUTED_VALUE"""),"Negative")</f>
        <v>Negative</v>
      </c>
      <c r="I1155" s="308">
        <f>IFERROR(__xludf.DUMMYFUNCTION("""COMPUTED_VALUE"""),45033.0)</f>
        <v>45033</v>
      </c>
      <c r="J1155" s="311">
        <f>IFERROR(__xludf.DUMMYFUNCTION("""COMPUTED_VALUE"""),0.3945486111111111)</f>
        <v>0.3945486111</v>
      </c>
      <c r="K1155" s="54"/>
      <c r="L1155" s="7"/>
      <c r="M1155" s="312"/>
      <c r="N1155" s="172">
        <f>IFERROR(__xludf.DUMMYFUNCTION("""COMPUTED_VALUE"""),3.0)</f>
        <v>3</v>
      </c>
      <c r="O1155" s="172"/>
      <c r="P1155" s="313">
        <f>IFERROR(__xludf.DUMMYFUNCTION("""COMPUTED_VALUE"""),3.0)</f>
        <v>3</v>
      </c>
      <c r="Q1155" s="76" t="b">
        <f>VLOOKUP($B1155,'Run Reconcile'!B$2:O1399,14,FALSE)</f>
        <v>1</v>
      </c>
      <c r="R1155" s="314" t="str">
        <f t="array" ref="R1155">IF($Q1155, INDEX('Run Reconcile'!A$2:A1399,MATCH(B1155,'Run Reconcile'!B$2:B1399,0),1),IFERROR(0/0,""))</f>
        <v>RUN-ABRM_2023-04-14_RFR-212</v>
      </c>
      <c r="S1155" s="315" t="str">
        <f t="shared" ref="S1155:T1155" si="2161">IF(COUNTIF(W$2:W1399, $A1155) &gt; 0,TRUE,IFERROR(0/0,""))</f>
        <v/>
      </c>
      <c r="T1155" s="315" t="str">
        <f t="shared" si="2161"/>
        <v/>
      </c>
      <c r="U1155" s="114" t="str">
        <f t="array" ref="U1155">IF(ISBLANK($R1155), INDEX('Run Reconcile'!A$2:A1399, MATCH($B1155, 'Run Reconcile'!B$2:B1399, 0)+Z1155, 1), IFERROR(0/0,""))
</f>
        <v/>
      </c>
      <c r="V1155" s="316" t="str">
        <f t="shared" si="1281"/>
        <v>RUN-ABRM_2023-04-14_RFR-212</v>
      </c>
      <c r="Y1155" s="317" t="str">
        <f t="shared" si="6"/>
        <v/>
      </c>
      <c r="Z1155" s="83" t="str">
        <f t="shared" si="7"/>
        <v/>
      </c>
      <c r="AA1155" s="83" t="str">
        <f t="shared" si="8"/>
        <v/>
      </c>
      <c r="AB1155" s="83" t="str">
        <f t="shared" si="9"/>
        <v/>
      </c>
      <c r="AC1155" s="18"/>
      <c r="AD1155" s="18"/>
      <c r="AE1155" s="43"/>
      <c r="AF1155" s="58" t="s">
        <v>175</v>
      </c>
      <c r="AG1155" s="55" t="str">
        <f t="shared" si="11"/>
        <v/>
      </c>
    </row>
    <row r="1156">
      <c r="A1156" s="7" t="str">
        <f>IFERROR(__xludf.DUMMYFUNCTION("""COMPUTED_VALUE"""),"AR814")</f>
        <v>AR814</v>
      </c>
      <c r="B1156" s="308">
        <f>IFERROR(__xludf.DUMMYFUNCTION("""COMPUTED_VALUE"""),45030.0)</f>
        <v>45030</v>
      </c>
      <c r="C1156" s="309">
        <f>IFERROR(__xludf.DUMMYFUNCTION("""COMPUTED_VALUE"""),0.2956828703703704)</f>
        <v>0.2956828704</v>
      </c>
      <c r="D1156" s="7" t="str">
        <f>IFERROR(__xludf.DUMMYFUNCTION("""COMPUTED_VALUE"""),"SpABRM367540")</f>
        <v>SpABRM367540</v>
      </c>
      <c r="E1156" s="310"/>
      <c r="F1156" s="310"/>
      <c r="G1156" s="310" t="str">
        <f>IFERROR(__xludf.DUMMYFUNCTION("""COMPUTED_VALUE"""),"Negative")</f>
        <v>Negative</v>
      </c>
      <c r="H1156" s="319" t="str">
        <f>IFERROR(__xludf.DUMMYFUNCTION("""COMPUTED_VALUE"""),"Negative")</f>
        <v>Negative</v>
      </c>
      <c r="I1156" s="308">
        <f>IFERROR(__xludf.DUMMYFUNCTION("""COMPUTED_VALUE"""),45033.0)</f>
        <v>45033</v>
      </c>
      <c r="J1156" s="311">
        <f>IFERROR(__xludf.DUMMYFUNCTION("""COMPUTED_VALUE"""),0.3945486111111111)</f>
        <v>0.3945486111</v>
      </c>
      <c r="K1156" s="54"/>
      <c r="L1156" s="7"/>
      <c r="M1156" s="312"/>
      <c r="N1156" s="172">
        <f>IFERROR(__xludf.DUMMYFUNCTION("""COMPUTED_VALUE"""),3.0)</f>
        <v>3</v>
      </c>
      <c r="O1156" s="172"/>
      <c r="P1156" s="313">
        <f>IFERROR(__xludf.DUMMYFUNCTION("""COMPUTED_VALUE"""),3.0)</f>
        <v>3</v>
      </c>
      <c r="Q1156" s="76" t="b">
        <f>VLOOKUP($B1156,'Run Reconcile'!B$2:O1399,14,FALSE)</f>
        <v>1</v>
      </c>
      <c r="R1156" s="314" t="str">
        <f t="array" ref="R1156">IF($Q1156, INDEX('Run Reconcile'!A$2:A1399,MATCH(B1156,'Run Reconcile'!B$2:B1399,0),1),IFERROR(0/0,""))</f>
        <v>RUN-ABRM_2023-04-14_RFR-212</v>
      </c>
      <c r="S1156" s="315" t="str">
        <f t="shared" ref="S1156:T1156" si="2162">IF(COUNTIF(W$2:W1399, $A1156) &gt; 0,TRUE,IFERROR(0/0,""))</f>
        <v/>
      </c>
      <c r="T1156" s="315" t="str">
        <f t="shared" si="2162"/>
        <v/>
      </c>
      <c r="U1156" s="114" t="str">
        <f t="array" ref="U1156">IF(ISBLANK($R1156), INDEX('Run Reconcile'!A$2:A1399, MATCH($B1156, 'Run Reconcile'!B$2:B1399, 0)+Z1156, 1), IFERROR(0/0,""))
</f>
        <v/>
      </c>
      <c r="V1156" s="316" t="str">
        <f t="shared" si="1281"/>
        <v>RUN-ABRM_2023-04-14_RFR-212</v>
      </c>
      <c r="Y1156" s="317" t="str">
        <f t="shared" si="6"/>
        <v/>
      </c>
      <c r="Z1156" s="83" t="str">
        <f t="shared" si="7"/>
        <v/>
      </c>
      <c r="AA1156" s="83" t="str">
        <f t="shared" si="8"/>
        <v/>
      </c>
      <c r="AB1156" s="83" t="str">
        <f t="shared" si="9"/>
        <v/>
      </c>
      <c r="AC1156" s="18"/>
      <c r="AD1156" s="18"/>
      <c r="AE1156" s="43"/>
      <c r="AF1156" s="58" t="s">
        <v>175</v>
      </c>
      <c r="AG1156" s="55" t="str">
        <f t="shared" si="11"/>
        <v/>
      </c>
    </row>
    <row r="1157">
      <c r="A1157" s="7" t="str">
        <f>IFERROR(__xludf.DUMMYFUNCTION("""COMPUTED_VALUE"""),"AR680")</f>
        <v>AR680</v>
      </c>
      <c r="B1157" s="308">
        <f>IFERROR(__xludf.DUMMYFUNCTION("""COMPUTED_VALUE"""),45030.0)</f>
        <v>45030</v>
      </c>
      <c r="C1157" s="309">
        <f>IFERROR(__xludf.DUMMYFUNCTION("""COMPUTED_VALUE"""),0.29976851851851855)</f>
        <v>0.2997685185</v>
      </c>
      <c r="D1157" s="7" t="str">
        <f>IFERROR(__xludf.DUMMYFUNCTION("""COMPUTED_VALUE"""),"SpABRM519188")</f>
        <v>SpABRM519188</v>
      </c>
      <c r="E1157" s="310"/>
      <c r="F1157" s="310"/>
      <c r="G1157" s="310" t="str">
        <f>IFERROR(__xludf.DUMMYFUNCTION("""COMPUTED_VALUE"""),"Null")</f>
        <v>Null</v>
      </c>
      <c r="H1157" s="319" t="str">
        <f>IFERROR(__xludf.DUMMYFUNCTION("""COMPUTED_VALUE"""),"Negative")</f>
        <v>Negative</v>
      </c>
      <c r="I1157" s="319"/>
      <c r="J1157" s="54"/>
      <c r="K1157" s="54">
        <f>IFERROR(__xludf.DUMMYFUNCTION("""COMPUTED_VALUE"""),2.0)</f>
        <v>2</v>
      </c>
      <c r="L1157" s="7"/>
      <c r="M1157" s="312"/>
      <c r="N1157" s="172">
        <f>IFERROR(__xludf.DUMMYFUNCTION("""COMPUTED_VALUE"""),1.0)</f>
        <v>1</v>
      </c>
      <c r="O1157" s="172"/>
      <c r="P1157" s="313">
        <f>IFERROR(__xludf.DUMMYFUNCTION("""COMPUTED_VALUE"""),-1.0)</f>
        <v>-1</v>
      </c>
      <c r="Q1157" s="76" t="b">
        <f>VLOOKUP($B1157,'Run Reconcile'!B$2:O1399,14,FALSE)</f>
        <v>1</v>
      </c>
      <c r="R1157" s="314" t="str">
        <f t="array" ref="R1157">IF($Q1157, INDEX('Run Reconcile'!A$2:A1399,MATCH(B1157,'Run Reconcile'!B$2:B1399,0),1),IFERROR(0/0,""))</f>
        <v>RUN-ABRM_2023-04-14_RFR-212</v>
      </c>
      <c r="S1157" s="315" t="str">
        <f t="shared" ref="S1157:T1157" si="2163">IF(COUNTIF(W$2:W1399, $A1157) &gt; 0,TRUE,IFERROR(0/0,""))</f>
        <v/>
      </c>
      <c r="T1157" s="315" t="str">
        <f t="shared" si="2163"/>
        <v/>
      </c>
      <c r="U1157" s="114" t="str">
        <f t="array" ref="U1157">IF(ISBLANK($R1157), INDEX('Run Reconcile'!A$2:A1399, MATCH($B1157, 'Run Reconcile'!B$2:B1399, 0)+Z1157, 1), IFERROR(0/0,""))
</f>
        <v/>
      </c>
      <c r="V1157" s="316" t="str">
        <f t="shared" si="1281"/>
        <v>RUN-ABRM_2023-04-14_RFR-212</v>
      </c>
      <c r="Y1157" s="317" t="str">
        <f t="shared" si="6"/>
        <v/>
      </c>
      <c r="Z1157" s="83" t="str">
        <f t="shared" si="7"/>
        <v/>
      </c>
      <c r="AA1157" s="83" t="str">
        <f t="shared" si="8"/>
        <v/>
      </c>
      <c r="AB1157" s="83" t="str">
        <f t="shared" si="9"/>
        <v/>
      </c>
      <c r="AC1157" s="18"/>
      <c r="AD1157" s="18"/>
      <c r="AE1157" s="43"/>
      <c r="AF1157" s="58" t="s">
        <v>175</v>
      </c>
      <c r="AG1157" s="55" t="str">
        <f t="shared" si="11"/>
        <v/>
      </c>
    </row>
    <row r="1158">
      <c r="A1158" s="7" t="str">
        <f>IFERROR(__xludf.DUMMYFUNCTION("""COMPUTED_VALUE"""),"AR662")</f>
        <v>AR662</v>
      </c>
      <c r="B1158" s="308">
        <f>IFERROR(__xludf.DUMMYFUNCTION("""COMPUTED_VALUE"""),45030.0)</f>
        <v>45030</v>
      </c>
      <c r="C1158" s="309">
        <f>IFERROR(__xludf.DUMMYFUNCTION("""COMPUTED_VALUE"""),0.3286921296296296)</f>
        <v>0.3286921296</v>
      </c>
      <c r="D1158" s="7" t="str">
        <f>IFERROR(__xludf.DUMMYFUNCTION("""COMPUTED_VALUE"""),"SpABRM581899")</f>
        <v>SpABRM581899</v>
      </c>
      <c r="E1158" s="310"/>
      <c r="F1158" s="310"/>
      <c r="G1158" s="310" t="str">
        <f>IFERROR(__xludf.DUMMYFUNCTION("""COMPUTED_VALUE"""),"Negative")</f>
        <v>Negative</v>
      </c>
      <c r="H1158" s="319" t="str">
        <f>IFERROR(__xludf.DUMMYFUNCTION("""COMPUTED_VALUE"""),"Negative")</f>
        <v>Negative</v>
      </c>
      <c r="I1158" s="308">
        <f>IFERROR(__xludf.DUMMYFUNCTION("""COMPUTED_VALUE"""),45033.0)</f>
        <v>45033</v>
      </c>
      <c r="J1158" s="311">
        <f>IFERROR(__xludf.DUMMYFUNCTION("""COMPUTED_VALUE"""),0.3945601851851852)</f>
        <v>0.3945601852</v>
      </c>
      <c r="K1158" s="54"/>
      <c r="L1158" s="7"/>
      <c r="M1158" s="312"/>
      <c r="N1158" s="172">
        <f>IFERROR(__xludf.DUMMYFUNCTION("""COMPUTED_VALUE"""),1.0)</f>
        <v>1</v>
      </c>
      <c r="O1158" s="172"/>
      <c r="P1158" s="313">
        <f>IFERROR(__xludf.DUMMYFUNCTION("""COMPUTED_VALUE"""),3.0)</f>
        <v>3</v>
      </c>
      <c r="Q1158" s="76" t="b">
        <f>VLOOKUP($B1158,'Run Reconcile'!B$2:O1399,14,FALSE)</f>
        <v>1</v>
      </c>
      <c r="R1158" s="314" t="str">
        <f t="array" ref="R1158">IF($Q1158, INDEX('Run Reconcile'!A$2:A1399,MATCH(B1158,'Run Reconcile'!B$2:B1399,0),1),IFERROR(0/0,""))</f>
        <v>RUN-ABRM_2023-04-14_RFR-212</v>
      </c>
      <c r="S1158" s="315" t="str">
        <f t="shared" ref="S1158:T1158" si="2164">IF(COUNTIF(W$2:W1399, $A1158) &gt; 0,TRUE,IFERROR(0/0,""))</f>
        <v/>
      </c>
      <c r="T1158" s="315" t="str">
        <f t="shared" si="2164"/>
        <v/>
      </c>
      <c r="U1158" s="114" t="str">
        <f t="array" ref="U1158">IF(ISBLANK($R1158), INDEX('Run Reconcile'!A$2:A1399, MATCH($B1158, 'Run Reconcile'!B$2:B1399, 0)+Z1158, 1), IFERROR(0/0,""))
</f>
        <v/>
      </c>
      <c r="V1158" s="316" t="str">
        <f t="shared" si="1281"/>
        <v>RUN-ABRM_2023-04-14_RFR-212</v>
      </c>
      <c r="Y1158" s="317" t="str">
        <f t="shared" si="6"/>
        <v/>
      </c>
      <c r="Z1158" s="83" t="str">
        <f t="shared" si="7"/>
        <v/>
      </c>
      <c r="AA1158" s="83" t="str">
        <f t="shared" si="8"/>
        <v/>
      </c>
      <c r="AB1158" s="83" t="str">
        <f t="shared" si="9"/>
        <v/>
      </c>
      <c r="AC1158" s="18"/>
      <c r="AD1158" s="18"/>
      <c r="AE1158" s="43"/>
      <c r="AF1158" s="58" t="s">
        <v>175</v>
      </c>
      <c r="AG1158" s="55" t="str">
        <f t="shared" si="11"/>
        <v/>
      </c>
    </row>
    <row r="1159">
      <c r="A1159" s="7" t="str">
        <f>IFERROR(__xludf.DUMMYFUNCTION("""COMPUTED_VALUE"""),"AR1622")</f>
        <v>AR1622</v>
      </c>
      <c r="B1159" s="308">
        <f>IFERROR(__xludf.DUMMYFUNCTION("""COMPUTED_VALUE"""),45030.0)</f>
        <v>45030</v>
      </c>
      <c r="C1159" s="309">
        <f>IFERROR(__xludf.DUMMYFUNCTION("""COMPUTED_VALUE"""),0.33090277777777777)</f>
        <v>0.3309027778</v>
      </c>
      <c r="D1159" s="7" t="str">
        <f>IFERROR(__xludf.DUMMYFUNCTION("""COMPUTED_VALUE"""),"SpABRM841252")</f>
        <v>SpABRM841252</v>
      </c>
      <c r="E1159" s="310"/>
      <c r="F1159" s="310"/>
      <c r="G1159" s="310" t="str">
        <f>IFERROR(__xludf.DUMMYFUNCTION("""COMPUTED_VALUE"""),"Negative")</f>
        <v>Negative</v>
      </c>
      <c r="H1159" s="319" t="str">
        <f>IFERROR(__xludf.DUMMYFUNCTION("""COMPUTED_VALUE"""),"Negative")</f>
        <v>Negative</v>
      </c>
      <c r="I1159" s="308">
        <f>IFERROR(__xludf.DUMMYFUNCTION("""COMPUTED_VALUE"""),45033.0)</f>
        <v>45033</v>
      </c>
      <c r="J1159" s="311">
        <f>IFERROR(__xludf.DUMMYFUNCTION("""COMPUTED_VALUE"""),0.3945601851851852)</f>
        <v>0.3945601852</v>
      </c>
      <c r="K1159" s="54"/>
      <c r="L1159" s="7"/>
      <c r="M1159" s="312"/>
      <c r="N1159" s="172">
        <f>IFERROR(__xludf.DUMMYFUNCTION("""COMPUTED_VALUE"""),1.0)</f>
        <v>1</v>
      </c>
      <c r="O1159" s="172"/>
      <c r="P1159" s="313">
        <f>IFERROR(__xludf.DUMMYFUNCTION("""COMPUTED_VALUE"""),3.0)</f>
        <v>3</v>
      </c>
      <c r="Q1159" s="76" t="b">
        <f>VLOOKUP($B1159,'Run Reconcile'!B$2:O1399,14,FALSE)</f>
        <v>1</v>
      </c>
      <c r="R1159" s="314" t="str">
        <f t="array" ref="R1159">IF($Q1159, INDEX('Run Reconcile'!A$2:A1399,MATCH(B1159,'Run Reconcile'!B$2:B1399,0),1),IFERROR(0/0,""))</f>
        <v>RUN-ABRM_2023-04-14_RFR-212</v>
      </c>
      <c r="S1159" s="315" t="str">
        <f t="shared" ref="S1159:T1159" si="2165">IF(COUNTIF(W$2:W1399, $A1159) &gt; 0,TRUE,IFERROR(0/0,""))</f>
        <v/>
      </c>
      <c r="T1159" s="315" t="str">
        <f t="shared" si="2165"/>
        <v/>
      </c>
      <c r="U1159" s="114" t="str">
        <f t="array" ref="U1159">IF(ISBLANK($R1159), INDEX('Run Reconcile'!A$2:A1399, MATCH($B1159, 'Run Reconcile'!B$2:B1399, 0)+Z1159, 1), IFERROR(0/0,""))
</f>
        <v/>
      </c>
      <c r="V1159" s="316" t="str">
        <f t="shared" si="1281"/>
        <v>RUN-ABRM_2023-04-14_RFR-212</v>
      </c>
      <c r="Y1159" s="317" t="str">
        <f t="shared" si="6"/>
        <v/>
      </c>
      <c r="Z1159" s="83" t="str">
        <f t="shared" si="7"/>
        <v/>
      </c>
      <c r="AA1159" s="83" t="str">
        <f t="shared" si="8"/>
        <v/>
      </c>
      <c r="AB1159" s="83" t="str">
        <f t="shared" si="9"/>
        <v/>
      </c>
      <c r="AC1159" s="18"/>
      <c r="AD1159" s="18"/>
      <c r="AE1159" s="43"/>
      <c r="AF1159" s="58" t="s">
        <v>175</v>
      </c>
      <c r="AG1159" s="55" t="str">
        <f t="shared" si="11"/>
        <v/>
      </c>
    </row>
    <row r="1160">
      <c r="A1160" s="7" t="str">
        <f>IFERROR(__xludf.DUMMYFUNCTION("""COMPUTED_VALUE"""),"AK9819")</f>
        <v>AK9819</v>
      </c>
      <c r="B1160" s="308">
        <f>IFERROR(__xludf.DUMMYFUNCTION("""COMPUTED_VALUE"""),45030.0)</f>
        <v>45030</v>
      </c>
      <c r="C1160" s="309">
        <f>IFERROR(__xludf.DUMMYFUNCTION("""COMPUTED_VALUE"""),0.33270833333333333)</f>
        <v>0.3327083333</v>
      </c>
      <c r="D1160" s="7" t="str">
        <f>IFERROR(__xludf.DUMMYFUNCTION("""COMPUTED_VALUE"""),"SpABRM841252")</f>
        <v>SpABRM841252</v>
      </c>
      <c r="E1160" s="310"/>
      <c r="F1160" s="310"/>
      <c r="G1160" s="310" t="str">
        <f>IFERROR(__xludf.DUMMYFUNCTION("""COMPUTED_VALUE"""),"Negative")</f>
        <v>Negative</v>
      </c>
      <c r="H1160" s="319" t="str">
        <f>IFERROR(__xludf.DUMMYFUNCTION("""COMPUTED_VALUE"""),"Negative")</f>
        <v>Negative</v>
      </c>
      <c r="I1160" s="308">
        <f>IFERROR(__xludf.DUMMYFUNCTION("""COMPUTED_VALUE"""),45033.0)</f>
        <v>45033</v>
      </c>
      <c r="J1160" s="311">
        <f>IFERROR(__xludf.DUMMYFUNCTION("""COMPUTED_VALUE"""),0.3945601851851852)</f>
        <v>0.3945601852</v>
      </c>
      <c r="K1160" s="54"/>
      <c r="L1160" s="7"/>
      <c r="M1160" s="312"/>
      <c r="N1160" s="172">
        <f>IFERROR(__xludf.DUMMYFUNCTION("""COMPUTED_VALUE"""),3.0)</f>
        <v>3</v>
      </c>
      <c r="O1160" s="172"/>
      <c r="P1160" s="313">
        <f>IFERROR(__xludf.DUMMYFUNCTION("""COMPUTED_VALUE"""),3.0)</f>
        <v>3</v>
      </c>
      <c r="Q1160" s="76" t="b">
        <f>VLOOKUP($B1160,'Run Reconcile'!B$2:O1399,14,FALSE)</f>
        <v>1</v>
      </c>
      <c r="R1160" s="314" t="str">
        <f t="array" ref="R1160">IF($Q1160, INDEX('Run Reconcile'!A$2:A1399,MATCH(B1160,'Run Reconcile'!B$2:B1399,0),1),IFERROR(0/0,""))</f>
        <v>RUN-ABRM_2023-04-14_RFR-212</v>
      </c>
      <c r="S1160" s="315" t="str">
        <f t="shared" ref="S1160:T1160" si="2166">IF(COUNTIF(W$2:W1399, $A1160) &gt; 0,TRUE,IFERROR(0/0,""))</f>
        <v/>
      </c>
      <c r="T1160" s="315" t="str">
        <f t="shared" si="2166"/>
        <v/>
      </c>
      <c r="U1160" s="114" t="str">
        <f t="array" ref="U1160">IF(ISBLANK($R1160), INDEX('Run Reconcile'!A$2:A1399, MATCH($B1160, 'Run Reconcile'!B$2:B1399, 0)+Z1160, 1), IFERROR(0/0,""))
</f>
        <v/>
      </c>
      <c r="V1160" s="316" t="str">
        <f t="shared" si="1281"/>
        <v>RUN-ABRM_2023-04-14_RFR-212</v>
      </c>
      <c r="Y1160" s="317" t="str">
        <f t="shared" si="6"/>
        <v/>
      </c>
      <c r="Z1160" s="83" t="str">
        <f t="shared" si="7"/>
        <v/>
      </c>
      <c r="AA1160" s="83" t="str">
        <f t="shared" si="8"/>
        <v/>
      </c>
      <c r="AB1160" s="83" t="str">
        <f t="shared" si="9"/>
        <v/>
      </c>
      <c r="AC1160" s="18"/>
      <c r="AD1160" s="18"/>
      <c r="AE1160" s="43"/>
      <c r="AF1160" s="58" t="s">
        <v>175</v>
      </c>
      <c r="AG1160" s="55" t="str">
        <f t="shared" si="11"/>
        <v/>
      </c>
    </row>
    <row r="1161">
      <c r="A1161" s="7" t="str">
        <f>IFERROR(__xludf.DUMMYFUNCTION("""COMPUTED_VALUE"""),"AB9469")</f>
        <v>AB9469</v>
      </c>
      <c r="B1161" s="308">
        <f>IFERROR(__xludf.DUMMYFUNCTION("""COMPUTED_VALUE"""),45030.0)</f>
        <v>45030</v>
      </c>
      <c r="C1161" s="309">
        <f>IFERROR(__xludf.DUMMYFUNCTION("""COMPUTED_VALUE"""),0.3330208333333333)</f>
        <v>0.3330208333</v>
      </c>
      <c r="D1161" s="7" t="str">
        <f>IFERROR(__xludf.DUMMYFUNCTION("""COMPUTED_VALUE"""),"SpABRM841252")</f>
        <v>SpABRM841252</v>
      </c>
      <c r="E1161" s="310"/>
      <c r="F1161" s="310"/>
      <c r="G1161" s="310" t="str">
        <f>IFERROR(__xludf.DUMMYFUNCTION("""COMPUTED_VALUE"""),"Negative")</f>
        <v>Negative</v>
      </c>
      <c r="H1161" s="319" t="str">
        <f>IFERROR(__xludf.DUMMYFUNCTION("""COMPUTED_VALUE"""),"Negative")</f>
        <v>Negative</v>
      </c>
      <c r="I1161" s="308">
        <f>IFERROR(__xludf.DUMMYFUNCTION("""COMPUTED_VALUE"""),45033.0)</f>
        <v>45033</v>
      </c>
      <c r="J1161" s="311">
        <f>IFERROR(__xludf.DUMMYFUNCTION("""COMPUTED_VALUE"""),0.3945601851851852)</f>
        <v>0.3945601852</v>
      </c>
      <c r="K1161" s="54"/>
      <c r="L1161" s="7"/>
      <c r="M1161" s="312"/>
      <c r="N1161" s="172">
        <f>IFERROR(__xludf.DUMMYFUNCTION("""COMPUTED_VALUE"""),1.0)</f>
        <v>1</v>
      </c>
      <c r="O1161" s="172"/>
      <c r="P1161" s="313">
        <f>IFERROR(__xludf.DUMMYFUNCTION("""COMPUTED_VALUE"""),3.0)</f>
        <v>3</v>
      </c>
      <c r="Q1161" s="76" t="b">
        <f>VLOOKUP($B1161,'Run Reconcile'!B$2:O1399,14,FALSE)</f>
        <v>1</v>
      </c>
      <c r="R1161" s="314" t="str">
        <f t="array" ref="R1161">IF($Q1161, INDEX('Run Reconcile'!A$2:A1399,MATCH(B1161,'Run Reconcile'!B$2:B1399,0),1),IFERROR(0/0,""))</f>
        <v>RUN-ABRM_2023-04-14_RFR-212</v>
      </c>
      <c r="S1161" s="315" t="str">
        <f t="shared" ref="S1161:T1161" si="2167">IF(COUNTIF(W$2:W1399, $A1161) &gt; 0,TRUE,IFERROR(0/0,""))</f>
        <v/>
      </c>
      <c r="T1161" s="315" t="str">
        <f t="shared" si="2167"/>
        <v/>
      </c>
      <c r="U1161" s="114" t="str">
        <f t="array" ref="U1161">IF(ISBLANK($R1161), INDEX('Run Reconcile'!A$2:A1399, MATCH($B1161, 'Run Reconcile'!B$2:B1399, 0)+Z1161, 1), IFERROR(0/0,""))
</f>
        <v/>
      </c>
      <c r="V1161" s="316" t="str">
        <f t="shared" si="1281"/>
        <v>RUN-ABRM_2023-04-14_RFR-212</v>
      </c>
      <c r="Y1161" s="317" t="str">
        <f t="shared" si="6"/>
        <v/>
      </c>
      <c r="Z1161" s="83" t="str">
        <f t="shared" si="7"/>
        <v/>
      </c>
      <c r="AA1161" s="83" t="str">
        <f t="shared" si="8"/>
        <v/>
      </c>
      <c r="AB1161" s="83" t="str">
        <f t="shared" si="9"/>
        <v/>
      </c>
      <c r="AC1161" s="18"/>
      <c r="AD1161" s="18"/>
      <c r="AE1161" s="43"/>
      <c r="AF1161" s="58" t="s">
        <v>175</v>
      </c>
      <c r="AG1161" s="55" t="str">
        <f t="shared" si="11"/>
        <v/>
      </c>
    </row>
    <row r="1162">
      <c r="A1162" s="7" t="str">
        <f>IFERROR(__xludf.DUMMYFUNCTION("""COMPUTED_VALUE"""),"AR1763")</f>
        <v>AR1763</v>
      </c>
      <c r="B1162" s="308">
        <f>IFERROR(__xludf.DUMMYFUNCTION("""COMPUTED_VALUE"""),45030.0)</f>
        <v>45030</v>
      </c>
      <c r="C1162" s="309">
        <f>IFERROR(__xludf.DUMMYFUNCTION("""COMPUTED_VALUE"""),0.34520833333333334)</f>
        <v>0.3452083333</v>
      </c>
      <c r="D1162" s="7" t="str">
        <f>IFERROR(__xludf.DUMMYFUNCTION("""COMPUTED_VALUE"""),"SpABRM841252")</f>
        <v>SpABRM841252</v>
      </c>
      <c r="E1162" s="310"/>
      <c r="F1162" s="310"/>
      <c r="G1162" s="310" t="str">
        <f>IFERROR(__xludf.DUMMYFUNCTION("""COMPUTED_VALUE"""),"Negative")</f>
        <v>Negative</v>
      </c>
      <c r="H1162" s="319" t="str">
        <f>IFERROR(__xludf.DUMMYFUNCTION("""COMPUTED_VALUE"""),"Negative")</f>
        <v>Negative</v>
      </c>
      <c r="I1162" s="308">
        <f>IFERROR(__xludf.DUMMYFUNCTION("""COMPUTED_VALUE"""),45033.0)</f>
        <v>45033</v>
      </c>
      <c r="J1162" s="311">
        <f>IFERROR(__xludf.DUMMYFUNCTION("""COMPUTED_VALUE"""),0.3945601851851852)</f>
        <v>0.3945601852</v>
      </c>
      <c r="K1162" s="54"/>
      <c r="L1162" s="7"/>
      <c r="M1162" s="312"/>
      <c r="N1162" s="172">
        <f>IFERROR(__xludf.DUMMYFUNCTION("""COMPUTED_VALUE"""),3.0)</f>
        <v>3</v>
      </c>
      <c r="O1162" s="172"/>
      <c r="P1162" s="313">
        <f>IFERROR(__xludf.DUMMYFUNCTION("""COMPUTED_VALUE"""),3.0)</f>
        <v>3</v>
      </c>
      <c r="Q1162" s="76" t="b">
        <f>VLOOKUP($B1162,'Run Reconcile'!B$2:O1399,14,FALSE)</f>
        <v>1</v>
      </c>
      <c r="R1162" s="314" t="str">
        <f t="array" ref="R1162">IF($Q1162, INDEX('Run Reconcile'!A$2:A1399,MATCH(B1162,'Run Reconcile'!B$2:B1399,0),1),IFERROR(0/0,""))</f>
        <v>RUN-ABRM_2023-04-14_RFR-212</v>
      </c>
      <c r="S1162" s="315" t="str">
        <f t="shared" ref="S1162:T1162" si="2168">IF(COUNTIF(W$2:W1399, $A1162) &gt; 0,TRUE,IFERROR(0/0,""))</f>
        <v/>
      </c>
      <c r="T1162" s="315" t="str">
        <f t="shared" si="2168"/>
        <v/>
      </c>
      <c r="U1162" s="114" t="str">
        <f t="array" ref="U1162">IF(ISBLANK($R1162), INDEX('Run Reconcile'!A$2:A1399, MATCH($B1162, 'Run Reconcile'!B$2:B1399, 0)+Z1162, 1), IFERROR(0/0,""))
</f>
        <v/>
      </c>
      <c r="V1162" s="316" t="str">
        <f t="shared" si="1281"/>
        <v>RUN-ABRM_2023-04-14_RFR-212</v>
      </c>
      <c r="Y1162" s="317" t="str">
        <f t="shared" si="6"/>
        <v/>
      </c>
      <c r="Z1162" s="83" t="str">
        <f t="shared" si="7"/>
        <v/>
      </c>
      <c r="AA1162" s="83" t="str">
        <f t="shared" si="8"/>
        <v/>
      </c>
      <c r="AB1162" s="83" t="str">
        <f t="shared" si="9"/>
        <v/>
      </c>
      <c r="AC1162" s="18"/>
      <c r="AD1162" s="18"/>
      <c r="AE1162" s="43"/>
      <c r="AF1162" s="58" t="s">
        <v>175</v>
      </c>
      <c r="AG1162" s="55" t="str">
        <f t="shared" si="11"/>
        <v/>
      </c>
    </row>
    <row r="1163">
      <c r="A1163" s="7" t="str">
        <f>IFERROR(__xludf.DUMMYFUNCTION("""COMPUTED_VALUE"""),"AR1649")</f>
        <v>AR1649</v>
      </c>
      <c r="B1163" s="308">
        <f>IFERROR(__xludf.DUMMYFUNCTION("""COMPUTED_VALUE"""),45033.0)</f>
        <v>45033</v>
      </c>
      <c r="C1163" s="309">
        <f>IFERROR(__xludf.DUMMYFUNCTION("""COMPUTED_VALUE"""),0.21800925925925926)</f>
        <v>0.2180092593</v>
      </c>
      <c r="D1163" s="7" t="str">
        <f>IFERROR(__xludf.DUMMYFUNCTION("""COMPUTED_VALUE"""),"SpABRM454310")</f>
        <v>SpABRM454310</v>
      </c>
      <c r="E1163" s="310"/>
      <c r="F1163" s="310"/>
      <c r="G1163" s="310" t="str">
        <f>IFERROR(__xludf.DUMMYFUNCTION("""COMPUTED_VALUE"""),"Negative")</f>
        <v>Negative</v>
      </c>
      <c r="H1163" s="319" t="str">
        <f>IFERROR(__xludf.DUMMYFUNCTION("""COMPUTED_VALUE"""),"Negative")</f>
        <v>Negative</v>
      </c>
      <c r="I1163" s="308">
        <f>IFERROR(__xludf.DUMMYFUNCTION("""COMPUTED_VALUE"""),45033.0)</f>
        <v>45033</v>
      </c>
      <c r="J1163" s="311">
        <f>IFERROR(__xludf.DUMMYFUNCTION("""COMPUTED_VALUE"""),0.3945601851851852)</f>
        <v>0.3945601852</v>
      </c>
      <c r="K1163" s="54"/>
      <c r="L1163" s="7"/>
      <c r="M1163" s="312"/>
      <c r="N1163" s="172">
        <f>IFERROR(__xludf.DUMMYFUNCTION("""COMPUTED_VALUE"""),3.0)</f>
        <v>3</v>
      </c>
      <c r="O1163" s="172"/>
      <c r="P1163" s="313">
        <f>IFERROR(__xludf.DUMMYFUNCTION("""COMPUTED_VALUE"""),0.0)</f>
        <v>0</v>
      </c>
      <c r="Q1163" s="76" t="b">
        <f>VLOOKUP($B1163,'Run Reconcile'!B$2:O1399,14,FALSE)</f>
        <v>1</v>
      </c>
      <c r="R1163" s="314" t="str">
        <f t="array" ref="R1163">IF($Q1163, INDEX('Run Reconcile'!A$2:A1399,MATCH(B1163,'Run Reconcile'!B$2:B1399,0),1),IFERROR(0/0,""))</f>
        <v>RUN-ABRM_2023-04-17_RFR-213</v>
      </c>
      <c r="S1163" s="315" t="str">
        <f t="shared" ref="S1163:T1163" si="2169">IF(COUNTIF(W$2:W1399, $A1163) &gt; 0,TRUE,IFERROR(0/0,""))</f>
        <v/>
      </c>
      <c r="T1163" s="315" t="str">
        <f t="shared" si="2169"/>
        <v/>
      </c>
      <c r="U1163" s="114" t="str">
        <f t="array" ref="U1163">IF(ISBLANK($R1163), INDEX('Run Reconcile'!A$2:A1399, MATCH($B1163, 'Run Reconcile'!B$2:B1399, 0)+Z1163, 1), IFERROR(0/0,""))
</f>
        <v/>
      </c>
      <c r="V1163" s="316" t="str">
        <f t="shared" si="1281"/>
        <v>RUN-ABRM_2023-04-17_RFR-213</v>
      </c>
      <c r="Y1163" s="317" t="str">
        <f t="shared" si="6"/>
        <v/>
      </c>
      <c r="Z1163" s="83" t="str">
        <f t="shared" si="7"/>
        <v/>
      </c>
      <c r="AA1163" s="83" t="str">
        <f t="shared" si="8"/>
        <v/>
      </c>
      <c r="AB1163" s="83" t="str">
        <f t="shared" si="9"/>
        <v/>
      </c>
      <c r="AC1163" s="18"/>
      <c r="AD1163" s="18"/>
      <c r="AE1163" s="43"/>
      <c r="AF1163" s="58" t="s">
        <v>176</v>
      </c>
      <c r="AG1163" s="55" t="str">
        <f t="shared" si="11"/>
        <v/>
      </c>
    </row>
    <row r="1164">
      <c r="A1164" s="7" t="str">
        <f>IFERROR(__xludf.DUMMYFUNCTION("""COMPUTED_VALUE"""),"AR94")</f>
        <v>AR94</v>
      </c>
      <c r="B1164" s="308">
        <f>IFERROR(__xludf.DUMMYFUNCTION("""COMPUTED_VALUE"""),45033.0)</f>
        <v>45033</v>
      </c>
      <c r="C1164" s="309">
        <f>IFERROR(__xludf.DUMMYFUNCTION("""COMPUTED_VALUE"""),0.26297453703703705)</f>
        <v>0.262974537</v>
      </c>
      <c r="D1164" s="7" t="str">
        <f>IFERROR(__xludf.DUMMYFUNCTION("""COMPUTED_VALUE"""),"SpABRM581899")</f>
        <v>SpABRM581899</v>
      </c>
      <c r="E1164" s="310"/>
      <c r="F1164" s="310"/>
      <c r="G1164" s="310" t="str">
        <f>IFERROR(__xludf.DUMMYFUNCTION("""COMPUTED_VALUE"""),"Negative")</f>
        <v>Negative</v>
      </c>
      <c r="H1164" s="319" t="str">
        <f>IFERROR(__xludf.DUMMYFUNCTION("""COMPUTED_VALUE"""),"Negative")</f>
        <v>Negative</v>
      </c>
      <c r="I1164" s="308">
        <f>IFERROR(__xludf.DUMMYFUNCTION("""COMPUTED_VALUE"""),45033.0)</f>
        <v>45033</v>
      </c>
      <c r="J1164" s="311">
        <f>IFERROR(__xludf.DUMMYFUNCTION("""COMPUTED_VALUE"""),0.39457175925925925)</f>
        <v>0.3945717593</v>
      </c>
      <c r="K1164" s="54"/>
      <c r="L1164" s="7"/>
      <c r="M1164" s="312"/>
      <c r="N1164" s="172">
        <f>IFERROR(__xludf.DUMMYFUNCTION("""COMPUTED_VALUE"""),1.0)</f>
        <v>1</v>
      </c>
      <c r="O1164" s="172"/>
      <c r="P1164" s="313">
        <f>IFERROR(__xludf.DUMMYFUNCTION("""COMPUTED_VALUE"""),0.0)</f>
        <v>0</v>
      </c>
      <c r="Q1164" s="76" t="b">
        <f>VLOOKUP($B1164,'Run Reconcile'!B$2:O1399,14,FALSE)</f>
        <v>1</v>
      </c>
      <c r="R1164" s="314" t="str">
        <f t="array" ref="R1164">IF($Q1164, INDEX('Run Reconcile'!A$2:A1399,MATCH(B1164,'Run Reconcile'!B$2:B1399,0),1),IFERROR(0/0,""))</f>
        <v>RUN-ABRM_2023-04-17_RFR-213</v>
      </c>
      <c r="S1164" s="315" t="str">
        <f t="shared" ref="S1164:T1164" si="2170">IF(COUNTIF(W$2:W1399, $A1164) &gt; 0,TRUE,IFERROR(0/0,""))</f>
        <v/>
      </c>
      <c r="T1164" s="315" t="str">
        <f t="shared" si="2170"/>
        <v/>
      </c>
      <c r="U1164" s="114" t="str">
        <f t="array" ref="U1164">IF(ISBLANK($R1164), INDEX('Run Reconcile'!A$2:A1399, MATCH($B1164, 'Run Reconcile'!B$2:B1399, 0)+Z1164, 1), IFERROR(0/0,""))
</f>
        <v/>
      </c>
      <c r="V1164" s="316" t="str">
        <f t="shared" si="1281"/>
        <v>RUN-ABRM_2023-04-17_RFR-213</v>
      </c>
      <c r="Y1164" s="317" t="str">
        <f t="shared" si="6"/>
        <v/>
      </c>
      <c r="Z1164" s="83" t="str">
        <f t="shared" si="7"/>
        <v/>
      </c>
      <c r="AA1164" s="83" t="str">
        <f t="shared" si="8"/>
        <v/>
      </c>
      <c r="AB1164" s="83" t="str">
        <f t="shared" si="9"/>
        <v/>
      </c>
      <c r="AC1164" s="18"/>
      <c r="AD1164" s="18"/>
      <c r="AE1164" s="43"/>
      <c r="AF1164" s="58" t="s">
        <v>176</v>
      </c>
      <c r="AG1164" s="55" t="str">
        <f t="shared" si="11"/>
        <v/>
      </c>
    </row>
    <row r="1165">
      <c r="A1165" s="7" t="str">
        <f>IFERROR(__xludf.DUMMYFUNCTION("""COMPUTED_VALUE"""),"AE9970")</f>
        <v>AE9970</v>
      </c>
      <c r="B1165" s="308">
        <f>IFERROR(__xludf.DUMMYFUNCTION("""COMPUTED_VALUE"""),45033.0)</f>
        <v>45033</v>
      </c>
      <c r="C1165" s="309">
        <f>IFERROR(__xludf.DUMMYFUNCTION("""COMPUTED_VALUE"""),0.28140046296296295)</f>
        <v>0.281400463</v>
      </c>
      <c r="D1165" s="7" t="str">
        <f>IFERROR(__xludf.DUMMYFUNCTION("""COMPUTED_VALUE"""),"SpABRM128250")</f>
        <v>SpABRM128250</v>
      </c>
      <c r="E1165" s="310"/>
      <c r="F1165" s="310"/>
      <c r="G1165" s="310" t="str">
        <f>IFERROR(__xludf.DUMMYFUNCTION("""COMPUTED_VALUE"""),"Negative")</f>
        <v>Negative</v>
      </c>
      <c r="H1165" s="319" t="str">
        <f>IFERROR(__xludf.DUMMYFUNCTION("""COMPUTED_VALUE"""),"Negative")</f>
        <v>Negative</v>
      </c>
      <c r="I1165" s="308">
        <f>IFERROR(__xludf.DUMMYFUNCTION("""COMPUTED_VALUE"""),45033.0)</f>
        <v>45033</v>
      </c>
      <c r="J1165" s="311">
        <f>IFERROR(__xludf.DUMMYFUNCTION("""COMPUTED_VALUE"""),0.39457175925925925)</f>
        <v>0.3945717593</v>
      </c>
      <c r="K1165" s="54"/>
      <c r="L1165" s="7"/>
      <c r="M1165" s="312"/>
      <c r="N1165" s="172">
        <f>IFERROR(__xludf.DUMMYFUNCTION("""COMPUTED_VALUE"""),3.0)</f>
        <v>3</v>
      </c>
      <c r="O1165" s="172"/>
      <c r="P1165" s="313">
        <f>IFERROR(__xludf.DUMMYFUNCTION("""COMPUTED_VALUE"""),0.0)</f>
        <v>0</v>
      </c>
      <c r="Q1165" s="76" t="b">
        <f>VLOOKUP($B1165,'Run Reconcile'!B$2:O1399,14,FALSE)</f>
        <v>1</v>
      </c>
      <c r="R1165" s="314" t="str">
        <f t="array" ref="R1165">IF($Q1165, INDEX('Run Reconcile'!A$2:A1399,MATCH(B1165,'Run Reconcile'!B$2:B1399,0),1),IFERROR(0/0,""))</f>
        <v>RUN-ABRM_2023-04-17_RFR-213</v>
      </c>
      <c r="S1165" s="315" t="str">
        <f t="shared" ref="S1165:T1165" si="2171">IF(COUNTIF(W$2:W1399, $A1165) &gt; 0,TRUE,IFERROR(0/0,""))</f>
        <v/>
      </c>
      <c r="T1165" s="315" t="str">
        <f t="shared" si="2171"/>
        <v/>
      </c>
      <c r="U1165" s="114" t="str">
        <f t="array" ref="U1165">IF(ISBLANK($R1165), INDEX('Run Reconcile'!A$2:A1399, MATCH($B1165, 'Run Reconcile'!B$2:B1399, 0)+Z1165, 1), IFERROR(0/0,""))
</f>
        <v/>
      </c>
      <c r="V1165" s="316" t="str">
        <f t="shared" si="1281"/>
        <v>RUN-ABRM_2023-04-17_RFR-213</v>
      </c>
      <c r="Y1165" s="317" t="str">
        <f t="shared" si="6"/>
        <v/>
      </c>
      <c r="Z1165" s="83" t="str">
        <f t="shared" si="7"/>
        <v/>
      </c>
      <c r="AA1165" s="83" t="str">
        <f t="shared" si="8"/>
        <v/>
      </c>
      <c r="AB1165" s="83" t="str">
        <f t="shared" si="9"/>
        <v/>
      </c>
      <c r="AC1165" s="18"/>
      <c r="AD1165" s="18"/>
      <c r="AE1165" s="43"/>
      <c r="AF1165" s="58" t="s">
        <v>176</v>
      </c>
      <c r="AG1165" s="55" t="str">
        <f t="shared" si="11"/>
        <v/>
      </c>
    </row>
    <row r="1166">
      <c r="A1166" s="7" t="str">
        <f>IFERROR(__xludf.DUMMYFUNCTION("""COMPUTED_VALUE"""),"AR654")</f>
        <v>AR654</v>
      </c>
      <c r="B1166" s="308">
        <f>IFERROR(__xludf.DUMMYFUNCTION("""COMPUTED_VALUE"""),45033.0)</f>
        <v>45033</v>
      </c>
      <c r="C1166" s="309">
        <f>IFERROR(__xludf.DUMMYFUNCTION("""COMPUTED_VALUE"""),0.3113888888888889)</f>
        <v>0.3113888889</v>
      </c>
      <c r="D1166" s="7" t="str">
        <f>IFERROR(__xludf.DUMMYFUNCTION("""COMPUTED_VALUE"""),"SpABRM367540")</f>
        <v>SpABRM367540</v>
      </c>
      <c r="E1166" s="310"/>
      <c r="F1166" s="310"/>
      <c r="G1166" s="310" t="str">
        <f>IFERROR(__xludf.DUMMYFUNCTION("""COMPUTED_VALUE"""),"Negative")</f>
        <v>Negative</v>
      </c>
      <c r="H1166" s="319" t="str">
        <f>IFERROR(__xludf.DUMMYFUNCTION("""COMPUTED_VALUE"""),"Negative")</f>
        <v>Negative</v>
      </c>
      <c r="I1166" s="308">
        <f>IFERROR(__xludf.DUMMYFUNCTION("""COMPUTED_VALUE"""),45033.0)</f>
        <v>45033</v>
      </c>
      <c r="J1166" s="311">
        <f>IFERROR(__xludf.DUMMYFUNCTION("""COMPUTED_VALUE"""),0.39457175925925925)</f>
        <v>0.3945717593</v>
      </c>
      <c r="K1166" s="54"/>
      <c r="L1166" s="7"/>
      <c r="M1166" s="312"/>
      <c r="N1166" s="172">
        <f>IFERROR(__xludf.DUMMYFUNCTION("""COMPUTED_VALUE"""),3.0)</f>
        <v>3</v>
      </c>
      <c r="O1166" s="172"/>
      <c r="P1166" s="313">
        <f>IFERROR(__xludf.DUMMYFUNCTION("""COMPUTED_VALUE"""),0.0)</f>
        <v>0</v>
      </c>
      <c r="Q1166" s="76" t="b">
        <f>VLOOKUP($B1166,'Run Reconcile'!B$2:O1399,14,FALSE)</f>
        <v>1</v>
      </c>
      <c r="R1166" s="314" t="str">
        <f t="array" ref="R1166">IF($Q1166, INDEX('Run Reconcile'!A$2:A1399,MATCH(B1166,'Run Reconcile'!B$2:B1399,0),1),IFERROR(0/0,""))</f>
        <v>RUN-ABRM_2023-04-17_RFR-213</v>
      </c>
      <c r="S1166" s="315" t="str">
        <f t="shared" ref="S1166:T1166" si="2172">IF(COUNTIF(W$2:W1399, $A1166) &gt; 0,TRUE,IFERROR(0/0,""))</f>
        <v/>
      </c>
      <c r="T1166" s="315" t="str">
        <f t="shared" si="2172"/>
        <v/>
      </c>
      <c r="U1166" s="114" t="str">
        <f t="array" ref="U1166">IF(ISBLANK($R1166), INDEX('Run Reconcile'!A$2:A1399, MATCH($B1166, 'Run Reconcile'!B$2:B1399, 0)+Z1166, 1), IFERROR(0/0,""))
</f>
        <v/>
      </c>
      <c r="V1166" s="316" t="str">
        <f t="shared" si="1281"/>
        <v>RUN-ABRM_2023-04-17_RFR-213</v>
      </c>
      <c r="Y1166" s="317" t="str">
        <f t="shared" si="6"/>
        <v/>
      </c>
      <c r="Z1166" s="83" t="str">
        <f t="shared" si="7"/>
        <v/>
      </c>
      <c r="AA1166" s="83" t="str">
        <f t="shared" si="8"/>
        <v/>
      </c>
      <c r="AB1166" s="83" t="str">
        <f t="shared" si="9"/>
        <v/>
      </c>
      <c r="AC1166" s="18"/>
      <c r="AD1166" s="18"/>
      <c r="AE1166" s="43"/>
      <c r="AF1166" s="58" t="s">
        <v>176</v>
      </c>
      <c r="AG1166" s="55" t="str">
        <f t="shared" si="11"/>
        <v/>
      </c>
    </row>
    <row r="1167">
      <c r="A1167" s="7" t="str">
        <f>IFERROR(__xludf.DUMMYFUNCTION("""COMPUTED_VALUE"""),"AR1087")</f>
        <v>AR1087</v>
      </c>
      <c r="B1167" s="308">
        <f>IFERROR(__xludf.DUMMYFUNCTION("""COMPUTED_VALUE"""),45033.0)</f>
        <v>45033</v>
      </c>
      <c r="C1167" s="309">
        <f>IFERROR(__xludf.DUMMYFUNCTION("""COMPUTED_VALUE"""),0.3249074074074074)</f>
        <v>0.3249074074</v>
      </c>
      <c r="D1167" s="7" t="str">
        <f>IFERROR(__xludf.DUMMYFUNCTION("""COMPUTED_VALUE"""),"SpABRM519188")</f>
        <v>SpABRM519188</v>
      </c>
      <c r="E1167" s="310"/>
      <c r="F1167" s="310"/>
      <c r="G1167" s="310" t="str">
        <f>IFERROR(__xludf.DUMMYFUNCTION("""COMPUTED_VALUE"""),"Negative")</f>
        <v>Negative</v>
      </c>
      <c r="H1167" s="319" t="str">
        <f>IFERROR(__xludf.DUMMYFUNCTION("""COMPUTED_VALUE"""),"Negative")</f>
        <v>Negative</v>
      </c>
      <c r="I1167" s="308">
        <f>IFERROR(__xludf.DUMMYFUNCTION("""COMPUTED_VALUE"""),45033.0)</f>
        <v>45033</v>
      </c>
      <c r="J1167" s="311">
        <f>IFERROR(__xludf.DUMMYFUNCTION("""COMPUTED_VALUE"""),0.39457175925925925)</f>
        <v>0.3945717593</v>
      </c>
      <c r="K1167" s="54"/>
      <c r="L1167" s="7"/>
      <c r="M1167" s="312"/>
      <c r="N1167" s="172">
        <f>IFERROR(__xludf.DUMMYFUNCTION("""COMPUTED_VALUE"""),1.0)</f>
        <v>1</v>
      </c>
      <c r="O1167" s="172"/>
      <c r="P1167" s="313">
        <f>IFERROR(__xludf.DUMMYFUNCTION("""COMPUTED_VALUE"""),0.0)</f>
        <v>0</v>
      </c>
      <c r="Q1167" s="76" t="b">
        <f>VLOOKUP($B1167,'Run Reconcile'!B$2:O1399,14,FALSE)</f>
        <v>1</v>
      </c>
      <c r="R1167" s="314" t="str">
        <f t="array" ref="R1167">IF($Q1167, INDEX('Run Reconcile'!A$2:A1399,MATCH(B1167,'Run Reconcile'!B$2:B1399,0),1),IFERROR(0/0,""))</f>
        <v>RUN-ABRM_2023-04-17_RFR-213</v>
      </c>
      <c r="S1167" s="315" t="str">
        <f t="shared" ref="S1167:T1167" si="2173">IF(COUNTIF(W$2:W1399, $A1167) &gt; 0,TRUE,IFERROR(0/0,""))</f>
        <v/>
      </c>
      <c r="T1167" s="315" t="str">
        <f t="shared" si="2173"/>
        <v/>
      </c>
      <c r="U1167" s="114" t="str">
        <f t="array" ref="U1167">IF(ISBLANK($R1167), INDEX('Run Reconcile'!A$2:A1399, MATCH($B1167, 'Run Reconcile'!B$2:B1399, 0)+Z1167, 1), IFERROR(0/0,""))
</f>
        <v/>
      </c>
      <c r="V1167" s="316" t="str">
        <f t="shared" si="1281"/>
        <v>RUN-ABRM_2023-04-17_RFR-213</v>
      </c>
      <c r="Y1167" s="317" t="str">
        <f t="shared" si="6"/>
        <v/>
      </c>
      <c r="Z1167" s="83" t="str">
        <f t="shared" si="7"/>
        <v/>
      </c>
      <c r="AA1167" s="83" t="str">
        <f t="shared" si="8"/>
        <v/>
      </c>
      <c r="AB1167" s="83" t="str">
        <f t="shared" si="9"/>
        <v/>
      </c>
      <c r="AC1167" s="18"/>
      <c r="AD1167" s="18"/>
      <c r="AE1167" s="43"/>
      <c r="AF1167" s="58" t="s">
        <v>176</v>
      </c>
      <c r="AG1167" s="55" t="str">
        <f t="shared" si="11"/>
        <v/>
      </c>
    </row>
    <row r="1168">
      <c r="A1168" s="7" t="str">
        <f>IFERROR(__xludf.DUMMYFUNCTION("""COMPUTED_VALUE"""),"AR1122")</f>
        <v>AR1122</v>
      </c>
      <c r="B1168" s="308">
        <f>IFERROR(__xludf.DUMMYFUNCTION("""COMPUTED_VALUE"""),45033.0)</f>
        <v>45033</v>
      </c>
      <c r="C1168" s="309">
        <f>IFERROR(__xludf.DUMMYFUNCTION("""COMPUTED_VALUE"""),0.33025462962962965)</f>
        <v>0.3302546296</v>
      </c>
      <c r="D1168" s="7" t="str">
        <f>IFERROR(__xludf.DUMMYFUNCTION("""COMPUTED_VALUE"""),"SpABRM841252")</f>
        <v>SpABRM841252</v>
      </c>
      <c r="E1168" s="310"/>
      <c r="F1168" s="310"/>
      <c r="G1168" s="310" t="str">
        <f>IFERROR(__xludf.DUMMYFUNCTION("""COMPUTED_VALUE"""),"Negative")</f>
        <v>Negative</v>
      </c>
      <c r="H1168" s="319" t="str">
        <f>IFERROR(__xludf.DUMMYFUNCTION("""COMPUTED_VALUE"""),"Negative")</f>
        <v>Negative</v>
      </c>
      <c r="I1168" s="308">
        <f>IFERROR(__xludf.DUMMYFUNCTION("""COMPUTED_VALUE"""),45033.0)</f>
        <v>45033</v>
      </c>
      <c r="J1168" s="311">
        <f>IFERROR(__xludf.DUMMYFUNCTION("""COMPUTED_VALUE"""),0.39457175925925925)</f>
        <v>0.3945717593</v>
      </c>
      <c r="K1168" s="54"/>
      <c r="L1168" s="7"/>
      <c r="M1168" s="312"/>
      <c r="N1168" s="172">
        <f>IFERROR(__xludf.DUMMYFUNCTION("""COMPUTED_VALUE"""),1.0)</f>
        <v>1</v>
      </c>
      <c r="O1168" s="172"/>
      <c r="P1168" s="313">
        <f>IFERROR(__xludf.DUMMYFUNCTION("""COMPUTED_VALUE"""),0.0)</f>
        <v>0</v>
      </c>
      <c r="Q1168" s="76" t="b">
        <f>VLOOKUP($B1168,'Run Reconcile'!B$2:O1399,14,FALSE)</f>
        <v>1</v>
      </c>
      <c r="R1168" s="314" t="str">
        <f t="array" ref="R1168">IF($Q1168, INDEX('Run Reconcile'!A$2:A1399,MATCH(B1168,'Run Reconcile'!B$2:B1399,0),1),IFERROR(0/0,""))</f>
        <v>RUN-ABRM_2023-04-17_RFR-213</v>
      </c>
      <c r="S1168" s="315" t="str">
        <f t="shared" ref="S1168:T1168" si="2174">IF(COUNTIF(W$2:W1399, $A1168) &gt; 0,TRUE,IFERROR(0/0,""))</f>
        <v/>
      </c>
      <c r="T1168" s="315" t="str">
        <f t="shared" si="2174"/>
        <v/>
      </c>
      <c r="U1168" s="114" t="str">
        <f t="array" ref="U1168">IF(ISBLANK($R1168), INDEX('Run Reconcile'!A$2:A1399, MATCH($B1168, 'Run Reconcile'!B$2:B1399, 0)+Z1168, 1), IFERROR(0/0,""))
</f>
        <v/>
      </c>
      <c r="V1168" s="316" t="str">
        <f t="shared" si="1281"/>
        <v>RUN-ABRM_2023-04-17_RFR-213</v>
      </c>
      <c r="Y1168" s="317" t="str">
        <f t="shared" si="6"/>
        <v/>
      </c>
      <c r="Z1168" s="83" t="str">
        <f t="shared" si="7"/>
        <v/>
      </c>
      <c r="AA1168" s="83" t="str">
        <f t="shared" si="8"/>
        <v/>
      </c>
      <c r="AB1168" s="83" t="str">
        <f t="shared" si="9"/>
        <v/>
      </c>
      <c r="AC1168" s="18"/>
      <c r="AD1168" s="18"/>
      <c r="AE1168" s="43"/>
      <c r="AF1168" s="58" t="s">
        <v>176</v>
      </c>
      <c r="AG1168" s="55" t="str">
        <f t="shared" si="11"/>
        <v/>
      </c>
    </row>
    <row r="1169">
      <c r="A1169" s="7" t="str">
        <f>IFERROR(__xludf.DUMMYFUNCTION("""COMPUTED_VALUE"""),"AG191")</f>
        <v>AG191</v>
      </c>
      <c r="B1169" s="308">
        <f>IFERROR(__xludf.DUMMYFUNCTION("""COMPUTED_VALUE"""),45033.0)</f>
        <v>45033</v>
      </c>
      <c r="C1169" s="309">
        <f>IFERROR(__xludf.DUMMYFUNCTION("""COMPUTED_VALUE"""),0.3349884259259259)</f>
        <v>0.3349884259</v>
      </c>
      <c r="D1169" s="7" t="str">
        <f>IFERROR(__xludf.DUMMYFUNCTION("""COMPUTED_VALUE"""),"SpABRM841252")</f>
        <v>SpABRM841252</v>
      </c>
      <c r="E1169" s="310"/>
      <c r="F1169" s="310"/>
      <c r="G1169" s="310" t="str">
        <f>IFERROR(__xludf.DUMMYFUNCTION("""COMPUTED_VALUE"""),"Negative")</f>
        <v>Negative</v>
      </c>
      <c r="H1169" s="319" t="str">
        <f>IFERROR(__xludf.DUMMYFUNCTION("""COMPUTED_VALUE"""),"Negative")</f>
        <v>Negative</v>
      </c>
      <c r="I1169" s="308">
        <f>IFERROR(__xludf.DUMMYFUNCTION("""COMPUTED_VALUE"""),45033.0)</f>
        <v>45033</v>
      </c>
      <c r="J1169" s="311">
        <f>IFERROR(__xludf.DUMMYFUNCTION("""COMPUTED_VALUE"""),0.39457175925925925)</f>
        <v>0.3945717593</v>
      </c>
      <c r="K1169" s="54"/>
      <c r="L1169" s="7"/>
      <c r="M1169" s="312"/>
      <c r="N1169" s="172">
        <f>IFERROR(__xludf.DUMMYFUNCTION("""COMPUTED_VALUE"""),1.0)</f>
        <v>1</v>
      </c>
      <c r="O1169" s="172"/>
      <c r="P1169" s="313">
        <f>IFERROR(__xludf.DUMMYFUNCTION("""COMPUTED_VALUE"""),0.0)</f>
        <v>0</v>
      </c>
      <c r="Q1169" s="76" t="b">
        <f>VLOOKUP($B1169,'Run Reconcile'!B$2:O1399,14,FALSE)</f>
        <v>1</v>
      </c>
      <c r="R1169" s="314" t="str">
        <f t="array" ref="R1169">IF($Q1169, INDEX('Run Reconcile'!A$2:A1399,MATCH(B1169,'Run Reconcile'!B$2:B1399,0),1),IFERROR(0/0,""))</f>
        <v>RUN-ABRM_2023-04-17_RFR-213</v>
      </c>
      <c r="S1169" s="315" t="str">
        <f t="shared" ref="S1169:T1169" si="2175">IF(COUNTIF(W$2:W1399, $A1169) &gt; 0,TRUE,IFERROR(0/0,""))</f>
        <v/>
      </c>
      <c r="T1169" s="315" t="str">
        <f t="shared" si="2175"/>
        <v/>
      </c>
      <c r="U1169" s="114" t="str">
        <f t="array" ref="U1169">IF(ISBLANK($R1169), INDEX('Run Reconcile'!A$2:A1399, MATCH($B1169, 'Run Reconcile'!B$2:B1399, 0)+Z1169, 1), IFERROR(0/0,""))
</f>
        <v/>
      </c>
      <c r="V1169" s="316" t="str">
        <f t="shared" si="1281"/>
        <v>RUN-ABRM_2023-04-17_RFR-213</v>
      </c>
      <c r="Y1169" s="317" t="str">
        <f t="shared" si="6"/>
        <v/>
      </c>
      <c r="Z1169" s="83" t="str">
        <f t="shared" si="7"/>
        <v/>
      </c>
      <c r="AA1169" s="83" t="str">
        <f t="shared" si="8"/>
        <v/>
      </c>
      <c r="AB1169" s="83" t="str">
        <f t="shared" si="9"/>
        <v/>
      </c>
      <c r="AC1169" s="18"/>
      <c r="AD1169" s="18"/>
      <c r="AE1169" s="43"/>
      <c r="AF1169" s="58" t="s">
        <v>176</v>
      </c>
      <c r="AG1169" s="55" t="str">
        <f t="shared" si="11"/>
        <v/>
      </c>
    </row>
    <row r="1170">
      <c r="A1170" s="7" t="str">
        <f>IFERROR(__xludf.DUMMYFUNCTION("""COMPUTED_VALUE"""),"AR797")</f>
        <v>AR797</v>
      </c>
      <c r="B1170" s="308">
        <f>IFERROR(__xludf.DUMMYFUNCTION("""COMPUTED_VALUE"""),45033.0)</f>
        <v>45033</v>
      </c>
      <c r="C1170" s="309">
        <f>IFERROR(__xludf.DUMMYFUNCTION("""COMPUTED_VALUE"""),0.33596064814814813)</f>
        <v>0.3359606481</v>
      </c>
      <c r="D1170" s="7" t="str">
        <f>IFERROR(__xludf.DUMMYFUNCTION("""COMPUTED_VALUE"""),"SpABRM841252")</f>
        <v>SpABRM841252</v>
      </c>
      <c r="E1170" s="310"/>
      <c r="F1170" s="310"/>
      <c r="G1170" s="310" t="str">
        <f>IFERROR(__xludf.DUMMYFUNCTION("""COMPUTED_VALUE"""),"Null")</f>
        <v>Null</v>
      </c>
      <c r="H1170" s="319" t="str">
        <f>IFERROR(__xludf.DUMMYFUNCTION("""COMPUTED_VALUE"""),"Negative")</f>
        <v>Negative</v>
      </c>
      <c r="I1170" s="319"/>
      <c r="J1170" s="54"/>
      <c r="K1170" s="54">
        <f>IFERROR(__xludf.DUMMYFUNCTION("""COMPUTED_VALUE"""),2.0)</f>
        <v>2</v>
      </c>
      <c r="L1170" s="7"/>
      <c r="M1170" s="312"/>
      <c r="N1170" s="172">
        <f>IFERROR(__xludf.DUMMYFUNCTION("""COMPUTED_VALUE"""),1.0)</f>
        <v>1</v>
      </c>
      <c r="O1170" s="172"/>
      <c r="P1170" s="313">
        <f>IFERROR(__xludf.DUMMYFUNCTION("""COMPUTED_VALUE"""),-1.0)</f>
        <v>-1</v>
      </c>
      <c r="Q1170" s="76" t="b">
        <f>VLOOKUP($B1170,'Run Reconcile'!B$2:O1399,14,FALSE)</f>
        <v>1</v>
      </c>
      <c r="R1170" s="314" t="str">
        <f t="array" ref="R1170">IF($Q1170, INDEX('Run Reconcile'!A$2:A1399,MATCH(B1170,'Run Reconcile'!B$2:B1399,0),1),IFERROR(0/0,""))</f>
        <v>RUN-ABRM_2023-04-17_RFR-213</v>
      </c>
      <c r="S1170" s="315" t="str">
        <f t="shared" ref="S1170:T1170" si="2176">IF(COUNTIF(W$2:W1399, $A1170) &gt; 0,TRUE,IFERROR(0/0,""))</f>
        <v/>
      </c>
      <c r="T1170" s="315" t="str">
        <f t="shared" si="2176"/>
        <v/>
      </c>
      <c r="U1170" s="114" t="str">
        <f t="array" ref="U1170">IF(ISBLANK($R1170), INDEX('Run Reconcile'!A$2:A1399, MATCH($B1170, 'Run Reconcile'!B$2:B1399, 0)+Z1170, 1), IFERROR(0/0,""))
</f>
        <v/>
      </c>
      <c r="V1170" s="316" t="str">
        <f t="shared" si="1281"/>
        <v>RUN-ABRM_2023-04-17_RFR-213</v>
      </c>
      <c r="Y1170" s="317" t="str">
        <f t="shared" si="6"/>
        <v/>
      </c>
      <c r="Z1170" s="83" t="str">
        <f t="shared" si="7"/>
        <v/>
      </c>
      <c r="AA1170" s="83" t="str">
        <f t="shared" si="8"/>
        <v/>
      </c>
      <c r="AB1170" s="83" t="str">
        <f t="shared" si="9"/>
        <v/>
      </c>
      <c r="AC1170" s="18"/>
      <c r="AD1170" s="18"/>
      <c r="AE1170" s="43"/>
      <c r="AF1170" s="58" t="s">
        <v>176</v>
      </c>
      <c r="AG1170" s="55" t="str">
        <f t="shared" si="11"/>
        <v/>
      </c>
    </row>
    <row r="1171">
      <c r="A1171" s="7" t="str">
        <f>IFERROR(__xludf.DUMMYFUNCTION("""COMPUTED_VALUE"""),"AK9609")</f>
        <v>AK9609</v>
      </c>
      <c r="B1171" s="308">
        <f>IFERROR(__xludf.DUMMYFUNCTION("""COMPUTED_VALUE"""),45033.0)</f>
        <v>45033</v>
      </c>
      <c r="C1171" s="309">
        <f>IFERROR(__xludf.DUMMYFUNCTION("""COMPUTED_VALUE"""),0.33630787037037035)</f>
        <v>0.3363078704</v>
      </c>
      <c r="D1171" s="7" t="str">
        <f>IFERROR(__xludf.DUMMYFUNCTION("""COMPUTED_VALUE"""),"SpABRM841252")</f>
        <v>SpABRM841252</v>
      </c>
      <c r="E1171" s="310"/>
      <c r="F1171" s="310"/>
      <c r="G1171" s="310" t="str">
        <f>IFERROR(__xludf.DUMMYFUNCTION("""COMPUTED_VALUE"""),"Negative")</f>
        <v>Negative</v>
      </c>
      <c r="H1171" s="319" t="str">
        <f>IFERROR(__xludf.DUMMYFUNCTION("""COMPUTED_VALUE"""),"Negative")</f>
        <v>Negative</v>
      </c>
      <c r="I1171" s="308">
        <f>IFERROR(__xludf.DUMMYFUNCTION("""COMPUTED_VALUE"""),45033.0)</f>
        <v>45033</v>
      </c>
      <c r="J1171" s="311">
        <f>IFERROR(__xludf.DUMMYFUNCTION("""COMPUTED_VALUE"""),0.39458333333333334)</f>
        <v>0.3945833333</v>
      </c>
      <c r="K1171" s="54"/>
      <c r="L1171" s="7"/>
      <c r="M1171" s="312"/>
      <c r="N1171" s="172">
        <f>IFERROR(__xludf.DUMMYFUNCTION("""COMPUTED_VALUE"""),1.0)</f>
        <v>1</v>
      </c>
      <c r="O1171" s="172"/>
      <c r="P1171" s="313">
        <f>IFERROR(__xludf.DUMMYFUNCTION("""COMPUTED_VALUE"""),0.0)</f>
        <v>0</v>
      </c>
      <c r="Q1171" s="76" t="b">
        <f>VLOOKUP($B1171,'Run Reconcile'!B$2:O1399,14,FALSE)</f>
        <v>1</v>
      </c>
      <c r="R1171" s="314" t="str">
        <f t="array" ref="R1171">IF($Q1171, INDEX('Run Reconcile'!A$2:A1399,MATCH(B1171,'Run Reconcile'!B$2:B1399,0),1),IFERROR(0/0,""))</f>
        <v>RUN-ABRM_2023-04-17_RFR-213</v>
      </c>
      <c r="S1171" s="315" t="str">
        <f t="shared" ref="S1171:T1171" si="2177">IF(COUNTIF(W$2:W1399, $A1171) &gt; 0,TRUE,IFERROR(0/0,""))</f>
        <v/>
      </c>
      <c r="T1171" s="315" t="str">
        <f t="shared" si="2177"/>
        <v/>
      </c>
      <c r="U1171" s="114" t="str">
        <f t="array" ref="U1171">IF(ISBLANK($R1171), INDEX('Run Reconcile'!A$2:A1399, MATCH($B1171, 'Run Reconcile'!B$2:B1399, 0)+Z1171, 1), IFERROR(0/0,""))
</f>
        <v/>
      </c>
      <c r="V1171" s="316" t="str">
        <f t="shared" si="1281"/>
        <v>RUN-ABRM_2023-04-17_RFR-213</v>
      </c>
      <c r="Y1171" s="317" t="str">
        <f t="shared" si="6"/>
        <v/>
      </c>
      <c r="Z1171" s="83" t="str">
        <f t="shared" si="7"/>
        <v/>
      </c>
      <c r="AA1171" s="83" t="str">
        <f t="shared" si="8"/>
        <v/>
      </c>
      <c r="AB1171" s="83" t="str">
        <f t="shared" si="9"/>
        <v/>
      </c>
      <c r="AC1171" s="18"/>
      <c r="AD1171" s="18"/>
      <c r="AE1171" s="43"/>
      <c r="AF1171" s="58" t="s">
        <v>176</v>
      </c>
      <c r="AG1171" s="55" t="str">
        <f t="shared" si="11"/>
        <v/>
      </c>
    </row>
    <row r="1172">
      <c r="A1172" s="120" t="str">
        <f>IFERROR(__xludf.DUMMYFUNCTION("""COMPUTED_VALUE"""),"AR1188")</f>
        <v>AR1188</v>
      </c>
      <c r="B1172" s="320">
        <f>IFERROR(__xludf.DUMMYFUNCTION("""COMPUTED_VALUE"""),45034.0)</f>
        <v>45034</v>
      </c>
      <c r="C1172" s="321">
        <f>IFERROR(__xludf.DUMMYFUNCTION("""COMPUTED_VALUE"""),0.2204861111111111)</f>
        <v>0.2204861111</v>
      </c>
      <c r="D1172" s="120" t="str">
        <f>IFERROR(__xludf.DUMMYFUNCTION("""COMPUTED_VALUE"""),"SpABRM454310")</f>
        <v>SpABRM454310</v>
      </c>
      <c r="E1172" s="322"/>
      <c r="F1172" s="322"/>
      <c r="G1172" s="322" t="str">
        <f>IFERROR(__xludf.DUMMYFUNCTION("""COMPUTED_VALUE"""),"Negative")</f>
        <v>Negative</v>
      </c>
      <c r="H1172" s="323" t="str">
        <f>IFERROR(__xludf.DUMMYFUNCTION("""COMPUTED_VALUE"""),"Negative")</f>
        <v>Negative</v>
      </c>
      <c r="I1172" s="320">
        <f>IFERROR(__xludf.DUMMYFUNCTION("""COMPUTED_VALUE"""),45034.0)</f>
        <v>45034</v>
      </c>
      <c r="J1172" s="324">
        <f>IFERROR(__xludf.DUMMYFUNCTION("""COMPUTED_VALUE"""),0.39283564814814814)</f>
        <v>0.3928356481</v>
      </c>
      <c r="K1172" s="123"/>
      <c r="L1172" s="120"/>
      <c r="M1172" s="325"/>
      <c r="N1172" s="283">
        <f>IFERROR(__xludf.DUMMYFUNCTION("""COMPUTED_VALUE"""),3.0)</f>
        <v>3</v>
      </c>
      <c r="O1172" s="283"/>
      <c r="P1172" s="326">
        <f>IFERROR(__xludf.DUMMYFUNCTION("""COMPUTED_VALUE"""),0.0)</f>
        <v>0</v>
      </c>
      <c r="Q1172" s="293" t="str">
        <f>VLOOKUP($B1172,'Run Reconcile'!B$2:O1399,14,FALSE)</f>
        <v/>
      </c>
      <c r="R1172" s="327" t="str">
        <f t="array" ref="R1172">IF($Q1172, INDEX('Run Reconcile'!A$2:A1399,MATCH(B1172,'Run Reconcile'!B$2:B1399,0),1),IFERROR(0/0,""))</f>
        <v/>
      </c>
      <c r="S1172" s="328" t="str">
        <f t="shared" ref="S1172:T1172" si="2178">IF(COUNTIF(W$2:W1399, $A1172) &gt; 0,TRUE,IFERROR(0/0,""))</f>
        <v/>
      </c>
      <c r="T1172" s="328" t="str">
        <f t="shared" si="2178"/>
        <v/>
      </c>
      <c r="U1172" s="294" t="str">
        <f t="array" ref="U1172">IF(ISBLANK($R1172), INDEX('Run Reconcile'!A$2:A1399, MATCH($B1172, 'Run Reconcile'!B$2:B1399, 0)+Z1172, 1), IFERROR(0/0,""))
</f>
        <v>RUN-ABRM_2023-04-18_RFR-214</v>
      </c>
      <c r="V1172" s="329" t="str">
        <f t="shared" si="1281"/>
        <v>RUN-ABRM_2023-04-18_RFR-214</v>
      </c>
      <c r="W1172" s="120"/>
      <c r="X1172" s="120"/>
      <c r="Y1172" s="334" t="str">
        <f t="shared" si="6"/>
        <v/>
      </c>
      <c r="Z1172" s="295" t="str">
        <f t="shared" si="7"/>
        <v/>
      </c>
      <c r="AA1172" s="295" t="str">
        <f t="shared" si="8"/>
        <v/>
      </c>
      <c r="AB1172" s="295" t="str">
        <f t="shared" si="9"/>
        <v/>
      </c>
      <c r="AC1172" s="263"/>
      <c r="AD1172" s="263"/>
      <c r="AE1172" s="125"/>
      <c r="AF1172" s="330" t="s">
        <v>178</v>
      </c>
      <c r="AG1172" s="268" t="str">
        <f t="shared" si="11"/>
        <v/>
      </c>
      <c r="AH1172" s="120"/>
      <c r="AI1172" s="120"/>
      <c r="AJ1172" s="120"/>
      <c r="AK1172" s="120"/>
    </row>
    <row r="1173">
      <c r="A1173" s="7" t="str">
        <f>IFERROR(__xludf.DUMMYFUNCTION("""COMPUTED_VALUE"""),"AR908")</f>
        <v>AR908</v>
      </c>
      <c r="B1173" s="308">
        <f>IFERROR(__xludf.DUMMYFUNCTION("""COMPUTED_VALUE"""),45034.0)</f>
        <v>45034</v>
      </c>
      <c r="C1173" s="309">
        <f>IFERROR(__xludf.DUMMYFUNCTION("""COMPUTED_VALUE"""),0.2870023148148148)</f>
        <v>0.2870023148</v>
      </c>
      <c r="D1173" s="7" t="str">
        <f>IFERROR(__xludf.DUMMYFUNCTION("""COMPUTED_VALUE"""),"SpABRM128250")</f>
        <v>SpABRM128250</v>
      </c>
      <c r="E1173" s="310"/>
      <c r="F1173" s="310"/>
      <c r="G1173" s="310" t="str">
        <f>IFERROR(__xludf.DUMMYFUNCTION("""COMPUTED_VALUE"""),"Negative")</f>
        <v>Negative</v>
      </c>
      <c r="H1173" s="319" t="str">
        <f>IFERROR(__xludf.DUMMYFUNCTION("""COMPUTED_VALUE"""),"Negative")</f>
        <v>Negative</v>
      </c>
      <c r="I1173" s="308">
        <f>IFERROR(__xludf.DUMMYFUNCTION("""COMPUTED_VALUE"""),45034.0)</f>
        <v>45034</v>
      </c>
      <c r="J1173" s="311">
        <f>IFERROR(__xludf.DUMMYFUNCTION("""COMPUTED_VALUE"""),0.39283564814814814)</f>
        <v>0.3928356481</v>
      </c>
      <c r="K1173" s="54"/>
      <c r="L1173" s="7"/>
      <c r="M1173" s="312"/>
      <c r="N1173" s="172">
        <f>IFERROR(__xludf.DUMMYFUNCTION("""COMPUTED_VALUE"""),3.0)</f>
        <v>3</v>
      </c>
      <c r="O1173" s="172"/>
      <c r="P1173" s="313">
        <f>IFERROR(__xludf.DUMMYFUNCTION("""COMPUTED_VALUE"""),0.0)</f>
        <v>0</v>
      </c>
      <c r="Q1173" s="76" t="str">
        <f>VLOOKUP($B1173,'Run Reconcile'!B$2:O1399,14,FALSE)</f>
        <v/>
      </c>
      <c r="R1173" s="314" t="str">
        <f t="array" ref="R1173">IF($Q1173, INDEX('Run Reconcile'!A$2:A1399,MATCH(B1173,'Run Reconcile'!B$2:B1399,0),1),IFERROR(0/0,""))</f>
        <v/>
      </c>
      <c r="S1173" s="315" t="str">
        <f t="shared" ref="S1173:T1173" si="2179">IF(COUNTIF(W$2:W1399, $A1173) &gt; 0,TRUE,IFERROR(0/0,""))</f>
        <v/>
      </c>
      <c r="T1173" s="315" t="str">
        <f t="shared" si="2179"/>
        <v/>
      </c>
      <c r="U1173" s="114" t="str">
        <f t="array" ref="U1173">IF(ISBLANK($R1173), INDEX('Run Reconcile'!A$2:A1399, MATCH($B1173, 'Run Reconcile'!B$2:B1399, 0)+Z1173, 1), IFERROR(0/0,""))
</f>
        <v>RUN-ABRM_2023-04-18_RFR-214</v>
      </c>
      <c r="V1173" s="316" t="str">
        <f t="shared" si="1281"/>
        <v>RUN-ABRM_2023-04-18_RFR-214</v>
      </c>
      <c r="Y1173" s="317" t="str">
        <f t="shared" si="6"/>
        <v/>
      </c>
      <c r="Z1173" s="83" t="str">
        <f t="shared" si="7"/>
        <v/>
      </c>
      <c r="AA1173" s="83" t="str">
        <f t="shared" si="8"/>
        <v/>
      </c>
      <c r="AB1173" s="83" t="str">
        <f t="shared" si="9"/>
        <v/>
      </c>
      <c r="AC1173" s="18"/>
      <c r="AD1173" s="18"/>
      <c r="AE1173" s="43"/>
      <c r="AF1173" s="58" t="s">
        <v>178</v>
      </c>
      <c r="AG1173" s="55" t="str">
        <f t="shared" si="11"/>
        <v/>
      </c>
    </row>
    <row r="1174">
      <c r="A1174" s="7" t="str">
        <f>IFERROR(__xludf.DUMMYFUNCTION("""COMPUTED_VALUE"""),"AB9667")</f>
        <v>AB9667</v>
      </c>
      <c r="B1174" s="308">
        <f>IFERROR(__xludf.DUMMYFUNCTION("""COMPUTED_VALUE"""),45034.0)</f>
        <v>45034</v>
      </c>
      <c r="C1174" s="309">
        <f>IFERROR(__xludf.DUMMYFUNCTION("""COMPUTED_VALUE"""),0.2877777777777778)</f>
        <v>0.2877777778</v>
      </c>
      <c r="D1174" s="7" t="str">
        <f>IFERROR(__xludf.DUMMYFUNCTION("""COMPUTED_VALUE"""),"SpABRM581899")</f>
        <v>SpABRM581899</v>
      </c>
      <c r="E1174" s="310"/>
      <c r="F1174" s="310"/>
      <c r="G1174" s="310" t="str">
        <f>IFERROR(__xludf.DUMMYFUNCTION("""COMPUTED_VALUE"""),"Negative")</f>
        <v>Negative</v>
      </c>
      <c r="H1174" s="319" t="str">
        <f>IFERROR(__xludf.DUMMYFUNCTION("""COMPUTED_VALUE"""),"Negative")</f>
        <v>Negative</v>
      </c>
      <c r="I1174" s="308">
        <f>IFERROR(__xludf.DUMMYFUNCTION("""COMPUTED_VALUE"""),45034.0)</f>
        <v>45034</v>
      </c>
      <c r="J1174" s="311">
        <f>IFERROR(__xludf.DUMMYFUNCTION("""COMPUTED_VALUE"""),0.39283564814814814)</f>
        <v>0.3928356481</v>
      </c>
      <c r="K1174" s="54"/>
      <c r="L1174" s="7"/>
      <c r="M1174" s="312"/>
      <c r="N1174" s="172">
        <f>IFERROR(__xludf.DUMMYFUNCTION("""COMPUTED_VALUE"""),3.0)</f>
        <v>3</v>
      </c>
      <c r="O1174" s="172"/>
      <c r="P1174" s="313">
        <f>IFERROR(__xludf.DUMMYFUNCTION("""COMPUTED_VALUE"""),0.0)</f>
        <v>0</v>
      </c>
      <c r="Q1174" s="76" t="str">
        <f>VLOOKUP($B1174,'Run Reconcile'!B$2:O1399,14,FALSE)</f>
        <v/>
      </c>
      <c r="R1174" s="314" t="str">
        <f t="array" ref="R1174">IF($Q1174, INDEX('Run Reconcile'!A$2:A1399,MATCH(B1174,'Run Reconcile'!B$2:B1399,0),1),IFERROR(0/0,""))</f>
        <v/>
      </c>
      <c r="S1174" s="315" t="str">
        <f t="shared" ref="S1174:T1174" si="2180">IF(COUNTIF(W$2:W1399, $A1174) &gt; 0,TRUE,IFERROR(0/0,""))</f>
        <v/>
      </c>
      <c r="T1174" s="315" t="str">
        <f t="shared" si="2180"/>
        <v/>
      </c>
      <c r="U1174" s="114" t="str">
        <f t="array" ref="U1174">IF(ISBLANK($R1174), INDEX('Run Reconcile'!A$2:A1399, MATCH($B1174, 'Run Reconcile'!B$2:B1399, 0)+Z1174, 1), IFERROR(0/0,""))
</f>
        <v>RUN-ABRM_2023-04-18_RFR-214</v>
      </c>
      <c r="V1174" s="316" t="str">
        <f t="shared" si="1281"/>
        <v>RUN-ABRM_2023-04-18_RFR-214</v>
      </c>
      <c r="Y1174" s="317" t="str">
        <f t="shared" si="6"/>
        <v/>
      </c>
      <c r="Z1174" s="83" t="str">
        <f t="shared" si="7"/>
        <v/>
      </c>
      <c r="AA1174" s="83" t="str">
        <f t="shared" si="8"/>
        <v/>
      </c>
      <c r="AB1174" s="83" t="str">
        <f t="shared" si="9"/>
        <v/>
      </c>
      <c r="AC1174" s="18"/>
      <c r="AD1174" s="18"/>
      <c r="AE1174" s="43"/>
      <c r="AF1174" s="58" t="s">
        <v>178</v>
      </c>
      <c r="AG1174" s="55" t="str">
        <f t="shared" si="11"/>
        <v/>
      </c>
    </row>
    <row r="1175">
      <c r="A1175" s="7" t="str">
        <f>IFERROR(__xludf.DUMMYFUNCTION("""COMPUTED_VALUE"""),"AR705")</f>
        <v>AR705</v>
      </c>
      <c r="B1175" s="308">
        <f>IFERROR(__xludf.DUMMYFUNCTION("""COMPUTED_VALUE"""),45034.0)</f>
        <v>45034</v>
      </c>
      <c r="C1175" s="309">
        <f>IFERROR(__xludf.DUMMYFUNCTION("""COMPUTED_VALUE"""),0.2956828703703704)</f>
        <v>0.2956828704</v>
      </c>
      <c r="D1175" s="7" t="str">
        <f>IFERROR(__xludf.DUMMYFUNCTION("""COMPUTED_VALUE"""),"SpABRM297307")</f>
        <v>SpABRM297307</v>
      </c>
      <c r="E1175" s="310"/>
      <c r="F1175" s="310"/>
      <c r="G1175" s="310" t="str">
        <f>IFERROR(__xludf.DUMMYFUNCTION("""COMPUTED_VALUE"""),"Null")</f>
        <v>Null</v>
      </c>
      <c r="H1175" s="319" t="str">
        <f>IFERROR(__xludf.DUMMYFUNCTION("""COMPUTED_VALUE"""),"Negative")</f>
        <v>Negative</v>
      </c>
      <c r="I1175" s="319"/>
      <c r="J1175" s="54"/>
      <c r="K1175" s="54">
        <f>IFERROR(__xludf.DUMMYFUNCTION("""COMPUTED_VALUE"""),2.0)</f>
        <v>2</v>
      </c>
      <c r="L1175" s="7"/>
      <c r="M1175" s="312"/>
      <c r="N1175" s="172">
        <f>IFERROR(__xludf.DUMMYFUNCTION("""COMPUTED_VALUE"""),3.0)</f>
        <v>3</v>
      </c>
      <c r="O1175" s="172"/>
      <c r="P1175" s="313">
        <f>IFERROR(__xludf.DUMMYFUNCTION("""COMPUTED_VALUE"""),-1.0)</f>
        <v>-1</v>
      </c>
      <c r="Q1175" s="76" t="str">
        <f>VLOOKUP($B1175,'Run Reconcile'!B$2:O1399,14,FALSE)</f>
        <v/>
      </c>
      <c r="R1175" s="314" t="str">
        <f t="array" ref="R1175">IF($Q1175, INDEX('Run Reconcile'!A$2:A1399,MATCH(B1175,'Run Reconcile'!B$2:B1399,0),1),IFERROR(0/0,""))</f>
        <v/>
      </c>
      <c r="S1175" s="315" t="str">
        <f t="shared" ref="S1175:T1175" si="2181">IF(COUNTIF(W$2:W1399, $A1175) &gt; 0,TRUE,IFERROR(0/0,""))</f>
        <v/>
      </c>
      <c r="T1175" s="315" t="str">
        <f t="shared" si="2181"/>
        <v/>
      </c>
      <c r="U1175" s="114" t="str">
        <f t="array" ref="U1175">IF(ISBLANK($R1175), INDEX('Run Reconcile'!A$2:A1399, MATCH($B1175, 'Run Reconcile'!B$2:B1399, 0)+Z1175, 1), IFERROR(0/0,""))
</f>
        <v>RUN-ABRM_2023-04-18_RFR-214</v>
      </c>
      <c r="V1175" s="316" t="str">
        <f t="shared" si="1281"/>
        <v>RUN-ABRM_2023-04-18_RFR-214</v>
      </c>
      <c r="Y1175" s="317" t="str">
        <f t="shared" si="6"/>
        <v/>
      </c>
      <c r="Z1175" s="83" t="str">
        <f t="shared" si="7"/>
        <v/>
      </c>
      <c r="AA1175" s="83" t="str">
        <f t="shared" si="8"/>
        <v/>
      </c>
      <c r="AB1175" s="83" t="str">
        <f t="shared" si="9"/>
        <v/>
      </c>
      <c r="AC1175" s="18"/>
      <c r="AD1175" s="18"/>
      <c r="AE1175" s="43"/>
      <c r="AF1175" s="58" t="s">
        <v>178</v>
      </c>
      <c r="AG1175" s="55" t="str">
        <f t="shared" si="11"/>
        <v/>
      </c>
    </row>
    <row r="1176">
      <c r="A1176" s="7" t="str">
        <f>IFERROR(__xludf.DUMMYFUNCTION("""COMPUTED_VALUE"""),"AR1796")</f>
        <v>AR1796</v>
      </c>
      <c r="B1176" s="308">
        <f>IFERROR(__xludf.DUMMYFUNCTION("""COMPUTED_VALUE"""),45034.0)</f>
        <v>45034</v>
      </c>
      <c r="C1176" s="309">
        <f>IFERROR(__xludf.DUMMYFUNCTION("""COMPUTED_VALUE"""),0.3282175925925926)</f>
        <v>0.3282175926</v>
      </c>
      <c r="D1176" s="7" t="str">
        <f>IFERROR(__xludf.DUMMYFUNCTION("""COMPUTED_VALUE"""),"SpABRM841252")</f>
        <v>SpABRM841252</v>
      </c>
      <c r="E1176" s="310"/>
      <c r="F1176" s="310"/>
      <c r="G1176" s="310" t="str">
        <f>IFERROR(__xludf.DUMMYFUNCTION("""COMPUTED_VALUE"""),"Negative")</f>
        <v>Negative</v>
      </c>
      <c r="H1176" s="319" t="str">
        <f>IFERROR(__xludf.DUMMYFUNCTION("""COMPUTED_VALUE"""),"Negative")</f>
        <v>Negative</v>
      </c>
      <c r="I1176" s="308">
        <f>IFERROR(__xludf.DUMMYFUNCTION("""COMPUTED_VALUE"""),45034.0)</f>
        <v>45034</v>
      </c>
      <c r="J1176" s="311">
        <f>IFERROR(__xludf.DUMMYFUNCTION("""COMPUTED_VALUE"""),0.39284722222222224)</f>
        <v>0.3928472222</v>
      </c>
      <c r="K1176" s="54"/>
      <c r="L1176" s="7"/>
      <c r="M1176" s="312"/>
      <c r="N1176" s="172">
        <f>IFERROR(__xludf.DUMMYFUNCTION("""COMPUTED_VALUE"""),1.0)</f>
        <v>1</v>
      </c>
      <c r="O1176" s="172"/>
      <c r="P1176" s="313">
        <f>IFERROR(__xludf.DUMMYFUNCTION("""COMPUTED_VALUE"""),0.0)</f>
        <v>0</v>
      </c>
      <c r="Q1176" s="76" t="str">
        <f>VLOOKUP($B1176,'Run Reconcile'!B$2:O1399,14,FALSE)</f>
        <v/>
      </c>
      <c r="R1176" s="314" t="str">
        <f t="array" ref="R1176">IF($Q1176, INDEX('Run Reconcile'!A$2:A1399,MATCH(B1176,'Run Reconcile'!B$2:B1399,0),1),IFERROR(0/0,""))</f>
        <v/>
      </c>
      <c r="S1176" s="315" t="str">
        <f t="shared" ref="S1176:T1176" si="2182">IF(COUNTIF(W$2:W1399, $A1176) &gt; 0,TRUE,IFERROR(0/0,""))</f>
        <v/>
      </c>
      <c r="T1176" s="315" t="str">
        <f t="shared" si="2182"/>
        <v/>
      </c>
      <c r="U1176" s="114" t="str">
        <f t="array" ref="U1176">IF(ISBLANK($R1176), INDEX('Run Reconcile'!A$2:A1399, MATCH($B1176, 'Run Reconcile'!B$2:B1399, 0)+Z1176, 1), IFERROR(0/0,""))
</f>
        <v>RUN-ABRM_2023-04-18_RFR-214</v>
      </c>
      <c r="V1176" s="316" t="str">
        <f t="shared" si="1281"/>
        <v>RUN-ABRM_2023-04-18_RFR-214</v>
      </c>
      <c r="Y1176" s="317" t="str">
        <f t="shared" si="6"/>
        <v/>
      </c>
      <c r="Z1176" s="83" t="str">
        <f t="shared" si="7"/>
        <v/>
      </c>
      <c r="AA1176" s="83" t="str">
        <f t="shared" si="8"/>
        <v/>
      </c>
      <c r="AB1176" s="83" t="str">
        <f t="shared" si="9"/>
        <v/>
      </c>
      <c r="AC1176" s="18"/>
      <c r="AD1176" s="18"/>
      <c r="AE1176" s="43"/>
      <c r="AF1176" s="58" t="s">
        <v>178</v>
      </c>
      <c r="AG1176" s="55" t="str">
        <f t="shared" si="11"/>
        <v/>
      </c>
    </row>
    <row r="1177">
      <c r="A1177" s="7" t="str">
        <f>IFERROR(__xludf.DUMMYFUNCTION("""COMPUTED_VALUE"""),"AR1361")</f>
        <v>AR1361</v>
      </c>
      <c r="B1177" s="308">
        <f>IFERROR(__xludf.DUMMYFUNCTION("""COMPUTED_VALUE"""),45034.0)</f>
        <v>45034</v>
      </c>
      <c r="C1177" s="309">
        <f>IFERROR(__xludf.DUMMYFUNCTION("""COMPUTED_VALUE"""),0.329224537037037)</f>
        <v>0.329224537</v>
      </c>
      <c r="D1177" s="7" t="str">
        <f>IFERROR(__xludf.DUMMYFUNCTION("""COMPUTED_VALUE"""),"SpABRM519188")</f>
        <v>SpABRM519188</v>
      </c>
      <c r="E1177" s="310"/>
      <c r="F1177" s="310"/>
      <c r="G1177" s="310" t="str">
        <f>IFERROR(__xludf.DUMMYFUNCTION("""COMPUTED_VALUE"""),"Null")</f>
        <v>Null</v>
      </c>
      <c r="H1177" s="319" t="str">
        <f>IFERROR(__xludf.DUMMYFUNCTION("""COMPUTED_VALUE"""),"Negative")</f>
        <v>Negative</v>
      </c>
      <c r="I1177" s="319"/>
      <c r="J1177" s="54"/>
      <c r="K1177" s="54">
        <f>IFERROR(__xludf.DUMMYFUNCTION("""COMPUTED_VALUE"""),2.0)</f>
        <v>2</v>
      </c>
      <c r="L1177" s="7"/>
      <c r="M1177" s="312"/>
      <c r="N1177" s="172">
        <f>IFERROR(__xludf.DUMMYFUNCTION("""COMPUTED_VALUE"""),1.0)</f>
        <v>1</v>
      </c>
      <c r="O1177" s="172"/>
      <c r="P1177" s="313">
        <f>IFERROR(__xludf.DUMMYFUNCTION("""COMPUTED_VALUE"""),-1.0)</f>
        <v>-1</v>
      </c>
      <c r="Q1177" s="76" t="str">
        <f>VLOOKUP($B1177,'Run Reconcile'!B$2:O1399,14,FALSE)</f>
        <v/>
      </c>
      <c r="R1177" s="314" t="str">
        <f t="array" ref="R1177">IF($Q1177, INDEX('Run Reconcile'!A$2:A1399,MATCH(B1177,'Run Reconcile'!B$2:B1399,0),1),IFERROR(0/0,""))</f>
        <v/>
      </c>
      <c r="S1177" s="315" t="str">
        <f t="shared" ref="S1177:T1177" si="2183">IF(COUNTIF(W$2:W1399, $A1177) &gt; 0,TRUE,IFERROR(0/0,""))</f>
        <v/>
      </c>
      <c r="T1177" s="315" t="str">
        <f t="shared" si="2183"/>
        <v/>
      </c>
      <c r="U1177" s="114" t="str">
        <f t="array" ref="U1177">IF(ISBLANK($R1177), INDEX('Run Reconcile'!A$2:A1399, MATCH($B1177, 'Run Reconcile'!B$2:B1399, 0)+Z1177, 1), IFERROR(0/0,""))
</f>
        <v>RUN-ABRM_2023-04-18_RFR-214</v>
      </c>
      <c r="V1177" s="316" t="str">
        <f t="shared" si="1281"/>
        <v>RUN-ABRM_2023-04-18_RFR-214</v>
      </c>
      <c r="Y1177" s="317" t="str">
        <f t="shared" si="6"/>
        <v/>
      </c>
      <c r="Z1177" s="83" t="str">
        <f t="shared" si="7"/>
        <v/>
      </c>
      <c r="AA1177" s="83" t="str">
        <f t="shared" si="8"/>
        <v/>
      </c>
      <c r="AB1177" s="83" t="str">
        <f t="shared" si="9"/>
        <v/>
      </c>
      <c r="AC1177" s="18"/>
      <c r="AD1177" s="18"/>
      <c r="AE1177" s="43"/>
      <c r="AF1177" s="58" t="s">
        <v>178</v>
      </c>
      <c r="AG1177" s="55" t="str">
        <f t="shared" si="11"/>
        <v/>
      </c>
    </row>
    <row r="1178">
      <c r="A1178" s="7" t="str">
        <f>IFERROR(__xludf.DUMMYFUNCTION("""COMPUTED_VALUE"""),"AR943")</f>
        <v>AR943</v>
      </c>
      <c r="B1178" s="308">
        <f>IFERROR(__xludf.DUMMYFUNCTION("""COMPUTED_VALUE"""),45034.0)</f>
        <v>45034</v>
      </c>
      <c r="C1178" s="309">
        <f>IFERROR(__xludf.DUMMYFUNCTION("""COMPUTED_VALUE"""),0.33989583333333334)</f>
        <v>0.3398958333</v>
      </c>
      <c r="D1178" s="7" t="str">
        <f>IFERROR(__xludf.DUMMYFUNCTION("""COMPUTED_VALUE"""),"SpABRM841252")</f>
        <v>SpABRM841252</v>
      </c>
      <c r="E1178" s="310"/>
      <c r="F1178" s="310"/>
      <c r="G1178" s="310" t="str">
        <f>IFERROR(__xludf.DUMMYFUNCTION("""COMPUTED_VALUE"""),"Negative")</f>
        <v>Negative</v>
      </c>
      <c r="H1178" s="319" t="str">
        <f>IFERROR(__xludf.DUMMYFUNCTION("""COMPUTED_VALUE"""),"Negative")</f>
        <v>Negative</v>
      </c>
      <c r="I1178" s="308">
        <f>IFERROR(__xludf.DUMMYFUNCTION("""COMPUTED_VALUE"""),45034.0)</f>
        <v>45034</v>
      </c>
      <c r="J1178" s="311">
        <f>IFERROR(__xludf.DUMMYFUNCTION("""COMPUTED_VALUE"""),0.39284722222222224)</f>
        <v>0.3928472222</v>
      </c>
      <c r="K1178" s="54"/>
      <c r="L1178" s="7"/>
      <c r="M1178" s="312"/>
      <c r="N1178" s="172">
        <f>IFERROR(__xludf.DUMMYFUNCTION("""COMPUTED_VALUE"""),1.0)</f>
        <v>1</v>
      </c>
      <c r="O1178" s="172"/>
      <c r="P1178" s="313">
        <f>IFERROR(__xludf.DUMMYFUNCTION("""COMPUTED_VALUE"""),0.0)</f>
        <v>0</v>
      </c>
      <c r="Q1178" s="76" t="str">
        <f>VLOOKUP($B1178,'Run Reconcile'!B$2:O1399,14,FALSE)</f>
        <v/>
      </c>
      <c r="R1178" s="314" t="str">
        <f t="array" ref="R1178">IF($Q1178, INDEX('Run Reconcile'!A$2:A1399,MATCH(B1178,'Run Reconcile'!B$2:B1399,0),1),IFERROR(0/0,""))</f>
        <v/>
      </c>
      <c r="S1178" s="315" t="str">
        <f t="shared" ref="S1178:T1178" si="2184">IF(COUNTIF(W$2:W1399, $A1178) &gt; 0,TRUE,IFERROR(0/0,""))</f>
        <v/>
      </c>
      <c r="T1178" s="315" t="str">
        <f t="shared" si="2184"/>
        <v/>
      </c>
      <c r="U1178" s="114" t="str">
        <f t="array" ref="U1178">IF(ISBLANK($R1178), INDEX('Run Reconcile'!A$2:A1399, MATCH($B1178, 'Run Reconcile'!B$2:B1399, 0)+Z1178, 1), IFERROR(0/0,""))
</f>
        <v>RUN-ABRM_2023-04-18_RFR-214</v>
      </c>
      <c r="V1178" s="316" t="str">
        <f t="shared" si="1281"/>
        <v>RUN-ABRM_2023-04-18_RFR-214</v>
      </c>
      <c r="Y1178" s="317" t="str">
        <f t="shared" si="6"/>
        <v/>
      </c>
      <c r="Z1178" s="83" t="str">
        <f t="shared" si="7"/>
        <v/>
      </c>
      <c r="AA1178" s="83" t="str">
        <f t="shared" si="8"/>
        <v/>
      </c>
      <c r="AB1178" s="83" t="str">
        <f t="shared" si="9"/>
        <v/>
      </c>
      <c r="AC1178" s="18"/>
      <c r="AD1178" s="18"/>
      <c r="AE1178" s="43"/>
      <c r="AF1178" s="58" t="s">
        <v>178</v>
      </c>
      <c r="AG1178" s="55" t="str">
        <f t="shared" si="11"/>
        <v/>
      </c>
    </row>
    <row r="1179">
      <c r="A1179" s="331" t="str">
        <f>IFERROR(__xludf.DUMMYFUNCTION("""COMPUTED_VALUE"""),"AR253")</f>
        <v>AR253</v>
      </c>
      <c r="B1179" s="332">
        <f>IFERROR(__xludf.DUMMYFUNCTION("""COMPUTED_VALUE"""),45034.0)</f>
        <v>45034</v>
      </c>
      <c r="C1179" s="333">
        <f>IFERROR(__xludf.DUMMYFUNCTION("""COMPUTED_VALUE"""),0.39318287037037036)</f>
        <v>0.3931828704</v>
      </c>
      <c r="D1179" s="7" t="str">
        <f>IFERROR(__xludf.DUMMYFUNCTION("""COMPUTED_VALUE"""),"SpABRM841252")</f>
        <v>SpABRM841252</v>
      </c>
      <c r="E1179" s="310"/>
      <c r="F1179" s="310"/>
      <c r="G1179" s="310" t="str">
        <f>IFERROR(__xludf.DUMMYFUNCTION("""COMPUTED_VALUE"""),"Negative")</f>
        <v>Negative</v>
      </c>
      <c r="H1179" s="319" t="str">
        <f>IFERROR(__xludf.DUMMYFUNCTION("""COMPUTED_VALUE"""),"Negative")</f>
        <v>Negative</v>
      </c>
      <c r="I1179" s="308">
        <f>IFERROR(__xludf.DUMMYFUNCTION("""COMPUTED_VALUE"""),45034.0)</f>
        <v>45034</v>
      </c>
      <c r="J1179" s="311">
        <f>IFERROR(__xludf.DUMMYFUNCTION("""COMPUTED_VALUE"""),0.39444444444444443)</f>
        <v>0.3944444444</v>
      </c>
      <c r="K1179" s="54"/>
      <c r="L1179" s="7"/>
      <c r="M1179" s="312"/>
      <c r="N1179" s="172">
        <f>IFERROR(__xludf.DUMMYFUNCTION("""COMPUTED_VALUE"""),1.0)</f>
        <v>1</v>
      </c>
      <c r="O1179" s="172"/>
      <c r="P1179" s="313">
        <f>IFERROR(__xludf.DUMMYFUNCTION("""COMPUTED_VALUE"""),0.0)</f>
        <v>0</v>
      </c>
      <c r="Q1179" s="76" t="str">
        <f>VLOOKUP($B1179,'Run Reconcile'!B$2:O1399,14,FALSE)</f>
        <v/>
      </c>
      <c r="R1179" s="314" t="str">
        <f t="array" ref="R1179">IF($Q1179, INDEX('Run Reconcile'!A$2:A1399,MATCH(B1179,'Run Reconcile'!B$2:B1399,0),1),IFERROR(0/0,""))</f>
        <v/>
      </c>
      <c r="S1179" s="315" t="str">
        <f t="shared" ref="S1179:T1179" si="2185">IF(COUNTIF(W$2:W1399, $A1179) &gt; 0,TRUE,IFERROR(0/0,""))</f>
        <v/>
      </c>
      <c r="T1179" s="315" t="b">
        <f t="shared" si="2185"/>
        <v>1</v>
      </c>
      <c r="U1179" s="114" t="str">
        <f t="array" ref="U1179">IF(ISBLANK($R1179), INDEX('Run Reconcile'!A$2:A1399, MATCH($B1179, 'Run Reconcile'!B$2:B1399, 0)+Z1179, 1), IFERROR(0/0,""))
</f>
        <v>RUN-ABRM_2023-04-18_APS-009</v>
      </c>
      <c r="V1179" s="316" t="str">
        <f t="shared" si="1281"/>
        <v>RUN-ABRM_2023-04-18_APS-009</v>
      </c>
      <c r="X1179" s="7" t="s">
        <v>1379</v>
      </c>
      <c r="Y1179" s="317">
        <f t="shared" si="6"/>
        <v>1</v>
      </c>
      <c r="Z1179" s="83">
        <f t="shared" si="7"/>
        <v>1</v>
      </c>
      <c r="AA1179" s="83" t="str">
        <f t="shared" si="8"/>
        <v/>
      </c>
      <c r="AB1179" s="83">
        <f t="shared" si="9"/>
        <v>1</v>
      </c>
      <c r="AC1179" s="18"/>
      <c r="AD1179" s="18"/>
      <c r="AE1179" s="43"/>
      <c r="AF1179" s="58" t="s">
        <v>178</v>
      </c>
      <c r="AG1179" s="55" t="b">
        <f t="shared" si="11"/>
        <v>0</v>
      </c>
    </row>
    <row r="1180">
      <c r="A1180" s="331" t="str">
        <f>IFERROR(__xludf.DUMMYFUNCTION("""COMPUTED_VALUE"""),"AR625")</f>
        <v>AR625</v>
      </c>
      <c r="B1180" s="332">
        <f>IFERROR(__xludf.DUMMYFUNCTION("""COMPUTED_VALUE"""),45034.0)</f>
        <v>45034</v>
      </c>
      <c r="C1180" s="333">
        <f>IFERROR(__xludf.DUMMYFUNCTION("""COMPUTED_VALUE"""),0.39368055555555553)</f>
        <v>0.3936805556</v>
      </c>
      <c r="D1180" s="7" t="str">
        <f>IFERROR(__xludf.DUMMYFUNCTION("""COMPUTED_VALUE"""),"SpABRM841252")</f>
        <v>SpABRM841252</v>
      </c>
      <c r="E1180" s="310"/>
      <c r="F1180" s="310"/>
      <c r="G1180" s="310" t="str">
        <f>IFERROR(__xludf.DUMMYFUNCTION("""COMPUTED_VALUE"""),"Negative")</f>
        <v>Negative</v>
      </c>
      <c r="H1180" s="319" t="str">
        <f>IFERROR(__xludf.DUMMYFUNCTION("""COMPUTED_VALUE"""),"Negative")</f>
        <v>Negative</v>
      </c>
      <c r="I1180" s="308">
        <f>IFERROR(__xludf.DUMMYFUNCTION("""COMPUTED_VALUE"""),45034.0)</f>
        <v>45034</v>
      </c>
      <c r="J1180" s="311">
        <f>IFERROR(__xludf.DUMMYFUNCTION("""COMPUTED_VALUE"""),0.39444444444444443)</f>
        <v>0.3944444444</v>
      </c>
      <c r="K1180" s="54"/>
      <c r="L1180" s="7"/>
      <c r="M1180" s="312"/>
      <c r="N1180" s="172">
        <f>IFERROR(__xludf.DUMMYFUNCTION("""COMPUTED_VALUE"""),1.0)</f>
        <v>1</v>
      </c>
      <c r="O1180" s="172"/>
      <c r="P1180" s="313">
        <f>IFERROR(__xludf.DUMMYFUNCTION("""COMPUTED_VALUE"""),0.0)</f>
        <v>0</v>
      </c>
      <c r="Q1180" s="76" t="str">
        <f>VLOOKUP($B1180,'Run Reconcile'!B$2:O1399,14,FALSE)</f>
        <v/>
      </c>
      <c r="R1180" s="314" t="str">
        <f t="array" ref="R1180">IF($Q1180, INDEX('Run Reconcile'!A$2:A1399,MATCH(B1180,'Run Reconcile'!B$2:B1399,0),1),IFERROR(0/0,""))</f>
        <v/>
      </c>
      <c r="S1180" s="315" t="str">
        <f t="shared" ref="S1180:T1180" si="2186">IF(COUNTIF(W$2:W1399, $A1180) &gt; 0,TRUE,IFERROR(0/0,""))</f>
        <v/>
      </c>
      <c r="T1180" s="315" t="b">
        <f t="shared" si="2186"/>
        <v>1</v>
      </c>
      <c r="U1180" s="114" t="str">
        <f t="array" ref="U1180">IF(ISBLANK($R1180), INDEX('Run Reconcile'!A$2:A1399, MATCH($B1180, 'Run Reconcile'!B$2:B1399, 0)+Z1180, 1), IFERROR(0/0,""))
</f>
        <v>RUN-ABRM_2023-04-18_APS-009</v>
      </c>
      <c r="V1180" s="316" t="str">
        <f t="shared" si="1281"/>
        <v>RUN-ABRM_2023-04-18_APS-009</v>
      </c>
      <c r="X1180" s="7" t="s">
        <v>1380</v>
      </c>
      <c r="Y1180" s="317">
        <f t="shared" si="6"/>
        <v>1</v>
      </c>
      <c r="Z1180" s="83">
        <f t="shared" si="7"/>
        <v>1</v>
      </c>
      <c r="AA1180" s="83" t="str">
        <f t="shared" si="8"/>
        <v/>
      </c>
      <c r="AB1180" s="83">
        <f t="shared" si="9"/>
        <v>1</v>
      </c>
      <c r="AC1180" s="18"/>
      <c r="AD1180" s="18"/>
      <c r="AE1180" s="43"/>
      <c r="AF1180" s="58" t="s">
        <v>178</v>
      </c>
      <c r="AG1180" s="55" t="b">
        <f t="shared" si="11"/>
        <v>0</v>
      </c>
    </row>
    <row r="1181">
      <c r="A1181" s="331" t="str">
        <f>IFERROR(__xludf.DUMMYFUNCTION("""COMPUTED_VALUE"""),"AR1790")</f>
        <v>AR1790</v>
      </c>
      <c r="B1181" s="332">
        <f>IFERROR(__xludf.DUMMYFUNCTION("""COMPUTED_VALUE"""),45034.0)</f>
        <v>45034</v>
      </c>
      <c r="C1181" s="333">
        <f>IFERROR(__xludf.DUMMYFUNCTION("""COMPUTED_VALUE"""),0.39380787037037035)</f>
        <v>0.3938078704</v>
      </c>
      <c r="D1181" s="7" t="str">
        <f>IFERROR(__xludf.DUMMYFUNCTION("""COMPUTED_VALUE"""),"SpABRM841252")</f>
        <v>SpABRM841252</v>
      </c>
      <c r="E1181" s="310"/>
      <c r="F1181" s="310"/>
      <c r="G1181" s="310" t="str">
        <f>IFERROR(__xludf.DUMMYFUNCTION("""COMPUTED_VALUE"""),"Negative")</f>
        <v>Negative</v>
      </c>
      <c r="H1181" s="319" t="str">
        <f>IFERROR(__xludf.DUMMYFUNCTION("""COMPUTED_VALUE"""),"Negative")</f>
        <v>Negative</v>
      </c>
      <c r="I1181" s="308">
        <f>IFERROR(__xludf.DUMMYFUNCTION("""COMPUTED_VALUE"""),45034.0)</f>
        <v>45034</v>
      </c>
      <c r="J1181" s="311">
        <f>IFERROR(__xludf.DUMMYFUNCTION("""COMPUTED_VALUE"""),0.3944328703703704)</f>
        <v>0.3944328704</v>
      </c>
      <c r="K1181" s="54"/>
      <c r="L1181" s="7"/>
      <c r="M1181" s="312"/>
      <c r="N1181" s="172">
        <f>IFERROR(__xludf.DUMMYFUNCTION("""COMPUTED_VALUE"""),1.0)</f>
        <v>1</v>
      </c>
      <c r="O1181" s="172"/>
      <c r="P1181" s="313">
        <f>IFERROR(__xludf.DUMMYFUNCTION("""COMPUTED_VALUE"""),0.0)</f>
        <v>0</v>
      </c>
      <c r="Q1181" s="76" t="str">
        <f>VLOOKUP($B1181,'Run Reconcile'!B$2:O1399,14,FALSE)</f>
        <v/>
      </c>
      <c r="R1181" s="314" t="str">
        <f t="array" ref="R1181">IF($Q1181, INDEX('Run Reconcile'!A$2:A1399,MATCH(B1181,'Run Reconcile'!B$2:B1399,0),1),IFERROR(0/0,""))</f>
        <v/>
      </c>
      <c r="S1181" s="315" t="str">
        <f t="shared" ref="S1181:T1181" si="2187">IF(COUNTIF(W$2:W1399, $A1181) &gt; 0,TRUE,IFERROR(0/0,""))</f>
        <v/>
      </c>
      <c r="T1181" s="315" t="b">
        <f t="shared" si="2187"/>
        <v>1</v>
      </c>
      <c r="U1181" s="114" t="str">
        <f t="array" ref="U1181">IF(ISBLANK($R1181), INDEX('Run Reconcile'!A$2:A1399, MATCH($B1181, 'Run Reconcile'!B$2:B1399, 0)+Z1181, 1), IFERROR(0/0,""))
</f>
        <v>RUN-ABRM_2023-04-18_APS-009</v>
      </c>
      <c r="V1181" s="316" t="str">
        <f t="shared" si="1281"/>
        <v>RUN-ABRM_2023-04-18_APS-009</v>
      </c>
      <c r="X1181" s="7" t="s">
        <v>1381</v>
      </c>
      <c r="Y1181" s="317">
        <f t="shared" si="6"/>
        <v>1</v>
      </c>
      <c r="Z1181" s="83">
        <f t="shared" si="7"/>
        <v>1</v>
      </c>
      <c r="AA1181" s="83" t="str">
        <f t="shared" si="8"/>
        <v/>
      </c>
      <c r="AB1181" s="83">
        <f t="shared" si="9"/>
        <v>1</v>
      </c>
      <c r="AC1181" s="18"/>
      <c r="AD1181" s="18"/>
      <c r="AE1181" s="43"/>
      <c r="AF1181" s="58" t="s">
        <v>178</v>
      </c>
      <c r="AG1181" s="55" t="b">
        <f t="shared" si="11"/>
        <v>0</v>
      </c>
    </row>
    <row r="1182">
      <c r="A1182" s="120" t="str">
        <f>IFERROR(__xludf.DUMMYFUNCTION("""COMPUTED_VALUE"""),"AE9987")</f>
        <v>AE9987</v>
      </c>
      <c r="B1182" s="320">
        <f>IFERROR(__xludf.DUMMYFUNCTION("""COMPUTED_VALUE"""),45035.0)</f>
        <v>45035</v>
      </c>
      <c r="C1182" s="321">
        <f>IFERROR(__xludf.DUMMYFUNCTION("""COMPUTED_VALUE"""),0.21704861111111112)</f>
        <v>0.2170486111</v>
      </c>
      <c r="D1182" s="120" t="str">
        <f>IFERROR(__xludf.DUMMYFUNCTION("""COMPUTED_VALUE"""),"SpABRM454310")</f>
        <v>SpABRM454310</v>
      </c>
      <c r="E1182" s="322"/>
      <c r="F1182" s="322"/>
      <c r="G1182" s="322" t="str">
        <f>IFERROR(__xludf.DUMMYFUNCTION("""COMPUTED_VALUE"""),"Negative")</f>
        <v>Negative</v>
      </c>
      <c r="H1182" s="323" t="str">
        <f>IFERROR(__xludf.DUMMYFUNCTION("""COMPUTED_VALUE"""),"Negative")</f>
        <v>Negative</v>
      </c>
      <c r="I1182" s="320">
        <f>IFERROR(__xludf.DUMMYFUNCTION("""COMPUTED_VALUE"""),45037.0)</f>
        <v>45037</v>
      </c>
      <c r="J1182" s="324">
        <f>IFERROR(__xludf.DUMMYFUNCTION("""COMPUTED_VALUE"""),0.415474537037037)</f>
        <v>0.415474537</v>
      </c>
      <c r="K1182" s="123"/>
      <c r="L1182" s="120"/>
      <c r="M1182" s="325"/>
      <c r="N1182" s="283">
        <f>IFERROR(__xludf.DUMMYFUNCTION("""COMPUTED_VALUE"""),3.0)</f>
        <v>3</v>
      </c>
      <c r="O1182" s="283"/>
      <c r="P1182" s="326">
        <f>IFERROR(__xludf.DUMMYFUNCTION("""COMPUTED_VALUE"""),2.0)</f>
        <v>2</v>
      </c>
      <c r="Q1182" s="293" t="b">
        <f>VLOOKUP($B1182,'Run Reconcile'!B$2:O1399,14,FALSE)</f>
        <v>1</v>
      </c>
      <c r="R1182" s="327" t="str">
        <f t="array" ref="R1182">IF($Q1182, INDEX('Run Reconcile'!A$2:A1399,MATCH(B1182,'Run Reconcile'!B$2:B1399,0),1),IFERROR(0/0,""))</f>
        <v>RUN-ABRM_2023-04-19_RFR-215</v>
      </c>
      <c r="S1182" s="328" t="str">
        <f t="shared" ref="S1182:T1182" si="2188">IF(COUNTIF(W$2:W1399, $A1182) &gt; 0,TRUE,IFERROR(0/0,""))</f>
        <v/>
      </c>
      <c r="T1182" s="328" t="str">
        <f t="shared" si="2188"/>
        <v/>
      </c>
      <c r="U1182" s="294" t="str">
        <f t="array" ref="U1182">IF(ISBLANK($R1182), INDEX('Run Reconcile'!A$2:A1399, MATCH($B1182, 'Run Reconcile'!B$2:B1399, 0)+Z1182, 1), IFERROR(0/0,""))
</f>
        <v/>
      </c>
      <c r="V1182" s="329" t="str">
        <f t="shared" si="1281"/>
        <v>RUN-ABRM_2023-04-19_RFR-215</v>
      </c>
      <c r="W1182" s="120"/>
      <c r="X1182" s="120"/>
      <c r="Y1182" s="334" t="str">
        <f t="shared" si="6"/>
        <v/>
      </c>
      <c r="Z1182" s="295" t="str">
        <f t="shared" si="7"/>
        <v/>
      </c>
      <c r="AA1182" s="295" t="str">
        <f t="shared" si="8"/>
        <v/>
      </c>
      <c r="AB1182" s="295" t="str">
        <f t="shared" si="9"/>
        <v/>
      </c>
      <c r="AC1182" s="263"/>
      <c r="AD1182" s="263"/>
      <c r="AE1182" s="125"/>
      <c r="AF1182" s="330" t="s">
        <v>179</v>
      </c>
      <c r="AG1182" s="268" t="str">
        <f t="shared" si="11"/>
        <v/>
      </c>
      <c r="AH1182" s="120"/>
      <c r="AI1182" s="120"/>
      <c r="AJ1182" s="120"/>
      <c r="AK1182" s="120"/>
    </row>
    <row r="1183">
      <c r="A1183" s="7" t="str">
        <f>IFERROR(__xludf.DUMMYFUNCTION("""COMPUTED_VALUE"""),"AE9966")</f>
        <v>AE9966</v>
      </c>
      <c r="B1183" s="308">
        <f>IFERROR(__xludf.DUMMYFUNCTION("""COMPUTED_VALUE"""),45035.0)</f>
        <v>45035</v>
      </c>
      <c r="C1183" s="309">
        <f>IFERROR(__xludf.DUMMYFUNCTION("""COMPUTED_VALUE"""),0.2619097222222222)</f>
        <v>0.2619097222</v>
      </c>
      <c r="D1183" s="7" t="str">
        <f>IFERROR(__xludf.DUMMYFUNCTION("""COMPUTED_VALUE"""),"SpABRM581899")</f>
        <v>SpABRM581899</v>
      </c>
      <c r="E1183" s="310"/>
      <c r="F1183" s="310"/>
      <c r="G1183" s="310" t="str">
        <f>IFERROR(__xludf.DUMMYFUNCTION("""COMPUTED_VALUE"""),"Negative")</f>
        <v>Negative</v>
      </c>
      <c r="H1183" s="319" t="str">
        <f>IFERROR(__xludf.DUMMYFUNCTION("""COMPUTED_VALUE"""),"Negative")</f>
        <v>Negative</v>
      </c>
      <c r="I1183" s="308">
        <f>IFERROR(__xludf.DUMMYFUNCTION("""COMPUTED_VALUE"""),45037.0)</f>
        <v>45037</v>
      </c>
      <c r="J1183" s="311">
        <f>IFERROR(__xludf.DUMMYFUNCTION("""COMPUTED_VALUE"""),0.4154861111111111)</f>
        <v>0.4154861111</v>
      </c>
      <c r="K1183" s="54"/>
      <c r="L1183" s="7"/>
      <c r="M1183" s="312"/>
      <c r="N1183" s="172">
        <f>IFERROR(__xludf.DUMMYFUNCTION("""COMPUTED_VALUE"""),3.0)</f>
        <v>3</v>
      </c>
      <c r="O1183" s="172"/>
      <c r="P1183" s="313">
        <f>IFERROR(__xludf.DUMMYFUNCTION("""COMPUTED_VALUE"""),2.0)</f>
        <v>2</v>
      </c>
      <c r="Q1183" s="76" t="b">
        <f>VLOOKUP($B1183,'Run Reconcile'!B$2:O1399,14,FALSE)</f>
        <v>1</v>
      </c>
      <c r="R1183" s="314" t="str">
        <f t="array" ref="R1183">IF($Q1183, INDEX('Run Reconcile'!A$2:A1399,MATCH(B1183,'Run Reconcile'!B$2:B1399,0),1),IFERROR(0/0,""))</f>
        <v>RUN-ABRM_2023-04-19_RFR-215</v>
      </c>
      <c r="S1183" s="315" t="str">
        <f t="shared" ref="S1183:T1183" si="2189">IF(COUNTIF(W$2:W1399, $A1183) &gt; 0,TRUE,IFERROR(0/0,""))</f>
        <v/>
      </c>
      <c r="T1183" s="315" t="str">
        <f t="shared" si="2189"/>
        <v/>
      </c>
      <c r="U1183" s="114" t="str">
        <f t="array" ref="U1183">IF(ISBLANK($R1183), INDEX('Run Reconcile'!A$2:A1399, MATCH($B1183, 'Run Reconcile'!B$2:B1399, 0)+Z1183, 1), IFERROR(0/0,""))
</f>
        <v/>
      </c>
      <c r="V1183" s="316" t="str">
        <f t="shared" si="1281"/>
        <v>RUN-ABRM_2023-04-19_RFR-215</v>
      </c>
      <c r="Y1183" s="317" t="str">
        <f t="shared" si="6"/>
        <v/>
      </c>
      <c r="Z1183" s="83" t="str">
        <f t="shared" si="7"/>
        <v/>
      </c>
      <c r="AA1183" s="83" t="str">
        <f t="shared" si="8"/>
        <v/>
      </c>
      <c r="AB1183" s="83" t="str">
        <f t="shared" si="9"/>
        <v/>
      </c>
      <c r="AC1183" s="18"/>
      <c r="AD1183" s="18"/>
      <c r="AE1183" s="43"/>
      <c r="AF1183" s="58" t="s">
        <v>179</v>
      </c>
      <c r="AG1183" s="55" t="str">
        <f t="shared" si="11"/>
        <v/>
      </c>
    </row>
    <row r="1184">
      <c r="A1184" s="7" t="str">
        <f>IFERROR(__xludf.DUMMYFUNCTION("""COMPUTED_VALUE"""),"AR659")</f>
        <v>AR659</v>
      </c>
      <c r="B1184" s="308">
        <f>IFERROR(__xludf.DUMMYFUNCTION("""COMPUTED_VALUE"""),45035.0)</f>
        <v>45035</v>
      </c>
      <c r="C1184" s="309">
        <f>IFERROR(__xludf.DUMMYFUNCTION("""COMPUTED_VALUE"""),0.2868287037037037)</f>
        <v>0.2868287037</v>
      </c>
      <c r="D1184" s="7" t="str">
        <f>IFERROR(__xludf.DUMMYFUNCTION("""COMPUTED_VALUE"""),"SpABRM128250")</f>
        <v>SpABRM128250</v>
      </c>
      <c r="E1184" s="310"/>
      <c r="F1184" s="310"/>
      <c r="G1184" s="310" t="str">
        <f>IFERROR(__xludf.DUMMYFUNCTION("""COMPUTED_VALUE"""),"Negative")</f>
        <v>Negative</v>
      </c>
      <c r="H1184" s="319" t="str">
        <f>IFERROR(__xludf.DUMMYFUNCTION("""COMPUTED_VALUE"""),"Negative")</f>
        <v>Negative</v>
      </c>
      <c r="I1184" s="308">
        <f>IFERROR(__xludf.DUMMYFUNCTION("""COMPUTED_VALUE"""),45037.0)</f>
        <v>45037</v>
      </c>
      <c r="J1184" s="311">
        <f>IFERROR(__xludf.DUMMYFUNCTION("""COMPUTED_VALUE"""),0.4154861111111111)</f>
        <v>0.4154861111</v>
      </c>
      <c r="K1184" s="54"/>
      <c r="L1184" s="7"/>
      <c r="M1184" s="312"/>
      <c r="N1184" s="172">
        <f>IFERROR(__xludf.DUMMYFUNCTION("""COMPUTED_VALUE"""),3.0)</f>
        <v>3</v>
      </c>
      <c r="O1184" s="172"/>
      <c r="P1184" s="313">
        <f>IFERROR(__xludf.DUMMYFUNCTION("""COMPUTED_VALUE"""),2.0)</f>
        <v>2</v>
      </c>
      <c r="Q1184" s="76" t="b">
        <f>VLOOKUP($B1184,'Run Reconcile'!B$2:O1399,14,FALSE)</f>
        <v>1</v>
      </c>
      <c r="R1184" s="314" t="str">
        <f t="array" ref="R1184">IF($Q1184, INDEX('Run Reconcile'!A$2:A1399,MATCH(B1184,'Run Reconcile'!B$2:B1399,0),1),IFERROR(0/0,""))</f>
        <v>RUN-ABRM_2023-04-19_RFR-215</v>
      </c>
      <c r="S1184" s="315" t="str">
        <f t="shared" ref="S1184:T1184" si="2190">IF(COUNTIF(W$2:W1399, $A1184) &gt; 0,TRUE,IFERROR(0/0,""))</f>
        <v/>
      </c>
      <c r="T1184" s="315" t="str">
        <f t="shared" si="2190"/>
        <v/>
      </c>
      <c r="U1184" s="114" t="str">
        <f t="array" ref="U1184">IF(ISBLANK($R1184), INDEX('Run Reconcile'!A$2:A1399, MATCH($B1184, 'Run Reconcile'!B$2:B1399, 0)+Z1184, 1), IFERROR(0/0,""))
</f>
        <v/>
      </c>
      <c r="V1184" s="316" t="str">
        <f t="shared" si="1281"/>
        <v>RUN-ABRM_2023-04-19_RFR-215</v>
      </c>
      <c r="Y1184" s="317" t="str">
        <f t="shared" si="6"/>
        <v/>
      </c>
      <c r="Z1184" s="83" t="str">
        <f t="shared" si="7"/>
        <v/>
      </c>
      <c r="AA1184" s="83" t="str">
        <f t="shared" si="8"/>
        <v/>
      </c>
      <c r="AB1184" s="83" t="str">
        <f t="shared" si="9"/>
        <v/>
      </c>
      <c r="AC1184" s="18"/>
      <c r="AD1184" s="18"/>
      <c r="AE1184" s="43"/>
      <c r="AF1184" s="58" t="s">
        <v>179</v>
      </c>
      <c r="AG1184" s="55" t="str">
        <f t="shared" si="11"/>
        <v/>
      </c>
    </row>
    <row r="1185">
      <c r="A1185" s="7" t="str">
        <f>IFERROR(__xludf.DUMMYFUNCTION("""COMPUTED_VALUE"""),"AR1661")</f>
        <v>AR1661</v>
      </c>
      <c r="B1185" s="308">
        <f>IFERROR(__xludf.DUMMYFUNCTION("""COMPUTED_VALUE"""),45035.0)</f>
        <v>45035</v>
      </c>
      <c r="C1185" s="309">
        <f>IFERROR(__xludf.DUMMYFUNCTION("""COMPUTED_VALUE"""),0.3299652777777778)</f>
        <v>0.3299652778</v>
      </c>
      <c r="D1185" s="7" t="str">
        <f>IFERROR(__xludf.DUMMYFUNCTION("""COMPUTED_VALUE"""),"SpABRM519188")</f>
        <v>SpABRM519188</v>
      </c>
      <c r="E1185" s="310"/>
      <c r="F1185" s="310"/>
      <c r="G1185" s="310" t="str">
        <f>IFERROR(__xludf.DUMMYFUNCTION("""COMPUTED_VALUE"""),"Negative")</f>
        <v>Negative</v>
      </c>
      <c r="H1185" s="319" t="str">
        <f>IFERROR(__xludf.DUMMYFUNCTION("""COMPUTED_VALUE"""),"Negative")</f>
        <v>Negative</v>
      </c>
      <c r="I1185" s="308">
        <f>IFERROR(__xludf.DUMMYFUNCTION("""COMPUTED_VALUE"""),45037.0)</f>
        <v>45037</v>
      </c>
      <c r="J1185" s="311">
        <f>IFERROR(__xludf.DUMMYFUNCTION("""COMPUTED_VALUE"""),0.4154861111111111)</f>
        <v>0.4154861111</v>
      </c>
      <c r="K1185" s="54"/>
      <c r="L1185" s="7"/>
      <c r="M1185" s="312"/>
      <c r="N1185" s="172">
        <f>IFERROR(__xludf.DUMMYFUNCTION("""COMPUTED_VALUE"""),1.0)</f>
        <v>1</v>
      </c>
      <c r="O1185" s="172"/>
      <c r="P1185" s="313">
        <f>IFERROR(__xludf.DUMMYFUNCTION("""COMPUTED_VALUE"""),2.0)</f>
        <v>2</v>
      </c>
      <c r="Q1185" s="76" t="b">
        <f>VLOOKUP($B1185,'Run Reconcile'!B$2:O1399,14,FALSE)</f>
        <v>1</v>
      </c>
      <c r="R1185" s="314" t="str">
        <f t="array" ref="R1185">IF($Q1185, INDEX('Run Reconcile'!A$2:A1399,MATCH(B1185,'Run Reconcile'!B$2:B1399,0),1),IFERROR(0/0,""))</f>
        <v>RUN-ABRM_2023-04-19_RFR-215</v>
      </c>
      <c r="S1185" s="315" t="str">
        <f t="shared" ref="S1185:T1185" si="2191">IF(COUNTIF(W$2:W1399, $A1185) &gt; 0,TRUE,IFERROR(0/0,""))</f>
        <v/>
      </c>
      <c r="T1185" s="315" t="str">
        <f t="shared" si="2191"/>
        <v/>
      </c>
      <c r="U1185" s="114" t="str">
        <f t="array" ref="U1185">IF(ISBLANK($R1185), INDEX('Run Reconcile'!A$2:A1399, MATCH($B1185, 'Run Reconcile'!B$2:B1399, 0)+Z1185, 1), IFERROR(0/0,""))
</f>
        <v/>
      </c>
      <c r="V1185" s="316" t="str">
        <f t="shared" si="1281"/>
        <v>RUN-ABRM_2023-04-19_RFR-215</v>
      </c>
      <c r="Y1185" s="317" t="str">
        <f t="shared" si="6"/>
        <v/>
      </c>
      <c r="Z1185" s="83" t="str">
        <f t="shared" si="7"/>
        <v/>
      </c>
      <c r="AA1185" s="83" t="str">
        <f t="shared" si="8"/>
        <v/>
      </c>
      <c r="AB1185" s="83" t="str">
        <f t="shared" si="9"/>
        <v/>
      </c>
      <c r="AC1185" s="18"/>
      <c r="AD1185" s="18"/>
      <c r="AE1185" s="43"/>
      <c r="AF1185" s="58" t="s">
        <v>179</v>
      </c>
      <c r="AG1185" s="55" t="str">
        <f t="shared" si="11"/>
        <v/>
      </c>
    </row>
    <row r="1186">
      <c r="A1186" s="7" t="str">
        <f>IFERROR(__xludf.DUMMYFUNCTION("""COMPUTED_VALUE"""),"AR1570")</f>
        <v>AR1570</v>
      </c>
      <c r="B1186" s="308">
        <f>IFERROR(__xludf.DUMMYFUNCTION("""COMPUTED_VALUE"""),45035.0)</f>
        <v>45035</v>
      </c>
      <c r="C1186" s="309">
        <f>IFERROR(__xludf.DUMMYFUNCTION("""COMPUTED_VALUE"""),0.3383912037037037)</f>
        <v>0.3383912037</v>
      </c>
      <c r="D1186" s="7" t="str">
        <f>IFERROR(__xludf.DUMMYFUNCTION("""COMPUTED_VALUE"""),"SpABRM841252")</f>
        <v>SpABRM841252</v>
      </c>
      <c r="E1186" s="310"/>
      <c r="F1186" s="310"/>
      <c r="G1186" s="310" t="str">
        <f>IFERROR(__xludf.DUMMYFUNCTION("""COMPUTED_VALUE"""),"Negative")</f>
        <v>Negative</v>
      </c>
      <c r="H1186" s="319" t="str">
        <f>IFERROR(__xludf.DUMMYFUNCTION("""COMPUTED_VALUE"""),"Negative")</f>
        <v>Negative</v>
      </c>
      <c r="I1186" s="308">
        <f>IFERROR(__xludf.DUMMYFUNCTION("""COMPUTED_VALUE"""),45037.0)</f>
        <v>45037</v>
      </c>
      <c r="J1186" s="311">
        <f>IFERROR(__xludf.DUMMYFUNCTION("""COMPUTED_VALUE"""),0.4154861111111111)</f>
        <v>0.4154861111</v>
      </c>
      <c r="K1186" s="54"/>
      <c r="L1186" s="7"/>
      <c r="M1186" s="312"/>
      <c r="N1186" s="172">
        <f>IFERROR(__xludf.DUMMYFUNCTION("""COMPUTED_VALUE"""),1.0)</f>
        <v>1</v>
      </c>
      <c r="O1186" s="172"/>
      <c r="P1186" s="313">
        <f>IFERROR(__xludf.DUMMYFUNCTION("""COMPUTED_VALUE"""),2.0)</f>
        <v>2</v>
      </c>
      <c r="Q1186" s="76" t="b">
        <f>VLOOKUP($B1186,'Run Reconcile'!B$2:O1399,14,FALSE)</f>
        <v>1</v>
      </c>
      <c r="R1186" s="314" t="str">
        <f t="array" ref="R1186">IF($Q1186, INDEX('Run Reconcile'!A$2:A1399,MATCH(B1186,'Run Reconcile'!B$2:B1399,0),1),IFERROR(0/0,""))</f>
        <v>RUN-ABRM_2023-04-19_RFR-215</v>
      </c>
      <c r="S1186" s="315" t="str">
        <f t="shared" ref="S1186:T1186" si="2192">IF(COUNTIF(W$2:W1399, $A1186) &gt; 0,TRUE,IFERROR(0/0,""))</f>
        <v/>
      </c>
      <c r="T1186" s="315" t="str">
        <f t="shared" si="2192"/>
        <v/>
      </c>
      <c r="U1186" s="114" t="str">
        <f t="array" ref="U1186">IF(ISBLANK($R1186), INDEX('Run Reconcile'!A$2:A1399, MATCH($B1186, 'Run Reconcile'!B$2:B1399, 0)+Z1186, 1), IFERROR(0/0,""))
</f>
        <v/>
      </c>
      <c r="V1186" s="316" t="str">
        <f t="shared" si="1281"/>
        <v>RUN-ABRM_2023-04-19_RFR-215</v>
      </c>
      <c r="Y1186" s="317" t="str">
        <f t="shared" si="6"/>
        <v/>
      </c>
      <c r="Z1186" s="83" t="str">
        <f t="shared" si="7"/>
        <v/>
      </c>
      <c r="AA1186" s="83" t="str">
        <f t="shared" si="8"/>
        <v/>
      </c>
      <c r="AB1186" s="83" t="str">
        <f t="shared" si="9"/>
        <v/>
      </c>
      <c r="AC1186" s="18"/>
      <c r="AD1186" s="18"/>
      <c r="AE1186" s="43"/>
      <c r="AF1186" s="58" t="s">
        <v>179</v>
      </c>
      <c r="AG1186" s="55" t="str">
        <f t="shared" si="11"/>
        <v/>
      </c>
    </row>
    <row r="1187">
      <c r="A1187" s="7" t="str">
        <f>IFERROR(__xludf.DUMMYFUNCTION("""COMPUTED_VALUE"""),"AR346")</f>
        <v>AR346</v>
      </c>
      <c r="B1187" s="308">
        <f>IFERROR(__xludf.DUMMYFUNCTION("""COMPUTED_VALUE"""),45036.0)</f>
        <v>45036</v>
      </c>
      <c r="C1187" s="309">
        <f>IFERROR(__xludf.DUMMYFUNCTION("""COMPUTED_VALUE"""),0.21788194444444445)</f>
        <v>0.2178819444</v>
      </c>
      <c r="D1187" s="7" t="str">
        <f>IFERROR(__xludf.DUMMYFUNCTION("""COMPUTED_VALUE"""),"SpABRM454310")</f>
        <v>SpABRM454310</v>
      </c>
      <c r="E1187" s="310"/>
      <c r="F1187" s="310"/>
      <c r="G1187" s="310" t="str">
        <f>IFERROR(__xludf.DUMMYFUNCTION("""COMPUTED_VALUE"""),"Negative")</f>
        <v>Negative</v>
      </c>
      <c r="H1187" s="319" t="str">
        <f>IFERROR(__xludf.DUMMYFUNCTION("""COMPUTED_VALUE"""),"Negative")</f>
        <v>Negative</v>
      </c>
      <c r="I1187" s="308">
        <f>IFERROR(__xludf.DUMMYFUNCTION("""COMPUTED_VALUE"""),45037.0)</f>
        <v>45037</v>
      </c>
      <c r="J1187" s="311">
        <f>IFERROR(__xludf.DUMMYFUNCTION("""COMPUTED_VALUE"""),0.4154861111111111)</f>
        <v>0.4154861111</v>
      </c>
      <c r="K1187" s="54"/>
      <c r="L1187" s="7"/>
      <c r="M1187" s="312"/>
      <c r="N1187" s="172">
        <f>IFERROR(__xludf.DUMMYFUNCTION("""COMPUTED_VALUE"""),3.0)</f>
        <v>3</v>
      </c>
      <c r="O1187" s="172"/>
      <c r="P1187" s="313">
        <f>IFERROR(__xludf.DUMMYFUNCTION("""COMPUTED_VALUE"""),1.0)</f>
        <v>1</v>
      </c>
      <c r="Q1187" s="76" t="b">
        <f>VLOOKUP($B1187,'Run Reconcile'!B$2:O1399,14,FALSE)</f>
        <v>1</v>
      </c>
      <c r="R1187" s="314" t="str">
        <f t="array" ref="R1187">IF($Q1187, INDEX('Run Reconcile'!A$2:A1399,MATCH(B1187,'Run Reconcile'!B$2:B1399,0),1),IFERROR(0/0,""))</f>
        <v>RUN-ABRM_2023-04-20_RFR-216</v>
      </c>
      <c r="S1187" s="315" t="str">
        <f t="shared" ref="S1187:T1187" si="2193">IF(COUNTIF(W$2:W1399, $A1187) &gt; 0,TRUE,IFERROR(0/0,""))</f>
        <v/>
      </c>
      <c r="T1187" s="315" t="str">
        <f t="shared" si="2193"/>
        <v/>
      </c>
      <c r="U1187" s="114" t="str">
        <f t="array" ref="U1187">IF(ISBLANK($R1187), INDEX('Run Reconcile'!A$2:A1399, MATCH($B1187, 'Run Reconcile'!B$2:B1399, 0)+Z1187, 1), IFERROR(0/0,""))
</f>
        <v/>
      </c>
      <c r="V1187" s="316" t="str">
        <f t="shared" si="1281"/>
        <v>RUN-ABRM_2023-04-20_RFR-216</v>
      </c>
      <c r="Y1187" s="317" t="str">
        <f t="shared" si="6"/>
        <v/>
      </c>
      <c r="Z1187" s="83" t="str">
        <f t="shared" si="7"/>
        <v/>
      </c>
      <c r="AA1187" s="83" t="str">
        <f t="shared" si="8"/>
        <v/>
      </c>
      <c r="AB1187" s="83" t="str">
        <f t="shared" si="9"/>
        <v/>
      </c>
      <c r="AC1187" s="18"/>
      <c r="AD1187" s="18"/>
      <c r="AE1187" s="43"/>
      <c r="AF1187" s="58" t="s">
        <v>180</v>
      </c>
      <c r="AG1187" s="55" t="str">
        <f t="shared" si="11"/>
        <v/>
      </c>
    </row>
    <row r="1188">
      <c r="A1188" s="7" t="str">
        <f>IFERROR(__xludf.DUMMYFUNCTION("""COMPUTED_VALUE"""),"AK9745")</f>
        <v>AK9745</v>
      </c>
      <c r="B1188" s="308">
        <f>IFERROR(__xludf.DUMMYFUNCTION("""COMPUTED_VALUE"""),45036.0)</f>
        <v>45036</v>
      </c>
      <c r="C1188" s="309">
        <f>IFERROR(__xludf.DUMMYFUNCTION("""COMPUTED_VALUE"""),0.2835300925925926)</f>
        <v>0.2835300926</v>
      </c>
      <c r="D1188" s="7" t="str">
        <f>IFERROR(__xludf.DUMMYFUNCTION("""COMPUTED_VALUE"""),"SpABRM128250")</f>
        <v>SpABRM128250</v>
      </c>
      <c r="E1188" s="310"/>
      <c r="F1188" s="310"/>
      <c r="G1188" s="310" t="str">
        <f>IFERROR(__xludf.DUMMYFUNCTION("""COMPUTED_VALUE"""),"Negative")</f>
        <v>Negative</v>
      </c>
      <c r="H1188" s="319" t="str">
        <f>IFERROR(__xludf.DUMMYFUNCTION("""COMPUTED_VALUE"""),"Negative")</f>
        <v>Negative</v>
      </c>
      <c r="I1188" s="308">
        <f>IFERROR(__xludf.DUMMYFUNCTION("""COMPUTED_VALUE"""),45037.0)</f>
        <v>45037</v>
      </c>
      <c r="J1188" s="311">
        <f>IFERROR(__xludf.DUMMYFUNCTION("""COMPUTED_VALUE"""),0.4154976851851852)</f>
        <v>0.4154976852</v>
      </c>
      <c r="K1188" s="54"/>
      <c r="L1188" s="7"/>
      <c r="M1188" s="312"/>
      <c r="N1188" s="172">
        <f>IFERROR(__xludf.DUMMYFUNCTION("""COMPUTED_VALUE"""),3.0)</f>
        <v>3</v>
      </c>
      <c r="O1188" s="172"/>
      <c r="P1188" s="313">
        <f>IFERROR(__xludf.DUMMYFUNCTION("""COMPUTED_VALUE"""),1.0)</f>
        <v>1</v>
      </c>
      <c r="Q1188" s="76" t="b">
        <f>VLOOKUP($B1188,'Run Reconcile'!B$2:O1399,14,FALSE)</f>
        <v>1</v>
      </c>
      <c r="R1188" s="314" t="str">
        <f t="array" ref="R1188">IF($Q1188, INDEX('Run Reconcile'!A$2:A1399,MATCH(B1188,'Run Reconcile'!B$2:B1399,0),1),IFERROR(0/0,""))</f>
        <v>RUN-ABRM_2023-04-20_RFR-216</v>
      </c>
      <c r="S1188" s="315" t="str">
        <f t="shared" ref="S1188:T1188" si="2194">IF(COUNTIF(W$2:W1399, $A1188) &gt; 0,TRUE,IFERROR(0/0,""))</f>
        <v/>
      </c>
      <c r="T1188" s="315" t="str">
        <f t="shared" si="2194"/>
        <v/>
      </c>
      <c r="U1188" s="114" t="str">
        <f t="array" ref="U1188">IF(ISBLANK($R1188), INDEX('Run Reconcile'!A$2:A1399, MATCH($B1188, 'Run Reconcile'!B$2:B1399, 0)+Z1188, 1), IFERROR(0/0,""))
</f>
        <v/>
      </c>
      <c r="V1188" s="316" t="str">
        <f t="shared" si="1281"/>
        <v>RUN-ABRM_2023-04-20_RFR-216</v>
      </c>
      <c r="Y1188" s="317" t="str">
        <f t="shared" si="6"/>
        <v/>
      </c>
      <c r="Z1188" s="83" t="str">
        <f t="shared" si="7"/>
        <v/>
      </c>
      <c r="AA1188" s="83" t="str">
        <f t="shared" si="8"/>
        <v/>
      </c>
      <c r="AB1188" s="83" t="str">
        <f t="shared" si="9"/>
        <v/>
      </c>
      <c r="AC1188" s="18"/>
      <c r="AD1188" s="18"/>
      <c r="AE1188" s="43"/>
      <c r="AF1188" s="58" t="s">
        <v>180</v>
      </c>
      <c r="AG1188" s="55" t="str">
        <f t="shared" si="11"/>
        <v/>
      </c>
    </row>
    <row r="1189">
      <c r="A1189" s="7" t="str">
        <f>IFERROR(__xludf.DUMMYFUNCTION("""COMPUTED_VALUE"""),"AR619")</f>
        <v>AR619</v>
      </c>
      <c r="B1189" s="308">
        <f>IFERROR(__xludf.DUMMYFUNCTION("""COMPUTED_VALUE"""),45036.0)</f>
        <v>45036</v>
      </c>
      <c r="C1189" s="309">
        <f>IFERROR(__xludf.DUMMYFUNCTION("""COMPUTED_VALUE"""),0.3046064814814815)</f>
        <v>0.3046064815</v>
      </c>
      <c r="D1189" s="7" t="str">
        <f>IFERROR(__xludf.DUMMYFUNCTION("""COMPUTED_VALUE"""),"SpABRM297307")</f>
        <v>SpABRM297307</v>
      </c>
      <c r="E1189" s="310"/>
      <c r="F1189" s="310"/>
      <c r="G1189" s="310" t="str">
        <f>IFERROR(__xludf.DUMMYFUNCTION("""COMPUTED_VALUE"""),"Negative")</f>
        <v>Negative</v>
      </c>
      <c r="H1189" s="319" t="str">
        <f>IFERROR(__xludf.DUMMYFUNCTION("""COMPUTED_VALUE"""),"Negative")</f>
        <v>Negative</v>
      </c>
      <c r="I1189" s="308">
        <f>IFERROR(__xludf.DUMMYFUNCTION("""COMPUTED_VALUE"""),45037.0)</f>
        <v>45037</v>
      </c>
      <c r="J1189" s="311">
        <f>IFERROR(__xludf.DUMMYFUNCTION("""COMPUTED_VALUE"""),0.4154976851851852)</f>
        <v>0.4154976852</v>
      </c>
      <c r="K1189" s="54"/>
      <c r="L1189" s="7"/>
      <c r="M1189" s="312"/>
      <c r="N1189" s="172">
        <f>IFERROR(__xludf.DUMMYFUNCTION("""COMPUTED_VALUE"""),4.0)</f>
        <v>4</v>
      </c>
      <c r="O1189" s="172"/>
      <c r="P1189" s="313">
        <f>IFERROR(__xludf.DUMMYFUNCTION("""COMPUTED_VALUE"""),1.0)</f>
        <v>1</v>
      </c>
      <c r="Q1189" s="76" t="b">
        <f>VLOOKUP($B1189,'Run Reconcile'!B$2:O1399,14,FALSE)</f>
        <v>1</v>
      </c>
      <c r="R1189" s="314" t="str">
        <f t="array" ref="R1189">IF($Q1189, INDEX('Run Reconcile'!A$2:A1399,MATCH(B1189,'Run Reconcile'!B$2:B1399,0),1),IFERROR(0/0,""))</f>
        <v>RUN-ABRM_2023-04-20_RFR-216</v>
      </c>
      <c r="S1189" s="315" t="str">
        <f t="shared" ref="S1189:T1189" si="2195">IF(COUNTIF(W$2:W1399, $A1189) &gt; 0,TRUE,IFERROR(0/0,""))</f>
        <v/>
      </c>
      <c r="T1189" s="315" t="str">
        <f t="shared" si="2195"/>
        <v/>
      </c>
      <c r="U1189" s="114" t="str">
        <f t="array" ref="U1189">IF(ISBLANK($R1189), INDEX('Run Reconcile'!A$2:A1399, MATCH($B1189, 'Run Reconcile'!B$2:B1399, 0)+Z1189, 1), IFERROR(0/0,""))
</f>
        <v/>
      </c>
      <c r="V1189" s="316" t="str">
        <f t="shared" si="1281"/>
        <v>RUN-ABRM_2023-04-20_RFR-216</v>
      </c>
      <c r="Y1189" s="317" t="str">
        <f t="shared" si="6"/>
        <v/>
      </c>
      <c r="Z1189" s="83" t="str">
        <f t="shared" si="7"/>
        <v/>
      </c>
      <c r="AA1189" s="83" t="str">
        <f t="shared" si="8"/>
        <v/>
      </c>
      <c r="AB1189" s="83" t="str">
        <f t="shared" si="9"/>
        <v/>
      </c>
      <c r="AC1189" s="18"/>
      <c r="AD1189" s="18"/>
      <c r="AE1189" s="43"/>
      <c r="AF1189" s="58" t="s">
        <v>180</v>
      </c>
      <c r="AG1189" s="55" t="str">
        <f t="shared" si="11"/>
        <v/>
      </c>
    </row>
    <row r="1190">
      <c r="A1190" s="7" t="str">
        <f>IFERROR(__xludf.DUMMYFUNCTION("""COMPUTED_VALUE"""),"AR1035")</f>
        <v>AR1035</v>
      </c>
      <c r="B1190" s="308">
        <f>IFERROR(__xludf.DUMMYFUNCTION("""COMPUTED_VALUE"""),45036.0)</f>
        <v>45036</v>
      </c>
      <c r="C1190" s="309">
        <f>IFERROR(__xludf.DUMMYFUNCTION("""COMPUTED_VALUE"""),0.31819444444444445)</f>
        <v>0.3181944444</v>
      </c>
      <c r="D1190" s="7" t="str">
        <f>IFERROR(__xludf.DUMMYFUNCTION("""COMPUTED_VALUE"""),"SpABRM841252")</f>
        <v>SpABRM841252</v>
      </c>
      <c r="E1190" s="310"/>
      <c r="F1190" s="310"/>
      <c r="G1190" s="310" t="str">
        <f>IFERROR(__xludf.DUMMYFUNCTION("""COMPUTED_VALUE"""),"Negative")</f>
        <v>Negative</v>
      </c>
      <c r="H1190" s="319" t="str">
        <f>IFERROR(__xludf.DUMMYFUNCTION("""COMPUTED_VALUE"""),"Negative")</f>
        <v>Negative</v>
      </c>
      <c r="I1190" s="308">
        <f>IFERROR(__xludf.DUMMYFUNCTION("""COMPUTED_VALUE"""),45037.0)</f>
        <v>45037</v>
      </c>
      <c r="J1190" s="311">
        <f>IFERROR(__xludf.DUMMYFUNCTION("""COMPUTED_VALUE"""),0.4154976851851852)</f>
        <v>0.4154976852</v>
      </c>
      <c r="K1190" s="54"/>
      <c r="L1190" s="7"/>
      <c r="M1190" s="312"/>
      <c r="N1190" s="172">
        <f>IFERROR(__xludf.DUMMYFUNCTION("""COMPUTED_VALUE"""),1.0)</f>
        <v>1</v>
      </c>
      <c r="O1190" s="172"/>
      <c r="P1190" s="313">
        <f>IFERROR(__xludf.DUMMYFUNCTION("""COMPUTED_VALUE"""),1.0)</f>
        <v>1</v>
      </c>
      <c r="Q1190" s="76" t="b">
        <f>VLOOKUP($B1190,'Run Reconcile'!B$2:O1399,14,FALSE)</f>
        <v>1</v>
      </c>
      <c r="R1190" s="314" t="str">
        <f t="array" ref="R1190">IF($Q1190, INDEX('Run Reconcile'!A$2:A1399,MATCH(B1190,'Run Reconcile'!B$2:B1399,0),1),IFERROR(0/0,""))</f>
        <v>RUN-ABRM_2023-04-20_RFR-216</v>
      </c>
      <c r="S1190" s="315" t="str">
        <f t="shared" ref="S1190:T1190" si="2196">IF(COUNTIF(W$2:W1399, $A1190) &gt; 0,TRUE,IFERROR(0/0,""))</f>
        <v/>
      </c>
      <c r="T1190" s="315" t="str">
        <f t="shared" si="2196"/>
        <v/>
      </c>
      <c r="U1190" s="114" t="str">
        <f t="array" ref="U1190">IF(ISBLANK($R1190), INDEX('Run Reconcile'!A$2:A1399, MATCH($B1190, 'Run Reconcile'!B$2:B1399, 0)+Z1190, 1), IFERROR(0/0,""))
</f>
        <v/>
      </c>
      <c r="V1190" s="316" t="str">
        <f t="shared" si="1281"/>
        <v>RUN-ABRM_2023-04-20_RFR-216</v>
      </c>
      <c r="Y1190" s="317" t="str">
        <f t="shared" si="6"/>
        <v/>
      </c>
      <c r="Z1190" s="83" t="str">
        <f t="shared" si="7"/>
        <v/>
      </c>
      <c r="AA1190" s="83" t="str">
        <f t="shared" si="8"/>
        <v/>
      </c>
      <c r="AB1190" s="83" t="str">
        <f t="shared" si="9"/>
        <v/>
      </c>
      <c r="AC1190" s="18"/>
      <c r="AD1190" s="18"/>
      <c r="AE1190" s="43"/>
      <c r="AF1190" s="58" t="s">
        <v>180</v>
      </c>
      <c r="AG1190" s="55" t="str">
        <f t="shared" si="11"/>
        <v/>
      </c>
    </row>
    <row r="1191">
      <c r="A1191" s="7" t="str">
        <f>IFERROR(__xludf.DUMMYFUNCTION("""COMPUTED_VALUE"""),"AR714")</f>
        <v>AR714</v>
      </c>
      <c r="B1191" s="308">
        <f>IFERROR(__xludf.DUMMYFUNCTION("""COMPUTED_VALUE"""),45036.0)</f>
        <v>45036</v>
      </c>
      <c r="C1191" s="309">
        <f>IFERROR(__xludf.DUMMYFUNCTION("""COMPUTED_VALUE"""),0.31849537037037035)</f>
        <v>0.3184953704</v>
      </c>
      <c r="D1191" s="7" t="str">
        <f>IFERROR(__xludf.DUMMYFUNCTION("""COMPUTED_VALUE"""),"SpABRM841252")</f>
        <v>SpABRM841252</v>
      </c>
      <c r="E1191" s="310"/>
      <c r="F1191" s="310"/>
      <c r="G1191" s="310" t="str">
        <f>IFERROR(__xludf.DUMMYFUNCTION("""COMPUTED_VALUE"""),"Negative")</f>
        <v>Negative</v>
      </c>
      <c r="H1191" s="319" t="str">
        <f>IFERROR(__xludf.DUMMYFUNCTION("""COMPUTED_VALUE"""),"Negative")</f>
        <v>Negative</v>
      </c>
      <c r="I1191" s="308">
        <f>IFERROR(__xludf.DUMMYFUNCTION("""COMPUTED_VALUE"""),45037.0)</f>
        <v>45037</v>
      </c>
      <c r="J1191" s="311">
        <f>IFERROR(__xludf.DUMMYFUNCTION("""COMPUTED_VALUE"""),0.4154976851851852)</f>
        <v>0.4154976852</v>
      </c>
      <c r="K1191" s="54"/>
      <c r="L1191" s="7"/>
      <c r="M1191" s="312"/>
      <c r="N1191" s="172">
        <f>IFERROR(__xludf.DUMMYFUNCTION("""COMPUTED_VALUE"""),1.0)</f>
        <v>1</v>
      </c>
      <c r="O1191" s="172"/>
      <c r="P1191" s="313">
        <f>IFERROR(__xludf.DUMMYFUNCTION("""COMPUTED_VALUE"""),1.0)</f>
        <v>1</v>
      </c>
      <c r="Q1191" s="76" t="b">
        <f>VLOOKUP($B1191,'Run Reconcile'!B$2:O1399,14,FALSE)</f>
        <v>1</v>
      </c>
      <c r="R1191" s="314" t="str">
        <f t="array" ref="R1191">IF($Q1191, INDEX('Run Reconcile'!A$2:A1399,MATCH(B1191,'Run Reconcile'!B$2:B1399,0),1),IFERROR(0/0,""))</f>
        <v>RUN-ABRM_2023-04-20_RFR-216</v>
      </c>
      <c r="S1191" s="315" t="str">
        <f t="shared" ref="S1191:T1191" si="2197">IF(COUNTIF(W$2:W1399, $A1191) &gt; 0,TRUE,IFERROR(0/0,""))</f>
        <v/>
      </c>
      <c r="T1191" s="315" t="str">
        <f t="shared" si="2197"/>
        <v/>
      </c>
      <c r="U1191" s="114" t="str">
        <f t="array" ref="U1191">IF(ISBLANK($R1191), INDEX('Run Reconcile'!A$2:A1399, MATCH($B1191, 'Run Reconcile'!B$2:B1399, 0)+Z1191, 1), IFERROR(0/0,""))
</f>
        <v/>
      </c>
      <c r="V1191" s="316" t="str">
        <f t="shared" si="1281"/>
        <v>RUN-ABRM_2023-04-20_RFR-216</v>
      </c>
      <c r="Y1191" s="317" t="str">
        <f t="shared" si="6"/>
        <v/>
      </c>
      <c r="Z1191" s="83" t="str">
        <f t="shared" si="7"/>
        <v/>
      </c>
      <c r="AA1191" s="83" t="str">
        <f t="shared" si="8"/>
        <v/>
      </c>
      <c r="AB1191" s="83" t="str">
        <f t="shared" si="9"/>
        <v/>
      </c>
      <c r="AC1191" s="18"/>
      <c r="AD1191" s="18"/>
      <c r="AE1191" s="43"/>
      <c r="AF1191" s="58" t="s">
        <v>180</v>
      </c>
      <c r="AG1191" s="55" t="str">
        <f t="shared" si="11"/>
        <v/>
      </c>
    </row>
    <row r="1192">
      <c r="A1192" s="7" t="str">
        <f>IFERROR(__xludf.DUMMYFUNCTION("""COMPUTED_VALUE"""),"AR1278")</f>
        <v>AR1278</v>
      </c>
      <c r="B1192" s="308">
        <f>IFERROR(__xludf.DUMMYFUNCTION("""COMPUTED_VALUE"""),45036.0)</f>
        <v>45036</v>
      </c>
      <c r="C1192" s="309">
        <f>IFERROR(__xludf.DUMMYFUNCTION("""COMPUTED_VALUE"""),0.3201273148148148)</f>
        <v>0.3201273148</v>
      </c>
      <c r="D1192" s="7" t="str">
        <f>IFERROR(__xludf.DUMMYFUNCTION("""COMPUTED_VALUE"""),"SpABRM519188")</f>
        <v>SpABRM519188</v>
      </c>
      <c r="E1192" s="310"/>
      <c r="F1192" s="310"/>
      <c r="G1192" s="310" t="str">
        <f>IFERROR(__xludf.DUMMYFUNCTION("""COMPUTED_VALUE"""),"Negative")</f>
        <v>Negative</v>
      </c>
      <c r="H1192" s="319" t="str">
        <f>IFERROR(__xludf.DUMMYFUNCTION("""COMPUTED_VALUE"""),"Negative")</f>
        <v>Negative</v>
      </c>
      <c r="I1192" s="308">
        <f>IFERROR(__xludf.DUMMYFUNCTION("""COMPUTED_VALUE"""),45037.0)</f>
        <v>45037</v>
      </c>
      <c r="J1192" s="311">
        <f>IFERROR(__xludf.DUMMYFUNCTION("""COMPUTED_VALUE"""),0.4154976851851852)</f>
        <v>0.4154976852</v>
      </c>
      <c r="K1192" s="54"/>
      <c r="L1192" s="7"/>
      <c r="M1192" s="312"/>
      <c r="N1192" s="172">
        <f>IFERROR(__xludf.DUMMYFUNCTION("""COMPUTED_VALUE"""),1.0)</f>
        <v>1</v>
      </c>
      <c r="O1192" s="172"/>
      <c r="P1192" s="313">
        <f>IFERROR(__xludf.DUMMYFUNCTION("""COMPUTED_VALUE"""),1.0)</f>
        <v>1</v>
      </c>
      <c r="Q1192" s="76" t="b">
        <f>VLOOKUP($B1192,'Run Reconcile'!B$2:O1399,14,FALSE)</f>
        <v>1</v>
      </c>
      <c r="R1192" s="314" t="str">
        <f t="array" ref="R1192">IF($Q1192, INDEX('Run Reconcile'!A$2:A1399,MATCH(B1192,'Run Reconcile'!B$2:B1399,0),1),IFERROR(0/0,""))</f>
        <v>RUN-ABRM_2023-04-20_RFR-216</v>
      </c>
      <c r="S1192" s="315" t="str">
        <f t="shared" ref="S1192:T1192" si="2198">IF(COUNTIF(W$2:W1399, $A1192) &gt; 0,TRUE,IFERROR(0/0,""))</f>
        <v/>
      </c>
      <c r="T1192" s="315" t="str">
        <f t="shared" si="2198"/>
        <v/>
      </c>
      <c r="U1192" s="114" t="str">
        <f t="array" ref="U1192">IF(ISBLANK($R1192), INDEX('Run Reconcile'!A$2:A1399, MATCH($B1192, 'Run Reconcile'!B$2:B1399, 0)+Z1192, 1), IFERROR(0/0,""))
</f>
        <v/>
      </c>
      <c r="V1192" s="316" t="str">
        <f t="shared" si="1281"/>
        <v>RUN-ABRM_2023-04-20_RFR-216</v>
      </c>
      <c r="Y1192" s="317" t="str">
        <f t="shared" si="6"/>
        <v/>
      </c>
      <c r="Z1192" s="83" t="str">
        <f t="shared" si="7"/>
        <v/>
      </c>
      <c r="AA1192" s="83" t="str">
        <f t="shared" si="8"/>
        <v/>
      </c>
      <c r="AB1192" s="83" t="str">
        <f t="shared" si="9"/>
        <v/>
      </c>
      <c r="AC1192" s="18"/>
      <c r="AD1192" s="18"/>
      <c r="AE1192" s="43"/>
      <c r="AF1192" s="58" t="s">
        <v>180</v>
      </c>
      <c r="AG1192" s="55" t="str">
        <f t="shared" si="11"/>
        <v/>
      </c>
    </row>
    <row r="1193">
      <c r="A1193" s="7" t="str">
        <f>IFERROR(__xludf.DUMMYFUNCTION("""COMPUTED_VALUE"""),"AR1321")</f>
        <v>AR1321</v>
      </c>
      <c r="B1193" s="308">
        <f>IFERROR(__xludf.DUMMYFUNCTION("""COMPUTED_VALUE"""),45036.0)</f>
        <v>45036</v>
      </c>
      <c r="C1193" s="309">
        <f>IFERROR(__xludf.DUMMYFUNCTION("""COMPUTED_VALUE"""),0.32993055555555556)</f>
        <v>0.3299305556</v>
      </c>
      <c r="D1193" s="7" t="str">
        <f>IFERROR(__xludf.DUMMYFUNCTION("""COMPUTED_VALUE"""),"SpABRM841252")</f>
        <v>SpABRM841252</v>
      </c>
      <c r="E1193" s="310"/>
      <c r="F1193" s="310"/>
      <c r="G1193" s="310" t="str">
        <f>IFERROR(__xludf.DUMMYFUNCTION("""COMPUTED_VALUE"""),"Negative")</f>
        <v>Negative</v>
      </c>
      <c r="H1193" s="319" t="str">
        <f>IFERROR(__xludf.DUMMYFUNCTION("""COMPUTED_VALUE"""),"Negative")</f>
        <v>Negative</v>
      </c>
      <c r="I1193" s="308">
        <f>IFERROR(__xludf.DUMMYFUNCTION("""COMPUTED_VALUE"""),45037.0)</f>
        <v>45037</v>
      </c>
      <c r="J1193" s="311">
        <f>IFERROR(__xludf.DUMMYFUNCTION("""COMPUTED_VALUE"""),0.41550925925925924)</f>
        <v>0.4155092593</v>
      </c>
      <c r="K1193" s="54"/>
      <c r="L1193" s="7"/>
      <c r="M1193" s="312"/>
      <c r="N1193" s="172">
        <f>IFERROR(__xludf.DUMMYFUNCTION("""COMPUTED_VALUE"""),1.0)</f>
        <v>1</v>
      </c>
      <c r="O1193" s="172"/>
      <c r="P1193" s="313">
        <f>IFERROR(__xludf.DUMMYFUNCTION("""COMPUTED_VALUE"""),1.0)</f>
        <v>1</v>
      </c>
      <c r="Q1193" s="76" t="b">
        <f>VLOOKUP($B1193,'Run Reconcile'!B$2:O1399,14,FALSE)</f>
        <v>1</v>
      </c>
      <c r="R1193" s="314" t="str">
        <f t="array" ref="R1193">IF($Q1193, INDEX('Run Reconcile'!A$2:A1399,MATCH(B1193,'Run Reconcile'!B$2:B1399,0),1),IFERROR(0/0,""))</f>
        <v>RUN-ABRM_2023-04-20_RFR-216</v>
      </c>
      <c r="S1193" s="315" t="str">
        <f t="shared" ref="S1193:T1193" si="2199">IF(COUNTIF(W$2:W1399, $A1193) &gt; 0,TRUE,IFERROR(0/0,""))</f>
        <v/>
      </c>
      <c r="T1193" s="315" t="str">
        <f t="shared" si="2199"/>
        <v/>
      </c>
      <c r="U1193" s="114" t="str">
        <f t="array" ref="U1193">IF(ISBLANK($R1193), INDEX('Run Reconcile'!A$2:A1399, MATCH($B1193, 'Run Reconcile'!B$2:B1399, 0)+Z1193, 1), IFERROR(0/0,""))
</f>
        <v/>
      </c>
      <c r="V1193" s="316" t="str">
        <f t="shared" si="1281"/>
        <v>RUN-ABRM_2023-04-20_RFR-216</v>
      </c>
      <c r="Y1193" s="317" t="str">
        <f t="shared" si="6"/>
        <v/>
      </c>
      <c r="Z1193" s="83" t="str">
        <f t="shared" si="7"/>
        <v/>
      </c>
      <c r="AA1193" s="83" t="str">
        <f t="shared" si="8"/>
        <v/>
      </c>
      <c r="AB1193" s="83" t="str">
        <f t="shared" si="9"/>
        <v/>
      </c>
      <c r="AC1193" s="18"/>
      <c r="AD1193" s="18"/>
      <c r="AE1193" s="43"/>
      <c r="AF1193" s="58" t="s">
        <v>180</v>
      </c>
      <c r="AG1193" s="55" t="str">
        <f t="shared" si="11"/>
        <v/>
      </c>
    </row>
    <row r="1194">
      <c r="A1194" s="7" t="str">
        <f>IFERROR(__xludf.DUMMYFUNCTION("""COMPUTED_VALUE"""),"AK9994")</f>
        <v>AK9994</v>
      </c>
      <c r="B1194" s="308">
        <f>IFERROR(__xludf.DUMMYFUNCTION("""COMPUTED_VALUE"""),45036.0)</f>
        <v>45036</v>
      </c>
      <c r="C1194" s="309">
        <f>IFERROR(__xludf.DUMMYFUNCTION("""COMPUTED_VALUE"""),0.34034722222222225)</f>
        <v>0.3403472222</v>
      </c>
      <c r="D1194" s="7" t="str">
        <f>IFERROR(__xludf.DUMMYFUNCTION("""COMPUTED_VALUE"""),"SpABRM841252")</f>
        <v>SpABRM841252</v>
      </c>
      <c r="E1194" s="310"/>
      <c r="F1194" s="310"/>
      <c r="G1194" s="310" t="str">
        <f>IFERROR(__xludf.DUMMYFUNCTION("""COMPUTED_VALUE"""),"Negative")</f>
        <v>Negative</v>
      </c>
      <c r="H1194" s="319" t="str">
        <f>IFERROR(__xludf.DUMMYFUNCTION("""COMPUTED_VALUE"""),"Negative")</f>
        <v>Negative</v>
      </c>
      <c r="I1194" s="308">
        <f>IFERROR(__xludf.DUMMYFUNCTION("""COMPUTED_VALUE"""),45037.0)</f>
        <v>45037</v>
      </c>
      <c r="J1194" s="311">
        <f>IFERROR(__xludf.DUMMYFUNCTION("""COMPUTED_VALUE"""),0.41550925925925924)</f>
        <v>0.4155092593</v>
      </c>
      <c r="K1194" s="54"/>
      <c r="L1194" s="7"/>
      <c r="M1194" s="312"/>
      <c r="N1194" s="172">
        <f>IFERROR(__xludf.DUMMYFUNCTION("""COMPUTED_VALUE"""),1.0)</f>
        <v>1</v>
      </c>
      <c r="O1194" s="172"/>
      <c r="P1194" s="313">
        <f>IFERROR(__xludf.DUMMYFUNCTION("""COMPUTED_VALUE"""),1.0)</f>
        <v>1</v>
      </c>
      <c r="Q1194" s="76" t="b">
        <f>VLOOKUP($B1194,'Run Reconcile'!B$2:O1399,14,FALSE)</f>
        <v>1</v>
      </c>
      <c r="R1194" s="314" t="str">
        <f t="array" ref="R1194">IF($Q1194, INDEX('Run Reconcile'!A$2:A1399,MATCH(B1194,'Run Reconcile'!B$2:B1399,0),1),IFERROR(0/0,""))</f>
        <v>RUN-ABRM_2023-04-20_RFR-216</v>
      </c>
      <c r="S1194" s="315" t="str">
        <f t="shared" ref="S1194:T1194" si="2200">IF(COUNTIF(W$2:W1399, $A1194) &gt; 0,TRUE,IFERROR(0/0,""))</f>
        <v/>
      </c>
      <c r="T1194" s="315" t="str">
        <f t="shared" si="2200"/>
        <v/>
      </c>
      <c r="U1194" s="114" t="str">
        <f t="array" ref="U1194">IF(ISBLANK($R1194), INDEX('Run Reconcile'!A$2:A1399, MATCH($B1194, 'Run Reconcile'!B$2:B1399, 0)+Z1194, 1), IFERROR(0/0,""))
</f>
        <v/>
      </c>
      <c r="V1194" s="316" t="str">
        <f t="shared" si="1281"/>
        <v>RUN-ABRM_2023-04-20_RFR-216</v>
      </c>
      <c r="Y1194" s="317" t="str">
        <f t="shared" si="6"/>
        <v/>
      </c>
      <c r="Z1194" s="83" t="str">
        <f t="shared" si="7"/>
        <v/>
      </c>
      <c r="AA1194" s="83" t="str">
        <f t="shared" si="8"/>
        <v/>
      </c>
      <c r="AB1194" s="83" t="str">
        <f t="shared" si="9"/>
        <v/>
      </c>
      <c r="AC1194" s="18"/>
      <c r="AD1194" s="18"/>
      <c r="AE1194" s="43"/>
      <c r="AF1194" s="58" t="s">
        <v>180</v>
      </c>
      <c r="AG1194" s="55" t="str">
        <f t="shared" si="11"/>
        <v/>
      </c>
    </row>
    <row r="1195">
      <c r="A1195" s="7" t="str">
        <f>IFERROR(__xludf.DUMMYFUNCTION("""COMPUTED_VALUE"""),"AR1066")</f>
        <v>AR1066</v>
      </c>
      <c r="B1195" s="308">
        <f>IFERROR(__xludf.DUMMYFUNCTION("""COMPUTED_VALUE"""),45037.0)</f>
        <v>45037</v>
      </c>
      <c r="C1195" s="309">
        <f>IFERROR(__xludf.DUMMYFUNCTION("""COMPUTED_VALUE"""),0.1988888888888889)</f>
        <v>0.1988888889</v>
      </c>
      <c r="D1195" s="7" t="str">
        <f>IFERROR(__xludf.DUMMYFUNCTION("""COMPUTED_VALUE"""),"SpABRM581899")</f>
        <v>SpABRM581899</v>
      </c>
      <c r="E1195" s="310"/>
      <c r="F1195" s="310"/>
      <c r="G1195" s="310" t="str">
        <f>IFERROR(__xludf.DUMMYFUNCTION("""COMPUTED_VALUE"""),"Negative")</f>
        <v>Negative</v>
      </c>
      <c r="H1195" s="319" t="str">
        <f>IFERROR(__xludf.DUMMYFUNCTION("""COMPUTED_VALUE"""),"Negative")</f>
        <v>Negative</v>
      </c>
      <c r="I1195" s="308">
        <f>IFERROR(__xludf.DUMMYFUNCTION("""COMPUTED_VALUE"""),45037.0)</f>
        <v>45037</v>
      </c>
      <c r="J1195" s="311">
        <f>IFERROR(__xludf.DUMMYFUNCTION("""COMPUTED_VALUE"""),0.41550925925925924)</f>
        <v>0.4155092593</v>
      </c>
      <c r="K1195" s="54"/>
      <c r="L1195" s="7"/>
      <c r="M1195" s="312"/>
      <c r="N1195" s="172">
        <f>IFERROR(__xludf.DUMMYFUNCTION("""COMPUTED_VALUE"""),3.0)</f>
        <v>3</v>
      </c>
      <c r="O1195" s="172"/>
      <c r="P1195" s="313">
        <f>IFERROR(__xludf.DUMMYFUNCTION("""COMPUTED_VALUE"""),0.0)</f>
        <v>0</v>
      </c>
      <c r="Q1195" s="76" t="b">
        <f>VLOOKUP($B1195,'Run Reconcile'!B$2:O1399,14,FALSE)</f>
        <v>1</v>
      </c>
      <c r="R1195" s="314" t="str">
        <f t="array" ref="R1195">IF($Q1195, INDEX('Run Reconcile'!A$2:A1399,MATCH(B1195,'Run Reconcile'!B$2:B1399,0),1),IFERROR(0/0,""))</f>
        <v>RUN-ABRM_2023-04-21_RFR-217</v>
      </c>
      <c r="S1195" s="315" t="str">
        <f t="shared" ref="S1195:T1195" si="2201">IF(COUNTIF(W$2:W1399, $A1195) &gt; 0,TRUE,IFERROR(0/0,""))</f>
        <v/>
      </c>
      <c r="T1195" s="315" t="str">
        <f t="shared" si="2201"/>
        <v/>
      </c>
      <c r="U1195" s="114" t="str">
        <f t="array" ref="U1195">IF(ISBLANK($R1195), INDEX('Run Reconcile'!A$2:A1399, MATCH($B1195, 'Run Reconcile'!B$2:B1399, 0)+Z1195, 1), IFERROR(0/0,""))
</f>
        <v/>
      </c>
      <c r="V1195" s="316" t="str">
        <f t="shared" si="1281"/>
        <v>RUN-ABRM_2023-04-21_RFR-217</v>
      </c>
      <c r="Y1195" s="317" t="str">
        <f t="shared" si="6"/>
        <v/>
      </c>
      <c r="Z1195" s="83" t="str">
        <f t="shared" si="7"/>
        <v/>
      </c>
      <c r="AA1195" s="83" t="str">
        <f t="shared" si="8"/>
        <v/>
      </c>
      <c r="AB1195" s="83" t="str">
        <f t="shared" si="9"/>
        <v/>
      </c>
      <c r="AC1195" s="18"/>
      <c r="AD1195" s="18"/>
      <c r="AE1195" s="43"/>
      <c r="AF1195" s="58" t="s">
        <v>181</v>
      </c>
      <c r="AG1195" s="55" t="str">
        <f t="shared" si="11"/>
        <v/>
      </c>
    </row>
    <row r="1196">
      <c r="A1196" s="7" t="str">
        <f>IFERROR(__xludf.DUMMYFUNCTION("""COMPUTED_VALUE"""),"AR1417")</f>
        <v>AR1417</v>
      </c>
      <c r="B1196" s="308">
        <f>IFERROR(__xludf.DUMMYFUNCTION("""COMPUTED_VALUE"""),45037.0)</f>
        <v>45037</v>
      </c>
      <c r="C1196" s="309">
        <f>IFERROR(__xludf.DUMMYFUNCTION("""COMPUTED_VALUE"""),0.2942824074074074)</f>
        <v>0.2942824074</v>
      </c>
      <c r="D1196" s="7" t="str">
        <f>IFERROR(__xludf.DUMMYFUNCTION("""COMPUTED_VALUE"""),"SpABRM128250")</f>
        <v>SpABRM128250</v>
      </c>
      <c r="E1196" s="310"/>
      <c r="F1196" s="310"/>
      <c r="G1196" s="310" t="str">
        <f>IFERROR(__xludf.DUMMYFUNCTION("""COMPUTED_VALUE"""),"Null")</f>
        <v>Null</v>
      </c>
      <c r="H1196" s="319" t="str">
        <f>IFERROR(__xludf.DUMMYFUNCTION("""COMPUTED_VALUE"""),"Negative")</f>
        <v>Negative</v>
      </c>
      <c r="I1196" s="319"/>
      <c r="J1196" s="54"/>
      <c r="K1196" s="54">
        <f>IFERROR(__xludf.DUMMYFUNCTION("""COMPUTED_VALUE"""),2.0)</f>
        <v>2</v>
      </c>
      <c r="L1196" s="7"/>
      <c r="M1196" s="312"/>
      <c r="N1196" s="172">
        <f>IFERROR(__xludf.DUMMYFUNCTION("""COMPUTED_VALUE"""),3.0)</f>
        <v>3</v>
      </c>
      <c r="O1196" s="172"/>
      <c r="P1196" s="313">
        <f>IFERROR(__xludf.DUMMYFUNCTION("""COMPUTED_VALUE"""),-1.0)</f>
        <v>-1</v>
      </c>
      <c r="Q1196" s="76" t="b">
        <f>VLOOKUP($B1196,'Run Reconcile'!B$2:O1399,14,FALSE)</f>
        <v>1</v>
      </c>
      <c r="R1196" s="314" t="str">
        <f t="array" ref="R1196">IF($Q1196, INDEX('Run Reconcile'!A$2:A1399,MATCH(B1196,'Run Reconcile'!B$2:B1399,0),1),IFERROR(0/0,""))</f>
        <v>RUN-ABRM_2023-04-21_RFR-217</v>
      </c>
      <c r="S1196" s="315" t="str">
        <f t="shared" ref="S1196:T1196" si="2202">IF(COUNTIF(W$2:W1399, $A1196) &gt; 0,TRUE,IFERROR(0/0,""))</f>
        <v/>
      </c>
      <c r="T1196" s="315" t="str">
        <f t="shared" si="2202"/>
        <v/>
      </c>
      <c r="U1196" s="114" t="str">
        <f t="array" ref="U1196">IF(ISBLANK($R1196), INDEX('Run Reconcile'!A$2:A1399, MATCH($B1196, 'Run Reconcile'!B$2:B1399, 0)+Z1196, 1), IFERROR(0/0,""))
</f>
        <v/>
      </c>
      <c r="V1196" s="316" t="str">
        <f t="shared" si="1281"/>
        <v>RUN-ABRM_2023-04-21_RFR-217</v>
      </c>
      <c r="Y1196" s="317" t="str">
        <f t="shared" si="6"/>
        <v/>
      </c>
      <c r="Z1196" s="83" t="str">
        <f t="shared" si="7"/>
        <v/>
      </c>
      <c r="AA1196" s="83" t="str">
        <f t="shared" si="8"/>
        <v/>
      </c>
      <c r="AB1196" s="83" t="str">
        <f t="shared" si="9"/>
        <v/>
      </c>
      <c r="AC1196" s="18"/>
      <c r="AD1196" s="18"/>
      <c r="AE1196" s="43"/>
      <c r="AF1196" s="58" t="s">
        <v>181</v>
      </c>
      <c r="AG1196" s="55" t="str">
        <f t="shared" si="11"/>
        <v/>
      </c>
    </row>
    <row r="1197">
      <c r="A1197" s="7" t="str">
        <f>IFERROR(__xludf.DUMMYFUNCTION("""COMPUTED_VALUE"""),"AB9951")</f>
        <v>AB9951</v>
      </c>
      <c r="B1197" s="308">
        <f>IFERROR(__xludf.DUMMYFUNCTION("""COMPUTED_VALUE"""),45037.0)</f>
        <v>45037</v>
      </c>
      <c r="C1197" s="309">
        <f>IFERROR(__xludf.DUMMYFUNCTION("""COMPUTED_VALUE"""),0.30528935185185185)</f>
        <v>0.3052893519</v>
      </c>
      <c r="D1197" s="7" t="str">
        <f>IFERROR(__xludf.DUMMYFUNCTION("""COMPUTED_VALUE"""),"SpABRM519188")</f>
        <v>SpABRM519188</v>
      </c>
      <c r="E1197" s="310"/>
      <c r="F1197" s="310"/>
      <c r="G1197" s="310" t="str">
        <f>IFERROR(__xludf.DUMMYFUNCTION("""COMPUTED_VALUE"""),"Negative")</f>
        <v>Negative</v>
      </c>
      <c r="H1197" s="319" t="str">
        <f>IFERROR(__xludf.DUMMYFUNCTION("""COMPUTED_VALUE"""),"Negative")</f>
        <v>Negative</v>
      </c>
      <c r="I1197" s="308">
        <f>IFERROR(__xludf.DUMMYFUNCTION("""COMPUTED_VALUE"""),45037.0)</f>
        <v>45037</v>
      </c>
      <c r="J1197" s="311">
        <f>IFERROR(__xludf.DUMMYFUNCTION("""COMPUTED_VALUE"""),0.41550925925925924)</f>
        <v>0.4155092593</v>
      </c>
      <c r="K1197" s="54"/>
      <c r="L1197" s="7"/>
      <c r="M1197" s="312"/>
      <c r="N1197" s="172">
        <f>IFERROR(__xludf.DUMMYFUNCTION("""COMPUTED_VALUE"""),1.0)</f>
        <v>1</v>
      </c>
      <c r="O1197" s="172"/>
      <c r="P1197" s="313">
        <f>IFERROR(__xludf.DUMMYFUNCTION("""COMPUTED_VALUE"""),0.0)</f>
        <v>0</v>
      </c>
      <c r="Q1197" s="76" t="b">
        <f>VLOOKUP($B1197,'Run Reconcile'!B$2:O1399,14,FALSE)</f>
        <v>1</v>
      </c>
      <c r="R1197" s="314" t="str">
        <f t="array" ref="R1197">IF($Q1197, INDEX('Run Reconcile'!A$2:A1399,MATCH(B1197,'Run Reconcile'!B$2:B1399,0),1),IFERROR(0/0,""))</f>
        <v>RUN-ABRM_2023-04-21_RFR-217</v>
      </c>
      <c r="S1197" s="315" t="str">
        <f t="shared" ref="S1197:T1197" si="2203">IF(COUNTIF(W$2:W1399, $A1197) &gt; 0,TRUE,IFERROR(0/0,""))</f>
        <v/>
      </c>
      <c r="T1197" s="315" t="str">
        <f t="shared" si="2203"/>
        <v/>
      </c>
      <c r="U1197" s="114" t="str">
        <f t="array" ref="U1197">IF(ISBLANK($R1197), INDEX('Run Reconcile'!A$2:A1399, MATCH($B1197, 'Run Reconcile'!B$2:B1399, 0)+Z1197, 1), IFERROR(0/0,""))
</f>
        <v/>
      </c>
      <c r="V1197" s="316" t="str">
        <f t="shared" si="1281"/>
        <v>RUN-ABRM_2023-04-21_RFR-217</v>
      </c>
      <c r="Y1197" s="317" t="str">
        <f t="shared" si="6"/>
        <v/>
      </c>
      <c r="Z1197" s="83" t="str">
        <f t="shared" si="7"/>
        <v/>
      </c>
      <c r="AA1197" s="83" t="str">
        <f t="shared" si="8"/>
        <v/>
      </c>
      <c r="AB1197" s="83" t="str">
        <f t="shared" si="9"/>
        <v/>
      </c>
      <c r="AC1197" s="18"/>
      <c r="AD1197" s="18"/>
      <c r="AE1197" s="43"/>
      <c r="AF1197" s="58" t="s">
        <v>181</v>
      </c>
      <c r="AG1197" s="55" t="str">
        <f t="shared" si="11"/>
        <v/>
      </c>
    </row>
    <row r="1198">
      <c r="A1198" s="7" t="str">
        <f>IFERROR(__xludf.DUMMYFUNCTION("""COMPUTED_VALUE"""),"AB9967")</f>
        <v>AB9967</v>
      </c>
      <c r="B1198" s="308">
        <f>IFERROR(__xludf.DUMMYFUNCTION("""COMPUTED_VALUE"""),45037.0)</f>
        <v>45037</v>
      </c>
      <c r="C1198" s="309">
        <f>IFERROR(__xludf.DUMMYFUNCTION("""COMPUTED_VALUE"""),0.33587962962962964)</f>
        <v>0.3358796296</v>
      </c>
      <c r="D1198" s="7" t="str">
        <f>IFERROR(__xludf.DUMMYFUNCTION("""COMPUTED_VALUE"""),"SpABRM841252")</f>
        <v>SpABRM841252</v>
      </c>
      <c r="E1198" s="310"/>
      <c r="F1198" s="310"/>
      <c r="G1198" s="310" t="str">
        <f>IFERROR(__xludf.DUMMYFUNCTION("""COMPUTED_VALUE"""),"Negative")</f>
        <v>Negative</v>
      </c>
      <c r="H1198" s="319" t="str">
        <f>IFERROR(__xludf.DUMMYFUNCTION("""COMPUTED_VALUE"""),"Negative")</f>
        <v>Negative</v>
      </c>
      <c r="I1198" s="308">
        <f>IFERROR(__xludf.DUMMYFUNCTION("""COMPUTED_VALUE"""),45037.0)</f>
        <v>45037</v>
      </c>
      <c r="J1198" s="311">
        <f>IFERROR(__xludf.DUMMYFUNCTION("""COMPUTED_VALUE"""),0.41552083333333334)</f>
        <v>0.4155208333</v>
      </c>
      <c r="K1198" s="54"/>
      <c r="L1198" s="7"/>
      <c r="M1198" s="312"/>
      <c r="N1198" s="172">
        <f>IFERROR(__xludf.DUMMYFUNCTION("""COMPUTED_VALUE"""),1.0)</f>
        <v>1</v>
      </c>
      <c r="O1198" s="172"/>
      <c r="P1198" s="313">
        <f>IFERROR(__xludf.DUMMYFUNCTION("""COMPUTED_VALUE"""),0.0)</f>
        <v>0</v>
      </c>
      <c r="Q1198" s="76" t="b">
        <f>VLOOKUP($B1198,'Run Reconcile'!B$2:O1399,14,FALSE)</f>
        <v>1</v>
      </c>
      <c r="R1198" s="314" t="str">
        <f t="array" ref="R1198">IF($Q1198, INDEX('Run Reconcile'!A$2:A1399,MATCH(B1198,'Run Reconcile'!B$2:B1399,0),1),IFERROR(0/0,""))</f>
        <v>RUN-ABRM_2023-04-21_RFR-217</v>
      </c>
      <c r="S1198" s="315" t="str">
        <f t="shared" ref="S1198:T1198" si="2204">IF(COUNTIF(W$2:W1399, $A1198) &gt; 0,TRUE,IFERROR(0/0,""))</f>
        <v/>
      </c>
      <c r="T1198" s="315" t="str">
        <f t="shared" si="2204"/>
        <v/>
      </c>
      <c r="U1198" s="114" t="str">
        <f t="array" ref="U1198">IF(ISBLANK($R1198), INDEX('Run Reconcile'!A$2:A1399, MATCH($B1198, 'Run Reconcile'!B$2:B1399, 0)+Z1198, 1), IFERROR(0/0,""))
</f>
        <v/>
      </c>
      <c r="V1198" s="316" t="str">
        <f t="shared" si="1281"/>
        <v>RUN-ABRM_2023-04-21_RFR-217</v>
      </c>
      <c r="Y1198" s="317" t="str">
        <f t="shared" si="6"/>
        <v/>
      </c>
      <c r="Z1198" s="83" t="str">
        <f t="shared" si="7"/>
        <v/>
      </c>
      <c r="AA1198" s="83" t="str">
        <f t="shared" si="8"/>
        <v/>
      </c>
      <c r="AB1198" s="83" t="str">
        <f t="shared" si="9"/>
        <v/>
      </c>
      <c r="AC1198" s="18"/>
      <c r="AD1198" s="18"/>
      <c r="AE1198" s="43"/>
      <c r="AF1198" s="58" t="s">
        <v>181</v>
      </c>
      <c r="AG1198" s="55" t="str">
        <f t="shared" si="11"/>
        <v/>
      </c>
    </row>
    <row r="1199">
      <c r="A1199" s="120" t="str">
        <f>IFERROR(__xludf.DUMMYFUNCTION("""COMPUTED_VALUE"""),"AK9667")</f>
        <v>AK9667</v>
      </c>
      <c r="B1199" s="320">
        <f>IFERROR(__xludf.DUMMYFUNCTION("""COMPUTED_VALUE"""),45040.0)</f>
        <v>45040</v>
      </c>
      <c r="C1199" s="321">
        <f>IFERROR(__xludf.DUMMYFUNCTION("""COMPUTED_VALUE"""),0.22296296296296297)</f>
        <v>0.222962963</v>
      </c>
      <c r="D1199" s="120" t="str">
        <f>IFERROR(__xludf.DUMMYFUNCTION("""COMPUTED_VALUE"""),"SpABRM454310")</f>
        <v>SpABRM454310</v>
      </c>
      <c r="E1199" s="322"/>
      <c r="F1199" s="322"/>
      <c r="G1199" s="322" t="str">
        <f>IFERROR(__xludf.DUMMYFUNCTION("""COMPUTED_VALUE"""),"Negative")</f>
        <v>Negative</v>
      </c>
      <c r="H1199" s="323" t="str">
        <f>IFERROR(__xludf.DUMMYFUNCTION("""COMPUTED_VALUE"""),"Negative")</f>
        <v>Negative</v>
      </c>
      <c r="I1199" s="320">
        <f>IFERROR(__xludf.DUMMYFUNCTION("""COMPUTED_VALUE"""),45044.0)</f>
        <v>45044</v>
      </c>
      <c r="J1199" s="324">
        <f>IFERROR(__xludf.DUMMYFUNCTION("""COMPUTED_VALUE"""),0.42006944444444444)</f>
        <v>0.4200694444</v>
      </c>
      <c r="K1199" s="123"/>
      <c r="L1199" s="120"/>
      <c r="M1199" s="325"/>
      <c r="N1199" s="283">
        <f>IFERROR(__xludf.DUMMYFUNCTION("""COMPUTED_VALUE"""),3.0)</f>
        <v>3</v>
      </c>
      <c r="O1199" s="283"/>
      <c r="P1199" s="326">
        <f>IFERROR(__xludf.DUMMYFUNCTION("""COMPUTED_VALUE"""),4.0)</f>
        <v>4</v>
      </c>
      <c r="Q1199" s="293" t="b">
        <f>VLOOKUP($B1199,'Run Reconcile'!B$2:O1399,14,FALSE)</f>
        <v>1</v>
      </c>
      <c r="R1199" s="327" t="str">
        <f t="array" ref="R1199">IF($Q1199, INDEX('Run Reconcile'!A$2:A1399,MATCH(B1199,'Run Reconcile'!B$2:B1399,0),1),IFERROR(0/0,""))</f>
        <v>RUN-ABRM_2023-04-24_RFR-219</v>
      </c>
      <c r="S1199" s="328" t="str">
        <f t="shared" ref="S1199:T1199" si="2205">IF(COUNTIF(W$2:W1399, $A1199) &gt; 0,TRUE,IFERROR(0/0,""))</f>
        <v/>
      </c>
      <c r="T1199" s="328" t="str">
        <f t="shared" si="2205"/>
        <v/>
      </c>
      <c r="U1199" s="294" t="str">
        <f t="array" ref="U1199">IF(ISBLANK($R1199), INDEX('Run Reconcile'!A$2:A1399, MATCH($B1199, 'Run Reconcile'!B$2:B1399, 0)+Z1199, 1), IFERROR(0/0,""))
</f>
        <v/>
      </c>
      <c r="V1199" s="329" t="str">
        <f t="shared" si="1281"/>
        <v>RUN-ABRM_2023-04-24_RFR-219</v>
      </c>
      <c r="W1199" s="120"/>
      <c r="X1199" s="120"/>
      <c r="Y1199" s="334" t="str">
        <f t="shared" si="6"/>
        <v/>
      </c>
      <c r="Z1199" s="295" t="str">
        <f t="shared" si="7"/>
        <v/>
      </c>
      <c r="AA1199" s="295" t="str">
        <f t="shared" si="8"/>
        <v/>
      </c>
      <c r="AB1199" s="295" t="str">
        <f t="shared" si="9"/>
        <v/>
      </c>
      <c r="AC1199" s="263"/>
      <c r="AD1199" s="263"/>
      <c r="AE1199" s="125"/>
      <c r="AF1199" s="330" t="s">
        <v>182</v>
      </c>
      <c r="AG1199" s="268" t="str">
        <f t="shared" si="11"/>
        <v/>
      </c>
      <c r="AH1199" s="120"/>
      <c r="AI1199" s="120"/>
      <c r="AJ1199" s="120"/>
      <c r="AK1199" s="120"/>
    </row>
    <row r="1200">
      <c r="A1200" s="7" t="str">
        <f>IFERROR(__xludf.DUMMYFUNCTION("""COMPUTED_VALUE"""),"AR1214")</f>
        <v>AR1214</v>
      </c>
      <c r="B1200" s="308">
        <f>IFERROR(__xludf.DUMMYFUNCTION("""COMPUTED_VALUE"""),45040.0)</f>
        <v>45040</v>
      </c>
      <c r="C1200" s="309">
        <f>IFERROR(__xludf.DUMMYFUNCTION("""COMPUTED_VALUE"""),0.2414236111111111)</f>
        <v>0.2414236111</v>
      </c>
      <c r="D1200" s="7" t="str">
        <f>IFERROR(__xludf.DUMMYFUNCTION("""COMPUTED_VALUE"""),"SpABRM297307")</f>
        <v>SpABRM297307</v>
      </c>
      <c r="E1200" s="310"/>
      <c r="F1200" s="310"/>
      <c r="G1200" s="310" t="str">
        <f>IFERROR(__xludf.DUMMYFUNCTION("""COMPUTED_VALUE"""),"Negative")</f>
        <v>Negative</v>
      </c>
      <c r="H1200" s="319" t="str">
        <f>IFERROR(__xludf.DUMMYFUNCTION("""COMPUTED_VALUE"""),"Negative")</f>
        <v>Negative</v>
      </c>
      <c r="I1200" s="308">
        <f>IFERROR(__xludf.DUMMYFUNCTION("""COMPUTED_VALUE"""),45044.0)</f>
        <v>45044</v>
      </c>
      <c r="J1200" s="311">
        <f>IFERROR(__xludf.DUMMYFUNCTION("""COMPUTED_VALUE"""),0.42006944444444444)</f>
        <v>0.4200694444</v>
      </c>
      <c r="K1200" s="54"/>
      <c r="L1200" s="7"/>
      <c r="M1200" s="312"/>
      <c r="N1200" s="172">
        <f>IFERROR(__xludf.DUMMYFUNCTION("""COMPUTED_VALUE"""),3.0)</f>
        <v>3</v>
      </c>
      <c r="O1200" s="172"/>
      <c r="P1200" s="313">
        <f>IFERROR(__xludf.DUMMYFUNCTION("""COMPUTED_VALUE"""),4.0)</f>
        <v>4</v>
      </c>
      <c r="Q1200" s="76" t="b">
        <f>VLOOKUP($B1200,'Run Reconcile'!B$2:O1399,14,FALSE)</f>
        <v>1</v>
      </c>
      <c r="R1200" s="314" t="str">
        <f t="array" ref="R1200">IF($Q1200, INDEX('Run Reconcile'!A$2:A1399,MATCH(B1200,'Run Reconcile'!B$2:B1399,0),1),IFERROR(0/0,""))</f>
        <v>RUN-ABRM_2023-04-24_RFR-219</v>
      </c>
      <c r="S1200" s="315" t="str">
        <f t="shared" ref="S1200:T1200" si="2206">IF(COUNTIF(W$2:W1399, $A1200) &gt; 0,TRUE,IFERROR(0/0,""))</f>
        <v/>
      </c>
      <c r="T1200" s="315" t="str">
        <f t="shared" si="2206"/>
        <v/>
      </c>
      <c r="U1200" s="114" t="str">
        <f t="array" ref="U1200">IF(ISBLANK($R1200), INDEX('Run Reconcile'!A$2:A1399, MATCH($B1200, 'Run Reconcile'!B$2:B1399, 0)+Z1200, 1), IFERROR(0/0,""))
</f>
        <v/>
      </c>
      <c r="V1200" s="316" t="str">
        <f t="shared" si="1281"/>
        <v>RUN-ABRM_2023-04-24_RFR-219</v>
      </c>
      <c r="Y1200" s="317" t="str">
        <f t="shared" si="6"/>
        <v/>
      </c>
      <c r="Z1200" s="83" t="str">
        <f t="shared" si="7"/>
        <v/>
      </c>
      <c r="AA1200" s="83" t="str">
        <f t="shared" si="8"/>
        <v/>
      </c>
      <c r="AB1200" s="83" t="str">
        <f t="shared" si="9"/>
        <v/>
      </c>
      <c r="AC1200" s="18"/>
      <c r="AD1200" s="18"/>
      <c r="AE1200" s="43"/>
      <c r="AF1200" s="58" t="s">
        <v>182</v>
      </c>
      <c r="AG1200" s="55" t="str">
        <f t="shared" si="11"/>
        <v/>
      </c>
    </row>
    <row r="1201">
      <c r="A1201" s="7" t="str">
        <f>IFERROR(__xludf.DUMMYFUNCTION("""COMPUTED_VALUE"""),"AR971")</f>
        <v>AR971</v>
      </c>
      <c r="B1201" s="308">
        <f>IFERROR(__xludf.DUMMYFUNCTION("""COMPUTED_VALUE"""),45040.0)</f>
        <v>45040</v>
      </c>
      <c r="C1201" s="309">
        <f>IFERROR(__xludf.DUMMYFUNCTION("""COMPUTED_VALUE"""),0.2486574074074074)</f>
        <v>0.2486574074</v>
      </c>
      <c r="D1201" s="7" t="str">
        <f>IFERROR(__xludf.DUMMYFUNCTION("""COMPUTED_VALUE"""),"SpABRM128250")</f>
        <v>SpABRM128250</v>
      </c>
      <c r="E1201" s="310"/>
      <c r="F1201" s="310"/>
      <c r="G1201" s="310" t="str">
        <f>IFERROR(__xludf.DUMMYFUNCTION("""COMPUTED_VALUE"""),"Negative")</f>
        <v>Negative</v>
      </c>
      <c r="H1201" s="319" t="str">
        <f>IFERROR(__xludf.DUMMYFUNCTION("""COMPUTED_VALUE"""),"Negative")</f>
        <v>Negative</v>
      </c>
      <c r="I1201" s="308">
        <f>IFERROR(__xludf.DUMMYFUNCTION("""COMPUTED_VALUE"""),45044.0)</f>
        <v>45044</v>
      </c>
      <c r="J1201" s="311">
        <f>IFERROR(__xludf.DUMMYFUNCTION("""COMPUTED_VALUE"""),0.42006944444444444)</f>
        <v>0.4200694444</v>
      </c>
      <c r="K1201" s="54"/>
      <c r="L1201" s="7"/>
      <c r="M1201" s="312"/>
      <c r="N1201" s="172">
        <f>IFERROR(__xludf.DUMMYFUNCTION("""COMPUTED_VALUE"""),3.0)</f>
        <v>3</v>
      </c>
      <c r="O1201" s="172"/>
      <c r="P1201" s="313">
        <f>IFERROR(__xludf.DUMMYFUNCTION("""COMPUTED_VALUE"""),4.0)</f>
        <v>4</v>
      </c>
      <c r="Q1201" s="76" t="b">
        <f>VLOOKUP($B1201,'Run Reconcile'!B$2:O1399,14,FALSE)</f>
        <v>1</v>
      </c>
      <c r="R1201" s="314" t="str">
        <f t="array" ref="R1201">IF($Q1201, INDEX('Run Reconcile'!A$2:A1399,MATCH(B1201,'Run Reconcile'!B$2:B1399,0),1),IFERROR(0/0,""))</f>
        <v>RUN-ABRM_2023-04-24_RFR-219</v>
      </c>
      <c r="S1201" s="315" t="str">
        <f t="shared" ref="S1201:T1201" si="2207">IF(COUNTIF(W$2:W1399, $A1201) &gt; 0,TRUE,IFERROR(0/0,""))</f>
        <v/>
      </c>
      <c r="T1201" s="315" t="str">
        <f t="shared" si="2207"/>
        <v/>
      </c>
      <c r="U1201" s="114" t="str">
        <f t="array" ref="U1201">IF(ISBLANK($R1201), INDEX('Run Reconcile'!A$2:A1399, MATCH($B1201, 'Run Reconcile'!B$2:B1399, 0)+Z1201, 1), IFERROR(0/0,""))
</f>
        <v/>
      </c>
      <c r="V1201" s="316" t="str">
        <f t="shared" si="1281"/>
        <v>RUN-ABRM_2023-04-24_RFR-219</v>
      </c>
      <c r="Y1201" s="317" t="str">
        <f t="shared" si="6"/>
        <v/>
      </c>
      <c r="Z1201" s="83" t="str">
        <f t="shared" si="7"/>
        <v/>
      </c>
      <c r="AA1201" s="83" t="str">
        <f t="shared" si="8"/>
        <v/>
      </c>
      <c r="AB1201" s="83" t="str">
        <f t="shared" si="9"/>
        <v/>
      </c>
      <c r="AC1201" s="18"/>
      <c r="AD1201" s="18"/>
      <c r="AE1201" s="43"/>
      <c r="AF1201" s="58" t="s">
        <v>182</v>
      </c>
      <c r="AG1201" s="55" t="str">
        <f t="shared" si="11"/>
        <v/>
      </c>
    </row>
    <row r="1202">
      <c r="A1202" s="7" t="str">
        <f>IFERROR(__xludf.DUMMYFUNCTION("""COMPUTED_VALUE"""),"AR1969")</f>
        <v>AR1969</v>
      </c>
      <c r="B1202" s="308">
        <f>IFERROR(__xludf.DUMMYFUNCTION("""COMPUTED_VALUE"""),45040.0)</f>
        <v>45040</v>
      </c>
      <c r="C1202" s="309">
        <f>IFERROR(__xludf.DUMMYFUNCTION("""COMPUTED_VALUE"""),0.31582175925925926)</f>
        <v>0.3158217593</v>
      </c>
      <c r="D1202" s="7" t="str">
        <f>IFERROR(__xludf.DUMMYFUNCTION("""COMPUTED_VALUE"""),"SpABRM519188")</f>
        <v>SpABRM519188</v>
      </c>
      <c r="E1202" s="310"/>
      <c r="F1202" s="310"/>
      <c r="G1202" s="310" t="str">
        <f>IFERROR(__xludf.DUMMYFUNCTION("""COMPUTED_VALUE"""),"Negative")</f>
        <v>Negative</v>
      </c>
      <c r="H1202" s="319" t="str">
        <f>IFERROR(__xludf.DUMMYFUNCTION("""COMPUTED_VALUE"""),"Negative")</f>
        <v>Negative</v>
      </c>
      <c r="I1202" s="308">
        <f>IFERROR(__xludf.DUMMYFUNCTION("""COMPUTED_VALUE"""),45044.0)</f>
        <v>45044</v>
      </c>
      <c r="J1202" s="311">
        <f>IFERROR(__xludf.DUMMYFUNCTION("""COMPUTED_VALUE"""),0.42006944444444444)</f>
        <v>0.4200694444</v>
      </c>
      <c r="K1202" s="54"/>
      <c r="L1202" s="7"/>
      <c r="M1202" s="312"/>
      <c r="N1202" s="172">
        <f>IFERROR(__xludf.DUMMYFUNCTION("""COMPUTED_VALUE"""),1.0)</f>
        <v>1</v>
      </c>
      <c r="O1202" s="172"/>
      <c r="P1202" s="313">
        <f>IFERROR(__xludf.DUMMYFUNCTION("""COMPUTED_VALUE"""),4.0)</f>
        <v>4</v>
      </c>
      <c r="Q1202" s="76" t="b">
        <f>VLOOKUP($B1202,'Run Reconcile'!B$2:O1399,14,FALSE)</f>
        <v>1</v>
      </c>
      <c r="R1202" s="314" t="str">
        <f t="array" ref="R1202">IF($Q1202, INDEX('Run Reconcile'!A$2:A1399,MATCH(B1202,'Run Reconcile'!B$2:B1399,0),1),IFERROR(0/0,""))</f>
        <v>RUN-ABRM_2023-04-24_RFR-219</v>
      </c>
      <c r="S1202" s="315" t="str">
        <f t="shared" ref="S1202:T1202" si="2208">IF(COUNTIF(W$2:W1399, $A1202) &gt; 0,TRUE,IFERROR(0/0,""))</f>
        <v/>
      </c>
      <c r="T1202" s="315" t="str">
        <f t="shared" si="2208"/>
        <v/>
      </c>
      <c r="U1202" s="114" t="str">
        <f t="array" ref="U1202">IF(ISBLANK($R1202), INDEX('Run Reconcile'!A$2:A1399, MATCH($B1202, 'Run Reconcile'!B$2:B1399, 0)+Z1202, 1), IFERROR(0/0,""))
</f>
        <v/>
      </c>
      <c r="V1202" s="316" t="str">
        <f t="shared" si="1281"/>
        <v>RUN-ABRM_2023-04-24_RFR-219</v>
      </c>
      <c r="Y1202" s="317" t="str">
        <f t="shared" si="6"/>
        <v/>
      </c>
      <c r="Z1202" s="83" t="str">
        <f t="shared" si="7"/>
        <v/>
      </c>
      <c r="AA1202" s="83" t="str">
        <f t="shared" si="8"/>
        <v/>
      </c>
      <c r="AB1202" s="83" t="str">
        <f t="shared" si="9"/>
        <v/>
      </c>
      <c r="AC1202" s="18"/>
      <c r="AD1202" s="18"/>
      <c r="AE1202" s="43"/>
      <c r="AF1202" s="58" t="s">
        <v>182</v>
      </c>
      <c r="AG1202" s="55" t="str">
        <f t="shared" si="11"/>
        <v/>
      </c>
    </row>
    <row r="1203">
      <c r="A1203" s="7" t="str">
        <f>IFERROR(__xludf.DUMMYFUNCTION("""COMPUTED_VALUE"""),"AR1591")</f>
        <v>AR1591</v>
      </c>
      <c r="B1203" s="308">
        <f>IFERROR(__xludf.DUMMYFUNCTION("""COMPUTED_VALUE"""),45040.0)</f>
        <v>45040</v>
      </c>
      <c r="C1203" s="309">
        <f>IFERROR(__xludf.DUMMYFUNCTION("""COMPUTED_VALUE"""),0.33211805555555557)</f>
        <v>0.3321180556</v>
      </c>
      <c r="D1203" s="7" t="str">
        <f>IFERROR(__xludf.DUMMYFUNCTION("""COMPUTED_VALUE"""),"SpABRM841252")</f>
        <v>SpABRM841252</v>
      </c>
      <c r="E1203" s="310"/>
      <c r="F1203" s="310"/>
      <c r="G1203" s="310" t="str">
        <f>IFERROR(__xludf.DUMMYFUNCTION("""COMPUTED_VALUE"""),"Negative")</f>
        <v>Negative</v>
      </c>
      <c r="H1203" s="319" t="str">
        <f>IFERROR(__xludf.DUMMYFUNCTION("""COMPUTED_VALUE"""),"Negative")</f>
        <v>Negative</v>
      </c>
      <c r="I1203" s="308">
        <f>IFERROR(__xludf.DUMMYFUNCTION("""COMPUTED_VALUE"""),45044.0)</f>
        <v>45044</v>
      </c>
      <c r="J1203" s="311">
        <f>IFERROR(__xludf.DUMMYFUNCTION("""COMPUTED_VALUE"""),0.42008101851851853)</f>
        <v>0.4200810185</v>
      </c>
      <c r="K1203" s="54"/>
      <c r="L1203" s="7"/>
      <c r="M1203" s="312"/>
      <c r="N1203" s="172">
        <f>IFERROR(__xludf.DUMMYFUNCTION("""COMPUTED_VALUE"""),1.0)</f>
        <v>1</v>
      </c>
      <c r="O1203" s="172"/>
      <c r="P1203" s="313">
        <f>IFERROR(__xludf.DUMMYFUNCTION("""COMPUTED_VALUE"""),4.0)</f>
        <v>4</v>
      </c>
      <c r="Q1203" s="76" t="b">
        <f>VLOOKUP($B1203,'Run Reconcile'!B$2:O1399,14,FALSE)</f>
        <v>1</v>
      </c>
      <c r="R1203" s="314" t="str">
        <f t="array" ref="R1203">IF($Q1203, INDEX('Run Reconcile'!A$2:A1399,MATCH(B1203,'Run Reconcile'!B$2:B1399,0),1),IFERROR(0/0,""))</f>
        <v>RUN-ABRM_2023-04-24_RFR-219</v>
      </c>
      <c r="S1203" s="315" t="str">
        <f t="shared" ref="S1203:T1203" si="2209">IF(COUNTIF(W$2:W1399, $A1203) &gt; 0,TRUE,IFERROR(0/0,""))</f>
        <v/>
      </c>
      <c r="T1203" s="315" t="str">
        <f t="shared" si="2209"/>
        <v/>
      </c>
      <c r="U1203" s="114" t="str">
        <f t="array" ref="U1203">IF(ISBLANK($R1203), INDEX('Run Reconcile'!A$2:A1399, MATCH($B1203, 'Run Reconcile'!B$2:B1399, 0)+Z1203, 1), IFERROR(0/0,""))
</f>
        <v/>
      </c>
      <c r="V1203" s="316" t="str">
        <f t="shared" si="1281"/>
        <v>RUN-ABRM_2023-04-24_RFR-219</v>
      </c>
      <c r="Y1203" s="317" t="str">
        <f t="shared" si="6"/>
        <v/>
      </c>
      <c r="Z1203" s="83" t="str">
        <f t="shared" si="7"/>
        <v/>
      </c>
      <c r="AA1203" s="83" t="str">
        <f t="shared" si="8"/>
        <v/>
      </c>
      <c r="AB1203" s="83" t="str">
        <f t="shared" si="9"/>
        <v/>
      </c>
      <c r="AC1203" s="18"/>
      <c r="AD1203" s="18"/>
      <c r="AE1203" s="43"/>
      <c r="AF1203" s="58" t="s">
        <v>182</v>
      </c>
      <c r="AG1203" s="55" t="str">
        <f t="shared" si="11"/>
        <v/>
      </c>
    </row>
    <row r="1204">
      <c r="A1204" s="7" t="str">
        <f>IFERROR(__xludf.DUMMYFUNCTION("""COMPUTED_VALUE"""),"AR61")</f>
        <v>AR61</v>
      </c>
      <c r="B1204" s="308">
        <f>IFERROR(__xludf.DUMMYFUNCTION("""COMPUTED_VALUE"""),45040.0)</f>
        <v>45040</v>
      </c>
      <c r="C1204" s="309">
        <f>IFERROR(__xludf.DUMMYFUNCTION("""COMPUTED_VALUE"""),0.33241898148148147)</f>
        <v>0.3324189815</v>
      </c>
      <c r="D1204" s="7" t="str">
        <f>IFERROR(__xludf.DUMMYFUNCTION("""COMPUTED_VALUE"""),"SpABRM841252")</f>
        <v>SpABRM841252</v>
      </c>
      <c r="E1204" s="310"/>
      <c r="F1204" s="310"/>
      <c r="G1204" s="310" t="str">
        <f>IFERROR(__xludf.DUMMYFUNCTION("""COMPUTED_VALUE"""),"Negative")</f>
        <v>Negative</v>
      </c>
      <c r="H1204" s="319" t="str">
        <f>IFERROR(__xludf.DUMMYFUNCTION("""COMPUTED_VALUE"""),"Negative")</f>
        <v>Negative</v>
      </c>
      <c r="I1204" s="308">
        <f>IFERROR(__xludf.DUMMYFUNCTION("""COMPUTED_VALUE"""),45044.0)</f>
        <v>45044</v>
      </c>
      <c r="J1204" s="311">
        <f>IFERROR(__xludf.DUMMYFUNCTION("""COMPUTED_VALUE"""),0.42008101851851853)</f>
        <v>0.4200810185</v>
      </c>
      <c r="K1204" s="54"/>
      <c r="L1204" s="7"/>
      <c r="M1204" s="312"/>
      <c r="N1204" s="172">
        <f>IFERROR(__xludf.DUMMYFUNCTION("""COMPUTED_VALUE"""),1.0)</f>
        <v>1</v>
      </c>
      <c r="O1204" s="172"/>
      <c r="P1204" s="313">
        <f>IFERROR(__xludf.DUMMYFUNCTION("""COMPUTED_VALUE"""),4.0)</f>
        <v>4</v>
      </c>
      <c r="Q1204" s="76" t="b">
        <f>VLOOKUP($B1204,'Run Reconcile'!B$2:O1399,14,FALSE)</f>
        <v>1</v>
      </c>
      <c r="R1204" s="314" t="str">
        <f t="array" ref="R1204">IF($Q1204, INDEX('Run Reconcile'!A$2:A1399,MATCH(B1204,'Run Reconcile'!B$2:B1399,0),1),IFERROR(0/0,""))</f>
        <v>RUN-ABRM_2023-04-24_RFR-219</v>
      </c>
      <c r="S1204" s="315" t="str">
        <f t="shared" ref="S1204:T1204" si="2210">IF(COUNTIF(W$2:W1399, $A1204) &gt; 0,TRUE,IFERROR(0/0,""))</f>
        <v/>
      </c>
      <c r="T1204" s="315" t="str">
        <f t="shared" si="2210"/>
        <v/>
      </c>
      <c r="U1204" s="114" t="str">
        <f t="array" ref="U1204">IF(ISBLANK($R1204), INDEX('Run Reconcile'!A$2:A1399, MATCH($B1204, 'Run Reconcile'!B$2:B1399, 0)+Z1204, 1), IFERROR(0/0,""))
</f>
        <v/>
      </c>
      <c r="V1204" s="316" t="str">
        <f t="shared" si="1281"/>
        <v>RUN-ABRM_2023-04-24_RFR-219</v>
      </c>
      <c r="Y1204" s="317" t="str">
        <f t="shared" si="6"/>
        <v/>
      </c>
      <c r="Z1204" s="83" t="str">
        <f t="shared" si="7"/>
        <v/>
      </c>
      <c r="AA1204" s="83" t="str">
        <f t="shared" si="8"/>
        <v/>
      </c>
      <c r="AB1204" s="83" t="str">
        <f t="shared" si="9"/>
        <v/>
      </c>
      <c r="AC1204" s="18"/>
      <c r="AD1204" s="18"/>
      <c r="AE1204" s="43"/>
      <c r="AF1204" s="58" t="s">
        <v>182</v>
      </c>
      <c r="AG1204" s="55" t="str">
        <f t="shared" si="11"/>
        <v/>
      </c>
    </row>
    <row r="1205">
      <c r="A1205" s="7" t="str">
        <f>IFERROR(__xludf.DUMMYFUNCTION("""COMPUTED_VALUE"""),"AR1728")</f>
        <v>AR1728</v>
      </c>
      <c r="B1205" s="308">
        <f>IFERROR(__xludf.DUMMYFUNCTION("""COMPUTED_VALUE"""),45040.0)</f>
        <v>45040</v>
      </c>
      <c r="C1205" s="309">
        <f>IFERROR(__xludf.DUMMYFUNCTION("""COMPUTED_VALUE"""),0.33275462962962965)</f>
        <v>0.3327546296</v>
      </c>
      <c r="D1205" s="7" t="str">
        <f>IFERROR(__xludf.DUMMYFUNCTION("""COMPUTED_VALUE"""),"SpABRM841252")</f>
        <v>SpABRM841252</v>
      </c>
      <c r="E1205" s="310"/>
      <c r="F1205" s="310"/>
      <c r="G1205" s="310" t="str">
        <f>IFERROR(__xludf.DUMMYFUNCTION("""COMPUTED_VALUE"""),"Negative")</f>
        <v>Negative</v>
      </c>
      <c r="H1205" s="319" t="str">
        <f>IFERROR(__xludf.DUMMYFUNCTION("""COMPUTED_VALUE"""),"Negative")</f>
        <v>Negative</v>
      </c>
      <c r="I1205" s="308">
        <f>IFERROR(__xludf.DUMMYFUNCTION("""COMPUTED_VALUE"""),45044.0)</f>
        <v>45044</v>
      </c>
      <c r="J1205" s="311">
        <f>IFERROR(__xludf.DUMMYFUNCTION("""COMPUTED_VALUE"""),0.42008101851851853)</f>
        <v>0.4200810185</v>
      </c>
      <c r="K1205" s="54"/>
      <c r="L1205" s="7"/>
      <c r="M1205" s="312"/>
      <c r="N1205" s="172">
        <f>IFERROR(__xludf.DUMMYFUNCTION("""COMPUTED_VALUE"""),1.0)</f>
        <v>1</v>
      </c>
      <c r="O1205" s="172"/>
      <c r="P1205" s="313">
        <f>IFERROR(__xludf.DUMMYFUNCTION("""COMPUTED_VALUE"""),4.0)</f>
        <v>4</v>
      </c>
      <c r="Q1205" s="76" t="b">
        <f>VLOOKUP($B1205,'Run Reconcile'!B$2:O1399,14,FALSE)</f>
        <v>1</v>
      </c>
      <c r="R1205" s="314" t="str">
        <f t="array" ref="R1205">IF($Q1205, INDEX('Run Reconcile'!A$2:A1399,MATCH(B1205,'Run Reconcile'!B$2:B1399,0),1),IFERROR(0/0,""))</f>
        <v>RUN-ABRM_2023-04-24_RFR-219</v>
      </c>
      <c r="S1205" s="315" t="str">
        <f t="shared" ref="S1205:T1205" si="2211">IF(COUNTIF(W$2:W1399, $A1205) &gt; 0,TRUE,IFERROR(0/0,""))</f>
        <v/>
      </c>
      <c r="T1205" s="315" t="str">
        <f t="shared" si="2211"/>
        <v/>
      </c>
      <c r="U1205" s="114" t="str">
        <f t="array" ref="U1205">IF(ISBLANK($R1205), INDEX('Run Reconcile'!A$2:A1399, MATCH($B1205, 'Run Reconcile'!B$2:B1399, 0)+Z1205, 1), IFERROR(0/0,""))
</f>
        <v/>
      </c>
      <c r="V1205" s="316" t="str">
        <f t="shared" si="1281"/>
        <v>RUN-ABRM_2023-04-24_RFR-219</v>
      </c>
      <c r="Y1205" s="317" t="str">
        <f t="shared" si="6"/>
        <v/>
      </c>
      <c r="Z1205" s="83" t="str">
        <f t="shared" si="7"/>
        <v/>
      </c>
      <c r="AA1205" s="83" t="str">
        <f t="shared" si="8"/>
        <v/>
      </c>
      <c r="AB1205" s="83" t="str">
        <f t="shared" si="9"/>
        <v/>
      </c>
      <c r="AC1205" s="18"/>
      <c r="AD1205" s="18"/>
      <c r="AE1205" s="43"/>
      <c r="AF1205" s="58" t="s">
        <v>182</v>
      </c>
      <c r="AG1205" s="55" t="str">
        <f t="shared" si="11"/>
        <v/>
      </c>
    </row>
    <row r="1206">
      <c r="A1206" s="7" t="str">
        <f>IFERROR(__xludf.DUMMYFUNCTION("""COMPUTED_VALUE"""),"AR1212")</f>
        <v>AR1212</v>
      </c>
      <c r="B1206" s="308">
        <f>IFERROR(__xludf.DUMMYFUNCTION("""COMPUTED_VALUE"""),45040.0)</f>
        <v>45040</v>
      </c>
      <c r="C1206" s="309">
        <f>IFERROR(__xludf.DUMMYFUNCTION("""COMPUTED_VALUE"""),0.3329166666666667)</f>
        <v>0.3329166667</v>
      </c>
      <c r="D1206" s="7" t="str">
        <f>IFERROR(__xludf.DUMMYFUNCTION("""COMPUTED_VALUE"""),"SpABRM841252")</f>
        <v>SpABRM841252</v>
      </c>
      <c r="E1206" s="310"/>
      <c r="F1206" s="310"/>
      <c r="G1206" s="310" t="str">
        <f>IFERROR(__xludf.DUMMYFUNCTION("""COMPUTED_VALUE"""),"Negative")</f>
        <v>Negative</v>
      </c>
      <c r="H1206" s="319" t="str">
        <f>IFERROR(__xludf.DUMMYFUNCTION("""COMPUTED_VALUE"""),"Negative")</f>
        <v>Negative</v>
      </c>
      <c r="I1206" s="308">
        <f>IFERROR(__xludf.DUMMYFUNCTION("""COMPUTED_VALUE"""),45044.0)</f>
        <v>45044</v>
      </c>
      <c r="J1206" s="311">
        <f>IFERROR(__xludf.DUMMYFUNCTION("""COMPUTED_VALUE"""),0.42008101851851853)</f>
        <v>0.4200810185</v>
      </c>
      <c r="K1206" s="54"/>
      <c r="L1206" s="7"/>
      <c r="M1206" s="312"/>
      <c r="N1206" s="172">
        <f>IFERROR(__xludf.DUMMYFUNCTION("""COMPUTED_VALUE"""),1.0)</f>
        <v>1</v>
      </c>
      <c r="O1206" s="172"/>
      <c r="P1206" s="313">
        <f>IFERROR(__xludf.DUMMYFUNCTION("""COMPUTED_VALUE"""),4.0)</f>
        <v>4</v>
      </c>
      <c r="Q1206" s="76" t="b">
        <f>VLOOKUP($B1206,'Run Reconcile'!B$2:O1399,14,FALSE)</f>
        <v>1</v>
      </c>
      <c r="R1206" s="314" t="str">
        <f t="array" ref="R1206">IF($Q1206, INDEX('Run Reconcile'!A$2:A1399,MATCH(B1206,'Run Reconcile'!B$2:B1399,0),1),IFERROR(0/0,""))</f>
        <v>RUN-ABRM_2023-04-24_RFR-219</v>
      </c>
      <c r="S1206" s="315" t="str">
        <f t="shared" ref="S1206:T1206" si="2212">IF(COUNTIF(W$2:W1399, $A1206) &gt; 0,TRUE,IFERROR(0/0,""))</f>
        <v/>
      </c>
      <c r="T1206" s="315" t="str">
        <f t="shared" si="2212"/>
        <v/>
      </c>
      <c r="U1206" s="114" t="str">
        <f t="array" ref="U1206">IF(ISBLANK($R1206), INDEX('Run Reconcile'!A$2:A1399, MATCH($B1206, 'Run Reconcile'!B$2:B1399, 0)+Z1206, 1), IFERROR(0/0,""))
</f>
        <v/>
      </c>
      <c r="V1206" s="316" t="str">
        <f t="shared" si="1281"/>
        <v>RUN-ABRM_2023-04-24_RFR-219</v>
      </c>
      <c r="Y1206" s="317" t="str">
        <f t="shared" si="6"/>
        <v/>
      </c>
      <c r="Z1206" s="83" t="str">
        <f t="shared" si="7"/>
        <v/>
      </c>
      <c r="AA1206" s="83" t="str">
        <f t="shared" si="8"/>
        <v/>
      </c>
      <c r="AB1206" s="83" t="str">
        <f t="shared" si="9"/>
        <v/>
      </c>
      <c r="AC1206" s="18"/>
      <c r="AD1206" s="18"/>
      <c r="AE1206" s="43"/>
      <c r="AF1206" s="58" t="s">
        <v>182</v>
      </c>
      <c r="AG1206" s="55" t="str">
        <f t="shared" si="11"/>
        <v/>
      </c>
    </row>
    <row r="1207">
      <c r="A1207" s="7" t="str">
        <f>IFERROR(__xludf.DUMMYFUNCTION("""COMPUTED_VALUE"""),"AR1465")</f>
        <v>AR1465</v>
      </c>
      <c r="B1207" s="308">
        <f>IFERROR(__xludf.DUMMYFUNCTION("""COMPUTED_VALUE"""),45040.0)</f>
        <v>45040</v>
      </c>
      <c r="C1207" s="309">
        <f>IFERROR(__xludf.DUMMYFUNCTION("""COMPUTED_VALUE"""),0.33346064814814813)</f>
        <v>0.3334606481</v>
      </c>
      <c r="D1207" s="7" t="str">
        <f>IFERROR(__xludf.DUMMYFUNCTION("""COMPUTED_VALUE"""),"SpABRM841252")</f>
        <v>SpABRM841252</v>
      </c>
      <c r="E1207" s="310"/>
      <c r="F1207" s="310"/>
      <c r="G1207" s="310" t="str">
        <f>IFERROR(__xludf.DUMMYFUNCTION("""COMPUTED_VALUE"""),"Negative")</f>
        <v>Negative</v>
      </c>
      <c r="H1207" s="319" t="str">
        <f>IFERROR(__xludf.DUMMYFUNCTION("""COMPUTED_VALUE"""),"Negative")</f>
        <v>Negative</v>
      </c>
      <c r="I1207" s="308">
        <f>IFERROR(__xludf.DUMMYFUNCTION("""COMPUTED_VALUE"""),45044.0)</f>
        <v>45044</v>
      </c>
      <c r="J1207" s="311">
        <f>IFERROR(__xludf.DUMMYFUNCTION("""COMPUTED_VALUE"""),0.42008101851851853)</f>
        <v>0.4200810185</v>
      </c>
      <c r="K1207" s="54"/>
      <c r="L1207" s="7"/>
      <c r="M1207" s="312"/>
      <c r="N1207" s="172">
        <f>IFERROR(__xludf.DUMMYFUNCTION("""COMPUTED_VALUE"""),1.0)</f>
        <v>1</v>
      </c>
      <c r="O1207" s="172"/>
      <c r="P1207" s="313">
        <f>IFERROR(__xludf.DUMMYFUNCTION("""COMPUTED_VALUE"""),4.0)</f>
        <v>4</v>
      </c>
      <c r="Q1207" s="76" t="b">
        <f>VLOOKUP($B1207,'Run Reconcile'!B$2:O1399,14,FALSE)</f>
        <v>1</v>
      </c>
      <c r="R1207" s="314" t="str">
        <f t="array" ref="R1207">IF($Q1207, INDEX('Run Reconcile'!A$2:A1399,MATCH(B1207,'Run Reconcile'!B$2:B1399,0),1),IFERROR(0/0,""))</f>
        <v>RUN-ABRM_2023-04-24_RFR-219</v>
      </c>
      <c r="S1207" s="315" t="str">
        <f t="shared" ref="S1207:T1207" si="2213">IF(COUNTIF(W$2:W1399, $A1207) &gt; 0,TRUE,IFERROR(0/0,""))</f>
        <v/>
      </c>
      <c r="T1207" s="315" t="str">
        <f t="shared" si="2213"/>
        <v/>
      </c>
      <c r="U1207" s="114" t="str">
        <f t="array" ref="U1207">IF(ISBLANK($R1207), INDEX('Run Reconcile'!A$2:A1399, MATCH($B1207, 'Run Reconcile'!B$2:B1399, 0)+Z1207, 1), IFERROR(0/0,""))
</f>
        <v/>
      </c>
      <c r="V1207" s="316" t="str">
        <f t="shared" si="1281"/>
        <v>RUN-ABRM_2023-04-24_RFR-219</v>
      </c>
      <c r="Y1207" s="317" t="str">
        <f t="shared" si="6"/>
        <v/>
      </c>
      <c r="Z1207" s="83" t="str">
        <f t="shared" si="7"/>
        <v/>
      </c>
      <c r="AA1207" s="83" t="str">
        <f t="shared" si="8"/>
        <v/>
      </c>
      <c r="AB1207" s="83" t="str">
        <f t="shared" si="9"/>
        <v/>
      </c>
      <c r="AC1207" s="18"/>
      <c r="AD1207" s="18"/>
      <c r="AE1207" s="43"/>
      <c r="AF1207" s="58" t="s">
        <v>182</v>
      </c>
      <c r="AG1207" s="55" t="str">
        <f t="shared" si="11"/>
        <v/>
      </c>
    </row>
    <row r="1208">
      <c r="A1208" s="120" t="str">
        <f>IFERROR(__xludf.DUMMYFUNCTION("""COMPUTED_VALUE"""),"AB9958")</f>
        <v>AB9958</v>
      </c>
      <c r="B1208" s="320">
        <f>IFERROR(__xludf.DUMMYFUNCTION("""COMPUTED_VALUE"""),45041.0)</f>
        <v>45041</v>
      </c>
      <c r="C1208" s="321">
        <f>IFERROR(__xludf.DUMMYFUNCTION("""COMPUTED_VALUE"""),0.24002314814814815)</f>
        <v>0.2400231481</v>
      </c>
      <c r="D1208" s="120" t="str">
        <f>IFERROR(__xludf.DUMMYFUNCTION("""COMPUTED_VALUE"""),"SpABRM297307")</f>
        <v>SpABRM297307</v>
      </c>
      <c r="E1208" s="322"/>
      <c r="F1208" s="322"/>
      <c r="G1208" s="322" t="str">
        <f>IFERROR(__xludf.DUMMYFUNCTION("""COMPUTED_VALUE"""),"Negative")</f>
        <v>Negative</v>
      </c>
      <c r="H1208" s="323" t="str">
        <f>IFERROR(__xludf.DUMMYFUNCTION("""COMPUTED_VALUE"""),"Negative")</f>
        <v>Negative</v>
      </c>
      <c r="I1208" s="320">
        <f>IFERROR(__xludf.DUMMYFUNCTION("""COMPUTED_VALUE"""),45044.0)</f>
        <v>45044</v>
      </c>
      <c r="J1208" s="324">
        <f>IFERROR(__xludf.DUMMYFUNCTION("""COMPUTED_VALUE"""),0.4200925925925926)</f>
        <v>0.4200925926</v>
      </c>
      <c r="K1208" s="123"/>
      <c r="L1208" s="120"/>
      <c r="M1208" s="325"/>
      <c r="N1208" s="283">
        <f>IFERROR(__xludf.DUMMYFUNCTION("""COMPUTED_VALUE"""),3.0)</f>
        <v>3</v>
      </c>
      <c r="O1208" s="283"/>
      <c r="P1208" s="326">
        <f>IFERROR(__xludf.DUMMYFUNCTION("""COMPUTED_VALUE"""),3.0)</f>
        <v>3</v>
      </c>
      <c r="Q1208" s="293" t="b">
        <f>VLOOKUP($B1208,'Run Reconcile'!B$2:O1399,14,FALSE)</f>
        <v>1</v>
      </c>
      <c r="R1208" s="327" t="str">
        <f t="array" ref="R1208">IF($Q1208, INDEX('Run Reconcile'!A$2:A1399,MATCH(B1208,'Run Reconcile'!B$2:B1399,0),1),IFERROR(0/0,""))</f>
        <v>RUN-ABRM_2023-04-25_APS-010</v>
      </c>
      <c r="S1208" s="328" t="str">
        <f t="shared" ref="S1208:T1208" si="2214">IF(COUNTIF(W$2:W1399, $A1208) &gt; 0,TRUE,IFERROR(0/0,""))</f>
        <v/>
      </c>
      <c r="T1208" s="328" t="str">
        <f t="shared" si="2214"/>
        <v/>
      </c>
      <c r="U1208" s="294" t="str">
        <f t="array" ref="U1208">IF(ISBLANK($R1208), INDEX('Run Reconcile'!A$2:A1399, MATCH($B1208, 'Run Reconcile'!B$2:B1399, 0)+Z1208, 1), IFERROR(0/0,""))
</f>
        <v/>
      </c>
      <c r="V1208" s="329" t="str">
        <f t="shared" si="1281"/>
        <v>RUN-ABRM_2023-04-25_APS-010</v>
      </c>
      <c r="W1208" s="120"/>
      <c r="X1208" s="120"/>
      <c r="Y1208" s="334" t="str">
        <f t="shared" si="6"/>
        <v/>
      </c>
      <c r="Z1208" s="295" t="str">
        <f t="shared" si="7"/>
        <v/>
      </c>
      <c r="AA1208" s="295" t="str">
        <f t="shared" si="8"/>
        <v/>
      </c>
      <c r="AB1208" s="295" t="str">
        <f t="shared" si="9"/>
        <v/>
      </c>
      <c r="AC1208" s="263"/>
      <c r="AD1208" s="263"/>
      <c r="AE1208" s="125"/>
      <c r="AF1208" s="330" t="s">
        <v>1382</v>
      </c>
      <c r="AG1208" s="268" t="b">
        <f t="shared" si="11"/>
        <v>0</v>
      </c>
      <c r="AH1208" s="120"/>
      <c r="AI1208" s="120"/>
      <c r="AJ1208" s="120"/>
      <c r="AK1208" s="120"/>
    </row>
    <row r="1209">
      <c r="A1209" s="7" t="str">
        <f>IFERROR(__xludf.DUMMYFUNCTION("""COMPUTED_VALUE"""),"AR1083")</f>
        <v>AR1083</v>
      </c>
      <c r="B1209" s="308">
        <f>IFERROR(__xludf.DUMMYFUNCTION("""COMPUTED_VALUE"""),45041.0)</f>
        <v>45041</v>
      </c>
      <c r="C1209" s="309">
        <f>IFERROR(__xludf.DUMMYFUNCTION("""COMPUTED_VALUE"""),0.2634722222222222)</f>
        <v>0.2634722222</v>
      </c>
      <c r="D1209" s="7" t="str">
        <f>IFERROR(__xludf.DUMMYFUNCTION("""COMPUTED_VALUE"""),"SpABRM581899")</f>
        <v>SpABRM581899</v>
      </c>
      <c r="E1209" s="310"/>
      <c r="F1209" s="310"/>
      <c r="G1209" s="310" t="str">
        <f>IFERROR(__xludf.DUMMYFUNCTION("""COMPUTED_VALUE"""),"Negative")</f>
        <v>Negative</v>
      </c>
      <c r="H1209" s="319" t="str">
        <f>IFERROR(__xludf.DUMMYFUNCTION("""COMPUTED_VALUE"""),"Negative")</f>
        <v>Negative</v>
      </c>
      <c r="I1209" s="308">
        <f>IFERROR(__xludf.DUMMYFUNCTION("""COMPUTED_VALUE"""),45044.0)</f>
        <v>45044</v>
      </c>
      <c r="J1209" s="311">
        <f>IFERROR(__xludf.DUMMYFUNCTION("""COMPUTED_VALUE"""),0.4200925925925926)</f>
        <v>0.4200925926</v>
      </c>
      <c r="K1209" s="54"/>
      <c r="L1209" s="7"/>
      <c r="M1209" s="312"/>
      <c r="N1209" s="172">
        <f>IFERROR(__xludf.DUMMYFUNCTION("""COMPUTED_VALUE"""),3.0)</f>
        <v>3</v>
      </c>
      <c r="O1209" s="172"/>
      <c r="P1209" s="313">
        <f>IFERROR(__xludf.DUMMYFUNCTION("""COMPUTED_VALUE"""),3.0)</f>
        <v>3</v>
      </c>
      <c r="Q1209" s="76" t="b">
        <f>VLOOKUP($B1209,'Run Reconcile'!B$2:O1399,14,FALSE)</f>
        <v>1</v>
      </c>
      <c r="R1209" s="314" t="str">
        <f t="array" ref="R1209">IF($Q1209, INDEX('Run Reconcile'!A$2:A1399,MATCH(B1209,'Run Reconcile'!B$2:B1399,0),1),IFERROR(0/0,""))</f>
        <v>RUN-ABRM_2023-04-25_APS-010</v>
      </c>
      <c r="S1209" s="315" t="str">
        <f t="shared" ref="S1209:T1209" si="2215">IF(COUNTIF(W$2:W1399, $A1209) &gt; 0,TRUE,IFERROR(0/0,""))</f>
        <v/>
      </c>
      <c r="T1209" s="315" t="str">
        <f t="shared" si="2215"/>
        <v/>
      </c>
      <c r="U1209" s="114" t="str">
        <f t="array" ref="U1209">IF(ISBLANK($R1209), INDEX('Run Reconcile'!A$2:A1399, MATCH($B1209, 'Run Reconcile'!B$2:B1399, 0)+Z1209, 1), IFERROR(0/0,""))
</f>
        <v/>
      </c>
      <c r="V1209" s="316" t="str">
        <f t="shared" si="1281"/>
        <v>RUN-ABRM_2023-04-25_APS-010</v>
      </c>
      <c r="Y1209" s="317" t="str">
        <f t="shared" si="6"/>
        <v/>
      </c>
      <c r="Z1209" s="83" t="str">
        <f t="shared" si="7"/>
        <v/>
      </c>
      <c r="AA1209" s="83" t="str">
        <f t="shared" si="8"/>
        <v/>
      </c>
      <c r="AB1209" s="83" t="str">
        <f t="shared" si="9"/>
        <v/>
      </c>
      <c r="AC1209" s="18"/>
      <c r="AD1209" s="18"/>
      <c r="AE1209" s="43"/>
      <c r="AF1209" s="58" t="s">
        <v>1382</v>
      </c>
      <c r="AG1209" s="55" t="b">
        <f t="shared" si="11"/>
        <v>0</v>
      </c>
    </row>
    <row r="1210">
      <c r="A1210" s="7" t="str">
        <f>IFERROR(__xludf.DUMMYFUNCTION("""COMPUTED_VALUE"""),"AR1263")</f>
        <v>AR1263</v>
      </c>
      <c r="B1210" s="308">
        <f>IFERROR(__xludf.DUMMYFUNCTION("""COMPUTED_VALUE"""),45041.0)</f>
        <v>45041</v>
      </c>
      <c r="C1210" s="309">
        <f>IFERROR(__xludf.DUMMYFUNCTION("""COMPUTED_VALUE"""),0.2853587962962963)</f>
        <v>0.2853587963</v>
      </c>
      <c r="D1210" s="7" t="str">
        <f>IFERROR(__xludf.DUMMYFUNCTION("""COMPUTED_VALUE"""),"SpABRM128250")</f>
        <v>SpABRM128250</v>
      </c>
      <c r="E1210" s="310"/>
      <c r="F1210" s="310"/>
      <c r="G1210" s="310" t="str">
        <f>IFERROR(__xludf.DUMMYFUNCTION("""COMPUTED_VALUE"""),"Negative")</f>
        <v>Negative</v>
      </c>
      <c r="H1210" s="319" t="str">
        <f>IFERROR(__xludf.DUMMYFUNCTION("""COMPUTED_VALUE"""),"Negative")</f>
        <v>Negative</v>
      </c>
      <c r="I1210" s="308">
        <f>IFERROR(__xludf.DUMMYFUNCTION("""COMPUTED_VALUE"""),45044.0)</f>
        <v>45044</v>
      </c>
      <c r="J1210" s="311">
        <f>IFERROR(__xludf.DUMMYFUNCTION("""COMPUTED_VALUE"""),0.4200925925925926)</f>
        <v>0.4200925926</v>
      </c>
      <c r="K1210" s="54"/>
      <c r="L1210" s="7"/>
      <c r="M1210" s="312"/>
      <c r="N1210" s="172">
        <f>IFERROR(__xludf.DUMMYFUNCTION("""COMPUTED_VALUE"""),3.0)</f>
        <v>3</v>
      </c>
      <c r="O1210" s="172"/>
      <c r="P1210" s="313">
        <f>IFERROR(__xludf.DUMMYFUNCTION("""COMPUTED_VALUE"""),3.0)</f>
        <v>3</v>
      </c>
      <c r="Q1210" s="76" t="b">
        <f>VLOOKUP($B1210,'Run Reconcile'!B$2:O1399,14,FALSE)</f>
        <v>1</v>
      </c>
      <c r="R1210" s="314" t="str">
        <f t="array" ref="R1210">IF($Q1210, INDEX('Run Reconcile'!A$2:A1399,MATCH(B1210,'Run Reconcile'!B$2:B1399,0),1),IFERROR(0/0,""))</f>
        <v>RUN-ABRM_2023-04-25_APS-010</v>
      </c>
      <c r="S1210" s="315" t="str">
        <f t="shared" ref="S1210:T1210" si="2216">IF(COUNTIF(W$2:W1399, $A1210) &gt; 0,TRUE,IFERROR(0/0,""))</f>
        <v/>
      </c>
      <c r="T1210" s="315" t="str">
        <f t="shared" si="2216"/>
        <v/>
      </c>
      <c r="U1210" s="114" t="str">
        <f t="array" ref="U1210">IF(ISBLANK($R1210), INDEX('Run Reconcile'!A$2:A1399, MATCH($B1210, 'Run Reconcile'!B$2:B1399, 0)+Z1210, 1), IFERROR(0/0,""))
</f>
        <v/>
      </c>
      <c r="V1210" s="316" t="str">
        <f t="shared" si="1281"/>
        <v>RUN-ABRM_2023-04-25_APS-010</v>
      </c>
      <c r="Y1210" s="317" t="str">
        <f t="shared" si="6"/>
        <v/>
      </c>
      <c r="Z1210" s="83" t="str">
        <f t="shared" si="7"/>
        <v/>
      </c>
      <c r="AA1210" s="83" t="str">
        <f t="shared" si="8"/>
        <v/>
      </c>
      <c r="AB1210" s="83" t="str">
        <f t="shared" si="9"/>
        <v/>
      </c>
      <c r="AC1210" s="18"/>
      <c r="AD1210" s="18"/>
      <c r="AE1210" s="43"/>
      <c r="AF1210" s="58" t="s">
        <v>1382</v>
      </c>
      <c r="AG1210" s="55" t="b">
        <f t="shared" si="11"/>
        <v>0</v>
      </c>
    </row>
    <row r="1211">
      <c r="A1211" s="7" t="str">
        <f>IFERROR(__xludf.DUMMYFUNCTION("""COMPUTED_VALUE"""),"AR1679")</f>
        <v>AR1679</v>
      </c>
      <c r="B1211" s="308">
        <f>IFERROR(__xludf.DUMMYFUNCTION("""COMPUTED_VALUE"""),45041.0)</f>
        <v>45041</v>
      </c>
      <c r="C1211" s="309">
        <f>IFERROR(__xludf.DUMMYFUNCTION("""COMPUTED_VALUE"""),0.3031712962962963)</f>
        <v>0.3031712963</v>
      </c>
      <c r="D1211" s="7" t="str">
        <f>IFERROR(__xludf.DUMMYFUNCTION("""COMPUTED_VALUE"""),"SpABRM519188")</f>
        <v>SpABRM519188</v>
      </c>
      <c r="E1211" s="310"/>
      <c r="F1211" s="310"/>
      <c r="G1211" s="310" t="str">
        <f>IFERROR(__xludf.DUMMYFUNCTION("""COMPUTED_VALUE"""),"Negative")</f>
        <v>Negative</v>
      </c>
      <c r="H1211" s="319" t="str">
        <f>IFERROR(__xludf.DUMMYFUNCTION("""COMPUTED_VALUE"""),"Negative")</f>
        <v>Negative</v>
      </c>
      <c r="I1211" s="308">
        <f>IFERROR(__xludf.DUMMYFUNCTION("""COMPUTED_VALUE"""),45044.0)</f>
        <v>45044</v>
      </c>
      <c r="J1211" s="311">
        <f>IFERROR(__xludf.DUMMYFUNCTION("""COMPUTED_VALUE"""),0.4200925925925926)</f>
        <v>0.4200925926</v>
      </c>
      <c r="K1211" s="54"/>
      <c r="L1211" s="7"/>
      <c r="M1211" s="312"/>
      <c r="N1211" s="172">
        <f>IFERROR(__xludf.DUMMYFUNCTION("""COMPUTED_VALUE"""),1.0)</f>
        <v>1</v>
      </c>
      <c r="O1211" s="172"/>
      <c r="P1211" s="313">
        <f>IFERROR(__xludf.DUMMYFUNCTION("""COMPUTED_VALUE"""),3.0)</f>
        <v>3</v>
      </c>
      <c r="Q1211" s="76" t="b">
        <f>VLOOKUP($B1211,'Run Reconcile'!B$2:O1399,14,FALSE)</f>
        <v>1</v>
      </c>
      <c r="R1211" s="314" t="str">
        <f t="array" ref="R1211">IF($Q1211, INDEX('Run Reconcile'!A$2:A1399,MATCH(B1211,'Run Reconcile'!B$2:B1399,0),1),IFERROR(0/0,""))</f>
        <v>RUN-ABRM_2023-04-25_APS-010</v>
      </c>
      <c r="S1211" s="315" t="str">
        <f t="shared" ref="S1211:T1211" si="2217">IF(COUNTIF(W$2:W1399, $A1211) &gt; 0,TRUE,IFERROR(0/0,""))</f>
        <v/>
      </c>
      <c r="T1211" s="315" t="str">
        <f t="shared" si="2217"/>
        <v/>
      </c>
      <c r="U1211" s="114" t="str">
        <f t="array" ref="U1211">IF(ISBLANK($R1211), INDEX('Run Reconcile'!A$2:A1399, MATCH($B1211, 'Run Reconcile'!B$2:B1399, 0)+Z1211, 1), IFERROR(0/0,""))
</f>
        <v/>
      </c>
      <c r="V1211" s="316" t="str">
        <f t="shared" si="1281"/>
        <v>RUN-ABRM_2023-04-25_APS-010</v>
      </c>
      <c r="Y1211" s="317" t="str">
        <f t="shared" si="6"/>
        <v/>
      </c>
      <c r="Z1211" s="83" t="str">
        <f t="shared" si="7"/>
        <v/>
      </c>
      <c r="AA1211" s="83" t="str">
        <f t="shared" si="8"/>
        <v/>
      </c>
      <c r="AB1211" s="83" t="str">
        <f t="shared" si="9"/>
        <v/>
      </c>
      <c r="AC1211" s="18"/>
      <c r="AD1211" s="18"/>
      <c r="AE1211" s="43"/>
      <c r="AF1211" s="58" t="s">
        <v>1382</v>
      </c>
      <c r="AG1211" s="55" t="b">
        <f t="shared" si="11"/>
        <v>0</v>
      </c>
    </row>
    <row r="1212">
      <c r="A1212" s="7" t="str">
        <f>IFERROR(__xludf.DUMMYFUNCTION("""COMPUTED_VALUE"""),"AR1454")</f>
        <v>AR1454</v>
      </c>
      <c r="B1212" s="308">
        <f>IFERROR(__xludf.DUMMYFUNCTION("""COMPUTED_VALUE"""),45041.0)</f>
        <v>45041</v>
      </c>
      <c r="C1212" s="309">
        <f>IFERROR(__xludf.DUMMYFUNCTION("""COMPUTED_VALUE"""),0.3285532407407407)</f>
        <v>0.3285532407</v>
      </c>
      <c r="D1212" s="7" t="str">
        <f>IFERROR(__xludf.DUMMYFUNCTION("""COMPUTED_VALUE"""),"SpABRM841252")</f>
        <v>SpABRM841252</v>
      </c>
      <c r="E1212" s="310"/>
      <c r="F1212" s="310"/>
      <c r="G1212" s="310" t="str">
        <f>IFERROR(__xludf.DUMMYFUNCTION("""COMPUTED_VALUE"""),"Negative")</f>
        <v>Negative</v>
      </c>
      <c r="H1212" s="319" t="str">
        <f>IFERROR(__xludf.DUMMYFUNCTION("""COMPUTED_VALUE"""),"Negative")</f>
        <v>Negative</v>
      </c>
      <c r="I1212" s="308">
        <f>IFERROR(__xludf.DUMMYFUNCTION("""COMPUTED_VALUE"""),45044.0)</f>
        <v>45044</v>
      </c>
      <c r="J1212" s="311">
        <f>IFERROR(__xludf.DUMMYFUNCTION("""COMPUTED_VALUE"""),0.42010416666666667)</f>
        <v>0.4201041667</v>
      </c>
      <c r="K1212" s="54"/>
      <c r="L1212" s="7"/>
      <c r="M1212" s="312"/>
      <c r="N1212" s="172">
        <f>IFERROR(__xludf.DUMMYFUNCTION("""COMPUTED_VALUE"""),1.0)</f>
        <v>1</v>
      </c>
      <c r="O1212" s="172"/>
      <c r="P1212" s="313">
        <f>IFERROR(__xludf.DUMMYFUNCTION("""COMPUTED_VALUE"""),3.0)</f>
        <v>3</v>
      </c>
      <c r="Q1212" s="76" t="b">
        <f>VLOOKUP($B1212,'Run Reconcile'!B$2:O1399,14,FALSE)</f>
        <v>1</v>
      </c>
      <c r="R1212" s="314" t="str">
        <f t="array" ref="R1212">IF($Q1212, INDEX('Run Reconcile'!A$2:A1399,MATCH(B1212,'Run Reconcile'!B$2:B1399,0),1),IFERROR(0/0,""))</f>
        <v>RUN-ABRM_2023-04-25_APS-010</v>
      </c>
      <c r="S1212" s="315" t="str">
        <f t="shared" ref="S1212:T1212" si="2218">IF(COUNTIF(W$2:W1399, $A1212) &gt; 0,TRUE,IFERROR(0/0,""))</f>
        <v/>
      </c>
      <c r="T1212" s="315" t="str">
        <f t="shared" si="2218"/>
        <v/>
      </c>
      <c r="U1212" s="114" t="str">
        <f t="array" ref="U1212">IF(ISBLANK($R1212), INDEX('Run Reconcile'!A$2:A1399, MATCH($B1212, 'Run Reconcile'!B$2:B1399, 0)+Z1212, 1), IFERROR(0/0,""))
</f>
        <v/>
      </c>
      <c r="V1212" s="316" t="str">
        <f t="shared" si="1281"/>
        <v>RUN-ABRM_2023-04-25_APS-010</v>
      </c>
      <c r="Y1212" s="317" t="str">
        <f t="shared" si="6"/>
        <v/>
      </c>
      <c r="Z1212" s="83" t="str">
        <f t="shared" si="7"/>
        <v/>
      </c>
      <c r="AA1212" s="83" t="str">
        <f t="shared" si="8"/>
        <v/>
      </c>
      <c r="AB1212" s="83" t="str">
        <f t="shared" si="9"/>
        <v/>
      </c>
      <c r="AC1212" s="18"/>
      <c r="AD1212" s="18"/>
      <c r="AE1212" s="43"/>
      <c r="AF1212" s="58" t="s">
        <v>1382</v>
      </c>
      <c r="AG1212" s="55" t="b">
        <f t="shared" si="11"/>
        <v>0</v>
      </c>
    </row>
    <row r="1213">
      <c r="A1213" s="120" t="str">
        <f>IFERROR(__xludf.DUMMYFUNCTION("""COMPUTED_VALUE"""),"AE9953")</f>
        <v>AE9953</v>
      </c>
      <c r="B1213" s="320">
        <f>IFERROR(__xludf.DUMMYFUNCTION("""COMPUTED_VALUE"""),45042.0)</f>
        <v>45042</v>
      </c>
      <c r="C1213" s="321">
        <f>IFERROR(__xludf.DUMMYFUNCTION("""COMPUTED_VALUE"""),0.2951736111111111)</f>
        <v>0.2951736111</v>
      </c>
      <c r="D1213" s="120" t="str">
        <f>IFERROR(__xludf.DUMMYFUNCTION("""COMPUTED_VALUE"""),"SpABRM297307")</f>
        <v>SpABRM297307</v>
      </c>
      <c r="E1213" s="322"/>
      <c r="F1213" s="322"/>
      <c r="G1213" s="322" t="str">
        <f>IFERROR(__xludf.DUMMYFUNCTION("""COMPUTED_VALUE"""),"Negative")</f>
        <v>Negative</v>
      </c>
      <c r="H1213" s="323" t="str">
        <f>IFERROR(__xludf.DUMMYFUNCTION("""COMPUTED_VALUE"""),"Negative")</f>
        <v>Negative</v>
      </c>
      <c r="I1213" s="320">
        <f>IFERROR(__xludf.DUMMYFUNCTION("""COMPUTED_VALUE"""),45044.0)</f>
        <v>45044</v>
      </c>
      <c r="J1213" s="324">
        <f>IFERROR(__xludf.DUMMYFUNCTION("""COMPUTED_VALUE"""),0.42010416666666667)</f>
        <v>0.4201041667</v>
      </c>
      <c r="K1213" s="123"/>
      <c r="L1213" s="120"/>
      <c r="M1213" s="325"/>
      <c r="N1213" s="283">
        <f>IFERROR(__xludf.DUMMYFUNCTION("""COMPUTED_VALUE"""),3.0)</f>
        <v>3</v>
      </c>
      <c r="O1213" s="283"/>
      <c r="P1213" s="326">
        <f>IFERROR(__xludf.DUMMYFUNCTION("""COMPUTED_VALUE"""),2.0)</f>
        <v>2</v>
      </c>
      <c r="Q1213" s="293" t="b">
        <f>VLOOKUP($B1213,'Run Reconcile'!B$2:O1399,14,FALSE)</f>
        <v>1</v>
      </c>
      <c r="R1213" s="327" t="str">
        <f t="array" ref="R1213">IF($Q1213, INDEX('Run Reconcile'!A$2:A1399,MATCH(B1213,'Run Reconcile'!B$2:B1399,0),1),IFERROR(0/0,""))</f>
        <v>RUN-ABRM_2023-04-26_APS-011</v>
      </c>
      <c r="S1213" s="328" t="str">
        <f t="shared" ref="S1213:T1213" si="2219">IF(COUNTIF(W$2:W1399, $A1213) &gt; 0,TRUE,IFERROR(0/0,""))</f>
        <v/>
      </c>
      <c r="T1213" s="328" t="str">
        <f t="shared" si="2219"/>
        <v/>
      </c>
      <c r="U1213" s="294" t="str">
        <f t="array" ref="U1213">IF(ISBLANK($R1213), INDEX('Run Reconcile'!A$2:A1399, MATCH($B1213, 'Run Reconcile'!B$2:B1399, 0)+Z1213, 1), IFERROR(0/0,""))
</f>
        <v/>
      </c>
      <c r="V1213" s="329" t="str">
        <f t="shared" si="1281"/>
        <v>RUN-ABRM_2023-04-26_APS-011</v>
      </c>
      <c r="W1213" s="120"/>
      <c r="X1213" s="120"/>
      <c r="Y1213" s="334" t="str">
        <f t="shared" si="6"/>
        <v/>
      </c>
      <c r="Z1213" s="295" t="str">
        <f t="shared" si="7"/>
        <v/>
      </c>
      <c r="AA1213" s="295" t="str">
        <f t="shared" si="8"/>
        <v/>
      </c>
      <c r="AB1213" s="295" t="str">
        <f t="shared" si="9"/>
        <v/>
      </c>
      <c r="AC1213" s="263"/>
      <c r="AD1213" s="263"/>
      <c r="AE1213" s="125"/>
      <c r="AF1213" s="330" t="s">
        <v>1383</v>
      </c>
      <c r="AG1213" s="268" t="b">
        <f t="shared" si="11"/>
        <v>0</v>
      </c>
      <c r="AH1213" s="120"/>
      <c r="AI1213" s="120"/>
      <c r="AJ1213" s="120"/>
      <c r="AK1213" s="120"/>
    </row>
    <row r="1214">
      <c r="A1214" s="7" t="str">
        <f>IFERROR(__xludf.DUMMYFUNCTION("""COMPUTED_VALUE"""),"AB9948")</f>
        <v>AB9948</v>
      </c>
      <c r="B1214" s="308">
        <f>IFERROR(__xludf.DUMMYFUNCTION("""COMPUTED_VALUE"""),45042.0)</f>
        <v>45042</v>
      </c>
      <c r="C1214" s="309">
        <f>IFERROR(__xludf.DUMMYFUNCTION("""COMPUTED_VALUE"""),0.3308101851851852)</f>
        <v>0.3308101852</v>
      </c>
      <c r="D1214" s="7" t="str">
        <f>IFERROR(__xludf.DUMMYFUNCTION("""COMPUTED_VALUE"""),"SpABRM841252")</f>
        <v>SpABRM841252</v>
      </c>
      <c r="E1214" s="310"/>
      <c r="F1214" s="310"/>
      <c r="G1214" s="310" t="str">
        <f>IFERROR(__xludf.DUMMYFUNCTION("""COMPUTED_VALUE"""),"Negative")</f>
        <v>Negative</v>
      </c>
      <c r="H1214" s="319" t="str">
        <f>IFERROR(__xludf.DUMMYFUNCTION("""COMPUTED_VALUE"""),"Negative")</f>
        <v>Negative</v>
      </c>
      <c r="I1214" s="308">
        <f>IFERROR(__xludf.DUMMYFUNCTION("""COMPUTED_VALUE"""),45044.0)</f>
        <v>45044</v>
      </c>
      <c r="J1214" s="311">
        <f>IFERROR(__xludf.DUMMYFUNCTION("""COMPUTED_VALUE"""),0.42010416666666667)</f>
        <v>0.4201041667</v>
      </c>
      <c r="K1214" s="54"/>
      <c r="L1214" s="7"/>
      <c r="M1214" s="312"/>
      <c r="N1214" s="172">
        <f>IFERROR(__xludf.DUMMYFUNCTION("""COMPUTED_VALUE"""),2.0)</f>
        <v>2</v>
      </c>
      <c r="O1214" s="172"/>
      <c r="P1214" s="313">
        <f>IFERROR(__xludf.DUMMYFUNCTION("""COMPUTED_VALUE"""),2.0)</f>
        <v>2</v>
      </c>
      <c r="Q1214" s="76" t="b">
        <f>VLOOKUP($B1214,'Run Reconcile'!B$2:O1399,14,FALSE)</f>
        <v>1</v>
      </c>
      <c r="R1214" s="314" t="str">
        <f t="array" ref="R1214">IF($Q1214, INDEX('Run Reconcile'!A$2:A1399,MATCH(B1214,'Run Reconcile'!B$2:B1399,0),1),IFERROR(0/0,""))</f>
        <v>RUN-ABRM_2023-04-26_APS-011</v>
      </c>
      <c r="S1214" s="315" t="str">
        <f t="shared" ref="S1214:T1214" si="2220">IF(COUNTIF(W$2:W1399, $A1214) &gt; 0,TRUE,IFERROR(0/0,""))</f>
        <v/>
      </c>
      <c r="T1214" s="315" t="str">
        <f t="shared" si="2220"/>
        <v/>
      </c>
      <c r="U1214" s="114" t="str">
        <f t="array" ref="U1214">IF(ISBLANK($R1214), INDEX('Run Reconcile'!A$2:A1399, MATCH($B1214, 'Run Reconcile'!B$2:B1399, 0)+Z1214, 1), IFERROR(0/0,""))
</f>
        <v/>
      </c>
      <c r="V1214" s="316" t="str">
        <f t="shared" si="1281"/>
        <v>RUN-ABRM_2023-04-26_APS-011</v>
      </c>
      <c r="Y1214" s="317" t="str">
        <f t="shared" si="6"/>
        <v/>
      </c>
      <c r="Z1214" s="83" t="str">
        <f t="shared" si="7"/>
        <v/>
      </c>
      <c r="AA1214" s="83" t="str">
        <f t="shared" si="8"/>
        <v/>
      </c>
      <c r="AB1214" s="83" t="str">
        <f t="shared" si="9"/>
        <v/>
      </c>
      <c r="AC1214" s="18"/>
      <c r="AD1214" s="18"/>
      <c r="AE1214" s="43"/>
      <c r="AF1214" s="58" t="s">
        <v>1383</v>
      </c>
      <c r="AG1214" s="55" t="b">
        <f t="shared" si="11"/>
        <v>0</v>
      </c>
    </row>
    <row r="1215">
      <c r="A1215" s="7" t="str">
        <f>IFERROR(__xludf.DUMMYFUNCTION("""COMPUTED_VALUE"""),"AR1451")</f>
        <v>AR1451</v>
      </c>
      <c r="B1215" s="308">
        <f>IFERROR(__xludf.DUMMYFUNCTION("""COMPUTED_VALUE"""),45042.0)</f>
        <v>45042</v>
      </c>
      <c r="C1215" s="309">
        <f>IFERROR(__xludf.DUMMYFUNCTION("""COMPUTED_VALUE"""),0.33133101851851854)</f>
        <v>0.3313310185</v>
      </c>
      <c r="D1215" s="7" t="str">
        <f>IFERROR(__xludf.DUMMYFUNCTION("""COMPUTED_VALUE"""),"SpABRM841252")</f>
        <v>SpABRM841252</v>
      </c>
      <c r="E1215" s="310"/>
      <c r="F1215" s="310"/>
      <c r="G1215" s="310" t="str">
        <f>IFERROR(__xludf.DUMMYFUNCTION("""COMPUTED_VALUE"""),"Null")</f>
        <v>Null</v>
      </c>
      <c r="H1215" s="319" t="str">
        <f>IFERROR(__xludf.DUMMYFUNCTION("""COMPUTED_VALUE"""),"Negative")</f>
        <v>Negative</v>
      </c>
      <c r="I1215" s="319"/>
      <c r="J1215" s="54"/>
      <c r="K1215" s="54">
        <f>IFERROR(__xludf.DUMMYFUNCTION("""COMPUTED_VALUE"""),2.0)</f>
        <v>2</v>
      </c>
      <c r="L1215" s="7"/>
      <c r="M1215" s="312"/>
      <c r="N1215" s="172">
        <f>IFERROR(__xludf.DUMMYFUNCTION("""COMPUTED_VALUE"""),1.0)</f>
        <v>1</v>
      </c>
      <c r="O1215" s="172"/>
      <c r="P1215" s="313">
        <f>IFERROR(__xludf.DUMMYFUNCTION("""COMPUTED_VALUE"""),-1.0)</f>
        <v>-1</v>
      </c>
      <c r="Q1215" s="76" t="b">
        <f>VLOOKUP($B1215,'Run Reconcile'!B$2:O1399,14,FALSE)</f>
        <v>1</v>
      </c>
      <c r="R1215" s="314" t="str">
        <f t="array" ref="R1215">IF($Q1215, INDEX('Run Reconcile'!A$2:A1399,MATCH(B1215,'Run Reconcile'!B$2:B1399,0),1),IFERROR(0/0,""))</f>
        <v>RUN-ABRM_2023-04-26_APS-011</v>
      </c>
      <c r="S1215" s="315" t="str">
        <f t="shared" ref="S1215:T1215" si="2221">IF(COUNTIF(W$2:W1399, $A1215) &gt; 0,TRUE,IFERROR(0/0,""))</f>
        <v/>
      </c>
      <c r="T1215" s="315" t="str">
        <f t="shared" si="2221"/>
        <v/>
      </c>
      <c r="U1215" s="114" t="str">
        <f t="array" ref="U1215">IF(ISBLANK($R1215), INDEX('Run Reconcile'!A$2:A1399, MATCH($B1215, 'Run Reconcile'!B$2:B1399, 0)+Z1215, 1), IFERROR(0/0,""))
</f>
        <v/>
      </c>
      <c r="V1215" s="316" t="str">
        <f t="shared" si="1281"/>
        <v>RUN-ABRM_2023-04-26_APS-011</v>
      </c>
      <c r="Y1215" s="317" t="str">
        <f t="shared" si="6"/>
        <v/>
      </c>
      <c r="Z1215" s="83" t="str">
        <f t="shared" si="7"/>
        <v/>
      </c>
      <c r="AA1215" s="83" t="str">
        <f t="shared" si="8"/>
        <v/>
      </c>
      <c r="AB1215" s="83" t="str">
        <f t="shared" si="9"/>
        <v/>
      </c>
      <c r="AC1215" s="18"/>
      <c r="AD1215" s="18"/>
      <c r="AE1215" s="43"/>
      <c r="AF1215" s="58" t="s">
        <v>1383</v>
      </c>
      <c r="AG1215" s="55" t="b">
        <f t="shared" si="11"/>
        <v>0</v>
      </c>
    </row>
    <row r="1216">
      <c r="A1216" s="7" t="str">
        <f>IFERROR(__xludf.DUMMYFUNCTION("""COMPUTED_VALUE"""),"AB9544")</f>
        <v>AB9544</v>
      </c>
      <c r="B1216" s="308">
        <f>IFERROR(__xludf.DUMMYFUNCTION("""COMPUTED_VALUE"""),45042.0)</f>
        <v>45042</v>
      </c>
      <c r="C1216" s="309">
        <f>IFERROR(__xludf.DUMMYFUNCTION("""COMPUTED_VALUE"""),0.3324537037037037)</f>
        <v>0.3324537037</v>
      </c>
      <c r="D1216" s="7" t="str">
        <f>IFERROR(__xludf.DUMMYFUNCTION("""COMPUTED_VALUE"""),"SpABRM841252")</f>
        <v>SpABRM841252</v>
      </c>
      <c r="E1216" s="310"/>
      <c r="F1216" s="310"/>
      <c r="G1216" s="310" t="str">
        <f>IFERROR(__xludf.DUMMYFUNCTION("""COMPUTED_VALUE"""),"Negative")</f>
        <v>Negative</v>
      </c>
      <c r="H1216" s="319" t="str">
        <f>IFERROR(__xludf.DUMMYFUNCTION("""COMPUTED_VALUE"""),"Negative")</f>
        <v>Negative</v>
      </c>
      <c r="I1216" s="308">
        <f>IFERROR(__xludf.DUMMYFUNCTION("""COMPUTED_VALUE"""),45044.0)</f>
        <v>45044</v>
      </c>
      <c r="J1216" s="311">
        <f>IFERROR(__xludf.DUMMYFUNCTION("""COMPUTED_VALUE"""),0.42010416666666667)</f>
        <v>0.4201041667</v>
      </c>
      <c r="K1216" s="54"/>
      <c r="L1216" s="7"/>
      <c r="M1216" s="312"/>
      <c r="N1216" s="172">
        <f>IFERROR(__xludf.DUMMYFUNCTION("""COMPUTED_VALUE"""),1.0)</f>
        <v>1</v>
      </c>
      <c r="O1216" s="172"/>
      <c r="P1216" s="313">
        <f>IFERROR(__xludf.DUMMYFUNCTION("""COMPUTED_VALUE"""),2.0)</f>
        <v>2</v>
      </c>
      <c r="Q1216" s="76" t="b">
        <f>VLOOKUP($B1216,'Run Reconcile'!B$2:O1399,14,FALSE)</f>
        <v>1</v>
      </c>
      <c r="R1216" s="314" t="str">
        <f t="array" ref="R1216">IF($Q1216, INDEX('Run Reconcile'!A$2:A1399,MATCH(B1216,'Run Reconcile'!B$2:B1399,0),1),IFERROR(0/0,""))</f>
        <v>RUN-ABRM_2023-04-26_APS-011</v>
      </c>
      <c r="S1216" s="315" t="str">
        <f t="shared" ref="S1216:T1216" si="2222">IF(COUNTIF(W$2:W1399, $A1216) &gt; 0,TRUE,IFERROR(0/0,""))</f>
        <v/>
      </c>
      <c r="T1216" s="315" t="str">
        <f t="shared" si="2222"/>
        <v/>
      </c>
      <c r="U1216" s="114" t="str">
        <f t="array" ref="U1216">IF(ISBLANK($R1216), INDEX('Run Reconcile'!A$2:A1399, MATCH($B1216, 'Run Reconcile'!B$2:B1399, 0)+Z1216, 1), IFERROR(0/0,""))
</f>
        <v/>
      </c>
      <c r="V1216" s="316" t="str">
        <f t="shared" si="1281"/>
        <v>RUN-ABRM_2023-04-26_APS-011</v>
      </c>
      <c r="Y1216" s="317" t="str">
        <f t="shared" si="6"/>
        <v/>
      </c>
      <c r="Z1216" s="83" t="str">
        <f t="shared" si="7"/>
        <v/>
      </c>
      <c r="AA1216" s="83" t="str">
        <f t="shared" si="8"/>
        <v/>
      </c>
      <c r="AB1216" s="83" t="str">
        <f t="shared" si="9"/>
        <v/>
      </c>
      <c r="AC1216" s="18"/>
      <c r="AD1216" s="18"/>
      <c r="AE1216" s="43"/>
      <c r="AF1216" s="58" t="s">
        <v>1383</v>
      </c>
      <c r="AG1216" s="55" t="b">
        <f t="shared" si="11"/>
        <v>0</v>
      </c>
    </row>
    <row r="1217">
      <c r="A1217" s="7" t="str">
        <f>IFERROR(__xludf.DUMMYFUNCTION("""COMPUTED_VALUE"""),"AK9825")</f>
        <v>AK9825</v>
      </c>
      <c r="B1217" s="308">
        <f>IFERROR(__xludf.DUMMYFUNCTION("""COMPUTED_VALUE"""),45042.0)</f>
        <v>45042</v>
      </c>
      <c r="C1217" s="309">
        <f>IFERROR(__xludf.DUMMYFUNCTION("""COMPUTED_VALUE"""),0.3332060185185185)</f>
        <v>0.3332060185</v>
      </c>
      <c r="D1217" s="7" t="str">
        <f>IFERROR(__xludf.DUMMYFUNCTION("""COMPUTED_VALUE"""),"SpABRM841252")</f>
        <v>SpABRM841252</v>
      </c>
      <c r="E1217" s="310"/>
      <c r="F1217" s="310"/>
      <c r="G1217" s="310" t="str">
        <f>IFERROR(__xludf.DUMMYFUNCTION("""COMPUTED_VALUE"""),"Negative")</f>
        <v>Negative</v>
      </c>
      <c r="H1217" s="319" t="str">
        <f>IFERROR(__xludf.DUMMYFUNCTION("""COMPUTED_VALUE"""),"Negative")</f>
        <v>Negative</v>
      </c>
      <c r="I1217" s="308">
        <f>IFERROR(__xludf.DUMMYFUNCTION("""COMPUTED_VALUE"""),45044.0)</f>
        <v>45044</v>
      </c>
      <c r="J1217" s="311">
        <f>IFERROR(__xludf.DUMMYFUNCTION("""COMPUTED_VALUE"""),0.42011574074074076)</f>
        <v>0.4201157407</v>
      </c>
      <c r="K1217" s="54"/>
      <c r="L1217" s="7"/>
      <c r="M1217" s="312"/>
      <c r="N1217" s="172">
        <f>IFERROR(__xludf.DUMMYFUNCTION("""COMPUTED_VALUE"""),1.0)</f>
        <v>1</v>
      </c>
      <c r="O1217" s="172"/>
      <c r="P1217" s="313">
        <f>IFERROR(__xludf.DUMMYFUNCTION("""COMPUTED_VALUE"""),2.0)</f>
        <v>2</v>
      </c>
      <c r="Q1217" s="76" t="b">
        <f>VLOOKUP($B1217,'Run Reconcile'!B$2:O1399,14,FALSE)</f>
        <v>1</v>
      </c>
      <c r="R1217" s="314" t="str">
        <f t="array" ref="R1217">IF($Q1217, INDEX('Run Reconcile'!A$2:A1399,MATCH(B1217,'Run Reconcile'!B$2:B1399,0),1),IFERROR(0/0,""))</f>
        <v>RUN-ABRM_2023-04-26_APS-011</v>
      </c>
      <c r="S1217" s="315" t="str">
        <f t="shared" ref="S1217:T1217" si="2223">IF(COUNTIF(W$2:W1399, $A1217) &gt; 0,TRUE,IFERROR(0/0,""))</f>
        <v/>
      </c>
      <c r="T1217" s="315" t="str">
        <f t="shared" si="2223"/>
        <v/>
      </c>
      <c r="U1217" s="114" t="str">
        <f t="array" ref="U1217">IF(ISBLANK($R1217), INDEX('Run Reconcile'!A$2:A1399, MATCH($B1217, 'Run Reconcile'!B$2:B1399, 0)+Z1217, 1), IFERROR(0/0,""))
</f>
        <v/>
      </c>
      <c r="V1217" s="316" t="str">
        <f t="shared" si="1281"/>
        <v>RUN-ABRM_2023-04-26_APS-011</v>
      </c>
      <c r="Y1217" s="317" t="str">
        <f t="shared" si="6"/>
        <v/>
      </c>
      <c r="Z1217" s="83" t="str">
        <f t="shared" si="7"/>
        <v/>
      </c>
      <c r="AA1217" s="83" t="str">
        <f t="shared" si="8"/>
        <v/>
      </c>
      <c r="AB1217" s="83" t="str">
        <f t="shared" si="9"/>
        <v/>
      </c>
      <c r="AC1217" s="18"/>
      <c r="AD1217" s="18"/>
      <c r="AE1217" s="43"/>
      <c r="AF1217" s="58" t="s">
        <v>1383</v>
      </c>
      <c r="AG1217" s="55" t="b">
        <f t="shared" si="11"/>
        <v>0</v>
      </c>
    </row>
    <row r="1218">
      <c r="A1218" s="7" t="str">
        <f>IFERROR(__xludf.DUMMYFUNCTION("""COMPUTED_VALUE"""),"AR973")</f>
        <v>AR973</v>
      </c>
      <c r="B1218" s="308">
        <f>IFERROR(__xludf.DUMMYFUNCTION("""COMPUTED_VALUE"""),45043.0)</f>
        <v>45043</v>
      </c>
      <c r="C1218" s="309">
        <f>IFERROR(__xludf.DUMMYFUNCTION("""COMPUTED_VALUE"""),0.2861226851851852)</f>
        <v>0.2861226852</v>
      </c>
      <c r="D1218" s="7" t="str">
        <f>IFERROR(__xludf.DUMMYFUNCTION("""COMPUTED_VALUE"""),"SpABRM128250")</f>
        <v>SpABRM128250</v>
      </c>
      <c r="E1218" s="310"/>
      <c r="F1218" s="310"/>
      <c r="G1218" s="310" t="str">
        <f>IFERROR(__xludf.DUMMYFUNCTION("""COMPUTED_VALUE"""),"Negative")</f>
        <v>Negative</v>
      </c>
      <c r="H1218" s="319" t="str">
        <f>IFERROR(__xludf.DUMMYFUNCTION("""COMPUTED_VALUE"""),"Negative")</f>
        <v>Negative</v>
      </c>
      <c r="I1218" s="308">
        <f>IFERROR(__xludf.DUMMYFUNCTION("""COMPUTED_VALUE"""),45044.0)</f>
        <v>45044</v>
      </c>
      <c r="J1218" s="311">
        <f>IFERROR(__xludf.DUMMYFUNCTION("""COMPUTED_VALUE"""),0.42011574074074076)</f>
        <v>0.4201157407</v>
      </c>
      <c r="K1218" s="54"/>
      <c r="L1218" s="7"/>
      <c r="M1218" s="312"/>
      <c r="N1218" s="172">
        <f>IFERROR(__xludf.DUMMYFUNCTION("""COMPUTED_VALUE"""),3.0)</f>
        <v>3</v>
      </c>
      <c r="O1218" s="172"/>
      <c r="P1218" s="313">
        <f>IFERROR(__xludf.DUMMYFUNCTION("""COMPUTED_VALUE"""),1.0)</f>
        <v>1</v>
      </c>
      <c r="Q1218" s="76" t="b">
        <f>VLOOKUP($B1218,'Run Reconcile'!B$2:O1399,14,FALSE)</f>
        <v>1</v>
      </c>
      <c r="R1218" s="314" t="str">
        <f t="array" ref="R1218">IF($Q1218, INDEX('Run Reconcile'!A$2:A1399,MATCH(B1218,'Run Reconcile'!B$2:B1399,0),1),IFERROR(0/0,""))</f>
        <v>RUN-ABRM_2023-04-27_APS-012</v>
      </c>
      <c r="S1218" s="315" t="str">
        <f t="shared" ref="S1218:T1218" si="2224">IF(COUNTIF(W$2:W1399, $A1218) &gt; 0,TRUE,IFERROR(0/0,""))</f>
        <v/>
      </c>
      <c r="T1218" s="315" t="str">
        <f t="shared" si="2224"/>
        <v/>
      </c>
      <c r="U1218" s="114" t="str">
        <f t="array" ref="U1218">IF(ISBLANK($R1218), INDEX('Run Reconcile'!A$2:A1399, MATCH($B1218, 'Run Reconcile'!B$2:B1399, 0)+Z1218, 1), IFERROR(0/0,""))
</f>
        <v/>
      </c>
      <c r="V1218" s="316" t="str">
        <f t="shared" si="1281"/>
        <v>RUN-ABRM_2023-04-27_APS-012</v>
      </c>
      <c r="Y1218" s="317" t="str">
        <f t="shared" si="6"/>
        <v/>
      </c>
      <c r="Z1218" s="83" t="str">
        <f t="shared" si="7"/>
        <v/>
      </c>
      <c r="AA1218" s="83" t="str">
        <f t="shared" si="8"/>
        <v/>
      </c>
      <c r="AB1218" s="83" t="str">
        <f t="shared" si="9"/>
        <v/>
      </c>
      <c r="AC1218" s="18"/>
      <c r="AD1218" s="18"/>
      <c r="AE1218" s="43"/>
      <c r="AF1218" s="58" t="s">
        <v>1384</v>
      </c>
      <c r="AG1218" s="55" t="b">
        <f t="shared" si="11"/>
        <v>0</v>
      </c>
    </row>
    <row r="1219">
      <c r="A1219" s="7" t="str">
        <f>IFERROR(__xludf.DUMMYFUNCTION("""COMPUTED_VALUE"""),"AK9596")</f>
        <v>AK9596</v>
      </c>
      <c r="B1219" s="308">
        <f>IFERROR(__xludf.DUMMYFUNCTION("""COMPUTED_VALUE"""),45043.0)</f>
        <v>45043</v>
      </c>
      <c r="C1219" s="309">
        <f>IFERROR(__xludf.DUMMYFUNCTION("""COMPUTED_VALUE"""),0.29912037037037037)</f>
        <v>0.2991203704</v>
      </c>
      <c r="D1219" s="7" t="str">
        <f>IFERROR(__xludf.DUMMYFUNCTION("""COMPUTED_VALUE"""),"SpABRM581899")</f>
        <v>SpABRM581899</v>
      </c>
      <c r="E1219" s="310"/>
      <c r="F1219" s="310"/>
      <c r="G1219" s="310" t="str">
        <f>IFERROR(__xludf.DUMMYFUNCTION("""COMPUTED_VALUE"""),"Negative")</f>
        <v>Negative</v>
      </c>
      <c r="H1219" s="319" t="str">
        <f>IFERROR(__xludf.DUMMYFUNCTION("""COMPUTED_VALUE"""),"Negative")</f>
        <v>Negative</v>
      </c>
      <c r="I1219" s="308">
        <f>IFERROR(__xludf.DUMMYFUNCTION("""COMPUTED_VALUE"""),45044.0)</f>
        <v>45044</v>
      </c>
      <c r="J1219" s="311">
        <f>IFERROR(__xludf.DUMMYFUNCTION("""COMPUTED_VALUE"""),0.42011574074074076)</f>
        <v>0.4201157407</v>
      </c>
      <c r="K1219" s="54"/>
      <c r="L1219" s="7"/>
      <c r="M1219" s="312"/>
      <c r="N1219" s="172">
        <f>IFERROR(__xludf.DUMMYFUNCTION("""COMPUTED_VALUE"""),3.0)</f>
        <v>3</v>
      </c>
      <c r="O1219" s="172"/>
      <c r="P1219" s="313">
        <f>IFERROR(__xludf.DUMMYFUNCTION("""COMPUTED_VALUE"""),1.0)</f>
        <v>1</v>
      </c>
      <c r="Q1219" s="76" t="b">
        <f>VLOOKUP($B1219,'Run Reconcile'!B$2:O1399,14,FALSE)</f>
        <v>1</v>
      </c>
      <c r="R1219" s="314" t="str">
        <f t="array" ref="R1219">IF($Q1219, INDEX('Run Reconcile'!A$2:A1399,MATCH(B1219,'Run Reconcile'!B$2:B1399,0),1),IFERROR(0/0,""))</f>
        <v>RUN-ABRM_2023-04-27_APS-012</v>
      </c>
      <c r="S1219" s="315" t="str">
        <f t="shared" ref="S1219:T1219" si="2225">IF(COUNTIF(W$2:W1399, $A1219) &gt; 0,TRUE,IFERROR(0/0,""))</f>
        <v/>
      </c>
      <c r="T1219" s="315" t="str">
        <f t="shared" si="2225"/>
        <v/>
      </c>
      <c r="U1219" s="114" t="str">
        <f t="array" ref="U1219">IF(ISBLANK($R1219), INDEX('Run Reconcile'!A$2:A1399, MATCH($B1219, 'Run Reconcile'!B$2:B1399, 0)+Z1219, 1), IFERROR(0/0,""))
</f>
        <v/>
      </c>
      <c r="V1219" s="316" t="str">
        <f t="shared" si="1281"/>
        <v>RUN-ABRM_2023-04-27_APS-012</v>
      </c>
      <c r="Y1219" s="317" t="str">
        <f t="shared" si="6"/>
        <v/>
      </c>
      <c r="Z1219" s="83" t="str">
        <f t="shared" si="7"/>
        <v/>
      </c>
      <c r="AA1219" s="83" t="str">
        <f t="shared" si="8"/>
        <v/>
      </c>
      <c r="AB1219" s="83" t="str">
        <f t="shared" si="9"/>
        <v/>
      </c>
      <c r="AC1219" s="18"/>
      <c r="AD1219" s="18"/>
      <c r="AE1219" s="43"/>
      <c r="AF1219" s="58" t="s">
        <v>1384</v>
      </c>
      <c r="AG1219" s="55" t="b">
        <f t="shared" si="11"/>
        <v>0</v>
      </c>
    </row>
    <row r="1220">
      <c r="A1220" s="7" t="str">
        <f>IFERROR(__xludf.DUMMYFUNCTION("""COMPUTED_VALUE"""),"AK9895")</f>
        <v>AK9895</v>
      </c>
      <c r="B1220" s="308">
        <f>IFERROR(__xludf.DUMMYFUNCTION("""COMPUTED_VALUE"""),45043.0)</f>
        <v>45043</v>
      </c>
      <c r="C1220" s="309">
        <f>IFERROR(__xludf.DUMMYFUNCTION("""COMPUTED_VALUE"""),0.30113425925925924)</f>
        <v>0.3011342593</v>
      </c>
      <c r="D1220" s="7" t="str">
        <f>IFERROR(__xludf.DUMMYFUNCTION("""COMPUTED_VALUE"""),"SpABRM367540")</f>
        <v>SpABRM367540</v>
      </c>
      <c r="E1220" s="310"/>
      <c r="F1220" s="310"/>
      <c r="G1220" s="310" t="str">
        <f>IFERROR(__xludf.DUMMYFUNCTION("""COMPUTED_VALUE"""),"Negative")</f>
        <v>Negative</v>
      </c>
      <c r="H1220" s="319" t="str">
        <f>IFERROR(__xludf.DUMMYFUNCTION("""COMPUTED_VALUE"""),"Negative")</f>
        <v>Negative</v>
      </c>
      <c r="I1220" s="308">
        <f>IFERROR(__xludf.DUMMYFUNCTION("""COMPUTED_VALUE"""),45044.0)</f>
        <v>45044</v>
      </c>
      <c r="J1220" s="311">
        <f>IFERROR(__xludf.DUMMYFUNCTION("""COMPUTED_VALUE"""),0.42011574074074076)</f>
        <v>0.4201157407</v>
      </c>
      <c r="K1220" s="54"/>
      <c r="L1220" s="7"/>
      <c r="M1220" s="312"/>
      <c r="N1220" s="172">
        <f>IFERROR(__xludf.DUMMYFUNCTION("""COMPUTED_VALUE"""),3.0)</f>
        <v>3</v>
      </c>
      <c r="O1220" s="172"/>
      <c r="P1220" s="313">
        <f>IFERROR(__xludf.DUMMYFUNCTION("""COMPUTED_VALUE"""),1.0)</f>
        <v>1</v>
      </c>
      <c r="Q1220" s="76" t="b">
        <f>VLOOKUP($B1220,'Run Reconcile'!B$2:O1399,14,FALSE)</f>
        <v>1</v>
      </c>
      <c r="R1220" s="314" t="str">
        <f t="array" ref="R1220">IF($Q1220, INDEX('Run Reconcile'!A$2:A1399,MATCH(B1220,'Run Reconcile'!B$2:B1399,0),1),IFERROR(0/0,""))</f>
        <v>RUN-ABRM_2023-04-27_APS-012</v>
      </c>
      <c r="S1220" s="315" t="str">
        <f t="shared" ref="S1220:T1220" si="2226">IF(COUNTIF(W$2:W1399, $A1220) &gt; 0,TRUE,IFERROR(0/0,""))</f>
        <v/>
      </c>
      <c r="T1220" s="315" t="str">
        <f t="shared" si="2226"/>
        <v/>
      </c>
      <c r="U1220" s="114" t="str">
        <f t="array" ref="U1220">IF(ISBLANK($R1220), INDEX('Run Reconcile'!A$2:A1399, MATCH($B1220, 'Run Reconcile'!B$2:B1399, 0)+Z1220, 1), IFERROR(0/0,""))
</f>
        <v/>
      </c>
      <c r="V1220" s="316" t="str">
        <f t="shared" si="1281"/>
        <v>RUN-ABRM_2023-04-27_APS-012</v>
      </c>
      <c r="Y1220" s="317" t="str">
        <f t="shared" si="6"/>
        <v/>
      </c>
      <c r="Z1220" s="83" t="str">
        <f t="shared" si="7"/>
        <v/>
      </c>
      <c r="AA1220" s="83" t="str">
        <f t="shared" si="8"/>
        <v/>
      </c>
      <c r="AB1220" s="83" t="str">
        <f t="shared" si="9"/>
        <v/>
      </c>
      <c r="AC1220" s="18"/>
      <c r="AD1220" s="18"/>
      <c r="AE1220" s="43"/>
      <c r="AF1220" s="58" t="s">
        <v>1384</v>
      </c>
      <c r="AG1220" s="55" t="b">
        <f t="shared" si="11"/>
        <v>0</v>
      </c>
    </row>
    <row r="1221">
      <c r="A1221" s="7" t="str">
        <f>IFERROR(__xludf.DUMMYFUNCTION("""COMPUTED_VALUE"""),"AR1609")</f>
        <v>AR1609</v>
      </c>
      <c r="B1221" s="308">
        <f>IFERROR(__xludf.DUMMYFUNCTION("""COMPUTED_VALUE"""),45043.0)</f>
        <v>45043</v>
      </c>
      <c r="C1221" s="309">
        <f>IFERROR(__xludf.DUMMYFUNCTION("""COMPUTED_VALUE"""),0.3092476851851852)</f>
        <v>0.3092476852</v>
      </c>
      <c r="D1221" s="7" t="str">
        <f>IFERROR(__xludf.DUMMYFUNCTION("""COMPUTED_VALUE"""),"SpABRM519188")</f>
        <v>SpABRM519188</v>
      </c>
      <c r="E1221" s="310"/>
      <c r="F1221" s="310"/>
      <c r="G1221" s="310" t="str">
        <f>IFERROR(__xludf.DUMMYFUNCTION("""COMPUTED_VALUE"""),"Negative")</f>
        <v>Negative</v>
      </c>
      <c r="H1221" s="319" t="str">
        <f>IFERROR(__xludf.DUMMYFUNCTION("""COMPUTED_VALUE"""),"Negative")</f>
        <v>Negative</v>
      </c>
      <c r="I1221" s="308">
        <f>IFERROR(__xludf.DUMMYFUNCTION("""COMPUTED_VALUE"""),45044.0)</f>
        <v>45044</v>
      </c>
      <c r="J1221" s="311">
        <f>IFERROR(__xludf.DUMMYFUNCTION("""COMPUTED_VALUE"""),0.4201273148148148)</f>
        <v>0.4201273148</v>
      </c>
      <c r="K1221" s="54"/>
      <c r="L1221" s="7"/>
      <c r="M1221" s="312"/>
      <c r="N1221" s="172">
        <f>IFERROR(__xludf.DUMMYFUNCTION("""COMPUTED_VALUE"""),1.0)</f>
        <v>1</v>
      </c>
      <c r="O1221" s="172"/>
      <c r="P1221" s="313">
        <f>IFERROR(__xludf.DUMMYFUNCTION("""COMPUTED_VALUE"""),1.0)</f>
        <v>1</v>
      </c>
      <c r="Q1221" s="76" t="b">
        <f>VLOOKUP($B1221,'Run Reconcile'!B$2:O1399,14,FALSE)</f>
        <v>1</v>
      </c>
      <c r="R1221" s="314" t="str">
        <f t="array" ref="R1221">IF($Q1221, INDEX('Run Reconcile'!A$2:A1399,MATCH(B1221,'Run Reconcile'!B$2:B1399,0),1),IFERROR(0/0,""))</f>
        <v>RUN-ABRM_2023-04-27_APS-012</v>
      </c>
      <c r="S1221" s="315" t="str">
        <f t="shared" ref="S1221:T1221" si="2227">IF(COUNTIF(W$2:W1399, $A1221) &gt; 0,TRUE,IFERROR(0/0,""))</f>
        <v/>
      </c>
      <c r="T1221" s="315" t="str">
        <f t="shared" si="2227"/>
        <v/>
      </c>
      <c r="U1221" s="114" t="str">
        <f t="array" ref="U1221">IF(ISBLANK($R1221), INDEX('Run Reconcile'!A$2:A1399, MATCH($B1221, 'Run Reconcile'!B$2:B1399, 0)+Z1221, 1), IFERROR(0/0,""))
</f>
        <v/>
      </c>
      <c r="V1221" s="316" t="str">
        <f t="shared" si="1281"/>
        <v>RUN-ABRM_2023-04-27_APS-012</v>
      </c>
      <c r="Y1221" s="317" t="str">
        <f t="shared" si="6"/>
        <v/>
      </c>
      <c r="Z1221" s="83" t="str">
        <f t="shared" si="7"/>
        <v/>
      </c>
      <c r="AA1221" s="83" t="str">
        <f t="shared" si="8"/>
        <v/>
      </c>
      <c r="AB1221" s="83" t="str">
        <f t="shared" si="9"/>
        <v/>
      </c>
      <c r="AC1221" s="18"/>
      <c r="AD1221" s="18"/>
      <c r="AE1221" s="43"/>
      <c r="AF1221" s="58" t="s">
        <v>1384</v>
      </c>
      <c r="AG1221" s="55" t="b">
        <f t="shared" si="11"/>
        <v>0</v>
      </c>
    </row>
    <row r="1222">
      <c r="A1222" s="7" t="str">
        <f>IFERROR(__xludf.DUMMYFUNCTION("""COMPUTED_VALUE"""),"AR988")</f>
        <v>AR988</v>
      </c>
      <c r="B1222" s="308">
        <f>IFERROR(__xludf.DUMMYFUNCTION("""COMPUTED_VALUE"""),45043.0)</f>
        <v>45043</v>
      </c>
      <c r="C1222" s="309">
        <f>IFERROR(__xludf.DUMMYFUNCTION("""COMPUTED_VALUE"""),0.3370486111111111)</f>
        <v>0.3370486111</v>
      </c>
      <c r="D1222" s="7" t="str">
        <f>IFERROR(__xludf.DUMMYFUNCTION("""COMPUTED_VALUE"""),"SpABRM841252")</f>
        <v>SpABRM841252</v>
      </c>
      <c r="E1222" s="310"/>
      <c r="F1222" s="310"/>
      <c r="G1222" s="310" t="str">
        <f>IFERROR(__xludf.DUMMYFUNCTION("""COMPUTED_VALUE"""),"Negative")</f>
        <v>Negative</v>
      </c>
      <c r="H1222" s="319" t="str">
        <f>IFERROR(__xludf.DUMMYFUNCTION("""COMPUTED_VALUE"""),"Negative")</f>
        <v>Negative</v>
      </c>
      <c r="I1222" s="308">
        <f>IFERROR(__xludf.DUMMYFUNCTION("""COMPUTED_VALUE"""),45044.0)</f>
        <v>45044</v>
      </c>
      <c r="J1222" s="311">
        <f>IFERROR(__xludf.DUMMYFUNCTION("""COMPUTED_VALUE"""),0.4201273148148148)</f>
        <v>0.4201273148</v>
      </c>
      <c r="K1222" s="54"/>
      <c r="L1222" s="7"/>
      <c r="M1222" s="312"/>
      <c r="N1222" s="172">
        <f>IFERROR(__xludf.DUMMYFUNCTION("""COMPUTED_VALUE"""),1.0)</f>
        <v>1</v>
      </c>
      <c r="O1222" s="172"/>
      <c r="P1222" s="313">
        <f>IFERROR(__xludf.DUMMYFUNCTION("""COMPUTED_VALUE"""),1.0)</f>
        <v>1</v>
      </c>
      <c r="Q1222" s="76" t="b">
        <f>VLOOKUP($B1222,'Run Reconcile'!B$2:O1399,14,FALSE)</f>
        <v>1</v>
      </c>
      <c r="R1222" s="314" t="str">
        <f t="array" ref="R1222">IF($Q1222, INDEX('Run Reconcile'!A$2:A1399,MATCH(B1222,'Run Reconcile'!B$2:B1399,0),1),IFERROR(0/0,""))</f>
        <v>RUN-ABRM_2023-04-27_APS-012</v>
      </c>
      <c r="S1222" s="315" t="str">
        <f t="shared" ref="S1222:T1222" si="2228">IF(COUNTIF(W$2:W1399, $A1222) &gt; 0,TRUE,IFERROR(0/0,""))</f>
        <v/>
      </c>
      <c r="T1222" s="315" t="str">
        <f t="shared" si="2228"/>
        <v/>
      </c>
      <c r="U1222" s="114" t="str">
        <f t="array" ref="U1222">IF(ISBLANK($R1222), INDEX('Run Reconcile'!A$2:A1399, MATCH($B1222, 'Run Reconcile'!B$2:B1399, 0)+Z1222, 1), IFERROR(0/0,""))
</f>
        <v/>
      </c>
      <c r="V1222" s="316" t="str">
        <f t="shared" si="1281"/>
        <v>RUN-ABRM_2023-04-27_APS-012</v>
      </c>
      <c r="Y1222" s="317" t="str">
        <f t="shared" si="6"/>
        <v/>
      </c>
      <c r="Z1222" s="83" t="str">
        <f t="shared" si="7"/>
        <v/>
      </c>
      <c r="AA1222" s="83" t="str">
        <f t="shared" si="8"/>
        <v/>
      </c>
      <c r="AB1222" s="83" t="str">
        <f t="shared" si="9"/>
        <v/>
      </c>
      <c r="AC1222" s="18"/>
      <c r="AD1222" s="18"/>
      <c r="AE1222" s="43"/>
      <c r="AF1222" s="58" t="s">
        <v>1384</v>
      </c>
      <c r="AG1222" s="55" t="b">
        <f t="shared" si="11"/>
        <v>0</v>
      </c>
    </row>
    <row r="1223">
      <c r="A1223" s="7" t="str">
        <f>IFERROR(__xludf.DUMMYFUNCTION("""COMPUTED_VALUE"""),"AR1165")</f>
        <v>AR1165</v>
      </c>
      <c r="B1223" s="308">
        <f>IFERROR(__xludf.DUMMYFUNCTION("""COMPUTED_VALUE"""),45043.0)</f>
        <v>45043</v>
      </c>
      <c r="C1223" s="309">
        <f>IFERROR(__xludf.DUMMYFUNCTION("""COMPUTED_VALUE"""),0.33788194444444447)</f>
        <v>0.3378819444</v>
      </c>
      <c r="D1223" s="7" t="str">
        <f>IFERROR(__xludf.DUMMYFUNCTION("""COMPUTED_VALUE"""),"SpABRM841252")</f>
        <v>SpABRM841252</v>
      </c>
      <c r="E1223" s="310"/>
      <c r="F1223" s="310"/>
      <c r="G1223" s="310" t="str">
        <f>IFERROR(__xludf.DUMMYFUNCTION("""COMPUTED_VALUE"""),"Negative")</f>
        <v>Negative</v>
      </c>
      <c r="H1223" s="319" t="str">
        <f>IFERROR(__xludf.DUMMYFUNCTION("""COMPUTED_VALUE"""),"Negative")</f>
        <v>Negative</v>
      </c>
      <c r="I1223" s="308">
        <f>IFERROR(__xludf.DUMMYFUNCTION("""COMPUTED_VALUE"""),45044.0)</f>
        <v>45044</v>
      </c>
      <c r="J1223" s="311">
        <f>IFERROR(__xludf.DUMMYFUNCTION("""COMPUTED_VALUE"""),0.4201273148148148)</f>
        <v>0.4201273148</v>
      </c>
      <c r="K1223" s="54"/>
      <c r="L1223" s="7"/>
      <c r="M1223" s="312"/>
      <c r="N1223" s="172">
        <f>IFERROR(__xludf.DUMMYFUNCTION("""COMPUTED_VALUE"""),1.0)</f>
        <v>1</v>
      </c>
      <c r="O1223" s="172"/>
      <c r="P1223" s="313">
        <f>IFERROR(__xludf.DUMMYFUNCTION("""COMPUTED_VALUE"""),1.0)</f>
        <v>1</v>
      </c>
      <c r="Q1223" s="76" t="b">
        <f>VLOOKUP($B1223,'Run Reconcile'!B$2:O1399,14,FALSE)</f>
        <v>1</v>
      </c>
      <c r="R1223" s="314" t="str">
        <f t="array" ref="R1223">IF($Q1223, INDEX('Run Reconcile'!A$2:A1399,MATCH(B1223,'Run Reconcile'!B$2:B1399,0),1),IFERROR(0/0,""))</f>
        <v>RUN-ABRM_2023-04-27_APS-012</v>
      </c>
      <c r="S1223" s="315" t="str">
        <f t="shared" ref="S1223:T1223" si="2229">IF(COUNTIF(W$2:W1399, $A1223) &gt; 0,TRUE,IFERROR(0/0,""))</f>
        <v/>
      </c>
      <c r="T1223" s="315" t="str">
        <f t="shared" si="2229"/>
        <v/>
      </c>
      <c r="U1223" s="114" t="str">
        <f t="array" ref="U1223">IF(ISBLANK($R1223), INDEX('Run Reconcile'!A$2:A1399, MATCH($B1223, 'Run Reconcile'!B$2:B1399, 0)+Z1223, 1), IFERROR(0/0,""))
</f>
        <v/>
      </c>
      <c r="V1223" s="316" t="str">
        <f t="shared" si="1281"/>
        <v>RUN-ABRM_2023-04-27_APS-012</v>
      </c>
      <c r="Y1223" s="317" t="str">
        <f t="shared" si="6"/>
        <v/>
      </c>
      <c r="Z1223" s="83" t="str">
        <f t="shared" si="7"/>
        <v/>
      </c>
      <c r="AA1223" s="83" t="str">
        <f t="shared" si="8"/>
        <v/>
      </c>
      <c r="AB1223" s="83" t="str">
        <f t="shared" si="9"/>
        <v/>
      </c>
      <c r="AC1223" s="18"/>
      <c r="AD1223" s="18"/>
      <c r="AE1223" s="43"/>
      <c r="AF1223" s="58" t="s">
        <v>1384</v>
      </c>
      <c r="AG1223" s="55" t="b">
        <f t="shared" si="11"/>
        <v>0</v>
      </c>
    </row>
    <row r="1224">
      <c r="A1224" s="7" t="str">
        <f>IFERROR(__xludf.DUMMYFUNCTION("""COMPUTED_VALUE"""),"AR974")</f>
        <v>AR974</v>
      </c>
      <c r="B1224" s="308">
        <f>IFERROR(__xludf.DUMMYFUNCTION("""COMPUTED_VALUE"""),45044.0)</f>
        <v>45044</v>
      </c>
      <c r="C1224" s="309">
        <f>IFERROR(__xludf.DUMMYFUNCTION("""COMPUTED_VALUE"""),0.2737384259259259)</f>
        <v>0.2737384259</v>
      </c>
      <c r="D1224" s="7" t="str">
        <f>IFERROR(__xludf.DUMMYFUNCTION("""COMPUTED_VALUE"""),"SpABRM581899")</f>
        <v>SpABRM581899</v>
      </c>
      <c r="E1224" s="310"/>
      <c r="F1224" s="310"/>
      <c r="G1224" s="310" t="str">
        <f>IFERROR(__xludf.DUMMYFUNCTION("""COMPUTED_VALUE"""),"Negative")</f>
        <v>Negative</v>
      </c>
      <c r="H1224" s="319" t="str">
        <f>IFERROR(__xludf.DUMMYFUNCTION("""COMPUTED_VALUE"""),"Negative")</f>
        <v>Negative</v>
      </c>
      <c r="I1224" s="308">
        <f>IFERROR(__xludf.DUMMYFUNCTION("""COMPUTED_VALUE"""),45044.0)</f>
        <v>45044</v>
      </c>
      <c r="J1224" s="311">
        <f>IFERROR(__xludf.DUMMYFUNCTION("""COMPUTED_VALUE"""),0.4201273148148148)</f>
        <v>0.4201273148</v>
      </c>
      <c r="K1224" s="54"/>
      <c r="L1224" s="7"/>
      <c r="M1224" s="312"/>
      <c r="N1224" s="172">
        <f>IFERROR(__xludf.DUMMYFUNCTION("""COMPUTED_VALUE"""),3.0)</f>
        <v>3</v>
      </c>
      <c r="O1224" s="172"/>
      <c r="P1224" s="313">
        <f>IFERROR(__xludf.DUMMYFUNCTION("""COMPUTED_VALUE"""),0.0)</f>
        <v>0</v>
      </c>
      <c r="Q1224" s="76" t="b">
        <f>VLOOKUP($B1224,'Run Reconcile'!B$2:O1399,14,FALSE)</f>
        <v>1</v>
      </c>
      <c r="R1224" s="314" t="str">
        <f t="array" ref="R1224">IF($Q1224, INDEX('Run Reconcile'!A$2:A1399,MATCH(B1224,'Run Reconcile'!B$2:B1399,0),1),IFERROR(0/0,""))</f>
        <v>RUN-ABRM_2023-04-28_RFR-221</v>
      </c>
      <c r="S1224" s="315" t="str">
        <f t="shared" ref="S1224:T1224" si="2230">IF(COUNTIF(W$2:W1399, $A1224) &gt; 0,TRUE,IFERROR(0/0,""))</f>
        <v/>
      </c>
      <c r="T1224" s="315" t="str">
        <f t="shared" si="2230"/>
        <v/>
      </c>
      <c r="U1224" s="114" t="str">
        <f t="array" ref="U1224">IF(ISBLANK($R1224), INDEX('Run Reconcile'!A$2:A1399, MATCH($B1224, 'Run Reconcile'!B$2:B1399, 0)+Z1224, 1), IFERROR(0/0,""))
</f>
        <v/>
      </c>
      <c r="V1224" s="316" t="str">
        <f t="shared" si="1281"/>
        <v>RUN-ABRM_2023-04-28_RFR-221</v>
      </c>
      <c r="Y1224" s="317" t="str">
        <f t="shared" si="6"/>
        <v/>
      </c>
      <c r="Z1224" s="83" t="str">
        <f t="shared" si="7"/>
        <v/>
      </c>
      <c r="AA1224" s="83" t="str">
        <f t="shared" si="8"/>
        <v/>
      </c>
      <c r="AB1224" s="83" t="str">
        <f t="shared" si="9"/>
        <v/>
      </c>
      <c r="AC1224" s="18"/>
      <c r="AD1224" s="18"/>
      <c r="AE1224" s="43"/>
      <c r="AF1224" s="58" t="s">
        <v>186</v>
      </c>
      <c r="AG1224" s="55" t="str">
        <f t="shared" si="11"/>
        <v/>
      </c>
    </row>
    <row r="1225">
      <c r="A1225" s="7" t="str">
        <f>IFERROR(__xludf.DUMMYFUNCTION("""COMPUTED_VALUE"""),"AK9988")</f>
        <v>AK9988</v>
      </c>
      <c r="B1225" s="308">
        <f>IFERROR(__xludf.DUMMYFUNCTION("""COMPUTED_VALUE"""),45044.0)</f>
        <v>45044</v>
      </c>
      <c r="C1225" s="309">
        <f>IFERROR(__xludf.DUMMYFUNCTION("""COMPUTED_VALUE"""),0.2841898148148148)</f>
        <v>0.2841898148</v>
      </c>
      <c r="D1225" s="7" t="str">
        <f>IFERROR(__xludf.DUMMYFUNCTION("""COMPUTED_VALUE"""),"SpABRM128250")</f>
        <v>SpABRM128250</v>
      </c>
      <c r="E1225" s="310"/>
      <c r="F1225" s="310"/>
      <c r="G1225" s="310" t="str">
        <f>IFERROR(__xludf.DUMMYFUNCTION("""COMPUTED_VALUE"""),"Negative")</f>
        <v>Negative</v>
      </c>
      <c r="H1225" s="319" t="str">
        <f>IFERROR(__xludf.DUMMYFUNCTION("""COMPUTED_VALUE"""),"Negative")</f>
        <v>Negative</v>
      </c>
      <c r="I1225" s="308">
        <f>IFERROR(__xludf.DUMMYFUNCTION("""COMPUTED_VALUE"""),45044.0)</f>
        <v>45044</v>
      </c>
      <c r="J1225" s="311">
        <f>IFERROR(__xludf.DUMMYFUNCTION("""COMPUTED_VALUE"""),0.4201388888888889)</f>
        <v>0.4201388889</v>
      </c>
      <c r="K1225" s="54"/>
      <c r="L1225" s="7"/>
      <c r="M1225" s="312"/>
      <c r="N1225" s="172">
        <f>IFERROR(__xludf.DUMMYFUNCTION("""COMPUTED_VALUE"""),3.0)</f>
        <v>3</v>
      </c>
      <c r="O1225" s="172"/>
      <c r="P1225" s="313">
        <f>IFERROR(__xludf.DUMMYFUNCTION("""COMPUTED_VALUE"""),0.0)</f>
        <v>0</v>
      </c>
      <c r="Q1225" s="76" t="b">
        <f>VLOOKUP($B1225,'Run Reconcile'!B$2:O1399,14,FALSE)</f>
        <v>1</v>
      </c>
      <c r="R1225" s="314" t="str">
        <f t="array" ref="R1225">IF($Q1225, INDEX('Run Reconcile'!A$2:A1399,MATCH(B1225,'Run Reconcile'!B$2:B1399,0),1),IFERROR(0/0,""))</f>
        <v>RUN-ABRM_2023-04-28_RFR-221</v>
      </c>
      <c r="S1225" s="315" t="str">
        <f t="shared" ref="S1225:T1225" si="2231">IF(COUNTIF(W$2:W1399, $A1225) &gt; 0,TRUE,IFERROR(0/0,""))</f>
        <v/>
      </c>
      <c r="T1225" s="315" t="str">
        <f t="shared" si="2231"/>
        <v/>
      </c>
      <c r="U1225" s="114" t="str">
        <f t="array" ref="U1225">IF(ISBLANK($R1225), INDEX('Run Reconcile'!A$2:A1399, MATCH($B1225, 'Run Reconcile'!B$2:B1399, 0)+Z1225, 1), IFERROR(0/0,""))
</f>
        <v/>
      </c>
      <c r="V1225" s="316" t="str">
        <f t="shared" si="1281"/>
        <v>RUN-ABRM_2023-04-28_RFR-221</v>
      </c>
      <c r="Y1225" s="317" t="str">
        <f t="shared" si="6"/>
        <v/>
      </c>
      <c r="Z1225" s="83" t="str">
        <f t="shared" si="7"/>
        <v/>
      </c>
      <c r="AA1225" s="83" t="str">
        <f t="shared" si="8"/>
        <v/>
      </c>
      <c r="AB1225" s="83" t="str">
        <f t="shared" si="9"/>
        <v/>
      </c>
      <c r="AC1225" s="18"/>
      <c r="AD1225" s="18"/>
      <c r="AE1225" s="43"/>
      <c r="AF1225" s="58" t="s">
        <v>186</v>
      </c>
      <c r="AG1225" s="55" t="str">
        <f t="shared" si="11"/>
        <v/>
      </c>
    </row>
    <row r="1226">
      <c r="A1226" s="7" t="str">
        <f>IFERROR(__xludf.DUMMYFUNCTION("""COMPUTED_VALUE"""),"AB9655")</f>
        <v>AB9655</v>
      </c>
      <c r="B1226" s="308">
        <f>IFERROR(__xludf.DUMMYFUNCTION("""COMPUTED_VALUE"""),45044.0)</f>
        <v>45044</v>
      </c>
      <c r="C1226" s="309">
        <f>IFERROR(__xludf.DUMMYFUNCTION("""COMPUTED_VALUE"""),0.3267361111111111)</f>
        <v>0.3267361111</v>
      </c>
      <c r="D1226" s="7" t="str">
        <f>IFERROR(__xludf.DUMMYFUNCTION("""COMPUTED_VALUE"""),"SpABRM519188")</f>
        <v>SpABRM519188</v>
      </c>
      <c r="E1226" s="310"/>
      <c r="F1226" s="310"/>
      <c r="G1226" s="310" t="str">
        <f>IFERROR(__xludf.DUMMYFUNCTION("""COMPUTED_VALUE"""),"Negative")</f>
        <v>Negative</v>
      </c>
      <c r="H1226" s="319" t="str">
        <f>IFERROR(__xludf.DUMMYFUNCTION("""COMPUTED_VALUE"""),"Negative")</f>
        <v>Negative</v>
      </c>
      <c r="I1226" s="308">
        <f>IFERROR(__xludf.DUMMYFUNCTION("""COMPUTED_VALUE"""),45044.0)</f>
        <v>45044</v>
      </c>
      <c r="J1226" s="311">
        <f>IFERROR(__xludf.DUMMYFUNCTION("""COMPUTED_VALUE"""),0.4201388888888889)</f>
        <v>0.4201388889</v>
      </c>
      <c r="K1226" s="54"/>
      <c r="L1226" s="7"/>
      <c r="M1226" s="312"/>
      <c r="N1226" s="172">
        <f>IFERROR(__xludf.DUMMYFUNCTION("""COMPUTED_VALUE"""),1.0)</f>
        <v>1</v>
      </c>
      <c r="O1226" s="172"/>
      <c r="P1226" s="313">
        <f>IFERROR(__xludf.DUMMYFUNCTION("""COMPUTED_VALUE"""),0.0)</f>
        <v>0</v>
      </c>
      <c r="Q1226" s="76" t="b">
        <f>VLOOKUP($B1226,'Run Reconcile'!B$2:O1399,14,FALSE)</f>
        <v>1</v>
      </c>
      <c r="R1226" s="314" t="str">
        <f t="array" ref="R1226">IF($Q1226, INDEX('Run Reconcile'!A$2:A1399,MATCH(B1226,'Run Reconcile'!B$2:B1399,0),1),IFERROR(0/0,""))</f>
        <v>RUN-ABRM_2023-04-28_RFR-221</v>
      </c>
      <c r="S1226" s="315" t="str">
        <f t="shared" ref="S1226:T1226" si="2232">IF(COUNTIF(W$2:W1399, $A1226) &gt; 0,TRUE,IFERROR(0/0,""))</f>
        <v/>
      </c>
      <c r="T1226" s="315" t="str">
        <f t="shared" si="2232"/>
        <v/>
      </c>
      <c r="U1226" s="114" t="str">
        <f t="array" ref="U1226">IF(ISBLANK($R1226), INDEX('Run Reconcile'!A$2:A1399, MATCH($B1226, 'Run Reconcile'!B$2:B1399, 0)+Z1226, 1), IFERROR(0/0,""))
</f>
        <v/>
      </c>
      <c r="V1226" s="316" t="str">
        <f t="shared" si="1281"/>
        <v>RUN-ABRM_2023-04-28_RFR-221</v>
      </c>
      <c r="Y1226" s="317" t="str">
        <f t="shared" si="6"/>
        <v/>
      </c>
      <c r="Z1226" s="83" t="str">
        <f t="shared" si="7"/>
        <v/>
      </c>
      <c r="AA1226" s="83" t="str">
        <f t="shared" si="8"/>
        <v/>
      </c>
      <c r="AB1226" s="83" t="str">
        <f t="shared" si="9"/>
        <v/>
      </c>
      <c r="AC1226" s="18"/>
      <c r="AD1226" s="18"/>
      <c r="AE1226" s="43"/>
      <c r="AF1226" s="58" t="s">
        <v>186</v>
      </c>
      <c r="AG1226" s="55" t="str">
        <f t="shared" si="11"/>
        <v/>
      </c>
    </row>
    <row r="1227">
      <c r="A1227" s="7" t="str">
        <f>IFERROR(__xludf.DUMMYFUNCTION("""COMPUTED_VALUE"""),"AR1799")</f>
        <v>AR1799</v>
      </c>
      <c r="B1227" s="308">
        <f>IFERROR(__xludf.DUMMYFUNCTION("""COMPUTED_VALUE"""),45044.0)</f>
        <v>45044</v>
      </c>
      <c r="C1227" s="309">
        <f>IFERROR(__xludf.DUMMYFUNCTION("""COMPUTED_VALUE"""),0.33152777777777775)</f>
        <v>0.3315277778</v>
      </c>
      <c r="D1227" s="7" t="str">
        <f>IFERROR(__xludf.DUMMYFUNCTION("""COMPUTED_VALUE"""),"SpABRM841252")</f>
        <v>SpABRM841252</v>
      </c>
      <c r="E1227" s="310"/>
      <c r="F1227" s="310"/>
      <c r="G1227" s="310" t="str">
        <f>IFERROR(__xludf.DUMMYFUNCTION("""COMPUTED_VALUE"""),"Negative")</f>
        <v>Negative</v>
      </c>
      <c r="H1227" s="319" t="str">
        <f>IFERROR(__xludf.DUMMYFUNCTION("""COMPUTED_VALUE"""),"Negative")</f>
        <v>Negative</v>
      </c>
      <c r="I1227" s="308">
        <f>IFERROR(__xludf.DUMMYFUNCTION("""COMPUTED_VALUE"""),45044.0)</f>
        <v>45044</v>
      </c>
      <c r="J1227" s="311">
        <f>IFERROR(__xludf.DUMMYFUNCTION("""COMPUTED_VALUE"""),0.4201388888888889)</f>
        <v>0.4201388889</v>
      </c>
      <c r="K1227" s="54"/>
      <c r="L1227" s="7"/>
      <c r="M1227" s="312"/>
      <c r="N1227" s="172">
        <f>IFERROR(__xludf.DUMMYFUNCTION("""COMPUTED_VALUE"""),1.0)</f>
        <v>1</v>
      </c>
      <c r="O1227" s="172"/>
      <c r="P1227" s="313">
        <f>IFERROR(__xludf.DUMMYFUNCTION("""COMPUTED_VALUE"""),0.0)</f>
        <v>0</v>
      </c>
      <c r="Q1227" s="76" t="b">
        <f>VLOOKUP($B1227,'Run Reconcile'!B$2:O1399,14,FALSE)</f>
        <v>1</v>
      </c>
      <c r="R1227" s="314" t="str">
        <f t="array" ref="R1227">IF($Q1227, INDEX('Run Reconcile'!A$2:A1399,MATCH(B1227,'Run Reconcile'!B$2:B1399,0),1),IFERROR(0/0,""))</f>
        <v>RUN-ABRM_2023-04-28_RFR-221</v>
      </c>
      <c r="S1227" s="315" t="str">
        <f t="shared" ref="S1227:T1227" si="2233">IF(COUNTIF(W$2:W1399, $A1227) &gt; 0,TRUE,IFERROR(0/0,""))</f>
        <v/>
      </c>
      <c r="T1227" s="315" t="str">
        <f t="shared" si="2233"/>
        <v/>
      </c>
      <c r="U1227" s="114" t="str">
        <f t="array" ref="U1227">IF(ISBLANK($R1227), INDEX('Run Reconcile'!A$2:A1399, MATCH($B1227, 'Run Reconcile'!B$2:B1399, 0)+Z1227, 1), IFERROR(0/0,""))
</f>
        <v/>
      </c>
      <c r="V1227" s="316" t="str">
        <f t="shared" si="1281"/>
        <v>RUN-ABRM_2023-04-28_RFR-221</v>
      </c>
      <c r="Y1227" s="317" t="str">
        <f t="shared" si="6"/>
        <v/>
      </c>
      <c r="Z1227" s="83" t="str">
        <f t="shared" si="7"/>
        <v/>
      </c>
      <c r="AA1227" s="83" t="str">
        <f t="shared" si="8"/>
        <v/>
      </c>
      <c r="AB1227" s="83" t="str">
        <f t="shared" si="9"/>
        <v/>
      </c>
      <c r="AC1227" s="18"/>
      <c r="AD1227" s="18"/>
      <c r="AE1227" s="43"/>
      <c r="AF1227" s="58" t="s">
        <v>186</v>
      </c>
      <c r="AG1227" s="55" t="str">
        <f t="shared" si="11"/>
        <v/>
      </c>
    </row>
    <row r="1228">
      <c r="A1228" s="7" t="str">
        <f>IFERROR(__xludf.DUMMYFUNCTION("""COMPUTED_VALUE"""),"AR1858")</f>
        <v>AR1858</v>
      </c>
      <c r="B1228" s="308">
        <f>IFERROR(__xludf.DUMMYFUNCTION("""COMPUTED_VALUE"""),45044.0)</f>
        <v>45044</v>
      </c>
      <c r="C1228" s="309">
        <f>IFERROR(__xludf.DUMMYFUNCTION("""COMPUTED_VALUE"""),0.33197916666666666)</f>
        <v>0.3319791667</v>
      </c>
      <c r="D1228" s="7" t="str">
        <f>IFERROR(__xludf.DUMMYFUNCTION("""COMPUTED_VALUE"""),"SpABRM841252")</f>
        <v>SpABRM841252</v>
      </c>
      <c r="E1228" s="310"/>
      <c r="F1228" s="310"/>
      <c r="G1228" s="310" t="str">
        <f>IFERROR(__xludf.DUMMYFUNCTION("""COMPUTED_VALUE"""),"Negative")</f>
        <v>Negative</v>
      </c>
      <c r="H1228" s="319" t="str">
        <f>IFERROR(__xludf.DUMMYFUNCTION("""COMPUTED_VALUE"""),"Negative")</f>
        <v>Negative</v>
      </c>
      <c r="I1228" s="308">
        <f>IFERROR(__xludf.DUMMYFUNCTION("""COMPUTED_VALUE"""),45044.0)</f>
        <v>45044</v>
      </c>
      <c r="J1228" s="311">
        <f>IFERROR(__xludf.DUMMYFUNCTION("""COMPUTED_VALUE"""),0.4201388888888889)</f>
        <v>0.4201388889</v>
      </c>
      <c r="K1228" s="54"/>
      <c r="L1228" s="7"/>
      <c r="M1228" s="312"/>
      <c r="N1228" s="172">
        <f>IFERROR(__xludf.DUMMYFUNCTION("""COMPUTED_VALUE"""),1.0)</f>
        <v>1</v>
      </c>
      <c r="O1228" s="172"/>
      <c r="P1228" s="313">
        <f>IFERROR(__xludf.DUMMYFUNCTION("""COMPUTED_VALUE"""),0.0)</f>
        <v>0</v>
      </c>
      <c r="Q1228" s="76" t="b">
        <f>VLOOKUP($B1228,'Run Reconcile'!B$2:O1399,14,FALSE)</f>
        <v>1</v>
      </c>
      <c r="R1228" s="314" t="str">
        <f t="array" ref="R1228">IF($Q1228, INDEX('Run Reconcile'!A$2:A1399,MATCH(B1228,'Run Reconcile'!B$2:B1399,0),1),IFERROR(0/0,""))</f>
        <v>RUN-ABRM_2023-04-28_RFR-221</v>
      </c>
      <c r="S1228" s="315" t="str">
        <f t="shared" ref="S1228:T1228" si="2234">IF(COUNTIF(W$2:W1399, $A1228) &gt; 0,TRUE,IFERROR(0/0,""))</f>
        <v/>
      </c>
      <c r="T1228" s="315" t="str">
        <f t="shared" si="2234"/>
        <v/>
      </c>
      <c r="U1228" s="114" t="str">
        <f t="array" ref="U1228">IF(ISBLANK($R1228), INDEX('Run Reconcile'!A$2:A1399, MATCH($B1228, 'Run Reconcile'!B$2:B1399, 0)+Z1228, 1), IFERROR(0/0,""))
</f>
        <v/>
      </c>
      <c r="V1228" s="316" t="str">
        <f t="shared" si="1281"/>
        <v>RUN-ABRM_2023-04-28_RFR-221</v>
      </c>
      <c r="Y1228" s="317" t="str">
        <f t="shared" si="6"/>
        <v/>
      </c>
      <c r="Z1228" s="83" t="str">
        <f t="shared" si="7"/>
        <v/>
      </c>
      <c r="AA1228" s="83" t="str">
        <f t="shared" si="8"/>
        <v/>
      </c>
      <c r="AB1228" s="83" t="str">
        <f t="shared" si="9"/>
        <v/>
      </c>
      <c r="AC1228" s="18"/>
      <c r="AD1228" s="18"/>
      <c r="AE1228" s="43"/>
      <c r="AF1228" s="58" t="s">
        <v>186</v>
      </c>
      <c r="AG1228" s="55" t="str">
        <f t="shared" si="11"/>
        <v/>
      </c>
    </row>
    <row r="1229">
      <c r="A1229" s="7" t="str">
        <f>IFERROR(__xludf.DUMMYFUNCTION("""COMPUTED_VALUE"""),"AR1737")</f>
        <v>AR1737</v>
      </c>
      <c r="B1229" s="308">
        <f>IFERROR(__xludf.DUMMYFUNCTION("""COMPUTED_VALUE"""),45048.0)</f>
        <v>45048</v>
      </c>
      <c r="C1229" s="309">
        <f>IFERROR(__xludf.DUMMYFUNCTION("""COMPUTED_VALUE"""),0.21149305555555556)</f>
        <v>0.2114930556</v>
      </c>
      <c r="D1229" s="7" t="str">
        <f>IFERROR(__xludf.DUMMYFUNCTION("""COMPUTED_VALUE"""),"SpABRM454310")</f>
        <v>SpABRM454310</v>
      </c>
      <c r="E1229" s="310"/>
      <c r="F1229" s="310"/>
      <c r="G1229" s="310" t="str">
        <f>IFERROR(__xludf.DUMMYFUNCTION("""COMPUTED_VALUE"""),"Null")</f>
        <v>Null</v>
      </c>
      <c r="H1229" s="319" t="str">
        <f>IFERROR(__xludf.DUMMYFUNCTION("""COMPUTED_VALUE"""),"Negative")</f>
        <v>Negative</v>
      </c>
      <c r="I1229" s="319"/>
      <c r="J1229" s="54"/>
      <c r="K1229" s="54">
        <f>IFERROR(__xludf.DUMMYFUNCTION("""COMPUTED_VALUE"""),2.2)</f>
        <v>2.2</v>
      </c>
      <c r="L1229" s="7"/>
      <c r="M1229" s="312"/>
      <c r="N1229" s="172">
        <f>IFERROR(__xludf.DUMMYFUNCTION("""COMPUTED_VALUE"""),3.0)</f>
        <v>3</v>
      </c>
      <c r="O1229" s="172"/>
      <c r="P1229" s="313">
        <f>IFERROR(__xludf.DUMMYFUNCTION("""COMPUTED_VALUE"""),-1.0)</f>
        <v>-1</v>
      </c>
      <c r="Q1229" s="76" t="b">
        <f>VLOOKUP($B1229,'Run Reconcile'!B$2:O1399,14,FALSE)</f>
        <v>1</v>
      </c>
      <c r="R1229" s="314" t="str">
        <f t="array" ref="R1229">IF($Q1229, INDEX('Run Reconcile'!A$2:A1399,MATCH(B1229,'Run Reconcile'!B$2:B1399,0),1),IFERROR(0/0,""))</f>
        <v>RUN-ABRM_2023-05-02_APS-013</v>
      </c>
      <c r="S1229" s="315" t="str">
        <f t="shared" ref="S1229:T1229" si="2235">IF(COUNTIF(W$2:W1399, $A1229) &gt; 0,TRUE,IFERROR(0/0,""))</f>
        <v/>
      </c>
      <c r="T1229" s="315" t="str">
        <f t="shared" si="2235"/>
        <v/>
      </c>
      <c r="U1229" s="114" t="str">
        <f t="array" ref="U1229">IF(ISBLANK($R1229), INDEX('Run Reconcile'!A$2:A1399, MATCH($B1229, 'Run Reconcile'!B$2:B1399, 0)+Z1229, 1), IFERROR(0/0,""))
</f>
        <v/>
      </c>
      <c r="V1229" s="316" t="str">
        <f t="shared" si="1281"/>
        <v>RUN-ABRM_2023-05-02_APS-013</v>
      </c>
      <c r="Y1229" s="317" t="str">
        <f t="shared" si="6"/>
        <v/>
      </c>
      <c r="Z1229" s="83" t="str">
        <f t="shared" si="7"/>
        <v/>
      </c>
      <c r="AA1229" s="83" t="str">
        <f t="shared" si="8"/>
        <v/>
      </c>
      <c r="AB1229" s="83" t="str">
        <f t="shared" si="9"/>
        <v/>
      </c>
      <c r="AC1229" s="18"/>
      <c r="AD1229" s="18"/>
      <c r="AE1229" s="43"/>
      <c r="AF1229" s="58" t="s">
        <v>1385</v>
      </c>
      <c r="AG1229" s="55" t="b">
        <f t="shared" si="11"/>
        <v>0</v>
      </c>
    </row>
    <row r="1230">
      <c r="A1230" s="7" t="str">
        <f>IFERROR(__xludf.DUMMYFUNCTION("""COMPUTED_VALUE"""),"AR627")</f>
        <v>AR627</v>
      </c>
      <c r="B1230" s="308">
        <f>IFERROR(__xludf.DUMMYFUNCTION("""COMPUTED_VALUE"""),45048.0)</f>
        <v>45048</v>
      </c>
      <c r="C1230" s="309">
        <f>IFERROR(__xludf.DUMMYFUNCTION("""COMPUTED_VALUE"""),0.25881944444444444)</f>
        <v>0.2588194444</v>
      </c>
      <c r="D1230" s="7" t="str">
        <f>IFERROR(__xludf.DUMMYFUNCTION("""COMPUTED_VALUE"""),"SpABRM128250")</f>
        <v>SpABRM128250</v>
      </c>
      <c r="E1230" s="310"/>
      <c r="F1230" s="310"/>
      <c r="G1230" s="310" t="str">
        <f>IFERROR(__xludf.DUMMYFUNCTION("""COMPUTED_VALUE"""),"Null")</f>
        <v>Null</v>
      </c>
      <c r="H1230" s="319" t="str">
        <f>IFERROR(__xludf.DUMMYFUNCTION("""COMPUTED_VALUE"""),"Negative")</f>
        <v>Negative</v>
      </c>
      <c r="I1230" s="319"/>
      <c r="J1230" s="54"/>
      <c r="K1230" s="54">
        <f>IFERROR(__xludf.DUMMYFUNCTION("""COMPUTED_VALUE"""),2.2)</f>
        <v>2.2</v>
      </c>
      <c r="L1230" s="7"/>
      <c r="M1230" s="312"/>
      <c r="N1230" s="172">
        <f>IFERROR(__xludf.DUMMYFUNCTION("""COMPUTED_VALUE"""),3.0)</f>
        <v>3</v>
      </c>
      <c r="O1230" s="172"/>
      <c r="P1230" s="313">
        <f>IFERROR(__xludf.DUMMYFUNCTION("""COMPUTED_VALUE"""),-1.0)</f>
        <v>-1</v>
      </c>
      <c r="Q1230" s="76" t="b">
        <f>VLOOKUP($B1230,'Run Reconcile'!B$2:O1399,14,FALSE)</f>
        <v>1</v>
      </c>
      <c r="R1230" s="314" t="str">
        <f t="array" ref="R1230">IF($Q1230, INDEX('Run Reconcile'!A$2:A1399,MATCH(B1230,'Run Reconcile'!B$2:B1399,0),1),IFERROR(0/0,""))</f>
        <v>RUN-ABRM_2023-05-02_APS-013</v>
      </c>
      <c r="S1230" s="315" t="str">
        <f t="shared" ref="S1230:T1230" si="2236">IF(COUNTIF(W$2:W1399, $A1230) &gt; 0,TRUE,IFERROR(0/0,""))</f>
        <v/>
      </c>
      <c r="T1230" s="315" t="str">
        <f t="shared" si="2236"/>
        <v/>
      </c>
      <c r="U1230" s="114" t="str">
        <f t="array" ref="U1230">IF(ISBLANK($R1230), INDEX('Run Reconcile'!A$2:A1399, MATCH($B1230, 'Run Reconcile'!B$2:B1399, 0)+Z1230, 1), IFERROR(0/0,""))
</f>
        <v/>
      </c>
      <c r="V1230" s="316" t="str">
        <f t="shared" si="1281"/>
        <v>RUN-ABRM_2023-05-02_APS-013</v>
      </c>
      <c r="Y1230" s="317" t="str">
        <f t="shared" si="6"/>
        <v/>
      </c>
      <c r="Z1230" s="83" t="str">
        <f t="shared" si="7"/>
        <v/>
      </c>
      <c r="AA1230" s="83" t="str">
        <f t="shared" si="8"/>
        <v/>
      </c>
      <c r="AB1230" s="83" t="str">
        <f t="shared" si="9"/>
        <v/>
      </c>
      <c r="AC1230" s="18"/>
      <c r="AD1230" s="18"/>
      <c r="AE1230" s="43"/>
      <c r="AF1230" s="58" t="s">
        <v>1385</v>
      </c>
      <c r="AG1230" s="55" t="b">
        <f t="shared" si="11"/>
        <v>0</v>
      </c>
    </row>
    <row r="1231">
      <c r="A1231" s="7" t="str">
        <f>IFERROR(__xludf.DUMMYFUNCTION("""COMPUTED_VALUE"""),"AB9590")</f>
        <v>AB9590</v>
      </c>
      <c r="B1231" s="308">
        <f>IFERROR(__xludf.DUMMYFUNCTION("""COMPUTED_VALUE"""),45048.0)</f>
        <v>45048</v>
      </c>
      <c r="C1231" s="309">
        <f>IFERROR(__xludf.DUMMYFUNCTION("""COMPUTED_VALUE"""),0.3004513888888889)</f>
        <v>0.3004513889</v>
      </c>
      <c r="D1231" s="7" t="str">
        <f>IFERROR(__xludf.DUMMYFUNCTION("""COMPUTED_VALUE"""),"SpABRM581899")</f>
        <v>SpABRM581899</v>
      </c>
      <c r="E1231" s="310"/>
      <c r="F1231" s="310"/>
      <c r="G1231" s="310" t="str">
        <f>IFERROR(__xludf.DUMMYFUNCTION("""COMPUTED_VALUE"""),"Null")</f>
        <v>Null</v>
      </c>
      <c r="H1231" s="319" t="str">
        <f>IFERROR(__xludf.DUMMYFUNCTION("""COMPUTED_VALUE"""),"Negative")</f>
        <v>Negative</v>
      </c>
      <c r="I1231" s="319"/>
      <c r="J1231" s="54"/>
      <c r="K1231" s="54">
        <f>IFERROR(__xludf.DUMMYFUNCTION("""COMPUTED_VALUE"""),2.2)</f>
        <v>2.2</v>
      </c>
      <c r="L1231" s="7"/>
      <c r="M1231" s="312"/>
      <c r="N1231" s="172">
        <f>IFERROR(__xludf.DUMMYFUNCTION("""COMPUTED_VALUE"""),3.0)</f>
        <v>3</v>
      </c>
      <c r="O1231" s="172"/>
      <c r="P1231" s="313">
        <f>IFERROR(__xludf.DUMMYFUNCTION("""COMPUTED_VALUE"""),-1.0)</f>
        <v>-1</v>
      </c>
      <c r="Q1231" s="76" t="b">
        <f>VLOOKUP($B1231,'Run Reconcile'!B$2:O1399,14,FALSE)</f>
        <v>1</v>
      </c>
      <c r="R1231" s="314" t="str">
        <f t="array" ref="R1231">IF($Q1231, INDEX('Run Reconcile'!A$2:A1399,MATCH(B1231,'Run Reconcile'!B$2:B1399,0),1),IFERROR(0/0,""))</f>
        <v>RUN-ABRM_2023-05-02_APS-013</v>
      </c>
      <c r="S1231" s="315" t="str">
        <f t="shared" ref="S1231:T1231" si="2237">IF(COUNTIF(W$2:W1399, $A1231) &gt; 0,TRUE,IFERROR(0/0,""))</f>
        <v/>
      </c>
      <c r="T1231" s="315" t="str">
        <f t="shared" si="2237"/>
        <v/>
      </c>
      <c r="U1231" s="114" t="str">
        <f t="array" ref="U1231">IF(ISBLANK($R1231), INDEX('Run Reconcile'!A$2:A1399, MATCH($B1231, 'Run Reconcile'!B$2:B1399, 0)+Z1231, 1), IFERROR(0/0,""))
</f>
        <v/>
      </c>
      <c r="V1231" s="316" t="str">
        <f t="shared" si="1281"/>
        <v>RUN-ABRM_2023-05-02_APS-013</v>
      </c>
      <c r="Y1231" s="317" t="str">
        <f t="shared" si="6"/>
        <v/>
      </c>
      <c r="Z1231" s="83" t="str">
        <f t="shared" si="7"/>
        <v/>
      </c>
      <c r="AA1231" s="83" t="str">
        <f t="shared" si="8"/>
        <v/>
      </c>
      <c r="AB1231" s="83" t="str">
        <f t="shared" si="9"/>
        <v/>
      </c>
      <c r="AC1231" s="18"/>
      <c r="AD1231" s="18"/>
      <c r="AE1231" s="43"/>
      <c r="AF1231" s="58" t="s">
        <v>1385</v>
      </c>
      <c r="AG1231" s="55" t="b">
        <f t="shared" si="11"/>
        <v>0</v>
      </c>
    </row>
    <row r="1232">
      <c r="A1232" s="7" t="str">
        <f>IFERROR(__xludf.DUMMYFUNCTION("""COMPUTED_VALUE"""),"AB9550")</f>
        <v>AB9550</v>
      </c>
      <c r="B1232" s="308">
        <f>IFERROR(__xludf.DUMMYFUNCTION("""COMPUTED_VALUE"""),45048.0)</f>
        <v>45048</v>
      </c>
      <c r="C1232" s="309">
        <f>IFERROR(__xludf.DUMMYFUNCTION("""COMPUTED_VALUE"""),0.32534722222222223)</f>
        <v>0.3253472222</v>
      </c>
      <c r="D1232" s="7" t="str">
        <f>IFERROR(__xludf.DUMMYFUNCTION("""COMPUTED_VALUE"""),"SpABRM519188")</f>
        <v>SpABRM519188</v>
      </c>
      <c r="E1232" s="310"/>
      <c r="F1232" s="310"/>
      <c r="G1232" s="310" t="str">
        <f>IFERROR(__xludf.DUMMYFUNCTION("""COMPUTED_VALUE"""),"Null")</f>
        <v>Null</v>
      </c>
      <c r="H1232" s="319" t="str">
        <f>IFERROR(__xludf.DUMMYFUNCTION("""COMPUTED_VALUE"""),"Negative")</f>
        <v>Negative</v>
      </c>
      <c r="I1232" s="319"/>
      <c r="J1232" s="54"/>
      <c r="K1232" s="54">
        <f>IFERROR(__xludf.DUMMYFUNCTION("""COMPUTED_VALUE"""),2.2)</f>
        <v>2.2</v>
      </c>
      <c r="L1232" s="7"/>
      <c r="M1232" s="312"/>
      <c r="N1232" s="172">
        <f>IFERROR(__xludf.DUMMYFUNCTION("""COMPUTED_VALUE"""),1.0)</f>
        <v>1</v>
      </c>
      <c r="O1232" s="172"/>
      <c r="P1232" s="313">
        <f>IFERROR(__xludf.DUMMYFUNCTION("""COMPUTED_VALUE"""),-1.0)</f>
        <v>-1</v>
      </c>
      <c r="Q1232" s="76" t="b">
        <f>VLOOKUP($B1232,'Run Reconcile'!B$2:O1399,14,FALSE)</f>
        <v>1</v>
      </c>
      <c r="R1232" s="314" t="str">
        <f t="array" ref="R1232">IF($Q1232, INDEX('Run Reconcile'!A$2:A1399,MATCH(B1232,'Run Reconcile'!B$2:B1399,0),1),IFERROR(0/0,""))</f>
        <v>RUN-ABRM_2023-05-02_APS-013</v>
      </c>
      <c r="S1232" s="315" t="str">
        <f t="shared" ref="S1232:T1232" si="2238">IF(COUNTIF(W$2:W1399, $A1232) &gt; 0,TRUE,IFERROR(0/0,""))</f>
        <v/>
      </c>
      <c r="T1232" s="315" t="str">
        <f t="shared" si="2238"/>
        <v/>
      </c>
      <c r="U1232" s="114" t="str">
        <f t="array" ref="U1232">IF(ISBLANK($R1232), INDEX('Run Reconcile'!A$2:A1399, MATCH($B1232, 'Run Reconcile'!B$2:B1399, 0)+Z1232, 1), IFERROR(0/0,""))
</f>
        <v/>
      </c>
      <c r="V1232" s="316" t="str">
        <f t="shared" si="1281"/>
        <v>RUN-ABRM_2023-05-02_APS-013</v>
      </c>
      <c r="Y1232" s="317" t="str">
        <f t="shared" si="6"/>
        <v/>
      </c>
      <c r="Z1232" s="83" t="str">
        <f t="shared" si="7"/>
        <v/>
      </c>
      <c r="AA1232" s="83" t="str">
        <f t="shared" si="8"/>
        <v/>
      </c>
      <c r="AB1232" s="83" t="str">
        <f t="shared" si="9"/>
        <v/>
      </c>
      <c r="AC1232" s="18"/>
      <c r="AD1232" s="18"/>
      <c r="AE1232" s="43"/>
      <c r="AF1232" s="58" t="s">
        <v>1385</v>
      </c>
      <c r="AG1232" s="55" t="b">
        <f t="shared" si="11"/>
        <v>0</v>
      </c>
    </row>
    <row r="1233">
      <c r="A1233" s="7" t="str">
        <f>IFERROR(__xludf.DUMMYFUNCTION("""COMPUTED_VALUE"""),"AK6660")</f>
        <v>AK6660</v>
      </c>
      <c r="B1233" s="308">
        <f>IFERROR(__xludf.DUMMYFUNCTION("""COMPUTED_VALUE"""),45048.0)</f>
        <v>45048</v>
      </c>
      <c r="C1233" s="309">
        <f>IFERROR(__xludf.DUMMYFUNCTION("""COMPUTED_VALUE"""),0.33350694444444445)</f>
        <v>0.3335069444</v>
      </c>
      <c r="D1233" s="7" t="str">
        <f>IFERROR(__xludf.DUMMYFUNCTION("""COMPUTED_VALUE"""),"SpABRM841252")</f>
        <v>SpABRM841252</v>
      </c>
      <c r="E1233" s="310"/>
      <c r="F1233" s="310"/>
      <c r="G1233" s="310" t="str">
        <f>IFERROR(__xludf.DUMMYFUNCTION("""COMPUTED_VALUE"""),"Null")</f>
        <v>Null</v>
      </c>
      <c r="H1233" s="319" t="str">
        <f>IFERROR(__xludf.DUMMYFUNCTION("""COMPUTED_VALUE"""),"Negative")</f>
        <v>Negative</v>
      </c>
      <c r="I1233" s="319"/>
      <c r="J1233" s="54"/>
      <c r="K1233" s="54">
        <f>IFERROR(__xludf.DUMMYFUNCTION("""COMPUTED_VALUE"""),2.2)</f>
        <v>2.2</v>
      </c>
      <c r="L1233" s="7"/>
      <c r="M1233" s="312"/>
      <c r="N1233" s="172">
        <f>IFERROR(__xludf.DUMMYFUNCTION("""COMPUTED_VALUE"""),1.0)</f>
        <v>1</v>
      </c>
      <c r="O1233" s="172"/>
      <c r="P1233" s="313">
        <f>IFERROR(__xludf.DUMMYFUNCTION("""COMPUTED_VALUE"""),-1.0)</f>
        <v>-1</v>
      </c>
      <c r="Q1233" s="76" t="b">
        <f>VLOOKUP($B1233,'Run Reconcile'!B$2:O1399,14,FALSE)</f>
        <v>1</v>
      </c>
      <c r="R1233" s="314" t="str">
        <f t="array" ref="R1233">IF($Q1233, INDEX('Run Reconcile'!A$2:A1399,MATCH(B1233,'Run Reconcile'!B$2:B1399,0),1),IFERROR(0/0,""))</f>
        <v>RUN-ABRM_2023-05-02_APS-013</v>
      </c>
      <c r="S1233" s="315" t="str">
        <f t="shared" ref="S1233:T1233" si="2239">IF(COUNTIF(W$2:W1399, $A1233) &gt; 0,TRUE,IFERROR(0/0,""))</f>
        <v/>
      </c>
      <c r="T1233" s="315" t="str">
        <f t="shared" si="2239"/>
        <v/>
      </c>
      <c r="U1233" s="114" t="str">
        <f t="array" ref="U1233">IF(ISBLANK($R1233), INDEX('Run Reconcile'!A$2:A1399, MATCH($B1233, 'Run Reconcile'!B$2:B1399, 0)+Z1233, 1), IFERROR(0/0,""))
</f>
        <v/>
      </c>
      <c r="V1233" s="316" t="str">
        <f t="shared" si="1281"/>
        <v>RUN-ABRM_2023-05-02_APS-013</v>
      </c>
      <c r="Y1233" s="317" t="str">
        <f t="shared" si="6"/>
        <v/>
      </c>
      <c r="Z1233" s="83" t="str">
        <f t="shared" si="7"/>
        <v/>
      </c>
      <c r="AA1233" s="83" t="str">
        <f t="shared" si="8"/>
        <v/>
      </c>
      <c r="AB1233" s="83" t="str">
        <f t="shared" si="9"/>
        <v/>
      </c>
      <c r="AC1233" s="18"/>
      <c r="AD1233" s="18"/>
      <c r="AE1233" s="43"/>
      <c r="AF1233" s="58" t="s">
        <v>1385</v>
      </c>
      <c r="AG1233" s="55" t="b">
        <f t="shared" si="11"/>
        <v>0</v>
      </c>
    </row>
    <row r="1234">
      <c r="A1234" s="7" t="str">
        <f>IFERROR(__xludf.DUMMYFUNCTION("""COMPUTED_VALUE"""),"AB9269")</f>
        <v>AB9269</v>
      </c>
      <c r="B1234" s="308">
        <f>IFERROR(__xludf.DUMMYFUNCTION("""COMPUTED_VALUE"""),45048.0)</f>
        <v>45048</v>
      </c>
      <c r="C1234" s="309">
        <f>IFERROR(__xludf.DUMMYFUNCTION("""COMPUTED_VALUE"""),0.3337847222222222)</f>
        <v>0.3337847222</v>
      </c>
      <c r="D1234" s="7" t="str">
        <f>IFERROR(__xludf.DUMMYFUNCTION("""COMPUTED_VALUE"""),"SpABRM841252")</f>
        <v>SpABRM841252</v>
      </c>
      <c r="E1234" s="310"/>
      <c r="F1234" s="310"/>
      <c r="G1234" s="310" t="str">
        <f>IFERROR(__xludf.DUMMYFUNCTION("""COMPUTED_VALUE"""),"Null")</f>
        <v>Null</v>
      </c>
      <c r="H1234" s="319" t="str">
        <f>IFERROR(__xludf.DUMMYFUNCTION("""COMPUTED_VALUE"""),"Negative")</f>
        <v>Negative</v>
      </c>
      <c r="I1234" s="319"/>
      <c r="J1234" s="54"/>
      <c r="K1234" s="54">
        <f>IFERROR(__xludf.DUMMYFUNCTION("""COMPUTED_VALUE"""),2.2)</f>
        <v>2.2</v>
      </c>
      <c r="L1234" s="7"/>
      <c r="M1234" s="312"/>
      <c r="N1234" s="172">
        <f>IFERROR(__xludf.DUMMYFUNCTION("""COMPUTED_VALUE"""),1.0)</f>
        <v>1</v>
      </c>
      <c r="O1234" s="172"/>
      <c r="P1234" s="313">
        <f>IFERROR(__xludf.DUMMYFUNCTION("""COMPUTED_VALUE"""),-1.0)</f>
        <v>-1</v>
      </c>
      <c r="Q1234" s="76" t="b">
        <f>VLOOKUP($B1234,'Run Reconcile'!B$2:O1399,14,FALSE)</f>
        <v>1</v>
      </c>
      <c r="R1234" s="314" t="str">
        <f t="array" ref="R1234">IF($Q1234, INDEX('Run Reconcile'!A$2:A1399,MATCH(B1234,'Run Reconcile'!B$2:B1399,0),1),IFERROR(0/0,""))</f>
        <v>RUN-ABRM_2023-05-02_APS-013</v>
      </c>
      <c r="S1234" s="315" t="str">
        <f t="shared" ref="S1234:T1234" si="2240">IF(COUNTIF(W$2:W1399, $A1234) &gt; 0,TRUE,IFERROR(0/0,""))</f>
        <v/>
      </c>
      <c r="T1234" s="315" t="str">
        <f t="shared" si="2240"/>
        <v/>
      </c>
      <c r="U1234" s="114" t="str">
        <f t="array" ref="U1234">IF(ISBLANK($R1234), INDEX('Run Reconcile'!A$2:A1399, MATCH($B1234, 'Run Reconcile'!B$2:B1399, 0)+Z1234, 1), IFERROR(0/0,""))
</f>
        <v/>
      </c>
      <c r="V1234" s="316" t="str">
        <f t="shared" si="1281"/>
        <v>RUN-ABRM_2023-05-02_APS-013</v>
      </c>
      <c r="Y1234" s="317" t="str">
        <f t="shared" si="6"/>
        <v/>
      </c>
      <c r="Z1234" s="83" t="str">
        <f t="shared" si="7"/>
        <v/>
      </c>
      <c r="AA1234" s="83" t="str">
        <f t="shared" si="8"/>
        <v/>
      </c>
      <c r="AB1234" s="83" t="str">
        <f t="shared" si="9"/>
        <v/>
      </c>
      <c r="AC1234" s="18"/>
      <c r="AD1234" s="18"/>
      <c r="AE1234" s="43"/>
      <c r="AF1234" s="58" t="s">
        <v>1385</v>
      </c>
      <c r="AG1234" s="55" t="b">
        <f t="shared" si="11"/>
        <v>0</v>
      </c>
    </row>
    <row r="1235">
      <c r="A1235" s="7" t="str">
        <f>IFERROR(__xludf.DUMMYFUNCTION("""COMPUTED_VALUE"""),"AR1964")</f>
        <v>AR1964</v>
      </c>
      <c r="B1235" s="308">
        <f>IFERROR(__xludf.DUMMYFUNCTION("""COMPUTED_VALUE"""),45048.0)</f>
        <v>45048</v>
      </c>
      <c r="C1235" s="309">
        <f>IFERROR(__xludf.DUMMYFUNCTION("""COMPUTED_VALUE"""),0.33405092592592595)</f>
        <v>0.3340509259</v>
      </c>
      <c r="D1235" s="7" t="str">
        <f>IFERROR(__xludf.DUMMYFUNCTION("""COMPUTED_VALUE"""),"SpABRM841252")</f>
        <v>SpABRM841252</v>
      </c>
      <c r="E1235" s="310"/>
      <c r="F1235" s="310"/>
      <c r="G1235" s="310" t="str">
        <f>IFERROR(__xludf.DUMMYFUNCTION("""COMPUTED_VALUE"""),"Null")</f>
        <v>Null</v>
      </c>
      <c r="H1235" s="319" t="str">
        <f>IFERROR(__xludf.DUMMYFUNCTION("""COMPUTED_VALUE"""),"Negative")</f>
        <v>Negative</v>
      </c>
      <c r="I1235" s="319"/>
      <c r="J1235" s="54"/>
      <c r="K1235" s="54">
        <f>IFERROR(__xludf.DUMMYFUNCTION("""COMPUTED_VALUE"""),2.2)</f>
        <v>2.2</v>
      </c>
      <c r="L1235" s="7"/>
      <c r="M1235" s="312"/>
      <c r="N1235" s="172">
        <f>IFERROR(__xludf.DUMMYFUNCTION("""COMPUTED_VALUE"""),1.0)</f>
        <v>1</v>
      </c>
      <c r="O1235" s="172"/>
      <c r="P1235" s="313">
        <f>IFERROR(__xludf.DUMMYFUNCTION("""COMPUTED_VALUE"""),-1.0)</f>
        <v>-1</v>
      </c>
      <c r="Q1235" s="76" t="b">
        <f>VLOOKUP($B1235,'Run Reconcile'!B$2:O1399,14,FALSE)</f>
        <v>1</v>
      </c>
      <c r="R1235" s="314" t="str">
        <f t="array" ref="R1235">IF($Q1235, INDEX('Run Reconcile'!A$2:A1399,MATCH(B1235,'Run Reconcile'!B$2:B1399,0),1),IFERROR(0/0,""))</f>
        <v>RUN-ABRM_2023-05-02_APS-013</v>
      </c>
      <c r="S1235" s="315" t="str">
        <f t="shared" ref="S1235:T1235" si="2241">IF(COUNTIF(W$2:W1399, $A1235) &gt; 0,TRUE,IFERROR(0/0,""))</f>
        <v/>
      </c>
      <c r="T1235" s="315" t="str">
        <f t="shared" si="2241"/>
        <v/>
      </c>
      <c r="U1235" s="114" t="str">
        <f t="array" ref="U1235">IF(ISBLANK($R1235), INDEX('Run Reconcile'!A$2:A1399, MATCH($B1235, 'Run Reconcile'!B$2:B1399, 0)+Z1235, 1), IFERROR(0/0,""))
</f>
        <v/>
      </c>
      <c r="V1235" s="316" t="str">
        <f t="shared" si="1281"/>
        <v>RUN-ABRM_2023-05-02_APS-013</v>
      </c>
      <c r="Y1235" s="317" t="str">
        <f t="shared" si="6"/>
        <v/>
      </c>
      <c r="Z1235" s="83" t="str">
        <f t="shared" si="7"/>
        <v/>
      </c>
      <c r="AA1235" s="83" t="str">
        <f t="shared" si="8"/>
        <v/>
      </c>
      <c r="AB1235" s="83" t="str">
        <f t="shared" si="9"/>
        <v/>
      </c>
      <c r="AC1235" s="18"/>
      <c r="AD1235" s="18"/>
      <c r="AE1235" s="43"/>
      <c r="AF1235" s="58" t="s">
        <v>1385</v>
      </c>
      <c r="AG1235" s="55" t="b">
        <f t="shared" si="11"/>
        <v>0</v>
      </c>
    </row>
    <row r="1236">
      <c r="A1236" s="7" t="str">
        <f>IFERROR(__xludf.DUMMYFUNCTION("""COMPUTED_VALUE"""),"AR1527")</f>
        <v>AR1527</v>
      </c>
      <c r="B1236" s="308">
        <f>IFERROR(__xludf.DUMMYFUNCTION("""COMPUTED_VALUE"""),45049.0)</f>
        <v>45049</v>
      </c>
      <c r="C1236" s="309">
        <f>IFERROR(__xludf.DUMMYFUNCTION("""COMPUTED_VALUE"""),0.21391203703703704)</f>
        <v>0.213912037</v>
      </c>
      <c r="D1236" s="7" t="str">
        <f>IFERROR(__xludf.DUMMYFUNCTION("""COMPUTED_VALUE"""),"SpABRM454310")</f>
        <v>SpABRM454310</v>
      </c>
      <c r="E1236" s="310"/>
      <c r="F1236" s="310"/>
      <c r="G1236" s="310" t="str">
        <f>IFERROR(__xludf.DUMMYFUNCTION("""COMPUTED_VALUE"""),"Negative")</f>
        <v>Negative</v>
      </c>
      <c r="H1236" s="319" t="str">
        <f>IFERROR(__xludf.DUMMYFUNCTION("""COMPUTED_VALUE"""),"Negative")</f>
        <v>Negative</v>
      </c>
      <c r="I1236" s="308">
        <f>IFERROR(__xludf.DUMMYFUNCTION("""COMPUTED_VALUE"""),45050.0)</f>
        <v>45050</v>
      </c>
      <c r="J1236" s="311">
        <f>IFERROR(__xludf.DUMMYFUNCTION("""COMPUTED_VALUE"""),0.5805555555555556)</f>
        <v>0.5805555556</v>
      </c>
      <c r="K1236" s="54"/>
      <c r="L1236" s="7"/>
      <c r="M1236" s="312"/>
      <c r="N1236" s="172">
        <f>IFERROR(__xludf.DUMMYFUNCTION("""COMPUTED_VALUE"""),3.0)</f>
        <v>3</v>
      </c>
      <c r="O1236" s="172"/>
      <c r="P1236" s="313">
        <f>IFERROR(__xludf.DUMMYFUNCTION("""COMPUTED_VALUE"""),1.0)</f>
        <v>1</v>
      </c>
      <c r="Q1236" s="76" t="b">
        <f>VLOOKUP($B1236,'Run Reconcile'!B$2:O1399,14,FALSE)</f>
        <v>1</v>
      </c>
      <c r="R1236" s="314" t="str">
        <f t="array" ref="R1236">IF($Q1236, INDEX('Run Reconcile'!A$2:A1399,MATCH(B1236,'Run Reconcile'!B$2:B1399,0),1),IFERROR(0/0,""))</f>
        <v>RUN-ABRM_2023-05-03_APS-014</v>
      </c>
      <c r="S1236" s="315" t="str">
        <f t="shared" ref="S1236:T1236" si="2242">IF(COUNTIF(W$2:W1399, $A1236) &gt; 0,TRUE,IFERROR(0/0,""))</f>
        <v/>
      </c>
      <c r="T1236" s="315" t="str">
        <f t="shared" si="2242"/>
        <v/>
      </c>
      <c r="U1236" s="114" t="str">
        <f t="array" ref="U1236">IF(ISBLANK($R1236), INDEX('Run Reconcile'!A$2:A1399, MATCH($B1236, 'Run Reconcile'!B$2:B1399, 0)+Z1236, 1), IFERROR(0/0,""))
</f>
        <v/>
      </c>
      <c r="V1236" s="316" t="str">
        <f t="shared" si="1281"/>
        <v>RUN-ABRM_2023-05-03_APS-014</v>
      </c>
      <c r="Y1236" s="317" t="str">
        <f t="shared" si="6"/>
        <v/>
      </c>
      <c r="Z1236" s="83" t="str">
        <f t="shared" si="7"/>
        <v/>
      </c>
      <c r="AA1236" s="83" t="str">
        <f t="shared" si="8"/>
        <v/>
      </c>
      <c r="AB1236" s="83" t="str">
        <f t="shared" si="9"/>
        <v/>
      </c>
      <c r="AC1236" s="18"/>
      <c r="AD1236" s="18"/>
      <c r="AE1236" s="43"/>
      <c r="AF1236" s="58" t="s">
        <v>1386</v>
      </c>
      <c r="AG1236" s="55" t="b">
        <f t="shared" si="11"/>
        <v>0</v>
      </c>
    </row>
    <row r="1237">
      <c r="A1237" s="7" t="str">
        <f>IFERROR(__xludf.DUMMYFUNCTION("""COMPUTED_VALUE"""),"AR1524")</f>
        <v>AR1524</v>
      </c>
      <c r="B1237" s="308">
        <f>IFERROR(__xludf.DUMMYFUNCTION("""COMPUTED_VALUE"""),45049.0)</f>
        <v>45049</v>
      </c>
      <c r="C1237" s="309">
        <f>IFERROR(__xludf.DUMMYFUNCTION("""COMPUTED_VALUE"""),0.2828125)</f>
        <v>0.2828125</v>
      </c>
      <c r="D1237" s="7" t="str">
        <f>IFERROR(__xludf.DUMMYFUNCTION("""COMPUTED_VALUE"""),"SpABRM128250")</f>
        <v>SpABRM128250</v>
      </c>
      <c r="E1237" s="310"/>
      <c r="F1237" s="310"/>
      <c r="G1237" s="310" t="str">
        <f>IFERROR(__xludf.DUMMYFUNCTION("""COMPUTED_VALUE"""),"Negative")</f>
        <v>Negative</v>
      </c>
      <c r="H1237" s="319" t="str">
        <f>IFERROR(__xludf.DUMMYFUNCTION("""COMPUTED_VALUE"""),"Negative")</f>
        <v>Negative</v>
      </c>
      <c r="I1237" s="308">
        <f>IFERROR(__xludf.DUMMYFUNCTION("""COMPUTED_VALUE"""),45050.0)</f>
        <v>45050</v>
      </c>
      <c r="J1237" s="311">
        <f>IFERROR(__xludf.DUMMYFUNCTION("""COMPUTED_VALUE"""),0.5805671296296296)</f>
        <v>0.5805671296</v>
      </c>
      <c r="K1237" s="54"/>
      <c r="L1237" s="7"/>
      <c r="M1237" s="312"/>
      <c r="N1237" s="172">
        <f>IFERROR(__xludf.DUMMYFUNCTION("""COMPUTED_VALUE"""),3.0)</f>
        <v>3</v>
      </c>
      <c r="O1237" s="172"/>
      <c r="P1237" s="313">
        <f>IFERROR(__xludf.DUMMYFUNCTION("""COMPUTED_VALUE"""),1.0)</f>
        <v>1</v>
      </c>
      <c r="Q1237" s="76" t="b">
        <f>VLOOKUP($B1237,'Run Reconcile'!B$2:O1399,14,FALSE)</f>
        <v>1</v>
      </c>
      <c r="R1237" s="314" t="str">
        <f t="array" ref="R1237">IF($Q1237, INDEX('Run Reconcile'!A$2:A1399,MATCH(B1237,'Run Reconcile'!B$2:B1399,0),1),IFERROR(0/0,""))</f>
        <v>RUN-ABRM_2023-05-03_APS-014</v>
      </c>
      <c r="S1237" s="315" t="str">
        <f t="shared" ref="S1237:T1237" si="2243">IF(COUNTIF(W$2:W1399, $A1237) &gt; 0,TRUE,IFERROR(0/0,""))</f>
        <v/>
      </c>
      <c r="T1237" s="315" t="str">
        <f t="shared" si="2243"/>
        <v/>
      </c>
      <c r="U1237" s="114" t="str">
        <f t="array" ref="U1237">IF(ISBLANK($R1237), INDEX('Run Reconcile'!A$2:A1399, MATCH($B1237, 'Run Reconcile'!B$2:B1399, 0)+Z1237, 1), IFERROR(0/0,""))
</f>
        <v/>
      </c>
      <c r="V1237" s="316" t="str">
        <f t="shared" si="1281"/>
        <v>RUN-ABRM_2023-05-03_APS-014</v>
      </c>
      <c r="Y1237" s="317" t="str">
        <f t="shared" si="6"/>
        <v/>
      </c>
      <c r="Z1237" s="83" t="str">
        <f t="shared" si="7"/>
        <v/>
      </c>
      <c r="AA1237" s="83" t="str">
        <f t="shared" si="8"/>
        <v/>
      </c>
      <c r="AB1237" s="83" t="str">
        <f t="shared" si="9"/>
        <v/>
      </c>
      <c r="AC1237" s="18"/>
      <c r="AD1237" s="18"/>
      <c r="AE1237" s="43"/>
      <c r="AF1237" s="58" t="s">
        <v>1386</v>
      </c>
      <c r="AG1237" s="55" t="b">
        <f t="shared" si="11"/>
        <v>0</v>
      </c>
    </row>
    <row r="1238">
      <c r="A1238" s="7" t="str">
        <f>IFERROR(__xludf.DUMMYFUNCTION("""COMPUTED_VALUE"""),"AR340")</f>
        <v>AR340</v>
      </c>
      <c r="B1238" s="308">
        <f>IFERROR(__xludf.DUMMYFUNCTION("""COMPUTED_VALUE"""),45049.0)</f>
        <v>45049</v>
      </c>
      <c r="C1238" s="309">
        <f>IFERROR(__xludf.DUMMYFUNCTION("""COMPUTED_VALUE"""),0.29842592592592593)</f>
        <v>0.2984259259</v>
      </c>
      <c r="D1238" s="7" t="str">
        <f>IFERROR(__xludf.DUMMYFUNCTION("""COMPUTED_VALUE"""),"SpABRM367540")</f>
        <v>SpABRM367540</v>
      </c>
      <c r="E1238" s="310"/>
      <c r="F1238" s="310"/>
      <c r="G1238" s="310" t="str">
        <f>IFERROR(__xludf.DUMMYFUNCTION("""COMPUTED_VALUE"""),"Negative")</f>
        <v>Negative</v>
      </c>
      <c r="H1238" s="319" t="str">
        <f>IFERROR(__xludf.DUMMYFUNCTION("""COMPUTED_VALUE"""),"Negative")</f>
        <v>Negative</v>
      </c>
      <c r="I1238" s="308">
        <f>IFERROR(__xludf.DUMMYFUNCTION("""COMPUTED_VALUE"""),45050.0)</f>
        <v>45050</v>
      </c>
      <c r="J1238" s="311">
        <f>IFERROR(__xludf.DUMMYFUNCTION("""COMPUTED_VALUE"""),0.5805671296296296)</f>
        <v>0.5805671296</v>
      </c>
      <c r="K1238" s="54"/>
      <c r="L1238" s="7"/>
      <c r="M1238" s="312"/>
      <c r="N1238" s="172">
        <f>IFERROR(__xludf.DUMMYFUNCTION("""COMPUTED_VALUE"""),3.0)</f>
        <v>3</v>
      </c>
      <c r="O1238" s="172"/>
      <c r="P1238" s="313">
        <f>IFERROR(__xludf.DUMMYFUNCTION("""COMPUTED_VALUE"""),1.0)</f>
        <v>1</v>
      </c>
      <c r="Q1238" s="76" t="b">
        <f>VLOOKUP($B1238,'Run Reconcile'!B$2:O1399,14,FALSE)</f>
        <v>1</v>
      </c>
      <c r="R1238" s="314" t="str">
        <f t="array" ref="R1238">IF($Q1238, INDEX('Run Reconcile'!A$2:A1399,MATCH(B1238,'Run Reconcile'!B$2:B1399,0),1),IFERROR(0/0,""))</f>
        <v>RUN-ABRM_2023-05-03_APS-014</v>
      </c>
      <c r="S1238" s="315" t="str">
        <f t="shared" ref="S1238:T1238" si="2244">IF(COUNTIF(W$2:W1399, $A1238) &gt; 0,TRUE,IFERROR(0/0,""))</f>
        <v/>
      </c>
      <c r="T1238" s="315" t="str">
        <f t="shared" si="2244"/>
        <v/>
      </c>
      <c r="U1238" s="114" t="str">
        <f t="array" ref="U1238">IF(ISBLANK($R1238), INDEX('Run Reconcile'!A$2:A1399, MATCH($B1238, 'Run Reconcile'!B$2:B1399, 0)+Z1238, 1), IFERROR(0/0,""))
</f>
        <v/>
      </c>
      <c r="V1238" s="316" t="str">
        <f t="shared" si="1281"/>
        <v>RUN-ABRM_2023-05-03_APS-014</v>
      </c>
      <c r="Y1238" s="317" t="str">
        <f t="shared" si="6"/>
        <v/>
      </c>
      <c r="Z1238" s="83" t="str">
        <f t="shared" si="7"/>
        <v/>
      </c>
      <c r="AA1238" s="83" t="str">
        <f t="shared" si="8"/>
        <v/>
      </c>
      <c r="AB1238" s="83" t="str">
        <f t="shared" si="9"/>
        <v/>
      </c>
      <c r="AC1238" s="18"/>
      <c r="AD1238" s="18"/>
      <c r="AE1238" s="43"/>
      <c r="AF1238" s="58" t="s">
        <v>1386</v>
      </c>
      <c r="AG1238" s="55" t="b">
        <f t="shared" si="11"/>
        <v>0</v>
      </c>
    </row>
    <row r="1239">
      <c r="A1239" s="7" t="str">
        <f>IFERROR(__xludf.DUMMYFUNCTION("""COMPUTED_VALUE"""),"AB9826")</f>
        <v>AB9826</v>
      </c>
      <c r="B1239" s="308">
        <f>IFERROR(__xludf.DUMMYFUNCTION("""COMPUTED_VALUE"""),45049.0)</f>
        <v>45049</v>
      </c>
      <c r="C1239" s="309">
        <f>IFERROR(__xludf.DUMMYFUNCTION("""COMPUTED_VALUE"""),0.32090277777777776)</f>
        <v>0.3209027778</v>
      </c>
      <c r="D1239" s="7" t="str">
        <f>IFERROR(__xludf.DUMMYFUNCTION("""COMPUTED_VALUE"""),"SpABRM841252")</f>
        <v>SpABRM841252</v>
      </c>
      <c r="E1239" s="310"/>
      <c r="F1239" s="310"/>
      <c r="G1239" s="310" t="str">
        <f>IFERROR(__xludf.DUMMYFUNCTION("""COMPUTED_VALUE"""),"Negative")</f>
        <v>Negative</v>
      </c>
      <c r="H1239" s="319" t="str">
        <f>IFERROR(__xludf.DUMMYFUNCTION("""COMPUTED_VALUE"""),"Negative")</f>
        <v>Negative</v>
      </c>
      <c r="I1239" s="308">
        <f>IFERROR(__xludf.DUMMYFUNCTION("""COMPUTED_VALUE"""),45050.0)</f>
        <v>45050</v>
      </c>
      <c r="J1239" s="311">
        <f>IFERROR(__xludf.DUMMYFUNCTION("""COMPUTED_VALUE"""),0.5805671296296296)</f>
        <v>0.5805671296</v>
      </c>
      <c r="K1239" s="54"/>
      <c r="L1239" s="7"/>
      <c r="M1239" s="312"/>
      <c r="N1239" s="172">
        <f>IFERROR(__xludf.DUMMYFUNCTION("""COMPUTED_VALUE"""),1.0)</f>
        <v>1</v>
      </c>
      <c r="O1239" s="172"/>
      <c r="P1239" s="313">
        <f>IFERROR(__xludf.DUMMYFUNCTION("""COMPUTED_VALUE"""),1.0)</f>
        <v>1</v>
      </c>
      <c r="Q1239" s="76" t="b">
        <f>VLOOKUP($B1239,'Run Reconcile'!B$2:O1399,14,FALSE)</f>
        <v>1</v>
      </c>
      <c r="R1239" s="314" t="str">
        <f t="array" ref="R1239">IF($Q1239, INDEX('Run Reconcile'!A$2:A1399,MATCH(B1239,'Run Reconcile'!B$2:B1399,0),1),IFERROR(0/0,""))</f>
        <v>RUN-ABRM_2023-05-03_APS-014</v>
      </c>
      <c r="S1239" s="315" t="str">
        <f t="shared" ref="S1239:T1239" si="2245">IF(COUNTIF(W$2:W1399, $A1239) &gt; 0,TRUE,IFERROR(0/0,""))</f>
        <v/>
      </c>
      <c r="T1239" s="315" t="str">
        <f t="shared" si="2245"/>
        <v/>
      </c>
      <c r="U1239" s="114" t="str">
        <f t="array" ref="U1239">IF(ISBLANK($R1239), INDEX('Run Reconcile'!A$2:A1399, MATCH($B1239, 'Run Reconcile'!B$2:B1399, 0)+Z1239, 1), IFERROR(0/0,""))
</f>
        <v/>
      </c>
      <c r="V1239" s="316" t="str">
        <f t="shared" si="1281"/>
        <v>RUN-ABRM_2023-05-03_APS-014</v>
      </c>
      <c r="Y1239" s="317" t="str">
        <f t="shared" si="6"/>
        <v/>
      </c>
      <c r="Z1239" s="83" t="str">
        <f t="shared" si="7"/>
        <v/>
      </c>
      <c r="AA1239" s="83" t="str">
        <f t="shared" si="8"/>
        <v/>
      </c>
      <c r="AB1239" s="83" t="str">
        <f t="shared" si="9"/>
        <v/>
      </c>
      <c r="AC1239" s="18"/>
      <c r="AD1239" s="18"/>
      <c r="AE1239" s="43"/>
      <c r="AF1239" s="58" t="s">
        <v>1386</v>
      </c>
      <c r="AG1239" s="55" t="b">
        <f t="shared" si="11"/>
        <v>0</v>
      </c>
    </row>
    <row r="1240">
      <c r="A1240" s="7" t="str">
        <f>IFERROR(__xludf.DUMMYFUNCTION("""COMPUTED_VALUE"""),"AR1713")</f>
        <v>AR1713</v>
      </c>
      <c r="B1240" s="308">
        <f>IFERROR(__xludf.DUMMYFUNCTION("""COMPUTED_VALUE"""),45049.0)</f>
        <v>45049</v>
      </c>
      <c r="C1240" s="309">
        <f>IFERROR(__xludf.DUMMYFUNCTION("""COMPUTED_VALUE"""),0.3216087962962963)</f>
        <v>0.3216087963</v>
      </c>
      <c r="D1240" s="7" t="str">
        <f>IFERROR(__xludf.DUMMYFUNCTION("""COMPUTED_VALUE"""),"SpABRM519188")</f>
        <v>SpABRM519188</v>
      </c>
      <c r="E1240" s="310"/>
      <c r="F1240" s="310"/>
      <c r="G1240" s="310" t="str">
        <f>IFERROR(__xludf.DUMMYFUNCTION("""COMPUTED_VALUE"""),"Null")</f>
        <v>Null</v>
      </c>
      <c r="H1240" s="319" t="str">
        <f>IFERROR(__xludf.DUMMYFUNCTION("""COMPUTED_VALUE"""),"Negative")</f>
        <v>Negative</v>
      </c>
      <c r="I1240" s="319"/>
      <c r="J1240" s="54"/>
      <c r="K1240" s="54">
        <f>IFERROR(__xludf.DUMMYFUNCTION("""COMPUTED_VALUE"""),2.2)</f>
        <v>2.2</v>
      </c>
      <c r="L1240" s="7"/>
      <c r="M1240" s="312"/>
      <c r="N1240" s="172">
        <f>IFERROR(__xludf.DUMMYFUNCTION("""COMPUTED_VALUE"""),1.0)</f>
        <v>1</v>
      </c>
      <c r="O1240" s="172"/>
      <c r="P1240" s="313">
        <f>IFERROR(__xludf.DUMMYFUNCTION("""COMPUTED_VALUE"""),-1.0)</f>
        <v>-1</v>
      </c>
      <c r="Q1240" s="76" t="b">
        <f>VLOOKUP($B1240,'Run Reconcile'!B$2:O1399,14,FALSE)</f>
        <v>1</v>
      </c>
      <c r="R1240" s="314" t="str">
        <f t="array" ref="R1240">IF($Q1240, INDEX('Run Reconcile'!A$2:A1399,MATCH(B1240,'Run Reconcile'!B$2:B1399,0),1),IFERROR(0/0,""))</f>
        <v>RUN-ABRM_2023-05-03_APS-014</v>
      </c>
      <c r="S1240" s="315" t="str">
        <f t="shared" ref="S1240:T1240" si="2246">IF(COUNTIF(W$2:W1399, $A1240) &gt; 0,TRUE,IFERROR(0/0,""))</f>
        <v/>
      </c>
      <c r="T1240" s="315" t="str">
        <f t="shared" si="2246"/>
        <v/>
      </c>
      <c r="U1240" s="114" t="str">
        <f t="array" ref="U1240">IF(ISBLANK($R1240), INDEX('Run Reconcile'!A$2:A1399, MATCH($B1240, 'Run Reconcile'!B$2:B1399, 0)+Z1240, 1), IFERROR(0/0,""))
</f>
        <v/>
      </c>
      <c r="V1240" s="316" t="str">
        <f t="shared" si="1281"/>
        <v>RUN-ABRM_2023-05-03_APS-014</v>
      </c>
      <c r="Y1240" s="317" t="str">
        <f t="shared" si="6"/>
        <v/>
      </c>
      <c r="Z1240" s="83" t="str">
        <f t="shared" si="7"/>
        <v/>
      </c>
      <c r="AA1240" s="83" t="str">
        <f t="shared" si="8"/>
        <v/>
      </c>
      <c r="AB1240" s="83" t="str">
        <f t="shared" si="9"/>
        <v/>
      </c>
      <c r="AC1240" s="18"/>
      <c r="AD1240" s="18"/>
      <c r="AE1240" s="43"/>
      <c r="AF1240" s="58" t="s">
        <v>1386</v>
      </c>
      <c r="AG1240" s="55" t="b">
        <f t="shared" si="11"/>
        <v>0</v>
      </c>
    </row>
    <row r="1241">
      <c r="A1241" s="7" t="str">
        <f>IFERROR(__xludf.DUMMYFUNCTION("""COMPUTED_VALUE"""),"AR1935")</f>
        <v>AR1935</v>
      </c>
      <c r="B1241" s="308">
        <f>IFERROR(__xludf.DUMMYFUNCTION("""COMPUTED_VALUE"""),45050.0)</f>
        <v>45050</v>
      </c>
      <c r="C1241" s="309">
        <f>IFERROR(__xludf.DUMMYFUNCTION("""COMPUTED_VALUE"""),0.27296296296296296)</f>
        <v>0.272962963</v>
      </c>
      <c r="D1241" s="7" t="str">
        <f>IFERROR(__xludf.DUMMYFUNCTION("""COMPUTED_VALUE"""),"SpABRM655136")</f>
        <v>SpABRM655136</v>
      </c>
      <c r="E1241" s="310"/>
      <c r="F1241" s="310"/>
      <c r="G1241" s="310" t="str">
        <f>IFERROR(__xludf.DUMMYFUNCTION("""COMPUTED_VALUE"""),"Negative")</f>
        <v>Negative</v>
      </c>
      <c r="H1241" s="319" t="str">
        <f>IFERROR(__xludf.DUMMYFUNCTION("""COMPUTED_VALUE"""),"Negative")</f>
        <v>Negative</v>
      </c>
      <c r="I1241" s="308">
        <f>IFERROR(__xludf.DUMMYFUNCTION("""COMPUTED_VALUE"""),45050.0)</f>
        <v>45050</v>
      </c>
      <c r="J1241" s="311">
        <f>IFERROR(__xludf.DUMMYFUNCTION("""COMPUTED_VALUE"""),0.5805787037037037)</f>
        <v>0.5805787037</v>
      </c>
      <c r="K1241" s="54"/>
      <c r="L1241" s="7"/>
      <c r="M1241" s="312"/>
      <c r="N1241" s="172">
        <f>IFERROR(__xludf.DUMMYFUNCTION("""COMPUTED_VALUE"""),1.0)</f>
        <v>1</v>
      </c>
      <c r="O1241" s="172"/>
      <c r="P1241" s="313">
        <f>IFERROR(__xludf.DUMMYFUNCTION("""COMPUTED_VALUE"""),0.0)</f>
        <v>0</v>
      </c>
      <c r="Q1241" s="76" t="b">
        <f>VLOOKUP($B1241,'Run Reconcile'!B$2:O1399,14,FALSE)</f>
        <v>1</v>
      </c>
      <c r="R1241" s="314" t="str">
        <f t="array" ref="R1241">IF($Q1241, INDEX('Run Reconcile'!A$2:A1399,MATCH(B1241,'Run Reconcile'!B$2:B1399,0),1),IFERROR(0/0,""))</f>
        <v>RUN-ABRM_2023-05-04_APS-015</v>
      </c>
      <c r="S1241" s="315" t="str">
        <f t="shared" ref="S1241:T1241" si="2247">IF(COUNTIF(W$2:W1399, $A1241) &gt; 0,TRUE,IFERROR(0/0,""))</f>
        <v/>
      </c>
      <c r="T1241" s="315" t="str">
        <f t="shared" si="2247"/>
        <v/>
      </c>
      <c r="U1241" s="114" t="str">
        <f t="array" ref="U1241">IF(ISBLANK($R1241), INDEX('Run Reconcile'!A$2:A1399, MATCH($B1241, 'Run Reconcile'!B$2:B1399, 0)+Z1241, 1), IFERROR(0/0,""))
</f>
        <v/>
      </c>
      <c r="V1241" s="316" t="str">
        <f t="shared" si="1281"/>
        <v>RUN-ABRM_2023-05-04_APS-015</v>
      </c>
      <c r="Y1241" s="317" t="str">
        <f t="shared" si="6"/>
        <v/>
      </c>
      <c r="Z1241" s="83" t="str">
        <f t="shared" si="7"/>
        <v/>
      </c>
      <c r="AA1241" s="83" t="str">
        <f t="shared" si="8"/>
        <v/>
      </c>
      <c r="AB1241" s="83" t="str">
        <f t="shared" si="9"/>
        <v/>
      </c>
      <c r="AC1241" s="18"/>
      <c r="AD1241" s="18"/>
      <c r="AE1241" s="43"/>
      <c r="AF1241" s="58" t="s">
        <v>1387</v>
      </c>
      <c r="AG1241" s="55" t="b">
        <f t="shared" si="11"/>
        <v>0</v>
      </c>
    </row>
    <row r="1242">
      <c r="A1242" s="7" t="str">
        <f>IFERROR(__xludf.DUMMYFUNCTION("""COMPUTED_VALUE"""),"AR1681")</f>
        <v>AR1681</v>
      </c>
      <c r="B1242" s="308">
        <f>IFERROR(__xludf.DUMMYFUNCTION("""COMPUTED_VALUE"""),45050.0)</f>
        <v>45050</v>
      </c>
      <c r="C1242" s="309">
        <f>IFERROR(__xludf.DUMMYFUNCTION("""COMPUTED_VALUE"""),0.2778935185185185)</f>
        <v>0.2778935185</v>
      </c>
      <c r="D1242" s="7" t="str">
        <f>IFERROR(__xludf.DUMMYFUNCTION("""COMPUTED_VALUE"""),"SpABRM581899")</f>
        <v>SpABRM581899</v>
      </c>
      <c r="E1242" s="310"/>
      <c r="F1242" s="310"/>
      <c r="G1242" s="310" t="str">
        <f>IFERROR(__xludf.DUMMYFUNCTION("""COMPUTED_VALUE"""),"Null")</f>
        <v>Null</v>
      </c>
      <c r="H1242" s="319" t="str">
        <f>IFERROR(__xludf.DUMMYFUNCTION("""COMPUTED_VALUE"""),"Negative")</f>
        <v>Negative</v>
      </c>
      <c r="I1242" s="319"/>
      <c r="J1242" s="54"/>
      <c r="K1242" s="54">
        <f>IFERROR(__xludf.DUMMYFUNCTION("""COMPUTED_VALUE"""),2.2)</f>
        <v>2.2</v>
      </c>
      <c r="L1242" s="7"/>
      <c r="M1242" s="312"/>
      <c r="N1242" s="172">
        <f>IFERROR(__xludf.DUMMYFUNCTION("""COMPUTED_VALUE"""),3.0)</f>
        <v>3</v>
      </c>
      <c r="O1242" s="172"/>
      <c r="P1242" s="313">
        <f>IFERROR(__xludf.DUMMYFUNCTION("""COMPUTED_VALUE"""),-1.0)</f>
        <v>-1</v>
      </c>
      <c r="Q1242" s="76" t="b">
        <f>VLOOKUP($B1242,'Run Reconcile'!B$2:O1399,14,FALSE)</f>
        <v>1</v>
      </c>
      <c r="R1242" s="314" t="str">
        <f t="array" ref="R1242">IF($Q1242, INDEX('Run Reconcile'!A$2:A1399,MATCH(B1242,'Run Reconcile'!B$2:B1399,0),1),IFERROR(0/0,""))</f>
        <v>RUN-ABRM_2023-05-04_APS-015</v>
      </c>
      <c r="S1242" s="315" t="str">
        <f t="shared" ref="S1242:T1242" si="2248">IF(COUNTIF(W$2:W1399, $A1242) &gt; 0,TRUE,IFERROR(0/0,""))</f>
        <v/>
      </c>
      <c r="T1242" s="315" t="str">
        <f t="shared" si="2248"/>
        <v/>
      </c>
      <c r="U1242" s="114" t="str">
        <f t="array" ref="U1242">IF(ISBLANK($R1242), INDEX('Run Reconcile'!A$2:A1399, MATCH($B1242, 'Run Reconcile'!B$2:B1399, 0)+Z1242, 1), IFERROR(0/0,""))
</f>
        <v/>
      </c>
      <c r="V1242" s="316" t="str">
        <f t="shared" si="1281"/>
        <v>RUN-ABRM_2023-05-04_APS-015</v>
      </c>
      <c r="Y1242" s="317" t="str">
        <f t="shared" si="6"/>
        <v/>
      </c>
      <c r="Z1242" s="83" t="str">
        <f t="shared" si="7"/>
        <v/>
      </c>
      <c r="AA1242" s="83" t="str">
        <f t="shared" si="8"/>
        <v/>
      </c>
      <c r="AB1242" s="83" t="str">
        <f t="shared" si="9"/>
        <v/>
      </c>
      <c r="AC1242" s="18"/>
      <c r="AD1242" s="18"/>
      <c r="AE1242" s="43"/>
      <c r="AF1242" s="58" t="s">
        <v>1387</v>
      </c>
      <c r="AG1242" s="55" t="b">
        <f t="shared" si="11"/>
        <v>0</v>
      </c>
    </row>
    <row r="1243">
      <c r="A1243" s="7" t="str">
        <f>IFERROR(__xludf.DUMMYFUNCTION("""COMPUTED_VALUE"""),"AB9394")</f>
        <v>AB9394</v>
      </c>
      <c r="B1243" s="308">
        <f>IFERROR(__xludf.DUMMYFUNCTION("""COMPUTED_VALUE"""),45050.0)</f>
        <v>45050</v>
      </c>
      <c r="C1243" s="309">
        <f>IFERROR(__xludf.DUMMYFUNCTION("""COMPUTED_VALUE"""),0.2817013888888889)</f>
        <v>0.2817013889</v>
      </c>
      <c r="D1243" s="7" t="str">
        <f>IFERROR(__xludf.DUMMYFUNCTION("""COMPUTED_VALUE"""),"SpABRM128250")</f>
        <v>SpABRM128250</v>
      </c>
      <c r="E1243" s="310"/>
      <c r="F1243" s="310"/>
      <c r="G1243" s="310" t="str">
        <f>IFERROR(__xludf.DUMMYFUNCTION("""COMPUTED_VALUE"""),"Null")</f>
        <v>Null</v>
      </c>
      <c r="H1243" s="319" t="str">
        <f>IFERROR(__xludf.DUMMYFUNCTION("""COMPUTED_VALUE"""),"Negative")</f>
        <v>Negative</v>
      </c>
      <c r="I1243" s="319"/>
      <c r="J1243" s="54"/>
      <c r="K1243" s="54">
        <f>IFERROR(__xludf.DUMMYFUNCTION("""COMPUTED_VALUE"""),2.2)</f>
        <v>2.2</v>
      </c>
      <c r="L1243" s="7"/>
      <c r="M1243" s="312"/>
      <c r="N1243" s="172">
        <f>IFERROR(__xludf.DUMMYFUNCTION("""COMPUTED_VALUE"""),3.0)</f>
        <v>3</v>
      </c>
      <c r="O1243" s="172"/>
      <c r="P1243" s="313">
        <f>IFERROR(__xludf.DUMMYFUNCTION("""COMPUTED_VALUE"""),-1.0)</f>
        <v>-1</v>
      </c>
      <c r="Q1243" s="76" t="b">
        <f>VLOOKUP($B1243,'Run Reconcile'!B$2:O1399,14,FALSE)</f>
        <v>1</v>
      </c>
      <c r="R1243" s="314" t="str">
        <f t="array" ref="R1243">IF($Q1243, INDEX('Run Reconcile'!A$2:A1399,MATCH(B1243,'Run Reconcile'!B$2:B1399,0),1),IFERROR(0/0,""))</f>
        <v>RUN-ABRM_2023-05-04_APS-015</v>
      </c>
      <c r="S1243" s="315" t="str">
        <f t="shared" ref="S1243:T1243" si="2249">IF(COUNTIF(W$2:W1399, $A1243) &gt; 0,TRUE,IFERROR(0/0,""))</f>
        <v/>
      </c>
      <c r="T1243" s="315" t="str">
        <f t="shared" si="2249"/>
        <v/>
      </c>
      <c r="U1243" s="114" t="str">
        <f t="array" ref="U1243">IF(ISBLANK($R1243), INDEX('Run Reconcile'!A$2:A1399, MATCH($B1243, 'Run Reconcile'!B$2:B1399, 0)+Z1243, 1), IFERROR(0/0,""))
</f>
        <v/>
      </c>
      <c r="V1243" s="316" t="str">
        <f t="shared" si="1281"/>
        <v>RUN-ABRM_2023-05-04_APS-015</v>
      </c>
      <c r="Y1243" s="317" t="str">
        <f t="shared" si="6"/>
        <v/>
      </c>
      <c r="Z1243" s="83" t="str">
        <f t="shared" si="7"/>
        <v/>
      </c>
      <c r="AA1243" s="83" t="str">
        <f t="shared" si="8"/>
        <v/>
      </c>
      <c r="AB1243" s="83" t="str">
        <f t="shared" si="9"/>
        <v/>
      </c>
      <c r="AC1243" s="18"/>
      <c r="AD1243" s="18"/>
      <c r="AE1243" s="43"/>
      <c r="AF1243" s="58" t="s">
        <v>1387</v>
      </c>
      <c r="AG1243" s="55" t="b">
        <f t="shared" si="11"/>
        <v>0</v>
      </c>
    </row>
    <row r="1244">
      <c r="A1244" s="7" t="str">
        <f>IFERROR(__xludf.DUMMYFUNCTION("""COMPUTED_VALUE"""),"AG734")</f>
        <v>AG734</v>
      </c>
      <c r="B1244" s="308">
        <f>IFERROR(__xludf.DUMMYFUNCTION("""COMPUTED_VALUE"""),45050.0)</f>
        <v>45050</v>
      </c>
      <c r="C1244" s="309">
        <f>IFERROR(__xludf.DUMMYFUNCTION("""COMPUTED_VALUE"""),0.30150462962962965)</f>
        <v>0.3015046296</v>
      </c>
      <c r="D1244" s="7" t="str">
        <f>IFERROR(__xludf.DUMMYFUNCTION("""COMPUTED_VALUE"""),"SpABRM716377")</f>
        <v>SpABRM716377</v>
      </c>
      <c r="E1244" s="310"/>
      <c r="F1244" s="310"/>
      <c r="G1244" s="310" t="str">
        <f>IFERROR(__xludf.DUMMYFUNCTION("""COMPUTED_VALUE"""),"Null")</f>
        <v>Null</v>
      </c>
      <c r="H1244" s="319" t="str">
        <f>IFERROR(__xludf.DUMMYFUNCTION("""COMPUTED_VALUE"""),"Negative")</f>
        <v>Negative</v>
      </c>
      <c r="I1244" s="319"/>
      <c r="J1244" s="54"/>
      <c r="K1244" s="54">
        <f>IFERROR(__xludf.DUMMYFUNCTION("""COMPUTED_VALUE"""),2.2)</f>
        <v>2.2</v>
      </c>
      <c r="L1244" s="7"/>
      <c r="M1244" s="312"/>
      <c r="N1244" s="172">
        <f>IFERROR(__xludf.DUMMYFUNCTION("""COMPUTED_VALUE"""),2.0)</f>
        <v>2</v>
      </c>
      <c r="O1244" s="172"/>
      <c r="P1244" s="313">
        <f>IFERROR(__xludf.DUMMYFUNCTION("""COMPUTED_VALUE"""),-1.0)</f>
        <v>-1</v>
      </c>
      <c r="Q1244" s="76" t="b">
        <f>VLOOKUP($B1244,'Run Reconcile'!B$2:O1399,14,FALSE)</f>
        <v>1</v>
      </c>
      <c r="R1244" s="314" t="str">
        <f t="array" ref="R1244">IF($Q1244, INDEX('Run Reconcile'!A$2:A1399,MATCH(B1244,'Run Reconcile'!B$2:B1399,0),1),IFERROR(0/0,""))</f>
        <v>RUN-ABRM_2023-05-04_APS-015</v>
      </c>
      <c r="S1244" s="315" t="str">
        <f t="shared" ref="S1244:T1244" si="2250">IF(COUNTIF(W$2:W1399, $A1244) &gt; 0,TRUE,IFERROR(0/0,""))</f>
        <v/>
      </c>
      <c r="T1244" s="315" t="str">
        <f t="shared" si="2250"/>
        <v/>
      </c>
      <c r="U1244" s="114" t="str">
        <f t="array" ref="U1244">IF(ISBLANK($R1244), INDEX('Run Reconcile'!A$2:A1399, MATCH($B1244, 'Run Reconcile'!B$2:B1399, 0)+Z1244, 1), IFERROR(0/0,""))
</f>
        <v/>
      </c>
      <c r="V1244" s="316" t="str">
        <f t="shared" si="1281"/>
        <v>RUN-ABRM_2023-05-04_APS-015</v>
      </c>
      <c r="Y1244" s="317" t="str">
        <f t="shared" si="6"/>
        <v/>
      </c>
      <c r="Z1244" s="83" t="str">
        <f t="shared" si="7"/>
        <v/>
      </c>
      <c r="AA1244" s="83" t="str">
        <f t="shared" si="8"/>
        <v/>
      </c>
      <c r="AB1244" s="83" t="str">
        <f t="shared" si="9"/>
        <v/>
      </c>
      <c r="AC1244" s="18"/>
      <c r="AD1244" s="18"/>
      <c r="AE1244" s="43"/>
      <c r="AF1244" s="58" t="s">
        <v>1387</v>
      </c>
      <c r="AG1244" s="55" t="b">
        <f t="shared" si="11"/>
        <v>0</v>
      </c>
    </row>
    <row r="1245">
      <c r="A1245" s="7" t="str">
        <f>IFERROR(__xludf.DUMMYFUNCTION("""COMPUTED_VALUE"""),"AR614")</f>
        <v>AR614</v>
      </c>
      <c r="B1245" s="308">
        <f>IFERROR(__xludf.DUMMYFUNCTION("""COMPUTED_VALUE"""),45050.0)</f>
        <v>45050</v>
      </c>
      <c r="C1245" s="309">
        <f>IFERROR(__xludf.DUMMYFUNCTION("""COMPUTED_VALUE"""),0.32837962962962963)</f>
        <v>0.3283796296</v>
      </c>
      <c r="D1245" s="7" t="str">
        <f>IFERROR(__xludf.DUMMYFUNCTION("""COMPUTED_VALUE"""),"SpABRM519188")</f>
        <v>SpABRM519188</v>
      </c>
      <c r="E1245" s="310"/>
      <c r="F1245" s="310"/>
      <c r="G1245" s="310" t="str">
        <f>IFERROR(__xludf.DUMMYFUNCTION("""COMPUTED_VALUE"""),"Null")</f>
        <v>Null</v>
      </c>
      <c r="H1245" s="319" t="str">
        <f>IFERROR(__xludf.DUMMYFUNCTION("""COMPUTED_VALUE"""),"Negative")</f>
        <v>Negative</v>
      </c>
      <c r="I1245" s="319"/>
      <c r="J1245" s="54"/>
      <c r="K1245" s="54">
        <f>IFERROR(__xludf.DUMMYFUNCTION("""COMPUTED_VALUE"""),2.2)</f>
        <v>2.2</v>
      </c>
      <c r="L1245" s="7"/>
      <c r="M1245" s="312"/>
      <c r="N1245" s="172">
        <f>IFERROR(__xludf.DUMMYFUNCTION("""COMPUTED_VALUE"""),1.0)</f>
        <v>1</v>
      </c>
      <c r="O1245" s="172"/>
      <c r="P1245" s="313">
        <f>IFERROR(__xludf.DUMMYFUNCTION("""COMPUTED_VALUE"""),-1.0)</f>
        <v>-1</v>
      </c>
      <c r="Q1245" s="76" t="b">
        <f>VLOOKUP($B1245,'Run Reconcile'!B$2:O1399,14,FALSE)</f>
        <v>1</v>
      </c>
      <c r="R1245" s="314" t="str">
        <f t="array" ref="R1245">IF($Q1245, INDEX('Run Reconcile'!A$2:A1399,MATCH(B1245,'Run Reconcile'!B$2:B1399,0),1),IFERROR(0/0,""))</f>
        <v>RUN-ABRM_2023-05-04_APS-015</v>
      </c>
      <c r="S1245" s="315" t="str">
        <f t="shared" ref="S1245:T1245" si="2251">IF(COUNTIF(W$2:W1399, $A1245) &gt; 0,TRUE,IFERROR(0/0,""))</f>
        <v/>
      </c>
      <c r="T1245" s="315" t="str">
        <f t="shared" si="2251"/>
        <v/>
      </c>
      <c r="U1245" s="114" t="str">
        <f t="array" ref="U1245">IF(ISBLANK($R1245), INDEX('Run Reconcile'!A$2:A1399, MATCH($B1245, 'Run Reconcile'!B$2:B1399, 0)+Z1245, 1), IFERROR(0/0,""))
</f>
        <v/>
      </c>
      <c r="V1245" s="316" t="str">
        <f t="shared" si="1281"/>
        <v>RUN-ABRM_2023-05-04_APS-015</v>
      </c>
      <c r="Y1245" s="317" t="str">
        <f t="shared" si="6"/>
        <v/>
      </c>
      <c r="Z1245" s="83" t="str">
        <f t="shared" si="7"/>
        <v/>
      </c>
      <c r="AA1245" s="83" t="str">
        <f t="shared" si="8"/>
        <v/>
      </c>
      <c r="AB1245" s="83" t="str">
        <f t="shared" si="9"/>
        <v/>
      </c>
      <c r="AC1245" s="18"/>
      <c r="AD1245" s="18"/>
      <c r="AE1245" s="43"/>
      <c r="AF1245" s="58" t="s">
        <v>1387</v>
      </c>
      <c r="AG1245" s="55" t="b">
        <f t="shared" si="11"/>
        <v>0</v>
      </c>
    </row>
    <row r="1246">
      <c r="A1246" s="7" t="str">
        <f>IFERROR(__xludf.DUMMYFUNCTION("""COMPUTED_VALUE"""),"AR1811")</f>
        <v>AR1811</v>
      </c>
      <c r="B1246" s="308">
        <f>IFERROR(__xludf.DUMMYFUNCTION("""COMPUTED_VALUE"""),45051.0)</f>
        <v>45051</v>
      </c>
      <c r="C1246" s="309">
        <f>IFERROR(__xludf.DUMMYFUNCTION("""COMPUTED_VALUE"""),0.26167824074074075)</f>
        <v>0.2616782407</v>
      </c>
      <c r="D1246" s="7" t="str">
        <f>IFERROR(__xludf.DUMMYFUNCTION("""COMPUTED_VALUE"""),"SpABRM581899")</f>
        <v>SpABRM581899</v>
      </c>
      <c r="E1246" s="310"/>
      <c r="F1246" s="310"/>
      <c r="G1246" s="310" t="str">
        <f>IFERROR(__xludf.DUMMYFUNCTION("""COMPUTED_VALUE"""),"Negative")</f>
        <v>Negative</v>
      </c>
      <c r="H1246" s="319" t="str">
        <f>IFERROR(__xludf.DUMMYFUNCTION("""COMPUTED_VALUE"""),"Negative")</f>
        <v>Negative</v>
      </c>
      <c r="I1246" s="308">
        <f>IFERROR(__xludf.DUMMYFUNCTION("""COMPUTED_VALUE"""),45056.0)</f>
        <v>45056</v>
      </c>
      <c r="J1246" s="311">
        <f>IFERROR(__xludf.DUMMYFUNCTION("""COMPUTED_VALUE"""),0.4041087962962963)</f>
        <v>0.4041087963</v>
      </c>
      <c r="K1246" s="54"/>
      <c r="L1246" s="7"/>
      <c r="M1246" s="312"/>
      <c r="N1246" s="172">
        <f>IFERROR(__xludf.DUMMYFUNCTION("""COMPUTED_VALUE"""),3.0)</f>
        <v>3</v>
      </c>
      <c r="O1246" s="172"/>
      <c r="P1246" s="313">
        <f>IFERROR(__xludf.DUMMYFUNCTION("""COMPUTED_VALUE"""),5.0)</f>
        <v>5</v>
      </c>
      <c r="Q1246" s="76" t="b">
        <f>VLOOKUP($B1246,'Run Reconcile'!B$2:O1399,14,FALSE)</f>
        <v>1</v>
      </c>
      <c r="R1246" s="314" t="str">
        <f t="array" ref="R1246">IF($Q1246, INDEX('Run Reconcile'!A$2:A1399,MATCH(B1246,'Run Reconcile'!B$2:B1399,0),1),IFERROR(0/0,""))</f>
        <v>RUN-ABRM_2023-05-05_APS-016</v>
      </c>
      <c r="S1246" s="315" t="str">
        <f t="shared" ref="S1246:T1246" si="2252">IF(COUNTIF(W$2:W1399, $A1246) &gt; 0,TRUE,IFERROR(0/0,""))</f>
        <v/>
      </c>
      <c r="T1246" s="315" t="str">
        <f t="shared" si="2252"/>
        <v/>
      </c>
      <c r="U1246" s="114" t="str">
        <f t="array" ref="U1246">IF(ISBLANK($R1246), INDEX('Run Reconcile'!A$2:A1399, MATCH($B1246, 'Run Reconcile'!B$2:B1399, 0)+Z1246, 1), IFERROR(0/0,""))
</f>
        <v/>
      </c>
      <c r="V1246" s="316" t="str">
        <f t="shared" si="1281"/>
        <v>RUN-ABRM_2023-05-05_APS-016</v>
      </c>
      <c r="Y1246" s="317" t="str">
        <f t="shared" si="6"/>
        <v/>
      </c>
      <c r="Z1246" s="83" t="str">
        <f t="shared" si="7"/>
        <v/>
      </c>
      <c r="AA1246" s="83" t="str">
        <f t="shared" si="8"/>
        <v/>
      </c>
      <c r="AB1246" s="83" t="str">
        <f t="shared" si="9"/>
        <v/>
      </c>
      <c r="AC1246" s="18"/>
      <c r="AD1246" s="18"/>
      <c r="AE1246" s="43"/>
      <c r="AF1246" s="58" t="s">
        <v>1388</v>
      </c>
      <c r="AG1246" s="55" t="b">
        <f t="shared" si="11"/>
        <v>0</v>
      </c>
    </row>
    <row r="1247">
      <c r="A1247" s="7" t="str">
        <f>IFERROR(__xludf.DUMMYFUNCTION("""COMPUTED_VALUE"""),"AR1104")</f>
        <v>AR1104</v>
      </c>
      <c r="B1247" s="308">
        <f>IFERROR(__xludf.DUMMYFUNCTION("""COMPUTED_VALUE"""),45051.0)</f>
        <v>45051</v>
      </c>
      <c r="C1247" s="309">
        <f>IFERROR(__xludf.DUMMYFUNCTION("""COMPUTED_VALUE"""),0.2918865740740741)</f>
        <v>0.2918865741</v>
      </c>
      <c r="D1247" s="7" t="str">
        <f>IFERROR(__xludf.DUMMYFUNCTION("""COMPUTED_VALUE"""),"SpABRM128250")</f>
        <v>SpABRM128250</v>
      </c>
      <c r="E1247" s="310"/>
      <c r="F1247" s="310"/>
      <c r="G1247" s="310" t="str">
        <f>IFERROR(__xludf.DUMMYFUNCTION("""COMPUTED_VALUE"""),"Null")</f>
        <v>Null</v>
      </c>
      <c r="H1247" s="319" t="str">
        <f>IFERROR(__xludf.DUMMYFUNCTION("""COMPUTED_VALUE"""),"Negative")</f>
        <v>Negative</v>
      </c>
      <c r="I1247" s="319"/>
      <c r="J1247" s="54"/>
      <c r="K1247" s="54">
        <f>IFERROR(__xludf.DUMMYFUNCTION("""COMPUTED_VALUE"""),2.2)</f>
        <v>2.2</v>
      </c>
      <c r="L1247" s="7"/>
      <c r="M1247" s="312"/>
      <c r="N1247" s="172">
        <f>IFERROR(__xludf.DUMMYFUNCTION("""COMPUTED_VALUE"""),3.0)</f>
        <v>3</v>
      </c>
      <c r="O1247" s="172"/>
      <c r="P1247" s="313">
        <f>IFERROR(__xludf.DUMMYFUNCTION("""COMPUTED_VALUE"""),-1.0)</f>
        <v>-1</v>
      </c>
      <c r="Q1247" s="76" t="b">
        <f>VLOOKUP($B1247,'Run Reconcile'!B$2:O1399,14,FALSE)</f>
        <v>1</v>
      </c>
      <c r="R1247" s="314" t="str">
        <f t="array" ref="R1247">IF($Q1247, INDEX('Run Reconcile'!A$2:A1399,MATCH(B1247,'Run Reconcile'!B$2:B1399,0),1),IFERROR(0/0,""))</f>
        <v>RUN-ABRM_2023-05-05_APS-016</v>
      </c>
      <c r="S1247" s="315" t="str">
        <f t="shared" ref="S1247:T1247" si="2253">IF(COUNTIF(W$2:W1399, $A1247) &gt; 0,TRUE,IFERROR(0/0,""))</f>
        <v/>
      </c>
      <c r="T1247" s="315" t="str">
        <f t="shared" si="2253"/>
        <v/>
      </c>
      <c r="U1247" s="114" t="str">
        <f t="array" ref="U1247">IF(ISBLANK($R1247), INDEX('Run Reconcile'!A$2:A1399, MATCH($B1247, 'Run Reconcile'!B$2:B1399, 0)+Z1247, 1), IFERROR(0/0,""))
</f>
        <v/>
      </c>
      <c r="V1247" s="316" t="str">
        <f t="shared" si="1281"/>
        <v>RUN-ABRM_2023-05-05_APS-016</v>
      </c>
      <c r="Y1247" s="317" t="str">
        <f t="shared" si="6"/>
        <v/>
      </c>
      <c r="Z1247" s="83" t="str">
        <f t="shared" si="7"/>
        <v/>
      </c>
      <c r="AA1247" s="83" t="str">
        <f t="shared" si="8"/>
        <v/>
      </c>
      <c r="AB1247" s="83" t="str">
        <f t="shared" si="9"/>
        <v/>
      </c>
      <c r="AC1247" s="18"/>
      <c r="AD1247" s="18"/>
      <c r="AE1247" s="43"/>
      <c r="AF1247" s="58" t="s">
        <v>1388</v>
      </c>
      <c r="AG1247" s="55" t="b">
        <f t="shared" si="11"/>
        <v>0</v>
      </c>
    </row>
    <row r="1248">
      <c r="A1248" s="7" t="str">
        <f>IFERROR(__xludf.DUMMYFUNCTION("""COMPUTED_VALUE"""),"AB9931")</f>
        <v>AB9931</v>
      </c>
      <c r="B1248" s="308">
        <f>IFERROR(__xludf.DUMMYFUNCTION("""COMPUTED_VALUE"""),45051.0)</f>
        <v>45051</v>
      </c>
      <c r="C1248" s="309">
        <f>IFERROR(__xludf.DUMMYFUNCTION("""COMPUTED_VALUE"""),0.3251273148148148)</f>
        <v>0.3251273148</v>
      </c>
      <c r="D1248" s="7" t="str">
        <f>IFERROR(__xludf.DUMMYFUNCTION("""COMPUTED_VALUE"""),"SpABRM519188")</f>
        <v>SpABRM519188</v>
      </c>
      <c r="E1248" s="310"/>
      <c r="F1248" s="310"/>
      <c r="G1248" s="310" t="str">
        <f>IFERROR(__xludf.DUMMYFUNCTION("""COMPUTED_VALUE"""),"Negative")</f>
        <v>Negative</v>
      </c>
      <c r="H1248" s="319" t="str">
        <f>IFERROR(__xludf.DUMMYFUNCTION("""COMPUTED_VALUE"""),"Negative")</f>
        <v>Negative</v>
      </c>
      <c r="I1248" s="308">
        <f>IFERROR(__xludf.DUMMYFUNCTION("""COMPUTED_VALUE"""),45056.0)</f>
        <v>45056</v>
      </c>
      <c r="J1248" s="311">
        <f>IFERROR(__xludf.DUMMYFUNCTION("""COMPUTED_VALUE"""),0.40412037037037035)</f>
        <v>0.4041203704</v>
      </c>
      <c r="K1248" s="54">
        <f>IFERROR(__xludf.DUMMYFUNCTION("""COMPUTED_VALUE"""),2.2)</f>
        <v>2.2</v>
      </c>
      <c r="L1248" s="7"/>
      <c r="M1248" s="312"/>
      <c r="N1248" s="172">
        <f>IFERROR(__xludf.DUMMYFUNCTION("""COMPUTED_VALUE"""),1.0)</f>
        <v>1</v>
      </c>
      <c r="O1248" s="172"/>
      <c r="P1248" s="313">
        <f>IFERROR(__xludf.DUMMYFUNCTION("""COMPUTED_VALUE"""),5.0)</f>
        <v>5</v>
      </c>
      <c r="Q1248" s="76" t="b">
        <f>VLOOKUP($B1248,'Run Reconcile'!B$2:O1399,14,FALSE)</f>
        <v>1</v>
      </c>
      <c r="R1248" s="314" t="str">
        <f t="array" ref="R1248">IF($Q1248, INDEX('Run Reconcile'!A$2:A1399,MATCH(B1248,'Run Reconcile'!B$2:B1399,0),1),IFERROR(0/0,""))</f>
        <v>RUN-ABRM_2023-05-05_APS-016</v>
      </c>
      <c r="S1248" s="315" t="str">
        <f t="shared" ref="S1248:T1248" si="2254">IF(COUNTIF(W$2:W1399, $A1248) &gt; 0,TRUE,IFERROR(0/0,""))</f>
        <v/>
      </c>
      <c r="T1248" s="315" t="str">
        <f t="shared" si="2254"/>
        <v/>
      </c>
      <c r="U1248" s="114" t="str">
        <f t="array" ref="U1248">IF(ISBLANK($R1248), INDEX('Run Reconcile'!A$2:A1399, MATCH($B1248, 'Run Reconcile'!B$2:B1399, 0)+Z1248, 1), IFERROR(0/0,""))
</f>
        <v/>
      </c>
      <c r="V1248" s="316" t="str">
        <f t="shared" si="1281"/>
        <v>RUN-ABRM_2023-05-05_APS-016</v>
      </c>
      <c r="Y1248" s="317" t="str">
        <f t="shared" si="6"/>
        <v/>
      </c>
      <c r="Z1248" s="83" t="str">
        <f t="shared" si="7"/>
        <v/>
      </c>
      <c r="AA1248" s="83" t="str">
        <f t="shared" si="8"/>
        <v/>
      </c>
      <c r="AB1248" s="83" t="str">
        <f t="shared" si="9"/>
        <v/>
      </c>
      <c r="AC1248" s="18"/>
      <c r="AD1248" s="18"/>
      <c r="AE1248" s="43"/>
      <c r="AF1248" s="58" t="s">
        <v>1388</v>
      </c>
      <c r="AG1248" s="55" t="b">
        <f t="shared" si="11"/>
        <v>0</v>
      </c>
    </row>
    <row r="1249">
      <c r="A1249" s="7" t="str">
        <f>IFERROR(__xludf.DUMMYFUNCTION("""COMPUTED_VALUE"""),"AR1518")</f>
        <v>AR1518</v>
      </c>
      <c r="B1249" s="308">
        <f>IFERROR(__xludf.DUMMYFUNCTION("""COMPUTED_VALUE"""),45051.0)</f>
        <v>45051</v>
      </c>
      <c r="C1249" s="309">
        <f>IFERROR(__xludf.DUMMYFUNCTION("""COMPUTED_VALUE"""),0.32902777777777775)</f>
        <v>0.3290277778</v>
      </c>
      <c r="D1249" s="7" t="str">
        <f>IFERROR(__xludf.DUMMYFUNCTION("""COMPUTED_VALUE"""),"SpABRM841252")</f>
        <v>SpABRM841252</v>
      </c>
      <c r="E1249" s="310"/>
      <c r="F1249" s="310"/>
      <c r="G1249" s="310" t="str">
        <f>IFERROR(__xludf.DUMMYFUNCTION("""COMPUTED_VALUE"""),"Negative")</f>
        <v>Negative</v>
      </c>
      <c r="H1249" s="319" t="str">
        <f>IFERROR(__xludf.DUMMYFUNCTION("""COMPUTED_VALUE"""),"Negative")</f>
        <v>Negative</v>
      </c>
      <c r="I1249" s="308">
        <f>IFERROR(__xludf.DUMMYFUNCTION("""COMPUTED_VALUE"""),45056.0)</f>
        <v>45056</v>
      </c>
      <c r="J1249" s="311">
        <f>IFERROR(__xludf.DUMMYFUNCTION("""COMPUTED_VALUE"""),0.40412037037037035)</f>
        <v>0.4041203704</v>
      </c>
      <c r="K1249" s="54"/>
      <c r="L1249" s="7"/>
      <c r="M1249" s="312"/>
      <c r="N1249" s="172">
        <f>IFERROR(__xludf.DUMMYFUNCTION("""COMPUTED_VALUE"""),1.0)</f>
        <v>1</v>
      </c>
      <c r="O1249" s="172"/>
      <c r="P1249" s="313">
        <f>IFERROR(__xludf.DUMMYFUNCTION("""COMPUTED_VALUE"""),5.0)</f>
        <v>5</v>
      </c>
      <c r="Q1249" s="76" t="b">
        <f>VLOOKUP($B1249,'Run Reconcile'!B$2:O1399,14,FALSE)</f>
        <v>1</v>
      </c>
      <c r="R1249" s="314" t="str">
        <f t="array" ref="R1249">IF($Q1249, INDEX('Run Reconcile'!A$2:A1399,MATCH(B1249,'Run Reconcile'!B$2:B1399,0),1),IFERROR(0/0,""))</f>
        <v>RUN-ABRM_2023-05-05_APS-016</v>
      </c>
      <c r="S1249" s="315" t="str">
        <f t="shared" ref="S1249:T1249" si="2255">IF(COUNTIF(W$2:W1399, $A1249) &gt; 0,TRUE,IFERROR(0/0,""))</f>
        <v/>
      </c>
      <c r="T1249" s="315" t="str">
        <f t="shared" si="2255"/>
        <v/>
      </c>
      <c r="U1249" s="114" t="str">
        <f t="array" ref="U1249">IF(ISBLANK($R1249), INDEX('Run Reconcile'!A$2:A1399, MATCH($B1249, 'Run Reconcile'!B$2:B1399, 0)+Z1249, 1), IFERROR(0/0,""))
</f>
        <v/>
      </c>
      <c r="V1249" s="316" t="str">
        <f t="shared" si="1281"/>
        <v>RUN-ABRM_2023-05-05_APS-016</v>
      </c>
      <c r="Y1249" s="317" t="str">
        <f t="shared" si="6"/>
        <v/>
      </c>
      <c r="Z1249" s="83" t="str">
        <f t="shared" si="7"/>
        <v/>
      </c>
      <c r="AA1249" s="83" t="str">
        <f t="shared" si="8"/>
        <v/>
      </c>
      <c r="AB1249" s="83" t="str">
        <f t="shared" si="9"/>
        <v/>
      </c>
      <c r="AC1249" s="18"/>
      <c r="AD1249" s="18"/>
      <c r="AE1249" s="43"/>
      <c r="AF1249" s="58" t="s">
        <v>1388</v>
      </c>
      <c r="AG1249" s="55" t="b">
        <f t="shared" si="11"/>
        <v>0</v>
      </c>
    </row>
    <row r="1250">
      <c r="A1250" s="7" t="str">
        <f>IFERROR(__xludf.DUMMYFUNCTION("""COMPUTED_VALUE"""),"AR600")</f>
        <v>AR600</v>
      </c>
      <c r="B1250" s="308">
        <f>IFERROR(__xludf.DUMMYFUNCTION("""COMPUTED_VALUE"""),45051.0)</f>
        <v>45051</v>
      </c>
      <c r="C1250" s="309">
        <f>IFERROR(__xludf.DUMMYFUNCTION("""COMPUTED_VALUE"""),0.32949074074074075)</f>
        <v>0.3294907407</v>
      </c>
      <c r="D1250" s="7" t="str">
        <f>IFERROR(__xludf.DUMMYFUNCTION("""COMPUTED_VALUE"""),"SpABRM841252")</f>
        <v>SpABRM841252</v>
      </c>
      <c r="E1250" s="310"/>
      <c r="F1250" s="310"/>
      <c r="G1250" s="310" t="str">
        <f>IFERROR(__xludf.DUMMYFUNCTION("""COMPUTED_VALUE"""),"Negative")</f>
        <v>Negative</v>
      </c>
      <c r="H1250" s="319" t="str">
        <f>IFERROR(__xludf.DUMMYFUNCTION("""COMPUTED_VALUE"""),"Negative")</f>
        <v>Negative</v>
      </c>
      <c r="I1250" s="308">
        <f>IFERROR(__xludf.DUMMYFUNCTION("""COMPUTED_VALUE"""),45056.0)</f>
        <v>45056</v>
      </c>
      <c r="J1250" s="311">
        <f>IFERROR(__xludf.DUMMYFUNCTION("""COMPUTED_VALUE"""),0.40412037037037035)</f>
        <v>0.4041203704</v>
      </c>
      <c r="K1250" s="54"/>
      <c r="L1250" s="7"/>
      <c r="M1250" s="312"/>
      <c r="N1250" s="172">
        <f>IFERROR(__xludf.DUMMYFUNCTION("""COMPUTED_VALUE"""),1.0)</f>
        <v>1</v>
      </c>
      <c r="O1250" s="172"/>
      <c r="P1250" s="313">
        <f>IFERROR(__xludf.DUMMYFUNCTION("""COMPUTED_VALUE"""),5.0)</f>
        <v>5</v>
      </c>
      <c r="Q1250" s="76" t="b">
        <f>VLOOKUP($B1250,'Run Reconcile'!B$2:O1399,14,FALSE)</f>
        <v>1</v>
      </c>
      <c r="R1250" s="314" t="str">
        <f t="array" ref="R1250">IF($Q1250, INDEX('Run Reconcile'!A$2:A1399,MATCH(B1250,'Run Reconcile'!B$2:B1399,0),1),IFERROR(0/0,""))</f>
        <v>RUN-ABRM_2023-05-05_APS-016</v>
      </c>
      <c r="S1250" s="315" t="str">
        <f t="shared" ref="S1250:T1250" si="2256">IF(COUNTIF(W$2:W1399, $A1250) &gt; 0,TRUE,IFERROR(0/0,""))</f>
        <v/>
      </c>
      <c r="T1250" s="315" t="str">
        <f t="shared" si="2256"/>
        <v/>
      </c>
      <c r="U1250" s="114" t="str">
        <f t="array" ref="U1250">IF(ISBLANK($R1250), INDEX('Run Reconcile'!A$2:A1399, MATCH($B1250, 'Run Reconcile'!B$2:B1399, 0)+Z1250, 1), IFERROR(0/0,""))
</f>
        <v/>
      </c>
      <c r="V1250" s="316" t="str">
        <f t="shared" si="1281"/>
        <v>RUN-ABRM_2023-05-05_APS-016</v>
      </c>
      <c r="Y1250" s="317" t="str">
        <f t="shared" si="6"/>
        <v/>
      </c>
      <c r="Z1250" s="83" t="str">
        <f t="shared" si="7"/>
        <v/>
      </c>
      <c r="AA1250" s="83" t="str">
        <f t="shared" si="8"/>
        <v/>
      </c>
      <c r="AB1250" s="83" t="str">
        <f t="shared" si="9"/>
        <v/>
      </c>
      <c r="AC1250" s="18"/>
      <c r="AD1250" s="18"/>
      <c r="AE1250" s="43"/>
      <c r="AF1250" s="58" t="s">
        <v>1388</v>
      </c>
      <c r="AG1250" s="55" t="b">
        <f t="shared" si="11"/>
        <v>0</v>
      </c>
    </row>
    <row r="1251">
      <c r="A1251" s="7" t="str">
        <f>IFERROR(__xludf.DUMMYFUNCTION("""COMPUTED_VALUE"""),"AR1105")</f>
        <v>AR1105</v>
      </c>
      <c r="B1251" s="308">
        <f>IFERROR(__xludf.DUMMYFUNCTION("""COMPUTED_VALUE"""),45054.0)</f>
        <v>45054</v>
      </c>
      <c r="C1251" s="309">
        <f>IFERROR(__xludf.DUMMYFUNCTION("""COMPUTED_VALUE"""),0.2566319444444444)</f>
        <v>0.2566319444</v>
      </c>
      <c r="D1251" s="7" t="str">
        <f>IFERROR(__xludf.DUMMYFUNCTION("""COMPUTED_VALUE"""),"SpABRM128250")</f>
        <v>SpABRM128250</v>
      </c>
      <c r="E1251" s="310"/>
      <c r="F1251" s="310"/>
      <c r="G1251" s="310" t="str">
        <f>IFERROR(__xludf.DUMMYFUNCTION("""COMPUTED_VALUE"""),"Negative")</f>
        <v>Negative</v>
      </c>
      <c r="H1251" s="319" t="str">
        <f>IFERROR(__xludf.DUMMYFUNCTION("""COMPUTED_VALUE"""),"Negative")</f>
        <v>Negative</v>
      </c>
      <c r="I1251" s="308">
        <f>IFERROR(__xludf.DUMMYFUNCTION("""COMPUTED_VALUE"""),45054.0)</f>
        <v>45054</v>
      </c>
      <c r="J1251" s="311">
        <f>IFERROR(__xludf.DUMMYFUNCTION("""COMPUTED_VALUE"""),0.38403935185185184)</f>
        <v>0.3840393519</v>
      </c>
      <c r="K1251" s="54"/>
      <c r="L1251" s="7"/>
      <c r="M1251" s="312"/>
      <c r="N1251" s="172">
        <f>IFERROR(__xludf.DUMMYFUNCTION("""COMPUTED_VALUE"""),3.0)</f>
        <v>3</v>
      </c>
      <c r="O1251" s="172"/>
      <c r="P1251" s="313">
        <f>IFERROR(__xludf.DUMMYFUNCTION("""COMPUTED_VALUE"""),0.0)</f>
        <v>0</v>
      </c>
      <c r="Q1251" s="76" t="b">
        <f>VLOOKUP($B1251,'Run Reconcile'!B$2:O1399,14,FALSE)</f>
        <v>1</v>
      </c>
      <c r="R1251" s="314" t="str">
        <f t="array" ref="R1251">IF($Q1251, INDEX('Run Reconcile'!A$2:A1399,MATCH(B1251,'Run Reconcile'!B$2:B1399,0),1),IFERROR(0/0,""))</f>
        <v>RUN-ABRM_2023-05-08_RFR-223</v>
      </c>
      <c r="S1251" s="315" t="str">
        <f t="shared" ref="S1251:T1251" si="2257">IF(COUNTIF(W$2:W1399, $A1251) &gt; 0,TRUE,IFERROR(0/0,""))</f>
        <v/>
      </c>
      <c r="T1251" s="315" t="str">
        <f t="shared" si="2257"/>
        <v/>
      </c>
      <c r="U1251" s="114" t="str">
        <f t="array" ref="U1251">IF(ISBLANK($R1251), INDEX('Run Reconcile'!A$2:A1399, MATCH($B1251, 'Run Reconcile'!B$2:B1399, 0)+Z1251, 1), IFERROR(0/0,""))
</f>
        <v/>
      </c>
      <c r="V1251" s="316" t="str">
        <f t="shared" si="1281"/>
        <v>RUN-ABRM_2023-05-08_RFR-223</v>
      </c>
      <c r="Y1251" s="317" t="str">
        <f t="shared" si="6"/>
        <v/>
      </c>
      <c r="Z1251" s="83" t="str">
        <f t="shared" si="7"/>
        <v/>
      </c>
      <c r="AA1251" s="83" t="str">
        <f t="shared" si="8"/>
        <v/>
      </c>
      <c r="AB1251" s="83" t="str">
        <f t="shared" si="9"/>
        <v/>
      </c>
      <c r="AC1251" s="18"/>
      <c r="AD1251" s="18"/>
      <c r="AE1251" s="43"/>
      <c r="AF1251" s="58" t="s">
        <v>191</v>
      </c>
      <c r="AG1251" s="55" t="str">
        <f t="shared" si="11"/>
        <v/>
      </c>
    </row>
    <row r="1252">
      <c r="A1252" s="7" t="str">
        <f>IFERROR(__xludf.DUMMYFUNCTION("""COMPUTED_VALUE"""),"AR1639")</f>
        <v>AR1639</v>
      </c>
      <c r="B1252" s="308">
        <f>IFERROR(__xludf.DUMMYFUNCTION("""COMPUTED_VALUE"""),45054.0)</f>
        <v>45054</v>
      </c>
      <c r="C1252" s="309">
        <f>IFERROR(__xludf.DUMMYFUNCTION("""COMPUTED_VALUE"""),0.2814699074074074)</f>
        <v>0.2814699074</v>
      </c>
      <c r="D1252" s="7" t="str">
        <f>IFERROR(__xludf.DUMMYFUNCTION("""COMPUTED_VALUE"""),"SpABRM581899")</f>
        <v>SpABRM581899</v>
      </c>
      <c r="E1252" s="310"/>
      <c r="F1252" s="310"/>
      <c r="G1252" s="310" t="str">
        <f>IFERROR(__xludf.DUMMYFUNCTION("""COMPUTED_VALUE"""),"Negative")</f>
        <v>Negative</v>
      </c>
      <c r="H1252" s="319" t="str">
        <f>IFERROR(__xludf.DUMMYFUNCTION("""COMPUTED_VALUE"""),"Negative")</f>
        <v>Negative</v>
      </c>
      <c r="I1252" s="308">
        <f>IFERROR(__xludf.DUMMYFUNCTION("""COMPUTED_VALUE"""),45054.0)</f>
        <v>45054</v>
      </c>
      <c r="J1252" s="311">
        <f>IFERROR(__xludf.DUMMYFUNCTION("""COMPUTED_VALUE"""),0.38405092592592593)</f>
        <v>0.3840509259</v>
      </c>
      <c r="K1252" s="54"/>
      <c r="L1252" s="7"/>
      <c r="M1252" s="312"/>
      <c r="N1252" s="172">
        <f>IFERROR(__xludf.DUMMYFUNCTION("""COMPUTED_VALUE"""),3.0)</f>
        <v>3</v>
      </c>
      <c r="O1252" s="172"/>
      <c r="P1252" s="313">
        <f>IFERROR(__xludf.DUMMYFUNCTION("""COMPUTED_VALUE"""),0.0)</f>
        <v>0</v>
      </c>
      <c r="Q1252" s="76" t="b">
        <f>VLOOKUP($B1252,'Run Reconcile'!B$2:O1399,14,FALSE)</f>
        <v>1</v>
      </c>
      <c r="R1252" s="314" t="str">
        <f t="array" ref="R1252">IF($Q1252, INDEX('Run Reconcile'!A$2:A1399,MATCH(B1252,'Run Reconcile'!B$2:B1399,0),1),IFERROR(0/0,""))</f>
        <v>RUN-ABRM_2023-05-08_RFR-223</v>
      </c>
      <c r="S1252" s="315" t="str">
        <f t="shared" ref="S1252:T1252" si="2258">IF(COUNTIF(W$2:W1399, $A1252) &gt; 0,TRUE,IFERROR(0/0,""))</f>
        <v/>
      </c>
      <c r="T1252" s="315" t="str">
        <f t="shared" si="2258"/>
        <v/>
      </c>
      <c r="U1252" s="114" t="str">
        <f t="array" ref="U1252">IF(ISBLANK($R1252), INDEX('Run Reconcile'!A$2:A1399, MATCH($B1252, 'Run Reconcile'!B$2:B1399, 0)+Z1252, 1), IFERROR(0/0,""))
</f>
        <v/>
      </c>
      <c r="V1252" s="316" t="str">
        <f t="shared" si="1281"/>
        <v>RUN-ABRM_2023-05-08_RFR-223</v>
      </c>
      <c r="Y1252" s="317" t="str">
        <f t="shared" si="6"/>
        <v/>
      </c>
      <c r="Z1252" s="83" t="str">
        <f t="shared" si="7"/>
        <v/>
      </c>
      <c r="AA1252" s="83" t="str">
        <f t="shared" si="8"/>
        <v/>
      </c>
      <c r="AB1252" s="83" t="str">
        <f t="shared" si="9"/>
        <v/>
      </c>
      <c r="AC1252" s="18"/>
      <c r="AD1252" s="18"/>
      <c r="AE1252" s="43"/>
      <c r="AF1252" s="58" t="s">
        <v>191</v>
      </c>
      <c r="AG1252" s="55" t="str">
        <f t="shared" si="11"/>
        <v/>
      </c>
    </row>
    <row r="1253">
      <c r="A1253" s="7" t="str">
        <f>IFERROR(__xludf.DUMMYFUNCTION("""COMPUTED_VALUE"""),"AR873")</f>
        <v>AR873</v>
      </c>
      <c r="B1253" s="308">
        <f>IFERROR(__xludf.DUMMYFUNCTION("""COMPUTED_VALUE"""),45054.0)</f>
        <v>45054</v>
      </c>
      <c r="C1253" s="309">
        <f>IFERROR(__xludf.DUMMYFUNCTION("""COMPUTED_VALUE"""),0.3042592592592593)</f>
        <v>0.3042592593</v>
      </c>
      <c r="D1253" s="7" t="str">
        <f>IFERROR(__xludf.DUMMYFUNCTION("""COMPUTED_VALUE"""),"SpABRM519188")</f>
        <v>SpABRM519188</v>
      </c>
      <c r="E1253" s="310"/>
      <c r="F1253" s="310"/>
      <c r="G1253" s="310" t="str">
        <f>IFERROR(__xludf.DUMMYFUNCTION("""COMPUTED_VALUE"""),"Negative")</f>
        <v>Negative</v>
      </c>
      <c r="H1253" s="319" t="str">
        <f>IFERROR(__xludf.DUMMYFUNCTION("""COMPUTED_VALUE"""),"Negative")</f>
        <v>Negative</v>
      </c>
      <c r="I1253" s="308">
        <f>IFERROR(__xludf.DUMMYFUNCTION("""COMPUTED_VALUE"""),45054.0)</f>
        <v>45054</v>
      </c>
      <c r="J1253" s="311">
        <f>IFERROR(__xludf.DUMMYFUNCTION("""COMPUTED_VALUE"""),0.3840625)</f>
        <v>0.3840625</v>
      </c>
      <c r="K1253" s="54"/>
      <c r="L1253" s="7"/>
      <c r="M1253" s="312"/>
      <c r="N1253" s="172">
        <f>IFERROR(__xludf.DUMMYFUNCTION("""COMPUTED_VALUE"""),1.0)</f>
        <v>1</v>
      </c>
      <c r="O1253" s="172"/>
      <c r="P1253" s="313">
        <f>IFERROR(__xludf.DUMMYFUNCTION("""COMPUTED_VALUE"""),0.0)</f>
        <v>0</v>
      </c>
      <c r="Q1253" s="76" t="b">
        <f>VLOOKUP($B1253,'Run Reconcile'!B$2:O1399,14,FALSE)</f>
        <v>1</v>
      </c>
      <c r="R1253" s="314" t="str">
        <f t="array" ref="R1253">IF($Q1253, INDEX('Run Reconcile'!A$2:A1399,MATCH(B1253,'Run Reconcile'!B$2:B1399,0),1),IFERROR(0/0,""))</f>
        <v>RUN-ABRM_2023-05-08_RFR-223</v>
      </c>
      <c r="S1253" s="315" t="str">
        <f t="shared" ref="S1253:T1253" si="2259">IF(COUNTIF(W$2:W1399, $A1253) &gt; 0,TRUE,IFERROR(0/0,""))</f>
        <v/>
      </c>
      <c r="T1253" s="315" t="str">
        <f t="shared" si="2259"/>
        <v/>
      </c>
      <c r="U1253" s="114" t="str">
        <f t="array" ref="U1253">IF(ISBLANK($R1253), INDEX('Run Reconcile'!A$2:A1399, MATCH($B1253, 'Run Reconcile'!B$2:B1399, 0)+Z1253, 1), IFERROR(0/0,""))
</f>
        <v/>
      </c>
      <c r="V1253" s="316" t="str">
        <f t="shared" si="1281"/>
        <v>RUN-ABRM_2023-05-08_RFR-223</v>
      </c>
      <c r="Y1253" s="317" t="str">
        <f t="shared" si="6"/>
        <v/>
      </c>
      <c r="Z1253" s="83" t="str">
        <f t="shared" si="7"/>
        <v/>
      </c>
      <c r="AA1253" s="83" t="str">
        <f t="shared" si="8"/>
        <v/>
      </c>
      <c r="AB1253" s="83" t="str">
        <f t="shared" si="9"/>
        <v/>
      </c>
      <c r="AC1253" s="18"/>
      <c r="AD1253" s="18"/>
      <c r="AE1253" s="43"/>
      <c r="AF1253" s="58" t="s">
        <v>191</v>
      </c>
      <c r="AG1253" s="55" t="str">
        <f t="shared" si="11"/>
        <v/>
      </c>
    </row>
    <row r="1254">
      <c r="A1254" s="7" t="str">
        <f>IFERROR(__xludf.DUMMYFUNCTION("""COMPUTED_VALUE"""),"AR424")</f>
        <v>AR424</v>
      </c>
      <c r="B1254" s="308">
        <f>IFERROR(__xludf.DUMMYFUNCTION("""COMPUTED_VALUE"""),45054.0)</f>
        <v>45054</v>
      </c>
      <c r="C1254" s="309">
        <f>IFERROR(__xludf.DUMMYFUNCTION("""COMPUTED_VALUE"""),0.31353009259259257)</f>
        <v>0.3135300926</v>
      </c>
      <c r="D1254" s="7" t="str">
        <f>IFERROR(__xludf.DUMMYFUNCTION("""COMPUTED_VALUE"""),"SpABRM655136")</f>
        <v>SpABRM655136</v>
      </c>
      <c r="E1254" s="310"/>
      <c r="F1254" s="310"/>
      <c r="G1254" s="310" t="str">
        <f>IFERROR(__xludf.DUMMYFUNCTION("""COMPUTED_VALUE"""),"Negative")</f>
        <v>Negative</v>
      </c>
      <c r="H1254" s="319" t="str">
        <f>IFERROR(__xludf.DUMMYFUNCTION("""COMPUTED_VALUE"""),"Negative")</f>
        <v>Negative</v>
      </c>
      <c r="I1254" s="308">
        <f>IFERROR(__xludf.DUMMYFUNCTION("""COMPUTED_VALUE"""),45054.0)</f>
        <v>45054</v>
      </c>
      <c r="J1254" s="311">
        <f>IFERROR(__xludf.DUMMYFUNCTION("""COMPUTED_VALUE"""),0.3840625)</f>
        <v>0.3840625</v>
      </c>
      <c r="K1254" s="54"/>
      <c r="L1254" s="7"/>
      <c r="M1254" s="312"/>
      <c r="N1254" s="172">
        <f>IFERROR(__xludf.DUMMYFUNCTION("""COMPUTED_VALUE"""),2.0)</f>
        <v>2</v>
      </c>
      <c r="O1254" s="172"/>
      <c r="P1254" s="313">
        <f>IFERROR(__xludf.DUMMYFUNCTION("""COMPUTED_VALUE"""),0.0)</f>
        <v>0</v>
      </c>
      <c r="Q1254" s="76" t="b">
        <f>VLOOKUP($B1254,'Run Reconcile'!B$2:O1399,14,FALSE)</f>
        <v>1</v>
      </c>
      <c r="R1254" s="314" t="str">
        <f t="array" ref="R1254">IF($Q1254, INDEX('Run Reconcile'!A$2:A1399,MATCH(B1254,'Run Reconcile'!B$2:B1399,0),1),IFERROR(0/0,""))</f>
        <v>RUN-ABRM_2023-05-08_RFR-223</v>
      </c>
      <c r="S1254" s="315" t="str">
        <f t="shared" ref="S1254:T1254" si="2260">IF(COUNTIF(W$2:W1399, $A1254) &gt; 0,TRUE,IFERROR(0/0,""))</f>
        <v/>
      </c>
      <c r="T1254" s="315" t="str">
        <f t="shared" si="2260"/>
        <v/>
      </c>
      <c r="U1254" s="114" t="str">
        <f t="array" ref="U1254">IF(ISBLANK($R1254), INDEX('Run Reconcile'!A$2:A1399, MATCH($B1254, 'Run Reconcile'!B$2:B1399, 0)+Z1254, 1), IFERROR(0/0,""))
</f>
        <v/>
      </c>
      <c r="V1254" s="316" t="str">
        <f t="shared" si="1281"/>
        <v>RUN-ABRM_2023-05-08_RFR-223</v>
      </c>
      <c r="Y1254" s="317" t="str">
        <f t="shared" si="6"/>
        <v/>
      </c>
      <c r="Z1254" s="83" t="str">
        <f t="shared" si="7"/>
        <v/>
      </c>
      <c r="AA1254" s="83" t="str">
        <f t="shared" si="8"/>
        <v/>
      </c>
      <c r="AB1254" s="83" t="str">
        <f t="shared" si="9"/>
        <v/>
      </c>
      <c r="AC1254" s="18"/>
      <c r="AD1254" s="18"/>
      <c r="AE1254" s="43"/>
      <c r="AF1254" s="58" t="s">
        <v>191</v>
      </c>
      <c r="AG1254" s="55" t="str">
        <f t="shared" si="11"/>
        <v/>
      </c>
    </row>
    <row r="1255">
      <c r="A1255" s="7" t="str">
        <f>IFERROR(__xludf.DUMMYFUNCTION("""COMPUTED_VALUE"""),"AK9956")</f>
        <v>AK9956</v>
      </c>
      <c r="B1255" s="308">
        <f>IFERROR(__xludf.DUMMYFUNCTION("""COMPUTED_VALUE"""),45054.0)</f>
        <v>45054</v>
      </c>
      <c r="C1255" s="309">
        <f>IFERROR(__xludf.DUMMYFUNCTION("""COMPUTED_VALUE"""),0.3144560185185185)</f>
        <v>0.3144560185</v>
      </c>
      <c r="D1255" s="7" t="str">
        <f>IFERROR(__xludf.DUMMYFUNCTION("""COMPUTED_VALUE"""),"SpABRM655136")</f>
        <v>SpABRM655136</v>
      </c>
      <c r="E1255" s="310"/>
      <c r="F1255" s="310"/>
      <c r="G1255" s="310" t="str">
        <f>IFERROR(__xludf.DUMMYFUNCTION("""COMPUTED_VALUE"""),"Negative")</f>
        <v>Negative</v>
      </c>
      <c r="H1255" s="319" t="str">
        <f>IFERROR(__xludf.DUMMYFUNCTION("""COMPUTED_VALUE"""),"Negative")</f>
        <v>Negative</v>
      </c>
      <c r="I1255" s="308">
        <f>IFERROR(__xludf.DUMMYFUNCTION("""COMPUTED_VALUE"""),45054.0)</f>
        <v>45054</v>
      </c>
      <c r="J1255" s="311">
        <f>IFERROR(__xludf.DUMMYFUNCTION("""COMPUTED_VALUE"""),0.38407407407407407)</f>
        <v>0.3840740741</v>
      </c>
      <c r="K1255" s="54"/>
      <c r="L1255" s="7"/>
      <c r="M1255" s="312"/>
      <c r="N1255" s="172">
        <f>IFERROR(__xludf.DUMMYFUNCTION("""COMPUTED_VALUE"""),3.0)</f>
        <v>3</v>
      </c>
      <c r="O1255" s="172"/>
      <c r="P1255" s="313">
        <f>IFERROR(__xludf.DUMMYFUNCTION("""COMPUTED_VALUE"""),0.0)</f>
        <v>0</v>
      </c>
      <c r="Q1255" s="76" t="b">
        <f>VLOOKUP($B1255,'Run Reconcile'!B$2:O1399,14,FALSE)</f>
        <v>1</v>
      </c>
      <c r="R1255" s="314" t="str">
        <f t="array" ref="R1255">IF($Q1255, INDEX('Run Reconcile'!A$2:A1399,MATCH(B1255,'Run Reconcile'!B$2:B1399,0),1),IFERROR(0/0,""))</f>
        <v>RUN-ABRM_2023-05-08_RFR-223</v>
      </c>
      <c r="S1255" s="315" t="str">
        <f t="shared" ref="S1255:T1255" si="2261">IF(COUNTIF(W$2:W1399, $A1255) &gt; 0,TRUE,IFERROR(0/0,""))</f>
        <v/>
      </c>
      <c r="T1255" s="315" t="str">
        <f t="shared" si="2261"/>
        <v/>
      </c>
      <c r="U1255" s="114" t="str">
        <f t="array" ref="U1255">IF(ISBLANK($R1255), INDEX('Run Reconcile'!A$2:A1399, MATCH($B1255, 'Run Reconcile'!B$2:B1399, 0)+Z1255, 1), IFERROR(0/0,""))
</f>
        <v/>
      </c>
      <c r="V1255" s="316" t="str">
        <f t="shared" si="1281"/>
        <v>RUN-ABRM_2023-05-08_RFR-223</v>
      </c>
      <c r="Y1255" s="317" t="str">
        <f t="shared" si="6"/>
        <v/>
      </c>
      <c r="Z1255" s="83" t="str">
        <f t="shared" si="7"/>
        <v/>
      </c>
      <c r="AA1255" s="83" t="str">
        <f t="shared" si="8"/>
        <v/>
      </c>
      <c r="AB1255" s="83" t="str">
        <f t="shared" si="9"/>
        <v/>
      </c>
      <c r="AC1255" s="18"/>
      <c r="AD1255" s="18"/>
      <c r="AE1255" s="43"/>
      <c r="AF1255" s="58" t="s">
        <v>191</v>
      </c>
      <c r="AG1255" s="55" t="str">
        <f t="shared" si="11"/>
        <v/>
      </c>
    </row>
    <row r="1256">
      <c r="A1256" s="7" t="str">
        <f>IFERROR(__xludf.DUMMYFUNCTION("""COMPUTED_VALUE"""),"AR1093")</f>
        <v>AR1093</v>
      </c>
      <c r="B1256" s="308">
        <f>IFERROR(__xludf.DUMMYFUNCTION("""COMPUTED_VALUE"""),45054.0)</f>
        <v>45054</v>
      </c>
      <c r="C1256" s="309">
        <f>IFERROR(__xludf.DUMMYFUNCTION("""COMPUTED_VALUE"""),0.3356134259259259)</f>
        <v>0.3356134259</v>
      </c>
      <c r="D1256" s="7" t="str">
        <f>IFERROR(__xludf.DUMMYFUNCTION("""COMPUTED_VALUE"""),"SpABRM655136")</f>
        <v>SpABRM655136</v>
      </c>
      <c r="E1256" s="310"/>
      <c r="F1256" s="310"/>
      <c r="G1256" s="310" t="str">
        <f>IFERROR(__xludf.DUMMYFUNCTION("""COMPUTED_VALUE"""),"Negative")</f>
        <v>Negative</v>
      </c>
      <c r="H1256" s="319" t="str">
        <f>IFERROR(__xludf.DUMMYFUNCTION("""COMPUTED_VALUE"""),"Negative")</f>
        <v>Negative</v>
      </c>
      <c r="I1256" s="308">
        <f>IFERROR(__xludf.DUMMYFUNCTION("""COMPUTED_VALUE"""),45054.0)</f>
        <v>45054</v>
      </c>
      <c r="J1256" s="311">
        <f>IFERROR(__xludf.DUMMYFUNCTION("""COMPUTED_VALUE"""),0.38408564814814816)</f>
        <v>0.3840856481</v>
      </c>
      <c r="K1256" s="54"/>
      <c r="L1256" s="7"/>
      <c r="M1256" s="312"/>
      <c r="N1256" s="172">
        <f>IFERROR(__xludf.DUMMYFUNCTION("""COMPUTED_VALUE"""),1.0)</f>
        <v>1</v>
      </c>
      <c r="O1256" s="172"/>
      <c r="P1256" s="313">
        <f>IFERROR(__xludf.DUMMYFUNCTION("""COMPUTED_VALUE"""),0.0)</f>
        <v>0</v>
      </c>
      <c r="Q1256" s="76" t="b">
        <f>VLOOKUP($B1256,'Run Reconcile'!B$2:O1399,14,FALSE)</f>
        <v>1</v>
      </c>
      <c r="R1256" s="314" t="str">
        <f t="array" ref="R1256">IF($Q1256, INDEX('Run Reconcile'!A$2:A1399,MATCH(B1256,'Run Reconcile'!B$2:B1399,0),1),IFERROR(0/0,""))</f>
        <v>RUN-ABRM_2023-05-08_RFR-223</v>
      </c>
      <c r="S1256" s="315" t="str">
        <f t="shared" ref="S1256:T1256" si="2262">IF(COUNTIF(W$2:W1399, $A1256) &gt; 0,TRUE,IFERROR(0/0,""))</f>
        <v/>
      </c>
      <c r="T1256" s="315" t="str">
        <f t="shared" si="2262"/>
        <v/>
      </c>
      <c r="U1256" s="114" t="str">
        <f t="array" ref="U1256">IF(ISBLANK($R1256), INDEX('Run Reconcile'!A$2:A1399, MATCH($B1256, 'Run Reconcile'!B$2:B1399, 0)+Z1256, 1), IFERROR(0/0,""))
</f>
        <v/>
      </c>
      <c r="V1256" s="316" t="str">
        <f t="shared" si="1281"/>
        <v>RUN-ABRM_2023-05-08_RFR-223</v>
      </c>
      <c r="Y1256" s="317" t="str">
        <f t="shared" si="6"/>
        <v/>
      </c>
      <c r="Z1256" s="83" t="str">
        <f t="shared" si="7"/>
        <v/>
      </c>
      <c r="AA1256" s="83" t="str">
        <f t="shared" si="8"/>
        <v/>
      </c>
      <c r="AB1256" s="83" t="str">
        <f t="shared" si="9"/>
        <v/>
      </c>
      <c r="AC1256" s="18"/>
      <c r="AD1256" s="18"/>
      <c r="AE1256" s="43"/>
      <c r="AF1256" s="58" t="s">
        <v>191</v>
      </c>
      <c r="AG1256" s="55" t="str">
        <f t="shared" si="11"/>
        <v/>
      </c>
    </row>
    <row r="1257">
      <c r="A1257" s="7" t="str">
        <f>IFERROR(__xludf.DUMMYFUNCTION("""COMPUTED_VALUE"""),"AG2216")</f>
        <v>AG2216</v>
      </c>
      <c r="B1257" s="308">
        <f>IFERROR(__xludf.DUMMYFUNCTION("""COMPUTED_VALUE"""),45054.0)</f>
        <v>45054</v>
      </c>
      <c r="C1257" s="309">
        <f>IFERROR(__xludf.DUMMYFUNCTION("""COMPUTED_VALUE"""),0.33587962962962964)</f>
        <v>0.3358796296</v>
      </c>
      <c r="D1257" s="7" t="str">
        <f>IFERROR(__xludf.DUMMYFUNCTION("""COMPUTED_VALUE"""),"SpABRM655136")</f>
        <v>SpABRM655136</v>
      </c>
      <c r="E1257" s="310"/>
      <c r="F1257" s="310"/>
      <c r="G1257" s="310" t="str">
        <f>IFERROR(__xludf.DUMMYFUNCTION("""COMPUTED_VALUE"""),"Negative")</f>
        <v>Negative</v>
      </c>
      <c r="H1257" s="319" t="str">
        <f>IFERROR(__xludf.DUMMYFUNCTION("""COMPUTED_VALUE"""),"Negative")</f>
        <v>Negative</v>
      </c>
      <c r="I1257" s="308">
        <f>IFERROR(__xludf.DUMMYFUNCTION("""COMPUTED_VALUE"""),45054.0)</f>
        <v>45054</v>
      </c>
      <c r="J1257" s="311">
        <f>IFERROR(__xludf.DUMMYFUNCTION("""COMPUTED_VALUE"""),0.3840972222222222)</f>
        <v>0.3840972222</v>
      </c>
      <c r="K1257" s="54"/>
      <c r="L1257" s="7"/>
      <c r="M1257" s="312"/>
      <c r="N1257" s="172">
        <f>IFERROR(__xludf.DUMMYFUNCTION("""COMPUTED_VALUE"""),1.0)</f>
        <v>1</v>
      </c>
      <c r="O1257" s="172"/>
      <c r="P1257" s="313">
        <f>IFERROR(__xludf.DUMMYFUNCTION("""COMPUTED_VALUE"""),0.0)</f>
        <v>0</v>
      </c>
      <c r="Q1257" s="76" t="b">
        <f>VLOOKUP($B1257,'Run Reconcile'!B$2:O1399,14,FALSE)</f>
        <v>1</v>
      </c>
      <c r="R1257" s="314" t="str">
        <f t="array" ref="R1257">IF($Q1257, INDEX('Run Reconcile'!A$2:A1399,MATCH(B1257,'Run Reconcile'!B$2:B1399,0),1),IFERROR(0/0,""))</f>
        <v>RUN-ABRM_2023-05-08_RFR-223</v>
      </c>
      <c r="S1257" s="315" t="str">
        <f t="shared" ref="S1257:T1257" si="2263">IF(COUNTIF(W$2:W1399, $A1257) &gt; 0,TRUE,IFERROR(0/0,""))</f>
        <v/>
      </c>
      <c r="T1257" s="315" t="str">
        <f t="shared" si="2263"/>
        <v/>
      </c>
      <c r="U1257" s="114" t="str">
        <f t="array" ref="U1257">IF(ISBLANK($R1257), INDEX('Run Reconcile'!A$2:A1399, MATCH($B1257, 'Run Reconcile'!B$2:B1399, 0)+Z1257, 1), IFERROR(0/0,""))
</f>
        <v/>
      </c>
      <c r="V1257" s="316" t="str">
        <f t="shared" si="1281"/>
        <v>RUN-ABRM_2023-05-08_RFR-223</v>
      </c>
      <c r="Y1257" s="317" t="str">
        <f t="shared" si="6"/>
        <v/>
      </c>
      <c r="Z1257" s="83" t="str">
        <f t="shared" si="7"/>
        <v/>
      </c>
      <c r="AA1257" s="83" t="str">
        <f t="shared" si="8"/>
        <v/>
      </c>
      <c r="AB1257" s="83" t="str">
        <f t="shared" si="9"/>
        <v/>
      </c>
      <c r="AC1257" s="18"/>
      <c r="AD1257" s="18"/>
      <c r="AE1257" s="43"/>
      <c r="AF1257" s="58" t="s">
        <v>191</v>
      </c>
      <c r="AG1257" s="55" t="str">
        <f t="shared" si="11"/>
        <v/>
      </c>
    </row>
    <row r="1258">
      <c r="A1258" s="7" t="str">
        <f>IFERROR(__xludf.DUMMYFUNCTION("""COMPUTED_VALUE"""),"AR1198")</f>
        <v>AR1198</v>
      </c>
      <c r="B1258" s="308">
        <f>IFERROR(__xludf.DUMMYFUNCTION("""COMPUTED_VALUE"""),45055.0)</f>
        <v>45055</v>
      </c>
      <c r="C1258" s="309">
        <f>IFERROR(__xludf.DUMMYFUNCTION("""COMPUTED_VALUE"""),0.2151273148148148)</f>
        <v>0.2151273148</v>
      </c>
      <c r="D1258" s="7" t="str">
        <f>IFERROR(__xludf.DUMMYFUNCTION("""COMPUTED_VALUE"""),"SpABRM454310")</f>
        <v>SpABRM454310</v>
      </c>
      <c r="E1258" s="310"/>
      <c r="F1258" s="310"/>
      <c r="G1258" s="310" t="str">
        <f>IFERROR(__xludf.DUMMYFUNCTION("""COMPUTED_VALUE"""),"Negative")</f>
        <v>Negative</v>
      </c>
      <c r="H1258" s="319" t="str">
        <f>IFERROR(__xludf.DUMMYFUNCTION("""COMPUTED_VALUE"""),"Negative")</f>
        <v>Negative</v>
      </c>
      <c r="I1258" s="308">
        <f>IFERROR(__xludf.DUMMYFUNCTION("""COMPUTED_VALUE"""),45056.0)</f>
        <v>45056</v>
      </c>
      <c r="J1258" s="311">
        <f>IFERROR(__xludf.DUMMYFUNCTION("""COMPUTED_VALUE"""),0.40412037037037035)</f>
        <v>0.4041203704</v>
      </c>
      <c r="K1258" s="54"/>
      <c r="L1258" s="7"/>
      <c r="M1258" s="312"/>
      <c r="N1258" s="172">
        <f>IFERROR(__xludf.DUMMYFUNCTION("""COMPUTED_VALUE"""),3.0)</f>
        <v>3</v>
      </c>
      <c r="O1258" s="172"/>
      <c r="P1258" s="313">
        <f>IFERROR(__xludf.DUMMYFUNCTION("""COMPUTED_VALUE"""),1.0)</f>
        <v>1</v>
      </c>
      <c r="Q1258" s="76" t="b">
        <f>VLOOKUP($B1258,'Run Reconcile'!B$2:O1399,14,FALSE)</f>
        <v>1</v>
      </c>
      <c r="R1258" s="314" t="str">
        <f t="array" ref="R1258">IF($Q1258, INDEX('Run Reconcile'!A$2:A1399,MATCH(B1258,'Run Reconcile'!B$2:B1399,0),1),IFERROR(0/0,""))</f>
        <v>RUN-ABRM_2023-05-09_APS-017</v>
      </c>
      <c r="S1258" s="315" t="str">
        <f t="shared" ref="S1258:T1258" si="2264">IF(COUNTIF(W$2:W1399, $A1258) &gt; 0,TRUE,IFERROR(0/0,""))</f>
        <v/>
      </c>
      <c r="T1258" s="315" t="str">
        <f t="shared" si="2264"/>
        <v/>
      </c>
      <c r="U1258" s="114" t="str">
        <f t="array" ref="U1258">IF(ISBLANK($R1258), INDEX('Run Reconcile'!A$2:A1399, MATCH($B1258, 'Run Reconcile'!B$2:B1399, 0)+Z1258, 1), IFERROR(0/0,""))
</f>
        <v/>
      </c>
      <c r="V1258" s="316" t="str">
        <f t="shared" si="1281"/>
        <v>RUN-ABRM_2023-05-09_APS-017</v>
      </c>
      <c r="Y1258" s="317" t="str">
        <f t="shared" si="6"/>
        <v/>
      </c>
      <c r="Z1258" s="83" t="str">
        <f t="shared" si="7"/>
        <v/>
      </c>
      <c r="AA1258" s="83" t="str">
        <f t="shared" si="8"/>
        <v/>
      </c>
      <c r="AB1258" s="83" t="str">
        <f t="shared" si="9"/>
        <v/>
      </c>
      <c r="AC1258" s="18"/>
      <c r="AD1258" s="18"/>
      <c r="AE1258" s="43"/>
      <c r="AF1258" s="58" t="s">
        <v>1389</v>
      </c>
      <c r="AG1258" s="55" t="b">
        <f t="shared" si="11"/>
        <v>0</v>
      </c>
    </row>
    <row r="1259">
      <c r="A1259" s="7" t="str">
        <f>IFERROR(__xludf.DUMMYFUNCTION("""COMPUTED_VALUE"""),"AK9925")</f>
        <v>AK9925</v>
      </c>
      <c r="B1259" s="308">
        <f>IFERROR(__xludf.DUMMYFUNCTION("""COMPUTED_VALUE"""),45055.0)</f>
        <v>45055</v>
      </c>
      <c r="C1259" s="309">
        <f>IFERROR(__xludf.DUMMYFUNCTION("""COMPUTED_VALUE"""),0.23734953703703704)</f>
        <v>0.237349537</v>
      </c>
      <c r="D1259" s="7" t="str">
        <f>IFERROR(__xludf.DUMMYFUNCTION("""COMPUTED_VALUE"""),"SpABRM297307")</f>
        <v>SpABRM297307</v>
      </c>
      <c r="E1259" s="310"/>
      <c r="F1259" s="310"/>
      <c r="G1259" s="310" t="str">
        <f>IFERROR(__xludf.DUMMYFUNCTION("""COMPUTED_VALUE"""),"Negative")</f>
        <v>Negative</v>
      </c>
      <c r="H1259" s="319" t="str">
        <f>IFERROR(__xludf.DUMMYFUNCTION("""COMPUTED_VALUE"""),"Negative")</f>
        <v>Negative</v>
      </c>
      <c r="I1259" s="308">
        <f>IFERROR(__xludf.DUMMYFUNCTION("""COMPUTED_VALUE"""),45056.0)</f>
        <v>45056</v>
      </c>
      <c r="J1259" s="311">
        <f>IFERROR(__xludf.DUMMYFUNCTION("""COMPUTED_VALUE"""),0.40413194444444445)</f>
        <v>0.4041319444</v>
      </c>
      <c r="K1259" s="54"/>
      <c r="L1259" s="7"/>
      <c r="M1259" s="312"/>
      <c r="N1259" s="172">
        <f>IFERROR(__xludf.DUMMYFUNCTION("""COMPUTED_VALUE"""),3.0)</f>
        <v>3</v>
      </c>
      <c r="O1259" s="172"/>
      <c r="P1259" s="313">
        <f>IFERROR(__xludf.DUMMYFUNCTION("""COMPUTED_VALUE"""),1.0)</f>
        <v>1</v>
      </c>
      <c r="Q1259" s="76" t="b">
        <f>VLOOKUP($B1259,'Run Reconcile'!B$2:O1399,14,FALSE)</f>
        <v>1</v>
      </c>
      <c r="R1259" s="314" t="str">
        <f t="array" ref="R1259">IF($Q1259, INDEX('Run Reconcile'!A$2:A1399,MATCH(B1259,'Run Reconcile'!B$2:B1399,0),1),IFERROR(0/0,""))</f>
        <v>RUN-ABRM_2023-05-09_APS-017</v>
      </c>
      <c r="S1259" s="315" t="str">
        <f t="shared" ref="S1259:T1259" si="2265">IF(COUNTIF(W$2:W1399, $A1259) &gt; 0,TRUE,IFERROR(0/0,""))</f>
        <v/>
      </c>
      <c r="T1259" s="315" t="str">
        <f t="shared" si="2265"/>
        <v/>
      </c>
      <c r="U1259" s="114" t="str">
        <f t="array" ref="U1259">IF(ISBLANK($R1259), INDEX('Run Reconcile'!A$2:A1399, MATCH($B1259, 'Run Reconcile'!B$2:B1399, 0)+Z1259, 1), IFERROR(0/0,""))
</f>
        <v/>
      </c>
      <c r="V1259" s="316" t="str">
        <f t="shared" si="1281"/>
        <v>RUN-ABRM_2023-05-09_APS-017</v>
      </c>
      <c r="Y1259" s="317" t="str">
        <f t="shared" si="6"/>
        <v/>
      </c>
      <c r="Z1259" s="83" t="str">
        <f t="shared" si="7"/>
        <v/>
      </c>
      <c r="AA1259" s="83" t="str">
        <f t="shared" si="8"/>
        <v/>
      </c>
      <c r="AB1259" s="83" t="str">
        <f t="shared" si="9"/>
        <v/>
      </c>
      <c r="AC1259" s="18"/>
      <c r="AD1259" s="18"/>
      <c r="AE1259" s="43"/>
      <c r="AF1259" s="58" t="s">
        <v>1389</v>
      </c>
      <c r="AG1259" s="55" t="b">
        <f t="shared" si="11"/>
        <v>0</v>
      </c>
    </row>
    <row r="1260">
      <c r="A1260" s="7" t="str">
        <f>IFERROR(__xludf.DUMMYFUNCTION("""COMPUTED_VALUE"""),"AR1794")</f>
        <v>AR1794</v>
      </c>
      <c r="B1260" s="308">
        <f>IFERROR(__xludf.DUMMYFUNCTION("""COMPUTED_VALUE"""),45055.0)</f>
        <v>45055</v>
      </c>
      <c r="C1260" s="309">
        <f>IFERROR(__xludf.DUMMYFUNCTION("""COMPUTED_VALUE"""),0.2845949074074074)</f>
        <v>0.2845949074</v>
      </c>
      <c r="D1260" s="7" t="str">
        <f>IFERROR(__xludf.DUMMYFUNCTION("""COMPUTED_VALUE"""),"SpABRM128250")</f>
        <v>SpABRM128250</v>
      </c>
      <c r="E1260" s="310"/>
      <c r="F1260" s="310"/>
      <c r="G1260" s="310" t="str">
        <f>IFERROR(__xludf.DUMMYFUNCTION("""COMPUTED_VALUE"""),"Negative")</f>
        <v>Negative</v>
      </c>
      <c r="H1260" s="319" t="str">
        <f>IFERROR(__xludf.DUMMYFUNCTION("""COMPUTED_VALUE"""),"Negative")</f>
        <v>Negative</v>
      </c>
      <c r="I1260" s="308">
        <f>IFERROR(__xludf.DUMMYFUNCTION("""COMPUTED_VALUE"""),45056.0)</f>
        <v>45056</v>
      </c>
      <c r="J1260" s="311">
        <f>IFERROR(__xludf.DUMMYFUNCTION("""COMPUTED_VALUE"""),0.40413194444444445)</f>
        <v>0.4041319444</v>
      </c>
      <c r="K1260" s="54"/>
      <c r="L1260" s="7"/>
      <c r="M1260" s="312"/>
      <c r="N1260" s="172">
        <f>IFERROR(__xludf.DUMMYFUNCTION("""COMPUTED_VALUE"""),3.0)</f>
        <v>3</v>
      </c>
      <c r="O1260" s="172"/>
      <c r="P1260" s="313">
        <f>IFERROR(__xludf.DUMMYFUNCTION("""COMPUTED_VALUE"""),1.0)</f>
        <v>1</v>
      </c>
      <c r="Q1260" s="76" t="b">
        <f>VLOOKUP($B1260,'Run Reconcile'!B$2:O1399,14,FALSE)</f>
        <v>1</v>
      </c>
      <c r="R1260" s="314" t="str">
        <f t="array" ref="R1260">IF($Q1260, INDEX('Run Reconcile'!A$2:A1399,MATCH(B1260,'Run Reconcile'!B$2:B1399,0),1),IFERROR(0/0,""))</f>
        <v>RUN-ABRM_2023-05-09_APS-017</v>
      </c>
      <c r="S1260" s="315" t="str">
        <f t="shared" ref="S1260:T1260" si="2266">IF(COUNTIF(W$2:W1399, $A1260) &gt; 0,TRUE,IFERROR(0/0,""))</f>
        <v/>
      </c>
      <c r="T1260" s="315" t="str">
        <f t="shared" si="2266"/>
        <v/>
      </c>
      <c r="U1260" s="114" t="str">
        <f t="array" ref="U1260">IF(ISBLANK($R1260), INDEX('Run Reconcile'!A$2:A1399, MATCH($B1260, 'Run Reconcile'!B$2:B1399, 0)+Z1260, 1), IFERROR(0/0,""))
</f>
        <v/>
      </c>
      <c r="V1260" s="316" t="str">
        <f t="shared" si="1281"/>
        <v>RUN-ABRM_2023-05-09_APS-017</v>
      </c>
      <c r="Y1260" s="317" t="str">
        <f t="shared" si="6"/>
        <v/>
      </c>
      <c r="Z1260" s="83" t="str">
        <f t="shared" si="7"/>
        <v/>
      </c>
      <c r="AA1260" s="83" t="str">
        <f t="shared" si="8"/>
        <v/>
      </c>
      <c r="AB1260" s="83" t="str">
        <f t="shared" si="9"/>
        <v/>
      </c>
      <c r="AC1260" s="18"/>
      <c r="AD1260" s="18"/>
      <c r="AE1260" s="43"/>
      <c r="AF1260" s="58" t="s">
        <v>1389</v>
      </c>
      <c r="AG1260" s="55" t="b">
        <f t="shared" si="11"/>
        <v>0</v>
      </c>
    </row>
    <row r="1261">
      <c r="A1261" s="7" t="str">
        <f>IFERROR(__xludf.DUMMYFUNCTION("""COMPUTED_VALUE"""),"AR1213")</f>
        <v>AR1213</v>
      </c>
      <c r="B1261" s="308">
        <f>IFERROR(__xludf.DUMMYFUNCTION("""COMPUTED_VALUE"""),45055.0)</f>
        <v>45055</v>
      </c>
      <c r="C1261" s="309">
        <f>IFERROR(__xludf.DUMMYFUNCTION("""COMPUTED_VALUE"""),0.2874537037037037)</f>
        <v>0.2874537037</v>
      </c>
      <c r="D1261" s="7" t="str">
        <f>IFERROR(__xludf.DUMMYFUNCTION("""COMPUTED_VALUE"""),"SpABRM581899")</f>
        <v>SpABRM581899</v>
      </c>
      <c r="E1261" s="310"/>
      <c r="F1261" s="310"/>
      <c r="G1261" s="310" t="str">
        <f>IFERROR(__xludf.DUMMYFUNCTION("""COMPUTED_VALUE"""),"Negative")</f>
        <v>Negative</v>
      </c>
      <c r="H1261" s="319" t="str">
        <f>IFERROR(__xludf.DUMMYFUNCTION("""COMPUTED_VALUE"""),"Negative")</f>
        <v>Negative</v>
      </c>
      <c r="I1261" s="308">
        <f>IFERROR(__xludf.DUMMYFUNCTION("""COMPUTED_VALUE"""),45056.0)</f>
        <v>45056</v>
      </c>
      <c r="J1261" s="311">
        <f>IFERROR(__xludf.DUMMYFUNCTION("""COMPUTED_VALUE"""),0.40413194444444445)</f>
        <v>0.4041319444</v>
      </c>
      <c r="K1261" s="54"/>
      <c r="L1261" s="7"/>
      <c r="M1261" s="312"/>
      <c r="N1261" s="172">
        <f>IFERROR(__xludf.DUMMYFUNCTION("""COMPUTED_VALUE"""),3.0)</f>
        <v>3</v>
      </c>
      <c r="O1261" s="172"/>
      <c r="P1261" s="313">
        <f>IFERROR(__xludf.DUMMYFUNCTION("""COMPUTED_VALUE"""),1.0)</f>
        <v>1</v>
      </c>
      <c r="Q1261" s="76" t="b">
        <f>VLOOKUP($B1261,'Run Reconcile'!B$2:O1399,14,FALSE)</f>
        <v>1</v>
      </c>
      <c r="R1261" s="314" t="str">
        <f t="array" ref="R1261">IF($Q1261, INDEX('Run Reconcile'!A$2:A1399,MATCH(B1261,'Run Reconcile'!B$2:B1399,0),1),IFERROR(0/0,""))</f>
        <v>RUN-ABRM_2023-05-09_APS-017</v>
      </c>
      <c r="S1261" s="315" t="str">
        <f t="shared" ref="S1261:T1261" si="2267">IF(COUNTIF(W$2:W1399, $A1261) &gt; 0,TRUE,IFERROR(0/0,""))</f>
        <v/>
      </c>
      <c r="T1261" s="315" t="str">
        <f t="shared" si="2267"/>
        <v/>
      </c>
      <c r="U1261" s="114" t="str">
        <f t="array" ref="U1261">IF(ISBLANK($R1261), INDEX('Run Reconcile'!A$2:A1399, MATCH($B1261, 'Run Reconcile'!B$2:B1399, 0)+Z1261, 1), IFERROR(0/0,""))
</f>
        <v/>
      </c>
      <c r="V1261" s="316" t="str">
        <f t="shared" si="1281"/>
        <v>RUN-ABRM_2023-05-09_APS-017</v>
      </c>
      <c r="Y1261" s="317" t="str">
        <f t="shared" si="6"/>
        <v/>
      </c>
      <c r="Z1261" s="83" t="str">
        <f t="shared" si="7"/>
        <v/>
      </c>
      <c r="AA1261" s="83" t="str">
        <f t="shared" si="8"/>
        <v/>
      </c>
      <c r="AB1261" s="83" t="str">
        <f t="shared" si="9"/>
        <v/>
      </c>
      <c r="AC1261" s="18"/>
      <c r="AD1261" s="18"/>
      <c r="AE1261" s="43"/>
      <c r="AF1261" s="58" t="s">
        <v>1389</v>
      </c>
      <c r="AG1261" s="55" t="b">
        <f t="shared" si="11"/>
        <v>0</v>
      </c>
    </row>
    <row r="1262">
      <c r="A1262" s="7" t="str">
        <f>IFERROR(__xludf.DUMMYFUNCTION("""COMPUTED_VALUE"""),"AK9718")</f>
        <v>AK9718</v>
      </c>
      <c r="B1262" s="308">
        <f>IFERROR(__xludf.DUMMYFUNCTION("""COMPUTED_VALUE"""),45055.0)</f>
        <v>45055</v>
      </c>
      <c r="C1262" s="309">
        <f>IFERROR(__xludf.DUMMYFUNCTION("""COMPUTED_VALUE"""),0.30072916666666666)</f>
        <v>0.3007291667</v>
      </c>
      <c r="D1262" s="7" t="str">
        <f>IFERROR(__xludf.DUMMYFUNCTION("""COMPUTED_VALUE"""),"SpABRM367540")</f>
        <v>SpABRM367540</v>
      </c>
      <c r="E1262" s="310"/>
      <c r="F1262" s="310"/>
      <c r="G1262" s="310" t="str">
        <f>IFERROR(__xludf.DUMMYFUNCTION("""COMPUTED_VALUE"""),"Null")</f>
        <v>Null</v>
      </c>
      <c r="H1262" s="319" t="str">
        <f>IFERROR(__xludf.DUMMYFUNCTION("""COMPUTED_VALUE"""),"Negative")</f>
        <v>Negative</v>
      </c>
      <c r="I1262" s="319"/>
      <c r="J1262" s="54"/>
      <c r="K1262" s="54">
        <f>IFERROR(__xludf.DUMMYFUNCTION("""COMPUTED_VALUE"""),2.2)</f>
        <v>2.2</v>
      </c>
      <c r="L1262" s="7"/>
      <c r="M1262" s="312"/>
      <c r="N1262" s="172">
        <f>IFERROR(__xludf.DUMMYFUNCTION("""COMPUTED_VALUE"""),3.0)</f>
        <v>3</v>
      </c>
      <c r="O1262" s="172"/>
      <c r="P1262" s="313">
        <f>IFERROR(__xludf.DUMMYFUNCTION("""COMPUTED_VALUE"""),-1.0)</f>
        <v>-1</v>
      </c>
      <c r="Q1262" s="76" t="b">
        <f>VLOOKUP($B1262,'Run Reconcile'!B$2:O1399,14,FALSE)</f>
        <v>1</v>
      </c>
      <c r="R1262" s="314" t="str">
        <f t="array" ref="R1262">IF($Q1262, INDEX('Run Reconcile'!A$2:A1399,MATCH(B1262,'Run Reconcile'!B$2:B1399,0),1),IFERROR(0/0,""))</f>
        <v>RUN-ABRM_2023-05-09_APS-017</v>
      </c>
      <c r="S1262" s="315" t="str">
        <f t="shared" ref="S1262:T1262" si="2268">IF(COUNTIF(W$2:W1399, $A1262) &gt; 0,TRUE,IFERROR(0/0,""))</f>
        <v/>
      </c>
      <c r="T1262" s="315" t="str">
        <f t="shared" si="2268"/>
        <v/>
      </c>
      <c r="U1262" s="114" t="str">
        <f t="array" ref="U1262">IF(ISBLANK($R1262), INDEX('Run Reconcile'!A$2:A1399, MATCH($B1262, 'Run Reconcile'!B$2:B1399, 0)+Z1262, 1), IFERROR(0/0,""))
</f>
        <v/>
      </c>
      <c r="V1262" s="316" t="str">
        <f t="shared" si="1281"/>
        <v>RUN-ABRM_2023-05-09_APS-017</v>
      </c>
      <c r="Y1262" s="317" t="str">
        <f t="shared" si="6"/>
        <v/>
      </c>
      <c r="Z1262" s="83" t="str">
        <f t="shared" si="7"/>
        <v/>
      </c>
      <c r="AA1262" s="83" t="str">
        <f t="shared" si="8"/>
        <v/>
      </c>
      <c r="AB1262" s="83" t="str">
        <f t="shared" si="9"/>
        <v/>
      </c>
      <c r="AC1262" s="18"/>
      <c r="AD1262" s="18"/>
      <c r="AE1262" s="43"/>
      <c r="AF1262" s="58" t="s">
        <v>1389</v>
      </c>
      <c r="AG1262" s="55" t="b">
        <f t="shared" si="11"/>
        <v>0</v>
      </c>
    </row>
    <row r="1263">
      <c r="A1263" s="7" t="str">
        <f>IFERROR(__xludf.DUMMYFUNCTION("""COMPUTED_VALUE"""),"AR1026")</f>
        <v>AR1026</v>
      </c>
      <c r="B1263" s="308">
        <f>IFERROR(__xludf.DUMMYFUNCTION("""COMPUTED_VALUE"""),45055.0)</f>
        <v>45055</v>
      </c>
      <c r="C1263" s="309">
        <f>IFERROR(__xludf.DUMMYFUNCTION("""COMPUTED_VALUE"""),0.3197800925925926)</f>
        <v>0.3197800926</v>
      </c>
      <c r="D1263" s="7" t="str">
        <f>IFERROR(__xludf.DUMMYFUNCTION("""COMPUTED_VALUE"""),"SpABRM655136")</f>
        <v>SpABRM655136</v>
      </c>
      <c r="E1263" s="310"/>
      <c r="F1263" s="310"/>
      <c r="G1263" s="310" t="str">
        <f>IFERROR(__xludf.DUMMYFUNCTION("""COMPUTED_VALUE"""),"Negative")</f>
        <v>Negative</v>
      </c>
      <c r="H1263" s="319" t="str">
        <f>IFERROR(__xludf.DUMMYFUNCTION("""COMPUTED_VALUE"""),"Negative")</f>
        <v>Negative</v>
      </c>
      <c r="I1263" s="308">
        <f>IFERROR(__xludf.DUMMYFUNCTION("""COMPUTED_VALUE"""),45056.0)</f>
        <v>45056</v>
      </c>
      <c r="J1263" s="311">
        <f>IFERROR(__xludf.DUMMYFUNCTION("""COMPUTED_VALUE"""),0.40413194444444445)</f>
        <v>0.4041319444</v>
      </c>
      <c r="K1263" s="54"/>
      <c r="L1263" s="7"/>
      <c r="M1263" s="312"/>
      <c r="N1263" s="172">
        <f>IFERROR(__xludf.DUMMYFUNCTION("""COMPUTED_VALUE"""),2.0)</f>
        <v>2</v>
      </c>
      <c r="O1263" s="172"/>
      <c r="P1263" s="313">
        <f>IFERROR(__xludf.DUMMYFUNCTION("""COMPUTED_VALUE"""),1.0)</f>
        <v>1</v>
      </c>
      <c r="Q1263" s="76" t="b">
        <f>VLOOKUP($B1263,'Run Reconcile'!B$2:O1399,14,FALSE)</f>
        <v>1</v>
      </c>
      <c r="R1263" s="314" t="str">
        <f t="array" ref="R1263">IF($Q1263, INDEX('Run Reconcile'!A$2:A1399,MATCH(B1263,'Run Reconcile'!B$2:B1399,0),1),IFERROR(0/0,""))</f>
        <v>RUN-ABRM_2023-05-09_APS-017</v>
      </c>
      <c r="S1263" s="315" t="str">
        <f t="shared" ref="S1263:T1263" si="2269">IF(COUNTIF(W$2:W1399, $A1263) &gt; 0,TRUE,IFERROR(0/0,""))</f>
        <v/>
      </c>
      <c r="T1263" s="315" t="str">
        <f t="shared" si="2269"/>
        <v/>
      </c>
      <c r="U1263" s="114" t="str">
        <f t="array" ref="U1263">IF(ISBLANK($R1263), INDEX('Run Reconcile'!A$2:A1399, MATCH($B1263, 'Run Reconcile'!B$2:B1399, 0)+Z1263, 1), IFERROR(0/0,""))
</f>
        <v/>
      </c>
      <c r="V1263" s="316" t="str">
        <f t="shared" si="1281"/>
        <v>RUN-ABRM_2023-05-09_APS-017</v>
      </c>
      <c r="Y1263" s="317" t="str">
        <f t="shared" si="6"/>
        <v/>
      </c>
      <c r="Z1263" s="83" t="str">
        <f t="shared" si="7"/>
        <v/>
      </c>
      <c r="AA1263" s="83" t="str">
        <f t="shared" si="8"/>
        <v/>
      </c>
      <c r="AB1263" s="83" t="str">
        <f t="shared" si="9"/>
        <v/>
      </c>
      <c r="AC1263" s="18"/>
      <c r="AD1263" s="18"/>
      <c r="AE1263" s="43"/>
      <c r="AF1263" s="58" t="s">
        <v>1389</v>
      </c>
      <c r="AG1263" s="55" t="b">
        <f t="shared" si="11"/>
        <v>0</v>
      </c>
    </row>
    <row r="1264">
      <c r="A1264" s="7" t="str">
        <f>IFERROR(__xludf.DUMMYFUNCTION("""COMPUTED_VALUE"""),"AR1593")</f>
        <v>AR1593</v>
      </c>
      <c r="B1264" s="308">
        <f>IFERROR(__xludf.DUMMYFUNCTION("""COMPUTED_VALUE"""),45055.0)</f>
        <v>45055</v>
      </c>
      <c r="C1264" s="309">
        <f>IFERROR(__xludf.DUMMYFUNCTION("""COMPUTED_VALUE"""),0.32015046296296296)</f>
        <v>0.320150463</v>
      </c>
      <c r="D1264" s="7" t="str">
        <f>IFERROR(__xludf.DUMMYFUNCTION("""COMPUTED_VALUE"""),"SpABRM519188")</f>
        <v>SpABRM519188</v>
      </c>
      <c r="E1264" s="310"/>
      <c r="F1264" s="310"/>
      <c r="G1264" s="310" t="str">
        <f>IFERROR(__xludf.DUMMYFUNCTION("""COMPUTED_VALUE"""),"Negative")</f>
        <v>Negative</v>
      </c>
      <c r="H1264" s="319" t="str">
        <f>IFERROR(__xludf.DUMMYFUNCTION("""COMPUTED_VALUE"""),"Negative")</f>
        <v>Negative</v>
      </c>
      <c r="I1264" s="308">
        <f>IFERROR(__xludf.DUMMYFUNCTION("""COMPUTED_VALUE"""),45056.0)</f>
        <v>45056</v>
      </c>
      <c r="J1264" s="311">
        <f>IFERROR(__xludf.DUMMYFUNCTION("""COMPUTED_VALUE"""),0.40414351851851854)</f>
        <v>0.4041435185</v>
      </c>
      <c r="K1264" s="54"/>
      <c r="L1264" s="7"/>
      <c r="M1264" s="312"/>
      <c r="N1264" s="172">
        <f>IFERROR(__xludf.DUMMYFUNCTION("""COMPUTED_VALUE"""),1.0)</f>
        <v>1</v>
      </c>
      <c r="O1264" s="172"/>
      <c r="P1264" s="313">
        <f>IFERROR(__xludf.DUMMYFUNCTION("""COMPUTED_VALUE"""),1.0)</f>
        <v>1</v>
      </c>
      <c r="Q1264" s="76" t="b">
        <f>VLOOKUP($B1264,'Run Reconcile'!B$2:O1399,14,FALSE)</f>
        <v>1</v>
      </c>
      <c r="R1264" s="314" t="str">
        <f t="array" ref="R1264">IF($Q1264, INDEX('Run Reconcile'!A$2:A1399,MATCH(B1264,'Run Reconcile'!B$2:B1399,0),1),IFERROR(0/0,""))</f>
        <v>RUN-ABRM_2023-05-09_APS-017</v>
      </c>
      <c r="S1264" s="315" t="str">
        <f t="shared" ref="S1264:T1264" si="2270">IF(COUNTIF(W$2:W1399, $A1264) &gt; 0,TRUE,IFERROR(0/0,""))</f>
        <v/>
      </c>
      <c r="T1264" s="315" t="str">
        <f t="shared" si="2270"/>
        <v/>
      </c>
      <c r="U1264" s="114" t="str">
        <f t="array" ref="U1264">IF(ISBLANK($R1264), INDEX('Run Reconcile'!A$2:A1399, MATCH($B1264, 'Run Reconcile'!B$2:B1399, 0)+Z1264, 1), IFERROR(0/0,""))
</f>
        <v/>
      </c>
      <c r="V1264" s="316" t="str">
        <f t="shared" si="1281"/>
        <v>RUN-ABRM_2023-05-09_APS-017</v>
      </c>
      <c r="Y1264" s="317" t="str">
        <f t="shared" si="6"/>
        <v/>
      </c>
      <c r="Z1264" s="83" t="str">
        <f t="shared" si="7"/>
        <v/>
      </c>
      <c r="AA1264" s="83" t="str">
        <f t="shared" si="8"/>
        <v/>
      </c>
      <c r="AB1264" s="83" t="str">
        <f t="shared" si="9"/>
        <v/>
      </c>
      <c r="AC1264" s="18"/>
      <c r="AD1264" s="18"/>
      <c r="AE1264" s="43"/>
      <c r="AF1264" s="58" t="s">
        <v>1389</v>
      </c>
      <c r="AG1264" s="55" t="b">
        <f t="shared" si="11"/>
        <v>0</v>
      </c>
    </row>
    <row r="1265">
      <c r="A1265" s="7" t="str">
        <f>IFERROR(__xludf.DUMMYFUNCTION("""COMPUTED_VALUE"""),"AR1177")</f>
        <v>AR1177</v>
      </c>
      <c r="B1265" s="308">
        <f>IFERROR(__xludf.DUMMYFUNCTION("""COMPUTED_VALUE"""),45055.0)</f>
        <v>45055</v>
      </c>
      <c r="C1265" s="309">
        <f>IFERROR(__xludf.DUMMYFUNCTION("""COMPUTED_VALUE"""),0.32435185185185184)</f>
        <v>0.3243518519</v>
      </c>
      <c r="D1265" s="7" t="str">
        <f>IFERROR(__xludf.DUMMYFUNCTION("""COMPUTED_VALUE"""),"SpABRM841252")</f>
        <v>SpABRM841252</v>
      </c>
      <c r="E1265" s="310"/>
      <c r="F1265" s="310"/>
      <c r="G1265" s="310" t="str">
        <f>IFERROR(__xludf.DUMMYFUNCTION("""COMPUTED_VALUE"""),"Negative")</f>
        <v>Negative</v>
      </c>
      <c r="H1265" s="319" t="str">
        <f>IFERROR(__xludf.DUMMYFUNCTION("""COMPUTED_VALUE"""),"Negative")</f>
        <v>Negative</v>
      </c>
      <c r="I1265" s="308">
        <f>IFERROR(__xludf.DUMMYFUNCTION("""COMPUTED_VALUE"""),45056.0)</f>
        <v>45056</v>
      </c>
      <c r="J1265" s="311">
        <f>IFERROR(__xludf.DUMMYFUNCTION("""COMPUTED_VALUE"""),0.40414351851851854)</f>
        <v>0.4041435185</v>
      </c>
      <c r="K1265" s="54"/>
      <c r="L1265" s="7"/>
      <c r="M1265" s="312"/>
      <c r="N1265" s="172">
        <f>IFERROR(__xludf.DUMMYFUNCTION("""COMPUTED_VALUE"""),1.0)</f>
        <v>1</v>
      </c>
      <c r="O1265" s="172"/>
      <c r="P1265" s="313">
        <f>IFERROR(__xludf.DUMMYFUNCTION("""COMPUTED_VALUE"""),1.0)</f>
        <v>1</v>
      </c>
      <c r="Q1265" s="76" t="b">
        <f>VLOOKUP($B1265,'Run Reconcile'!B$2:O1399,14,FALSE)</f>
        <v>1</v>
      </c>
      <c r="R1265" s="314" t="str">
        <f t="array" ref="R1265">IF($Q1265, INDEX('Run Reconcile'!A$2:A1399,MATCH(B1265,'Run Reconcile'!B$2:B1399,0),1),IFERROR(0/0,""))</f>
        <v>RUN-ABRM_2023-05-09_APS-017</v>
      </c>
      <c r="S1265" s="315" t="str">
        <f t="shared" ref="S1265:T1265" si="2271">IF(COUNTIF(W$2:W1399, $A1265) &gt; 0,TRUE,IFERROR(0/0,""))</f>
        <v/>
      </c>
      <c r="T1265" s="315" t="str">
        <f t="shared" si="2271"/>
        <v/>
      </c>
      <c r="U1265" s="114" t="str">
        <f t="array" ref="U1265">IF(ISBLANK($R1265), INDEX('Run Reconcile'!A$2:A1399, MATCH($B1265, 'Run Reconcile'!B$2:B1399, 0)+Z1265, 1), IFERROR(0/0,""))
</f>
        <v/>
      </c>
      <c r="V1265" s="316" t="str">
        <f t="shared" si="1281"/>
        <v>RUN-ABRM_2023-05-09_APS-017</v>
      </c>
      <c r="Y1265" s="317" t="str">
        <f t="shared" si="6"/>
        <v/>
      </c>
      <c r="Z1265" s="83" t="str">
        <f t="shared" si="7"/>
        <v/>
      </c>
      <c r="AA1265" s="83" t="str">
        <f t="shared" si="8"/>
        <v/>
      </c>
      <c r="AB1265" s="83" t="str">
        <f t="shared" si="9"/>
        <v/>
      </c>
      <c r="AC1265" s="18"/>
      <c r="AD1265" s="18"/>
      <c r="AE1265" s="43"/>
      <c r="AF1265" s="58" t="s">
        <v>1389</v>
      </c>
      <c r="AG1265" s="55" t="b">
        <f t="shared" si="11"/>
        <v>0</v>
      </c>
    </row>
    <row r="1266">
      <c r="A1266" s="7" t="str">
        <f>IFERROR(__xludf.DUMMYFUNCTION("""COMPUTED_VALUE"""),"AR356")</f>
        <v>AR356</v>
      </c>
      <c r="B1266" s="308">
        <f>IFERROR(__xludf.DUMMYFUNCTION("""COMPUTED_VALUE"""),45056.0)</f>
        <v>45056</v>
      </c>
      <c r="C1266" s="309">
        <f>IFERROR(__xludf.DUMMYFUNCTION("""COMPUTED_VALUE"""),0.22400462962962964)</f>
        <v>0.2240046296</v>
      </c>
      <c r="D1266" s="7" t="str">
        <f>IFERROR(__xludf.DUMMYFUNCTION("""COMPUTED_VALUE"""),"SpABRM454310")</f>
        <v>SpABRM454310</v>
      </c>
      <c r="E1266" s="310"/>
      <c r="F1266" s="310"/>
      <c r="G1266" s="310" t="str">
        <f>IFERROR(__xludf.DUMMYFUNCTION("""COMPUTED_VALUE"""),"Negative")</f>
        <v>Negative</v>
      </c>
      <c r="H1266" s="319" t="str">
        <f>IFERROR(__xludf.DUMMYFUNCTION("""COMPUTED_VALUE"""),"Negative")</f>
        <v>Negative</v>
      </c>
      <c r="I1266" s="308">
        <f>IFERROR(__xludf.DUMMYFUNCTION("""COMPUTED_VALUE"""),45056.0)</f>
        <v>45056</v>
      </c>
      <c r="J1266" s="311">
        <f>IFERROR(__xludf.DUMMYFUNCTION("""COMPUTED_VALUE"""),0.40414351851851854)</f>
        <v>0.4041435185</v>
      </c>
      <c r="K1266" s="54"/>
      <c r="L1266" s="7"/>
      <c r="M1266" s="312"/>
      <c r="N1266" s="172">
        <f>IFERROR(__xludf.DUMMYFUNCTION("""COMPUTED_VALUE"""),3.0)</f>
        <v>3</v>
      </c>
      <c r="O1266" s="172"/>
      <c r="P1266" s="313">
        <f>IFERROR(__xludf.DUMMYFUNCTION("""COMPUTED_VALUE"""),0.0)</f>
        <v>0</v>
      </c>
      <c r="Q1266" s="76" t="b">
        <f>VLOOKUP($B1266,'Run Reconcile'!B$2:O1399,14,FALSE)</f>
        <v>1</v>
      </c>
      <c r="R1266" s="314" t="str">
        <f t="array" ref="R1266">IF($Q1266, INDEX('Run Reconcile'!A$2:A1399,MATCH(B1266,'Run Reconcile'!B$2:B1399,0),1),IFERROR(0/0,""))</f>
        <v>RUN-ABRM_2023-05-10_APS-018</v>
      </c>
      <c r="S1266" s="315" t="str">
        <f t="shared" ref="S1266:T1266" si="2272">IF(COUNTIF(W$2:W1399, $A1266) &gt; 0,TRUE,IFERROR(0/0,""))</f>
        <v/>
      </c>
      <c r="T1266" s="315" t="str">
        <f t="shared" si="2272"/>
        <v/>
      </c>
      <c r="U1266" s="114" t="str">
        <f t="array" ref="U1266">IF(ISBLANK($R1266), INDEX('Run Reconcile'!A$2:A1399, MATCH($B1266, 'Run Reconcile'!B$2:B1399, 0)+Z1266, 1), IFERROR(0/0,""))
</f>
        <v/>
      </c>
      <c r="V1266" s="316" t="str">
        <f t="shared" si="1281"/>
        <v>RUN-ABRM_2023-05-10_APS-018</v>
      </c>
      <c r="Y1266" s="317" t="str">
        <f t="shared" si="6"/>
        <v/>
      </c>
      <c r="Z1266" s="83" t="str">
        <f t="shared" si="7"/>
        <v/>
      </c>
      <c r="AA1266" s="83" t="str">
        <f t="shared" si="8"/>
        <v/>
      </c>
      <c r="AB1266" s="83" t="str">
        <f t="shared" si="9"/>
        <v/>
      </c>
      <c r="AC1266" s="18"/>
      <c r="AD1266" s="18"/>
      <c r="AE1266" s="43"/>
      <c r="AF1266" s="58" t="s">
        <v>1390</v>
      </c>
      <c r="AG1266" s="55" t="b">
        <f t="shared" si="11"/>
        <v>0</v>
      </c>
    </row>
    <row r="1267">
      <c r="A1267" s="7" t="str">
        <f>IFERROR(__xludf.DUMMYFUNCTION("""COMPUTED_VALUE"""),"AB9520")</f>
        <v>AB9520</v>
      </c>
      <c r="B1267" s="308">
        <f>IFERROR(__xludf.DUMMYFUNCTION("""COMPUTED_VALUE"""),45056.0)</f>
        <v>45056</v>
      </c>
      <c r="C1267" s="309">
        <f>IFERROR(__xludf.DUMMYFUNCTION("""COMPUTED_VALUE"""),0.2810185185185185)</f>
        <v>0.2810185185</v>
      </c>
      <c r="D1267" s="7" t="str">
        <f>IFERROR(__xludf.DUMMYFUNCTION("""COMPUTED_VALUE"""),"SpABRM581899")</f>
        <v>SpABRM581899</v>
      </c>
      <c r="E1267" s="310"/>
      <c r="F1267" s="310"/>
      <c r="G1267" s="310" t="str">
        <f>IFERROR(__xludf.DUMMYFUNCTION("""COMPUTED_VALUE"""),"Negative")</f>
        <v>Negative</v>
      </c>
      <c r="H1267" s="319" t="str">
        <f>IFERROR(__xludf.DUMMYFUNCTION("""COMPUTED_VALUE"""),"Negative")</f>
        <v>Negative</v>
      </c>
      <c r="I1267" s="308">
        <f>IFERROR(__xludf.DUMMYFUNCTION("""COMPUTED_VALUE"""),45056.0)</f>
        <v>45056</v>
      </c>
      <c r="J1267" s="311">
        <f>IFERROR(__xludf.DUMMYFUNCTION("""COMPUTED_VALUE"""),0.4041550925925926)</f>
        <v>0.4041550926</v>
      </c>
      <c r="K1267" s="54"/>
      <c r="L1267" s="7"/>
      <c r="M1267" s="312"/>
      <c r="N1267" s="172">
        <f>IFERROR(__xludf.DUMMYFUNCTION("""COMPUTED_VALUE"""),3.0)</f>
        <v>3</v>
      </c>
      <c r="O1267" s="172"/>
      <c r="P1267" s="313">
        <f>IFERROR(__xludf.DUMMYFUNCTION("""COMPUTED_VALUE"""),0.0)</f>
        <v>0</v>
      </c>
      <c r="Q1267" s="76" t="b">
        <f>VLOOKUP($B1267,'Run Reconcile'!B$2:O1399,14,FALSE)</f>
        <v>1</v>
      </c>
      <c r="R1267" s="314" t="str">
        <f t="array" ref="R1267">IF($Q1267, INDEX('Run Reconcile'!A$2:A1399,MATCH(B1267,'Run Reconcile'!B$2:B1399,0),1),IFERROR(0/0,""))</f>
        <v>RUN-ABRM_2023-05-10_APS-018</v>
      </c>
      <c r="S1267" s="315" t="str">
        <f t="shared" ref="S1267:T1267" si="2273">IF(COUNTIF(W$2:W1399, $A1267) &gt; 0,TRUE,IFERROR(0/0,""))</f>
        <v/>
      </c>
      <c r="T1267" s="315" t="str">
        <f t="shared" si="2273"/>
        <v/>
      </c>
      <c r="U1267" s="114" t="str">
        <f t="array" ref="U1267">IF(ISBLANK($R1267), INDEX('Run Reconcile'!A$2:A1399, MATCH($B1267, 'Run Reconcile'!B$2:B1399, 0)+Z1267, 1), IFERROR(0/0,""))
</f>
        <v/>
      </c>
      <c r="V1267" s="316" t="str">
        <f t="shared" si="1281"/>
        <v>RUN-ABRM_2023-05-10_APS-018</v>
      </c>
      <c r="Y1267" s="317" t="str">
        <f t="shared" si="6"/>
        <v/>
      </c>
      <c r="Z1267" s="83" t="str">
        <f t="shared" si="7"/>
        <v/>
      </c>
      <c r="AA1267" s="83" t="str">
        <f t="shared" si="8"/>
        <v/>
      </c>
      <c r="AB1267" s="83" t="str">
        <f t="shared" si="9"/>
        <v/>
      </c>
      <c r="AC1267" s="18"/>
      <c r="AD1267" s="18"/>
      <c r="AE1267" s="43"/>
      <c r="AF1267" s="58" t="s">
        <v>1390</v>
      </c>
      <c r="AG1267" s="55" t="b">
        <f t="shared" si="11"/>
        <v>0</v>
      </c>
    </row>
    <row r="1268">
      <c r="A1268" s="7" t="str">
        <f>IFERROR(__xludf.DUMMYFUNCTION("""COMPUTED_VALUE"""),"AR989")</f>
        <v>AR989</v>
      </c>
      <c r="B1268" s="308">
        <f>IFERROR(__xludf.DUMMYFUNCTION("""COMPUTED_VALUE"""),45056.0)</f>
        <v>45056</v>
      </c>
      <c r="C1268" s="309">
        <f>IFERROR(__xludf.DUMMYFUNCTION("""COMPUTED_VALUE"""),0.2884027777777778)</f>
        <v>0.2884027778</v>
      </c>
      <c r="D1268" s="7" t="str">
        <f>IFERROR(__xludf.DUMMYFUNCTION("""COMPUTED_VALUE"""),"SpABRM128250")</f>
        <v>SpABRM128250</v>
      </c>
      <c r="E1268" s="310"/>
      <c r="F1268" s="310"/>
      <c r="G1268" s="310" t="str">
        <f>IFERROR(__xludf.DUMMYFUNCTION("""COMPUTED_VALUE"""),"Negative")</f>
        <v>Negative</v>
      </c>
      <c r="H1268" s="319" t="str">
        <f>IFERROR(__xludf.DUMMYFUNCTION("""COMPUTED_VALUE"""),"Negative")</f>
        <v>Negative</v>
      </c>
      <c r="I1268" s="308">
        <f>IFERROR(__xludf.DUMMYFUNCTION("""COMPUTED_VALUE"""),45056.0)</f>
        <v>45056</v>
      </c>
      <c r="J1268" s="311">
        <f>IFERROR(__xludf.DUMMYFUNCTION("""COMPUTED_VALUE"""),0.4041550925925926)</f>
        <v>0.4041550926</v>
      </c>
      <c r="K1268" s="54"/>
      <c r="L1268" s="7"/>
      <c r="M1268" s="312"/>
      <c r="N1268" s="172">
        <f>IFERROR(__xludf.DUMMYFUNCTION("""COMPUTED_VALUE"""),3.0)</f>
        <v>3</v>
      </c>
      <c r="O1268" s="172"/>
      <c r="P1268" s="313">
        <f>IFERROR(__xludf.DUMMYFUNCTION("""COMPUTED_VALUE"""),0.0)</f>
        <v>0</v>
      </c>
      <c r="Q1268" s="76" t="b">
        <f>VLOOKUP($B1268,'Run Reconcile'!B$2:O1399,14,FALSE)</f>
        <v>1</v>
      </c>
      <c r="R1268" s="314" t="str">
        <f t="array" ref="R1268">IF($Q1268, INDEX('Run Reconcile'!A$2:A1399,MATCH(B1268,'Run Reconcile'!B$2:B1399,0),1),IFERROR(0/0,""))</f>
        <v>RUN-ABRM_2023-05-10_APS-018</v>
      </c>
      <c r="S1268" s="315" t="str">
        <f t="shared" ref="S1268:T1268" si="2274">IF(COUNTIF(W$2:W1399, $A1268) &gt; 0,TRUE,IFERROR(0/0,""))</f>
        <v/>
      </c>
      <c r="T1268" s="315" t="str">
        <f t="shared" si="2274"/>
        <v/>
      </c>
      <c r="U1268" s="114" t="str">
        <f t="array" ref="U1268">IF(ISBLANK($R1268), INDEX('Run Reconcile'!A$2:A1399, MATCH($B1268, 'Run Reconcile'!B$2:B1399, 0)+Z1268, 1), IFERROR(0/0,""))
</f>
        <v/>
      </c>
      <c r="V1268" s="316" t="str">
        <f t="shared" si="1281"/>
        <v>RUN-ABRM_2023-05-10_APS-018</v>
      </c>
      <c r="Y1268" s="317" t="str">
        <f t="shared" si="6"/>
        <v/>
      </c>
      <c r="Z1268" s="83" t="str">
        <f t="shared" si="7"/>
        <v/>
      </c>
      <c r="AA1268" s="83" t="str">
        <f t="shared" si="8"/>
        <v/>
      </c>
      <c r="AB1268" s="83" t="str">
        <f t="shared" si="9"/>
        <v/>
      </c>
      <c r="AC1268" s="18"/>
      <c r="AD1268" s="18"/>
      <c r="AE1268" s="43"/>
      <c r="AF1268" s="58" t="s">
        <v>1390</v>
      </c>
      <c r="AG1268" s="55" t="b">
        <f t="shared" si="11"/>
        <v>0</v>
      </c>
    </row>
    <row r="1269">
      <c r="A1269" s="7" t="str">
        <f>IFERROR(__xludf.DUMMYFUNCTION("""COMPUTED_VALUE"""),"AR1405")</f>
        <v>AR1405</v>
      </c>
      <c r="B1269" s="308">
        <f>IFERROR(__xludf.DUMMYFUNCTION("""COMPUTED_VALUE"""),45056.0)</f>
        <v>45056</v>
      </c>
      <c r="C1269" s="309">
        <f>IFERROR(__xludf.DUMMYFUNCTION("""COMPUTED_VALUE"""),0.3)</f>
        <v>0.3</v>
      </c>
      <c r="D1269" s="7" t="str">
        <f>IFERROR(__xludf.DUMMYFUNCTION("""COMPUTED_VALUE"""),"SpABRM297307")</f>
        <v>SpABRM297307</v>
      </c>
      <c r="E1269" s="310"/>
      <c r="F1269" s="310"/>
      <c r="G1269" s="310" t="str">
        <f>IFERROR(__xludf.DUMMYFUNCTION("""COMPUTED_VALUE"""),"Null")</f>
        <v>Null</v>
      </c>
      <c r="H1269" s="319" t="str">
        <f>IFERROR(__xludf.DUMMYFUNCTION("""COMPUTED_VALUE"""),"Negative")</f>
        <v>Negative</v>
      </c>
      <c r="I1269" s="319"/>
      <c r="J1269" s="54"/>
      <c r="K1269" s="54">
        <f>IFERROR(__xludf.DUMMYFUNCTION("""COMPUTED_VALUE"""),2.2)</f>
        <v>2.2</v>
      </c>
      <c r="L1269" s="7"/>
      <c r="M1269" s="312"/>
      <c r="N1269" s="172">
        <f>IFERROR(__xludf.DUMMYFUNCTION("""COMPUTED_VALUE"""),3.0)</f>
        <v>3</v>
      </c>
      <c r="O1269" s="172"/>
      <c r="P1269" s="313">
        <f>IFERROR(__xludf.DUMMYFUNCTION("""COMPUTED_VALUE"""),-1.0)</f>
        <v>-1</v>
      </c>
      <c r="Q1269" s="76" t="b">
        <f>VLOOKUP($B1269,'Run Reconcile'!B$2:O1399,14,FALSE)</f>
        <v>1</v>
      </c>
      <c r="R1269" s="314" t="str">
        <f t="array" ref="R1269">IF($Q1269, INDEX('Run Reconcile'!A$2:A1399,MATCH(B1269,'Run Reconcile'!B$2:B1399,0),1),IFERROR(0/0,""))</f>
        <v>RUN-ABRM_2023-05-10_APS-018</v>
      </c>
      <c r="S1269" s="315" t="str">
        <f t="shared" ref="S1269:T1269" si="2275">IF(COUNTIF(W$2:W1399, $A1269) &gt; 0,TRUE,IFERROR(0/0,""))</f>
        <v/>
      </c>
      <c r="T1269" s="315" t="str">
        <f t="shared" si="2275"/>
        <v/>
      </c>
      <c r="U1269" s="114" t="str">
        <f t="array" ref="U1269">IF(ISBLANK($R1269), INDEX('Run Reconcile'!A$2:A1399, MATCH($B1269, 'Run Reconcile'!B$2:B1399, 0)+Z1269, 1), IFERROR(0/0,""))
</f>
        <v/>
      </c>
      <c r="V1269" s="316" t="str">
        <f t="shared" si="1281"/>
        <v>RUN-ABRM_2023-05-10_APS-018</v>
      </c>
      <c r="Y1269" s="317" t="str">
        <f t="shared" si="6"/>
        <v/>
      </c>
      <c r="Z1269" s="83" t="str">
        <f t="shared" si="7"/>
        <v/>
      </c>
      <c r="AA1269" s="83" t="str">
        <f t="shared" si="8"/>
        <v/>
      </c>
      <c r="AB1269" s="83" t="str">
        <f t="shared" si="9"/>
        <v/>
      </c>
      <c r="AC1269" s="18"/>
      <c r="AD1269" s="18"/>
      <c r="AE1269" s="43"/>
      <c r="AF1269" s="58" t="s">
        <v>1390</v>
      </c>
      <c r="AG1269" s="55" t="b">
        <f t="shared" si="11"/>
        <v>0</v>
      </c>
    </row>
    <row r="1270">
      <c r="A1270" s="7" t="str">
        <f>IFERROR(__xludf.DUMMYFUNCTION("""COMPUTED_VALUE"""),"AR1048")</f>
        <v>AR1048</v>
      </c>
      <c r="B1270" s="308">
        <f>IFERROR(__xludf.DUMMYFUNCTION("""COMPUTED_VALUE"""),45056.0)</f>
        <v>45056</v>
      </c>
      <c r="C1270" s="309">
        <f>IFERROR(__xludf.DUMMYFUNCTION("""COMPUTED_VALUE"""),0.30846064814814816)</f>
        <v>0.3084606481</v>
      </c>
      <c r="D1270" s="7" t="str">
        <f>IFERROR(__xludf.DUMMYFUNCTION("""COMPUTED_VALUE"""),"SpABRM519188")</f>
        <v>SpABRM519188</v>
      </c>
      <c r="E1270" s="310"/>
      <c r="F1270" s="310"/>
      <c r="G1270" s="310" t="str">
        <f>IFERROR(__xludf.DUMMYFUNCTION("""COMPUTED_VALUE"""),"Negative")</f>
        <v>Negative</v>
      </c>
      <c r="H1270" s="319" t="str">
        <f>IFERROR(__xludf.DUMMYFUNCTION("""COMPUTED_VALUE"""),"Negative")</f>
        <v>Negative</v>
      </c>
      <c r="I1270" s="308">
        <f>IFERROR(__xludf.DUMMYFUNCTION("""COMPUTED_VALUE"""),45056.0)</f>
        <v>45056</v>
      </c>
      <c r="J1270" s="311">
        <f>IFERROR(__xludf.DUMMYFUNCTION("""COMPUTED_VALUE"""),0.4041550925925926)</f>
        <v>0.4041550926</v>
      </c>
      <c r="K1270" s="54"/>
      <c r="L1270" s="7"/>
      <c r="M1270" s="312"/>
      <c r="N1270" s="172">
        <f>IFERROR(__xludf.DUMMYFUNCTION("""COMPUTED_VALUE"""),1.0)</f>
        <v>1</v>
      </c>
      <c r="O1270" s="172"/>
      <c r="P1270" s="313">
        <f>IFERROR(__xludf.DUMMYFUNCTION("""COMPUTED_VALUE"""),0.0)</f>
        <v>0</v>
      </c>
      <c r="Q1270" s="76" t="b">
        <f>VLOOKUP($B1270,'Run Reconcile'!B$2:O1399,14,FALSE)</f>
        <v>1</v>
      </c>
      <c r="R1270" s="314" t="str">
        <f t="array" ref="R1270">IF($Q1270, INDEX('Run Reconcile'!A$2:A1399,MATCH(B1270,'Run Reconcile'!B$2:B1399,0),1),IFERROR(0/0,""))</f>
        <v>RUN-ABRM_2023-05-10_APS-018</v>
      </c>
      <c r="S1270" s="315" t="str">
        <f t="shared" ref="S1270:T1270" si="2276">IF(COUNTIF(W$2:W1399, $A1270) &gt; 0,TRUE,IFERROR(0/0,""))</f>
        <v/>
      </c>
      <c r="T1270" s="315" t="str">
        <f t="shared" si="2276"/>
        <v/>
      </c>
      <c r="U1270" s="114" t="str">
        <f t="array" ref="U1270">IF(ISBLANK($R1270), INDEX('Run Reconcile'!A$2:A1399, MATCH($B1270, 'Run Reconcile'!B$2:B1399, 0)+Z1270, 1), IFERROR(0/0,""))
</f>
        <v/>
      </c>
      <c r="V1270" s="316" t="str">
        <f t="shared" si="1281"/>
        <v>RUN-ABRM_2023-05-10_APS-018</v>
      </c>
      <c r="Y1270" s="317" t="str">
        <f t="shared" si="6"/>
        <v/>
      </c>
      <c r="Z1270" s="83" t="str">
        <f t="shared" si="7"/>
        <v/>
      </c>
      <c r="AA1270" s="83" t="str">
        <f t="shared" si="8"/>
        <v/>
      </c>
      <c r="AB1270" s="83" t="str">
        <f t="shared" si="9"/>
        <v/>
      </c>
      <c r="AC1270" s="18"/>
      <c r="AD1270" s="18"/>
      <c r="AE1270" s="43"/>
      <c r="AF1270" s="58" t="s">
        <v>1390</v>
      </c>
      <c r="AG1270" s="55" t="b">
        <f t="shared" si="11"/>
        <v>0</v>
      </c>
    </row>
    <row r="1271">
      <c r="A1271" s="7" t="str">
        <f>IFERROR(__xludf.DUMMYFUNCTION("""COMPUTED_VALUE"""),"AK9986")</f>
        <v>AK9986</v>
      </c>
      <c r="B1271" s="308">
        <f>IFERROR(__xludf.DUMMYFUNCTION("""COMPUTED_VALUE"""),45056.0)</f>
        <v>45056</v>
      </c>
      <c r="C1271" s="309">
        <f>IFERROR(__xludf.DUMMYFUNCTION("""COMPUTED_VALUE"""),0.33013888888888887)</f>
        <v>0.3301388889</v>
      </c>
      <c r="D1271" s="7" t="str">
        <f>IFERROR(__xludf.DUMMYFUNCTION("""COMPUTED_VALUE"""),"SpABRM841252")</f>
        <v>SpABRM841252</v>
      </c>
      <c r="E1271" s="310"/>
      <c r="F1271" s="310"/>
      <c r="G1271" s="310" t="str">
        <f>IFERROR(__xludf.DUMMYFUNCTION("""COMPUTED_VALUE"""),"Negative")</f>
        <v>Negative</v>
      </c>
      <c r="H1271" s="319" t="str">
        <f>IFERROR(__xludf.DUMMYFUNCTION("""COMPUTED_VALUE"""),"Negative")</f>
        <v>Negative</v>
      </c>
      <c r="I1271" s="308">
        <f>IFERROR(__xludf.DUMMYFUNCTION("""COMPUTED_VALUE"""),45056.0)</f>
        <v>45056</v>
      </c>
      <c r="J1271" s="311">
        <f>IFERROR(__xludf.DUMMYFUNCTION("""COMPUTED_VALUE"""),0.4041550925925926)</f>
        <v>0.4041550926</v>
      </c>
      <c r="K1271" s="54"/>
      <c r="L1271" s="7"/>
      <c r="M1271" s="312"/>
      <c r="N1271" s="172">
        <f>IFERROR(__xludf.DUMMYFUNCTION("""COMPUTED_VALUE"""),1.0)</f>
        <v>1</v>
      </c>
      <c r="O1271" s="172"/>
      <c r="P1271" s="313">
        <f>IFERROR(__xludf.DUMMYFUNCTION("""COMPUTED_VALUE"""),0.0)</f>
        <v>0</v>
      </c>
      <c r="Q1271" s="76" t="b">
        <f>VLOOKUP($B1271,'Run Reconcile'!B$2:O1399,14,FALSE)</f>
        <v>1</v>
      </c>
      <c r="R1271" s="314" t="str">
        <f t="array" ref="R1271">IF($Q1271, INDEX('Run Reconcile'!A$2:A1399,MATCH(B1271,'Run Reconcile'!B$2:B1399,0),1),IFERROR(0/0,""))</f>
        <v>RUN-ABRM_2023-05-10_APS-018</v>
      </c>
      <c r="S1271" s="315" t="str">
        <f t="shared" ref="S1271:T1271" si="2277">IF(COUNTIF(W$2:W1399, $A1271) &gt; 0,TRUE,IFERROR(0/0,""))</f>
        <v/>
      </c>
      <c r="T1271" s="315" t="str">
        <f t="shared" si="2277"/>
        <v/>
      </c>
      <c r="U1271" s="114" t="str">
        <f t="array" ref="U1271">IF(ISBLANK($R1271), INDEX('Run Reconcile'!A$2:A1399, MATCH($B1271, 'Run Reconcile'!B$2:B1399, 0)+Z1271, 1), IFERROR(0/0,""))
</f>
        <v/>
      </c>
      <c r="V1271" s="316" t="str">
        <f t="shared" si="1281"/>
        <v>RUN-ABRM_2023-05-10_APS-018</v>
      </c>
      <c r="Y1271" s="317" t="str">
        <f t="shared" si="6"/>
        <v/>
      </c>
      <c r="Z1271" s="83" t="str">
        <f t="shared" si="7"/>
        <v/>
      </c>
      <c r="AA1271" s="83" t="str">
        <f t="shared" si="8"/>
        <v/>
      </c>
      <c r="AB1271" s="83" t="str">
        <f t="shared" si="9"/>
        <v/>
      </c>
      <c r="AC1271" s="18"/>
      <c r="AD1271" s="18"/>
      <c r="AE1271" s="43"/>
      <c r="AF1271" s="58" t="s">
        <v>1390</v>
      </c>
      <c r="AG1271" s="55" t="b">
        <f t="shared" si="11"/>
        <v>0</v>
      </c>
    </row>
    <row r="1272">
      <c r="A1272" s="7" t="str">
        <f>IFERROR(__xludf.DUMMYFUNCTION("""COMPUTED_VALUE"""),"AR1071")</f>
        <v>AR1071</v>
      </c>
      <c r="B1272" s="308">
        <f>IFERROR(__xludf.DUMMYFUNCTION("""COMPUTED_VALUE"""),45056.0)</f>
        <v>45056</v>
      </c>
      <c r="C1272" s="309">
        <f>IFERROR(__xludf.DUMMYFUNCTION("""COMPUTED_VALUE"""),0.3305324074074074)</f>
        <v>0.3305324074</v>
      </c>
      <c r="D1272" s="7" t="str">
        <f>IFERROR(__xludf.DUMMYFUNCTION("""COMPUTED_VALUE"""),"SpABRM841252")</f>
        <v>SpABRM841252</v>
      </c>
      <c r="E1272" s="310"/>
      <c r="F1272" s="310"/>
      <c r="G1272" s="310" t="str">
        <f>IFERROR(__xludf.DUMMYFUNCTION("""COMPUTED_VALUE"""),"Negative")</f>
        <v>Negative</v>
      </c>
      <c r="H1272" s="319" t="str">
        <f>IFERROR(__xludf.DUMMYFUNCTION("""COMPUTED_VALUE"""),"Negative")</f>
        <v>Negative</v>
      </c>
      <c r="I1272" s="308">
        <f>IFERROR(__xludf.DUMMYFUNCTION("""COMPUTED_VALUE"""),45075.0)</f>
        <v>45075</v>
      </c>
      <c r="J1272" s="311">
        <f>IFERROR(__xludf.DUMMYFUNCTION("""COMPUTED_VALUE"""),0.3822800925925926)</f>
        <v>0.3822800926</v>
      </c>
      <c r="K1272" s="54"/>
      <c r="L1272" s="7"/>
      <c r="M1272" s="312"/>
      <c r="N1272" s="172">
        <f>IFERROR(__xludf.DUMMYFUNCTION("""COMPUTED_VALUE"""),1.0)</f>
        <v>1</v>
      </c>
      <c r="O1272" s="172"/>
      <c r="P1272" s="313">
        <f>IFERROR(__xludf.DUMMYFUNCTION("""COMPUTED_VALUE"""),19.0)</f>
        <v>19</v>
      </c>
      <c r="Q1272" s="76" t="b">
        <f>VLOOKUP($B1272,'Run Reconcile'!B$2:O1399,14,FALSE)</f>
        <v>1</v>
      </c>
      <c r="R1272" s="314" t="str">
        <f t="array" ref="R1272">IF($Q1272, INDEX('Run Reconcile'!A$2:A1399,MATCH(B1272,'Run Reconcile'!B$2:B1399,0),1),IFERROR(0/0,""))</f>
        <v>RUN-ABRM_2023-05-10_APS-018</v>
      </c>
      <c r="S1272" s="315" t="str">
        <f t="shared" ref="S1272:T1272" si="2278">IF(COUNTIF(W$2:W1399, $A1272) &gt; 0,TRUE,IFERROR(0/0,""))</f>
        <v/>
      </c>
      <c r="T1272" s="315" t="str">
        <f t="shared" si="2278"/>
        <v/>
      </c>
      <c r="U1272" s="114" t="str">
        <f t="array" ref="U1272">IF(ISBLANK($R1272), INDEX('Run Reconcile'!A$2:A1399, MATCH($B1272, 'Run Reconcile'!B$2:B1399, 0)+Z1272, 1), IFERROR(0/0,""))
</f>
        <v/>
      </c>
      <c r="V1272" s="316" t="str">
        <f t="shared" si="1281"/>
        <v>RUN-ABRM_2023-05-10_APS-018</v>
      </c>
      <c r="Y1272" s="317" t="str">
        <f t="shared" si="6"/>
        <v/>
      </c>
      <c r="Z1272" s="83" t="str">
        <f t="shared" si="7"/>
        <v/>
      </c>
      <c r="AA1272" s="83" t="str">
        <f t="shared" si="8"/>
        <v/>
      </c>
      <c r="AB1272" s="83" t="str">
        <f t="shared" si="9"/>
        <v/>
      </c>
      <c r="AC1272" s="18"/>
      <c r="AD1272" s="18"/>
      <c r="AE1272" s="43"/>
      <c r="AF1272" s="58" t="s">
        <v>1390</v>
      </c>
      <c r="AG1272" s="55" t="b">
        <f t="shared" si="11"/>
        <v>0</v>
      </c>
    </row>
    <row r="1273">
      <c r="A1273" s="7" t="str">
        <f>IFERROR(__xludf.DUMMYFUNCTION("""COMPUTED_VALUE"""),"AR1800")</f>
        <v>AR1800</v>
      </c>
      <c r="B1273" s="308">
        <f>IFERROR(__xludf.DUMMYFUNCTION("""COMPUTED_VALUE"""),45057.0)</f>
        <v>45057</v>
      </c>
      <c r="C1273" s="309">
        <f>IFERROR(__xludf.DUMMYFUNCTION("""COMPUTED_VALUE"""),0.24481481481481482)</f>
        <v>0.2448148148</v>
      </c>
      <c r="D1273" s="7" t="str">
        <f>IFERROR(__xludf.DUMMYFUNCTION("""COMPUTED_VALUE"""),"SpABRM297307")</f>
        <v>SpABRM297307</v>
      </c>
      <c r="E1273" s="310"/>
      <c r="F1273" s="310"/>
      <c r="G1273" s="310" t="str">
        <f>IFERROR(__xludf.DUMMYFUNCTION("""COMPUTED_VALUE"""),"Negative")</f>
        <v>Negative</v>
      </c>
      <c r="H1273" s="319" t="str">
        <f>IFERROR(__xludf.DUMMYFUNCTION("""COMPUTED_VALUE"""),"Negative")</f>
        <v>Negative</v>
      </c>
      <c r="I1273" s="308">
        <f>IFERROR(__xludf.DUMMYFUNCTION("""COMPUTED_VALUE"""),45075.0)</f>
        <v>45075</v>
      </c>
      <c r="J1273" s="311">
        <f>IFERROR(__xludf.DUMMYFUNCTION("""COMPUTED_VALUE"""),0.3218402777777778)</f>
        <v>0.3218402778</v>
      </c>
      <c r="K1273" s="54"/>
      <c r="L1273" s="7"/>
      <c r="M1273" s="312"/>
      <c r="N1273" s="172">
        <f>IFERROR(__xludf.DUMMYFUNCTION("""COMPUTED_VALUE"""),3.0)</f>
        <v>3</v>
      </c>
      <c r="O1273" s="172"/>
      <c r="P1273" s="313">
        <f>IFERROR(__xludf.DUMMYFUNCTION("""COMPUTED_VALUE"""),18.0)</f>
        <v>18</v>
      </c>
      <c r="Q1273" s="76" t="b">
        <f>VLOOKUP($B1273,'Run Reconcile'!B$2:O1399,14,FALSE)</f>
        <v>1</v>
      </c>
      <c r="R1273" s="314" t="str">
        <f t="array" ref="R1273">IF($Q1273, INDEX('Run Reconcile'!A$2:A1399,MATCH(B1273,'Run Reconcile'!B$2:B1399,0),1),IFERROR(0/0,""))</f>
        <v>RUN-ABRM_2023-05-11_RFR-224</v>
      </c>
      <c r="S1273" s="315" t="str">
        <f t="shared" ref="S1273:T1273" si="2279">IF(COUNTIF(W$2:W1399, $A1273) &gt; 0,TRUE,IFERROR(0/0,""))</f>
        <v/>
      </c>
      <c r="T1273" s="315" t="str">
        <f t="shared" si="2279"/>
        <v/>
      </c>
      <c r="U1273" s="114" t="str">
        <f t="array" ref="U1273">IF(ISBLANK($R1273), INDEX('Run Reconcile'!A$2:A1399, MATCH($B1273, 'Run Reconcile'!B$2:B1399, 0)+Z1273, 1), IFERROR(0/0,""))
</f>
        <v/>
      </c>
      <c r="V1273" s="316" t="str">
        <f t="shared" si="1281"/>
        <v>RUN-ABRM_2023-05-11_RFR-224</v>
      </c>
      <c r="Y1273" s="317" t="str">
        <f t="shared" si="6"/>
        <v/>
      </c>
      <c r="Z1273" s="83" t="str">
        <f t="shared" si="7"/>
        <v/>
      </c>
      <c r="AA1273" s="83" t="str">
        <f t="shared" si="8"/>
        <v/>
      </c>
      <c r="AB1273" s="83" t="str">
        <f t="shared" si="9"/>
        <v/>
      </c>
      <c r="AC1273" s="18"/>
      <c r="AD1273" s="18"/>
      <c r="AE1273" s="43"/>
      <c r="AF1273" s="58" t="s">
        <v>194</v>
      </c>
      <c r="AG1273" s="55" t="str">
        <f t="shared" si="11"/>
        <v/>
      </c>
    </row>
    <row r="1274">
      <c r="A1274" s="7" t="str">
        <f>IFERROR(__xludf.DUMMYFUNCTION("""COMPUTED_VALUE"""),"AR275")</f>
        <v>AR275</v>
      </c>
      <c r="B1274" s="308">
        <f>IFERROR(__xludf.DUMMYFUNCTION("""COMPUTED_VALUE"""),45057.0)</f>
        <v>45057</v>
      </c>
      <c r="C1274" s="309">
        <f>IFERROR(__xludf.DUMMYFUNCTION("""COMPUTED_VALUE"""),0.2862037037037037)</f>
        <v>0.2862037037</v>
      </c>
      <c r="D1274" s="7" t="str">
        <f>IFERROR(__xludf.DUMMYFUNCTION("""COMPUTED_VALUE"""),"SpABRM128250")</f>
        <v>SpABRM128250</v>
      </c>
      <c r="E1274" s="310"/>
      <c r="F1274" s="310"/>
      <c r="G1274" s="310" t="str">
        <f>IFERROR(__xludf.DUMMYFUNCTION("""COMPUTED_VALUE"""),"Negative")</f>
        <v>Negative</v>
      </c>
      <c r="H1274" s="319" t="str">
        <f>IFERROR(__xludf.DUMMYFUNCTION("""COMPUTED_VALUE"""),"Negative")</f>
        <v>Negative</v>
      </c>
      <c r="I1274" s="308">
        <f>IFERROR(__xludf.DUMMYFUNCTION("""COMPUTED_VALUE"""),45075.0)</f>
        <v>45075</v>
      </c>
      <c r="J1274" s="311">
        <f>IFERROR(__xludf.DUMMYFUNCTION("""COMPUTED_VALUE"""),0.3218402777777778)</f>
        <v>0.3218402778</v>
      </c>
      <c r="K1274" s="54"/>
      <c r="L1274" s="7"/>
      <c r="M1274" s="312"/>
      <c r="N1274" s="172">
        <f>IFERROR(__xludf.DUMMYFUNCTION("""COMPUTED_VALUE"""),3.0)</f>
        <v>3</v>
      </c>
      <c r="O1274" s="172"/>
      <c r="P1274" s="313">
        <f>IFERROR(__xludf.DUMMYFUNCTION("""COMPUTED_VALUE"""),18.0)</f>
        <v>18</v>
      </c>
      <c r="Q1274" s="76" t="b">
        <f>VLOOKUP($B1274,'Run Reconcile'!B$2:O1399,14,FALSE)</f>
        <v>1</v>
      </c>
      <c r="R1274" s="314" t="str">
        <f t="array" ref="R1274">IF($Q1274, INDEX('Run Reconcile'!A$2:A1399,MATCH(B1274,'Run Reconcile'!B$2:B1399,0),1),IFERROR(0/0,""))</f>
        <v>RUN-ABRM_2023-05-11_RFR-224</v>
      </c>
      <c r="S1274" s="315" t="str">
        <f t="shared" ref="S1274:T1274" si="2280">IF(COUNTIF(W$2:W1399, $A1274) &gt; 0,TRUE,IFERROR(0/0,""))</f>
        <v/>
      </c>
      <c r="T1274" s="315" t="str">
        <f t="shared" si="2280"/>
        <v/>
      </c>
      <c r="U1274" s="114" t="str">
        <f t="array" ref="U1274">IF(ISBLANK($R1274), INDEX('Run Reconcile'!A$2:A1399, MATCH($B1274, 'Run Reconcile'!B$2:B1399, 0)+Z1274, 1), IFERROR(0/0,""))
</f>
        <v/>
      </c>
      <c r="V1274" s="316" t="str">
        <f t="shared" si="1281"/>
        <v>RUN-ABRM_2023-05-11_RFR-224</v>
      </c>
      <c r="Y1274" s="317" t="str">
        <f t="shared" si="6"/>
        <v/>
      </c>
      <c r="Z1274" s="83" t="str">
        <f t="shared" si="7"/>
        <v/>
      </c>
      <c r="AA1274" s="83" t="str">
        <f t="shared" si="8"/>
        <v/>
      </c>
      <c r="AB1274" s="83" t="str">
        <f t="shared" si="9"/>
        <v/>
      </c>
      <c r="AC1274" s="18"/>
      <c r="AD1274" s="18"/>
      <c r="AE1274" s="43"/>
      <c r="AF1274" s="58" t="s">
        <v>194</v>
      </c>
      <c r="AG1274" s="55" t="str">
        <f t="shared" si="11"/>
        <v/>
      </c>
    </row>
    <row r="1275">
      <c r="A1275" s="7" t="str">
        <f>IFERROR(__xludf.DUMMYFUNCTION("""COMPUTED_VALUE"""),"AR859")</f>
        <v>AR859</v>
      </c>
      <c r="B1275" s="308">
        <f>IFERROR(__xludf.DUMMYFUNCTION("""COMPUTED_VALUE"""),45057.0)</f>
        <v>45057</v>
      </c>
      <c r="C1275" s="309">
        <f>IFERROR(__xludf.DUMMYFUNCTION("""COMPUTED_VALUE"""),0.30385416666666665)</f>
        <v>0.3038541667</v>
      </c>
      <c r="D1275" s="7" t="str">
        <f>IFERROR(__xludf.DUMMYFUNCTION("""COMPUTED_VALUE"""),"SpABRM367540")</f>
        <v>SpABRM367540</v>
      </c>
      <c r="E1275" s="310"/>
      <c r="F1275" s="310"/>
      <c r="G1275" s="310" t="str">
        <f>IFERROR(__xludf.DUMMYFUNCTION("""COMPUTED_VALUE"""),"Null")</f>
        <v>Null</v>
      </c>
      <c r="H1275" s="319" t="str">
        <f>IFERROR(__xludf.DUMMYFUNCTION("""COMPUTED_VALUE"""),"Negative")</f>
        <v>Negative</v>
      </c>
      <c r="I1275" s="319"/>
      <c r="J1275" s="54"/>
      <c r="K1275" s="54">
        <f>IFERROR(__xludf.DUMMYFUNCTION("""COMPUTED_VALUE"""),2.0)</f>
        <v>2</v>
      </c>
      <c r="L1275" s="7"/>
      <c r="M1275" s="312"/>
      <c r="N1275" s="172">
        <f>IFERROR(__xludf.DUMMYFUNCTION("""COMPUTED_VALUE"""),3.0)</f>
        <v>3</v>
      </c>
      <c r="O1275" s="172"/>
      <c r="P1275" s="313">
        <f>IFERROR(__xludf.DUMMYFUNCTION("""COMPUTED_VALUE"""),-1.0)</f>
        <v>-1</v>
      </c>
      <c r="Q1275" s="76" t="b">
        <f>VLOOKUP($B1275,'Run Reconcile'!B$2:O1399,14,FALSE)</f>
        <v>1</v>
      </c>
      <c r="R1275" s="314" t="str">
        <f t="array" ref="R1275">IF($Q1275, INDEX('Run Reconcile'!A$2:A1399,MATCH(B1275,'Run Reconcile'!B$2:B1399,0),1),IFERROR(0/0,""))</f>
        <v>RUN-ABRM_2023-05-11_RFR-224</v>
      </c>
      <c r="S1275" s="315" t="str">
        <f t="shared" ref="S1275:T1275" si="2281">IF(COUNTIF(W$2:W1399, $A1275) &gt; 0,TRUE,IFERROR(0/0,""))</f>
        <v/>
      </c>
      <c r="T1275" s="315" t="str">
        <f t="shared" si="2281"/>
        <v/>
      </c>
      <c r="U1275" s="114" t="str">
        <f t="array" ref="U1275">IF(ISBLANK($R1275), INDEX('Run Reconcile'!A$2:A1399, MATCH($B1275, 'Run Reconcile'!B$2:B1399, 0)+Z1275, 1), IFERROR(0/0,""))
</f>
        <v/>
      </c>
      <c r="V1275" s="316" t="str">
        <f t="shared" si="1281"/>
        <v>RUN-ABRM_2023-05-11_RFR-224</v>
      </c>
      <c r="Y1275" s="317" t="str">
        <f t="shared" si="6"/>
        <v/>
      </c>
      <c r="Z1275" s="83" t="str">
        <f t="shared" si="7"/>
        <v/>
      </c>
      <c r="AA1275" s="83" t="str">
        <f t="shared" si="8"/>
        <v/>
      </c>
      <c r="AB1275" s="83" t="str">
        <f t="shared" si="9"/>
        <v/>
      </c>
      <c r="AC1275" s="18"/>
      <c r="AD1275" s="18"/>
      <c r="AE1275" s="43"/>
      <c r="AF1275" s="58" t="s">
        <v>194</v>
      </c>
      <c r="AG1275" s="55" t="str">
        <f t="shared" si="11"/>
        <v/>
      </c>
    </row>
    <row r="1276">
      <c r="A1276" s="7" t="str">
        <f>IFERROR(__xludf.DUMMYFUNCTION("""COMPUTED_VALUE"""),"AR359")</f>
        <v>AR359</v>
      </c>
      <c r="B1276" s="308">
        <f>IFERROR(__xludf.DUMMYFUNCTION("""COMPUTED_VALUE"""),45057.0)</f>
        <v>45057</v>
      </c>
      <c r="C1276" s="309">
        <f>IFERROR(__xludf.DUMMYFUNCTION("""COMPUTED_VALUE"""),0.30788194444444444)</f>
        <v>0.3078819444</v>
      </c>
      <c r="D1276" s="7" t="str">
        <f>IFERROR(__xludf.DUMMYFUNCTION("""COMPUTED_VALUE"""),"SpABRM519188")</f>
        <v>SpABRM519188</v>
      </c>
      <c r="E1276" s="310"/>
      <c r="F1276" s="310"/>
      <c r="G1276" s="310" t="str">
        <f>IFERROR(__xludf.DUMMYFUNCTION("""COMPUTED_VALUE"""),"Negative")</f>
        <v>Negative</v>
      </c>
      <c r="H1276" s="319" t="str">
        <f>IFERROR(__xludf.DUMMYFUNCTION("""COMPUTED_VALUE"""),"Negative")</f>
        <v>Negative</v>
      </c>
      <c r="I1276" s="308">
        <f>IFERROR(__xludf.DUMMYFUNCTION("""COMPUTED_VALUE"""),45075.0)</f>
        <v>45075</v>
      </c>
      <c r="J1276" s="311">
        <f>IFERROR(__xludf.DUMMYFUNCTION("""COMPUTED_VALUE"""),0.3218402777777778)</f>
        <v>0.3218402778</v>
      </c>
      <c r="K1276" s="54"/>
      <c r="L1276" s="7"/>
      <c r="M1276" s="312"/>
      <c r="N1276" s="172">
        <f>IFERROR(__xludf.DUMMYFUNCTION("""COMPUTED_VALUE"""),1.0)</f>
        <v>1</v>
      </c>
      <c r="O1276" s="172"/>
      <c r="P1276" s="313">
        <f>IFERROR(__xludf.DUMMYFUNCTION("""COMPUTED_VALUE"""),18.0)</f>
        <v>18</v>
      </c>
      <c r="Q1276" s="76" t="b">
        <f>VLOOKUP($B1276,'Run Reconcile'!B$2:O1399,14,FALSE)</f>
        <v>1</v>
      </c>
      <c r="R1276" s="314" t="str">
        <f t="array" ref="R1276">IF($Q1276, INDEX('Run Reconcile'!A$2:A1399,MATCH(B1276,'Run Reconcile'!B$2:B1399,0),1),IFERROR(0/0,""))</f>
        <v>RUN-ABRM_2023-05-11_RFR-224</v>
      </c>
      <c r="S1276" s="315" t="str">
        <f t="shared" ref="S1276:T1276" si="2282">IF(COUNTIF(W$2:W1399, $A1276) &gt; 0,TRUE,IFERROR(0/0,""))</f>
        <v/>
      </c>
      <c r="T1276" s="315" t="str">
        <f t="shared" si="2282"/>
        <v/>
      </c>
      <c r="U1276" s="114" t="str">
        <f t="array" ref="U1276">IF(ISBLANK($R1276), INDEX('Run Reconcile'!A$2:A1399, MATCH($B1276, 'Run Reconcile'!B$2:B1399, 0)+Z1276, 1), IFERROR(0/0,""))
</f>
        <v/>
      </c>
      <c r="V1276" s="316" t="str">
        <f t="shared" si="1281"/>
        <v>RUN-ABRM_2023-05-11_RFR-224</v>
      </c>
      <c r="Y1276" s="317" t="str">
        <f t="shared" si="6"/>
        <v/>
      </c>
      <c r="Z1276" s="83" t="str">
        <f t="shared" si="7"/>
        <v/>
      </c>
      <c r="AA1276" s="83" t="str">
        <f t="shared" si="8"/>
        <v/>
      </c>
      <c r="AB1276" s="83" t="str">
        <f t="shared" si="9"/>
        <v/>
      </c>
      <c r="AC1276" s="18"/>
      <c r="AD1276" s="18"/>
      <c r="AE1276" s="43"/>
      <c r="AF1276" s="58" t="s">
        <v>194</v>
      </c>
      <c r="AG1276" s="55" t="str">
        <f t="shared" si="11"/>
        <v/>
      </c>
    </row>
    <row r="1277">
      <c r="A1277" s="7" t="str">
        <f>IFERROR(__xludf.DUMMYFUNCTION("""COMPUTED_VALUE"""),"AR1007")</f>
        <v>AR1007</v>
      </c>
      <c r="B1277" s="308">
        <f>IFERROR(__xludf.DUMMYFUNCTION("""COMPUTED_VALUE"""),45057.0)</f>
        <v>45057</v>
      </c>
      <c r="C1277" s="309">
        <f>IFERROR(__xludf.DUMMYFUNCTION("""COMPUTED_VALUE"""),0.33350694444444445)</f>
        <v>0.3335069444</v>
      </c>
      <c r="D1277" s="7" t="str">
        <f>IFERROR(__xludf.DUMMYFUNCTION("""COMPUTED_VALUE"""),"SpABRM841252")</f>
        <v>SpABRM841252</v>
      </c>
      <c r="E1277" s="310"/>
      <c r="F1277" s="310"/>
      <c r="G1277" s="310" t="str">
        <f>IFERROR(__xludf.DUMMYFUNCTION("""COMPUTED_VALUE"""),"Negative")</f>
        <v>Negative</v>
      </c>
      <c r="H1277" s="319" t="str">
        <f>IFERROR(__xludf.DUMMYFUNCTION("""COMPUTED_VALUE"""),"Negative")</f>
        <v>Negative</v>
      </c>
      <c r="I1277" s="308">
        <f>IFERROR(__xludf.DUMMYFUNCTION("""COMPUTED_VALUE"""),45075.0)</f>
        <v>45075</v>
      </c>
      <c r="J1277" s="311">
        <f>IFERROR(__xludf.DUMMYFUNCTION("""COMPUTED_VALUE"""),0.3218402777777778)</f>
        <v>0.3218402778</v>
      </c>
      <c r="K1277" s="54"/>
      <c r="L1277" s="7"/>
      <c r="M1277" s="312"/>
      <c r="N1277" s="172">
        <f>IFERROR(__xludf.DUMMYFUNCTION("""COMPUTED_VALUE"""),1.0)</f>
        <v>1</v>
      </c>
      <c r="O1277" s="172"/>
      <c r="P1277" s="313">
        <f>IFERROR(__xludf.DUMMYFUNCTION("""COMPUTED_VALUE"""),18.0)</f>
        <v>18</v>
      </c>
      <c r="Q1277" s="76" t="b">
        <f>VLOOKUP($B1277,'Run Reconcile'!B$2:O1399,14,FALSE)</f>
        <v>1</v>
      </c>
      <c r="R1277" s="314" t="str">
        <f t="array" ref="R1277">IF($Q1277, INDEX('Run Reconcile'!A$2:A1399,MATCH(B1277,'Run Reconcile'!B$2:B1399,0),1),IFERROR(0/0,""))</f>
        <v>RUN-ABRM_2023-05-11_RFR-224</v>
      </c>
      <c r="S1277" s="315" t="str">
        <f t="shared" ref="S1277:T1277" si="2283">IF(COUNTIF(W$2:W1399, $A1277) &gt; 0,TRUE,IFERROR(0/0,""))</f>
        <v/>
      </c>
      <c r="T1277" s="315" t="str">
        <f t="shared" si="2283"/>
        <v/>
      </c>
      <c r="U1277" s="114" t="str">
        <f t="array" ref="U1277">IF(ISBLANK($R1277), INDEX('Run Reconcile'!A$2:A1399, MATCH($B1277, 'Run Reconcile'!B$2:B1399, 0)+Z1277, 1), IFERROR(0/0,""))
</f>
        <v/>
      </c>
      <c r="V1277" s="316" t="str">
        <f t="shared" si="1281"/>
        <v>RUN-ABRM_2023-05-11_RFR-224</v>
      </c>
      <c r="Y1277" s="317" t="str">
        <f t="shared" si="6"/>
        <v/>
      </c>
      <c r="Z1277" s="83" t="str">
        <f t="shared" si="7"/>
        <v/>
      </c>
      <c r="AA1277" s="83" t="str">
        <f t="shared" si="8"/>
        <v/>
      </c>
      <c r="AB1277" s="83" t="str">
        <f t="shared" si="9"/>
        <v/>
      </c>
      <c r="AC1277" s="18"/>
      <c r="AD1277" s="18"/>
      <c r="AE1277" s="43"/>
      <c r="AF1277" s="58" t="s">
        <v>194</v>
      </c>
      <c r="AG1277" s="55" t="str">
        <f t="shared" si="11"/>
        <v/>
      </c>
    </row>
    <row r="1278">
      <c r="A1278" s="7" t="str">
        <f>IFERROR(__xludf.DUMMYFUNCTION("""COMPUTED_VALUE"""),"AR1151")</f>
        <v>AR1151</v>
      </c>
      <c r="B1278" s="308">
        <f>IFERROR(__xludf.DUMMYFUNCTION("""COMPUTED_VALUE"""),45057.0)</f>
        <v>45057</v>
      </c>
      <c r="C1278" s="309">
        <f>IFERROR(__xludf.DUMMYFUNCTION("""COMPUTED_VALUE"""),0.33467592592592593)</f>
        <v>0.3346759259</v>
      </c>
      <c r="D1278" s="7" t="str">
        <f>IFERROR(__xludf.DUMMYFUNCTION("""COMPUTED_VALUE"""),"SpABRM841252")</f>
        <v>SpABRM841252</v>
      </c>
      <c r="E1278" s="310"/>
      <c r="F1278" s="310"/>
      <c r="G1278" s="310" t="str">
        <f>IFERROR(__xludf.DUMMYFUNCTION("""COMPUTED_VALUE"""),"Negative")</f>
        <v>Negative</v>
      </c>
      <c r="H1278" s="319" t="str">
        <f>IFERROR(__xludf.DUMMYFUNCTION("""COMPUTED_VALUE"""),"Negative")</f>
        <v>Negative</v>
      </c>
      <c r="I1278" s="308">
        <f>IFERROR(__xludf.DUMMYFUNCTION("""COMPUTED_VALUE"""),45075.0)</f>
        <v>45075</v>
      </c>
      <c r="J1278" s="311">
        <f>IFERROR(__xludf.DUMMYFUNCTION("""COMPUTED_VALUE"""),0.32185185185185183)</f>
        <v>0.3218518519</v>
      </c>
      <c r="K1278" s="54"/>
      <c r="L1278" s="7"/>
      <c r="M1278" s="312"/>
      <c r="N1278" s="172">
        <f>IFERROR(__xludf.DUMMYFUNCTION("""COMPUTED_VALUE"""),1.0)</f>
        <v>1</v>
      </c>
      <c r="O1278" s="172"/>
      <c r="P1278" s="313">
        <f>IFERROR(__xludf.DUMMYFUNCTION("""COMPUTED_VALUE"""),18.0)</f>
        <v>18</v>
      </c>
      <c r="Q1278" s="76" t="b">
        <f>VLOOKUP($B1278,'Run Reconcile'!B$2:O1399,14,FALSE)</f>
        <v>1</v>
      </c>
      <c r="R1278" s="314" t="str">
        <f t="array" ref="R1278">IF($Q1278, INDEX('Run Reconcile'!A$2:A1399,MATCH(B1278,'Run Reconcile'!B$2:B1399,0),1),IFERROR(0/0,""))</f>
        <v>RUN-ABRM_2023-05-11_RFR-224</v>
      </c>
      <c r="S1278" s="315" t="str">
        <f t="shared" ref="S1278:T1278" si="2284">IF(COUNTIF(W$2:W1399, $A1278) &gt; 0,TRUE,IFERROR(0/0,""))</f>
        <v/>
      </c>
      <c r="T1278" s="315" t="str">
        <f t="shared" si="2284"/>
        <v/>
      </c>
      <c r="U1278" s="114" t="str">
        <f t="array" ref="U1278">IF(ISBLANK($R1278), INDEX('Run Reconcile'!A$2:A1399, MATCH($B1278, 'Run Reconcile'!B$2:B1399, 0)+Z1278, 1), IFERROR(0/0,""))
</f>
        <v/>
      </c>
      <c r="V1278" s="316" t="str">
        <f t="shared" si="1281"/>
        <v>RUN-ABRM_2023-05-11_RFR-224</v>
      </c>
      <c r="Y1278" s="317" t="str">
        <f t="shared" si="6"/>
        <v/>
      </c>
      <c r="Z1278" s="83" t="str">
        <f t="shared" si="7"/>
        <v/>
      </c>
      <c r="AA1278" s="83" t="str">
        <f t="shared" si="8"/>
        <v/>
      </c>
      <c r="AB1278" s="83" t="str">
        <f t="shared" si="9"/>
        <v/>
      </c>
      <c r="AC1278" s="18"/>
      <c r="AD1278" s="18"/>
      <c r="AE1278" s="43"/>
      <c r="AF1278" s="58" t="s">
        <v>194</v>
      </c>
      <c r="AG1278" s="55" t="str">
        <f t="shared" si="11"/>
        <v/>
      </c>
    </row>
    <row r="1279">
      <c r="A1279" s="7" t="str">
        <f>IFERROR(__xludf.DUMMYFUNCTION("""COMPUTED_VALUE"""),"AR1632")</f>
        <v>AR1632</v>
      </c>
      <c r="B1279" s="308">
        <f>IFERROR(__xludf.DUMMYFUNCTION("""COMPUTED_VALUE"""),45058.0)</f>
        <v>45058</v>
      </c>
      <c r="C1279" s="309">
        <f>IFERROR(__xludf.DUMMYFUNCTION("""COMPUTED_VALUE"""),0.2704166666666667)</f>
        <v>0.2704166667</v>
      </c>
      <c r="D1279" s="7" t="str">
        <f>IFERROR(__xludf.DUMMYFUNCTION("""COMPUTED_VALUE"""),"SpABRM581899")</f>
        <v>SpABRM581899</v>
      </c>
      <c r="E1279" s="310"/>
      <c r="F1279" s="310"/>
      <c r="G1279" s="310" t="str">
        <f>IFERROR(__xludf.DUMMYFUNCTION("""COMPUTED_VALUE"""),"Null")</f>
        <v>Null</v>
      </c>
      <c r="H1279" s="319" t="str">
        <f>IFERROR(__xludf.DUMMYFUNCTION("""COMPUTED_VALUE"""),"Negative")</f>
        <v>Negative</v>
      </c>
      <c r="I1279" s="319"/>
      <c r="J1279" s="54"/>
      <c r="K1279" s="54">
        <f>IFERROR(__xludf.DUMMYFUNCTION("""COMPUTED_VALUE"""),2.2)</f>
        <v>2.2</v>
      </c>
      <c r="L1279" s="7"/>
      <c r="M1279" s="312"/>
      <c r="N1279" s="172">
        <f>IFERROR(__xludf.DUMMYFUNCTION("""COMPUTED_VALUE"""),3.0)</f>
        <v>3</v>
      </c>
      <c r="O1279" s="172"/>
      <c r="P1279" s="313">
        <f>IFERROR(__xludf.DUMMYFUNCTION("""COMPUTED_VALUE"""),-1.0)</f>
        <v>-1</v>
      </c>
      <c r="Q1279" s="76" t="b">
        <f>VLOOKUP($B1279,'Run Reconcile'!B$2:O1399,14,FALSE)</f>
        <v>1</v>
      </c>
      <c r="R1279" s="314" t="str">
        <f t="array" ref="R1279">IF($Q1279, INDEX('Run Reconcile'!A$2:A1399,MATCH(B1279,'Run Reconcile'!B$2:B1399,0),1),IFERROR(0/0,""))</f>
        <v>RUN-ABRM_2023-05-12_APS-019</v>
      </c>
      <c r="S1279" s="315" t="str">
        <f t="shared" ref="S1279:T1279" si="2285">IF(COUNTIF(W$2:W1399, $A1279) &gt; 0,TRUE,IFERROR(0/0,""))</f>
        <v/>
      </c>
      <c r="T1279" s="315" t="str">
        <f t="shared" si="2285"/>
        <v/>
      </c>
      <c r="U1279" s="114" t="str">
        <f t="array" ref="U1279">IF(ISBLANK($R1279), INDEX('Run Reconcile'!A$2:A1399, MATCH($B1279, 'Run Reconcile'!B$2:B1399, 0)+Z1279, 1), IFERROR(0/0,""))
</f>
        <v/>
      </c>
      <c r="V1279" s="316" t="str">
        <f t="shared" si="1281"/>
        <v>RUN-ABRM_2023-05-12_APS-019</v>
      </c>
      <c r="Y1279" s="317" t="str">
        <f t="shared" si="6"/>
        <v/>
      </c>
      <c r="Z1279" s="83" t="str">
        <f t="shared" si="7"/>
        <v/>
      </c>
      <c r="AA1279" s="83" t="str">
        <f t="shared" si="8"/>
        <v/>
      </c>
      <c r="AB1279" s="83" t="str">
        <f t="shared" si="9"/>
        <v/>
      </c>
      <c r="AC1279" s="18"/>
      <c r="AD1279" s="18"/>
      <c r="AE1279" s="43"/>
      <c r="AF1279" s="58" t="s">
        <v>1391</v>
      </c>
      <c r="AG1279" s="55" t="b">
        <f t="shared" si="11"/>
        <v>0</v>
      </c>
    </row>
    <row r="1280">
      <c r="A1280" s="7" t="str">
        <f>IFERROR(__xludf.DUMMYFUNCTION("""COMPUTED_VALUE"""),"AB9268")</f>
        <v>AB9268</v>
      </c>
      <c r="B1280" s="308">
        <f>IFERROR(__xludf.DUMMYFUNCTION("""COMPUTED_VALUE"""),45058.0)</f>
        <v>45058</v>
      </c>
      <c r="C1280" s="309">
        <f>IFERROR(__xludf.DUMMYFUNCTION("""COMPUTED_VALUE"""),0.2973032407407407)</f>
        <v>0.2973032407</v>
      </c>
      <c r="D1280" s="7" t="str">
        <f>IFERROR(__xludf.DUMMYFUNCTION("""COMPUTED_VALUE"""),"SpABRM128250")</f>
        <v>SpABRM128250</v>
      </c>
      <c r="E1280" s="310"/>
      <c r="F1280" s="310"/>
      <c r="G1280" s="310" t="str">
        <f>IFERROR(__xludf.DUMMYFUNCTION("""COMPUTED_VALUE"""),"Null")</f>
        <v>Null</v>
      </c>
      <c r="H1280" s="319" t="str">
        <f>IFERROR(__xludf.DUMMYFUNCTION("""COMPUTED_VALUE"""),"Negative")</f>
        <v>Negative</v>
      </c>
      <c r="I1280" s="319"/>
      <c r="J1280" s="54"/>
      <c r="K1280" s="54">
        <f>IFERROR(__xludf.DUMMYFUNCTION("""COMPUTED_VALUE"""),2.2)</f>
        <v>2.2</v>
      </c>
      <c r="L1280" s="7"/>
      <c r="M1280" s="312"/>
      <c r="N1280" s="172">
        <f>IFERROR(__xludf.DUMMYFUNCTION("""COMPUTED_VALUE"""),3.0)</f>
        <v>3</v>
      </c>
      <c r="O1280" s="172"/>
      <c r="P1280" s="313">
        <f>IFERROR(__xludf.DUMMYFUNCTION("""COMPUTED_VALUE"""),-1.0)</f>
        <v>-1</v>
      </c>
      <c r="Q1280" s="76" t="b">
        <f>VLOOKUP($B1280,'Run Reconcile'!B$2:O1399,14,FALSE)</f>
        <v>1</v>
      </c>
      <c r="R1280" s="314" t="str">
        <f t="array" ref="R1280">IF($Q1280, INDEX('Run Reconcile'!A$2:A1399,MATCH(B1280,'Run Reconcile'!B$2:B1399,0),1),IFERROR(0/0,""))</f>
        <v>RUN-ABRM_2023-05-12_APS-019</v>
      </c>
      <c r="S1280" s="315" t="str">
        <f t="shared" ref="S1280:T1280" si="2286">IF(COUNTIF(W$2:W1399, $A1280) &gt; 0,TRUE,IFERROR(0/0,""))</f>
        <v/>
      </c>
      <c r="T1280" s="315" t="str">
        <f t="shared" si="2286"/>
        <v/>
      </c>
      <c r="U1280" s="114" t="str">
        <f t="array" ref="U1280">IF(ISBLANK($R1280), INDEX('Run Reconcile'!A$2:A1399, MATCH($B1280, 'Run Reconcile'!B$2:B1399, 0)+Z1280, 1), IFERROR(0/0,""))
</f>
        <v/>
      </c>
      <c r="V1280" s="316" t="str">
        <f t="shared" si="1281"/>
        <v>RUN-ABRM_2023-05-12_APS-019</v>
      </c>
      <c r="Y1280" s="317" t="str">
        <f t="shared" si="6"/>
        <v/>
      </c>
      <c r="Z1280" s="83" t="str">
        <f t="shared" si="7"/>
        <v/>
      </c>
      <c r="AA1280" s="83" t="str">
        <f t="shared" si="8"/>
        <v/>
      </c>
      <c r="AB1280" s="83" t="str">
        <f t="shared" si="9"/>
        <v/>
      </c>
      <c r="AC1280" s="18"/>
      <c r="AD1280" s="18"/>
      <c r="AE1280" s="43"/>
      <c r="AF1280" s="58" t="s">
        <v>1391</v>
      </c>
      <c r="AG1280" s="55" t="b">
        <f t="shared" si="11"/>
        <v>0</v>
      </c>
    </row>
    <row r="1281">
      <c r="A1281" s="7" t="str">
        <f>IFERROR(__xludf.DUMMYFUNCTION("""COMPUTED_VALUE"""),"AB9580")</f>
        <v>AB9580</v>
      </c>
      <c r="B1281" s="308">
        <f>IFERROR(__xludf.DUMMYFUNCTION("""COMPUTED_VALUE"""),45058.0)</f>
        <v>45058</v>
      </c>
      <c r="C1281" s="309">
        <f>IFERROR(__xludf.DUMMYFUNCTION("""COMPUTED_VALUE"""),0.3201967592592593)</f>
        <v>0.3201967593</v>
      </c>
      <c r="D1281" s="7" t="str">
        <f>IFERROR(__xludf.DUMMYFUNCTION("""COMPUTED_VALUE"""),"SpABRM519188")</f>
        <v>SpABRM519188</v>
      </c>
      <c r="E1281" s="310"/>
      <c r="F1281" s="310"/>
      <c r="G1281" s="310" t="str">
        <f>IFERROR(__xludf.DUMMYFUNCTION("""COMPUTED_VALUE"""),"Null")</f>
        <v>Null</v>
      </c>
      <c r="H1281" s="319" t="str">
        <f>IFERROR(__xludf.DUMMYFUNCTION("""COMPUTED_VALUE"""),"Negative")</f>
        <v>Negative</v>
      </c>
      <c r="I1281" s="319"/>
      <c r="J1281" s="54"/>
      <c r="K1281" s="54">
        <f>IFERROR(__xludf.DUMMYFUNCTION("""COMPUTED_VALUE"""),2.2)</f>
        <v>2.2</v>
      </c>
      <c r="L1281" s="7"/>
      <c r="M1281" s="312"/>
      <c r="N1281" s="172">
        <f>IFERROR(__xludf.DUMMYFUNCTION("""COMPUTED_VALUE"""),1.0)</f>
        <v>1</v>
      </c>
      <c r="O1281" s="172"/>
      <c r="P1281" s="313">
        <f>IFERROR(__xludf.DUMMYFUNCTION("""COMPUTED_VALUE"""),-1.0)</f>
        <v>-1</v>
      </c>
      <c r="Q1281" s="76" t="b">
        <f>VLOOKUP($B1281,'Run Reconcile'!B$2:O1399,14,FALSE)</f>
        <v>1</v>
      </c>
      <c r="R1281" s="314" t="str">
        <f t="array" ref="R1281">IF($Q1281, INDEX('Run Reconcile'!A$2:A1399,MATCH(B1281,'Run Reconcile'!B$2:B1399,0),1),IFERROR(0/0,""))</f>
        <v>RUN-ABRM_2023-05-12_APS-019</v>
      </c>
      <c r="S1281" s="315" t="str">
        <f t="shared" ref="S1281:T1281" si="2287">IF(COUNTIF(W$2:W1399, $A1281) &gt; 0,TRUE,IFERROR(0/0,""))</f>
        <v/>
      </c>
      <c r="T1281" s="315" t="str">
        <f t="shared" si="2287"/>
        <v/>
      </c>
      <c r="U1281" s="114" t="str">
        <f t="array" ref="U1281">IF(ISBLANK($R1281), INDEX('Run Reconcile'!A$2:A1399, MATCH($B1281, 'Run Reconcile'!B$2:B1399, 0)+Z1281, 1), IFERROR(0/0,""))
</f>
        <v/>
      </c>
      <c r="V1281" s="316" t="str">
        <f t="shared" si="1281"/>
        <v>RUN-ABRM_2023-05-12_APS-019</v>
      </c>
      <c r="Y1281" s="317" t="str">
        <f t="shared" si="6"/>
        <v/>
      </c>
      <c r="Z1281" s="83" t="str">
        <f t="shared" si="7"/>
        <v/>
      </c>
      <c r="AA1281" s="83" t="str">
        <f t="shared" si="8"/>
        <v/>
      </c>
      <c r="AB1281" s="83" t="str">
        <f t="shared" si="9"/>
        <v/>
      </c>
      <c r="AC1281" s="18"/>
      <c r="AD1281" s="18"/>
      <c r="AE1281" s="43"/>
      <c r="AF1281" s="58" t="s">
        <v>1391</v>
      </c>
      <c r="AG1281" s="55" t="b">
        <f t="shared" si="11"/>
        <v>0</v>
      </c>
    </row>
    <row r="1282">
      <c r="A1282" s="7" t="str">
        <f>IFERROR(__xludf.DUMMYFUNCTION("""COMPUTED_VALUE"""),"AR336")</f>
        <v>AR336</v>
      </c>
      <c r="B1282" s="308">
        <f>IFERROR(__xludf.DUMMYFUNCTION("""COMPUTED_VALUE"""),45061.0)</f>
        <v>45061</v>
      </c>
      <c r="C1282" s="309">
        <f>IFERROR(__xludf.DUMMYFUNCTION("""COMPUTED_VALUE"""),0.20836805555555554)</f>
        <v>0.2083680556</v>
      </c>
      <c r="D1282" s="7" t="str">
        <f>IFERROR(__xludf.DUMMYFUNCTION("""COMPUTED_VALUE"""),"SpABRM454310")</f>
        <v>SpABRM454310</v>
      </c>
      <c r="E1282" s="310"/>
      <c r="F1282" s="310"/>
      <c r="G1282" s="310" t="str">
        <f>IFERROR(__xludf.DUMMYFUNCTION("""COMPUTED_VALUE"""),"Null")</f>
        <v>Null</v>
      </c>
      <c r="H1282" s="319" t="str">
        <f>IFERROR(__xludf.DUMMYFUNCTION("""COMPUTED_VALUE"""),"Negative")</f>
        <v>Negative</v>
      </c>
      <c r="I1282" s="319"/>
      <c r="J1282" s="54"/>
      <c r="K1282" s="54">
        <f>IFERROR(__xludf.DUMMYFUNCTION("""COMPUTED_VALUE"""),2.2)</f>
        <v>2.2</v>
      </c>
      <c r="L1282" s="7"/>
      <c r="M1282" s="312"/>
      <c r="N1282" s="172">
        <f>IFERROR(__xludf.DUMMYFUNCTION("""COMPUTED_VALUE"""),3.0)</f>
        <v>3</v>
      </c>
      <c r="O1282" s="172"/>
      <c r="P1282" s="313">
        <f>IFERROR(__xludf.DUMMYFUNCTION("""COMPUTED_VALUE"""),-1.0)</f>
        <v>-1</v>
      </c>
      <c r="Q1282" s="76" t="b">
        <f>VLOOKUP($B1282,'Run Reconcile'!B$2:O1399,14,FALSE)</f>
        <v>1</v>
      </c>
      <c r="R1282" s="314" t="str">
        <f t="array" ref="R1282">IF($Q1282, INDEX('Run Reconcile'!A$2:A1399,MATCH(B1282,'Run Reconcile'!B$2:B1399,0),1),IFERROR(0/0,""))</f>
        <v>RUN-ABRM_2023-05-15_APS-020</v>
      </c>
      <c r="S1282" s="315" t="str">
        <f t="shared" ref="S1282:T1282" si="2288">IF(COUNTIF(W$2:W1399, $A1282) &gt; 0,TRUE,IFERROR(0/0,""))</f>
        <v/>
      </c>
      <c r="T1282" s="315" t="str">
        <f t="shared" si="2288"/>
        <v/>
      </c>
      <c r="U1282" s="114" t="str">
        <f t="array" ref="U1282">IF(ISBLANK($R1282), INDEX('Run Reconcile'!A$2:A1399, MATCH($B1282, 'Run Reconcile'!B$2:B1399, 0)+Z1282, 1), IFERROR(0/0,""))
</f>
        <v/>
      </c>
      <c r="V1282" s="316" t="str">
        <f t="shared" si="1281"/>
        <v>RUN-ABRM_2023-05-15_APS-020</v>
      </c>
      <c r="Y1282" s="317" t="str">
        <f t="shared" si="6"/>
        <v/>
      </c>
      <c r="Z1282" s="83" t="str">
        <f t="shared" si="7"/>
        <v/>
      </c>
      <c r="AA1282" s="83" t="str">
        <f t="shared" si="8"/>
        <v/>
      </c>
      <c r="AB1282" s="83" t="str">
        <f t="shared" si="9"/>
        <v/>
      </c>
      <c r="AC1282" s="18"/>
      <c r="AD1282" s="18"/>
      <c r="AE1282" s="43"/>
      <c r="AF1282" s="58" t="s">
        <v>1392</v>
      </c>
      <c r="AG1282" s="55" t="b">
        <f t="shared" si="11"/>
        <v>0</v>
      </c>
    </row>
    <row r="1283">
      <c r="A1283" s="7" t="str">
        <f>IFERROR(__xludf.DUMMYFUNCTION("""COMPUTED_VALUE"""),"AR1721")</f>
        <v>AR1721</v>
      </c>
      <c r="B1283" s="308">
        <f>IFERROR(__xludf.DUMMYFUNCTION("""COMPUTED_VALUE"""),45061.0)</f>
        <v>45061</v>
      </c>
      <c r="C1283" s="309">
        <f>IFERROR(__xludf.DUMMYFUNCTION("""COMPUTED_VALUE"""),0.28306712962962965)</f>
        <v>0.2830671296</v>
      </c>
      <c r="D1283" s="7" t="str">
        <f>IFERROR(__xludf.DUMMYFUNCTION("""COMPUTED_VALUE"""),"SpABRM297307")</f>
        <v>SpABRM297307</v>
      </c>
      <c r="E1283" s="310"/>
      <c r="F1283" s="310"/>
      <c r="G1283" s="310" t="str">
        <f>IFERROR(__xludf.DUMMYFUNCTION("""COMPUTED_VALUE"""),"Null")</f>
        <v>Null</v>
      </c>
      <c r="H1283" s="319" t="str">
        <f>IFERROR(__xludf.DUMMYFUNCTION("""COMPUTED_VALUE"""),"Negative")</f>
        <v>Negative</v>
      </c>
      <c r="I1283" s="319"/>
      <c r="J1283" s="54"/>
      <c r="K1283" s="54">
        <f>IFERROR(__xludf.DUMMYFUNCTION("""COMPUTED_VALUE"""),2.2)</f>
        <v>2.2</v>
      </c>
      <c r="L1283" s="7"/>
      <c r="M1283" s="312"/>
      <c r="N1283" s="172">
        <f>IFERROR(__xludf.DUMMYFUNCTION("""COMPUTED_VALUE"""),4.0)</f>
        <v>4</v>
      </c>
      <c r="O1283" s="172"/>
      <c r="P1283" s="313">
        <f>IFERROR(__xludf.DUMMYFUNCTION("""COMPUTED_VALUE"""),-1.0)</f>
        <v>-1</v>
      </c>
      <c r="Q1283" s="76" t="b">
        <f>VLOOKUP($B1283,'Run Reconcile'!B$2:O1399,14,FALSE)</f>
        <v>1</v>
      </c>
      <c r="R1283" s="314" t="str">
        <f t="array" ref="R1283">IF($Q1283, INDEX('Run Reconcile'!A$2:A1399,MATCH(B1283,'Run Reconcile'!B$2:B1399,0),1),IFERROR(0/0,""))</f>
        <v>RUN-ABRM_2023-05-15_APS-020</v>
      </c>
      <c r="S1283" s="315" t="str">
        <f t="shared" ref="S1283:T1283" si="2289">IF(COUNTIF(W$2:W1399, $A1283) &gt; 0,TRUE,IFERROR(0/0,""))</f>
        <v/>
      </c>
      <c r="T1283" s="315" t="str">
        <f t="shared" si="2289"/>
        <v/>
      </c>
      <c r="U1283" s="114" t="str">
        <f t="array" ref="U1283">IF(ISBLANK($R1283), INDEX('Run Reconcile'!A$2:A1399, MATCH($B1283, 'Run Reconcile'!B$2:B1399, 0)+Z1283, 1), IFERROR(0/0,""))
</f>
        <v/>
      </c>
      <c r="V1283" s="316" t="str">
        <f t="shared" si="1281"/>
        <v>RUN-ABRM_2023-05-15_APS-020</v>
      </c>
      <c r="Y1283" s="317" t="str">
        <f t="shared" si="6"/>
        <v/>
      </c>
      <c r="Z1283" s="83" t="str">
        <f t="shared" si="7"/>
        <v/>
      </c>
      <c r="AA1283" s="83" t="str">
        <f t="shared" si="8"/>
        <v/>
      </c>
      <c r="AB1283" s="83" t="str">
        <f t="shared" si="9"/>
        <v/>
      </c>
      <c r="AC1283" s="18"/>
      <c r="AD1283" s="18"/>
      <c r="AE1283" s="43"/>
      <c r="AF1283" s="58" t="s">
        <v>1392</v>
      </c>
      <c r="AG1283" s="55" t="b">
        <f t="shared" si="11"/>
        <v>0</v>
      </c>
    </row>
    <row r="1284">
      <c r="A1284" s="7" t="str">
        <f>IFERROR(__xludf.DUMMYFUNCTION("""COMPUTED_VALUE"""),"AR1335")</f>
        <v>AR1335</v>
      </c>
      <c r="B1284" s="308">
        <f>IFERROR(__xludf.DUMMYFUNCTION("""COMPUTED_VALUE"""),45061.0)</f>
        <v>45061</v>
      </c>
      <c r="C1284" s="309">
        <f>IFERROR(__xludf.DUMMYFUNCTION("""COMPUTED_VALUE"""),0.29487268518518517)</f>
        <v>0.2948726852</v>
      </c>
      <c r="D1284" s="7" t="str">
        <f>IFERROR(__xludf.DUMMYFUNCTION("""COMPUTED_VALUE"""),"SpABRM128250")</f>
        <v>SpABRM128250</v>
      </c>
      <c r="E1284" s="310"/>
      <c r="F1284" s="310"/>
      <c r="G1284" s="310" t="str">
        <f>IFERROR(__xludf.DUMMYFUNCTION("""COMPUTED_VALUE"""),"Null")</f>
        <v>Null</v>
      </c>
      <c r="H1284" s="319" t="str">
        <f>IFERROR(__xludf.DUMMYFUNCTION("""COMPUTED_VALUE"""),"Negative")</f>
        <v>Negative</v>
      </c>
      <c r="I1284" s="319"/>
      <c r="J1284" s="54"/>
      <c r="K1284" s="54">
        <f>IFERROR(__xludf.DUMMYFUNCTION("""COMPUTED_VALUE"""),2.2)</f>
        <v>2.2</v>
      </c>
      <c r="L1284" s="7"/>
      <c r="M1284" s="312"/>
      <c r="N1284" s="172">
        <f>IFERROR(__xludf.DUMMYFUNCTION("""COMPUTED_VALUE"""),3.0)</f>
        <v>3</v>
      </c>
      <c r="O1284" s="172"/>
      <c r="P1284" s="313">
        <f>IFERROR(__xludf.DUMMYFUNCTION("""COMPUTED_VALUE"""),-1.0)</f>
        <v>-1</v>
      </c>
      <c r="Q1284" s="76" t="b">
        <f>VLOOKUP($B1284,'Run Reconcile'!B$2:O1399,14,FALSE)</f>
        <v>1</v>
      </c>
      <c r="R1284" s="314" t="str">
        <f t="array" ref="R1284">IF($Q1284, INDEX('Run Reconcile'!A$2:A1399,MATCH(B1284,'Run Reconcile'!B$2:B1399,0),1),IFERROR(0/0,""))</f>
        <v>RUN-ABRM_2023-05-15_APS-020</v>
      </c>
      <c r="S1284" s="315" t="str">
        <f t="shared" ref="S1284:T1284" si="2290">IF(COUNTIF(W$2:W1399, $A1284) &gt; 0,TRUE,IFERROR(0/0,""))</f>
        <v/>
      </c>
      <c r="T1284" s="315" t="str">
        <f t="shared" si="2290"/>
        <v/>
      </c>
      <c r="U1284" s="114" t="str">
        <f t="array" ref="U1284">IF(ISBLANK($R1284), INDEX('Run Reconcile'!A$2:A1399, MATCH($B1284, 'Run Reconcile'!B$2:B1399, 0)+Z1284, 1), IFERROR(0/0,""))
</f>
        <v/>
      </c>
      <c r="V1284" s="316" t="str">
        <f t="shared" si="1281"/>
        <v>RUN-ABRM_2023-05-15_APS-020</v>
      </c>
      <c r="Y1284" s="317" t="str">
        <f t="shared" si="6"/>
        <v/>
      </c>
      <c r="Z1284" s="83" t="str">
        <f t="shared" si="7"/>
        <v/>
      </c>
      <c r="AA1284" s="83" t="str">
        <f t="shared" si="8"/>
        <v/>
      </c>
      <c r="AB1284" s="83" t="str">
        <f t="shared" si="9"/>
        <v/>
      </c>
      <c r="AC1284" s="18"/>
      <c r="AD1284" s="18"/>
      <c r="AE1284" s="43"/>
      <c r="AF1284" s="58" t="s">
        <v>1392</v>
      </c>
      <c r="AG1284" s="55" t="b">
        <f t="shared" si="11"/>
        <v>0</v>
      </c>
    </row>
    <row r="1285">
      <c r="A1285" s="7" t="str">
        <f>IFERROR(__xludf.DUMMYFUNCTION("""COMPUTED_VALUE"""),"AR1736")</f>
        <v>AR1736</v>
      </c>
      <c r="B1285" s="308">
        <f>IFERROR(__xludf.DUMMYFUNCTION("""COMPUTED_VALUE"""),45061.0)</f>
        <v>45061</v>
      </c>
      <c r="C1285" s="309">
        <f>IFERROR(__xludf.DUMMYFUNCTION("""COMPUTED_VALUE"""),0.2949421296296296)</f>
        <v>0.2949421296</v>
      </c>
      <c r="D1285" s="7" t="str">
        <f>IFERROR(__xludf.DUMMYFUNCTION("""COMPUTED_VALUE"""),"SpABRM655136")</f>
        <v>SpABRM655136</v>
      </c>
      <c r="E1285" s="310"/>
      <c r="F1285" s="310"/>
      <c r="G1285" s="310" t="str">
        <f>IFERROR(__xludf.DUMMYFUNCTION("""COMPUTED_VALUE"""),"Negative")</f>
        <v>Negative</v>
      </c>
      <c r="H1285" s="319" t="str">
        <f>IFERROR(__xludf.DUMMYFUNCTION("""COMPUTED_VALUE"""),"Negative")</f>
        <v>Negative</v>
      </c>
      <c r="I1285" s="308">
        <f>IFERROR(__xludf.DUMMYFUNCTION("""COMPUTED_VALUE"""),45075.0)</f>
        <v>45075</v>
      </c>
      <c r="J1285" s="311">
        <f>IFERROR(__xludf.DUMMYFUNCTION("""COMPUTED_VALUE"""),0.32185185185185183)</f>
        <v>0.3218518519</v>
      </c>
      <c r="K1285" s="54"/>
      <c r="L1285" s="7"/>
      <c r="M1285" s="312"/>
      <c r="N1285" s="172">
        <f>IFERROR(__xludf.DUMMYFUNCTION("""COMPUTED_VALUE"""),2.0)</f>
        <v>2</v>
      </c>
      <c r="O1285" s="172"/>
      <c r="P1285" s="313">
        <f>IFERROR(__xludf.DUMMYFUNCTION("""COMPUTED_VALUE"""),14.0)</f>
        <v>14</v>
      </c>
      <c r="Q1285" s="76" t="b">
        <f>VLOOKUP($B1285,'Run Reconcile'!B$2:O1399,14,FALSE)</f>
        <v>1</v>
      </c>
      <c r="R1285" s="314" t="str">
        <f t="array" ref="R1285">IF($Q1285, INDEX('Run Reconcile'!A$2:A1399,MATCH(B1285,'Run Reconcile'!B$2:B1399,0),1),IFERROR(0/0,""))</f>
        <v>RUN-ABRM_2023-05-15_APS-020</v>
      </c>
      <c r="S1285" s="315" t="str">
        <f t="shared" ref="S1285:T1285" si="2291">IF(COUNTIF(W$2:W1399, $A1285) &gt; 0,TRUE,IFERROR(0/0,""))</f>
        <v/>
      </c>
      <c r="T1285" s="315" t="str">
        <f t="shared" si="2291"/>
        <v/>
      </c>
      <c r="U1285" s="114" t="str">
        <f t="array" ref="U1285">IF(ISBLANK($R1285), INDEX('Run Reconcile'!A$2:A1399, MATCH($B1285, 'Run Reconcile'!B$2:B1399, 0)+Z1285, 1), IFERROR(0/0,""))
</f>
        <v/>
      </c>
      <c r="V1285" s="316" t="str">
        <f t="shared" si="1281"/>
        <v>RUN-ABRM_2023-05-15_APS-020</v>
      </c>
      <c r="Y1285" s="317" t="str">
        <f t="shared" si="6"/>
        <v/>
      </c>
      <c r="Z1285" s="83" t="str">
        <f t="shared" si="7"/>
        <v/>
      </c>
      <c r="AA1285" s="83" t="str">
        <f t="shared" si="8"/>
        <v/>
      </c>
      <c r="AB1285" s="83" t="str">
        <f t="shared" si="9"/>
        <v/>
      </c>
      <c r="AC1285" s="18"/>
      <c r="AD1285" s="18"/>
      <c r="AE1285" s="43"/>
      <c r="AF1285" s="58" t="s">
        <v>1392</v>
      </c>
      <c r="AG1285" s="55" t="b">
        <f t="shared" si="11"/>
        <v>0</v>
      </c>
    </row>
    <row r="1286">
      <c r="A1286" s="7" t="str">
        <f>IFERROR(__xludf.DUMMYFUNCTION("""COMPUTED_VALUE"""),"AR1510")</f>
        <v>AR1510</v>
      </c>
      <c r="B1286" s="308">
        <f>IFERROR(__xludf.DUMMYFUNCTION("""COMPUTED_VALUE"""),45061.0)</f>
        <v>45061</v>
      </c>
      <c r="C1286" s="309">
        <f>IFERROR(__xludf.DUMMYFUNCTION("""COMPUTED_VALUE"""),0.32188657407407406)</f>
        <v>0.3218865741</v>
      </c>
      <c r="D1286" s="7" t="str">
        <f>IFERROR(__xludf.DUMMYFUNCTION("""COMPUTED_VALUE"""),"SpABRM519188")</f>
        <v>SpABRM519188</v>
      </c>
      <c r="E1286" s="310"/>
      <c r="F1286" s="310"/>
      <c r="G1286" s="310" t="str">
        <f>IFERROR(__xludf.DUMMYFUNCTION("""COMPUTED_VALUE"""),"Null")</f>
        <v>Null</v>
      </c>
      <c r="H1286" s="319" t="str">
        <f>IFERROR(__xludf.DUMMYFUNCTION("""COMPUTED_VALUE"""),"Negative")</f>
        <v>Negative</v>
      </c>
      <c r="I1286" s="319"/>
      <c r="J1286" s="54"/>
      <c r="K1286" s="54">
        <f>IFERROR(__xludf.DUMMYFUNCTION("""COMPUTED_VALUE"""),2.2)</f>
        <v>2.2</v>
      </c>
      <c r="L1286" s="7"/>
      <c r="M1286" s="312"/>
      <c r="N1286" s="172">
        <f>IFERROR(__xludf.DUMMYFUNCTION("""COMPUTED_VALUE"""),1.0)</f>
        <v>1</v>
      </c>
      <c r="O1286" s="172"/>
      <c r="P1286" s="313">
        <f>IFERROR(__xludf.DUMMYFUNCTION("""COMPUTED_VALUE"""),-1.0)</f>
        <v>-1</v>
      </c>
      <c r="Q1286" s="76" t="b">
        <f>VLOOKUP($B1286,'Run Reconcile'!B$2:O1399,14,FALSE)</f>
        <v>1</v>
      </c>
      <c r="R1286" s="314" t="str">
        <f t="array" ref="R1286">IF($Q1286, INDEX('Run Reconcile'!A$2:A1399,MATCH(B1286,'Run Reconcile'!B$2:B1399,0),1),IFERROR(0/0,""))</f>
        <v>RUN-ABRM_2023-05-15_APS-020</v>
      </c>
      <c r="S1286" s="315" t="str">
        <f t="shared" ref="S1286:T1286" si="2292">IF(COUNTIF(W$2:W1399, $A1286) &gt; 0,TRUE,IFERROR(0/0,""))</f>
        <v/>
      </c>
      <c r="T1286" s="315" t="str">
        <f t="shared" si="2292"/>
        <v/>
      </c>
      <c r="U1286" s="114" t="str">
        <f t="array" ref="U1286">IF(ISBLANK($R1286), INDEX('Run Reconcile'!A$2:A1399, MATCH($B1286, 'Run Reconcile'!B$2:B1399, 0)+Z1286, 1), IFERROR(0/0,""))
</f>
        <v/>
      </c>
      <c r="V1286" s="316" t="str">
        <f t="shared" si="1281"/>
        <v>RUN-ABRM_2023-05-15_APS-020</v>
      </c>
      <c r="Y1286" s="317" t="str">
        <f t="shared" si="6"/>
        <v/>
      </c>
      <c r="Z1286" s="83" t="str">
        <f t="shared" si="7"/>
        <v/>
      </c>
      <c r="AA1286" s="83" t="str">
        <f t="shared" si="8"/>
        <v/>
      </c>
      <c r="AB1286" s="83" t="str">
        <f t="shared" si="9"/>
        <v/>
      </c>
      <c r="AC1286" s="18"/>
      <c r="AD1286" s="18"/>
      <c r="AE1286" s="43"/>
      <c r="AF1286" s="58" t="s">
        <v>1392</v>
      </c>
      <c r="AG1286" s="55" t="b">
        <f t="shared" si="11"/>
        <v>0</v>
      </c>
    </row>
    <row r="1287">
      <c r="A1287" s="7" t="str">
        <f>IFERROR(__xludf.DUMMYFUNCTION("""COMPUTED_VALUE"""),"AK9587")</f>
        <v>AK9587</v>
      </c>
      <c r="B1287" s="308">
        <f>IFERROR(__xludf.DUMMYFUNCTION("""COMPUTED_VALUE"""),45062.0)</f>
        <v>45062</v>
      </c>
      <c r="C1287" s="309">
        <f>IFERROR(__xludf.DUMMYFUNCTION("""COMPUTED_VALUE"""),0.2849189814814815)</f>
        <v>0.2849189815</v>
      </c>
      <c r="D1287" s="7" t="str">
        <f>IFERROR(__xludf.DUMMYFUNCTION("""COMPUTED_VALUE"""),"SpABRM128250")</f>
        <v>SpABRM128250</v>
      </c>
      <c r="E1287" s="310"/>
      <c r="F1287" s="310"/>
      <c r="G1287" s="310" t="str">
        <f>IFERROR(__xludf.DUMMYFUNCTION("""COMPUTED_VALUE"""),"Null")</f>
        <v>Null</v>
      </c>
      <c r="H1287" s="319" t="str">
        <f>IFERROR(__xludf.DUMMYFUNCTION("""COMPUTED_VALUE"""),"Negative")</f>
        <v>Negative</v>
      </c>
      <c r="I1287" s="319"/>
      <c r="J1287" s="54"/>
      <c r="K1287" s="54">
        <f>IFERROR(__xludf.DUMMYFUNCTION("""COMPUTED_VALUE"""),2.2)</f>
        <v>2.2</v>
      </c>
      <c r="L1287" s="7"/>
      <c r="M1287" s="312"/>
      <c r="N1287" s="172">
        <f>IFERROR(__xludf.DUMMYFUNCTION("""COMPUTED_VALUE"""),2.0)</f>
        <v>2</v>
      </c>
      <c r="O1287" s="172"/>
      <c r="P1287" s="313">
        <f>IFERROR(__xludf.DUMMYFUNCTION("""COMPUTED_VALUE"""),-1.0)</f>
        <v>-1</v>
      </c>
      <c r="Q1287" s="76" t="b">
        <f>VLOOKUP($B1287,'Run Reconcile'!B$2:O1399,14,FALSE)</f>
        <v>1</v>
      </c>
      <c r="R1287" s="314" t="str">
        <f t="array" ref="R1287">IF($Q1287, INDEX('Run Reconcile'!A$2:A1399,MATCH(B1287,'Run Reconcile'!B$2:B1399,0),1),IFERROR(0/0,""))</f>
        <v>RUN-ABRM_2023-05-16_APS-021</v>
      </c>
      <c r="S1287" s="315" t="str">
        <f t="shared" ref="S1287:T1287" si="2293">IF(COUNTIF(W$2:W1399, $A1287) &gt; 0,TRUE,IFERROR(0/0,""))</f>
        <v/>
      </c>
      <c r="T1287" s="315" t="str">
        <f t="shared" si="2293"/>
        <v/>
      </c>
      <c r="U1287" s="114" t="str">
        <f t="array" ref="U1287">IF(ISBLANK($R1287), INDEX('Run Reconcile'!A$2:A1399, MATCH($B1287, 'Run Reconcile'!B$2:B1399, 0)+Z1287, 1), IFERROR(0/0,""))
</f>
        <v/>
      </c>
      <c r="V1287" s="316" t="str">
        <f t="shared" si="1281"/>
        <v>RUN-ABRM_2023-05-16_APS-021</v>
      </c>
      <c r="Y1287" s="317" t="str">
        <f t="shared" si="6"/>
        <v/>
      </c>
      <c r="Z1287" s="83" t="str">
        <f t="shared" si="7"/>
        <v/>
      </c>
      <c r="AA1287" s="83" t="str">
        <f t="shared" si="8"/>
        <v/>
      </c>
      <c r="AB1287" s="83" t="str">
        <f t="shared" si="9"/>
        <v/>
      </c>
      <c r="AC1287" s="18"/>
      <c r="AD1287" s="18"/>
      <c r="AE1287" s="43"/>
      <c r="AF1287" s="58" t="s">
        <v>1393</v>
      </c>
      <c r="AG1287" s="55" t="b">
        <f t="shared" si="11"/>
        <v>0</v>
      </c>
    </row>
    <row r="1288">
      <c r="A1288" s="7" t="str">
        <f>IFERROR(__xludf.DUMMYFUNCTION("""COMPUTED_VALUE"""),"AR1603")</f>
        <v>AR1603</v>
      </c>
      <c r="B1288" s="308">
        <f>IFERROR(__xludf.DUMMYFUNCTION("""COMPUTED_VALUE"""),45062.0)</f>
        <v>45062</v>
      </c>
      <c r="C1288" s="309">
        <f>IFERROR(__xludf.DUMMYFUNCTION("""COMPUTED_VALUE"""),0.3055555555555556)</f>
        <v>0.3055555556</v>
      </c>
      <c r="D1288" s="7" t="str">
        <f>IFERROR(__xludf.DUMMYFUNCTION("""COMPUTED_VALUE"""),"SpABRM581899")</f>
        <v>SpABRM581899</v>
      </c>
      <c r="E1288" s="310"/>
      <c r="F1288" s="310"/>
      <c r="G1288" s="310" t="str">
        <f>IFERROR(__xludf.DUMMYFUNCTION("""COMPUTED_VALUE"""),"Null")</f>
        <v>Null</v>
      </c>
      <c r="H1288" s="319" t="str">
        <f>IFERROR(__xludf.DUMMYFUNCTION("""COMPUTED_VALUE"""),"Negative")</f>
        <v>Negative</v>
      </c>
      <c r="I1288" s="319"/>
      <c r="J1288" s="54"/>
      <c r="K1288" s="54">
        <f>IFERROR(__xludf.DUMMYFUNCTION("""COMPUTED_VALUE"""),2.2)</f>
        <v>2.2</v>
      </c>
      <c r="L1288" s="7"/>
      <c r="M1288" s="312"/>
      <c r="N1288" s="172">
        <f>IFERROR(__xludf.DUMMYFUNCTION("""COMPUTED_VALUE"""),3.0)</f>
        <v>3</v>
      </c>
      <c r="O1288" s="172"/>
      <c r="P1288" s="313">
        <f>IFERROR(__xludf.DUMMYFUNCTION("""COMPUTED_VALUE"""),-1.0)</f>
        <v>-1</v>
      </c>
      <c r="Q1288" s="76" t="b">
        <f>VLOOKUP($B1288,'Run Reconcile'!B$2:O1399,14,FALSE)</f>
        <v>1</v>
      </c>
      <c r="R1288" s="314" t="str">
        <f t="array" ref="R1288">IF($Q1288, INDEX('Run Reconcile'!A$2:A1399,MATCH(B1288,'Run Reconcile'!B$2:B1399,0),1),IFERROR(0/0,""))</f>
        <v>RUN-ABRM_2023-05-16_APS-021</v>
      </c>
      <c r="S1288" s="315" t="str">
        <f t="shared" ref="S1288:T1288" si="2294">IF(COUNTIF(W$2:W1399, $A1288) &gt; 0,TRUE,IFERROR(0/0,""))</f>
        <v/>
      </c>
      <c r="T1288" s="315" t="str">
        <f t="shared" si="2294"/>
        <v/>
      </c>
      <c r="U1288" s="114" t="str">
        <f t="array" ref="U1288">IF(ISBLANK($R1288), INDEX('Run Reconcile'!A$2:A1399, MATCH($B1288, 'Run Reconcile'!B$2:B1399, 0)+Z1288, 1), IFERROR(0/0,""))
</f>
        <v/>
      </c>
      <c r="V1288" s="316" t="str">
        <f t="shared" si="1281"/>
        <v>RUN-ABRM_2023-05-16_APS-021</v>
      </c>
      <c r="Y1288" s="317" t="str">
        <f t="shared" si="6"/>
        <v/>
      </c>
      <c r="Z1288" s="83" t="str">
        <f t="shared" si="7"/>
        <v/>
      </c>
      <c r="AA1288" s="83" t="str">
        <f t="shared" si="8"/>
        <v/>
      </c>
      <c r="AB1288" s="83" t="str">
        <f t="shared" si="9"/>
        <v/>
      </c>
      <c r="AC1288" s="18"/>
      <c r="AD1288" s="18"/>
      <c r="AE1288" s="43"/>
      <c r="AF1288" s="58" t="s">
        <v>1393</v>
      </c>
      <c r="AG1288" s="55" t="b">
        <f t="shared" si="11"/>
        <v>0</v>
      </c>
    </row>
    <row r="1289">
      <c r="A1289" s="7" t="str">
        <f>IFERROR(__xludf.DUMMYFUNCTION("""COMPUTED_VALUE"""),"AK9944")</f>
        <v>AK9944</v>
      </c>
      <c r="B1289" s="308">
        <f>IFERROR(__xludf.DUMMYFUNCTION("""COMPUTED_VALUE"""),45062.0)</f>
        <v>45062</v>
      </c>
      <c r="C1289" s="309">
        <f>IFERROR(__xludf.DUMMYFUNCTION("""COMPUTED_VALUE"""),0.3057986111111111)</f>
        <v>0.3057986111</v>
      </c>
      <c r="D1289" s="7" t="str">
        <f>IFERROR(__xludf.DUMMYFUNCTION("""COMPUTED_VALUE"""),"SpABRM519188")</f>
        <v>SpABRM519188</v>
      </c>
      <c r="E1289" s="310"/>
      <c r="F1289" s="310"/>
      <c r="G1289" s="310" t="str">
        <f>IFERROR(__xludf.DUMMYFUNCTION("""COMPUTED_VALUE"""),"Null")</f>
        <v>Null</v>
      </c>
      <c r="H1289" s="319" t="str">
        <f>IFERROR(__xludf.DUMMYFUNCTION("""COMPUTED_VALUE"""),"Negative")</f>
        <v>Negative</v>
      </c>
      <c r="I1289" s="319"/>
      <c r="J1289" s="54"/>
      <c r="K1289" s="54">
        <f>IFERROR(__xludf.DUMMYFUNCTION("""COMPUTED_VALUE"""),2.2)</f>
        <v>2.2</v>
      </c>
      <c r="L1289" s="7"/>
      <c r="M1289" s="312"/>
      <c r="N1289" s="172">
        <f>IFERROR(__xludf.DUMMYFUNCTION("""COMPUTED_VALUE"""),1.0)</f>
        <v>1</v>
      </c>
      <c r="O1289" s="172"/>
      <c r="P1289" s="313">
        <f>IFERROR(__xludf.DUMMYFUNCTION("""COMPUTED_VALUE"""),-1.0)</f>
        <v>-1</v>
      </c>
      <c r="Q1289" s="76" t="b">
        <f>VLOOKUP($B1289,'Run Reconcile'!B$2:O1399,14,FALSE)</f>
        <v>1</v>
      </c>
      <c r="R1289" s="314" t="str">
        <f t="array" ref="R1289">IF($Q1289, INDEX('Run Reconcile'!A$2:A1399,MATCH(B1289,'Run Reconcile'!B$2:B1399,0),1),IFERROR(0/0,""))</f>
        <v>RUN-ABRM_2023-05-16_APS-021</v>
      </c>
      <c r="S1289" s="315" t="str">
        <f t="shared" ref="S1289:T1289" si="2295">IF(COUNTIF(W$2:W1399, $A1289) &gt; 0,TRUE,IFERROR(0/0,""))</f>
        <v/>
      </c>
      <c r="T1289" s="315" t="str">
        <f t="shared" si="2295"/>
        <v/>
      </c>
      <c r="U1289" s="114" t="str">
        <f t="array" ref="U1289">IF(ISBLANK($R1289), INDEX('Run Reconcile'!A$2:A1399, MATCH($B1289, 'Run Reconcile'!B$2:B1399, 0)+Z1289, 1), IFERROR(0/0,""))
</f>
        <v/>
      </c>
      <c r="V1289" s="316" t="str">
        <f t="shared" si="1281"/>
        <v>RUN-ABRM_2023-05-16_APS-021</v>
      </c>
      <c r="Y1289" s="317" t="str">
        <f t="shared" si="6"/>
        <v/>
      </c>
      <c r="Z1289" s="83" t="str">
        <f t="shared" si="7"/>
        <v/>
      </c>
      <c r="AA1289" s="83" t="str">
        <f t="shared" si="8"/>
        <v/>
      </c>
      <c r="AB1289" s="83" t="str">
        <f t="shared" si="9"/>
        <v/>
      </c>
      <c r="AC1289" s="18"/>
      <c r="AD1289" s="18"/>
      <c r="AE1289" s="43"/>
      <c r="AF1289" s="58" t="s">
        <v>1393</v>
      </c>
      <c r="AG1289" s="55" t="b">
        <f t="shared" si="11"/>
        <v>0</v>
      </c>
    </row>
    <row r="1290">
      <c r="A1290" s="7" t="str">
        <f>IFERROR(__xludf.DUMMYFUNCTION("""COMPUTED_VALUE"""),"AR1950")</f>
        <v>AR1950</v>
      </c>
      <c r="B1290" s="308">
        <f>IFERROR(__xludf.DUMMYFUNCTION("""COMPUTED_VALUE"""),45063.0)</f>
        <v>45063</v>
      </c>
      <c r="C1290" s="309">
        <f>IFERROR(__xludf.DUMMYFUNCTION("""COMPUTED_VALUE"""),0.23550925925925925)</f>
        <v>0.2355092593</v>
      </c>
      <c r="D1290" s="7" t="str">
        <f>IFERROR(__xludf.DUMMYFUNCTION("""COMPUTED_VALUE"""),"SpABRM454310")</f>
        <v>SpABRM454310</v>
      </c>
      <c r="E1290" s="310"/>
      <c r="F1290" s="310"/>
      <c r="G1290" s="310" t="str">
        <f>IFERROR(__xludf.DUMMYFUNCTION("""COMPUTED_VALUE"""),"Null")</f>
        <v>Null</v>
      </c>
      <c r="H1290" s="319" t="str">
        <f>IFERROR(__xludf.DUMMYFUNCTION("""COMPUTED_VALUE"""),"Negative")</f>
        <v>Negative</v>
      </c>
      <c r="I1290" s="319"/>
      <c r="J1290" s="54"/>
      <c r="K1290" s="54">
        <f>IFERROR(__xludf.DUMMYFUNCTION("""COMPUTED_VALUE"""),2.0)</f>
        <v>2</v>
      </c>
      <c r="L1290" s="7"/>
      <c r="M1290" s="312"/>
      <c r="N1290" s="172">
        <f>IFERROR(__xludf.DUMMYFUNCTION("""COMPUTED_VALUE"""),3.0)</f>
        <v>3</v>
      </c>
      <c r="O1290" s="172"/>
      <c r="P1290" s="313">
        <f>IFERROR(__xludf.DUMMYFUNCTION("""COMPUTED_VALUE"""),-1.0)</f>
        <v>-1</v>
      </c>
      <c r="Q1290" s="76" t="b">
        <f>VLOOKUP($B1290,'Run Reconcile'!B$2:O1399,14,FALSE)</f>
        <v>1</v>
      </c>
      <c r="R1290" s="314" t="str">
        <f t="array" ref="R1290">IF($Q1290, INDEX('Run Reconcile'!A$2:A1399,MATCH(B1290,'Run Reconcile'!B$2:B1399,0),1),IFERROR(0/0,""))</f>
        <v>RUN-ABRM_2023-05-17_RFR-225</v>
      </c>
      <c r="S1290" s="315" t="str">
        <f t="shared" ref="S1290:T1290" si="2296">IF(COUNTIF(W$2:W1399, $A1290) &gt; 0,TRUE,IFERROR(0/0,""))</f>
        <v/>
      </c>
      <c r="T1290" s="315" t="str">
        <f t="shared" si="2296"/>
        <v/>
      </c>
      <c r="U1290" s="114" t="str">
        <f t="array" ref="U1290">IF(ISBLANK($R1290), INDEX('Run Reconcile'!A$2:A1399, MATCH($B1290, 'Run Reconcile'!B$2:B1399, 0)+Z1290, 1), IFERROR(0/0,""))
</f>
        <v/>
      </c>
      <c r="V1290" s="316" t="str">
        <f t="shared" si="1281"/>
        <v>RUN-ABRM_2023-05-17_RFR-225</v>
      </c>
      <c r="Y1290" s="317" t="str">
        <f t="shared" si="6"/>
        <v/>
      </c>
      <c r="Z1290" s="83" t="str">
        <f t="shared" si="7"/>
        <v/>
      </c>
      <c r="AA1290" s="83" t="str">
        <f t="shared" si="8"/>
        <v/>
      </c>
      <c r="AB1290" s="83" t="str">
        <f t="shared" si="9"/>
        <v/>
      </c>
      <c r="AC1290" s="18"/>
      <c r="AD1290" s="18"/>
      <c r="AE1290" s="43"/>
      <c r="AF1290" s="58" t="s">
        <v>198</v>
      </c>
      <c r="AG1290" s="55" t="str">
        <f t="shared" si="11"/>
        <v/>
      </c>
    </row>
    <row r="1291">
      <c r="A1291" s="7" t="str">
        <f>IFERROR(__xludf.DUMMYFUNCTION("""COMPUTED_VALUE"""),"AR1773")</f>
        <v>AR1773</v>
      </c>
      <c r="B1291" s="308">
        <f>IFERROR(__xludf.DUMMYFUNCTION("""COMPUTED_VALUE"""),45063.0)</f>
        <v>45063</v>
      </c>
      <c r="C1291" s="309">
        <f>IFERROR(__xludf.DUMMYFUNCTION("""COMPUTED_VALUE"""),0.2781134259259259)</f>
        <v>0.2781134259</v>
      </c>
      <c r="D1291" s="7" t="str">
        <f>IFERROR(__xludf.DUMMYFUNCTION("""COMPUTED_VALUE"""),"SpABRM297307")</f>
        <v>SpABRM297307</v>
      </c>
      <c r="E1291" s="310"/>
      <c r="F1291" s="310"/>
      <c r="G1291" s="310" t="str">
        <f>IFERROR(__xludf.DUMMYFUNCTION("""COMPUTED_VALUE"""),"Negative")</f>
        <v>Negative</v>
      </c>
      <c r="H1291" s="319" t="str">
        <f>IFERROR(__xludf.DUMMYFUNCTION("""COMPUTED_VALUE"""),"Negative")</f>
        <v>Negative</v>
      </c>
      <c r="I1291" s="308">
        <f>IFERROR(__xludf.DUMMYFUNCTION("""COMPUTED_VALUE"""),45075.0)</f>
        <v>45075</v>
      </c>
      <c r="J1291" s="311">
        <f>IFERROR(__xludf.DUMMYFUNCTION("""COMPUTED_VALUE"""),0.32185185185185183)</f>
        <v>0.3218518519</v>
      </c>
      <c r="K1291" s="54"/>
      <c r="L1291" s="7"/>
      <c r="M1291" s="312"/>
      <c r="N1291" s="172">
        <f>IFERROR(__xludf.DUMMYFUNCTION("""COMPUTED_VALUE"""),3.0)</f>
        <v>3</v>
      </c>
      <c r="O1291" s="172"/>
      <c r="P1291" s="313">
        <f>IFERROR(__xludf.DUMMYFUNCTION("""COMPUTED_VALUE"""),12.0)</f>
        <v>12</v>
      </c>
      <c r="Q1291" s="76" t="b">
        <f>VLOOKUP($B1291,'Run Reconcile'!B$2:O1399,14,FALSE)</f>
        <v>1</v>
      </c>
      <c r="R1291" s="314" t="str">
        <f t="array" ref="R1291">IF($Q1291, INDEX('Run Reconcile'!A$2:A1399,MATCH(B1291,'Run Reconcile'!B$2:B1399,0),1),IFERROR(0/0,""))</f>
        <v>RUN-ABRM_2023-05-17_RFR-225</v>
      </c>
      <c r="S1291" s="315" t="str">
        <f t="shared" ref="S1291:T1291" si="2297">IF(COUNTIF(W$2:W1399, $A1291) &gt; 0,TRUE,IFERROR(0/0,""))</f>
        <v/>
      </c>
      <c r="T1291" s="315" t="str">
        <f t="shared" si="2297"/>
        <v/>
      </c>
      <c r="U1291" s="114" t="str">
        <f t="array" ref="U1291">IF(ISBLANK($R1291), INDEX('Run Reconcile'!A$2:A1399, MATCH($B1291, 'Run Reconcile'!B$2:B1399, 0)+Z1291, 1), IFERROR(0/0,""))
</f>
        <v/>
      </c>
      <c r="V1291" s="316" t="str">
        <f t="shared" si="1281"/>
        <v>RUN-ABRM_2023-05-17_RFR-225</v>
      </c>
      <c r="Y1291" s="317" t="str">
        <f t="shared" si="6"/>
        <v/>
      </c>
      <c r="Z1291" s="83" t="str">
        <f t="shared" si="7"/>
        <v/>
      </c>
      <c r="AA1291" s="83" t="str">
        <f t="shared" si="8"/>
        <v/>
      </c>
      <c r="AB1291" s="83" t="str">
        <f t="shared" si="9"/>
        <v/>
      </c>
      <c r="AC1291" s="18"/>
      <c r="AD1291" s="18"/>
      <c r="AE1291" s="43"/>
      <c r="AF1291" s="58" t="s">
        <v>198</v>
      </c>
      <c r="AG1291" s="55" t="str">
        <f t="shared" si="11"/>
        <v/>
      </c>
    </row>
    <row r="1292">
      <c r="A1292" s="7" t="str">
        <f>IFERROR(__xludf.DUMMYFUNCTION("""COMPUTED_VALUE"""),"AR1094")</f>
        <v>AR1094</v>
      </c>
      <c r="B1292" s="308">
        <f>IFERROR(__xludf.DUMMYFUNCTION("""COMPUTED_VALUE"""),45063.0)</f>
        <v>45063</v>
      </c>
      <c r="C1292" s="309">
        <f>IFERROR(__xludf.DUMMYFUNCTION("""COMPUTED_VALUE"""),0.28487268518518516)</f>
        <v>0.2848726852</v>
      </c>
      <c r="D1292" s="7" t="str">
        <f>IFERROR(__xludf.DUMMYFUNCTION("""COMPUTED_VALUE"""),"SpABRM581899")</f>
        <v>SpABRM581899</v>
      </c>
      <c r="E1292" s="310"/>
      <c r="F1292" s="310"/>
      <c r="G1292" s="310" t="str">
        <f>IFERROR(__xludf.DUMMYFUNCTION("""COMPUTED_VALUE"""),"Negative")</f>
        <v>Negative</v>
      </c>
      <c r="H1292" s="319" t="str">
        <f>IFERROR(__xludf.DUMMYFUNCTION("""COMPUTED_VALUE"""),"Negative")</f>
        <v>Negative</v>
      </c>
      <c r="I1292" s="308">
        <f>IFERROR(__xludf.DUMMYFUNCTION("""COMPUTED_VALUE"""),45075.0)</f>
        <v>45075</v>
      </c>
      <c r="J1292" s="311">
        <f>IFERROR(__xludf.DUMMYFUNCTION("""COMPUTED_VALUE"""),0.32186342592592593)</f>
        <v>0.3218634259</v>
      </c>
      <c r="K1292" s="54"/>
      <c r="L1292" s="7"/>
      <c r="M1292" s="312"/>
      <c r="N1292" s="172">
        <f>IFERROR(__xludf.DUMMYFUNCTION("""COMPUTED_VALUE"""),3.0)</f>
        <v>3</v>
      </c>
      <c r="O1292" s="172"/>
      <c r="P1292" s="313">
        <f>IFERROR(__xludf.DUMMYFUNCTION("""COMPUTED_VALUE"""),12.0)</f>
        <v>12</v>
      </c>
      <c r="Q1292" s="76" t="b">
        <f>VLOOKUP($B1292,'Run Reconcile'!B$2:O1399,14,FALSE)</f>
        <v>1</v>
      </c>
      <c r="R1292" s="314" t="str">
        <f t="array" ref="R1292">IF($Q1292, INDEX('Run Reconcile'!A$2:A1399,MATCH(B1292,'Run Reconcile'!B$2:B1399,0),1),IFERROR(0/0,""))</f>
        <v>RUN-ABRM_2023-05-17_RFR-225</v>
      </c>
      <c r="S1292" s="315" t="str">
        <f t="shared" ref="S1292:T1292" si="2298">IF(COUNTIF(W$2:W1399, $A1292) &gt; 0,TRUE,IFERROR(0/0,""))</f>
        <v/>
      </c>
      <c r="T1292" s="315" t="str">
        <f t="shared" si="2298"/>
        <v/>
      </c>
      <c r="U1292" s="114" t="str">
        <f t="array" ref="U1292">IF(ISBLANK($R1292), INDEX('Run Reconcile'!A$2:A1399, MATCH($B1292, 'Run Reconcile'!B$2:B1399, 0)+Z1292, 1), IFERROR(0/0,""))
</f>
        <v/>
      </c>
      <c r="V1292" s="316" t="str">
        <f t="shared" si="1281"/>
        <v>RUN-ABRM_2023-05-17_RFR-225</v>
      </c>
      <c r="Y1292" s="317" t="str">
        <f t="shared" si="6"/>
        <v/>
      </c>
      <c r="Z1292" s="83" t="str">
        <f t="shared" si="7"/>
        <v/>
      </c>
      <c r="AA1292" s="83" t="str">
        <f t="shared" si="8"/>
        <v/>
      </c>
      <c r="AB1292" s="83" t="str">
        <f t="shared" si="9"/>
        <v/>
      </c>
      <c r="AC1292" s="18"/>
      <c r="AD1292" s="18"/>
      <c r="AE1292" s="43"/>
      <c r="AF1292" s="58" t="s">
        <v>198</v>
      </c>
      <c r="AG1292" s="55" t="str">
        <f t="shared" si="11"/>
        <v/>
      </c>
    </row>
    <row r="1293">
      <c r="A1293" s="7" t="str">
        <f>IFERROR(__xludf.DUMMYFUNCTION("""COMPUTED_VALUE"""),"AK9632")</f>
        <v>AK9632</v>
      </c>
      <c r="B1293" s="308">
        <f>IFERROR(__xludf.DUMMYFUNCTION("""COMPUTED_VALUE"""),45063.0)</f>
        <v>45063</v>
      </c>
      <c r="C1293" s="309">
        <f>IFERROR(__xludf.DUMMYFUNCTION("""COMPUTED_VALUE"""),0.31122685185185184)</f>
        <v>0.3112268519</v>
      </c>
      <c r="D1293" s="7" t="str">
        <f>IFERROR(__xludf.DUMMYFUNCTION("""COMPUTED_VALUE"""),"SpABRM519188")</f>
        <v>SpABRM519188</v>
      </c>
      <c r="E1293" s="310"/>
      <c r="F1293" s="310"/>
      <c r="G1293" s="310" t="str">
        <f>IFERROR(__xludf.DUMMYFUNCTION("""COMPUTED_VALUE"""),"Negative")</f>
        <v>Negative</v>
      </c>
      <c r="H1293" s="319" t="str">
        <f>IFERROR(__xludf.DUMMYFUNCTION("""COMPUTED_VALUE"""),"Negative")</f>
        <v>Negative</v>
      </c>
      <c r="I1293" s="308">
        <f>IFERROR(__xludf.DUMMYFUNCTION("""COMPUTED_VALUE"""),45075.0)</f>
        <v>45075</v>
      </c>
      <c r="J1293" s="311">
        <f>IFERROR(__xludf.DUMMYFUNCTION("""COMPUTED_VALUE"""),0.32186342592592593)</f>
        <v>0.3218634259</v>
      </c>
      <c r="K1293" s="54"/>
      <c r="L1293" s="7"/>
      <c r="M1293" s="312"/>
      <c r="N1293" s="172">
        <f>IFERROR(__xludf.DUMMYFUNCTION("""COMPUTED_VALUE"""),1.0)</f>
        <v>1</v>
      </c>
      <c r="O1293" s="172"/>
      <c r="P1293" s="313">
        <f>IFERROR(__xludf.DUMMYFUNCTION("""COMPUTED_VALUE"""),12.0)</f>
        <v>12</v>
      </c>
      <c r="Q1293" s="76" t="b">
        <f>VLOOKUP($B1293,'Run Reconcile'!B$2:O1399,14,FALSE)</f>
        <v>1</v>
      </c>
      <c r="R1293" s="314" t="str">
        <f t="array" ref="R1293">IF($Q1293, INDEX('Run Reconcile'!A$2:A1399,MATCH(B1293,'Run Reconcile'!B$2:B1399,0),1),IFERROR(0/0,""))</f>
        <v>RUN-ABRM_2023-05-17_RFR-225</v>
      </c>
      <c r="S1293" s="315" t="str">
        <f t="shared" ref="S1293:T1293" si="2299">IF(COUNTIF(W$2:W1399, $A1293) &gt; 0,TRUE,IFERROR(0/0,""))</f>
        <v/>
      </c>
      <c r="T1293" s="315" t="str">
        <f t="shared" si="2299"/>
        <v/>
      </c>
      <c r="U1293" s="114" t="str">
        <f t="array" ref="U1293">IF(ISBLANK($R1293), INDEX('Run Reconcile'!A$2:A1399, MATCH($B1293, 'Run Reconcile'!B$2:B1399, 0)+Z1293, 1), IFERROR(0/0,""))
</f>
        <v/>
      </c>
      <c r="V1293" s="316" t="str">
        <f t="shared" si="1281"/>
        <v>RUN-ABRM_2023-05-17_RFR-225</v>
      </c>
      <c r="Y1293" s="317" t="str">
        <f t="shared" si="6"/>
        <v/>
      </c>
      <c r="Z1293" s="83" t="str">
        <f t="shared" si="7"/>
        <v/>
      </c>
      <c r="AA1293" s="83" t="str">
        <f t="shared" si="8"/>
        <v/>
      </c>
      <c r="AB1293" s="83" t="str">
        <f t="shared" si="9"/>
        <v/>
      </c>
      <c r="AC1293" s="18"/>
      <c r="AD1293" s="18"/>
      <c r="AE1293" s="43"/>
      <c r="AF1293" s="58" t="s">
        <v>198</v>
      </c>
      <c r="AG1293" s="55" t="str">
        <f t="shared" si="11"/>
        <v/>
      </c>
    </row>
    <row r="1294">
      <c r="A1294" s="7" t="str">
        <f>IFERROR(__xludf.DUMMYFUNCTION("""COMPUTED_VALUE"""),"AR1970")</f>
        <v>AR1970</v>
      </c>
      <c r="B1294" s="308">
        <f>IFERROR(__xludf.DUMMYFUNCTION("""COMPUTED_VALUE"""),45063.0)</f>
        <v>45063</v>
      </c>
      <c r="C1294" s="309">
        <f>IFERROR(__xludf.DUMMYFUNCTION("""COMPUTED_VALUE"""),0.32818287037037036)</f>
        <v>0.3281828704</v>
      </c>
      <c r="D1294" s="7" t="str">
        <f>IFERROR(__xludf.DUMMYFUNCTION("""COMPUTED_VALUE"""),"SpABRM841252")</f>
        <v>SpABRM841252</v>
      </c>
      <c r="E1294" s="310"/>
      <c r="F1294" s="310"/>
      <c r="G1294" s="310" t="str">
        <f>IFERROR(__xludf.DUMMYFUNCTION("""COMPUTED_VALUE"""),"Negative")</f>
        <v>Negative</v>
      </c>
      <c r="H1294" s="319" t="str">
        <f>IFERROR(__xludf.DUMMYFUNCTION("""COMPUTED_VALUE"""),"Negative")</f>
        <v>Negative</v>
      </c>
      <c r="I1294" s="308">
        <f>IFERROR(__xludf.DUMMYFUNCTION("""COMPUTED_VALUE"""),45075.0)</f>
        <v>45075</v>
      </c>
      <c r="J1294" s="311">
        <f>IFERROR(__xludf.DUMMYFUNCTION("""COMPUTED_VALUE"""),0.32186342592592593)</f>
        <v>0.3218634259</v>
      </c>
      <c r="K1294" s="54"/>
      <c r="L1294" s="7"/>
      <c r="M1294" s="312"/>
      <c r="N1294" s="172">
        <f>IFERROR(__xludf.DUMMYFUNCTION("""COMPUTED_VALUE"""),1.0)</f>
        <v>1</v>
      </c>
      <c r="O1294" s="172"/>
      <c r="P1294" s="313">
        <f>IFERROR(__xludf.DUMMYFUNCTION("""COMPUTED_VALUE"""),12.0)</f>
        <v>12</v>
      </c>
      <c r="Q1294" s="76" t="b">
        <f>VLOOKUP($B1294,'Run Reconcile'!B$2:O1399,14,FALSE)</f>
        <v>1</v>
      </c>
      <c r="R1294" s="314" t="str">
        <f t="array" ref="R1294">IF($Q1294, INDEX('Run Reconcile'!A$2:A1399,MATCH(B1294,'Run Reconcile'!B$2:B1399,0),1),IFERROR(0/0,""))</f>
        <v>RUN-ABRM_2023-05-17_RFR-225</v>
      </c>
      <c r="S1294" s="315" t="str">
        <f t="shared" ref="S1294:T1294" si="2300">IF(COUNTIF(W$2:W1399, $A1294) &gt; 0,TRUE,IFERROR(0/0,""))</f>
        <v/>
      </c>
      <c r="T1294" s="315" t="str">
        <f t="shared" si="2300"/>
        <v/>
      </c>
      <c r="U1294" s="114" t="str">
        <f t="array" ref="U1294">IF(ISBLANK($R1294), INDEX('Run Reconcile'!A$2:A1399, MATCH($B1294, 'Run Reconcile'!B$2:B1399, 0)+Z1294, 1), IFERROR(0/0,""))
</f>
        <v/>
      </c>
      <c r="V1294" s="316" t="str">
        <f t="shared" si="1281"/>
        <v>RUN-ABRM_2023-05-17_RFR-225</v>
      </c>
      <c r="Y1294" s="317" t="str">
        <f t="shared" si="6"/>
        <v/>
      </c>
      <c r="Z1294" s="83" t="str">
        <f t="shared" si="7"/>
        <v/>
      </c>
      <c r="AA1294" s="83" t="str">
        <f t="shared" si="8"/>
        <v/>
      </c>
      <c r="AB1294" s="83" t="str">
        <f t="shared" si="9"/>
        <v/>
      </c>
      <c r="AC1294" s="18"/>
      <c r="AD1294" s="18"/>
      <c r="AE1294" s="43"/>
      <c r="AF1294" s="58" t="s">
        <v>198</v>
      </c>
      <c r="AG1294" s="55" t="str">
        <f t="shared" si="11"/>
        <v/>
      </c>
    </row>
    <row r="1295">
      <c r="A1295" s="7" t="str">
        <f>IFERROR(__xludf.DUMMYFUNCTION("""COMPUTED_VALUE"""),"AR1258")</f>
        <v>AR1258</v>
      </c>
      <c r="B1295" s="308">
        <f>IFERROR(__xludf.DUMMYFUNCTION("""COMPUTED_VALUE"""),45064.0)</f>
        <v>45064</v>
      </c>
      <c r="C1295" s="309">
        <f>IFERROR(__xludf.DUMMYFUNCTION("""COMPUTED_VALUE"""),0.28699074074074077)</f>
        <v>0.2869907407</v>
      </c>
      <c r="D1295" s="7" t="str">
        <f>IFERROR(__xludf.DUMMYFUNCTION("""COMPUTED_VALUE"""),"SpABRM297307")</f>
        <v>SpABRM297307</v>
      </c>
      <c r="E1295" s="310"/>
      <c r="F1295" s="310"/>
      <c r="G1295" s="310" t="str">
        <f>IFERROR(__xludf.DUMMYFUNCTION("""COMPUTED_VALUE"""),"Negative")</f>
        <v>Negative</v>
      </c>
      <c r="H1295" s="319" t="str">
        <f>IFERROR(__xludf.DUMMYFUNCTION("""COMPUTED_VALUE"""),"Negative")</f>
        <v>Negative</v>
      </c>
      <c r="I1295" s="308">
        <f>IFERROR(__xludf.DUMMYFUNCTION("""COMPUTED_VALUE"""),45075.0)</f>
        <v>45075</v>
      </c>
      <c r="J1295" s="311">
        <f>IFERROR(__xludf.DUMMYFUNCTION("""COMPUTED_VALUE"""),0.321875)</f>
        <v>0.321875</v>
      </c>
      <c r="K1295" s="54"/>
      <c r="L1295" s="7"/>
      <c r="M1295" s="312"/>
      <c r="N1295" s="172">
        <f>IFERROR(__xludf.DUMMYFUNCTION("""COMPUTED_VALUE"""),3.0)</f>
        <v>3</v>
      </c>
      <c r="O1295" s="172"/>
      <c r="P1295" s="313">
        <f>IFERROR(__xludf.DUMMYFUNCTION("""COMPUTED_VALUE"""),11.0)</f>
        <v>11</v>
      </c>
      <c r="Q1295" s="76" t="b">
        <f>VLOOKUP($B1295,'Run Reconcile'!B$2:O1399,14,FALSE)</f>
        <v>1</v>
      </c>
      <c r="R1295" s="314" t="str">
        <f t="array" ref="R1295">IF($Q1295, INDEX('Run Reconcile'!A$2:A1399,MATCH(B1295,'Run Reconcile'!B$2:B1399,0),1),IFERROR(0/0,""))</f>
        <v>RUN-ABRM_2023-05-18_RFR-226</v>
      </c>
      <c r="S1295" s="315" t="str">
        <f t="shared" ref="S1295:T1295" si="2301">IF(COUNTIF(W$2:W1399, $A1295) &gt; 0,TRUE,IFERROR(0/0,""))</f>
        <v/>
      </c>
      <c r="T1295" s="315" t="str">
        <f t="shared" si="2301"/>
        <v/>
      </c>
      <c r="U1295" s="114" t="str">
        <f t="array" ref="U1295">IF(ISBLANK($R1295), INDEX('Run Reconcile'!A$2:A1399, MATCH($B1295, 'Run Reconcile'!B$2:B1399, 0)+Z1295, 1), IFERROR(0/0,""))
</f>
        <v/>
      </c>
      <c r="V1295" s="316" t="str">
        <f t="shared" si="1281"/>
        <v>RUN-ABRM_2023-05-18_RFR-226</v>
      </c>
      <c r="Y1295" s="317" t="str">
        <f t="shared" si="6"/>
        <v/>
      </c>
      <c r="Z1295" s="83" t="str">
        <f t="shared" si="7"/>
        <v/>
      </c>
      <c r="AA1295" s="83" t="str">
        <f t="shared" si="8"/>
        <v/>
      </c>
      <c r="AB1295" s="83" t="str">
        <f t="shared" si="9"/>
        <v/>
      </c>
      <c r="AC1295" s="18"/>
      <c r="AD1295" s="18"/>
      <c r="AE1295" s="43"/>
      <c r="AF1295" s="58" t="s">
        <v>199</v>
      </c>
      <c r="AG1295" s="55" t="str">
        <f t="shared" si="11"/>
        <v/>
      </c>
    </row>
    <row r="1296">
      <c r="A1296" s="7" t="str">
        <f>IFERROR(__xludf.DUMMYFUNCTION("""COMPUTED_VALUE"""),"AB9979")</f>
        <v>AB9979</v>
      </c>
      <c r="B1296" s="308">
        <f>IFERROR(__xludf.DUMMYFUNCTION("""COMPUTED_VALUE"""),45064.0)</f>
        <v>45064</v>
      </c>
      <c r="C1296" s="309">
        <f>IFERROR(__xludf.DUMMYFUNCTION("""COMPUTED_VALUE"""),0.2981828703703704)</f>
        <v>0.2981828704</v>
      </c>
      <c r="D1296" s="7" t="str">
        <f>IFERROR(__xludf.DUMMYFUNCTION("""COMPUTED_VALUE"""),"SpABRM128250")</f>
        <v>SpABRM128250</v>
      </c>
      <c r="E1296" s="310"/>
      <c r="F1296" s="310"/>
      <c r="G1296" s="310" t="str">
        <f>IFERROR(__xludf.DUMMYFUNCTION("""COMPUTED_VALUE"""),"Negative")</f>
        <v>Negative</v>
      </c>
      <c r="H1296" s="319" t="str">
        <f>IFERROR(__xludf.DUMMYFUNCTION("""COMPUTED_VALUE"""),"Negative")</f>
        <v>Negative</v>
      </c>
      <c r="I1296" s="308">
        <f>IFERROR(__xludf.DUMMYFUNCTION("""COMPUTED_VALUE"""),45075.0)</f>
        <v>45075</v>
      </c>
      <c r="J1296" s="311">
        <f>IFERROR(__xludf.DUMMYFUNCTION("""COMPUTED_VALUE"""),0.321875)</f>
        <v>0.321875</v>
      </c>
      <c r="K1296" s="54"/>
      <c r="L1296" s="7"/>
      <c r="M1296" s="312"/>
      <c r="N1296" s="172">
        <f>IFERROR(__xludf.DUMMYFUNCTION("""COMPUTED_VALUE"""),3.0)</f>
        <v>3</v>
      </c>
      <c r="O1296" s="172"/>
      <c r="P1296" s="313">
        <f>IFERROR(__xludf.DUMMYFUNCTION("""COMPUTED_VALUE"""),11.0)</f>
        <v>11</v>
      </c>
      <c r="Q1296" s="76" t="b">
        <f>VLOOKUP($B1296,'Run Reconcile'!B$2:O1399,14,FALSE)</f>
        <v>1</v>
      </c>
      <c r="R1296" s="314" t="str">
        <f t="array" ref="R1296">IF($Q1296, INDEX('Run Reconcile'!A$2:A1399,MATCH(B1296,'Run Reconcile'!B$2:B1399,0),1),IFERROR(0/0,""))</f>
        <v>RUN-ABRM_2023-05-18_RFR-226</v>
      </c>
      <c r="S1296" s="315" t="str">
        <f t="shared" ref="S1296:T1296" si="2302">IF(COUNTIF(W$2:W1399, $A1296) &gt; 0,TRUE,IFERROR(0/0,""))</f>
        <v/>
      </c>
      <c r="T1296" s="315" t="str">
        <f t="shared" si="2302"/>
        <v/>
      </c>
      <c r="U1296" s="114" t="str">
        <f t="array" ref="U1296">IF(ISBLANK($R1296), INDEX('Run Reconcile'!A$2:A1399, MATCH($B1296, 'Run Reconcile'!B$2:B1399, 0)+Z1296, 1), IFERROR(0/0,""))
</f>
        <v/>
      </c>
      <c r="V1296" s="316" t="str">
        <f t="shared" si="1281"/>
        <v>RUN-ABRM_2023-05-18_RFR-226</v>
      </c>
      <c r="Y1296" s="317" t="str">
        <f t="shared" si="6"/>
        <v/>
      </c>
      <c r="Z1296" s="83" t="str">
        <f t="shared" si="7"/>
        <v/>
      </c>
      <c r="AA1296" s="83" t="str">
        <f t="shared" si="8"/>
        <v/>
      </c>
      <c r="AB1296" s="83" t="str">
        <f t="shared" si="9"/>
        <v/>
      </c>
      <c r="AC1296" s="18"/>
      <c r="AD1296" s="18"/>
      <c r="AE1296" s="43"/>
      <c r="AF1296" s="58" t="s">
        <v>199</v>
      </c>
      <c r="AG1296" s="55" t="str">
        <f t="shared" si="11"/>
        <v/>
      </c>
    </row>
    <row r="1297">
      <c r="A1297" s="7" t="str">
        <f>IFERROR(__xludf.DUMMYFUNCTION("""COMPUTED_VALUE"""),"AR1130")</f>
        <v>AR1130</v>
      </c>
      <c r="B1297" s="308">
        <f>IFERROR(__xludf.DUMMYFUNCTION("""COMPUTED_VALUE"""),45064.0)</f>
        <v>45064</v>
      </c>
      <c r="C1297" s="309">
        <f>IFERROR(__xludf.DUMMYFUNCTION("""COMPUTED_VALUE"""),0.30486111111111114)</f>
        <v>0.3048611111</v>
      </c>
      <c r="D1297" s="7" t="str">
        <f>IFERROR(__xludf.DUMMYFUNCTION("""COMPUTED_VALUE"""),"SpABRM655136")</f>
        <v>SpABRM655136</v>
      </c>
      <c r="E1297" s="310"/>
      <c r="F1297" s="310"/>
      <c r="G1297" s="310" t="str">
        <f>IFERROR(__xludf.DUMMYFUNCTION("""COMPUTED_VALUE"""),"Negative")</f>
        <v>Negative</v>
      </c>
      <c r="H1297" s="319" t="str">
        <f>IFERROR(__xludf.DUMMYFUNCTION("""COMPUTED_VALUE"""),"Negative")</f>
        <v>Negative</v>
      </c>
      <c r="I1297" s="308">
        <f>IFERROR(__xludf.DUMMYFUNCTION("""COMPUTED_VALUE"""),45075.0)</f>
        <v>45075</v>
      </c>
      <c r="J1297" s="311">
        <f>IFERROR(__xludf.DUMMYFUNCTION("""COMPUTED_VALUE"""),0.32186342592592593)</f>
        <v>0.3218634259</v>
      </c>
      <c r="K1297" s="54"/>
      <c r="L1297" s="7"/>
      <c r="M1297" s="312"/>
      <c r="N1297" s="172">
        <f>IFERROR(__xludf.DUMMYFUNCTION("""COMPUTED_VALUE"""),1.0)</f>
        <v>1</v>
      </c>
      <c r="O1297" s="172"/>
      <c r="P1297" s="313">
        <f>IFERROR(__xludf.DUMMYFUNCTION("""COMPUTED_VALUE"""),11.0)</f>
        <v>11</v>
      </c>
      <c r="Q1297" s="76" t="b">
        <f>VLOOKUP($B1297,'Run Reconcile'!B$2:O1399,14,FALSE)</f>
        <v>1</v>
      </c>
      <c r="R1297" s="314" t="str">
        <f t="array" ref="R1297">IF($Q1297, INDEX('Run Reconcile'!A$2:A1399,MATCH(B1297,'Run Reconcile'!B$2:B1399,0),1),IFERROR(0/0,""))</f>
        <v>RUN-ABRM_2023-05-18_RFR-226</v>
      </c>
      <c r="S1297" s="315" t="str">
        <f t="shared" ref="S1297:T1297" si="2303">IF(COUNTIF(W$2:W1399, $A1297) &gt; 0,TRUE,IFERROR(0/0,""))</f>
        <v/>
      </c>
      <c r="T1297" s="315" t="str">
        <f t="shared" si="2303"/>
        <v/>
      </c>
      <c r="U1297" s="114" t="str">
        <f t="array" ref="U1297">IF(ISBLANK($R1297), INDEX('Run Reconcile'!A$2:A1399, MATCH($B1297, 'Run Reconcile'!B$2:B1399, 0)+Z1297, 1), IFERROR(0/0,""))
</f>
        <v/>
      </c>
      <c r="V1297" s="316" t="str">
        <f t="shared" si="1281"/>
        <v>RUN-ABRM_2023-05-18_RFR-226</v>
      </c>
      <c r="Y1297" s="317" t="str">
        <f t="shared" si="6"/>
        <v/>
      </c>
      <c r="Z1297" s="83" t="str">
        <f t="shared" si="7"/>
        <v/>
      </c>
      <c r="AA1297" s="83" t="str">
        <f t="shared" si="8"/>
        <v/>
      </c>
      <c r="AB1297" s="83" t="str">
        <f t="shared" si="9"/>
        <v/>
      </c>
      <c r="AC1297" s="18"/>
      <c r="AD1297" s="18"/>
      <c r="AE1297" s="43"/>
      <c r="AF1297" s="58" t="s">
        <v>199</v>
      </c>
      <c r="AG1297" s="55" t="str">
        <f t="shared" si="11"/>
        <v/>
      </c>
    </row>
    <row r="1298">
      <c r="A1298" s="7" t="str">
        <f>IFERROR(__xludf.DUMMYFUNCTION("""COMPUTED_VALUE"""),"AR1914")</f>
        <v>AR1914</v>
      </c>
      <c r="B1298" s="308">
        <f>IFERROR(__xludf.DUMMYFUNCTION("""COMPUTED_VALUE"""),45064.0)</f>
        <v>45064</v>
      </c>
      <c r="C1298" s="309">
        <f>IFERROR(__xludf.DUMMYFUNCTION("""COMPUTED_VALUE"""),0.3052199074074074)</f>
        <v>0.3052199074</v>
      </c>
      <c r="D1298" s="7" t="str">
        <f>IFERROR(__xludf.DUMMYFUNCTION("""COMPUTED_VALUE"""),"SpABRM519188")</f>
        <v>SpABRM519188</v>
      </c>
      <c r="E1298" s="310"/>
      <c r="F1298" s="310"/>
      <c r="G1298" s="310" t="str">
        <f>IFERROR(__xludf.DUMMYFUNCTION("""COMPUTED_VALUE"""),"Negative")</f>
        <v>Negative</v>
      </c>
      <c r="H1298" s="319" t="str">
        <f>IFERROR(__xludf.DUMMYFUNCTION("""COMPUTED_VALUE"""),"Negative")</f>
        <v>Negative</v>
      </c>
      <c r="I1298" s="308">
        <f>IFERROR(__xludf.DUMMYFUNCTION("""COMPUTED_VALUE"""),45075.0)</f>
        <v>45075</v>
      </c>
      <c r="J1298" s="311">
        <f>IFERROR(__xludf.DUMMYFUNCTION("""COMPUTED_VALUE"""),0.321875)</f>
        <v>0.321875</v>
      </c>
      <c r="K1298" s="54"/>
      <c r="L1298" s="7"/>
      <c r="M1298" s="312"/>
      <c r="N1298" s="172">
        <f>IFERROR(__xludf.DUMMYFUNCTION("""COMPUTED_VALUE"""),1.0)</f>
        <v>1</v>
      </c>
      <c r="O1298" s="172"/>
      <c r="P1298" s="313">
        <f>IFERROR(__xludf.DUMMYFUNCTION("""COMPUTED_VALUE"""),11.0)</f>
        <v>11</v>
      </c>
      <c r="Q1298" s="76" t="b">
        <f>VLOOKUP($B1298,'Run Reconcile'!B$2:O1399,14,FALSE)</f>
        <v>1</v>
      </c>
      <c r="R1298" s="314" t="str">
        <f t="array" ref="R1298">IF($Q1298, INDEX('Run Reconcile'!A$2:A1399,MATCH(B1298,'Run Reconcile'!B$2:B1399,0),1),IFERROR(0/0,""))</f>
        <v>RUN-ABRM_2023-05-18_RFR-226</v>
      </c>
      <c r="S1298" s="315" t="str">
        <f t="shared" ref="S1298:T1298" si="2304">IF(COUNTIF(W$2:W1399, $A1298) &gt; 0,TRUE,IFERROR(0/0,""))</f>
        <v/>
      </c>
      <c r="T1298" s="315" t="str">
        <f t="shared" si="2304"/>
        <v/>
      </c>
      <c r="U1298" s="114" t="str">
        <f t="array" ref="U1298">IF(ISBLANK($R1298), INDEX('Run Reconcile'!A$2:A1399, MATCH($B1298, 'Run Reconcile'!B$2:B1399, 0)+Z1298, 1), IFERROR(0/0,""))
</f>
        <v/>
      </c>
      <c r="V1298" s="316" t="str">
        <f t="shared" si="1281"/>
        <v>RUN-ABRM_2023-05-18_RFR-226</v>
      </c>
      <c r="Y1298" s="317" t="str">
        <f t="shared" si="6"/>
        <v/>
      </c>
      <c r="Z1298" s="83" t="str">
        <f t="shared" si="7"/>
        <v/>
      </c>
      <c r="AA1298" s="83" t="str">
        <f t="shared" si="8"/>
        <v/>
      </c>
      <c r="AB1298" s="83" t="str">
        <f t="shared" si="9"/>
        <v/>
      </c>
      <c r="AC1298" s="18"/>
      <c r="AD1298" s="18"/>
      <c r="AE1298" s="43"/>
      <c r="AF1298" s="58" t="s">
        <v>199</v>
      </c>
      <c r="AG1298" s="55" t="str">
        <f t="shared" si="11"/>
        <v/>
      </c>
    </row>
    <row r="1299">
      <c r="A1299" s="7" t="str">
        <f>IFERROR(__xludf.DUMMYFUNCTION("""COMPUTED_VALUE"""),"AK9595a")</f>
        <v>AK9595a</v>
      </c>
      <c r="B1299" s="308">
        <f>IFERROR(__xludf.DUMMYFUNCTION("""COMPUTED_VALUE"""),45064.0)</f>
        <v>45064</v>
      </c>
      <c r="C1299" s="309">
        <f>IFERROR(__xludf.DUMMYFUNCTION("""COMPUTED_VALUE"""),0.3053125)</f>
        <v>0.3053125</v>
      </c>
      <c r="D1299" s="7" t="str">
        <f>IFERROR(__xludf.DUMMYFUNCTION("""COMPUTED_VALUE"""),"SpABRM655136")</f>
        <v>SpABRM655136</v>
      </c>
      <c r="E1299" s="310"/>
      <c r="F1299" s="310"/>
      <c r="G1299" s="310" t="str">
        <f>IFERROR(__xludf.DUMMYFUNCTION("""COMPUTED_VALUE"""),"Null")</f>
        <v>Null</v>
      </c>
      <c r="H1299" s="319" t="str">
        <f>IFERROR(__xludf.DUMMYFUNCTION("""COMPUTED_VALUE"""),"Negative")</f>
        <v>Negative</v>
      </c>
      <c r="I1299" s="319"/>
      <c r="J1299" s="54"/>
      <c r="K1299" s="54">
        <f>IFERROR(__xludf.DUMMYFUNCTION("""COMPUTED_VALUE"""),2.0)</f>
        <v>2</v>
      </c>
      <c r="L1299" s="7"/>
      <c r="M1299" s="312"/>
      <c r="N1299" s="172">
        <f>IFERROR(__xludf.DUMMYFUNCTION("""COMPUTED_VALUE"""),1.0)</f>
        <v>1</v>
      </c>
      <c r="O1299" s="172"/>
      <c r="P1299" s="313">
        <f>IFERROR(__xludf.DUMMYFUNCTION("""COMPUTED_VALUE"""),-1.0)</f>
        <v>-1</v>
      </c>
      <c r="Q1299" s="76" t="b">
        <f>VLOOKUP($B1299,'Run Reconcile'!B$2:O1399,14,FALSE)</f>
        <v>1</v>
      </c>
      <c r="R1299" s="314" t="str">
        <f t="array" ref="R1299">IF($Q1299, INDEX('Run Reconcile'!A$2:A1399,MATCH(B1299,'Run Reconcile'!B$2:B1399,0),1),IFERROR(0/0,""))</f>
        <v>RUN-ABRM_2023-05-18_RFR-226</v>
      </c>
      <c r="S1299" s="315" t="str">
        <f t="shared" ref="S1299:T1299" si="2305">IF(COUNTIF(W$2:W1399, $A1299) &gt; 0,TRUE,IFERROR(0/0,""))</f>
        <v/>
      </c>
      <c r="T1299" s="315" t="str">
        <f t="shared" si="2305"/>
        <v/>
      </c>
      <c r="U1299" s="114" t="str">
        <f t="array" ref="U1299">IF(ISBLANK($R1299), INDEX('Run Reconcile'!A$2:A1399, MATCH($B1299, 'Run Reconcile'!B$2:B1399, 0)+Z1299, 1), IFERROR(0/0,""))
</f>
        <v/>
      </c>
      <c r="V1299" s="316" t="str">
        <f t="shared" si="1281"/>
        <v>RUN-ABRM_2023-05-18_RFR-226</v>
      </c>
      <c r="Y1299" s="317" t="str">
        <f t="shared" si="6"/>
        <v/>
      </c>
      <c r="Z1299" s="83" t="str">
        <f t="shared" si="7"/>
        <v/>
      </c>
      <c r="AA1299" s="83" t="str">
        <f t="shared" si="8"/>
        <v/>
      </c>
      <c r="AB1299" s="83" t="str">
        <f t="shared" si="9"/>
        <v/>
      </c>
      <c r="AC1299" s="18"/>
      <c r="AD1299" s="18"/>
      <c r="AE1299" s="43"/>
      <c r="AF1299" s="58" t="s">
        <v>199</v>
      </c>
      <c r="AG1299" s="55" t="str">
        <f t="shared" si="11"/>
        <v/>
      </c>
    </row>
    <row r="1300">
      <c r="A1300" s="7" t="str">
        <f>IFERROR(__xludf.DUMMYFUNCTION("""COMPUTED_VALUE"""),"AR1574")</f>
        <v>AR1574</v>
      </c>
      <c r="B1300" s="308">
        <f>IFERROR(__xludf.DUMMYFUNCTION("""COMPUTED_VALUE"""),45064.0)</f>
        <v>45064</v>
      </c>
      <c r="C1300" s="309">
        <f>IFERROR(__xludf.DUMMYFUNCTION("""COMPUTED_VALUE"""),0.306875)</f>
        <v>0.306875</v>
      </c>
      <c r="D1300" s="7" t="str">
        <f>IFERROR(__xludf.DUMMYFUNCTION("""COMPUTED_VALUE"""),"SpABRM655136")</f>
        <v>SpABRM655136</v>
      </c>
      <c r="E1300" s="310"/>
      <c r="F1300" s="310"/>
      <c r="G1300" s="310" t="str">
        <f>IFERROR(__xludf.DUMMYFUNCTION("""COMPUTED_VALUE"""),"Negative")</f>
        <v>Negative</v>
      </c>
      <c r="H1300" s="319" t="str">
        <f>IFERROR(__xludf.DUMMYFUNCTION("""COMPUTED_VALUE"""),"Negative")</f>
        <v>Negative</v>
      </c>
      <c r="I1300" s="308">
        <f>IFERROR(__xludf.DUMMYFUNCTION("""COMPUTED_VALUE"""),45075.0)</f>
        <v>45075</v>
      </c>
      <c r="J1300" s="311">
        <f>IFERROR(__xludf.DUMMYFUNCTION("""COMPUTED_VALUE"""),0.32188657407407406)</f>
        <v>0.3218865741</v>
      </c>
      <c r="K1300" s="54"/>
      <c r="L1300" s="7"/>
      <c r="M1300" s="312"/>
      <c r="N1300" s="172">
        <f>IFERROR(__xludf.DUMMYFUNCTION("""COMPUTED_VALUE"""),1.0)</f>
        <v>1</v>
      </c>
      <c r="O1300" s="172"/>
      <c r="P1300" s="313">
        <f>IFERROR(__xludf.DUMMYFUNCTION("""COMPUTED_VALUE"""),11.0)</f>
        <v>11</v>
      </c>
      <c r="Q1300" s="76" t="b">
        <f>VLOOKUP($B1300,'Run Reconcile'!B$2:O1399,14,FALSE)</f>
        <v>1</v>
      </c>
      <c r="R1300" s="314" t="str">
        <f t="array" ref="R1300">IF($Q1300, INDEX('Run Reconcile'!A$2:A1399,MATCH(B1300,'Run Reconcile'!B$2:B1399,0),1),IFERROR(0/0,""))</f>
        <v>RUN-ABRM_2023-05-18_RFR-226</v>
      </c>
      <c r="S1300" s="315" t="str">
        <f t="shared" ref="S1300:T1300" si="2306">IF(COUNTIF(W$2:W1399, $A1300) &gt; 0,TRUE,IFERROR(0/0,""))</f>
        <v/>
      </c>
      <c r="T1300" s="315" t="str">
        <f t="shared" si="2306"/>
        <v/>
      </c>
      <c r="U1300" s="114" t="str">
        <f t="array" ref="U1300">IF(ISBLANK($R1300), INDEX('Run Reconcile'!A$2:A1399, MATCH($B1300, 'Run Reconcile'!B$2:B1399, 0)+Z1300, 1), IFERROR(0/0,""))
</f>
        <v/>
      </c>
      <c r="V1300" s="316" t="str">
        <f t="shared" si="1281"/>
        <v>RUN-ABRM_2023-05-18_RFR-226</v>
      </c>
      <c r="Y1300" s="317" t="str">
        <f t="shared" si="6"/>
        <v/>
      </c>
      <c r="Z1300" s="83" t="str">
        <f t="shared" si="7"/>
        <v/>
      </c>
      <c r="AA1300" s="83" t="str">
        <f t="shared" si="8"/>
        <v/>
      </c>
      <c r="AB1300" s="83" t="str">
        <f t="shared" si="9"/>
        <v/>
      </c>
      <c r="AC1300" s="18"/>
      <c r="AD1300" s="18"/>
      <c r="AE1300" s="43"/>
      <c r="AF1300" s="58" t="s">
        <v>199</v>
      </c>
      <c r="AG1300" s="55" t="str">
        <f t="shared" si="11"/>
        <v/>
      </c>
    </row>
    <row r="1301">
      <c r="A1301" s="7" t="str">
        <f>IFERROR(__xludf.DUMMYFUNCTION("""COMPUTED_VALUE"""),"AE9949")</f>
        <v>AE9949</v>
      </c>
      <c r="B1301" s="308">
        <f>IFERROR(__xludf.DUMMYFUNCTION("""COMPUTED_VALUE"""),45064.0)</f>
        <v>45064</v>
      </c>
      <c r="C1301" s="309">
        <f>IFERROR(__xludf.DUMMYFUNCTION("""COMPUTED_VALUE"""),0.3071990740740741)</f>
        <v>0.3071990741</v>
      </c>
      <c r="D1301" s="7" t="str">
        <f>IFERROR(__xludf.DUMMYFUNCTION("""COMPUTED_VALUE"""),"SpABRM655136")</f>
        <v>SpABRM655136</v>
      </c>
      <c r="E1301" s="310"/>
      <c r="F1301" s="310"/>
      <c r="G1301" s="310" t="str">
        <f>IFERROR(__xludf.DUMMYFUNCTION("""COMPUTED_VALUE"""),"Negative")</f>
        <v>Negative</v>
      </c>
      <c r="H1301" s="319" t="str">
        <f>IFERROR(__xludf.DUMMYFUNCTION("""COMPUTED_VALUE"""),"Negative")</f>
        <v>Negative</v>
      </c>
      <c r="I1301" s="308">
        <f>IFERROR(__xludf.DUMMYFUNCTION("""COMPUTED_VALUE"""),45075.0)</f>
        <v>45075</v>
      </c>
      <c r="J1301" s="311">
        <f>IFERROR(__xludf.DUMMYFUNCTION("""COMPUTED_VALUE"""),0.32188657407407406)</f>
        <v>0.3218865741</v>
      </c>
      <c r="K1301" s="54"/>
      <c r="L1301" s="7"/>
      <c r="M1301" s="312"/>
      <c r="N1301" s="172">
        <f>IFERROR(__xludf.DUMMYFUNCTION("""COMPUTED_VALUE"""),1.0)</f>
        <v>1</v>
      </c>
      <c r="O1301" s="172"/>
      <c r="P1301" s="313">
        <f>IFERROR(__xludf.DUMMYFUNCTION("""COMPUTED_VALUE"""),11.0)</f>
        <v>11</v>
      </c>
      <c r="Q1301" s="76" t="b">
        <f>VLOOKUP($B1301,'Run Reconcile'!B$2:O1399,14,FALSE)</f>
        <v>1</v>
      </c>
      <c r="R1301" s="314" t="str">
        <f t="array" ref="R1301">IF($Q1301, INDEX('Run Reconcile'!A$2:A1399,MATCH(B1301,'Run Reconcile'!B$2:B1399,0),1),IFERROR(0/0,""))</f>
        <v>RUN-ABRM_2023-05-18_RFR-226</v>
      </c>
      <c r="S1301" s="315" t="str">
        <f t="shared" ref="S1301:T1301" si="2307">IF(COUNTIF(W$2:W1399, $A1301) &gt; 0,TRUE,IFERROR(0/0,""))</f>
        <v/>
      </c>
      <c r="T1301" s="315" t="str">
        <f t="shared" si="2307"/>
        <v/>
      </c>
      <c r="U1301" s="114" t="str">
        <f t="array" ref="U1301">IF(ISBLANK($R1301), INDEX('Run Reconcile'!A$2:A1399, MATCH($B1301, 'Run Reconcile'!B$2:B1399, 0)+Z1301, 1), IFERROR(0/0,""))
</f>
        <v/>
      </c>
      <c r="V1301" s="316" t="str">
        <f t="shared" si="1281"/>
        <v>RUN-ABRM_2023-05-18_RFR-226</v>
      </c>
      <c r="Y1301" s="317" t="str">
        <f t="shared" si="6"/>
        <v/>
      </c>
      <c r="Z1301" s="83" t="str">
        <f t="shared" si="7"/>
        <v/>
      </c>
      <c r="AA1301" s="83" t="str">
        <f t="shared" si="8"/>
        <v/>
      </c>
      <c r="AB1301" s="83" t="str">
        <f t="shared" si="9"/>
        <v/>
      </c>
      <c r="AC1301" s="18"/>
      <c r="AD1301" s="18"/>
      <c r="AE1301" s="43"/>
      <c r="AF1301" s="58" t="s">
        <v>199</v>
      </c>
      <c r="AG1301" s="55" t="str">
        <f t="shared" si="11"/>
        <v/>
      </c>
    </row>
    <row r="1302">
      <c r="A1302" s="7" t="str">
        <f>IFERROR(__xludf.DUMMYFUNCTION("""COMPUTED_VALUE"""),"AR1360")</f>
        <v>AR1360</v>
      </c>
      <c r="B1302" s="308">
        <f>IFERROR(__xludf.DUMMYFUNCTION("""COMPUTED_VALUE"""),45064.0)</f>
        <v>45064</v>
      </c>
      <c r="C1302" s="309">
        <f>IFERROR(__xludf.DUMMYFUNCTION("""COMPUTED_VALUE"""),0.324375)</f>
        <v>0.324375</v>
      </c>
      <c r="D1302" s="7" t="str">
        <f>IFERROR(__xludf.DUMMYFUNCTION("""COMPUTED_VALUE"""),"SpABRM841252")</f>
        <v>SpABRM841252</v>
      </c>
      <c r="E1302" s="310"/>
      <c r="F1302" s="310"/>
      <c r="G1302" s="310" t="str">
        <f>IFERROR(__xludf.DUMMYFUNCTION("""COMPUTED_VALUE"""),"Negative")</f>
        <v>Negative</v>
      </c>
      <c r="H1302" s="319" t="str">
        <f>IFERROR(__xludf.DUMMYFUNCTION("""COMPUTED_VALUE"""),"Negative")</f>
        <v>Negative</v>
      </c>
      <c r="I1302" s="308">
        <f>IFERROR(__xludf.DUMMYFUNCTION("""COMPUTED_VALUE"""),45075.0)</f>
        <v>45075</v>
      </c>
      <c r="J1302" s="311">
        <f>IFERROR(__xludf.DUMMYFUNCTION("""COMPUTED_VALUE"""),0.32188657407407406)</f>
        <v>0.3218865741</v>
      </c>
      <c r="K1302" s="54"/>
      <c r="L1302" s="7"/>
      <c r="M1302" s="312"/>
      <c r="N1302" s="172">
        <f>IFERROR(__xludf.DUMMYFUNCTION("""COMPUTED_VALUE"""),1.0)</f>
        <v>1</v>
      </c>
      <c r="O1302" s="172"/>
      <c r="P1302" s="313">
        <f>IFERROR(__xludf.DUMMYFUNCTION("""COMPUTED_VALUE"""),11.0)</f>
        <v>11</v>
      </c>
      <c r="Q1302" s="76" t="b">
        <f>VLOOKUP($B1302,'Run Reconcile'!B$2:O1399,14,FALSE)</f>
        <v>1</v>
      </c>
      <c r="R1302" s="314" t="str">
        <f t="array" ref="R1302">IF($Q1302, INDEX('Run Reconcile'!A$2:A1399,MATCH(B1302,'Run Reconcile'!B$2:B1399,0),1),IFERROR(0/0,""))</f>
        <v>RUN-ABRM_2023-05-18_RFR-226</v>
      </c>
      <c r="S1302" s="315" t="str">
        <f t="shared" ref="S1302:T1302" si="2308">IF(COUNTIF(W$2:W1399, $A1302) &gt; 0,TRUE,IFERROR(0/0,""))</f>
        <v/>
      </c>
      <c r="T1302" s="315" t="str">
        <f t="shared" si="2308"/>
        <v/>
      </c>
      <c r="U1302" s="114" t="str">
        <f t="array" ref="U1302">IF(ISBLANK($R1302), INDEX('Run Reconcile'!A$2:A1399, MATCH($B1302, 'Run Reconcile'!B$2:B1399, 0)+Z1302, 1), IFERROR(0/0,""))
</f>
        <v/>
      </c>
      <c r="V1302" s="316" t="str">
        <f t="shared" si="1281"/>
        <v>RUN-ABRM_2023-05-18_RFR-226</v>
      </c>
      <c r="Y1302" s="317" t="str">
        <f t="shared" si="6"/>
        <v/>
      </c>
      <c r="Z1302" s="83" t="str">
        <f t="shared" si="7"/>
        <v/>
      </c>
      <c r="AA1302" s="83" t="str">
        <f t="shared" si="8"/>
        <v/>
      </c>
      <c r="AB1302" s="83" t="str">
        <f t="shared" si="9"/>
        <v/>
      </c>
      <c r="AC1302" s="18"/>
      <c r="AD1302" s="18"/>
      <c r="AE1302" s="43"/>
      <c r="AF1302" s="58" t="s">
        <v>199</v>
      </c>
      <c r="AG1302" s="55" t="str">
        <f t="shared" si="11"/>
        <v/>
      </c>
    </row>
    <row r="1303">
      <c r="A1303" s="7" t="str">
        <f>IFERROR(__xludf.DUMMYFUNCTION("""COMPUTED_VALUE"""),"AK9769")</f>
        <v>AK9769</v>
      </c>
      <c r="B1303" s="308">
        <f>IFERROR(__xludf.DUMMYFUNCTION("""COMPUTED_VALUE"""),45064.0)</f>
        <v>45064</v>
      </c>
      <c r="C1303" s="309">
        <f>IFERROR(__xludf.DUMMYFUNCTION("""COMPUTED_VALUE"""),0.3254166666666667)</f>
        <v>0.3254166667</v>
      </c>
      <c r="D1303" s="7" t="str">
        <f>IFERROR(__xludf.DUMMYFUNCTION("""COMPUTED_VALUE"""),"SpABRM841252")</f>
        <v>SpABRM841252</v>
      </c>
      <c r="E1303" s="310"/>
      <c r="F1303" s="310"/>
      <c r="G1303" s="310" t="str">
        <f>IFERROR(__xludf.DUMMYFUNCTION("""COMPUTED_VALUE"""),"Negative")</f>
        <v>Negative</v>
      </c>
      <c r="H1303" s="319" t="str">
        <f>IFERROR(__xludf.DUMMYFUNCTION("""COMPUTED_VALUE"""),"Negative")</f>
        <v>Negative</v>
      </c>
      <c r="I1303" s="308">
        <f>IFERROR(__xludf.DUMMYFUNCTION("""COMPUTED_VALUE"""),45075.0)</f>
        <v>45075</v>
      </c>
      <c r="J1303" s="311">
        <f>IFERROR(__xludf.DUMMYFUNCTION("""COMPUTED_VALUE"""),0.32188657407407406)</f>
        <v>0.3218865741</v>
      </c>
      <c r="K1303" s="54"/>
      <c r="L1303" s="7"/>
      <c r="M1303" s="312"/>
      <c r="N1303" s="172">
        <f>IFERROR(__xludf.DUMMYFUNCTION("""COMPUTED_VALUE"""),1.0)</f>
        <v>1</v>
      </c>
      <c r="O1303" s="172"/>
      <c r="P1303" s="313">
        <f>IFERROR(__xludf.DUMMYFUNCTION("""COMPUTED_VALUE"""),11.0)</f>
        <v>11</v>
      </c>
      <c r="Q1303" s="76" t="b">
        <f>VLOOKUP($B1303,'Run Reconcile'!B$2:O1399,14,FALSE)</f>
        <v>1</v>
      </c>
      <c r="R1303" s="314" t="str">
        <f t="array" ref="R1303">IF($Q1303, INDEX('Run Reconcile'!A$2:A1399,MATCH(B1303,'Run Reconcile'!B$2:B1399,0),1),IFERROR(0/0,""))</f>
        <v>RUN-ABRM_2023-05-18_RFR-226</v>
      </c>
      <c r="S1303" s="315" t="str">
        <f t="shared" ref="S1303:T1303" si="2309">IF(COUNTIF(W$2:W1399, $A1303) &gt; 0,TRUE,IFERROR(0/0,""))</f>
        <v/>
      </c>
      <c r="T1303" s="315" t="str">
        <f t="shared" si="2309"/>
        <v/>
      </c>
      <c r="U1303" s="114" t="str">
        <f t="array" ref="U1303">IF(ISBLANK($R1303), INDEX('Run Reconcile'!A$2:A1399, MATCH($B1303, 'Run Reconcile'!B$2:B1399, 0)+Z1303, 1), IFERROR(0/0,""))
</f>
        <v/>
      </c>
      <c r="V1303" s="316" t="str">
        <f t="shared" si="1281"/>
        <v>RUN-ABRM_2023-05-18_RFR-226</v>
      </c>
      <c r="Y1303" s="317" t="str">
        <f t="shared" si="6"/>
        <v/>
      </c>
      <c r="Z1303" s="83" t="str">
        <f t="shared" si="7"/>
        <v/>
      </c>
      <c r="AA1303" s="83" t="str">
        <f t="shared" si="8"/>
        <v/>
      </c>
      <c r="AB1303" s="83" t="str">
        <f t="shared" si="9"/>
        <v/>
      </c>
      <c r="AC1303" s="18"/>
      <c r="AD1303" s="18"/>
      <c r="AE1303" s="43"/>
      <c r="AF1303" s="58" t="s">
        <v>199</v>
      </c>
      <c r="AG1303" s="55" t="str">
        <f t="shared" si="11"/>
        <v/>
      </c>
    </row>
    <row r="1304">
      <c r="A1304" s="7" t="str">
        <f>IFERROR(__xludf.DUMMYFUNCTION("""COMPUTED_VALUE"""),"AR864")</f>
        <v>AR864</v>
      </c>
      <c r="B1304" s="308">
        <f>IFERROR(__xludf.DUMMYFUNCTION("""COMPUTED_VALUE"""),45065.0)</f>
        <v>45065</v>
      </c>
      <c r="C1304" s="309">
        <f>IFERROR(__xludf.DUMMYFUNCTION("""COMPUTED_VALUE"""),0.2077314814814815)</f>
        <v>0.2077314815</v>
      </c>
      <c r="D1304" s="7" t="str">
        <f>IFERROR(__xludf.DUMMYFUNCTION("""COMPUTED_VALUE"""),"SpABRM655136")</f>
        <v>SpABRM655136</v>
      </c>
      <c r="E1304" s="310"/>
      <c r="F1304" s="310"/>
      <c r="G1304" s="310" t="str">
        <f>IFERROR(__xludf.DUMMYFUNCTION("""COMPUTED_VALUE"""),"Null")</f>
        <v>Null</v>
      </c>
      <c r="H1304" s="319" t="str">
        <f>IFERROR(__xludf.DUMMYFUNCTION("""COMPUTED_VALUE"""),"Negative")</f>
        <v>Negative</v>
      </c>
      <c r="I1304" s="319"/>
      <c r="J1304" s="54"/>
      <c r="K1304" s="54">
        <f>IFERROR(__xludf.DUMMYFUNCTION("""COMPUTED_VALUE"""),2.0)</f>
        <v>2</v>
      </c>
      <c r="L1304" s="7"/>
      <c r="M1304" s="312"/>
      <c r="N1304" s="172">
        <f>IFERROR(__xludf.DUMMYFUNCTION("""COMPUTED_VALUE"""),2.0)</f>
        <v>2</v>
      </c>
      <c r="O1304" s="172"/>
      <c r="P1304" s="313">
        <f>IFERROR(__xludf.DUMMYFUNCTION("""COMPUTED_VALUE"""),-1.0)</f>
        <v>-1</v>
      </c>
      <c r="Q1304" s="76" t="b">
        <f>VLOOKUP($B1304,'Run Reconcile'!B$2:O1399,14,FALSE)</f>
        <v>1</v>
      </c>
      <c r="R1304" s="314" t="str">
        <f t="array" ref="R1304">IF($Q1304, INDEX('Run Reconcile'!A$2:A1399,MATCH(B1304,'Run Reconcile'!B$2:B1399,0),1),IFERROR(0/0,""))</f>
        <v>RUN-ABRM_2023-05-19_RFR-227</v>
      </c>
      <c r="S1304" s="315" t="str">
        <f t="shared" ref="S1304:T1304" si="2310">IF(COUNTIF(W$2:W1399, $A1304) &gt; 0,TRUE,IFERROR(0/0,""))</f>
        <v/>
      </c>
      <c r="T1304" s="315" t="str">
        <f t="shared" si="2310"/>
        <v/>
      </c>
      <c r="U1304" s="114" t="str">
        <f t="array" ref="U1304">IF(ISBLANK($R1304), INDEX('Run Reconcile'!A$2:A1399, MATCH($B1304, 'Run Reconcile'!B$2:B1399, 0)+Z1304, 1), IFERROR(0/0,""))
</f>
        <v/>
      </c>
      <c r="V1304" s="316" t="str">
        <f t="shared" si="1281"/>
        <v>RUN-ABRM_2023-05-19_RFR-227</v>
      </c>
      <c r="Y1304" s="317" t="str">
        <f t="shared" si="6"/>
        <v/>
      </c>
      <c r="Z1304" s="83" t="str">
        <f t="shared" si="7"/>
        <v/>
      </c>
      <c r="AA1304" s="83" t="str">
        <f t="shared" si="8"/>
        <v/>
      </c>
      <c r="AB1304" s="83" t="str">
        <f t="shared" si="9"/>
        <v/>
      </c>
      <c r="AC1304" s="18"/>
      <c r="AD1304" s="18"/>
      <c r="AE1304" s="43"/>
      <c r="AF1304" s="58" t="s">
        <v>200</v>
      </c>
      <c r="AG1304" s="55" t="str">
        <f t="shared" si="11"/>
        <v/>
      </c>
    </row>
    <row r="1305">
      <c r="A1305" s="7" t="str">
        <f>IFERROR(__xludf.DUMMYFUNCTION("""COMPUTED_VALUE"""),"AR1682")</f>
        <v>AR1682</v>
      </c>
      <c r="B1305" s="308">
        <f>IFERROR(__xludf.DUMMYFUNCTION("""COMPUTED_VALUE"""),45065.0)</f>
        <v>45065</v>
      </c>
      <c r="C1305" s="309">
        <f>IFERROR(__xludf.DUMMYFUNCTION("""COMPUTED_VALUE"""),0.24043981481481483)</f>
        <v>0.2404398148</v>
      </c>
      <c r="D1305" s="7" t="str">
        <f>IFERROR(__xludf.DUMMYFUNCTION("""COMPUTED_VALUE"""),"SpABRM297307")</f>
        <v>SpABRM297307</v>
      </c>
      <c r="E1305" s="310"/>
      <c r="F1305" s="310"/>
      <c r="G1305" s="310" t="str">
        <f>IFERROR(__xludf.DUMMYFUNCTION("""COMPUTED_VALUE"""),"Negative")</f>
        <v>Negative</v>
      </c>
      <c r="H1305" s="319" t="str">
        <f>IFERROR(__xludf.DUMMYFUNCTION("""COMPUTED_VALUE"""),"Negative")</f>
        <v>Negative</v>
      </c>
      <c r="I1305" s="308">
        <f>IFERROR(__xludf.DUMMYFUNCTION("""COMPUTED_VALUE"""),45075.0)</f>
        <v>45075</v>
      </c>
      <c r="J1305" s="311">
        <f>IFERROR(__xludf.DUMMYFUNCTION("""COMPUTED_VALUE"""),0.32189814814814816)</f>
        <v>0.3218981481</v>
      </c>
      <c r="K1305" s="54"/>
      <c r="L1305" s="7"/>
      <c r="M1305" s="312"/>
      <c r="N1305" s="172">
        <f>IFERROR(__xludf.DUMMYFUNCTION("""COMPUTED_VALUE"""),3.0)</f>
        <v>3</v>
      </c>
      <c r="O1305" s="172"/>
      <c r="P1305" s="313">
        <f>IFERROR(__xludf.DUMMYFUNCTION("""COMPUTED_VALUE"""),10.0)</f>
        <v>10</v>
      </c>
      <c r="Q1305" s="76" t="b">
        <f>VLOOKUP($B1305,'Run Reconcile'!B$2:O1399,14,FALSE)</f>
        <v>1</v>
      </c>
      <c r="R1305" s="314" t="str">
        <f t="array" ref="R1305">IF($Q1305, INDEX('Run Reconcile'!A$2:A1399,MATCH(B1305,'Run Reconcile'!B$2:B1399,0),1),IFERROR(0/0,""))</f>
        <v>RUN-ABRM_2023-05-19_RFR-227</v>
      </c>
      <c r="S1305" s="315" t="str">
        <f t="shared" ref="S1305:T1305" si="2311">IF(COUNTIF(W$2:W1399, $A1305) &gt; 0,TRUE,IFERROR(0/0,""))</f>
        <v/>
      </c>
      <c r="T1305" s="315" t="str">
        <f t="shared" si="2311"/>
        <v/>
      </c>
      <c r="U1305" s="114" t="str">
        <f t="array" ref="U1305">IF(ISBLANK($R1305), INDEX('Run Reconcile'!A$2:A1399, MATCH($B1305, 'Run Reconcile'!B$2:B1399, 0)+Z1305, 1), IFERROR(0/0,""))
</f>
        <v/>
      </c>
      <c r="V1305" s="316" t="str">
        <f t="shared" si="1281"/>
        <v>RUN-ABRM_2023-05-19_RFR-227</v>
      </c>
      <c r="Y1305" s="317" t="str">
        <f t="shared" si="6"/>
        <v/>
      </c>
      <c r="Z1305" s="83" t="str">
        <f t="shared" si="7"/>
        <v/>
      </c>
      <c r="AA1305" s="83" t="str">
        <f t="shared" si="8"/>
        <v/>
      </c>
      <c r="AB1305" s="83" t="str">
        <f t="shared" si="9"/>
        <v/>
      </c>
      <c r="AC1305" s="18"/>
      <c r="AD1305" s="18"/>
      <c r="AE1305" s="43"/>
      <c r="AF1305" s="58" t="s">
        <v>200</v>
      </c>
      <c r="AG1305" s="55" t="str">
        <f t="shared" si="11"/>
        <v/>
      </c>
    </row>
    <row r="1306">
      <c r="A1306" s="7" t="str">
        <f>IFERROR(__xludf.DUMMYFUNCTION("""COMPUTED_VALUE"""),"AE9985")</f>
        <v>AE9985</v>
      </c>
      <c r="B1306" s="308">
        <f>IFERROR(__xludf.DUMMYFUNCTION("""COMPUTED_VALUE"""),45065.0)</f>
        <v>45065</v>
      </c>
      <c r="C1306" s="309">
        <f>IFERROR(__xludf.DUMMYFUNCTION("""COMPUTED_VALUE"""),0.2587962962962963)</f>
        <v>0.2587962963</v>
      </c>
      <c r="D1306" s="7" t="str">
        <f>IFERROR(__xludf.DUMMYFUNCTION("""COMPUTED_VALUE"""),"SpABRM581899")</f>
        <v>SpABRM581899</v>
      </c>
      <c r="E1306" s="310"/>
      <c r="F1306" s="310"/>
      <c r="G1306" s="310" t="str">
        <f>IFERROR(__xludf.DUMMYFUNCTION("""COMPUTED_VALUE"""),"Negative")</f>
        <v>Negative</v>
      </c>
      <c r="H1306" s="319" t="str">
        <f>IFERROR(__xludf.DUMMYFUNCTION("""COMPUTED_VALUE"""),"Negative")</f>
        <v>Negative</v>
      </c>
      <c r="I1306" s="308">
        <f>IFERROR(__xludf.DUMMYFUNCTION("""COMPUTED_VALUE"""),45075.0)</f>
        <v>45075</v>
      </c>
      <c r="J1306" s="311">
        <f>IFERROR(__xludf.DUMMYFUNCTION("""COMPUTED_VALUE"""),0.32189814814814816)</f>
        <v>0.3218981481</v>
      </c>
      <c r="K1306" s="54"/>
      <c r="L1306" s="7"/>
      <c r="M1306" s="312"/>
      <c r="N1306" s="172">
        <f>IFERROR(__xludf.DUMMYFUNCTION("""COMPUTED_VALUE"""),3.0)</f>
        <v>3</v>
      </c>
      <c r="O1306" s="172"/>
      <c r="P1306" s="313">
        <f>IFERROR(__xludf.DUMMYFUNCTION("""COMPUTED_VALUE"""),10.0)</f>
        <v>10</v>
      </c>
      <c r="Q1306" s="76" t="b">
        <f>VLOOKUP($B1306,'Run Reconcile'!B$2:O1399,14,FALSE)</f>
        <v>1</v>
      </c>
      <c r="R1306" s="314" t="str">
        <f t="array" ref="R1306">IF($Q1306, INDEX('Run Reconcile'!A$2:A1399,MATCH(B1306,'Run Reconcile'!B$2:B1399,0),1),IFERROR(0/0,""))</f>
        <v>RUN-ABRM_2023-05-19_RFR-227</v>
      </c>
      <c r="S1306" s="315" t="str">
        <f t="shared" ref="S1306:T1306" si="2312">IF(COUNTIF(W$2:W1399, $A1306) &gt; 0,TRUE,IFERROR(0/0,""))</f>
        <v/>
      </c>
      <c r="T1306" s="315" t="str">
        <f t="shared" si="2312"/>
        <v/>
      </c>
      <c r="U1306" s="114" t="str">
        <f t="array" ref="U1306">IF(ISBLANK($R1306), INDEX('Run Reconcile'!A$2:A1399, MATCH($B1306, 'Run Reconcile'!B$2:B1399, 0)+Z1306, 1), IFERROR(0/0,""))
</f>
        <v/>
      </c>
      <c r="V1306" s="316" t="str">
        <f t="shared" si="1281"/>
        <v>RUN-ABRM_2023-05-19_RFR-227</v>
      </c>
      <c r="Y1306" s="317" t="str">
        <f t="shared" si="6"/>
        <v/>
      </c>
      <c r="Z1306" s="83" t="str">
        <f t="shared" si="7"/>
        <v/>
      </c>
      <c r="AA1306" s="83" t="str">
        <f t="shared" si="8"/>
        <v/>
      </c>
      <c r="AB1306" s="83" t="str">
        <f t="shared" si="9"/>
        <v/>
      </c>
      <c r="AC1306" s="18"/>
      <c r="AD1306" s="18"/>
      <c r="AE1306" s="43"/>
      <c r="AF1306" s="58" t="s">
        <v>200</v>
      </c>
      <c r="AG1306" s="55" t="str">
        <f t="shared" si="11"/>
        <v/>
      </c>
    </row>
    <row r="1307">
      <c r="A1307" s="7" t="str">
        <f>IFERROR(__xludf.DUMMYFUNCTION("""COMPUTED_VALUE"""),"AR1449")</f>
        <v>AR1449</v>
      </c>
      <c r="B1307" s="308">
        <f>IFERROR(__xludf.DUMMYFUNCTION("""COMPUTED_VALUE"""),45065.0)</f>
        <v>45065</v>
      </c>
      <c r="C1307" s="309">
        <f>IFERROR(__xludf.DUMMYFUNCTION("""COMPUTED_VALUE"""),0.3230208333333333)</f>
        <v>0.3230208333</v>
      </c>
      <c r="D1307" s="7" t="str">
        <f>IFERROR(__xludf.DUMMYFUNCTION("""COMPUTED_VALUE"""),"SpABRM519188")</f>
        <v>SpABRM519188</v>
      </c>
      <c r="E1307" s="310"/>
      <c r="F1307" s="310"/>
      <c r="G1307" s="310" t="str">
        <f>IFERROR(__xludf.DUMMYFUNCTION("""COMPUTED_VALUE"""),"Negative")</f>
        <v>Negative</v>
      </c>
      <c r="H1307" s="319" t="str">
        <f>IFERROR(__xludf.DUMMYFUNCTION("""COMPUTED_VALUE"""),"Negative")</f>
        <v>Negative</v>
      </c>
      <c r="I1307" s="308">
        <f>IFERROR(__xludf.DUMMYFUNCTION("""COMPUTED_VALUE"""),45075.0)</f>
        <v>45075</v>
      </c>
      <c r="J1307" s="311">
        <f>IFERROR(__xludf.DUMMYFUNCTION("""COMPUTED_VALUE"""),0.32189814814814816)</f>
        <v>0.3218981481</v>
      </c>
      <c r="K1307" s="54"/>
      <c r="L1307" s="7"/>
      <c r="M1307" s="312"/>
      <c r="N1307" s="172">
        <f>IFERROR(__xludf.DUMMYFUNCTION("""COMPUTED_VALUE"""),1.0)</f>
        <v>1</v>
      </c>
      <c r="O1307" s="172"/>
      <c r="P1307" s="313">
        <f>IFERROR(__xludf.DUMMYFUNCTION("""COMPUTED_VALUE"""),10.0)</f>
        <v>10</v>
      </c>
      <c r="Q1307" s="76" t="b">
        <f>VLOOKUP($B1307,'Run Reconcile'!B$2:O1399,14,FALSE)</f>
        <v>1</v>
      </c>
      <c r="R1307" s="314" t="str">
        <f t="array" ref="R1307">IF($Q1307, INDEX('Run Reconcile'!A$2:A1399,MATCH(B1307,'Run Reconcile'!B$2:B1399,0),1),IFERROR(0/0,""))</f>
        <v>RUN-ABRM_2023-05-19_RFR-227</v>
      </c>
      <c r="S1307" s="315" t="str">
        <f t="shared" ref="S1307:T1307" si="2313">IF(COUNTIF(W$2:W1399, $A1307) &gt; 0,TRUE,IFERROR(0/0,""))</f>
        <v/>
      </c>
      <c r="T1307" s="315" t="str">
        <f t="shared" si="2313"/>
        <v/>
      </c>
      <c r="U1307" s="114" t="str">
        <f t="array" ref="U1307">IF(ISBLANK($R1307), INDEX('Run Reconcile'!A$2:A1399, MATCH($B1307, 'Run Reconcile'!B$2:B1399, 0)+Z1307, 1), IFERROR(0/0,""))
</f>
        <v/>
      </c>
      <c r="V1307" s="316" t="str">
        <f t="shared" si="1281"/>
        <v>RUN-ABRM_2023-05-19_RFR-227</v>
      </c>
      <c r="Y1307" s="317" t="str">
        <f t="shared" si="6"/>
        <v/>
      </c>
      <c r="Z1307" s="83" t="str">
        <f t="shared" si="7"/>
        <v/>
      </c>
      <c r="AA1307" s="83" t="str">
        <f t="shared" si="8"/>
        <v/>
      </c>
      <c r="AB1307" s="83" t="str">
        <f t="shared" si="9"/>
        <v/>
      </c>
      <c r="AC1307" s="18"/>
      <c r="AD1307" s="18"/>
      <c r="AE1307" s="43"/>
      <c r="AF1307" s="58" t="s">
        <v>200</v>
      </c>
      <c r="AG1307" s="55" t="str">
        <f t="shared" si="11"/>
        <v/>
      </c>
    </row>
    <row r="1308">
      <c r="A1308" s="7" t="str">
        <f>IFERROR(__xludf.DUMMYFUNCTION("""COMPUTED_VALUE"""),"AB9945")</f>
        <v>AB9945</v>
      </c>
      <c r="B1308" s="308">
        <f>IFERROR(__xludf.DUMMYFUNCTION("""COMPUTED_VALUE"""),45065.0)</f>
        <v>45065</v>
      </c>
      <c r="C1308" s="309">
        <f>IFERROR(__xludf.DUMMYFUNCTION("""COMPUTED_VALUE"""),0.32766203703703706)</f>
        <v>0.327662037</v>
      </c>
      <c r="D1308" s="7" t="str">
        <f>IFERROR(__xludf.DUMMYFUNCTION("""COMPUTED_VALUE"""),"SpABRM841252")</f>
        <v>SpABRM841252</v>
      </c>
      <c r="E1308" s="310"/>
      <c r="F1308" s="310"/>
      <c r="G1308" s="310" t="str">
        <f>IFERROR(__xludf.DUMMYFUNCTION("""COMPUTED_VALUE"""),"Negative")</f>
        <v>Negative</v>
      </c>
      <c r="H1308" s="319" t="str">
        <f>IFERROR(__xludf.DUMMYFUNCTION("""COMPUTED_VALUE"""),"Negative")</f>
        <v>Negative</v>
      </c>
      <c r="I1308" s="308">
        <f>IFERROR(__xludf.DUMMYFUNCTION("""COMPUTED_VALUE"""),45075.0)</f>
        <v>45075</v>
      </c>
      <c r="J1308" s="311">
        <f>IFERROR(__xludf.DUMMYFUNCTION("""COMPUTED_VALUE"""),0.32189814814814816)</f>
        <v>0.3218981481</v>
      </c>
      <c r="K1308" s="54"/>
      <c r="L1308" s="7"/>
      <c r="M1308" s="312"/>
      <c r="N1308" s="172">
        <f>IFERROR(__xludf.DUMMYFUNCTION("""COMPUTED_VALUE"""),1.0)</f>
        <v>1</v>
      </c>
      <c r="O1308" s="172"/>
      <c r="P1308" s="313">
        <f>IFERROR(__xludf.DUMMYFUNCTION("""COMPUTED_VALUE"""),10.0)</f>
        <v>10</v>
      </c>
      <c r="Q1308" s="76" t="b">
        <f>VLOOKUP($B1308,'Run Reconcile'!B$2:O1399,14,FALSE)</f>
        <v>1</v>
      </c>
      <c r="R1308" s="314" t="str">
        <f t="array" ref="R1308">IF($Q1308, INDEX('Run Reconcile'!A$2:A1399,MATCH(B1308,'Run Reconcile'!B$2:B1399,0),1),IFERROR(0/0,""))</f>
        <v>RUN-ABRM_2023-05-19_RFR-227</v>
      </c>
      <c r="S1308" s="315" t="str">
        <f t="shared" ref="S1308:T1308" si="2314">IF(COUNTIF(W$2:W1399, $A1308) &gt; 0,TRUE,IFERROR(0/0,""))</f>
        <v/>
      </c>
      <c r="T1308" s="315" t="str">
        <f t="shared" si="2314"/>
        <v/>
      </c>
      <c r="U1308" s="114" t="str">
        <f t="array" ref="U1308">IF(ISBLANK($R1308), INDEX('Run Reconcile'!A$2:A1399, MATCH($B1308, 'Run Reconcile'!B$2:B1399, 0)+Z1308, 1), IFERROR(0/0,""))
</f>
        <v/>
      </c>
      <c r="V1308" s="316" t="str">
        <f t="shared" si="1281"/>
        <v>RUN-ABRM_2023-05-19_RFR-227</v>
      </c>
      <c r="Y1308" s="317" t="str">
        <f t="shared" si="6"/>
        <v/>
      </c>
      <c r="Z1308" s="83" t="str">
        <f t="shared" si="7"/>
        <v/>
      </c>
      <c r="AA1308" s="83" t="str">
        <f t="shared" si="8"/>
        <v/>
      </c>
      <c r="AB1308" s="83" t="str">
        <f t="shared" si="9"/>
        <v/>
      </c>
      <c r="AC1308" s="18"/>
      <c r="AD1308" s="18"/>
      <c r="AE1308" s="43"/>
      <c r="AF1308" s="58" t="s">
        <v>200</v>
      </c>
      <c r="AG1308" s="55" t="str">
        <f t="shared" si="11"/>
        <v/>
      </c>
    </row>
    <row r="1309">
      <c r="A1309" s="7" t="str">
        <f>IFERROR(__xludf.DUMMYFUNCTION("""COMPUTED_VALUE"""),"AR1750")</f>
        <v>AR1750</v>
      </c>
      <c r="B1309" s="308">
        <f>IFERROR(__xludf.DUMMYFUNCTION("""COMPUTED_VALUE"""),45065.0)</f>
        <v>45065</v>
      </c>
      <c r="C1309" s="309">
        <f>IFERROR(__xludf.DUMMYFUNCTION("""COMPUTED_VALUE"""),0.3279976851851852)</f>
        <v>0.3279976852</v>
      </c>
      <c r="D1309" s="7" t="str">
        <f>IFERROR(__xludf.DUMMYFUNCTION("""COMPUTED_VALUE"""),"SpABRM841252")</f>
        <v>SpABRM841252</v>
      </c>
      <c r="E1309" s="310"/>
      <c r="F1309" s="310"/>
      <c r="G1309" s="310" t="str">
        <f>IFERROR(__xludf.DUMMYFUNCTION("""COMPUTED_VALUE"""),"Negative")</f>
        <v>Negative</v>
      </c>
      <c r="H1309" s="319" t="str">
        <f>IFERROR(__xludf.DUMMYFUNCTION("""COMPUTED_VALUE"""),"Negative")</f>
        <v>Negative</v>
      </c>
      <c r="I1309" s="308">
        <f>IFERROR(__xludf.DUMMYFUNCTION("""COMPUTED_VALUE"""),45075.0)</f>
        <v>45075</v>
      </c>
      <c r="J1309" s="311">
        <f>IFERROR(__xludf.DUMMYFUNCTION("""COMPUTED_VALUE"""),0.32190972222222225)</f>
        <v>0.3219097222</v>
      </c>
      <c r="K1309" s="54"/>
      <c r="L1309" s="7"/>
      <c r="M1309" s="312"/>
      <c r="N1309" s="172">
        <f>IFERROR(__xludf.DUMMYFUNCTION("""COMPUTED_VALUE"""),1.0)</f>
        <v>1</v>
      </c>
      <c r="O1309" s="172"/>
      <c r="P1309" s="313">
        <f>IFERROR(__xludf.DUMMYFUNCTION("""COMPUTED_VALUE"""),10.0)</f>
        <v>10</v>
      </c>
      <c r="Q1309" s="76" t="b">
        <f>VLOOKUP($B1309,'Run Reconcile'!B$2:O1399,14,FALSE)</f>
        <v>1</v>
      </c>
      <c r="R1309" s="314" t="str">
        <f t="array" ref="R1309">IF($Q1309, INDEX('Run Reconcile'!A$2:A1399,MATCH(B1309,'Run Reconcile'!B$2:B1399,0),1),IFERROR(0/0,""))</f>
        <v>RUN-ABRM_2023-05-19_RFR-227</v>
      </c>
      <c r="S1309" s="315" t="str">
        <f t="shared" ref="S1309:T1309" si="2315">IF(COUNTIF(W$2:W1399, $A1309) &gt; 0,TRUE,IFERROR(0/0,""))</f>
        <v/>
      </c>
      <c r="T1309" s="315" t="str">
        <f t="shared" si="2315"/>
        <v/>
      </c>
      <c r="U1309" s="114" t="str">
        <f t="array" ref="U1309">IF(ISBLANK($R1309), INDEX('Run Reconcile'!A$2:A1399, MATCH($B1309, 'Run Reconcile'!B$2:B1399, 0)+Z1309, 1), IFERROR(0/0,""))
</f>
        <v/>
      </c>
      <c r="V1309" s="316" t="str">
        <f t="shared" si="1281"/>
        <v>RUN-ABRM_2023-05-19_RFR-227</v>
      </c>
      <c r="Y1309" s="317" t="str">
        <f t="shared" si="6"/>
        <v/>
      </c>
      <c r="Z1309" s="83" t="str">
        <f t="shared" si="7"/>
        <v/>
      </c>
      <c r="AA1309" s="83" t="str">
        <f t="shared" si="8"/>
        <v/>
      </c>
      <c r="AB1309" s="83" t="str">
        <f t="shared" si="9"/>
        <v/>
      </c>
      <c r="AC1309" s="18"/>
      <c r="AD1309" s="18"/>
      <c r="AE1309" s="43"/>
      <c r="AF1309" s="58" t="s">
        <v>200</v>
      </c>
      <c r="AG1309" s="55" t="str">
        <f t="shared" si="11"/>
        <v/>
      </c>
    </row>
    <row r="1310">
      <c r="A1310" s="7" t="str">
        <f>IFERROR(__xludf.DUMMYFUNCTION("""COMPUTED_VALUE"""),"AR1952")</f>
        <v>AR1952</v>
      </c>
      <c r="B1310" s="308">
        <f>IFERROR(__xludf.DUMMYFUNCTION("""COMPUTED_VALUE"""),45068.0)</f>
        <v>45068</v>
      </c>
      <c r="C1310" s="309">
        <f>IFERROR(__xludf.DUMMYFUNCTION("""COMPUTED_VALUE"""),0.2893634259259259)</f>
        <v>0.2893634259</v>
      </c>
      <c r="D1310" s="7" t="str">
        <f>IFERROR(__xludf.DUMMYFUNCTION("""COMPUTED_VALUE"""),"SpABRM581899")</f>
        <v>SpABRM581899</v>
      </c>
      <c r="E1310" s="310"/>
      <c r="F1310" s="310"/>
      <c r="G1310" s="310" t="str">
        <f>IFERROR(__xludf.DUMMYFUNCTION("""COMPUTED_VALUE"""),"Negative")</f>
        <v>Negative</v>
      </c>
      <c r="H1310" s="319" t="str">
        <f>IFERROR(__xludf.DUMMYFUNCTION("""COMPUTED_VALUE"""),"Negative")</f>
        <v>Negative</v>
      </c>
      <c r="I1310" s="308">
        <f>IFERROR(__xludf.DUMMYFUNCTION("""COMPUTED_VALUE"""),45068.0)</f>
        <v>45068</v>
      </c>
      <c r="J1310" s="311">
        <f>IFERROR(__xludf.DUMMYFUNCTION("""COMPUTED_VALUE"""),0.3905902777777778)</f>
        <v>0.3905902778</v>
      </c>
      <c r="K1310" s="54"/>
      <c r="L1310" s="7"/>
      <c r="M1310" s="312"/>
      <c r="N1310" s="172">
        <f>IFERROR(__xludf.DUMMYFUNCTION("""COMPUTED_VALUE"""),3.0)</f>
        <v>3</v>
      </c>
      <c r="O1310" s="172"/>
      <c r="P1310" s="313">
        <f>IFERROR(__xludf.DUMMYFUNCTION("""COMPUTED_VALUE"""),0.0)</f>
        <v>0</v>
      </c>
      <c r="Q1310" s="76" t="b">
        <f>VLOOKUP($B1310,'Run Reconcile'!B$2:O1399,14,FALSE)</f>
        <v>1</v>
      </c>
      <c r="R1310" s="314" t="str">
        <f t="array" ref="R1310">IF($Q1310, INDEX('Run Reconcile'!A$2:A1399,MATCH(B1310,'Run Reconcile'!B$2:B1399,0),1),IFERROR(0/0,""))</f>
        <v>RUN-ABRM_2023-05-22_RFR-228</v>
      </c>
      <c r="S1310" s="315" t="str">
        <f t="shared" ref="S1310:T1310" si="2316">IF(COUNTIF(W$2:W1399, $A1310) &gt; 0,TRUE,IFERROR(0/0,""))</f>
        <v/>
      </c>
      <c r="T1310" s="315" t="str">
        <f t="shared" si="2316"/>
        <v/>
      </c>
      <c r="U1310" s="114" t="str">
        <f t="array" ref="U1310">IF(ISBLANK($R1310), INDEX('Run Reconcile'!A$2:A1399, MATCH($B1310, 'Run Reconcile'!B$2:B1399, 0)+Z1310, 1), IFERROR(0/0,""))
</f>
        <v/>
      </c>
      <c r="V1310" s="316" t="str">
        <f t="shared" si="1281"/>
        <v>RUN-ABRM_2023-05-22_RFR-228</v>
      </c>
      <c r="Y1310" s="317" t="str">
        <f t="shared" si="6"/>
        <v/>
      </c>
      <c r="Z1310" s="83" t="str">
        <f t="shared" si="7"/>
        <v/>
      </c>
      <c r="AA1310" s="83" t="str">
        <f t="shared" si="8"/>
        <v/>
      </c>
      <c r="AB1310" s="83" t="str">
        <f t="shared" si="9"/>
        <v/>
      </c>
      <c r="AC1310" s="18"/>
      <c r="AD1310" s="18"/>
      <c r="AE1310" s="43"/>
      <c r="AF1310" s="58" t="s">
        <v>201</v>
      </c>
      <c r="AG1310" s="55" t="str">
        <f t="shared" si="11"/>
        <v/>
      </c>
    </row>
    <row r="1311">
      <c r="A1311" s="7" t="str">
        <f>IFERROR(__xludf.DUMMYFUNCTION("""COMPUTED_VALUE"""),"AB9294")</f>
        <v>AB9294</v>
      </c>
      <c r="B1311" s="308">
        <f>IFERROR(__xludf.DUMMYFUNCTION("""COMPUTED_VALUE"""),45068.0)</f>
        <v>45068</v>
      </c>
      <c r="C1311" s="309">
        <f>IFERROR(__xludf.DUMMYFUNCTION("""COMPUTED_VALUE"""),0.28988425925925926)</f>
        <v>0.2898842593</v>
      </c>
      <c r="D1311" s="7" t="str">
        <f>IFERROR(__xludf.DUMMYFUNCTION("""COMPUTED_VALUE"""),"SpABRM297307")</f>
        <v>SpABRM297307</v>
      </c>
      <c r="E1311" s="310"/>
      <c r="F1311" s="310"/>
      <c r="G1311" s="310" t="str">
        <f>IFERROR(__xludf.DUMMYFUNCTION("""COMPUTED_VALUE"""),"Negative")</f>
        <v>Negative</v>
      </c>
      <c r="H1311" s="319" t="str">
        <f>IFERROR(__xludf.DUMMYFUNCTION("""COMPUTED_VALUE"""),"Negative")</f>
        <v>Negative</v>
      </c>
      <c r="I1311" s="308">
        <f>IFERROR(__xludf.DUMMYFUNCTION("""COMPUTED_VALUE"""),45068.0)</f>
        <v>45068</v>
      </c>
      <c r="J1311" s="311">
        <f>IFERROR(__xludf.DUMMYFUNCTION("""COMPUTED_VALUE"""),0.39060185185185187)</f>
        <v>0.3906018519</v>
      </c>
      <c r="K1311" s="54"/>
      <c r="L1311" s="7"/>
      <c r="M1311" s="312"/>
      <c r="N1311" s="172">
        <f>IFERROR(__xludf.DUMMYFUNCTION("""COMPUTED_VALUE"""),3.0)</f>
        <v>3</v>
      </c>
      <c r="O1311" s="172"/>
      <c r="P1311" s="313">
        <f>IFERROR(__xludf.DUMMYFUNCTION("""COMPUTED_VALUE"""),0.0)</f>
        <v>0</v>
      </c>
      <c r="Q1311" s="76" t="b">
        <f>VLOOKUP($B1311,'Run Reconcile'!B$2:O1399,14,FALSE)</f>
        <v>1</v>
      </c>
      <c r="R1311" s="314" t="str">
        <f t="array" ref="R1311">IF($Q1311, INDEX('Run Reconcile'!A$2:A1399,MATCH(B1311,'Run Reconcile'!B$2:B1399,0),1),IFERROR(0/0,""))</f>
        <v>RUN-ABRM_2023-05-22_RFR-228</v>
      </c>
      <c r="S1311" s="315" t="str">
        <f t="shared" ref="S1311:T1311" si="2317">IF(COUNTIF(W$2:W1399, $A1311) &gt; 0,TRUE,IFERROR(0/0,""))</f>
        <v/>
      </c>
      <c r="T1311" s="315" t="str">
        <f t="shared" si="2317"/>
        <v/>
      </c>
      <c r="U1311" s="114" t="str">
        <f t="array" ref="U1311">IF(ISBLANK($R1311), INDEX('Run Reconcile'!A$2:A1399, MATCH($B1311, 'Run Reconcile'!B$2:B1399, 0)+Z1311, 1), IFERROR(0/0,""))
</f>
        <v/>
      </c>
      <c r="V1311" s="316" t="str">
        <f t="shared" si="1281"/>
        <v>RUN-ABRM_2023-05-22_RFR-228</v>
      </c>
      <c r="Y1311" s="317" t="str">
        <f t="shared" si="6"/>
        <v/>
      </c>
      <c r="Z1311" s="83" t="str">
        <f t="shared" si="7"/>
        <v/>
      </c>
      <c r="AA1311" s="83" t="str">
        <f t="shared" si="8"/>
        <v/>
      </c>
      <c r="AB1311" s="83" t="str">
        <f t="shared" si="9"/>
        <v/>
      </c>
      <c r="AC1311" s="18"/>
      <c r="AD1311" s="18"/>
      <c r="AE1311" s="43"/>
      <c r="AF1311" s="58" t="s">
        <v>201</v>
      </c>
      <c r="AG1311" s="55" t="str">
        <f t="shared" si="11"/>
        <v/>
      </c>
    </row>
    <row r="1312">
      <c r="A1312" s="7" t="str">
        <f>IFERROR(__xludf.DUMMYFUNCTION("""COMPUTED_VALUE"""),"AR1018")</f>
        <v>AR1018</v>
      </c>
      <c r="B1312" s="308">
        <f>IFERROR(__xludf.DUMMYFUNCTION("""COMPUTED_VALUE"""),45068.0)</f>
        <v>45068</v>
      </c>
      <c r="C1312" s="309">
        <f>IFERROR(__xludf.DUMMYFUNCTION("""COMPUTED_VALUE"""),0.3019791666666667)</f>
        <v>0.3019791667</v>
      </c>
      <c r="D1312" s="7" t="str">
        <f>IFERROR(__xludf.DUMMYFUNCTION("""COMPUTED_VALUE"""),"SpABRM655136")</f>
        <v>SpABRM655136</v>
      </c>
      <c r="E1312" s="310"/>
      <c r="F1312" s="310"/>
      <c r="G1312" s="310" t="str">
        <f>IFERROR(__xludf.DUMMYFUNCTION("""COMPUTED_VALUE"""),"Negative")</f>
        <v>Negative</v>
      </c>
      <c r="H1312" s="319" t="str">
        <f>IFERROR(__xludf.DUMMYFUNCTION("""COMPUTED_VALUE"""),"Negative")</f>
        <v>Negative</v>
      </c>
      <c r="I1312" s="308">
        <f>IFERROR(__xludf.DUMMYFUNCTION("""COMPUTED_VALUE"""),45068.0)</f>
        <v>45068</v>
      </c>
      <c r="J1312" s="311">
        <f>IFERROR(__xludf.DUMMYFUNCTION("""COMPUTED_VALUE"""),0.43333333333333335)</f>
        <v>0.4333333333</v>
      </c>
      <c r="K1312" s="54"/>
      <c r="L1312" s="7"/>
      <c r="M1312" s="312"/>
      <c r="N1312" s="172">
        <f>IFERROR(__xludf.DUMMYFUNCTION("""COMPUTED_VALUE"""),2.0)</f>
        <v>2</v>
      </c>
      <c r="O1312" s="172"/>
      <c r="P1312" s="313">
        <f>IFERROR(__xludf.DUMMYFUNCTION("""COMPUTED_VALUE"""),0.0)</f>
        <v>0</v>
      </c>
      <c r="Q1312" s="76" t="b">
        <f>VLOOKUP($B1312,'Run Reconcile'!B$2:O1399,14,FALSE)</f>
        <v>1</v>
      </c>
      <c r="R1312" s="314" t="str">
        <f t="array" ref="R1312">IF($Q1312, INDEX('Run Reconcile'!A$2:A1399,MATCH(B1312,'Run Reconcile'!B$2:B1399,0),1),IFERROR(0/0,""))</f>
        <v>RUN-ABRM_2023-05-22_RFR-228</v>
      </c>
      <c r="S1312" s="315" t="str">
        <f t="shared" ref="S1312:T1312" si="2318">IF(COUNTIF(W$2:W1399, $A1312) &gt; 0,TRUE,IFERROR(0/0,""))</f>
        <v/>
      </c>
      <c r="T1312" s="315" t="str">
        <f t="shared" si="2318"/>
        <v/>
      </c>
      <c r="U1312" s="114" t="str">
        <f t="array" ref="U1312">IF(ISBLANK($R1312), INDEX('Run Reconcile'!A$2:A1399, MATCH($B1312, 'Run Reconcile'!B$2:B1399, 0)+Z1312, 1), IFERROR(0/0,""))
</f>
        <v/>
      </c>
      <c r="V1312" s="316" t="str">
        <f t="shared" si="1281"/>
        <v>RUN-ABRM_2023-05-22_RFR-228</v>
      </c>
      <c r="Y1312" s="317" t="str">
        <f t="shared" si="6"/>
        <v/>
      </c>
      <c r="Z1312" s="83" t="str">
        <f t="shared" si="7"/>
        <v/>
      </c>
      <c r="AA1312" s="83" t="str">
        <f t="shared" si="8"/>
        <v/>
      </c>
      <c r="AB1312" s="83" t="str">
        <f t="shared" si="9"/>
        <v/>
      </c>
      <c r="AC1312" s="18"/>
      <c r="AD1312" s="18"/>
      <c r="AE1312" s="43"/>
      <c r="AF1312" s="58" t="s">
        <v>201</v>
      </c>
      <c r="AG1312" s="55" t="str">
        <f t="shared" si="11"/>
        <v/>
      </c>
    </row>
    <row r="1313">
      <c r="A1313" s="7" t="str">
        <f>IFERROR(__xludf.DUMMYFUNCTION("""COMPUTED_VALUE"""),"AK9968")</f>
        <v>AK9968</v>
      </c>
      <c r="B1313" s="308">
        <f>IFERROR(__xludf.DUMMYFUNCTION("""COMPUTED_VALUE"""),45068.0)</f>
        <v>45068</v>
      </c>
      <c r="C1313" s="309">
        <f>IFERROR(__xludf.DUMMYFUNCTION("""COMPUTED_VALUE"""),0.3363773148148148)</f>
        <v>0.3363773148</v>
      </c>
      <c r="D1313" s="7" t="str">
        <f>IFERROR(__xludf.DUMMYFUNCTION("""COMPUTED_VALUE"""),"SpABRM655136")</f>
        <v>SpABRM655136</v>
      </c>
      <c r="E1313" s="310"/>
      <c r="F1313" s="310"/>
      <c r="G1313" s="310" t="str">
        <f>IFERROR(__xludf.DUMMYFUNCTION("""COMPUTED_VALUE"""),"Negative")</f>
        <v>Negative</v>
      </c>
      <c r="H1313" s="319" t="str">
        <f>IFERROR(__xludf.DUMMYFUNCTION("""COMPUTED_VALUE"""),"Negative")</f>
        <v>Negative</v>
      </c>
      <c r="I1313" s="308">
        <f>IFERROR(__xludf.DUMMYFUNCTION("""COMPUTED_VALUE"""),45068.0)</f>
        <v>45068</v>
      </c>
      <c r="J1313" s="311">
        <f>IFERROR(__xludf.DUMMYFUNCTION("""COMPUTED_VALUE"""),0.3906134259259259)</f>
        <v>0.3906134259</v>
      </c>
      <c r="K1313" s="54"/>
      <c r="L1313" s="7"/>
      <c r="M1313" s="312"/>
      <c r="N1313" s="172">
        <f>IFERROR(__xludf.DUMMYFUNCTION("""COMPUTED_VALUE"""),3.0)</f>
        <v>3</v>
      </c>
      <c r="O1313" s="172"/>
      <c r="P1313" s="313">
        <f>IFERROR(__xludf.DUMMYFUNCTION("""COMPUTED_VALUE"""),0.0)</f>
        <v>0</v>
      </c>
      <c r="Q1313" s="76" t="b">
        <f>VLOOKUP($B1313,'Run Reconcile'!B$2:O1399,14,FALSE)</f>
        <v>1</v>
      </c>
      <c r="R1313" s="314" t="str">
        <f t="array" ref="R1313">IF($Q1313, INDEX('Run Reconcile'!A$2:A1399,MATCH(B1313,'Run Reconcile'!B$2:B1399,0),1),IFERROR(0/0,""))</f>
        <v>RUN-ABRM_2023-05-22_RFR-228</v>
      </c>
      <c r="S1313" s="315" t="str">
        <f t="shared" ref="S1313:T1313" si="2319">IF(COUNTIF(W$2:W1399, $A1313) &gt; 0,TRUE,IFERROR(0/0,""))</f>
        <v/>
      </c>
      <c r="T1313" s="315" t="str">
        <f t="shared" si="2319"/>
        <v/>
      </c>
      <c r="U1313" s="114" t="str">
        <f t="array" ref="U1313">IF(ISBLANK($R1313), INDEX('Run Reconcile'!A$2:A1399, MATCH($B1313, 'Run Reconcile'!B$2:B1399, 0)+Z1313, 1), IFERROR(0/0,""))
</f>
        <v/>
      </c>
      <c r="V1313" s="316" t="str">
        <f t="shared" si="1281"/>
        <v>RUN-ABRM_2023-05-22_RFR-228</v>
      </c>
      <c r="Y1313" s="317" t="str">
        <f t="shared" si="6"/>
        <v/>
      </c>
      <c r="Z1313" s="83" t="str">
        <f t="shared" si="7"/>
        <v/>
      </c>
      <c r="AA1313" s="83" t="str">
        <f t="shared" si="8"/>
        <v/>
      </c>
      <c r="AB1313" s="83" t="str">
        <f t="shared" si="9"/>
        <v/>
      </c>
      <c r="AC1313" s="18"/>
      <c r="AD1313" s="18"/>
      <c r="AE1313" s="43"/>
      <c r="AF1313" s="58" t="s">
        <v>201</v>
      </c>
      <c r="AG1313" s="55" t="str">
        <f t="shared" si="11"/>
        <v/>
      </c>
    </row>
    <row r="1314">
      <c r="A1314" s="7" t="str">
        <f>IFERROR(__xludf.DUMMYFUNCTION("""COMPUTED_VALUE"""),"AR1690")</f>
        <v>AR1690</v>
      </c>
      <c r="B1314" s="308">
        <f>IFERROR(__xludf.DUMMYFUNCTION("""COMPUTED_VALUE"""),45069.0)</f>
        <v>45069</v>
      </c>
      <c r="C1314" s="309">
        <f>IFERROR(__xludf.DUMMYFUNCTION("""COMPUTED_VALUE"""),0.23931712962962962)</f>
        <v>0.2393171296</v>
      </c>
      <c r="D1314" s="7" t="str">
        <f>IFERROR(__xludf.DUMMYFUNCTION("""COMPUTED_VALUE"""),"SpABRM297307")</f>
        <v>SpABRM297307</v>
      </c>
      <c r="E1314" s="310"/>
      <c r="F1314" s="310"/>
      <c r="G1314" s="310" t="str">
        <f>IFERROR(__xludf.DUMMYFUNCTION("""COMPUTED_VALUE"""),"Negative")</f>
        <v>Negative</v>
      </c>
      <c r="H1314" s="319" t="str">
        <f>IFERROR(__xludf.DUMMYFUNCTION("""COMPUTED_VALUE"""),"Negative")</f>
        <v>Negative</v>
      </c>
      <c r="I1314" s="308">
        <f>IFERROR(__xludf.DUMMYFUNCTION("""COMPUTED_VALUE"""),45069.0)</f>
        <v>45069</v>
      </c>
      <c r="J1314" s="311">
        <f>IFERROR(__xludf.DUMMYFUNCTION("""COMPUTED_VALUE"""),0.4007060185185185)</f>
        <v>0.4007060185</v>
      </c>
      <c r="K1314" s="54"/>
      <c r="L1314" s="7"/>
      <c r="M1314" s="312"/>
      <c r="N1314" s="172">
        <f>IFERROR(__xludf.DUMMYFUNCTION("""COMPUTED_VALUE"""),3.0)</f>
        <v>3</v>
      </c>
      <c r="O1314" s="172"/>
      <c r="P1314" s="313">
        <f>IFERROR(__xludf.DUMMYFUNCTION("""COMPUTED_VALUE"""),0.0)</f>
        <v>0</v>
      </c>
      <c r="Q1314" s="76" t="b">
        <f>VLOOKUP($B1314,'Run Reconcile'!B$2:O1399,14,FALSE)</f>
        <v>1</v>
      </c>
      <c r="R1314" s="314" t="str">
        <f t="array" ref="R1314">IF($Q1314, INDEX('Run Reconcile'!A$2:A1399,MATCH(B1314,'Run Reconcile'!B$2:B1399,0),1),IFERROR(0/0,""))</f>
        <v>RUN-ABRM_2023-05-23_RFR-231</v>
      </c>
      <c r="S1314" s="315" t="str">
        <f t="shared" ref="S1314:T1314" si="2320">IF(COUNTIF(W$2:W1399, $A1314) &gt; 0,TRUE,IFERROR(0/0,""))</f>
        <v/>
      </c>
      <c r="T1314" s="315" t="str">
        <f t="shared" si="2320"/>
        <v/>
      </c>
      <c r="U1314" s="114" t="str">
        <f t="array" ref="U1314">IF(ISBLANK($R1314), INDEX('Run Reconcile'!A$2:A1399, MATCH($B1314, 'Run Reconcile'!B$2:B1399, 0)+Z1314, 1), IFERROR(0/0,""))
</f>
        <v/>
      </c>
      <c r="V1314" s="316" t="str">
        <f t="shared" si="1281"/>
        <v>RUN-ABRM_2023-05-23_RFR-231</v>
      </c>
      <c r="Y1314" s="317" t="str">
        <f t="shared" si="6"/>
        <v/>
      </c>
      <c r="Z1314" s="83" t="str">
        <f t="shared" si="7"/>
        <v/>
      </c>
      <c r="AA1314" s="83" t="str">
        <f t="shared" si="8"/>
        <v/>
      </c>
      <c r="AB1314" s="83" t="str">
        <f t="shared" si="9"/>
        <v/>
      </c>
      <c r="AC1314" s="18"/>
      <c r="AD1314" s="18"/>
      <c r="AE1314" s="43"/>
      <c r="AF1314" s="58" t="s">
        <v>202</v>
      </c>
      <c r="AG1314" s="55" t="str">
        <f t="shared" si="11"/>
        <v/>
      </c>
    </row>
    <row r="1315">
      <c r="A1315" s="7" t="str">
        <f>IFERROR(__xludf.DUMMYFUNCTION("""COMPUTED_VALUE"""),"AK9872")</f>
        <v>AK9872</v>
      </c>
      <c r="B1315" s="308">
        <f>IFERROR(__xludf.DUMMYFUNCTION("""COMPUTED_VALUE"""),45069.0)</f>
        <v>45069</v>
      </c>
      <c r="C1315" s="309">
        <f>IFERROR(__xludf.DUMMYFUNCTION("""COMPUTED_VALUE"""),0.280162037037037)</f>
        <v>0.280162037</v>
      </c>
      <c r="D1315" s="7" t="str">
        <f>IFERROR(__xludf.DUMMYFUNCTION("""COMPUTED_VALUE"""),"SpABRM581899")</f>
        <v>SpABRM581899</v>
      </c>
      <c r="E1315" s="310"/>
      <c r="F1315" s="310"/>
      <c r="G1315" s="310" t="str">
        <f>IFERROR(__xludf.DUMMYFUNCTION("""COMPUTED_VALUE"""),"Negative")</f>
        <v>Negative</v>
      </c>
      <c r="H1315" s="319" t="str">
        <f>IFERROR(__xludf.DUMMYFUNCTION("""COMPUTED_VALUE"""),"Negative")</f>
        <v>Negative</v>
      </c>
      <c r="I1315" s="308">
        <f>IFERROR(__xludf.DUMMYFUNCTION("""COMPUTED_VALUE"""),45069.0)</f>
        <v>45069</v>
      </c>
      <c r="J1315" s="311">
        <f>IFERROR(__xludf.DUMMYFUNCTION("""COMPUTED_VALUE"""),0.4007175925925926)</f>
        <v>0.4007175926</v>
      </c>
      <c r="K1315" s="54"/>
      <c r="L1315" s="7"/>
      <c r="M1315" s="312"/>
      <c r="N1315" s="172">
        <f>IFERROR(__xludf.DUMMYFUNCTION("""COMPUTED_VALUE"""),3.0)</f>
        <v>3</v>
      </c>
      <c r="O1315" s="172"/>
      <c r="P1315" s="313">
        <f>IFERROR(__xludf.DUMMYFUNCTION("""COMPUTED_VALUE"""),0.0)</f>
        <v>0</v>
      </c>
      <c r="Q1315" s="76" t="b">
        <f>VLOOKUP($B1315,'Run Reconcile'!B$2:O1399,14,FALSE)</f>
        <v>1</v>
      </c>
      <c r="R1315" s="314" t="str">
        <f t="array" ref="R1315">IF($Q1315, INDEX('Run Reconcile'!A$2:A1399,MATCH(B1315,'Run Reconcile'!B$2:B1399,0),1),IFERROR(0/0,""))</f>
        <v>RUN-ABRM_2023-05-23_RFR-231</v>
      </c>
      <c r="S1315" s="315" t="str">
        <f t="shared" ref="S1315:T1315" si="2321">IF(COUNTIF(W$2:W1399, $A1315) &gt; 0,TRUE,IFERROR(0/0,""))</f>
        <v/>
      </c>
      <c r="T1315" s="315" t="str">
        <f t="shared" si="2321"/>
        <v/>
      </c>
      <c r="U1315" s="114" t="str">
        <f t="array" ref="U1315">IF(ISBLANK($R1315), INDEX('Run Reconcile'!A$2:A1399, MATCH($B1315, 'Run Reconcile'!B$2:B1399, 0)+Z1315, 1), IFERROR(0/0,""))
</f>
        <v/>
      </c>
      <c r="V1315" s="316" t="str">
        <f t="shared" si="1281"/>
        <v>RUN-ABRM_2023-05-23_RFR-231</v>
      </c>
      <c r="Y1315" s="317" t="str">
        <f t="shared" si="6"/>
        <v/>
      </c>
      <c r="Z1315" s="83" t="str">
        <f t="shared" si="7"/>
        <v/>
      </c>
      <c r="AA1315" s="83" t="str">
        <f t="shared" si="8"/>
        <v/>
      </c>
      <c r="AB1315" s="83" t="str">
        <f t="shared" si="9"/>
        <v/>
      </c>
      <c r="AC1315" s="18"/>
      <c r="AD1315" s="18"/>
      <c r="AE1315" s="43"/>
      <c r="AF1315" s="58" t="s">
        <v>202</v>
      </c>
      <c r="AG1315" s="55" t="str">
        <f t="shared" si="11"/>
        <v/>
      </c>
    </row>
    <row r="1316">
      <c r="A1316" s="7" t="str">
        <f>IFERROR(__xludf.DUMMYFUNCTION("""COMPUTED_VALUE"""),"AB9291")</f>
        <v>AB9291</v>
      </c>
      <c r="B1316" s="308">
        <f>IFERROR(__xludf.DUMMYFUNCTION("""COMPUTED_VALUE"""),45069.0)</f>
        <v>45069</v>
      </c>
      <c r="C1316" s="309">
        <f>IFERROR(__xludf.DUMMYFUNCTION("""COMPUTED_VALUE"""),0.3019560185185185)</f>
        <v>0.3019560185</v>
      </c>
      <c r="D1316" s="7" t="str">
        <f>IFERROR(__xludf.DUMMYFUNCTION("""COMPUTED_VALUE"""),"SpABRM128250")</f>
        <v>SpABRM128250</v>
      </c>
      <c r="E1316" s="310"/>
      <c r="F1316" s="310"/>
      <c r="G1316" s="310" t="str">
        <f>IFERROR(__xludf.DUMMYFUNCTION("""COMPUTED_VALUE"""),"Positive")</f>
        <v>Positive</v>
      </c>
      <c r="H1316" s="319" t="str">
        <f>IFERROR(__xludf.DUMMYFUNCTION("""COMPUTED_VALUE"""),"Positive")</f>
        <v>Positive</v>
      </c>
      <c r="I1316" s="308">
        <f>IFERROR(__xludf.DUMMYFUNCTION("""COMPUTED_VALUE"""),45069.0)</f>
        <v>45069</v>
      </c>
      <c r="J1316" s="311">
        <f>IFERROR(__xludf.DUMMYFUNCTION("""COMPUTED_VALUE"""),0.40076388888888886)</f>
        <v>0.4007638889</v>
      </c>
      <c r="K1316" s="54"/>
      <c r="L1316" s="7"/>
      <c r="M1316" s="312"/>
      <c r="N1316" s="172">
        <f>IFERROR(__xludf.DUMMYFUNCTION("""COMPUTED_VALUE"""),3.0)</f>
        <v>3</v>
      </c>
      <c r="O1316" s="172"/>
      <c r="P1316" s="313">
        <f>IFERROR(__xludf.DUMMYFUNCTION("""COMPUTED_VALUE"""),0.0)</f>
        <v>0</v>
      </c>
      <c r="Q1316" s="76" t="b">
        <f>VLOOKUP($B1316,'Run Reconcile'!B$2:O1399,14,FALSE)</f>
        <v>1</v>
      </c>
      <c r="R1316" s="314" t="str">
        <f t="array" ref="R1316">IF($Q1316, INDEX('Run Reconcile'!A$2:A1399,MATCH(B1316,'Run Reconcile'!B$2:B1399,0),1),IFERROR(0/0,""))</f>
        <v>RUN-ABRM_2023-05-23_RFR-231</v>
      </c>
      <c r="S1316" s="315" t="str">
        <f t="shared" ref="S1316:T1316" si="2322">IF(COUNTIF(W$2:W1399, $A1316) &gt; 0,TRUE,IFERROR(0/0,""))</f>
        <v/>
      </c>
      <c r="T1316" s="315" t="str">
        <f t="shared" si="2322"/>
        <v/>
      </c>
      <c r="U1316" s="114" t="str">
        <f t="array" ref="U1316">IF(ISBLANK($R1316), INDEX('Run Reconcile'!A$2:A1399, MATCH($B1316, 'Run Reconcile'!B$2:B1399, 0)+Z1316, 1), IFERROR(0/0,""))
</f>
        <v/>
      </c>
      <c r="V1316" s="316" t="str">
        <f t="shared" si="1281"/>
        <v>RUN-ABRM_2023-05-23_RFR-231</v>
      </c>
      <c r="Y1316" s="317" t="str">
        <f t="shared" si="6"/>
        <v/>
      </c>
      <c r="Z1316" s="83" t="str">
        <f t="shared" si="7"/>
        <v/>
      </c>
      <c r="AA1316" s="83" t="str">
        <f t="shared" si="8"/>
        <v/>
      </c>
      <c r="AB1316" s="83" t="str">
        <f t="shared" si="9"/>
        <v/>
      </c>
      <c r="AC1316" s="18"/>
      <c r="AD1316" s="18"/>
      <c r="AE1316" s="43"/>
      <c r="AF1316" s="58" t="s">
        <v>202</v>
      </c>
      <c r="AG1316" s="55" t="str">
        <f t="shared" si="11"/>
        <v/>
      </c>
    </row>
    <row r="1317">
      <c r="A1317" s="7" t="str">
        <f>IFERROR(__xludf.DUMMYFUNCTION("""COMPUTED_VALUE"""),"AR669")</f>
        <v>AR669</v>
      </c>
      <c r="B1317" s="308">
        <f>IFERROR(__xludf.DUMMYFUNCTION("""COMPUTED_VALUE"""),45069.0)</f>
        <v>45069</v>
      </c>
      <c r="C1317" s="309">
        <f>IFERROR(__xludf.DUMMYFUNCTION("""COMPUTED_VALUE"""),0.30309027777777775)</f>
        <v>0.3030902778</v>
      </c>
      <c r="D1317" s="7" t="str">
        <f>IFERROR(__xludf.DUMMYFUNCTION("""COMPUTED_VALUE"""),"SpABRM655136")</f>
        <v>SpABRM655136</v>
      </c>
      <c r="E1317" s="310"/>
      <c r="F1317" s="310"/>
      <c r="G1317" s="310" t="str">
        <f>IFERROR(__xludf.DUMMYFUNCTION("""COMPUTED_VALUE"""),"Negative")</f>
        <v>Negative</v>
      </c>
      <c r="H1317" s="319" t="str">
        <f>IFERROR(__xludf.DUMMYFUNCTION("""COMPUTED_VALUE"""),"Negative")</f>
        <v>Negative</v>
      </c>
      <c r="I1317" s="308">
        <f>IFERROR(__xludf.DUMMYFUNCTION("""COMPUTED_VALUE"""),45069.0)</f>
        <v>45069</v>
      </c>
      <c r="J1317" s="311">
        <f>IFERROR(__xludf.DUMMYFUNCTION("""COMPUTED_VALUE"""),0.4007291666666667)</f>
        <v>0.4007291667</v>
      </c>
      <c r="K1317" s="54"/>
      <c r="L1317" s="7"/>
      <c r="M1317" s="312"/>
      <c r="N1317" s="172">
        <f>IFERROR(__xludf.DUMMYFUNCTION("""COMPUTED_VALUE"""),2.0)</f>
        <v>2</v>
      </c>
      <c r="O1317" s="172"/>
      <c r="P1317" s="313">
        <f>IFERROR(__xludf.DUMMYFUNCTION("""COMPUTED_VALUE"""),0.0)</f>
        <v>0</v>
      </c>
      <c r="Q1317" s="76" t="b">
        <f>VLOOKUP($B1317,'Run Reconcile'!B$2:O1399,14,FALSE)</f>
        <v>1</v>
      </c>
      <c r="R1317" s="314" t="str">
        <f t="array" ref="R1317">IF($Q1317, INDEX('Run Reconcile'!A$2:A1399,MATCH(B1317,'Run Reconcile'!B$2:B1399,0),1),IFERROR(0/0,""))</f>
        <v>RUN-ABRM_2023-05-23_RFR-231</v>
      </c>
      <c r="S1317" s="315" t="str">
        <f t="shared" ref="S1317:T1317" si="2323">IF(COUNTIF(W$2:W1399, $A1317) &gt; 0,TRUE,IFERROR(0/0,""))</f>
        <v/>
      </c>
      <c r="T1317" s="315" t="str">
        <f t="shared" si="2323"/>
        <v/>
      </c>
      <c r="U1317" s="114" t="str">
        <f t="array" ref="U1317">IF(ISBLANK($R1317), INDEX('Run Reconcile'!A$2:A1399, MATCH($B1317, 'Run Reconcile'!B$2:B1399, 0)+Z1317, 1), IFERROR(0/0,""))
</f>
        <v/>
      </c>
      <c r="V1317" s="316" t="str">
        <f t="shared" si="1281"/>
        <v>RUN-ABRM_2023-05-23_RFR-231</v>
      </c>
      <c r="Y1317" s="317" t="str">
        <f t="shared" si="6"/>
        <v/>
      </c>
      <c r="Z1317" s="83" t="str">
        <f t="shared" si="7"/>
        <v/>
      </c>
      <c r="AA1317" s="83" t="str">
        <f t="shared" si="8"/>
        <v/>
      </c>
      <c r="AB1317" s="83" t="str">
        <f t="shared" si="9"/>
        <v/>
      </c>
      <c r="AC1317" s="18"/>
      <c r="AD1317" s="18"/>
      <c r="AE1317" s="43"/>
      <c r="AF1317" s="58" t="s">
        <v>202</v>
      </c>
      <c r="AG1317" s="55" t="str">
        <f t="shared" si="11"/>
        <v/>
      </c>
    </row>
    <row r="1318">
      <c r="A1318" s="7" t="str">
        <f>IFERROR(__xludf.DUMMYFUNCTION("""COMPUTED_VALUE"""),"AR1427")</f>
        <v>AR1427</v>
      </c>
      <c r="B1318" s="308">
        <f>IFERROR(__xludf.DUMMYFUNCTION("""COMPUTED_VALUE"""),45069.0)</f>
        <v>45069</v>
      </c>
      <c r="C1318" s="309">
        <f>IFERROR(__xludf.DUMMYFUNCTION("""COMPUTED_VALUE"""),0.3033796296296296)</f>
        <v>0.3033796296</v>
      </c>
      <c r="D1318" s="7" t="str">
        <f>IFERROR(__xludf.DUMMYFUNCTION("""COMPUTED_VALUE"""),"SpABRM655136")</f>
        <v>SpABRM655136</v>
      </c>
      <c r="E1318" s="310"/>
      <c r="F1318" s="310"/>
      <c r="G1318" s="310" t="str">
        <f>IFERROR(__xludf.DUMMYFUNCTION("""COMPUTED_VALUE"""),"Negative")</f>
        <v>Negative</v>
      </c>
      <c r="H1318" s="319" t="str">
        <f>IFERROR(__xludf.DUMMYFUNCTION("""COMPUTED_VALUE"""),"Negative")</f>
        <v>Negative</v>
      </c>
      <c r="I1318" s="308">
        <f>IFERROR(__xludf.DUMMYFUNCTION("""COMPUTED_VALUE"""),45069.0)</f>
        <v>45069</v>
      </c>
      <c r="J1318" s="311">
        <f>IFERROR(__xludf.DUMMYFUNCTION("""COMPUTED_VALUE"""),0.40074074074074073)</f>
        <v>0.4007407407</v>
      </c>
      <c r="K1318" s="54"/>
      <c r="L1318" s="7"/>
      <c r="M1318" s="312"/>
      <c r="N1318" s="172">
        <f>IFERROR(__xludf.DUMMYFUNCTION("""COMPUTED_VALUE"""),2.0)</f>
        <v>2</v>
      </c>
      <c r="O1318" s="172"/>
      <c r="P1318" s="313">
        <f>IFERROR(__xludf.DUMMYFUNCTION("""COMPUTED_VALUE"""),0.0)</f>
        <v>0</v>
      </c>
      <c r="Q1318" s="76" t="b">
        <f>VLOOKUP($B1318,'Run Reconcile'!B$2:O1399,14,FALSE)</f>
        <v>1</v>
      </c>
      <c r="R1318" s="314" t="str">
        <f t="array" ref="R1318">IF($Q1318, INDEX('Run Reconcile'!A$2:A1399,MATCH(B1318,'Run Reconcile'!B$2:B1399,0),1),IFERROR(0/0,""))</f>
        <v>RUN-ABRM_2023-05-23_RFR-231</v>
      </c>
      <c r="S1318" s="315" t="str">
        <f t="shared" ref="S1318:T1318" si="2324">IF(COUNTIF(W$2:W1399, $A1318) &gt; 0,TRUE,IFERROR(0/0,""))</f>
        <v/>
      </c>
      <c r="T1318" s="315" t="str">
        <f t="shared" si="2324"/>
        <v/>
      </c>
      <c r="U1318" s="114" t="str">
        <f t="array" ref="U1318">IF(ISBLANK($R1318), INDEX('Run Reconcile'!A$2:A1399, MATCH($B1318, 'Run Reconcile'!B$2:B1399, 0)+Z1318, 1), IFERROR(0/0,""))
</f>
        <v/>
      </c>
      <c r="V1318" s="316" t="str">
        <f t="shared" si="1281"/>
        <v>RUN-ABRM_2023-05-23_RFR-231</v>
      </c>
      <c r="Y1318" s="317" t="str">
        <f t="shared" si="6"/>
        <v/>
      </c>
      <c r="Z1318" s="83" t="str">
        <f t="shared" si="7"/>
        <v/>
      </c>
      <c r="AA1318" s="83" t="str">
        <f t="shared" si="8"/>
        <v/>
      </c>
      <c r="AB1318" s="83" t="str">
        <f t="shared" si="9"/>
        <v/>
      </c>
      <c r="AC1318" s="18"/>
      <c r="AD1318" s="18"/>
      <c r="AE1318" s="43"/>
      <c r="AF1318" s="58" t="s">
        <v>202</v>
      </c>
      <c r="AG1318" s="55" t="str">
        <f t="shared" si="11"/>
        <v/>
      </c>
    </row>
    <row r="1319">
      <c r="A1319" s="7" t="str">
        <f>IFERROR(__xludf.DUMMYFUNCTION("""COMPUTED_VALUE"""),"AR1265")</f>
        <v>AR1265</v>
      </c>
      <c r="B1319" s="308">
        <f>IFERROR(__xludf.DUMMYFUNCTION("""COMPUTED_VALUE"""),45069.0)</f>
        <v>45069</v>
      </c>
      <c r="C1319" s="309">
        <f>IFERROR(__xludf.DUMMYFUNCTION("""COMPUTED_VALUE"""),0.33762731481481484)</f>
        <v>0.3376273148</v>
      </c>
      <c r="D1319" s="7" t="str">
        <f>IFERROR(__xludf.DUMMYFUNCTION("""COMPUTED_VALUE"""),"SpABRM655136")</f>
        <v>SpABRM655136</v>
      </c>
      <c r="E1319" s="310"/>
      <c r="F1319" s="310"/>
      <c r="G1319" s="310" t="str">
        <f>IFERROR(__xludf.DUMMYFUNCTION("""COMPUTED_VALUE"""),"Positive")</f>
        <v>Positive</v>
      </c>
      <c r="H1319" s="319" t="str">
        <f>IFERROR(__xludf.DUMMYFUNCTION("""COMPUTED_VALUE"""),"Positive")</f>
        <v>Positive</v>
      </c>
      <c r="I1319" s="308">
        <f>IFERROR(__xludf.DUMMYFUNCTION("""COMPUTED_VALUE"""),45069.0)</f>
        <v>45069</v>
      </c>
      <c r="J1319" s="311">
        <f>IFERROR(__xludf.DUMMYFUNCTION("""COMPUTED_VALUE"""),0.40074074074074073)</f>
        <v>0.4007407407</v>
      </c>
      <c r="K1319" s="54"/>
      <c r="L1319" s="7"/>
      <c r="M1319" s="312"/>
      <c r="N1319" s="172">
        <f>IFERROR(__xludf.DUMMYFUNCTION("""COMPUTED_VALUE"""),1.0)</f>
        <v>1</v>
      </c>
      <c r="O1319" s="172"/>
      <c r="P1319" s="313">
        <f>IFERROR(__xludf.DUMMYFUNCTION("""COMPUTED_VALUE"""),0.0)</f>
        <v>0</v>
      </c>
      <c r="Q1319" s="76" t="b">
        <f>VLOOKUP($B1319,'Run Reconcile'!B$2:O1399,14,FALSE)</f>
        <v>1</v>
      </c>
      <c r="R1319" s="314" t="str">
        <f t="array" ref="R1319">IF($Q1319, INDEX('Run Reconcile'!A$2:A1399,MATCH(B1319,'Run Reconcile'!B$2:B1399,0),1),IFERROR(0/0,""))</f>
        <v>RUN-ABRM_2023-05-23_RFR-231</v>
      </c>
      <c r="S1319" s="315" t="str">
        <f t="shared" ref="S1319:T1319" si="2325">IF(COUNTIF(W$2:W1399, $A1319) &gt; 0,TRUE,IFERROR(0/0,""))</f>
        <v/>
      </c>
      <c r="T1319" s="315" t="str">
        <f t="shared" si="2325"/>
        <v/>
      </c>
      <c r="U1319" s="114" t="str">
        <f t="array" ref="U1319">IF(ISBLANK($R1319), INDEX('Run Reconcile'!A$2:A1399, MATCH($B1319, 'Run Reconcile'!B$2:B1399, 0)+Z1319, 1), IFERROR(0/0,""))
</f>
        <v/>
      </c>
      <c r="V1319" s="316" t="str">
        <f t="shared" si="1281"/>
        <v>RUN-ABRM_2023-05-23_RFR-231</v>
      </c>
      <c r="Y1319" s="317" t="str">
        <f t="shared" si="6"/>
        <v/>
      </c>
      <c r="Z1319" s="83" t="str">
        <f t="shared" si="7"/>
        <v/>
      </c>
      <c r="AA1319" s="83" t="str">
        <f t="shared" si="8"/>
        <v/>
      </c>
      <c r="AB1319" s="83" t="str">
        <f t="shared" si="9"/>
        <v/>
      </c>
      <c r="AC1319" s="18"/>
      <c r="AD1319" s="18"/>
      <c r="AE1319" s="43"/>
      <c r="AF1319" s="58" t="s">
        <v>202</v>
      </c>
      <c r="AG1319" s="55" t="str">
        <f t="shared" si="11"/>
        <v/>
      </c>
    </row>
    <row r="1320">
      <c r="A1320" s="7" t="str">
        <f>IFERROR(__xludf.DUMMYFUNCTION("""COMPUTED_VALUE"""),"AR15")</f>
        <v>AR15</v>
      </c>
      <c r="B1320" s="308">
        <f>IFERROR(__xludf.DUMMYFUNCTION("""COMPUTED_VALUE"""),45069.0)</f>
        <v>45069</v>
      </c>
      <c r="C1320" s="309">
        <f>IFERROR(__xludf.DUMMYFUNCTION("""COMPUTED_VALUE"""),0.3383564814814815)</f>
        <v>0.3383564815</v>
      </c>
      <c r="D1320" s="7" t="str">
        <f>IFERROR(__xludf.DUMMYFUNCTION("""COMPUTED_VALUE"""),"SpABRM655136")</f>
        <v>SpABRM655136</v>
      </c>
      <c r="E1320" s="310"/>
      <c r="F1320" s="310"/>
      <c r="G1320" s="310" t="str">
        <f>IFERROR(__xludf.DUMMYFUNCTION("""COMPUTED_VALUE"""),"Positive")</f>
        <v>Positive</v>
      </c>
      <c r="H1320" s="319" t="str">
        <f>IFERROR(__xludf.DUMMYFUNCTION("""COMPUTED_VALUE"""),"Positive")</f>
        <v>Positive</v>
      </c>
      <c r="I1320" s="308">
        <f>IFERROR(__xludf.DUMMYFUNCTION("""COMPUTED_VALUE"""),45069.0)</f>
        <v>45069</v>
      </c>
      <c r="J1320" s="311">
        <f>IFERROR(__xludf.DUMMYFUNCTION("""COMPUTED_VALUE"""),0.4007291666666667)</f>
        <v>0.4007291667</v>
      </c>
      <c r="K1320" s="54"/>
      <c r="L1320" s="7"/>
      <c r="M1320" s="312"/>
      <c r="N1320" s="172">
        <f>IFERROR(__xludf.DUMMYFUNCTION("""COMPUTED_VALUE"""),1.0)</f>
        <v>1</v>
      </c>
      <c r="O1320" s="172"/>
      <c r="P1320" s="313">
        <f>IFERROR(__xludf.DUMMYFUNCTION("""COMPUTED_VALUE"""),0.0)</f>
        <v>0</v>
      </c>
      <c r="Q1320" s="76" t="b">
        <f>VLOOKUP($B1320,'Run Reconcile'!B$2:O1399,14,FALSE)</f>
        <v>1</v>
      </c>
      <c r="R1320" s="314" t="str">
        <f t="array" ref="R1320">IF($Q1320, INDEX('Run Reconcile'!A$2:A1399,MATCH(B1320,'Run Reconcile'!B$2:B1399,0),1),IFERROR(0/0,""))</f>
        <v>RUN-ABRM_2023-05-23_RFR-231</v>
      </c>
      <c r="S1320" s="315" t="str">
        <f t="shared" ref="S1320:T1320" si="2326">IF(COUNTIF(W$2:W1399, $A1320) &gt; 0,TRUE,IFERROR(0/0,""))</f>
        <v/>
      </c>
      <c r="T1320" s="315" t="str">
        <f t="shared" si="2326"/>
        <v/>
      </c>
      <c r="U1320" s="114" t="str">
        <f t="array" ref="U1320">IF(ISBLANK($R1320), INDEX('Run Reconcile'!A$2:A1399, MATCH($B1320, 'Run Reconcile'!B$2:B1399, 0)+Z1320, 1), IFERROR(0/0,""))
</f>
        <v/>
      </c>
      <c r="V1320" s="316" t="str">
        <f t="shared" si="1281"/>
        <v>RUN-ABRM_2023-05-23_RFR-231</v>
      </c>
      <c r="Y1320" s="317" t="str">
        <f t="shared" si="6"/>
        <v/>
      </c>
      <c r="Z1320" s="83" t="str">
        <f t="shared" si="7"/>
        <v/>
      </c>
      <c r="AA1320" s="83" t="str">
        <f t="shared" si="8"/>
        <v/>
      </c>
      <c r="AB1320" s="83" t="str">
        <f t="shared" si="9"/>
        <v/>
      </c>
      <c r="AC1320" s="18"/>
      <c r="AD1320" s="18"/>
      <c r="AE1320" s="43"/>
      <c r="AF1320" s="58" t="s">
        <v>202</v>
      </c>
      <c r="AG1320" s="55" t="str">
        <f t="shared" si="11"/>
        <v/>
      </c>
    </row>
    <row r="1321">
      <c r="A1321" s="7" t="str">
        <f>IFERROR(__xludf.DUMMYFUNCTION("""COMPUTED_VALUE"""),"AK9590")</f>
        <v>AK9590</v>
      </c>
      <c r="B1321" s="308">
        <f>IFERROR(__xludf.DUMMYFUNCTION("""COMPUTED_VALUE"""),45069.0)</f>
        <v>45069</v>
      </c>
      <c r="C1321" s="309">
        <f>IFERROR(__xludf.DUMMYFUNCTION("""COMPUTED_VALUE"""),0.3387615740740741)</f>
        <v>0.3387615741</v>
      </c>
      <c r="D1321" s="7" t="str">
        <f>IFERROR(__xludf.DUMMYFUNCTION("""COMPUTED_VALUE"""),"SpABRM655136")</f>
        <v>SpABRM655136</v>
      </c>
      <c r="E1321" s="310"/>
      <c r="F1321" s="310"/>
      <c r="G1321" s="310" t="str">
        <f>IFERROR(__xludf.DUMMYFUNCTION("""COMPUTED_VALUE"""),"Positive")</f>
        <v>Positive</v>
      </c>
      <c r="H1321" s="319" t="str">
        <f>IFERROR(__xludf.DUMMYFUNCTION("""COMPUTED_VALUE"""),"Positive")</f>
        <v>Positive</v>
      </c>
      <c r="I1321" s="308">
        <f>IFERROR(__xludf.DUMMYFUNCTION("""COMPUTED_VALUE"""),45069.0)</f>
        <v>45069</v>
      </c>
      <c r="J1321" s="311">
        <f>IFERROR(__xludf.DUMMYFUNCTION("""COMPUTED_VALUE"""),0.4007060185185185)</f>
        <v>0.4007060185</v>
      </c>
      <c r="K1321" s="54"/>
      <c r="L1321" s="7"/>
      <c r="M1321" s="312"/>
      <c r="N1321" s="172">
        <f>IFERROR(__xludf.DUMMYFUNCTION("""COMPUTED_VALUE"""),1.0)</f>
        <v>1</v>
      </c>
      <c r="O1321" s="172"/>
      <c r="P1321" s="313">
        <f>IFERROR(__xludf.DUMMYFUNCTION("""COMPUTED_VALUE"""),0.0)</f>
        <v>0</v>
      </c>
      <c r="Q1321" s="76" t="b">
        <f>VLOOKUP($B1321,'Run Reconcile'!B$2:O1399,14,FALSE)</f>
        <v>1</v>
      </c>
      <c r="R1321" s="314" t="str">
        <f t="array" ref="R1321">IF($Q1321, INDEX('Run Reconcile'!A$2:A1399,MATCH(B1321,'Run Reconcile'!B$2:B1399,0),1),IFERROR(0/0,""))</f>
        <v>RUN-ABRM_2023-05-23_RFR-231</v>
      </c>
      <c r="S1321" s="315" t="str">
        <f t="shared" ref="S1321:T1321" si="2327">IF(COUNTIF(W$2:W1399, $A1321) &gt; 0,TRUE,IFERROR(0/0,""))</f>
        <v/>
      </c>
      <c r="T1321" s="315" t="str">
        <f t="shared" si="2327"/>
        <v/>
      </c>
      <c r="U1321" s="114" t="str">
        <f t="array" ref="U1321">IF(ISBLANK($R1321), INDEX('Run Reconcile'!A$2:A1399, MATCH($B1321, 'Run Reconcile'!B$2:B1399, 0)+Z1321, 1), IFERROR(0/0,""))
</f>
        <v/>
      </c>
      <c r="V1321" s="316" t="str">
        <f t="shared" si="1281"/>
        <v>RUN-ABRM_2023-05-23_RFR-231</v>
      </c>
      <c r="Y1321" s="317" t="str">
        <f t="shared" si="6"/>
        <v/>
      </c>
      <c r="Z1321" s="83" t="str">
        <f t="shared" si="7"/>
        <v/>
      </c>
      <c r="AA1321" s="83" t="str">
        <f t="shared" si="8"/>
        <v/>
      </c>
      <c r="AB1321" s="83" t="str">
        <f t="shared" si="9"/>
        <v/>
      </c>
      <c r="AC1321" s="18"/>
      <c r="AD1321" s="18"/>
      <c r="AE1321" s="43"/>
      <c r="AF1321" s="58" t="s">
        <v>202</v>
      </c>
      <c r="AG1321" s="55" t="str">
        <f t="shared" si="11"/>
        <v/>
      </c>
    </row>
    <row r="1322">
      <c r="A1322" s="7" t="str">
        <f>IFERROR(__xludf.DUMMYFUNCTION("""COMPUTED_VALUE"""),"AR1091")</f>
        <v>AR1091</v>
      </c>
      <c r="B1322" s="308">
        <f>IFERROR(__xludf.DUMMYFUNCTION("""COMPUTED_VALUE"""),45069.0)</f>
        <v>45069</v>
      </c>
      <c r="C1322" s="309">
        <f>IFERROR(__xludf.DUMMYFUNCTION("""COMPUTED_VALUE"""),0.3413657407407407)</f>
        <v>0.3413657407</v>
      </c>
      <c r="D1322" s="7" t="str">
        <f>IFERROR(__xludf.DUMMYFUNCTION("""COMPUTED_VALUE"""),"SpABRM655136")</f>
        <v>SpABRM655136</v>
      </c>
      <c r="E1322" s="310"/>
      <c r="F1322" s="310"/>
      <c r="G1322" s="310" t="str">
        <f>IFERROR(__xludf.DUMMYFUNCTION("""COMPUTED_VALUE"""),"Negative")</f>
        <v>Negative</v>
      </c>
      <c r="H1322" s="319" t="str">
        <f>IFERROR(__xludf.DUMMYFUNCTION("""COMPUTED_VALUE"""),"Negative")</f>
        <v>Negative</v>
      </c>
      <c r="I1322" s="308">
        <f>IFERROR(__xludf.DUMMYFUNCTION("""COMPUTED_VALUE"""),45069.0)</f>
        <v>45069</v>
      </c>
      <c r="J1322" s="311">
        <f>IFERROR(__xludf.DUMMYFUNCTION("""COMPUTED_VALUE"""),0.4007523148148148)</f>
        <v>0.4007523148</v>
      </c>
      <c r="K1322" s="54"/>
      <c r="L1322" s="7"/>
      <c r="M1322" s="312"/>
      <c r="N1322" s="172">
        <f>IFERROR(__xludf.DUMMYFUNCTION("""COMPUTED_VALUE"""),1.0)</f>
        <v>1</v>
      </c>
      <c r="O1322" s="172"/>
      <c r="P1322" s="313">
        <f>IFERROR(__xludf.DUMMYFUNCTION("""COMPUTED_VALUE"""),0.0)</f>
        <v>0</v>
      </c>
      <c r="Q1322" s="76" t="b">
        <f>VLOOKUP($B1322,'Run Reconcile'!B$2:O1399,14,FALSE)</f>
        <v>1</v>
      </c>
      <c r="R1322" s="314" t="str">
        <f t="array" ref="R1322">IF($Q1322, INDEX('Run Reconcile'!A$2:A1399,MATCH(B1322,'Run Reconcile'!B$2:B1399,0),1),IFERROR(0/0,""))</f>
        <v>RUN-ABRM_2023-05-23_RFR-231</v>
      </c>
      <c r="S1322" s="315" t="str">
        <f t="shared" ref="S1322:T1322" si="2328">IF(COUNTIF(W$2:W1399, $A1322) &gt; 0,TRUE,IFERROR(0/0,""))</f>
        <v/>
      </c>
      <c r="T1322" s="315" t="str">
        <f t="shared" si="2328"/>
        <v/>
      </c>
      <c r="U1322" s="114" t="str">
        <f t="array" ref="U1322">IF(ISBLANK($R1322), INDEX('Run Reconcile'!A$2:A1399, MATCH($B1322, 'Run Reconcile'!B$2:B1399, 0)+Z1322, 1), IFERROR(0/0,""))
</f>
        <v/>
      </c>
      <c r="V1322" s="316" t="str">
        <f t="shared" si="1281"/>
        <v>RUN-ABRM_2023-05-23_RFR-231</v>
      </c>
      <c r="Y1322" s="317" t="str">
        <f t="shared" si="6"/>
        <v/>
      </c>
      <c r="Z1322" s="83" t="str">
        <f t="shared" si="7"/>
        <v/>
      </c>
      <c r="AA1322" s="83" t="str">
        <f t="shared" si="8"/>
        <v/>
      </c>
      <c r="AB1322" s="83" t="str">
        <f t="shared" si="9"/>
        <v/>
      </c>
      <c r="AC1322" s="18"/>
      <c r="AD1322" s="18"/>
      <c r="AE1322" s="43"/>
      <c r="AF1322" s="58" t="s">
        <v>202</v>
      </c>
      <c r="AG1322" s="55" t="str">
        <f t="shared" si="11"/>
        <v/>
      </c>
    </row>
    <row r="1323">
      <c r="A1323" s="120" t="str">
        <f>IFERROR(__xludf.DUMMYFUNCTION("""COMPUTED_VALUE"""),"AB9412")</f>
        <v>AB9412</v>
      </c>
      <c r="B1323" s="320">
        <f>IFERROR(__xludf.DUMMYFUNCTION("""COMPUTED_VALUE"""),45070.0)</f>
        <v>45070</v>
      </c>
      <c r="C1323" s="321">
        <f>IFERROR(__xludf.DUMMYFUNCTION("""COMPUTED_VALUE"""),0.2464699074074074)</f>
        <v>0.2464699074</v>
      </c>
      <c r="D1323" s="120" t="str">
        <f>IFERROR(__xludf.DUMMYFUNCTION("""COMPUTED_VALUE"""),"SpABRM297307")</f>
        <v>SpABRM297307</v>
      </c>
      <c r="E1323" s="322"/>
      <c r="F1323" s="322"/>
      <c r="G1323" s="322" t="str">
        <f>IFERROR(__xludf.DUMMYFUNCTION("""COMPUTED_VALUE"""),"Negative")</f>
        <v>Negative</v>
      </c>
      <c r="H1323" s="323" t="str">
        <f>IFERROR(__xludf.DUMMYFUNCTION("""COMPUTED_VALUE"""),"Negative")</f>
        <v>Negative</v>
      </c>
      <c r="I1323" s="320">
        <f>IFERROR(__xludf.DUMMYFUNCTION("""COMPUTED_VALUE"""),45070.0)</f>
        <v>45070</v>
      </c>
      <c r="J1323" s="324">
        <f>IFERROR(__xludf.DUMMYFUNCTION("""COMPUTED_VALUE"""),0.42181712962962964)</f>
        <v>0.4218171296</v>
      </c>
      <c r="K1323" s="123"/>
      <c r="L1323" s="120"/>
      <c r="M1323" s="325"/>
      <c r="N1323" s="283">
        <f>IFERROR(__xludf.DUMMYFUNCTION("""COMPUTED_VALUE"""),3.0)</f>
        <v>3</v>
      </c>
      <c r="O1323" s="283"/>
      <c r="P1323" s="326">
        <f>IFERROR(__xludf.DUMMYFUNCTION("""COMPUTED_VALUE"""),0.0)</f>
        <v>0</v>
      </c>
      <c r="Q1323" s="293" t="b">
        <f>VLOOKUP($B1323,'Run Reconcile'!B$2:O1399,14,FALSE)</f>
        <v>1</v>
      </c>
      <c r="R1323" s="327" t="str">
        <f t="array" ref="R1323">IF($Q1323, INDEX('Run Reconcile'!A$2:A1399,MATCH(B1323,'Run Reconcile'!B$2:B1399,0),1),IFERROR(0/0,""))</f>
        <v>RUN-ABRM_2023-05-24_RFR-232</v>
      </c>
      <c r="S1323" s="328" t="str">
        <f t="shared" ref="S1323:T1323" si="2329">IF(COUNTIF(W$2:W1399, $A1323) &gt; 0,TRUE,IFERROR(0/0,""))</f>
        <v/>
      </c>
      <c r="T1323" s="328" t="str">
        <f t="shared" si="2329"/>
        <v/>
      </c>
      <c r="U1323" s="294" t="str">
        <f t="array" ref="U1323">IF(ISBLANK($R1323), INDEX('Run Reconcile'!A$2:A1399, MATCH($B1323, 'Run Reconcile'!B$2:B1399, 0)+Z1323, 1), IFERROR(0/0,""))
</f>
        <v/>
      </c>
      <c r="V1323" s="329" t="str">
        <f t="shared" si="1281"/>
        <v>RUN-ABRM_2023-05-24_RFR-232</v>
      </c>
      <c r="W1323" s="120"/>
      <c r="X1323" s="120"/>
      <c r="Y1323" s="334" t="str">
        <f t="shared" si="6"/>
        <v/>
      </c>
      <c r="Z1323" s="295" t="str">
        <f t="shared" si="7"/>
        <v/>
      </c>
      <c r="AA1323" s="295" t="str">
        <f t="shared" si="8"/>
        <v/>
      </c>
      <c r="AB1323" s="295" t="str">
        <f t="shared" si="9"/>
        <v/>
      </c>
      <c r="AC1323" s="263"/>
      <c r="AD1323" s="263"/>
      <c r="AE1323" s="125"/>
      <c r="AF1323" s="330" t="s">
        <v>203</v>
      </c>
      <c r="AG1323" s="268" t="str">
        <f t="shared" si="11"/>
        <v/>
      </c>
      <c r="AH1323" s="120"/>
      <c r="AI1323" s="120"/>
      <c r="AJ1323" s="120"/>
      <c r="AK1323" s="120"/>
    </row>
    <row r="1324">
      <c r="A1324" s="7" t="str">
        <f>IFERROR(__xludf.DUMMYFUNCTION("""COMPUTED_VALUE"""),"AR568")</f>
        <v>AR568</v>
      </c>
      <c r="B1324" s="308">
        <f>IFERROR(__xludf.DUMMYFUNCTION("""COMPUTED_VALUE"""),45070.0)</f>
        <v>45070</v>
      </c>
      <c r="C1324" s="309">
        <f>IFERROR(__xludf.DUMMYFUNCTION("""COMPUTED_VALUE"""),0.30086805555555557)</f>
        <v>0.3008680556</v>
      </c>
      <c r="D1324" s="7" t="str">
        <f>IFERROR(__xludf.DUMMYFUNCTION("""COMPUTED_VALUE"""),"SpABRM655136")</f>
        <v>SpABRM655136</v>
      </c>
      <c r="E1324" s="310"/>
      <c r="F1324" s="310"/>
      <c r="G1324" s="310" t="str">
        <f>IFERROR(__xludf.DUMMYFUNCTION("""COMPUTED_VALUE"""),"Negative")</f>
        <v>Negative</v>
      </c>
      <c r="H1324" s="319" t="str">
        <f>IFERROR(__xludf.DUMMYFUNCTION("""COMPUTED_VALUE"""),"Negative")</f>
        <v>Negative</v>
      </c>
      <c r="I1324" s="308">
        <f>IFERROR(__xludf.DUMMYFUNCTION("""COMPUTED_VALUE"""),45070.0)</f>
        <v>45070</v>
      </c>
      <c r="J1324" s="311">
        <f>IFERROR(__xludf.DUMMYFUNCTION("""COMPUTED_VALUE"""),0.40674768518518517)</f>
        <v>0.4067476852</v>
      </c>
      <c r="K1324" s="54"/>
      <c r="L1324" s="7"/>
      <c r="M1324" s="312"/>
      <c r="N1324" s="172">
        <f>IFERROR(__xludf.DUMMYFUNCTION("""COMPUTED_VALUE"""),2.0)</f>
        <v>2</v>
      </c>
      <c r="O1324" s="172"/>
      <c r="P1324" s="313">
        <f>IFERROR(__xludf.DUMMYFUNCTION("""COMPUTED_VALUE"""),0.0)</f>
        <v>0</v>
      </c>
      <c r="Q1324" s="76" t="b">
        <f>VLOOKUP($B1324,'Run Reconcile'!B$2:O1399,14,FALSE)</f>
        <v>1</v>
      </c>
      <c r="R1324" s="314" t="str">
        <f t="array" ref="R1324">IF($Q1324, INDEX('Run Reconcile'!A$2:A1399,MATCH(B1324,'Run Reconcile'!B$2:B1399,0),1),IFERROR(0/0,""))</f>
        <v>RUN-ABRM_2023-05-24_RFR-232</v>
      </c>
      <c r="S1324" s="315" t="str">
        <f t="shared" ref="S1324:T1324" si="2330">IF(COUNTIF(W$2:W1399, $A1324) &gt; 0,TRUE,IFERROR(0/0,""))</f>
        <v/>
      </c>
      <c r="T1324" s="315" t="str">
        <f t="shared" si="2330"/>
        <v/>
      </c>
      <c r="U1324" s="114" t="str">
        <f t="array" ref="U1324">IF(ISBLANK($R1324), INDEX('Run Reconcile'!A$2:A1399, MATCH($B1324, 'Run Reconcile'!B$2:B1399, 0)+Z1324, 1), IFERROR(0/0,""))
</f>
        <v/>
      </c>
      <c r="V1324" s="316" t="str">
        <f t="shared" si="1281"/>
        <v>RUN-ABRM_2023-05-24_RFR-232</v>
      </c>
      <c r="Y1324" s="317" t="str">
        <f t="shared" si="6"/>
        <v/>
      </c>
      <c r="Z1324" s="83" t="str">
        <f t="shared" si="7"/>
        <v/>
      </c>
      <c r="AA1324" s="83" t="str">
        <f t="shared" si="8"/>
        <v/>
      </c>
      <c r="AB1324" s="83" t="str">
        <f t="shared" si="9"/>
        <v/>
      </c>
      <c r="AC1324" s="18"/>
      <c r="AD1324" s="18"/>
      <c r="AE1324" s="43"/>
      <c r="AF1324" s="58" t="s">
        <v>203</v>
      </c>
      <c r="AG1324" s="55" t="str">
        <f t="shared" si="11"/>
        <v/>
      </c>
    </row>
    <row r="1325">
      <c r="A1325" s="7" t="str">
        <f>IFERROR(__xludf.DUMMYFUNCTION("""COMPUTED_VALUE"""),"AR1906")</f>
        <v>AR1906</v>
      </c>
      <c r="B1325" s="308">
        <f>IFERROR(__xludf.DUMMYFUNCTION("""COMPUTED_VALUE"""),45070.0)</f>
        <v>45070</v>
      </c>
      <c r="C1325" s="309">
        <f>IFERROR(__xludf.DUMMYFUNCTION("""COMPUTED_VALUE"""),0.3298611111111111)</f>
        <v>0.3298611111</v>
      </c>
      <c r="D1325" s="7" t="str">
        <f>IFERROR(__xludf.DUMMYFUNCTION("""COMPUTED_VALUE"""),"SpABRM581899")</f>
        <v>SpABRM581899</v>
      </c>
      <c r="E1325" s="310"/>
      <c r="F1325" s="310"/>
      <c r="G1325" s="310" t="str">
        <f>IFERROR(__xludf.DUMMYFUNCTION("""COMPUTED_VALUE"""),"Negative")</f>
        <v>Negative</v>
      </c>
      <c r="H1325" s="319" t="str">
        <f>IFERROR(__xludf.DUMMYFUNCTION("""COMPUTED_VALUE"""),"Negative")</f>
        <v>Negative</v>
      </c>
      <c r="I1325" s="308">
        <f>IFERROR(__xludf.DUMMYFUNCTION("""COMPUTED_VALUE"""),45070.0)</f>
        <v>45070</v>
      </c>
      <c r="J1325" s="311">
        <f>IFERROR(__xludf.DUMMYFUNCTION("""COMPUTED_VALUE"""),0.40675925925925926)</f>
        <v>0.4067592593</v>
      </c>
      <c r="K1325" s="54"/>
      <c r="L1325" s="7"/>
      <c r="M1325" s="312"/>
      <c r="N1325" s="172">
        <f>IFERROR(__xludf.DUMMYFUNCTION("""COMPUTED_VALUE"""),1.0)</f>
        <v>1</v>
      </c>
      <c r="O1325" s="172"/>
      <c r="P1325" s="313">
        <f>IFERROR(__xludf.DUMMYFUNCTION("""COMPUTED_VALUE"""),0.0)</f>
        <v>0</v>
      </c>
      <c r="Q1325" s="76" t="b">
        <f>VLOOKUP($B1325,'Run Reconcile'!B$2:O1399,14,FALSE)</f>
        <v>1</v>
      </c>
      <c r="R1325" s="314" t="str">
        <f t="array" ref="R1325">IF($Q1325, INDEX('Run Reconcile'!A$2:A1399,MATCH(B1325,'Run Reconcile'!B$2:B1399,0),1),IFERROR(0/0,""))</f>
        <v>RUN-ABRM_2023-05-24_RFR-232</v>
      </c>
      <c r="S1325" s="315" t="str">
        <f t="shared" ref="S1325:T1325" si="2331">IF(COUNTIF(W$2:W1399, $A1325) &gt; 0,TRUE,IFERROR(0/0,""))</f>
        <v/>
      </c>
      <c r="T1325" s="315" t="str">
        <f t="shared" si="2331"/>
        <v/>
      </c>
      <c r="U1325" s="114" t="str">
        <f t="array" ref="U1325">IF(ISBLANK($R1325), INDEX('Run Reconcile'!A$2:A1399, MATCH($B1325, 'Run Reconcile'!B$2:B1399, 0)+Z1325, 1), IFERROR(0/0,""))
</f>
        <v/>
      </c>
      <c r="V1325" s="316" t="str">
        <f t="shared" si="1281"/>
        <v>RUN-ABRM_2023-05-24_RFR-232</v>
      </c>
      <c r="Y1325" s="317" t="str">
        <f t="shared" si="6"/>
        <v/>
      </c>
      <c r="Z1325" s="83" t="str">
        <f t="shared" si="7"/>
        <v/>
      </c>
      <c r="AA1325" s="83" t="str">
        <f t="shared" si="8"/>
        <v/>
      </c>
      <c r="AB1325" s="83" t="str">
        <f t="shared" si="9"/>
        <v/>
      </c>
      <c r="AC1325" s="18"/>
      <c r="AD1325" s="18"/>
      <c r="AE1325" s="43"/>
      <c r="AF1325" s="58" t="s">
        <v>203</v>
      </c>
      <c r="AG1325" s="55" t="str">
        <f t="shared" si="11"/>
        <v/>
      </c>
    </row>
    <row r="1326">
      <c r="A1326" s="120" t="str">
        <f>IFERROR(__xludf.DUMMYFUNCTION("""COMPUTED_VALUE"""),"AR1332")</f>
        <v>AR1332</v>
      </c>
      <c r="B1326" s="320">
        <f>IFERROR(__xludf.DUMMYFUNCTION("""COMPUTED_VALUE"""),45071.0)</f>
        <v>45071</v>
      </c>
      <c r="C1326" s="321">
        <f>IFERROR(__xludf.DUMMYFUNCTION("""COMPUTED_VALUE"""),0.228125)</f>
        <v>0.228125</v>
      </c>
      <c r="D1326" s="120" t="str">
        <f>IFERROR(__xludf.DUMMYFUNCTION("""COMPUTED_VALUE"""),"SpABRM655136")</f>
        <v>SpABRM655136</v>
      </c>
      <c r="E1326" s="322"/>
      <c r="F1326" s="322"/>
      <c r="G1326" s="322" t="str">
        <f>IFERROR(__xludf.DUMMYFUNCTION("""COMPUTED_VALUE"""),"Negative")</f>
        <v>Negative</v>
      </c>
      <c r="H1326" s="323" t="str">
        <f>IFERROR(__xludf.DUMMYFUNCTION("""COMPUTED_VALUE"""),"Negative")</f>
        <v>Negative</v>
      </c>
      <c r="I1326" s="320">
        <f>IFERROR(__xludf.DUMMYFUNCTION("""COMPUTED_VALUE"""),45070.0)</f>
        <v>45070</v>
      </c>
      <c r="J1326" s="324">
        <f>IFERROR(__xludf.DUMMYFUNCTION("""COMPUTED_VALUE"""),0.40677083333333336)</f>
        <v>0.4067708333</v>
      </c>
      <c r="K1326" s="123"/>
      <c r="L1326" s="120"/>
      <c r="M1326" s="325"/>
      <c r="N1326" s="283">
        <f>IFERROR(__xludf.DUMMYFUNCTION("""COMPUTED_VALUE"""),1.0)</f>
        <v>1</v>
      </c>
      <c r="O1326" s="283"/>
      <c r="P1326" s="326">
        <f>IFERROR(__xludf.DUMMYFUNCTION("""COMPUTED_VALUE"""),-1.0)</f>
        <v>-1</v>
      </c>
      <c r="Q1326" s="293" t="str">
        <f>VLOOKUP($B1326,'Run Reconcile'!B$2:O1399,14,FALSE)</f>
        <v/>
      </c>
      <c r="R1326" s="327" t="str">
        <f t="array" ref="R1326">IF($Q1326, INDEX('Run Reconcile'!A$2:A1399,MATCH(B1326,'Run Reconcile'!B$2:B1399,0),1),IFERROR(0/0,""))</f>
        <v/>
      </c>
      <c r="S1326" s="328" t="b">
        <f t="shared" ref="S1326:T1326" si="2332">IF(COUNTIF(W$2:W1399, $A1326) &gt; 0,TRUE,IFERROR(0/0,""))</f>
        <v>1</v>
      </c>
      <c r="T1326" s="328" t="str">
        <f t="shared" si="2332"/>
        <v/>
      </c>
      <c r="U1326" s="294" t="str">
        <f t="array" ref="U1326">IF(ISBLANK($R1326), INDEX('Run Reconcile'!A$2:A1399, MATCH($B1326, 'Run Reconcile'!B$2:B1399, 0)+Z1326, 1), IFERROR(0/0,""))
</f>
        <v>RUN-ABRM_2023-05-25_APS-022</v>
      </c>
      <c r="V1326" s="329" t="str">
        <f t="shared" si="1281"/>
        <v>RUN-ABRM_2023-05-25_APS-022</v>
      </c>
      <c r="W1326" s="120" t="s">
        <v>1394</v>
      </c>
      <c r="X1326" s="120"/>
      <c r="Y1326" s="334">
        <f t="shared" si="6"/>
        <v>1</v>
      </c>
      <c r="Z1326" s="295">
        <f t="shared" si="7"/>
        <v>1</v>
      </c>
      <c r="AA1326" s="295">
        <f t="shared" si="8"/>
        <v>1</v>
      </c>
      <c r="AB1326" s="295" t="str">
        <f t="shared" si="9"/>
        <v/>
      </c>
      <c r="AC1326" s="263"/>
      <c r="AD1326" s="263"/>
      <c r="AE1326" s="125"/>
      <c r="AF1326" s="330" t="s">
        <v>205</v>
      </c>
      <c r="AG1326" s="268" t="b">
        <f t="shared" si="11"/>
        <v>0</v>
      </c>
      <c r="AH1326" s="120"/>
      <c r="AI1326" s="120"/>
      <c r="AJ1326" s="120"/>
      <c r="AK1326" s="120"/>
    </row>
    <row r="1327">
      <c r="A1327" s="7" t="str">
        <f>IFERROR(__xludf.DUMMYFUNCTION("""COMPUTED_VALUE"""),"AK9647")</f>
        <v>AK9647</v>
      </c>
      <c r="B1327" s="308">
        <f>IFERROR(__xludf.DUMMYFUNCTION("""COMPUTED_VALUE"""),45071.0)</f>
        <v>45071</v>
      </c>
      <c r="C1327" s="309">
        <f>IFERROR(__xludf.DUMMYFUNCTION("""COMPUTED_VALUE"""),0.228125)</f>
        <v>0.228125</v>
      </c>
      <c r="D1327" s="7" t="str">
        <f>IFERROR(__xludf.DUMMYFUNCTION("""COMPUTED_VALUE"""),"SpABRM581899")</f>
        <v>SpABRM581899</v>
      </c>
      <c r="E1327" s="310"/>
      <c r="F1327" s="310"/>
      <c r="G1327" s="310" t="str">
        <f>IFERROR(__xludf.DUMMYFUNCTION("""COMPUTED_VALUE"""),"Negative")</f>
        <v>Negative</v>
      </c>
      <c r="H1327" s="319" t="str">
        <f>IFERROR(__xludf.DUMMYFUNCTION("""COMPUTED_VALUE"""),"Negative")</f>
        <v>Negative</v>
      </c>
      <c r="I1327" s="308">
        <f>IFERROR(__xludf.DUMMYFUNCTION("""COMPUTED_VALUE"""),45071.0)</f>
        <v>45071</v>
      </c>
      <c r="J1327" s="311">
        <f>IFERROR(__xludf.DUMMYFUNCTION("""COMPUTED_VALUE"""),0.40520833333333334)</f>
        <v>0.4052083333</v>
      </c>
      <c r="K1327" s="54"/>
      <c r="L1327" s="7"/>
      <c r="M1327" s="312"/>
      <c r="N1327" s="172">
        <f>IFERROR(__xludf.DUMMYFUNCTION("""COMPUTED_VALUE"""),1.0)</f>
        <v>1</v>
      </c>
      <c r="O1327" s="172"/>
      <c r="P1327" s="313">
        <f>IFERROR(__xludf.DUMMYFUNCTION("""COMPUTED_VALUE"""),0.0)</f>
        <v>0</v>
      </c>
      <c r="Q1327" s="76" t="str">
        <f>VLOOKUP($B1327,'Run Reconcile'!B$2:O1399,14,FALSE)</f>
        <v/>
      </c>
      <c r="R1327" s="314" t="str">
        <f t="array" ref="R1327">IF($Q1327, INDEX('Run Reconcile'!A$2:A1399,MATCH(B1327,'Run Reconcile'!B$2:B1399,0),1),IFERROR(0/0,""))</f>
        <v/>
      </c>
      <c r="S1327" s="315" t="str">
        <f t="shared" ref="S1327:T1327" si="2333">IF(COUNTIF(W$2:W1399, $A1327) &gt; 0,TRUE,IFERROR(0/0,""))</f>
        <v/>
      </c>
      <c r="T1327" s="315" t="str">
        <f t="shared" si="2333"/>
        <v/>
      </c>
      <c r="U1327" s="114" t="str">
        <f t="array" ref="U1327">IF(ISBLANK($R1327), INDEX('Run Reconcile'!A$2:A1399, MATCH($B1327, 'Run Reconcile'!B$2:B1399, 0)+Z1327, 1), IFERROR(0/0,""))
</f>
        <v>RUN-ABRM_2023-05-25_RFR-234</v>
      </c>
      <c r="V1327" s="316" t="str">
        <f t="shared" si="1281"/>
        <v>RUN-ABRM_2023-05-25_RFR-234</v>
      </c>
      <c r="Y1327" s="317" t="str">
        <f t="shared" si="6"/>
        <v/>
      </c>
      <c r="Z1327" s="83" t="str">
        <f t="shared" si="7"/>
        <v/>
      </c>
      <c r="AA1327" s="83" t="str">
        <f t="shared" si="8"/>
        <v/>
      </c>
      <c r="AB1327" s="83" t="str">
        <f t="shared" si="9"/>
        <v/>
      </c>
      <c r="AC1327" s="18"/>
      <c r="AD1327" s="18"/>
      <c r="AE1327" s="43"/>
      <c r="AF1327" s="58" t="s">
        <v>205</v>
      </c>
      <c r="AG1327" s="55" t="str">
        <f t="shared" si="11"/>
        <v/>
      </c>
    </row>
    <row r="1328">
      <c r="A1328" s="7" t="str">
        <f>IFERROR(__xludf.DUMMYFUNCTION("""COMPUTED_VALUE"""),"AR18")</f>
        <v>AR18</v>
      </c>
      <c r="B1328" s="308">
        <f>IFERROR(__xludf.DUMMYFUNCTION("""COMPUTED_VALUE"""),45071.0)</f>
        <v>45071</v>
      </c>
      <c r="C1328" s="309">
        <f>IFERROR(__xludf.DUMMYFUNCTION("""COMPUTED_VALUE"""),0.2564236111111111)</f>
        <v>0.2564236111</v>
      </c>
      <c r="D1328" s="7" t="str">
        <f>IFERROR(__xludf.DUMMYFUNCTION("""COMPUTED_VALUE"""),"SpABRM297307")</f>
        <v>SpABRM297307</v>
      </c>
      <c r="E1328" s="310"/>
      <c r="F1328" s="310"/>
      <c r="G1328" s="310" t="str">
        <f>IFERROR(__xludf.DUMMYFUNCTION("""COMPUTED_VALUE"""),"Negative")</f>
        <v>Negative</v>
      </c>
      <c r="H1328" s="319" t="str">
        <f>IFERROR(__xludf.DUMMYFUNCTION("""COMPUTED_VALUE"""),"Negative")</f>
        <v>Negative</v>
      </c>
      <c r="I1328" s="308">
        <f>IFERROR(__xludf.DUMMYFUNCTION("""COMPUTED_VALUE"""),45071.0)</f>
        <v>45071</v>
      </c>
      <c r="J1328" s="311">
        <f>IFERROR(__xludf.DUMMYFUNCTION("""COMPUTED_VALUE"""),0.40521990740740743)</f>
        <v>0.4052199074</v>
      </c>
      <c r="K1328" s="54"/>
      <c r="L1328" s="7"/>
      <c r="M1328" s="312"/>
      <c r="N1328" s="172">
        <f>IFERROR(__xludf.DUMMYFUNCTION("""COMPUTED_VALUE"""),3.0)</f>
        <v>3</v>
      </c>
      <c r="O1328" s="172"/>
      <c r="P1328" s="313">
        <f>IFERROR(__xludf.DUMMYFUNCTION("""COMPUTED_VALUE"""),0.0)</f>
        <v>0</v>
      </c>
      <c r="Q1328" s="76" t="str">
        <f>VLOOKUP($B1328,'Run Reconcile'!B$2:O1399,14,FALSE)</f>
        <v/>
      </c>
      <c r="R1328" s="314" t="str">
        <f t="array" ref="R1328">IF($Q1328, INDEX('Run Reconcile'!A$2:A1399,MATCH(B1328,'Run Reconcile'!B$2:B1399,0),1),IFERROR(0/0,""))</f>
        <v/>
      </c>
      <c r="S1328" s="315" t="str">
        <f t="shared" ref="S1328:T1328" si="2334">IF(COUNTIF(W$2:W1399, $A1328) &gt; 0,TRUE,IFERROR(0/0,""))</f>
        <v/>
      </c>
      <c r="T1328" s="315" t="str">
        <f t="shared" si="2334"/>
        <v/>
      </c>
      <c r="U1328" s="114" t="str">
        <f t="array" ref="U1328">IF(ISBLANK($R1328), INDEX('Run Reconcile'!A$2:A1399, MATCH($B1328, 'Run Reconcile'!B$2:B1399, 0)+Z1328, 1), IFERROR(0/0,""))
</f>
        <v>RUN-ABRM_2023-05-25_RFR-234</v>
      </c>
      <c r="V1328" s="316" t="str">
        <f t="shared" si="1281"/>
        <v>RUN-ABRM_2023-05-25_RFR-234</v>
      </c>
      <c r="Y1328" s="317" t="str">
        <f t="shared" si="6"/>
        <v/>
      </c>
      <c r="Z1328" s="83" t="str">
        <f t="shared" si="7"/>
        <v/>
      </c>
      <c r="AA1328" s="83" t="str">
        <f t="shared" si="8"/>
        <v/>
      </c>
      <c r="AB1328" s="83" t="str">
        <f t="shared" si="9"/>
        <v/>
      </c>
      <c r="AC1328" s="18"/>
      <c r="AD1328" s="18"/>
      <c r="AE1328" s="43"/>
      <c r="AF1328" s="58" t="s">
        <v>205</v>
      </c>
      <c r="AG1328" s="55" t="str">
        <f t="shared" si="11"/>
        <v/>
      </c>
    </row>
    <row r="1329">
      <c r="A1329" s="7" t="str">
        <f>IFERROR(__xludf.DUMMYFUNCTION("""COMPUTED_VALUE"""),"AR1089")</f>
        <v>AR1089</v>
      </c>
      <c r="B1329" s="308">
        <f>IFERROR(__xludf.DUMMYFUNCTION("""COMPUTED_VALUE"""),45071.0)</f>
        <v>45071</v>
      </c>
      <c r="C1329" s="309">
        <f>IFERROR(__xludf.DUMMYFUNCTION("""COMPUTED_VALUE"""),0.3070833333333333)</f>
        <v>0.3070833333</v>
      </c>
      <c r="D1329" s="7" t="str">
        <f>IFERROR(__xludf.DUMMYFUNCTION("""COMPUTED_VALUE"""),"SpABRM655136")</f>
        <v>SpABRM655136</v>
      </c>
      <c r="E1329" s="310"/>
      <c r="F1329" s="310"/>
      <c r="G1329" s="310" t="str">
        <f>IFERROR(__xludf.DUMMYFUNCTION("""COMPUTED_VALUE"""),"Negative")</f>
        <v>Negative</v>
      </c>
      <c r="H1329" s="319" t="str">
        <f>IFERROR(__xludf.DUMMYFUNCTION("""COMPUTED_VALUE"""),"Negative")</f>
        <v>Negative</v>
      </c>
      <c r="I1329" s="308">
        <f>IFERROR(__xludf.DUMMYFUNCTION("""COMPUTED_VALUE"""),45071.0)</f>
        <v>45071</v>
      </c>
      <c r="J1329" s="311">
        <f>IFERROR(__xludf.DUMMYFUNCTION("""COMPUTED_VALUE"""),0.40523148148148147)</f>
        <v>0.4052314815</v>
      </c>
      <c r="K1329" s="54"/>
      <c r="L1329" s="7"/>
      <c r="M1329" s="312"/>
      <c r="N1329" s="172">
        <f>IFERROR(__xludf.DUMMYFUNCTION("""COMPUTED_VALUE"""),2.0)</f>
        <v>2</v>
      </c>
      <c r="O1329" s="172"/>
      <c r="P1329" s="313">
        <f>IFERROR(__xludf.DUMMYFUNCTION("""COMPUTED_VALUE"""),0.0)</f>
        <v>0</v>
      </c>
      <c r="Q1329" s="76" t="str">
        <f>VLOOKUP($B1329,'Run Reconcile'!B$2:O1399,14,FALSE)</f>
        <v/>
      </c>
      <c r="R1329" s="314" t="str">
        <f t="array" ref="R1329">IF($Q1329, INDEX('Run Reconcile'!A$2:A1399,MATCH(B1329,'Run Reconcile'!B$2:B1399,0),1),IFERROR(0/0,""))</f>
        <v/>
      </c>
      <c r="S1329" s="315" t="str">
        <f t="shared" ref="S1329:T1329" si="2335">IF(COUNTIF(W$2:W1399, $A1329) &gt; 0,TRUE,IFERROR(0/0,""))</f>
        <v/>
      </c>
      <c r="T1329" s="315" t="str">
        <f t="shared" si="2335"/>
        <v/>
      </c>
      <c r="U1329" s="114" t="str">
        <f t="array" ref="U1329">IF(ISBLANK($R1329), INDEX('Run Reconcile'!A$2:A1399, MATCH($B1329, 'Run Reconcile'!B$2:B1399, 0)+Z1329, 1), IFERROR(0/0,""))
</f>
        <v>RUN-ABRM_2023-05-25_RFR-234</v>
      </c>
      <c r="V1329" s="316" t="str">
        <f t="shared" si="1281"/>
        <v>RUN-ABRM_2023-05-25_RFR-234</v>
      </c>
      <c r="Y1329" s="317" t="str">
        <f t="shared" si="6"/>
        <v/>
      </c>
      <c r="Z1329" s="83" t="str">
        <f t="shared" si="7"/>
        <v/>
      </c>
      <c r="AA1329" s="83" t="str">
        <f t="shared" si="8"/>
        <v/>
      </c>
      <c r="AB1329" s="83" t="str">
        <f t="shared" si="9"/>
        <v/>
      </c>
      <c r="AC1329" s="18"/>
      <c r="AD1329" s="18"/>
      <c r="AE1329" s="43"/>
      <c r="AF1329" s="58" t="s">
        <v>205</v>
      </c>
      <c r="AG1329" s="55" t="str">
        <f t="shared" si="11"/>
        <v/>
      </c>
    </row>
    <row r="1330">
      <c r="A1330" s="331" t="str">
        <f>IFERROR(__xludf.DUMMYFUNCTION("""COMPUTED_VALUE"""),"AR1823")</f>
        <v>AR1823</v>
      </c>
      <c r="B1330" s="332">
        <f>IFERROR(__xludf.DUMMYFUNCTION("""COMPUTED_VALUE"""),45071.0)</f>
        <v>45071</v>
      </c>
      <c r="C1330" s="333">
        <f>IFERROR(__xludf.DUMMYFUNCTION("""COMPUTED_VALUE"""),0.38886574074074076)</f>
        <v>0.3888657407</v>
      </c>
      <c r="D1330" s="7" t="str">
        <f>IFERROR(__xludf.DUMMYFUNCTION("""COMPUTED_VALUE"""),"SpABRM655136")</f>
        <v>SpABRM655136</v>
      </c>
      <c r="E1330" s="310"/>
      <c r="F1330" s="310"/>
      <c r="G1330" s="310" t="str">
        <f>IFERROR(__xludf.DUMMYFUNCTION("""COMPUTED_VALUE"""),"Negative")</f>
        <v>Negative</v>
      </c>
      <c r="H1330" s="319" t="str">
        <f>IFERROR(__xludf.DUMMYFUNCTION("""COMPUTED_VALUE"""),"Negative")</f>
        <v>Negative</v>
      </c>
      <c r="I1330" s="308">
        <f>IFERROR(__xludf.DUMMYFUNCTION("""COMPUTED_VALUE"""),45071.0)</f>
        <v>45071</v>
      </c>
      <c r="J1330" s="311">
        <f>IFERROR(__xludf.DUMMYFUNCTION("""COMPUTED_VALUE"""),0.40524305555555556)</f>
        <v>0.4052430556</v>
      </c>
      <c r="K1330" s="54"/>
      <c r="L1330" s="7"/>
      <c r="M1330" s="312"/>
      <c r="N1330" s="172">
        <f>IFERROR(__xludf.DUMMYFUNCTION("""COMPUTED_VALUE"""),1.0)</f>
        <v>1</v>
      </c>
      <c r="O1330" s="172"/>
      <c r="P1330" s="313">
        <f>IFERROR(__xludf.DUMMYFUNCTION("""COMPUTED_VALUE"""),0.0)</f>
        <v>0</v>
      </c>
      <c r="Q1330" s="76" t="str">
        <f>VLOOKUP($B1330,'Run Reconcile'!B$2:O1399,14,FALSE)</f>
        <v/>
      </c>
      <c r="R1330" s="314" t="str">
        <f t="array" ref="R1330">IF($Q1330, INDEX('Run Reconcile'!A$2:A1399,MATCH(B1330,'Run Reconcile'!B$2:B1399,0),1),IFERROR(0/0,""))</f>
        <v/>
      </c>
      <c r="S1330" s="315" t="str">
        <f t="shared" ref="S1330:T1330" si="2336">IF(COUNTIF(W$2:W1399, $A1330) &gt; 0,TRUE,IFERROR(0/0,""))</f>
        <v/>
      </c>
      <c r="T1330" s="315" t="b">
        <f t="shared" si="2336"/>
        <v>1</v>
      </c>
      <c r="U1330" s="114" t="str">
        <f t="array" ref="U1330">IF(ISBLANK($R1330), INDEX('Run Reconcile'!A$2:A1399, MATCH($B1330, 'Run Reconcile'!B$2:B1399, 0)+Z1330, 1), IFERROR(0/0,""))
</f>
        <v>RUN-ABRM_2023-05-25_APS-022</v>
      </c>
      <c r="V1330" s="316" t="str">
        <f t="shared" si="1281"/>
        <v>RUN-ABRM_2023-05-25_APS-022</v>
      </c>
      <c r="X1330" s="331" t="s">
        <v>1395</v>
      </c>
      <c r="Y1330" s="317">
        <f t="shared" si="6"/>
        <v>1</v>
      </c>
      <c r="Z1330" s="83">
        <f t="shared" si="7"/>
        <v>1</v>
      </c>
      <c r="AA1330" s="83" t="str">
        <f t="shared" si="8"/>
        <v/>
      </c>
      <c r="AB1330" s="83">
        <f t="shared" si="9"/>
        <v>1</v>
      </c>
      <c r="AC1330" s="18"/>
      <c r="AD1330" s="18"/>
      <c r="AE1330" s="43"/>
      <c r="AF1330" s="58" t="s">
        <v>205</v>
      </c>
      <c r="AG1330" s="55" t="b">
        <f t="shared" si="11"/>
        <v>0</v>
      </c>
    </row>
    <row r="1331">
      <c r="A1331" s="120" t="str">
        <f>IFERROR(__xludf.DUMMYFUNCTION("""COMPUTED_VALUE"""),"AR868")</f>
        <v>AR868</v>
      </c>
      <c r="B1331" s="320">
        <f>IFERROR(__xludf.DUMMYFUNCTION("""COMPUTED_VALUE"""),45072.0)</f>
        <v>45072</v>
      </c>
      <c r="C1331" s="321">
        <f>IFERROR(__xludf.DUMMYFUNCTION("""COMPUTED_VALUE"""),0.24744212962962964)</f>
        <v>0.2474421296</v>
      </c>
      <c r="D1331" s="120" t="str">
        <f>IFERROR(__xludf.DUMMYFUNCTION("""COMPUTED_VALUE"""),"SpABRM581899")</f>
        <v>SpABRM581899</v>
      </c>
      <c r="E1331" s="322"/>
      <c r="F1331" s="322"/>
      <c r="G1331" s="322" t="str">
        <f>IFERROR(__xludf.DUMMYFUNCTION("""COMPUTED_VALUE"""),"Negative")</f>
        <v>Negative</v>
      </c>
      <c r="H1331" s="323" t="str">
        <f>IFERROR(__xludf.DUMMYFUNCTION("""COMPUTED_VALUE"""),"Negative")</f>
        <v>Negative</v>
      </c>
      <c r="I1331" s="320">
        <f>IFERROR(__xludf.DUMMYFUNCTION("""COMPUTED_VALUE"""),45072.0)</f>
        <v>45072</v>
      </c>
      <c r="J1331" s="324">
        <f>IFERROR(__xludf.DUMMYFUNCTION("""COMPUTED_VALUE"""),0.3746875)</f>
        <v>0.3746875</v>
      </c>
      <c r="K1331" s="123"/>
      <c r="L1331" s="120"/>
      <c r="M1331" s="325"/>
      <c r="N1331" s="283">
        <f>IFERROR(__xludf.DUMMYFUNCTION("""COMPUTED_VALUE"""),1.0)</f>
        <v>1</v>
      </c>
      <c r="O1331" s="283"/>
      <c r="P1331" s="326">
        <f>IFERROR(__xludf.DUMMYFUNCTION("""COMPUTED_VALUE"""),0.0)</f>
        <v>0</v>
      </c>
      <c r="Q1331" s="293" t="b">
        <f>VLOOKUP($B1331,'Run Reconcile'!B$2:O1399,14,FALSE)</f>
        <v>1</v>
      </c>
      <c r="R1331" s="327" t="str">
        <f t="array" ref="R1331">IF($Q1331, INDEX('Run Reconcile'!A$2:A1399,MATCH(B1331,'Run Reconcile'!B$2:B1399,0),1),IFERROR(0/0,""))</f>
        <v>RUN-ABRM_2023-05-26_RFR-235</v>
      </c>
      <c r="S1331" s="328" t="str">
        <f t="shared" ref="S1331:T1331" si="2337">IF(COUNTIF(W$2:W1399, $A1331) &gt; 0,TRUE,IFERROR(0/0,""))</f>
        <v/>
      </c>
      <c r="T1331" s="328" t="str">
        <f t="shared" si="2337"/>
        <v/>
      </c>
      <c r="U1331" s="294" t="str">
        <f t="array" ref="U1331">IF(ISBLANK($R1331), INDEX('Run Reconcile'!A$2:A1399, MATCH($B1331, 'Run Reconcile'!B$2:B1399, 0)+Z1331, 1), IFERROR(0/0,""))
</f>
        <v/>
      </c>
      <c r="V1331" s="329" t="str">
        <f t="shared" si="1281"/>
        <v>RUN-ABRM_2023-05-26_RFR-235</v>
      </c>
      <c r="W1331" s="120"/>
      <c r="X1331" s="120"/>
      <c r="Y1331" s="334" t="str">
        <f t="shared" si="6"/>
        <v/>
      </c>
      <c r="Z1331" s="295" t="str">
        <f t="shared" si="7"/>
        <v/>
      </c>
      <c r="AA1331" s="295" t="str">
        <f t="shared" si="8"/>
        <v/>
      </c>
      <c r="AB1331" s="295" t="str">
        <f t="shared" si="9"/>
        <v/>
      </c>
      <c r="AC1331" s="263"/>
      <c r="AD1331" s="263"/>
      <c r="AE1331" s="125"/>
      <c r="AF1331" s="330" t="s">
        <v>206</v>
      </c>
      <c r="AG1331" s="268" t="str">
        <f t="shared" si="11"/>
        <v/>
      </c>
      <c r="AH1331" s="120"/>
      <c r="AI1331" s="120"/>
      <c r="AJ1331" s="120"/>
      <c r="AK1331" s="120"/>
    </row>
    <row r="1332">
      <c r="A1332" s="7" t="str">
        <f>IFERROR(__xludf.DUMMYFUNCTION("""COMPUTED_VALUE"""),"AJ9837")</f>
        <v>AJ9837</v>
      </c>
      <c r="B1332" s="308">
        <f>IFERROR(__xludf.DUMMYFUNCTION("""COMPUTED_VALUE"""),45072.0)</f>
        <v>45072</v>
      </c>
      <c r="C1332" s="309">
        <f>IFERROR(__xludf.DUMMYFUNCTION("""COMPUTED_VALUE"""),0.24756944444444445)</f>
        <v>0.2475694444</v>
      </c>
      <c r="D1332" s="7" t="str">
        <f>IFERROR(__xludf.DUMMYFUNCTION("""COMPUTED_VALUE"""),"SpABRM297307")</f>
        <v>SpABRM297307</v>
      </c>
      <c r="E1332" s="310"/>
      <c r="F1332" s="310"/>
      <c r="G1332" s="310" t="str">
        <f>IFERROR(__xludf.DUMMYFUNCTION("""COMPUTED_VALUE"""),"Negative")</f>
        <v>Negative</v>
      </c>
      <c r="H1332" s="319" t="str">
        <f>IFERROR(__xludf.DUMMYFUNCTION("""COMPUTED_VALUE"""),"Negative")</f>
        <v>Negative</v>
      </c>
      <c r="I1332" s="308">
        <f>IFERROR(__xludf.DUMMYFUNCTION("""COMPUTED_VALUE"""),45072.0)</f>
        <v>45072</v>
      </c>
      <c r="J1332" s="311">
        <f>IFERROR(__xludf.DUMMYFUNCTION("""COMPUTED_VALUE"""),0.3746875)</f>
        <v>0.3746875</v>
      </c>
      <c r="K1332" s="54"/>
      <c r="L1332" s="7"/>
      <c r="M1332" s="312"/>
      <c r="N1332" s="172">
        <f>IFERROR(__xludf.DUMMYFUNCTION("""COMPUTED_VALUE"""),3.0)</f>
        <v>3</v>
      </c>
      <c r="O1332" s="172"/>
      <c r="P1332" s="313">
        <f>IFERROR(__xludf.DUMMYFUNCTION("""COMPUTED_VALUE"""),0.0)</f>
        <v>0</v>
      </c>
      <c r="Q1332" s="76" t="b">
        <f>VLOOKUP($B1332,'Run Reconcile'!B$2:O1399,14,FALSE)</f>
        <v>1</v>
      </c>
      <c r="R1332" s="314" t="str">
        <f t="array" ref="R1332">IF($Q1332, INDEX('Run Reconcile'!A$2:A1399,MATCH(B1332,'Run Reconcile'!B$2:B1399,0),1),IFERROR(0/0,""))</f>
        <v>RUN-ABRM_2023-05-26_RFR-235</v>
      </c>
      <c r="S1332" s="315" t="str">
        <f t="shared" ref="S1332:T1332" si="2338">IF(COUNTIF(W$2:W1399, $A1332) &gt; 0,TRUE,IFERROR(0/0,""))</f>
        <v/>
      </c>
      <c r="T1332" s="315" t="str">
        <f t="shared" si="2338"/>
        <v/>
      </c>
      <c r="U1332" s="114" t="str">
        <f t="array" ref="U1332">IF(ISBLANK($R1332), INDEX('Run Reconcile'!A$2:A1399, MATCH($B1332, 'Run Reconcile'!B$2:B1399, 0)+Z1332, 1), IFERROR(0/0,""))
</f>
        <v/>
      </c>
      <c r="V1332" s="316" t="str">
        <f t="shared" si="1281"/>
        <v>RUN-ABRM_2023-05-26_RFR-235</v>
      </c>
      <c r="Y1332" s="317" t="str">
        <f t="shared" si="6"/>
        <v/>
      </c>
      <c r="Z1332" s="83" t="str">
        <f t="shared" si="7"/>
        <v/>
      </c>
      <c r="AA1332" s="83" t="str">
        <f t="shared" si="8"/>
        <v/>
      </c>
      <c r="AB1332" s="83" t="str">
        <f t="shared" si="9"/>
        <v/>
      </c>
      <c r="AC1332" s="18"/>
      <c r="AD1332" s="18"/>
      <c r="AE1332" s="43"/>
      <c r="AF1332" s="58" t="s">
        <v>206</v>
      </c>
      <c r="AG1332" s="55" t="str">
        <f t="shared" si="11"/>
        <v/>
      </c>
    </row>
    <row r="1333">
      <c r="A1333" s="7" t="str">
        <f>IFERROR(__xludf.DUMMYFUNCTION("""COMPUTED_VALUE"""),"AK9843")</f>
        <v>AK9843</v>
      </c>
      <c r="B1333" s="308">
        <f>IFERROR(__xludf.DUMMYFUNCTION("""COMPUTED_VALUE"""),45072.0)</f>
        <v>45072</v>
      </c>
      <c r="C1333" s="309">
        <f>IFERROR(__xludf.DUMMYFUNCTION("""COMPUTED_VALUE"""),0.3227662037037037)</f>
        <v>0.3227662037</v>
      </c>
      <c r="D1333" s="7" t="str">
        <f>IFERROR(__xludf.DUMMYFUNCTION("""COMPUTED_VALUE"""),"SpABRM655136")</f>
        <v>SpABRM655136</v>
      </c>
      <c r="E1333" s="310"/>
      <c r="F1333" s="310"/>
      <c r="G1333" s="310" t="str">
        <f>IFERROR(__xludf.DUMMYFUNCTION("""COMPUTED_VALUE"""),"Negative")</f>
        <v>Negative</v>
      </c>
      <c r="H1333" s="319" t="str">
        <f>IFERROR(__xludf.DUMMYFUNCTION("""COMPUTED_VALUE"""),"Negative")</f>
        <v>Negative</v>
      </c>
      <c r="I1333" s="308">
        <f>IFERROR(__xludf.DUMMYFUNCTION("""COMPUTED_VALUE"""),45072.0)</f>
        <v>45072</v>
      </c>
      <c r="J1333" s="311">
        <f>IFERROR(__xludf.DUMMYFUNCTION("""COMPUTED_VALUE"""),0.3746990740740741)</f>
        <v>0.3746990741</v>
      </c>
      <c r="K1333" s="54"/>
      <c r="L1333" s="7"/>
      <c r="M1333" s="312"/>
      <c r="N1333" s="172">
        <f>IFERROR(__xludf.DUMMYFUNCTION("""COMPUTED_VALUE"""),2.0)</f>
        <v>2</v>
      </c>
      <c r="O1333" s="172"/>
      <c r="P1333" s="313">
        <f>IFERROR(__xludf.DUMMYFUNCTION("""COMPUTED_VALUE"""),0.0)</f>
        <v>0</v>
      </c>
      <c r="Q1333" s="76" t="b">
        <f>VLOOKUP($B1333,'Run Reconcile'!B$2:O1399,14,FALSE)</f>
        <v>1</v>
      </c>
      <c r="R1333" s="314" t="str">
        <f t="array" ref="R1333">IF($Q1333, INDEX('Run Reconcile'!A$2:A1399,MATCH(B1333,'Run Reconcile'!B$2:B1399,0),1),IFERROR(0/0,""))</f>
        <v>RUN-ABRM_2023-05-26_RFR-235</v>
      </c>
      <c r="S1333" s="315" t="str">
        <f t="shared" ref="S1333:T1333" si="2339">IF(COUNTIF(W$2:W1399, $A1333) &gt; 0,TRUE,IFERROR(0/0,""))</f>
        <v/>
      </c>
      <c r="T1333" s="315" t="str">
        <f t="shared" si="2339"/>
        <v/>
      </c>
      <c r="U1333" s="114" t="str">
        <f t="array" ref="U1333">IF(ISBLANK($R1333), INDEX('Run Reconcile'!A$2:A1399, MATCH($B1333, 'Run Reconcile'!B$2:B1399, 0)+Z1333, 1), IFERROR(0/0,""))
</f>
        <v/>
      </c>
      <c r="V1333" s="316" t="str">
        <f t="shared" si="1281"/>
        <v>RUN-ABRM_2023-05-26_RFR-235</v>
      </c>
      <c r="Y1333" s="317" t="str">
        <f t="shared" si="6"/>
        <v/>
      </c>
      <c r="Z1333" s="83" t="str">
        <f t="shared" si="7"/>
        <v/>
      </c>
      <c r="AA1333" s="83" t="str">
        <f t="shared" si="8"/>
        <v/>
      </c>
      <c r="AB1333" s="83" t="str">
        <f t="shared" si="9"/>
        <v/>
      </c>
      <c r="AC1333" s="18"/>
      <c r="AD1333" s="18"/>
      <c r="AE1333" s="43"/>
      <c r="AF1333" s="58" t="s">
        <v>206</v>
      </c>
      <c r="AG1333" s="55" t="str">
        <f t="shared" si="11"/>
        <v/>
      </c>
    </row>
    <row r="1334">
      <c r="A1334" s="7" t="str">
        <f>IFERROR(__xludf.DUMMYFUNCTION("""COMPUTED_VALUE"""),"AR1036")</f>
        <v>AR1036</v>
      </c>
      <c r="B1334" s="308">
        <f>IFERROR(__xludf.DUMMYFUNCTION("""COMPUTED_VALUE"""),45072.0)</f>
        <v>45072</v>
      </c>
      <c r="C1334" s="309">
        <f>IFERROR(__xludf.DUMMYFUNCTION("""COMPUTED_VALUE"""),0.32417824074074075)</f>
        <v>0.3241782407</v>
      </c>
      <c r="D1334" s="7" t="str">
        <f>IFERROR(__xludf.DUMMYFUNCTION("""COMPUTED_VALUE"""),"SpABRM655136")</f>
        <v>SpABRM655136</v>
      </c>
      <c r="E1334" s="310"/>
      <c r="F1334" s="310"/>
      <c r="G1334" s="310" t="str">
        <f>IFERROR(__xludf.DUMMYFUNCTION("""COMPUTED_VALUE"""),"Negative")</f>
        <v>Negative</v>
      </c>
      <c r="H1334" s="319" t="str">
        <f>IFERROR(__xludf.DUMMYFUNCTION("""COMPUTED_VALUE"""),"Negative")</f>
        <v>Negative</v>
      </c>
      <c r="I1334" s="308">
        <f>IFERROR(__xludf.DUMMYFUNCTION("""COMPUTED_VALUE"""),45072.0)</f>
        <v>45072</v>
      </c>
      <c r="J1334" s="311">
        <f>IFERROR(__xludf.DUMMYFUNCTION("""COMPUTED_VALUE"""),0.37471064814814814)</f>
        <v>0.3747106481</v>
      </c>
      <c r="K1334" s="54"/>
      <c r="L1334" s="7"/>
      <c r="M1334" s="312"/>
      <c r="N1334" s="172">
        <f>IFERROR(__xludf.DUMMYFUNCTION("""COMPUTED_VALUE"""),1.0)</f>
        <v>1</v>
      </c>
      <c r="O1334" s="172"/>
      <c r="P1334" s="313">
        <f>IFERROR(__xludf.DUMMYFUNCTION("""COMPUTED_VALUE"""),0.0)</f>
        <v>0</v>
      </c>
      <c r="Q1334" s="76" t="b">
        <f>VLOOKUP($B1334,'Run Reconcile'!B$2:O1399,14,FALSE)</f>
        <v>1</v>
      </c>
      <c r="R1334" s="314" t="str">
        <f t="array" ref="R1334">IF($Q1334, INDEX('Run Reconcile'!A$2:A1399,MATCH(B1334,'Run Reconcile'!B$2:B1399,0),1),IFERROR(0/0,""))</f>
        <v>RUN-ABRM_2023-05-26_RFR-235</v>
      </c>
      <c r="S1334" s="315" t="str">
        <f t="shared" ref="S1334:T1334" si="2340">IF(COUNTIF(W$2:W1399, $A1334) &gt; 0,TRUE,IFERROR(0/0,""))</f>
        <v/>
      </c>
      <c r="T1334" s="315" t="str">
        <f t="shared" si="2340"/>
        <v/>
      </c>
      <c r="U1334" s="114" t="str">
        <f t="array" ref="U1334">IF(ISBLANK($R1334), INDEX('Run Reconcile'!A$2:A1399, MATCH($B1334, 'Run Reconcile'!B$2:B1399, 0)+Z1334, 1), IFERROR(0/0,""))
</f>
        <v/>
      </c>
      <c r="V1334" s="316" t="str">
        <f t="shared" si="1281"/>
        <v>RUN-ABRM_2023-05-26_RFR-235</v>
      </c>
      <c r="Y1334" s="317" t="str">
        <f t="shared" si="6"/>
        <v/>
      </c>
      <c r="Z1334" s="83" t="str">
        <f t="shared" si="7"/>
        <v/>
      </c>
      <c r="AA1334" s="83" t="str">
        <f t="shared" si="8"/>
        <v/>
      </c>
      <c r="AB1334" s="83" t="str">
        <f t="shared" si="9"/>
        <v/>
      </c>
      <c r="AC1334" s="18"/>
      <c r="AD1334" s="18"/>
      <c r="AE1334" s="43"/>
      <c r="AF1334" s="58" t="s">
        <v>206</v>
      </c>
      <c r="AG1334" s="55" t="str">
        <f t="shared" si="11"/>
        <v/>
      </c>
    </row>
    <row r="1335">
      <c r="A1335" s="7" t="str">
        <f>IFERROR(__xludf.DUMMYFUNCTION("""COMPUTED_VALUE"""),"AR1720")</f>
        <v>AR1720</v>
      </c>
      <c r="B1335" s="308">
        <f>IFERROR(__xludf.DUMMYFUNCTION("""COMPUTED_VALUE"""),45075.0)</f>
        <v>45075</v>
      </c>
      <c r="C1335" s="309">
        <f>IFERROR(__xludf.DUMMYFUNCTION("""COMPUTED_VALUE"""),0.26144675925925925)</f>
        <v>0.2614467593</v>
      </c>
      <c r="D1335" s="7" t="str">
        <f>IFERROR(__xludf.DUMMYFUNCTION("""COMPUTED_VALUE"""),"SpABRM581899")</f>
        <v>SpABRM581899</v>
      </c>
      <c r="E1335" s="310"/>
      <c r="F1335" s="310"/>
      <c r="G1335" s="310" t="str">
        <f>IFERROR(__xludf.DUMMYFUNCTION("""COMPUTED_VALUE"""),"Negative")</f>
        <v>Negative</v>
      </c>
      <c r="H1335" s="319" t="str">
        <f>IFERROR(__xludf.DUMMYFUNCTION("""COMPUTED_VALUE"""),"Negative")</f>
        <v>Negative</v>
      </c>
      <c r="I1335" s="308">
        <f>IFERROR(__xludf.DUMMYFUNCTION("""COMPUTED_VALUE"""),45075.0)</f>
        <v>45075</v>
      </c>
      <c r="J1335" s="311">
        <f>IFERROR(__xludf.DUMMYFUNCTION("""COMPUTED_VALUE"""),0.38283564814814813)</f>
        <v>0.3828356481</v>
      </c>
      <c r="K1335" s="54"/>
      <c r="L1335" s="7"/>
      <c r="M1335" s="312"/>
      <c r="N1335" s="172">
        <f>IFERROR(__xludf.DUMMYFUNCTION("""COMPUTED_VALUE"""),2.0)</f>
        <v>2</v>
      </c>
      <c r="O1335" s="172"/>
      <c r="P1335" s="313">
        <f>IFERROR(__xludf.DUMMYFUNCTION("""COMPUTED_VALUE"""),0.0)</f>
        <v>0</v>
      </c>
      <c r="Q1335" s="76" t="str">
        <f>VLOOKUP($B1335,'Run Reconcile'!B$2:O1399,14,FALSE)</f>
        <v/>
      </c>
      <c r="R1335" s="314" t="str">
        <f t="array" ref="R1335">IF($Q1335, INDEX('Run Reconcile'!A$2:A1399,MATCH(B1335,'Run Reconcile'!B$2:B1399,0),1),IFERROR(0/0,""))</f>
        <v/>
      </c>
      <c r="S1335" s="315" t="str">
        <f t="shared" ref="S1335:T1335" si="2341">IF(COUNTIF(W$2:W1399, $A1335) &gt; 0,TRUE,IFERROR(0/0,""))</f>
        <v/>
      </c>
      <c r="T1335" s="315" t="str">
        <f t="shared" si="2341"/>
        <v/>
      </c>
      <c r="U1335" s="114" t="str">
        <f t="array" ref="U1335">IF(ISBLANK($R1335), INDEX('Run Reconcile'!A$2:A1399, MATCH($B1335, 'Run Reconcile'!B$2:B1399, 0)+Z1335, 1), IFERROR(0/0,""))
</f>
        <v>RUN-ABRM_2023-05-29_RFR-236</v>
      </c>
      <c r="V1335" s="316" t="str">
        <f t="shared" si="1281"/>
        <v>RUN-ABRM_2023-05-29_RFR-236</v>
      </c>
      <c r="Y1335" s="317" t="str">
        <f t="shared" si="6"/>
        <v/>
      </c>
      <c r="Z1335" s="83" t="str">
        <f t="shared" si="7"/>
        <v/>
      </c>
      <c r="AA1335" s="83" t="str">
        <f t="shared" si="8"/>
        <v/>
      </c>
      <c r="AB1335" s="83" t="str">
        <f t="shared" si="9"/>
        <v/>
      </c>
      <c r="AC1335" s="18"/>
      <c r="AD1335" s="18"/>
      <c r="AE1335" s="43"/>
      <c r="AF1335" s="58" t="s">
        <v>207</v>
      </c>
      <c r="AG1335" s="55" t="str">
        <f t="shared" si="11"/>
        <v/>
      </c>
    </row>
    <row r="1336">
      <c r="A1336" s="7" t="str">
        <f>IFERROR(__xludf.DUMMYFUNCTION("""COMPUTED_VALUE"""),"AK9577")</f>
        <v>AK9577</v>
      </c>
      <c r="B1336" s="308">
        <f>IFERROR(__xludf.DUMMYFUNCTION("""COMPUTED_VALUE"""),45075.0)</f>
        <v>45075</v>
      </c>
      <c r="C1336" s="309">
        <f>IFERROR(__xludf.DUMMYFUNCTION("""COMPUTED_VALUE"""),0.28607638888888887)</f>
        <v>0.2860763889</v>
      </c>
      <c r="D1336" s="7" t="str">
        <f>IFERROR(__xludf.DUMMYFUNCTION("""COMPUTED_VALUE"""),"SpABRM655136")</f>
        <v>SpABRM655136</v>
      </c>
      <c r="E1336" s="310"/>
      <c r="F1336" s="310"/>
      <c r="G1336" s="310" t="str">
        <f>IFERROR(__xludf.DUMMYFUNCTION("""COMPUTED_VALUE"""),"Negative")</f>
        <v>Negative</v>
      </c>
      <c r="H1336" s="319" t="str">
        <f>IFERROR(__xludf.DUMMYFUNCTION("""COMPUTED_VALUE"""),"Negative")</f>
        <v>Negative</v>
      </c>
      <c r="I1336" s="308">
        <f>IFERROR(__xludf.DUMMYFUNCTION("""COMPUTED_VALUE"""),45075.0)</f>
        <v>45075</v>
      </c>
      <c r="J1336" s="311">
        <f>IFERROR(__xludf.DUMMYFUNCTION("""COMPUTED_VALUE"""),0.32190972222222225)</f>
        <v>0.3219097222</v>
      </c>
      <c r="K1336" s="54"/>
      <c r="L1336" s="7"/>
      <c r="M1336" s="312"/>
      <c r="N1336" s="172">
        <f>IFERROR(__xludf.DUMMYFUNCTION("""COMPUTED_VALUE"""),2.0)</f>
        <v>2</v>
      </c>
      <c r="O1336" s="172"/>
      <c r="P1336" s="313">
        <f>IFERROR(__xludf.DUMMYFUNCTION("""COMPUTED_VALUE"""),0.0)</f>
        <v>0</v>
      </c>
      <c r="Q1336" s="76" t="str">
        <f>VLOOKUP($B1336,'Run Reconcile'!B$2:O1399,14,FALSE)</f>
        <v/>
      </c>
      <c r="R1336" s="314" t="str">
        <f t="array" ref="R1336">IF($Q1336, INDEX('Run Reconcile'!A$2:A1399,MATCH(B1336,'Run Reconcile'!B$2:B1399,0),1),IFERROR(0/0,""))</f>
        <v/>
      </c>
      <c r="S1336" s="315" t="str">
        <f t="shared" ref="S1336:T1336" si="2342">IF(COUNTIF(W$2:W1399, $A1336) &gt; 0,TRUE,IFERROR(0/0,""))</f>
        <v/>
      </c>
      <c r="T1336" s="315" t="str">
        <f t="shared" si="2342"/>
        <v/>
      </c>
      <c r="U1336" s="114" t="str">
        <f t="array" ref="U1336">IF(ISBLANK($R1336), INDEX('Run Reconcile'!A$2:A1399, MATCH($B1336, 'Run Reconcile'!B$2:B1399, 0)+Z1336, 1), IFERROR(0/0,""))
</f>
        <v>RUN-ABRM_2023-05-29_RFR-236</v>
      </c>
      <c r="V1336" s="316" t="str">
        <f t="shared" si="1281"/>
        <v>RUN-ABRM_2023-05-29_RFR-236</v>
      </c>
      <c r="Y1336" s="317" t="str">
        <f t="shared" si="6"/>
        <v/>
      </c>
      <c r="Z1336" s="83" t="str">
        <f t="shared" si="7"/>
        <v/>
      </c>
      <c r="AA1336" s="83" t="str">
        <f t="shared" si="8"/>
        <v/>
      </c>
      <c r="AB1336" s="83" t="str">
        <f t="shared" si="9"/>
        <v/>
      </c>
      <c r="AC1336" s="18"/>
      <c r="AD1336" s="18"/>
      <c r="AE1336" s="43"/>
      <c r="AF1336" s="58" t="s">
        <v>207</v>
      </c>
      <c r="AG1336" s="55" t="str">
        <f t="shared" si="11"/>
        <v/>
      </c>
    </row>
    <row r="1337">
      <c r="A1337" s="7" t="str">
        <f>IFERROR(__xludf.DUMMYFUNCTION("""COMPUTED_VALUE"""),"AR1974")</f>
        <v>AR1974</v>
      </c>
      <c r="B1337" s="308">
        <f>IFERROR(__xludf.DUMMYFUNCTION("""COMPUTED_VALUE"""),45075.0)</f>
        <v>45075</v>
      </c>
      <c r="C1337" s="309">
        <f>IFERROR(__xludf.DUMMYFUNCTION("""COMPUTED_VALUE"""),0.32243055555555555)</f>
        <v>0.3224305556</v>
      </c>
      <c r="D1337" s="7" t="str">
        <f>IFERROR(__xludf.DUMMYFUNCTION("""COMPUTED_VALUE"""),"SpABRM841252")</f>
        <v>SpABRM841252</v>
      </c>
      <c r="E1337" s="310"/>
      <c r="F1337" s="310"/>
      <c r="G1337" s="310" t="str">
        <f>IFERROR(__xludf.DUMMYFUNCTION("""COMPUTED_VALUE"""),"Negative")</f>
        <v>Negative</v>
      </c>
      <c r="H1337" s="319" t="str">
        <f>IFERROR(__xludf.DUMMYFUNCTION("""COMPUTED_VALUE"""),"Negative")</f>
        <v>Negative</v>
      </c>
      <c r="I1337" s="308">
        <f>IFERROR(__xludf.DUMMYFUNCTION("""COMPUTED_VALUE"""),45075.0)</f>
        <v>45075</v>
      </c>
      <c r="J1337" s="311">
        <f>IFERROR(__xludf.DUMMYFUNCTION("""COMPUTED_VALUE"""),0.3828472222222222)</f>
        <v>0.3828472222</v>
      </c>
      <c r="K1337" s="54"/>
      <c r="L1337" s="7"/>
      <c r="M1337" s="312"/>
      <c r="N1337" s="172">
        <f>IFERROR(__xludf.DUMMYFUNCTION("""COMPUTED_VALUE"""),1.0)</f>
        <v>1</v>
      </c>
      <c r="O1337" s="172"/>
      <c r="P1337" s="313">
        <f>IFERROR(__xludf.DUMMYFUNCTION("""COMPUTED_VALUE"""),0.0)</f>
        <v>0</v>
      </c>
      <c r="Q1337" s="76" t="str">
        <f>VLOOKUP($B1337,'Run Reconcile'!B$2:O1399,14,FALSE)</f>
        <v/>
      </c>
      <c r="R1337" s="314" t="str">
        <f t="array" ref="R1337">IF($Q1337, INDEX('Run Reconcile'!A$2:A1399,MATCH(B1337,'Run Reconcile'!B$2:B1399,0),1),IFERROR(0/0,""))</f>
        <v/>
      </c>
      <c r="S1337" s="315" t="str">
        <f t="shared" ref="S1337:T1337" si="2343">IF(COUNTIF(W$2:W1399, $A1337) &gt; 0,TRUE,IFERROR(0/0,""))</f>
        <v/>
      </c>
      <c r="T1337" s="315" t="str">
        <f t="shared" si="2343"/>
        <v/>
      </c>
      <c r="U1337" s="114" t="str">
        <f t="array" ref="U1337">IF(ISBLANK($R1337), INDEX('Run Reconcile'!A$2:A1399, MATCH($B1337, 'Run Reconcile'!B$2:B1399, 0)+Z1337, 1), IFERROR(0/0,""))
</f>
        <v>RUN-ABRM_2023-05-29_RFR-236</v>
      </c>
      <c r="V1337" s="316" t="str">
        <f t="shared" si="1281"/>
        <v>RUN-ABRM_2023-05-29_RFR-236</v>
      </c>
      <c r="Y1337" s="317" t="str">
        <f t="shared" si="6"/>
        <v/>
      </c>
      <c r="Z1337" s="83" t="str">
        <f t="shared" si="7"/>
        <v/>
      </c>
      <c r="AA1337" s="83" t="str">
        <f t="shared" si="8"/>
        <v/>
      </c>
      <c r="AB1337" s="83" t="str">
        <f t="shared" si="9"/>
        <v/>
      </c>
      <c r="AC1337" s="18"/>
      <c r="AD1337" s="18"/>
      <c r="AE1337" s="43"/>
      <c r="AF1337" s="58" t="s">
        <v>207</v>
      </c>
      <c r="AG1337" s="55" t="str">
        <f t="shared" si="11"/>
        <v/>
      </c>
    </row>
    <row r="1338">
      <c r="A1338" s="7" t="str">
        <f>IFERROR(__xludf.DUMMYFUNCTION("""COMPUTED_VALUE"""),"AR1567")</f>
        <v>AR1567</v>
      </c>
      <c r="B1338" s="308">
        <f>IFERROR(__xludf.DUMMYFUNCTION("""COMPUTED_VALUE"""),45075.0)</f>
        <v>45075</v>
      </c>
      <c r="C1338" s="309">
        <f>IFERROR(__xludf.DUMMYFUNCTION("""COMPUTED_VALUE"""),0.3250462962962963)</f>
        <v>0.3250462963</v>
      </c>
      <c r="D1338" s="7" t="str">
        <f>IFERROR(__xludf.DUMMYFUNCTION("""COMPUTED_VALUE"""),"SpABRM655136")</f>
        <v>SpABRM655136</v>
      </c>
      <c r="E1338" s="310"/>
      <c r="F1338" s="310"/>
      <c r="G1338" s="310" t="str">
        <f>IFERROR(__xludf.DUMMYFUNCTION("""COMPUTED_VALUE"""),"Negative")</f>
        <v>Negative</v>
      </c>
      <c r="H1338" s="319" t="str">
        <f>IFERROR(__xludf.DUMMYFUNCTION("""COMPUTED_VALUE"""),"Negative")</f>
        <v>Negative</v>
      </c>
      <c r="I1338" s="308">
        <f>IFERROR(__xludf.DUMMYFUNCTION("""COMPUTED_VALUE"""),45075.0)</f>
        <v>45075</v>
      </c>
      <c r="J1338" s="311">
        <f>IFERROR(__xludf.DUMMYFUNCTION("""COMPUTED_VALUE"""),0.3828472222222222)</f>
        <v>0.3828472222</v>
      </c>
      <c r="K1338" s="54"/>
      <c r="L1338" s="7"/>
      <c r="M1338" s="312"/>
      <c r="N1338" s="172">
        <f>IFERROR(__xludf.DUMMYFUNCTION("""COMPUTED_VALUE"""),3.0)</f>
        <v>3</v>
      </c>
      <c r="O1338" s="172"/>
      <c r="P1338" s="313">
        <f>IFERROR(__xludf.DUMMYFUNCTION("""COMPUTED_VALUE"""),0.0)</f>
        <v>0</v>
      </c>
      <c r="Q1338" s="76" t="str">
        <f>VLOOKUP($B1338,'Run Reconcile'!B$2:O1399,14,FALSE)</f>
        <v/>
      </c>
      <c r="R1338" s="314" t="str">
        <f t="array" ref="R1338">IF($Q1338, INDEX('Run Reconcile'!A$2:A1399,MATCH(B1338,'Run Reconcile'!B$2:B1399,0),1),IFERROR(0/0,""))</f>
        <v/>
      </c>
      <c r="S1338" s="315" t="str">
        <f t="shared" ref="S1338:T1338" si="2344">IF(COUNTIF(W$2:W1399, $A1338) &gt; 0,TRUE,IFERROR(0/0,""))</f>
        <v/>
      </c>
      <c r="T1338" s="315" t="str">
        <f t="shared" si="2344"/>
        <v/>
      </c>
      <c r="U1338" s="114" t="str">
        <f t="array" ref="U1338">IF(ISBLANK($R1338), INDEX('Run Reconcile'!A$2:A1399, MATCH($B1338, 'Run Reconcile'!B$2:B1399, 0)+Z1338, 1), IFERROR(0/0,""))
</f>
        <v>RUN-ABRM_2023-05-29_RFR-236</v>
      </c>
      <c r="V1338" s="316" t="str">
        <f t="shared" si="1281"/>
        <v>RUN-ABRM_2023-05-29_RFR-236</v>
      </c>
      <c r="Y1338" s="317" t="str">
        <f t="shared" si="6"/>
        <v/>
      </c>
      <c r="Z1338" s="83" t="str">
        <f t="shared" si="7"/>
        <v/>
      </c>
      <c r="AA1338" s="83" t="str">
        <f t="shared" si="8"/>
        <v/>
      </c>
      <c r="AB1338" s="83" t="str">
        <f t="shared" si="9"/>
        <v/>
      </c>
      <c r="AC1338" s="18"/>
      <c r="AD1338" s="18"/>
      <c r="AE1338" s="43"/>
      <c r="AF1338" s="58" t="s">
        <v>207</v>
      </c>
      <c r="AG1338" s="55" t="str">
        <f t="shared" si="11"/>
        <v/>
      </c>
    </row>
    <row r="1339">
      <c r="A1339" s="7" t="str">
        <f>IFERROR(__xludf.DUMMYFUNCTION("""COMPUTED_VALUE"""),"AK9580")</f>
        <v>AK9580</v>
      </c>
      <c r="B1339" s="308">
        <f>IFERROR(__xludf.DUMMYFUNCTION("""COMPUTED_VALUE"""),45076.0)</f>
        <v>45076</v>
      </c>
      <c r="C1339" s="309">
        <f>IFERROR(__xludf.DUMMYFUNCTION("""COMPUTED_VALUE"""),0.24390046296296297)</f>
        <v>0.243900463</v>
      </c>
      <c r="D1339" s="7" t="str">
        <f>IFERROR(__xludf.DUMMYFUNCTION("""COMPUTED_VALUE"""),"SpABRM297307")</f>
        <v>SpABRM297307</v>
      </c>
      <c r="E1339" s="310"/>
      <c r="F1339" s="310"/>
      <c r="G1339" s="310" t="str">
        <f>IFERROR(__xludf.DUMMYFUNCTION("""COMPUTED_VALUE"""),"Negative")</f>
        <v>Negative</v>
      </c>
      <c r="H1339" s="319" t="str">
        <f>IFERROR(__xludf.DUMMYFUNCTION("""COMPUTED_VALUE"""),"Negative")</f>
        <v>Negative</v>
      </c>
      <c r="I1339" s="308">
        <f>IFERROR(__xludf.DUMMYFUNCTION("""COMPUTED_VALUE"""),45076.0)</f>
        <v>45076</v>
      </c>
      <c r="J1339" s="311">
        <f>IFERROR(__xludf.DUMMYFUNCTION("""COMPUTED_VALUE"""),0.4767824074074074)</f>
        <v>0.4767824074</v>
      </c>
      <c r="K1339" s="54"/>
      <c r="L1339" s="7"/>
      <c r="M1339" s="312"/>
      <c r="N1339" s="172">
        <f>IFERROR(__xludf.DUMMYFUNCTION("""COMPUTED_VALUE"""),3.0)</f>
        <v>3</v>
      </c>
      <c r="O1339" s="172"/>
      <c r="P1339" s="313">
        <f>IFERROR(__xludf.DUMMYFUNCTION("""COMPUTED_VALUE"""),0.0)</f>
        <v>0</v>
      </c>
      <c r="Q1339" s="76" t="str">
        <f>VLOOKUP($B1339,'Run Reconcile'!B$2:O1399,14,FALSE)</f>
        <v/>
      </c>
      <c r="R1339" s="314" t="str">
        <f t="array" ref="R1339">IF($Q1339, INDEX('Run Reconcile'!A$2:A1399,MATCH(B1339,'Run Reconcile'!B$2:B1399,0),1),IFERROR(0/0,""))</f>
        <v/>
      </c>
      <c r="S1339" s="315" t="str">
        <f t="shared" ref="S1339:T1339" si="2345">IF(COUNTIF(W$2:W1399, $A1339) &gt; 0,TRUE,IFERROR(0/0,""))</f>
        <v/>
      </c>
      <c r="T1339" s="315" t="str">
        <f t="shared" si="2345"/>
        <v/>
      </c>
      <c r="U1339" s="114" t="str">
        <f t="array" ref="U1339">IF(ISBLANK($R1339), INDEX('Run Reconcile'!A$2:A1399, MATCH($B1339, 'Run Reconcile'!B$2:B1399, 0)+Z1339, 1), IFERROR(0/0,""))
</f>
        <v>RUN-ABRM_2023-05-30_RFR-237</v>
      </c>
      <c r="V1339" s="316" t="str">
        <f t="shared" si="1281"/>
        <v>RUN-ABRM_2023-05-30_RFR-237</v>
      </c>
      <c r="Y1339" s="317" t="str">
        <f t="shared" si="6"/>
        <v/>
      </c>
      <c r="Z1339" s="83" t="str">
        <f t="shared" si="7"/>
        <v/>
      </c>
      <c r="AA1339" s="83" t="str">
        <f t="shared" si="8"/>
        <v/>
      </c>
      <c r="AB1339" s="83" t="str">
        <f t="shared" si="9"/>
        <v/>
      </c>
      <c r="AC1339" s="18"/>
      <c r="AD1339" s="18"/>
      <c r="AE1339" s="43"/>
      <c r="AF1339" s="58" t="s">
        <v>208</v>
      </c>
      <c r="AG1339" s="55" t="str">
        <f t="shared" si="11"/>
        <v/>
      </c>
    </row>
    <row r="1340">
      <c r="A1340" s="7" t="str">
        <f>IFERROR(__xludf.DUMMYFUNCTION("""COMPUTED_VALUE"""),"AB9940")</f>
        <v>AB9940</v>
      </c>
      <c r="B1340" s="308">
        <f>IFERROR(__xludf.DUMMYFUNCTION("""COMPUTED_VALUE"""),45076.0)</f>
        <v>45076</v>
      </c>
      <c r="C1340" s="309">
        <f>IFERROR(__xludf.DUMMYFUNCTION("""COMPUTED_VALUE"""),0.27489583333333334)</f>
        <v>0.2748958333</v>
      </c>
      <c r="D1340" s="7" t="str">
        <f>IFERROR(__xludf.DUMMYFUNCTION("""COMPUTED_VALUE"""),"SpABRM581899")</f>
        <v>SpABRM581899</v>
      </c>
      <c r="E1340" s="310"/>
      <c r="F1340" s="310"/>
      <c r="G1340" s="310" t="str">
        <f>IFERROR(__xludf.DUMMYFUNCTION("""COMPUTED_VALUE"""),"Negative")</f>
        <v>Negative</v>
      </c>
      <c r="H1340" s="319" t="str">
        <f>IFERROR(__xludf.DUMMYFUNCTION("""COMPUTED_VALUE"""),"Negative")</f>
        <v>Negative</v>
      </c>
      <c r="I1340" s="308">
        <f>IFERROR(__xludf.DUMMYFUNCTION("""COMPUTED_VALUE"""),45076.0)</f>
        <v>45076</v>
      </c>
      <c r="J1340" s="311">
        <f>IFERROR(__xludf.DUMMYFUNCTION("""COMPUTED_VALUE"""),0.4767824074074074)</f>
        <v>0.4767824074</v>
      </c>
      <c r="K1340" s="54"/>
      <c r="L1340" s="7"/>
      <c r="M1340" s="312"/>
      <c r="N1340" s="172">
        <f>IFERROR(__xludf.DUMMYFUNCTION("""COMPUTED_VALUE"""),1.0)</f>
        <v>1</v>
      </c>
      <c r="O1340" s="172"/>
      <c r="P1340" s="313">
        <f>IFERROR(__xludf.DUMMYFUNCTION("""COMPUTED_VALUE"""),0.0)</f>
        <v>0</v>
      </c>
      <c r="Q1340" s="76" t="str">
        <f>VLOOKUP($B1340,'Run Reconcile'!B$2:O1399,14,FALSE)</f>
        <v/>
      </c>
      <c r="R1340" s="314" t="str">
        <f t="array" ref="R1340">IF($Q1340, INDEX('Run Reconcile'!A$2:A1399,MATCH(B1340,'Run Reconcile'!B$2:B1399,0),1),IFERROR(0/0,""))</f>
        <v/>
      </c>
      <c r="S1340" s="315" t="str">
        <f t="shared" ref="S1340:T1340" si="2346">IF(COUNTIF(W$2:W1399, $A1340) &gt; 0,TRUE,IFERROR(0/0,""))</f>
        <v/>
      </c>
      <c r="T1340" s="315" t="str">
        <f t="shared" si="2346"/>
        <v/>
      </c>
      <c r="U1340" s="114" t="str">
        <f t="array" ref="U1340">IF(ISBLANK($R1340), INDEX('Run Reconcile'!A$2:A1399, MATCH($B1340, 'Run Reconcile'!B$2:B1399, 0)+Z1340, 1), IFERROR(0/0,""))
</f>
        <v>RUN-ABRM_2023-05-30_RFR-237</v>
      </c>
      <c r="V1340" s="316" t="str">
        <f t="shared" si="1281"/>
        <v>RUN-ABRM_2023-05-30_RFR-237</v>
      </c>
      <c r="Y1340" s="317" t="str">
        <f t="shared" si="6"/>
        <v/>
      </c>
      <c r="Z1340" s="83" t="str">
        <f t="shared" si="7"/>
        <v/>
      </c>
      <c r="AA1340" s="83" t="str">
        <f t="shared" si="8"/>
        <v/>
      </c>
      <c r="AB1340" s="83" t="str">
        <f t="shared" si="9"/>
        <v/>
      </c>
      <c r="AC1340" s="18"/>
      <c r="AD1340" s="18"/>
      <c r="AE1340" s="43"/>
      <c r="AF1340" s="58" t="s">
        <v>208</v>
      </c>
      <c r="AG1340" s="55" t="str">
        <f t="shared" si="11"/>
        <v/>
      </c>
    </row>
    <row r="1341">
      <c r="A1341" s="7" t="str">
        <f>IFERROR(__xludf.DUMMYFUNCTION("""COMPUTED_VALUE"""),"AB9993")</f>
        <v>AB9993</v>
      </c>
      <c r="B1341" s="308">
        <f>IFERROR(__xludf.DUMMYFUNCTION("""COMPUTED_VALUE"""),45076.0)</f>
        <v>45076</v>
      </c>
      <c r="C1341" s="309">
        <f>IFERROR(__xludf.DUMMYFUNCTION("""COMPUTED_VALUE"""),0.3078356481481481)</f>
        <v>0.3078356481</v>
      </c>
      <c r="D1341" s="7" t="str">
        <f>IFERROR(__xludf.DUMMYFUNCTION("""COMPUTED_VALUE"""),"SpABRM655136")</f>
        <v>SpABRM655136</v>
      </c>
      <c r="E1341" s="310"/>
      <c r="F1341" s="310"/>
      <c r="G1341" s="310" t="str">
        <f>IFERROR(__xludf.DUMMYFUNCTION("""COMPUTED_VALUE"""),"Negative")</f>
        <v>Negative</v>
      </c>
      <c r="H1341" s="319" t="str">
        <f>IFERROR(__xludf.DUMMYFUNCTION("""COMPUTED_VALUE"""),"Negative")</f>
        <v>Negative</v>
      </c>
      <c r="I1341" s="308">
        <f>IFERROR(__xludf.DUMMYFUNCTION("""COMPUTED_VALUE"""),45076.0)</f>
        <v>45076</v>
      </c>
      <c r="J1341" s="311">
        <f>IFERROR(__xludf.DUMMYFUNCTION("""COMPUTED_VALUE"""),0.4767824074074074)</f>
        <v>0.4767824074</v>
      </c>
      <c r="K1341" s="54"/>
      <c r="L1341" s="7"/>
      <c r="M1341" s="312"/>
      <c r="N1341" s="172">
        <f>IFERROR(__xludf.DUMMYFUNCTION("""COMPUTED_VALUE"""),2.0)</f>
        <v>2</v>
      </c>
      <c r="O1341" s="172"/>
      <c r="P1341" s="313">
        <f>IFERROR(__xludf.DUMMYFUNCTION("""COMPUTED_VALUE"""),0.0)</f>
        <v>0</v>
      </c>
      <c r="Q1341" s="76" t="str">
        <f>VLOOKUP($B1341,'Run Reconcile'!B$2:O1399,14,FALSE)</f>
        <v/>
      </c>
      <c r="R1341" s="314" t="str">
        <f t="array" ref="R1341">IF($Q1341, INDEX('Run Reconcile'!A$2:A1399,MATCH(B1341,'Run Reconcile'!B$2:B1399,0),1),IFERROR(0/0,""))</f>
        <v/>
      </c>
      <c r="S1341" s="315" t="str">
        <f t="shared" ref="S1341:T1341" si="2347">IF(COUNTIF(W$2:W1399, $A1341) &gt; 0,TRUE,IFERROR(0/0,""))</f>
        <v/>
      </c>
      <c r="T1341" s="315" t="str">
        <f t="shared" si="2347"/>
        <v/>
      </c>
      <c r="U1341" s="114" t="str">
        <f t="array" ref="U1341">IF(ISBLANK($R1341), INDEX('Run Reconcile'!A$2:A1399, MATCH($B1341, 'Run Reconcile'!B$2:B1399, 0)+Z1341, 1), IFERROR(0/0,""))
</f>
        <v>RUN-ABRM_2023-05-30_RFR-237</v>
      </c>
      <c r="V1341" s="316" t="str">
        <f t="shared" si="1281"/>
        <v>RUN-ABRM_2023-05-30_RFR-237</v>
      </c>
      <c r="Y1341" s="317" t="str">
        <f t="shared" si="6"/>
        <v/>
      </c>
      <c r="Z1341" s="83" t="str">
        <f t="shared" si="7"/>
        <v/>
      </c>
      <c r="AA1341" s="83" t="str">
        <f t="shared" si="8"/>
        <v/>
      </c>
      <c r="AB1341" s="83" t="str">
        <f t="shared" si="9"/>
        <v/>
      </c>
      <c r="AC1341" s="18"/>
      <c r="AD1341" s="18"/>
      <c r="AE1341" s="43"/>
      <c r="AF1341" s="58" t="s">
        <v>208</v>
      </c>
      <c r="AG1341" s="55" t="str">
        <f t="shared" si="11"/>
        <v/>
      </c>
    </row>
    <row r="1342">
      <c r="A1342" s="7" t="str">
        <f>IFERROR(__xludf.DUMMYFUNCTION("""COMPUTED_VALUE"""),"AK9839")</f>
        <v>AK9839</v>
      </c>
      <c r="B1342" s="308">
        <f>IFERROR(__xludf.DUMMYFUNCTION("""COMPUTED_VALUE"""),45076.0)</f>
        <v>45076</v>
      </c>
      <c r="C1342" s="309">
        <f>IFERROR(__xludf.DUMMYFUNCTION("""COMPUTED_VALUE"""),0.32202546296296297)</f>
        <v>0.322025463</v>
      </c>
      <c r="D1342" s="7" t="str">
        <f>IFERROR(__xludf.DUMMYFUNCTION("""COMPUTED_VALUE"""),"SpABRM841252")</f>
        <v>SpABRM841252</v>
      </c>
      <c r="E1342" s="310"/>
      <c r="F1342" s="310"/>
      <c r="G1342" s="310" t="str">
        <f>IFERROR(__xludf.DUMMYFUNCTION("""COMPUTED_VALUE"""),"Negative")</f>
        <v>Negative</v>
      </c>
      <c r="H1342" s="319" t="str">
        <f>IFERROR(__xludf.DUMMYFUNCTION("""COMPUTED_VALUE"""),"Negative")</f>
        <v>Negative</v>
      </c>
      <c r="I1342" s="308">
        <f>IFERROR(__xludf.DUMMYFUNCTION("""COMPUTED_VALUE"""),45076.0)</f>
        <v>45076</v>
      </c>
      <c r="J1342" s="311">
        <f>IFERROR(__xludf.DUMMYFUNCTION("""COMPUTED_VALUE"""),0.4767824074074074)</f>
        <v>0.4767824074</v>
      </c>
      <c r="K1342" s="54"/>
      <c r="L1342" s="7"/>
      <c r="M1342" s="312"/>
      <c r="N1342" s="172">
        <f>IFERROR(__xludf.DUMMYFUNCTION("""COMPUTED_VALUE"""),1.0)</f>
        <v>1</v>
      </c>
      <c r="O1342" s="172"/>
      <c r="P1342" s="313">
        <f>IFERROR(__xludf.DUMMYFUNCTION("""COMPUTED_VALUE"""),0.0)</f>
        <v>0</v>
      </c>
      <c r="Q1342" s="76" t="str">
        <f>VLOOKUP($B1342,'Run Reconcile'!B$2:O1399,14,FALSE)</f>
        <v/>
      </c>
      <c r="R1342" s="314" t="str">
        <f t="array" ref="R1342">IF($Q1342, INDEX('Run Reconcile'!A$2:A1399,MATCH(B1342,'Run Reconcile'!B$2:B1399,0),1),IFERROR(0/0,""))</f>
        <v/>
      </c>
      <c r="S1342" s="315" t="str">
        <f t="shared" ref="S1342:T1342" si="2348">IF(COUNTIF(W$2:W1399, $A1342) &gt; 0,TRUE,IFERROR(0/0,""))</f>
        <v/>
      </c>
      <c r="T1342" s="315" t="str">
        <f t="shared" si="2348"/>
        <v/>
      </c>
      <c r="U1342" s="114" t="str">
        <f t="array" ref="U1342">IF(ISBLANK($R1342), INDEX('Run Reconcile'!A$2:A1399, MATCH($B1342, 'Run Reconcile'!B$2:B1399, 0)+Z1342, 1), IFERROR(0/0,""))
</f>
        <v>RUN-ABRM_2023-05-30_RFR-237</v>
      </c>
      <c r="V1342" s="316" t="str">
        <f t="shared" si="1281"/>
        <v>RUN-ABRM_2023-05-30_RFR-237</v>
      </c>
      <c r="Y1342" s="317" t="str">
        <f t="shared" si="6"/>
        <v/>
      </c>
      <c r="Z1342" s="83" t="str">
        <f t="shared" si="7"/>
        <v/>
      </c>
      <c r="AA1342" s="83" t="str">
        <f t="shared" si="8"/>
        <v/>
      </c>
      <c r="AB1342" s="83" t="str">
        <f t="shared" si="9"/>
        <v/>
      </c>
      <c r="AC1342" s="18"/>
      <c r="AD1342" s="18"/>
      <c r="AE1342" s="43"/>
      <c r="AF1342" s="58" t="s">
        <v>208</v>
      </c>
      <c r="AG1342" s="55" t="str">
        <f t="shared" si="11"/>
        <v/>
      </c>
    </row>
    <row r="1343">
      <c r="A1343" s="7" t="str">
        <f>IFERROR(__xludf.DUMMYFUNCTION("""COMPUTED_VALUE"""),"AR1024")</f>
        <v>AR1024</v>
      </c>
      <c r="B1343" s="308">
        <f>IFERROR(__xludf.DUMMYFUNCTION("""COMPUTED_VALUE"""),45076.0)</f>
        <v>45076</v>
      </c>
      <c r="C1343" s="309">
        <f>IFERROR(__xludf.DUMMYFUNCTION("""COMPUTED_VALUE"""),0.32883101851851854)</f>
        <v>0.3288310185</v>
      </c>
      <c r="D1343" s="7" t="str">
        <f>IFERROR(__xludf.DUMMYFUNCTION("""COMPUTED_VALUE"""),"SpABRM841252")</f>
        <v>SpABRM841252</v>
      </c>
      <c r="E1343" s="310"/>
      <c r="F1343" s="310"/>
      <c r="G1343" s="310" t="str">
        <f>IFERROR(__xludf.DUMMYFUNCTION("""COMPUTED_VALUE"""),"Negative")</f>
        <v>Negative</v>
      </c>
      <c r="H1343" s="319" t="str">
        <f>IFERROR(__xludf.DUMMYFUNCTION("""COMPUTED_VALUE"""),"Negative")</f>
        <v>Negative</v>
      </c>
      <c r="I1343" s="308">
        <f>IFERROR(__xludf.DUMMYFUNCTION("""COMPUTED_VALUE"""),45076.0)</f>
        <v>45076</v>
      </c>
      <c r="J1343" s="311">
        <f>IFERROR(__xludf.DUMMYFUNCTION("""COMPUTED_VALUE"""),0.4767939814814815)</f>
        <v>0.4767939815</v>
      </c>
      <c r="K1343" s="54"/>
      <c r="L1343" s="7"/>
      <c r="M1343" s="312"/>
      <c r="N1343" s="172">
        <f>IFERROR(__xludf.DUMMYFUNCTION("""COMPUTED_VALUE"""),1.0)</f>
        <v>1</v>
      </c>
      <c r="O1343" s="172"/>
      <c r="P1343" s="313">
        <f>IFERROR(__xludf.DUMMYFUNCTION("""COMPUTED_VALUE"""),0.0)</f>
        <v>0</v>
      </c>
      <c r="Q1343" s="76" t="str">
        <f>VLOOKUP($B1343,'Run Reconcile'!B$2:O1399,14,FALSE)</f>
        <v/>
      </c>
      <c r="R1343" s="314" t="str">
        <f t="array" ref="R1343">IF($Q1343, INDEX('Run Reconcile'!A$2:A1399,MATCH(B1343,'Run Reconcile'!B$2:B1399,0),1),IFERROR(0/0,""))</f>
        <v/>
      </c>
      <c r="S1343" s="315" t="str">
        <f t="shared" ref="S1343:T1343" si="2349">IF(COUNTIF(W$2:W1399, $A1343) &gt; 0,TRUE,IFERROR(0/0,""))</f>
        <v/>
      </c>
      <c r="T1343" s="315" t="str">
        <f t="shared" si="2349"/>
        <v/>
      </c>
      <c r="U1343" s="114" t="str">
        <f t="array" ref="U1343">IF(ISBLANK($R1343), INDEX('Run Reconcile'!A$2:A1399, MATCH($B1343, 'Run Reconcile'!B$2:B1399, 0)+Z1343, 1), IFERROR(0/0,""))
</f>
        <v>RUN-ABRM_2023-05-30_RFR-237</v>
      </c>
      <c r="V1343" s="316" t="str">
        <f t="shared" si="1281"/>
        <v>RUN-ABRM_2023-05-30_RFR-237</v>
      </c>
      <c r="Y1343" s="317" t="str">
        <f t="shared" si="6"/>
        <v/>
      </c>
      <c r="Z1343" s="83" t="str">
        <f t="shared" si="7"/>
        <v/>
      </c>
      <c r="AA1343" s="83" t="str">
        <f t="shared" si="8"/>
        <v/>
      </c>
      <c r="AB1343" s="83" t="str">
        <f t="shared" si="9"/>
        <v/>
      </c>
      <c r="AC1343" s="18"/>
      <c r="AD1343" s="18"/>
      <c r="AE1343" s="43"/>
      <c r="AF1343" s="58" t="s">
        <v>208</v>
      </c>
      <c r="AG1343" s="55" t="str">
        <f t="shared" si="11"/>
        <v/>
      </c>
    </row>
    <row r="1344">
      <c r="A1344" s="7" t="str">
        <f>IFERROR(__xludf.DUMMYFUNCTION("""COMPUTED_VALUE"""),"AE9962")</f>
        <v>AE9962</v>
      </c>
      <c r="B1344" s="308">
        <f>IFERROR(__xludf.DUMMYFUNCTION("""COMPUTED_VALUE"""),45077.0)</f>
        <v>45077</v>
      </c>
      <c r="C1344" s="309">
        <f>IFERROR(__xludf.DUMMYFUNCTION("""COMPUTED_VALUE"""),0.2928935185185185)</f>
        <v>0.2928935185</v>
      </c>
      <c r="D1344" s="7" t="str">
        <f>IFERROR(__xludf.DUMMYFUNCTION("""COMPUTED_VALUE"""),"SpABRM128250")</f>
        <v>SpABRM128250</v>
      </c>
      <c r="E1344" s="310"/>
      <c r="F1344" s="310"/>
      <c r="G1344" s="310" t="str">
        <f>IFERROR(__xludf.DUMMYFUNCTION("""COMPUTED_VALUE"""),"Negative")</f>
        <v>Negative</v>
      </c>
      <c r="H1344" s="319" t="str">
        <f>IFERROR(__xludf.DUMMYFUNCTION("""COMPUTED_VALUE"""),"Negative")</f>
        <v>Negative</v>
      </c>
      <c r="I1344" s="308">
        <f>IFERROR(__xludf.DUMMYFUNCTION("""COMPUTED_VALUE"""),45078.0)</f>
        <v>45078</v>
      </c>
      <c r="J1344" s="311">
        <f>IFERROR(__xludf.DUMMYFUNCTION("""COMPUTED_VALUE"""),0.37974537037037037)</f>
        <v>0.3797453704</v>
      </c>
      <c r="K1344" s="54"/>
      <c r="L1344" s="7"/>
      <c r="M1344" s="312"/>
      <c r="N1344" s="172">
        <f>IFERROR(__xludf.DUMMYFUNCTION("""COMPUTED_VALUE"""),3.0)</f>
        <v>3</v>
      </c>
      <c r="O1344" s="172"/>
      <c r="P1344" s="313">
        <f>IFERROR(__xludf.DUMMYFUNCTION("""COMPUTED_VALUE"""),1.0)</f>
        <v>1</v>
      </c>
      <c r="Q1344" s="76" t="str">
        <f>VLOOKUP($B1344,'Run Reconcile'!B$2:O1399,14,FALSE)</f>
        <v/>
      </c>
      <c r="R1344" s="314" t="str">
        <f t="array" ref="R1344">IF($Q1344, INDEX('Run Reconcile'!A$2:A1399,MATCH(B1344,'Run Reconcile'!B$2:B1399,0),1),IFERROR(0/0,""))</f>
        <v/>
      </c>
      <c r="S1344" s="315" t="str">
        <f t="shared" ref="S1344:T1344" si="2350">IF(COUNTIF(W$2:W1399, $A1344) &gt; 0,TRUE,IFERROR(0/0,""))</f>
        <v/>
      </c>
      <c r="T1344" s="315" t="str">
        <f t="shared" si="2350"/>
        <v/>
      </c>
      <c r="U1344" s="114" t="str">
        <f t="array" ref="U1344">IF(ISBLANK($R1344), INDEX('Run Reconcile'!A$2:A1399, MATCH($B1344, 'Run Reconcile'!B$2:B1399, 0)+Z1344, 1), IFERROR(0/0,""))
</f>
        <v>RUN-ABRM_2023-05-31_RFR-239</v>
      </c>
      <c r="V1344" s="316" t="str">
        <f t="shared" si="1281"/>
        <v>RUN-ABRM_2023-05-31_RFR-239</v>
      </c>
      <c r="Y1344" s="317" t="str">
        <f t="shared" si="6"/>
        <v/>
      </c>
      <c r="Z1344" s="83" t="str">
        <f t="shared" si="7"/>
        <v/>
      </c>
      <c r="AA1344" s="83" t="str">
        <f t="shared" si="8"/>
        <v/>
      </c>
      <c r="AB1344" s="83" t="str">
        <f t="shared" si="9"/>
        <v/>
      </c>
      <c r="AC1344" s="18"/>
      <c r="AD1344" s="18"/>
      <c r="AE1344" s="43"/>
      <c r="AF1344" s="58" t="s">
        <v>209</v>
      </c>
      <c r="AG1344" s="55" t="str">
        <f t="shared" si="11"/>
        <v/>
      </c>
    </row>
    <row r="1345">
      <c r="A1345" s="7" t="str">
        <f>IFERROR(__xludf.DUMMYFUNCTION("""COMPUTED_VALUE"""),"AK9951")</f>
        <v>AK9951</v>
      </c>
      <c r="B1345" s="308">
        <f>IFERROR(__xludf.DUMMYFUNCTION("""COMPUTED_VALUE"""),45077.0)</f>
        <v>45077</v>
      </c>
      <c r="C1345" s="309">
        <f>IFERROR(__xludf.DUMMYFUNCTION("""COMPUTED_VALUE"""),0.30894675925925924)</f>
        <v>0.3089467593</v>
      </c>
      <c r="D1345" s="7" t="str">
        <f>IFERROR(__xludf.DUMMYFUNCTION("""COMPUTED_VALUE"""),"SpABRM655136")</f>
        <v>SpABRM655136</v>
      </c>
      <c r="E1345" s="310"/>
      <c r="F1345" s="310"/>
      <c r="G1345" s="310" t="str">
        <f>IFERROR(__xludf.DUMMYFUNCTION("""COMPUTED_VALUE"""),"Negative")</f>
        <v>Negative</v>
      </c>
      <c r="H1345" s="319" t="str">
        <f>IFERROR(__xludf.DUMMYFUNCTION("""COMPUTED_VALUE"""),"Negative")</f>
        <v>Negative</v>
      </c>
      <c r="I1345" s="308">
        <f>IFERROR(__xludf.DUMMYFUNCTION("""COMPUTED_VALUE"""),45078.0)</f>
        <v>45078</v>
      </c>
      <c r="J1345" s="311">
        <f>IFERROR(__xludf.DUMMYFUNCTION("""COMPUTED_VALUE"""),0.37975694444444447)</f>
        <v>0.3797569444</v>
      </c>
      <c r="K1345" s="54"/>
      <c r="L1345" s="7"/>
      <c r="M1345" s="312"/>
      <c r="N1345" s="172">
        <f>IFERROR(__xludf.DUMMYFUNCTION("""COMPUTED_VALUE"""),1.0)</f>
        <v>1</v>
      </c>
      <c r="O1345" s="172"/>
      <c r="P1345" s="313">
        <f>IFERROR(__xludf.DUMMYFUNCTION("""COMPUTED_VALUE"""),1.0)</f>
        <v>1</v>
      </c>
      <c r="Q1345" s="76" t="str">
        <f>VLOOKUP($B1345,'Run Reconcile'!B$2:O1399,14,FALSE)</f>
        <v/>
      </c>
      <c r="R1345" s="314" t="str">
        <f t="array" ref="R1345">IF($Q1345, INDEX('Run Reconcile'!A$2:A1399,MATCH(B1345,'Run Reconcile'!B$2:B1399,0),1),IFERROR(0/0,""))</f>
        <v/>
      </c>
      <c r="S1345" s="315" t="str">
        <f t="shared" ref="S1345:T1345" si="2351">IF(COUNTIF(W$2:W1399, $A1345) &gt; 0,TRUE,IFERROR(0/0,""))</f>
        <v/>
      </c>
      <c r="T1345" s="315" t="str">
        <f t="shared" si="2351"/>
        <v/>
      </c>
      <c r="U1345" s="114" t="str">
        <f t="array" ref="U1345">IF(ISBLANK($R1345), INDEX('Run Reconcile'!A$2:A1399, MATCH($B1345, 'Run Reconcile'!B$2:B1399, 0)+Z1345, 1), IFERROR(0/0,""))
</f>
        <v>RUN-ABRM_2023-05-31_RFR-239</v>
      </c>
      <c r="V1345" s="316" t="str">
        <f t="shared" si="1281"/>
        <v>RUN-ABRM_2023-05-31_RFR-239</v>
      </c>
      <c r="Y1345" s="317" t="str">
        <f t="shared" si="6"/>
        <v/>
      </c>
      <c r="Z1345" s="83" t="str">
        <f t="shared" si="7"/>
        <v/>
      </c>
      <c r="AA1345" s="83" t="str">
        <f t="shared" si="8"/>
        <v/>
      </c>
      <c r="AB1345" s="83" t="str">
        <f t="shared" si="9"/>
        <v/>
      </c>
      <c r="AC1345" s="18"/>
      <c r="AD1345" s="18"/>
      <c r="AE1345" s="43"/>
      <c r="AF1345" s="58" t="s">
        <v>209</v>
      </c>
      <c r="AG1345" s="55" t="str">
        <f t="shared" si="11"/>
        <v/>
      </c>
    </row>
    <row r="1346">
      <c r="A1346" s="7" t="str">
        <f>IFERROR(__xludf.DUMMYFUNCTION("""COMPUTED_VALUE"""),"AB9904")</f>
        <v>AB9904</v>
      </c>
      <c r="B1346" s="308">
        <f>IFERROR(__xludf.DUMMYFUNCTION("""COMPUTED_VALUE"""),45077.0)</f>
        <v>45077</v>
      </c>
      <c r="C1346" s="309">
        <f>IFERROR(__xludf.DUMMYFUNCTION("""COMPUTED_VALUE"""),0.31449074074074074)</f>
        <v>0.3144907407</v>
      </c>
      <c r="D1346" s="7" t="str">
        <f>IFERROR(__xludf.DUMMYFUNCTION("""COMPUTED_VALUE"""),"SpABRM581899")</f>
        <v>SpABRM581899</v>
      </c>
      <c r="E1346" s="310"/>
      <c r="F1346" s="310"/>
      <c r="G1346" s="310" t="str">
        <f>IFERROR(__xludf.DUMMYFUNCTION("""COMPUTED_VALUE"""),"Null")</f>
        <v>Null</v>
      </c>
      <c r="H1346" s="319" t="str">
        <f>IFERROR(__xludf.DUMMYFUNCTION("""COMPUTED_VALUE"""),"Negative")</f>
        <v>Negative</v>
      </c>
      <c r="I1346" s="319"/>
      <c r="J1346" s="54"/>
      <c r="K1346" s="54">
        <f>IFERROR(__xludf.DUMMYFUNCTION("""COMPUTED_VALUE"""),2.0)</f>
        <v>2</v>
      </c>
      <c r="L1346" s="7"/>
      <c r="M1346" s="312"/>
      <c r="N1346" s="172">
        <f>IFERROR(__xludf.DUMMYFUNCTION("""COMPUTED_VALUE"""),2.0)</f>
        <v>2</v>
      </c>
      <c r="O1346" s="172"/>
      <c r="P1346" s="313">
        <f>IFERROR(__xludf.DUMMYFUNCTION("""COMPUTED_VALUE"""),-1.0)</f>
        <v>-1</v>
      </c>
      <c r="Q1346" s="76" t="str">
        <f>VLOOKUP($B1346,'Run Reconcile'!B$2:O1399,14,FALSE)</f>
        <v/>
      </c>
      <c r="R1346" s="314" t="str">
        <f t="array" ref="R1346">IF($Q1346, INDEX('Run Reconcile'!A$2:A1399,MATCH(B1346,'Run Reconcile'!B$2:B1399,0),1),IFERROR(0/0,""))</f>
        <v/>
      </c>
      <c r="S1346" s="315" t="str">
        <f t="shared" ref="S1346:T1346" si="2352">IF(COUNTIF(W$2:W1399, $A1346) &gt; 0,TRUE,IFERROR(0/0,""))</f>
        <v/>
      </c>
      <c r="T1346" s="315" t="str">
        <f t="shared" si="2352"/>
        <v/>
      </c>
      <c r="U1346" s="114" t="str">
        <f t="array" ref="U1346">IF(ISBLANK($R1346), INDEX('Run Reconcile'!A$2:A1399, MATCH($B1346, 'Run Reconcile'!B$2:B1399, 0)+Z1346, 1), IFERROR(0/0,""))
</f>
        <v>RUN-ABRM_2023-05-31_RFR-239</v>
      </c>
      <c r="V1346" s="316" t="str">
        <f t="shared" si="1281"/>
        <v>RUN-ABRM_2023-05-31_RFR-239</v>
      </c>
      <c r="Y1346" s="317" t="str">
        <f t="shared" si="6"/>
        <v/>
      </c>
      <c r="Z1346" s="83" t="str">
        <f t="shared" si="7"/>
        <v/>
      </c>
      <c r="AA1346" s="83" t="str">
        <f t="shared" si="8"/>
        <v/>
      </c>
      <c r="AB1346" s="83" t="str">
        <f t="shared" si="9"/>
        <v/>
      </c>
      <c r="AC1346" s="18"/>
      <c r="AD1346" s="18"/>
      <c r="AE1346" s="43"/>
      <c r="AF1346" s="58" t="s">
        <v>209</v>
      </c>
      <c r="AG1346" s="55" t="str">
        <f t="shared" si="11"/>
        <v/>
      </c>
    </row>
    <row r="1347">
      <c r="A1347" s="7" t="str">
        <f>IFERROR(__xludf.DUMMYFUNCTION("""COMPUTED_VALUE"""),"QR926")</f>
        <v>QR926</v>
      </c>
      <c r="B1347" s="308">
        <f>IFERROR(__xludf.DUMMYFUNCTION("""COMPUTED_VALUE"""),45077.0)</f>
        <v>45077</v>
      </c>
      <c r="C1347" s="309">
        <f>IFERROR(__xludf.DUMMYFUNCTION("""COMPUTED_VALUE"""),0.3382175925925926)</f>
        <v>0.3382175926</v>
      </c>
      <c r="D1347" s="7" t="str">
        <f>IFERROR(__xludf.DUMMYFUNCTION("""COMPUTED_VALUE"""),"SpABRM841252")</f>
        <v>SpABRM841252</v>
      </c>
      <c r="E1347" s="310"/>
      <c r="F1347" s="310"/>
      <c r="G1347" s="310" t="str">
        <f>IFERROR(__xludf.DUMMYFUNCTION("""COMPUTED_VALUE"""),"Negative")</f>
        <v>Negative</v>
      </c>
      <c r="H1347" s="319" t="str">
        <f>IFERROR(__xludf.DUMMYFUNCTION("""COMPUTED_VALUE"""),"Negative")</f>
        <v>Negative</v>
      </c>
      <c r="I1347" s="308">
        <f>IFERROR(__xludf.DUMMYFUNCTION("""COMPUTED_VALUE"""),45078.0)</f>
        <v>45078</v>
      </c>
      <c r="J1347" s="311">
        <f>IFERROR(__xludf.DUMMYFUNCTION("""COMPUTED_VALUE"""),0.37975694444444447)</f>
        <v>0.3797569444</v>
      </c>
      <c r="K1347" s="54"/>
      <c r="L1347" s="7"/>
      <c r="M1347" s="312"/>
      <c r="N1347" s="172">
        <f>IFERROR(__xludf.DUMMYFUNCTION("""COMPUTED_VALUE"""),1.0)</f>
        <v>1</v>
      </c>
      <c r="O1347" s="172"/>
      <c r="P1347" s="313">
        <f>IFERROR(__xludf.DUMMYFUNCTION("""COMPUTED_VALUE"""),1.0)</f>
        <v>1</v>
      </c>
      <c r="Q1347" s="76" t="str">
        <f>VLOOKUP($B1347,'Run Reconcile'!B$2:O1399,14,FALSE)</f>
        <v/>
      </c>
      <c r="R1347" s="314" t="str">
        <f t="array" ref="R1347">IF($Q1347, INDEX('Run Reconcile'!A$2:A1399,MATCH(B1347,'Run Reconcile'!B$2:B1399,0),1),IFERROR(0/0,""))</f>
        <v/>
      </c>
      <c r="S1347" s="315" t="str">
        <f t="shared" ref="S1347:T1347" si="2353">IF(COUNTIF(W$2:W1399, $A1347) &gt; 0,TRUE,IFERROR(0/0,""))</f>
        <v/>
      </c>
      <c r="T1347" s="315" t="str">
        <f t="shared" si="2353"/>
        <v/>
      </c>
      <c r="U1347" s="114" t="str">
        <f t="array" ref="U1347">IF(ISBLANK($R1347), INDEX('Run Reconcile'!A$2:A1399, MATCH($B1347, 'Run Reconcile'!B$2:B1399, 0)+Z1347, 1), IFERROR(0/0,""))
</f>
        <v>RUN-ABRM_2023-05-31_RFR-239</v>
      </c>
      <c r="V1347" s="316" t="str">
        <f t="shared" si="1281"/>
        <v>RUN-ABRM_2023-05-31_RFR-239</v>
      </c>
      <c r="Y1347" s="317" t="str">
        <f t="shared" si="6"/>
        <v/>
      </c>
      <c r="Z1347" s="83" t="str">
        <f t="shared" si="7"/>
        <v/>
      </c>
      <c r="AA1347" s="83" t="str">
        <f t="shared" si="8"/>
        <v/>
      </c>
      <c r="AB1347" s="83" t="str">
        <f t="shared" si="9"/>
        <v/>
      </c>
      <c r="AC1347" s="18"/>
      <c r="AD1347" s="18"/>
      <c r="AE1347" s="43"/>
      <c r="AF1347" s="58" t="s">
        <v>209</v>
      </c>
      <c r="AG1347" s="55" t="str">
        <f t="shared" si="11"/>
        <v/>
      </c>
    </row>
    <row r="1348">
      <c r="A1348" s="7" t="str">
        <f>IFERROR(__xludf.DUMMYFUNCTION("""COMPUTED_VALUE"""),"AB9941")</f>
        <v>AB9941</v>
      </c>
      <c r="B1348" s="308">
        <f>IFERROR(__xludf.DUMMYFUNCTION("""COMPUTED_VALUE"""),45077.0)</f>
        <v>45077</v>
      </c>
      <c r="C1348" s="309">
        <f>IFERROR(__xludf.DUMMYFUNCTION("""COMPUTED_VALUE"""),0.33870370370370373)</f>
        <v>0.3387037037</v>
      </c>
      <c r="D1348" s="7" t="str">
        <f>IFERROR(__xludf.DUMMYFUNCTION("""COMPUTED_VALUE"""),"SpABRM655136")</f>
        <v>SpABRM655136</v>
      </c>
      <c r="E1348" s="310"/>
      <c r="F1348" s="310"/>
      <c r="G1348" s="310" t="str">
        <f>IFERROR(__xludf.DUMMYFUNCTION("""COMPUTED_VALUE"""),"Negative")</f>
        <v>Negative</v>
      </c>
      <c r="H1348" s="319" t="str">
        <f>IFERROR(__xludf.DUMMYFUNCTION("""COMPUTED_VALUE"""),"Negative")</f>
        <v>Negative</v>
      </c>
      <c r="I1348" s="308">
        <f>IFERROR(__xludf.DUMMYFUNCTION("""COMPUTED_VALUE"""),45078.0)</f>
        <v>45078</v>
      </c>
      <c r="J1348" s="311">
        <f>IFERROR(__xludf.DUMMYFUNCTION("""COMPUTED_VALUE"""),0.37975694444444447)</f>
        <v>0.3797569444</v>
      </c>
      <c r="K1348" s="54"/>
      <c r="L1348" s="7"/>
      <c r="M1348" s="312"/>
      <c r="N1348" s="172">
        <f>IFERROR(__xludf.DUMMYFUNCTION("""COMPUTED_VALUE"""),1.0)</f>
        <v>1</v>
      </c>
      <c r="O1348" s="172"/>
      <c r="P1348" s="313">
        <f>IFERROR(__xludf.DUMMYFUNCTION("""COMPUTED_VALUE"""),1.0)</f>
        <v>1</v>
      </c>
      <c r="Q1348" s="76" t="str">
        <f>VLOOKUP($B1348,'Run Reconcile'!B$2:O1399,14,FALSE)</f>
        <v/>
      </c>
      <c r="R1348" s="314" t="str">
        <f t="array" ref="R1348">IF($Q1348, INDEX('Run Reconcile'!A$2:A1399,MATCH(B1348,'Run Reconcile'!B$2:B1399,0),1),IFERROR(0/0,""))</f>
        <v/>
      </c>
      <c r="S1348" s="315" t="str">
        <f t="shared" ref="S1348:T1348" si="2354">IF(COUNTIF(W$2:W1399, $A1348) &gt; 0,TRUE,IFERROR(0/0,""))</f>
        <v/>
      </c>
      <c r="T1348" s="315" t="str">
        <f t="shared" si="2354"/>
        <v/>
      </c>
      <c r="U1348" s="114" t="str">
        <f t="array" ref="U1348">IF(ISBLANK($R1348), INDEX('Run Reconcile'!A$2:A1399, MATCH($B1348, 'Run Reconcile'!B$2:B1399, 0)+Z1348, 1), IFERROR(0/0,""))
</f>
        <v>RUN-ABRM_2023-05-31_RFR-239</v>
      </c>
      <c r="V1348" s="316" t="str">
        <f t="shared" si="1281"/>
        <v>RUN-ABRM_2023-05-31_RFR-239</v>
      </c>
      <c r="Y1348" s="317" t="str">
        <f t="shared" si="6"/>
        <v/>
      </c>
      <c r="Z1348" s="83" t="str">
        <f t="shared" si="7"/>
        <v/>
      </c>
      <c r="AA1348" s="83" t="str">
        <f t="shared" si="8"/>
        <v/>
      </c>
      <c r="AB1348" s="83" t="str">
        <f t="shared" si="9"/>
        <v/>
      </c>
      <c r="AC1348" s="18"/>
      <c r="AD1348" s="18"/>
      <c r="AE1348" s="43"/>
      <c r="AF1348" s="58" t="s">
        <v>209</v>
      </c>
      <c r="AG1348" s="55" t="str">
        <f t="shared" si="11"/>
        <v/>
      </c>
    </row>
    <row r="1349">
      <c r="A1349" s="7" t="str">
        <f>IFERROR(__xludf.DUMMYFUNCTION("""COMPUTED_VALUE"""),"AR1615")</f>
        <v>AR1615</v>
      </c>
      <c r="B1349" s="308">
        <f>IFERROR(__xludf.DUMMYFUNCTION("""COMPUTED_VALUE"""),45077.0)</f>
        <v>45077</v>
      </c>
      <c r="C1349" s="309">
        <f>IFERROR(__xludf.DUMMYFUNCTION("""COMPUTED_VALUE"""),0.33872685185185186)</f>
        <v>0.3387268519</v>
      </c>
      <c r="D1349" s="7" t="str">
        <f>IFERROR(__xludf.DUMMYFUNCTION("""COMPUTED_VALUE"""),"SpABRM841252")</f>
        <v>SpABRM841252</v>
      </c>
      <c r="E1349" s="310"/>
      <c r="F1349" s="310"/>
      <c r="G1349" s="310" t="str">
        <f>IFERROR(__xludf.DUMMYFUNCTION("""COMPUTED_VALUE"""),"Negative")</f>
        <v>Negative</v>
      </c>
      <c r="H1349" s="319" t="str">
        <f>IFERROR(__xludf.DUMMYFUNCTION("""COMPUTED_VALUE"""),"Negative")</f>
        <v>Negative</v>
      </c>
      <c r="I1349" s="308">
        <f>IFERROR(__xludf.DUMMYFUNCTION("""COMPUTED_VALUE"""),45078.0)</f>
        <v>45078</v>
      </c>
      <c r="J1349" s="311">
        <f>IFERROR(__xludf.DUMMYFUNCTION("""COMPUTED_VALUE"""),0.37975694444444447)</f>
        <v>0.3797569444</v>
      </c>
      <c r="K1349" s="54"/>
      <c r="L1349" s="7"/>
      <c r="M1349" s="312"/>
      <c r="N1349" s="172">
        <f>IFERROR(__xludf.DUMMYFUNCTION("""COMPUTED_VALUE"""),1.0)</f>
        <v>1</v>
      </c>
      <c r="O1349" s="172"/>
      <c r="P1349" s="313">
        <f>IFERROR(__xludf.DUMMYFUNCTION("""COMPUTED_VALUE"""),1.0)</f>
        <v>1</v>
      </c>
      <c r="Q1349" s="76" t="str">
        <f>VLOOKUP($B1349,'Run Reconcile'!B$2:O1399,14,FALSE)</f>
        <v/>
      </c>
      <c r="R1349" s="314" t="str">
        <f t="array" ref="R1349">IF($Q1349, INDEX('Run Reconcile'!A$2:A1399,MATCH(B1349,'Run Reconcile'!B$2:B1399,0),1),IFERROR(0/0,""))</f>
        <v/>
      </c>
      <c r="S1349" s="315" t="str">
        <f t="shared" ref="S1349:T1349" si="2355">IF(COUNTIF(W$2:W1399, $A1349) &gt; 0,TRUE,IFERROR(0/0,""))</f>
        <v/>
      </c>
      <c r="T1349" s="315" t="str">
        <f t="shared" si="2355"/>
        <v/>
      </c>
      <c r="U1349" s="114" t="str">
        <f t="array" ref="U1349">IF(ISBLANK($R1349), INDEX('Run Reconcile'!A$2:A1399, MATCH($B1349, 'Run Reconcile'!B$2:B1399, 0)+Z1349, 1), IFERROR(0/0,""))
</f>
        <v>RUN-ABRM_2023-05-31_RFR-239</v>
      </c>
      <c r="V1349" s="316" t="str">
        <f t="shared" si="1281"/>
        <v>RUN-ABRM_2023-05-31_RFR-239</v>
      </c>
      <c r="Y1349" s="317" t="str">
        <f t="shared" si="6"/>
        <v/>
      </c>
      <c r="Z1349" s="83" t="str">
        <f t="shared" si="7"/>
        <v/>
      </c>
      <c r="AA1349" s="83" t="str">
        <f t="shared" si="8"/>
        <v/>
      </c>
      <c r="AB1349" s="83" t="str">
        <f t="shared" si="9"/>
        <v/>
      </c>
      <c r="AC1349" s="18"/>
      <c r="AD1349" s="18"/>
      <c r="AE1349" s="43"/>
      <c r="AF1349" s="58" t="s">
        <v>209</v>
      </c>
      <c r="AG1349" s="55" t="str">
        <f t="shared" si="11"/>
        <v/>
      </c>
    </row>
    <row r="1350">
      <c r="A1350" s="7" t="str">
        <f>IFERROR(__xludf.DUMMYFUNCTION("""COMPUTED_VALUE"""),"AR1500")</f>
        <v>AR1500</v>
      </c>
      <c r="B1350" s="308">
        <f>IFERROR(__xludf.DUMMYFUNCTION("""COMPUTED_VALUE"""),45078.0)</f>
        <v>45078</v>
      </c>
      <c r="C1350" s="309">
        <f>IFERROR(__xludf.DUMMYFUNCTION("""COMPUTED_VALUE"""),0.26591435185185186)</f>
        <v>0.2659143519</v>
      </c>
      <c r="D1350" s="7" t="str">
        <f>IFERROR(__xludf.DUMMYFUNCTION("""COMPUTED_VALUE"""),"SpABRM128250")</f>
        <v>SpABRM128250</v>
      </c>
      <c r="E1350" s="310"/>
      <c r="F1350" s="310"/>
      <c r="G1350" s="310" t="str">
        <f>IFERROR(__xludf.DUMMYFUNCTION("""COMPUTED_VALUE"""),"Negative")</f>
        <v>Negative</v>
      </c>
      <c r="H1350" s="319" t="str">
        <f>IFERROR(__xludf.DUMMYFUNCTION("""COMPUTED_VALUE"""),"Negative")</f>
        <v>Negative</v>
      </c>
      <c r="I1350" s="308">
        <f>IFERROR(__xludf.DUMMYFUNCTION("""COMPUTED_VALUE"""),45078.0)</f>
        <v>45078</v>
      </c>
      <c r="J1350" s="311">
        <f>IFERROR(__xludf.DUMMYFUNCTION("""COMPUTED_VALUE"""),0.3797685185185185)</f>
        <v>0.3797685185</v>
      </c>
      <c r="K1350" s="54"/>
      <c r="L1350" s="7"/>
      <c r="M1350" s="312"/>
      <c r="N1350" s="172">
        <f>IFERROR(__xludf.DUMMYFUNCTION("""COMPUTED_VALUE"""),3.0)</f>
        <v>3</v>
      </c>
      <c r="O1350" s="172"/>
      <c r="P1350" s="313">
        <f>IFERROR(__xludf.DUMMYFUNCTION("""COMPUTED_VALUE"""),0.0)</f>
        <v>0</v>
      </c>
      <c r="Q1350" s="76" t="str">
        <f>VLOOKUP($B1350,'Run Reconcile'!B$2:O1399,14,FALSE)</f>
        <v/>
      </c>
      <c r="R1350" s="314" t="str">
        <f t="array" ref="R1350">IF($Q1350, INDEX('Run Reconcile'!A$2:A1399,MATCH(B1350,'Run Reconcile'!B$2:B1399,0),1),IFERROR(0/0,""))</f>
        <v/>
      </c>
      <c r="S1350" s="315" t="str">
        <f t="shared" ref="S1350:T1350" si="2356">IF(COUNTIF(W$2:W1399, $A1350) &gt; 0,TRUE,IFERROR(0/0,""))</f>
        <v/>
      </c>
      <c r="T1350" s="315" t="str">
        <f t="shared" si="2356"/>
        <v/>
      </c>
      <c r="U1350" s="114" t="str">
        <f t="array" ref="U1350">IF(ISBLANK($R1350), INDEX('Run Reconcile'!A$2:A1399, MATCH($B1350, 'Run Reconcile'!B$2:B1399, 0)+Z1350, 1), IFERROR(0/0,""))
</f>
        <v>RUN-ABRM_2023-06-01_RFR-240</v>
      </c>
      <c r="V1350" s="316" t="str">
        <f t="shared" si="1281"/>
        <v>RUN-ABRM_2023-06-01_RFR-240</v>
      </c>
      <c r="Y1350" s="317" t="str">
        <f t="shared" si="6"/>
        <v/>
      </c>
      <c r="Z1350" s="83" t="str">
        <f t="shared" si="7"/>
        <v/>
      </c>
      <c r="AA1350" s="83" t="str">
        <f t="shared" si="8"/>
        <v/>
      </c>
      <c r="AB1350" s="83" t="str">
        <f t="shared" si="9"/>
        <v/>
      </c>
      <c r="AC1350" s="18"/>
      <c r="AD1350" s="18"/>
      <c r="AE1350" s="43"/>
      <c r="AF1350" s="58" t="s">
        <v>210</v>
      </c>
      <c r="AG1350" s="55" t="str">
        <f t="shared" si="11"/>
        <v/>
      </c>
    </row>
    <row r="1351">
      <c r="A1351" s="7" t="str">
        <f>IFERROR(__xludf.DUMMYFUNCTION("""COMPUTED_VALUE"""),"AB9956")</f>
        <v>AB9956</v>
      </c>
      <c r="B1351" s="308">
        <f>IFERROR(__xludf.DUMMYFUNCTION("""COMPUTED_VALUE"""),45078.0)</f>
        <v>45078</v>
      </c>
      <c r="C1351" s="309">
        <f>IFERROR(__xludf.DUMMYFUNCTION("""COMPUTED_VALUE"""),0.2778587962962963)</f>
        <v>0.2778587963</v>
      </c>
      <c r="D1351" s="7" t="str">
        <f>IFERROR(__xludf.DUMMYFUNCTION("""COMPUTED_VALUE"""),"SpABRM581899")</f>
        <v>SpABRM581899</v>
      </c>
      <c r="E1351" s="310"/>
      <c r="F1351" s="310"/>
      <c r="G1351" s="310" t="str">
        <f>IFERROR(__xludf.DUMMYFUNCTION("""COMPUTED_VALUE"""),"Negative")</f>
        <v>Negative</v>
      </c>
      <c r="H1351" s="319" t="str">
        <f>IFERROR(__xludf.DUMMYFUNCTION("""COMPUTED_VALUE"""),"Negative")</f>
        <v>Negative</v>
      </c>
      <c r="I1351" s="308">
        <f>IFERROR(__xludf.DUMMYFUNCTION("""COMPUTED_VALUE"""),45078.0)</f>
        <v>45078</v>
      </c>
      <c r="J1351" s="311">
        <f>IFERROR(__xludf.DUMMYFUNCTION("""COMPUTED_VALUE"""),0.3797685185185185)</f>
        <v>0.3797685185</v>
      </c>
      <c r="K1351" s="54"/>
      <c r="L1351" s="7"/>
      <c r="M1351" s="312"/>
      <c r="N1351" s="172">
        <f>IFERROR(__xludf.DUMMYFUNCTION("""COMPUTED_VALUE"""),2.0)</f>
        <v>2</v>
      </c>
      <c r="O1351" s="172"/>
      <c r="P1351" s="313">
        <f>IFERROR(__xludf.DUMMYFUNCTION("""COMPUTED_VALUE"""),0.0)</f>
        <v>0</v>
      </c>
      <c r="Q1351" s="76" t="str">
        <f>VLOOKUP($B1351,'Run Reconcile'!B$2:O1399,14,FALSE)</f>
        <v/>
      </c>
      <c r="R1351" s="314" t="str">
        <f t="array" ref="R1351">IF($Q1351, INDEX('Run Reconcile'!A$2:A1399,MATCH(B1351,'Run Reconcile'!B$2:B1399,0),1),IFERROR(0/0,""))</f>
        <v/>
      </c>
      <c r="S1351" s="315" t="str">
        <f t="shared" ref="S1351:T1351" si="2357">IF(COUNTIF(W$2:W1399, $A1351) &gt; 0,TRUE,IFERROR(0/0,""))</f>
        <v/>
      </c>
      <c r="T1351" s="315" t="str">
        <f t="shared" si="2357"/>
        <v/>
      </c>
      <c r="U1351" s="114" t="str">
        <f t="array" ref="U1351">IF(ISBLANK($R1351), INDEX('Run Reconcile'!A$2:A1399, MATCH($B1351, 'Run Reconcile'!B$2:B1399, 0)+Z1351, 1), IFERROR(0/0,""))
</f>
        <v>RUN-ABRM_2023-06-01_RFR-240</v>
      </c>
      <c r="V1351" s="316" t="str">
        <f t="shared" si="1281"/>
        <v>RUN-ABRM_2023-06-01_RFR-240</v>
      </c>
      <c r="Y1351" s="317" t="str">
        <f t="shared" si="6"/>
        <v/>
      </c>
      <c r="Z1351" s="83" t="str">
        <f t="shared" si="7"/>
        <v/>
      </c>
      <c r="AA1351" s="83" t="str">
        <f t="shared" si="8"/>
        <v/>
      </c>
      <c r="AB1351" s="83" t="str">
        <f t="shared" si="9"/>
        <v/>
      </c>
      <c r="AC1351" s="18"/>
      <c r="AD1351" s="18"/>
      <c r="AE1351" s="43"/>
      <c r="AF1351" s="58" t="s">
        <v>210</v>
      </c>
      <c r="AG1351" s="55" t="str">
        <f t="shared" si="11"/>
        <v/>
      </c>
    </row>
    <row r="1352">
      <c r="A1352" s="7" t="str">
        <f>IFERROR(__xludf.DUMMYFUNCTION("""COMPUTED_VALUE"""),"AR1398")</f>
        <v>AR1398</v>
      </c>
      <c r="B1352" s="308">
        <f>IFERROR(__xludf.DUMMYFUNCTION("""COMPUTED_VALUE"""),45078.0)</f>
        <v>45078</v>
      </c>
      <c r="C1352" s="309">
        <f>IFERROR(__xludf.DUMMYFUNCTION("""COMPUTED_VALUE"""),0.32047453703703704)</f>
        <v>0.320474537</v>
      </c>
      <c r="D1352" s="7" t="str">
        <f>IFERROR(__xludf.DUMMYFUNCTION("""COMPUTED_VALUE"""),"SpABRM841252")</f>
        <v>SpABRM841252</v>
      </c>
      <c r="E1352" s="310"/>
      <c r="F1352" s="310"/>
      <c r="G1352" s="310" t="str">
        <f>IFERROR(__xludf.DUMMYFUNCTION("""COMPUTED_VALUE"""),"Negative")</f>
        <v>Negative</v>
      </c>
      <c r="H1352" s="319" t="str">
        <f>IFERROR(__xludf.DUMMYFUNCTION("""COMPUTED_VALUE"""),"Negative")</f>
        <v>Negative</v>
      </c>
      <c r="I1352" s="308">
        <f>IFERROR(__xludf.DUMMYFUNCTION("""COMPUTED_VALUE"""),45078.0)</f>
        <v>45078</v>
      </c>
      <c r="J1352" s="311">
        <f>IFERROR(__xludf.DUMMYFUNCTION("""COMPUTED_VALUE"""),0.3797685185185185)</f>
        <v>0.3797685185</v>
      </c>
      <c r="K1352" s="54"/>
      <c r="L1352" s="7"/>
      <c r="M1352" s="312"/>
      <c r="N1352" s="172">
        <f>IFERROR(__xludf.DUMMYFUNCTION("""COMPUTED_VALUE"""),1.0)</f>
        <v>1</v>
      </c>
      <c r="O1352" s="172"/>
      <c r="P1352" s="313">
        <f>IFERROR(__xludf.DUMMYFUNCTION("""COMPUTED_VALUE"""),0.0)</f>
        <v>0</v>
      </c>
      <c r="Q1352" s="76" t="str">
        <f>VLOOKUP($B1352,'Run Reconcile'!B$2:O1399,14,FALSE)</f>
        <v/>
      </c>
      <c r="R1352" s="314" t="str">
        <f t="array" ref="R1352">IF($Q1352, INDEX('Run Reconcile'!A$2:A1399,MATCH(B1352,'Run Reconcile'!B$2:B1399,0),1),IFERROR(0/0,""))</f>
        <v/>
      </c>
      <c r="S1352" s="315" t="str">
        <f t="shared" ref="S1352:T1352" si="2358">IF(COUNTIF(W$2:W1399, $A1352) &gt; 0,TRUE,IFERROR(0/0,""))</f>
        <v/>
      </c>
      <c r="T1352" s="315" t="str">
        <f t="shared" si="2358"/>
        <v/>
      </c>
      <c r="U1352" s="114" t="str">
        <f t="array" ref="U1352">IF(ISBLANK($R1352), INDEX('Run Reconcile'!A$2:A1399, MATCH($B1352, 'Run Reconcile'!B$2:B1399, 0)+Z1352, 1), IFERROR(0/0,""))
</f>
        <v>RUN-ABRM_2023-06-01_RFR-240</v>
      </c>
      <c r="V1352" s="316" t="str">
        <f t="shared" si="1281"/>
        <v>RUN-ABRM_2023-06-01_RFR-240</v>
      </c>
      <c r="Y1352" s="317" t="str">
        <f t="shared" si="6"/>
        <v/>
      </c>
      <c r="Z1352" s="83" t="str">
        <f t="shared" si="7"/>
        <v/>
      </c>
      <c r="AA1352" s="83" t="str">
        <f t="shared" si="8"/>
        <v/>
      </c>
      <c r="AB1352" s="83" t="str">
        <f t="shared" si="9"/>
        <v/>
      </c>
      <c r="AC1352" s="18"/>
      <c r="AD1352" s="18"/>
      <c r="AE1352" s="43"/>
      <c r="AF1352" s="58" t="s">
        <v>210</v>
      </c>
      <c r="AG1352" s="55" t="str">
        <f t="shared" si="11"/>
        <v/>
      </c>
    </row>
    <row r="1353">
      <c r="A1353" s="7" t="str">
        <f>IFERROR(__xludf.DUMMYFUNCTION("""COMPUTED_VALUE"""),"AK9885")</f>
        <v>AK9885</v>
      </c>
      <c r="B1353" s="308">
        <f>IFERROR(__xludf.DUMMYFUNCTION("""COMPUTED_VALUE"""),45078.0)</f>
        <v>45078</v>
      </c>
      <c r="C1353" s="309">
        <f>IFERROR(__xludf.DUMMYFUNCTION("""COMPUTED_VALUE"""),0.3287037037037037)</f>
        <v>0.3287037037</v>
      </c>
      <c r="D1353" s="7" t="str">
        <f>IFERROR(__xludf.DUMMYFUNCTION("""COMPUTED_VALUE"""),"SpABRM655136")</f>
        <v>SpABRM655136</v>
      </c>
      <c r="E1353" s="310"/>
      <c r="F1353" s="310"/>
      <c r="G1353" s="310" t="str">
        <f>IFERROR(__xludf.DUMMYFUNCTION("""COMPUTED_VALUE"""),"Negative")</f>
        <v>Negative</v>
      </c>
      <c r="H1353" s="319" t="str">
        <f>IFERROR(__xludf.DUMMYFUNCTION("""COMPUTED_VALUE"""),"Negative")</f>
        <v>Negative</v>
      </c>
      <c r="I1353" s="308">
        <f>IFERROR(__xludf.DUMMYFUNCTION("""COMPUTED_VALUE"""),45078.0)</f>
        <v>45078</v>
      </c>
      <c r="J1353" s="311">
        <f>IFERROR(__xludf.DUMMYFUNCTION("""COMPUTED_VALUE"""),0.3797685185185185)</f>
        <v>0.3797685185</v>
      </c>
      <c r="K1353" s="54"/>
      <c r="L1353" s="7"/>
      <c r="M1353" s="312"/>
      <c r="N1353" s="172">
        <f>IFERROR(__xludf.DUMMYFUNCTION("""COMPUTED_VALUE"""),1.0)</f>
        <v>1</v>
      </c>
      <c r="O1353" s="172"/>
      <c r="P1353" s="313">
        <f>IFERROR(__xludf.DUMMYFUNCTION("""COMPUTED_VALUE"""),0.0)</f>
        <v>0</v>
      </c>
      <c r="Q1353" s="76" t="str">
        <f>VLOOKUP($B1353,'Run Reconcile'!B$2:O1399,14,FALSE)</f>
        <v/>
      </c>
      <c r="R1353" s="314" t="str">
        <f t="array" ref="R1353">IF($Q1353, INDEX('Run Reconcile'!A$2:A1399,MATCH(B1353,'Run Reconcile'!B$2:B1399,0),1),IFERROR(0/0,""))</f>
        <v/>
      </c>
      <c r="S1353" s="315" t="str">
        <f t="shared" ref="S1353:T1353" si="2359">IF(COUNTIF(W$2:W1399, $A1353) &gt; 0,TRUE,IFERROR(0/0,""))</f>
        <v/>
      </c>
      <c r="T1353" s="315" t="str">
        <f t="shared" si="2359"/>
        <v/>
      </c>
      <c r="U1353" s="114" t="str">
        <f t="array" ref="U1353">IF(ISBLANK($R1353), INDEX('Run Reconcile'!A$2:A1399, MATCH($B1353, 'Run Reconcile'!B$2:B1399, 0)+Z1353, 1), IFERROR(0/0,""))
</f>
        <v>RUN-ABRM_2023-06-01_RFR-240</v>
      </c>
      <c r="V1353" s="316" t="str">
        <f t="shared" si="1281"/>
        <v>RUN-ABRM_2023-06-01_RFR-240</v>
      </c>
      <c r="Y1353" s="317" t="str">
        <f t="shared" si="6"/>
        <v/>
      </c>
      <c r="Z1353" s="83" t="str">
        <f t="shared" si="7"/>
        <v/>
      </c>
      <c r="AA1353" s="83" t="str">
        <f t="shared" si="8"/>
        <v/>
      </c>
      <c r="AB1353" s="83" t="str">
        <f t="shared" si="9"/>
        <v/>
      </c>
      <c r="AC1353" s="18"/>
      <c r="AD1353" s="18"/>
      <c r="AE1353" s="43"/>
      <c r="AF1353" s="58" t="s">
        <v>210</v>
      </c>
      <c r="AG1353" s="55" t="str">
        <f t="shared" si="11"/>
        <v/>
      </c>
    </row>
    <row r="1354">
      <c r="A1354" s="7" t="str">
        <f>IFERROR(__xludf.DUMMYFUNCTION("""COMPUTED_VALUE"""),"AR1220")</f>
        <v>AR1220</v>
      </c>
      <c r="B1354" s="308">
        <f>IFERROR(__xludf.DUMMYFUNCTION("""COMPUTED_VALUE"""),45078.0)</f>
        <v>45078</v>
      </c>
      <c r="C1354" s="309">
        <f>IFERROR(__xludf.DUMMYFUNCTION("""COMPUTED_VALUE"""),0.33108796296296295)</f>
        <v>0.331087963</v>
      </c>
      <c r="D1354" s="7" t="str">
        <f>IFERROR(__xludf.DUMMYFUNCTION("""COMPUTED_VALUE"""),"SpABRM655136")</f>
        <v>SpABRM655136</v>
      </c>
      <c r="E1354" s="310"/>
      <c r="F1354" s="310"/>
      <c r="G1354" s="310" t="str">
        <f>IFERROR(__xludf.DUMMYFUNCTION("""COMPUTED_VALUE"""),"Negative")</f>
        <v>Negative</v>
      </c>
      <c r="H1354" s="319" t="str">
        <f>IFERROR(__xludf.DUMMYFUNCTION("""COMPUTED_VALUE"""),"Negative")</f>
        <v>Negative</v>
      </c>
      <c r="I1354" s="308">
        <f>IFERROR(__xludf.DUMMYFUNCTION("""COMPUTED_VALUE"""),45078.0)</f>
        <v>45078</v>
      </c>
      <c r="J1354" s="311">
        <f>IFERROR(__xludf.DUMMYFUNCTION("""COMPUTED_VALUE"""),0.3797800925925926)</f>
        <v>0.3797800926</v>
      </c>
      <c r="K1354" s="54"/>
      <c r="L1354" s="7"/>
      <c r="M1354" s="312"/>
      <c r="N1354" s="172">
        <f>IFERROR(__xludf.DUMMYFUNCTION("""COMPUTED_VALUE"""),1.0)</f>
        <v>1</v>
      </c>
      <c r="O1354" s="172"/>
      <c r="P1354" s="313">
        <f>IFERROR(__xludf.DUMMYFUNCTION("""COMPUTED_VALUE"""),0.0)</f>
        <v>0</v>
      </c>
      <c r="Q1354" s="76" t="str">
        <f>VLOOKUP($B1354,'Run Reconcile'!B$2:O1399,14,FALSE)</f>
        <v/>
      </c>
      <c r="R1354" s="314" t="str">
        <f t="array" ref="R1354">IF($Q1354, INDEX('Run Reconcile'!A$2:A1399,MATCH(B1354,'Run Reconcile'!B$2:B1399,0),1),IFERROR(0/0,""))</f>
        <v/>
      </c>
      <c r="S1354" s="315" t="str">
        <f t="shared" ref="S1354:T1354" si="2360">IF(COUNTIF(W$2:W1399, $A1354) &gt; 0,TRUE,IFERROR(0/0,""))</f>
        <v/>
      </c>
      <c r="T1354" s="315" t="str">
        <f t="shared" si="2360"/>
        <v/>
      </c>
      <c r="U1354" s="114" t="str">
        <f t="array" ref="U1354">IF(ISBLANK($R1354), INDEX('Run Reconcile'!A$2:A1399, MATCH($B1354, 'Run Reconcile'!B$2:B1399, 0)+Z1354, 1), IFERROR(0/0,""))
</f>
        <v>RUN-ABRM_2023-06-01_RFR-240</v>
      </c>
      <c r="V1354" s="316" t="str">
        <f t="shared" si="1281"/>
        <v>RUN-ABRM_2023-06-01_RFR-240</v>
      </c>
      <c r="Y1354" s="317" t="str">
        <f t="shared" si="6"/>
        <v/>
      </c>
      <c r="Z1354" s="83" t="str">
        <f t="shared" si="7"/>
        <v/>
      </c>
      <c r="AA1354" s="83" t="str">
        <f t="shared" si="8"/>
        <v/>
      </c>
      <c r="AB1354" s="83" t="str">
        <f t="shared" si="9"/>
        <v/>
      </c>
      <c r="AC1354" s="18"/>
      <c r="AD1354" s="18"/>
      <c r="AE1354" s="43"/>
      <c r="AF1354" s="58" t="s">
        <v>210</v>
      </c>
      <c r="AG1354" s="55" t="str">
        <f t="shared" si="11"/>
        <v/>
      </c>
    </row>
    <row r="1355">
      <c r="A1355" s="7" t="str">
        <f>IFERROR(__xludf.DUMMYFUNCTION("""COMPUTED_VALUE"""),"AR1760")</f>
        <v>AR1760</v>
      </c>
      <c r="B1355" s="308">
        <f>IFERROR(__xludf.DUMMYFUNCTION("""COMPUTED_VALUE"""),45079.0)</f>
        <v>45079</v>
      </c>
      <c r="C1355" s="309">
        <f>IFERROR(__xludf.DUMMYFUNCTION("""COMPUTED_VALUE"""),0.28453703703703703)</f>
        <v>0.284537037</v>
      </c>
      <c r="D1355" s="7" t="str">
        <f>IFERROR(__xludf.DUMMYFUNCTION("""COMPUTED_VALUE"""),"SpABRM655136")</f>
        <v>SpABRM655136</v>
      </c>
      <c r="E1355" s="310"/>
      <c r="F1355" s="310"/>
      <c r="G1355" s="310" t="str">
        <f>IFERROR(__xludf.DUMMYFUNCTION("""COMPUTED_VALUE"""),"Null")</f>
        <v>Null</v>
      </c>
      <c r="H1355" s="319" t="str">
        <f>IFERROR(__xludf.DUMMYFUNCTION("""COMPUTED_VALUE"""),"Negative")</f>
        <v>Negative</v>
      </c>
      <c r="I1355" s="308">
        <f>IFERROR(__xludf.DUMMYFUNCTION("""COMPUTED_VALUE"""),45079.0)</f>
        <v>45079</v>
      </c>
      <c r="J1355" s="311">
        <f>IFERROR(__xludf.DUMMYFUNCTION("""COMPUTED_VALUE"""),0.28471064814814817)</f>
        <v>0.2847106481</v>
      </c>
      <c r="K1355" s="54">
        <f>IFERROR(__xludf.DUMMYFUNCTION("""COMPUTED_VALUE"""),2.2)</f>
        <v>2.2</v>
      </c>
      <c r="L1355" s="7"/>
      <c r="M1355" s="312"/>
      <c r="N1355" s="172">
        <f>IFERROR(__xludf.DUMMYFUNCTION("""COMPUTED_VALUE"""),1.0)</f>
        <v>1</v>
      </c>
      <c r="O1355" s="172"/>
      <c r="P1355" s="313">
        <f>IFERROR(__xludf.DUMMYFUNCTION("""COMPUTED_VALUE"""),0.0)</f>
        <v>0</v>
      </c>
      <c r="Q1355" s="76"/>
      <c r="R1355" s="314"/>
      <c r="S1355" s="315"/>
      <c r="T1355" s="315"/>
      <c r="U1355" s="114" t="str">
        <f t="array" ref="U1355">IF(ISBLANK($R1355), INDEX('Run Reconcile'!A$2:A1399, MATCH($B1355, 'Run Reconcile'!B$2:B1399, 0)+Z1355, 1), IFERROR(0/0,""))
</f>
        <v>RUN-ABRM_2023-06-02_APS-023</v>
      </c>
      <c r="V1355" s="316" t="str">
        <f t="shared" si="1281"/>
        <v>RUN-ABRM_2023-06-02_APS-023</v>
      </c>
      <c r="Y1355" s="317" t="str">
        <f t="shared" si="6"/>
        <v/>
      </c>
      <c r="Z1355" s="83" t="str">
        <f t="shared" si="7"/>
        <v/>
      </c>
      <c r="AA1355" s="83" t="str">
        <f t="shared" si="8"/>
        <v/>
      </c>
      <c r="AB1355" s="83" t="str">
        <f t="shared" si="9"/>
        <v/>
      </c>
      <c r="AC1355" s="18"/>
      <c r="AD1355" s="18"/>
      <c r="AE1355" s="43"/>
      <c r="AF1355" s="58"/>
      <c r="AG1355" s="335"/>
      <c r="AH1355" s="336" t="s">
        <v>1396</v>
      </c>
    </row>
    <row r="1356">
      <c r="A1356" s="7" t="str">
        <f>IFERROR(__xludf.DUMMYFUNCTION("""COMPUTED_VALUE"""),"AR1929")</f>
        <v>AR1929</v>
      </c>
      <c r="B1356" s="308">
        <f>IFERROR(__xludf.DUMMYFUNCTION("""COMPUTED_VALUE"""),45079.0)</f>
        <v>45079</v>
      </c>
      <c r="C1356" s="309">
        <f>IFERROR(__xludf.DUMMYFUNCTION("""COMPUTED_VALUE"""),0.28802083333333334)</f>
        <v>0.2880208333</v>
      </c>
      <c r="D1356" s="7" t="str">
        <f>IFERROR(__xludf.DUMMYFUNCTION("""COMPUTED_VALUE"""),"SpABRM581899")</f>
        <v>SpABRM581899</v>
      </c>
      <c r="E1356" s="310"/>
      <c r="F1356" s="310"/>
      <c r="G1356" s="310" t="str">
        <f>IFERROR(__xludf.DUMMYFUNCTION("""COMPUTED_VALUE"""),"Null")</f>
        <v>Null</v>
      </c>
      <c r="H1356" s="319" t="str">
        <f>IFERROR(__xludf.DUMMYFUNCTION("""COMPUTED_VALUE"""),"Negative")</f>
        <v>Negative</v>
      </c>
      <c r="I1356" s="308">
        <f>IFERROR(__xludf.DUMMYFUNCTION("""COMPUTED_VALUE"""),45079.0)</f>
        <v>45079</v>
      </c>
      <c r="J1356" s="311">
        <f>IFERROR(__xludf.DUMMYFUNCTION("""COMPUTED_VALUE"""),0.32533564814814814)</f>
        <v>0.3253356481</v>
      </c>
      <c r="K1356" s="54">
        <f>IFERROR(__xludf.DUMMYFUNCTION("""COMPUTED_VALUE"""),2.2)</f>
        <v>2.2</v>
      </c>
      <c r="L1356" s="7"/>
      <c r="M1356" s="312"/>
      <c r="N1356" s="172">
        <f>IFERROR(__xludf.DUMMYFUNCTION("""COMPUTED_VALUE"""),2.0)</f>
        <v>2</v>
      </c>
      <c r="O1356" s="172"/>
      <c r="P1356" s="313">
        <f>IFERROR(__xludf.DUMMYFUNCTION("""COMPUTED_VALUE"""),0.0)</f>
        <v>0</v>
      </c>
      <c r="Q1356" s="76"/>
      <c r="R1356" s="314"/>
      <c r="S1356" s="315"/>
      <c r="T1356" s="315"/>
      <c r="U1356" s="114" t="str">
        <f t="array" ref="U1356">IF(ISBLANK($R1356), INDEX('Run Reconcile'!A$2:A1399, MATCH($B1356, 'Run Reconcile'!B$2:B1399, 0)+Z1356, 1), IFERROR(0/0,""))
</f>
        <v>RUN-ABRM_2023-06-02_APS-023</v>
      </c>
      <c r="V1356" s="316" t="str">
        <f t="shared" si="1281"/>
        <v>RUN-ABRM_2023-06-02_APS-023</v>
      </c>
      <c r="Y1356" s="317" t="str">
        <f t="shared" si="6"/>
        <v/>
      </c>
      <c r="Z1356" s="83" t="str">
        <f t="shared" si="7"/>
        <v/>
      </c>
      <c r="AA1356" s="83" t="str">
        <f t="shared" si="8"/>
        <v/>
      </c>
      <c r="AB1356" s="83" t="str">
        <f t="shared" si="9"/>
        <v/>
      </c>
      <c r="AC1356" s="18"/>
      <c r="AD1356" s="18"/>
      <c r="AE1356" s="43"/>
      <c r="AF1356" s="58"/>
      <c r="AG1356" s="335"/>
      <c r="AH1356" s="331"/>
    </row>
    <row r="1357">
      <c r="A1357" s="7" t="str">
        <f>IFERROR(__xludf.DUMMYFUNCTION("""COMPUTED_VALUE"""),"AK9600")</f>
        <v>AK9600</v>
      </c>
      <c r="B1357" s="308">
        <f>IFERROR(__xludf.DUMMYFUNCTION("""COMPUTED_VALUE"""),45079.0)</f>
        <v>45079</v>
      </c>
      <c r="C1357" s="309">
        <f>IFERROR(__xludf.DUMMYFUNCTION("""COMPUTED_VALUE"""),0.32958333333333334)</f>
        <v>0.3295833333</v>
      </c>
      <c r="D1357" s="7" t="str">
        <f>IFERROR(__xludf.DUMMYFUNCTION("""COMPUTED_VALUE"""),"SpABRM655136")</f>
        <v>SpABRM655136</v>
      </c>
      <c r="E1357" s="310"/>
      <c r="F1357" s="310"/>
      <c r="G1357" s="310" t="str">
        <f>IFERROR(__xludf.DUMMYFUNCTION("""COMPUTED_VALUE"""),"Null")</f>
        <v>Null</v>
      </c>
      <c r="H1357" s="319" t="str">
        <f>IFERROR(__xludf.DUMMYFUNCTION("""COMPUTED_VALUE"""),"Negative")</f>
        <v>Negative</v>
      </c>
      <c r="I1357" s="308">
        <f>IFERROR(__xludf.DUMMYFUNCTION("""COMPUTED_VALUE"""),45079.0)</f>
        <v>45079</v>
      </c>
      <c r="J1357" s="311">
        <f>IFERROR(__xludf.DUMMYFUNCTION("""COMPUTED_VALUE"""),0.32981481481481484)</f>
        <v>0.3298148148</v>
      </c>
      <c r="K1357" s="54">
        <f>IFERROR(__xludf.DUMMYFUNCTION("""COMPUTED_VALUE"""),2.2)</f>
        <v>2.2</v>
      </c>
      <c r="L1357" s="7"/>
      <c r="M1357" s="312"/>
      <c r="N1357" s="172">
        <f>IFERROR(__xludf.DUMMYFUNCTION("""COMPUTED_VALUE"""),3.0)</f>
        <v>3</v>
      </c>
      <c r="O1357" s="172"/>
      <c r="P1357" s="313">
        <f>IFERROR(__xludf.DUMMYFUNCTION("""COMPUTED_VALUE"""),0.0)</f>
        <v>0</v>
      </c>
      <c r="Q1357" s="76"/>
      <c r="R1357" s="314"/>
      <c r="S1357" s="315"/>
      <c r="T1357" s="315"/>
      <c r="U1357" s="114" t="str">
        <f t="array" ref="U1357">IF(ISBLANK($R1357), INDEX('Run Reconcile'!A$2:A1399, MATCH($B1357, 'Run Reconcile'!B$2:B1399, 0)+Z1357, 1), IFERROR(0/0,""))
</f>
        <v>RUN-ABRM_2023-06-02_APS-023</v>
      </c>
      <c r="V1357" s="316" t="str">
        <f t="shared" si="1281"/>
        <v>RUN-ABRM_2023-06-02_APS-023</v>
      </c>
      <c r="Y1357" s="317" t="str">
        <f t="shared" si="6"/>
        <v/>
      </c>
      <c r="Z1357" s="83" t="str">
        <f t="shared" si="7"/>
        <v/>
      </c>
      <c r="AA1357" s="83" t="str">
        <f t="shared" si="8"/>
        <v/>
      </c>
      <c r="AB1357" s="83" t="str">
        <f t="shared" si="9"/>
        <v/>
      </c>
      <c r="AC1357" s="18"/>
      <c r="AD1357" s="18"/>
      <c r="AE1357" s="43"/>
      <c r="AF1357" s="58"/>
      <c r="AG1357" s="335"/>
      <c r="AH1357" s="331"/>
    </row>
    <row r="1358">
      <c r="A1358" s="7" t="str">
        <f>IFERROR(__xludf.DUMMYFUNCTION("""COMPUTED_VALUE"""),"AR603")</f>
        <v>AR603</v>
      </c>
      <c r="B1358" s="308">
        <f>IFERROR(__xludf.DUMMYFUNCTION("""COMPUTED_VALUE"""),45079.0)</f>
        <v>45079</v>
      </c>
      <c r="C1358" s="309">
        <f>IFERROR(__xludf.DUMMYFUNCTION("""COMPUTED_VALUE"""),0.33436342592592594)</f>
        <v>0.3343634259</v>
      </c>
      <c r="D1358" s="7" t="str">
        <f>IFERROR(__xludf.DUMMYFUNCTION("""COMPUTED_VALUE"""),"SpABRM655136")</f>
        <v>SpABRM655136</v>
      </c>
      <c r="E1358" s="310"/>
      <c r="F1358" s="310"/>
      <c r="G1358" s="310" t="str">
        <f>IFERROR(__xludf.DUMMYFUNCTION("""COMPUTED_VALUE"""),"Null")</f>
        <v>Null</v>
      </c>
      <c r="H1358" s="319" t="str">
        <f>IFERROR(__xludf.DUMMYFUNCTION("""COMPUTED_VALUE"""),"Negative")</f>
        <v>Negative</v>
      </c>
      <c r="I1358" s="308">
        <f>IFERROR(__xludf.DUMMYFUNCTION("""COMPUTED_VALUE"""),45079.0)</f>
        <v>45079</v>
      </c>
      <c r="J1358" s="311">
        <f>IFERROR(__xludf.DUMMYFUNCTION("""COMPUTED_VALUE"""),0.3345486111111111)</f>
        <v>0.3345486111</v>
      </c>
      <c r="K1358" s="54">
        <f>IFERROR(__xludf.DUMMYFUNCTION("""COMPUTED_VALUE"""),2.2)</f>
        <v>2.2</v>
      </c>
      <c r="L1358" s="7"/>
      <c r="M1358" s="312"/>
      <c r="N1358" s="172">
        <f>IFERROR(__xludf.DUMMYFUNCTION("""COMPUTED_VALUE"""),4.0)</f>
        <v>4</v>
      </c>
      <c r="O1358" s="172"/>
      <c r="P1358" s="313">
        <f>IFERROR(__xludf.DUMMYFUNCTION("""COMPUTED_VALUE"""),0.0)</f>
        <v>0</v>
      </c>
      <c r="Q1358" s="76"/>
      <c r="R1358" s="314"/>
      <c r="S1358" s="315"/>
      <c r="T1358" s="315"/>
      <c r="U1358" s="114" t="str">
        <f t="array" ref="U1358">IF(ISBLANK($R1358), INDEX('Run Reconcile'!A$2:A1399, MATCH($B1358, 'Run Reconcile'!B$2:B1399, 0)+Z1358, 1), IFERROR(0/0,""))
</f>
        <v>RUN-ABRM_2023-06-02_APS-023</v>
      </c>
      <c r="V1358" s="316" t="str">
        <f t="shared" si="1281"/>
        <v>RUN-ABRM_2023-06-02_APS-023</v>
      </c>
      <c r="Y1358" s="317" t="str">
        <f t="shared" si="6"/>
        <v/>
      </c>
      <c r="Z1358" s="83" t="str">
        <f t="shared" si="7"/>
        <v/>
      </c>
      <c r="AA1358" s="83" t="str">
        <f t="shared" si="8"/>
        <v/>
      </c>
      <c r="AB1358" s="83" t="str">
        <f t="shared" si="9"/>
        <v/>
      </c>
      <c r="AC1358" s="18"/>
      <c r="AD1358" s="18"/>
      <c r="AE1358" s="43"/>
      <c r="AF1358" s="58"/>
      <c r="AG1358" s="335"/>
      <c r="AH1358" s="331"/>
    </row>
    <row r="1359">
      <c r="A1359" s="7"/>
      <c r="B1359" s="319"/>
      <c r="C1359" s="319"/>
      <c r="D1359" s="7"/>
      <c r="E1359" s="310"/>
      <c r="F1359" s="310"/>
      <c r="G1359" s="310"/>
      <c r="H1359" s="319"/>
      <c r="I1359" s="319"/>
      <c r="J1359" s="54"/>
      <c r="K1359" s="54"/>
      <c r="L1359" s="7"/>
      <c r="M1359" s="312"/>
      <c r="N1359" s="172"/>
      <c r="O1359" s="172"/>
      <c r="P1359" s="337"/>
      <c r="Q1359" s="76"/>
      <c r="R1359" s="314"/>
      <c r="S1359" s="315"/>
      <c r="T1359" s="315"/>
      <c r="U1359" s="114"/>
      <c r="V1359" s="316"/>
      <c r="Y1359" s="317" t="str">
        <f t="shared" si="6"/>
        <v/>
      </c>
      <c r="Z1359" s="83" t="str">
        <f t="shared" si="7"/>
        <v/>
      </c>
      <c r="AA1359" s="83" t="str">
        <f t="shared" si="8"/>
        <v/>
      </c>
      <c r="AB1359" s="83" t="str">
        <f t="shared" si="9"/>
        <v/>
      </c>
      <c r="AC1359" s="18"/>
      <c r="AD1359" s="18"/>
      <c r="AE1359" s="43"/>
      <c r="AF1359" s="58"/>
      <c r="AG1359" s="55" t="str">
        <f t="shared" ref="AG1359:AG1399" si="2361">IF(EXACT(AF1359,V1359),IFERROR(0/0,""),FALSE)</f>
        <v/>
      </c>
    </row>
    <row r="1360">
      <c r="A1360" s="7"/>
      <c r="B1360" s="319"/>
      <c r="C1360" s="319"/>
      <c r="D1360" s="7"/>
      <c r="E1360" s="310"/>
      <c r="F1360" s="310"/>
      <c r="G1360" s="310"/>
      <c r="H1360" s="319"/>
      <c r="I1360" s="319"/>
      <c r="J1360" s="54"/>
      <c r="K1360" s="54"/>
      <c r="L1360" s="7"/>
      <c r="M1360" s="312"/>
      <c r="N1360" s="172"/>
      <c r="O1360" s="172"/>
      <c r="P1360" s="337"/>
      <c r="Q1360" s="76"/>
      <c r="R1360" s="314"/>
      <c r="S1360" s="315"/>
      <c r="T1360" s="315"/>
      <c r="U1360" s="114"/>
      <c r="V1360" s="316"/>
      <c r="Y1360" s="317" t="str">
        <f t="shared" si="6"/>
        <v/>
      </c>
      <c r="Z1360" s="83" t="str">
        <f t="shared" si="7"/>
        <v/>
      </c>
      <c r="AA1360" s="83" t="str">
        <f t="shared" si="8"/>
        <v/>
      </c>
      <c r="AB1360" s="83" t="str">
        <f t="shared" si="9"/>
        <v/>
      </c>
      <c r="AC1360" s="18"/>
      <c r="AD1360" s="18"/>
      <c r="AE1360" s="43"/>
      <c r="AF1360" s="58"/>
      <c r="AG1360" s="55" t="str">
        <f t="shared" si="2361"/>
        <v/>
      </c>
    </row>
    <row r="1361">
      <c r="A1361" s="7"/>
      <c r="B1361" s="319"/>
      <c r="C1361" s="319"/>
      <c r="D1361" s="7"/>
      <c r="E1361" s="310"/>
      <c r="F1361" s="310"/>
      <c r="G1361" s="310"/>
      <c r="H1361" s="319"/>
      <c r="I1361" s="319"/>
      <c r="J1361" s="54"/>
      <c r="K1361" s="54"/>
      <c r="L1361" s="7"/>
      <c r="M1361" s="312"/>
      <c r="N1361" s="172"/>
      <c r="O1361" s="172"/>
      <c r="P1361" s="337"/>
      <c r="Q1361" s="76"/>
      <c r="R1361" s="314"/>
      <c r="S1361" s="315"/>
      <c r="T1361" s="315"/>
      <c r="U1361" s="114"/>
      <c r="V1361" s="316"/>
      <c r="Y1361" s="317" t="str">
        <f t="shared" si="6"/>
        <v/>
      </c>
      <c r="Z1361" s="83" t="str">
        <f t="shared" si="7"/>
        <v/>
      </c>
      <c r="AA1361" s="83" t="str">
        <f t="shared" si="8"/>
        <v/>
      </c>
      <c r="AB1361" s="83" t="str">
        <f t="shared" si="9"/>
        <v/>
      </c>
      <c r="AC1361" s="18"/>
      <c r="AD1361" s="18"/>
      <c r="AE1361" s="43"/>
      <c r="AF1361" s="58"/>
      <c r="AG1361" s="55" t="str">
        <f t="shared" si="2361"/>
        <v/>
      </c>
    </row>
    <row r="1362">
      <c r="A1362" s="7"/>
      <c r="B1362" s="319"/>
      <c r="C1362" s="319"/>
      <c r="D1362" s="7"/>
      <c r="E1362" s="310"/>
      <c r="F1362" s="310"/>
      <c r="G1362" s="310"/>
      <c r="H1362" s="319"/>
      <c r="I1362" s="319"/>
      <c r="J1362" s="54"/>
      <c r="K1362" s="54"/>
      <c r="L1362" s="7"/>
      <c r="M1362" s="312"/>
      <c r="N1362" s="172"/>
      <c r="O1362" s="172"/>
      <c r="P1362" s="337"/>
      <c r="Q1362" s="76"/>
      <c r="R1362" s="314"/>
      <c r="S1362" s="315"/>
      <c r="T1362" s="315"/>
      <c r="U1362" s="114"/>
      <c r="V1362" s="316"/>
      <c r="Y1362" s="317" t="str">
        <f t="shared" si="6"/>
        <v/>
      </c>
      <c r="Z1362" s="83" t="str">
        <f t="shared" si="7"/>
        <v/>
      </c>
      <c r="AA1362" s="83" t="str">
        <f t="shared" si="8"/>
        <v/>
      </c>
      <c r="AB1362" s="83" t="str">
        <f t="shared" si="9"/>
        <v/>
      </c>
      <c r="AC1362" s="18"/>
      <c r="AD1362" s="18"/>
      <c r="AE1362" s="43"/>
      <c r="AF1362" s="58"/>
      <c r="AG1362" s="55" t="str">
        <f t="shared" si="2361"/>
        <v/>
      </c>
    </row>
    <row r="1363">
      <c r="A1363" s="7"/>
      <c r="B1363" s="319"/>
      <c r="C1363" s="319"/>
      <c r="D1363" s="7"/>
      <c r="E1363" s="310"/>
      <c r="F1363" s="310"/>
      <c r="G1363" s="310"/>
      <c r="H1363" s="319"/>
      <c r="I1363" s="319"/>
      <c r="J1363" s="54"/>
      <c r="K1363" s="54"/>
      <c r="L1363" s="7"/>
      <c r="M1363" s="312"/>
      <c r="N1363" s="172"/>
      <c r="O1363" s="172"/>
      <c r="P1363" s="337"/>
      <c r="Q1363" s="76"/>
      <c r="R1363" s="314"/>
      <c r="S1363" s="315"/>
      <c r="T1363" s="315"/>
      <c r="U1363" s="114"/>
      <c r="V1363" s="316"/>
      <c r="Y1363" s="317" t="str">
        <f t="shared" si="6"/>
        <v/>
      </c>
      <c r="Z1363" s="83" t="str">
        <f t="shared" si="7"/>
        <v/>
      </c>
      <c r="AA1363" s="83" t="str">
        <f t="shared" si="8"/>
        <v/>
      </c>
      <c r="AB1363" s="83" t="str">
        <f t="shared" si="9"/>
        <v/>
      </c>
      <c r="AC1363" s="18"/>
      <c r="AD1363" s="18"/>
      <c r="AE1363" s="43"/>
      <c r="AF1363" s="58"/>
      <c r="AG1363" s="55" t="str">
        <f t="shared" si="2361"/>
        <v/>
      </c>
    </row>
    <row r="1364">
      <c r="A1364" s="7"/>
      <c r="B1364" s="319"/>
      <c r="C1364" s="319"/>
      <c r="D1364" s="7"/>
      <c r="E1364" s="310"/>
      <c r="F1364" s="310"/>
      <c r="G1364" s="310"/>
      <c r="H1364" s="319"/>
      <c r="I1364" s="319"/>
      <c r="J1364" s="54"/>
      <c r="K1364" s="54"/>
      <c r="L1364" s="7"/>
      <c r="M1364" s="312"/>
      <c r="N1364" s="172"/>
      <c r="O1364" s="172"/>
      <c r="P1364" s="337"/>
      <c r="Q1364" s="76"/>
      <c r="R1364" s="314"/>
      <c r="S1364" s="315"/>
      <c r="T1364" s="315"/>
      <c r="U1364" s="114"/>
      <c r="V1364" s="316"/>
      <c r="Y1364" s="317" t="str">
        <f t="shared" si="6"/>
        <v/>
      </c>
      <c r="Z1364" s="83" t="str">
        <f t="shared" si="7"/>
        <v/>
      </c>
      <c r="AA1364" s="83" t="str">
        <f t="shared" si="8"/>
        <v/>
      </c>
      <c r="AB1364" s="83" t="str">
        <f t="shared" si="9"/>
        <v/>
      </c>
      <c r="AC1364" s="18"/>
      <c r="AD1364" s="18"/>
      <c r="AE1364" s="43"/>
      <c r="AF1364" s="58"/>
      <c r="AG1364" s="55" t="str">
        <f t="shared" si="2361"/>
        <v/>
      </c>
    </row>
    <row r="1365">
      <c r="A1365" s="7"/>
      <c r="B1365" s="319"/>
      <c r="C1365" s="319"/>
      <c r="D1365" s="7"/>
      <c r="E1365" s="310"/>
      <c r="F1365" s="310"/>
      <c r="G1365" s="310"/>
      <c r="H1365" s="319"/>
      <c r="I1365" s="319"/>
      <c r="J1365" s="54"/>
      <c r="K1365" s="54"/>
      <c r="L1365" s="7"/>
      <c r="M1365" s="312"/>
      <c r="N1365" s="172"/>
      <c r="O1365" s="172"/>
      <c r="P1365" s="337"/>
      <c r="Q1365" s="76"/>
      <c r="R1365" s="314"/>
      <c r="S1365" s="315"/>
      <c r="T1365" s="315"/>
      <c r="U1365" s="114"/>
      <c r="V1365" s="316"/>
      <c r="Y1365" s="317" t="str">
        <f t="shared" si="6"/>
        <v/>
      </c>
      <c r="Z1365" s="83" t="str">
        <f t="shared" si="7"/>
        <v/>
      </c>
      <c r="AA1365" s="83" t="str">
        <f t="shared" si="8"/>
        <v/>
      </c>
      <c r="AB1365" s="83" t="str">
        <f t="shared" si="9"/>
        <v/>
      </c>
      <c r="AC1365" s="18"/>
      <c r="AD1365" s="18"/>
      <c r="AE1365" s="43"/>
      <c r="AF1365" s="58"/>
      <c r="AG1365" s="55" t="str">
        <f t="shared" si="2361"/>
        <v/>
      </c>
    </row>
    <row r="1366">
      <c r="A1366" s="7"/>
      <c r="B1366" s="319"/>
      <c r="C1366" s="319"/>
      <c r="D1366" s="7"/>
      <c r="E1366" s="310"/>
      <c r="F1366" s="310"/>
      <c r="G1366" s="310"/>
      <c r="H1366" s="319"/>
      <c r="I1366" s="319"/>
      <c r="J1366" s="54"/>
      <c r="K1366" s="54"/>
      <c r="L1366" s="7"/>
      <c r="M1366" s="312"/>
      <c r="N1366" s="172"/>
      <c r="O1366" s="172"/>
      <c r="P1366" s="337"/>
      <c r="Q1366" s="76"/>
      <c r="R1366" s="314"/>
      <c r="S1366" s="315"/>
      <c r="T1366" s="315"/>
      <c r="U1366" s="114"/>
      <c r="V1366" s="316"/>
      <c r="Y1366" s="317" t="str">
        <f t="shared" si="6"/>
        <v/>
      </c>
      <c r="Z1366" s="83" t="str">
        <f t="shared" si="7"/>
        <v/>
      </c>
      <c r="AA1366" s="83" t="str">
        <f t="shared" si="8"/>
        <v/>
      </c>
      <c r="AB1366" s="83" t="str">
        <f t="shared" si="9"/>
        <v/>
      </c>
      <c r="AC1366" s="18"/>
      <c r="AD1366" s="18"/>
      <c r="AE1366" s="43"/>
      <c r="AF1366" s="58"/>
      <c r="AG1366" s="55" t="str">
        <f t="shared" si="2361"/>
        <v/>
      </c>
    </row>
    <row r="1367">
      <c r="A1367" s="7"/>
      <c r="B1367" s="319"/>
      <c r="C1367" s="319"/>
      <c r="D1367" s="7"/>
      <c r="E1367" s="310"/>
      <c r="F1367" s="310"/>
      <c r="G1367" s="310"/>
      <c r="H1367" s="319"/>
      <c r="I1367" s="319"/>
      <c r="J1367" s="54"/>
      <c r="K1367" s="54"/>
      <c r="L1367" s="7"/>
      <c r="M1367" s="312"/>
      <c r="N1367" s="172"/>
      <c r="O1367" s="172"/>
      <c r="P1367" s="337"/>
      <c r="Q1367" s="76"/>
      <c r="R1367" s="314"/>
      <c r="S1367" s="315"/>
      <c r="T1367" s="315"/>
      <c r="U1367" s="114"/>
      <c r="V1367" s="316"/>
      <c r="Y1367" s="317" t="str">
        <f t="shared" si="6"/>
        <v/>
      </c>
      <c r="Z1367" s="83" t="str">
        <f t="shared" si="7"/>
        <v/>
      </c>
      <c r="AA1367" s="83" t="str">
        <f t="shared" si="8"/>
        <v/>
      </c>
      <c r="AB1367" s="83" t="str">
        <f t="shared" si="9"/>
        <v/>
      </c>
      <c r="AC1367" s="18"/>
      <c r="AD1367" s="18"/>
      <c r="AE1367" s="43"/>
      <c r="AF1367" s="58"/>
      <c r="AG1367" s="55" t="str">
        <f t="shared" si="2361"/>
        <v/>
      </c>
    </row>
    <row r="1368">
      <c r="A1368" s="7"/>
      <c r="B1368" s="319"/>
      <c r="C1368" s="319"/>
      <c r="D1368" s="7"/>
      <c r="E1368" s="310"/>
      <c r="F1368" s="310"/>
      <c r="G1368" s="310"/>
      <c r="H1368" s="319"/>
      <c r="I1368" s="319"/>
      <c r="J1368" s="54"/>
      <c r="K1368" s="54"/>
      <c r="L1368" s="7"/>
      <c r="M1368" s="312"/>
      <c r="N1368" s="172"/>
      <c r="O1368" s="172"/>
      <c r="P1368" s="337"/>
      <c r="Q1368" s="76"/>
      <c r="R1368" s="314"/>
      <c r="S1368" s="315"/>
      <c r="T1368" s="315"/>
      <c r="U1368" s="114"/>
      <c r="V1368" s="316"/>
      <c r="Y1368" s="317" t="str">
        <f t="shared" si="6"/>
        <v/>
      </c>
      <c r="Z1368" s="83" t="str">
        <f t="shared" si="7"/>
        <v/>
      </c>
      <c r="AA1368" s="83" t="str">
        <f t="shared" si="8"/>
        <v/>
      </c>
      <c r="AB1368" s="83" t="str">
        <f t="shared" si="9"/>
        <v/>
      </c>
      <c r="AC1368" s="18"/>
      <c r="AD1368" s="18"/>
      <c r="AE1368" s="43"/>
      <c r="AF1368" s="58"/>
      <c r="AG1368" s="55" t="str">
        <f t="shared" si="2361"/>
        <v/>
      </c>
    </row>
    <row r="1369">
      <c r="A1369" s="7"/>
      <c r="B1369" s="319"/>
      <c r="C1369" s="319"/>
      <c r="D1369" s="7"/>
      <c r="E1369" s="310"/>
      <c r="F1369" s="310"/>
      <c r="G1369" s="310"/>
      <c r="H1369" s="319"/>
      <c r="I1369" s="319"/>
      <c r="J1369" s="54"/>
      <c r="K1369" s="54"/>
      <c r="L1369" s="7"/>
      <c r="M1369" s="312"/>
      <c r="N1369" s="172"/>
      <c r="O1369" s="172"/>
      <c r="P1369" s="337"/>
      <c r="Q1369" s="76"/>
      <c r="R1369" s="314"/>
      <c r="S1369" s="315"/>
      <c r="T1369" s="315"/>
      <c r="U1369" s="114"/>
      <c r="V1369" s="316"/>
      <c r="Y1369" s="317" t="str">
        <f t="shared" si="6"/>
        <v/>
      </c>
      <c r="Z1369" s="83" t="str">
        <f t="shared" si="7"/>
        <v/>
      </c>
      <c r="AA1369" s="83" t="str">
        <f t="shared" si="8"/>
        <v/>
      </c>
      <c r="AB1369" s="83" t="str">
        <f t="shared" si="9"/>
        <v/>
      </c>
      <c r="AC1369" s="18"/>
      <c r="AD1369" s="18"/>
      <c r="AE1369" s="43"/>
      <c r="AF1369" s="58"/>
      <c r="AG1369" s="55" t="str">
        <f t="shared" si="2361"/>
        <v/>
      </c>
    </row>
    <row r="1370">
      <c r="A1370" s="7"/>
      <c r="B1370" s="319"/>
      <c r="C1370" s="319"/>
      <c r="D1370" s="7"/>
      <c r="E1370" s="310"/>
      <c r="F1370" s="310"/>
      <c r="G1370" s="310"/>
      <c r="H1370" s="319"/>
      <c r="I1370" s="319"/>
      <c r="J1370" s="54"/>
      <c r="K1370" s="54"/>
      <c r="L1370" s="7"/>
      <c r="M1370" s="312"/>
      <c r="N1370" s="172"/>
      <c r="O1370" s="172"/>
      <c r="P1370" s="337"/>
      <c r="Q1370" s="76"/>
      <c r="R1370" s="314"/>
      <c r="S1370" s="315"/>
      <c r="T1370" s="315"/>
      <c r="U1370" s="114"/>
      <c r="V1370" s="316"/>
      <c r="Y1370" s="317" t="str">
        <f t="shared" si="6"/>
        <v/>
      </c>
      <c r="Z1370" s="83" t="str">
        <f t="shared" si="7"/>
        <v/>
      </c>
      <c r="AA1370" s="83" t="str">
        <f t="shared" si="8"/>
        <v/>
      </c>
      <c r="AB1370" s="83" t="str">
        <f t="shared" si="9"/>
        <v/>
      </c>
      <c r="AC1370" s="18"/>
      <c r="AD1370" s="18"/>
      <c r="AE1370" s="43"/>
      <c r="AF1370" s="58"/>
      <c r="AG1370" s="55" t="str">
        <f t="shared" si="2361"/>
        <v/>
      </c>
    </row>
    <row r="1371">
      <c r="A1371" s="7"/>
      <c r="B1371" s="319"/>
      <c r="C1371" s="319"/>
      <c r="D1371" s="7"/>
      <c r="E1371" s="310"/>
      <c r="F1371" s="310"/>
      <c r="G1371" s="310"/>
      <c r="H1371" s="319"/>
      <c r="I1371" s="319"/>
      <c r="J1371" s="54"/>
      <c r="K1371" s="54"/>
      <c r="L1371" s="7"/>
      <c r="M1371" s="312"/>
      <c r="N1371" s="172"/>
      <c r="O1371" s="172"/>
      <c r="P1371" s="337"/>
      <c r="Q1371" s="76"/>
      <c r="R1371" s="314"/>
      <c r="S1371" s="315"/>
      <c r="T1371" s="315"/>
      <c r="U1371" s="114"/>
      <c r="V1371" s="316"/>
      <c r="Y1371" s="317" t="str">
        <f t="shared" si="6"/>
        <v/>
      </c>
      <c r="Z1371" s="83" t="str">
        <f t="shared" si="7"/>
        <v/>
      </c>
      <c r="AA1371" s="83" t="str">
        <f t="shared" si="8"/>
        <v/>
      </c>
      <c r="AB1371" s="83" t="str">
        <f t="shared" si="9"/>
        <v/>
      </c>
      <c r="AC1371" s="18"/>
      <c r="AD1371" s="18"/>
      <c r="AE1371" s="43"/>
      <c r="AF1371" s="58"/>
      <c r="AG1371" s="55" t="str">
        <f t="shared" si="2361"/>
        <v/>
      </c>
    </row>
    <row r="1372">
      <c r="A1372" s="7"/>
      <c r="B1372" s="319"/>
      <c r="C1372" s="319"/>
      <c r="D1372" s="7"/>
      <c r="E1372" s="310"/>
      <c r="F1372" s="310"/>
      <c r="G1372" s="310"/>
      <c r="H1372" s="319"/>
      <c r="I1372" s="319"/>
      <c r="J1372" s="54"/>
      <c r="K1372" s="54"/>
      <c r="L1372" s="7"/>
      <c r="M1372" s="312"/>
      <c r="N1372" s="172"/>
      <c r="O1372" s="172"/>
      <c r="P1372" s="337"/>
      <c r="Q1372" s="76"/>
      <c r="R1372" s="314"/>
      <c r="S1372" s="315"/>
      <c r="T1372" s="315"/>
      <c r="U1372" s="114"/>
      <c r="V1372" s="316"/>
      <c r="Y1372" s="317" t="str">
        <f t="shared" si="6"/>
        <v/>
      </c>
      <c r="Z1372" s="83" t="str">
        <f t="shared" si="7"/>
        <v/>
      </c>
      <c r="AA1372" s="83" t="str">
        <f t="shared" si="8"/>
        <v/>
      </c>
      <c r="AB1372" s="83" t="str">
        <f t="shared" si="9"/>
        <v/>
      </c>
      <c r="AC1372" s="18"/>
      <c r="AD1372" s="18"/>
      <c r="AE1372" s="43"/>
      <c r="AF1372" s="58"/>
      <c r="AG1372" s="55" t="str">
        <f t="shared" si="2361"/>
        <v/>
      </c>
    </row>
    <row r="1373">
      <c r="A1373" s="7"/>
      <c r="B1373" s="319"/>
      <c r="C1373" s="319"/>
      <c r="D1373" s="7"/>
      <c r="E1373" s="310"/>
      <c r="F1373" s="310"/>
      <c r="G1373" s="310"/>
      <c r="H1373" s="319"/>
      <c r="I1373" s="319"/>
      <c r="J1373" s="54"/>
      <c r="K1373" s="54"/>
      <c r="L1373" s="7"/>
      <c r="M1373" s="312"/>
      <c r="N1373" s="172"/>
      <c r="O1373" s="172"/>
      <c r="P1373" s="337"/>
      <c r="Q1373" s="76"/>
      <c r="R1373" s="314"/>
      <c r="S1373" s="315"/>
      <c r="T1373" s="315"/>
      <c r="U1373" s="114"/>
      <c r="V1373" s="316"/>
      <c r="Y1373" s="317" t="str">
        <f t="shared" si="6"/>
        <v/>
      </c>
      <c r="Z1373" s="83" t="str">
        <f t="shared" si="7"/>
        <v/>
      </c>
      <c r="AA1373" s="83" t="str">
        <f t="shared" si="8"/>
        <v/>
      </c>
      <c r="AB1373" s="83" t="str">
        <f t="shared" si="9"/>
        <v/>
      </c>
      <c r="AC1373" s="18"/>
      <c r="AD1373" s="18"/>
      <c r="AE1373" s="43"/>
      <c r="AF1373" s="58"/>
      <c r="AG1373" s="55" t="str">
        <f t="shared" si="2361"/>
        <v/>
      </c>
    </row>
    <row r="1374">
      <c r="A1374" s="7"/>
      <c r="B1374" s="319"/>
      <c r="C1374" s="319"/>
      <c r="D1374" s="7"/>
      <c r="E1374" s="310"/>
      <c r="F1374" s="310"/>
      <c r="G1374" s="310"/>
      <c r="H1374" s="319"/>
      <c r="I1374" s="319"/>
      <c r="J1374" s="54"/>
      <c r="K1374" s="54"/>
      <c r="L1374" s="7"/>
      <c r="M1374" s="312"/>
      <c r="N1374" s="172"/>
      <c r="O1374" s="172"/>
      <c r="P1374" s="337"/>
      <c r="Q1374" s="76"/>
      <c r="R1374" s="314"/>
      <c r="S1374" s="315"/>
      <c r="T1374" s="315"/>
      <c r="U1374" s="114"/>
      <c r="V1374" s="316"/>
      <c r="Y1374" s="317" t="str">
        <f t="shared" si="6"/>
        <v/>
      </c>
      <c r="Z1374" s="83" t="str">
        <f t="shared" si="7"/>
        <v/>
      </c>
      <c r="AA1374" s="83" t="str">
        <f t="shared" si="8"/>
        <v/>
      </c>
      <c r="AB1374" s="83" t="str">
        <f t="shared" si="9"/>
        <v/>
      </c>
      <c r="AC1374" s="18"/>
      <c r="AD1374" s="18"/>
      <c r="AE1374" s="43"/>
      <c r="AF1374" s="58"/>
      <c r="AG1374" s="55" t="str">
        <f t="shared" si="2361"/>
        <v/>
      </c>
    </row>
    <row r="1375">
      <c r="A1375" s="7"/>
      <c r="B1375" s="319"/>
      <c r="C1375" s="319"/>
      <c r="D1375" s="7"/>
      <c r="E1375" s="310"/>
      <c r="F1375" s="310"/>
      <c r="G1375" s="310"/>
      <c r="H1375" s="319"/>
      <c r="I1375" s="319"/>
      <c r="J1375" s="54"/>
      <c r="K1375" s="54"/>
      <c r="L1375" s="7"/>
      <c r="M1375" s="312"/>
      <c r="N1375" s="172"/>
      <c r="O1375" s="172"/>
      <c r="P1375" s="337"/>
      <c r="Q1375" s="76"/>
      <c r="R1375" s="314"/>
      <c r="S1375" s="315"/>
      <c r="T1375" s="315"/>
      <c r="U1375" s="114"/>
      <c r="V1375" s="316"/>
      <c r="Y1375" s="317" t="str">
        <f t="shared" si="6"/>
        <v/>
      </c>
      <c r="Z1375" s="83" t="str">
        <f t="shared" si="7"/>
        <v/>
      </c>
      <c r="AA1375" s="83" t="str">
        <f t="shared" si="8"/>
        <v/>
      </c>
      <c r="AB1375" s="83" t="str">
        <f t="shared" si="9"/>
        <v/>
      </c>
      <c r="AC1375" s="18"/>
      <c r="AD1375" s="18"/>
      <c r="AE1375" s="43"/>
      <c r="AF1375" s="58"/>
      <c r="AG1375" s="55" t="str">
        <f t="shared" si="2361"/>
        <v/>
      </c>
    </row>
    <row r="1376">
      <c r="A1376" s="7"/>
      <c r="B1376" s="319"/>
      <c r="C1376" s="319"/>
      <c r="D1376" s="7"/>
      <c r="E1376" s="310"/>
      <c r="F1376" s="310"/>
      <c r="G1376" s="310"/>
      <c r="H1376" s="319"/>
      <c r="I1376" s="319"/>
      <c r="J1376" s="54"/>
      <c r="K1376" s="54"/>
      <c r="L1376" s="7"/>
      <c r="M1376" s="312"/>
      <c r="N1376" s="172"/>
      <c r="O1376" s="172"/>
      <c r="P1376" s="337"/>
      <c r="Q1376" s="76"/>
      <c r="R1376" s="314"/>
      <c r="S1376" s="315"/>
      <c r="T1376" s="315"/>
      <c r="U1376" s="114"/>
      <c r="V1376" s="316"/>
      <c r="Y1376" s="317" t="str">
        <f t="shared" si="6"/>
        <v/>
      </c>
      <c r="Z1376" s="83" t="str">
        <f t="shared" si="7"/>
        <v/>
      </c>
      <c r="AA1376" s="83" t="str">
        <f t="shared" si="8"/>
        <v/>
      </c>
      <c r="AB1376" s="83" t="str">
        <f t="shared" si="9"/>
        <v/>
      </c>
      <c r="AC1376" s="18"/>
      <c r="AD1376" s="18"/>
      <c r="AE1376" s="43"/>
      <c r="AF1376" s="58"/>
      <c r="AG1376" s="55" t="str">
        <f t="shared" si="2361"/>
        <v/>
      </c>
    </row>
    <row r="1377">
      <c r="A1377" s="7"/>
      <c r="B1377" s="319"/>
      <c r="C1377" s="319"/>
      <c r="D1377" s="7"/>
      <c r="E1377" s="310"/>
      <c r="F1377" s="310"/>
      <c r="G1377" s="310"/>
      <c r="H1377" s="319"/>
      <c r="I1377" s="319"/>
      <c r="J1377" s="54"/>
      <c r="K1377" s="54"/>
      <c r="L1377" s="7"/>
      <c r="M1377" s="312"/>
      <c r="N1377" s="172"/>
      <c r="O1377" s="172"/>
      <c r="P1377" s="337"/>
      <c r="Q1377" s="76"/>
      <c r="R1377" s="314"/>
      <c r="S1377" s="315"/>
      <c r="T1377" s="315"/>
      <c r="U1377" s="114"/>
      <c r="V1377" s="316"/>
      <c r="Y1377" s="317" t="str">
        <f t="shared" si="6"/>
        <v/>
      </c>
      <c r="Z1377" s="83" t="str">
        <f t="shared" si="7"/>
        <v/>
      </c>
      <c r="AA1377" s="83" t="str">
        <f t="shared" si="8"/>
        <v/>
      </c>
      <c r="AB1377" s="83" t="str">
        <f t="shared" si="9"/>
        <v/>
      </c>
      <c r="AC1377" s="18"/>
      <c r="AD1377" s="18"/>
      <c r="AE1377" s="43"/>
      <c r="AF1377" s="58"/>
      <c r="AG1377" s="55" t="str">
        <f t="shared" si="2361"/>
        <v/>
      </c>
    </row>
    <row r="1378">
      <c r="A1378" s="7"/>
      <c r="B1378" s="319"/>
      <c r="C1378" s="319"/>
      <c r="D1378" s="7"/>
      <c r="E1378" s="310"/>
      <c r="F1378" s="310"/>
      <c r="G1378" s="310"/>
      <c r="H1378" s="319"/>
      <c r="I1378" s="319"/>
      <c r="J1378" s="54"/>
      <c r="K1378" s="54"/>
      <c r="L1378" s="7"/>
      <c r="M1378" s="312"/>
      <c r="N1378" s="172"/>
      <c r="O1378" s="172"/>
      <c r="P1378" s="337"/>
      <c r="Q1378" s="76"/>
      <c r="R1378" s="314"/>
      <c r="S1378" s="315"/>
      <c r="T1378" s="315"/>
      <c r="U1378" s="114"/>
      <c r="V1378" s="316"/>
      <c r="Y1378" s="317" t="str">
        <f t="shared" si="6"/>
        <v/>
      </c>
      <c r="Z1378" s="83" t="str">
        <f t="shared" si="7"/>
        <v/>
      </c>
      <c r="AA1378" s="83" t="str">
        <f t="shared" si="8"/>
        <v/>
      </c>
      <c r="AB1378" s="83" t="str">
        <f t="shared" si="9"/>
        <v/>
      </c>
      <c r="AC1378" s="18"/>
      <c r="AD1378" s="18"/>
      <c r="AE1378" s="43"/>
      <c r="AF1378" s="58"/>
      <c r="AG1378" s="55" t="str">
        <f t="shared" si="2361"/>
        <v/>
      </c>
    </row>
    <row r="1379">
      <c r="A1379" s="7"/>
      <c r="B1379" s="319"/>
      <c r="C1379" s="319"/>
      <c r="D1379" s="7"/>
      <c r="E1379" s="310"/>
      <c r="F1379" s="310"/>
      <c r="G1379" s="310"/>
      <c r="H1379" s="319"/>
      <c r="I1379" s="319"/>
      <c r="J1379" s="54"/>
      <c r="K1379" s="54"/>
      <c r="L1379" s="7"/>
      <c r="M1379" s="312"/>
      <c r="N1379" s="172"/>
      <c r="O1379" s="172"/>
      <c r="P1379" s="337"/>
      <c r="Q1379" s="76"/>
      <c r="R1379" s="314"/>
      <c r="S1379" s="315"/>
      <c r="T1379" s="315"/>
      <c r="U1379" s="114"/>
      <c r="V1379" s="316"/>
      <c r="Y1379" s="317" t="str">
        <f t="shared" si="6"/>
        <v/>
      </c>
      <c r="Z1379" s="83" t="str">
        <f t="shared" si="7"/>
        <v/>
      </c>
      <c r="AA1379" s="83" t="str">
        <f t="shared" si="8"/>
        <v/>
      </c>
      <c r="AB1379" s="83" t="str">
        <f t="shared" si="9"/>
        <v/>
      </c>
      <c r="AC1379" s="18"/>
      <c r="AD1379" s="18"/>
      <c r="AE1379" s="43"/>
      <c r="AF1379" s="58"/>
      <c r="AG1379" s="55" t="str">
        <f t="shared" si="2361"/>
        <v/>
      </c>
    </row>
    <row r="1380">
      <c r="A1380" s="7"/>
      <c r="B1380" s="319"/>
      <c r="C1380" s="319"/>
      <c r="D1380" s="7"/>
      <c r="E1380" s="310"/>
      <c r="F1380" s="310"/>
      <c r="G1380" s="310"/>
      <c r="H1380" s="319"/>
      <c r="I1380" s="319"/>
      <c r="J1380" s="54"/>
      <c r="K1380" s="54"/>
      <c r="L1380" s="7"/>
      <c r="M1380" s="312"/>
      <c r="N1380" s="172"/>
      <c r="O1380" s="172"/>
      <c r="P1380" s="337"/>
      <c r="Q1380" s="76"/>
      <c r="R1380" s="314"/>
      <c r="S1380" s="315"/>
      <c r="T1380" s="315"/>
      <c r="U1380" s="114"/>
      <c r="V1380" s="316"/>
      <c r="Y1380" s="317" t="str">
        <f t="shared" si="6"/>
        <v/>
      </c>
      <c r="Z1380" s="83" t="str">
        <f t="shared" si="7"/>
        <v/>
      </c>
      <c r="AA1380" s="83" t="str">
        <f t="shared" si="8"/>
        <v/>
      </c>
      <c r="AB1380" s="83" t="str">
        <f t="shared" si="9"/>
        <v/>
      </c>
      <c r="AC1380" s="18"/>
      <c r="AD1380" s="18"/>
      <c r="AE1380" s="43"/>
      <c r="AF1380" s="58"/>
      <c r="AG1380" s="55" t="str">
        <f t="shared" si="2361"/>
        <v/>
      </c>
    </row>
    <row r="1381">
      <c r="A1381" s="7"/>
      <c r="B1381" s="319"/>
      <c r="C1381" s="319"/>
      <c r="D1381" s="7"/>
      <c r="E1381" s="310"/>
      <c r="F1381" s="310"/>
      <c r="G1381" s="310"/>
      <c r="H1381" s="319"/>
      <c r="I1381" s="319"/>
      <c r="J1381" s="54"/>
      <c r="K1381" s="54"/>
      <c r="L1381" s="7"/>
      <c r="M1381" s="312"/>
      <c r="N1381" s="172"/>
      <c r="O1381" s="172"/>
      <c r="P1381" s="337"/>
      <c r="Q1381" s="76"/>
      <c r="R1381" s="314"/>
      <c r="S1381" s="315"/>
      <c r="T1381" s="315"/>
      <c r="U1381" s="114"/>
      <c r="V1381" s="316"/>
      <c r="Y1381" s="317" t="str">
        <f t="shared" si="6"/>
        <v/>
      </c>
      <c r="Z1381" s="83" t="str">
        <f t="shared" si="7"/>
        <v/>
      </c>
      <c r="AA1381" s="83" t="str">
        <f t="shared" si="8"/>
        <v/>
      </c>
      <c r="AB1381" s="83" t="str">
        <f t="shared" si="9"/>
        <v/>
      </c>
      <c r="AC1381" s="18"/>
      <c r="AD1381" s="18"/>
      <c r="AE1381" s="43"/>
      <c r="AF1381" s="58"/>
      <c r="AG1381" s="55" t="str">
        <f t="shared" si="2361"/>
        <v/>
      </c>
    </row>
    <row r="1382">
      <c r="A1382" s="7"/>
      <c r="B1382" s="319"/>
      <c r="C1382" s="319"/>
      <c r="D1382" s="7"/>
      <c r="E1382" s="310"/>
      <c r="F1382" s="310"/>
      <c r="G1382" s="310"/>
      <c r="H1382" s="319"/>
      <c r="I1382" s="319"/>
      <c r="J1382" s="54"/>
      <c r="K1382" s="54"/>
      <c r="L1382" s="7"/>
      <c r="M1382" s="312"/>
      <c r="N1382" s="172"/>
      <c r="O1382" s="172"/>
      <c r="P1382" s="337"/>
      <c r="Q1382" s="76"/>
      <c r="R1382" s="314"/>
      <c r="S1382" s="315"/>
      <c r="T1382" s="315"/>
      <c r="U1382" s="114"/>
      <c r="V1382" s="316"/>
      <c r="Y1382" s="317" t="str">
        <f t="shared" si="6"/>
        <v/>
      </c>
      <c r="Z1382" s="83" t="str">
        <f t="shared" si="7"/>
        <v/>
      </c>
      <c r="AA1382" s="83" t="str">
        <f t="shared" si="8"/>
        <v/>
      </c>
      <c r="AB1382" s="83" t="str">
        <f t="shared" si="9"/>
        <v/>
      </c>
      <c r="AC1382" s="18"/>
      <c r="AD1382" s="18"/>
      <c r="AE1382" s="43"/>
      <c r="AF1382" s="58"/>
      <c r="AG1382" s="55" t="str">
        <f t="shared" si="2361"/>
        <v/>
      </c>
    </row>
    <row r="1383">
      <c r="A1383" s="7"/>
      <c r="B1383" s="319"/>
      <c r="C1383" s="319"/>
      <c r="D1383" s="7"/>
      <c r="E1383" s="310"/>
      <c r="F1383" s="310"/>
      <c r="G1383" s="310"/>
      <c r="H1383" s="319"/>
      <c r="I1383" s="319"/>
      <c r="J1383" s="54"/>
      <c r="K1383" s="54"/>
      <c r="L1383" s="7"/>
      <c r="M1383" s="312"/>
      <c r="N1383" s="172"/>
      <c r="O1383" s="172"/>
      <c r="P1383" s="337"/>
      <c r="Q1383" s="76"/>
      <c r="R1383" s="314"/>
      <c r="S1383" s="315"/>
      <c r="T1383" s="315"/>
      <c r="U1383" s="114"/>
      <c r="V1383" s="316"/>
      <c r="Y1383" s="317" t="str">
        <f t="shared" si="6"/>
        <v/>
      </c>
      <c r="Z1383" s="83" t="str">
        <f t="shared" si="7"/>
        <v/>
      </c>
      <c r="AA1383" s="83" t="str">
        <f t="shared" si="8"/>
        <v/>
      </c>
      <c r="AB1383" s="83" t="str">
        <f t="shared" si="9"/>
        <v/>
      </c>
      <c r="AC1383" s="18"/>
      <c r="AD1383" s="18"/>
      <c r="AE1383" s="43"/>
      <c r="AF1383" s="58"/>
      <c r="AG1383" s="55" t="str">
        <f t="shared" si="2361"/>
        <v/>
      </c>
    </row>
    <row r="1384">
      <c r="A1384" s="7"/>
      <c r="B1384" s="319"/>
      <c r="C1384" s="319"/>
      <c r="D1384" s="7"/>
      <c r="E1384" s="310"/>
      <c r="F1384" s="310"/>
      <c r="G1384" s="310"/>
      <c r="H1384" s="319"/>
      <c r="I1384" s="319"/>
      <c r="J1384" s="54"/>
      <c r="K1384" s="54"/>
      <c r="L1384" s="7"/>
      <c r="M1384" s="312"/>
      <c r="N1384" s="172"/>
      <c r="O1384" s="172"/>
      <c r="P1384" s="337"/>
      <c r="Q1384" s="76"/>
      <c r="R1384" s="314"/>
      <c r="S1384" s="315"/>
      <c r="T1384" s="315"/>
      <c r="U1384" s="114"/>
      <c r="V1384" s="316"/>
      <c r="Y1384" s="317" t="str">
        <f t="shared" si="6"/>
        <v/>
      </c>
      <c r="Z1384" s="83" t="str">
        <f t="shared" si="7"/>
        <v/>
      </c>
      <c r="AA1384" s="83" t="str">
        <f t="shared" si="8"/>
        <v/>
      </c>
      <c r="AB1384" s="83" t="str">
        <f t="shared" si="9"/>
        <v/>
      </c>
      <c r="AC1384" s="18"/>
      <c r="AD1384" s="18"/>
      <c r="AE1384" s="43"/>
      <c r="AF1384" s="58"/>
      <c r="AG1384" s="55" t="str">
        <f t="shared" si="2361"/>
        <v/>
      </c>
    </row>
    <row r="1385">
      <c r="A1385" s="7"/>
      <c r="B1385" s="319"/>
      <c r="C1385" s="319"/>
      <c r="D1385" s="7"/>
      <c r="E1385" s="310"/>
      <c r="F1385" s="310"/>
      <c r="G1385" s="310"/>
      <c r="H1385" s="319"/>
      <c r="I1385" s="319"/>
      <c r="J1385" s="54"/>
      <c r="K1385" s="54"/>
      <c r="L1385" s="7"/>
      <c r="M1385" s="312"/>
      <c r="N1385" s="172"/>
      <c r="O1385" s="172"/>
      <c r="P1385" s="337"/>
      <c r="Q1385" s="76"/>
      <c r="R1385" s="314"/>
      <c r="S1385" s="315"/>
      <c r="T1385" s="315"/>
      <c r="U1385" s="114"/>
      <c r="V1385" s="316"/>
      <c r="Y1385" s="317" t="str">
        <f t="shared" si="6"/>
        <v/>
      </c>
      <c r="Z1385" s="83" t="str">
        <f t="shared" si="7"/>
        <v/>
      </c>
      <c r="AA1385" s="83" t="str">
        <f t="shared" si="8"/>
        <v/>
      </c>
      <c r="AB1385" s="83" t="str">
        <f t="shared" si="9"/>
        <v/>
      </c>
      <c r="AC1385" s="18"/>
      <c r="AD1385" s="18"/>
      <c r="AE1385" s="43"/>
      <c r="AF1385" s="58"/>
      <c r="AG1385" s="55" t="str">
        <f t="shared" si="2361"/>
        <v/>
      </c>
    </row>
    <row r="1386">
      <c r="A1386" s="7"/>
      <c r="B1386" s="319"/>
      <c r="C1386" s="319"/>
      <c r="D1386" s="7"/>
      <c r="E1386" s="310"/>
      <c r="F1386" s="310"/>
      <c r="G1386" s="310"/>
      <c r="H1386" s="319"/>
      <c r="I1386" s="319"/>
      <c r="J1386" s="54"/>
      <c r="K1386" s="54"/>
      <c r="L1386" s="7"/>
      <c r="M1386" s="312"/>
      <c r="N1386" s="172"/>
      <c r="O1386" s="172"/>
      <c r="P1386" s="337"/>
      <c r="Q1386" s="76"/>
      <c r="R1386" s="314"/>
      <c r="S1386" s="315"/>
      <c r="T1386" s="315"/>
      <c r="U1386" s="114"/>
      <c r="V1386" s="316"/>
      <c r="Y1386" s="317" t="str">
        <f t="shared" si="6"/>
        <v/>
      </c>
      <c r="Z1386" s="83" t="str">
        <f t="shared" si="7"/>
        <v/>
      </c>
      <c r="AA1386" s="83" t="str">
        <f t="shared" si="8"/>
        <v/>
      </c>
      <c r="AB1386" s="83" t="str">
        <f t="shared" si="9"/>
        <v/>
      </c>
      <c r="AC1386" s="18"/>
      <c r="AD1386" s="18"/>
      <c r="AE1386" s="43"/>
      <c r="AF1386" s="58"/>
      <c r="AG1386" s="55" t="str">
        <f t="shared" si="2361"/>
        <v/>
      </c>
    </row>
    <row r="1387">
      <c r="A1387" s="7"/>
      <c r="B1387" s="319"/>
      <c r="C1387" s="319"/>
      <c r="D1387" s="7"/>
      <c r="E1387" s="310"/>
      <c r="F1387" s="310"/>
      <c r="G1387" s="310"/>
      <c r="H1387" s="319"/>
      <c r="I1387" s="319"/>
      <c r="J1387" s="54"/>
      <c r="K1387" s="54"/>
      <c r="L1387" s="7"/>
      <c r="M1387" s="312"/>
      <c r="N1387" s="172"/>
      <c r="O1387" s="172"/>
      <c r="P1387" s="337"/>
      <c r="Q1387" s="76"/>
      <c r="R1387" s="314"/>
      <c r="S1387" s="315"/>
      <c r="T1387" s="315"/>
      <c r="U1387" s="114"/>
      <c r="V1387" s="316"/>
      <c r="Y1387" s="317" t="str">
        <f t="shared" si="6"/>
        <v/>
      </c>
      <c r="Z1387" s="83" t="str">
        <f t="shared" si="7"/>
        <v/>
      </c>
      <c r="AA1387" s="83" t="str">
        <f t="shared" si="8"/>
        <v/>
      </c>
      <c r="AB1387" s="83" t="str">
        <f t="shared" si="9"/>
        <v/>
      </c>
      <c r="AC1387" s="18"/>
      <c r="AD1387" s="18"/>
      <c r="AE1387" s="43"/>
      <c r="AF1387" s="58"/>
      <c r="AG1387" s="55" t="str">
        <f t="shared" si="2361"/>
        <v/>
      </c>
    </row>
    <row r="1388">
      <c r="A1388" s="7"/>
      <c r="B1388" s="319"/>
      <c r="C1388" s="319"/>
      <c r="D1388" s="7"/>
      <c r="E1388" s="310"/>
      <c r="F1388" s="310"/>
      <c r="G1388" s="310"/>
      <c r="H1388" s="319"/>
      <c r="I1388" s="319"/>
      <c r="J1388" s="54"/>
      <c r="K1388" s="54"/>
      <c r="L1388" s="7"/>
      <c r="M1388" s="312"/>
      <c r="N1388" s="172"/>
      <c r="O1388" s="172"/>
      <c r="P1388" s="337"/>
      <c r="Q1388" s="76"/>
      <c r="R1388" s="314"/>
      <c r="S1388" s="315"/>
      <c r="T1388" s="315"/>
      <c r="U1388" s="114"/>
      <c r="V1388" s="316"/>
      <c r="Y1388" s="317" t="str">
        <f t="shared" si="6"/>
        <v/>
      </c>
      <c r="Z1388" s="83" t="str">
        <f t="shared" si="7"/>
        <v/>
      </c>
      <c r="AA1388" s="83" t="str">
        <f t="shared" si="8"/>
        <v/>
      </c>
      <c r="AB1388" s="83" t="str">
        <f t="shared" si="9"/>
        <v/>
      </c>
      <c r="AC1388" s="18"/>
      <c r="AD1388" s="18"/>
      <c r="AE1388" s="43"/>
      <c r="AF1388" s="58"/>
      <c r="AG1388" s="55" t="str">
        <f t="shared" si="2361"/>
        <v/>
      </c>
    </row>
    <row r="1389">
      <c r="A1389" s="7"/>
      <c r="B1389" s="319"/>
      <c r="C1389" s="319"/>
      <c r="D1389" s="7"/>
      <c r="E1389" s="310"/>
      <c r="F1389" s="310"/>
      <c r="G1389" s="310"/>
      <c r="H1389" s="319"/>
      <c r="I1389" s="319"/>
      <c r="J1389" s="54"/>
      <c r="K1389" s="54"/>
      <c r="L1389" s="7"/>
      <c r="M1389" s="312"/>
      <c r="N1389" s="172"/>
      <c r="O1389" s="172"/>
      <c r="P1389" s="337"/>
      <c r="Q1389" s="76"/>
      <c r="R1389" s="314"/>
      <c r="S1389" s="315"/>
      <c r="T1389" s="315"/>
      <c r="U1389" s="114"/>
      <c r="V1389" s="316"/>
      <c r="Y1389" s="317" t="str">
        <f t="shared" si="6"/>
        <v/>
      </c>
      <c r="Z1389" s="83" t="str">
        <f t="shared" si="7"/>
        <v/>
      </c>
      <c r="AA1389" s="83" t="str">
        <f t="shared" si="8"/>
        <v/>
      </c>
      <c r="AB1389" s="83" t="str">
        <f t="shared" si="9"/>
        <v/>
      </c>
      <c r="AC1389" s="18"/>
      <c r="AD1389" s="18"/>
      <c r="AE1389" s="43"/>
      <c r="AF1389" s="58"/>
      <c r="AG1389" s="55" t="str">
        <f t="shared" si="2361"/>
        <v/>
      </c>
    </row>
    <row r="1390">
      <c r="B1390" s="319"/>
      <c r="C1390" s="319"/>
      <c r="E1390" s="310"/>
      <c r="F1390" s="310"/>
      <c r="G1390" s="310"/>
      <c r="H1390" s="319"/>
      <c r="I1390" s="319"/>
      <c r="J1390" s="54"/>
      <c r="K1390" s="54"/>
      <c r="M1390" s="312"/>
      <c r="N1390" s="172"/>
      <c r="O1390" s="172"/>
      <c r="P1390" s="337"/>
      <c r="Q1390" s="76"/>
      <c r="R1390" s="314"/>
      <c r="S1390" s="315"/>
      <c r="T1390" s="315"/>
      <c r="U1390" s="114"/>
      <c r="V1390" s="316"/>
      <c r="Y1390" s="317" t="str">
        <f t="shared" si="6"/>
        <v/>
      </c>
      <c r="Z1390" s="83" t="str">
        <f t="shared" si="7"/>
        <v/>
      </c>
      <c r="AA1390" s="83" t="str">
        <f t="shared" si="8"/>
        <v/>
      </c>
      <c r="AB1390" s="83" t="str">
        <f t="shared" si="9"/>
        <v/>
      </c>
      <c r="AC1390" s="18"/>
      <c r="AD1390" s="18"/>
      <c r="AE1390" s="43"/>
      <c r="AF1390" s="58"/>
      <c r="AG1390" s="55" t="str">
        <f t="shared" si="2361"/>
        <v/>
      </c>
    </row>
    <row r="1391">
      <c r="B1391" s="319"/>
      <c r="C1391" s="319"/>
      <c r="E1391" s="310"/>
      <c r="F1391" s="310"/>
      <c r="G1391" s="310"/>
      <c r="H1391" s="319"/>
      <c r="I1391" s="319"/>
      <c r="J1391" s="54"/>
      <c r="K1391" s="54"/>
      <c r="M1391" s="312"/>
      <c r="N1391" s="172"/>
      <c r="O1391" s="172"/>
      <c r="P1391" s="337"/>
      <c r="Q1391" s="76"/>
      <c r="R1391" s="314"/>
      <c r="S1391" s="315"/>
      <c r="T1391" s="315"/>
      <c r="U1391" s="114"/>
      <c r="V1391" s="316"/>
      <c r="Y1391" s="317" t="str">
        <f t="shared" si="6"/>
        <v/>
      </c>
      <c r="Z1391" s="83" t="str">
        <f t="shared" si="7"/>
        <v/>
      </c>
      <c r="AA1391" s="83" t="str">
        <f t="shared" si="8"/>
        <v/>
      </c>
      <c r="AB1391" s="83" t="str">
        <f t="shared" si="9"/>
        <v/>
      </c>
      <c r="AC1391" s="18"/>
      <c r="AD1391" s="18"/>
      <c r="AE1391" s="43"/>
      <c r="AF1391" s="58"/>
      <c r="AG1391" s="55" t="str">
        <f t="shared" si="2361"/>
        <v/>
      </c>
    </row>
    <row r="1392">
      <c r="B1392" s="319"/>
      <c r="C1392" s="319"/>
      <c r="E1392" s="310"/>
      <c r="F1392" s="310"/>
      <c r="G1392" s="310"/>
      <c r="H1392" s="319"/>
      <c r="I1392" s="319"/>
      <c r="J1392" s="54"/>
      <c r="K1392" s="54"/>
      <c r="M1392" s="312"/>
      <c r="N1392" s="172"/>
      <c r="O1392" s="172"/>
      <c r="P1392" s="337"/>
      <c r="Q1392" s="76"/>
      <c r="R1392" s="314"/>
      <c r="S1392" s="315"/>
      <c r="T1392" s="315"/>
      <c r="U1392" s="114"/>
      <c r="V1392" s="316"/>
      <c r="Y1392" s="317" t="str">
        <f t="shared" si="6"/>
        <v/>
      </c>
      <c r="Z1392" s="83" t="str">
        <f t="shared" si="7"/>
        <v/>
      </c>
      <c r="AA1392" s="83" t="str">
        <f t="shared" si="8"/>
        <v/>
      </c>
      <c r="AB1392" s="83" t="str">
        <f t="shared" si="9"/>
        <v/>
      </c>
      <c r="AC1392" s="18"/>
      <c r="AD1392" s="18"/>
      <c r="AE1392" s="43"/>
      <c r="AF1392" s="58"/>
      <c r="AG1392" s="55" t="str">
        <f t="shared" si="2361"/>
        <v/>
      </c>
    </row>
    <row r="1393">
      <c r="B1393" s="319"/>
      <c r="C1393" s="319"/>
      <c r="E1393" s="310"/>
      <c r="F1393" s="310"/>
      <c r="G1393" s="310"/>
      <c r="H1393" s="319"/>
      <c r="I1393" s="319"/>
      <c r="J1393" s="54"/>
      <c r="K1393" s="54"/>
      <c r="M1393" s="312"/>
      <c r="N1393" s="172"/>
      <c r="O1393" s="172"/>
      <c r="P1393" s="337"/>
      <c r="Q1393" s="76"/>
      <c r="R1393" s="314"/>
      <c r="S1393" s="315"/>
      <c r="T1393" s="315"/>
      <c r="U1393" s="114"/>
      <c r="V1393" s="316"/>
      <c r="Y1393" s="317" t="str">
        <f t="shared" si="6"/>
        <v/>
      </c>
      <c r="Z1393" s="83" t="str">
        <f t="shared" si="7"/>
        <v/>
      </c>
      <c r="AA1393" s="83" t="str">
        <f t="shared" si="8"/>
        <v/>
      </c>
      <c r="AB1393" s="83" t="str">
        <f t="shared" si="9"/>
        <v/>
      </c>
      <c r="AC1393" s="18"/>
      <c r="AD1393" s="18"/>
      <c r="AE1393" s="43"/>
      <c r="AF1393" s="58"/>
      <c r="AG1393" s="55" t="str">
        <f t="shared" si="2361"/>
        <v/>
      </c>
    </row>
    <row r="1394">
      <c r="B1394" s="319"/>
      <c r="C1394" s="319"/>
      <c r="E1394" s="310"/>
      <c r="F1394" s="310"/>
      <c r="G1394" s="310"/>
      <c r="H1394" s="319"/>
      <c r="I1394" s="319"/>
      <c r="J1394" s="54"/>
      <c r="K1394" s="54"/>
      <c r="M1394" s="312"/>
      <c r="N1394" s="172"/>
      <c r="O1394" s="172"/>
      <c r="P1394" s="337"/>
      <c r="Q1394" s="76"/>
      <c r="R1394" s="314"/>
      <c r="S1394" s="315"/>
      <c r="T1394" s="315"/>
      <c r="U1394" s="114"/>
      <c r="V1394" s="316"/>
      <c r="Y1394" s="317" t="str">
        <f t="shared" si="6"/>
        <v/>
      </c>
      <c r="Z1394" s="83" t="str">
        <f t="shared" si="7"/>
        <v/>
      </c>
      <c r="AA1394" s="83" t="str">
        <f t="shared" si="8"/>
        <v/>
      </c>
      <c r="AB1394" s="83" t="str">
        <f t="shared" si="9"/>
        <v/>
      </c>
      <c r="AC1394" s="18"/>
      <c r="AD1394" s="18"/>
      <c r="AE1394" s="43"/>
      <c r="AF1394" s="58"/>
      <c r="AG1394" s="55" t="str">
        <f t="shared" si="2361"/>
        <v/>
      </c>
    </row>
    <row r="1395">
      <c r="B1395" s="319"/>
      <c r="C1395" s="319"/>
      <c r="E1395" s="310"/>
      <c r="F1395" s="310"/>
      <c r="G1395" s="310"/>
      <c r="H1395" s="319"/>
      <c r="I1395" s="319"/>
      <c r="J1395" s="54"/>
      <c r="K1395" s="54"/>
      <c r="M1395" s="312"/>
      <c r="N1395" s="172"/>
      <c r="O1395" s="172"/>
      <c r="P1395" s="337"/>
      <c r="Q1395" s="76"/>
      <c r="R1395" s="314"/>
      <c r="S1395" s="315"/>
      <c r="T1395" s="315"/>
      <c r="U1395" s="114"/>
      <c r="V1395" s="316"/>
      <c r="Y1395" s="317" t="str">
        <f t="shared" si="6"/>
        <v/>
      </c>
      <c r="Z1395" s="83" t="str">
        <f t="shared" si="7"/>
        <v/>
      </c>
      <c r="AA1395" s="83" t="str">
        <f t="shared" si="8"/>
        <v/>
      </c>
      <c r="AB1395" s="83" t="str">
        <f t="shared" si="9"/>
        <v/>
      </c>
      <c r="AC1395" s="18"/>
      <c r="AD1395" s="18"/>
      <c r="AE1395" s="43"/>
      <c r="AF1395" s="58"/>
      <c r="AG1395" s="55" t="str">
        <f t="shared" si="2361"/>
        <v/>
      </c>
    </row>
    <row r="1396">
      <c r="B1396" s="319"/>
      <c r="C1396" s="319"/>
      <c r="E1396" s="310"/>
      <c r="F1396" s="310"/>
      <c r="G1396" s="310"/>
      <c r="H1396" s="319"/>
      <c r="I1396" s="319"/>
      <c r="J1396" s="54"/>
      <c r="K1396" s="54"/>
      <c r="M1396" s="312"/>
      <c r="N1396" s="172"/>
      <c r="O1396" s="172"/>
      <c r="P1396" s="337"/>
      <c r="Q1396" s="76"/>
      <c r="R1396" s="314"/>
      <c r="S1396" s="315"/>
      <c r="T1396" s="315"/>
      <c r="U1396" s="114"/>
      <c r="V1396" s="316"/>
      <c r="Y1396" s="317" t="str">
        <f t="shared" si="6"/>
        <v/>
      </c>
      <c r="Z1396" s="83" t="str">
        <f t="shared" si="7"/>
        <v/>
      </c>
      <c r="AA1396" s="83" t="str">
        <f t="shared" si="8"/>
        <v/>
      </c>
      <c r="AB1396" s="83" t="str">
        <f t="shared" si="9"/>
        <v/>
      </c>
      <c r="AC1396" s="18"/>
      <c r="AD1396" s="18"/>
      <c r="AE1396" s="43"/>
      <c r="AF1396" s="58"/>
      <c r="AG1396" s="55" t="str">
        <f t="shared" si="2361"/>
        <v/>
      </c>
    </row>
    <row r="1397">
      <c r="B1397" s="319"/>
      <c r="C1397" s="319"/>
      <c r="E1397" s="310"/>
      <c r="F1397" s="310"/>
      <c r="G1397" s="310"/>
      <c r="H1397" s="319"/>
      <c r="I1397" s="319"/>
      <c r="J1397" s="54"/>
      <c r="K1397" s="54"/>
      <c r="M1397" s="312"/>
      <c r="N1397" s="172"/>
      <c r="O1397" s="172"/>
      <c r="P1397" s="337"/>
      <c r="Q1397" s="76"/>
      <c r="R1397" s="314"/>
      <c r="S1397" s="315"/>
      <c r="T1397" s="315"/>
      <c r="U1397" s="114"/>
      <c r="V1397" s="316"/>
      <c r="Y1397" s="317" t="str">
        <f t="shared" si="6"/>
        <v/>
      </c>
      <c r="Z1397" s="83" t="str">
        <f t="shared" si="7"/>
        <v/>
      </c>
      <c r="AA1397" s="83" t="str">
        <f t="shared" si="8"/>
        <v/>
      </c>
      <c r="AB1397" s="83" t="str">
        <f t="shared" si="9"/>
        <v/>
      </c>
      <c r="AC1397" s="18"/>
      <c r="AD1397" s="18"/>
      <c r="AE1397" s="43"/>
      <c r="AF1397" s="58"/>
      <c r="AG1397" s="55" t="str">
        <f t="shared" si="2361"/>
        <v/>
      </c>
    </row>
    <row r="1398">
      <c r="B1398" s="319"/>
      <c r="C1398" s="319"/>
      <c r="E1398" s="310"/>
      <c r="F1398" s="310"/>
      <c r="G1398" s="310"/>
      <c r="H1398" s="319"/>
      <c r="I1398" s="319"/>
      <c r="J1398" s="54"/>
      <c r="K1398" s="54"/>
      <c r="M1398" s="312"/>
      <c r="N1398" s="172"/>
      <c r="O1398" s="172"/>
      <c r="P1398" s="337"/>
      <c r="Q1398" s="76"/>
      <c r="R1398" s="314"/>
      <c r="S1398" s="315"/>
      <c r="T1398" s="315"/>
      <c r="U1398" s="114"/>
      <c r="V1398" s="316"/>
      <c r="Y1398" s="317" t="str">
        <f t="shared" si="6"/>
        <v/>
      </c>
      <c r="Z1398" s="83" t="str">
        <f t="shared" si="7"/>
        <v/>
      </c>
      <c r="AA1398" s="83" t="str">
        <f t="shared" si="8"/>
        <v/>
      </c>
      <c r="AB1398" s="83" t="str">
        <f t="shared" si="9"/>
        <v/>
      </c>
      <c r="AC1398" s="18"/>
      <c r="AD1398" s="18"/>
      <c r="AE1398" s="43"/>
      <c r="AF1398" s="58"/>
      <c r="AG1398" s="55" t="str">
        <f t="shared" si="2361"/>
        <v/>
      </c>
    </row>
    <row r="1399">
      <c r="B1399" s="319"/>
      <c r="C1399" s="319"/>
      <c r="E1399" s="310"/>
      <c r="F1399" s="310"/>
      <c r="G1399" s="310"/>
      <c r="H1399" s="319"/>
      <c r="I1399" s="319"/>
      <c r="J1399" s="54"/>
      <c r="K1399" s="54"/>
      <c r="M1399" s="312"/>
      <c r="N1399" s="172"/>
      <c r="O1399" s="172"/>
      <c r="P1399" s="337"/>
      <c r="Q1399" s="76"/>
      <c r="R1399" s="314"/>
      <c r="S1399" s="315"/>
      <c r="T1399" s="315"/>
      <c r="U1399" s="114"/>
      <c r="V1399" s="316"/>
      <c r="Y1399" s="317" t="str">
        <f t="shared" si="6"/>
        <v/>
      </c>
      <c r="Z1399" s="83" t="str">
        <f t="shared" si="7"/>
        <v/>
      </c>
      <c r="AA1399" s="83" t="str">
        <f t="shared" si="8"/>
        <v/>
      </c>
      <c r="AB1399" s="83" t="str">
        <f t="shared" si="9"/>
        <v/>
      </c>
      <c r="AC1399" s="18"/>
      <c r="AD1399" s="18"/>
      <c r="AE1399" s="43"/>
      <c r="AF1399" s="58"/>
      <c r="AG1399" s="55" t="str">
        <f t="shared" si="2361"/>
        <v/>
      </c>
    </row>
  </sheetData>
  <conditionalFormatting sqref="A2:C1399 M2:O1399 X664 W1326 X1330">
    <cfRule type="expression" dxfId="13" priority="1">
      <formula>$O2</formula>
    </cfRule>
  </conditionalFormatting>
  <conditionalFormatting sqref="T2:T1399">
    <cfRule type="expression" dxfId="3" priority="2">
      <formula>NOT(ISFORMULA(T2))</formula>
    </cfRule>
  </conditionalFormatting>
  <conditionalFormatting sqref="S2:S1399">
    <cfRule type="expression" dxfId="3" priority="3">
      <formula>NOT(ISFORMULA(S2))</formula>
    </cfRule>
  </conditionalFormatting>
  <conditionalFormatting sqref="AC1">
    <cfRule type="expression" dxfId="0" priority="4">
      <formula>AD1&gt;0</formula>
    </cfRule>
  </conditionalFormatting>
  <conditionalFormatting sqref="AC1">
    <cfRule type="expression" dxfId="14" priority="5">
      <formula>AD1=0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25.88"/>
    <col customWidth="1" min="3" max="3" width="9.38"/>
    <col customWidth="1" min="4" max="4" width="7.25" outlineLevel="1"/>
    <col customWidth="1" min="5" max="5" width="6.13" outlineLevel="1"/>
    <col customWidth="1" min="6" max="6" width="5.0" outlineLevel="1"/>
    <col customWidth="1" min="7" max="7" width="5.75"/>
    <col customWidth="1" min="8" max="9" width="5.5"/>
    <col customWidth="1" min="10" max="10" width="14.5"/>
    <col customWidth="1" min="11" max="11" width="2.63"/>
    <col customWidth="1" min="12" max="12" width="12.38"/>
    <col customWidth="1" min="13" max="13" width="9.38"/>
    <col customWidth="1" min="14" max="14" width="6.88"/>
    <col customWidth="1" min="15" max="15" width="5.5"/>
    <col customWidth="1" min="16" max="16" width="5.13"/>
    <col customWidth="1" min="17" max="17" width="6.5"/>
    <col customWidth="1" min="18" max="18" width="5.63"/>
    <col customWidth="1" min="19" max="19" width="5.25"/>
    <col customWidth="1" min="20" max="20" width="9.75"/>
    <col customWidth="1" min="21" max="21" width="11.13"/>
    <col customWidth="1" min="22" max="22" width="2.63"/>
    <col customWidth="1" min="25" max="25" width="7.13"/>
    <col customWidth="1" min="26" max="26" width="5.88"/>
    <col customWidth="1" min="27" max="27" width="4.75"/>
    <col customWidth="1" min="28" max="28" width="5.25"/>
    <col customWidth="1" min="29" max="29" width="5.0"/>
  </cols>
  <sheetData>
    <row r="1">
      <c r="A1" s="338" t="s">
        <v>1397</v>
      </c>
      <c r="B1" s="339" t="str">
        <f>IFERROR(__xludf.DUMMYFUNCTION("IMPORTRANGE($A$2,""APS Tubes by Date!$A1:$H"")"),"APS
COLLECT DATE")</f>
        <v>APS
COLLECT DATE</v>
      </c>
      <c r="C1" s="340" t="str">
        <f>IFERROR(__xludf.DUMMYFUNCTION("""COMPUTED_VALUE"""),"NUM TUBES 1357")</f>
        <v>NUM TUBES 1357</v>
      </c>
      <c r="D1" s="38" t="str">
        <f>IFERROR(__xludf.DUMMYFUNCTION("""COMPUTED_VALUE"""),"NEG 1346")</f>
        <v>NEG 1346</v>
      </c>
      <c r="E1" s="38" t="str">
        <f>IFERROR(__xludf.DUMMYFUNCTION("""COMPUTED_VALUE"""),"POS  8")</f>
        <v>POS  8</v>
      </c>
      <c r="F1" s="38" t="str">
        <f>IFERROR(__xludf.DUMMYFUNCTION("""COMPUTED_VALUE"""),"INC  3")</f>
        <v>INC  3</v>
      </c>
      <c r="G1" s="38" t="str">
        <f>IFERROR(__xludf.DUMMYFUNCTION("""COMPUTED_VALUE"""),"NULL  0")</f>
        <v>NULL  0</v>
      </c>
      <c r="H1" s="38" t="str">
        <f>IFERROR(__xludf.DUMMYFUNCTION("""COMPUTED_VALUE"""),"INVL  0")</f>
        <v>INVL  0</v>
      </c>
      <c r="I1" s="38" t="str">
        <f>IFERROR(__xludf.DUMMYFUNCTION("""COMPUTED_VALUE"""),"FAIL  0")</f>
        <v>FAIL  0</v>
      </c>
      <c r="J1" s="64" t="str">
        <f>IFERROR(__xludf.DUMMYFUNCTION("IMPORTRANGE($A$2,""APS Tubes by Date!$O1:$O"")"),"All Non-Null Tubes Resulted Same Day?")</f>
        <v>All Non-Null Tubes Resulted Same Day?</v>
      </c>
      <c r="K1" s="70"/>
      <c r="L1" s="341" t="str">
        <f>IFERROR(__xludf.DUMMYFUNCTION("IMPORTRANGE($A$2,""APS Tubes by Date!$T1:$AB"")"),"APS
RESULT DATE")</f>
        <v>APS
RESULT DATE</v>
      </c>
      <c r="M1" s="342" t="str">
        <f>IFERROR(__xludf.DUMMYFUNCTION("""COMPUTED_VALUE"""),"NUM TUBES 1312")</f>
        <v>NUM TUBES 1312</v>
      </c>
      <c r="N1" s="42" t="str">
        <f>IFERROR(__xludf.DUMMYFUNCTION("""COMPUTED_VALUE"""),"NEG 1301")</f>
        <v>NEG 1301</v>
      </c>
      <c r="O1" s="42" t="str">
        <f>IFERROR(__xludf.DUMMYFUNCTION("""COMPUTED_VALUE"""),"POS  8")</f>
        <v>POS  8</v>
      </c>
      <c r="P1" s="145" t="str">
        <f>IFERROR(__xludf.DUMMYFUNCTION("""COMPUTED_VALUE"""),"INC  3")</f>
        <v>INC  3</v>
      </c>
      <c r="Q1" s="145" t="str">
        <f>IFERROR(__xludf.DUMMYFUNCTION("""COMPUTED_VALUE"""),"NULL  0")</f>
        <v>NULL  0</v>
      </c>
      <c r="R1" s="145" t="str">
        <f>IFERROR(__xludf.DUMMYFUNCTION("""COMPUTED_VALUE"""),"INVL  0")</f>
        <v>INVL  0</v>
      </c>
      <c r="S1" s="145" t="str">
        <f>IFERROR(__xludf.DUMMYFUNCTION("""COMPUTED_VALUE"""),"FAIL  0")</f>
        <v>FAIL  0</v>
      </c>
      <c r="T1" s="145" t="str">
        <f>IFERROR(__xludf.DUMMYFUNCTION("""COMPUTED_VALUE"""),"SUM RESULTS")</f>
        <v>SUM RESULTS</v>
      </c>
      <c r="U1" s="343" t="s">
        <v>1398</v>
      </c>
      <c r="V1" s="80"/>
      <c r="W1" s="145" t="str">
        <f t="shared" ref="W1:AC1" si="1">L1</f>
        <v>APS
RESULT DATE</v>
      </c>
      <c r="X1" s="344" t="str">
        <f t="shared" si="1"/>
        <v>NUM TUBES 1312</v>
      </c>
      <c r="Y1" s="145" t="str">
        <f t="shared" si="1"/>
        <v>NEG 1301</v>
      </c>
      <c r="Z1" s="145" t="str">
        <f t="shared" si="1"/>
        <v>POS  8</v>
      </c>
      <c r="AA1" s="145" t="str">
        <f t="shared" si="1"/>
        <v>INC  3</v>
      </c>
      <c r="AB1" s="145" t="str">
        <f t="shared" si="1"/>
        <v>NULL  0</v>
      </c>
      <c r="AC1" s="145" t="str">
        <f t="shared" si="1"/>
        <v>INVL  0</v>
      </c>
    </row>
    <row r="2">
      <c r="A2" s="345" t="s">
        <v>1399</v>
      </c>
      <c r="B2" s="12">
        <f>IFERROR(__xludf.DUMMYFUNCTION("""COMPUTED_VALUE"""),44809.0)</f>
        <v>44809</v>
      </c>
      <c r="C2" s="54">
        <f>IFERROR(__xludf.DUMMYFUNCTION("""COMPUTED_VALUE"""),11.0)</f>
        <v>11</v>
      </c>
      <c r="D2" s="54">
        <f>IFERROR(__xludf.DUMMYFUNCTION("""COMPUTED_VALUE"""),11.0)</f>
        <v>11</v>
      </c>
      <c r="E2" s="54">
        <f>IFERROR(__xludf.DUMMYFUNCTION("""COMPUTED_VALUE"""),0.0)</f>
        <v>0</v>
      </c>
      <c r="F2" s="54">
        <f>IFERROR(__xludf.DUMMYFUNCTION("""COMPUTED_VALUE"""),0.0)</f>
        <v>0</v>
      </c>
      <c r="G2" s="54">
        <f>IFERROR(__xludf.DUMMYFUNCTION("""COMPUTED_VALUE"""),0.0)</f>
        <v>0</v>
      </c>
      <c r="H2" s="54">
        <f>IFERROR(__xludf.DUMMYFUNCTION("""COMPUTED_VALUE"""),0.0)</f>
        <v>0</v>
      </c>
      <c r="I2" s="54">
        <f>IFERROR(__xludf.DUMMYFUNCTION("""COMPUTED_VALUE"""),0.0)</f>
        <v>0</v>
      </c>
      <c r="J2" s="54"/>
      <c r="K2" s="80"/>
      <c r="L2" s="14">
        <f>IFERROR(__xludf.DUMMYFUNCTION("""COMPUTED_VALUE"""),44813.0)</f>
        <v>44813</v>
      </c>
      <c r="M2" s="172">
        <f>IFERROR(__xludf.DUMMYFUNCTION("""COMPUTED_VALUE"""),51.0)</f>
        <v>51</v>
      </c>
      <c r="N2" s="172">
        <f>IFERROR(__xludf.DUMMYFUNCTION("""COMPUTED_VALUE"""),51.0)</f>
        <v>51</v>
      </c>
      <c r="O2" s="172">
        <f>IFERROR(__xludf.DUMMYFUNCTION("""COMPUTED_VALUE"""),0.0)</f>
        <v>0</v>
      </c>
      <c r="P2" s="172">
        <f>IFERROR(__xludf.DUMMYFUNCTION("""COMPUTED_VALUE"""),0.0)</f>
        <v>0</v>
      </c>
      <c r="Q2" s="172">
        <f>IFERROR(__xludf.DUMMYFUNCTION("""COMPUTED_VALUE"""),0.0)</f>
        <v>0</v>
      </c>
      <c r="R2" s="172">
        <f>IFERROR(__xludf.DUMMYFUNCTION("""COMPUTED_VALUE"""),0.0)</f>
        <v>0</v>
      </c>
      <c r="S2" s="172">
        <f>IFERROR(__xludf.DUMMYFUNCTION("""COMPUTED_VALUE"""),0.0)</f>
        <v>0</v>
      </c>
      <c r="T2" s="172">
        <f>IFERROR(__xludf.DUMMYFUNCTION("""COMPUTED_VALUE"""),51.0)</f>
        <v>51</v>
      </c>
      <c r="U2" s="55"/>
      <c r="V2" s="80"/>
      <c r="W2" s="14">
        <f t="shared" ref="W2:AC2" si="2">L2</f>
        <v>44813</v>
      </c>
      <c r="X2" s="172">
        <f t="shared" si="2"/>
        <v>51</v>
      </c>
      <c r="Y2" s="172">
        <f t="shared" si="2"/>
        <v>51</v>
      </c>
      <c r="Z2" s="172">
        <f t="shared" si="2"/>
        <v>0</v>
      </c>
      <c r="AA2" s="172">
        <f t="shared" si="2"/>
        <v>0</v>
      </c>
      <c r="AB2" s="172">
        <f t="shared" si="2"/>
        <v>0</v>
      </c>
      <c r="AC2" s="172">
        <f t="shared" si="2"/>
        <v>0</v>
      </c>
    </row>
    <row r="3">
      <c r="B3" s="12">
        <f>IFERROR(__xludf.DUMMYFUNCTION("""COMPUTED_VALUE"""),44810.0)</f>
        <v>44810</v>
      </c>
      <c r="C3" s="54">
        <f>IFERROR(__xludf.DUMMYFUNCTION("""COMPUTED_VALUE"""),7.0)</f>
        <v>7</v>
      </c>
      <c r="D3" s="54">
        <f>IFERROR(__xludf.DUMMYFUNCTION("""COMPUTED_VALUE"""),7.0)</f>
        <v>7</v>
      </c>
      <c r="E3" s="54">
        <f>IFERROR(__xludf.DUMMYFUNCTION("""COMPUTED_VALUE"""),0.0)</f>
        <v>0</v>
      </c>
      <c r="F3" s="54">
        <f>IFERROR(__xludf.DUMMYFUNCTION("""COMPUTED_VALUE"""),0.0)</f>
        <v>0</v>
      </c>
      <c r="G3" s="54">
        <f>IFERROR(__xludf.DUMMYFUNCTION("""COMPUTED_VALUE"""),0.0)</f>
        <v>0</v>
      </c>
      <c r="H3" s="54">
        <f>IFERROR(__xludf.DUMMYFUNCTION("""COMPUTED_VALUE"""),0.0)</f>
        <v>0</v>
      </c>
      <c r="I3" s="54">
        <f>IFERROR(__xludf.DUMMYFUNCTION("""COMPUTED_VALUE"""),0.0)</f>
        <v>0</v>
      </c>
      <c r="J3" s="54"/>
      <c r="K3" s="80"/>
      <c r="L3" s="14">
        <f>IFERROR(__xludf.DUMMYFUNCTION("""COMPUTED_VALUE"""),44816.0)</f>
        <v>44816</v>
      </c>
      <c r="M3" s="172">
        <f>IFERROR(__xludf.DUMMYFUNCTION("""COMPUTED_VALUE"""),12.0)</f>
        <v>12</v>
      </c>
      <c r="N3" s="172">
        <f>IFERROR(__xludf.DUMMYFUNCTION("""COMPUTED_VALUE"""),12.0)</f>
        <v>12</v>
      </c>
      <c r="O3" s="172">
        <f>IFERROR(__xludf.DUMMYFUNCTION("""COMPUTED_VALUE"""),0.0)</f>
        <v>0</v>
      </c>
      <c r="P3" s="172">
        <f>IFERROR(__xludf.DUMMYFUNCTION("""COMPUTED_VALUE"""),0.0)</f>
        <v>0</v>
      </c>
      <c r="Q3" s="172">
        <f>IFERROR(__xludf.DUMMYFUNCTION("""COMPUTED_VALUE"""),0.0)</f>
        <v>0</v>
      </c>
      <c r="R3" s="172">
        <f>IFERROR(__xludf.DUMMYFUNCTION("""COMPUTED_VALUE"""),0.0)</f>
        <v>0</v>
      </c>
      <c r="S3" s="172">
        <f>IFERROR(__xludf.DUMMYFUNCTION("""COMPUTED_VALUE"""),0.0)</f>
        <v>0</v>
      </c>
      <c r="T3" s="172">
        <f>IFERROR(__xludf.DUMMYFUNCTION("""COMPUTED_VALUE"""),12.0)</f>
        <v>12</v>
      </c>
      <c r="U3" s="55"/>
      <c r="V3" s="80"/>
      <c r="W3" s="14">
        <f t="shared" ref="W3:AC3" si="3">L3</f>
        <v>44816</v>
      </c>
      <c r="X3" s="172">
        <f t="shared" si="3"/>
        <v>12</v>
      </c>
      <c r="Y3" s="172">
        <f t="shared" si="3"/>
        <v>12</v>
      </c>
      <c r="Z3" s="172">
        <f t="shared" si="3"/>
        <v>0</v>
      </c>
      <c r="AA3" s="172">
        <f t="shared" si="3"/>
        <v>0</v>
      </c>
      <c r="AB3" s="172">
        <f t="shared" si="3"/>
        <v>0</v>
      </c>
      <c r="AC3" s="172">
        <f t="shared" si="3"/>
        <v>0</v>
      </c>
    </row>
    <row r="4">
      <c r="B4" s="12">
        <f>IFERROR(__xludf.DUMMYFUNCTION("""COMPUTED_VALUE"""),44811.0)</f>
        <v>44811</v>
      </c>
      <c r="C4" s="54">
        <f>IFERROR(__xludf.DUMMYFUNCTION("""COMPUTED_VALUE"""),11.0)</f>
        <v>11</v>
      </c>
      <c r="D4" s="54">
        <f>IFERROR(__xludf.DUMMYFUNCTION("""COMPUTED_VALUE"""),11.0)</f>
        <v>11</v>
      </c>
      <c r="E4" s="54">
        <f>IFERROR(__xludf.DUMMYFUNCTION("""COMPUTED_VALUE"""),0.0)</f>
        <v>0</v>
      </c>
      <c r="F4" s="54">
        <f>IFERROR(__xludf.DUMMYFUNCTION("""COMPUTED_VALUE"""),0.0)</f>
        <v>0</v>
      </c>
      <c r="G4" s="54">
        <f>IFERROR(__xludf.DUMMYFUNCTION("""COMPUTED_VALUE"""),0.0)</f>
        <v>0</v>
      </c>
      <c r="H4" s="54">
        <f>IFERROR(__xludf.DUMMYFUNCTION("""COMPUTED_VALUE"""),0.0)</f>
        <v>0</v>
      </c>
      <c r="I4" s="54">
        <f>IFERROR(__xludf.DUMMYFUNCTION("""COMPUTED_VALUE"""),0.0)</f>
        <v>0</v>
      </c>
      <c r="J4" s="54"/>
      <c r="K4" s="80"/>
      <c r="L4" s="14">
        <f>IFERROR(__xludf.DUMMYFUNCTION("""COMPUTED_VALUE"""),44817.0)</f>
        <v>44817</v>
      </c>
      <c r="M4" s="172">
        <f>IFERROR(__xludf.DUMMYFUNCTION("""COMPUTED_VALUE"""),13.0)</f>
        <v>13</v>
      </c>
      <c r="N4" s="172">
        <f>IFERROR(__xludf.DUMMYFUNCTION("""COMPUTED_VALUE"""),13.0)</f>
        <v>13</v>
      </c>
      <c r="O4" s="172">
        <f>IFERROR(__xludf.DUMMYFUNCTION("""COMPUTED_VALUE"""),0.0)</f>
        <v>0</v>
      </c>
      <c r="P4" s="172">
        <f>IFERROR(__xludf.DUMMYFUNCTION("""COMPUTED_VALUE"""),0.0)</f>
        <v>0</v>
      </c>
      <c r="Q4" s="172">
        <f>IFERROR(__xludf.DUMMYFUNCTION("""COMPUTED_VALUE"""),0.0)</f>
        <v>0</v>
      </c>
      <c r="R4" s="172">
        <f>IFERROR(__xludf.DUMMYFUNCTION("""COMPUTED_VALUE"""),0.0)</f>
        <v>0</v>
      </c>
      <c r="S4" s="172">
        <f>IFERROR(__xludf.DUMMYFUNCTION("""COMPUTED_VALUE"""),0.0)</f>
        <v>0</v>
      </c>
      <c r="T4" s="172">
        <f>IFERROR(__xludf.DUMMYFUNCTION("""COMPUTED_VALUE"""),13.0)</f>
        <v>13</v>
      </c>
      <c r="U4" s="55"/>
      <c r="V4" s="80"/>
      <c r="W4" s="14">
        <f t="shared" ref="W4:AC4" si="4">L4</f>
        <v>44817</v>
      </c>
      <c r="X4" s="172">
        <f t="shared" si="4"/>
        <v>13</v>
      </c>
      <c r="Y4" s="172">
        <f t="shared" si="4"/>
        <v>13</v>
      </c>
      <c r="Z4" s="172">
        <f t="shared" si="4"/>
        <v>0</v>
      </c>
      <c r="AA4" s="172">
        <f t="shared" si="4"/>
        <v>0</v>
      </c>
      <c r="AB4" s="172">
        <f t="shared" si="4"/>
        <v>0</v>
      </c>
      <c r="AC4" s="172">
        <f t="shared" si="4"/>
        <v>0</v>
      </c>
    </row>
    <row r="5">
      <c r="B5" s="12">
        <f>IFERROR(__xludf.DUMMYFUNCTION("""COMPUTED_VALUE"""),44812.0)</f>
        <v>44812</v>
      </c>
      <c r="C5" s="54">
        <f>IFERROR(__xludf.DUMMYFUNCTION("""COMPUTED_VALUE"""),12.0)</f>
        <v>12</v>
      </c>
      <c r="D5" s="54">
        <f>IFERROR(__xludf.DUMMYFUNCTION("""COMPUTED_VALUE"""),12.0)</f>
        <v>12</v>
      </c>
      <c r="E5" s="54">
        <f>IFERROR(__xludf.DUMMYFUNCTION("""COMPUTED_VALUE"""),0.0)</f>
        <v>0</v>
      </c>
      <c r="F5" s="54">
        <f>IFERROR(__xludf.DUMMYFUNCTION("""COMPUTED_VALUE"""),0.0)</f>
        <v>0</v>
      </c>
      <c r="G5" s="54">
        <f>IFERROR(__xludf.DUMMYFUNCTION("""COMPUTED_VALUE"""),0.0)</f>
        <v>0</v>
      </c>
      <c r="H5" s="54">
        <f>IFERROR(__xludf.DUMMYFUNCTION("""COMPUTED_VALUE"""),0.0)</f>
        <v>0</v>
      </c>
      <c r="I5" s="54">
        <f>IFERROR(__xludf.DUMMYFUNCTION("""COMPUTED_VALUE"""),0.0)</f>
        <v>0</v>
      </c>
      <c r="J5" s="54"/>
      <c r="K5" s="80"/>
      <c r="L5" s="14">
        <f>IFERROR(__xludf.DUMMYFUNCTION("""COMPUTED_VALUE"""),44818.0)</f>
        <v>44818</v>
      </c>
      <c r="M5" s="172">
        <f>IFERROR(__xludf.DUMMYFUNCTION("""COMPUTED_VALUE"""),9.0)</f>
        <v>9</v>
      </c>
      <c r="N5" s="172">
        <f>IFERROR(__xludf.DUMMYFUNCTION("""COMPUTED_VALUE"""),9.0)</f>
        <v>9</v>
      </c>
      <c r="O5" s="172">
        <f>IFERROR(__xludf.DUMMYFUNCTION("""COMPUTED_VALUE"""),0.0)</f>
        <v>0</v>
      </c>
      <c r="P5" s="172">
        <f>IFERROR(__xludf.DUMMYFUNCTION("""COMPUTED_VALUE"""),0.0)</f>
        <v>0</v>
      </c>
      <c r="Q5" s="172">
        <f>IFERROR(__xludf.DUMMYFUNCTION("""COMPUTED_VALUE"""),0.0)</f>
        <v>0</v>
      </c>
      <c r="R5" s="172">
        <f>IFERROR(__xludf.DUMMYFUNCTION("""COMPUTED_VALUE"""),0.0)</f>
        <v>0</v>
      </c>
      <c r="S5" s="172">
        <f>IFERROR(__xludf.DUMMYFUNCTION("""COMPUTED_VALUE"""),0.0)</f>
        <v>0</v>
      </c>
      <c r="T5" s="172">
        <f>IFERROR(__xludf.DUMMYFUNCTION("""COMPUTED_VALUE"""),9.0)</f>
        <v>9</v>
      </c>
      <c r="U5" s="55"/>
      <c r="V5" s="80"/>
      <c r="W5" s="14">
        <f t="shared" ref="W5:AC5" si="5">L5</f>
        <v>44818</v>
      </c>
      <c r="X5" s="172">
        <f t="shared" si="5"/>
        <v>9</v>
      </c>
      <c r="Y5" s="172">
        <f t="shared" si="5"/>
        <v>9</v>
      </c>
      <c r="Z5" s="172">
        <f t="shared" si="5"/>
        <v>0</v>
      </c>
      <c r="AA5" s="172">
        <f t="shared" si="5"/>
        <v>0</v>
      </c>
      <c r="AB5" s="172">
        <f t="shared" si="5"/>
        <v>0</v>
      </c>
      <c r="AC5" s="172">
        <f t="shared" si="5"/>
        <v>0</v>
      </c>
    </row>
    <row r="6">
      <c r="B6" s="12">
        <f>IFERROR(__xludf.DUMMYFUNCTION("""COMPUTED_VALUE"""),44813.0)</f>
        <v>44813</v>
      </c>
      <c r="C6" s="54">
        <f>IFERROR(__xludf.DUMMYFUNCTION("""COMPUTED_VALUE"""),11.0)</f>
        <v>11</v>
      </c>
      <c r="D6" s="54">
        <f>IFERROR(__xludf.DUMMYFUNCTION("""COMPUTED_VALUE"""),11.0)</f>
        <v>11</v>
      </c>
      <c r="E6" s="54">
        <f>IFERROR(__xludf.DUMMYFUNCTION("""COMPUTED_VALUE"""),0.0)</f>
        <v>0</v>
      </c>
      <c r="F6" s="54">
        <f>IFERROR(__xludf.DUMMYFUNCTION("""COMPUTED_VALUE"""),0.0)</f>
        <v>0</v>
      </c>
      <c r="G6" s="54">
        <f>IFERROR(__xludf.DUMMYFUNCTION("""COMPUTED_VALUE"""),0.0)</f>
        <v>0</v>
      </c>
      <c r="H6" s="54">
        <f>IFERROR(__xludf.DUMMYFUNCTION("""COMPUTED_VALUE"""),0.0)</f>
        <v>0</v>
      </c>
      <c r="I6" s="54">
        <f>IFERROR(__xludf.DUMMYFUNCTION("""COMPUTED_VALUE"""),0.0)</f>
        <v>0</v>
      </c>
      <c r="J6" s="54" t="b">
        <f>IFERROR(__xludf.DUMMYFUNCTION("""COMPUTED_VALUE"""),TRUE)</f>
        <v>1</v>
      </c>
      <c r="K6" s="80"/>
      <c r="L6" s="14">
        <f>IFERROR(__xludf.DUMMYFUNCTION("""COMPUTED_VALUE"""),44819.0)</f>
        <v>44819</v>
      </c>
      <c r="M6" s="172">
        <f>IFERROR(__xludf.DUMMYFUNCTION("""COMPUTED_VALUE"""),10.0)</f>
        <v>10</v>
      </c>
      <c r="N6" s="172">
        <f>IFERROR(__xludf.DUMMYFUNCTION("""COMPUTED_VALUE"""),10.0)</f>
        <v>10</v>
      </c>
      <c r="O6" s="172">
        <f>IFERROR(__xludf.DUMMYFUNCTION("""COMPUTED_VALUE"""),0.0)</f>
        <v>0</v>
      </c>
      <c r="P6" s="172">
        <f>IFERROR(__xludf.DUMMYFUNCTION("""COMPUTED_VALUE"""),0.0)</f>
        <v>0</v>
      </c>
      <c r="Q6" s="172">
        <f>IFERROR(__xludf.DUMMYFUNCTION("""COMPUTED_VALUE"""),0.0)</f>
        <v>0</v>
      </c>
      <c r="R6" s="172">
        <f>IFERROR(__xludf.DUMMYFUNCTION("""COMPUTED_VALUE"""),0.0)</f>
        <v>0</v>
      </c>
      <c r="S6" s="172">
        <f>IFERROR(__xludf.DUMMYFUNCTION("""COMPUTED_VALUE"""),0.0)</f>
        <v>0</v>
      </c>
      <c r="T6" s="172">
        <f>IFERROR(__xludf.DUMMYFUNCTION("""COMPUTED_VALUE"""),10.0)</f>
        <v>10</v>
      </c>
      <c r="U6" s="55"/>
      <c r="V6" s="80"/>
      <c r="W6" s="14">
        <f t="shared" ref="W6:AC6" si="6">L6</f>
        <v>44819</v>
      </c>
      <c r="X6" s="172">
        <f t="shared" si="6"/>
        <v>10</v>
      </c>
      <c r="Y6" s="172">
        <f t="shared" si="6"/>
        <v>10</v>
      </c>
      <c r="Z6" s="172">
        <f t="shared" si="6"/>
        <v>0</v>
      </c>
      <c r="AA6" s="172">
        <f t="shared" si="6"/>
        <v>0</v>
      </c>
      <c r="AB6" s="172">
        <f t="shared" si="6"/>
        <v>0</v>
      </c>
      <c r="AC6" s="172">
        <f t="shared" si="6"/>
        <v>0</v>
      </c>
    </row>
    <row r="7">
      <c r="B7" s="12">
        <f>IFERROR(__xludf.DUMMYFUNCTION("""COMPUTED_VALUE"""),44814.0)</f>
        <v>44814</v>
      </c>
      <c r="C7" s="54">
        <f>IFERROR(__xludf.DUMMYFUNCTION("""COMPUTED_VALUE"""),2.0)</f>
        <v>2</v>
      </c>
      <c r="D7" s="54">
        <f>IFERROR(__xludf.DUMMYFUNCTION("""COMPUTED_VALUE"""),2.0)</f>
        <v>2</v>
      </c>
      <c r="E7" s="54">
        <f>IFERROR(__xludf.DUMMYFUNCTION("""COMPUTED_VALUE"""),0.0)</f>
        <v>0</v>
      </c>
      <c r="F7" s="54">
        <f>IFERROR(__xludf.DUMMYFUNCTION("""COMPUTED_VALUE"""),0.0)</f>
        <v>0</v>
      </c>
      <c r="G7" s="54">
        <f>IFERROR(__xludf.DUMMYFUNCTION("""COMPUTED_VALUE"""),0.0)</f>
        <v>0</v>
      </c>
      <c r="H7" s="54">
        <f>IFERROR(__xludf.DUMMYFUNCTION("""COMPUTED_VALUE"""),0.0)</f>
        <v>0</v>
      </c>
      <c r="I7" s="54">
        <f>IFERROR(__xludf.DUMMYFUNCTION("""COMPUTED_VALUE"""),0.0)</f>
        <v>0</v>
      </c>
      <c r="J7" s="54"/>
      <c r="K7" s="80"/>
      <c r="L7" s="14">
        <f>IFERROR(__xludf.DUMMYFUNCTION("""COMPUTED_VALUE"""),44824.0)</f>
        <v>44824</v>
      </c>
      <c r="M7" s="172">
        <f>IFERROR(__xludf.DUMMYFUNCTION("""COMPUTED_VALUE"""),10.0)</f>
        <v>10</v>
      </c>
      <c r="N7" s="172">
        <f>IFERROR(__xludf.DUMMYFUNCTION("""COMPUTED_VALUE"""),10.0)</f>
        <v>10</v>
      </c>
      <c r="O7" s="172">
        <f>IFERROR(__xludf.DUMMYFUNCTION("""COMPUTED_VALUE"""),0.0)</f>
        <v>0</v>
      </c>
      <c r="P7" s="172">
        <f>IFERROR(__xludf.DUMMYFUNCTION("""COMPUTED_VALUE"""),0.0)</f>
        <v>0</v>
      </c>
      <c r="Q7" s="172">
        <f>IFERROR(__xludf.DUMMYFUNCTION("""COMPUTED_VALUE"""),0.0)</f>
        <v>0</v>
      </c>
      <c r="R7" s="172">
        <f>IFERROR(__xludf.DUMMYFUNCTION("""COMPUTED_VALUE"""),0.0)</f>
        <v>0</v>
      </c>
      <c r="S7" s="172">
        <f>IFERROR(__xludf.DUMMYFUNCTION("""COMPUTED_VALUE"""),0.0)</f>
        <v>0</v>
      </c>
      <c r="T7" s="172">
        <f>IFERROR(__xludf.DUMMYFUNCTION("""COMPUTED_VALUE"""),10.0)</f>
        <v>10</v>
      </c>
      <c r="U7" s="55"/>
      <c r="V7" s="80"/>
      <c r="W7" s="14">
        <f t="shared" ref="W7:AC7" si="7">L7</f>
        <v>44824</v>
      </c>
      <c r="X7" s="172">
        <f t="shared" si="7"/>
        <v>10</v>
      </c>
      <c r="Y7" s="172">
        <f t="shared" si="7"/>
        <v>10</v>
      </c>
      <c r="Z7" s="172">
        <f t="shared" si="7"/>
        <v>0</v>
      </c>
      <c r="AA7" s="172">
        <f t="shared" si="7"/>
        <v>0</v>
      </c>
      <c r="AB7" s="172">
        <f t="shared" si="7"/>
        <v>0</v>
      </c>
      <c r="AC7" s="172">
        <f t="shared" si="7"/>
        <v>0</v>
      </c>
    </row>
    <row r="8">
      <c r="B8" s="12">
        <f>IFERROR(__xludf.DUMMYFUNCTION("""COMPUTED_VALUE"""),44816.0)</f>
        <v>44816</v>
      </c>
      <c r="C8" s="54">
        <f>IFERROR(__xludf.DUMMYFUNCTION("""COMPUTED_VALUE"""),12.0)</f>
        <v>12</v>
      </c>
      <c r="D8" s="54">
        <f>IFERROR(__xludf.DUMMYFUNCTION("""COMPUTED_VALUE"""),12.0)</f>
        <v>12</v>
      </c>
      <c r="E8" s="54">
        <f>IFERROR(__xludf.DUMMYFUNCTION("""COMPUTED_VALUE"""),0.0)</f>
        <v>0</v>
      </c>
      <c r="F8" s="54">
        <f>IFERROR(__xludf.DUMMYFUNCTION("""COMPUTED_VALUE"""),0.0)</f>
        <v>0</v>
      </c>
      <c r="G8" s="54">
        <f>IFERROR(__xludf.DUMMYFUNCTION("""COMPUTED_VALUE"""),0.0)</f>
        <v>0</v>
      </c>
      <c r="H8" s="54">
        <f>IFERROR(__xludf.DUMMYFUNCTION("""COMPUTED_VALUE"""),0.0)</f>
        <v>0</v>
      </c>
      <c r="I8" s="54">
        <f>IFERROR(__xludf.DUMMYFUNCTION("""COMPUTED_VALUE"""),0.0)</f>
        <v>0</v>
      </c>
      <c r="J8" s="54" t="b">
        <f>IFERROR(__xludf.DUMMYFUNCTION("""COMPUTED_VALUE"""),TRUE)</f>
        <v>1</v>
      </c>
      <c r="K8" s="80"/>
      <c r="L8" s="14">
        <f>IFERROR(__xludf.DUMMYFUNCTION("""COMPUTED_VALUE"""),44825.0)</f>
        <v>44825</v>
      </c>
      <c r="M8" s="172">
        <f>IFERROR(__xludf.DUMMYFUNCTION("""COMPUTED_VALUE"""),30.0)</f>
        <v>30</v>
      </c>
      <c r="N8" s="172">
        <f>IFERROR(__xludf.DUMMYFUNCTION("""COMPUTED_VALUE"""),30.0)</f>
        <v>30</v>
      </c>
      <c r="O8" s="172">
        <f>IFERROR(__xludf.DUMMYFUNCTION("""COMPUTED_VALUE"""),0.0)</f>
        <v>0</v>
      </c>
      <c r="P8" s="172">
        <f>IFERROR(__xludf.DUMMYFUNCTION("""COMPUTED_VALUE"""),0.0)</f>
        <v>0</v>
      </c>
      <c r="Q8" s="172">
        <f>IFERROR(__xludf.DUMMYFUNCTION("""COMPUTED_VALUE"""),0.0)</f>
        <v>0</v>
      </c>
      <c r="R8" s="172">
        <f>IFERROR(__xludf.DUMMYFUNCTION("""COMPUTED_VALUE"""),0.0)</f>
        <v>0</v>
      </c>
      <c r="S8" s="172">
        <f>IFERROR(__xludf.DUMMYFUNCTION("""COMPUTED_VALUE"""),0.0)</f>
        <v>0</v>
      </c>
      <c r="T8" s="172">
        <f>IFERROR(__xludf.DUMMYFUNCTION("""COMPUTED_VALUE"""),30.0)</f>
        <v>30</v>
      </c>
      <c r="U8" s="55"/>
      <c r="V8" s="80"/>
      <c r="W8" s="14">
        <f t="shared" ref="W8:AC8" si="8">L8</f>
        <v>44825</v>
      </c>
      <c r="X8" s="172">
        <f t="shared" si="8"/>
        <v>30</v>
      </c>
      <c r="Y8" s="172">
        <f t="shared" si="8"/>
        <v>30</v>
      </c>
      <c r="Z8" s="172">
        <f t="shared" si="8"/>
        <v>0</v>
      </c>
      <c r="AA8" s="172">
        <f t="shared" si="8"/>
        <v>0</v>
      </c>
      <c r="AB8" s="172">
        <f t="shared" si="8"/>
        <v>0</v>
      </c>
      <c r="AC8" s="172">
        <f t="shared" si="8"/>
        <v>0</v>
      </c>
    </row>
    <row r="9">
      <c r="B9" s="12">
        <f>IFERROR(__xludf.DUMMYFUNCTION("""COMPUTED_VALUE"""),44817.0)</f>
        <v>44817</v>
      </c>
      <c r="C9" s="54">
        <f>IFERROR(__xludf.DUMMYFUNCTION("""COMPUTED_VALUE"""),13.0)</f>
        <v>13</v>
      </c>
      <c r="D9" s="54">
        <f>IFERROR(__xludf.DUMMYFUNCTION("""COMPUTED_VALUE"""),13.0)</f>
        <v>13</v>
      </c>
      <c r="E9" s="54">
        <f>IFERROR(__xludf.DUMMYFUNCTION("""COMPUTED_VALUE"""),0.0)</f>
        <v>0</v>
      </c>
      <c r="F9" s="54">
        <f>IFERROR(__xludf.DUMMYFUNCTION("""COMPUTED_VALUE"""),0.0)</f>
        <v>0</v>
      </c>
      <c r="G9" s="54">
        <f>IFERROR(__xludf.DUMMYFUNCTION("""COMPUTED_VALUE"""),0.0)</f>
        <v>0</v>
      </c>
      <c r="H9" s="54">
        <f>IFERROR(__xludf.DUMMYFUNCTION("""COMPUTED_VALUE"""),0.0)</f>
        <v>0</v>
      </c>
      <c r="I9" s="54">
        <f>IFERROR(__xludf.DUMMYFUNCTION("""COMPUTED_VALUE"""),0.0)</f>
        <v>0</v>
      </c>
      <c r="J9" s="54" t="b">
        <f>IFERROR(__xludf.DUMMYFUNCTION("""COMPUTED_VALUE"""),TRUE)</f>
        <v>1</v>
      </c>
      <c r="K9" s="80"/>
      <c r="L9" s="14">
        <f>IFERROR(__xludf.DUMMYFUNCTION("""COMPUTED_VALUE"""),44826.0)</f>
        <v>44826</v>
      </c>
      <c r="M9" s="172">
        <f>IFERROR(__xludf.DUMMYFUNCTION("""COMPUTED_VALUE"""),7.0)</f>
        <v>7</v>
      </c>
      <c r="N9" s="172">
        <f>IFERROR(__xludf.DUMMYFUNCTION("""COMPUTED_VALUE"""),7.0)</f>
        <v>7</v>
      </c>
      <c r="O9" s="172">
        <f>IFERROR(__xludf.DUMMYFUNCTION("""COMPUTED_VALUE"""),0.0)</f>
        <v>0</v>
      </c>
      <c r="P9" s="172">
        <f>IFERROR(__xludf.DUMMYFUNCTION("""COMPUTED_VALUE"""),0.0)</f>
        <v>0</v>
      </c>
      <c r="Q9" s="172">
        <f>IFERROR(__xludf.DUMMYFUNCTION("""COMPUTED_VALUE"""),0.0)</f>
        <v>0</v>
      </c>
      <c r="R9" s="172">
        <f>IFERROR(__xludf.DUMMYFUNCTION("""COMPUTED_VALUE"""),0.0)</f>
        <v>0</v>
      </c>
      <c r="S9" s="172">
        <f>IFERROR(__xludf.DUMMYFUNCTION("""COMPUTED_VALUE"""),0.0)</f>
        <v>0</v>
      </c>
      <c r="T9" s="172">
        <f>IFERROR(__xludf.DUMMYFUNCTION("""COMPUTED_VALUE"""),7.0)</f>
        <v>7</v>
      </c>
      <c r="U9" s="55"/>
      <c r="V9" s="80"/>
      <c r="W9" s="14">
        <f t="shared" ref="W9:AC9" si="9">L9</f>
        <v>44826</v>
      </c>
      <c r="X9" s="172">
        <f t="shared" si="9"/>
        <v>7</v>
      </c>
      <c r="Y9" s="172">
        <f t="shared" si="9"/>
        <v>7</v>
      </c>
      <c r="Z9" s="172">
        <f t="shared" si="9"/>
        <v>0</v>
      </c>
      <c r="AA9" s="172">
        <f t="shared" si="9"/>
        <v>0</v>
      </c>
      <c r="AB9" s="172">
        <f t="shared" si="9"/>
        <v>0</v>
      </c>
      <c r="AC9" s="172">
        <f t="shared" si="9"/>
        <v>0</v>
      </c>
    </row>
    <row r="10">
      <c r="B10" s="12">
        <f>IFERROR(__xludf.DUMMYFUNCTION("""COMPUTED_VALUE"""),44818.0)</f>
        <v>44818</v>
      </c>
      <c r="C10" s="54">
        <f>IFERROR(__xludf.DUMMYFUNCTION("""COMPUTED_VALUE"""),9.0)</f>
        <v>9</v>
      </c>
      <c r="D10" s="54">
        <f>IFERROR(__xludf.DUMMYFUNCTION("""COMPUTED_VALUE"""),9.0)</f>
        <v>9</v>
      </c>
      <c r="E10" s="54">
        <f>IFERROR(__xludf.DUMMYFUNCTION("""COMPUTED_VALUE"""),0.0)</f>
        <v>0</v>
      </c>
      <c r="F10" s="54">
        <f>IFERROR(__xludf.DUMMYFUNCTION("""COMPUTED_VALUE"""),0.0)</f>
        <v>0</v>
      </c>
      <c r="G10" s="54">
        <f>IFERROR(__xludf.DUMMYFUNCTION("""COMPUTED_VALUE"""),0.0)</f>
        <v>0</v>
      </c>
      <c r="H10" s="54">
        <f>IFERROR(__xludf.DUMMYFUNCTION("""COMPUTED_VALUE"""),0.0)</f>
        <v>0</v>
      </c>
      <c r="I10" s="54">
        <f>IFERROR(__xludf.DUMMYFUNCTION("""COMPUTED_VALUE"""),0.0)</f>
        <v>0</v>
      </c>
      <c r="J10" s="54" t="b">
        <f>IFERROR(__xludf.DUMMYFUNCTION("""COMPUTED_VALUE"""),TRUE)</f>
        <v>1</v>
      </c>
      <c r="K10" s="80"/>
      <c r="L10" s="14">
        <f>IFERROR(__xludf.DUMMYFUNCTION("""COMPUTED_VALUE"""),44827.0)</f>
        <v>44827</v>
      </c>
      <c r="M10" s="172">
        <f>IFERROR(__xludf.DUMMYFUNCTION("""COMPUTED_VALUE"""),9.0)</f>
        <v>9</v>
      </c>
      <c r="N10" s="172">
        <f>IFERROR(__xludf.DUMMYFUNCTION("""COMPUTED_VALUE"""),9.0)</f>
        <v>9</v>
      </c>
      <c r="O10" s="172">
        <f>IFERROR(__xludf.DUMMYFUNCTION("""COMPUTED_VALUE"""),0.0)</f>
        <v>0</v>
      </c>
      <c r="P10" s="172">
        <f>IFERROR(__xludf.DUMMYFUNCTION("""COMPUTED_VALUE"""),0.0)</f>
        <v>0</v>
      </c>
      <c r="Q10" s="172">
        <f>IFERROR(__xludf.DUMMYFUNCTION("""COMPUTED_VALUE"""),0.0)</f>
        <v>0</v>
      </c>
      <c r="R10" s="172">
        <f>IFERROR(__xludf.DUMMYFUNCTION("""COMPUTED_VALUE"""),0.0)</f>
        <v>0</v>
      </c>
      <c r="S10" s="172">
        <f>IFERROR(__xludf.DUMMYFUNCTION("""COMPUTED_VALUE"""),0.0)</f>
        <v>0</v>
      </c>
      <c r="T10" s="172">
        <f>IFERROR(__xludf.DUMMYFUNCTION("""COMPUTED_VALUE"""),9.0)</f>
        <v>9</v>
      </c>
      <c r="U10" s="55"/>
      <c r="V10" s="80"/>
      <c r="W10" s="14">
        <f t="shared" ref="W10:AC10" si="10">L10</f>
        <v>44827</v>
      </c>
      <c r="X10" s="172">
        <f t="shared" si="10"/>
        <v>9</v>
      </c>
      <c r="Y10" s="172">
        <f t="shared" si="10"/>
        <v>9</v>
      </c>
      <c r="Z10" s="172">
        <f t="shared" si="10"/>
        <v>0</v>
      </c>
      <c r="AA10" s="172">
        <f t="shared" si="10"/>
        <v>0</v>
      </c>
      <c r="AB10" s="172">
        <f t="shared" si="10"/>
        <v>0</v>
      </c>
      <c r="AC10" s="172">
        <f t="shared" si="10"/>
        <v>0</v>
      </c>
    </row>
    <row r="11">
      <c r="B11" s="12">
        <f>IFERROR(__xludf.DUMMYFUNCTION("""COMPUTED_VALUE"""),44819.0)</f>
        <v>44819</v>
      </c>
      <c r="C11" s="54">
        <f>IFERROR(__xludf.DUMMYFUNCTION("""COMPUTED_VALUE"""),10.0)</f>
        <v>10</v>
      </c>
      <c r="D11" s="54">
        <f>IFERROR(__xludf.DUMMYFUNCTION("""COMPUTED_VALUE"""),10.0)</f>
        <v>10</v>
      </c>
      <c r="E11" s="54">
        <f>IFERROR(__xludf.DUMMYFUNCTION("""COMPUTED_VALUE"""),0.0)</f>
        <v>0</v>
      </c>
      <c r="F11" s="54">
        <f>IFERROR(__xludf.DUMMYFUNCTION("""COMPUTED_VALUE"""),0.0)</f>
        <v>0</v>
      </c>
      <c r="G11" s="54">
        <f>IFERROR(__xludf.DUMMYFUNCTION("""COMPUTED_VALUE"""),0.0)</f>
        <v>0</v>
      </c>
      <c r="H11" s="54">
        <f>IFERROR(__xludf.DUMMYFUNCTION("""COMPUTED_VALUE"""),0.0)</f>
        <v>0</v>
      </c>
      <c r="I11" s="54">
        <f>IFERROR(__xludf.DUMMYFUNCTION("""COMPUTED_VALUE"""),0.0)</f>
        <v>0</v>
      </c>
      <c r="J11" s="54" t="b">
        <f>IFERROR(__xludf.DUMMYFUNCTION("""COMPUTED_VALUE"""),TRUE)</f>
        <v>1</v>
      </c>
      <c r="K11" s="80"/>
      <c r="L11" s="14">
        <f>IFERROR(__xludf.DUMMYFUNCTION("""COMPUTED_VALUE"""),44830.0)</f>
        <v>44830</v>
      </c>
      <c r="M11" s="172">
        <f>IFERROR(__xludf.DUMMYFUNCTION("""COMPUTED_VALUE"""),12.0)</f>
        <v>12</v>
      </c>
      <c r="N11" s="172">
        <f>IFERROR(__xludf.DUMMYFUNCTION("""COMPUTED_VALUE"""),12.0)</f>
        <v>12</v>
      </c>
      <c r="O11" s="172">
        <f>IFERROR(__xludf.DUMMYFUNCTION("""COMPUTED_VALUE"""),0.0)</f>
        <v>0</v>
      </c>
      <c r="P11" s="172">
        <f>IFERROR(__xludf.DUMMYFUNCTION("""COMPUTED_VALUE"""),0.0)</f>
        <v>0</v>
      </c>
      <c r="Q11" s="172">
        <f>IFERROR(__xludf.DUMMYFUNCTION("""COMPUTED_VALUE"""),0.0)</f>
        <v>0</v>
      </c>
      <c r="R11" s="172">
        <f>IFERROR(__xludf.DUMMYFUNCTION("""COMPUTED_VALUE"""),0.0)</f>
        <v>0</v>
      </c>
      <c r="S11" s="172">
        <f>IFERROR(__xludf.DUMMYFUNCTION("""COMPUTED_VALUE"""),0.0)</f>
        <v>0</v>
      </c>
      <c r="T11" s="172">
        <f>IFERROR(__xludf.DUMMYFUNCTION("""COMPUTED_VALUE"""),12.0)</f>
        <v>12</v>
      </c>
      <c r="U11" s="55"/>
      <c r="V11" s="80"/>
      <c r="W11" s="14">
        <f t="shared" ref="W11:AC11" si="11">L11</f>
        <v>44830</v>
      </c>
      <c r="X11" s="172">
        <f t="shared" si="11"/>
        <v>12</v>
      </c>
      <c r="Y11" s="172">
        <f t="shared" si="11"/>
        <v>12</v>
      </c>
      <c r="Z11" s="172">
        <f t="shared" si="11"/>
        <v>0</v>
      </c>
      <c r="AA11" s="172">
        <f t="shared" si="11"/>
        <v>0</v>
      </c>
      <c r="AB11" s="172">
        <f t="shared" si="11"/>
        <v>0</v>
      </c>
      <c r="AC11" s="172">
        <f t="shared" si="11"/>
        <v>0</v>
      </c>
    </row>
    <row r="12">
      <c r="B12" s="12">
        <f>IFERROR(__xludf.DUMMYFUNCTION("""COMPUTED_VALUE"""),44820.0)</f>
        <v>44820</v>
      </c>
      <c r="C12" s="54">
        <f>IFERROR(__xludf.DUMMYFUNCTION("""COMPUTED_VALUE"""),8.0)</f>
        <v>8</v>
      </c>
      <c r="D12" s="54">
        <f>IFERROR(__xludf.DUMMYFUNCTION("""COMPUTED_VALUE"""),8.0)</f>
        <v>8</v>
      </c>
      <c r="E12" s="54">
        <f>IFERROR(__xludf.DUMMYFUNCTION("""COMPUTED_VALUE"""),0.0)</f>
        <v>0</v>
      </c>
      <c r="F12" s="54">
        <f>IFERROR(__xludf.DUMMYFUNCTION("""COMPUTED_VALUE"""),0.0)</f>
        <v>0</v>
      </c>
      <c r="G12" s="54">
        <f>IFERROR(__xludf.DUMMYFUNCTION("""COMPUTED_VALUE"""),0.0)</f>
        <v>0</v>
      </c>
      <c r="H12" s="54">
        <f>IFERROR(__xludf.DUMMYFUNCTION("""COMPUTED_VALUE"""),0.0)</f>
        <v>0</v>
      </c>
      <c r="I12" s="54">
        <f>IFERROR(__xludf.DUMMYFUNCTION("""COMPUTED_VALUE"""),0.0)</f>
        <v>0</v>
      </c>
      <c r="J12" s="54"/>
      <c r="K12" s="80"/>
      <c r="L12" s="14">
        <f>IFERROR(__xludf.DUMMYFUNCTION("""COMPUTED_VALUE"""),44832.0)</f>
        <v>44832</v>
      </c>
      <c r="M12" s="172">
        <f>IFERROR(__xludf.DUMMYFUNCTION("""COMPUTED_VALUE"""),24.0)</f>
        <v>24</v>
      </c>
      <c r="N12" s="172">
        <f>IFERROR(__xludf.DUMMYFUNCTION("""COMPUTED_VALUE"""),24.0)</f>
        <v>24</v>
      </c>
      <c r="O12" s="172">
        <f>IFERROR(__xludf.DUMMYFUNCTION("""COMPUTED_VALUE"""),0.0)</f>
        <v>0</v>
      </c>
      <c r="P12" s="172">
        <f>IFERROR(__xludf.DUMMYFUNCTION("""COMPUTED_VALUE"""),0.0)</f>
        <v>0</v>
      </c>
      <c r="Q12" s="172">
        <f>IFERROR(__xludf.DUMMYFUNCTION("""COMPUTED_VALUE"""),0.0)</f>
        <v>0</v>
      </c>
      <c r="R12" s="172">
        <f>IFERROR(__xludf.DUMMYFUNCTION("""COMPUTED_VALUE"""),0.0)</f>
        <v>0</v>
      </c>
      <c r="S12" s="172">
        <f>IFERROR(__xludf.DUMMYFUNCTION("""COMPUTED_VALUE"""),0.0)</f>
        <v>0</v>
      </c>
      <c r="T12" s="172">
        <f>IFERROR(__xludf.DUMMYFUNCTION("""COMPUTED_VALUE"""),24.0)</f>
        <v>24</v>
      </c>
      <c r="U12" s="55"/>
      <c r="V12" s="80"/>
      <c r="W12" s="14">
        <f t="shared" ref="W12:AC12" si="12">L12</f>
        <v>44832</v>
      </c>
      <c r="X12" s="172">
        <f t="shared" si="12"/>
        <v>24</v>
      </c>
      <c r="Y12" s="172">
        <f t="shared" si="12"/>
        <v>24</v>
      </c>
      <c r="Z12" s="172">
        <f t="shared" si="12"/>
        <v>0</v>
      </c>
      <c r="AA12" s="172">
        <f t="shared" si="12"/>
        <v>0</v>
      </c>
      <c r="AB12" s="172">
        <f t="shared" si="12"/>
        <v>0</v>
      </c>
      <c r="AC12" s="172">
        <f t="shared" si="12"/>
        <v>0</v>
      </c>
    </row>
    <row r="13">
      <c r="B13" s="12">
        <f>IFERROR(__xludf.DUMMYFUNCTION("""COMPUTED_VALUE"""),44823.0)</f>
        <v>44823</v>
      </c>
      <c r="C13" s="54">
        <f>IFERROR(__xludf.DUMMYFUNCTION("""COMPUTED_VALUE"""),10.0)</f>
        <v>10</v>
      </c>
      <c r="D13" s="54">
        <f>IFERROR(__xludf.DUMMYFUNCTION("""COMPUTED_VALUE"""),10.0)</f>
        <v>10</v>
      </c>
      <c r="E13" s="54">
        <f>IFERROR(__xludf.DUMMYFUNCTION("""COMPUTED_VALUE"""),0.0)</f>
        <v>0</v>
      </c>
      <c r="F13" s="54">
        <f>IFERROR(__xludf.DUMMYFUNCTION("""COMPUTED_VALUE"""),0.0)</f>
        <v>0</v>
      </c>
      <c r="G13" s="54">
        <f>IFERROR(__xludf.DUMMYFUNCTION("""COMPUTED_VALUE"""),0.0)</f>
        <v>0</v>
      </c>
      <c r="H13" s="54">
        <f>IFERROR(__xludf.DUMMYFUNCTION("""COMPUTED_VALUE"""),0.0)</f>
        <v>0</v>
      </c>
      <c r="I13" s="54">
        <f>IFERROR(__xludf.DUMMYFUNCTION("""COMPUTED_VALUE"""),0.0)</f>
        <v>0</v>
      </c>
      <c r="J13" s="54"/>
      <c r="K13" s="80"/>
      <c r="L13" s="14">
        <f>IFERROR(__xludf.DUMMYFUNCTION("""COMPUTED_VALUE"""),44833.0)</f>
        <v>44833</v>
      </c>
      <c r="M13" s="172">
        <f>IFERROR(__xludf.DUMMYFUNCTION("""COMPUTED_VALUE"""),13.0)</f>
        <v>13</v>
      </c>
      <c r="N13" s="172">
        <f>IFERROR(__xludf.DUMMYFUNCTION("""COMPUTED_VALUE"""),13.0)</f>
        <v>13</v>
      </c>
      <c r="O13" s="172">
        <f>IFERROR(__xludf.DUMMYFUNCTION("""COMPUTED_VALUE"""),0.0)</f>
        <v>0</v>
      </c>
      <c r="P13" s="172">
        <f>IFERROR(__xludf.DUMMYFUNCTION("""COMPUTED_VALUE"""),0.0)</f>
        <v>0</v>
      </c>
      <c r="Q13" s="172">
        <f>IFERROR(__xludf.DUMMYFUNCTION("""COMPUTED_VALUE"""),0.0)</f>
        <v>0</v>
      </c>
      <c r="R13" s="172">
        <f>IFERROR(__xludf.DUMMYFUNCTION("""COMPUTED_VALUE"""),0.0)</f>
        <v>0</v>
      </c>
      <c r="S13" s="172">
        <f>IFERROR(__xludf.DUMMYFUNCTION("""COMPUTED_VALUE"""),0.0)</f>
        <v>0</v>
      </c>
      <c r="T13" s="172">
        <f>IFERROR(__xludf.DUMMYFUNCTION("""COMPUTED_VALUE"""),13.0)</f>
        <v>13</v>
      </c>
      <c r="U13" s="55"/>
      <c r="V13" s="80"/>
      <c r="W13" s="14">
        <f t="shared" ref="W13:AC13" si="13">L13</f>
        <v>44833</v>
      </c>
      <c r="X13" s="172">
        <f t="shared" si="13"/>
        <v>13</v>
      </c>
      <c r="Y13" s="172">
        <f t="shared" si="13"/>
        <v>13</v>
      </c>
      <c r="Z13" s="172">
        <f t="shared" si="13"/>
        <v>0</v>
      </c>
      <c r="AA13" s="172">
        <f t="shared" si="13"/>
        <v>0</v>
      </c>
      <c r="AB13" s="172">
        <f t="shared" si="13"/>
        <v>0</v>
      </c>
      <c r="AC13" s="172">
        <f t="shared" si="13"/>
        <v>0</v>
      </c>
    </row>
    <row r="14">
      <c r="B14" s="12">
        <f>IFERROR(__xludf.DUMMYFUNCTION("""COMPUTED_VALUE"""),44824.0)</f>
        <v>44824</v>
      </c>
      <c r="C14" s="54">
        <f>IFERROR(__xludf.DUMMYFUNCTION("""COMPUTED_VALUE"""),12.0)</f>
        <v>12</v>
      </c>
      <c r="D14" s="54">
        <f>IFERROR(__xludf.DUMMYFUNCTION("""COMPUTED_VALUE"""),12.0)</f>
        <v>12</v>
      </c>
      <c r="E14" s="54">
        <f>IFERROR(__xludf.DUMMYFUNCTION("""COMPUTED_VALUE"""),0.0)</f>
        <v>0</v>
      </c>
      <c r="F14" s="54">
        <f>IFERROR(__xludf.DUMMYFUNCTION("""COMPUTED_VALUE"""),0.0)</f>
        <v>0</v>
      </c>
      <c r="G14" s="54">
        <f>IFERROR(__xludf.DUMMYFUNCTION("""COMPUTED_VALUE"""),0.0)</f>
        <v>0</v>
      </c>
      <c r="H14" s="54">
        <f>IFERROR(__xludf.DUMMYFUNCTION("""COMPUTED_VALUE"""),0.0)</f>
        <v>0</v>
      </c>
      <c r="I14" s="54">
        <f>IFERROR(__xludf.DUMMYFUNCTION("""COMPUTED_VALUE"""),0.0)</f>
        <v>0</v>
      </c>
      <c r="J14" s="54"/>
      <c r="K14" s="80"/>
      <c r="L14" s="14">
        <f>IFERROR(__xludf.DUMMYFUNCTION("""COMPUTED_VALUE"""),44834.0)</f>
        <v>44834</v>
      </c>
      <c r="M14" s="172">
        <f>IFERROR(__xludf.DUMMYFUNCTION("""COMPUTED_VALUE"""),10.0)</f>
        <v>10</v>
      </c>
      <c r="N14" s="172">
        <f>IFERROR(__xludf.DUMMYFUNCTION("""COMPUTED_VALUE"""),10.0)</f>
        <v>10</v>
      </c>
      <c r="O14" s="172">
        <f>IFERROR(__xludf.DUMMYFUNCTION("""COMPUTED_VALUE"""),0.0)</f>
        <v>0</v>
      </c>
      <c r="P14" s="172">
        <f>IFERROR(__xludf.DUMMYFUNCTION("""COMPUTED_VALUE"""),0.0)</f>
        <v>0</v>
      </c>
      <c r="Q14" s="172">
        <f>IFERROR(__xludf.DUMMYFUNCTION("""COMPUTED_VALUE"""),0.0)</f>
        <v>0</v>
      </c>
      <c r="R14" s="172">
        <f>IFERROR(__xludf.DUMMYFUNCTION("""COMPUTED_VALUE"""),0.0)</f>
        <v>0</v>
      </c>
      <c r="S14" s="172">
        <f>IFERROR(__xludf.DUMMYFUNCTION("""COMPUTED_VALUE"""),0.0)</f>
        <v>0</v>
      </c>
      <c r="T14" s="172">
        <f>IFERROR(__xludf.DUMMYFUNCTION("""COMPUTED_VALUE"""),10.0)</f>
        <v>10</v>
      </c>
      <c r="U14" s="55"/>
      <c r="V14" s="80"/>
      <c r="W14" s="14">
        <f t="shared" ref="W14:AC14" si="14">L14</f>
        <v>44834</v>
      </c>
      <c r="X14" s="172">
        <f t="shared" si="14"/>
        <v>10</v>
      </c>
      <c r="Y14" s="172">
        <f t="shared" si="14"/>
        <v>10</v>
      </c>
      <c r="Z14" s="172">
        <f t="shared" si="14"/>
        <v>0</v>
      </c>
      <c r="AA14" s="172">
        <f t="shared" si="14"/>
        <v>0</v>
      </c>
      <c r="AB14" s="172">
        <f t="shared" si="14"/>
        <v>0</v>
      </c>
      <c r="AC14" s="172">
        <f t="shared" si="14"/>
        <v>0</v>
      </c>
    </row>
    <row r="15">
      <c r="B15" s="12">
        <f>IFERROR(__xludf.DUMMYFUNCTION("""COMPUTED_VALUE"""),44825.0)</f>
        <v>44825</v>
      </c>
      <c r="C15" s="54">
        <f>IFERROR(__xludf.DUMMYFUNCTION("""COMPUTED_VALUE"""),10.0)</f>
        <v>10</v>
      </c>
      <c r="D15" s="54">
        <f>IFERROR(__xludf.DUMMYFUNCTION("""COMPUTED_VALUE"""),10.0)</f>
        <v>10</v>
      </c>
      <c r="E15" s="54">
        <f>IFERROR(__xludf.DUMMYFUNCTION("""COMPUTED_VALUE"""),0.0)</f>
        <v>0</v>
      </c>
      <c r="F15" s="54">
        <f>IFERROR(__xludf.DUMMYFUNCTION("""COMPUTED_VALUE"""),0.0)</f>
        <v>0</v>
      </c>
      <c r="G15" s="54">
        <f>IFERROR(__xludf.DUMMYFUNCTION("""COMPUTED_VALUE"""),0.0)</f>
        <v>0</v>
      </c>
      <c r="H15" s="54">
        <f>IFERROR(__xludf.DUMMYFUNCTION("""COMPUTED_VALUE"""),0.0)</f>
        <v>0</v>
      </c>
      <c r="I15" s="54">
        <f>IFERROR(__xludf.DUMMYFUNCTION("""COMPUTED_VALUE"""),0.0)</f>
        <v>0</v>
      </c>
      <c r="J15" s="54" t="b">
        <f>IFERROR(__xludf.DUMMYFUNCTION("""COMPUTED_VALUE"""),TRUE)</f>
        <v>1</v>
      </c>
      <c r="K15" s="80"/>
      <c r="L15" s="14">
        <f>IFERROR(__xludf.DUMMYFUNCTION("""COMPUTED_VALUE"""),44837.0)</f>
        <v>44837</v>
      </c>
      <c r="M15" s="172">
        <f>IFERROR(__xludf.DUMMYFUNCTION("""COMPUTED_VALUE"""),11.0)</f>
        <v>11</v>
      </c>
      <c r="N15" s="172">
        <f>IFERROR(__xludf.DUMMYFUNCTION("""COMPUTED_VALUE"""),11.0)</f>
        <v>11</v>
      </c>
      <c r="O15" s="172">
        <f>IFERROR(__xludf.DUMMYFUNCTION("""COMPUTED_VALUE"""),0.0)</f>
        <v>0</v>
      </c>
      <c r="P15" s="172">
        <f>IFERROR(__xludf.DUMMYFUNCTION("""COMPUTED_VALUE"""),0.0)</f>
        <v>0</v>
      </c>
      <c r="Q15" s="172">
        <f>IFERROR(__xludf.DUMMYFUNCTION("""COMPUTED_VALUE"""),0.0)</f>
        <v>0</v>
      </c>
      <c r="R15" s="172">
        <f>IFERROR(__xludf.DUMMYFUNCTION("""COMPUTED_VALUE"""),0.0)</f>
        <v>0</v>
      </c>
      <c r="S15" s="172">
        <f>IFERROR(__xludf.DUMMYFUNCTION("""COMPUTED_VALUE"""),0.0)</f>
        <v>0</v>
      </c>
      <c r="T15" s="172">
        <f>IFERROR(__xludf.DUMMYFUNCTION("""COMPUTED_VALUE"""),11.0)</f>
        <v>11</v>
      </c>
      <c r="U15" s="55"/>
      <c r="V15" s="80"/>
      <c r="W15" s="14">
        <f t="shared" ref="W15:AC15" si="15">L15</f>
        <v>44837</v>
      </c>
      <c r="X15" s="172">
        <f t="shared" si="15"/>
        <v>11</v>
      </c>
      <c r="Y15" s="172">
        <f t="shared" si="15"/>
        <v>11</v>
      </c>
      <c r="Z15" s="172">
        <f t="shared" si="15"/>
        <v>0</v>
      </c>
      <c r="AA15" s="172">
        <f t="shared" si="15"/>
        <v>0</v>
      </c>
      <c r="AB15" s="172">
        <f t="shared" si="15"/>
        <v>0</v>
      </c>
      <c r="AC15" s="172">
        <f t="shared" si="15"/>
        <v>0</v>
      </c>
    </row>
    <row r="16">
      <c r="B16" s="12">
        <f>IFERROR(__xludf.DUMMYFUNCTION("""COMPUTED_VALUE"""),44826.0)</f>
        <v>44826</v>
      </c>
      <c r="C16" s="54">
        <f>IFERROR(__xludf.DUMMYFUNCTION("""COMPUTED_VALUE"""),7.0)</f>
        <v>7</v>
      </c>
      <c r="D16" s="54">
        <f>IFERROR(__xludf.DUMMYFUNCTION("""COMPUTED_VALUE"""),7.0)</f>
        <v>7</v>
      </c>
      <c r="E16" s="54">
        <f>IFERROR(__xludf.DUMMYFUNCTION("""COMPUTED_VALUE"""),0.0)</f>
        <v>0</v>
      </c>
      <c r="F16" s="54">
        <f>IFERROR(__xludf.DUMMYFUNCTION("""COMPUTED_VALUE"""),0.0)</f>
        <v>0</v>
      </c>
      <c r="G16" s="54">
        <f>IFERROR(__xludf.DUMMYFUNCTION("""COMPUTED_VALUE"""),0.0)</f>
        <v>0</v>
      </c>
      <c r="H16" s="54">
        <f>IFERROR(__xludf.DUMMYFUNCTION("""COMPUTED_VALUE"""),0.0)</f>
        <v>0</v>
      </c>
      <c r="I16" s="54">
        <f>IFERROR(__xludf.DUMMYFUNCTION("""COMPUTED_VALUE"""),0.0)</f>
        <v>0</v>
      </c>
      <c r="J16" s="54" t="b">
        <f>IFERROR(__xludf.DUMMYFUNCTION("""COMPUTED_VALUE"""),TRUE)</f>
        <v>1</v>
      </c>
      <c r="K16" s="80"/>
      <c r="L16" s="14">
        <f>IFERROR(__xludf.DUMMYFUNCTION("""COMPUTED_VALUE"""),44838.0)</f>
        <v>44838</v>
      </c>
      <c r="M16" s="172">
        <f>IFERROR(__xludf.DUMMYFUNCTION("""COMPUTED_VALUE"""),11.0)</f>
        <v>11</v>
      </c>
      <c r="N16" s="172">
        <f>IFERROR(__xludf.DUMMYFUNCTION("""COMPUTED_VALUE"""),11.0)</f>
        <v>11</v>
      </c>
      <c r="O16" s="172">
        <f>IFERROR(__xludf.DUMMYFUNCTION("""COMPUTED_VALUE"""),0.0)</f>
        <v>0</v>
      </c>
      <c r="P16" s="172">
        <f>IFERROR(__xludf.DUMMYFUNCTION("""COMPUTED_VALUE"""),0.0)</f>
        <v>0</v>
      </c>
      <c r="Q16" s="172">
        <f>IFERROR(__xludf.DUMMYFUNCTION("""COMPUTED_VALUE"""),0.0)</f>
        <v>0</v>
      </c>
      <c r="R16" s="172">
        <f>IFERROR(__xludf.DUMMYFUNCTION("""COMPUTED_VALUE"""),0.0)</f>
        <v>0</v>
      </c>
      <c r="S16" s="172">
        <f>IFERROR(__xludf.DUMMYFUNCTION("""COMPUTED_VALUE"""),0.0)</f>
        <v>0</v>
      </c>
      <c r="T16" s="172">
        <f>IFERROR(__xludf.DUMMYFUNCTION("""COMPUTED_VALUE"""),11.0)</f>
        <v>11</v>
      </c>
      <c r="U16" s="55"/>
      <c r="V16" s="80"/>
      <c r="W16" s="14">
        <f t="shared" ref="W16:AC16" si="16">L16</f>
        <v>44838</v>
      </c>
      <c r="X16" s="172">
        <f t="shared" si="16"/>
        <v>11</v>
      </c>
      <c r="Y16" s="172">
        <f t="shared" si="16"/>
        <v>11</v>
      </c>
      <c r="Z16" s="172">
        <f t="shared" si="16"/>
        <v>0</v>
      </c>
      <c r="AA16" s="172">
        <f t="shared" si="16"/>
        <v>0</v>
      </c>
      <c r="AB16" s="172">
        <f t="shared" si="16"/>
        <v>0</v>
      </c>
      <c r="AC16" s="172">
        <f t="shared" si="16"/>
        <v>0</v>
      </c>
    </row>
    <row r="17">
      <c r="B17" s="12">
        <f>IFERROR(__xludf.DUMMYFUNCTION("""COMPUTED_VALUE"""),44827.0)</f>
        <v>44827</v>
      </c>
      <c r="C17" s="54">
        <f>IFERROR(__xludf.DUMMYFUNCTION("""COMPUTED_VALUE"""),9.0)</f>
        <v>9</v>
      </c>
      <c r="D17" s="54">
        <f>IFERROR(__xludf.DUMMYFUNCTION("""COMPUTED_VALUE"""),9.0)</f>
        <v>9</v>
      </c>
      <c r="E17" s="54">
        <f>IFERROR(__xludf.DUMMYFUNCTION("""COMPUTED_VALUE"""),0.0)</f>
        <v>0</v>
      </c>
      <c r="F17" s="54">
        <f>IFERROR(__xludf.DUMMYFUNCTION("""COMPUTED_VALUE"""),0.0)</f>
        <v>0</v>
      </c>
      <c r="G17" s="54">
        <f>IFERROR(__xludf.DUMMYFUNCTION("""COMPUTED_VALUE"""),0.0)</f>
        <v>0</v>
      </c>
      <c r="H17" s="54">
        <f>IFERROR(__xludf.DUMMYFUNCTION("""COMPUTED_VALUE"""),0.0)</f>
        <v>0</v>
      </c>
      <c r="I17" s="54">
        <f>IFERROR(__xludf.DUMMYFUNCTION("""COMPUTED_VALUE"""),0.0)</f>
        <v>0</v>
      </c>
      <c r="J17" s="54" t="b">
        <f>IFERROR(__xludf.DUMMYFUNCTION("""COMPUTED_VALUE"""),TRUE)</f>
        <v>1</v>
      </c>
      <c r="K17" s="80"/>
      <c r="L17" s="14">
        <f>IFERROR(__xludf.DUMMYFUNCTION("""COMPUTED_VALUE"""),44839.0)</f>
        <v>44839</v>
      </c>
      <c r="M17" s="172">
        <f>IFERROR(__xludf.DUMMYFUNCTION("""COMPUTED_VALUE"""),13.0)</f>
        <v>13</v>
      </c>
      <c r="N17" s="172">
        <f>IFERROR(__xludf.DUMMYFUNCTION("""COMPUTED_VALUE"""),13.0)</f>
        <v>13</v>
      </c>
      <c r="O17" s="172">
        <f>IFERROR(__xludf.DUMMYFUNCTION("""COMPUTED_VALUE"""),0.0)</f>
        <v>0</v>
      </c>
      <c r="P17" s="172">
        <f>IFERROR(__xludf.DUMMYFUNCTION("""COMPUTED_VALUE"""),0.0)</f>
        <v>0</v>
      </c>
      <c r="Q17" s="172">
        <f>IFERROR(__xludf.DUMMYFUNCTION("""COMPUTED_VALUE"""),0.0)</f>
        <v>0</v>
      </c>
      <c r="R17" s="172">
        <f>IFERROR(__xludf.DUMMYFUNCTION("""COMPUTED_VALUE"""),0.0)</f>
        <v>0</v>
      </c>
      <c r="S17" s="172">
        <f>IFERROR(__xludf.DUMMYFUNCTION("""COMPUTED_VALUE"""),0.0)</f>
        <v>0</v>
      </c>
      <c r="T17" s="172">
        <f>IFERROR(__xludf.DUMMYFUNCTION("""COMPUTED_VALUE"""),13.0)</f>
        <v>13</v>
      </c>
      <c r="U17" s="55"/>
      <c r="V17" s="80"/>
      <c r="W17" s="14">
        <f t="shared" ref="W17:AC17" si="17">L17</f>
        <v>44839</v>
      </c>
      <c r="X17" s="172">
        <f t="shared" si="17"/>
        <v>13</v>
      </c>
      <c r="Y17" s="172">
        <f t="shared" si="17"/>
        <v>13</v>
      </c>
      <c r="Z17" s="172">
        <f t="shared" si="17"/>
        <v>0</v>
      </c>
      <c r="AA17" s="172">
        <f t="shared" si="17"/>
        <v>0</v>
      </c>
      <c r="AB17" s="172">
        <f t="shared" si="17"/>
        <v>0</v>
      </c>
      <c r="AC17" s="172">
        <f t="shared" si="17"/>
        <v>0</v>
      </c>
    </row>
    <row r="18">
      <c r="B18" s="12">
        <f>IFERROR(__xludf.DUMMYFUNCTION("""COMPUTED_VALUE"""),44830.0)</f>
        <v>44830</v>
      </c>
      <c r="C18" s="54">
        <f>IFERROR(__xludf.DUMMYFUNCTION("""COMPUTED_VALUE"""),12.0)</f>
        <v>12</v>
      </c>
      <c r="D18" s="54">
        <f>IFERROR(__xludf.DUMMYFUNCTION("""COMPUTED_VALUE"""),12.0)</f>
        <v>12</v>
      </c>
      <c r="E18" s="54">
        <f>IFERROR(__xludf.DUMMYFUNCTION("""COMPUTED_VALUE"""),0.0)</f>
        <v>0</v>
      </c>
      <c r="F18" s="54">
        <f>IFERROR(__xludf.DUMMYFUNCTION("""COMPUTED_VALUE"""),0.0)</f>
        <v>0</v>
      </c>
      <c r="G18" s="54">
        <f>IFERROR(__xludf.DUMMYFUNCTION("""COMPUTED_VALUE"""),0.0)</f>
        <v>0</v>
      </c>
      <c r="H18" s="54">
        <f>IFERROR(__xludf.DUMMYFUNCTION("""COMPUTED_VALUE"""),0.0)</f>
        <v>0</v>
      </c>
      <c r="I18" s="54">
        <f>IFERROR(__xludf.DUMMYFUNCTION("""COMPUTED_VALUE"""),0.0)</f>
        <v>0</v>
      </c>
      <c r="J18" s="54" t="b">
        <f>IFERROR(__xludf.DUMMYFUNCTION("""COMPUTED_VALUE"""),TRUE)</f>
        <v>1</v>
      </c>
      <c r="K18" s="80"/>
      <c r="L18" s="14">
        <f>IFERROR(__xludf.DUMMYFUNCTION("""COMPUTED_VALUE"""),44840.0)</f>
        <v>44840</v>
      </c>
      <c r="M18" s="172">
        <f>IFERROR(__xludf.DUMMYFUNCTION("""COMPUTED_VALUE"""),12.0)</f>
        <v>12</v>
      </c>
      <c r="N18" s="172">
        <f>IFERROR(__xludf.DUMMYFUNCTION("""COMPUTED_VALUE"""),12.0)</f>
        <v>12</v>
      </c>
      <c r="O18" s="172">
        <f>IFERROR(__xludf.DUMMYFUNCTION("""COMPUTED_VALUE"""),0.0)</f>
        <v>0</v>
      </c>
      <c r="P18" s="172">
        <f>IFERROR(__xludf.DUMMYFUNCTION("""COMPUTED_VALUE"""),0.0)</f>
        <v>0</v>
      </c>
      <c r="Q18" s="172">
        <f>IFERROR(__xludf.DUMMYFUNCTION("""COMPUTED_VALUE"""),0.0)</f>
        <v>0</v>
      </c>
      <c r="R18" s="172">
        <f>IFERROR(__xludf.DUMMYFUNCTION("""COMPUTED_VALUE"""),0.0)</f>
        <v>0</v>
      </c>
      <c r="S18" s="172">
        <f>IFERROR(__xludf.DUMMYFUNCTION("""COMPUTED_VALUE"""),0.0)</f>
        <v>0</v>
      </c>
      <c r="T18" s="172">
        <f>IFERROR(__xludf.DUMMYFUNCTION("""COMPUTED_VALUE"""),12.0)</f>
        <v>12</v>
      </c>
      <c r="U18" s="55"/>
      <c r="V18" s="80"/>
      <c r="W18" s="14">
        <f t="shared" ref="W18:AC18" si="18">L18</f>
        <v>44840</v>
      </c>
      <c r="X18" s="172">
        <f t="shared" si="18"/>
        <v>12</v>
      </c>
      <c r="Y18" s="172">
        <f t="shared" si="18"/>
        <v>12</v>
      </c>
      <c r="Z18" s="172">
        <f t="shared" si="18"/>
        <v>0</v>
      </c>
      <c r="AA18" s="172">
        <f t="shared" si="18"/>
        <v>0</v>
      </c>
      <c r="AB18" s="172">
        <f t="shared" si="18"/>
        <v>0</v>
      </c>
      <c r="AC18" s="172">
        <f t="shared" si="18"/>
        <v>0</v>
      </c>
    </row>
    <row r="19">
      <c r="B19" s="12">
        <f>IFERROR(__xludf.DUMMYFUNCTION("""COMPUTED_VALUE"""),44831.0)</f>
        <v>44831</v>
      </c>
      <c r="C19" s="54">
        <f>IFERROR(__xludf.DUMMYFUNCTION("""COMPUTED_VALUE"""),12.0)</f>
        <v>12</v>
      </c>
      <c r="D19" s="54">
        <f>IFERROR(__xludf.DUMMYFUNCTION("""COMPUTED_VALUE"""),12.0)</f>
        <v>12</v>
      </c>
      <c r="E19" s="54">
        <f>IFERROR(__xludf.DUMMYFUNCTION("""COMPUTED_VALUE"""),0.0)</f>
        <v>0</v>
      </c>
      <c r="F19" s="54">
        <f>IFERROR(__xludf.DUMMYFUNCTION("""COMPUTED_VALUE"""),0.0)</f>
        <v>0</v>
      </c>
      <c r="G19" s="54">
        <f>IFERROR(__xludf.DUMMYFUNCTION("""COMPUTED_VALUE"""),0.0)</f>
        <v>0</v>
      </c>
      <c r="H19" s="54">
        <f>IFERROR(__xludf.DUMMYFUNCTION("""COMPUTED_VALUE"""),0.0)</f>
        <v>0</v>
      </c>
      <c r="I19" s="54">
        <f>IFERROR(__xludf.DUMMYFUNCTION("""COMPUTED_VALUE"""),0.0)</f>
        <v>0</v>
      </c>
      <c r="J19" s="54"/>
      <c r="K19" s="80"/>
      <c r="L19" s="14">
        <f>IFERROR(__xludf.DUMMYFUNCTION("""COMPUTED_VALUE"""),44844.0)</f>
        <v>44844</v>
      </c>
      <c r="M19" s="172">
        <f>IFERROR(__xludf.DUMMYFUNCTION("""COMPUTED_VALUE"""),25.0)</f>
        <v>25</v>
      </c>
      <c r="N19" s="172">
        <f>IFERROR(__xludf.DUMMYFUNCTION("""COMPUTED_VALUE"""),25.0)</f>
        <v>25</v>
      </c>
      <c r="O19" s="172">
        <f>IFERROR(__xludf.DUMMYFUNCTION("""COMPUTED_VALUE"""),0.0)</f>
        <v>0</v>
      </c>
      <c r="P19" s="172">
        <f>IFERROR(__xludf.DUMMYFUNCTION("""COMPUTED_VALUE"""),0.0)</f>
        <v>0</v>
      </c>
      <c r="Q19" s="172">
        <f>IFERROR(__xludf.DUMMYFUNCTION("""COMPUTED_VALUE"""),0.0)</f>
        <v>0</v>
      </c>
      <c r="R19" s="172">
        <f>IFERROR(__xludf.DUMMYFUNCTION("""COMPUTED_VALUE"""),0.0)</f>
        <v>0</v>
      </c>
      <c r="S19" s="172">
        <f>IFERROR(__xludf.DUMMYFUNCTION("""COMPUTED_VALUE"""),0.0)</f>
        <v>0</v>
      </c>
      <c r="T19" s="172">
        <f>IFERROR(__xludf.DUMMYFUNCTION("""COMPUTED_VALUE"""),25.0)</f>
        <v>25</v>
      </c>
      <c r="U19" s="55"/>
      <c r="V19" s="80"/>
      <c r="W19" s="14">
        <f t="shared" ref="W19:AC19" si="19">L19</f>
        <v>44844</v>
      </c>
      <c r="X19" s="172">
        <f t="shared" si="19"/>
        <v>25</v>
      </c>
      <c r="Y19" s="172">
        <f t="shared" si="19"/>
        <v>25</v>
      </c>
      <c r="Z19" s="172">
        <f t="shared" si="19"/>
        <v>0</v>
      </c>
      <c r="AA19" s="172">
        <f t="shared" si="19"/>
        <v>0</v>
      </c>
      <c r="AB19" s="172">
        <f t="shared" si="19"/>
        <v>0</v>
      </c>
      <c r="AC19" s="172">
        <f t="shared" si="19"/>
        <v>0</v>
      </c>
    </row>
    <row r="20">
      <c r="B20" s="12">
        <f>IFERROR(__xludf.DUMMYFUNCTION("""COMPUTED_VALUE"""),44832.0)</f>
        <v>44832</v>
      </c>
      <c r="C20" s="54">
        <f>IFERROR(__xludf.DUMMYFUNCTION("""COMPUTED_VALUE"""),12.0)</f>
        <v>12</v>
      </c>
      <c r="D20" s="54">
        <f>IFERROR(__xludf.DUMMYFUNCTION("""COMPUTED_VALUE"""),12.0)</f>
        <v>12</v>
      </c>
      <c r="E20" s="54">
        <f>IFERROR(__xludf.DUMMYFUNCTION("""COMPUTED_VALUE"""),0.0)</f>
        <v>0</v>
      </c>
      <c r="F20" s="54">
        <f>IFERROR(__xludf.DUMMYFUNCTION("""COMPUTED_VALUE"""),0.0)</f>
        <v>0</v>
      </c>
      <c r="G20" s="54">
        <f>IFERROR(__xludf.DUMMYFUNCTION("""COMPUTED_VALUE"""),0.0)</f>
        <v>0</v>
      </c>
      <c r="H20" s="54">
        <f>IFERROR(__xludf.DUMMYFUNCTION("""COMPUTED_VALUE"""),0.0)</f>
        <v>0</v>
      </c>
      <c r="I20" s="54">
        <f>IFERROR(__xludf.DUMMYFUNCTION("""COMPUTED_VALUE"""),0.0)</f>
        <v>0</v>
      </c>
      <c r="J20" s="54" t="b">
        <f>IFERROR(__xludf.DUMMYFUNCTION("""COMPUTED_VALUE"""),TRUE)</f>
        <v>1</v>
      </c>
      <c r="K20" s="80"/>
      <c r="L20" s="14">
        <f>IFERROR(__xludf.DUMMYFUNCTION("""COMPUTED_VALUE"""),44845.0)</f>
        <v>44845</v>
      </c>
      <c r="M20" s="172">
        <f>IFERROR(__xludf.DUMMYFUNCTION("""COMPUTED_VALUE"""),12.0)</f>
        <v>12</v>
      </c>
      <c r="N20" s="172">
        <f>IFERROR(__xludf.DUMMYFUNCTION("""COMPUTED_VALUE"""),12.0)</f>
        <v>12</v>
      </c>
      <c r="O20" s="172">
        <f>IFERROR(__xludf.DUMMYFUNCTION("""COMPUTED_VALUE"""),0.0)</f>
        <v>0</v>
      </c>
      <c r="P20" s="172">
        <f>IFERROR(__xludf.DUMMYFUNCTION("""COMPUTED_VALUE"""),0.0)</f>
        <v>0</v>
      </c>
      <c r="Q20" s="172">
        <f>IFERROR(__xludf.DUMMYFUNCTION("""COMPUTED_VALUE"""),0.0)</f>
        <v>0</v>
      </c>
      <c r="R20" s="172">
        <f>IFERROR(__xludf.DUMMYFUNCTION("""COMPUTED_VALUE"""),0.0)</f>
        <v>0</v>
      </c>
      <c r="S20" s="172">
        <f>IFERROR(__xludf.DUMMYFUNCTION("""COMPUTED_VALUE"""),0.0)</f>
        <v>0</v>
      </c>
      <c r="T20" s="172">
        <f>IFERROR(__xludf.DUMMYFUNCTION("""COMPUTED_VALUE"""),12.0)</f>
        <v>12</v>
      </c>
      <c r="U20" s="55"/>
      <c r="V20" s="80"/>
      <c r="W20" s="14">
        <f t="shared" ref="W20:AC20" si="20">L20</f>
        <v>44845</v>
      </c>
      <c r="X20" s="172">
        <f t="shared" si="20"/>
        <v>12</v>
      </c>
      <c r="Y20" s="172">
        <f t="shared" si="20"/>
        <v>12</v>
      </c>
      <c r="Z20" s="172">
        <f t="shared" si="20"/>
        <v>0</v>
      </c>
      <c r="AA20" s="172">
        <f t="shared" si="20"/>
        <v>0</v>
      </c>
      <c r="AB20" s="172">
        <f t="shared" si="20"/>
        <v>0</v>
      </c>
      <c r="AC20" s="172">
        <f t="shared" si="20"/>
        <v>0</v>
      </c>
    </row>
    <row r="21">
      <c r="B21" s="12">
        <f>IFERROR(__xludf.DUMMYFUNCTION("""COMPUTED_VALUE"""),44833.0)</f>
        <v>44833</v>
      </c>
      <c r="C21" s="54">
        <f>IFERROR(__xludf.DUMMYFUNCTION("""COMPUTED_VALUE"""),13.0)</f>
        <v>13</v>
      </c>
      <c r="D21" s="54">
        <f>IFERROR(__xludf.DUMMYFUNCTION("""COMPUTED_VALUE"""),13.0)</f>
        <v>13</v>
      </c>
      <c r="E21" s="54">
        <f>IFERROR(__xludf.DUMMYFUNCTION("""COMPUTED_VALUE"""),0.0)</f>
        <v>0</v>
      </c>
      <c r="F21" s="54">
        <f>IFERROR(__xludf.DUMMYFUNCTION("""COMPUTED_VALUE"""),0.0)</f>
        <v>0</v>
      </c>
      <c r="G21" s="54">
        <f>IFERROR(__xludf.DUMMYFUNCTION("""COMPUTED_VALUE"""),0.0)</f>
        <v>0</v>
      </c>
      <c r="H21" s="54">
        <f>IFERROR(__xludf.DUMMYFUNCTION("""COMPUTED_VALUE"""),0.0)</f>
        <v>0</v>
      </c>
      <c r="I21" s="54">
        <f>IFERROR(__xludf.DUMMYFUNCTION("""COMPUTED_VALUE"""),0.0)</f>
        <v>0</v>
      </c>
      <c r="J21" s="54" t="b">
        <f>IFERROR(__xludf.DUMMYFUNCTION("""COMPUTED_VALUE"""),TRUE)</f>
        <v>1</v>
      </c>
      <c r="K21" s="80"/>
      <c r="L21" s="14">
        <f>IFERROR(__xludf.DUMMYFUNCTION("""COMPUTED_VALUE"""),44846.0)</f>
        <v>44846</v>
      </c>
      <c r="M21" s="172">
        <f>IFERROR(__xludf.DUMMYFUNCTION("""COMPUTED_VALUE"""),10.0)</f>
        <v>10</v>
      </c>
      <c r="N21" s="172">
        <f>IFERROR(__xludf.DUMMYFUNCTION("""COMPUTED_VALUE"""),10.0)</f>
        <v>10</v>
      </c>
      <c r="O21" s="172">
        <f>IFERROR(__xludf.DUMMYFUNCTION("""COMPUTED_VALUE"""),0.0)</f>
        <v>0</v>
      </c>
      <c r="P21" s="172">
        <f>IFERROR(__xludf.DUMMYFUNCTION("""COMPUTED_VALUE"""),0.0)</f>
        <v>0</v>
      </c>
      <c r="Q21" s="172">
        <f>IFERROR(__xludf.DUMMYFUNCTION("""COMPUTED_VALUE"""),0.0)</f>
        <v>0</v>
      </c>
      <c r="R21" s="172">
        <f>IFERROR(__xludf.DUMMYFUNCTION("""COMPUTED_VALUE"""),0.0)</f>
        <v>0</v>
      </c>
      <c r="S21" s="172">
        <f>IFERROR(__xludf.DUMMYFUNCTION("""COMPUTED_VALUE"""),0.0)</f>
        <v>0</v>
      </c>
      <c r="T21" s="172">
        <f>IFERROR(__xludf.DUMMYFUNCTION("""COMPUTED_VALUE"""),10.0)</f>
        <v>10</v>
      </c>
      <c r="U21" s="55"/>
      <c r="V21" s="80"/>
      <c r="W21" s="14">
        <f t="shared" ref="W21:AC21" si="21">L21</f>
        <v>44846</v>
      </c>
      <c r="X21" s="172">
        <f t="shared" si="21"/>
        <v>10</v>
      </c>
      <c r="Y21" s="172">
        <f t="shared" si="21"/>
        <v>10</v>
      </c>
      <c r="Z21" s="172">
        <f t="shared" si="21"/>
        <v>0</v>
      </c>
      <c r="AA21" s="172">
        <f t="shared" si="21"/>
        <v>0</v>
      </c>
      <c r="AB21" s="172">
        <f t="shared" si="21"/>
        <v>0</v>
      </c>
      <c r="AC21" s="172">
        <f t="shared" si="21"/>
        <v>0</v>
      </c>
    </row>
    <row r="22">
      <c r="B22" s="12">
        <f>IFERROR(__xludf.DUMMYFUNCTION("""COMPUTED_VALUE"""),44834.0)</f>
        <v>44834</v>
      </c>
      <c r="C22" s="54">
        <f>IFERROR(__xludf.DUMMYFUNCTION("""COMPUTED_VALUE"""),10.0)</f>
        <v>10</v>
      </c>
      <c r="D22" s="54">
        <f>IFERROR(__xludf.DUMMYFUNCTION("""COMPUTED_VALUE"""),10.0)</f>
        <v>10</v>
      </c>
      <c r="E22" s="54">
        <f>IFERROR(__xludf.DUMMYFUNCTION("""COMPUTED_VALUE"""),0.0)</f>
        <v>0</v>
      </c>
      <c r="F22" s="54">
        <f>IFERROR(__xludf.DUMMYFUNCTION("""COMPUTED_VALUE"""),0.0)</f>
        <v>0</v>
      </c>
      <c r="G22" s="54">
        <f>IFERROR(__xludf.DUMMYFUNCTION("""COMPUTED_VALUE"""),0.0)</f>
        <v>0</v>
      </c>
      <c r="H22" s="54">
        <f>IFERROR(__xludf.DUMMYFUNCTION("""COMPUTED_VALUE"""),0.0)</f>
        <v>0</v>
      </c>
      <c r="I22" s="54">
        <f>IFERROR(__xludf.DUMMYFUNCTION("""COMPUTED_VALUE"""),0.0)</f>
        <v>0</v>
      </c>
      <c r="J22" s="54" t="b">
        <f>IFERROR(__xludf.DUMMYFUNCTION("""COMPUTED_VALUE"""),TRUE)</f>
        <v>1</v>
      </c>
      <c r="K22" s="80"/>
      <c r="L22" s="14">
        <f>IFERROR(__xludf.DUMMYFUNCTION("""COMPUTED_VALUE"""),44847.0)</f>
        <v>44847</v>
      </c>
      <c r="M22" s="172">
        <f>IFERROR(__xludf.DUMMYFUNCTION("""COMPUTED_VALUE"""),11.0)</f>
        <v>11</v>
      </c>
      <c r="N22" s="172">
        <f>IFERROR(__xludf.DUMMYFUNCTION("""COMPUTED_VALUE"""),11.0)</f>
        <v>11</v>
      </c>
      <c r="O22" s="172">
        <f>IFERROR(__xludf.DUMMYFUNCTION("""COMPUTED_VALUE"""),0.0)</f>
        <v>0</v>
      </c>
      <c r="P22" s="172">
        <f>IFERROR(__xludf.DUMMYFUNCTION("""COMPUTED_VALUE"""),0.0)</f>
        <v>0</v>
      </c>
      <c r="Q22" s="172">
        <f>IFERROR(__xludf.DUMMYFUNCTION("""COMPUTED_VALUE"""),0.0)</f>
        <v>0</v>
      </c>
      <c r="R22" s="172">
        <f>IFERROR(__xludf.DUMMYFUNCTION("""COMPUTED_VALUE"""),0.0)</f>
        <v>0</v>
      </c>
      <c r="S22" s="172">
        <f>IFERROR(__xludf.DUMMYFUNCTION("""COMPUTED_VALUE"""),0.0)</f>
        <v>0</v>
      </c>
      <c r="T22" s="172">
        <f>IFERROR(__xludf.DUMMYFUNCTION("""COMPUTED_VALUE"""),11.0)</f>
        <v>11</v>
      </c>
      <c r="U22" s="55"/>
      <c r="V22" s="80"/>
      <c r="W22" s="14">
        <f t="shared" ref="W22:AC22" si="22">L22</f>
        <v>44847</v>
      </c>
      <c r="X22" s="172">
        <f t="shared" si="22"/>
        <v>11</v>
      </c>
      <c r="Y22" s="172">
        <f t="shared" si="22"/>
        <v>11</v>
      </c>
      <c r="Z22" s="172">
        <f t="shared" si="22"/>
        <v>0</v>
      </c>
      <c r="AA22" s="172">
        <f t="shared" si="22"/>
        <v>0</v>
      </c>
      <c r="AB22" s="172">
        <f t="shared" si="22"/>
        <v>0</v>
      </c>
      <c r="AC22" s="172">
        <f t="shared" si="22"/>
        <v>0</v>
      </c>
    </row>
    <row r="23">
      <c r="B23" s="12">
        <f>IFERROR(__xludf.DUMMYFUNCTION("""COMPUTED_VALUE"""),44837.0)</f>
        <v>44837</v>
      </c>
      <c r="C23" s="54">
        <f>IFERROR(__xludf.DUMMYFUNCTION("""COMPUTED_VALUE"""),11.0)</f>
        <v>11</v>
      </c>
      <c r="D23" s="54">
        <f>IFERROR(__xludf.DUMMYFUNCTION("""COMPUTED_VALUE"""),11.0)</f>
        <v>11</v>
      </c>
      <c r="E23" s="54">
        <f>IFERROR(__xludf.DUMMYFUNCTION("""COMPUTED_VALUE"""),0.0)</f>
        <v>0</v>
      </c>
      <c r="F23" s="54">
        <f>IFERROR(__xludf.DUMMYFUNCTION("""COMPUTED_VALUE"""),0.0)</f>
        <v>0</v>
      </c>
      <c r="G23" s="54">
        <f>IFERROR(__xludf.DUMMYFUNCTION("""COMPUTED_VALUE"""),0.0)</f>
        <v>0</v>
      </c>
      <c r="H23" s="54">
        <f>IFERROR(__xludf.DUMMYFUNCTION("""COMPUTED_VALUE"""),0.0)</f>
        <v>0</v>
      </c>
      <c r="I23" s="54">
        <f>IFERROR(__xludf.DUMMYFUNCTION("""COMPUTED_VALUE"""),0.0)</f>
        <v>0</v>
      </c>
      <c r="J23" s="54" t="b">
        <f>IFERROR(__xludf.DUMMYFUNCTION("""COMPUTED_VALUE"""),TRUE)</f>
        <v>1</v>
      </c>
      <c r="K23" s="80"/>
      <c r="L23" s="14">
        <f>IFERROR(__xludf.DUMMYFUNCTION("""COMPUTED_VALUE"""),44851.0)</f>
        <v>44851</v>
      </c>
      <c r="M23" s="172">
        <f>IFERROR(__xludf.DUMMYFUNCTION("""COMPUTED_VALUE"""),11.0)</f>
        <v>11</v>
      </c>
      <c r="N23" s="172">
        <f>IFERROR(__xludf.DUMMYFUNCTION("""COMPUTED_VALUE"""),11.0)</f>
        <v>11</v>
      </c>
      <c r="O23" s="172">
        <f>IFERROR(__xludf.DUMMYFUNCTION("""COMPUTED_VALUE"""),0.0)</f>
        <v>0</v>
      </c>
      <c r="P23" s="172">
        <f>IFERROR(__xludf.DUMMYFUNCTION("""COMPUTED_VALUE"""),0.0)</f>
        <v>0</v>
      </c>
      <c r="Q23" s="172">
        <f>IFERROR(__xludf.DUMMYFUNCTION("""COMPUTED_VALUE"""),0.0)</f>
        <v>0</v>
      </c>
      <c r="R23" s="172">
        <f>IFERROR(__xludf.DUMMYFUNCTION("""COMPUTED_VALUE"""),0.0)</f>
        <v>0</v>
      </c>
      <c r="S23" s="172">
        <f>IFERROR(__xludf.DUMMYFUNCTION("""COMPUTED_VALUE"""),0.0)</f>
        <v>0</v>
      </c>
      <c r="T23" s="172">
        <f>IFERROR(__xludf.DUMMYFUNCTION("""COMPUTED_VALUE"""),11.0)</f>
        <v>11</v>
      </c>
      <c r="U23" s="55"/>
      <c r="V23" s="80"/>
      <c r="W23" s="14">
        <f t="shared" ref="W23:AC23" si="23">L23</f>
        <v>44851</v>
      </c>
      <c r="X23" s="172">
        <f t="shared" si="23"/>
        <v>11</v>
      </c>
      <c r="Y23" s="172">
        <f t="shared" si="23"/>
        <v>11</v>
      </c>
      <c r="Z23" s="172">
        <f t="shared" si="23"/>
        <v>0</v>
      </c>
      <c r="AA23" s="172">
        <f t="shared" si="23"/>
        <v>0</v>
      </c>
      <c r="AB23" s="172">
        <f t="shared" si="23"/>
        <v>0</v>
      </c>
      <c r="AC23" s="172">
        <f t="shared" si="23"/>
        <v>0</v>
      </c>
    </row>
    <row r="24">
      <c r="B24" s="12">
        <f>IFERROR(__xludf.DUMMYFUNCTION("""COMPUTED_VALUE"""),44838.0)</f>
        <v>44838</v>
      </c>
      <c r="C24" s="54">
        <f>IFERROR(__xludf.DUMMYFUNCTION("""COMPUTED_VALUE"""),11.0)</f>
        <v>11</v>
      </c>
      <c r="D24" s="54">
        <f>IFERROR(__xludf.DUMMYFUNCTION("""COMPUTED_VALUE"""),11.0)</f>
        <v>11</v>
      </c>
      <c r="E24" s="54">
        <f>IFERROR(__xludf.DUMMYFUNCTION("""COMPUTED_VALUE"""),0.0)</f>
        <v>0</v>
      </c>
      <c r="F24" s="54">
        <f>IFERROR(__xludf.DUMMYFUNCTION("""COMPUTED_VALUE"""),0.0)</f>
        <v>0</v>
      </c>
      <c r="G24" s="54">
        <f>IFERROR(__xludf.DUMMYFUNCTION("""COMPUTED_VALUE"""),0.0)</f>
        <v>0</v>
      </c>
      <c r="H24" s="54">
        <f>IFERROR(__xludf.DUMMYFUNCTION("""COMPUTED_VALUE"""),0.0)</f>
        <v>0</v>
      </c>
      <c r="I24" s="54">
        <f>IFERROR(__xludf.DUMMYFUNCTION("""COMPUTED_VALUE"""),0.0)</f>
        <v>0</v>
      </c>
      <c r="J24" s="54" t="b">
        <f>IFERROR(__xludf.DUMMYFUNCTION("""COMPUTED_VALUE"""),TRUE)</f>
        <v>1</v>
      </c>
      <c r="K24" s="80"/>
      <c r="L24" s="14">
        <f>IFERROR(__xludf.DUMMYFUNCTION("""COMPUTED_VALUE"""),44852.0)</f>
        <v>44852</v>
      </c>
      <c r="M24" s="172">
        <f>IFERROR(__xludf.DUMMYFUNCTION("""COMPUTED_VALUE"""),9.0)</f>
        <v>9</v>
      </c>
      <c r="N24" s="172">
        <f>IFERROR(__xludf.DUMMYFUNCTION("""COMPUTED_VALUE"""),9.0)</f>
        <v>9</v>
      </c>
      <c r="O24" s="172">
        <f>IFERROR(__xludf.DUMMYFUNCTION("""COMPUTED_VALUE"""),0.0)</f>
        <v>0</v>
      </c>
      <c r="P24" s="172">
        <f>IFERROR(__xludf.DUMMYFUNCTION("""COMPUTED_VALUE"""),0.0)</f>
        <v>0</v>
      </c>
      <c r="Q24" s="172">
        <f>IFERROR(__xludf.DUMMYFUNCTION("""COMPUTED_VALUE"""),0.0)</f>
        <v>0</v>
      </c>
      <c r="R24" s="172">
        <f>IFERROR(__xludf.DUMMYFUNCTION("""COMPUTED_VALUE"""),0.0)</f>
        <v>0</v>
      </c>
      <c r="S24" s="172">
        <f>IFERROR(__xludf.DUMMYFUNCTION("""COMPUTED_VALUE"""),0.0)</f>
        <v>0</v>
      </c>
      <c r="T24" s="172">
        <f>IFERROR(__xludf.DUMMYFUNCTION("""COMPUTED_VALUE"""),9.0)</f>
        <v>9</v>
      </c>
      <c r="U24" s="55"/>
      <c r="V24" s="80"/>
      <c r="W24" s="14">
        <f t="shared" ref="W24:AC24" si="24">L24</f>
        <v>44852</v>
      </c>
      <c r="X24" s="172">
        <f t="shared" si="24"/>
        <v>9</v>
      </c>
      <c r="Y24" s="172">
        <f t="shared" si="24"/>
        <v>9</v>
      </c>
      <c r="Z24" s="172">
        <f t="shared" si="24"/>
        <v>0</v>
      </c>
      <c r="AA24" s="172">
        <f t="shared" si="24"/>
        <v>0</v>
      </c>
      <c r="AB24" s="172">
        <f t="shared" si="24"/>
        <v>0</v>
      </c>
      <c r="AC24" s="172">
        <f t="shared" si="24"/>
        <v>0</v>
      </c>
    </row>
    <row r="25">
      <c r="B25" s="12">
        <f>IFERROR(__xludf.DUMMYFUNCTION("""COMPUTED_VALUE"""),44839.0)</f>
        <v>44839</v>
      </c>
      <c r="C25" s="54">
        <f>IFERROR(__xludf.DUMMYFUNCTION("""COMPUTED_VALUE"""),13.0)</f>
        <v>13</v>
      </c>
      <c r="D25" s="54">
        <f>IFERROR(__xludf.DUMMYFUNCTION("""COMPUTED_VALUE"""),13.0)</f>
        <v>13</v>
      </c>
      <c r="E25" s="54">
        <f>IFERROR(__xludf.DUMMYFUNCTION("""COMPUTED_VALUE"""),0.0)</f>
        <v>0</v>
      </c>
      <c r="F25" s="54">
        <f>IFERROR(__xludf.DUMMYFUNCTION("""COMPUTED_VALUE"""),0.0)</f>
        <v>0</v>
      </c>
      <c r="G25" s="54">
        <f>IFERROR(__xludf.DUMMYFUNCTION("""COMPUTED_VALUE"""),0.0)</f>
        <v>0</v>
      </c>
      <c r="H25" s="54">
        <f>IFERROR(__xludf.DUMMYFUNCTION("""COMPUTED_VALUE"""),0.0)</f>
        <v>0</v>
      </c>
      <c r="I25" s="54">
        <f>IFERROR(__xludf.DUMMYFUNCTION("""COMPUTED_VALUE"""),0.0)</f>
        <v>0</v>
      </c>
      <c r="J25" s="54" t="b">
        <f>IFERROR(__xludf.DUMMYFUNCTION("""COMPUTED_VALUE"""),TRUE)</f>
        <v>1</v>
      </c>
      <c r="K25" s="80"/>
      <c r="L25" s="14">
        <f>IFERROR(__xludf.DUMMYFUNCTION("""COMPUTED_VALUE"""),44853.0)</f>
        <v>44853</v>
      </c>
      <c r="M25" s="172">
        <f>IFERROR(__xludf.DUMMYFUNCTION("""COMPUTED_VALUE"""),8.0)</f>
        <v>8</v>
      </c>
      <c r="N25" s="172">
        <f>IFERROR(__xludf.DUMMYFUNCTION("""COMPUTED_VALUE"""),8.0)</f>
        <v>8</v>
      </c>
      <c r="O25" s="172">
        <f>IFERROR(__xludf.DUMMYFUNCTION("""COMPUTED_VALUE"""),0.0)</f>
        <v>0</v>
      </c>
      <c r="P25" s="172">
        <f>IFERROR(__xludf.DUMMYFUNCTION("""COMPUTED_VALUE"""),0.0)</f>
        <v>0</v>
      </c>
      <c r="Q25" s="172">
        <f>IFERROR(__xludf.DUMMYFUNCTION("""COMPUTED_VALUE"""),0.0)</f>
        <v>0</v>
      </c>
      <c r="R25" s="172">
        <f>IFERROR(__xludf.DUMMYFUNCTION("""COMPUTED_VALUE"""),0.0)</f>
        <v>0</v>
      </c>
      <c r="S25" s="172">
        <f>IFERROR(__xludf.DUMMYFUNCTION("""COMPUTED_VALUE"""),0.0)</f>
        <v>0</v>
      </c>
      <c r="T25" s="172">
        <f>IFERROR(__xludf.DUMMYFUNCTION("""COMPUTED_VALUE"""),8.0)</f>
        <v>8</v>
      </c>
      <c r="U25" s="55"/>
      <c r="V25" s="80"/>
      <c r="W25" s="14">
        <f t="shared" ref="W25:AC25" si="25">L25</f>
        <v>44853</v>
      </c>
      <c r="X25" s="172">
        <f t="shared" si="25"/>
        <v>8</v>
      </c>
      <c r="Y25" s="172">
        <f t="shared" si="25"/>
        <v>8</v>
      </c>
      <c r="Z25" s="172">
        <f t="shared" si="25"/>
        <v>0</v>
      </c>
      <c r="AA25" s="172">
        <f t="shared" si="25"/>
        <v>0</v>
      </c>
      <c r="AB25" s="172">
        <f t="shared" si="25"/>
        <v>0</v>
      </c>
      <c r="AC25" s="172">
        <f t="shared" si="25"/>
        <v>0</v>
      </c>
    </row>
    <row r="26">
      <c r="B26" s="12">
        <f>IFERROR(__xludf.DUMMYFUNCTION("""COMPUTED_VALUE"""),44840.0)</f>
        <v>44840</v>
      </c>
      <c r="C26" s="54">
        <f>IFERROR(__xludf.DUMMYFUNCTION("""COMPUTED_VALUE"""),12.0)</f>
        <v>12</v>
      </c>
      <c r="D26" s="54">
        <f>IFERROR(__xludf.DUMMYFUNCTION("""COMPUTED_VALUE"""),12.0)</f>
        <v>12</v>
      </c>
      <c r="E26" s="54">
        <f>IFERROR(__xludf.DUMMYFUNCTION("""COMPUTED_VALUE"""),0.0)</f>
        <v>0</v>
      </c>
      <c r="F26" s="54">
        <f>IFERROR(__xludf.DUMMYFUNCTION("""COMPUTED_VALUE"""),0.0)</f>
        <v>0</v>
      </c>
      <c r="G26" s="54">
        <f>IFERROR(__xludf.DUMMYFUNCTION("""COMPUTED_VALUE"""),0.0)</f>
        <v>0</v>
      </c>
      <c r="H26" s="54">
        <f>IFERROR(__xludf.DUMMYFUNCTION("""COMPUTED_VALUE"""),0.0)</f>
        <v>0</v>
      </c>
      <c r="I26" s="54">
        <f>IFERROR(__xludf.DUMMYFUNCTION("""COMPUTED_VALUE"""),0.0)</f>
        <v>0</v>
      </c>
      <c r="J26" s="54" t="b">
        <f>IFERROR(__xludf.DUMMYFUNCTION("""COMPUTED_VALUE"""),TRUE)</f>
        <v>1</v>
      </c>
      <c r="K26" s="80"/>
      <c r="L26" s="14">
        <f>IFERROR(__xludf.DUMMYFUNCTION("""COMPUTED_VALUE"""),44854.0)</f>
        <v>44854</v>
      </c>
      <c r="M26" s="172">
        <f>IFERROR(__xludf.DUMMYFUNCTION("""COMPUTED_VALUE"""),8.0)</f>
        <v>8</v>
      </c>
      <c r="N26" s="172">
        <f>IFERROR(__xludf.DUMMYFUNCTION("""COMPUTED_VALUE"""),8.0)</f>
        <v>8</v>
      </c>
      <c r="O26" s="172">
        <f>IFERROR(__xludf.DUMMYFUNCTION("""COMPUTED_VALUE"""),0.0)</f>
        <v>0</v>
      </c>
      <c r="P26" s="172">
        <f>IFERROR(__xludf.DUMMYFUNCTION("""COMPUTED_VALUE"""),0.0)</f>
        <v>0</v>
      </c>
      <c r="Q26" s="172">
        <f>IFERROR(__xludf.DUMMYFUNCTION("""COMPUTED_VALUE"""),0.0)</f>
        <v>0</v>
      </c>
      <c r="R26" s="172">
        <f>IFERROR(__xludf.DUMMYFUNCTION("""COMPUTED_VALUE"""),0.0)</f>
        <v>0</v>
      </c>
      <c r="S26" s="172">
        <f>IFERROR(__xludf.DUMMYFUNCTION("""COMPUTED_VALUE"""),0.0)</f>
        <v>0</v>
      </c>
      <c r="T26" s="172">
        <f>IFERROR(__xludf.DUMMYFUNCTION("""COMPUTED_VALUE"""),8.0)</f>
        <v>8</v>
      </c>
      <c r="U26" s="55"/>
      <c r="V26" s="80"/>
      <c r="W26" s="14">
        <f t="shared" ref="W26:AC26" si="26">L26</f>
        <v>44854</v>
      </c>
      <c r="X26" s="172">
        <f t="shared" si="26"/>
        <v>8</v>
      </c>
      <c r="Y26" s="172">
        <f t="shared" si="26"/>
        <v>8</v>
      </c>
      <c r="Z26" s="172">
        <f t="shared" si="26"/>
        <v>0</v>
      </c>
      <c r="AA26" s="172">
        <f t="shared" si="26"/>
        <v>0</v>
      </c>
      <c r="AB26" s="172">
        <f t="shared" si="26"/>
        <v>0</v>
      </c>
      <c r="AC26" s="172">
        <f t="shared" si="26"/>
        <v>0</v>
      </c>
    </row>
    <row r="27">
      <c r="B27" s="12">
        <f>IFERROR(__xludf.DUMMYFUNCTION("""COMPUTED_VALUE"""),44841.0)</f>
        <v>44841</v>
      </c>
      <c r="C27" s="54">
        <f>IFERROR(__xludf.DUMMYFUNCTION("""COMPUTED_VALUE"""),12.0)</f>
        <v>12</v>
      </c>
      <c r="D27" s="54">
        <f>IFERROR(__xludf.DUMMYFUNCTION("""COMPUTED_VALUE"""),12.0)</f>
        <v>12</v>
      </c>
      <c r="E27" s="54">
        <f>IFERROR(__xludf.DUMMYFUNCTION("""COMPUTED_VALUE"""),0.0)</f>
        <v>0</v>
      </c>
      <c r="F27" s="54">
        <f>IFERROR(__xludf.DUMMYFUNCTION("""COMPUTED_VALUE"""),0.0)</f>
        <v>0</v>
      </c>
      <c r="G27" s="54">
        <f>IFERROR(__xludf.DUMMYFUNCTION("""COMPUTED_VALUE"""),0.0)</f>
        <v>0</v>
      </c>
      <c r="H27" s="54">
        <f>IFERROR(__xludf.DUMMYFUNCTION("""COMPUTED_VALUE"""),0.0)</f>
        <v>0</v>
      </c>
      <c r="I27" s="54">
        <f>IFERROR(__xludf.DUMMYFUNCTION("""COMPUTED_VALUE"""),0.0)</f>
        <v>0</v>
      </c>
      <c r="J27" s="54"/>
      <c r="K27" s="80"/>
      <c r="L27" s="14">
        <f>IFERROR(__xludf.DUMMYFUNCTION("""COMPUTED_VALUE"""),44855.0)</f>
        <v>44855</v>
      </c>
      <c r="M27" s="172">
        <f>IFERROR(__xludf.DUMMYFUNCTION("""COMPUTED_VALUE"""),10.0)</f>
        <v>10</v>
      </c>
      <c r="N27" s="172">
        <f>IFERROR(__xludf.DUMMYFUNCTION("""COMPUTED_VALUE"""),10.0)</f>
        <v>10</v>
      </c>
      <c r="O27" s="172">
        <f>IFERROR(__xludf.DUMMYFUNCTION("""COMPUTED_VALUE"""),0.0)</f>
        <v>0</v>
      </c>
      <c r="P27" s="172">
        <f>IFERROR(__xludf.DUMMYFUNCTION("""COMPUTED_VALUE"""),0.0)</f>
        <v>0</v>
      </c>
      <c r="Q27" s="172">
        <f>IFERROR(__xludf.DUMMYFUNCTION("""COMPUTED_VALUE"""),0.0)</f>
        <v>0</v>
      </c>
      <c r="R27" s="172">
        <f>IFERROR(__xludf.DUMMYFUNCTION("""COMPUTED_VALUE"""),0.0)</f>
        <v>0</v>
      </c>
      <c r="S27" s="172">
        <f>IFERROR(__xludf.DUMMYFUNCTION("""COMPUTED_VALUE"""),0.0)</f>
        <v>0</v>
      </c>
      <c r="T27" s="172">
        <f>IFERROR(__xludf.DUMMYFUNCTION("""COMPUTED_VALUE"""),10.0)</f>
        <v>10</v>
      </c>
      <c r="U27" s="55"/>
      <c r="V27" s="80"/>
      <c r="W27" s="14">
        <f t="shared" ref="W27:AC27" si="27">L27</f>
        <v>44855</v>
      </c>
      <c r="X27" s="172">
        <f t="shared" si="27"/>
        <v>10</v>
      </c>
      <c r="Y27" s="172">
        <f t="shared" si="27"/>
        <v>10</v>
      </c>
      <c r="Z27" s="172">
        <f t="shared" si="27"/>
        <v>0</v>
      </c>
      <c r="AA27" s="172">
        <f t="shared" si="27"/>
        <v>0</v>
      </c>
      <c r="AB27" s="172">
        <f t="shared" si="27"/>
        <v>0</v>
      </c>
      <c r="AC27" s="172">
        <f t="shared" si="27"/>
        <v>0</v>
      </c>
    </row>
    <row r="28">
      <c r="B28" s="12">
        <f>IFERROR(__xludf.DUMMYFUNCTION("""COMPUTED_VALUE"""),44844.0)</f>
        <v>44844</v>
      </c>
      <c r="C28" s="54">
        <f>IFERROR(__xludf.DUMMYFUNCTION("""COMPUTED_VALUE"""),13.0)</f>
        <v>13</v>
      </c>
      <c r="D28" s="54">
        <f>IFERROR(__xludf.DUMMYFUNCTION("""COMPUTED_VALUE"""),13.0)</f>
        <v>13</v>
      </c>
      <c r="E28" s="54">
        <f>IFERROR(__xludf.DUMMYFUNCTION("""COMPUTED_VALUE"""),0.0)</f>
        <v>0</v>
      </c>
      <c r="F28" s="54">
        <f>IFERROR(__xludf.DUMMYFUNCTION("""COMPUTED_VALUE"""),0.0)</f>
        <v>0</v>
      </c>
      <c r="G28" s="54">
        <f>IFERROR(__xludf.DUMMYFUNCTION("""COMPUTED_VALUE"""),0.0)</f>
        <v>0</v>
      </c>
      <c r="H28" s="54">
        <f>IFERROR(__xludf.DUMMYFUNCTION("""COMPUTED_VALUE"""),0.0)</f>
        <v>0</v>
      </c>
      <c r="I28" s="54">
        <f>IFERROR(__xludf.DUMMYFUNCTION("""COMPUTED_VALUE"""),0.0)</f>
        <v>0</v>
      </c>
      <c r="J28" s="54" t="b">
        <f>IFERROR(__xludf.DUMMYFUNCTION("""COMPUTED_VALUE"""),TRUE)</f>
        <v>1</v>
      </c>
      <c r="K28" s="80"/>
      <c r="L28" s="14">
        <f>IFERROR(__xludf.DUMMYFUNCTION("""COMPUTED_VALUE"""),44858.0)</f>
        <v>44858</v>
      </c>
      <c r="M28" s="172">
        <f>IFERROR(__xludf.DUMMYFUNCTION("""COMPUTED_VALUE"""),11.0)</f>
        <v>11</v>
      </c>
      <c r="N28" s="172">
        <f>IFERROR(__xludf.DUMMYFUNCTION("""COMPUTED_VALUE"""),11.0)</f>
        <v>11</v>
      </c>
      <c r="O28" s="172">
        <f>IFERROR(__xludf.DUMMYFUNCTION("""COMPUTED_VALUE"""),0.0)</f>
        <v>0</v>
      </c>
      <c r="P28" s="172">
        <f>IFERROR(__xludf.DUMMYFUNCTION("""COMPUTED_VALUE"""),0.0)</f>
        <v>0</v>
      </c>
      <c r="Q28" s="172">
        <f>IFERROR(__xludf.DUMMYFUNCTION("""COMPUTED_VALUE"""),0.0)</f>
        <v>0</v>
      </c>
      <c r="R28" s="172">
        <f>IFERROR(__xludf.DUMMYFUNCTION("""COMPUTED_VALUE"""),0.0)</f>
        <v>0</v>
      </c>
      <c r="S28" s="172">
        <f>IFERROR(__xludf.DUMMYFUNCTION("""COMPUTED_VALUE"""),0.0)</f>
        <v>0</v>
      </c>
      <c r="T28" s="172">
        <f>IFERROR(__xludf.DUMMYFUNCTION("""COMPUTED_VALUE"""),11.0)</f>
        <v>11</v>
      </c>
      <c r="U28" s="55"/>
      <c r="V28" s="80"/>
      <c r="W28" s="14">
        <f t="shared" ref="W28:AC28" si="28">L28</f>
        <v>44858</v>
      </c>
      <c r="X28" s="172">
        <f t="shared" si="28"/>
        <v>11</v>
      </c>
      <c r="Y28" s="172">
        <f t="shared" si="28"/>
        <v>11</v>
      </c>
      <c r="Z28" s="172">
        <f t="shared" si="28"/>
        <v>0</v>
      </c>
      <c r="AA28" s="172">
        <f t="shared" si="28"/>
        <v>0</v>
      </c>
      <c r="AB28" s="172">
        <f t="shared" si="28"/>
        <v>0</v>
      </c>
      <c r="AC28" s="172">
        <f t="shared" si="28"/>
        <v>0</v>
      </c>
    </row>
    <row r="29">
      <c r="B29" s="12">
        <f>IFERROR(__xludf.DUMMYFUNCTION("""COMPUTED_VALUE"""),44845.0)</f>
        <v>44845</v>
      </c>
      <c r="C29" s="54">
        <f>IFERROR(__xludf.DUMMYFUNCTION("""COMPUTED_VALUE"""),12.0)</f>
        <v>12</v>
      </c>
      <c r="D29" s="54">
        <f>IFERROR(__xludf.DUMMYFUNCTION("""COMPUTED_VALUE"""),12.0)</f>
        <v>12</v>
      </c>
      <c r="E29" s="54">
        <f>IFERROR(__xludf.DUMMYFUNCTION("""COMPUTED_VALUE"""),0.0)</f>
        <v>0</v>
      </c>
      <c r="F29" s="54">
        <f>IFERROR(__xludf.DUMMYFUNCTION("""COMPUTED_VALUE"""),0.0)</f>
        <v>0</v>
      </c>
      <c r="G29" s="54">
        <f>IFERROR(__xludf.DUMMYFUNCTION("""COMPUTED_VALUE"""),0.0)</f>
        <v>0</v>
      </c>
      <c r="H29" s="54">
        <f>IFERROR(__xludf.DUMMYFUNCTION("""COMPUTED_VALUE"""),0.0)</f>
        <v>0</v>
      </c>
      <c r="I29" s="54">
        <f>IFERROR(__xludf.DUMMYFUNCTION("""COMPUTED_VALUE"""),0.0)</f>
        <v>0</v>
      </c>
      <c r="J29" s="54" t="b">
        <f>IFERROR(__xludf.DUMMYFUNCTION("""COMPUTED_VALUE"""),TRUE)</f>
        <v>1</v>
      </c>
      <c r="K29" s="80"/>
      <c r="L29" s="14">
        <f>IFERROR(__xludf.DUMMYFUNCTION("""COMPUTED_VALUE"""),44860.0)</f>
        <v>44860</v>
      </c>
      <c r="M29" s="172">
        <f>IFERROR(__xludf.DUMMYFUNCTION("""COMPUTED_VALUE"""),8.0)</f>
        <v>8</v>
      </c>
      <c r="N29" s="172">
        <f>IFERROR(__xludf.DUMMYFUNCTION("""COMPUTED_VALUE"""),8.0)</f>
        <v>8</v>
      </c>
      <c r="O29" s="172">
        <f>IFERROR(__xludf.DUMMYFUNCTION("""COMPUTED_VALUE"""),0.0)</f>
        <v>0</v>
      </c>
      <c r="P29" s="172">
        <f>IFERROR(__xludf.DUMMYFUNCTION("""COMPUTED_VALUE"""),0.0)</f>
        <v>0</v>
      </c>
      <c r="Q29" s="172">
        <f>IFERROR(__xludf.DUMMYFUNCTION("""COMPUTED_VALUE"""),0.0)</f>
        <v>0</v>
      </c>
      <c r="R29" s="172">
        <f>IFERROR(__xludf.DUMMYFUNCTION("""COMPUTED_VALUE"""),0.0)</f>
        <v>0</v>
      </c>
      <c r="S29" s="172">
        <f>IFERROR(__xludf.DUMMYFUNCTION("""COMPUTED_VALUE"""),0.0)</f>
        <v>0</v>
      </c>
      <c r="T29" s="172">
        <f>IFERROR(__xludf.DUMMYFUNCTION("""COMPUTED_VALUE"""),8.0)</f>
        <v>8</v>
      </c>
      <c r="U29" s="55"/>
      <c r="V29" s="80"/>
      <c r="W29" s="14">
        <f t="shared" ref="W29:AC29" si="29">L29</f>
        <v>44860</v>
      </c>
      <c r="X29" s="172">
        <f t="shared" si="29"/>
        <v>8</v>
      </c>
      <c r="Y29" s="172">
        <f t="shared" si="29"/>
        <v>8</v>
      </c>
      <c r="Z29" s="172">
        <f t="shared" si="29"/>
        <v>0</v>
      </c>
      <c r="AA29" s="172">
        <f t="shared" si="29"/>
        <v>0</v>
      </c>
      <c r="AB29" s="172">
        <f t="shared" si="29"/>
        <v>0</v>
      </c>
      <c r="AC29" s="172">
        <f t="shared" si="29"/>
        <v>0</v>
      </c>
    </row>
    <row r="30">
      <c r="B30" s="12">
        <f>IFERROR(__xludf.DUMMYFUNCTION("""COMPUTED_VALUE"""),44846.0)</f>
        <v>44846</v>
      </c>
      <c r="C30" s="54">
        <f>IFERROR(__xludf.DUMMYFUNCTION("""COMPUTED_VALUE"""),10.0)</f>
        <v>10</v>
      </c>
      <c r="D30" s="54">
        <f>IFERROR(__xludf.DUMMYFUNCTION("""COMPUTED_VALUE"""),10.0)</f>
        <v>10</v>
      </c>
      <c r="E30" s="54">
        <f>IFERROR(__xludf.DUMMYFUNCTION("""COMPUTED_VALUE"""),0.0)</f>
        <v>0</v>
      </c>
      <c r="F30" s="54">
        <f>IFERROR(__xludf.DUMMYFUNCTION("""COMPUTED_VALUE"""),0.0)</f>
        <v>0</v>
      </c>
      <c r="G30" s="54">
        <f>IFERROR(__xludf.DUMMYFUNCTION("""COMPUTED_VALUE"""),0.0)</f>
        <v>0</v>
      </c>
      <c r="H30" s="54">
        <f>IFERROR(__xludf.DUMMYFUNCTION("""COMPUTED_VALUE"""),0.0)</f>
        <v>0</v>
      </c>
      <c r="I30" s="54">
        <f>IFERROR(__xludf.DUMMYFUNCTION("""COMPUTED_VALUE"""),0.0)</f>
        <v>0</v>
      </c>
      <c r="J30" s="54" t="b">
        <f>IFERROR(__xludf.DUMMYFUNCTION("""COMPUTED_VALUE"""),TRUE)</f>
        <v>1</v>
      </c>
      <c r="K30" s="80"/>
      <c r="L30" s="14">
        <f>IFERROR(__xludf.DUMMYFUNCTION("""COMPUTED_VALUE"""),44861.0)</f>
        <v>44861</v>
      </c>
      <c r="M30" s="172">
        <f>IFERROR(__xludf.DUMMYFUNCTION("""COMPUTED_VALUE"""),21.0)</f>
        <v>21</v>
      </c>
      <c r="N30" s="172">
        <f>IFERROR(__xludf.DUMMYFUNCTION("""COMPUTED_VALUE"""),21.0)</f>
        <v>21</v>
      </c>
      <c r="O30" s="172">
        <f>IFERROR(__xludf.DUMMYFUNCTION("""COMPUTED_VALUE"""),0.0)</f>
        <v>0</v>
      </c>
      <c r="P30" s="172">
        <f>IFERROR(__xludf.DUMMYFUNCTION("""COMPUTED_VALUE"""),0.0)</f>
        <v>0</v>
      </c>
      <c r="Q30" s="172">
        <f>IFERROR(__xludf.DUMMYFUNCTION("""COMPUTED_VALUE"""),0.0)</f>
        <v>0</v>
      </c>
      <c r="R30" s="172">
        <f>IFERROR(__xludf.DUMMYFUNCTION("""COMPUTED_VALUE"""),0.0)</f>
        <v>0</v>
      </c>
      <c r="S30" s="172">
        <f>IFERROR(__xludf.DUMMYFUNCTION("""COMPUTED_VALUE"""),0.0)</f>
        <v>0</v>
      </c>
      <c r="T30" s="172">
        <f>IFERROR(__xludf.DUMMYFUNCTION("""COMPUTED_VALUE"""),21.0)</f>
        <v>21</v>
      </c>
      <c r="U30" s="55"/>
      <c r="V30" s="80"/>
      <c r="W30" s="14">
        <f t="shared" ref="W30:AC30" si="30">L30</f>
        <v>44861</v>
      </c>
      <c r="X30" s="172">
        <f t="shared" si="30"/>
        <v>21</v>
      </c>
      <c r="Y30" s="172">
        <f t="shared" si="30"/>
        <v>21</v>
      </c>
      <c r="Z30" s="172">
        <f t="shared" si="30"/>
        <v>0</v>
      </c>
      <c r="AA30" s="172">
        <f t="shared" si="30"/>
        <v>0</v>
      </c>
      <c r="AB30" s="172">
        <f t="shared" si="30"/>
        <v>0</v>
      </c>
      <c r="AC30" s="172">
        <f t="shared" si="30"/>
        <v>0</v>
      </c>
    </row>
    <row r="31">
      <c r="B31" s="12">
        <f>IFERROR(__xludf.DUMMYFUNCTION("""COMPUTED_VALUE"""),44847.0)</f>
        <v>44847</v>
      </c>
      <c r="C31" s="54">
        <f>IFERROR(__xludf.DUMMYFUNCTION("""COMPUTED_VALUE"""),11.0)</f>
        <v>11</v>
      </c>
      <c r="D31" s="54">
        <f>IFERROR(__xludf.DUMMYFUNCTION("""COMPUTED_VALUE"""),11.0)</f>
        <v>11</v>
      </c>
      <c r="E31" s="54">
        <f>IFERROR(__xludf.DUMMYFUNCTION("""COMPUTED_VALUE"""),0.0)</f>
        <v>0</v>
      </c>
      <c r="F31" s="54">
        <f>IFERROR(__xludf.DUMMYFUNCTION("""COMPUTED_VALUE"""),0.0)</f>
        <v>0</v>
      </c>
      <c r="G31" s="54">
        <f>IFERROR(__xludf.DUMMYFUNCTION("""COMPUTED_VALUE"""),0.0)</f>
        <v>0</v>
      </c>
      <c r="H31" s="54">
        <f>IFERROR(__xludf.DUMMYFUNCTION("""COMPUTED_VALUE"""),0.0)</f>
        <v>0</v>
      </c>
      <c r="I31" s="54">
        <f>IFERROR(__xludf.DUMMYFUNCTION("""COMPUTED_VALUE"""),0.0)</f>
        <v>0</v>
      </c>
      <c r="J31" s="54" t="b">
        <f>IFERROR(__xludf.DUMMYFUNCTION("""COMPUTED_VALUE"""),TRUE)</f>
        <v>1</v>
      </c>
      <c r="K31" s="80"/>
      <c r="L31" s="14">
        <f>IFERROR(__xludf.DUMMYFUNCTION("""COMPUTED_VALUE"""),44862.0)</f>
        <v>44862</v>
      </c>
      <c r="M31" s="172">
        <f>IFERROR(__xludf.DUMMYFUNCTION("""COMPUTED_VALUE"""),10.0)</f>
        <v>10</v>
      </c>
      <c r="N31" s="172">
        <f>IFERROR(__xludf.DUMMYFUNCTION("""COMPUTED_VALUE"""),10.0)</f>
        <v>10</v>
      </c>
      <c r="O31" s="172">
        <f>IFERROR(__xludf.DUMMYFUNCTION("""COMPUTED_VALUE"""),0.0)</f>
        <v>0</v>
      </c>
      <c r="P31" s="172">
        <f>IFERROR(__xludf.DUMMYFUNCTION("""COMPUTED_VALUE"""),0.0)</f>
        <v>0</v>
      </c>
      <c r="Q31" s="172">
        <f>IFERROR(__xludf.DUMMYFUNCTION("""COMPUTED_VALUE"""),0.0)</f>
        <v>0</v>
      </c>
      <c r="R31" s="172">
        <f>IFERROR(__xludf.DUMMYFUNCTION("""COMPUTED_VALUE"""),0.0)</f>
        <v>0</v>
      </c>
      <c r="S31" s="172">
        <f>IFERROR(__xludf.DUMMYFUNCTION("""COMPUTED_VALUE"""),0.0)</f>
        <v>0</v>
      </c>
      <c r="T31" s="172">
        <f>IFERROR(__xludf.DUMMYFUNCTION("""COMPUTED_VALUE"""),10.0)</f>
        <v>10</v>
      </c>
      <c r="U31" s="55"/>
      <c r="V31" s="80"/>
      <c r="W31" s="14">
        <f t="shared" ref="W31:AC31" si="31">L31</f>
        <v>44862</v>
      </c>
      <c r="X31" s="172">
        <f t="shared" si="31"/>
        <v>10</v>
      </c>
      <c r="Y31" s="172">
        <f t="shared" si="31"/>
        <v>10</v>
      </c>
      <c r="Z31" s="172">
        <f t="shared" si="31"/>
        <v>0</v>
      </c>
      <c r="AA31" s="172">
        <f t="shared" si="31"/>
        <v>0</v>
      </c>
      <c r="AB31" s="172">
        <f t="shared" si="31"/>
        <v>0</v>
      </c>
      <c r="AC31" s="172">
        <f t="shared" si="31"/>
        <v>0</v>
      </c>
    </row>
    <row r="32">
      <c r="B32" s="12">
        <f>IFERROR(__xludf.DUMMYFUNCTION("""COMPUTED_VALUE"""),44851.0)</f>
        <v>44851</v>
      </c>
      <c r="C32" s="54">
        <f>IFERROR(__xludf.DUMMYFUNCTION("""COMPUTED_VALUE"""),11.0)</f>
        <v>11</v>
      </c>
      <c r="D32" s="54">
        <f>IFERROR(__xludf.DUMMYFUNCTION("""COMPUTED_VALUE"""),11.0)</f>
        <v>11</v>
      </c>
      <c r="E32" s="54">
        <f>IFERROR(__xludf.DUMMYFUNCTION("""COMPUTED_VALUE"""),0.0)</f>
        <v>0</v>
      </c>
      <c r="F32" s="54">
        <f>IFERROR(__xludf.DUMMYFUNCTION("""COMPUTED_VALUE"""),0.0)</f>
        <v>0</v>
      </c>
      <c r="G32" s="54">
        <f>IFERROR(__xludf.DUMMYFUNCTION("""COMPUTED_VALUE"""),0.0)</f>
        <v>0</v>
      </c>
      <c r="H32" s="54">
        <f>IFERROR(__xludf.DUMMYFUNCTION("""COMPUTED_VALUE"""),0.0)</f>
        <v>0</v>
      </c>
      <c r="I32" s="54">
        <f>IFERROR(__xludf.DUMMYFUNCTION("""COMPUTED_VALUE"""),0.0)</f>
        <v>0</v>
      </c>
      <c r="J32" s="54" t="b">
        <f>IFERROR(__xludf.DUMMYFUNCTION("""COMPUTED_VALUE"""),TRUE)</f>
        <v>1</v>
      </c>
      <c r="K32" s="80"/>
      <c r="L32" s="14">
        <f>IFERROR(__xludf.DUMMYFUNCTION("""COMPUTED_VALUE"""),44865.0)</f>
        <v>44865</v>
      </c>
      <c r="M32" s="172">
        <f>IFERROR(__xludf.DUMMYFUNCTION("""COMPUTED_VALUE"""),9.0)</f>
        <v>9</v>
      </c>
      <c r="N32" s="172">
        <f>IFERROR(__xludf.DUMMYFUNCTION("""COMPUTED_VALUE"""),9.0)</f>
        <v>9</v>
      </c>
      <c r="O32" s="172">
        <f>IFERROR(__xludf.DUMMYFUNCTION("""COMPUTED_VALUE"""),0.0)</f>
        <v>0</v>
      </c>
      <c r="P32" s="172">
        <f>IFERROR(__xludf.DUMMYFUNCTION("""COMPUTED_VALUE"""),0.0)</f>
        <v>0</v>
      </c>
      <c r="Q32" s="172">
        <f>IFERROR(__xludf.DUMMYFUNCTION("""COMPUTED_VALUE"""),0.0)</f>
        <v>0</v>
      </c>
      <c r="R32" s="172">
        <f>IFERROR(__xludf.DUMMYFUNCTION("""COMPUTED_VALUE"""),0.0)</f>
        <v>0</v>
      </c>
      <c r="S32" s="172">
        <f>IFERROR(__xludf.DUMMYFUNCTION("""COMPUTED_VALUE"""),0.0)</f>
        <v>0</v>
      </c>
      <c r="T32" s="172">
        <f>IFERROR(__xludf.DUMMYFUNCTION("""COMPUTED_VALUE"""),9.0)</f>
        <v>9</v>
      </c>
      <c r="U32" s="55"/>
      <c r="V32" s="80"/>
      <c r="W32" s="14">
        <f t="shared" ref="W32:AC32" si="32">L32</f>
        <v>44865</v>
      </c>
      <c r="X32" s="172">
        <f t="shared" si="32"/>
        <v>9</v>
      </c>
      <c r="Y32" s="172">
        <f t="shared" si="32"/>
        <v>9</v>
      </c>
      <c r="Z32" s="172">
        <f t="shared" si="32"/>
        <v>0</v>
      </c>
      <c r="AA32" s="172">
        <f t="shared" si="32"/>
        <v>0</v>
      </c>
      <c r="AB32" s="172">
        <f t="shared" si="32"/>
        <v>0</v>
      </c>
      <c r="AC32" s="172">
        <f t="shared" si="32"/>
        <v>0</v>
      </c>
    </row>
    <row r="33">
      <c r="B33" s="12">
        <f>IFERROR(__xludf.DUMMYFUNCTION("""COMPUTED_VALUE"""),44852.0)</f>
        <v>44852</v>
      </c>
      <c r="C33" s="54">
        <f>IFERROR(__xludf.DUMMYFUNCTION("""COMPUTED_VALUE"""),9.0)</f>
        <v>9</v>
      </c>
      <c r="D33" s="54">
        <f>IFERROR(__xludf.DUMMYFUNCTION("""COMPUTED_VALUE"""),9.0)</f>
        <v>9</v>
      </c>
      <c r="E33" s="54">
        <f>IFERROR(__xludf.DUMMYFUNCTION("""COMPUTED_VALUE"""),0.0)</f>
        <v>0</v>
      </c>
      <c r="F33" s="54">
        <f>IFERROR(__xludf.DUMMYFUNCTION("""COMPUTED_VALUE"""),0.0)</f>
        <v>0</v>
      </c>
      <c r="G33" s="54">
        <f>IFERROR(__xludf.DUMMYFUNCTION("""COMPUTED_VALUE"""),0.0)</f>
        <v>0</v>
      </c>
      <c r="H33" s="54">
        <f>IFERROR(__xludf.DUMMYFUNCTION("""COMPUTED_VALUE"""),0.0)</f>
        <v>0</v>
      </c>
      <c r="I33" s="54">
        <f>IFERROR(__xludf.DUMMYFUNCTION("""COMPUTED_VALUE"""),0.0)</f>
        <v>0</v>
      </c>
      <c r="J33" s="54" t="b">
        <f>IFERROR(__xludf.DUMMYFUNCTION("""COMPUTED_VALUE"""),TRUE)</f>
        <v>1</v>
      </c>
      <c r="K33" s="80"/>
      <c r="L33" s="14">
        <f>IFERROR(__xludf.DUMMYFUNCTION("""COMPUTED_VALUE"""),44866.0)</f>
        <v>44866</v>
      </c>
      <c r="M33" s="172">
        <f>IFERROR(__xludf.DUMMYFUNCTION("""COMPUTED_VALUE"""),7.0)</f>
        <v>7</v>
      </c>
      <c r="N33" s="172">
        <f>IFERROR(__xludf.DUMMYFUNCTION("""COMPUTED_VALUE"""),7.0)</f>
        <v>7</v>
      </c>
      <c r="O33" s="172">
        <f>IFERROR(__xludf.DUMMYFUNCTION("""COMPUTED_VALUE"""),0.0)</f>
        <v>0</v>
      </c>
      <c r="P33" s="172">
        <f>IFERROR(__xludf.DUMMYFUNCTION("""COMPUTED_VALUE"""),0.0)</f>
        <v>0</v>
      </c>
      <c r="Q33" s="172">
        <f>IFERROR(__xludf.DUMMYFUNCTION("""COMPUTED_VALUE"""),0.0)</f>
        <v>0</v>
      </c>
      <c r="R33" s="172">
        <f>IFERROR(__xludf.DUMMYFUNCTION("""COMPUTED_VALUE"""),0.0)</f>
        <v>0</v>
      </c>
      <c r="S33" s="172">
        <f>IFERROR(__xludf.DUMMYFUNCTION("""COMPUTED_VALUE"""),0.0)</f>
        <v>0</v>
      </c>
      <c r="T33" s="172">
        <f>IFERROR(__xludf.DUMMYFUNCTION("""COMPUTED_VALUE"""),7.0)</f>
        <v>7</v>
      </c>
      <c r="U33" s="55"/>
      <c r="V33" s="80"/>
      <c r="W33" s="14">
        <f t="shared" ref="W33:AC33" si="33">L33</f>
        <v>44866</v>
      </c>
      <c r="X33" s="172">
        <f t="shared" si="33"/>
        <v>7</v>
      </c>
      <c r="Y33" s="172">
        <f t="shared" si="33"/>
        <v>7</v>
      </c>
      <c r="Z33" s="172">
        <f t="shared" si="33"/>
        <v>0</v>
      </c>
      <c r="AA33" s="172">
        <f t="shared" si="33"/>
        <v>0</v>
      </c>
      <c r="AB33" s="172">
        <f t="shared" si="33"/>
        <v>0</v>
      </c>
      <c r="AC33" s="172">
        <f t="shared" si="33"/>
        <v>0</v>
      </c>
    </row>
    <row r="34">
      <c r="B34" s="12">
        <f>IFERROR(__xludf.DUMMYFUNCTION("""COMPUTED_VALUE"""),44853.0)</f>
        <v>44853</v>
      </c>
      <c r="C34" s="54">
        <f>IFERROR(__xludf.DUMMYFUNCTION("""COMPUTED_VALUE"""),8.0)</f>
        <v>8</v>
      </c>
      <c r="D34" s="54">
        <f>IFERROR(__xludf.DUMMYFUNCTION("""COMPUTED_VALUE"""),8.0)</f>
        <v>8</v>
      </c>
      <c r="E34" s="54">
        <f>IFERROR(__xludf.DUMMYFUNCTION("""COMPUTED_VALUE"""),0.0)</f>
        <v>0</v>
      </c>
      <c r="F34" s="54">
        <f>IFERROR(__xludf.DUMMYFUNCTION("""COMPUTED_VALUE"""),0.0)</f>
        <v>0</v>
      </c>
      <c r="G34" s="54">
        <f>IFERROR(__xludf.DUMMYFUNCTION("""COMPUTED_VALUE"""),0.0)</f>
        <v>0</v>
      </c>
      <c r="H34" s="54">
        <f>IFERROR(__xludf.DUMMYFUNCTION("""COMPUTED_VALUE"""),0.0)</f>
        <v>0</v>
      </c>
      <c r="I34" s="54">
        <f>IFERROR(__xludf.DUMMYFUNCTION("""COMPUTED_VALUE"""),0.0)</f>
        <v>0</v>
      </c>
      <c r="J34" s="54" t="b">
        <f>IFERROR(__xludf.DUMMYFUNCTION("""COMPUTED_VALUE"""),TRUE)</f>
        <v>1</v>
      </c>
      <c r="K34" s="80"/>
      <c r="L34" s="14">
        <f>IFERROR(__xludf.DUMMYFUNCTION("""COMPUTED_VALUE"""),44867.0)</f>
        <v>44867</v>
      </c>
      <c r="M34" s="172">
        <f>IFERROR(__xludf.DUMMYFUNCTION("""COMPUTED_VALUE"""),6.0)</f>
        <v>6</v>
      </c>
      <c r="N34" s="172">
        <f>IFERROR(__xludf.DUMMYFUNCTION("""COMPUTED_VALUE"""),6.0)</f>
        <v>6</v>
      </c>
      <c r="O34" s="172">
        <f>IFERROR(__xludf.DUMMYFUNCTION("""COMPUTED_VALUE"""),0.0)</f>
        <v>0</v>
      </c>
      <c r="P34" s="172">
        <f>IFERROR(__xludf.DUMMYFUNCTION("""COMPUTED_VALUE"""),0.0)</f>
        <v>0</v>
      </c>
      <c r="Q34" s="172">
        <f>IFERROR(__xludf.DUMMYFUNCTION("""COMPUTED_VALUE"""),0.0)</f>
        <v>0</v>
      </c>
      <c r="R34" s="172">
        <f>IFERROR(__xludf.DUMMYFUNCTION("""COMPUTED_VALUE"""),0.0)</f>
        <v>0</v>
      </c>
      <c r="S34" s="172">
        <f>IFERROR(__xludf.DUMMYFUNCTION("""COMPUTED_VALUE"""),0.0)</f>
        <v>0</v>
      </c>
      <c r="T34" s="172">
        <f>IFERROR(__xludf.DUMMYFUNCTION("""COMPUTED_VALUE"""),6.0)</f>
        <v>6</v>
      </c>
      <c r="U34" s="55"/>
      <c r="V34" s="80"/>
      <c r="W34" s="14">
        <f t="shared" ref="W34:AC34" si="34">L34</f>
        <v>44867</v>
      </c>
      <c r="X34" s="172">
        <f t="shared" si="34"/>
        <v>6</v>
      </c>
      <c r="Y34" s="172">
        <f t="shared" si="34"/>
        <v>6</v>
      </c>
      <c r="Z34" s="172">
        <f t="shared" si="34"/>
        <v>0</v>
      </c>
      <c r="AA34" s="172">
        <f t="shared" si="34"/>
        <v>0</v>
      </c>
      <c r="AB34" s="172">
        <f t="shared" si="34"/>
        <v>0</v>
      </c>
      <c r="AC34" s="172">
        <f t="shared" si="34"/>
        <v>0</v>
      </c>
    </row>
    <row r="35">
      <c r="B35" s="12">
        <f>IFERROR(__xludf.DUMMYFUNCTION("""COMPUTED_VALUE"""),44854.0)</f>
        <v>44854</v>
      </c>
      <c r="C35" s="54">
        <f>IFERROR(__xludf.DUMMYFUNCTION("""COMPUTED_VALUE"""),8.0)</f>
        <v>8</v>
      </c>
      <c r="D35" s="54">
        <f>IFERROR(__xludf.DUMMYFUNCTION("""COMPUTED_VALUE"""),8.0)</f>
        <v>8</v>
      </c>
      <c r="E35" s="54">
        <f>IFERROR(__xludf.DUMMYFUNCTION("""COMPUTED_VALUE"""),0.0)</f>
        <v>0</v>
      </c>
      <c r="F35" s="54">
        <f>IFERROR(__xludf.DUMMYFUNCTION("""COMPUTED_VALUE"""),0.0)</f>
        <v>0</v>
      </c>
      <c r="G35" s="54">
        <f>IFERROR(__xludf.DUMMYFUNCTION("""COMPUTED_VALUE"""),0.0)</f>
        <v>0</v>
      </c>
      <c r="H35" s="54">
        <f>IFERROR(__xludf.DUMMYFUNCTION("""COMPUTED_VALUE"""),0.0)</f>
        <v>0</v>
      </c>
      <c r="I35" s="54">
        <f>IFERROR(__xludf.DUMMYFUNCTION("""COMPUTED_VALUE"""),0.0)</f>
        <v>0</v>
      </c>
      <c r="J35" s="54" t="b">
        <f>IFERROR(__xludf.DUMMYFUNCTION("""COMPUTED_VALUE"""),TRUE)</f>
        <v>1</v>
      </c>
      <c r="K35" s="80"/>
      <c r="L35" s="14">
        <f>IFERROR(__xludf.DUMMYFUNCTION("""COMPUTED_VALUE"""),44868.0)</f>
        <v>44868</v>
      </c>
      <c r="M35" s="172">
        <f>IFERROR(__xludf.DUMMYFUNCTION("""COMPUTED_VALUE"""),6.0)</f>
        <v>6</v>
      </c>
      <c r="N35" s="172">
        <f>IFERROR(__xludf.DUMMYFUNCTION("""COMPUTED_VALUE"""),6.0)</f>
        <v>6</v>
      </c>
      <c r="O35" s="172">
        <f>IFERROR(__xludf.DUMMYFUNCTION("""COMPUTED_VALUE"""),0.0)</f>
        <v>0</v>
      </c>
      <c r="P35" s="172">
        <f>IFERROR(__xludf.DUMMYFUNCTION("""COMPUTED_VALUE"""),0.0)</f>
        <v>0</v>
      </c>
      <c r="Q35" s="172">
        <f>IFERROR(__xludf.DUMMYFUNCTION("""COMPUTED_VALUE"""),0.0)</f>
        <v>0</v>
      </c>
      <c r="R35" s="172">
        <f>IFERROR(__xludf.DUMMYFUNCTION("""COMPUTED_VALUE"""),0.0)</f>
        <v>0</v>
      </c>
      <c r="S35" s="172">
        <f>IFERROR(__xludf.DUMMYFUNCTION("""COMPUTED_VALUE"""),0.0)</f>
        <v>0</v>
      </c>
      <c r="T35" s="172">
        <f>IFERROR(__xludf.DUMMYFUNCTION("""COMPUTED_VALUE"""),6.0)</f>
        <v>6</v>
      </c>
      <c r="U35" s="55"/>
      <c r="V35" s="80"/>
      <c r="W35" s="14">
        <f t="shared" ref="W35:AC35" si="35">L35</f>
        <v>44868</v>
      </c>
      <c r="X35" s="172">
        <f t="shared" si="35"/>
        <v>6</v>
      </c>
      <c r="Y35" s="172">
        <f t="shared" si="35"/>
        <v>6</v>
      </c>
      <c r="Z35" s="172">
        <f t="shared" si="35"/>
        <v>0</v>
      </c>
      <c r="AA35" s="172">
        <f t="shared" si="35"/>
        <v>0</v>
      </c>
      <c r="AB35" s="172">
        <f t="shared" si="35"/>
        <v>0</v>
      </c>
      <c r="AC35" s="172">
        <f t="shared" si="35"/>
        <v>0</v>
      </c>
    </row>
    <row r="36">
      <c r="B36" s="12">
        <f>IFERROR(__xludf.DUMMYFUNCTION("""COMPUTED_VALUE"""),44855.0)</f>
        <v>44855</v>
      </c>
      <c r="C36" s="54">
        <f>IFERROR(__xludf.DUMMYFUNCTION("""COMPUTED_VALUE"""),10.0)</f>
        <v>10</v>
      </c>
      <c r="D36" s="54">
        <f>IFERROR(__xludf.DUMMYFUNCTION("""COMPUTED_VALUE"""),10.0)</f>
        <v>10</v>
      </c>
      <c r="E36" s="54">
        <f>IFERROR(__xludf.DUMMYFUNCTION("""COMPUTED_VALUE"""),0.0)</f>
        <v>0</v>
      </c>
      <c r="F36" s="54">
        <f>IFERROR(__xludf.DUMMYFUNCTION("""COMPUTED_VALUE"""),0.0)</f>
        <v>0</v>
      </c>
      <c r="G36" s="54">
        <f>IFERROR(__xludf.DUMMYFUNCTION("""COMPUTED_VALUE"""),0.0)</f>
        <v>0</v>
      </c>
      <c r="H36" s="54">
        <f>IFERROR(__xludf.DUMMYFUNCTION("""COMPUTED_VALUE"""),0.0)</f>
        <v>0</v>
      </c>
      <c r="I36" s="54">
        <f>IFERROR(__xludf.DUMMYFUNCTION("""COMPUTED_VALUE"""),0.0)</f>
        <v>0</v>
      </c>
      <c r="J36" s="54" t="b">
        <f>IFERROR(__xludf.DUMMYFUNCTION("""COMPUTED_VALUE"""),TRUE)</f>
        <v>1</v>
      </c>
      <c r="K36" s="80"/>
      <c r="L36" s="14">
        <f>IFERROR(__xludf.DUMMYFUNCTION("""COMPUTED_VALUE"""),44869.0)</f>
        <v>44869</v>
      </c>
      <c r="M36" s="172">
        <f>IFERROR(__xludf.DUMMYFUNCTION("""COMPUTED_VALUE"""),5.0)</f>
        <v>5</v>
      </c>
      <c r="N36" s="172">
        <f>IFERROR(__xludf.DUMMYFUNCTION("""COMPUTED_VALUE"""),5.0)</f>
        <v>5</v>
      </c>
      <c r="O36" s="172">
        <f>IFERROR(__xludf.DUMMYFUNCTION("""COMPUTED_VALUE"""),0.0)</f>
        <v>0</v>
      </c>
      <c r="P36" s="172">
        <f>IFERROR(__xludf.DUMMYFUNCTION("""COMPUTED_VALUE"""),0.0)</f>
        <v>0</v>
      </c>
      <c r="Q36" s="172">
        <f>IFERROR(__xludf.DUMMYFUNCTION("""COMPUTED_VALUE"""),0.0)</f>
        <v>0</v>
      </c>
      <c r="R36" s="172">
        <f>IFERROR(__xludf.DUMMYFUNCTION("""COMPUTED_VALUE"""),0.0)</f>
        <v>0</v>
      </c>
      <c r="S36" s="172">
        <f>IFERROR(__xludf.DUMMYFUNCTION("""COMPUTED_VALUE"""),0.0)</f>
        <v>0</v>
      </c>
      <c r="T36" s="172">
        <f>IFERROR(__xludf.DUMMYFUNCTION("""COMPUTED_VALUE"""),5.0)</f>
        <v>5</v>
      </c>
      <c r="U36" s="55"/>
      <c r="V36" s="80"/>
      <c r="W36" s="14">
        <f t="shared" ref="W36:AC36" si="36">L36</f>
        <v>44869</v>
      </c>
      <c r="X36" s="172">
        <f t="shared" si="36"/>
        <v>5</v>
      </c>
      <c r="Y36" s="172">
        <f t="shared" si="36"/>
        <v>5</v>
      </c>
      <c r="Z36" s="172">
        <f t="shared" si="36"/>
        <v>0</v>
      </c>
      <c r="AA36" s="172">
        <f t="shared" si="36"/>
        <v>0</v>
      </c>
      <c r="AB36" s="172">
        <f t="shared" si="36"/>
        <v>0</v>
      </c>
      <c r="AC36" s="172">
        <f t="shared" si="36"/>
        <v>0</v>
      </c>
    </row>
    <row r="37">
      <c r="B37" s="12">
        <f>IFERROR(__xludf.DUMMYFUNCTION("""COMPUTED_VALUE"""),44858.0)</f>
        <v>44858</v>
      </c>
      <c r="C37" s="54">
        <f>IFERROR(__xludf.DUMMYFUNCTION("""COMPUTED_VALUE"""),11.0)</f>
        <v>11</v>
      </c>
      <c r="D37" s="54">
        <f>IFERROR(__xludf.DUMMYFUNCTION("""COMPUTED_VALUE"""),11.0)</f>
        <v>11</v>
      </c>
      <c r="E37" s="54">
        <f>IFERROR(__xludf.DUMMYFUNCTION("""COMPUTED_VALUE"""),0.0)</f>
        <v>0</v>
      </c>
      <c r="F37" s="54">
        <f>IFERROR(__xludf.DUMMYFUNCTION("""COMPUTED_VALUE"""),0.0)</f>
        <v>0</v>
      </c>
      <c r="G37" s="54">
        <f>IFERROR(__xludf.DUMMYFUNCTION("""COMPUTED_VALUE"""),0.0)</f>
        <v>0</v>
      </c>
      <c r="H37" s="54">
        <f>IFERROR(__xludf.DUMMYFUNCTION("""COMPUTED_VALUE"""),0.0)</f>
        <v>0</v>
      </c>
      <c r="I37" s="54">
        <f>IFERROR(__xludf.DUMMYFUNCTION("""COMPUTED_VALUE"""),0.0)</f>
        <v>0</v>
      </c>
      <c r="J37" s="54" t="b">
        <f>IFERROR(__xludf.DUMMYFUNCTION("""COMPUTED_VALUE"""),TRUE)</f>
        <v>1</v>
      </c>
      <c r="K37" s="80"/>
      <c r="L37" s="14">
        <f>IFERROR(__xludf.DUMMYFUNCTION("""COMPUTED_VALUE"""),44872.0)</f>
        <v>44872</v>
      </c>
      <c r="M37" s="172">
        <f>IFERROR(__xludf.DUMMYFUNCTION("""COMPUTED_VALUE"""),9.0)</f>
        <v>9</v>
      </c>
      <c r="N37" s="172">
        <f>IFERROR(__xludf.DUMMYFUNCTION("""COMPUTED_VALUE"""),9.0)</f>
        <v>9</v>
      </c>
      <c r="O37" s="172">
        <f>IFERROR(__xludf.DUMMYFUNCTION("""COMPUTED_VALUE"""),0.0)</f>
        <v>0</v>
      </c>
      <c r="P37" s="172">
        <f>IFERROR(__xludf.DUMMYFUNCTION("""COMPUTED_VALUE"""),0.0)</f>
        <v>0</v>
      </c>
      <c r="Q37" s="172">
        <f>IFERROR(__xludf.DUMMYFUNCTION("""COMPUTED_VALUE"""),0.0)</f>
        <v>0</v>
      </c>
      <c r="R37" s="172">
        <f>IFERROR(__xludf.DUMMYFUNCTION("""COMPUTED_VALUE"""),0.0)</f>
        <v>0</v>
      </c>
      <c r="S37" s="172">
        <f>IFERROR(__xludf.DUMMYFUNCTION("""COMPUTED_VALUE"""),0.0)</f>
        <v>0</v>
      </c>
      <c r="T37" s="172">
        <f>IFERROR(__xludf.DUMMYFUNCTION("""COMPUTED_VALUE"""),9.0)</f>
        <v>9</v>
      </c>
      <c r="U37" s="55"/>
      <c r="V37" s="80"/>
      <c r="W37" s="14">
        <f t="shared" ref="W37:AC37" si="37">L37</f>
        <v>44872</v>
      </c>
      <c r="X37" s="172">
        <f t="shared" si="37"/>
        <v>9</v>
      </c>
      <c r="Y37" s="172">
        <f t="shared" si="37"/>
        <v>9</v>
      </c>
      <c r="Z37" s="172">
        <f t="shared" si="37"/>
        <v>0</v>
      </c>
      <c r="AA37" s="172">
        <f t="shared" si="37"/>
        <v>0</v>
      </c>
      <c r="AB37" s="172">
        <f t="shared" si="37"/>
        <v>0</v>
      </c>
      <c r="AC37" s="172">
        <f t="shared" si="37"/>
        <v>0</v>
      </c>
    </row>
    <row r="38">
      <c r="B38" s="12">
        <f>IFERROR(__xludf.DUMMYFUNCTION("""COMPUTED_VALUE"""),44859.0)</f>
        <v>44859</v>
      </c>
      <c r="C38" s="54">
        <f>IFERROR(__xludf.DUMMYFUNCTION("""COMPUTED_VALUE"""),9.0)</f>
        <v>9</v>
      </c>
      <c r="D38" s="54">
        <f>IFERROR(__xludf.DUMMYFUNCTION("""COMPUTED_VALUE"""),9.0)</f>
        <v>9</v>
      </c>
      <c r="E38" s="54">
        <f>IFERROR(__xludf.DUMMYFUNCTION("""COMPUTED_VALUE"""),0.0)</f>
        <v>0</v>
      </c>
      <c r="F38" s="54">
        <f>IFERROR(__xludf.DUMMYFUNCTION("""COMPUTED_VALUE"""),0.0)</f>
        <v>0</v>
      </c>
      <c r="G38" s="54">
        <f>IFERROR(__xludf.DUMMYFUNCTION("""COMPUTED_VALUE"""),0.0)</f>
        <v>0</v>
      </c>
      <c r="H38" s="54">
        <f>IFERROR(__xludf.DUMMYFUNCTION("""COMPUTED_VALUE"""),0.0)</f>
        <v>0</v>
      </c>
      <c r="I38" s="54">
        <f>IFERROR(__xludf.DUMMYFUNCTION("""COMPUTED_VALUE"""),0.0)</f>
        <v>0</v>
      </c>
      <c r="J38" s="54"/>
      <c r="K38" s="80"/>
      <c r="L38" s="14">
        <f>IFERROR(__xludf.DUMMYFUNCTION("""COMPUTED_VALUE"""),44873.0)</f>
        <v>44873</v>
      </c>
      <c r="M38" s="172">
        <f>IFERROR(__xludf.DUMMYFUNCTION("""COMPUTED_VALUE"""),10.0)</f>
        <v>10</v>
      </c>
      <c r="N38" s="172">
        <f>IFERROR(__xludf.DUMMYFUNCTION("""COMPUTED_VALUE"""),10.0)</f>
        <v>10</v>
      </c>
      <c r="O38" s="172">
        <f>IFERROR(__xludf.DUMMYFUNCTION("""COMPUTED_VALUE"""),0.0)</f>
        <v>0</v>
      </c>
      <c r="P38" s="172">
        <f>IFERROR(__xludf.DUMMYFUNCTION("""COMPUTED_VALUE"""),0.0)</f>
        <v>0</v>
      </c>
      <c r="Q38" s="172">
        <f>IFERROR(__xludf.DUMMYFUNCTION("""COMPUTED_VALUE"""),0.0)</f>
        <v>0</v>
      </c>
      <c r="R38" s="172">
        <f>IFERROR(__xludf.DUMMYFUNCTION("""COMPUTED_VALUE"""),0.0)</f>
        <v>0</v>
      </c>
      <c r="S38" s="172">
        <f>IFERROR(__xludf.DUMMYFUNCTION("""COMPUTED_VALUE"""),0.0)</f>
        <v>0</v>
      </c>
      <c r="T38" s="172">
        <f>IFERROR(__xludf.DUMMYFUNCTION("""COMPUTED_VALUE"""),10.0)</f>
        <v>10</v>
      </c>
      <c r="U38" s="55"/>
      <c r="V38" s="80"/>
      <c r="W38" s="14">
        <f t="shared" ref="W38:W133" si="39">L38</f>
        <v>44873</v>
      </c>
      <c r="X38" s="346">
        <f t="shared" ref="X38:AC38" si="38">M38+M42</f>
        <v>25</v>
      </c>
      <c r="Y38" s="346">
        <f t="shared" si="38"/>
        <v>25</v>
      </c>
      <c r="Z38" s="346">
        <f t="shared" si="38"/>
        <v>0</v>
      </c>
      <c r="AA38" s="346">
        <f t="shared" si="38"/>
        <v>0</v>
      </c>
      <c r="AB38" s="346">
        <f t="shared" si="38"/>
        <v>0</v>
      </c>
      <c r="AC38" s="346">
        <f t="shared" si="38"/>
        <v>0</v>
      </c>
    </row>
    <row r="39">
      <c r="B39" s="12">
        <f>IFERROR(__xludf.DUMMYFUNCTION("""COMPUTED_VALUE"""),44860.0)</f>
        <v>44860</v>
      </c>
      <c r="C39" s="54">
        <f>IFERROR(__xludf.DUMMYFUNCTION("""COMPUTED_VALUE"""),8.0)</f>
        <v>8</v>
      </c>
      <c r="D39" s="54">
        <f>IFERROR(__xludf.DUMMYFUNCTION("""COMPUTED_VALUE"""),8.0)</f>
        <v>8</v>
      </c>
      <c r="E39" s="54">
        <f>IFERROR(__xludf.DUMMYFUNCTION("""COMPUTED_VALUE"""),0.0)</f>
        <v>0</v>
      </c>
      <c r="F39" s="54">
        <f>IFERROR(__xludf.DUMMYFUNCTION("""COMPUTED_VALUE"""),0.0)</f>
        <v>0</v>
      </c>
      <c r="G39" s="54">
        <f>IFERROR(__xludf.DUMMYFUNCTION("""COMPUTED_VALUE"""),0.0)</f>
        <v>0</v>
      </c>
      <c r="H39" s="54">
        <f>IFERROR(__xludf.DUMMYFUNCTION("""COMPUTED_VALUE"""),0.0)</f>
        <v>0</v>
      </c>
      <c r="I39" s="54">
        <f>IFERROR(__xludf.DUMMYFUNCTION("""COMPUTED_VALUE"""),0.0)</f>
        <v>0</v>
      </c>
      <c r="J39" s="54" t="b">
        <f>IFERROR(__xludf.DUMMYFUNCTION("""COMPUTED_VALUE"""),TRUE)</f>
        <v>1</v>
      </c>
      <c r="K39" s="80"/>
      <c r="L39" s="14">
        <f>IFERROR(__xludf.DUMMYFUNCTION("""COMPUTED_VALUE"""),44874.0)</f>
        <v>44874</v>
      </c>
      <c r="M39" s="172">
        <f>IFERROR(__xludf.DUMMYFUNCTION("""COMPUTED_VALUE"""),8.0)</f>
        <v>8</v>
      </c>
      <c r="N39" s="172">
        <f>IFERROR(__xludf.DUMMYFUNCTION("""COMPUTED_VALUE"""),8.0)</f>
        <v>8</v>
      </c>
      <c r="O39" s="172">
        <f>IFERROR(__xludf.DUMMYFUNCTION("""COMPUTED_VALUE"""),0.0)</f>
        <v>0</v>
      </c>
      <c r="P39" s="172">
        <f>IFERROR(__xludf.DUMMYFUNCTION("""COMPUTED_VALUE"""),0.0)</f>
        <v>0</v>
      </c>
      <c r="Q39" s="172">
        <f>IFERROR(__xludf.DUMMYFUNCTION("""COMPUTED_VALUE"""),0.0)</f>
        <v>0</v>
      </c>
      <c r="R39" s="172">
        <f>IFERROR(__xludf.DUMMYFUNCTION("""COMPUTED_VALUE"""),0.0)</f>
        <v>0</v>
      </c>
      <c r="S39" s="172">
        <f>IFERROR(__xludf.DUMMYFUNCTION("""COMPUTED_VALUE"""),0.0)</f>
        <v>0</v>
      </c>
      <c r="T39" s="172">
        <f>IFERROR(__xludf.DUMMYFUNCTION("""COMPUTED_VALUE"""),8.0)</f>
        <v>8</v>
      </c>
      <c r="U39" s="55"/>
      <c r="V39" s="80"/>
      <c r="W39" s="14">
        <f t="shared" si="39"/>
        <v>44874</v>
      </c>
      <c r="X39" s="172">
        <f t="shared" ref="X39:AC39" si="40">M39</f>
        <v>8</v>
      </c>
      <c r="Y39" s="172">
        <f t="shared" si="40"/>
        <v>8</v>
      </c>
      <c r="Z39" s="172">
        <f t="shared" si="40"/>
        <v>0</v>
      </c>
      <c r="AA39" s="172">
        <f t="shared" si="40"/>
        <v>0</v>
      </c>
      <c r="AB39" s="172">
        <f t="shared" si="40"/>
        <v>0</v>
      </c>
      <c r="AC39" s="172">
        <f t="shared" si="40"/>
        <v>0</v>
      </c>
    </row>
    <row r="40">
      <c r="B40" s="12">
        <f>IFERROR(__xludf.DUMMYFUNCTION("""COMPUTED_VALUE"""),44861.0)</f>
        <v>44861</v>
      </c>
      <c r="C40" s="54">
        <f>IFERROR(__xludf.DUMMYFUNCTION("""COMPUTED_VALUE"""),11.0)</f>
        <v>11</v>
      </c>
      <c r="D40" s="54">
        <f>IFERROR(__xludf.DUMMYFUNCTION("""COMPUTED_VALUE"""),11.0)</f>
        <v>11</v>
      </c>
      <c r="E40" s="54">
        <f>IFERROR(__xludf.DUMMYFUNCTION("""COMPUTED_VALUE"""),0.0)</f>
        <v>0</v>
      </c>
      <c r="F40" s="54">
        <f>IFERROR(__xludf.DUMMYFUNCTION("""COMPUTED_VALUE"""),0.0)</f>
        <v>0</v>
      </c>
      <c r="G40" s="54">
        <f>IFERROR(__xludf.DUMMYFUNCTION("""COMPUTED_VALUE"""),0.0)</f>
        <v>0</v>
      </c>
      <c r="H40" s="54">
        <f>IFERROR(__xludf.DUMMYFUNCTION("""COMPUTED_VALUE"""),0.0)</f>
        <v>0</v>
      </c>
      <c r="I40" s="54">
        <f>IFERROR(__xludf.DUMMYFUNCTION("""COMPUTED_VALUE"""),0.0)</f>
        <v>0</v>
      </c>
      <c r="J40" s="54"/>
      <c r="K40" s="80"/>
      <c r="L40" s="14">
        <f>IFERROR(__xludf.DUMMYFUNCTION("""COMPUTED_VALUE"""),44875.0)</f>
        <v>44875</v>
      </c>
      <c r="M40" s="172">
        <f>IFERROR(__xludf.DUMMYFUNCTION("""COMPUTED_VALUE"""),9.0)</f>
        <v>9</v>
      </c>
      <c r="N40" s="172">
        <f>IFERROR(__xludf.DUMMYFUNCTION("""COMPUTED_VALUE"""),9.0)</f>
        <v>9</v>
      </c>
      <c r="O40" s="172">
        <f>IFERROR(__xludf.DUMMYFUNCTION("""COMPUTED_VALUE"""),0.0)</f>
        <v>0</v>
      </c>
      <c r="P40" s="172">
        <f>IFERROR(__xludf.DUMMYFUNCTION("""COMPUTED_VALUE"""),0.0)</f>
        <v>0</v>
      </c>
      <c r="Q40" s="172">
        <f>IFERROR(__xludf.DUMMYFUNCTION("""COMPUTED_VALUE"""),0.0)</f>
        <v>0</v>
      </c>
      <c r="R40" s="172">
        <f>IFERROR(__xludf.DUMMYFUNCTION("""COMPUTED_VALUE"""),0.0)</f>
        <v>0</v>
      </c>
      <c r="S40" s="172">
        <f>IFERROR(__xludf.DUMMYFUNCTION("""COMPUTED_VALUE"""),0.0)</f>
        <v>0</v>
      </c>
      <c r="T40" s="172">
        <f>IFERROR(__xludf.DUMMYFUNCTION("""COMPUTED_VALUE"""),9.0)</f>
        <v>9</v>
      </c>
      <c r="U40" s="55"/>
      <c r="V40" s="80"/>
      <c r="W40" s="14">
        <f t="shared" si="39"/>
        <v>44875</v>
      </c>
      <c r="X40" s="172">
        <f t="shared" ref="X40:AC40" si="41">M40</f>
        <v>9</v>
      </c>
      <c r="Y40" s="172">
        <f t="shared" si="41"/>
        <v>9</v>
      </c>
      <c r="Z40" s="172">
        <f t="shared" si="41"/>
        <v>0</v>
      </c>
      <c r="AA40" s="172">
        <f t="shared" si="41"/>
        <v>0</v>
      </c>
      <c r="AB40" s="172">
        <f t="shared" si="41"/>
        <v>0</v>
      </c>
      <c r="AC40" s="172">
        <f t="shared" si="41"/>
        <v>0</v>
      </c>
    </row>
    <row r="41">
      <c r="B41" s="12">
        <f>IFERROR(__xludf.DUMMYFUNCTION("""COMPUTED_VALUE"""),44862.0)</f>
        <v>44862</v>
      </c>
      <c r="C41" s="54">
        <f>IFERROR(__xludf.DUMMYFUNCTION("""COMPUTED_VALUE"""),9.0)</f>
        <v>9</v>
      </c>
      <c r="D41" s="54">
        <f>IFERROR(__xludf.DUMMYFUNCTION("""COMPUTED_VALUE"""),9.0)</f>
        <v>9</v>
      </c>
      <c r="E41" s="54">
        <f>IFERROR(__xludf.DUMMYFUNCTION("""COMPUTED_VALUE"""),0.0)</f>
        <v>0</v>
      </c>
      <c r="F41" s="54">
        <f>IFERROR(__xludf.DUMMYFUNCTION("""COMPUTED_VALUE"""),0.0)</f>
        <v>0</v>
      </c>
      <c r="G41" s="54">
        <f>IFERROR(__xludf.DUMMYFUNCTION("""COMPUTED_VALUE"""),0.0)</f>
        <v>0</v>
      </c>
      <c r="H41" s="54">
        <f>IFERROR(__xludf.DUMMYFUNCTION("""COMPUTED_VALUE"""),0.0)</f>
        <v>0</v>
      </c>
      <c r="I41" s="54">
        <f>IFERROR(__xludf.DUMMYFUNCTION("""COMPUTED_VALUE"""),0.0)</f>
        <v>0</v>
      </c>
      <c r="J41" s="54" t="b">
        <f>IFERROR(__xludf.DUMMYFUNCTION("""COMPUTED_VALUE"""),TRUE)</f>
        <v>1</v>
      </c>
      <c r="K41" s="80"/>
      <c r="L41" s="14">
        <f>IFERROR(__xludf.DUMMYFUNCTION("""COMPUTED_VALUE"""),44876.0)</f>
        <v>44876</v>
      </c>
      <c r="M41" s="172">
        <f>IFERROR(__xludf.DUMMYFUNCTION("""COMPUTED_VALUE"""),5.0)</f>
        <v>5</v>
      </c>
      <c r="N41" s="172">
        <f>IFERROR(__xludf.DUMMYFUNCTION("""COMPUTED_VALUE"""),5.0)</f>
        <v>5</v>
      </c>
      <c r="O41" s="172">
        <f>IFERROR(__xludf.DUMMYFUNCTION("""COMPUTED_VALUE"""),0.0)</f>
        <v>0</v>
      </c>
      <c r="P41" s="172">
        <f>IFERROR(__xludf.DUMMYFUNCTION("""COMPUTED_VALUE"""),0.0)</f>
        <v>0</v>
      </c>
      <c r="Q41" s="172">
        <f>IFERROR(__xludf.DUMMYFUNCTION("""COMPUTED_VALUE"""),0.0)</f>
        <v>0</v>
      </c>
      <c r="R41" s="172">
        <f>IFERROR(__xludf.DUMMYFUNCTION("""COMPUTED_VALUE"""),0.0)</f>
        <v>0</v>
      </c>
      <c r="S41" s="172">
        <f>IFERROR(__xludf.DUMMYFUNCTION("""COMPUTED_VALUE"""),0.0)</f>
        <v>0</v>
      </c>
      <c r="T41" s="172">
        <f>IFERROR(__xludf.DUMMYFUNCTION("""COMPUTED_VALUE"""),5.0)</f>
        <v>5</v>
      </c>
      <c r="U41" s="55"/>
      <c r="V41" s="80"/>
      <c r="W41" s="14">
        <f t="shared" si="39"/>
        <v>44876</v>
      </c>
      <c r="X41" s="172">
        <f t="shared" ref="X41:AC41" si="42">M41</f>
        <v>5</v>
      </c>
      <c r="Y41" s="172">
        <f t="shared" si="42"/>
        <v>5</v>
      </c>
      <c r="Z41" s="172">
        <f t="shared" si="42"/>
        <v>0</v>
      </c>
      <c r="AA41" s="172">
        <f t="shared" si="42"/>
        <v>0</v>
      </c>
      <c r="AB41" s="172">
        <f t="shared" si="42"/>
        <v>0</v>
      </c>
      <c r="AC41" s="172">
        <f t="shared" si="42"/>
        <v>0</v>
      </c>
    </row>
    <row r="42">
      <c r="B42" s="12">
        <f>IFERROR(__xludf.DUMMYFUNCTION("""COMPUTED_VALUE"""),44865.0)</f>
        <v>44865</v>
      </c>
      <c r="C42" s="54">
        <f>IFERROR(__xludf.DUMMYFUNCTION("""COMPUTED_VALUE"""),9.0)</f>
        <v>9</v>
      </c>
      <c r="D42" s="54">
        <f>IFERROR(__xludf.DUMMYFUNCTION("""COMPUTED_VALUE"""),9.0)</f>
        <v>9</v>
      </c>
      <c r="E42" s="54">
        <f>IFERROR(__xludf.DUMMYFUNCTION("""COMPUTED_VALUE"""),0.0)</f>
        <v>0</v>
      </c>
      <c r="F42" s="54">
        <f>IFERROR(__xludf.DUMMYFUNCTION("""COMPUTED_VALUE"""),0.0)</f>
        <v>0</v>
      </c>
      <c r="G42" s="54">
        <f>IFERROR(__xludf.DUMMYFUNCTION("""COMPUTED_VALUE"""),0.0)</f>
        <v>0</v>
      </c>
      <c r="H42" s="54">
        <f>IFERROR(__xludf.DUMMYFUNCTION("""COMPUTED_VALUE"""),0.0)</f>
        <v>0</v>
      </c>
      <c r="I42" s="54">
        <f>IFERROR(__xludf.DUMMYFUNCTION("""COMPUTED_VALUE"""),0.0)</f>
        <v>0</v>
      </c>
      <c r="J42" s="54" t="b">
        <f>IFERROR(__xludf.DUMMYFUNCTION("""COMPUTED_VALUE"""),TRUE)</f>
        <v>1</v>
      </c>
      <c r="K42" s="80"/>
      <c r="L42" s="14">
        <f>IFERROR(__xludf.DUMMYFUNCTION("""COMPUTED_VALUE"""),44880.0)</f>
        <v>44880</v>
      </c>
      <c r="M42" s="172">
        <f>IFERROR(__xludf.DUMMYFUNCTION("""COMPUTED_VALUE"""),15.0)</f>
        <v>15</v>
      </c>
      <c r="N42" s="172">
        <f>IFERROR(__xludf.DUMMYFUNCTION("""COMPUTED_VALUE"""),15.0)</f>
        <v>15</v>
      </c>
      <c r="O42" s="172">
        <f>IFERROR(__xludf.DUMMYFUNCTION("""COMPUTED_VALUE"""),0.0)</f>
        <v>0</v>
      </c>
      <c r="P42" s="172">
        <f>IFERROR(__xludf.DUMMYFUNCTION("""COMPUTED_VALUE"""),0.0)</f>
        <v>0</v>
      </c>
      <c r="Q42" s="172">
        <f>IFERROR(__xludf.DUMMYFUNCTION("""COMPUTED_VALUE"""),0.0)</f>
        <v>0</v>
      </c>
      <c r="R42" s="172">
        <f>IFERROR(__xludf.DUMMYFUNCTION("""COMPUTED_VALUE"""),0.0)</f>
        <v>0</v>
      </c>
      <c r="S42" s="172">
        <f>IFERROR(__xludf.DUMMYFUNCTION("""COMPUTED_VALUE"""),0.0)</f>
        <v>0</v>
      </c>
      <c r="T42" s="172">
        <f>IFERROR(__xludf.DUMMYFUNCTION("""COMPUTED_VALUE"""),15.0)</f>
        <v>15</v>
      </c>
      <c r="U42" s="14"/>
      <c r="V42" s="80"/>
      <c r="W42" s="14">
        <f t="shared" si="39"/>
        <v>44880</v>
      </c>
      <c r="X42" s="172">
        <f t="shared" ref="X42:AC42" si="43">M42</f>
        <v>15</v>
      </c>
      <c r="Y42" s="172">
        <f t="shared" si="43"/>
        <v>15</v>
      </c>
      <c r="Z42" s="172">
        <f t="shared" si="43"/>
        <v>0</v>
      </c>
      <c r="AA42" s="172">
        <f t="shared" si="43"/>
        <v>0</v>
      </c>
      <c r="AB42" s="172">
        <f t="shared" si="43"/>
        <v>0</v>
      </c>
      <c r="AC42" s="172">
        <f t="shared" si="43"/>
        <v>0</v>
      </c>
    </row>
    <row r="43">
      <c r="B43" s="12">
        <f>IFERROR(__xludf.DUMMYFUNCTION("""COMPUTED_VALUE"""),44866.0)</f>
        <v>44866</v>
      </c>
      <c r="C43" s="54">
        <f>IFERROR(__xludf.DUMMYFUNCTION("""COMPUTED_VALUE"""),7.0)</f>
        <v>7</v>
      </c>
      <c r="D43" s="54">
        <f>IFERROR(__xludf.DUMMYFUNCTION("""COMPUTED_VALUE"""),7.0)</f>
        <v>7</v>
      </c>
      <c r="E43" s="54">
        <f>IFERROR(__xludf.DUMMYFUNCTION("""COMPUTED_VALUE"""),0.0)</f>
        <v>0</v>
      </c>
      <c r="F43" s="54">
        <f>IFERROR(__xludf.DUMMYFUNCTION("""COMPUTED_VALUE"""),0.0)</f>
        <v>0</v>
      </c>
      <c r="G43" s="54">
        <f>IFERROR(__xludf.DUMMYFUNCTION("""COMPUTED_VALUE"""),0.0)</f>
        <v>0</v>
      </c>
      <c r="H43" s="54">
        <f>IFERROR(__xludf.DUMMYFUNCTION("""COMPUTED_VALUE"""),0.0)</f>
        <v>0</v>
      </c>
      <c r="I43" s="54">
        <f>IFERROR(__xludf.DUMMYFUNCTION("""COMPUTED_VALUE"""),0.0)</f>
        <v>0</v>
      </c>
      <c r="J43" s="54" t="b">
        <f>IFERROR(__xludf.DUMMYFUNCTION("""COMPUTED_VALUE"""),TRUE)</f>
        <v>1</v>
      </c>
      <c r="K43" s="80"/>
      <c r="L43" s="77">
        <f>IFERROR(__xludf.DUMMYFUNCTION("""COMPUTED_VALUE"""),44881.0)</f>
        <v>44881</v>
      </c>
      <c r="M43" s="172">
        <f>IFERROR(__xludf.DUMMYFUNCTION("""COMPUTED_VALUE"""),9.0)</f>
        <v>9</v>
      </c>
      <c r="N43" s="172">
        <f>IFERROR(__xludf.DUMMYFUNCTION("""COMPUTED_VALUE"""),9.0)</f>
        <v>9</v>
      </c>
      <c r="O43" s="172">
        <f>IFERROR(__xludf.DUMMYFUNCTION("""COMPUTED_VALUE"""),0.0)</f>
        <v>0</v>
      </c>
      <c r="P43" s="172">
        <f>IFERROR(__xludf.DUMMYFUNCTION("""COMPUTED_VALUE"""),0.0)</f>
        <v>0</v>
      </c>
      <c r="Q43" s="172">
        <f>IFERROR(__xludf.DUMMYFUNCTION("""COMPUTED_VALUE"""),0.0)</f>
        <v>0</v>
      </c>
      <c r="R43" s="172">
        <f>IFERROR(__xludf.DUMMYFUNCTION("""COMPUTED_VALUE"""),0.0)</f>
        <v>0</v>
      </c>
      <c r="S43" s="172">
        <f>IFERROR(__xludf.DUMMYFUNCTION("""COMPUTED_VALUE"""),0.0)</f>
        <v>0</v>
      </c>
      <c r="T43" s="172">
        <f>IFERROR(__xludf.DUMMYFUNCTION("""COMPUTED_VALUE"""),9.0)</f>
        <v>9</v>
      </c>
      <c r="U43" s="14"/>
      <c r="V43" s="80"/>
      <c r="W43" s="14">
        <f t="shared" si="39"/>
        <v>44881</v>
      </c>
      <c r="X43" s="172">
        <f t="shared" ref="X43:AC43" si="44">M43</f>
        <v>9</v>
      </c>
      <c r="Y43" s="172">
        <f t="shared" si="44"/>
        <v>9</v>
      </c>
      <c r="Z43" s="172">
        <f t="shared" si="44"/>
        <v>0</v>
      </c>
      <c r="AA43" s="172">
        <f t="shared" si="44"/>
        <v>0</v>
      </c>
      <c r="AB43" s="172">
        <f t="shared" si="44"/>
        <v>0</v>
      </c>
      <c r="AC43" s="172">
        <f t="shared" si="44"/>
        <v>0</v>
      </c>
    </row>
    <row r="44">
      <c r="B44" s="12">
        <f>IFERROR(__xludf.DUMMYFUNCTION("""COMPUTED_VALUE"""),44867.0)</f>
        <v>44867</v>
      </c>
      <c r="C44" s="54">
        <f>IFERROR(__xludf.DUMMYFUNCTION("""COMPUTED_VALUE"""),6.0)</f>
        <v>6</v>
      </c>
      <c r="D44" s="54">
        <f>IFERROR(__xludf.DUMMYFUNCTION("""COMPUTED_VALUE"""),6.0)</f>
        <v>6</v>
      </c>
      <c r="E44" s="54">
        <f>IFERROR(__xludf.DUMMYFUNCTION("""COMPUTED_VALUE"""),0.0)</f>
        <v>0</v>
      </c>
      <c r="F44" s="54">
        <f>IFERROR(__xludf.DUMMYFUNCTION("""COMPUTED_VALUE"""),0.0)</f>
        <v>0</v>
      </c>
      <c r="G44" s="54">
        <f>IFERROR(__xludf.DUMMYFUNCTION("""COMPUTED_VALUE"""),0.0)</f>
        <v>0</v>
      </c>
      <c r="H44" s="54">
        <f>IFERROR(__xludf.DUMMYFUNCTION("""COMPUTED_VALUE"""),0.0)</f>
        <v>0</v>
      </c>
      <c r="I44" s="54">
        <f>IFERROR(__xludf.DUMMYFUNCTION("""COMPUTED_VALUE"""),0.0)</f>
        <v>0</v>
      </c>
      <c r="J44" s="54" t="b">
        <f>IFERROR(__xludf.DUMMYFUNCTION("""COMPUTED_VALUE"""),TRUE)</f>
        <v>1</v>
      </c>
      <c r="K44" s="80"/>
      <c r="L44" s="77">
        <f>IFERROR(__xludf.DUMMYFUNCTION("""COMPUTED_VALUE"""),44883.0)</f>
        <v>44883</v>
      </c>
      <c r="M44" s="172">
        <f>IFERROR(__xludf.DUMMYFUNCTION("""COMPUTED_VALUE"""),9.0)</f>
        <v>9</v>
      </c>
      <c r="N44" s="172">
        <f>IFERROR(__xludf.DUMMYFUNCTION("""COMPUTED_VALUE"""),9.0)</f>
        <v>9</v>
      </c>
      <c r="O44" s="172">
        <f>IFERROR(__xludf.DUMMYFUNCTION("""COMPUTED_VALUE"""),0.0)</f>
        <v>0</v>
      </c>
      <c r="P44" s="172">
        <f>IFERROR(__xludf.DUMMYFUNCTION("""COMPUTED_VALUE"""),0.0)</f>
        <v>0</v>
      </c>
      <c r="Q44" s="172">
        <f>IFERROR(__xludf.DUMMYFUNCTION("""COMPUTED_VALUE"""),0.0)</f>
        <v>0</v>
      </c>
      <c r="R44" s="172">
        <f>IFERROR(__xludf.DUMMYFUNCTION("""COMPUTED_VALUE"""),0.0)</f>
        <v>0</v>
      </c>
      <c r="S44" s="172">
        <f>IFERROR(__xludf.DUMMYFUNCTION("""COMPUTED_VALUE"""),0.0)</f>
        <v>0</v>
      </c>
      <c r="T44" s="172">
        <f>IFERROR(__xludf.DUMMYFUNCTION("""COMPUTED_VALUE"""),9.0)</f>
        <v>9</v>
      </c>
      <c r="U44" s="14"/>
      <c r="V44" s="80"/>
      <c r="W44" s="14">
        <f t="shared" si="39"/>
        <v>44883</v>
      </c>
      <c r="X44" s="172">
        <f t="shared" ref="X44:AC44" si="45">M44</f>
        <v>9</v>
      </c>
      <c r="Y44" s="172">
        <f t="shared" si="45"/>
        <v>9</v>
      </c>
      <c r="Z44" s="172">
        <f t="shared" si="45"/>
        <v>0</v>
      </c>
      <c r="AA44" s="172">
        <f t="shared" si="45"/>
        <v>0</v>
      </c>
      <c r="AB44" s="172">
        <f t="shared" si="45"/>
        <v>0</v>
      </c>
      <c r="AC44" s="172">
        <f t="shared" si="45"/>
        <v>0</v>
      </c>
    </row>
    <row r="45">
      <c r="B45" s="12">
        <f>IFERROR(__xludf.DUMMYFUNCTION("""COMPUTED_VALUE"""),44868.0)</f>
        <v>44868</v>
      </c>
      <c r="C45" s="54">
        <f>IFERROR(__xludf.DUMMYFUNCTION("""COMPUTED_VALUE"""),6.0)</f>
        <v>6</v>
      </c>
      <c r="D45" s="54">
        <f>IFERROR(__xludf.DUMMYFUNCTION("""COMPUTED_VALUE"""),6.0)</f>
        <v>6</v>
      </c>
      <c r="E45" s="54">
        <f>IFERROR(__xludf.DUMMYFUNCTION("""COMPUTED_VALUE"""),0.0)</f>
        <v>0</v>
      </c>
      <c r="F45" s="54">
        <f>IFERROR(__xludf.DUMMYFUNCTION("""COMPUTED_VALUE"""),0.0)</f>
        <v>0</v>
      </c>
      <c r="G45" s="54">
        <f>IFERROR(__xludf.DUMMYFUNCTION("""COMPUTED_VALUE"""),0.0)</f>
        <v>0</v>
      </c>
      <c r="H45" s="54">
        <f>IFERROR(__xludf.DUMMYFUNCTION("""COMPUTED_VALUE"""),0.0)</f>
        <v>0</v>
      </c>
      <c r="I45" s="54">
        <f>IFERROR(__xludf.DUMMYFUNCTION("""COMPUTED_VALUE"""),0.0)</f>
        <v>0</v>
      </c>
      <c r="J45" s="54" t="b">
        <f>IFERROR(__xludf.DUMMYFUNCTION("""COMPUTED_VALUE"""),TRUE)</f>
        <v>1</v>
      </c>
      <c r="K45" s="80"/>
      <c r="L45" s="77">
        <f>IFERROR(__xludf.DUMMYFUNCTION("""COMPUTED_VALUE"""),44884.0)</f>
        <v>44884</v>
      </c>
      <c r="M45" s="172">
        <f>IFERROR(__xludf.DUMMYFUNCTION("""COMPUTED_VALUE"""),2.0)</f>
        <v>2</v>
      </c>
      <c r="N45" s="172">
        <f>IFERROR(__xludf.DUMMYFUNCTION("""COMPUTED_VALUE"""),2.0)</f>
        <v>2</v>
      </c>
      <c r="O45" s="172">
        <f>IFERROR(__xludf.DUMMYFUNCTION("""COMPUTED_VALUE"""),0.0)</f>
        <v>0</v>
      </c>
      <c r="P45" s="172">
        <f>IFERROR(__xludf.DUMMYFUNCTION("""COMPUTED_VALUE"""),0.0)</f>
        <v>0</v>
      </c>
      <c r="Q45" s="172">
        <f>IFERROR(__xludf.DUMMYFUNCTION("""COMPUTED_VALUE"""),0.0)</f>
        <v>0</v>
      </c>
      <c r="R45" s="172">
        <f>IFERROR(__xludf.DUMMYFUNCTION("""COMPUTED_VALUE"""),0.0)</f>
        <v>0</v>
      </c>
      <c r="S45" s="172">
        <f>IFERROR(__xludf.DUMMYFUNCTION("""COMPUTED_VALUE"""),0.0)</f>
        <v>0</v>
      </c>
      <c r="T45" s="172">
        <f>IFERROR(__xludf.DUMMYFUNCTION("""COMPUTED_VALUE"""),2.0)</f>
        <v>2</v>
      </c>
      <c r="U45" s="14"/>
      <c r="V45" s="80"/>
      <c r="W45" s="14">
        <f t="shared" si="39"/>
        <v>44884</v>
      </c>
      <c r="X45" s="172">
        <f t="shared" ref="X45:AC45" si="46">M45</f>
        <v>2</v>
      </c>
      <c r="Y45" s="172">
        <f t="shared" si="46"/>
        <v>2</v>
      </c>
      <c r="Z45" s="172">
        <f t="shared" si="46"/>
        <v>0</v>
      </c>
      <c r="AA45" s="172">
        <f t="shared" si="46"/>
        <v>0</v>
      </c>
      <c r="AB45" s="172">
        <f t="shared" si="46"/>
        <v>0</v>
      </c>
      <c r="AC45" s="172">
        <f t="shared" si="46"/>
        <v>0</v>
      </c>
    </row>
    <row r="46">
      <c r="B46" s="12">
        <f>IFERROR(__xludf.DUMMYFUNCTION("""COMPUTED_VALUE"""),44869.0)</f>
        <v>44869</v>
      </c>
      <c r="C46" s="54">
        <f>IFERROR(__xludf.DUMMYFUNCTION("""COMPUTED_VALUE"""),6.0)</f>
        <v>6</v>
      </c>
      <c r="D46" s="54">
        <f>IFERROR(__xludf.DUMMYFUNCTION("""COMPUTED_VALUE"""),6.0)</f>
        <v>6</v>
      </c>
      <c r="E46" s="54">
        <f>IFERROR(__xludf.DUMMYFUNCTION("""COMPUTED_VALUE"""),0.0)</f>
        <v>0</v>
      </c>
      <c r="F46" s="54">
        <f>IFERROR(__xludf.DUMMYFUNCTION("""COMPUTED_VALUE"""),0.0)</f>
        <v>0</v>
      </c>
      <c r="G46" s="54">
        <f>IFERROR(__xludf.DUMMYFUNCTION("""COMPUTED_VALUE"""),0.0)</f>
        <v>0</v>
      </c>
      <c r="H46" s="54">
        <f>IFERROR(__xludf.DUMMYFUNCTION("""COMPUTED_VALUE"""),0.0)</f>
        <v>0</v>
      </c>
      <c r="I46" s="54">
        <f>IFERROR(__xludf.DUMMYFUNCTION("""COMPUTED_VALUE"""),0.0)</f>
        <v>0</v>
      </c>
      <c r="J46" s="54"/>
      <c r="K46" s="80"/>
      <c r="L46" s="77">
        <f>IFERROR(__xludf.DUMMYFUNCTION("""COMPUTED_VALUE"""),44886.0)</f>
        <v>44886</v>
      </c>
      <c r="M46" s="172">
        <f>IFERROR(__xludf.DUMMYFUNCTION("""COMPUTED_VALUE"""),9.0)</f>
        <v>9</v>
      </c>
      <c r="N46" s="172">
        <f>IFERROR(__xludf.DUMMYFUNCTION("""COMPUTED_VALUE"""),9.0)</f>
        <v>9</v>
      </c>
      <c r="O46" s="172">
        <f>IFERROR(__xludf.DUMMYFUNCTION("""COMPUTED_VALUE"""),0.0)</f>
        <v>0</v>
      </c>
      <c r="P46" s="172">
        <f>IFERROR(__xludf.DUMMYFUNCTION("""COMPUTED_VALUE"""),0.0)</f>
        <v>0</v>
      </c>
      <c r="Q46" s="172">
        <f>IFERROR(__xludf.DUMMYFUNCTION("""COMPUTED_VALUE"""),0.0)</f>
        <v>0</v>
      </c>
      <c r="R46" s="172">
        <f>IFERROR(__xludf.DUMMYFUNCTION("""COMPUTED_VALUE"""),0.0)</f>
        <v>0</v>
      </c>
      <c r="S46" s="172">
        <f>IFERROR(__xludf.DUMMYFUNCTION("""COMPUTED_VALUE"""),0.0)</f>
        <v>0</v>
      </c>
      <c r="T46" s="172">
        <f>IFERROR(__xludf.DUMMYFUNCTION("""COMPUTED_VALUE"""),9.0)</f>
        <v>9</v>
      </c>
      <c r="U46" s="14"/>
      <c r="V46" s="80"/>
      <c r="W46" s="14">
        <f t="shared" si="39"/>
        <v>44886</v>
      </c>
      <c r="X46" s="172">
        <f t="shared" ref="X46:AC46" si="47">M46</f>
        <v>9</v>
      </c>
      <c r="Y46" s="172">
        <f t="shared" si="47"/>
        <v>9</v>
      </c>
      <c r="Z46" s="172">
        <f t="shared" si="47"/>
        <v>0</v>
      </c>
      <c r="AA46" s="172">
        <f t="shared" si="47"/>
        <v>0</v>
      </c>
      <c r="AB46" s="172">
        <f t="shared" si="47"/>
        <v>0</v>
      </c>
      <c r="AC46" s="172">
        <f t="shared" si="47"/>
        <v>0</v>
      </c>
    </row>
    <row r="47">
      <c r="B47" s="12">
        <f>IFERROR(__xludf.DUMMYFUNCTION("""COMPUTED_VALUE"""),44872.0)</f>
        <v>44872</v>
      </c>
      <c r="C47" s="54">
        <f>IFERROR(__xludf.DUMMYFUNCTION("""COMPUTED_VALUE"""),9.0)</f>
        <v>9</v>
      </c>
      <c r="D47" s="54">
        <f>IFERROR(__xludf.DUMMYFUNCTION("""COMPUTED_VALUE"""),9.0)</f>
        <v>9</v>
      </c>
      <c r="E47" s="54">
        <f>IFERROR(__xludf.DUMMYFUNCTION("""COMPUTED_VALUE"""),0.0)</f>
        <v>0</v>
      </c>
      <c r="F47" s="54">
        <f>IFERROR(__xludf.DUMMYFUNCTION("""COMPUTED_VALUE"""),0.0)</f>
        <v>0</v>
      </c>
      <c r="G47" s="54">
        <f>IFERROR(__xludf.DUMMYFUNCTION("""COMPUTED_VALUE"""),0.0)</f>
        <v>0</v>
      </c>
      <c r="H47" s="54">
        <f>IFERROR(__xludf.DUMMYFUNCTION("""COMPUTED_VALUE"""),0.0)</f>
        <v>0</v>
      </c>
      <c r="I47" s="54">
        <f>IFERROR(__xludf.DUMMYFUNCTION("""COMPUTED_VALUE"""),0.0)</f>
        <v>0</v>
      </c>
      <c r="J47" s="54" t="b">
        <f>IFERROR(__xludf.DUMMYFUNCTION("""COMPUTED_VALUE"""),TRUE)</f>
        <v>1</v>
      </c>
      <c r="K47" s="80"/>
      <c r="L47" s="77">
        <f>IFERROR(__xludf.DUMMYFUNCTION("""COMPUTED_VALUE"""),44887.0)</f>
        <v>44887</v>
      </c>
      <c r="M47" s="172">
        <f>IFERROR(__xludf.DUMMYFUNCTION("""COMPUTED_VALUE"""),11.0)</f>
        <v>11</v>
      </c>
      <c r="N47" s="172">
        <f>IFERROR(__xludf.DUMMYFUNCTION("""COMPUTED_VALUE"""),11.0)</f>
        <v>11</v>
      </c>
      <c r="O47" s="172">
        <f>IFERROR(__xludf.DUMMYFUNCTION("""COMPUTED_VALUE"""),0.0)</f>
        <v>0</v>
      </c>
      <c r="P47" s="172">
        <f>IFERROR(__xludf.DUMMYFUNCTION("""COMPUTED_VALUE"""),0.0)</f>
        <v>0</v>
      </c>
      <c r="Q47" s="172">
        <f>IFERROR(__xludf.DUMMYFUNCTION("""COMPUTED_VALUE"""),0.0)</f>
        <v>0</v>
      </c>
      <c r="R47" s="172">
        <f>IFERROR(__xludf.DUMMYFUNCTION("""COMPUTED_VALUE"""),0.0)</f>
        <v>0</v>
      </c>
      <c r="S47" s="172">
        <f>IFERROR(__xludf.DUMMYFUNCTION("""COMPUTED_VALUE"""),0.0)</f>
        <v>0</v>
      </c>
      <c r="T47" s="172">
        <f>IFERROR(__xludf.DUMMYFUNCTION("""COMPUTED_VALUE"""),11.0)</f>
        <v>11</v>
      </c>
      <c r="U47" s="14"/>
      <c r="V47" s="80"/>
      <c r="W47" s="14">
        <f t="shared" si="39"/>
        <v>44887</v>
      </c>
      <c r="X47" s="172">
        <f t="shared" ref="X47:AC47" si="48">M47</f>
        <v>11</v>
      </c>
      <c r="Y47" s="172">
        <f t="shared" si="48"/>
        <v>11</v>
      </c>
      <c r="Z47" s="172">
        <f t="shared" si="48"/>
        <v>0</v>
      </c>
      <c r="AA47" s="172">
        <f t="shared" si="48"/>
        <v>0</v>
      </c>
      <c r="AB47" s="172">
        <f t="shared" si="48"/>
        <v>0</v>
      </c>
      <c r="AC47" s="172">
        <f t="shared" si="48"/>
        <v>0</v>
      </c>
    </row>
    <row r="48">
      <c r="B48" s="12">
        <f>IFERROR(__xludf.DUMMYFUNCTION("""COMPUTED_VALUE"""),44873.0)</f>
        <v>44873</v>
      </c>
      <c r="C48" s="54">
        <f>IFERROR(__xludf.DUMMYFUNCTION("""COMPUTED_VALUE"""),10.0)</f>
        <v>10</v>
      </c>
      <c r="D48" s="54">
        <f>IFERROR(__xludf.DUMMYFUNCTION("""COMPUTED_VALUE"""),10.0)</f>
        <v>10</v>
      </c>
      <c r="E48" s="54">
        <f>IFERROR(__xludf.DUMMYFUNCTION("""COMPUTED_VALUE"""),0.0)</f>
        <v>0</v>
      </c>
      <c r="F48" s="54">
        <f>IFERROR(__xludf.DUMMYFUNCTION("""COMPUTED_VALUE"""),0.0)</f>
        <v>0</v>
      </c>
      <c r="G48" s="54">
        <f>IFERROR(__xludf.DUMMYFUNCTION("""COMPUTED_VALUE"""),0.0)</f>
        <v>0</v>
      </c>
      <c r="H48" s="54">
        <f>IFERROR(__xludf.DUMMYFUNCTION("""COMPUTED_VALUE"""),0.0)</f>
        <v>0</v>
      </c>
      <c r="I48" s="54">
        <f>IFERROR(__xludf.DUMMYFUNCTION("""COMPUTED_VALUE"""),0.0)</f>
        <v>0</v>
      </c>
      <c r="J48" s="54" t="b">
        <f>IFERROR(__xludf.DUMMYFUNCTION("""COMPUTED_VALUE"""),TRUE)</f>
        <v>1</v>
      </c>
      <c r="K48" s="80"/>
      <c r="L48" s="77">
        <f>IFERROR(__xludf.DUMMYFUNCTION("""COMPUTED_VALUE"""),44890.0)</f>
        <v>44890</v>
      </c>
      <c r="M48" s="172">
        <f>IFERROR(__xludf.DUMMYFUNCTION("""COMPUTED_VALUE"""),3.0)</f>
        <v>3</v>
      </c>
      <c r="N48" s="172">
        <f>IFERROR(__xludf.DUMMYFUNCTION("""COMPUTED_VALUE"""),3.0)</f>
        <v>3</v>
      </c>
      <c r="O48" s="172">
        <f>IFERROR(__xludf.DUMMYFUNCTION("""COMPUTED_VALUE"""),0.0)</f>
        <v>0</v>
      </c>
      <c r="P48" s="172">
        <f>IFERROR(__xludf.DUMMYFUNCTION("""COMPUTED_VALUE"""),0.0)</f>
        <v>0</v>
      </c>
      <c r="Q48" s="172">
        <f>IFERROR(__xludf.DUMMYFUNCTION("""COMPUTED_VALUE"""),0.0)</f>
        <v>0</v>
      </c>
      <c r="R48" s="172">
        <f>IFERROR(__xludf.DUMMYFUNCTION("""COMPUTED_VALUE"""),0.0)</f>
        <v>0</v>
      </c>
      <c r="S48" s="172">
        <f>IFERROR(__xludf.DUMMYFUNCTION("""COMPUTED_VALUE"""),0.0)</f>
        <v>0</v>
      </c>
      <c r="T48" s="172">
        <f>IFERROR(__xludf.DUMMYFUNCTION("""COMPUTED_VALUE"""),3.0)</f>
        <v>3</v>
      </c>
      <c r="U48" s="14"/>
      <c r="V48" s="80"/>
      <c r="W48" s="14">
        <f t="shared" si="39"/>
        <v>44890</v>
      </c>
      <c r="X48" s="172">
        <f t="shared" ref="X48:AC48" si="49">M48</f>
        <v>3</v>
      </c>
      <c r="Y48" s="172">
        <f t="shared" si="49"/>
        <v>3</v>
      </c>
      <c r="Z48" s="172">
        <f t="shared" si="49"/>
        <v>0</v>
      </c>
      <c r="AA48" s="172">
        <f t="shared" si="49"/>
        <v>0</v>
      </c>
      <c r="AB48" s="172">
        <f t="shared" si="49"/>
        <v>0</v>
      </c>
      <c r="AC48" s="172">
        <f t="shared" si="49"/>
        <v>0</v>
      </c>
    </row>
    <row r="49">
      <c r="B49" s="12">
        <f>IFERROR(__xludf.DUMMYFUNCTION("""COMPUTED_VALUE"""),44874.0)</f>
        <v>44874</v>
      </c>
      <c r="C49" s="54">
        <f>IFERROR(__xludf.DUMMYFUNCTION("""COMPUTED_VALUE"""),8.0)</f>
        <v>8</v>
      </c>
      <c r="D49" s="54">
        <f>IFERROR(__xludf.DUMMYFUNCTION("""COMPUTED_VALUE"""),8.0)</f>
        <v>8</v>
      </c>
      <c r="E49" s="54">
        <f>IFERROR(__xludf.DUMMYFUNCTION("""COMPUTED_VALUE"""),0.0)</f>
        <v>0</v>
      </c>
      <c r="F49" s="54">
        <f>IFERROR(__xludf.DUMMYFUNCTION("""COMPUTED_VALUE"""),0.0)</f>
        <v>0</v>
      </c>
      <c r="G49" s="54">
        <f>IFERROR(__xludf.DUMMYFUNCTION("""COMPUTED_VALUE"""),0.0)</f>
        <v>0</v>
      </c>
      <c r="H49" s="54">
        <f>IFERROR(__xludf.DUMMYFUNCTION("""COMPUTED_VALUE"""),0.0)</f>
        <v>0</v>
      </c>
      <c r="I49" s="54">
        <f>IFERROR(__xludf.DUMMYFUNCTION("""COMPUTED_VALUE"""),0.0)</f>
        <v>0</v>
      </c>
      <c r="J49" s="54" t="b">
        <f>IFERROR(__xludf.DUMMYFUNCTION("""COMPUTED_VALUE"""),TRUE)</f>
        <v>1</v>
      </c>
      <c r="K49" s="80"/>
      <c r="L49" s="77">
        <f>IFERROR(__xludf.DUMMYFUNCTION("""COMPUTED_VALUE"""),44892.0)</f>
        <v>44892</v>
      </c>
      <c r="M49" s="172">
        <f>IFERROR(__xludf.DUMMYFUNCTION("""COMPUTED_VALUE"""),4.0)</f>
        <v>4</v>
      </c>
      <c r="N49" s="172">
        <f>IFERROR(__xludf.DUMMYFUNCTION("""COMPUTED_VALUE"""),4.0)</f>
        <v>4</v>
      </c>
      <c r="O49" s="172">
        <f>IFERROR(__xludf.DUMMYFUNCTION("""COMPUTED_VALUE"""),0.0)</f>
        <v>0</v>
      </c>
      <c r="P49" s="172">
        <f>IFERROR(__xludf.DUMMYFUNCTION("""COMPUTED_VALUE"""),0.0)</f>
        <v>0</v>
      </c>
      <c r="Q49" s="172">
        <f>IFERROR(__xludf.DUMMYFUNCTION("""COMPUTED_VALUE"""),0.0)</f>
        <v>0</v>
      </c>
      <c r="R49" s="172">
        <f>IFERROR(__xludf.DUMMYFUNCTION("""COMPUTED_VALUE"""),0.0)</f>
        <v>0</v>
      </c>
      <c r="S49" s="172">
        <f>IFERROR(__xludf.DUMMYFUNCTION("""COMPUTED_VALUE"""),0.0)</f>
        <v>0</v>
      </c>
      <c r="T49" s="172">
        <f>IFERROR(__xludf.DUMMYFUNCTION("""COMPUTED_VALUE"""),4.0)</f>
        <v>4</v>
      </c>
      <c r="U49" s="14"/>
      <c r="V49" s="80"/>
      <c r="W49" s="14">
        <f t="shared" si="39"/>
        <v>44892</v>
      </c>
      <c r="X49" s="172">
        <f t="shared" ref="X49:AC49" si="50">M49</f>
        <v>4</v>
      </c>
      <c r="Y49" s="172">
        <f t="shared" si="50"/>
        <v>4</v>
      </c>
      <c r="Z49" s="172">
        <f t="shared" si="50"/>
        <v>0</v>
      </c>
      <c r="AA49" s="172">
        <f t="shared" si="50"/>
        <v>0</v>
      </c>
      <c r="AB49" s="172">
        <f t="shared" si="50"/>
        <v>0</v>
      </c>
      <c r="AC49" s="172">
        <f t="shared" si="50"/>
        <v>0</v>
      </c>
    </row>
    <row r="50">
      <c r="B50" s="12">
        <f>IFERROR(__xludf.DUMMYFUNCTION("""COMPUTED_VALUE"""),44875.0)</f>
        <v>44875</v>
      </c>
      <c r="C50" s="54">
        <f>IFERROR(__xludf.DUMMYFUNCTION("""COMPUTED_VALUE"""),9.0)</f>
        <v>9</v>
      </c>
      <c r="D50" s="54">
        <f>IFERROR(__xludf.DUMMYFUNCTION("""COMPUTED_VALUE"""),9.0)</f>
        <v>9</v>
      </c>
      <c r="E50" s="54">
        <f>IFERROR(__xludf.DUMMYFUNCTION("""COMPUTED_VALUE"""),0.0)</f>
        <v>0</v>
      </c>
      <c r="F50" s="54">
        <f>IFERROR(__xludf.DUMMYFUNCTION("""COMPUTED_VALUE"""),0.0)</f>
        <v>0</v>
      </c>
      <c r="G50" s="54">
        <f>IFERROR(__xludf.DUMMYFUNCTION("""COMPUTED_VALUE"""),0.0)</f>
        <v>0</v>
      </c>
      <c r="H50" s="54">
        <f>IFERROR(__xludf.DUMMYFUNCTION("""COMPUTED_VALUE"""),0.0)</f>
        <v>0</v>
      </c>
      <c r="I50" s="54">
        <f>IFERROR(__xludf.DUMMYFUNCTION("""COMPUTED_VALUE"""),0.0)</f>
        <v>0</v>
      </c>
      <c r="J50" s="54" t="b">
        <f>IFERROR(__xludf.DUMMYFUNCTION("""COMPUTED_VALUE"""),TRUE)</f>
        <v>1</v>
      </c>
      <c r="K50" s="80"/>
      <c r="L50" s="77">
        <f>IFERROR(__xludf.DUMMYFUNCTION("""COMPUTED_VALUE"""),44894.0)</f>
        <v>44894</v>
      </c>
      <c r="M50" s="172">
        <f>IFERROR(__xludf.DUMMYFUNCTION("""COMPUTED_VALUE"""),21.0)</f>
        <v>21</v>
      </c>
      <c r="N50" s="172">
        <f>IFERROR(__xludf.DUMMYFUNCTION("""COMPUTED_VALUE"""),21.0)</f>
        <v>21</v>
      </c>
      <c r="O50" s="172">
        <f>IFERROR(__xludf.DUMMYFUNCTION("""COMPUTED_VALUE"""),0.0)</f>
        <v>0</v>
      </c>
      <c r="P50" s="172">
        <f>IFERROR(__xludf.DUMMYFUNCTION("""COMPUTED_VALUE"""),0.0)</f>
        <v>0</v>
      </c>
      <c r="Q50" s="172">
        <f>IFERROR(__xludf.DUMMYFUNCTION("""COMPUTED_VALUE"""),0.0)</f>
        <v>0</v>
      </c>
      <c r="R50" s="172">
        <f>IFERROR(__xludf.DUMMYFUNCTION("""COMPUTED_VALUE"""),0.0)</f>
        <v>0</v>
      </c>
      <c r="S50" s="172">
        <f>IFERROR(__xludf.DUMMYFUNCTION("""COMPUTED_VALUE"""),0.0)</f>
        <v>0</v>
      </c>
      <c r="T50" s="172">
        <f>IFERROR(__xludf.DUMMYFUNCTION("""COMPUTED_VALUE"""),21.0)</f>
        <v>21</v>
      </c>
      <c r="U50" s="14"/>
      <c r="V50" s="80"/>
      <c r="W50" s="14">
        <f t="shared" si="39"/>
        <v>44894</v>
      </c>
      <c r="X50" s="172">
        <f t="shared" ref="X50:AC50" si="51">M50</f>
        <v>21</v>
      </c>
      <c r="Y50" s="172">
        <f t="shared" si="51"/>
        <v>21</v>
      </c>
      <c r="Z50" s="172">
        <f t="shared" si="51"/>
        <v>0</v>
      </c>
      <c r="AA50" s="172">
        <f t="shared" si="51"/>
        <v>0</v>
      </c>
      <c r="AB50" s="172">
        <f t="shared" si="51"/>
        <v>0</v>
      </c>
      <c r="AC50" s="172">
        <f t="shared" si="51"/>
        <v>0</v>
      </c>
    </row>
    <row r="51">
      <c r="B51" s="12">
        <f>IFERROR(__xludf.DUMMYFUNCTION("""COMPUTED_VALUE"""),44876.0)</f>
        <v>44876</v>
      </c>
      <c r="C51" s="54">
        <f>IFERROR(__xludf.DUMMYFUNCTION("""COMPUTED_VALUE"""),5.0)</f>
        <v>5</v>
      </c>
      <c r="D51" s="54">
        <f>IFERROR(__xludf.DUMMYFUNCTION("""COMPUTED_VALUE"""),5.0)</f>
        <v>5</v>
      </c>
      <c r="E51" s="54">
        <f>IFERROR(__xludf.DUMMYFUNCTION("""COMPUTED_VALUE"""),0.0)</f>
        <v>0</v>
      </c>
      <c r="F51" s="54">
        <f>IFERROR(__xludf.DUMMYFUNCTION("""COMPUTED_VALUE"""),0.0)</f>
        <v>0</v>
      </c>
      <c r="G51" s="54">
        <f>IFERROR(__xludf.DUMMYFUNCTION("""COMPUTED_VALUE"""),0.0)</f>
        <v>0</v>
      </c>
      <c r="H51" s="54">
        <f>IFERROR(__xludf.DUMMYFUNCTION("""COMPUTED_VALUE"""),0.0)</f>
        <v>0</v>
      </c>
      <c r="I51" s="54">
        <f>IFERROR(__xludf.DUMMYFUNCTION("""COMPUTED_VALUE"""),0.0)</f>
        <v>0</v>
      </c>
      <c r="J51" s="54" t="b">
        <f>IFERROR(__xludf.DUMMYFUNCTION("""COMPUTED_VALUE"""),TRUE)</f>
        <v>1</v>
      </c>
      <c r="K51" s="80"/>
      <c r="L51" s="77">
        <f>IFERROR(__xludf.DUMMYFUNCTION("""COMPUTED_VALUE"""),44895.0)</f>
        <v>44895</v>
      </c>
      <c r="M51" s="172">
        <f>IFERROR(__xludf.DUMMYFUNCTION("""COMPUTED_VALUE"""),9.0)</f>
        <v>9</v>
      </c>
      <c r="N51" s="172">
        <f>IFERROR(__xludf.DUMMYFUNCTION("""COMPUTED_VALUE"""),9.0)</f>
        <v>9</v>
      </c>
      <c r="O51" s="172">
        <f>IFERROR(__xludf.DUMMYFUNCTION("""COMPUTED_VALUE"""),0.0)</f>
        <v>0</v>
      </c>
      <c r="P51" s="172">
        <f>IFERROR(__xludf.DUMMYFUNCTION("""COMPUTED_VALUE"""),0.0)</f>
        <v>0</v>
      </c>
      <c r="Q51" s="172">
        <f>IFERROR(__xludf.DUMMYFUNCTION("""COMPUTED_VALUE"""),0.0)</f>
        <v>0</v>
      </c>
      <c r="R51" s="172">
        <f>IFERROR(__xludf.DUMMYFUNCTION("""COMPUTED_VALUE"""),0.0)</f>
        <v>0</v>
      </c>
      <c r="S51" s="172">
        <f>IFERROR(__xludf.DUMMYFUNCTION("""COMPUTED_VALUE"""),0.0)</f>
        <v>0</v>
      </c>
      <c r="T51" s="172">
        <f>IFERROR(__xludf.DUMMYFUNCTION("""COMPUTED_VALUE"""),9.0)</f>
        <v>9</v>
      </c>
      <c r="U51" s="14"/>
      <c r="V51" s="80"/>
      <c r="W51" s="14">
        <f t="shared" si="39"/>
        <v>44895</v>
      </c>
      <c r="X51" s="172">
        <f t="shared" ref="X51:AC51" si="52">M51</f>
        <v>9</v>
      </c>
      <c r="Y51" s="172">
        <f t="shared" si="52"/>
        <v>9</v>
      </c>
      <c r="Z51" s="172">
        <f t="shared" si="52"/>
        <v>0</v>
      </c>
      <c r="AA51" s="172">
        <f t="shared" si="52"/>
        <v>0</v>
      </c>
      <c r="AB51" s="172">
        <f t="shared" si="52"/>
        <v>0</v>
      </c>
      <c r="AC51" s="172">
        <f t="shared" si="52"/>
        <v>0</v>
      </c>
    </row>
    <row r="52">
      <c r="B52" s="12">
        <f>IFERROR(__xludf.DUMMYFUNCTION("""COMPUTED_VALUE"""),44879.0)</f>
        <v>44879</v>
      </c>
      <c r="C52" s="54">
        <f>IFERROR(__xludf.DUMMYFUNCTION("""COMPUTED_VALUE"""),8.0)</f>
        <v>8</v>
      </c>
      <c r="D52" s="54">
        <f>IFERROR(__xludf.DUMMYFUNCTION("""COMPUTED_VALUE"""),8.0)</f>
        <v>8</v>
      </c>
      <c r="E52" s="54">
        <f>IFERROR(__xludf.DUMMYFUNCTION("""COMPUTED_VALUE"""),0.0)</f>
        <v>0</v>
      </c>
      <c r="F52" s="54">
        <f>IFERROR(__xludf.DUMMYFUNCTION("""COMPUTED_VALUE"""),0.0)</f>
        <v>0</v>
      </c>
      <c r="G52" s="54">
        <f>IFERROR(__xludf.DUMMYFUNCTION("""COMPUTED_VALUE"""),0.0)</f>
        <v>0</v>
      </c>
      <c r="H52" s="54">
        <f>IFERROR(__xludf.DUMMYFUNCTION("""COMPUTED_VALUE"""),0.0)</f>
        <v>0</v>
      </c>
      <c r="I52" s="54">
        <f>IFERROR(__xludf.DUMMYFUNCTION("""COMPUTED_VALUE"""),0.0)</f>
        <v>0</v>
      </c>
      <c r="J52" s="54"/>
      <c r="K52" s="80"/>
      <c r="L52" s="77">
        <f>IFERROR(__xludf.DUMMYFUNCTION("""COMPUTED_VALUE"""),44896.0)</f>
        <v>44896</v>
      </c>
      <c r="M52" s="172">
        <f>IFERROR(__xludf.DUMMYFUNCTION("""COMPUTED_VALUE"""),7.0)</f>
        <v>7</v>
      </c>
      <c r="N52" s="172">
        <f>IFERROR(__xludf.DUMMYFUNCTION("""COMPUTED_VALUE"""),7.0)</f>
        <v>7</v>
      </c>
      <c r="O52" s="172">
        <f>IFERROR(__xludf.DUMMYFUNCTION("""COMPUTED_VALUE"""),0.0)</f>
        <v>0</v>
      </c>
      <c r="P52" s="172">
        <f>IFERROR(__xludf.DUMMYFUNCTION("""COMPUTED_VALUE"""),0.0)</f>
        <v>0</v>
      </c>
      <c r="Q52" s="172">
        <f>IFERROR(__xludf.DUMMYFUNCTION("""COMPUTED_VALUE"""),0.0)</f>
        <v>0</v>
      </c>
      <c r="R52" s="172">
        <f>IFERROR(__xludf.DUMMYFUNCTION("""COMPUTED_VALUE"""),0.0)</f>
        <v>0</v>
      </c>
      <c r="S52" s="172">
        <f>IFERROR(__xludf.DUMMYFUNCTION("""COMPUTED_VALUE"""),0.0)</f>
        <v>0</v>
      </c>
      <c r="T52" s="172">
        <f>IFERROR(__xludf.DUMMYFUNCTION("""COMPUTED_VALUE"""),7.0)</f>
        <v>7</v>
      </c>
      <c r="U52" s="14"/>
      <c r="V52" s="80"/>
      <c r="W52" s="14">
        <f t="shared" si="39"/>
        <v>44896</v>
      </c>
      <c r="X52" s="172">
        <f t="shared" ref="X52:AC52" si="53">M52</f>
        <v>7</v>
      </c>
      <c r="Y52" s="172">
        <f t="shared" si="53"/>
        <v>7</v>
      </c>
      <c r="Z52" s="172">
        <f t="shared" si="53"/>
        <v>0</v>
      </c>
      <c r="AA52" s="172">
        <f t="shared" si="53"/>
        <v>0</v>
      </c>
      <c r="AB52" s="172">
        <f t="shared" si="53"/>
        <v>0</v>
      </c>
      <c r="AC52" s="172">
        <f t="shared" si="53"/>
        <v>0</v>
      </c>
    </row>
    <row r="53">
      <c r="B53" s="12">
        <f>IFERROR(__xludf.DUMMYFUNCTION("""COMPUTED_VALUE"""),44880.0)</f>
        <v>44880</v>
      </c>
      <c r="C53" s="54">
        <f>IFERROR(__xludf.DUMMYFUNCTION("""COMPUTED_VALUE"""),8.0)</f>
        <v>8</v>
      </c>
      <c r="D53" s="54">
        <f>IFERROR(__xludf.DUMMYFUNCTION("""COMPUTED_VALUE"""),8.0)</f>
        <v>8</v>
      </c>
      <c r="E53" s="54">
        <f>IFERROR(__xludf.DUMMYFUNCTION("""COMPUTED_VALUE"""),0.0)</f>
        <v>0</v>
      </c>
      <c r="F53" s="54">
        <f>IFERROR(__xludf.DUMMYFUNCTION("""COMPUTED_VALUE"""),0.0)</f>
        <v>0</v>
      </c>
      <c r="G53" s="54">
        <f>IFERROR(__xludf.DUMMYFUNCTION("""COMPUTED_VALUE"""),0.0)</f>
        <v>0</v>
      </c>
      <c r="H53" s="54">
        <f>IFERROR(__xludf.DUMMYFUNCTION("""COMPUTED_VALUE"""),0.0)</f>
        <v>0</v>
      </c>
      <c r="I53" s="54">
        <f>IFERROR(__xludf.DUMMYFUNCTION("""COMPUTED_VALUE"""),0.0)</f>
        <v>0</v>
      </c>
      <c r="J53" s="54" t="b">
        <f>IFERROR(__xludf.DUMMYFUNCTION("""COMPUTED_VALUE"""),TRUE)</f>
        <v>1</v>
      </c>
      <c r="K53" s="80"/>
      <c r="L53" s="77">
        <f>IFERROR(__xludf.DUMMYFUNCTION("""COMPUTED_VALUE"""),44900.0)</f>
        <v>44900</v>
      </c>
      <c r="M53" s="172">
        <f>IFERROR(__xludf.DUMMYFUNCTION("""COMPUTED_VALUE"""),14.0)</f>
        <v>14</v>
      </c>
      <c r="N53" s="172">
        <f>IFERROR(__xludf.DUMMYFUNCTION("""COMPUTED_VALUE"""),14.0)</f>
        <v>14</v>
      </c>
      <c r="O53" s="172">
        <f>IFERROR(__xludf.DUMMYFUNCTION("""COMPUTED_VALUE"""),0.0)</f>
        <v>0</v>
      </c>
      <c r="P53" s="172">
        <f>IFERROR(__xludf.DUMMYFUNCTION("""COMPUTED_VALUE"""),0.0)</f>
        <v>0</v>
      </c>
      <c r="Q53" s="172">
        <f>IFERROR(__xludf.DUMMYFUNCTION("""COMPUTED_VALUE"""),0.0)</f>
        <v>0</v>
      </c>
      <c r="R53" s="172">
        <f>IFERROR(__xludf.DUMMYFUNCTION("""COMPUTED_VALUE"""),0.0)</f>
        <v>0</v>
      </c>
      <c r="S53" s="172">
        <f>IFERROR(__xludf.DUMMYFUNCTION("""COMPUTED_VALUE"""),0.0)</f>
        <v>0</v>
      </c>
      <c r="T53" s="172">
        <f>IFERROR(__xludf.DUMMYFUNCTION("""COMPUTED_VALUE"""),14.0)</f>
        <v>14</v>
      </c>
      <c r="U53" s="14"/>
      <c r="V53" s="80"/>
      <c r="W53" s="14">
        <f t="shared" si="39"/>
        <v>44900</v>
      </c>
      <c r="X53" s="172">
        <f t="shared" ref="X53:AC53" si="54">M53</f>
        <v>14</v>
      </c>
      <c r="Y53" s="172">
        <f t="shared" si="54"/>
        <v>14</v>
      </c>
      <c r="Z53" s="172">
        <f t="shared" si="54"/>
        <v>0</v>
      </c>
      <c r="AA53" s="172">
        <f t="shared" si="54"/>
        <v>0</v>
      </c>
      <c r="AB53" s="172">
        <f t="shared" si="54"/>
        <v>0</v>
      </c>
      <c r="AC53" s="172">
        <f t="shared" si="54"/>
        <v>0</v>
      </c>
    </row>
    <row r="54">
      <c r="B54" s="12">
        <f>IFERROR(__xludf.DUMMYFUNCTION("""COMPUTED_VALUE"""),44881.0)</f>
        <v>44881</v>
      </c>
      <c r="C54" s="54">
        <f>IFERROR(__xludf.DUMMYFUNCTION("""COMPUTED_VALUE"""),9.0)</f>
        <v>9</v>
      </c>
      <c r="D54" s="54">
        <f>IFERROR(__xludf.DUMMYFUNCTION("""COMPUTED_VALUE"""),9.0)</f>
        <v>9</v>
      </c>
      <c r="E54" s="54">
        <f>IFERROR(__xludf.DUMMYFUNCTION("""COMPUTED_VALUE"""),0.0)</f>
        <v>0</v>
      </c>
      <c r="F54" s="54">
        <f>IFERROR(__xludf.DUMMYFUNCTION("""COMPUTED_VALUE"""),0.0)</f>
        <v>0</v>
      </c>
      <c r="G54" s="54">
        <f>IFERROR(__xludf.DUMMYFUNCTION("""COMPUTED_VALUE"""),0.0)</f>
        <v>0</v>
      </c>
      <c r="H54" s="54">
        <f>IFERROR(__xludf.DUMMYFUNCTION("""COMPUTED_VALUE"""),0.0)</f>
        <v>0</v>
      </c>
      <c r="I54" s="54">
        <f>IFERROR(__xludf.DUMMYFUNCTION("""COMPUTED_VALUE"""),0.0)</f>
        <v>0</v>
      </c>
      <c r="J54" s="54" t="b">
        <f>IFERROR(__xludf.DUMMYFUNCTION("""COMPUTED_VALUE"""),TRUE)</f>
        <v>1</v>
      </c>
      <c r="K54" s="80"/>
      <c r="L54" s="77">
        <f>IFERROR(__xludf.DUMMYFUNCTION("""COMPUTED_VALUE"""),44901.0)</f>
        <v>44901</v>
      </c>
      <c r="M54" s="172">
        <f>IFERROR(__xludf.DUMMYFUNCTION("""COMPUTED_VALUE"""),8.0)</f>
        <v>8</v>
      </c>
      <c r="N54" s="172">
        <f>IFERROR(__xludf.DUMMYFUNCTION("""COMPUTED_VALUE"""),8.0)</f>
        <v>8</v>
      </c>
      <c r="O54" s="172">
        <f>IFERROR(__xludf.DUMMYFUNCTION("""COMPUTED_VALUE"""),0.0)</f>
        <v>0</v>
      </c>
      <c r="P54" s="172">
        <f>IFERROR(__xludf.DUMMYFUNCTION("""COMPUTED_VALUE"""),0.0)</f>
        <v>0</v>
      </c>
      <c r="Q54" s="172">
        <f>IFERROR(__xludf.DUMMYFUNCTION("""COMPUTED_VALUE"""),0.0)</f>
        <v>0</v>
      </c>
      <c r="R54" s="172">
        <f>IFERROR(__xludf.DUMMYFUNCTION("""COMPUTED_VALUE"""),0.0)</f>
        <v>0</v>
      </c>
      <c r="S54" s="172">
        <f>IFERROR(__xludf.DUMMYFUNCTION("""COMPUTED_VALUE"""),0.0)</f>
        <v>0</v>
      </c>
      <c r="T54" s="172">
        <f>IFERROR(__xludf.DUMMYFUNCTION("""COMPUTED_VALUE"""),8.0)</f>
        <v>8</v>
      </c>
      <c r="U54" s="14"/>
      <c r="V54" s="80"/>
      <c r="W54" s="14">
        <f t="shared" si="39"/>
        <v>44901</v>
      </c>
      <c r="X54" s="172">
        <f t="shared" ref="X54:AC54" si="55">M54</f>
        <v>8</v>
      </c>
      <c r="Y54" s="172">
        <f t="shared" si="55"/>
        <v>8</v>
      </c>
      <c r="Z54" s="172">
        <f t="shared" si="55"/>
        <v>0</v>
      </c>
      <c r="AA54" s="172">
        <f t="shared" si="55"/>
        <v>0</v>
      </c>
      <c r="AB54" s="172">
        <f t="shared" si="55"/>
        <v>0</v>
      </c>
      <c r="AC54" s="172">
        <f t="shared" si="55"/>
        <v>0</v>
      </c>
    </row>
    <row r="55">
      <c r="B55" s="12">
        <f>IFERROR(__xludf.DUMMYFUNCTION("""COMPUTED_VALUE"""),44882.0)</f>
        <v>44882</v>
      </c>
      <c r="C55" s="54">
        <f>IFERROR(__xludf.DUMMYFUNCTION("""COMPUTED_VALUE"""),5.0)</f>
        <v>5</v>
      </c>
      <c r="D55" s="54">
        <f>IFERROR(__xludf.DUMMYFUNCTION("""COMPUTED_VALUE"""),5.0)</f>
        <v>5</v>
      </c>
      <c r="E55" s="54">
        <f>IFERROR(__xludf.DUMMYFUNCTION("""COMPUTED_VALUE"""),0.0)</f>
        <v>0</v>
      </c>
      <c r="F55" s="54">
        <f>IFERROR(__xludf.DUMMYFUNCTION("""COMPUTED_VALUE"""),0.0)</f>
        <v>0</v>
      </c>
      <c r="G55" s="54">
        <f>IFERROR(__xludf.DUMMYFUNCTION("""COMPUTED_VALUE"""),0.0)</f>
        <v>0</v>
      </c>
      <c r="H55" s="54">
        <f>IFERROR(__xludf.DUMMYFUNCTION("""COMPUTED_VALUE"""),0.0)</f>
        <v>0</v>
      </c>
      <c r="I55" s="54">
        <f>IFERROR(__xludf.DUMMYFUNCTION("""COMPUTED_VALUE"""),0.0)</f>
        <v>0</v>
      </c>
      <c r="J55" s="54"/>
      <c r="K55" s="80"/>
      <c r="L55" s="77">
        <f>IFERROR(__xludf.DUMMYFUNCTION("""COMPUTED_VALUE"""),44902.0)</f>
        <v>44902</v>
      </c>
      <c r="M55" s="172">
        <f>IFERROR(__xludf.DUMMYFUNCTION("""COMPUTED_VALUE"""),8.0)</f>
        <v>8</v>
      </c>
      <c r="N55" s="172">
        <f>IFERROR(__xludf.DUMMYFUNCTION("""COMPUTED_VALUE"""),8.0)</f>
        <v>8</v>
      </c>
      <c r="O55" s="172">
        <f>IFERROR(__xludf.DUMMYFUNCTION("""COMPUTED_VALUE"""),0.0)</f>
        <v>0</v>
      </c>
      <c r="P55" s="172">
        <f>IFERROR(__xludf.DUMMYFUNCTION("""COMPUTED_VALUE"""),0.0)</f>
        <v>0</v>
      </c>
      <c r="Q55" s="172">
        <f>IFERROR(__xludf.DUMMYFUNCTION("""COMPUTED_VALUE"""),0.0)</f>
        <v>0</v>
      </c>
      <c r="R55" s="172">
        <f>IFERROR(__xludf.DUMMYFUNCTION("""COMPUTED_VALUE"""),0.0)</f>
        <v>0</v>
      </c>
      <c r="S55" s="172">
        <f>IFERROR(__xludf.DUMMYFUNCTION("""COMPUTED_VALUE"""),0.0)</f>
        <v>0</v>
      </c>
      <c r="T55" s="172">
        <f>IFERROR(__xludf.DUMMYFUNCTION("""COMPUTED_VALUE"""),8.0)</f>
        <v>8</v>
      </c>
      <c r="U55" s="14"/>
      <c r="V55" s="80"/>
      <c r="W55" s="14">
        <f t="shared" si="39"/>
        <v>44902</v>
      </c>
      <c r="X55" s="172">
        <f t="shared" ref="X55:AC55" si="56">M55</f>
        <v>8</v>
      </c>
      <c r="Y55" s="172">
        <f t="shared" si="56"/>
        <v>8</v>
      </c>
      <c r="Z55" s="172">
        <f t="shared" si="56"/>
        <v>0</v>
      </c>
      <c r="AA55" s="172">
        <f t="shared" si="56"/>
        <v>0</v>
      </c>
      <c r="AB55" s="172">
        <f t="shared" si="56"/>
        <v>0</v>
      </c>
      <c r="AC55" s="172">
        <f t="shared" si="56"/>
        <v>0</v>
      </c>
    </row>
    <row r="56">
      <c r="B56" s="12">
        <f>IFERROR(__xludf.DUMMYFUNCTION("""COMPUTED_VALUE"""),44883.0)</f>
        <v>44883</v>
      </c>
      <c r="C56" s="54">
        <f>IFERROR(__xludf.DUMMYFUNCTION("""COMPUTED_VALUE"""),5.0)</f>
        <v>5</v>
      </c>
      <c r="D56" s="54">
        <f>IFERROR(__xludf.DUMMYFUNCTION("""COMPUTED_VALUE"""),5.0)</f>
        <v>5</v>
      </c>
      <c r="E56" s="54">
        <f>IFERROR(__xludf.DUMMYFUNCTION("""COMPUTED_VALUE"""),0.0)</f>
        <v>0</v>
      </c>
      <c r="F56" s="54">
        <f>IFERROR(__xludf.DUMMYFUNCTION("""COMPUTED_VALUE"""),0.0)</f>
        <v>0</v>
      </c>
      <c r="G56" s="54">
        <f>IFERROR(__xludf.DUMMYFUNCTION("""COMPUTED_VALUE"""),0.0)</f>
        <v>0</v>
      </c>
      <c r="H56" s="54">
        <f>IFERROR(__xludf.DUMMYFUNCTION("""COMPUTED_VALUE"""),0.0)</f>
        <v>0</v>
      </c>
      <c r="I56" s="54">
        <f>IFERROR(__xludf.DUMMYFUNCTION("""COMPUTED_VALUE"""),0.0)</f>
        <v>0</v>
      </c>
      <c r="J56" s="54" t="b">
        <f>IFERROR(__xludf.DUMMYFUNCTION("""COMPUTED_VALUE"""),TRUE)</f>
        <v>1</v>
      </c>
      <c r="K56" s="80"/>
      <c r="L56" s="77">
        <f>IFERROR(__xludf.DUMMYFUNCTION("""COMPUTED_VALUE"""),44903.0)</f>
        <v>44903</v>
      </c>
      <c r="M56" s="172">
        <f>IFERROR(__xludf.DUMMYFUNCTION("""COMPUTED_VALUE"""),7.0)</f>
        <v>7</v>
      </c>
      <c r="N56" s="172">
        <f>IFERROR(__xludf.DUMMYFUNCTION("""COMPUTED_VALUE"""),6.0)</f>
        <v>6</v>
      </c>
      <c r="O56" s="172">
        <f>IFERROR(__xludf.DUMMYFUNCTION("""COMPUTED_VALUE"""),1.0)</f>
        <v>1</v>
      </c>
      <c r="P56" s="172">
        <f>IFERROR(__xludf.DUMMYFUNCTION("""COMPUTED_VALUE"""),0.0)</f>
        <v>0</v>
      </c>
      <c r="Q56" s="172">
        <f>IFERROR(__xludf.DUMMYFUNCTION("""COMPUTED_VALUE"""),0.0)</f>
        <v>0</v>
      </c>
      <c r="R56" s="172">
        <f>IFERROR(__xludf.DUMMYFUNCTION("""COMPUTED_VALUE"""),0.0)</f>
        <v>0</v>
      </c>
      <c r="S56" s="172">
        <f>IFERROR(__xludf.DUMMYFUNCTION("""COMPUTED_VALUE"""),0.0)</f>
        <v>0</v>
      </c>
      <c r="T56" s="172">
        <f>IFERROR(__xludf.DUMMYFUNCTION("""COMPUTED_VALUE"""),7.0)</f>
        <v>7</v>
      </c>
      <c r="U56" s="14"/>
      <c r="V56" s="80"/>
      <c r="W56" s="14">
        <f t="shared" si="39"/>
        <v>44903</v>
      </c>
      <c r="X56" s="172">
        <f t="shared" ref="X56:AC56" si="57">M56</f>
        <v>7</v>
      </c>
      <c r="Y56" s="172">
        <f t="shared" si="57"/>
        <v>6</v>
      </c>
      <c r="Z56" s="172">
        <f t="shared" si="57"/>
        <v>1</v>
      </c>
      <c r="AA56" s="172">
        <f t="shared" si="57"/>
        <v>0</v>
      </c>
      <c r="AB56" s="172">
        <f t="shared" si="57"/>
        <v>0</v>
      </c>
      <c r="AC56" s="172">
        <f t="shared" si="57"/>
        <v>0</v>
      </c>
    </row>
    <row r="57">
      <c r="B57" s="12">
        <f>IFERROR(__xludf.DUMMYFUNCTION("""COMPUTED_VALUE"""),44884.0)</f>
        <v>44884</v>
      </c>
      <c r="C57" s="54">
        <f>IFERROR(__xludf.DUMMYFUNCTION("""COMPUTED_VALUE"""),2.0)</f>
        <v>2</v>
      </c>
      <c r="D57" s="54">
        <f>IFERROR(__xludf.DUMMYFUNCTION("""COMPUTED_VALUE"""),2.0)</f>
        <v>2</v>
      </c>
      <c r="E57" s="54">
        <f>IFERROR(__xludf.DUMMYFUNCTION("""COMPUTED_VALUE"""),0.0)</f>
        <v>0</v>
      </c>
      <c r="F57" s="54">
        <f>IFERROR(__xludf.DUMMYFUNCTION("""COMPUTED_VALUE"""),0.0)</f>
        <v>0</v>
      </c>
      <c r="G57" s="54">
        <f>IFERROR(__xludf.DUMMYFUNCTION("""COMPUTED_VALUE"""),0.0)</f>
        <v>0</v>
      </c>
      <c r="H57" s="54">
        <f>IFERROR(__xludf.DUMMYFUNCTION("""COMPUTED_VALUE"""),0.0)</f>
        <v>0</v>
      </c>
      <c r="I57" s="54">
        <f>IFERROR(__xludf.DUMMYFUNCTION("""COMPUTED_VALUE"""),0.0)</f>
        <v>0</v>
      </c>
      <c r="J57" s="54" t="b">
        <f>IFERROR(__xludf.DUMMYFUNCTION("""COMPUTED_VALUE"""),TRUE)</f>
        <v>1</v>
      </c>
      <c r="K57" s="80"/>
      <c r="L57" s="77">
        <f>IFERROR(__xludf.DUMMYFUNCTION("""COMPUTED_VALUE"""),44907.0)</f>
        <v>44907</v>
      </c>
      <c r="M57" s="172">
        <f>IFERROR(__xludf.DUMMYFUNCTION("""COMPUTED_VALUE"""),10.0)</f>
        <v>10</v>
      </c>
      <c r="N57" s="172">
        <f>IFERROR(__xludf.DUMMYFUNCTION("""COMPUTED_VALUE"""),10.0)</f>
        <v>10</v>
      </c>
      <c r="O57" s="172">
        <f>IFERROR(__xludf.DUMMYFUNCTION("""COMPUTED_VALUE"""),0.0)</f>
        <v>0</v>
      </c>
      <c r="P57" s="172">
        <f>IFERROR(__xludf.DUMMYFUNCTION("""COMPUTED_VALUE"""),0.0)</f>
        <v>0</v>
      </c>
      <c r="Q57" s="172">
        <f>IFERROR(__xludf.DUMMYFUNCTION("""COMPUTED_VALUE"""),0.0)</f>
        <v>0</v>
      </c>
      <c r="R57" s="172">
        <f>IFERROR(__xludf.DUMMYFUNCTION("""COMPUTED_VALUE"""),0.0)</f>
        <v>0</v>
      </c>
      <c r="S57" s="172">
        <f>IFERROR(__xludf.DUMMYFUNCTION("""COMPUTED_VALUE"""),0.0)</f>
        <v>0</v>
      </c>
      <c r="T57" s="172">
        <f>IFERROR(__xludf.DUMMYFUNCTION("""COMPUTED_VALUE"""),10.0)</f>
        <v>10</v>
      </c>
      <c r="U57" s="14"/>
      <c r="V57" s="80"/>
      <c r="W57" s="14">
        <f t="shared" si="39"/>
        <v>44907</v>
      </c>
      <c r="X57" s="172">
        <f t="shared" ref="X57:AC57" si="58">M57</f>
        <v>10</v>
      </c>
      <c r="Y57" s="172">
        <f t="shared" si="58"/>
        <v>10</v>
      </c>
      <c r="Z57" s="172">
        <f t="shared" si="58"/>
        <v>0</v>
      </c>
      <c r="AA57" s="172">
        <f t="shared" si="58"/>
        <v>0</v>
      </c>
      <c r="AB57" s="172">
        <f t="shared" si="58"/>
        <v>0</v>
      </c>
      <c r="AC57" s="172">
        <f t="shared" si="58"/>
        <v>0</v>
      </c>
    </row>
    <row r="58">
      <c r="B58" s="12">
        <f>IFERROR(__xludf.DUMMYFUNCTION("""COMPUTED_VALUE"""),44885.0)</f>
        <v>44885</v>
      </c>
      <c r="C58" s="54">
        <f>IFERROR(__xludf.DUMMYFUNCTION("""COMPUTED_VALUE"""),2.0)</f>
        <v>2</v>
      </c>
      <c r="D58" s="54">
        <f>IFERROR(__xludf.DUMMYFUNCTION("""COMPUTED_VALUE"""),2.0)</f>
        <v>2</v>
      </c>
      <c r="E58" s="54">
        <f>IFERROR(__xludf.DUMMYFUNCTION("""COMPUTED_VALUE"""),0.0)</f>
        <v>0</v>
      </c>
      <c r="F58" s="54">
        <f>IFERROR(__xludf.DUMMYFUNCTION("""COMPUTED_VALUE"""),0.0)</f>
        <v>0</v>
      </c>
      <c r="G58" s="54">
        <f>IFERROR(__xludf.DUMMYFUNCTION("""COMPUTED_VALUE"""),0.0)</f>
        <v>0</v>
      </c>
      <c r="H58" s="54">
        <f>IFERROR(__xludf.DUMMYFUNCTION("""COMPUTED_VALUE"""),0.0)</f>
        <v>0</v>
      </c>
      <c r="I58" s="54">
        <f>IFERROR(__xludf.DUMMYFUNCTION("""COMPUTED_VALUE"""),0.0)</f>
        <v>0</v>
      </c>
      <c r="J58" s="54"/>
      <c r="K58" s="80"/>
      <c r="L58" s="77">
        <f>IFERROR(__xludf.DUMMYFUNCTION("""COMPUTED_VALUE"""),44908.0)</f>
        <v>44908</v>
      </c>
      <c r="M58" s="172">
        <f>IFERROR(__xludf.DUMMYFUNCTION("""COMPUTED_VALUE"""),5.0)</f>
        <v>5</v>
      </c>
      <c r="N58" s="172">
        <f>IFERROR(__xludf.DUMMYFUNCTION("""COMPUTED_VALUE"""),5.0)</f>
        <v>5</v>
      </c>
      <c r="O58" s="172">
        <f>IFERROR(__xludf.DUMMYFUNCTION("""COMPUTED_VALUE"""),0.0)</f>
        <v>0</v>
      </c>
      <c r="P58" s="172">
        <f>IFERROR(__xludf.DUMMYFUNCTION("""COMPUTED_VALUE"""),0.0)</f>
        <v>0</v>
      </c>
      <c r="Q58" s="172">
        <f>IFERROR(__xludf.DUMMYFUNCTION("""COMPUTED_VALUE"""),0.0)</f>
        <v>0</v>
      </c>
      <c r="R58" s="172">
        <f>IFERROR(__xludf.DUMMYFUNCTION("""COMPUTED_VALUE"""),0.0)</f>
        <v>0</v>
      </c>
      <c r="S58" s="172">
        <f>IFERROR(__xludf.DUMMYFUNCTION("""COMPUTED_VALUE"""),0.0)</f>
        <v>0</v>
      </c>
      <c r="T58" s="172">
        <f>IFERROR(__xludf.DUMMYFUNCTION("""COMPUTED_VALUE"""),5.0)</f>
        <v>5</v>
      </c>
      <c r="U58" s="14"/>
      <c r="V58" s="80"/>
      <c r="W58" s="14">
        <f t="shared" si="39"/>
        <v>44908</v>
      </c>
      <c r="X58" s="172">
        <f t="shared" ref="X58:AC58" si="59">M58</f>
        <v>5</v>
      </c>
      <c r="Y58" s="172">
        <f t="shared" si="59"/>
        <v>5</v>
      </c>
      <c r="Z58" s="172">
        <f t="shared" si="59"/>
        <v>0</v>
      </c>
      <c r="AA58" s="172">
        <f t="shared" si="59"/>
        <v>0</v>
      </c>
      <c r="AB58" s="172">
        <f t="shared" si="59"/>
        <v>0</v>
      </c>
      <c r="AC58" s="172">
        <f t="shared" si="59"/>
        <v>0</v>
      </c>
    </row>
    <row r="59">
      <c r="B59" s="12">
        <f>IFERROR(__xludf.DUMMYFUNCTION("""COMPUTED_VALUE"""),44886.0)</f>
        <v>44886</v>
      </c>
      <c r="C59" s="54">
        <f>IFERROR(__xludf.DUMMYFUNCTION("""COMPUTED_VALUE"""),7.0)</f>
        <v>7</v>
      </c>
      <c r="D59" s="54">
        <f>IFERROR(__xludf.DUMMYFUNCTION("""COMPUTED_VALUE"""),7.0)</f>
        <v>7</v>
      </c>
      <c r="E59" s="54">
        <f>IFERROR(__xludf.DUMMYFUNCTION("""COMPUTED_VALUE"""),0.0)</f>
        <v>0</v>
      </c>
      <c r="F59" s="54">
        <f>IFERROR(__xludf.DUMMYFUNCTION("""COMPUTED_VALUE"""),0.0)</f>
        <v>0</v>
      </c>
      <c r="G59" s="54">
        <f>IFERROR(__xludf.DUMMYFUNCTION("""COMPUTED_VALUE"""),0.0)</f>
        <v>0</v>
      </c>
      <c r="H59" s="54">
        <f>IFERROR(__xludf.DUMMYFUNCTION("""COMPUTED_VALUE"""),0.0)</f>
        <v>0</v>
      </c>
      <c r="I59" s="54">
        <f>IFERROR(__xludf.DUMMYFUNCTION("""COMPUTED_VALUE"""),0.0)</f>
        <v>0</v>
      </c>
      <c r="J59" s="54" t="b">
        <f>IFERROR(__xludf.DUMMYFUNCTION("""COMPUTED_VALUE"""),TRUE)</f>
        <v>1</v>
      </c>
      <c r="K59" s="80"/>
      <c r="L59" s="77">
        <f>IFERROR(__xludf.DUMMYFUNCTION("""COMPUTED_VALUE"""),44911.0)</f>
        <v>44911</v>
      </c>
      <c r="M59" s="172">
        <f>IFERROR(__xludf.DUMMYFUNCTION("""COMPUTED_VALUE"""),3.0)</f>
        <v>3</v>
      </c>
      <c r="N59" s="172">
        <f>IFERROR(__xludf.DUMMYFUNCTION("""COMPUTED_VALUE"""),3.0)</f>
        <v>3</v>
      </c>
      <c r="O59" s="172">
        <f>IFERROR(__xludf.DUMMYFUNCTION("""COMPUTED_VALUE"""),0.0)</f>
        <v>0</v>
      </c>
      <c r="P59" s="172">
        <f>IFERROR(__xludf.DUMMYFUNCTION("""COMPUTED_VALUE"""),0.0)</f>
        <v>0</v>
      </c>
      <c r="Q59" s="172">
        <f>IFERROR(__xludf.DUMMYFUNCTION("""COMPUTED_VALUE"""),0.0)</f>
        <v>0</v>
      </c>
      <c r="R59" s="172">
        <f>IFERROR(__xludf.DUMMYFUNCTION("""COMPUTED_VALUE"""),0.0)</f>
        <v>0</v>
      </c>
      <c r="S59" s="172">
        <f>IFERROR(__xludf.DUMMYFUNCTION("""COMPUTED_VALUE"""),0.0)</f>
        <v>0</v>
      </c>
      <c r="T59" s="172">
        <f>IFERROR(__xludf.DUMMYFUNCTION("""COMPUTED_VALUE"""),3.0)</f>
        <v>3</v>
      </c>
      <c r="U59" s="14"/>
      <c r="V59" s="80"/>
      <c r="W59" s="14">
        <f t="shared" si="39"/>
        <v>44911</v>
      </c>
      <c r="X59" s="172">
        <f t="shared" ref="X59:AC59" si="60">M59</f>
        <v>3</v>
      </c>
      <c r="Y59" s="172">
        <f t="shared" si="60"/>
        <v>3</v>
      </c>
      <c r="Z59" s="172">
        <f t="shared" si="60"/>
        <v>0</v>
      </c>
      <c r="AA59" s="172">
        <f t="shared" si="60"/>
        <v>0</v>
      </c>
      <c r="AB59" s="172">
        <f t="shared" si="60"/>
        <v>0</v>
      </c>
      <c r="AC59" s="172">
        <f t="shared" si="60"/>
        <v>0</v>
      </c>
    </row>
    <row r="60">
      <c r="A60" s="347"/>
      <c r="B60" s="12">
        <f>IFERROR(__xludf.DUMMYFUNCTION("""COMPUTED_VALUE"""),44887.0)</f>
        <v>44887</v>
      </c>
      <c r="C60" s="54">
        <f>IFERROR(__xludf.DUMMYFUNCTION("""COMPUTED_VALUE"""),11.0)</f>
        <v>11</v>
      </c>
      <c r="D60" s="54">
        <f>IFERROR(__xludf.DUMMYFUNCTION("""COMPUTED_VALUE"""),11.0)</f>
        <v>11</v>
      </c>
      <c r="E60" s="54">
        <f>IFERROR(__xludf.DUMMYFUNCTION("""COMPUTED_VALUE"""),0.0)</f>
        <v>0</v>
      </c>
      <c r="F60" s="54">
        <f>IFERROR(__xludf.DUMMYFUNCTION("""COMPUTED_VALUE"""),0.0)</f>
        <v>0</v>
      </c>
      <c r="G60" s="54">
        <f>IFERROR(__xludf.DUMMYFUNCTION("""COMPUTED_VALUE"""),0.0)</f>
        <v>0</v>
      </c>
      <c r="H60" s="54">
        <f>IFERROR(__xludf.DUMMYFUNCTION("""COMPUTED_VALUE"""),0.0)</f>
        <v>0</v>
      </c>
      <c r="I60" s="54">
        <f>IFERROR(__xludf.DUMMYFUNCTION("""COMPUTED_VALUE"""),0.0)</f>
        <v>0</v>
      </c>
      <c r="J60" s="54" t="b">
        <f>IFERROR(__xludf.DUMMYFUNCTION("""COMPUTED_VALUE"""),TRUE)</f>
        <v>1</v>
      </c>
      <c r="K60" s="80"/>
      <c r="L60" s="12">
        <f>IFERROR(__xludf.DUMMYFUNCTION("""COMPUTED_VALUE"""),44914.0)</f>
        <v>44914</v>
      </c>
      <c r="M60" s="172">
        <f>IFERROR(__xludf.DUMMYFUNCTION("""COMPUTED_VALUE"""),5.0)</f>
        <v>5</v>
      </c>
      <c r="N60" s="172">
        <f>IFERROR(__xludf.DUMMYFUNCTION("""COMPUTED_VALUE"""),5.0)</f>
        <v>5</v>
      </c>
      <c r="O60" s="172">
        <f>IFERROR(__xludf.DUMMYFUNCTION("""COMPUTED_VALUE"""),0.0)</f>
        <v>0</v>
      </c>
      <c r="P60" s="172">
        <f>IFERROR(__xludf.DUMMYFUNCTION("""COMPUTED_VALUE"""),0.0)</f>
        <v>0</v>
      </c>
      <c r="Q60" s="172">
        <f>IFERROR(__xludf.DUMMYFUNCTION("""COMPUTED_VALUE"""),0.0)</f>
        <v>0</v>
      </c>
      <c r="R60" s="172">
        <f>IFERROR(__xludf.DUMMYFUNCTION("""COMPUTED_VALUE"""),0.0)</f>
        <v>0</v>
      </c>
      <c r="S60" s="172">
        <f>IFERROR(__xludf.DUMMYFUNCTION("""COMPUTED_VALUE"""),0.0)</f>
        <v>0</v>
      </c>
      <c r="T60" s="172">
        <f>IFERROR(__xludf.DUMMYFUNCTION("""COMPUTED_VALUE"""),5.0)</f>
        <v>5</v>
      </c>
      <c r="U60" s="14"/>
      <c r="V60" s="80"/>
      <c r="W60" s="14">
        <f t="shared" si="39"/>
        <v>44914</v>
      </c>
      <c r="X60" s="172">
        <f t="shared" ref="X60:AC60" si="61">M60</f>
        <v>5</v>
      </c>
      <c r="Y60" s="172">
        <f t="shared" si="61"/>
        <v>5</v>
      </c>
      <c r="Z60" s="172">
        <f t="shared" si="61"/>
        <v>0</v>
      </c>
      <c r="AA60" s="172">
        <f t="shared" si="61"/>
        <v>0</v>
      </c>
      <c r="AB60" s="172">
        <f t="shared" si="61"/>
        <v>0</v>
      </c>
      <c r="AC60" s="172">
        <f t="shared" si="61"/>
        <v>0</v>
      </c>
    </row>
    <row r="61">
      <c r="B61" s="12">
        <f>IFERROR(__xludf.DUMMYFUNCTION("""COMPUTED_VALUE"""),44890.0)</f>
        <v>44890</v>
      </c>
      <c r="C61" s="54">
        <f>IFERROR(__xludf.DUMMYFUNCTION("""COMPUTED_VALUE"""),3.0)</f>
        <v>3</v>
      </c>
      <c r="D61" s="54">
        <f>IFERROR(__xludf.DUMMYFUNCTION("""COMPUTED_VALUE"""),3.0)</f>
        <v>3</v>
      </c>
      <c r="E61" s="54">
        <f>IFERROR(__xludf.DUMMYFUNCTION("""COMPUTED_VALUE"""),0.0)</f>
        <v>0</v>
      </c>
      <c r="F61" s="54">
        <f>IFERROR(__xludf.DUMMYFUNCTION("""COMPUTED_VALUE"""),0.0)</f>
        <v>0</v>
      </c>
      <c r="G61" s="54">
        <f>IFERROR(__xludf.DUMMYFUNCTION("""COMPUTED_VALUE"""),0.0)</f>
        <v>0</v>
      </c>
      <c r="H61" s="54">
        <f>IFERROR(__xludf.DUMMYFUNCTION("""COMPUTED_VALUE"""),0.0)</f>
        <v>0</v>
      </c>
      <c r="I61" s="54">
        <f>IFERROR(__xludf.DUMMYFUNCTION("""COMPUTED_VALUE"""),0.0)</f>
        <v>0</v>
      </c>
      <c r="J61" s="54" t="b">
        <f>IFERROR(__xludf.DUMMYFUNCTION("""COMPUTED_VALUE"""),TRUE)</f>
        <v>1</v>
      </c>
      <c r="K61" s="80"/>
      <c r="L61" s="12">
        <f>IFERROR(__xludf.DUMMYFUNCTION("""COMPUTED_VALUE"""),44915.0)</f>
        <v>44915</v>
      </c>
      <c r="M61" s="172">
        <f>IFERROR(__xludf.DUMMYFUNCTION("""COMPUTED_VALUE"""),9.0)</f>
        <v>9</v>
      </c>
      <c r="N61" s="172">
        <f>IFERROR(__xludf.DUMMYFUNCTION("""COMPUTED_VALUE"""),7.0)</f>
        <v>7</v>
      </c>
      <c r="O61" s="172">
        <f>IFERROR(__xludf.DUMMYFUNCTION("""COMPUTED_VALUE"""),2.0)</f>
        <v>2</v>
      </c>
      <c r="P61" s="172">
        <f>IFERROR(__xludf.DUMMYFUNCTION("""COMPUTED_VALUE"""),0.0)</f>
        <v>0</v>
      </c>
      <c r="Q61" s="172">
        <f>IFERROR(__xludf.DUMMYFUNCTION("""COMPUTED_VALUE"""),0.0)</f>
        <v>0</v>
      </c>
      <c r="R61" s="172">
        <f>IFERROR(__xludf.DUMMYFUNCTION("""COMPUTED_VALUE"""),0.0)</f>
        <v>0</v>
      </c>
      <c r="S61" s="172">
        <f>IFERROR(__xludf.DUMMYFUNCTION("""COMPUTED_VALUE"""),0.0)</f>
        <v>0</v>
      </c>
      <c r="T61" s="172">
        <f>IFERROR(__xludf.DUMMYFUNCTION("""COMPUTED_VALUE"""),9.0)</f>
        <v>9</v>
      </c>
      <c r="U61" s="14"/>
      <c r="V61" s="80"/>
      <c r="W61" s="14">
        <f t="shared" si="39"/>
        <v>44915</v>
      </c>
      <c r="X61" s="172">
        <f t="shared" ref="X61:AC61" si="62">M61</f>
        <v>9</v>
      </c>
      <c r="Y61" s="172">
        <f t="shared" si="62"/>
        <v>7</v>
      </c>
      <c r="Z61" s="172">
        <f t="shared" si="62"/>
        <v>2</v>
      </c>
      <c r="AA61" s="172">
        <f t="shared" si="62"/>
        <v>0</v>
      </c>
      <c r="AB61" s="172">
        <f t="shared" si="62"/>
        <v>0</v>
      </c>
      <c r="AC61" s="172">
        <f t="shared" si="62"/>
        <v>0</v>
      </c>
    </row>
    <row r="62">
      <c r="B62" s="12">
        <f>IFERROR(__xludf.DUMMYFUNCTION("""COMPUTED_VALUE"""),44892.0)</f>
        <v>44892</v>
      </c>
      <c r="C62" s="54">
        <f>IFERROR(__xludf.DUMMYFUNCTION("""COMPUTED_VALUE"""),4.0)</f>
        <v>4</v>
      </c>
      <c r="D62" s="54">
        <f>IFERROR(__xludf.DUMMYFUNCTION("""COMPUTED_VALUE"""),4.0)</f>
        <v>4</v>
      </c>
      <c r="E62" s="54">
        <f>IFERROR(__xludf.DUMMYFUNCTION("""COMPUTED_VALUE"""),0.0)</f>
        <v>0</v>
      </c>
      <c r="F62" s="54">
        <f>IFERROR(__xludf.DUMMYFUNCTION("""COMPUTED_VALUE"""),0.0)</f>
        <v>0</v>
      </c>
      <c r="G62" s="54">
        <f>IFERROR(__xludf.DUMMYFUNCTION("""COMPUTED_VALUE"""),0.0)</f>
        <v>0</v>
      </c>
      <c r="H62" s="54">
        <f>IFERROR(__xludf.DUMMYFUNCTION("""COMPUTED_VALUE"""),0.0)</f>
        <v>0</v>
      </c>
      <c r="I62" s="54">
        <f>IFERROR(__xludf.DUMMYFUNCTION("""COMPUTED_VALUE"""),0.0)</f>
        <v>0</v>
      </c>
      <c r="J62" s="54" t="b">
        <f>IFERROR(__xludf.DUMMYFUNCTION("""COMPUTED_VALUE"""),TRUE)</f>
        <v>1</v>
      </c>
      <c r="K62" s="80"/>
      <c r="L62" s="12">
        <f>IFERROR(__xludf.DUMMYFUNCTION("""COMPUTED_VALUE"""),44916.0)</f>
        <v>44916</v>
      </c>
      <c r="M62" s="172">
        <f>IFERROR(__xludf.DUMMYFUNCTION("""COMPUTED_VALUE"""),5.0)</f>
        <v>5</v>
      </c>
      <c r="N62" s="172">
        <f>IFERROR(__xludf.DUMMYFUNCTION("""COMPUTED_VALUE"""),5.0)</f>
        <v>5</v>
      </c>
      <c r="O62" s="172">
        <f>IFERROR(__xludf.DUMMYFUNCTION("""COMPUTED_VALUE"""),0.0)</f>
        <v>0</v>
      </c>
      <c r="P62" s="172">
        <f>IFERROR(__xludf.DUMMYFUNCTION("""COMPUTED_VALUE"""),0.0)</f>
        <v>0</v>
      </c>
      <c r="Q62" s="172">
        <f>IFERROR(__xludf.DUMMYFUNCTION("""COMPUTED_VALUE"""),0.0)</f>
        <v>0</v>
      </c>
      <c r="R62" s="172">
        <f>IFERROR(__xludf.DUMMYFUNCTION("""COMPUTED_VALUE"""),0.0)</f>
        <v>0</v>
      </c>
      <c r="S62" s="172">
        <f>IFERROR(__xludf.DUMMYFUNCTION("""COMPUTED_VALUE"""),0.0)</f>
        <v>0</v>
      </c>
      <c r="T62" s="172">
        <f>IFERROR(__xludf.DUMMYFUNCTION("""COMPUTED_VALUE"""),5.0)</f>
        <v>5</v>
      </c>
      <c r="U62" s="14"/>
      <c r="V62" s="80"/>
      <c r="W62" s="14">
        <f t="shared" si="39"/>
        <v>44916</v>
      </c>
      <c r="X62" s="172">
        <f t="shared" ref="X62:AC62" si="63">M62</f>
        <v>5</v>
      </c>
      <c r="Y62" s="172">
        <f t="shared" si="63"/>
        <v>5</v>
      </c>
      <c r="Z62" s="172">
        <f t="shared" si="63"/>
        <v>0</v>
      </c>
      <c r="AA62" s="172">
        <f t="shared" si="63"/>
        <v>0</v>
      </c>
      <c r="AB62" s="172">
        <f t="shared" si="63"/>
        <v>0</v>
      </c>
      <c r="AC62" s="172">
        <f t="shared" si="63"/>
        <v>0</v>
      </c>
    </row>
    <row r="63">
      <c r="B63" s="12">
        <f>IFERROR(__xludf.DUMMYFUNCTION("""COMPUTED_VALUE"""),44893.0)</f>
        <v>44893</v>
      </c>
      <c r="C63" s="54">
        <f>IFERROR(__xludf.DUMMYFUNCTION("""COMPUTED_VALUE"""),10.0)</f>
        <v>10</v>
      </c>
      <c r="D63" s="54">
        <f>IFERROR(__xludf.DUMMYFUNCTION("""COMPUTED_VALUE"""),10.0)</f>
        <v>10</v>
      </c>
      <c r="E63" s="54">
        <f>IFERROR(__xludf.DUMMYFUNCTION("""COMPUTED_VALUE"""),0.0)</f>
        <v>0</v>
      </c>
      <c r="F63" s="54">
        <f>IFERROR(__xludf.DUMMYFUNCTION("""COMPUTED_VALUE"""),0.0)</f>
        <v>0</v>
      </c>
      <c r="G63" s="54">
        <f>IFERROR(__xludf.DUMMYFUNCTION("""COMPUTED_VALUE"""),0.0)</f>
        <v>0</v>
      </c>
      <c r="H63" s="54">
        <f>IFERROR(__xludf.DUMMYFUNCTION("""COMPUTED_VALUE"""),0.0)</f>
        <v>0</v>
      </c>
      <c r="I63" s="54">
        <f>IFERROR(__xludf.DUMMYFUNCTION("""COMPUTED_VALUE"""),0.0)</f>
        <v>0</v>
      </c>
      <c r="J63" s="54"/>
      <c r="K63" s="80"/>
      <c r="L63" s="12">
        <f>IFERROR(__xludf.DUMMYFUNCTION("""COMPUTED_VALUE"""),44917.0)</f>
        <v>44917</v>
      </c>
      <c r="M63" s="172">
        <f>IFERROR(__xludf.DUMMYFUNCTION("""COMPUTED_VALUE"""),7.0)</f>
        <v>7</v>
      </c>
      <c r="N63" s="172">
        <f>IFERROR(__xludf.DUMMYFUNCTION("""COMPUTED_VALUE"""),7.0)</f>
        <v>7</v>
      </c>
      <c r="O63" s="172">
        <f>IFERROR(__xludf.DUMMYFUNCTION("""COMPUTED_VALUE"""),0.0)</f>
        <v>0</v>
      </c>
      <c r="P63" s="172">
        <f>IFERROR(__xludf.DUMMYFUNCTION("""COMPUTED_VALUE"""),0.0)</f>
        <v>0</v>
      </c>
      <c r="Q63" s="172">
        <f>IFERROR(__xludf.DUMMYFUNCTION("""COMPUTED_VALUE"""),0.0)</f>
        <v>0</v>
      </c>
      <c r="R63" s="172">
        <f>IFERROR(__xludf.DUMMYFUNCTION("""COMPUTED_VALUE"""),0.0)</f>
        <v>0</v>
      </c>
      <c r="S63" s="172">
        <f>IFERROR(__xludf.DUMMYFUNCTION("""COMPUTED_VALUE"""),0.0)</f>
        <v>0</v>
      </c>
      <c r="T63" s="172">
        <f>IFERROR(__xludf.DUMMYFUNCTION("""COMPUTED_VALUE"""),7.0)</f>
        <v>7</v>
      </c>
      <c r="U63" s="14"/>
      <c r="V63" s="80"/>
      <c r="W63" s="14">
        <f t="shared" si="39"/>
        <v>44917</v>
      </c>
      <c r="X63" s="172">
        <f t="shared" ref="X63:AC63" si="64">M63</f>
        <v>7</v>
      </c>
      <c r="Y63" s="172">
        <f t="shared" si="64"/>
        <v>7</v>
      </c>
      <c r="Z63" s="172">
        <f t="shared" si="64"/>
        <v>0</v>
      </c>
      <c r="AA63" s="172">
        <f t="shared" si="64"/>
        <v>0</v>
      </c>
      <c r="AB63" s="172">
        <f t="shared" si="64"/>
        <v>0</v>
      </c>
      <c r="AC63" s="172">
        <f t="shared" si="64"/>
        <v>0</v>
      </c>
    </row>
    <row r="64">
      <c r="B64" s="12">
        <f>IFERROR(__xludf.DUMMYFUNCTION("""COMPUTED_VALUE"""),44894.0)</f>
        <v>44894</v>
      </c>
      <c r="C64" s="54">
        <f>IFERROR(__xludf.DUMMYFUNCTION("""COMPUTED_VALUE"""),11.0)</f>
        <v>11</v>
      </c>
      <c r="D64" s="54">
        <f>IFERROR(__xludf.DUMMYFUNCTION("""COMPUTED_VALUE"""),11.0)</f>
        <v>11</v>
      </c>
      <c r="E64" s="54">
        <f>IFERROR(__xludf.DUMMYFUNCTION("""COMPUTED_VALUE"""),0.0)</f>
        <v>0</v>
      </c>
      <c r="F64" s="54">
        <f>IFERROR(__xludf.DUMMYFUNCTION("""COMPUTED_VALUE"""),0.0)</f>
        <v>0</v>
      </c>
      <c r="G64" s="54">
        <f>IFERROR(__xludf.DUMMYFUNCTION("""COMPUTED_VALUE"""),0.0)</f>
        <v>0</v>
      </c>
      <c r="H64" s="54">
        <f>IFERROR(__xludf.DUMMYFUNCTION("""COMPUTED_VALUE"""),0.0)</f>
        <v>0</v>
      </c>
      <c r="I64" s="54">
        <f>IFERROR(__xludf.DUMMYFUNCTION("""COMPUTED_VALUE"""),0.0)</f>
        <v>0</v>
      </c>
      <c r="J64" s="54" t="b">
        <f>IFERROR(__xludf.DUMMYFUNCTION("""COMPUTED_VALUE"""),TRUE)</f>
        <v>1</v>
      </c>
      <c r="K64" s="80"/>
      <c r="L64" s="12">
        <f>IFERROR(__xludf.DUMMYFUNCTION("""COMPUTED_VALUE"""),44928.0)</f>
        <v>44928</v>
      </c>
      <c r="M64" s="172">
        <f>IFERROR(__xludf.DUMMYFUNCTION("""COMPUTED_VALUE"""),9.0)</f>
        <v>9</v>
      </c>
      <c r="N64" s="172">
        <f>IFERROR(__xludf.DUMMYFUNCTION("""COMPUTED_VALUE"""),9.0)</f>
        <v>9</v>
      </c>
      <c r="O64" s="172">
        <f>IFERROR(__xludf.DUMMYFUNCTION("""COMPUTED_VALUE"""),0.0)</f>
        <v>0</v>
      </c>
      <c r="P64" s="172">
        <f>IFERROR(__xludf.DUMMYFUNCTION("""COMPUTED_VALUE"""),0.0)</f>
        <v>0</v>
      </c>
      <c r="Q64" s="172">
        <f>IFERROR(__xludf.DUMMYFUNCTION("""COMPUTED_VALUE"""),0.0)</f>
        <v>0</v>
      </c>
      <c r="R64" s="172">
        <f>IFERROR(__xludf.DUMMYFUNCTION("""COMPUTED_VALUE"""),0.0)</f>
        <v>0</v>
      </c>
      <c r="S64" s="172">
        <f>IFERROR(__xludf.DUMMYFUNCTION("""COMPUTED_VALUE"""),0.0)</f>
        <v>0</v>
      </c>
      <c r="T64" s="172">
        <f>IFERROR(__xludf.DUMMYFUNCTION("""COMPUTED_VALUE"""),9.0)</f>
        <v>9</v>
      </c>
      <c r="U64" s="14"/>
      <c r="V64" s="80"/>
      <c r="W64" s="14">
        <f t="shared" si="39"/>
        <v>44928</v>
      </c>
      <c r="X64" s="172">
        <f t="shared" ref="X64:AC64" si="65">M64</f>
        <v>9</v>
      </c>
      <c r="Y64" s="172">
        <f t="shared" si="65"/>
        <v>9</v>
      </c>
      <c r="Z64" s="172">
        <f t="shared" si="65"/>
        <v>0</v>
      </c>
      <c r="AA64" s="172">
        <f t="shared" si="65"/>
        <v>0</v>
      </c>
      <c r="AB64" s="172">
        <f t="shared" si="65"/>
        <v>0</v>
      </c>
      <c r="AC64" s="172">
        <f t="shared" si="65"/>
        <v>0</v>
      </c>
    </row>
    <row r="65">
      <c r="B65" s="12">
        <f>IFERROR(__xludf.DUMMYFUNCTION("""COMPUTED_VALUE"""),44895.0)</f>
        <v>44895</v>
      </c>
      <c r="C65" s="54">
        <f>IFERROR(__xludf.DUMMYFUNCTION("""COMPUTED_VALUE"""),9.0)</f>
        <v>9</v>
      </c>
      <c r="D65" s="54">
        <f>IFERROR(__xludf.DUMMYFUNCTION("""COMPUTED_VALUE"""),9.0)</f>
        <v>9</v>
      </c>
      <c r="E65" s="54">
        <f>IFERROR(__xludf.DUMMYFUNCTION("""COMPUTED_VALUE"""),0.0)</f>
        <v>0</v>
      </c>
      <c r="F65" s="54">
        <f>IFERROR(__xludf.DUMMYFUNCTION("""COMPUTED_VALUE"""),0.0)</f>
        <v>0</v>
      </c>
      <c r="G65" s="54">
        <f>IFERROR(__xludf.DUMMYFUNCTION("""COMPUTED_VALUE"""),0.0)</f>
        <v>0</v>
      </c>
      <c r="H65" s="54">
        <f>IFERROR(__xludf.DUMMYFUNCTION("""COMPUTED_VALUE"""),0.0)</f>
        <v>0</v>
      </c>
      <c r="I65" s="54">
        <f>IFERROR(__xludf.DUMMYFUNCTION("""COMPUTED_VALUE"""),0.0)</f>
        <v>0</v>
      </c>
      <c r="J65" s="54" t="b">
        <f>IFERROR(__xludf.DUMMYFUNCTION("""COMPUTED_VALUE"""),TRUE)</f>
        <v>1</v>
      </c>
      <c r="K65" s="80"/>
      <c r="L65" s="12">
        <f>IFERROR(__xludf.DUMMYFUNCTION("""COMPUTED_VALUE"""),44929.0)</f>
        <v>44929</v>
      </c>
      <c r="M65" s="172">
        <f>IFERROR(__xludf.DUMMYFUNCTION("""COMPUTED_VALUE"""),11.0)</f>
        <v>11</v>
      </c>
      <c r="N65" s="172">
        <f>IFERROR(__xludf.DUMMYFUNCTION("""COMPUTED_VALUE"""),11.0)</f>
        <v>11</v>
      </c>
      <c r="O65" s="172">
        <f>IFERROR(__xludf.DUMMYFUNCTION("""COMPUTED_VALUE"""),0.0)</f>
        <v>0</v>
      </c>
      <c r="P65" s="172">
        <f>IFERROR(__xludf.DUMMYFUNCTION("""COMPUTED_VALUE"""),0.0)</f>
        <v>0</v>
      </c>
      <c r="Q65" s="172">
        <f>IFERROR(__xludf.DUMMYFUNCTION("""COMPUTED_VALUE"""),0.0)</f>
        <v>0</v>
      </c>
      <c r="R65" s="172">
        <f>IFERROR(__xludf.DUMMYFUNCTION("""COMPUTED_VALUE"""),0.0)</f>
        <v>0</v>
      </c>
      <c r="S65" s="172">
        <f>IFERROR(__xludf.DUMMYFUNCTION("""COMPUTED_VALUE"""),0.0)</f>
        <v>0</v>
      </c>
      <c r="T65" s="172">
        <f>IFERROR(__xludf.DUMMYFUNCTION("""COMPUTED_VALUE"""),11.0)</f>
        <v>11</v>
      </c>
      <c r="U65" s="14"/>
      <c r="V65" s="80"/>
      <c r="W65" s="14">
        <f t="shared" si="39"/>
        <v>44929</v>
      </c>
      <c r="X65" s="172">
        <f t="shared" ref="X65:AC65" si="66">M65</f>
        <v>11</v>
      </c>
      <c r="Y65" s="172">
        <f t="shared" si="66"/>
        <v>11</v>
      </c>
      <c r="Z65" s="172">
        <f t="shared" si="66"/>
        <v>0</v>
      </c>
      <c r="AA65" s="172">
        <f t="shared" si="66"/>
        <v>0</v>
      </c>
      <c r="AB65" s="172">
        <f t="shared" si="66"/>
        <v>0</v>
      </c>
      <c r="AC65" s="172">
        <f t="shared" si="66"/>
        <v>0</v>
      </c>
    </row>
    <row r="66">
      <c r="B66" s="12">
        <f>IFERROR(__xludf.DUMMYFUNCTION("""COMPUTED_VALUE"""),44896.0)</f>
        <v>44896</v>
      </c>
      <c r="C66" s="54">
        <f>IFERROR(__xludf.DUMMYFUNCTION("""COMPUTED_VALUE"""),7.0)</f>
        <v>7</v>
      </c>
      <c r="D66" s="54">
        <f>IFERROR(__xludf.DUMMYFUNCTION("""COMPUTED_VALUE"""),7.0)</f>
        <v>7</v>
      </c>
      <c r="E66" s="54">
        <f>IFERROR(__xludf.DUMMYFUNCTION("""COMPUTED_VALUE"""),0.0)</f>
        <v>0</v>
      </c>
      <c r="F66" s="54">
        <f>IFERROR(__xludf.DUMMYFUNCTION("""COMPUTED_VALUE"""),0.0)</f>
        <v>0</v>
      </c>
      <c r="G66" s="54">
        <f>IFERROR(__xludf.DUMMYFUNCTION("""COMPUTED_VALUE"""),0.0)</f>
        <v>0</v>
      </c>
      <c r="H66" s="54">
        <f>IFERROR(__xludf.DUMMYFUNCTION("""COMPUTED_VALUE"""),0.0)</f>
        <v>0</v>
      </c>
      <c r="I66" s="54">
        <f>IFERROR(__xludf.DUMMYFUNCTION("""COMPUTED_VALUE"""),0.0)</f>
        <v>0</v>
      </c>
      <c r="J66" s="54" t="b">
        <f>IFERROR(__xludf.DUMMYFUNCTION("""COMPUTED_VALUE"""),TRUE)</f>
        <v>1</v>
      </c>
      <c r="K66" s="80"/>
      <c r="L66" s="12">
        <f>IFERROR(__xludf.DUMMYFUNCTION("""COMPUTED_VALUE"""),44930.0)</f>
        <v>44930</v>
      </c>
      <c r="M66" s="172">
        <f>IFERROR(__xludf.DUMMYFUNCTION("""COMPUTED_VALUE"""),6.0)</f>
        <v>6</v>
      </c>
      <c r="N66" s="172">
        <f>IFERROR(__xludf.DUMMYFUNCTION("""COMPUTED_VALUE"""),6.0)</f>
        <v>6</v>
      </c>
      <c r="O66" s="172">
        <f>IFERROR(__xludf.DUMMYFUNCTION("""COMPUTED_VALUE"""),0.0)</f>
        <v>0</v>
      </c>
      <c r="P66" s="172">
        <f>IFERROR(__xludf.DUMMYFUNCTION("""COMPUTED_VALUE"""),0.0)</f>
        <v>0</v>
      </c>
      <c r="Q66" s="172">
        <f>IFERROR(__xludf.DUMMYFUNCTION("""COMPUTED_VALUE"""),0.0)</f>
        <v>0</v>
      </c>
      <c r="R66" s="172">
        <f>IFERROR(__xludf.DUMMYFUNCTION("""COMPUTED_VALUE"""),0.0)</f>
        <v>0</v>
      </c>
      <c r="S66" s="172">
        <f>IFERROR(__xludf.DUMMYFUNCTION("""COMPUTED_VALUE"""),0.0)</f>
        <v>0</v>
      </c>
      <c r="T66" s="172">
        <f>IFERROR(__xludf.DUMMYFUNCTION("""COMPUTED_VALUE"""),6.0)</f>
        <v>6</v>
      </c>
      <c r="U66" s="14"/>
      <c r="V66" s="80"/>
      <c r="W66" s="14">
        <f t="shared" si="39"/>
        <v>44930</v>
      </c>
      <c r="X66" s="172">
        <f t="shared" ref="X66:AC66" si="67">M66</f>
        <v>6</v>
      </c>
      <c r="Y66" s="172">
        <f t="shared" si="67"/>
        <v>6</v>
      </c>
      <c r="Z66" s="172">
        <f t="shared" si="67"/>
        <v>0</v>
      </c>
      <c r="AA66" s="172">
        <f t="shared" si="67"/>
        <v>0</v>
      </c>
      <c r="AB66" s="172">
        <f t="shared" si="67"/>
        <v>0</v>
      </c>
      <c r="AC66" s="172">
        <f t="shared" si="67"/>
        <v>0</v>
      </c>
    </row>
    <row r="67">
      <c r="B67" s="12">
        <f>IFERROR(__xludf.DUMMYFUNCTION("""COMPUTED_VALUE"""),44897.0)</f>
        <v>44897</v>
      </c>
      <c r="C67" s="54">
        <f>IFERROR(__xludf.DUMMYFUNCTION("""COMPUTED_VALUE"""),6.0)</f>
        <v>6</v>
      </c>
      <c r="D67" s="54">
        <f>IFERROR(__xludf.DUMMYFUNCTION("""COMPUTED_VALUE"""),6.0)</f>
        <v>6</v>
      </c>
      <c r="E67" s="54">
        <f>IFERROR(__xludf.DUMMYFUNCTION("""COMPUTED_VALUE"""),0.0)</f>
        <v>0</v>
      </c>
      <c r="F67" s="54">
        <f>IFERROR(__xludf.DUMMYFUNCTION("""COMPUTED_VALUE"""),0.0)</f>
        <v>0</v>
      </c>
      <c r="G67" s="54">
        <f>IFERROR(__xludf.DUMMYFUNCTION("""COMPUTED_VALUE"""),0.0)</f>
        <v>0</v>
      </c>
      <c r="H67" s="54">
        <f>IFERROR(__xludf.DUMMYFUNCTION("""COMPUTED_VALUE"""),0.0)</f>
        <v>0</v>
      </c>
      <c r="I67" s="54">
        <f>IFERROR(__xludf.DUMMYFUNCTION("""COMPUTED_VALUE"""),0.0)</f>
        <v>0</v>
      </c>
      <c r="J67" s="54"/>
      <c r="K67" s="80"/>
      <c r="L67" s="12">
        <f>IFERROR(__xludf.DUMMYFUNCTION("""COMPUTED_VALUE"""),44931.0)</f>
        <v>44931</v>
      </c>
      <c r="M67" s="172">
        <f>IFERROR(__xludf.DUMMYFUNCTION("""COMPUTED_VALUE"""),6.0)</f>
        <v>6</v>
      </c>
      <c r="N67" s="172">
        <f>IFERROR(__xludf.DUMMYFUNCTION("""COMPUTED_VALUE"""),6.0)</f>
        <v>6</v>
      </c>
      <c r="O67" s="172">
        <f>IFERROR(__xludf.DUMMYFUNCTION("""COMPUTED_VALUE"""),0.0)</f>
        <v>0</v>
      </c>
      <c r="P67" s="172">
        <f>IFERROR(__xludf.DUMMYFUNCTION("""COMPUTED_VALUE"""),0.0)</f>
        <v>0</v>
      </c>
      <c r="Q67" s="172">
        <f>IFERROR(__xludf.DUMMYFUNCTION("""COMPUTED_VALUE"""),0.0)</f>
        <v>0</v>
      </c>
      <c r="R67" s="172">
        <f>IFERROR(__xludf.DUMMYFUNCTION("""COMPUTED_VALUE"""),0.0)</f>
        <v>0</v>
      </c>
      <c r="S67" s="172">
        <f>IFERROR(__xludf.DUMMYFUNCTION("""COMPUTED_VALUE"""),0.0)</f>
        <v>0</v>
      </c>
      <c r="T67" s="172">
        <f>IFERROR(__xludf.DUMMYFUNCTION("""COMPUTED_VALUE"""),6.0)</f>
        <v>6</v>
      </c>
      <c r="U67" s="14"/>
      <c r="V67" s="80"/>
      <c r="W67" s="14">
        <f t="shared" si="39"/>
        <v>44931</v>
      </c>
      <c r="X67" s="172">
        <f t="shared" ref="X67:AC67" si="68">M67</f>
        <v>6</v>
      </c>
      <c r="Y67" s="172">
        <f t="shared" si="68"/>
        <v>6</v>
      </c>
      <c r="Z67" s="172">
        <f t="shared" si="68"/>
        <v>0</v>
      </c>
      <c r="AA67" s="172">
        <f t="shared" si="68"/>
        <v>0</v>
      </c>
      <c r="AB67" s="172">
        <f t="shared" si="68"/>
        <v>0</v>
      </c>
      <c r="AC67" s="172">
        <f t="shared" si="68"/>
        <v>0</v>
      </c>
    </row>
    <row r="68">
      <c r="B68" s="12">
        <f>IFERROR(__xludf.DUMMYFUNCTION("""COMPUTED_VALUE"""),44900.0)</f>
        <v>44900</v>
      </c>
      <c r="C68" s="54">
        <f>IFERROR(__xludf.DUMMYFUNCTION("""COMPUTED_VALUE"""),8.0)</f>
        <v>8</v>
      </c>
      <c r="D68" s="54">
        <f>IFERROR(__xludf.DUMMYFUNCTION("""COMPUTED_VALUE"""),8.0)</f>
        <v>8</v>
      </c>
      <c r="E68" s="54">
        <f>IFERROR(__xludf.DUMMYFUNCTION("""COMPUTED_VALUE"""),0.0)</f>
        <v>0</v>
      </c>
      <c r="F68" s="54">
        <f>IFERROR(__xludf.DUMMYFUNCTION("""COMPUTED_VALUE"""),0.0)</f>
        <v>0</v>
      </c>
      <c r="G68" s="54">
        <f>IFERROR(__xludf.DUMMYFUNCTION("""COMPUTED_VALUE"""),0.0)</f>
        <v>0</v>
      </c>
      <c r="H68" s="54">
        <f>IFERROR(__xludf.DUMMYFUNCTION("""COMPUTED_VALUE"""),0.0)</f>
        <v>0</v>
      </c>
      <c r="I68" s="54">
        <f>IFERROR(__xludf.DUMMYFUNCTION("""COMPUTED_VALUE"""),0.0)</f>
        <v>0</v>
      </c>
      <c r="J68" s="54" t="b">
        <f>IFERROR(__xludf.DUMMYFUNCTION("""COMPUTED_VALUE"""),TRUE)</f>
        <v>1</v>
      </c>
      <c r="K68" s="80"/>
      <c r="L68" s="12">
        <f>IFERROR(__xludf.DUMMYFUNCTION("""COMPUTED_VALUE"""),44932.0)</f>
        <v>44932</v>
      </c>
      <c r="M68" s="172">
        <f>IFERROR(__xludf.DUMMYFUNCTION("""COMPUTED_VALUE"""),6.0)</f>
        <v>6</v>
      </c>
      <c r="N68" s="172">
        <f>IFERROR(__xludf.DUMMYFUNCTION("""COMPUTED_VALUE"""),6.0)</f>
        <v>6</v>
      </c>
      <c r="O68" s="172">
        <f>IFERROR(__xludf.DUMMYFUNCTION("""COMPUTED_VALUE"""),0.0)</f>
        <v>0</v>
      </c>
      <c r="P68" s="172">
        <f>IFERROR(__xludf.DUMMYFUNCTION("""COMPUTED_VALUE"""),0.0)</f>
        <v>0</v>
      </c>
      <c r="Q68" s="172">
        <f>IFERROR(__xludf.DUMMYFUNCTION("""COMPUTED_VALUE"""),0.0)</f>
        <v>0</v>
      </c>
      <c r="R68" s="172">
        <f>IFERROR(__xludf.DUMMYFUNCTION("""COMPUTED_VALUE"""),0.0)</f>
        <v>0</v>
      </c>
      <c r="S68" s="172">
        <f>IFERROR(__xludf.DUMMYFUNCTION("""COMPUTED_VALUE"""),0.0)</f>
        <v>0</v>
      </c>
      <c r="T68" s="172">
        <f>IFERROR(__xludf.DUMMYFUNCTION("""COMPUTED_VALUE"""),6.0)</f>
        <v>6</v>
      </c>
      <c r="U68" s="14"/>
      <c r="V68" s="80"/>
      <c r="W68" s="14">
        <f t="shared" si="39"/>
        <v>44932</v>
      </c>
      <c r="X68" s="172">
        <f t="shared" ref="X68:AC68" si="69">M68</f>
        <v>6</v>
      </c>
      <c r="Y68" s="172">
        <f t="shared" si="69"/>
        <v>6</v>
      </c>
      <c r="Z68" s="172">
        <f t="shared" si="69"/>
        <v>0</v>
      </c>
      <c r="AA68" s="172">
        <f t="shared" si="69"/>
        <v>0</v>
      </c>
      <c r="AB68" s="172">
        <f t="shared" si="69"/>
        <v>0</v>
      </c>
      <c r="AC68" s="172">
        <f t="shared" si="69"/>
        <v>0</v>
      </c>
    </row>
    <row r="69">
      <c r="B69" s="12">
        <f>IFERROR(__xludf.DUMMYFUNCTION("""COMPUTED_VALUE"""),44901.0)</f>
        <v>44901</v>
      </c>
      <c r="C69" s="54">
        <f>IFERROR(__xludf.DUMMYFUNCTION("""COMPUTED_VALUE"""),8.0)</f>
        <v>8</v>
      </c>
      <c r="D69" s="54">
        <f>IFERROR(__xludf.DUMMYFUNCTION("""COMPUTED_VALUE"""),8.0)</f>
        <v>8</v>
      </c>
      <c r="E69" s="54">
        <f>IFERROR(__xludf.DUMMYFUNCTION("""COMPUTED_VALUE"""),0.0)</f>
        <v>0</v>
      </c>
      <c r="F69" s="54">
        <f>IFERROR(__xludf.DUMMYFUNCTION("""COMPUTED_VALUE"""),0.0)</f>
        <v>0</v>
      </c>
      <c r="G69" s="54">
        <f>IFERROR(__xludf.DUMMYFUNCTION("""COMPUTED_VALUE"""),0.0)</f>
        <v>0</v>
      </c>
      <c r="H69" s="54">
        <f>IFERROR(__xludf.DUMMYFUNCTION("""COMPUTED_VALUE"""),0.0)</f>
        <v>0</v>
      </c>
      <c r="I69" s="54">
        <f>IFERROR(__xludf.DUMMYFUNCTION("""COMPUTED_VALUE"""),0.0)</f>
        <v>0</v>
      </c>
      <c r="J69" s="54" t="b">
        <f>IFERROR(__xludf.DUMMYFUNCTION("""COMPUTED_VALUE"""),TRUE)</f>
        <v>1</v>
      </c>
      <c r="K69" s="80"/>
      <c r="L69" s="12">
        <f>IFERROR(__xludf.DUMMYFUNCTION("""COMPUTED_VALUE"""),44935.0)</f>
        <v>44935</v>
      </c>
      <c r="M69" s="172">
        <f>IFERROR(__xludf.DUMMYFUNCTION("""COMPUTED_VALUE"""),9.0)</f>
        <v>9</v>
      </c>
      <c r="N69" s="172">
        <f>IFERROR(__xludf.DUMMYFUNCTION("""COMPUTED_VALUE"""),9.0)</f>
        <v>9</v>
      </c>
      <c r="O69" s="172">
        <f>IFERROR(__xludf.DUMMYFUNCTION("""COMPUTED_VALUE"""),0.0)</f>
        <v>0</v>
      </c>
      <c r="P69" s="172">
        <f>IFERROR(__xludf.DUMMYFUNCTION("""COMPUTED_VALUE"""),0.0)</f>
        <v>0</v>
      </c>
      <c r="Q69" s="172">
        <f>IFERROR(__xludf.DUMMYFUNCTION("""COMPUTED_VALUE"""),0.0)</f>
        <v>0</v>
      </c>
      <c r="R69" s="172">
        <f>IFERROR(__xludf.DUMMYFUNCTION("""COMPUTED_VALUE"""),0.0)</f>
        <v>0</v>
      </c>
      <c r="S69" s="172">
        <f>IFERROR(__xludf.DUMMYFUNCTION("""COMPUTED_VALUE"""),0.0)</f>
        <v>0</v>
      </c>
      <c r="T69" s="172">
        <f>IFERROR(__xludf.DUMMYFUNCTION("""COMPUTED_VALUE"""),9.0)</f>
        <v>9</v>
      </c>
      <c r="U69" s="14"/>
      <c r="V69" s="80"/>
      <c r="W69" s="14">
        <f t="shared" si="39"/>
        <v>44935</v>
      </c>
      <c r="X69" s="172">
        <f t="shared" ref="X69:AC69" si="70">M69</f>
        <v>9</v>
      </c>
      <c r="Y69" s="172">
        <f t="shared" si="70"/>
        <v>9</v>
      </c>
      <c r="Z69" s="172">
        <f t="shared" si="70"/>
        <v>0</v>
      </c>
      <c r="AA69" s="172">
        <f t="shared" si="70"/>
        <v>0</v>
      </c>
      <c r="AB69" s="172">
        <f t="shared" si="70"/>
        <v>0</v>
      </c>
      <c r="AC69" s="172">
        <f t="shared" si="70"/>
        <v>0</v>
      </c>
    </row>
    <row r="70">
      <c r="B70" s="12">
        <f>IFERROR(__xludf.DUMMYFUNCTION("""COMPUTED_VALUE"""),44902.0)</f>
        <v>44902</v>
      </c>
      <c r="C70" s="54">
        <f>IFERROR(__xludf.DUMMYFUNCTION("""COMPUTED_VALUE"""),8.0)</f>
        <v>8</v>
      </c>
      <c r="D70" s="54">
        <f>IFERROR(__xludf.DUMMYFUNCTION("""COMPUTED_VALUE"""),8.0)</f>
        <v>8</v>
      </c>
      <c r="E70" s="54">
        <f>IFERROR(__xludf.DUMMYFUNCTION("""COMPUTED_VALUE"""),0.0)</f>
        <v>0</v>
      </c>
      <c r="F70" s="54">
        <f>IFERROR(__xludf.DUMMYFUNCTION("""COMPUTED_VALUE"""),0.0)</f>
        <v>0</v>
      </c>
      <c r="G70" s="54">
        <f>IFERROR(__xludf.DUMMYFUNCTION("""COMPUTED_VALUE"""),0.0)</f>
        <v>0</v>
      </c>
      <c r="H70" s="54">
        <f>IFERROR(__xludf.DUMMYFUNCTION("""COMPUTED_VALUE"""),0.0)</f>
        <v>0</v>
      </c>
      <c r="I70" s="54">
        <f>IFERROR(__xludf.DUMMYFUNCTION("""COMPUTED_VALUE"""),0.0)</f>
        <v>0</v>
      </c>
      <c r="J70" s="54" t="b">
        <f>IFERROR(__xludf.DUMMYFUNCTION("""COMPUTED_VALUE"""),TRUE)</f>
        <v>1</v>
      </c>
      <c r="K70" s="80"/>
      <c r="L70" s="12">
        <f>IFERROR(__xludf.DUMMYFUNCTION("""COMPUTED_VALUE"""),44936.0)</f>
        <v>44936</v>
      </c>
      <c r="M70" s="172">
        <f>IFERROR(__xludf.DUMMYFUNCTION("""COMPUTED_VALUE"""),8.0)</f>
        <v>8</v>
      </c>
      <c r="N70" s="172">
        <f>IFERROR(__xludf.DUMMYFUNCTION("""COMPUTED_VALUE"""),8.0)</f>
        <v>8</v>
      </c>
      <c r="O70" s="172">
        <f>IFERROR(__xludf.DUMMYFUNCTION("""COMPUTED_VALUE"""),0.0)</f>
        <v>0</v>
      </c>
      <c r="P70" s="172">
        <f>IFERROR(__xludf.DUMMYFUNCTION("""COMPUTED_VALUE"""),0.0)</f>
        <v>0</v>
      </c>
      <c r="Q70" s="172">
        <f>IFERROR(__xludf.DUMMYFUNCTION("""COMPUTED_VALUE"""),0.0)</f>
        <v>0</v>
      </c>
      <c r="R70" s="172">
        <f>IFERROR(__xludf.DUMMYFUNCTION("""COMPUTED_VALUE"""),0.0)</f>
        <v>0</v>
      </c>
      <c r="S70" s="172">
        <f>IFERROR(__xludf.DUMMYFUNCTION("""COMPUTED_VALUE"""),0.0)</f>
        <v>0</v>
      </c>
      <c r="T70" s="172">
        <f>IFERROR(__xludf.DUMMYFUNCTION("""COMPUTED_VALUE"""),8.0)</f>
        <v>8</v>
      </c>
      <c r="U70" s="14"/>
      <c r="V70" s="80"/>
      <c r="W70" s="14">
        <f t="shared" si="39"/>
        <v>44936</v>
      </c>
      <c r="X70" s="172">
        <f t="shared" ref="X70:AC70" si="71">M70</f>
        <v>8</v>
      </c>
      <c r="Y70" s="172">
        <f t="shared" si="71"/>
        <v>8</v>
      </c>
      <c r="Z70" s="172">
        <f t="shared" si="71"/>
        <v>0</v>
      </c>
      <c r="AA70" s="172">
        <f t="shared" si="71"/>
        <v>0</v>
      </c>
      <c r="AB70" s="172">
        <f t="shared" si="71"/>
        <v>0</v>
      </c>
      <c r="AC70" s="172">
        <f t="shared" si="71"/>
        <v>0</v>
      </c>
    </row>
    <row r="71">
      <c r="B71" s="12">
        <f>IFERROR(__xludf.DUMMYFUNCTION("""COMPUTED_VALUE"""),44903.0)</f>
        <v>44903</v>
      </c>
      <c r="C71" s="54">
        <f>IFERROR(__xludf.DUMMYFUNCTION("""COMPUTED_VALUE"""),7.0)</f>
        <v>7</v>
      </c>
      <c r="D71" s="54">
        <f>IFERROR(__xludf.DUMMYFUNCTION("""COMPUTED_VALUE"""),6.0)</f>
        <v>6</v>
      </c>
      <c r="E71" s="54">
        <f>IFERROR(__xludf.DUMMYFUNCTION("""COMPUTED_VALUE"""),1.0)</f>
        <v>1</v>
      </c>
      <c r="F71" s="54">
        <f>IFERROR(__xludf.DUMMYFUNCTION("""COMPUTED_VALUE"""),0.0)</f>
        <v>0</v>
      </c>
      <c r="G71" s="54">
        <f>IFERROR(__xludf.DUMMYFUNCTION("""COMPUTED_VALUE"""),0.0)</f>
        <v>0</v>
      </c>
      <c r="H71" s="54">
        <f>IFERROR(__xludf.DUMMYFUNCTION("""COMPUTED_VALUE"""),0.0)</f>
        <v>0</v>
      </c>
      <c r="I71" s="54">
        <f>IFERROR(__xludf.DUMMYFUNCTION("""COMPUTED_VALUE"""),0.0)</f>
        <v>0</v>
      </c>
      <c r="J71" s="54" t="b">
        <f>IFERROR(__xludf.DUMMYFUNCTION("""COMPUTED_VALUE"""),TRUE)</f>
        <v>1</v>
      </c>
      <c r="K71" s="80"/>
      <c r="L71" s="12">
        <f>IFERROR(__xludf.DUMMYFUNCTION("""COMPUTED_VALUE"""),44937.0)</f>
        <v>44937</v>
      </c>
      <c r="M71" s="172">
        <f>IFERROR(__xludf.DUMMYFUNCTION("""COMPUTED_VALUE"""),8.0)</f>
        <v>8</v>
      </c>
      <c r="N71" s="172">
        <f>IFERROR(__xludf.DUMMYFUNCTION("""COMPUTED_VALUE"""),8.0)</f>
        <v>8</v>
      </c>
      <c r="O71" s="172">
        <f>IFERROR(__xludf.DUMMYFUNCTION("""COMPUTED_VALUE"""),0.0)</f>
        <v>0</v>
      </c>
      <c r="P71" s="172">
        <f>IFERROR(__xludf.DUMMYFUNCTION("""COMPUTED_VALUE"""),0.0)</f>
        <v>0</v>
      </c>
      <c r="Q71" s="172">
        <f>IFERROR(__xludf.DUMMYFUNCTION("""COMPUTED_VALUE"""),0.0)</f>
        <v>0</v>
      </c>
      <c r="R71" s="172">
        <f>IFERROR(__xludf.DUMMYFUNCTION("""COMPUTED_VALUE"""),0.0)</f>
        <v>0</v>
      </c>
      <c r="S71" s="172">
        <f>IFERROR(__xludf.DUMMYFUNCTION("""COMPUTED_VALUE"""),0.0)</f>
        <v>0</v>
      </c>
      <c r="T71" s="172">
        <f>IFERROR(__xludf.DUMMYFUNCTION("""COMPUTED_VALUE"""),8.0)</f>
        <v>8</v>
      </c>
      <c r="U71" s="14"/>
      <c r="V71" s="80"/>
      <c r="W71" s="14">
        <f t="shared" si="39"/>
        <v>44937</v>
      </c>
      <c r="X71" s="172">
        <f t="shared" ref="X71:AC71" si="72">M71</f>
        <v>8</v>
      </c>
      <c r="Y71" s="172">
        <f t="shared" si="72"/>
        <v>8</v>
      </c>
      <c r="Z71" s="172">
        <f t="shared" si="72"/>
        <v>0</v>
      </c>
      <c r="AA71" s="172">
        <f t="shared" si="72"/>
        <v>0</v>
      </c>
      <c r="AB71" s="172">
        <f t="shared" si="72"/>
        <v>0</v>
      </c>
      <c r="AC71" s="172">
        <f t="shared" si="72"/>
        <v>0</v>
      </c>
    </row>
    <row r="72">
      <c r="B72" s="12">
        <f>IFERROR(__xludf.DUMMYFUNCTION("""COMPUTED_VALUE"""),44904.0)</f>
        <v>44904</v>
      </c>
      <c r="C72" s="54">
        <f>IFERROR(__xludf.DUMMYFUNCTION("""COMPUTED_VALUE"""),5.0)</f>
        <v>5</v>
      </c>
      <c r="D72" s="54">
        <f>IFERROR(__xludf.DUMMYFUNCTION("""COMPUTED_VALUE"""),5.0)</f>
        <v>5</v>
      </c>
      <c r="E72" s="54">
        <f>IFERROR(__xludf.DUMMYFUNCTION("""COMPUTED_VALUE"""),0.0)</f>
        <v>0</v>
      </c>
      <c r="F72" s="54">
        <f>IFERROR(__xludf.DUMMYFUNCTION("""COMPUTED_VALUE"""),0.0)</f>
        <v>0</v>
      </c>
      <c r="G72" s="54">
        <f>IFERROR(__xludf.DUMMYFUNCTION("""COMPUTED_VALUE"""),0.0)</f>
        <v>0</v>
      </c>
      <c r="H72" s="54">
        <f>IFERROR(__xludf.DUMMYFUNCTION("""COMPUTED_VALUE"""),0.0)</f>
        <v>0</v>
      </c>
      <c r="I72" s="54">
        <f>IFERROR(__xludf.DUMMYFUNCTION("""COMPUTED_VALUE"""),0.0)</f>
        <v>0</v>
      </c>
      <c r="J72" s="54"/>
      <c r="K72" s="80"/>
      <c r="L72" s="12">
        <f>IFERROR(__xludf.DUMMYFUNCTION("""COMPUTED_VALUE"""),44938.0)</f>
        <v>44938</v>
      </c>
      <c r="M72" s="172">
        <f>IFERROR(__xludf.DUMMYFUNCTION("""COMPUTED_VALUE"""),4.0)</f>
        <v>4</v>
      </c>
      <c r="N72" s="172">
        <f>IFERROR(__xludf.DUMMYFUNCTION("""COMPUTED_VALUE"""),3.0)</f>
        <v>3</v>
      </c>
      <c r="O72" s="172">
        <f>IFERROR(__xludf.DUMMYFUNCTION("""COMPUTED_VALUE"""),0.0)</f>
        <v>0</v>
      </c>
      <c r="P72" s="172">
        <f>IFERROR(__xludf.DUMMYFUNCTION("""COMPUTED_VALUE"""),1.0)</f>
        <v>1</v>
      </c>
      <c r="Q72" s="172">
        <f>IFERROR(__xludf.DUMMYFUNCTION("""COMPUTED_VALUE"""),0.0)</f>
        <v>0</v>
      </c>
      <c r="R72" s="172">
        <f>IFERROR(__xludf.DUMMYFUNCTION("""COMPUTED_VALUE"""),0.0)</f>
        <v>0</v>
      </c>
      <c r="S72" s="172">
        <f>IFERROR(__xludf.DUMMYFUNCTION("""COMPUTED_VALUE"""),0.0)</f>
        <v>0</v>
      </c>
      <c r="T72" s="172">
        <f>IFERROR(__xludf.DUMMYFUNCTION("""COMPUTED_VALUE"""),4.0)</f>
        <v>4</v>
      </c>
      <c r="U72" s="14"/>
      <c r="V72" s="80"/>
      <c r="W72" s="14">
        <f t="shared" si="39"/>
        <v>44938</v>
      </c>
      <c r="X72" s="172">
        <f t="shared" ref="X72:AC72" si="73">M72</f>
        <v>4</v>
      </c>
      <c r="Y72" s="172">
        <f t="shared" si="73"/>
        <v>3</v>
      </c>
      <c r="Z72" s="172">
        <f t="shared" si="73"/>
        <v>0</v>
      </c>
      <c r="AA72" s="172">
        <f t="shared" si="73"/>
        <v>1</v>
      </c>
      <c r="AB72" s="172">
        <f t="shared" si="73"/>
        <v>0</v>
      </c>
      <c r="AC72" s="172">
        <f t="shared" si="73"/>
        <v>0</v>
      </c>
    </row>
    <row r="73">
      <c r="B73" s="12">
        <f>IFERROR(__xludf.DUMMYFUNCTION("""COMPUTED_VALUE"""),44907.0)</f>
        <v>44907</v>
      </c>
      <c r="C73" s="54">
        <f>IFERROR(__xludf.DUMMYFUNCTION("""COMPUTED_VALUE"""),5.0)</f>
        <v>5</v>
      </c>
      <c r="D73" s="54">
        <f>IFERROR(__xludf.DUMMYFUNCTION("""COMPUTED_VALUE"""),5.0)</f>
        <v>5</v>
      </c>
      <c r="E73" s="54">
        <f>IFERROR(__xludf.DUMMYFUNCTION("""COMPUTED_VALUE"""),0.0)</f>
        <v>0</v>
      </c>
      <c r="F73" s="54">
        <f>IFERROR(__xludf.DUMMYFUNCTION("""COMPUTED_VALUE"""),0.0)</f>
        <v>0</v>
      </c>
      <c r="G73" s="54">
        <f>IFERROR(__xludf.DUMMYFUNCTION("""COMPUTED_VALUE"""),0.0)</f>
        <v>0</v>
      </c>
      <c r="H73" s="54">
        <f>IFERROR(__xludf.DUMMYFUNCTION("""COMPUTED_VALUE"""),0.0)</f>
        <v>0</v>
      </c>
      <c r="I73" s="54">
        <f>IFERROR(__xludf.DUMMYFUNCTION("""COMPUTED_VALUE"""),0.0)</f>
        <v>0</v>
      </c>
      <c r="J73" s="54" t="b">
        <f>IFERROR(__xludf.DUMMYFUNCTION("""COMPUTED_VALUE"""),TRUE)</f>
        <v>1</v>
      </c>
      <c r="K73" s="80"/>
      <c r="L73" s="12">
        <f>IFERROR(__xludf.DUMMYFUNCTION("""COMPUTED_VALUE"""),44939.0)</f>
        <v>44939</v>
      </c>
      <c r="M73" s="172">
        <f>IFERROR(__xludf.DUMMYFUNCTION("""COMPUTED_VALUE"""),10.0)</f>
        <v>10</v>
      </c>
      <c r="N73" s="172">
        <f>IFERROR(__xludf.DUMMYFUNCTION("""COMPUTED_VALUE"""),9.0)</f>
        <v>9</v>
      </c>
      <c r="O73" s="172">
        <f>IFERROR(__xludf.DUMMYFUNCTION("""COMPUTED_VALUE"""),0.0)</f>
        <v>0</v>
      </c>
      <c r="P73" s="172">
        <f>IFERROR(__xludf.DUMMYFUNCTION("""COMPUTED_VALUE"""),1.0)</f>
        <v>1</v>
      </c>
      <c r="Q73" s="172">
        <f>IFERROR(__xludf.DUMMYFUNCTION("""COMPUTED_VALUE"""),0.0)</f>
        <v>0</v>
      </c>
      <c r="R73" s="172">
        <f>IFERROR(__xludf.DUMMYFUNCTION("""COMPUTED_VALUE"""),0.0)</f>
        <v>0</v>
      </c>
      <c r="S73" s="172">
        <f>IFERROR(__xludf.DUMMYFUNCTION("""COMPUTED_VALUE"""),0.0)</f>
        <v>0</v>
      </c>
      <c r="T73" s="172">
        <f>IFERROR(__xludf.DUMMYFUNCTION("""COMPUTED_VALUE"""),10.0)</f>
        <v>10</v>
      </c>
      <c r="U73" s="14"/>
      <c r="V73" s="80"/>
      <c r="W73" s="14">
        <f t="shared" si="39"/>
        <v>44939</v>
      </c>
      <c r="X73" s="172">
        <f t="shared" ref="X73:AC73" si="74">M73</f>
        <v>10</v>
      </c>
      <c r="Y73" s="172">
        <f t="shared" si="74"/>
        <v>9</v>
      </c>
      <c r="Z73" s="172">
        <f t="shared" si="74"/>
        <v>0</v>
      </c>
      <c r="AA73" s="172">
        <f t="shared" si="74"/>
        <v>1</v>
      </c>
      <c r="AB73" s="172">
        <f t="shared" si="74"/>
        <v>0</v>
      </c>
      <c r="AC73" s="172">
        <f t="shared" si="74"/>
        <v>0</v>
      </c>
    </row>
    <row r="74">
      <c r="B74" s="12">
        <f>IFERROR(__xludf.DUMMYFUNCTION("""COMPUTED_VALUE"""),44908.0)</f>
        <v>44908</v>
      </c>
      <c r="C74" s="54">
        <f>IFERROR(__xludf.DUMMYFUNCTION("""COMPUTED_VALUE"""),5.0)</f>
        <v>5</v>
      </c>
      <c r="D74" s="54">
        <f>IFERROR(__xludf.DUMMYFUNCTION("""COMPUTED_VALUE"""),5.0)</f>
        <v>5</v>
      </c>
      <c r="E74" s="54">
        <f>IFERROR(__xludf.DUMMYFUNCTION("""COMPUTED_VALUE"""),0.0)</f>
        <v>0</v>
      </c>
      <c r="F74" s="54">
        <f>IFERROR(__xludf.DUMMYFUNCTION("""COMPUTED_VALUE"""),0.0)</f>
        <v>0</v>
      </c>
      <c r="G74" s="54">
        <f>IFERROR(__xludf.DUMMYFUNCTION("""COMPUTED_VALUE"""),0.0)</f>
        <v>0</v>
      </c>
      <c r="H74" s="54">
        <f>IFERROR(__xludf.DUMMYFUNCTION("""COMPUTED_VALUE"""),0.0)</f>
        <v>0</v>
      </c>
      <c r="I74" s="54">
        <f>IFERROR(__xludf.DUMMYFUNCTION("""COMPUTED_VALUE"""),0.0)</f>
        <v>0</v>
      </c>
      <c r="J74" s="54" t="b">
        <f>IFERROR(__xludf.DUMMYFUNCTION("""COMPUTED_VALUE"""),TRUE)</f>
        <v>1</v>
      </c>
      <c r="K74" s="80"/>
      <c r="L74" s="12">
        <f>IFERROR(__xludf.DUMMYFUNCTION("""COMPUTED_VALUE"""),44942.0)</f>
        <v>44942</v>
      </c>
      <c r="M74" s="172">
        <f>IFERROR(__xludf.DUMMYFUNCTION("""COMPUTED_VALUE"""),9.0)</f>
        <v>9</v>
      </c>
      <c r="N74" s="172">
        <f>IFERROR(__xludf.DUMMYFUNCTION("""COMPUTED_VALUE"""),9.0)</f>
        <v>9</v>
      </c>
      <c r="O74" s="172">
        <f>IFERROR(__xludf.DUMMYFUNCTION("""COMPUTED_VALUE"""),0.0)</f>
        <v>0</v>
      </c>
      <c r="P74" s="172">
        <f>IFERROR(__xludf.DUMMYFUNCTION("""COMPUTED_VALUE"""),0.0)</f>
        <v>0</v>
      </c>
      <c r="Q74" s="172">
        <f>IFERROR(__xludf.DUMMYFUNCTION("""COMPUTED_VALUE"""),0.0)</f>
        <v>0</v>
      </c>
      <c r="R74" s="172">
        <f>IFERROR(__xludf.DUMMYFUNCTION("""COMPUTED_VALUE"""),0.0)</f>
        <v>0</v>
      </c>
      <c r="S74" s="172">
        <f>IFERROR(__xludf.DUMMYFUNCTION("""COMPUTED_VALUE"""),0.0)</f>
        <v>0</v>
      </c>
      <c r="T74" s="172">
        <f>IFERROR(__xludf.DUMMYFUNCTION("""COMPUTED_VALUE"""),9.0)</f>
        <v>9</v>
      </c>
      <c r="U74" s="14"/>
      <c r="V74" s="80"/>
      <c r="W74" s="14">
        <f t="shared" si="39"/>
        <v>44942</v>
      </c>
      <c r="X74" s="172">
        <f t="shared" ref="X74:AC74" si="75">M74</f>
        <v>9</v>
      </c>
      <c r="Y74" s="172">
        <f t="shared" si="75"/>
        <v>9</v>
      </c>
      <c r="Z74" s="172">
        <f t="shared" si="75"/>
        <v>0</v>
      </c>
      <c r="AA74" s="172">
        <f t="shared" si="75"/>
        <v>0</v>
      </c>
      <c r="AB74" s="172">
        <f t="shared" si="75"/>
        <v>0</v>
      </c>
      <c r="AC74" s="172">
        <f t="shared" si="75"/>
        <v>0</v>
      </c>
    </row>
    <row r="75">
      <c r="B75" s="12">
        <f>IFERROR(__xludf.DUMMYFUNCTION("""COMPUTED_VALUE"""),44911.0)</f>
        <v>44911</v>
      </c>
      <c r="C75" s="54">
        <f>IFERROR(__xludf.DUMMYFUNCTION("""COMPUTED_VALUE"""),3.0)</f>
        <v>3</v>
      </c>
      <c r="D75" s="7">
        <f>IFERROR(__xludf.DUMMYFUNCTION("""COMPUTED_VALUE"""),3.0)</f>
        <v>3</v>
      </c>
      <c r="E75" s="7">
        <f>IFERROR(__xludf.DUMMYFUNCTION("""COMPUTED_VALUE"""),0.0)</f>
        <v>0</v>
      </c>
      <c r="F75" s="7">
        <f>IFERROR(__xludf.DUMMYFUNCTION("""COMPUTED_VALUE"""),0.0)</f>
        <v>0</v>
      </c>
      <c r="G75" s="7">
        <f>IFERROR(__xludf.DUMMYFUNCTION("""COMPUTED_VALUE"""),0.0)</f>
        <v>0</v>
      </c>
      <c r="H75" s="7">
        <f>IFERROR(__xludf.DUMMYFUNCTION("""COMPUTED_VALUE"""),0.0)</f>
        <v>0</v>
      </c>
      <c r="I75" s="7">
        <f>IFERROR(__xludf.DUMMYFUNCTION("""COMPUTED_VALUE"""),0.0)</f>
        <v>0</v>
      </c>
      <c r="J75" s="54" t="b">
        <f>IFERROR(__xludf.DUMMYFUNCTION("""COMPUTED_VALUE"""),TRUE)</f>
        <v>1</v>
      </c>
      <c r="K75" s="80"/>
      <c r="L75" s="12">
        <f>IFERROR(__xludf.DUMMYFUNCTION("""COMPUTED_VALUE"""),44943.0)</f>
        <v>44943</v>
      </c>
      <c r="M75" s="172">
        <f>IFERROR(__xludf.DUMMYFUNCTION("""COMPUTED_VALUE"""),10.0)</f>
        <v>10</v>
      </c>
      <c r="N75" s="172">
        <f>IFERROR(__xludf.DUMMYFUNCTION("""COMPUTED_VALUE"""),10.0)</f>
        <v>10</v>
      </c>
      <c r="O75" s="172">
        <f>IFERROR(__xludf.DUMMYFUNCTION("""COMPUTED_VALUE"""),0.0)</f>
        <v>0</v>
      </c>
      <c r="P75" s="172">
        <f>IFERROR(__xludf.DUMMYFUNCTION("""COMPUTED_VALUE"""),0.0)</f>
        <v>0</v>
      </c>
      <c r="Q75" s="172">
        <f>IFERROR(__xludf.DUMMYFUNCTION("""COMPUTED_VALUE"""),0.0)</f>
        <v>0</v>
      </c>
      <c r="R75" s="172">
        <f>IFERROR(__xludf.DUMMYFUNCTION("""COMPUTED_VALUE"""),0.0)</f>
        <v>0</v>
      </c>
      <c r="S75" s="172">
        <f>IFERROR(__xludf.DUMMYFUNCTION("""COMPUTED_VALUE"""),0.0)</f>
        <v>0</v>
      </c>
      <c r="T75" s="172">
        <f>IFERROR(__xludf.DUMMYFUNCTION("""COMPUTED_VALUE"""),10.0)</f>
        <v>10</v>
      </c>
      <c r="U75" s="14"/>
      <c r="V75" s="80"/>
      <c r="W75" s="14">
        <f t="shared" si="39"/>
        <v>44943</v>
      </c>
      <c r="X75" s="172">
        <f t="shared" ref="X75:AC75" si="76">M75</f>
        <v>10</v>
      </c>
      <c r="Y75" s="172">
        <f t="shared" si="76"/>
        <v>10</v>
      </c>
      <c r="Z75" s="172">
        <f t="shared" si="76"/>
        <v>0</v>
      </c>
      <c r="AA75" s="172">
        <f t="shared" si="76"/>
        <v>0</v>
      </c>
      <c r="AB75" s="172">
        <f t="shared" si="76"/>
        <v>0</v>
      </c>
      <c r="AC75" s="172">
        <f t="shared" si="76"/>
        <v>0</v>
      </c>
    </row>
    <row r="76">
      <c r="B76" s="12">
        <f>IFERROR(__xludf.DUMMYFUNCTION("""COMPUTED_VALUE"""),44914.0)</f>
        <v>44914</v>
      </c>
      <c r="C76" s="54">
        <f>IFERROR(__xludf.DUMMYFUNCTION("""COMPUTED_VALUE"""),5.0)</f>
        <v>5</v>
      </c>
      <c r="D76" s="7">
        <f>IFERROR(__xludf.DUMMYFUNCTION("""COMPUTED_VALUE"""),5.0)</f>
        <v>5</v>
      </c>
      <c r="E76" s="7">
        <f>IFERROR(__xludf.DUMMYFUNCTION("""COMPUTED_VALUE"""),0.0)</f>
        <v>0</v>
      </c>
      <c r="F76" s="7">
        <f>IFERROR(__xludf.DUMMYFUNCTION("""COMPUTED_VALUE"""),0.0)</f>
        <v>0</v>
      </c>
      <c r="G76" s="7">
        <f>IFERROR(__xludf.DUMMYFUNCTION("""COMPUTED_VALUE"""),0.0)</f>
        <v>0</v>
      </c>
      <c r="H76" s="7">
        <f>IFERROR(__xludf.DUMMYFUNCTION("""COMPUTED_VALUE"""),0.0)</f>
        <v>0</v>
      </c>
      <c r="I76" s="7">
        <f>IFERROR(__xludf.DUMMYFUNCTION("""COMPUTED_VALUE"""),0.0)</f>
        <v>0</v>
      </c>
      <c r="J76" s="54" t="b">
        <f>IFERROR(__xludf.DUMMYFUNCTION("""COMPUTED_VALUE"""),TRUE)</f>
        <v>1</v>
      </c>
      <c r="K76" s="80"/>
      <c r="L76" s="12">
        <f>IFERROR(__xludf.DUMMYFUNCTION("""COMPUTED_VALUE"""),44944.0)</f>
        <v>44944</v>
      </c>
      <c r="M76" s="172">
        <f>IFERROR(__xludf.DUMMYFUNCTION("""COMPUTED_VALUE"""),6.0)</f>
        <v>6</v>
      </c>
      <c r="N76" s="172">
        <f>IFERROR(__xludf.DUMMYFUNCTION("""COMPUTED_VALUE"""),6.0)</f>
        <v>6</v>
      </c>
      <c r="O76" s="172">
        <f>IFERROR(__xludf.DUMMYFUNCTION("""COMPUTED_VALUE"""),0.0)</f>
        <v>0</v>
      </c>
      <c r="P76" s="172">
        <f>IFERROR(__xludf.DUMMYFUNCTION("""COMPUTED_VALUE"""),0.0)</f>
        <v>0</v>
      </c>
      <c r="Q76" s="172">
        <f>IFERROR(__xludf.DUMMYFUNCTION("""COMPUTED_VALUE"""),0.0)</f>
        <v>0</v>
      </c>
      <c r="R76" s="172">
        <f>IFERROR(__xludf.DUMMYFUNCTION("""COMPUTED_VALUE"""),0.0)</f>
        <v>0</v>
      </c>
      <c r="S76" s="172">
        <f>IFERROR(__xludf.DUMMYFUNCTION("""COMPUTED_VALUE"""),0.0)</f>
        <v>0</v>
      </c>
      <c r="T76" s="172">
        <f>IFERROR(__xludf.DUMMYFUNCTION("""COMPUTED_VALUE"""),6.0)</f>
        <v>6</v>
      </c>
      <c r="U76" s="14"/>
      <c r="V76" s="80"/>
      <c r="W76" s="14">
        <f t="shared" si="39"/>
        <v>44944</v>
      </c>
      <c r="X76" s="172">
        <f t="shared" ref="X76:AC76" si="77">M76</f>
        <v>6</v>
      </c>
      <c r="Y76" s="172">
        <f t="shared" si="77"/>
        <v>6</v>
      </c>
      <c r="Z76" s="172">
        <f t="shared" si="77"/>
        <v>0</v>
      </c>
      <c r="AA76" s="172">
        <f t="shared" si="77"/>
        <v>0</v>
      </c>
      <c r="AB76" s="172">
        <f t="shared" si="77"/>
        <v>0</v>
      </c>
      <c r="AC76" s="172">
        <f t="shared" si="77"/>
        <v>0</v>
      </c>
    </row>
    <row r="77">
      <c r="B77" s="12">
        <f>IFERROR(__xludf.DUMMYFUNCTION("""COMPUTED_VALUE"""),44915.0)</f>
        <v>44915</v>
      </c>
      <c r="C77" s="54">
        <f>IFERROR(__xludf.DUMMYFUNCTION("""COMPUTED_VALUE"""),9.0)</f>
        <v>9</v>
      </c>
      <c r="D77" s="7">
        <f>IFERROR(__xludf.DUMMYFUNCTION("""COMPUTED_VALUE"""),7.0)</f>
        <v>7</v>
      </c>
      <c r="E77" s="7">
        <f>IFERROR(__xludf.DUMMYFUNCTION("""COMPUTED_VALUE"""),2.0)</f>
        <v>2</v>
      </c>
      <c r="F77" s="7">
        <f>IFERROR(__xludf.DUMMYFUNCTION("""COMPUTED_VALUE"""),0.0)</f>
        <v>0</v>
      </c>
      <c r="G77" s="7">
        <f>IFERROR(__xludf.DUMMYFUNCTION("""COMPUTED_VALUE"""),0.0)</f>
        <v>0</v>
      </c>
      <c r="H77" s="7">
        <f>IFERROR(__xludf.DUMMYFUNCTION("""COMPUTED_VALUE"""),0.0)</f>
        <v>0</v>
      </c>
      <c r="I77" s="7">
        <f>IFERROR(__xludf.DUMMYFUNCTION("""COMPUTED_VALUE"""),0.0)</f>
        <v>0</v>
      </c>
      <c r="J77" s="54" t="b">
        <f>IFERROR(__xludf.DUMMYFUNCTION("""COMPUTED_VALUE"""),TRUE)</f>
        <v>1</v>
      </c>
      <c r="K77" s="80"/>
      <c r="L77" s="12">
        <f>IFERROR(__xludf.DUMMYFUNCTION("""COMPUTED_VALUE"""),44945.0)</f>
        <v>44945</v>
      </c>
      <c r="M77" s="172">
        <f>IFERROR(__xludf.DUMMYFUNCTION("""COMPUTED_VALUE"""),9.0)</f>
        <v>9</v>
      </c>
      <c r="N77" s="172">
        <f>IFERROR(__xludf.DUMMYFUNCTION("""COMPUTED_VALUE"""),9.0)</f>
        <v>9</v>
      </c>
      <c r="O77" s="172">
        <f>IFERROR(__xludf.DUMMYFUNCTION("""COMPUTED_VALUE"""),0.0)</f>
        <v>0</v>
      </c>
      <c r="P77" s="172">
        <f>IFERROR(__xludf.DUMMYFUNCTION("""COMPUTED_VALUE"""),0.0)</f>
        <v>0</v>
      </c>
      <c r="Q77" s="172">
        <f>IFERROR(__xludf.DUMMYFUNCTION("""COMPUTED_VALUE"""),0.0)</f>
        <v>0</v>
      </c>
      <c r="R77" s="172">
        <f>IFERROR(__xludf.DUMMYFUNCTION("""COMPUTED_VALUE"""),0.0)</f>
        <v>0</v>
      </c>
      <c r="S77" s="172">
        <f>IFERROR(__xludf.DUMMYFUNCTION("""COMPUTED_VALUE"""),0.0)</f>
        <v>0</v>
      </c>
      <c r="T77" s="172">
        <f>IFERROR(__xludf.DUMMYFUNCTION("""COMPUTED_VALUE"""),9.0)</f>
        <v>9</v>
      </c>
      <c r="U77" s="14"/>
      <c r="V77" s="80"/>
      <c r="W77" s="14">
        <f t="shared" si="39"/>
        <v>44945</v>
      </c>
      <c r="X77" s="172">
        <f t="shared" ref="X77:AC77" si="78">M77</f>
        <v>9</v>
      </c>
      <c r="Y77" s="172">
        <f t="shared" si="78"/>
        <v>9</v>
      </c>
      <c r="Z77" s="172">
        <f t="shared" si="78"/>
        <v>0</v>
      </c>
      <c r="AA77" s="172">
        <f t="shared" si="78"/>
        <v>0</v>
      </c>
      <c r="AB77" s="172">
        <f t="shared" si="78"/>
        <v>0</v>
      </c>
      <c r="AC77" s="172">
        <f t="shared" si="78"/>
        <v>0</v>
      </c>
    </row>
    <row r="78">
      <c r="B78" s="12">
        <f>IFERROR(__xludf.DUMMYFUNCTION("""COMPUTED_VALUE"""),44916.0)</f>
        <v>44916</v>
      </c>
      <c r="C78" s="54">
        <f>IFERROR(__xludf.DUMMYFUNCTION("""COMPUTED_VALUE"""),6.0)</f>
        <v>6</v>
      </c>
      <c r="D78" s="7">
        <f>IFERROR(__xludf.DUMMYFUNCTION("""COMPUTED_VALUE"""),6.0)</f>
        <v>6</v>
      </c>
      <c r="E78" s="7">
        <f>IFERROR(__xludf.DUMMYFUNCTION("""COMPUTED_VALUE"""),0.0)</f>
        <v>0</v>
      </c>
      <c r="F78" s="7">
        <f>IFERROR(__xludf.DUMMYFUNCTION("""COMPUTED_VALUE"""),0.0)</f>
        <v>0</v>
      </c>
      <c r="G78" s="7">
        <f>IFERROR(__xludf.DUMMYFUNCTION("""COMPUTED_VALUE"""),0.0)</f>
        <v>0</v>
      </c>
      <c r="H78" s="7">
        <f>IFERROR(__xludf.DUMMYFUNCTION("""COMPUTED_VALUE"""),0.0)</f>
        <v>0</v>
      </c>
      <c r="I78" s="7">
        <f>IFERROR(__xludf.DUMMYFUNCTION("""COMPUTED_VALUE"""),0.0)</f>
        <v>0</v>
      </c>
      <c r="J78" s="54"/>
      <c r="K78" s="80"/>
      <c r="L78" s="12">
        <f>IFERROR(__xludf.DUMMYFUNCTION("""COMPUTED_VALUE"""),44946.0)</f>
        <v>44946</v>
      </c>
      <c r="M78" s="172">
        <f>IFERROR(__xludf.DUMMYFUNCTION("""COMPUTED_VALUE"""),6.0)</f>
        <v>6</v>
      </c>
      <c r="N78" s="172">
        <f>IFERROR(__xludf.DUMMYFUNCTION("""COMPUTED_VALUE"""),5.0)</f>
        <v>5</v>
      </c>
      <c r="O78" s="172">
        <f>IFERROR(__xludf.DUMMYFUNCTION("""COMPUTED_VALUE"""),0.0)</f>
        <v>0</v>
      </c>
      <c r="P78" s="172">
        <f>IFERROR(__xludf.DUMMYFUNCTION("""COMPUTED_VALUE"""),1.0)</f>
        <v>1</v>
      </c>
      <c r="Q78" s="172">
        <f>IFERROR(__xludf.DUMMYFUNCTION("""COMPUTED_VALUE"""),0.0)</f>
        <v>0</v>
      </c>
      <c r="R78" s="172">
        <f>IFERROR(__xludf.DUMMYFUNCTION("""COMPUTED_VALUE"""),0.0)</f>
        <v>0</v>
      </c>
      <c r="S78" s="172">
        <f>IFERROR(__xludf.DUMMYFUNCTION("""COMPUTED_VALUE"""),0.0)</f>
        <v>0</v>
      </c>
      <c r="T78" s="172">
        <f>IFERROR(__xludf.DUMMYFUNCTION("""COMPUTED_VALUE"""),6.0)</f>
        <v>6</v>
      </c>
      <c r="U78" s="14"/>
      <c r="V78" s="80"/>
      <c r="W78" s="14">
        <f t="shared" si="39"/>
        <v>44946</v>
      </c>
      <c r="X78" s="172">
        <f t="shared" ref="X78:AC78" si="79">M78</f>
        <v>6</v>
      </c>
      <c r="Y78" s="172">
        <f t="shared" si="79"/>
        <v>5</v>
      </c>
      <c r="Z78" s="172">
        <f t="shared" si="79"/>
        <v>0</v>
      </c>
      <c r="AA78" s="172">
        <f t="shared" si="79"/>
        <v>1</v>
      </c>
      <c r="AB78" s="172">
        <f t="shared" si="79"/>
        <v>0</v>
      </c>
      <c r="AC78" s="172">
        <f t="shared" si="79"/>
        <v>0</v>
      </c>
    </row>
    <row r="79">
      <c r="B79" s="12">
        <f>IFERROR(__xludf.DUMMYFUNCTION("""COMPUTED_VALUE"""),44917.0)</f>
        <v>44917</v>
      </c>
      <c r="C79" s="54">
        <f>IFERROR(__xludf.DUMMYFUNCTION("""COMPUTED_VALUE"""),6.0)</f>
        <v>6</v>
      </c>
      <c r="D79" s="7">
        <f>IFERROR(__xludf.DUMMYFUNCTION("""COMPUTED_VALUE"""),6.0)</f>
        <v>6</v>
      </c>
      <c r="E79" s="7">
        <f>IFERROR(__xludf.DUMMYFUNCTION("""COMPUTED_VALUE"""),0.0)</f>
        <v>0</v>
      </c>
      <c r="F79" s="7">
        <f>IFERROR(__xludf.DUMMYFUNCTION("""COMPUTED_VALUE"""),0.0)</f>
        <v>0</v>
      </c>
      <c r="G79" s="7">
        <f>IFERROR(__xludf.DUMMYFUNCTION("""COMPUTED_VALUE"""),0.0)</f>
        <v>0</v>
      </c>
      <c r="H79" s="7">
        <f>IFERROR(__xludf.DUMMYFUNCTION("""COMPUTED_VALUE"""),0.0)</f>
        <v>0</v>
      </c>
      <c r="I79" s="7">
        <f>IFERROR(__xludf.DUMMYFUNCTION("""COMPUTED_VALUE"""),0.0)</f>
        <v>0</v>
      </c>
      <c r="J79" s="54" t="b">
        <f>IFERROR(__xludf.DUMMYFUNCTION("""COMPUTED_VALUE"""),TRUE)</f>
        <v>1</v>
      </c>
      <c r="K79" s="80"/>
      <c r="L79" s="12">
        <f>IFERROR(__xludf.DUMMYFUNCTION("""COMPUTED_VALUE"""),44949.0)</f>
        <v>44949</v>
      </c>
      <c r="M79" s="172">
        <f>IFERROR(__xludf.DUMMYFUNCTION("""COMPUTED_VALUE"""),9.0)</f>
        <v>9</v>
      </c>
      <c r="N79" s="172">
        <f>IFERROR(__xludf.DUMMYFUNCTION("""COMPUTED_VALUE"""),9.0)</f>
        <v>9</v>
      </c>
      <c r="O79" s="172">
        <f>IFERROR(__xludf.DUMMYFUNCTION("""COMPUTED_VALUE"""),0.0)</f>
        <v>0</v>
      </c>
      <c r="P79" s="172">
        <f>IFERROR(__xludf.DUMMYFUNCTION("""COMPUTED_VALUE"""),0.0)</f>
        <v>0</v>
      </c>
      <c r="Q79" s="172">
        <f>IFERROR(__xludf.DUMMYFUNCTION("""COMPUTED_VALUE"""),0.0)</f>
        <v>0</v>
      </c>
      <c r="R79" s="172">
        <f>IFERROR(__xludf.DUMMYFUNCTION("""COMPUTED_VALUE"""),0.0)</f>
        <v>0</v>
      </c>
      <c r="S79" s="172">
        <f>IFERROR(__xludf.DUMMYFUNCTION("""COMPUTED_VALUE"""),0.0)</f>
        <v>0</v>
      </c>
      <c r="T79" s="172">
        <f>IFERROR(__xludf.DUMMYFUNCTION("""COMPUTED_VALUE"""),9.0)</f>
        <v>9</v>
      </c>
      <c r="U79" s="14"/>
      <c r="V79" s="80"/>
      <c r="W79" s="14">
        <f t="shared" si="39"/>
        <v>44949</v>
      </c>
      <c r="X79" s="172">
        <f t="shared" ref="X79:AC79" si="80">M79</f>
        <v>9</v>
      </c>
      <c r="Y79" s="172">
        <f t="shared" si="80"/>
        <v>9</v>
      </c>
      <c r="Z79" s="172">
        <f t="shared" si="80"/>
        <v>0</v>
      </c>
      <c r="AA79" s="172">
        <f t="shared" si="80"/>
        <v>0</v>
      </c>
      <c r="AB79" s="172">
        <f t="shared" si="80"/>
        <v>0</v>
      </c>
      <c r="AC79" s="172">
        <f t="shared" si="80"/>
        <v>0</v>
      </c>
    </row>
    <row r="80">
      <c r="B80" s="12">
        <f>IFERROR(__xludf.DUMMYFUNCTION("""COMPUTED_VALUE"""),44928.0)</f>
        <v>44928</v>
      </c>
      <c r="C80" s="54">
        <f>IFERROR(__xludf.DUMMYFUNCTION("""COMPUTED_VALUE"""),9.0)</f>
        <v>9</v>
      </c>
      <c r="D80" s="7">
        <f>IFERROR(__xludf.DUMMYFUNCTION("""COMPUTED_VALUE"""),9.0)</f>
        <v>9</v>
      </c>
      <c r="E80" s="7">
        <f>IFERROR(__xludf.DUMMYFUNCTION("""COMPUTED_VALUE"""),0.0)</f>
        <v>0</v>
      </c>
      <c r="F80" s="7">
        <f>IFERROR(__xludf.DUMMYFUNCTION("""COMPUTED_VALUE"""),0.0)</f>
        <v>0</v>
      </c>
      <c r="G80" s="7">
        <f>IFERROR(__xludf.DUMMYFUNCTION("""COMPUTED_VALUE"""),0.0)</f>
        <v>0</v>
      </c>
      <c r="H80" s="7">
        <f>IFERROR(__xludf.DUMMYFUNCTION("""COMPUTED_VALUE"""),0.0)</f>
        <v>0</v>
      </c>
      <c r="I80" s="7">
        <f>IFERROR(__xludf.DUMMYFUNCTION("""COMPUTED_VALUE"""),0.0)</f>
        <v>0</v>
      </c>
      <c r="J80" s="54" t="b">
        <f>IFERROR(__xludf.DUMMYFUNCTION("""COMPUTED_VALUE"""),TRUE)</f>
        <v>1</v>
      </c>
      <c r="K80" s="80"/>
      <c r="L80" s="12">
        <f>IFERROR(__xludf.DUMMYFUNCTION("""COMPUTED_VALUE"""),44951.0)</f>
        <v>44951</v>
      </c>
      <c r="M80" s="172">
        <f>IFERROR(__xludf.DUMMYFUNCTION("""COMPUTED_VALUE"""),6.0)</f>
        <v>6</v>
      </c>
      <c r="N80" s="172">
        <f>IFERROR(__xludf.DUMMYFUNCTION("""COMPUTED_VALUE"""),6.0)</f>
        <v>6</v>
      </c>
      <c r="O80" s="172">
        <f>IFERROR(__xludf.DUMMYFUNCTION("""COMPUTED_VALUE"""),0.0)</f>
        <v>0</v>
      </c>
      <c r="P80" s="172">
        <f>IFERROR(__xludf.DUMMYFUNCTION("""COMPUTED_VALUE"""),0.0)</f>
        <v>0</v>
      </c>
      <c r="Q80" s="172">
        <f>IFERROR(__xludf.DUMMYFUNCTION("""COMPUTED_VALUE"""),0.0)</f>
        <v>0</v>
      </c>
      <c r="R80" s="172">
        <f>IFERROR(__xludf.DUMMYFUNCTION("""COMPUTED_VALUE"""),0.0)</f>
        <v>0</v>
      </c>
      <c r="S80" s="172">
        <f>IFERROR(__xludf.DUMMYFUNCTION("""COMPUTED_VALUE"""),0.0)</f>
        <v>0</v>
      </c>
      <c r="T80" s="172">
        <f>IFERROR(__xludf.DUMMYFUNCTION("""COMPUTED_VALUE"""),6.0)</f>
        <v>6</v>
      </c>
      <c r="U80" s="14"/>
      <c r="V80" s="80"/>
      <c r="W80" s="14">
        <f t="shared" si="39"/>
        <v>44951</v>
      </c>
      <c r="X80" s="172">
        <f t="shared" ref="X80:AC80" si="81">M80</f>
        <v>6</v>
      </c>
      <c r="Y80" s="172">
        <f t="shared" si="81"/>
        <v>6</v>
      </c>
      <c r="Z80" s="172">
        <f t="shared" si="81"/>
        <v>0</v>
      </c>
      <c r="AA80" s="172">
        <f t="shared" si="81"/>
        <v>0</v>
      </c>
      <c r="AB80" s="172">
        <f t="shared" si="81"/>
        <v>0</v>
      </c>
      <c r="AC80" s="172">
        <f t="shared" si="81"/>
        <v>0</v>
      </c>
    </row>
    <row r="81">
      <c r="B81" s="12">
        <f>IFERROR(__xludf.DUMMYFUNCTION("""COMPUTED_VALUE"""),44929.0)</f>
        <v>44929</v>
      </c>
      <c r="C81" s="54">
        <f>IFERROR(__xludf.DUMMYFUNCTION("""COMPUTED_VALUE"""),11.0)</f>
        <v>11</v>
      </c>
      <c r="D81" s="7">
        <f>IFERROR(__xludf.DUMMYFUNCTION("""COMPUTED_VALUE"""),11.0)</f>
        <v>11</v>
      </c>
      <c r="E81" s="7">
        <f>IFERROR(__xludf.DUMMYFUNCTION("""COMPUTED_VALUE"""),0.0)</f>
        <v>0</v>
      </c>
      <c r="F81" s="7">
        <f>IFERROR(__xludf.DUMMYFUNCTION("""COMPUTED_VALUE"""),0.0)</f>
        <v>0</v>
      </c>
      <c r="G81" s="7">
        <f>IFERROR(__xludf.DUMMYFUNCTION("""COMPUTED_VALUE"""),0.0)</f>
        <v>0</v>
      </c>
      <c r="H81" s="7">
        <f>IFERROR(__xludf.DUMMYFUNCTION("""COMPUTED_VALUE"""),0.0)</f>
        <v>0</v>
      </c>
      <c r="I81" s="7">
        <f>IFERROR(__xludf.DUMMYFUNCTION("""COMPUTED_VALUE"""),0.0)</f>
        <v>0</v>
      </c>
      <c r="J81" s="54" t="b">
        <f>IFERROR(__xludf.DUMMYFUNCTION("""COMPUTED_VALUE"""),TRUE)</f>
        <v>1</v>
      </c>
      <c r="K81" s="80"/>
      <c r="L81" s="12">
        <f>IFERROR(__xludf.DUMMYFUNCTION("""COMPUTED_VALUE"""),44952.0)</f>
        <v>44952</v>
      </c>
      <c r="M81" s="172">
        <f>IFERROR(__xludf.DUMMYFUNCTION("""COMPUTED_VALUE"""),7.0)</f>
        <v>7</v>
      </c>
      <c r="N81" s="172">
        <f>IFERROR(__xludf.DUMMYFUNCTION("""COMPUTED_VALUE"""),7.0)</f>
        <v>7</v>
      </c>
      <c r="O81" s="172">
        <f>IFERROR(__xludf.DUMMYFUNCTION("""COMPUTED_VALUE"""),0.0)</f>
        <v>0</v>
      </c>
      <c r="P81" s="172">
        <f>IFERROR(__xludf.DUMMYFUNCTION("""COMPUTED_VALUE"""),0.0)</f>
        <v>0</v>
      </c>
      <c r="Q81" s="172">
        <f>IFERROR(__xludf.DUMMYFUNCTION("""COMPUTED_VALUE"""),0.0)</f>
        <v>0</v>
      </c>
      <c r="R81" s="172">
        <f>IFERROR(__xludf.DUMMYFUNCTION("""COMPUTED_VALUE"""),0.0)</f>
        <v>0</v>
      </c>
      <c r="S81" s="172">
        <f>IFERROR(__xludf.DUMMYFUNCTION("""COMPUTED_VALUE"""),0.0)</f>
        <v>0</v>
      </c>
      <c r="T81" s="172">
        <f>IFERROR(__xludf.DUMMYFUNCTION("""COMPUTED_VALUE"""),7.0)</f>
        <v>7</v>
      </c>
      <c r="U81" s="14"/>
      <c r="V81" s="80"/>
      <c r="W81" s="14">
        <f t="shared" si="39"/>
        <v>44952</v>
      </c>
      <c r="X81" s="172">
        <f t="shared" ref="X81:AC81" si="82">M81</f>
        <v>7</v>
      </c>
      <c r="Y81" s="172">
        <f t="shared" si="82"/>
        <v>7</v>
      </c>
      <c r="Z81" s="172">
        <f t="shared" si="82"/>
        <v>0</v>
      </c>
      <c r="AA81" s="172">
        <f t="shared" si="82"/>
        <v>0</v>
      </c>
      <c r="AB81" s="172">
        <f t="shared" si="82"/>
        <v>0</v>
      </c>
      <c r="AC81" s="172">
        <f t="shared" si="82"/>
        <v>0</v>
      </c>
    </row>
    <row r="82">
      <c r="B82" s="12">
        <f>IFERROR(__xludf.DUMMYFUNCTION("""COMPUTED_VALUE"""),44930.0)</f>
        <v>44930</v>
      </c>
      <c r="C82" s="54">
        <f>IFERROR(__xludf.DUMMYFUNCTION("""COMPUTED_VALUE"""),6.0)</f>
        <v>6</v>
      </c>
      <c r="D82" s="7">
        <f>IFERROR(__xludf.DUMMYFUNCTION("""COMPUTED_VALUE"""),6.0)</f>
        <v>6</v>
      </c>
      <c r="E82" s="7">
        <f>IFERROR(__xludf.DUMMYFUNCTION("""COMPUTED_VALUE"""),0.0)</f>
        <v>0</v>
      </c>
      <c r="F82" s="7">
        <f>IFERROR(__xludf.DUMMYFUNCTION("""COMPUTED_VALUE"""),0.0)</f>
        <v>0</v>
      </c>
      <c r="G82" s="7">
        <f>IFERROR(__xludf.DUMMYFUNCTION("""COMPUTED_VALUE"""),0.0)</f>
        <v>0</v>
      </c>
      <c r="H82" s="7">
        <f>IFERROR(__xludf.DUMMYFUNCTION("""COMPUTED_VALUE"""),0.0)</f>
        <v>0</v>
      </c>
      <c r="I82" s="7">
        <f>IFERROR(__xludf.DUMMYFUNCTION("""COMPUTED_VALUE"""),0.0)</f>
        <v>0</v>
      </c>
      <c r="J82" s="54" t="b">
        <f>IFERROR(__xludf.DUMMYFUNCTION("""COMPUTED_VALUE"""),TRUE)</f>
        <v>1</v>
      </c>
      <c r="K82" s="80"/>
      <c r="L82" s="12">
        <f>IFERROR(__xludf.DUMMYFUNCTION("""COMPUTED_VALUE"""),44953.0)</f>
        <v>44953</v>
      </c>
      <c r="M82" s="172">
        <f>IFERROR(__xludf.DUMMYFUNCTION("""COMPUTED_VALUE"""),7.0)</f>
        <v>7</v>
      </c>
      <c r="N82" s="172">
        <f>IFERROR(__xludf.DUMMYFUNCTION("""COMPUTED_VALUE"""),7.0)</f>
        <v>7</v>
      </c>
      <c r="O82" s="172">
        <f>IFERROR(__xludf.DUMMYFUNCTION("""COMPUTED_VALUE"""),0.0)</f>
        <v>0</v>
      </c>
      <c r="P82" s="172">
        <f>IFERROR(__xludf.DUMMYFUNCTION("""COMPUTED_VALUE"""),0.0)</f>
        <v>0</v>
      </c>
      <c r="Q82" s="172">
        <f>IFERROR(__xludf.DUMMYFUNCTION("""COMPUTED_VALUE"""),0.0)</f>
        <v>0</v>
      </c>
      <c r="R82" s="172">
        <f>IFERROR(__xludf.DUMMYFUNCTION("""COMPUTED_VALUE"""),0.0)</f>
        <v>0</v>
      </c>
      <c r="S82" s="172">
        <f>IFERROR(__xludf.DUMMYFUNCTION("""COMPUTED_VALUE"""),0.0)</f>
        <v>0</v>
      </c>
      <c r="T82" s="172">
        <f>IFERROR(__xludf.DUMMYFUNCTION("""COMPUTED_VALUE"""),7.0)</f>
        <v>7</v>
      </c>
      <c r="U82" s="14"/>
      <c r="V82" s="80"/>
      <c r="W82" s="14">
        <f t="shared" si="39"/>
        <v>44953</v>
      </c>
      <c r="X82" s="172">
        <f t="shared" ref="X82:AC82" si="83">M82</f>
        <v>7</v>
      </c>
      <c r="Y82" s="172">
        <f t="shared" si="83"/>
        <v>7</v>
      </c>
      <c r="Z82" s="172">
        <f t="shared" si="83"/>
        <v>0</v>
      </c>
      <c r="AA82" s="172">
        <f t="shared" si="83"/>
        <v>0</v>
      </c>
      <c r="AB82" s="172">
        <f t="shared" si="83"/>
        <v>0</v>
      </c>
      <c r="AC82" s="172">
        <f t="shared" si="83"/>
        <v>0</v>
      </c>
    </row>
    <row r="83">
      <c r="B83" s="12">
        <f>IFERROR(__xludf.DUMMYFUNCTION("""COMPUTED_VALUE"""),44931.0)</f>
        <v>44931</v>
      </c>
      <c r="C83" s="54">
        <f>IFERROR(__xludf.DUMMYFUNCTION("""COMPUTED_VALUE"""),6.0)</f>
        <v>6</v>
      </c>
      <c r="D83" s="7">
        <f>IFERROR(__xludf.DUMMYFUNCTION("""COMPUTED_VALUE"""),6.0)</f>
        <v>6</v>
      </c>
      <c r="E83" s="7">
        <f>IFERROR(__xludf.DUMMYFUNCTION("""COMPUTED_VALUE"""),0.0)</f>
        <v>0</v>
      </c>
      <c r="F83" s="7">
        <f>IFERROR(__xludf.DUMMYFUNCTION("""COMPUTED_VALUE"""),0.0)</f>
        <v>0</v>
      </c>
      <c r="G83" s="7">
        <f>IFERROR(__xludf.DUMMYFUNCTION("""COMPUTED_VALUE"""),0.0)</f>
        <v>0</v>
      </c>
      <c r="H83" s="7">
        <f>IFERROR(__xludf.DUMMYFUNCTION("""COMPUTED_VALUE"""),0.0)</f>
        <v>0</v>
      </c>
      <c r="I83" s="7">
        <f>IFERROR(__xludf.DUMMYFUNCTION("""COMPUTED_VALUE"""),0.0)</f>
        <v>0</v>
      </c>
      <c r="J83" s="54" t="b">
        <f>IFERROR(__xludf.DUMMYFUNCTION("""COMPUTED_VALUE"""),TRUE)</f>
        <v>1</v>
      </c>
      <c r="K83" s="80"/>
      <c r="L83" s="12">
        <f>IFERROR(__xludf.DUMMYFUNCTION("""COMPUTED_VALUE"""),44956.0)</f>
        <v>44956</v>
      </c>
      <c r="M83" s="172">
        <f>IFERROR(__xludf.DUMMYFUNCTION("""COMPUTED_VALUE"""),7.0)</f>
        <v>7</v>
      </c>
      <c r="N83" s="172">
        <f>IFERROR(__xludf.DUMMYFUNCTION("""COMPUTED_VALUE"""),7.0)</f>
        <v>7</v>
      </c>
      <c r="O83" s="172">
        <f>IFERROR(__xludf.DUMMYFUNCTION("""COMPUTED_VALUE"""),0.0)</f>
        <v>0</v>
      </c>
      <c r="P83" s="172">
        <f>IFERROR(__xludf.DUMMYFUNCTION("""COMPUTED_VALUE"""),0.0)</f>
        <v>0</v>
      </c>
      <c r="Q83" s="172">
        <f>IFERROR(__xludf.DUMMYFUNCTION("""COMPUTED_VALUE"""),0.0)</f>
        <v>0</v>
      </c>
      <c r="R83" s="172">
        <f>IFERROR(__xludf.DUMMYFUNCTION("""COMPUTED_VALUE"""),0.0)</f>
        <v>0</v>
      </c>
      <c r="S83" s="172">
        <f>IFERROR(__xludf.DUMMYFUNCTION("""COMPUTED_VALUE"""),0.0)</f>
        <v>0</v>
      </c>
      <c r="T83" s="172">
        <f>IFERROR(__xludf.DUMMYFUNCTION("""COMPUTED_VALUE"""),7.0)</f>
        <v>7</v>
      </c>
      <c r="U83" s="14"/>
      <c r="V83" s="80"/>
      <c r="W83" s="14">
        <f t="shared" si="39"/>
        <v>44956</v>
      </c>
      <c r="X83" s="172">
        <f t="shared" ref="X83:AC83" si="84">M83</f>
        <v>7</v>
      </c>
      <c r="Y83" s="172">
        <f t="shared" si="84"/>
        <v>7</v>
      </c>
      <c r="Z83" s="172">
        <f t="shared" si="84"/>
        <v>0</v>
      </c>
      <c r="AA83" s="172">
        <f t="shared" si="84"/>
        <v>0</v>
      </c>
      <c r="AB83" s="172">
        <f t="shared" si="84"/>
        <v>0</v>
      </c>
      <c r="AC83" s="172">
        <f t="shared" si="84"/>
        <v>0</v>
      </c>
    </row>
    <row r="84">
      <c r="B84" s="12">
        <f>IFERROR(__xludf.DUMMYFUNCTION("""COMPUTED_VALUE"""),44932.0)</f>
        <v>44932</v>
      </c>
      <c r="C84" s="54">
        <f>IFERROR(__xludf.DUMMYFUNCTION("""COMPUTED_VALUE"""),6.0)</f>
        <v>6</v>
      </c>
      <c r="D84" s="7">
        <f>IFERROR(__xludf.DUMMYFUNCTION("""COMPUTED_VALUE"""),6.0)</f>
        <v>6</v>
      </c>
      <c r="E84" s="7">
        <f>IFERROR(__xludf.DUMMYFUNCTION("""COMPUTED_VALUE"""),0.0)</f>
        <v>0</v>
      </c>
      <c r="F84" s="7">
        <f>IFERROR(__xludf.DUMMYFUNCTION("""COMPUTED_VALUE"""),0.0)</f>
        <v>0</v>
      </c>
      <c r="G84" s="7">
        <f>IFERROR(__xludf.DUMMYFUNCTION("""COMPUTED_VALUE"""),0.0)</f>
        <v>0</v>
      </c>
      <c r="H84" s="7">
        <f>IFERROR(__xludf.DUMMYFUNCTION("""COMPUTED_VALUE"""),0.0)</f>
        <v>0</v>
      </c>
      <c r="I84" s="7">
        <f>IFERROR(__xludf.DUMMYFUNCTION("""COMPUTED_VALUE"""),0.0)</f>
        <v>0</v>
      </c>
      <c r="J84" s="54" t="b">
        <f>IFERROR(__xludf.DUMMYFUNCTION("""COMPUTED_VALUE"""),TRUE)</f>
        <v>1</v>
      </c>
      <c r="K84" s="80"/>
      <c r="L84" s="12">
        <f>IFERROR(__xludf.DUMMYFUNCTION("""COMPUTED_VALUE"""),44963.0)</f>
        <v>44963</v>
      </c>
      <c r="M84" s="172">
        <f>IFERROR(__xludf.DUMMYFUNCTION("""COMPUTED_VALUE"""),2.0)</f>
        <v>2</v>
      </c>
      <c r="N84" s="172">
        <f>IFERROR(__xludf.DUMMYFUNCTION("""COMPUTED_VALUE"""),2.0)</f>
        <v>2</v>
      </c>
      <c r="O84" s="172">
        <f>IFERROR(__xludf.DUMMYFUNCTION("""COMPUTED_VALUE"""),0.0)</f>
        <v>0</v>
      </c>
      <c r="P84" s="172">
        <f>IFERROR(__xludf.DUMMYFUNCTION("""COMPUTED_VALUE"""),0.0)</f>
        <v>0</v>
      </c>
      <c r="Q84" s="172">
        <f>IFERROR(__xludf.DUMMYFUNCTION("""COMPUTED_VALUE"""),0.0)</f>
        <v>0</v>
      </c>
      <c r="R84" s="172">
        <f>IFERROR(__xludf.DUMMYFUNCTION("""COMPUTED_VALUE"""),0.0)</f>
        <v>0</v>
      </c>
      <c r="S84" s="172">
        <f>IFERROR(__xludf.DUMMYFUNCTION("""COMPUTED_VALUE"""),0.0)</f>
        <v>0</v>
      </c>
      <c r="T84" s="172">
        <f>IFERROR(__xludf.DUMMYFUNCTION("""COMPUTED_VALUE"""),2.0)</f>
        <v>2</v>
      </c>
      <c r="U84" s="14"/>
      <c r="V84" s="80"/>
      <c r="W84" s="14">
        <f t="shared" si="39"/>
        <v>44963</v>
      </c>
      <c r="X84" s="172">
        <f t="shared" ref="X84:AC84" si="85">M84</f>
        <v>2</v>
      </c>
      <c r="Y84" s="172">
        <f t="shared" si="85"/>
        <v>2</v>
      </c>
      <c r="Z84" s="172">
        <f t="shared" si="85"/>
        <v>0</v>
      </c>
      <c r="AA84" s="172">
        <f t="shared" si="85"/>
        <v>0</v>
      </c>
      <c r="AB84" s="172">
        <f t="shared" si="85"/>
        <v>0</v>
      </c>
      <c r="AC84" s="172">
        <f t="shared" si="85"/>
        <v>0</v>
      </c>
    </row>
    <row r="85">
      <c r="B85" s="12">
        <f>IFERROR(__xludf.DUMMYFUNCTION("""COMPUTED_VALUE"""),44935.0)</f>
        <v>44935</v>
      </c>
      <c r="C85" s="54">
        <f>IFERROR(__xludf.DUMMYFUNCTION("""COMPUTED_VALUE"""),9.0)</f>
        <v>9</v>
      </c>
      <c r="D85" s="7">
        <f>IFERROR(__xludf.DUMMYFUNCTION("""COMPUTED_VALUE"""),9.0)</f>
        <v>9</v>
      </c>
      <c r="E85" s="7">
        <f>IFERROR(__xludf.DUMMYFUNCTION("""COMPUTED_VALUE"""),0.0)</f>
        <v>0</v>
      </c>
      <c r="F85" s="7">
        <f>IFERROR(__xludf.DUMMYFUNCTION("""COMPUTED_VALUE"""),0.0)</f>
        <v>0</v>
      </c>
      <c r="G85" s="7">
        <f>IFERROR(__xludf.DUMMYFUNCTION("""COMPUTED_VALUE"""),0.0)</f>
        <v>0</v>
      </c>
      <c r="H85" s="7">
        <f>IFERROR(__xludf.DUMMYFUNCTION("""COMPUTED_VALUE"""),0.0)</f>
        <v>0</v>
      </c>
      <c r="I85" s="7">
        <f>IFERROR(__xludf.DUMMYFUNCTION("""COMPUTED_VALUE"""),0.0)</f>
        <v>0</v>
      </c>
      <c r="J85" s="54" t="b">
        <f>IFERROR(__xludf.DUMMYFUNCTION("""COMPUTED_VALUE"""),TRUE)</f>
        <v>1</v>
      </c>
      <c r="K85" s="80"/>
      <c r="L85" s="12">
        <f>IFERROR(__xludf.DUMMYFUNCTION("""COMPUTED_VALUE"""),44964.0)</f>
        <v>44964</v>
      </c>
      <c r="M85" s="172">
        <f>IFERROR(__xludf.DUMMYFUNCTION("""COMPUTED_VALUE"""),6.0)</f>
        <v>6</v>
      </c>
      <c r="N85" s="172">
        <f>IFERROR(__xludf.DUMMYFUNCTION("""COMPUTED_VALUE"""),6.0)</f>
        <v>6</v>
      </c>
      <c r="O85" s="172">
        <f>IFERROR(__xludf.DUMMYFUNCTION("""COMPUTED_VALUE"""),0.0)</f>
        <v>0</v>
      </c>
      <c r="P85" s="172">
        <f>IFERROR(__xludf.DUMMYFUNCTION("""COMPUTED_VALUE"""),0.0)</f>
        <v>0</v>
      </c>
      <c r="Q85" s="172">
        <f>IFERROR(__xludf.DUMMYFUNCTION("""COMPUTED_VALUE"""),0.0)</f>
        <v>0</v>
      </c>
      <c r="R85" s="172">
        <f>IFERROR(__xludf.DUMMYFUNCTION("""COMPUTED_VALUE"""),0.0)</f>
        <v>0</v>
      </c>
      <c r="S85" s="172">
        <f>IFERROR(__xludf.DUMMYFUNCTION("""COMPUTED_VALUE"""),0.0)</f>
        <v>0</v>
      </c>
      <c r="T85" s="172">
        <f>IFERROR(__xludf.DUMMYFUNCTION("""COMPUTED_VALUE"""),6.0)</f>
        <v>6</v>
      </c>
      <c r="U85" s="14"/>
      <c r="V85" s="80"/>
      <c r="W85" s="14">
        <f t="shared" si="39"/>
        <v>44964</v>
      </c>
      <c r="X85" s="172">
        <f t="shared" ref="X85:AC85" si="86">M85</f>
        <v>6</v>
      </c>
      <c r="Y85" s="172">
        <f t="shared" si="86"/>
        <v>6</v>
      </c>
      <c r="Z85" s="172">
        <f t="shared" si="86"/>
        <v>0</v>
      </c>
      <c r="AA85" s="172">
        <f t="shared" si="86"/>
        <v>0</v>
      </c>
      <c r="AB85" s="172">
        <f t="shared" si="86"/>
        <v>0</v>
      </c>
      <c r="AC85" s="172">
        <f t="shared" si="86"/>
        <v>0</v>
      </c>
    </row>
    <row r="86">
      <c r="B86" s="12">
        <f>IFERROR(__xludf.DUMMYFUNCTION("""COMPUTED_VALUE"""),44936.0)</f>
        <v>44936</v>
      </c>
      <c r="C86" s="54">
        <f>IFERROR(__xludf.DUMMYFUNCTION("""COMPUTED_VALUE"""),8.0)</f>
        <v>8</v>
      </c>
      <c r="D86" s="7">
        <f>IFERROR(__xludf.DUMMYFUNCTION("""COMPUTED_VALUE"""),8.0)</f>
        <v>8</v>
      </c>
      <c r="E86" s="7">
        <f>IFERROR(__xludf.DUMMYFUNCTION("""COMPUTED_VALUE"""),0.0)</f>
        <v>0</v>
      </c>
      <c r="F86" s="7">
        <f>IFERROR(__xludf.DUMMYFUNCTION("""COMPUTED_VALUE"""),0.0)</f>
        <v>0</v>
      </c>
      <c r="G86" s="7">
        <f>IFERROR(__xludf.DUMMYFUNCTION("""COMPUTED_VALUE"""),0.0)</f>
        <v>0</v>
      </c>
      <c r="H86" s="7">
        <f>IFERROR(__xludf.DUMMYFUNCTION("""COMPUTED_VALUE"""),0.0)</f>
        <v>0</v>
      </c>
      <c r="I86" s="7">
        <f>IFERROR(__xludf.DUMMYFUNCTION("""COMPUTED_VALUE"""),0.0)</f>
        <v>0</v>
      </c>
      <c r="J86" s="54" t="b">
        <f>IFERROR(__xludf.DUMMYFUNCTION("""COMPUTED_VALUE"""),TRUE)</f>
        <v>1</v>
      </c>
      <c r="K86" s="80"/>
      <c r="L86" s="12">
        <f>IFERROR(__xludf.DUMMYFUNCTION("""COMPUTED_VALUE"""),44965.0)</f>
        <v>44965</v>
      </c>
      <c r="M86" s="172">
        <f>IFERROR(__xludf.DUMMYFUNCTION("""COMPUTED_VALUE"""),8.0)</f>
        <v>8</v>
      </c>
      <c r="N86" s="172">
        <f>IFERROR(__xludf.DUMMYFUNCTION("""COMPUTED_VALUE"""),8.0)</f>
        <v>8</v>
      </c>
      <c r="O86" s="172">
        <f>IFERROR(__xludf.DUMMYFUNCTION("""COMPUTED_VALUE"""),0.0)</f>
        <v>0</v>
      </c>
      <c r="P86" s="172">
        <f>IFERROR(__xludf.DUMMYFUNCTION("""COMPUTED_VALUE"""),0.0)</f>
        <v>0</v>
      </c>
      <c r="Q86" s="172">
        <f>IFERROR(__xludf.DUMMYFUNCTION("""COMPUTED_VALUE"""),0.0)</f>
        <v>0</v>
      </c>
      <c r="R86" s="172">
        <f>IFERROR(__xludf.DUMMYFUNCTION("""COMPUTED_VALUE"""),0.0)</f>
        <v>0</v>
      </c>
      <c r="S86" s="172">
        <f>IFERROR(__xludf.DUMMYFUNCTION("""COMPUTED_VALUE"""),0.0)</f>
        <v>0</v>
      </c>
      <c r="T86" s="172">
        <f>IFERROR(__xludf.DUMMYFUNCTION("""COMPUTED_VALUE"""),8.0)</f>
        <v>8</v>
      </c>
      <c r="U86" s="14"/>
      <c r="V86" s="80"/>
      <c r="W86" s="14">
        <f t="shared" si="39"/>
        <v>44965</v>
      </c>
      <c r="X86" s="172">
        <f t="shared" ref="X86:AC86" si="87">M86</f>
        <v>8</v>
      </c>
      <c r="Y86" s="172">
        <f t="shared" si="87"/>
        <v>8</v>
      </c>
      <c r="Z86" s="172">
        <f t="shared" si="87"/>
        <v>0</v>
      </c>
      <c r="AA86" s="172">
        <f t="shared" si="87"/>
        <v>0</v>
      </c>
      <c r="AB86" s="172">
        <f t="shared" si="87"/>
        <v>0</v>
      </c>
      <c r="AC86" s="172">
        <f t="shared" si="87"/>
        <v>0</v>
      </c>
    </row>
    <row r="87">
      <c r="B87" s="12">
        <f>IFERROR(__xludf.DUMMYFUNCTION("""COMPUTED_VALUE"""),44937.0)</f>
        <v>44937</v>
      </c>
      <c r="C87" s="54">
        <f>IFERROR(__xludf.DUMMYFUNCTION("""COMPUTED_VALUE"""),8.0)</f>
        <v>8</v>
      </c>
      <c r="D87" s="7">
        <f>IFERROR(__xludf.DUMMYFUNCTION("""COMPUTED_VALUE"""),8.0)</f>
        <v>8</v>
      </c>
      <c r="E87" s="7">
        <f>IFERROR(__xludf.DUMMYFUNCTION("""COMPUTED_VALUE"""),0.0)</f>
        <v>0</v>
      </c>
      <c r="F87" s="7">
        <f>IFERROR(__xludf.DUMMYFUNCTION("""COMPUTED_VALUE"""),0.0)</f>
        <v>0</v>
      </c>
      <c r="G87" s="7">
        <f>IFERROR(__xludf.DUMMYFUNCTION("""COMPUTED_VALUE"""),0.0)</f>
        <v>0</v>
      </c>
      <c r="H87" s="7">
        <f>IFERROR(__xludf.DUMMYFUNCTION("""COMPUTED_VALUE"""),0.0)</f>
        <v>0</v>
      </c>
      <c r="I87" s="7">
        <f>IFERROR(__xludf.DUMMYFUNCTION("""COMPUTED_VALUE"""),0.0)</f>
        <v>0</v>
      </c>
      <c r="J87" s="54" t="b">
        <f>IFERROR(__xludf.DUMMYFUNCTION("""COMPUTED_VALUE"""),TRUE)</f>
        <v>1</v>
      </c>
      <c r="K87" s="80"/>
      <c r="L87" s="12">
        <f>IFERROR(__xludf.DUMMYFUNCTION("""COMPUTED_VALUE"""),44966.0)</f>
        <v>44966</v>
      </c>
      <c r="M87" s="172">
        <f>IFERROR(__xludf.DUMMYFUNCTION("""COMPUTED_VALUE"""),9.0)</f>
        <v>9</v>
      </c>
      <c r="N87" s="172">
        <f>IFERROR(__xludf.DUMMYFUNCTION("""COMPUTED_VALUE"""),9.0)</f>
        <v>9</v>
      </c>
      <c r="O87" s="172">
        <f>IFERROR(__xludf.DUMMYFUNCTION("""COMPUTED_VALUE"""),0.0)</f>
        <v>0</v>
      </c>
      <c r="P87" s="172">
        <f>IFERROR(__xludf.DUMMYFUNCTION("""COMPUTED_VALUE"""),0.0)</f>
        <v>0</v>
      </c>
      <c r="Q87" s="172">
        <f>IFERROR(__xludf.DUMMYFUNCTION("""COMPUTED_VALUE"""),0.0)</f>
        <v>0</v>
      </c>
      <c r="R87" s="172">
        <f>IFERROR(__xludf.DUMMYFUNCTION("""COMPUTED_VALUE"""),0.0)</f>
        <v>0</v>
      </c>
      <c r="S87" s="172">
        <f>IFERROR(__xludf.DUMMYFUNCTION("""COMPUTED_VALUE"""),0.0)</f>
        <v>0</v>
      </c>
      <c r="T87" s="172">
        <f>IFERROR(__xludf.DUMMYFUNCTION("""COMPUTED_VALUE"""),9.0)</f>
        <v>9</v>
      </c>
      <c r="U87" s="14"/>
      <c r="V87" s="80"/>
      <c r="W87" s="14">
        <f t="shared" si="39"/>
        <v>44966</v>
      </c>
      <c r="X87" s="172">
        <f t="shared" ref="X87:AC87" si="88">M87</f>
        <v>9</v>
      </c>
      <c r="Y87" s="172">
        <f t="shared" si="88"/>
        <v>9</v>
      </c>
      <c r="Z87" s="172">
        <f t="shared" si="88"/>
        <v>0</v>
      </c>
      <c r="AA87" s="172">
        <f t="shared" si="88"/>
        <v>0</v>
      </c>
      <c r="AB87" s="172">
        <f t="shared" si="88"/>
        <v>0</v>
      </c>
      <c r="AC87" s="172">
        <f t="shared" si="88"/>
        <v>0</v>
      </c>
    </row>
    <row r="88">
      <c r="B88" s="12">
        <f>IFERROR(__xludf.DUMMYFUNCTION("""COMPUTED_VALUE"""),44938.0)</f>
        <v>44938</v>
      </c>
      <c r="C88" s="54">
        <f>IFERROR(__xludf.DUMMYFUNCTION("""COMPUTED_VALUE"""),4.0)</f>
        <v>4</v>
      </c>
      <c r="D88" s="7">
        <f>IFERROR(__xludf.DUMMYFUNCTION("""COMPUTED_VALUE"""),3.0)</f>
        <v>3</v>
      </c>
      <c r="E88" s="7">
        <f>IFERROR(__xludf.DUMMYFUNCTION("""COMPUTED_VALUE"""),0.0)</f>
        <v>0</v>
      </c>
      <c r="F88" s="7">
        <f>IFERROR(__xludf.DUMMYFUNCTION("""COMPUTED_VALUE"""),1.0)</f>
        <v>1</v>
      </c>
      <c r="G88" s="7">
        <f>IFERROR(__xludf.DUMMYFUNCTION("""COMPUTED_VALUE"""),0.0)</f>
        <v>0</v>
      </c>
      <c r="H88" s="7">
        <f>IFERROR(__xludf.DUMMYFUNCTION("""COMPUTED_VALUE"""),0.0)</f>
        <v>0</v>
      </c>
      <c r="I88" s="7">
        <f>IFERROR(__xludf.DUMMYFUNCTION("""COMPUTED_VALUE"""),0.0)</f>
        <v>0</v>
      </c>
      <c r="J88" s="54" t="b">
        <f>IFERROR(__xludf.DUMMYFUNCTION("""COMPUTED_VALUE"""),TRUE)</f>
        <v>1</v>
      </c>
      <c r="K88" s="80"/>
      <c r="L88" s="12">
        <f>IFERROR(__xludf.DUMMYFUNCTION("""COMPUTED_VALUE"""),44967.0)</f>
        <v>44967</v>
      </c>
      <c r="M88" s="172">
        <f>IFERROR(__xludf.DUMMYFUNCTION("""COMPUTED_VALUE"""),8.0)</f>
        <v>8</v>
      </c>
      <c r="N88" s="172">
        <f>IFERROR(__xludf.DUMMYFUNCTION("""COMPUTED_VALUE"""),8.0)</f>
        <v>8</v>
      </c>
      <c r="O88" s="172">
        <f>IFERROR(__xludf.DUMMYFUNCTION("""COMPUTED_VALUE"""),0.0)</f>
        <v>0</v>
      </c>
      <c r="P88" s="172">
        <f>IFERROR(__xludf.DUMMYFUNCTION("""COMPUTED_VALUE"""),0.0)</f>
        <v>0</v>
      </c>
      <c r="Q88" s="172">
        <f>IFERROR(__xludf.DUMMYFUNCTION("""COMPUTED_VALUE"""),0.0)</f>
        <v>0</v>
      </c>
      <c r="R88" s="172">
        <f>IFERROR(__xludf.DUMMYFUNCTION("""COMPUTED_VALUE"""),0.0)</f>
        <v>0</v>
      </c>
      <c r="S88" s="172">
        <f>IFERROR(__xludf.DUMMYFUNCTION("""COMPUTED_VALUE"""),0.0)</f>
        <v>0</v>
      </c>
      <c r="T88" s="172">
        <f>IFERROR(__xludf.DUMMYFUNCTION("""COMPUTED_VALUE"""),8.0)</f>
        <v>8</v>
      </c>
      <c r="U88" s="14"/>
      <c r="V88" s="80"/>
      <c r="W88" s="14">
        <f t="shared" si="39"/>
        <v>44967</v>
      </c>
      <c r="X88" s="172">
        <f t="shared" ref="X88:AC88" si="89">M88</f>
        <v>8</v>
      </c>
      <c r="Y88" s="172">
        <f t="shared" si="89"/>
        <v>8</v>
      </c>
      <c r="Z88" s="172">
        <f t="shared" si="89"/>
        <v>0</v>
      </c>
      <c r="AA88" s="172">
        <f t="shared" si="89"/>
        <v>0</v>
      </c>
      <c r="AB88" s="172">
        <f t="shared" si="89"/>
        <v>0</v>
      </c>
      <c r="AC88" s="172">
        <f t="shared" si="89"/>
        <v>0</v>
      </c>
    </row>
    <row r="89">
      <c r="B89" s="12">
        <f>IFERROR(__xludf.DUMMYFUNCTION("""COMPUTED_VALUE"""),44939.0)</f>
        <v>44939</v>
      </c>
      <c r="C89" s="54">
        <f>IFERROR(__xludf.DUMMYFUNCTION("""COMPUTED_VALUE"""),10.0)</f>
        <v>10</v>
      </c>
      <c r="D89" s="7">
        <f>IFERROR(__xludf.DUMMYFUNCTION("""COMPUTED_VALUE"""),9.0)</f>
        <v>9</v>
      </c>
      <c r="E89" s="7">
        <f>IFERROR(__xludf.DUMMYFUNCTION("""COMPUTED_VALUE"""),0.0)</f>
        <v>0</v>
      </c>
      <c r="F89" s="7">
        <f>IFERROR(__xludf.DUMMYFUNCTION("""COMPUTED_VALUE"""),1.0)</f>
        <v>1</v>
      </c>
      <c r="G89" s="7">
        <f>IFERROR(__xludf.DUMMYFUNCTION("""COMPUTED_VALUE"""),0.0)</f>
        <v>0</v>
      </c>
      <c r="H89" s="7">
        <f>IFERROR(__xludf.DUMMYFUNCTION("""COMPUTED_VALUE"""),0.0)</f>
        <v>0</v>
      </c>
      <c r="I89" s="7">
        <f>IFERROR(__xludf.DUMMYFUNCTION("""COMPUTED_VALUE"""),0.0)</f>
        <v>0</v>
      </c>
      <c r="J89" s="54" t="b">
        <f>IFERROR(__xludf.DUMMYFUNCTION("""COMPUTED_VALUE"""),TRUE)</f>
        <v>1</v>
      </c>
      <c r="K89" s="80"/>
      <c r="L89" s="12">
        <f>IFERROR(__xludf.DUMMYFUNCTION("""COMPUTED_VALUE"""),44970.0)</f>
        <v>44970</v>
      </c>
      <c r="M89" s="172">
        <f>IFERROR(__xludf.DUMMYFUNCTION("""COMPUTED_VALUE"""),9.0)</f>
        <v>9</v>
      </c>
      <c r="N89" s="172">
        <f>IFERROR(__xludf.DUMMYFUNCTION("""COMPUTED_VALUE"""),9.0)</f>
        <v>9</v>
      </c>
      <c r="O89" s="172">
        <f>IFERROR(__xludf.DUMMYFUNCTION("""COMPUTED_VALUE"""),0.0)</f>
        <v>0</v>
      </c>
      <c r="P89" s="172">
        <f>IFERROR(__xludf.DUMMYFUNCTION("""COMPUTED_VALUE"""),0.0)</f>
        <v>0</v>
      </c>
      <c r="Q89" s="172">
        <f>IFERROR(__xludf.DUMMYFUNCTION("""COMPUTED_VALUE"""),0.0)</f>
        <v>0</v>
      </c>
      <c r="R89" s="172">
        <f>IFERROR(__xludf.DUMMYFUNCTION("""COMPUTED_VALUE"""),0.0)</f>
        <v>0</v>
      </c>
      <c r="S89" s="172">
        <f>IFERROR(__xludf.DUMMYFUNCTION("""COMPUTED_VALUE"""),0.0)</f>
        <v>0</v>
      </c>
      <c r="T89" s="172">
        <f>IFERROR(__xludf.DUMMYFUNCTION("""COMPUTED_VALUE"""),9.0)</f>
        <v>9</v>
      </c>
      <c r="U89" s="14"/>
      <c r="V89" s="80"/>
      <c r="W89" s="14">
        <f t="shared" si="39"/>
        <v>44970</v>
      </c>
      <c r="X89" s="172">
        <f t="shared" ref="X89:AC89" si="90">M89</f>
        <v>9</v>
      </c>
      <c r="Y89" s="172">
        <f t="shared" si="90"/>
        <v>9</v>
      </c>
      <c r="Z89" s="172">
        <f t="shared" si="90"/>
        <v>0</v>
      </c>
      <c r="AA89" s="172">
        <f t="shared" si="90"/>
        <v>0</v>
      </c>
      <c r="AB89" s="172">
        <f t="shared" si="90"/>
        <v>0</v>
      </c>
      <c r="AC89" s="172">
        <f t="shared" si="90"/>
        <v>0</v>
      </c>
    </row>
    <row r="90">
      <c r="B90" s="12">
        <f>IFERROR(__xludf.DUMMYFUNCTION("""COMPUTED_VALUE"""),44942.0)</f>
        <v>44942</v>
      </c>
      <c r="C90" s="54">
        <f>IFERROR(__xludf.DUMMYFUNCTION("""COMPUTED_VALUE"""),9.0)</f>
        <v>9</v>
      </c>
      <c r="D90" s="7">
        <f>IFERROR(__xludf.DUMMYFUNCTION("""COMPUTED_VALUE"""),9.0)</f>
        <v>9</v>
      </c>
      <c r="E90" s="7">
        <f>IFERROR(__xludf.DUMMYFUNCTION("""COMPUTED_VALUE"""),0.0)</f>
        <v>0</v>
      </c>
      <c r="F90" s="7">
        <f>IFERROR(__xludf.DUMMYFUNCTION("""COMPUTED_VALUE"""),0.0)</f>
        <v>0</v>
      </c>
      <c r="G90" s="7">
        <f>IFERROR(__xludf.DUMMYFUNCTION("""COMPUTED_VALUE"""),0.0)</f>
        <v>0</v>
      </c>
      <c r="H90" s="7">
        <f>IFERROR(__xludf.DUMMYFUNCTION("""COMPUTED_VALUE"""),0.0)</f>
        <v>0</v>
      </c>
      <c r="I90" s="7">
        <f>IFERROR(__xludf.DUMMYFUNCTION("""COMPUTED_VALUE"""),0.0)</f>
        <v>0</v>
      </c>
      <c r="J90" s="54" t="b">
        <f>IFERROR(__xludf.DUMMYFUNCTION("""COMPUTED_VALUE"""),TRUE)</f>
        <v>1</v>
      </c>
      <c r="K90" s="80"/>
      <c r="L90" s="12">
        <f>IFERROR(__xludf.DUMMYFUNCTION("""COMPUTED_VALUE"""),44971.0)</f>
        <v>44971</v>
      </c>
      <c r="M90" s="172">
        <f>IFERROR(__xludf.DUMMYFUNCTION("""COMPUTED_VALUE"""),8.0)</f>
        <v>8</v>
      </c>
      <c r="N90" s="172">
        <f>IFERROR(__xludf.DUMMYFUNCTION("""COMPUTED_VALUE"""),8.0)</f>
        <v>8</v>
      </c>
      <c r="O90" s="172">
        <f>IFERROR(__xludf.DUMMYFUNCTION("""COMPUTED_VALUE"""),0.0)</f>
        <v>0</v>
      </c>
      <c r="P90" s="172">
        <f>IFERROR(__xludf.DUMMYFUNCTION("""COMPUTED_VALUE"""),0.0)</f>
        <v>0</v>
      </c>
      <c r="Q90" s="172">
        <f>IFERROR(__xludf.DUMMYFUNCTION("""COMPUTED_VALUE"""),0.0)</f>
        <v>0</v>
      </c>
      <c r="R90" s="172">
        <f>IFERROR(__xludf.DUMMYFUNCTION("""COMPUTED_VALUE"""),0.0)</f>
        <v>0</v>
      </c>
      <c r="S90" s="172">
        <f>IFERROR(__xludf.DUMMYFUNCTION("""COMPUTED_VALUE"""),0.0)</f>
        <v>0</v>
      </c>
      <c r="T90" s="172">
        <f>IFERROR(__xludf.DUMMYFUNCTION("""COMPUTED_VALUE"""),8.0)</f>
        <v>8</v>
      </c>
      <c r="U90" s="14"/>
      <c r="V90" s="80"/>
      <c r="W90" s="14">
        <f t="shared" si="39"/>
        <v>44971</v>
      </c>
      <c r="X90" s="172">
        <f t="shared" ref="X90:AC90" si="91">M90</f>
        <v>8</v>
      </c>
      <c r="Y90" s="172">
        <f t="shared" si="91"/>
        <v>8</v>
      </c>
      <c r="Z90" s="172">
        <f t="shared" si="91"/>
        <v>0</v>
      </c>
      <c r="AA90" s="172">
        <f t="shared" si="91"/>
        <v>0</v>
      </c>
      <c r="AB90" s="172">
        <f t="shared" si="91"/>
        <v>0</v>
      </c>
      <c r="AC90" s="172">
        <f t="shared" si="91"/>
        <v>0</v>
      </c>
    </row>
    <row r="91">
      <c r="B91" s="12">
        <f>IFERROR(__xludf.DUMMYFUNCTION("""COMPUTED_VALUE"""),44943.0)</f>
        <v>44943</v>
      </c>
      <c r="C91" s="54">
        <f>IFERROR(__xludf.DUMMYFUNCTION("""COMPUTED_VALUE"""),10.0)</f>
        <v>10</v>
      </c>
      <c r="D91" s="7">
        <f>IFERROR(__xludf.DUMMYFUNCTION("""COMPUTED_VALUE"""),10.0)</f>
        <v>10</v>
      </c>
      <c r="E91" s="7">
        <f>IFERROR(__xludf.DUMMYFUNCTION("""COMPUTED_VALUE"""),0.0)</f>
        <v>0</v>
      </c>
      <c r="F91" s="7">
        <f>IFERROR(__xludf.DUMMYFUNCTION("""COMPUTED_VALUE"""),0.0)</f>
        <v>0</v>
      </c>
      <c r="G91" s="7">
        <f>IFERROR(__xludf.DUMMYFUNCTION("""COMPUTED_VALUE"""),0.0)</f>
        <v>0</v>
      </c>
      <c r="H91" s="7">
        <f>IFERROR(__xludf.DUMMYFUNCTION("""COMPUTED_VALUE"""),0.0)</f>
        <v>0</v>
      </c>
      <c r="I91" s="7">
        <f>IFERROR(__xludf.DUMMYFUNCTION("""COMPUTED_VALUE"""),0.0)</f>
        <v>0</v>
      </c>
      <c r="J91" s="54" t="b">
        <f>IFERROR(__xludf.DUMMYFUNCTION("""COMPUTED_VALUE"""),TRUE)</f>
        <v>1</v>
      </c>
      <c r="K91" s="80"/>
      <c r="L91" s="12">
        <f>IFERROR(__xludf.DUMMYFUNCTION("""COMPUTED_VALUE"""),44972.0)</f>
        <v>44972</v>
      </c>
      <c r="M91" s="172">
        <f>IFERROR(__xludf.DUMMYFUNCTION("""COMPUTED_VALUE"""),7.0)</f>
        <v>7</v>
      </c>
      <c r="N91" s="172">
        <f>IFERROR(__xludf.DUMMYFUNCTION("""COMPUTED_VALUE"""),7.0)</f>
        <v>7</v>
      </c>
      <c r="O91" s="172">
        <f>IFERROR(__xludf.DUMMYFUNCTION("""COMPUTED_VALUE"""),0.0)</f>
        <v>0</v>
      </c>
      <c r="P91" s="172">
        <f>IFERROR(__xludf.DUMMYFUNCTION("""COMPUTED_VALUE"""),0.0)</f>
        <v>0</v>
      </c>
      <c r="Q91" s="172">
        <f>IFERROR(__xludf.DUMMYFUNCTION("""COMPUTED_VALUE"""),0.0)</f>
        <v>0</v>
      </c>
      <c r="R91" s="172">
        <f>IFERROR(__xludf.DUMMYFUNCTION("""COMPUTED_VALUE"""),0.0)</f>
        <v>0</v>
      </c>
      <c r="S91" s="172">
        <f>IFERROR(__xludf.DUMMYFUNCTION("""COMPUTED_VALUE"""),0.0)</f>
        <v>0</v>
      </c>
      <c r="T91" s="172">
        <f>IFERROR(__xludf.DUMMYFUNCTION("""COMPUTED_VALUE"""),7.0)</f>
        <v>7</v>
      </c>
      <c r="U91" s="14"/>
      <c r="V91" s="80"/>
      <c r="W91" s="14">
        <f t="shared" si="39"/>
        <v>44972</v>
      </c>
      <c r="X91" s="172">
        <f t="shared" ref="X91:AC91" si="92">M91</f>
        <v>7</v>
      </c>
      <c r="Y91" s="172">
        <f t="shared" si="92"/>
        <v>7</v>
      </c>
      <c r="Z91" s="172">
        <f t="shared" si="92"/>
        <v>0</v>
      </c>
      <c r="AA91" s="172">
        <f t="shared" si="92"/>
        <v>0</v>
      </c>
      <c r="AB91" s="172">
        <f t="shared" si="92"/>
        <v>0</v>
      </c>
      <c r="AC91" s="172">
        <f t="shared" si="92"/>
        <v>0</v>
      </c>
    </row>
    <row r="92">
      <c r="B92" s="12">
        <f>IFERROR(__xludf.DUMMYFUNCTION("""COMPUTED_VALUE"""),44944.0)</f>
        <v>44944</v>
      </c>
      <c r="C92" s="54">
        <f>IFERROR(__xludf.DUMMYFUNCTION("""COMPUTED_VALUE"""),6.0)</f>
        <v>6</v>
      </c>
      <c r="D92" s="7">
        <f>IFERROR(__xludf.DUMMYFUNCTION("""COMPUTED_VALUE"""),6.0)</f>
        <v>6</v>
      </c>
      <c r="E92" s="7">
        <f>IFERROR(__xludf.DUMMYFUNCTION("""COMPUTED_VALUE"""),0.0)</f>
        <v>0</v>
      </c>
      <c r="F92" s="7">
        <f>IFERROR(__xludf.DUMMYFUNCTION("""COMPUTED_VALUE"""),0.0)</f>
        <v>0</v>
      </c>
      <c r="G92" s="7">
        <f>IFERROR(__xludf.DUMMYFUNCTION("""COMPUTED_VALUE"""),0.0)</f>
        <v>0</v>
      </c>
      <c r="H92" s="7">
        <f>IFERROR(__xludf.DUMMYFUNCTION("""COMPUTED_VALUE"""),0.0)</f>
        <v>0</v>
      </c>
      <c r="I92" s="7">
        <f>IFERROR(__xludf.DUMMYFUNCTION("""COMPUTED_VALUE"""),0.0)</f>
        <v>0</v>
      </c>
      <c r="J92" s="54" t="b">
        <f>IFERROR(__xludf.DUMMYFUNCTION("""COMPUTED_VALUE"""),TRUE)</f>
        <v>1</v>
      </c>
      <c r="K92" s="80"/>
      <c r="L92" s="12">
        <f>IFERROR(__xludf.DUMMYFUNCTION("""COMPUTED_VALUE"""),44973.0)</f>
        <v>44973</v>
      </c>
      <c r="M92" s="172">
        <f>IFERROR(__xludf.DUMMYFUNCTION("""COMPUTED_VALUE"""),7.0)</f>
        <v>7</v>
      </c>
      <c r="N92" s="172">
        <f>IFERROR(__xludf.DUMMYFUNCTION("""COMPUTED_VALUE"""),7.0)</f>
        <v>7</v>
      </c>
      <c r="O92" s="172">
        <f>IFERROR(__xludf.DUMMYFUNCTION("""COMPUTED_VALUE"""),0.0)</f>
        <v>0</v>
      </c>
      <c r="P92" s="172">
        <f>IFERROR(__xludf.DUMMYFUNCTION("""COMPUTED_VALUE"""),0.0)</f>
        <v>0</v>
      </c>
      <c r="Q92" s="172">
        <f>IFERROR(__xludf.DUMMYFUNCTION("""COMPUTED_VALUE"""),0.0)</f>
        <v>0</v>
      </c>
      <c r="R92" s="172">
        <f>IFERROR(__xludf.DUMMYFUNCTION("""COMPUTED_VALUE"""),0.0)</f>
        <v>0</v>
      </c>
      <c r="S92" s="172">
        <f>IFERROR(__xludf.DUMMYFUNCTION("""COMPUTED_VALUE"""),0.0)</f>
        <v>0</v>
      </c>
      <c r="T92" s="172">
        <f>IFERROR(__xludf.DUMMYFUNCTION("""COMPUTED_VALUE"""),7.0)</f>
        <v>7</v>
      </c>
      <c r="U92" s="14"/>
      <c r="V92" s="80"/>
      <c r="W92" s="14">
        <f t="shared" si="39"/>
        <v>44973</v>
      </c>
      <c r="X92" s="172">
        <f t="shared" ref="X92:AC92" si="93">M92</f>
        <v>7</v>
      </c>
      <c r="Y92" s="172">
        <f t="shared" si="93"/>
        <v>7</v>
      </c>
      <c r="Z92" s="172">
        <f t="shared" si="93"/>
        <v>0</v>
      </c>
      <c r="AA92" s="172">
        <f t="shared" si="93"/>
        <v>0</v>
      </c>
      <c r="AB92" s="172">
        <f t="shared" si="93"/>
        <v>0</v>
      </c>
      <c r="AC92" s="172">
        <f t="shared" si="93"/>
        <v>0</v>
      </c>
    </row>
    <row r="93">
      <c r="B93" s="12">
        <f>IFERROR(__xludf.DUMMYFUNCTION("""COMPUTED_VALUE"""),44945.0)</f>
        <v>44945</v>
      </c>
      <c r="C93" s="54">
        <f>IFERROR(__xludf.DUMMYFUNCTION("""COMPUTED_VALUE"""),9.0)</f>
        <v>9</v>
      </c>
      <c r="D93" s="7">
        <f>IFERROR(__xludf.DUMMYFUNCTION("""COMPUTED_VALUE"""),9.0)</f>
        <v>9</v>
      </c>
      <c r="E93" s="7">
        <f>IFERROR(__xludf.DUMMYFUNCTION("""COMPUTED_VALUE"""),0.0)</f>
        <v>0</v>
      </c>
      <c r="F93" s="7">
        <f>IFERROR(__xludf.DUMMYFUNCTION("""COMPUTED_VALUE"""),0.0)</f>
        <v>0</v>
      </c>
      <c r="G93" s="7">
        <f>IFERROR(__xludf.DUMMYFUNCTION("""COMPUTED_VALUE"""),0.0)</f>
        <v>0</v>
      </c>
      <c r="H93" s="7">
        <f>IFERROR(__xludf.DUMMYFUNCTION("""COMPUTED_VALUE"""),0.0)</f>
        <v>0</v>
      </c>
      <c r="I93" s="7">
        <f>IFERROR(__xludf.DUMMYFUNCTION("""COMPUTED_VALUE"""),0.0)</f>
        <v>0</v>
      </c>
      <c r="J93" s="54" t="b">
        <f>IFERROR(__xludf.DUMMYFUNCTION("""COMPUTED_VALUE"""),TRUE)</f>
        <v>1</v>
      </c>
      <c r="K93" s="80"/>
      <c r="L93" s="12">
        <f>IFERROR(__xludf.DUMMYFUNCTION("""COMPUTED_VALUE"""),44974.0)</f>
        <v>44974</v>
      </c>
      <c r="M93" s="172">
        <f>IFERROR(__xludf.DUMMYFUNCTION("""COMPUTED_VALUE"""),8.0)</f>
        <v>8</v>
      </c>
      <c r="N93" s="172">
        <f>IFERROR(__xludf.DUMMYFUNCTION("""COMPUTED_VALUE"""),8.0)</f>
        <v>8</v>
      </c>
      <c r="O93" s="172">
        <f>IFERROR(__xludf.DUMMYFUNCTION("""COMPUTED_VALUE"""),0.0)</f>
        <v>0</v>
      </c>
      <c r="P93" s="172">
        <f>IFERROR(__xludf.DUMMYFUNCTION("""COMPUTED_VALUE"""),0.0)</f>
        <v>0</v>
      </c>
      <c r="Q93" s="172">
        <f>IFERROR(__xludf.DUMMYFUNCTION("""COMPUTED_VALUE"""),0.0)</f>
        <v>0</v>
      </c>
      <c r="R93" s="172">
        <f>IFERROR(__xludf.DUMMYFUNCTION("""COMPUTED_VALUE"""),0.0)</f>
        <v>0</v>
      </c>
      <c r="S93" s="172">
        <f>IFERROR(__xludf.DUMMYFUNCTION("""COMPUTED_VALUE"""),0.0)</f>
        <v>0</v>
      </c>
      <c r="T93" s="172">
        <f>IFERROR(__xludf.DUMMYFUNCTION("""COMPUTED_VALUE"""),8.0)</f>
        <v>8</v>
      </c>
      <c r="U93" s="14"/>
      <c r="V93" s="80"/>
      <c r="W93" s="14">
        <f t="shared" si="39"/>
        <v>44974</v>
      </c>
      <c r="X93" s="172">
        <f t="shared" ref="X93:AC93" si="94">M93</f>
        <v>8</v>
      </c>
      <c r="Y93" s="172">
        <f t="shared" si="94"/>
        <v>8</v>
      </c>
      <c r="Z93" s="172">
        <f t="shared" si="94"/>
        <v>0</v>
      </c>
      <c r="AA93" s="172">
        <f t="shared" si="94"/>
        <v>0</v>
      </c>
      <c r="AB93" s="172">
        <f t="shared" si="94"/>
        <v>0</v>
      </c>
      <c r="AC93" s="172">
        <f t="shared" si="94"/>
        <v>0</v>
      </c>
    </row>
    <row r="94">
      <c r="B94" s="12">
        <f>IFERROR(__xludf.DUMMYFUNCTION("""COMPUTED_VALUE"""),44946.0)</f>
        <v>44946</v>
      </c>
      <c r="C94" s="54">
        <f>IFERROR(__xludf.DUMMYFUNCTION("""COMPUTED_VALUE"""),6.0)</f>
        <v>6</v>
      </c>
      <c r="D94" s="7">
        <f>IFERROR(__xludf.DUMMYFUNCTION("""COMPUTED_VALUE"""),5.0)</f>
        <v>5</v>
      </c>
      <c r="E94" s="7">
        <f>IFERROR(__xludf.DUMMYFUNCTION("""COMPUTED_VALUE"""),0.0)</f>
        <v>0</v>
      </c>
      <c r="F94" s="7">
        <f>IFERROR(__xludf.DUMMYFUNCTION("""COMPUTED_VALUE"""),1.0)</f>
        <v>1</v>
      </c>
      <c r="G94" s="7">
        <f>IFERROR(__xludf.DUMMYFUNCTION("""COMPUTED_VALUE"""),0.0)</f>
        <v>0</v>
      </c>
      <c r="H94" s="7">
        <f>IFERROR(__xludf.DUMMYFUNCTION("""COMPUTED_VALUE"""),0.0)</f>
        <v>0</v>
      </c>
      <c r="I94" s="7">
        <f>IFERROR(__xludf.DUMMYFUNCTION("""COMPUTED_VALUE"""),0.0)</f>
        <v>0</v>
      </c>
      <c r="J94" s="54" t="b">
        <f>IFERROR(__xludf.DUMMYFUNCTION("""COMPUTED_VALUE"""),TRUE)</f>
        <v>1</v>
      </c>
      <c r="K94" s="80"/>
      <c r="L94" s="12">
        <f>IFERROR(__xludf.DUMMYFUNCTION("""COMPUTED_VALUE"""),44977.0)</f>
        <v>44977</v>
      </c>
      <c r="M94" s="172">
        <f>IFERROR(__xludf.DUMMYFUNCTION("""COMPUTED_VALUE"""),9.0)</f>
        <v>9</v>
      </c>
      <c r="N94" s="172">
        <f>IFERROR(__xludf.DUMMYFUNCTION("""COMPUTED_VALUE"""),9.0)</f>
        <v>9</v>
      </c>
      <c r="O94" s="172">
        <f>IFERROR(__xludf.DUMMYFUNCTION("""COMPUTED_VALUE"""),0.0)</f>
        <v>0</v>
      </c>
      <c r="P94" s="172">
        <f>IFERROR(__xludf.DUMMYFUNCTION("""COMPUTED_VALUE"""),0.0)</f>
        <v>0</v>
      </c>
      <c r="Q94" s="172">
        <f>IFERROR(__xludf.DUMMYFUNCTION("""COMPUTED_VALUE"""),0.0)</f>
        <v>0</v>
      </c>
      <c r="R94" s="172">
        <f>IFERROR(__xludf.DUMMYFUNCTION("""COMPUTED_VALUE"""),0.0)</f>
        <v>0</v>
      </c>
      <c r="S94" s="172">
        <f>IFERROR(__xludf.DUMMYFUNCTION("""COMPUTED_VALUE"""),0.0)</f>
        <v>0</v>
      </c>
      <c r="T94" s="172">
        <f>IFERROR(__xludf.DUMMYFUNCTION("""COMPUTED_VALUE"""),9.0)</f>
        <v>9</v>
      </c>
      <c r="U94" s="14"/>
      <c r="V94" s="80"/>
      <c r="W94" s="14">
        <f t="shared" si="39"/>
        <v>44977</v>
      </c>
      <c r="X94" s="172">
        <f t="shared" ref="X94:AC94" si="95">M94</f>
        <v>9</v>
      </c>
      <c r="Y94" s="172">
        <f t="shared" si="95"/>
        <v>9</v>
      </c>
      <c r="Z94" s="172">
        <f t="shared" si="95"/>
        <v>0</v>
      </c>
      <c r="AA94" s="172">
        <f t="shared" si="95"/>
        <v>0</v>
      </c>
      <c r="AB94" s="172">
        <f t="shared" si="95"/>
        <v>0</v>
      </c>
      <c r="AC94" s="172">
        <f t="shared" si="95"/>
        <v>0</v>
      </c>
    </row>
    <row r="95">
      <c r="B95" s="12">
        <f>IFERROR(__xludf.DUMMYFUNCTION("""COMPUTED_VALUE"""),44949.0)</f>
        <v>44949</v>
      </c>
      <c r="C95" s="54">
        <f>IFERROR(__xludf.DUMMYFUNCTION("""COMPUTED_VALUE"""),9.0)</f>
        <v>9</v>
      </c>
      <c r="D95" s="7">
        <f>IFERROR(__xludf.DUMMYFUNCTION("""COMPUTED_VALUE"""),9.0)</f>
        <v>9</v>
      </c>
      <c r="E95" s="7">
        <f>IFERROR(__xludf.DUMMYFUNCTION("""COMPUTED_VALUE"""),0.0)</f>
        <v>0</v>
      </c>
      <c r="F95" s="7">
        <f>IFERROR(__xludf.DUMMYFUNCTION("""COMPUTED_VALUE"""),0.0)</f>
        <v>0</v>
      </c>
      <c r="G95" s="7">
        <f>IFERROR(__xludf.DUMMYFUNCTION("""COMPUTED_VALUE"""),0.0)</f>
        <v>0</v>
      </c>
      <c r="H95" s="7">
        <f>IFERROR(__xludf.DUMMYFUNCTION("""COMPUTED_VALUE"""),0.0)</f>
        <v>0</v>
      </c>
      <c r="I95" s="7">
        <f>IFERROR(__xludf.DUMMYFUNCTION("""COMPUTED_VALUE"""),0.0)</f>
        <v>0</v>
      </c>
      <c r="J95" s="54" t="b">
        <f>IFERROR(__xludf.DUMMYFUNCTION("""COMPUTED_VALUE"""),TRUE)</f>
        <v>1</v>
      </c>
      <c r="K95" s="80"/>
      <c r="L95" s="12">
        <f>IFERROR(__xludf.DUMMYFUNCTION("""COMPUTED_VALUE"""),44978.0)</f>
        <v>44978</v>
      </c>
      <c r="M95" s="172">
        <f>IFERROR(__xludf.DUMMYFUNCTION("""COMPUTED_VALUE"""),6.0)</f>
        <v>6</v>
      </c>
      <c r="N95" s="172">
        <f>IFERROR(__xludf.DUMMYFUNCTION("""COMPUTED_VALUE"""),6.0)</f>
        <v>6</v>
      </c>
      <c r="O95" s="172">
        <f>IFERROR(__xludf.DUMMYFUNCTION("""COMPUTED_VALUE"""),0.0)</f>
        <v>0</v>
      </c>
      <c r="P95" s="172">
        <f>IFERROR(__xludf.DUMMYFUNCTION("""COMPUTED_VALUE"""),0.0)</f>
        <v>0</v>
      </c>
      <c r="Q95" s="172">
        <f>IFERROR(__xludf.DUMMYFUNCTION("""COMPUTED_VALUE"""),0.0)</f>
        <v>0</v>
      </c>
      <c r="R95" s="172">
        <f>IFERROR(__xludf.DUMMYFUNCTION("""COMPUTED_VALUE"""),0.0)</f>
        <v>0</v>
      </c>
      <c r="S95" s="172">
        <f>IFERROR(__xludf.DUMMYFUNCTION("""COMPUTED_VALUE"""),0.0)</f>
        <v>0</v>
      </c>
      <c r="T95" s="172">
        <f>IFERROR(__xludf.DUMMYFUNCTION("""COMPUTED_VALUE"""),6.0)</f>
        <v>6</v>
      </c>
      <c r="U95" s="14"/>
      <c r="V95" s="80"/>
      <c r="W95" s="14">
        <f t="shared" si="39"/>
        <v>44978</v>
      </c>
      <c r="X95" s="172">
        <f t="shared" ref="X95:AC95" si="96">M95</f>
        <v>6</v>
      </c>
      <c r="Y95" s="172">
        <f t="shared" si="96"/>
        <v>6</v>
      </c>
      <c r="Z95" s="172">
        <f t="shared" si="96"/>
        <v>0</v>
      </c>
      <c r="AA95" s="172">
        <f t="shared" si="96"/>
        <v>0</v>
      </c>
      <c r="AB95" s="172">
        <f t="shared" si="96"/>
        <v>0</v>
      </c>
      <c r="AC95" s="172">
        <f t="shared" si="96"/>
        <v>0</v>
      </c>
    </row>
    <row r="96">
      <c r="B96" s="12">
        <f>IFERROR(__xludf.DUMMYFUNCTION("""COMPUTED_VALUE"""),44951.0)</f>
        <v>44951</v>
      </c>
      <c r="C96" s="54">
        <f>IFERROR(__xludf.DUMMYFUNCTION("""COMPUTED_VALUE"""),7.0)</f>
        <v>7</v>
      </c>
      <c r="D96" s="7">
        <f>IFERROR(__xludf.DUMMYFUNCTION("""COMPUTED_VALUE"""),7.0)</f>
        <v>7</v>
      </c>
      <c r="E96" s="7">
        <f>IFERROR(__xludf.DUMMYFUNCTION("""COMPUTED_VALUE"""),0.0)</f>
        <v>0</v>
      </c>
      <c r="F96" s="7">
        <f>IFERROR(__xludf.DUMMYFUNCTION("""COMPUTED_VALUE"""),0.0)</f>
        <v>0</v>
      </c>
      <c r="G96" s="7">
        <f>IFERROR(__xludf.DUMMYFUNCTION("""COMPUTED_VALUE"""),0.0)</f>
        <v>0</v>
      </c>
      <c r="H96" s="7">
        <f>IFERROR(__xludf.DUMMYFUNCTION("""COMPUTED_VALUE"""),0.0)</f>
        <v>0</v>
      </c>
      <c r="I96" s="7">
        <f>IFERROR(__xludf.DUMMYFUNCTION("""COMPUTED_VALUE"""),0.0)</f>
        <v>0</v>
      </c>
      <c r="J96" s="54"/>
      <c r="K96" s="80"/>
      <c r="L96" s="12">
        <f>IFERROR(__xludf.DUMMYFUNCTION("""COMPUTED_VALUE"""),44979.0)</f>
        <v>44979</v>
      </c>
      <c r="M96" s="172">
        <f>IFERROR(__xludf.DUMMYFUNCTION("""COMPUTED_VALUE"""),9.0)</f>
        <v>9</v>
      </c>
      <c r="N96" s="172">
        <f>IFERROR(__xludf.DUMMYFUNCTION("""COMPUTED_VALUE"""),9.0)</f>
        <v>9</v>
      </c>
      <c r="O96" s="172">
        <f>IFERROR(__xludf.DUMMYFUNCTION("""COMPUTED_VALUE"""),0.0)</f>
        <v>0</v>
      </c>
      <c r="P96" s="172">
        <f>IFERROR(__xludf.DUMMYFUNCTION("""COMPUTED_VALUE"""),0.0)</f>
        <v>0</v>
      </c>
      <c r="Q96" s="172">
        <f>IFERROR(__xludf.DUMMYFUNCTION("""COMPUTED_VALUE"""),0.0)</f>
        <v>0</v>
      </c>
      <c r="R96" s="172">
        <f>IFERROR(__xludf.DUMMYFUNCTION("""COMPUTED_VALUE"""),0.0)</f>
        <v>0</v>
      </c>
      <c r="S96" s="172">
        <f>IFERROR(__xludf.DUMMYFUNCTION("""COMPUTED_VALUE"""),0.0)</f>
        <v>0</v>
      </c>
      <c r="T96" s="172">
        <f>IFERROR(__xludf.DUMMYFUNCTION("""COMPUTED_VALUE"""),9.0)</f>
        <v>9</v>
      </c>
      <c r="U96" s="14"/>
      <c r="V96" s="80"/>
      <c r="W96" s="14">
        <f t="shared" si="39"/>
        <v>44979</v>
      </c>
      <c r="X96" s="172">
        <f t="shared" ref="X96:AC96" si="97">M96</f>
        <v>9</v>
      </c>
      <c r="Y96" s="172">
        <f t="shared" si="97"/>
        <v>9</v>
      </c>
      <c r="Z96" s="172">
        <f t="shared" si="97"/>
        <v>0</v>
      </c>
      <c r="AA96" s="172">
        <f t="shared" si="97"/>
        <v>0</v>
      </c>
      <c r="AB96" s="172">
        <f t="shared" si="97"/>
        <v>0</v>
      </c>
      <c r="AC96" s="172">
        <f t="shared" si="97"/>
        <v>0</v>
      </c>
    </row>
    <row r="97">
      <c r="B97" s="12">
        <f>IFERROR(__xludf.DUMMYFUNCTION("""COMPUTED_VALUE"""),44952.0)</f>
        <v>44952</v>
      </c>
      <c r="C97" s="54">
        <f>IFERROR(__xludf.DUMMYFUNCTION("""COMPUTED_VALUE"""),6.0)</f>
        <v>6</v>
      </c>
      <c r="D97" s="7">
        <f>IFERROR(__xludf.DUMMYFUNCTION("""COMPUTED_VALUE"""),6.0)</f>
        <v>6</v>
      </c>
      <c r="E97" s="7">
        <f>IFERROR(__xludf.DUMMYFUNCTION("""COMPUTED_VALUE"""),0.0)</f>
        <v>0</v>
      </c>
      <c r="F97" s="7">
        <f>IFERROR(__xludf.DUMMYFUNCTION("""COMPUTED_VALUE"""),0.0)</f>
        <v>0</v>
      </c>
      <c r="G97" s="7">
        <f>IFERROR(__xludf.DUMMYFUNCTION("""COMPUTED_VALUE"""),0.0)</f>
        <v>0</v>
      </c>
      <c r="H97" s="7">
        <f>IFERROR(__xludf.DUMMYFUNCTION("""COMPUTED_VALUE"""),0.0)</f>
        <v>0</v>
      </c>
      <c r="I97" s="7">
        <f>IFERROR(__xludf.DUMMYFUNCTION("""COMPUTED_VALUE"""),0.0)</f>
        <v>0</v>
      </c>
      <c r="J97" s="54" t="b">
        <f>IFERROR(__xludf.DUMMYFUNCTION("""COMPUTED_VALUE"""),TRUE)</f>
        <v>1</v>
      </c>
      <c r="K97" s="80"/>
      <c r="L97" s="12">
        <f>IFERROR(__xludf.DUMMYFUNCTION("""COMPUTED_VALUE"""),44980.0)</f>
        <v>44980</v>
      </c>
      <c r="M97" s="172">
        <f>IFERROR(__xludf.DUMMYFUNCTION("""COMPUTED_VALUE"""),9.0)</f>
        <v>9</v>
      </c>
      <c r="N97" s="172">
        <f>IFERROR(__xludf.DUMMYFUNCTION("""COMPUTED_VALUE"""),9.0)</f>
        <v>9</v>
      </c>
      <c r="O97" s="172">
        <f>IFERROR(__xludf.DUMMYFUNCTION("""COMPUTED_VALUE"""),0.0)</f>
        <v>0</v>
      </c>
      <c r="P97" s="172">
        <f>IFERROR(__xludf.DUMMYFUNCTION("""COMPUTED_VALUE"""),0.0)</f>
        <v>0</v>
      </c>
      <c r="Q97" s="172">
        <f>IFERROR(__xludf.DUMMYFUNCTION("""COMPUTED_VALUE"""),0.0)</f>
        <v>0</v>
      </c>
      <c r="R97" s="172">
        <f>IFERROR(__xludf.DUMMYFUNCTION("""COMPUTED_VALUE"""),0.0)</f>
        <v>0</v>
      </c>
      <c r="S97" s="172">
        <f>IFERROR(__xludf.DUMMYFUNCTION("""COMPUTED_VALUE"""),0.0)</f>
        <v>0</v>
      </c>
      <c r="T97" s="172">
        <f>IFERROR(__xludf.DUMMYFUNCTION("""COMPUTED_VALUE"""),9.0)</f>
        <v>9</v>
      </c>
      <c r="U97" s="14"/>
      <c r="V97" s="80"/>
      <c r="W97" s="14">
        <f t="shared" si="39"/>
        <v>44980</v>
      </c>
      <c r="X97" s="172">
        <f t="shared" ref="X97:AC97" si="98">M97</f>
        <v>9</v>
      </c>
      <c r="Y97" s="172">
        <f t="shared" si="98"/>
        <v>9</v>
      </c>
      <c r="Z97" s="172">
        <f t="shared" si="98"/>
        <v>0</v>
      </c>
      <c r="AA97" s="172">
        <f t="shared" si="98"/>
        <v>0</v>
      </c>
      <c r="AB97" s="172">
        <f t="shared" si="98"/>
        <v>0</v>
      </c>
      <c r="AC97" s="172">
        <f t="shared" si="98"/>
        <v>0</v>
      </c>
    </row>
    <row r="98">
      <c r="B98" s="12">
        <f>IFERROR(__xludf.DUMMYFUNCTION("""COMPUTED_VALUE"""),44953.0)</f>
        <v>44953</v>
      </c>
      <c r="C98" s="54">
        <f>IFERROR(__xludf.DUMMYFUNCTION("""COMPUTED_VALUE"""),7.0)</f>
        <v>7</v>
      </c>
      <c r="D98" s="7">
        <f>IFERROR(__xludf.DUMMYFUNCTION("""COMPUTED_VALUE"""),7.0)</f>
        <v>7</v>
      </c>
      <c r="E98" s="7">
        <f>IFERROR(__xludf.DUMMYFUNCTION("""COMPUTED_VALUE"""),0.0)</f>
        <v>0</v>
      </c>
      <c r="F98" s="7">
        <f>IFERROR(__xludf.DUMMYFUNCTION("""COMPUTED_VALUE"""),0.0)</f>
        <v>0</v>
      </c>
      <c r="G98" s="7">
        <f>IFERROR(__xludf.DUMMYFUNCTION("""COMPUTED_VALUE"""),0.0)</f>
        <v>0</v>
      </c>
      <c r="H98" s="7">
        <f>IFERROR(__xludf.DUMMYFUNCTION("""COMPUTED_VALUE"""),0.0)</f>
        <v>0</v>
      </c>
      <c r="I98" s="7">
        <f>IFERROR(__xludf.DUMMYFUNCTION("""COMPUTED_VALUE"""),0.0)</f>
        <v>0</v>
      </c>
      <c r="J98" s="54" t="b">
        <f>IFERROR(__xludf.DUMMYFUNCTION("""COMPUTED_VALUE"""),TRUE)</f>
        <v>1</v>
      </c>
      <c r="K98" s="80"/>
      <c r="L98" s="12">
        <f>IFERROR(__xludf.DUMMYFUNCTION("""COMPUTED_VALUE"""),44981.0)</f>
        <v>44981</v>
      </c>
      <c r="M98" s="172">
        <f>IFERROR(__xludf.DUMMYFUNCTION("""COMPUTED_VALUE"""),7.0)</f>
        <v>7</v>
      </c>
      <c r="N98" s="172">
        <f>IFERROR(__xludf.DUMMYFUNCTION("""COMPUTED_VALUE"""),7.0)</f>
        <v>7</v>
      </c>
      <c r="O98" s="172">
        <f>IFERROR(__xludf.DUMMYFUNCTION("""COMPUTED_VALUE"""),0.0)</f>
        <v>0</v>
      </c>
      <c r="P98" s="172">
        <f>IFERROR(__xludf.DUMMYFUNCTION("""COMPUTED_VALUE"""),0.0)</f>
        <v>0</v>
      </c>
      <c r="Q98" s="172">
        <f>IFERROR(__xludf.DUMMYFUNCTION("""COMPUTED_VALUE"""),0.0)</f>
        <v>0</v>
      </c>
      <c r="R98" s="172">
        <f>IFERROR(__xludf.DUMMYFUNCTION("""COMPUTED_VALUE"""),0.0)</f>
        <v>0</v>
      </c>
      <c r="S98" s="172">
        <f>IFERROR(__xludf.DUMMYFUNCTION("""COMPUTED_VALUE"""),0.0)</f>
        <v>0</v>
      </c>
      <c r="T98" s="172">
        <f>IFERROR(__xludf.DUMMYFUNCTION("""COMPUTED_VALUE"""),7.0)</f>
        <v>7</v>
      </c>
      <c r="U98" s="14"/>
      <c r="V98" s="80"/>
      <c r="W98" s="14">
        <f t="shared" si="39"/>
        <v>44981</v>
      </c>
      <c r="X98" s="172">
        <f t="shared" ref="X98:AC98" si="99">M98</f>
        <v>7</v>
      </c>
      <c r="Y98" s="172">
        <f t="shared" si="99"/>
        <v>7</v>
      </c>
      <c r="Z98" s="172">
        <f t="shared" si="99"/>
        <v>0</v>
      </c>
      <c r="AA98" s="172">
        <f t="shared" si="99"/>
        <v>0</v>
      </c>
      <c r="AB98" s="172">
        <f t="shared" si="99"/>
        <v>0</v>
      </c>
      <c r="AC98" s="172">
        <f t="shared" si="99"/>
        <v>0</v>
      </c>
    </row>
    <row r="99">
      <c r="B99" s="12">
        <f>IFERROR(__xludf.DUMMYFUNCTION("""COMPUTED_VALUE"""),44956.0)</f>
        <v>44956</v>
      </c>
      <c r="C99" s="54">
        <f>IFERROR(__xludf.DUMMYFUNCTION("""COMPUTED_VALUE"""),7.0)</f>
        <v>7</v>
      </c>
      <c r="D99" s="7">
        <f>IFERROR(__xludf.DUMMYFUNCTION("""COMPUTED_VALUE"""),7.0)</f>
        <v>7</v>
      </c>
      <c r="E99" s="7">
        <f>IFERROR(__xludf.DUMMYFUNCTION("""COMPUTED_VALUE"""),0.0)</f>
        <v>0</v>
      </c>
      <c r="F99" s="7">
        <f>IFERROR(__xludf.DUMMYFUNCTION("""COMPUTED_VALUE"""),0.0)</f>
        <v>0</v>
      </c>
      <c r="G99" s="7">
        <f>IFERROR(__xludf.DUMMYFUNCTION("""COMPUTED_VALUE"""),0.0)</f>
        <v>0</v>
      </c>
      <c r="H99" s="7">
        <f>IFERROR(__xludf.DUMMYFUNCTION("""COMPUTED_VALUE"""),0.0)</f>
        <v>0</v>
      </c>
      <c r="I99" s="7">
        <f>IFERROR(__xludf.DUMMYFUNCTION("""COMPUTED_VALUE"""),0.0)</f>
        <v>0</v>
      </c>
      <c r="J99" s="54" t="b">
        <f>IFERROR(__xludf.DUMMYFUNCTION("""COMPUTED_VALUE"""),TRUE)</f>
        <v>1</v>
      </c>
      <c r="K99" s="80"/>
      <c r="L99" s="12">
        <f>IFERROR(__xludf.DUMMYFUNCTION("""COMPUTED_VALUE"""),44984.0)</f>
        <v>44984</v>
      </c>
      <c r="M99" s="172">
        <f>IFERROR(__xludf.DUMMYFUNCTION("""COMPUTED_VALUE"""),10.0)</f>
        <v>10</v>
      </c>
      <c r="N99" s="172">
        <f>IFERROR(__xludf.DUMMYFUNCTION("""COMPUTED_VALUE"""),10.0)</f>
        <v>10</v>
      </c>
      <c r="O99" s="172">
        <f>IFERROR(__xludf.DUMMYFUNCTION("""COMPUTED_VALUE"""),0.0)</f>
        <v>0</v>
      </c>
      <c r="P99" s="172">
        <f>IFERROR(__xludf.DUMMYFUNCTION("""COMPUTED_VALUE"""),0.0)</f>
        <v>0</v>
      </c>
      <c r="Q99" s="172">
        <f>IFERROR(__xludf.DUMMYFUNCTION("""COMPUTED_VALUE"""),0.0)</f>
        <v>0</v>
      </c>
      <c r="R99" s="172">
        <f>IFERROR(__xludf.DUMMYFUNCTION("""COMPUTED_VALUE"""),0.0)</f>
        <v>0</v>
      </c>
      <c r="S99" s="172">
        <f>IFERROR(__xludf.DUMMYFUNCTION("""COMPUTED_VALUE"""),0.0)</f>
        <v>0</v>
      </c>
      <c r="T99" s="172">
        <f>IFERROR(__xludf.DUMMYFUNCTION("""COMPUTED_VALUE"""),10.0)</f>
        <v>10</v>
      </c>
      <c r="U99" s="14"/>
      <c r="V99" s="80"/>
      <c r="W99" s="14">
        <f t="shared" si="39"/>
        <v>44984</v>
      </c>
      <c r="X99" s="172">
        <f t="shared" ref="X99:AC99" si="100">M99</f>
        <v>10</v>
      </c>
      <c r="Y99" s="172">
        <f t="shared" si="100"/>
        <v>10</v>
      </c>
      <c r="Z99" s="172">
        <f t="shared" si="100"/>
        <v>0</v>
      </c>
      <c r="AA99" s="172">
        <f t="shared" si="100"/>
        <v>0</v>
      </c>
      <c r="AB99" s="172">
        <f t="shared" si="100"/>
        <v>0</v>
      </c>
      <c r="AC99" s="172">
        <f t="shared" si="100"/>
        <v>0</v>
      </c>
    </row>
    <row r="100">
      <c r="B100" s="12">
        <f>IFERROR(__xludf.DUMMYFUNCTION("""COMPUTED_VALUE"""),44963.0)</f>
        <v>44963</v>
      </c>
      <c r="C100" s="54">
        <f>IFERROR(__xludf.DUMMYFUNCTION("""COMPUTED_VALUE"""),2.0)</f>
        <v>2</v>
      </c>
      <c r="D100" s="7">
        <f>IFERROR(__xludf.DUMMYFUNCTION("""COMPUTED_VALUE"""),2.0)</f>
        <v>2</v>
      </c>
      <c r="E100" s="7">
        <f>IFERROR(__xludf.DUMMYFUNCTION("""COMPUTED_VALUE"""),0.0)</f>
        <v>0</v>
      </c>
      <c r="F100" s="7">
        <f>IFERROR(__xludf.DUMMYFUNCTION("""COMPUTED_VALUE"""),0.0)</f>
        <v>0</v>
      </c>
      <c r="G100" s="7">
        <f>IFERROR(__xludf.DUMMYFUNCTION("""COMPUTED_VALUE"""),0.0)</f>
        <v>0</v>
      </c>
      <c r="H100" s="7">
        <f>IFERROR(__xludf.DUMMYFUNCTION("""COMPUTED_VALUE"""),0.0)</f>
        <v>0</v>
      </c>
      <c r="I100" s="7">
        <f>IFERROR(__xludf.DUMMYFUNCTION("""COMPUTED_VALUE"""),0.0)</f>
        <v>0</v>
      </c>
      <c r="J100" s="54" t="b">
        <f>IFERROR(__xludf.DUMMYFUNCTION("""COMPUTED_VALUE"""),TRUE)</f>
        <v>1</v>
      </c>
      <c r="K100" s="80"/>
      <c r="L100" s="12">
        <f>IFERROR(__xludf.DUMMYFUNCTION("""COMPUTED_VALUE"""),44985.0)</f>
        <v>44985</v>
      </c>
      <c r="M100" s="172">
        <f>IFERROR(__xludf.DUMMYFUNCTION("""COMPUTED_VALUE"""),7.0)</f>
        <v>7</v>
      </c>
      <c r="N100" s="172">
        <f>IFERROR(__xludf.DUMMYFUNCTION("""COMPUTED_VALUE"""),7.0)</f>
        <v>7</v>
      </c>
      <c r="O100" s="172">
        <f>IFERROR(__xludf.DUMMYFUNCTION("""COMPUTED_VALUE"""),0.0)</f>
        <v>0</v>
      </c>
      <c r="P100" s="172">
        <f>IFERROR(__xludf.DUMMYFUNCTION("""COMPUTED_VALUE"""),0.0)</f>
        <v>0</v>
      </c>
      <c r="Q100" s="172">
        <f>IFERROR(__xludf.DUMMYFUNCTION("""COMPUTED_VALUE"""),0.0)</f>
        <v>0</v>
      </c>
      <c r="R100" s="172">
        <f>IFERROR(__xludf.DUMMYFUNCTION("""COMPUTED_VALUE"""),0.0)</f>
        <v>0</v>
      </c>
      <c r="S100" s="172">
        <f>IFERROR(__xludf.DUMMYFUNCTION("""COMPUTED_VALUE"""),0.0)</f>
        <v>0</v>
      </c>
      <c r="T100" s="172">
        <f>IFERROR(__xludf.DUMMYFUNCTION("""COMPUTED_VALUE"""),7.0)</f>
        <v>7</v>
      </c>
      <c r="U100" s="14"/>
      <c r="V100" s="80"/>
      <c r="W100" s="14">
        <f t="shared" si="39"/>
        <v>44985</v>
      </c>
      <c r="X100" s="172">
        <f t="shared" ref="X100:AC100" si="101">M100</f>
        <v>7</v>
      </c>
      <c r="Y100" s="172">
        <f t="shared" si="101"/>
        <v>7</v>
      </c>
      <c r="Z100" s="172">
        <f t="shared" si="101"/>
        <v>0</v>
      </c>
      <c r="AA100" s="172">
        <f t="shared" si="101"/>
        <v>0</v>
      </c>
      <c r="AB100" s="172">
        <f t="shared" si="101"/>
        <v>0</v>
      </c>
      <c r="AC100" s="172">
        <f t="shared" si="101"/>
        <v>0</v>
      </c>
    </row>
    <row r="101">
      <c r="B101" s="12">
        <f>IFERROR(__xludf.DUMMYFUNCTION("""COMPUTED_VALUE"""),44964.0)</f>
        <v>44964</v>
      </c>
      <c r="C101" s="54">
        <f>IFERROR(__xludf.DUMMYFUNCTION("""COMPUTED_VALUE"""),6.0)</f>
        <v>6</v>
      </c>
      <c r="D101" s="7">
        <f>IFERROR(__xludf.DUMMYFUNCTION("""COMPUTED_VALUE"""),6.0)</f>
        <v>6</v>
      </c>
      <c r="E101" s="7">
        <f>IFERROR(__xludf.DUMMYFUNCTION("""COMPUTED_VALUE"""),0.0)</f>
        <v>0</v>
      </c>
      <c r="F101" s="7">
        <f>IFERROR(__xludf.DUMMYFUNCTION("""COMPUTED_VALUE"""),0.0)</f>
        <v>0</v>
      </c>
      <c r="G101" s="7">
        <f>IFERROR(__xludf.DUMMYFUNCTION("""COMPUTED_VALUE"""),0.0)</f>
        <v>0</v>
      </c>
      <c r="H101" s="7">
        <f>IFERROR(__xludf.DUMMYFUNCTION("""COMPUTED_VALUE"""),0.0)</f>
        <v>0</v>
      </c>
      <c r="I101" s="7">
        <f>IFERROR(__xludf.DUMMYFUNCTION("""COMPUTED_VALUE"""),0.0)</f>
        <v>0</v>
      </c>
      <c r="J101" s="54" t="b">
        <f>IFERROR(__xludf.DUMMYFUNCTION("""COMPUTED_VALUE"""),TRUE)</f>
        <v>1</v>
      </c>
      <c r="K101" s="80"/>
      <c r="L101" s="12">
        <f>IFERROR(__xludf.DUMMYFUNCTION("""COMPUTED_VALUE"""),44986.0)</f>
        <v>44986</v>
      </c>
      <c r="M101" s="172">
        <f>IFERROR(__xludf.DUMMYFUNCTION("""COMPUTED_VALUE"""),9.0)</f>
        <v>9</v>
      </c>
      <c r="N101" s="172">
        <f>IFERROR(__xludf.DUMMYFUNCTION("""COMPUTED_VALUE"""),9.0)</f>
        <v>9</v>
      </c>
      <c r="O101" s="172">
        <f>IFERROR(__xludf.DUMMYFUNCTION("""COMPUTED_VALUE"""),0.0)</f>
        <v>0</v>
      </c>
      <c r="P101" s="172">
        <f>IFERROR(__xludf.DUMMYFUNCTION("""COMPUTED_VALUE"""),0.0)</f>
        <v>0</v>
      </c>
      <c r="Q101" s="172">
        <f>IFERROR(__xludf.DUMMYFUNCTION("""COMPUTED_VALUE"""),0.0)</f>
        <v>0</v>
      </c>
      <c r="R101" s="172">
        <f>IFERROR(__xludf.DUMMYFUNCTION("""COMPUTED_VALUE"""),0.0)</f>
        <v>0</v>
      </c>
      <c r="S101" s="172">
        <f>IFERROR(__xludf.DUMMYFUNCTION("""COMPUTED_VALUE"""),0.0)</f>
        <v>0</v>
      </c>
      <c r="T101" s="172">
        <f>IFERROR(__xludf.DUMMYFUNCTION("""COMPUTED_VALUE"""),9.0)</f>
        <v>9</v>
      </c>
      <c r="U101" s="14"/>
      <c r="V101" s="80"/>
      <c r="W101" s="14">
        <f t="shared" si="39"/>
        <v>44986</v>
      </c>
      <c r="X101" s="172">
        <f t="shared" ref="X101:AC101" si="102">M101</f>
        <v>9</v>
      </c>
      <c r="Y101" s="172">
        <f t="shared" si="102"/>
        <v>9</v>
      </c>
      <c r="Z101" s="172">
        <f t="shared" si="102"/>
        <v>0</v>
      </c>
      <c r="AA101" s="172">
        <f t="shared" si="102"/>
        <v>0</v>
      </c>
      <c r="AB101" s="172">
        <f t="shared" si="102"/>
        <v>0</v>
      </c>
      <c r="AC101" s="172">
        <f t="shared" si="102"/>
        <v>0</v>
      </c>
    </row>
    <row r="102">
      <c r="B102" s="12">
        <f>IFERROR(__xludf.DUMMYFUNCTION("""COMPUTED_VALUE"""),44965.0)</f>
        <v>44965</v>
      </c>
      <c r="C102" s="54">
        <f>IFERROR(__xludf.DUMMYFUNCTION("""COMPUTED_VALUE"""),8.0)</f>
        <v>8</v>
      </c>
      <c r="D102" s="7">
        <f>IFERROR(__xludf.DUMMYFUNCTION("""COMPUTED_VALUE"""),8.0)</f>
        <v>8</v>
      </c>
      <c r="E102" s="7">
        <f>IFERROR(__xludf.DUMMYFUNCTION("""COMPUTED_VALUE"""),0.0)</f>
        <v>0</v>
      </c>
      <c r="F102" s="7">
        <f>IFERROR(__xludf.DUMMYFUNCTION("""COMPUTED_VALUE"""),0.0)</f>
        <v>0</v>
      </c>
      <c r="G102" s="7">
        <f>IFERROR(__xludf.DUMMYFUNCTION("""COMPUTED_VALUE"""),0.0)</f>
        <v>0</v>
      </c>
      <c r="H102" s="7">
        <f>IFERROR(__xludf.DUMMYFUNCTION("""COMPUTED_VALUE"""),0.0)</f>
        <v>0</v>
      </c>
      <c r="I102" s="7">
        <f>IFERROR(__xludf.DUMMYFUNCTION("""COMPUTED_VALUE"""),0.0)</f>
        <v>0</v>
      </c>
      <c r="J102" s="54" t="b">
        <f>IFERROR(__xludf.DUMMYFUNCTION("""COMPUTED_VALUE"""),TRUE)</f>
        <v>1</v>
      </c>
      <c r="K102" s="80"/>
      <c r="L102" s="12">
        <f>IFERROR(__xludf.DUMMYFUNCTION("""COMPUTED_VALUE"""),44987.0)</f>
        <v>44987</v>
      </c>
      <c r="M102" s="172">
        <f>IFERROR(__xludf.DUMMYFUNCTION("""COMPUTED_VALUE"""),7.0)</f>
        <v>7</v>
      </c>
      <c r="N102" s="172">
        <f>IFERROR(__xludf.DUMMYFUNCTION("""COMPUTED_VALUE"""),7.0)</f>
        <v>7</v>
      </c>
      <c r="O102" s="172">
        <f>IFERROR(__xludf.DUMMYFUNCTION("""COMPUTED_VALUE"""),0.0)</f>
        <v>0</v>
      </c>
      <c r="P102" s="172">
        <f>IFERROR(__xludf.DUMMYFUNCTION("""COMPUTED_VALUE"""),0.0)</f>
        <v>0</v>
      </c>
      <c r="Q102" s="172">
        <f>IFERROR(__xludf.DUMMYFUNCTION("""COMPUTED_VALUE"""),0.0)</f>
        <v>0</v>
      </c>
      <c r="R102" s="172">
        <f>IFERROR(__xludf.DUMMYFUNCTION("""COMPUTED_VALUE"""),0.0)</f>
        <v>0</v>
      </c>
      <c r="S102" s="172">
        <f>IFERROR(__xludf.DUMMYFUNCTION("""COMPUTED_VALUE"""),0.0)</f>
        <v>0</v>
      </c>
      <c r="T102" s="172">
        <f>IFERROR(__xludf.DUMMYFUNCTION("""COMPUTED_VALUE"""),7.0)</f>
        <v>7</v>
      </c>
      <c r="U102" s="14"/>
      <c r="V102" s="80"/>
      <c r="W102" s="14">
        <f t="shared" si="39"/>
        <v>44987</v>
      </c>
      <c r="X102" s="172">
        <f t="shared" ref="X102:AC102" si="103">M102</f>
        <v>7</v>
      </c>
      <c r="Y102" s="172">
        <f t="shared" si="103"/>
        <v>7</v>
      </c>
      <c r="Z102" s="172">
        <f t="shared" si="103"/>
        <v>0</v>
      </c>
      <c r="AA102" s="172">
        <f t="shared" si="103"/>
        <v>0</v>
      </c>
      <c r="AB102" s="172">
        <f t="shared" si="103"/>
        <v>0</v>
      </c>
      <c r="AC102" s="172">
        <f t="shared" si="103"/>
        <v>0</v>
      </c>
    </row>
    <row r="103">
      <c r="B103" s="12">
        <f>IFERROR(__xludf.DUMMYFUNCTION("""COMPUTED_VALUE"""),44966.0)</f>
        <v>44966</v>
      </c>
      <c r="C103" s="54">
        <f>IFERROR(__xludf.DUMMYFUNCTION("""COMPUTED_VALUE"""),9.0)</f>
        <v>9</v>
      </c>
      <c r="D103" s="7">
        <f>IFERROR(__xludf.DUMMYFUNCTION("""COMPUTED_VALUE"""),9.0)</f>
        <v>9</v>
      </c>
      <c r="E103" s="7">
        <f>IFERROR(__xludf.DUMMYFUNCTION("""COMPUTED_VALUE"""),0.0)</f>
        <v>0</v>
      </c>
      <c r="F103" s="7">
        <f>IFERROR(__xludf.DUMMYFUNCTION("""COMPUTED_VALUE"""),0.0)</f>
        <v>0</v>
      </c>
      <c r="G103" s="7">
        <f>IFERROR(__xludf.DUMMYFUNCTION("""COMPUTED_VALUE"""),0.0)</f>
        <v>0</v>
      </c>
      <c r="H103" s="7">
        <f>IFERROR(__xludf.DUMMYFUNCTION("""COMPUTED_VALUE"""),0.0)</f>
        <v>0</v>
      </c>
      <c r="I103" s="7">
        <f>IFERROR(__xludf.DUMMYFUNCTION("""COMPUTED_VALUE"""),0.0)</f>
        <v>0</v>
      </c>
      <c r="J103" s="54" t="b">
        <f>IFERROR(__xludf.DUMMYFUNCTION("""COMPUTED_VALUE"""),TRUE)</f>
        <v>1</v>
      </c>
      <c r="K103" s="80"/>
      <c r="L103" s="12">
        <f>IFERROR(__xludf.DUMMYFUNCTION("""COMPUTED_VALUE"""),44991.0)</f>
        <v>44991</v>
      </c>
      <c r="M103" s="172">
        <f>IFERROR(__xludf.DUMMYFUNCTION("""COMPUTED_VALUE"""),14.0)</f>
        <v>14</v>
      </c>
      <c r="N103" s="172">
        <f>IFERROR(__xludf.DUMMYFUNCTION("""COMPUTED_VALUE"""),14.0)</f>
        <v>14</v>
      </c>
      <c r="O103" s="172">
        <f>IFERROR(__xludf.DUMMYFUNCTION("""COMPUTED_VALUE"""),0.0)</f>
        <v>0</v>
      </c>
      <c r="P103" s="172">
        <f>IFERROR(__xludf.DUMMYFUNCTION("""COMPUTED_VALUE"""),0.0)</f>
        <v>0</v>
      </c>
      <c r="Q103" s="172">
        <f>IFERROR(__xludf.DUMMYFUNCTION("""COMPUTED_VALUE"""),0.0)</f>
        <v>0</v>
      </c>
      <c r="R103" s="172">
        <f>IFERROR(__xludf.DUMMYFUNCTION("""COMPUTED_VALUE"""),0.0)</f>
        <v>0</v>
      </c>
      <c r="S103" s="172">
        <f>IFERROR(__xludf.DUMMYFUNCTION("""COMPUTED_VALUE"""),0.0)</f>
        <v>0</v>
      </c>
      <c r="T103" s="172">
        <f>IFERROR(__xludf.DUMMYFUNCTION("""COMPUTED_VALUE"""),14.0)</f>
        <v>14</v>
      </c>
      <c r="U103" s="14"/>
      <c r="V103" s="80"/>
      <c r="W103" s="14">
        <f t="shared" si="39"/>
        <v>44991</v>
      </c>
      <c r="X103" s="172">
        <f t="shared" ref="X103:AC103" si="104">M103</f>
        <v>14</v>
      </c>
      <c r="Y103" s="172">
        <f t="shared" si="104"/>
        <v>14</v>
      </c>
      <c r="Z103" s="172">
        <f t="shared" si="104"/>
        <v>0</v>
      </c>
      <c r="AA103" s="172">
        <f t="shared" si="104"/>
        <v>0</v>
      </c>
      <c r="AB103" s="172">
        <f t="shared" si="104"/>
        <v>0</v>
      </c>
      <c r="AC103" s="172">
        <f t="shared" si="104"/>
        <v>0</v>
      </c>
    </row>
    <row r="104">
      <c r="B104" s="12">
        <f>IFERROR(__xludf.DUMMYFUNCTION("""COMPUTED_VALUE"""),44967.0)</f>
        <v>44967</v>
      </c>
      <c r="C104" s="54">
        <f>IFERROR(__xludf.DUMMYFUNCTION("""COMPUTED_VALUE"""),8.0)</f>
        <v>8</v>
      </c>
      <c r="D104" s="7">
        <f>IFERROR(__xludf.DUMMYFUNCTION("""COMPUTED_VALUE"""),8.0)</f>
        <v>8</v>
      </c>
      <c r="E104" s="7">
        <f>IFERROR(__xludf.DUMMYFUNCTION("""COMPUTED_VALUE"""),0.0)</f>
        <v>0</v>
      </c>
      <c r="F104" s="7">
        <f>IFERROR(__xludf.DUMMYFUNCTION("""COMPUTED_VALUE"""),0.0)</f>
        <v>0</v>
      </c>
      <c r="G104" s="7">
        <f>IFERROR(__xludf.DUMMYFUNCTION("""COMPUTED_VALUE"""),0.0)</f>
        <v>0</v>
      </c>
      <c r="H104" s="7">
        <f>IFERROR(__xludf.DUMMYFUNCTION("""COMPUTED_VALUE"""),0.0)</f>
        <v>0</v>
      </c>
      <c r="I104" s="7">
        <f>IFERROR(__xludf.DUMMYFUNCTION("""COMPUTED_VALUE"""),0.0)</f>
        <v>0</v>
      </c>
      <c r="J104" s="54" t="b">
        <f>IFERROR(__xludf.DUMMYFUNCTION("""COMPUTED_VALUE"""),TRUE)</f>
        <v>1</v>
      </c>
      <c r="K104" s="80"/>
      <c r="L104" s="12">
        <f>IFERROR(__xludf.DUMMYFUNCTION("""COMPUTED_VALUE"""),44993.0)</f>
        <v>44993</v>
      </c>
      <c r="M104" s="172">
        <f>IFERROR(__xludf.DUMMYFUNCTION("""COMPUTED_VALUE"""),19.0)</f>
        <v>19</v>
      </c>
      <c r="N104" s="172">
        <f>IFERROR(__xludf.DUMMYFUNCTION("""COMPUTED_VALUE"""),19.0)</f>
        <v>19</v>
      </c>
      <c r="O104" s="172">
        <f>IFERROR(__xludf.DUMMYFUNCTION("""COMPUTED_VALUE"""),0.0)</f>
        <v>0</v>
      </c>
      <c r="P104" s="172">
        <f>IFERROR(__xludf.DUMMYFUNCTION("""COMPUTED_VALUE"""),0.0)</f>
        <v>0</v>
      </c>
      <c r="Q104" s="172">
        <f>IFERROR(__xludf.DUMMYFUNCTION("""COMPUTED_VALUE"""),0.0)</f>
        <v>0</v>
      </c>
      <c r="R104" s="172">
        <f>IFERROR(__xludf.DUMMYFUNCTION("""COMPUTED_VALUE"""),0.0)</f>
        <v>0</v>
      </c>
      <c r="S104" s="172">
        <f>IFERROR(__xludf.DUMMYFUNCTION("""COMPUTED_VALUE"""),0.0)</f>
        <v>0</v>
      </c>
      <c r="T104" s="172">
        <f>IFERROR(__xludf.DUMMYFUNCTION("""COMPUTED_VALUE"""),19.0)</f>
        <v>19</v>
      </c>
      <c r="U104" s="14"/>
      <c r="V104" s="80"/>
      <c r="W104" s="14">
        <f t="shared" si="39"/>
        <v>44993</v>
      </c>
      <c r="X104" s="172">
        <f t="shared" ref="X104:AC104" si="105">M104</f>
        <v>19</v>
      </c>
      <c r="Y104" s="172">
        <f t="shared" si="105"/>
        <v>19</v>
      </c>
      <c r="Z104" s="172">
        <f t="shared" si="105"/>
        <v>0</v>
      </c>
      <c r="AA104" s="172">
        <f t="shared" si="105"/>
        <v>0</v>
      </c>
      <c r="AB104" s="172">
        <f t="shared" si="105"/>
        <v>0</v>
      </c>
      <c r="AC104" s="172">
        <f t="shared" si="105"/>
        <v>0</v>
      </c>
    </row>
    <row r="105">
      <c r="B105" s="12">
        <f>IFERROR(__xludf.DUMMYFUNCTION("""COMPUTED_VALUE"""),44970.0)</f>
        <v>44970</v>
      </c>
      <c r="C105" s="54">
        <f>IFERROR(__xludf.DUMMYFUNCTION("""COMPUTED_VALUE"""),9.0)</f>
        <v>9</v>
      </c>
      <c r="D105" s="7">
        <f>IFERROR(__xludf.DUMMYFUNCTION("""COMPUTED_VALUE"""),9.0)</f>
        <v>9</v>
      </c>
      <c r="E105" s="7">
        <f>IFERROR(__xludf.DUMMYFUNCTION("""COMPUTED_VALUE"""),0.0)</f>
        <v>0</v>
      </c>
      <c r="F105" s="7">
        <f>IFERROR(__xludf.DUMMYFUNCTION("""COMPUTED_VALUE"""),0.0)</f>
        <v>0</v>
      </c>
      <c r="G105" s="7">
        <f>IFERROR(__xludf.DUMMYFUNCTION("""COMPUTED_VALUE"""),0.0)</f>
        <v>0</v>
      </c>
      <c r="H105" s="7">
        <f>IFERROR(__xludf.DUMMYFUNCTION("""COMPUTED_VALUE"""),0.0)</f>
        <v>0</v>
      </c>
      <c r="I105" s="7">
        <f>IFERROR(__xludf.DUMMYFUNCTION("""COMPUTED_VALUE"""),0.0)</f>
        <v>0</v>
      </c>
      <c r="J105" s="54" t="b">
        <f>IFERROR(__xludf.DUMMYFUNCTION("""COMPUTED_VALUE"""),TRUE)</f>
        <v>1</v>
      </c>
      <c r="K105" s="80"/>
      <c r="L105" s="12">
        <f>IFERROR(__xludf.DUMMYFUNCTION("""COMPUTED_VALUE"""),44995.0)</f>
        <v>44995</v>
      </c>
      <c r="M105" s="172">
        <f>IFERROR(__xludf.DUMMYFUNCTION("""COMPUTED_VALUE"""),18.0)</f>
        <v>18</v>
      </c>
      <c r="N105" s="172">
        <f>IFERROR(__xludf.DUMMYFUNCTION("""COMPUTED_VALUE"""),18.0)</f>
        <v>18</v>
      </c>
      <c r="O105" s="172">
        <f>IFERROR(__xludf.DUMMYFUNCTION("""COMPUTED_VALUE"""),0.0)</f>
        <v>0</v>
      </c>
      <c r="P105" s="172">
        <f>IFERROR(__xludf.DUMMYFUNCTION("""COMPUTED_VALUE"""),0.0)</f>
        <v>0</v>
      </c>
      <c r="Q105" s="172">
        <f>IFERROR(__xludf.DUMMYFUNCTION("""COMPUTED_VALUE"""),0.0)</f>
        <v>0</v>
      </c>
      <c r="R105" s="172">
        <f>IFERROR(__xludf.DUMMYFUNCTION("""COMPUTED_VALUE"""),0.0)</f>
        <v>0</v>
      </c>
      <c r="S105" s="172">
        <f>IFERROR(__xludf.DUMMYFUNCTION("""COMPUTED_VALUE"""),0.0)</f>
        <v>0</v>
      </c>
      <c r="T105" s="172">
        <f>IFERROR(__xludf.DUMMYFUNCTION("""COMPUTED_VALUE"""),18.0)</f>
        <v>18</v>
      </c>
      <c r="U105" s="14"/>
      <c r="V105" s="80"/>
      <c r="W105" s="14">
        <f t="shared" si="39"/>
        <v>44995</v>
      </c>
      <c r="X105" s="172">
        <f t="shared" ref="X105:AC105" si="106">M105</f>
        <v>18</v>
      </c>
      <c r="Y105" s="172">
        <f t="shared" si="106"/>
        <v>18</v>
      </c>
      <c r="Z105" s="172">
        <f t="shared" si="106"/>
        <v>0</v>
      </c>
      <c r="AA105" s="172">
        <f t="shared" si="106"/>
        <v>0</v>
      </c>
      <c r="AB105" s="172">
        <f t="shared" si="106"/>
        <v>0</v>
      </c>
      <c r="AC105" s="172">
        <f t="shared" si="106"/>
        <v>0</v>
      </c>
    </row>
    <row r="106">
      <c r="B106" s="12">
        <f>IFERROR(__xludf.DUMMYFUNCTION("""COMPUTED_VALUE"""),44971.0)</f>
        <v>44971</v>
      </c>
      <c r="C106" s="54">
        <f>IFERROR(__xludf.DUMMYFUNCTION("""COMPUTED_VALUE"""),8.0)</f>
        <v>8</v>
      </c>
      <c r="D106" s="7">
        <f>IFERROR(__xludf.DUMMYFUNCTION("""COMPUTED_VALUE"""),8.0)</f>
        <v>8</v>
      </c>
      <c r="E106" s="7">
        <f>IFERROR(__xludf.DUMMYFUNCTION("""COMPUTED_VALUE"""),0.0)</f>
        <v>0</v>
      </c>
      <c r="F106" s="7">
        <f>IFERROR(__xludf.DUMMYFUNCTION("""COMPUTED_VALUE"""),0.0)</f>
        <v>0</v>
      </c>
      <c r="G106" s="7">
        <f>IFERROR(__xludf.DUMMYFUNCTION("""COMPUTED_VALUE"""),0.0)</f>
        <v>0</v>
      </c>
      <c r="H106" s="7">
        <f>IFERROR(__xludf.DUMMYFUNCTION("""COMPUTED_VALUE"""),0.0)</f>
        <v>0</v>
      </c>
      <c r="I106" s="7">
        <f>IFERROR(__xludf.DUMMYFUNCTION("""COMPUTED_VALUE"""),0.0)</f>
        <v>0</v>
      </c>
      <c r="J106" s="54" t="b">
        <f>IFERROR(__xludf.DUMMYFUNCTION("""COMPUTED_VALUE"""),TRUE)</f>
        <v>1</v>
      </c>
      <c r="K106" s="80"/>
      <c r="L106" s="12">
        <f>IFERROR(__xludf.DUMMYFUNCTION("""COMPUTED_VALUE"""),45007.0)</f>
        <v>45007</v>
      </c>
      <c r="M106" s="172">
        <f>IFERROR(__xludf.DUMMYFUNCTION("""COMPUTED_VALUE"""),18.0)</f>
        <v>18</v>
      </c>
      <c r="N106" s="172">
        <f>IFERROR(__xludf.DUMMYFUNCTION("""COMPUTED_VALUE"""),18.0)</f>
        <v>18</v>
      </c>
      <c r="O106" s="172">
        <f>IFERROR(__xludf.DUMMYFUNCTION("""COMPUTED_VALUE"""),0.0)</f>
        <v>0</v>
      </c>
      <c r="P106" s="172">
        <f>IFERROR(__xludf.DUMMYFUNCTION("""COMPUTED_VALUE"""),0.0)</f>
        <v>0</v>
      </c>
      <c r="Q106" s="172">
        <f>IFERROR(__xludf.DUMMYFUNCTION("""COMPUTED_VALUE"""),0.0)</f>
        <v>0</v>
      </c>
      <c r="R106" s="172">
        <f>IFERROR(__xludf.DUMMYFUNCTION("""COMPUTED_VALUE"""),0.0)</f>
        <v>0</v>
      </c>
      <c r="S106" s="172">
        <f>IFERROR(__xludf.DUMMYFUNCTION("""COMPUTED_VALUE"""),0.0)</f>
        <v>0</v>
      </c>
      <c r="T106" s="172">
        <f>IFERROR(__xludf.DUMMYFUNCTION("""COMPUTED_VALUE"""),18.0)</f>
        <v>18</v>
      </c>
      <c r="U106" s="14"/>
      <c r="V106" s="80"/>
      <c r="W106" s="14">
        <f t="shared" si="39"/>
        <v>45007</v>
      </c>
      <c r="X106" s="172">
        <f t="shared" ref="X106:AC106" si="107">M106</f>
        <v>18</v>
      </c>
      <c r="Y106" s="172">
        <f t="shared" si="107"/>
        <v>18</v>
      </c>
      <c r="Z106" s="172">
        <f t="shared" si="107"/>
        <v>0</v>
      </c>
      <c r="AA106" s="172">
        <f t="shared" si="107"/>
        <v>0</v>
      </c>
      <c r="AB106" s="172">
        <f t="shared" si="107"/>
        <v>0</v>
      </c>
      <c r="AC106" s="172">
        <f t="shared" si="107"/>
        <v>0</v>
      </c>
    </row>
    <row r="107">
      <c r="B107" s="12">
        <f>IFERROR(__xludf.DUMMYFUNCTION("""COMPUTED_VALUE"""),44972.0)</f>
        <v>44972</v>
      </c>
      <c r="C107" s="54">
        <f>IFERROR(__xludf.DUMMYFUNCTION("""COMPUTED_VALUE"""),7.0)</f>
        <v>7</v>
      </c>
      <c r="D107" s="7">
        <f>IFERROR(__xludf.DUMMYFUNCTION("""COMPUTED_VALUE"""),7.0)</f>
        <v>7</v>
      </c>
      <c r="E107" s="7">
        <f>IFERROR(__xludf.DUMMYFUNCTION("""COMPUTED_VALUE"""),0.0)</f>
        <v>0</v>
      </c>
      <c r="F107" s="7">
        <f>IFERROR(__xludf.DUMMYFUNCTION("""COMPUTED_VALUE"""),0.0)</f>
        <v>0</v>
      </c>
      <c r="G107" s="7">
        <f>IFERROR(__xludf.DUMMYFUNCTION("""COMPUTED_VALUE"""),0.0)</f>
        <v>0</v>
      </c>
      <c r="H107" s="7">
        <f>IFERROR(__xludf.DUMMYFUNCTION("""COMPUTED_VALUE"""),0.0)</f>
        <v>0</v>
      </c>
      <c r="I107" s="7">
        <f>IFERROR(__xludf.DUMMYFUNCTION("""COMPUTED_VALUE"""),0.0)</f>
        <v>0</v>
      </c>
      <c r="J107" s="54" t="b">
        <f>IFERROR(__xludf.DUMMYFUNCTION("""COMPUTED_VALUE"""),TRUE)</f>
        <v>1</v>
      </c>
      <c r="K107" s="80"/>
      <c r="L107" s="12">
        <f>IFERROR(__xludf.DUMMYFUNCTION("""COMPUTED_VALUE"""),45008.0)</f>
        <v>45008</v>
      </c>
      <c r="M107" s="172">
        <f>IFERROR(__xludf.DUMMYFUNCTION("""COMPUTED_VALUE"""),9.0)</f>
        <v>9</v>
      </c>
      <c r="N107" s="172">
        <f>IFERROR(__xludf.DUMMYFUNCTION("""COMPUTED_VALUE"""),9.0)</f>
        <v>9</v>
      </c>
      <c r="O107" s="172">
        <f>IFERROR(__xludf.DUMMYFUNCTION("""COMPUTED_VALUE"""),0.0)</f>
        <v>0</v>
      </c>
      <c r="P107" s="172">
        <f>IFERROR(__xludf.DUMMYFUNCTION("""COMPUTED_VALUE"""),0.0)</f>
        <v>0</v>
      </c>
      <c r="Q107" s="172">
        <f>IFERROR(__xludf.DUMMYFUNCTION("""COMPUTED_VALUE"""),0.0)</f>
        <v>0</v>
      </c>
      <c r="R107" s="172">
        <f>IFERROR(__xludf.DUMMYFUNCTION("""COMPUTED_VALUE"""),0.0)</f>
        <v>0</v>
      </c>
      <c r="S107" s="172">
        <f>IFERROR(__xludf.DUMMYFUNCTION("""COMPUTED_VALUE"""),0.0)</f>
        <v>0</v>
      </c>
      <c r="T107" s="172">
        <f>IFERROR(__xludf.DUMMYFUNCTION("""COMPUTED_VALUE"""),9.0)</f>
        <v>9</v>
      </c>
      <c r="U107" s="14"/>
      <c r="V107" s="80"/>
      <c r="W107" s="14">
        <f t="shared" si="39"/>
        <v>45008</v>
      </c>
      <c r="X107" s="172">
        <f t="shared" ref="X107:AC107" si="108">M107</f>
        <v>9</v>
      </c>
      <c r="Y107" s="172">
        <f t="shared" si="108"/>
        <v>9</v>
      </c>
      <c r="Z107" s="172">
        <f t="shared" si="108"/>
        <v>0</v>
      </c>
      <c r="AA107" s="172">
        <f t="shared" si="108"/>
        <v>0</v>
      </c>
      <c r="AB107" s="172">
        <f t="shared" si="108"/>
        <v>0</v>
      </c>
      <c r="AC107" s="172">
        <f t="shared" si="108"/>
        <v>0</v>
      </c>
    </row>
    <row r="108">
      <c r="B108" s="12">
        <f>IFERROR(__xludf.DUMMYFUNCTION("""COMPUTED_VALUE"""),44973.0)</f>
        <v>44973</v>
      </c>
      <c r="C108" s="54">
        <f>IFERROR(__xludf.DUMMYFUNCTION("""COMPUTED_VALUE"""),7.0)</f>
        <v>7</v>
      </c>
      <c r="D108" s="7">
        <f>IFERROR(__xludf.DUMMYFUNCTION("""COMPUTED_VALUE"""),7.0)</f>
        <v>7</v>
      </c>
      <c r="E108" s="7">
        <f>IFERROR(__xludf.DUMMYFUNCTION("""COMPUTED_VALUE"""),0.0)</f>
        <v>0</v>
      </c>
      <c r="F108" s="7">
        <f>IFERROR(__xludf.DUMMYFUNCTION("""COMPUTED_VALUE"""),0.0)</f>
        <v>0</v>
      </c>
      <c r="G108" s="7">
        <f>IFERROR(__xludf.DUMMYFUNCTION("""COMPUTED_VALUE"""),0.0)</f>
        <v>0</v>
      </c>
      <c r="H108" s="7">
        <f>IFERROR(__xludf.DUMMYFUNCTION("""COMPUTED_VALUE"""),0.0)</f>
        <v>0</v>
      </c>
      <c r="I108" s="7">
        <f>IFERROR(__xludf.DUMMYFUNCTION("""COMPUTED_VALUE"""),0.0)</f>
        <v>0</v>
      </c>
      <c r="J108" s="54" t="b">
        <f>IFERROR(__xludf.DUMMYFUNCTION("""COMPUTED_VALUE"""),TRUE)</f>
        <v>1</v>
      </c>
      <c r="K108" s="80"/>
      <c r="L108" s="12">
        <f>IFERROR(__xludf.DUMMYFUNCTION("""COMPUTED_VALUE"""),45012.0)</f>
        <v>45012</v>
      </c>
      <c r="M108" s="172">
        <f>IFERROR(__xludf.DUMMYFUNCTION("""COMPUTED_VALUE"""),15.0)</f>
        <v>15</v>
      </c>
      <c r="N108" s="172">
        <f>IFERROR(__xludf.DUMMYFUNCTION("""COMPUTED_VALUE"""),15.0)</f>
        <v>15</v>
      </c>
      <c r="O108" s="172">
        <f>IFERROR(__xludf.DUMMYFUNCTION("""COMPUTED_VALUE"""),0.0)</f>
        <v>0</v>
      </c>
      <c r="P108" s="172">
        <f>IFERROR(__xludf.DUMMYFUNCTION("""COMPUTED_VALUE"""),0.0)</f>
        <v>0</v>
      </c>
      <c r="Q108" s="172">
        <f>IFERROR(__xludf.DUMMYFUNCTION("""COMPUTED_VALUE"""),0.0)</f>
        <v>0</v>
      </c>
      <c r="R108" s="172">
        <f>IFERROR(__xludf.DUMMYFUNCTION("""COMPUTED_VALUE"""),0.0)</f>
        <v>0</v>
      </c>
      <c r="S108" s="172">
        <f>IFERROR(__xludf.DUMMYFUNCTION("""COMPUTED_VALUE"""),0.0)</f>
        <v>0</v>
      </c>
      <c r="T108" s="172">
        <f>IFERROR(__xludf.DUMMYFUNCTION("""COMPUTED_VALUE"""),15.0)</f>
        <v>15</v>
      </c>
      <c r="U108" s="14"/>
      <c r="V108" s="80"/>
      <c r="W108" s="14">
        <f t="shared" si="39"/>
        <v>45012</v>
      </c>
      <c r="X108" s="172">
        <f t="shared" ref="X108:AC108" si="109">M108</f>
        <v>15</v>
      </c>
      <c r="Y108" s="172">
        <f t="shared" si="109"/>
        <v>15</v>
      </c>
      <c r="Z108" s="172">
        <f t="shared" si="109"/>
        <v>0</v>
      </c>
      <c r="AA108" s="172">
        <f t="shared" si="109"/>
        <v>0</v>
      </c>
      <c r="AB108" s="172">
        <f t="shared" si="109"/>
        <v>0</v>
      </c>
      <c r="AC108" s="172">
        <f t="shared" si="109"/>
        <v>0</v>
      </c>
    </row>
    <row r="109">
      <c r="B109" s="12">
        <f>IFERROR(__xludf.DUMMYFUNCTION("""COMPUTED_VALUE"""),44974.0)</f>
        <v>44974</v>
      </c>
      <c r="C109" s="54">
        <f>IFERROR(__xludf.DUMMYFUNCTION("""COMPUTED_VALUE"""),8.0)</f>
        <v>8</v>
      </c>
      <c r="D109" s="7">
        <f>IFERROR(__xludf.DUMMYFUNCTION("""COMPUTED_VALUE"""),8.0)</f>
        <v>8</v>
      </c>
      <c r="E109" s="7">
        <f>IFERROR(__xludf.DUMMYFUNCTION("""COMPUTED_VALUE"""),0.0)</f>
        <v>0</v>
      </c>
      <c r="F109" s="7">
        <f>IFERROR(__xludf.DUMMYFUNCTION("""COMPUTED_VALUE"""),0.0)</f>
        <v>0</v>
      </c>
      <c r="G109" s="7">
        <f>IFERROR(__xludf.DUMMYFUNCTION("""COMPUTED_VALUE"""),0.0)</f>
        <v>0</v>
      </c>
      <c r="H109" s="7">
        <f>IFERROR(__xludf.DUMMYFUNCTION("""COMPUTED_VALUE"""),0.0)</f>
        <v>0</v>
      </c>
      <c r="I109" s="7">
        <f>IFERROR(__xludf.DUMMYFUNCTION("""COMPUTED_VALUE"""),0.0)</f>
        <v>0</v>
      </c>
      <c r="J109" s="54" t="b">
        <f>IFERROR(__xludf.DUMMYFUNCTION("""COMPUTED_VALUE"""),TRUE)</f>
        <v>1</v>
      </c>
      <c r="K109" s="80"/>
      <c r="L109" s="12">
        <f>IFERROR(__xludf.DUMMYFUNCTION("""COMPUTED_VALUE"""),45013.0)</f>
        <v>45013</v>
      </c>
      <c r="M109" s="172">
        <f>IFERROR(__xludf.DUMMYFUNCTION("""COMPUTED_VALUE"""),8.0)</f>
        <v>8</v>
      </c>
      <c r="N109" s="172">
        <f>IFERROR(__xludf.DUMMYFUNCTION("""COMPUTED_VALUE"""),8.0)</f>
        <v>8</v>
      </c>
      <c r="O109" s="172">
        <f>IFERROR(__xludf.DUMMYFUNCTION("""COMPUTED_VALUE"""),0.0)</f>
        <v>0</v>
      </c>
      <c r="P109" s="172">
        <f>IFERROR(__xludf.DUMMYFUNCTION("""COMPUTED_VALUE"""),0.0)</f>
        <v>0</v>
      </c>
      <c r="Q109" s="172">
        <f>IFERROR(__xludf.DUMMYFUNCTION("""COMPUTED_VALUE"""),0.0)</f>
        <v>0</v>
      </c>
      <c r="R109" s="172">
        <f>IFERROR(__xludf.DUMMYFUNCTION("""COMPUTED_VALUE"""),0.0)</f>
        <v>0</v>
      </c>
      <c r="S109" s="172">
        <f>IFERROR(__xludf.DUMMYFUNCTION("""COMPUTED_VALUE"""),0.0)</f>
        <v>0</v>
      </c>
      <c r="T109" s="172">
        <f>IFERROR(__xludf.DUMMYFUNCTION("""COMPUTED_VALUE"""),8.0)</f>
        <v>8</v>
      </c>
      <c r="U109" s="14"/>
      <c r="V109" s="80"/>
      <c r="W109" s="14">
        <f t="shared" si="39"/>
        <v>45013</v>
      </c>
      <c r="X109" s="172">
        <f t="shared" ref="X109:AC109" si="110">M109</f>
        <v>8</v>
      </c>
      <c r="Y109" s="172">
        <f t="shared" si="110"/>
        <v>8</v>
      </c>
      <c r="Z109" s="172">
        <f t="shared" si="110"/>
        <v>0</v>
      </c>
      <c r="AA109" s="172">
        <f t="shared" si="110"/>
        <v>0</v>
      </c>
      <c r="AB109" s="172">
        <f t="shared" si="110"/>
        <v>0</v>
      </c>
      <c r="AC109" s="172">
        <f t="shared" si="110"/>
        <v>0</v>
      </c>
    </row>
    <row r="110">
      <c r="B110" s="12">
        <f>IFERROR(__xludf.DUMMYFUNCTION("""COMPUTED_VALUE"""),44977.0)</f>
        <v>44977</v>
      </c>
      <c r="C110" s="54">
        <f>IFERROR(__xludf.DUMMYFUNCTION("""COMPUTED_VALUE"""),9.0)</f>
        <v>9</v>
      </c>
      <c r="D110" s="7">
        <f>IFERROR(__xludf.DUMMYFUNCTION("""COMPUTED_VALUE"""),9.0)</f>
        <v>9</v>
      </c>
      <c r="E110" s="7">
        <f>IFERROR(__xludf.DUMMYFUNCTION("""COMPUTED_VALUE"""),0.0)</f>
        <v>0</v>
      </c>
      <c r="F110" s="7">
        <f>IFERROR(__xludf.DUMMYFUNCTION("""COMPUTED_VALUE"""),0.0)</f>
        <v>0</v>
      </c>
      <c r="G110" s="7">
        <f>IFERROR(__xludf.DUMMYFUNCTION("""COMPUTED_VALUE"""),0.0)</f>
        <v>0</v>
      </c>
      <c r="H110" s="7">
        <f>IFERROR(__xludf.DUMMYFUNCTION("""COMPUTED_VALUE"""),0.0)</f>
        <v>0</v>
      </c>
      <c r="I110" s="7">
        <f>IFERROR(__xludf.DUMMYFUNCTION("""COMPUTED_VALUE"""),0.0)</f>
        <v>0</v>
      </c>
      <c r="J110" s="54" t="b">
        <f>IFERROR(__xludf.DUMMYFUNCTION("""COMPUTED_VALUE"""),TRUE)</f>
        <v>1</v>
      </c>
      <c r="K110" s="80"/>
      <c r="L110" s="12">
        <f>IFERROR(__xludf.DUMMYFUNCTION("""COMPUTED_VALUE"""),45015.0)</f>
        <v>45015</v>
      </c>
      <c r="M110" s="172">
        <f>IFERROR(__xludf.DUMMYFUNCTION("""COMPUTED_VALUE"""),20.0)</f>
        <v>20</v>
      </c>
      <c r="N110" s="172">
        <f>IFERROR(__xludf.DUMMYFUNCTION("""COMPUTED_VALUE"""),19.0)</f>
        <v>19</v>
      </c>
      <c r="O110" s="172">
        <f>IFERROR(__xludf.DUMMYFUNCTION("""COMPUTED_VALUE"""),1.0)</f>
        <v>1</v>
      </c>
      <c r="P110" s="172">
        <f>IFERROR(__xludf.DUMMYFUNCTION("""COMPUTED_VALUE"""),0.0)</f>
        <v>0</v>
      </c>
      <c r="Q110" s="172">
        <f>IFERROR(__xludf.DUMMYFUNCTION("""COMPUTED_VALUE"""),0.0)</f>
        <v>0</v>
      </c>
      <c r="R110" s="172">
        <f>IFERROR(__xludf.DUMMYFUNCTION("""COMPUTED_VALUE"""),0.0)</f>
        <v>0</v>
      </c>
      <c r="S110" s="172">
        <f>IFERROR(__xludf.DUMMYFUNCTION("""COMPUTED_VALUE"""),0.0)</f>
        <v>0</v>
      </c>
      <c r="T110" s="172">
        <f>IFERROR(__xludf.DUMMYFUNCTION("""COMPUTED_VALUE"""),20.0)</f>
        <v>20</v>
      </c>
      <c r="U110" s="14"/>
      <c r="V110" s="80"/>
      <c r="W110" s="14">
        <f t="shared" si="39"/>
        <v>45015</v>
      </c>
      <c r="X110" s="172">
        <f t="shared" ref="X110:AC110" si="111">M110</f>
        <v>20</v>
      </c>
      <c r="Y110" s="172">
        <f t="shared" si="111"/>
        <v>19</v>
      </c>
      <c r="Z110" s="172">
        <f t="shared" si="111"/>
        <v>1</v>
      </c>
      <c r="AA110" s="172">
        <f t="shared" si="111"/>
        <v>0</v>
      </c>
      <c r="AB110" s="172">
        <f t="shared" si="111"/>
        <v>0</v>
      </c>
      <c r="AC110" s="172">
        <f t="shared" si="111"/>
        <v>0</v>
      </c>
    </row>
    <row r="111">
      <c r="B111" s="12">
        <f>IFERROR(__xludf.DUMMYFUNCTION("""COMPUTED_VALUE"""),44978.0)</f>
        <v>44978</v>
      </c>
      <c r="C111" s="54">
        <f>IFERROR(__xludf.DUMMYFUNCTION("""COMPUTED_VALUE"""),7.0)</f>
        <v>7</v>
      </c>
      <c r="D111" s="7">
        <f>IFERROR(__xludf.DUMMYFUNCTION("""COMPUTED_VALUE"""),7.0)</f>
        <v>7</v>
      </c>
      <c r="E111" s="7">
        <f>IFERROR(__xludf.DUMMYFUNCTION("""COMPUTED_VALUE"""),0.0)</f>
        <v>0</v>
      </c>
      <c r="F111" s="7">
        <f>IFERROR(__xludf.DUMMYFUNCTION("""COMPUTED_VALUE"""),0.0)</f>
        <v>0</v>
      </c>
      <c r="G111" s="7">
        <f>IFERROR(__xludf.DUMMYFUNCTION("""COMPUTED_VALUE"""),0.0)</f>
        <v>0</v>
      </c>
      <c r="H111" s="7">
        <f>IFERROR(__xludf.DUMMYFUNCTION("""COMPUTED_VALUE"""),0.0)</f>
        <v>0</v>
      </c>
      <c r="I111" s="7">
        <f>IFERROR(__xludf.DUMMYFUNCTION("""COMPUTED_VALUE"""),0.0)</f>
        <v>0</v>
      </c>
      <c r="J111" s="54"/>
      <c r="K111" s="80"/>
      <c r="L111" s="12">
        <f>IFERROR(__xludf.DUMMYFUNCTION("""COMPUTED_VALUE"""),45016.0)</f>
        <v>45016</v>
      </c>
      <c r="M111" s="172">
        <f>IFERROR(__xludf.DUMMYFUNCTION("""COMPUTED_VALUE"""),2.0)</f>
        <v>2</v>
      </c>
      <c r="N111" s="172">
        <f>IFERROR(__xludf.DUMMYFUNCTION("""COMPUTED_VALUE"""),2.0)</f>
        <v>2</v>
      </c>
      <c r="O111" s="172">
        <f>IFERROR(__xludf.DUMMYFUNCTION("""COMPUTED_VALUE"""),0.0)</f>
        <v>0</v>
      </c>
      <c r="P111" s="172">
        <f>IFERROR(__xludf.DUMMYFUNCTION("""COMPUTED_VALUE"""),0.0)</f>
        <v>0</v>
      </c>
      <c r="Q111" s="172">
        <f>IFERROR(__xludf.DUMMYFUNCTION("""COMPUTED_VALUE"""),0.0)</f>
        <v>0</v>
      </c>
      <c r="R111" s="172">
        <f>IFERROR(__xludf.DUMMYFUNCTION("""COMPUTED_VALUE"""),0.0)</f>
        <v>0</v>
      </c>
      <c r="S111" s="172">
        <f>IFERROR(__xludf.DUMMYFUNCTION("""COMPUTED_VALUE"""),0.0)</f>
        <v>0</v>
      </c>
      <c r="T111" s="172">
        <f>IFERROR(__xludf.DUMMYFUNCTION("""COMPUTED_VALUE"""),2.0)</f>
        <v>2</v>
      </c>
      <c r="U111" s="14"/>
      <c r="V111" s="80"/>
      <c r="W111" s="14">
        <f t="shared" si="39"/>
        <v>45016</v>
      </c>
      <c r="X111" s="172">
        <f t="shared" ref="X111:AC111" si="112">M111</f>
        <v>2</v>
      </c>
      <c r="Y111" s="172">
        <f t="shared" si="112"/>
        <v>2</v>
      </c>
      <c r="Z111" s="172">
        <f t="shared" si="112"/>
        <v>0</v>
      </c>
      <c r="AA111" s="172">
        <f t="shared" si="112"/>
        <v>0</v>
      </c>
      <c r="AB111" s="172">
        <f t="shared" si="112"/>
        <v>0</v>
      </c>
      <c r="AC111" s="172">
        <f t="shared" si="112"/>
        <v>0</v>
      </c>
    </row>
    <row r="112">
      <c r="B112" s="12">
        <f>IFERROR(__xludf.DUMMYFUNCTION("""COMPUTED_VALUE"""),44979.0)</f>
        <v>44979</v>
      </c>
      <c r="C112" s="54">
        <f>IFERROR(__xludf.DUMMYFUNCTION("""COMPUTED_VALUE"""),8.0)</f>
        <v>8</v>
      </c>
      <c r="D112" s="7">
        <f>IFERROR(__xludf.DUMMYFUNCTION("""COMPUTED_VALUE"""),8.0)</f>
        <v>8</v>
      </c>
      <c r="E112" s="7">
        <f>IFERROR(__xludf.DUMMYFUNCTION("""COMPUTED_VALUE"""),0.0)</f>
        <v>0</v>
      </c>
      <c r="F112" s="7">
        <f>IFERROR(__xludf.DUMMYFUNCTION("""COMPUTED_VALUE"""),0.0)</f>
        <v>0</v>
      </c>
      <c r="G112" s="7">
        <f>IFERROR(__xludf.DUMMYFUNCTION("""COMPUTED_VALUE"""),0.0)</f>
        <v>0</v>
      </c>
      <c r="H112" s="7">
        <f>IFERROR(__xludf.DUMMYFUNCTION("""COMPUTED_VALUE"""),0.0)</f>
        <v>0</v>
      </c>
      <c r="I112" s="7">
        <f>IFERROR(__xludf.DUMMYFUNCTION("""COMPUTED_VALUE"""),0.0)</f>
        <v>0</v>
      </c>
      <c r="J112" s="54" t="b">
        <f>IFERROR(__xludf.DUMMYFUNCTION("""COMPUTED_VALUE"""),TRUE)</f>
        <v>1</v>
      </c>
      <c r="K112" s="80"/>
      <c r="L112" s="12">
        <f>IFERROR(__xludf.DUMMYFUNCTION("""COMPUTED_VALUE"""),45019.0)</f>
        <v>45019</v>
      </c>
      <c r="M112" s="172">
        <f>IFERROR(__xludf.DUMMYFUNCTION("""COMPUTED_VALUE"""),7.0)</f>
        <v>7</v>
      </c>
      <c r="N112" s="172">
        <f>IFERROR(__xludf.DUMMYFUNCTION("""COMPUTED_VALUE"""),7.0)</f>
        <v>7</v>
      </c>
      <c r="O112" s="172">
        <f>IFERROR(__xludf.DUMMYFUNCTION("""COMPUTED_VALUE"""),0.0)</f>
        <v>0</v>
      </c>
      <c r="P112" s="172">
        <f>IFERROR(__xludf.DUMMYFUNCTION("""COMPUTED_VALUE"""),0.0)</f>
        <v>0</v>
      </c>
      <c r="Q112" s="172">
        <f>IFERROR(__xludf.DUMMYFUNCTION("""COMPUTED_VALUE"""),0.0)</f>
        <v>0</v>
      </c>
      <c r="R112" s="172">
        <f>IFERROR(__xludf.DUMMYFUNCTION("""COMPUTED_VALUE"""),0.0)</f>
        <v>0</v>
      </c>
      <c r="S112" s="172">
        <f>IFERROR(__xludf.DUMMYFUNCTION("""COMPUTED_VALUE"""),0.0)</f>
        <v>0</v>
      </c>
      <c r="T112" s="172">
        <f>IFERROR(__xludf.DUMMYFUNCTION("""COMPUTED_VALUE"""),7.0)</f>
        <v>7</v>
      </c>
      <c r="U112" s="14"/>
      <c r="V112" s="80"/>
      <c r="W112" s="14">
        <f t="shared" si="39"/>
        <v>45019</v>
      </c>
      <c r="X112" s="172">
        <f t="shared" ref="X112:AC112" si="113">M112</f>
        <v>7</v>
      </c>
      <c r="Y112" s="172">
        <f t="shared" si="113"/>
        <v>7</v>
      </c>
      <c r="Z112" s="172">
        <f t="shared" si="113"/>
        <v>0</v>
      </c>
      <c r="AA112" s="172">
        <f t="shared" si="113"/>
        <v>0</v>
      </c>
      <c r="AB112" s="172">
        <f t="shared" si="113"/>
        <v>0</v>
      </c>
      <c r="AC112" s="172">
        <f t="shared" si="113"/>
        <v>0</v>
      </c>
    </row>
    <row r="113">
      <c r="B113" s="12">
        <f>IFERROR(__xludf.DUMMYFUNCTION("""COMPUTED_VALUE"""),44980.0)</f>
        <v>44980</v>
      </c>
      <c r="C113" s="54">
        <f>IFERROR(__xludf.DUMMYFUNCTION("""COMPUTED_VALUE"""),9.0)</f>
        <v>9</v>
      </c>
      <c r="D113" s="7">
        <f>IFERROR(__xludf.DUMMYFUNCTION("""COMPUTED_VALUE"""),9.0)</f>
        <v>9</v>
      </c>
      <c r="E113" s="7">
        <f>IFERROR(__xludf.DUMMYFUNCTION("""COMPUTED_VALUE"""),0.0)</f>
        <v>0</v>
      </c>
      <c r="F113" s="7">
        <f>IFERROR(__xludf.DUMMYFUNCTION("""COMPUTED_VALUE"""),0.0)</f>
        <v>0</v>
      </c>
      <c r="G113" s="7">
        <f>IFERROR(__xludf.DUMMYFUNCTION("""COMPUTED_VALUE"""),0.0)</f>
        <v>0</v>
      </c>
      <c r="H113" s="7">
        <f>IFERROR(__xludf.DUMMYFUNCTION("""COMPUTED_VALUE"""),0.0)</f>
        <v>0</v>
      </c>
      <c r="I113" s="7">
        <f>IFERROR(__xludf.DUMMYFUNCTION("""COMPUTED_VALUE"""),0.0)</f>
        <v>0</v>
      </c>
      <c r="J113" s="54" t="b">
        <f>IFERROR(__xludf.DUMMYFUNCTION("""COMPUTED_VALUE"""),TRUE)</f>
        <v>1</v>
      </c>
      <c r="K113" s="80"/>
      <c r="L113" s="12">
        <f>IFERROR(__xludf.DUMMYFUNCTION("""COMPUTED_VALUE"""),45020.0)</f>
        <v>45020</v>
      </c>
      <c r="M113" s="172">
        <f>IFERROR(__xludf.DUMMYFUNCTION("""COMPUTED_VALUE"""),6.0)</f>
        <v>6</v>
      </c>
      <c r="N113" s="172">
        <f>IFERROR(__xludf.DUMMYFUNCTION("""COMPUTED_VALUE"""),6.0)</f>
        <v>6</v>
      </c>
      <c r="O113" s="172">
        <f>IFERROR(__xludf.DUMMYFUNCTION("""COMPUTED_VALUE"""),0.0)</f>
        <v>0</v>
      </c>
      <c r="P113" s="172">
        <f>IFERROR(__xludf.DUMMYFUNCTION("""COMPUTED_VALUE"""),0.0)</f>
        <v>0</v>
      </c>
      <c r="Q113" s="172">
        <f>IFERROR(__xludf.DUMMYFUNCTION("""COMPUTED_VALUE"""),0.0)</f>
        <v>0</v>
      </c>
      <c r="R113" s="172">
        <f>IFERROR(__xludf.DUMMYFUNCTION("""COMPUTED_VALUE"""),0.0)</f>
        <v>0</v>
      </c>
      <c r="S113" s="172">
        <f>IFERROR(__xludf.DUMMYFUNCTION("""COMPUTED_VALUE"""),0.0)</f>
        <v>0</v>
      </c>
      <c r="T113" s="172">
        <f>IFERROR(__xludf.DUMMYFUNCTION("""COMPUTED_VALUE"""),6.0)</f>
        <v>6</v>
      </c>
      <c r="U113" s="14"/>
      <c r="V113" s="80"/>
      <c r="W113" s="14">
        <f t="shared" si="39"/>
        <v>45020</v>
      </c>
      <c r="X113" s="172">
        <f t="shared" ref="X113:AC113" si="114">M113</f>
        <v>6</v>
      </c>
      <c r="Y113" s="172">
        <f t="shared" si="114"/>
        <v>6</v>
      </c>
      <c r="Z113" s="172">
        <f t="shared" si="114"/>
        <v>0</v>
      </c>
      <c r="AA113" s="172">
        <f t="shared" si="114"/>
        <v>0</v>
      </c>
      <c r="AB113" s="172">
        <f t="shared" si="114"/>
        <v>0</v>
      </c>
      <c r="AC113" s="172">
        <f t="shared" si="114"/>
        <v>0</v>
      </c>
    </row>
    <row r="114">
      <c r="B114" s="12">
        <f>IFERROR(__xludf.DUMMYFUNCTION("""COMPUTED_VALUE"""),44981.0)</f>
        <v>44981</v>
      </c>
      <c r="C114" s="54">
        <f>IFERROR(__xludf.DUMMYFUNCTION("""COMPUTED_VALUE"""),7.0)</f>
        <v>7</v>
      </c>
      <c r="D114" s="7">
        <f>IFERROR(__xludf.DUMMYFUNCTION("""COMPUTED_VALUE"""),7.0)</f>
        <v>7</v>
      </c>
      <c r="E114" s="7">
        <f>IFERROR(__xludf.DUMMYFUNCTION("""COMPUTED_VALUE"""),0.0)</f>
        <v>0</v>
      </c>
      <c r="F114" s="7">
        <f>IFERROR(__xludf.DUMMYFUNCTION("""COMPUTED_VALUE"""),0.0)</f>
        <v>0</v>
      </c>
      <c r="G114" s="7">
        <f>IFERROR(__xludf.DUMMYFUNCTION("""COMPUTED_VALUE"""),0.0)</f>
        <v>0</v>
      </c>
      <c r="H114" s="7">
        <f>IFERROR(__xludf.DUMMYFUNCTION("""COMPUTED_VALUE"""),0.0)</f>
        <v>0</v>
      </c>
      <c r="I114" s="7">
        <f>IFERROR(__xludf.DUMMYFUNCTION("""COMPUTED_VALUE"""),0.0)</f>
        <v>0</v>
      </c>
      <c r="J114" s="54" t="b">
        <f>IFERROR(__xludf.DUMMYFUNCTION("""COMPUTED_VALUE"""),TRUE)</f>
        <v>1</v>
      </c>
      <c r="K114" s="80"/>
      <c r="L114" s="12">
        <f>IFERROR(__xludf.DUMMYFUNCTION("""COMPUTED_VALUE"""),45022.0)</f>
        <v>45022</v>
      </c>
      <c r="M114" s="172">
        <f>IFERROR(__xludf.DUMMYFUNCTION("""COMPUTED_VALUE"""),9.0)</f>
        <v>9</v>
      </c>
      <c r="N114" s="172">
        <f>IFERROR(__xludf.DUMMYFUNCTION("""COMPUTED_VALUE"""),9.0)</f>
        <v>9</v>
      </c>
      <c r="O114" s="172">
        <f>IFERROR(__xludf.DUMMYFUNCTION("""COMPUTED_VALUE"""),0.0)</f>
        <v>0</v>
      </c>
      <c r="P114" s="172">
        <f>IFERROR(__xludf.DUMMYFUNCTION("""COMPUTED_VALUE"""),0.0)</f>
        <v>0</v>
      </c>
      <c r="Q114" s="172">
        <f>IFERROR(__xludf.DUMMYFUNCTION("""COMPUTED_VALUE"""),0.0)</f>
        <v>0</v>
      </c>
      <c r="R114" s="172">
        <f>IFERROR(__xludf.DUMMYFUNCTION("""COMPUTED_VALUE"""),0.0)</f>
        <v>0</v>
      </c>
      <c r="S114" s="172">
        <f>IFERROR(__xludf.DUMMYFUNCTION("""COMPUTED_VALUE"""),0.0)</f>
        <v>0</v>
      </c>
      <c r="T114" s="172">
        <f>IFERROR(__xludf.DUMMYFUNCTION("""COMPUTED_VALUE"""),9.0)</f>
        <v>9</v>
      </c>
      <c r="U114" s="14"/>
      <c r="V114" s="80"/>
      <c r="W114" s="14">
        <f t="shared" si="39"/>
        <v>45022</v>
      </c>
      <c r="X114" s="172">
        <f t="shared" ref="X114:AC114" si="115">M114</f>
        <v>9</v>
      </c>
      <c r="Y114" s="172">
        <f t="shared" si="115"/>
        <v>9</v>
      </c>
      <c r="Z114" s="172">
        <f t="shared" si="115"/>
        <v>0</v>
      </c>
      <c r="AA114" s="172">
        <f t="shared" si="115"/>
        <v>0</v>
      </c>
      <c r="AB114" s="172">
        <f t="shared" si="115"/>
        <v>0</v>
      </c>
      <c r="AC114" s="172">
        <f t="shared" si="115"/>
        <v>0</v>
      </c>
    </row>
    <row r="115">
      <c r="B115" s="12">
        <f>IFERROR(__xludf.DUMMYFUNCTION("""COMPUTED_VALUE"""),44984.0)</f>
        <v>44984</v>
      </c>
      <c r="C115" s="54">
        <f>IFERROR(__xludf.DUMMYFUNCTION("""COMPUTED_VALUE"""),10.0)</f>
        <v>10</v>
      </c>
      <c r="D115" s="7">
        <f>IFERROR(__xludf.DUMMYFUNCTION("""COMPUTED_VALUE"""),10.0)</f>
        <v>10</v>
      </c>
      <c r="E115" s="7">
        <f>IFERROR(__xludf.DUMMYFUNCTION("""COMPUTED_VALUE"""),0.0)</f>
        <v>0</v>
      </c>
      <c r="F115" s="7">
        <f>IFERROR(__xludf.DUMMYFUNCTION("""COMPUTED_VALUE"""),0.0)</f>
        <v>0</v>
      </c>
      <c r="G115" s="7">
        <f>IFERROR(__xludf.DUMMYFUNCTION("""COMPUTED_VALUE"""),0.0)</f>
        <v>0</v>
      </c>
      <c r="H115" s="7">
        <f>IFERROR(__xludf.DUMMYFUNCTION("""COMPUTED_VALUE"""),0.0)</f>
        <v>0</v>
      </c>
      <c r="I115" s="7">
        <f>IFERROR(__xludf.DUMMYFUNCTION("""COMPUTED_VALUE"""),0.0)</f>
        <v>0</v>
      </c>
      <c r="J115" s="54" t="b">
        <f>IFERROR(__xludf.DUMMYFUNCTION("""COMPUTED_VALUE"""),TRUE)</f>
        <v>1</v>
      </c>
      <c r="K115" s="80"/>
      <c r="L115" s="12">
        <f>IFERROR(__xludf.DUMMYFUNCTION("""COMPUTED_VALUE"""),45023.0)</f>
        <v>45023</v>
      </c>
      <c r="M115" s="172">
        <f>IFERROR(__xludf.DUMMYFUNCTION("""COMPUTED_VALUE"""),5.0)</f>
        <v>5</v>
      </c>
      <c r="N115" s="172">
        <f>IFERROR(__xludf.DUMMYFUNCTION("""COMPUTED_VALUE"""),5.0)</f>
        <v>5</v>
      </c>
      <c r="O115" s="172">
        <f>IFERROR(__xludf.DUMMYFUNCTION("""COMPUTED_VALUE"""),0.0)</f>
        <v>0</v>
      </c>
      <c r="P115" s="172">
        <f>IFERROR(__xludf.DUMMYFUNCTION("""COMPUTED_VALUE"""),0.0)</f>
        <v>0</v>
      </c>
      <c r="Q115" s="172">
        <f>IFERROR(__xludf.DUMMYFUNCTION("""COMPUTED_VALUE"""),0.0)</f>
        <v>0</v>
      </c>
      <c r="R115" s="172">
        <f>IFERROR(__xludf.DUMMYFUNCTION("""COMPUTED_VALUE"""),0.0)</f>
        <v>0</v>
      </c>
      <c r="S115" s="172">
        <f>IFERROR(__xludf.DUMMYFUNCTION("""COMPUTED_VALUE"""),0.0)</f>
        <v>0</v>
      </c>
      <c r="T115" s="172">
        <f>IFERROR(__xludf.DUMMYFUNCTION("""COMPUTED_VALUE"""),5.0)</f>
        <v>5</v>
      </c>
      <c r="U115" s="14"/>
      <c r="V115" s="80"/>
      <c r="W115" s="14">
        <f t="shared" si="39"/>
        <v>45023</v>
      </c>
      <c r="X115" s="172">
        <f t="shared" ref="X115:AC115" si="116">M115</f>
        <v>5</v>
      </c>
      <c r="Y115" s="172">
        <f t="shared" si="116"/>
        <v>5</v>
      </c>
      <c r="Z115" s="172">
        <f t="shared" si="116"/>
        <v>0</v>
      </c>
      <c r="AA115" s="172">
        <f t="shared" si="116"/>
        <v>0</v>
      </c>
      <c r="AB115" s="172">
        <f t="shared" si="116"/>
        <v>0</v>
      </c>
      <c r="AC115" s="172">
        <f t="shared" si="116"/>
        <v>0</v>
      </c>
    </row>
    <row r="116">
      <c r="B116" s="12">
        <f>IFERROR(__xludf.DUMMYFUNCTION("""COMPUTED_VALUE"""),44985.0)</f>
        <v>44985</v>
      </c>
      <c r="C116" s="54">
        <f>IFERROR(__xludf.DUMMYFUNCTION("""COMPUTED_VALUE"""),7.0)</f>
        <v>7</v>
      </c>
      <c r="D116" s="7">
        <f>IFERROR(__xludf.DUMMYFUNCTION("""COMPUTED_VALUE"""),7.0)</f>
        <v>7</v>
      </c>
      <c r="E116" s="7">
        <f>IFERROR(__xludf.DUMMYFUNCTION("""COMPUTED_VALUE"""),0.0)</f>
        <v>0</v>
      </c>
      <c r="F116" s="7">
        <f>IFERROR(__xludf.DUMMYFUNCTION("""COMPUTED_VALUE"""),0.0)</f>
        <v>0</v>
      </c>
      <c r="G116" s="7">
        <f>IFERROR(__xludf.DUMMYFUNCTION("""COMPUTED_VALUE"""),0.0)</f>
        <v>0</v>
      </c>
      <c r="H116" s="7">
        <f>IFERROR(__xludf.DUMMYFUNCTION("""COMPUTED_VALUE"""),0.0)</f>
        <v>0</v>
      </c>
      <c r="I116" s="7">
        <f>IFERROR(__xludf.DUMMYFUNCTION("""COMPUTED_VALUE"""),0.0)</f>
        <v>0</v>
      </c>
      <c r="J116" s="54" t="b">
        <f>IFERROR(__xludf.DUMMYFUNCTION("""COMPUTED_VALUE"""),TRUE)</f>
        <v>1</v>
      </c>
      <c r="K116" s="80"/>
      <c r="L116" s="12">
        <f>IFERROR(__xludf.DUMMYFUNCTION("""COMPUTED_VALUE"""),45026.0)</f>
        <v>45026</v>
      </c>
      <c r="M116" s="172">
        <f>IFERROR(__xludf.DUMMYFUNCTION("""COMPUTED_VALUE"""),9.0)</f>
        <v>9</v>
      </c>
      <c r="N116" s="172">
        <f>IFERROR(__xludf.DUMMYFUNCTION("""COMPUTED_VALUE"""),9.0)</f>
        <v>9</v>
      </c>
      <c r="O116" s="172">
        <f>IFERROR(__xludf.DUMMYFUNCTION("""COMPUTED_VALUE"""),0.0)</f>
        <v>0</v>
      </c>
      <c r="P116" s="172">
        <f>IFERROR(__xludf.DUMMYFUNCTION("""COMPUTED_VALUE"""),0.0)</f>
        <v>0</v>
      </c>
      <c r="Q116" s="172">
        <f>IFERROR(__xludf.DUMMYFUNCTION("""COMPUTED_VALUE"""),0.0)</f>
        <v>0</v>
      </c>
      <c r="R116" s="172">
        <f>IFERROR(__xludf.DUMMYFUNCTION("""COMPUTED_VALUE"""),0.0)</f>
        <v>0</v>
      </c>
      <c r="S116" s="172">
        <f>IFERROR(__xludf.DUMMYFUNCTION("""COMPUTED_VALUE"""),0.0)</f>
        <v>0</v>
      </c>
      <c r="T116" s="172">
        <f>IFERROR(__xludf.DUMMYFUNCTION("""COMPUTED_VALUE"""),9.0)</f>
        <v>9</v>
      </c>
      <c r="U116" s="14"/>
      <c r="V116" s="80"/>
      <c r="W116" s="14">
        <f t="shared" si="39"/>
        <v>45026</v>
      </c>
      <c r="X116" s="172">
        <f t="shared" ref="X116:AC116" si="117">M116</f>
        <v>9</v>
      </c>
      <c r="Y116" s="172">
        <f t="shared" si="117"/>
        <v>9</v>
      </c>
      <c r="Z116" s="172">
        <f t="shared" si="117"/>
        <v>0</v>
      </c>
      <c r="AA116" s="172">
        <f t="shared" si="117"/>
        <v>0</v>
      </c>
      <c r="AB116" s="172">
        <f t="shared" si="117"/>
        <v>0</v>
      </c>
      <c r="AC116" s="172">
        <f t="shared" si="117"/>
        <v>0</v>
      </c>
    </row>
    <row r="117">
      <c r="B117" s="12">
        <f>IFERROR(__xludf.DUMMYFUNCTION("""COMPUTED_VALUE"""),44986.0)</f>
        <v>44986</v>
      </c>
      <c r="C117" s="54">
        <f>IFERROR(__xludf.DUMMYFUNCTION("""COMPUTED_VALUE"""),9.0)</f>
        <v>9</v>
      </c>
      <c r="D117" s="7">
        <f>IFERROR(__xludf.DUMMYFUNCTION("""COMPUTED_VALUE"""),9.0)</f>
        <v>9</v>
      </c>
      <c r="E117" s="7">
        <f>IFERROR(__xludf.DUMMYFUNCTION("""COMPUTED_VALUE"""),0.0)</f>
        <v>0</v>
      </c>
      <c r="F117" s="7">
        <f>IFERROR(__xludf.DUMMYFUNCTION("""COMPUTED_VALUE"""),0.0)</f>
        <v>0</v>
      </c>
      <c r="G117" s="7">
        <f>IFERROR(__xludf.DUMMYFUNCTION("""COMPUTED_VALUE"""),0.0)</f>
        <v>0</v>
      </c>
      <c r="H117" s="7">
        <f>IFERROR(__xludf.DUMMYFUNCTION("""COMPUTED_VALUE"""),0.0)</f>
        <v>0</v>
      </c>
      <c r="I117" s="7">
        <f>IFERROR(__xludf.DUMMYFUNCTION("""COMPUTED_VALUE"""),0.0)</f>
        <v>0</v>
      </c>
      <c r="J117" s="54" t="b">
        <f>IFERROR(__xludf.DUMMYFUNCTION("""COMPUTED_VALUE"""),TRUE)</f>
        <v>1</v>
      </c>
      <c r="K117" s="80"/>
      <c r="L117" s="12">
        <f>IFERROR(__xludf.DUMMYFUNCTION("""COMPUTED_VALUE"""),45029.0)</f>
        <v>45029</v>
      </c>
      <c r="M117" s="172">
        <f>IFERROR(__xludf.DUMMYFUNCTION("""COMPUTED_VALUE"""),21.0)</f>
        <v>21</v>
      </c>
      <c r="N117" s="172">
        <f>IFERROR(__xludf.DUMMYFUNCTION("""COMPUTED_VALUE"""),21.0)</f>
        <v>21</v>
      </c>
      <c r="O117" s="172">
        <f>IFERROR(__xludf.DUMMYFUNCTION("""COMPUTED_VALUE"""),0.0)</f>
        <v>0</v>
      </c>
      <c r="P117" s="172">
        <f>IFERROR(__xludf.DUMMYFUNCTION("""COMPUTED_VALUE"""),0.0)</f>
        <v>0</v>
      </c>
      <c r="Q117" s="172">
        <f>IFERROR(__xludf.DUMMYFUNCTION("""COMPUTED_VALUE"""),0.0)</f>
        <v>0</v>
      </c>
      <c r="R117" s="172">
        <f>IFERROR(__xludf.DUMMYFUNCTION("""COMPUTED_VALUE"""),0.0)</f>
        <v>0</v>
      </c>
      <c r="S117" s="172">
        <f>IFERROR(__xludf.DUMMYFUNCTION("""COMPUTED_VALUE"""),0.0)</f>
        <v>0</v>
      </c>
      <c r="T117" s="172">
        <f>IFERROR(__xludf.DUMMYFUNCTION("""COMPUTED_VALUE"""),21.0)</f>
        <v>21</v>
      </c>
      <c r="U117" s="14"/>
      <c r="V117" s="80"/>
      <c r="W117" s="14">
        <f t="shared" si="39"/>
        <v>45029</v>
      </c>
      <c r="X117" s="172">
        <f t="shared" ref="X117:AC117" si="118">M117</f>
        <v>21</v>
      </c>
      <c r="Y117" s="172">
        <f t="shared" si="118"/>
        <v>21</v>
      </c>
      <c r="Z117" s="172">
        <f t="shared" si="118"/>
        <v>0</v>
      </c>
      <c r="AA117" s="172">
        <f t="shared" si="118"/>
        <v>0</v>
      </c>
      <c r="AB117" s="172">
        <f t="shared" si="118"/>
        <v>0</v>
      </c>
      <c r="AC117" s="172">
        <f t="shared" si="118"/>
        <v>0</v>
      </c>
    </row>
    <row r="118">
      <c r="B118" s="12">
        <f>IFERROR(__xludf.DUMMYFUNCTION("""COMPUTED_VALUE"""),44987.0)</f>
        <v>44987</v>
      </c>
      <c r="C118" s="54">
        <f>IFERROR(__xludf.DUMMYFUNCTION("""COMPUTED_VALUE"""),8.0)</f>
        <v>8</v>
      </c>
      <c r="D118" s="7">
        <f>IFERROR(__xludf.DUMMYFUNCTION("""COMPUTED_VALUE"""),8.0)</f>
        <v>8</v>
      </c>
      <c r="E118" s="7">
        <f>IFERROR(__xludf.DUMMYFUNCTION("""COMPUTED_VALUE"""),0.0)</f>
        <v>0</v>
      </c>
      <c r="F118" s="7">
        <f>IFERROR(__xludf.DUMMYFUNCTION("""COMPUTED_VALUE"""),0.0)</f>
        <v>0</v>
      </c>
      <c r="G118" s="7">
        <f>IFERROR(__xludf.DUMMYFUNCTION("""COMPUTED_VALUE"""),0.0)</f>
        <v>0</v>
      </c>
      <c r="H118" s="7">
        <f>IFERROR(__xludf.DUMMYFUNCTION("""COMPUTED_VALUE"""),0.0)</f>
        <v>0</v>
      </c>
      <c r="I118" s="7">
        <f>IFERROR(__xludf.DUMMYFUNCTION("""COMPUTED_VALUE"""),0.0)</f>
        <v>0</v>
      </c>
      <c r="J118" s="54"/>
      <c r="K118" s="80"/>
      <c r="L118" s="12">
        <f>IFERROR(__xludf.DUMMYFUNCTION("""COMPUTED_VALUE"""),45033.0)</f>
        <v>45033</v>
      </c>
      <c r="M118" s="172">
        <f>IFERROR(__xludf.DUMMYFUNCTION("""COMPUTED_VALUE"""),16.0)</f>
        <v>16</v>
      </c>
      <c r="N118" s="172">
        <f>IFERROR(__xludf.DUMMYFUNCTION("""COMPUTED_VALUE"""),16.0)</f>
        <v>16</v>
      </c>
      <c r="O118" s="172">
        <f>IFERROR(__xludf.DUMMYFUNCTION("""COMPUTED_VALUE"""),0.0)</f>
        <v>0</v>
      </c>
      <c r="P118" s="172">
        <f>IFERROR(__xludf.DUMMYFUNCTION("""COMPUTED_VALUE"""),0.0)</f>
        <v>0</v>
      </c>
      <c r="Q118" s="172">
        <f>IFERROR(__xludf.DUMMYFUNCTION("""COMPUTED_VALUE"""),0.0)</f>
        <v>0</v>
      </c>
      <c r="R118" s="172">
        <f>IFERROR(__xludf.DUMMYFUNCTION("""COMPUTED_VALUE"""),0.0)</f>
        <v>0</v>
      </c>
      <c r="S118" s="172">
        <f>IFERROR(__xludf.DUMMYFUNCTION("""COMPUTED_VALUE"""),0.0)</f>
        <v>0</v>
      </c>
      <c r="T118" s="172">
        <f>IFERROR(__xludf.DUMMYFUNCTION("""COMPUTED_VALUE"""),16.0)</f>
        <v>16</v>
      </c>
      <c r="U118" s="14"/>
      <c r="V118" s="80"/>
      <c r="W118" s="14">
        <f t="shared" si="39"/>
        <v>45033</v>
      </c>
      <c r="X118" s="172">
        <f t="shared" ref="X118:AC118" si="119">M118</f>
        <v>16</v>
      </c>
      <c r="Y118" s="172">
        <f t="shared" si="119"/>
        <v>16</v>
      </c>
      <c r="Z118" s="172">
        <f t="shared" si="119"/>
        <v>0</v>
      </c>
      <c r="AA118" s="172">
        <f t="shared" si="119"/>
        <v>0</v>
      </c>
      <c r="AB118" s="172">
        <f t="shared" si="119"/>
        <v>0</v>
      </c>
      <c r="AC118" s="172">
        <f t="shared" si="119"/>
        <v>0</v>
      </c>
    </row>
    <row r="119">
      <c r="B119" s="12">
        <f>IFERROR(__xludf.DUMMYFUNCTION("""COMPUTED_VALUE"""),44988.0)</f>
        <v>44988</v>
      </c>
      <c r="C119" s="54">
        <f>IFERROR(__xludf.DUMMYFUNCTION("""COMPUTED_VALUE"""),3.0)</f>
        <v>3</v>
      </c>
      <c r="D119" s="7">
        <f>IFERROR(__xludf.DUMMYFUNCTION("""COMPUTED_VALUE"""),3.0)</f>
        <v>3</v>
      </c>
      <c r="E119" s="7">
        <f>IFERROR(__xludf.DUMMYFUNCTION("""COMPUTED_VALUE"""),0.0)</f>
        <v>0</v>
      </c>
      <c r="F119" s="7">
        <f>IFERROR(__xludf.DUMMYFUNCTION("""COMPUTED_VALUE"""),0.0)</f>
        <v>0</v>
      </c>
      <c r="G119" s="7">
        <f>IFERROR(__xludf.DUMMYFUNCTION("""COMPUTED_VALUE"""),0.0)</f>
        <v>0</v>
      </c>
      <c r="H119" s="7">
        <f>IFERROR(__xludf.DUMMYFUNCTION("""COMPUTED_VALUE"""),0.0)</f>
        <v>0</v>
      </c>
      <c r="I119" s="7">
        <f>IFERROR(__xludf.DUMMYFUNCTION("""COMPUTED_VALUE"""),0.0)</f>
        <v>0</v>
      </c>
      <c r="J119" s="54"/>
      <c r="K119" s="80"/>
      <c r="L119" s="12">
        <f>IFERROR(__xludf.DUMMYFUNCTION("""COMPUTED_VALUE"""),45034.0)</f>
        <v>45034</v>
      </c>
      <c r="M119" s="172">
        <f>IFERROR(__xludf.DUMMYFUNCTION("""COMPUTED_VALUE"""),8.0)</f>
        <v>8</v>
      </c>
      <c r="N119" s="172">
        <f>IFERROR(__xludf.DUMMYFUNCTION("""COMPUTED_VALUE"""),8.0)</f>
        <v>8</v>
      </c>
      <c r="O119" s="172">
        <f>IFERROR(__xludf.DUMMYFUNCTION("""COMPUTED_VALUE"""),0.0)</f>
        <v>0</v>
      </c>
      <c r="P119" s="172">
        <f>IFERROR(__xludf.DUMMYFUNCTION("""COMPUTED_VALUE"""),0.0)</f>
        <v>0</v>
      </c>
      <c r="Q119" s="172">
        <f>IFERROR(__xludf.DUMMYFUNCTION("""COMPUTED_VALUE"""),0.0)</f>
        <v>0</v>
      </c>
      <c r="R119" s="172">
        <f>IFERROR(__xludf.DUMMYFUNCTION("""COMPUTED_VALUE"""),0.0)</f>
        <v>0</v>
      </c>
      <c r="S119" s="172">
        <f>IFERROR(__xludf.DUMMYFUNCTION("""COMPUTED_VALUE"""),0.0)</f>
        <v>0</v>
      </c>
      <c r="T119" s="172">
        <f>IFERROR(__xludf.DUMMYFUNCTION("""COMPUTED_VALUE"""),8.0)</f>
        <v>8</v>
      </c>
      <c r="U119" s="14"/>
      <c r="V119" s="80"/>
      <c r="W119" s="14">
        <f t="shared" si="39"/>
        <v>45034</v>
      </c>
      <c r="X119" s="172">
        <f t="shared" ref="X119:AC119" si="120">M119</f>
        <v>8</v>
      </c>
      <c r="Y119" s="172">
        <f t="shared" si="120"/>
        <v>8</v>
      </c>
      <c r="Z119" s="172">
        <f t="shared" si="120"/>
        <v>0</v>
      </c>
      <c r="AA119" s="172">
        <f t="shared" si="120"/>
        <v>0</v>
      </c>
      <c r="AB119" s="172">
        <f t="shared" si="120"/>
        <v>0</v>
      </c>
      <c r="AC119" s="172">
        <f t="shared" si="120"/>
        <v>0</v>
      </c>
    </row>
    <row r="120">
      <c r="B120" s="12">
        <f>IFERROR(__xludf.DUMMYFUNCTION("""COMPUTED_VALUE"""),44991.0)</f>
        <v>44991</v>
      </c>
      <c r="C120" s="54">
        <f>IFERROR(__xludf.DUMMYFUNCTION("""COMPUTED_VALUE"""),10.0)</f>
        <v>10</v>
      </c>
      <c r="D120" s="7">
        <f>IFERROR(__xludf.DUMMYFUNCTION("""COMPUTED_VALUE"""),10.0)</f>
        <v>10</v>
      </c>
      <c r="E120" s="7">
        <f>IFERROR(__xludf.DUMMYFUNCTION("""COMPUTED_VALUE"""),0.0)</f>
        <v>0</v>
      </c>
      <c r="F120" s="7">
        <f>IFERROR(__xludf.DUMMYFUNCTION("""COMPUTED_VALUE"""),0.0)</f>
        <v>0</v>
      </c>
      <c r="G120" s="7">
        <f>IFERROR(__xludf.DUMMYFUNCTION("""COMPUTED_VALUE"""),0.0)</f>
        <v>0</v>
      </c>
      <c r="H120" s="7">
        <f>IFERROR(__xludf.DUMMYFUNCTION("""COMPUTED_VALUE"""),0.0)</f>
        <v>0</v>
      </c>
      <c r="I120" s="7">
        <f>IFERROR(__xludf.DUMMYFUNCTION("""COMPUTED_VALUE"""),0.0)</f>
        <v>0</v>
      </c>
      <c r="J120" s="54" t="b">
        <f>IFERROR(__xludf.DUMMYFUNCTION("""COMPUTED_VALUE"""),TRUE)</f>
        <v>1</v>
      </c>
      <c r="K120" s="80"/>
      <c r="L120" s="12">
        <f>IFERROR(__xludf.DUMMYFUNCTION("""COMPUTED_VALUE"""),45037.0)</f>
        <v>45037</v>
      </c>
      <c r="M120" s="172">
        <f>IFERROR(__xludf.DUMMYFUNCTION("""COMPUTED_VALUE"""),16.0)</f>
        <v>16</v>
      </c>
      <c r="N120" s="172">
        <f>IFERROR(__xludf.DUMMYFUNCTION("""COMPUTED_VALUE"""),16.0)</f>
        <v>16</v>
      </c>
      <c r="O120" s="172">
        <f>IFERROR(__xludf.DUMMYFUNCTION("""COMPUTED_VALUE"""),0.0)</f>
        <v>0</v>
      </c>
      <c r="P120" s="172">
        <f>IFERROR(__xludf.DUMMYFUNCTION("""COMPUTED_VALUE"""),0.0)</f>
        <v>0</v>
      </c>
      <c r="Q120" s="172">
        <f>IFERROR(__xludf.DUMMYFUNCTION("""COMPUTED_VALUE"""),0.0)</f>
        <v>0</v>
      </c>
      <c r="R120" s="172">
        <f>IFERROR(__xludf.DUMMYFUNCTION("""COMPUTED_VALUE"""),0.0)</f>
        <v>0</v>
      </c>
      <c r="S120" s="172">
        <f>IFERROR(__xludf.DUMMYFUNCTION("""COMPUTED_VALUE"""),0.0)</f>
        <v>0</v>
      </c>
      <c r="T120" s="172">
        <f>IFERROR(__xludf.DUMMYFUNCTION("""COMPUTED_VALUE"""),16.0)</f>
        <v>16</v>
      </c>
      <c r="U120" s="14"/>
      <c r="V120" s="80"/>
      <c r="W120" s="14">
        <f t="shared" si="39"/>
        <v>45037</v>
      </c>
      <c r="X120" s="172">
        <f t="shared" ref="X120:AC120" si="121">M120</f>
        <v>16</v>
      </c>
      <c r="Y120" s="172">
        <f t="shared" si="121"/>
        <v>16</v>
      </c>
      <c r="Z120" s="172">
        <f t="shared" si="121"/>
        <v>0</v>
      </c>
      <c r="AA120" s="172">
        <f t="shared" si="121"/>
        <v>0</v>
      </c>
      <c r="AB120" s="172">
        <f t="shared" si="121"/>
        <v>0</v>
      </c>
      <c r="AC120" s="172">
        <f t="shared" si="121"/>
        <v>0</v>
      </c>
    </row>
    <row r="121">
      <c r="B121" s="12">
        <f>IFERROR(__xludf.DUMMYFUNCTION("""COMPUTED_VALUE"""),44992.0)</f>
        <v>44992</v>
      </c>
      <c r="C121" s="54">
        <f>IFERROR(__xludf.DUMMYFUNCTION("""COMPUTED_VALUE"""),8.0)</f>
        <v>8</v>
      </c>
      <c r="D121" s="7">
        <f>IFERROR(__xludf.DUMMYFUNCTION("""COMPUTED_VALUE"""),8.0)</f>
        <v>8</v>
      </c>
      <c r="E121" s="7">
        <f>IFERROR(__xludf.DUMMYFUNCTION("""COMPUTED_VALUE"""),0.0)</f>
        <v>0</v>
      </c>
      <c r="F121" s="7">
        <f>IFERROR(__xludf.DUMMYFUNCTION("""COMPUTED_VALUE"""),0.0)</f>
        <v>0</v>
      </c>
      <c r="G121" s="7">
        <f>IFERROR(__xludf.DUMMYFUNCTION("""COMPUTED_VALUE"""),0.0)</f>
        <v>0</v>
      </c>
      <c r="H121" s="7">
        <f>IFERROR(__xludf.DUMMYFUNCTION("""COMPUTED_VALUE"""),0.0)</f>
        <v>0</v>
      </c>
      <c r="I121" s="7">
        <f>IFERROR(__xludf.DUMMYFUNCTION("""COMPUTED_VALUE"""),0.0)</f>
        <v>0</v>
      </c>
      <c r="J121" s="54"/>
      <c r="K121" s="80"/>
      <c r="L121" s="12">
        <f>IFERROR(__xludf.DUMMYFUNCTION("""COMPUTED_VALUE"""),45044.0)</f>
        <v>45044</v>
      </c>
      <c r="M121" s="172">
        <f>IFERROR(__xludf.DUMMYFUNCTION("""COMPUTED_VALUE"""),29.0)</f>
        <v>29</v>
      </c>
      <c r="N121" s="172">
        <f>IFERROR(__xludf.DUMMYFUNCTION("""COMPUTED_VALUE"""),29.0)</f>
        <v>29</v>
      </c>
      <c r="O121" s="172">
        <f>IFERROR(__xludf.DUMMYFUNCTION("""COMPUTED_VALUE"""),0.0)</f>
        <v>0</v>
      </c>
      <c r="P121" s="172">
        <f>IFERROR(__xludf.DUMMYFUNCTION("""COMPUTED_VALUE"""),0.0)</f>
        <v>0</v>
      </c>
      <c r="Q121" s="172">
        <f>IFERROR(__xludf.DUMMYFUNCTION("""COMPUTED_VALUE"""),0.0)</f>
        <v>0</v>
      </c>
      <c r="R121" s="172">
        <f>IFERROR(__xludf.DUMMYFUNCTION("""COMPUTED_VALUE"""),0.0)</f>
        <v>0</v>
      </c>
      <c r="S121" s="172">
        <f>IFERROR(__xludf.DUMMYFUNCTION("""COMPUTED_VALUE"""),0.0)</f>
        <v>0</v>
      </c>
      <c r="T121" s="172">
        <f>IFERROR(__xludf.DUMMYFUNCTION("""COMPUTED_VALUE"""),29.0)</f>
        <v>29</v>
      </c>
      <c r="U121" s="14"/>
      <c r="V121" s="80"/>
      <c r="W121" s="14">
        <f t="shared" si="39"/>
        <v>45044</v>
      </c>
      <c r="X121" s="172">
        <f t="shared" ref="X121:AC121" si="122">M121</f>
        <v>29</v>
      </c>
      <c r="Y121" s="172">
        <f t="shared" si="122"/>
        <v>29</v>
      </c>
      <c r="Z121" s="172">
        <f t="shared" si="122"/>
        <v>0</v>
      </c>
      <c r="AA121" s="172">
        <f t="shared" si="122"/>
        <v>0</v>
      </c>
      <c r="AB121" s="172">
        <f t="shared" si="122"/>
        <v>0</v>
      </c>
      <c r="AC121" s="172">
        <f t="shared" si="122"/>
        <v>0</v>
      </c>
    </row>
    <row r="122">
      <c r="B122" s="12">
        <f>IFERROR(__xludf.DUMMYFUNCTION("""COMPUTED_VALUE"""),44993.0)</f>
        <v>44993</v>
      </c>
      <c r="C122" s="54">
        <f>IFERROR(__xludf.DUMMYFUNCTION("""COMPUTED_VALUE"""),11.0)</f>
        <v>11</v>
      </c>
      <c r="D122" s="7">
        <f>IFERROR(__xludf.DUMMYFUNCTION("""COMPUTED_VALUE"""),11.0)</f>
        <v>11</v>
      </c>
      <c r="E122" s="7">
        <f>IFERROR(__xludf.DUMMYFUNCTION("""COMPUTED_VALUE"""),0.0)</f>
        <v>0</v>
      </c>
      <c r="F122" s="7">
        <f>IFERROR(__xludf.DUMMYFUNCTION("""COMPUTED_VALUE"""),0.0)</f>
        <v>0</v>
      </c>
      <c r="G122" s="7">
        <f>IFERROR(__xludf.DUMMYFUNCTION("""COMPUTED_VALUE"""),0.0)</f>
        <v>0</v>
      </c>
      <c r="H122" s="7">
        <f>IFERROR(__xludf.DUMMYFUNCTION("""COMPUTED_VALUE"""),0.0)</f>
        <v>0</v>
      </c>
      <c r="I122" s="7">
        <f>IFERROR(__xludf.DUMMYFUNCTION("""COMPUTED_VALUE"""),0.0)</f>
        <v>0</v>
      </c>
      <c r="J122" s="54" t="b">
        <f>IFERROR(__xludf.DUMMYFUNCTION("""COMPUTED_VALUE"""),TRUE)</f>
        <v>1</v>
      </c>
      <c r="K122" s="80"/>
      <c r="L122" s="12">
        <f>IFERROR(__xludf.DUMMYFUNCTION("""COMPUTED_VALUE"""),45050.0)</f>
        <v>45050</v>
      </c>
      <c r="M122" s="172">
        <f>IFERROR(__xludf.DUMMYFUNCTION("""COMPUTED_VALUE"""),5.0)</f>
        <v>5</v>
      </c>
      <c r="N122" s="172">
        <f>IFERROR(__xludf.DUMMYFUNCTION("""COMPUTED_VALUE"""),5.0)</f>
        <v>5</v>
      </c>
      <c r="O122" s="172">
        <f>IFERROR(__xludf.DUMMYFUNCTION("""COMPUTED_VALUE"""),0.0)</f>
        <v>0</v>
      </c>
      <c r="P122" s="172">
        <f>IFERROR(__xludf.DUMMYFUNCTION("""COMPUTED_VALUE"""),0.0)</f>
        <v>0</v>
      </c>
      <c r="Q122" s="172">
        <f>IFERROR(__xludf.DUMMYFUNCTION("""COMPUTED_VALUE"""),0.0)</f>
        <v>0</v>
      </c>
      <c r="R122" s="172">
        <f>IFERROR(__xludf.DUMMYFUNCTION("""COMPUTED_VALUE"""),0.0)</f>
        <v>0</v>
      </c>
      <c r="S122" s="172">
        <f>IFERROR(__xludf.DUMMYFUNCTION("""COMPUTED_VALUE"""),0.0)</f>
        <v>0</v>
      </c>
      <c r="T122" s="172">
        <f>IFERROR(__xludf.DUMMYFUNCTION("""COMPUTED_VALUE"""),5.0)</f>
        <v>5</v>
      </c>
      <c r="U122" s="14"/>
      <c r="V122" s="80"/>
      <c r="W122" s="14">
        <f t="shared" si="39"/>
        <v>45050</v>
      </c>
      <c r="X122" s="172">
        <f t="shared" ref="X122:AC122" si="123">M122</f>
        <v>5</v>
      </c>
      <c r="Y122" s="172">
        <f t="shared" si="123"/>
        <v>5</v>
      </c>
      <c r="Z122" s="172">
        <f t="shared" si="123"/>
        <v>0</v>
      </c>
      <c r="AA122" s="172">
        <f t="shared" si="123"/>
        <v>0</v>
      </c>
      <c r="AB122" s="172">
        <f t="shared" si="123"/>
        <v>0</v>
      </c>
      <c r="AC122" s="172">
        <f t="shared" si="123"/>
        <v>0</v>
      </c>
    </row>
    <row r="123">
      <c r="B123" s="12">
        <f>IFERROR(__xludf.DUMMYFUNCTION("""COMPUTED_VALUE"""),44994.0)</f>
        <v>44994</v>
      </c>
      <c r="C123" s="54">
        <f>IFERROR(__xludf.DUMMYFUNCTION("""COMPUTED_VALUE"""),8.0)</f>
        <v>8</v>
      </c>
      <c r="D123" s="7">
        <f>IFERROR(__xludf.DUMMYFUNCTION("""COMPUTED_VALUE"""),8.0)</f>
        <v>8</v>
      </c>
      <c r="E123" s="7">
        <f>IFERROR(__xludf.DUMMYFUNCTION("""COMPUTED_VALUE"""),0.0)</f>
        <v>0</v>
      </c>
      <c r="F123" s="7">
        <f>IFERROR(__xludf.DUMMYFUNCTION("""COMPUTED_VALUE"""),0.0)</f>
        <v>0</v>
      </c>
      <c r="G123" s="7">
        <f>IFERROR(__xludf.DUMMYFUNCTION("""COMPUTED_VALUE"""),0.0)</f>
        <v>0</v>
      </c>
      <c r="H123" s="7">
        <f>IFERROR(__xludf.DUMMYFUNCTION("""COMPUTED_VALUE"""),0.0)</f>
        <v>0</v>
      </c>
      <c r="I123" s="7">
        <f>IFERROR(__xludf.DUMMYFUNCTION("""COMPUTED_VALUE"""),0.0)</f>
        <v>0</v>
      </c>
      <c r="J123" s="54"/>
      <c r="K123" s="80"/>
      <c r="L123" s="12">
        <f>IFERROR(__xludf.DUMMYFUNCTION("""COMPUTED_VALUE"""),45054.0)</f>
        <v>45054</v>
      </c>
      <c r="M123" s="172">
        <f>IFERROR(__xludf.DUMMYFUNCTION("""COMPUTED_VALUE"""),7.0)</f>
        <v>7</v>
      </c>
      <c r="N123" s="172">
        <f>IFERROR(__xludf.DUMMYFUNCTION("""COMPUTED_VALUE"""),7.0)</f>
        <v>7</v>
      </c>
      <c r="O123" s="172">
        <f>IFERROR(__xludf.DUMMYFUNCTION("""COMPUTED_VALUE"""),0.0)</f>
        <v>0</v>
      </c>
      <c r="P123" s="172">
        <f>IFERROR(__xludf.DUMMYFUNCTION("""COMPUTED_VALUE"""),0.0)</f>
        <v>0</v>
      </c>
      <c r="Q123" s="172">
        <f>IFERROR(__xludf.DUMMYFUNCTION("""COMPUTED_VALUE"""),0.0)</f>
        <v>0</v>
      </c>
      <c r="R123" s="172">
        <f>IFERROR(__xludf.DUMMYFUNCTION("""COMPUTED_VALUE"""),0.0)</f>
        <v>0</v>
      </c>
      <c r="S123" s="172">
        <f>IFERROR(__xludf.DUMMYFUNCTION("""COMPUTED_VALUE"""),0.0)</f>
        <v>0</v>
      </c>
      <c r="T123" s="172">
        <f>IFERROR(__xludf.DUMMYFUNCTION("""COMPUTED_VALUE"""),7.0)</f>
        <v>7</v>
      </c>
      <c r="U123" s="14"/>
      <c r="V123" s="80"/>
      <c r="W123" s="14">
        <f t="shared" si="39"/>
        <v>45054</v>
      </c>
      <c r="X123" s="172">
        <f t="shared" ref="X123:AC123" si="124">M123</f>
        <v>7</v>
      </c>
      <c r="Y123" s="172">
        <f t="shared" si="124"/>
        <v>7</v>
      </c>
      <c r="Z123" s="172">
        <f t="shared" si="124"/>
        <v>0</v>
      </c>
      <c r="AA123" s="172">
        <f t="shared" si="124"/>
        <v>0</v>
      </c>
      <c r="AB123" s="172">
        <f t="shared" si="124"/>
        <v>0</v>
      </c>
      <c r="AC123" s="172">
        <f t="shared" si="124"/>
        <v>0</v>
      </c>
    </row>
    <row r="124">
      <c r="B124" s="12">
        <f>IFERROR(__xludf.DUMMYFUNCTION("""COMPUTED_VALUE"""),44995.0)</f>
        <v>44995</v>
      </c>
      <c r="C124" s="54">
        <f>IFERROR(__xludf.DUMMYFUNCTION("""COMPUTED_VALUE"""),10.0)</f>
        <v>10</v>
      </c>
      <c r="D124" s="7">
        <f>IFERROR(__xludf.DUMMYFUNCTION("""COMPUTED_VALUE"""),10.0)</f>
        <v>10</v>
      </c>
      <c r="E124" s="7">
        <f>IFERROR(__xludf.DUMMYFUNCTION("""COMPUTED_VALUE"""),0.0)</f>
        <v>0</v>
      </c>
      <c r="F124" s="7">
        <f>IFERROR(__xludf.DUMMYFUNCTION("""COMPUTED_VALUE"""),0.0)</f>
        <v>0</v>
      </c>
      <c r="G124" s="7">
        <f>IFERROR(__xludf.DUMMYFUNCTION("""COMPUTED_VALUE"""),0.0)</f>
        <v>0</v>
      </c>
      <c r="H124" s="7">
        <f>IFERROR(__xludf.DUMMYFUNCTION("""COMPUTED_VALUE"""),0.0)</f>
        <v>0</v>
      </c>
      <c r="I124" s="7">
        <f>IFERROR(__xludf.DUMMYFUNCTION("""COMPUTED_VALUE"""),0.0)</f>
        <v>0</v>
      </c>
      <c r="J124" s="54" t="b">
        <f>IFERROR(__xludf.DUMMYFUNCTION("""COMPUTED_VALUE"""),TRUE)</f>
        <v>1</v>
      </c>
      <c r="K124" s="80"/>
      <c r="L124" s="12">
        <f>IFERROR(__xludf.DUMMYFUNCTION("""COMPUTED_VALUE"""),45056.0)</f>
        <v>45056</v>
      </c>
      <c r="M124" s="172">
        <f>IFERROR(__xludf.DUMMYFUNCTION("""COMPUTED_VALUE"""),16.0)</f>
        <v>16</v>
      </c>
      <c r="N124" s="172">
        <f>IFERROR(__xludf.DUMMYFUNCTION("""COMPUTED_VALUE"""),16.0)</f>
        <v>16</v>
      </c>
      <c r="O124" s="172">
        <f>IFERROR(__xludf.DUMMYFUNCTION("""COMPUTED_VALUE"""),0.0)</f>
        <v>0</v>
      </c>
      <c r="P124" s="172">
        <f>IFERROR(__xludf.DUMMYFUNCTION("""COMPUTED_VALUE"""),0.0)</f>
        <v>0</v>
      </c>
      <c r="Q124" s="172">
        <f>IFERROR(__xludf.DUMMYFUNCTION("""COMPUTED_VALUE"""),0.0)</f>
        <v>0</v>
      </c>
      <c r="R124" s="172">
        <f>IFERROR(__xludf.DUMMYFUNCTION("""COMPUTED_VALUE"""),0.0)</f>
        <v>0</v>
      </c>
      <c r="S124" s="172">
        <f>IFERROR(__xludf.DUMMYFUNCTION("""COMPUTED_VALUE"""),0.0)</f>
        <v>0</v>
      </c>
      <c r="T124" s="172">
        <f>IFERROR(__xludf.DUMMYFUNCTION("""COMPUTED_VALUE"""),16.0)</f>
        <v>16</v>
      </c>
      <c r="U124" s="14"/>
      <c r="V124" s="80"/>
      <c r="W124" s="14">
        <f t="shared" si="39"/>
        <v>45056</v>
      </c>
      <c r="X124" s="172">
        <f t="shared" ref="X124:AC124" si="125">M124</f>
        <v>16</v>
      </c>
      <c r="Y124" s="172">
        <f t="shared" si="125"/>
        <v>16</v>
      </c>
      <c r="Z124" s="172">
        <f t="shared" si="125"/>
        <v>0</v>
      </c>
      <c r="AA124" s="172">
        <f t="shared" si="125"/>
        <v>0</v>
      </c>
      <c r="AB124" s="172">
        <f t="shared" si="125"/>
        <v>0</v>
      </c>
      <c r="AC124" s="172">
        <f t="shared" si="125"/>
        <v>0</v>
      </c>
    </row>
    <row r="125">
      <c r="B125" s="12">
        <f>IFERROR(__xludf.DUMMYFUNCTION("""COMPUTED_VALUE"""),45006.0)</f>
        <v>45006</v>
      </c>
      <c r="C125" s="54">
        <f>IFERROR(__xludf.DUMMYFUNCTION("""COMPUTED_VALUE"""),9.0)</f>
        <v>9</v>
      </c>
      <c r="D125" s="7">
        <f>IFERROR(__xludf.DUMMYFUNCTION("""COMPUTED_VALUE"""),9.0)</f>
        <v>9</v>
      </c>
      <c r="E125" s="7">
        <f>IFERROR(__xludf.DUMMYFUNCTION("""COMPUTED_VALUE"""),0.0)</f>
        <v>0</v>
      </c>
      <c r="F125" s="7">
        <f>IFERROR(__xludf.DUMMYFUNCTION("""COMPUTED_VALUE"""),0.0)</f>
        <v>0</v>
      </c>
      <c r="G125" s="7">
        <f>IFERROR(__xludf.DUMMYFUNCTION("""COMPUTED_VALUE"""),0.0)</f>
        <v>0</v>
      </c>
      <c r="H125" s="7">
        <f>IFERROR(__xludf.DUMMYFUNCTION("""COMPUTED_VALUE"""),0.0)</f>
        <v>0</v>
      </c>
      <c r="I125" s="7">
        <f>IFERROR(__xludf.DUMMYFUNCTION("""COMPUTED_VALUE"""),0.0)</f>
        <v>0</v>
      </c>
      <c r="J125" s="54"/>
      <c r="K125" s="80"/>
      <c r="L125" s="12">
        <f>IFERROR(__xludf.DUMMYFUNCTION("""COMPUTED_VALUE"""),45068.0)</f>
        <v>45068</v>
      </c>
      <c r="M125" s="172">
        <f>IFERROR(__xludf.DUMMYFUNCTION("""COMPUTED_VALUE"""),4.0)</f>
        <v>4</v>
      </c>
      <c r="N125" s="172">
        <f>IFERROR(__xludf.DUMMYFUNCTION("""COMPUTED_VALUE"""),4.0)</f>
        <v>4</v>
      </c>
      <c r="O125" s="172">
        <f>IFERROR(__xludf.DUMMYFUNCTION("""COMPUTED_VALUE"""),0.0)</f>
        <v>0</v>
      </c>
      <c r="P125" s="172">
        <f>IFERROR(__xludf.DUMMYFUNCTION("""COMPUTED_VALUE"""),0.0)</f>
        <v>0</v>
      </c>
      <c r="Q125" s="172">
        <f>IFERROR(__xludf.DUMMYFUNCTION("""COMPUTED_VALUE"""),0.0)</f>
        <v>0</v>
      </c>
      <c r="R125" s="172">
        <f>IFERROR(__xludf.DUMMYFUNCTION("""COMPUTED_VALUE"""),0.0)</f>
        <v>0</v>
      </c>
      <c r="S125" s="172">
        <f>IFERROR(__xludf.DUMMYFUNCTION("""COMPUTED_VALUE"""),0.0)</f>
        <v>0</v>
      </c>
      <c r="T125" s="172">
        <f>IFERROR(__xludf.DUMMYFUNCTION("""COMPUTED_VALUE"""),4.0)</f>
        <v>4</v>
      </c>
      <c r="U125" s="14"/>
      <c r="V125" s="80"/>
      <c r="W125" s="14">
        <f t="shared" si="39"/>
        <v>45068</v>
      </c>
      <c r="X125" s="172">
        <f t="shared" ref="X125:AC125" si="126">M125</f>
        <v>4</v>
      </c>
      <c r="Y125" s="172">
        <f t="shared" si="126"/>
        <v>4</v>
      </c>
      <c r="Z125" s="172">
        <f t="shared" si="126"/>
        <v>0</v>
      </c>
      <c r="AA125" s="172">
        <f t="shared" si="126"/>
        <v>0</v>
      </c>
      <c r="AB125" s="172">
        <f t="shared" si="126"/>
        <v>0</v>
      </c>
      <c r="AC125" s="172">
        <f t="shared" si="126"/>
        <v>0</v>
      </c>
    </row>
    <row r="126">
      <c r="B126" s="12">
        <f>IFERROR(__xludf.DUMMYFUNCTION("""COMPUTED_VALUE"""),45007.0)</f>
        <v>45007</v>
      </c>
      <c r="C126" s="54">
        <f>IFERROR(__xludf.DUMMYFUNCTION("""COMPUTED_VALUE"""),11.0)</f>
        <v>11</v>
      </c>
      <c r="D126" s="7">
        <f>IFERROR(__xludf.DUMMYFUNCTION("""COMPUTED_VALUE"""),11.0)</f>
        <v>11</v>
      </c>
      <c r="E126" s="7">
        <f>IFERROR(__xludf.DUMMYFUNCTION("""COMPUTED_VALUE"""),0.0)</f>
        <v>0</v>
      </c>
      <c r="F126" s="7">
        <f>IFERROR(__xludf.DUMMYFUNCTION("""COMPUTED_VALUE"""),0.0)</f>
        <v>0</v>
      </c>
      <c r="G126" s="7">
        <f>IFERROR(__xludf.DUMMYFUNCTION("""COMPUTED_VALUE"""),0.0)</f>
        <v>0</v>
      </c>
      <c r="H126" s="7">
        <f>IFERROR(__xludf.DUMMYFUNCTION("""COMPUTED_VALUE"""),0.0)</f>
        <v>0</v>
      </c>
      <c r="I126" s="7">
        <f>IFERROR(__xludf.DUMMYFUNCTION("""COMPUTED_VALUE"""),0.0)</f>
        <v>0</v>
      </c>
      <c r="J126" s="54" t="b">
        <f>IFERROR(__xludf.DUMMYFUNCTION("""COMPUTED_VALUE"""),TRUE)</f>
        <v>1</v>
      </c>
      <c r="K126" s="80"/>
      <c r="L126" s="12">
        <f>IFERROR(__xludf.DUMMYFUNCTION("""COMPUTED_VALUE"""),45069.0)</f>
        <v>45069</v>
      </c>
      <c r="M126" s="172">
        <f>IFERROR(__xludf.DUMMYFUNCTION("""COMPUTED_VALUE"""),9.0)</f>
        <v>9</v>
      </c>
      <c r="N126" s="172">
        <f>IFERROR(__xludf.DUMMYFUNCTION("""COMPUTED_VALUE"""),5.0)</f>
        <v>5</v>
      </c>
      <c r="O126" s="172">
        <f>IFERROR(__xludf.DUMMYFUNCTION("""COMPUTED_VALUE"""),4.0)</f>
        <v>4</v>
      </c>
      <c r="P126" s="172">
        <f>IFERROR(__xludf.DUMMYFUNCTION("""COMPUTED_VALUE"""),0.0)</f>
        <v>0</v>
      </c>
      <c r="Q126" s="172">
        <f>IFERROR(__xludf.DUMMYFUNCTION("""COMPUTED_VALUE"""),0.0)</f>
        <v>0</v>
      </c>
      <c r="R126" s="172">
        <f>IFERROR(__xludf.DUMMYFUNCTION("""COMPUTED_VALUE"""),0.0)</f>
        <v>0</v>
      </c>
      <c r="S126" s="172">
        <f>IFERROR(__xludf.DUMMYFUNCTION("""COMPUTED_VALUE"""),0.0)</f>
        <v>0</v>
      </c>
      <c r="T126" s="172">
        <f>IFERROR(__xludf.DUMMYFUNCTION("""COMPUTED_VALUE"""),9.0)</f>
        <v>9</v>
      </c>
      <c r="U126" s="14"/>
      <c r="V126" s="80"/>
      <c r="W126" s="14">
        <f t="shared" si="39"/>
        <v>45069</v>
      </c>
      <c r="X126" s="172">
        <f t="shared" ref="X126:AC126" si="127">M126</f>
        <v>9</v>
      </c>
      <c r="Y126" s="172">
        <f t="shared" si="127"/>
        <v>5</v>
      </c>
      <c r="Z126" s="172">
        <f t="shared" si="127"/>
        <v>4</v>
      </c>
      <c r="AA126" s="172">
        <f t="shared" si="127"/>
        <v>0</v>
      </c>
      <c r="AB126" s="172">
        <f t="shared" si="127"/>
        <v>0</v>
      </c>
      <c r="AC126" s="172">
        <f t="shared" si="127"/>
        <v>0</v>
      </c>
    </row>
    <row r="127">
      <c r="B127" s="12">
        <f>IFERROR(__xludf.DUMMYFUNCTION("""COMPUTED_VALUE"""),45008.0)</f>
        <v>45008</v>
      </c>
      <c r="C127" s="54">
        <f>IFERROR(__xludf.DUMMYFUNCTION("""COMPUTED_VALUE"""),10.0)</f>
        <v>10</v>
      </c>
      <c r="D127" s="7">
        <f>IFERROR(__xludf.DUMMYFUNCTION("""COMPUTED_VALUE"""),10.0)</f>
        <v>10</v>
      </c>
      <c r="E127" s="7">
        <f>IFERROR(__xludf.DUMMYFUNCTION("""COMPUTED_VALUE"""),0.0)</f>
        <v>0</v>
      </c>
      <c r="F127" s="7">
        <f>IFERROR(__xludf.DUMMYFUNCTION("""COMPUTED_VALUE"""),0.0)</f>
        <v>0</v>
      </c>
      <c r="G127" s="7">
        <f>IFERROR(__xludf.DUMMYFUNCTION("""COMPUTED_VALUE"""),0.0)</f>
        <v>0</v>
      </c>
      <c r="H127" s="7">
        <f>IFERROR(__xludf.DUMMYFUNCTION("""COMPUTED_VALUE"""),0.0)</f>
        <v>0</v>
      </c>
      <c r="I127" s="7">
        <f>IFERROR(__xludf.DUMMYFUNCTION("""COMPUTED_VALUE"""),0.0)</f>
        <v>0</v>
      </c>
      <c r="J127" s="54" t="b">
        <f>IFERROR(__xludf.DUMMYFUNCTION("""COMPUTED_VALUE"""),TRUE)</f>
        <v>1</v>
      </c>
      <c r="K127" s="80"/>
      <c r="L127" s="12">
        <f>IFERROR(__xludf.DUMMYFUNCTION("""COMPUTED_VALUE"""),45070.0)</f>
        <v>45070</v>
      </c>
      <c r="M127" s="172">
        <f>IFERROR(__xludf.DUMMYFUNCTION("""COMPUTED_VALUE"""),4.0)</f>
        <v>4</v>
      </c>
      <c r="N127" s="172">
        <f>IFERROR(__xludf.DUMMYFUNCTION("""COMPUTED_VALUE"""),4.0)</f>
        <v>4</v>
      </c>
      <c r="O127" s="172">
        <f>IFERROR(__xludf.DUMMYFUNCTION("""COMPUTED_VALUE"""),0.0)</f>
        <v>0</v>
      </c>
      <c r="P127" s="172">
        <f>IFERROR(__xludf.DUMMYFUNCTION("""COMPUTED_VALUE"""),0.0)</f>
        <v>0</v>
      </c>
      <c r="Q127" s="172">
        <f>IFERROR(__xludf.DUMMYFUNCTION("""COMPUTED_VALUE"""),0.0)</f>
        <v>0</v>
      </c>
      <c r="R127" s="172">
        <f>IFERROR(__xludf.DUMMYFUNCTION("""COMPUTED_VALUE"""),0.0)</f>
        <v>0</v>
      </c>
      <c r="S127" s="172">
        <f>IFERROR(__xludf.DUMMYFUNCTION("""COMPUTED_VALUE"""),0.0)</f>
        <v>0</v>
      </c>
      <c r="T127" s="172">
        <f>IFERROR(__xludf.DUMMYFUNCTION("""COMPUTED_VALUE"""),4.0)</f>
        <v>4</v>
      </c>
      <c r="U127" s="14"/>
      <c r="V127" s="80"/>
      <c r="W127" s="14">
        <f t="shared" si="39"/>
        <v>45070</v>
      </c>
      <c r="X127" s="172">
        <f t="shared" ref="X127:AC127" si="128">M127</f>
        <v>4</v>
      </c>
      <c r="Y127" s="172">
        <f t="shared" si="128"/>
        <v>4</v>
      </c>
      <c r="Z127" s="172">
        <f t="shared" si="128"/>
        <v>0</v>
      </c>
      <c r="AA127" s="172">
        <f t="shared" si="128"/>
        <v>0</v>
      </c>
      <c r="AB127" s="172">
        <f t="shared" si="128"/>
        <v>0</v>
      </c>
      <c r="AC127" s="172">
        <f t="shared" si="128"/>
        <v>0</v>
      </c>
    </row>
    <row r="128">
      <c r="B128" s="12">
        <f>IFERROR(__xludf.DUMMYFUNCTION("""COMPUTED_VALUE"""),45009.0)</f>
        <v>45009</v>
      </c>
      <c r="C128" s="54">
        <f>IFERROR(__xludf.DUMMYFUNCTION("""COMPUTED_VALUE"""),7.0)</f>
        <v>7</v>
      </c>
      <c r="D128" s="7">
        <f>IFERROR(__xludf.DUMMYFUNCTION("""COMPUTED_VALUE"""),7.0)</f>
        <v>7</v>
      </c>
      <c r="E128" s="7">
        <f>IFERROR(__xludf.DUMMYFUNCTION("""COMPUTED_VALUE"""),0.0)</f>
        <v>0</v>
      </c>
      <c r="F128" s="7">
        <f>IFERROR(__xludf.DUMMYFUNCTION("""COMPUTED_VALUE"""),0.0)</f>
        <v>0</v>
      </c>
      <c r="G128" s="7">
        <f>IFERROR(__xludf.DUMMYFUNCTION("""COMPUTED_VALUE"""),0.0)</f>
        <v>0</v>
      </c>
      <c r="H128" s="7">
        <f>IFERROR(__xludf.DUMMYFUNCTION("""COMPUTED_VALUE"""),0.0)</f>
        <v>0</v>
      </c>
      <c r="I128" s="7">
        <f>IFERROR(__xludf.DUMMYFUNCTION("""COMPUTED_VALUE"""),0.0)</f>
        <v>0</v>
      </c>
      <c r="J128" s="54"/>
      <c r="K128" s="80"/>
      <c r="L128" s="12">
        <f>IFERROR(__xludf.DUMMYFUNCTION("""COMPUTED_VALUE"""),45071.0)</f>
        <v>45071</v>
      </c>
      <c r="M128" s="172">
        <f>IFERROR(__xludf.DUMMYFUNCTION("""COMPUTED_VALUE"""),4.0)</f>
        <v>4</v>
      </c>
      <c r="N128" s="172">
        <f>IFERROR(__xludf.DUMMYFUNCTION("""COMPUTED_VALUE"""),4.0)</f>
        <v>4</v>
      </c>
      <c r="O128" s="172">
        <f>IFERROR(__xludf.DUMMYFUNCTION("""COMPUTED_VALUE"""),0.0)</f>
        <v>0</v>
      </c>
      <c r="P128" s="172">
        <f>IFERROR(__xludf.DUMMYFUNCTION("""COMPUTED_VALUE"""),0.0)</f>
        <v>0</v>
      </c>
      <c r="Q128" s="172">
        <f>IFERROR(__xludf.DUMMYFUNCTION("""COMPUTED_VALUE"""),0.0)</f>
        <v>0</v>
      </c>
      <c r="R128" s="172">
        <f>IFERROR(__xludf.DUMMYFUNCTION("""COMPUTED_VALUE"""),0.0)</f>
        <v>0</v>
      </c>
      <c r="S128" s="172">
        <f>IFERROR(__xludf.DUMMYFUNCTION("""COMPUTED_VALUE"""),0.0)</f>
        <v>0</v>
      </c>
      <c r="T128" s="172">
        <f>IFERROR(__xludf.DUMMYFUNCTION("""COMPUTED_VALUE"""),4.0)</f>
        <v>4</v>
      </c>
      <c r="U128" s="14"/>
      <c r="V128" s="80"/>
      <c r="W128" s="14">
        <f t="shared" si="39"/>
        <v>45071</v>
      </c>
      <c r="X128" s="172">
        <f t="shared" ref="X128:AC128" si="129">M128</f>
        <v>4</v>
      </c>
      <c r="Y128" s="172">
        <f t="shared" si="129"/>
        <v>4</v>
      </c>
      <c r="Z128" s="172">
        <f t="shared" si="129"/>
        <v>0</v>
      </c>
      <c r="AA128" s="172">
        <f t="shared" si="129"/>
        <v>0</v>
      </c>
      <c r="AB128" s="172">
        <f t="shared" si="129"/>
        <v>0</v>
      </c>
      <c r="AC128" s="172">
        <f t="shared" si="129"/>
        <v>0</v>
      </c>
    </row>
    <row r="129">
      <c r="B129" s="12">
        <f>IFERROR(__xludf.DUMMYFUNCTION("""COMPUTED_VALUE"""),45012.0)</f>
        <v>45012</v>
      </c>
      <c r="C129" s="54">
        <f>IFERROR(__xludf.DUMMYFUNCTION("""COMPUTED_VALUE"""),9.0)</f>
        <v>9</v>
      </c>
      <c r="D129" s="7">
        <f>IFERROR(__xludf.DUMMYFUNCTION("""COMPUTED_VALUE"""),9.0)</f>
        <v>9</v>
      </c>
      <c r="E129" s="7">
        <f>IFERROR(__xludf.DUMMYFUNCTION("""COMPUTED_VALUE"""),0.0)</f>
        <v>0</v>
      </c>
      <c r="F129" s="7">
        <f>IFERROR(__xludf.DUMMYFUNCTION("""COMPUTED_VALUE"""),0.0)</f>
        <v>0</v>
      </c>
      <c r="G129" s="7">
        <f>IFERROR(__xludf.DUMMYFUNCTION("""COMPUTED_VALUE"""),0.0)</f>
        <v>0</v>
      </c>
      <c r="H129" s="7">
        <f>IFERROR(__xludf.DUMMYFUNCTION("""COMPUTED_VALUE"""),0.0)</f>
        <v>0</v>
      </c>
      <c r="I129" s="7">
        <f>IFERROR(__xludf.DUMMYFUNCTION("""COMPUTED_VALUE"""),0.0)</f>
        <v>0</v>
      </c>
      <c r="J129" s="54" t="b">
        <f>IFERROR(__xludf.DUMMYFUNCTION("""COMPUTED_VALUE"""),TRUE)</f>
        <v>1</v>
      </c>
      <c r="K129" s="80"/>
      <c r="L129" s="12">
        <f>IFERROR(__xludf.DUMMYFUNCTION("""COMPUTED_VALUE"""),45072.0)</f>
        <v>45072</v>
      </c>
      <c r="M129" s="172">
        <f>IFERROR(__xludf.DUMMYFUNCTION("""COMPUTED_VALUE"""),4.0)</f>
        <v>4</v>
      </c>
      <c r="N129" s="172">
        <f>IFERROR(__xludf.DUMMYFUNCTION("""COMPUTED_VALUE"""),4.0)</f>
        <v>4</v>
      </c>
      <c r="O129" s="172">
        <f>IFERROR(__xludf.DUMMYFUNCTION("""COMPUTED_VALUE"""),0.0)</f>
        <v>0</v>
      </c>
      <c r="P129" s="172">
        <f>IFERROR(__xludf.DUMMYFUNCTION("""COMPUTED_VALUE"""),0.0)</f>
        <v>0</v>
      </c>
      <c r="Q129" s="172">
        <f>IFERROR(__xludf.DUMMYFUNCTION("""COMPUTED_VALUE"""),0.0)</f>
        <v>0</v>
      </c>
      <c r="R129" s="172">
        <f>IFERROR(__xludf.DUMMYFUNCTION("""COMPUTED_VALUE"""),0.0)</f>
        <v>0</v>
      </c>
      <c r="S129" s="172">
        <f>IFERROR(__xludf.DUMMYFUNCTION("""COMPUTED_VALUE"""),0.0)</f>
        <v>0</v>
      </c>
      <c r="T129" s="172">
        <f>IFERROR(__xludf.DUMMYFUNCTION("""COMPUTED_VALUE"""),4.0)</f>
        <v>4</v>
      </c>
      <c r="U129" s="14"/>
      <c r="V129" s="80"/>
      <c r="W129" s="14">
        <f t="shared" si="39"/>
        <v>45072</v>
      </c>
      <c r="X129" s="172">
        <f t="shared" ref="X129:AC129" si="130">M129</f>
        <v>4</v>
      </c>
      <c r="Y129" s="172">
        <f t="shared" si="130"/>
        <v>4</v>
      </c>
      <c r="Z129" s="172">
        <f t="shared" si="130"/>
        <v>0</v>
      </c>
      <c r="AA129" s="172">
        <f t="shared" si="130"/>
        <v>0</v>
      </c>
      <c r="AB129" s="172">
        <f t="shared" si="130"/>
        <v>0</v>
      </c>
      <c r="AC129" s="172">
        <f t="shared" si="130"/>
        <v>0</v>
      </c>
    </row>
    <row r="130">
      <c r="B130" s="12">
        <f>IFERROR(__xludf.DUMMYFUNCTION("""COMPUTED_VALUE"""),45013.0)</f>
        <v>45013</v>
      </c>
      <c r="C130" s="54">
        <f>IFERROR(__xludf.DUMMYFUNCTION("""COMPUTED_VALUE"""),8.0)</f>
        <v>8</v>
      </c>
      <c r="D130" s="7">
        <f>IFERROR(__xludf.DUMMYFUNCTION("""COMPUTED_VALUE"""),8.0)</f>
        <v>8</v>
      </c>
      <c r="E130" s="7">
        <f>IFERROR(__xludf.DUMMYFUNCTION("""COMPUTED_VALUE"""),0.0)</f>
        <v>0</v>
      </c>
      <c r="F130" s="7">
        <f>IFERROR(__xludf.DUMMYFUNCTION("""COMPUTED_VALUE"""),0.0)</f>
        <v>0</v>
      </c>
      <c r="G130" s="7">
        <f>IFERROR(__xludf.DUMMYFUNCTION("""COMPUTED_VALUE"""),0.0)</f>
        <v>0</v>
      </c>
      <c r="H130" s="7">
        <f>IFERROR(__xludf.DUMMYFUNCTION("""COMPUTED_VALUE"""),0.0)</f>
        <v>0</v>
      </c>
      <c r="I130" s="7">
        <f>IFERROR(__xludf.DUMMYFUNCTION("""COMPUTED_VALUE"""),0.0)</f>
        <v>0</v>
      </c>
      <c r="J130" s="54" t="b">
        <f>IFERROR(__xludf.DUMMYFUNCTION("""COMPUTED_VALUE"""),TRUE)</f>
        <v>1</v>
      </c>
      <c r="K130" s="80"/>
      <c r="L130" s="12">
        <f>IFERROR(__xludf.DUMMYFUNCTION("""COMPUTED_VALUE"""),45075.0)</f>
        <v>45075</v>
      </c>
      <c r="M130" s="172">
        <f>IFERROR(__xludf.DUMMYFUNCTION("""COMPUTED_VALUE"""),28.0)</f>
        <v>28</v>
      </c>
      <c r="N130" s="172">
        <f>IFERROR(__xludf.DUMMYFUNCTION("""COMPUTED_VALUE"""),28.0)</f>
        <v>28</v>
      </c>
      <c r="O130" s="172">
        <f>IFERROR(__xludf.DUMMYFUNCTION("""COMPUTED_VALUE"""),0.0)</f>
        <v>0</v>
      </c>
      <c r="P130" s="172">
        <f>IFERROR(__xludf.DUMMYFUNCTION("""COMPUTED_VALUE"""),0.0)</f>
        <v>0</v>
      </c>
      <c r="Q130" s="172">
        <f>IFERROR(__xludf.DUMMYFUNCTION("""COMPUTED_VALUE"""),0.0)</f>
        <v>0</v>
      </c>
      <c r="R130" s="172">
        <f>IFERROR(__xludf.DUMMYFUNCTION("""COMPUTED_VALUE"""),0.0)</f>
        <v>0</v>
      </c>
      <c r="S130" s="172">
        <f>IFERROR(__xludf.DUMMYFUNCTION("""COMPUTED_VALUE"""),0.0)</f>
        <v>0</v>
      </c>
      <c r="T130" s="172">
        <f>IFERROR(__xludf.DUMMYFUNCTION("""COMPUTED_VALUE"""),28.0)</f>
        <v>28</v>
      </c>
      <c r="U130" s="14"/>
      <c r="V130" s="80"/>
      <c r="W130" s="14">
        <f t="shared" si="39"/>
        <v>45075</v>
      </c>
      <c r="X130" s="172">
        <f t="shared" ref="X130:AC130" si="131">M130</f>
        <v>28</v>
      </c>
      <c r="Y130" s="172">
        <f t="shared" si="131"/>
        <v>28</v>
      </c>
      <c r="Z130" s="172">
        <f t="shared" si="131"/>
        <v>0</v>
      </c>
      <c r="AA130" s="172">
        <f t="shared" si="131"/>
        <v>0</v>
      </c>
      <c r="AB130" s="172">
        <f t="shared" si="131"/>
        <v>0</v>
      </c>
      <c r="AC130" s="172">
        <f t="shared" si="131"/>
        <v>0</v>
      </c>
    </row>
    <row r="131">
      <c r="B131" s="12">
        <f>IFERROR(__xludf.DUMMYFUNCTION("""COMPUTED_VALUE"""),45014.0)</f>
        <v>45014</v>
      </c>
      <c r="C131" s="54">
        <f>IFERROR(__xludf.DUMMYFUNCTION("""COMPUTED_VALUE"""),10.0)</f>
        <v>10</v>
      </c>
      <c r="D131" s="7">
        <f>IFERROR(__xludf.DUMMYFUNCTION("""COMPUTED_VALUE"""),10.0)</f>
        <v>10</v>
      </c>
      <c r="E131" s="7">
        <f>IFERROR(__xludf.DUMMYFUNCTION("""COMPUTED_VALUE"""),0.0)</f>
        <v>0</v>
      </c>
      <c r="F131" s="7">
        <f>IFERROR(__xludf.DUMMYFUNCTION("""COMPUTED_VALUE"""),0.0)</f>
        <v>0</v>
      </c>
      <c r="G131" s="7">
        <f>IFERROR(__xludf.DUMMYFUNCTION("""COMPUTED_VALUE"""),0.0)</f>
        <v>0</v>
      </c>
      <c r="H131" s="7">
        <f>IFERROR(__xludf.DUMMYFUNCTION("""COMPUTED_VALUE"""),0.0)</f>
        <v>0</v>
      </c>
      <c r="I131" s="7">
        <f>IFERROR(__xludf.DUMMYFUNCTION("""COMPUTED_VALUE"""),0.0)</f>
        <v>0</v>
      </c>
      <c r="J131" s="54"/>
      <c r="K131" s="80"/>
      <c r="L131" s="12">
        <f>IFERROR(__xludf.DUMMYFUNCTION("""COMPUTED_VALUE"""),45076.0)</f>
        <v>45076</v>
      </c>
      <c r="M131" s="172">
        <f>IFERROR(__xludf.DUMMYFUNCTION("""COMPUTED_VALUE"""),5.0)</f>
        <v>5</v>
      </c>
      <c r="N131" s="172">
        <f>IFERROR(__xludf.DUMMYFUNCTION("""COMPUTED_VALUE"""),5.0)</f>
        <v>5</v>
      </c>
      <c r="O131" s="172">
        <f>IFERROR(__xludf.DUMMYFUNCTION("""COMPUTED_VALUE"""),0.0)</f>
        <v>0</v>
      </c>
      <c r="P131" s="172">
        <f>IFERROR(__xludf.DUMMYFUNCTION("""COMPUTED_VALUE"""),0.0)</f>
        <v>0</v>
      </c>
      <c r="Q131" s="172">
        <f>IFERROR(__xludf.DUMMYFUNCTION("""COMPUTED_VALUE"""),0.0)</f>
        <v>0</v>
      </c>
      <c r="R131" s="172">
        <f>IFERROR(__xludf.DUMMYFUNCTION("""COMPUTED_VALUE"""),0.0)</f>
        <v>0</v>
      </c>
      <c r="S131" s="172">
        <f>IFERROR(__xludf.DUMMYFUNCTION("""COMPUTED_VALUE"""),0.0)</f>
        <v>0</v>
      </c>
      <c r="T131" s="172">
        <f>IFERROR(__xludf.DUMMYFUNCTION("""COMPUTED_VALUE"""),5.0)</f>
        <v>5</v>
      </c>
      <c r="U131" s="14"/>
      <c r="V131" s="80"/>
      <c r="W131" s="14">
        <f t="shared" si="39"/>
        <v>45076</v>
      </c>
      <c r="X131" s="172">
        <f t="shared" ref="X131:AC131" si="132">M131</f>
        <v>5</v>
      </c>
      <c r="Y131" s="172">
        <f t="shared" si="132"/>
        <v>5</v>
      </c>
      <c r="Z131" s="172">
        <f t="shared" si="132"/>
        <v>0</v>
      </c>
      <c r="AA131" s="172">
        <f t="shared" si="132"/>
        <v>0</v>
      </c>
      <c r="AB131" s="172">
        <f t="shared" si="132"/>
        <v>0</v>
      </c>
      <c r="AC131" s="172">
        <f t="shared" si="132"/>
        <v>0</v>
      </c>
    </row>
    <row r="132">
      <c r="B132" s="12">
        <f>IFERROR(__xludf.DUMMYFUNCTION("""COMPUTED_VALUE"""),45015.0)</f>
        <v>45015</v>
      </c>
      <c r="C132" s="54">
        <f>IFERROR(__xludf.DUMMYFUNCTION("""COMPUTED_VALUE"""),10.0)</f>
        <v>10</v>
      </c>
      <c r="D132" s="7">
        <f>IFERROR(__xludf.DUMMYFUNCTION("""COMPUTED_VALUE"""),9.0)</f>
        <v>9</v>
      </c>
      <c r="E132" s="7">
        <f>IFERROR(__xludf.DUMMYFUNCTION("""COMPUTED_VALUE"""),1.0)</f>
        <v>1</v>
      </c>
      <c r="F132" s="7">
        <f>IFERROR(__xludf.DUMMYFUNCTION("""COMPUTED_VALUE"""),0.0)</f>
        <v>0</v>
      </c>
      <c r="G132" s="7">
        <f>IFERROR(__xludf.DUMMYFUNCTION("""COMPUTED_VALUE"""),0.0)</f>
        <v>0</v>
      </c>
      <c r="H132" s="7">
        <f>IFERROR(__xludf.DUMMYFUNCTION("""COMPUTED_VALUE"""),0.0)</f>
        <v>0</v>
      </c>
      <c r="I132" s="7">
        <f>IFERROR(__xludf.DUMMYFUNCTION("""COMPUTED_VALUE"""),0.0)</f>
        <v>0</v>
      </c>
      <c r="J132" s="54" t="b">
        <f>IFERROR(__xludf.DUMMYFUNCTION("""COMPUTED_VALUE"""),TRUE)</f>
        <v>1</v>
      </c>
      <c r="K132" s="80"/>
      <c r="L132" s="12">
        <f>IFERROR(__xludf.DUMMYFUNCTION("""COMPUTED_VALUE"""),45078.0)</f>
        <v>45078</v>
      </c>
      <c r="M132" s="172">
        <f>IFERROR(__xludf.DUMMYFUNCTION("""COMPUTED_VALUE"""),10.0)</f>
        <v>10</v>
      </c>
      <c r="N132" s="172">
        <f>IFERROR(__xludf.DUMMYFUNCTION("""COMPUTED_VALUE"""),10.0)</f>
        <v>10</v>
      </c>
      <c r="O132" s="172">
        <f>IFERROR(__xludf.DUMMYFUNCTION("""COMPUTED_VALUE"""),0.0)</f>
        <v>0</v>
      </c>
      <c r="P132" s="172">
        <f>IFERROR(__xludf.DUMMYFUNCTION("""COMPUTED_VALUE"""),0.0)</f>
        <v>0</v>
      </c>
      <c r="Q132" s="172">
        <f>IFERROR(__xludf.DUMMYFUNCTION("""COMPUTED_VALUE"""),0.0)</f>
        <v>0</v>
      </c>
      <c r="R132" s="172">
        <f>IFERROR(__xludf.DUMMYFUNCTION("""COMPUTED_VALUE"""),0.0)</f>
        <v>0</v>
      </c>
      <c r="S132" s="172">
        <f>IFERROR(__xludf.DUMMYFUNCTION("""COMPUTED_VALUE"""),0.0)</f>
        <v>0</v>
      </c>
      <c r="T132" s="172">
        <f>IFERROR(__xludf.DUMMYFUNCTION("""COMPUTED_VALUE"""),10.0)</f>
        <v>10</v>
      </c>
      <c r="U132" s="14"/>
      <c r="V132" s="80"/>
      <c r="W132" s="14">
        <f t="shared" si="39"/>
        <v>45078</v>
      </c>
      <c r="X132" s="172">
        <f t="shared" ref="X132:AC132" si="133">M132</f>
        <v>10</v>
      </c>
      <c r="Y132" s="172">
        <f t="shared" si="133"/>
        <v>10</v>
      </c>
      <c r="Z132" s="172">
        <f t="shared" si="133"/>
        <v>0</v>
      </c>
      <c r="AA132" s="172">
        <f t="shared" si="133"/>
        <v>0</v>
      </c>
      <c r="AB132" s="172">
        <f t="shared" si="133"/>
        <v>0</v>
      </c>
      <c r="AC132" s="172">
        <f t="shared" si="133"/>
        <v>0</v>
      </c>
    </row>
    <row r="133">
      <c r="B133" s="12">
        <f>IFERROR(__xludf.DUMMYFUNCTION("""COMPUTED_VALUE"""),45016.0)</f>
        <v>45016</v>
      </c>
      <c r="C133" s="54">
        <f>IFERROR(__xludf.DUMMYFUNCTION("""COMPUTED_VALUE"""),2.0)</f>
        <v>2</v>
      </c>
      <c r="D133" s="7">
        <f>IFERROR(__xludf.DUMMYFUNCTION("""COMPUTED_VALUE"""),2.0)</f>
        <v>2</v>
      </c>
      <c r="E133" s="7">
        <f>IFERROR(__xludf.DUMMYFUNCTION("""COMPUTED_VALUE"""),0.0)</f>
        <v>0</v>
      </c>
      <c r="F133" s="7">
        <f>IFERROR(__xludf.DUMMYFUNCTION("""COMPUTED_VALUE"""),0.0)</f>
        <v>0</v>
      </c>
      <c r="G133" s="7">
        <f>IFERROR(__xludf.DUMMYFUNCTION("""COMPUTED_VALUE"""),0.0)</f>
        <v>0</v>
      </c>
      <c r="H133" s="7">
        <f>IFERROR(__xludf.DUMMYFUNCTION("""COMPUTED_VALUE"""),0.0)</f>
        <v>0</v>
      </c>
      <c r="I133" s="7">
        <f>IFERROR(__xludf.DUMMYFUNCTION("""COMPUTED_VALUE"""),0.0)</f>
        <v>0</v>
      </c>
      <c r="J133" s="54" t="b">
        <f>IFERROR(__xludf.DUMMYFUNCTION("""COMPUTED_VALUE"""),TRUE)</f>
        <v>1</v>
      </c>
      <c r="K133" s="80"/>
      <c r="L133" s="12">
        <f>IFERROR(__xludf.DUMMYFUNCTION("""COMPUTED_VALUE"""),45079.0)</f>
        <v>45079</v>
      </c>
      <c r="M133" s="172">
        <f>IFERROR(__xludf.DUMMYFUNCTION("""COMPUTED_VALUE"""),4.0)</f>
        <v>4</v>
      </c>
      <c r="N133" s="172">
        <f>IFERROR(__xludf.DUMMYFUNCTION("""COMPUTED_VALUE"""),4.0)</f>
        <v>4</v>
      </c>
      <c r="O133" s="172">
        <f>IFERROR(__xludf.DUMMYFUNCTION("""COMPUTED_VALUE"""),0.0)</f>
        <v>0</v>
      </c>
      <c r="P133" s="172">
        <f>IFERROR(__xludf.DUMMYFUNCTION("""COMPUTED_VALUE"""),0.0)</f>
        <v>0</v>
      </c>
      <c r="Q133" s="172">
        <f>IFERROR(__xludf.DUMMYFUNCTION("""COMPUTED_VALUE"""),0.0)</f>
        <v>0</v>
      </c>
      <c r="R133" s="172">
        <f>IFERROR(__xludf.DUMMYFUNCTION("""COMPUTED_VALUE"""),0.0)</f>
        <v>0</v>
      </c>
      <c r="S133" s="172">
        <f>IFERROR(__xludf.DUMMYFUNCTION("""COMPUTED_VALUE"""),0.0)</f>
        <v>0</v>
      </c>
      <c r="T133" s="172">
        <f>IFERROR(__xludf.DUMMYFUNCTION("""COMPUTED_VALUE"""),4.0)</f>
        <v>4</v>
      </c>
      <c r="U133" s="14"/>
      <c r="V133" s="80"/>
      <c r="W133" s="14">
        <f t="shared" si="39"/>
        <v>45079</v>
      </c>
      <c r="X133" s="172">
        <f t="shared" ref="X133:AC133" si="134">M133</f>
        <v>4</v>
      </c>
      <c r="Y133" s="172">
        <f t="shared" si="134"/>
        <v>4</v>
      </c>
      <c r="Z133" s="172">
        <f t="shared" si="134"/>
        <v>0</v>
      </c>
      <c r="AA133" s="172">
        <f t="shared" si="134"/>
        <v>0</v>
      </c>
      <c r="AB133" s="172">
        <f t="shared" si="134"/>
        <v>0</v>
      </c>
      <c r="AC133" s="172">
        <f t="shared" si="134"/>
        <v>0</v>
      </c>
    </row>
    <row r="134">
      <c r="B134" s="12">
        <f>IFERROR(__xludf.DUMMYFUNCTION("""COMPUTED_VALUE"""),45019.0)</f>
        <v>45019</v>
      </c>
      <c r="C134" s="54">
        <f>IFERROR(__xludf.DUMMYFUNCTION("""COMPUTED_VALUE"""),7.0)</f>
        <v>7</v>
      </c>
      <c r="D134" s="7">
        <f>IFERROR(__xludf.DUMMYFUNCTION("""COMPUTED_VALUE"""),7.0)</f>
        <v>7</v>
      </c>
      <c r="E134" s="7">
        <f>IFERROR(__xludf.DUMMYFUNCTION("""COMPUTED_VALUE"""),0.0)</f>
        <v>0</v>
      </c>
      <c r="F134" s="7">
        <f>IFERROR(__xludf.DUMMYFUNCTION("""COMPUTED_VALUE"""),0.0)</f>
        <v>0</v>
      </c>
      <c r="G134" s="7">
        <f>IFERROR(__xludf.DUMMYFUNCTION("""COMPUTED_VALUE"""),0.0)</f>
        <v>0</v>
      </c>
      <c r="H134" s="7">
        <f>IFERROR(__xludf.DUMMYFUNCTION("""COMPUTED_VALUE"""),0.0)</f>
        <v>0</v>
      </c>
      <c r="I134" s="7">
        <f>IFERROR(__xludf.DUMMYFUNCTION("""COMPUTED_VALUE"""),0.0)</f>
        <v>0</v>
      </c>
      <c r="J134" s="54" t="b">
        <f>IFERROR(__xludf.DUMMYFUNCTION("""COMPUTED_VALUE"""),TRUE)</f>
        <v>1</v>
      </c>
      <c r="K134" s="80"/>
      <c r="L134" s="7"/>
      <c r="M134" s="7"/>
      <c r="N134" s="7"/>
      <c r="O134" s="7"/>
      <c r="P134" s="7"/>
      <c r="Q134" s="7"/>
      <c r="R134" s="7"/>
      <c r="S134" s="7"/>
      <c r="T134" s="7"/>
    </row>
    <row r="135">
      <c r="B135" s="12">
        <f>IFERROR(__xludf.DUMMYFUNCTION("""COMPUTED_VALUE"""),45020.0)</f>
        <v>45020</v>
      </c>
      <c r="C135" s="54">
        <f>IFERROR(__xludf.DUMMYFUNCTION("""COMPUTED_VALUE"""),7.0)</f>
        <v>7</v>
      </c>
      <c r="D135" s="7">
        <f>IFERROR(__xludf.DUMMYFUNCTION("""COMPUTED_VALUE"""),7.0)</f>
        <v>7</v>
      </c>
      <c r="E135" s="7">
        <f>IFERROR(__xludf.DUMMYFUNCTION("""COMPUTED_VALUE"""),0.0)</f>
        <v>0</v>
      </c>
      <c r="F135" s="7">
        <f>IFERROR(__xludf.DUMMYFUNCTION("""COMPUTED_VALUE"""),0.0)</f>
        <v>0</v>
      </c>
      <c r="G135" s="7">
        <f>IFERROR(__xludf.DUMMYFUNCTION("""COMPUTED_VALUE"""),0.0)</f>
        <v>0</v>
      </c>
      <c r="H135" s="7">
        <f>IFERROR(__xludf.DUMMYFUNCTION("""COMPUTED_VALUE"""),0.0)</f>
        <v>0</v>
      </c>
      <c r="I135" s="7">
        <f>IFERROR(__xludf.DUMMYFUNCTION("""COMPUTED_VALUE"""),0.0)</f>
        <v>0</v>
      </c>
      <c r="J135" s="54" t="b">
        <f>IFERROR(__xludf.DUMMYFUNCTION("""COMPUTED_VALUE"""),TRUE)</f>
        <v>1</v>
      </c>
      <c r="K135" s="80"/>
      <c r="L135" s="7"/>
      <c r="M135" s="7"/>
      <c r="N135" s="7"/>
      <c r="O135" s="7"/>
      <c r="P135" s="7"/>
      <c r="Q135" s="7"/>
      <c r="R135" s="7"/>
      <c r="S135" s="7"/>
      <c r="T135" s="7"/>
    </row>
    <row r="136">
      <c r="B136" s="12">
        <f>IFERROR(__xludf.DUMMYFUNCTION("""COMPUTED_VALUE"""),45021.0)</f>
        <v>45021</v>
      </c>
      <c r="C136" s="54">
        <f>IFERROR(__xludf.DUMMYFUNCTION("""COMPUTED_VALUE"""),2.0)</f>
        <v>2</v>
      </c>
      <c r="D136" s="7">
        <f>IFERROR(__xludf.DUMMYFUNCTION("""COMPUTED_VALUE"""),2.0)</f>
        <v>2</v>
      </c>
      <c r="E136" s="7">
        <f>IFERROR(__xludf.DUMMYFUNCTION("""COMPUTED_VALUE"""),0.0)</f>
        <v>0</v>
      </c>
      <c r="F136" s="7">
        <f>IFERROR(__xludf.DUMMYFUNCTION("""COMPUTED_VALUE"""),0.0)</f>
        <v>0</v>
      </c>
      <c r="G136" s="7">
        <f>IFERROR(__xludf.DUMMYFUNCTION("""COMPUTED_VALUE"""),0.0)</f>
        <v>0</v>
      </c>
      <c r="H136" s="7">
        <f>IFERROR(__xludf.DUMMYFUNCTION("""COMPUTED_VALUE"""),0.0)</f>
        <v>0</v>
      </c>
      <c r="I136" s="7">
        <f>IFERROR(__xludf.DUMMYFUNCTION("""COMPUTED_VALUE"""),0.0)</f>
        <v>0</v>
      </c>
      <c r="J136" s="54"/>
      <c r="K136" s="80"/>
      <c r="L136" s="7"/>
      <c r="M136" s="7"/>
      <c r="N136" s="7"/>
      <c r="O136" s="7"/>
      <c r="P136" s="7"/>
      <c r="Q136" s="7"/>
      <c r="R136" s="7"/>
      <c r="S136" s="7"/>
      <c r="T136" s="7"/>
    </row>
    <row r="137">
      <c r="B137" s="12">
        <f>IFERROR(__xludf.DUMMYFUNCTION("""COMPUTED_VALUE"""),45022.0)</f>
        <v>45022</v>
      </c>
      <c r="C137" s="54">
        <f>IFERROR(__xludf.DUMMYFUNCTION("""COMPUTED_VALUE"""),7.0)</f>
        <v>7</v>
      </c>
      <c r="D137" s="7">
        <f>IFERROR(__xludf.DUMMYFUNCTION("""COMPUTED_VALUE"""),7.0)</f>
        <v>7</v>
      </c>
      <c r="E137" s="7">
        <f>IFERROR(__xludf.DUMMYFUNCTION("""COMPUTED_VALUE"""),0.0)</f>
        <v>0</v>
      </c>
      <c r="F137" s="7">
        <f>IFERROR(__xludf.DUMMYFUNCTION("""COMPUTED_VALUE"""),0.0)</f>
        <v>0</v>
      </c>
      <c r="G137" s="7">
        <f>IFERROR(__xludf.DUMMYFUNCTION("""COMPUTED_VALUE"""),0.0)</f>
        <v>0</v>
      </c>
      <c r="H137" s="7">
        <f>IFERROR(__xludf.DUMMYFUNCTION("""COMPUTED_VALUE"""),0.0)</f>
        <v>0</v>
      </c>
      <c r="I137" s="7">
        <f>IFERROR(__xludf.DUMMYFUNCTION("""COMPUTED_VALUE"""),0.0)</f>
        <v>0</v>
      </c>
      <c r="J137" s="54" t="b">
        <f>IFERROR(__xludf.DUMMYFUNCTION("""COMPUTED_VALUE"""),TRUE)</f>
        <v>1</v>
      </c>
      <c r="K137" s="80"/>
      <c r="L137" s="7"/>
      <c r="M137" s="7"/>
      <c r="N137" s="7"/>
      <c r="O137" s="7"/>
      <c r="P137" s="7"/>
      <c r="Q137" s="7"/>
      <c r="R137" s="7"/>
      <c r="S137" s="7"/>
      <c r="T137" s="7"/>
    </row>
    <row r="138">
      <c r="B138" s="12">
        <f>IFERROR(__xludf.DUMMYFUNCTION("""COMPUTED_VALUE"""),45023.0)</f>
        <v>45023</v>
      </c>
      <c r="C138" s="54">
        <f>IFERROR(__xludf.DUMMYFUNCTION("""COMPUTED_VALUE"""),5.0)</f>
        <v>5</v>
      </c>
      <c r="D138" s="7">
        <f>IFERROR(__xludf.DUMMYFUNCTION("""COMPUTED_VALUE"""),5.0)</f>
        <v>5</v>
      </c>
      <c r="E138" s="7">
        <f>IFERROR(__xludf.DUMMYFUNCTION("""COMPUTED_VALUE"""),0.0)</f>
        <v>0</v>
      </c>
      <c r="F138" s="7">
        <f>IFERROR(__xludf.DUMMYFUNCTION("""COMPUTED_VALUE"""),0.0)</f>
        <v>0</v>
      </c>
      <c r="G138" s="7">
        <f>IFERROR(__xludf.DUMMYFUNCTION("""COMPUTED_VALUE"""),0.0)</f>
        <v>0</v>
      </c>
      <c r="H138" s="7">
        <f>IFERROR(__xludf.DUMMYFUNCTION("""COMPUTED_VALUE"""),0.0)</f>
        <v>0</v>
      </c>
      <c r="I138" s="7">
        <f>IFERROR(__xludf.DUMMYFUNCTION("""COMPUTED_VALUE"""),0.0)</f>
        <v>0</v>
      </c>
      <c r="J138" s="54" t="b">
        <f>IFERROR(__xludf.DUMMYFUNCTION("""COMPUTED_VALUE"""),TRUE)</f>
        <v>1</v>
      </c>
      <c r="K138" s="80"/>
      <c r="L138" s="7"/>
      <c r="M138" s="7"/>
      <c r="N138" s="7"/>
      <c r="O138" s="7"/>
      <c r="P138" s="7"/>
      <c r="Q138" s="7"/>
      <c r="R138" s="7"/>
      <c r="S138" s="7"/>
      <c r="T138" s="7"/>
    </row>
    <row r="139">
      <c r="B139" s="12">
        <f>IFERROR(__xludf.DUMMYFUNCTION("""COMPUTED_VALUE"""),45026.0)</f>
        <v>45026</v>
      </c>
      <c r="C139" s="54">
        <f>IFERROR(__xludf.DUMMYFUNCTION("""COMPUTED_VALUE"""),9.0)</f>
        <v>9</v>
      </c>
      <c r="D139" s="7">
        <f>IFERROR(__xludf.DUMMYFUNCTION("""COMPUTED_VALUE"""),9.0)</f>
        <v>9</v>
      </c>
      <c r="E139" s="7">
        <f>IFERROR(__xludf.DUMMYFUNCTION("""COMPUTED_VALUE"""),0.0)</f>
        <v>0</v>
      </c>
      <c r="F139" s="7">
        <f>IFERROR(__xludf.DUMMYFUNCTION("""COMPUTED_VALUE"""),0.0)</f>
        <v>0</v>
      </c>
      <c r="G139" s="7">
        <f>IFERROR(__xludf.DUMMYFUNCTION("""COMPUTED_VALUE"""),0.0)</f>
        <v>0</v>
      </c>
      <c r="H139" s="7">
        <f>IFERROR(__xludf.DUMMYFUNCTION("""COMPUTED_VALUE"""),0.0)</f>
        <v>0</v>
      </c>
      <c r="I139" s="7">
        <f>IFERROR(__xludf.DUMMYFUNCTION("""COMPUTED_VALUE"""),0.0)</f>
        <v>0</v>
      </c>
      <c r="J139" s="54" t="b">
        <f>IFERROR(__xludf.DUMMYFUNCTION("""COMPUTED_VALUE"""),TRUE)</f>
        <v>1</v>
      </c>
      <c r="K139" s="80"/>
      <c r="L139" s="7"/>
      <c r="M139" s="7"/>
      <c r="N139" s="7"/>
      <c r="O139" s="7"/>
      <c r="P139" s="7"/>
      <c r="Q139" s="7"/>
      <c r="R139" s="7"/>
      <c r="S139" s="7"/>
      <c r="T139" s="7"/>
    </row>
    <row r="140">
      <c r="B140" s="12">
        <f>IFERROR(__xludf.DUMMYFUNCTION("""COMPUTED_VALUE"""),45027.0)</f>
        <v>45027</v>
      </c>
      <c r="C140" s="54">
        <f>IFERROR(__xludf.DUMMYFUNCTION("""COMPUTED_VALUE"""),7.0)</f>
        <v>7</v>
      </c>
      <c r="D140" s="7">
        <f>IFERROR(__xludf.DUMMYFUNCTION("""COMPUTED_VALUE"""),7.0)</f>
        <v>7</v>
      </c>
      <c r="E140" s="7">
        <f>IFERROR(__xludf.DUMMYFUNCTION("""COMPUTED_VALUE"""),0.0)</f>
        <v>0</v>
      </c>
      <c r="F140" s="7">
        <f>IFERROR(__xludf.DUMMYFUNCTION("""COMPUTED_VALUE"""),0.0)</f>
        <v>0</v>
      </c>
      <c r="G140" s="7">
        <f>IFERROR(__xludf.DUMMYFUNCTION("""COMPUTED_VALUE"""),0.0)</f>
        <v>0</v>
      </c>
      <c r="H140" s="7">
        <f>IFERROR(__xludf.DUMMYFUNCTION("""COMPUTED_VALUE"""),0.0)</f>
        <v>0</v>
      </c>
      <c r="I140" s="7">
        <f>IFERROR(__xludf.DUMMYFUNCTION("""COMPUTED_VALUE"""),0.0)</f>
        <v>0</v>
      </c>
      <c r="J140" s="54"/>
      <c r="K140" s="80"/>
      <c r="L140" s="7"/>
      <c r="M140" s="7"/>
      <c r="N140" s="7"/>
      <c r="O140" s="7"/>
      <c r="P140" s="7"/>
      <c r="Q140" s="7"/>
      <c r="R140" s="7"/>
      <c r="S140" s="7"/>
      <c r="T140" s="7"/>
    </row>
    <row r="141">
      <c r="B141" s="12">
        <f>IFERROR(__xludf.DUMMYFUNCTION("""COMPUTED_VALUE"""),45028.0)</f>
        <v>45028</v>
      </c>
      <c r="C141" s="54">
        <f>IFERROR(__xludf.DUMMYFUNCTION("""COMPUTED_VALUE"""),7.0)</f>
        <v>7</v>
      </c>
      <c r="D141" s="7">
        <f>IFERROR(__xludf.DUMMYFUNCTION("""COMPUTED_VALUE"""),7.0)</f>
        <v>7</v>
      </c>
      <c r="E141" s="7">
        <f>IFERROR(__xludf.DUMMYFUNCTION("""COMPUTED_VALUE"""),0.0)</f>
        <v>0</v>
      </c>
      <c r="F141" s="7">
        <f>IFERROR(__xludf.DUMMYFUNCTION("""COMPUTED_VALUE"""),0.0)</f>
        <v>0</v>
      </c>
      <c r="G141" s="7">
        <f>IFERROR(__xludf.DUMMYFUNCTION("""COMPUTED_VALUE"""),0.0)</f>
        <v>0</v>
      </c>
      <c r="H141" s="7">
        <f>IFERROR(__xludf.DUMMYFUNCTION("""COMPUTED_VALUE"""),0.0)</f>
        <v>0</v>
      </c>
      <c r="I141" s="7">
        <f>IFERROR(__xludf.DUMMYFUNCTION("""COMPUTED_VALUE"""),0.0)</f>
        <v>0</v>
      </c>
      <c r="J141" s="54"/>
      <c r="K141" s="80"/>
      <c r="L141" s="7"/>
      <c r="M141" s="7"/>
      <c r="N141" s="7"/>
      <c r="O141" s="7"/>
      <c r="P141" s="7"/>
      <c r="Q141" s="7"/>
      <c r="R141" s="7"/>
      <c r="S141" s="7"/>
      <c r="T141" s="7"/>
    </row>
    <row r="142">
      <c r="B142" s="12">
        <f>IFERROR(__xludf.DUMMYFUNCTION("""COMPUTED_VALUE"""),45029.0)</f>
        <v>45029</v>
      </c>
      <c r="C142" s="54">
        <f>IFERROR(__xludf.DUMMYFUNCTION("""COMPUTED_VALUE"""),8.0)</f>
        <v>8</v>
      </c>
      <c r="D142" s="7">
        <f>IFERROR(__xludf.DUMMYFUNCTION("""COMPUTED_VALUE"""),8.0)</f>
        <v>8</v>
      </c>
      <c r="E142" s="7">
        <f>IFERROR(__xludf.DUMMYFUNCTION("""COMPUTED_VALUE"""),0.0)</f>
        <v>0</v>
      </c>
      <c r="F142" s="7">
        <f>IFERROR(__xludf.DUMMYFUNCTION("""COMPUTED_VALUE"""),0.0)</f>
        <v>0</v>
      </c>
      <c r="G142" s="7">
        <f>IFERROR(__xludf.DUMMYFUNCTION("""COMPUTED_VALUE"""),0.0)</f>
        <v>0</v>
      </c>
      <c r="H142" s="7">
        <f>IFERROR(__xludf.DUMMYFUNCTION("""COMPUTED_VALUE"""),0.0)</f>
        <v>0</v>
      </c>
      <c r="I142" s="7">
        <f>IFERROR(__xludf.DUMMYFUNCTION("""COMPUTED_VALUE"""),0.0)</f>
        <v>0</v>
      </c>
      <c r="J142" s="54"/>
      <c r="K142" s="80"/>
      <c r="L142" s="7"/>
      <c r="M142" s="7"/>
      <c r="N142" s="7"/>
      <c r="O142" s="7"/>
      <c r="P142" s="7"/>
      <c r="Q142" s="7"/>
      <c r="R142" s="7"/>
      <c r="S142" s="7"/>
      <c r="T142" s="7"/>
    </row>
    <row r="143">
      <c r="B143" s="12">
        <f>IFERROR(__xludf.DUMMYFUNCTION("""COMPUTED_VALUE"""),45030.0)</f>
        <v>45030</v>
      </c>
      <c r="C143" s="54">
        <f>IFERROR(__xludf.DUMMYFUNCTION("""COMPUTED_VALUE"""),8.0)</f>
        <v>8</v>
      </c>
      <c r="D143" s="7">
        <f>IFERROR(__xludf.DUMMYFUNCTION("""COMPUTED_VALUE"""),8.0)</f>
        <v>8</v>
      </c>
      <c r="E143" s="7">
        <f>IFERROR(__xludf.DUMMYFUNCTION("""COMPUTED_VALUE"""),0.0)</f>
        <v>0</v>
      </c>
      <c r="F143" s="7">
        <f>IFERROR(__xludf.DUMMYFUNCTION("""COMPUTED_VALUE"""),0.0)</f>
        <v>0</v>
      </c>
      <c r="G143" s="7">
        <f>IFERROR(__xludf.DUMMYFUNCTION("""COMPUTED_VALUE"""),0.0)</f>
        <v>0</v>
      </c>
      <c r="H143" s="7">
        <f>IFERROR(__xludf.DUMMYFUNCTION("""COMPUTED_VALUE"""),0.0)</f>
        <v>0</v>
      </c>
      <c r="I143" s="7">
        <f>IFERROR(__xludf.DUMMYFUNCTION("""COMPUTED_VALUE"""),0.0)</f>
        <v>0</v>
      </c>
      <c r="J143" s="54"/>
      <c r="K143" s="80"/>
      <c r="L143" s="7"/>
      <c r="M143" s="7"/>
      <c r="N143" s="7"/>
      <c r="O143" s="7"/>
      <c r="P143" s="7"/>
      <c r="Q143" s="7"/>
      <c r="R143" s="7"/>
      <c r="S143" s="7"/>
      <c r="T143" s="7"/>
    </row>
    <row r="144">
      <c r="B144" s="12">
        <f>IFERROR(__xludf.DUMMYFUNCTION("""COMPUTED_VALUE"""),45033.0)</f>
        <v>45033</v>
      </c>
      <c r="C144" s="54">
        <f>IFERROR(__xludf.DUMMYFUNCTION("""COMPUTED_VALUE"""),9.0)</f>
        <v>9</v>
      </c>
      <c r="D144" s="7">
        <f>IFERROR(__xludf.DUMMYFUNCTION("""COMPUTED_VALUE"""),9.0)</f>
        <v>9</v>
      </c>
      <c r="E144" s="7">
        <f>IFERROR(__xludf.DUMMYFUNCTION("""COMPUTED_VALUE"""),0.0)</f>
        <v>0</v>
      </c>
      <c r="F144" s="7">
        <f>IFERROR(__xludf.DUMMYFUNCTION("""COMPUTED_VALUE"""),0.0)</f>
        <v>0</v>
      </c>
      <c r="G144" s="7">
        <f>IFERROR(__xludf.DUMMYFUNCTION("""COMPUTED_VALUE"""),0.0)</f>
        <v>0</v>
      </c>
      <c r="H144" s="7">
        <f>IFERROR(__xludf.DUMMYFUNCTION("""COMPUTED_VALUE"""),0.0)</f>
        <v>0</v>
      </c>
      <c r="I144" s="7">
        <f>IFERROR(__xludf.DUMMYFUNCTION("""COMPUTED_VALUE"""),0.0)</f>
        <v>0</v>
      </c>
      <c r="J144" s="54" t="b">
        <f>IFERROR(__xludf.DUMMYFUNCTION("""COMPUTED_VALUE"""),TRUE)</f>
        <v>1</v>
      </c>
      <c r="K144" s="80"/>
      <c r="L144" s="7"/>
      <c r="M144" s="7"/>
      <c r="N144" s="7"/>
      <c r="O144" s="7"/>
      <c r="P144" s="7"/>
      <c r="Q144" s="7"/>
      <c r="R144" s="7"/>
      <c r="S144" s="7"/>
      <c r="T144" s="7"/>
    </row>
    <row r="145">
      <c r="B145" s="12">
        <f>IFERROR(__xludf.DUMMYFUNCTION("""COMPUTED_VALUE"""),45034.0)</f>
        <v>45034</v>
      </c>
      <c r="C145" s="54">
        <f>IFERROR(__xludf.DUMMYFUNCTION("""COMPUTED_VALUE"""),10.0)</f>
        <v>10</v>
      </c>
      <c r="D145" s="7">
        <f>IFERROR(__xludf.DUMMYFUNCTION("""COMPUTED_VALUE"""),10.0)</f>
        <v>10</v>
      </c>
      <c r="E145" s="7">
        <f>IFERROR(__xludf.DUMMYFUNCTION("""COMPUTED_VALUE"""),0.0)</f>
        <v>0</v>
      </c>
      <c r="F145" s="7">
        <f>IFERROR(__xludf.DUMMYFUNCTION("""COMPUTED_VALUE"""),0.0)</f>
        <v>0</v>
      </c>
      <c r="G145" s="7">
        <f>IFERROR(__xludf.DUMMYFUNCTION("""COMPUTED_VALUE"""),0.0)</f>
        <v>0</v>
      </c>
      <c r="H145" s="7">
        <f>IFERROR(__xludf.DUMMYFUNCTION("""COMPUTED_VALUE"""),0.0)</f>
        <v>0</v>
      </c>
      <c r="I145" s="7">
        <f>IFERROR(__xludf.DUMMYFUNCTION("""COMPUTED_VALUE"""),0.0)</f>
        <v>0</v>
      </c>
      <c r="J145" s="54" t="b">
        <f>IFERROR(__xludf.DUMMYFUNCTION("""COMPUTED_VALUE"""),TRUE)</f>
        <v>1</v>
      </c>
      <c r="K145" s="80"/>
      <c r="L145" s="7"/>
      <c r="M145" s="7"/>
      <c r="N145" s="7"/>
      <c r="O145" s="7"/>
      <c r="P145" s="7"/>
      <c r="Q145" s="7"/>
      <c r="R145" s="7"/>
      <c r="S145" s="7"/>
      <c r="T145" s="7"/>
    </row>
    <row r="146">
      <c r="B146" s="12">
        <f>IFERROR(__xludf.DUMMYFUNCTION("""COMPUTED_VALUE"""),45035.0)</f>
        <v>45035</v>
      </c>
      <c r="C146" s="54">
        <f>IFERROR(__xludf.DUMMYFUNCTION("""COMPUTED_VALUE"""),5.0)</f>
        <v>5</v>
      </c>
      <c r="D146" s="7">
        <f>IFERROR(__xludf.DUMMYFUNCTION("""COMPUTED_VALUE"""),5.0)</f>
        <v>5</v>
      </c>
      <c r="E146" s="7">
        <f>IFERROR(__xludf.DUMMYFUNCTION("""COMPUTED_VALUE"""),0.0)</f>
        <v>0</v>
      </c>
      <c r="F146" s="7">
        <f>IFERROR(__xludf.DUMMYFUNCTION("""COMPUTED_VALUE"""),0.0)</f>
        <v>0</v>
      </c>
      <c r="G146" s="7">
        <f>IFERROR(__xludf.DUMMYFUNCTION("""COMPUTED_VALUE"""),0.0)</f>
        <v>0</v>
      </c>
      <c r="H146" s="7">
        <f>IFERROR(__xludf.DUMMYFUNCTION("""COMPUTED_VALUE"""),0.0)</f>
        <v>0</v>
      </c>
      <c r="I146" s="7">
        <f>IFERROR(__xludf.DUMMYFUNCTION("""COMPUTED_VALUE"""),0.0)</f>
        <v>0</v>
      </c>
      <c r="J146" s="54"/>
      <c r="K146" s="80"/>
      <c r="L146" s="7"/>
      <c r="M146" s="7"/>
      <c r="N146" s="7"/>
      <c r="O146" s="7"/>
      <c r="P146" s="7"/>
      <c r="Q146" s="7"/>
      <c r="R146" s="7"/>
      <c r="S146" s="7"/>
      <c r="T146" s="7"/>
    </row>
    <row r="147">
      <c r="B147" s="12">
        <f>IFERROR(__xludf.DUMMYFUNCTION("""COMPUTED_VALUE"""),45036.0)</f>
        <v>45036</v>
      </c>
      <c r="C147" s="54">
        <f>IFERROR(__xludf.DUMMYFUNCTION("""COMPUTED_VALUE"""),8.0)</f>
        <v>8</v>
      </c>
      <c r="D147" s="7">
        <f>IFERROR(__xludf.DUMMYFUNCTION("""COMPUTED_VALUE"""),8.0)</f>
        <v>8</v>
      </c>
      <c r="E147" s="7">
        <f>IFERROR(__xludf.DUMMYFUNCTION("""COMPUTED_VALUE"""),0.0)</f>
        <v>0</v>
      </c>
      <c r="F147" s="7">
        <f>IFERROR(__xludf.DUMMYFUNCTION("""COMPUTED_VALUE"""),0.0)</f>
        <v>0</v>
      </c>
      <c r="G147" s="7">
        <f>IFERROR(__xludf.DUMMYFUNCTION("""COMPUTED_VALUE"""),0.0)</f>
        <v>0</v>
      </c>
      <c r="H147" s="7">
        <f>IFERROR(__xludf.DUMMYFUNCTION("""COMPUTED_VALUE"""),0.0)</f>
        <v>0</v>
      </c>
      <c r="I147" s="7">
        <f>IFERROR(__xludf.DUMMYFUNCTION("""COMPUTED_VALUE"""),0.0)</f>
        <v>0</v>
      </c>
      <c r="J147" s="54"/>
      <c r="K147" s="80"/>
      <c r="L147" s="7"/>
      <c r="M147" s="7"/>
      <c r="N147" s="7"/>
      <c r="O147" s="7"/>
      <c r="P147" s="7"/>
      <c r="Q147" s="7"/>
      <c r="R147" s="7"/>
      <c r="S147" s="7"/>
      <c r="T147" s="7"/>
    </row>
    <row r="148">
      <c r="B148" s="12">
        <f>IFERROR(__xludf.DUMMYFUNCTION("""COMPUTED_VALUE"""),45037.0)</f>
        <v>45037</v>
      </c>
      <c r="C148" s="54">
        <f>IFERROR(__xludf.DUMMYFUNCTION("""COMPUTED_VALUE"""),4.0)</f>
        <v>4</v>
      </c>
      <c r="D148" s="7">
        <f>IFERROR(__xludf.DUMMYFUNCTION("""COMPUTED_VALUE"""),4.0)</f>
        <v>4</v>
      </c>
      <c r="E148" s="7">
        <f>IFERROR(__xludf.DUMMYFUNCTION("""COMPUTED_VALUE"""),0.0)</f>
        <v>0</v>
      </c>
      <c r="F148" s="7">
        <f>IFERROR(__xludf.DUMMYFUNCTION("""COMPUTED_VALUE"""),0.0)</f>
        <v>0</v>
      </c>
      <c r="G148" s="7">
        <f>IFERROR(__xludf.DUMMYFUNCTION("""COMPUTED_VALUE"""),0.0)</f>
        <v>0</v>
      </c>
      <c r="H148" s="7">
        <f>IFERROR(__xludf.DUMMYFUNCTION("""COMPUTED_VALUE"""),0.0)</f>
        <v>0</v>
      </c>
      <c r="I148" s="7">
        <f>IFERROR(__xludf.DUMMYFUNCTION("""COMPUTED_VALUE"""),0.0)</f>
        <v>0</v>
      </c>
      <c r="J148" s="54" t="b">
        <f>IFERROR(__xludf.DUMMYFUNCTION("""COMPUTED_VALUE"""),TRUE)</f>
        <v>1</v>
      </c>
      <c r="K148" s="80"/>
      <c r="L148" s="7"/>
      <c r="M148" s="7"/>
      <c r="N148" s="7"/>
      <c r="O148" s="7"/>
      <c r="P148" s="7"/>
      <c r="Q148" s="7"/>
      <c r="R148" s="7"/>
      <c r="S148" s="7"/>
      <c r="T148" s="7"/>
    </row>
    <row r="149">
      <c r="B149" s="12">
        <f>IFERROR(__xludf.DUMMYFUNCTION("""COMPUTED_VALUE"""),45040.0)</f>
        <v>45040</v>
      </c>
      <c r="C149" s="54">
        <f>IFERROR(__xludf.DUMMYFUNCTION("""COMPUTED_VALUE"""),9.0)</f>
        <v>9</v>
      </c>
      <c r="D149" s="7">
        <f>IFERROR(__xludf.DUMMYFUNCTION("""COMPUTED_VALUE"""),9.0)</f>
        <v>9</v>
      </c>
      <c r="E149" s="7">
        <f>IFERROR(__xludf.DUMMYFUNCTION("""COMPUTED_VALUE"""),0.0)</f>
        <v>0</v>
      </c>
      <c r="F149" s="7">
        <f>IFERROR(__xludf.DUMMYFUNCTION("""COMPUTED_VALUE"""),0.0)</f>
        <v>0</v>
      </c>
      <c r="G149" s="7">
        <f>IFERROR(__xludf.DUMMYFUNCTION("""COMPUTED_VALUE"""),0.0)</f>
        <v>0</v>
      </c>
      <c r="H149" s="7">
        <f>IFERROR(__xludf.DUMMYFUNCTION("""COMPUTED_VALUE"""),0.0)</f>
        <v>0</v>
      </c>
      <c r="I149" s="7">
        <f>IFERROR(__xludf.DUMMYFUNCTION("""COMPUTED_VALUE"""),0.0)</f>
        <v>0</v>
      </c>
      <c r="J149" s="54"/>
      <c r="K149" s="80"/>
      <c r="L149" s="7"/>
      <c r="M149" s="7"/>
      <c r="N149" s="7"/>
      <c r="O149" s="7"/>
      <c r="P149" s="7"/>
      <c r="Q149" s="7"/>
      <c r="R149" s="7"/>
      <c r="S149" s="7"/>
      <c r="T149" s="7"/>
    </row>
    <row r="150">
      <c r="B150" s="12">
        <f>IFERROR(__xludf.DUMMYFUNCTION("""COMPUTED_VALUE"""),45041.0)</f>
        <v>45041</v>
      </c>
      <c r="C150" s="54">
        <f>IFERROR(__xludf.DUMMYFUNCTION("""COMPUTED_VALUE"""),5.0)</f>
        <v>5</v>
      </c>
      <c r="D150" s="7">
        <f>IFERROR(__xludf.DUMMYFUNCTION("""COMPUTED_VALUE"""),5.0)</f>
        <v>5</v>
      </c>
      <c r="E150" s="7">
        <f>IFERROR(__xludf.DUMMYFUNCTION("""COMPUTED_VALUE"""),0.0)</f>
        <v>0</v>
      </c>
      <c r="F150" s="7">
        <f>IFERROR(__xludf.DUMMYFUNCTION("""COMPUTED_VALUE"""),0.0)</f>
        <v>0</v>
      </c>
      <c r="G150" s="7">
        <f>IFERROR(__xludf.DUMMYFUNCTION("""COMPUTED_VALUE"""),0.0)</f>
        <v>0</v>
      </c>
      <c r="H150" s="7">
        <f>IFERROR(__xludf.DUMMYFUNCTION("""COMPUTED_VALUE"""),0.0)</f>
        <v>0</v>
      </c>
      <c r="I150" s="7">
        <f>IFERROR(__xludf.DUMMYFUNCTION("""COMPUTED_VALUE"""),0.0)</f>
        <v>0</v>
      </c>
      <c r="J150" s="54"/>
      <c r="K150" s="80"/>
      <c r="L150" s="7"/>
      <c r="M150" s="7"/>
      <c r="N150" s="7"/>
      <c r="O150" s="7"/>
      <c r="P150" s="7"/>
      <c r="Q150" s="7"/>
      <c r="R150" s="7"/>
      <c r="S150" s="7"/>
      <c r="T150" s="7"/>
    </row>
    <row r="151">
      <c r="B151" s="12">
        <f>IFERROR(__xludf.DUMMYFUNCTION("""COMPUTED_VALUE"""),45042.0)</f>
        <v>45042</v>
      </c>
      <c r="C151" s="54">
        <f>IFERROR(__xludf.DUMMYFUNCTION("""COMPUTED_VALUE"""),5.0)</f>
        <v>5</v>
      </c>
      <c r="D151" s="7">
        <f>IFERROR(__xludf.DUMMYFUNCTION("""COMPUTED_VALUE"""),5.0)</f>
        <v>5</v>
      </c>
      <c r="E151" s="7">
        <f>IFERROR(__xludf.DUMMYFUNCTION("""COMPUTED_VALUE"""),0.0)</f>
        <v>0</v>
      </c>
      <c r="F151" s="7">
        <f>IFERROR(__xludf.DUMMYFUNCTION("""COMPUTED_VALUE"""),0.0)</f>
        <v>0</v>
      </c>
      <c r="G151" s="7">
        <f>IFERROR(__xludf.DUMMYFUNCTION("""COMPUTED_VALUE"""),0.0)</f>
        <v>0</v>
      </c>
      <c r="H151" s="7">
        <f>IFERROR(__xludf.DUMMYFUNCTION("""COMPUTED_VALUE"""),0.0)</f>
        <v>0</v>
      </c>
      <c r="I151" s="7">
        <f>IFERROR(__xludf.DUMMYFUNCTION("""COMPUTED_VALUE"""),0.0)</f>
        <v>0</v>
      </c>
      <c r="J151" s="54"/>
      <c r="K151" s="80"/>
      <c r="L151" s="7"/>
      <c r="M151" s="7"/>
      <c r="N151" s="7"/>
      <c r="O151" s="7"/>
      <c r="P151" s="7"/>
      <c r="Q151" s="7"/>
      <c r="R151" s="7"/>
      <c r="S151" s="7"/>
      <c r="T151" s="7"/>
    </row>
    <row r="152">
      <c r="B152" s="12">
        <f>IFERROR(__xludf.DUMMYFUNCTION("""COMPUTED_VALUE"""),45043.0)</f>
        <v>45043</v>
      </c>
      <c r="C152" s="54">
        <f>IFERROR(__xludf.DUMMYFUNCTION("""COMPUTED_VALUE"""),6.0)</f>
        <v>6</v>
      </c>
      <c r="D152" s="7">
        <f>IFERROR(__xludf.DUMMYFUNCTION("""COMPUTED_VALUE"""),6.0)</f>
        <v>6</v>
      </c>
      <c r="E152" s="7">
        <f>IFERROR(__xludf.DUMMYFUNCTION("""COMPUTED_VALUE"""),0.0)</f>
        <v>0</v>
      </c>
      <c r="F152" s="7">
        <f>IFERROR(__xludf.DUMMYFUNCTION("""COMPUTED_VALUE"""),0.0)</f>
        <v>0</v>
      </c>
      <c r="G152" s="7">
        <f>IFERROR(__xludf.DUMMYFUNCTION("""COMPUTED_VALUE"""),0.0)</f>
        <v>0</v>
      </c>
      <c r="H152" s="7">
        <f>IFERROR(__xludf.DUMMYFUNCTION("""COMPUTED_VALUE"""),0.0)</f>
        <v>0</v>
      </c>
      <c r="I152" s="7">
        <f>IFERROR(__xludf.DUMMYFUNCTION("""COMPUTED_VALUE"""),0.0)</f>
        <v>0</v>
      </c>
      <c r="J152" s="54"/>
      <c r="K152" s="80"/>
      <c r="L152" s="7"/>
      <c r="M152" s="7"/>
      <c r="N152" s="7"/>
      <c r="O152" s="7"/>
      <c r="P152" s="7"/>
      <c r="Q152" s="7"/>
      <c r="R152" s="7"/>
      <c r="S152" s="7"/>
      <c r="T152" s="7"/>
    </row>
    <row r="153">
      <c r="B153" s="12">
        <f>IFERROR(__xludf.DUMMYFUNCTION("""COMPUTED_VALUE"""),45044.0)</f>
        <v>45044</v>
      </c>
      <c r="C153" s="54">
        <f>IFERROR(__xludf.DUMMYFUNCTION("""COMPUTED_VALUE"""),5.0)</f>
        <v>5</v>
      </c>
      <c r="D153" s="7">
        <f>IFERROR(__xludf.DUMMYFUNCTION("""COMPUTED_VALUE"""),5.0)</f>
        <v>5</v>
      </c>
      <c r="E153" s="7">
        <f>IFERROR(__xludf.DUMMYFUNCTION("""COMPUTED_VALUE"""),0.0)</f>
        <v>0</v>
      </c>
      <c r="F153" s="7">
        <f>IFERROR(__xludf.DUMMYFUNCTION("""COMPUTED_VALUE"""),0.0)</f>
        <v>0</v>
      </c>
      <c r="G153" s="7">
        <f>IFERROR(__xludf.DUMMYFUNCTION("""COMPUTED_VALUE"""),0.0)</f>
        <v>0</v>
      </c>
      <c r="H153" s="7">
        <f>IFERROR(__xludf.DUMMYFUNCTION("""COMPUTED_VALUE"""),0.0)</f>
        <v>0</v>
      </c>
      <c r="I153" s="7">
        <f>IFERROR(__xludf.DUMMYFUNCTION("""COMPUTED_VALUE"""),0.0)</f>
        <v>0</v>
      </c>
      <c r="J153" s="54" t="b">
        <f>IFERROR(__xludf.DUMMYFUNCTION("""COMPUTED_VALUE"""),TRUE)</f>
        <v>1</v>
      </c>
      <c r="K153" s="80"/>
      <c r="L153" s="7"/>
      <c r="M153" s="7"/>
      <c r="N153" s="7"/>
      <c r="O153" s="7"/>
      <c r="P153" s="7"/>
      <c r="Q153" s="7"/>
      <c r="R153" s="7"/>
      <c r="S153" s="7"/>
      <c r="T153" s="7"/>
    </row>
    <row r="154">
      <c r="B154" s="12">
        <f>IFERROR(__xludf.DUMMYFUNCTION("""COMPUTED_VALUE"""),45048.0)</f>
        <v>45048</v>
      </c>
      <c r="C154" s="54">
        <f>IFERROR(__xludf.DUMMYFUNCTION("""COMPUTED_VALUE"""),7.0)</f>
        <v>7</v>
      </c>
      <c r="D154" s="7">
        <f>IFERROR(__xludf.DUMMYFUNCTION("""COMPUTED_VALUE"""),7.0)</f>
        <v>7</v>
      </c>
      <c r="E154" s="7">
        <f>IFERROR(__xludf.DUMMYFUNCTION("""COMPUTED_VALUE"""),0.0)</f>
        <v>0</v>
      </c>
      <c r="F154" s="7">
        <f>IFERROR(__xludf.DUMMYFUNCTION("""COMPUTED_VALUE"""),0.0)</f>
        <v>0</v>
      </c>
      <c r="G154" s="7">
        <f>IFERROR(__xludf.DUMMYFUNCTION("""COMPUTED_VALUE"""),0.0)</f>
        <v>0</v>
      </c>
      <c r="H154" s="7">
        <f>IFERROR(__xludf.DUMMYFUNCTION("""COMPUTED_VALUE"""),0.0)</f>
        <v>0</v>
      </c>
      <c r="I154" s="7">
        <f>IFERROR(__xludf.DUMMYFUNCTION("""COMPUTED_VALUE"""),0.0)</f>
        <v>0</v>
      </c>
      <c r="J154" s="54" t="b">
        <f>IFERROR(__xludf.DUMMYFUNCTION("""COMPUTED_VALUE"""),TRUE)</f>
        <v>1</v>
      </c>
      <c r="K154" s="80"/>
      <c r="L154" s="7"/>
      <c r="M154" s="7"/>
      <c r="N154" s="7"/>
      <c r="O154" s="7"/>
      <c r="P154" s="7"/>
      <c r="Q154" s="7"/>
      <c r="R154" s="7"/>
      <c r="S154" s="7"/>
      <c r="T154" s="7"/>
    </row>
    <row r="155">
      <c r="B155" s="12">
        <f>IFERROR(__xludf.DUMMYFUNCTION("""COMPUTED_VALUE"""),45049.0)</f>
        <v>45049</v>
      </c>
      <c r="C155" s="54">
        <f>IFERROR(__xludf.DUMMYFUNCTION("""COMPUTED_VALUE"""),5.0)</f>
        <v>5</v>
      </c>
      <c r="D155" s="7">
        <f>IFERROR(__xludf.DUMMYFUNCTION("""COMPUTED_VALUE"""),5.0)</f>
        <v>5</v>
      </c>
      <c r="E155" s="7">
        <f>IFERROR(__xludf.DUMMYFUNCTION("""COMPUTED_VALUE"""),0.0)</f>
        <v>0</v>
      </c>
      <c r="F155" s="7">
        <f>IFERROR(__xludf.DUMMYFUNCTION("""COMPUTED_VALUE"""),0.0)</f>
        <v>0</v>
      </c>
      <c r="G155" s="7">
        <f>IFERROR(__xludf.DUMMYFUNCTION("""COMPUTED_VALUE"""),0.0)</f>
        <v>0</v>
      </c>
      <c r="H155" s="7">
        <f>IFERROR(__xludf.DUMMYFUNCTION("""COMPUTED_VALUE"""),0.0)</f>
        <v>0</v>
      </c>
      <c r="I155" s="7">
        <f>IFERROR(__xludf.DUMMYFUNCTION("""COMPUTED_VALUE"""),0.0)</f>
        <v>0</v>
      </c>
      <c r="J155" s="54"/>
      <c r="K155" s="80"/>
      <c r="L155" s="7"/>
      <c r="M155" s="7"/>
      <c r="N155" s="7"/>
      <c r="O155" s="7"/>
      <c r="P155" s="7"/>
      <c r="Q155" s="7"/>
      <c r="R155" s="7"/>
      <c r="S155" s="7"/>
      <c r="T155" s="7"/>
    </row>
    <row r="156">
      <c r="B156" s="12">
        <f>IFERROR(__xludf.DUMMYFUNCTION("""COMPUTED_VALUE"""),45050.0)</f>
        <v>45050</v>
      </c>
      <c r="C156" s="54">
        <f>IFERROR(__xludf.DUMMYFUNCTION("""COMPUTED_VALUE"""),5.0)</f>
        <v>5</v>
      </c>
      <c r="D156" s="7">
        <f>IFERROR(__xludf.DUMMYFUNCTION("""COMPUTED_VALUE"""),5.0)</f>
        <v>5</v>
      </c>
      <c r="E156" s="7">
        <f>IFERROR(__xludf.DUMMYFUNCTION("""COMPUTED_VALUE"""),0.0)</f>
        <v>0</v>
      </c>
      <c r="F156" s="7">
        <f>IFERROR(__xludf.DUMMYFUNCTION("""COMPUTED_VALUE"""),0.0)</f>
        <v>0</v>
      </c>
      <c r="G156" s="7">
        <f>IFERROR(__xludf.DUMMYFUNCTION("""COMPUTED_VALUE"""),0.0)</f>
        <v>0</v>
      </c>
      <c r="H156" s="7">
        <f>IFERROR(__xludf.DUMMYFUNCTION("""COMPUTED_VALUE"""),0.0)</f>
        <v>0</v>
      </c>
      <c r="I156" s="7">
        <f>IFERROR(__xludf.DUMMYFUNCTION("""COMPUTED_VALUE"""),0.0)</f>
        <v>0</v>
      </c>
      <c r="J156" s="54" t="b">
        <f>IFERROR(__xludf.DUMMYFUNCTION("""COMPUTED_VALUE"""),TRUE)</f>
        <v>1</v>
      </c>
      <c r="K156" s="80"/>
      <c r="L156" s="7"/>
      <c r="M156" s="7"/>
      <c r="N156" s="7"/>
      <c r="O156" s="7"/>
      <c r="P156" s="7"/>
      <c r="Q156" s="7"/>
      <c r="R156" s="7"/>
      <c r="S156" s="7"/>
      <c r="T156" s="7"/>
    </row>
    <row r="157">
      <c r="B157" s="12">
        <f>IFERROR(__xludf.DUMMYFUNCTION("""COMPUTED_VALUE"""),45051.0)</f>
        <v>45051</v>
      </c>
      <c r="C157" s="54">
        <f>IFERROR(__xludf.DUMMYFUNCTION("""COMPUTED_VALUE"""),5.0)</f>
        <v>5</v>
      </c>
      <c r="D157" s="7">
        <f>IFERROR(__xludf.DUMMYFUNCTION("""COMPUTED_VALUE"""),5.0)</f>
        <v>5</v>
      </c>
      <c r="E157" s="7">
        <f>IFERROR(__xludf.DUMMYFUNCTION("""COMPUTED_VALUE"""),0.0)</f>
        <v>0</v>
      </c>
      <c r="F157" s="7">
        <f>IFERROR(__xludf.DUMMYFUNCTION("""COMPUTED_VALUE"""),0.0)</f>
        <v>0</v>
      </c>
      <c r="G157" s="7">
        <f>IFERROR(__xludf.DUMMYFUNCTION("""COMPUTED_VALUE"""),0.0)</f>
        <v>0</v>
      </c>
      <c r="H157" s="7">
        <f>IFERROR(__xludf.DUMMYFUNCTION("""COMPUTED_VALUE"""),0.0)</f>
        <v>0</v>
      </c>
      <c r="I157" s="7">
        <f>IFERROR(__xludf.DUMMYFUNCTION("""COMPUTED_VALUE"""),0.0)</f>
        <v>0</v>
      </c>
      <c r="J157" s="54"/>
      <c r="K157" s="80"/>
      <c r="L157" s="7"/>
      <c r="M157" s="7"/>
      <c r="N157" s="7"/>
      <c r="O157" s="7"/>
      <c r="P157" s="7"/>
      <c r="Q157" s="7"/>
      <c r="R157" s="7"/>
      <c r="S157" s="7"/>
      <c r="T157" s="7"/>
    </row>
    <row r="158">
      <c r="B158" s="12">
        <f>IFERROR(__xludf.DUMMYFUNCTION("""COMPUTED_VALUE"""),45054.0)</f>
        <v>45054</v>
      </c>
      <c r="C158" s="54">
        <f>IFERROR(__xludf.DUMMYFUNCTION("""COMPUTED_VALUE"""),7.0)</f>
        <v>7</v>
      </c>
      <c r="D158" s="7">
        <f>IFERROR(__xludf.DUMMYFUNCTION("""COMPUTED_VALUE"""),7.0)</f>
        <v>7</v>
      </c>
      <c r="E158" s="7">
        <f>IFERROR(__xludf.DUMMYFUNCTION("""COMPUTED_VALUE"""),0.0)</f>
        <v>0</v>
      </c>
      <c r="F158" s="7">
        <f>IFERROR(__xludf.DUMMYFUNCTION("""COMPUTED_VALUE"""),0.0)</f>
        <v>0</v>
      </c>
      <c r="G158" s="7">
        <f>IFERROR(__xludf.DUMMYFUNCTION("""COMPUTED_VALUE"""),0.0)</f>
        <v>0</v>
      </c>
      <c r="H158" s="7">
        <f>IFERROR(__xludf.DUMMYFUNCTION("""COMPUTED_VALUE"""),0.0)</f>
        <v>0</v>
      </c>
      <c r="I158" s="7">
        <f>IFERROR(__xludf.DUMMYFUNCTION("""COMPUTED_VALUE"""),0.0)</f>
        <v>0</v>
      </c>
      <c r="J158" s="54" t="b">
        <f>IFERROR(__xludf.DUMMYFUNCTION("""COMPUTED_VALUE"""),TRUE)</f>
        <v>1</v>
      </c>
      <c r="K158" s="80"/>
      <c r="L158" s="7"/>
      <c r="M158" s="7"/>
      <c r="N158" s="7"/>
      <c r="O158" s="7"/>
      <c r="P158" s="7"/>
      <c r="Q158" s="7"/>
      <c r="R158" s="7"/>
      <c r="S158" s="7"/>
      <c r="T158" s="7"/>
    </row>
    <row r="159">
      <c r="B159" s="12">
        <f>IFERROR(__xludf.DUMMYFUNCTION("""COMPUTED_VALUE"""),45055.0)</f>
        <v>45055</v>
      </c>
      <c r="C159" s="54">
        <f>IFERROR(__xludf.DUMMYFUNCTION("""COMPUTED_VALUE"""),8.0)</f>
        <v>8</v>
      </c>
      <c r="D159" s="7">
        <f>IFERROR(__xludf.DUMMYFUNCTION("""COMPUTED_VALUE"""),8.0)</f>
        <v>8</v>
      </c>
      <c r="E159" s="7">
        <f>IFERROR(__xludf.DUMMYFUNCTION("""COMPUTED_VALUE"""),0.0)</f>
        <v>0</v>
      </c>
      <c r="F159" s="7">
        <f>IFERROR(__xludf.DUMMYFUNCTION("""COMPUTED_VALUE"""),0.0)</f>
        <v>0</v>
      </c>
      <c r="G159" s="7">
        <f>IFERROR(__xludf.DUMMYFUNCTION("""COMPUTED_VALUE"""),0.0)</f>
        <v>0</v>
      </c>
      <c r="H159" s="7">
        <f>IFERROR(__xludf.DUMMYFUNCTION("""COMPUTED_VALUE"""),0.0)</f>
        <v>0</v>
      </c>
      <c r="I159" s="7">
        <f>IFERROR(__xludf.DUMMYFUNCTION("""COMPUTED_VALUE"""),0.0)</f>
        <v>0</v>
      </c>
      <c r="J159" s="54"/>
      <c r="K159" s="80"/>
      <c r="L159" s="7"/>
      <c r="M159" s="7"/>
      <c r="N159" s="7"/>
      <c r="O159" s="7"/>
      <c r="P159" s="7"/>
      <c r="Q159" s="7"/>
      <c r="R159" s="7"/>
      <c r="S159" s="7"/>
      <c r="T159" s="7"/>
    </row>
    <row r="160">
      <c r="B160" s="12">
        <f>IFERROR(__xludf.DUMMYFUNCTION("""COMPUTED_VALUE"""),45056.0)</f>
        <v>45056</v>
      </c>
      <c r="C160" s="54">
        <f>IFERROR(__xludf.DUMMYFUNCTION("""COMPUTED_VALUE"""),7.0)</f>
        <v>7</v>
      </c>
      <c r="D160" s="7">
        <f>IFERROR(__xludf.DUMMYFUNCTION("""COMPUTED_VALUE"""),7.0)</f>
        <v>7</v>
      </c>
      <c r="E160" s="7">
        <f>IFERROR(__xludf.DUMMYFUNCTION("""COMPUTED_VALUE"""),0.0)</f>
        <v>0</v>
      </c>
      <c r="F160" s="7">
        <f>IFERROR(__xludf.DUMMYFUNCTION("""COMPUTED_VALUE"""),0.0)</f>
        <v>0</v>
      </c>
      <c r="G160" s="7">
        <f>IFERROR(__xludf.DUMMYFUNCTION("""COMPUTED_VALUE"""),0.0)</f>
        <v>0</v>
      </c>
      <c r="H160" s="7">
        <f>IFERROR(__xludf.DUMMYFUNCTION("""COMPUTED_VALUE"""),0.0)</f>
        <v>0</v>
      </c>
      <c r="I160" s="7">
        <f>IFERROR(__xludf.DUMMYFUNCTION("""COMPUTED_VALUE"""),0.0)</f>
        <v>0</v>
      </c>
      <c r="J160" s="54"/>
      <c r="K160" s="80"/>
      <c r="L160" s="7"/>
      <c r="M160" s="7"/>
      <c r="N160" s="7"/>
      <c r="O160" s="7"/>
      <c r="P160" s="7"/>
      <c r="Q160" s="7"/>
      <c r="R160" s="7"/>
      <c r="S160" s="7"/>
      <c r="T160" s="7"/>
    </row>
    <row r="161">
      <c r="B161" s="12">
        <f>IFERROR(__xludf.DUMMYFUNCTION("""COMPUTED_VALUE"""),45057.0)</f>
        <v>45057</v>
      </c>
      <c r="C161" s="54">
        <f>IFERROR(__xludf.DUMMYFUNCTION("""COMPUTED_VALUE"""),6.0)</f>
        <v>6</v>
      </c>
      <c r="D161" s="7">
        <f>IFERROR(__xludf.DUMMYFUNCTION("""COMPUTED_VALUE"""),6.0)</f>
        <v>6</v>
      </c>
      <c r="E161" s="7">
        <f>IFERROR(__xludf.DUMMYFUNCTION("""COMPUTED_VALUE"""),0.0)</f>
        <v>0</v>
      </c>
      <c r="F161" s="7">
        <f>IFERROR(__xludf.DUMMYFUNCTION("""COMPUTED_VALUE"""),0.0)</f>
        <v>0</v>
      </c>
      <c r="G161" s="7">
        <f>IFERROR(__xludf.DUMMYFUNCTION("""COMPUTED_VALUE"""),0.0)</f>
        <v>0</v>
      </c>
      <c r="H161" s="7">
        <f>IFERROR(__xludf.DUMMYFUNCTION("""COMPUTED_VALUE"""),0.0)</f>
        <v>0</v>
      </c>
      <c r="I161" s="7">
        <f>IFERROR(__xludf.DUMMYFUNCTION("""COMPUTED_VALUE"""),0.0)</f>
        <v>0</v>
      </c>
      <c r="J161" s="54"/>
      <c r="K161" s="80"/>
      <c r="L161" s="7"/>
      <c r="M161" s="7"/>
      <c r="N161" s="7"/>
      <c r="O161" s="7"/>
      <c r="P161" s="7"/>
      <c r="Q161" s="7"/>
      <c r="R161" s="7"/>
      <c r="S161" s="7"/>
      <c r="T161" s="7"/>
    </row>
    <row r="162">
      <c r="B162" s="12">
        <f>IFERROR(__xludf.DUMMYFUNCTION("""COMPUTED_VALUE"""),45058.0)</f>
        <v>45058</v>
      </c>
      <c r="C162" s="54">
        <f>IFERROR(__xludf.DUMMYFUNCTION("""COMPUTED_VALUE"""),3.0)</f>
        <v>3</v>
      </c>
      <c r="D162" s="7">
        <f>IFERROR(__xludf.DUMMYFUNCTION("""COMPUTED_VALUE"""),3.0)</f>
        <v>3</v>
      </c>
      <c r="E162" s="7">
        <f>IFERROR(__xludf.DUMMYFUNCTION("""COMPUTED_VALUE"""),0.0)</f>
        <v>0</v>
      </c>
      <c r="F162" s="7">
        <f>IFERROR(__xludf.DUMMYFUNCTION("""COMPUTED_VALUE"""),0.0)</f>
        <v>0</v>
      </c>
      <c r="G162" s="7">
        <f>IFERROR(__xludf.DUMMYFUNCTION("""COMPUTED_VALUE"""),0.0)</f>
        <v>0</v>
      </c>
      <c r="H162" s="7">
        <f>IFERROR(__xludf.DUMMYFUNCTION("""COMPUTED_VALUE"""),0.0)</f>
        <v>0</v>
      </c>
      <c r="I162" s="7">
        <f>IFERROR(__xludf.DUMMYFUNCTION("""COMPUTED_VALUE"""),0.0)</f>
        <v>0</v>
      </c>
      <c r="J162" s="54" t="b">
        <f>IFERROR(__xludf.DUMMYFUNCTION("""COMPUTED_VALUE"""),TRUE)</f>
        <v>1</v>
      </c>
      <c r="K162" s="80"/>
      <c r="L162" s="7"/>
      <c r="M162" s="7"/>
      <c r="N162" s="7"/>
      <c r="O162" s="7"/>
      <c r="P162" s="7"/>
      <c r="Q162" s="7"/>
      <c r="R162" s="7"/>
      <c r="S162" s="7"/>
      <c r="T162" s="7"/>
    </row>
    <row r="163">
      <c r="B163" s="12">
        <f>IFERROR(__xludf.DUMMYFUNCTION("""COMPUTED_VALUE"""),45061.0)</f>
        <v>45061</v>
      </c>
      <c r="C163" s="54">
        <f>IFERROR(__xludf.DUMMYFUNCTION("""COMPUTED_VALUE"""),5.0)</f>
        <v>5</v>
      </c>
      <c r="D163" s="7">
        <f>IFERROR(__xludf.DUMMYFUNCTION("""COMPUTED_VALUE"""),5.0)</f>
        <v>5</v>
      </c>
      <c r="E163" s="7">
        <f>IFERROR(__xludf.DUMMYFUNCTION("""COMPUTED_VALUE"""),0.0)</f>
        <v>0</v>
      </c>
      <c r="F163" s="7">
        <f>IFERROR(__xludf.DUMMYFUNCTION("""COMPUTED_VALUE"""),0.0)</f>
        <v>0</v>
      </c>
      <c r="G163" s="7">
        <f>IFERROR(__xludf.DUMMYFUNCTION("""COMPUTED_VALUE"""),0.0)</f>
        <v>0</v>
      </c>
      <c r="H163" s="7">
        <f>IFERROR(__xludf.DUMMYFUNCTION("""COMPUTED_VALUE"""),0.0)</f>
        <v>0</v>
      </c>
      <c r="I163" s="7">
        <f>IFERROR(__xludf.DUMMYFUNCTION("""COMPUTED_VALUE"""),0.0)</f>
        <v>0</v>
      </c>
      <c r="J163" s="54"/>
      <c r="K163" s="80"/>
      <c r="L163" s="7"/>
      <c r="M163" s="7"/>
      <c r="N163" s="7"/>
      <c r="O163" s="7"/>
      <c r="P163" s="7"/>
      <c r="Q163" s="7"/>
      <c r="R163" s="7"/>
      <c r="S163" s="7"/>
      <c r="T163" s="7"/>
    </row>
    <row r="164">
      <c r="B164" s="12">
        <f>IFERROR(__xludf.DUMMYFUNCTION("""COMPUTED_VALUE"""),45062.0)</f>
        <v>45062</v>
      </c>
      <c r="C164" s="54">
        <f>IFERROR(__xludf.DUMMYFUNCTION("""COMPUTED_VALUE"""),3.0)</f>
        <v>3</v>
      </c>
      <c r="D164" s="7">
        <f>IFERROR(__xludf.DUMMYFUNCTION("""COMPUTED_VALUE"""),3.0)</f>
        <v>3</v>
      </c>
      <c r="E164" s="7">
        <f>IFERROR(__xludf.DUMMYFUNCTION("""COMPUTED_VALUE"""),0.0)</f>
        <v>0</v>
      </c>
      <c r="F164" s="7">
        <f>IFERROR(__xludf.DUMMYFUNCTION("""COMPUTED_VALUE"""),0.0)</f>
        <v>0</v>
      </c>
      <c r="G164" s="7">
        <f>IFERROR(__xludf.DUMMYFUNCTION("""COMPUTED_VALUE"""),0.0)</f>
        <v>0</v>
      </c>
      <c r="H164" s="7">
        <f>IFERROR(__xludf.DUMMYFUNCTION("""COMPUTED_VALUE"""),0.0)</f>
        <v>0</v>
      </c>
      <c r="I164" s="7">
        <f>IFERROR(__xludf.DUMMYFUNCTION("""COMPUTED_VALUE"""),0.0)</f>
        <v>0</v>
      </c>
      <c r="J164" s="54" t="b">
        <f>IFERROR(__xludf.DUMMYFUNCTION("""COMPUTED_VALUE"""),TRUE)</f>
        <v>1</v>
      </c>
      <c r="K164" s="80"/>
      <c r="L164" s="7"/>
      <c r="M164" s="7"/>
      <c r="N164" s="7"/>
      <c r="O164" s="7"/>
      <c r="P164" s="7"/>
      <c r="Q164" s="7"/>
      <c r="R164" s="7"/>
      <c r="S164" s="7"/>
      <c r="T164" s="7"/>
    </row>
    <row r="165">
      <c r="B165" s="12">
        <f>IFERROR(__xludf.DUMMYFUNCTION("""COMPUTED_VALUE"""),45063.0)</f>
        <v>45063</v>
      </c>
      <c r="C165" s="54">
        <f>IFERROR(__xludf.DUMMYFUNCTION("""COMPUTED_VALUE"""),5.0)</f>
        <v>5</v>
      </c>
      <c r="D165" s="7">
        <f>IFERROR(__xludf.DUMMYFUNCTION("""COMPUTED_VALUE"""),5.0)</f>
        <v>5</v>
      </c>
      <c r="E165" s="7">
        <f>IFERROR(__xludf.DUMMYFUNCTION("""COMPUTED_VALUE"""),0.0)</f>
        <v>0</v>
      </c>
      <c r="F165" s="7">
        <f>IFERROR(__xludf.DUMMYFUNCTION("""COMPUTED_VALUE"""),0.0)</f>
        <v>0</v>
      </c>
      <c r="G165" s="7">
        <f>IFERROR(__xludf.DUMMYFUNCTION("""COMPUTED_VALUE"""),0.0)</f>
        <v>0</v>
      </c>
      <c r="H165" s="7">
        <f>IFERROR(__xludf.DUMMYFUNCTION("""COMPUTED_VALUE"""),0.0)</f>
        <v>0</v>
      </c>
      <c r="I165" s="7">
        <f>IFERROR(__xludf.DUMMYFUNCTION("""COMPUTED_VALUE"""),0.0)</f>
        <v>0</v>
      </c>
      <c r="J165" s="54"/>
      <c r="K165" s="80"/>
      <c r="L165" s="7"/>
      <c r="M165" s="7"/>
      <c r="N165" s="7"/>
      <c r="O165" s="7"/>
      <c r="P165" s="7"/>
      <c r="Q165" s="7"/>
      <c r="R165" s="7"/>
      <c r="S165" s="7"/>
      <c r="T165" s="7"/>
    </row>
    <row r="166">
      <c r="B166" s="12">
        <f>IFERROR(__xludf.DUMMYFUNCTION("""COMPUTED_VALUE"""),45064.0)</f>
        <v>45064</v>
      </c>
      <c r="C166" s="54">
        <f>IFERROR(__xludf.DUMMYFUNCTION("""COMPUTED_VALUE"""),9.0)</f>
        <v>9</v>
      </c>
      <c r="D166" s="7">
        <f>IFERROR(__xludf.DUMMYFUNCTION("""COMPUTED_VALUE"""),9.0)</f>
        <v>9</v>
      </c>
      <c r="E166" s="7">
        <f>IFERROR(__xludf.DUMMYFUNCTION("""COMPUTED_VALUE"""),0.0)</f>
        <v>0</v>
      </c>
      <c r="F166" s="7">
        <f>IFERROR(__xludf.DUMMYFUNCTION("""COMPUTED_VALUE"""),0.0)</f>
        <v>0</v>
      </c>
      <c r="G166" s="7">
        <f>IFERROR(__xludf.DUMMYFUNCTION("""COMPUTED_VALUE"""),0.0)</f>
        <v>0</v>
      </c>
      <c r="H166" s="7">
        <f>IFERROR(__xludf.DUMMYFUNCTION("""COMPUTED_VALUE"""),0.0)</f>
        <v>0</v>
      </c>
      <c r="I166" s="7">
        <f>IFERROR(__xludf.DUMMYFUNCTION("""COMPUTED_VALUE"""),0.0)</f>
        <v>0</v>
      </c>
      <c r="J166" s="54"/>
      <c r="K166" s="80"/>
      <c r="L166" s="7"/>
      <c r="M166" s="7"/>
      <c r="N166" s="7"/>
      <c r="O166" s="7"/>
      <c r="P166" s="7"/>
      <c r="Q166" s="7"/>
      <c r="R166" s="7"/>
      <c r="S166" s="7"/>
      <c r="T166" s="7"/>
    </row>
    <row r="167">
      <c r="B167" s="12">
        <f>IFERROR(__xludf.DUMMYFUNCTION("""COMPUTED_VALUE"""),45065.0)</f>
        <v>45065</v>
      </c>
      <c r="C167" s="54">
        <f>IFERROR(__xludf.DUMMYFUNCTION("""COMPUTED_VALUE"""),6.0)</f>
        <v>6</v>
      </c>
      <c r="D167" s="7">
        <f>IFERROR(__xludf.DUMMYFUNCTION("""COMPUTED_VALUE"""),6.0)</f>
        <v>6</v>
      </c>
      <c r="E167" s="7">
        <f>IFERROR(__xludf.DUMMYFUNCTION("""COMPUTED_VALUE"""),0.0)</f>
        <v>0</v>
      </c>
      <c r="F167" s="7">
        <f>IFERROR(__xludf.DUMMYFUNCTION("""COMPUTED_VALUE"""),0.0)</f>
        <v>0</v>
      </c>
      <c r="G167" s="7">
        <f>IFERROR(__xludf.DUMMYFUNCTION("""COMPUTED_VALUE"""),0.0)</f>
        <v>0</v>
      </c>
      <c r="H167" s="7">
        <f>IFERROR(__xludf.DUMMYFUNCTION("""COMPUTED_VALUE"""),0.0)</f>
        <v>0</v>
      </c>
      <c r="I167" s="7">
        <f>IFERROR(__xludf.DUMMYFUNCTION("""COMPUTED_VALUE"""),0.0)</f>
        <v>0</v>
      </c>
      <c r="J167" s="54"/>
      <c r="K167" s="80"/>
      <c r="L167" s="7"/>
      <c r="M167" s="7"/>
      <c r="N167" s="7"/>
      <c r="O167" s="7"/>
      <c r="P167" s="7"/>
      <c r="Q167" s="7"/>
      <c r="R167" s="7"/>
      <c r="S167" s="7"/>
      <c r="T167" s="7"/>
    </row>
    <row r="168">
      <c r="B168" s="12">
        <f>IFERROR(__xludf.DUMMYFUNCTION("""COMPUTED_VALUE"""),45068.0)</f>
        <v>45068</v>
      </c>
      <c r="C168" s="54">
        <f>IFERROR(__xludf.DUMMYFUNCTION("""COMPUTED_VALUE"""),4.0)</f>
        <v>4</v>
      </c>
      <c r="D168" s="7">
        <f>IFERROR(__xludf.DUMMYFUNCTION("""COMPUTED_VALUE"""),4.0)</f>
        <v>4</v>
      </c>
      <c r="E168" s="7">
        <f>IFERROR(__xludf.DUMMYFUNCTION("""COMPUTED_VALUE"""),0.0)</f>
        <v>0</v>
      </c>
      <c r="F168" s="7">
        <f>IFERROR(__xludf.DUMMYFUNCTION("""COMPUTED_VALUE"""),0.0)</f>
        <v>0</v>
      </c>
      <c r="G168" s="7">
        <f>IFERROR(__xludf.DUMMYFUNCTION("""COMPUTED_VALUE"""),0.0)</f>
        <v>0</v>
      </c>
      <c r="H168" s="7">
        <f>IFERROR(__xludf.DUMMYFUNCTION("""COMPUTED_VALUE"""),0.0)</f>
        <v>0</v>
      </c>
      <c r="I168" s="7">
        <f>IFERROR(__xludf.DUMMYFUNCTION("""COMPUTED_VALUE"""),0.0)</f>
        <v>0</v>
      </c>
      <c r="J168" s="54" t="b">
        <f>IFERROR(__xludf.DUMMYFUNCTION("""COMPUTED_VALUE"""),TRUE)</f>
        <v>1</v>
      </c>
      <c r="K168" s="80"/>
      <c r="L168" s="7"/>
      <c r="M168" s="7"/>
      <c r="N168" s="7"/>
      <c r="O168" s="7"/>
      <c r="P168" s="7"/>
      <c r="Q168" s="7"/>
      <c r="R168" s="7"/>
      <c r="S168" s="7"/>
      <c r="T168" s="7"/>
    </row>
    <row r="169">
      <c r="B169" s="12">
        <f>IFERROR(__xludf.DUMMYFUNCTION("""COMPUTED_VALUE"""),45069.0)</f>
        <v>45069</v>
      </c>
      <c r="C169" s="54">
        <f>IFERROR(__xludf.DUMMYFUNCTION("""COMPUTED_VALUE"""),9.0)</f>
        <v>9</v>
      </c>
      <c r="D169" s="7">
        <f>IFERROR(__xludf.DUMMYFUNCTION("""COMPUTED_VALUE"""),5.0)</f>
        <v>5</v>
      </c>
      <c r="E169" s="7">
        <f>IFERROR(__xludf.DUMMYFUNCTION("""COMPUTED_VALUE"""),4.0)</f>
        <v>4</v>
      </c>
      <c r="F169" s="7">
        <f>IFERROR(__xludf.DUMMYFUNCTION("""COMPUTED_VALUE"""),0.0)</f>
        <v>0</v>
      </c>
      <c r="G169" s="7">
        <f>IFERROR(__xludf.DUMMYFUNCTION("""COMPUTED_VALUE"""),0.0)</f>
        <v>0</v>
      </c>
      <c r="H169" s="7">
        <f>IFERROR(__xludf.DUMMYFUNCTION("""COMPUTED_VALUE"""),0.0)</f>
        <v>0</v>
      </c>
      <c r="I169" s="7">
        <f>IFERROR(__xludf.DUMMYFUNCTION("""COMPUTED_VALUE"""),0.0)</f>
        <v>0</v>
      </c>
      <c r="J169" s="54" t="b">
        <f>IFERROR(__xludf.DUMMYFUNCTION("""COMPUTED_VALUE"""),TRUE)</f>
        <v>1</v>
      </c>
      <c r="K169" s="80"/>
      <c r="L169" s="7"/>
      <c r="M169" s="7"/>
      <c r="N169" s="7"/>
      <c r="O169" s="7"/>
      <c r="P169" s="7"/>
      <c r="Q169" s="7"/>
      <c r="R169" s="7"/>
      <c r="S169" s="7"/>
      <c r="T169" s="7"/>
    </row>
    <row r="170">
      <c r="B170" s="12">
        <f>IFERROR(__xludf.DUMMYFUNCTION("""COMPUTED_VALUE"""),45070.0)</f>
        <v>45070</v>
      </c>
      <c r="C170" s="54">
        <f>IFERROR(__xludf.DUMMYFUNCTION("""COMPUTED_VALUE"""),3.0)</f>
        <v>3</v>
      </c>
      <c r="D170" s="7">
        <f>IFERROR(__xludf.DUMMYFUNCTION("""COMPUTED_VALUE"""),3.0)</f>
        <v>3</v>
      </c>
      <c r="E170" s="7">
        <f>IFERROR(__xludf.DUMMYFUNCTION("""COMPUTED_VALUE"""),0.0)</f>
        <v>0</v>
      </c>
      <c r="F170" s="7">
        <f>IFERROR(__xludf.DUMMYFUNCTION("""COMPUTED_VALUE"""),0.0)</f>
        <v>0</v>
      </c>
      <c r="G170" s="7">
        <f>IFERROR(__xludf.DUMMYFUNCTION("""COMPUTED_VALUE"""),0.0)</f>
        <v>0</v>
      </c>
      <c r="H170" s="7">
        <f>IFERROR(__xludf.DUMMYFUNCTION("""COMPUTED_VALUE"""),0.0)</f>
        <v>0</v>
      </c>
      <c r="I170" s="7">
        <f>IFERROR(__xludf.DUMMYFUNCTION("""COMPUTED_VALUE"""),0.0)</f>
        <v>0</v>
      </c>
      <c r="J170" s="54" t="b">
        <f>IFERROR(__xludf.DUMMYFUNCTION("""COMPUTED_VALUE"""),TRUE)</f>
        <v>1</v>
      </c>
      <c r="K170" s="80"/>
      <c r="L170" s="7"/>
      <c r="M170" s="7"/>
      <c r="N170" s="7"/>
      <c r="O170" s="7"/>
      <c r="P170" s="7"/>
      <c r="Q170" s="7"/>
      <c r="R170" s="7"/>
      <c r="S170" s="7"/>
      <c r="T170" s="7"/>
    </row>
    <row r="171">
      <c r="B171" s="12">
        <f>IFERROR(__xludf.DUMMYFUNCTION("""COMPUTED_VALUE"""),45071.0)</f>
        <v>45071</v>
      </c>
      <c r="C171" s="54">
        <f>IFERROR(__xludf.DUMMYFUNCTION("""COMPUTED_VALUE"""),5.0)</f>
        <v>5</v>
      </c>
      <c r="D171" s="7">
        <f>IFERROR(__xludf.DUMMYFUNCTION("""COMPUTED_VALUE"""),5.0)</f>
        <v>5</v>
      </c>
      <c r="E171" s="7">
        <f>IFERROR(__xludf.DUMMYFUNCTION("""COMPUTED_VALUE"""),0.0)</f>
        <v>0</v>
      </c>
      <c r="F171" s="7">
        <f>IFERROR(__xludf.DUMMYFUNCTION("""COMPUTED_VALUE"""),0.0)</f>
        <v>0</v>
      </c>
      <c r="G171" s="7">
        <f>IFERROR(__xludf.DUMMYFUNCTION("""COMPUTED_VALUE"""),0.0)</f>
        <v>0</v>
      </c>
      <c r="H171" s="7">
        <f>IFERROR(__xludf.DUMMYFUNCTION("""COMPUTED_VALUE"""),0.0)</f>
        <v>0</v>
      </c>
      <c r="I171" s="7">
        <f>IFERROR(__xludf.DUMMYFUNCTION("""COMPUTED_VALUE"""),0.0)</f>
        <v>0</v>
      </c>
      <c r="J171" s="54" t="b">
        <f>IFERROR(__xludf.DUMMYFUNCTION("""COMPUTED_VALUE"""),TRUE)</f>
        <v>1</v>
      </c>
      <c r="K171" s="80"/>
      <c r="L171" s="7"/>
      <c r="M171" s="7"/>
      <c r="N171" s="7"/>
      <c r="O171" s="7"/>
      <c r="P171" s="7"/>
      <c r="Q171" s="7"/>
      <c r="R171" s="7"/>
      <c r="S171" s="7"/>
      <c r="T171" s="7"/>
    </row>
    <row r="172">
      <c r="B172" s="12">
        <f>IFERROR(__xludf.DUMMYFUNCTION("""COMPUTED_VALUE"""),45072.0)</f>
        <v>45072</v>
      </c>
      <c r="C172" s="54">
        <f>IFERROR(__xludf.DUMMYFUNCTION("""COMPUTED_VALUE"""),4.0)</f>
        <v>4</v>
      </c>
      <c r="D172" s="7">
        <f>IFERROR(__xludf.DUMMYFUNCTION("""COMPUTED_VALUE"""),4.0)</f>
        <v>4</v>
      </c>
      <c r="E172" s="7">
        <f>IFERROR(__xludf.DUMMYFUNCTION("""COMPUTED_VALUE"""),0.0)</f>
        <v>0</v>
      </c>
      <c r="F172" s="7">
        <f>IFERROR(__xludf.DUMMYFUNCTION("""COMPUTED_VALUE"""),0.0)</f>
        <v>0</v>
      </c>
      <c r="G172" s="7">
        <f>IFERROR(__xludf.DUMMYFUNCTION("""COMPUTED_VALUE"""),0.0)</f>
        <v>0</v>
      </c>
      <c r="H172" s="7">
        <f>IFERROR(__xludf.DUMMYFUNCTION("""COMPUTED_VALUE"""),0.0)</f>
        <v>0</v>
      </c>
      <c r="I172" s="7">
        <f>IFERROR(__xludf.DUMMYFUNCTION("""COMPUTED_VALUE"""),0.0)</f>
        <v>0</v>
      </c>
      <c r="J172" s="54" t="b">
        <f>IFERROR(__xludf.DUMMYFUNCTION("""COMPUTED_VALUE"""),TRUE)</f>
        <v>1</v>
      </c>
      <c r="K172" s="80"/>
      <c r="L172" s="7"/>
      <c r="M172" s="7"/>
      <c r="N172" s="7"/>
      <c r="O172" s="7"/>
      <c r="P172" s="7"/>
      <c r="Q172" s="7"/>
      <c r="R172" s="7"/>
      <c r="S172" s="7"/>
      <c r="T172" s="7"/>
    </row>
    <row r="173">
      <c r="B173" s="12">
        <f>IFERROR(__xludf.DUMMYFUNCTION("""COMPUTED_VALUE"""),45075.0)</f>
        <v>45075</v>
      </c>
      <c r="C173" s="54">
        <f>IFERROR(__xludf.DUMMYFUNCTION("""COMPUTED_VALUE"""),4.0)</f>
        <v>4</v>
      </c>
      <c r="D173" s="7">
        <f>IFERROR(__xludf.DUMMYFUNCTION("""COMPUTED_VALUE"""),4.0)</f>
        <v>4</v>
      </c>
      <c r="E173" s="7">
        <f>IFERROR(__xludf.DUMMYFUNCTION("""COMPUTED_VALUE"""),0.0)</f>
        <v>0</v>
      </c>
      <c r="F173" s="7">
        <f>IFERROR(__xludf.DUMMYFUNCTION("""COMPUTED_VALUE"""),0.0)</f>
        <v>0</v>
      </c>
      <c r="G173" s="7">
        <f>IFERROR(__xludf.DUMMYFUNCTION("""COMPUTED_VALUE"""),0.0)</f>
        <v>0</v>
      </c>
      <c r="H173" s="7">
        <f>IFERROR(__xludf.DUMMYFUNCTION("""COMPUTED_VALUE"""),0.0)</f>
        <v>0</v>
      </c>
      <c r="I173" s="7">
        <f>IFERROR(__xludf.DUMMYFUNCTION("""COMPUTED_VALUE"""),0.0)</f>
        <v>0</v>
      </c>
      <c r="J173" s="54" t="b">
        <f>IFERROR(__xludf.DUMMYFUNCTION("""COMPUTED_VALUE"""),TRUE)</f>
        <v>1</v>
      </c>
      <c r="K173" s="80"/>
      <c r="L173" s="7"/>
      <c r="M173" s="7"/>
      <c r="N173" s="7"/>
      <c r="O173" s="7"/>
      <c r="P173" s="7"/>
      <c r="Q173" s="7"/>
      <c r="R173" s="7"/>
      <c r="S173" s="7"/>
      <c r="T173" s="7"/>
    </row>
    <row r="174">
      <c r="B174" s="12">
        <f>IFERROR(__xludf.DUMMYFUNCTION("""COMPUTED_VALUE"""),45076.0)</f>
        <v>45076</v>
      </c>
      <c r="C174" s="54">
        <f>IFERROR(__xludf.DUMMYFUNCTION("""COMPUTED_VALUE"""),5.0)</f>
        <v>5</v>
      </c>
      <c r="D174" s="7">
        <f>IFERROR(__xludf.DUMMYFUNCTION("""COMPUTED_VALUE"""),5.0)</f>
        <v>5</v>
      </c>
      <c r="E174" s="7">
        <f>IFERROR(__xludf.DUMMYFUNCTION("""COMPUTED_VALUE"""),0.0)</f>
        <v>0</v>
      </c>
      <c r="F174" s="7">
        <f>IFERROR(__xludf.DUMMYFUNCTION("""COMPUTED_VALUE"""),0.0)</f>
        <v>0</v>
      </c>
      <c r="G174" s="7">
        <f>IFERROR(__xludf.DUMMYFUNCTION("""COMPUTED_VALUE"""),0.0)</f>
        <v>0</v>
      </c>
      <c r="H174" s="7">
        <f>IFERROR(__xludf.DUMMYFUNCTION("""COMPUTED_VALUE"""),0.0)</f>
        <v>0</v>
      </c>
      <c r="I174" s="7">
        <f>IFERROR(__xludf.DUMMYFUNCTION("""COMPUTED_VALUE"""),0.0)</f>
        <v>0</v>
      </c>
      <c r="J174" s="54" t="b">
        <f>IFERROR(__xludf.DUMMYFUNCTION("""COMPUTED_VALUE"""),TRUE)</f>
        <v>1</v>
      </c>
      <c r="K174" s="80"/>
      <c r="L174" s="7"/>
      <c r="M174" s="7"/>
      <c r="N174" s="7"/>
      <c r="O174" s="7"/>
      <c r="P174" s="7"/>
      <c r="Q174" s="7"/>
      <c r="R174" s="7"/>
      <c r="S174" s="7"/>
      <c r="T174" s="7"/>
    </row>
    <row r="175">
      <c r="B175" s="12">
        <f>IFERROR(__xludf.DUMMYFUNCTION("""COMPUTED_VALUE"""),45077.0)</f>
        <v>45077</v>
      </c>
      <c r="C175" s="54">
        <f>IFERROR(__xludf.DUMMYFUNCTION("""COMPUTED_VALUE"""),6.0)</f>
        <v>6</v>
      </c>
      <c r="D175" s="7">
        <f>IFERROR(__xludf.DUMMYFUNCTION("""COMPUTED_VALUE"""),6.0)</f>
        <v>6</v>
      </c>
      <c r="E175" s="7">
        <f>IFERROR(__xludf.DUMMYFUNCTION("""COMPUTED_VALUE"""),0.0)</f>
        <v>0</v>
      </c>
      <c r="F175" s="7">
        <f>IFERROR(__xludf.DUMMYFUNCTION("""COMPUTED_VALUE"""),0.0)</f>
        <v>0</v>
      </c>
      <c r="G175" s="7">
        <f>IFERROR(__xludf.DUMMYFUNCTION("""COMPUTED_VALUE"""),0.0)</f>
        <v>0</v>
      </c>
      <c r="H175" s="7">
        <f>IFERROR(__xludf.DUMMYFUNCTION("""COMPUTED_VALUE"""),0.0)</f>
        <v>0</v>
      </c>
      <c r="I175" s="7">
        <f>IFERROR(__xludf.DUMMYFUNCTION("""COMPUTED_VALUE"""),0.0)</f>
        <v>0</v>
      </c>
      <c r="J175" s="54"/>
      <c r="K175" s="80"/>
      <c r="L175" s="7"/>
      <c r="M175" s="7"/>
      <c r="N175" s="7"/>
      <c r="O175" s="7"/>
      <c r="P175" s="7"/>
      <c r="Q175" s="7"/>
      <c r="R175" s="7"/>
      <c r="S175" s="7"/>
      <c r="T175" s="7"/>
    </row>
    <row r="176">
      <c r="B176" s="12">
        <f>IFERROR(__xludf.DUMMYFUNCTION("""COMPUTED_VALUE"""),45078.0)</f>
        <v>45078</v>
      </c>
      <c r="C176" s="54">
        <f>IFERROR(__xludf.DUMMYFUNCTION("""COMPUTED_VALUE"""),5.0)</f>
        <v>5</v>
      </c>
      <c r="D176" s="7">
        <f>IFERROR(__xludf.DUMMYFUNCTION("""COMPUTED_VALUE"""),5.0)</f>
        <v>5</v>
      </c>
      <c r="E176" s="7">
        <f>IFERROR(__xludf.DUMMYFUNCTION("""COMPUTED_VALUE"""),0.0)</f>
        <v>0</v>
      </c>
      <c r="F176" s="7">
        <f>IFERROR(__xludf.DUMMYFUNCTION("""COMPUTED_VALUE"""),0.0)</f>
        <v>0</v>
      </c>
      <c r="G176" s="7">
        <f>IFERROR(__xludf.DUMMYFUNCTION("""COMPUTED_VALUE"""),0.0)</f>
        <v>0</v>
      </c>
      <c r="H176" s="7">
        <f>IFERROR(__xludf.DUMMYFUNCTION("""COMPUTED_VALUE"""),0.0)</f>
        <v>0</v>
      </c>
      <c r="I176" s="7">
        <f>IFERROR(__xludf.DUMMYFUNCTION("""COMPUTED_VALUE"""),0.0)</f>
        <v>0</v>
      </c>
      <c r="J176" s="54" t="b">
        <f>IFERROR(__xludf.DUMMYFUNCTION("""COMPUTED_VALUE"""),TRUE)</f>
        <v>1</v>
      </c>
      <c r="K176" s="80"/>
      <c r="L176" s="7"/>
      <c r="M176" s="7"/>
      <c r="N176" s="7"/>
      <c r="O176" s="7"/>
      <c r="P176" s="7"/>
      <c r="Q176" s="7"/>
      <c r="R176" s="7"/>
      <c r="S176" s="7"/>
      <c r="T176" s="7"/>
    </row>
    <row r="177">
      <c r="B177" s="12">
        <f>IFERROR(__xludf.DUMMYFUNCTION("""COMPUTED_VALUE"""),45079.0)</f>
        <v>45079</v>
      </c>
      <c r="C177" s="54">
        <f>IFERROR(__xludf.DUMMYFUNCTION("""COMPUTED_VALUE"""),4.0)</f>
        <v>4</v>
      </c>
      <c r="D177" s="7">
        <f>IFERROR(__xludf.DUMMYFUNCTION("""COMPUTED_VALUE"""),4.0)</f>
        <v>4</v>
      </c>
      <c r="E177" s="7">
        <f>IFERROR(__xludf.DUMMYFUNCTION("""COMPUTED_VALUE"""),0.0)</f>
        <v>0</v>
      </c>
      <c r="F177" s="7">
        <f>IFERROR(__xludf.DUMMYFUNCTION("""COMPUTED_VALUE"""),0.0)</f>
        <v>0</v>
      </c>
      <c r="G177" s="7">
        <f>IFERROR(__xludf.DUMMYFUNCTION("""COMPUTED_VALUE"""),0.0)</f>
        <v>0</v>
      </c>
      <c r="H177" s="7">
        <f>IFERROR(__xludf.DUMMYFUNCTION("""COMPUTED_VALUE"""),0.0)</f>
        <v>0</v>
      </c>
      <c r="I177" s="7">
        <f>IFERROR(__xludf.DUMMYFUNCTION("""COMPUTED_VALUE"""),0.0)</f>
        <v>0</v>
      </c>
      <c r="J177" s="54" t="b">
        <f>IFERROR(__xludf.DUMMYFUNCTION("""COMPUTED_VALUE"""),TRUE)</f>
        <v>1</v>
      </c>
      <c r="K177" s="80"/>
      <c r="L177" s="7"/>
      <c r="M177" s="7"/>
      <c r="N177" s="7"/>
      <c r="O177" s="7"/>
      <c r="P177" s="7"/>
      <c r="Q177" s="7"/>
      <c r="R177" s="7"/>
      <c r="S177" s="7"/>
      <c r="T177" s="7"/>
    </row>
    <row r="178">
      <c r="B178" s="7"/>
      <c r="C178" s="54"/>
      <c r="D178" s="7"/>
      <c r="E178" s="7"/>
      <c r="F178" s="7"/>
      <c r="G178" s="7"/>
      <c r="H178" s="7"/>
      <c r="I178" s="7"/>
      <c r="J178" s="54"/>
      <c r="K178" s="54"/>
      <c r="L178" s="7"/>
      <c r="M178" s="7"/>
      <c r="N178" s="7"/>
      <c r="O178" s="7"/>
      <c r="P178" s="7"/>
      <c r="Q178" s="7"/>
      <c r="R178" s="7"/>
      <c r="S178" s="7"/>
      <c r="T178" s="7"/>
    </row>
    <row r="179">
      <c r="B179" s="7"/>
      <c r="C179" s="54"/>
      <c r="D179" s="7"/>
      <c r="E179" s="7"/>
      <c r="F179" s="7"/>
      <c r="G179" s="7"/>
      <c r="H179" s="7"/>
      <c r="I179" s="7"/>
      <c r="J179" s="54"/>
      <c r="K179" s="54"/>
      <c r="L179" s="7"/>
      <c r="M179" s="7"/>
      <c r="N179" s="7"/>
      <c r="O179" s="7"/>
      <c r="P179" s="7"/>
      <c r="Q179" s="7"/>
      <c r="R179" s="7"/>
      <c r="S179" s="7"/>
      <c r="T179" s="7"/>
    </row>
    <row r="180">
      <c r="B180" s="7"/>
      <c r="C180" s="54"/>
      <c r="D180" s="7"/>
      <c r="E180" s="7"/>
      <c r="F180" s="7"/>
      <c r="G180" s="7"/>
      <c r="H180" s="7"/>
      <c r="I180" s="7"/>
      <c r="J180" s="54"/>
      <c r="K180" s="54"/>
      <c r="L180" s="7"/>
      <c r="M180" s="7"/>
      <c r="N180" s="7"/>
      <c r="O180" s="7"/>
      <c r="P180" s="7"/>
      <c r="Q180" s="7"/>
      <c r="R180" s="7"/>
      <c r="S180" s="7"/>
      <c r="T180" s="7"/>
    </row>
    <row r="181">
      <c r="B181" s="7"/>
      <c r="C181" s="54"/>
      <c r="D181" s="7"/>
      <c r="E181" s="7"/>
      <c r="F181" s="7"/>
      <c r="G181" s="7"/>
      <c r="H181" s="7"/>
      <c r="I181" s="7"/>
      <c r="J181" s="54"/>
      <c r="K181" s="54"/>
      <c r="L181" s="7"/>
      <c r="M181" s="7"/>
      <c r="N181" s="7"/>
      <c r="O181" s="7"/>
      <c r="P181" s="7"/>
      <c r="Q181" s="7"/>
      <c r="R181" s="7"/>
      <c r="S181" s="7"/>
      <c r="T181" s="7"/>
    </row>
    <row r="182">
      <c r="B182" s="7"/>
      <c r="C182" s="54"/>
      <c r="D182" s="7"/>
      <c r="E182" s="7"/>
      <c r="F182" s="7"/>
      <c r="G182" s="7"/>
      <c r="H182" s="7"/>
      <c r="I182" s="7"/>
      <c r="J182" s="54"/>
      <c r="K182" s="54"/>
      <c r="L182" s="7"/>
      <c r="M182" s="7"/>
      <c r="N182" s="7"/>
      <c r="O182" s="7"/>
      <c r="P182" s="7"/>
      <c r="Q182" s="7"/>
      <c r="R182" s="7"/>
      <c r="S182" s="7"/>
      <c r="T182" s="7"/>
    </row>
    <row r="183">
      <c r="B183" s="7"/>
      <c r="C183" s="54"/>
      <c r="D183" s="7"/>
      <c r="E183" s="7"/>
      <c r="F183" s="7"/>
      <c r="G183" s="7"/>
      <c r="H183" s="7"/>
      <c r="I183" s="7"/>
      <c r="J183" s="54"/>
      <c r="K183" s="54"/>
      <c r="L183" s="7"/>
      <c r="M183" s="7"/>
      <c r="N183" s="7"/>
      <c r="O183" s="7"/>
      <c r="P183" s="7"/>
      <c r="Q183" s="7"/>
      <c r="R183" s="7"/>
      <c r="S183" s="7"/>
      <c r="T183" s="7"/>
    </row>
    <row r="184">
      <c r="B184" s="7"/>
      <c r="C184" s="54"/>
      <c r="D184" s="7"/>
      <c r="E184" s="7"/>
      <c r="F184" s="7"/>
      <c r="G184" s="7"/>
      <c r="H184" s="7"/>
      <c r="I184" s="7"/>
      <c r="J184" s="54"/>
      <c r="K184" s="54"/>
      <c r="L184" s="7"/>
      <c r="M184" s="7"/>
      <c r="N184" s="7"/>
      <c r="O184" s="7"/>
      <c r="P184" s="7"/>
      <c r="Q184" s="7"/>
      <c r="R184" s="7"/>
      <c r="S184" s="7"/>
      <c r="T184" s="7"/>
    </row>
    <row r="185">
      <c r="B185" s="7"/>
      <c r="C185" s="54"/>
      <c r="D185" s="7"/>
      <c r="E185" s="7"/>
      <c r="F185" s="7"/>
      <c r="G185" s="7"/>
      <c r="H185" s="7"/>
      <c r="I185" s="7"/>
      <c r="J185" s="54"/>
      <c r="K185" s="54"/>
      <c r="L185" s="7"/>
      <c r="M185" s="7"/>
      <c r="N185" s="7"/>
      <c r="O185" s="7"/>
      <c r="P185" s="7"/>
      <c r="Q185" s="7"/>
      <c r="R185" s="7"/>
      <c r="S185" s="7"/>
      <c r="T185" s="7"/>
    </row>
    <row r="186">
      <c r="B186" s="7"/>
      <c r="C186" s="54"/>
      <c r="D186" s="7"/>
      <c r="E186" s="7"/>
      <c r="F186" s="7"/>
      <c r="G186" s="7"/>
      <c r="H186" s="7"/>
      <c r="I186" s="7"/>
      <c r="J186" s="54"/>
      <c r="K186" s="54"/>
      <c r="L186" s="7"/>
      <c r="M186" s="7"/>
      <c r="N186" s="7"/>
      <c r="O186" s="7"/>
      <c r="P186" s="7"/>
      <c r="Q186" s="7"/>
      <c r="R186" s="7"/>
      <c r="S186" s="7"/>
      <c r="T186" s="7"/>
    </row>
    <row r="187">
      <c r="B187" s="7"/>
      <c r="C187" s="54"/>
      <c r="D187" s="7"/>
      <c r="E187" s="7"/>
      <c r="F187" s="7"/>
      <c r="G187" s="7"/>
      <c r="H187" s="7"/>
      <c r="I187" s="7"/>
      <c r="J187" s="54"/>
      <c r="K187" s="54"/>
      <c r="L187" s="7"/>
      <c r="M187" s="7"/>
      <c r="N187" s="7"/>
      <c r="O187" s="7"/>
      <c r="P187" s="7"/>
      <c r="Q187" s="7"/>
      <c r="R187" s="7"/>
      <c r="S187" s="7"/>
      <c r="T187" s="7"/>
    </row>
    <row r="188">
      <c r="B188" s="7"/>
      <c r="C188" s="54"/>
      <c r="D188" s="7"/>
      <c r="E188" s="7"/>
      <c r="F188" s="7"/>
      <c r="G188" s="7"/>
      <c r="H188" s="7"/>
      <c r="I188" s="7"/>
      <c r="J188" s="54"/>
      <c r="K188" s="54"/>
      <c r="L188" s="7"/>
      <c r="M188" s="7"/>
      <c r="N188" s="7"/>
      <c r="O188" s="7"/>
      <c r="P188" s="7"/>
      <c r="Q188" s="7"/>
      <c r="R188" s="7"/>
      <c r="S188" s="7"/>
      <c r="T188" s="7"/>
    </row>
    <row r="189">
      <c r="B189" s="7"/>
      <c r="C189" s="54"/>
      <c r="D189" s="7"/>
      <c r="E189" s="7"/>
      <c r="F189" s="7"/>
      <c r="G189" s="7"/>
      <c r="H189" s="7"/>
      <c r="I189" s="7"/>
      <c r="J189" s="54"/>
      <c r="K189" s="54"/>
      <c r="L189" s="7"/>
      <c r="M189" s="7"/>
      <c r="N189" s="7"/>
      <c r="O189" s="7"/>
      <c r="P189" s="7"/>
      <c r="Q189" s="7"/>
      <c r="R189" s="7"/>
      <c r="S189" s="7"/>
      <c r="T189" s="7"/>
    </row>
    <row r="190">
      <c r="B190" s="7"/>
      <c r="C190" s="54"/>
      <c r="D190" s="7"/>
      <c r="E190" s="7"/>
      <c r="F190" s="7"/>
      <c r="G190" s="7"/>
      <c r="H190" s="7"/>
      <c r="I190" s="7"/>
      <c r="J190" s="54"/>
      <c r="K190" s="54"/>
      <c r="L190" s="7"/>
      <c r="M190" s="7"/>
      <c r="N190" s="7"/>
      <c r="O190" s="7"/>
      <c r="P190" s="7"/>
      <c r="Q190" s="7"/>
      <c r="R190" s="7"/>
      <c r="S190" s="7"/>
      <c r="T190" s="7"/>
    </row>
    <row r="191">
      <c r="B191" s="7"/>
      <c r="C191" s="54"/>
      <c r="D191" s="7"/>
      <c r="E191" s="7"/>
      <c r="F191" s="7"/>
      <c r="G191" s="7"/>
      <c r="H191" s="7"/>
      <c r="I191" s="7"/>
      <c r="J191" s="54"/>
      <c r="K191" s="54"/>
      <c r="L191" s="7"/>
      <c r="M191" s="7"/>
      <c r="N191" s="7"/>
      <c r="O191" s="7"/>
      <c r="P191" s="7"/>
      <c r="Q191" s="7"/>
      <c r="R191" s="7"/>
      <c r="S191" s="7"/>
      <c r="T191" s="7"/>
    </row>
    <row r="192">
      <c r="B192" s="7"/>
      <c r="C192" s="54"/>
      <c r="D192" s="7"/>
      <c r="E192" s="7"/>
      <c r="F192" s="7"/>
      <c r="G192" s="7"/>
      <c r="H192" s="7"/>
      <c r="I192" s="7"/>
      <c r="J192" s="54"/>
      <c r="K192" s="54"/>
      <c r="L192" s="7"/>
      <c r="M192" s="7"/>
      <c r="N192" s="7"/>
      <c r="O192" s="7"/>
      <c r="P192" s="7"/>
      <c r="Q192" s="7"/>
      <c r="R192" s="7"/>
      <c r="S192" s="7"/>
      <c r="T192" s="7"/>
    </row>
    <row r="193">
      <c r="B193" s="7"/>
      <c r="C193" s="54"/>
      <c r="D193" s="7"/>
      <c r="E193" s="7"/>
      <c r="F193" s="7"/>
      <c r="G193" s="7"/>
      <c r="H193" s="7"/>
      <c r="I193" s="7"/>
      <c r="J193" s="54"/>
      <c r="K193" s="54"/>
      <c r="L193" s="7"/>
      <c r="M193" s="7"/>
      <c r="N193" s="7"/>
      <c r="O193" s="7"/>
      <c r="P193" s="7"/>
      <c r="Q193" s="7"/>
      <c r="R193" s="7"/>
      <c r="S193" s="7"/>
      <c r="T193" s="7"/>
    </row>
    <row r="194">
      <c r="B194" s="7"/>
      <c r="C194" s="54"/>
      <c r="D194" s="7"/>
      <c r="E194" s="7"/>
      <c r="F194" s="7"/>
      <c r="G194" s="7"/>
      <c r="H194" s="7"/>
      <c r="I194" s="7"/>
      <c r="J194" s="54"/>
      <c r="K194" s="54"/>
      <c r="L194" s="7"/>
      <c r="M194" s="7"/>
      <c r="N194" s="7"/>
      <c r="O194" s="7"/>
      <c r="P194" s="7"/>
      <c r="Q194" s="7"/>
      <c r="R194" s="7"/>
      <c r="S194" s="7"/>
      <c r="T194" s="7"/>
    </row>
    <row r="195">
      <c r="B195" s="7"/>
      <c r="C195" s="54"/>
      <c r="D195" s="7"/>
      <c r="E195" s="7"/>
      <c r="F195" s="7"/>
      <c r="G195" s="7"/>
      <c r="H195" s="7"/>
      <c r="I195" s="7"/>
      <c r="J195" s="54"/>
      <c r="K195" s="54"/>
      <c r="L195" s="7"/>
      <c r="M195" s="7"/>
      <c r="N195" s="7"/>
      <c r="O195" s="7"/>
      <c r="P195" s="7"/>
      <c r="Q195" s="7"/>
      <c r="R195" s="7"/>
      <c r="S195" s="7"/>
      <c r="T195" s="7"/>
    </row>
    <row r="196">
      <c r="B196" s="7"/>
      <c r="C196" s="54"/>
      <c r="D196" s="7"/>
      <c r="E196" s="7"/>
      <c r="F196" s="7"/>
      <c r="G196" s="7"/>
      <c r="H196" s="7"/>
      <c r="I196" s="7"/>
      <c r="J196" s="54"/>
      <c r="K196" s="54"/>
      <c r="L196" s="7"/>
      <c r="M196" s="7"/>
      <c r="N196" s="7"/>
      <c r="O196" s="7"/>
      <c r="P196" s="7"/>
      <c r="Q196" s="7"/>
      <c r="R196" s="7"/>
      <c r="S196" s="7"/>
      <c r="T196" s="7"/>
    </row>
    <row r="197">
      <c r="B197" s="7"/>
      <c r="C197" s="54"/>
      <c r="D197" s="7"/>
      <c r="E197" s="7"/>
      <c r="F197" s="7"/>
      <c r="G197" s="7"/>
      <c r="H197" s="7"/>
      <c r="I197" s="7"/>
      <c r="J197" s="54"/>
      <c r="K197" s="54"/>
      <c r="L197" s="7"/>
      <c r="M197" s="7"/>
      <c r="N197" s="7"/>
      <c r="O197" s="7"/>
      <c r="P197" s="7"/>
      <c r="Q197" s="7"/>
      <c r="R197" s="7"/>
      <c r="S197" s="7"/>
      <c r="T197" s="7"/>
    </row>
    <row r="198">
      <c r="B198" s="7"/>
      <c r="C198" s="54"/>
      <c r="D198" s="7"/>
      <c r="E198" s="7"/>
      <c r="F198" s="7"/>
      <c r="G198" s="7"/>
      <c r="H198" s="7"/>
      <c r="I198" s="7"/>
      <c r="J198" s="54"/>
      <c r="K198" s="54"/>
      <c r="L198" s="7"/>
      <c r="M198" s="7"/>
      <c r="N198" s="7"/>
      <c r="O198" s="7"/>
      <c r="P198" s="7"/>
      <c r="Q198" s="7"/>
      <c r="R198" s="7"/>
      <c r="S198" s="7"/>
      <c r="T198" s="7"/>
    </row>
    <row r="199">
      <c r="B199" s="7"/>
      <c r="C199" s="54"/>
      <c r="D199" s="7"/>
      <c r="E199" s="7"/>
      <c r="F199" s="7"/>
      <c r="G199" s="7"/>
      <c r="H199" s="7"/>
      <c r="I199" s="7"/>
      <c r="J199" s="54"/>
      <c r="K199" s="54"/>
      <c r="L199" s="7"/>
      <c r="M199" s="7"/>
      <c r="N199" s="7"/>
      <c r="O199" s="7"/>
      <c r="P199" s="7"/>
      <c r="Q199" s="7"/>
      <c r="R199" s="7"/>
      <c r="S199" s="7"/>
      <c r="T199" s="7"/>
    </row>
    <row r="200">
      <c r="B200" s="7"/>
      <c r="C200" s="54"/>
      <c r="D200" s="7"/>
      <c r="E200" s="7"/>
      <c r="F200" s="7"/>
      <c r="G200" s="7"/>
      <c r="H200" s="7"/>
      <c r="I200" s="7"/>
      <c r="J200" s="54"/>
      <c r="K200" s="54"/>
      <c r="L200" s="7"/>
      <c r="M200" s="7"/>
      <c r="N200" s="7"/>
      <c r="O200" s="7"/>
      <c r="P200" s="7"/>
      <c r="Q200" s="7"/>
      <c r="R200" s="7"/>
      <c r="S200" s="7"/>
      <c r="T200" s="7"/>
    </row>
    <row r="201">
      <c r="B201" s="7"/>
      <c r="C201" s="54"/>
      <c r="D201" s="7"/>
      <c r="E201" s="7"/>
      <c r="F201" s="7"/>
      <c r="G201" s="7"/>
      <c r="H201" s="7"/>
      <c r="I201" s="7"/>
      <c r="J201" s="54"/>
      <c r="K201" s="54"/>
      <c r="L201" s="7"/>
      <c r="M201" s="7"/>
      <c r="N201" s="7"/>
      <c r="O201" s="7"/>
      <c r="P201" s="7"/>
      <c r="Q201" s="7"/>
      <c r="R201" s="7"/>
      <c r="S201" s="7"/>
      <c r="T201" s="7"/>
    </row>
    <row r="202">
      <c r="B202" s="7"/>
      <c r="C202" s="54"/>
      <c r="D202" s="7"/>
      <c r="E202" s="7"/>
      <c r="F202" s="7"/>
      <c r="G202" s="7"/>
      <c r="H202" s="7"/>
      <c r="I202" s="7"/>
      <c r="J202" s="54"/>
      <c r="K202" s="54"/>
      <c r="L202" s="7"/>
      <c r="M202" s="7"/>
      <c r="N202" s="7"/>
      <c r="O202" s="7"/>
      <c r="P202" s="7"/>
      <c r="Q202" s="7"/>
      <c r="R202" s="7"/>
      <c r="S202" s="7"/>
      <c r="T202" s="7"/>
    </row>
    <row r="203">
      <c r="B203" s="7"/>
      <c r="C203" s="54"/>
      <c r="D203" s="7"/>
      <c r="E203" s="7"/>
      <c r="F203" s="7"/>
      <c r="G203" s="7"/>
      <c r="H203" s="7"/>
      <c r="I203" s="7"/>
      <c r="J203" s="54"/>
      <c r="K203" s="54"/>
      <c r="L203" s="7"/>
      <c r="M203" s="7"/>
      <c r="N203" s="7"/>
      <c r="O203" s="7"/>
      <c r="P203" s="7"/>
      <c r="Q203" s="7"/>
      <c r="R203" s="7"/>
      <c r="S203" s="7"/>
      <c r="T203" s="7"/>
    </row>
    <row r="204">
      <c r="B204" s="7"/>
      <c r="C204" s="54"/>
      <c r="D204" s="7"/>
      <c r="E204" s="7"/>
      <c r="F204" s="7"/>
      <c r="G204" s="7"/>
      <c r="H204" s="7"/>
      <c r="I204" s="7"/>
      <c r="J204" s="54"/>
      <c r="K204" s="54"/>
      <c r="L204" s="7"/>
      <c r="M204" s="7"/>
      <c r="N204" s="7"/>
      <c r="O204" s="7"/>
      <c r="P204" s="7"/>
      <c r="Q204" s="7"/>
      <c r="R204" s="7"/>
      <c r="S204" s="7"/>
      <c r="T204" s="7"/>
    </row>
    <row r="205">
      <c r="B205" s="7"/>
      <c r="C205" s="54"/>
      <c r="D205" s="7"/>
      <c r="E205" s="7"/>
      <c r="F205" s="7"/>
      <c r="G205" s="7"/>
      <c r="H205" s="7"/>
      <c r="I205" s="7"/>
      <c r="J205" s="54"/>
      <c r="K205" s="54"/>
      <c r="L205" s="7"/>
      <c r="M205" s="7"/>
      <c r="N205" s="7"/>
      <c r="O205" s="7"/>
      <c r="P205" s="7"/>
      <c r="Q205" s="7"/>
      <c r="R205" s="7"/>
      <c r="S205" s="7"/>
      <c r="T205" s="7"/>
    </row>
    <row r="206">
      <c r="B206" s="7"/>
      <c r="C206" s="54"/>
      <c r="D206" s="7"/>
      <c r="E206" s="7"/>
      <c r="F206" s="7"/>
      <c r="G206" s="7"/>
      <c r="H206" s="7"/>
      <c r="I206" s="7"/>
      <c r="J206" s="54"/>
      <c r="K206" s="54"/>
      <c r="L206" s="7"/>
      <c r="M206" s="7"/>
      <c r="N206" s="7"/>
      <c r="O206" s="7"/>
      <c r="P206" s="7"/>
      <c r="Q206" s="7"/>
      <c r="R206" s="7"/>
      <c r="S206" s="7"/>
      <c r="T206" s="7"/>
    </row>
    <row r="207">
      <c r="B207" s="7"/>
      <c r="C207" s="54"/>
      <c r="D207" s="7"/>
      <c r="E207" s="7"/>
      <c r="F207" s="7"/>
      <c r="G207" s="7"/>
      <c r="H207" s="7"/>
      <c r="I207" s="7"/>
      <c r="J207" s="54"/>
      <c r="K207" s="54"/>
      <c r="L207" s="7"/>
      <c r="M207" s="7"/>
      <c r="N207" s="7"/>
      <c r="O207" s="7"/>
      <c r="P207" s="7"/>
      <c r="Q207" s="7"/>
      <c r="R207" s="7"/>
      <c r="S207" s="7"/>
      <c r="T207" s="7"/>
    </row>
    <row r="208">
      <c r="B208" s="7"/>
      <c r="C208" s="54"/>
      <c r="D208" s="7"/>
      <c r="E208" s="7"/>
      <c r="F208" s="7"/>
      <c r="G208" s="7"/>
      <c r="H208" s="7"/>
      <c r="I208" s="7"/>
      <c r="J208" s="54"/>
      <c r="K208" s="54"/>
      <c r="L208" s="7"/>
      <c r="M208" s="7"/>
      <c r="N208" s="7"/>
      <c r="O208" s="7"/>
      <c r="P208" s="7"/>
      <c r="Q208" s="7"/>
      <c r="R208" s="7"/>
      <c r="S208" s="7"/>
      <c r="T208" s="7"/>
    </row>
    <row r="209">
      <c r="B209" s="7"/>
      <c r="C209" s="54"/>
      <c r="D209" s="7"/>
      <c r="E209" s="7"/>
      <c r="F209" s="7"/>
      <c r="G209" s="7"/>
      <c r="H209" s="7"/>
      <c r="I209" s="7"/>
      <c r="J209" s="54"/>
      <c r="K209" s="54"/>
      <c r="L209" s="7"/>
      <c r="M209" s="7"/>
      <c r="N209" s="7"/>
      <c r="O209" s="7"/>
      <c r="P209" s="7"/>
      <c r="Q209" s="7"/>
      <c r="R209" s="7"/>
      <c r="S209" s="7"/>
      <c r="T209" s="7"/>
    </row>
    <row r="210">
      <c r="B210" s="7"/>
      <c r="C210" s="54"/>
      <c r="D210" s="7"/>
      <c r="E210" s="7"/>
      <c r="F210" s="7"/>
      <c r="G210" s="7"/>
      <c r="H210" s="7"/>
      <c r="I210" s="7"/>
      <c r="J210" s="54"/>
      <c r="K210" s="54"/>
      <c r="L210" s="7"/>
      <c r="M210" s="7"/>
      <c r="N210" s="7"/>
      <c r="O210" s="7"/>
      <c r="P210" s="7"/>
      <c r="Q210" s="7"/>
      <c r="R210" s="7"/>
      <c r="S210" s="7"/>
      <c r="T210" s="7"/>
    </row>
    <row r="211">
      <c r="B211" s="7"/>
      <c r="C211" s="54"/>
      <c r="D211" s="7"/>
      <c r="E211" s="7"/>
      <c r="F211" s="7"/>
      <c r="G211" s="7"/>
      <c r="H211" s="7"/>
      <c r="I211" s="7"/>
      <c r="J211" s="54"/>
      <c r="K211" s="54"/>
      <c r="L211" s="7"/>
      <c r="M211" s="7"/>
      <c r="N211" s="7"/>
      <c r="O211" s="7"/>
      <c r="P211" s="7"/>
      <c r="Q211" s="7"/>
      <c r="R211" s="7"/>
      <c r="S211" s="7"/>
      <c r="T211" s="7"/>
    </row>
    <row r="212">
      <c r="B212" s="7"/>
      <c r="C212" s="54"/>
      <c r="D212" s="7"/>
      <c r="E212" s="7"/>
      <c r="F212" s="7"/>
      <c r="G212" s="7"/>
      <c r="H212" s="7"/>
      <c r="I212" s="7"/>
      <c r="J212" s="54"/>
      <c r="K212" s="54"/>
      <c r="L212" s="7"/>
      <c r="M212" s="7"/>
      <c r="N212" s="7"/>
      <c r="O212" s="7"/>
      <c r="P212" s="7"/>
      <c r="Q212" s="7"/>
      <c r="R212" s="7"/>
      <c r="S212" s="7"/>
      <c r="T212" s="7"/>
    </row>
    <row r="213">
      <c r="B213" s="7"/>
      <c r="C213" s="54"/>
      <c r="D213" s="7"/>
      <c r="E213" s="7"/>
      <c r="F213" s="7"/>
      <c r="G213" s="7"/>
      <c r="H213" s="7"/>
      <c r="I213" s="7"/>
      <c r="J213" s="54"/>
      <c r="K213" s="54"/>
      <c r="L213" s="7"/>
      <c r="M213" s="7"/>
      <c r="N213" s="7"/>
      <c r="O213" s="7"/>
      <c r="P213" s="7"/>
      <c r="Q213" s="7"/>
      <c r="R213" s="7"/>
      <c r="S213" s="7"/>
      <c r="T213" s="7"/>
    </row>
    <row r="214">
      <c r="B214" s="7"/>
      <c r="C214" s="54"/>
      <c r="D214" s="7"/>
      <c r="E214" s="7"/>
      <c r="F214" s="7"/>
      <c r="G214" s="7"/>
      <c r="H214" s="7"/>
      <c r="I214" s="7"/>
      <c r="J214" s="54"/>
      <c r="K214" s="54"/>
      <c r="L214" s="7"/>
      <c r="M214" s="7"/>
      <c r="N214" s="7"/>
      <c r="O214" s="7"/>
      <c r="P214" s="7"/>
      <c r="Q214" s="7"/>
      <c r="R214" s="7"/>
      <c r="S214" s="7"/>
      <c r="T214" s="7"/>
    </row>
    <row r="215">
      <c r="B215" s="7"/>
      <c r="C215" s="54"/>
      <c r="D215" s="7"/>
      <c r="E215" s="7"/>
      <c r="F215" s="7"/>
      <c r="G215" s="7"/>
      <c r="H215" s="7"/>
      <c r="I215" s="7"/>
      <c r="J215" s="54"/>
      <c r="K215" s="54"/>
      <c r="L215" s="7"/>
      <c r="M215" s="7"/>
      <c r="N215" s="7"/>
      <c r="O215" s="7"/>
      <c r="P215" s="7"/>
      <c r="Q215" s="7"/>
      <c r="R215" s="7"/>
      <c r="S215" s="7"/>
      <c r="T215" s="7"/>
    </row>
    <row r="216">
      <c r="B216" s="7"/>
      <c r="C216" s="54"/>
      <c r="D216" s="7"/>
      <c r="E216" s="7"/>
      <c r="F216" s="7"/>
      <c r="G216" s="7"/>
      <c r="H216" s="7"/>
      <c r="I216" s="7"/>
      <c r="J216" s="54"/>
      <c r="K216" s="54"/>
      <c r="L216" s="7"/>
      <c r="M216" s="7"/>
      <c r="N216" s="7"/>
      <c r="O216" s="7"/>
      <c r="P216" s="7"/>
      <c r="Q216" s="7"/>
      <c r="R216" s="7"/>
      <c r="S216" s="7"/>
      <c r="T216" s="7"/>
    </row>
    <row r="217">
      <c r="B217" s="7"/>
      <c r="C217" s="54"/>
      <c r="D217" s="7"/>
      <c r="E217" s="7"/>
      <c r="F217" s="7"/>
      <c r="G217" s="7"/>
      <c r="H217" s="7"/>
      <c r="I217" s="7"/>
      <c r="J217" s="54"/>
      <c r="K217" s="54"/>
      <c r="L217" s="7"/>
      <c r="M217" s="7"/>
      <c r="N217" s="7"/>
      <c r="O217" s="7"/>
      <c r="P217" s="7"/>
      <c r="Q217" s="7"/>
      <c r="R217" s="7"/>
      <c r="S217" s="7"/>
      <c r="T217" s="7"/>
    </row>
    <row r="218">
      <c r="B218" s="7"/>
      <c r="C218" s="54"/>
      <c r="D218" s="7"/>
      <c r="E218" s="7"/>
      <c r="F218" s="7"/>
      <c r="G218" s="7"/>
      <c r="H218" s="7"/>
      <c r="I218" s="7"/>
      <c r="J218" s="54"/>
      <c r="K218" s="54"/>
      <c r="L218" s="7"/>
      <c r="M218" s="7"/>
      <c r="N218" s="7"/>
      <c r="O218" s="7"/>
      <c r="P218" s="7"/>
      <c r="Q218" s="7"/>
      <c r="R218" s="7"/>
      <c r="S218" s="7"/>
      <c r="T218" s="7"/>
    </row>
    <row r="219">
      <c r="B219" s="7"/>
      <c r="C219" s="54"/>
      <c r="D219" s="7"/>
      <c r="E219" s="7"/>
      <c r="F219" s="7"/>
      <c r="G219" s="7"/>
      <c r="H219" s="7"/>
      <c r="I219" s="7"/>
      <c r="J219" s="54"/>
      <c r="K219" s="54"/>
      <c r="L219" s="7"/>
      <c r="M219" s="7"/>
      <c r="N219" s="7"/>
      <c r="O219" s="7"/>
      <c r="P219" s="7"/>
      <c r="Q219" s="7"/>
      <c r="R219" s="7"/>
      <c r="S219" s="7"/>
      <c r="T219" s="7"/>
    </row>
    <row r="220">
      <c r="B220" s="7"/>
      <c r="C220" s="54"/>
      <c r="D220" s="7"/>
      <c r="E220" s="7"/>
      <c r="F220" s="7"/>
      <c r="G220" s="7"/>
      <c r="H220" s="7"/>
      <c r="I220" s="7"/>
      <c r="J220" s="54"/>
      <c r="K220" s="54"/>
      <c r="L220" s="7"/>
      <c r="M220" s="7"/>
      <c r="N220" s="7"/>
      <c r="O220" s="7"/>
      <c r="P220" s="7"/>
      <c r="Q220" s="7"/>
      <c r="R220" s="7"/>
      <c r="S220" s="7"/>
      <c r="T220" s="7"/>
    </row>
    <row r="221">
      <c r="B221" s="7"/>
      <c r="C221" s="54"/>
      <c r="D221" s="7"/>
      <c r="E221" s="7"/>
      <c r="F221" s="7"/>
      <c r="G221" s="7"/>
      <c r="H221" s="7"/>
      <c r="I221" s="7"/>
      <c r="J221" s="54"/>
      <c r="K221" s="54"/>
      <c r="L221" s="7"/>
      <c r="M221" s="7"/>
      <c r="N221" s="7"/>
      <c r="O221" s="7"/>
      <c r="P221" s="7"/>
      <c r="Q221" s="7"/>
      <c r="R221" s="7"/>
      <c r="S221" s="7"/>
      <c r="T221" s="7"/>
    </row>
    <row r="222">
      <c r="B222" s="7"/>
      <c r="C222" s="54"/>
      <c r="D222" s="7"/>
      <c r="E222" s="7"/>
      <c r="F222" s="7"/>
      <c r="G222" s="7"/>
      <c r="H222" s="7"/>
      <c r="I222" s="7"/>
      <c r="J222" s="54"/>
      <c r="K222" s="54"/>
      <c r="L222" s="7"/>
      <c r="M222" s="7"/>
      <c r="N222" s="7"/>
      <c r="O222" s="7"/>
      <c r="P222" s="7"/>
      <c r="Q222" s="7"/>
      <c r="R222" s="7"/>
      <c r="S222" s="7"/>
      <c r="T222" s="7"/>
    </row>
    <row r="223">
      <c r="B223" s="7"/>
      <c r="C223" s="54"/>
      <c r="D223" s="7"/>
      <c r="E223" s="7"/>
      <c r="F223" s="7"/>
      <c r="G223" s="7"/>
      <c r="H223" s="7"/>
      <c r="I223" s="7"/>
      <c r="J223" s="54"/>
      <c r="K223" s="54"/>
      <c r="L223" s="7"/>
      <c r="M223" s="7"/>
      <c r="N223" s="7"/>
      <c r="O223" s="7"/>
      <c r="P223" s="7"/>
      <c r="Q223" s="7"/>
      <c r="R223" s="7"/>
      <c r="S223" s="7"/>
      <c r="T223" s="7"/>
    </row>
    <row r="224">
      <c r="B224" s="7"/>
      <c r="C224" s="54"/>
      <c r="D224" s="7"/>
      <c r="E224" s="7"/>
      <c r="F224" s="7"/>
      <c r="G224" s="7"/>
      <c r="H224" s="7"/>
      <c r="I224" s="7"/>
      <c r="J224" s="54"/>
      <c r="K224" s="54"/>
      <c r="L224" s="7"/>
      <c r="M224" s="7"/>
      <c r="N224" s="7"/>
      <c r="O224" s="7"/>
      <c r="P224" s="7"/>
      <c r="Q224" s="7"/>
      <c r="R224" s="7"/>
      <c r="S224" s="7"/>
      <c r="T224" s="7"/>
    </row>
    <row r="225">
      <c r="B225" s="7"/>
      <c r="C225" s="54"/>
      <c r="D225" s="7"/>
      <c r="E225" s="7"/>
      <c r="F225" s="7"/>
      <c r="G225" s="7"/>
      <c r="H225" s="7"/>
      <c r="I225" s="7"/>
      <c r="J225" s="54"/>
      <c r="K225" s="54"/>
      <c r="L225" s="7"/>
      <c r="M225" s="7"/>
      <c r="N225" s="7"/>
      <c r="O225" s="7"/>
      <c r="P225" s="7"/>
      <c r="Q225" s="7"/>
      <c r="R225" s="7"/>
      <c r="S225" s="7"/>
      <c r="T225" s="7"/>
    </row>
    <row r="226">
      <c r="B226" s="7"/>
      <c r="C226" s="54"/>
      <c r="D226" s="7"/>
      <c r="E226" s="7"/>
      <c r="F226" s="7"/>
      <c r="G226" s="7"/>
      <c r="H226" s="7"/>
      <c r="I226" s="7"/>
      <c r="J226" s="54"/>
      <c r="K226" s="54"/>
      <c r="L226" s="7"/>
      <c r="M226" s="7"/>
      <c r="N226" s="7"/>
      <c r="O226" s="7"/>
      <c r="P226" s="7"/>
      <c r="Q226" s="7"/>
      <c r="R226" s="7"/>
      <c r="S226" s="7"/>
      <c r="T226" s="7"/>
    </row>
    <row r="227">
      <c r="B227" s="7"/>
      <c r="C227" s="54"/>
      <c r="D227" s="7"/>
      <c r="E227" s="7"/>
      <c r="F227" s="7"/>
      <c r="G227" s="7"/>
      <c r="H227" s="7"/>
      <c r="I227" s="7"/>
      <c r="J227" s="54"/>
      <c r="K227" s="54"/>
      <c r="L227" s="7"/>
      <c r="M227" s="7"/>
      <c r="N227" s="7"/>
      <c r="O227" s="7"/>
      <c r="P227" s="7"/>
      <c r="Q227" s="7"/>
      <c r="R227" s="7"/>
      <c r="S227" s="7"/>
      <c r="T227" s="7"/>
    </row>
    <row r="228">
      <c r="B228" s="7"/>
      <c r="C228" s="54"/>
      <c r="D228" s="7"/>
      <c r="E228" s="7"/>
      <c r="F228" s="7"/>
      <c r="G228" s="7"/>
      <c r="H228" s="7"/>
      <c r="I228" s="7"/>
      <c r="J228" s="54"/>
      <c r="K228" s="54"/>
      <c r="L228" s="7"/>
      <c r="M228" s="7"/>
      <c r="N228" s="7"/>
      <c r="O228" s="7"/>
      <c r="P228" s="7"/>
      <c r="Q228" s="7"/>
      <c r="R228" s="7"/>
      <c r="S228" s="7"/>
      <c r="T228" s="7"/>
    </row>
    <row r="229">
      <c r="B229" s="7"/>
      <c r="C229" s="54"/>
      <c r="D229" s="7"/>
      <c r="E229" s="7"/>
      <c r="F229" s="7"/>
      <c r="G229" s="7"/>
      <c r="H229" s="7"/>
      <c r="I229" s="7"/>
      <c r="J229" s="54"/>
      <c r="K229" s="54"/>
      <c r="L229" s="7"/>
      <c r="M229" s="7"/>
      <c r="N229" s="7"/>
      <c r="O229" s="7"/>
      <c r="P229" s="7"/>
      <c r="Q229" s="7"/>
      <c r="R229" s="7"/>
      <c r="S229" s="7"/>
      <c r="T229" s="7"/>
    </row>
    <row r="230">
      <c r="B230" s="7"/>
      <c r="C230" s="54"/>
      <c r="D230" s="7"/>
      <c r="E230" s="7"/>
      <c r="F230" s="7"/>
      <c r="G230" s="7"/>
      <c r="H230" s="7"/>
      <c r="I230" s="7"/>
      <c r="J230" s="54"/>
      <c r="K230" s="54"/>
      <c r="L230" s="7"/>
      <c r="M230" s="7"/>
      <c r="N230" s="7"/>
      <c r="O230" s="7"/>
      <c r="P230" s="7"/>
      <c r="Q230" s="7"/>
      <c r="R230" s="7"/>
      <c r="S230" s="7"/>
      <c r="T230" s="7"/>
    </row>
    <row r="231">
      <c r="B231" s="7"/>
      <c r="C231" s="54"/>
      <c r="D231" s="7"/>
      <c r="E231" s="7"/>
      <c r="F231" s="7"/>
      <c r="G231" s="7"/>
      <c r="H231" s="7"/>
      <c r="I231" s="7"/>
      <c r="J231" s="54"/>
      <c r="K231" s="54"/>
      <c r="L231" s="7"/>
      <c r="M231" s="7"/>
      <c r="N231" s="7"/>
      <c r="O231" s="7"/>
      <c r="P231" s="7"/>
      <c r="Q231" s="7"/>
      <c r="R231" s="7"/>
      <c r="S231" s="7"/>
      <c r="T231" s="7"/>
    </row>
    <row r="232">
      <c r="B232" s="7"/>
      <c r="C232" s="54"/>
      <c r="D232" s="7"/>
      <c r="E232" s="7"/>
      <c r="F232" s="7"/>
      <c r="G232" s="7"/>
      <c r="H232" s="7"/>
      <c r="I232" s="7"/>
      <c r="J232" s="54"/>
      <c r="K232" s="54"/>
      <c r="L232" s="7"/>
      <c r="M232" s="7"/>
      <c r="N232" s="7"/>
      <c r="O232" s="7"/>
      <c r="P232" s="7"/>
      <c r="Q232" s="7"/>
      <c r="R232" s="7"/>
      <c r="S232" s="7"/>
      <c r="T232" s="7"/>
    </row>
    <row r="233">
      <c r="B233" s="7"/>
      <c r="C233" s="54"/>
      <c r="D233" s="7"/>
      <c r="E233" s="7"/>
      <c r="F233" s="7"/>
      <c r="G233" s="7"/>
      <c r="H233" s="7"/>
      <c r="I233" s="7"/>
      <c r="J233" s="54"/>
      <c r="K233" s="54"/>
      <c r="L233" s="7"/>
      <c r="M233" s="7"/>
      <c r="N233" s="7"/>
      <c r="O233" s="7"/>
      <c r="P233" s="7"/>
      <c r="Q233" s="7"/>
      <c r="R233" s="7"/>
      <c r="S233" s="7"/>
      <c r="T233" s="7"/>
    </row>
    <row r="234">
      <c r="B234" s="7"/>
      <c r="C234" s="54"/>
      <c r="D234" s="7"/>
      <c r="E234" s="7"/>
      <c r="F234" s="7"/>
      <c r="G234" s="7"/>
      <c r="H234" s="7"/>
      <c r="I234" s="7"/>
      <c r="J234" s="54"/>
      <c r="K234" s="54"/>
      <c r="L234" s="7"/>
      <c r="M234" s="7"/>
      <c r="N234" s="7"/>
      <c r="O234" s="7"/>
      <c r="P234" s="7"/>
      <c r="Q234" s="7"/>
      <c r="R234" s="7"/>
      <c r="S234" s="7"/>
      <c r="T234" s="7"/>
    </row>
    <row r="235">
      <c r="B235" s="7"/>
      <c r="C235" s="54"/>
      <c r="D235" s="7"/>
      <c r="E235" s="7"/>
      <c r="F235" s="7"/>
      <c r="G235" s="7"/>
      <c r="H235" s="7"/>
      <c r="I235" s="7"/>
      <c r="J235" s="54"/>
      <c r="K235" s="54"/>
      <c r="L235" s="7"/>
      <c r="M235" s="7"/>
      <c r="N235" s="7"/>
      <c r="O235" s="7"/>
      <c r="P235" s="7"/>
      <c r="Q235" s="7"/>
      <c r="R235" s="7"/>
      <c r="S235" s="7"/>
      <c r="T235" s="7"/>
    </row>
    <row r="236">
      <c r="B236" s="7"/>
      <c r="C236" s="54"/>
      <c r="D236" s="7"/>
      <c r="E236" s="7"/>
      <c r="F236" s="7"/>
      <c r="G236" s="7"/>
      <c r="H236" s="7"/>
      <c r="I236" s="7"/>
      <c r="J236" s="54"/>
      <c r="K236" s="54"/>
      <c r="L236" s="7"/>
      <c r="M236" s="7"/>
      <c r="N236" s="7"/>
      <c r="O236" s="7"/>
      <c r="P236" s="7"/>
      <c r="Q236" s="7"/>
      <c r="R236" s="7"/>
      <c r="S236" s="7"/>
      <c r="T236" s="7"/>
    </row>
    <row r="237">
      <c r="B237" s="7"/>
      <c r="C237" s="54"/>
      <c r="D237" s="7"/>
      <c r="E237" s="7"/>
      <c r="F237" s="7"/>
      <c r="G237" s="7"/>
      <c r="H237" s="7"/>
      <c r="I237" s="7"/>
      <c r="J237" s="54"/>
      <c r="K237" s="54"/>
      <c r="L237" s="7"/>
      <c r="M237" s="7"/>
      <c r="N237" s="7"/>
      <c r="O237" s="7"/>
      <c r="P237" s="7"/>
      <c r="Q237" s="7"/>
      <c r="R237" s="7"/>
      <c r="S237" s="7"/>
      <c r="T237" s="7"/>
    </row>
    <row r="238">
      <c r="B238" s="7"/>
      <c r="C238" s="54"/>
      <c r="D238" s="7"/>
      <c r="E238" s="7"/>
      <c r="F238" s="7"/>
      <c r="G238" s="7"/>
      <c r="H238" s="7"/>
      <c r="I238" s="7"/>
      <c r="J238" s="54"/>
      <c r="K238" s="54"/>
      <c r="L238" s="7"/>
      <c r="M238" s="7"/>
      <c r="N238" s="7"/>
      <c r="O238" s="7"/>
      <c r="P238" s="7"/>
      <c r="Q238" s="7"/>
      <c r="R238" s="7"/>
      <c r="S238" s="7"/>
      <c r="T238" s="7"/>
    </row>
    <row r="239">
      <c r="B239" s="7"/>
      <c r="C239" s="54"/>
      <c r="D239" s="7"/>
      <c r="E239" s="7"/>
      <c r="F239" s="7"/>
      <c r="G239" s="7"/>
      <c r="H239" s="7"/>
      <c r="I239" s="7"/>
      <c r="J239" s="54"/>
      <c r="K239" s="54"/>
      <c r="L239" s="7"/>
      <c r="M239" s="7"/>
      <c r="N239" s="7"/>
      <c r="O239" s="7"/>
      <c r="P239" s="7"/>
      <c r="Q239" s="7"/>
      <c r="R239" s="7"/>
      <c r="S239" s="7"/>
      <c r="T239" s="7"/>
    </row>
    <row r="240">
      <c r="B240" s="7"/>
      <c r="C240" s="54"/>
      <c r="D240" s="7"/>
      <c r="E240" s="7"/>
      <c r="F240" s="7"/>
      <c r="G240" s="7"/>
      <c r="H240" s="7"/>
      <c r="I240" s="7"/>
      <c r="J240" s="54"/>
      <c r="K240" s="54"/>
      <c r="L240" s="7"/>
      <c r="M240" s="7"/>
      <c r="N240" s="7"/>
      <c r="O240" s="7"/>
      <c r="P240" s="7"/>
      <c r="Q240" s="7"/>
      <c r="R240" s="7"/>
      <c r="S240" s="7"/>
      <c r="T240" s="7"/>
    </row>
    <row r="241">
      <c r="B241" s="7"/>
      <c r="C241" s="54"/>
      <c r="D241" s="7"/>
      <c r="E241" s="7"/>
      <c r="F241" s="7"/>
      <c r="G241" s="7"/>
      <c r="H241" s="7"/>
      <c r="I241" s="7"/>
      <c r="J241" s="54"/>
      <c r="K241" s="54"/>
      <c r="L241" s="7"/>
      <c r="M241" s="7"/>
      <c r="N241" s="7"/>
      <c r="O241" s="7"/>
      <c r="P241" s="7"/>
      <c r="Q241" s="7"/>
      <c r="R241" s="7"/>
      <c r="S241" s="7"/>
      <c r="T241" s="7"/>
    </row>
    <row r="242">
      <c r="B242" s="7"/>
      <c r="C242" s="54"/>
      <c r="D242" s="7"/>
      <c r="E242" s="7"/>
      <c r="F242" s="7"/>
      <c r="G242" s="7"/>
      <c r="H242" s="7"/>
      <c r="I242" s="7"/>
      <c r="J242" s="54"/>
      <c r="K242" s="54"/>
      <c r="L242" s="7"/>
      <c r="M242" s="7"/>
      <c r="N242" s="7"/>
      <c r="O242" s="7"/>
      <c r="P242" s="7"/>
      <c r="Q242" s="7"/>
      <c r="R242" s="7"/>
      <c r="S242" s="7"/>
      <c r="T242" s="7"/>
    </row>
    <row r="243">
      <c r="B243" s="7"/>
      <c r="C243" s="54"/>
      <c r="D243" s="7"/>
      <c r="E243" s="7"/>
      <c r="F243" s="7"/>
      <c r="G243" s="7"/>
      <c r="H243" s="7"/>
      <c r="I243" s="7"/>
      <c r="J243" s="54"/>
      <c r="K243" s="54"/>
      <c r="L243" s="7"/>
      <c r="M243" s="7"/>
      <c r="N243" s="7"/>
      <c r="O243" s="7"/>
      <c r="P243" s="7"/>
      <c r="Q243" s="7"/>
      <c r="R243" s="7"/>
      <c r="S243" s="7"/>
      <c r="T243" s="7"/>
    </row>
    <row r="244">
      <c r="B244" s="7"/>
      <c r="C244" s="54"/>
      <c r="D244" s="7"/>
      <c r="E244" s="7"/>
      <c r="F244" s="7"/>
      <c r="G244" s="7"/>
      <c r="H244" s="7"/>
      <c r="I244" s="7"/>
      <c r="J244" s="54"/>
      <c r="K244" s="54"/>
      <c r="L244" s="7"/>
      <c r="M244" s="7"/>
      <c r="N244" s="7"/>
      <c r="O244" s="7"/>
      <c r="P244" s="7"/>
      <c r="Q244" s="7"/>
      <c r="R244" s="7"/>
      <c r="S244" s="7"/>
      <c r="T244" s="7"/>
    </row>
    <row r="245">
      <c r="B245" s="7"/>
      <c r="C245" s="54"/>
      <c r="D245" s="7"/>
      <c r="E245" s="7"/>
      <c r="F245" s="7"/>
      <c r="G245" s="7"/>
      <c r="H245" s="7"/>
      <c r="I245" s="7"/>
      <c r="J245" s="54"/>
      <c r="K245" s="54"/>
      <c r="L245" s="7"/>
      <c r="M245" s="7"/>
      <c r="N245" s="7"/>
      <c r="O245" s="7"/>
      <c r="P245" s="7"/>
      <c r="Q245" s="7"/>
      <c r="R245" s="7"/>
      <c r="S245" s="7"/>
      <c r="T245" s="7"/>
    </row>
    <row r="246">
      <c r="B246" s="7"/>
      <c r="C246" s="54"/>
      <c r="D246" s="7"/>
      <c r="E246" s="7"/>
      <c r="F246" s="7"/>
      <c r="G246" s="7"/>
      <c r="H246" s="7"/>
      <c r="I246" s="7"/>
      <c r="J246" s="54"/>
      <c r="K246" s="54"/>
      <c r="L246" s="7"/>
      <c r="M246" s="7"/>
      <c r="N246" s="7"/>
      <c r="O246" s="7"/>
      <c r="P246" s="7"/>
      <c r="Q246" s="7"/>
      <c r="R246" s="7"/>
      <c r="S246" s="7"/>
      <c r="T246" s="7"/>
    </row>
    <row r="247">
      <c r="B247" s="7"/>
      <c r="C247" s="54"/>
      <c r="D247" s="7"/>
      <c r="E247" s="7"/>
      <c r="F247" s="7"/>
      <c r="G247" s="7"/>
      <c r="H247" s="7"/>
      <c r="I247" s="7"/>
      <c r="J247" s="54"/>
      <c r="K247" s="54"/>
      <c r="L247" s="7"/>
      <c r="M247" s="7"/>
      <c r="N247" s="7"/>
      <c r="O247" s="7"/>
      <c r="P247" s="7"/>
      <c r="Q247" s="7"/>
      <c r="R247" s="7"/>
      <c r="S247" s="7"/>
      <c r="T247" s="7"/>
    </row>
    <row r="248">
      <c r="B248" s="7"/>
      <c r="C248" s="54"/>
      <c r="D248" s="7"/>
      <c r="E248" s="7"/>
      <c r="F248" s="7"/>
      <c r="G248" s="7"/>
      <c r="H248" s="7"/>
      <c r="I248" s="7"/>
      <c r="J248" s="54"/>
      <c r="K248" s="54"/>
      <c r="L248" s="7"/>
      <c r="M248" s="7"/>
      <c r="N248" s="7"/>
      <c r="O248" s="7"/>
      <c r="P248" s="7"/>
      <c r="Q248" s="7"/>
      <c r="R248" s="7"/>
      <c r="S248" s="7"/>
      <c r="T248" s="7"/>
    </row>
    <row r="249">
      <c r="B249" s="7"/>
      <c r="C249" s="54"/>
      <c r="D249" s="7"/>
      <c r="E249" s="7"/>
      <c r="F249" s="7"/>
      <c r="G249" s="7"/>
      <c r="H249" s="7"/>
      <c r="I249" s="7"/>
      <c r="J249" s="54"/>
      <c r="K249" s="54"/>
      <c r="L249" s="7"/>
      <c r="M249" s="7"/>
      <c r="N249" s="7"/>
      <c r="O249" s="7"/>
      <c r="P249" s="7"/>
      <c r="Q249" s="7"/>
      <c r="R249" s="7"/>
      <c r="S249" s="7"/>
      <c r="T249" s="7"/>
    </row>
    <row r="250">
      <c r="B250" s="7"/>
      <c r="C250" s="54"/>
      <c r="D250" s="7"/>
      <c r="E250" s="7"/>
      <c r="F250" s="7"/>
      <c r="G250" s="7"/>
      <c r="H250" s="7"/>
      <c r="I250" s="7"/>
      <c r="J250" s="54"/>
      <c r="K250" s="54"/>
      <c r="L250" s="7"/>
      <c r="M250" s="7"/>
      <c r="N250" s="7"/>
      <c r="O250" s="7"/>
      <c r="P250" s="7"/>
      <c r="Q250" s="7"/>
      <c r="R250" s="7"/>
      <c r="S250" s="7"/>
      <c r="T250" s="7"/>
    </row>
    <row r="251">
      <c r="B251" s="7"/>
      <c r="C251" s="54"/>
      <c r="D251" s="7"/>
      <c r="E251" s="7"/>
      <c r="F251" s="7"/>
      <c r="G251" s="7"/>
      <c r="H251" s="7"/>
      <c r="I251" s="7"/>
      <c r="J251" s="54"/>
      <c r="K251" s="54"/>
      <c r="L251" s="7"/>
      <c r="M251" s="7"/>
      <c r="N251" s="7"/>
      <c r="O251" s="7"/>
      <c r="P251" s="7"/>
      <c r="Q251" s="7"/>
      <c r="R251" s="7"/>
      <c r="S251" s="7"/>
      <c r="T251" s="7"/>
    </row>
    <row r="252">
      <c r="B252" s="7"/>
      <c r="C252" s="54"/>
      <c r="D252" s="7"/>
      <c r="E252" s="7"/>
      <c r="F252" s="7"/>
      <c r="G252" s="7"/>
      <c r="H252" s="7"/>
      <c r="I252" s="7"/>
      <c r="J252" s="54"/>
      <c r="K252" s="54"/>
      <c r="L252" s="7"/>
      <c r="M252" s="7"/>
      <c r="N252" s="7"/>
      <c r="O252" s="7"/>
      <c r="P252" s="7"/>
      <c r="Q252" s="7"/>
      <c r="R252" s="7"/>
      <c r="S252" s="7"/>
      <c r="T252" s="7"/>
    </row>
    <row r="253">
      <c r="B253" s="7"/>
      <c r="C253" s="54"/>
      <c r="D253" s="7"/>
      <c r="E253" s="7"/>
      <c r="F253" s="7"/>
      <c r="G253" s="7"/>
      <c r="H253" s="7"/>
      <c r="I253" s="7"/>
      <c r="J253" s="54"/>
      <c r="K253" s="54"/>
      <c r="L253" s="7"/>
      <c r="M253" s="7"/>
      <c r="N253" s="7"/>
      <c r="O253" s="7"/>
      <c r="P253" s="7"/>
      <c r="Q253" s="7"/>
      <c r="R253" s="7"/>
      <c r="S253" s="7"/>
      <c r="T253" s="7"/>
    </row>
    <row r="254">
      <c r="B254" s="7"/>
      <c r="C254" s="54"/>
      <c r="D254" s="7"/>
      <c r="E254" s="7"/>
      <c r="F254" s="7"/>
      <c r="G254" s="7"/>
      <c r="H254" s="7"/>
      <c r="I254" s="7"/>
      <c r="J254" s="54"/>
      <c r="K254" s="54"/>
      <c r="L254" s="7"/>
      <c r="M254" s="7"/>
      <c r="N254" s="7"/>
      <c r="O254" s="7"/>
      <c r="P254" s="7"/>
      <c r="Q254" s="7"/>
      <c r="R254" s="7"/>
      <c r="S254" s="7"/>
      <c r="T254" s="7"/>
    </row>
    <row r="255">
      <c r="B255" s="7"/>
      <c r="C255" s="54"/>
      <c r="D255" s="7"/>
      <c r="E255" s="7"/>
      <c r="F255" s="7"/>
      <c r="G255" s="7"/>
      <c r="H255" s="7"/>
      <c r="I255" s="7"/>
      <c r="J255" s="54"/>
      <c r="K255" s="54"/>
      <c r="L255" s="7"/>
      <c r="M255" s="7"/>
      <c r="N255" s="7"/>
      <c r="O255" s="7"/>
      <c r="P255" s="7"/>
      <c r="Q255" s="7"/>
      <c r="R255" s="7"/>
      <c r="S255" s="7"/>
      <c r="T255" s="7"/>
    </row>
    <row r="256">
      <c r="B256" s="7"/>
      <c r="C256" s="54"/>
      <c r="D256" s="7"/>
      <c r="E256" s="7"/>
      <c r="F256" s="7"/>
      <c r="G256" s="7"/>
      <c r="H256" s="7"/>
      <c r="I256" s="7"/>
      <c r="J256" s="54"/>
      <c r="K256" s="54"/>
      <c r="L256" s="7"/>
      <c r="M256" s="7"/>
      <c r="N256" s="7"/>
      <c r="O256" s="7"/>
      <c r="P256" s="7"/>
      <c r="Q256" s="7"/>
      <c r="R256" s="7"/>
      <c r="S256" s="7"/>
      <c r="T256" s="7"/>
    </row>
    <row r="257">
      <c r="B257" s="7"/>
      <c r="C257" s="54"/>
      <c r="D257" s="7"/>
      <c r="E257" s="7"/>
      <c r="F257" s="7"/>
      <c r="G257" s="7"/>
      <c r="H257" s="7"/>
      <c r="I257" s="7"/>
      <c r="J257" s="54"/>
      <c r="K257" s="54"/>
      <c r="L257" s="7"/>
      <c r="M257" s="7"/>
      <c r="N257" s="7"/>
      <c r="O257" s="7"/>
      <c r="P257" s="7"/>
      <c r="Q257" s="7"/>
      <c r="R257" s="7"/>
      <c r="S257" s="7"/>
      <c r="T257" s="7"/>
    </row>
    <row r="258">
      <c r="B258" s="7"/>
      <c r="C258" s="54"/>
      <c r="D258" s="7"/>
      <c r="E258" s="7"/>
      <c r="F258" s="7"/>
      <c r="G258" s="7"/>
      <c r="H258" s="7"/>
      <c r="I258" s="7"/>
      <c r="J258" s="54"/>
      <c r="K258" s="54"/>
      <c r="L258" s="7"/>
      <c r="M258" s="7"/>
      <c r="N258" s="7"/>
      <c r="O258" s="7"/>
      <c r="P258" s="7"/>
      <c r="Q258" s="7"/>
      <c r="R258" s="7"/>
      <c r="S258" s="7"/>
      <c r="T258" s="7"/>
    </row>
    <row r="259">
      <c r="B259" s="7"/>
      <c r="C259" s="54"/>
      <c r="D259" s="7"/>
      <c r="E259" s="7"/>
      <c r="F259" s="7"/>
      <c r="G259" s="7"/>
      <c r="H259" s="7"/>
      <c r="I259" s="7"/>
      <c r="J259" s="54"/>
      <c r="K259" s="54"/>
      <c r="L259" s="7"/>
      <c r="M259" s="7"/>
      <c r="N259" s="7"/>
      <c r="O259" s="7"/>
      <c r="P259" s="7"/>
      <c r="Q259" s="7"/>
      <c r="R259" s="7"/>
      <c r="S259" s="7"/>
      <c r="T259" s="7"/>
    </row>
    <row r="260">
      <c r="B260" s="7"/>
      <c r="C260" s="54"/>
      <c r="D260" s="7"/>
      <c r="E260" s="7"/>
      <c r="F260" s="7"/>
      <c r="G260" s="7"/>
      <c r="H260" s="7"/>
      <c r="I260" s="7"/>
      <c r="J260" s="54"/>
      <c r="K260" s="54"/>
      <c r="L260" s="7"/>
      <c r="M260" s="7"/>
      <c r="N260" s="7"/>
      <c r="O260" s="7"/>
      <c r="P260" s="7"/>
      <c r="Q260" s="7"/>
      <c r="R260" s="7"/>
      <c r="S260" s="7"/>
      <c r="T260" s="7"/>
    </row>
    <row r="261">
      <c r="B261" s="7"/>
      <c r="C261" s="54"/>
      <c r="D261" s="7"/>
      <c r="E261" s="7"/>
      <c r="F261" s="7"/>
      <c r="G261" s="7"/>
      <c r="H261" s="7"/>
      <c r="I261" s="7"/>
      <c r="J261" s="54"/>
      <c r="K261" s="54"/>
      <c r="L261" s="7"/>
      <c r="M261" s="7"/>
      <c r="N261" s="7"/>
      <c r="O261" s="7"/>
      <c r="P261" s="7"/>
      <c r="Q261" s="7"/>
      <c r="R261" s="7"/>
      <c r="S261" s="7"/>
      <c r="T261" s="7"/>
    </row>
    <row r="262">
      <c r="B262" s="7"/>
      <c r="C262" s="54"/>
      <c r="D262" s="7"/>
      <c r="E262" s="7"/>
      <c r="F262" s="7"/>
      <c r="G262" s="7"/>
      <c r="H262" s="7"/>
      <c r="I262" s="7"/>
      <c r="J262" s="54"/>
      <c r="K262" s="54"/>
      <c r="L262" s="7"/>
      <c r="M262" s="7"/>
      <c r="N262" s="7"/>
      <c r="O262" s="7"/>
      <c r="P262" s="7"/>
      <c r="Q262" s="7"/>
      <c r="R262" s="7"/>
      <c r="S262" s="7"/>
      <c r="T262" s="7"/>
    </row>
    <row r="263">
      <c r="B263" s="7"/>
      <c r="C263" s="54"/>
      <c r="D263" s="7"/>
      <c r="E263" s="7"/>
      <c r="F263" s="7"/>
      <c r="G263" s="7"/>
      <c r="H263" s="7"/>
      <c r="I263" s="7"/>
      <c r="J263" s="54"/>
      <c r="K263" s="54"/>
      <c r="L263" s="7"/>
      <c r="M263" s="7"/>
      <c r="N263" s="7"/>
      <c r="O263" s="7"/>
      <c r="P263" s="7"/>
      <c r="Q263" s="7"/>
      <c r="R263" s="7"/>
      <c r="S263" s="7"/>
      <c r="T263" s="7"/>
    </row>
    <row r="264">
      <c r="B264" s="7"/>
      <c r="C264" s="54"/>
      <c r="D264" s="7"/>
      <c r="E264" s="7"/>
      <c r="F264" s="7"/>
      <c r="G264" s="7"/>
      <c r="H264" s="7"/>
      <c r="I264" s="7"/>
      <c r="J264" s="54"/>
      <c r="K264" s="54"/>
      <c r="L264" s="7"/>
      <c r="M264" s="7"/>
      <c r="N264" s="7"/>
      <c r="O264" s="7"/>
      <c r="P264" s="7"/>
      <c r="Q264" s="7"/>
      <c r="R264" s="7"/>
      <c r="S264" s="7"/>
      <c r="T264" s="7"/>
    </row>
    <row r="265">
      <c r="B265" s="7"/>
      <c r="C265" s="54"/>
      <c r="D265" s="7"/>
      <c r="E265" s="7"/>
      <c r="F265" s="7"/>
      <c r="G265" s="7"/>
      <c r="H265" s="7"/>
      <c r="I265" s="7"/>
      <c r="J265" s="54"/>
      <c r="K265" s="54"/>
      <c r="L265" s="7"/>
      <c r="M265" s="7"/>
      <c r="N265" s="7"/>
      <c r="O265" s="7"/>
      <c r="P265" s="7"/>
      <c r="Q265" s="7"/>
      <c r="R265" s="7"/>
      <c r="S265" s="7"/>
      <c r="T265" s="7"/>
    </row>
    <row r="266">
      <c r="B266" s="7"/>
      <c r="C266" s="54"/>
      <c r="D266" s="7"/>
      <c r="E266" s="7"/>
      <c r="F266" s="7"/>
      <c r="G266" s="7"/>
      <c r="H266" s="7"/>
      <c r="I266" s="7"/>
      <c r="J266" s="54"/>
      <c r="K266" s="54"/>
      <c r="L266" s="7"/>
      <c r="M266" s="7"/>
      <c r="N266" s="7"/>
      <c r="O266" s="7"/>
      <c r="P266" s="7"/>
      <c r="Q266" s="7"/>
      <c r="R266" s="7"/>
      <c r="S266" s="7"/>
      <c r="T266" s="7"/>
    </row>
    <row r="267">
      <c r="B267" s="7"/>
      <c r="C267" s="54"/>
      <c r="D267" s="7"/>
      <c r="E267" s="7"/>
      <c r="F267" s="7"/>
      <c r="G267" s="7"/>
      <c r="H267" s="7"/>
      <c r="I267" s="7"/>
      <c r="J267" s="54"/>
      <c r="K267" s="54"/>
      <c r="L267" s="7"/>
      <c r="M267" s="7"/>
      <c r="N267" s="7"/>
      <c r="O267" s="7"/>
      <c r="P267" s="7"/>
      <c r="Q267" s="7"/>
      <c r="R267" s="7"/>
      <c r="S267" s="7"/>
      <c r="T267" s="7"/>
    </row>
    <row r="268">
      <c r="B268" s="7"/>
      <c r="C268" s="54"/>
      <c r="D268" s="7"/>
      <c r="E268" s="7"/>
      <c r="F268" s="7"/>
      <c r="G268" s="7"/>
      <c r="H268" s="7"/>
      <c r="I268" s="7"/>
      <c r="J268" s="54"/>
      <c r="K268" s="54"/>
      <c r="L268" s="7"/>
      <c r="M268" s="7"/>
      <c r="N268" s="7"/>
      <c r="O268" s="7"/>
      <c r="P268" s="7"/>
      <c r="Q268" s="7"/>
      <c r="R268" s="7"/>
      <c r="S268" s="7"/>
      <c r="T268" s="7"/>
    </row>
    <row r="269">
      <c r="B269" s="7"/>
      <c r="C269" s="54"/>
      <c r="D269" s="7"/>
      <c r="E269" s="7"/>
      <c r="F269" s="7"/>
      <c r="G269" s="7"/>
      <c r="H269" s="7"/>
      <c r="I269" s="7"/>
      <c r="J269" s="54"/>
      <c r="K269" s="54"/>
      <c r="L269" s="7"/>
      <c r="M269" s="7"/>
      <c r="N269" s="7"/>
      <c r="O269" s="7"/>
      <c r="P269" s="7"/>
      <c r="Q269" s="7"/>
      <c r="R269" s="7"/>
      <c r="S269" s="7"/>
      <c r="T269" s="7"/>
    </row>
    <row r="270">
      <c r="B270" s="7"/>
      <c r="C270" s="54"/>
      <c r="D270" s="7"/>
      <c r="E270" s="7"/>
      <c r="F270" s="7"/>
      <c r="G270" s="7"/>
      <c r="H270" s="7"/>
      <c r="I270" s="7"/>
      <c r="J270" s="54"/>
      <c r="K270" s="54"/>
      <c r="L270" s="7"/>
      <c r="M270" s="7"/>
      <c r="N270" s="7"/>
      <c r="O270" s="7"/>
      <c r="P270" s="7"/>
      <c r="Q270" s="7"/>
      <c r="R270" s="7"/>
      <c r="S270" s="7"/>
      <c r="T270" s="7"/>
    </row>
    <row r="271">
      <c r="B271" s="7"/>
      <c r="C271" s="54"/>
      <c r="D271" s="7"/>
      <c r="E271" s="7"/>
      <c r="F271" s="7"/>
      <c r="G271" s="7"/>
      <c r="H271" s="7"/>
      <c r="I271" s="7"/>
      <c r="J271" s="54"/>
      <c r="K271" s="54"/>
      <c r="L271" s="7"/>
      <c r="M271" s="7"/>
      <c r="N271" s="7"/>
      <c r="O271" s="7"/>
      <c r="P271" s="7"/>
      <c r="Q271" s="7"/>
      <c r="R271" s="7"/>
      <c r="S271" s="7"/>
      <c r="T271" s="7"/>
    </row>
    <row r="272">
      <c r="B272" s="7"/>
      <c r="C272" s="54"/>
      <c r="D272" s="7"/>
      <c r="E272" s="7"/>
      <c r="F272" s="7"/>
      <c r="G272" s="7"/>
      <c r="H272" s="7"/>
      <c r="I272" s="7"/>
      <c r="J272" s="54"/>
      <c r="K272" s="54"/>
      <c r="L272" s="7"/>
      <c r="M272" s="7"/>
      <c r="N272" s="7"/>
      <c r="O272" s="7"/>
      <c r="P272" s="7"/>
      <c r="Q272" s="7"/>
      <c r="R272" s="7"/>
      <c r="S272" s="7"/>
      <c r="T272" s="7"/>
    </row>
    <row r="273">
      <c r="B273" s="7"/>
      <c r="C273" s="54"/>
      <c r="D273" s="7"/>
      <c r="E273" s="7"/>
      <c r="F273" s="7"/>
      <c r="G273" s="7"/>
      <c r="H273" s="7"/>
      <c r="I273" s="7"/>
      <c r="J273" s="54"/>
      <c r="K273" s="54"/>
      <c r="L273" s="7"/>
      <c r="M273" s="7"/>
      <c r="N273" s="7"/>
      <c r="O273" s="7"/>
      <c r="P273" s="7"/>
      <c r="Q273" s="7"/>
      <c r="R273" s="7"/>
      <c r="S273" s="7"/>
      <c r="T273" s="7"/>
    </row>
    <row r="274">
      <c r="B274" s="7"/>
      <c r="C274" s="54"/>
      <c r="D274" s="7"/>
      <c r="E274" s="7"/>
      <c r="F274" s="7"/>
      <c r="G274" s="7"/>
      <c r="H274" s="7"/>
      <c r="I274" s="7"/>
      <c r="J274" s="54"/>
      <c r="K274" s="54"/>
      <c r="L274" s="7"/>
      <c r="M274" s="7"/>
      <c r="N274" s="7"/>
      <c r="O274" s="7"/>
      <c r="P274" s="7"/>
      <c r="Q274" s="7"/>
      <c r="R274" s="7"/>
      <c r="S274" s="7"/>
      <c r="T274" s="7"/>
    </row>
    <row r="275">
      <c r="B275" s="7"/>
      <c r="C275" s="54"/>
      <c r="D275" s="7"/>
      <c r="E275" s="7"/>
      <c r="F275" s="7"/>
      <c r="G275" s="7"/>
      <c r="H275" s="7"/>
      <c r="I275" s="7"/>
      <c r="J275" s="54"/>
      <c r="K275" s="54"/>
      <c r="L275" s="7"/>
      <c r="M275" s="7"/>
      <c r="N275" s="7"/>
      <c r="O275" s="7"/>
      <c r="P275" s="7"/>
      <c r="Q275" s="7"/>
      <c r="R275" s="7"/>
      <c r="S275" s="7"/>
      <c r="T275" s="7"/>
    </row>
    <row r="276">
      <c r="B276" s="7"/>
      <c r="C276" s="54"/>
      <c r="D276" s="7"/>
      <c r="E276" s="7"/>
      <c r="F276" s="7"/>
      <c r="G276" s="7"/>
      <c r="H276" s="7"/>
      <c r="I276" s="7"/>
      <c r="J276" s="54"/>
      <c r="K276" s="54"/>
      <c r="L276" s="7"/>
      <c r="M276" s="7"/>
      <c r="N276" s="7"/>
      <c r="O276" s="7"/>
      <c r="P276" s="7"/>
      <c r="Q276" s="7"/>
      <c r="R276" s="7"/>
      <c r="S276" s="7"/>
      <c r="T276" s="7"/>
    </row>
    <row r="277">
      <c r="B277" s="7"/>
      <c r="C277" s="54"/>
      <c r="D277" s="7"/>
      <c r="E277" s="7"/>
      <c r="F277" s="7"/>
      <c r="G277" s="7"/>
      <c r="H277" s="7"/>
      <c r="I277" s="7"/>
      <c r="J277" s="54"/>
      <c r="K277" s="54"/>
      <c r="L277" s="7"/>
      <c r="M277" s="7"/>
      <c r="N277" s="7"/>
      <c r="O277" s="7"/>
      <c r="P277" s="7"/>
      <c r="Q277" s="7"/>
      <c r="R277" s="7"/>
      <c r="S277" s="7"/>
      <c r="T277" s="7"/>
    </row>
    <row r="278">
      <c r="B278" s="7"/>
      <c r="C278" s="54"/>
      <c r="D278" s="7"/>
      <c r="E278" s="7"/>
      <c r="F278" s="7"/>
      <c r="G278" s="7"/>
      <c r="H278" s="7"/>
      <c r="I278" s="7"/>
      <c r="J278" s="54"/>
      <c r="K278" s="54"/>
      <c r="L278" s="7"/>
      <c r="M278" s="7"/>
      <c r="N278" s="7"/>
      <c r="O278" s="7"/>
      <c r="P278" s="7"/>
      <c r="Q278" s="7"/>
      <c r="R278" s="7"/>
      <c r="S278" s="7"/>
      <c r="T278" s="7"/>
    </row>
    <row r="279">
      <c r="B279" s="7"/>
      <c r="C279" s="54"/>
      <c r="D279" s="7"/>
      <c r="E279" s="7"/>
      <c r="F279" s="7"/>
      <c r="G279" s="7"/>
      <c r="H279" s="7"/>
      <c r="I279" s="7"/>
      <c r="J279" s="54"/>
      <c r="K279" s="54"/>
      <c r="L279" s="7"/>
      <c r="M279" s="7"/>
      <c r="N279" s="7"/>
      <c r="O279" s="7"/>
      <c r="P279" s="7"/>
      <c r="Q279" s="7"/>
      <c r="R279" s="7"/>
      <c r="S279" s="7"/>
      <c r="T279" s="7"/>
    </row>
    <row r="280">
      <c r="B280" s="7"/>
      <c r="C280" s="54"/>
      <c r="D280" s="7"/>
      <c r="E280" s="7"/>
      <c r="F280" s="7"/>
      <c r="G280" s="7"/>
      <c r="H280" s="7"/>
      <c r="I280" s="7"/>
      <c r="J280" s="54"/>
      <c r="K280" s="54"/>
      <c r="L280" s="7"/>
      <c r="M280" s="7"/>
      <c r="N280" s="7"/>
      <c r="O280" s="7"/>
      <c r="P280" s="7"/>
      <c r="Q280" s="7"/>
      <c r="R280" s="7"/>
      <c r="S280" s="7"/>
      <c r="T280" s="7"/>
    </row>
    <row r="281">
      <c r="B281" s="7"/>
      <c r="C281" s="54"/>
      <c r="D281" s="7"/>
      <c r="E281" s="7"/>
      <c r="F281" s="7"/>
      <c r="G281" s="7"/>
      <c r="H281" s="7"/>
      <c r="I281" s="7"/>
      <c r="J281" s="54"/>
      <c r="K281" s="54"/>
      <c r="L281" s="7"/>
      <c r="M281" s="7"/>
      <c r="N281" s="7"/>
      <c r="O281" s="7"/>
      <c r="P281" s="7"/>
      <c r="Q281" s="7"/>
      <c r="R281" s="7"/>
      <c r="S281" s="7"/>
      <c r="T281" s="7"/>
    </row>
    <row r="282">
      <c r="B282" s="7"/>
      <c r="C282" s="54"/>
      <c r="D282" s="7"/>
      <c r="E282" s="7"/>
      <c r="F282" s="7"/>
      <c r="G282" s="7"/>
      <c r="H282" s="7"/>
      <c r="I282" s="7"/>
      <c r="J282" s="54"/>
      <c r="K282" s="54"/>
      <c r="L282" s="7"/>
      <c r="M282" s="7"/>
      <c r="N282" s="7"/>
      <c r="O282" s="7"/>
      <c r="P282" s="7"/>
      <c r="Q282" s="7"/>
      <c r="R282" s="7"/>
      <c r="S282" s="7"/>
      <c r="T282" s="7"/>
    </row>
    <row r="283">
      <c r="B283" s="7"/>
      <c r="C283" s="54"/>
      <c r="D283" s="7"/>
      <c r="E283" s="7"/>
      <c r="F283" s="7"/>
      <c r="G283" s="7"/>
      <c r="H283" s="7"/>
      <c r="I283" s="7"/>
      <c r="J283" s="54"/>
      <c r="K283" s="54"/>
      <c r="L283" s="7"/>
      <c r="M283" s="7"/>
      <c r="N283" s="7"/>
      <c r="O283" s="7"/>
      <c r="P283" s="7"/>
      <c r="Q283" s="7"/>
      <c r="R283" s="7"/>
      <c r="S283" s="7"/>
      <c r="T283" s="7"/>
    </row>
    <row r="284">
      <c r="B284" s="7"/>
      <c r="C284" s="54"/>
      <c r="D284" s="7"/>
      <c r="E284" s="7"/>
      <c r="F284" s="7"/>
      <c r="G284" s="7"/>
      <c r="H284" s="7"/>
      <c r="I284" s="7"/>
      <c r="J284" s="54"/>
      <c r="K284" s="54"/>
      <c r="L284" s="7"/>
      <c r="M284" s="7"/>
      <c r="N284" s="7"/>
      <c r="O284" s="7"/>
      <c r="P284" s="7"/>
      <c r="Q284" s="7"/>
      <c r="R284" s="7"/>
      <c r="S284" s="7"/>
      <c r="T284" s="7"/>
    </row>
    <row r="285">
      <c r="B285" s="7"/>
      <c r="C285" s="54"/>
      <c r="D285" s="7"/>
      <c r="E285" s="7"/>
      <c r="F285" s="7"/>
      <c r="G285" s="7"/>
      <c r="H285" s="7"/>
      <c r="I285" s="7"/>
      <c r="J285" s="54"/>
      <c r="K285" s="54"/>
      <c r="L285" s="7"/>
      <c r="M285" s="7"/>
      <c r="N285" s="7"/>
      <c r="O285" s="7"/>
      <c r="P285" s="7"/>
      <c r="Q285" s="7"/>
      <c r="R285" s="7"/>
      <c r="S285" s="7"/>
      <c r="T285" s="7"/>
    </row>
    <row r="286">
      <c r="B286" s="7"/>
      <c r="C286" s="54"/>
      <c r="D286" s="7"/>
      <c r="E286" s="7"/>
      <c r="F286" s="7"/>
      <c r="G286" s="7"/>
      <c r="H286" s="7"/>
      <c r="I286" s="7"/>
      <c r="J286" s="54"/>
      <c r="K286" s="54"/>
      <c r="L286" s="7"/>
      <c r="M286" s="7"/>
      <c r="N286" s="7"/>
      <c r="O286" s="7"/>
      <c r="P286" s="7"/>
      <c r="Q286" s="7"/>
      <c r="R286" s="7"/>
      <c r="S286" s="7"/>
      <c r="T286" s="7"/>
    </row>
    <row r="287">
      <c r="B287" s="7"/>
      <c r="C287" s="54"/>
      <c r="D287" s="7"/>
      <c r="E287" s="7"/>
      <c r="F287" s="7"/>
      <c r="G287" s="7"/>
      <c r="H287" s="7"/>
      <c r="I287" s="7"/>
      <c r="J287" s="54"/>
      <c r="K287" s="54"/>
      <c r="L287" s="7"/>
      <c r="M287" s="7"/>
      <c r="N287" s="7"/>
      <c r="O287" s="7"/>
      <c r="P287" s="7"/>
      <c r="Q287" s="7"/>
      <c r="R287" s="7"/>
      <c r="S287" s="7"/>
      <c r="T287" s="7"/>
    </row>
    <row r="288">
      <c r="B288" s="7"/>
      <c r="C288" s="54"/>
      <c r="D288" s="7"/>
      <c r="E288" s="7"/>
      <c r="F288" s="7"/>
      <c r="G288" s="7"/>
      <c r="H288" s="7"/>
      <c r="I288" s="7"/>
      <c r="J288" s="54"/>
      <c r="K288" s="54"/>
      <c r="L288" s="7"/>
      <c r="M288" s="7"/>
      <c r="N288" s="7"/>
      <c r="O288" s="7"/>
      <c r="P288" s="7"/>
      <c r="Q288" s="7"/>
      <c r="R288" s="7"/>
      <c r="S288" s="7"/>
      <c r="T288" s="7"/>
    </row>
    <row r="289">
      <c r="B289" s="7"/>
      <c r="C289" s="54"/>
      <c r="D289" s="7"/>
      <c r="E289" s="7"/>
      <c r="F289" s="7"/>
      <c r="G289" s="7"/>
      <c r="H289" s="7"/>
      <c r="I289" s="7"/>
      <c r="J289" s="54"/>
      <c r="K289" s="54"/>
      <c r="L289" s="7"/>
      <c r="M289" s="7"/>
      <c r="N289" s="7"/>
      <c r="O289" s="7"/>
      <c r="P289" s="7"/>
      <c r="Q289" s="7"/>
      <c r="R289" s="7"/>
      <c r="S289" s="7"/>
      <c r="T289" s="7"/>
    </row>
    <row r="290">
      <c r="B290" s="7"/>
      <c r="C290" s="54"/>
      <c r="D290" s="7"/>
      <c r="E290" s="7"/>
      <c r="F290" s="7"/>
      <c r="G290" s="7"/>
      <c r="H290" s="7"/>
      <c r="I290" s="7"/>
      <c r="J290" s="54"/>
      <c r="K290" s="54"/>
      <c r="L290" s="7"/>
      <c r="M290" s="7"/>
      <c r="N290" s="7"/>
      <c r="O290" s="7"/>
      <c r="P290" s="7"/>
      <c r="Q290" s="7"/>
      <c r="R290" s="7"/>
      <c r="S290" s="7"/>
      <c r="T290" s="7"/>
    </row>
    <row r="291">
      <c r="B291" s="7"/>
      <c r="C291" s="54"/>
      <c r="D291" s="7"/>
      <c r="E291" s="7"/>
      <c r="F291" s="7"/>
      <c r="G291" s="7"/>
      <c r="H291" s="7"/>
      <c r="I291" s="7"/>
      <c r="J291" s="54"/>
      <c r="K291" s="54"/>
      <c r="L291" s="7"/>
      <c r="M291" s="7"/>
      <c r="N291" s="7"/>
      <c r="O291" s="7"/>
      <c r="P291" s="7"/>
      <c r="Q291" s="7"/>
      <c r="R291" s="7"/>
      <c r="S291" s="7"/>
      <c r="T291" s="7"/>
    </row>
    <row r="292">
      <c r="B292" s="7"/>
      <c r="C292" s="54"/>
      <c r="D292" s="7"/>
      <c r="E292" s="7"/>
      <c r="F292" s="7"/>
      <c r="G292" s="7"/>
      <c r="H292" s="7"/>
      <c r="I292" s="7"/>
      <c r="J292" s="54"/>
      <c r="K292" s="54"/>
      <c r="L292" s="7"/>
      <c r="M292" s="7"/>
      <c r="N292" s="7"/>
      <c r="O292" s="7"/>
      <c r="P292" s="7"/>
      <c r="Q292" s="7"/>
      <c r="R292" s="7"/>
      <c r="S292" s="7"/>
      <c r="T292" s="7"/>
    </row>
    <row r="293">
      <c r="B293" s="7"/>
      <c r="C293" s="54"/>
      <c r="D293" s="7"/>
      <c r="E293" s="7"/>
      <c r="F293" s="7"/>
      <c r="G293" s="7"/>
      <c r="H293" s="7"/>
      <c r="I293" s="7"/>
      <c r="J293" s="54"/>
      <c r="K293" s="54"/>
      <c r="L293" s="7"/>
      <c r="M293" s="7"/>
      <c r="N293" s="7"/>
      <c r="O293" s="7"/>
      <c r="P293" s="7"/>
      <c r="Q293" s="7"/>
      <c r="R293" s="7"/>
      <c r="S293" s="7"/>
      <c r="T293" s="7"/>
    </row>
    <row r="294">
      <c r="B294" s="7"/>
      <c r="C294" s="54"/>
      <c r="D294" s="7"/>
      <c r="E294" s="7"/>
      <c r="F294" s="7"/>
      <c r="G294" s="7"/>
      <c r="H294" s="7"/>
      <c r="I294" s="7"/>
      <c r="J294" s="54"/>
      <c r="K294" s="54"/>
      <c r="L294" s="7"/>
      <c r="M294" s="7"/>
      <c r="N294" s="7"/>
      <c r="O294" s="7"/>
      <c r="P294" s="7"/>
      <c r="Q294" s="7"/>
      <c r="R294" s="7"/>
      <c r="S294" s="7"/>
      <c r="T294" s="7"/>
    </row>
    <row r="295">
      <c r="B295" s="7"/>
      <c r="C295" s="54"/>
      <c r="D295" s="7"/>
      <c r="E295" s="7"/>
      <c r="F295" s="7"/>
      <c r="G295" s="7"/>
      <c r="H295" s="7"/>
      <c r="I295" s="7"/>
      <c r="J295" s="54"/>
      <c r="K295" s="54"/>
      <c r="L295" s="7"/>
      <c r="M295" s="7"/>
      <c r="N295" s="7"/>
      <c r="O295" s="7"/>
      <c r="P295" s="7"/>
      <c r="Q295" s="7"/>
      <c r="R295" s="7"/>
      <c r="S295" s="7"/>
      <c r="T295" s="7"/>
    </row>
    <row r="296">
      <c r="B296" s="7"/>
      <c r="C296" s="54"/>
      <c r="D296" s="7"/>
      <c r="E296" s="7"/>
      <c r="F296" s="7"/>
      <c r="G296" s="7"/>
      <c r="H296" s="7"/>
      <c r="I296" s="7"/>
      <c r="J296" s="54"/>
      <c r="K296" s="54"/>
      <c r="L296" s="7"/>
      <c r="M296" s="7"/>
      <c r="N296" s="7"/>
      <c r="O296" s="7"/>
      <c r="P296" s="7"/>
      <c r="Q296" s="7"/>
      <c r="R296" s="7"/>
      <c r="S296" s="7"/>
      <c r="T296" s="7"/>
    </row>
    <row r="297">
      <c r="B297" s="7"/>
      <c r="C297" s="54"/>
      <c r="D297" s="7"/>
      <c r="E297" s="7"/>
      <c r="F297" s="7"/>
      <c r="G297" s="7"/>
      <c r="H297" s="7"/>
      <c r="I297" s="7"/>
      <c r="J297" s="54"/>
      <c r="K297" s="54"/>
      <c r="L297" s="7"/>
      <c r="M297" s="7"/>
      <c r="N297" s="7"/>
      <c r="O297" s="7"/>
      <c r="P297" s="7"/>
      <c r="Q297" s="7"/>
      <c r="R297" s="7"/>
      <c r="S297" s="7"/>
      <c r="T297" s="7"/>
    </row>
    <row r="298">
      <c r="B298" s="7"/>
      <c r="C298" s="54"/>
      <c r="D298" s="7"/>
      <c r="E298" s="7"/>
      <c r="F298" s="7"/>
      <c r="G298" s="7"/>
      <c r="H298" s="7"/>
      <c r="I298" s="7"/>
      <c r="J298" s="54"/>
      <c r="K298" s="54"/>
      <c r="L298" s="7"/>
      <c r="M298" s="7"/>
      <c r="N298" s="7"/>
      <c r="O298" s="7"/>
      <c r="P298" s="7"/>
      <c r="Q298" s="7"/>
      <c r="R298" s="7"/>
      <c r="S298" s="7"/>
      <c r="T298" s="7"/>
    </row>
    <row r="299">
      <c r="B299" s="7"/>
      <c r="C299" s="54"/>
      <c r="D299" s="7"/>
      <c r="E299" s="7"/>
      <c r="F299" s="7"/>
      <c r="G299" s="7"/>
      <c r="H299" s="7"/>
      <c r="I299" s="7"/>
      <c r="J299" s="54"/>
      <c r="K299" s="54"/>
      <c r="L299" s="7"/>
      <c r="M299" s="7"/>
      <c r="N299" s="7"/>
      <c r="O299" s="7"/>
      <c r="P299" s="7"/>
      <c r="Q299" s="7"/>
      <c r="R299" s="7"/>
      <c r="S299" s="7"/>
      <c r="T299" s="7"/>
    </row>
    <row r="300">
      <c r="B300" s="7"/>
      <c r="C300" s="54"/>
      <c r="D300" s="7"/>
      <c r="E300" s="7"/>
      <c r="F300" s="7"/>
      <c r="G300" s="7"/>
      <c r="H300" s="7"/>
      <c r="I300" s="7"/>
      <c r="J300" s="54"/>
      <c r="K300" s="54"/>
      <c r="L300" s="7"/>
      <c r="M300" s="7"/>
      <c r="N300" s="7"/>
      <c r="O300" s="7"/>
      <c r="P300" s="7"/>
      <c r="Q300" s="7"/>
      <c r="R300" s="7"/>
      <c r="S300" s="7"/>
      <c r="T300" s="7"/>
    </row>
    <row r="301">
      <c r="B301" s="7"/>
      <c r="C301" s="54"/>
      <c r="D301" s="7"/>
      <c r="E301" s="7"/>
      <c r="F301" s="7"/>
      <c r="G301" s="7"/>
      <c r="H301" s="7"/>
      <c r="I301" s="7"/>
      <c r="J301" s="54"/>
      <c r="K301" s="54"/>
      <c r="L301" s="7"/>
      <c r="M301" s="7"/>
      <c r="N301" s="7"/>
      <c r="O301" s="7"/>
      <c r="P301" s="7"/>
      <c r="Q301" s="7"/>
      <c r="R301" s="7"/>
      <c r="S301" s="7"/>
      <c r="T301" s="7"/>
    </row>
    <row r="302">
      <c r="B302" s="7"/>
      <c r="C302" s="54"/>
      <c r="D302" s="7"/>
      <c r="E302" s="7"/>
      <c r="F302" s="7"/>
      <c r="G302" s="7"/>
      <c r="H302" s="7"/>
      <c r="I302" s="7"/>
      <c r="J302" s="54"/>
      <c r="K302" s="54"/>
      <c r="L302" s="7"/>
      <c r="M302" s="7"/>
      <c r="N302" s="7"/>
      <c r="O302" s="7"/>
      <c r="P302" s="7"/>
      <c r="Q302" s="7"/>
      <c r="R302" s="7"/>
      <c r="S302" s="7"/>
      <c r="T302" s="7"/>
    </row>
    <row r="303">
      <c r="B303" s="7"/>
      <c r="C303" s="54"/>
      <c r="D303" s="7"/>
      <c r="E303" s="7"/>
      <c r="F303" s="7"/>
      <c r="G303" s="7"/>
      <c r="H303" s="7"/>
      <c r="I303" s="7"/>
      <c r="J303" s="54"/>
      <c r="K303" s="54"/>
      <c r="L303" s="7"/>
      <c r="M303" s="7"/>
      <c r="N303" s="7"/>
      <c r="O303" s="7"/>
      <c r="P303" s="7"/>
      <c r="Q303" s="7"/>
      <c r="R303" s="7"/>
      <c r="S303" s="7"/>
      <c r="T303" s="7"/>
    </row>
    <row r="304">
      <c r="B304" s="7"/>
      <c r="C304" s="54"/>
      <c r="D304" s="7"/>
      <c r="E304" s="7"/>
      <c r="F304" s="7"/>
      <c r="G304" s="7"/>
      <c r="H304" s="7"/>
      <c r="I304" s="7"/>
      <c r="J304" s="54"/>
      <c r="K304" s="54"/>
      <c r="L304" s="7"/>
      <c r="M304" s="7"/>
      <c r="N304" s="7"/>
      <c r="O304" s="7"/>
      <c r="P304" s="7"/>
      <c r="Q304" s="7"/>
      <c r="R304" s="7"/>
      <c r="S304" s="7"/>
      <c r="T304" s="7"/>
    </row>
    <row r="305">
      <c r="B305" s="7"/>
      <c r="C305" s="54"/>
      <c r="D305" s="7"/>
      <c r="E305" s="7"/>
      <c r="F305" s="7"/>
      <c r="G305" s="7"/>
      <c r="H305" s="7"/>
      <c r="I305" s="7"/>
      <c r="J305" s="54"/>
      <c r="K305" s="54"/>
      <c r="L305" s="7"/>
      <c r="M305" s="7"/>
      <c r="N305" s="7"/>
      <c r="O305" s="7"/>
      <c r="P305" s="7"/>
      <c r="Q305" s="7"/>
      <c r="R305" s="7"/>
      <c r="S305" s="7"/>
      <c r="T305" s="7"/>
    </row>
    <row r="306">
      <c r="B306" s="7"/>
      <c r="C306" s="54"/>
      <c r="D306" s="7"/>
      <c r="E306" s="7"/>
      <c r="F306" s="7"/>
      <c r="G306" s="7"/>
      <c r="H306" s="7"/>
      <c r="I306" s="7"/>
      <c r="J306" s="54"/>
      <c r="K306" s="54"/>
      <c r="L306" s="7"/>
      <c r="M306" s="7"/>
      <c r="N306" s="7"/>
      <c r="O306" s="7"/>
      <c r="P306" s="7"/>
      <c r="Q306" s="7"/>
      <c r="R306" s="7"/>
      <c r="S306" s="7"/>
      <c r="T306" s="7"/>
    </row>
    <row r="307">
      <c r="B307" s="7"/>
      <c r="C307" s="54"/>
      <c r="D307" s="7"/>
      <c r="E307" s="7"/>
      <c r="F307" s="7"/>
      <c r="G307" s="7"/>
      <c r="H307" s="7"/>
      <c r="I307" s="7"/>
      <c r="J307" s="54"/>
      <c r="K307" s="54"/>
      <c r="L307" s="7"/>
      <c r="M307" s="7"/>
      <c r="N307" s="7"/>
      <c r="O307" s="7"/>
      <c r="P307" s="7"/>
      <c r="Q307" s="7"/>
      <c r="R307" s="7"/>
      <c r="S307" s="7"/>
      <c r="T307" s="7"/>
    </row>
    <row r="308">
      <c r="B308" s="7"/>
      <c r="C308" s="54"/>
      <c r="D308" s="7"/>
      <c r="E308" s="7"/>
      <c r="F308" s="7"/>
      <c r="G308" s="7"/>
      <c r="H308" s="7"/>
      <c r="I308" s="7"/>
      <c r="J308" s="54"/>
      <c r="K308" s="54"/>
      <c r="L308" s="7"/>
      <c r="M308" s="7"/>
      <c r="N308" s="7"/>
      <c r="O308" s="7"/>
      <c r="P308" s="7"/>
      <c r="Q308" s="7"/>
      <c r="R308" s="7"/>
      <c r="S308" s="7"/>
      <c r="T308" s="7"/>
    </row>
    <row r="309">
      <c r="B309" s="7"/>
      <c r="C309" s="54"/>
      <c r="D309" s="7"/>
      <c r="E309" s="7"/>
      <c r="F309" s="7"/>
      <c r="G309" s="7"/>
      <c r="H309" s="7"/>
      <c r="I309" s="7"/>
      <c r="J309" s="54"/>
      <c r="K309" s="54"/>
      <c r="L309" s="7"/>
      <c r="M309" s="7"/>
      <c r="N309" s="7"/>
      <c r="O309" s="7"/>
      <c r="P309" s="7"/>
      <c r="Q309" s="7"/>
      <c r="R309" s="7"/>
      <c r="S309" s="7"/>
      <c r="T309" s="7"/>
    </row>
    <row r="310">
      <c r="B310" s="7"/>
      <c r="C310" s="54"/>
      <c r="D310" s="7"/>
      <c r="E310" s="7"/>
      <c r="F310" s="7"/>
      <c r="G310" s="7"/>
      <c r="H310" s="7"/>
      <c r="I310" s="7"/>
      <c r="J310" s="54"/>
      <c r="K310" s="54"/>
      <c r="L310" s="7"/>
      <c r="M310" s="7"/>
      <c r="N310" s="7"/>
      <c r="O310" s="7"/>
      <c r="P310" s="7"/>
      <c r="Q310" s="7"/>
      <c r="R310" s="7"/>
      <c r="S310" s="7"/>
      <c r="T310" s="7"/>
    </row>
    <row r="311">
      <c r="B311" s="7"/>
      <c r="C311" s="54"/>
      <c r="D311" s="7"/>
      <c r="E311" s="7"/>
      <c r="F311" s="7"/>
      <c r="G311" s="7"/>
      <c r="H311" s="7"/>
      <c r="I311" s="7"/>
      <c r="J311" s="54"/>
      <c r="K311" s="54"/>
      <c r="L311" s="7"/>
      <c r="M311" s="7"/>
      <c r="N311" s="7"/>
      <c r="O311" s="7"/>
      <c r="P311" s="7"/>
      <c r="Q311" s="7"/>
      <c r="R311" s="7"/>
      <c r="S311" s="7"/>
      <c r="T311" s="7"/>
    </row>
    <row r="312">
      <c r="B312" s="7"/>
      <c r="C312" s="54"/>
      <c r="D312" s="7"/>
      <c r="E312" s="7"/>
      <c r="F312" s="7"/>
      <c r="G312" s="7"/>
      <c r="H312" s="7"/>
      <c r="I312" s="7"/>
      <c r="J312" s="54"/>
      <c r="K312" s="54"/>
      <c r="L312" s="7"/>
      <c r="M312" s="7"/>
      <c r="N312" s="7"/>
      <c r="O312" s="7"/>
      <c r="P312" s="7"/>
      <c r="Q312" s="7"/>
      <c r="R312" s="7"/>
      <c r="S312" s="7"/>
      <c r="T312" s="7"/>
    </row>
    <row r="313">
      <c r="B313" s="7"/>
      <c r="C313" s="54"/>
      <c r="D313" s="7"/>
      <c r="E313" s="7"/>
      <c r="F313" s="7"/>
      <c r="G313" s="7"/>
      <c r="H313" s="7"/>
      <c r="I313" s="7"/>
      <c r="J313" s="54"/>
      <c r="K313" s="54"/>
      <c r="L313" s="7"/>
      <c r="M313" s="7"/>
      <c r="N313" s="7"/>
      <c r="O313" s="7"/>
      <c r="P313" s="7"/>
      <c r="Q313" s="7"/>
      <c r="R313" s="7"/>
      <c r="S313" s="7"/>
      <c r="T313" s="7"/>
    </row>
    <row r="314">
      <c r="B314" s="7"/>
      <c r="C314" s="54"/>
      <c r="D314" s="7"/>
      <c r="E314" s="7"/>
      <c r="F314" s="7"/>
      <c r="G314" s="7"/>
      <c r="H314" s="7"/>
      <c r="I314" s="7"/>
      <c r="J314" s="54"/>
      <c r="K314" s="54"/>
      <c r="L314" s="7"/>
      <c r="M314" s="7"/>
      <c r="N314" s="7"/>
      <c r="O314" s="7"/>
      <c r="P314" s="7"/>
      <c r="Q314" s="7"/>
      <c r="R314" s="7"/>
      <c r="S314" s="7"/>
      <c r="T314" s="7"/>
    </row>
    <row r="315">
      <c r="B315" s="7"/>
      <c r="C315" s="54"/>
      <c r="D315" s="7"/>
      <c r="E315" s="7"/>
      <c r="F315" s="7"/>
      <c r="G315" s="7"/>
      <c r="H315" s="7"/>
      <c r="I315" s="7"/>
      <c r="J315" s="54"/>
      <c r="K315" s="54"/>
      <c r="L315" s="7"/>
      <c r="M315" s="7"/>
      <c r="N315" s="7"/>
      <c r="O315" s="7"/>
      <c r="P315" s="7"/>
      <c r="Q315" s="7"/>
      <c r="R315" s="7"/>
      <c r="S315" s="7"/>
      <c r="T315" s="7"/>
    </row>
    <row r="316">
      <c r="B316" s="7"/>
      <c r="C316" s="54"/>
      <c r="D316" s="7"/>
      <c r="E316" s="7"/>
      <c r="F316" s="7"/>
      <c r="G316" s="7"/>
      <c r="H316" s="7"/>
      <c r="I316" s="7"/>
      <c r="J316" s="54"/>
      <c r="K316" s="54"/>
      <c r="L316" s="7"/>
      <c r="M316" s="7"/>
      <c r="N316" s="7"/>
      <c r="O316" s="7"/>
      <c r="P316" s="7"/>
      <c r="Q316" s="7"/>
      <c r="R316" s="7"/>
      <c r="S316" s="7"/>
      <c r="T316" s="7"/>
    </row>
    <row r="317">
      <c r="B317" s="7"/>
      <c r="C317" s="54"/>
      <c r="D317" s="7"/>
      <c r="E317" s="7"/>
      <c r="F317" s="7"/>
      <c r="G317" s="7"/>
      <c r="H317" s="7"/>
      <c r="I317" s="7"/>
      <c r="J317" s="54"/>
      <c r="K317" s="54"/>
      <c r="L317" s="7"/>
      <c r="M317" s="7"/>
      <c r="N317" s="7"/>
      <c r="O317" s="7"/>
      <c r="P317" s="7"/>
      <c r="Q317" s="7"/>
      <c r="R317" s="7"/>
      <c r="S317" s="7"/>
      <c r="T317" s="7"/>
    </row>
    <row r="318">
      <c r="B318" s="7"/>
      <c r="C318" s="54"/>
      <c r="D318" s="7"/>
      <c r="E318" s="7"/>
      <c r="F318" s="7"/>
      <c r="G318" s="7"/>
      <c r="H318" s="7"/>
      <c r="I318" s="7"/>
      <c r="J318" s="54"/>
      <c r="K318" s="54"/>
      <c r="L318" s="7"/>
      <c r="M318" s="7"/>
      <c r="N318" s="7"/>
      <c r="O318" s="7"/>
      <c r="P318" s="7"/>
      <c r="Q318" s="7"/>
      <c r="R318" s="7"/>
      <c r="S318" s="7"/>
      <c r="T318" s="7"/>
    </row>
    <row r="319">
      <c r="B319" s="7"/>
      <c r="C319" s="54"/>
      <c r="D319" s="7"/>
      <c r="E319" s="7"/>
      <c r="F319" s="7"/>
      <c r="G319" s="7"/>
      <c r="H319" s="7"/>
      <c r="I319" s="7"/>
      <c r="J319" s="54"/>
      <c r="K319" s="54"/>
      <c r="L319" s="7"/>
      <c r="M319" s="7"/>
      <c r="N319" s="7"/>
      <c r="O319" s="7"/>
      <c r="P319" s="7"/>
      <c r="Q319" s="7"/>
      <c r="R319" s="7"/>
      <c r="S319" s="7"/>
      <c r="T319" s="7"/>
    </row>
    <row r="320">
      <c r="B320" s="7"/>
      <c r="C320" s="54"/>
      <c r="D320" s="7"/>
      <c r="E320" s="7"/>
      <c r="F320" s="7"/>
      <c r="G320" s="7"/>
      <c r="H320" s="7"/>
      <c r="I320" s="7"/>
      <c r="J320" s="54"/>
      <c r="K320" s="54"/>
      <c r="L320" s="7"/>
      <c r="M320" s="7"/>
      <c r="N320" s="7"/>
      <c r="O320" s="7"/>
      <c r="P320" s="7"/>
      <c r="Q320" s="7"/>
      <c r="R320" s="7"/>
      <c r="S320" s="7"/>
      <c r="T320" s="7"/>
    </row>
    <row r="321">
      <c r="B321" s="7"/>
      <c r="C321" s="54"/>
      <c r="D321" s="7"/>
      <c r="E321" s="7"/>
      <c r="F321" s="7"/>
      <c r="G321" s="7"/>
      <c r="H321" s="7"/>
      <c r="I321" s="7"/>
      <c r="J321" s="54"/>
      <c r="K321" s="54"/>
      <c r="L321" s="7"/>
      <c r="M321" s="7"/>
      <c r="N321" s="7"/>
      <c r="O321" s="7"/>
      <c r="P321" s="7"/>
      <c r="Q321" s="7"/>
      <c r="R321" s="7"/>
      <c r="S321" s="7"/>
      <c r="T321" s="7"/>
    </row>
    <row r="322">
      <c r="B322" s="7"/>
      <c r="C322" s="54"/>
      <c r="D322" s="7"/>
      <c r="E322" s="7"/>
      <c r="F322" s="7"/>
      <c r="G322" s="7"/>
      <c r="H322" s="7"/>
      <c r="I322" s="7"/>
      <c r="J322" s="54"/>
      <c r="K322" s="54"/>
      <c r="L322" s="7"/>
      <c r="M322" s="7"/>
      <c r="N322" s="7"/>
      <c r="O322" s="7"/>
      <c r="P322" s="7"/>
      <c r="Q322" s="7"/>
      <c r="R322" s="7"/>
      <c r="S322" s="7"/>
      <c r="T322" s="7"/>
    </row>
    <row r="323">
      <c r="B323" s="7"/>
      <c r="C323" s="54"/>
      <c r="D323" s="7"/>
      <c r="E323" s="7"/>
      <c r="F323" s="7"/>
      <c r="G323" s="7"/>
      <c r="H323" s="7"/>
      <c r="I323" s="7"/>
      <c r="J323" s="54"/>
      <c r="K323" s="54"/>
      <c r="L323" s="7"/>
      <c r="M323" s="7"/>
      <c r="N323" s="7"/>
      <c r="O323" s="7"/>
      <c r="P323" s="7"/>
      <c r="Q323" s="7"/>
      <c r="R323" s="7"/>
      <c r="S323" s="7"/>
      <c r="T323" s="7"/>
    </row>
    <row r="324">
      <c r="B324" s="7"/>
      <c r="C324" s="54"/>
      <c r="D324" s="7"/>
      <c r="E324" s="7"/>
      <c r="F324" s="7"/>
      <c r="G324" s="7"/>
      <c r="H324" s="7"/>
      <c r="I324" s="7"/>
      <c r="J324" s="54"/>
      <c r="K324" s="54"/>
      <c r="L324" s="7"/>
      <c r="M324" s="7"/>
      <c r="N324" s="7"/>
      <c r="O324" s="7"/>
      <c r="P324" s="7"/>
      <c r="Q324" s="7"/>
      <c r="R324" s="7"/>
      <c r="S324" s="7"/>
      <c r="T324" s="7"/>
    </row>
    <row r="325">
      <c r="B325" s="7"/>
      <c r="C325" s="54"/>
      <c r="D325" s="7"/>
      <c r="E325" s="7"/>
      <c r="F325" s="7"/>
      <c r="G325" s="7"/>
      <c r="H325" s="7"/>
      <c r="I325" s="7"/>
      <c r="J325" s="54"/>
      <c r="K325" s="54"/>
      <c r="L325" s="7"/>
      <c r="M325" s="7"/>
      <c r="N325" s="7"/>
      <c r="O325" s="7"/>
      <c r="P325" s="7"/>
      <c r="Q325" s="7"/>
      <c r="R325" s="7"/>
      <c r="S325" s="7"/>
      <c r="T325" s="7"/>
    </row>
    <row r="326">
      <c r="B326" s="7"/>
      <c r="C326" s="54"/>
      <c r="D326" s="7"/>
      <c r="E326" s="7"/>
      <c r="F326" s="7"/>
      <c r="G326" s="7"/>
      <c r="H326" s="7"/>
      <c r="I326" s="7"/>
      <c r="J326" s="54"/>
      <c r="K326" s="54"/>
      <c r="L326" s="7"/>
      <c r="M326" s="7"/>
      <c r="N326" s="7"/>
      <c r="O326" s="7"/>
      <c r="P326" s="7"/>
      <c r="Q326" s="7"/>
      <c r="R326" s="7"/>
      <c r="S326" s="7"/>
      <c r="T326" s="7"/>
    </row>
    <row r="327">
      <c r="B327" s="7"/>
      <c r="C327" s="54"/>
      <c r="D327" s="7"/>
      <c r="E327" s="7"/>
      <c r="F327" s="7"/>
      <c r="G327" s="7"/>
      <c r="H327" s="7"/>
      <c r="I327" s="7"/>
      <c r="J327" s="54"/>
      <c r="K327" s="54"/>
      <c r="L327" s="7"/>
      <c r="M327" s="7"/>
      <c r="N327" s="7"/>
      <c r="O327" s="7"/>
      <c r="P327" s="7"/>
      <c r="Q327" s="7"/>
      <c r="R327" s="7"/>
      <c r="S327" s="7"/>
      <c r="T327" s="7"/>
    </row>
    <row r="328">
      <c r="B328" s="7"/>
      <c r="C328" s="54"/>
      <c r="D328" s="7"/>
      <c r="E328" s="7"/>
      <c r="F328" s="7"/>
      <c r="G328" s="7"/>
      <c r="H328" s="7"/>
      <c r="I328" s="7"/>
      <c r="J328" s="54"/>
      <c r="K328" s="54"/>
      <c r="L328" s="7"/>
      <c r="M328" s="7"/>
      <c r="N328" s="7"/>
      <c r="O328" s="7"/>
      <c r="P328" s="7"/>
      <c r="Q328" s="7"/>
      <c r="R328" s="7"/>
      <c r="S328" s="7"/>
      <c r="T328" s="7"/>
    </row>
    <row r="329">
      <c r="B329" s="7"/>
      <c r="C329" s="54"/>
      <c r="D329" s="7"/>
      <c r="E329" s="7"/>
      <c r="F329" s="7"/>
      <c r="G329" s="7"/>
      <c r="H329" s="7"/>
      <c r="I329" s="7"/>
      <c r="J329" s="54"/>
      <c r="K329" s="54"/>
      <c r="L329" s="7"/>
      <c r="M329" s="7"/>
      <c r="N329" s="7"/>
      <c r="O329" s="7"/>
      <c r="P329" s="7"/>
      <c r="Q329" s="7"/>
      <c r="R329" s="7"/>
      <c r="S329" s="7"/>
      <c r="T329" s="7"/>
    </row>
    <row r="330">
      <c r="B330" s="7"/>
      <c r="C330" s="54"/>
      <c r="D330" s="7"/>
      <c r="E330" s="7"/>
      <c r="F330" s="7"/>
      <c r="G330" s="7"/>
      <c r="H330" s="7"/>
      <c r="I330" s="7"/>
      <c r="J330" s="54"/>
      <c r="K330" s="54"/>
      <c r="L330" s="7"/>
      <c r="M330" s="7"/>
      <c r="N330" s="7"/>
      <c r="O330" s="7"/>
      <c r="P330" s="7"/>
      <c r="Q330" s="7"/>
      <c r="R330" s="7"/>
      <c r="S330" s="7"/>
      <c r="T330" s="7"/>
    </row>
    <row r="331">
      <c r="B331" s="7"/>
      <c r="C331" s="54"/>
      <c r="D331" s="7"/>
      <c r="E331" s="7"/>
      <c r="F331" s="7"/>
      <c r="G331" s="7"/>
      <c r="H331" s="7"/>
      <c r="I331" s="7"/>
      <c r="J331" s="54"/>
      <c r="K331" s="54"/>
      <c r="L331" s="7"/>
      <c r="M331" s="7"/>
      <c r="N331" s="7"/>
      <c r="O331" s="7"/>
      <c r="P331" s="7"/>
      <c r="Q331" s="7"/>
      <c r="R331" s="7"/>
      <c r="S331" s="7"/>
      <c r="T331" s="7"/>
    </row>
    <row r="332">
      <c r="B332" s="7"/>
      <c r="C332" s="54"/>
      <c r="D332" s="7"/>
      <c r="E332" s="7"/>
      <c r="F332" s="7"/>
      <c r="G332" s="7"/>
      <c r="H332" s="7"/>
      <c r="I332" s="7"/>
      <c r="J332" s="54"/>
      <c r="K332" s="54"/>
      <c r="L332" s="7"/>
      <c r="M332" s="7"/>
      <c r="N332" s="7"/>
      <c r="O332" s="7"/>
      <c r="P332" s="7"/>
      <c r="Q332" s="7"/>
      <c r="R332" s="7"/>
      <c r="S332" s="7"/>
      <c r="T332" s="7"/>
    </row>
    <row r="333">
      <c r="B333" s="7"/>
      <c r="C333" s="54"/>
      <c r="D333" s="7"/>
      <c r="E333" s="7"/>
      <c r="F333" s="7"/>
      <c r="G333" s="7"/>
      <c r="H333" s="7"/>
      <c r="I333" s="7"/>
      <c r="J333" s="54"/>
      <c r="K333" s="54"/>
      <c r="L333" s="7"/>
      <c r="M333" s="7"/>
      <c r="N333" s="7"/>
      <c r="O333" s="7"/>
      <c r="P333" s="7"/>
      <c r="Q333" s="7"/>
      <c r="R333" s="7"/>
      <c r="S333" s="7"/>
      <c r="T333" s="7"/>
    </row>
    <row r="334">
      <c r="B334" s="7"/>
      <c r="C334" s="54"/>
      <c r="D334" s="7"/>
      <c r="E334" s="7"/>
      <c r="F334" s="7"/>
      <c r="G334" s="7"/>
      <c r="H334" s="7"/>
      <c r="I334" s="7"/>
      <c r="J334" s="54"/>
      <c r="K334" s="54"/>
      <c r="L334" s="7"/>
      <c r="M334" s="7"/>
      <c r="N334" s="7"/>
      <c r="O334" s="7"/>
      <c r="P334" s="7"/>
      <c r="Q334" s="7"/>
      <c r="R334" s="7"/>
      <c r="S334" s="7"/>
      <c r="T334" s="7"/>
    </row>
    <row r="335">
      <c r="B335" s="7"/>
      <c r="C335" s="54"/>
      <c r="D335" s="7"/>
      <c r="E335" s="7"/>
      <c r="F335" s="7"/>
      <c r="G335" s="7"/>
      <c r="H335" s="7"/>
      <c r="I335" s="7"/>
      <c r="J335" s="54"/>
      <c r="K335" s="54"/>
      <c r="L335" s="7"/>
      <c r="M335" s="7"/>
      <c r="N335" s="7"/>
      <c r="O335" s="7"/>
      <c r="P335" s="7"/>
      <c r="Q335" s="7"/>
      <c r="R335" s="7"/>
      <c r="S335" s="7"/>
      <c r="T335" s="7"/>
    </row>
    <row r="336">
      <c r="B336" s="7"/>
      <c r="C336" s="54"/>
      <c r="D336" s="7"/>
      <c r="E336" s="7"/>
      <c r="F336" s="7"/>
      <c r="G336" s="7"/>
      <c r="H336" s="7"/>
      <c r="I336" s="7"/>
      <c r="J336" s="54"/>
      <c r="K336" s="54"/>
      <c r="L336" s="7"/>
      <c r="M336" s="7"/>
      <c r="N336" s="7"/>
      <c r="O336" s="7"/>
      <c r="P336" s="7"/>
      <c r="Q336" s="7"/>
      <c r="R336" s="7"/>
      <c r="S336" s="7"/>
      <c r="T336" s="7"/>
    </row>
    <row r="337">
      <c r="B337" s="7"/>
      <c r="C337" s="54"/>
      <c r="D337" s="7"/>
      <c r="E337" s="7"/>
      <c r="F337" s="7"/>
      <c r="G337" s="7"/>
      <c r="H337" s="7"/>
      <c r="I337" s="7"/>
      <c r="J337" s="54"/>
      <c r="K337" s="54"/>
      <c r="L337" s="7"/>
      <c r="M337" s="7"/>
      <c r="N337" s="7"/>
      <c r="O337" s="7"/>
      <c r="P337" s="7"/>
      <c r="Q337" s="7"/>
      <c r="R337" s="7"/>
      <c r="S337" s="7"/>
      <c r="T337" s="7"/>
    </row>
    <row r="338">
      <c r="B338" s="7"/>
      <c r="C338" s="54"/>
      <c r="D338" s="7"/>
      <c r="E338" s="7"/>
      <c r="F338" s="7"/>
      <c r="G338" s="7"/>
      <c r="H338" s="7"/>
      <c r="I338" s="7"/>
      <c r="J338" s="54"/>
      <c r="K338" s="54"/>
      <c r="L338" s="7"/>
      <c r="M338" s="7"/>
      <c r="N338" s="7"/>
      <c r="O338" s="7"/>
      <c r="P338" s="7"/>
      <c r="Q338" s="7"/>
      <c r="R338" s="7"/>
      <c r="S338" s="7"/>
      <c r="T338" s="7"/>
    </row>
    <row r="339">
      <c r="B339" s="7"/>
      <c r="C339" s="54"/>
      <c r="D339" s="7"/>
      <c r="E339" s="7"/>
      <c r="F339" s="7"/>
      <c r="G339" s="7"/>
      <c r="H339" s="7"/>
      <c r="I339" s="7"/>
      <c r="J339" s="54"/>
      <c r="K339" s="54"/>
      <c r="L339" s="7"/>
      <c r="M339" s="7"/>
      <c r="N339" s="7"/>
      <c r="O339" s="7"/>
      <c r="P339" s="7"/>
      <c r="Q339" s="7"/>
      <c r="R339" s="7"/>
      <c r="S339" s="7"/>
      <c r="T339" s="7"/>
    </row>
    <row r="340">
      <c r="B340" s="7"/>
      <c r="C340" s="54"/>
      <c r="D340" s="7"/>
      <c r="E340" s="7"/>
      <c r="F340" s="7"/>
      <c r="G340" s="7"/>
      <c r="H340" s="7"/>
      <c r="I340" s="7"/>
      <c r="J340" s="54"/>
      <c r="K340" s="54"/>
      <c r="L340" s="7"/>
      <c r="M340" s="7"/>
      <c r="N340" s="7"/>
      <c r="O340" s="7"/>
      <c r="P340" s="7"/>
      <c r="Q340" s="7"/>
      <c r="R340" s="7"/>
      <c r="S340" s="7"/>
      <c r="T340" s="7"/>
    </row>
    <row r="341">
      <c r="B341" s="7"/>
      <c r="C341" s="54"/>
      <c r="D341" s="7"/>
      <c r="E341" s="7"/>
      <c r="F341" s="7"/>
      <c r="G341" s="7"/>
      <c r="H341" s="7"/>
      <c r="I341" s="7"/>
      <c r="J341" s="54"/>
      <c r="K341" s="54"/>
      <c r="L341" s="7"/>
      <c r="M341" s="7"/>
      <c r="N341" s="7"/>
      <c r="O341" s="7"/>
      <c r="P341" s="7"/>
      <c r="Q341" s="7"/>
      <c r="R341" s="7"/>
      <c r="S341" s="7"/>
      <c r="T341" s="7"/>
    </row>
    <row r="342">
      <c r="B342" s="7"/>
      <c r="C342" s="54"/>
      <c r="D342" s="7"/>
      <c r="E342" s="7"/>
      <c r="F342" s="7"/>
      <c r="G342" s="7"/>
      <c r="H342" s="7"/>
      <c r="I342" s="7"/>
      <c r="J342" s="54"/>
      <c r="K342" s="54"/>
      <c r="L342" s="7"/>
      <c r="M342" s="7"/>
      <c r="N342" s="7"/>
      <c r="O342" s="7"/>
      <c r="P342" s="7"/>
      <c r="Q342" s="7"/>
      <c r="R342" s="7"/>
      <c r="S342" s="7"/>
      <c r="T342" s="7"/>
    </row>
    <row r="343">
      <c r="B343" s="7"/>
      <c r="C343" s="54"/>
      <c r="D343" s="7"/>
      <c r="E343" s="7"/>
      <c r="F343" s="7"/>
      <c r="G343" s="7"/>
      <c r="H343" s="7"/>
      <c r="I343" s="7"/>
      <c r="J343" s="54"/>
      <c r="K343" s="54"/>
      <c r="L343" s="7"/>
      <c r="M343" s="7"/>
      <c r="N343" s="7"/>
      <c r="O343" s="7"/>
      <c r="P343" s="7"/>
      <c r="Q343" s="7"/>
      <c r="R343" s="7"/>
      <c r="S343" s="7"/>
      <c r="T343" s="7"/>
    </row>
    <row r="344">
      <c r="B344" s="7"/>
      <c r="C344" s="54"/>
      <c r="D344" s="7"/>
      <c r="E344" s="7"/>
      <c r="F344" s="7"/>
      <c r="G344" s="7"/>
      <c r="H344" s="7"/>
      <c r="I344" s="7"/>
      <c r="J344" s="54"/>
      <c r="K344" s="54"/>
      <c r="L344" s="7"/>
      <c r="M344" s="7"/>
      <c r="N344" s="7"/>
      <c r="O344" s="7"/>
      <c r="P344" s="7"/>
      <c r="Q344" s="7"/>
      <c r="R344" s="7"/>
      <c r="S344" s="7"/>
      <c r="T344" s="7"/>
    </row>
    <row r="345">
      <c r="B345" s="7"/>
      <c r="C345" s="54"/>
      <c r="D345" s="7"/>
      <c r="E345" s="7"/>
      <c r="F345" s="7"/>
      <c r="G345" s="7"/>
      <c r="H345" s="7"/>
      <c r="I345" s="7"/>
      <c r="J345" s="54"/>
      <c r="K345" s="54"/>
      <c r="L345" s="7"/>
      <c r="M345" s="7"/>
      <c r="N345" s="7"/>
      <c r="O345" s="7"/>
      <c r="P345" s="7"/>
      <c r="Q345" s="7"/>
      <c r="R345" s="7"/>
      <c r="S345" s="7"/>
      <c r="T345" s="7"/>
    </row>
    <row r="346">
      <c r="B346" s="7"/>
      <c r="C346" s="54"/>
      <c r="D346" s="7"/>
      <c r="E346" s="7"/>
      <c r="F346" s="7"/>
      <c r="G346" s="7"/>
      <c r="H346" s="7"/>
      <c r="I346" s="7"/>
      <c r="J346" s="54"/>
      <c r="K346" s="54"/>
      <c r="L346" s="7"/>
      <c r="M346" s="7"/>
      <c r="N346" s="7"/>
      <c r="O346" s="7"/>
      <c r="P346" s="7"/>
      <c r="Q346" s="7"/>
      <c r="R346" s="7"/>
      <c r="S346" s="7"/>
      <c r="T346" s="7"/>
    </row>
    <row r="347">
      <c r="B347" s="7"/>
      <c r="C347" s="54"/>
      <c r="D347" s="7"/>
      <c r="E347" s="7"/>
      <c r="F347" s="7"/>
      <c r="G347" s="7"/>
      <c r="H347" s="7"/>
      <c r="I347" s="7"/>
      <c r="J347" s="54"/>
      <c r="K347" s="54"/>
      <c r="L347" s="7"/>
      <c r="M347" s="7"/>
      <c r="N347" s="7"/>
      <c r="O347" s="7"/>
      <c r="P347" s="7"/>
      <c r="Q347" s="7"/>
      <c r="R347" s="7"/>
      <c r="S347" s="7"/>
      <c r="T347" s="7"/>
    </row>
    <row r="348">
      <c r="B348" s="7"/>
      <c r="C348" s="54"/>
      <c r="D348" s="7"/>
      <c r="E348" s="7"/>
      <c r="F348" s="7"/>
      <c r="G348" s="7"/>
      <c r="H348" s="7"/>
      <c r="I348" s="7"/>
      <c r="J348" s="54"/>
      <c r="K348" s="54"/>
      <c r="L348" s="7"/>
      <c r="M348" s="7"/>
      <c r="N348" s="7"/>
      <c r="O348" s="7"/>
      <c r="P348" s="7"/>
      <c r="Q348" s="7"/>
      <c r="R348" s="7"/>
      <c r="S348" s="7"/>
      <c r="T348" s="7"/>
    </row>
    <row r="349">
      <c r="B349" s="7"/>
      <c r="C349" s="54"/>
      <c r="D349" s="7"/>
      <c r="E349" s="7"/>
      <c r="F349" s="7"/>
      <c r="G349" s="7"/>
      <c r="H349" s="7"/>
      <c r="I349" s="7"/>
      <c r="J349" s="54"/>
      <c r="K349" s="54"/>
      <c r="L349" s="7"/>
      <c r="M349" s="7"/>
      <c r="N349" s="7"/>
      <c r="O349" s="7"/>
      <c r="P349" s="7"/>
      <c r="Q349" s="7"/>
      <c r="R349" s="7"/>
      <c r="S349" s="7"/>
      <c r="T349" s="7"/>
    </row>
    <row r="350">
      <c r="B350" s="7"/>
      <c r="C350" s="54"/>
      <c r="D350" s="7"/>
      <c r="E350" s="7"/>
      <c r="F350" s="7"/>
      <c r="G350" s="7"/>
      <c r="H350" s="7"/>
      <c r="I350" s="7"/>
      <c r="J350" s="54"/>
      <c r="K350" s="54"/>
      <c r="L350" s="7"/>
      <c r="M350" s="7"/>
      <c r="N350" s="7"/>
      <c r="O350" s="7"/>
      <c r="P350" s="7"/>
      <c r="Q350" s="7"/>
      <c r="R350" s="7"/>
      <c r="S350" s="7"/>
      <c r="T350" s="7"/>
    </row>
    <row r="351">
      <c r="B351" s="7"/>
      <c r="C351" s="54"/>
      <c r="D351" s="7"/>
      <c r="E351" s="7"/>
      <c r="F351" s="7"/>
      <c r="G351" s="7"/>
      <c r="H351" s="7"/>
      <c r="I351" s="7"/>
      <c r="J351" s="54"/>
      <c r="K351" s="54"/>
      <c r="L351" s="7"/>
      <c r="M351" s="7"/>
      <c r="N351" s="7"/>
      <c r="O351" s="7"/>
      <c r="P351" s="7"/>
      <c r="Q351" s="7"/>
      <c r="R351" s="7"/>
      <c r="S351" s="7"/>
      <c r="T351" s="7"/>
    </row>
    <row r="352">
      <c r="B352" s="7"/>
      <c r="C352" s="54"/>
      <c r="D352" s="7"/>
      <c r="E352" s="7"/>
      <c r="F352" s="7"/>
      <c r="G352" s="7"/>
      <c r="H352" s="7"/>
      <c r="I352" s="7"/>
      <c r="J352" s="54"/>
      <c r="K352" s="54"/>
      <c r="L352" s="7"/>
      <c r="M352" s="7"/>
      <c r="N352" s="7"/>
      <c r="O352" s="7"/>
      <c r="P352" s="7"/>
      <c r="Q352" s="7"/>
      <c r="R352" s="7"/>
      <c r="S352" s="7"/>
      <c r="T352" s="7"/>
    </row>
    <row r="353">
      <c r="B353" s="7"/>
      <c r="C353" s="54"/>
      <c r="D353" s="7"/>
      <c r="E353" s="7"/>
      <c r="F353" s="7"/>
      <c r="G353" s="7"/>
      <c r="H353" s="7"/>
      <c r="I353" s="7"/>
      <c r="J353" s="54"/>
      <c r="K353" s="54"/>
      <c r="L353" s="7"/>
      <c r="M353" s="7"/>
      <c r="N353" s="7"/>
      <c r="O353" s="7"/>
      <c r="P353" s="7"/>
      <c r="Q353" s="7"/>
      <c r="R353" s="7"/>
      <c r="S353" s="7"/>
      <c r="T353" s="7"/>
    </row>
    <row r="354">
      <c r="B354" s="7"/>
      <c r="C354" s="54"/>
      <c r="D354" s="7"/>
      <c r="E354" s="7"/>
      <c r="F354" s="7"/>
      <c r="G354" s="7"/>
      <c r="H354" s="7"/>
      <c r="I354" s="7"/>
      <c r="J354" s="54"/>
      <c r="K354" s="54"/>
      <c r="L354" s="7"/>
      <c r="M354" s="7"/>
      <c r="N354" s="7"/>
      <c r="O354" s="7"/>
      <c r="P354" s="7"/>
      <c r="Q354" s="7"/>
      <c r="R354" s="7"/>
      <c r="S354" s="7"/>
      <c r="T354" s="7"/>
    </row>
    <row r="355">
      <c r="B355" s="7"/>
      <c r="C355" s="54"/>
      <c r="D355" s="7"/>
      <c r="E355" s="7"/>
      <c r="F355" s="7"/>
      <c r="G355" s="7"/>
      <c r="H355" s="7"/>
      <c r="I355" s="7"/>
      <c r="J355" s="54"/>
      <c r="K355" s="54"/>
      <c r="L355" s="7"/>
      <c r="M355" s="7"/>
      <c r="N355" s="7"/>
      <c r="O355" s="7"/>
      <c r="P355" s="7"/>
      <c r="Q355" s="7"/>
      <c r="R355" s="7"/>
      <c r="S355" s="7"/>
      <c r="T355" s="7"/>
    </row>
    <row r="356">
      <c r="B356" s="7"/>
      <c r="C356" s="54"/>
      <c r="D356" s="7"/>
      <c r="E356" s="7"/>
      <c r="F356" s="7"/>
      <c r="G356" s="7"/>
      <c r="H356" s="7"/>
      <c r="I356" s="7"/>
      <c r="J356" s="54"/>
      <c r="K356" s="54"/>
      <c r="L356" s="7"/>
      <c r="M356" s="7"/>
      <c r="N356" s="7"/>
      <c r="O356" s="7"/>
      <c r="P356" s="7"/>
      <c r="Q356" s="7"/>
      <c r="R356" s="7"/>
      <c r="S356" s="7"/>
      <c r="T356" s="7"/>
    </row>
    <row r="357">
      <c r="B357" s="7"/>
      <c r="C357" s="54"/>
      <c r="D357" s="7"/>
      <c r="E357" s="7"/>
      <c r="F357" s="7"/>
      <c r="G357" s="7"/>
      <c r="H357" s="7"/>
      <c r="I357" s="7"/>
      <c r="J357" s="54"/>
      <c r="K357" s="54"/>
      <c r="L357" s="7"/>
      <c r="M357" s="7"/>
      <c r="N357" s="7"/>
      <c r="O357" s="7"/>
      <c r="P357" s="7"/>
      <c r="Q357" s="7"/>
      <c r="R357" s="7"/>
      <c r="S357" s="7"/>
      <c r="T357" s="7"/>
    </row>
    <row r="358">
      <c r="B358" s="7"/>
      <c r="C358" s="54"/>
      <c r="D358" s="7"/>
      <c r="E358" s="7"/>
      <c r="F358" s="7"/>
      <c r="G358" s="7"/>
      <c r="H358" s="7"/>
      <c r="I358" s="7"/>
      <c r="J358" s="54"/>
      <c r="K358" s="54"/>
      <c r="L358" s="7"/>
      <c r="M358" s="7"/>
      <c r="N358" s="7"/>
      <c r="O358" s="7"/>
      <c r="P358" s="7"/>
      <c r="Q358" s="7"/>
      <c r="R358" s="7"/>
      <c r="S358" s="7"/>
      <c r="T358" s="7"/>
    </row>
    <row r="359">
      <c r="B359" s="7"/>
      <c r="C359" s="54"/>
      <c r="D359" s="7"/>
      <c r="E359" s="7"/>
      <c r="F359" s="7"/>
      <c r="G359" s="7"/>
      <c r="H359" s="7"/>
      <c r="I359" s="7"/>
      <c r="J359" s="54"/>
      <c r="K359" s="54"/>
      <c r="L359" s="7"/>
      <c r="M359" s="7"/>
      <c r="N359" s="7"/>
      <c r="O359" s="7"/>
      <c r="P359" s="7"/>
      <c r="Q359" s="7"/>
      <c r="R359" s="7"/>
      <c r="S359" s="7"/>
      <c r="T359" s="7"/>
    </row>
    <row r="360">
      <c r="B360" s="7"/>
      <c r="C360" s="54"/>
      <c r="D360" s="7"/>
      <c r="E360" s="7"/>
      <c r="F360" s="7"/>
      <c r="G360" s="7"/>
      <c r="H360" s="7"/>
      <c r="I360" s="7"/>
      <c r="J360" s="54"/>
      <c r="K360" s="54"/>
      <c r="L360" s="7"/>
      <c r="M360" s="7"/>
      <c r="N360" s="7"/>
      <c r="O360" s="7"/>
      <c r="P360" s="7"/>
      <c r="Q360" s="7"/>
      <c r="R360" s="7"/>
      <c r="S360" s="7"/>
      <c r="T360" s="7"/>
    </row>
    <row r="361">
      <c r="B361" s="7"/>
      <c r="C361" s="54"/>
      <c r="D361" s="7"/>
      <c r="E361" s="7"/>
      <c r="F361" s="7"/>
      <c r="G361" s="7"/>
      <c r="H361" s="7"/>
      <c r="I361" s="7"/>
      <c r="J361" s="54"/>
      <c r="K361" s="54"/>
      <c r="L361" s="7"/>
      <c r="M361" s="7"/>
      <c r="N361" s="7"/>
      <c r="O361" s="7"/>
      <c r="P361" s="7"/>
      <c r="Q361" s="7"/>
      <c r="R361" s="7"/>
      <c r="S361" s="7"/>
      <c r="T361" s="7"/>
    </row>
    <row r="362">
      <c r="B362" s="7"/>
      <c r="C362" s="54"/>
      <c r="D362" s="7"/>
      <c r="E362" s="7"/>
      <c r="F362" s="7"/>
      <c r="G362" s="7"/>
      <c r="H362" s="7"/>
      <c r="I362" s="7"/>
      <c r="J362" s="54"/>
      <c r="K362" s="54"/>
      <c r="L362" s="7"/>
      <c r="M362" s="7"/>
      <c r="N362" s="7"/>
      <c r="O362" s="7"/>
      <c r="P362" s="7"/>
      <c r="Q362" s="7"/>
      <c r="R362" s="7"/>
      <c r="S362" s="7"/>
      <c r="T362" s="7"/>
    </row>
    <row r="363">
      <c r="B363" s="7"/>
      <c r="C363" s="54"/>
      <c r="D363" s="7"/>
      <c r="E363" s="7"/>
      <c r="F363" s="7"/>
      <c r="G363" s="7"/>
      <c r="H363" s="7"/>
      <c r="I363" s="7"/>
      <c r="J363" s="54"/>
      <c r="K363" s="54"/>
      <c r="L363" s="7"/>
      <c r="M363" s="7"/>
      <c r="N363" s="7"/>
      <c r="O363" s="7"/>
      <c r="P363" s="7"/>
      <c r="Q363" s="7"/>
      <c r="R363" s="7"/>
      <c r="S363" s="7"/>
      <c r="T363" s="7"/>
    </row>
    <row r="364">
      <c r="B364" s="7"/>
      <c r="C364" s="54"/>
      <c r="D364" s="7"/>
      <c r="E364" s="7"/>
      <c r="F364" s="7"/>
      <c r="G364" s="7"/>
      <c r="H364" s="7"/>
      <c r="I364" s="7"/>
      <c r="J364" s="54"/>
      <c r="K364" s="54"/>
      <c r="L364" s="7"/>
      <c r="M364" s="7"/>
      <c r="N364" s="7"/>
      <c r="O364" s="7"/>
      <c r="P364" s="7"/>
      <c r="Q364" s="7"/>
      <c r="R364" s="7"/>
      <c r="S364" s="7"/>
      <c r="T364" s="7"/>
    </row>
    <row r="365">
      <c r="B365" s="7"/>
      <c r="C365" s="54"/>
      <c r="D365" s="7"/>
      <c r="E365" s="7"/>
      <c r="F365" s="7"/>
      <c r="G365" s="7"/>
      <c r="H365" s="7"/>
      <c r="I365" s="7"/>
      <c r="J365" s="54"/>
      <c r="K365" s="54"/>
      <c r="L365" s="7"/>
      <c r="M365" s="7"/>
      <c r="N365" s="7"/>
      <c r="O365" s="7"/>
      <c r="P365" s="7"/>
      <c r="Q365" s="7"/>
      <c r="R365" s="7"/>
      <c r="S365" s="7"/>
      <c r="T365" s="7"/>
    </row>
    <row r="366">
      <c r="B366" s="7"/>
      <c r="C366" s="54"/>
      <c r="D366" s="7"/>
      <c r="E366" s="7"/>
      <c r="F366" s="7"/>
      <c r="G366" s="7"/>
      <c r="H366" s="7"/>
      <c r="I366" s="7"/>
      <c r="J366" s="54"/>
      <c r="K366" s="54"/>
      <c r="L366" s="7"/>
      <c r="M366" s="7"/>
      <c r="N366" s="7"/>
      <c r="O366" s="7"/>
      <c r="P366" s="7"/>
      <c r="Q366" s="7"/>
      <c r="R366" s="7"/>
      <c r="S366" s="7"/>
      <c r="T366" s="7"/>
    </row>
    <row r="367">
      <c r="B367" s="7"/>
      <c r="C367" s="54"/>
      <c r="D367" s="7"/>
      <c r="E367" s="7"/>
      <c r="F367" s="7"/>
      <c r="G367" s="7"/>
      <c r="H367" s="7"/>
      <c r="I367" s="7"/>
      <c r="J367" s="54"/>
      <c r="K367" s="54"/>
      <c r="L367" s="7"/>
      <c r="M367" s="7"/>
      <c r="N367" s="7"/>
      <c r="O367" s="7"/>
      <c r="P367" s="7"/>
      <c r="Q367" s="7"/>
      <c r="R367" s="7"/>
      <c r="S367" s="7"/>
      <c r="T367" s="7"/>
    </row>
    <row r="368">
      <c r="B368" s="7"/>
      <c r="C368" s="54"/>
      <c r="D368" s="7"/>
      <c r="E368" s="7"/>
      <c r="F368" s="7"/>
      <c r="G368" s="7"/>
      <c r="H368" s="7"/>
      <c r="I368" s="7"/>
      <c r="J368" s="54"/>
      <c r="K368" s="54"/>
      <c r="L368" s="7"/>
      <c r="M368" s="7"/>
      <c r="N368" s="7"/>
      <c r="O368" s="7"/>
      <c r="P368" s="7"/>
      <c r="Q368" s="7"/>
      <c r="R368" s="7"/>
      <c r="S368" s="7"/>
      <c r="T368" s="7"/>
    </row>
    <row r="369">
      <c r="B369" s="7"/>
      <c r="C369" s="54"/>
      <c r="D369" s="7"/>
      <c r="E369" s="7"/>
      <c r="F369" s="7"/>
      <c r="G369" s="7"/>
      <c r="H369" s="7"/>
      <c r="I369" s="7"/>
      <c r="J369" s="54"/>
      <c r="K369" s="54"/>
      <c r="L369" s="7"/>
      <c r="M369" s="7"/>
      <c r="N369" s="7"/>
      <c r="O369" s="7"/>
      <c r="P369" s="7"/>
      <c r="Q369" s="7"/>
      <c r="R369" s="7"/>
      <c r="S369" s="7"/>
      <c r="T369" s="7"/>
    </row>
    <row r="370">
      <c r="B370" s="7"/>
      <c r="C370" s="54"/>
      <c r="D370" s="7"/>
      <c r="E370" s="7"/>
      <c r="F370" s="7"/>
      <c r="G370" s="7"/>
      <c r="H370" s="7"/>
      <c r="I370" s="7"/>
      <c r="J370" s="54"/>
      <c r="K370" s="54"/>
      <c r="L370" s="7"/>
      <c r="M370" s="7"/>
      <c r="N370" s="7"/>
      <c r="O370" s="7"/>
      <c r="P370" s="7"/>
      <c r="Q370" s="7"/>
      <c r="R370" s="7"/>
      <c r="S370" s="7"/>
      <c r="T370" s="7"/>
    </row>
    <row r="371">
      <c r="B371" s="7"/>
      <c r="C371" s="54"/>
      <c r="D371" s="7"/>
      <c r="E371" s="7"/>
      <c r="F371" s="7"/>
      <c r="G371" s="7"/>
      <c r="H371" s="7"/>
      <c r="I371" s="7"/>
      <c r="J371" s="54"/>
      <c r="K371" s="54"/>
      <c r="L371" s="7"/>
      <c r="M371" s="7"/>
      <c r="N371" s="7"/>
      <c r="O371" s="7"/>
      <c r="P371" s="7"/>
      <c r="Q371" s="7"/>
      <c r="R371" s="7"/>
      <c r="S371" s="7"/>
      <c r="T371" s="7"/>
    </row>
    <row r="372">
      <c r="B372" s="7"/>
      <c r="C372" s="54"/>
      <c r="D372" s="7"/>
      <c r="E372" s="7"/>
      <c r="F372" s="7"/>
      <c r="G372" s="7"/>
      <c r="H372" s="7"/>
      <c r="I372" s="7"/>
      <c r="J372" s="54"/>
      <c r="K372" s="54"/>
      <c r="L372" s="7"/>
      <c r="M372" s="7"/>
      <c r="N372" s="7"/>
      <c r="O372" s="7"/>
      <c r="P372" s="7"/>
      <c r="Q372" s="7"/>
      <c r="R372" s="7"/>
      <c r="S372" s="7"/>
      <c r="T372" s="7"/>
    </row>
    <row r="373">
      <c r="B373" s="7"/>
      <c r="C373" s="54"/>
      <c r="D373" s="7"/>
      <c r="E373" s="7"/>
      <c r="F373" s="7"/>
      <c r="G373" s="7"/>
      <c r="H373" s="7"/>
      <c r="I373" s="7"/>
      <c r="J373" s="54"/>
      <c r="K373" s="54"/>
      <c r="L373" s="7"/>
      <c r="M373" s="7"/>
      <c r="N373" s="7"/>
      <c r="O373" s="7"/>
      <c r="P373" s="7"/>
      <c r="Q373" s="7"/>
      <c r="R373" s="7"/>
      <c r="S373" s="7"/>
      <c r="T373" s="7"/>
    </row>
    <row r="374">
      <c r="B374" s="7"/>
      <c r="C374" s="54"/>
      <c r="D374" s="7"/>
      <c r="E374" s="7"/>
      <c r="F374" s="7"/>
      <c r="G374" s="7"/>
      <c r="H374" s="7"/>
      <c r="I374" s="7"/>
      <c r="J374" s="54"/>
      <c r="K374" s="54"/>
      <c r="L374" s="7"/>
      <c r="M374" s="7"/>
      <c r="N374" s="7"/>
      <c r="O374" s="7"/>
      <c r="P374" s="7"/>
      <c r="Q374" s="7"/>
      <c r="R374" s="7"/>
      <c r="S374" s="7"/>
      <c r="T374" s="7"/>
    </row>
    <row r="375">
      <c r="B375" s="7"/>
      <c r="C375" s="54"/>
      <c r="D375" s="7"/>
      <c r="E375" s="7"/>
      <c r="F375" s="7"/>
      <c r="G375" s="7"/>
      <c r="H375" s="7"/>
      <c r="I375" s="7"/>
      <c r="J375" s="54"/>
      <c r="K375" s="54"/>
      <c r="L375" s="7"/>
      <c r="M375" s="7"/>
      <c r="N375" s="7"/>
      <c r="O375" s="7"/>
      <c r="P375" s="7"/>
      <c r="Q375" s="7"/>
      <c r="R375" s="7"/>
      <c r="S375" s="7"/>
      <c r="T375" s="7"/>
    </row>
    <row r="376">
      <c r="B376" s="7"/>
      <c r="C376" s="54"/>
      <c r="D376" s="7"/>
      <c r="E376" s="7"/>
      <c r="F376" s="7"/>
      <c r="G376" s="7"/>
      <c r="H376" s="7"/>
      <c r="I376" s="7"/>
      <c r="J376" s="54"/>
      <c r="K376" s="54"/>
      <c r="L376" s="7"/>
      <c r="M376" s="7"/>
      <c r="N376" s="7"/>
      <c r="O376" s="7"/>
      <c r="P376" s="7"/>
      <c r="Q376" s="7"/>
      <c r="R376" s="7"/>
      <c r="S376" s="7"/>
      <c r="T376" s="7"/>
    </row>
    <row r="377">
      <c r="B377" s="7"/>
      <c r="C377" s="54"/>
      <c r="D377" s="7"/>
      <c r="E377" s="7"/>
      <c r="F377" s="7"/>
      <c r="G377" s="7"/>
      <c r="H377" s="7"/>
      <c r="I377" s="7"/>
      <c r="J377" s="54"/>
      <c r="K377" s="54"/>
      <c r="L377" s="7"/>
      <c r="M377" s="7"/>
      <c r="N377" s="7"/>
      <c r="O377" s="7"/>
      <c r="P377" s="7"/>
      <c r="Q377" s="7"/>
      <c r="R377" s="7"/>
      <c r="S377" s="7"/>
      <c r="T377" s="7"/>
    </row>
    <row r="378">
      <c r="B378" s="7"/>
      <c r="C378" s="54"/>
      <c r="D378" s="7"/>
      <c r="E378" s="7"/>
      <c r="F378" s="7"/>
      <c r="G378" s="7"/>
      <c r="H378" s="7"/>
      <c r="I378" s="7"/>
      <c r="J378" s="54"/>
      <c r="K378" s="54"/>
      <c r="L378" s="7"/>
      <c r="M378" s="7"/>
      <c r="N378" s="7"/>
      <c r="O378" s="7"/>
      <c r="P378" s="7"/>
      <c r="Q378" s="7"/>
      <c r="R378" s="7"/>
      <c r="S378" s="7"/>
      <c r="T378" s="7"/>
    </row>
    <row r="379">
      <c r="B379" s="7"/>
      <c r="C379" s="54"/>
      <c r="D379" s="7"/>
      <c r="E379" s="7"/>
      <c r="F379" s="7"/>
      <c r="G379" s="7"/>
      <c r="H379" s="7"/>
      <c r="I379" s="7"/>
      <c r="J379" s="54"/>
      <c r="K379" s="54"/>
      <c r="L379" s="7"/>
      <c r="M379" s="7"/>
      <c r="N379" s="7"/>
      <c r="O379" s="7"/>
      <c r="P379" s="7"/>
      <c r="Q379" s="7"/>
      <c r="R379" s="7"/>
      <c r="S379" s="7"/>
      <c r="T379" s="7"/>
    </row>
    <row r="380">
      <c r="B380" s="7"/>
      <c r="C380" s="54"/>
      <c r="D380" s="7"/>
      <c r="E380" s="7"/>
      <c r="F380" s="7"/>
      <c r="G380" s="7"/>
      <c r="H380" s="7"/>
      <c r="I380" s="7"/>
      <c r="J380" s="54"/>
      <c r="K380" s="54"/>
      <c r="L380" s="7"/>
      <c r="M380" s="7"/>
      <c r="N380" s="7"/>
      <c r="O380" s="7"/>
      <c r="P380" s="7"/>
      <c r="Q380" s="7"/>
      <c r="R380" s="7"/>
      <c r="S380" s="7"/>
      <c r="T380" s="7"/>
    </row>
    <row r="381">
      <c r="B381" s="7"/>
      <c r="C381" s="54"/>
      <c r="D381" s="7"/>
      <c r="E381" s="7"/>
      <c r="F381" s="7"/>
      <c r="G381" s="7"/>
      <c r="H381" s="7"/>
      <c r="I381" s="7"/>
      <c r="J381" s="54"/>
      <c r="K381" s="54"/>
      <c r="L381" s="7"/>
      <c r="M381" s="7"/>
      <c r="N381" s="7"/>
      <c r="O381" s="7"/>
      <c r="P381" s="7"/>
      <c r="Q381" s="7"/>
      <c r="R381" s="7"/>
      <c r="S381" s="7"/>
      <c r="T381" s="7"/>
    </row>
    <row r="382">
      <c r="B382" s="7"/>
      <c r="C382" s="54"/>
      <c r="D382" s="7"/>
      <c r="E382" s="7"/>
      <c r="F382" s="7"/>
      <c r="G382" s="7"/>
      <c r="H382" s="7"/>
      <c r="I382" s="7"/>
      <c r="J382" s="54"/>
      <c r="K382" s="54"/>
      <c r="L382" s="7"/>
      <c r="M382" s="7"/>
      <c r="N382" s="7"/>
      <c r="O382" s="7"/>
      <c r="P382" s="7"/>
      <c r="Q382" s="7"/>
      <c r="R382" s="7"/>
      <c r="S382" s="7"/>
      <c r="T382" s="7"/>
    </row>
    <row r="383">
      <c r="B383" s="7"/>
      <c r="C383" s="54"/>
      <c r="D383" s="7"/>
      <c r="E383" s="7"/>
      <c r="F383" s="7"/>
      <c r="G383" s="7"/>
      <c r="H383" s="7"/>
      <c r="I383" s="7"/>
      <c r="J383" s="54"/>
      <c r="K383" s="54"/>
      <c r="L383" s="7"/>
      <c r="M383" s="7"/>
      <c r="N383" s="7"/>
      <c r="O383" s="7"/>
      <c r="P383" s="7"/>
      <c r="Q383" s="7"/>
      <c r="R383" s="7"/>
      <c r="S383" s="7"/>
      <c r="T383" s="7"/>
    </row>
    <row r="384">
      <c r="B384" s="7"/>
      <c r="C384" s="54"/>
      <c r="D384" s="7"/>
      <c r="E384" s="7"/>
      <c r="F384" s="7"/>
      <c r="G384" s="7"/>
      <c r="H384" s="7"/>
      <c r="I384" s="7"/>
      <c r="J384" s="54"/>
      <c r="K384" s="54"/>
      <c r="L384" s="7"/>
      <c r="M384" s="7"/>
      <c r="N384" s="7"/>
      <c r="O384" s="7"/>
      <c r="P384" s="7"/>
      <c r="Q384" s="7"/>
      <c r="R384" s="7"/>
      <c r="S384" s="7"/>
      <c r="T384" s="7"/>
    </row>
    <row r="385">
      <c r="B385" s="7"/>
      <c r="C385" s="54"/>
      <c r="D385" s="7"/>
      <c r="E385" s="7"/>
      <c r="F385" s="7"/>
      <c r="G385" s="7"/>
      <c r="H385" s="7"/>
      <c r="I385" s="7"/>
      <c r="J385" s="54"/>
      <c r="K385" s="54"/>
      <c r="L385" s="7"/>
      <c r="M385" s="7"/>
      <c r="N385" s="7"/>
      <c r="O385" s="7"/>
      <c r="P385" s="7"/>
      <c r="Q385" s="7"/>
      <c r="R385" s="7"/>
      <c r="S385" s="7"/>
      <c r="T385" s="7"/>
    </row>
    <row r="386">
      <c r="B386" s="7"/>
      <c r="C386" s="54"/>
      <c r="D386" s="7"/>
      <c r="E386" s="7"/>
      <c r="F386" s="7"/>
      <c r="G386" s="7"/>
      <c r="H386" s="7"/>
      <c r="I386" s="7"/>
      <c r="J386" s="54"/>
      <c r="K386" s="54"/>
      <c r="L386" s="7"/>
      <c r="M386" s="7"/>
      <c r="N386" s="7"/>
      <c r="O386" s="7"/>
      <c r="P386" s="7"/>
      <c r="Q386" s="7"/>
      <c r="R386" s="7"/>
      <c r="S386" s="7"/>
      <c r="T386" s="7"/>
    </row>
    <row r="387">
      <c r="B387" s="7"/>
      <c r="C387" s="54"/>
      <c r="D387" s="7"/>
      <c r="E387" s="7"/>
      <c r="F387" s="7"/>
      <c r="G387" s="7"/>
      <c r="H387" s="7"/>
      <c r="I387" s="7"/>
      <c r="J387" s="54"/>
      <c r="K387" s="54"/>
      <c r="L387" s="7"/>
      <c r="M387" s="7"/>
      <c r="N387" s="7"/>
      <c r="O387" s="7"/>
      <c r="P387" s="7"/>
      <c r="Q387" s="7"/>
      <c r="R387" s="7"/>
      <c r="S387" s="7"/>
      <c r="T387" s="7"/>
    </row>
    <row r="388">
      <c r="B388" s="7"/>
      <c r="C388" s="54"/>
      <c r="D388" s="7"/>
      <c r="E388" s="7"/>
      <c r="F388" s="7"/>
      <c r="G388" s="7"/>
      <c r="H388" s="7"/>
      <c r="I388" s="7"/>
      <c r="J388" s="54"/>
      <c r="K388" s="54"/>
      <c r="L388" s="7"/>
      <c r="M388" s="7"/>
      <c r="N388" s="7"/>
      <c r="O388" s="7"/>
      <c r="P388" s="7"/>
      <c r="Q388" s="7"/>
      <c r="R388" s="7"/>
      <c r="S388" s="7"/>
      <c r="T388" s="7"/>
    </row>
    <row r="389">
      <c r="B389" s="7"/>
      <c r="C389" s="54"/>
      <c r="D389" s="7"/>
      <c r="E389" s="7"/>
      <c r="F389" s="7"/>
      <c r="G389" s="7"/>
      <c r="H389" s="7"/>
      <c r="I389" s="7"/>
      <c r="J389" s="54"/>
      <c r="K389" s="54"/>
      <c r="L389" s="7"/>
      <c r="M389" s="7"/>
      <c r="N389" s="7"/>
      <c r="O389" s="7"/>
      <c r="P389" s="7"/>
      <c r="Q389" s="7"/>
      <c r="R389" s="7"/>
      <c r="S389" s="7"/>
      <c r="T389" s="7"/>
    </row>
    <row r="390">
      <c r="B390" s="7"/>
      <c r="C390" s="54"/>
      <c r="D390" s="7"/>
      <c r="E390" s="7"/>
      <c r="F390" s="7"/>
      <c r="G390" s="7"/>
      <c r="H390" s="7"/>
      <c r="I390" s="7"/>
      <c r="J390" s="54"/>
      <c r="K390" s="54"/>
      <c r="L390" s="7"/>
      <c r="M390" s="7"/>
      <c r="N390" s="7"/>
      <c r="O390" s="7"/>
      <c r="P390" s="7"/>
      <c r="Q390" s="7"/>
      <c r="R390" s="7"/>
      <c r="S390" s="7"/>
      <c r="T390" s="7"/>
    </row>
    <row r="391">
      <c r="B391" s="7"/>
      <c r="C391" s="54"/>
      <c r="D391" s="7"/>
      <c r="E391" s="7"/>
      <c r="F391" s="7"/>
      <c r="G391" s="7"/>
      <c r="H391" s="7"/>
      <c r="I391" s="7"/>
      <c r="J391" s="54"/>
      <c r="K391" s="54"/>
      <c r="L391" s="7"/>
      <c r="M391" s="7"/>
      <c r="N391" s="7"/>
      <c r="O391" s="7"/>
      <c r="P391" s="7"/>
      <c r="Q391" s="7"/>
      <c r="R391" s="7"/>
      <c r="S391" s="7"/>
      <c r="T391" s="7"/>
    </row>
    <row r="392">
      <c r="B392" s="7"/>
      <c r="C392" s="54"/>
      <c r="D392" s="7"/>
      <c r="E392" s="7"/>
      <c r="F392" s="7"/>
      <c r="G392" s="7"/>
      <c r="H392" s="7"/>
      <c r="I392" s="7"/>
      <c r="J392" s="54"/>
      <c r="K392" s="54"/>
      <c r="L392" s="7"/>
      <c r="M392" s="7"/>
      <c r="N392" s="7"/>
      <c r="O392" s="7"/>
      <c r="P392" s="7"/>
      <c r="Q392" s="7"/>
      <c r="R392" s="7"/>
      <c r="S392" s="7"/>
      <c r="T392" s="7"/>
    </row>
    <row r="393">
      <c r="B393" s="7"/>
      <c r="C393" s="54"/>
      <c r="D393" s="7"/>
      <c r="E393" s="7"/>
      <c r="F393" s="7"/>
      <c r="G393" s="7"/>
      <c r="H393" s="7"/>
      <c r="I393" s="7"/>
      <c r="J393" s="54"/>
      <c r="K393" s="54"/>
      <c r="L393" s="7"/>
      <c r="M393" s="7"/>
      <c r="N393" s="7"/>
      <c r="O393" s="7"/>
      <c r="P393" s="7"/>
      <c r="Q393" s="7"/>
      <c r="R393" s="7"/>
      <c r="S393" s="7"/>
      <c r="T393" s="7"/>
    </row>
    <row r="394">
      <c r="B394" s="7"/>
      <c r="C394" s="54"/>
      <c r="D394" s="7"/>
      <c r="E394" s="7"/>
      <c r="F394" s="7"/>
      <c r="G394" s="7"/>
      <c r="H394" s="7"/>
      <c r="I394" s="7"/>
      <c r="J394" s="54"/>
      <c r="K394" s="54"/>
      <c r="L394" s="7"/>
      <c r="M394" s="7"/>
      <c r="N394" s="7"/>
      <c r="O394" s="7"/>
      <c r="P394" s="7"/>
      <c r="Q394" s="7"/>
      <c r="R394" s="7"/>
      <c r="S394" s="7"/>
      <c r="T394" s="7"/>
    </row>
    <row r="395">
      <c r="B395" s="7"/>
      <c r="C395" s="54"/>
      <c r="D395" s="7"/>
      <c r="E395" s="7"/>
      <c r="F395" s="7"/>
      <c r="G395" s="7"/>
      <c r="H395" s="7"/>
      <c r="I395" s="7"/>
      <c r="J395" s="54"/>
      <c r="K395" s="54"/>
      <c r="L395" s="7"/>
      <c r="M395" s="7"/>
      <c r="N395" s="7"/>
      <c r="O395" s="7"/>
      <c r="P395" s="7"/>
      <c r="Q395" s="7"/>
      <c r="R395" s="7"/>
      <c r="S395" s="7"/>
      <c r="T395" s="7"/>
    </row>
    <row r="396">
      <c r="B396" s="7"/>
      <c r="C396" s="54"/>
      <c r="D396" s="7"/>
      <c r="E396" s="7"/>
      <c r="F396" s="7"/>
      <c r="G396" s="7"/>
      <c r="H396" s="7"/>
      <c r="I396" s="7"/>
      <c r="J396" s="54"/>
      <c r="K396" s="54"/>
      <c r="L396" s="7"/>
      <c r="M396" s="7"/>
      <c r="N396" s="7"/>
      <c r="O396" s="7"/>
      <c r="P396" s="7"/>
      <c r="Q396" s="7"/>
      <c r="R396" s="7"/>
      <c r="S396" s="7"/>
      <c r="T396" s="7"/>
    </row>
    <row r="397">
      <c r="B397" s="7"/>
      <c r="C397" s="54"/>
      <c r="D397" s="7"/>
      <c r="E397" s="7"/>
      <c r="F397" s="7"/>
      <c r="G397" s="7"/>
      <c r="H397" s="7"/>
      <c r="I397" s="7"/>
      <c r="J397" s="54"/>
      <c r="K397" s="54"/>
      <c r="L397" s="7"/>
      <c r="M397" s="7"/>
      <c r="N397" s="7"/>
      <c r="O397" s="7"/>
      <c r="P397" s="7"/>
      <c r="Q397" s="7"/>
      <c r="R397" s="7"/>
      <c r="S397" s="7"/>
      <c r="T397" s="7"/>
    </row>
    <row r="398">
      <c r="B398" s="7"/>
      <c r="C398" s="54"/>
      <c r="D398" s="7"/>
      <c r="E398" s="7"/>
      <c r="F398" s="7"/>
      <c r="G398" s="7"/>
      <c r="H398" s="7"/>
      <c r="I398" s="7"/>
      <c r="J398" s="54"/>
      <c r="K398" s="54"/>
      <c r="L398" s="7"/>
      <c r="M398" s="7"/>
      <c r="N398" s="7"/>
      <c r="O398" s="7"/>
      <c r="P398" s="7"/>
      <c r="Q398" s="7"/>
      <c r="R398" s="7"/>
      <c r="S398" s="7"/>
      <c r="T398" s="7"/>
    </row>
    <row r="399">
      <c r="B399" s="7"/>
      <c r="C399" s="54"/>
      <c r="D399" s="7"/>
      <c r="E399" s="7"/>
      <c r="F399" s="7"/>
      <c r="G399" s="7"/>
      <c r="H399" s="7"/>
      <c r="I399" s="7"/>
      <c r="J399" s="54"/>
      <c r="K399" s="54"/>
      <c r="L399" s="7"/>
      <c r="M399" s="7"/>
      <c r="N399" s="7"/>
      <c r="O399" s="7"/>
      <c r="P399" s="7"/>
      <c r="Q399" s="7"/>
      <c r="R399" s="7"/>
      <c r="S399" s="7"/>
      <c r="T399" s="7"/>
    </row>
    <row r="400">
      <c r="B400" s="7"/>
      <c r="C400" s="54"/>
      <c r="D400" s="7"/>
      <c r="E400" s="7"/>
      <c r="F400" s="7"/>
      <c r="G400" s="7"/>
      <c r="H400" s="7"/>
      <c r="I400" s="7"/>
      <c r="J400" s="54"/>
      <c r="K400" s="54"/>
      <c r="L400" s="7"/>
      <c r="M400" s="7"/>
      <c r="N400" s="7"/>
      <c r="O400" s="7"/>
      <c r="P400" s="7"/>
      <c r="Q400" s="7"/>
      <c r="R400" s="7"/>
      <c r="S400" s="7"/>
      <c r="T400" s="7"/>
    </row>
    <row r="401">
      <c r="B401" s="7"/>
      <c r="C401" s="54"/>
      <c r="D401" s="7"/>
      <c r="E401" s="7"/>
      <c r="F401" s="7"/>
      <c r="G401" s="7"/>
      <c r="H401" s="7"/>
      <c r="I401" s="7"/>
      <c r="J401" s="54"/>
      <c r="K401" s="54"/>
      <c r="L401" s="7"/>
      <c r="M401" s="7"/>
      <c r="N401" s="7"/>
      <c r="O401" s="7"/>
      <c r="P401" s="7"/>
      <c r="Q401" s="7"/>
      <c r="R401" s="7"/>
      <c r="S401" s="7"/>
      <c r="T401" s="7"/>
    </row>
    <row r="402">
      <c r="B402" s="7"/>
      <c r="C402" s="54"/>
      <c r="D402" s="7"/>
      <c r="E402" s="7"/>
      <c r="F402" s="7"/>
      <c r="G402" s="7"/>
      <c r="H402" s="7"/>
      <c r="I402" s="7"/>
      <c r="J402" s="54"/>
      <c r="K402" s="54"/>
      <c r="L402" s="7"/>
      <c r="M402" s="7"/>
      <c r="N402" s="7"/>
      <c r="O402" s="7"/>
      <c r="P402" s="7"/>
      <c r="Q402" s="7"/>
      <c r="R402" s="7"/>
      <c r="S402" s="7"/>
      <c r="T402" s="7"/>
    </row>
    <row r="403">
      <c r="B403" s="7"/>
      <c r="C403" s="54"/>
      <c r="D403" s="7"/>
      <c r="E403" s="7"/>
      <c r="F403" s="7"/>
      <c r="G403" s="7"/>
      <c r="H403" s="7"/>
      <c r="I403" s="7"/>
      <c r="J403" s="54"/>
      <c r="K403" s="54"/>
      <c r="L403" s="7"/>
      <c r="M403" s="7"/>
      <c r="N403" s="7"/>
      <c r="O403" s="7"/>
      <c r="P403" s="7"/>
      <c r="Q403" s="7"/>
      <c r="R403" s="7"/>
      <c r="S403" s="7"/>
      <c r="T403" s="7"/>
    </row>
    <row r="404">
      <c r="B404" s="7"/>
      <c r="C404" s="54"/>
      <c r="D404" s="7"/>
      <c r="E404" s="7"/>
      <c r="F404" s="7"/>
      <c r="G404" s="7"/>
      <c r="H404" s="7"/>
      <c r="I404" s="7"/>
      <c r="J404" s="54"/>
      <c r="K404" s="54"/>
      <c r="L404" s="7"/>
      <c r="M404" s="7"/>
      <c r="N404" s="7"/>
      <c r="O404" s="7"/>
      <c r="P404" s="7"/>
      <c r="Q404" s="7"/>
      <c r="R404" s="7"/>
      <c r="S404" s="7"/>
      <c r="T404" s="7"/>
    </row>
    <row r="405">
      <c r="B405" s="7"/>
      <c r="C405" s="54"/>
      <c r="D405" s="7"/>
      <c r="E405" s="7"/>
      <c r="F405" s="7"/>
      <c r="G405" s="7"/>
      <c r="H405" s="7"/>
      <c r="I405" s="7"/>
      <c r="J405" s="54"/>
      <c r="K405" s="54"/>
      <c r="L405" s="7"/>
      <c r="M405" s="7"/>
      <c r="N405" s="7"/>
      <c r="O405" s="7"/>
      <c r="P405" s="7"/>
      <c r="Q405" s="7"/>
      <c r="R405" s="7"/>
      <c r="S405" s="7"/>
      <c r="T405" s="7"/>
    </row>
    <row r="406">
      <c r="B406" s="7"/>
      <c r="C406" s="54"/>
      <c r="D406" s="7"/>
      <c r="E406" s="7"/>
      <c r="F406" s="7"/>
      <c r="G406" s="7"/>
      <c r="H406" s="7"/>
      <c r="I406" s="7"/>
      <c r="J406" s="54"/>
      <c r="K406" s="54"/>
      <c r="L406" s="7"/>
      <c r="M406" s="7"/>
      <c r="N406" s="7"/>
      <c r="O406" s="7"/>
      <c r="P406" s="7"/>
      <c r="Q406" s="7"/>
      <c r="R406" s="7"/>
      <c r="S406" s="7"/>
      <c r="T406" s="7"/>
    </row>
    <row r="407">
      <c r="B407" s="7"/>
      <c r="C407" s="54"/>
      <c r="D407" s="7"/>
      <c r="E407" s="7"/>
      <c r="F407" s="7"/>
      <c r="G407" s="7"/>
      <c r="H407" s="7"/>
      <c r="I407" s="7"/>
      <c r="J407" s="54"/>
      <c r="K407" s="54"/>
      <c r="L407" s="7"/>
      <c r="M407" s="7"/>
      <c r="N407" s="7"/>
      <c r="O407" s="7"/>
      <c r="P407" s="7"/>
      <c r="Q407" s="7"/>
      <c r="R407" s="7"/>
      <c r="S407" s="7"/>
      <c r="T407" s="7"/>
    </row>
    <row r="408">
      <c r="B408" s="7"/>
      <c r="C408" s="54"/>
      <c r="D408" s="7"/>
      <c r="E408" s="7"/>
      <c r="F408" s="7"/>
      <c r="G408" s="7"/>
      <c r="H408" s="7"/>
      <c r="I408" s="7"/>
      <c r="J408" s="54"/>
      <c r="K408" s="54"/>
      <c r="L408" s="7"/>
      <c r="M408" s="7"/>
      <c r="N408" s="7"/>
      <c r="O408" s="7"/>
      <c r="P408" s="7"/>
      <c r="Q408" s="7"/>
      <c r="R408" s="7"/>
      <c r="S408" s="7"/>
      <c r="T408" s="7"/>
    </row>
    <row r="409">
      <c r="B409" s="7"/>
      <c r="C409" s="54"/>
      <c r="D409" s="7"/>
      <c r="E409" s="7"/>
      <c r="F409" s="7"/>
      <c r="G409" s="7"/>
      <c r="H409" s="7"/>
      <c r="I409" s="7"/>
      <c r="J409" s="54"/>
      <c r="K409" s="54"/>
      <c r="L409" s="7"/>
      <c r="M409" s="7"/>
      <c r="N409" s="7"/>
      <c r="O409" s="7"/>
      <c r="P409" s="7"/>
      <c r="Q409" s="7"/>
      <c r="R409" s="7"/>
      <c r="S409" s="7"/>
      <c r="T409" s="7"/>
    </row>
    <row r="410">
      <c r="B410" s="7"/>
      <c r="C410" s="54"/>
      <c r="D410" s="7"/>
      <c r="E410" s="7"/>
      <c r="F410" s="7"/>
      <c r="G410" s="7"/>
      <c r="H410" s="7"/>
      <c r="I410" s="7"/>
      <c r="J410" s="54"/>
      <c r="K410" s="54"/>
      <c r="L410" s="7"/>
      <c r="M410" s="7"/>
      <c r="N410" s="7"/>
      <c r="O410" s="7"/>
      <c r="P410" s="7"/>
      <c r="Q410" s="7"/>
      <c r="R410" s="7"/>
      <c r="S410" s="7"/>
      <c r="T410" s="7"/>
    </row>
    <row r="411">
      <c r="B411" s="7"/>
      <c r="C411" s="54"/>
      <c r="D411" s="7"/>
      <c r="E411" s="7"/>
      <c r="F411" s="7"/>
      <c r="G411" s="7"/>
      <c r="H411" s="7"/>
      <c r="I411" s="7"/>
      <c r="J411" s="54"/>
      <c r="K411" s="54"/>
      <c r="L411" s="7"/>
      <c r="M411" s="7"/>
      <c r="N411" s="7"/>
      <c r="O411" s="7"/>
      <c r="P411" s="7"/>
      <c r="Q411" s="7"/>
      <c r="R411" s="7"/>
      <c r="S411" s="7"/>
      <c r="T411" s="7"/>
    </row>
    <row r="412">
      <c r="B412" s="7"/>
      <c r="C412" s="54"/>
      <c r="D412" s="7"/>
      <c r="E412" s="7"/>
      <c r="F412" s="7"/>
      <c r="G412" s="7"/>
      <c r="H412" s="7"/>
      <c r="I412" s="7"/>
      <c r="J412" s="54"/>
      <c r="K412" s="54"/>
      <c r="L412" s="7"/>
      <c r="M412" s="7"/>
      <c r="N412" s="7"/>
      <c r="O412" s="7"/>
      <c r="P412" s="7"/>
      <c r="Q412" s="7"/>
      <c r="R412" s="7"/>
      <c r="S412" s="7"/>
      <c r="T412" s="7"/>
    </row>
    <row r="413">
      <c r="B413" s="7"/>
      <c r="C413" s="54"/>
      <c r="D413" s="7"/>
      <c r="E413" s="7"/>
      <c r="F413" s="7"/>
      <c r="G413" s="7"/>
      <c r="H413" s="7"/>
      <c r="I413" s="7"/>
      <c r="J413" s="54"/>
      <c r="K413" s="54"/>
      <c r="L413" s="7"/>
      <c r="M413" s="7"/>
      <c r="N413" s="7"/>
      <c r="O413" s="7"/>
      <c r="P413" s="7"/>
      <c r="Q413" s="7"/>
      <c r="R413" s="7"/>
      <c r="S413" s="7"/>
      <c r="T413" s="7"/>
    </row>
    <row r="414">
      <c r="B414" s="7"/>
      <c r="C414" s="54"/>
      <c r="D414" s="7"/>
      <c r="E414" s="7"/>
      <c r="F414" s="7"/>
      <c r="G414" s="7"/>
      <c r="H414" s="7"/>
      <c r="I414" s="7"/>
      <c r="J414" s="54"/>
      <c r="K414" s="54"/>
      <c r="L414" s="7"/>
      <c r="M414" s="7"/>
      <c r="N414" s="7"/>
      <c r="O414" s="7"/>
      <c r="P414" s="7"/>
      <c r="Q414" s="7"/>
      <c r="R414" s="7"/>
      <c r="S414" s="7"/>
      <c r="T414" s="7"/>
    </row>
    <row r="415">
      <c r="B415" s="7"/>
      <c r="C415" s="54"/>
      <c r="D415" s="7"/>
      <c r="E415" s="7"/>
      <c r="F415" s="7"/>
      <c r="G415" s="7"/>
      <c r="H415" s="7"/>
      <c r="I415" s="7"/>
      <c r="J415" s="54"/>
      <c r="K415" s="54"/>
      <c r="L415" s="7"/>
      <c r="M415" s="7"/>
      <c r="N415" s="7"/>
      <c r="O415" s="7"/>
      <c r="P415" s="7"/>
      <c r="Q415" s="7"/>
      <c r="R415" s="7"/>
      <c r="S415" s="7"/>
      <c r="T415" s="7"/>
    </row>
    <row r="416">
      <c r="B416" s="7"/>
      <c r="C416" s="54"/>
      <c r="D416" s="7"/>
      <c r="E416" s="7"/>
      <c r="F416" s="7"/>
      <c r="G416" s="7"/>
      <c r="H416" s="7"/>
      <c r="I416" s="7"/>
      <c r="J416" s="54"/>
      <c r="K416" s="54"/>
      <c r="L416" s="7"/>
      <c r="M416" s="7"/>
      <c r="N416" s="7"/>
      <c r="O416" s="7"/>
      <c r="P416" s="7"/>
      <c r="Q416" s="7"/>
      <c r="R416" s="7"/>
      <c r="S416" s="7"/>
      <c r="T416" s="7"/>
    </row>
    <row r="417">
      <c r="B417" s="7"/>
      <c r="C417" s="54"/>
      <c r="D417" s="7"/>
      <c r="E417" s="7"/>
      <c r="F417" s="7"/>
      <c r="G417" s="7"/>
      <c r="H417" s="7"/>
      <c r="I417" s="7"/>
      <c r="J417" s="54"/>
      <c r="K417" s="54"/>
      <c r="L417" s="7"/>
      <c r="M417" s="7"/>
      <c r="N417" s="7"/>
      <c r="O417" s="7"/>
      <c r="P417" s="7"/>
      <c r="Q417" s="7"/>
      <c r="R417" s="7"/>
      <c r="S417" s="7"/>
      <c r="T417" s="7"/>
    </row>
    <row r="418">
      <c r="B418" s="7"/>
      <c r="C418" s="54"/>
      <c r="D418" s="7"/>
      <c r="E418" s="7"/>
      <c r="F418" s="7"/>
      <c r="G418" s="7"/>
      <c r="H418" s="7"/>
      <c r="I418" s="7"/>
      <c r="J418" s="54"/>
      <c r="K418" s="54"/>
      <c r="L418" s="7"/>
      <c r="M418" s="7"/>
      <c r="N418" s="7"/>
      <c r="O418" s="7"/>
      <c r="P418" s="7"/>
      <c r="Q418" s="7"/>
      <c r="R418" s="7"/>
      <c r="S418" s="7"/>
      <c r="T418" s="7"/>
    </row>
    <row r="419">
      <c r="B419" s="7"/>
      <c r="C419" s="54"/>
      <c r="D419" s="7"/>
      <c r="E419" s="7"/>
      <c r="F419" s="7"/>
      <c r="G419" s="7"/>
      <c r="H419" s="7"/>
      <c r="I419" s="7"/>
      <c r="J419" s="54"/>
      <c r="K419" s="54"/>
      <c r="L419" s="7"/>
      <c r="M419" s="7"/>
      <c r="N419" s="7"/>
      <c r="O419" s="7"/>
      <c r="P419" s="7"/>
      <c r="Q419" s="7"/>
      <c r="R419" s="7"/>
      <c r="S419" s="7"/>
      <c r="T419" s="7"/>
    </row>
    <row r="420">
      <c r="B420" s="7"/>
      <c r="C420" s="54"/>
      <c r="D420" s="7"/>
      <c r="E420" s="7"/>
      <c r="F420" s="7"/>
      <c r="G420" s="7"/>
      <c r="H420" s="7"/>
      <c r="I420" s="7"/>
      <c r="J420" s="54"/>
      <c r="K420" s="54"/>
      <c r="L420" s="7"/>
      <c r="M420" s="7"/>
      <c r="N420" s="7"/>
      <c r="O420" s="7"/>
      <c r="P420" s="7"/>
      <c r="Q420" s="7"/>
      <c r="R420" s="7"/>
      <c r="S420" s="7"/>
      <c r="T420" s="7"/>
    </row>
    <row r="421">
      <c r="B421" s="7"/>
      <c r="C421" s="54"/>
      <c r="D421" s="7"/>
      <c r="E421" s="7"/>
      <c r="F421" s="7"/>
      <c r="G421" s="7"/>
      <c r="H421" s="7"/>
      <c r="I421" s="7"/>
      <c r="J421" s="54"/>
      <c r="K421" s="54"/>
      <c r="L421" s="7"/>
      <c r="M421" s="7"/>
      <c r="N421" s="7"/>
      <c r="O421" s="7"/>
      <c r="P421" s="7"/>
      <c r="Q421" s="7"/>
      <c r="R421" s="7"/>
      <c r="S421" s="7"/>
      <c r="T421" s="7"/>
    </row>
    <row r="422">
      <c r="B422" s="7"/>
      <c r="C422" s="54"/>
      <c r="D422" s="7"/>
      <c r="E422" s="7"/>
      <c r="F422" s="7"/>
      <c r="G422" s="7"/>
      <c r="H422" s="7"/>
      <c r="I422" s="7"/>
      <c r="J422" s="54"/>
      <c r="K422" s="54"/>
      <c r="L422" s="7"/>
      <c r="M422" s="7"/>
      <c r="N422" s="7"/>
      <c r="O422" s="7"/>
      <c r="P422" s="7"/>
      <c r="Q422" s="7"/>
      <c r="R422" s="7"/>
      <c r="S422" s="7"/>
      <c r="T422" s="7"/>
    </row>
    <row r="423">
      <c r="B423" s="7"/>
      <c r="C423" s="54"/>
      <c r="D423" s="7"/>
      <c r="E423" s="7"/>
      <c r="F423" s="7"/>
      <c r="G423" s="7"/>
      <c r="H423" s="7"/>
      <c r="I423" s="7"/>
      <c r="J423" s="54"/>
      <c r="K423" s="54"/>
      <c r="L423" s="7"/>
      <c r="M423" s="7"/>
      <c r="N423" s="7"/>
      <c r="O423" s="7"/>
      <c r="P423" s="7"/>
      <c r="Q423" s="7"/>
      <c r="R423" s="7"/>
      <c r="S423" s="7"/>
      <c r="T423" s="7"/>
    </row>
    <row r="424">
      <c r="B424" s="7"/>
      <c r="C424" s="54"/>
      <c r="D424" s="7"/>
      <c r="E424" s="7"/>
      <c r="F424" s="7"/>
      <c r="G424" s="7"/>
      <c r="H424" s="7"/>
      <c r="I424" s="7"/>
      <c r="J424" s="54"/>
      <c r="K424" s="54"/>
      <c r="L424" s="7"/>
      <c r="M424" s="7"/>
      <c r="N424" s="7"/>
      <c r="O424" s="7"/>
      <c r="P424" s="7"/>
      <c r="Q424" s="7"/>
      <c r="R424" s="7"/>
      <c r="S424" s="7"/>
      <c r="T424" s="7"/>
    </row>
    <row r="425">
      <c r="B425" s="7"/>
      <c r="C425" s="54"/>
      <c r="D425" s="7"/>
      <c r="E425" s="7"/>
      <c r="F425" s="7"/>
      <c r="G425" s="7"/>
      <c r="H425" s="7"/>
      <c r="I425" s="7"/>
      <c r="J425" s="54"/>
      <c r="K425" s="54"/>
      <c r="L425" s="7"/>
      <c r="M425" s="7"/>
      <c r="N425" s="7"/>
      <c r="O425" s="7"/>
      <c r="P425" s="7"/>
      <c r="Q425" s="7"/>
      <c r="R425" s="7"/>
      <c r="S425" s="7"/>
      <c r="T425" s="7"/>
    </row>
    <row r="426">
      <c r="B426" s="7"/>
      <c r="C426" s="54"/>
      <c r="D426" s="7"/>
      <c r="E426" s="7"/>
      <c r="F426" s="7"/>
      <c r="G426" s="7"/>
      <c r="H426" s="7"/>
      <c r="I426" s="7"/>
      <c r="J426" s="54"/>
      <c r="K426" s="54"/>
      <c r="L426" s="7"/>
      <c r="M426" s="7"/>
      <c r="N426" s="7"/>
      <c r="O426" s="7"/>
      <c r="P426" s="7"/>
      <c r="Q426" s="7"/>
      <c r="R426" s="7"/>
      <c r="S426" s="7"/>
      <c r="T426" s="7"/>
    </row>
    <row r="427">
      <c r="B427" s="7"/>
      <c r="C427" s="54"/>
      <c r="D427" s="7"/>
      <c r="E427" s="7"/>
      <c r="F427" s="7"/>
      <c r="G427" s="7"/>
      <c r="H427" s="7"/>
      <c r="I427" s="7"/>
      <c r="J427" s="54"/>
      <c r="K427" s="54"/>
      <c r="L427" s="7"/>
      <c r="M427" s="7"/>
      <c r="N427" s="7"/>
      <c r="O427" s="7"/>
      <c r="P427" s="7"/>
      <c r="Q427" s="7"/>
      <c r="R427" s="7"/>
      <c r="S427" s="7"/>
      <c r="T427" s="7"/>
    </row>
    <row r="428">
      <c r="B428" s="7"/>
      <c r="C428" s="54"/>
      <c r="D428" s="7"/>
      <c r="E428" s="7"/>
      <c r="F428" s="7"/>
      <c r="G428" s="7"/>
      <c r="H428" s="7"/>
      <c r="I428" s="7"/>
      <c r="J428" s="54"/>
      <c r="K428" s="54"/>
      <c r="L428" s="7"/>
      <c r="M428" s="7"/>
      <c r="N428" s="7"/>
      <c r="O428" s="7"/>
      <c r="P428" s="7"/>
      <c r="Q428" s="7"/>
      <c r="R428" s="7"/>
      <c r="S428" s="7"/>
      <c r="T428" s="7"/>
    </row>
    <row r="429">
      <c r="B429" s="7"/>
      <c r="C429" s="54"/>
      <c r="D429" s="7"/>
      <c r="E429" s="7"/>
      <c r="F429" s="7"/>
      <c r="G429" s="7"/>
      <c r="H429" s="7"/>
      <c r="I429" s="7"/>
      <c r="J429" s="54"/>
      <c r="K429" s="54"/>
      <c r="L429" s="7"/>
      <c r="M429" s="7"/>
      <c r="N429" s="7"/>
      <c r="O429" s="7"/>
      <c r="P429" s="7"/>
      <c r="Q429" s="7"/>
      <c r="R429" s="7"/>
      <c r="S429" s="7"/>
      <c r="T429" s="7"/>
    </row>
    <row r="430">
      <c r="B430" s="7"/>
      <c r="C430" s="54"/>
      <c r="D430" s="7"/>
      <c r="E430" s="7"/>
      <c r="F430" s="7"/>
      <c r="G430" s="7"/>
      <c r="H430" s="7"/>
      <c r="I430" s="7"/>
      <c r="J430" s="54"/>
      <c r="K430" s="54"/>
      <c r="L430" s="7"/>
      <c r="M430" s="7"/>
      <c r="N430" s="7"/>
      <c r="O430" s="7"/>
      <c r="P430" s="7"/>
      <c r="Q430" s="7"/>
      <c r="R430" s="7"/>
      <c r="S430" s="7"/>
      <c r="T430" s="7"/>
    </row>
    <row r="431">
      <c r="B431" s="7"/>
      <c r="C431" s="54"/>
      <c r="D431" s="7"/>
      <c r="E431" s="7"/>
      <c r="F431" s="7"/>
      <c r="G431" s="7"/>
      <c r="H431" s="7"/>
      <c r="I431" s="7"/>
      <c r="J431" s="54"/>
      <c r="K431" s="54"/>
      <c r="L431" s="7"/>
      <c r="M431" s="7"/>
      <c r="N431" s="7"/>
      <c r="O431" s="7"/>
      <c r="P431" s="7"/>
      <c r="Q431" s="7"/>
      <c r="R431" s="7"/>
      <c r="S431" s="7"/>
      <c r="T431" s="7"/>
    </row>
    <row r="432">
      <c r="B432" s="7"/>
      <c r="C432" s="54"/>
      <c r="D432" s="7"/>
      <c r="E432" s="7"/>
      <c r="F432" s="7"/>
      <c r="G432" s="7"/>
      <c r="H432" s="7"/>
      <c r="I432" s="7"/>
      <c r="J432" s="54"/>
      <c r="K432" s="54"/>
      <c r="L432" s="7"/>
      <c r="M432" s="7"/>
      <c r="N432" s="7"/>
      <c r="O432" s="7"/>
      <c r="P432" s="7"/>
      <c r="Q432" s="7"/>
      <c r="R432" s="7"/>
      <c r="S432" s="7"/>
      <c r="T432" s="7"/>
    </row>
    <row r="433">
      <c r="B433" s="7"/>
      <c r="C433" s="54"/>
      <c r="D433" s="7"/>
      <c r="E433" s="7"/>
      <c r="F433" s="7"/>
      <c r="G433" s="7"/>
      <c r="H433" s="7"/>
      <c r="I433" s="7"/>
      <c r="J433" s="54"/>
      <c r="K433" s="54"/>
      <c r="L433" s="7"/>
      <c r="M433" s="7"/>
      <c r="N433" s="7"/>
      <c r="O433" s="7"/>
      <c r="P433" s="7"/>
      <c r="Q433" s="7"/>
      <c r="R433" s="7"/>
      <c r="S433" s="7"/>
      <c r="T433" s="7"/>
    </row>
    <row r="434">
      <c r="B434" s="7"/>
      <c r="C434" s="54"/>
      <c r="D434" s="7"/>
      <c r="E434" s="7"/>
      <c r="F434" s="7"/>
      <c r="G434" s="7"/>
      <c r="H434" s="7"/>
      <c r="I434" s="7"/>
      <c r="J434" s="54"/>
      <c r="K434" s="54"/>
      <c r="L434" s="7"/>
      <c r="M434" s="7"/>
      <c r="N434" s="7"/>
      <c r="O434" s="7"/>
      <c r="P434" s="7"/>
      <c r="Q434" s="7"/>
      <c r="R434" s="7"/>
      <c r="S434" s="7"/>
      <c r="T434" s="7"/>
    </row>
    <row r="435">
      <c r="B435" s="7"/>
      <c r="C435" s="54"/>
      <c r="D435" s="7"/>
      <c r="E435" s="7"/>
      <c r="F435" s="7"/>
      <c r="G435" s="7"/>
      <c r="H435" s="7"/>
      <c r="I435" s="7"/>
      <c r="J435" s="54"/>
      <c r="K435" s="54"/>
      <c r="L435" s="7"/>
      <c r="M435" s="7"/>
      <c r="N435" s="7"/>
      <c r="O435" s="7"/>
      <c r="P435" s="7"/>
      <c r="Q435" s="7"/>
      <c r="R435" s="7"/>
      <c r="S435" s="7"/>
      <c r="T435" s="7"/>
    </row>
    <row r="436">
      <c r="B436" s="7"/>
      <c r="C436" s="54"/>
      <c r="D436" s="7"/>
      <c r="E436" s="7"/>
      <c r="F436" s="7"/>
      <c r="G436" s="7"/>
      <c r="H436" s="7"/>
      <c r="I436" s="7"/>
      <c r="J436" s="54"/>
      <c r="K436" s="54"/>
      <c r="L436" s="7"/>
      <c r="M436" s="7"/>
      <c r="N436" s="7"/>
      <c r="O436" s="7"/>
      <c r="P436" s="7"/>
      <c r="Q436" s="7"/>
      <c r="R436" s="7"/>
      <c r="S436" s="7"/>
      <c r="T436" s="7"/>
    </row>
    <row r="437">
      <c r="B437" s="7"/>
      <c r="C437" s="54"/>
      <c r="D437" s="7"/>
      <c r="E437" s="7"/>
      <c r="F437" s="7"/>
      <c r="G437" s="7"/>
      <c r="H437" s="7"/>
      <c r="I437" s="7"/>
      <c r="J437" s="54"/>
      <c r="K437" s="54"/>
      <c r="L437" s="7"/>
      <c r="M437" s="7"/>
      <c r="N437" s="7"/>
      <c r="O437" s="7"/>
      <c r="P437" s="7"/>
      <c r="Q437" s="7"/>
      <c r="R437" s="7"/>
      <c r="S437" s="7"/>
      <c r="T437" s="7"/>
    </row>
    <row r="438">
      <c r="B438" s="7"/>
      <c r="C438" s="54"/>
      <c r="D438" s="7"/>
      <c r="E438" s="7"/>
      <c r="F438" s="7"/>
      <c r="G438" s="7"/>
      <c r="H438" s="7"/>
      <c r="I438" s="7"/>
      <c r="J438" s="54"/>
      <c r="K438" s="54"/>
      <c r="L438" s="7"/>
      <c r="M438" s="7"/>
      <c r="N438" s="7"/>
      <c r="O438" s="7"/>
      <c r="P438" s="7"/>
      <c r="Q438" s="7"/>
      <c r="R438" s="7"/>
      <c r="S438" s="7"/>
      <c r="T438" s="7"/>
    </row>
    <row r="439">
      <c r="B439" s="7"/>
      <c r="C439" s="54"/>
      <c r="D439" s="7"/>
      <c r="E439" s="7"/>
      <c r="F439" s="7"/>
      <c r="G439" s="7"/>
      <c r="H439" s="7"/>
      <c r="I439" s="7"/>
      <c r="J439" s="54"/>
      <c r="K439" s="54"/>
      <c r="L439" s="7"/>
      <c r="M439" s="7"/>
      <c r="N439" s="7"/>
      <c r="O439" s="7"/>
      <c r="P439" s="7"/>
      <c r="Q439" s="7"/>
      <c r="R439" s="7"/>
      <c r="S439" s="7"/>
      <c r="T439" s="7"/>
    </row>
    <row r="440">
      <c r="B440" s="7"/>
      <c r="C440" s="54"/>
      <c r="D440" s="7"/>
      <c r="E440" s="7"/>
      <c r="F440" s="7"/>
      <c r="G440" s="7"/>
      <c r="H440" s="7"/>
      <c r="I440" s="7"/>
      <c r="J440" s="54"/>
      <c r="K440" s="54"/>
      <c r="L440" s="7"/>
      <c r="M440" s="7"/>
      <c r="N440" s="7"/>
      <c r="O440" s="7"/>
      <c r="P440" s="7"/>
      <c r="Q440" s="7"/>
      <c r="R440" s="7"/>
      <c r="S440" s="7"/>
      <c r="T440" s="7"/>
    </row>
    <row r="441">
      <c r="B441" s="7"/>
      <c r="C441" s="54"/>
      <c r="D441" s="7"/>
      <c r="E441" s="7"/>
      <c r="F441" s="7"/>
      <c r="G441" s="7"/>
      <c r="H441" s="7"/>
      <c r="I441" s="7"/>
      <c r="J441" s="54"/>
      <c r="K441" s="54"/>
      <c r="L441" s="7"/>
      <c r="M441" s="7"/>
      <c r="N441" s="7"/>
      <c r="O441" s="7"/>
      <c r="P441" s="7"/>
      <c r="Q441" s="7"/>
      <c r="R441" s="7"/>
      <c r="S441" s="7"/>
      <c r="T441" s="7"/>
    </row>
    <row r="442">
      <c r="B442" s="7"/>
      <c r="C442" s="54"/>
      <c r="D442" s="7"/>
      <c r="E442" s="7"/>
      <c r="F442" s="7"/>
      <c r="G442" s="7"/>
      <c r="H442" s="7"/>
      <c r="I442" s="7"/>
      <c r="J442" s="54"/>
      <c r="K442" s="54"/>
      <c r="L442" s="7"/>
      <c r="M442" s="7"/>
      <c r="N442" s="7"/>
      <c r="O442" s="7"/>
      <c r="P442" s="7"/>
      <c r="Q442" s="7"/>
      <c r="R442" s="7"/>
      <c r="S442" s="7"/>
      <c r="T442" s="7"/>
    </row>
    <row r="443">
      <c r="B443" s="7"/>
      <c r="C443" s="54"/>
      <c r="D443" s="7"/>
      <c r="E443" s="7"/>
      <c r="F443" s="7"/>
      <c r="G443" s="7"/>
      <c r="H443" s="7"/>
      <c r="I443" s="7"/>
      <c r="J443" s="54"/>
      <c r="K443" s="54"/>
      <c r="L443" s="7"/>
      <c r="M443" s="7"/>
      <c r="N443" s="7"/>
      <c r="O443" s="7"/>
      <c r="P443" s="7"/>
      <c r="Q443" s="7"/>
      <c r="R443" s="7"/>
      <c r="S443" s="7"/>
      <c r="T443" s="7"/>
    </row>
    <row r="444">
      <c r="B444" s="7"/>
      <c r="C444" s="54"/>
      <c r="D444" s="7"/>
      <c r="E444" s="7"/>
      <c r="F444" s="7"/>
      <c r="G444" s="7"/>
      <c r="H444" s="7"/>
      <c r="I444" s="7"/>
      <c r="J444" s="54"/>
      <c r="K444" s="54"/>
      <c r="L444" s="7"/>
      <c r="M444" s="7"/>
      <c r="N444" s="7"/>
      <c r="O444" s="7"/>
      <c r="P444" s="7"/>
      <c r="Q444" s="7"/>
      <c r="R444" s="7"/>
      <c r="S444" s="7"/>
      <c r="T444" s="7"/>
    </row>
    <row r="445">
      <c r="B445" s="7"/>
      <c r="C445" s="54"/>
      <c r="D445" s="7"/>
      <c r="E445" s="7"/>
      <c r="F445" s="7"/>
      <c r="G445" s="7"/>
      <c r="H445" s="7"/>
      <c r="I445" s="7"/>
      <c r="J445" s="54"/>
      <c r="K445" s="54"/>
      <c r="L445" s="7"/>
      <c r="M445" s="7"/>
      <c r="N445" s="7"/>
      <c r="O445" s="7"/>
      <c r="P445" s="7"/>
      <c r="Q445" s="7"/>
      <c r="R445" s="7"/>
      <c r="S445" s="7"/>
      <c r="T445" s="7"/>
    </row>
    <row r="446">
      <c r="B446" s="7"/>
      <c r="C446" s="54"/>
      <c r="D446" s="7"/>
      <c r="E446" s="7"/>
      <c r="F446" s="7"/>
      <c r="G446" s="7"/>
      <c r="H446" s="7"/>
      <c r="I446" s="7"/>
      <c r="J446" s="54"/>
      <c r="K446" s="54"/>
      <c r="L446" s="7"/>
      <c r="M446" s="7"/>
      <c r="N446" s="7"/>
      <c r="O446" s="7"/>
      <c r="P446" s="7"/>
      <c r="Q446" s="7"/>
      <c r="R446" s="7"/>
      <c r="S446" s="7"/>
      <c r="T446" s="7"/>
    </row>
    <row r="447">
      <c r="B447" s="7"/>
      <c r="C447" s="54"/>
      <c r="D447" s="7"/>
      <c r="E447" s="7"/>
      <c r="F447" s="7"/>
      <c r="G447" s="7"/>
      <c r="H447" s="7"/>
      <c r="I447" s="7"/>
      <c r="J447" s="54"/>
      <c r="K447" s="54"/>
      <c r="L447" s="7"/>
      <c r="M447" s="7"/>
      <c r="N447" s="7"/>
      <c r="O447" s="7"/>
      <c r="P447" s="7"/>
      <c r="Q447" s="7"/>
      <c r="R447" s="7"/>
      <c r="S447" s="7"/>
      <c r="T447" s="7"/>
    </row>
    <row r="448">
      <c r="B448" s="7"/>
      <c r="C448" s="54"/>
      <c r="D448" s="7"/>
      <c r="E448" s="7"/>
      <c r="F448" s="7"/>
      <c r="G448" s="7"/>
      <c r="H448" s="7"/>
      <c r="I448" s="7"/>
      <c r="J448" s="54"/>
      <c r="K448" s="54"/>
      <c r="L448" s="7"/>
      <c r="M448" s="7"/>
      <c r="N448" s="7"/>
      <c r="O448" s="7"/>
      <c r="P448" s="7"/>
      <c r="Q448" s="7"/>
      <c r="R448" s="7"/>
      <c r="S448" s="7"/>
      <c r="T448" s="7"/>
    </row>
    <row r="449">
      <c r="B449" s="7"/>
      <c r="C449" s="54"/>
      <c r="D449" s="7"/>
      <c r="E449" s="7"/>
      <c r="F449" s="7"/>
      <c r="G449" s="7"/>
      <c r="H449" s="7"/>
      <c r="I449" s="7"/>
      <c r="J449" s="54"/>
      <c r="K449" s="54"/>
      <c r="L449" s="7"/>
      <c r="M449" s="7"/>
      <c r="N449" s="7"/>
      <c r="O449" s="7"/>
      <c r="P449" s="7"/>
      <c r="Q449" s="7"/>
      <c r="R449" s="7"/>
      <c r="S449" s="7"/>
      <c r="T449" s="7"/>
    </row>
    <row r="450">
      <c r="B450" s="7"/>
      <c r="C450" s="54"/>
      <c r="D450" s="7"/>
      <c r="E450" s="7"/>
      <c r="F450" s="7"/>
      <c r="G450" s="7"/>
      <c r="H450" s="7"/>
      <c r="I450" s="7"/>
      <c r="J450" s="54"/>
      <c r="K450" s="54"/>
      <c r="L450" s="7"/>
      <c r="M450" s="7"/>
      <c r="N450" s="7"/>
      <c r="O450" s="7"/>
      <c r="P450" s="7"/>
      <c r="Q450" s="7"/>
      <c r="R450" s="7"/>
      <c r="S450" s="7"/>
      <c r="T450" s="7"/>
    </row>
    <row r="451">
      <c r="B451" s="7"/>
      <c r="C451" s="54"/>
      <c r="D451" s="7"/>
      <c r="E451" s="7"/>
      <c r="F451" s="7"/>
      <c r="G451" s="7"/>
      <c r="H451" s="7"/>
      <c r="I451" s="7"/>
      <c r="J451" s="54"/>
      <c r="K451" s="54"/>
      <c r="L451" s="7"/>
      <c r="M451" s="7"/>
      <c r="N451" s="7"/>
      <c r="O451" s="7"/>
      <c r="P451" s="7"/>
      <c r="Q451" s="7"/>
      <c r="R451" s="7"/>
      <c r="S451" s="7"/>
      <c r="T451" s="7"/>
    </row>
    <row r="452">
      <c r="B452" s="7"/>
      <c r="C452" s="54"/>
      <c r="D452" s="7"/>
      <c r="E452" s="7"/>
      <c r="F452" s="7"/>
      <c r="G452" s="7"/>
      <c r="H452" s="7"/>
      <c r="I452" s="7"/>
      <c r="J452" s="54"/>
      <c r="K452" s="54"/>
      <c r="L452" s="7"/>
      <c r="M452" s="7"/>
      <c r="N452" s="7"/>
      <c r="O452" s="7"/>
      <c r="P452" s="7"/>
      <c r="Q452" s="7"/>
      <c r="R452" s="7"/>
      <c r="S452" s="7"/>
      <c r="T452" s="7"/>
    </row>
    <row r="453">
      <c r="B453" s="7"/>
      <c r="C453" s="54"/>
      <c r="D453" s="7"/>
      <c r="E453" s="7"/>
      <c r="F453" s="7"/>
      <c r="G453" s="7"/>
      <c r="H453" s="7"/>
      <c r="I453" s="7"/>
      <c r="J453" s="54"/>
      <c r="K453" s="54"/>
      <c r="L453" s="7"/>
      <c r="M453" s="7"/>
      <c r="N453" s="7"/>
      <c r="O453" s="7"/>
      <c r="P453" s="7"/>
      <c r="Q453" s="7"/>
      <c r="R453" s="7"/>
      <c r="S453" s="7"/>
      <c r="T453" s="7"/>
    </row>
    <row r="454">
      <c r="B454" s="7"/>
      <c r="C454" s="54"/>
      <c r="D454" s="7"/>
      <c r="E454" s="7"/>
      <c r="F454" s="7"/>
      <c r="G454" s="7"/>
      <c r="H454" s="7"/>
      <c r="I454" s="7"/>
      <c r="J454" s="54"/>
      <c r="K454" s="54"/>
      <c r="L454" s="7"/>
      <c r="M454" s="7"/>
      <c r="N454" s="7"/>
      <c r="O454" s="7"/>
      <c r="P454" s="7"/>
      <c r="Q454" s="7"/>
      <c r="R454" s="7"/>
      <c r="S454" s="7"/>
      <c r="T454" s="7"/>
    </row>
    <row r="455">
      <c r="B455" s="7"/>
      <c r="C455" s="54"/>
      <c r="D455" s="7"/>
      <c r="E455" s="7"/>
      <c r="F455" s="7"/>
      <c r="G455" s="7"/>
      <c r="H455" s="7"/>
      <c r="I455" s="7"/>
      <c r="J455" s="54"/>
      <c r="K455" s="54"/>
      <c r="L455" s="7"/>
      <c r="M455" s="7"/>
      <c r="N455" s="7"/>
      <c r="O455" s="7"/>
      <c r="P455" s="7"/>
      <c r="Q455" s="7"/>
      <c r="R455" s="7"/>
      <c r="S455" s="7"/>
      <c r="T455" s="7"/>
    </row>
    <row r="456">
      <c r="B456" s="7"/>
      <c r="C456" s="54"/>
      <c r="D456" s="7"/>
      <c r="E456" s="7"/>
      <c r="F456" s="7"/>
      <c r="G456" s="7"/>
      <c r="H456" s="7"/>
      <c r="I456" s="7"/>
      <c r="J456" s="54"/>
      <c r="K456" s="54"/>
      <c r="L456" s="7"/>
      <c r="M456" s="7"/>
      <c r="N456" s="7"/>
      <c r="O456" s="7"/>
      <c r="P456" s="7"/>
      <c r="Q456" s="7"/>
      <c r="R456" s="7"/>
      <c r="S456" s="7"/>
      <c r="T456" s="7"/>
    </row>
    <row r="457">
      <c r="B457" s="7"/>
      <c r="C457" s="54"/>
      <c r="D457" s="7"/>
      <c r="E457" s="7"/>
      <c r="F457" s="7"/>
      <c r="G457" s="7"/>
      <c r="H457" s="7"/>
      <c r="I457" s="7"/>
      <c r="J457" s="54"/>
      <c r="K457" s="54"/>
      <c r="L457" s="7"/>
      <c r="M457" s="7"/>
      <c r="N457" s="7"/>
      <c r="O457" s="7"/>
      <c r="P457" s="7"/>
      <c r="Q457" s="7"/>
      <c r="R457" s="7"/>
      <c r="S457" s="7"/>
      <c r="T457" s="7"/>
    </row>
    <row r="458">
      <c r="B458" s="7"/>
      <c r="C458" s="54"/>
      <c r="D458" s="7"/>
      <c r="E458" s="7"/>
      <c r="F458" s="7"/>
      <c r="G458" s="7"/>
      <c r="H458" s="7"/>
      <c r="I458" s="7"/>
      <c r="J458" s="54"/>
      <c r="K458" s="54"/>
      <c r="L458" s="7"/>
      <c r="M458" s="7"/>
      <c r="N458" s="7"/>
      <c r="O458" s="7"/>
      <c r="P458" s="7"/>
      <c r="Q458" s="7"/>
      <c r="R458" s="7"/>
      <c r="S458" s="7"/>
      <c r="T458" s="7"/>
    </row>
    <row r="459">
      <c r="B459" s="7"/>
      <c r="C459" s="54"/>
      <c r="D459" s="7"/>
      <c r="E459" s="7"/>
      <c r="F459" s="7"/>
      <c r="G459" s="7"/>
      <c r="H459" s="7"/>
      <c r="I459" s="7"/>
      <c r="J459" s="54"/>
      <c r="K459" s="54"/>
      <c r="L459" s="7"/>
      <c r="M459" s="7"/>
      <c r="N459" s="7"/>
      <c r="O459" s="7"/>
      <c r="P459" s="7"/>
      <c r="Q459" s="7"/>
      <c r="R459" s="7"/>
      <c r="S459" s="7"/>
      <c r="T459" s="7"/>
    </row>
    <row r="460">
      <c r="B460" s="7"/>
      <c r="C460" s="54"/>
      <c r="D460" s="7"/>
      <c r="E460" s="7"/>
      <c r="F460" s="7"/>
      <c r="G460" s="7"/>
      <c r="H460" s="7"/>
      <c r="I460" s="7"/>
      <c r="J460" s="54"/>
      <c r="K460" s="54"/>
      <c r="L460" s="7"/>
      <c r="M460" s="7"/>
      <c r="N460" s="7"/>
      <c r="O460" s="7"/>
      <c r="P460" s="7"/>
      <c r="Q460" s="7"/>
      <c r="R460" s="7"/>
      <c r="S460" s="7"/>
      <c r="T460" s="7"/>
    </row>
    <row r="461">
      <c r="B461" s="7"/>
      <c r="C461" s="54"/>
      <c r="D461" s="7"/>
      <c r="E461" s="7"/>
      <c r="F461" s="7"/>
      <c r="G461" s="7"/>
      <c r="H461" s="7"/>
      <c r="I461" s="7"/>
      <c r="J461" s="54"/>
      <c r="K461" s="54"/>
      <c r="L461" s="7"/>
      <c r="M461" s="7"/>
      <c r="N461" s="7"/>
      <c r="O461" s="7"/>
      <c r="P461" s="7"/>
      <c r="Q461" s="7"/>
      <c r="R461" s="7"/>
      <c r="S461" s="7"/>
      <c r="T461" s="7"/>
    </row>
    <row r="462">
      <c r="B462" s="7"/>
      <c r="C462" s="54"/>
      <c r="D462" s="7"/>
      <c r="E462" s="7"/>
      <c r="F462" s="7"/>
      <c r="G462" s="7"/>
      <c r="H462" s="7"/>
      <c r="I462" s="7"/>
      <c r="J462" s="54"/>
      <c r="K462" s="54"/>
      <c r="L462" s="7"/>
      <c r="M462" s="7"/>
      <c r="N462" s="7"/>
      <c r="O462" s="7"/>
      <c r="P462" s="7"/>
      <c r="Q462" s="7"/>
      <c r="R462" s="7"/>
      <c r="S462" s="7"/>
      <c r="T462" s="7"/>
    </row>
    <row r="463">
      <c r="B463" s="7"/>
      <c r="C463" s="54"/>
      <c r="D463" s="7"/>
      <c r="E463" s="7"/>
      <c r="F463" s="7"/>
      <c r="G463" s="7"/>
      <c r="H463" s="7"/>
      <c r="I463" s="7"/>
      <c r="J463" s="54"/>
      <c r="K463" s="54"/>
      <c r="L463" s="7"/>
      <c r="M463" s="7"/>
      <c r="N463" s="7"/>
      <c r="O463" s="7"/>
      <c r="P463" s="7"/>
      <c r="Q463" s="7"/>
      <c r="R463" s="7"/>
      <c r="S463" s="7"/>
      <c r="T463" s="7"/>
    </row>
    <row r="464">
      <c r="B464" s="7"/>
      <c r="C464" s="54"/>
      <c r="D464" s="7"/>
      <c r="E464" s="7"/>
      <c r="F464" s="7"/>
      <c r="G464" s="7"/>
      <c r="H464" s="7"/>
      <c r="I464" s="7"/>
      <c r="J464" s="54"/>
      <c r="K464" s="54"/>
      <c r="L464" s="7"/>
      <c r="M464" s="7"/>
      <c r="N464" s="7"/>
      <c r="O464" s="7"/>
      <c r="P464" s="7"/>
      <c r="Q464" s="7"/>
      <c r="R464" s="7"/>
      <c r="S464" s="7"/>
      <c r="T464" s="7"/>
    </row>
    <row r="465">
      <c r="B465" s="7"/>
      <c r="C465" s="54"/>
      <c r="D465" s="7"/>
      <c r="E465" s="7"/>
      <c r="F465" s="7"/>
      <c r="G465" s="7"/>
      <c r="H465" s="7"/>
      <c r="I465" s="7"/>
      <c r="J465" s="54"/>
      <c r="K465" s="54"/>
      <c r="L465" s="7"/>
      <c r="M465" s="7"/>
      <c r="N465" s="7"/>
      <c r="O465" s="7"/>
      <c r="P465" s="7"/>
      <c r="Q465" s="7"/>
      <c r="R465" s="7"/>
      <c r="S465" s="7"/>
      <c r="T465" s="7"/>
    </row>
    <row r="466">
      <c r="B466" s="7"/>
      <c r="C466" s="54"/>
      <c r="D466" s="7"/>
      <c r="E466" s="7"/>
      <c r="F466" s="7"/>
      <c r="G466" s="7"/>
      <c r="H466" s="7"/>
      <c r="I466" s="7"/>
      <c r="J466" s="54"/>
      <c r="K466" s="54"/>
      <c r="L466" s="7"/>
      <c r="M466" s="7"/>
      <c r="N466" s="7"/>
      <c r="O466" s="7"/>
      <c r="P466" s="7"/>
      <c r="Q466" s="7"/>
      <c r="R466" s="7"/>
      <c r="S466" s="7"/>
      <c r="T466" s="7"/>
    </row>
    <row r="467">
      <c r="B467" s="7"/>
      <c r="C467" s="54"/>
      <c r="D467" s="7"/>
      <c r="E467" s="7"/>
      <c r="F467" s="7"/>
      <c r="G467" s="7"/>
      <c r="H467" s="7"/>
      <c r="I467" s="7"/>
      <c r="J467" s="54"/>
      <c r="K467" s="54"/>
      <c r="L467" s="7"/>
      <c r="M467" s="7"/>
      <c r="N467" s="7"/>
      <c r="O467" s="7"/>
      <c r="P467" s="7"/>
      <c r="Q467" s="7"/>
      <c r="R467" s="7"/>
      <c r="S467" s="7"/>
      <c r="T467" s="7"/>
    </row>
    <row r="468">
      <c r="B468" s="7"/>
      <c r="C468" s="54"/>
      <c r="D468" s="7"/>
      <c r="E468" s="7"/>
      <c r="F468" s="7"/>
      <c r="G468" s="7"/>
      <c r="H468" s="7"/>
      <c r="I468" s="7"/>
      <c r="J468" s="54"/>
      <c r="K468" s="54"/>
      <c r="L468" s="7"/>
      <c r="M468" s="7"/>
      <c r="N468" s="7"/>
      <c r="O468" s="7"/>
      <c r="P468" s="7"/>
      <c r="Q468" s="7"/>
      <c r="R468" s="7"/>
      <c r="S468" s="7"/>
      <c r="T468" s="7"/>
    </row>
    <row r="469">
      <c r="B469" s="7"/>
      <c r="C469" s="54"/>
      <c r="D469" s="7"/>
      <c r="E469" s="7"/>
      <c r="F469" s="7"/>
      <c r="G469" s="7"/>
      <c r="H469" s="7"/>
      <c r="I469" s="7"/>
      <c r="J469" s="54"/>
      <c r="K469" s="54"/>
      <c r="L469" s="7"/>
      <c r="M469" s="7"/>
      <c r="N469" s="7"/>
      <c r="O469" s="7"/>
      <c r="P469" s="7"/>
      <c r="Q469" s="7"/>
      <c r="R469" s="7"/>
      <c r="S469" s="7"/>
      <c r="T469" s="7"/>
    </row>
    <row r="470">
      <c r="B470" s="7"/>
      <c r="C470" s="54"/>
      <c r="D470" s="7"/>
      <c r="E470" s="7"/>
      <c r="F470" s="7"/>
      <c r="G470" s="7"/>
      <c r="H470" s="7"/>
      <c r="I470" s="7"/>
      <c r="J470" s="54"/>
      <c r="K470" s="54"/>
      <c r="L470" s="7"/>
      <c r="M470" s="7"/>
      <c r="N470" s="7"/>
      <c r="O470" s="7"/>
      <c r="P470" s="7"/>
      <c r="Q470" s="7"/>
      <c r="R470" s="7"/>
      <c r="S470" s="7"/>
      <c r="T470" s="7"/>
    </row>
    <row r="471">
      <c r="B471" s="7"/>
      <c r="C471" s="54"/>
      <c r="D471" s="7"/>
      <c r="E471" s="7"/>
      <c r="F471" s="7"/>
      <c r="G471" s="7"/>
      <c r="H471" s="7"/>
      <c r="I471" s="7"/>
      <c r="J471" s="54"/>
      <c r="K471" s="54"/>
      <c r="L471" s="7"/>
      <c r="M471" s="7"/>
      <c r="N471" s="7"/>
      <c r="O471" s="7"/>
      <c r="P471" s="7"/>
      <c r="Q471" s="7"/>
      <c r="R471" s="7"/>
      <c r="S471" s="7"/>
      <c r="T471" s="7"/>
    </row>
    <row r="472">
      <c r="B472" s="7"/>
      <c r="C472" s="54"/>
      <c r="D472" s="7"/>
      <c r="E472" s="7"/>
      <c r="F472" s="7"/>
      <c r="G472" s="7"/>
      <c r="H472" s="7"/>
      <c r="I472" s="7"/>
      <c r="J472" s="54"/>
      <c r="K472" s="54"/>
      <c r="L472" s="7"/>
      <c r="M472" s="7"/>
      <c r="N472" s="7"/>
      <c r="O472" s="7"/>
      <c r="P472" s="7"/>
      <c r="Q472" s="7"/>
      <c r="R472" s="7"/>
      <c r="S472" s="7"/>
      <c r="T472" s="7"/>
    </row>
    <row r="473">
      <c r="B473" s="7"/>
      <c r="C473" s="54"/>
      <c r="D473" s="7"/>
      <c r="E473" s="7"/>
      <c r="F473" s="7"/>
      <c r="G473" s="7"/>
      <c r="H473" s="7"/>
      <c r="I473" s="7"/>
      <c r="J473" s="54"/>
      <c r="K473" s="54"/>
      <c r="L473" s="7"/>
      <c r="M473" s="7"/>
      <c r="N473" s="7"/>
      <c r="O473" s="7"/>
      <c r="P473" s="7"/>
      <c r="Q473" s="7"/>
      <c r="R473" s="7"/>
      <c r="S473" s="7"/>
      <c r="T473" s="7"/>
    </row>
    <row r="474">
      <c r="B474" s="7"/>
      <c r="C474" s="54"/>
      <c r="D474" s="7"/>
      <c r="E474" s="7"/>
      <c r="F474" s="7"/>
      <c r="G474" s="7"/>
      <c r="H474" s="7"/>
      <c r="I474" s="7"/>
      <c r="J474" s="54"/>
      <c r="K474" s="54"/>
      <c r="L474" s="7"/>
      <c r="M474" s="7"/>
      <c r="N474" s="7"/>
      <c r="O474" s="7"/>
      <c r="P474" s="7"/>
      <c r="Q474" s="7"/>
      <c r="R474" s="7"/>
      <c r="S474" s="7"/>
      <c r="T474" s="7"/>
    </row>
    <row r="475">
      <c r="B475" s="7"/>
      <c r="C475" s="54"/>
      <c r="D475" s="7"/>
      <c r="E475" s="7"/>
      <c r="F475" s="7"/>
      <c r="G475" s="7"/>
      <c r="H475" s="7"/>
      <c r="I475" s="7"/>
      <c r="J475" s="54"/>
      <c r="K475" s="54"/>
      <c r="L475" s="7"/>
      <c r="M475" s="7"/>
      <c r="N475" s="7"/>
      <c r="O475" s="7"/>
      <c r="P475" s="7"/>
      <c r="Q475" s="7"/>
      <c r="R475" s="7"/>
      <c r="S475" s="7"/>
      <c r="T475" s="7"/>
    </row>
    <row r="476">
      <c r="B476" s="7"/>
      <c r="C476" s="54"/>
      <c r="D476" s="7"/>
      <c r="E476" s="7"/>
      <c r="F476" s="7"/>
      <c r="G476" s="7"/>
      <c r="H476" s="7"/>
      <c r="I476" s="7"/>
      <c r="J476" s="54"/>
      <c r="K476" s="54"/>
      <c r="L476" s="7"/>
      <c r="M476" s="7"/>
      <c r="N476" s="7"/>
      <c r="O476" s="7"/>
      <c r="P476" s="7"/>
      <c r="Q476" s="7"/>
      <c r="R476" s="7"/>
      <c r="S476" s="7"/>
      <c r="T476" s="7"/>
    </row>
    <row r="477">
      <c r="B477" s="7"/>
      <c r="C477" s="54"/>
      <c r="D477" s="7"/>
      <c r="E477" s="7"/>
      <c r="F477" s="7"/>
      <c r="G477" s="7"/>
      <c r="H477" s="7"/>
      <c r="I477" s="7"/>
      <c r="J477" s="54"/>
      <c r="K477" s="54"/>
      <c r="L477" s="7"/>
      <c r="M477" s="7"/>
      <c r="N477" s="7"/>
      <c r="O477" s="7"/>
      <c r="P477" s="7"/>
      <c r="Q477" s="7"/>
      <c r="R477" s="7"/>
      <c r="S477" s="7"/>
      <c r="T477" s="7"/>
    </row>
    <row r="478">
      <c r="B478" s="7"/>
      <c r="C478" s="54"/>
      <c r="D478" s="7"/>
      <c r="E478" s="7"/>
      <c r="F478" s="7"/>
      <c r="G478" s="7"/>
      <c r="H478" s="7"/>
      <c r="I478" s="7"/>
      <c r="J478" s="54"/>
      <c r="K478" s="54"/>
      <c r="L478" s="7"/>
      <c r="M478" s="7"/>
      <c r="N478" s="7"/>
      <c r="O478" s="7"/>
      <c r="P478" s="7"/>
      <c r="Q478" s="7"/>
      <c r="R478" s="7"/>
      <c r="S478" s="7"/>
      <c r="T478" s="7"/>
    </row>
    <row r="479">
      <c r="B479" s="7"/>
      <c r="C479" s="54"/>
      <c r="D479" s="7"/>
      <c r="E479" s="7"/>
      <c r="F479" s="7"/>
      <c r="G479" s="7"/>
      <c r="H479" s="7"/>
      <c r="I479" s="7"/>
      <c r="J479" s="54"/>
      <c r="K479" s="54"/>
      <c r="L479" s="7"/>
      <c r="M479" s="7"/>
      <c r="N479" s="7"/>
      <c r="O479" s="7"/>
      <c r="P479" s="7"/>
      <c r="Q479" s="7"/>
      <c r="R479" s="7"/>
      <c r="S479" s="7"/>
      <c r="T479" s="7"/>
    </row>
    <row r="480">
      <c r="B480" s="7"/>
      <c r="C480" s="54"/>
      <c r="D480" s="7"/>
      <c r="E480" s="7"/>
      <c r="F480" s="7"/>
      <c r="G480" s="7"/>
      <c r="H480" s="7"/>
      <c r="I480" s="7"/>
      <c r="J480" s="54"/>
      <c r="K480" s="54"/>
      <c r="L480" s="7"/>
      <c r="M480" s="7"/>
      <c r="N480" s="7"/>
      <c r="O480" s="7"/>
      <c r="P480" s="7"/>
      <c r="Q480" s="7"/>
      <c r="R480" s="7"/>
      <c r="S480" s="7"/>
      <c r="T480" s="7"/>
    </row>
    <row r="481">
      <c r="B481" s="7"/>
      <c r="C481" s="54"/>
      <c r="D481" s="7"/>
      <c r="E481" s="7"/>
      <c r="F481" s="7"/>
      <c r="G481" s="7"/>
      <c r="H481" s="7"/>
      <c r="I481" s="7"/>
      <c r="J481" s="54"/>
      <c r="K481" s="54"/>
      <c r="L481" s="7"/>
      <c r="M481" s="7"/>
      <c r="N481" s="7"/>
      <c r="O481" s="7"/>
      <c r="P481" s="7"/>
      <c r="Q481" s="7"/>
      <c r="R481" s="7"/>
      <c r="S481" s="7"/>
      <c r="T481" s="7"/>
    </row>
    <row r="482">
      <c r="B482" s="7"/>
      <c r="C482" s="54"/>
      <c r="D482" s="7"/>
      <c r="E482" s="7"/>
      <c r="F482" s="7"/>
      <c r="G482" s="7"/>
      <c r="H482" s="7"/>
      <c r="I482" s="7"/>
      <c r="J482" s="54"/>
      <c r="K482" s="54"/>
      <c r="L482" s="7"/>
      <c r="M482" s="7"/>
      <c r="N482" s="7"/>
      <c r="O482" s="7"/>
      <c r="P482" s="7"/>
      <c r="Q482" s="7"/>
      <c r="R482" s="7"/>
      <c r="S482" s="7"/>
      <c r="T482" s="7"/>
    </row>
    <row r="483">
      <c r="B483" s="7"/>
      <c r="C483" s="54"/>
      <c r="D483" s="7"/>
      <c r="E483" s="7"/>
      <c r="F483" s="7"/>
      <c r="G483" s="7"/>
      <c r="H483" s="7"/>
      <c r="I483" s="7"/>
      <c r="J483" s="54"/>
      <c r="K483" s="54"/>
      <c r="L483" s="7"/>
      <c r="M483" s="7"/>
      <c r="N483" s="7"/>
      <c r="O483" s="7"/>
      <c r="P483" s="7"/>
      <c r="Q483" s="7"/>
      <c r="R483" s="7"/>
      <c r="S483" s="7"/>
      <c r="T483" s="7"/>
    </row>
    <row r="484">
      <c r="B484" s="7"/>
      <c r="C484" s="54"/>
      <c r="D484" s="7"/>
      <c r="E484" s="7"/>
      <c r="F484" s="7"/>
      <c r="G484" s="7"/>
      <c r="H484" s="7"/>
      <c r="I484" s="7"/>
      <c r="J484" s="54"/>
      <c r="K484" s="54"/>
      <c r="L484" s="7"/>
      <c r="M484" s="7"/>
      <c r="N484" s="7"/>
      <c r="O484" s="7"/>
      <c r="P484" s="7"/>
      <c r="Q484" s="7"/>
      <c r="R484" s="7"/>
      <c r="S484" s="7"/>
      <c r="T484" s="7"/>
    </row>
    <row r="485">
      <c r="B485" s="7"/>
      <c r="C485" s="54"/>
      <c r="D485" s="7"/>
      <c r="E485" s="7"/>
      <c r="F485" s="7"/>
      <c r="G485" s="7"/>
      <c r="H485" s="7"/>
      <c r="I485" s="7"/>
      <c r="J485" s="54"/>
      <c r="K485" s="54"/>
      <c r="L485" s="7"/>
      <c r="M485" s="7"/>
      <c r="N485" s="7"/>
      <c r="O485" s="7"/>
      <c r="P485" s="7"/>
      <c r="Q485" s="7"/>
      <c r="R485" s="7"/>
      <c r="S485" s="7"/>
      <c r="T485" s="7"/>
    </row>
    <row r="486">
      <c r="B486" s="7"/>
      <c r="C486" s="54"/>
      <c r="D486" s="7"/>
      <c r="E486" s="7"/>
      <c r="F486" s="7"/>
      <c r="G486" s="7"/>
      <c r="H486" s="7"/>
      <c r="I486" s="7"/>
      <c r="J486" s="54"/>
      <c r="K486" s="54"/>
      <c r="L486" s="7"/>
      <c r="M486" s="7"/>
      <c r="N486" s="7"/>
      <c r="O486" s="7"/>
      <c r="P486" s="7"/>
      <c r="Q486" s="7"/>
      <c r="R486" s="7"/>
      <c r="S486" s="7"/>
      <c r="T486" s="7"/>
    </row>
    <row r="487">
      <c r="B487" s="7"/>
      <c r="C487" s="54"/>
      <c r="D487" s="7"/>
      <c r="E487" s="7"/>
      <c r="F487" s="7"/>
      <c r="G487" s="7"/>
      <c r="H487" s="7"/>
      <c r="I487" s="7"/>
      <c r="J487" s="54"/>
      <c r="K487" s="54"/>
      <c r="L487" s="7"/>
      <c r="M487" s="7"/>
      <c r="N487" s="7"/>
      <c r="O487" s="7"/>
      <c r="P487" s="7"/>
      <c r="Q487" s="7"/>
      <c r="R487" s="7"/>
      <c r="S487" s="7"/>
      <c r="T487" s="7"/>
    </row>
    <row r="488">
      <c r="B488" s="7"/>
      <c r="C488" s="54"/>
      <c r="D488" s="7"/>
      <c r="E488" s="7"/>
      <c r="F488" s="7"/>
      <c r="G488" s="7"/>
      <c r="H488" s="7"/>
      <c r="I488" s="7"/>
      <c r="J488" s="54"/>
      <c r="K488" s="54"/>
      <c r="L488" s="7"/>
      <c r="M488" s="7"/>
      <c r="N488" s="7"/>
      <c r="O488" s="7"/>
      <c r="P488" s="7"/>
      <c r="Q488" s="7"/>
      <c r="R488" s="7"/>
      <c r="S488" s="7"/>
      <c r="T488" s="7"/>
    </row>
    <row r="489">
      <c r="B489" s="7"/>
      <c r="C489" s="54"/>
      <c r="D489" s="7"/>
      <c r="E489" s="7"/>
      <c r="F489" s="7"/>
      <c r="G489" s="7"/>
      <c r="H489" s="7"/>
      <c r="I489" s="7"/>
      <c r="J489" s="54"/>
      <c r="K489" s="54"/>
      <c r="L489" s="7"/>
      <c r="M489" s="7"/>
      <c r="N489" s="7"/>
      <c r="O489" s="7"/>
      <c r="P489" s="7"/>
      <c r="Q489" s="7"/>
      <c r="R489" s="7"/>
      <c r="S489" s="7"/>
      <c r="T489" s="7"/>
    </row>
    <row r="490">
      <c r="B490" s="7"/>
      <c r="C490" s="54"/>
      <c r="D490" s="7"/>
      <c r="E490" s="7"/>
      <c r="F490" s="7"/>
      <c r="G490" s="7"/>
      <c r="H490" s="7"/>
      <c r="I490" s="7"/>
      <c r="J490" s="54"/>
      <c r="K490" s="54"/>
      <c r="L490" s="7"/>
      <c r="M490" s="7"/>
      <c r="N490" s="7"/>
      <c r="O490" s="7"/>
      <c r="P490" s="7"/>
      <c r="Q490" s="7"/>
      <c r="R490" s="7"/>
      <c r="S490" s="7"/>
      <c r="T490" s="7"/>
    </row>
    <row r="491">
      <c r="B491" s="7"/>
      <c r="C491" s="54"/>
      <c r="D491" s="7"/>
      <c r="E491" s="7"/>
      <c r="F491" s="7"/>
      <c r="G491" s="7"/>
      <c r="H491" s="7"/>
      <c r="I491" s="7"/>
      <c r="J491" s="54"/>
      <c r="K491" s="54"/>
      <c r="L491" s="7"/>
      <c r="M491" s="7"/>
      <c r="N491" s="7"/>
      <c r="O491" s="7"/>
      <c r="P491" s="7"/>
      <c r="Q491" s="7"/>
      <c r="R491" s="7"/>
      <c r="S491" s="7"/>
      <c r="T491" s="7"/>
    </row>
    <row r="492">
      <c r="B492" s="7"/>
      <c r="C492" s="54"/>
      <c r="D492" s="7"/>
      <c r="E492" s="7"/>
      <c r="F492" s="7"/>
      <c r="G492" s="7"/>
      <c r="H492" s="7"/>
      <c r="I492" s="7"/>
      <c r="J492" s="54"/>
      <c r="K492" s="54"/>
      <c r="L492" s="7"/>
      <c r="M492" s="7"/>
      <c r="N492" s="7"/>
      <c r="O492" s="7"/>
      <c r="P492" s="7"/>
      <c r="Q492" s="7"/>
      <c r="R492" s="7"/>
      <c r="S492" s="7"/>
      <c r="T492" s="7"/>
    </row>
    <row r="493">
      <c r="B493" s="7"/>
      <c r="C493" s="54"/>
      <c r="D493" s="7"/>
      <c r="E493" s="7"/>
      <c r="F493" s="7"/>
      <c r="G493" s="7"/>
      <c r="H493" s="7"/>
      <c r="I493" s="7"/>
      <c r="J493" s="54"/>
      <c r="K493" s="54"/>
      <c r="L493" s="7"/>
      <c r="M493" s="7"/>
      <c r="N493" s="7"/>
      <c r="O493" s="7"/>
      <c r="P493" s="7"/>
      <c r="Q493" s="7"/>
      <c r="R493" s="7"/>
      <c r="S493" s="7"/>
      <c r="T493" s="7"/>
    </row>
    <row r="494">
      <c r="B494" s="7"/>
      <c r="C494" s="54"/>
      <c r="D494" s="7"/>
      <c r="E494" s="7"/>
      <c r="F494" s="7"/>
      <c r="G494" s="7"/>
      <c r="H494" s="7"/>
      <c r="I494" s="7"/>
      <c r="J494" s="54"/>
      <c r="K494" s="54"/>
      <c r="L494" s="7"/>
      <c r="M494" s="7"/>
      <c r="N494" s="7"/>
      <c r="O494" s="7"/>
      <c r="P494" s="7"/>
      <c r="Q494" s="7"/>
      <c r="R494" s="7"/>
      <c r="S494" s="7"/>
      <c r="T494" s="7"/>
    </row>
    <row r="495">
      <c r="B495" s="7"/>
      <c r="C495" s="54"/>
      <c r="D495" s="7"/>
      <c r="E495" s="7"/>
      <c r="F495" s="7"/>
      <c r="G495" s="7"/>
      <c r="H495" s="7"/>
      <c r="I495" s="7"/>
      <c r="J495" s="54"/>
      <c r="K495" s="54"/>
      <c r="L495" s="7"/>
      <c r="M495" s="7"/>
      <c r="N495" s="7"/>
      <c r="O495" s="7"/>
      <c r="P495" s="7"/>
      <c r="Q495" s="7"/>
      <c r="R495" s="7"/>
      <c r="S495" s="7"/>
      <c r="T495" s="7"/>
    </row>
    <row r="496">
      <c r="B496" s="7"/>
      <c r="C496" s="54"/>
      <c r="D496" s="7"/>
      <c r="E496" s="7"/>
      <c r="F496" s="7"/>
      <c r="G496" s="7"/>
      <c r="H496" s="7"/>
      <c r="I496" s="7"/>
      <c r="J496" s="54"/>
      <c r="K496" s="54"/>
      <c r="L496" s="7"/>
      <c r="M496" s="7"/>
      <c r="N496" s="7"/>
      <c r="O496" s="7"/>
      <c r="P496" s="7"/>
      <c r="Q496" s="7"/>
      <c r="R496" s="7"/>
      <c r="S496" s="7"/>
      <c r="T496" s="7"/>
    </row>
    <row r="497">
      <c r="B497" s="7"/>
      <c r="C497" s="54"/>
      <c r="D497" s="7"/>
      <c r="E497" s="7"/>
      <c r="F497" s="7"/>
      <c r="G497" s="7"/>
      <c r="H497" s="7"/>
      <c r="I497" s="7"/>
      <c r="J497" s="54"/>
      <c r="K497" s="54"/>
      <c r="L497" s="7"/>
      <c r="M497" s="7"/>
      <c r="N497" s="7"/>
      <c r="O497" s="7"/>
      <c r="P497" s="7"/>
      <c r="Q497" s="7"/>
      <c r="R497" s="7"/>
      <c r="S497" s="7"/>
      <c r="T497" s="7"/>
    </row>
    <row r="498">
      <c r="B498" s="7"/>
      <c r="C498" s="54"/>
      <c r="D498" s="7"/>
      <c r="E498" s="7"/>
      <c r="F498" s="7"/>
      <c r="G498" s="7"/>
      <c r="H498" s="7"/>
      <c r="I498" s="7"/>
      <c r="J498" s="54"/>
      <c r="K498" s="54"/>
      <c r="L498" s="7"/>
      <c r="M498" s="7"/>
      <c r="N498" s="7"/>
      <c r="O498" s="7"/>
      <c r="P498" s="7"/>
      <c r="Q498" s="7"/>
      <c r="R498" s="7"/>
      <c r="S498" s="7"/>
      <c r="T498" s="7"/>
    </row>
    <row r="499">
      <c r="B499" s="7"/>
      <c r="C499" s="54"/>
      <c r="D499" s="7"/>
      <c r="E499" s="7"/>
      <c r="F499" s="7"/>
      <c r="G499" s="7"/>
      <c r="H499" s="7"/>
      <c r="I499" s="7"/>
      <c r="J499" s="54"/>
      <c r="K499" s="54"/>
      <c r="L499" s="7"/>
      <c r="M499" s="7"/>
      <c r="N499" s="7"/>
      <c r="O499" s="7"/>
      <c r="P499" s="7"/>
      <c r="Q499" s="7"/>
      <c r="R499" s="7"/>
      <c r="S499" s="7"/>
      <c r="T499" s="7"/>
    </row>
    <row r="500">
      <c r="B500" s="7"/>
      <c r="C500" s="54"/>
      <c r="D500" s="7"/>
      <c r="E500" s="7"/>
      <c r="F500" s="7"/>
      <c r="G500" s="7"/>
      <c r="H500" s="7"/>
      <c r="I500" s="7"/>
      <c r="J500" s="54"/>
      <c r="K500" s="54"/>
      <c r="L500" s="7"/>
      <c r="M500" s="7"/>
      <c r="N500" s="7"/>
      <c r="O500" s="7"/>
      <c r="P500" s="7"/>
      <c r="Q500" s="7"/>
      <c r="R500" s="7"/>
      <c r="S500" s="7"/>
      <c r="T500" s="7"/>
    </row>
    <row r="501">
      <c r="B501" s="7"/>
      <c r="C501" s="54"/>
      <c r="D501" s="7"/>
      <c r="E501" s="7"/>
      <c r="F501" s="7"/>
      <c r="G501" s="7"/>
      <c r="H501" s="7"/>
      <c r="I501" s="7"/>
      <c r="J501" s="54"/>
      <c r="K501" s="54"/>
      <c r="L501" s="7"/>
      <c r="M501" s="7"/>
      <c r="N501" s="7"/>
      <c r="O501" s="7"/>
      <c r="P501" s="7"/>
      <c r="Q501" s="7"/>
      <c r="R501" s="7"/>
      <c r="S501" s="7"/>
      <c r="T501" s="7"/>
    </row>
    <row r="502">
      <c r="B502" s="7"/>
      <c r="C502" s="54"/>
      <c r="D502" s="7"/>
      <c r="E502" s="7"/>
      <c r="F502" s="7"/>
      <c r="G502" s="7"/>
      <c r="H502" s="7"/>
      <c r="I502" s="7"/>
      <c r="J502" s="54"/>
      <c r="K502" s="54"/>
      <c r="L502" s="7"/>
      <c r="M502" s="7"/>
      <c r="N502" s="7"/>
      <c r="O502" s="7"/>
      <c r="P502" s="7"/>
      <c r="Q502" s="7"/>
      <c r="R502" s="7"/>
      <c r="S502" s="7"/>
      <c r="T502" s="7"/>
    </row>
    <row r="503">
      <c r="B503" s="7"/>
      <c r="C503" s="54"/>
      <c r="D503" s="7"/>
      <c r="E503" s="7"/>
      <c r="F503" s="7"/>
      <c r="G503" s="7"/>
      <c r="H503" s="7"/>
      <c r="I503" s="7"/>
      <c r="J503" s="54"/>
      <c r="K503" s="54"/>
      <c r="L503" s="7"/>
      <c r="M503" s="7"/>
      <c r="N503" s="7"/>
      <c r="O503" s="7"/>
      <c r="P503" s="7"/>
      <c r="Q503" s="7"/>
      <c r="R503" s="7"/>
      <c r="S503" s="7"/>
      <c r="T503" s="7"/>
    </row>
    <row r="504">
      <c r="B504" s="7"/>
      <c r="C504" s="54"/>
      <c r="D504" s="7"/>
      <c r="E504" s="7"/>
      <c r="F504" s="7"/>
      <c r="G504" s="7"/>
      <c r="H504" s="7"/>
      <c r="I504" s="7"/>
      <c r="J504" s="54"/>
      <c r="K504" s="54"/>
      <c r="L504" s="7"/>
      <c r="M504" s="7"/>
      <c r="N504" s="7"/>
      <c r="O504" s="7"/>
      <c r="P504" s="7"/>
      <c r="Q504" s="7"/>
      <c r="R504" s="7"/>
      <c r="S504" s="7"/>
      <c r="T504" s="7"/>
    </row>
    <row r="505">
      <c r="B505" s="7"/>
      <c r="C505" s="54"/>
      <c r="D505" s="7"/>
      <c r="E505" s="7"/>
      <c r="F505" s="7"/>
      <c r="G505" s="7"/>
      <c r="H505" s="7"/>
      <c r="I505" s="7"/>
      <c r="J505" s="54"/>
      <c r="K505" s="54"/>
      <c r="L505" s="7"/>
      <c r="M505" s="7"/>
      <c r="N505" s="7"/>
      <c r="O505" s="7"/>
      <c r="P505" s="7"/>
      <c r="Q505" s="7"/>
      <c r="R505" s="7"/>
      <c r="S505" s="7"/>
      <c r="T505" s="7"/>
    </row>
    <row r="506">
      <c r="B506" s="7"/>
      <c r="C506" s="54"/>
      <c r="D506" s="7"/>
      <c r="E506" s="7"/>
      <c r="F506" s="7"/>
      <c r="G506" s="7"/>
      <c r="H506" s="7"/>
      <c r="I506" s="7"/>
      <c r="J506" s="54"/>
      <c r="K506" s="54"/>
      <c r="L506" s="7"/>
      <c r="M506" s="7"/>
      <c r="N506" s="7"/>
      <c r="O506" s="7"/>
      <c r="P506" s="7"/>
      <c r="Q506" s="7"/>
      <c r="R506" s="7"/>
      <c r="S506" s="7"/>
      <c r="T506" s="7"/>
    </row>
    <row r="507">
      <c r="B507" s="7"/>
      <c r="C507" s="54"/>
      <c r="D507" s="7"/>
      <c r="E507" s="7"/>
      <c r="F507" s="7"/>
      <c r="G507" s="7"/>
      <c r="H507" s="7"/>
      <c r="I507" s="7"/>
      <c r="J507" s="54"/>
      <c r="K507" s="54"/>
      <c r="L507" s="7"/>
      <c r="M507" s="7"/>
      <c r="N507" s="7"/>
      <c r="O507" s="7"/>
      <c r="P507" s="7"/>
      <c r="Q507" s="7"/>
      <c r="R507" s="7"/>
      <c r="S507" s="7"/>
      <c r="T507" s="7"/>
    </row>
    <row r="508">
      <c r="B508" s="7"/>
      <c r="C508" s="54"/>
      <c r="D508" s="7"/>
      <c r="E508" s="7"/>
      <c r="F508" s="7"/>
      <c r="G508" s="7"/>
      <c r="H508" s="7"/>
      <c r="I508" s="7"/>
      <c r="J508" s="54"/>
      <c r="K508" s="54"/>
      <c r="L508" s="7"/>
      <c r="M508" s="7"/>
      <c r="N508" s="7"/>
      <c r="O508" s="7"/>
      <c r="P508" s="7"/>
      <c r="Q508" s="7"/>
      <c r="R508" s="7"/>
      <c r="S508" s="7"/>
      <c r="T508" s="7"/>
    </row>
    <row r="509">
      <c r="B509" s="7"/>
      <c r="C509" s="54"/>
      <c r="D509" s="7"/>
      <c r="E509" s="7"/>
      <c r="F509" s="7"/>
      <c r="G509" s="7"/>
      <c r="H509" s="7"/>
      <c r="I509" s="7"/>
      <c r="J509" s="54"/>
      <c r="K509" s="54"/>
      <c r="L509" s="7"/>
      <c r="M509" s="7"/>
      <c r="N509" s="7"/>
      <c r="O509" s="7"/>
      <c r="P509" s="7"/>
      <c r="Q509" s="7"/>
      <c r="R509" s="7"/>
      <c r="S509" s="7"/>
      <c r="T509" s="7"/>
    </row>
    <row r="510">
      <c r="B510" s="7"/>
      <c r="C510" s="54"/>
      <c r="D510" s="7"/>
      <c r="E510" s="7"/>
      <c r="F510" s="7"/>
      <c r="G510" s="7"/>
      <c r="H510" s="7"/>
      <c r="I510" s="7"/>
      <c r="J510" s="54"/>
      <c r="K510" s="54"/>
      <c r="L510" s="7"/>
      <c r="M510" s="7"/>
      <c r="N510" s="7"/>
      <c r="O510" s="7"/>
      <c r="P510" s="7"/>
      <c r="Q510" s="7"/>
      <c r="R510" s="7"/>
      <c r="S510" s="7"/>
      <c r="T510" s="7"/>
    </row>
    <row r="511">
      <c r="B511" s="7"/>
      <c r="C511" s="54"/>
      <c r="D511" s="7"/>
      <c r="E511" s="7"/>
      <c r="F511" s="7"/>
      <c r="G511" s="7"/>
      <c r="H511" s="7"/>
      <c r="I511" s="7"/>
      <c r="J511" s="54"/>
      <c r="K511" s="54"/>
      <c r="L511" s="7"/>
      <c r="M511" s="7"/>
      <c r="N511" s="7"/>
      <c r="O511" s="7"/>
      <c r="P511" s="7"/>
      <c r="Q511" s="7"/>
      <c r="R511" s="7"/>
      <c r="S511" s="7"/>
      <c r="T511" s="7"/>
    </row>
    <row r="512">
      <c r="B512" s="7"/>
      <c r="C512" s="54"/>
      <c r="D512" s="7"/>
      <c r="E512" s="7"/>
      <c r="F512" s="7"/>
      <c r="G512" s="7"/>
      <c r="H512" s="7"/>
      <c r="I512" s="7"/>
      <c r="J512" s="54"/>
      <c r="K512" s="54"/>
      <c r="L512" s="7"/>
      <c r="M512" s="7"/>
      <c r="N512" s="7"/>
      <c r="O512" s="7"/>
      <c r="P512" s="7"/>
      <c r="Q512" s="7"/>
      <c r="R512" s="7"/>
      <c r="S512" s="7"/>
      <c r="T512" s="7"/>
    </row>
    <row r="513">
      <c r="B513" s="7"/>
      <c r="C513" s="54"/>
      <c r="D513" s="7"/>
      <c r="E513" s="7"/>
      <c r="F513" s="7"/>
      <c r="G513" s="7"/>
      <c r="H513" s="7"/>
      <c r="I513" s="7"/>
      <c r="J513" s="54"/>
      <c r="K513" s="54"/>
      <c r="L513" s="7"/>
      <c r="M513" s="7"/>
      <c r="N513" s="7"/>
      <c r="O513" s="7"/>
      <c r="P513" s="7"/>
      <c r="Q513" s="7"/>
      <c r="R513" s="7"/>
      <c r="S513" s="7"/>
      <c r="T513" s="7"/>
    </row>
    <row r="514">
      <c r="B514" s="7"/>
      <c r="C514" s="54"/>
      <c r="D514" s="7"/>
      <c r="E514" s="7"/>
      <c r="F514" s="7"/>
      <c r="G514" s="7"/>
      <c r="H514" s="7"/>
      <c r="I514" s="7"/>
      <c r="J514" s="54"/>
      <c r="K514" s="54"/>
      <c r="L514" s="7"/>
      <c r="M514" s="7"/>
      <c r="N514" s="7"/>
      <c r="O514" s="7"/>
      <c r="P514" s="7"/>
      <c r="Q514" s="7"/>
      <c r="R514" s="7"/>
      <c r="S514" s="7"/>
      <c r="T514" s="7"/>
    </row>
    <row r="515">
      <c r="B515" s="7"/>
      <c r="C515" s="54"/>
      <c r="D515" s="7"/>
      <c r="E515" s="7"/>
      <c r="F515" s="7"/>
      <c r="G515" s="7"/>
      <c r="H515" s="7"/>
      <c r="I515" s="7"/>
      <c r="J515" s="54"/>
      <c r="K515" s="54"/>
      <c r="L515" s="7"/>
      <c r="M515" s="7"/>
      <c r="N515" s="7"/>
      <c r="O515" s="7"/>
      <c r="P515" s="7"/>
      <c r="Q515" s="7"/>
      <c r="R515" s="7"/>
      <c r="S515" s="7"/>
      <c r="T515" s="7"/>
    </row>
    <row r="516">
      <c r="B516" s="7"/>
      <c r="C516" s="54"/>
      <c r="D516" s="7"/>
      <c r="E516" s="7"/>
      <c r="F516" s="7"/>
      <c r="G516" s="7"/>
      <c r="H516" s="7"/>
      <c r="I516" s="7"/>
      <c r="J516" s="54"/>
      <c r="K516" s="54"/>
      <c r="L516" s="7"/>
      <c r="M516" s="7"/>
      <c r="N516" s="7"/>
      <c r="O516" s="7"/>
      <c r="P516" s="7"/>
      <c r="Q516" s="7"/>
      <c r="R516" s="7"/>
      <c r="S516" s="7"/>
      <c r="T516" s="7"/>
    </row>
    <row r="517">
      <c r="B517" s="7"/>
      <c r="C517" s="54"/>
      <c r="D517" s="7"/>
      <c r="E517" s="7"/>
      <c r="F517" s="7"/>
      <c r="G517" s="7"/>
      <c r="H517" s="7"/>
      <c r="I517" s="7"/>
      <c r="J517" s="54"/>
      <c r="K517" s="54"/>
      <c r="L517" s="7"/>
      <c r="M517" s="7"/>
      <c r="N517" s="7"/>
      <c r="O517" s="7"/>
      <c r="P517" s="7"/>
      <c r="Q517" s="7"/>
      <c r="R517" s="7"/>
      <c r="S517" s="7"/>
      <c r="T517" s="7"/>
    </row>
    <row r="518">
      <c r="B518" s="7"/>
      <c r="C518" s="54"/>
      <c r="D518" s="7"/>
      <c r="E518" s="7"/>
      <c r="F518" s="7"/>
      <c r="G518" s="7"/>
      <c r="H518" s="7"/>
      <c r="I518" s="7"/>
      <c r="J518" s="54"/>
      <c r="K518" s="54"/>
      <c r="L518" s="7"/>
      <c r="M518" s="7"/>
      <c r="N518" s="7"/>
      <c r="O518" s="7"/>
      <c r="P518" s="7"/>
      <c r="Q518" s="7"/>
      <c r="R518" s="7"/>
      <c r="S518" s="7"/>
      <c r="T518" s="7"/>
    </row>
    <row r="519">
      <c r="B519" s="7"/>
      <c r="C519" s="54"/>
      <c r="D519" s="7"/>
      <c r="E519" s="7"/>
      <c r="F519" s="7"/>
      <c r="G519" s="7"/>
      <c r="H519" s="7"/>
      <c r="I519" s="7"/>
      <c r="J519" s="54"/>
      <c r="K519" s="54"/>
      <c r="L519" s="7"/>
      <c r="M519" s="7"/>
      <c r="N519" s="7"/>
      <c r="O519" s="7"/>
      <c r="P519" s="7"/>
      <c r="Q519" s="7"/>
      <c r="R519" s="7"/>
      <c r="S519" s="7"/>
      <c r="T519" s="7"/>
    </row>
    <row r="520">
      <c r="B520" s="7"/>
      <c r="C520" s="54"/>
      <c r="D520" s="7"/>
      <c r="E520" s="7"/>
      <c r="F520" s="7"/>
      <c r="G520" s="7"/>
      <c r="H520" s="7"/>
      <c r="I520" s="7"/>
      <c r="J520" s="54"/>
      <c r="K520" s="54"/>
      <c r="L520" s="7"/>
      <c r="M520" s="7"/>
      <c r="N520" s="7"/>
      <c r="O520" s="7"/>
      <c r="P520" s="7"/>
      <c r="Q520" s="7"/>
      <c r="R520" s="7"/>
      <c r="S520" s="7"/>
      <c r="T520" s="7"/>
    </row>
    <row r="521">
      <c r="B521" s="7"/>
      <c r="C521" s="54"/>
      <c r="D521" s="7"/>
      <c r="E521" s="7"/>
      <c r="F521" s="7"/>
      <c r="G521" s="7"/>
      <c r="H521" s="7"/>
      <c r="I521" s="7"/>
      <c r="J521" s="54"/>
      <c r="K521" s="54"/>
      <c r="L521" s="7"/>
      <c r="M521" s="7"/>
      <c r="N521" s="7"/>
      <c r="O521" s="7"/>
      <c r="P521" s="7"/>
      <c r="Q521" s="7"/>
      <c r="R521" s="7"/>
      <c r="S521" s="7"/>
      <c r="T521" s="7"/>
    </row>
    <row r="522">
      <c r="B522" s="7"/>
      <c r="C522" s="54"/>
      <c r="D522" s="7"/>
      <c r="E522" s="7"/>
      <c r="F522" s="7"/>
      <c r="G522" s="7"/>
      <c r="H522" s="7"/>
      <c r="I522" s="7"/>
      <c r="J522" s="54"/>
      <c r="K522" s="54"/>
      <c r="L522" s="7"/>
      <c r="M522" s="7"/>
      <c r="N522" s="7"/>
      <c r="O522" s="7"/>
      <c r="P522" s="7"/>
      <c r="Q522" s="7"/>
      <c r="R522" s="7"/>
      <c r="S522" s="7"/>
      <c r="T522" s="7"/>
    </row>
    <row r="523">
      <c r="B523" s="7"/>
      <c r="C523" s="54"/>
      <c r="D523" s="7"/>
      <c r="E523" s="7"/>
      <c r="F523" s="7"/>
      <c r="G523" s="7"/>
      <c r="H523" s="7"/>
      <c r="I523" s="7"/>
      <c r="J523" s="54"/>
      <c r="K523" s="54"/>
      <c r="L523" s="7"/>
      <c r="M523" s="7"/>
      <c r="N523" s="7"/>
      <c r="O523" s="7"/>
      <c r="P523" s="7"/>
      <c r="Q523" s="7"/>
      <c r="R523" s="7"/>
      <c r="S523" s="7"/>
      <c r="T523" s="7"/>
    </row>
    <row r="524">
      <c r="B524" s="7"/>
      <c r="C524" s="54"/>
      <c r="D524" s="7"/>
      <c r="E524" s="7"/>
      <c r="F524" s="7"/>
      <c r="G524" s="7"/>
      <c r="H524" s="7"/>
      <c r="I524" s="7"/>
      <c r="J524" s="54"/>
      <c r="K524" s="54"/>
      <c r="L524" s="7"/>
      <c r="M524" s="7"/>
      <c r="N524" s="7"/>
      <c r="O524" s="7"/>
      <c r="P524" s="7"/>
      <c r="Q524" s="7"/>
      <c r="R524" s="7"/>
      <c r="S524" s="7"/>
      <c r="T524" s="7"/>
    </row>
    <row r="525">
      <c r="B525" s="7"/>
      <c r="C525" s="54"/>
      <c r="D525" s="7"/>
      <c r="E525" s="7"/>
      <c r="F525" s="7"/>
      <c r="G525" s="7"/>
      <c r="H525" s="7"/>
      <c r="I525" s="7"/>
      <c r="J525" s="54"/>
      <c r="K525" s="54"/>
      <c r="L525" s="7"/>
      <c r="M525" s="7"/>
      <c r="N525" s="7"/>
      <c r="O525" s="7"/>
      <c r="P525" s="7"/>
      <c r="Q525" s="7"/>
      <c r="R525" s="7"/>
      <c r="S525" s="7"/>
      <c r="T525" s="7"/>
    </row>
    <row r="526">
      <c r="B526" s="7"/>
      <c r="C526" s="54"/>
      <c r="D526" s="7"/>
      <c r="E526" s="7"/>
      <c r="F526" s="7"/>
      <c r="G526" s="7"/>
      <c r="H526" s="7"/>
      <c r="I526" s="7"/>
      <c r="J526" s="54"/>
      <c r="K526" s="54"/>
      <c r="L526" s="7"/>
      <c r="M526" s="7"/>
      <c r="N526" s="7"/>
      <c r="O526" s="7"/>
      <c r="P526" s="7"/>
      <c r="Q526" s="7"/>
      <c r="R526" s="7"/>
      <c r="S526" s="7"/>
      <c r="T526" s="7"/>
    </row>
    <row r="527">
      <c r="B527" s="7"/>
      <c r="C527" s="54"/>
      <c r="D527" s="7"/>
      <c r="E527" s="7"/>
      <c r="F527" s="7"/>
      <c r="G527" s="7"/>
      <c r="H527" s="7"/>
      <c r="I527" s="7"/>
      <c r="J527" s="54"/>
      <c r="K527" s="54"/>
      <c r="L527" s="7"/>
      <c r="M527" s="7"/>
      <c r="N527" s="7"/>
      <c r="O527" s="7"/>
      <c r="P527" s="7"/>
      <c r="Q527" s="7"/>
      <c r="R527" s="7"/>
      <c r="S527" s="7"/>
      <c r="T527" s="7"/>
    </row>
    <row r="528">
      <c r="B528" s="7"/>
      <c r="C528" s="54"/>
      <c r="D528" s="7"/>
      <c r="E528" s="7"/>
      <c r="F528" s="7"/>
      <c r="G528" s="7"/>
      <c r="H528" s="7"/>
      <c r="I528" s="7"/>
      <c r="J528" s="54"/>
      <c r="K528" s="54"/>
      <c r="L528" s="7"/>
      <c r="M528" s="7"/>
      <c r="N528" s="7"/>
      <c r="O528" s="7"/>
      <c r="P528" s="7"/>
      <c r="Q528" s="7"/>
      <c r="R528" s="7"/>
      <c r="S528" s="7"/>
      <c r="T528" s="7"/>
    </row>
    <row r="529">
      <c r="B529" s="7"/>
      <c r="C529" s="54"/>
      <c r="D529" s="7"/>
      <c r="E529" s="7"/>
      <c r="F529" s="7"/>
      <c r="G529" s="7"/>
      <c r="H529" s="7"/>
      <c r="I529" s="7"/>
      <c r="J529" s="54"/>
      <c r="K529" s="54"/>
      <c r="L529" s="7"/>
      <c r="M529" s="7"/>
      <c r="N529" s="7"/>
      <c r="O529" s="7"/>
      <c r="P529" s="7"/>
      <c r="Q529" s="7"/>
      <c r="R529" s="7"/>
      <c r="S529" s="7"/>
      <c r="T529" s="7"/>
    </row>
    <row r="530">
      <c r="B530" s="7"/>
      <c r="C530" s="54"/>
      <c r="D530" s="7"/>
      <c r="E530" s="7"/>
      <c r="F530" s="7"/>
      <c r="G530" s="7"/>
      <c r="H530" s="7"/>
      <c r="I530" s="7"/>
      <c r="J530" s="54"/>
      <c r="K530" s="54"/>
      <c r="L530" s="7"/>
      <c r="M530" s="7"/>
      <c r="N530" s="7"/>
      <c r="O530" s="7"/>
      <c r="P530" s="7"/>
      <c r="Q530" s="7"/>
      <c r="R530" s="7"/>
      <c r="S530" s="7"/>
      <c r="T530" s="7"/>
    </row>
    <row r="531">
      <c r="B531" s="7"/>
      <c r="C531" s="54"/>
      <c r="D531" s="7"/>
      <c r="E531" s="7"/>
      <c r="F531" s="7"/>
      <c r="G531" s="7"/>
      <c r="H531" s="7"/>
      <c r="I531" s="7"/>
      <c r="J531" s="54"/>
      <c r="K531" s="54"/>
      <c r="L531" s="7"/>
      <c r="M531" s="7"/>
      <c r="N531" s="7"/>
      <c r="O531" s="7"/>
      <c r="P531" s="7"/>
      <c r="Q531" s="7"/>
      <c r="R531" s="7"/>
      <c r="S531" s="7"/>
      <c r="T531" s="7"/>
    </row>
    <row r="532">
      <c r="B532" s="7"/>
      <c r="C532" s="54"/>
      <c r="D532" s="7"/>
      <c r="E532" s="7"/>
      <c r="F532" s="7"/>
      <c r="G532" s="7"/>
      <c r="H532" s="7"/>
      <c r="I532" s="7"/>
      <c r="J532" s="54"/>
      <c r="K532" s="54"/>
      <c r="L532" s="7"/>
      <c r="M532" s="7"/>
      <c r="N532" s="7"/>
      <c r="O532" s="7"/>
      <c r="P532" s="7"/>
      <c r="Q532" s="7"/>
      <c r="R532" s="7"/>
      <c r="S532" s="7"/>
      <c r="T532" s="7"/>
    </row>
    <row r="533">
      <c r="B533" s="7"/>
      <c r="C533" s="54"/>
      <c r="D533" s="7"/>
      <c r="E533" s="7"/>
      <c r="F533" s="7"/>
      <c r="G533" s="7"/>
      <c r="H533" s="7"/>
      <c r="I533" s="7"/>
      <c r="J533" s="54"/>
      <c r="K533" s="54"/>
      <c r="L533" s="7"/>
      <c r="M533" s="7"/>
      <c r="N533" s="7"/>
      <c r="O533" s="7"/>
      <c r="P533" s="7"/>
      <c r="Q533" s="7"/>
      <c r="R533" s="7"/>
      <c r="S533" s="7"/>
      <c r="T533" s="7"/>
    </row>
    <row r="534">
      <c r="B534" s="7"/>
      <c r="C534" s="54"/>
      <c r="D534" s="7"/>
      <c r="E534" s="7"/>
      <c r="F534" s="7"/>
      <c r="G534" s="7"/>
      <c r="H534" s="7"/>
      <c r="I534" s="7"/>
      <c r="J534" s="54"/>
      <c r="K534" s="54"/>
      <c r="L534" s="7"/>
      <c r="M534" s="7"/>
      <c r="N534" s="7"/>
      <c r="O534" s="7"/>
      <c r="P534" s="7"/>
      <c r="Q534" s="7"/>
      <c r="R534" s="7"/>
      <c r="S534" s="7"/>
      <c r="T534" s="7"/>
    </row>
    <row r="535">
      <c r="B535" s="7"/>
      <c r="C535" s="54"/>
      <c r="D535" s="7"/>
      <c r="E535" s="7"/>
      <c r="F535" s="7"/>
      <c r="G535" s="7"/>
      <c r="H535" s="7"/>
      <c r="I535" s="7"/>
      <c r="J535" s="54"/>
      <c r="K535" s="54"/>
      <c r="L535" s="7"/>
      <c r="M535" s="7"/>
      <c r="N535" s="7"/>
      <c r="O535" s="7"/>
      <c r="P535" s="7"/>
      <c r="Q535" s="7"/>
      <c r="R535" s="7"/>
      <c r="S535" s="7"/>
      <c r="T535" s="7"/>
    </row>
    <row r="536">
      <c r="B536" s="7"/>
      <c r="C536" s="54"/>
      <c r="D536" s="7"/>
      <c r="E536" s="7"/>
      <c r="F536" s="7"/>
      <c r="G536" s="7"/>
      <c r="H536" s="7"/>
      <c r="I536" s="7"/>
      <c r="J536" s="54"/>
      <c r="K536" s="54"/>
      <c r="L536" s="7"/>
      <c r="M536" s="7"/>
      <c r="N536" s="7"/>
      <c r="O536" s="7"/>
      <c r="P536" s="7"/>
      <c r="Q536" s="7"/>
      <c r="R536" s="7"/>
      <c r="S536" s="7"/>
      <c r="T536" s="7"/>
    </row>
    <row r="537">
      <c r="B537" s="7"/>
      <c r="C537" s="54"/>
      <c r="D537" s="7"/>
      <c r="E537" s="7"/>
      <c r="F537" s="7"/>
      <c r="G537" s="7"/>
      <c r="H537" s="7"/>
      <c r="I537" s="7"/>
      <c r="J537" s="54"/>
      <c r="K537" s="54"/>
      <c r="L537" s="7"/>
      <c r="M537" s="7"/>
      <c r="N537" s="7"/>
      <c r="O537" s="7"/>
      <c r="P537" s="7"/>
      <c r="Q537" s="7"/>
      <c r="R537" s="7"/>
      <c r="S537" s="7"/>
      <c r="T537" s="7"/>
    </row>
    <row r="538">
      <c r="B538" s="7"/>
      <c r="C538" s="54"/>
      <c r="D538" s="7"/>
      <c r="E538" s="7"/>
      <c r="F538" s="7"/>
      <c r="G538" s="7"/>
      <c r="H538" s="7"/>
      <c r="I538" s="7"/>
      <c r="J538" s="54"/>
      <c r="K538" s="54"/>
      <c r="L538" s="7"/>
      <c r="M538" s="7"/>
      <c r="N538" s="7"/>
      <c r="O538" s="7"/>
      <c r="P538" s="7"/>
      <c r="Q538" s="7"/>
      <c r="R538" s="7"/>
      <c r="S538" s="7"/>
      <c r="T538" s="7"/>
    </row>
    <row r="539">
      <c r="B539" s="7"/>
      <c r="C539" s="54"/>
      <c r="D539" s="7"/>
      <c r="E539" s="7"/>
      <c r="F539" s="7"/>
      <c r="G539" s="7"/>
      <c r="H539" s="7"/>
      <c r="I539" s="7"/>
      <c r="J539" s="54"/>
      <c r="K539" s="54"/>
      <c r="L539" s="7"/>
      <c r="M539" s="7"/>
      <c r="N539" s="7"/>
      <c r="O539" s="7"/>
      <c r="P539" s="7"/>
      <c r="Q539" s="7"/>
      <c r="R539" s="7"/>
      <c r="S539" s="7"/>
      <c r="T539" s="7"/>
    </row>
    <row r="540">
      <c r="B540" s="7"/>
      <c r="C540" s="54"/>
      <c r="D540" s="7"/>
      <c r="E540" s="7"/>
      <c r="F540" s="7"/>
      <c r="G540" s="7"/>
      <c r="H540" s="7"/>
      <c r="I540" s="7"/>
      <c r="J540" s="54"/>
      <c r="K540" s="54"/>
      <c r="L540" s="7"/>
      <c r="M540" s="7"/>
      <c r="N540" s="7"/>
      <c r="O540" s="7"/>
      <c r="P540" s="7"/>
      <c r="Q540" s="7"/>
      <c r="R540" s="7"/>
      <c r="S540" s="7"/>
      <c r="T540" s="7"/>
    </row>
    <row r="541">
      <c r="B541" s="7"/>
      <c r="C541" s="54"/>
      <c r="D541" s="7"/>
      <c r="E541" s="7"/>
      <c r="F541" s="7"/>
      <c r="G541" s="7"/>
      <c r="H541" s="7"/>
      <c r="I541" s="7"/>
      <c r="J541" s="54"/>
      <c r="K541" s="54"/>
      <c r="L541" s="7"/>
      <c r="M541" s="7"/>
      <c r="N541" s="7"/>
      <c r="O541" s="7"/>
      <c r="P541" s="7"/>
      <c r="Q541" s="7"/>
      <c r="R541" s="7"/>
      <c r="S541" s="7"/>
      <c r="T541" s="7"/>
    </row>
    <row r="542">
      <c r="B542" s="7"/>
      <c r="C542" s="54"/>
      <c r="D542" s="7"/>
      <c r="E542" s="7"/>
      <c r="F542" s="7"/>
      <c r="G542" s="7"/>
      <c r="H542" s="7"/>
      <c r="I542" s="7"/>
      <c r="J542" s="54"/>
      <c r="K542" s="54"/>
      <c r="L542" s="7"/>
      <c r="M542" s="7"/>
      <c r="N542" s="7"/>
      <c r="O542" s="7"/>
      <c r="P542" s="7"/>
      <c r="Q542" s="7"/>
      <c r="R542" s="7"/>
      <c r="S542" s="7"/>
      <c r="T542" s="7"/>
    </row>
    <row r="543">
      <c r="B543" s="7"/>
      <c r="C543" s="54"/>
      <c r="D543" s="7"/>
      <c r="E543" s="7"/>
      <c r="F543" s="7"/>
      <c r="G543" s="7"/>
      <c r="H543" s="7"/>
      <c r="I543" s="7"/>
      <c r="J543" s="54"/>
      <c r="K543" s="54"/>
      <c r="L543" s="7"/>
      <c r="M543" s="7"/>
      <c r="N543" s="7"/>
      <c r="O543" s="7"/>
      <c r="P543" s="7"/>
      <c r="Q543" s="7"/>
      <c r="R543" s="7"/>
      <c r="S543" s="7"/>
      <c r="T543" s="7"/>
    </row>
    <row r="544">
      <c r="B544" s="7"/>
      <c r="C544" s="54"/>
      <c r="D544" s="7"/>
      <c r="E544" s="7"/>
      <c r="F544" s="7"/>
      <c r="G544" s="7"/>
      <c r="H544" s="7"/>
      <c r="I544" s="7"/>
      <c r="J544" s="54"/>
      <c r="K544" s="54"/>
      <c r="L544" s="7"/>
      <c r="M544" s="7"/>
      <c r="N544" s="7"/>
      <c r="O544" s="7"/>
      <c r="P544" s="7"/>
      <c r="Q544" s="7"/>
      <c r="R544" s="7"/>
      <c r="S544" s="7"/>
      <c r="T544" s="7"/>
    </row>
    <row r="545">
      <c r="B545" s="7"/>
      <c r="C545" s="54"/>
      <c r="D545" s="7"/>
      <c r="E545" s="7"/>
      <c r="F545" s="7"/>
      <c r="G545" s="7"/>
      <c r="H545" s="7"/>
      <c r="I545" s="7"/>
      <c r="J545" s="54"/>
      <c r="K545" s="54"/>
      <c r="L545" s="7"/>
      <c r="M545" s="7"/>
      <c r="N545" s="7"/>
      <c r="O545" s="7"/>
      <c r="P545" s="7"/>
      <c r="Q545" s="7"/>
      <c r="R545" s="7"/>
      <c r="S545" s="7"/>
      <c r="T545" s="7"/>
    </row>
    <row r="546">
      <c r="B546" s="7"/>
      <c r="C546" s="54"/>
      <c r="D546" s="7"/>
      <c r="E546" s="7"/>
      <c r="F546" s="7"/>
      <c r="G546" s="7"/>
      <c r="H546" s="7"/>
      <c r="I546" s="7"/>
      <c r="J546" s="54"/>
      <c r="K546" s="54"/>
      <c r="L546" s="7"/>
      <c r="M546" s="7"/>
      <c r="N546" s="7"/>
      <c r="O546" s="7"/>
      <c r="P546" s="7"/>
      <c r="Q546" s="7"/>
      <c r="R546" s="7"/>
      <c r="S546" s="7"/>
      <c r="T546" s="7"/>
    </row>
    <row r="547">
      <c r="B547" s="7"/>
      <c r="C547" s="54"/>
      <c r="D547" s="7"/>
      <c r="E547" s="7"/>
      <c r="F547" s="7"/>
      <c r="G547" s="7"/>
      <c r="H547" s="7"/>
      <c r="I547" s="7"/>
      <c r="J547" s="54"/>
      <c r="K547" s="54"/>
      <c r="L547" s="7"/>
      <c r="M547" s="7"/>
      <c r="N547" s="7"/>
      <c r="O547" s="7"/>
      <c r="P547" s="7"/>
      <c r="Q547" s="7"/>
      <c r="R547" s="7"/>
      <c r="S547" s="7"/>
      <c r="T547" s="7"/>
    </row>
    <row r="548">
      <c r="B548" s="7"/>
      <c r="C548" s="54"/>
      <c r="D548" s="7"/>
      <c r="E548" s="7"/>
      <c r="F548" s="7"/>
      <c r="G548" s="7"/>
      <c r="H548" s="7"/>
      <c r="I548" s="7"/>
      <c r="J548" s="54"/>
      <c r="K548" s="54"/>
      <c r="L548" s="7"/>
      <c r="M548" s="7"/>
      <c r="N548" s="7"/>
      <c r="O548" s="7"/>
      <c r="P548" s="7"/>
      <c r="Q548" s="7"/>
      <c r="R548" s="7"/>
      <c r="S548" s="7"/>
      <c r="T548" s="7"/>
    </row>
    <row r="549">
      <c r="B549" s="7"/>
      <c r="C549" s="54"/>
      <c r="D549" s="7"/>
      <c r="E549" s="7"/>
      <c r="F549" s="7"/>
      <c r="G549" s="7"/>
      <c r="H549" s="7"/>
      <c r="I549" s="7"/>
      <c r="J549" s="54"/>
      <c r="K549" s="54"/>
      <c r="L549" s="7"/>
      <c r="M549" s="7"/>
      <c r="N549" s="7"/>
      <c r="O549" s="7"/>
      <c r="P549" s="7"/>
      <c r="Q549" s="7"/>
      <c r="R549" s="7"/>
      <c r="S549" s="7"/>
      <c r="T549" s="7"/>
    </row>
    <row r="550">
      <c r="B550" s="7"/>
      <c r="C550" s="54"/>
      <c r="D550" s="7"/>
      <c r="E550" s="7"/>
      <c r="F550" s="7"/>
      <c r="G550" s="7"/>
      <c r="H550" s="7"/>
      <c r="I550" s="7"/>
      <c r="J550" s="54"/>
      <c r="K550" s="54"/>
      <c r="L550" s="7"/>
      <c r="M550" s="7"/>
      <c r="N550" s="7"/>
      <c r="O550" s="7"/>
      <c r="P550" s="7"/>
      <c r="Q550" s="7"/>
      <c r="R550" s="7"/>
      <c r="S550" s="7"/>
      <c r="T550" s="7"/>
    </row>
    <row r="551">
      <c r="B551" s="7"/>
      <c r="C551" s="54"/>
      <c r="D551" s="7"/>
      <c r="E551" s="7"/>
      <c r="F551" s="7"/>
      <c r="G551" s="7"/>
      <c r="H551" s="7"/>
      <c r="I551" s="7"/>
      <c r="J551" s="54"/>
      <c r="K551" s="54"/>
      <c r="L551" s="7"/>
      <c r="M551" s="7"/>
      <c r="N551" s="7"/>
      <c r="O551" s="7"/>
      <c r="P551" s="7"/>
      <c r="Q551" s="7"/>
      <c r="R551" s="7"/>
      <c r="S551" s="7"/>
      <c r="T551" s="7"/>
    </row>
    <row r="552">
      <c r="B552" s="7"/>
      <c r="C552" s="54"/>
      <c r="D552" s="7"/>
      <c r="E552" s="7"/>
      <c r="F552" s="7"/>
      <c r="G552" s="7"/>
      <c r="H552" s="7"/>
      <c r="I552" s="7"/>
      <c r="J552" s="54"/>
      <c r="K552" s="54"/>
      <c r="L552" s="7"/>
      <c r="M552" s="7"/>
      <c r="N552" s="7"/>
      <c r="O552" s="7"/>
      <c r="P552" s="7"/>
      <c r="Q552" s="7"/>
      <c r="R552" s="7"/>
      <c r="S552" s="7"/>
      <c r="T552" s="7"/>
    </row>
    <row r="553">
      <c r="B553" s="7"/>
      <c r="C553" s="54"/>
      <c r="D553" s="7"/>
      <c r="E553" s="7"/>
      <c r="F553" s="7"/>
      <c r="G553" s="7"/>
      <c r="H553" s="7"/>
      <c r="I553" s="7"/>
      <c r="J553" s="54"/>
      <c r="K553" s="54"/>
      <c r="L553" s="7"/>
      <c r="M553" s="7"/>
      <c r="N553" s="7"/>
      <c r="O553" s="7"/>
      <c r="P553" s="7"/>
      <c r="Q553" s="7"/>
      <c r="R553" s="7"/>
      <c r="S553" s="7"/>
      <c r="T553" s="7"/>
    </row>
    <row r="554">
      <c r="B554" s="7"/>
      <c r="C554" s="54"/>
      <c r="D554" s="7"/>
      <c r="E554" s="7"/>
      <c r="F554" s="7"/>
      <c r="G554" s="7"/>
      <c r="H554" s="7"/>
      <c r="I554" s="7"/>
      <c r="J554" s="54"/>
      <c r="K554" s="54"/>
      <c r="L554" s="7"/>
      <c r="M554" s="7"/>
      <c r="N554" s="7"/>
      <c r="O554" s="7"/>
      <c r="P554" s="7"/>
      <c r="Q554" s="7"/>
      <c r="R554" s="7"/>
      <c r="S554" s="7"/>
      <c r="T554" s="7"/>
    </row>
    <row r="555">
      <c r="B555" s="7"/>
      <c r="C555" s="54"/>
      <c r="D555" s="7"/>
      <c r="E555" s="7"/>
      <c r="F555" s="7"/>
      <c r="G555" s="7"/>
      <c r="H555" s="7"/>
      <c r="I555" s="7"/>
      <c r="J555" s="54"/>
      <c r="K555" s="54"/>
      <c r="L555" s="7"/>
      <c r="M555" s="7"/>
      <c r="N555" s="7"/>
      <c r="O555" s="7"/>
      <c r="P555" s="7"/>
      <c r="Q555" s="7"/>
      <c r="R555" s="7"/>
      <c r="S555" s="7"/>
      <c r="T555" s="7"/>
    </row>
    <row r="556">
      <c r="B556" s="7"/>
      <c r="C556" s="54"/>
      <c r="D556" s="7"/>
      <c r="E556" s="7"/>
      <c r="F556" s="7"/>
      <c r="G556" s="7"/>
      <c r="H556" s="7"/>
      <c r="I556" s="7"/>
      <c r="J556" s="54"/>
      <c r="K556" s="54"/>
      <c r="L556" s="7"/>
      <c r="M556" s="7"/>
      <c r="N556" s="7"/>
      <c r="O556" s="7"/>
      <c r="P556" s="7"/>
      <c r="Q556" s="7"/>
      <c r="R556" s="7"/>
      <c r="S556" s="7"/>
      <c r="T556" s="7"/>
    </row>
    <row r="557">
      <c r="B557" s="7"/>
      <c r="C557" s="54"/>
      <c r="D557" s="7"/>
      <c r="E557" s="7"/>
      <c r="F557" s="7"/>
      <c r="G557" s="7"/>
      <c r="H557" s="7"/>
      <c r="I557" s="7"/>
      <c r="J557" s="54"/>
      <c r="K557" s="54"/>
      <c r="L557" s="7"/>
      <c r="M557" s="7"/>
      <c r="N557" s="7"/>
      <c r="O557" s="7"/>
      <c r="P557" s="7"/>
      <c r="Q557" s="7"/>
      <c r="R557" s="7"/>
      <c r="S557" s="7"/>
      <c r="T557" s="7"/>
    </row>
    <row r="558">
      <c r="B558" s="7"/>
      <c r="C558" s="54"/>
      <c r="D558" s="7"/>
      <c r="E558" s="7"/>
      <c r="F558" s="7"/>
      <c r="G558" s="7"/>
      <c r="H558" s="7"/>
      <c r="I558" s="7"/>
      <c r="J558" s="54"/>
      <c r="K558" s="54"/>
      <c r="L558" s="7"/>
      <c r="M558" s="7"/>
      <c r="N558" s="7"/>
      <c r="O558" s="7"/>
      <c r="P558" s="7"/>
      <c r="Q558" s="7"/>
      <c r="R558" s="7"/>
      <c r="S558" s="7"/>
      <c r="T558" s="7"/>
    </row>
    <row r="559">
      <c r="B559" s="7"/>
      <c r="C559" s="54"/>
      <c r="D559" s="7"/>
      <c r="E559" s="7"/>
      <c r="F559" s="7"/>
      <c r="G559" s="7"/>
      <c r="H559" s="7"/>
      <c r="I559" s="7"/>
      <c r="J559" s="54"/>
      <c r="K559" s="54"/>
      <c r="L559" s="7"/>
      <c r="M559" s="7"/>
      <c r="N559" s="7"/>
      <c r="O559" s="7"/>
      <c r="P559" s="7"/>
      <c r="Q559" s="7"/>
      <c r="R559" s="7"/>
      <c r="S559" s="7"/>
      <c r="T559" s="7"/>
    </row>
    <row r="560">
      <c r="B560" s="7"/>
      <c r="C560" s="54"/>
      <c r="D560" s="7"/>
      <c r="E560" s="7"/>
      <c r="F560" s="7"/>
      <c r="G560" s="7"/>
      <c r="H560" s="7"/>
      <c r="I560" s="7"/>
      <c r="J560" s="54"/>
      <c r="K560" s="54"/>
      <c r="L560" s="7"/>
      <c r="M560" s="7"/>
      <c r="N560" s="7"/>
      <c r="O560" s="7"/>
      <c r="P560" s="7"/>
      <c r="Q560" s="7"/>
      <c r="R560" s="7"/>
      <c r="S560" s="7"/>
      <c r="T560" s="7"/>
    </row>
    <row r="561">
      <c r="B561" s="7"/>
      <c r="C561" s="54"/>
      <c r="D561" s="7"/>
      <c r="E561" s="7"/>
      <c r="F561" s="7"/>
      <c r="G561" s="7"/>
      <c r="H561" s="7"/>
      <c r="I561" s="7"/>
      <c r="J561" s="54"/>
      <c r="K561" s="54"/>
      <c r="L561" s="7"/>
      <c r="M561" s="7"/>
      <c r="N561" s="7"/>
      <c r="O561" s="7"/>
      <c r="P561" s="7"/>
      <c r="Q561" s="7"/>
      <c r="R561" s="7"/>
      <c r="S561" s="7"/>
      <c r="T561" s="7"/>
    </row>
    <row r="562">
      <c r="B562" s="7"/>
      <c r="C562" s="54"/>
      <c r="D562" s="7"/>
      <c r="E562" s="7"/>
      <c r="F562" s="7"/>
      <c r="G562" s="7"/>
      <c r="H562" s="7"/>
      <c r="I562" s="7"/>
      <c r="J562" s="54"/>
      <c r="K562" s="54"/>
      <c r="L562" s="7"/>
      <c r="M562" s="7"/>
      <c r="N562" s="7"/>
      <c r="O562" s="7"/>
      <c r="P562" s="7"/>
      <c r="Q562" s="7"/>
      <c r="R562" s="7"/>
      <c r="S562" s="7"/>
      <c r="T562" s="7"/>
    </row>
    <row r="563">
      <c r="B563" s="7"/>
      <c r="C563" s="54"/>
      <c r="D563" s="7"/>
      <c r="E563" s="7"/>
      <c r="F563" s="7"/>
      <c r="G563" s="7"/>
      <c r="H563" s="7"/>
      <c r="I563" s="7"/>
      <c r="J563" s="54"/>
      <c r="K563" s="54"/>
      <c r="L563" s="7"/>
      <c r="M563" s="7"/>
      <c r="N563" s="7"/>
      <c r="O563" s="7"/>
      <c r="P563" s="7"/>
      <c r="Q563" s="7"/>
      <c r="R563" s="7"/>
      <c r="S563" s="7"/>
      <c r="T563" s="7"/>
    </row>
    <row r="564">
      <c r="B564" s="7"/>
      <c r="C564" s="54"/>
      <c r="D564" s="7"/>
      <c r="E564" s="7"/>
      <c r="F564" s="7"/>
      <c r="G564" s="7"/>
      <c r="H564" s="7"/>
      <c r="I564" s="7"/>
      <c r="J564" s="54"/>
      <c r="K564" s="54"/>
      <c r="L564" s="7"/>
      <c r="M564" s="7"/>
      <c r="N564" s="7"/>
      <c r="O564" s="7"/>
      <c r="P564" s="7"/>
      <c r="Q564" s="7"/>
      <c r="R564" s="7"/>
      <c r="S564" s="7"/>
      <c r="T564" s="7"/>
    </row>
    <row r="565">
      <c r="B565" s="7"/>
      <c r="C565" s="54"/>
      <c r="D565" s="7"/>
      <c r="E565" s="7"/>
      <c r="F565" s="7"/>
      <c r="G565" s="7"/>
      <c r="H565" s="7"/>
      <c r="I565" s="7"/>
      <c r="J565" s="54"/>
      <c r="K565" s="54"/>
      <c r="L565" s="7"/>
      <c r="M565" s="7"/>
      <c r="N565" s="7"/>
      <c r="O565" s="7"/>
      <c r="P565" s="7"/>
      <c r="Q565" s="7"/>
      <c r="R565" s="7"/>
      <c r="S565" s="7"/>
      <c r="T565" s="7"/>
    </row>
    <row r="566">
      <c r="B566" s="7"/>
      <c r="C566" s="54"/>
      <c r="D566" s="7"/>
      <c r="E566" s="7"/>
      <c r="F566" s="7"/>
      <c r="G566" s="7"/>
      <c r="H566" s="7"/>
      <c r="I566" s="7"/>
      <c r="J566" s="54"/>
      <c r="K566" s="54"/>
      <c r="L566" s="7"/>
      <c r="M566" s="7"/>
      <c r="N566" s="7"/>
      <c r="O566" s="7"/>
      <c r="P566" s="7"/>
      <c r="Q566" s="7"/>
      <c r="R566" s="7"/>
      <c r="S566" s="7"/>
      <c r="T566" s="7"/>
    </row>
    <row r="567">
      <c r="B567" s="7"/>
      <c r="C567" s="54"/>
      <c r="D567" s="7"/>
      <c r="E567" s="7"/>
      <c r="F567" s="7"/>
      <c r="G567" s="7"/>
      <c r="H567" s="7"/>
      <c r="I567" s="7"/>
      <c r="J567" s="54"/>
      <c r="K567" s="54"/>
      <c r="L567" s="7"/>
      <c r="M567" s="7"/>
      <c r="N567" s="7"/>
      <c r="O567" s="7"/>
      <c r="P567" s="7"/>
      <c r="Q567" s="7"/>
      <c r="R567" s="7"/>
      <c r="S567" s="7"/>
      <c r="T567" s="7"/>
    </row>
    <row r="568">
      <c r="B568" s="7"/>
      <c r="C568" s="54"/>
      <c r="D568" s="7"/>
      <c r="E568" s="7"/>
      <c r="F568" s="7"/>
      <c r="G568" s="7"/>
      <c r="H568" s="7"/>
      <c r="I568" s="7"/>
      <c r="J568" s="54"/>
      <c r="K568" s="54"/>
      <c r="L568" s="7"/>
      <c r="M568" s="7"/>
      <c r="N568" s="7"/>
      <c r="O568" s="7"/>
      <c r="P568" s="7"/>
      <c r="Q568" s="7"/>
      <c r="R568" s="7"/>
      <c r="S568" s="7"/>
      <c r="T568" s="7"/>
    </row>
    <row r="569">
      <c r="B569" s="7"/>
      <c r="C569" s="54"/>
      <c r="D569" s="7"/>
      <c r="E569" s="7"/>
      <c r="F569" s="7"/>
      <c r="G569" s="7"/>
      <c r="H569" s="7"/>
      <c r="I569" s="7"/>
      <c r="J569" s="54"/>
      <c r="K569" s="54"/>
      <c r="L569" s="7"/>
      <c r="M569" s="7"/>
      <c r="N569" s="7"/>
      <c r="O569" s="7"/>
      <c r="P569" s="7"/>
      <c r="Q569" s="7"/>
      <c r="R569" s="7"/>
      <c r="S569" s="7"/>
      <c r="T569" s="7"/>
    </row>
    <row r="570">
      <c r="B570" s="7"/>
      <c r="C570" s="54"/>
      <c r="D570" s="7"/>
      <c r="E570" s="7"/>
      <c r="F570" s="7"/>
      <c r="G570" s="7"/>
      <c r="H570" s="7"/>
      <c r="I570" s="7"/>
      <c r="J570" s="54"/>
      <c r="K570" s="54"/>
      <c r="L570" s="7"/>
      <c r="M570" s="7"/>
      <c r="N570" s="7"/>
      <c r="O570" s="7"/>
      <c r="P570" s="7"/>
      <c r="Q570" s="7"/>
      <c r="R570" s="7"/>
      <c r="S570" s="7"/>
      <c r="T570" s="7"/>
    </row>
    <row r="571">
      <c r="B571" s="7"/>
      <c r="C571" s="54"/>
      <c r="D571" s="7"/>
      <c r="E571" s="7"/>
      <c r="F571" s="7"/>
      <c r="G571" s="7"/>
      <c r="H571" s="7"/>
      <c r="I571" s="7"/>
      <c r="J571" s="54"/>
      <c r="K571" s="54"/>
      <c r="L571" s="7"/>
      <c r="M571" s="7"/>
      <c r="N571" s="7"/>
      <c r="O571" s="7"/>
      <c r="P571" s="7"/>
      <c r="Q571" s="7"/>
      <c r="R571" s="7"/>
      <c r="S571" s="7"/>
      <c r="T571" s="7"/>
    </row>
    <row r="572">
      <c r="B572" s="7"/>
      <c r="C572" s="54"/>
      <c r="D572" s="7"/>
      <c r="E572" s="7"/>
      <c r="F572" s="7"/>
      <c r="G572" s="7"/>
      <c r="H572" s="7"/>
      <c r="I572" s="7"/>
      <c r="J572" s="54"/>
      <c r="K572" s="54"/>
      <c r="L572" s="7"/>
      <c r="M572" s="7"/>
      <c r="N572" s="7"/>
      <c r="O572" s="7"/>
      <c r="P572" s="7"/>
      <c r="Q572" s="7"/>
      <c r="R572" s="7"/>
      <c r="S572" s="7"/>
      <c r="T572" s="7"/>
    </row>
    <row r="573">
      <c r="B573" s="7"/>
      <c r="C573" s="54"/>
      <c r="D573" s="7"/>
      <c r="E573" s="7"/>
      <c r="F573" s="7"/>
      <c r="G573" s="7"/>
      <c r="H573" s="7"/>
      <c r="I573" s="7"/>
      <c r="J573" s="54"/>
      <c r="K573" s="54"/>
      <c r="L573" s="7"/>
      <c r="M573" s="7"/>
      <c r="N573" s="7"/>
      <c r="O573" s="7"/>
      <c r="P573" s="7"/>
      <c r="Q573" s="7"/>
      <c r="R573" s="7"/>
      <c r="S573" s="7"/>
      <c r="T573" s="7"/>
    </row>
    <row r="574">
      <c r="B574" s="7"/>
      <c r="C574" s="54"/>
      <c r="D574" s="7"/>
      <c r="E574" s="7"/>
      <c r="F574" s="7"/>
      <c r="G574" s="7"/>
      <c r="H574" s="7"/>
      <c r="I574" s="7"/>
      <c r="J574" s="54"/>
      <c r="K574" s="54"/>
      <c r="L574" s="7"/>
      <c r="M574" s="7"/>
      <c r="N574" s="7"/>
      <c r="O574" s="7"/>
      <c r="P574" s="7"/>
      <c r="Q574" s="7"/>
      <c r="R574" s="7"/>
      <c r="S574" s="7"/>
      <c r="T574" s="7"/>
    </row>
    <row r="575">
      <c r="B575" s="7"/>
      <c r="C575" s="54"/>
      <c r="D575" s="7"/>
      <c r="E575" s="7"/>
      <c r="F575" s="7"/>
      <c r="G575" s="7"/>
      <c r="H575" s="7"/>
      <c r="I575" s="7"/>
      <c r="J575" s="54"/>
      <c r="K575" s="54"/>
      <c r="L575" s="7"/>
      <c r="M575" s="7"/>
      <c r="N575" s="7"/>
      <c r="O575" s="7"/>
      <c r="P575" s="7"/>
      <c r="Q575" s="7"/>
      <c r="R575" s="7"/>
      <c r="S575" s="7"/>
      <c r="T575" s="7"/>
    </row>
    <row r="576">
      <c r="C576" s="54"/>
      <c r="J576" s="54"/>
      <c r="K576" s="54"/>
    </row>
    <row r="577">
      <c r="C577" s="54"/>
      <c r="J577" s="54"/>
      <c r="K577" s="54"/>
    </row>
    <row r="578">
      <c r="C578" s="54"/>
      <c r="J578" s="54"/>
      <c r="K578" s="54"/>
    </row>
    <row r="579">
      <c r="C579" s="54"/>
      <c r="J579" s="54"/>
      <c r="K579" s="54"/>
    </row>
    <row r="580">
      <c r="C580" s="54"/>
      <c r="J580" s="54"/>
      <c r="K580" s="54"/>
    </row>
    <row r="581">
      <c r="C581" s="54"/>
      <c r="J581" s="54"/>
      <c r="K581" s="54"/>
    </row>
    <row r="582">
      <c r="C582" s="54"/>
      <c r="J582" s="54"/>
      <c r="K582" s="54"/>
    </row>
    <row r="583">
      <c r="C583" s="54"/>
      <c r="J583" s="54"/>
      <c r="K583" s="54"/>
    </row>
    <row r="584">
      <c r="C584" s="54"/>
      <c r="J584" s="54"/>
      <c r="K584" s="54"/>
    </row>
    <row r="585">
      <c r="C585" s="54"/>
      <c r="J585" s="54"/>
      <c r="K585" s="54"/>
    </row>
    <row r="586">
      <c r="C586" s="54"/>
      <c r="J586" s="54"/>
      <c r="K586" s="54"/>
    </row>
    <row r="587">
      <c r="C587" s="54"/>
      <c r="J587" s="54"/>
      <c r="K587" s="54"/>
    </row>
    <row r="588">
      <c r="C588" s="54"/>
      <c r="J588" s="54"/>
      <c r="K588" s="54"/>
    </row>
    <row r="589">
      <c r="C589" s="54"/>
      <c r="J589" s="54"/>
      <c r="K589" s="54"/>
    </row>
    <row r="590">
      <c r="C590" s="54"/>
      <c r="J590" s="54"/>
      <c r="K590" s="54"/>
    </row>
    <row r="591">
      <c r="C591" s="54"/>
      <c r="J591" s="54"/>
      <c r="K591" s="54"/>
    </row>
    <row r="592">
      <c r="C592" s="54"/>
      <c r="J592" s="54"/>
      <c r="K592" s="54"/>
    </row>
    <row r="593">
      <c r="C593" s="54"/>
      <c r="J593" s="54"/>
      <c r="K593" s="54"/>
    </row>
    <row r="594">
      <c r="C594" s="54"/>
      <c r="J594" s="54"/>
      <c r="K594" s="54"/>
    </row>
    <row r="595">
      <c r="C595" s="54"/>
      <c r="J595" s="54"/>
      <c r="K595" s="54"/>
    </row>
    <row r="596">
      <c r="C596" s="54"/>
      <c r="J596" s="54"/>
      <c r="K596" s="54"/>
    </row>
    <row r="597">
      <c r="C597" s="54"/>
      <c r="J597" s="54"/>
      <c r="K597" s="54"/>
    </row>
    <row r="598">
      <c r="C598" s="54"/>
      <c r="J598" s="54"/>
      <c r="K598" s="54"/>
    </row>
    <row r="599">
      <c r="C599" s="54"/>
      <c r="J599" s="54"/>
      <c r="K599" s="54"/>
    </row>
    <row r="600">
      <c r="C600" s="54"/>
      <c r="J600" s="54"/>
      <c r="K600" s="54"/>
    </row>
    <row r="601">
      <c r="C601" s="54"/>
      <c r="J601" s="54"/>
      <c r="K601" s="54"/>
    </row>
    <row r="602">
      <c r="C602" s="54"/>
      <c r="J602" s="54"/>
      <c r="K602" s="54"/>
    </row>
    <row r="603">
      <c r="C603" s="54"/>
      <c r="J603" s="54"/>
      <c r="K603" s="54"/>
    </row>
    <row r="604">
      <c r="C604" s="54"/>
      <c r="J604" s="54"/>
      <c r="K604" s="54"/>
    </row>
    <row r="605">
      <c r="C605" s="54"/>
      <c r="J605" s="54"/>
      <c r="K605" s="54"/>
    </row>
    <row r="606">
      <c r="C606" s="54"/>
      <c r="J606" s="54"/>
      <c r="K606" s="54"/>
    </row>
    <row r="607">
      <c r="C607" s="54"/>
      <c r="J607" s="54"/>
      <c r="K607" s="54"/>
    </row>
    <row r="608">
      <c r="C608" s="54"/>
      <c r="J608" s="54"/>
      <c r="K608" s="54"/>
    </row>
    <row r="609">
      <c r="C609" s="54"/>
      <c r="J609" s="54"/>
      <c r="K609" s="54"/>
    </row>
    <row r="610">
      <c r="C610" s="54"/>
      <c r="J610" s="54"/>
      <c r="K610" s="54"/>
    </row>
    <row r="611">
      <c r="C611" s="54"/>
      <c r="J611" s="54"/>
      <c r="K611" s="54"/>
    </row>
    <row r="612">
      <c r="C612" s="54"/>
      <c r="J612" s="54"/>
      <c r="K612" s="54"/>
    </row>
    <row r="613">
      <c r="C613" s="54"/>
      <c r="J613" s="54"/>
      <c r="K613" s="54"/>
    </row>
    <row r="614">
      <c r="C614" s="54"/>
      <c r="J614" s="54"/>
      <c r="K614" s="54"/>
    </row>
    <row r="615">
      <c r="C615" s="54"/>
      <c r="J615" s="54"/>
      <c r="K615" s="54"/>
    </row>
    <row r="616">
      <c r="C616" s="54"/>
      <c r="J616" s="54"/>
      <c r="K616" s="54"/>
    </row>
    <row r="617">
      <c r="C617" s="54"/>
      <c r="J617" s="54"/>
      <c r="K617" s="54"/>
    </row>
    <row r="618">
      <c r="C618" s="54"/>
      <c r="J618" s="54"/>
      <c r="K618" s="54"/>
    </row>
    <row r="619">
      <c r="C619" s="54"/>
      <c r="J619" s="54"/>
      <c r="K619" s="54"/>
    </row>
    <row r="620">
      <c r="C620" s="54"/>
      <c r="J620" s="54"/>
      <c r="K620" s="54"/>
    </row>
    <row r="621">
      <c r="C621" s="54"/>
      <c r="J621" s="54"/>
      <c r="K621" s="54"/>
    </row>
    <row r="622">
      <c r="C622" s="54"/>
      <c r="J622" s="54"/>
      <c r="K622" s="54"/>
    </row>
    <row r="623">
      <c r="C623" s="54"/>
      <c r="J623" s="54"/>
      <c r="K623" s="54"/>
    </row>
    <row r="624">
      <c r="C624" s="54"/>
      <c r="J624" s="54"/>
      <c r="K624" s="54"/>
    </row>
    <row r="625">
      <c r="C625" s="54"/>
      <c r="J625" s="54"/>
      <c r="K625" s="54"/>
    </row>
    <row r="626">
      <c r="C626" s="54"/>
      <c r="J626" s="54"/>
      <c r="K626" s="54"/>
    </row>
    <row r="627">
      <c r="C627" s="54"/>
      <c r="J627" s="54"/>
      <c r="K627" s="54"/>
    </row>
    <row r="628">
      <c r="C628" s="54"/>
      <c r="J628" s="54"/>
      <c r="K628" s="54"/>
    </row>
    <row r="629">
      <c r="C629" s="54"/>
      <c r="J629" s="54"/>
      <c r="K629" s="54"/>
    </row>
    <row r="630">
      <c r="C630" s="54"/>
      <c r="J630" s="54"/>
      <c r="K630" s="54"/>
    </row>
    <row r="631">
      <c r="C631" s="54"/>
      <c r="J631" s="54"/>
      <c r="K631" s="54"/>
    </row>
    <row r="632">
      <c r="C632" s="54"/>
      <c r="J632" s="54"/>
      <c r="K632" s="54"/>
    </row>
    <row r="633">
      <c r="C633" s="54"/>
      <c r="J633" s="54"/>
      <c r="K633" s="54"/>
    </row>
    <row r="634">
      <c r="C634" s="54"/>
      <c r="J634" s="54"/>
      <c r="K634" s="54"/>
    </row>
    <row r="635">
      <c r="C635" s="54"/>
      <c r="J635" s="54"/>
      <c r="K635" s="54"/>
    </row>
    <row r="636">
      <c r="C636" s="54"/>
      <c r="J636" s="54"/>
      <c r="K636" s="54"/>
    </row>
    <row r="637">
      <c r="C637" s="54"/>
      <c r="J637" s="54"/>
      <c r="K637" s="54"/>
    </row>
    <row r="638">
      <c r="C638" s="54"/>
      <c r="J638" s="54"/>
      <c r="K638" s="54"/>
    </row>
    <row r="639">
      <c r="C639" s="54"/>
      <c r="J639" s="54"/>
      <c r="K639" s="54"/>
    </row>
    <row r="640">
      <c r="C640" s="54"/>
      <c r="J640" s="54"/>
      <c r="K640" s="54"/>
    </row>
    <row r="641">
      <c r="C641" s="54"/>
      <c r="J641" s="54"/>
      <c r="K641" s="54"/>
    </row>
    <row r="642">
      <c r="C642" s="54"/>
      <c r="J642" s="54"/>
      <c r="K642" s="54"/>
    </row>
    <row r="643">
      <c r="C643" s="54"/>
      <c r="J643" s="54"/>
      <c r="K643" s="54"/>
    </row>
    <row r="644">
      <c r="C644" s="54"/>
      <c r="J644" s="54"/>
      <c r="K644" s="54"/>
    </row>
    <row r="645">
      <c r="C645" s="54"/>
      <c r="J645" s="54"/>
      <c r="K645" s="54"/>
    </row>
    <row r="646">
      <c r="C646" s="54"/>
      <c r="J646" s="54"/>
      <c r="K646" s="54"/>
    </row>
    <row r="647">
      <c r="C647" s="54"/>
      <c r="J647" s="54"/>
      <c r="K647" s="54"/>
    </row>
    <row r="648">
      <c r="C648" s="54"/>
      <c r="J648" s="54"/>
      <c r="K648" s="54"/>
    </row>
    <row r="649">
      <c r="C649" s="54"/>
      <c r="J649" s="54"/>
      <c r="K649" s="54"/>
    </row>
    <row r="650">
      <c r="C650" s="54"/>
      <c r="J650" s="54"/>
      <c r="K650" s="54"/>
    </row>
    <row r="651">
      <c r="C651" s="54"/>
      <c r="J651" s="54"/>
      <c r="K651" s="54"/>
    </row>
    <row r="652">
      <c r="C652" s="54"/>
      <c r="J652" s="54"/>
      <c r="K652" s="54"/>
    </row>
    <row r="653">
      <c r="C653" s="54"/>
      <c r="J653" s="54"/>
      <c r="K653" s="54"/>
    </row>
    <row r="654">
      <c r="C654" s="54"/>
      <c r="J654" s="54"/>
      <c r="K654" s="54"/>
    </row>
    <row r="655">
      <c r="C655" s="54"/>
      <c r="J655" s="54"/>
      <c r="K655" s="54"/>
    </row>
    <row r="656">
      <c r="C656" s="54"/>
      <c r="J656" s="54"/>
      <c r="K656" s="54"/>
    </row>
    <row r="657">
      <c r="C657" s="54"/>
      <c r="J657" s="54"/>
      <c r="K657" s="54"/>
    </row>
    <row r="658">
      <c r="C658" s="54"/>
      <c r="J658" s="54"/>
      <c r="K658" s="54"/>
    </row>
    <row r="659">
      <c r="C659" s="54"/>
      <c r="J659" s="54"/>
      <c r="K659" s="54"/>
    </row>
    <row r="660">
      <c r="C660" s="54"/>
      <c r="J660" s="54"/>
      <c r="K660" s="54"/>
    </row>
    <row r="661">
      <c r="C661" s="54"/>
      <c r="J661" s="54"/>
      <c r="K661" s="54"/>
    </row>
    <row r="662">
      <c r="C662" s="54"/>
      <c r="J662" s="54"/>
      <c r="K662" s="54"/>
    </row>
    <row r="663">
      <c r="C663" s="54"/>
      <c r="J663" s="54"/>
      <c r="K663" s="54"/>
    </row>
    <row r="664">
      <c r="C664" s="54"/>
      <c r="J664" s="54"/>
      <c r="K664" s="54"/>
    </row>
    <row r="665">
      <c r="C665" s="54"/>
      <c r="J665" s="54"/>
      <c r="K665" s="54"/>
    </row>
    <row r="666">
      <c r="C666" s="54"/>
      <c r="J666" s="54"/>
      <c r="K666" s="54"/>
    </row>
    <row r="667">
      <c r="C667" s="54"/>
      <c r="J667" s="54"/>
      <c r="K667" s="54"/>
    </row>
    <row r="668">
      <c r="C668" s="54"/>
      <c r="J668" s="54"/>
      <c r="K668" s="54"/>
    </row>
    <row r="669">
      <c r="C669" s="54"/>
      <c r="J669" s="54"/>
      <c r="K669" s="54"/>
    </row>
    <row r="670">
      <c r="C670" s="54"/>
      <c r="J670" s="54"/>
      <c r="K670" s="54"/>
    </row>
    <row r="671">
      <c r="C671" s="54"/>
      <c r="J671" s="54"/>
      <c r="K671" s="54"/>
    </row>
    <row r="672">
      <c r="C672" s="54"/>
      <c r="J672" s="54"/>
      <c r="K672" s="54"/>
    </row>
    <row r="673">
      <c r="C673" s="54"/>
      <c r="J673" s="54"/>
      <c r="K673" s="54"/>
    </row>
    <row r="674">
      <c r="C674" s="54"/>
      <c r="J674" s="54"/>
      <c r="K674" s="54"/>
    </row>
    <row r="675">
      <c r="C675" s="54"/>
      <c r="J675" s="54"/>
      <c r="K675" s="54"/>
    </row>
    <row r="676">
      <c r="C676" s="54"/>
      <c r="J676" s="54"/>
      <c r="K676" s="54"/>
    </row>
    <row r="677">
      <c r="C677" s="54"/>
      <c r="J677" s="54"/>
      <c r="K677" s="54"/>
    </row>
    <row r="678">
      <c r="C678" s="54"/>
      <c r="J678" s="54"/>
      <c r="K678" s="54"/>
    </row>
    <row r="679">
      <c r="C679" s="54"/>
      <c r="J679" s="54"/>
      <c r="K679" s="54"/>
    </row>
    <row r="680">
      <c r="C680" s="54"/>
      <c r="J680" s="54"/>
      <c r="K680" s="54"/>
    </row>
    <row r="681">
      <c r="C681" s="54"/>
      <c r="J681" s="54"/>
      <c r="K681" s="54"/>
    </row>
    <row r="682">
      <c r="C682" s="54"/>
      <c r="J682" s="54"/>
      <c r="K682" s="54"/>
    </row>
    <row r="683">
      <c r="C683" s="54"/>
      <c r="J683" s="54"/>
      <c r="K683" s="54"/>
    </row>
    <row r="684">
      <c r="C684" s="54"/>
      <c r="J684" s="54"/>
      <c r="K684" s="54"/>
    </row>
    <row r="685">
      <c r="C685" s="54"/>
      <c r="J685" s="54"/>
      <c r="K685" s="54"/>
    </row>
    <row r="686">
      <c r="C686" s="54"/>
      <c r="J686" s="54"/>
      <c r="K686" s="54"/>
    </row>
    <row r="687">
      <c r="C687" s="54"/>
      <c r="J687" s="54"/>
      <c r="K687" s="54"/>
    </row>
    <row r="688">
      <c r="C688" s="54"/>
      <c r="J688" s="54"/>
      <c r="K688" s="54"/>
    </row>
    <row r="689">
      <c r="C689" s="54"/>
      <c r="J689" s="54"/>
      <c r="K689" s="54"/>
    </row>
    <row r="690">
      <c r="C690" s="54"/>
      <c r="J690" s="54"/>
      <c r="K690" s="54"/>
    </row>
    <row r="691">
      <c r="C691" s="54"/>
      <c r="J691" s="54"/>
      <c r="K691" s="54"/>
    </row>
    <row r="692">
      <c r="C692" s="54"/>
      <c r="J692" s="54"/>
      <c r="K692" s="54"/>
    </row>
    <row r="693">
      <c r="C693" s="54"/>
      <c r="J693" s="54"/>
      <c r="K693" s="54"/>
    </row>
    <row r="694">
      <c r="C694" s="54"/>
      <c r="J694" s="54"/>
      <c r="K694" s="54"/>
    </row>
    <row r="695">
      <c r="C695" s="54"/>
      <c r="J695" s="54"/>
      <c r="K695" s="54"/>
    </row>
    <row r="696">
      <c r="C696" s="54"/>
      <c r="J696" s="54"/>
      <c r="K696" s="54"/>
    </row>
    <row r="697">
      <c r="C697" s="54"/>
      <c r="J697" s="54"/>
      <c r="K697" s="54"/>
    </row>
    <row r="698">
      <c r="C698" s="54"/>
      <c r="J698" s="54"/>
      <c r="K698" s="54"/>
    </row>
    <row r="699">
      <c r="C699" s="54"/>
      <c r="J699" s="54"/>
      <c r="K699" s="54"/>
    </row>
    <row r="700">
      <c r="C700" s="54"/>
      <c r="J700" s="54"/>
      <c r="K700" s="54"/>
    </row>
    <row r="701">
      <c r="C701" s="54"/>
      <c r="J701" s="54"/>
      <c r="K701" s="54"/>
    </row>
    <row r="702">
      <c r="C702" s="54"/>
      <c r="J702" s="54"/>
      <c r="K702" s="54"/>
    </row>
    <row r="703">
      <c r="C703" s="54"/>
      <c r="J703" s="54"/>
      <c r="K703" s="54"/>
    </row>
    <row r="704">
      <c r="C704" s="54"/>
      <c r="J704" s="54"/>
      <c r="K704" s="54"/>
    </row>
    <row r="705">
      <c r="C705" s="54"/>
      <c r="J705" s="54"/>
      <c r="K705" s="54"/>
    </row>
    <row r="706">
      <c r="C706" s="54"/>
      <c r="J706" s="54"/>
      <c r="K706" s="54"/>
    </row>
    <row r="707">
      <c r="C707" s="54"/>
      <c r="J707" s="54"/>
      <c r="K707" s="54"/>
    </row>
    <row r="708">
      <c r="C708" s="54"/>
      <c r="J708" s="54"/>
      <c r="K708" s="54"/>
    </row>
    <row r="709">
      <c r="C709" s="54"/>
      <c r="J709" s="54"/>
      <c r="K709" s="54"/>
    </row>
    <row r="710">
      <c r="C710" s="54"/>
      <c r="J710" s="54"/>
      <c r="K710" s="54"/>
    </row>
    <row r="711">
      <c r="C711" s="54"/>
      <c r="J711" s="54"/>
      <c r="K711" s="54"/>
    </row>
    <row r="712">
      <c r="C712" s="54"/>
      <c r="J712" s="54"/>
      <c r="K712" s="54"/>
    </row>
    <row r="713">
      <c r="C713" s="54"/>
      <c r="J713" s="54"/>
      <c r="K713" s="54"/>
    </row>
    <row r="714">
      <c r="C714" s="54"/>
      <c r="J714" s="54"/>
      <c r="K714" s="54"/>
    </row>
    <row r="715">
      <c r="C715" s="54"/>
      <c r="J715" s="54"/>
      <c r="K715" s="54"/>
    </row>
    <row r="716">
      <c r="C716" s="54"/>
      <c r="J716" s="54"/>
      <c r="K716" s="54"/>
    </row>
    <row r="717">
      <c r="C717" s="54"/>
      <c r="J717" s="54"/>
      <c r="K717" s="54"/>
    </row>
    <row r="718">
      <c r="C718" s="54"/>
      <c r="J718" s="54"/>
      <c r="K718" s="54"/>
    </row>
    <row r="719">
      <c r="C719" s="54"/>
      <c r="J719" s="54"/>
      <c r="K719" s="54"/>
    </row>
    <row r="720">
      <c r="C720" s="54"/>
      <c r="J720" s="54"/>
      <c r="K720" s="54"/>
    </row>
    <row r="721">
      <c r="C721" s="54"/>
      <c r="J721" s="54"/>
      <c r="K721" s="54"/>
    </row>
    <row r="722">
      <c r="C722" s="54"/>
      <c r="J722" s="54"/>
      <c r="K722" s="54"/>
    </row>
    <row r="723">
      <c r="C723" s="54"/>
      <c r="J723" s="54"/>
      <c r="K723" s="54"/>
    </row>
    <row r="724">
      <c r="C724" s="54"/>
      <c r="J724" s="54"/>
      <c r="K724" s="54"/>
    </row>
    <row r="725">
      <c r="C725" s="54"/>
      <c r="J725" s="54"/>
      <c r="K725" s="54"/>
    </row>
    <row r="726">
      <c r="C726" s="54"/>
      <c r="J726" s="54"/>
      <c r="K726" s="54"/>
    </row>
    <row r="727">
      <c r="C727" s="54"/>
      <c r="J727" s="54"/>
      <c r="K727" s="54"/>
    </row>
    <row r="728">
      <c r="C728" s="54"/>
      <c r="J728" s="54"/>
      <c r="K728" s="54"/>
    </row>
    <row r="729">
      <c r="C729" s="54"/>
      <c r="J729" s="54"/>
      <c r="K729" s="54"/>
    </row>
    <row r="730">
      <c r="C730" s="54"/>
      <c r="J730" s="54"/>
      <c r="K730" s="54"/>
    </row>
    <row r="731">
      <c r="C731" s="54"/>
      <c r="J731" s="54"/>
      <c r="K731" s="54"/>
    </row>
    <row r="732">
      <c r="C732" s="54"/>
      <c r="J732" s="54"/>
      <c r="K732" s="54"/>
    </row>
    <row r="733">
      <c r="C733" s="54"/>
      <c r="J733" s="54"/>
      <c r="K733" s="54"/>
    </row>
    <row r="734">
      <c r="C734" s="54"/>
      <c r="J734" s="54"/>
      <c r="K734" s="54"/>
    </row>
    <row r="735">
      <c r="C735" s="54"/>
      <c r="J735" s="54"/>
      <c r="K735" s="54"/>
    </row>
    <row r="736">
      <c r="C736" s="54"/>
      <c r="J736" s="54"/>
      <c r="K736" s="54"/>
    </row>
    <row r="737">
      <c r="C737" s="54"/>
      <c r="J737" s="54"/>
      <c r="K737" s="54"/>
    </row>
    <row r="738">
      <c r="C738" s="54"/>
      <c r="J738" s="54"/>
      <c r="K738" s="54"/>
    </row>
    <row r="739">
      <c r="C739" s="54"/>
      <c r="J739" s="54"/>
      <c r="K739" s="54"/>
    </row>
    <row r="740">
      <c r="C740" s="54"/>
      <c r="J740" s="54"/>
      <c r="K740" s="54"/>
    </row>
    <row r="741">
      <c r="C741" s="54"/>
      <c r="J741" s="54"/>
      <c r="K741" s="54"/>
    </row>
    <row r="742">
      <c r="C742" s="54"/>
      <c r="J742" s="54"/>
      <c r="K742" s="54"/>
    </row>
    <row r="743">
      <c r="C743" s="54"/>
      <c r="J743" s="54"/>
      <c r="K743" s="54"/>
    </row>
    <row r="744">
      <c r="C744" s="54"/>
      <c r="J744" s="54"/>
      <c r="K744" s="54"/>
    </row>
    <row r="745">
      <c r="C745" s="54"/>
      <c r="J745" s="54"/>
      <c r="K745" s="54"/>
    </row>
    <row r="746">
      <c r="C746" s="54"/>
      <c r="J746" s="54"/>
      <c r="K746" s="54"/>
    </row>
    <row r="747">
      <c r="C747" s="54"/>
      <c r="J747" s="54"/>
      <c r="K747" s="54"/>
    </row>
    <row r="748">
      <c r="C748" s="54"/>
      <c r="J748" s="54"/>
      <c r="K748" s="54"/>
    </row>
    <row r="749">
      <c r="C749" s="54"/>
      <c r="J749" s="54"/>
      <c r="K749" s="54"/>
    </row>
    <row r="750">
      <c r="C750" s="54"/>
      <c r="J750" s="54"/>
      <c r="K750" s="54"/>
    </row>
    <row r="751">
      <c r="C751" s="54"/>
      <c r="J751" s="54"/>
      <c r="K751" s="54"/>
    </row>
    <row r="752">
      <c r="C752" s="54"/>
      <c r="J752" s="54"/>
      <c r="K752" s="54"/>
    </row>
    <row r="753">
      <c r="C753" s="54"/>
      <c r="J753" s="54"/>
      <c r="K753" s="54"/>
    </row>
    <row r="754">
      <c r="C754" s="54"/>
      <c r="J754" s="54"/>
      <c r="K754" s="54"/>
    </row>
    <row r="755">
      <c r="C755" s="54"/>
      <c r="J755" s="54"/>
      <c r="K755" s="54"/>
    </row>
    <row r="756">
      <c r="C756" s="54"/>
      <c r="J756" s="54"/>
      <c r="K756" s="54"/>
    </row>
    <row r="757">
      <c r="C757" s="54"/>
      <c r="J757" s="54"/>
      <c r="K757" s="54"/>
    </row>
    <row r="758">
      <c r="C758" s="54"/>
      <c r="J758" s="54"/>
      <c r="K758" s="54"/>
    </row>
    <row r="759">
      <c r="C759" s="54"/>
      <c r="J759" s="54"/>
      <c r="K759" s="54"/>
    </row>
    <row r="760">
      <c r="C760" s="54"/>
      <c r="J760" s="54"/>
      <c r="K760" s="54"/>
    </row>
    <row r="761">
      <c r="C761" s="54"/>
      <c r="J761" s="54"/>
      <c r="K761" s="54"/>
    </row>
    <row r="762">
      <c r="C762" s="54"/>
      <c r="J762" s="54"/>
      <c r="K762" s="54"/>
    </row>
    <row r="763">
      <c r="C763" s="54"/>
      <c r="J763" s="54"/>
      <c r="K763" s="54"/>
    </row>
    <row r="764">
      <c r="C764" s="54"/>
      <c r="J764" s="54"/>
      <c r="K764" s="54"/>
    </row>
    <row r="765">
      <c r="C765" s="54"/>
      <c r="J765" s="54"/>
      <c r="K765" s="54"/>
    </row>
    <row r="766">
      <c r="C766" s="54"/>
      <c r="J766" s="54"/>
      <c r="K766" s="54"/>
    </row>
    <row r="767">
      <c r="C767" s="54"/>
      <c r="J767" s="54"/>
      <c r="K767" s="54"/>
    </row>
    <row r="768">
      <c r="C768" s="54"/>
      <c r="J768" s="54"/>
      <c r="K768" s="54"/>
    </row>
    <row r="769">
      <c r="C769" s="54"/>
      <c r="J769" s="54"/>
      <c r="K769" s="54"/>
    </row>
    <row r="770">
      <c r="C770" s="54"/>
      <c r="J770" s="54"/>
      <c r="K770" s="54"/>
    </row>
    <row r="771">
      <c r="C771" s="54"/>
      <c r="J771" s="54"/>
      <c r="K771" s="54"/>
    </row>
    <row r="772">
      <c r="C772" s="54"/>
      <c r="J772" s="54"/>
      <c r="K772" s="54"/>
    </row>
    <row r="773">
      <c r="C773" s="54"/>
      <c r="J773" s="54"/>
      <c r="K773" s="54"/>
    </row>
    <row r="774">
      <c r="C774" s="54"/>
      <c r="J774" s="54"/>
      <c r="K774" s="54"/>
    </row>
    <row r="775">
      <c r="C775" s="54"/>
      <c r="J775" s="54"/>
      <c r="K775" s="54"/>
    </row>
    <row r="776">
      <c r="C776" s="54"/>
      <c r="J776" s="54"/>
      <c r="K776" s="54"/>
    </row>
    <row r="777">
      <c r="C777" s="54"/>
      <c r="J777" s="54"/>
      <c r="K777" s="54"/>
    </row>
    <row r="778">
      <c r="C778" s="54"/>
      <c r="J778" s="54"/>
      <c r="K778" s="54"/>
    </row>
    <row r="779">
      <c r="C779" s="54"/>
      <c r="J779" s="54"/>
      <c r="K779" s="54"/>
    </row>
    <row r="780">
      <c r="C780" s="54"/>
      <c r="J780" s="54"/>
      <c r="K780" s="54"/>
    </row>
    <row r="781">
      <c r="C781" s="54"/>
      <c r="J781" s="54"/>
      <c r="K781" s="54"/>
    </row>
    <row r="782">
      <c r="C782" s="54"/>
      <c r="J782" s="54"/>
      <c r="K782" s="54"/>
    </row>
    <row r="783">
      <c r="C783" s="54"/>
      <c r="J783" s="54"/>
      <c r="K783" s="54"/>
    </row>
    <row r="784">
      <c r="C784" s="54"/>
      <c r="J784" s="54"/>
      <c r="K784" s="54"/>
    </row>
    <row r="785">
      <c r="C785" s="54"/>
      <c r="J785" s="54"/>
      <c r="K785" s="54"/>
    </row>
    <row r="786">
      <c r="C786" s="54"/>
      <c r="J786" s="54"/>
      <c r="K786" s="54"/>
    </row>
    <row r="787">
      <c r="C787" s="54"/>
      <c r="J787" s="54"/>
      <c r="K787" s="54"/>
    </row>
    <row r="788">
      <c r="C788" s="54"/>
      <c r="J788" s="54"/>
      <c r="K788" s="54"/>
    </row>
    <row r="789">
      <c r="C789" s="54"/>
      <c r="J789" s="54"/>
      <c r="K789" s="54"/>
    </row>
    <row r="790">
      <c r="C790" s="54"/>
      <c r="J790" s="54"/>
      <c r="K790" s="54"/>
    </row>
    <row r="791">
      <c r="C791" s="54"/>
      <c r="J791" s="54"/>
      <c r="K791" s="54"/>
    </row>
    <row r="792">
      <c r="C792" s="54"/>
      <c r="J792" s="54"/>
      <c r="K792" s="54"/>
    </row>
    <row r="793">
      <c r="C793" s="54"/>
      <c r="J793" s="54"/>
      <c r="K793" s="54"/>
    </row>
    <row r="794">
      <c r="C794" s="54"/>
      <c r="J794" s="54"/>
      <c r="K794" s="54"/>
    </row>
    <row r="795">
      <c r="C795" s="54"/>
      <c r="J795" s="54"/>
      <c r="K795" s="54"/>
    </row>
    <row r="796">
      <c r="C796" s="54"/>
      <c r="J796" s="54"/>
      <c r="K796" s="54"/>
    </row>
    <row r="797">
      <c r="C797" s="54"/>
      <c r="J797" s="54"/>
      <c r="K797" s="54"/>
    </row>
    <row r="798">
      <c r="C798" s="54"/>
      <c r="J798" s="54"/>
      <c r="K798" s="54"/>
    </row>
    <row r="799">
      <c r="C799" s="54"/>
      <c r="J799" s="54"/>
      <c r="K799" s="54"/>
    </row>
    <row r="800">
      <c r="C800" s="54"/>
      <c r="J800" s="54"/>
      <c r="K800" s="54"/>
    </row>
    <row r="801">
      <c r="C801" s="54"/>
      <c r="J801" s="54"/>
      <c r="K801" s="54"/>
    </row>
    <row r="802">
      <c r="C802" s="54"/>
      <c r="J802" s="54"/>
      <c r="K802" s="54"/>
    </row>
    <row r="803">
      <c r="C803" s="54"/>
      <c r="J803" s="54"/>
      <c r="K803" s="54"/>
    </row>
    <row r="804">
      <c r="C804" s="54"/>
      <c r="J804" s="54"/>
      <c r="K804" s="54"/>
    </row>
    <row r="805">
      <c r="C805" s="54"/>
      <c r="J805" s="54"/>
      <c r="K805" s="54"/>
    </row>
    <row r="806">
      <c r="C806" s="54"/>
      <c r="J806" s="54"/>
      <c r="K806" s="54"/>
    </row>
    <row r="807">
      <c r="C807" s="54"/>
      <c r="J807" s="54"/>
      <c r="K807" s="54"/>
    </row>
    <row r="808">
      <c r="C808" s="54"/>
      <c r="J808" s="54"/>
      <c r="K808" s="54"/>
    </row>
    <row r="809">
      <c r="C809" s="54"/>
      <c r="J809" s="54"/>
      <c r="K809" s="54"/>
    </row>
    <row r="810">
      <c r="C810" s="54"/>
      <c r="J810" s="54"/>
      <c r="K810" s="54"/>
    </row>
    <row r="811">
      <c r="C811" s="54"/>
      <c r="J811" s="54"/>
      <c r="K811" s="54"/>
    </row>
    <row r="812">
      <c r="C812" s="54"/>
      <c r="J812" s="54"/>
      <c r="K812" s="54"/>
    </row>
    <row r="813">
      <c r="C813" s="54"/>
      <c r="J813" s="54"/>
      <c r="K813" s="54"/>
    </row>
    <row r="814">
      <c r="C814" s="54"/>
      <c r="J814" s="54"/>
      <c r="K814" s="54"/>
    </row>
    <row r="815">
      <c r="C815" s="54"/>
      <c r="J815" s="54"/>
      <c r="K815" s="54"/>
    </row>
    <row r="816">
      <c r="C816" s="54"/>
      <c r="J816" s="54"/>
      <c r="K816" s="54"/>
    </row>
    <row r="817">
      <c r="C817" s="54"/>
      <c r="J817" s="54"/>
      <c r="K817" s="54"/>
    </row>
    <row r="818">
      <c r="C818" s="54"/>
      <c r="J818" s="54"/>
      <c r="K818" s="54"/>
    </row>
    <row r="819">
      <c r="C819" s="54"/>
      <c r="J819" s="54"/>
      <c r="K819" s="54"/>
    </row>
    <row r="820">
      <c r="C820" s="54"/>
      <c r="J820" s="54"/>
      <c r="K820" s="54"/>
    </row>
    <row r="821">
      <c r="C821" s="54"/>
      <c r="J821" s="54"/>
      <c r="K821" s="54"/>
    </row>
    <row r="822">
      <c r="C822" s="54"/>
      <c r="J822" s="54"/>
      <c r="K822" s="54"/>
    </row>
    <row r="823">
      <c r="C823" s="54"/>
      <c r="J823" s="54"/>
      <c r="K823" s="54"/>
    </row>
    <row r="824">
      <c r="C824" s="54"/>
      <c r="J824" s="54"/>
      <c r="K824" s="54"/>
    </row>
    <row r="825">
      <c r="C825" s="54"/>
      <c r="J825" s="54"/>
      <c r="K825" s="54"/>
    </row>
    <row r="826">
      <c r="C826" s="54"/>
      <c r="J826" s="54"/>
      <c r="K826" s="54"/>
    </row>
    <row r="827">
      <c r="C827" s="54"/>
      <c r="J827" s="54"/>
      <c r="K827" s="54"/>
    </row>
    <row r="828">
      <c r="C828" s="54"/>
      <c r="J828" s="54"/>
      <c r="K828" s="54"/>
    </row>
    <row r="829">
      <c r="C829" s="54"/>
      <c r="J829" s="54"/>
      <c r="K829" s="54"/>
    </row>
    <row r="830">
      <c r="C830" s="54"/>
      <c r="J830" s="54"/>
      <c r="K830" s="54"/>
    </row>
    <row r="831">
      <c r="C831" s="54"/>
      <c r="J831" s="54"/>
      <c r="K831" s="54"/>
    </row>
    <row r="832">
      <c r="C832" s="54"/>
      <c r="J832" s="54"/>
      <c r="K832" s="54"/>
    </row>
    <row r="833">
      <c r="C833" s="54"/>
      <c r="J833" s="54"/>
      <c r="K833" s="54"/>
    </row>
    <row r="834">
      <c r="C834" s="54"/>
      <c r="J834" s="54"/>
      <c r="K834" s="54"/>
    </row>
    <row r="835">
      <c r="C835" s="54"/>
      <c r="J835" s="54"/>
      <c r="K835" s="54"/>
    </row>
    <row r="836">
      <c r="C836" s="54"/>
      <c r="J836" s="54"/>
      <c r="K836" s="54"/>
    </row>
    <row r="837">
      <c r="C837" s="54"/>
      <c r="J837" s="54"/>
      <c r="K837" s="54"/>
    </row>
    <row r="838">
      <c r="C838" s="54"/>
      <c r="J838" s="54"/>
      <c r="K838" s="54"/>
    </row>
    <row r="839">
      <c r="C839" s="54"/>
      <c r="J839" s="54"/>
      <c r="K839" s="54"/>
    </row>
    <row r="840">
      <c r="C840" s="54"/>
      <c r="J840" s="54"/>
      <c r="K840" s="54"/>
    </row>
    <row r="841">
      <c r="C841" s="54"/>
      <c r="J841" s="54"/>
      <c r="K841" s="54"/>
    </row>
    <row r="842">
      <c r="C842" s="54"/>
      <c r="J842" s="54"/>
      <c r="K842" s="54"/>
    </row>
    <row r="843">
      <c r="C843" s="54"/>
      <c r="J843" s="54"/>
      <c r="K843" s="54"/>
    </row>
    <row r="844">
      <c r="C844" s="54"/>
      <c r="J844" s="54"/>
      <c r="K844" s="54"/>
    </row>
    <row r="845">
      <c r="C845" s="54"/>
      <c r="J845" s="54"/>
      <c r="K845" s="54"/>
    </row>
    <row r="846">
      <c r="C846" s="54"/>
      <c r="J846" s="54"/>
      <c r="K846" s="54"/>
    </row>
    <row r="847">
      <c r="C847" s="54"/>
      <c r="J847" s="54"/>
      <c r="K847" s="54"/>
    </row>
    <row r="848">
      <c r="C848" s="54"/>
      <c r="J848" s="54"/>
      <c r="K848" s="54"/>
    </row>
    <row r="849">
      <c r="C849" s="54"/>
      <c r="J849" s="54"/>
      <c r="K849" s="54"/>
    </row>
    <row r="850">
      <c r="C850" s="54"/>
      <c r="J850" s="54"/>
      <c r="K850" s="54"/>
    </row>
    <row r="851">
      <c r="C851" s="54"/>
      <c r="J851" s="54"/>
      <c r="K851" s="54"/>
    </row>
    <row r="852">
      <c r="C852" s="54"/>
      <c r="J852" s="54"/>
      <c r="K852" s="54"/>
    </row>
    <row r="853">
      <c r="C853" s="54"/>
      <c r="J853" s="54"/>
      <c r="K853" s="54"/>
    </row>
    <row r="854">
      <c r="C854" s="54"/>
      <c r="J854" s="54"/>
      <c r="K854" s="54"/>
    </row>
    <row r="855">
      <c r="C855" s="54"/>
      <c r="J855" s="54"/>
      <c r="K855" s="54"/>
    </row>
    <row r="856">
      <c r="C856" s="54"/>
      <c r="J856" s="54"/>
      <c r="K856" s="54"/>
    </row>
    <row r="857">
      <c r="C857" s="54"/>
      <c r="J857" s="54"/>
      <c r="K857" s="54"/>
    </row>
    <row r="858">
      <c r="C858" s="54"/>
      <c r="J858" s="54"/>
      <c r="K858" s="54"/>
    </row>
    <row r="859">
      <c r="C859" s="54"/>
      <c r="J859" s="54"/>
      <c r="K859" s="54"/>
    </row>
    <row r="860">
      <c r="C860" s="54"/>
      <c r="J860" s="54"/>
      <c r="K860" s="54"/>
    </row>
    <row r="861">
      <c r="C861" s="54"/>
      <c r="J861" s="54"/>
      <c r="K861" s="54"/>
    </row>
    <row r="862">
      <c r="C862" s="54"/>
      <c r="J862" s="54"/>
      <c r="K862" s="54"/>
    </row>
    <row r="863">
      <c r="C863" s="54"/>
      <c r="J863" s="54"/>
      <c r="K863" s="54"/>
    </row>
    <row r="864">
      <c r="C864" s="54"/>
      <c r="J864" s="54"/>
      <c r="K864" s="54"/>
    </row>
    <row r="865">
      <c r="C865" s="54"/>
      <c r="J865" s="54"/>
      <c r="K865" s="54"/>
    </row>
    <row r="866">
      <c r="C866" s="54"/>
      <c r="J866" s="54"/>
      <c r="K866" s="54"/>
    </row>
    <row r="867">
      <c r="C867" s="54"/>
      <c r="J867" s="54"/>
      <c r="K867" s="54"/>
    </row>
    <row r="868">
      <c r="C868" s="54"/>
      <c r="J868" s="54"/>
      <c r="K868" s="54"/>
    </row>
    <row r="869">
      <c r="C869" s="54"/>
      <c r="J869" s="54"/>
      <c r="K869" s="54"/>
    </row>
    <row r="870">
      <c r="C870" s="54"/>
      <c r="J870" s="54"/>
      <c r="K870" s="54"/>
    </row>
    <row r="871">
      <c r="C871" s="54"/>
      <c r="J871" s="54"/>
      <c r="K871" s="54"/>
    </row>
    <row r="872">
      <c r="C872" s="54"/>
      <c r="J872" s="54"/>
      <c r="K872" s="54"/>
    </row>
    <row r="873">
      <c r="C873" s="54"/>
      <c r="J873" s="54"/>
      <c r="K873" s="54"/>
    </row>
    <row r="874">
      <c r="C874" s="54"/>
      <c r="J874" s="54"/>
      <c r="K874" s="54"/>
    </row>
    <row r="875">
      <c r="C875" s="54"/>
      <c r="J875" s="54"/>
      <c r="K875" s="54"/>
    </row>
    <row r="876">
      <c r="C876" s="54"/>
      <c r="J876" s="54"/>
      <c r="K876" s="54"/>
    </row>
    <row r="877">
      <c r="C877" s="54"/>
      <c r="J877" s="54"/>
      <c r="K877" s="54"/>
    </row>
    <row r="878">
      <c r="C878" s="54"/>
      <c r="J878" s="54"/>
      <c r="K878" s="54"/>
    </row>
    <row r="879">
      <c r="C879" s="54"/>
      <c r="J879" s="54"/>
      <c r="K879" s="54"/>
    </row>
    <row r="880">
      <c r="C880" s="54"/>
      <c r="J880" s="54"/>
      <c r="K880" s="54"/>
    </row>
    <row r="881">
      <c r="C881" s="54"/>
      <c r="J881" s="54"/>
      <c r="K881" s="54"/>
    </row>
    <row r="882">
      <c r="C882" s="54"/>
      <c r="J882" s="54"/>
      <c r="K882" s="54"/>
    </row>
    <row r="883">
      <c r="C883" s="54"/>
      <c r="J883" s="54"/>
      <c r="K883" s="54"/>
    </row>
    <row r="884">
      <c r="C884" s="54"/>
      <c r="J884" s="54"/>
      <c r="K884" s="54"/>
    </row>
    <row r="885">
      <c r="C885" s="54"/>
      <c r="J885" s="54"/>
      <c r="K885" s="54"/>
    </row>
    <row r="886">
      <c r="C886" s="54"/>
      <c r="J886" s="54"/>
      <c r="K886" s="54"/>
    </row>
    <row r="887">
      <c r="C887" s="54"/>
      <c r="J887" s="54"/>
      <c r="K887" s="54"/>
    </row>
    <row r="888">
      <c r="C888" s="54"/>
      <c r="J888" s="54"/>
      <c r="K888" s="54"/>
    </row>
    <row r="889">
      <c r="C889" s="54"/>
      <c r="J889" s="54"/>
      <c r="K889" s="54"/>
    </row>
    <row r="890">
      <c r="C890" s="54"/>
      <c r="J890" s="54"/>
      <c r="K890" s="54"/>
    </row>
    <row r="891">
      <c r="C891" s="54"/>
      <c r="J891" s="54"/>
      <c r="K891" s="54"/>
    </row>
    <row r="892">
      <c r="C892" s="54"/>
      <c r="J892" s="54"/>
      <c r="K892" s="54"/>
    </row>
    <row r="893">
      <c r="C893" s="54"/>
      <c r="J893" s="54"/>
      <c r="K893" s="54"/>
    </row>
    <row r="894">
      <c r="C894" s="54"/>
      <c r="J894" s="54"/>
      <c r="K894" s="54"/>
    </row>
    <row r="895">
      <c r="C895" s="54"/>
      <c r="J895" s="54"/>
      <c r="K895" s="54"/>
    </row>
    <row r="896">
      <c r="C896" s="54"/>
      <c r="J896" s="54"/>
      <c r="K896" s="54"/>
    </row>
    <row r="897">
      <c r="C897" s="54"/>
      <c r="J897" s="54"/>
      <c r="K897" s="54"/>
    </row>
    <row r="898">
      <c r="C898" s="54"/>
      <c r="J898" s="54"/>
      <c r="K898" s="54"/>
    </row>
    <row r="899">
      <c r="C899" s="54"/>
      <c r="J899" s="54"/>
      <c r="K899" s="54"/>
    </row>
    <row r="900">
      <c r="C900" s="54"/>
      <c r="J900" s="54"/>
      <c r="K900" s="54"/>
    </row>
    <row r="901">
      <c r="C901" s="54"/>
      <c r="J901" s="54"/>
      <c r="K901" s="54"/>
    </row>
    <row r="902">
      <c r="C902" s="54"/>
      <c r="J902" s="54"/>
      <c r="K902" s="54"/>
    </row>
    <row r="903">
      <c r="C903" s="54"/>
      <c r="J903" s="54"/>
      <c r="K903" s="54"/>
    </row>
    <row r="904">
      <c r="C904" s="54"/>
      <c r="J904" s="54"/>
      <c r="K904" s="54"/>
    </row>
    <row r="905">
      <c r="C905" s="54"/>
      <c r="J905" s="54"/>
      <c r="K905" s="54"/>
    </row>
    <row r="906">
      <c r="C906" s="54"/>
      <c r="J906" s="54"/>
      <c r="K906" s="54"/>
    </row>
    <row r="907">
      <c r="C907" s="54"/>
      <c r="J907" s="54"/>
      <c r="K907" s="54"/>
    </row>
    <row r="908">
      <c r="C908" s="54"/>
      <c r="J908" s="54"/>
      <c r="K908" s="54"/>
    </row>
    <row r="909">
      <c r="C909" s="54"/>
      <c r="J909" s="54"/>
      <c r="K909" s="54"/>
    </row>
    <row r="910">
      <c r="C910" s="54"/>
      <c r="J910" s="54"/>
      <c r="K910" s="54"/>
    </row>
    <row r="911">
      <c r="C911" s="54"/>
      <c r="J911" s="54"/>
      <c r="K911" s="54"/>
    </row>
    <row r="912">
      <c r="C912" s="54"/>
      <c r="J912" s="54"/>
      <c r="K912" s="54"/>
    </row>
    <row r="913">
      <c r="C913" s="54"/>
      <c r="J913" s="54"/>
      <c r="K913" s="54"/>
    </row>
    <row r="914">
      <c r="C914" s="54"/>
      <c r="J914" s="54"/>
      <c r="K914" s="54"/>
    </row>
    <row r="915">
      <c r="C915" s="54"/>
      <c r="J915" s="54"/>
      <c r="K915" s="54"/>
    </row>
    <row r="916">
      <c r="C916" s="54"/>
      <c r="J916" s="54"/>
      <c r="K916" s="54"/>
    </row>
    <row r="917">
      <c r="C917" s="54"/>
      <c r="J917" s="54"/>
      <c r="K917" s="54"/>
    </row>
    <row r="918">
      <c r="C918" s="54"/>
      <c r="J918" s="54"/>
      <c r="K918" s="54"/>
    </row>
    <row r="919">
      <c r="C919" s="54"/>
      <c r="J919" s="54"/>
      <c r="K919" s="54"/>
    </row>
    <row r="920">
      <c r="C920" s="54"/>
      <c r="J920" s="54"/>
      <c r="K920" s="54"/>
    </row>
    <row r="921">
      <c r="C921" s="54"/>
      <c r="J921" s="54"/>
      <c r="K921" s="54"/>
    </row>
    <row r="922">
      <c r="C922" s="54"/>
      <c r="J922" s="54"/>
      <c r="K922" s="54"/>
    </row>
    <row r="923">
      <c r="C923" s="54"/>
      <c r="J923" s="54"/>
      <c r="K923" s="54"/>
    </row>
    <row r="924">
      <c r="C924" s="54"/>
      <c r="J924" s="54"/>
      <c r="K924" s="54"/>
    </row>
    <row r="925">
      <c r="C925" s="54"/>
      <c r="J925" s="54"/>
      <c r="K925" s="54"/>
    </row>
    <row r="926">
      <c r="C926" s="54"/>
      <c r="J926" s="54"/>
      <c r="K926" s="54"/>
    </row>
    <row r="927">
      <c r="C927" s="54"/>
      <c r="J927" s="54"/>
      <c r="K927" s="54"/>
    </row>
    <row r="928">
      <c r="C928" s="54"/>
      <c r="J928" s="54"/>
      <c r="K928" s="54"/>
    </row>
    <row r="929">
      <c r="C929" s="54"/>
      <c r="J929" s="54"/>
      <c r="K929" s="54"/>
    </row>
    <row r="930">
      <c r="C930" s="54"/>
      <c r="J930" s="54"/>
      <c r="K930" s="54"/>
    </row>
    <row r="931">
      <c r="C931" s="54"/>
      <c r="J931" s="54"/>
      <c r="K931" s="54"/>
    </row>
    <row r="932">
      <c r="C932" s="54"/>
      <c r="J932" s="54"/>
      <c r="K932" s="54"/>
    </row>
    <row r="933">
      <c r="C933" s="54"/>
      <c r="J933" s="54"/>
      <c r="K933" s="54"/>
    </row>
    <row r="934">
      <c r="C934" s="54"/>
      <c r="J934" s="54"/>
      <c r="K934" s="54"/>
    </row>
    <row r="935">
      <c r="C935" s="54"/>
      <c r="J935" s="54"/>
      <c r="K935" s="54"/>
    </row>
    <row r="936">
      <c r="C936" s="54"/>
      <c r="J936" s="54"/>
      <c r="K936" s="54"/>
    </row>
    <row r="937">
      <c r="C937" s="54"/>
      <c r="J937" s="54"/>
      <c r="K937" s="54"/>
    </row>
    <row r="938">
      <c r="C938" s="54"/>
      <c r="J938" s="54"/>
      <c r="K938" s="54"/>
    </row>
    <row r="939">
      <c r="C939" s="54"/>
      <c r="J939" s="54"/>
      <c r="K939" s="54"/>
    </row>
    <row r="940">
      <c r="C940" s="54"/>
      <c r="J940" s="54"/>
      <c r="K940" s="54"/>
    </row>
    <row r="941">
      <c r="C941" s="54"/>
      <c r="J941" s="54"/>
      <c r="K941" s="54"/>
    </row>
    <row r="942">
      <c r="C942" s="54"/>
      <c r="J942" s="54"/>
      <c r="K942" s="54"/>
    </row>
    <row r="943">
      <c r="C943" s="54"/>
      <c r="J943" s="54"/>
      <c r="K943" s="54"/>
    </row>
    <row r="944">
      <c r="C944" s="54"/>
      <c r="J944" s="54"/>
      <c r="K944" s="54"/>
    </row>
    <row r="945">
      <c r="C945" s="54"/>
      <c r="J945" s="54"/>
      <c r="K945" s="54"/>
    </row>
    <row r="946">
      <c r="C946" s="54"/>
      <c r="J946" s="54"/>
      <c r="K946" s="54"/>
    </row>
    <row r="947">
      <c r="C947" s="54"/>
      <c r="J947" s="54"/>
      <c r="K947" s="54"/>
    </row>
    <row r="948">
      <c r="C948" s="54"/>
      <c r="J948" s="54"/>
      <c r="K948" s="54"/>
    </row>
    <row r="949">
      <c r="C949" s="54"/>
      <c r="J949" s="54"/>
      <c r="K949" s="54"/>
    </row>
    <row r="950">
      <c r="C950" s="54"/>
      <c r="J950" s="54"/>
      <c r="K950" s="54"/>
    </row>
    <row r="951">
      <c r="C951" s="54"/>
      <c r="J951" s="54"/>
      <c r="K951" s="54"/>
    </row>
    <row r="952">
      <c r="C952" s="54"/>
      <c r="J952" s="54"/>
      <c r="K952" s="54"/>
    </row>
    <row r="953">
      <c r="C953" s="54"/>
      <c r="J953" s="54"/>
      <c r="K953" s="54"/>
    </row>
    <row r="954">
      <c r="C954" s="54"/>
      <c r="J954" s="54"/>
      <c r="K954" s="54"/>
    </row>
    <row r="955">
      <c r="C955" s="54"/>
      <c r="J955" s="54"/>
      <c r="K955" s="54"/>
    </row>
    <row r="956">
      <c r="C956" s="54"/>
      <c r="J956" s="54"/>
      <c r="K956" s="54"/>
    </row>
    <row r="957">
      <c r="C957" s="54"/>
      <c r="J957" s="54"/>
      <c r="K957" s="54"/>
    </row>
    <row r="958">
      <c r="C958" s="54"/>
      <c r="J958" s="54"/>
      <c r="K958" s="54"/>
    </row>
    <row r="959">
      <c r="C959" s="54"/>
      <c r="J959" s="54"/>
      <c r="K959" s="54"/>
    </row>
    <row r="960">
      <c r="C960" s="54"/>
      <c r="J960" s="54"/>
      <c r="K960" s="54"/>
    </row>
    <row r="961">
      <c r="C961" s="54"/>
      <c r="J961" s="54"/>
      <c r="K961" s="54"/>
    </row>
    <row r="962">
      <c r="C962" s="54"/>
      <c r="J962" s="54"/>
      <c r="K962" s="54"/>
    </row>
    <row r="963">
      <c r="C963" s="54"/>
      <c r="J963" s="54"/>
      <c r="K963" s="54"/>
    </row>
    <row r="964">
      <c r="C964" s="54"/>
      <c r="J964" s="54"/>
      <c r="K964" s="54"/>
    </row>
    <row r="965">
      <c r="C965" s="54"/>
      <c r="J965" s="54"/>
      <c r="K965" s="54"/>
    </row>
    <row r="966">
      <c r="C966" s="54"/>
      <c r="J966" s="54"/>
      <c r="K966" s="54"/>
    </row>
    <row r="967">
      <c r="C967" s="54"/>
      <c r="J967" s="54"/>
      <c r="K967" s="54"/>
    </row>
    <row r="968">
      <c r="C968" s="54"/>
      <c r="J968" s="54"/>
      <c r="K968" s="54"/>
    </row>
    <row r="969">
      <c r="C969" s="54"/>
      <c r="J969" s="54"/>
      <c r="K969" s="54"/>
    </row>
    <row r="970">
      <c r="C970" s="54"/>
      <c r="J970" s="54"/>
      <c r="K970" s="54"/>
    </row>
    <row r="971">
      <c r="C971" s="54"/>
      <c r="J971" s="54"/>
      <c r="K971" s="54"/>
    </row>
    <row r="972">
      <c r="C972" s="54"/>
      <c r="J972" s="54"/>
      <c r="K972" s="54"/>
    </row>
    <row r="973">
      <c r="C973" s="54"/>
      <c r="J973" s="54"/>
      <c r="K973" s="54"/>
    </row>
    <row r="974">
      <c r="C974" s="54"/>
      <c r="J974" s="54"/>
      <c r="K974" s="54"/>
    </row>
    <row r="975">
      <c r="C975" s="54"/>
      <c r="J975" s="54"/>
      <c r="K975" s="54"/>
    </row>
    <row r="976">
      <c r="C976" s="54"/>
      <c r="J976" s="54"/>
      <c r="K976" s="54"/>
    </row>
    <row r="977">
      <c r="C977" s="54"/>
      <c r="J977" s="54"/>
      <c r="K977" s="54"/>
    </row>
    <row r="978">
      <c r="C978" s="54"/>
      <c r="J978" s="54"/>
      <c r="K978" s="54"/>
    </row>
    <row r="979">
      <c r="C979" s="54"/>
      <c r="J979" s="54"/>
      <c r="K979" s="54"/>
    </row>
    <row r="980">
      <c r="C980" s="54"/>
      <c r="J980" s="54"/>
      <c r="K980" s="54"/>
    </row>
    <row r="981">
      <c r="C981" s="54"/>
      <c r="J981" s="54"/>
      <c r="K981" s="54"/>
    </row>
    <row r="982">
      <c r="C982" s="54"/>
      <c r="J982" s="54"/>
      <c r="K982" s="54"/>
    </row>
    <row r="983">
      <c r="C983" s="54"/>
      <c r="J983" s="54"/>
      <c r="K983" s="54"/>
    </row>
    <row r="984">
      <c r="C984" s="54"/>
      <c r="J984" s="54"/>
      <c r="K984" s="54"/>
    </row>
    <row r="985">
      <c r="C985" s="54"/>
      <c r="J985" s="54"/>
      <c r="K985" s="54"/>
    </row>
    <row r="986">
      <c r="C986" s="54"/>
      <c r="J986" s="54"/>
      <c r="K986" s="54"/>
    </row>
    <row r="987">
      <c r="C987" s="54"/>
      <c r="J987" s="54"/>
      <c r="K987" s="54"/>
    </row>
    <row r="988">
      <c r="C988" s="54"/>
      <c r="J988" s="54"/>
      <c r="K988" s="54"/>
    </row>
    <row r="989">
      <c r="C989" s="54"/>
      <c r="J989" s="54"/>
      <c r="K989" s="54"/>
    </row>
    <row r="990">
      <c r="C990" s="54"/>
      <c r="J990" s="54"/>
      <c r="K990" s="54"/>
    </row>
    <row r="991">
      <c r="C991" s="54"/>
      <c r="J991" s="54"/>
      <c r="K991" s="54"/>
    </row>
    <row r="992">
      <c r="C992" s="54"/>
      <c r="J992" s="54"/>
      <c r="K992" s="54"/>
    </row>
    <row r="993">
      <c r="C993" s="54"/>
      <c r="J993" s="54"/>
      <c r="K993" s="54"/>
    </row>
    <row r="994">
      <c r="C994" s="54"/>
      <c r="J994" s="54"/>
      <c r="K994" s="54"/>
    </row>
    <row r="995">
      <c r="C995" s="54"/>
      <c r="J995" s="54"/>
      <c r="K995" s="54"/>
    </row>
    <row r="996">
      <c r="C996" s="54"/>
      <c r="J996" s="54"/>
      <c r="K996" s="54"/>
    </row>
    <row r="997">
      <c r="C997" s="54"/>
      <c r="J997" s="54"/>
      <c r="K997" s="54"/>
    </row>
    <row r="998">
      <c r="C998" s="54"/>
      <c r="J998" s="54"/>
      <c r="K998" s="54"/>
    </row>
  </sheetData>
  <conditionalFormatting sqref="I1:I998">
    <cfRule type="cellIs" dxfId="15" priority="1" operator="greaterThan">
      <formula>0</formula>
    </cfRule>
  </conditionalFormatting>
  <conditionalFormatting sqref="H1:H998">
    <cfRule type="cellIs" dxfId="16" priority="2" operator="greaterThan">
      <formula>0</formula>
    </cfRule>
  </conditionalFormatting>
  <conditionalFormatting sqref="G1:G998">
    <cfRule type="cellIs" dxfId="9" priority="3" operator="greaterThan">
      <formula>0</formula>
    </cfRule>
  </conditionalFormatting>
  <conditionalFormatting sqref="F1:F998">
    <cfRule type="cellIs" dxfId="7" priority="4" operator="greaterThan">
      <formula>0</formula>
    </cfRule>
  </conditionalFormatting>
  <conditionalFormatting sqref="E1:E998">
    <cfRule type="cellIs" dxfId="12" priority="5" operator="greaterThan">
      <formula>0</formula>
    </cfRule>
  </conditionalFormatting>
  <conditionalFormatting sqref="B2:C998 J2:J998">
    <cfRule type="expression" dxfId="17" priority="6">
      <formula>$J2</formula>
    </cfRule>
  </conditionalFormatting>
  <hyperlinks>
    <hyperlink r:id="rId2" ref="A2"/>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9" max="9" width="9.75"/>
    <col customWidth="1" min="10" max="10" width="12.63"/>
    <col customWidth="1" min="14" max="14" width="31.63"/>
    <col customWidth="1" min="16" max="16" width="13.63"/>
    <col customWidth="1" min="17" max="17" width="37.25"/>
  </cols>
  <sheetData>
    <row r="1">
      <c r="A1" s="63" t="s">
        <v>1400</v>
      </c>
      <c r="B1" s="63" t="s">
        <v>213</v>
      </c>
      <c r="C1" s="42" t="s">
        <v>1401</v>
      </c>
      <c r="D1" s="42" t="s">
        <v>1402</v>
      </c>
      <c r="E1" s="42" t="s">
        <v>1403</v>
      </c>
      <c r="F1" s="42" t="s">
        <v>1404</v>
      </c>
      <c r="G1" s="42" t="s">
        <v>1405</v>
      </c>
      <c r="H1" s="42" t="s">
        <v>1406</v>
      </c>
      <c r="I1" s="42" t="s">
        <v>1407</v>
      </c>
      <c r="J1" s="42" t="s">
        <v>1408</v>
      </c>
      <c r="K1" s="145" t="s">
        <v>1409</v>
      </c>
      <c r="L1" s="348" t="s">
        <v>1410</v>
      </c>
      <c r="M1" s="27" t="s">
        <v>1411</v>
      </c>
      <c r="N1" s="27" t="s">
        <v>1412</v>
      </c>
      <c r="O1" s="27" t="s">
        <v>9</v>
      </c>
      <c r="P1" s="63" t="s">
        <v>1413</v>
      </c>
      <c r="Q1" s="349" t="s">
        <v>1414</v>
      </c>
    </row>
    <row r="2">
      <c r="A2" s="7" t="s">
        <v>29</v>
      </c>
      <c r="B2" s="12">
        <v>44810.0</v>
      </c>
      <c r="C2" s="54">
        <v>6.0</v>
      </c>
      <c r="D2" s="55"/>
      <c r="E2" s="83">
        <f>IFERROR(VLOOKUP(A2,'Runs Compare'!$Y$2:AD500,5,FALSE),IFERROR(0/0,""))</f>
        <v>0</v>
      </c>
      <c r="F2" s="83">
        <f>IFERROR(VLOOKUP(A2,'Runs Compare'!$Y$2:AD500,6,FALSE),IFERROR(0/0,""))</f>
        <v>0</v>
      </c>
      <c r="G2" s="172">
        <f>IFERROR(VLOOKUP($A2,'Runs Compare'!$AG3:$AM500,5,FALSE),IFERROR(0/0,""))</f>
        <v>0</v>
      </c>
      <c r="H2" s="172">
        <f>IFERROR(VLOOKUP($A2,'Runs Compare'!$AG3:$AM500,6,FALSE),IFERROR(0/0,""))</f>
        <v>0</v>
      </c>
      <c r="I2" s="172">
        <f t="shared" ref="I2:J2" si="1">IF(ISBLANK(G2),E2,E2-G2)</f>
        <v>0</v>
      </c>
      <c r="J2" s="172">
        <f t="shared" si="1"/>
        <v>0</v>
      </c>
      <c r="K2" s="172" t="b">
        <f t="shared" ref="K2:K14" si="3">IF(ISBLANK(J2),FALSE, AND(I2=0,J2=0))</f>
        <v>1</v>
      </c>
      <c r="L2" s="176" t="str">
        <f>'Process Ref'!A1</f>
        <v>ABRM</v>
      </c>
      <c r="M2" s="350" t="str">
        <f t="array" ref="M2:M23">"ARF"&amp;$L$2&amp;TEXT(SEQUENCE(SUM(C2:C500),1),"000") 
</f>
        <v>ARFABRM001</v>
      </c>
      <c r="N2" s="350" t="str">
        <f t="array" ref="N2:N23">VLOOKUP(SEQUENCE(SUM($C2:$C500),1), {MMULT(N(ROW(A2:A500)&gt;TRANSPOSE(ROW(A2:A500))),N($C2:$C500))+1, A2:A500}, 2, TRUE)
</f>
        <v>RUN-ABRM_2022-09-06_RFR-002</v>
      </c>
      <c r="O2" s="351">
        <f t="array" ref="O2:O23">VLOOKUP(SEQUENCE(SUM($C2:$C500),1), {MMULT(N(ROW(B2:B500)&gt;TRANSPOSE(ROW(B2:B500))),N($C2:$C500))+1, B2:B500}, 2, TRUE)
</f>
        <v>44810</v>
      </c>
      <c r="P2" s="315" t="str">
        <f t="shared" ref="P2:P13" si="4">IF(VLOOKUP(N2,$A$2:$K500,11,FALSE),"Negative",IFERROR(0/0,""))</f>
        <v>Negative</v>
      </c>
      <c r="Q2" s="55"/>
    </row>
    <row r="3">
      <c r="A3" s="7" t="s">
        <v>81</v>
      </c>
      <c r="B3" s="12">
        <v>44882.0</v>
      </c>
      <c r="C3" s="54">
        <v>2.0</v>
      </c>
      <c r="D3" s="55"/>
      <c r="E3" s="83">
        <f>IFERROR(VLOOKUP(A3,'Runs Compare'!$Y$2:AD500,5,FALSE),IFERROR(0/0,""))</f>
        <v>0</v>
      </c>
      <c r="F3" s="83">
        <f>IFERROR(VLOOKUP(A3,'Runs Compare'!$Y$2:AD500,6,FALSE),IFERROR(0/0,""))</f>
        <v>0</v>
      </c>
      <c r="G3" s="172">
        <f>IFERROR(VLOOKUP($A3,'Runs Compare'!$AG4:$AM500,5,FALSE),IFERROR(0/0,""))</f>
        <v>0</v>
      </c>
      <c r="H3" s="172">
        <f>IFERROR(VLOOKUP($A3,'Runs Compare'!$AG4:$AM500,6,FALSE),IFERROR(0/0,""))</f>
        <v>0</v>
      </c>
      <c r="I3" s="172">
        <f t="shared" ref="I3:J3" si="2">IF(ISBLANK(G3),E3,E3-G3)</f>
        <v>0</v>
      </c>
      <c r="J3" s="172">
        <f t="shared" si="2"/>
        <v>0</v>
      </c>
      <c r="K3" s="172" t="b">
        <f t="shared" si="3"/>
        <v>1</v>
      </c>
      <c r="M3" s="350" t="s">
        <v>1415</v>
      </c>
      <c r="N3" s="350" t="s">
        <v>29</v>
      </c>
      <c r="O3" s="351">
        <v>44810.0</v>
      </c>
      <c r="P3" s="315" t="str">
        <f t="shared" si="4"/>
        <v>Negative</v>
      </c>
    </row>
    <row r="4">
      <c r="A4" s="7" t="s">
        <v>181</v>
      </c>
      <c r="B4" s="12">
        <v>45037.0</v>
      </c>
      <c r="C4" s="54">
        <v>2.0</v>
      </c>
      <c r="D4" s="55"/>
      <c r="E4" s="83">
        <f>IFERROR(VLOOKUP(A4,'Runs Compare'!$Y$2:AD500,5,FALSE),IFERROR(0/0,""))</f>
        <v>0</v>
      </c>
      <c r="F4" s="83">
        <f>IFERROR(VLOOKUP(A4,'Runs Compare'!$Y$2:AD500,6,FALSE),IFERROR(0/0,""))</f>
        <v>0</v>
      </c>
      <c r="G4" s="172">
        <f>IFERROR(VLOOKUP($A4,'Runs Compare'!$AG5:$AM500,5,FALSE),IFERROR(0/0,""))</f>
        <v>0</v>
      </c>
      <c r="H4" s="172">
        <f>IFERROR(VLOOKUP($A4,'Runs Compare'!$AG5:$AM500,6,FALSE),IFERROR(0/0,""))</f>
        <v>0</v>
      </c>
      <c r="I4" s="172">
        <f t="shared" ref="I4:J4" si="5">IF(ISBLANK(G4),E4,E4-G4)</f>
        <v>0</v>
      </c>
      <c r="J4" s="172">
        <f t="shared" si="5"/>
        <v>0</v>
      </c>
      <c r="K4" s="172" t="b">
        <f t="shared" si="3"/>
        <v>1</v>
      </c>
      <c r="M4" s="350" t="s">
        <v>1416</v>
      </c>
      <c r="N4" s="350" t="s">
        <v>29</v>
      </c>
      <c r="O4" s="351">
        <v>44810.0</v>
      </c>
      <c r="P4" s="315" t="str">
        <f t="shared" si="4"/>
        <v>Negative</v>
      </c>
    </row>
    <row r="5">
      <c r="A5" s="7" t="s">
        <v>186</v>
      </c>
      <c r="B5" s="12">
        <v>45044.0</v>
      </c>
      <c r="C5" s="54">
        <v>2.0</v>
      </c>
      <c r="D5" s="55"/>
      <c r="E5" s="83">
        <f>IFERROR(VLOOKUP(A5,'Runs Compare'!$Y$2:AD500,5,FALSE),IFERROR(0/0,""))</f>
        <v>0</v>
      </c>
      <c r="F5" s="83">
        <f>IFERROR(VLOOKUP(A5,'Runs Compare'!$Y$2:AD500,6,FALSE),IFERROR(0/0,""))</f>
        <v>0</v>
      </c>
      <c r="G5" s="172">
        <f>IFERROR(VLOOKUP($A5,'Runs Compare'!$AG6:$AM500,5,FALSE),IFERROR(0/0,""))</f>
        <v>0</v>
      </c>
      <c r="H5" s="172">
        <f>IFERROR(VLOOKUP($A5,'Runs Compare'!$AG6:$AM500,6,FALSE),IFERROR(0/0,""))</f>
        <v>0</v>
      </c>
      <c r="I5" s="172">
        <f t="shared" ref="I5:J5" si="6">IF(ISBLANK(G5),E5,E5-G5)</f>
        <v>0</v>
      </c>
      <c r="J5" s="172">
        <f t="shared" si="6"/>
        <v>0</v>
      </c>
      <c r="K5" s="172" t="b">
        <f t="shared" si="3"/>
        <v>1</v>
      </c>
      <c r="M5" s="350" t="s">
        <v>1417</v>
      </c>
      <c r="N5" s="350" t="s">
        <v>29</v>
      </c>
      <c r="O5" s="351">
        <v>44810.0</v>
      </c>
      <c r="P5" s="315" t="str">
        <f t="shared" si="4"/>
        <v>Negative</v>
      </c>
    </row>
    <row r="6">
      <c r="A6" s="7" t="s">
        <v>200</v>
      </c>
      <c r="B6" s="12">
        <v>45065.0</v>
      </c>
      <c r="C6" s="54">
        <v>2.0</v>
      </c>
      <c r="D6" s="55"/>
      <c r="E6" s="83">
        <f>IFERROR(VLOOKUP(A6,'Runs Compare'!$Y$2:AD500,5,FALSE),IFERROR(0/0,""))</f>
        <v>1</v>
      </c>
      <c r="F6" s="83">
        <f>IFERROR(VLOOKUP(A6,'Runs Compare'!$Y$2:AD500,6,FALSE),IFERROR(0/0,""))</f>
        <v>0</v>
      </c>
      <c r="G6" s="172">
        <f>IFERROR(VLOOKUP($A6,'Runs Compare'!$AG7:$AM500,5,FALSE),IFERROR(0/0,""))</f>
        <v>0</v>
      </c>
      <c r="H6" s="172">
        <f>IFERROR(VLOOKUP($A6,'Runs Compare'!$AG7:$AM500,6,FALSE),IFERROR(0/0,""))</f>
        <v>0</v>
      </c>
      <c r="I6" s="352">
        <f t="shared" ref="I6:J6" si="7">IF(ISBLANK(G6),E6,E6-G6)</f>
        <v>1</v>
      </c>
      <c r="J6" s="352">
        <f t="shared" si="7"/>
        <v>0</v>
      </c>
      <c r="K6" s="352" t="b">
        <f t="shared" si="3"/>
        <v>0</v>
      </c>
      <c r="M6" s="350" t="s">
        <v>1418</v>
      </c>
      <c r="N6" s="350" t="s">
        <v>29</v>
      </c>
      <c r="O6" s="351">
        <v>44810.0</v>
      </c>
      <c r="P6" s="315" t="str">
        <f t="shared" si="4"/>
        <v>Negative</v>
      </c>
    </row>
    <row r="7">
      <c r="A7" s="7" t="s">
        <v>1358</v>
      </c>
      <c r="B7" s="12">
        <v>44809.0</v>
      </c>
      <c r="C7" s="54">
        <v>1.0</v>
      </c>
      <c r="D7" s="55"/>
      <c r="E7" s="83">
        <f>IFERROR(VLOOKUP(A7,'Runs Compare'!$Y$2:AD500,5,FALSE),IFERROR(0/0,""))</f>
        <v>0</v>
      </c>
      <c r="F7" s="83">
        <f>IFERROR(VLOOKUP(A7,'Runs Compare'!$Y$2:AD500,6,FALSE),IFERROR(0/0,""))</f>
        <v>0</v>
      </c>
      <c r="G7" s="172" t="str">
        <f>IFERROR(VLOOKUP($A7,'Runs Compare'!$AG8:$AM500,5,FALSE),IFERROR(0/0,""))</f>
        <v/>
      </c>
      <c r="H7" s="172" t="str">
        <f>IFERROR(VLOOKUP($A7,'Runs Compare'!$AG8:$AM500,6,FALSE),IFERROR(0/0,""))</f>
        <v/>
      </c>
      <c r="I7" s="172">
        <f t="shared" ref="I7:J7" si="8">IF(ISBLANK(G7),E7,E7-G7)</f>
        <v>0</v>
      </c>
      <c r="J7" s="172">
        <f t="shared" si="8"/>
        <v>0</v>
      </c>
      <c r="K7" s="172" t="b">
        <f t="shared" si="3"/>
        <v>1</v>
      </c>
      <c r="M7" s="350" t="s">
        <v>1419</v>
      </c>
      <c r="N7" s="350" t="s">
        <v>29</v>
      </c>
      <c r="O7" s="351">
        <v>44810.0</v>
      </c>
      <c r="P7" s="315" t="str">
        <f t="shared" si="4"/>
        <v>Negative</v>
      </c>
    </row>
    <row r="8">
      <c r="A8" s="102" t="s">
        <v>99</v>
      </c>
      <c r="B8" s="103">
        <v>44904.0</v>
      </c>
      <c r="C8" s="54">
        <v>1.0</v>
      </c>
      <c r="D8" s="55"/>
      <c r="E8" s="83">
        <f>IFERROR(VLOOKUP(A8,'Runs Compare'!$Y$2:AD500,5,FALSE),IFERROR(0/0,""))</f>
        <v>0</v>
      </c>
      <c r="F8" s="83">
        <f>IFERROR(VLOOKUP(A8,'Runs Compare'!$Y$2:AD500,6,FALSE),IFERROR(0/0,""))</f>
        <v>0</v>
      </c>
      <c r="G8" s="172">
        <f>IFERROR(VLOOKUP($A8,'Runs Compare'!$AG9:$AM500,5,FALSE),IFERROR(0/0,""))</f>
        <v>0</v>
      </c>
      <c r="H8" s="172">
        <f>IFERROR(VLOOKUP($A8,'Runs Compare'!$AG9:$AM500,6,FALSE),IFERROR(0/0,""))</f>
        <v>0</v>
      </c>
      <c r="I8" s="172">
        <f t="shared" ref="I8:J8" si="9">IF(ISBLANK(G8),E8,E8-G8)</f>
        <v>0</v>
      </c>
      <c r="J8" s="172">
        <f t="shared" si="9"/>
        <v>0</v>
      </c>
      <c r="K8" s="172" t="b">
        <f t="shared" si="3"/>
        <v>1</v>
      </c>
      <c r="M8" s="350" t="s">
        <v>1420</v>
      </c>
      <c r="N8" s="350" t="s">
        <v>81</v>
      </c>
      <c r="O8" s="351">
        <v>44882.0</v>
      </c>
      <c r="P8" s="315" t="str">
        <f t="shared" si="4"/>
        <v>Negative</v>
      </c>
    </row>
    <row r="9">
      <c r="A9" s="7" t="s">
        <v>160</v>
      </c>
      <c r="B9" s="12">
        <v>45012.0</v>
      </c>
      <c r="C9" s="54">
        <v>1.0</v>
      </c>
      <c r="E9" s="83">
        <f>IFERROR(VLOOKUP(A9,'Runs Compare'!$Y$2:AD500,5,FALSE),IFERROR(0/0,""))</f>
        <v>0</v>
      </c>
      <c r="F9" s="83">
        <f>IFERROR(VLOOKUP(A9,'Runs Compare'!$Y$2:AD500,6,FALSE),IFERROR(0/0,""))</f>
        <v>0</v>
      </c>
      <c r="G9" s="172">
        <f>IFERROR(VLOOKUP($A9,'Runs Compare'!$AG10:$AM500,5,FALSE),IFERROR(0/0,""))</f>
        <v>0</v>
      </c>
      <c r="H9" s="172">
        <f>IFERROR(VLOOKUP($A9,'Runs Compare'!$AG10:$AM500,6,FALSE),IFERROR(0/0,""))</f>
        <v>0</v>
      </c>
      <c r="I9" s="172">
        <f t="shared" ref="I9:J9" si="10">IF(ISBLANK(G9),E9,E9-G9)</f>
        <v>0</v>
      </c>
      <c r="J9" s="172">
        <f t="shared" si="10"/>
        <v>0</v>
      </c>
      <c r="K9" s="172" t="b">
        <f t="shared" si="3"/>
        <v>1</v>
      </c>
      <c r="M9" s="350" t="s">
        <v>1421</v>
      </c>
      <c r="N9" s="350" t="s">
        <v>81</v>
      </c>
      <c r="O9" s="351">
        <v>44882.0</v>
      </c>
      <c r="P9" s="315" t="str">
        <f t="shared" si="4"/>
        <v>Negative</v>
      </c>
    </row>
    <row r="10">
      <c r="A10" s="7" t="s">
        <v>179</v>
      </c>
      <c r="B10" s="12">
        <v>45035.0</v>
      </c>
      <c r="C10" s="54">
        <v>1.0</v>
      </c>
      <c r="E10" s="83">
        <f>IFERROR(VLOOKUP(A10,'Runs Compare'!$Y$2:AD500,5,FALSE),IFERROR(0/0,""))</f>
        <v>0</v>
      </c>
      <c r="F10" s="83">
        <f>IFERROR(VLOOKUP(A10,'Runs Compare'!$Y$2:AD500,6,FALSE),IFERROR(0/0,""))</f>
        <v>0</v>
      </c>
      <c r="G10" s="172">
        <f>IFERROR(VLOOKUP($A10,'Runs Compare'!$AG11:$AM500,5,FALSE),IFERROR(0/0,""))</f>
        <v>0</v>
      </c>
      <c r="H10" s="172">
        <f>IFERROR(VLOOKUP($A10,'Runs Compare'!$AG11:$AM500,6,FALSE),IFERROR(0/0,""))</f>
        <v>0</v>
      </c>
      <c r="I10" s="172">
        <f t="shared" ref="I10:J10" si="11">IF(ISBLANK(G10),E10,E10-G10)</f>
        <v>0</v>
      </c>
      <c r="J10" s="172">
        <f t="shared" si="11"/>
        <v>0</v>
      </c>
      <c r="K10" s="172" t="b">
        <f t="shared" si="3"/>
        <v>1</v>
      </c>
      <c r="M10" s="350" t="s">
        <v>1422</v>
      </c>
      <c r="N10" s="350" t="s">
        <v>181</v>
      </c>
      <c r="O10" s="351">
        <v>45037.0</v>
      </c>
      <c r="P10" s="315" t="str">
        <f t="shared" si="4"/>
        <v>Negative</v>
      </c>
    </row>
    <row r="11">
      <c r="A11" s="7" t="s">
        <v>182</v>
      </c>
      <c r="B11" s="12">
        <v>45040.0</v>
      </c>
      <c r="C11" s="54">
        <v>1.0</v>
      </c>
      <c r="E11" s="83">
        <f>IFERROR(VLOOKUP(A11,'Runs Compare'!$Y$2:AD500,5,FALSE),IFERROR(0/0,""))</f>
        <v>0</v>
      </c>
      <c r="F11" s="83">
        <f>IFERROR(VLOOKUP(A11,'Runs Compare'!$Y$2:AD500,6,FALSE),IFERROR(0/0,""))</f>
        <v>0</v>
      </c>
      <c r="G11" s="172">
        <f>IFERROR(VLOOKUP($A11,'Runs Compare'!$AG12:$AM500,5,FALSE),IFERROR(0/0,""))</f>
        <v>0</v>
      </c>
      <c r="H11" s="172">
        <f>IFERROR(VLOOKUP($A11,'Runs Compare'!$AG12:$AM500,6,FALSE),IFERROR(0/0,""))</f>
        <v>0</v>
      </c>
      <c r="I11" s="172">
        <f t="shared" ref="I11:J11" si="12">IF(ISBLANK(G11),E11,E11-G11)</f>
        <v>0</v>
      </c>
      <c r="J11" s="172">
        <f t="shared" si="12"/>
        <v>0</v>
      </c>
      <c r="K11" s="172" t="b">
        <f t="shared" si="3"/>
        <v>1</v>
      </c>
      <c r="M11" s="350" t="s">
        <v>1423</v>
      </c>
      <c r="N11" s="350" t="s">
        <v>181</v>
      </c>
      <c r="O11" s="351">
        <v>45037.0</v>
      </c>
      <c r="P11" s="315" t="str">
        <f t="shared" si="4"/>
        <v>Negative</v>
      </c>
    </row>
    <row r="12">
      <c r="A12" s="7" t="s">
        <v>198</v>
      </c>
      <c r="B12" s="12">
        <v>45063.0</v>
      </c>
      <c r="C12" s="54">
        <v>1.0</v>
      </c>
      <c r="E12" s="83">
        <f>IFERROR(VLOOKUP(A12,'Runs Compare'!$Y$2:AD500,5,FALSE),IFERROR(0/0,""))</f>
        <v>0</v>
      </c>
      <c r="F12" s="83">
        <f>IFERROR(VLOOKUP(A12,'Runs Compare'!$Y$2:AD500,6,FALSE),IFERROR(0/0,""))</f>
        <v>0</v>
      </c>
      <c r="G12" s="172">
        <f>IFERROR(VLOOKUP($A12,'Runs Compare'!$AG13:$AM500,5,FALSE),IFERROR(0/0,""))</f>
        <v>0</v>
      </c>
      <c r="H12" s="172">
        <f>IFERROR(VLOOKUP($A12,'Runs Compare'!$AG13:$AM500,6,FALSE),IFERROR(0/0,""))</f>
        <v>0</v>
      </c>
      <c r="I12" s="172">
        <f t="shared" ref="I12:J12" si="13">IF(ISBLANK(G12),E12,E12-G12)</f>
        <v>0</v>
      </c>
      <c r="J12" s="172">
        <f t="shared" si="13"/>
        <v>0</v>
      </c>
      <c r="K12" s="172" t="b">
        <f t="shared" si="3"/>
        <v>1</v>
      </c>
      <c r="M12" s="350" t="s">
        <v>1424</v>
      </c>
      <c r="N12" s="350" t="s">
        <v>186</v>
      </c>
      <c r="O12" s="351">
        <v>45044.0</v>
      </c>
      <c r="P12" s="315" t="str">
        <f t="shared" si="4"/>
        <v>Negative</v>
      </c>
    </row>
    <row r="13">
      <c r="A13" s="7" t="s">
        <v>207</v>
      </c>
      <c r="B13" s="12">
        <v>45075.0</v>
      </c>
      <c r="C13" s="54">
        <v>1.0</v>
      </c>
      <c r="E13" s="83">
        <f>IFERROR(VLOOKUP(A13,'Runs Compare'!$Y$2:AD500,5,FALSE),IFERROR(0/0,""))</f>
        <v>0</v>
      </c>
      <c r="F13" s="83">
        <f>IFERROR(VLOOKUP(A13,'Runs Compare'!$Y$2:AD500,6,FALSE),IFERROR(0/0,""))</f>
        <v>0</v>
      </c>
      <c r="G13" s="172">
        <f>IFERROR(VLOOKUP($A13,'Runs Compare'!$AG14:$AM500,5,FALSE),IFERROR(0/0,""))</f>
        <v>0</v>
      </c>
      <c r="H13" s="172">
        <f>IFERROR(VLOOKUP($A13,'Runs Compare'!$AG14:$AM500,6,FALSE),IFERROR(0/0,""))</f>
        <v>0</v>
      </c>
      <c r="I13" s="172">
        <f t="shared" ref="I13:J13" si="14">IF(ISBLANK(G13),E13,E13-G13)</f>
        <v>0</v>
      </c>
      <c r="J13" s="172">
        <f t="shared" si="14"/>
        <v>0</v>
      </c>
      <c r="K13" s="172" t="b">
        <f t="shared" si="3"/>
        <v>1</v>
      </c>
      <c r="M13" s="350" t="s">
        <v>1425</v>
      </c>
      <c r="N13" s="350" t="s">
        <v>186</v>
      </c>
      <c r="O13" s="351">
        <v>45044.0</v>
      </c>
      <c r="P13" s="315" t="str">
        <f t="shared" si="4"/>
        <v>Negative</v>
      </c>
    </row>
    <row r="14">
      <c r="A14" s="7" t="s">
        <v>203</v>
      </c>
      <c r="B14" s="12">
        <v>45070.0</v>
      </c>
      <c r="C14" s="54">
        <v>1.0</v>
      </c>
      <c r="D14" s="54"/>
      <c r="E14" s="83">
        <f>IFERROR(VLOOKUP(A14,'Runs Compare'!$Y$2:AD500,5,FALSE),IFERROR(0/0,""))</f>
        <v>0</v>
      </c>
      <c r="F14" s="83">
        <f>IFERROR(VLOOKUP(A14,'Runs Compare'!$Y$2:AD500,6,FALSE),IFERROR(0/0,""))</f>
        <v>0</v>
      </c>
      <c r="G14" s="172">
        <f>IFERROR(VLOOKUP($A14,'Runs Compare'!$AG15:$AM500,5,FALSE),IFERROR(0/0,""))</f>
        <v>0</v>
      </c>
      <c r="H14" s="172">
        <f>IFERROR(VLOOKUP($A14,'Runs Compare'!$AG15:$AM500,6,FALSE),IFERROR(0/0,""))</f>
        <v>0</v>
      </c>
      <c r="I14" s="172">
        <f t="shared" ref="I14:J14" si="15">IF(ISBLANK(G14),E14,E14-G14)</f>
        <v>0</v>
      </c>
      <c r="J14" s="172">
        <f t="shared" si="15"/>
        <v>0</v>
      </c>
      <c r="K14" s="172" t="b">
        <f t="shared" si="3"/>
        <v>1</v>
      </c>
      <c r="M14" s="350" t="s">
        <v>1426</v>
      </c>
      <c r="N14" s="350" t="s">
        <v>200</v>
      </c>
      <c r="O14" s="351">
        <v>45065.0</v>
      </c>
      <c r="P14" s="353" t="s">
        <v>12</v>
      </c>
      <c r="Q14" s="354" t="s">
        <v>1427</v>
      </c>
    </row>
    <row r="15">
      <c r="B15" s="12"/>
      <c r="C15" s="54"/>
      <c r="D15" s="54"/>
      <c r="E15" s="54"/>
      <c r="F15" s="54"/>
      <c r="G15" s="54"/>
      <c r="H15" s="54"/>
      <c r="I15" s="54"/>
      <c r="J15" s="54"/>
      <c r="M15" s="350" t="s">
        <v>1428</v>
      </c>
      <c r="N15" s="350" t="s">
        <v>200</v>
      </c>
      <c r="O15" s="351">
        <v>45065.0</v>
      </c>
      <c r="P15" s="92" t="s">
        <v>11</v>
      </c>
    </row>
    <row r="16">
      <c r="B16" s="12"/>
      <c r="C16" s="54"/>
      <c r="D16" s="54"/>
      <c r="E16" s="54"/>
      <c r="F16" s="54"/>
      <c r="G16" s="54"/>
      <c r="H16" s="54"/>
      <c r="I16" s="54"/>
      <c r="J16" s="54"/>
      <c r="M16" s="350" t="s">
        <v>1429</v>
      </c>
      <c r="N16" s="350" t="s">
        <v>1358</v>
      </c>
      <c r="O16" s="351">
        <v>44809.0</v>
      </c>
      <c r="P16" s="315" t="str">
        <f t="shared" ref="P16:P23" si="16">IF(VLOOKUP(N16,$A$2:$K500,11,FALSE),"Negative",IFERROR(0/0,""))</f>
        <v>Negative</v>
      </c>
    </row>
    <row r="17">
      <c r="B17" s="12"/>
      <c r="C17" s="54"/>
      <c r="D17" s="54"/>
      <c r="E17" s="54"/>
      <c r="F17" s="54"/>
      <c r="G17" s="54"/>
      <c r="H17" s="54"/>
      <c r="I17" s="54"/>
      <c r="J17" s="54"/>
      <c r="M17" s="350" t="s">
        <v>1430</v>
      </c>
      <c r="N17" s="350" t="s">
        <v>99</v>
      </c>
      <c r="O17" s="351">
        <v>44904.0</v>
      </c>
      <c r="P17" s="315" t="str">
        <f t="shared" si="16"/>
        <v>Negative</v>
      </c>
    </row>
    <row r="18">
      <c r="B18" s="12"/>
      <c r="C18" s="54"/>
      <c r="M18" s="350" t="s">
        <v>1431</v>
      </c>
      <c r="N18" s="350" t="s">
        <v>160</v>
      </c>
      <c r="O18" s="351">
        <v>45012.0</v>
      </c>
      <c r="P18" s="315" t="str">
        <f t="shared" si="16"/>
        <v>Negative</v>
      </c>
    </row>
    <row r="19">
      <c r="B19" s="12"/>
      <c r="C19" s="54"/>
      <c r="M19" s="350" t="s">
        <v>1432</v>
      </c>
      <c r="N19" s="350" t="s">
        <v>179</v>
      </c>
      <c r="O19" s="351">
        <v>45035.0</v>
      </c>
      <c r="P19" s="315" t="str">
        <f t="shared" si="16"/>
        <v>Negative</v>
      </c>
    </row>
    <row r="20">
      <c r="B20" s="12"/>
      <c r="C20" s="54"/>
      <c r="M20" s="350" t="s">
        <v>1433</v>
      </c>
      <c r="N20" s="350" t="s">
        <v>182</v>
      </c>
      <c r="O20" s="351">
        <v>45040.0</v>
      </c>
      <c r="P20" s="315" t="str">
        <f t="shared" si="16"/>
        <v>Negative</v>
      </c>
    </row>
    <row r="21">
      <c r="A21" s="12"/>
      <c r="B21" s="12"/>
      <c r="C21" s="54"/>
      <c r="M21" s="350" t="s">
        <v>1434</v>
      </c>
      <c r="N21" s="350" t="s">
        <v>198</v>
      </c>
      <c r="O21" s="351">
        <v>45063.0</v>
      </c>
      <c r="P21" s="315" t="str">
        <f t="shared" si="16"/>
        <v>Negative</v>
      </c>
    </row>
    <row r="22">
      <c r="B22" s="12"/>
      <c r="C22" s="54"/>
      <c r="M22" s="350" t="s">
        <v>1435</v>
      </c>
      <c r="N22" s="350" t="s">
        <v>207</v>
      </c>
      <c r="O22" s="351">
        <v>45075.0</v>
      </c>
      <c r="P22" s="315" t="str">
        <f t="shared" si="16"/>
        <v>Negative</v>
      </c>
    </row>
    <row r="23">
      <c r="B23" s="12"/>
      <c r="C23" s="54"/>
      <c r="M23" s="350" t="s">
        <v>1436</v>
      </c>
      <c r="N23" s="350" t="s">
        <v>203</v>
      </c>
      <c r="O23" s="351">
        <v>45070.0</v>
      </c>
      <c r="P23" s="315" t="str">
        <f t="shared" si="16"/>
        <v>Negative</v>
      </c>
    </row>
    <row r="24">
      <c r="B24" s="12"/>
      <c r="C24" s="54"/>
      <c r="M24" s="350"/>
      <c r="N24" s="350"/>
      <c r="O24" s="350"/>
      <c r="P24" s="315"/>
    </row>
    <row r="25">
      <c r="B25" s="12"/>
      <c r="C25" s="54"/>
      <c r="M25" s="350"/>
      <c r="N25" s="350"/>
      <c r="O25" s="350"/>
      <c r="P25" s="315"/>
    </row>
    <row r="26">
      <c r="B26" s="12"/>
      <c r="C26" s="54"/>
      <c r="M26" s="350"/>
      <c r="N26" s="350"/>
      <c r="O26" s="350"/>
      <c r="P26" s="315"/>
    </row>
    <row r="27">
      <c r="B27" s="12"/>
      <c r="C27" s="54"/>
      <c r="M27" s="350"/>
      <c r="N27" s="350"/>
      <c r="O27" s="350"/>
      <c r="P27" s="315"/>
    </row>
    <row r="28">
      <c r="B28" s="12"/>
      <c r="C28" s="54"/>
      <c r="M28" s="350"/>
      <c r="N28" s="350"/>
      <c r="O28" s="350"/>
      <c r="P28" s="315"/>
    </row>
    <row r="29">
      <c r="B29" s="12"/>
      <c r="C29" s="54"/>
      <c r="M29" s="350"/>
      <c r="N29" s="350"/>
      <c r="O29" s="350"/>
      <c r="P29" s="315"/>
    </row>
    <row r="30">
      <c r="B30" s="12"/>
      <c r="C30" s="54"/>
      <c r="M30" s="350"/>
      <c r="N30" s="350"/>
      <c r="O30" s="350"/>
      <c r="P30" s="315"/>
    </row>
    <row r="31">
      <c r="B31" s="12"/>
      <c r="C31" s="54"/>
      <c r="M31" s="350"/>
      <c r="N31" s="350"/>
      <c r="O31" s="350"/>
      <c r="P31" s="315"/>
    </row>
    <row r="32">
      <c r="B32" s="12"/>
      <c r="C32" s="54"/>
      <c r="M32" s="350"/>
      <c r="N32" s="350"/>
      <c r="O32" s="350"/>
      <c r="P32" s="315"/>
    </row>
    <row r="33">
      <c r="B33" s="12"/>
      <c r="C33" s="54"/>
      <c r="M33" s="350"/>
      <c r="N33" s="350"/>
      <c r="O33" s="350"/>
      <c r="P33" s="315"/>
    </row>
    <row r="34">
      <c r="B34" s="12"/>
      <c r="C34" s="54"/>
      <c r="M34" s="350"/>
      <c r="N34" s="350"/>
      <c r="O34" s="350"/>
      <c r="P34" s="315"/>
    </row>
    <row r="35">
      <c r="B35" s="12"/>
      <c r="C35" s="54"/>
      <c r="M35" s="350"/>
      <c r="N35" s="350"/>
      <c r="O35" s="350"/>
      <c r="P35" s="315"/>
    </row>
    <row r="36">
      <c r="B36" s="12"/>
      <c r="C36" s="54"/>
      <c r="M36" s="350"/>
      <c r="N36" s="350"/>
      <c r="O36" s="350"/>
      <c r="P36" s="315"/>
    </row>
    <row r="37">
      <c r="B37" s="12"/>
      <c r="C37" s="54"/>
      <c r="M37" s="350"/>
      <c r="N37" s="350"/>
      <c r="O37" s="350"/>
      <c r="P37" s="315"/>
    </row>
    <row r="38">
      <c r="B38" s="12"/>
      <c r="C38" s="54"/>
      <c r="M38" s="350"/>
      <c r="N38" s="350"/>
      <c r="O38" s="350"/>
      <c r="P38" s="315"/>
    </row>
    <row r="39">
      <c r="B39" s="12"/>
      <c r="C39" s="54"/>
      <c r="M39" s="350"/>
      <c r="N39" s="350"/>
      <c r="O39" s="350"/>
      <c r="P39" s="315"/>
    </row>
    <row r="40">
      <c r="B40" s="12"/>
      <c r="C40" s="54"/>
      <c r="M40" s="350"/>
      <c r="N40" s="350"/>
      <c r="O40" s="350"/>
      <c r="P40" s="315"/>
    </row>
    <row r="41">
      <c r="B41" s="12"/>
      <c r="C41" s="54"/>
      <c r="M41" s="350"/>
      <c r="N41" s="350"/>
      <c r="O41" s="350"/>
      <c r="P41" s="315"/>
    </row>
    <row r="42">
      <c r="B42" s="12"/>
      <c r="C42" s="54"/>
      <c r="M42" s="350"/>
      <c r="N42" s="350"/>
      <c r="O42" s="350"/>
      <c r="P42" s="315"/>
    </row>
    <row r="43">
      <c r="B43" s="12"/>
      <c r="C43" s="54"/>
      <c r="M43" s="350"/>
      <c r="N43" s="350"/>
      <c r="O43" s="350"/>
      <c r="P43" s="315"/>
    </row>
    <row r="44">
      <c r="B44" s="12"/>
      <c r="C44" s="54"/>
      <c r="M44" s="350"/>
      <c r="N44" s="350"/>
      <c r="O44" s="350"/>
      <c r="P44" s="315"/>
    </row>
    <row r="45">
      <c r="B45" s="12"/>
      <c r="C45" s="54"/>
      <c r="M45" s="350"/>
      <c r="N45" s="350"/>
      <c r="O45" s="350"/>
      <c r="P45" s="315"/>
    </row>
    <row r="46">
      <c r="B46" s="12"/>
      <c r="C46" s="54"/>
      <c r="M46" s="350"/>
      <c r="N46" s="350"/>
      <c r="O46" s="350"/>
      <c r="P46" s="315"/>
    </row>
    <row r="47">
      <c r="B47" s="12"/>
      <c r="C47" s="54"/>
      <c r="M47" s="350"/>
      <c r="N47" s="350"/>
      <c r="O47" s="350"/>
      <c r="P47" s="315"/>
    </row>
    <row r="48">
      <c r="B48" s="12"/>
      <c r="C48" s="54"/>
      <c r="M48" s="350"/>
      <c r="N48" s="350"/>
      <c r="O48" s="350"/>
      <c r="P48" s="315"/>
    </row>
    <row r="49">
      <c r="B49" s="12"/>
      <c r="C49" s="54"/>
      <c r="M49" s="350"/>
      <c r="N49" s="350"/>
      <c r="O49" s="350"/>
      <c r="P49" s="315"/>
    </row>
    <row r="50">
      <c r="B50" s="12"/>
      <c r="C50" s="54"/>
      <c r="M50" s="350"/>
      <c r="N50" s="350"/>
      <c r="O50" s="350"/>
      <c r="P50" s="315"/>
    </row>
    <row r="51">
      <c r="B51" s="12"/>
      <c r="C51" s="54"/>
      <c r="M51" s="350"/>
      <c r="N51" s="350"/>
      <c r="O51" s="350"/>
      <c r="P51" s="315"/>
    </row>
    <row r="52">
      <c r="B52" s="12"/>
      <c r="C52" s="54"/>
      <c r="M52" s="350"/>
      <c r="N52" s="350"/>
      <c r="O52" s="350"/>
      <c r="P52" s="315"/>
    </row>
    <row r="53">
      <c r="B53" s="12"/>
      <c r="C53" s="54"/>
      <c r="M53" s="350"/>
      <c r="N53" s="350"/>
      <c r="O53" s="350"/>
      <c r="P53" s="315"/>
    </row>
    <row r="54">
      <c r="B54" s="12"/>
      <c r="C54" s="54"/>
      <c r="M54" s="350"/>
      <c r="N54" s="350"/>
      <c r="O54" s="350"/>
      <c r="P54" s="315"/>
    </row>
    <row r="55">
      <c r="B55" s="12"/>
      <c r="C55" s="54"/>
      <c r="M55" s="350"/>
      <c r="N55" s="350"/>
      <c r="O55" s="350"/>
      <c r="P55" s="315"/>
    </row>
    <row r="56">
      <c r="B56" s="12"/>
      <c r="C56" s="54"/>
      <c r="M56" s="350"/>
      <c r="N56" s="350"/>
      <c r="O56" s="350"/>
      <c r="P56" s="315"/>
    </row>
    <row r="57">
      <c r="B57" s="12"/>
      <c r="C57" s="54"/>
      <c r="M57" s="350"/>
      <c r="N57" s="350"/>
      <c r="O57" s="350"/>
      <c r="P57" s="315"/>
    </row>
    <row r="58">
      <c r="B58" s="12"/>
      <c r="C58" s="54"/>
      <c r="M58" s="350"/>
      <c r="N58" s="350"/>
      <c r="O58" s="350"/>
      <c r="P58" s="315"/>
    </row>
    <row r="59">
      <c r="B59" s="12"/>
      <c r="C59" s="54"/>
      <c r="M59" s="350"/>
      <c r="N59" s="350"/>
      <c r="O59" s="350"/>
      <c r="P59" s="315"/>
    </row>
    <row r="60">
      <c r="B60" s="12"/>
      <c r="C60" s="54"/>
      <c r="M60" s="350"/>
      <c r="N60" s="350"/>
      <c r="O60" s="350"/>
      <c r="P60" s="315"/>
    </row>
    <row r="61">
      <c r="B61" s="12"/>
      <c r="C61" s="54"/>
      <c r="M61" s="350"/>
      <c r="N61" s="350"/>
      <c r="O61" s="350"/>
      <c r="P61" s="315"/>
    </row>
    <row r="62">
      <c r="B62" s="12"/>
      <c r="C62" s="54"/>
      <c r="M62" s="350"/>
      <c r="N62" s="350"/>
      <c r="O62" s="350"/>
      <c r="P62" s="315"/>
    </row>
    <row r="63">
      <c r="B63" s="12"/>
      <c r="C63" s="54"/>
      <c r="M63" s="350"/>
      <c r="N63" s="350"/>
      <c r="O63" s="350"/>
      <c r="P63" s="315"/>
    </row>
    <row r="64">
      <c r="B64" s="12"/>
      <c r="C64" s="54"/>
      <c r="M64" s="350"/>
      <c r="N64" s="350"/>
      <c r="O64" s="350"/>
      <c r="P64" s="315"/>
    </row>
    <row r="65">
      <c r="B65" s="12"/>
      <c r="C65" s="54"/>
      <c r="M65" s="350"/>
      <c r="N65" s="350"/>
      <c r="O65" s="350"/>
      <c r="P65" s="315"/>
    </row>
    <row r="66">
      <c r="B66" s="12"/>
      <c r="C66" s="54"/>
      <c r="M66" s="350"/>
      <c r="N66" s="350"/>
      <c r="O66" s="350"/>
      <c r="P66" s="315"/>
    </row>
    <row r="67">
      <c r="A67" s="102"/>
      <c r="B67" s="103"/>
      <c r="C67" s="54"/>
      <c r="M67" s="350"/>
      <c r="N67" s="350"/>
      <c r="O67" s="350"/>
      <c r="P67" s="315"/>
    </row>
    <row r="68">
      <c r="B68" s="12"/>
      <c r="C68" s="54"/>
      <c r="M68" s="350"/>
      <c r="N68" s="350"/>
      <c r="O68" s="350"/>
      <c r="P68" s="315"/>
    </row>
    <row r="69">
      <c r="B69" s="12"/>
      <c r="C69" s="54"/>
      <c r="M69" s="350"/>
      <c r="N69" s="350"/>
      <c r="O69" s="350"/>
      <c r="P69" s="315"/>
    </row>
    <row r="70">
      <c r="B70" s="12"/>
      <c r="C70" s="54"/>
      <c r="M70" s="350"/>
      <c r="N70" s="350"/>
      <c r="O70" s="350"/>
      <c r="P70" s="315"/>
    </row>
    <row r="71">
      <c r="B71" s="12"/>
      <c r="C71" s="54"/>
      <c r="M71" s="350"/>
      <c r="N71" s="350"/>
      <c r="O71" s="350"/>
      <c r="P71" s="315"/>
    </row>
    <row r="72">
      <c r="B72" s="12"/>
      <c r="C72" s="54"/>
      <c r="M72" s="350"/>
      <c r="N72" s="350"/>
      <c r="O72" s="350"/>
      <c r="P72" s="315"/>
    </row>
    <row r="73">
      <c r="B73" s="12"/>
      <c r="C73" s="54"/>
      <c r="M73" s="350"/>
      <c r="N73" s="350"/>
      <c r="O73" s="350"/>
      <c r="P73" s="315"/>
    </row>
    <row r="74">
      <c r="B74" s="12"/>
      <c r="C74" s="54"/>
      <c r="M74" s="350"/>
      <c r="N74" s="350"/>
      <c r="O74" s="350"/>
      <c r="P74" s="315"/>
    </row>
    <row r="75">
      <c r="B75" s="12"/>
      <c r="C75" s="54"/>
      <c r="M75" s="350"/>
      <c r="N75" s="350"/>
      <c r="O75" s="350"/>
      <c r="P75" s="315"/>
    </row>
    <row r="76">
      <c r="B76" s="12"/>
      <c r="C76" s="54"/>
      <c r="M76" s="350"/>
      <c r="N76" s="350"/>
      <c r="O76" s="350"/>
      <c r="P76" s="315"/>
    </row>
    <row r="77">
      <c r="B77" s="12"/>
      <c r="C77" s="54"/>
      <c r="M77" s="350"/>
      <c r="N77" s="350"/>
      <c r="O77" s="350"/>
      <c r="P77" s="315"/>
    </row>
    <row r="78">
      <c r="B78" s="12"/>
      <c r="C78" s="54"/>
      <c r="M78" s="350"/>
      <c r="N78" s="350"/>
      <c r="O78" s="350"/>
      <c r="P78" s="315"/>
    </row>
    <row r="79">
      <c r="A79" s="102"/>
      <c r="B79" s="103"/>
      <c r="C79" s="54"/>
      <c r="M79" s="350"/>
      <c r="N79" s="350"/>
      <c r="O79" s="350"/>
      <c r="P79" s="315"/>
    </row>
    <row r="80">
      <c r="B80" s="12"/>
      <c r="C80" s="54"/>
      <c r="M80" s="350"/>
      <c r="N80" s="350"/>
      <c r="O80" s="350"/>
      <c r="P80" s="315"/>
    </row>
    <row r="81">
      <c r="B81" s="12"/>
      <c r="C81" s="54"/>
      <c r="M81" s="350"/>
      <c r="N81" s="350"/>
      <c r="O81" s="350"/>
      <c r="P81" s="315"/>
    </row>
    <row r="82">
      <c r="B82" s="12"/>
      <c r="C82" s="54"/>
      <c r="M82" s="350"/>
      <c r="N82" s="350"/>
      <c r="O82" s="350"/>
      <c r="P82" s="315"/>
    </row>
    <row r="83">
      <c r="B83" s="12"/>
      <c r="C83" s="54"/>
      <c r="M83" s="350"/>
      <c r="N83" s="350"/>
      <c r="O83" s="350"/>
      <c r="P83" s="315"/>
    </row>
    <row r="84">
      <c r="B84" s="12"/>
      <c r="C84" s="54"/>
      <c r="M84" s="350"/>
      <c r="N84" s="350"/>
      <c r="O84" s="350"/>
      <c r="P84" s="315"/>
    </row>
    <row r="85">
      <c r="B85" s="12"/>
      <c r="C85" s="54"/>
      <c r="M85" s="350"/>
      <c r="N85" s="350"/>
      <c r="O85" s="350"/>
      <c r="P85" s="315"/>
    </row>
    <row r="86">
      <c r="B86" s="12"/>
      <c r="C86" s="54"/>
      <c r="M86" s="350"/>
      <c r="N86" s="350"/>
      <c r="O86" s="350"/>
      <c r="P86" s="315"/>
    </row>
    <row r="87">
      <c r="B87" s="12"/>
      <c r="C87" s="54"/>
      <c r="M87" s="350"/>
      <c r="N87" s="350"/>
      <c r="O87" s="350"/>
      <c r="P87" s="315"/>
    </row>
    <row r="88">
      <c r="B88" s="12"/>
      <c r="C88" s="54"/>
      <c r="M88" s="350"/>
      <c r="N88" s="350"/>
      <c r="O88" s="350"/>
      <c r="P88" s="315"/>
    </row>
    <row r="89">
      <c r="B89" s="12"/>
      <c r="C89" s="54"/>
      <c r="M89" s="350"/>
      <c r="N89" s="350"/>
      <c r="O89" s="350"/>
      <c r="P89" s="315"/>
    </row>
    <row r="90">
      <c r="B90" s="12"/>
      <c r="C90" s="54"/>
      <c r="M90" s="350"/>
      <c r="N90" s="350"/>
      <c r="O90" s="350"/>
      <c r="P90" s="315"/>
    </row>
    <row r="91">
      <c r="B91" s="12"/>
      <c r="C91" s="54"/>
      <c r="M91" s="350"/>
      <c r="N91" s="350"/>
      <c r="O91" s="350"/>
      <c r="P91" s="315"/>
    </row>
    <row r="92">
      <c r="B92" s="12"/>
      <c r="C92" s="54"/>
      <c r="M92" s="350"/>
      <c r="N92" s="350"/>
      <c r="O92" s="350"/>
      <c r="P92" s="315"/>
    </row>
    <row r="93">
      <c r="B93" s="12"/>
      <c r="C93" s="54"/>
      <c r="M93" s="350"/>
      <c r="N93" s="350"/>
      <c r="O93" s="350"/>
      <c r="P93" s="315"/>
    </row>
    <row r="94">
      <c r="B94" s="12"/>
      <c r="C94" s="54"/>
      <c r="M94" s="350"/>
      <c r="N94" s="350"/>
      <c r="O94" s="350"/>
      <c r="P94" s="315"/>
    </row>
    <row r="95">
      <c r="B95" s="12"/>
      <c r="C95" s="54"/>
      <c r="M95" s="350"/>
      <c r="N95" s="350"/>
      <c r="O95" s="350"/>
      <c r="P95" s="315"/>
    </row>
    <row r="96">
      <c r="B96" s="12"/>
      <c r="C96" s="54"/>
      <c r="M96" s="350"/>
      <c r="N96" s="350"/>
      <c r="O96" s="350"/>
      <c r="P96" s="315"/>
    </row>
    <row r="97">
      <c r="B97" s="12"/>
      <c r="C97" s="54"/>
      <c r="M97" s="350"/>
      <c r="N97" s="350"/>
      <c r="O97" s="350"/>
      <c r="P97" s="315"/>
    </row>
    <row r="98">
      <c r="B98" s="12"/>
      <c r="C98" s="54"/>
      <c r="M98" s="350"/>
      <c r="N98" s="350"/>
      <c r="O98" s="350"/>
      <c r="P98" s="315"/>
    </row>
    <row r="99">
      <c r="B99" s="12"/>
      <c r="C99" s="54"/>
      <c r="M99" s="350"/>
      <c r="N99" s="350"/>
      <c r="O99" s="350"/>
      <c r="P99" s="315"/>
    </row>
    <row r="100">
      <c r="B100" s="12"/>
      <c r="C100" s="54"/>
      <c r="M100" s="350"/>
      <c r="N100" s="350"/>
      <c r="O100" s="350"/>
      <c r="P100" s="315"/>
    </row>
    <row r="101">
      <c r="B101" s="12"/>
      <c r="C101" s="54"/>
      <c r="M101" s="350"/>
      <c r="N101" s="350"/>
      <c r="O101" s="350"/>
      <c r="P101" s="315"/>
    </row>
    <row r="102">
      <c r="B102" s="12"/>
      <c r="C102" s="54"/>
      <c r="M102" s="350"/>
      <c r="N102" s="350"/>
      <c r="O102" s="350"/>
      <c r="P102" s="315"/>
    </row>
    <row r="103">
      <c r="B103" s="12"/>
      <c r="C103" s="54"/>
      <c r="M103" s="350"/>
      <c r="N103" s="350"/>
      <c r="O103" s="350"/>
      <c r="P103" s="315"/>
    </row>
    <row r="104">
      <c r="A104" s="355"/>
      <c r="B104" s="356"/>
      <c r="C104" s="54"/>
      <c r="M104" s="350"/>
      <c r="N104" s="350"/>
      <c r="O104" s="350"/>
      <c r="P104" s="315"/>
    </row>
    <row r="105">
      <c r="B105" s="12"/>
      <c r="C105" s="54"/>
      <c r="M105" s="350"/>
      <c r="N105" s="350"/>
      <c r="O105" s="350"/>
      <c r="P105" s="315"/>
    </row>
    <row r="106">
      <c r="B106" s="12"/>
      <c r="C106" s="54"/>
      <c r="M106" s="350"/>
      <c r="N106" s="350"/>
      <c r="O106" s="350"/>
      <c r="P106" s="315"/>
    </row>
    <row r="107">
      <c r="B107" s="12"/>
      <c r="C107" s="54"/>
      <c r="M107" s="350"/>
      <c r="N107" s="350"/>
      <c r="O107" s="350"/>
      <c r="P107" s="315"/>
    </row>
    <row r="108">
      <c r="B108" s="12"/>
      <c r="C108" s="54"/>
      <c r="M108" s="350"/>
      <c r="N108" s="350"/>
      <c r="O108" s="350"/>
      <c r="P108" s="315"/>
    </row>
    <row r="109">
      <c r="B109" s="12"/>
      <c r="C109" s="54"/>
      <c r="M109" s="350"/>
      <c r="N109" s="350"/>
      <c r="O109" s="350"/>
      <c r="P109" s="315"/>
    </row>
    <row r="110">
      <c r="B110" s="12"/>
      <c r="C110" s="54"/>
      <c r="M110" s="350"/>
      <c r="N110" s="350"/>
      <c r="O110" s="350"/>
      <c r="P110" s="315"/>
    </row>
    <row r="111">
      <c r="B111" s="12"/>
      <c r="C111" s="54"/>
      <c r="M111" s="350"/>
      <c r="N111" s="350"/>
      <c r="O111" s="350"/>
      <c r="P111" s="315"/>
    </row>
    <row r="112">
      <c r="B112" s="12"/>
      <c r="C112" s="54"/>
      <c r="M112" s="350"/>
      <c r="N112" s="350"/>
      <c r="O112" s="350"/>
      <c r="P112" s="315"/>
    </row>
    <row r="113">
      <c r="B113" s="12"/>
      <c r="C113" s="54"/>
      <c r="M113" s="350"/>
      <c r="N113" s="350"/>
      <c r="O113" s="350"/>
      <c r="P113" s="315"/>
    </row>
    <row r="114">
      <c r="B114" s="12"/>
      <c r="C114" s="54"/>
      <c r="M114" s="350"/>
      <c r="N114" s="350"/>
      <c r="O114" s="350"/>
      <c r="P114" s="315"/>
    </row>
    <row r="115">
      <c r="B115" s="12"/>
      <c r="C115" s="54"/>
      <c r="M115" s="350"/>
      <c r="N115" s="350"/>
      <c r="O115" s="350"/>
      <c r="P115" s="315"/>
    </row>
    <row r="116">
      <c r="B116" s="12"/>
      <c r="C116" s="54"/>
      <c r="M116" s="350"/>
      <c r="N116" s="350"/>
      <c r="O116" s="350"/>
      <c r="P116" s="315"/>
    </row>
    <row r="117">
      <c r="B117" s="12"/>
      <c r="C117" s="54"/>
      <c r="M117" s="350"/>
      <c r="N117" s="350"/>
      <c r="O117" s="350"/>
      <c r="P117" s="315"/>
    </row>
    <row r="118">
      <c r="B118" s="12"/>
      <c r="C118" s="54"/>
      <c r="M118" s="350"/>
      <c r="N118" s="350"/>
      <c r="O118" s="350"/>
      <c r="P118" s="315"/>
    </row>
    <row r="119">
      <c r="B119" s="12"/>
      <c r="C119" s="54"/>
      <c r="M119" s="350"/>
      <c r="N119" s="350"/>
      <c r="O119" s="350"/>
      <c r="P119" s="315"/>
    </row>
    <row r="120">
      <c r="B120" s="12"/>
      <c r="C120" s="54"/>
      <c r="M120" s="350"/>
      <c r="N120" s="350"/>
      <c r="O120" s="350"/>
      <c r="P120" s="315"/>
    </row>
    <row r="121">
      <c r="B121" s="12"/>
      <c r="C121" s="54"/>
      <c r="M121" s="350"/>
      <c r="N121" s="350"/>
      <c r="O121" s="350"/>
      <c r="P121" s="315"/>
    </row>
    <row r="122">
      <c r="A122" s="355"/>
      <c r="B122" s="356"/>
      <c r="C122" s="54"/>
      <c r="M122" s="350"/>
      <c r="N122" s="350"/>
      <c r="O122" s="350"/>
      <c r="P122" s="315"/>
    </row>
    <row r="123">
      <c r="B123" s="12"/>
      <c r="C123" s="54"/>
      <c r="M123" s="350"/>
      <c r="N123" s="350"/>
      <c r="O123" s="350"/>
      <c r="P123" s="315"/>
    </row>
    <row r="124">
      <c r="B124" s="12"/>
      <c r="C124" s="54"/>
      <c r="M124" s="350"/>
      <c r="N124" s="350"/>
      <c r="O124" s="350"/>
      <c r="P124" s="315"/>
    </row>
    <row r="125">
      <c r="B125" s="12"/>
      <c r="C125" s="54"/>
      <c r="M125" s="350"/>
      <c r="N125" s="350"/>
      <c r="O125" s="350"/>
      <c r="P125" s="315"/>
    </row>
    <row r="126">
      <c r="B126" s="12"/>
      <c r="C126" s="54"/>
      <c r="M126" s="350"/>
      <c r="N126" s="350"/>
      <c r="O126" s="350"/>
      <c r="P126" s="315"/>
    </row>
    <row r="127">
      <c r="B127" s="12"/>
      <c r="C127" s="54"/>
      <c r="M127" s="350"/>
      <c r="N127" s="350"/>
      <c r="O127" s="350"/>
      <c r="P127" s="315"/>
    </row>
    <row r="128">
      <c r="B128" s="12"/>
      <c r="C128" s="54"/>
      <c r="M128" s="350"/>
      <c r="N128" s="350"/>
      <c r="O128" s="350"/>
      <c r="P128" s="315"/>
    </row>
    <row r="129">
      <c r="B129" s="12"/>
      <c r="C129" s="54"/>
      <c r="M129" s="350"/>
      <c r="N129" s="350"/>
      <c r="O129" s="350"/>
      <c r="P129" s="315"/>
    </row>
    <row r="130">
      <c r="B130" s="12"/>
      <c r="C130" s="54"/>
      <c r="M130" s="350"/>
      <c r="N130" s="350"/>
      <c r="O130" s="350"/>
      <c r="P130" s="315"/>
    </row>
    <row r="131">
      <c r="B131" s="12"/>
      <c r="C131" s="54"/>
      <c r="M131" s="350"/>
      <c r="N131" s="350"/>
      <c r="O131" s="350"/>
      <c r="P131" s="315"/>
    </row>
    <row r="132">
      <c r="B132" s="12"/>
      <c r="C132" s="54"/>
      <c r="M132" s="350"/>
      <c r="N132" s="350"/>
      <c r="O132" s="350"/>
      <c r="P132" s="315"/>
    </row>
    <row r="133">
      <c r="B133" s="12"/>
      <c r="C133" s="54"/>
      <c r="M133" s="350"/>
      <c r="N133" s="350"/>
      <c r="O133" s="350"/>
      <c r="P133" s="315"/>
    </row>
    <row r="134">
      <c r="B134" s="12"/>
      <c r="C134" s="54"/>
      <c r="M134" s="350"/>
      <c r="N134" s="350"/>
      <c r="O134" s="350"/>
      <c r="P134" s="315"/>
    </row>
    <row r="135">
      <c r="B135" s="12"/>
      <c r="C135" s="54"/>
      <c r="M135" s="350"/>
      <c r="N135" s="350"/>
      <c r="O135" s="350"/>
      <c r="P135" s="315"/>
    </row>
    <row r="136">
      <c r="B136" s="12"/>
      <c r="C136" s="54"/>
      <c r="M136" s="350"/>
      <c r="N136" s="350"/>
      <c r="O136" s="350"/>
      <c r="P136" s="315"/>
    </row>
    <row r="137">
      <c r="B137" s="12"/>
      <c r="C137" s="54"/>
      <c r="M137" s="350"/>
      <c r="N137" s="350"/>
      <c r="O137" s="350"/>
      <c r="P137" s="315"/>
    </row>
    <row r="138">
      <c r="B138" s="12"/>
      <c r="C138" s="54"/>
      <c r="M138" s="350"/>
      <c r="N138" s="350"/>
      <c r="O138" s="350"/>
      <c r="P138" s="315"/>
    </row>
    <row r="139">
      <c r="B139" s="12"/>
      <c r="C139" s="54"/>
      <c r="M139" s="350"/>
      <c r="N139" s="350"/>
      <c r="O139" s="350"/>
      <c r="P139" s="315"/>
    </row>
    <row r="140">
      <c r="B140" s="12"/>
      <c r="C140" s="54"/>
      <c r="M140" s="350"/>
      <c r="N140" s="350"/>
      <c r="O140" s="350"/>
      <c r="P140" s="315"/>
    </row>
    <row r="141">
      <c r="B141" s="12"/>
      <c r="C141" s="54"/>
      <c r="M141" s="350"/>
      <c r="N141" s="350"/>
      <c r="O141" s="350"/>
      <c r="P141" s="315"/>
    </row>
    <row r="142">
      <c r="A142" s="355"/>
      <c r="B142" s="356"/>
      <c r="C142" s="54"/>
      <c r="M142" s="350"/>
      <c r="N142" s="350"/>
      <c r="O142" s="350"/>
      <c r="P142" s="315"/>
    </row>
    <row r="143">
      <c r="A143" s="355"/>
      <c r="B143" s="356"/>
      <c r="C143" s="54"/>
      <c r="M143" s="350"/>
      <c r="N143" s="350"/>
      <c r="O143" s="350"/>
      <c r="P143" s="315"/>
    </row>
    <row r="144">
      <c r="B144" s="12"/>
      <c r="C144" s="54"/>
      <c r="M144" s="350"/>
      <c r="N144" s="350"/>
      <c r="O144" s="350"/>
      <c r="P144" s="315"/>
    </row>
    <row r="145">
      <c r="B145" s="12"/>
      <c r="C145" s="54"/>
      <c r="M145" s="350"/>
      <c r="N145" s="350"/>
      <c r="O145" s="350"/>
      <c r="P145" s="315"/>
    </row>
    <row r="146">
      <c r="B146" s="12"/>
      <c r="C146" s="54"/>
      <c r="M146" s="350"/>
      <c r="N146" s="350"/>
      <c r="O146" s="350"/>
      <c r="P146" s="315"/>
    </row>
    <row r="147">
      <c r="A147" s="355"/>
      <c r="B147" s="356"/>
      <c r="C147" s="54"/>
      <c r="M147" s="350"/>
      <c r="N147" s="350"/>
      <c r="O147" s="350"/>
      <c r="P147" s="315"/>
    </row>
    <row r="148">
      <c r="A148" s="355"/>
      <c r="B148" s="356"/>
      <c r="C148" s="54"/>
      <c r="M148" s="350"/>
      <c r="N148" s="350"/>
      <c r="O148" s="350"/>
      <c r="P148" s="315"/>
    </row>
    <row r="149">
      <c r="A149" s="355"/>
      <c r="B149" s="356"/>
      <c r="C149" s="54"/>
      <c r="M149" s="350"/>
      <c r="N149" s="350"/>
      <c r="O149" s="350"/>
      <c r="P149" s="315"/>
    </row>
    <row r="150">
      <c r="A150" s="355"/>
      <c r="B150" s="356"/>
      <c r="C150" s="54"/>
      <c r="M150" s="350"/>
      <c r="N150" s="350"/>
      <c r="O150" s="350"/>
      <c r="P150" s="315"/>
    </row>
    <row r="151">
      <c r="A151" s="355"/>
      <c r="B151" s="356"/>
      <c r="C151" s="54"/>
      <c r="M151" s="350"/>
      <c r="N151" s="350"/>
      <c r="O151" s="350"/>
      <c r="P151" s="315"/>
    </row>
    <row r="152">
      <c r="A152" s="355"/>
      <c r="B152" s="356"/>
      <c r="C152" s="54"/>
      <c r="M152" s="350"/>
      <c r="N152" s="350"/>
      <c r="O152" s="350"/>
      <c r="P152" s="315"/>
    </row>
    <row r="153">
      <c r="A153" s="355"/>
      <c r="B153" s="356"/>
      <c r="C153" s="54"/>
      <c r="M153" s="350"/>
      <c r="N153" s="350"/>
      <c r="O153" s="350"/>
      <c r="P153" s="315"/>
    </row>
    <row r="154">
      <c r="B154" s="12"/>
      <c r="C154" s="54"/>
      <c r="M154" s="350"/>
      <c r="N154" s="350"/>
      <c r="O154" s="350"/>
      <c r="P154" s="315"/>
    </row>
    <row r="155">
      <c r="A155" s="355"/>
      <c r="B155" s="356"/>
      <c r="C155" s="54"/>
      <c r="M155" s="350"/>
      <c r="N155" s="350"/>
      <c r="O155" s="350"/>
      <c r="P155" s="315"/>
    </row>
    <row r="156">
      <c r="A156" s="355"/>
      <c r="B156" s="356"/>
      <c r="C156" s="54"/>
      <c r="M156" s="350"/>
      <c r="N156" s="350"/>
      <c r="O156" s="350"/>
      <c r="P156" s="315"/>
    </row>
    <row r="157">
      <c r="B157" s="12"/>
      <c r="C157" s="54"/>
      <c r="M157" s="350"/>
      <c r="N157" s="350"/>
      <c r="O157" s="350"/>
      <c r="P157" s="315"/>
    </row>
    <row r="158">
      <c r="A158" s="355"/>
      <c r="B158" s="356"/>
      <c r="C158" s="54"/>
      <c r="M158" s="350"/>
      <c r="N158" s="350"/>
      <c r="O158" s="350"/>
      <c r="P158" s="315"/>
    </row>
    <row r="159">
      <c r="A159" s="355"/>
      <c r="B159" s="356"/>
      <c r="C159" s="54"/>
      <c r="M159" s="350"/>
      <c r="N159" s="350"/>
      <c r="O159" s="350"/>
      <c r="P159" s="315"/>
    </row>
    <row r="160">
      <c r="A160" s="355"/>
      <c r="B160" s="356"/>
      <c r="C160" s="54"/>
      <c r="M160" s="350"/>
      <c r="N160" s="350"/>
      <c r="O160" s="350"/>
      <c r="P160" s="315"/>
    </row>
    <row r="161">
      <c r="B161" s="12"/>
      <c r="C161" s="54"/>
      <c r="M161" s="350"/>
      <c r="N161" s="350"/>
      <c r="O161" s="350"/>
      <c r="P161" s="315"/>
    </row>
    <row r="162">
      <c r="B162" s="12"/>
      <c r="C162" s="54"/>
      <c r="M162" s="350"/>
      <c r="N162" s="350"/>
      <c r="O162" s="350"/>
      <c r="P162" s="315"/>
    </row>
    <row r="163">
      <c r="B163" s="12"/>
      <c r="C163" s="54"/>
      <c r="M163" s="350"/>
      <c r="N163" s="350"/>
      <c r="O163" s="350"/>
      <c r="P163" s="315"/>
    </row>
    <row r="164">
      <c r="B164" s="12"/>
      <c r="C164" s="54"/>
      <c r="M164" s="350"/>
      <c r="N164" s="350"/>
      <c r="O164" s="350"/>
      <c r="P164" s="315"/>
    </row>
    <row r="165">
      <c r="B165" s="12"/>
      <c r="C165" s="54"/>
      <c r="M165" s="350"/>
      <c r="N165" s="350"/>
      <c r="O165" s="350"/>
      <c r="P165" s="315"/>
    </row>
    <row r="166">
      <c r="B166" s="12"/>
      <c r="C166" s="54"/>
      <c r="M166" s="350"/>
      <c r="N166" s="350"/>
      <c r="O166" s="350"/>
      <c r="P166" s="315"/>
    </row>
    <row r="167">
      <c r="B167" s="12"/>
      <c r="C167" s="54"/>
      <c r="M167" s="350"/>
      <c r="N167" s="350"/>
      <c r="O167" s="350"/>
      <c r="P167" s="315"/>
    </row>
    <row r="168">
      <c r="B168" s="12"/>
      <c r="C168" s="54"/>
      <c r="M168" s="350"/>
      <c r="N168" s="350"/>
      <c r="O168" s="350"/>
      <c r="P168" s="315"/>
    </row>
    <row r="169">
      <c r="B169" s="12"/>
      <c r="C169" s="54"/>
      <c r="M169" s="350"/>
      <c r="N169" s="350"/>
      <c r="O169" s="350"/>
      <c r="P169" s="315"/>
    </row>
    <row r="170">
      <c r="A170" s="355"/>
      <c r="B170" s="356"/>
      <c r="C170" s="54"/>
      <c r="M170" s="350"/>
      <c r="N170" s="350"/>
      <c r="O170" s="350"/>
      <c r="P170" s="315"/>
    </row>
    <row r="171">
      <c r="B171" s="12"/>
      <c r="C171" s="54"/>
      <c r="M171" s="350"/>
      <c r="N171" s="350"/>
      <c r="O171" s="350"/>
      <c r="P171" s="315"/>
    </row>
    <row r="172">
      <c r="A172" s="106"/>
      <c r="B172" s="107"/>
      <c r="C172" s="54"/>
      <c r="M172" s="350"/>
      <c r="N172" s="350"/>
      <c r="O172" s="350"/>
      <c r="P172" s="315"/>
    </row>
    <row r="173">
      <c r="A173" s="106"/>
      <c r="B173" s="107"/>
      <c r="C173" s="54"/>
      <c r="M173" s="350"/>
      <c r="N173" s="350"/>
      <c r="O173" s="350"/>
      <c r="P173" s="315"/>
    </row>
    <row r="174">
      <c r="A174" s="106"/>
      <c r="B174" s="107"/>
      <c r="C174" s="54"/>
      <c r="M174" s="350"/>
      <c r="N174" s="350"/>
      <c r="O174" s="350"/>
      <c r="P174" s="315"/>
    </row>
    <row r="175">
      <c r="B175" s="12"/>
      <c r="C175" s="54"/>
      <c r="M175" s="350"/>
      <c r="N175" s="350"/>
      <c r="O175" s="350"/>
      <c r="P175" s="315"/>
    </row>
    <row r="176">
      <c r="B176" s="12"/>
      <c r="C176" s="54"/>
      <c r="M176" s="350"/>
      <c r="N176" s="350"/>
      <c r="O176" s="350"/>
      <c r="P176" s="315"/>
    </row>
    <row r="177">
      <c r="A177" s="102"/>
      <c r="B177" s="103"/>
      <c r="C177" s="54"/>
      <c r="M177" s="350"/>
      <c r="N177" s="350"/>
      <c r="O177" s="350"/>
      <c r="P177" s="315"/>
    </row>
    <row r="178">
      <c r="A178" s="102"/>
      <c r="B178" s="103"/>
      <c r="C178" s="54"/>
      <c r="M178" s="350"/>
      <c r="N178" s="350"/>
      <c r="O178" s="350"/>
      <c r="P178" s="315"/>
    </row>
    <row r="179">
      <c r="M179" s="350"/>
      <c r="N179" s="350"/>
      <c r="O179" s="350"/>
      <c r="P179" s="315"/>
    </row>
    <row r="180">
      <c r="M180" s="350"/>
      <c r="N180" s="350"/>
      <c r="O180" s="350"/>
      <c r="P180" s="315"/>
    </row>
    <row r="181">
      <c r="M181" s="350"/>
      <c r="N181" s="350"/>
      <c r="O181" s="350"/>
      <c r="P181" s="315"/>
    </row>
    <row r="182">
      <c r="M182" s="350"/>
      <c r="N182" s="350"/>
      <c r="O182" s="350"/>
      <c r="P182" s="315"/>
    </row>
    <row r="183">
      <c r="M183" s="350"/>
      <c r="N183" s="350"/>
      <c r="O183" s="350"/>
      <c r="P183" s="315"/>
    </row>
    <row r="184">
      <c r="M184" s="350"/>
      <c r="N184" s="350"/>
      <c r="O184" s="350"/>
      <c r="P184" s="315"/>
    </row>
    <row r="185">
      <c r="M185" s="350"/>
      <c r="N185" s="350"/>
      <c r="O185" s="350"/>
      <c r="P185" s="315"/>
    </row>
    <row r="186">
      <c r="M186" s="350"/>
      <c r="N186" s="350"/>
      <c r="O186" s="350"/>
      <c r="P186" s="315"/>
    </row>
    <row r="187">
      <c r="M187" s="350"/>
      <c r="N187" s="350"/>
      <c r="O187" s="350"/>
      <c r="P187" s="315"/>
    </row>
    <row r="188">
      <c r="M188" s="350"/>
      <c r="N188" s="350"/>
      <c r="O188" s="350"/>
      <c r="P188" s="315"/>
    </row>
    <row r="189">
      <c r="M189" s="350"/>
      <c r="N189" s="350"/>
      <c r="O189" s="350"/>
      <c r="P189" s="315"/>
    </row>
    <row r="190">
      <c r="M190" s="350"/>
      <c r="N190" s="350"/>
      <c r="O190" s="350"/>
      <c r="P190" s="315"/>
    </row>
    <row r="191">
      <c r="M191" s="350"/>
      <c r="N191" s="350"/>
      <c r="O191" s="350"/>
      <c r="P191" s="315"/>
    </row>
    <row r="192">
      <c r="M192" s="350"/>
      <c r="N192" s="350"/>
      <c r="O192" s="350"/>
      <c r="P192" s="315"/>
    </row>
    <row r="193">
      <c r="M193" s="350"/>
      <c r="N193" s="350"/>
      <c r="O193" s="350"/>
      <c r="P193" s="315"/>
    </row>
    <row r="194">
      <c r="M194" s="350"/>
      <c r="N194" s="350"/>
      <c r="O194" s="350"/>
      <c r="P194" s="315"/>
    </row>
    <row r="195">
      <c r="M195" s="350"/>
      <c r="N195" s="350"/>
      <c r="O195" s="350"/>
      <c r="P195" s="315"/>
    </row>
    <row r="196">
      <c r="M196" s="350"/>
      <c r="N196" s="350"/>
      <c r="O196" s="350"/>
      <c r="P196" s="315"/>
    </row>
    <row r="197">
      <c r="M197" s="350"/>
      <c r="N197" s="350"/>
      <c r="O197" s="350"/>
      <c r="P197" s="315"/>
    </row>
    <row r="198">
      <c r="M198" s="350"/>
      <c r="N198" s="350"/>
      <c r="O198" s="350"/>
      <c r="P198" s="315"/>
    </row>
    <row r="199">
      <c r="M199" s="350"/>
      <c r="N199" s="350"/>
      <c r="O199" s="350"/>
      <c r="P199" s="315"/>
    </row>
    <row r="200">
      <c r="M200" s="350"/>
      <c r="N200" s="350"/>
      <c r="O200" s="350"/>
      <c r="P200" s="315"/>
    </row>
    <row r="201">
      <c r="M201" s="350"/>
      <c r="N201" s="350"/>
      <c r="O201" s="350"/>
      <c r="P201" s="315"/>
    </row>
    <row r="202">
      <c r="M202" s="350"/>
      <c r="N202" s="350"/>
      <c r="O202" s="350"/>
      <c r="P202" s="315"/>
    </row>
    <row r="203">
      <c r="M203" s="350"/>
      <c r="N203" s="350"/>
      <c r="O203" s="350"/>
      <c r="P203" s="315"/>
    </row>
    <row r="204">
      <c r="M204" s="350"/>
      <c r="N204" s="350"/>
      <c r="O204" s="350"/>
      <c r="P204" s="315"/>
    </row>
    <row r="205">
      <c r="M205" s="350"/>
      <c r="N205" s="350"/>
      <c r="O205" s="350"/>
      <c r="P205" s="315"/>
    </row>
    <row r="206">
      <c r="M206" s="350"/>
      <c r="N206" s="350"/>
      <c r="O206" s="350"/>
      <c r="P206" s="315"/>
    </row>
    <row r="207">
      <c r="M207" s="350"/>
      <c r="N207" s="350"/>
      <c r="O207" s="350"/>
      <c r="P207" s="315"/>
    </row>
    <row r="208">
      <c r="M208" s="350"/>
      <c r="N208" s="350"/>
      <c r="O208" s="350"/>
      <c r="P208" s="315"/>
    </row>
    <row r="209">
      <c r="M209" s="350"/>
      <c r="N209" s="350"/>
      <c r="O209" s="350"/>
      <c r="P209" s="315"/>
    </row>
    <row r="210">
      <c r="M210" s="350"/>
      <c r="N210" s="350"/>
      <c r="O210" s="350"/>
      <c r="P210" s="315"/>
    </row>
    <row r="211">
      <c r="M211" s="350"/>
      <c r="N211" s="350"/>
      <c r="O211" s="350"/>
      <c r="P211" s="315"/>
    </row>
    <row r="212">
      <c r="M212" s="350"/>
      <c r="N212" s="350"/>
      <c r="O212" s="350"/>
      <c r="P212" s="315"/>
    </row>
    <row r="213">
      <c r="M213" s="350"/>
      <c r="N213" s="350"/>
      <c r="O213" s="350"/>
      <c r="P213" s="315"/>
    </row>
    <row r="214">
      <c r="M214" s="350"/>
      <c r="N214" s="350"/>
      <c r="O214" s="350"/>
      <c r="P214" s="315"/>
    </row>
    <row r="215">
      <c r="M215" s="350"/>
      <c r="N215" s="350"/>
      <c r="O215" s="350"/>
      <c r="P215" s="315"/>
    </row>
    <row r="216">
      <c r="M216" s="350"/>
      <c r="N216" s="350"/>
      <c r="O216" s="350"/>
      <c r="P216" s="315"/>
    </row>
    <row r="217">
      <c r="M217" s="350"/>
      <c r="N217" s="350"/>
      <c r="O217" s="350"/>
      <c r="P217" s="315"/>
    </row>
    <row r="218">
      <c r="M218" s="350"/>
      <c r="N218" s="350"/>
      <c r="O218" s="350"/>
      <c r="P218" s="315"/>
    </row>
    <row r="219">
      <c r="M219" s="350"/>
      <c r="N219" s="350"/>
      <c r="O219" s="350"/>
      <c r="P219" s="315"/>
    </row>
    <row r="220">
      <c r="M220" s="350"/>
      <c r="N220" s="350"/>
      <c r="O220" s="350"/>
      <c r="P220" s="315"/>
    </row>
    <row r="221">
      <c r="M221" s="350"/>
      <c r="N221" s="350"/>
      <c r="O221" s="350"/>
      <c r="P221" s="315"/>
    </row>
    <row r="222">
      <c r="M222" s="350"/>
      <c r="N222" s="350"/>
      <c r="O222" s="350"/>
      <c r="P222" s="315"/>
    </row>
    <row r="223">
      <c r="M223" s="350"/>
      <c r="N223" s="350"/>
      <c r="O223" s="350"/>
      <c r="P223" s="315"/>
    </row>
    <row r="224">
      <c r="M224" s="350"/>
      <c r="N224" s="350"/>
      <c r="O224" s="350"/>
      <c r="P224" s="315"/>
    </row>
    <row r="225">
      <c r="M225" s="350"/>
      <c r="N225" s="350"/>
      <c r="O225" s="350"/>
      <c r="P225" s="315"/>
    </row>
    <row r="226">
      <c r="M226" s="350"/>
      <c r="N226" s="350"/>
      <c r="O226" s="350"/>
      <c r="P226" s="315"/>
    </row>
    <row r="227">
      <c r="M227" s="350"/>
      <c r="N227" s="350"/>
      <c r="O227" s="350"/>
      <c r="P227" s="315"/>
    </row>
    <row r="228">
      <c r="M228" s="350"/>
      <c r="N228" s="350"/>
      <c r="O228" s="350"/>
      <c r="P228" s="315"/>
    </row>
    <row r="229">
      <c r="M229" s="350"/>
      <c r="N229" s="350"/>
      <c r="O229" s="350"/>
      <c r="P229" s="315"/>
    </row>
    <row r="230">
      <c r="M230" s="350"/>
      <c r="N230" s="350"/>
      <c r="O230" s="350"/>
      <c r="P230" s="315"/>
    </row>
    <row r="231">
      <c r="M231" s="350"/>
      <c r="N231" s="350"/>
      <c r="O231" s="350"/>
      <c r="P231" s="315"/>
    </row>
    <row r="232">
      <c r="M232" s="350"/>
      <c r="N232" s="350"/>
      <c r="O232" s="350"/>
      <c r="P232" s="315"/>
    </row>
    <row r="233">
      <c r="M233" s="350"/>
      <c r="N233" s="350"/>
      <c r="O233" s="350"/>
      <c r="P233" s="315"/>
    </row>
    <row r="234">
      <c r="M234" s="350"/>
      <c r="N234" s="350"/>
      <c r="O234" s="350"/>
      <c r="P234" s="315"/>
    </row>
    <row r="235">
      <c r="M235" s="350"/>
      <c r="N235" s="350"/>
      <c r="O235" s="350"/>
      <c r="P235" s="315"/>
    </row>
    <row r="236">
      <c r="M236" s="350"/>
      <c r="N236" s="350"/>
      <c r="O236" s="350"/>
      <c r="P236" s="315"/>
    </row>
    <row r="237">
      <c r="M237" s="350"/>
      <c r="N237" s="350"/>
      <c r="O237" s="350"/>
      <c r="P237" s="315"/>
    </row>
    <row r="238">
      <c r="M238" s="350"/>
      <c r="N238" s="350"/>
      <c r="O238" s="350"/>
      <c r="P238" s="315"/>
    </row>
    <row r="239">
      <c r="M239" s="350"/>
      <c r="N239" s="350"/>
      <c r="O239" s="350"/>
      <c r="P239" s="315"/>
    </row>
    <row r="240">
      <c r="M240" s="350"/>
      <c r="N240" s="350"/>
      <c r="O240" s="350"/>
      <c r="P240" s="315"/>
    </row>
    <row r="241">
      <c r="M241" s="350"/>
      <c r="N241" s="350"/>
      <c r="O241" s="350"/>
      <c r="P241" s="315"/>
    </row>
    <row r="242">
      <c r="M242" s="350"/>
      <c r="N242" s="350"/>
      <c r="O242" s="350"/>
      <c r="P242" s="315"/>
    </row>
    <row r="243">
      <c r="M243" s="350"/>
      <c r="N243" s="350"/>
      <c r="O243" s="350"/>
      <c r="P243" s="315"/>
    </row>
    <row r="244">
      <c r="M244" s="350"/>
      <c r="N244" s="350"/>
      <c r="O244" s="350"/>
      <c r="P244" s="315"/>
    </row>
    <row r="245">
      <c r="M245" s="350"/>
      <c r="N245" s="350"/>
      <c r="O245" s="350"/>
      <c r="P245" s="315"/>
    </row>
    <row r="246">
      <c r="M246" s="350"/>
      <c r="N246" s="350"/>
      <c r="O246" s="350"/>
      <c r="P246" s="315"/>
    </row>
    <row r="247">
      <c r="M247" s="350"/>
      <c r="N247" s="350"/>
      <c r="O247" s="350"/>
      <c r="P247" s="315"/>
    </row>
    <row r="248">
      <c r="M248" s="350"/>
      <c r="N248" s="350"/>
      <c r="O248" s="350"/>
      <c r="P248" s="315"/>
    </row>
    <row r="249">
      <c r="M249" s="350"/>
      <c r="N249" s="350"/>
      <c r="O249" s="350"/>
      <c r="P249" s="315"/>
    </row>
    <row r="250">
      <c r="M250" s="350"/>
      <c r="N250" s="350"/>
      <c r="O250" s="350"/>
      <c r="P250" s="315"/>
    </row>
    <row r="251">
      <c r="M251" s="350"/>
      <c r="N251" s="350"/>
      <c r="O251" s="350"/>
      <c r="P251" s="315"/>
    </row>
    <row r="252">
      <c r="M252" s="350"/>
      <c r="N252" s="350"/>
      <c r="O252" s="350"/>
      <c r="P252" s="315"/>
    </row>
    <row r="253">
      <c r="M253" s="350"/>
      <c r="N253" s="350"/>
      <c r="O253" s="350"/>
      <c r="P253" s="315"/>
    </row>
    <row r="254">
      <c r="M254" s="350"/>
      <c r="N254" s="350"/>
      <c r="O254" s="350"/>
      <c r="P254" s="315"/>
    </row>
    <row r="255">
      <c r="M255" s="350"/>
      <c r="N255" s="350"/>
      <c r="O255" s="350"/>
      <c r="P255" s="315"/>
    </row>
    <row r="256">
      <c r="M256" s="350"/>
      <c r="N256" s="350"/>
      <c r="O256" s="350"/>
      <c r="P256" s="315"/>
    </row>
    <row r="257">
      <c r="M257" s="350"/>
      <c r="N257" s="350"/>
      <c r="O257" s="350"/>
      <c r="P257" s="315"/>
    </row>
    <row r="258">
      <c r="M258" s="350"/>
      <c r="N258" s="350"/>
      <c r="O258" s="350"/>
      <c r="P258" s="315"/>
    </row>
    <row r="259">
      <c r="M259" s="350"/>
      <c r="N259" s="350"/>
      <c r="O259" s="350"/>
      <c r="P259" s="315"/>
    </row>
    <row r="260">
      <c r="M260" s="350"/>
      <c r="N260" s="350"/>
      <c r="O260" s="350"/>
      <c r="P260" s="315"/>
    </row>
    <row r="261">
      <c r="M261" s="350"/>
      <c r="N261" s="350"/>
      <c r="O261" s="350"/>
      <c r="P261" s="315"/>
    </row>
    <row r="262">
      <c r="M262" s="350"/>
      <c r="N262" s="350"/>
      <c r="O262" s="350"/>
      <c r="P262" s="315"/>
    </row>
    <row r="263">
      <c r="M263" s="350"/>
      <c r="N263" s="350"/>
      <c r="O263" s="350"/>
      <c r="P263" s="315"/>
    </row>
    <row r="264">
      <c r="M264" s="350"/>
      <c r="N264" s="350"/>
      <c r="O264" s="350"/>
      <c r="P264" s="315"/>
    </row>
    <row r="265">
      <c r="M265" s="350"/>
      <c r="N265" s="350"/>
      <c r="O265" s="350"/>
      <c r="P265" s="315"/>
    </row>
    <row r="266">
      <c r="M266" s="350"/>
      <c r="N266" s="350"/>
      <c r="O266" s="350"/>
      <c r="P266" s="315"/>
    </row>
    <row r="267">
      <c r="M267" s="350"/>
      <c r="N267" s="350"/>
      <c r="O267" s="350"/>
      <c r="P267" s="315"/>
    </row>
    <row r="268">
      <c r="M268" s="350"/>
      <c r="N268" s="350"/>
      <c r="O268" s="350"/>
      <c r="P268" s="315"/>
    </row>
    <row r="269">
      <c r="M269" s="350"/>
      <c r="N269" s="350"/>
      <c r="O269" s="350"/>
      <c r="P269" s="315"/>
    </row>
    <row r="270">
      <c r="M270" s="350"/>
      <c r="N270" s="350"/>
      <c r="O270" s="350"/>
      <c r="P270" s="315"/>
    </row>
    <row r="271">
      <c r="M271" s="350"/>
      <c r="N271" s="350"/>
      <c r="O271" s="350"/>
      <c r="P271" s="315"/>
    </row>
    <row r="272">
      <c r="M272" s="350"/>
      <c r="N272" s="350"/>
      <c r="O272" s="350"/>
      <c r="P272" s="315"/>
    </row>
    <row r="273">
      <c r="M273" s="350"/>
      <c r="N273" s="350"/>
      <c r="O273" s="350"/>
      <c r="P273" s="315"/>
    </row>
    <row r="274">
      <c r="M274" s="350"/>
      <c r="N274" s="350"/>
      <c r="O274" s="350"/>
      <c r="P274" s="315"/>
    </row>
    <row r="275">
      <c r="M275" s="350"/>
      <c r="N275" s="350"/>
      <c r="O275" s="350"/>
      <c r="P275" s="315"/>
    </row>
    <row r="276">
      <c r="M276" s="350"/>
      <c r="N276" s="350"/>
      <c r="O276" s="350"/>
      <c r="P276" s="315"/>
    </row>
    <row r="277">
      <c r="M277" s="350"/>
      <c r="N277" s="350"/>
      <c r="O277" s="350"/>
      <c r="P277" s="315"/>
    </row>
    <row r="278">
      <c r="M278" s="350"/>
      <c r="N278" s="350"/>
      <c r="O278" s="350"/>
      <c r="P278" s="315"/>
    </row>
    <row r="279">
      <c r="M279" s="350"/>
      <c r="N279" s="350"/>
      <c r="O279" s="350"/>
      <c r="P279" s="315"/>
    </row>
    <row r="280">
      <c r="M280" s="350"/>
      <c r="N280" s="350"/>
      <c r="O280" s="350"/>
      <c r="P280" s="315"/>
    </row>
    <row r="281">
      <c r="M281" s="350"/>
      <c r="N281" s="350"/>
      <c r="O281" s="350"/>
      <c r="P281" s="315"/>
    </row>
    <row r="282">
      <c r="M282" s="350"/>
      <c r="N282" s="350"/>
      <c r="O282" s="350"/>
      <c r="P282" s="315"/>
    </row>
    <row r="283">
      <c r="M283" s="350"/>
      <c r="N283" s="350"/>
      <c r="O283" s="350"/>
      <c r="P283" s="315"/>
    </row>
    <row r="284">
      <c r="M284" s="350"/>
      <c r="N284" s="350"/>
      <c r="O284" s="350"/>
      <c r="P284" s="315"/>
    </row>
    <row r="285">
      <c r="M285" s="350"/>
      <c r="N285" s="350"/>
      <c r="O285" s="350"/>
      <c r="P285" s="315"/>
    </row>
    <row r="286">
      <c r="M286" s="350"/>
      <c r="N286" s="350"/>
      <c r="O286" s="350"/>
      <c r="P286" s="315"/>
    </row>
    <row r="287">
      <c r="M287" s="350"/>
      <c r="N287" s="350"/>
      <c r="O287" s="350"/>
      <c r="P287" s="315"/>
    </row>
    <row r="288">
      <c r="M288" s="350"/>
      <c r="N288" s="350"/>
      <c r="O288" s="350"/>
      <c r="P288" s="315"/>
    </row>
    <row r="289">
      <c r="M289" s="350"/>
      <c r="N289" s="350"/>
      <c r="O289" s="350"/>
      <c r="P289" s="315"/>
    </row>
    <row r="290">
      <c r="M290" s="350"/>
      <c r="N290" s="350"/>
      <c r="O290" s="350"/>
      <c r="P290" s="315"/>
    </row>
    <row r="291">
      <c r="M291" s="350"/>
      <c r="N291" s="350"/>
      <c r="O291" s="350"/>
      <c r="P291" s="315"/>
    </row>
    <row r="292">
      <c r="M292" s="350"/>
      <c r="N292" s="350"/>
      <c r="O292" s="350"/>
      <c r="P292" s="315"/>
    </row>
    <row r="293">
      <c r="M293" s="350"/>
      <c r="N293" s="350"/>
      <c r="O293" s="350"/>
      <c r="P293" s="315"/>
    </row>
    <row r="294">
      <c r="M294" s="350"/>
      <c r="N294" s="350"/>
      <c r="O294" s="350"/>
      <c r="P294" s="315"/>
    </row>
    <row r="295">
      <c r="M295" s="350"/>
      <c r="N295" s="350"/>
      <c r="O295" s="350"/>
      <c r="P295" s="315"/>
    </row>
    <row r="296">
      <c r="M296" s="350"/>
      <c r="N296" s="350"/>
      <c r="O296" s="350"/>
      <c r="P296" s="315"/>
    </row>
    <row r="297">
      <c r="M297" s="350"/>
      <c r="N297" s="350"/>
      <c r="O297" s="350"/>
      <c r="P297" s="315"/>
    </row>
    <row r="298">
      <c r="M298" s="350"/>
      <c r="N298" s="350"/>
      <c r="O298" s="350"/>
      <c r="P298" s="315"/>
    </row>
    <row r="299">
      <c r="M299" s="350"/>
      <c r="N299" s="350"/>
      <c r="O299" s="350"/>
      <c r="P299" s="315"/>
    </row>
    <row r="300">
      <c r="M300" s="350"/>
      <c r="N300" s="350"/>
      <c r="O300" s="350"/>
      <c r="P300" s="315"/>
    </row>
    <row r="301">
      <c r="M301" s="350"/>
      <c r="N301" s="350"/>
      <c r="O301" s="350"/>
      <c r="P301" s="315"/>
    </row>
    <row r="302">
      <c r="M302" s="350"/>
      <c r="N302" s="350"/>
      <c r="O302" s="350"/>
      <c r="P302" s="315"/>
    </row>
    <row r="303">
      <c r="M303" s="350"/>
      <c r="N303" s="350"/>
      <c r="O303" s="350"/>
      <c r="P303" s="315"/>
    </row>
    <row r="304">
      <c r="M304" s="350"/>
      <c r="N304" s="350"/>
      <c r="O304" s="350"/>
      <c r="P304" s="315"/>
    </row>
    <row r="305">
      <c r="M305" s="350"/>
      <c r="N305" s="350"/>
      <c r="O305" s="350"/>
      <c r="P305" s="315"/>
    </row>
    <row r="306">
      <c r="M306" s="350"/>
      <c r="N306" s="350"/>
      <c r="O306" s="350"/>
      <c r="P306" s="315"/>
    </row>
    <row r="307">
      <c r="M307" s="350"/>
      <c r="N307" s="350"/>
      <c r="O307" s="350"/>
      <c r="P307" s="315"/>
    </row>
    <row r="308">
      <c r="M308" s="350"/>
      <c r="N308" s="350"/>
      <c r="O308" s="350"/>
      <c r="P308" s="315"/>
    </row>
    <row r="309">
      <c r="M309" s="350"/>
      <c r="N309" s="350"/>
      <c r="O309" s="350"/>
      <c r="P309" s="315"/>
    </row>
    <row r="310">
      <c r="M310" s="350"/>
      <c r="N310" s="350"/>
      <c r="O310" s="350"/>
      <c r="P310" s="315"/>
    </row>
    <row r="311">
      <c r="M311" s="350"/>
      <c r="N311" s="350"/>
      <c r="O311" s="350"/>
      <c r="P311" s="315"/>
    </row>
    <row r="312">
      <c r="M312" s="350"/>
      <c r="N312" s="350"/>
      <c r="O312" s="350"/>
      <c r="P312" s="315"/>
    </row>
    <row r="313">
      <c r="M313" s="350"/>
      <c r="N313" s="350"/>
      <c r="O313" s="350"/>
      <c r="P313" s="315"/>
    </row>
    <row r="314">
      <c r="M314" s="350"/>
      <c r="N314" s="350"/>
      <c r="O314" s="350"/>
      <c r="P314" s="315"/>
    </row>
    <row r="315">
      <c r="M315" s="350"/>
      <c r="N315" s="350"/>
      <c r="O315" s="350"/>
      <c r="P315" s="315"/>
    </row>
    <row r="316">
      <c r="M316" s="350"/>
      <c r="N316" s="350"/>
      <c r="O316" s="350"/>
      <c r="P316" s="315"/>
    </row>
    <row r="317">
      <c r="M317" s="350"/>
      <c r="N317" s="350"/>
      <c r="O317" s="350"/>
      <c r="P317" s="315"/>
    </row>
    <row r="318">
      <c r="M318" s="350"/>
      <c r="N318" s="350"/>
      <c r="O318" s="350"/>
      <c r="P318" s="315"/>
    </row>
    <row r="319">
      <c r="M319" s="350"/>
      <c r="N319" s="350"/>
      <c r="O319" s="350"/>
      <c r="P319" s="315"/>
    </row>
    <row r="320">
      <c r="M320" s="350"/>
      <c r="N320" s="350"/>
      <c r="O320" s="350"/>
      <c r="P320" s="315"/>
    </row>
    <row r="321">
      <c r="M321" s="350"/>
      <c r="N321" s="350"/>
      <c r="O321" s="350"/>
      <c r="P321" s="315"/>
    </row>
    <row r="322">
      <c r="M322" s="350"/>
      <c r="N322" s="350"/>
      <c r="O322" s="350"/>
      <c r="P322" s="315"/>
    </row>
    <row r="323">
      <c r="M323" s="350"/>
      <c r="N323" s="350"/>
      <c r="O323" s="350"/>
      <c r="P323" s="315"/>
    </row>
    <row r="324">
      <c r="M324" s="350"/>
      <c r="N324" s="350"/>
      <c r="O324" s="350"/>
      <c r="P324" s="315"/>
    </row>
    <row r="325">
      <c r="M325" s="350"/>
      <c r="N325" s="350"/>
      <c r="O325" s="350"/>
      <c r="P325" s="315"/>
    </row>
    <row r="326">
      <c r="M326" s="350"/>
      <c r="N326" s="350"/>
      <c r="O326" s="350"/>
      <c r="P326" s="315"/>
    </row>
    <row r="327">
      <c r="M327" s="350"/>
      <c r="N327" s="350"/>
      <c r="O327" s="350"/>
      <c r="P327" s="315"/>
    </row>
    <row r="328">
      <c r="M328" s="350"/>
      <c r="N328" s="350"/>
      <c r="O328" s="350"/>
      <c r="P328" s="315"/>
    </row>
    <row r="329">
      <c r="M329" s="350"/>
      <c r="N329" s="350"/>
      <c r="O329" s="350"/>
      <c r="P329" s="315"/>
    </row>
    <row r="330">
      <c r="M330" s="350"/>
      <c r="N330" s="350"/>
      <c r="O330" s="350"/>
      <c r="P330" s="315"/>
    </row>
    <row r="331">
      <c r="M331" s="350"/>
      <c r="N331" s="350"/>
      <c r="O331" s="350"/>
      <c r="P331" s="315"/>
    </row>
    <row r="332">
      <c r="M332" s="350"/>
      <c r="N332" s="350"/>
      <c r="O332" s="350"/>
      <c r="P332" s="315"/>
    </row>
    <row r="333">
      <c r="M333" s="350"/>
      <c r="N333" s="350"/>
      <c r="O333" s="350"/>
      <c r="P333" s="315"/>
    </row>
    <row r="334">
      <c r="M334" s="350"/>
      <c r="N334" s="350"/>
      <c r="O334" s="350"/>
      <c r="P334" s="315"/>
    </row>
    <row r="335">
      <c r="M335" s="350"/>
      <c r="N335" s="350"/>
      <c r="O335" s="350"/>
      <c r="P335" s="315"/>
    </row>
    <row r="336">
      <c r="M336" s="350"/>
      <c r="N336" s="350"/>
      <c r="O336" s="350"/>
      <c r="P336" s="315"/>
    </row>
    <row r="337">
      <c r="M337" s="350"/>
      <c r="N337" s="350"/>
      <c r="O337" s="350"/>
      <c r="P337" s="315"/>
    </row>
    <row r="338">
      <c r="M338" s="350"/>
      <c r="N338" s="350"/>
      <c r="O338" s="350"/>
      <c r="P338" s="315"/>
    </row>
    <row r="339">
      <c r="M339" s="350"/>
      <c r="N339" s="350"/>
      <c r="O339" s="350"/>
      <c r="P339" s="315"/>
    </row>
    <row r="340">
      <c r="M340" s="350"/>
      <c r="N340" s="350"/>
      <c r="O340" s="350"/>
      <c r="P340" s="315"/>
    </row>
    <row r="341">
      <c r="M341" s="350"/>
      <c r="N341" s="350"/>
      <c r="O341" s="350"/>
      <c r="P341" s="315"/>
    </row>
    <row r="342">
      <c r="M342" s="350"/>
      <c r="N342" s="350"/>
      <c r="O342" s="350"/>
      <c r="P342" s="315"/>
    </row>
    <row r="343">
      <c r="M343" s="350"/>
      <c r="N343" s="350"/>
      <c r="O343" s="350"/>
      <c r="P343" s="315"/>
    </row>
    <row r="344">
      <c r="M344" s="350"/>
      <c r="N344" s="350"/>
      <c r="O344" s="350"/>
      <c r="P344" s="315"/>
    </row>
    <row r="345">
      <c r="M345" s="350"/>
      <c r="N345" s="350"/>
      <c r="O345" s="350"/>
      <c r="P345" s="315"/>
    </row>
    <row r="346">
      <c r="M346" s="350"/>
      <c r="N346" s="350"/>
      <c r="O346" s="350"/>
      <c r="P346" s="315"/>
    </row>
    <row r="347">
      <c r="M347" s="350"/>
      <c r="N347" s="350"/>
      <c r="O347" s="350"/>
      <c r="P347" s="315"/>
    </row>
    <row r="348">
      <c r="M348" s="350"/>
      <c r="N348" s="350"/>
      <c r="O348" s="350"/>
      <c r="P348" s="315"/>
    </row>
    <row r="349">
      <c r="M349" s="350"/>
      <c r="N349" s="350"/>
      <c r="O349" s="350"/>
      <c r="P349" s="315"/>
    </row>
    <row r="350">
      <c r="M350" s="350"/>
      <c r="N350" s="350"/>
      <c r="O350" s="350"/>
      <c r="P350" s="315"/>
    </row>
    <row r="351">
      <c r="M351" s="350"/>
      <c r="N351" s="350"/>
      <c r="O351" s="350"/>
      <c r="P351" s="315"/>
    </row>
    <row r="352">
      <c r="M352" s="350"/>
      <c r="N352" s="350"/>
      <c r="O352" s="350"/>
      <c r="P352" s="315"/>
    </row>
    <row r="353">
      <c r="M353" s="350"/>
      <c r="N353" s="350"/>
      <c r="O353" s="350"/>
      <c r="P353" s="315"/>
    </row>
    <row r="354">
      <c r="M354" s="350"/>
      <c r="N354" s="350"/>
      <c r="O354" s="350"/>
      <c r="P354" s="315"/>
    </row>
    <row r="355">
      <c r="M355" s="350"/>
      <c r="N355" s="350"/>
      <c r="O355" s="350"/>
      <c r="P355" s="315"/>
    </row>
    <row r="356">
      <c r="M356" s="350"/>
      <c r="N356" s="350"/>
      <c r="O356" s="350"/>
      <c r="P356" s="315"/>
    </row>
    <row r="357">
      <c r="M357" s="350"/>
      <c r="N357" s="350"/>
      <c r="O357" s="350"/>
      <c r="P357" s="315"/>
    </row>
    <row r="358">
      <c r="M358" s="350"/>
      <c r="N358" s="350"/>
      <c r="O358" s="350"/>
      <c r="P358" s="315"/>
    </row>
    <row r="359">
      <c r="M359" s="350"/>
      <c r="N359" s="350"/>
      <c r="O359" s="350"/>
      <c r="P359" s="315"/>
    </row>
    <row r="360">
      <c r="M360" s="350"/>
      <c r="N360" s="350"/>
      <c r="O360" s="350"/>
      <c r="P360" s="315"/>
    </row>
    <row r="361">
      <c r="M361" s="350"/>
      <c r="N361" s="350"/>
      <c r="O361" s="350"/>
      <c r="P361" s="315"/>
    </row>
    <row r="362">
      <c r="M362" s="350"/>
      <c r="N362" s="350"/>
      <c r="O362" s="350"/>
      <c r="P362" s="315"/>
    </row>
    <row r="363">
      <c r="M363" s="350"/>
      <c r="N363" s="350"/>
      <c r="O363" s="350"/>
      <c r="P363" s="315"/>
    </row>
    <row r="364">
      <c r="M364" s="350"/>
      <c r="N364" s="350"/>
      <c r="O364" s="350"/>
      <c r="P364" s="315"/>
    </row>
    <row r="365">
      <c r="M365" s="350"/>
      <c r="N365" s="350"/>
      <c r="O365" s="350"/>
      <c r="P365" s="315"/>
    </row>
    <row r="366">
      <c r="M366" s="350"/>
      <c r="N366" s="350"/>
      <c r="O366" s="350"/>
      <c r="P366" s="315"/>
    </row>
    <row r="367">
      <c r="M367" s="350"/>
      <c r="N367" s="350"/>
      <c r="O367" s="350"/>
      <c r="P367" s="315"/>
    </row>
    <row r="368">
      <c r="M368" s="350"/>
      <c r="N368" s="350"/>
      <c r="O368" s="350"/>
      <c r="P368" s="315"/>
    </row>
    <row r="369">
      <c r="M369" s="350"/>
      <c r="N369" s="350"/>
      <c r="O369" s="350"/>
      <c r="P369" s="315"/>
    </row>
    <row r="370">
      <c r="M370" s="350"/>
      <c r="N370" s="350"/>
      <c r="O370" s="350"/>
      <c r="P370" s="315"/>
    </row>
    <row r="371">
      <c r="M371" s="350"/>
      <c r="N371" s="350"/>
      <c r="O371" s="350"/>
      <c r="P371" s="315"/>
    </row>
    <row r="372">
      <c r="M372" s="350"/>
      <c r="N372" s="350"/>
      <c r="O372" s="350"/>
      <c r="P372" s="315"/>
    </row>
    <row r="373">
      <c r="M373" s="350"/>
      <c r="N373" s="350"/>
      <c r="O373" s="350"/>
      <c r="P373" s="315"/>
    </row>
    <row r="374">
      <c r="M374" s="350"/>
      <c r="N374" s="350"/>
      <c r="O374" s="350"/>
      <c r="P374" s="315"/>
    </row>
    <row r="375">
      <c r="M375" s="350"/>
      <c r="N375" s="350"/>
      <c r="O375" s="350"/>
      <c r="P375" s="315"/>
    </row>
    <row r="376">
      <c r="M376" s="350"/>
      <c r="N376" s="350"/>
      <c r="O376" s="350"/>
      <c r="P376" s="315"/>
    </row>
    <row r="377">
      <c r="M377" s="350"/>
      <c r="N377" s="350"/>
      <c r="O377" s="350"/>
      <c r="P377" s="315"/>
    </row>
    <row r="378">
      <c r="M378" s="350"/>
      <c r="N378" s="350"/>
      <c r="O378" s="350"/>
      <c r="P378" s="315"/>
    </row>
    <row r="379">
      <c r="M379" s="350"/>
      <c r="N379" s="350"/>
      <c r="O379" s="350"/>
      <c r="P379" s="315"/>
    </row>
    <row r="380">
      <c r="M380" s="350"/>
      <c r="N380" s="350"/>
      <c r="O380" s="350"/>
      <c r="P380" s="315"/>
    </row>
    <row r="381">
      <c r="M381" s="350"/>
      <c r="N381" s="350"/>
      <c r="O381" s="350"/>
      <c r="P381" s="315"/>
    </row>
    <row r="382">
      <c r="M382" s="350"/>
      <c r="N382" s="350"/>
      <c r="O382" s="350"/>
      <c r="P382" s="315"/>
    </row>
    <row r="383">
      <c r="M383" s="350"/>
      <c r="N383" s="350"/>
      <c r="O383" s="350"/>
      <c r="P383" s="315"/>
    </row>
    <row r="384">
      <c r="M384" s="350"/>
      <c r="N384" s="350"/>
      <c r="O384" s="350"/>
      <c r="P384" s="315"/>
    </row>
    <row r="385">
      <c r="M385" s="350"/>
      <c r="N385" s="350"/>
      <c r="O385" s="350"/>
      <c r="P385" s="315"/>
    </row>
    <row r="386">
      <c r="M386" s="350"/>
      <c r="N386" s="350"/>
      <c r="O386" s="350"/>
      <c r="P386" s="315"/>
    </row>
    <row r="387">
      <c r="M387" s="350"/>
      <c r="N387" s="350"/>
      <c r="O387" s="350"/>
      <c r="P387" s="315"/>
    </row>
    <row r="388">
      <c r="M388" s="350"/>
      <c r="N388" s="350"/>
      <c r="O388" s="350"/>
      <c r="P388" s="315"/>
    </row>
    <row r="389">
      <c r="M389" s="350"/>
      <c r="N389" s="350"/>
      <c r="O389" s="350"/>
      <c r="P389" s="315"/>
    </row>
    <row r="390">
      <c r="M390" s="350"/>
      <c r="N390" s="350"/>
      <c r="O390" s="350"/>
      <c r="P390" s="315"/>
    </row>
    <row r="391">
      <c r="M391" s="350"/>
      <c r="N391" s="350"/>
      <c r="O391" s="350"/>
      <c r="P391" s="315"/>
    </row>
    <row r="392">
      <c r="M392" s="350"/>
      <c r="N392" s="350"/>
      <c r="O392" s="350"/>
      <c r="P392" s="315"/>
    </row>
    <row r="393">
      <c r="M393" s="350"/>
      <c r="N393" s="350"/>
      <c r="O393" s="350"/>
      <c r="P393" s="315"/>
    </row>
    <row r="394">
      <c r="M394" s="350"/>
      <c r="N394" s="350"/>
      <c r="O394" s="350"/>
      <c r="P394" s="315"/>
    </row>
    <row r="395">
      <c r="M395" s="350"/>
      <c r="N395" s="350"/>
      <c r="O395" s="350"/>
      <c r="P395" s="315"/>
    </row>
    <row r="396">
      <c r="M396" s="350"/>
      <c r="N396" s="350"/>
      <c r="O396" s="350"/>
      <c r="P396" s="315"/>
    </row>
    <row r="397">
      <c r="M397" s="350"/>
      <c r="N397" s="350"/>
      <c r="O397" s="350"/>
      <c r="P397" s="315"/>
    </row>
    <row r="398">
      <c r="M398" s="350"/>
      <c r="N398" s="350"/>
      <c r="O398" s="350"/>
      <c r="P398" s="315"/>
    </row>
    <row r="399">
      <c r="M399" s="350"/>
      <c r="N399" s="350"/>
      <c r="O399" s="350"/>
      <c r="P399" s="315"/>
    </row>
    <row r="400">
      <c r="M400" s="350"/>
      <c r="N400" s="350"/>
      <c r="O400" s="350"/>
      <c r="P400" s="315"/>
    </row>
    <row r="401">
      <c r="M401" s="350"/>
      <c r="N401" s="350"/>
      <c r="O401" s="350"/>
      <c r="P401" s="315"/>
    </row>
    <row r="402">
      <c r="M402" s="350"/>
      <c r="N402" s="350"/>
      <c r="O402" s="350"/>
      <c r="P402" s="315"/>
    </row>
    <row r="403">
      <c r="M403" s="350"/>
      <c r="N403" s="350"/>
      <c r="O403" s="350"/>
      <c r="P403" s="315"/>
    </row>
    <row r="404">
      <c r="M404" s="350"/>
      <c r="N404" s="350"/>
      <c r="O404" s="350"/>
      <c r="P404" s="315"/>
    </row>
    <row r="405">
      <c r="M405" s="350"/>
      <c r="N405" s="350"/>
      <c r="O405" s="350"/>
      <c r="P405" s="315"/>
    </row>
    <row r="406">
      <c r="M406" s="350"/>
      <c r="N406" s="350"/>
      <c r="O406" s="350"/>
      <c r="P406" s="315"/>
    </row>
    <row r="407">
      <c r="M407" s="350"/>
      <c r="N407" s="350"/>
      <c r="O407" s="350"/>
      <c r="P407" s="315"/>
    </row>
    <row r="408">
      <c r="M408" s="350"/>
      <c r="N408" s="350"/>
      <c r="O408" s="350"/>
      <c r="P408" s="315"/>
    </row>
    <row r="409">
      <c r="M409" s="350"/>
      <c r="N409" s="350"/>
      <c r="O409" s="350"/>
      <c r="P409" s="315"/>
    </row>
    <row r="410">
      <c r="M410" s="350"/>
      <c r="N410" s="350"/>
      <c r="O410" s="350"/>
      <c r="P410" s="315"/>
    </row>
    <row r="411">
      <c r="M411" s="350"/>
      <c r="N411" s="350"/>
      <c r="O411" s="350"/>
      <c r="P411" s="315"/>
    </row>
    <row r="412">
      <c r="M412" s="350"/>
      <c r="N412" s="350"/>
      <c r="O412" s="350"/>
      <c r="P412" s="315"/>
    </row>
    <row r="413">
      <c r="M413" s="350"/>
      <c r="N413" s="350"/>
      <c r="O413" s="350"/>
      <c r="P413" s="315"/>
    </row>
    <row r="414">
      <c r="M414" s="350"/>
      <c r="N414" s="350"/>
      <c r="O414" s="350"/>
      <c r="P414" s="315"/>
    </row>
    <row r="415">
      <c r="M415" s="350"/>
      <c r="N415" s="350"/>
      <c r="O415" s="350"/>
      <c r="P415" s="315"/>
    </row>
    <row r="416">
      <c r="M416" s="350"/>
      <c r="N416" s="350"/>
      <c r="O416" s="350"/>
      <c r="P416" s="315"/>
    </row>
    <row r="417">
      <c r="M417" s="350"/>
      <c r="N417" s="350"/>
      <c r="O417" s="350"/>
      <c r="P417" s="315"/>
    </row>
    <row r="418">
      <c r="M418" s="350"/>
      <c r="N418" s="350"/>
      <c r="O418" s="350"/>
      <c r="P418" s="315"/>
    </row>
    <row r="419">
      <c r="M419" s="350"/>
      <c r="N419" s="350"/>
      <c r="O419" s="350"/>
      <c r="P419" s="315"/>
    </row>
    <row r="420">
      <c r="M420" s="350"/>
      <c r="N420" s="350"/>
      <c r="O420" s="350"/>
      <c r="P420" s="315"/>
    </row>
    <row r="421">
      <c r="M421" s="350"/>
      <c r="N421" s="350"/>
      <c r="O421" s="350"/>
      <c r="P421" s="315"/>
    </row>
    <row r="422">
      <c r="M422" s="350"/>
      <c r="N422" s="350"/>
      <c r="O422" s="350"/>
      <c r="P422" s="315"/>
    </row>
    <row r="423">
      <c r="M423" s="350"/>
      <c r="N423" s="350"/>
      <c r="O423" s="350"/>
      <c r="P423" s="315"/>
    </row>
    <row r="424">
      <c r="M424" s="350"/>
      <c r="N424" s="350"/>
      <c r="O424" s="350"/>
      <c r="P424" s="315"/>
    </row>
    <row r="425">
      <c r="M425" s="350"/>
      <c r="N425" s="350"/>
      <c r="O425" s="350"/>
      <c r="P425" s="315"/>
    </row>
    <row r="426">
      <c r="M426" s="350"/>
      <c r="N426" s="350"/>
      <c r="O426" s="350"/>
      <c r="P426" s="315"/>
    </row>
    <row r="427">
      <c r="M427" s="350"/>
      <c r="N427" s="350"/>
      <c r="O427" s="350"/>
      <c r="P427" s="315"/>
    </row>
    <row r="428">
      <c r="M428" s="350"/>
      <c r="N428" s="350"/>
      <c r="O428" s="350"/>
      <c r="P428" s="315"/>
    </row>
    <row r="429">
      <c r="M429" s="350"/>
      <c r="N429" s="350"/>
      <c r="O429" s="350"/>
      <c r="P429" s="315"/>
    </row>
    <row r="430">
      <c r="M430" s="350"/>
      <c r="N430" s="350"/>
      <c r="O430" s="350"/>
      <c r="P430" s="315"/>
    </row>
    <row r="431">
      <c r="M431" s="350"/>
      <c r="N431" s="350"/>
      <c r="O431" s="350"/>
      <c r="P431" s="315"/>
    </row>
    <row r="432">
      <c r="M432" s="350"/>
      <c r="N432" s="350"/>
      <c r="O432" s="350"/>
      <c r="P432" s="315"/>
    </row>
    <row r="433">
      <c r="M433" s="350"/>
      <c r="N433" s="350"/>
      <c r="O433" s="350"/>
      <c r="P433" s="315"/>
    </row>
    <row r="434">
      <c r="M434" s="350"/>
      <c r="N434" s="350"/>
      <c r="O434" s="350"/>
      <c r="P434" s="315"/>
    </row>
    <row r="435">
      <c r="M435" s="350"/>
      <c r="N435" s="350"/>
      <c r="O435" s="350"/>
      <c r="P435" s="315"/>
    </row>
    <row r="436">
      <c r="M436" s="350"/>
      <c r="N436" s="350"/>
      <c r="O436" s="350"/>
      <c r="P436" s="315"/>
    </row>
    <row r="437">
      <c r="M437" s="350"/>
      <c r="N437" s="350"/>
      <c r="O437" s="350"/>
      <c r="P437" s="315"/>
    </row>
    <row r="438">
      <c r="M438" s="350"/>
      <c r="N438" s="350"/>
      <c r="O438" s="350"/>
      <c r="P438" s="315"/>
    </row>
    <row r="439">
      <c r="M439" s="350"/>
      <c r="N439" s="350"/>
      <c r="O439" s="350"/>
      <c r="P439" s="315"/>
    </row>
    <row r="440">
      <c r="M440" s="350"/>
      <c r="N440" s="350"/>
      <c r="O440" s="350"/>
      <c r="P440" s="315"/>
    </row>
    <row r="441">
      <c r="M441" s="350"/>
      <c r="N441" s="350"/>
      <c r="O441" s="350"/>
      <c r="P441" s="315"/>
    </row>
    <row r="442">
      <c r="M442" s="350"/>
      <c r="N442" s="350"/>
      <c r="O442" s="350"/>
      <c r="P442" s="315"/>
    </row>
    <row r="443">
      <c r="M443" s="350"/>
      <c r="N443" s="350"/>
      <c r="O443" s="350"/>
      <c r="P443" s="315"/>
    </row>
    <row r="444">
      <c r="M444" s="350"/>
      <c r="N444" s="350"/>
      <c r="O444" s="350"/>
      <c r="P444" s="315"/>
    </row>
    <row r="445">
      <c r="M445" s="350"/>
      <c r="N445" s="350"/>
      <c r="O445" s="350"/>
      <c r="P445" s="315"/>
    </row>
    <row r="446">
      <c r="M446" s="350"/>
      <c r="N446" s="350"/>
      <c r="O446" s="350"/>
      <c r="P446" s="315"/>
    </row>
    <row r="447">
      <c r="M447" s="350"/>
      <c r="N447" s="350"/>
      <c r="O447" s="350"/>
      <c r="P447" s="315"/>
    </row>
    <row r="448">
      <c r="M448" s="350"/>
      <c r="N448" s="350"/>
      <c r="O448" s="350"/>
      <c r="P448" s="315"/>
    </row>
    <row r="449">
      <c r="M449" s="350"/>
      <c r="N449" s="350"/>
      <c r="O449" s="350"/>
      <c r="P449" s="315"/>
    </row>
    <row r="450">
      <c r="M450" s="350"/>
      <c r="N450" s="350"/>
      <c r="O450" s="350"/>
      <c r="P450" s="315"/>
    </row>
    <row r="451">
      <c r="M451" s="350"/>
      <c r="N451" s="350"/>
      <c r="O451" s="350"/>
      <c r="P451" s="315"/>
    </row>
    <row r="452">
      <c r="M452" s="350"/>
      <c r="N452" s="350"/>
      <c r="O452" s="350"/>
      <c r="P452" s="315"/>
    </row>
    <row r="453">
      <c r="M453" s="350"/>
      <c r="N453" s="350"/>
      <c r="O453" s="350"/>
      <c r="P453" s="315"/>
    </row>
    <row r="454">
      <c r="M454" s="350"/>
      <c r="N454" s="350"/>
      <c r="O454" s="350"/>
      <c r="P454" s="315"/>
    </row>
    <row r="455">
      <c r="M455" s="350"/>
      <c r="N455" s="350"/>
      <c r="O455" s="350"/>
      <c r="P455" s="315"/>
    </row>
    <row r="456">
      <c r="M456" s="350"/>
      <c r="N456" s="350"/>
      <c r="O456" s="350"/>
      <c r="P456" s="315"/>
    </row>
    <row r="457">
      <c r="M457" s="350"/>
      <c r="N457" s="350"/>
      <c r="O457" s="350"/>
      <c r="P457" s="315"/>
    </row>
    <row r="458">
      <c r="M458" s="350"/>
      <c r="N458" s="350"/>
      <c r="O458" s="350"/>
      <c r="P458" s="315"/>
    </row>
    <row r="459">
      <c r="M459" s="350"/>
      <c r="N459" s="350"/>
      <c r="O459" s="350"/>
      <c r="P459" s="315"/>
    </row>
    <row r="460">
      <c r="M460" s="350"/>
      <c r="N460" s="350"/>
      <c r="O460" s="350"/>
      <c r="P460" s="315"/>
    </row>
    <row r="461">
      <c r="M461" s="350"/>
      <c r="N461" s="350"/>
      <c r="O461" s="350"/>
      <c r="P461" s="315"/>
    </row>
    <row r="462">
      <c r="M462" s="350"/>
      <c r="N462" s="350"/>
      <c r="O462" s="350"/>
      <c r="P462" s="315"/>
    </row>
    <row r="463">
      <c r="M463" s="350"/>
      <c r="N463" s="350"/>
      <c r="O463" s="350"/>
      <c r="P463" s="315"/>
    </row>
    <row r="464">
      <c r="M464" s="350"/>
      <c r="N464" s="350"/>
      <c r="O464" s="350"/>
      <c r="P464" s="315"/>
    </row>
    <row r="465">
      <c r="M465" s="350"/>
      <c r="N465" s="350"/>
      <c r="O465" s="350"/>
      <c r="P465" s="315"/>
    </row>
    <row r="466">
      <c r="M466" s="350"/>
      <c r="N466" s="350"/>
      <c r="O466" s="350"/>
      <c r="P466" s="315"/>
    </row>
    <row r="467">
      <c r="M467" s="350"/>
      <c r="N467" s="350"/>
      <c r="O467" s="350"/>
      <c r="P467" s="315"/>
    </row>
    <row r="468">
      <c r="M468" s="350"/>
      <c r="N468" s="350"/>
      <c r="O468" s="350"/>
      <c r="P468" s="315"/>
    </row>
    <row r="469">
      <c r="M469" s="350"/>
      <c r="N469" s="350"/>
      <c r="O469" s="350"/>
      <c r="P469" s="315"/>
    </row>
    <row r="470">
      <c r="M470" s="350"/>
      <c r="N470" s="350"/>
      <c r="O470" s="350"/>
      <c r="P470" s="315"/>
    </row>
    <row r="471">
      <c r="M471" s="350"/>
      <c r="N471" s="350"/>
      <c r="O471" s="350"/>
      <c r="P471" s="315"/>
    </row>
    <row r="472">
      <c r="M472" s="350"/>
      <c r="N472" s="350"/>
      <c r="O472" s="350"/>
      <c r="P472" s="315"/>
    </row>
    <row r="473">
      <c r="M473" s="350"/>
      <c r="N473" s="350"/>
      <c r="O473" s="350"/>
      <c r="P473" s="315"/>
    </row>
    <row r="474">
      <c r="M474" s="350"/>
      <c r="N474" s="350"/>
      <c r="O474" s="350"/>
      <c r="P474" s="315"/>
    </row>
    <row r="475">
      <c r="M475" s="350"/>
      <c r="N475" s="350"/>
      <c r="O475" s="350"/>
      <c r="P475" s="315"/>
    </row>
    <row r="476">
      <c r="M476" s="350"/>
      <c r="N476" s="350"/>
      <c r="O476" s="350"/>
      <c r="P476" s="315"/>
    </row>
    <row r="477">
      <c r="M477" s="350"/>
      <c r="N477" s="350"/>
      <c r="O477" s="350"/>
      <c r="P477" s="315"/>
    </row>
    <row r="478">
      <c r="M478" s="350"/>
      <c r="N478" s="350"/>
      <c r="O478" s="350"/>
      <c r="P478" s="315"/>
    </row>
    <row r="479">
      <c r="M479" s="350"/>
      <c r="N479" s="350"/>
      <c r="O479" s="350"/>
      <c r="P479" s="315"/>
    </row>
    <row r="480">
      <c r="M480" s="350"/>
      <c r="N480" s="350"/>
      <c r="O480" s="350"/>
      <c r="P480" s="315"/>
    </row>
    <row r="481">
      <c r="M481" s="350"/>
      <c r="N481" s="350"/>
      <c r="O481" s="350"/>
      <c r="P481" s="315"/>
    </row>
    <row r="482">
      <c r="M482" s="350"/>
      <c r="N482" s="350"/>
      <c r="O482" s="350"/>
      <c r="P482" s="315"/>
    </row>
    <row r="483">
      <c r="M483" s="350"/>
      <c r="N483" s="350"/>
      <c r="O483" s="350"/>
      <c r="P483" s="315"/>
    </row>
    <row r="484">
      <c r="M484" s="350"/>
      <c r="N484" s="350"/>
      <c r="O484" s="350"/>
      <c r="P484" s="315"/>
    </row>
    <row r="485">
      <c r="M485" s="350"/>
      <c r="N485" s="350"/>
      <c r="O485" s="350"/>
      <c r="P485" s="315"/>
    </row>
    <row r="486">
      <c r="M486" s="350"/>
      <c r="N486" s="350"/>
      <c r="O486" s="350"/>
      <c r="P486" s="315"/>
    </row>
    <row r="487">
      <c r="M487" s="350"/>
      <c r="N487" s="350"/>
      <c r="O487" s="350"/>
      <c r="P487" s="315"/>
    </row>
    <row r="488">
      <c r="M488" s="350"/>
      <c r="N488" s="350"/>
      <c r="O488" s="350"/>
      <c r="P488" s="315"/>
    </row>
    <row r="489">
      <c r="M489" s="350"/>
      <c r="N489" s="350"/>
      <c r="O489" s="350"/>
      <c r="P489" s="315"/>
    </row>
    <row r="490">
      <c r="M490" s="350"/>
      <c r="N490" s="350"/>
      <c r="O490" s="350"/>
      <c r="P490" s="315"/>
    </row>
    <row r="491">
      <c r="M491" s="350"/>
      <c r="N491" s="350"/>
      <c r="O491" s="350"/>
      <c r="P491" s="315"/>
    </row>
    <row r="492">
      <c r="M492" s="350"/>
      <c r="N492" s="350"/>
      <c r="O492" s="350"/>
      <c r="P492" s="315"/>
    </row>
    <row r="493">
      <c r="M493" s="350"/>
      <c r="N493" s="350"/>
      <c r="O493" s="350"/>
      <c r="P493" s="315"/>
    </row>
    <row r="494">
      <c r="M494" s="350"/>
      <c r="N494" s="350"/>
      <c r="O494" s="350"/>
      <c r="P494" s="315"/>
    </row>
    <row r="495">
      <c r="M495" s="350"/>
      <c r="N495" s="350"/>
      <c r="O495" s="350"/>
      <c r="P495" s="315"/>
    </row>
    <row r="496">
      <c r="M496" s="350"/>
      <c r="N496" s="350"/>
      <c r="O496" s="350"/>
      <c r="P496" s="315"/>
    </row>
    <row r="497">
      <c r="M497" s="350"/>
      <c r="N497" s="350"/>
      <c r="O497" s="350"/>
      <c r="P497" s="315"/>
    </row>
    <row r="498">
      <c r="M498" s="350"/>
      <c r="N498" s="350"/>
      <c r="O498" s="350"/>
      <c r="P498" s="315"/>
    </row>
    <row r="499">
      <c r="M499" s="350"/>
      <c r="N499" s="350"/>
      <c r="O499" s="350"/>
      <c r="P499" s="315"/>
    </row>
    <row r="500">
      <c r="M500" s="350"/>
      <c r="N500" s="350"/>
      <c r="O500" s="350"/>
      <c r="P500" s="315"/>
    </row>
  </sheetData>
  <conditionalFormatting sqref="C2:C179">
    <cfRule type="colorScale" priority="1">
      <colorScale>
        <cfvo type="formula" val="-1"/>
        <cfvo type="formula" val="0"/>
        <cfvo type="formula" val="1"/>
        <color rgb="FFCC0000"/>
        <color rgb="FF6AA84F"/>
        <color rgb="FF3C78D8"/>
      </colorScale>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31.0"/>
    <col customWidth="1" min="4" max="4" width="14.25"/>
    <col customWidth="1" min="6" max="6" width="18.5"/>
    <col customWidth="1" min="7" max="7" width="51.5"/>
    <col customWidth="1" min="8" max="8" width="6.0"/>
    <col customWidth="1" min="9" max="9" width="8.25"/>
    <col customWidth="1" min="10" max="10" width="16.13"/>
    <col customWidth="1" min="11" max="11" width="9.0"/>
  </cols>
  <sheetData>
    <row r="1">
      <c r="A1" s="145" t="s">
        <v>1437</v>
      </c>
      <c r="B1" s="38" t="s">
        <v>1438</v>
      </c>
      <c r="C1" s="38" t="s">
        <v>1439</v>
      </c>
      <c r="D1" s="145" t="s">
        <v>1440</v>
      </c>
      <c r="E1" s="145" t="s">
        <v>1441</v>
      </c>
      <c r="F1" s="145" t="s">
        <v>1442</v>
      </c>
      <c r="G1" s="145" t="s">
        <v>1443</v>
      </c>
      <c r="H1" s="357">
        <f>IFERROR(__xludf.DUMMYFUNCTION("IF(MAX(H2:H59)=COUNTUNIQUE(H2:H59),MAX(H2:H59)+1,""ERROR"")"),58.0)</f>
        <v>58</v>
      </c>
      <c r="I1" s="63" t="s">
        <v>1444</v>
      </c>
      <c r="J1" s="2" t="s">
        <v>1445</v>
      </c>
      <c r="K1" s="2" t="s">
        <v>1446</v>
      </c>
      <c r="L1" s="358" t="s">
        <v>1447</v>
      </c>
    </row>
    <row r="2">
      <c r="A2" s="202" t="s">
        <v>1448</v>
      </c>
      <c r="B2" s="359" t="str">
        <f>VLOOKUP(A2,'ALL Tube Results'!A$2:B59,2,FALSE)</f>
        <v>RUN-ABRM_2022-09-08_RFR-004</v>
      </c>
      <c r="C2" s="110" t="s">
        <v>1449</v>
      </c>
      <c r="D2" s="360">
        <v>4.0</v>
      </c>
      <c r="E2" s="360">
        <v>2.0</v>
      </c>
      <c r="F2" s="360">
        <v>4.0</v>
      </c>
      <c r="H2" s="317" t="str">
        <f>IF(EXACT(MID(A2,1,4),"TUNK"),VALUE(MID(A2,11,15)),"")</f>
        <v/>
      </c>
      <c r="I2" s="73">
        <f t="shared" ref="I2:I59" si="1">VALUE(MID(C2,8,3))</f>
        <v>4</v>
      </c>
      <c r="J2" s="114" t="str">
        <f t="shared" ref="J2:J59" si="2">IF(C2&lt;&gt;C1,C2,"")</f>
        <v>R_ABRM-004</v>
      </c>
      <c r="K2" s="83">
        <f t="shared" ref="K2:K59" si="3">COUNTIF($C$2:$C59,$J2)</f>
        <v>1</v>
      </c>
      <c r="M2" s="262"/>
      <c r="N2" s="55"/>
    </row>
    <row r="3">
      <c r="A3" s="202" t="str">
        <f t="shared" ref="A3:A59" si="4">CONCATENATE("TUNKABRM",TEXT(H3,"000"))</f>
        <v>TUNKABRM001</v>
      </c>
      <c r="B3" s="359" t="str">
        <f>VLOOKUP(A3,'ALL Tube Results'!A$2:B59,2,FALSE)</f>
        <v>#N/A</v>
      </c>
      <c r="C3" s="110" t="s">
        <v>1450</v>
      </c>
      <c r="D3" s="360">
        <v>4.0</v>
      </c>
      <c r="E3" s="361">
        <v>5.2</v>
      </c>
      <c r="F3" s="360">
        <v>7.0</v>
      </c>
      <c r="H3" s="362">
        <v>1.0</v>
      </c>
      <c r="I3" s="73">
        <f t="shared" si="1"/>
        <v>6</v>
      </c>
      <c r="J3" s="114" t="str">
        <f t="shared" si="2"/>
        <v>R_ABRM-006</v>
      </c>
      <c r="K3" s="83">
        <f t="shared" si="3"/>
        <v>1</v>
      </c>
      <c r="M3" s="262"/>
      <c r="N3" s="55"/>
    </row>
    <row r="4">
      <c r="A4" s="202" t="str">
        <f t="shared" si="4"/>
        <v>TUNKABRM002</v>
      </c>
      <c r="B4" s="359" t="str">
        <f>VLOOKUP(A4,'ALL Tube Results'!A$2:B59,2,FALSE)</f>
        <v>#N/A</v>
      </c>
      <c r="C4" s="110" t="s">
        <v>1451</v>
      </c>
      <c r="D4" s="360">
        <v>4.0</v>
      </c>
      <c r="E4" s="360">
        <v>2.0</v>
      </c>
      <c r="F4" s="360">
        <v>3.0</v>
      </c>
      <c r="H4" s="362">
        <v>2.0</v>
      </c>
      <c r="I4" s="73">
        <f t="shared" si="1"/>
        <v>11</v>
      </c>
      <c r="J4" s="114" t="str">
        <f t="shared" si="2"/>
        <v>R_ABRM-011</v>
      </c>
      <c r="K4" s="83">
        <f t="shared" si="3"/>
        <v>1</v>
      </c>
      <c r="M4" s="262"/>
      <c r="N4" s="55"/>
    </row>
    <row r="5">
      <c r="A5" s="202" t="str">
        <f t="shared" si="4"/>
        <v>TUNKABRM003</v>
      </c>
      <c r="B5" s="359" t="str">
        <f>VLOOKUP(A5,'ALL Tube Results'!A$2:B59,2,FALSE)</f>
        <v>#N/A</v>
      </c>
      <c r="C5" s="110" t="s">
        <v>1452</v>
      </c>
      <c r="D5" s="360">
        <v>4.0</v>
      </c>
      <c r="E5" s="360">
        <v>1.1</v>
      </c>
      <c r="F5" s="360">
        <v>4.0</v>
      </c>
      <c r="H5" s="317">
        <v>3.0</v>
      </c>
      <c r="I5" s="73">
        <f t="shared" si="1"/>
        <v>15</v>
      </c>
      <c r="J5" s="114" t="str">
        <f t="shared" si="2"/>
        <v>R_ABRM-015</v>
      </c>
      <c r="K5" s="83">
        <f t="shared" si="3"/>
        <v>1</v>
      </c>
      <c r="M5" s="262"/>
      <c r="N5" s="55"/>
    </row>
    <row r="6">
      <c r="A6" s="202" t="str">
        <f t="shared" si="4"/>
        <v>TUNKABRM004</v>
      </c>
      <c r="B6" s="359" t="str">
        <f>VLOOKUP(A6,'ALL Tube Results'!A$2:B59,2,FALSE)</f>
        <v>#N/A</v>
      </c>
      <c r="C6" s="110" t="s">
        <v>1453</v>
      </c>
      <c r="D6" s="360">
        <v>4.0</v>
      </c>
      <c r="E6" s="360">
        <v>1.1</v>
      </c>
      <c r="F6" s="360">
        <v>4.0</v>
      </c>
      <c r="H6" s="317">
        <v>4.0</v>
      </c>
      <c r="I6" s="73">
        <f t="shared" si="1"/>
        <v>19</v>
      </c>
      <c r="J6" s="114" t="str">
        <f t="shared" si="2"/>
        <v>R_ABRM-019</v>
      </c>
      <c r="K6" s="83">
        <f t="shared" si="3"/>
        <v>1</v>
      </c>
      <c r="M6" s="262"/>
      <c r="N6" s="55"/>
    </row>
    <row r="7">
      <c r="A7" s="202" t="str">
        <f t="shared" si="4"/>
        <v>TUNKABRM005</v>
      </c>
      <c r="B7" s="359" t="str">
        <f>VLOOKUP(A7,'ALL Tube Results'!A$2:B59,2,FALSE)</f>
        <v>#N/A</v>
      </c>
      <c r="C7" s="110" t="s">
        <v>1454</v>
      </c>
      <c r="D7" s="360">
        <v>4.0</v>
      </c>
      <c r="E7" s="360">
        <v>2.0</v>
      </c>
      <c r="F7" s="360">
        <v>4.0</v>
      </c>
      <c r="H7" s="317">
        <v>5.0</v>
      </c>
      <c r="I7" s="73">
        <f t="shared" si="1"/>
        <v>23</v>
      </c>
      <c r="J7" s="114" t="str">
        <f t="shared" si="2"/>
        <v>R_ABRM-023</v>
      </c>
      <c r="K7" s="83">
        <f t="shared" si="3"/>
        <v>1</v>
      </c>
      <c r="M7" s="262"/>
      <c r="N7" s="55"/>
    </row>
    <row r="8">
      <c r="A8" s="202" t="str">
        <f t="shared" si="4"/>
        <v>TUNKABRM006</v>
      </c>
      <c r="B8" s="359" t="str">
        <f>VLOOKUP(A8,'ALL Tube Results'!A$2:B59,2,FALSE)</f>
        <v>#N/A</v>
      </c>
      <c r="C8" s="110" t="s">
        <v>1455</v>
      </c>
      <c r="D8" s="360">
        <v>4.0</v>
      </c>
      <c r="E8" s="360">
        <v>2.0</v>
      </c>
      <c r="F8" s="360">
        <v>4.0</v>
      </c>
      <c r="H8" s="317">
        <v>6.0</v>
      </c>
      <c r="I8" s="73">
        <f t="shared" si="1"/>
        <v>26</v>
      </c>
      <c r="J8" s="114" t="str">
        <f t="shared" si="2"/>
        <v>R_ABRM-026</v>
      </c>
      <c r="K8" s="83">
        <f t="shared" si="3"/>
        <v>1</v>
      </c>
      <c r="M8" s="262"/>
      <c r="N8" s="55"/>
    </row>
    <row r="9">
      <c r="A9" s="202" t="str">
        <f t="shared" si="4"/>
        <v>TUNKABRM007</v>
      </c>
      <c r="B9" s="359" t="str">
        <f>VLOOKUP(A9,'ALL Tube Results'!A$2:B59,2,FALSE)</f>
        <v>#N/A</v>
      </c>
      <c r="C9" s="110" t="s">
        <v>1456</v>
      </c>
      <c r="D9" s="360">
        <v>4.0</v>
      </c>
      <c r="E9" s="360">
        <v>2.0</v>
      </c>
      <c r="F9" s="360">
        <v>4.0</v>
      </c>
      <c r="H9" s="317">
        <v>7.0</v>
      </c>
      <c r="I9" s="73">
        <f t="shared" si="1"/>
        <v>28</v>
      </c>
      <c r="J9" s="114" t="str">
        <f t="shared" si="2"/>
        <v>R_ABRM-028</v>
      </c>
      <c r="K9" s="83">
        <f t="shared" si="3"/>
        <v>1</v>
      </c>
      <c r="M9" s="262"/>
      <c r="N9" s="55"/>
    </row>
    <row r="10">
      <c r="A10" s="202" t="str">
        <f t="shared" si="4"/>
        <v>TUNKABRM008</v>
      </c>
      <c r="B10" s="359" t="str">
        <f>VLOOKUP(A10,'ALL Tube Results'!A$2:B59,2,FALSE)</f>
        <v>#N/A</v>
      </c>
      <c r="C10" s="110" t="s">
        <v>1457</v>
      </c>
      <c r="D10" s="360">
        <v>4.0</v>
      </c>
      <c r="E10" s="360">
        <v>2.0</v>
      </c>
      <c r="F10" s="360">
        <v>4.0</v>
      </c>
      <c r="H10" s="317">
        <v>8.0</v>
      </c>
      <c r="I10" s="73">
        <f t="shared" si="1"/>
        <v>30</v>
      </c>
      <c r="J10" s="114" t="str">
        <f t="shared" si="2"/>
        <v>R_ABRM-030</v>
      </c>
      <c r="K10" s="83">
        <f t="shared" si="3"/>
        <v>1</v>
      </c>
      <c r="M10" s="262"/>
      <c r="N10" s="55"/>
    </row>
    <row r="11">
      <c r="A11" s="202" t="str">
        <f t="shared" si="4"/>
        <v>TUNKABRM009</v>
      </c>
      <c r="B11" s="359" t="str">
        <f>VLOOKUP(A11,'ALL Tube Results'!A$2:B59,2,FALSE)</f>
        <v>#N/A</v>
      </c>
      <c r="C11" s="110" t="s">
        <v>1458</v>
      </c>
      <c r="D11" s="360">
        <v>4.0</v>
      </c>
      <c r="E11" s="360">
        <v>2.0</v>
      </c>
      <c r="F11" s="360">
        <v>4.0</v>
      </c>
      <c r="H11" s="317">
        <v>9.0</v>
      </c>
      <c r="I11" s="73">
        <f t="shared" si="1"/>
        <v>34</v>
      </c>
      <c r="J11" s="114" t="str">
        <f t="shared" si="2"/>
        <v>R_ABRM-034</v>
      </c>
      <c r="K11" s="83">
        <f t="shared" si="3"/>
        <v>1</v>
      </c>
      <c r="M11" s="262"/>
      <c r="N11" s="55"/>
    </row>
    <row r="12">
      <c r="A12" s="202" t="str">
        <f t="shared" si="4"/>
        <v>TUNKABRM010</v>
      </c>
      <c r="B12" s="359" t="str">
        <f>VLOOKUP(A12,'ALL Tube Results'!A$2:B59,2,FALSE)</f>
        <v>#N/A</v>
      </c>
      <c r="C12" s="110" t="s">
        <v>1459</v>
      </c>
      <c r="D12" s="360">
        <v>4.0</v>
      </c>
      <c r="E12" s="363">
        <v>5.3</v>
      </c>
      <c r="F12" s="360">
        <v>5.0</v>
      </c>
      <c r="G12" s="176" t="s">
        <v>1460</v>
      </c>
      <c r="H12" s="317">
        <v>10.0</v>
      </c>
      <c r="I12" s="73">
        <f t="shared" si="1"/>
        <v>38</v>
      </c>
      <c r="J12" s="114" t="str">
        <f t="shared" si="2"/>
        <v>R_ABRM-038</v>
      </c>
      <c r="K12" s="83">
        <f t="shared" si="3"/>
        <v>5</v>
      </c>
      <c r="M12" s="262"/>
      <c r="N12" s="55"/>
    </row>
    <row r="13">
      <c r="A13" s="202" t="str">
        <f t="shared" si="4"/>
        <v>TUNKABRM011</v>
      </c>
      <c r="B13" s="359" t="str">
        <f>VLOOKUP(A13,'ALL Tube Results'!A$2:B59,2,FALSE)</f>
        <v>#N/A</v>
      </c>
      <c r="C13" s="110" t="s">
        <v>1459</v>
      </c>
      <c r="D13" s="360">
        <v>4.0</v>
      </c>
      <c r="E13" s="363">
        <v>5.3</v>
      </c>
      <c r="F13" s="360">
        <v>5.0</v>
      </c>
      <c r="G13" s="176" t="s">
        <v>1460</v>
      </c>
      <c r="H13" s="317">
        <v>11.0</v>
      </c>
      <c r="I13" s="73">
        <f t="shared" si="1"/>
        <v>38</v>
      </c>
      <c r="J13" s="114" t="str">
        <f t="shared" si="2"/>
        <v/>
      </c>
      <c r="K13" s="83">
        <f t="shared" si="3"/>
        <v>1</v>
      </c>
      <c r="M13" s="262"/>
      <c r="N13" s="55"/>
    </row>
    <row r="14">
      <c r="A14" s="202" t="str">
        <f t="shared" si="4"/>
        <v>TUNKABRM012</v>
      </c>
      <c r="B14" s="359" t="str">
        <f>VLOOKUP(A14,'ALL Tube Results'!A$2:B59,2,FALSE)</f>
        <v>#N/A</v>
      </c>
      <c r="C14" s="110" t="s">
        <v>1459</v>
      </c>
      <c r="D14" s="360">
        <v>4.0</v>
      </c>
      <c r="E14" s="363">
        <v>5.3</v>
      </c>
      <c r="F14" s="360">
        <v>5.0</v>
      </c>
      <c r="G14" s="176" t="s">
        <v>1460</v>
      </c>
      <c r="H14" s="317">
        <v>12.0</v>
      </c>
      <c r="I14" s="73">
        <f t="shared" si="1"/>
        <v>38</v>
      </c>
      <c r="J14" s="114" t="str">
        <f t="shared" si="2"/>
        <v/>
      </c>
      <c r="K14" s="83">
        <f t="shared" si="3"/>
        <v>1</v>
      </c>
      <c r="M14" s="262"/>
      <c r="N14" s="55"/>
    </row>
    <row r="15">
      <c r="A15" s="202" t="str">
        <f t="shared" si="4"/>
        <v>TUNKABRM013</v>
      </c>
      <c r="B15" s="359" t="str">
        <f>VLOOKUP(A15,'ALL Tube Results'!A$2:B59,2,FALSE)</f>
        <v>#N/A</v>
      </c>
      <c r="C15" s="110" t="s">
        <v>1459</v>
      </c>
      <c r="D15" s="360">
        <v>4.0</v>
      </c>
      <c r="E15" s="363">
        <v>5.3</v>
      </c>
      <c r="F15" s="360">
        <v>5.0</v>
      </c>
      <c r="G15" s="176" t="s">
        <v>1460</v>
      </c>
      <c r="H15" s="317">
        <v>13.0</v>
      </c>
      <c r="I15" s="73">
        <f t="shared" si="1"/>
        <v>38</v>
      </c>
      <c r="J15" s="114" t="str">
        <f t="shared" si="2"/>
        <v/>
      </c>
      <c r="K15" s="83">
        <f t="shared" si="3"/>
        <v>1</v>
      </c>
      <c r="M15" s="262"/>
      <c r="N15" s="55"/>
    </row>
    <row r="16">
      <c r="A16" s="202" t="str">
        <f t="shared" si="4"/>
        <v>TUNKABRM014</v>
      </c>
      <c r="B16" s="359" t="str">
        <f>VLOOKUP(A16,'ALL Tube Results'!A$2:B59,2,FALSE)</f>
        <v>#N/A</v>
      </c>
      <c r="C16" s="110" t="s">
        <v>1459</v>
      </c>
      <c r="D16" s="360">
        <v>4.0</v>
      </c>
      <c r="E16" s="363">
        <v>5.3</v>
      </c>
      <c r="F16" s="360">
        <v>5.0</v>
      </c>
      <c r="G16" s="176" t="s">
        <v>1460</v>
      </c>
      <c r="H16" s="317">
        <v>14.0</v>
      </c>
      <c r="I16" s="73">
        <f t="shared" si="1"/>
        <v>38</v>
      </c>
      <c r="J16" s="114" t="str">
        <f t="shared" si="2"/>
        <v/>
      </c>
      <c r="K16" s="83">
        <f t="shared" si="3"/>
        <v>1</v>
      </c>
      <c r="M16" s="262"/>
      <c r="N16" s="55"/>
    </row>
    <row r="17">
      <c r="A17" s="202" t="str">
        <f t="shared" si="4"/>
        <v>TUNKABRM015</v>
      </c>
      <c r="B17" s="359" t="str">
        <f>VLOOKUP(A17,'ALL Tube Results'!A$2:B59,2,FALSE)</f>
        <v>#N/A</v>
      </c>
      <c r="C17" s="110" t="s">
        <v>1461</v>
      </c>
      <c r="D17" s="360">
        <v>4.0</v>
      </c>
      <c r="E17" s="360">
        <v>5.0</v>
      </c>
      <c r="F17" s="360">
        <v>4.0</v>
      </c>
      <c r="H17" s="317">
        <v>15.0</v>
      </c>
      <c r="I17" s="73">
        <f t="shared" si="1"/>
        <v>41</v>
      </c>
      <c r="J17" s="114" t="str">
        <f t="shared" si="2"/>
        <v>R_ABRM-041</v>
      </c>
      <c r="K17" s="83">
        <f t="shared" si="3"/>
        <v>2</v>
      </c>
      <c r="M17" s="262"/>
      <c r="N17" s="55"/>
    </row>
    <row r="18">
      <c r="A18" s="202" t="str">
        <f t="shared" si="4"/>
        <v>TUNKABRM016</v>
      </c>
      <c r="B18" s="359" t="str">
        <f>VLOOKUP(A18,'ALL Tube Results'!A$2:B59,2,FALSE)</f>
        <v>#N/A</v>
      </c>
      <c r="C18" s="110" t="s">
        <v>1461</v>
      </c>
      <c r="D18" s="360">
        <v>4.0</v>
      </c>
      <c r="E18" s="361">
        <v>1.2</v>
      </c>
      <c r="F18" s="360">
        <v>4.0</v>
      </c>
      <c r="G18" s="176" t="s">
        <v>1462</v>
      </c>
      <c r="H18" s="317">
        <v>16.0</v>
      </c>
      <c r="I18" s="73">
        <f t="shared" si="1"/>
        <v>41</v>
      </c>
      <c r="J18" s="114" t="str">
        <f t="shared" si="2"/>
        <v/>
      </c>
      <c r="K18" s="83">
        <f t="shared" si="3"/>
        <v>1</v>
      </c>
      <c r="M18" s="262"/>
      <c r="N18" s="55"/>
    </row>
    <row r="19">
      <c r="A19" s="202" t="str">
        <f t="shared" si="4"/>
        <v>TUNKABRM017</v>
      </c>
      <c r="B19" s="359" t="str">
        <f>VLOOKUP(A19,'ALL Tube Results'!A$2:B59,2,FALSE)</f>
        <v>#N/A</v>
      </c>
      <c r="C19" s="110" t="s">
        <v>1463</v>
      </c>
      <c r="D19" s="360">
        <v>4.0</v>
      </c>
      <c r="E19" s="360">
        <v>2.0</v>
      </c>
      <c r="F19" s="360">
        <v>4.0</v>
      </c>
      <c r="G19" s="176"/>
      <c r="H19" s="317">
        <v>17.0</v>
      </c>
      <c r="I19" s="73">
        <f t="shared" si="1"/>
        <v>46</v>
      </c>
      <c r="J19" s="114" t="str">
        <f t="shared" si="2"/>
        <v>R_ABRM-046</v>
      </c>
      <c r="K19" s="83">
        <f t="shared" si="3"/>
        <v>1</v>
      </c>
      <c r="M19" s="262"/>
      <c r="N19" s="55"/>
    </row>
    <row r="20">
      <c r="A20" s="202" t="str">
        <f t="shared" si="4"/>
        <v>TUNKABRM018</v>
      </c>
      <c r="B20" s="359" t="str">
        <f>VLOOKUP(A20,'ALL Tube Results'!A$2:B59,2,FALSE)</f>
        <v>#N/A</v>
      </c>
      <c r="C20" s="110" t="s">
        <v>1464</v>
      </c>
      <c r="D20" s="360">
        <v>4.0</v>
      </c>
      <c r="E20" s="361">
        <v>2.4</v>
      </c>
      <c r="F20" s="360">
        <v>2.0</v>
      </c>
      <c r="G20" s="176" t="s">
        <v>1465</v>
      </c>
      <c r="H20" s="317">
        <v>18.0</v>
      </c>
      <c r="I20" s="73">
        <f t="shared" si="1"/>
        <v>52</v>
      </c>
      <c r="J20" s="114" t="str">
        <f t="shared" si="2"/>
        <v>R_ABRM-052</v>
      </c>
      <c r="K20" s="83">
        <f t="shared" si="3"/>
        <v>1</v>
      </c>
      <c r="M20" s="262"/>
      <c r="N20" s="55"/>
    </row>
    <row r="21">
      <c r="A21" s="202" t="str">
        <f t="shared" si="4"/>
        <v>TUNKABRM019</v>
      </c>
      <c r="B21" s="359" t="str">
        <f>VLOOKUP(A21,'ALL Tube Results'!A$2:B59,2,FALSE)</f>
        <v>#N/A</v>
      </c>
      <c r="C21" s="110" t="s">
        <v>1466</v>
      </c>
      <c r="D21" s="360">
        <v>4.0</v>
      </c>
      <c r="E21" s="360">
        <v>5.0</v>
      </c>
      <c r="F21" s="360">
        <v>4.0</v>
      </c>
      <c r="G21" s="176"/>
      <c r="H21" s="317">
        <v>19.0</v>
      </c>
      <c r="I21" s="73">
        <f t="shared" si="1"/>
        <v>55</v>
      </c>
      <c r="J21" s="114" t="str">
        <f t="shared" si="2"/>
        <v>R_ABRM-055</v>
      </c>
      <c r="K21" s="83">
        <f t="shared" si="3"/>
        <v>1</v>
      </c>
      <c r="M21" s="262"/>
      <c r="N21" s="55"/>
    </row>
    <row r="22">
      <c r="A22" s="202" t="str">
        <f t="shared" si="4"/>
        <v>TUNKABRM020</v>
      </c>
      <c r="B22" s="359" t="str">
        <f>VLOOKUP(A22,'ALL Tube Results'!A$2:B59,2,FALSE)</f>
        <v>#N/A</v>
      </c>
      <c r="C22" s="110" t="s">
        <v>1467</v>
      </c>
      <c r="D22" s="360">
        <v>4.0</v>
      </c>
      <c r="E22" s="360">
        <v>2.0</v>
      </c>
      <c r="F22" s="360">
        <v>4.0</v>
      </c>
      <c r="H22" s="317">
        <v>20.0</v>
      </c>
      <c r="I22" s="73">
        <f t="shared" si="1"/>
        <v>57</v>
      </c>
      <c r="J22" s="114" t="str">
        <f t="shared" si="2"/>
        <v>R_ABRM-057</v>
      </c>
      <c r="K22" s="83">
        <f t="shared" si="3"/>
        <v>2</v>
      </c>
      <c r="M22" s="262"/>
      <c r="N22" s="55"/>
    </row>
    <row r="23">
      <c r="A23" s="202" t="str">
        <f t="shared" si="4"/>
        <v>TUNKABRM021</v>
      </c>
      <c r="B23" s="359" t="str">
        <f>VLOOKUP(A23,'ALL Tube Results'!A$2:B59,2,FALSE)</f>
        <v>#N/A</v>
      </c>
      <c r="C23" s="110" t="s">
        <v>1467</v>
      </c>
      <c r="D23" s="360">
        <v>4.0</v>
      </c>
      <c r="E23" s="360">
        <v>2.2</v>
      </c>
      <c r="F23" s="360">
        <v>7.0</v>
      </c>
      <c r="G23" s="176" t="s">
        <v>1468</v>
      </c>
      <c r="H23" s="317">
        <v>21.0</v>
      </c>
      <c r="I23" s="73">
        <f t="shared" si="1"/>
        <v>57</v>
      </c>
      <c r="J23" s="114" t="str">
        <f t="shared" si="2"/>
        <v/>
      </c>
      <c r="K23" s="83">
        <f t="shared" si="3"/>
        <v>1</v>
      </c>
      <c r="M23" s="262"/>
      <c r="N23" s="55"/>
    </row>
    <row r="24">
      <c r="A24" s="202" t="str">
        <f t="shared" si="4"/>
        <v>TUNKABRM022</v>
      </c>
      <c r="B24" s="359" t="str">
        <f>VLOOKUP(A24,'ALL Tube Results'!A$2:B59,2,FALSE)</f>
        <v>#N/A</v>
      </c>
      <c r="C24" s="110" t="s">
        <v>1469</v>
      </c>
      <c r="D24" s="360">
        <v>4.0</v>
      </c>
      <c r="E24" s="360">
        <v>5.0</v>
      </c>
      <c r="F24" s="360">
        <v>4.0</v>
      </c>
      <c r="G24" s="176" t="s">
        <v>1470</v>
      </c>
      <c r="H24" s="317">
        <v>22.0</v>
      </c>
      <c r="I24" s="73">
        <f t="shared" si="1"/>
        <v>64</v>
      </c>
      <c r="J24" s="114" t="str">
        <f t="shared" si="2"/>
        <v>R_ABRM-064</v>
      </c>
      <c r="K24" s="83">
        <f t="shared" si="3"/>
        <v>1</v>
      </c>
      <c r="M24" s="262"/>
      <c r="N24" s="55"/>
    </row>
    <row r="25">
      <c r="A25" s="202" t="str">
        <f t="shared" si="4"/>
        <v>TUNKABRM023</v>
      </c>
      <c r="B25" s="359" t="str">
        <f>VLOOKUP(A25,'ALL Tube Results'!A$2:B59,2,FALSE)</f>
        <v>#N/A</v>
      </c>
      <c r="C25" s="110" t="s">
        <v>1471</v>
      </c>
      <c r="D25" s="360">
        <v>4.0</v>
      </c>
      <c r="E25" s="360">
        <v>1.1</v>
      </c>
      <c r="F25" s="360">
        <v>4.0</v>
      </c>
      <c r="G25" s="176" t="s">
        <v>1472</v>
      </c>
      <c r="H25" s="317">
        <v>23.0</v>
      </c>
      <c r="I25" s="73">
        <f t="shared" si="1"/>
        <v>66</v>
      </c>
      <c r="J25" s="114" t="str">
        <f t="shared" si="2"/>
        <v>R_ABRM-066</v>
      </c>
      <c r="K25" s="83">
        <f t="shared" si="3"/>
        <v>1</v>
      </c>
      <c r="M25" s="262"/>
      <c r="N25" s="55"/>
    </row>
    <row r="26">
      <c r="A26" s="202" t="str">
        <f t="shared" si="4"/>
        <v>TUNKABRM024</v>
      </c>
      <c r="B26" s="359" t="str">
        <f>VLOOKUP(A26,'ALL Tube Results'!A$2:B59,2,FALSE)</f>
        <v>#N/A</v>
      </c>
      <c r="C26" s="110" t="s">
        <v>1473</v>
      </c>
      <c r="D26" s="360">
        <v>4.0</v>
      </c>
      <c r="E26" s="360">
        <v>2.0</v>
      </c>
      <c r="F26" s="360">
        <v>4.0</v>
      </c>
      <c r="H26" s="317">
        <v>24.0</v>
      </c>
      <c r="I26" s="73">
        <f t="shared" si="1"/>
        <v>69</v>
      </c>
      <c r="J26" s="114" t="str">
        <f t="shared" si="2"/>
        <v>R_ABRM-069</v>
      </c>
      <c r="K26" s="83">
        <f t="shared" si="3"/>
        <v>1</v>
      </c>
      <c r="M26" s="262"/>
      <c r="N26" s="55"/>
    </row>
    <row r="27">
      <c r="A27" s="202" t="str">
        <f t="shared" si="4"/>
        <v>TUNKABRM025</v>
      </c>
      <c r="B27" s="359" t="str">
        <f>VLOOKUP(A27,'ALL Tube Results'!A$2:B59,2,FALSE)</f>
        <v>#N/A</v>
      </c>
      <c r="C27" s="110" t="s">
        <v>1474</v>
      </c>
      <c r="D27" s="360">
        <v>4.0</v>
      </c>
      <c r="E27" s="360">
        <v>2.0</v>
      </c>
      <c r="F27" s="360">
        <v>4.0</v>
      </c>
      <c r="G27" s="176" t="s">
        <v>1475</v>
      </c>
      <c r="H27" s="317">
        <v>25.0</v>
      </c>
      <c r="I27" s="73">
        <f t="shared" si="1"/>
        <v>76</v>
      </c>
      <c r="J27" s="114" t="str">
        <f t="shared" si="2"/>
        <v>R_ABRM-076</v>
      </c>
      <c r="K27" s="83">
        <f t="shared" si="3"/>
        <v>1</v>
      </c>
      <c r="M27" s="262"/>
      <c r="N27" s="55"/>
    </row>
    <row r="28">
      <c r="A28" s="202" t="str">
        <f t="shared" si="4"/>
        <v>TUNKABRM026</v>
      </c>
      <c r="B28" s="359" t="str">
        <f>VLOOKUP(A28,'ALL Tube Results'!A$2:B59,2,FALSE)</f>
        <v>#N/A</v>
      </c>
      <c r="C28" s="110" t="s">
        <v>1476</v>
      </c>
      <c r="D28" s="360">
        <v>4.0</v>
      </c>
      <c r="E28" s="360">
        <v>2.0</v>
      </c>
      <c r="F28" s="360">
        <v>4.0</v>
      </c>
      <c r="H28" s="317">
        <v>26.0</v>
      </c>
      <c r="I28" s="73">
        <f t="shared" si="1"/>
        <v>79</v>
      </c>
      <c r="J28" s="114" t="str">
        <f t="shared" si="2"/>
        <v>R_ABRM-079</v>
      </c>
      <c r="K28" s="83">
        <f t="shared" si="3"/>
        <v>1</v>
      </c>
      <c r="M28" s="262"/>
      <c r="N28" s="55"/>
    </row>
    <row r="29">
      <c r="A29" s="202" t="str">
        <f t="shared" si="4"/>
        <v>TUNKABRM027</v>
      </c>
      <c r="B29" s="359" t="str">
        <f>VLOOKUP(A29,'ALL Tube Results'!A$2:B59,2,FALSE)</f>
        <v>#N/A</v>
      </c>
      <c r="C29" s="110" t="s">
        <v>1477</v>
      </c>
      <c r="D29" s="360">
        <v>4.0</v>
      </c>
      <c r="E29" s="360">
        <v>5.0</v>
      </c>
      <c r="F29" s="360">
        <v>4.0</v>
      </c>
      <c r="H29" s="317">
        <v>27.0</v>
      </c>
      <c r="I29" s="73">
        <f t="shared" si="1"/>
        <v>82</v>
      </c>
      <c r="J29" s="114" t="str">
        <f t="shared" si="2"/>
        <v>R_ABRM-082</v>
      </c>
      <c r="K29" s="83">
        <f t="shared" si="3"/>
        <v>1</v>
      </c>
      <c r="M29" s="262"/>
      <c r="N29" s="55"/>
    </row>
    <row r="30">
      <c r="A30" s="202" t="str">
        <f t="shared" si="4"/>
        <v>TUNKABRM028</v>
      </c>
      <c r="B30" s="359" t="str">
        <f>VLOOKUP(A30,'ALL Tube Results'!A$2:B59,2,FALSE)</f>
        <v>#N/A</v>
      </c>
      <c r="C30" s="110" t="s">
        <v>1478</v>
      </c>
      <c r="D30" s="360">
        <v>4.0</v>
      </c>
      <c r="E30" s="360">
        <v>2.2</v>
      </c>
      <c r="F30" s="360">
        <v>7.0</v>
      </c>
      <c r="H30" s="317">
        <v>28.0</v>
      </c>
      <c r="I30" s="73">
        <f t="shared" si="1"/>
        <v>84</v>
      </c>
      <c r="J30" s="114" t="str">
        <f t="shared" si="2"/>
        <v>R_ABRM-084</v>
      </c>
      <c r="K30" s="83">
        <f t="shared" si="3"/>
        <v>1</v>
      </c>
      <c r="M30" s="262"/>
      <c r="N30" s="55"/>
    </row>
    <row r="31">
      <c r="A31" s="202" t="str">
        <f t="shared" si="4"/>
        <v>TUNKABRM029</v>
      </c>
      <c r="B31" s="359" t="str">
        <f>VLOOKUP(A31,'ALL Tube Results'!A$2:B59,2,FALSE)</f>
        <v>#N/A</v>
      </c>
      <c r="C31" s="110" t="s">
        <v>1479</v>
      </c>
      <c r="D31" s="360">
        <v>4.0</v>
      </c>
      <c r="E31" s="360">
        <v>2.0</v>
      </c>
      <c r="F31" s="360">
        <v>4.0</v>
      </c>
      <c r="H31" s="317">
        <v>29.0</v>
      </c>
      <c r="I31" s="73">
        <f t="shared" si="1"/>
        <v>95</v>
      </c>
      <c r="J31" s="114" t="str">
        <f t="shared" si="2"/>
        <v>R_ABRM-095</v>
      </c>
      <c r="K31" s="83">
        <f t="shared" si="3"/>
        <v>1</v>
      </c>
      <c r="M31" s="262"/>
      <c r="N31" s="55"/>
    </row>
    <row r="32">
      <c r="A32" s="202" t="str">
        <f t="shared" si="4"/>
        <v>TUNKABRM030</v>
      </c>
      <c r="B32" s="359" t="str">
        <f>VLOOKUP(A32,'ALL Tube Results'!A$2:B59,2,FALSE)</f>
        <v>#N/A</v>
      </c>
      <c r="C32" s="110" t="s">
        <v>1480</v>
      </c>
      <c r="D32" s="360">
        <v>4.0</v>
      </c>
      <c r="E32" s="360">
        <v>7.3</v>
      </c>
      <c r="F32" s="360">
        <v>4.0</v>
      </c>
      <c r="H32" s="317">
        <v>30.0</v>
      </c>
      <c r="I32" s="73">
        <f t="shared" si="1"/>
        <v>101</v>
      </c>
      <c r="J32" s="114" t="str">
        <f t="shared" si="2"/>
        <v>R_ABRM-101</v>
      </c>
      <c r="K32" s="83">
        <f t="shared" si="3"/>
        <v>1</v>
      </c>
      <c r="M32" s="262"/>
      <c r="N32" s="55"/>
    </row>
    <row r="33">
      <c r="A33" s="202" t="str">
        <f t="shared" si="4"/>
        <v>TUNKABRM031</v>
      </c>
      <c r="B33" s="359" t="str">
        <f>VLOOKUP(A33,'ALL Tube Results'!A$2:B59,2,FALSE)</f>
        <v>#N/A</v>
      </c>
      <c r="C33" s="110" t="s">
        <v>1481</v>
      </c>
      <c r="D33" s="360">
        <v>4.0</v>
      </c>
      <c r="E33" s="360">
        <v>2.0</v>
      </c>
      <c r="F33" s="360">
        <v>4.0</v>
      </c>
      <c r="H33" s="317">
        <v>31.0</v>
      </c>
      <c r="I33" s="73">
        <f t="shared" si="1"/>
        <v>105</v>
      </c>
      <c r="J33" s="114" t="str">
        <f t="shared" si="2"/>
        <v>R_ABRM-105</v>
      </c>
      <c r="K33" s="83">
        <f t="shared" si="3"/>
        <v>2</v>
      </c>
      <c r="M33" s="262"/>
      <c r="N33" s="55"/>
    </row>
    <row r="34">
      <c r="A34" s="202" t="str">
        <f t="shared" si="4"/>
        <v>TUNKABRM032</v>
      </c>
      <c r="B34" s="359" t="str">
        <f>VLOOKUP(A34,'ALL Tube Results'!A$2:B59,2,FALSE)</f>
        <v>#N/A</v>
      </c>
      <c r="C34" s="110" t="s">
        <v>1481</v>
      </c>
      <c r="D34" s="360">
        <v>4.0</v>
      </c>
      <c r="E34" s="360">
        <v>2.0</v>
      </c>
      <c r="F34" s="360">
        <v>4.0</v>
      </c>
      <c r="H34" s="317">
        <v>32.0</v>
      </c>
      <c r="I34" s="73">
        <f t="shared" si="1"/>
        <v>105</v>
      </c>
      <c r="J34" s="114" t="str">
        <f t="shared" si="2"/>
        <v/>
      </c>
      <c r="K34" s="83">
        <f t="shared" si="3"/>
        <v>1</v>
      </c>
      <c r="M34" s="262"/>
      <c r="N34" s="55"/>
    </row>
    <row r="35">
      <c r="A35" s="202" t="str">
        <f t="shared" si="4"/>
        <v>TUNKABRM033</v>
      </c>
      <c r="B35" s="359" t="str">
        <f>VLOOKUP(A35,'ALL Tube Results'!A$2:B59,2,FALSE)</f>
        <v>#N/A</v>
      </c>
      <c r="C35" s="92" t="s">
        <v>1482</v>
      </c>
      <c r="D35" s="360">
        <v>4.0</v>
      </c>
      <c r="E35" s="360">
        <v>2.0</v>
      </c>
      <c r="F35" s="360">
        <v>4.0</v>
      </c>
      <c r="H35" s="317">
        <v>33.0</v>
      </c>
      <c r="I35" s="73">
        <f t="shared" si="1"/>
        <v>110</v>
      </c>
      <c r="J35" s="114" t="str">
        <f t="shared" si="2"/>
        <v>R_ABRM-110</v>
      </c>
      <c r="K35" s="83">
        <f t="shared" si="3"/>
        <v>1</v>
      </c>
      <c r="M35" s="262"/>
      <c r="N35" s="55"/>
    </row>
    <row r="36">
      <c r="A36" s="202" t="str">
        <f t="shared" si="4"/>
        <v>TUNKABRM034</v>
      </c>
      <c r="B36" s="359" t="str">
        <f>VLOOKUP(A36,'ALL Tube Results'!A$2:B59,2,FALSE)</f>
        <v>#N/A</v>
      </c>
      <c r="C36" s="92" t="s">
        <v>1483</v>
      </c>
      <c r="D36" s="360">
        <v>4.0</v>
      </c>
      <c r="E36" s="360">
        <v>9.0</v>
      </c>
      <c r="F36" s="360">
        <v>7.0</v>
      </c>
      <c r="G36" s="176" t="s">
        <v>1484</v>
      </c>
      <c r="H36" s="317">
        <v>34.0</v>
      </c>
      <c r="I36" s="73">
        <f t="shared" si="1"/>
        <v>114</v>
      </c>
      <c r="J36" s="114" t="str">
        <f t="shared" si="2"/>
        <v>R_ABRM-114</v>
      </c>
      <c r="K36" s="83">
        <f t="shared" si="3"/>
        <v>1</v>
      </c>
      <c r="M36" s="262"/>
      <c r="N36" s="55"/>
    </row>
    <row r="37">
      <c r="A37" s="202" t="str">
        <f t="shared" si="4"/>
        <v>TUNKABRM035</v>
      </c>
      <c r="B37" s="359" t="str">
        <f>VLOOKUP(A37,'ALL Tube Results'!A$2:B59,2,FALSE)</f>
        <v>#N/A</v>
      </c>
      <c r="C37" s="92" t="s">
        <v>1485</v>
      </c>
      <c r="D37" s="360">
        <v>4.0</v>
      </c>
      <c r="E37" s="360">
        <v>2.0</v>
      </c>
      <c r="F37" s="360">
        <v>4.0</v>
      </c>
      <c r="H37" s="317">
        <v>35.0</v>
      </c>
      <c r="I37" s="73">
        <f t="shared" si="1"/>
        <v>119</v>
      </c>
      <c r="J37" s="114" t="str">
        <f t="shared" si="2"/>
        <v>R_ABRM-119</v>
      </c>
      <c r="K37" s="83">
        <f t="shared" si="3"/>
        <v>1</v>
      </c>
      <c r="M37" s="262"/>
      <c r="N37" s="55"/>
    </row>
    <row r="38">
      <c r="A38" s="202" t="str">
        <f t="shared" si="4"/>
        <v>TUNKABRM036</v>
      </c>
      <c r="B38" s="359" t="str">
        <f>VLOOKUP(A38,'ALL Tube Results'!A$2:B59,2,FALSE)</f>
        <v>#N/A</v>
      </c>
      <c r="C38" s="92" t="s">
        <v>1486</v>
      </c>
      <c r="D38" s="360">
        <v>4.0</v>
      </c>
      <c r="E38" s="360">
        <v>2.0</v>
      </c>
      <c r="F38" s="360">
        <v>4.0</v>
      </c>
      <c r="G38" s="364"/>
      <c r="H38" s="317">
        <v>36.0</v>
      </c>
      <c r="I38" s="73">
        <f t="shared" si="1"/>
        <v>121</v>
      </c>
      <c r="J38" s="114" t="str">
        <f t="shared" si="2"/>
        <v>R_ABRM-121</v>
      </c>
      <c r="K38" s="83">
        <f t="shared" si="3"/>
        <v>1</v>
      </c>
      <c r="M38" s="262"/>
      <c r="N38" s="55"/>
    </row>
    <row r="39">
      <c r="A39" s="202" t="str">
        <f t="shared" si="4"/>
        <v>TUNKABRM037</v>
      </c>
      <c r="B39" s="359" t="str">
        <f>VLOOKUP(A39,'ALL Tube Results'!A$2:B59,2,FALSE)</f>
        <v>#N/A</v>
      </c>
      <c r="C39" s="92" t="s">
        <v>1487</v>
      </c>
      <c r="D39" s="360">
        <v>4.0</v>
      </c>
      <c r="E39" s="360">
        <v>5.0</v>
      </c>
      <c r="F39" s="360">
        <v>4.0</v>
      </c>
      <c r="G39" s="365" t="s">
        <v>1488</v>
      </c>
      <c r="H39" s="317">
        <v>37.0</v>
      </c>
      <c r="I39" s="73">
        <f t="shared" si="1"/>
        <v>123</v>
      </c>
      <c r="J39" s="114" t="str">
        <f t="shared" si="2"/>
        <v>R_ABRM-123</v>
      </c>
      <c r="K39" s="83">
        <f t="shared" si="3"/>
        <v>2</v>
      </c>
      <c r="M39" s="262"/>
      <c r="N39" s="55"/>
    </row>
    <row r="40">
      <c r="A40" s="202" t="str">
        <f t="shared" si="4"/>
        <v>TUNKABRM038</v>
      </c>
      <c r="B40" s="359" t="str">
        <f>VLOOKUP(A40,'ALL Tube Results'!A$2:B59,2,FALSE)</f>
        <v>#N/A</v>
      </c>
      <c r="C40" s="92" t="s">
        <v>1487</v>
      </c>
      <c r="D40" s="360">
        <v>4.0</v>
      </c>
      <c r="E40" s="360">
        <v>2.0</v>
      </c>
      <c r="F40" s="360">
        <v>4.0</v>
      </c>
      <c r="G40" s="364"/>
      <c r="H40" s="317">
        <v>38.0</v>
      </c>
      <c r="I40" s="73">
        <f t="shared" si="1"/>
        <v>123</v>
      </c>
      <c r="J40" s="114" t="str">
        <f t="shared" si="2"/>
        <v/>
      </c>
      <c r="K40" s="83">
        <f t="shared" si="3"/>
        <v>1</v>
      </c>
      <c r="M40" s="262"/>
      <c r="N40" s="55"/>
    </row>
    <row r="41">
      <c r="A41" s="202" t="str">
        <f t="shared" si="4"/>
        <v>TUNKABRM039</v>
      </c>
      <c r="B41" s="359" t="str">
        <f>VLOOKUP(A41,'ALL Tube Results'!A$2:B59,2,FALSE)</f>
        <v>#N/A</v>
      </c>
      <c r="C41" s="110" t="s">
        <v>1489</v>
      </c>
      <c r="D41" s="360">
        <v>4.0</v>
      </c>
      <c r="E41" s="360">
        <v>1.1</v>
      </c>
      <c r="F41" s="360">
        <v>4.0</v>
      </c>
      <c r="G41" s="365" t="s">
        <v>1490</v>
      </c>
      <c r="H41" s="317">
        <v>39.0</v>
      </c>
      <c r="I41" s="73">
        <f t="shared" si="1"/>
        <v>125</v>
      </c>
      <c r="J41" s="114" t="str">
        <f t="shared" si="2"/>
        <v>R_ABRM-125</v>
      </c>
      <c r="K41" s="83">
        <f t="shared" si="3"/>
        <v>1</v>
      </c>
      <c r="M41" s="262"/>
      <c r="N41" s="55"/>
    </row>
    <row r="42">
      <c r="A42" s="202" t="str">
        <f t="shared" si="4"/>
        <v>TUNKABRM040</v>
      </c>
      <c r="B42" s="359" t="str">
        <f>VLOOKUP(A42,'ALL Tube Results'!A$2:B59,2,FALSE)</f>
        <v>#N/A</v>
      </c>
      <c r="C42" s="92" t="s">
        <v>1491</v>
      </c>
      <c r="D42" s="366">
        <v>4.0</v>
      </c>
      <c r="E42" s="366">
        <v>5.0</v>
      </c>
      <c r="F42" s="366">
        <v>4.0</v>
      </c>
      <c r="H42" s="317">
        <v>40.0</v>
      </c>
      <c r="I42" s="73">
        <f t="shared" si="1"/>
        <v>126</v>
      </c>
      <c r="J42" s="114" t="str">
        <f t="shared" si="2"/>
        <v>R_ABRM-126</v>
      </c>
      <c r="K42" s="83">
        <f t="shared" si="3"/>
        <v>2</v>
      </c>
      <c r="M42" s="262"/>
      <c r="N42" s="55"/>
    </row>
    <row r="43">
      <c r="A43" s="202" t="str">
        <f t="shared" si="4"/>
        <v>TUNKABRM041</v>
      </c>
      <c r="B43" s="359" t="str">
        <f>VLOOKUP(A43,'ALL Tube Results'!A$2:B59,2,FALSE)</f>
        <v>#N/A</v>
      </c>
      <c r="C43" s="7" t="s">
        <v>1491</v>
      </c>
      <c r="D43" s="366">
        <v>4.0</v>
      </c>
      <c r="E43" s="366">
        <v>2.0</v>
      </c>
      <c r="F43" s="366">
        <v>4.0</v>
      </c>
      <c r="H43" s="317">
        <v>41.0</v>
      </c>
      <c r="I43" s="73">
        <f t="shared" si="1"/>
        <v>126</v>
      </c>
      <c r="J43" s="114" t="str">
        <f t="shared" si="2"/>
        <v/>
      </c>
      <c r="K43" s="83">
        <f t="shared" si="3"/>
        <v>1</v>
      </c>
      <c r="M43" s="262"/>
      <c r="N43" s="55"/>
    </row>
    <row r="44">
      <c r="A44" s="202" t="str">
        <f t="shared" si="4"/>
        <v>TUNKABRM042</v>
      </c>
      <c r="B44" s="359" t="str">
        <f>VLOOKUP(A44,'ALL Tube Results'!A$2:B59,2,FALSE)</f>
        <v>#N/A</v>
      </c>
      <c r="C44" s="7" t="s">
        <v>1492</v>
      </c>
      <c r="D44" s="360">
        <v>4.0</v>
      </c>
      <c r="E44" s="360">
        <v>3.2</v>
      </c>
      <c r="F44" s="360">
        <v>4.0</v>
      </c>
      <c r="H44" s="317">
        <v>42.0</v>
      </c>
      <c r="I44" s="73">
        <f t="shared" si="1"/>
        <v>129</v>
      </c>
      <c r="J44" s="114" t="str">
        <f t="shared" si="2"/>
        <v>R_ABRM-129</v>
      </c>
      <c r="K44" s="83">
        <f t="shared" si="3"/>
        <v>4</v>
      </c>
      <c r="M44" s="262"/>
      <c r="N44" s="55"/>
    </row>
    <row r="45">
      <c r="A45" s="202" t="str">
        <f t="shared" si="4"/>
        <v>TUNKABRM043</v>
      </c>
      <c r="B45" s="359" t="str">
        <f>VLOOKUP(A45,'ALL Tube Results'!A$2:B59,2,FALSE)</f>
        <v>#N/A</v>
      </c>
      <c r="C45" s="7" t="s">
        <v>1492</v>
      </c>
      <c r="D45" s="360">
        <v>4.0</v>
      </c>
      <c r="E45" s="360">
        <v>1.2</v>
      </c>
      <c r="F45" s="360">
        <v>4.0</v>
      </c>
      <c r="H45" s="317">
        <v>43.0</v>
      </c>
      <c r="I45" s="73">
        <f t="shared" si="1"/>
        <v>129</v>
      </c>
      <c r="J45" s="114" t="str">
        <f t="shared" si="2"/>
        <v/>
      </c>
      <c r="K45" s="83">
        <f t="shared" si="3"/>
        <v>1</v>
      </c>
      <c r="M45" s="262"/>
      <c r="N45" s="55"/>
    </row>
    <row r="46">
      <c r="A46" s="202" t="str">
        <f t="shared" si="4"/>
        <v>TUNKABRM044</v>
      </c>
      <c r="B46" s="359" t="str">
        <f>VLOOKUP(A46,'ALL Tube Results'!A$2:B59,2,FALSE)</f>
        <v>#N/A</v>
      </c>
      <c r="C46" s="7" t="s">
        <v>1492</v>
      </c>
      <c r="D46" s="360">
        <v>4.0</v>
      </c>
      <c r="E46" s="360">
        <v>1.2</v>
      </c>
      <c r="F46" s="360">
        <v>4.0</v>
      </c>
      <c r="H46" s="317">
        <v>44.0</v>
      </c>
      <c r="I46" s="73">
        <f t="shared" si="1"/>
        <v>129</v>
      </c>
      <c r="J46" s="114" t="str">
        <f t="shared" si="2"/>
        <v/>
      </c>
      <c r="K46" s="83">
        <f t="shared" si="3"/>
        <v>1</v>
      </c>
      <c r="M46" s="262"/>
      <c r="N46" s="55"/>
    </row>
    <row r="47">
      <c r="A47" s="202" t="str">
        <f t="shared" si="4"/>
        <v>TUNKABRM045</v>
      </c>
      <c r="B47" s="359" t="str">
        <f>VLOOKUP(A47,'ALL Tube Results'!A$2:B59,2,FALSE)</f>
        <v>#N/A</v>
      </c>
      <c r="C47" s="92" t="s">
        <v>1492</v>
      </c>
      <c r="D47" s="360">
        <v>4.0</v>
      </c>
      <c r="E47" s="360">
        <v>1.2</v>
      </c>
      <c r="F47" s="360">
        <v>4.0</v>
      </c>
      <c r="H47" s="317">
        <v>45.0</v>
      </c>
      <c r="I47" s="73">
        <f t="shared" si="1"/>
        <v>129</v>
      </c>
      <c r="J47" s="114" t="str">
        <f t="shared" si="2"/>
        <v/>
      </c>
      <c r="K47" s="83">
        <f t="shared" si="3"/>
        <v>1</v>
      </c>
      <c r="M47" s="262"/>
      <c r="N47" s="55"/>
      <c r="P47" s="7" t="s">
        <v>1493</v>
      </c>
    </row>
    <row r="48">
      <c r="A48" s="202" t="str">
        <f t="shared" si="4"/>
        <v>TUNKABRM046</v>
      </c>
      <c r="B48" s="359" t="str">
        <f>VLOOKUP(A48,'ALL Tube Results'!A$2:B59,2,FALSE)</f>
        <v>#N/A</v>
      </c>
      <c r="C48" s="92" t="s">
        <v>1494</v>
      </c>
      <c r="D48" s="360">
        <v>4.0</v>
      </c>
      <c r="E48" s="360">
        <v>3.1</v>
      </c>
      <c r="F48" s="360">
        <v>4.0</v>
      </c>
      <c r="H48" s="317">
        <v>46.0</v>
      </c>
      <c r="I48" s="73">
        <f t="shared" si="1"/>
        <v>131</v>
      </c>
      <c r="J48" s="114" t="str">
        <f t="shared" si="2"/>
        <v>R_ABRM-131</v>
      </c>
      <c r="K48" s="83">
        <f t="shared" si="3"/>
        <v>1</v>
      </c>
      <c r="M48" s="262"/>
      <c r="N48" s="55"/>
    </row>
    <row r="49">
      <c r="A49" s="202" t="str">
        <f t="shared" si="4"/>
        <v>TUNKABRM047</v>
      </c>
      <c r="B49" s="359" t="str">
        <f>VLOOKUP(A49,'ALL Tube Results'!A$2:B59,2,FALSE)</f>
        <v>#N/A</v>
      </c>
      <c r="C49" s="92" t="s">
        <v>1495</v>
      </c>
      <c r="D49" s="366">
        <v>4.0</v>
      </c>
      <c r="E49" s="366">
        <v>2.0</v>
      </c>
      <c r="F49" s="366">
        <v>4.0</v>
      </c>
      <c r="H49" s="317">
        <v>47.0</v>
      </c>
      <c r="I49" s="73">
        <f t="shared" si="1"/>
        <v>133</v>
      </c>
      <c r="J49" s="114" t="str">
        <f t="shared" si="2"/>
        <v>R_ABRM-133</v>
      </c>
      <c r="K49" s="83">
        <f t="shared" si="3"/>
        <v>1</v>
      </c>
      <c r="M49" s="262"/>
      <c r="N49" s="55"/>
    </row>
    <row r="50">
      <c r="A50" s="202" t="str">
        <f t="shared" si="4"/>
        <v>TUNKABRM048</v>
      </c>
      <c r="B50" s="359" t="str">
        <f>VLOOKUP(A50,'ALL Tube Results'!A$2:B59,2,FALSE)</f>
        <v>#N/A</v>
      </c>
      <c r="C50" s="92" t="s">
        <v>1496</v>
      </c>
      <c r="D50" s="366">
        <v>4.0</v>
      </c>
      <c r="E50" s="366">
        <v>5.0</v>
      </c>
      <c r="F50" s="366">
        <v>4.0</v>
      </c>
      <c r="H50" s="317">
        <v>48.0</v>
      </c>
      <c r="I50" s="73">
        <f t="shared" si="1"/>
        <v>137</v>
      </c>
      <c r="J50" s="114" t="str">
        <f t="shared" si="2"/>
        <v>R_ABRM-137</v>
      </c>
      <c r="K50" s="83">
        <f t="shared" si="3"/>
        <v>1</v>
      </c>
      <c r="M50" s="262"/>
      <c r="N50" s="55"/>
    </row>
    <row r="51">
      <c r="A51" s="202" t="str">
        <f t="shared" si="4"/>
        <v>TUNKABRM049</v>
      </c>
      <c r="B51" s="359" t="str">
        <f>VLOOKUP(A51,'ALL Tube Results'!A$2:B59,2,FALSE)</f>
        <v>#N/A</v>
      </c>
      <c r="C51" s="92" t="s">
        <v>1497</v>
      </c>
      <c r="D51" s="366">
        <v>4.0</v>
      </c>
      <c r="E51" s="366">
        <v>3.0</v>
      </c>
      <c r="F51" s="366">
        <v>1.0</v>
      </c>
      <c r="H51" s="317">
        <v>49.0</v>
      </c>
      <c r="I51" s="73">
        <f t="shared" si="1"/>
        <v>139</v>
      </c>
      <c r="J51" s="114" t="str">
        <f t="shared" si="2"/>
        <v>R_ABRM-139</v>
      </c>
      <c r="K51" s="83">
        <f t="shared" si="3"/>
        <v>1</v>
      </c>
      <c r="M51" s="262"/>
      <c r="N51" s="55"/>
    </row>
    <row r="52">
      <c r="A52" s="202" t="str">
        <f t="shared" si="4"/>
        <v>TUNKABRM050</v>
      </c>
      <c r="B52" s="359" t="str">
        <f>VLOOKUP(A52,'ALL Tube Results'!A$2:B59,2,FALSE)</f>
        <v>#N/A</v>
      </c>
      <c r="C52" s="92" t="s">
        <v>1498</v>
      </c>
      <c r="D52" s="366">
        <v>4.0</v>
      </c>
      <c r="E52" s="366">
        <v>2.0</v>
      </c>
      <c r="F52" s="366">
        <v>4.0</v>
      </c>
      <c r="H52" s="317">
        <v>50.0</v>
      </c>
      <c r="I52" s="73">
        <f t="shared" si="1"/>
        <v>143</v>
      </c>
      <c r="J52" s="114" t="str">
        <f t="shared" si="2"/>
        <v>R_ABRM-143</v>
      </c>
      <c r="K52" s="83">
        <f t="shared" si="3"/>
        <v>1</v>
      </c>
      <c r="M52" s="262"/>
      <c r="N52" s="55"/>
    </row>
    <row r="53">
      <c r="A53" s="202" t="str">
        <f t="shared" si="4"/>
        <v>TUNKABRM051</v>
      </c>
      <c r="B53" s="359" t="str">
        <f>VLOOKUP(A53,'ALL Tube Results'!A$2:B59,2,FALSE)</f>
        <v>#N/A</v>
      </c>
      <c r="C53" s="92" t="s">
        <v>1493</v>
      </c>
      <c r="D53" s="360">
        <v>4.0</v>
      </c>
      <c r="E53" s="360">
        <v>2.0</v>
      </c>
      <c r="F53" s="360">
        <v>4.0</v>
      </c>
      <c r="H53" s="317">
        <v>51.0</v>
      </c>
      <c r="I53" s="73">
        <f t="shared" si="1"/>
        <v>147</v>
      </c>
      <c r="J53" s="114" t="str">
        <f t="shared" si="2"/>
        <v>R_ABRM-147</v>
      </c>
      <c r="K53" s="83">
        <f t="shared" si="3"/>
        <v>1</v>
      </c>
      <c r="M53" s="262"/>
      <c r="N53" s="55"/>
    </row>
    <row r="54">
      <c r="A54" s="202" t="str">
        <f t="shared" si="4"/>
        <v>TUNKABRM052</v>
      </c>
      <c r="B54" s="359" t="str">
        <f>VLOOKUP(A54,'ALL Tube Results'!A$2:B59,2,FALSE)</f>
        <v>#N/A</v>
      </c>
      <c r="C54" s="92" t="s">
        <v>1499</v>
      </c>
      <c r="D54" s="366">
        <v>4.0</v>
      </c>
      <c r="E54" s="366">
        <v>2.0</v>
      </c>
      <c r="F54" s="366">
        <v>4.0</v>
      </c>
      <c r="H54" s="317">
        <v>52.0</v>
      </c>
      <c r="I54" s="73">
        <f t="shared" si="1"/>
        <v>154</v>
      </c>
      <c r="J54" s="114" t="str">
        <f t="shared" si="2"/>
        <v>R_ABRM-154</v>
      </c>
      <c r="K54" s="83">
        <f t="shared" si="3"/>
        <v>1</v>
      </c>
      <c r="M54" s="262"/>
      <c r="N54" s="55"/>
    </row>
    <row r="55">
      <c r="A55" s="202" t="str">
        <f t="shared" si="4"/>
        <v>TUNKABRM053</v>
      </c>
      <c r="B55" s="359" t="str">
        <f>VLOOKUP(A55,'ALL Tube Results'!A$2:B59,2,FALSE)</f>
        <v>#N/A</v>
      </c>
      <c r="C55" s="92" t="s">
        <v>1500</v>
      </c>
      <c r="D55" s="366">
        <v>4.0</v>
      </c>
      <c r="E55" s="366">
        <v>2.0</v>
      </c>
      <c r="F55" s="366">
        <v>4.0</v>
      </c>
      <c r="H55" s="317">
        <v>53.0</v>
      </c>
      <c r="I55" s="73">
        <f t="shared" si="1"/>
        <v>156</v>
      </c>
      <c r="J55" s="114" t="str">
        <f t="shared" si="2"/>
        <v>R_ABRM-156</v>
      </c>
      <c r="K55" s="83">
        <f t="shared" si="3"/>
        <v>1</v>
      </c>
      <c r="M55" s="262"/>
      <c r="N55" s="55"/>
    </row>
    <row r="56">
      <c r="A56" s="202" t="str">
        <f t="shared" si="4"/>
        <v>TUNKABRM054</v>
      </c>
      <c r="B56" s="359" t="str">
        <f>VLOOKUP(A56,'ALL Tube Results'!A$2:B59,2,FALSE)</f>
        <v>#N/A</v>
      </c>
      <c r="C56" s="92" t="s">
        <v>1501</v>
      </c>
      <c r="D56" s="366">
        <v>4.0</v>
      </c>
      <c r="E56" s="366">
        <v>2.0</v>
      </c>
      <c r="F56" s="366">
        <v>4.0</v>
      </c>
      <c r="H56" s="317">
        <v>54.0</v>
      </c>
      <c r="I56" s="73">
        <f t="shared" si="1"/>
        <v>171</v>
      </c>
      <c r="J56" s="114" t="str">
        <f t="shared" si="2"/>
        <v>R_ABRM-171</v>
      </c>
      <c r="K56" s="83">
        <f t="shared" si="3"/>
        <v>1</v>
      </c>
      <c r="M56" s="262"/>
      <c r="N56" s="55"/>
    </row>
    <row r="57">
      <c r="A57" s="202" t="str">
        <f t="shared" si="4"/>
        <v>TUNKABRM055</v>
      </c>
      <c r="B57" s="359" t="str">
        <f>VLOOKUP(A57,'ALL Tube Results'!A$2:B59,2,FALSE)</f>
        <v>#N/A</v>
      </c>
      <c r="C57" s="92" t="s">
        <v>1502</v>
      </c>
      <c r="D57" s="366">
        <v>4.0</v>
      </c>
      <c r="E57" s="366">
        <v>2.0</v>
      </c>
      <c r="F57" s="366">
        <v>4.0</v>
      </c>
      <c r="G57" s="7" t="s">
        <v>1503</v>
      </c>
      <c r="H57" s="317">
        <v>55.0</v>
      </c>
      <c r="I57" s="73">
        <f t="shared" si="1"/>
        <v>177</v>
      </c>
      <c r="J57" s="114" t="str">
        <f t="shared" si="2"/>
        <v>R_ABRM-177</v>
      </c>
      <c r="K57" s="83">
        <f t="shared" si="3"/>
        <v>1</v>
      </c>
      <c r="M57" s="262"/>
      <c r="N57" s="55"/>
    </row>
    <row r="58">
      <c r="A58" s="202" t="str">
        <f t="shared" si="4"/>
        <v>TUNKABRM056</v>
      </c>
      <c r="B58" s="359" t="str">
        <f>VLOOKUP(A58,'ALL Tube Results'!A$2:B59,2,FALSE)</f>
        <v>#N/A</v>
      </c>
      <c r="C58" s="92" t="s">
        <v>1504</v>
      </c>
      <c r="D58" s="366">
        <v>4.0</v>
      </c>
      <c r="E58" s="366">
        <v>7.1</v>
      </c>
      <c r="F58" s="366">
        <v>4.0</v>
      </c>
      <c r="H58" s="317">
        <v>56.0</v>
      </c>
      <c r="I58" s="73">
        <f t="shared" si="1"/>
        <v>197</v>
      </c>
      <c r="J58" s="114" t="str">
        <f t="shared" si="2"/>
        <v>R_ABRM-197</v>
      </c>
      <c r="K58" s="83">
        <f t="shared" si="3"/>
        <v>1</v>
      </c>
      <c r="M58" s="262"/>
      <c r="N58" s="55"/>
    </row>
    <row r="59">
      <c r="A59" s="202" t="str">
        <f t="shared" si="4"/>
        <v>TUNKABRM057</v>
      </c>
      <c r="B59" s="359" t="str">
        <f>VLOOKUP(A59,'ALL Tube Results'!A$2:B59,2,FALSE)</f>
        <v>#N/A</v>
      </c>
      <c r="C59" s="92"/>
      <c r="D59" s="366"/>
      <c r="E59" s="366"/>
      <c r="F59" s="366"/>
      <c r="H59" s="317">
        <v>57.0</v>
      </c>
      <c r="I59" s="73">
        <f t="shared" si="1"/>
        <v>0</v>
      </c>
      <c r="J59" s="114" t="str">
        <f t="shared" si="2"/>
        <v/>
      </c>
      <c r="K59" s="83">
        <f t="shared" si="3"/>
        <v>0</v>
      </c>
      <c r="M59" s="262"/>
      <c r="N59" s="55"/>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3" max="3" width="13.13"/>
    <col customWidth="1" min="4" max="4" width="45.75"/>
  </cols>
  <sheetData>
    <row r="1">
      <c r="A1" s="110" t="s">
        <v>1505</v>
      </c>
      <c r="B1" s="55"/>
      <c r="C1" s="55"/>
      <c r="D1" s="55"/>
      <c r="E1" s="55"/>
      <c r="F1" s="55"/>
      <c r="G1" s="55"/>
      <c r="H1" s="55"/>
      <c r="I1" s="55"/>
      <c r="J1" s="55"/>
      <c r="K1" s="55"/>
    </row>
    <row r="2">
      <c r="A2" s="92"/>
      <c r="B2" s="55"/>
      <c r="C2" s="55"/>
      <c r="D2" s="55"/>
      <c r="E2" s="55"/>
      <c r="F2" s="55"/>
      <c r="G2" s="55"/>
      <c r="H2" s="55"/>
      <c r="I2" s="55"/>
      <c r="J2" s="55"/>
      <c r="K2" s="55"/>
    </row>
    <row r="3">
      <c r="A3" s="55"/>
      <c r="B3" s="367" t="s">
        <v>1506</v>
      </c>
      <c r="C3" s="110" t="s">
        <v>1507</v>
      </c>
      <c r="D3" s="92"/>
      <c r="E3" s="92"/>
      <c r="F3" s="55"/>
      <c r="G3" s="55"/>
      <c r="H3" s="55"/>
      <c r="I3" s="55"/>
      <c r="J3" s="55"/>
      <c r="K3" s="55"/>
    </row>
    <row r="4">
      <c r="A4" s="55"/>
      <c r="B4" s="368" t="b">
        <v>0</v>
      </c>
      <c r="C4" s="369" t="s">
        <v>1508</v>
      </c>
      <c r="D4" s="370"/>
      <c r="E4" s="370"/>
      <c r="F4" s="55"/>
      <c r="G4" s="55"/>
      <c r="H4" s="55"/>
      <c r="I4" s="55"/>
      <c r="J4" s="371"/>
      <c r="K4" s="371"/>
    </row>
    <row r="5">
      <c r="A5" s="92"/>
      <c r="B5" s="368" t="b">
        <v>0</v>
      </c>
      <c r="C5" s="372" t="s">
        <v>1509</v>
      </c>
      <c r="D5" s="370"/>
      <c r="E5" s="370"/>
      <c r="F5" s="55"/>
      <c r="G5" s="55"/>
      <c r="H5" s="55"/>
      <c r="I5" s="55"/>
      <c r="J5" s="371"/>
      <c r="K5" s="371"/>
    </row>
    <row r="6">
      <c r="A6" s="92"/>
      <c r="B6" s="92"/>
      <c r="C6" s="370"/>
      <c r="D6" s="372" t="s">
        <v>1510</v>
      </c>
      <c r="E6" s="370"/>
      <c r="F6" s="55"/>
      <c r="G6" s="55"/>
      <c r="H6" s="55"/>
      <c r="I6" s="55"/>
      <c r="J6" s="373"/>
      <c r="K6" s="373"/>
    </row>
    <row r="7">
      <c r="A7" s="92"/>
      <c r="B7" s="368" t="b">
        <v>0</v>
      </c>
      <c r="C7" s="369" t="s">
        <v>1511</v>
      </c>
      <c r="D7" s="370"/>
      <c r="E7" s="370"/>
      <c r="F7" s="55"/>
      <c r="G7" s="55"/>
      <c r="H7" s="55"/>
      <c r="I7" s="55"/>
      <c r="J7" s="371"/>
      <c r="K7" s="371"/>
    </row>
    <row r="8">
      <c r="A8" s="92"/>
      <c r="B8" s="367"/>
      <c r="C8" s="370" t="s">
        <v>1512</v>
      </c>
      <c r="D8" s="374" t="s">
        <v>1505</v>
      </c>
      <c r="E8" s="370"/>
      <c r="F8" s="55"/>
      <c r="G8" s="55"/>
      <c r="H8" s="55"/>
      <c r="I8" s="55"/>
      <c r="J8" s="373"/>
      <c r="K8" s="373"/>
    </row>
    <row r="9">
      <c r="A9" s="92"/>
      <c r="B9" s="367"/>
      <c r="C9" s="370"/>
      <c r="D9" s="370"/>
      <c r="E9" s="370"/>
      <c r="F9" s="55"/>
      <c r="G9" s="55"/>
      <c r="H9" s="55"/>
      <c r="I9" s="55"/>
      <c r="J9" s="373"/>
      <c r="K9" s="373"/>
    </row>
    <row r="10">
      <c r="A10" s="92"/>
      <c r="B10" s="375" t="s">
        <v>1513</v>
      </c>
      <c r="C10" s="370"/>
      <c r="D10" s="370"/>
      <c r="E10" s="370"/>
      <c r="F10" s="55"/>
      <c r="G10" s="55"/>
      <c r="H10" s="55"/>
      <c r="I10" s="55"/>
      <c r="J10" s="371"/>
      <c r="K10" s="371"/>
    </row>
    <row r="11">
      <c r="A11" s="92"/>
      <c r="B11" s="118" t="b">
        <v>0</v>
      </c>
      <c r="C11" s="372" t="s">
        <v>1514</v>
      </c>
      <c r="D11" s="370"/>
      <c r="E11" s="370"/>
      <c r="F11" s="55"/>
      <c r="G11" s="55"/>
      <c r="H11" s="55"/>
      <c r="I11" s="55"/>
      <c r="J11" s="371"/>
      <c r="K11" s="373"/>
    </row>
    <row r="12">
      <c r="A12" s="92"/>
      <c r="B12" s="92"/>
      <c r="C12" s="373"/>
      <c r="D12" s="372" t="s">
        <v>1515</v>
      </c>
      <c r="E12" s="370"/>
      <c r="F12" s="55"/>
      <c r="G12" s="55"/>
      <c r="H12" s="55"/>
      <c r="I12" s="55"/>
      <c r="J12" s="373"/>
      <c r="K12" s="371"/>
    </row>
    <row r="13">
      <c r="A13" s="92"/>
      <c r="B13" s="118" t="b">
        <v>0</v>
      </c>
      <c r="C13" s="369" t="s">
        <v>1516</v>
      </c>
      <c r="D13" s="370"/>
      <c r="E13" s="370"/>
      <c r="F13" s="55"/>
      <c r="G13" s="55"/>
      <c r="H13" s="55"/>
      <c r="I13" s="55"/>
      <c r="J13" s="371"/>
      <c r="K13" s="373"/>
    </row>
    <row r="14">
      <c r="A14" s="92"/>
      <c r="B14" s="368" t="b">
        <v>0</v>
      </c>
      <c r="C14" s="372" t="s">
        <v>1517</v>
      </c>
      <c r="D14" s="370"/>
      <c r="E14" s="370"/>
      <c r="F14" s="55"/>
      <c r="G14" s="55"/>
      <c r="H14" s="55"/>
      <c r="I14" s="55"/>
      <c r="J14" s="373"/>
      <c r="K14" s="371"/>
    </row>
    <row r="15">
      <c r="A15" s="92"/>
      <c r="B15" s="118" t="b">
        <v>0</v>
      </c>
      <c r="C15" s="372"/>
      <c r="D15" s="376" t="s">
        <v>1518</v>
      </c>
      <c r="E15" s="370"/>
      <c r="F15" s="55"/>
      <c r="G15" s="55"/>
      <c r="H15" s="55"/>
      <c r="I15" s="55"/>
      <c r="J15" s="371"/>
      <c r="K15" s="373"/>
    </row>
    <row r="16">
      <c r="A16" s="92"/>
      <c r="B16" s="118" t="b">
        <v>0</v>
      </c>
      <c r="C16" s="372"/>
      <c r="D16" s="376" t="s">
        <v>1519</v>
      </c>
      <c r="E16" s="370"/>
      <c r="F16" s="55"/>
      <c r="G16" s="55"/>
      <c r="H16" s="55"/>
      <c r="I16" s="55"/>
      <c r="J16" s="373"/>
      <c r="K16" s="373"/>
    </row>
    <row r="17">
      <c r="A17" s="92"/>
      <c r="B17" s="368" t="b">
        <v>0</v>
      </c>
      <c r="C17" s="372" t="s">
        <v>1520</v>
      </c>
      <c r="D17" s="370"/>
      <c r="E17" s="370"/>
      <c r="F17" s="55"/>
      <c r="G17" s="55"/>
      <c r="H17" s="55"/>
      <c r="I17" s="55"/>
      <c r="J17" s="373"/>
      <c r="K17" s="371"/>
    </row>
    <row r="18">
      <c r="A18" s="92"/>
      <c r="B18" s="92"/>
      <c r="C18" s="370"/>
      <c r="D18" s="372" t="s">
        <v>1521</v>
      </c>
      <c r="E18" s="370"/>
      <c r="F18" s="55"/>
      <c r="G18" s="55"/>
      <c r="H18" s="55"/>
      <c r="I18" s="55"/>
      <c r="J18" s="371"/>
      <c r="K18" s="371"/>
    </row>
    <row r="19">
      <c r="A19" s="92"/>
      <c r="B19" s="368" t="b">
        <v>0</v>
      </c>
      <c r="C19" s="369" t="s">
        <v>1522</v>
      </c>
      <c r="D19" s="370"/>
      <c r="E19" s="370"/>
      <c r="F19" s="55"/>
      <c r="G19" s="55"/>
      <c r="H19" s="55"/>
      <c r="I19" s="55"/>
      <c r="J19" s="371"/>
      <c r="K19" s="373"/>
    </row>
    <row r="20">
      <c r="A20" s="92"/>
      <c r="B20" s="368" t="b">
        <v>0</v>
      </c>
      <c r="C20" s="372" t="s">
        <v>1523</v>
      </c>
      <c r="D20" s="370"/>
      <c r="E20" s="370"/>
      <c r="F20" s="55"/>
      <c r="G20" s="55"/>
      <c r="H20" s="55"/>
      <c r="I20" s="55"/>
      <c r="J20" s="373"/>
      <c r="K20" s="373"/>
    </row>
    <row r="21">
      <c r="A21" s="92"/>
      <c r="B21" s="92"/>
      <c r="C21" s="373"/>
      <c r="D21" s="372" t="s">
        <v>1524</v>
      </c>
      <c r="E21" s="370"/>
      <c r="F21" s="55"/>
      <c r="G21" s="55"/>
      <c r="H21" s="55"/>
      <c r="I21" s="55"/>
      <c r="J21" s="373"/>
      <c r="K21" s="373"/>
    </row>
    <row r="22">
      <c r="A22" s="92"/>
      <c r="B22" s="92"/>
      <c r="C22" s="373"/>
      <c r="D22" s="372" t="s">
        <v>1525</v>
      </c>
      <c r="E22" s="370"/>
      <c r="F22" s="55"/>
      <c r="G22" s="55"/>
      <c r="H22" s="55"/>
      <c r="I22" s="55"/>
      <c r="J22" s="373"/>
      <c r="K22" s="373"/>
    </row>
    <row r="23">
      <c r="A23" s="92"/>
      <c r="B23" s="368" t="b">
        <v>0</v>
      </c>
      <c r="C23" s="372"/>
      <c r="D23" s="376" t="s">
        <v>1526</v>
      </c>
      <c r="E23" s="370"/>
      <c r="F23" s="55"/>
      <c r="G23" s="55"/>
      <c r="H23" s="55"/>
      <c r="I23" s="55"/>
      <c r="J23" s="373"/>
      <c r="K23" s="373"/>
    </row>
    <row r="24">
      <c r="A24" s="92"/>
      <c r="B24" s="368" t="b">
        <v>0</v>
      </c>
      <c r="C24" s="372" t="s">
        <v>1527</v>
      </c>
      <c r="D24" s="370"/>
      <c r="E24" s="370"/>
      <c r="F24" s="55"/>
      <c r="G24" s="55"/>
      <c r="H24" s="55"/>
      <c r="I24" s="55"/>
      <c r="J24" s="373"/>
      <c r="K24" s="373"/>
    </row>
    <row r="25">
      <c r="A25" s="92"/>
      <c r="B25" s="368" t="b">
        <v>0</v>
      </c>
      <c r="C25" s="372" t="s">
        <v>1528</v>
      </c>
      <c r="D25" s="370"/>
      <c r="E25" s="370"/>
      <c r="F25" s="55"/>
      <c r="G25" s="55"/>
      <c r="H25" s="55"/>
      <c r="I25" s="55"/>
      <c r="J25" s="373"/>
      <c r="K25" s="373"/>
    </row>
    <row r="26">
      <c r="A26" s="92"/>
      <c r="B26" s="367"/>
      <c r="C26" s="367"/>
      <c r="D26" s="367"/>
      <c r="E26" s="367"/>
      <c r="F26" s="367"/>
      <c r="G26" s="367"/>
      <c r="H26" s="367"/>
      <c r="I26" s="55"/>
      <c r="J26" s="373"/>
      <c r="K26" s="373"/>
    </row>
    <row r="27">
      <c r="A27" s="92"/>
      <c r="B27" s="375" t="s">
        <v>1529</v>
      </c>
      <c r="C27" s="373"/>
      <c r="D27" s="370"/>
      <c r="E27" s="370"/>
      <c r="F27" s="55"/>
      <c r="G27" s="55"/>
      <c r="H27" s="55"/>
      <c r="I27" s="55"/>
      <c r="J27" s="373"/>
      <c r="K27" s="371"/>
    </row>
    <row r="28">
      <c r="A28" s="92"/>
      <c r="B28" s="118" t="b">
        <v>0</v>
      </c>
      <c r="C28" s="372" t="s">
        <v>1530</v>
      </c>
      <c r="D28" s="370"/>
      <c r="E28" s="376"/>
      <c r="F28" s="55"/>
      <c r="G28" s="55"/>
      <c r="H28" s="55"/>
      <c r="I28" s="55"/>
      <c r="J28" s="371"/>
      <c r="K28" s="373"/>
    </row>
    <row r="29">
      <c r="A29" s="92"/>
      <c r="B29" s="118" t="b">
        <v>0</v>
      </c>
      <c r="C29" s="377" t="s">
        <v>1531</v>
      </c>
      <c r="D29" s="370"/>
      <c r="E29" s="370"/>
      <c r="F29" s="55"/>
      <c r="G29" s="55"/>
      <c r="H29" s="55"/>
      <c r="I29" s="55"/>
      <c r="J29" s="373"/>
      <c r="K29" s="373"/>
    </row>
    <row r="30" ht="16.5" customHeight="1">
      <c r="A30" s="92"/>
      <c r="B30" s="368" t="b">
        <v>0</v>
      </c>
      <c r="C30" s="369" t="s">
        <v>1532</v>
      </c>
      <c r="D30" s="370"/>
      <c r="E30" s="370"/>
      <c r="F30" s="55"/>
      <c r="G30" s="55"/>
      <c r="H30" s="55"/>
      <c r="I30" s="55"/>
      <c r="J30" s="373"/>
      <c r="K30" s="55"/>
    </row>
    <row r="31">
      <c r="A31" s="92"/>
      <c r="B31" s="368" t="b">
        <v>0</v>
      </c>
      <c r="C31" s="369" t="s">
        <v>1533</v>
      </c>
      <c r="D31" s="370"/>
      <c r="E31" s="370"/>
      <c r="F31" s="55"/>
      <c r="G31" s="55"/>
      <c r="H31" s="55"/>
      <c r="I31" s="55"/>
      <c r="J31" s="55"/>
      <c r="K31" s="55"/>
    </row>
    <row r="32" ht="29.25" customHeight="1">
      <c r="A32" s="92"/>
      <c r="B32" s="368" t="b">
        <v>0</v>
      </c>
      <c r="C32" s="372" t="s">
        <v>1534</v>
      </c>
      <c r="D32" s="370"/>
      <c r="E32" s="370"/>
      <c r="F32" s="55"/>
      <c r="G32" s="55"/>
      <c r="H32" s="55"/>
      <c r="I32" s="55"/>
      <c r="J32" s="55"/>
      <c r="K32" s="55"/>
    </row>
    <row r="33">
      <c r="A33" s="92"/>
      <c r="B33" s="92"/>
      <c r="C33" s="373"/>
      <c r="D33" s="370"/>
      <c r="E33" s="370"/>
      <c r="F33" s="55"/>
      <c r="G33" s="55"/>
      <c r="H33" s="55"/>
      <c r="I33" s="110">
        <v>2.0</v>
      </c>
      <c r="J33" s="55"/>
      <c r="K33" s="55"/>
    </row>
    <row r="34">
      <c r="A34" s="92"/>
      <c r="B34" s="378" t="s">
        <v>1535</v>
      </c>
      <c r="E34" s="370"/>
      <c r="F34" s="55"/>
      <c r="G34" s="55"/>
      <c r="H34" s="55"/>
      <c r="I34" s="55"/>
      <c r="J34" s="55"/>
      <c r="K34" s="55"/>
    </row>
    <row r="35">
      <c r="A35" s="92"/>
      <c r="B35" s="368" t="b">
        <v>0</v>
      </c>
      <c r="C35" s="379" t="s">
        <v>1536</v>
      </c>
      <c r="E35" s="370"/>
      <c r="F35" s="55"/>
      <c r="G35" s="55"/>
      <c r="H35" s="55"/>
      <c r="I35" s="55"/>
      <c r="J35" s="55"/>
      <c r="K35" s="55"/>
    </row>
    <row r="36">
      <c r="A36" s="92"/>
      <c r="B36" s="368" t="b">
        <v>0</v>
      </c>
      <c r="C36" s="176" t="s">
        <v>1537</v>
      </c>
      <c r="E36" s="370"/>
      <c r="F36" s="55"/>
      <c r="G36" s="55"/>
      <c r="H36" s="55"/>
      <c r="I36" s="55"/>
      <c r="J36" s="55"/>
      <c r="K36" s="55"/>
    </row>
    <row r="37">
      <c r="A37" s="55"/>
      <c r="B37" s="378"/>
      <c r="C37" s="373"/>
      <c r="D37" s="370"/>
      <c r="E37" s="370"/>
      <c r="F37" s="55"/>
      <c r="G37" s="55"/>
      <c r="H37" s="55"/>
      <c r="I37" s="55"/>
      <c r="J37" s="55"/>
      <c r="K37" s="55"/>
    </row>
    <row r="38">
      <c r="A38" s="55"/>
      <c r="B38" s="378" t="s">
        <v>1538</v>
      </c>
      <c r="C38" s="373"/>
      <c r="D38" s="370"/>
      <c r="E38" s="370"/>
      <c r="F38" s="55"/>
      <c r="G38" s="55"/>
      <c r="H38" s="55"/>
      <c r="I38" s="55"/>
      <c r="J38" s="55"/>
      <c r="K38" s="55"/>
    </row>
    <row r="39">
      <c r="A39" s="55"/>
      <c r="B39" s="368" t="b">
        <v>0</v>
      </c>
      <c r="C39" s="380" t="s">
        <v>1539</v>
      </c>
      <c r="J39" s="55"/>
      <c r="K39" s="55"/>
    </row>
    <row r="40">
      <c r="A40" s="55"/>
      <c r="J40" s="55"/>
      <c r="K40" s="55"/>
    </row>
    <row r="41">
      <c r="A41" s="55"/>
      <c r="B41" s="368" t="b">
        <v>0</v>
      </c>
      <c r="C41" s="372" t="s">
        <v>1540</v>
      </c>
      <c r="D41" s="370"/>
      <c r="E41" s="370"/>
      <c r="F41" s="55"/>
      <c r="G41" s="55"/>
      <c r="H41" s="55"/>
      <c r="I41" s="55"/>
      <c r="J41" s="55"/>
      <c r="K41" s="55"/>
    </row>
    <row r="42">
      <c r="A42" s="55"/>
      <c r="B42" s="92"/>
      <c r="C42" s="370"/>
      <c r="D42" s="381" t="s">
        <v>1541</v>
      </c>
      <c r="E42" s="373"/>
      <c r="F42" s="55"/>
      <c r="G42" s="55"/>
      <c r="H42" s="55"/>
      <c r="I42" s="55"/>
      <c r="J42" s="55"/>
      <c r="K42" s="55"/>
    </row>
    <row r="43">
      <c r="A43" s="55"/>
      <c r="B43" s="368" t="b">
        <v>0</v>
      </c>
      <c r="C43" s="369" t="s">
        <v>1542</v>
      </c>
      <c r="D43" s="370"/>
      <c r="E43" s="373"/>
      <c r="F43" s="55"/>
      <c r="G43" s="55"/>
      <c r="H43" s="55"/>
      <c r="I43" s="55"/>
      <c r="J43" s="55"/>
      <c r="K43" s="55"/>
    </row>
    <row r="44">
      <c r="A44" s="55"/>
      <c r="B44" s="92"/>
      <c r="C44" s="373"/>
      <c r="D44" s="382" t="s">
        <v>1543</v>
      </c>
      <c r="E44" s="373"/>
      <c r="F44" s="55"/>
      <c r="G44" s="55"/>
      <c r="H44" s="55"/>
      <c r="I44" s="55"/>
      <c r="J44" s="55"/>
      <c r="K44" s="55"/>
    </row>
    <row r="45">
      <c r="A45" s="55"/>
      <c r="B45" s="92"/>
      <c r="C45" s="373"/>
      <c r="D45" s="381" t="s">
        <v>1544</v>
      </c>
      <c r="E45" s="373"/>
      <c r="F45" s="55"/>
      <c r="G45" s="55"/>
      <c r="H45" s="55"/>
      <c r="I45" s="55"/>
      <c r="J45" s="55"/>
      <c r="K45" s="55"/>
    </row>
    <row r="46">
      <c r="A46" s="55"/>
      <c r="B46" s="92"/>
      <c r="C46" s="373"/>
      <c r="D46" s="381" t="s">
        <v>1545</v>
      </c>
      <c r="E46" s="373"/>
      <c r="F46" s="55"/>
      <c r="G46" s="55"/>
      <c r="H46" s="55"/>
      <c r="I46" s="55"/>
      <c r="J46" s="55"/>
      <c r="K46" s="55"/>
    </row>
    <row r="47" ht="17.25" customHeight="1">
      <c r="A47" s="55"/>
      <c r="B47" s="368" t="b">
        <v>0</v>
      </c>
      <c r="C47" s="372" t="s">
        <v>1546</v>
      </c>
      <c r="D47" s="373"/>
      <c r="E47" s="373"/>
      <c r="F47" s="55"/>
      <c r="G47" s="55"/>
      <c r="H47" s="55"/>
      <c r="I47" s="55"/>
      <c r="J47" s="55"/>
      <c r="K47" s="55"/>
    </row>
    <row r="48">
      <c r="A48" s="55"/>
      <c r="B48" s="55"/>
      <c r="C48" s="370"/>
      <c r="D48" s="372" t="s">
        <v>1547</v>
      </c>
      <c r="E48" s="373"/>
      <c r="F48" s="55"/>
      <c r="G48" s="55"/>
      <c r="H48" s="55"/>
      <c r="I48" s="55"/>
      <c r="J48" s="55"/>
      <c r="K48" s="55"/>
    </row>
    <row r="49">
      <c r="A49" s="55"/>
      <c r="B49" s="368" t="b">
        <v>0</v>
      </c>
      <c r="C49" s="379" t="s">
        <v>1548</v>
      </c>
      <c r="D49" s="370"/>
      <c r="E49" s="373"/>
      <c r="F49" s="55"/>
      <c r="G49" s="55"/>
      <c r="H49" s="55"/>
      <c r="I49" s="55"/>
      <c r="J49" s="55"/>
      <c r="K49" s="55"/>
    </row>
    <row r="50">
      <c r="A50" s="55"/>
      <c r="B50" s="375"/>
      <c r="C50" s="370"/>
      <c r="D50" s="373"/>
      <c r="E50" s="373"/>
      <c r="F50" s="55"/>
      <c r="G50" s="55"/>
      <c r="H50" s="55"/>
      <c r="I50" s="55"/>
      <c r="J50" s="55"/>
      <c r="K50" s="55"/>
    </row>
    <row r="51">
      <c r="A51" s="55"/>
      <c r="B51" s="375" t="s">
        <v>1549</v>
      </c>
      <c r="C51" s="370"/>
      <c r="D51" s="373"/>
      <c r="E51" s="373"/>
      <c r="F51" s="55"/>
      <c r="G51" s="55"/>
      <c r="H51" s="55"/>
      <c r="I51" s="55"/>
      <c r="J51" s="55"/>
      <c r="K51" s="55"/>
    </row>
    <row r="52" ht="16.5" customHeight="1">
      <c r="A52" s="55"/>
      <c r="B52" s="368" t="b">
        <v>0</v>
      </c>
      <c r="C52" s="372" t="s">
        <v>1550</v>
      </c>
      <c r="D52" s="92"/>
      <c r="E52" s="373"/>
      <c r="F52" s="55"/>
      <c r="G52" s="55"/>
      <c r="H52" s="55"/>
      <c r="I52" s="55"/>
      <c r="J52" s="55"/>
      <c r="K52" s="55"/>
    </row>
    <row r="53">
      <c r="A53" s="55"/>
      <c r="B53" s="368" t="b">
        <v>0</v>
      </c>
      <c r="C53" s="372" t="s">
        <v>1551</v>
      </c>
      <c r="D53" s="92"/>
      <c r="E53" s="373"/>
      <c r="F53" s="55"/>
      <c r="G53" s="55"/>
      <c r="H53" s="55"/>
      <c r="I53" s="55"/>
      <c r="J53" s="55"/>
      <c r="K53" s="55"/>
    </row>
    <row r="54">
      <c r="A54" s="55"/>
      <c r="B54" s="368" t="b">
        <v>0</v>
      </c>
      <c r="C54" s="383" t="s">
        <v>1552</v>
      </c>
      <c r="D54" s="92"/>
      <c r="E54" s="373"/>
      <c r="F54" s="55"/>
      <c r="G54" s="55"/>
      <c r="H54" s="55"/>
      <c r="I54" s="55"/>
      <c r="J54" s="55"/>
      <c r="K54" s="55"/>
    </row>
    <row r="55">
      <c r="A55" s="55"/>
      <c r="B55" s="368" t="b">
        <v>0</v>
      </c>
      <c r="C55" s="372" t="s">
        <v>1553</v>
      </c>
      <c r="D55" s="92"/>
      <c r="E55" s="373"/>
      <c r="F55" s="55"/>
      <c r="G55" s="55"/>
      <c r="H55" s="55"/>
      <c r="I55" s="55"/>
      <c r="J55" s="55"/>
      <c r="K55" s="55"/>
    </row>
    <row r="56">
      <c r="A56" s="55"/>
      <c r="B56" s="368" t="b">
        <v>0</v>
      </c>
      <c r="C56" s="372" t="s">
        <v>1554</v>
      </c>
      <c r="D56" s="92"/>
      <c r="E56" s="373"/>
      <c r="F56" s="55"/>
      <c r="G56" s="55"/>
      <c r="H56" s="55"/>
      <c r="I56" s="55"/>
      <c r="J56" s="55"/>
      <c r="K56" s="55"/>
    </row>
    <row r="57">
      <c r="A57" s="55"/>
      <c r="B57" s="368" t="b">
        <v>0</v>
      </c>
      <c r="C57" s="372" t="s">
        <v>1555</v>
      </c>
      <c r="D57" s="92"/>
      <c r="E57" s="373"/>
      <c r="F57" s="55"/>
      <c r="G57" s="55"/>
      <c r="H57" s="55"/>
      <c r="I57" s="55"/>
      <c r="J57" s="55"/>
      <c r="K57" s="55"/>
    </row>
    <row r="58">
      <c r="A58" s="55"/>
      <c r="B58" s="55"/>
      <c r="C58" s="55"/>
      <c r="D58" s="92"/>
      <c r="E58" s="55"/>
      <c r="F58" s="55"/>
      <c r="G58" s="55"/>
      <c r="H58" s="55"/>
      <c r="I58" s="55"/>
      <c r="J58" s="55"/>
      <c r="K58" s="55"/>
    </row>
    <row r="59">
      <c r="A59" s="55"/>
      <c r="B59" s="55"/>
      <c r="C59" s="55"/>
      <c r="D59" s="92"/>
      <c r="E59" s="55"/>
      <c r="F59" s="55"/>
      <c r="G59" s="55"/>
      <c r="H59" s="55"/>
      <c r="I59" s="55"/>
      <c r="J59" s="55"/>
      <c r="K59" s="55"/>
    </row>
    <row r="60">
      <c r="A60" s="55"/>
      <c r="B60" s="55"/>
      <c r="C60" s="55"/>
      <c r="D60" s="92"/>
      <c r="E60" s="55"/>
      <c r="F60" s="55"/>
      <c r="G60" s="55"/>
      <c r="H60" s="55"/>
      <c r="I60" s="55"/>
      <c r="J60" s="55"/>
      <c r="K60" s="55"/>
    </row>
    <row r="61">
      <c r="A61" s="55"/>
      <c r="B61" s="55"/>
      <c r="C61" s="55"/>
      <c r="D61" s="92"/>
      <c r="E61" s="55"/>
      <c r="F61" s="55"/>
      <c r="G61" s="55"/>
      <c r="H61" s="55"/>
      <c r="I61" s="55"/>
      <c r="J61" s="55"/>
      <c r="K61" s="55"/>
    </row>
    <row r="62">
      <c r="A62" s="55"/>
      <c r="B62" s="55"/>
      <c r="C62" s="55"/>
      <c r="D62" s="92"/>
      <c r="E62" s="55"/>
      <c r="F62" s="55"/>
      <c r="G62" s="55"/>
      <c r="H62" s="55"/>
      <c r="I62" s="55"/>
      <c r="J62" s="55"/>
      <c r="K62" s="55"/>
    </row>
    <row r="63" ht="36.75" customHeight="1">
      <c r="A63" s="55"/>
      <c r="B63" s="92"/>
      <c r="C63" s="92"/>
      <c r="D63" s="55"/>
      <c r="E63" s="55"/>
      <c r="F63" s="55"/>
      <c r="G63" s="55"/>
      <c r="H63" s="55"/>
      <c r="I63" s="55"/>
      <c r="J63" s="55"/>
      <c r="K63" s="55"/>
    </row>
    <row r="64" ht="23.25" customHeight="1">
      <c r="A64" s="55"/>
      <c r="B64" s="92"/>
      <c r="C64" s="92"/>
      <c r="D64" s="55"/>
      <c r="E64" s="55"/>
      <c r="F64" s="55"/>
      <c r="G64" s="55"/>
      <c r="H64" s="55"/>
      <c r="I64" s="55"/>
      <c r="J64" s="55"/>
      <c r="K64" s="55"/>
    </row>
    <row r="65">
      <c r="A65" s="55"/>
      <c r="B65" s="92"/>
      <c r="C65" s="92"/>
      <c r="D65" s="55"/>
      <c r="E65" s="55"/>
      <c r="F65" s="55"/>
      <c r="G65" s="55"/>
      <c r="H65" s="55"/>
      <c r="I65" s="55"/>
      <c r="J65" s="55"/>
      <c r="K65" s="55"/>
    </row>
    <row r="66">
      <c r="A66" s="55"/>
      <c r="B66" s="92"/>
      <c r="C66" s="92"/>
      <c r="D66" s="55"/>
      <c r="E66" s="55"/>
      <c r="F66" s="55"/>
      <c r="G66" s="55"/>
      <c r="H66" s="55"/>
      <c r="I66" s="55"/>
      <c r="J66" s="55"/>
      <c r="K66" s="55"/>
    </row>
    <row r="67">
      <c r="A67" s="55"/>
      <c r="B67" s="55"/>
      <c r="C67" s="55"/>
      <c r="D67" s="92"/>
      <c r="E67" s="55"/>
      <c r="F67" s="55"/>
      <c r="G67" s="55"/>
      <c r="H67" s="55"/>
      <c r="I67" s="55"/>
      <c r="J67" s="55"/>
      <c r="K67" s="55"/>
    </row>
    <row r="68">
      <c r="A68" s="55"/>
      <c r="B68" s="55"/>
      <c r="C68" s="55"/>
      <c r="D68" s="55"/>
      <c r="E68" s="55"/>
      <c r="F68" s="55"/>
      <c r="G68" s="55"/>
      <c r="H68" s="55"/>
      <c r="I68" s="55"/>
      <c r="J68" s="55"/>
      <c r="K68" s="55"/>
    </row>
    <row r="69">
      <c r="A69" s="55"/>
      <c r="B69" s="55"/>
      <c r="C69" s="55"/>
      <c r="D69" s="55"/>
      <c r="E69" s="55"/>
      <c r="F69" s="55"/>
      <c r="G69" s="55"/>
      <c r="H69" s="55"/>
      <c r="I69" s="55"/>
      <c r="J69" s="55"/>
      <c r="K69" s="55"/>
    </row>
    <row r="70">
      <c r="A70" s="55"/>
      <c r="B70" s="55"/>
      <c r="C70" s="55"/>
      <c r="D70" s="55"/>
      <c r="E70" s="55"/>
      <c r="F70" s="55"/>
      <c r="G70" s="55"/>
      <c r="H70" s="55"/>
      <c r="I70" s="55"/>
      <c r="J70" s="55"/>
      <c r="K70" s="55"/>
    </row>
    <row r="71">
      <c r="A71" s="55"/>
      <c r="B71" s="55"/>
      <c r="C71" s="55"/>
      <c r="D71" s="55"/>
      <c r="E71" s="55"/>
      <c r="F71" s="55"/>
      <c r="G71" s="55"/>
      <c r="H71" s="55"/>
      <c r="I71" s="55"/>
      <c r="J71" s="55"/>
      <c r="K71" s="55"/>
    </row>
    <row r="72">
      <c r="A72" s="55"/>
      <c r="B72" s="92"/>
      <c r="C72" s="92"/>
      <c r="D72" s="55"/>
      <c r="E72" s="55"/>
      <c r="F72" s="55"/>
      <c r="G72" s="55"/>
      <c r="H72" s="55"/>
      <c r="I72" s="55"/>
      <c r="J72" s="55"/>
      <c r="K72" s="55"/>
    </row>
    <row r="73">
      <c r="A73" s="55"/>
      <c r="B73" s="92"/>
      <c r="C73" s="92"/>
      <c r="D73" s="55"/>
      <c r="E73" s="55"/>
      <c r="F73" s="55"/>
      <c r="G73" s="55"/>
      <c r="H73" s="55"/>
      <c r="I73" s="55"/>
      <c r="J73" s="55"/>
      <c r="K73" s="55"/>
    </row>
    <row r="74">
      <c r="A74" s="55"/>
      <c r="B74" s="92"/>
      <c r="C74" s="92"/>
      <c r="D74" s="55"/>
      <c r="E74" s="55"/>
      <c r="F74" s="55"/>
      <c r="G74" s="55"/>
      <c r="H74" s="55"/>
      <c r="I74" s="55"/>
      <c r="J74" s="55"/>
      <c r="K74" s="55"/>
    </row>
    <row r="75">
      <c r="A75" s="55"/>
      <c r="B75" s="92"/>
      <c r="C75" s="92"/>
      <c r="D75" s="55"/>
      <c r="E75" s="55"/>
      <c r="F75" s="55"/>
      <c r="G75" s="55"/>
      <c r="H75" s="55"/>
      <c r="I75" s="55"/>
      <c r="J75" s="55"/>
      <c r="K75" s="55"/>
    </row>
    <row r="76">
      <c r="A76" s="55"/>
      <c r="B76" s="67" t="s">
        <v>1556</v>
      </c>
      <c r="C76" s="92"/>
      <c r="D76" s="55"/>
      <c r="E76" s="55"/>
      <c r="F76" s="384" t="s">
        <v>1557</v>
      </c>
      <c r="G76" s="55"/>
      <c r="H76" s="55"/>
      <c r="I76" s="55"/>
      <c r="J76" s="55"/>
      <c r="K76" s="55"/>
    </row>
    <row r="77">
      <c r="A77" s="55"/>
      <c r="B77" s="92"/>
      <c r="C77" s="92"/>
      <c r="D77" s="55"/>
      <c r="E77" s="55"/>
      <c r="F77" s="55"/>
      <c r="G77" s="55"/>
      <c r="H77" s="55"/>
      <c r="I77" s="55"/>
      <c r="J77" s="55"/>
      <c r="K77" s="55"/>
    </row>
    <row r="78">
      <c r="A78" s="60">
        <v>0.0</v>
      </c>
      <c r="B78" s="385" t="s">
        <v>1558</v>
      </c>
      <c r="E78" s="55"/>
      <c r="F78" s="386" t="s">
        <v>1559</v>
      </c>
      <c r="G78" s="77"/>
      <c r="H78" s="77"/>
      <c r="I78" s="55"/>
      <c r="J78" s="55"/>
      <c r="K78" s="55"/>
    </row>
    <row r="79">
      <c r="A79" s="60">
        <v>0.1</v>
      </c>
      <c r="B79" s="385" t="s">
        <v>1560</v>
      </c>
      <c r="E79" s="55"/>
      <c r="F79" s="386" t="s">
        <v>1561</v>
      </c>
      <c r="G79" s="77"/>
      <c r="H79" s="77"/>
      <c r="I79" s="55"/>
      <c r="J79" s="55"/>
      <c r="K79" s="55"/>
    </row>
    <row r="80">
      <c r="A80" s="60">
        <v>0.2</v>
      </c>
      <c r="B80" s="385" t="s">
        <v>1562</v>
      </c>
      <c r="E80" s="55"/>
      <c r="F80" s="386" t="s">
        <v>1563</v>
      </c>
      <c r="G80" s="77"/>
      <c r="H80" s="77"/>
      <c r="I80" s="55"/>
      <c r="J80" s="55"/>
      <c r="K80" s="55"/>
    </row>
    <row r="81">
      <c r="A81" s="60">
        <v>0.3</v>
      </c>
      <c r="B81" s="385" t="s">
        <v>1564</v>
      </c>
      <c r="E81" s="55"/>
      <c r="F81" s="386" t="s">
        <v>1565</v>
      </c>
      <c r="G81" s="77"/>
      <c r="H81" s="77"/>
      <c r="I81" s="55"/>
      <c r="J81" s="55"/>
      <c r="K81" s="55"/>
    </row>
    <row r="82">
      <c r="A82" s="60">
        <v>0.4</v>
      </c>
      <c r="B82" s="385" t="s">
        <v>1566</v>
      </c>
      <c r="E82" s="55"/>
      <c r="F82" s="386" t="s">
        <v>1567</v>
      </c>
      <c r="G82" s="77"/>
      <c r="H82" s="77"/>
      <c r="I82" s="55"/>
      <c r="J82" s="55"/>
      <c r="K82" s="55"/>
    </row>
    <row r="83">
      <c r="A83" s="60">
        <v>1.0</v>
      </c>
      <c r="B83" s="24" t="s">
        <v>1568</v>
      </c>
      <c r="E83" s="55"/>
      <c r="F83" s="386" t="s">
        <v>1569</v>
      </c>
      <c r="G83" s="77"/>
      <c r="H83" s="77"/>
      <c r="I83" s="55"/>
      <c r="J83" s="55"/>
      <c r="K83" s="55"/>
    </row>
    <row r="84">
      <c r="A84" s="60">
        <v>1.1</v>
      </c>
      <c r="B84" s="24" t="s">
        <v>1570</v>
      </c>
      <c r="E84" s="55"/>
      <c r="F84" s="386" t="s">
        <v>1571</v>
      </c>
      <c r="G84" s="77"/>
      <c r="H84" s="77"/>
      <c r="I84" s="55"/>
      <c r="J84" s="55"/>
      <c r="K84" s="55"/>
    </row>
    <row r="85">
      <c r="A85" s="387">
        <v>1.4</v>
      </c>
      <c r="B85" s="388" t="s">
        <v>1572</v>
      </c>
      <c r="C85" s="388"/>
      <c r="D85" s="388"/>
      <c r="E85" s="55"/>
      <c r="F85" s="386" t="s">
        <v>1573</v>
      </c>
      <c r="G85" s="77"/>
      <c r="H85" s="77"/>
      <c r="I85" s="55"/>
      <c r="J85" s="55"/>
      <c r="K85" s="55"/>
    </row>
    <row r="86">
      <c r="A86" s="136">
        <v>2.0</v>
      </c>
      <c r="B86" s="389" t="s">
        <v>1574</v>
      </c>
      <c r="E86" s="55"/>
      <c r="F86" s="386" t="s">
        <v>1575</v>
      </c>
      <c r="G86" s="77"/>
      <c r="H86" s="77"/>
      <c r="I86" s="55"/>
      <c r="J86" s="55"/>
      <c r="K86" s="55"/>
    </row>
    <row r="87">
      <c r="A87" s="136">
        <v>2.1</v>
      </c>
      <c r="B87" s="389" t="s">
        <v>1576</v>
      </c>
      <c r="E87" s="55"/>
      <c r="F87" s="386" t="s">
        <v>1577</v>
      </c>
      <c r="G87" s="77"/>
      <c r="H87" s="77"/>
      <c r="I87" s="55"/>
      <c r="J87" s="55"/>
      <c r="K87" s="55"/>
    </row>
    <row r="88">
      <c r="A88" s="60">
        <v>3.0</v>
      </c>
      <c r="B88" s="24" t="s">
        <v>1578</v>
      </c>
      <c r="E88" s="55"/>
      <c r="F88" s="386" t="s">
        <v>1579</v>
      </c>
      <c r="G88" s="77"/>
      <c r="H88" s="77"/>
      <c r="I88" s="55"/>
      <c r="J88" s="55"/>
      <c r="K88" s="55"/>
    </row>
    <row r="89">
      <c r="A89" s="85">
        <v>3.1</v>
      </c>
      <c r="B89" s="390" t="s">
        <v>1580</v>
      </c>
      <c r="E89" s="55"/>
      <c r="F89" s="391"/>
      <c r="G89" s="77"/>
      <c r="H89" s="77"/>
      <c r="I89" s="55"/>
      <c r="J89" s="55"/>
      <c r="K89" s="55"/>
    </row>
    <row r="90">
      <c r="A90" s="392">
        <v>3.4</v>
      </c>
      <c r="B90" s="393" t="s">
        <v>1581</v>
      </c>
      <c r="C90" s="393"/>
      <c r="D90" s="393"/>
      <c r="E90" s="55"/>
      <c r="F90" s="391"/>
      <c r="G90" s="77"/>
      <c r="H90" s="77"/>
      <c r="I90" s="55"/>
      <c r="J90" s="55"/>
      <c r="K90" s="55"/>
    </row>
    <row r="91">
      <c r="A91" s="392">
        <v>3.5</v>
      </c>
      <c r="B91" s="393" t="s">
        <v>1582</v>
      </c>
      <c r="C91" s="393"/>
      <c r="D91" s="393"/>
      <c r="E91" s="55"/>
      <c r="F91" s="391"/>
      <c r="G91" s="77"/>
      <c r="H91" s="77"/>
      <c r="I91" s="55"/>
      <c r="J91" s="55"/>
      <c r="K91" s="55"/>
    </row>
    <row r="92">
      <c r="A92" s="352">
        <v>3.6</v>
      </c>
      <c r="B92" s="394" t="s">
        <v>1583</v>
      </c>
      <c r="E92" s="55"/>
      <c r="F92" s="386" t="s">
        <v>1584</v>
      </c>
      <c r="G92" s="77"/>
      <c r="H92" s="77"/>
      <c r="I92" s="55"/>
      <c r="J92" s="55"/>
      <c r="K92" s="55"/>
    </row>
    <row r="93">
      <c r="A93" s="395">
        <v>4.0</v>
      </c>
      <c r="B93" s="396" t="s">
        <v>1585</v>
      </c>
      <c r="E93" s="55"/>
      <c r="F93" s="391"/>
      <c r="G93" s="77"/>
      <c r="H93" s="77"/>
      <c r="I93" s="55"/>
      <c r="J93" s="55"/>
      <c r="K93" s="55"/>
    </row>
    <row r="94">
      <c r="A94" s="172"/>
      <c r="B94" s="55"/>
      <c r="C94" s="55"/>
      <c r="D94" s="55"/>
      <c r="E94" s="55"/>
      <c r="F94" s="386" t="s">
        <v>1586</v>
      </c>
      <c r="G94" s="77"/>
      <c r="H94" s="77"/>
      <c r="I94" s="55"/>
      <c r="J94" s="55"/>
      <c r="K94" s="55"/>
    </row>
    <row r="95">
      <c r="A95" s="172"/>
      <c r="B95" s="349" t="s">
        <v>1584</v>
      </c>
      <c r="E95" s="55"/>
      <c r="F95" s="386" t="s">
        <v>1587</v>
      </c>
      <c r="G95" s="77"/>
      <c r="H95" s="77"/>
      <c r="I95" s="55"/>
      <c r="J95" s="55"/>
      <c r="K95" s="55"/>
    </row>
    <row r="96">
      <c r="A96" s="172"/>
      <c r="B96" s="55"/>
      <c r="E96" s="55"/>
      <c r="F96" s="386" t="s">
        <v>1588</v>
      </c>
      <c r="G96" s="77"/>
      <c r="H96" s="77"/>
      <c r="I96" s="55"/>
      <c r="J96" s="55"/>
      <c r="K96" s="55"/>
    </row>
    <row r="97">
      <c r="A97" s="61">
        <v>4.8</v>
      </c>
      <c r="B97" s="397" t="s">
        <v>1589</v>
      </c>
      <c r="C97" s="397"/>
      <c r="D97" s="397"/>
      <c r="E97" s="55"/>
      <c r="F97" s="386" t="s">
        <v>1590</v>
      </c>
      <c r="G97" s="77"/>
      <c r="H97" s="77"/>
      <c r="I97" s="55"/>
      <c r="J97" s="55"/>
      <c r="K97" s="55"/>
    </row>
    <row r="98">
      <c r="A98" s="59">
        <v>4.9</v>
      </c>
      <c r="B98" s="398" t="s">
        <v>1591</v>
      </c>
      <c r="C98" s="398"/>
      <c r="D98" s="398"/>
      <c r="E98" s="55"/>
      <c r="F98" s="386" t="s">
        <v>1592</v>
      </c>
      <c r="G98" s="77"/>
      <c r="H98" s="77"/>
      <c r="I98" s="55"/>
      <c r="J98" s="55"/>
      <c r="K98" s="55"/>
    </row>
    <row r="99">
      <c r="A99" s="399">
        <v>5.0</v>
      </c>
      <c r="B99" s="400" t="s">
        <v>1593</v>
      </c>
      <c r="E99" s="55"/>
      <c r="F99" s="386" t="s">
        <v>1594</v>
      </c>
      <c r="G99" s="77"/>
      <c r="H99" s="77"/>
      <c r="I99" s="55"/>
      <c r="J99" s="55"/>
      <c r="K99" s="55"/>
    </row>
    <row r="100">
      <c r="A100" s="399">
        <v>5.1</v>
      </c>
      <c r="B100" s="401" t="s">
        <v>1595</v>
      </c>
      <c r="E100" s="55"/>
      <c r="F100" s="386" t="s">
        <v>1596</v>
      </c>
      <c r="G100" s="77"/>
      <c r="H100" s="77"/>
      <c r="I100" s="55"/>
      <c r="J100" s="55"/>
      <c r="K100" s="55"/>
    </row>
    <row r="101">
      <c r="A101" s="402">
        <v>6.0</v>
      </c>
      <c r="B101" s="403" t="s">
        <v>1597</v>
      </c>
      <c r="E101" s="55"/>
      <c r="F101" s="391"/>
      <c r="G101" s="77"/>
      <c r="H101" s="77"/>
      <c r="I101" s="55"/>
      <c r="J101" s="55"/>
      <c r="K101" s="55"/>
    </row>
    <row r="102">
      <c r="A102" s="172">
        <v>6.1</v>
      </c>
      <c r="B102" s="55" t="s">
        <v>1598</v>
      </c>
      <c r="C102" s="55"/>
      <c r="D102" s="55"/>
      <c r="E102" s="55"/>
      <c r="F102" s="386" t="s">
        <v>1599</v>
      </c>
      <c r="G102" s="77"/>
      <c r="H102" s="77"/>
      <c r="I102" s="55"/>
      <c r="J102" s="55"/>
      <c r="K102" s="55"/>
    </row>
    <row r="103">
      <c r="A103" s="172">
        <v>6.2</v>
      </c>
      <c r="B103" s="55" t="s">
        <v>1600</v>
      </c>
      <c r="C103" s="55"/>
      <c r="D103" s="55"/>
      <c r="E103" s="55"/>
      <c r="F103" s="386" t="s">
        <v>1601</v>
      </c>
      <c r="G103" s="77"/>
      <c r="H103" s="77"/>
      <c r="I103" s="55"/>
      <c r="J103" s="55"/>
      <c r="K103" s="55"/>
    </row>
    <row r="104">
      <c r="A104" s="399">
        <v>7.0</v>
      </c>
      <c r="B104" s="400" t="s">
        <v>1602</v>
      </c>
      <c r="E104" s="55"/>
      <c r="F104" s="386" t="s">
        <v>1603</v>
      </c>
      <c r="G104" s="77"/>
      <c r="H104" s="77"/>
      <c r="I104" s="55"/>
      <c r="J104" s="55"/>
      <c r="K104" s="55"/>
    </row>
    <row r="105">
      <c r="A105" s="399">
        <v>7.1</v>
      </c>
      <c r="B105" s="400" t="s">
        <v>1604</v>
      </c>
      <c r="E105" s="55"/>
      <c r="F105" s="386" t="s">
        <v>1605</v>
      </c>
      <c r="G105" s="77"/>
      <c r="H105" s="77"/>
      <c r="I105" s="55"/>
      <c r="J105" s="55"/>
      <c r="K105" s="55"/>
    </row>
    <row r="106">
      <c r="A106" s="404">
        <v>8.0</v>
      </c>
      <c r="B106" s="405" t="s">
        <v>1606</v>
      </c>
      <c r="E106" s="55"/>
      <c r="F106" s="391" t="str">
        <f>IF(ISBLANK(D107),IFERROR(0/0,""),IFERROR(VLOOKUP(D107, 'Process Ref'!$A$76:$D$124, 2, FALSE), IFERROR(0/0,"")))</f>
        <v/>
      </c>
      <c r="G106" s="77"/>
      <c r="H106" s="77"/>
      <c r="I106" s="55"/>
      <c r="J106" s="55"/>
      <c r="K106" s="55"/>
    </row>
    <row r="107">
      <c r="A107" s="406">
        <v>8.1</v>
      </c>
      <c r="B107" s="407" t="s">
        <v>1607</v>
      </c>
      <c r="E107" s="55"/>
      <c r="F107" s="391" t="str">
        <f>IF(ISBLANK(D108),IFERROR(0/0,""),IFERROR(VLOOKUP(D108, 'Process Ref'!$A$76:$D$124, 2, FALSE), IFERROR(0/0,"")))</f>
        <v/>
      </c>
      <c r="G107" s="77"/>
      <c r="H107" s="77"/>
      <c r="I107" s="55"/>
      <c r="J107" s="55"/>
      <c r="K107" s="55"/>
    </row>
    <row r="108">
      <c r="A108" s="406">
        <v>8.2</v>
      </c>
      <c r="B108" s="407" t="s">
        <v>1608</v>
      </c>
      <c r="E108" s="55"/>
      <c r="F108" s="391" t="str">
        <f>IF(ISBLANK(D109),IFERROR(0/0,""),IFERROR(VLOOKUP(D109, 'Process Ref'!$A$76:$D$124, 2, FALSE), IFERROR(0/0,"")))</f>
        <v/>
      </c>
      <c r="G108" s="77"/>
      <c r="H108" s="77"/>
      <c r="I108" s="55"/>
      <c r="J108" s="55"/>
      <c r="K108" s="55"/>
    </row>
    <row r="109">
      <c r="A109" s="346">
        <v>9.0</v>
      </c>
      <c r="B109" s="335" t="s">
        <v>1609</v>
      </c>
      <c r="E109" s="55"/>
      <c r="F109" s="391" t="str">
        <f>IF(ISBLANK(D110),IFERROR(0/0,""),IFERROR(VLOOKUP(D110, 'Process Ref'!$A$76:$D$124, 2, FALSE), IFERROR(0/0,"")))</f>
        <v/>
      </c>
      <c r="G109" s="77"/>
      <c r="H109" s="77"/>
      <c r="I109" s="55"/>
      <c r="J109" s="55"/>
      <c r="K109" s="55"/>
    </row>
    <row r="110">
      <c r="A110" s="172">
        <v>9.4</v>
      </c>
      <c r="B110" s="55" t="s">
        <v>1610</v>
      </c>
      <c r="C110" s="55"/>
      <c r="D110" s="55"/>
      <c r="E110" s="55"/>
      <c r="F110" s="391" t="str">
        <f>IF(ISBLANK(D111),IFERROR(0/0,""),IFERROR(VLOOKUP(D111, 'Process Ref'!$A$76:$D$124, 2, FALSE), IFERROR(0/0,"")))</f>
        <v/>
      </c>
      <c r="G110" s="77"/>
      <c r="H110" s="77"/>
      <c r="I110" s="55"/>
      <c r="J110" s="55"/>
      <c r="K110" s="55"/>
    </row>
    <row r="111">
      <c r="A111" s="169">
        <v>10.0</v>
      </c>
      <c r="B111" s="110" t="s">
        <v>1611</v>
      </c>
      <c r="C111" s="55"/>
      <c r="D111" s="55"/>
      <c r="E111" s="55"/>
      <c r="F111" s="391" t="str">
        <f>IF(ISBLANK(D112),IFERROR(0/0,""),IFERROR(VLOOKUP(D112, 'Process Ref'!$A$76:$D$124, 2, FALSE), IFERROR(0/0,"")))</f>
        <v/>
      </c>
      <c r="G111" s="77"/>
      <c r="H111" s="77"/>
      <c r="I111" s="55"/>
      <c r="J111" s="55"/>
      <c r="K111" s="55"/>
    </row>
    <row r="112">
      <c r="A112" s="172"/>
      <c r="C112" s="55"/>
      <c r="D112" s="55"/>
      <c r="E112" s="55"/>
      <c r="F112" s="391" t="str">
        <f>IF(ISBLANK(D113),IFERROR(0/0,""),IFERROR(VLOOKUP(D113, 'Process Ref'!$A$76:$D$124, 2, FALSE), IFERROR(0/0,"")))</f>
        <v/>
      </c>
      <c r="G112" s="77"/>
      <c r="H112" s="77"/>
      <c r="I112" s="55"/>
      <c r="J112" s="55"/>
      <c r="K112" s="55"/>
    </row>
    <row r="113">
      <c r="A113" s="172"/>
      <c r="B113" s="55" t="s">
        <v>1599</v>
      </c>
      <c r="C113" s="55"/>
      <c r="D113" s="55"/>
      <c r="E113" s="55"/>
      <c r="F113" s="391" t="str">
        <f>IF(ISBLANK(D114),IFERROR(0/0,""),IFERROR(VLOOKUP(D114, 'Process Ref'!$A$76:$D$124, 2, FALSE), IFERROR(0/0,"")))</f>
        <v/>
      </c>
      <c r="G113" s="77"/>
      <c r="H113" s="77"/>
      <c r="I113" s="55"/>
      <c r="J113" s="55"/>
      <c r="K113" s="55"/>
    </row>
    <row r="114">
      <c r="A114" s="172"/>
      <c r="B114" s="55" t="s">
        <v>1601</v>
      </c>
      <c r="C114" s="55"/>
      <c r="D114" s="55"/>
      <c r="E114" s="55"/>
      <c r="F114" s="55"/>
      <c r="G114" s="55"/>
      <c r="H114" s="55"/>
      <c r="I114" s="55"/>
      <c r="J114" s="55"/>
      <c r="K114" s="55"/>
    </row>
    <row r="115">
      <c r="A115" s="172"/>
      <c r="B115" s="55" t="s">
        <v>1603</v>
      </c>
      <c r="C115" s="55"/>
      <c r="D115" s="55"/>
      <c r="E115" s="55"/>
      <c r="F115" s="55"/>
      <c r="G115" s="55"/>
      <c r="H115" s="55"/>
      <c r="I115" s="55"/>
      <c r="J115" s="55"/>
      <c r="K115" s="55"/>
    </row>
    <row r="116">
      <c r="A116" s="55"/>
      <c r="B116" s="55" t="s">
        <v>1605</v>
      </c>
      <c r="C116" s="55"/>
      <c r="D116" s="55"/>
      <c r="E116" s="55"/>
      <c r="F116" s="55"/>
      <c r="G116" s="55"/>
      <c r="H116" s="55"/>
      <c r="I116" s="55"/>
      <c r="J116" s="55"/>
      <c r="K116" s="55"/>
    </row>
    <row r="117">
      <c r="A117" s="55"/>
      <c r="B117" s="55"/>
      <c r="C117" s="55"/>
      <c r="D117" s="55"/>
      <c r="E117" s="55"/>
      <c r="F117" s="55"/>
      <c r="G117" s="55"/>
      <c r="H117" s="55"/>
      <c r="I117" s="55"/>
      <c r="J117" s="55"/>
      <c r="K117" s="55"/>
    </row>
    <row r="118">
      <c r="A118" s="55"/>
      <c r="B118" s="55"/>
      <c r="C118" s="55"/>
      <c r="D118" s="55"/>
      <c r="E118" s="55"/>
      <c r="F118" s="55"/>
      <c r="G118" s="55"/>
      <c r="H118" s="55"/>
      <c r="I118" s="55"/>
      <c r="J118" s="55"/>
      <c r="K118" s="55"/>
    </row>
    <row r="119">
      <c r="A119" s="55"/>
      <c r="B119" s="55"/>
      <c r="C119" s="55"/>
      <c r="D119" s="55"/>
      <c r="E119" s="55"/>
      <c r="F119" s="55"/>
      <c r="G119" s="55"/>
      <c r="H119" s="55"/>
      <c r="I119" s="55"/>
      <c r="J119" s="55"/>
      <c r="K119" s="55"/>
    </row>
    <row r="120">
      <c r="A120" s="55"/>
      <c r="B120" s="55"/>
      <c r="C120" s="55"/>
      <c r="D120" s="55"/>
      <c r="E120" s="55"/>
      <c r="F120" s="55"/>
      <c r="G120" s="55"/>
      <c r="H120" s="55"/>
      <c r="I120" s="55"/>
      <c r="J120" s="55"/>
      <c r="K120" s="55"/>
    </row>
    <row r="121">
      <c r="A121" s="55"/>
      <c r="B121" s="55"/>
      <c r="C121" s="55"/>
      <c r="D121" s="55"/>
      <c r="E121" s="55"/>
      <c r="F121" s="55"/>
      <c r="G121" s="55"/>
      <c r="H121" s="55"/>
      <c r="I121" s="55"/>
      <c r="J121" s="55"/>
      <c r="K121" s="55"/>
    </row>
    <row r="122">
      <c r="A122" s="55"/>
      <c r="B122" s="55"/>
      <c r="C122" s="55"/>
      <c r="D122" s="55"/>
      <c r="E122" s="55"/>
      <c r="F122" s="55"/>
      <c r="G122" s="55"/>
      <c r="H122" s="55"/>
      <c r="I122" s="55"/>
      <c r="J122" s="55"/>
      <c r="K122" s="55"/>
    </row>
    <row r="123">
      <c r="A123" s="55"/>
      <c r="B123" s="55"/>
      <c r="C123" s="55"/>
      <c r="D123" s="55"/>
      <c r="E123" s="55"/>
      <c r="F123" s="55"/>
      <c r="G123" s="55"/>
      <c r="H123" s="55"/>
      <c r="I123" s="55"/>
      <c r="J123" s="55"/>
      <c r="K123" s="55"/>
    </row>
    <row r="124">
      <c r="A124" s="55"/>
      <c r="B124" s="55"/>
      <c r="C124" s="55"/>
      <c r="D124" s="55"/>
      <c r="E124" s="55"/>
      <c r="F124" s="55"/>
      <c r="G124" s="55"/>
      <c r="H124" s="55"/>
      <c r="I124" s="55"/>
      <c r="J124" s="55"/>
      <c r="K124" s="55"/>
    </row>
    <row r="125">
      <c r="A125" s="55"/>
      <c r="B125" s="55"/>
      <c r="C125" s="55"/>
      <c r="D125" s="55"/>
      <c r="E125" s="55"/>
      <c r="F125" s="55"/>
      <c r="G125" s="55"/>
      <c r="H125" s="55"/>
      <c r="I125" s="55"/>
      <c r="J125" s="55"/>
      <c r="K125" s="55"/>
    </row>
    <row r="126">
      <c r="A126" s="55"/>
      <c r="B126" s="55"/>
      <c r="C126" s="55"/>
      <c r="D126" s="55"/>
      <c r="E126" s="55"/>
      <c r="F126" s="55"/>
      <c r="G126" s="55"/>
      <c r="H126" s="55"/>
      <c r="I126" s="55"/>
      <c r="J126" s="55"/>
      <c r="K126" s="55"/>
    </row>
    <row r="127">
      <c r="A127" s="55"/>
      <c r="B127" s="55"/>
      <c r="C127" s="55"/>
      <c r="D127" s="55"/>
      <c r="E127" s="55"/>
      <c r="F127" s="55"/>
      <c r="G127" s="55"/>
      <c r="H127" s="55"/>
      <c r="I127" s="55"/>
      <c r="J127" s="55"/>
      <c r="K127" s="55"/>
    </row>
    <row r="128">
      <c r="A128" s="55"/>
      <c r="B128" s="55"/>
      <c r="C128" s="55"/>
      <c r="D128" s="55"/>
      <c r="E128" s="55"/>
      <c r="F128" s="55"/>
      <c r="G128" s="55"/>
      <c r="H128" s="55"/>
      <c r="I128" s="55"/>
      <c r="J128" s="55"/>
      <c r="K128" s="55"/>
    </row>
    <row r="129">
      <c r="A129" s="55"/>
      <c r="B129" s="55"/>
      <c r="C129" s="55"/>
      <c r="D129" s="55"/>
      <c r="E129" s="55"/>
      <c r="F129" s="55"/>
      <c r="G129" s="55"/>
      <c r="H129" s="55"/>
      <c r="I129" s="55"/>
      <c r="J129" s="55"/>
      <c r="K129" s="55"/>
    </row>
    <row r="130">
      <c r="A130" s="55"/>
      <c r="B130" s="55"/>
      <c r="C130" s="55"/>
      <c r="D130" s="55"/>
      <c r="E130" s="55"/>
      <c r="F130" s="55"/>
      <c r="G130" s="55"/>
      <c r="H130" s="55"/>
      <c r="I130" s="55"/>
      <c r="J130" s="55"/>
      <c r="K130" s="55"/>
    </row>
    <row r="131">
      <c r="A131" s="55"/>
      <c r="B131" s="55"/>
      <c r="C131" s="55"/>
      <c r="D131" s="55"/>
      <c r="E131" s="55"/>
      <c r="F131" s="55"/>
      <c r="G131" s="55"/>
      <c r="H131" s="55"/>
      <c r="I131" s="55"/>
      <c r="J131" s="55"/>
      <c r="K131" s="55"/>
    </row>
    <row r="132">
      <c r="A132" s="55"/>
      <c r="B132" s="55"/>
      <c r="C132" s="55"/>
      <c r="D132" s="55"/>
      <c r="E132" s="55"/>
      <c r="F132" s="55"/>
      <c r="G132" s="55"/>
      <c r="H132" s="55"/>
      <c r="I132" s="55"/>
      <c r="J132" s="55"/>
      <c r="K132" s="55"/>
    </row>
    <row r="133">
      <c r="A133" s="55"/>
      <c r="B133" s="55"/>
      <c r="C133" s="55"/>
      <c r="D133" s="55"/>
      <c r="E133" s="55"/>
      <c r="F133" s="55"/>
      <c r="G133" s="55"/>
      <c r="H133" s="55"/>
      <c r="I133" s="55"/>
      <c r="J133" s="55"/>
      <c r="K133" s="55"/>
    </row>
    <row r="134">
      <c r="A134" s="55"/>
      <c r="B134" s="55"/>
      <c r="C134" s="55"/>
      <c r="D134" s="55"/>
      <c r="E134" s="55"/>
      <c r="F134" s="55"/>
      <c r="G134" s="55"/>
      <c r="H134" s="55"/>
      <c r="I134" s="55"/>
      <c r="J134" s="55"/>
      <c r="K134" s="55"/>
    </row>
    <row r="135">
      <c r="A135" s="55"/>
      <c r="B135" s="55"/>
      <c r="C135" s="55"/>
      <c r="D135" s="55"/>
      <c r="E135" s="55"/>
      <c r="F135" s="55"/>
      <c r="G135" s="55"/>
      <c r="H135" s="55"/>
      <c r="I135" s="55"/>
      <c r="J135" s="55"/>
      <c r="K135" s="55"/>
    </row>
    <row r="136">
      <c r="A136" s="55"/>
      <c r="B136" s="55"/>
      <c r="C136" s="55"/>
      <c r="D136" s="55"/>
      <c r="E136" s="55"/>
      <c r="F136" s="55"/>
      <c r="G136" s="55"/>
      <c r="H136" s="55"/>
      <c r="I136" s="55"/>
      <c r="J136" s="55"/>
      <c r="K136" s="55"/>
    </row>
    <row r="137">
      <c r="A137" s="55"/>
      <c r="B137" s="55"/>
      <c r="C137" s="55"/>
      <c r="D137" s="55"/>
      <c r="E137" s="55"/>
      <c r="F137" s="55"/>
      <c r="G137" s="55"/>
      <c r="H137" s="55"/>
      <c r="I137" s="55"/>
      <c r="J137" s="55"/>
      <c r="K137" s="55"/>
    </row>
    <row r="138">
      <c r="A138" s="55"/>
      <c r="B138" s="55"/>
      <c r="C138" s="55"/>
      <c r="D138" s="55"/>
      <c r="E138" s="55"/>
      <c r="F138" s="55"/>
      <c r="G138" s="55"/>
      <c r="H138" s="55"/>
      <c r="I138" s="55"/>
      <c r="J138" s="55"/>
      <c r="K138" s="55"/>
    </row>
    <row r="139">
      <c r="A139" s="55"/>
      <c r="B139" s="55"/>
      <c r="C139" s="55"/>
      <c r="D139" s="55"/>
      <c r="E139" s="55"/>
      <c r="F139" s="55"/>
      <c r="G139" s="55"/>
      <c r="H139" s="55"/>
      <c r="I139" s="55"/>
      <c r="J139" s="55"/>
      <c r="K139" s="55"/>
    </row>
    <row r="140">
      <c r="A140" s="55"/>
      <c r="B140" s="55"/>
      <c r="C140" s="55"/>
      <c r="D140" s="55"/>
      <c r="E140" s="55"/>
      <c r="F140" s="55"/>
      <c r="G140" s="55"/>
      <c r="H140" s="55"/>
      <c r="I140" s="55"/>
      <c r="J140" s="55"/>
      <c r="K140" s="55"/>
    </row>
    <row r="141">
      <c r="A141" s="55"/>
      <c r="B141" s="55"/>
      <c r="C141" s="55"/>
      <c r="D141" s="55"/>
      <c r="E141" s="55"/>
      <c r="F141" s="55"/>
      <c r="G141" s="55"/>
      <c r="H141" s="55"/>
      <c r="I141" s="55"/>
      <c r="J141" s="55"/>
      <c r="K141" s="55"/>
    </row>
    <row r="142">
      <c r="A142" s="55"/>
      <c r="B142" s="55"/>
      <c r="C142" s="55"/>
      <c r="D142" s="55"/>
      <c r="E142" s="55"/>
      <c r="F142" s="55"/>
      <c r="G142" s="55"/>
      <c r="H142" s="55"/>
      <c r="I142" s="55"/>
      <c r="J142" s="55"/>
      <c r="K142" s="55"/>
    </row>
    <row r="143">
      <c r="A143" s="55"/>
      <c r="B143" s="55"/>
      <c r="C143" s="55"/>
      <c r="D143" s="55"/>
      <c r="E143" s="55"/>
      <c r="F143" s="55"/>
      <c r="G143" s="55"/>
      <c r="H143" s="55"/>
      <c r="I143" s="55"/>
      <c r="J143" s="55"/>
      <c r="K143" s="55"/>
    </row>
    <row r="144">
      <c r="A144" s="55"/>
      <c r="B144" s="55"/>
      <c r="C144" s="55"/>
      <c r="D144" s="55"/>
      <c r="E144" s="55"/>
      <c r="F144" s="55"/>
      <c r="G144" s="55"/>
      <c r="H144" s="55"/>
      <c r="I144" s="55"/>
      <c r="J144" s="55"/>
      <c r="K144" s="55"/>
    </row>
    <row r="145">
      <c r="A145" s="55"/>
      <c r="B145" s="55"/>
      <c r="C145" s="55"/>
      <c r="D145" s="55"/>
      <c r="E145" s="55"/>
      <c r="F145" s="55"/>
      <c r="G145" s="55"/>
      <c r="H145" s="55"/>
      <c r="I145" s="55"/>
      <c r="J145" s="55"/>
      <c r="K145" s="55"/>
    </row>
    <row r="146">
      <c r="A146" s="55"/>
      <c r="B146" s="55"/>
      <c r="C146" s="55"/>
      <c r="D146" s="55"/>
      <c r="E146" s="55"/>
      <c r="F146" s="55"/>
      <c r="G146" s="55"/>
      <c r="H146" s="55"/>
      <c r="I146" s="55"/>
      <c r="J146" s="55"/>
      <c r="K146" s="55"/>
    </row>
    <row r="147">
      <c r="A147" s="55"/>
      <c r="B147" s="55"/>
      <c r="C147" s="55"/>
      <c r="D147" s="55"/>
      <c r="E147" s="55"/>
      <c r="F147" s="55"/>
      <c r="G147" s="55"/>
      <c r="H147" s="55"/>
      <c r="I147" s="55"/>
      <c r="J147" s="55"/>
      <c r="K147" s="55"/>
    </row>
    <row r="148">
      <c r="A148" s="55"/>
      <c r="B148" s="55"/>
      <c r="C148" s="55"/>
      <c r="D148" s="55"/>
      <c r="E148" s="55"/>
      <c r="F148" s="55"/>
      <c r="G148" s="55"/>
      <c r="H148" s="55"/>
      <c r="I148" s="55"/>
      <c r="J148" s="55"/>
      <c r="K148" s="55"/>
    </row>
    <row r="149">
      <c r="A149" s="55"/>
      <c r="B149" s="55"/>
      <c r="C149" s="55"/>
      <c r="D149" s="55"/>
      <c r="E149" s="55"/>
      <c r="F149" s="55"/>
      <c r="G149" s="55"/>
      <c r="H149" s="55"/>
      <c r="I149" s="55"/>
      <c r="J149" s="55"/>
      <c r="K149" s="55"/>
    </row>
    <row r="150">
      <c r="A150" s="55"/>
      <c r="B150" s="55"/>
      <c r="C150" s="55"/>
      <c r="D150" s="55"/>
      <c r="E150" s="55"/>
      <c r="F150" s="55"/>
      <c r="G150" s="55"/>
      <c r="H150" s="55"/>
      <c r="I150" s="55"/>
      <c r="J150" s="55"/>
      <c r="K150" s="55"/>
    </row>
    <row r="151">
      <c r="A151" s="55"/>
      <c r="B151" s="55"/>
      <c r="C151" s="55"/>
      <c r="D151" s="55"/>
      <c r="E151" s="55"/>
      <c r="F151" s="55"/>
      <c r="G151" s="55"/>
      <c r="H151" s="55"/>
      <c r="I151" s="55"/>
      <c r="J151" s="55"/>
      <c r="K151" s="55"/>
    </row>
    <row r="152">
      <c r="A152" s="55"/>
      <c r="B152" s="55"/>
      <c r="C152" s="55"/>
      <c r="D152" s="55"/>
      <c r="E152" s="55"/>
      <c r="F152" s="55"/>
      <c r="G152" s="55"/>
      <c r="H152" s="55"/>
      <c r="I152" s="55"/>
      <c r="J152" s="55"/>
      <c r="K152" s="55"/>
    </row>
    <row r="153">
      <c r="A153" s="55"/>
      <c r="B153" s="55"/>
      <c r="C153" s="55"/>
      <c r="D153" s="55"/>
      <c r="E153" s="55"/>
      <c r="F153" s="55"/>
      <c r="G153" s="55"/>
      <c r="H153" s="55"/>
      <c r="I153" s="55"/>
      <c r="J153" s="55"/>
      <c r="K153" s="55"/>
    </row>
    <row r="154">
      <c r="A154" s="55"/>
      <c r="B154" s="55"/>
      <c r="C154" s="55"/>
      <c r="D154" s="55"/>
      <c r="E154" s="55"/>
      <c r="F154" s="55"/>
      <c r="G154" s="55"/>
      <c r="H154" s="55"/>
      <c r="I154" s="55"/>
      <c r="J154" s="55"/>
      <c r="K154" s="55"/>
    </row>
    <row r="155">
      <c r="A155" s="55"/>
      <c r="B155" s="55"/>
      <c r="C155" s="55"/>
      <c r="D155" s="55"/>
      <c r="E155" s="55"/>
      <c r="F155" s="55"/>
      <c r="G155" s="55"/>
      <c r="H155" s="55"/>
      <c r="I155" s="55"/>
      <c r="J155" s="55"/>
      <c r="K155" s="55"/>
    </row>
    <row r="156">
      <c r="A156" s="55"/>
      <c r="B156" s="55"/>
      <c r="C156" s="55"/>
      <c r="D156" s="55"/>
      <c r="E156" s="55"/>
      <c r="F156" s="55"/>
      <c r="G156" s="55"/>
      <c r="H156" s="55"/>
      <c r="I156" s="55"/>
      <c r="J156" s="55"/>
      <c r="K156" s="55"/>
    </row>
    <row r="157">
      <c r="A157" s="55"/>
      <c r="B157" s="55"/>
      <c r="C157" s="55"/>
      <c r="D157" s="55"/>
      <c r="E157" s="55"/>
      <c r="F157" s="55"/>
      <c r="G157" s="55"/>
      <c r="H157" s="55"/>
      <c r="I157" s="55"/>
      <c r="J157" s="55"/>
      <c r="K157" s="55"/>
    </row>
    <row r="158">
      <c r="A158" s="55"/>
      <c r="B158" s="55"/>
      <c r="C158" s="55"/>
      <c r="D158" s="55"/>
      <c r="E158" s="55"/>
      <c r="F158" s="55"/>
      <c r="G158" s="55"/>
      <c r="H158" s="55"/>
      <c r="I158" s="55"/>
      <c r="J158" s="55"/>
      <c r="K158" s="55"/>
    </row>
    <row r="159">
      <c r="A159" s="55"/>
      <c r="B159" s="55"/>
      <c r="C159" s="55"/>
      <c r="D159" s="55"/>
      <c r="E159" s="55"/>
      <c r="F159" s="55"/>
      <c r="G159" s="55"/>
      <c r="H159" s="55"/>
      <c r="I159" s="55"/>
      <c r="J159" s="55"/>
      <c r="K159" s="55"/>
    </row>
    <row r="160">
      <c r="A160" s="55"/>
      <c r="B160" s="55"/>
      <c r="C160" s="55"/>
      <c r="D160" s="55"/>
      <c r="E160" s="55"/>
      <c r="F160" s="55"/>
      <c r="G160" s="55"/>
      <c r="H160" s="55"/>
      <c r="I160" s="55"/>
      <c r="J160" s="55"/>
      <c r="K160" s="55"/>
    </row>
    <row r="161">
      <c r="A161" s="55"/>
      <c r="B161" s="55"/>
      <c r="C161" s="55"/>
      <c r="D161" s="55"/>
      <c r="E161" s="55"/>
      <c r="F161" s="55"/>
      <c r="G161" s="55"/>
      <c r="H161" s="55"/>
      <c r="I161" s="55"/>
      <c r="J161" s="55"/>
      <c r="K161" s="55"/>
    </row>
    <row r="162">
      <c r="A162" s="55"/>
      <c r="B162" s="55"/>
      <c r="C162" s="55"/>
      <c r="D162" s="55"/>
      <c r="E162" s="55"/>
      <c r="F162" s="55"/>
      <c r="G162" s="55"/>
      <c r="H162" s="55"/>
      <c r="I162" s="55"/>
      <c r="J162" s="55"/>
      <c r="K162" s="55"/>
    </row>
    <row r="163">
      <c r="A163" s="55"/>
      <c r="B163" s="55"/>
      <c r="C163" s="55"/>
      <c r="D163" s="55"/>
      <c r="E163" s="55"/>
      <c r="F163" s="55"/>
      <c r="G163" s="55"/>
      <c r="H163" s="55"/>
      <c r="I163" s="55"/>
      <c r="J163" s="55"/>
      <c r="K163" s="55"/>
    </row>
    <row r="164">
      <c r="A164" s="55"/>
      <c r="B164" s="55"/>
      <c r="C164" s="55"/>
      <c r="D164" s="55"/>
      <c r="E164" s="55"/>
      <c r="F164" s="55"/>
      <c r="G164" s="55"/>
      <c r="H164" s="55"/>
      <c r="I164" s="55"/>
      <c r="J164" s="55"/>
      <c r="K164" s="55"/>
    </row>
    <row r="165">
      <c r="A165" s="55"/>
      <c r="B165" s="55"/>
      <c r="C165" s="55"/>
      <c r="D165" s="55"/>
      <c r="E165" s="55"/>
      <c r="F165" s="55"/>
      <c r="G165" s="55"/>
      <c r="H165" s="55"/>
      <c r="I165" s="55"/>
      <c r="J165" s="55"/>
      <c r="K165" s="55"/>
    </row>
    <row r="166">
      <c r="A166" s="55"/>
      <c r="B166" s="55"/>
      <c r="C166" s="55"/>
      <c r="D166" s="55"/>
      <c r="E166" s="55"/>
      <c r="F166" s="55"/>
      <c r="G166" s="55"/>
      <c r="H166" s="55"/>
      <c r="I166" s="55"/>
      <c r="J166" s="55"/>
      <c r="K166" s="55"/>
    </row>
    <row r="167">
      <c r="A167" s="55"/>
      <c r="B167" s="55"/>
      <c r="C167" s="55"/>
      <c r="D167" s="55"/>
      <c r="E167" s="55"/>
      <c r="F167" s="55"/>
      <c r="G167" s="55"/>
      <c r="H167" s="55"/>
      <c r="I167" s="55"/>
      <c r="J167" s="55"/>
      <c r="K167" s="55"/>
    </row>
    <row r="168">
      <c r="A168" s="55"/>
      <c r="B168" s="55"/>
      <c r="C168" s="55"/>
      <c r="D168" s="55"/>
      <c r="E168" s="55"/>
      <c r="F168" s="55"/>
      <c r="G168" s="55"/>
      <c r="H168" s="55"/>
      <c r="I168" s="55"/>
      <c r="J168" s="55"/>
      <c r="K168" s="55"/>
    </row>
    <row r="169">
      <c r="A169" s="55"/>
      <c r="B169" s="55"/>
      <c r="C169" s="55"/>
      <c r="D169" s="55"/>
      <c r="E169" s="55"/>
      <c r="F169" s="55"/>
      <c r="G169" s="55"/>
      <c r="H169" s="55"/>
      <c r="I169" s="55"/>
      <c r="J169" s="55"/>
      <c r="K169" s="55"/>
    </row>
    <row r="170">
      <c r="A170" s="55"/>
      <c r="B170" s="55"/>
      <c r="C170" s="55"/>
      <c r="D170" s="55"/>
      <c r="E170" s="55"/>
      <c r="F170" s="55"/>
      <c r="G170" s="55"/>
      <c r="H170" s="55"/>
      <c r="I170" s="55"/>
      <c r="J170" s="55"/>
      <c r="K170" s="55"/>
    </row>
    <row r="171">
      <c r="A171" s="55"/>
      <c r="B171" s="55"/>
      <c r="C171" s="55"/>
      <c r="D171" s="55"/>
      <c r="E171" s="55"/>
      <c r="F171" s="55"/>
      <c r="G171" s="55"/>
      <c r="H171" s="55"/>
      <c r="I171" s="55"/>
      <c r="J171" s="55"/>
      <c r="K171" s="55"/>
    </row>
    <row r="172">
      <c r="A172" s="55"/>
      <c r="B172" s="55"/>
      <c r="C172" s="55"/>
      <c r="D172" s="55"/>
      <c r="E172" s="55"/>
      <c r="F172" s="55"/>
      <c r="G172" s="55"/>
      <c r="H172" s="55"/>
      <c r="I172" s="55"/>
      <c r="J172" s="55"/>
      <c r="K172" s="55"/>
    </row>
    <row r="173">
      <c r="A173" s="55"/>
      <c r="B173" s="55"/>
      <c r="C173" s="55"/>
      <c r="D173" s="55"/>
      <c r="E173" s="55"/>
      <c r="F173" s="55"/>
      <c r="G173" s="55"/>
      <c r="H173" s="55"/>
      <c r="I173" s="55"/>
      <c r="J173" s="55"/>
      <c r="K173" s="55"/>
    </row>
    <row r="174">
      <c r="A174" s="55"/>
      <c r="B174" s="55"/>
      <c r="C174" s="55"/>
      <c r="D174" s="55"/>
      <c r="E174" s="55"/>
      <c r="F174" s="55"/>
      <c r="G174" s="55"/>
      <c r="H174" s="55"/>
      <c r="I174" s="55"/>
      <c r="J174" s="55"/>
      <c r="K174" s="55"/>
    </row>
    <row r="175">
      <c r="A175" s="55"/>
      <c r="B175" s="55"/>
      <c r="C175" s="55"/>
      <c r="D175" s="55"/>
      <c r="E175" s="55"/>
      <c r="F175" s="55"/>
      <c r="G175" s="55"/>
      <c r="H175" s="55"/>
      <c r="I175" s="55"/>
      <c r="J175" s="55"/>
      <c r="K175" s="55"/>
    </row>
    <row r="176">
      <c r="A176" s="55"/>
      <c r="B176" s="55"/>
      <c r="C176" s="55"/>
      <c r="D176" s="55"/>
      <c r="E176" s="55"/>
      <c r="F176" s="55"/>
      <c r="G176" s="55"/>
      <c r="H176" s="55"/>
      <c r="I176" s="55"/>
      <c r="J176" s="55"/>
      <c r="K176" s="55"/>
    </row>
    <row r="177">
      <c r="A177" s="55"/>
      <c r="B177" s="55"/>
      <c r="C177" s="55"/>
      <c r="D177" s="55"/>
      <c r="E177" s="55"/>
      <c r="F177" s="55"/>
      <c r="G177" s="55"/>
      <c r="H177" s="55"/>
      <c r="I177" s="55"/>
      <c r="J177" s="55"/>
      <c r="K177" s="55"/>
    </row>
    <row r="178">
      <c r="A178" s="55"/>
      <c r="B178" s="55"/>
      <c r="C178" s="55"/>
      <c r="D178" s="55"/>
      <c r="E178" s="55"/>
      <c r="F178" s="55"/>
      <c r="G178" s="55"/>
      <c r="H178" s="55"/>
      <c r="I178" s="55"/>
      <c r="J178" s="55"/>
      <c r="K178" s="55"/>
    </row>
    <row r="179">
      <c r="A179" s="55"/>
      <c r="B179" s="55"/>
      <c r="C179" s="55"/>
      <c r="D179" s="55"/>
      <c r="E179" s="55"/>
      <c r="F179" s="55"/>
      <c r="G179" s="55"/>
      <c r="H179" s="55"/>
      <c r="I179" s="55"/>
      <c r="J179" s="55"/>
      <c r="K179" s="55"/>
    </row>
    <row r="180">
      <c r="A180" s="55"/>
      <c r="B180" s="55"/>
      <c r="C180" s="55"/>
      <c r="D180" s="55"/>
      <c r="E180" s="55"/>
      <c r="F180" s="55"/>
      <c r="G180" s="55"/>
      <c r="H180" s="55"/>
      <c r="I180" s="55"/>
      <c r="J180" s="55"/>
      <c r="K180" s="55"/>
    </row>
    <row r="181">
      <c r="A181" s="55"/>
      <c r="B181" s="55"/>
      <c r="C181" s="55"/>
      <c r="D181" s="55"/>
      <c r="E181" s="55"/>
      <c r="F181" s="55"/>
      <c r="G181" s="55"/>
      <c r="H181" s="55"/>
      <c r="I181" s="55"/>
      <c r="J181" s="55"/>
      <c r="K181" s="55"/>
    </row>
    <row r="182">
      <c r="A182" s="55"/>
      <c r="B182" s="55"/>
      <c r="C182" s="55"/>
      <c r="D182" s="55"/>
      <c r="E182" s="55"/>
      <c r="F182" s="55"/>
      <c r="G182" s="55"/>
      <c r="H182" s="55"/>
      <c r="I182" s="55"/>
      <c r="J182" s="55"/>
      <c r="K182" s="55"/>
    </row>
    <row r="183">
      <c r="A183" s="55"/>
      <c r="B183" s="55"/>
      <c r="C183" s="55"/>
      <c r="D183" s="55"/>
      <c r="E183" s="55"/>
      <c r="F183" s="55"/>
      <c r="G183" s="55"/>
      <c r="H183" s="55"/>
      <c r="I183" s="55"/>
      <c r="J183" s="55"/>
      <c r="K183" s="55"/>
    </row>
    <row r="184">
      <c r="A184" s="55"/>
      <c r="B184" s="55"/>
      <c r="C184" s="55"/>
      <c r="D184" s="55"/>
      <c r="E184" s="55"/>
      <c r="F184" s="55"/>
      <c r="G184" s="55"/>
      <c r="H184" s="55"/>
      <c r="I184" s="55"/>
      <c r="J184" s="55"/>
      <c r="K184" s="55"/>
    </row>
    <row r="185">
      <c r="A185" s="55"/>
      <c r="B185" s="55"/>
      <c r="C185" s="55"/>
      <c r="D185" s="55"/>
      <c r="E185" s="55"/>
      <c r="F185" s="55"/>
      <c r="G185" s="55"/>
      <c r="H185" s="55"/>
      <c r="I185" s="55"/>
      <c r="J185" s="55"/>
      <c r="K185" s="55"/>
    </row>
    <row r="186">
      <c r="A186" s="55"/>
      <c r="B186" s="55"/>
      <c r="C186" s="55"/>
      <c r="D186" s="55"/>
      <c r="E186" s="55"/>
      <c r="F186" s="55"/>
      <c r="G186" s="55"/>
      <c r="H186" s="55"/>
      <c r="I186" s="55"/>
      <c r="J186" s="55"/>
      <c r="K186" s="55"/>
    </row>
    <row r="187">
      <c r="A187" s="55"/>
      <c r="B187" s="55"/>
      <c r="C187" s="55"/>
      <c r="D187" s="55"/>
      <c r="E187" s="55"/>
      <c r="F187" s="55"/>
      <c r="G187" s="55"/>
      <c r="H187" s="55"/>
      <c r="I187" s="55"/>
      <c r="J187" s="55"/>
      <c r="K187" s="55"/>
    </row>
    <row r="188">
      <c r="A188" s="55"/>
      <c r="B188" s="55"/>
      <c r="C188" s="55"/>
      <c r="D188" s="55"/>
      <c r="E188" s="55"/>
      <c r="F188" s="55"/>
      <c r="G188" s="55"/>
      <c r="H188" s="55"/>
      <c r="I188" s="55"/>
      <c r="J188" s="55"/>
      <c r="K188" s="55"/>
    </row>
    <row r="189">
      <c r="A189" s="55"/>
      <c r="B189" s="55"/>
      <c r="C189" s="55"/>
      <c r="D189" s="55"/>
      <c r="E189" s="55"/>
      <c r="F189" s="55"/>
      <c r="G189" s="55"/>
      <c r="H189" s="55"/>
      <c r="I189" s="55"/>
      <c r="J189" s="55"/>
      <c r="K189" s="55"/>
    </row>
    <row r="190">
      <c r="A190" s="55"/>
      <c r="B190" s="55"/>
      <c r="C190" s="55"/>
      <c r="D190" s="55"/>
      <c r="E190" s="55"/>
      <c r="F190" s="55"/>
      <c r="G190" s="55"/>
      <c r="H190" s="55"/>
      <c r="I190" s="55"/>
      <c r="J190" s="55"/>
      <c r="K190" s="55"/>
    </row>
    <row r="191">
      <c r="A191" s="55"/>
      <c r="B191" s="55"/>
      <c r="C191" s="55"/>
      <c r="D191" s="55"/>
      <c r="E191" s="55"/>
      <c r="F191" s="55"/>
      <c r="G191" s="55"/>
      <c r="H191" s="55"/>
      <c r="I191" s="55"/>
      <c r="J191" s="55"/>
      <c r="K191" s="55"/>
    </row>
    <row r="192">
      <c r="A192" s="55"/>
      <c r="B192" s="55"/>
      <c r="C192" s="55"/>
      <c r="D192" s="55"/>
      <c r="E192" s="55"/>
      <c r="F192" s="55"/>
      <c r="G192" s="55"/>
      <c r="H192" s="55"/>
      <c r="I192" s="55"/>
      <c r="J192" s="55"/>
      <c r="K192" s="55"/>
    </row>
    <row r="193">
      <c r="A193" s="55"/>
      <c r="B193" s="55"/>
      <c r="C193" s="55"/>
      <c r="D193" s="55"/>
      <c r="E193" s="55"/>
      <c r="F193" s="55"/>
      <c r="G193" s="55"/>
      <c r="H193" s="55"/>
      <c r="I193" s="55"/>
      <c r="J193" s="55"/>
      <c r="K193" s="55"/>
    </row>
    <row r="194">
      <c r="A194" s="55"/>
      <c r="B194" s="55"/>
      <c r="C194" s="55"/>
      <c r="D194" s="55"/>
      <c r="E194" s="55"/>
      <c r="F194" s="55"/>
      <c r="G194" s="55"/>
      <c r="H194" s="55"/>
      <c r="I194" s="55"/>
      <c r="J194" s="55"/>
      <c r="K194" s="55"/>
    </row>
    <row r="195">
      <c r="A195" s="55"/>
      <c r="B195" s="55"/>
      <c r="C195" s="55"/>
      <c r="D195" s="55"/>
      <c r="E195" s="55"/>
      <c r="F195" s="55"/>
      <c r="G195" s="55"/>
      <c r="H195" s="55"/>
      <c r="I195" s="55"/>
      <c r="J195" s="55"/>
      <c r="K195" s="55"/>
    </row>
    <row r="196">
      <c r="A196" s="55"/>
      <c r="B196" s="55"/>
      <c r="C196" s="55"/>
      <c r="D196" s="55"/>
      <c r="E196" s="55"/>
      <c r="F196" s="55"/>
      <c r="G196" s="55"/>
      <c r="H196" s="55"/>
      <c r="I196" s="55"/>
      <c r="J196" s="55"/>
      <c r="K196" s="55"/>
    </row>
    <row r="197">
      <c r="A197" s="55"/>
      <c r="B197" s="55"/>
      <c r="C197" s="55"/>
      <c r="D197" s="55"/>
      <c r="E197" s="55"/>
      <c r="F197" s="55"/>
      <c r="G197" s="55"/>
      <c r="H197" s="55"/>
      <c r="I197" s="55"/>
      <c r="J197" s="55"/>
      <c r="K197" s="55"/>
    </row>
    <row r="198">
      <c r="A198" s="55"/>
      <c r="B198" s="55"/>
      <c r="C198" s="55"/>
      <c r="D198" s="55"/>
      <c r="E198" s="55"/>
      <c r="F198" s="55"/>
      <c r="G198" s="55"/>
      <c r="H198" s="55"/>
      <c r="I198" s="55"/>
      <c r="J198" s="55"/>
      <c r="K198" s="55"/>
    </row>
    <row r="199">
      <c r="A199" s="55"/>
      <c r="B199" s="55"/>
      <c r="C199" s="55"/>
      <c r="D199" s="55"/>
      <c r="E199" s="55"/>
      <c r="F199" s="55"/>
      <c r="G199" s="55"/>
      <c r="H199" s="55"/>
      <c r="I199" s="55"/>
      <c r="J199" s="55"/>
      <c r="K199" s="55"/>
    </row>
    <row r="200">
      <c r="A200" s="55"/>
      <c r="B200" s="55"/>
      <c r="C200" s="55"/>
      <c r="D200" s="55"/>
      <c r="E200" s="55"/>
      <c r="F200" s="55"/>
      <c r="G200" s="55"/>
      <c r="H200" s="55"/>
      <c r="I200" s="55"/>
      <c r="J200" s="55"/>
      <c r="K200" s="55"/>
    </row>
    <row r="201">
      <c r="A201" s="55"/>
      <c r="B201" s="55"/>
      <c r="C201" s="55"/>
      <c r="D201" s="55"/>
      <c r="E201" s="55"/>
      <c r="F201" s="55"/>
      <c r="G201" s="55"/>
      <c r="H201" s="55"/>
      <c r="I201" s="55"/>
      <c r="J201" s="55"/>
      <c r="K201" s="55"/>
    </row>
    <row r="202">
      <c r="A202" s="55"/>
      <c r="B202" s="55"/>
      <c r="C202" s="55"/>
      <c r="D202" s="55"/>
      <c r="E202" s="55"/>
      <c r="F202" s="55"/>
      <c r="G202" s="55"/>
      <c r="H202" s="55"/>
      <c r="I202" s="55"/>
      <c r="J202" s="55"/>
      <c r="K202" s="55"/>
    </row>
    <row r="203">
      <c r="A203" s="55"/>
      <c r="B203" s="55"/>
      <c r="C203" s="55"/>
      <c r="D203" s="55"/>
      <c r="E203" s="55"/>
      <c r="F203" s="55"/>
      <c r="G203" s="55"/>
      <c r="H203" s="55"/>
      <c r="I203" s="55"/>
      <c r="J203" s="55"/>
      <c r="K203" s="55"/>
    </row>
    <row r="204">
      <c r="A204" s="55"/>
      <c r="B204" s="55"/>
      <c r="C204" s="55"/>
      <c r="D204" s="55"/>
      <c r="E204" s="55"/>
      <c r="F204" s="55"/>
      <c r="G204" s="55"/>
      <c r="H204" s="55"/>
      <c r="I204" s="55"/>
      <c r="J204" s="55"/>
      <c r="K204" s="55"/>
    </row>
    <row r="205">
      <c r="A205" s="55"/>
      <c r="B205" s="55"/>
      <c r="C205" s="55"/>
      <c r="D205" s="55"/>
      <c r="E205" s="55"/>
      <c r="F205" s="55"/>
      <c r="G205" s="55"/>
      <c r="H205" s="55"/>
      <c r="I205" s="55"/>
      <c r="J205" s="55"/>
      <c r="K205" s="55"/>
    </row>
    <row r="206">
      <c r="A206" s="55"/>
      <c r="B206" s="55"/>
      <c r="C206" s="55"/>
      <c r="D206" s="55"/>
      <c r="E206" s="55"/>
      <c r="F206" s="55"/>
      <c r="G206" s="55"/>
      <c r="H206" s="55"/>
      <c r="I206" s="55"/>
      <c r="J206" s="55"/>
      <c r="K206" s="55"/>
    </row>
    <row r="207">
      <c r="A207" s="55"/>
      <c r="B207" s="55"/>
      <c r="C207" s="55"/>
      <c r="D207" s="55"/>
      <c r="E207" s="55"/>
      <c r="F207" s="55"/>
      <c r="G207" s="55"/>
      <c r="H207" s="55"/>
      <c r="I207" s="55"/>
      <c r="J207" s="55"/>
      <c r="K207" s="55"/>
    </row>
    <row r="208">
      <c r="A208" s="55"/>
      <c r="B208" s="55"/>
      <c r="C208" s="55"/>
      <c r="D208" s="55"/>
      <c r="E208" s="55"/>
      <c r="F208" s="55"/>
      <c r="G208" s="55"/>
      <c r="H208" s="55"/>
      <c r="I208" s="55"/>
      <c r="J208" s="55"/>
      <c r="K208" s="55"/>
    </row>
    <row r="209">
      <c r="A209" s="55"/>
      <c r="B209" s="55"/>
      <c r="C209" s="55"/>
      <c r="D209" s="55"/>
      <c r="E209" s="55"/>
      <c r="F209" s="55"/>
      <c r="G209" s="55"/>
      <c r="H209" s="55"/>
      <c r="I209" s="55"/>
      <c r="J209" s="55"/>
      <c r="K209" s="55"/>
    </row>
    <row r="210">
      <c r="A210" s="55"/>
      <c r="B210" s="55"/>
      <c r="C210" s="55"/>
      <c r="D210" s="55"/>
      <c r="E210" s="55"/>
      <c r="F210" s="55"/>
      <c r="G210" s="55"/>
      <c r="H210" s="55"/>
      <c r="I210" s="55"/>
      <c r="J210" s="55"/>
      <c r="K210" s="55"/>
    </row>
    <row r="211">
      <c r="A211" s="55"/>
      <c r="B211" s="55"/>
      <c r="C211" s="55"/>
      <c r="D211" s="55"/>
      <c r="E211" s="55"/>
      <c r="F211" s="55"/>
      <c r="G211" s="55"/>
      <c r="H211" s="55"/>
      <c r="I211" s="55"/>
      <c r="J211" s="55"/>
      <c r="K211" s="55"/>
    </row>
    <row r="212">
      <c r="A212" s="55"/>
      <c r="B212" s="55"/>
      <c r="C212" s="55"/>
      <c r="D212" s="55"/>
      <c r="E212" s="55"/>
      <c r="F212" s="55"/>
      <c r="G212" s="55"/>
      <c r="H212" s="55"/>
      <c r="I212" s="55"/>
      <c r="J212" s="55"/>
      <c r="K212" s="55"/>
    </row>
    <row r="213">
      <c r="A213" s="55"/>
      <c r="B213" s="55"/>
      <c r="C213" s="55"/>
      <c r="D213" s="55"/>
      <c r="E213" s="55"/>
      <c r="F213" s="55"/>
      <c r="G213" s="55"/>
      <c r="H213" s="55"/>
      <c r="I213" s="55"/>
      <c r="J213" s="55"/>
      <c r="K213" s="55"/>
    </row>
    <row r="214">
      <c r="A214" s="55"/>
      <c r="B214" s="55"/>
      <c r="C214" s="55"/>
      <c r="D214" s="55"/>
      <c r="E214" s="55"/>
      <c r="F214" s="55"/>
      <c r="G214" s="55"/>
      <c r="H214" s="55"/>
      <c r="I214" s="55"/>
      <c r="J214" s="55"/>
      <c r="K214" s="55"/>
    </row>
    <row r="215">
      <c r="A215" s="55"/>
      <c r="B215" s="55"/>
      <c r="C215" s="55"/>
      <c r="D215" s="55"/>
      <c r="E215" s="55"/>
      <c r="F215" s="55"/>
      <c r="G215" s="55"/>
      <c r="H215" s="55"/>
      <c r="I215" s="55"/>
      <c r="J215" s="55"/>
      <c r="K215" s="55"/>
    </row>
    <row r="216">
      <c r="A216" s="55"/>
      <c r="B216" s="55"/>
      <c r="C216" s="55"/>
      <c r="D216" s="55"/>
      <c r="E216" s="55"/>
      <c r="F216" s="55"/>
      <c r="G216" s="55"/>
      <c r="H216" s="55"/>
      <c r="I216" s="55"/>
      <c r="J216" s="55"/>
      <c r="K216" s="55"/>
    </row>
    <row r="217">
      <c r="A217" s="55"/>
      <c r="B217" s="55"/>
      <c r="C217" s="55"/>
      <c r="D217" s="55"/>
      <c r="E217" s="55"/>
      <c r="F217" s="55"/>
      <c r="G217" s="55"/>
      <c r="H217" s="55"/>
      <c r="I217" s="55"/>
      <c r="J217" s="55"/>
      <c r="K217" s="55"/>
    </row>
    <row r="218">
      <c r="A218" s="55"/>
      <c r="B218" s="55"/>
      <c r="C218" s="55"/>
      <c r="D218" s="55"/>
      <c r="E218" s="55"/>
      <c r="F218" s="55"/>
      <c r="G218" s="55"/>
      <c r="H218" s="55"/>
      <c r="I218" s="55"/>
      <c r="J218" s="55"/>
      <c r="K218" s="55"/>
    </row>
    <row r="219">
      <c r="A219" s="55"/>
      <c r="B219" s="55"/>
      <c r="C219" s="55"/>
      <c r="D219" s="55"/>
      <c r="E219" s="55"/>
      <c r="F219" s="55"/>
      <c r="G219" s="55"/>
      <c r="H219" s="55"/>
      <c r="I219" s="55"/>
      <c r="J219" s="55"/>
      <c r="K219" s="55"/>
    </row>
    <row r="220">
      <c r="A220" s="55"/>
      <c r="B220" s="55"/>
      <c r="C220" s="55"/>
      <c r="D220" s="55"/>
      <c r="E220" s="55"/>
      <c r="F220" s="55"/>
      <c r="G220" s="55"/>
      <c r="H220" s="55"/>
      <c r="I220" s="55"/>
      <c r="J220" s="55"/>
      <c r="K220" s="55"/>
    </row>
    <row r="221">
      <c r="A221" s="55"/>
      <c r="B221" s="55"/>
      <c r="C221" s="55"/>
      <c r="D221" s="55"/>
      <c r="E221" s="55"/>
      <c r="F221" s="55"/>
      <c r="G221" s="55"/>
      <c r="H221" s="55"/>
      <c r="I221" s="55"/>
      <c r="J221" s="55"/>
      <c r="K221" s="55"/>
    </row>
    <row r="222">
      <c r="A222" s="55"/>
      <c r="B222" s="55"/>
      <c r="C222" s="55"/>
      <c r="D222" s="55"/>
      <c r="E222" s="55"/>
      <c r="F222" s="55"/>
      <c r="G222" s="55"/>
      <c r="H222" s="55"/>
      <c r="I222" s="55"/>
      <c r="J222" s="55"/>
      <c r="K222" s="55"/>
    </row>
    <row r="223">
      <c r="A223" s="55"/>
      <c r="B223" s="55"/>
      <c r="C223" s="55"/>
      <c r="D223" s="55"/>
      <c r="E223" s="55"/>
      <c r="F223" s="55"/>
      <c r="G223" s="55"/>
      <c r="H223" s="55"/>
      <c r="I223" s="55"/>
      <c r="J223" s="55"/>
      <c r="K223" s="55"/>
    </row>
    <row r="224">
      <c r="A224" s="55"/>
      <c r="B224" s="55"/>
      <c r="C224" s="55"/>
      <c r="D224" s="55"/>
      <c r="E224" s="55"/>
      <c r="F224" s="55"/>
      <c r="G224" s="55"/>
      <c r="H224" s="55"/>
      <c r="I224" s="55"/>
      <c r="J224" s="55"/>
      <c r="K224" s="55"/>
    </row>
    <row r="225">
      <c r="A225" s="55"/>
      <c r="B225" s="55"/>
      <c r="C225" s="55"/>
      <c r="D225" s="55"/>
      <c r="E225" s="55"/>
      <c r="F225" s="55"/>
      <c r="G225" s="55"/>
      <c r="H225" s="55"/>
      <c r="I225" s="55"/>
      <c r="J225" s="55"/>
      <c r="K225" s="55"/>
    </row>
    <row r="226">
      <c r="A226" s="55"/>
      <c r="B226" s="55"/>
      <c r="C226" s="55"/>
      <c r="D226" s="55"/>
      <c r="E226" s="55"/>
      <c r="F226" s="55"/>
      <c r="G226" s="55"/>
      <c r="H226" s="55"/>
      <c r="I226" s="55"/>
      <c r="J226" s="55"/>
      <c r="K226" s="55"/>
    </row>
    <row r="227">
      <c r="A227" s="55"/>
      <c r="B227" s="55"/>
      <c r="C227" s="55"/>
      <c r="D227" s="55"/>
      <c r="E227" s="55"/>
      <c r="F227" s="55"/>
      <c r="G227" s="55"/>
      <c r="H227" s="55"/>
      <c r="I227" s="55"/>
      <c r="J227" s="55"/>
      <c r="K227" s="55"/>
    </row>
    <row r="228">
      <c r="A228" s="55"/>
      <c r="B228" s="55"/>
      <c r="C228" s="55"/>
      <c r="D228" s="55"/>
      <c r="E228" s="55"/>
      <c r="F228" s="55"/>
      <c r="G228" s="55"/>
      <c r="H228" s="55"/>
      <c r="I228" s="55"/>
      <c r="J228" s="55"/>
      <c r="K228" s="55"/>
    </row>
    <row r="229">
      <c r="A229" s="55"/>
      <c r="B229" s="55"/>
      <c r="C229" s="55"/>
      <c r="D229" s="55"/>
      <c r="E229" s="55"/>
      <c r="F229" s="55"/>
      <c r="G229" s="55"/>
      <c r="H229" s="55"/>
      <c r="I229" s="55"/>
      <c r="J229" s="55"/>
      <c r="K229" s="55"/>
    </row>
    <row r="230">
      <c r="A230" s="55"/>
      <c r="B230" s="55"/>
      <c r="C230" s="55"/>
      <c r="D230" s="55"/>
      <c r="E230" s="55"/>
      <c r="F230" s="55"/>
      <c r="G230" s="55"/>
      <c r="H230" s="55"/>
      <c r="I230" s="55"/>
      <c r="J230" s="55"/>
      <c r="K230" s="55"/>
    </row>
    <row r="231">
      <c r="A231" s="55"/>
      <c r="B231" s="55"/>
      <c r="C231" s="55"/>
      <c r="D231" s="55"/>
      <c r="E231" s="55"/>
      <c r="F231" s="55"/>
      <c r="G231" s="55"/>
      <c r="H231" s="55"/>
      <c r="I231" s="55"/>
      <c r="J231" s="55"/>
      <c r="K231" s="55"/>
    </row>
    <row r="232">
      <c r="A232" s="55"/>
      <c r="B232" s="55"/>
      <c r="C232" s="55"/>
      <c r="D232" s="55"/>
      <c r="E232" s="55"/>
      <c r="F232" s="55"/>
      <c r="G232" s="55"/>
      <c r="H232" s="55"/>
      <c r="I232" s="55"/>
      <c r="J232" s="55"/>
      <c r="K232" s="55"/>
    </row>
    <row r="233">
      <c r="A233" s="55"/>
      <c r="B233" s="55"/>
      <c r="C233" s="55"/>
      <c r="D233" s="55"/>
      <c r="E233" s="55"/>
      <c r="F233" s="55"/>
      <c r="G233" s="55"/>
      <c r="H233" s="55"/>
      <c r="I233" s="55"/>
      <c r="J233" s="55"/>
      <c r="K233" s="55"/>
    </row>
    <row r="234">
      <c r="A234" s="55"/>
      <c r="B234" s="55"/>
      <c r="C234" s="55"/>
      <c r="D234" s="55"/>
      <c r="E234" s="55"/>
      <c r="F234" s="55"/>
      <c r="G234" s="55"/>
      <c r="H234" s="55"/>
      <c r="I234" s="55"/>
      <c r="J234" s="55"/>
      <c r="K234" s="55"/>
    </row>
    <row r="235">
      <c r="A235" s="55"/>
      <c r="B235" s="55"/>
      <c r="C235" s="55"/>
      <c r="D235" s="55"/>
      <c r="E235" s="55"/>
      <c r="F235" s="55"/>
      <c r="G235" s="55"/>
      <c r="H235" s="55"/>
      <c r="I235" s="55"/>
      <c r="J235" s="55"/>
      <c r="K235" s="55"/>
    </row>
    <row r="236">
      <c r="A236" s="55"/>
      <c r="B236" s="55"/>
      <c r="C236" s="55"/>
      <c r="D236" s="55"/>
      <c r="E236" s="55"/>
      <c r="F236" s="55"/>
      <c r="G236" s="55"/>
      <c r="H236" s="55"/>
      <c r="I236" s="55"/>
      <c r="J236" s="55"/>
      <c r="K236" s="55"/>
    </row>
    <row r="237">
      <c r="A237" s="55"/>
      <c r="B237" s="55"/>
      <c r="C237" s="55"/>
      <c r="D237" s="55"/>
      <c r="E237" s="55"/>
      <c r="F237" s="55"/>
      <c r="G237" s="55"/>
      <c r="H237" s="55"/>
      <c r="I237" s="55"/>
      <c r="J237" s="55"/>
      <c r="K237" s="55"/>
    </row>
    <row r="238">
      <c r="A238" s="55"/>
      <c r="B238" s="55"/>
      <c r="C238" s="55"/>
      <c r="D238" s="55"/>
      <c r="E238" s="55"/>
      <c r="F238" s="55"/>
      <c r="G238" s="55"/>
      <c r="H238" s="55"/>
      <c r="I238" s="55"/>
      <c r="J238" s="55"/>
      <c r="K238" s="55"/>
    </row>
    <row r="239">
      <c r="A239" s="55"/>
      <c r="B239" s="55"/>
      <c r="C239" s="55"/>
      <c r="D239" s="55"/>
      <c r="E239" s="55"/>
      <c r="F239" s="55"/>
      <c r="G239" s="55"/>
      <c r="H239" s="55"/>
      <c r="I239" s="55"/>
      <c r="J239" s="55"/>
      <c r="K239" s="55"/>
    </row>
    <row r="240">
      <c r="A240" s="55"/>
      <c r="B240" s="55"/>
      <c r="C240" s="55"/>
      <c r="D240" s="55"/>
      <c r="E240" s="55"/>
      <c r="F240" s="55"/>
      <c r="G240" s="55"/>
      <c r="H240" s="55"/>
      <c r="I240" s="55"/>
      <c r="J240" s="55"/>
      <c r="K240" s="55"/>
    </row>
    <row r="241">
      <c r="A241" s="55"/>
      <c r="B241" s="55"/>
      <c r="C241" s="55"/>
      <c r="D241" s="55"/>
      <c r="E241" s="55"/>
      <c r="F241" s="55"/>
      <c r="G241" s="55"/>
      <c r="H241" s="55"/>
      <c r="I241" s="55"/>
      <c r="J241" s="55"/>
      <c r="K241" s="55"/>
    </row>
    <row r="242">
      <c r="A242" s="55"/>
      <c r="B242" s="55"/>
      <c r="C242" s="55"/>
      <c r="D242" s="55"/>
      <c r="E242" s="55"/>
      <c r="F242" s="55"/>
      <c r="G242" s="55"/>
      <c r="H242" s="55"/>
      <c r="I242" s="55"/>
      <c r="J242" s="55"/>
      <c r="K242" s="55"/>
    </row>
    <row r="243">
      <c r="A243" s="55"/>
      <c r="B243" s="55"/>
      <c r="C243" s="55"/>
      <c r="D243" s="55"/>
      <c r="E243" s="55"/>
      <c r="F243" s="55"/>
      <c r="G243" s="55"/>
      <c r="H243" s="55"/>
      <c r="I243" s="55"/>
      <c r="J243" s="55"/>
      <c r="K243" s="55"/>
    </row>
    <row r="244">
      <c r="A244" s="55"/>
      <c r="B244" s="55"/>
      <c r="C244" s="55"/>
      <c r="D244" s="55"/>
      <c r="E244" s="55"/>
      <c r="F244" s="55"/>
      <c r="G244" s="55"/>
      <c r="H244" s="55"/>
      <c r="I244" s="55"/>
      <c r="J244" s="55"/>
      <c r="K244" s="55"/>
    </row>
    <row r="245">
      <c r="A245" s="55"/>
      <c r="B245" s="55"/>
      <c r="C245" s="55"/>
      <c r="D245" s="55"/>
      <c r="E245" s="55"/>
      <c r="F245" s="55"/>
      <c r="G245" s="55"/>
      <c r="H245" s="55"/>
      <c r="I245" s="55"/>
      <c r="J245" s="55"/>
      <c r="K245" s="55"/>
    </row>
    <row r="246">
      <c r="A246" s="55"/>
      <c r="B246" s="55"/>
      <c r="C246" s="55"/>
      <c r="D246" s="55"/>
      <c r="E246" s="55"/>
      <c r="F246" s="55"/>
      <c r="G246" s="55"/>
      <c r="H246" s="55"/>
      <c r="I246" s="55"/>
      <c r="J246" s="55"/>
      <c r="K246" s="55"/>
    </row>
    <row r="247">
      <c r="A247" s="55"/>
      <c r="B247" s="55"/>
      <c r="C247" s="55"/>
      <c r="D247" s="55"/>
      <c r="E247" s="55"/>
      <c r="F247" s="55"/>
      <c r="G247" s="55"/>
      <c r="H247" s="55"/>
      <c r="I247" s="55"/>
      <c r="J247" s="55"/>
      <c r="K247" s="55"/>
    </row>
    <row r="248">
      <c r="A248" s="55"/>
      <c r="B248" s="55"/>
      <c r="C248" s="55"/>
      <c r="D248" s="55"/>
      <c r="E248" s="55"/>
      <c r="F248" s="55"/>
      <c r="G248" s="55"/>
      <c r="H248" s="55"/>
      <c r="I248" s="55"/>
      <c r="J248" s="55"/>
      <c r="K248" s="55"/>
    </row>
    <row r="249">
      <c r="A249" s="55"/>
      <c r="B249" s="55"/>
      <c r="C249" s="55"/>
      <c r="D249" s="55"/>
      <c r="E249" s="55"/>
      <c r="F249" s="55"/>
      <c r="G249" s="55"/>
      <c r="H249" s="55"/>
      <c r="I249" s="55"/>
      <c r="J249" s="55"/>
      <c r="K249" s="55"/>
    </row>
    <row r="250">
      <c r="A250" s="55"/>
      <c r="B250" s="55"/>
      <c r="C250" s="55"/>
      <c r="D250" s="55"/>
      <c r="E250" s="55"/>
      <c r="F250" s="55"/>
      <c r="G250" s="55"/>
      <c r="H250" s="55"/>
      <c r="I250" s="55"/>
      <c r="J250" s="55"/>
      <c r="K250" s="55"/>
    </row>
    <row r="251">
      <c r="A251" s="55"/>
      <c r="B251" s="55"/>
      <c r="C251" s="55"/>
      <c r="D251" s="55"/>
      <c r="E251" s="55"/>
      <c r="F251" s="55"/>
      <c r="G251" s="55"/>
      <c r="H251" s="55"/>
      <c r="I251" s="55"/>
      <c r="J251" s="55"/>
      <c r="K251" s="55"/>
    </row>
    <row r="252">
      <c r="A252" s="55"/>
      <c r="B252" s="55"/>
      <c r="C252" s="55"/>
      <c r="D252" s="55"/>
      <c r="E252" s="55"/>
      <c r="F252" s="55"/>
      <c r="G252" s="55"/>
      <c r="H252" s="55"/>
      <c r="I252" s="55"/>
      <c r="J252" s="55"/>
      <c r="K252" s="55"/>
    </row>
    <row r="253">
      <c r="A253" s="55"/>
      <c r="B253" s="55"/>
      <c r="C253" s="55"/>
      <c r="D253" s="55"/>
      <c r="E253" s="55"/>
      <c r="F253" s="55"/>
      <c r="G253" s="55"/>
      <c r="H253" s="55"/>
      <c r="I253" s="55"/>
      <c r="J253" s="55"/>
      <c r="K253" s="55"/>
    </row>
    <row r="254">
      <c r="A254" s="55"/>
      <c r="B254" s="55"/>
      <c r="C254" s="55"/>
      <c r="D254" s="55"/>
      <c r="E254" s="55"/>
      <c r="F254" s="55"/>
      <c r="G254" s="55"/>
      <c r="H254" s="55"/>
      <c r="I254" s="55"/>
      <c r="J254" s="55"/>
      <c r="K254" s="55"/>
    </row>
    <row r="255">
      <c r="A255" s="55"/>
      <c r="B255" s="55"/>
      <c r="C255" s="55"/>
      <c r="D255" s="55"/>
      <c r="E255" s="55"/>
      <c r="F255" s="55"/>
      <c r="G255" s="55"/>
      <c r="H255" s="55"/>
      <c r="I255" s="55"/>
      <c r="J255" s="55"/>
      <c r="K255" s="55"/>
    </row>
    <row r="256">
      <c r="A256" s="55"/>
      <c r="B256" s="55"/>
      <c r="C256" s="55"/>
      <c r="D256" s="55"/>
      <c r="E256" s="55"/>
      <c r="F256" s="55"/>
      <c r="G256" s="55"/>
      <c r="H256" s="55"/>
      <c r="I256" s="55"/>
      <c r="J256" s="55"/>
      <c r="K256" s="55"/>
    </row>
    <row r="257">
      <c r="A257" s="55"/>
      <c r="B257" s="55"/>
      <c r="C257" s="55"/>
      <c r="D257" s="55"/>
      <c r="E257" s="55"/>
      <c r="F257" s="55"/>
      <c r="G257" s="55"/>
      <c r="H257" s="55"/>
      <c r="I257" s="55"/>
      <c r="J257" s="55"/>
      <c r="K257" s="55"/>
    </row>
    <row r="258">
      <c r="A258" s="55"/>
      <c r="B258" s="55"/>
      <c r="C258" s="55"/>
      <c r="D258" s="55"/>
      <c r="E258" s="55"/>
      <c r="F258" s="55"/>
      <c r="G258" s="55"/>
      <c r="H258" s="55"/>
      <c r="I258" s="55"/>
      <c r="J258" s="55"/>
      <c r="K258" s="55"/>
    </row>
    <row r="259">
      <c r="A259" s="55"/>
      <c r="B259" s="55"/>
      <c r="C259" s="55"/>
      <c r="D259" s="55"/>
      <c r="E259" s="55"/>
      <c r="F259" s="55"/>
      <c r="G259" s="55"/>
      <c r="H259" s="55"/>
      <c r="I259" s="55"/>
      <c r="J259" s="55"/>
      <c r="K259" s="55"/>
    </row>
    <row r="260">
      <c r="A260" s="55"/>
      <c r="B260" s="55"/>
      <c r="C260" s="55"/>
      <c r="D260" s="55"/>
      <c r="E260" s="55"/>
      <c r="F260" s="55"/>
      <c r="G260" s="55"/>
      <c r="H260" s="55"/>
      <c r="I260" s="55"/>
      <c r="J260" s="55"/>
      <c r="K260" s="55"/>
    </row>
    <row r="261">
      <c r="A261" s="55"/>
      <c r="B261" s="55"/>
      <c r="C261" s="55"/>
      <c r="D261" s="55"/>
      <c r="E261" s="55"/>
      <c r="F261" s="55"/>
      <c r="G261" s="55"/>
      <c r="H261" s="55"/>
      <c r="I261" s="55"/>
      <c r="J261" s="55"/>
      <c r="K261" s="55"/>
    </row>
    <row r="262">
      <c r="A262" s="55"/>
      <c r="B262" s="55"/>
      <c r="C262" s="55"/>
      <c r="D262" s="55"/>
      <c r="E262" s="55"/>
      <c r="F262" s="55"/>
      <c r="G262" s="55"/>
      <c r="H262" s="55"/>
      <c r="I262" s="55"/>
      <c r="J262" s="55"/>
      <c r="K262" s="55"/>
    </row>
    <row r="263">
      <c r="A263" s="55"/>
      <c r="B263" s="55"/>
      <c r="C263" s="55"/>
      <c r="D263" s="55"/>
      <c r="E263" s="55"/>
      <c r="F263" s="55"/>
      <c r="G263" s="55"/>
      <c r="H263" s="55"/>
      <c r="I263" s="55"/>
      <c r="J263" s="55"/>
      <c r="K263" s="55"/>
    </row>
    <row r="264">
      <c r="A264" s="55"/>
      <c r="B264" s="55"/>
      <c r="C264" s="55"/>
      <c r="D264" s="55"/>
      <c r="E264" s="55"/>
      <c r="F264" s="55"/>
      <c r="G264" s="55"/>
      <c r="H264" s="55"/>
      <c r="I264" s="55"/>
      <c r="J264" s="55"/>
      <c r="K264" s="55"/>
    </row>
    <row r="265">
      <c r="A265" s="55"/>
      <c r="B265" s="55"/>
      <c r="C265" s="55"/>
      <c r="D265" s="55"/>
      <c r="E265" s="55"/>
      <c r="F265" s="55"/>
      <c r="G265" s="55"/>
      <c r="H265" s="55"/>
      <c r="I265" s="55"/>
      <c r="J265" s="55"/>
      <c r="K265" s="55"/>
    </row>
    <row r="266">
      <c r="A266" s="55"/>
      <c r="B266" s="55"/>
      <c r="C266" s="55"/>
      <c r="D266" s="55"/>
      <c r="E266" s="55"/>
      <c r="F266" s="55"/>
      <c r="G266" s="55"/>
      <c r="H266" s="55"/>
      <c r="I266" s="55"/>
      <c r="J266" s="55"/>
      <c r="K266" s="55"/>
    </row>
    <row r="267">
      <c r="A267" s="55"/>
      <c r="B267" s="55"/>
      <c r="C267" s="55"/>
      <c r="D267" s="55"/>
      <c r="E267" s="55"/>
      <c r="F267" s="55"/>
      <c r="G267" s="55"/>
      <c r="H267" s="55"/>
      <c r="I267" s="55"/>
      <c r="J267" s="55"/>
      <c r="K267" s="55"/>
    </row>
    <row r="268">
      <c r="A268" s="55"/>
      <c r="B268" s="55"/>
      <c r="C268" s="55"/>
      <c r="D268" s="55"/>
      <c r="E268" s="55"/>
      <c r="F268" s="55"/>
      <c r="G268" s="55"/>
      <c r="H268" s="55"/>
      <c r="I268" s="55"/>
      <c r="J268" s="55"/>
      <c r="K268" s="55"/>
    </row>
    <row r="269">
      <c r="A269" s="55"/>
      <c r="B269" s="55"/>
      <c r="C269" s="55"/>
      <c r="D269" s="55"/>
      <c r="E269" s="55"/>
      <c r="F269" s="55"/>
      <c r="G269" s="55"/>
      <c r="H269" s="55"/>
      <c r="I269" s="55"/>
      <c r="J269" s="55"/>
      <c r="K269" s="55"/>
    </row>
    <row r="270">
      <c r="A270" s="55"/>
      <c r="B270" s="55"/>
      <c r="C270" s="55"/>
      <c r="D270" s="55"/>
      <c r="E270" s="55"/>
      <c r="F270" s="55"/>
      <c r="G270" s="55"/>
      <c r="H270" s="55"/>
      <c r="I270" s="55"/>
      <c r="J270" s="55"/>
      <c r="K270" s="55"/>
    </row>
    <row r="271">
      <c r="A271" s="55"/>
      <c r="B271" s="55"/>
      <c r="C271" s="55"/>
      <c r="D271" s="55"/>
      <c r="E271" s="55"/>
      <c r="F271" s="55"/>
      <c r="G271" s="55"/>
      <c r="H271" s="55"/>
      <c r="I271" s="55"/>
      <c r="J271" s="55"/>
      <c r="K271" s="55"/>
    </row>
    <row r="272">
      <c r="A272" s="55"/>
      <c r="B272" s="55"/>
      <c r="C272" s="55"/>
      <c r="D272" s="55"/>
      <c r="E272" s="55"/>
      <c r="F272" s="55"/>
      <c r="G272" s="55"/>
      <c r="H272" s="55"/>
      <c r="I272" s="55"/>
      <c r="J272" s="55"/>
      <c r="K272" s="55"/>
    </row>
    <row r="273">
      <c r="A273" s="55"/>
      <c r="B273" s="55"/>
      <c r="C273" s="55"/>
      <c r="D273" s="55"/>
      <c r="E273" s="55"/>
      <c r="F273" s="55"/>
      <c r="G273" s="55"/>
      <c r="H273" s="55"/>
      <c r="I273" s="55"/>
      <c r="J273" s="55"/>
      <c r="K273" s="55"/>
    </row>
    <row r="274">
      <c r="A274" s="55"/>
      <c r="B274" s="55"/>
      <c r="C274" s="55"/>
      <c r="D274" s="55"/>
      <c r="E274" s="55"/>
      <c r="F274" s="55"/>
      <c r="G274" s="55"/>
      <c r="H274" s="55"/>
      <c r="I274" s="55"/>
      <c r="J274" s="55"/>
      <c r="K274" s="55"/>
    </row>
    <row r="275">
      <c r="A275" s="55"/>
      <c r="B275" s="55"/>
      <c r="C275" s="55"/>
      <c r="D275" s="55"/>
      <c r="E275" s="55"/>
      <c r="F275" s="55"/>
      <c r="G275" s="55"/>
      <c r="H275" s="55"/>
      <c r="I275" s="55"/>
      <c r="J275" s="55"/>
      <c r="K275" s="55"/>
    </row>
    <row r="276">
      <c r="A276" s="55"/>
      <c r="B276" s="55"/>
      <c r="C276" s="55"/>
      <c r="D276" s="55"/>
      <c r="E276" s="55"/>
      <c r="F276" s="55"/>
      <c r="G276" s="55"/>
      <c r="H276" s="55"/>
      <c r="I276" s="55"/>
      <c r="J276" s="55"/>
      <c r="K276" s="55"/>
    </row>
    <row r="277">
      <c r="A277" s="55"/>
      <c r="B277" s="55"/>
      <c r="C277" s="55"/>
      <c r="D277" s="55"/>
      <c r="E277" s="55"/>
      <c r="F277" s="55"/>
      <c r="G277" s="55"/>
      <c r="H277" s="55"/>
      <c r="I277" s="55"/>
      <c r="J277" s="55"/>
      <c r="K277" s="55"/>
    </row>
    <row r="278">
      <c r="A278" s="55"/>
      <c r="B278" s="55"/>
      <c r="C278" s="55"/>
      <c r="D278" s="55"/>
      <c r="E278" s="55"/>
      <c r="F278" s="55"/>
      <c r="G278" s="55"/>
      <c r="H278" s="55"/>
      <c r="I278" s="55"/>
      <c r="J278" s="55"/>
      <c r="K278" s="55"/>
    </row>
    <row r="279">
      <c r="A279" s="55"/>
      <c r="B279" s="55"/>
      <c r="C279" s="55"/>
      <c r="D279" s="55"/>
      <c r="E279" s="55"/>
      <c r="F279" s="55"/>
      <c r="G279" s="55"/>
      <c r="H279" s="55"/>
      <c r="I279" s="55"/>
      <c r="J279" s="55"/>
      <c r="K279" s="55"/>
    </row>
    <row r="280">
      <c r="A280" s="55"/>
      <c r="B280" s="55"/>
      <c r="C280" s="55"/>
      <c r="D280" s="55"/>
      <c r="E280" s="55"/>
      <c r="F280" s="55"/>
      <c r="G280" s="55"/>
      <c r="H280" s="55"/>
      <c r="I280" s="55"/>
      <c r="J280" s="55"/>
      <c r="K280" s="55"/>
    </row>
    <row r="281">
      <c r="A281" s="55"/>
      <c r="B281" s="55"/>
      <c r="C281" s="55"/>
      <c r="D281" s="55"/>
      <c r="E281" s="55"/>
      <c r="F281" s="55"/>
      <c r="G281" s="55"/>
      <c r="H281" s="55"/>
      <c r="I281" s="55"/>
      <c r="J281" s="55"/>
      <c r="K281" s="55"/>
    </row>
    <row r="282">
      <c r="A282" s="55"/>
      <c r="B282" s="55"/>
      <c r="C282" s="55"/>
      <c r="D282" s="55"/>
      <c r="E282" s="55"/>
      <c r="F282" s="55"/>
      <c r="G282" s="55"/>
      <c r="H282" s="55"/>
      <c r="I282" s="55"/>
      <c r="J282" s="55"/>
      <c r="K282" s="55"/>
    </row>
    <row r="283">
      <c r="A283" s="55"/>
      <c r="B283" s="55"/>
      <c r="C283" s="55"/>
      <c r="D283" s="55"/>
      <c r="E283" s="55"/>
      <c r="F283" s="55"/>
      <c r="G283" s="55"/>
      <c r="H283" s="55"/>
      <c r="I283" s="55"/>
      <c r="J283" s="55"/>
      <c r="K283" s="55"/>
    </row>
    <row r="284">
      <c r="A284" s="55"/>
      <c r="B284" s="55"/>
      <c r="C284" s="55"/>
      <c r="D284" s="55"/>
      <c r="E284" s="55"/>
      <c r="F284" s="55"/>
      <c r="G284" s="55"/>
      <c r="H284" s="55"/>
      <c r="I284" s="55"/>
      <c r="J284" s="55"/>
      <c r="K284" s="55"/>
    </row>
    <row r="285">
      <c r="A285" s="55"/>
      <c r="B285" s="55"/>
      <c r="C285" s="55"/>
      <c r="D285" s="55"/>
      <c r="E285" s="55"/>
      <c r="F285" s="55"/>
      <c r="G285" s="55"/>
      <c r="H285" s="55"/>
      <c r="I285" s="55"/>
      <c r="J285" s="55"/>
      <c r="K285" s="55"/>
    </row>
    <row r="286">
      <c r="A286" s="55"/>
      <c r="B286" s="55"/>
      <c r="C286" s="55"/>
      <c r="D286" s="55"/>
      <c r="E286" s="55"/>
      <c r="F286" s="55"/>
      <c r="G286" s="55"/>
      <c r="H286" s="55"/>
      <c r="I286" s="55"/>
      <c r="J286" s="55"/>
      <c r="K286" s="55"/>
    </row>
    <row r="287">
      <c r="A287" s="55"/>
      <c r="B287" s="55"/>
      <c r="C287" s="55"/>
      <c r="D287" s="55"/>
      <c r="E287" s="55"/>
      <c r="F287" s="55"/>
      <c r="G287" s="55"/>
      <c r="H287" s="55"/>
      <c r="I287" s="55"/>
      <c r="J287" s="55"/>
      <c r="K287" s="55"/>
    </row>
    <row r="288">
      <c r="A288" s="55"/>
      <c r="B288" s="55"/>
      <c r="C288" s="55"/>
      <c r="D288" s="55"/>
      <c r="E288" s="55"/>
      <c r="F288" s="55"/>
      <c r="G288" s="55"/>
      <c r="H288" s="55"/>
      <c r="I288" s="55"/>
      <c r="J288" s="55"/>
      <c r="K288" s="55"/>
    </row>
    <row r="289">
      <c r="A289" s="55"/>
      <c r="B289" s="55"/>
      <c r="C289" s="55"/>
      <c r="D289" s="55"/>
      <c r="E289" s="55"/>
      <c r="F289" s="55"/>
      <c r="G289" s="55"/>
      <c r="H289" s="55"/>
      <c r="I289" s="55"/>
      <c r="J289" s="55"/>
      <c r="K289" s="55"/>
    </row>
    <row r="290">
      <c r="A290" s="55"/>
      <c r="B290" s="55"/>
      <c r="C290" s="55"/>
      <c r="D290" s="55"/>
      <c r="E290" s="55"/>
      <c r="F290" s="55"/>
      <c r="G290" s="55"/>
      <c r="H290" s="55"/>
      <c r="I290" s="55"/>
      <c r="J290" s="55"/>
      <c r="K290" s="55"/>
    </row>
    <row r="291">
      <c r="A291" s="55"/>
      <c r="B291" s="55"/>
      <c r="C291" s="55"/>
      <c r="D291" s="55"/>
      <c r="E291" s="55"/>
      <c r="F291" s="55"/>
      <c r="G291" s="55"/>
      <c r="H291" s="55"/>
      <c r="I291" s="55"/>
      <c r="J291" s="55"/>
      <c r="K291" s="55"/>
    </row>
    <row r="292">
      <c r="A292" s="55"/>
      <c r="B292" s="55"/>
      <c r="C292" s="55"/>
      <c r="D292" s="55"/>
      <c r="E292" s="55"/>
      <c r="F292" s="55"/>
      <c r="G292" s="55"/>
      <c r="H292" s="55"/>
      <c r="I292" s="55"/>
      <c r="J292" s="55"/>
      <c r="K292" s="55"/>
    </row>
    <row r="293">
      <c r="A293" s="55"/>
      <c r="B293" s="55"/>
      <c r="C293" s="55"/>
      <c r="D293" s="55"/>
      <c r="E293" s="55"/>
      <c r="F293" s="55"/>
      <c r="G293" s="55"/>
      <c r="H293" s="55"/>
      <c r="I293" s="55"/>
      <c r="J293" s="55"/>
      <c r="K293" s="55"/>
    </row>
    <row r="294">
      <c r="A294" s="55"/>
      <c r="B294" s="55"/>
      <c r="C294" s="55"/>
      <c r="D294" s="55"/>
      <c r="E294" s="55"/>
      <c r="F294" s="55"/>
      <c r="G294" s="55"/>
      <c r="H294" s="55"/>
      <c r="I294" s="55"/>
      <c r="J294" s="55"/>
      <c r="K294" s="55"/>
    </row>
    <row r="295">
      <c r="A295" s="55"/>
      <c r="B295" s="55"/>
      <c r="C295" s="55"/>
      <c r="D295" s="55"/>
      <c r="E295" s="55"/>
      <c r="F295" s="55"/>
      <c r="G295" s="55"/>
      <c r="H295" s="55"/>
      <c r="I295" s="55"/>
      <c r="J295" s="55"/>
      <c r="K295" s="55"/>
    </row>
    <row r="296">
      <c r="A296" s="55"/>
      <c r="B296" s="55"/>
      <c r="C296" s="55"/>
      <c r="D296" s="55"/>
      <c r="E296" s="55"/>
      <c r="F296" s="55"/>
      <c r="G296" s="55"/>
      <c r="H296" s="55"/>
      <c r="I296" s="55"/>
      <c r="J296" s="55"/>
      <c r="K296" s="55"/>
    </row>
    <row r="297">
      <c r="A297" s="55"/>
      <c r="B297" s="55"/>
      <c r="C297" s="55"/>
      <c r="D297" s="55"/>
      <c r="E297" s="55"/>
      <c r="F297" s="55"/>
      <c r="G297" s="55"/>
      <c r="H297" s="55"/>
      <c r="I297" s="55"/>
      <c r="J297" s="55"/>
      <c r="K297" s="55"/>
    </row>
    <row r="298">
      <c r="A298" s="55"/>
      <c r="B298" s="55"/>
      <c r="C298" s="55"/>
      <c r="D298" s="55"/>
      <c r="E298" s="55"/>
      <c r="F298" s="55"/>
      <c r="G298" s="55"/>
      <c r="H298" s="55"/>
      <c r="I298" s="55"/>
      <c r="J298" s="55"/>
      <c r="K298" s="55"/>
    </row>
    <row r="299">
      <c r="A299" s="55"/>
      <c r="B299" s="55"/>
      <c r="C299" s="55"/>
      <c r="D299" s="55"/>
      <c r="E299" s="55"/>
      <c r="F299" s="55"/>
      <c r="G299" s="55"/>
      <c r="H299" s="55"/>
      <c r="I299" s="55"/>
      <c r="J299" s="55"/>
      <c r="K299" s="55"/>
    </row>
    <row r="300">
      <c r="A300" s="55"/>
      <c r="B300" s="55"/>
      <c r="C300" s="55"/>
      <c r="D300" s="55"/>
      <c r="E300" s="55"/>
      <c r="F300" s="55"/>
      <c r="G300" s="55"/>
      <c r="H300" s="55"/>
      <c r="I300" s="55"/>
      <c r="J300" s="55"/>
      <c r="K300" s="55"/>
    </row>
    <row r="301">
      <c r="A301" s="55"/>
      <c r="B301" s="55"/>
      <c r="C301" s="55"/>
      <c r="D301" s="55"/>
      <c r="E301" s="55"/>
      <c r="F301" s="55"/>
      <c r="G301" s="55"/>
      <c r="H301" s="55"/>
      <c r="I301" s="55"/>
      <c r="J301" s="55"/>
      <c r="K301" s="55"/>
    </row>
    <row r="302">
      <c r="A302" s="55"/>
      <c r="B302" s="55"/>
      <c r="C302" s="55"/>
      <c r="D302" s="55"/>
      <c r="E302" s="55"/>
      <c r="F302" s="55"/>
      <c r="G302" s="55"/>
      <c r="H302" s="55"/>
      <c r="I302" s="55"/>
      <c r="J302" s="55"/>
      <c r="K302" s="55"/>
    </row>
    <row r="303">
      <c r="A303" s="55"/>
      <c r="B303" s="55"/>
      <c r="C303" s="55"/>
      <c r="D303" s="55"/>
      <c r="E303" s="55"/>
      <c r="F303" s="55"/>
      <c r="G303" s="55"/>
      <c r="H303" s="55"/>
      <c r="I303" s="55"/>
      <c r="J303" s="55"/>
      <c r="K303" s="55"/>
    </row>
    <row r="304">
      <c r="A304" s="55"/>
      <c r="B304" s="55"/>
      <c r="C304" s="55"/>
      <c r="D304" s="55"/>
      <c r="E304" s="55"/>
      <c r="F304" s="55"/>
      <c r="G304" s="55"/>
      <c r="H304" s="55"/>
      <c r="I304" s="55"/>
      <c r="J304" s="55"/>
      <c r="K304" s="55"/>
    </row>
    <row r="305">
      <c r="A305" s="55"/>
      <c r="B305" s="55"/>
      <c r="C305" s="55"/>
      <c r="D305" s="55"/>
      <c r="E305" s="55"/>
      <c r="F305" s="55"/>
      <c r="G305" s="55"/>
      <c r="H305" s="55"/>
      <c r="I305" s="55"/>
      <c r="J305" s="55"/>
      <c r="K305" s="55"/>
    </row>
    <row r="306">
      <c r="A306" s="55"/>
      <c r="B306" s="55"/>
      <c r="C306" s="55"/>
      <c r="D306" s="55"/>
      <c r="E306" s="55"/>
      <c r="F306" s="55"/>
      <c r="G306" s="55"/>
      <c r="H306" s="55"/>
      <c r="I306" s="55"/>
      <c r="J306" s="55"/>
      <c r="K306" s="55"/>
    </row>
    <row r="307">
      <c r="A307" s="55"/>
      <c r="B307" s="55"/>
      <c r="C307" s="55"/>
      <c r="D307" s="55"/>
      <c r="E307" s="55"/>
      <c r="F307" s="55"/>
      <c r="G307" s="55"/>
      <c r="H307" s="55"/>
      <c r="I307" s="55"/>
      <c r="J307" s="55"/>
      <c r="K307" s="55"/>
    </row>
    <row r="308">
      <c r="A308" s="55"/>
      <c r="B308" s="55"/>
      <c r="C308" s="55"/>
      <c r="D308" s="55"/>
      <c r="E308" s="55"/>
      <c r="F308" s="55"/>
      <c r="G308" s="55"/>
      <c r="H308" s="55"/>
      <c r="I308" s="55"/>
      <c r="J308" s="55"/>
      <c r="K308" s="55"/>
    </row>
    <row r="309">
      <c r="A309" s="55"/>
      <c r="B309" s="55"/>
      <c r="C309" s="55"/>
      <c r="D309" s="55"/>
      <c r="E309" s="55"/>
      <c r="F309" s="55"/>
      <c r="G309" s="55"/>
      <c r="H309" s="55"/>
      <c r="I309" s="55"/>
      <c r="J309" s="55"/>
      <c r="K309" s="55"/>
    </row>
    <row r="310">
      <c r="A310" s="55"/>
      <c r="B310" s="55"/>
      <c r="C310" s="55"/>
      <c r="D310" s="55"/>
      <c r="E310" s="55"/>
      <c r="F310" s="55"/>
      <c r="G310" s="55"/>
      <c r="H310" s="55"/>
      <c r="I310" s="55"/>
      <c r="J310" s="55"/>
      <c r="K310" s="55"/>
    </row>
    <row r="311">
      <c r="A311" s="55"/>
      <c r="B311" s="55"/>
      <c r="C311" s="55"/>
      <c r="D311" s="55"/>
      <c r="E311" s="55"/>
      <c r="F311" s="55"/>
      <c r="G311" s="55"/>
      <c r="H311" s="55"/>
      <c r="I311" s="55"/>
      <c r="J311" s="55"/>
      <c r="K311" s="55"/>
    </row>
    <row r="312">
      <c r="A312" s="55"/>
      <c r="B312" s="55"/>
      <c r="C312" s="55"/>
      <c r="D312" s="55"/>
      <c r="E312" s="55"/>
      <c r="F312" s="55"/>
      <c r="G312" s="55"/>
      <c r="H312" s="55"/>
      <c r="I312" s="55"/>
      <c r="J312" s="55"/>
      <c r="K312" s="55"/>
    </row>
    <row r="313">
      <c r="A313" s="55"/>
      <c r="B313" s="55"/>
      <c r="C313" s="55"/>
      <c r="D313" s="55"/>
      <c r="E313" s="55"/>
      <c r="F313" s="55"/>
      <c r="G313" s="55"/>
      <c r="H313" s="55"/>
      <c r="I313" s="55"/>
      <c r="J313" s="55"/>
      <c r="K313" s="55"/>
    </row>
    <row r="314">
      <c r="A314" s="55"/>
      <c r="B314" s="55"/>
      <c r="C314" s="55"/>
      <c r="D314" s="55"/>
      <c r="E314" s="55"/>
      <c r="F314" s="55"/>
      <c r="G314" s="55"/>
      <c r="H314" s="55"/>
      <c r="I314" s="55"/>
      <c r="J314" s="55"/>
      <c r="K314" s="55"/>
    </row>
    <row r="315">
      <c r="A315" s="55"/>
      <c r="B315" s="55"/>
      <c r="C315" s="55"/>
      <c r="D315" s="55"/>
      <c r="E315" s="55"/>
      <c r="F315" s="55"/>
      <c r="G315" s="55"/>
      <c r="H315" s="55"/>
      <c r="I315" s="55"/>
      <c r="J315" s="55"/>
      <c r="K315" s="55"/>
    </row>
    <row r="316">
      <c r="A316" s="55"/>
      <c r="B316" s="55"/>
      <c r="C316" s="55"/>
      <c r="D316" s="55"/>
      <c r="E316" s="55"/>
      <c r="F316" s="55"/>
      <c r="G316" s="55"/>
      <c r="H316" s="55"/>
      <c r="I316" s="55"/>
      <c r="J316" s="55"/>
      <c r="K316" s="55"/>
    </row>
    <row r="317">
      <c r="A317" s="55"/>
      <c r="B317" s="55"/>
      <c r="C317" s="55"/>
      <c r="D317" s="55"/>
      <c r="E317" s="55"/>
      <c r="F317" s="55"/>
      <c r="G317" s="55"/>
      <c r="H317" s="55"/>
      <c r="I317" s="55"/>
      <c r="J317" s="55"/>
      <c r="K317" s="55"/>
    </row>
    <row r="318">
      <c r="A318" s="55"/>
      <c r="B318" s="55"/>
      <c r="C318" s="55"/>
      <c r="D318" s="55"/>
      <c r="E318" s="55"/>
      <c r="F318" s="55"/>
      <c r="G318" s="55"/>
      <c r="H318" s="55"/>
      <c r="I318" s="55"/>
      <c r="J318" s="55"/>
      <c r="K318" s="55"/>
    </row>
    <row r="319">
      <c r="A319" s="55"/>
      <c r="B319" s="55"/>
      <c r="C319" s="55"/>
      <c r="D319" s="55"/>
      <c r="E319" s="55"/>
      <c r="F319" s="55"/>
      <c r="G319" s="55"/>
      <c r="H319" s="55"/>
      <c r="I319" s="55"/>
      <c r="J319" s="55"/>
      <c r="K319" s="55"/>
    </row>
    <row r="320">
      <c r="A320" s="55"/>
      <c r="B320" s="55"/>
      <c r="C320" s="55"/>
      <c r="D320" s="55"/>
      <c r="E320" s="55"/>
      <c r="F320" s="55"/>
      <c r="G320" s="55"/>
      <c r="H320" s="55"/>
      <c r="I320" s="55"/>
      <c r="J320" s="55"/>
      <c r="K320" s="55"/>
    </row>
    <row r="321">
      <c r="A321" s="55"/>
      <c r="B321" s="55"/>
      <c r="C321" s="55"/>
      <c r="D321" s="55"/>
      <c r="E321" s="55"/>
      <c r="F321" s="55"/>
      <c r="G321" s="55"/>
      <c r="H321" s="55"/>
      <c r="I321" s="55"/>
      <c r="J321" s="55"/>
      <c r="K321" s="55"/>
    </row>
    <row r="322">
      <c r="A322" s="55"/>
      <c r="B322" s="55"/>
      <c r="C322" s="55"/>
      <c r="D322" s="55"/>
      <c r="E322" s="55"/>
      <c r="F322" s="55"/>
      <c r="G322" s="55"/>
      <c r="H322" s="55"/>
      <c r="I322" s="55"/>
      <c r="J322" s="55"/>
      <c r="K322" s="55"/>
    </row>
    <row r="323">
      <c r="A323" s="55"/>
      <c r="B323" s="55"/>
      <c r="C323" s="55"/>
      <c r="D323" s="55"/>
      <c r="E323" s="55"/>
      <c r="F323" s="55"/>
      <c r="G323" s="55"/>
      <c r="H323" s="55"/>
      <c r="I323" s="55"/>
      <c r="J323" s="55"/>
      <c r="K323" s="55"/>
    </row>
    <row r="324">
      <c r="A324" s="55"/>
      <c r="B324" s="55"/>
      <c r="C324" s="55"/>
      <c r="D324" s="55"/>
      <c r="E324" s="55"/>
      <c r="F324" s="55"/>
      <c r="G324" s="55"/>
      <c r="H324" s="55"/>
      <c r="I324" s="55"/>
      <c r="J324" s="55"/>
      <c r="K324" s="55"/>
    </row>
    <row r="325">
      <c r="A325" s="55"/>
      <c r="B325" s="55"/>
      <c r="C325" s="55"/>
      <c r="D325" s="55"/>
      <c r="E325" s="55"/>
      <c r="F325" s="55"/>
      <c r="G325" s="55"/>
      <c r="H325" s="55"/>
      <c r="I325" s="55"/>
      <c r="J325" s="55"/>
      <c r="K325" s="55"/>
    </row>
    <row r="326">
      <c r="A326" s="55"/>
      <c r="B326" s="55"/>
      <c r="C326" s="55"/>
      <c r="D326" s="55"/>
      <c r="E326" s="55"/>
      <c r="F326" s="55"/>
      <c r="G326" s="55"/>
      <c r="H326" s="55"/>
      <c r="I326" s="55"/>
      <c r="J326" s="55"/>
      <c r="K326" s="55"/>
    </row>
    <row r="327">
      <c r="A327" s="55"/>
      <c r="B327" s="55"/>
      <c r="C327" s="55"/>
      <c r="D327" s="55"/>
      <c r="E327" s="55"/>
      <c r="F327" s="55"/>
      <c r="G327" s="55"/>
      <c r="H327" s="55"/>
      <c r="I327" s="55"/>
      <c r="J327" s="55"/>
      <c r="K327" s="55"/>
    </row>
    <row r="328">
      <c r="A328" s="55"/>
      <c r="B328" s="55"/>
      <c r="C328" s="55"/>
      <c r="D328" s="55"/>
      <c r="E328" s="55"/>
      <c r="F328" s="55"/>
      <c r="G328" s="55"/>
      <c r="H328" s="55"/>
      <c r="I328" s="55"/>
      <c r="J328" s="55"/>
      <c r="K328" s="55"/>
    </row>
    <row r="329">
      <c r="A329" s="55"/>
      <c r="B329" s="55"/>
      <c r="C329" s="55"/>
      <c r="D329" s="55"/>
      <c r="E329" s="55"/>
      <c r="F329" s="55"/>
      <c r="G329" s="55"/>
      <c r="H329" s="55"/>
      <c r="I329" s="55"/>
      <c r="J329" s="55"/>
      <c r="K329" s="55"/>
    </row>
    <row r="330">
      <c r="A330" s="55"/>
      <c r="B330" s="55"/>
      <c r="C330" s="55"/>
      <c r="D330" s="55"/>
      <c r="E330" s="55"/>
      <c r="F330" s="55"/>
      <c r="G330" s="55"/>
      <c r="H330" s="55"/>
      <c r="I330" s="55"/>
      <c r="J330" s="55"/>
      <c r="K330" s="55"/>
    </row>
    <row r="331">
      <c r="A331" s="55"/>
      <c r="B331" s="55"/>
      <c r="C331" s="55"/>
      <c r="D331" s="55"/>
      <c r="E331" s="55"/>
      <c r="F331" s="55"/>
      <c r="G331" s="55"/>
      <c r="H331" s="55"/>
      <c r="I331" s="55"/>
      <c r="J331" s="55"/>
      <c r="K331" s="55"/>
    </row>
    <row r="332">
      <c r="A332" s="55"/>
      <c r="B332" s="55"/>
      <c r="C332" s="55"/>
      <c r="D332" s="55"/>
      <c r="E332" s="55"/>
      <c r="F332" s="55"/>
      <c r="G332" s="55"/>
      <c r="H332" s="55"/>
      <c r="I332" s="55"/>
      <c r="J332" s="55"/>
      <c r="K332" s="55"/>
    </row>
    <row r="333">
      <c r="A333" s="55"/>
      <c r="B333" s="55"/>
      <c r="C333" s="55"/>
      <c r="D333" s="55"/>
      <c r="E333" s="55"/>
      <c r="F333" s="55"/>
      <c r="G333" s="55"/>
      <c r="H333" s="55"/>
      <c r="I333" s="55"/>
      <c r="J333" s="55"/>
      <c r="K333" s="55"/>
    </row>
    <row r="334">
      <c r="A334" s="55"/>
      <c r="B334" s="55"/>
      <c r="C334" s="55"/>
      <c r="D334" s="55"/>
      <c r="E334" s="55"/>
      <c r="F334" s="55"/>
      <c r="G334" s="55"/>
      <c r="H334" s="55"/>
      <c r="I334" s="55"/>
      <c r="J334" s="55"/>
      <c r="K334" s="55"/>
    </row>
    <row r="335">
      <c r="A335" s="55"/>
      <c r="B335" s="55"/>
      <c r="C335" s="55"/>
      <c r="D335" s="55"/>
      <c r="E335" s="55"/>
      <c r="F335" s="55"/>
      <c r="G335" s="55"/>
      <c r="H335" s="55"/>
      <c r="I335" s="55"/>
      <c r="J335" s="55"/>
      <c r="K335" s="55"/>
    </row>
    <row r="336">
      <c r="A336" s="55"/>
      <c r="B336" s="55"/>
      <c r="C336" s="55"/>
      <c r="D336" s="55"/>
      <c r="E336" s="55"/>
      <c r="F336" s="55"/>
      <c r="G336" s="55"/>
      <c r="H336" s="55"/>
      <c r="I336" s="55"/>
      <c r="J336" s="55"/>
      <c r="K336" s="55"/>
    </row>
    <row r="337">
      <c r="A337" s="55"/>
      <c r="B337" s="55"/>
      <c r="C337" s="55"/>
      <c r="D337" s="55"/>
      <c r="E337" s="55"/>
      <c r="F337" s="55"/>
      <c r="G337" s="55"/>
      <c r="H337" s="55"/>
      <c r="I337" s="55"/>
      <c r="J337" s="55"/>
      <c r="K337" s="55"/>
    </row>
    <row r="338">
      <c r="A338" s="55"/>
      <c r="B338" s="55"/>
      <c r="C338" s="55"/>
      <c r="D338" s="55"/>
      <c r="E338" s="55"/>
      <c r="F338" s="55"/>
      <c r="G338" s="55"/>
      <c r="H338" s="55"/>
      <c r="I338" s="55"/>
      <c r="J338" s="55"/>
      <c r="K338" s="55"/>
    </row>
    <row r="339">
      <c r="A339" s="55"/>
      <c r="B339" s="55"/>
      <c r="C339" s="55"/>
      <c r="D339" s="55"/>
      <c r="E339" s="55"/>
      <c r="F339" s="55"/>
      <c r="G339" s="55"/>
      <c r="H339" s="55"/>
      <c r="I339" s="55"/>
      <c r="J339" s="55"/>
      <c r="K339" s="55"/>
    </row>
    <row r="340">
      <c r="A340" s="55"/>
      <c r="B340" s="55"/>
      <c r="C340" s="55"/>
      <c r="D340" s="55"/>
      <c r="E340" s="55"/>
      <c r="F340" s="55"/>
      <c r="G340" s="55"/>
      <c r="H340" s="55"/>
      <c r="I340" s="55"/>
      <c r="J340" s="55"/>
      <c r="K340" s="55"/>
    </row>
    <row r="341">
      <c r="A341" s="55"/>
      <c r="B341" s="55"/>
      <c r="C341" s="55"/>
      <c r="D341" s="55"/>
      <c r="E341" s="55"/>
      <c r="F341" s="55"/>
      <c r="G341" s="55"/>
      <c r="H341" s="55"/>
      <c r="I341" s="55"/>
      <c r="J341" s="55"/>
      <c r="K341" s="55"/>
    </row>
    <row r="342">
      <c r="A342" s="55"/>
      <c r="B342" s="55"/>
      <c r="C342" s="55"/>
      <c r="D342" s="55"/>
      <c r="E342" s="55"/>
      <c r="F342" s="55"/>
      <c r="G342" s="55"/>
      <c r="H342" s="55"/>
      <c r="I342" s="55"/>
      <c r="J342" s="55"/>
      <c r="K342" s="55"/>
    </row>
    <row r="343">
      <c r="A343" s="55"/>
      <c r="B343" s="55"/>
      <c r="C343" s="55"/>
      <c r="D343" s="55"/>
      <c r="E343" s="55"/>
      <c r="F343" s="55"/>
      <c r="G343" s="55"/>
      <c r="H343" s="55"/>
      <c r="I343" s="55"/>
      <c r="J343" s="55"/>
      <c r="K343" s="55"/>
    </row>
    <row r="344">
      <c r="A344" s="55"/>
      <c r="B344" s="55"/>
      <c r="C344" s="55"/>
      <c r="D344" s="55"/>
      <c r="E344" s="55"/>
      <c r="F344" s="55"/>
      <c r="G344" s="55"/>
      <c r="H344" s="55"/>
      <c r="I344" s="55"/>
      <c r="J344" s="55"/>
      <c r="K344" s="55"/>
    </row>
    <row r="345">
      <c r="A345" s="55"/>
      <c r="B345" s="55"/>
      <c r="C345" s="55"/>
      <c r="D345" s="55"/>
      <c r="E345" s="55"/>
      <c r="F345" s="55"/>
      <c r="G345" s="55"/>
      <c r="H345" s="55"/>
      <c r="I345" s="55"/>
      <c r="J345" s="55"/>
      <c r="K345" s="55"/>
    </row>
    <row r="346">
      <c r="A346" s="55"/>
      <c r="B346" s="55"/>
      <c r="C346" s="55"/>
      <c r="D346" s="55"/>
      <c r="E346" s="55"/>
      <c r="F346" s="55"/>
      <c r="G346" s="55"/>
      <c r="H346" s="55"/>
      <c r="I346" s="55"/>
      <c r="J346" s="55"/>
      <c r="K346" s="55"/>
    </row>
    <row r="347">
      <c r="A347" s="55"/>
      <c r="B347" s="55"/>
      <c r="C347" s="55"/>
      <c r="D347" s="55"/>
      <c r="E347" s="55"/>
      <c r="F347" s="55"/>
      <c r="G347" s="55"/>
      <c r="H347" s="55"/>
      <c r="I347" s="55"/>
      <c r="J347" s="55"/>
      <c r="K347" s="55"/>
    </row>
    <row r="348">
      <c r="A348" s="55"/>
      <c r="B348" s="55"/>
      <c r="C348" s="55"/>
      <c r="D348" s="55"/>
      <c r="E348" s="55"/>
      <c r="F348" s="55"/>
      <c r="G348" s="55"/>
      <c r="H348" s="55"/>
      <c r="I348" s="55"/>
      <c r="J348" s="55"/>
      <c r="K348" s="55"/>
    </row>
    <row r="349">
      <c r="A349" s="55"/>
      <c r="B349" s="55"/>
      <c r="C349" s="55"/>
      <c r="D349" s="55"/>
      <c r="E349" s="55"/>
      <c r="F349" s="55"/>
      <c r="G349" s="55"/>
      <c r="H349" s="55"/>
      <c r="I349" s="55"/>
      <c r="J349" s="55"/>
      <c r="K349" s="55"/>
    </row>
    <row r="350">
      <c r="A350" s="55"/>
      <c r="B350" s="55"/>
      <c r="C350" s="55"/>
      <c r="D350" s="55"/>
      <c r="E350" s="55"/>
      <c r="F350" s="55"/>
      <c r="G350" s="55"/>
      <c r="H350" s="55"/>
      <c r="I350" s="55"/>
      <c r="J350" s="55"/>
      <c r="K350" s="55"/>
    </row>
    <row r="351">
      <c r="A351" s="55"/>
      <c r="B351" s="55"/>
      <c r="C351" s="55"/>
      <c r="D351" s="55"/>
      <c r="E351" s="55"/>
      <c r="F351" s="55"/>
      <c r="G351" s="55"/>
      <c r="H351" s="55"/>
      <c r="I351" s="55"/>
      <c r="J351" s="55"/>
      <c r="K351" s="55"/>
    </row>
    <row r="352">
      <c r="A352" s="55"/>
      <c r="B352" s="55"/>
      <c r="C352" s="55"/>
      <c r="D352" s="55"/>
      <c r="E352" s="55"/>
      <c r="F352" s="55"/>
      <c r="G352" s="55"/>
      <c r="H352" s="55"/>
      <c r="I352" s="55"/>
      <c r="J352" s="55"/>
      <c r="K352" s="55"/>
    </row>
    <row r="353">
      <c r="A353" s="55"/>
      <c r="B353" s="55"/>
      <c r="C353" s="55"/>
      <c r="D353" s="55"/>
      <c r="E353" s="55"/>
      <c r="F353" s="55"/>
      <c r="G353" s="55"/>
      <c r="H353" s="55"/>
      <c r="I353" s="55"/>
      <c r="J353" s="55"/>
      <c r="K353" s="55"/>
    </row>
    <row r="354">
      <c r="A354" s="55"/>
      <c r="B354" s="55"/>
      <c r="C354" s="55"/>
      <c r="D354" s="55"/>
      <c r="E354" s="55"/>
      <c r="F354" s="55"/>
      <c r="G354" s="55"/>
      <c r="H354" s="55"/>
      <c r="I354" s="55"/>
      <c r="J354" s="55"/>
      <c r="K354" s="55"/>
    </row>
    <row r="355">
      <c r="A355" s="55"/>
      <c r="B355" s="55"/>
      <c r="C355" s="55"/>
      <c r="D355" s="55"/>
      <c r="E355" s="55"/>
      <c r="F355" s="55"/>
      <c r="G355" s="55"/>
      <c r="H355" s="55"/>
      <c r="I355" s="55"/>
      <c r="J355" s="55"/>
      <c r="K355" s="55"/>
    </row>
    <row r="356">
      <c r="A356" s="55"/>
      <c r="B356" s="55"/>
      <c r="C356" s="55"/>
      <c r="D356" s="55"/>
      <c r="E356" s="55"/>
      <c r="F356" s="55"/>
      <c r="G356" s="55"/>
      <c r="H356" s="55"/>
      <c r="I356" s="55"/>
      <c r="J356" s="55"/>
      <c r="K356" s="55"/>
    </row>
    <row r="357">
      <c r="A357" s="55"/>
      <c r="B357" s="55"/>
      <c r="C357" s="55"/>
      <c r="D357" s="55"/>
      <c r="E357" s="55"/>
      <c r="F357" s="55"/>
      <c r="G357" s="55"/>
      <c r="H357" s="55"/>
      <c r="I357" s="55"/>
      <c r="J357" s="55"/>
      <c r="K357" s="55"/>
    </row>
    <row r="358">
      <c r="A358" s="55"/>
      <c r="B358" s="55"/>
      <c r="C358" s="55"/>
      <c r="D358" s="55"/>
      <c r="E358" s="55"/>
      <c r="F358" s="55"/>
      <c r="G358" s="55"/>
      <c r="H358" s="55"/>
      <c r="I358" s="55"/>
      <c r="J358" s="55"/>
      <c r="K358" s="55"/>
    </row>
    <row r="359">
      <c r="A359" s="55"/>
      <c r="B359" s="55"/>
      <c r="C359" s="55"/>
      <c r="D359" s="55"/>
      <c r="E359" s="55"/>
      <c r="F359" s="55"/>
      <c r="G359" s="55"/>
      <c r="H359" s="55"/>
      <c r="I359" s="55"/>
      <c r="J359" s="55"/>
      <c r="K359" s="55"/>
    </row>
    <row r="360">
      <c r="A360" s="55"/>
      <c r="B360" s="55"/>
      <c r="C360" s="55"/>
      <c r="D360" s="55"/>
      <c r="E360" s="55"/>
      <c r="F360" s="55"/>
      <c r="G360" s="55"/>
      <c r="H360" s="55"/>
      <c r="I360" s="55"/>
      <c r="J360" s="55"/>
      <c r="K360" s="55"/>
    </row>
    <row r="361">
      <c r="A361" s="55"/>
      <c r="B361" s="55"/>
      <c r="C361" s="55"/>
      <c r="D361" s="55"/>
      <c r="E361" s="55"/>
      <c r="F361" s="55"/>
      <c r="G361" s="55"/>
      <c r="H361" s="55"/>
      <c r="I361" s="55"/>
      <c r="J361" s="55"/>
      <c r="K361" s="55"/>
    </row>
    <row r="362">
      <c r="A362" s="55"/>
      <c r="B362" s="55"/>
      <c r="C362" s="55"/>
      <c r="D362" s="55"/>
      <c r="E362" s="55"/>
      <c r="F362" s="55"/>
      <c r="G362" s="55"/>
      <c r="H362" s="55"/>
      <c r="I362" s="55"/>
      <c r="J362" s="55"/>
      <c r="K362" s="55"/>
    </row>
    <row r="363">
      <c r="A363" s="55"/>
      <c r="B363" s="55"/>
      <c r="C363" s="55"/>
      <c r="D363" s="55"/>
      <c r="E363" s="55"/>
      <c r="F363" s="55"/>
      <c r="G363" s="55"/>
      <c r="H363" s="55"/>
      <c r="I363" s="55"/>
      <c r="J363" s="55"/>
      <c r="K363" s="55"/>
    </row>
    <row r="364">
      <c r="A364" s="55"/>
      <c r="B364" s="55"/>
      <c r="C364" s="55"/>
      <c r="D364" s="55"/>
      <c r="E364" s="55"/>
      <c r="F364" s="55"/>
      <c r="G364" s="55"/>
      <c r="H364" s="55"/>
      <c r="I364" s="55"/>
      <c r="J364" s="55"/>
      <c r="K364" s="55"/>
    </row>
    <row r="365">
      <c r="A365" s="55"/>
      <c r="B365" s="55"/>
      <c r="C365" s="55"/>
      <c r="D365" s="55"/>
      <c r="E365" s="55"/>
      <c r="F365" s="55"/>
      <c r="G365" s="55"/>
      <c r="H365" s="55"/>
      <c r="I365" s="55"/>
      <c r="J365" s="55"/>
      <c r="K365" s="55"/>
    </row>
    <row r="366">
      <c r="A366" s="55"/>
      <c r="B366" s="55"/>
      <c r="C366" s="55"/>
      <c r="D366" s="55"/>
      <c r="E366" s="55"/>
      <c r="F366" s="55"/>
      <c r="G366" s="55"/>
      <c r="H366" s="55"/>
      <c r="I366" s="55"/>
      <c r="J366" s="55"/>
      <c r="K366" s="55"/>
    </row>
    <row r="367">
      <c r="A367" s="55"/>
      <c r="B367" s="55"/>
      <c r="C367" s="55"/>
      <c r="D367" s="55"/>
      <c r="E367" s="55"/>
      <c r="F367" s="55"/>
      <c r="G367" s="55"/>
      <c r="H367" s="55"/>
      <c r="I367" s="55"/>
      <c r="J367" s="55"/>
      <c r="K367" s="55"/>
    </row>
    <row r="368">
      <c r="A368" s="55"/>
      <c r="B368" s="55"/>
      <c r="C368" s="55"/>
      <c r="D368" s="55"/>
      <c r="E368" s="55"/>
      <c r="F368" s="55"/>
      <c r="G368" s="55"/>
      <c r="H368" s="55"/>
      <c r="I368" s="55"/>
      <c r="J368" s="55"/>
      <c r="K368" s="55"/>
    </row>
    <row r="369">
      <c r="A369" s="55"/>
      <c r="B369" s="55"/>
      <c r="C369" s="55"/>
      <c r="D369" s="55"/>
      <c r="E369" s="55"/>
      <c r="F369" s="55"/>
      <c r="G369" s="55"/>
      <c r="H369" s="55"/>
      <c r="I369" s="55"/>
      <c r="J369" s="55"/>
      <c r="K369" s="55"/>
    </row>
    <row r="370">
      <c r="A370" s="55"/>
      <c r="B370" s="55"/>
      <c r="C370" s="55"/>
      <c r="D370" s="55"/>
      <c r="E370" s="55"/>
      <c r="F370" s="55"/>
      <c r="G370" s="55"/>
      <c r="H370" s="55"/>
      <c r="I370" s="55"/>
      <c r="J370" s="55"/>
      <c r="K370" s="55"/>
    </row>
    <row r="371">
      <c r="A371" s="55"/>
      <c r="B371" s="55"/>
      <c r="C371" s="55"/>
      <c r="D371" s="55"/>
      <c r="E371" s="55"/>
      <c r="F371" s="55"/>
      <c r="G371" s="55"/>
      <c r="H371" s="55"/>
      <c r="I371" s="55"/>
      <c r="J371" s="55"/>
      <c r="K371" s="55"/>
    </row>
    <row r="372">
      <c r="A372" s="55"/>
      <c r="B372" s="55"/>
      <c r="C372" s="55"/>
      <c r="D372" s="55"/>
      <c r="E372" s="55"/>
      <c r="F372" s="55"/>
      <c r="G372" s="55"/>
      <c r="H372" s="55"/>
      <c r="I372" s="55"/>
      <c r="J372" s="55"/>
      <c r="K372" s="55"/>
    </row>
    <row r="373">
      <c r="A373" s="55"/>
      <c r="B373" s="55"/>
      <c r="C373" s="55"/>
      <c r="D373" s="55"/>
      <c r="E373" s="55"/>
      <c r="F373" s="55"/>
      <c r="G373" s="55"/>
      <c r="H373" s="55"/>
      <c r="I373" s="55"/>
      <c r="J373" s="55"/>
      <c r="K373" s="55"/>
    </row>
    <row r="374">
      <c r="A374" s="55"/>
      <c r="B374" s="55"/>
      <c r="C374" s="55"/>
      <c r="D374" s="55"/>
      <c r="E374" s="55"/>
      <c r="F374" s="55"/>
      <c r="G374" s="55"/>
      <c r="H374" s="55"/>
      <c r="I374" s="55"/>
      <c r="J374" s="55"/>
      <c r="K374" s="55"/>
    </row>
    <row r="375">
      <c r="A375" s="55"/>
      <c r="B375" s="55"/>
      <c r="C375" s="55"/>
      <c r="D375" s="55"/>
      <c r="E375" s="55"/>
      <c r="F375" s="55"/>
      <c r="G375" s="55"/>
      <c r="H375" s="55"/>
      <c r="I375" s="55"/>
      <c r="J375" s="55"/>
      <c r="K375" s="55"/>
    </row>
    <row r="376">
      <c r="A376" s="55"/>
      <c r="B376" s="55"/>
      <c r="C376" s="55"/>
      <c r="D376" s="55"/>
      <c r="E376" s="55"/>
      <c r="F376" s="55"/>
      <c r="G376" s="55"/>
      <c r="H376" s="55"/>
      <c r="I376" s="55"/>
      <c r="J376" s="55"/>
      <c r="K376" s="55"/>
    </row>
    <row r="377">
      <c r="A377" s="55"/>
      <c r="B377" s="55"/>
      <c r="C377" s="55"/>
      <c r="D377" s="55"/>
      <c r="E377" s="55"/>
      <c r="F377" s="55"/>
      <c r="G377" s="55"/>
      <c r="H377" s="55"/>
      <c r="I377" s="55"/>
      <c r="J377" s="55"/>
      <c r="K377" s="55"/>
    </row>
    <row r="378">
      <c r="A378" s="55"/>
      <c r="B378" s="55"/>
      <c r="C378" s="55"/>
      <c r="D378" s="55"/>
      <c r="E378" s="55"/>
      <c r="F378" s="55"/>
      <c r="G378" s="55"/>
      <c r="H378" s="55"/>
      <c r="I378" s="55"/>
      <c r="J378" s="55"/>
      <c r="K378" s="55"/>
    </row>
    <row r="379">
      <c r="A379" s="55"/>
      <c r="B379" s="55"/>
      <c r="C379" s="55"/>
      <c r="D379" s="55"/>
      <c r="E379" s="55"/>
      <c r="F379" s="55"/>
      <c r="G379" s="55"/>
      <c r="H379" s="55"/>
      <c r="I379" s="55"/>
      <c r="J379" s="55"/>
      <c r="K379" s="55"/>
    </row>
    <row r="380">
      <c r="A380" s="55"/>
      <c r="B380" s="55"/>
      <c r="C380" s="55"/>
      <c r="D380" s="55"/>
      <c r="E380" s="55"/>
      <c r="F380" s="55"/>
      <c r="G380" s="55"/>
      <c r="H380" s="55"/>
      <c r="I380" s="55"/>
      <c r="J380" s="55"/>
      <c r="K380" s="55"/>
    </row>
    <row r="381">
      <c r="A381" s="55"/>
      <c r="B381" s="55"/>
      <c r="C381" s="55"/>
      <c r="D381" s="55"/>
      <c r="E381" s="55"/>
      <c r="F381" s="55"/>
      <c r="G381" s="55"/>
      <c r="H381" s="55"/>
      <c r="I381" s="55"/>
      <c r="J381" s="55"/>
      <c r="K381" s="55"/>
    </row>
    <row r="382">
      <c r="A382" s="55"/>
      <c r="B382" s="55"/>
      <c r="C382" s="55"/>
      <c r="D382" s="55"/>
      <c r="E382" s="55"/>
      <c r="F382" s="55"/>
      <c r="G382" s="55"/>
      <c r="H382" s="55"/>
      <c r="I382" s="55"/>
      <c r="J382" s="55"/>
      <c r="K382" s="55"/>
    </row>
    <row r="383">
      <c r="A383" s="55"/>
      <c r="B383" s="55"/>
      <c r="C383" s="55"/>
      <c r="D383" s="55"/>
      <c r="E383" s="55"/>
      <c r="F383" s="55"/>
      <c r="G383" s="55"/>
      <c r="H383" s="55"/>
      <c r="I383" s="55"/>
      <c r="J383" s="55"/>
      <c r="K383" s="55"/>
    </row>
    <row r="384">
      <c r="A384" s="55"/>
      <c r="B384" s="55"/>
      <c r="C384" s="55"/>
      <c r="D384" s="55"/>
      <c r="E384" s="55"/>
      <c r="F384" s="55"/>
      <c r="G384" s="55"/>
      <c r="H384" s="55"/>
      <c r="I384" s="55"/>
      <c r="J384" s="55"/>
      <c r="K384" s="55"/>
    </row>
    <row r="385">
      <c r="A385" s="55"/>
      <c r="B385" s="55"/>
      <c r="C385" s="55"/>
      <c r="D385" s="55"/>
      <c r="E385" s="55"/>
      <c r="F385" s="55"/>
      <c r="G385" s="55"/>
      <c r="H385" s="55"/>
      <c r="I385" s="55"/>
      <c r="J385" s="55"/>
      <c r="K385" s="55"/>
    </row>
    <row r="386">
      <c r="A386" s="55"/>
      <c r="B386" s="55"/>
      <c r="C386" s="55"/>
      <c r="D386" s="55"/>
      <c r="E386" s="55"/>
      <c r="F386" s="55"/>
      <c r="G386" s="55"/>
      <c r="H386" s="55"/>
      <c r="I386" s="55"/>
      <c r="J386" s="55"/>
      <c r="K386" s="55"/>
    </row>
    <row r="387">
      <c r="A387" s="55"/>
      <c r="B387" s="55"/>
      <c r="C387" s="55"/>
      <c r="D387" s="55"/>
      <c r="E387" s="55"/>
      <c r="F387" s="55"/>
      <c r="G387" s="55"/>
      <c r="H387" s="55"/>
      <c r="I387" s="55"/>
      <c r="J387" s="55"/>
      <c r="K387" s="55"/>
    </row>
    <row r="388">
      <c r="A388" s="55"/>
      <c r="B388" s="55"/>
      <c r="C388" s="55"/>
      <c r="D388" s="55"/>
      <c r="E388" s="55"/>
      <c r="F388" s="55"/>
      <c r="G388" s="55"/>
      <c r="H388" s="55"/>
      <c r="I388" s="55"/>
      <c r="J388" s="55"/>
      <c r="K388" s="55"/>
    </row>
    <row r="389">
      <c r="A389" s="55"/>
      <c r="B389" s="55"/>
      <c r="C389" s="55"/>
      <c r="D389" s="55"/>
      <c r="E389" s="55"/>
      <c r="F389" s="55"/>
      <c r="G389" s="55"/>
      <c r="H389" s="55"/>
      <c r="I389" s="55"/>
      <c r="J389" s="55"/>
      <c r="K389" s="55"/>
    </row>
    <row r="390">
      <c r="A390" s="55"/>
      <c r="B390" s="55"/>
      <c r="C390" s="55"/>
      <c r="D390" s="55"/>
      <c r="E390" s="55"/>
      <c r="F390" s="55"/>
      <c r="G390" s="55"/>
      <c r="H390" s="55"/>
      <c r="I390" s="55"/>
      <c r="J390" s="55"/>
      <c r="K390" s="55"/>
    </row>
    <row r="391">
      <c r="A391" s="55"/>
      <c r="B391" s="55"/>
      <c r="C391" s="55"/>
      <c r="D391" s="55"/>
      <c r="E391" s="55"/>
      <c r="F391" s="55"/>
      <c r="G391" s="55"/>
      <c r="H391" s="55"/>
      <c r="I391" s="55"/>
      <c r="J391" s="55"/>
      <c r="K391" s="55"/>
    </row>
    <row r="392">
      <c r="A392" s="55"/>
      <c r="B392" s="55"/>
      <c r="C392" s="55"/>
      <c r="D392" s="55"/>
      <c r="E392" s="55"/>
      <c r="F392" s="55"/>
      <c r="G392" s="55"/>
      <c r="H392" s="55"/>
      <c r="I392" s="55"/>
      <c r="J392" s="55"/>
      <c r="K392" s="55"/>
    </row>
    <row r="393">
      <c r="A393" s="55"/>
      <c r="B393" s="55"/>
      <c r="C393" s="55"/>
      <c r="D393" s="55"/>
      <c r="E393" s="55"/>
      <c r="F393" s="55"/>
      <c r="G393" s="55"/>
      <c r="H393" s="55"/>
      <c r="I393" s="55"/>
      <c r="J393" s="55"/>
      <c r="K393" s="55"/>
    </row>
    <row r="394">
      <c r="A394" s="55"/>
      <c r="B394" s="55"/>
      <c r="C394" s="55"/>
      <c r="D394" s="55"/>
      <c r="E394" s="55"/>
      <c r="F394" s="55"/>
      <c r="G394" s="55"/>
      <c r="H394" s="55"/>
      <c r="I394" s="55"/>
      <c r="J394" s="55"/>
      <c r="K394" s="55"/>
    </row>
    <row r="395">
      <c r="A395" s="55"/>
      <c r="B395" s="55"/>
      <c r="C395" s="55"/>
      <c r="D395" s="55"/>
      <c r="E395" s="55"/>
      <c r="F395" s="55"/>
      <c r="G395" s="55"/>
      <c r="H395" s="55"/>
      <c r="I395" s="55"/>
      <c r="J395" s="55"/>
      <c r="K395" s="55"/>
    </row>
    <row r="396">
      <c r="A396" s="55"/>
      <c r="B396" s="55"/>
      <c r="C396" s="55"/>
      <c r="D396" s="55"/>
      <c r="E396" s="55"/>
      <c r="F396" s="55"/>
      <c r="G396" s="55"/>
      <c r="H396" s="55"/>
      <c r="I396" s="55"/>
      <c r="J396" s="55"/>
      <c r="K396" s="55"/>
    </row>
    <row r="397">
      <c r="A397" s="55"/>
      <c r="B397" s="55"/>
      <c r="C397" s="55"/>
      <c r="D397" s="55"/>
      <c r="E397" s="55"/>
      <c r="F397" s="55"/>
      <c r="G397" s="55"/>
      <c r="H397" s="55"/>
      <c r="I397" s="55"/>
      <c r="J397" s="55"/>
      <c r="K397" s="55"/>
    </row>
    <row r="398">
      <c r="A398" s="55"/>
      <c r="B398" s="55"/>
      <c r="C398" s="55"/>
      <c r="D398" s="55"/>
      <c r="E398" s="55"/>
      <c r="F398" s="55"/>
      <c r="G398" s="55"/>
      <c r="H398" s="55"/>
      <c r="I398" s="55"/>
      <c r="J398" s="55"/>
      <c r="K398" s="55"/>
    </row>
    <row r="399">
      <c r="A399" s="55"/>
      <c r="B399" s="55"/>
      <c r="C399" s="55"/>
      <c r="D399" s="55"/>
      <c r="E399" s="55"/>
      <c r="F399" s="55"/>
      <c r="G399" s="55"/>
      <c r="H399" s="55"/>
      <c r="I399" s="55"/>
      <c r="J399" s="55"/>
      <c r="K399" s="55"/>
    </row>
    <row r="400">
      <c r="A400" s="55"/>
      <c r="B400" s="55"/>
      <c r="C400" s="55"/>
      <c r="D400" s="55"/>
      <c r="E400" s="55"/>
      <c r="F400" s="55"/>
      <c r="G400" s="55"/>
      <c r="H400" s="55"/>
      <c r="I400" s="55"/>
      <c r="J400" s="55"/>
      <c r="K400" s="55"/>
    </row>
    <row r="401">
      <c r="A401" s="55"/>
      <c r="B401" s="55"/>
      <c r="C401" s="55"/>
      <c r="D401" s="55"/>
      <c r="E401" s="55"/>
      <c r="F401" s="55"/>
      <c r="G401" s="55"/>
      <c r="H401" s="55"/>
      <c r="I401" s="55"/>
      <c r="J401" s="55"/>
      <c r="K401" s="55"/>
    </row>
    <row r="402">
      <c r="A402" s="55"/>
      <c r="B402" s="55"/>
      <c r="C402" s="55"/>
      <c r="D402" s="55"/>
      <c r="E402" s="55"/>
      <c r="F402" s="55"/>
      <c r="G402" s="55"/>
      <c r="H402" s="55"/>
      <c r="I402" s="55"/>
      <c r="J402" s="55"/>
      <c r="K402" s="55"/>
    </row>
    <row r="403">
      <c r="A403" s="55"/>
      <c r="B403" s="55"/>
      <c r="C403" s="55"/>
      <c r="D403" s="55"/>
      <c r="E403" s="55"/>
      <c r="F403" s="55"/>
      <c r="G403" s="55"/>
      <c r="H403" s="55"/>
      <c r="I403" s="55"/>
      <c r="J403" s="55"/>
      <c r="K403" s="55"/>
    </row>
    <row r="404">
      <c r="A404" s="55"/>
      <c r="B404" s="55"/>
      <c r="C404" s="55"/>
      <c r="D404" s="55"/>
      <c r="E404" s="55"/>
      <c r="F404" s="55"/>
      <c r="G404" s="55"/>
      <c r="H404" s="55"/>
      <c r="I404" s="55"/>
      <c r="J404" s="55"/>
      <c r="K404" s="55"/>
    </row>
    <row r="405">
      <c r="A405" s="55"/>
      <c r="B405" s="55"/>
      <c r="C405" s="55"/>
      <c r="D405" s="55"/>
      <c r="E405" s="55"/>
      <c r="F405" s="55"/>
      <c r="G405" s="55"/>
      <c r="H405" s="55"/>
      <c r="I405" s="55"/>
      <c r="J405" s="55"/>
      <c r="K405" s="55"/>
    </row>
    <row r="406">
      <c r="A406" s="55"/>
      <c r="B406" s="55"/>
      <c r="C406" s="55"/>
      <c r="D406" s="55"/>
      <c r="E406" s="55"/>
      <c r="F406" s="55"/>
      <c r="G406" s="55"/>
      <c r="H406" s="55"/>
      <c r="I406" s="55"/>
      <c r="J406" s="55"/>
      <c r="K406" s="55"/>
    </row>
    <row r="407">
      <c r="A407" s="55"/>
      <c r="B407" s="55"/>
      <c r="C407" s="55"/>
      <c r="D407" s="55"/>
      <c r="E407" s="55"/>
      <c r="F407" s="55"/>
      <c r="G407" s="55"/>
      <c r="H407" s="55"/>
      <c r="I407" s="55"/>
      <c r="J407" s="55"/>
      <c r="K407" s="55"/>
    </row>
    <row r="408">
      <c r="A408" s="55"/>
      <c r="B408" s="55"/>
      <c r="C408" s="55"/>
      <c r="D408" s="55"/>
      <c r="E408" s="55"/>
      <c r="F408" s="55"/>
      <c r="G408" s="55"/>
      <c r="H408" s="55"/>
      <c r="I408" s="55"/>
      <c r="J408" s="55"/>
      <c r="K408" s="55"/>
    </row>
    <row r="409">
      <c r="A409" s="55"/>
      <c r="B409" s="55"/>
      <c r="C409" s="55"/>
      <c r="D409" s="55"/>
      <c r="E409" s="55"/>
      <c r="F409" s="55"/>
      <c r="G409" s="55"/>
      <c r="H409" s="55"/>
      <c r="I409" s="55"/>
      <c r="J409" s="55"/>
      <c r="K409" s="55"/>
    </row>
    <row r="410">
      <c r="A410" s="55"/>
      <c r="B410" s="55"/>
      <c r="C410" s="55"/>
      <c r="D410" s="55"/>
      <c r="E410" s="55"/>
      <c r="F410" s="55"/>
      <c r="G410" s="55"/>
      <c r="H410" s="55"/>
      <c r="I410" s="55"/>
      <c r="J410" s="55"/>
      <c r="K410" s="55"/>
    </row>
    <row r="411">
      <c r="A411" s="55"/>
      <c r="B411" s="55"/>
      <c r="C411" s="55"/>
      <c r="D411" s="55"/>
      <c r="E411" s="55"/>
      <c r="F411" s="55"/>
      <c r="G411" s="55"/>
      <c r="H411" s="55"/>
      <c r="I411" s="55"/>
      <c r="J411" s="55"/>
      <c r="K411" s="55"/>
    </row>
    <row r="412">
      <c r="A412" s="55"/>
      <c r="B412" s="55"/>
      <c r="C412" s="55"/>
      <c r="D412" s="55"/>
      <c r="E412" s="55"/>
      <c r="F412" s="55"/>
      <c r="G412" s="55"/>
      <c r="H412" s="55"/>
      <c r="I412" s="55"/>
      <c r="J412" s="55"/>
      <c r="K412" s="55"/>
    </row>
    <row r="413">
      <c r="A413" s="55"/>
      <c r="B413" s="55"/>
      <c r="C413" s="55"/>
      <c r="D413" s="55"/>
      <c r="E413" s="55"/>
      <c r="F413" s="55"/>
      <c r="G413" s="55"/>
      <c r="H413" s="55"/>
      <c r="I413" s="55"/>
      <c r="J413" s="55"/>
      <c r="K413" s="55"/>
    </row>
    <row r="414">
      <c r="A414" s="55"/>
      <c r="B414" s="55"/>
      <c r="C414" s="55"/>
      <c r="D414" s="55"/>
      <c r="E414" s="55"/>
      <c r="F414" s="55"/>
      <c r="G414" s="55"/>
      <c r="H414" s="55"/>
      <c r="I414" s="55"/>
      <c r="J414" s="55"/>
      <c r="K414" s="55"/>
    </row>
    <row r="415">
      <c r="A415" s="55"/>
      <c r="B415" s="55"/>
      <c r="C415" s="55"/>
      <c r="D415" s="55"/>
      <c r="E415" s="55"/>
      <c r="F415" s="55"/>
      <c r="G415" s="55"/>
      <c r="H415" s="55"/>
      <c r="I415" s="55"/>
      <c r="J415" s="55"/>
      <c r="K415" s="55"/>
    </row>
    <row r="416">
      <c r="A416" s="55"/>
      <c r="B416" s="55"/>
      <c r="C416" s="55"/>
      <c r="D416" s="55"/>
      <c r="E416" s="55"/>
      <c r="F416" s="55"/>
      <c r="G416" s="55"/>
      <c r="H416" s="55"/>
      <c r="I416" s="55"/>
      <c r="J416" s="55"/>
      <c r="K416" s="55"/>
    </row>
    <row r="417">
      <c r="A417" s="55"/>
      <c r="B417" s="55"/>
      <c r="C417" s="55"/>
      <c r="D417" s="55"/>
      <c r="E417" s="55"/>
      <c r="F417" s="55"/>
      <c r="G417" s="55"/>
      <c r="H417" s="55"/>
      <c r="I417" s="55"/>
      <c r="J417" s="55"/>
      <c r="K417" s="55"/>
    </row>
    <row r="418">
      <c r="A418" s="55"/>
      <c r="B418" s="55"/>
      <c r="C418" s="55"/>
      <c r="D418" s="55"/>
      <c r="E418" s="55"/>
      <c r="F418" s="55"/>
      <c r="G418" s="55"/>
      <c r="H418" s="55"/>
      <c r="I418" s="55"/>
      <c r="J418" s="55"/>
      <c r="K418" s="55"/>
    </row>
    <row r="419">
      <c r="A419" s="55"/>
      <c r="B419" s="55"/>
      <c r="C419" s="55"/>
      <c r="D419" s="55"/>
      <c r="E419" s="55"/>
      <c r="F419" s="55"/>
      <c r="G419" s="55"/>
      <c r="H419" s="55"/>
      <c r="I419" s="55"/>
      <c r="J419" s="55"/>
      <c r="K419" s="55"/>
    </row>
    <row r="420">
      <c r="A420" s="55"/>
      <c r="B420" s="55"/>
      <c r="C420" s="55"/>
      <c r="D420" s="55"/>
      <c r="E420" s="55"/>
      <c r="F420" s="55"/>
      <c r="G420" s="55"/>
      <c r="H420" s="55"/>
      <c r="I420" s="55"/>
      <c r="J420" s="55"/>
      <c r="K420" s="55"/>
    </row>
    <row r="421">
      <c r="A421" s="55"/>
      <c r="B421" s="55"/>
      <c r="C421" s="55"/>
      <c r="D421" s="55"/>
      <c r="E421" s="55"/>
      <c r="F421" s="55"/>
      <c r="G421" s="55"/>
      <c r="H421" s="55"/>
      <c r="I421" s="55"/>
      <c r="J421" s="55"/>
      <c r="K421" s="55"/>
    </row>
    <row r="422">
      <c r="A422" s="55"/>
      <c r="B422" s="55"/>
      <c r="C422" s="55"/>
      <c r="D422" s="55"/>
      <c r="E422" s="55"/>
      <c r="F422" s="55"/>
      <c r="G422" s="55"/>
      <c r="H422" s="55"/>
      <c r="I422" s="55"/>
      <c r="J422" s="55"/>
      <c r="K422" s="55"/>
    </row>
    <row r="423">
      <c r="A423" s="55"/>
      <c r="B423" s="55"/>
      <c r="C423" s="55"/>
      <c r="D423" s="55"/>
      <c r="E423" s="55"/>
      <c r="F423" s="55"/>
      <c r="G423" s="55"/>
      <c r="H423" s="55"/>
      <c r="I423" s="55"/>
      <c r="J423" s="55"/>
      <c r="K423" s="55"/>
    </row>
    <row r="424">
      <c r="A424" s="55"/>
      <c r="B424" s="55"/>
      <c r="C424" s="55"/>
      <c r="D424" s="55"/>
      <c r="E424" s="55"/>
      <c r="F424" s="55"/>
      <c r="G424" s="55"/>
      <c r="H424" s="55"/>
      <c r="I424" s="55"/>
      <c r="J424" s="55"/>
      <c r="K424" s="55"/>
    </row>
    <row r="425">
      <c r="A425" s="55"/>
      <c r="B425" s="55"/>
      <c r="C425" s="55"/>
      <c r="D425" s="55"/>
      <c r="E425" s="55"/>
      <c r="F425" s="55"/>
      <c r="G425" s="55"/>
      <c r="H425" s="55"/>
      <c r="I425" s="55"/>
      <c r="J425" s="55"/>
      <c r="K425" s="55"/>
    </row>
    <row r="426">
      <c r="A426" s="55"/>
      <c r="B426" s="55"/>
      <c r="C426" s="55"/>
      <c r="D426" s="55"/>
      <c r="E426" s="55"/>
      <c r="F426" s="55"/>
      <c r="G426" s="55"/>
      <c r="H426" s="55"/>
      <c r="I426" s="55"/>
      <c r="J426" s="55"/>
      <c r="K426" s="55"/>
    </row>
    <row r="427">
      <c r="A427" s="55"/>
      <c r="B427" s="55"/>
      <c r="C427" s="55"/>
      <c r="D427" s="55"/>
      <c r="E427" s="55"/>
      <c r="F427" s="55"/>
      <c r="G427" s="55"/>
      <c r="H427" s="55"/>
      <c r="I427" s="55"/>
      <c r="J427" s="55"/>
      <c r="K427" s="55"/>
    </row>
    <row r="428">
      <c r="A428" s="55"/>
      <c r="B428" s="55"/>
      <c r="C428" s="55"/>
      <c r="D428" s="55"/>
      <c r="E428" s="55"/>
      <c r="F428" s="55"/>
      <c r="G428" s="55"/>
      <c r="H428" s="55"/>
      <c r="I428" s="55"/>
      <c r="J428" s="55"/>
      <c r="K428" s="55"/>
    </row>
    <row r="429">
      <c r="A429" s="55"/>
      <c r="B429" s="55"/>
      <c r="C429" s="55"/>
      <c r="D429" s="55"/>
      <c r="E429" s="55"/>
      <c r="F429" s="55"/>
      <c r="G429" s="55"/>
      <c r="H429" s="55"/>
      <c r="I429" s="55"/>
      <c r="J429" s="55"/>
      <c r="K429" s="55"/>
    </row>
    <row r="430">
      <c r="A430" s="55"/>
      <c r="B430" s="55"/>
      <c r="C430" s="55"/>
      <c r="D430" s="55"/>
      <c r="E430" s="55"/>
      <c r="F430" s="55"/>
      <c r="G430" s="55"/>
      <c r="H430" s="55"/>
      <c r="I430" s="55"/>
      <c r="J430" s="55"/>
      <c r="K430" s="55"/>
    </row>
    <row r="431">
      <c r="A431" s="55"/>
      <c r="B431" s="55"/>
      <c r="C431" s="55"/>
      <c r="D431" s="55"/>
      <c r="E431" s="55"/>
      <c r="F431" s="55"/>
      <c r="G431" s="55"/>
      <c r="H431" s="55"/>
      <c r="I431" s="55"/>
      <c r="J431" s="55"/>
      <c r="K431" s="55"/>
    </row>
    <row r="432">
      <c r="A432" s="55"/>
      <c r="B432" s="55"/>
      <c r="C432" s="55"/>
      <c r="D432" s="55"/>
      <c r="E432" s="55"/>
      <c r="F432" s="55"/>
      <c r="G432" s="55"/>
      <c r="H432" s="55"/>
      <c r="I432" s="55"/>
      <c r="J432" s="55"/>
      <c r="K432" s="55"/>
    </row>
    <row r="433">
      <c r="A433" s="55"/>
      <c r="B433" s="55"/>
      <c r="C433" s="55"/>
      <c r="D433" s="55"/>
      <c r="E433" s="55"/>
      <c r="F433" s="55"/>
      <c r="G433" s="55"/>
      <c r="H433" s="55"/>
      <c r="I433" s="55"/>
      <c r="J433" s="55"/>
      <c r="K433" s="55"/>
    </row>
    <row r="434">
      <c r="A434" s="55"/>
      <c r="B434" s="55"/>
      <c r="C434" s="55"/>
      <c r="D434" s="55"/>
      <c r="E434" s="55"/>
      <c r="F434" s="55"/>
      <c r="G434" s="55"/>
      <c r="H434" s="55"/>
      <c r="I434" s="55"/>
      <c r="J434" s="55"/>
      <c r="K434" s="55"/>
    </row>
    <row r="435">
      <c r="A435" s="55"/>
      <c r="B435" s="55"/>
      <c r="C435" s="55"/>
      <c r="D435" s="55"/>
      <c r="E435" s="55"/>
      <c r="F435" s="55"/>
      <c r="G435" s="55"/>
      <c r="H435" s="55"/>
      <c r="I435" s="55"/>
      <c r="J435" s="55"/>
      <c r="K435" s="55"/>
    </row>
    <row r="436">
      <c r="A436" s="55"/>
      <c r="B436" s="55"/>
      <c r="C436" s="55"/>
      <c r="D436" s="55"/>
      <c r="E436" s="55"/>
      <c r="F436" s="55"/>
      <c r="G436" s="55"/>
      <c r="H436" s="55"/>
      <c r="I436" s="55"/>
      <c r="J436" s="55"/>
      <c r="K436" s="55"/>
    </row>
    <row r="437">
      <c r="A437" s="55"/>
      <c r="B437" s="55"/>
      <c r="C437" s="55"/>
      <c r="D437" s="55"/>
      <c r="E437" s="55"/>
      <c r="F437" s="55"/>
      <c r="G437" s="55"/>
      <c r="H437" s="55"/>
      <c r="I437" s="55"/>
      <c r="J437" s="55"/>
      <c r="K437" s="55"/>
    </row>
    <row r="438">
      <c r="A438" s="55"/>
      <c r="B438" s="55"/>
      <c r="C438" s="55"/>
      <c r="D438" s="55"/>
      <c r="E438" s="55"/>
      <c r="F438" s="55"/>
      <c r="G438" s="55"/>
      <c r="H438" s="55"/>
      <c r="I438" s="55"/>
      <c r="J438" s="55"/>
      <c r="K438" s="55"/>
    </row>
    <row r="439">
      <c r="A439" s="55"/>
      <c r="B439" s="55"/>
      <c r="C439" s="55"/>
      <c r="D439" s="55"/>
      <c r="E439" s="55"/>
      <c r="F439" s="55"/>
      <c r="G439" s="55"/>
      <c r="H439" s="55"/>
      <c r="I439" s="55"/>
      <c r="J439" s="55"/>
      <c r="K439" s="55"/>
    </row>
    <row r="440">
      <c r="A440" s="55"/>
      <c r="B440" s="55"/>
      <c r="C440" s="55"/>
      <c r="D440" s="55"/>
      <c r="E440" s="55"/>
      <c r="F440" s="55"/>
      <c r="G440" s="55"/>
      <c r="H440" s="55"/>
      <c r="I440" s="55"/>
      <c r="J440" s="55"/>
      <c r="K440" s="55"/>
    </row>
    <row r="441">
      <c r="A441" s="55"/>
      <c r="B441" s="55"/>
      <c r="C441" s="55"/>
      <c r="D441" s="55"/>
      <c r="E441" s="55"/>
      <c r="F441" s="55"/>
      <c r="G441" s="55"/>
      <c r="H441" s="55"/>
      <c r="I441" s="55"/>
      <c r="J441" s="55"/>
      <c r="K441" s="55"/>
    </row>
    <row r="442">
      <c r="A442" s="55"/>
      <c r="B442" s="55"/>
      <c r="C442" s="55"/>
      <c r="D442" s="55"/>
      <c r="E442" s="55"/>
      <c r="F442" s="55"/>
      <c r="G442" s="55"/>
      <c r="H442" s="55"/>
      <c r="I442" s="55"/>
      <c r="J442" s="55"/>
      <c r="K442" s="55"/>
    </row>
    <row r="443">
      <c r="A443" s="55"/>
      <c r="B443" s="55"/>
      <c r="C443" s="55"/>
      <c r="D443" s="55"/>
      <c r="E443" s="55"/>
      <c r="F443" s="55"/>
      <c r="G443" s="55"/>
      <c r="H443" s="55"/>
      <c r="I443" s="55"/>
      <c r="J443" s="55"/>
      <c r="K443" s="55"/>
    </row>
    <row r="444">
      <c r="A444" s="55"/>
      <c r="B444" s="55"/>
      <c r="C444" s="55"/>
      <c r="D444" s="55"/>
      <c r="E444" s="55"/>
      <c r="F444" s="55"/>
      <c r="G444" s="55"/>
      <c r="H444" s="55"/>
      <c r="I444" s="55"/>
      <c r="J444" s="55"/>
      <c r="K444" s="55"/>
    </row>
    <row r="445">
      <c r="A445" s="55"/>
      <c r="B445" s="55"/>
      <c r="C445" s="55"/>
      <c r="D445" s="55"/>
      <c r="E445" s="55"/>
      <c r="F445" s="55"/>
      <c r="G445" s="55"/>
      <c r="H445" s="55"/>
      <c r="I445" s="55"/>
      <c r="J445" s="55"/>
      <c r="K445" s="55"/>
    </row>
    <row r="446">
      <c r="A446" s="55"/>
      <c r="B446" s="55"/>
      <c r="C446" s="55"/>
      <c r="D446" s="55"/>
      <c r="E446" s="55"/>
      <c r="F446" s="55"/>
      <c r="G446" s="55"/>
      <c r="H446" s="55"/>
      <c r="I446" s="55"/>
      <c r="J446" s="55"/>
      <c r="K446" s="55"/>
    </row>
    <row r="447">
      <c r="A447" s="55"/>
      <c r="B447" s="55"/>
      <c r="C447" s="55"/>
      <c r="D447" s="55"/>
      <c r="E447" s="55"/>
      <c r="F447" s="55"/>
      <c r="G447" s="55"/>
      <c r="H447" s="55"/>
      <c r="I447" s="55"/>
      <c r="J447" s="55"/>
      <c r="K447" s="55"/>
    </row>
    <row r="448">
      <c r="A448" s="55"/>
      <c r="B448" s="55"/>
      <c r="C448" s="55"/>
      <c r="D448" s="55"/>
      <c r="E448" s="55"/>
      <c r="F448" s="55"/>
      <c r="G448" s="55"/>
      <c r="H448" s="55"/>
      <c r="I448" s="55"/>
      <c r="J448" s="55"/>
      <c r="K448" s="55"/>
    </row>
    <row r="449">
      <c r="A449" s="55"/>
      <c r="B449" s="55"/>
      <c r="C449" s="55"/>
      <c r="D449" s="55"/>
      <c r="E449" s="55"/>
      <c r="F449" s="55"/>
      <c r="G449" s="55"/>
      <c r="H449" s="55"/>
      <c r="I449" s="55"/>
      <c r="J449" s="55"/>
      <c r="K449" s="55"/>
    </row>
    <row r="450">
      <c r="A450" s="55"/>
      <c r="B450" s="55"/>
      <c r="C450" s="55"/>
      <c r="D450" s="55"/>
      <c r="E450" s="55"/>
      <c r="F450" s="55"/>
      <c r="G450" s="55"/>
      <c r="H450" s="55"/>
      <c r="I450" s="55"/>
      <c r="J450" s="55"/>
      <c r="K450" s="55"/>
    </row>
    <row r="451">
      <c r="A451" s="55"/>
      <c r="B451" s="55"/>
      <c r="C451" s="55"/>
      <c r="D451" s="55"/>
      <c r="E451" s="55"/>
      <c r="F451" s="55"/>
      <c r="G451" s="55"/>
      <c r="H451" s="55"/>
      <c r="I451" s="55"/>
      <c r="J451" s="55"/>
      <c r="K451" s="55"/>
    </row>
    <row r="452">
      <c r="A452" s="55"/>
      <c r="B452" s="55"/>
      <c r="C452" s="55"/>
      <c r="D452" s="55"/>
      <c r="E452" s="55"/>
      <c r="F452" s="55"/>
      <c r="G452" s="55"/>
      <c r="H452" s="55"/>
      <c r="I452" s="55"/>
      <c r="J452" s="55"/>
      <c r="K452" s="55"/>
    </row>
    <row r="453">
      <c r="A453" s="55"/>
      <c r="B453" s="55"/>
      <c r="C453" s="55"/>
      <c r="D453" s="55"/>
      <c r="E453" s="55"/>
      <c r="F453" s="55"/>
      <c r="G453" s="55"/>
      <c r="H453" s="55"/>
      <c r="I453" s="55"/>
      <c r="J453" s="55"/>
      <c r="K453" s="55"/>
    </row>
    <row r="454">
      <c r="A454" s="55"/>
      <c r="B454" s="55"/>
      <c r="C454" s="55"/>
      <c r="D454" s="55"/>
      <c r="E454" s="55"/>
      <c r="F454" s="55"/>
      <c r="G454" s="55"/>
      <c r="H454" s="55"/>
      <c r="I454" s="55"/>
      <c r="J454" s="55"/>
      <c r="K454" s="55"/>
    </row>
    <row r="455">
      <c r="A455" s="55"/>
      <c r="B455" s="55"/>
      <c r="C455" s="55"/>
      <c r="D455" s="55"/>
      <c r="E455" s="55"/>
      <c r="F455" s="55"/>
      <c r="G455" s="55"/>
      <c r="H455" s="55"/>
      <c r="I455" s="55"/>
      <c r="J455" s="55"/>
      <c r="K455" s="55"/>
    </row>
    <row r="456">
      <c r="A456" s="55"/>
      <c r="B456" s="55"/>
      <c r="C456" s="55"/>
      <c r="D456" s="55"/>
      <c r="E456" s="55"/>
      <c r="F456" s="55"/>
      <c r="G456" s="55"/>
      <c r="H456" s="55"/>
      <c r="I456" s="55"/>
      <c r="J456" s="55"/>
      <c r="K456" s="55"/>
    </row>
    <row r="457">
      <c r="A457" s="55"/>
      <c r="B457" s="55"/>
      <c r="C457" s="55"/>
      <c r="D457" s="55"/>
      <c r="E457" s="55"/>
      <c r="F457" s="55"/>
      <c r="G457" s="55"/>
      <c r="H457" s="55"/>
      <c r="I457" s="55"/>
      <c r="J457" s="55"/>
      <c r="K457" s="55"/>
    </row>
    <row r="458">
      <c r="A458" s="55"/>
      <c r="B458" s="55"/>
      <c r="C458" s="55"/>
      <c r="D458" s="55"/>
      <c r="E458" s="55"/>
      <c r="F458" s="55"/>
      <c r="G458" s="55"/>
      <c r="H458" s="55"/>
      <c r="I458" s="55"/>
      <c r="J458" s="55"/>
      <c r="K458" s="55"/>
    </row>
    <row r="459">
      <c r="A459" s="55"/>
      <c r="B459" s="55"/>
      <c r="C459" s="55"/>
      <c r="D459" s="55"/>
      <c r="E459" s="55"/>
      <c r="F459" s="55"/>
      <c r="G459" s="55"/>
      <c r="H459" s="55"/>
      <c r="I459" s="55"/>
      <c r="J459" s="55"/>
      <c r="K459" s="55"/>
    </row>
    <row r="460">
      <c r="A460" s="55"/>
      <c r="B460" s="55"/>
      <c r="C460" s="55"/>
      <c r="D460" s="55"/>
      <c r="E460" s="55"/>
      <c r="F460" s="55"/>
      <c r="G460" s="55"/>
      <c r="H460" s="55"/>
      <c r="I460" s="55"/>
      <c r="J460" s="55"/>
      <c r="K460" s="55"/>
    </row>
    <row r="461">
      <c r="A461" s="55"/>
      <c r="B461" s="55"/>
      <c r="C461" s="55"/>
      <c r="D461" s="55"/>
      <c r="E461" s="55"/>
      <c r="F461" s="55"/>
      <c r="G461" s="55"/>
      <c r="H461" s="55"/>
      <c r="I461" s="55"/>
      <c r="J461" s="55"/>
      <c r="K461" s="55"/>
    </row>
    <row r="462">
      <c r="A462" s="55"/>
      <c r="B462" s="55"/>
      <c r="C462" s="55"/>
      <c r="D462" s="55"/>
      <c r="E462" s="55"/>
      <c r="F462" s="55"/>
      <c r="G462" s="55"/>
      <c r="H462" s="55"/>
      <c r="I462" s="55"/>
      <c r="J462" s="55"/>
      <c r="K462" s="55"/>
    </row>
    <row r="463">
      <c r="A463" s="55"/>
      <c r="B463" s="55"/>
      <c r="C463" s="55"/>
      <c r="D463" s="55"/>
      <c r="E463" s="55"/>
      <c r="F463" s="55"/>
      <c r="G463" s="55"/>
      <c r="H463" s="55"/>
      <c r="I463" s="55"/>
      <c r="J463" s="55"/>
      <c r="K463" s="55"/>
    </row>
    <row r="464">
      <c r="A464" s="55"/>
      <c r="B464" s="55"/>
      <c r="C464" s="55"/>
      <c r="D464" s="55"/>
      <c r="E464" s="55"/>
      <c r="F464" s="55"/>
      <c r="G464" s="55"/>
      <c r="H464" s="55"/>
      <c r="I464" s="55"/>
      <c r="J464" s="55"/>
      <c r="K464" s="55"/>
    </row>
    <row r="465">
      <c r="A465" s="55"/>
      <c r="B465" s="55"/>
      <c r="C465" s="55"/>
      <c r="D465" s="55"/>
      <c r="E465" s="55"/>
      <c r="F465" s="55"/>
      <c r="G465" s="55"/>
      <c r="H465" s="55"/>
      <c r="I465" s="55"/>
      <c r="J465" s="55"/>
      <c r="K465" s="55"/>
    </row>
    <row r="466">
      <c r="A466" s="55"/>
      <c r="B466" s="55"/>
      <c r="C466" s="55"/>
      <c r="D466" s="55"/>
      <c r="E466" s="55"/>
      <c r="F466" s="55"/>
      <c r="G466" s="55"/>
      <c r="H466" s="55"/>
      <c r="I466" s="55"/>
      <c r="J466" s="55"/>
      <c r="K466" s="55"/>
    </row>
    <row r="467">
      <c r="A467" s="55"/>
      <c r="B467" s="55"/>
      <c r="C467" s="55"/>
      <c r="D467" s="55"/>
      <c r="E467" s="55"/>
      <c r="F467" s="55"/>
      <c r="G467" s="55"/>
      <c r="H467" s="55"/>
      <c r="I467" s="55"/>
      <c r="J467" s="55"/>
      <c r="K467" s="55"/>
    </row>
    <row r="468">
      <c r="A468" s="55"/>
      <c r="B468" s="55"/>
      <c r="C468" s="55"/>
      <c r="D468" s="55"/>
      <c r="E468" s="55"/>
      <c r="F468" s="55"/>
      <c r="G468" s="55"/>
      <c r="H468" s="55"/>
      <c r="I468" s="55"/>
      <c r="J468" s="55"/>
      <c r="K468" s="55"/>
    </row>
    <row r="469">
      <c r="A469" s="55"/>
      <c r="B469" s="55"/>
      <c r="C469" s="55"/>
      <c r="D469" s="55"/>
      <c r="E469" s="55"/>
      <c r="F469" s="55"/>
      <c r="G469" s="55"/>
      <c r="H469" s="55"/>
      <c r="I469" s="55"/>
      <c r="J469" s="55"/>
      <c r="K469" s="55"/>
    </row>
    <row r="470">
      <c r="A470" s="55"/>
      <c r="B470" s="55"/>
      <c r="C470" s="55"/>
      <c r="D470" s="55"/>
      <c r="E470" s="55"/>
      <c r="F470" s="55"/>
      <c r="G470" s="55"/>
      <c r="H470" s="55"/>
      <c r="I470" s="55"/>
      <c r="J470" s="55"/>
      <c r="K470" s="55"/>
    </row>
    <row r="471">
      <c r="A471" s="55"/>
      <c r="B471" s="55"/>
      <c r="C471" s="55"/>
      <c r="D471" s="55"/>
      <c r="E471" s="55"/>
      <c r="F471" s="55"/>
      <c r="G471" s="55"/>
      <c r="H471" s="55"/>
      <c r="I471" s="55"/>
      <c r="J471" s="55"/>
      <c r="K471" s="55"/>
    </row>
    <row r="472">
      <c r="A472" s="55"/>
      <c r="B472" s="55"/>
      <c r="C472" s="55"/>
      <c r="D472" s="55"/>
      <c r="E472" s="55"/>
      <c r="F472" s="55"/>
      <c r="G472" s="55"/>
      <c r="H472" s="55"/>
      <c r="I472" s="55"/>
      <c r="J472" s="55"/>
      <c r="K472" s="55"/>
    </row>
    <row r="473">
      <c r="A473" s="55"/>
      <c r="B473" s="55"/>
      <c r="C473" s="55"/>
      <c r="D473" s="55"/>
      <c r="E473" s="55"/>
      <c r="F473" s="55"/>
      <c r="G473" s="55"/>
      <c r="H473" s="55"/>
      <c r="I473" s="55"/>
      <c r="J473" s="55"/>
      <c r="K473" s="55"/>
    </row>
    <row r="474">
      <c r="A474" s="55"/>
      <c r="B474" s="55"/>
      <c r="C474" s="55"/>
      <c r="D474" s="55"/>
      <c r="E474" s="55"/>
      <c r="F474" s="55"/>
      <c r="G474" s="55"/>
      <c r="H474" s="55"/>
      <c r="I474" s="55"/>
      <c r="J474" s="55"/>
      <c r="K474" s="55"/>
    </row>
    <row r="475">
      <c r="A475" s="55"/>
      <c r="B475" s="55"/>
      <c r="C475" s="55"/>
      <c r="D475" s="55"/>
      <c r="E475" s="55"/>
      <c r="F475" s="55"/>
      <c r="G475" s="55"/>
      <c r="H475" s="55"/>
      <c r="I475" s="55"/>
      <c r="J475" s="55"/>
      <c r="K475" s="55"/>
    </row>
    <row r="476">
      <c r="A476" s="55"/>
      <c r="B476" s="55"/>
      <c r="C476" s="55"/>
      <c r="D476" s="55"/>
      <c r="E476" s="55"/>
      <c r="F476" s="55"/>
      <c r="G476" s="55"/>
      <c r="H476" s="55"/>
      <c r="I476" s="55"/>
      <c r="J476" s="55"/>
      <c r="K476" s="55"/>
    </row>
    <row r="477">
      <c r="A477" s="55"/>
      <c r="B477" s="55"/>
      <c r="C477" s="55"/>
      <c r="D477" s="55"/>
      <c r="E477" s="55"/>
      <c r="F477" s="55"/>
      <c r="G477" s="55"/>
      <c r="H477" s="55"/>
      <c r="I477" s="55"/>
      <c r="J477" s="55"/>
      <c r="K477" s="55"/>
    </row>
    <row r="478">
      <c r="A478" s="55"/>
      <c r="B478" s="55"/>
      <c r="C478" s="55"/>
      <c r="D478" s="55"/>
      <c r="E478" s="55"/>
      <c r="F478" s="55"/>
      <c r="G478" s="55"/>
      <c r="H478" s="55"/>
      <c r="I478" s="55"/>
      <c r="J478" s="55"/>
      <c r="K478" s="55"/>
    </row>
    <row r="479">
      <c r="A479" s="55"/>
      <c r="B479" s="55"/>
      <c r="C479" s="55"/>
      <c r="D479" s="55"/>
      <c r="E479" s="55"/>
      <c r="F479" s="55"/>
      <c r="G479" s="55"/>
      <c r="H479" s="55"/>
      <c r="I479" s="55"/>
      <c r="J479" s="55"/>
      <c r="K479" s="55"/>
    </row>
    <row r="480">
      <c r="A480" s="55"/>
      <c r="B480" s="55"/>
      <c r="C480" s="55"/>
      <c r="D480" s="55"/>
      <c r="E480" s="55"/>
      <c r="F480" s="55"/>
      <c r="G480" s="55"/>
      <c r="H480" s="55"/>
      <c r="I480" s="55"/>
      <c r="J480" s="55"/>
      <c r="K480" s="55"/>
    </row>
    <row r="481">
      <c r="A481" s="55"/>
      <c r="B481" s="55"/>
      <c r="C481" s="55"/>
      <c r="D481" s="55"/>
      <c r="E481" s="55"/>
      <c r="F481" s="55"/>
      <c r="G481" s="55"/>
      <c r="H481" s="55"/>
      <c r="I481" s="55"/>
      <c r="J481" s="55"/>
      <c r="K481" s="55"/>
    </row>
    <row r="482">
      <c r="A482" s="55"/>
      <c r="B482" s="55"/>
      <c r="C482" s="55"/>
      <c r="D482" s="55"/>
      <c r="E482" s="55"/>
      <c r="F482" s="55"/>
      <c r="G482" s="55"/>
      <c r="H482" s="55"/>
      <c r="I482" s="55"/>
      <c r="J482" s="55"/>
      <c r="K482" s="55"/>
    </row>
    <row r="483">
      <c r="A483" s="55"/>
      <c r="B483" s="55"/>
      <c r="C483" s="55"/>
      <c r="D483" s="55"/>
      <c r="E483" s="55"/>
      <c r="F483" s="55"/>
      <c r="G483" s="55"/>
      <c r="H483" s="55"/>
      <c r="I483" s="55"/>
      <c r="J483" s="55"/>
      <c r="K483" s="55"/>
    </row>
    <row r="484">
      <c r="A484" s="55"/>
      <c r="B484" s="55"/>
      <c r="C484" s="55"/>
      <c r="D484" s="55"/>
      <c r="E484" s="55"/>
      <c r="F484" s="55"/>
      <c r="G484" s="55"/>
      <c r="H484" s="55"/>
      <c r="I484" s="55"/>
      <c r="J484" s="55"/>
      <c r="K484" s="55"/>
    </row>
    <row r="485">
      <c r="A485" s="55"/>
      <c r="B485" s="55"/>
      <c r="C485" s="55"/>
      <c r="D485" s="55"/>
      <c r="E485" s="55"/>
      <c r="F485" s="55"/>
      <c r="G485" s="55"/>
      <c r="H485" s="55"/>
      <c r="I485" s="55"/>
      <c r="J485" s="55"/>
      <c r="K485" s="55"/>
    </row>
    <row r="486">
      <c r="A486" s="55"/>
      <c r="B486" s="55"/>
      <c r="C486" s="55"/>
      <c r="D486" s="55"/>
      <c r="E486" s="55"/>
      <c r="F486" s="55"/>
      <c r="G486" s="55"/>
      <c r="H486" s="55"/>
      <c r="I486" s="55"/>
      <c r="J486" s="55"/>
      <c r="K486" s="55"/>
    </row>
    <row r="487">
      <c r="A487" s="55"/>
      <c r="B487" s="55"/>
      <c r="C487" s="55"/>
      <c r="D487" s="55"/>
      <c r="E487" s="55"/>
      <c r="F487" s="55"/>
      <c r="G487" s="55"/>
      <c r="H487" s="55"/>
      <c r="I487" s="55"/>
      <c r="J487" s="55"/>
      <c r="K487" s="55"/>
    </row>
    <row r="488">
      <c r="A488" s="55"/>
      <c r="B488" s="55"/>
      <c r="C488" s="55"/>
      <c r="D488" s="55"/>
      <c r="E488" s="55"/>
      <c r="F488" s="55"/>
      <c r="G488" s="55"/>
      <c r="H488" s="55"/>
      <c r="I488" s="55"/>
      <c r="J488" s="55"/>
      <c r="K488" s="55"/>
    </row>
    <row r="489">
      <c r="A489" s="55"/>
      <c r="B489" s="55"/>
      <c r="C489" s="55"/>
      <c r="D489" s="55"/>
      <c r="E489" s="55"/>
      <c r="F489" s="55"/>
      <c r="G489" s="55"/>
      <c r="H489" s="55"/>
      <c r="I489" s="55"/>
      <c r="J489" s="55"/>
      <c r="K489" s="55"/>
    </row>
    <row r="490">
      <c r="A490" s="55"/>
      <c r="B490" s="55"/>
      <c r="C490" s="55"/>
      <c r="D490" s="55"/>
      <c r="E490" s="55"/>
      <c r="F490" s="55"/>
      <c r="G490" s="55"/>
      <c r="H490" s="55"/>
      <c r="I490" s="55"/>
      <c r="J490" s="55"/>
      <c r="K490" s="55"/>
    </row>
    <row r="491">
      <c r="A491" s="55"/>
      <c r="B491" s="55"/>
      <c r="C491" s="55"/>
      <c r="D491" s="55"/>
      <c r="E491" s="55"/>
      <c r="F491" s="55"/>
      <c r="G491" s="55"/>
      <c r="H491" s="55"/>
      <c r="I491" s="55"/>
      <c r="J491" s="55"/>
      <c r="K491" s="55"/>
    </row>
    <row r="492">
      <c r="A492" s="55"/>
      <c r="B492" s="55"/>
      <c r="C492" s="55"/>
      <c r="D492" s="55"/>
      <c r="E492" s="55"/>
      <c r="F492" s="55"/>
      <c r="G492" s="55"/>
      <c r="H492" s="55"/>
      <c r="I492" s="55"/>
      <c r="J492" s="55"/>
      <c r="K492" s="55"/>
    </row>
    <row r="493">
      <c r="A493" s="55"/>
      <c r="B493" s="55"/>
      <c r="C493" s="55"/>
      <c r="D493" s="55"/>
      <c r="E493" s="55"/>
      <c r="F493" s="55"/>
      <c r="G493" s="55"/>
      <c r="H493" s="55"/>
      <c r="I493" s="55"/>
      <c r="J493" s="55"/>
      <c r="K493" s="55"/>
    </row>
    <row r="494">
      <c r="A494" s="55"/>
      <c r="B494" s="55"/>
      <c r="C494" s="55"/>
      <c r="D494" s="55"/>
      <c r="E494" s="55"/>
      <c r="F494" s="55"/>
      <c r="G494" s="55"/>
      <c r="H494" s="55"/>
      <c r="I494" s="55"/>
      <c r="J494" s="55"/>
      <c r="K494" s="55"/>
    </row>
    <row r="495">
      <c r="A495" s="55"/>
      <c r="B495" s="55"/>
      <c r="C495" s="55"/>
      <c r="D495" s="55"/>
      <c r="E495" s="55"/>
      <c r="F495" s="55"/>
      <c r="G495" s="55"/>
      <c r="H495" s="55"/>
      <c r="I495" s="55"/>
      <c r="J495" s="55"/>
      <c r="K495" s="55"/>
    </row>
    <row r="496">
      <c r="A496" s="55"/>
      <c r="B496" s="55"/>
      <c r="C496" s="55"/>
      <c r="D496" s="55"/>
      <c r="E496" s="55"/>
      <c r="F496" s="55"/>
      <c r="G496" s="55"/>
      <c r="H496" s="55"/>
      <c r="I496" s="55"/>
      <c r="J496" s="55"/>
      <c r="K496" s="55"/>
    </row>
    <row r="497">
      <c r="A497" s="55"/>
      <c r="B497" s="55"/>
      <c r="C497" s="55"/>
      <c r="D497" s="55"/>
      <c r="E497" s="55"/>
      <c r="F497" s="55"/>
      <c r="G497" s="55"/>
      <c r="H497" s="55"/>
      <c r="I497" s="55"/>
      <c r="J497" s="55"/>
      <c r="K497" s="55"/>
    </row>
    <row r="498">
      <c r="A498" s="55"/>
      <c r="B498" s="55"/>
      <c r="C498" s="55"/>
      <c r="D498" s="55"/>
      <c r="E498" s="55"/>
      <c r="F498" s="55"/>
      <c r="G498" s="55"/>
      <c r="H498" s="55"/>
      <c r="I498" s="55"/>
      <c r="J498" s="55"/>
      <c r="K498" s="55"/>
    </row>
    <row r="499">
      <c r="A499" s="55"/>
      <c r="B499" s="55"/>
      <c r="C499" s="55"/>
      <c r="D499" s="55"/>
      <c r="E499" s="55"/>
      <c r="F499" s="55"/>
      <c r="G499" s="55"/>
      <c r="H499" s="55"/>
      <c r="I499" s="55"/>
      <c r="J499" s="55"/>
      <c r="K499" s="55"/>
    </row>
    <row r="500">
      <c r="A500" s="55"/>
      <c r="B500" s="55"/>
      <c r="C500" s="55"/>
      <c r="D500" s="55"/>
      <c r="E500" s="55"/>
      <c r="F500" s="55"/>
      <c r="G500" s="55"/>
      <c r="H500" s="55"/>
      <c r="I500" s="55"/>
      <c r="J500" s="55"/>
      <c r="K500" s="55"/>
    </row>
    <row r="501">
      <c r="A501" s="55"/>
      <c r="B501" s="55"/>
      <c r="C501" s="55"/>
      <c r="D501" s="55"/>
      <c r="E501" s="55"/>
      <c r="F501" s="55"/>
      <c r="G501" s="55"/>
      <c r="H501" s="55"/>
      <c r="I501" s="55"/>
      <c r="J501" s="55"/>
      <c r="K501" s="55"/>
    </row>
    <row r="502">
      <c r="A502" s="55"/>
      <c r="B502" s="55"/>
      <c r="C502" s="55"/>
      <c r="D502" s="55"/>
      <c r="E502" s="55"/>
      <c r="F502" s="55"/>
      <c r="G502" s="55"/>
      <c r="H502" s="55"/>
      <c r="I502" s="55"/>
      <c r="J502" s="55"/>
      <c r="K502" s="55"/>
    </row>
    <row r="503">
      <c r="A503" s="55"/>
      <c r="B503" s="55"/>
      <c r="C503" s="55"/>
      <c r="D503" s="55"/>
      <c r="E503" s="55"/>
      <c r="F503" s="55"/>
      <c r="G503" s="55"/>
      <c r="H503" s="55"/>
      <c r="I503" s="55"/>
      <c r="J503" s="55"/>
      <c r="K503" s="55"/>
    </row>
    <row r="504">
      <c r="A504" s="55"/>
      <c r="B504" s="55"/>
      <c r="C504" s="55"/>
      <c r="D504" s="55"/>
      <c r="E504" s="55"/>
      <c r="F504" s="55"/>
      <c r="G504" s="55"/>
      <c r="H504" s="55"/>
      <c r="I504" s="55"/>
      <c r="J504" s="55"/>
      <c r="K504" s="55"/>
    </row>
    <row r="505">
      <c r="A505" s="55"/>
      <c r="B505" s="55"/>
      <c r="C505" s="55"/>
      <c r="D505" s="55"/>
      <c r="E505" s="55"/>
      <c r="F505" s="55"/>
      <c r="G505" s="55"/>
      <c r="H505" s="55"/>
      <c r="I505" s="55"/>
      <c r="J505" s="55"/>
      <c r="K505" s="55"/>
    </row>
    <row r="506">
      <c r="A506" s="55"/>
      <c r="B506" s="55"/>
      <c r="C506" s="55"/>
      <c r="D506" s="55"/>
      <c r="E506" s="55"/>
      <c r="F506" s="55"/>
      <c r="G506" s="55"/>
      <c r="H506" s="55"/>
      <c r="I506" s="55"/>
      <c r="J506" s="55"/>
      <c r="K506" s="55"/>
    </row>
    <row r="507">
      <c r="A507" s="55"/>
      <c r="B507" s="55"/>
      <c r="C507" s="55"/>
      <c r="D507" s="55"/>
      <c r="E507" s="55"/>
      <c r="F507" s="55"/>
      <c r="G507" s="55"/>
      <c r="H507" s="55"/>
      <c r="I507" s="55"/>
      <c r="J507" s="55"/>
      <c r="K507" s="55"/>
    </row>
    <row r="508">
      <c r="A508" s="55"/>
      <c r="B508" s="55"/>
      <c r="C508" s="55"/>
      <c r="D508" s="55"/>
      <c r="E508" s="55"/>
      <c r="F508" s="55"/>
      <c r="G508" s="55"/>
      <c r="H508" s="55"/>
      <c r="I508" s="55"/>
      <c r="J508" s="55"/>
      <c r="K508" s="55"/>
    </row>
    <row r="509">
      <c r="A509" s="55"/>
      <c r="B509" s="55"/>
      <c r="C509" s="55"/>
      <c r="D509" s="55"/>
      <c r="E509" s="55"/>
      <c r="F509" s="55"/>
      <c r="G509" s="55"/>
      <c r="H509" s="55"/>
      <c r="I509" s="55"/>
      <c r="J509" s="55"/>
      <c r="K509" s="55"/>
    </row>
    <row r="510">
      <c r="A510" s="55"/>
      <c r="B510" s="55"/>
      <c r="C510" s="55"/>
      <c r="D510" s="55"/>
      <c r="E510" s="55"/>
      <c r="F510" s="55"/>
      <c r="G510" s="55"/>
      <c r="H510" s="55"/>
      <c r="I510" s="55"/>
      <c r="J510" s="55"/>
      <c r="K510" s="55"/>
    </row>
    <row r="511">
      <c r="A511" s="55"/>
      <c r="B511" s="55"/>
      <c r="C511" s="55"/>
      <c r="D511" s="55"/>
      <c r="E511" s="55"/>
      <c r="F511" s="55"/>
      <c r="G511" s="55"/>
      <c r="H511" s="55"/>
      <c r="I511" s="55"/>
      <c r="J511" s="55"/>
      <c r="K511" s="55"/>
    </row>
    <row r="512">
      <c r="A512" s="55"/>
      <c r="B512" s="55"/>
      <c r="C512" s="55"/>
      <c r="D512" s="55"/>
      <c r="E512" s="55"/>
      <c r="F512" s="55"/>
      <c r="G512" s="55"/>
      <c r="H512" s="55"/>
      <c r="I512" s="55"/>
      <c r="J512" s="55"/>
      <c r="K512" s="55"/>
    </row>
    <row r="513">
      <c r="A513" s="55"/>
      <c r="B513" s="55"/>
      <c r="C513" s="55"/>
      <c r="D513" s="55"/>
      <c r="E513" s="55"/>
      <c r="F513" s="55"/>
      <c r="G513" s="55"/>
      <c r="H513" s="55"/>
      <c r="I513" s="55"/>
      <c r="J513" s="55"/>
      <c r="K513" s="55"/>
    </row>
    <row r="514">
      <c r="A514" s="55"/>
      <c r="B514" s="55"/>
      <c r="C514" s="55"/>
      <c r="D514" s="55"/>
      <c r="E514" s="55"/>
      <c r="F514" s="55"/>
      <c r="G514" s="55"/>
      <c r="H514" s="55"/>
      <c r="I514" s="55"/>
      <c r="J514" s="55"/>
      <c r="K514" s="55"/>
    </row>
    <row r="515">
      <c r="A515" s="55"/>
      <c r="B515" s="55"/>
      <c r="C515" s="55"/>
      <c r="D515" s="55"/>
      <c r="E515" s="55"/>
      <c r="F515" s="55"/>
      <c r="G515" s="55"/>
      <c r="H515" s="55"/>
      <c r="I515" s="55"/>
      <c r="J515" s="55"/>
      <c r="K515" s="55"/>
    </row>
    <row r="516">
      <c r="A516" s="55"/>
      <c r="B516" s="55"/>
      <c r="C516" s="55"/>
      <c r="D516" s="55"/>
      <c r="E516" s="55"/>
      <c r="F516" s="55"/>
      <c r="G516" s="55"/>
      <c r="H516" s="55"/>
      <c r="I516" s="55"/>
      <c r="J516" s="55"/>
      <c r="K516" s="55"/>
    </row>
    <row r="517">
      <c r="A517" s="55"/>
      <c r="B517" s="55"/>
      <c r="C517" s="55"/>
      <c r="D517" s="55"/>
      <c r="E517" s="55"/>
      <c r="F517" s="55"/>
      <c r="G517" s="55"/>
      <c r="H517" s="55"/>
      <c r="I517" s="55"/>
      <c r="J517" s="55"/>
      <c r="K517" s="55"/>
    </row>
    <row r="518">
      <c r="A518" s="55"/>
      <c r="B518" s="55"/>
      <c r="C518" s="55"/>
      <c r="D518" s="55"/>
      <c r="E518" s="55"/>
      <c r="F518" s="55"/>
      <c r="G518" s="55"/>
      <c r="H518" s="55"/>
      <c r="I518" s="55"/>
      <c r="J518" s="55"/>
      <c r="K518" s="55"/>
    </row>
    <row r="519">
      <c r="A519" s="55"/>
      <c r="B519" s="55"/>
      <c r="C519" s="55"/>
      <c r="D519" s="55"/>
      <c r="E519" s="55"/>
      <c r="F519" s="55"/>
      <c r="G519" s="55"/>
      <c r="H519" s="55"/>
      <c r="I519" s="55"/>
      <c r="J519" s="55"/>
      <c r="K519" s="55"/>
    </row>
    <row r="520">
      <c r="A520" s="55"/>
      <c r="B520" s="55"/>
      <c r="C520" s="55"/>
      <c r="D520" s="55"/>
      <c r="E520" s="55"/>
      <c r="F520" s="55"/>
      <c r="G520" s="55"/>
      <c r="H520" s="55"/>
      <c r="I520" s="55"/>
      <c r="J520" s="55"/>
      <c r="K520" s="55"/>
    </row>
    <row r="521">
      <c r="A521" s="55"/>
      <c r="B521" s="55"/>
      <c r="C521" s="55"/>
      <c r="D521" s="55"/>
      <c r="E521" s="55"/>
      <c r="F521" s="55"/>
      <c r="G521" s="55"/>
      <c r="H521" s="55"/>
      <c r="I521" s="55"/>
      <c r="J521" s="55"/>
      <c r="K521" s="55"/>
    </row>
    <row r="522">
      <c r="A522" s="55"/>
      <c r="B522" s="55"/>
      <c r="C522" s="55"/>
      <c r="D522" s="55"/>
      <c r="E522" s="55"/>
      <c r="F522" s="55"/>
      <c r="G522" s="55"/>
      <c r="H522" s="55"/>
      <c r="I522" s="55"/>
      <c r="J522" s="55"/>
      <c r="K522" s="55"/>
    </row>
    <row r="523">
      <c r="A523" s="55"/>
      <c r="B523" s="55"/>
      <c r="C523" s="55"/>
      <c r="D523" s="55"/>
      <c r="E523" s="55"/>
      <c r="F523" s="55"/>
      <c r="G523" s="55"/>
      <c r="H523" s="55"/>
      <c r="I523" s="55"/>
      <c r="J523" s="55"/>
      <c r="K523" s="55"/>
    </row>
    <row r="524">
      <c r="A524" s="55"/>
      <c r="B524" s="55"/>
      <c r="C524" s="55"/>
      <c r="D524" s="55"/>
      <c r="E524" s="55"/>
      <c r="F524" s="55"/>
      <c r="G524" s="55"/>
      <c r="H524" s="55"/>
      <c r="I524" s="55"/>
      <c r="J524" s="55"/>
      <c r="K524" s="55"/>
    </row>
    <row r="525">
      <c r="A525" s="55"/>
      <c r="B525" s="55"/>
      <c r="C525" s="55"/>
      <c r="D525" s="55"/>
      <c r="E525" s="55"/>
      <c r="F525" s="55"/>
      <c r="G525" s="55"/>
      <c r="H525" s="55"/>
      <c r="I525" s="55"/>
      <c r="J525" s="55"/>
      <c r="K525" s="55"/>
    </row>
    <row r="526">
      <c r="A526" s="55"/>
      <c r="B526" s="55"/>
      <c r="C526" s="55"/>
      <c r="D526" s="55"/>
      <c r="E526" s="55"/>
      <c r="F526" s="55"/>
      <c r="G526" s="55"/>
      <c r="H526" s="55"/>
      <c r="I526" s="55"/>
      <c r="J526" s="55"/>
      <c r="K526" s="55"/>
    </row>
    <row r="527">
      <c r="A527" s="55"/>
      <c r="B527" s="55"/>
      <c r="C527" s="55"/>
      <c r="D527" s="55"/>
      <c r="E527" s="55"/>
      <c r="F527" s="55"/>
      <c r="G527" s="55"/>
      <c r="H527" s="55"/>
      <c r="I527" s="55"/>
      <c r="J527" s="55"/>
      <c r="K527" s="55"/>
    </row>
    <row r="528">
      <c r="A528" s="55"/>
      <c r="B528" s="55"/>
      <c r="C528" s="55"/>
      <c r="D528" s="55"/>
      <c r="E528" s="55"/>
      <c r="F528" s="55"/>
      <c r="G528" s="55"/>
      <c r="H528" s="55"/>
      <c r="I528" s="55"/>
      <c r="J528" s="55"/>
      <c r="K528" s="55"/>
    </row>
    <row r="529">
      <c r="A529" s="55"/>
      <c r="B529" s="55"/>
      <c r="C529" s="55"/>
      <c r="D529" s="55"/>
      <c r="E529" s="55"/>
      <c r="F529" s="55"/>
      <c r="G529" s="55"/>
      <c r="H529" s="55"/>
      <c r="I529" s="55"/>
      <c r="J529" s="55"/>
      <c r="K529" s="55"/>
    </row>
    <row r="530">
      <c r="A530" s="55"/>
      <c r="B530" s="55"/>
      <c r="C530" s="55"/>
      <c r="D530" s="55"/>
      <c r="E530" s="55"/>
      <c r="F530" s="55"/>
      <c r="G530" s="55"/>
      <c r="H530" s="55"/>
      <c r="I530" s="55"/>
      <c r="J530" s="55"/>
      <c r="K530" s="55"/>
    </row>
    <row r="531">
      <c r="A531" s="55"/>
      <c r="B531" s="55"/>
      <c r="C531" s="55"/>
      <c r="D531" s="55"/>
      <c r="E531" s="55"/>
      <c r="F531" s="55"/>
      <c r="G531" s="55"/>
      <c r="H531" s="55"/>
      <c r="I531" s="55"/>
      <c r="J531" s="55"/>
      <c r="K531" s="55"/>
    </row>
    <row r="532">
      <c r="A532" s="55"/>
      <c r="B532" s="55"/>
      <c r="C532" s="55"/>
      <c r="D532" s="55"/>
      <c r="E532" s="55"/>
      <c r="F532" s="55"/>
      <c r="G532" s="55"/>
      <c r="H532" s="55"/>
      <c r="I532" s="55"/>
      <c r="J532" s="55"/>
      <c r="K532" s="55"/>
    </row>
    <row r="533">
      <c r="A533" s="55"/>
      <c r="B533" s="55"/>
      <c r="C533" s="55"/>
      <c r="D533" s="55"/>
      <c r="E533" s="55"/>
      <c r="F533" s="55"/>
      <c r="G533" s="55"/>
      <c r="H533" s="55"/>
      <c r="I533" s="55"/>
      <c r="J533" s="55"/>
      <c r="K533" s="55"/>
    </row>
    <row r="534">
      <c r="A534" s="55"/>
      <c r="B534" s="55"/>
      <c r="C534" s="55"/>
      <c r="D534" s="55"/>
      <c r="E534" s="55"/>
      <c r="F534" s="55"/>
      <c r="G534" s="55"/>
      <c r="H534" s="55"/>
      <c r="I534" s="55"/>
      <c r="J534" s="55"/>
      <c r="K534" s="55"/>
    </row>
    <row r="535">
      <c r="A535" s="55"/>
      <c r="B535" s="55"/>
      <c r="C535" s="55"/>
      <c r="D535" s="55"/>
      <c r="E535" s="55"/>
      <c r="F535" s="55"/>
      <c r="G535" s="55"/>
      <c r="H535" s="55"/>
      <c r="I535" s="55"/>
      <c r="J535" s="55"/>
      <c r="K535" s="55"/>
    </row>
    <row r="536">
      <c r="A536" s="55"/>
      <c r="B536" s="55"/>
      <c r="C536" s="55"/>
      <c r="D536" s="55"/>
      <c r="E536" s="55"/>
      <c r="F536" s="55"/>
      <c r="G536" s="55"/>
      <c r="H536" s="55"/>
      <c r="I536" s="55"/>
      <c r="J536" s="55"/>
      <c r="K536" s="55"/>
    </row>
    <row r="537">
      <c r="A537" s="55"/>
      <c r="B537" s="55"/>
      <c r="C537" s="55"/>
      <c r="D537" s="55"/>
      <c r="E537" s="55"/>
      <c r="F537" s="55"/>
      <c r="G537" s="55"/>
      <c r="H537" s="55"/>
      <c r="I537" s="55"/>
      <c r="J537" s="55"/>
      <c r="K537" s="55"/>
    </row>
    <row r="538">
      <c r="A538" s="55"/>
      <c r="B538" s="55"/>
      <c r="C538" s="55"/>
      <c r="D538" s="55"/>
      <c r="E538" s="55"/>
      <c r="F538" s="55"/>
      <c r="G538" s="55"/>
      <c r="H538" s="55"/>
      <c r="I538" s="55"/>
      <c r="J538" s="55"/>
      <c r="K538" s="55"/>
    </row>
    <row r="539">
      <c r="A539" s="55"/>
      <c r="B539" s="55"/>
      <c r="C539" s="55"/>
      <c r="D539" s="55"/>
      <c r="E539" s="55"/>
      <c r="F539" s="55"/>
      <c r="G539" s="55"/>
      <c r="H539" s="55"/>
      <c r="I539" s="55"/>
      <c r="J539" s="55"/>
      <c r="K539" s="55"/>
    </row>
    <row r="540">
      <c r="A540" s="55"/>
      <c r="B540" s="55"/>
      <c r="C540" s="55"/>
      <c r="D540" s="55"/>
      <c r="E540" s="55"/>
      <c r="F540" s="55"/>
      <c r="G540" s="55"/>
      <c r="H540" s="55"/>
      <c r="I540" s="55"/>
      <c r="J540" s="55"/>
      <c r="K540" s="55"/>
    </row>
    <row r="541">
      <c r="A541" s="55"/>
      <c r="B541" s="55"/>
      <c r="C541" s="55"/>
      <c r="D541" s="55"/>
      <c r="E541" s="55"/>
      <c r="F541" s="55"/>
      <c r="G541" s="55"/>
      <c r="H541" s="55"/>
      <c r="I541" s="55"/>
      <c r="J541" s="55"/>
      <c r="K541" s="55"/>
    </row>
    <row r="542">
      <c r="A542" s="55"/>
      <c r="B542" s="55"/>
      <c r="C542" s="55"/>
      <c r="D542" s="55"/>
      <c r="E542" s="55"/>
      <c r="F542" s="55"/>
      <c r="G542" s="55"/>
      <c r="H542" s="55"/>
      <c r="I542" s="55"/>
      <c r="J542" s="55"/>
      <c r="K542" s="55"/>
    </row>
    <row r="543">
      <c r="A543" s="55"/>
      <c r="B543" s="55"/>
      <c r="C543" s="55"/>
      <c r="D543" s="55"/>
      <c r="E543" s="55"/>
      <c r="F543" s="55"/>
      <c r="G543" s="55"/>
      <c r="H543" s="55"/>
      <c r="I543" s="55"/>
      <c r="J543" s="55"/>
      <c r="K543" s="55"/>
    </row>
    <row r="544">
      <c r="A544" s="55"/>
      <c r="B544" s="55"/>
      <c r="C544" s="55"/>
      <c r="D544" s="55"/>
      <c r="E544" s="55"/>
      <c r="F544" s="55"/>
      <c r="G544" s="55"/>
      <c r="H544" s="55"/>
      <c r="I544" s="55"/>
      <c r="J544" s="55"/>
      <c r="K544" s="55"/>
    </row>
    <row r="545">
      <c r="A545" s="55"/>
      <c r="B545" s="55"/>
      <c r="C545" s="55"/>
      <c r="D545" s="55"/>
      <c r="E545" s="55"/>
      <c r="F545" s="55"/>
      <c r="G545" s="55"/>
      <c r="H545" s="55"/>
      <c r="I545" s="55"/>
      <c r="J545" s="55"/>
      <c r="K545" s="55"/>
    </row>
    <row r="546">
      <c r="A546" s="55"/>
      <c r="B546" s="55"/>
      <c r="C546" s="55"/>
      <c r="D546" s="55"/>
      <c r="E546" s="55"/>
      <c r="F546" s="55"/>
      <c r="G546" s="55"/>
      <c r="H546" s="55"/>
      <c r="I546" s="55"/>
      <c r="J546" s="55"/>
      <c r="K546" s="55"/>
    </row>
    <row r="547">
      <c r="A547" s="55"/>
      <c r="B547" s="55"/>
      <c r="C547" s="55"/>
      <c r="D547" s="55"/>
      <c r="E547" s="55"/>
      <c r="F547" s="55"/>
      <c r="G547" s="55"/>
      <c r="H547" s="55"/>
      <c r="I547" s="55"/>
      <c r="J547" s="55"/>
      <c r="K547" s="55"/>
    </row>
    <row r="548">
      <c r="A548" s="55"/>
      <c r="B548" s="55"/>
      <c r="C548" s="55"/>
      <c r="D548" s="55"/>
      <c r="E548" s="55"/>
      <c r="F548" s="55"/>
      <c r="G548" s="55"/>
      <c r="H548" s="55"/>
      <c r="I548" s="55"/>
      <c r="J548" s="55"/>
      <c r="K548" s="55"/>
    </row>
    <row r="549">
      <c r="A549" s="55"/>
      <c r="B549" s="55"/>
      <c r="C549" s="55"/>
      <c r="D549" s="55"/>
      <c r="E549" s="55"/>
      <c r="F549" s="55"/>
      <c r="G549" s="55"/>
      <c r="H549" s="55"/>
      <c r="I549" s="55"/>
      <c r="J549" s="55"/>
      <c r="K549" s="55"/>
    </row>
    <row r="550">
      <c r="A550" s="55"/>
      <c r="B550" s="55"/>
      <c r="C550" s="55"/>
      <c r="D550" s="55"/>
      <c r="E550" s="55"/>
      <c r="F550" s="55"/>
      <c r="G550" s="55"/>
      <c r="H550" s="55"/>
      <c r="I550" s="55"/>
      <c r="J550" s="55"/>
      <c r="K550" s="55"/>
    </row>
    <row r="551">
      <c r="A551" s="55"/>
      <c r="B551" s="55"/>
      <c r="C551" s="55"/>
      <c r="D551" s="55"/>
      <c r="E551" s="55"/>
      <c r="F551" s="55"/>
      <c r="G551" s="55"/>
      <c r="H551" s="55"/>
      <c r="I551" s="55"/>
      <c r="J551" s="55"/>
      <c r="K551" s="55"/>
    </row>
    <row r="552">
      <c r="A552" s="55"/>
      <c r="B552" s="55"/>
      <c r="C552" s="55"/>
      <c r="D552" s="55"/>
      <c r="E552" s="55"/>
      <c r="F552" s="55"/>
      <c r="G552" s="55"/>
      <c r="H552" s="55"/>
      <c r="I552" s="55"/>
      <c r="J552" s="55"/>
      <c r="K552" s="55"/>
    </row>
    <row r="553">
      <c r="A553" s="55"/>
      <c r="B553" s="55"/>
      <c r="C553" s="55"/>
      <c r="D553" s="55"/>
      <c r="E553" s="55"/>
      <c r="F553" s="55"/>
      <c r="G553" s="55"/>
      <c r="H553" s="55"/>
      <c r="I553" s="55"/>
      <c r="J553" s="55"/>
      <c r="K553" s="55"/>
    </row>
    <row r="554">
      <c r="A554" s="55"/>
      <c r="B554" s="55"/>
      <c r="C554" s="55"/>
      <c r="D554" s="55"/>
      <c r="E554" s="55"/>
      <c r="F554" s="55"/>
      <c r="G554" s="55"/>
      <c r="H554" s="55"/>
      <c r="I554" s="55"/>
      <c r="J554" s="55"/>
      <c r="K554" s="55"/>
    </row>
    <row r="555">
      <c r="A555" s="55"/>
      <c r="B555" s="55"/>
      <c r="C555" s="55"/>
      <c r="D555" s="55"/>
      <c r="E555" s="55"/>
      <c r="F555" s="55"/>
      <c r="G555" s="55"/>
      <c r="H555" s="55"/>
      <c r="I555" s="55"/>
      <c r="J555" s="55"/>
      <c r="K555" s="55"/>
    </row>
    <row r="556">
      <c r="A556" s="55"/>
      <c r="B556" s="55"/>
      <c r="C556" s="55"/>
      <c r="D556" s="55"/>
      <c r="E556" s="55"/>
      <c r="F556" s="55"/>
      <c r="G556" s="55"/>
      <c r="H556" s="55"/>
      <c r="I556" s="55"/>
      <c r="J556" s="55"/>
      <c r="K556" s="55"/>
    </row>
    <row r="557">
      <c r="A557" s="55"/>
      <c r="B557" s="55"/>
      <c r="C557" s="55"/>
      <c r="D557" s="55"/>
      <c r="E557" s="55"/>
      <c r="F557" s="55"/>
      <c r="G557" s="55"/>
      <c r="H557" s="55"/>
      <c r="I557" s="55"/>
      <c r="J557" s="55"/>
      <c r="K557" s="55"/>
    </row>
    <row r="558">
      <c r="A558" s="55"/>
      <c r="B558" s="55"/>
      <c r="C558" s="55"/>
      <c r="D558" s="55"/>
      <c r="E558" s="55"/>
      <c r="F558" s="55"/>
      <c r="G558" s="55"/>
      <c r="H558" s="55"/>
      <c r="I558" s="55"/>
      <c r="J558" s="55"/>
      <c r="K558" s="55"/>
    </row>
    <row r="559">
      <c r="A559" s="55"/>
      <c r="B559" s="55"/>
      <c r="C559" s="55"/>
      <c r="D559" s="55"/>
      <c r="E559" s="55"/>
      <c r="F559" s="55"/>
      <c r="G559" s="55"/>
      <c r="H559" s="55"/>
      <c r="I559" s="55"/>
      <c r="J559" s="55"/>
      <c r="K559" s="55"/>
    </row>
    <row r="560">
      <c r="A560" s="55"/>
      <c r="B560" s="55"/>
      <c r="C560" s="55"/>
      <c r="D560" s="55"/>
      <c r="E560" s="55"/>
      <c r="F560" s="55"/>
      <c r="G560" s="55"/>
      <c r="H560" s="55"/>
      <c r="I560" s="55"/>
      <c r="J560" s="55"/>
      <c r="K560" s="55"/>
    </row>
    <row r="561">
      <c r="A561" s="55"/>
      <c r="B561" s="55"/>
      <c r="C561" s="55"/>
      <c r="D561" s="55"/>
      <c r="E561" s="55"/>
      <c r="F561" s="55"/>
      <c r="G561" s="55"/>
      <c r="H561" s="55"/>
      <c r="I561" s="55"/>
      <c r="J561" s="55"/>
      <c r="K561" s="55"/>
    </row>
    <row r="562">
      <c r="A562" s="55"/>
      <c r="B562" s="55"/>
      <c r="C562" s="55"/>
      <c r="D562" s="55"/>
      <c r="E562" s="55"/>
      <c r="F562" s="55"/>
      <c r="G562" s="55"/>
      <c r="H562" s="55"/>
      <c r="I562" s="55"/>
      <c r="J562" s="55"/>
      <c r="K562" s="55"/>
    </row>
    <row r="563">
      <c r="A563" s="55"/>
      <c r="B563" s="55"/>
      <c r="C563" s="55"/>
      <c r="D563" s="55"/>
      <c r="E563" s="55"/>
      <c r="F563" s="55"/>
      <c r="G563" s="55"/>
      <c r="H563" s="55"/>
      <c r="I563" s="55"/>
      <c r="J563" s="55"/>
      <c r="K563" s="55"/>
    </row>
    <row r="564">
      <c r="A564" s="55"/>
      <c r="B564" s="55"/>
      <c r="C564" s="55"/>
      <c r="D564" s="55"/>
      <c r="E564" s="55"/>
      <c r="F564" s="55"/>
      <c r="G564" s="55"/>
      <c r="H564" s="55"/>
      <c r="I564" s="55"/>
      <c r="J564" s="55"/>
      <c r="K564" s="55"/>
    </row>
    <row r="565">
      <c r="A565" s="55"/>
      <c r="B565" s="55"/>
      <c r="C565" s="55"/>
      <c r="D565" s="55"/>
      <c r="E565" s="55"/>
      <c r="F565" s="55"/>
      <c r="G565" s="55"/>
      <c r="H565" s="55"/>
      <c r="I565" s="55"/>
      <c r="J565" s="55"/>
      <c r="K565" s="55"/>
    </row>
    <row r="566">
      <c r="A566" s="55"/>
      <c r="B566" s="55"/>
      <c r="C566" s="55"/>
      <c r="D566" s="55"/>
      <c r="E566" s="55"/>
      <c r="F566" s="55"/>
      <c r="G566" s="55"/>
      <c r="H566" s="55"/>
      <c r="I566" s="55"/>
      <c r="J566" s="55"/>
      <c r="K566" s="55"/>
    </row>
    <row r="567">
      <c r="A567" s="55"/>
      <c r="B567" s="55"/>
      <c r="C567" s="55"/>
      <c r="D567" s="55"/>
      <c r="E567" s="55"/>
      <c r="F567" s="55"/>
      <c r="G567" s="55"/>
      <c r="H567" s="55"/>
      <c r="I567" s="55"/>
      <c r="J567" s="55"/>
      <c r="K567" s="55"/>
    </row>
    <row r="568">
      <c r="A568" s="55"/>
      <c r="B568" s="55"/>
      <c r="C568" s="55"/>
      <c r="D568" s="55"/>
      <c r="E568" s="55"/>
      <c r="F568" s="55"/>
      <c r="G568" s="55"/>
      <c r="H568" s="55"/>
      <c r="I568" s="55"/>
      <c r="J568" s="55"/>
      <c r="K568" s="55"/>
    </row>
    <row r="569">
      <c r="A569" s="55"/>
      <c r="B569" s="55"/>
      <c r="C569" s="55"/>
      <c r="D569" s="55"/>
      <c r="E569" s="55"/>
      <c r="F569" s="55"/>
      <c r="G569" s="55"/>
      <c r="H569" s="55"/>
      <c r="I569" s="55"/>
      <c r="J569" s="55"/>
      <c r="K569" s="55"/>
    </row>
    <row r="570">
      <c r="A570" s="55"/>
      <c r="B570" s="55"/>
      <c r="C570" s="55"/>
      <c r="D570" s="55"/>
      <c r="E570" s="55"/>
      <c r="F570" s="55"/>
      <c r="G570" s="55"/>
      <c r="H570" s="55"/>
      <c r="I570" s="55"/>
      <c r="J570" s="55"/>
      <c r="K570" s="55"/>
    </row>
    <row r="571">
      <c r="A571" s="55"/>
      <c r="B571" s="55"/>
      <c r="C571" s="55"/>
      <c r="D571" s="55"/>
      <c r="E571" s="55"/>
      <c r="F571" s="55"/>
      <c r="G571" s="55"/>
      <c r="H571" s="55"/>
      <c r="I571" s="55"/>
      <c r="J571" s="55"/>
      <c r="K571" s="55"/>
    </row>
    <row r="572">
      <c r="A572" s="55"/>
      <c r="B572" s="55"/>
      <c r="C572" s="55"/>
      <c r="D572" s="55"/>
      <c r="E572" s="55"/>
      <c r="F572" s="55"/>
      <c r="G572" s="55"/>
      <c r="H572" s="55"/>
      <c r="I572" s="55"/>
      <c r="J572" s="55"/>
      <c r="K572" s="55"/>
    </row>
    <row r="573">
      <c r="A573" s="55"/>
      <c r="B573" s="55"/>
      <c r="C573" s="55"/>
      <c r="D573" s="55"/>
      <c r="E573" s="55"/>
      <c r="F573" s="55"/>
      <c r="G573" s="55"/>
      <c r="H573" s="55"/>
      <c r="I573" s="55"/>
      <c r="J573" s="55"/>
      <c r="K573" s="55"/>
    </row>
    <row r="574">
      <c r="A574" s="55"/>
      <c r="B574" s="55"/>
      <c r="C574" s="55"/>
      <c r="D574" s="55"/>
      <c r="E574" s="55"/>
      <c r="F574" s="55"/>
      <c r="G574" s="55"/>
      <c r="H574" s="55"/>
      <c r="I574" s="55"/>
      <c r="J574" s="55"/>
      <c r="K574" s="55"/>
    </row>
    <row r="575">
      <c r="A575" s="55"/>
      <c r="B575" s="55"/>
      <c r="C575" s="55"/>
      <c r="D575" s="55"/>
      <c r="E575" s="55"/>
      <c r="F575" s="55"/>
      <c r="G575" s="55"/>
      <c r="H575" s="55"/>
      <c r="I575" s="55"/>
      <c r="J575" s="55"/>
      <c r="K575" s="55"/>
    </row>
    <row r="576">
      <c r="A576" s="55"/>
      <c r="B576" s="55"/>
      <c r="C576" s="55"/>
      <c r="D576" s="55"/>
      <c r="E576" s="55"/>
      <c r="F576" s="55"/>
      <c r="G576" s="55"/>
      <c r="H576" s="55"/>
      <c r="I576" s="55"/>
      <c r="J576" s="55"/>
      <c r="K576" s="55"/>
    </row>
    <row r="577">
      <c r="A577" s="55"/>
      <c r="B577" s="55"/>
      <c r="C577" s="55"/>
      <c r="D577" s="55"/>
      <c r="E577" s="55"/>
      <c r="F577" s="55"/>
      <c r="G577" s="55"/>
      <c r="H577" s="55"/>
      <c r="I577" s="55"/>
      <c r="J577" s="55"/>
      <c r="K577" s="55"/>
    </row>
    <row r="578">
      <c r="A578" s="55"/>
      <c r="B578" s="55"/>
      <c r="C578" s="55"/>
      <c r="D578" s="55"/>
      <c r="E578" s="55"/>
      <c r="F578" s="55"/>
      <c r="G578" s="55"/>
      <c r="H578" s="55"/>
      <c r="I578" s="55"/>
      <c r="J578" s="55"/>
      <c r="K578" s="55"/>
    </row>
    <row r="579">
      <c r="A579" s="55"/>
      <c r="B579" s="55"/>
      <c r="C579" s="55"/>
      <c r="D579" s="55"/>
      <c r="E579" s="55"/>
      <c r="F579" s="55"/>
      <c r="G579" s="55"/>
      <c r="H579" s="55"/>
      <c r="I579" s="55"/>
      <c r="J579" s="55"/>
      <c r="K579" s="55"/>
    </row>
    <row r="580">
      <c r="A580" s="55"/>
      <c r="B580" s="55"/>
      <c r="C580" s="55"/>
      <c r="D580" s="55"/>
      <c r="E580" s="55"/>
      <c r="F580" s="55"/>
      <c r="G580" s="55"/>
      <c r="H580" s="55"/>
      <c r="I580" s="55"/>
      <c r="J580" s="55"/>
      <c r="K580" s="55"/>
    </row>
    <row r="581">
      <c r="A581" s="55"/>
      <c r="B581" s="55"/>
      <c r="C581" s="55"/>
      <c r="D581" s="55"/>
      <c r="E581" s="55"/>
      <c r="F581" s="55"/>
      <c r="G581" s="55"/>
      <c r="H581" s="55"/>
      <c r="I581" s="55"/>
      <c r="J581" s="55"/>
      <c r="K581" s="55"/>
    </row>
    <row r="582">
      <c r="A582" s="55"/>
      <c r="B582" s="55"/>
      <c r="C582" s="55"/>
      <c r="D582" s="55"/>
      <c r="E582" s="55"/>
      <c r="F582" s="55"/>
      <c r="G582" s="55"/>
      <c r="H582" s="55"/>
      <c r="I582" s="55"/>
      <c r="J582" s="55"/>
      <c r="K582" s="55"/>
    </row>
    <row r="583">
      <c r="A583" s="55"/>
      <c r="B583" s="55"/>
      <c r="C583" s="55"/>
      <c r="D583" s="55"/>
      <c r="E583" s="55"/>
      <c r="F583" s="55"/>
      <c r="G583" s="55"/>
      <c r="H583" s="55"/>
      <c r="I583" s="55"/>
      <c r="J583" s="55"/>
      <c r="K583" s="55"/>
    </row>
    <row r="584">
      <c r="A584" s="55"/>
      <c r="B584" s="55"/>
      <c r="C584" s="55"/>
      <c r="D584" s="55"/>
      <c r="E584" s="55"/>
      <c r="F584" s="55"/>
      <c r="G584" s="55"/>
      <c r="H584" s="55"/>
      <c r="I584" s="55"/>
      <c r="J584" s="55"/>
      <c r="K584" s="55"/>
    </row>
    <row r="585">
      <c r="A585" s="55"/>
      <c r="B585" s="55"/>
      <c r="C585" s="55"/>
      <c r="D585" s="55"/>
      <c r="E585" s="55"/>
      <c r="F585" s="55"/>
      <c r="G585" s="55"/>
      <c r="H585" s="55"/>
      <c r="I585" s="55"/>
      <c r="J585" s="55"/>
      <c r="K585" s="55"/>
    </row>
    <row r="586">
      <c r="A586" s="55"/>
      <c r="B586" s="55"/>
      <c r="C586" s="55"/>
      <c r="D586" s="55"/>
      <c r="E586" s="55"/>
      <c r="F586" s="55"/>
      <c r="G586" s="55"/>
      <c r="H586" s="55"/>
      <c r="I586" s="55"/>
      <c r="J586" s="55"/>
      <c r="K586" s="55"/>
    </row>
    <row r="587">
      <c r="A587" s="55"/>
      <c r="B587" s="55"/>
      <c r="C587" s="55"/>
      <c r="D587" s="55"/>
      <c r="E587" s="55"/>
      <c r="F587" s="55"/>
      <c r="G587" s="55"/>
      <c r="H587" s="55"/>
      <c r="I587" s="55"/>
      <c r="J587" s="55"/>
      <c r="K587" s="55"/>
    </row>
    <row r="588">
      <c r="A588" s="55"/>
      <c r="B588" s="55"/>
      <c r="C588" s="55"/>
      <c r="D588" s="55"/>
      <c r="E588" s="55"/>
      <c r="F588" s="55"/>
      <c r="G588" s="55"/>
      <c r="H588" s="55"/>
      <c r="I588" s="55"/>
      <c r="J588" s="55"/>
      <c r="K588" s="55"/>
    </row>
    <row r="589">
      <c r="A589" s="55"/>
      <c r="B589" s="55"/>
      <c r="C589" s="55"/>
      <c r="D589" s="55"/>
      <c r="E589" s="55"/>
      <c r="F589" s="55"/>
      <c r="G589" s="55"/>
      <c r="H589" s="55"/>
      <c r="I589" s="55"/>
      <c r="J589" s="55"/>
      <c r="K589" s="55"/>
    </row>
    <row r="590">
      <c r="A590" s="55"/>
      <c r="B590" s="55"/>
      <c r="C590" s="55"/>
      <c r="D590" s="55"/>
      <c r="E590" s="55"/>
      <c r="F590" s="55"/>
      <c r="G590" s="55"/>
      <c r="H590" s="55"/>
      <c r="I590" s="55"/>
      <c r="J590" s="55"/>
      <c r="K590" s="55"/>
    </row>
    <row r="591">
      <c r="A591" s="55"/>
      <c r="B591" s="55"/>
      <c r="C591" s="55"/>
      <c r="D591" s="55"/>
      <c r="E591" s="55"/>
      <c r="F591" s="55"/>
      <c r="G591" s="55"/>
      <c r="H591" s="55"/>
      <c r="I591" s="55"/>
      <c r="J591" s="55"/>
      <c r="K591" s="55"/>
    </row>
    <row r="592">
      <c r="A592" s="55"/>
      <c r="B592" s="55"/>
      <c r="C592" s="55"/>
      <c r="D592" s="55"/>
      <c r="E592" s="55"/>
      <c r="F592" s="55"/>
      <c r="G592" s="55"/>
      <c r="H592" s="55"/>
      <c r="I592" s="55"/>
      <c r="J592" s="55"/>
      <c r="K592" s="55"/>
    </row>
    <row r="593">
      <c r="A593" s="55"/>
      <c r="B593" s="55"/>
      <c r="C593" s="55"/>
      <c r="D593" s="55"/>
      <c r="E593" s="55"/>
      <c r="F593" s="55"/>
      <c r="G593" s="55"/>
      <c r="H593" s="55"/>
      <c r="I593" s="55"/>
      <c r="J593" s="55"/>
      <c r="K593" s="55"/>
    </row>
    <row r="594">
      <c r="A594" s="55"/>
      <c r="B594" s="55"/>
      <c r="C594" s="55"/>
      <c r="D594" s="55"/>
      <c r="E594" s="55"/>
      <c r="F594" s="55"/>
      <c r="G594" s="55"/>
      <c r="H594" s="55"/>
      <c r="I594" s="55"/>
      <c r="J594" s="55"/>
      <c r="K594" s="55"/>
    </row>
    <row r="595">
      <c r="A595" s="55"/>
      <c r="B595" s="55"/>
      <c r="C595" s="55"/>
      <c r="D595" s="55"/>
      <c r="E595" s="55"/>
      <c r="F595" s="55"/>
      <c r="G595" s="55"/>
      <c r="H595" s="55"/>
      <c r="I595" s="55"/>
      <c r="J595" s="55"/>
      <c r="K595" s="55"/>
    </row>
    <row r="596">
      <c r="A596" s="55"/>
      <c r="B596" s="55"/>
      <c r="C596" s="55"/>
      <c r="D596" s="55"/>
      <c r="E596" s="55"/>
      <c r="F596" s="55"/>
      <c r="G596" s="55"/>
      <c r="H596" s="55"/>
      <c r="I596" s="55"/>
      <c r="J596" s="55"/>
      <c r="K596" s="55"/>
    </row>
    <row r="597">
      <c r="A597" s="55"/>
      <c r="B597" s="55"/>
      <c r="C597" s="55"/>
      <c r="D597" s="55"/>
      <c r="E597" s="55"/>
      <c r="F597" s="55"/>
      <c r="G597" s="55"/>
      <c r="H597" s="55"/>
      <c r="I597" s="55"/>
      <c r="J597" s="55"/>
      <c r="K597" s="55"/>
    </row>
    <row r="598">
      <c r="A598" s="55"/>
      <c r="B598" s="55"/>
      <c r="C598" s="55"/>
      <c r="D598" s="55"/>
      <c r="E598" s="55"/>
      <c r="F598" s="55"/>
      <c r="G598" s="55"/>
      <c r="H598" s="55"/>
      <c r="I598" s="55"/>
      <c r="J598" s="55"/>
      <c r="K598" s="55"/>
    </row>
    <row r="599">
      <c r="A599" s="55"/>
      <c r="B599" s="55"/>
      <c r="C599" s="55"/>
      <c r="D599" s="55"/>
      <c r="E599" s="55"/>
      <c r="F599" s="55"/>
      <c r="G599" s="55"/>
      <c r="H599" s="55"/>
      <c r="I599" s="55"/>
      <c r="J599" s="55"/>
      <c r="K599" s="55"/>
    </row>
    <row r="600">
      <c r="A600" s="55"/>
      <c r="B600" s="55"/>
      <c r="C600" s="55"/>
      <c r="D600" s="55"/>
      <c r="E600" s="55"/>
      <c r="F600" s="55"/>
      <c r="G600" s="55"/>
      <c r="H600" s="55"/>
      <c r="I600" s="55"/>
      <c r="J600" s="55"/>
      <c r="K600" s="55"/>
    </row>
    <row r="601">
      <c r="A601" s="55"/>
      <c r="B601" s="55"/>
      <c r="C601" s="55"/>
      <c r="D601" s="55"/>
      <c r="E601" s="55"/>
      <c r="F601" s="55"/>
      <c r="G601" s="55"/>
      <c r="H601" s="55"/>
      <c r="I601" s="55"/>
      <c r="J601" s="55"/>
      <c r="K601" s="55"/>
    </row>
    <row r="602">
      <c r="A602" s="55"/>
      <c r="B602" s="55"/>
      <c r="C602" s="55"/>
      <c r="D602" s="55"/>
      <c r="E602" s="55"/>
      <c r="F602" s="55"/>
      <c r="G602" s="55"/>
      <c r="H602" s="55"/>
      <c r="I602" s="55"/>
      <c r="J602" s="55"/>
      <c r="K602" s="55"/>
    </row>
    <row r="603">
      <c r="A603" s="55"/>
      <c r="B603" s="55"/>
      <c r="C603" s="55"/>
      <c r="D603" s="55"/>
      <c r="E603" s="55"/>
      <c r="F603" s="55"/>
      <c r="G603" s="55"/>
      <c r="H603" s="55"/>
      <c r="I603" s="55"/>
      <c r="J603" s="55"/>
      <c r="K603" s="55"/>
    </row>
    <row r="604">
      <c r="A604" s="55"/>
      <c r="B604" s="55"/>
      <c r="C604" s="55"/>
      <c r="D604" s="55"/>
      <c r="E604" s="55"/>
      <c r="F604" s="55"/>
      <c r="G604" s="55"/>
      <c r="H604" s="55"/>
      <c r="I604" s="55"/>
      <c r="J604" s="55"/>
      <c r="K604" s="55"/>
    </row>
    <row r="605">
      <c r="A605" s="55"/>
      <c r="B605" s="55"/>
      <c r="C605" s="55"/>
      <c r="D605" s="55"/>
      <c r="E605" s="55"/>
      <c r="F605" s="55"/>
      <c r="G605" s="55"/>
      <c r="H605" s="55"/>
      <c r="I605" s="55"/>
      <c r="J605" s="55"/>
      <c r="K605" s="55"/>
    </row>
    <row r="606">
      <c r="A606" s="55"/>
      <c r="B606" s="55"/>
      <c r="C606" s="55"/>
      <c r="D606" s="55"/>
      <c r="E606" s="55"/>
      <c r="F606" s="55"/>
      <c r="G606" s="55"/>
      <c r="H606" s="55"/>
      <c r="I606" s="55"/>
      <c r="J606" s="55"/>
      <c r="K606" s="55"/>
    </row>
    <row r="607">
      <c r="A607" s="55"/>
      <c r="B607" s="55"/>
      <c r="C607" s="55"/>
      <c r="D607" s="55"/>
      <c r="E607" s="55"/>
      <c r="F607" s="55"/>
      <c r="G607" s="55"/>
      <c r="H607" s="55"/>
      <c r="I607" s="55"/>
      <c r="J607" s="55"/>
      <c r="K607" s="55"/>
    </row>
    <row r="608">
      <c r="A608" s="55"/>
      <c r="B608" s="55"/>
      <c r="C608" s="55"/>
      <c r="D608" s="55"/>
      <c r="E608" s="55"/>
      <c r="F608" s="55"/>
      <c r="G608" s="55"/>
      <c r="H608" s="55"/>
      <c r="I608" s="55"/>
      <c r="J608" s="55"/>
      <c r="K608" s="55"/>
    </row>
    <row r="609">
      <c r="A609" s="55"/>
      <c r="B609" s="55"/>
      <c r="C609" s="55"/>
      <c r="D609" s="55"/>
      <c r="E609" s="55"/>
      <c r="F609" s="55"/>
      <c r="G609" s="55"/>
      <c r="H609" s="55"/>
      <c r="I609" s="55"/>
      <c r="J609" s="55"/>
      <c r="K609" s="55"/>
    </row>
    <row r="610">
      <c r="A610" s="55"/>
      <c r="B610" s="55"/>
      <c r="C610" s="55"/>
      <c r="D610" s="55"/>
      <c r="E610" s="55"/>
      <c r="F610" s="55"/>
      <c r="G610" s="55"/>
      <c r="H610" s="55"/>
      <c r="I610" s="55"/>
      <c r="J610" s="55"/>
      <c r="K610" s="55"/>
    </row>
    <row r="611">
      <c r="A611" s="55"/>
      <c r="B611" s="55"/>
      <c r="C611" s="55"/>
      <c r="D611" s="55"/>
      <c r="E611" s="55"/>
      <c r="F611" s="55"/>
      <c r="G611" s="55"/>
      <c r="H611" s="55"/>
      <c r="I611" s="55"/>
      <c r="J611" s="55"/>
      <c r="K611" s="55"/>
    </row>
    <row r="612">
      <c r="A612" s="55"/>
      <c r="B612" s="55"/>
      <c r="C612" s="55"/>
      <c r="D612" s="55"/>
      <c r="E612" s="55"/>
      <c r="F612" s="55"/>
      <c r="G612" s="55"/>
      <c r="H612" s="55"/>
      <c r="I612" s="55"/>
      <c r="J612" s="55"/>
      <c r="K612" s="55"/>
    </row>
    <row r="613">
      <c r="A613" s="55"/>
      <c r="B613" s="55"/>
      <c r="C613" s="55"/>
      <c r="D613" s="55"/>
      <c r="E613" s="55"/>
      <c r="F613" s="55"/>
      <c r="G613" s="55"/>
      <c r="H613" s="55"/>
      <c r="I613" s="55"/>
      <c r="J613" s="55"/>
      <c r="K613" s="55"/>
    </row>
    <row r="614">
      <c r="A614" s="55"/>
      <c r="B614" s="55"/>
      <c r="C614" s="55"/>
      <c r="D614" s="55"/>
      <c r="E614" s="55"/>
      <c r="F614" s="55"/>
      <c r="G614" s="55"/>
      <c r="H614" s="55"/>
      <c r="I614" s="55"/>
      <c r="J614" s="55"/>
      <c r="K614" s="55"/>
    </row>
    <row r="615">
      <c r="A615" s="55"/>
      <c r="B615" s="55"/>
      <c r="C615" s="55"/>
      <c r="D615" s="55"/>
      <c r="E615" s="55"/>
      <c r="F615" s="55"/>
      <c r="G615" s="55"/>
      <c r="H615" s="55"/>
      <c r="I615" s="55"/>
      <c r="J615" s="55"/>
      <c r="K615" s="55"/>
    </row>
    <row r="616">
      <c r="A616" s="55"/>
      <c r="B616" s="55"/>
      <c r="C616" s="55"/>
      <c r="D616" s="55"/>
      <c r="E616" s="55"/>
      <c r="F616" s="55"/>
      <c r="G616" s="55"/>
      <c r="H616" s="55"/>
      <c r="I616" s="55"/>
      <c r="J616" s="55"/>
      <c r="K616" s="55"/>
    </row>
    <row r="617">
      <c r="A617" s="55"/>
      <c r="B617" s="55"/>
      <c r="C617" s="55"/>
      <c r="D617" s="55"/>
      <c r="E617" s="55"/>
      <c r="F617" s="55"/>
      <c r="G617" s="55"/>
      <c r="H617" s="55"/>
      <c r="I617" s="55"/>
      <c r="J617" s="55"/>
      <c r="K617" s="55"/>
    </row>
    <row r="618">
      <c r="A618" s="55"/>
      <c r="B618" s="55"/>
      <c r="C618" s="55"/>
      <c r="D618" s="55"/>
      <c r="E618" s="55"/>
      <c r="F618" s="55"/>
      <c r="G618" s="55"/>
      <c r="H618" s="55"/>
      <c r="I618" s="55"/>
      <c r="J618" s="55"/>
      <c r="K618" s="55"/>
    </row>
    <row r="619">
      <c r="A619" s="55"/>
      <c r="B619" s="55"/>
      <c r="C619" s="55"/>
      <c r="D619" s="55"/>
      <c r="E619" s="55"/>
      <c r="F619" s="55"/>
      <c r="G619" s="55"/>
      <c r="H619" s="55"/>
      <c r="I619" s="55"/>
      <c r="J619" s="55"/>
      <c r="K619" s="55"/>
    </row>
    <row r="620">
      <c r="A620" s="55"/>
      <c r="B620" s="55"/>
      <c r="C620" s="55"/>
      <c r="D620" s="55"/>
      <c r="E620" s="55"/>
      <c r="F620" s="55"/>
      <c r="G620" s="55"/>
      <c r="H620" s="55"/>
      <c r="I620" s="55"/>
      <c r="J620" s="55"/>
      <c r="K620" s="55"/>
    </row>
    <row r="621">
      <c r="A621" s="55"/>
      <c r="B621" s="55"/>
      <c r="C621" s="55"/>
      <c r="D621" s="55"/>
      <c r="E621" s="55"/>
      <c r="F621" s="55"/>
      <c r="G621" s="55"/>
      <c r="H621" s="55"/>
      <c r="I621" s="55"/>
      <c r="J621" s="55"/>
      <c r="K621" s="55"/>
    </row>
    <row r="622">
      <c r="A622" s="55"/>
      <c r="B622" s="55"/>
      <c r="C622" s="55"/>
      <c r="D622" s="55"/>
      <c r="E622" s="55"/>
      <c r="F622" s="55"/>
      <c r="G622" s="55"/>
      <c r="H622" s="55"/>
      <c r="I622" s="55"/>
      <c r="J622" s="55"/>
      <c r="K622" s="55"/>
    </row>
    <row r="623">
      <c r="A623" s="55"/>
      <c r="B623" s="55"/>
      <c r="C623" s="55"/>
      <c r="D623" s="55"/>
      <c r="E623" s="55"/>
      <c r="F623" s="55"/>
      <c r="G623" s="55"/>
      <c r="H623" s="55"/>
      <c r="I623" s="55"/>
      <c r="J623" s="55"/>
      <c r="K623" s="55"/>
    </row>
    <row r="624">
      <c r="A624" s="55"/>
      <c r="B624" s="55"/>
      <c r="C624" s="55"/>
      <c r="D624" s="55"/>
      <c r="E624" s="55"/>
      <c r="F624" s="55"/>
      <c r="G624" s="55"/>
      <c r="H624" s="55"/>
      <c r="I624" s="55"/>
      <c r="J624" s="55"/>
      <c r="K624" s="55"/>
    </row>
    <row r="625">
      <c r="A625" s="55"/>
      <c r="B625" s="55"/>
      <c r="C625" s="55"/>
      <c r="D625" s="55"/>
      <c r="E625" s="55"/>
      <c r="F625" s="55"/>
      <c r="G625" s="55"/>
      <c r="H625" s="55"/>
      <c r="I625" s="55"/>
      <c r="J625" s="55"/>
      <c r="K625" s="55"/>
    </row>
    <row r="626">
      <c r="A626" s="55"/>
      <c r="B626" s="55"/>
      <c r="C626" s="55"/>
      <c r="D626" s="55"/>
      <c r="E626" s="55"/>
      <c r="F626" s="55"/>
      <c r="G626" s="55"/>
      <c r="H626" s="55"/>
      <c r="I626" s="55"/>
      <c r="J626" s="55"/>
      <c r="K626" s="55"/>
    </row>
    <row r="627">
      <c r="A627" s="55"/>
      <c r="B627" s="55"/>
      <c r="C627" s="55"/>
      <c r="D627" s="55"/>
      <c r="E627" s="55"/>
      <c r="F627" s="55"/>
      <c r="G627" s="55"/>
      <c r="H627" s="55"/>
      <c r="I627" s="55"/>
      <c r="J627" s="55"/>
      <c r="K627" s="55"/>
    </row>
    <row r="628">
      <c r="A628" s="55"/>
      <c r="B628" s="55"/>
      <c r="C628" s="55"/>
      <c r="D628" s="55"/>
      <c r="E628" s="55"/>
      <c r="F628" s="55"/>
      <c r="G628" s="55"/>
      <c r="H628" s="55"/>
      <c r="I628" s="55"/>
      <c r="J628" s="55"/>
      <c r="K628" s="55"/>
    </row>
    <row r="629">
      <c r="A629" s="55"/>
      <c r="B629" s="55"/>
      <c r="C629" s="55"/>
      <c r="D629" s="55"/>
      <c r="E629" s="55"/>
      <c r="F629" s="55"/>
      <c r="G629" s="55"/>
      <c r="H629" s="55"/>
      <c r="I629" s="55"/>
      <c r="J629" s="55"/>
      <c r="K629" s="55"/>
    </row>
    <row r="630">
      <c r="A630" s="55"/>
      <c r="B630" s="55"/>
      <c r="C630" s="55"/>
      <c r="D630" s="55"/>
      <c r="E630" s="55"/>
      <c r="F630" s="55"/>
      <c r="G630" s="55"/>
      <c r="H630" s="55"/>
      <c r="I630" s="55"/>
      <c r="J630" s="55"/>
      <c r="K630" s="55"/>
    </row>
    <row r="631">
      <c r="A631" s="55"/>
      <c r="B631" s="55"/>
      <c r="C631" s="55"/>
      <c r="D631" s="55"/>
      <c r="E631" s="55"/>
      <c r="F631" s="55"/>
      <c r="G631" s="55"/>
      <c r="H631" s="55"/>
      <c r="I631" s="55"/>
      <c r="J631" s="55"/>
      <c r="K631" s="55"/>
    </row>
    <row r="632">
      <c r="A632" s="55"/>
      <c r="B632" s="55"/>
      <c r="C632" s="55"/>
      <c r="D632" s="55"/>
      <c r="E632" s="55"/>
      <c r="F632" s="55"/>
      <c r="G632" s="55"/>
      <c r="H632" s="55"/>
      <c r="I632" s="55"/>
      <c r="J632" s="55"/>
      <c r="K632" s="55"/>
    </row>
    <row r="633">
      <c r="A633" s="55"/>
      <c r="B633" s="55"/>
      <c r="C633" s="55"/>
      <c r="D633" s="55"/>
      <c r="E633" s="55"/>
      <c r="F633" s="55"/>
      <c r="G633" s="55"/>
      <c r="H633" s="55"/>
      <c r="I633" s="55"/>
      <c r="J633" s="55"/>
      <c r="K633" s="55"/>
    </row>
    <row r="634">
      <c r="A634" s="55"/>
      <c r="B634" s="55"/>
      <c r="C634" s="55"/>
      <c r="D634" s="55"/>
      <c r="E634" s="55"/>
      <c r="F634" s="55"/>
      <c r="G634" s="55"/>
      <c r="H634" s="55"/>
      <c r="I634" s="55"/>
      <c r="J634" s="55"/>
      <c r="K634" s="55"/>
    </row>
    <row r="635">
      <c r="A635" s="55"/>
      <c r="B635" s="55"/>
      <c r="C635" s="55"/>
      <c r="D635" s="55"/>
      <c r="E635" s="55"/>
      <c r="F635" s="55"/>
      <c r="G635" s="55"/>
      <c r="H635" s="55"/>
      <c r="I635" s="55"/>
      <c r="J635" s="55"/>
      <c r="K635" s="55"/>
    </row>
    <row r="636">
      <c r="A636" s="55"/>
      <c r="B636" s="55"/>
      <c r="C636" s="55"/>
      <c r="D636" s="55"/>
      <c r="E636" s="55"/>
      <c r="F636" s="55"/>
      <c r="G636" s="55"/>
      <c r="H636" s="55"/>
      <c r="I636" s="55"/>
      <c r="J636" s="55"/>
      <c r="K636" s="55"/>
    </row>
    <row r="637">
      <c r="A637" s="55"/>
      <c r="B637" s="55"/>
      <c r="C637" s="55"/>
      <c r="D637" s="55"/>
      <c r="E637" s="55"/>
      <c r="F637" s="55"/>
      <c r="G637" s="55"/>
      <c r="H637" s="55"/>
      <c r="I637" s="55"/>
      <c r="J637" s="55"/>
      <c r="K637" s="55"/>
    </row>
    <row r="638">
      <c r="A638" s="55"/>
      <c r="B638" s="55"/>
      <c r="C638" s="55"/>
      <c r="D638" s="55"/>
      <c r="E638" s="55"/>
      <c r="F638" s="55"/>
      <c r="G638" s="55"/>
      <c r="H638" s="55"/>
      <c r="I638" s="55"/>
      <c r="J638" s="55"/>
      <c r="K638" s="55"/>
    </row>
    <row r="639">
      <c r="A639" s="55"/>
      <c r="B639" s="55"/>
      <c r="C639" s="55"/>
      <c r="D639" s="55"/>
      <c r="E639" s="55"/>
      <c r="F639" s="55"/>
      <c r="G639" s="55"/>
      <c r="H639" s="55"/>
      <c r="I639" s="55"/>
      <c r="J639" s="55"/>
      <c r="K639" s="55"/>
    </row>
    <row r="640">
      <c r="A640" s="55"/>
      <c r="B640" s="55"/>
      <c r="C640" s="55"/>
      <c r="D640" s="55"/>
      <c r="E640" s="55"/>
      <c r="F640" s="55"/>
      <c r="G640" s="55"/>
      <c r="H640" s="55"/>
      <c r="I640" s="55"/>
      <c r="J640" s="55"/>
      <c r="K640" s="55"/>
    </row>
    <row r="641">
      <c r="A641" s="55"/>
      <c r="B641" s="55"/>
      <c r="C641" s="55"/>
      <c r="D641" s="55"/>
      <c r="E641" s="55"/>
      <c r="F641" s="55"/>
      <c r="G641" s="55"/>
      <c r="H641" s="55"/>
      <c r="I641" s="55"/>
      <c r="J641" s="55"/>
      <c r="K641" s="55"/>
    </row>
    <row r="642">
      <c r="A642" s="55"/>
      <c r="B642" s="55"/>
      <c r="C642" s="55"/>
      <c r="D642" s="55"/>
      <c r="E642" s="55"/>
      <c r="F642" s="55"/>
      <c r="G642" s="55"/>
      <c r="H642" s="55"/>
      <c r="I642" s="55"/>
      <c r="J642" s="55"/>
      <c r="K642" s="55"/>
    </row>
    <row r="643">
      <c r="A643" s="55"/>
      <c r="B643" s="55"/>
      <c r="C643" s="55"/>
      <c r="D643" s="55"/>
      <c r="E643" s="55"/>
      <c r="F643" s="55"/>
      <c r="G643" s="55"/>
      <c r="H643" s="55"/>
      <c r="I643" s="55"/>
      <c r="J643" s="55"/>
      <c r="K643" s="55"/>
    </row>
    <row r="644">
      <c r="A644" s="55"/>
      <c r="B644" s="55"/>
      <c r="C644" s="55"/>
      <c r="D644" s="55"/>
      <c r="E644" s="55"/>
      <c r="F644" s="55"/>
      <c r="G644" s="55"/>
      <c r="H644" s="55"/>
      <c r="I644" s="55"/>
      <c r="J644" s="55"/>
      <c r="K644" s="55"/>
    </row>
    <row r="645">
      <c r="A645" s="55"/>
      <c r="B645" s="55"/>
      <c r="C645" s="55"/>
      <c r="D645" s="55"/>
      <c r="E645" s="55"/>
      <c r="F645" s="55"/>
      <c r="G645" s="55"/>
      <c r="H645" s="55"/>
      <c r="I645" s="55"/>
      <c r="J645" s="55"/>
      <c r="K645" s="55"/>
    </row>
    <row r="646">
      <c r="A646" s="55"/>
      <c r="B646" s="55"/>
      <c r="C646" s="55"/>
      <c r="D646" s="55"/>
      <c r="E646" s="55"/>
      <c r="F646" s="55"/>
      <c r="G646" s="55"/>
      <c r="H646" s="55"/>
      <c r="I646" s="55"/>
      <c r="J646" s="55"/>
      <c r="K646" s="55"/>
    </row>
    <row r="647">
      <c r="A647" s="55"/>
      <c r="B647" s="55"/>
      <c r="C647" s="55"/>
      <c r="D647" s="55"/>
      <c r="E647" s="55"/>
      <c r="F647" s="55"/>
      <c r="G647" s="55"/>
      <c r="H647" s="55"/>
      <c r="I647" s="55"/>
      <c r="J647" s="55"/>
      <c r="K647" s="55"/>
    </row>
    <row r="648">
      <c r="A648" s="55"/>
      <c r="B648" s="55"/>
      <c r="C648" s="55"/>
      <c r="D648" s="55"/>
      <c r="E648" s="55"/>
      <c r="F648" s="55"/>
      <c r="G648" s="55"/>
      <c r="H648" s="55"/>
      <c r="I648" s="55"/>
      <c r="J648" s="55"/>
      <c r="K648" s="55"/>
    </row>
    <row r="649">
      <c r="A649" s="55"/>
      <c r="B649" s="55"/>
      <c r="C649" s="55"/>
      <c r="D649" s="55"/>
      <c r="E649" s="55"/>
      <c r="F649" s="55"/>
      <c r="G649" s="55"/>
      <c r="H649" s="55"/>
      <c r="I649" s="55"/>
      <c r="J649" s="55"/>
      <c r="K649" s="55"/>
    </row>
    <row r="650">
      <c r="A650" s="55"/>
      <c r="B650" s="55"/>
      <c r="C650" s="55"/>
      <c r="D650" s="55"/>
      <c r="E650" s="55"/>
      <c r="F650" s="55"/>
      <c r="G650" s="55"/>
      <c r="H650" s="55"/>
      <c r="I650" s="55"/>
      <c r="J650" s="55"/>
      <c r="K650" s="55"/>
    </row>
    <row r="651">
      <c r="A651" s="55"/>
      <c r="B651" s="55"/>
      <c r="C651" s="55"/>
      <c r="D651" s="55"/>
      <c r="E651" s="55"/>
      <c r="F651" s="55"/>
      <c r="G651" s="55"/>
      <c r="H651" s="55"/>
      <c r="I651" s="55"/>
      <c r="J651" s="55"/>
      <c r="K651" s="55"/>
    </row>
    <row r="652">
      <c r="A652" s="55"/>
      <c r="B652" s="55"/>
      <c r="C652" s="55"/>
      <c r="D652" s="55"/>
      <c r="E652" s="55"/>
      <c r="F652" s="55"/>
      <c r="G652" s="55"/>
      <c r="H652" s="55"/>
      <c r="I652" s="55"/>
      <c r="J652" s="55"/>
      <c r="K652" s="55"/>
    </row>
    <row r="653">
      <c r="A653" s="55"/>
      <c r="B653" s="55"/>
      <c r="C653" s="55"/>
      <c r="D653" s="55"/>
      <c r="E653" s="55"/>
      <c r="F653" s="55"/>
      <c r="G653" s="55"/>
      <c r="H653" s="55"/>
      <c r="I653" s="55"/>
      <c r="J653" s="55"/>
      <c r="K653" s="55"/>
    </row>
    <row r="654">
      <c r="A654" s="55"/>
      <c r="B654" s="55"/>
      <c r="C654" s="55"/>
      <c r="D654" s="55"/>
      <c r="E654" s="55"/>
      <c r="F654" s="55"/>
      <c r="G654" s="55"/>
      <c r="H654" s="55"/>
      <c r="I654" s="55"/>
      <c r="J654" s="55"/>
      <c r="K654" s="55"/>
    </row>
    <row r="655">
      <c r="A655" s="55"/>
      <c r="B655" s="55"/>
      <c r="C655" s="55"/>
      <c r="D655" s="55"/>
      <c r="E655" s="55"/>
      <c r="F655" s="55"/>
      <c r="G655" s="55"/>
      <c r="H655" s="55"/>
      <c r="I655" s="55"/>
      <c r="J655" s="55"/>
      <c r="K655" s="55"/>
    </row>
    <row r="656">
      <c r="A656" s="55"/>
      <c r="B656" s="55"/>
      <c r="C656" s="55"/>
      <c r="D656" s="55"/>
      <c r="E656" s="55"/>
      <c r="F656" s="55"/>
      <c r="G656" s="55"/>
      <c r="H656" s="55"/>
      <c r="I656" s="55"/>
      <c r="J656" s="55"/>
      <c r="K656" s="55"/>
    </row>
    <row r="657">
      <c r="A657" s="55"/>
      <c r="B657" s="55"/>
      <c r="C657" s="55"/>
      <c r="D657" s="55"/>
      <c r="E657" s="55"/>
      <c r="F657" s="55"/>
      <c r="G657" s="55"/>
      <c r="H657" s="55"/>
      <c r="I657" s="55"/>
      <c r="J657" s="55"/>
      <c r="K657" s="55"/>
    </row>
    <row r="658">
      <c r="A658" s="55"/>
      <c r="B658" s="55"/>
      <c r="C658" s="55"/>
      <c r="D658" s="55"/>
      <c r="E658" s="55"/>
      <c r="F658" s="55"/>
      <c r="G658" s="55"/>
      <c r="H658" s="55"/>
      <c r="I658" s="55"/>
      <c r="J658" s="55"/>
      <c r="K658" s="55"/>
    </row>
    <row r="659">
      <c r="A659" s="55"/>
      <c r="B659" s="55"/>
      <c r="C659" s="55"/>
      <c r="D659" s="55"/>
      <c r="E659" s="55"/>
      <c r="F659" s="55"/>
      <c r="G659" s="55"/>
      <c r="H659" s="55"/>
      <c r="I659" s="55"/>
      <c r="J659" s="55"/>
      <c r="K659" s="55"/>
    </row>
    <row r="660">
      <c r="A660" s="55"/>
      <c r="B660" s="55"/>
      <c r="C660" s="55"/>
      <c r="D660" s="55"/>
      <c r="E660" s="55"/>
      <c r="F660" s="55"/>
      <c r="G660" s="55"/>
      <c r="H660" s="55"/>
      <c r="I660" s="55"/>
      <c r="J660" s="55"/>
      <c r="K660" s="55"/>
    </row>
    <row r="661">
      <c r="A661" s="55"/>
      <c r="B661" s="55"/>
      <c r="C661" s="55"/>
      <c r="D661" s="55"/>
      <c r="E661" s="55"/>
      <c r="F661" s="55"/>
      <c r="G661" s="55"/>
      <c r="H661" s="55"/>
      <c r="I661" s="55"/>
      <c r="J661" s="55"/>
      <c r="K661" s="55"/>
    </row>
    <row r="662">
      <c r="A662" s="55"/>
      <c r="B662" s="55"/>
      <c r="C662" s="55"/>
      <c r="D662" s="55"/>
      <c r="E662" s="55"/>
      <c r="F662" s="55"/>
      <c r="G662" s="55"/>
      <c r="H662" s="55"/>
      <c r="I662" s="55"/>
      <c r="J662" s="55"/>
      <c r="K662" s="55"/>
    </row>
    <row r="663">
      <c r="A663" s="55"/>
      <c r="B663" s="55"/>
      <c r="C663" s="55"/>
      <c r="D663" s="55"/>
      <c r="E663" s="55"/>
      <c r="F663" s="55"/>
      <c r="G663" s="55"/>
      <c r="H663" s="55"/>
      <c r="I663" s="55"/>
      <c r="J663" s="55"/>
      <c r="K663" s="55"/>
    </row>
    <row r="664">
      <c r="A664" s="55"/>
      <c r="B664" s="55"/>
      <c r="C664" s="55"/>
      <c r="D664" s="55"/>
      <c r="E664" s="55"/>
      <c r="F664" s="55"/>
      <c r="G664" s="55"/>
      <c r="H664" s="55"/>
      <c r="I664" s="55"/>
      <c r="J664" s="55"/>
      <c r="K664" s="55"/>
    </row>
    <row r="665">
      <c r="A665" s="55"/>
      <c r="B665" s="55"/>
      <c r="C665" s="55"/>
      <c r="D665" s="55"/>
      <c r="E665" s="55"/>
      <c r="F665" s="55"/>
      <c r="G665" s="55"/>
      <c r="H665" s="55"/>
      <c r="I665" s="55"/>
      <c r="J665" s="55"/>
      <c r="K665" s="55"/>
    </row>
    <row r="666">
      <c r="A666" s="55"/>
      <c r="B666" s="55"/>
      <c r="C666" s="55"/>
      <c r="D666" s="55"/>
      <c r="E666" s="55"/>
      <c r="F666" s="55"/>
      <c r="G666" s="55"/>
      <c r="H666" s="55"/>
      <c r="I666" s="55"/>
      <c r="J666" s="55"/>
      <c r="K666" s="55"/>
    </row>
    <row r="667">
      <c r="A667" s="55"/>
      <c r="B667" s="55"/>
      <c r="C667" s="55"/>
      <c r="D667" s="55"/>
      <c r="E667" s="55"/>
      <c r="F667" s="55"/>
      <c r="G667" s="55"/>
      <c r="H667" s="55"/>
      <c r="I667" s="55"/>
      <c r="J667" s="55"/>
      <c r="K667" s="55"/>
    </row>
    <row r="668">
      <c r="A668" s="55"/>
      <c r="B668" s="55"/>
      <c r="C668" s="55"/>
      <c r="D668" s="55"/>
      <c r="E668" s="55"/>
      <c r="F668" s="55"/>
      <c r="G668" s="55"/>
      <c r="H668" s="55"/>
      <c r="I668" s="55"/>
      <c r="J668" s="55"/>
      <c r="K668" s="55"/>
    </row>
    <row r="669">
      <c r="A669" s="55"/>
      <c r="B669" s="55"/>
      <c r="C669" s="55"/>
      <c r="D669" s="55"/>
      <c r="E669" s="55"/>
      <c r="F669" s="55"/>
      <c r="G669" s="55"/>
      <c r="H669" s="55"/>
      <c r="I669" s="55"/>
      <c r="J669" s="55"/>
      <c r="K669" s="55"/>
    </row>
    <row r="670">
      <c r="A670" s="55"/>
      <c r="B670" s="55"/>
      <c r="C670" s="55"/>
      <c r="D670" s="55"/>
      <c r="E670" s="55"/>
      <c r="F670" s="55"/>
      <c r="G670" s="55"/>
      <c r="H670" s="55"/>
      <c r="I670" s="55"/>
      <c r="J670" s="55"/>
      <c r="K670" s="55"/>
    </row>
    <row r="671">
      <c r="A671" s="55"/>
      <c r="B671" s="55"/>
      <c r="C671" s="55"/>
      <c r="D671" s="55"/>
      <c r="E671" s="55"/>
      <c r="F671" s="55"/>
      <c r="G671" s="55"/>
      <c r="H671" s="55"/>
      <c r="I671" s="55"/>
      <c r="J671" s="55"/>
      <c r="K671" s="55"/>
    </row>
    <row r="672">
      <c r="A672" s="55"/>
      <c r="B672" s="55"/>
      <c r="C672" s="55"/>
      <c r="D672" s="55"/>
      <c r="E672" s="55"/>
      <c r="F672" s="55"/>
      <c r="G672" s="55"/>
      <c r="H672" s="55"/>
      <c r="I672" s="55"/>
      <c r="J672" s="55"/>
      <c r="K672" s="55"/>
    </row>
    <row r="673">
      <c r="A673" s="55"/>
      <c r="B673" s="55"/>
      <c r="C673" s="55"/>
      <c r="D673" s="55"/>
      <c r="E673" s="55"/>
      <c r="F673" s="55"/>
      <c r="G673" s="55"/>
      <c r="H673" s="55"/>
      <c r="I673" s="55"/>
      <c r="J673" s="55"/>
      <c r="K673" s="55"/>
    </row>
    <row r="674">
      <c r="A674" s="55"/>
      <c r="B674" s="55"/>
      <c r="C674" s="55"/>
      <c r="D674" s="55"/>
      <c r="E674" s="55"/>
      <c r="F674" s="55"/>
      <c r="G674" s="55"/>
      <c r="H674" s="55"/>
      <c r="I674" s="55"/>
      <c r="J674" s="55"/>
      <c r="K674" s="55"/>
    </row>
    <row r="675">
      <c r="A675" s="55"/>
      <c r="B675" s="55"/>
      <c r="C675" s="55"/>
      <c r="D675" s="55"/>
      <c r="E675" s="55"/>
      <c r="F675" s="55"/>
      <c r="G675" s="55"/>
      <c r="H675" s="55"/>
      <c r="I675" s="55"/>
      <c r="J675" s="55"/>
      <c r="K675" s="55"/>
    </row>
    <row r="676">
      <c r="A676" s="55"/>
      <c r="B676" s="55"/>
      <c r="C676" s="55"/>
      <c r="D676" s="55"/>
      <c r="E676" s="55"/>
      <c r="F676" s="55"/>
      <c r="G676" s="55"/>
      <c r="H676" s="55"/>
      <c r="I676" s="55"/>
      <c r="J676" s="55"/>
      <c r="K676" s="55"/>
    </row>
    <row r="677">
      <c r="A677" s="55"/>
      <c r="B677" s="55"/>
      <c r="C677" s="55"/>
      <c r="D677" s="55"/>
      <c r="E677" s="55"/>
      <c r="F677" s="55"/>
      <c r="G677" s="55"/>
      <c r="H677" s="55"/>
      <c r="I677" s="55"/>
      <c r="J677" s="55"/>
      <c r="K677" s="55"/>
    </row>
    <row r="678">
      <c r="A678" s="55"/>
      <c r="B678" s="55"/>
      <c r="C678" s="55"/>
      <c r="D678" s="55"/>
      <c r="E678" s="55"/>
      <c r="F678" s="55"/>
      <c r="G678" s="55"/>
      <c r="H678" s="55"/>
      <c r="I678" s="55"/>
      <c r="J678" s="55"/>
      <c r="K678" s="55"/>
    </row>
    <row r="679">
      <c r="A679" s="55"/>
      <c r="B679" s="55"/>
      <c r="C679" s="55"/>
      <c r="D679" s="55"/>
      <c r="E679" s="55"/>
      <c r="F679" s="55"/>
      <c r="G679" s="55"/>
      <c r="H679" s="55"/>
      <c r="I679" s="55"/>
      <c r="J679" s="55"/>
      <c r="K679" s="55"/>
    </row>
    <row r="680">
      <c r="A680" s="55"/>
      <c r="B680" s="55"/>
      <c r="C680" s="55"/>
      <c r="D680" s="55"/>
      <c r="E680" s="55"/>
      <c r="F680" s="55"/>
      <c r="G680" s="55"/>
      <c r="H680" s="55"/>
      <c r="I680" s="55"/>
      <c r="J680" s="55"/>
      <c r="K680" s="55"/>
    </row>
    <row r="681">
      <c r="A681" s="55"/>
      <c r="B681" s="55"/>
      <c r="C681" s="55"/>
      <c r="D681" s="55"/>
      <c r="E681" s="55"/>
      <c r="F681" s="55"/>
      <c r="G681" s="55"/>
      <c r="H681" s="55"/>
      <c r="I681" s="55"/>
      <c r="J681" s="55"/>
      <c r="K681" s="55"/>
    </row>
    <row r="682">
      <c r="A682" s="55"/>
      <c r="B682" s="55"/>
      <c r="C682" s="55"/>
      <c r="D682" s="55"/>
      <c r="E682" s="55"/>
      <c r="F682" s="55"/>
      <c r="G682" s="55"/>
      <c r="H682" s="55"/>
      <c r="I682" s="55"/>
      <c r="J682" s="55"/>
      <c r="K682" s="55"/>
    </row>
    <row r="683">
      <c r="A683" s="55"/>
      <c r="B683" s="55"/>
      <c r="C683" s="55"/>
      <c r="D683" s="55"/>
      <c r="E683" s="55"/>
      <c r="F683" s="55"/>
      <c r="G683" s="55"/>
      <c r="H683" s="55"/>
      <c r="I683" s="55"/>
      <c r="J683" s="55"/>
      <c r="K683" s="55"/>
    </row>
    <row r="684">
      <c r="A684" s="55"/>
      <c r="B684" s="55"/>
      <c r="C684" s="55"/>
      <c r="D684" s="55"/>
      <c r="E684" s="55"/>
      <c r="F684" s="55"/>
      <c r="G684" s="55"/>
      <c r="H684" s="55"/>
      <c r="I684" s="55"/>
      <c r="J684" s="55"/>
      <c r="K684" s="55"/>
    </row>
    <row r="685">
      <c r="A685" s="55"/>
      <c r="B685" s="55"/>
      <c r="C685" s="55"/>
      <c r="D685" s="55"/>
      <c r="E685" s="55"/>
      <c r="F685" s="55"/>
      <c r="G685" s="55"/>
      <c r="H685" s="55"/>
      <c r="I685" s="55"/>
      <c r="J685" s="55"/>
      <c r="K685" s="55"/>
    </row>
    <row r="686">
      <c r="A686" s="55"/>
      <c r="B686" s="55"/>
      <c r="C686" s="55"/>
      <c r="D686" s="55"/>
      <c r="E686" s="55"/>
      <c r="F686" s="55"/>
      <c r="G686" s="55"/>
      <c r="H686" s="55"/>
      <c r="I686" s="55"/>
      <c r="J686" s="55"/>
      <c r="K686" s="55"/>
    </row>
    <row r="687">
      <c r="A687" s="55"/>
      <c r="B687" s="55"/>
      <c r="C687" s="55"/>
      <c r="D687" s="55"/>
      <c r="E687" s="55"/>
      <c r="F687" s="55"/>
      <c r="G687" s="55"/>
      <c r="H687" s="55"/>
      <c r="I687" s="55"/>
      <c r="J687" s="55"/>
      <c r="K687" s="55"/>
    </row>
    <row r="688">
      <c r="A688" s="55"/>
      <c r="B688" s="55"/>
      <c r="C688" s="55"/>
      <c r="D688" s="55"/>
      <c r="E688" s="55"/>
      <c r="F688" s="55"/>
      <c r="G688" s="55"/>
      <c r="H688" s="55"/>
      <c r="I688" s="55"/>
      <c r="J688" s="55"/>
      <c r="K688" s="55"/>
    </row>
    <row r="689">
      <c r="A689" s="55"/>
      <c r="B689" s="55"/>
      <c r="C689" s="55"/>
      <c r="D689" s="55"/>
      <c r="E689" s="55"/>
      <c r="F689" s="55"/>
      <c r="G689" s="55"/>
      <c r="H689" s="55"/>
      <c r="I689" s="55"/>
      <c r="J689" s="55"/>
      <c r="K689" s="55"/>
    </row>
    <row r="690">
      <c r="A690" s="55"/>
      <c r="B690" s="55"/>
      <c r="C690" s="55"/>
      <c r="D690" s="55"/>
      <c r="E690" s="55"/>
      <c r="F690" s="55"/>
      <c r="G690" s="55"/>
      <c r="H690" s="55"/>
      <c r="I690" s="55"/>
      <c r="J690" s="55"/>
      <c r="K690" s="55"/>
    </row>
    <row r="691">
      <c r="A691" s="55"/>
      <c r="B691" s="55"/>
      <c r="C691" s="55"/>
      <c r="D691" s="55"/>
      <c r="E691" s="55"/>
      <c r="F691" s="55"/>
      <c r="G691" s="55"/>
      <c r="H691" s="55"/>
      <c r="I691" s="55"/>
      <c r="J691" s="55"/>
      <c r="K691" s="55"/>
    </row>
    <row r="692">
      <c r="A692" s="55"/>
      <c r="B692" s="55"/>
      <c r="C692" s="55"/>
      <c r="D692" s="55"/>
      <c r="E692" s="55"/>
      <c r="F692" s="55"/>
      <c r="G692" s="55"/>
      <c r="H692" s="55"/>
      <c r="I692" s="55"/>
      <c r="J692" s="55"/>
      <c r="K692" s="55"/>
    </row>
    <row r="693">
      <c r="A693" s="55"/>
      <c r="B693" s="55"/>
      <c r="C693" s="55"/>
      <c r="D693" s="55"/>
      <c r="E693" s="55"/>
      <c r="F693" s="55"/>
      <c r="G693" s="55"/>
      <c r="H693" s="55"/>
      <c r="I693" s="55"/>
      <c r="J693" s="55"/>
      <c r="K693" s="55"/>
    </row>
    <row r="694">
      <c r="A694" s="55"/>
      <c r="B694" s="55"/>
      <c r="C694" s="55"/>
      <c r="D694" s="55"/>
      <c r="E694" s="55"/>
      <c r="F694" s="55"/>
      <c r="G694" s="55"/>
      <c r="H694" s="55"/>
      <c r="I694" s="55"/>
      <c r="J694" s="55"/>
      <c r="K694" s="55"/>
    </row>
    <row r="695">
      <c r="A695" s="55"/>
      <c r="B695" s="55"/>
      <c r="C695" s="55"/>
      <c r="D695" s="55"/>
      <c r="E695" s="55"/>
      <c r="F695" s="55"/>
      <c r="G695" s="55"/>
      <c r="H695" s="55"/>
      <c r="I695" s="55"/>
      <c r="J695" s="55"/>
      <c r="K695" s="55"/>
    </row>
    <row r="696">
      <c r="A696" s="55"/>
      <c r="B696" s="55"/>
      <c r="C696" s="55"/>
      <c r="D696" s="55"/>
      <c r="E696" s="55"/>
      <c r="F696" s="55"/>
      <c r="G696" s="55"/>
      <c r="H696" s="55"/>
      <c r="I696" s="55"/>
      <c r="J696" s="55"/>
      <c r="K696" s="55"/>
    </row>
    <row r="697">
      <c r="A697" s="55"/>
      <c r="B697" s="55"/>
      <c r="C697" s="55"/>
      <c r="D697" s="55"/>
      <c r="E697" s="55"/>
      <c r="F697" s="55"/>
      <c r="G697" s="55"/>
      <c r="H697" s="55"/>
      <c r="I697" s="55"/>
      <c r="J697" s="55"/>
      <c r="K697" s="55"/>
    </row>
    <row r="698">
      <c r="A698" s="55"/>
      <c r="B698" s="55"/>
      <c r="C698" s="55"/>
      <c r="D698" s="55"/>
      <c r="E698" s="55"/>
      <c r="F698" s="55"/>
      <c r="G698" s="55"/>
      <c r="H698" s="55"/>
      <c r="I698" s="55"/>
      <c r="J698" s="55"/>
      <c r="K698" s="55"/>
    </row>
    <row r="699">
      <c r="A699" s="55"/>
      <c r="B699" s="55"/>
      <c r="C699" s="55"/>
      <c r="D699" s="55"/>
      <c r="E699" s="55"/>
      <c r="F699" s="55"/>
      <c r="G699" s="55"/>
      <c r="H699" s="55"/>
      <c r="I699" s="55"/>
      <c r="J699" s="55"/>
      <c r="K699" s="55"/>
    </row>
    <row r="700">
      <c r="A700" s="55"/>
      <c r="B700" s="55"/>
      <c r="C700" s="55"/>
      <c r="D700" s="55"/>
      <c r="E700" s="55"/>
      <c r="F700" s="55"/>
      <c r="G700" s="55"/>
      <c r="H700" s="55"/>
      <c r="I700" s="55"/>
      <c r="J700" s="55"/>
      <c r="K700" s="55"/>
    </row>
    <row r="701">
      <c r="A701" s="55"/>
      <c r="B701" s="55"/>
      <c r="C701" s="55"/>
      <c r="D701" s="55"/>
      <c r="E701" s="55"/>
      <c r="F701" s="55"/>
      <c r="G701" s="55"/>
      <c r="H701" s="55"/>
      <c r="I701" s="55"/>
      <c r="J701" s="55"/>
      <c r="K701" s="55"/>
    </row>
    <row r="702">
      <c r="A702" s="55"/>
      <c r="B702" s="55"/>
      <c r="C702" s="55"/>
      <c r="D702" s="55"/>
      <c r="E702" s="55"/>
      <c r="F702" s="55"/>
      <c r="G702" s="55"/>
      <c r="H702" s="55"/>
      <c r="I702" s="55"/>
      <c r="J702" s="55"/>
      <c r="K702" s="55"/>
    </row>
    <row r="703">
      <c r="A703" s="55"/>
      <c r="B703" s="55"/>
      <c r="C703" s="55"/>
      <c r="D703" s="55"/>
      <c r="E703" s="55"/>
      <c r="F703" s="55"/>
      <c r="G703" s="55"/>
      <c r="H703" s="55"/>
      <c r="I703" s="55"/>
      <c r="J703" s="55"/>
      <c r="K703" s="55"/>
    </row>
    <row r="704">
      <c r="A704" s="55"/>
      <c r="B704" s="55"/>
      <c r="C704" s="55"/>
      <c r="D704" s="55"/>
      <c r="E704" s="55"/>
      <c r="F704" s="55"/>
      <c r="G704" s="55"/>
      <c r="H704" s="55"/>
      <c r="I704" s="55"/>
      <c r="J704" s="55"/>
      <c r="K704" s="55"/>
    </row>
    <row r="705">
      <c r="A705" s="55"/>
      <c r="B705" s="55"/>
      <c r="C705" s="55"/>
      <c r="D705" s="55"/>
      <c r="E705" s="55"/>
      <c r="F705" s="55"/>
      <c r="G705" s="55"/>
      <c r="H705" s="55"/>
      <c r="I705" s="55"/>
      <c r="J705" s="55"/>
      <c r="K705" s="55"/>
    </row>
    <row r="706">
      <c r="A706" s="55"/>
      <c r="B706" s="55"/>
      <c r="C706" s="55"/>
      <c r="D706" s="55"/>
      <c r="E706" s="55"/>
      <c r="F706" s="55"/>
      <c r="G706" s="55"/>
      <c r="H706" s="55"/>
      <c r="I706" s="55"/>
      <c r="J706" s="55"/>
      <c r="K706" s="55"/>
    </row>
    <row r="707">
      <c r="A707" s="55"/>
      <c r="B707" s="55"/>
      <c r="C707" s="55"/>
      <c r="D707" s="55"/>
      <c r="E707" s="55"/>
      <c r="F707" s="55"/>
      <c r="G707" s="55"/>
      <c r="H707" s="55"/>
      <c r="I707" s="55"/>
      <c r="J707" s="55"/>
      <c r="K707" s="55"/>
    </row>
    <row r="708">
      <c r="A708" s="55"/>
      <c r="B708" s="55"/>
      <c r="C708" s="55"/>
      <c r="D708" s="55"/>
      <c r="E708" s="55"/>
      <c r="F708" s="55"/>
      <c r="G708" s="55"/>
      <c r="H708" s="55"/>
      <c r="I708" s="55"/>
      <c r="J708" s="55"/>
      <c r="K708" s="55"/>
    </row>
    <row r="709">
      <c r="A709" s="55"/>
      <c r="B709" s="55"/>
      <c r="C709" s="55"/>
      <c r="D709" s="55"/>
      <c r="E709" s="55"/>
      <c r="F709" s="55"/>
      <c r="G709" s="55"/>
      <c r="H709" s="55"/>
      <c r="I709" s="55"/>
      <c r="J709" s="55"/>
      <c r="K709" s="55"/>
    </row>
    <row r="710">
      <c r="A710" s="55"/>
      <c r="B710" s="55"/>
      <c r="C710" s="55"/>
      <c r="D710" s="55"/>
      <c r="E710" s="55"/>
      <c r="F710" s="55"/>
      <c r="G710" s="55"/>
      <c r="H710" s="55"/>
      <c r="I710" s="55"/>
      <c r="J710" s="55"/>
      <c r="K710" s="55"/>
    </row>
    <row r="711">
      <c r="A711" s="55"/>
      <c r="B711" s="55"/>
      <c r="C711" s="55"/>
      <c r="D711" s="55"/>
      <c r="E711" s="55"/>
      <c r="F711" s="55"/>
      <c r="G711" s="55"/>
      <c r="H711" s="55"/>
      <c r="I711" s="55"/>
      <c r="J711" s="55"/>
      <c r="K711" s="55"/>
    </row>
    <row r="712">
      <c r="A712" s="55"/>
      <c r="B712" s="55"/>
      <c r="C712" s="55"/>
      <c r="D712" s="55"/>
      <c r="E712" s="55"/>
      <c r="F712" s="55"/>
      <c r="G712" s="55"/>
      <c r="H712" s="55"/>
      <c r="I712" s="55"/>
      <c r="J712" s="55"/>
      <c r="K712" s="55"/>
    </row>
    <row r="713">
      <c r="A713" s="55"/>
      <c r="B713" s="55"/>
      <c r="C713" s="55"/>
      <c r="D713" s="55"/>
      <c r="E713" s="55"/>
      <c r="F713" s="55"/>
      <c r="G713" s="55"/>
      <c r="H713" s="55"/>
      <c r="I713" s="55"/>
      <c r="J713" s="55"/>
      <c r="K713" s="55"/>
    </row>
    <row r="714">
      <c r="A714" s="55"/>
      <c r="B714" s="55"/>
      <c r="C714" s="55"/>
      <c r="D714" s="55"/>
      <c r="E714" s="55"/>
      <c r="F714" s="55"/>
      <c r="G714" s="55"/>
      <c r="H714" s="55"/>
      <c r="I714" s="55"/>
      <c r="J714" s="55"/>
      <c r="K714" s="55"/>
    </row>
    <row r="715">
      <c r="A715" s="55"/>
      <c r="B715" s="55"/>
      <c r="C715" s="55"/>
      <c r="D715" s="55"/>
      <c r="E715" s="55"/>
      <c r="F715" s="55"/>
      <c r="G715" s="55"/>
      <c r="H715" s="55"/>
      <c r="I715" s="55"/>
      <c r="J715" s="55"/>
      <c r="K715" s="55"/>
    </row>
    <row r="716">
      <c r="A716" s="55"/>
      <c r="B716" s="55"/>
      <c r="C716" s="55"/>
      <c r="D716" s="55"/>
      <c r="E716" s="55"/>
      <c r="F716" s="55"/>
      <c r="G716" s="55"/>
      <c r="H716" s="55"/>
      <c r="I716" s="55"/>
      <c r="J716" s="55"/>
      <c r="K716" s="55"/>
    </row>
    <row r="717">
      <c r="A717" s="55"/>
      <c r="B717" s="55"/>
      <c r="C717" s="55"/>
      <c r="D717" s="55"/>
      <c r="E717" s="55"/>
      <c r="F717" s="55"/>
      <c r="G717" s="55"/>
      <c r="H717" s="55"/>
      <c r="I717" s="55"/>
      <c r="J717" s="55"/>
      <c r="K717" s="55"/>
    </row>
    <row r="718">
      <c r="A718" s="55"/>
      <c r="B718" s="55"/>
      <c r="C718" s="55"/>
      <c r="D718" s="55"/>
      <c r="E718" s="55"/>
      <c r="F718" s="55"/>
      <c r="G718" s="55"/>
      <c r="H718" s="55"/>
      <c r="I718" s="55"/>
      <c r="J718" s="55"/>
      <c r="K718" s="55"/>
    </row>
    <row r="719">
      <c r="A719" s="55"/>
      <c r="B719" s="55"/>
      <c r="C719" s="55"/>
      <c r="D719" s="55"/>
      <c r="E719" s="55"/>
      <c r="F719" s="55"/>
      <c r="G719" s="55"/>
      <c r="H719" s="55"/>
      <c r="I719" s="55"/>
      <c r="J719" s="55"/>
      <c r="K719" s="55"/>
    </row>
    <row r="720">
      <c r="A720" s="55"/>
      <c r="B720" s="55"/>
      <c r="C720" s="55"/>
      <c r="D720" s="55"/>
      <c r="E720" s="55"/>
      <c r="F720" s="55"/>
      <c r="G720" s="55"/>
      <c r="H720" s="55"/>
      <c r="I720" s="55"/>
      <c r="J720" s="55"/>
      <c r="K720" s="55"/>
    </row>
    <row r="721">
      <c r="A721" s="55"/>
      <c r="B721" s="55"/>
      <c r="C721" s="55"/>
      <c r="D721" s="55"/>
      <c r="E721" s="55"/>
      <c r="F721" s="55"/>
      <c r="G721" s="55"/>
      <c r="H721" s="55"/>
      <c r="I721" s="55"/>
      <c r="J721" s="55"/>
      <c r="K721" s="55"/>
    </row>
    <row r="722">
      <c r="A722" s="55"/>
      <c r="B722" s="55"/>
      <c r="C722" s="55"/>
      <c r="D722" s="55"/>
      <c r="E722" s="55"/>
      <c r="F722" s="55"/>
      <c r="G722" s="55"/>
      <c r="H722" s="55"/>
      <c r="I722" s="55"/>
      <c r="J722" s="55"/>
      <c r="K722" s="55"/>
    </row>
    <row r="723">
      <c r="A723" s="55"/>
      <c r="B723" s="55"/>
      <c r="C723" s="55"/>
      <c r="D723" s="55"/>
      <c r="E723" s="55"/>
      <c r="F723" s="55"/>
      <c r="G723" s="55"/>
      <c r="H723" s="55"/>
      <c r="I723" s="55"/>
      <c r="J723" s="55"/>
      <c r="K723" s="55"/>
    </row>
    <row r="724">
      <c r="A724" s="55"/>
      <c r="B724" s="55"/>
      <c r="C724" s="55"/>
      <c r="D724" s="55"/>
      <c r="E724" s="55"/>
      <c r="F724" s="55"/>
      <c r="G724" s="55"/>
      <c r="H724" s="55"/>
      <c r="I724" s="55"/>
      <c r="J724" s="55"/>
      <c r="K724" s="55"/>
    </row>
    <row r="725">
      <c r="A725" s="55"/>
      <c r="B725" s="55"/>
      <c r="C725" s="55"/>
      <c r="D725" s="55"/>
      <c r="E725" s="55"/>
      <c r="F725" s="55"/>
      <c r="G725" s="55"/>
      <c r="H725" s="55"/>
      <c r="I725" s="55"/>
      <c r="J725" s="55"/>
      <c r="K725" s="55"/>
    </row>
    <row r="726">
      <c r="A726" s="55"/>
      <c r="B726" s="55"/>
      <c r="C726" s="55"/>
      <c r="D726" s="55"/>
      <c r="E726" s="55"/>
      <c r="F726" s="55"/>
      <c r="G726" s="55"/>
      <c r="H726" s="55"/>
      <c r="I726" s="55"/>
      <c r="J726" s="55"/>
      <c r="K726" s="55"/>
    </row>
    <row r="727">
      <c r="A727" s="55"/>
      <c r="B727" s="55"/>
      <c r="C727" s="55"/>
      <c r="D727" s="55"/>
      <c r="E727" s="55"/>
      <c r="F727" s="55"/>
      <c r="G727" s="55"/>
      <c r="H727" s="55"/>
      <c r="I727" s="55"/>
      <c r="J727" s="55"/>
      <c r="K727" s="55"/>
    </row>
    <row r="728">
      <c r="A728" s="55"/>
      <c r="B728" s="55"/>
      <c r="C728" s="55"/>
      <c r="D728" s="55"/>
      <c r="E728" s="55"/>
      <c r="F728" s="55"/>
      <c r="G728" s="55"/>
      <c r="H728" s="55"/>
      <c r="I728" s="55"/>
      <c r="J728" s="55"/>
      <c r="K728" s="55"/>
    </row>
    <row r="729">
      <c r="A729" s="55"/>
      <c r="B729" s="55"/>
      <c r="C729" s="55"/>
      <c r="D729" s="55"/>
      <c r="E729" s="55"/>
      <c r="F729" s="55"/>
      <c r="G729" s="55"/>
      <c r="H729" s="55"/>
      <c r="I729" s="55"/>
      <c r="J729" s="55"/>
      <c r="K729" s="55"/>
    </row>
    <row r="730">
      <c r="A730" s="55"/>
      <c r="B730" s="55"/>
      <c r="C730" s="55"/>
      <c r="D730" s="55"/>
      <c r="E730" s="55"/>
      <c r="F730" s="55"/>
      <c r="G730" s="55"/>
      <c r="H730" s="55"/>
      <c r="I730" s="55"/>
      <c r="J730" s="55"/>
      <c r="K730" s="55"/>
    </row>
    <row r="731">
      <c r="A731" s="55"/>
      <c r="B731" s="55"/>
      <c r="C731" s="55"/>
      <c r="D731" s="55"/>
      <c r="E731" s="55"/>
      <c r="F731" s="55"/>
      <c r="G731" s="55"/>
      <c r="H731" s="55"/>
      <c r="I731" s="55"/>
      <c r="J731" s="55"/>
      <c r="K731" s="55"/>
    </row>
    <row r="732">
      <c r="A732" s="55"/>
      <c r="B732" s="55"/>
      <c r="C732" s="55"/>
      <c r="D732" s="55"/>
      <c r="E732" s="55"/>
      <c r="F732" s="55"/>
      <c r="G732" s="55"/>
      <c r="H732" s="55"/>
      <c r="I732" s="55"/>
      <c r="J732" s="55"/>
      <c r="K732" s="55"/>
    </row>
    <row r="733">
      <c r="A733" s="55"/>
      <c r="B733" s="55"/>
      <c r="C733" s="55"/>
      <c r="D733" s="55"/>
      <c r="E733" s="55"/>
      <c r="F733" s="55"/>
      <c r="G733" s="55"/>
      <c r="H733" s="55"/>
      <c r="I733" s="55"/>
      <c r="J733" s="55"/>
      <c r="K733" s="55"/>
    </row>
    <row r="734">
      <c r="A734" s="55"/>
      <c r="B734" s="55"/>
      <c r="C734" s="55"/>
      <c r="D734" s="55"/>
      <c r="E734" s="55"/>
      <c r="F734" s="55"/>
      <c r="G734" s="55"/>
      <c r="H734" s="55"/>
      <c r="I734" s="55"/>
      <c r="J734" s="55"/>
      <c r="K734" s="55"/>
    </row>
    <row r="735">
      <c r="A735" s="55"/>
      <c r="B735" s="55"/>
      <c r="C735" s="55"/>
      <c r="D735" s="55"/>
      <c r="E735" s="55"/>
      <c r="F735" s="55"/>
      <c r="G735" s="55"/>
      <c r="H735" s="55"/>
      <c r="I735" s="55"/>
      <c r="J735" s="55"/>
      <c r="K735" s="55"/>
    </row>
    <row r="736">
      <c r="A736" s="55"/>
      <c r="B736" s="55"/>
      <c r="C736" s="55"/>
      <c r="D736" s="55"/>
      <c r="E736" s="55"/>
      <c r="F736" s="55"/>
      <c r="G736" s="55"/>
      <c r="H736" s="55"/>
      <c r="I736" s="55"/>
      <c r="J736" s="55"/>
      <c r="K736" s="55"/>
    </row>
    <row r="737">
      <c r="A737" s="55"/>
      <c r="B737" s="55"/>
      <c r="C737" s="55"/>
      <c r="D737" s="55"/>
      <c r="E737" s="55"/>
      <c r="F737" s="55"/>
      <c r="G737" s="55"/>
      <c r="H737" s="55"/>
      <c r="I737" s="55"/>
      <c r="J737" s="55"/>
      <c r="K737" s="55"/>
    </row>
    <row r="738">
      <c r="A738" s="55"/>
      <c r="B738" s="55"/>
      <c r="C738" s="55"/>
      <c r="D738" s="55"/>
      <c r="E738" s="55"/>
      <c r="F738" s="55"/>
      <c r="G738" s="55"/>
      <c r="H738" s="55"/>
      <c r="I738" s="55"/>
      <c r="J738" s="55"/>
      <c r="K738" s="55"/>
    </row>
    <row r="739">
      <c r="A739" s="55"/>
      <c r="B739" s="55"/>
      <c r="C739" s="55"/>
      <c r="D739" s="55"/>
      <c r="E739" s="55"/>
      <c r="F739" s="55"/>
      <c r="G739" s="55"/>
      <c r="H739" s="55"/>
      <c r="I739" s="55"/>
      <c r="J739" s="55"/>
      <c r="K739" s="55"/>
    </row>
    <row r="740">
      <c r="A740" s="55"/>
      <c r="B740" s="55"/>
      <c r="C740" s="55"/>
      <c r="D740" s="55"/>
      <c r="E740" s="55"/>
      <c r="F740" s="55"/>
      <c r="G740" s="55"/>
      <c r="H740" s="55"/>
      <c r="I740" s="55"/>
      <c r="J740" s="55"/>
      <c r="K740" s="55"/>
    </row>
    <row r="741">
      <c r="A741" s="55"/>
      <c r="B741" s="55"/>
      <c r="C741" s="55"/>
      <c r="D741" s="55"/>
      <c r="E741" s="55"/>
      <c r="F741" s="55"/>
      <c r="G741" s="55"/>
      <c r="H741" s="55"/>
      <c r="I741" s="55"/>
      <c r="J741" s="55"/>
      <c r="K741" s="55"/>
    </row>
    <row r="742">
      <c r="A742" s="55"/>
      <c r="B742" s="55"/>
      <c r="C742" s="55"/>
      <c r="D742" s="55"/>
      <c r="E742" s="55"/>
      <c r="F742" s="55"/>
      <c r="G742" s="55"/>
      <c r="H742" s="55"/>
      <c r="I742" s="55"/>
      <c r="J742" s="55"/>
      <c r="K742" s="55"/>
    </row>
    <row r="743">
      <c r="A743" s="55"/>
      <c r="B743" s="55"/>
      <c r="C743" s="55"/>
      <c r="D743" s="55"/>
      <c r="E743" s="55"/>
      <c r="F743" s="55"/>
      <c r="G743" s="55"/>
      <c r="H743" s="55"/>
      <c r="I743" s="55"/>
      <c r="J743" s="55"/>
      <c r="K743" s="55"/>
    </row>
    <row r="744">
      <c r="A744" s="55"/>
      <c r="B744" s="55"/>
      <c r="C744" s="55"/>
      <c r="D744" s="55"/>
      <c r="E744" s="55"/>
      <c r="F744" s="55"/>
      <c r="G744" s="55"/>
      <c r="H744" s="55"/>
      <c r="I744" s="55"/>
      <c r="J744" s="55"/>
      <c r="K744" s="55"/>
    </row>
    <row r="745">
      <c r="A745" s="55"/>
      <c r="B745" s="55"/>
      <c r="C745" s="55"/>
      <c r="D745" s="55"/>
      <c r="E745" s="55"/>
      <c r="F745" s="55"/>
      <c r="G745" s="55"/>
      <c r="H745" s="55"/>
      <c r="I745" s="55"/>
      <c r="J745" s="55"/>
      <c r="K745" s="55"/>
    </row>
    <row r="746">
      <c r="A746" s="55"/>
      <c r="B746" s="55"/>
      <c r="C746" s="55"/>
      <c r="D746" s="55"/>
      <c r="E746" s="55"/>
      <c r="F746" s="55"/>
      <c r="G746" s="55"/>
      <c r="H746" s="55"/>
      <c r="I746" s="55"/>
      <c r="J746" s="55"/>
      <c r="K746" s="55"/>
    </row>
    <row r="747">
      <c r="A747" s="55"/>
      <c r="B747" s="55"/>
      <c r="C747" s="55"/>
      <c r="D747" s="55"/>
      <c r="E747" s="55"/>
      <c r="F747" s="55"/>
      <c r="G747" s="55"/>
      <c r="H747" s="55"/>
      <c r="I747" s="55"/>
      <c r="J747" s="55"/>
      <c r="K747" s="55"/>
    </row>
    <row r="748">
      <c r="A748" s="55"/>
      <c r="B748" s="55"/>
      <c r="C748" s="55"/>
      <c r="D748" s="55"/>
      <c r="E748" s="55"/>
      <c r="F748" s="55"/>
      <c r="G748" s="55"/>
      <c r="H748" s="55"/>
      <c r="I748" s="55"/>
      <c r="J748" s="55"/>
      <c r="K748" s="55"/>
    </row>
    <row r="749">
      <c r="A749" s="55"/>
      <c r="B749" s="55"/>
      <c r="C749" s="55"/>
      <c r="D749" s="55"/>
      <c r="E749" s="55"/>
      <c r="F749" s="55"/>
      <c r="G749" s="55"/>
      <c r="H749" s="55"/>
      <c r="I749" s="55"/>
      <c r="J749" s="55"/>
      <c r="K749" s="55"/>
    </row>
    <row r="750">
      <c r="A750" s="55"/>
      <c r="B750" s="55"/>
      <c r="C750" s="55"/>
      <c r="D750" s="55"/>
      <c r="E750" s="55"/>
      <c r="F750" s="55"/>
      <c r="G750" s="55"/>
      <c r="H750" s="55"/>
      <c r="I750" s="55"/>
      <c r="J750" s="55"/>
      <c r="K750" s="55"/>
    </row>
    <row r="751">
      <c r="A751" s="55"/>
      <c r="B751" s="55"/>
      <c r="C751" s="55"/>
      <c r="D751" s="55"/>
      <c r="E751" s="55"/>
      <c r="F751" s="55"/>
      <c r="G751" s="55"/>
      <c r="H751" s="55"/>
      <c r="I751" s="55"/>
      <c r="J751" s="55"/>
      <c r="K751" s="55"/>
    </row>
    <row r="752">
      <c r="A752" s="55"/>
      <c r="B752" s="55"/>
      <c r="C752" s="55"/>
      <c r="D752" s="55"/>
      <c r="E752" s="55"/>
      <c r="F752" s="55"/>
      <c r="G752" s="55"/>
      <c r="H752" s="55"/>
      <c r="I752" s="55"/>
      <c r="J752" s="55"/>
      <c r="K752" s="55"/>
    </row>
    <row r="753">
      <c r="A753" s="55"/>
      <c r="B753" s="55"/>
      <c r="C753" s="55"/>
      <c r="D753" s="55"/>
      <c r="E753" s="55"/>
      <c r="F753" s="55"/>
      <c r="G753" s="55"/>
      <c r="H753" s="55"/>
      <c r="I753" s="55"/>
      <c r="J753" s="55"/>
      <c r="K753" s="55"/>
    </row>
    <row r="754">
      <c r="A754" s="55"/>
      <c r="B754" s="55"/>
      <c r="C754" s="55"/>
      <c r="D754" s="55"/>
      <c r="E754" s="55"/>
      <c r="F754" s="55"/>
      <c r="G754" s="55"/>
      <c r="H754" s="55"/>
      <c r="I754" s="55"/>
      <c r="J754" s="55"/>
      <c r="K754" s="55"/>
    </row>
    <row r="755">
      <c r="A755" s="55"/>
      <c r="B755" s="55"/>
      <c r="C755" s="55"/>
      <c r="D755" s="55"/>
      <c r="E755" s="55"/>
      <c r="F755" s="55"/>
      <c r="G755" s="55"/>
      <c r="H755" s="55"/>
      <c r="I755" s="55"/>
      <c r="J755" s="55"/>
      <c r="K755" s="55"/>
    </row>
    <row r="756">
      <c r="A756" s="55"/>
      <c r="B756" s="55"/>
      <c r="C756" s="55"/>
      <c r="D756" s="55"/>
      <c r="E756" s="55"/>
      <c r="F756" s="55"/>
      <c r="G756" s="55"/>
      <c r="H756" s="55"/>
      <c r="I756" s="55"/>
      <c r="J756" s="55"/>
      <c r="K756" s="55"/>
    </row>
    <row r="757">
      <c r="A757" s="55"/>
      <c r="B757" s="55"/>
      <c r="C757" s="55"/>
      <c r="D757" s="55"/>
      <c r="E757" s="55"/>
      <c r="F757" s="55"/>
      <c r="G757" s="55"/>
      <c r="H757" s="55"/>
      <c r="I757" s="55"/>
      <c r="J757" s="55"/>
      <c r="K757" s="55"/>
    </row>
    <row r="758">
      <c r="A758" s="55"/>
      <c r="B758" s="55"/>
      <c r="C758" s="55"/>
      <c r="D758" s="55"/>
      <c r="E758" s="55"/>
      <c r="F758" s="55"/>
      <c r="G758" s="55"/>
      <c r="H758" s="55"/>
      <c r="I758" s="55"/>
      <c r="J758" s="55"/>
      <c r="K758" s="55"/>
    </row>
    <row r="759">
      <c r="A759" s="55"/>
      <c r="B759" s="55"/>
      <c r="C759" s="55"/>
      <c r="D759" s="55"/>
      <c r="E759" s="55"/>
      <c r="F759" s="55"/>
      <c r="G759" s="55"/>
      <c r="H759" s="55"/>
      <c r="I759" s="55"/>
      <c r="J759" s="55"/>
      <c r="K759" s="55"/>
    </row>
    <row r="760">
      <c r="A760" s="55"/>
      <c r="B760" s="55"/>
      <c r="C760" s="55"/>
      <c r="D760" s="55"/>
      <c r="E760" s="55"/>
      <c r="F760" s="55"/>
      <c r="G760" s="55"/>
      <c r="H760" s="55"/>
      <c r="I760" s="55"/>
      <c r="J760" s="55"/>
      <c r="K760" s="55"/>
    </row>
    <row r="761">
      <c r="A761" s="55"/>
      <c r="B761" s="55"/>
      <c r="C761" s="55"/>
      <c r="D761" s="55"/>
      <c r="E761" s="55"/>
      <c r="F761" s="55"/>
      <c r="G761" s="55"/>
      <c r="H761" s="55"/>
      <c r="I761" s="55"/>
      <c r="J761" s="55"/>
      <c r="K761" s="55"/>
    </row>
    <row r="762">
      <c r="A762" s="55"/>
      <c r="B762" s="55"/>
      <c r="C762" s="55"/>
      <c r="D762" s="55"/>
      <c r="E762" s="55"/>
      <c r="F762" s="55"/>
      <c r="G762" s="55"/>
      <c r="H762" s="55"/>
      <c r="I762" s="55"/>
      <c r="J762" s="55"/>
      <c r="K762" s="55"/>
    </row>
    <row r="763">
      <c r="A763" s="55"/>
      <c r="B763" s="55"/>
      <c r="C763" s="55"/>
      <c r="D763" s="55"/>
      <c r="E763" s="55"/>
      <c r="F763" s="55"/>
      <c r="G763" s="55"/>
      <c r="H763" s="55"/>
      <c r="I763" s="55"/>
      <c r="J763" s="55"/>
      <c r="K763" s="55"/>
    </row>
    <row r="764">
      <c r="A764" s="55"/>
      <c r="B764" s="55"/>
      <c r="C764" s="55"/>
      <c r="D764" s="55"/>
      <c r="E764" s="55"/>
      <c r="F764" s="55"/>
      <c r="G764" s="55"/>
      <c r="H764" s="55"/>
      <c r="I764" s="55"/>
      <c r="J764" s="55"/>
      <c r="K764" s="55"/>
    </row>
    <row r="765">
      <c r="A765" s="55"/>
      <c r="B765" s="55"/>
      <c r="C765" s="55"/>
      <c r="D765" s="55"/>
      <c r="E765" s="55"/>
      <c r="F765" s="55"/>
      <c r="G765" s="55"/>
      <c r="H765" s="55"/>
      <c r="I765" s="55"/>
      <c r="J765" s="55"/>
      <c r="K765" s="55"/>
    </row>
    <row r="766">
      <c r="A766" s="55"/>
      <c r="B766" s="55"/>
      <c r="C766" s="55"/>
      <c r="D766" s="55"/>
      <c r="E766" s="55"/>
      <c r="F766" s="55"/>
      <c r="G766" s="55"/>
      <c r="H766" s="55"/>
      <c r="I766" s="55"/>
      <c r="J766" s="55"/>
      <c r="K766" s="55"/>
    </row>
    <row r="767">
      <c r="A767" s="55"/>
      <c r="B767" s="55"/>
      <c r="C767" s="55"/>
      <c r="D767" s="55"/>
      <c r="E767" s="55"/>
      <c r="F767" s="55"/>
      <c r="G767" s="55"/>
      <c r="H767" s="55"/>
      <c r="I767" s="55"/>
      <c r="J767" s="55"/>
      <c r="K767" s="55"/>
    </row>
    <row r="768">
      <c r="A768" s="55"/>
      <c r="B768" s="55"/>
      <c r="C768" s="55"/>
      <c r="D768" s="55"/>
      <c r="E768" s="55"/>
      <c r="F768" s="55"/>
      <c r="G768" s="55"/>
      <c r="H768" s="55"/>
      <c r="I768" s="55"/>
      <c r="J768" s="55"/>
      <c r="K768" s="55"/>
    </row>
    <row r="769">
      <c r="A769" s="55"/>
      <c r="B769" s="55"/>
      <c r="C769" s="55"/>
      <c r="D769" s="55"/>
      <c r="E769" s="55"/>
      <c r="F769" s="55"/>
      <c r="G769" s="55"/>
      <c r="H769" s="55"/>
      <c r="I769" s="55"/>
      <c r="J769" s="55"/>
      <c r="K769" s="55"/>
    </row>
    <row r="770">
      <c r="A770" s="55"/>
      <c r="B770" s="55"/>
      <c r="C770" s="55"/>
      <c r="D770" s="55"/>
      <c r="E770" s="55"/>
      <c r="F770" s="55"/>
      <c r="G770" s="55"/>
      <c r="H770" s="55"/>
      <c r="I770" s="55"/>
      <c r="J770" s="55"/>
      <c r="K770" s="55"/>
    </row>
    <row r="771">
      <c r="A771" s="55"/>
      <c r="B771" s="55"/>
      <c r="C771" s="55"/>
      <c r="D771" s="55"/>
      <c r="E771" s="55"/>
      <c r="F771" s="55"/>
      <c r="G771" s="55"/>
      <c r="H771" s="55"/>
      <c r="I771" s="55"/>
      <c r="J771" s="55"/>
      <c r="K771" s="55"/>
    </row>
    <row r="772">
      <c r="A772" s="55"/>
      <c r="B772" s="55"/>
      <c r="C772" s="55"/>
      <c r="D772" s="55"/>
      <c r="E772" s="55"/>
      <c r="F772" s="55"/>
      <c r="G772" s="55"/>
      <c r="H772" s="55"/>
      <c r="I772" s="55"/>
      <c r="J772" s="55"/>
      <c r="K772" s="55"/>
    </row>
    <row r="773">
      <c r="A773" s="55"/>
      <c r="B773" s="55"/>
      <c r="C773" s="55"/>
      <c r="D773" s="55"/>
      <c r="E773" s="55"/>
      <c r="F773" s="55"/>
      <c r="G773" s="55"/>
      <c r="H773" s="55"/>
      <c r="I773" s="55"/>
      <c r="J773" s="55"/>
      <c r="K773" s="55"/>
    </row>
    <row r="774">
      <c r="A774" s="55"/>
      <c r="B774" s="55"/>
      <c r="C774" s="55"/>
      <c r="D774" s="55"/>
      <c r="E774" s="55"/>
      <c r="F774" s="55"/>
      <c r="G774" s="55"/>
      <c r="H774" s="55"/>
      <c r="I774" s="55"/>
      <c r="J774" s="55"/>
      <c r="K774" s="55"/>
    </row>
    <row r="775">
      <c r="A775" s="55"/>
      <c r="B775" s="55"/>
      <c r="C775" s="55"/>
      <c r="D775" s="55"/>
      <c r="E775" s="55"/>
      <c r="F775" s="55"/>
      <c r="G775" s="55"/>
      <c r="H775" s="55"/>
      <c r="I775" s="55"/>
      <c r="J775" s="55"/>
      <c r="K775" s="55"/>
    </row>
    <row r="776">
      <c r="A776" s="55"/>
      <c r="B776" s="55"/>
      <c r="C776" s="55"/>
      <c r="D776" s="55"/>
      <c r="E776" s="55"/>
      <c r="F776" s="55"/>
      <c r="G776" s="55"/>
      <c r="H776" s="55"/>
      <c r="I776" s="55"/>
      <c r="J776" s="55"/>
      <c r="K776" s="55"/>
    </row>
    <row r="777">
      <c r="A777" s="55"/>
      <c r="B777" s="55"/>
      <c r="C777" s="55"/>
      <c r="D777" s="55"/>
      <c r="E777" s="55"/>
      <c r="F777" s="55"/>
      <c r="G777" s="55"/>
      <c r="H777" s="55"/>
      <c r="I777" s="55"/>
      <c r="J777" s="55"/>
      <c r="K777" s="55"/>
    </row>
    <row r="778">
      <c r="A778" s="55"/>
      <c r="B778" s="55"/>
      <c r="C778" s="55"/>
      <c r="D778" s="55"/>
      <c r="E778" s="55"/>
      <c r="F778" s="55"/>
      <c r="G778" s="55"/>
      <c r="H778" s="55"/>
      <c r="I778" s="55"/>
      <c r="J778" s="55"/>
      <c r="K778" s="55"/>
    </row>
    <row r="779">
      <c r="A779" s="55"/>
      <c r="B779" s="55"/>
      <c r="C779" s="55"/>
      <c r="D779" s="55"/>
      <c r="E779" s="55"/>
      <c r="F779" s="55"/>
      <c r="G779" s="55"/>
      <c r="H779" s="55"/>
      <c r="I779" s="55"/>
      <c r="J779" s="55"/>
      <c r="K779" s="55"/>
    </row>
    <row r="780">
      <c r="A780" s="55"/>
      <c r="B780" s="55"/>
      <c r="C780" s="55"/>
      <c r="D780" s="55"/>
      <c r="E780" s="55"/>
      <c r="F780" s="55"/>
      <c r="G780" s="55"/>
      <c r="H780" s="55"/>
      <c r="I780" s="55"/>
      <c r="J780" s="55"/>
      <c r="K780" s="55"/>
    </row>
    <row r="781">
      <c r="A781" s="55"/>
      <c r="B781" s="55"/>
      <c r="C781" s="55"/>
      <c r="D781" s="55"/>
      <c r="E781" s="55"/>
      <c r="F781" s="55"/>
      <c r="G781" s="55"/>
      <c r="H781" s="55"/>
      <c r="I781" s="55"/>
      <c r="J781" s="55"/>
      <c r="K781" s="55"/>
    </row>
    <row r="782">
      <c r="A782" s="55"/>
      <c r="B782" s="55"/>
      <c r="C782" s="55"/>
      <c r="D782" s="55"/>
      <c r="E782" s="55"/>
      <c r="F782" s="55"/>
      <c r="G782" s="55"/>
      <c r="H782" s="55"/>
      <c r="I782" s="55"/>
      <c r="J782" s="55"/>
      <c r="K782" s="55"/>
    </row>
    <row r="783">
      <c r="A783" s="55"/>
      <c r="B783" s="55"/>
      <c r="C783" s="55"/>
      <c r="D783" s="55"/>
      <c r="E783" s="55"/>
      <c r="F783" s="55"/>
      <c r="G783" s="55"/>
      <c r="H783" s="55"/>
      <c r="I783" s="55"/>
      <c r="J783" s="55"/>
      <c r="K783" s="55"/>
    </row>
    <row r="784">
      <c r="A784" s="55"/>
      <c r="B784" s="55"/>
      <c r="C784" s="55"/>
      <c r="D784" s="55"/>
      <c r="E784" s="55"/>
      <c r="F784" s="55"/>
      <c r="G784" s="55"/>
      <c r="H784" s="55"/>
      <c r="I784" s="55"/>
      <c r="J784" s="55"/>
      <c r="K784" s="55"/>
    </row>
    <row r="785">
      <c r="A785" s="55"/>
      <c r="B785" s="55"/>
      <c r="C785" s="55"/>
      <c r="D785" s="55"/>
      <c r="E785" s="55"/>
      <c r="F785" s="55"/>
      <c r="G785" s="55"/>
      <c r="H785" s="55"/>
      <c r="I785" s="55"/>
      <c r="J785" s="55"/>
      <c r="K785" s="55"/>
    </row>
    <row r="786">
      <c r="A786" s="55"/>
      <c r="B786" s="55"/>
      <c r="C786" s="55"/>
      <c r="D786" s="55"/>
      <c r="E786" s="55"/>
      <c r="F786" s="55"/>
      <c r="G786" s="55"/>
      <c r="H786" s="55"/>
      <c r="I786" s="55"/>
      <c r="J786" s="55"/>
      <c r="K786" s="55"/>
    </row>
    <row r="787">
      <c r="A787" s="55"/>
      <c r="B787" s="55"/>
      <c r="C787" s="55"/>
      <c r="D787" s="55"/>
      <c r="E787" s="55"/>
      <c r="F787" s="55"/>
      <c r="G787" s="55"/>
      <c r="H787" s="55"/>
      <c r="I787" s="55"/>
      <c r="J787" s="55"/>
      <c r="K787" s="55"/>
    </row>
    <row r="788">
      <c r="A788" s="55"/>
      <c r="B788" s="55"/>
      <c r="C788" s="55"/>
      <c r="D788" s="55"/>
      <c r="E788" s="55"/>
      <c r="F788" s="55"/>
      <c r="G788" s="55"/>
      <c r="H788" s="55"/>
      <c r="I788" s="55"/>
      <c r="J788" s="55"/>
      <c r="K788" s="55"/>
    </row>
    <row r="789">
      <c r="A789" s="55"/>
      <c r="B789" s="55"/>
      <c r="C789" s="55"/>
      <c r="D789" s="55"/>
      <c r="E789" s="55"/>
      <c r="F789" s="55"/>
      <c r="G789" s="55"/>
      <c r="H789" s="55"/>
      <c r="I789" s="55"/>
      <c r="J789" s="55"/>
      <c r="K789" s="55"/>
    </row>
    <row r="790">
      <c r="A790" s="55"/>
      <c r="B790" s="55"/>
      <c r="C790" s="55"/>
      <c r="D790" s="55"/>
      <c r="E790" s="55"/>
      <c r="F790" s="55"/>
      <c r="G790" s="55"/>
      <c r="H790" s="55"/>
      <c r="I790" s="55"/>
      <c r="J790" s="55"/>
      <c r="K790" s="55"/>
    </row>
    <row r="791">
      <c r="A791" s="55"/>
      <c r="B791" s="55"/>
      <c r="C791" s="55"/>
      <c r="D791" s="55"/>
      <c r="E791" s="55"/>
      <c r="F791" s="55"/>
      <c r="G791" s="55"/>
      <c r="H791" s="55"/>
      <c r="I791" s="55"/>
      <c r="J791" s="55"/>
      <c r="K791" s="55"/>
    </row>
    <row r="792">
      <c r="A792" s="55"/>
      <c r="B792" s="55"/>
      <c r="C792" s="55"/>
      <c r="D792" s="55"/>
      <c r="E792" s="55"/>
      <c r="F792" s="55"/>
      <c r="G792" s="55"/>
      <c r="H792" s="55"/>
      <c r="I792" s="55"/>
      <c r="J792" s="55"/>
      <c r="K792" s="55"/>
    </row>
    <row r="793">
      <c r="A793" s="55"/>
      <c r="B793" s="55"/>
      <c r="C793" s="55"/>
      <c r="D793" s="55"/>
      <c r="E793" s="55"/>
      <c r="F793" s="55"/>
      <c r="G793" s="55"/>
      <c r="H793" s="55"/>
      <c r="I793" s="55"/>
      <c r="J793" s="55"/>
      <c r="K793" s="55"/>
    </row>
    <row r="794">
      <c r="A794" s="55"/>
      <c r="B794" s="55"/>
      <c r="C794" s="55"/>
      <c r="D794" s="55"/>
      <c r="E794" s="55"/>
      <c r="F794" s="55"/>
      <c r="G794" s="55"/>
      <c r="H794" s="55"/>
      <c r="I794" s="55"/>
      <c r="J794" s="55"/>
      <c r="K794" s="55"/>
    </row>
    <row r="795">
      <c r="A795" s="55"/>
      <c r="B795" s="55"/>
      <c r="C795" s="55"/>
      <c r="D795" s="55"/>
      <c r="E795" s="55"/>
      <c r="F795" s="55"/>
      <c r="G795" s="55"/>
      <c r="H795" s="55"/>
      <c r="I795" s="55"/>
      <c r="J795" s="55"/>
      <c r="K795" s="55"/>
    </row>
    <row r="796">
      <c r="A796" s="55"/>
      <c r="B796" s="55"/>
      <c r="C796" s="55"/>
      <c r="D796" s="55"/>
      <c r="E796" s="55"/>
      <c r="F796" s="55"/>
      <c r="G796" s="55"/>
      <c r="H796" s="55"/>
      <c r="I796" s="55"/>
      <c r="J796" s="55"/>
      <c r="K796" s="55"/>
    </row>
    <row r="797">
      <c r="A797" s="55"/>
      <c r="B797" s="55"/>
      <c r="C797" s="55"/>
      <c r="D797" s="55"/>
      <c r="E797" s="55"/>
      <c r="F797" s="55"/>
      <c r="G797" s="55"/>
      <c r="H797" s="55"/>
      <c r="I797" s="55"/>
      <c r="J797" s="55"/>
      <c r="K797" s="55"/>
    </row>
    <row r="798">
      <c r="A798" s="55"/>
      <c r="B798" s="55"/>
      <c r="C798" s="55"/>
      <c r="D798" s="55"/>
      <c r="E798" s="55"/>
      <c r="F798" s="55"/>
      <c r="G798" s="55"/>
      <c r="H798" s="55"/>
      <c r="I798" s="55"/>
      <c r="J798" s="55"/>
      <c r="K798" s="55"/>
    </row>
    <row r="799">
      <c r="A799" s="55"/>
      <c r="B799" s="55"/>
      <c r="C799" s="55"/>
      <c r="D799" s="55"/>
      <c r="E799" s="55"/>
      <c r="F799" s="55"/>
      <c r="G799" s="55"/>
      <c r="H799" s="55"/>
      <c r="I799" s="55"/>
      <c r="J799" s="55"/>
      <c r="K799" s="55"/>
    </row>
    <row r="800">
      <c r="A800" s="55"/>
      <c r="B800" s="55"/>
      <c r="C800" s="55"/>
      <c r="D800" s="55"/>
      <c r="E800" s="55"/>
      <c r="F800" s="55"/>
      <c r="G800" s="55"/>
      <c r="H800" s="55"/>
      <c r="I800" s="55"/>
      <c r="J800" s="55"/>
      <c r="K800" s="55"/>
    </row>
    <row r="801">
      <c r="A801" s="55"/>
      <c r="B801" s="55"/>
      <c r="C801" s="55"/>
      <c r="D801" s="55"/>
      <c r="E801" s="55"/>
      <c r="F801" s="55"/>
      <c r="G801" s="55"/>
      <c r="H801" s="55"/>
      <c r="I801" s="55"/>
      <c r="J801" s="55"/>
      <c r="K801" s="55"/>
    </row>
    <row r="802">
      <c r="A802" s="55"/>
      <c r="B802" s="55"/>
      <c r="C802" s="55"/>
      <c r="D802" s="55"/>
      <c r="E802" s="55"/>
      <c r="F802" s="55"/>
      <c r="G802" s="55"/>
      <c r="H802" s="55"/>
      <c r="I802" s="55"/>
      <c r="J802" s="55"/>
      <c r="K802" s="55"/>
    </row>
    <row r="803">
      <c r="A803" s="55"/>
      <c r="B803" s="55"/>
      <c r="C803" s="55"/>
      <c r="D803" s="55"/>
      <c r="E803" s="55"/>
      <c r="F803" s="55"/>
      <c r="G803" s="55"/>
      <c r="H803" s="55"/>
      <c r="I803" s="55"/>
      <c r="J803" s="55"/>
      <c r="K803" s="55"/>
    </row>
    <row r="804">
      <c r="A804" s="55"/>
      <c r="B804" s="55"/>
      <c r="C804" s="55"/>
      <c r="D804" s="55"/>
      <c r="E804" s="55"/>
      <c r="F804" s="55"/>
      <c r="G804" s="55"/>
      <c r="H804" s="55"/>
      <c r="I804" s="55"/>
      <c r="J804" s="55"/>
      <c r="K804" s="55"/>
    </row>
    <row r="805">
      <c r="A805" s="55"/>
      <c r="B805" s="55"/>
      <c r="C805" s="55"/>
      <c r="D805" s="55"/>
      <c r="E805" s="55"/>
      <c r="F805" s="55"/>
      <c r="G805" s="55"/>
      <c r="H805" s="55"/>
      <c r="I805" s="55"/>
      <c r="J805" s="55"/>
      <c r="K805" s="55"/>
    </row>
    <row r="806">
      <c r="A806" s="55"/>
      <c r="B806" s="55"/>
      <c r="C806" s="55"/>
      <c r="D806" s="55"/>
      <c r="E806" s="55"/>
      <c r="F806" s="55"/>
      <c r="G806" s="55"/>
      <c r="H806" s="55"/>
      <c r="I806" s="55"/>
      <c r="J806" s="55"/>
      <c r="K806" s="55"/>
    </row>
    <row r="807">
      <c r="A807" s="55"/>
      <c r="B807" s="55"/>
      <c r="C807" s="55"/>
      <c r="D807" s="55"/>
      <c r="E807" s="55"/>
      <c r="F807" s="55"/>
      <c r="G807" s="55"/>
      <c r="H807" s="55"/>
      <c r="I807" s="55"/>
      <c r="J807" s="55"/>
      <c r="K807" s="55"/>
    </row>
    <row r="808">
      <c r="A808" s="55"/>
      <c r="B808" s="55"/>
      <c r="C808" s="55"/>
      <c r="D808" s="55"/>
      <c r="E808" s="55"/>
      <c r="F808" s="55"/>
      <c r="G808" s="55"/>
      <c r="H808" s="55"/>
      <c r="I808" s="55"/>
      <c r="J808" s="55"/>
      <c r="K808" s="55"/>
    </row>
    <row r="809">
      <c r="A809" s="55"/>
      <c r="B809" s="55"/>
      <c r="C809" s="55"/>
      <c r="D809" s="55"/>
      <c r="E809" s="55"/>
      <c r="F809" s="55"/>
      <c r="G809" s="55"/>
      <c r="H809" s="55"/>
      <c r="I809" s="55"/>
      <c r="J809" s="55"/>
      <c r="K809" s="55"/>
    </row>
    <row r="810">
      <c r="A810" s="55"/>
      <c r="B810" s="55"/>
      <c r="C810" s="55"/>
      <c r="D810" s="55"/>
      <c r="E810" s="55"/>
      <c r="F810" s="55"/>
      <c r="G810" s="55"/>
      <c r="H810" s="55"/>
      <c r="I810" s="55"/>
      <c r="J810" s="55"/>
      <c r="K810" s="55"/>
    </row>
    <row r="811">
      <c r="A811" s="55"/>
      <c r="B811" s="55"/>
      <c r="C811" s="55"/>
      <c r="D811" s="55"/>
      <c r="E811" s="55"/>
      <c r="F811" s="55"/>
      <c r="G811" s="55"/>
      <c r="H811" s="55"/>
      <c r="I811" s="55"/>
      <c r="J811" s="55"/>
      <c r="K811" s="55"/>
    </row>
    <row r="812">
      <c r="A812" s="55"/>
      <c r="B812" s="55"/>
      <c r="C812" s="55"/>
      <c r="D812" s="55"/>
      <c r="E812" s="55"/>
      <c r="F812" s="55"/>
      <c r="G812" s="55"/>
      <c r="H812" s="55"/>
      <c r="I812" s="55"/>
      <c r="J812" s="55"/>
      <c r="K812" s="55"/>
    </row>
    <row r="813">
      <c r="A813" s="55"/>
      <c r="B813" s="55"/>
      <c r="C813" s="55"/>
      <c r="D813" s="55"/>
      <c r="E813" s="55"/>
      <c r="F813" s="55"/>
      <c r="G813" s="55"/>
      <c r="H813" s="55"/>
      <c r="I813" s="55"/>
      <c r="J813" s="55"/>
      <c r="K813" s="55"/>
    </row>
    <row r="814">
      <c r="A814" s="55"/>
      <c r="B814" s="55"/>
      <c r="C814" s="55"/>
      <c r="D814" s="55"/>
      <c r="E814" s="55"/>
      <c r="F814" s="55"/>
      <c r="G814" s="55"/>
      <c r="H814" s="55"/>
      <c r="I814" s="55"/>
      <c r="J814" s="55"/>
      <c r="K814" s="55"/>
    </row>
    <row r="815">
      <c r="A815" s="55"/>
      <c r="B815" s="55"/>
      <c r="C815" s="55"/>
      <c r="D815" s="55"/>
      <c r="E815" s="55"/>
      <c r="F815" s="55"/>
      <c r="G815" s="55"/>
      <c r="H815" s="55"/>
      <c r="I815" s="55"/>
      <c r="J815" s="55"/>
      <c r="K815" s="55"/>
    </row>
    <row r="816">
      <c r="A816" s="55"/>
      <c r="B816" s="55"/>
      <c r="C816" s="55"/>
      <c r="D816" s="55"/>
      <c r="E816" s="55"/>
      <c r="F816" s="55"/>
      <c r="G816" s="55"/>
      <c r="H816" s="55"/>
      <c r="I816" s="55"/>
      <c r="J816" s="55"/>
      <c r="K816" s="55"/>
    </row>
    <row r="817">
      <c r="A817" s="55"/>
      <c r="B817" s="55"/>
      <c r="C817" s="55"/>
      <c r="D817" s="55"/>
      <c r="E817" s="55"/>
      <c r="F817" s="55"/>
      <c r="G817" s="55"/>
      <c r="H817" s="55"/>
      <c r="I817" s="55"/>
      <c r="J817" s="55"/>
      <c r="K817" s="55"/>
    </row>
    <row r="818">
      <c r="A818" s="55"/>
      <c r="B818" s="55"/>
      <c r="C818" s="55"/>
      <c r="D818" s="55"/>
      <c r="E818" s="55"/>
      <c r="F818" s="55"/>
      <c r="G818" s="55"/>
      <c r="H818" s="55"/>
      <c r="I818" s="55"/>
      <c r="J818" s="55"/>
      <c r="K818" s="55"/>
    </row>
    <row r="819">
      <c r="A819" s="55"/>
      <c r="B819" s="55"/>
      <c r="C819" s="55"/>
      <c r="D819" s="55"/>
      <c r="E819" s="55"/>
      <c r="F819" s="55"/>
      <c r="G819" s="55"/>
      <c r="H819" s="55"/>
      <c r="I819" s="55"/>
      <c r="J819" s="55"/>
      <c r="K819" s="55"/>
    </row>
    <row r="820">
      <c r="A820" s="55"/>
      <c r="B820" s="55"/>
      <c r="C820" s="55"/>
      <c r="D820" s="55"/>
      <c r="E820" s="55"/>
      <c r="F820" s="55"/>
      <c r="G820" s="55"/>
      <c r="H820" s="55"/>
      <c r="I820" s="55"/>
      <c r="J820" s="55"/>
      <c r="K820" s="55"/>
    </row>
    <row r="821">
      <c r="A821" s="55"/>
      <c r="B821" s="55"/>
      <c r="C821" s="55"/>
      <c r="D821" s="55"/>
      <c r="E821" s="55"/>
      <c r="F821" s="55"/>
      <c r="G821" s="55"/>
      <c r="H821" s="55"/>
      <c r="I821" s="55"/>
      <c r="J821" s="55"/>
      <c r="K821" s="55"/>
    </row>
    <row r="822">
      <c r="A822" s="55"/>
      <c r="B822" s="55"/>
      <c r="C822" s="55"/>
      <c r="D822" s="55"/>
      <c r="E822" s="55"/>
      <c r="F822" s="55"/>
      <c r="G822" s="55"/>
      <c r="H822" s="55"/>
      <c r="I822" s="55"/>
      <c r="J822" s="55"/>
      <c r="K822" s="55"/>
    </row>
    <row r="823">
      <c r="A823" s="55"/>
      <c r="B823" s="55"/>
      <c r="C823" s="55"/>
      <c r="D823" s="55"/>
      <c r="E823" s="55"/>
      <c r="F823" s="55"/>
      <c r="G823" s="55"/>
      <c r="H823" s="55"/>
      <c r="I823" s="55"/>
      <c r="J823" s="55"/>
      <c r="K823" s="55"/>
    </row>
    <row r="824">
      <c r="A824" s="55"/>
      <c r="B824" s="55"/>
      <c r="C824" s="55"/>
      <c r="D824" s="55"/>
      <c r="E824" s="55"/>
      <c r="F824" s="55"/>
      <c r="G824" s="55"/>
      <c r="H824" s="55"/>
      <c r="I824" s="55"/>
      <c r="J824" s="55"/>
      <c r="K824" s="55"/>
    </row>
    <row r="825">
      <c r="A825" s="55"/>
      <c r="B825" s="55"/>
      <c r="C825" s="55"/>
      <c r="D825" s="55"/>
      <c r="E825" s="55"/>
      <c r="F825" s="55"/>
      <c r="G825" s="55"/>
      <c r="H825" s="55"/>
      <c r="I825" s="55"/>
      <c r="J825" s="55"/>
      <c r="K825" s="55"/>
    </row>
    <row r="826">
      <c r="A826" s="55"/>
      <c r="B826" s="55"/>
      <c r="C826" s="55"/>
      <c r="D826" s="55"/>
      <c r="E826" s="55"/>
      <c r="F826" s="55"/>
      <c r="G826" s="55"/>
      <c r="H826" s="55"/>
      <c r="I826" s="55"/>
      <c r="J826" s="55"/>
      <c r="K826" s="55"/>
    </row>
    <row r="827">
      <c r="A827" s="55"/>
      <c r="B827" s="55"/>
      <c r="C827" s="55"/>
      <c r="D827" s="55"/>
      <c r="E827" s="55"/>
      <c r="F827" s="55"/>
      <c r="G827" s="55"/>
      <c r="H827" s="55"/>
      <c r="I827" s="55"/>
      <c r="J827" s="55"/>
      <c r="K827" s="55"/>
    </row>
    <row r="828">
      <c r="A828" s="55"/>
      <c r="B828" s="55"/>
      <c r="C828" s="55"/>
      <c r="D828" s="55"/>
      <c r="E828" s="55"/>
      <c r="F828" s="55"/>
      <c r="G828" s="55"/>
      <c r="H828" s="55"/>
      <c r="I828" s="55"/>
      <c r="J828" s="55"/>
      <c r="K828" s="55"/>
    </row>
    <row r="829">
      <c r="A829" s="55"/>
      <c r="B829" s="55"/>
      <c r="C829" s="55"/>
      <c r="D829" s="55"/>
      <c r="E829" s="55"/>
      <c r="F829" s="55"/>
      <c r="G829" s="55"/>
      <c r="H829" s="55"/>
      <c r="I829" s="55"/>
      <c r="J829" s="55"/>
      <c r="K829" s="55"/>
    </row>
    <row r="830">
      <c r="A830" s="55"/>
      <c r="B830" s="55"/>
      <c r="C830" s="55"/>
      <c r="D830" s="55"/>
      <c r="E830" s="55"/>
      <c r="F830" s="55"/>
      <c r="G830" s="55"/>
      <c r="H830" s="55"/>
      <c r="I830" s="55"/>
      <c r="J830" s="55"/>
      <c r="K830" s="55"/>
    </row>
    <row r="831">
      <c r="A831" s="55"/>
      <c r="B831" s="55"/>
      <c r="C831" s="55"/>
      <c r="D831" s="55"/>
      <c r="E831" s="55"/>
      <c r="F831" s="55"/>
      <c r="G831" s="55"/>
      <c r="H831" s="55"/>
      <c r="I831" s="55"/>
      <c r="J831" s="55"/>
      <c r="K831" s="55"/>
    </row>
    <row r="832">
      <c r="A832" s="55"/>
      <c r="B832" s="55"/>
      <c r="C832" s="55"/>
      <c r="D832" s="55"/>
      <c r="E832" s="55"/>
      <c r="F832" s="55"/>
      <c r="G832" s="55"/>
      <c r="H832" s="55"/>
      <c r="I832" s="55"/>
      <c r="J832" s="55"/>
      <c r="K832" s="55"/>
    </row>
    <row r="833">
      <c r="A833" s="55"/>
      <c r="B833" s="55"/>
      <c r="C833" s="55"/>
      <c r="D833" s="55"/>
      <c r="E833" s="55"/>
      <c r="F833" s="55"/>
      <c r="G833" s="55"/>
      <c r="H833" s="55"/>
      <c r="I833" s="55"/>
      <c r="J833" s="55"/>
      <c r="K833" s="55"/>
    </row>
    <row r="834">
      <c r="A834" s="55"/>
      <c r="B834" s="55"/>
      <c r="C834" s="55"/>
      <c r="D834" s="55"/>
      <c r="E834" s="55"/>
      <c r="F834" s="55"/>
      <c r="G834" s="55"/>
      <c r="H834" s="55"/>
      <c r="I834" s="55"/>
      <c r="J834" s="55"/>
      <c r="K834" s="55"/>
    </row>
    <row r="835">
      <c r="A835" s="55"/>
      <c r="B835" s="55"/>
      <c r="C835" s="55"/>
      <c r="D835" s="55"/>
      <c r="E835" s="55"/>
      <c r="F835" s="55"/>
      <c r="G835" s="55"/>
      <c r="H835" s="55"/>
      <c r="I835" s="55"/>
      <c r="J835" s="55"/>
      <c r="K835" s="55"/>
    </row>
    <row r="836">
      <c r="A836" s="55"/>
      <c r="B836" s="55"/>
      <c r="C836" s="55"/>
      <c r="D836" s="55"/>
      <c r="E836" s="55"/>
      <c r="F836" s="55"/>
      <c r="G836" s="55"/>
      <c r="H836" s="55"/>
      <c r="I836" s="55"/>
      <c r="J836" s="55"/>
      <c r="K836" s="55"/>
    </row>
    <row r="837">
      <c r="A837" s="55"/>
      <c r="B837" s="55"/>
      <c r="C837" s="55"/>
      <c r="D837" s="55"/>
      <c r="E837" s="55"/>
      <c r="F837" s="55"/>
      <c r="G837" s="55"/>
      <c r="H837" s="55"/>
      <c r="I837" s="55"/>
      <c r="J837" s="55"/>
      <c r="K837" s="55"/>
    </row>
    <row r="838">
      <c r="A838" s="55"/>
      <c r="B838" s="55"/>
      <c r="C838" s="55"/>
      <c r="D838" s="55"/>
      <c r="E838" s="55"/>
      <c r="F838" s="55"/>
      <c r="G838" s="55"/>
      <c r="H838" s="55"/>
      <c r="I838" s="55"/>
      <c r="J838" s="55"/>
      <c r="K838" s="55"/>
    </row>
    <row r="839">
      <c r="A839" s="55"/>
      <c r="B839" s="55"/>
      <c r="C839" s="55"/>
      <c r="D839" s="55"/>
      <c r="E839" s="55"/>
      <c r="F839" s="55"/>
      <c r="G839" s="55"/>
      <c r="H839" s="55"/>
      <c r="I839" s="55"/>
      <c r="J839" s="55"/>
      <c r="K839" s="55"/>
    </row>
    <row r="840">
      <c r="A840" s="55"/>
      <c r="B840" s="55"/>
      <c r="C840" s="55"/>
      <c r="D840" s="55"/>
      <c r="E840" s="55"/>
      <c r="F840" s="55"/>
      <c r="G840" s="55"/>
      <c r="H840" s="55"/>
      <c r="I840" s="55"/>
      <c r="J840" s="55"/>
      <c r="K840" s="55"/>
    </row>
    <row r="841">
      <c r="A841" s="55"/>
      <c r="B841" s="55"/>
      <c r="C841" s="55"/>
      <c r="D841" s="55"/>
      <c r="E841" s="55"/>
      <c r="F841" s="55"/>
      <c r="G841" s="55"/>
      <c r="H841" s="55"/>
      <c r="I841" s="55"/>
      <c r="J841" s="55"/>
      <c r="K841" s="55"/>
    </row>
    <row r="842">
      <c r="A842" s="55"/>
      <c r="B842" s="55"/>
      <c r="C842" s="55"/>
      <c r="D842" s="55"/>
      <c r="E842" s="55"/>
      <c r="F842" s="55"/>
      <c r="G842" s="55"/>
      <c r="H842" s="55"/>
      <c r="I842" s="55"/>
      <c r="J842" s="55"/>
      <c r="K842" s="55"/>
    </row>
    <row r="843">
      <c r="A843" s="55"/>
      <c r="B843" s="55"/>
      <c r="C843" s="55"/>
      <c r="D843" s="55"/>
      <c r="E843" s="55"/>
      <c r="F843" s="55"/>
      <c r="G843" s="55"/>
      <c r="H843" s="55"/>
      <c r="I843" s="55"/>
      <c r="J843" s="55"/>
      <c r="K843" s="55"/>
    </row>
    <row r="844">
      <c r="A844" s="55"/>
      <c r="B844" s="55"/>
      <c r="C844" s="55"/>
      <c r="D844" s="55"/>
      <c r="E844" s="55"/>
      <c r="F844" s="55"/>
      <c r="G844" s="55"/>
      <c r="H844" s="55"/>
      <c r="I844" s="55"/>
      <c r="J844" s="55"/>
      <c r="K844" s="55"/>
    </row>
    <row r="845">
      <c r="A845" s="55"/>
      <c r="B845" s="55"/>
      <c r="C845" s="55"/>
      <c r="D845" s="55"/>
      <c r="E845" s="55"/>
      <c r="F845" s="55"/>
      <c r="G845" s="55"/>
      <c r="H845" s="55"/>
      <c r="I845" s="55"/>
      <c r="J845" s="55"/>
      <c r="K845" s="55"/>
    </row>
    <row r="846">
      <c r="A846" s="55"/>
      <c r="B846" s="55"/>
      <c r="C846" s="55"/>
      <c r="D846" s="55"/>
      <c r="E846" s="55"/>
      <c r="F846" s="55"/>
      <c r="G846" s="55"/>
      <c r="H846" s="55"/>
      <c r="I846" s="55"/>
      <c r="J846" s="55"/>
      <c r="K846" s="55"/>
    </row>
    <row r="847">
      <c r="A847" s="55"/>
      <c r="B847" s="55"/>
      <c r="C847" s="55"/>
      <c r="D847" s="55"/>
      <c r="E847" s="55"/>
      <c r="F847" s="55"/>
      <c r="G847" s="55"/>
      <c r="H847" s="55"/>
      <c r="I847" s="55"/>
      <c r="J847" s="55"/>
      <c r="K847" s="55"/>
    </row>
    <row r="848">
      <c r="A848" s="55"/>
      <c r="B848" s="55"/>
      <c r="C848" s="55"/>
      <c r="D848" s="55"/>
      <c r="E848" s="55"/>
      <c r="F848" s="55"/>
      <c r="G848" s="55"/>
      <c r="H848" s="55"/>
      <c r="I848" s="55"/>
      <c r="J848" s="55"/>
      <c r="K848" s="55"/>
    </row>
    <row r="849">
      <c r="A849" s="55"/>
      <c r="B849" s="55"/>
      <c r="C849" s="55"/>
      <c r="D849" s="55"/>
      <c r="E849" s="55"/>
      <c r="F849" s="55"/>
      <c r="G849" s="55"/>
      <c r="H849" s="55"/>
      <c r="I849" s="55"/>
      <c r="J849" s="55"/>
      <c r="K849" s="55"/>
    </row>
    <row r="850">
      <c r="A850" s="55"/>
      <c r="B850" s="55"/>
      <c r="C850" s="55"/>
      <c r="D850" s="55"/>
      <c r="E850" s="55"/>
      <c r="F850" s="55"/>
      <c r="G850" s="55"/>
      <c r="H850" s="55"/>
      <c r="I850" s="55"/>
      <c r="J850" s="55"/>
      <c r="K850" s="55"/>
    </row>
    <row r="851">
      <c r="A851" s="55"/>
      <c r="B851" s="55"/>
      <c r="C851" s="55"/>
      <c r="D851" s="55"/>
      <c r="E851" s="55"/>
      <c r="F851" s="55"/>
      <c r="G851" s="55"/>
      <c r="H851" s="55"/>
      <c r="I851" s="55"/>
      <c r="J851" s="55"/>
      <c r="K851" s="55"/>
    </row>
    <row r="852">
      <c r="A852" s="55"/>
      <c r="B852" s="55"/>
      <c r="C852" s="55"/>
      <c r="D852" s="55"/>
      <c r="E852" s="55"/>
      <c r="F852" s="55"/>
      <c r="G852" s="55"/>
      <c r="H852" s="55"/>
      <c r="I852" s="55"/>
      <c r="J852" s="55"/>
      <c r="K852" s="55"/>
    </row>
    <row r="853">
      <c r="A853" s="55"/>
      <c r="B853" s="55"/>
      <c r="C853" s="55"/>
      <c r="D853" s="55"/>
      <c r="E853" s="55"/>
      <c r="F853" s="55"/>
      <c r="G853" s="55"/>
      <c r="H853" s="55"/>
      <c r="I853" s="55"/>
      <c r="J853" s="55"/>
      <c r="K853" s="55"/>
    </row>
    <row r="854">
      <c r="A854" s="55"/>
      <c r="B854" s="55"/>
      <c r="C854" s="55"/>
      <c r="D854" s="55"/>
      <c r="E854" s="55"/>
      <c r="F854" s="55"/>
      <c r="G854" s="55"/>
      <c r="H854" s="55"/>
      <c r="I854" s="55"/>
      <c r="J854" s="55"/>
      <c r="K854" s="55"/>
    </row>
    <row r="855">
      <c r="A855" s="55"/>
      <c r="B855" s="55"/>
      <c r="C855" s="55"/>
      <c r="D855" s="55"/>
      <c r="E855" s="55"/>
      <c r="F855" s="55"/>
      <c r="G855" s="55"/>
      <c r="H855" s="55"/>
      <c r="I855" s="55"/>
      <c r="J855" s="55"/>
      <c r="K855" s="55"/>
    </row>
    <row r="856">
      <c r="A856" s="55"/>
      <c r="B856" s="55"/>
      <c r="C856" s="55"/>
      <c r="D856" s="55"/>
      <c r="E856" s="55"/>
      <c r="F856" s="55"/>
      <c r="G856" s="55"/>
      <c r="H856" s="55"/>
      <c r="I856" s="55"/>
      <c r="J856" s="55"/>
      <c r="K856" s="55"/>
    </row>
    <row r="857">
      <c r="A857" s="55"/>
      <c r="B857" s="55"/>
      <c r="C857" s="55"/>
      <c r="D857" s="55"/>
      <c r="E857" s="55"/>
      <c r="F857" s="55"/>
      <c r="G857" s="55"/>
      <c r="H857" s="55"/>
      <c r="I857" s="55"/>
      <c r="J857" s="55"/>
      <c r="K857" s="55"/>
    </row>
    <row r="858">
      <c r="A858" s="55"/>
      <c r="B858" s="55"/>
      <c r="C858" s="55"/>
      <c r="D858" s="55"/>
      <c r="E858" s="55"/>
      <c r="F858" s="55"/>
      <c r="G858" s="55"/>
      <c r="H858" s="55"/>
      <c r="I858" s="55"/>
      <c r="J858" s="55"/>
      <c r="K858" s="55"/>
    </row>
    <row r="859">
      <c r="A859" s="55"/>
      <c r="B859" s="55"/>
      <c r="C859" s="55"/>
      <c r="D859" s="55"/>
      <c r="E859" s="55"/>
      <c r="F859" s="55"/>
      <c r="G859" s="55"/>
      <c r="H859" s="55"/>
      <c r="I859" s="55"/>
      <c r="J859" s="55"/>
      <c r="K859" s="55"/>
    </row>
    <row r="860">
      <c r="A860" s="55"/>
      <c r="B860" s="55"/>
      <c r="C860" s="55"/>
      <c r="D860" s="55"/>
      <c r="E860" s="55"/>
      <c r="F860" s="55"/>
      <c r="G860" s="55"/>
      <c r="H860" s="55"/>
      <c r="I860" s="55"/>
      <c r="J860" s="55"/>
      <c r="K860" s="55"/>
    </row>
    <row r="861">
      <c r="A861" s="55"/>
      <c r="B861" s="55"/>
      <c r="C861" s="55"/>
      <c r="D861" s="55"/>
      <c r="E861" s="55"/>
      <c r="F861" s="55"/>
      <c r="G861" s="55"/>
      <c r="H861" s="55"/>
      <c r="I861" s="55"/>
      <c r="J861" s="55"/>
      <c r="K861" s="55"/>
    </row>
    <row r="862">
      <c r="A862" s="55"/>
      <c r="B862" s="55"/>
      <c r="C862" s="55"/>
      <c r="D862" s="55"/>
      <c r="E862" s="55"/>
      <c r="F862" s="55"/>
      <c r="G862" s="55"/>
      <c r="H862" s="55"/>
      <c r="I862" s="55"/>
      <c r="J862" s="55"/>
      <c r="K862" s="55"/>
    </row>
    <row r="863">
      <c r="A863" s="55"/>
      <c r="B863" s="55"/>
      <c r="C863" s="55"/>
      <c r="D863" s="55"/>
      <c r="E863" s="55"/>
      <c r="F863" s="55"/>
      <c r="G863" s="55"/>
      <c r="H863" s="55"/>
      <c r="I863" s="55"/>
      <c r="J863" s="55"/>
      <c r="K863" s="55"/>
    </row>
    <row r="864">
      <c r="A864" s="55"/>
      <c r="B864" s="55"/>
      <c r="C864" s="55"/>
      <c r="D864" s="55"/>
      <c r="E864" s="55"/>
      <c r="F864" s="55"/>
      <c r="G864" s="55"/>
      <c r="H864" s="55"/>
      <c r="I864" s="55"/>
      <c r="J864" s="55"/>
      <c r="K864" s="55"/>
    </row>
    <row r="865">
      <c r="A865" s="55"/>
      <c r="B865" s="55"/>
      <c r="C865" s="55"/>
      <c r="D865" s="55"/>
      <c r="E865" s="55"/>
      <c r="F865" s="55"/>
      <c r="G865" s="55"/>
      <c r="H865" s="55"/>
      <c r="I865" s="55"/>
      <c r="J865" s="55"/>
      <c r="K865" s="55"/>
    </row>
    <row r="866">
      <c r="A866" s="55"/>
      <c r="B866" s="55"/>
      <c r="C866" s="55"/>
      <c r="D866" s="55"/>
      <c r="E866" s="55"/>
      <c r="F866" s="55"/>
      <c r="G866" s="55"/>
      <c r="H866" s="55"/>
      <c r="I866" s="55"/>
      <c r="J866" s="55"/>
      <c r="K866" s="55"/>
    </row>
    <row r="867">
      <c r="A867" s="55"/>
      <c r="B867" s="55"/>
      <c r="C867" s="55"/>
      <c r="D867" s="55"/>
      <c r="E867" s="55"/>
      <c r="F867" s="55"/>
      <c r="G867" s="55"/>
      <c r="H867" s="55"/>
      <c r="I867" s="55"/>
      <c r="J867" s="55"/>
      <c r="K867" s="55"/>
    </row>
    <row r="868">
      <c r="A868" s="55"/>
      <c r="B868" s="55"/>
      <c r="C868" s="55"/>
      <c r="D868" s="55"/>
      <c r="E868" s="55"/>
      <c r="F868" s="55"/>
      <c r="G868" s="55"/>
      <c r="H868" s="55"/>
      <c r="I868" s="55"/>
      <c r="J868" s="55"/>
      <c r="K868" s="55"/>
    </row>
    <row r="869">
      <c r="A869" s="55"/>
      <c r="B869" s="55"/>
      <c r="C869" s="55"/>
      <c r="D869" s="55"/>
      <c r="E869" s="55"/>
      <c r="F869" s="55"/>
      <c r="G869" s="55"/>
      <c r="H869" s="55"/>
      <c r="I869" s="55"/>
      <c r="J869" s="55"/>
      <c r="K869" s="55"/>
    </row>
    <row r="870">
      <c r="A870" s="55"/>
      <c r="B870" s="55"/>
      <c r="C870" s="55"/>
      <c r="D870" s="55"/>
      <c r="E870" s="55"/>
      <c r="F870" s="55"/>
      <c r="G870" s="55"/>
      <c r="H870" s="55"/>
      <c r="I870" s="55"/>
      <c r="J870" s="55"/>
      <c r="K870" s="55"/>
    </row>
    <row r="871">
      <c r="A871" s="55"/>
      <c r="B871" s="55"/>
      <c r="C871" s="55"/>
      <c r="D871" s="55"/>
      <c r="E871" s="55"/>
      <c r="F871" s="55"/>
      <c r="G871" s="55"/>
      <c r="H871" s="55"/>
      <c r="I871" s="55"/>
      <c r="J871" s="55"/>
      <c r="K871" s="55"/>
    </row>
    <row r="872">
      <c r="A872" s="55"/>
      <c r="B872" s="55"/>
      <c r="C872" s="55"/>
      <c r="D872" s="55"/>
      <c r="E872" s="55"/>
      <c r="F872" s="55"/>
      <c r="G872" s="55"/>
      <c r="H872" s="55"/>
      <c r="I872" s="55"/>
      <c r="J872" s="55"/>
      <c r="K872" s="55"/>
    </row>
    <row r="873">
      <c r="A873" s="55"/>
      <c r="B873" s="55"/>
      <c r="C873" s="55"/>
      <c r="D873" s="55"/>
      <c r="E873" s="55"/>
      <c r="F873" s="55"/>
      <c r="G873" s="55"/>
      <c r="H873" s="55"/>
      <c r="I873" s="55"/>
      <c r="J873" s="55"/>
      <c r="K873" s="55"/>
    </row>
    <row r="874">
      <c r="A874" s="55"/>
      <c r="B874" s="55"/>
      <c r="C874" s="55"/>
      <c r="D874" s="55"/>
      <c r="E874" s="55"/>
      <c r="F874" s="55"/>
      <c r="G874" s="55"/>
      <c r="H874" s="55"/>
      <c r="I874" s="55"/>
      <c r="J874" s="55"/>
      <c r="K874" s="55"/>
    </row>
    <row r="875">
      <c r="A875" s="55"/>
      <c r="B875" s="55"/>
      <c r="C875" s="55"/>
      <c r="D875" s="55"/>
      <c r="E875" s="55"/>
      <c r="F875" s="55"/>
      <c r="G875" s="55"/>
      <c r="H875" s="55"/>
      <c r="I875" s="55"/>
      <c r="J875" s="55"/>
      <c r="K875" s="55"/>
    </row>
    <row r="876">
      <c r="A876" s="55"/>
      <c r="B876" s="55"/>
      <c r="C876" s="55"/>
      <c r="D876" s="55"/>
      <c r="E876" s="55"/>
      <c r="F876" s="55"/>
      <c r="G876" s="55"/>
      <c r="H876" s="55"/>
      <c r="I876" s="55"/>
      <c r="J876" s="55"/>
      <c r="K876" s="55"/>
    </row>
    <row r="877">
      <c r="A877" s="55"/>
      <c r="B877" s="55"/>
      <c r="C877" s="55"/>
      <c r="D877" s="55"/>
      <c r="E877" s="55"/>
      <c r="F877" s="55"/>
      <c r="G877" s="55"/>
      <c r="H877" s="55"/>
      <c r="I877" s="55"/>
      <c r="J877" s="55"/>
      <c r="K877" s="55"/>
    </row>
    <row r="878">
      <c r="A878" s="55"/>
      <c r="B878" s="55"/>
      <c r="C878" s="55"/>
      <c r="D878" s="55"/>
      <c r="E878" s="55"/>
      <c r="F878" s="55"/>
      <c r="G878" s="55"/>
      <c r="H878" s="55"/>
      <c r="I878" s="55"/>
      <c r="J878" s="55"/>
      <c r="K878" s="55"/>
    </row>
    <row r="879">
      <c r="A879" s="55"/>
      <c r="B879" s="55"/>
      <c r="C879" s="55"/>
      <c r="D879" s="55"/>
      <c r="E879" s="55"/>
      <c r="F879" s="55"/>
      <c r="G879" s="55"/>
      <c r="H879" s="55"/>
      <c r="I879" s="55"/>
      <c r="J879" s="55"/>
      <c r="K879" s="55"/>
    </row>
    <row r="880">
      <c r="A880" s="55"/>
      <c r="B880" s="55"/>
      <c r="C880" s="55"/>
      <c r="D880" s="55"/>
      <c r="E880" s="55"/>
      <c r="F880" s="55"/>
      <c r="G880" s="55"/>
      <c r="H880" s="55"/>
      <c r="I880" s="55"/>
      <c r="J880" s="55"/>
      <c r="K880" s="55"/>
    </row>
    <row r="881">
      <c r="A881" s="55"/>
      <c r="B881" s="55"/>
      <c r="C881" s="55"/>
      <c r="D881" s="55"/>
      <c r="E881" s="55"/>
      <c r="F881" s="55"/>
      <c r="G881" s="55"/>
      <c r="H881" s="55"/>
      <c r="I881" s="55"/>
      <c r="J881" s="55"/>
      <c r="K881" s="55"/>
    </row>
    <row r="882">
      <c r="A882" s="55"/>
      <c r="B882" s="55"/>
      <c r="C882" s="55"/>
      <c r="D882" s="55"/>
      <c r="E882" s="55"/>
      <c r="F882" s="55"/>
      <c r="G882" s="55"/>
      <c r="H882" s="55"/>
      <c r="I882" s="55"/>
      <c r="J882" s="55"/>
      <c r="K882" s="55"/>
    </row>
    <row r="883">
      <c r="A883" s="55"/>
      <c r="B883" s="55"/>
      <c r="C883" s="55"/>
      <c r="D883" s="55"/>
      <c r="E883" s="55"/>
      <c r="F883" s="55"/>
      <c r="G883" s="55"/>
      <c r="H883" s="55"/>
      <c r="I883" s="55"/>
      <c r="J883" s="55"/>
      <c r="K883" s="55"/>
    </row>
    <row r="884">
      <c r="A884" s="55"/>
      <c r="B884" s="55"/>
      <c r="C884" s="55"/>
      <c r="D884" s="55"/>
      <c r="E884" s="55"/>
      <c r="F884" s="55"/>
      <c r="G884" s="55"/>
      <c r="H884" s="55"/>
      <c r="I884" s="55"/>
      <c r="J884" s="55"/>
      <c r="K884" s="55"/>
    </row>
    <row r="885">
      <c r="A885" s="55"/>
      <c r="B885" s="55"/>
      <c r="C885" s="55"/>
      <c r="D885" s="55"/>
      <c r="E885" s="55"/>
      <c r="F885" s="55"/>
      <c r="G885" s="55"/>
      <c r="H885" s="55"/>
      <c r="I885" s="55"/>
      <c r="J885" s="55"/>
      <c r="K885" s="55"/>
    </row>
    <row r="886">
      <c r="A886" s="55"/>
      <c r="B886" s="55"/>
      <c r="C886" s="55"/>
      <c r="D886" s="55"/>
      <c r="E886" s="55"/>
      <c r="F886" s="55"/>
      <c r="G886" s="55"/>
      <c r="H886" s="55"/>
      <c r="I886" s="55"/>
      <c r="J886" s="55"/>
      <c r="K886" s="55"/>
    </row>
    <row r="887">
      <c r="A887" s="55"/>
      <c r="B887" s="55"/>
      <c r="C887" s="55"/>
      <c r="D887" s="55"/>
      <c r="E887" s="55"/>
      <c r="F887" s="55"/>
      <c r="G887" s="55"/>
      <c r="H887" s="55"/>
      <c r="I887" s="55"/>
      <c r="J887" s="55"/>
      <c r="K887" s="55"/>
    </row>
    <row r="888">
      <c r="A888" s="55"/>
      <c r="B888" s="55"/>
      <c r="C888" s="55"/>
      <c r="D888" s="55"/>
      <c r="E888" s="55"/>
      <c r="F888" s="55"/>
      <c r="G888" s="55"/>
      <c r="H888" s="55"/>
      <c r="I888" s="55"/>
      <c r="J888" s="55"/>
      <c r="K888" s="55"/>
    </row>
    <row r="889">
      <c r="A889" s="55"/>
      <c r="B889" s="55"/>
      <c r="C889" s="55"/>
      <c r="D889" s="55"/>
      <c r="E889" s="55"/>
      <c r="F889" s="55"/>
      <c r="G889" s="55"/>
      <c r="H889" s="55"/>
      <c r="I889" s="55"/>
      <c r="J889" s="55"/>
      <c r="K889" s="55"/>
    </row>
    <row r="890">
      <c r="A890" s="55"/>
      <c r="B890" s="55"/>
      <c r="C890" s="55"/>
      <c r="D890" s="55"/>
      <c r="E890" s="55"/>
      <c r="F890" s="55"/>
      <c r="G890" s="55"/>
      <c r="H890" s="55"/>
      <c r="I890" s="55"/>
      <c r="J890" s="55"/>
      <c r="K890" s="55"/>
    </row>
    <row r="891">
      <c r="A891" s="55"/>
      <c r="B891" s="55"/>
      <c r="C891" s="55"/>
      <c r="D891" s="55"/>
      <c r="E891" s="55"/>
      <c r="F891" s="55"/>
      <c r="G891" s="55"/>
      <c r="H891" s="55"/>
      <c r="I891" s="55"/>
      <c r="J891" s="55"/>
      <c r="K891" s="55"/>
    </row>
    <row r="892">
      <c r="A892" s="55"/>
      <c r="B892" s="55"/>
      <c r="C892" s="55"/>
      <c r="D892" s="55"/>
      <c r="E892" s="55"/>
      <c r="F892" s="55"/>
      <c r="G892" s="55"/>
      <c r="H892" s="55"/>
      <c r="I892" s="55"/>
      <c r="J892" s="55"/>
      <c r="K892" s="55"/>
    </row>
    <row r="893">
      <c r="A893" s="55"/>
      <c r="B893" s="55"/>
      <c r="C893" s="55"/>
      <c r="D893" s="55"/>
      <c r="E893" s="55"/>
      <c r="F893" s="55"/>
      <c r="G893" s="55"/>
      <c r="H893" s="55"/>
      <c r="I893" s="55"/>
      <c r="J893" s="55"/>
      <c r="K893" s="55"/>
    </row>
    <row r="894">
      <c r="A894" s="55"/>
      <c r="B894" s="55"/>
      <c r="C894" s="55"/>
      <c r="D894" s="55"/>
      <c r="E894" s="55"/>
      <c r="F894" s="55"/>
      <c r="G894" s="55"/>
      <c r="H894" s="55"/>
      <c r="I894" s="55"/>
      <c r="J894" s="55"/>
      <c r="K894" s="55"/>
    </row>
    <row r="895">
      <c r="A895" s="55"/>
      <c r="B895" s="55"/>
      <c r="C895" s="55"/>
      <c r="D895" s="55"/>
      <c r="E895" s="55"/>
      <c r="F895" s="55"/>
      <c r="G895" s="55"/>
      <c r="H895" s="55"/>
      <c r="I895" s="55"/>
      <c r="J895" s="55"/>
      <c r="K895" s="55"/>
    </row>
    <row r="896">
      <c r="A896" s="55"/>
      <c r="B896" s="55"/>
      <c r="C896" s="55"/>
      <c r="D896" s="55"/>
      <c r="E896" s="55"/>
      <c r="F896" s="55"/>
      <c r="G896" s="55"/>
      <c r="H896" s="55"/>
      <c r="I896" s="55"/>
      <c r="J896" s="55"/>
      <c r="K896" s="55"/>
    </row>
    <row r="897">
      <c r="A897" s="55"/>
      <c r="B897" s="55"/>
      <c r="C897" s="55"/>
      <c r="D897" s="55"/>
      <c r="E897" s="55"/>
      <c r="F897" s="55"/>
      <c r="G897" s="55"/>
      <c r="H897" s="55"/>
      <c r="I897" s="55"/>
      <c r="J897" s="55"/>
      <c r="K897" s="55"/>
    </row>
    <row r="898">
      <c r="A898" s="55"/>
      <c r="B898" s="55"/>
      <c r="C898" s="55"/>
      <c r="D898" s="55"/>
      <c r="E898" s="55"/>
      <c r="F898" s="55"/>
      <c r="G898" s="55"/>
      <c r="H898" s="55"/>
      <c r="I898" s="55"/>
      <c r="J898" s="55"/>
      <c r="K898" s="55"/>
    </row>
    <row r="899">
      <c r="A899" s="55"/>
      <c r="B899" s="55"/>
      <c r="C899" s="55"/>
      <c r="D899" s="55"/>
      <c r="E899" s="55"/>
      <c r="F899" s="55"/>
      <c r="G899" s="55"/>
      <c r="H899" s="55"/>
      <c r="I899" s="55"/>
      <c r="J899" s="55"/>
      <c r="K899" s="55"/>
    </row>
    <row r="900">
      <c r="A900" s="55"/>
      <c r="B900" s="55"/>
      <c r="C900" s="55"/>
      <c r="D900" s="55"/>
      <c r="E900" s="55"/>
      <c r="F900" s="55"/>
      <c r="G900" s="55"/>
      <c r="H900" s="55"/>
      <c r="I900" s="55"/>
      <c r="J900" s="55"/>
      <c r="K900" s="55"/>
    </row>
    <row r="901">
      <c r="A901" s="55"/>
      <c r="B901" s="55"/>
      <c r="C901" s="55"/>
      <c r="D901" s="55"/>
      <c r="E901" s="55"/>
      <c r="F901" s="55"/>
      <c r="G901" s="55"/>
      <c r="H901" s="55"/>
      <c r="I901" s="55"/>
      <c r="J901" s="55"/>
      <c r="K901" s="55"/>
    </row>
    <row r="902">
      <c r="A902" s="55"/>
      <c r="B902" s="55"/>
      <c r="C902" s="55"/>
      <c r="D902" s="55"/>
      <c r="E902" s="55"/>
      <c r="F902" s="55"/>
      <c r="G902" s="55"/>
      <c r="H902" s="55"/>
      <c r="I902" s="55"/>
      <c r="J902" s="55"/>
      <c r="K902" s="55"/>
    </row>
    <row r="903">
      <c r="A903" s="55"/>
      <c r="B903" s="55"/>
      <c r="C903" s="55"/>
      <c r="D903" s="55"/>
      <c r="E903" s="55"/>
      <c r="F903" s="55"/>
      <c r="G903" s="55"/>
      <c r="H903" s="55"/>
      <c r="I903" s="55"/>
      <c r="J903" s="55"/>
      <c r="K903" s="55"/>
    </row>
    <row r="904">
      <c r="A904" s="55"/>
      <c r="B904" s="55"/>
      <c r="C904" s="55"/>
      <c r="D904" s="55"/>
      <c r="E904" s="55"/>
      <c r="F904" s="55"/>
      <c r="G904" s="55"/>
      <c r="H904" s="55"/>
      <c r="I904" s="55"/>
      <c r="J904" s="55"/>
      <c r="K904" s="55"/>
    </row>
    <row r="905">
      <c r="A905" s="55"/>
      <c r="B905" s="55"/>
      <c r="C905" s="55"/>
      <c r="D905" s="55"/>
      <c r="E905" s="55"/>
      <c r="F905" s="55"/>
      <c r="G905" s="55"/>
      <c r="H905" s="55"/>
      <c r="I905" s="55"/>
      <c r="J905" s="55"/>
      <c r="K905" s="55"/>
    </row>
    <row r="906">
      <c r="A906" s="55"/>
      <c r="B906" s="55"/>
      <c r="C906" s="55"/>
      <c r="D906" s="55"/>
      <c r="E906" s="55"/>
      <c r="F906" s="55"/>
      <c r="G906" s="55"/>
      <c r="H906" s="55"/>
      <c r="I906" s="55"/>
      <c r="J906" s="55"/>
      <c r="K906" s="55"/>
    </row>
    <row r="907">
      <c r="A907" s="55"/>
      <c r="B907" s="55"/>
      <c r="C907" s="55"/>
      <c r="D907" s="55"/>
      <c r="E907" s="55"/>
      <c r="F907" s="55"/>
      <c r="G907" s="55"/>
      <c r="H907" s="55"/>
      <c r="I907" s="55"/>
      <c r="J907" s="55"/>
      <c r="K907" s="55"/>
    </row>
    <row r="908">
      <c r="A908" s="55"/>
      <c r="B908" s="55"/>
      <c r="C908" s="55"/>
      <c r="D908" s="55"/>
      <c r="E908" s="55"/>
      <c r="F908" s="55"/>
      <c r="G908" s="55"/>
      <c r="H908" s="55"/>
      <c r="I908" s="55"/>
      <c r="J908" s="55"/>
      <c r="K908" s="55"/>
    </row>
    <row r="909">
      <c r="A909" s="55"/>
      <c r="B909" s="55"/>
      <c r="C909" s="55"/>
      <c r="D909" s="55"/>
      <c r="E909" s="55"/>
      <c r="F909" s="55"/>
      <c r="G909" s="55"/>
      <c r="H909" s="55"/>
      <c r="I909" s="55"/>
      <c r="J909" s="55"/>
      <c r="K909" s="55"/>
    </row>
    <row r="910">
      <c r="A910" s="55"/>
      <c r="B910" s="55"/>
      <c r="C910" s="55"/>
      <c r="D910" s="55"/>
      <c r="E910" s="55"/>
      <c r="F910" s="55"/>
      <c r="G910" s="55"/>
      <c r="H910" s="55"/>
      <c r="I910" s="55"/>
      <c r="J910" s="55"/>
      <c r="K910" s="55"/>
    </row>
    <row r="911">
      <c r="A911" s="55"/>
      <c r="B911" s="55"/>
      <c r="C911" s="55"/>
      <c r="D911" s="55"/>
      <c r="E911" s="55"/>
      <c r="F911" s="55"/>
      <c r="G911" s="55"/>
      <c r="H911" s="55"/>
      <c r="I911" s="55"/>
      <c r="J911" s="55"/>
      <c r="K911" s="55"/>
    </row>
    <row r="912">
      <c r="A912" s="55"/>
      <c r="B912" s="55"/>
      <c r="C912" s="55"/>
      <c r="D912" s="55"/>
      <c r="E912" s="55"/>
      <c r="F912" s="55"/>
      <c r="G912" s="55"/>
      <c r="H912" s="55"/>
      <c r="I912" s="55"/>
      <c r="J912" s="55"/>
      <c r="K912" s="55"/>
    </row>
    <row r="913">
      <c r="A913" s="55"/>
      <c r="B913" s="55"/>
      <c r="C913" s="55"/>
      <c r="D913" s="55"/>
      <c r="E913" s="55"/>
      <c r="F913" s="55"/>
      <c r="G913" s="55"/>
      <c r="H913" s="55"/>
      <c r="I913" s="55"/>
      <c r="J913" s="55"/>
      <c r="K913" s="55"/>
    </row>
    <row r="914">
      <c r="A914" s="55"/>
      <c r="B914" s="55"/>
      <c r="C914" s="55"/>
      <c r="D914" s="55"/>
      <c r="E914" s="55"/>
      <c r="F914" s="55"/>
      <c r="G914" s="55"/>
      <c r="H914" s="55"/>
      <c r="I914" s="55"/>
      <c r="J914" s="55"/>
      <c r="K914" s="55"/>
    </row>
    <row r="915">
      <c r="A915" s="55"/>
      <c r="B915" s="55"/>
      <c r="C915" s="55"/>
      <c r="D915" s="55"/>
      <c r="E915" s="55"/>
      <c r="F915" s="55"/>
      <c r="G915" s="55"/>
      <c r="H915" s="55"/>
      <c r="I915" s="55"/>
      <c r="J915" s="55"/>
      <c r="K915" s="55"/>
    </row>
    <row r="916">
      <c r="A916" s="55"/>
      <c r="B916" s="55"/>
      <c r="C916" s="55"/>
      <c r="D916" s="55"/>
      <c r="E916" s="55"/>
      <c r="F916" s="55"/>
      <c r="G916" s="55"/>
      <c r="H916" s="55"/>
      <c r="I916" s="55"/>
      <c r="J916" s="55"/>
      <c r="K916" s="55"/>
    </row>
    <row r="917">
      <c r="A917" s="55"/>
      <c r="B917" s="55"/>
      <c r="C917" s="55"/>
      <c r="D917" s="55"/>
      <c r="E917" s="55"/>
      <c r="F917" s="55"/>
      <c r="G917" s="55"/>
      <c r="H917" s="55"/>
      <c r="I917" s="55"/>
      <c r="J917" s="55"/>
      <c r="K917" s="55"/>
    </row>
    <row r="918">
      <c r="A918" s="55"/>
      <c r="B918" s="55"/>
      <c r="C918" s="55"/>
      <c r="D918" s="55"/>
      <c r="E918" s="55"/>
      <c r="F918" s="55"/>
      <c r="G918" s="55"/>
      <c r="H918" s="55"/>
      <c r="I918" s="55"/>
      <c r="J918" s="55"/>
      <c r="K918" s="55"/>
    </row>
    <row r="919">
      <c r="A919" s="55"/>
      <c r="B919" s="55"/>
      <c r="C919" s="55"/>
      <c r="D919" s="55"/>
      <c r="E919" s="55"/>
      <c r="F919" s="55"/>
      <c r="G919" s="55"/>
      <c r="H919" s="55"/>
      <c r="I919" s="55"/>
      <c r="J919" s="55"/>
      <c r="K919" s="55"/>
    </row>
    <row r="920">
      <c r="A920" s="55"/>
      <c r="B920" s="55"/>
      <c r="C920" s="55"/>
      <c r="D920" s="55"/>
      <c r="E920" s="55"/>
      <c r="F920" s="55"/>
      <c r="G920" s="55"/>
      <c r="H920" s="55"/>
      <c r="I920" s="55"/>
      <c r="J920" s="55"/>
      <c r="K920" s="55"/>
    </row>
    <row r="921">
      <c r="A921" s="55"/>
      <c r="B921" s="55"/>
      <c r="C921" s="55"/>
      <c r="D921" s="55"/>
      <c r="E921" s="55"/>
      <c r="F921" s="55"/>
      <c r="G921" s="55"/>
      <c r="H921" s="55"/>
      <c r="I921" s="55"/>
      <c r="J921" s="55"/>
      <c r="K921" s="55"/>
    </row>
    <row r="922">
      <c r="A922" s="55"/>
      <c r="B922" s="55"/>
      <c r="C922" s="55"/>
      <c r="D922" s="55"/>
      <c r="E922" s="55"/>
      <c r="F922" s="55"/>
      <c r="G922" s="55"/>
      <c r="H922" s="55"/>
      <c r="I922" s="55"/>
      <c r="J922" s="55"/>
      <c r="K922" s="55"/>
    </row>
    <row r="923">
      <c r="A923" s="55"/>
      <c r="B923" s="55"/>
      <c r="C923" s="55"/>
      <c r="D923" s="55"/>
      <c r="E923" s="55"/>
      <c r="F923" s="55"/>
      <c r="G923" s="55"/>
      <c r="H923" s="55"/>
      <c r="I923" s="55"/>
      <c r="J923" s="55"/>
      <c r="K923" s="55"/>
    </row>
    <row r="924">
      <c r="A924" s="55"/>
      <c r="B924" s="55"/>
      <c r="C924" s="55"/>
      <c r="D924" s="55"/>
      <c r="E924" s="55"/>
      <c r="F924" s="55"/>
      <c r="G924" s="55"/>
      <c r="H924" s="55"/>
      <c r="I924" s="55"/>
      <c r="J924" s="55"/>
      <c r="K924" s="55"/>
    </row>
    <row r="925">
      <c r="A925" s="55"/>
      <c r="B925" s="55"/>
      <c r="C925" s="55"/>
      <c r="D925" s="55"/>
      <c r="E925" s="55"/>
      <c r="F925" s="55"/>
      <c r="G925" s="55"/>
      <c r="H925" s="55"/>
      <c r="I925" s="55"/>
      <c r="J925" s="55"/>
      <c r="K925" s="55"/>
    </row>
    <row r="926">
      <c r="A926" s="55"/>
      <c r="B926" s="55"/>
      <c r="C926" s="55"/>
      <c r="D926" s="55"/>
      <c r="E926" s="55"/>
      <c r="F926" s="55"/>
      <c r="G926" s="55"/>
      <c r="H926" s="55"/>
      <c r="I926" s="55"/>
      <c r="J926" s="55"/>
      <c r="K926" s="55"/>
    </row>
    <row r="927">
      <c r="A927" s="55"/>
      <c r="B927" s="55"/>
      <c r="C927" s="55"/>
      <c r="D927" s="55"/>
      <c r="E927" s="55"/>
      <c r="F927" s="55"/>
      <c r="G927" s="55"/>
      <c r="H927" s="55"/>
      <c r="I927" s="55"/>
      <c r="J927" s="55"/>
      <c r="K927" s="55"/>
    </row>
    <row r="928">
      <c r="A928" s="55"/>
      <c r="B928" s="55"/>
      <c r="C928" s="55"/>
      <c r="D928" s="55"/>
      <c r="E928" s="55"/>
      <c r="F928" s="55"/>
      <c r="G928" s="55"/>
      <c r="H928" s="55"/>
      <c r="I928" s="55"/>
      <c r="J928" s="55"/>
      <c r="K928" s="55"/>
    </row>
    <row r="929">
      <c r="A929" s="55"/>
      <c r="B929" s="55"/>
      <c r="C929" s="55"/>
      <c r="D929" s="55"/>
      <c r="E929" s="55"/>
      <c r="F929" s="55"/>
      <c r="G929" s="55"/>
      <c r="H929" s="55"/>
      <c r="I929" s="55"/>
      <c r="J929" s="55"/>
      <c r="K929" s="55"/>
    </row>
    <row r="930">
      <c r="A930" s="55"/>
      <c r="B930" s="55"/>
      <c r="C930" s="55"/>
      <c r="D930" s="55"/>
      <c r="E930" s="55"/>
      <c r="F930" s="55"/>
      <c r="G930" s="55"/>
      <c r="H930" s="55"/>
      <c r="I930" s="55"/>
      <c r="J930" s="55"/>
      <c r="K930" s="55"/>
    </row>
    <row r="931">
      <c r="A931" s="55"/>
      <c r="B931" s="55"/>
      <c r="C931" s="55"/>
      <c r="D931" s="55"/>
      <c r="E931" s="55"/>
      <c r="F931" s="55"/>
      <c r="G931" s="55"/>
      <c r="H931" s="55"/>
      <c r="I931" s="55"/>
      <c r="J931" s="55"/>
      <c r="K931" s="55"/>
    </row>
    <row r="932">
      <c r="A932" s="55"/>
      <c r="B932" s="55"/>
      <c r="C932" s="55"/>
      <c r="D932" s="55"/>
      <c r="E932" s="55"/>
      <c r="F932" s="55"/>
      <c r="G932" s="55"/>
      <c r="H932" s="55"/>
      <c r="I932" s="55"/>
      <c r="J932" s="55"/>
      <c r="K932" s="55"/>
    </row>
    <row r="933">
      <c r="A933" s="55"/>
      <c r="B933" s="55"/>
      <c r="C933" s="55"/>
      <c r="D933" s="55"/>
      <c r="E933" s="55"/>
      <c r="F933" s="55"/>
      <c r="G933" s="55"/>
      <c r="H933" s="55"/>
      <c r="I933" s="55"/>
      <c r="J933" s="55"/>
      <c r="K933" s="55"/>
    </row>
    <row r="934">
      <c r="A934" s="55"/>
      <c r="B934" s="55"/>
      <c r="C934" s="55"/>
      <c r="D934" s="55"/>
      <c r="E934" s="55"/>
      <c r="F934" s="55"/>
      <c r="G934" s="55"/>
      <c r="H934" s="55"/>
      <c r="I934" s="55"/>
      <c r="J934" s="55"/>
      <c r="K934" s="55"/>
    </row>
    <row r="935">
      <c r="A935" s="55"/>
      <c r="B935" s="55"/>
      <c r="C935" s="55"/>
      <c r="D935" s="55"/>
      <c r="E935" s="55"/>
      <c r="F935" s="55"/>
      <c r="G935" s="55"/>
      <c r="H935" s="55"/>
      <c r="I935" s="55"/>
      <c r="J935" s="55"/>
      <c r="K935" s="55"/>
    </row>
    <row r="936">
      <c r="A936" s="55"/>
      <c r="B936" s="55"/>
      <c r="C936" s="55"/>
      <c r="D936" s="55"/>
      <c r="E936" s="55"/>
      <c r="F936" s="55"/>
      <c r="G936" s="55"/>
      <c r="H936" s="55"/>
      <c r="I936" s="55"/>
      <c r="J936" s="55"/>
      <c r="K936" s="55"/>
    </row>
    <row r="937">
      <c r="A937" s="55"/>
      <c r="B937" s="55"/>
      <c r="C937" s="55"/>
      <c r="D937" s="55"/>
      <c r="E937" s="55"/>
      <c r="F937" s="55"/>
      <c r="G937" s="55"/>
      <c r="H937" s="55"/>
      <c r="I937" s="55"/>
      <c r="J937" s="55"/>
      <c r="K937" s="55"/>
    </row>
    <row r="938">
      <c r="A938" s="55"/>
      <c r="B938" s="55"/>
      <c r="C938" s="55"/>
      <c r="D938" s="55"/>
      <c r="E938" s="55"/>
      <c r="F938" s="55"/>
      <c r="G938" s="55"/>
      <c r="H938" s="55"/>
      <c r="I938" s="55"/>
      <c r="J938" s="55"/>
      <c r="K938" s="55"/>
    </row>
    <row r="939">
      <c r="A939" s="55"/>
      <c r="B939" s="55"/>
      <c r="C939" s="55"/>
      <c r="D939" s="55"/>
      <c r="E939" s="55"/>
      <c r="F939" s="55"/>
      <c r="G939" s="55"/>
      <c r="H939" s="55"/>
      <c r="I939" s="55"/>
      <c r="J939" s="55"/>
      <c r="K939" s="55"/>
    </row>
    <row r="940">
      <c r="A940" s="55"/>
      <c r="B940" s="55"/>
      <c r="C940" s="55"/>
      <c r="D940" s="55"/>
      <c r="E940" s="55"/>
      <c r="F940" s="55"/>
      <c r="G940" s="55"/>
      <c r="H940" s="55"/>
      <c r="I940" s="55"/>
      <c r="J940" s="55"/>
      <c r="K940" s="55"/>
    </row>
    <row r="941">
      <c r="A941" s="55"/>
      <c r="B941" s="55"/>
      <c r="C941" s="55"/>
      <c r="D941" s="55"/>
      <c r="E941" s="55"/>
      <c r="F941" s="55"/>
      <c r="G941" s="55"/>
      <c r="H941" s="55"/>
      <c r="I941" s="55"/>
      <c r="J941" s="55"/>
      <c r="K941" s="55"/>
    </row>
    <row r="942">
      <c r="A942" s="55"/>
      <c r="B942" s="55"/>
      <c r="C942" s="55"/>
      <c r="D942" s="55"/>
      <c r="E942" s="55"/>
      <c r="F942" s="55"/>
      <c r="G942" s="55"/>
      <c r="H942" s="55"/>
      <c r="I942" s="55"/>
      <c r="J942" s="55"/>
      <c r="K942" s="55"/>
    </row>
    <row r="943">
      <c r="A943" s="55"/>
      <c r="B943" s="55"/>
      <c r="C943" s="55"/>
      <c r="D943" s="55"/>
      <c r="E943" s="55"/>
      <c r="F943" s="55"/>
      <c r="G943" s="55"/>
      <c r="H943" s="55"/>
      <c r="I943" s="55"/>
      <c r="J943" s="55"/>
      <c r="K943" s="55"/>
    </row>
    <row r="944">
      <c r="A944" s="55"/>
      <c r="B944" s="55"/>
      <c r="C944" s="55"/>
      <c r="D944" s="55"/>
      <c r="E944" s="55"/>
      <c r="F944" s="55"/>
      <c r="G944" s="55"/>
      <c r="H944" s="55"/>
      <c r="I944" s="55"/>
      <c r="J944" s="55"/>
      <c r="K944" s="55"/>
    </row>
    <row r="945">
      <c r="A945" s="55"/>
      <c r="B945" s="55"/>
      <c r="C945" s="55"/>
      <c r="D945" s="55"/>
      <c r="E945" s="55"/>
      <c r="F945" s="55"/>
      <c r="G945" s="55"/>
      <c r="H945" s="55"/>
      <c r="I945" s="55"/>
      <c r="J945" s="55"/>
      <c r="K945" s="55"/>
    </row>
    <row r="946">
      <c r="A946" s="55"/>
      <c r="B946" s="55"/>
      <c r="C946" s="55"/>
      <c r="D946" s="55"/>
      <c r="E946" s="55"/>
      <c r="F946" s="55"/>
      <c r="G946" s="55"/>
      <c r="H946" s="55"/>
      <c r="I946" s="55"/>
      <c r="J946" s="55"/>
      <c r="K946" s="55"/>
    </row>
    <row r="947">
      <c r="A947" s="55"/>
      <c r="B947" s="55"/>
      <c r="C947" s="55"/>
      <c r="D947" s="55"/>
      <c r="E947" s="55"/>
      <c r="F947" s="55"/>
      <c r="G947" s="55"/>
      <c r="H947" s="55"/>
      <c r="I947" s="55"/>
      <c r="J947" s="55"/>
      <c r="K947" s="55"/>
    </row>
    <row r="948">
      <c r="A948" s="55"/>
      <c r="B948" s="55"/>
      <c r="C948" s="55"/>
      <c r="D948" s="55"/>
      <c r="E948" s="55"/>
      <c r="F948" s="55"/>
      <c r="G948" s="55"/>
      <c r="H948" s="55"/>
      <c r="I948" s="55"/>
      <c r="J948" s="55"/>
      <c r="K948" s="55"/>
    </row>
    <row r="949">
      <c r="A949" s="55"/>
      <c r="B949" s="55"/>
      <c r="C949" s="55"/>
      <c r="D949" s="55"/>
      <c r="E949" s="55"/>
      <c r="F949" s="55"/>
      <c r="G949" s="55"/>
      <c r="H949" s="55"/>
      <c r="I949" s="55"/>
      <c r="J949" s="55"/>
      <c r="K949" s="55"/>
    </row>
    <row r="950">
      <c r="A950" s="55"/>
      <c r="B950" s="55"/>
      <c r="C950" s="55"/>
      <c r="D950" s="55"/>
      <c r="E950" s="55"/>
      <c r="F950" s="55"/>
      <c r="G950" s="55"/>
      <c r="H950" s="55"/>
      <c r="I950" s="55"/>
      <c r="J950" s="55"/>
      <c r="K950" s="55"/>
    </row>
    <row r="951">
      <c r="A951" s="55"/>
      <c r="B951" s="55"/>
      <c r="C951" s="55"/>
      <c r="D951" s="55"/>
      <c r="E951" s="55"/>
      <c r="F951" s="55"/>
      <c r="G951" s="55"/>
      <c r="H951" s="55"/>
      <c r="I951" s="55"/>
      <c r="J951" s="55"/>
      <c r="K951" s="55"/>
    </row>
    <row r="952">
      <c r="A952" s="55"/>
      <c r="B952" s="55"/>
      <c r="C952" s="55"/>
      <c r="D952" s="55"/>
      <c r="E952" s="55"/>
      <c r="F952" s="55"/>
      <c r="G952" s="55"/>
      <c r="H952" s="55"/>
      <c r="I952" s="55"/>
      <c r="J952" s="55"/>
      <c r="K952" s="55"/>
    </row>
    <row r="953">
      <c r="A953" s="55"/>
      <c r="B953" s="55"/>
      <c r="C953" s="55"/>
      <c r="D953" s="55"/>
      <c r="E953" s="55"/>
      <c r="F953" s="55"/>
      <c r="G953" s="55"/>
      <c r="H953" s="55"/>
      <c r="I953" s="55"/>
      <c r="J953" s="55"/>
      <c r="K953" s="55"/>
    </row>
    <row r="954">
      <c r="A954" s="55"/>
      <c r="B954" s="55"/>
      <c r="C954" s="55"/>
      <c r="D954" s="55"/>
      <c r="E954" s="55"/>
      <c r="F954" s="55"/>
      <c r="G954" s="55"/>
      <c r="H954" s="55"/>
      <c r="I954" s="55"/>
      <c r="J954" s="55"/>
      <c r="K954" s="55"/>
    </row>
    <row r="955">
      <c r="A955" s="55"/>
      <c r="B955" s="55"/>
      <c r="C955" s="55"/>
      <c r="D955" s="55"/>
      <c r="E955" s="55"/>
      <c r="F955" s="55"/>
      <c r="G955" s="55"/>
      <c r="H955" s="55"/>
      <c r="I955" s="55"/>
      <c r="J955" s="55"/>
      <c r="K955" s="55"/>
    </row>
    <row r="956">
      <c r="A956" s="55"/>
      <c r="B956" s="55"/>
      <c r="C956" s="55"/>
      <c r="D956" s="55"/>
      <c r="E956" s="55"/>
      <c r="F956" s="55"/>
      <c r="G956" s="55"/>
      <c r="H956" s="55"/>
      <c r="I956" s="55"/>
      <c r="J956" s="55"/>
      <c r="K956" s="55"/>
    </row>
    <row r="957">
      <c r="A957" s="55"/>
      <c r="B957" s="55"/>
      <c r="C957" s="55"/>
      <c r="D957" s="55"/>
      <c r="E957" s="55"/>
      <c r="F957" s="55"/>
      <c r="G957" s="55"/>
      <c r="H957" s="55"/>
      <c r="I957" s="55"/>
      <c r="J957" s="55"/>
      <c r="K957" s="55"/>
    </row>
    <row r="958">
      <c r="A958" s="55"/>
      <c r="B958" s="55"/>
      <c r="C958" s="55"/>
      <c r="D958" s="55"/>
      <c r="E958" s="55"/>
      <c r="F958" s="55"/>
      <c r="G958" s="55"/>
      <c r="H958" s="55"/>
      <c r="I958" s="55"/>
      <c r="J958" s="55"/>
      <c r="K958" s="55"/>
    </row>
    <row r="959">
      <c r="A959" s="55"/>
      <c r="B959" s="55"/>
      <c r="C959" s="55"/>
      <c r="D959" s="55"/>
      <c r="E959" s="55"/>
      <c r="F959" s="55"/>
      <c r="G959" s="55"/>
      <c r="H959" s="55"/>
      <c r="I959" s="55"/>
      <c r="J959" s="55"/>
      <c r="K959" s="55"/>
    </row>
    <row r="960">
      <c r="A960" s="55"/>
      <c r="B960" s="55"/>
      <c r="C960" s="55"/>
      <c r="D960" s="55"/>
      <c r="E960" s="55"/>
      <c r="F960" s="55"/>
      <c r="G960" s="55"/>
      <c r="H960" s="55"/>
      <c r="I960" s="55"/>
      <c r="J960" s="55"/>
      <c r="K960" s="55"/>
    </row>
    <row r="961">
      <c r="A961" s="55"/>
      <c r="B961" s="55"/>
      <c r="C961" s="55"/>
      <c r="D961" s="55"/>
      <c r="E961" s="55"/>
      <c r="F961" s="55"/>
      <c r="G961" s="55"/>
      <c r="H961" s="55"/>
      <c r="I961" s="55"/>
      <c r="J961" s="55"/>
      <c r="K961" s="55"/>
    </row>
    <row r="962">
      <c r="A962" s="55"/>
      <c r="B962" s="55"/>
      <c r="C962" s="55"/>
      <c r="D962" s="55"/>
      <c r="E962" s="55"/>
      <c r="F962" s="55"/>
      <c r="G962" s="55"/>
      <c r="H962" s="55"/>
      <c r="I962" s="55"/>
      <c r="J962" s="55"/>
      <c r="K962" s="55"/>
    </row>
    <row r="963">
      <c r="A963" s="55"/>
      <c r="B963" s="55"/>
      <c r="C963" s="55"/>
      <c r="D963" s="55"/>
      <c r="E963" s="55"/>
      <c r="F963" s="55"/>
      <c r="G963" s="55"/>
      <c r="H963" s="55"/>
      <c r="I963" s="55"/>
      <c r="J963" s="55"/>
      <c r="K963" s="55"/>
    </row>
    <row r="964">
      <c r="A964" s="55"/>
      <c r="B964" s="55"/>
      <c r="C964" s="55"/>
      <c r="D964" s="55"/>
      <c r="E964" s="55"/>
      <c r="F964" s="55"/>
      <c r="G964" s="55"/>
      <c r="H964" s="55"/>
      <c r="I964" s="55"/>
      <c r="J964" s="55"/>
      <c r="K964" s="55"/>
    </row>
    <row r="965">
      <c r="A965" s="55"/>
      <c r="B965" s="55"/>
      <c r="C965" s="55"/>
      <c r="D965" s="55"/>
      <c r="E965" s="55"/>
      <c r="F965" s="55"/>
      <c r="G965" s="55"/>
      <c r="H965" s="55"/>
      <c r="I965" s="55"/>
      <c r="J965" s="55"/>
      <c r="K965" s="55"/>
    </row>
    <row r="966">
      <c r="A966" s="55"/>
      <c r="B966" s="55"/>
      <c r="C966" s="55"/>
      <c r="D966" s="55"/>
      <c r="E966" s="55"/>
      <c r="F966" s="55"/>
      <c r="G966" s="55"/>
      <c r="H966" s="55"/>
      <c r="I966" s="55"/>
      <c r="J966" s="55"/>
      <c r="K966" s="55"/>
    </row>
    <row r="967">
      <c r="A967" s="55"/>
      <c r="B967" s="55"/>
      <c r="C967" s="55"/>
      <c r="D967" s="55"/>
      <c r="E967" s="55"/>
      <c r="F967" s="55"/>
      <c r="G967" s="55"/>
      <c r="H967" s="55"/>
      <c r="I967" s="55"/>
      <c r="J967" s="55"/>
      <c r="K967" s="55"/>
    </row>
    <row r="968">
      <c r="A968" s="55"/>
      <c r="B968" s="55"/>
      <c r="C968" s="55"/>
      <c r="D968" s="55"/>
      <c r="E968" s="55"/>
      <c r="F968" s="55"/>
      <c r="G968" s="55"/>
      <c r="H968" s="55"/>
      <c r="I968" s="55"/>
      <c r="J968" s="55"/>
      <c r="K968" s="55"/>
    </row>
    <row r="969">
      <c r="A969" s="55"/>
      <c r="B969" s="55"/>
      <c r="C969" s="55"/>
      <c r="D969" s="55"/>
      <c r="E969" s="55"/>
      <c r="F969" s="55"/>
      <c r="G969" s="55"/>
      <c r="H969" s="55"/>
      <c r="I969" s="55"/>
      <c r="J969" s="55"/>
      <c r="K969" s="55"/>
    </row>
    <row r="970">
      <c r="A970" s="55"/>
      <c r="B970" s="55"/>
      <c r="C970" s="55"/>
      <c r="D970" s="55"/>
      <c r="E970" s="55"/>
      <c r="F970" s="55"/>
      <c r="G970" s="55"/>
      <c r="H970" s="55"/>
      <c r="I970" s="55"/>
      <c r="J970" s="55"/>
      <c r="K970" s="55"/>
    </row>
    <row r="971">
      <c r="A971" s="55"/>
      <c r="B971" s="55"/>
      <c r="C971" s="55"/>
      <c r="D971" s="55"/>
      <c r="I971" s="55"/>
      <c r="J971" s="55"/>
      <c r="K971" s="55"/>
    </row>
    <row r="972">
      <c r="A972" s="55"/>
      <c r="I972" s="55"/>
      <c r="J972" s="55"/>
      <c r="K972" s="55"/>
    </row>
    <row r="973">
      <c r="A973" s="55"/>
      <c r="I973" s="55"/>
      <c r="J973" s="55"/>
      <c r="K973" s="55"/>
    </row>
    <row r="974">
      <c r="A974" s="55"/>
      <c r="I974" s="55"/>
      <c r="J974" s="55"/>
      <c r="K974" s="55"/>
    </row>
    <row r="975">
      <c r="A975" s="55"/>
      <c r="I975" s="55"/>
      <c r="J975" s="55"/>
      <c r="K975" s="55"/>
    </row>
    <row r="976">
      <c r="A976" s="55"/>
      <c r="J976" s="55"/>
      <c r="K976" s="55"/>
    </row>
    <row r="977">
      <c r="A977" s="55"/>
      <c r="J977" s="55"/>
      <c r="K977" s="55"/>
    </row>
    <row r="978">
      <c r="A978" s="55"/>
      <c r="J978" s="55"/>
      <c r="K978" s="55"/>
    </row>
    <row r="979">
      <c r="A979" s="55"/>
      <c r="J979" s="55"/>
      <c r="K979" s="55"/>
    </row>
    <row r="980">
      <c r="A980" s="55"/>
      <c r="J980" s="55"/>
      <c r="K980" s="55"/>
    </row>
    <row r="981">
      <c r="A981" s="55"/>
      <c r="J981" s="55"/>
      <c r="K981" s="55"/>
    </row>
    <row r="982">
      <c r="A982" s="55"/>
      <c r="J982" s="55"/>
      <c r="K982" s="55"/>
    </row>
    <row r="983">
      <c r="A983" s="55"/>
      <c r="J983" s="55"/>
      <c r="K983" s="55"/>
    </row>
    <row r="984">
      <c r="A984" s="55"/>
      <c r="J984" s="55"/>
      <c r="K984" s="55"/>
    </row>
    <row r="985">
      <c r="J985" s="55"/>
      <c r="K985" s="55"/>
    </row>
  </sheetData>
  <mergeCells count="26">
    <mergeCell ref="B39:B40"/>
    <mergeCell ref="C39:I40"/>
    <mergeCell ref="B78:D78"/>
    <mergeCell ref="B79:D79"/>
    <mergeCell ref="B80:D80"/>
    <mergeCell ref="B81:D81"/>
    <mergeCell ref="B82:D82"/>
    <mergeCell ref="B83:D83"/>
    <mergeCell ref="B84:D84"/>
    <mergeCell ref="B86:D86"/>
    <mergeCell ref="B87:D87"/>
    <mergeCell ref="B88:D88"/>
    <mergeCell ref="B89:D89"/>
    <mergeCell ref="B92:D92"/>
    <mergeCell ref="B105:D105"/>
    <mergeCell ref="B106:D106"/>
    <mergeCell ref="B107:D107"/>
    <mergeCell ref="B108:D108"/>
    <mergeCell ref="B109:D109"/>
    <mergeCell ref="B93:D93"/>
    <mergeCell ref="B95:D95"/>
    <mergeCell ref="B96:D96"/>
    <mergeCell ref="B99:D99"/>
    <mergeCell ref="B100:D100"/>
    <mergeCell ref="B101:D101"/>
    <mergeCell ref="B104:D104"/>
  </mergeCells>
  <drawing r:id="rId1"/>
</worksheet>
</file>